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0decce1ca42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68eaf0b7926416d"/>
    <x:sheet xmlns:r="http://schemas.openxmlformats.org/officeDocument/2006/relationships" name="Data" sheetId="2" r:id="Rd4978efc5a7c44f1"/>
    <x:sheet xmlns:r="http://schemas.openxmlformats.org/officeDocument/2006/relationships" name="ResourceCheck" sheetId="3" r:id="R18b05665711842b5"/>
    <x:sheet xmlns:r="http://schemas.openxmlformats.org/officeDocument/2006/relationships" name="BugResults" sheetId="4" r:id="R47d220edbd4a43ff"/>
    <x:sheet xmlns:r="http://schemas.openxmlformats.org/officeDocument/2006/relationships" name="Verdicts" sheetId="5" r:id="Rc2c0d179ff0e4cb2"/>
    <x:sheet xmlns:r="http://schemas.openxmlformats.org/officeDocument/2006/relationships" name="StatusChecks" sheetId="6" r:id="R2322d61adfe441b3"/>
    <x:sheet xmlns:r="http://schemas.openxmlformats.org/officeDocument/2006/relationships" name="UnavailableCauses" sheetId="7" r:id="R54c5b5c9f5794997"/>
    <x:sheet xmlns:r="http://schemas.openxmlformats.org/officeDocument/2006/relationships" name="Coverage" sheetId="8" r:id="Ra5e505df8ba14349"/>
    <x:sheet xmlns:r="http://schemas.openxmlformats.org/officeDocument/2006/relationships" name="CoverageCases" sheetId="9" r:id="R07b7bccde1cf4009"/>
    <x:sheet xmlns:r="http://schemas.openxmlformats.org/officeDocument/2006/relationships" name="Intersection" sheetId="10" r:id="R2f6bd9fe670649e7"/>
    <x:sheet xmlns:r="http://schemas.openxmlformats.org/officeDocument/2006/relationships" name="ReportNotes" sheetId="11" r:id="Rb559a4216d5f48d2"/>
    <x:sheet xmlns:r="http://schemas.openxmlformats.org/officeDocument/2006/relationships" name="StatusChanges" sheetId="12" r:id="R377132450c4448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#,##0.00"/>
    <x:numFmt numFmtId="203" formatCode="0"/>
    <x:numFmt numFmtId="204" formatCode="0.00"/>
    <x:numFmt numFmtId="205" formatCode="General"/>
  </x:numFmts>
  <x:fonts count="14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sz val="11"/>
      <x:color rgb="FF18263B"/>
      <x:name val="Arial"/>
    </x:font>
    <x:font>
      <x:b/>
      <x:sz val="11"/>
      <x:color rgb="FF18263B"/>
      <x:name val="Arial"/>
    </x:font>
    <x:font>
      <x:b/>
      <x:sz val="16"/>
      <x:color rgb="FF18263B"/>
      <x:name val="Arial"/>
    </x:font>
    <x:font>
      <x:sz val="10"/>
      <x:color rgb="FF4C627B"/>
      <x:name val="Arial"/>
    </x:font>
    <x:font>
      <x:sz val="10"/>
      <x:color rgb="FF18263B"/>
      <x:name val="Arial"/>
    </x:font>
    <x:font>
      <x:b/>
      <x:sz val="10"/>
      <x:color rgb="FFFFFFFF"/>
      <x:name val="Arial"/>
    </x:font>
    <x:font>
      <x:b/>
      <x:sz val="14"/>
      <x:color rgb="FF18263B"/>
      <x:name val="Arial"/>
    </x:font>
    <x:font>
      <x:sz val="11"/>
      <x:color rgb="FF4C627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201" fontId="6" fillId="0" borderId="0" xfId="0" applyNumberFormat="1" applyFont="1" applyFill="1" applyBorder="1" applyAlignment="1">
      <x:alignment horizontal="right"/>
    </x:xf>
    <x:xf numFmtId="0" fontId="1" fillId="5" borderId="0" xfId="0" applyNumberFormat="1" applyFont="1" applyFill="1" applyBorder="1"/>
    <x:xf numFmtId="0" fontId="10" fillId="0" borderId="0" xfId="0" applyNumberFormat="1" applyFont="1" applyFill="1" applyBorder="1"/>
    <x:xf numFmtId="0" fontId="10" fillId="4" borderId="0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204" fontId="10" fillId="0" borderId="0" xfId="0" applyNumberFormat="1" applyFont="1" applyFill="1" applyBorder="1"/>
    <x:xf numFmtId="200" fontId="6" fillId="0" borderId="0" xfId="0" applyNumberFormat="1" applyFont="1" applyFill="1" applyBorder="1"/>
    <x:xf numFmtId="0" fontId="12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4" fillId="4" borderId="0" xfId="0" applyNumberFormat="1" applyFont="1" applyFill="1" applyBorder="1" applyAlignment="1">
      <x:alignment wrapText="1"/>
    </x:xf>
    <x:xf numFmtId="205" fontId="4" fillId="4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/>
    <x:xf numFmtId="204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5bfd2a064e4d4e" /><Relationship Type="http://schemas.openxmlformats.org/officeDocument/2006/relationships/theme" Target="/xl/theme/theme1.xml" Id="Rfdfd9e3a89aa4223" /><Relationship Type="http://schemas.microsoft.com/office/2022/11/relationships/FeaturePropertyBag" Target="/xl/featurePropertyBag/featurePropertyBag.xml" Id="R6540ce2f6b6d4006" /><Relationship Type="http://schemas.openxmlformats.org/officeDocument/2006/relationships/sharedStrings" Target="/xl/sharedStrings.xml" Id="R2c74ca8d53624135" /><Relationship Type="http://schemas.openxmlformats.org/officeDocument/2006/relationships/worksheet" Target="/xl/worksheets/sheet1.xml" Id="R868eaf0b7926416d" /><Relationship Type="http://schemas.openxmlformats.org/officeDocument/2006/relationships/worksheet" Target="/xl/worksheets/sheet2.xml" Id="Rd4978efc5a7c44f1" /><Relationship Type="http://schemas.openxmlformats.org/officeDocument/2006/relationships/worksheet" Target="/xl/worksheets/sheet3.xml" Id="R18b05665711842b5" /><Relationship Type="http://schemas.openxmlformats.org/officeDocument/2006/relationships/worksheet" Target="/xl/worksheets/sheet4.xml" Id="R47d220edbd4a43ff" /><Relationship Type="http://schemas.openxmlformats.org/officeDocument/2006/relationships/worksheet" Target="/xl/worksheets/sheet5.xml" Id="Rc2c0d179ff0e4cb2" /><Relationship Type="http://schemas.openxmlformats.org/officeDocument/2006/relationships/worksheet" Target="/xl/worksheets/sheet6.xml" Id="R2322d61adfe441b3" /><Relationship Type="http://schemas.openxmlformats.org/officeDocument/2006/relationships/worksheet" Target="/xl/worksheets/sheet7.xml" Id="R54c5b5c9f5794997" /><Relationship Type="http://schemas.openxmlformats.org/officeDocument/2006/relationships/worksheet" Target="/xl/worksheets/sheet8.xml" Id="Ra5e505df8ba14349" /><Relationship Type="http://schemas.openxmlformats.org/officeDocument/2006/relationships/worksheet" Target="/xl/worksheets/sheet9.xml" Id="R07b7bccde1cf4009" /><Relationship Type="http://schemas.openxmlformats.org/officeDocument/2006/relationships/worksheet" Target="/xl/worksheets/sheet10.xml" Id="R2f6bd9fe670649e7" /><Relationship Type="http://schemas.openxmlformats.org/officeDocument/2006/relationships/worksheet" Target="/xl/worksheets/sheet11.xml" Id="Rb559a4216d5f48d2" /><Relationship Type="http://schemas.openxmlformats.org/officeDocument/2006/relationships/worksheet" Target="/xl/worksheets/sheet12.xml" Id="R377132450c4448a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sultsData" displayName="ResultsData" ref="A1:N1709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gResultsTable" displayName="BugResultsTable" ref="A1:V1709" headerRowCount="1" totalsRowCount="0" totalsRowShown="0">
  <x:autoFilter ref="A1:V1709"/>
  <x:tableColumns count="22">
    <x:tableColumn id="1" name="project"/>
    <x:tableColumn id="2" name="bug_id"/>
    <x:tableColumn id="3" name="round"/>
    <x:tableColumn id="4" name="status"/>
    <x:tableColumn id="5" name="partial_generation"/>
    <x:tableColumn id="6" name="notes"/>
    <x:tableColumn id="7" name="partial_generation_known"/>
    <x:tableColumn id="8" name="previous_status"/>
    <x:tableColumn id="9" name="buggy_result"/>
    <x:tableColumn id="10" name="fixed_result"/>
    <x:tableColumn id="11" name="java_files"/>
    <x:tableColumn id="12" name="latest_generation_failed"/>
    <x:tableColumn id="13" name="generation_source"/>
    <x:tableColumn id="14" name="validation_source"/>
    <x:tableColumn id="15" name="coverage_source"/>
    <x:tableColumn id="16" name="not_available_cause"/>
    <x:tableColumn id="17" name="generation_failed_tasks"/>
    <x:tableColumn id="18" name="failed_generation_classes"/>
    <x:tableColumn id="19" name="missing_generation_classes"/>
    <x:tableColumn id="20" name="stale_generation_failure"/>
    <x:tableColumn id="21" name="has_test_methods"/>
    <x:tableColumn id="22" name="status_chang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verageCasesTable" displayName="CoverageCasesTable" ref="A1:Q3417" headerRowCount="1" totalsRowCount="0" totalsRowShown="0">
  <x:autoFilter ref="A1:Q3417"/>
  <x:tableColumns count="17">
    <x:tableColumn id="1" name="Method"/>
    <x:tableColumn id="2" name="Project"/>
    <x:tableColumn id="3" name="Round"/>
    <x:tableColumn id="4" name="Target"/>
    <x:tableColumn id="5" name="Metric"/>
    <x:tableColumn id="6" name="Measurable total"/>
    <x:tableColumn id="7" name="Class"/>
    <x:tableColumn id="8" name="Raw coverage (%)"/>
    <x:tableColumn id="9" name="Coverage status"/>
    <x:tableColumn id="10" name="Compile"/>
    <x:tableColumn id="11" name="Test compile"/>
    <x:tableColumn id="12" name="Buggy result"/>
    <x:tableColumn id="13" name="Reason"/>
    <x:tableColumn id="14" name="Coverage source"/>
    <x:tableColumn id="15" name="Eligible coverage (%)"/>
    <x:tableColumn id="16" name="Latest verdict"/>
    <x:tableColumn id="17" name="Verdict 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tatusChangesTable" displayName="StatusChangesTable" ref="B6:J10" headerRowCount="1" totalsRowCount="0" totalsRowShown="0">
  <x:autoFilter ref="B6:J10"/>
  <x:tableColumns count="9">
    <x:tableColumn id="1" name="Project"/>
    <x:tableColumn id="2" name="Bug"/>
    <x:tableColumn id="3" name="Round"/>
    <x:tableColumn id="4" name="Saved verdict"/>
    <x:tableColumn id="5" name="Current verdict"/>
    <x:tableColumn id="6" name="Reason"/>
    <x:tableColumn id="7" name="Generation source"/>
    <x:tableColumn id="8" name="Validation source"/>
    <x:tableColumn id="9" name="Coverage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a70b2316c84c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2361e4a3956465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3.xml" Id="R6604dec1e96f493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e05cdb66b93f419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str">
        <x:v>DeepSeek | Results dashboard</x:v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str">
        <x:v>Round 1 without dependencies · Round 2 with dependencies</x:v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 t="n">
        <x:f>COUNTIF(Data!$B$2:$B$1709,"Round1")</x:f>
        <x:v>854</x:v>
      </x:c>
      <x:c r="D6" s="10" t="n">
        <x:f>COUNTIF(Data!$B$2:$B$1709,"Round2")</x:f>
        <x:v>854</x:v>
      </x:c>
      <x:c r="E6" s="11" t="n">
        <x:f>COUNTA(Data!$C$2:$C$1709)</x:f>
        <x:v>1708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 t="n">
        <x:f>'Coverage'!J9</x:f>
        <x:v>0.7394115740740738</x:v>
      </x:c>
      <x:c r="D7" s="5" t="n">
        <x:f>'Coverage'!J11</x:f>
        <x:v>0.7125589242053788</x:v>
      </x:c>
      <x:c r="E7" s="12" t="n">
        <x:f>'Coverage'!J7</x:f>
        <x:v>0.7218392000000005</x:v>
      </x:c>
      <x:c r="F7" s="1"/>
      <x:c r="G7" s="1"/>
      <x:c r="H7" s="1"/>
      <x:c r="I7" s="1"/>
      <x:c r="J7" s="1"/>
    </x:row>
    <x:row r="8">
      <x:c r="A8" s="1"/>
      <x:c r="B8" s="1" t="inlineStr">
        <x:is>
          <x:t xml:space="preserve">Average condition coverage</x:t>
        </x:is>
      </x:c>
      <x:c r="C8" s="5" t="n">
        <x:f>'Coverage'!J10</x:f>
        <x:v>0.6608867924528302</x:v>
      </x:c>
      <x:c r="D8" s="5" t="n">
        <x:f>'Coverage'!J12</x:f>
        <x:v>0.6323455445544557</x:v>
      </x:c>
      <x:c r="E8" s="12" t="n">
        <x:f>'Coverage'!J8</x:f>
        <x:v>0.6421681818181821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 t="n">
        <x:f>'Verdicts'!E12</x:f>
        <x:v>4</x:v>
      </x:c>
      <x:c r="D9" s="10" t="n">
        <x:f>'Verdicts'!E17</x:f>
        <x:v>11</x:v>
      </x:c>
      <x:c r="E9" s="11" t="n">
        <x:f>'Verdicts'!E7</x:f>
        <x:v>15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 t="n">
        <x:f>IF(C6=0,"—",C9/C6)</x:f>
        <x:v>0.00468384074941452</x:v>
      </x:c>
      <x:c r="D10" s="5" t="n">
        <x:f>IF(D6=0,"—",D9/D6)</x:f>
        <x:v>0.01288056206088993</x:v>
      </x:c>
      <x:c r="E10" s="12" t="n">
        <x:f>IF(E6=0,"—",E9/E6)</x:f>
        <x:v>0.008782201405152224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 t="n">
        <x:f>IF(COUNTIFS(Data!$B$2:$B$1709,"Round1",Data!$G$2:$G$1709,"&lt;&gt;")=0,"",SUMIF(Data!$B$2:$B$1709,"Round1",Data!$G$2:$G$1709))</x:f>
        <x:v>11801383</x:v>
      </x:c>
      <x:c r="D11" s="10" t="n">
        <x:f>IF(COUNTIFS(Data!$B$2:$B$1709,"Round2",Data!$G$2:$G$1709,"&lt;&gt;")=0,"",SUMIF(Data!$B$2:$B$1709,"Round2",Data!$G$2:$G$1709))</x:f>
        <x:v>17293389</x:v>
      </x:c>
      <x:c r="E11" s="11" t="n">
        <x:f>IF(COUNT(Data!$G$2:$G$1709)=0,"",SUM(Data!$G$2:$G$1709))</x:f>
        <x:v>29094772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 t="n">
        <x:f>IF(COUNTIFS(Data!$B$2:$B$1709,"Round1",Data!$H$2:$H$1709,"&lt;&gt;")=0,"",SUMIF(Data!$B$2:$B$1709,"Round1",Data!$H$2:$H$1709))</x:f>
        <x:v>123382.23000000001</x:v>
      </x:c>
      <x:c r="D12" s="6" t="n">
        <x:f>IF(COUNTIFS(Data!$B$2:$B$1709,"Round2",Data!$H$2:$H$1709,"&lt;&gt;")=0,"",SUMIF(Data!$B$2:$B$1709,"Round2",Data!$H$2:$H$1709))</x:f>
        <x:v>242954.25999999995</x:v>
      </x:c>
      <x:c r="E12" s="13" t="n">
        <x:f>IF(COUNT(Data!$H$2:$H$1709)=0,"",SUM(Data!$H$2:$H$1709))</x:f>
        <x:v>366336.49000000104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 t="n">
        <x:f>COUNTIFS(Data!$B$2:$B$1709,"Round1",Data!$E$2:$E$1709,"&lt;&gt;")</x:f>
        <x:v>216</x:v>
      </x:c>
      <x:c r="D13" s="4" t="n">
        <x:f>COUNTIFS(Data!$B$2:$B$1709,"Round2",Data!$E$2:$E$1709,"&lt;&gt;")</x:f>
        <x:v>409</x:v>
      </x:c>
      <x:c r="E13" s="14" t="n">
        <x:f>COUNT(Data!$E$2:$E$1709)</x:f>
        <x:v>625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 xml:space="preserve">Lines total</x:t>
        </x:is>
      </x:c>
      <x:c r="C14" s="4" t="n">
        <x:f>IF(COUNTIFS(Data!$B$2:$B$1709,"Round1",Data!$J$2:$J$1709,"&lt;&gt;")=0,"",SUMIF(Data!$B$2:$B$1709,"Round1",Data!$J$2:$J$1709))</x:f>
        <x:v>45073</x:v>
      </x:c>
      <x:c r="D14" s="4" t="n">
        <x:f>IF(COUNTIFS(Data!$B$2:$B$1709,"Round2",Data!$J$2:$J$1709,"&lt;&gt;")=0,"",SUMIF(Data!$B$2:$B$1709,"Round2",Data!$J$2:$J$1709))</x:f>
        <x:v>99516</x:v>
      </x:c>
      <x:c r="E14" s="4" t="n">
        <x:f>IF(COUNT(Data!$J$2:$J$1709)=0,"",SUM(Data!$J$2:$J$1709))</x:f>
        <x:v>144589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 xml:space="preserve">Lines covered</x:t>
        </x:is>
      </x:c>
      <x:c r="C15" s="4" t="n">
        <x:f>IF(COUNTIFS(Data!$B$2:$B$1709,"Round1",Data!$K$2:$K$1709,"&lt;&gt;")=0,"",SUMIF(Data!$B$2:$B$1709,"Round1",Data!$K$2:$K$1709))</x:f>
        <x:v>27592</x:v>
      </x:c>
      <x:c r="D15" s="4" t="n">
        <x:f>IF(COUNTIFS(Data!$B$2:$B$1709,"Round2",Data!$K$2:$K$1709,"&lt;&gt;")=0,"",SUMIF(Data!$B$2:$B$1709,"Round2",Data!$K$2:$K$1709))</x:f>
        <x:v>57878</x:v>
      </x:c>
      <x:c r="E15" s="4" t="n">
        <x:f>IF(COUNT(Data!$K$2:$K$1709)=0,"",SUM(Data!$K$2:$K$1709))</x:f>
        <x:v>85470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 xml:space="preserve">Conditions total</x:t>
        </x:is>
      </x:c>
      <x:c r="C16" s="4" t="n">
        <x:f>IF(COUNTIFS(Data!$B$2:$B$1709,"Round1",Data!$L$2:$L$1709,"&lt;&gt;")=0,"",SUMIF(Data!$B$2:$B$1709,"Round1",Data!$L$2:$L$1709))</x:f>
        <x:v>27232</x:v>
      </x:c>
      <x:c r="D16" s="4" t="n">
        <x:f>IF(COUNTIFS(Data!$B$2:$B$1709,"Round2",Data!$L$2:$L$1709,"&lt;&gt;")=0,"",SUMIF(Data!$B$2:$B$1709,"Round2",Data!$L$2:$L$1709))</x:f>
        <x:v>61583</x:v>
      </x:c>
      <x:c r="E16" s="4" t="n">
        <x:f>IF(COUNT(Data!$L$2:$L$1709)=0,"",SUM(Data!$L$2:$L$1709))</x:f>
        <x:v>88815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 xml:space="preserve">Conditions covered</x:t>
        </x:is>
      </x:c>
      <x:c r="C17" s="4" t="n">
        <x:f>IF(COUNTIFS(Data!$B$2:$B$1709,"Round1",Data!$M$2:$M$1709,"&lt;&gt;")=0,"",SUMIF(Data!$B$2:$B$1709,"Round1",Data!$M$2:$M$1709))</x:f>
        <x:v>13869</x:v>
      </x:c>
      <x:c r="D17" s="4" t="n">
        <x:f>IF(COUNTIFS(Data!$B$2:$B$1709,"Round2",Data!$M$2:$M$1709,"&lt;&gt;")=0,"",SUMIF(Data!$B$2:$B$1709,"Round2",Data!$M$2:$M$1709))</x:f>
        <x:v>28779</x:v>
      </x:c>
      <x:c r="E17" s="4" t="n">
        <x:f>IF(COUNT(Data!$M$2:$M$1709)=0,"",SUM(Data!$M$2:$M$1709))</x:f>
        <x:v>42648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34"/>
      <x:c r="H18" s="34"/>
      <x:c r="I18" s="34"/>
      <x:c r="J18" s="34"/>
    </x:row>
    <x:row r="19" ht="26" customHeight="1">
      <x:c r="A19" s="1"/>
      <x:c r="B19" s="9" t="str">
        <x:v>REVEALING</x:v>
      </x:c>
      <x:c r="C19" s="9" t="n">
        <x:f>'Verdicts'!E12</x:f>
        <x:v>4</x:v>
      </x:c>
      <x:c r="D19" s="9" t="n">
        <x:f>'Verdicts'!E17</x:f>
        <x:v>11</x:v>
      </x:c>
      <x:c r="E19" s="9" t="n">
        <x:f>'Verdicts'!E7</x:f>
        <x:v>15</x:v>
      </x:c>
      <x:c r="F19" s="1"/>
      <x:c r="G19" s="34"/>
      <x:c r="H19" s="34"/>
      <x:c r="I19" s="34"/>
      <x:c r="J19" s="34"/>
    </x:row>
    <x:row r="20" ht="26" customHeight="1">
      <x:c r="A20" s="1"/>
      <x:c r="B20" s="1" t="str">
        <x:v>NOT_REVEALING</x:v>
      </x:c>
      <x:c r="C20" s="1" t="n">
        <x:f>'Verdicts'!E13</x:f>
        <x:v>37</x:v>
      </x:c>
      <x:c r="D20" s="1" t="n">
        <x:f>'Verdicts'!E18</x:f>
        <x:v>98</x:v>
      </x:c>
      <x:c r="E20" s="1" t="n">
        <x:f>'Verdicts'!E8</x:f>
        <x:v>135</x:v>
      </x:c>
      <x:c r="F20" s="1"/>
      <x:c r="G20" s="34"/>
      <x:c r="H20" s="34"/>
      <x:c r="I20" s="34"/>
      <x:c r="J20" s="34"/>
    </x:row>
    <x:row r="21" ht="26" customHeight="1">
      <x:c r="A21" s="1"/>
      <x:c r="B21" s="9" t="str">
        <x:v>NOT_AVAILABLE</x:v>
      </x:c>
      <x:c r="C21" s="9" t="n">
        <x:f>'Verdicts'!E14</x:f>
        <x:v>641</x:v>
      </x:c>
      <x:c r="D21" s="9" t="n">
        <x:f>'Verdicts'!E19</x:f>
        <x:v>447</x:v>
      </x:c>
      <x:c r="E21" s="9" t="n">
        <x:f>'Verdicts'!E9</x:f>
        <x:v>1088</x:v>
      </x:c>
      <x:c r="F21" s="1"/>
      <x:c r="G21" s="34"/>
      <x:c r="H21" s="34"/>
      <x:c r="I21" s="34"/>
      <x:c r="J21" s="34"/>
    </x:row>
    <x:row r="22" ht="26" customHeight="1">
      <x:c r="A22" s="1"/>
      <x:c r="B22" s="1" t="str">
        <x:v>INCONCLUSIVE</x:v>
      </x:c>
      <x:c r="C22" s="1" t="n">
        <x:f>'Verdicts'!E15</x:f>
        <x:v>172</x:v>
      </x:c>
      <x:c r="D22" s="1" t="n">
        <x:f>'Verdicts'!E20</x:f>
        <x:v>298</x:v>
      </x:c>
      <x:c r="E22" s="1" t="n">
        <x:f>'Verdicts'!E10</x:f>
        <x:v>470</x:v>
      </x:c>
      <x:c r="F22" s="1"/>
      <x:c r="G22" s="34"/>
      <x:c r="H22" s="34"/>
      <x:c r="I22" s="34"/>
      <x:c r="J22" s="34"/>
    </x:row>
    <x:row r="23" ht="24" customHeight="1">
      <x:c r="A23" s="1"/>
      <x:c r="B23" s="17" t="str">
        <x:v>FAIL</x:v>
      </x:c>
      <x:c r="C23" s="17" t="n">
        <x:f>'Verdicts'!E16</x:f>
        <x:v>0</x:v>
      </x:c>
      <x:c r="D23" s="17" t="n">
        <x:f>'Verdicts'!E21</x:f>
        <x:v>0</x:v>
      </x:c>
      <x:c r="E23" s="17" t="n">
        <x:f>'Verdicts'!E11</x:f>
        <x:v>0</x:v>
      </x:c>
      <x:c r="F23" s="1"/>
      <x:c r="G23" s="34"/>
      <x:c r="H23" s="34"/>
      <x:c r="I23" s="34"/>
      <x:c r="J23" s="34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 xml:space="preserve">Updated: 2026-10-04 07:19:23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 ht="32" customHeight="1">
      <x:c r="A26" s="1"/>
      <x:c r="B26" s="31" t="str">
        <x:v>One bug per round. Data retains original values; BugResults contains final verdicts. UnavailableCauses separates execution and coverage failures.</x:v>
      </x:c>
      <x:c r="C26" s="31"/>
      <x:c r="D26" s="31"/>
      <x:c r="E26" s="31"/>
      <x:c r="F26" s="31"/>
      <x:c r="G26" s="31"/>
      <x:c r="H26" s="31"/>
      <x:c r="I26" s="31"/>
      <x:c r="J26" s="3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48">
      <x:c r="B48" s="41" t="str">
        <x:v>Coverage — failures counted as zero; N/A excluded</x:v>
      </x:c>
    </x:row>
    <x:row r="49" ht="32" customHeight="1">
      <x:c r="B49" s="31" t="str">
        <x:v>Buggy coverage: sum / (total − N/A). Latest FAIL counts as zero; measured buggy coverage remains when paired verdict is NOT_AVAILABLE.</x:v>
      </x:c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</x:row>
    <x:row r="51" ht="42" customHeight="1">
      <x:c r="B51" s="20" t="str">
        <x:v>Project</x:v>
      </x:c>
      <x:c r="C51" s="20" t="str">
        <x:v>Round</x:v>
      </x:c>
      <x:c r="D51" s="20" t="str">
        <x:v>Metric</x:v>
      </x:c>
      <x:c r="E51" s="20" t="str">
        <x:v>Total</x:v>
      </x:c>
      <x:c r="F51" s="20" t="str">
        <x:v>Numeric</x:v>
      </x:c>
      <x:c r="G51" s="20" t="str">
        <x:v>A: failure</x:v>
      </x:c>
      <x:c r="H51" s="20" t="str">
        <x:v>B: N/A</x:v>
      </x:c>
      <x:c r="I51" s="20" t="str">
        <x:v>Unresolved</x:v>
      </x:c>
      <x:c r="J51" s="20" t="str">
        <x:v>Recorded only</x:v>
      </x:c>
      <x:c r="K51" s="20" t="str">
        <x:v>All applicable</x:v>
      </x:c>
      <x:c r="L51" s="20" t="str">
        <x:v>Runnable</x:v>
      </x:c>
      <x:c r="M51" s="20" t="str">
        <x:v>n all (total − B)</x:v>
      </x:c>
    </x:row>
    <x:row r="52" ht="23" customHeight="1">
      <x:c r="B52" s="17" t="str">
        <x:f>'Coverage'!B7</x:f>
        <x:v>All projects</x:v>
      </x:c>
      <x:c r="C52" s="17" t="str">
        <x:f>'Coverage'!C7</x:f>
        <x:v>All rounds</x:v>
      </x:c>
      <x:c r="D52" s="17" t="str">
        <x:f>'Coverage'!D7</x:f>
        <x:v>Line</x:v>
      </x:c>
      <x:c r="E52" s="40" t="n">
        <x:f>'Coverage'!E7</x:f>
        <x:v>1708</x:v>
      </x:c>
      <x:c r="F52" s="40" t="n">
        <x:f>'Coverage'!F7</x:f>
        <x:v>625</x:v>
      </x:c>
      <x:c r="G52" s="40" t="n">
        <x:f>'Coverage'!G7</x:f>
        <x:v>1083</x:v>
      </x:c>
      <x:c r="H52" s="40" t="n">
        <x:f>'Coverage'!H7</x:f>
        <x:v>0</x:v>
      </x:c>
      <x:c r="I52" s="40" t="n">
        <x:f>'Coverage'!I7</x:f>
        <x:v>0</x:v>
      </x:c>
      <x:c r="J52" s="32" t="n">
        <x:f>'Coverage'!J7</x:f>
        <x:v>0.7218392000000005</x:v>
      </x:c>
      <x:c r="K52" s="32" t="n">
        <x:f>'Coverage'!K7</x:f>
        <x:v>0.26413905152224837</x:v>
      </x:c>
      <x:c r="L52" s="32" t="n">
        <x:f>'Coverage'!L7</x:f>
        <x:v>0.3659250585480094</x:v>
      </x:c>
      <x:c r="M52" s="40" t="n">
        <x:f>'Coverage'!M7</x:f>
        <x:v>1708</x:v>
      </x:c>
    </x:row>
    <x:row r="53" ht="23" customHeight="1">
      <x:c r="B53" s="17" t="str">
        <x:f>'Coverage'!B8</x:f>
        <x:v>All projects</x:v>
      </x:c>
      <x:c r="C53" s="17" t="str">
        <x:f>'Coverage'!C8</x:f>
        <x:v>All rounds</x:v>
      </x:c>
      <x:c r="D53" s="17" t="str">
        <x:f>'Coverage'!D8</x:f>
        <x:v>Condition</x:v>
      </x:c>
      <x:c r="E53" s="40" t="n">
        <x:f>'Coverage'!E8</x:f>
        <x:v>1708</x:v>
      </x:c>
      <x:c r="F53" s="40" t="n">
        <x:f>'Coverage'!F8</x:f>
        <x:v>616</x:v>
      </x:c>
      <x:c r="G53" s="40" t="n">
        <x:f>'Coverage'!G8</x:f>
        <x:v>1083</x:v>
      </x:c>
      <x:c r="H53" s="40" t="n">
        <x:f>'Coverage'!H8</x:f>
        <x:v>9</x:v>
      </x:c>
      <x:c r="I53" s="40" t="n">
        <x:f>'Coverage'!I8</x:f>
        <x:v>0</x:v>
      </x:c>
      <x:c r="J53" s="32" t="n">
        <x:f>'Coverage'!J8</x:f>
        <x:v>0.6421681818181821</x:v>
      </x:c>
      <x:c r="K53" s="32" t="n">
        <x:f>'Coverage'!K8</x:f>
        <x:v>0.23282848734549744</x:v>
      </x:c>
      <x:c r="L53" s="32" t="n">
        <x:f>'Coverage'!L8</x:f>
        <x:v>0.3659250585480094</x:v>
      </x:c>
      <x:c r="M53" s="40" t="n">
        <x:f>'Coverage'!M8</x:f>
        <x:v>1699</x:v>
      </x:c>
    </x:row>
    <x:row r="54" ht="23" customHeight="1">
      <x:c r="B54" s="17" t="str">
        <x:f>'Coverage'!B9</x:f>
        <x:v>All projects</x:v>
      </x:c>
      <x:c r="C54" s="17" t="str">
        <x:f>'Coverage'!C9</x:f>
        <x:v>Round1</x:v>
      </x:c>
      <x:c r="D54" s="17" t="str">
        <x:f>'Coverage'!D9</x:f>
        <x:v>Line</x:v>
      </x:c>
      <x:c r="E54" s="40" t="n">
        <x:f>'Coverage'!E9</x:f>
        <x:v>854</x:v>
      </x:c>
      <x:c r="F54" s="40" t="n">
        <x:f>'Coverage'!F9</x:f>
        <x:v>216</x:v>
      </x:c>
      <x:c r="G54" s="40" t="n">
        <x:f>'Coverage'!G9</x:f>
        <x:v>638</x:v>
      </x:c>
      <x:c r="H54" s="40" t="n">
        <x:f>'Coverage'!H9</x:f>
        <x:v>0</x:v>
      </x:c>
      <x:c r="I54" s="40" t="n">
        <x:f>'Coverage'!I9</x:f>
        <x:v>0</x:v>
      </x:c>
      <x:c r="J54" s="32" t="n">
        <x:f>'Coverage'!J9</x:f>
        <x:v>0.7394115740740738</x:v>
      </x:c>
      <x:c r="K54" s="32" t="n">
        <x:f>'Coverage'!K9</x:f>
        <x:v>0.18701744730679148</x:v>
      </x:c>
      <x:c r="L54" s="32" t="n">
        <x:f>'Coverage'!L9</x:f>
        <x:v>0.2529274004683841</x:v>
      </x:c>
      <x:c r="M54" s="40" t="n">
        <x:f>'Coverage'!M9</x:f>
        <x:v>854</x:v>
      </x:c>
    </x:row>
    <x:row r="55" ht="23" customHeight="1">
      <x:c r="B55" s="17" t="str">
        <x:f>'Coverage'!B10</x:f>
        <x:v>All projects</x:v>
      </x:c>
      <x:c r="C55" s="17" t="str">
        <x:f>'Coverage'!C10</x:f>
        <x:v>Round1</x:v>
      </x:c>
      <x:c r="D55" s="17" t="str">
        <x:f>'Coverage'!D10</x:f>
        <x:v>Condition</x:v>
      </x:c>
      <x:c r="E55" s="40" t="n">
        <x:f>'Coverage'!E10</x:f>
        <x:v>854</x:v>
      </x:c>
      <x:c r="F55" s="40" t="n">
        <x:f>'Coverage'!F10</x:f>
        <x:v>212</x:v>
      </x:c>
      <x:c r="G55" s="40" t="n">
        <x:f>'Coverage'!G10</x:f>
        <x:v>638</x:v>
      </x:c>
      <x:c r="H55" s="40" t="n">
        <x:f>'Coverage'!H10</x:f>
        <x:v>4</x:v>
      </x:c>
      <x:c r="I55" s="40" t="n">
        <x:f>'Coverage'!I10</x:f>
        <x:v>0</x:v>
      </x:c>
      <x:c r="J55" s="32" t="n">
        <x:f>'Coverage'!J10</x:f>
        <x:v>0.6608867924528302</x:v>
      </x:c>
      <x:c r="K55" s="32" t="n">
        <x:f>'Coverage'!K10</x:f>
        <x:v>0.1648329411764706</x:v>
      </x:c>
      <x:c r="L55" s="32" t="n">
        <x:f>'Coverage'!L10</x:f>
        <x:v>0.2529274004683841</x:v>
      </x:c>
      <x:c r="M55" s="40" t="n">
        <x:f>'Coverage'!M10</x:f>
        <x:v>850</x:v>
      </x:c>
    </x:row>
    <x:row r="56" ht="23" customHeight="1">
      <x:c r="B56" s="17" t="str">
        <x:f>'Coverage'!B11</x:f>
        <x:v>All projects</x:v>
      </x:c>
      <x:c r="C56" s="17" t="str">
        <x:f>'Coverage'!C11</x:f>
        <x:v>Round2</x:v>
      </x:c>
      <x:c r="D56" s="17" t="str">
        <x:f>'Coverage'!D11</x:f>
        <x:v>Line</x:v>
      </x:c>
      <x:c r="E56" s="40" t="n">
        <x:f>'Coverage'!E11</x:f>
        <x:v>854</x:v>
      </x:c>
      <x:c r="F56" s="40" t="n">
        <x:f>'Coverage'!F11</x:f>
        <x:v>409</x:v>
      </x:c>
      <x:c r="G56" s="40" t="n">
        <x:f>'Coverage'!G11</x:f>
        <x:v>445</x:v>
      </x:c>
      <x:c r="H56" s="40" t="n">
        <x:f>'Coverage'!H11</x:f>
        <x:v>0</x:v>
      </x:c>
      <x:c r="I56" s="40" t="n">
        <x:f>'Coverage'!I11</x:f>
        <x:v>0</x:v>
      </x:c>
      <x:c r="J56" s="32" t="n">
        <x:f>'Coverage'!J11</x:f>
        <x:v>0.7125589242053788</x:v>
      </x:c>
      <x:c r="K56" s="32" t="n">
        <x:f>'Coverage'!K11</x:f>
        <x:v>0.3412606557377048</x:v>
      </x:c>
      <x:c r="L56" s="32" t="n">
        <x:f>'Coverage'!L11</x:f>
        <x:v>0.47892271662763464</x:v>
      </x:c>
      <x:c r="M56" s="40" t="n">
        <x:f>'Coverage'!M11</x:f>
        <x:v>854</x:v>
      </x:c>
    </x:row>
    <x:row r="57" ht="23" customHeight="1">
      <x:c r="B57" s="17" t="str">
        <x:f>'Coverage'!B12</x:f>
        <x:v>All projects</x:v>
      </x:c>
      <x:c r="C57" s="17" t="str">
        <x:f>'Coverage'!C12</x:f>
        <x:v>Round2</x:v>
      </x:c>
      <x:c r="D57" s="17" t="str">
        <x:f>'Coverage'!D12</x:f>
        <x:v>Condition</x:v>
      </x:c>
      <x:c r="E57" s="40" t="n">
        <x:f>'Coverage'!E12</x:f>
        <x:v>854</x:v>
      </x:c>
      <x:c r="F57" s="40" t="n">
        <x:f>'Coverage'!F12</x:f>
        <x:v>404</x:v>
      </x:c>
      <x:c r="G57" s="40" t="n">
        <x:f>'Coverage'!G12</x:f>
        <x:v>445</x:v>
      </x:c>
      <x:c r="H57" s="40" t="n">
        <x:f>'Coverage'!H12</x:f>
        <x:v>5</x:v>
      </x:c>
      <x:c r="I57" s="40" t="n">
        <x:f>'Coverage'!I12</x:f>
        <x:v>0</x:v>
      </x:c>
      <x:c r="J57" s="32" t="n">
        <x:f>'Coverage'!J12</x:f>
        <x:v>0.6323455445544557</x:v>
      </x:c>
      <x:c r="K57" s="32" t="n">
        <x:f>'Coverage'!K12</x:f>
        <x:v>0.30090412249705545</x:v>
      </x:c>
      <x:c r="L57" s="32" t="n">
        <x:f>'Coverage'!L12</x:f>
        <x:v>0.47892271662763464</x:v>
      </x:c>
      <x:c r="M57" s="40" t="n">
        <x:f>'Coverage'!M12</x:f>
        <x:v>849</x:v>
      </x:c>
    </x:row>
  </x:sheetData>
  <x:mergeCells>
    <x:mergeCell ref="B2:E2"/>
    <x:mergeCell ref="B3:E3"/>
    <x:mergeCell ref="B24:E24"/>
    <x:mergeCell ref="B25:E25"/>
    <x:mergeCell ref="B26:J26"/>
    <x:mergeCell ref="B48:L48"/>
    <x:mergeCell ref="B49:L49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str">
        <x:v>lines_total</x:v>
      </x:c>
      <x:c r="K1" s="15" t="str">
        <x:v>lines_covered</x:v>
      </x:c>
      <x:c r="L1" s="15" t="str">
        <x:v>conditions_total</x:v>
      </x:c>
      <x:c r="M1" s="15" t="str">
        <x:v>conditions_covered</x:v>
      </x:c>
      <x:c r="N1" s="15" t="str">
        <x:v>condition_coverage</x:v>
      </x:c>
    </x:row>
    <x:row r="2" ht="24" customHeight="1">
      <x:c r="A2" s="1" t="str">
        <x:v>RESULT</x:v>
      </x:c>
      <x:c r="B2" s="1" t="str">
        <x:v>Round1</x:v>
      </x:c>
      <x:c r="C2" s="1" t="str">
        <x:v>Chart_1</x:v>
      </x:c>
      <x:c r="D2" s="1" t="str">
        <x:v>NOT_AVAILABLE</x:v>
      </x:c>
      <x:c r="E2" s="5"/>
      <x:c r="F2" s="4" t="n">
        <x:v>0</x:v>
      </x:c>
      <x:c r="G2" s="4" t="n">
        <x:v>15522</x:v>
      </x:c>
      <x:c r="H2" s="6" t="n">
        <x:v>249.98</x:v>
      </x:c>
      <x:c r="I2" s="16" t="n">
        <x:v>1</x:v>
      </x:c>
      <x:c r="J2"/>
      <x:c r="K2" s="4"/>
      <x:c r="L2" s="4"/>
      <x:c r="M2" s="4"/>
      <x:c r="N2" s="5"/>
    </x:row>
    <x:row r="3" ht="24" customHeight="1">
      <x:c r="A3" s="1" t="str">
        <x:v>RESULT</x:v>
      </x:c>
      <x:c r="B3" s="1" t="str">
        <x:v>Round1</x:v>
      </x:c>
      <x:c r="C3" s="1" t="str">
        <x:v>Chart_10</x:v>
      </x:c>
      <x:c r="D3" s="1" t="str">
        <x:v>INCONCLUSIVE</x:v>
      </x:c>
      <x:c r="E3" s="5" t="n">
        <x:v>1</x:v>
      </x:c>
      <x:c r="F3" s="4" t="n">
        <x:v>0</x:v>
      </x:c>
      <x:c r="G3" s="4" t="n">
        <x:v>2374</x:v>
      </x:c>
      <x:c r="H3" s="6" t="n">
        <x:v>26.61</x:v>
      </x:c>
      <x:c r="I3" s="16" t="n">
        <x:v>1</x:v>
      </x:c>
      <x:c r="J3" t="n">
        <x:v>3</x:v>
      </x:c>
      <x:c r="K3" s="4" t="n">
        <x:v>3</x:v>
      </x:c>
      <x:c r="L3" s="4" t="n">
        <x:v>0</x:v>
      </x:c>
      <x:c r="M3" s="4" t="n">
        <x:v>0</x:v>
      </x:c>
      <x:c r="N3" s="5"/>
    </x:row>
    <x:row r="4" ht="24" customHeight="1">
      <x:c r="A4" s="1" t="str">
        <x:v>RESULT</x:v>
      </x:c>
      <x:c r="B4" s="1" t="str">
        <x:v>Round1</x:v>
      </x:c>
      <x:c r="C4" s="1" t="str">
        <x:v>Chart_11</x:v>
      </x:c>
      <x:c r="D4" s="1" t="str">
        <x:v>NOT_AVAILABLE</x:v>
      </x:c>
      <x:c r="E4" s="5"/>
      <x:c r="F4" s="4" t="n">
        <x:v>0</x:v>
      </x:c>
      <x:c r="G4" s="4" t="n">
        <x:v>10677</x:v>
      </x:c>
      <x:c r="H4" s="6" t="n">
        <x:v>178.43</x:v>
      </x:c>
      <x:c r="I4" s="16" t="n">
        <x:v>1</x:v>
      </x:c>
      <x:c r="J4"/>
      <x:c r="K4" s="4"/>
      <x:c r="L4" s="4"/>
      <x:c r="M4" s="4"/>
      <x:c r="N4" s="5"/>
    </x:row>
    <x:row r="5" ht="24" customHeight="1">
      <x:c r="A5" s="1" t="str">
        <x:v>RESULT</x:v>
      </x:c>
      <x:c r="B5" s="1" t="str">
        <x:v>Round1</x:v>
      </x:c>
      <x:c r="C5" s="1" t="str">
        <x:v>Chart_12</x:v>
      </x:c>
      <x:c r="D5" s="1" t="str">
        <x:v>NOT_AVAILABLE</x:v>
      </x:c>
      <x:c r="E5" s="5"/>
      <x:c r="F5" s="4" t="n">
        <x:v>0</x:v>
      </x:c>
      <x:c r="G5" s="4" t="n">
        <x:v>8066</x:v>
      </x:c>
      <x:c r="H5" s="6" t="n">
        <x:v>86.91</x:v>
      </x:c>
      <x:c r="I5" s="16" t="n">
        <x:v>1</x:v>
      </x:c>
      <x:c r="J5"/>
      <x:c r="K5" s="4"/>
      <x:c r="L5" s="4"/>
      <x:c r="M5" s="4"/>
      <x:c r="N5" s="5"/>
    </x:row>
    <x:row r="6" ht="24" customHeight="1">
      <x:c r="A6" s="1" t="str">
        <x:v>RESULT</x:v>
      </x:c>
      <x:c r="B6" s="1" t="str">
        <x:v>Round1</x:v>
      </x:c>
      <x:c r="C6" s="1" t="str">
        <x:v>Chart_13</x:v>
      </x:c>
      <x:c r="D6" s="1" t="str">
        <x:v>NOT_AVAILABLE</x:v>
      </x:c>
      <x:c r="E6" s="5"/>
      <x:c r="F6" s="4" t="n">
        <x:v>0</x:v>
      </x:c>
      <x:c r="G6" s="4" t="n">
        <x:v>8701</x:v>
      </x:c>
      <x:c r="H6" s="6" t="n">
        <x:v>108.86</x:v>
      </x:c>
      <x:c r="I6" s="16" t="n">
        <x:v>1</x:v>
      </x:c>
      <x:c r="J6"/>
      <x:c r="K6" s="4"/>
      <x:c r="L6" s="4"/>
      <x:c r="M6" s="4"/>
      <x:c r="N6" s="5"/>
    </x:row>
    <x:row r="7" ht="24" customHeight="1">
      <x:c r="A7" s="1" t="str">
        <x:v>RESULT</x:v>
      </x:c>
      <x:c r="B7" s="1" t="str">
        <x:v>Round1</x:v>
      </x:c>
      <x:c r="C7" s="1" t="str">
        <x:v>Chart_14</x:v>
      </x:c>
      <x:c r="D7" s="1" t="str">
        <x:v>NOT_AVAILABLE</x:v>
      </x:c>
      <x:c r="E7" s="5"/>
      <x:c r="F7" s="4" t="n">
        <x:v>0</x:v>
      </x:c>
      <x:c r="G7" s="4" t="n">
        <x:v>45991</x:v>
      </x:c>
      <x:c r="H7" s="6" t="n">
        <x:v>253.65</x:v>
      </x:c>
      <x:c r="I7" s="16" t="n">
        <x:v>1</x:v>
      </x:c>
      <x:c r="J7"/>
      <x:c r="K7" s="4"/>
      <x:c r="L7" s="4"/>
      <x:c r="M7" s="4"/>
      <x:c r="N7" s="5"/>
    </x:row>
    <x:row r="8" ht="24" customHeight="1">
      <x:c r="A8" s="1" t="str">
        <x:v>RESULT</x:v>
      </x:c>
      <x:c r="B8" s="1" t="str">
        <x:v>Round1</x:v>
      </x:c>
      <x:c r="C8" s="1" t="str">
        <x:v>Chart_15</x:v>
      </x:c>
      <x:c r="D8" s="1" t="str">
        <x:v>INCONCLUSIVE</x:v>
      </x:c>
      <x:c r="E8" s="5" t="n">
        <x:v>0.3014</x:v>
      </x:c>
      <x:c r="F8" s="4" t="n">
        <x:v>0</x:v>
      </x:c>
      <x:c r="G8" s="4" t="n">
        <x:v>16238</x:v>
      </x:c>
      <x:c r="H8" s="6" t="n">
        <x:v>92.95</x:v>
      </x:c>
      <x:c r="I8" s="16" t="n">
        <x:v>1</x:v>
      </x:c>
      <x:c r="J8" t="n">
        <x:v>836</x:v>
      </x:c>
      <x:c r="K8" s="4" t="n">
        <x:v>252</x:v>
      </x:c>
      <x:c r="L8" s="4" t="n">
        <x:v>312</x:v>
      </x:c>
      <x:c r="M8" s="4" t="n">
        <x:v>82</x:v>
      </x:c>
      <x:c r="N8" s="5" t="n">
        <x:v>0.26280000000000003</x:v>
      </x:c>
    </x:row>
    <x:row r="9" ht="24" customHeight="1">
      <x:c r="A9" s="1" t="str">
        <x:v>RESULT</x:v>
      </x:c>
      <x:c r="B9" s="1" t="str">
        <x:v>Round1</x:v>
      </x:c>
      <x:c r="C9" s="1" t="str">
        <x:v>Chart_16</x:v>
      </x:c>
      <x:c r="D9" s="1" t="str">
        <x:v>NOT_AVAILABLE</x:v>
      </x:c>
      <x:c r="E9" s="5"/>
      <x:c r="F9" s="4" t="n">
        <x:v>0</x:v>
      </x:c>
      <x:c r="G9" s="4" t="n">
        <x:v>7946</x:v>
      </x:c>
      <x:c r="H9" s="6" t="n">
        <x:v>161.99</x:v>
      </x:c>
      <x:c r="I9" s="16" t="n">
        <x:v>1</x:v>
      </x:c>
      <x:c r="J9"/>
      <x:c r="K9" s="4"/>
      <x:c r="L9" s="4"/>
      <x:c r="M9" s="4"/>
      <x:c r="N9" s="5"/>
    </x:row>
    <x:row r="10" ht="24" customHeight="1">
      <x:c r="A10" s="1" t="str">
        <x:v>RESULT</x:v>
      </x:c>
      <x:c r="B10" s="1" t="str">
        <x:v>Round1</x:v>
      </x:c>
      <x:c r="C10" s="1" t="str">
        <x:v>Chart_17</x:v>
      </x:c>
      <x:c r="D10" s="1" t="str">
        <x:v>NOT_AVAILABLE</x:v>
      </x:c>
      <x:c r="E10" s="5"/>
      <x:c r="F10" s="4" t="n">
        <x:v>0</x:v>
      </x:c>
      <x:c r="G10" s="4" t="n">
        <x:v>7955</x:v>
      </x:c>
      <x:c r="H10" s="6" t="n">
        <x:v>128.23</x:v>
      </x:c>
      <x:c r="I10" s="16" t="n">
        <x:v>1</x:v>
      </x:c>
      <x:c r="J10"/>
      <x:c r="K10" s="4"/>
      <x:c r="L10" s="4"/>
      <x:c r="M10" s="4"/>
      <x:c r="N10" s="5"/>
    </x:row>
    <x:row r="11" ht="24" customHeight="1">
      <x:c r="A11" s="1" t="str">
        <x:v>RESULT</x:v>
      </x:c>
      <x:c r="B11" s="1" t="str">
        <x:v>Round1</x:v>
      </x:c>
      <x:c r="C11" s="1" t="str">
        <x:v>Chart_18</x:v>
      </x:c>
      <x:c r="D11" s="1" t="str">
        <x:v>INCONCLUSIVE</x:v>
      </x:c>
      <x:c r="E11" s="5" t="n">
        <x:v>0.9586</x:v>
      </x:c>
      <x:c r="F11" s="4" t="n">
        <x:v>0</x:v>
      </x:c>
      <x:c r="G11" s="4" t="n">
        <x:v>15388</x:v>
      </x:c>
      <x:c r="H11" s="6" t="n">
        <x:v>208.68</x:v>
      </x:c>
      <x:c r="I11" s="16" t="n">
        <x:v>1</x:v>
      </x:c>
      <x:c r="J11" t="n">
        <x:v>266</x:v>
      </x:c>
      <x:c r="K11" s="4" t="n">
        <x:v>255</x:v>
      </x:c>
      <x:c r="L11" s="4" t="n">
        <x:v>122</x:v>
      </x:c>
      <x:c r="M11" s="4" t="n">
        <x:v>102</x:v>
      </x:c>
      <x:c r="N11" s="5" t="n">
        <x:v>0.8361</x:v>
      </x:c>
    </x:row>
    <x:row r="12" ht="24" customHeight="1">
      <x:c r="A12" s="1" t="str">
        <x:v>RESULT</x:v>
      </x:c>
      <x:c r="B12" s="1" t="str">
        <x:v>Round1</x:v>
      </x:c>
      <x:c r="C12" s="1" t="str">
        <x:v>Chart_19</x:v>
      </x:c>
      <x:c r="D12" s="1" t="str">
        <x:v>NOT_AVAILABLE</x:v>
      </x:c>
      <x:c r="E12" s="5"/>
      <x:c r="F12" s="4" t="n">
        <x:v>0</x:v>
      </x:c>
      <x:c r="G12" s="4" t="n">
        <x:v>21939</x:v>
      </x:c>
      <x:c r="H12" s="6" t="n">
        <x:v>200.93</x:v>
      </x:c>
      <x:c r="I12" s="16" t="n">
        <x:v>1</x:v>
      </x:c>
      <x:c r="J12"/>
      <x:c r="K12" s="4"/>
      <x:c r="L12" s="4"/>
      <x:c r="M12" s="4"/>
      <x:c r="N12" s="5"/>
    </x:row>
    <x:row r="13" ht="24" customHeight="1">
      <x:c r="A13" s="1" t="str">
        <x:v>RESULT</x:v>
      </x:c>
      <x:c r="B13" s="1" t="str">
        <x:v>Round1</x:v>
      </x:c>
      <x:c r="C13" s="1" t="str">
        <x:v>Chart_2</x:v>
      </x:c>
      <x:c r="D13" s="1" t="str">
        <x:v>NOT_AVAILABLE</x:v>
      </x:c>
      <x:c r="E13" s="5"/>
      <x:c r="F13" s="4" t="n">
        <x:v>0</x:v>
      </x:c>
      <x:c r="G13" s="4" t="n">
        <x:v>20930</x:v>
      </x:c>
      <x:c r="H13" s="6" t="n">
        <x:v>368.24</x:v>
      </x:c>
      <x:c r="I13" s="16" t="n">
        <x:v>1</x:v>
      </x:c>
      <x:c r="J13"/>
      <x:c r="K13" s="4"/>
      <x:c r="L13" s="4"/>
      <x:c r="M13" s="4"/>
      <x:c r="N13" s="5"/>
    </x:row>
    <x:row r="14" ht="24" customHeight="1">
      <x:c r="A14" s="1" t="str">
        <x:v>RESULT</x:v>
      </x:c>
      <x:c r="B14" s="1" t="str">
        <x:v>Round1</x:v>
      </x:c>
      <x:c r="C14" s="1" t="str">
        <x:v>Chart_20</x:v>
      </x:c>
      <x:c r="D14" s="1" t="str">
        <x:v>NOT_AVAILABLE</x:v>
      </x:c>
      <x:c r="E14" s="5"/>
      <x:c r="F14" s="4" t="n">
        <x:v>0</x:v>
      </x:c>
      <x:c r="G14" s="4" t="n">
        <x:v>3506</x:v>
      </x:c>
      <x:c r="H14" s="6" t="n">
        <x:v>50.93</x:v>
      </x:c>
      <x:c r="I14" s="16" t="n">
        <x:v>1</x:v>
      </x:c>
      <x:c r="J14"/>
      <x:c r="K14" s="4"/>
      <x:c r="L14" s="4"/>
      <x:c r="M14" s="4"/>
      <x:c r="N14" s="5"/>
    </x:row>
    <x:row r="15" ht="24" customHeight="1">
      <x:c r="A15" s="1" t="str">
        <x:v>RESULT</x:v>
      </x:c>
      <x:c r="B15" s="1" t="str">
        <x:v>Round1</x:v>
      </x:c>
      <x:c r="C15" s="1" t="str">
        <x:v>Chart_21</x:v>
      </x:c>
      <x:c r="D15" s="1" t="str">
        <x:v>INCONCLUSIVE</x:v>
      </x:c>
      <x:c r="E15" s="5" t="n">
        <x:v>0.5589999999999999</x:v>
      </x:c>
      <x:c r="F15" s="4" t="n">
        <x:v>0</x:v>
      </x:c>
      <x:c r="G15" s="4" t="n">
        <x:v>9500</x:v>
      </x:c>
      <x:c r="H15" s="6" t="n">
        <x:v>111.53</x:v>
      </x:c>
      <x:c r="I15" s="16" t="n">
        <x:v>1</x:v>
      </x:c>
      <x:c r="J15" t="n">
        <x:v>161</x:v>
      </x:c>
      <x:c r="K15" s="4" t="n">
        <x:v>90</x:v>
      </x:c>
      <x:c r="L15" s="4" t="n">
        <x:v>60</x:v>
      </x:c>
      <x:c r="M15" s="4" t="n">
        <x:v>24</x:v>
      </x:c>
      <x:c r="N15" s="5" t="n">
        <x:v>0.4</x:v>
      </x:c>
    </x:row>
    <x:row r="16" ht="24" customHeight="1">
      <x:c r="A16" s="1" t="str">
        <x:v>RESULT</x:v>
      </x:c>
      <x:c r="B16" s="1" t="str">
        <x:v>Round1</x:v>
      </x:c>
      <x:c r="C16" s="1" t="str">
        <x:v>Chart_22</x:v>
      </x:c>
      <x:c r="D16" s="1" t="str">
        <x:v>INCONCLUSIVE</x:v>
      </x:c>
      <x:c r="E16" s="5" t="n">
        <x:v>0.9274</x:v>
      </x:c>
      <x:c r="F16" s="4" t="n">
        <x:v>0</x:v>
      </x:c>
      <x:c r="G16" s="4" t="n">
        <x:v>7245</x:v>
      </x:c>
      <x:c r="H16" s="6" t="n">
        <x:v>108.73</x:v>
      </x:c>
      <x:c r="I16" s="16" t="n">
        <x:v>1</x:v>
      </x:c>
      <x:c r="J16" t="n">
        <x:v>124</x:v>
      </x:c>
      <x:c r="K16" s="4" t="n">
        <x:v>115</x:v>
      </x:c>
      <x:c r="L16" s="4" t="n">
        <x:v>58</x:v>
      </x:c>
      <x:c r="M16" s="4" t="n">
        <x:v>47</x:v>
      </x:c>
      <x:c r="N16" s="5" t="n">
        <x:v>0.8103</x:v>
      </x:c>
    </x:row>
    <x:row r="17" ht="24" customHeight="1">
      <x:c r="A17" s="1" t="str">
        <x:v>RESULT</x:v>
      </x:c>
      <x:c r="B17" s="1" t="str">
        <x:v>Round1</x:v>
      </x:c>
      <x:c r="C17" s="1" t="str">
        <x:v>Chart_23</x:v>
      </x:c>
      <x:c r="D17" s="1" t="str">
        <x:v>NOT_AVAILABLE</x:v>
      </x:c>
      <x:c r="E17" s="5"/>
      <x:c r="F17" s="4" t="n">
        <x:v>0</x:v>
      </x:c>
      <x:c r="G17" s="4" t="n">
        <x:v>7463</x:v>
      </x:c>
      <x:c r="H17" s="6" t="n">
        <x:v>75.13</x:v>
      </x:c>
      <x:c r="I17" s="16" t="n">
        <x:v>1</x:v>
      </x:c>
      <x:c r="J17"/>
      <x:c r="K17" s="4"/>
      <x:c r="L17" s="4"/>
      <x:c r="M17" s="4"/>
      <x:c r="N17" s="5"/>
    </x:row>
    <x:row r="18" ht="24" customHeight="1">
      <x:c r="A18" s="1" t="str">
        <x:v>RESULT</x:v>
      </x:c>
      <x:c r="B18" s="1" t="str">
        <x:v>Round1</x:v>
      </x:c>
      <x:c r="C18" s="1" t="str">
        <x:v>Chart_24</x:v>
      </x:c>
      <x:c r="D18" s="1" t="str">
        <x:v>INCONCLUSIVE</x:v>
      </x:c>
      <x:c r="E18" s="5" t="n">
        <x:v>1</x:v>
      </x:c>
      <x:c r="F18" s="4" t="n">
        <x:v>0</x:v>
      </x:c>
      <x:c r="G18" s="4" t="n">
        <x:v>3453</x:v>
      </x:c>
      <x:c r="H18" s="6" t="n">
        <x:v>39.42</x:v>
      </x:c>
      <x:c r="I18" s="16" t="n">
        <x:v>1</x:v>
      </x:c>
      <x:c r="J18" t="n">
        <x:v>25</x:v>
      </x:c>
      <x:c r="K18" s="4" t="n">
        <x:v>25</x:v>
      </x:c>
      <x:c r="L18" s="4" t="n">
        <x:v>10</x:v>
      </x:c>
      <x:c r="M18" s="4" t="n">
        <x:v>10</x:v>
      </x:c>
      <x:c r="N18" s="5" t="n">
        <x:v>1</x:v>
      </x:c>
    </x:row>
    <x:row r="19" ht="24" customHeight="1">
      <x:c r="A19" s="1" t="str">
        <x:v>RESULT</x:v>
      </x:c>
      <x:c r="B19" s="1" t="str">
        <x:v>Round1</x:v>
      </x:c>
      <x:c r="C19" s="1" t="str">
        <x:v>Chart_25</x:v>
      </x:c>
      <x:c r="D19" s="1" t="str">
        <x:v>NOT_AVAILABLE</x:v>
      </x:c>
      <x:c r="E19" s="5"/>
      <x:c r="F19" s="4" t="n">
        <x:v>0</x:v>
      </x:c>
      <x:c r="G19" s="4" t="n">
        <x:v>8284</x:v>
      </x:c>
      <x:c r="H19" s="6" t="n">
        <x:v>98.58</x:v>
      </x:c>
      <x:c r="I19" s="16" t="n">
        <x:v>1</x:v>
      </x:c>
      <x:c r="J19"/>
      <x:c r="K19" s="4"/>
      <x:c r="L19" s="4"/>
      <x:c r="M19" s="4"/>
      <x:c r="N19" s="5"/>
    </x:row>
    <x:row r="20" ht="24" customHeight="1">
      <x:c r="A20" s="1" t="str">
        <x:v>RESULT</x:v>
      </x:c>
      <x:c r="B20" s="1" t="str">
        <x:v>Round1</x:v>
      </x:c>
      <x:c r="C20" s="1" t="str">
        <x:v>Chart_26</x:v>
      </x:c>
      <x:c r="D20" s="1" t="str">
        <x:v>NOT_AVAILABLE</x:v>
      </x:c>
      <x:c r="E20" s="5"/>
      <x:c r="F20" s="4" t="n">
        <x:v>0</x:v>
      </x:c>
      <x:c r="G20" s="4" t="n">
        <x:v>9020</x:v>
      </x:c>
      <x:c r="H20" s="6" t="n">
        <x:v>99.84</x:v>
      </x:c>
      <x:c r="I20" s="16" t="n">
        <x:v>1</x:v>
      </x:c>
      <x:c r="J20"/>
      <x:c r="K20" s="4"/>
      <x:c r="L20" s="4"/>
      <x:c r="M20" s="4"/>
      <x:c r="N20" s="5"/>
    </x:row>
    <x:row r="21" ht="24" customHeight="1">
      <x:c r="A21" s="1" t="str">
        <x:v>RESULT</x:v>
      </x:c>
      <x:c r="B21" s="1" t="str">
        <x:v>Round1</x:v>
      </x:c>
      <x:c r="C21" s="1" t="str">
        <x:v>Chart_3</x:v>
      </x:c>
      <x:c r="D21" s="1" t="str">
        <x:v>NOT_AVAILABLE</x:v>
      </x:c>
      <x:c r="E21" s="5"/>
      <x:c r="F21" s="4" t="n">
        <x:v>0</x:v>
      </x:c>
      <x:c r="G21" s="4" t="n">
        <x:v>10469</x:v>
      </x:c>
      <x:c r="H21" s="6" t="n">
        <x:v>185.53</x:v>
      </x:c>
      <x:c r="I21" s="16" t="n">
        <x:v>1</x:v>
      </x:c>
      <x:c r="J21"/>
      <x:c r="K21" s="4"/>
      <x:c r="L21" s="4"/>
      <x:c r="M21" s="4"/>
      <x:c r="N21" s="5"/>
    </x:row>
    <x:row r="22" ht="24" customHeight="1">
      <x:c r="A22" s="1" t="str">
        <x:v>RESULT</x:v>
      </x:c>
      <x:c r="B22" s="1" t="str">
        <x:v>Round1</x:v>
      </x:c>
      <x:c r="C22" s="1" t="str">
        <x:v>Chart_4</x:v>
      </x:c>
      <x:c r="D22" s="1" t="str">
        <x:v>NOT_AVAILABLE</x:v>
      </x:c>
      <x:c r="E22" s="5"/>
      <x:c r="F22" s="4" t="n">
        <x:v>0</x:v>
      </x:c>
      <x:c r="G22" s="4" t="n">
        <x:v>29362</x:v>
      </x:c>
      <x:c r="H22" s="6" t="n">
        <x:v>140.55</x:v>
      </x:c>
      <x:c r="I22" s="16" t="n">
        <x:v>1</x:v>
      </x:c>
      <x:c r="J22"/>
      <x:c r="K22" s="4"/>
      <x:c r="L22" s="4"/>
      <x:c r="M22" s="4"/>
      <x:c r="N22" s="5"/>
    </x:row>
    <x:row r="23" ht="24" customHeight="1">
      <x:c r="A23" s="1" t="str">
        <x:v>RESULT</x:v>
      </x:c>
      <x:c r="B23" s="1" t="str">
        <x:v>Round1</x:v>
      </x:c>
      <x:c r="C23" s="1" t="str">
        <x:v>Chart_5</x:v>
      </x:c>
      <x:c r="D23" s="1" t="str">
        <x:v>NOT_AVAILABLE</x:v>
      </x:c>
      <x:c r="E23" s="5"/>
      <x:c r="F23" s="4" t="n">
        <x:v>0</x:v>
      </x:c>
      <x:c r="G23" s="4" t="n">
        <x:v>10276</x:v>
      </x:c>
      <x:c r="H23" s="6" t="n">
        <x:v>129.75</x:v>
      </x:c>
      <x:c r="I23" s="16" t="n">
        <x:v>1</x:v>
      </x:c>
      <x:c r="J23"/>
      <x:c r="K23" s="4"/>
      <x:c r="L23" s="4"/>
      <x:c r="M23" s="4"/>
      <x:c r="N23" s="5"/>
    </x:row>
    <x:row r="24" ht="24" customHeight="1">
      <x:c r="A24" s="1" t="str">
        <x:v>RESULT</x:v>
      </x:c>
      <x:c r="B24" s="1" t="str">
        <x:v>Round1</x:v>
      </x:c>
      <x:c r="C24" s="1" t="str">
        <x:v>Chart_6</x:v>
      </x:c>
      <x:c r="D24" s="1" t="str">
        <x:v>NOT_AVAILABLE</x:v>
      </x:c>
      <x:c r="E24" s="5"/>
      <x:c r="F24" s="4" t="n">
        <x:v>0</x:v>
      </x:c>
      <x:c r="G24" s="4" t="n">
        <x:v>5073</x:v>
      </x:c>
      <x:c r="H24" s="6" t="n">
        <x:v>113.44</x:v>
      </x:c>
      <x:c r="I24" s="16" t="n">
        <x:v>1</x:v>
      </x:c>
      <x:c r="J24"/>
      <x:c r="K24" s="4"/>
      <x:c r="L24" s="4"/>
      <x:c r="M24" s="4"/>
      <x:c r="N24" s="5"/>
    </x:row>
    <x:row r="25" ht="24" customHeight="1">
      <x:c r="A25" s="1" t="str">
        <x:v>RESULT</x:v>
      </x:c>
      <x:c r="B25" s="1" t="str">
        <x:v>Round1</x:v>
      </x:c>
      <x:c r="C25" s="1" t="str">
        <x:v>Chart_7</x:v>
      </x:c>
      <x:c r="D25" s="1" t="str">
        <x:v>NOT_AVAILABLE</x:v>
      </x:c>
      <x:c r="E25" s="5"/>
      <x:c r="F25" s="4" t="n">
        <x:v>0</x:v>
      </x:c>
      <x:c r="G25" s="4" t="n">
        <x:v>9589</x:v>
      </x:c>
      <x:c r="H25" s="6" t="n">
        <x:v>169.14</x:v>
      </x:c>
      <x:c r="I25" s="16" t="n">
        <x:v>1</x:v>
      </x:c>
      <x:c r="J25"/>
      <x:c r="K25" s="4"/>
      <x:c r="L25" s="4"/>
      <x:c r="M25" s="4"/>
      <x:c r="N25" s="5"/>
    </x:row>
    <x:row r="26" ht="24" customHeight="1">
      <x:c r="A26" s="1" t="str">
        <x:v>RESULT</x:v>
      </x:c>
      <x:c r="B26" s="1" t="str">
        <x:v>Round1</x:v>
      </x:c>
      <x:c r="C26" s="1" t="str">
        <x:v>Chart_8</x:v>
      </x:c>
      <x:c r="D26" s="1" t="str">
        <x:v>INCONCLUSIVE</x:v>
      </x:c>
      <x:c r="E26" s="5" t="n">
        <x:v>0.7345999999999999</x:v>
      </x:c>
      <x:c r="F26" s="4" t="n">
        <x:v>0</x:v>
      </x:c>
      <x:c r="G26" s="4" t="n">
        <x:v>7907</x:v>
      </x:c>
      <x:c r="H26" s="6" t="n">
        <x:v>63.22</x:v>
      </x:c>
      <x:c r="I26" s="16" t="n">
        <x:v>1</x:v>
      </x:c>
      <x:c r="J26" t="n">
        <x:v>162</x:v>
      </x:c>
      <x:c r="K26" s="4" t="n">
        <x:v>119</x:v>
      </x:c>
      <x:c r="L26" s="4" t="n">
        <x:v>68</x:v>
      </x:c>
      <x:c r="M26" s="4" t="n">
        <x:v>35</x:v>
      </x:c>
      <x:c r="N26" s="5" t="n">
        <x:v>0.5146999999999999</x:v>
      </x:c>
    </x:row>
    <x:row r="27" ht="24" customHeight="1">
      <x:c r="A27" s="1" t="str">
        <x:v>RESULT</x:v>
      </x:c>
      <x:c r="B27" s="1" t="str">
        <x:v>Round1</x:v>
      </x:c>
      <x:c r="C27" s="1" t="str">
        <x:v>Chart_9</x:v>
      </x:c>
      <x:c r="D27" s="1" t="str">
        <x:v>NOT_AVAILABLE</x:v>
      </x:c>
      <x:c r="E27" s="5"/>
      <x:c r="F27" s="4" t="n">
        <x:v>0</x:v>
      </x:c>
      <x:c r="G27" s="4" t="n">
        <x:v>8721</x:v>
      </x:c>
      <x:c r="H27" s="6" t="n">
        <x:v>155.22</x:v>
      </x:c>
      <x:c r="I27" s="16" t="n">
        <x:v>1</x:v>
      </x:c>
      <x:c r="J27"/>
      <x:c r="K27" s="4"/>
      <x:c r="L27" s="4"/>
      <x:c r="M27" s="4"/>
      <x:c r="N27" s="5"/>
    </x:row>
    <x:row r="28" ht="24" customHeight="1">
      <x:c r="A28" s="1" t="str">
        <x:v>RESULT</x:v>
      </x:c>
      <x:c r="B28" s="1" t="str">
        <x:v>Round1</x:v>
      </x:c>
      <x:c r="C28" s="1" t="str">
        <x:v>Cli_1</x:v>
      </x:c>
      <x:c r="D28" s="1" t="str">
        <x:v>NOT_AVAILABLE</x:v>
      </x:c>
      <x:c r="E28" s="5"/>
      <x:c r="F28" s="4" t="n">
        <x:v>0</x:v>
      </x:c>
      <x:c r="G28" s="4" t="n">
        <x:v>5194</x:v>
      </x:c>
      <x:c r="H28" s="6" t="n">
        <x:v>87.16</x:v>
      </x:c>
      <x:c r="I28" s="16" t="n">
        <x:v>1</x:v>
      </x:c>
      <x:c r="J28"/>
      <x:c r="K28" s="4"/>
      <x:c r="L28" s="4"/>
      <x:c r="M28" s="4"/>
      <x:c r="N28" s="5"/>
    </x:row>
    <x:row r="29" ht="24" customHeight="1">
      <x:c r="A29" s="1" t="str">
        <x:v>RESULT</x:v>
      </x:c>
      <x:c r="B29" s="1" t="str">
        <x:v>Round1</x:v>
      </x:c>
      <x:c r="C29" s="1" t="str">
        <x:v>Cli_10</x:v>
      </x:c>
      <x:c r="D29" s="1" t="str">
        <x:v>NOT_AVAILABLE</x:v>
      </x:c>
      <x:c r="E29" s="5"/>
      <x:c r="F29" s="4" t="n">
        <x:v>0</x:v>
      </x:c>
      <x:c r="G29" s="4" t="n">
        <x:v>5945</x:v>
      </x:c>
      <x:c r="H29" s="6" t="n">
        <x:v>87.69</x:v>
      </x:c>
      <x:c r="I29" s="16" t="n">
        <x:v>1</x:v>
      </x:c>
      <x:c r="J29"/>
      <x:c r="K29" s="4"/>
      <x:c r="L29" s="4"/>
      <x:c r="M29" s="4"/>
      <x:c r="N29" s="5"/>
    </x:row>
    <x:row r="30" ht="24" customHeight="1">
      <x:c r="A30" s="1" t="str">
        <x:v>RESULT</x:v>
      </x:c>
      <x:c r="B30" s="1" t="str">
        <x:v>Round1</x:v>
      </x:c>
      <x:c r="C30" s="1" t="str">
        <x:v>Cli_11</x:v>
      </x:c>
      <x:c r="D30" s="1" t="str">
        <x:v>NOT_AVAILABLE</x:v>
      </x:c>
      <x:c r="E30" s="5"/>
      <x:c r="F30" s="4" t="n">
        <x:v>0</x:v>
      </x:c>
      <x:c r="G30" s="4" t="n">
        <x:v>7135</x:v>
      </x:c>
      <x:c r="H30" s="6" t="n">
        <x:v>125.36</x:v>
      </x:c>
      <x:c r="I30" s="16" t="n">
        <x:v>1</x:v>
      </x:c>
      <x:c r="J30"/>
      <x:c r="K30" s="4"/>
      <x:c r="L30" s="4"/>
      <x:c r="M30" s="4"/>
      <x:c r="N30" s="5"/>
    </x:row>
    <x:row r="31" ht="24" customHeight="1">
      <x:c r="A31" s="1" t="str">
        <x:v>RESULT</x:v>
      </x:c>
      <x:c r="B31" s="1" t="str">
        <x:v>Round1</x:v>
      </x:c>
      <x:c r="C31" s="1" t="str">
        <x:v>Cli_12</x:v>
      </x:c>
      <x:c r="D31" s="1" t="str">
        <x:v>INCONCLUSIVE</x:v>
      </x:c>
      <x:c r="E31" s="5" t="n">
        <x:v>0</x:v>
      </x:c>
      <x:c r="F31" s="4" t="n">
        <x:v>0</x:v>
      </x:c>
      <x:c r="G31" s="4" t="n">
        <x:v>2902</x:v>
      </x:c>
      <x:c r="H31" s="6" t="n">
        <x:v>36.87</x:v>
      </x:c>
      <x:c r="I31" s="16" t="n">
        <x:v>1</x:v>
      </x:c>
      <x:c r="J31" t="n">
        <x:v>25</x:v>
      </x:c>
      <x:c r="K31" s="4" t="n">
        <x:v>0</x:v>
      </x:c>
      <x:c r="L31" s="4" t="n">
        <x:v>16</x:v>
      </x:c>
      <x:c r="M31" s="4" t="n">
        <x:v>0</x:v>
      </x:c>
      <x:c r="N31" s="5" t="n">
        <x:v>0</x:v>
      </x:c>
    </x:row>
    <x:row r="32" ht="24" customHeight="1">
      <x:c r="A32" s="1" t="str">
        <x:v>RESULT</x:v>
      </x:c>
      <x:c r="B32" s="1" t="str">
        <x:v>Round1</x:v>
      </x:c>
      <x:c r="C32" s="1" t="str">
        <x:v>Cli_13</x:v>
      </x:c>
      <x:c r="D32" s="1" t="str">
        <x:v>NOT_AVAILABLE</x:v>
      </x:c>
      <x:c r="E32" s="5"/>
      <x:c r="F32" s="4" t="n">
        <x:v>0</x:v>
      </x:c>
      <x:c r="G32" s="4" t="n">
        <x:v>16705</x:v>
      </x:c>
      <x:c r="H32" s="6" t="n">
        <x:v>352.3</x:v>
      </x:c>
      <x:c r="I32" s="16" t="n">
        <x:v>1</x:v>
      </x:c>
      <x:c r="J32"/>
      <x:c r="K32" s="4"/>
      <x:c r="L32" s="4"/>
      <x:c r="M32" s="4"/>
      <x:c r="N32" s="5"/>
    </x:row>
    <x:row r="33" ht="24" customHeight="1">
      <x:c r="A33" s="1" t="str">
        <x:v>RESULT</x:v>
      </x:c>
      <x:c r="B33" s="1" t="str">
        <x:v>Round1</x:v>
      </x:c>
      <x:c r="C33" s="1" t="str">
        <x:v>Cli_14</x:v>
      </x:c>
      <x:c r="D33" s="1" t="str">
        <x:v>NOT_AVAILABLE</x:v>
      </x:c>
      <x:c r="E33" s="5"/>
      <x:c r="F33" s="4" t="n">
        <x:v>0</x:v>
      </x:c>
      <x:c r="G33" s="4" t="n">
        <x:v>6673</x:v>
      </x:c>
      <x:c r="H33" s="6" t="n">
        <x:v>96.95</x:v>
      </x:c>
      <x:c r="I33" s="16" t="n">
        <x:v>1</x:v>
      </x:c>
      <x:c r="J33"/>
      <x:c r="K33" s="4"/>
      <x:c r="L33" s="4"/>
      <x:c r="M33" s="4"/>
      <x:c r="N33" s="5"/>
    </x:row>
    <x:row r="34" ht="24" customHeight="1">
      <x:c r="A34" s="1" t="str">
        <x:v>RESULT</x:v>
      </x:c>
      <x:c r="B34" s="1" t="str">
        <x:v>Round1</x:v>
      </x:c>
      <x:c r="C34" s="1" t="str">
        <x:v>Cli_15</x:v>
      </x:c>
      <x:c r="D34" s="1" t="str">
        <x:v>NOT_AVAILABLE</x:v>
      </x:c>
      <x:c r="E34" s="5"/>
      <x:c r="F34" s="4" t="n">
        <x:v>0</x:v>
      </x:c>
      <x:c r="G34" s="4" t="n">
        <x:v>4952</x:v>
      </x:c>
      <x:c r="H34" s="6" t="n">
        <x:v>84.06</x:v>
      </x:c>
      <x:c r="I34" s="16" t="n">
        <x:v>1</x:v>
      </x:c>
      <x:c r="J34"/>
      <x:c r="K34" s="4"/>
      <x:c r="L34" s="4"/>
      <x:c r="M34" s="4"/>
      <x:c r="N34" s="5"/>
    </x:row>
    <x:row r="35" ht="24" customHeight="1">
      <x:c r="A35" s="1" t="str">
        <x:v>RESULT</x:v>
      </x:c>
      <x:c r="B35" s="1" t="str">
        <x:v>Round1</x:v>
      </x:c>
      <x:c r="C35" s="1" t="str">
        <x:v>Cli_16</x:v>
      </x:c>
      <x:c r="D35" s="1" t="str">
        <x:v>NOT_AVAILABLE</x:v>
      </x:c>
      <x:c r="E35" s="5"/>
      <x:c r="F35" s="4" t="n">
        <x:v>0</x:v>
      </x:c>
      <x:c r="G35" s="4" t="n">
        <x:v>23670</x:v>
      </x:c>
      <x:c r="H35" s="6" t="n">
        <x:v>465.21</x:v>
      </x:c>
      <x:c r="I35" s="16" t="n">
        <x:v>1</x:v>
      </x:c>
      <x:c r="J35"/>
      <x:c r="K35" s="4"/>
      <x:c r="L35" s="4"/>
      <x:c r="M35" s="4"/>
      <x:c r="N35" s="5"/>
    </x:row>
    <x:row r="36" ht="24" customHeight="1">
      <x:c r="A36" s="1" t="str">
        <x:v>RESULT</x:v>
      </x:c>
      <x:c r="B36" s="1" t="str">
        <x:v>Round1</x:v>
      </x:c>
      <x:c r="C36" s="1" t="str">
        <x:v>Cli_17</x:v>
      </x:c>
      <x:c r="D36" s="1" t="str">
        <x:v>NOT_AVAILABLE</x:v>
      </x:c>
      <x:c r="E36" s="5"/>
      <x:c r="F36" s="4" t="n">
        <x:v>0</x:v>
      </x:c>
      <x:c r="G36" s="4" t="n">
        <x:v>5410</x:v>
      </x:c>
      <x:c r="H36" s="6" t="n">
        <x:v>72.95</x:v>
      </x:c>
      <x:c r="I36" s="16" t="n">
        <x:v>1</x:v>
      </x:c>
      <x:c r="J36"/>
      <x:c r="K36" s="4"/>
      <x:c r="L36" s="4"/>
      <x:c r="M36" s="4"/>
      <x:c r="N36" s="5"/>
    </x:row>
    <x:row r="37" ht="24" customHeight="1">
      <x:c r="A37" s="1" t="str">
        <x:v>RESULT</x:v>
      </x:c>
      <x:c r="B37" s="1" t="str">
        <x:v>Round1</x:v>
      </x:c>
      <x:c r="C37" s="1" t="str">
        <x:v>Cli_18</x:v>
      </x:c>
      <x:c r="D37" s="1" t="str">
        <x:v>INCONCLUSIVE</x:v>
      </x:c>
      <x:c r="E37" s="5" t="n">
        <x:v>0</x:v>
      </x:c>
      <x:c r="F37" s="4" t="n">
        <x:v>0</x:v>
      </x:c>
      <x:c r="G37" s="4" t="n">
        <x:v>5818</x:v>
      </x:c>
      <x:c r="H37" s="6" t="n">
        <x:v>91.32</x:v>
      </x:c>
      <x:c r="I37" s="16" t="n">
        <x:v>1</x:v>
      </x:c>
      <x:c r="J37" t="n">
        <x:v>66</x:v>
      </x:c>
      <x:c r="K37" s="4" t="n">
        <x:v>0</x:v>
      </x:c>
      <x:c r="L37" s="4" t="n">
        <x:v>42</x:v>
      </x:c>
      <x:c r="M37" s="4" t="n">
        <x:v>0</x:v>
      </x:c>
      <x:c r="N37" s="5" t="n">
        <x:v>0</x:v>
      </x:c>
    </x:row>
    <x:row r="38" ht="24" customHeight="1">
      <x:c r="A38" s="1" t="str">
        <x:v>RESULT</x:v>
      </x:c>
      <x:c r="B38" s="1" t="str">
        <x:v>Round1</x:v>
      </x:c>
      <x:c r="C38" s="1" t="str">
        <x:v>Cli_19</x:v>
      </x:c>
      <x:c r="D38" s="1" t="str">
        <x:v>INCONCLUSIVE</x:v>
      </x:c>
      <x:c r="E38" s="5" t="n">
        <x:v>0</x:v>
      </x:c>
      <x:c r="F38" s="4" t="n">
        <x:v>0</x:v>
      </x:c>
      <x:c r="G38" s="4" t="n">
        <x:v>4814</x:v>
      </x:c>
      <x:c r="H38" s="6" t="n">
        <x:v>49.49</x:v>
      </x:c>
      <x:c r="I38" s="16" t="n">
        <x:v>1</x:v>
      </x:c>
      <x:c r="J38" t="n">
        <x:v>65</x:v>
      </x:c>
      <x:c r="K38" s="4" t="n">
        <x:v>0</x:v>
      </x:c>
      <x:c r="L38" s="4" t="n">
        <x:v>42</x:v>
      </x:c>
      <x:c r="M38" s="4" t="n">
        <x:v>0</x:v>
      </x:c>
      <x:c r="N38" s="5" t="n">
        <x:v>0</x:v>
      </x:c>
    </x:row>
    <x:row r="39" ht="24" customHeight="1">
      <x:c r="A39" s="1" t="str">
        <x:v>RESULT</x:v>
      </x:c>
      <x:c r="B39" s="1" t="str">
        <x:v>Round1</x:v>
      </x:c>
      <x:c r="C39" s="1" t="str">
        <x:v>Cli_2</x:v>
      </x:c>
      <x:c r="D39" s="1" t="str">
        <x:v>INCONCLUSIVE</x:v>
      </x:c>
      <x:c r="E39" s="5" t="n">
        <x:v>0</x:v>
      </x:c>
      <x:c r="F39" s="4" t="n">
        <x:v>0</x:v>
      </x:c>
      <x:c r="G39" s="4" t="n">
        <x:v>5738</x:v>
      </x:c>
      <x:c r="H39" s="6" t="n">
        <x:v>88.63</x:v>
      </x:c>
      <x:c r="I39" s="16" t="n">
        <x:v>1</x:v>
      </x:c>
      <x:c r="J39" t="n">
        <x:v>68</x:v>
      </x:c>
      <x:c r="K39" s="4" t="n">
        <x:v>0</x:v>
      </x:c>
      <x:c r="L39" s="4" t="n">
        <x:v>42</x:v>
      </x:c>
      <x:c r="M39" s="4" t="n">
        <x:v>0</x:v>
      </x:c>
      <x:c r="N39" s="5" t="n">
        <x:v>0</x:v>
      </x:c>
    </x:row>
    <x:row r="40" ht="24" customHeight="1">
      <x:c r="A40" s="1" t="str">
        <x:v>RESULT</x:v>
      </x:c>
      <x:c r="B40" s="1" t="str">
        <x:v>Round1</x:v>
      </x:c>
      <x:c r="C40" s="1" t="str">
        <x:v>Cli_20</x:v>
      </x:c>
      <x:c r="D40" s="1" t="str">
        <x:v>NOT_AVAILABLE</x:v>
      </x:c>
      <x:c r="E40" s="5"/>
      <x:c r="F40" s="4" t="n">
        <x:v>0</x:v>
      </x:c>
      <x:c r="G40" s="4" t="n">
        <x:v>4997</x:v>
      </x:c>
      <x:c r="H40" s="6" t="n">
        <x:v>57.32</x:v>
      </x:c>
      <x:c r="I40" s="16" t="n">
        <x:v>1</x:v>
      </x:c>
      <x:c r="J40"/>
      <x:c r="K40" s="4"/>
      <x:c r="L40" s="4"/>
      <x:c r="M40" s="4"/>
      <x:c r="N40" s="5"/>
    </x:row>
    <x:row r="41" ht="24" customHeight="1">
      <x:c r="A41" s="1" t="str">
        <x:v>RESULT</x:v>
      </x:c>
      <x:c r="B41" s="1" t="str">
        <x:v>Round1</x:v>
      </x:c>
      <x:c r="C41" s="1" t="str">
        <x:v>Cli_21</x:v>
      </x:c>
      <x:c r="D41" s="1" t="str">
        <x:v>NOT_AVAILABLE</x:v>
      </x:c>
      <x:c r="E41" s="5"/>
      <x:c r="F41" s="4" t="n">
        <x:v>0</x:v>
      </x:c>
      <x:c r="G41" s="4" t="n">
        <x:v>17495</x:v>
      </x:c>
      <x:c r="H41" s="6" t="n">
        <x:v>304.21</x:v>
      </x:c>
      <x:c r="I41" s="16" t="n">
        <x:v>1</x:v>
      </x:c>
      <x:c r="J41"/>
      <x:c r="K41" s="4"/>
      <x:c r="L41" s="4"/>
      <x:c r="M41" s="4"/>
      <x:c r="N41" s="5"/>
    </x:row>
    <x:row r="42" ht="24" customHeight="1">
      <x:c r="A42" s="1" t="str">
        <x:v>RESULT</x:v>
      </x:c>
      <x:c r="B42" s="1" t="str">
        <x:v>Round1</x:v>
      </x:c>
      <x:c r="C42" s="1" t="str">
        <x:v>Cli_22</x:v>
      </x:c>
      <x:c r="D42" s="1" t="str">
        <x:v>INCONCLUSIVE</x:v>
      </x:c>
      <x:c r="E42" s="5" t="n">
        <x:v>0</x:v>
      </x:c>
      <x:c r="F42" s="4" t="n">
        <x:v>0</x:v>
      </x:c>
      <x:c r="G42" s="4" t="n">
        <x:v>6240</x:v>
      </x:c>
      <x:c r="H42" s="6" t="n">
        <x:v>116.51</x:v>
      </x:c>
      <x:c r="I42" s="16" t="n">
        <x:v>1</x:v>
      </x:c>
      <x:c r="J42" t="n">
        <x:v>57</x:v>
      </x:c>
      <x:c r="K42" s="4" t="n">
        <x:v>0</x:v>
      </x:c>
      <x:c r="L42" s="4" t="n">
        <x:v>38</x:v>
      </x:c>
      <x:c r="M42" s="4" t="n">
        <x:v>0</x:v>
      </x:c>
      <x:c r="N42" s="5" t="n">
        <x:v>0</x:v>
      </x:c>
    </x:row>
    <x:row r="43" ht="24" customHeight="1">
      <x:c r="A43" s="1" t="str">
        <x:v>RESULT</x:v>
      </x:c>
      <x:c r="B43" s="1" t="str">
        <x:v>Round1</x:v>
      </x:c>
      <x:c r="C43" s="1" t="str">
        <x:v>Cli_23</x:v>
      </x:c>
      <x:c r="D43" s="1" t="str">
        <x:v>NOT_AVAILABLE</x:v>
      </x:c>
      <x:c r="E43" s="5"/>
      <x:c r="F43" s="4" t="n">
        <x:v>0</x:v>
      </x:c>
      <x:c r="G43" s="4" t="n">
        <x:v>7004</x:v>
      </x:c>
      <x:c r="H43" s="6" t="n">
        <x:v>125.15</x:v>
      </x:c>
      <x:c r="I43" s="16" t="n">
        <x:v>1</x:v>
      </x:c>
      <x:c r="J43"/>
      <x:c r="K43" s="4"/>
      <x:c r="L43" s="4"/>
      <x:c r="M43" s="4"/>
      <x:c r="N43" s="5"/>
    </x:row>
    <x:row r="44" ht="24" customHeight="1">
      <x:c r="A44" s="1" t="str">
        <x:v>RESULT</x:v>
      </x:c>
      <x:c r="B44" s="1" t="str">
        <x:v>Round1</x:v>
      </x:c>
      <x:c r="C44" s="1" t="str">
        <x:v>Cli_24</x:v>
      </x:c>
      <x:c r="D44" s="1" t="str">
        <x:v>INCONCLUSIVE</x:v>
      </x:c>
      <x:c r="E44" s="5" t="n">
        <x:v>0</x:v>
      </x:c>
      <x:c r="F44" s="4" t="n">
        <x:v>0</x:v>
      </x:c>
      <x:c r="G44" s="4" t="n">
        <x:v>7102</x:v>
      </x:c>
      <x:c r="H44" s="6" t="n">
        <x:v>118.19</x:v>
      </x:c>
      <x:c r="I44" s="16" t="n">
        <x:v>1</x:v>
      </x:c>
      <x:c r="J44" t="n">
        <x:v>198</x:v>
      </x:c>
      <x:c r="K44" s="4" t="n">
        <x:v>0</x:v>
      </x:c>
      <x:c r="L44" s="4" t="n">
        <x:v>112</x:v>
      </x:c>
      <x:c r="M44" s="4" t="n">
        <x:v>0</x:v>
      </x:c>
      <x:c r="N44" s="5" t="n">
        <x:v>0</x:v>
      </x:c>
    </x:row>
    <x:row r="45" ht="24" customHeight="1">
      <x:c r="A45" s="1" t="str">
        <x:v>RESULT</x:v>
      </x:c>
      <x:c r="B45" s="1" t="str">
        <x:v>Round1</x:v>
      </x:c>
      <x:c r="C45" s="1" t="str">
        <x:v>Cli_25</x:v>
      </x:c>
      <x:c r="D45" s="1" t="str">
        <x:v>NOT_AVAILABLE</x:v>
      </x:c>
      <x:c r="E45" s="5"/>
      <x:c r="F45" s="4" t="n">
        <x:v>0</x:v>
      </x:c>
      <x:c r="G45" s="4" t="n">
        <x:v>6471</x:v>
      </x:c>
      <x:c r="H45" s="6" t="n">
        <x:v>91.83</x:v>
      </x:c>
      <x:c r="I45" s="16" t="n">
        <x:v>1</x:v>
      </x:c>
      <x:c r="J45"/>
      <x:c r="K45" s="4"/>
      <x:c r="L45" s="4"/>
      <x:c r="M45" s="4"/>
      <x:c r="N45" s="5"/>
    </x:row>
    <x:row r="46" ht="24" customHeight="1">
      <x:c r="A46" s="1" t="str">
        <x:v>RESULT</x:v>
      </x:c>
      <x:c r="B46" s="1" t="str">
        <x:v>Round1</x:v>
      </x:c>
      <x:c r="C46" s="1" t="str">
        <x:v>Cli_26</x:v>
      </x:c>
      <x:c r="D46" s="1" t="str">
        <x:v>NOT_AVAILABLE</x:v>
      </x:c>
      <x:c r="E46" s="5"/>
      <x:c r="F46" s="4" t="n">
        <x:v>0</x:v>
      </x:c>
      <x:c r="G46" s="4" t="n">
        <x:v>4649</x:v>
      </x:c>
      <x:c r="H46" s="6" t="n">
        <x:v>52.16</x:v>
      </x:c>
      <x:c r="I46" s="16" t="n">
        <x:v>1</x:v>
      </x:c>
      <x:c r="J46"/>
      <x:c r="K46" s="4"/>
      <x:c r="L46" s="4"/>
      <x:c r="M46" s="4"/>
      <x:c r="N46" s="5"/>
    </x:row>
    <x:row r="47" ht="24" customHeight="1">
      <x:c r="A47" s="1" t="str">
        <x:v>RESULT</x:v>
      </x:c>
      <x:c r="B47" s="1" t="str">
        <x:v>Round1</x:v>
      </x:c>
      <x:c r="C47" s="1" t="str">
        <x:v>Cli_27</x:v>
      </x:c>
      <x:c r="D47" s="1" t="str">
        <x:v>INCONCLUSIVE</x:v>
      </x:c>
      <x:c r="E47" s="5" t="n">
        <x:v>0</x:v>
      </x:c>
      <x:c r="F47" s="4" t="n">
        <x:v>0</x:v>
      </x:c>
      <x:c r="G47" s="4" t="n">
        <x:v>3054</x:v>
      </x:c>
      <x:c r="H47" s="6" t="n">
        <x:v>37.26</x:v>
      </x:c>
      <x:c r="I47" s="16" t="n">
        <x:v>1</x:v>
      </x:c>
      <x:c r="J47" t="n">
        <x:v>34</x:v>
      </x:c>
      <x:c r="K47" s="4" t="n">
        <x:v>0</x:v>
      </x:c>
      <x:c r="L47" s="4" t="n">
        <x:v>12</x:v>
      </x:c>
      <x:c r="M47" s="4" t="n">
        <x:v>0</x:v>
      </x:c>
      <x:c r="N47" s="5" t="n">
        <x:v>0</x:v>
      </x:c>
    </x:row>
    <x:row r="48" ht="24" customHeight="1">
      <x:c r="A48" s="1" t="str">
        <x:v>RESULT</x:v>
      </x:c>
      <x:c r="B48" s="1" t="str">
        <x:v>Round1</x:v>
      </x:c>
      <x:c r="C48" s="1" t="str">
        <x:v>Cli_28</x:v>
      </x:c>
      <x:c r="D48" s="1" t="str">
        <x:v>NOT_AVAILABLE</x:v>
      </x:c>
      <x:c r="E48" s="5"/>
      <x:c r="F48" s="4" t="n">
        <x:v>0</x:v>
      </x:c>
      <x:c r="G48" s="4" t="n">
        <x:v>6320</x:v>
      </x:c>
      <x:c r="H48" s="6" t="n">
        <x:v>101.89</x:v>
      </x:c>
      <x:c r="I48" s="16" t="n">
        <x:v>1</x:v>
      </x:c>
      <x:c r="J48"/>
      <x:c r="K48" s="4"/>
      <x:c r="L48" s="4"/>
      <x:c r="M48" s="4"/>
      <x:c r="N48" s="5"/>
    </x:row>
    <x:row r="49" ht="24" customHeight="1">
      <x:c r="A49" s="1" t="str">
        <x:v>RESULT</x:v>
      </x:c>
      <x:c r="B49" s="1" t="str">
        <x:v>Round1</x:v>
      </x:c>
      <x:c r="C49" s="1" t="str">
        <x:v>Cli_29</x:v>
      </x:c>
      <x:c r="D49" s="1" t="str">
        <x:v>INCONCLUSIVE</x:v>
      </x:c>
      <x:c r="E49" s="5" t="n">
        <x:v>0</x:v>
      </x:c>
      <x:c r="F49" s="4" t="n">
        <x:v>0</x:v>
      </x:c>
      <x:c r="G49" s="4" t="n">
        <x:v>2614</x:v>
      </x:c>
      <x:c r="H49" s="6" t="n">
        <x:v>36.09</x:v>
      </x:c>
      <x:c r="I49" s="16" t="n">
        <x:v>1</x:v>
      </x:c>
      <x:c r="J49" t="n">
        <x:v>14</x:v>
      </x:c>
      <x:c r="K49" s="4" t="n">
        <x:v>0</x:v>
      </x:c>
      <x:c r="L49" s="4" t="n">
        <x:v>10</x:v>
      </x:c>
      <x:c r="M49" s="4" t="n">
        <x:v>0</x:v>
      </x:c>
      <x:c r="N49" s="5" t="n">
        <x:v>0</x:v>
      </x:c>
    </x:row>
    <x:row r="50" ht="24" customHeight="1">
      <x:c r="A50" s="1" t="str">
        <x:v>RESULT</x:v>
      </x:c>
      <x:c r="B50" s="1" t="str">
        <x:v>Round1</x:v>
      </x:c>
      <x:c r="C50" s="1" t="str">
        <x:v>Cli_3</x:v>
      </x:c>
      <x:c r="D50" s="1" t="str">
        <x:v>INCONCLUSIVE</x:v>
      </x:c>
      <x:c r="E50" s="5" t="n">
        <x:v>0</x:v>
      </x:c>
      <x:c r="F50" s="4" t="n">
        <x:v>0</x:v>
      </x:c>
      <x:c r="G50" s="4" t="n">
        <x:v>4474</x:v>
      </x:c>
      <x:c r="H50" s="6" t="n">
        <x:v>68.73</x:v>
      </x:c>
      <x:c r="I50" s="16" t="n">
        <x:v>1</x:v>
      </x:c>
      <x:c r="J50" t="n">
        <x:v>55</x:v>
      </x:c>
      <x:c r="K50" s="4" t="n">
        <x:v>0</x:v>
      </x:c>
      <x:c r="L50" s="4" t="n">
        <x:v>20</x:v>
      </x:c>
      <x:c r="M50" s="4" t="n">
        <x:v>0</x:v>
      </x:c>
      <x:c r="N50" s="5" t="n">
        <x:v>0</x:v>
      </x:c>
    </x:row>
    <x:row r="51" ht="24" customHeight="1">
      <x:c r="A51" s="1" t="str">
        <x:v>RESULT</x:v>
      </x:c>
      <x:c r="B51" s="1" t="str">
        <x:v>Round1</x:v>
      </x:c>
      <x:c r="C51" s="1" t="str">
        <x:v>Cli_30</x:v>
      </x:c>
      <x:c r="D51" s="1" t="str">
        <x:v>NOT_AVAILABLE</x:v>
      </x:c>
      <x:c r="E51" s="5"/>
      <x:c r="F51" s="4" t="n">
        <x:v>0</x:v>
      </x:c>
      <x:c r="G51" s="4" t="n">
        <x:v>13970</x:v>
      </x:c>
      <x:c r="H51" s="6" t="n">
        <x:v>171.02</x:v>
      </x:c>
      <x:c r="I51" s="16" t="n">
        <x:v>1</x:v>
      </x:c>
      <x:c r="J51"/>
      <x:c r="K51" s="4"/>
      <x:c r="L51" s="4"/>
      <x:c r="M51" s="4"/>
      <x:c r="N51" s="5"/>
    </x:row>
    <x:row r="52" ht="24" customHeight="1">
      <x:c r="A52" s="1" t="str">
        <x:v>RESULT</x:v>
      </x:c>
      <x:c r="B52" s="1" t="str">
        <x:v>Round1</x:v>
      </x:c>
      <x:c r="C52" s="1" t="str">
        <x:v>Cli_31</x:v>
      </x:c>
      <x:c r="D52" s="1" t="str">
        <x:v>NOT_AVAILABLE</x:v>
      </x:c>
      <x:c r="E52" s="5"/>
      <x:c r="F52" s="4" t="n">
        <x:v>0</x:v>
      </x:c>
      <x:c r="G52" s="4" t="n">
        <x:v>21283</x:v>
      </x:c>
      <x:c r="H52" s="6" t="n">
        <x:v>331.52</x:v>
      </x:c>
      <x:c r="I52" s="16" t="n">
        <x:v>1</x:v>
      </x:c>
      <x:c r="J52"/>
      <x:c r="K52" s="4"/>
      <x:c r="L52" s="4"/>
      <x:c r="M52" s="4"/>
      <x:c r="N52" s="5"/>
    </x:row>
    <x:row r="53" ht="24" customHeight="1">
      <x:c r="A53" s="1" t="str">
        <x:v>RESULT</x:v>
      </x:c>
      <x:c r="B53" s="1" t="str">
        <x:v>Round1</x:v>
      </x:c>
      <x:c r="C53" s="1" t="str">
        <x:v>Cli_32</x:v>
      </x:c>
      <x:c r="D53" s="1" t="str">
        <x:v>NOT_AVAILABLE</x:v>
      </x:c>
      <x:c r="E53" s="5"/>
      <x:c r="F53" s="4" t="n">
        <x:v>0</x:v>
      </x:c>
      <x:c r="G53" s="4" t="n">
        <x:v>6440</x:v>
      </x:c>
      <x:c r="H53" s="6" t="n">
        <x:v>82.69</x:v>
      </x:c>
      <x:c r="I53" s="16" t="n">
        <x:v>1</x:v>
      </x:c>
      <x:c r="J53"/>
      <x:c r="K53" s="4"/>
      <x:c r="L53" s="4"/>
      <x:c r="M53" s="4"/>
      <x:c r="N53" s="5"/>
    </x:row>
    <x:row r="54" ht="24" customHeight="1">
      <x:c r="A54" s="1" t="str">
        <x:v>RESULT</x:v>
      </x:c>
      <x:c r="B54" s="1" t="str">
        <x:v>Round1</x:v>
      </x:c>
      <x:c r="C54" s="1" t="str">
        <x:v>Cli_33</x:v>
      </x:c>
      <x:c r="D54" s="1" t="str">
        <x:v>INCONCLUSIVE</x:v>
      </x:c>
      <x:c r="E54" s="5" t="n">
        <x:v>0</x:v>
      </x:c>
      <x:c r="F54" s="4" t="n">
        <x:v>0</x:v>
      </x:c>
      <x:c r="G54" s="4" t="n">
        <x:v>6034</x:v>
      </x:c>
      <x:c r="H54" s="6" t="n">
        <x:v>67.43</x:v>
      </x:c>
      <x:c r="I54" s="16" t="n">
        <x:v>1</x:v>
      </x:c>
      <x:c r="J54" t="n">
        <x:v>201</x:v>
      </x:c>
      <x:c r="K54" s="4" t="n">
        <x:v>0</x:v>
      </x:c>
      <x:c r="L54" s="4" t="n">
        <x:v>114</x:v>
      </x:c>
      <x:c r="M54" s="4" t="n">
        <x:v>0</x:v>
      </x:c>
      <x:c r="N54" s="5" t="n">
        <x:v>0</x:v>
      </x:c>
    </x:row>
    <x:row r="55" ht="24" customHeight="1">
      <x:c r="A55" s="1" t="str">
        <x:v>RESULT</x:v>
      </x:c>
      <x:c r="B55" s="1" t="str">
        <x:v>Round1</x:v>
      </x:c>
      <x:c r="C55" s="1" t="str">
        <x:v>Cli_34</x:v>
      </x:c>
      <x:c r="D55" s="1" t="str">
        <x:v>NOT_AVAILABLE</x:v>
      </x:c>
      <x:c r="E55" s="5"/>
      <x:c r="F55" s="4" t="n">
        <x:v>0</x:v>
      </x:c>
      <x:c r="G55" s="4" t="n">
        <x:v>12486</x:v>
      </x:c>
      <x:c r="H55" s="6" t="n">
        <x:v>147.91</x:v>
      </x:c>
      <x:c r="I55" s="16" t="n">
        <x:v>1</x:v>
      </x:c>
      <x:c r="J55"/>
      <x:c r="K55" s="4"/>
      <x:c r="L55" s="4"/>
      <x:c r="M55" s="4"/>
      <x:c r="N55" s="5"/>
    </x:row>
    <x:row r="56" ht="24" customHeight="1">
      <x:c r="A56" s="1" t="str">
        <x:v>RESULT</x:v>
      </x:c>
      <x:c r="B56" s="1" t="str">
        <x:v>Round1</x:v>
      </x:c>
      <x:c r="C56" s="1" t="str">
        <x:v>Cli_35</x:v>
      </x:c>
      <x:c r="D56" s="1" t="str">
        <x:v>INCONCLUSIVE</x:v>
      </x:c>
      <x:c r="E56" s="5" t="n">
        <x:v>0.9473999999999999</x:v>
      </x:c>
      <x:c r="F56" s="4" t="n">
        <x:v>0</x:v>
      </x:c>
      <x:c r="G56" s="4" t="n">
        <x:v>5462</x:v>
      </x:c>
      <x:c r="H56" s="6" t="n">
        <x:v>84.79</x:v>
      </x:c>
      <x:c r="I56" s="16" t="n">
        <x:v>1</x:v>
      </x:c>
      <x:c r="J56" t="n">
        <x:v>57</x:v>
      </x:c>
      <x:c r="K56" s="4" t="n">
        <x:v>54</x:v>
      </x:c>
      <x:c r="L56" s="4" t="n">
        <x:v>20</x:v>
      </x:c>
      <x:c r="M56" s="4" t="n">
        <x:v>19</x:v>
      </x:c>
      <x:c r="N56" s="5" t="n">
        <x:v>0.95</x:v>
      </x:c>
    </x:row>
    <x:row r="57" ht="24" customHeight="1">
      <x:c r="A57" s="1" t="str">
        <x:v>RESULT</x:v>
      </x:c>
      <x:c r="B57" s="1" t="str">
        <x:v>Round1</x:v>
      </x:c>
      <x:c r="C57" s="1" t="str">
        <x:v>Cli_36</x:v>
      </x:c>
      <x:c r="D57" s="1" t="str">
        <x:v>NOT_AVAILABLE</x:v>
      </x:c>
      <x:c r="E57" s="5"/>
      <x:c r="F57" s="4" t="n">
        <x:v>0</x:v>
      </x:c>
      <x:c r="G57" s="4" t="n">
        <x:v>7992</x:v>
      </x:c>
      <x:c r="H57" s="6" t="n">
        <x:v>100.45</x:v>
      </x:c>
      <x:c r="I57" s="16" t="n">
        <x:v>1</x:v>
      </x:c>
      <x:c r="J57"/>
      <x:c r="K57" s="4"/>
      <x:c r="L57" s="4"/>
      <x:c r="M57" s="4"/>
      <x:c r="N57" s="5"/>
    </x:row>
    <x:row r="58" ht="24" customHeight="1">
      <x:c r="A58" s="1" t="str">
        <x:v>RESULT</x:v>
      </x:c>
      <x:c r="B58" s="1" t="str">
        <x:v>Round1</x:v>
      </x:c>
      <x:c r="C58" s="1" t="str">
        <x:v>Cli_37</x:v>
      </x:c>
      <x:c r="D58" s="1" t="str">
        <x:v>NOT_AVAILABLE</x:v>
      </x:c>
      <x:c r="E58" s="5"/>
      <x:c r="F58" s="4" t="n">
        <x:v>0</x:v>
      </x:c>
      <x:c r="G58" s="4" t="n">
        <x:v>7387</x:v>
      </x:c>
      <x:c r="H58" s="6" t="n">
        <x:v>70.5</x:v>
      </x:c>
      <x:c r="I58" s="16" t="n">
        <x:v>1</x:v>
      </x:c>
      <x:c r="J58"/>
      <x:c r="K58" s="4"/>
      <x:c r="L58" s="4"/>
      <x:c r="M58" s="4"/>
      <x:c r="N58" s="5"/>
    </x:row>
    <x:row r="59" ht="24" customHeight="1">
      <x:c r="A59" s="1" t="str">
        <x:v>RESULT</x:v>
      </x:c>
      <x:c r="B59" s="1" t="str">
        <x:v>Round1</x:v>
      </x:c>
      <x:c r="C59" s="1" t="str">
        <x:v>Cli_38</x:v>
      </x:c>
      <x:c r="D59" s="1" t="str">
        <x:v>NOT_AVAILABLE</x:v>
      </x:c>
      <x:c r="E59" s="5"/>
      <x:c r="F59" s="4" t="n">
        <x:v>0</x:v>
      </x:c>
      <x:c r="G59" s="4" t="n">
        <x:v>7822</x:v>
      </x:c>
      <x:c r="H59" s="6" t="n">
        <x:v>86.13</x:v>
      </x:c>
      <x:c r="I59" s="16" t="n">
        <x:v>1</x:v>
      </x:c>
      <x:c r="J59"/>
      <x:c r="K59" s="4"/>
      <x:c r="L59" s="4"/>
      <x:c r="M59" s="4"/>
      <x:c r="N59" s="5"/>
    </x:row>
    <x:row r="60" ht="24" customHeight="1">
      <x:c r="A60" s="1" t="str">
        <x:v>RESULT</x:v>
      </x:c>
      <x:c r="B60" s="1" t="str">
        <x:v>Round1</x:v>
      </x:c>
      <x:c r="C60" s="1" t="str">
        <x:v>Cli_39</x:v>
      </x:c>
      <x:c r="D60" s="1" t="str">
        <x:v>INCONCLUSIVE</x:v>
      </x:c>
      <x:c r="E60" s="5" t="n">
        <x:v>0.8571</x:v>
      </x:c>
      <x:c r="F60" s="4" t="n">
        <x:v>0</x:v>
      </x:c>
      <x:c r="G60" s="4" t="n">
        <x:v>4612</x:v>
      </x:c>
      <x:c r="H60" s="6" t="n">
        <x:v>66.02</x:v>
      </x:c>
      <x:c r="I60" s="16" t="n">
        <x:v>1</x:v>
      </x:c>
      <x:c r="J60" t="n">
        <x:v>42</x:v>
      </x:c>
      <x:c r="K60" s="4" t="n">
        <x:v>36</x:v>
      </x:c>
      <x:c r="L60" s="4" t="n">
        <x:v>20</x:v>
      </x:c>
      <x:c r="M60" s="4" t="n">
        <x:v>16</x:v>
      </x:c>
      <x:c r="N60" s="5" t="n">
        <x:v>0.8</x:v>
      </x:c>
    </x:row>
    <x:row r="61" ht="24" customHeight="1">
      <x:c r="A61" s="1" t="str">
        <x:v>RESULT</x:v>
      </x:c>
      <x:c r="B61" s="1" t="str">
        <x:v>Round1</x:v>
      </x:c>
      <x:c r="C61" s="1" t="str">
        <x:v>Cli_4</x:v>
      </x:c>
      <x:c r="D61" s="1" t="str">
        <x:v>INCONCLUSIVE</x:v>
      </x:c>
      <x:c r="E61" s="5" t="n">
        <x:v>0</x:v>
      </x:c>
      <x:c r="F61" s="4" t="n">
        <x:v>0</x:v>
      </x:c>
      <x:c r="G61" s="4" t="n">
        <x:v>5449</x:v>
      </x:c>
      <x:c r="H61" s="6" t="n">
        <x:v>66.91</x:v>
      </x:c>
      <x:c r="I61" s="16" t="n">
        <x:v>1</x:v>
      </x:c>
      <x:c r="J61" t="n">
        <x:v>99</x:v>
      </x:c>
      <x:c r="K61" s="4" t="n">
        <x:v>0</x:v>
      </x:c>
      <x:c r="L61" s="4" t="n">
        <x:v>68</x:v>
      </x:c>
      <x:c r="M61" s="4" t="n">
        <x:v>0</x:v>
      </x:c>
      <x:c r="N61" s="5" t="n">
        <x:v>0</x:v>
      </x:c>
    </x:row>
    <x:row r="62" ht="24" customHeight="1">
      <x:c r="A62" s="1" t="str">
        <x:v>RESULT</x:v>
      </x:c>
      <x:c r="B62" s="1" t="str">
        <x:v>Round1</x:v>
      </x:c>
      <x:c r="C62" s="1" t="str">
        <x:v>Cli_40</x:v>
      </x:c>
      <x:c r="D62" s="1" t="str">
        <x:v>NOT_AVAILABLE</x:v>
      </x:c>
      <x:c r="E62" s="5"/>
      <x:c r="F62" s="4" t="n">
        <x:v>0</x:v>
      </x:c>
      <x:c r="G62" s="4" t="n">
        <x:v>6040</x:v>
      </x:c>
      <x:c r="H62" s="6" t="n">
        <x:v>118.53</x:v>
      </x:c>
      <x:c r="I62" s="16" t="n">
        <x:v>1</x:v>
      </x:c>
      <x:c r="J62"/>
      <x:c r="K62" s="4"/>
      <x:c r="L62" s="4"/>
      <x:c r="M62" s="4"/>
      <x:c r="N62" s="5"/>
    </x:row>
    <x:row r="63" ht="24" customHeight="1">
      <x:c r="A63" s="1" t="str">
        <x:v>RESULT</x:v>
      </x:c>
      <x:c r="B63" s="1" t="str">
        <x:v>Round1</x:v>
      </x:c>
      <x:c r="C63" s="1" t="str">
        <x:v>Cli_5</x:v>
      </x:c>
      <x:c r="D63" s="1" t="str">
        <x:v>INCONCLUSIVE</x:v>
      </x:c>
      <x:c r="E63" s="5" t="n">
        <x:v>0</x:v>
      </x:c>
      <x:c r="F63" s="4" t="n">
        <x:v>0</x:v>
      </x:c>
      <x:c r="G63" s="4" t="n">
        <x:v>2261</x:v>
      </x:c>
      <x:c r="H63" s="6" t="n">
        <x:v>31.26</x:v>
      </x:c>
      <x:c r="I63" s="16" t="n">
        <x:v>1</x:v>
      </x:c>
      <x:c r="J63" t="n">
        <x:v>11</x:v>
      </x:c>
      <x:c r="K63" s="4" t="n">
        <x:v>0</x:v>
      </x:c>
      <x:c r="L63" s="4" t="n">
        <x:v>8</x:v>
      </x:c>
      <x:c r="M63" s="4" t="n">
        <x:v>0</x:v>
      </x:c>
      <x:c r="N63" s="5" t="n">
        <x:v>0</x:v>
      </x:c>
    </x:row>
    <x:row r="64" ht="24" customHeight="1">
      <x:c r="A64" s="1" t="str">
        <x:v>RESULT</x:v>
      </x:c>
      <x:c r="B64" s="1" t="str">
        <x:v>Round1</x:v>
      </x:c>
      <x:c r="C64" s="1" t="str">
        <x:v>Cli_7</x:v>
      </x:c>
      <x:c r="D64" s="1" t="str">
        <x:v>NOT_AVAILABLE</x:v>
      </x:c>
      <x:c r="E64" s="5"/>
      <x:c r="F64" s="4" t="n">
        <x:v>0</x:v>
      </x:c>
      <x:c r="G64" s="4" t="n">
        <x:v>4680</x:v>
      </x:c>
      <x:c r="H64" s="6" t="n">
        <x:v>97.05</x:v>
      </x:c>
      <x:c r="I64" s="16" t="n">
        <x:v>1</x:v>
      </x:c>
      <x:c r="J64"/>
      <x:c r="K64" s="4"/>
      <x:c r="L64" s="4"/>
      <x:c r="M64" s="4"/>
      <x:c r="N64" s="5"/>
    </x:row>
    <x:row r="65" ht="24" customHeight="1">
      <x:c r="A65" s="1" t="str">
        <x:v>RESULT</x:v>
      </x:c>
      <x:c r="B65" s="1" t="str">
        <x:v>Round1</x:v>
      </x:c>
      <x:c r="C65" s="1" t="str">
        <x:v>Cli_8</x:v>
      </x:c>
      <x:c r="D65" s="1" t="str">
        <x:v>INCONCLUSIVE</x:v>
      </x:c>
      <x:c r="E65" s="5" t="n">
        <x:v>0</x:v>
      </x:c>
      <x:c r="F65" s="4" t="n">
        <x:v>0</x:v>
      </x:c>
      <x:c r="G65" s="4" t="n">
        <x:v>6295</x:v>
      </x:c>
      <x:c r="H65" s="6" t="n">
        <x:v>90.79</x:v>
      </x:c>
      <x:c r="I65" s="16" t="n">
        <x:v>1</x:v>
      </x:c>
      <x:c r="J65" t="n">
        <x:v>192</x:v>
      </x:c>
      <x:c r="K65" s="4" t="n">
        <x:v>0</x:v>
      </x:c>
      <x:c r="L65" s="4" t="n">
        <x:v>104</x:v>
      </x:c>
      <x:c r="M65" s="4" t="n">
        <x:v>0</x:v>
      </x:c>
      <x:c r="N65" s="5" t="n">
        <x:v>0</x:v>
      </x:c>
    </x:row>
    <x:row r="66" ht="24" customHeight="1">
      <x:c r="A66" s="1" t="str">
        <x:v>RESULT</x:v>
      </x:c>
      <x:c r="B66" s="1" t="str">
        <x:v>Round1</x:v>
      </x:c>
      <x:c r="C66" s="1" t="str">
        <x:v>Cli_9</x:v>
      </x:c>
      <x:c r="D66" s="1" t="str">
        <x:v>NOT_AVAILABLE</x:v>
      </x:c>
      <x:c r="E66" s="5"/>
      <x:c r="F66" s="4" t="n">
        <x:v>0</x:v>
      </x:c>
      <x:c r="G66" s="4" t="n">
        <x:v>5851</x:v>
      </x:c>
      <x:c r="H66" s="6" t="n">
        <x:v>82.65</x:v>
      </x:c>
      <x:c r="I66" s="16" t="n">
        <x:v>1</x:v>
      </x:c>
      <x:c r="J66"/>
      <x:c r="K66" s="4"/>
      <x:c r="L66" s="4"/>
      <x:c r="M66" s="4"/>
      <x:c r="N66" s="5"/>
    </x:row>
    <x:row r="67" ht="24" customHeight="1">
      <x:c r="A67" s="1" t="str">
        <x:v>RESULT</x:v>
      </x:c>
      <x:c r="B67" s="1" t="str">
        <x:v>Round1</x:v>
      </x:c>
      <x:c r="C67" s="1" t="str">
        <x:v>Closure_1</x:v>
      </x:c>
      <x:c r="D67" s="1" t="str">
        <x:v>NOT_AVAILABLE</x:v>
      </x:c>
      <x:c r="E67" s="5"/>
      <x:c r="F67" s="4" t="n">
        <x:v>0</x:v>
      </x:c>
      <x:c r="G67" s="4" t="n">
        <x:v>8218</x:v>
      </x:c>
      <x:c r="H67" s="6" t="n">
        <x:v>74.5</x:v>
      </x:c>
      <x:c r="I67" s="16" t="n">
        <x:v>1</x:v>
      </x:c>
      <x:c r="J67"/>
      <x:c r="K67" s="4"/>
      <x:c r="L67" s="4"/>
      <x:c r="M67" s="4"/>
      <x:c r="N67" s="5"/>
    </x:row>
    <x:row r="68" ht="24" customHeight="1">
      <x:c r="A68" s="1" t="str">
        <x:v>RESULT</x:v>
      </x:c>
      <x:c r="B68" s="1" t="str">
        <x:v>Round1</x:v>
      </x:c>
      <x:c r="C68" s="1" t="str">
        <x:v>Closure_10</x:v>
      </x:c>
      <x:c r="D68" s="1" t="str">
        <x:v>NOT_AVAILABLE</x:v>
      </x:c>
      <x:c r="E68" s="5"/>
      <x:c r="F68" s="4" t="n">
        <x:v>0</x:v>
      </x:c>
      <x:c r="G68" s="4" t="n">
        <x:v>24564</x:v>
      </x:c>
      <x:c r="H68" s="6" t="n">
        <x:v>300.89</x:v>
      </x:c>
      <x:c r="I68" s="16" t="n">
        <x:v>1</x:v>
      </x:c>
      <x:c r="J68"/>
      <x:c r="K68" s="4"/>
      <x:c r="L68" s="4"/>
      <x:c r="M68" s="4"/>
      <x:c r="N68" s="5"/>
    </x:row>
    <x:row r="69" ht="24" customHeight="1">
      <x:c r="A69" s="1" t="str">
        <x:v>RESULT</x:v>
      </x:c>
      <x:c r="B69" s="1" t="str">
        <x:v>Round1</x:v>
      </x:c>
      <x:c r="C69" s="1" t="str">
        <x:v>Closure_100</x:v>
      </x:c>
      <x:c r="D69" s="1" t="str">
        <x:v>NOT_AVAILABLE</x:v>
      </x:c>
      <x:c r="E69" s="5"/>
      <x:c r="F69" s="4" t="n">
        <x:v>0</x:v>
      </x:c>
      <x:c r="G69" s="4" t="n">
        <x:v>4312</x:v>
      </x:c>
      <x:c r="H69" s="6" t="n">
        <x:v>65.73</x:v>
      </x:c>
      <x:c r="I69" s="16" t="n">
        <x:v>1</x:v>
      </x:c>
      <x:c r="J69"/>
      <x:c r="K69" s="4"/>
      <x:c r="L69" s="4"/>
      <x:c r="M69" s="4"/>
      <x:c r="N69" s="5"/>
    </x:row>
    <x:row r="70" ht="24" customHeight="1">
      <x:c r="A70" s="1" t="str">
        <x:v>RESULT</x:v>
      </x:c>
      <x:c r="B70" s="1" t="str">
        <x:v>Round1</x:v>
      </x:c>
      <x:c r="C70" s="1" t="str">
        <x:v>Closure_101</x:v>
      </x:c>
      <x:c r="D70" s="1" t="str">
        <x:v>NOT_AVAILABLE</x:v>
      </x:c>
      <x:c r="E70" s="5"/>
      <x:c r="F70" s="4" t="n">
        <x:v>0</x:v>
      </x:c>
      <x:c r="G70" s="4" t="n">
        <x:v>7704</x:v>
      </x:c>
      <x:c r="H70" s="6" t="n">
        <x:v>80.18</x:v>
      </x:c>
      <x:c r="I70" s="16" t="n">
        <x:v>1</x:v>
      </x:c>
      <x:c r="J70"/>
      <x:c r="K70" s="4"/>
      <x:c r="L70" s="4"/>
      <x:c r="M70" s="4"/>
      <x:c r="N70" s="5"/>
    </x:row>
    <x:row r="71" ht="24" customHeight="1">
      <x:c r="A71" s="1" t="str">
        <x:v>RESULT</x:v>
      </x:c>
      <x:c r="B71" s="1" t="str">
        <x:v>Round1</x:v>
      </x:c>
      <x:c r="C71" s="1" t="str">
        <x:v>Closure_102</x:v>
      </x:c>
      <x:c r="D71" s="1" t="str">
        <x:v>NOT_AVAILABLE</x:v>
      </x:c>
      <x:c r="E71" s="5"/>
      <x:c r="F71" s="4" t="n">
        <x:v>0</x:v>
      </x:c>
      <x:c r="G71" s="4" t="n">
        <x:v>7562</x:v>
      </x:c>
      <x:c r="H71" s="6" t="n">
        <x:v>68.47</x:v>
      </x:c>
      <x:c r="I71" s="16" t="n">
        <x:v>1</x:v>
      </x:c>
      <x:c r="J71"/>
      <x:c r="K71" s="4"/>
      <x:c r="L71" s="4"/>
      <x:c r="M71" s="4"/>
      <x:c r="N71" s="5"/>
    </x:row>
    <x:row r="72" ht="24" customHeight="1">
      <x:c r="A72" s="1" t="str">
        <x:v>RESULT</x:v>
      </x:c>
      <x:c r="B72" s="1" t="str">
        <x:v>Round1</x:v>
      </x:c>
      <x:c r="C72" s="1" t="str">
        <x:v>Closure_103</x:v>
      </x:c>
      <x:c r="D72" s="1" t="str">
        <x:v>NOT_AVAILABLE</x:v>
      </x:c>
      <x:c r="E72" s="5"/>
      <x:c r="F72" s="4" t="n">
        <x:v>0</x:v>
      </x:c>
      <x:c r="G72" s="4" t="n">
        <x:v>17713</x:v>
      </x:c>
      <x:c r="H72" s="6" t="n">
        <x:v>149.94</x:v>
      </x:c>
      <x:c r="I72" s="16" t="n">
        <x:v>1</x:v>
      </x:c>
      <x:c r="J72"/>
      <x:c r="K72" s="4"/>
      <x:c r="L72" s="4"/>
      <x:c r="M72" s="4"/>
      <x:c r="N72" s="5"/>
    </x:row>
    <x:row r="73" ht="24" customHeight="1">
      <x:c r="A73" s="1" t="str">
        <x:v>RESULT</x:v>
      </x:c>
      <x:c r="B73" s="1" t="str">
        <x:v>Round1</x:v>
      </x:c>
      <x:c r="C73" s="1" t="str">
        <x:v>Closure_104</x:v>
      </x:c>
      <x:c r="D73" s="1" t="str">
        <x:v>NOT_AVAILABLE</x:v>
      </x:c>
      <x:c r="E73" s="5"/>
      <x:c r="F73" s="4" t="n">
        <x:v>0</x:v>
      </x:c>
      <x:c r="G73" s="4" t="n">
        <x:v>8590</x:v>
      </x:c>
      <x:c r="H73" s="6" t="n">
        <x:v>113.18</x:v>
      </x:c>
      <x:c r="I73" s="16" t="n">
        <x:v>1</x:v>
      </x:c>
      <x:c r="J73"/>
      <x:c r="K73" s="4"/>
      <x:c r="L73" s="4"/>
      <x:c r="M73" s="4"/>
      <x:c r="N73" s="5"/>
    </x:row>
    <x:row r="74" ht="24" customHeight="1">
      <x:c r="A74" s="1" t="str">
        <x:v>RESULT</x:v>
      </x:c>
      <x:c r="B74" s="1" t="str">
        <x:v>Round1</x:v>
      </x:c>
      <x:c r="C74" s="1" t="str">
        <x:v>Closure_105</x:v>
      </x:c>
      <x:c r="D74" s="1" t="str">
        <x:v>NOT_AVAILABLE</x:v>
      </x:c>
      <x:c r="E74" s="5"/>
      <x:c r="F74" s="4" t="n">
        <x:v>0</x:v>
      </x:c>
      <x:c r="G74" s="4" t="n">
        <x:v>15031</x:v>
      </x:c>
      <x:c r="H74" s="6" t="n">
        <x:v>61.2</x:v>
      </x:c>
      <x:c r="I74" s="16" t="n">
        <x:v>1</x:v>
      </x:c>
      <x:c r="J74"/>
      <x:c r="K74" s="4"/>
      <x:c r="L74" s="4"/>
      <x:c r="M74" s="4"/>
      <x:c r="N74" s="5"/>
    </x:row>
    <x:row r="75" ht="24" customHeight="1">
      <x:c r="A75" s="1" t="str">
        <x:v>RESULT</x:v>
      </x:c>
      <x:c r="B75" s="1" t="str">
        <x:v>Round1</x:v>
      </x:c>
      <x:c r="C75" s="1" t="str">
        <x:v>Closure_106</x:v>
      </x:c>
      <x:c r="D75" s="1" t="str">
        <x:v>NOT_AVAILABLE</x:v>
      </x:c>
      <x:c r="E75" s="5"/>
      <x:c r="F75" s="4" t="n">
        <x:v>0</x:v>
      </x:c>
      <x:c r="G75" s="4" t="n">
        <x:v>17948</x:v>
      </x:c>
      <x:c r="H75" s="6" t="n">
        <x:v>152.21</x:v>
      </x:c>
      <x:c r="I75" s="16" t="n">
        <x:v>1</x:v>
      </x:c>
      <x:c r="J75"/>
      <x:c r="K75" s="4"/>
      <x:c r="L75" s="4"/>
      <x:c r="M75" s="4"/>
      <x:c r="N75" s="5"/>
    </x:row>
    <x:row r="76" ht="24" customHeight="1">
      <x:c r="A76" s="1" t="str">
        <x:v>RESULT</x:v>
      </x:c>
      <x:c r="B76" s="1" t="str">
        <x:v>Round1</x:v>
      </x:c>
      <x:c r="C76" s="1" t="str">
        <x:v>Closure_107</x:v>
      </x:c>
      <x:c r="D76" s="1" t="str">
        <x:v>NOT_AVAILABLE</x:v>
      </x:c>
      <x:c r="E76" s="5"/>
      <x:c r="F76" s="4" t="n">
        <x:v>0</x:v>
      </x:c>
      <x:c r="G76" s="4" t="n">
        <x:v>10042</x:v>
      </x:c>
      <x:c r="H76" s="6" t="n">
        <x:v>43.7</x:v>
      </x:c>
      <x:c r="I76" s="16" t="n">
        <x:v>1</x:v>
      </x:c>
      <x:c r="J76"/>
      <x:c r="K76" s="4"/>
      <x:c r="L76" s="4"/>
      <x:c r="M76" s="4"/>
      <x:c r="N76" s="5"/>
    </x:row>
    <x:row r="77" ht="24" customHeight="1">
      <x:c r="A77" s="1" t="str">
        <x:v>RESULT</x:v>
      </x:c>
      <x:c r="B77" s="1" t="str">
        <x:v>Round1</x:v>
      </x:c>
      <x:c r="C77" s="1" t="str">
        <x:v>Closure_108</x:v>
      </x:c>
      <x:c r="D77" s="1" t="str">
        <x:v>NOT_AVAILABLE</x:v>
      </x:c>
      <x:c r="E77" s="5"/>
      <x:c r="F77" s="4" t="n">
        <x:v>0</x:v>
      </x:c>
      <x:c r="G77" s="4" t="n">
        <x:v>7647</x:v>
      </x:c>
      <x:c r="H77" s="6" t="n">
        <x:v>40.53</x:v>
      </x:c>
      <x:c r="I77" s="16" t="n">
        <x:v>1</x:v>
      </x:c>
      <x:c r="J77"/>
      <x:c r="K77" s="4"/>
      <x:c r="L77" s="4"/>
      <x:c r="M77" s="4"/>
      <x:c r="N77" s="5"/>
    </x:row>
    <x:row r="78" ht="24" customHeight="1">
      <x:c r="A78" s="1" t="str">
        <x:v>RESULT</x:v>
      </x:c>
      <x:c r="B78" s="1" t="str">
        <x:v>Round1</x:v>
      </x:c>
      <x:c r="C78" s="1" t="str">
        <x:v>Closure_109</x:v>
      </x:c>
      <x:c r="D78" s="1" t="str">
        <x:v>NOT_AVAILABLE</x:v>
      </x:c>
      <x:c r="E78" s="5"/>
      <x:c r="F78" s="4" t="n">
        <x:v>0</x:v>
      </x:c>
      <x:c r="G78" s="4" t="n">
        <x:v>15742</x:v>
      </x:c>
      <x:c r="H78" s="6" t="n">
        <x:v>6.02</x:v>
      </x:c>
      <x:c r="I78" s="16" t="n">
        <x:v>1</x:v>
      </x:c>
      <x:c r="J78"/>
      <x:c r="K78" s="4"/>
      <x:c r="L78" s="4"/>
      <x:c r="M78" s="4"/>
      <x:c r="N78" s="5"/>
    </x:row>
    <x:row r="79" ht="24" customHeight="1">
      <x:c r="A79" s="1" t="str">
        <x:v>RESULT</x:v>
      </x:c>
      <x:c r="B79" s="1" t="str">
        <x:v>Round1</x:v>
      </x:c>
      <x:c r="C79" s="1" t="str">
        <x:v>Closure_11</x:v>
      </x:c>
      <x:c r="D79" s="1" t="str">
        <x:v>NOT_AVAILABLE</x:v>
      </x:c>
      <x:c r="E79" s="5"/>
      <x:c r="F79" s="4" t="n">
        <x:v>0</x:v>
      </x:c>
      <x:c r="G79" s="4" t="n">
        <x:v>16438</x:v>
      </x:c>
      <x:c r="H79" s="6" t="n">
        <x:v>84.14</x:v>
      </x:c>
      <x:c r="I79" s="16" t="n">
        <x:v>1</x:v>
      </x:c>
      <x:c r="J79"/>
      <x:c r="K79" s="4"/>
      <x:c r="L79" s="4"/>
      <x:c r="M79" s="4"/>
      <x:c r="N79" s="5"/>
    </x:row>
    <x:row r="80" ht="24" customHeight="1">
      <x:c r="A80" s="1" t="str">
        <x:v>RESULT</x:v>
      </x:c>
      <x:c r="B80" s="1" t="str">
        <x:v>Round1</x:v>
      </x:c>
      <x:c r="C80" s="1" t="str">
        <x:v>Closure_110</x:v>
      </x:c>
      <x:c r="D80" s="1" t="str">
        <x:v>NOT_AVAILABLE</x:v>
      </x:c>
      <x:c r="E80" s="5"/>
      <x:c r="F80" s="4" t="n">
        <x:v>0</x:v>
      </x:c>
      <x:c r="G80" s="4" t="n">
        <x:v>27639</x:v>
      </x:c>
      <x:c r="H80" s="6" t="n">
        <x:v>234.41</x:v>
      </x:c>
      <x:c r="I80" s="16" t="n">
        <x:v>1</x:v>
      </x:c>
      <x:c r="J80"/>
      <x:c r="K80" s="4"/>
      <x:c r="L80" s="4"/>
      <x:c r="M80" s="4"/>
      <x:c r="N80" s="5"/>
    </x:row>
    <x:row r="81" ht="24" customHeight="1">
      <x:c r="A81" s="1" t="str">
        <x:v>RESULT</x:v>
      </x:c>
      <x:c r="B81" s="1" t="str">
        <x:v>Round1</x:v>
      </x:c>
      <x:c r="C81" s="1" t="str">
        <x:v>Closure_111</x:v>
      </x:c>
      <x:c r="D81" s="1" t="str">
        <x:v>NOT_AVAILABLE</x:v>
      </x:c>
      <x:c r="E81" s="5"/>
      <x:c r="F81" s="4" t="n">
        <x:v>0</x:v>
      </x:c>
      <x:c r="G81" s="4" t="n">
        <x:v>7786</x:v>
      </x:c>
      <x:c r="H81" s="6" t="n">
        <x:v>147.41</x:v>
      </x:c>
      <x:c r="I81" s="16" t="n">
        <x:v>1</x:v>
      </x:c>
      <x:c r="J81"/>
      <x:c r="K81" s="4"/>
      <x:c r="L81" s="4"/>
      <x:c r="M81" s="4"/>
      <x:c r="N81" s="5"/>
    </x:row>
    <x:row r="82" ht="24" customHeight="1">
      <x:c r="A82" s="1" t="str">
        <x:v>RESULT</x:v>
      </x:c>
      <x:c r="B82" s="1" t="str">
        <x:v>Round1</x:v>
      </x:c>
      <x:c r="C82" s="1" t="str">
        <x:v>Closure_112</x:v>
      </x:c>
      <x:c r="D82" s="1" t="str">
        <x:v>NOT_AVAILABLE</x:v>
      </x:c>
      <x:c r="E82" s="5"/>
      <x:c r="F82" s="4" t="n">
        <x:v>0</x:v>
      </x:c>
      <x:c r="G82" s="4" t="n">
        <x:v>14397</x:v>
      </x:c>
      <x:c r="H82" s="6" t="n">
        <x:v>106.49</x:v>
      </x:c>
      <x:c r="I82" s="16" t="n">
        <x:v>1</x:v>
      </x:c>
      <x:c r="J82"/>
      <x:c r="K82" s="4"/>
      <x:c r="L82" s="4"/>
      <x:c r="M82" s="4"/>
      <x:c r="N82" s="5"/>
    </x:row>
    <x:row r="83" ht="24" customHeight="1">
      <x:c r="A83" s="1" t="str">
        <x:v>RESULT</x:v>
      </x:c>
      <x:c r="B83" s="1" t="str">
        <x:v>Round1</x:v>
      </x:c>
      <x:c r="C83" s="1" t="str">
        <x:v>Closure_113</x:v>
      </x:c>
      <x:c r="D83" s="1" t="str">
        <x:v>NOT_AVAILABLE</x:v>
      </x:c>
      <x:c r="E83" s="5"/>
      <x:c r="F83" s="4" t="n">
        <x:v>0</x:v>
      </x:c>
      <x:c r="G83" s="4" t="n">
        <x:v>10558</x:v>
      </x:c>
      <x:c r="H83" s="6" t="n">
        <x:v>59.15</x:v>
      </x:c>
      <x:c r="I83" s="16" t="n">
        <x:v>1</x:v>
      </x:c>
      <x:c r="J83"/>
      <x:c r="K83" s="4"/>
      <x:c r="L83" s="4"/>
      <x:c r="M83" s="4"/>
      <x:c r="N83" s="5"/>
    </x:row>
    <x:row r="84" ht="24" customHeight="1">
      <x:c r="A84" s="1" t="str">
        <x:v>RESULT</x:v>
      </x:c>
      <x:c r="B84" s="1" t="str">
        <x:v>Round1</x:v>
      </x:c>
      <x:c r="C84" s="1" t="str">
        <x:v>Closure_114</x:v>
      </x:c>
      <x:c r="D84" s="1" t="str">
        <x:v>NOT_AVAILABLE</x:v>
      </x:c>
      <x:c r="E84" s="5"/>
      <x:c r="F84" s="4" t="n">
        <x:v>0</x:v>
      </x:c>
      <x:c r="G84" s="4" t="n">
        <x:v>13109</x:v>
      </x:c>
      <x:c r="H84" s="6" t="n">
        <x:v>74.95</x:v>
      </x:c>
      <x:c r="I84" s="16" t="n">
        <x:v>1</x:v>
      </x:c>
      <x:c r="J84"/>
      <x:c r="K84" s="4"/>
      <x:c r="L84" s="4"/>
      <x:c r="M84" s="4"/>
      <x:c r="N84" s="5"/>
    </x:row>
    <x:row r="85" ht="24" customHeight="1">
      <x:c r="A85" s="1" t="str">
        <x:v>RESULT</x:v>
      </x:c>
      <x:c r="B85" s="1" t="str">
        <x:v>Round1</x:v>
      </x:c>
      <x:c r="C85" s="1" t="str">
        <x:v>Closure_115</x:v>
      </x:c>
      <x:c r="D85" s="1" t="str">
        <x:v>NOT_AVAILABLE</x:v>
      </x:c>
      <x:c r="E85" s="5"/>
      <x:c r="F85" s="4" t="n">
        <x:v>0</x:v>
      </x:c>
      <x:c r="G85" s="4" t="n">
        <x:v>8334</x:v>
      </x:c>
      <x:c r="H85" s="6" t="n">
        <x:v>75.67</x:v>
      </x:c>
      <x:c r="I85" s="16" t="n">
        <x:v>1</x:v>
      </x:c>
      <x:c r="J85"/>
      <x:c r="K85" s="4"/>
      <x:c r="L85" s="4"/>
      <x:c r="M85" s="4"/>
      <x:c r="N85" s="5"/>
    </x:row>
    <x:row r="86" ht="24" customHeight="1">
      <x:c r="A86" s="1" t="str">
        <x:v>RESULT</x:v>
      </x:c>
      <x:c r="B86" s="1" t="str">
        <x:v>Round1</x:v>
      </x:c>
      <x:c r="C86" s="1" t="str">
        <x:v>Closure_116</x:v>
      </x:c>
      <x:c r="D86" s="1" t="str">
        <x:v>NOT_AVAILABLE</x:v>
      </x:c>
      <x:c r="E86" s="5"/>
      <x:c r="F86" s="4" t="n">
        <x:v>0</x:v>
      </x:c>
      <x:c r="G86" s="4" t="n">
        <x:v>8415</x:v>
      </x:c>
      <x:c r="H86" s="6" t="n">
        <x:v>78.09</x:v>
      </x:c>
      <x:c r="I86" s="16" t="n">
        <x:v>1</x:v>
      </x:c>
      <x:c r="J86"/>
      <x:c r="K86" s="4"/>
      <x:c r="L86" s="4"/>
      <x:c r="M86" s="4"/>
      <x:c r="N86" s="5"/>
    </x:row>
    <x:row r="87" ht="24" customHeight="1">
      <x:c r="A87" s="1" t="str">
        <x:v>RESULT</x:v>
      </x:c>
      <x:c r="B87" s="1" t="str">
        <x:v>Round1</x:v>
      </x:c>
      <x:c r="C87" s="1" t="str">
        <x:v>Closure_117</x:v>
      </x:c>
      <x:c r="D87" s="1" t="str">
        <x:v>NOT_AVAILABLE</x:v>
      </x:c>
      <x:c r="E87" s="5"/>
      <x:c r="F87" s="4" t="n">
        <x:v>0</x:v>
      </x:c>
      <x:c r="G87" s="4" t="n">
        <x:v>10138</x:v>
      </x:c>
      <x:c r="H87" s="6" t="n">
        <x:v>111.72</x:v>
      </x:c>
      <x:c r="I87" s="16" t="n">
        <x:v>1</x:v>
      </x:c>
      <x:c r="J87"/>
      <x:c r="K87" s="4"/>
      <x:c r="L87" s="4"/>
      <x:c r="M87" s="4"/>
      <x:c r="N87" s="5"/>
    </x:row>
    <x:row r="88" ht="24" customHeight="1">
      <x:c r="A88" s="1" t="str">
        <x:v>RESULT</x:v>
      </x:c>
      <x:c r="B88" s="1" t="str">
        <x:v>Round1</x:v>
      </x:c>
      <x:c r="C88" s="1" t="str">
        <x:v>Closure_118</x:v>
      </x:c>
      <x:c r="D88" s="1" t="str">
        <x:v>NOT_AVAILABLE</x:v>
      </x:c>
      <x:c r="E88" s="5"/>
      <x:c r="F88" s="4" t="n">
        <x:v>0</x:v>
      </x:c>
      <x:c r="G88" s="4" t="n">
        <x:v>9177</x:v>
      </x:c>
      <x:c r="H88" s="6" t="n">
        <x:v>31.36</x:v>
      </x:c>
      <x:c r="I88" s="16" t="n">
        <x:v>1</x:v>
      </x:c>
      <x:c r="J88"/>
      <x:c r="K88" s="4"/>
      <x:c r="L88" s="4"/>
      <x:c r="M88" s="4"/>
      <x:c r="N88" s="5"/>
    </x:row>
    <x:row r="89" ht="24" customHeight="1">
      <x:c r="A89" s="1" t="str">
        <x:v>RESULT</x:v>
      </x:c>
      <x:c r="B89" s="1" t="str">
        <x:v>Round1</x:v>
      </x:c>
      <x:c r="C89" s="1" t="str">
        <x:v>Closure_119</x:v>
      </x:c>
      <x:c r="D89" s="1" t="str">
        <x:v>NOT_AVAILABLE</x:v>
      </x:c>
      <x:c r="E89" s="5"/>
      <x:c r="F89" s="4" t="n">
        <x:v>0</x:v>
      </x:c>
      <x:c r="G89" s="4" t="n">
        <x:v>11476</x:v>
      </x:c>
      <x:c r="H89" s="6" t="n">
        <x:v>107.35</x:v>
      </x:c>
      <x:c r="I89" s="16" t="n">
        <x:v>1</x:v>
      </x:c>
      <x:c r="J89"/>
      <x:c r="K89" s="4"/>
      <x:c r="L89" s="4"/>
      <x:c r="M89" s="4"/>
      <x:c r="N89" s="5"/>
    </x:row>
    <x:row r="90" ht="24" customHeight="1">
      <x:c r="A90" s="1" t="str">
        <x:v>RESULT</x:v>
      </x:c>
      <x:c r="B90" s="1" t="str">
        <x:v>Round1</x:v>
      </x:c>
      <x:c r="C90" s="1" t="str">
        <x:v>Closure_12</x:v>
      </x:c>
      <x:c r="D90" s="1" t="str">
        <x:v>NOT_AVAILABLE</x:v>
      </x:c>
      <x:c r="E90" s="5"/>
      <x:c r="F90" s="4" t="n">
        <x:v>0</x:v>
      </x:c>
      <x:c r="G90" s="4" t="n">
        <x:v>9632</x:v>
      </x:c>
      <x:c r="H90" s="6" t="n">
        <x:v>183.72</x:v>
      </x:c>
      <x:c r="I90" s="16" t="n">
        <x:v>1</x:v>
      </x:c>
      <x:c r="J90"/>
      <x:c r="K90" s="4"/>
      <x:c r="L90" s="4"/>
      <x:c r="M90" s="4"/>
      <x:c r="N90" s="5"/>
    </x:row>
    <x:row r="91" ht="24" customHeight="1">
      <x:c r="A91" s="1" t="str">
        <x:v>RESULT</x:v>
      </x:c>
      <x:c r="B91" s="1" t="str">
        <x:v>Round1</x:v>
      </x:c>
      <x:c r="C91" s="1" t="str">
        <x:v>Closure_120</x:v>
      </x:c>
      <x:c r="D91" s="1" t="str">
        <x:v>NOT_AVAILABLE</x:v>
      </x:c>
      <x:c r="E91" s="5"/>
      <x:c r="F91" s="4" t="n">
        <x:v>0</x:v>
      </x:c>
      <x:c r="G91" s="4" t="n">
        <x:v>5761</x:v>
      </x:c>
      <x:c r="H91" s="6" t="n">
        <x:v>40.19</x:v>
      </x:c>
      <x:c r="I91" s="16" t="n">
        <x:v>1</x:v>
      </x:c>
      <x:c r="J91"/>
      <x:c r="K91" s="4"/>
      <x:c r="L91" s="4"/>
      <x:c r="M91" s="4"/>
      <x:c r="N91" s="5"/>
    </x:row>
    <x:row r="92" ht="24" customHeight="1">
      <x:c r="A92" s="1" t="str">
        <x:v>RESULT</x:v>
      </x:c>
      <x:c r="B92" s="1" t="str">
        <x:v>Round1</x:v>
      </x:c>
      <x:c r="C92" s="1" t="str">
        <x:v>Closure_121</x:v>
      </x:c>
      <x:c r="D92" s="1" t="str">
        <x:v>NOT_AVAILABLE</x:v>
      </x:c>
      <x:c r="E92" s="5"/>
      <x:c r="F92" s="4" t="n">
        <x:v>0</x:v>
      </x:c>
      <x:c r="G92" s="4" t="n">
        <x:v>8308</x:v>
      </x:c>
      <x:c r="H92" s="6" t="n">
        <x:v>98.02</x:v>
      </x:c>
      <x:c r="I92" s="16" t="n">
        <x:v>1</x:v>
      </x:c>
      <x:c r="J92"/>
      <x:c r="K92" s="4"/>
      <x:c r="L92" s="4"/>
      <x:c r="M92" s="4"/>
      <x:c r="N92" s="5"/>
    </x:row>
    <x:row r="93" ht="24" customHeight="1">
      <x:c r="A93" s="1" t="str">
        <x:v>RESULT</x:v>
      </x:c>
      <x:c r="B93" s="1" t="str">
        <x:v>Round1</x:v>
      </x:c>
      <x:c r="C93" s="1" t="str">
        <x:v>Closure_122</x:v>
      </x:c>
      <x:c r="D93" s="1" t="str">
        <x:v>NOT_AVAILABLE</x:v>
      </x:c>
      <x:c r="E93" s="5"/>
      <x:c r="F93" s="4" t="n">
        <x:v>0</x:v>
      </x:c>
      <x:c r="G93" s="4" t="n">
        <x:v>14331</x:v>
      </x:c>
      <x:c r="H93" s="6" t="n">
        <x:v>56.31</x:v>
      </x:c>
      <x:c r="I93" s="16" t="n">
        <x:v>1</x:v>
      </x:c>
      <x:c r="J93"/>
      <x:c r="K93" s="4"/>
      <x:c r="L93" s="4"/>
      <x:c r="M93" s="4"/>
      <x:c r="N93" s="5"/>
    </x:row>
    <x:row r="94" ht="24" customHeight="1">
      <x:c r="A94" s="1" t="str">
        <x:v>RESULT</x:v>
      </x:c>
      <x:c r="B94" s="1" t="str">
        <x:v>Round1</x:v>
      </x:c>
      <x:c r="C94" s="1" t="str">
        <x:v>Closure_123</x:v>
      </x:c>
      <x:c r="D94" s="1" t="str">
        <x:v>NOT_AVAILABLE</x:v>
      </x:c>
      <x:c r="E94" s="5"/>
      <x:c r="F94" s="4" t="n">
        <x:v>0</x:v>
      </x:c>
      <x:c r="G94" s="4" t="n">
        <x:v>14580</x:v>
      </x:c>
      <x:c r="H94" s="6" t="n">
        <x:v>173.39</x:v>
      </x:c>
      <x:c r="I94" s="16" t="n">
        <x:v>1</x:v>
      </x:c>
      <x:c r="J94"/>
      <x:c r="K94" s="4"/>
      <x:c r="L94" s="4"/>
      <x:c r="M94" s="4"/>
      <x:c r="N94" s="5"/>
    </x:row>
    <x:row r="95" ht="24" customHeight="1">
      <x:c r="A95" s="1" t="str">
        <x:v>RESULT</x:v>
      </x:c>
      <x:c r="B95" s="1" t="str">
        <x:v>Round1</x:v>
      </x:c>
      <x:c r="C95" s="1" t="str">
        <x:v>Closure_124</x:v>
      </x:c>
      <x:c r="D95" s="1" t="str">
        <x:v>NOT_AVAILABLE</x:v>
      </x:c>
      <x:c r="E95" s="5"/>
      <x:c r="F95" s="4" t="n">
        <x:v>0</x:v>
      </x:c>
      <x:c r="G95" s="4" t="n">
        <x:v>6807</x:v>
      </x:c>
      <x:c r="H95" s="6" t="n">
        <x:v>121.79</x:v>
      </x:c>
      <x:c r="I95" s="16" t="n">
        <x:v>1</x:v>
      </x:c>
      <x:c r="J95"/>
      <x:c r="K95" s="4"/>
      <x:c r="L95" s="4"/>
      <x:c r="M95" s="4"/>
      <x:c r="N95" s="5"/>
    </x:row>
    <x:row r="96" ht="24" customHeight="1">
      <x:c r="A96" s="1" t="str">
        <x:v>RESULT</x:v>
      </x:c>
      <x:c r="B96" s="1" t="str">
        <x:v>Round1</x:v>
      </x:c>
      <x:c r="C96" s="1" t="str">
        <x:v>Closure_125</x:v>
      </x:c>
      <x:c r="D96" s="1" t="str">
        <x:v>NOT_AVAILABLE</x:v>
      </x:c>
      <x:c r="E96" s="5"/>
      <x:c r="F96" s="4" t="n">
        <x:v>0</x:v>
      </x:c>
      <x:c r="G96" s="4" t="n">
        <x:v>16716</x:v>
      </x:c>
      <x:c r="H96" s="6" t="n">
        <x:v>49.04</x:v>
      </x:c>
      <x:c r="I96" s="16" t="n">
        <x:v>1</x:v>
      </x:c>
      <x:c r="J96"/>
      <x:c r="K96" s="4"/>
      <x:c r="L96" s="4"/>
      <x:c r="M96" s="4"/>
      <x:c r="N96" s="5"/>
    </x:row>
    <x:row r="97" ht="24" customHeight="1">
      <x:c r="A97" s="1" t="str">
        <x:v>RESULT</x:v>
      </x:c>
      <x:c r="B97" s="1" t="str">
        <x:v>Round1</x:v>
      </x:c>
      <x:c r="C97" s="1" t="str">
        <x:v>Closure_126</x:v>
      </x:c>
      <x:c r="D97" s="1" t="str">
        <x:v>NOT_AVAILABLE</x:v>
      </x:c>
      <x:c r="E97" s="5"/>
      <x:c r="F97" s="4" t="n">
        <x:v>0</x:v>
      </x:c>
      <x:c r="G97" s="4" t="n">
        <x:v>5528</x:v>
      </x:c>
      <x:c r="H97" s="6" t="n">
        <x:v>53.96</x:v>
      </x:c>
      <x:c r="I97" s="16" t="n">
        <x:v>1</x:v>
      </x:c>
      <x:c r="J97"/>
      <x:c r="K97" s="4"/>
      <x:c r="L97" s="4"/>
      <x:c r="M97" s="4"/>
      <x:c r="N97" s="5"/>
    </x:row>
    <x:row r="98" ht="24" customHeight="1">
      <x:c r="A98" s="1" t="str">
        <x:v>RESULT</x:v>
      </x:c>
      <x:c r="B98" s="1" t="str">
        <x:v>Round1</x:v>
      </x:c>
      <x:c r="C98" s="1" t="str">
        <x:v>Closure_127</x:v>
      </x:c>
      <x:c r="D98" s="1" t="str">
        <x:v>NOT_AVAILABLE</x:v>
      </x:c>
      <x:c r="E98" s="5"/>
      <x:c r="F98" s="4" t="n">
        <x:v>0</x:v>
      </x:c>
      <x:c r="G98" s="4" t="n">
        <x:v>3902</x:v>
      </x:c>
      <x:c r="H98" s="6" t="n">
        <x:v>44.46</x:v>
      </x:c>
      <x:c r="I98" s="16" t="n">
        <x:v>1</x:v>
      </x:c>
      <x:c r="J98"/>
      <x:c r="K98" s="4"/>
      <x:c r="L98" s="4"/>
      <x:c r="M98" s="4"/>
      <x:c r="N98" s="5"/>
    </x:row>
    <x:row r="99" ht="24" customHeight="1">
      <x:c r="A99" s="1" t="str">
        <x:v>RESULT</x:v>
      </x:c>
      <x:c r="B99" s="1" t="str">
        <x:v>Round1</x:v>
      </x:c>
      <x:c r="C99" s="1" t="str">
        <x:v>Closure_128</x:v>
      </x:c>
      <x:c r="D99" s="1" t="str">
        <x:v>NOT_AVAILABLE</x:v>
      </x:c>
      <x:c r="E99" s="5"/>
      <x:c r="F99" s="4" t="n">
        <x:v>0</x:v>
      </x:c>
      <x:c r="G99" s="4" t="n">
        <x:v>13228</x:v>
      </x:c>
      <x:c r="H99" s="6" t="n">
        <x:v>143.85</x:v>
      </x:c>
      <x:c r="I99" s="16" t="n">
        <x:v>1</x:v>
      </x:c>
      <x:c r="J99"/>
      <x:c r="K99" s="4"/>
      <x:c r="L99" s="4"/>
      <x:c r="M99" s="4"/>
      <x:c r="N99" s="5"/>
    </x:row>
    <x:row r="100" ht="24" customHeight="1">
      <x:c r="A100" s="1" t="str">
        <x:v>RESULT</x:v>
      </x:c>
      <x:c r="B100" s="1" t="str">
        <x:v>Round1</x:v>
      </x:c>
      <x:c r="C100" s="1" t="str">
        <x:v>Closure_129</x:v>
      </x:c>
      <x:c r="D100" s="1" t="str">
        <x:v>NOT_AVAILABLE</x:v>
      </x:c>
      <x:c r="E100" s="5"/>
      <x:c r="F100" s="4" t="n">
        <x:v>0</x:v>
      </x:c>
      <x:c r="G100" s="4" t="n">
        <x:v>5042</x:v>
      </x:c>
      <x:c r="H100" s="6" t="n">
        <x:v>70.98</x:v>
      </x:c>
      <x:c r="I100" s="16" t="n">
        <x:v>1</x:v>
      </x:c>
      <x:c r="J100"/>
      <x:c r="K100" s="4"/>
      <x:c r="L100" s="4"/>
      <x:c r="M100" s="4"/>
      <x:c r="N100" s="5"/>
    </x:row>
    <x:row r="101" ht="24" customHeight="1">
      <x:c r="A101" s="1" t="str">
        <x:v>RESULT</x:v>
      </x:c>
      <x:c r="B101" s="1" t="str">
        <x:v>Round1</x:v>
      </x:c>
      <x:c r="C101" s="1" t="str">
        <x:v>Closure_13</x:v>
      </x:c>
      <x:c r="D101" s="1" t="str">
        <x:v>NOT_AVAILABLE</x:v>
      </x:c>
      <x:c r="E101" s="5"/>
      <x:c r="F101" s="4" t="n">
        <x:v>0</x:v>
      </x:c>
      <x:c r="G101" s="4" t="n">
        <x:v>5387</x:v>
      </x:c>
      <x:c r="H101" s="6" t="n">
        <x:v>88.81</x:v>
      </x:c>
      <x:c r="I101" s="16" t="n">
        <x:v>1</x:v>
      </x:c>
      <x:c r="J101"/>
      <x:c r="K101" s="4"/>
      <x:c r="L101" s="4"/>
      <x:c r="M101" s="4"/>
      <x:c r="N101" s="5"/>
    </x:row>
    <x:row r="102" ht="24" customHeight="1">
      <x:c r="A102" s="1" t="str">
        <x:v>RESULT</x:v>
      </x:c>
      <x:c r="B102" s="1" t="str">
        <x:v>Round1</x:v>
      </x:c>
      <x:c r="C102" s="1" t="str">
        <x:v>Closure_130</x:v>
      </x:c>
      <x:c r="D102" s="1" t="str">
        <x:v>NOT_AVAILABLE</x:v>
      </x:c>
      <x:c r="E102" s="5"/>
      <x:c r="F102" s="4" t="n">
        <x:v>0</x:v>
      </x:c>
      <x:c r="G102" s="4" t="n">
        <x:v>9142</x:v>
      </x:c>
      <x:c r="H102" s="6" t="n">
        <x:v>92.22</x:v>
      </x:c>
      <x:c r="I102" s="16" t="n">
        <x:v>1</x:v>
      </x:c>
      <x:c r="J102"/>
      <x:c r="K102" s="4"/>
      <x:c r="L102" s="4"/>
      <x:c r="M102" s="4"/>
      <x:c r="N102" s="5"/>
    </x:row>
    <x:row r="103" ht="24" customHeight="1">
      <x:c r="A103" s="1" t="str">
        <x:v>RESULT</x:v>
      </x:c>
      <x:c r="B103" s="1" t="str">
        <x:v>Round1</x:v>
      </x:c>
      <x:c r="C103" s="1" t="str">
        <x:v>Closure_131</x:v>
      </x:c>
      <x:c r="D103" s="1" t="str">
        <x:v>REVEALING</x:v>
      </x:c>
      <x:c r="E103" s="5" t="n">
        <x:v>0.9912000000000001</x:v>
      </x:c>
      <x:c r="F103" s="4" t="n">
        <x:v>1</x:v>
      </x:c>
      <x:c r="G103" s="4" t="n">
        <x:v>5724</x:v>
      </x:c>
      <x:c r="H103" s="6" t="n">
        <x:v>82.71</x:v>
      </x:c>
      <x:c r="I103" s="16" t="n">
        <x:v>1</x:v>
      </x:c>
      <x:c r="J103" t="n">
        <x:v>113</x:v>
      </x:c>
      <x:c r="K103" s="4" t="n">
        <x:v>112</x:v>
      </x:c>
      <x:c r="L103" s="4" t="n">
        <x:v>165</x:v>
      </x:c>
      <x:c r="M103" s="4" t="n">
        <x:v>138</x:v>
      </x:c>
      <x:c r="N103" s="5" t="n">
        <x:v>0.8364</x:v>
      </x:c>
    </x:row>
    <x:row r="104" ht="24" customHeight="1">
      <x:c r="A104" s="1" t="str">
        <x:v>RESULT</x:v>
      </x:c>
      <x:c r="B104" s="1" t="str">
        <x:v>Round1</x:v>
      </x:c>
      <x:c r="C104" s="1" t="str">
        <x:v>Closure_132</x:v>
      </x:c>
      <x:c r="D104" s="1" t="str">
        <x:v>NOT_AVAILABLE</x:v>
      </x:c>
      <x:c r="E104" s="5"/>
      <x:c r="F104" s="4" t="n">
        <x:v>0</x:v>
      </x:c>
      <x:c r="G104" s="4" t="n">
        <x:v>15715</x:v>
      </x:c>
      <x:c r="H104" s="6" t="n">
        <x:v>167.93</x:v>
      </x:c>
      <x:c r="I104" s="16" t="n">
        <x:v>1</x:v>
      </x:c>
      <x:c r="J104"/>
      <x:c r="K104" s="4"/>
      <x:c r="L104" s="4"/>
      <x:c r="M104" s="4"/>
      <x:c r="N104" s="5"/>
    </x:row>
    <x:row r="105" ht="24" customHeight="1">
      <x:c r="A105" s="1" t="str">
        <x:v>RESULT</x:v>
      </x:c>
      <x:c r="B105" s="1" t="str">
        <x:v>Round1</x:v>
      </x:c>
      <x:c r="C105" s="1" t="str">
        <x:v>Closure_133</x:v>
      </x:c>
      <x:c r="D105" s="1" t="str">
        <x:v>NOT_AVAILABLE</x:v>
      </x:c>
      <x:c r="E105" s="5"/>
      <x:c r="F105" s="4" t="n">
        <x:v>0</x:v>
      </x:c>
      <x:c r="G105" s="4" t="n">
        <x:v>16180</x:v>
      </x:c>
      <x:c r="H105" s="6" t="n">
        <x:v>50.66</x:v>
      </x:c>
      <x:c r="I105" s="16" t="n">
        <x:v>1</x:v>
      </x:c>
      <x:c r="J105"/>
      <x:c r="K105" s="4"/>
      <x:c r="L105" s="4"/>
      <x:c r="M105" s="4"/>
      <x:c r="N105" s="5"/>
    </x:row>
    <x:row r="106" ht="24" customHeight="1">
      <x:c r="A106" s="1" t="str">
        <x:v>RESULT</x:v>
      </x:c>
      <x:c r="B106" s="1" t="str">
        <x:v>Round1</x:v>
      </x:c>
      <x:c r="C106" s="1" t="str">
        <x:v>Closure_134</x:v>
      </x:c>
      <x:c r="D106" s="1" t="str">
        <x:v>NOT_AVAILABLE</x:v>
      </x:c>
      <x:c r="E106" s="5"/>
      <x:c r="F106" s="4" t="n">
        <x:v>0</x:v>
      </x:c>
      <x:c r="G106" s="4" t="n">
        <x:v>20118</x:v>
      </x:c>
      <x:c r="H106" s="6" t="n">
        <x:v>135.19</x:v>
      </x:c>
      <x:c r="I106" s="16" t="n">
        <x:v>1</x:v>
      </x:c>
      <x:c r="J106"/>
      <x:c r="K106" s="4"/>
      <x:c r="L106" s="4"/>
      <x:c r="M106" s="4"/>
      <x:c r="N106" s="5"/>
    </x:row>
    <x:row r="107" ht="24" customHeight="1">
      <x:c r="A107" s="1" t="str">
        <x:v>RESULT</x:v>
      </x:c>
      <x:c r="B107" s="1" t="str">
        <x:v>Round1</x:v>
      </x:c>
      <x:c r="C107" s="1" t="str">
        <x:v>Closure_135</x:v>
      </x:c>
      <x:c r="D107" s="1" t="str">
        <x:v>NOT_AVAILABLE</x:v>
      </x:c>
      <x:c r="E107" s="5"/>
      <x:c r="F107" s="4" t="n">
        <x:v>0</x:v>
      </x:c>
      <x:c r="G107" s="4" t="n">
        <x:v>13883</x:v>
      </x:c>
      <x:c r="H107" s="6" t="n">
        <x:v>145.11</x:v>
      </x:c>
      <x:c r="I107" s="16" t="n">
        <x:v>1</x:v>
      </x:c>
      <x:c r="J107"/>
      <x:c r="K107" s="4"/>
      <x:c r="L107" s="4"/>
      <x:c r="M107" s="4"/>
      <x:c r="N107" s="5"/>
    </x:row>
    <x:row r="108" ht="24" customHeight="1">
      <x:c r="A108" s="1" t="str">
        <x:v>RESULT</x:v>
      </x:c>
      <x:c r="B108" s="1" t="str">
        <x:v>Round1</x:v>
      </x:c>
      <x:c r="C108" s="1" t="str">
        <x:v>Closure_136</x:v>
      </x:c>
      <x:c r="D108" s="1" t="str">
        <x:v>NOT_AVAILABLE</x:v>
      </x:c>
      <x:c r="E108" s="5"/>
      <x:c r="F108" s="4" t="n">
        <x:v>0</x:v>
      </x:c>
      <x:c r="G108" s="4" t="n">
        <x:v>15818</x:v>
      </x:c>
      <x:c r="H108" s="6" t="n">
        <x:v>263.19</x:v>
      </x:c>
      <x:c r="I108" s="16" t="n">
        <x:v>1</x:v>
      </x:c>
      <x:c r="J108"/>
      <x:c r="K108" s="4"/>
      <x:c r="L108" s="4"/>
      <x:c r="M108" s="4"/>
      <x:c r="N108" s="5"/>
    </x:row>
    <x:row r="109" ht="24" customHeight="1">
      <x:c r="A109" s="1" t="str">
        <x:v>RESULT</x:v>
      </x:c>
      <x:c r="B109" s="1" t="str">
        <x:v>Round1</x:v>
      </x:c>
      <x:c r="C109" s="1" t="str">
        <x:v>Closure_137</x:v>
      </x:c>
      <x:c r="D109" s="1" t="str">
        <x:v>NOT_AVAILABLE</x:v>
      </x:c>
      <x:c r="E109" s="5"/>
      <x:c r="F109" s="4" t="n">
        <x:v>0</x:v>
      </x:c>
      <x:c r="G109" s="4" t="n">
        <x:v>28000</x:v>
      </x:c>
      <x:c r="H109" s="6" t="n">
        <x:v>236.29</x:v>
      </x:c>
      <x:c r="I109" s="16" t="n">
        <x:v>1</x:v>
      </x:c>
      <x:c r="J109"/>
      <x:c r="K109" s="4"/>
      <x:c r="L109" s="4"/>
      <x:c r="M109" s="4"/>
      <x:c r="N109" s="5"/>
    </x:row>
    <x:row r="110" ht="24" customHeight="1">
      <x:c r="A110" s="1" t="str">
        <x:v>RESULT</x:v>
      </x:c>
      <x:c r="B110" s="1" t="str">
        <x:v>Round1</x:v>
      </x:c>
      <x:c r="C110" s="1" t="str">
        <x:v>Closure_138</x:v>
      </x:c>
      <x:c r="D110" s="1" t="str">
        <x:v>NOT_AVAILABLE</x:v>
      </x:c>
      <x:c r="E110" s="5"/>
      <x:c r="F110" s="4" t="n">
        <x:v>0</x:v>
      </x:c>
      <x:c r="G110" s="4" t="n">
        <x:v>18080</x:v>
      </x:c>
      <x:c r="H110" s="6" t="n">
        <x:v>224.55</x:v>
      </x:c>
      <x:c r="I110" s="16" t="n">
        <x:v>1</x:v>
      </x:c>
      <x:c r="J110"/>
      <x:c r="K110" s="4"/>
      <x:c r="L110" s="4"/>
      <x:c r="M110" s="4"/>
      <x:c r="N110" s="5"/>
    </x:row>
    <x:row r="111" ht="24" customHeight="1">
      <x:c r="A111" s="1" t="str">
        <x:v>RESULT</x:v>
      </x:c>
      <x:c r="B111" s="1" t="str">
        <x:v>Round1</x:v>
      </x:c>
      <x:c r="C111" s="1" t="str">
        <x:v>Closure_139</x:v>
      </x:c>
      <x:c r="D111" s="1" t="str">
        <x:v>NOT_AVAILABLE</x:v>
      </x:c>
      <x:c r="E111" s="5"/>
      <x:c r="F111" s="4" t="n">
        <x:v>0</x:v>
      </x:c>
      <x:c r="G111" s="4" t="n">
        <x:v>8189</x:v>
      </x:c>
      <x:c r="H111" s="6" t="n">
        <x:v>69.59</x:v>
      </x:c>
      <x:c r="I111" s="16" t="n">
        <x:v>1</x:v>
      </x:c>
      <x:c r="J111"/>
      <x:c r="K111" s="4"/>
      <x:c r="L111" s="4"/>
      <x:c r="M111" s="4"/>
      <x:c r="N111" s="5"/>
    </x:row>
    <x:row r="112" ht="24" customHeight="1">
      <x:c r="A112" s="1" t="str">
        <x:v>RESULT</x:v>
      </x:c>
      <x:c r="B112" s="1" t="str">
        <x:v>Round1</x:v>
      </x:c>
      <x:c r="C112" s="1" t="str">
        <x:v>Closure_14</x:v>
      </x:c>
      <x:c r="D112" s="1" t="str">
        <x:v>NOT_AVAILABLE</x:v>
      </x:c>
      <x:c r="E112" s="5"/>
      <x:c r="F112" s="4" t="n">
        <x:v>0</x:v>
      </x:c>
      <x:c r="G112" s="4" t="n">
        <x:v>8397</x:v>
      </x:c>
      <x:c r="H112" s="6" t="n">
        <x:v>49.3</x:v>
      </x:c>
      <x:c r="I112" s="16" t="n">
        <x:v>1</x:v>
      </x:c>
      <x:c r="J112"/>
      <x:c r="K112" s="4"/>
      <x:c r="L112" s="4"/>
      <x:c r="M112" s="4"/>
      <x:c r="N112" s="5"/>
    </x:row>
    <x:row r="113" ht="24" customHeight="1">
      <x:c r="A113" s="1" t="str">
        <x:v>RESULT</x:v>
      </x:c>
      <x:c r="B113" s="1" t="str">
        <x:v>Round1</x:v>
      </x:c>
      <x:c r="C113" s="1" t="str">
        <x:v>Closure_140</x:v>
      </x:c>
      <x:c r="D113" s="1" t="str">
        <x:v>NOT_AVAILABLE</x:v>
      </x:c>
      <x:c r="E113" s="5"/>
      <x:c r="F113" s="4" t="n">
        <x:v>0</x:v>
      </x:c>
      <x:c r="G113" s="4" t="n">
        <x:v>12170</x:v>
      </x:c>
      <x:c r="H113" s="6" t="n">
        <x:v>77.08</x:v>
      </x:c>
      <x:c r="I113" s="16" t="n">
        <x:v>1</x:v>
      </x:c>
      <x:c r="J113"/>
      <x:c r="K113" s="4"/>
      <x:c r="L113" s="4"/>
      <x:c r="M113" s="4"/>
      <x:c r="N113" s="5"/>
    </x:row>
    <x:row r="114" ht="24" customHeight="1">
      <x:c r="A114" s="1" t="str">
        <x:v>RESULT</x:v>
      </x:c>
      <x:c r="B114" s="1" t="str">
        <x:v>Round1</x:v>
      </x:c>
      <x:c r="C114" s="1" t="str">
        <x:v>Closure_141</x:v>
      </x:c>
      <x:c r="D114" s="1" t="str">
        <x:v>NOT_AVAILABLE</x:v>
      </x:c>
      <x:c r="E114" s="5"/>
      <x:c r="F114" s="4" t="n">
        <x:v>0</x:v>
      </x:c>
      <x:c r="G114" s="4" t="n">
        <x:v>24200</x:v>
      </x:c>
      <x:c r="H114" s="6" t="n">
        <x:v>255.03</x:v>
      </x:c>
      <x:c r="I114" s="16" t="n">
        <x:v>1</x:v>
      </x:c>
      <x:c r="J114"/>
      <x:c r="K114" s="4"/>
      <x:c r="L114" s="4"/>
      <x:c r="M114" s="4"/>
      <x:c r="N114" s="5"/>
    </x:row>
    <x:row r="115" ht="24" customHeight="1">
      <x:c r="A115" s="1" t="str">
        <x:v>RESULT</x:v>
      </x:c>
      <x:c r="B115" s="1" t="str">
        <x:v>Round1</x:v>
      </x:c>
      <x:c r="C115" s="1" t="str">
        <x:v>Closure_142</x:v>
      </x:c>
      <x:c r="D115" s="1" t="str">
        <x:v>NOT_AVAILABLE</x:v>
      </x:c>
      <x:c r="E115" s="5"/>
      <x:c r="F115" s="4" t="n">
        <x:v>0</x:v>
      </x:c>
      <x:c r="G115" s="4" t="n">
        <x:v>20660</x:v>
      </x:c>
      <x:c r="H115" s="6" t="n">
        <x:v>123.67</x:v>
      </x:c>
      <x:c r="I115" s="16" t="n">
        <x:v>1</x:v>
      </x:c>
      <x:c r="J115"/>
      <x:c r="K115" s="4"/>
      <x:c r="L115" s="4"/>
      <x:c r="M115" s="4"/>
      <x:c r="N115" s="5"/>
    </x:row>
    <x:row r="116" ht="24" customHeight="1">
      <x:c r="A116" s="1" t="str">
        <x:v>RESULT</x:v>
      </x:c>
      <x:c r="B116" s="1" t="str">
        <x:v>Round1</x:v>
      </x:c>
      <x:c r="C116" s="1" t="str">
        <x:v>Closure_143</x:v>
      </x:c>
      <x:c r="D116" s="1" t="str">
        <x:v>NOT_AVAILABLE</x:v>
      </x:c>
      <x:c r="E116" s="5"/>
      <x:c r="F116" s="4" t="n">
        <x:v>0</x:v>
      </x:c>
      <x:c r="G116" s="4" t="n">
        <x:v>12063</x:v>
      </x:c>
      <x:c r="H116" s="6" t="n">
        <x:v>80.72</x:v>
      </x:c>
      <x:c r="I116" s="16" t="n">
        <x:v>1</x:v>
      </x:c>
      <x:c r="J116"/>
      <x:c r="K116" s="4"/>
      <x:c r="L116" s="4"/>
      <x:c r="M116" s="4"/>
      <x:c r="N116" s="5"/>
    </x:row>
    <x:row r="117" ht="24" customHeight="1">
      <x:c r="A117" s="1" t="str">
        <x:v>RESULT</x:v>
      </x:c>
      <x:c r="B117" s="1" t="str">
        <x:v>Round1</x:v>
      </x:c>
      <x:c r="C117" s="1" t="str">
        <x:v>Closure_144</x:v>
      </x:c>
      <x:c r="D117" s="1" t="str">
        <x:v>NOT_AVAILABLE</x:v>
      </x:c>
      <x:c r="E117" s="5"/>
      <x:c r="F117" s="4" t="n">
        <x:v>0</x:v>
      </x:c>
      <x:c r="G117" s="4" t="n">
        <x:v>33319</x:v>
      </x:c>
      <x:c r="H117" s="6" t="n">
        <x:v>287.97</x:v>
      </x:c>
      <x:c r="I117" s="16" t="n">
        <x:v>1</x:v>
      </x:c>
      <x:c r="J117"/>
      <x:c r="K117" s="4"/>
      <x:c r="L117" s="4"/>
      <x:c r="M117" s="4"/>
      <x:c r="N117" s="5"/>
    </x:row>
    <x:row r="118" ht="24" customHeight="1">
      <x:c r="A118" s="1" t="str">
        <x:v>RESULT</x:v>
      </x:c>
      <x:c r="B118" s="1" t="str">
        <x:v>Round1</x:v>
      </x:c>
      <x:c r="C118" s="1" t="str">
        <x:v>Closure_145</x:v>
      </x:c>
      <x:c r="D118" s="1" t="str">
        <x:v>NOT_AVAILABLE</x:v>
      </x:c>
      <x:c r="E118" s="5"/>
      <x:c r="F118" s="4" t="n">
        <x:v>0</x:v>
      </x:c>
      <x:c r="G118" s="4" t="n">
        <x:v>12076</x:v>
      </x:c>
      <x:c r="H118" s="6" t="n">
        <x:v>166.92</x:v>
      </x:c>
      <x:c r="I118" s="16" t="n">
        <x:v>1</x:v>
      </x:c>
      <x:c r="J118"/>
      <x:c r="K118" s="4"/>
      <x:c r="L118" s="4"/>
      <x:c r="M118" s="4"/>
      <x:c r="N118" s="5"/>
    </x:row>
    <x:row r="119" ht="24" customHeight="1">
      <x:c r="A119" s="1" t="str">
        <x:v>RESULT</x:v>
      </x:c>
      <x:c r="B119" s="1" t="str">
        <x:v>Round1</x:v>
      </x:c>
      <x:c r="C119" s="1" t="str">
        <x:v>Closure_146</x:v>
      </x:c>
      <x:c r="D119" s="1" t="str">
        <x:v>NOT_AVAILABLE</x:v>
      </x:c>
      <x:c r="E119" s="5"/>
      <x:c r="F119" s="4" t="n">
        <x:v>0</x:v>
      </x:c>
      <x:c r="G119" s="4" t="n">
        <x:v>7634</x:v>
      </x:c>
      <x:c r="H119" s="6" t="n">
        <x:v>107.39</x:v>
      </x:c>
      <x:c r="I119" s="16" t="n">
        <x:v>1</x:v>
      </x:c>
      <x:c r="J119"/>
      <x:c r="K119" s="4"/>
      <x:c r="L119" s="4"/>
      <x:c r="M119" s="4"/>
      <x:c r="N119" s="5"/>
    </x:row>
    <x:row r="120" ht="24" customHeight="1">
      <x:c r="A120" s="1" t="str">
        <x:v>RESULT</x:v>
      </x:c>
      <x:c r="B120" s="1" t="str">
        <x:v>Round1</x:v>
      </x:c>
      <x:c r="C120" s="1" t="str">
        <x:v>Closure_147</x:v>
      </x:c>
      <x:c r="D120" s="1" t="str">
        <x:v>NOT_AVAILABLE</x:v>
      </x:c>
      <x:c r="E120" s="5"/>
      <x:c r="F120" s="4" t="n">
        <x:v>0</x:v>
      </x:c>
      <x:c r="G120" s="4" t="n">
        <x:v>11208</x:v>
      </x:c>
      <x:c r="H120" s="6" t="n">
        <x:v>157.01</x:v>
      </x:c>
      <x:c r="I120" s="16" t="n">
        <x:v>1</x:v>
      </x:c>
      <x:c r="J120"/>
      <x:c r="K120" s="4"/>
      <x:c r="L120" s="4"/>
      <x:c r="M120" s="4"/>
      <x:c r="N120" s="5"/>
    </x:row>
    <x:row r="121" ht="24" customHeight="1">
      <x:c r="A121" s="1" t="str">
        <x:v>RESULT</x:v>
      </x:c>
      <x:c r="B121" s="1" t="str">
        <x:v>Round1</x:v>
      </x:c>
      <x:c r="C121" s="1" t="str">
        <x:v>Closure_148</x:v>
      </x:c>
      <x:c r="D121" s="1" t="str">
        <x:v>NOT_AVAILABLE</x:v>
      </x:c>
      <x:c r="E121" s="5"/>
      <x:c r="F121" s="4" t="n">
        <x:v>0</x:v>
      </x:c>
      <x:c r="G121" s="4" t="n">
        <x:v>16168</x:v>
      </x:c>
      <x:c r="H121" s="6" t="n">
        <x:v>108.29</x:v>
      </x:c>
      <x:c r="I121" s="16" t="n">
        <x:v>1</x:v>
      </x:c>
      <x:c r="J121"/>
      <x:c r="K121" s="4"/>
      <x:c r="L121" s="4"/>
      <x:c r="M121" s="4"/>
      <x:c r="N121" s="5"/>
    </x:row>
    <x:row r="122" ht="24" customHeight="1">
      <x:c r="A122" s="1" t="str">
        <x:v>RESULT</x:v>
      </x:c>
      <x:c r="B122" s="1" t="str">
        <x:v>Round1</x:v>
      </x:c>
      <x:c r="C122" s="1" t="str">
        <x:v>Closure_149</x:v>
      </x:c>
      <x:c r="D122" s="1" t="str">
        <x:v>NOT_AVAILABLE</x:v>
      </x:c>
      <x:c r="E122" s="5"/>
      <x:c r="F122" s="4" t="n">
        <x:v>0</x:v>
      </x:c>
      <x:c r="G122" s="4" t="n">
        <x:v>38413</x:v>
      </x:c>
      <x:c r="H122" s="6" t="n">
        <x:v>274.87</x:v>
      </x:c>
      <x:c r="I122" s="16" t="n">
        <x:v>1</x:v>
      </x:c>
      <x:c r="J122"/>
      <x:c r="K122" s="4"/>
      <x:c r="L122" s="4"/>
      <x:c r="M122" s="4"/>
      <x:c r="N122" s="5"/>
    </x:row>
    <x:row r="123" ht="24" customHeight="1">
      <x:c r="A123" s="1" t="str">
        <x:v>RESULT</x:v>
      </x:c>
      <x:c r="B123" s="1" t="str">
        <x:v>Round1</x:v>
      </x:c>
      <x:c r="C123" s="1" t="str">
        <x:v>Closure_15</x:v>
      </x:c>
      <x:c r="D123" s="1" t="str">
        <x:v>NOT_AVAILABLE</x:v>
      </x:c>
      <x:c r="E123" s="5"/>
      <x:c r="F123" s="4" t="n">
        <x:v>0</x:v>
      </x:c>
      <x:c r="G123" s="4" t="n">
        <x:v>6991</x:v>
      </x:c>
      <x:c r="H123" s="6" t="n">
        <x:v>61.39</x:v>
      </x:c>
      <x:c r="I123" s="16" t="n">
        <x:v>1</x:v>
      </x:c>
      <x:c r="J123"/>
      <x:c r="K123" s="4"/>
      <x:c r="L123" s="4"/>
      <x:c r="M123" s="4"/>
      <x:c r="N123" s="5"/>
    </x:row>
    <x:row r="124" ht="24" customHeight="1">
      <x:c r="A124" s="1" t="str">
        <x:v>RESULT</x:v>
      </x:c>
      <x:c r="B124" s="1" t="str">
        <x:v>Round1</x:v>
      </x:c>
      <x:c r="C124" s="1" t="str">
        <x:v>Closure_150</x:v>
      </x:c>
      <x:c r="D124" s="1" t="str">
        <x:v>NOT_AVAILABLE</x:v>
      </x:c>
      <x:c r="E124" s="5"/>
      <x:c r="F124" s="4" t="n">
        <x:v>0</x:v>
      </x:c>
      <x:c r="G124" s="4" t="n">
        <x:v>18699</x:v>
      </x:c>
      <x:c r="H124" s="6" t="n">
        <x:v>240.13</x:v>
      </x:c>
      <x:c r="I124" s="16" t="n">
        <x:v>1</x:v>
      </x:c>
      <x:c r="J124"/>
      <x:c r="K124" s="4"/>
      <x:c r="L124" s="4"/>
      <x:c r="M124" s="4"/>
      <x:c r="N124" s="5"/>
    </x:row>
    <x:row r="125" ht="24" customHeight="1">
      <x:c r="A125" s="1" t="str">
        <x:v>RESULT</x:v>
      </x:c>
      <x:c r="B125" s="1" t="str">
        <x:v>Round1</x:v>
      </x:c>
      <x:c r="C125" s="1" t="str">
        <x:v>Closure_151</x:v>
      </x:c>
      <x:c r="D125" s="1" t="str">
        <x:v>NOT_AVAILABLE</x:v>
      </x:c>
      <x:c r="E125" s="5"/>
      <x:c r="F125" s="4" t="n">
        <x:v>0</x:v>
      </x:c>
      <x:c r="G125" s="4" t="n">
        <x:v>9837</x:v>
      </x:c>
      <x:c r="H125" s="6" t="n">
        <x:v>106.88</x:v>
      </x:c>
      <x:c r="I125" s="16" t="n">
        <x:v>1</x:v>
      </x:c>
      <x:c r="J125"/>
      <x:c r="K125" s="4"/>
      <x:c r="L125" s="4"/>
      <x:c r="M125" s="4"/>
      <x:c r="N125" s="5"/>
    </x:row>
    <x:row r="126" ht="24" customHeight="1">
      <x:c r="A126" s="1" t="str">
        <x:v>RESULT</x:v>
      </x:c>
      <x:c r="B126" s="1" t="str">
        <x:v>Round1</x:v>
      </x:c>
      <x:c r="C126" s="1" t="str">
        <x:v>Closure_152</x:v>
      </x:c>
      <x:c r="D126" s="1" t="str">
        <x:v>NOT_AVAILABLE</x:v>
      </x:c>
      <x:c r="E126" s="5"/>
      <x:c r="F126" s="4" t="n">
        <x:v>0</x:v>
      </x:c>
      <x:c r="G126" s="4" t="n">
        <x:v>8025</x:v>
      </x:c>
      <x:c r="H126" s="6" t="n">
        <x:v>64.75</x:v>
      </x:c>
      <x:c r="I126" s="16" t="n">
        <x:v>1</x:v>
      </x:c>
      <x:c r="J126"/>
      <x:c r="K126" s="4"/>
      <x:c r="L126" s="4"/>
      <x:c r="M126" s="4"/>
      <x:c r="N126" s="5"/>
    </x:row>
    <x:row r="127" ht="24" customHeight="1">
      <x:c r="A127" s="1" t="str">
        <x:v>RESULT</x:v>
      </x:c>
      <x:c r="B127" s="1" t="str">
        <x:v>Round1</x:v>
      </x:c>
      <x:c r="C127" s="1" t="str">
        <x:v>Closure_153</x:v>
      </x:c>
      <x:c r="D127" s="1" t="str">
        <x:v>NOT_AVAILABLE</x:v>
      </x:c>
      <x:c r="E127" s="5"/>
      <x:c r="F127" s="4" t="n">
        <x:v>0</x:v>
      </x:c>
      <x:c r="G127" s="4" t="n">
        <x:v>14605</x:v>
      </x:c>
      <x:c r="H127" s="6" t="n">
        <x:v>209.67</x:v>
      </x:c>
      <x:c r="I127" s="16" t="n">
        <x:v>1</x:v>
      </x:c>
      <x:c r="J127"/>
      <x:c r="K127" s="4"/>
      <x:c r="L127" s="4"/>
      <x:c r="M127" s="4"/>
      <x:c r="N127" s="5"/>
    </x:row>
    <x:row r="128" ht="24" customHeight="1">
      <x:c r="A128" s="1" t="str">
        <x:v>RESULT</x:v>
      </x:c>
      <x:c r="B128" s="1" t="str">
        <x:v>Round1</x:v>
      </x:c>
      <x:c r="C128" s="1" t="str">
        <x:v>Closure_154</x:v>
      </x:c>
      <x:c r="D128" s="1" t="str">
        <x:v>NOT_AVAILABLE</x:v>
      </x:c>
      <x:c r="E128" s="5"/>
      <x:c r="F128" s="4" t="n">
        <x:v>0</x:v>
      </x:c>
      <x:c r="G128" s="4" t="n">
        <x:v>25374</x:v>
      </x:c>
      <x:c r="H128" s="6" t="n">
        <x:v>219.47</x:v>
      </x:c>
      <x:c r="I128" s="16" t="n">
        <x:v>1</x:v>
      </x:c>
      <x:c r="J128"/>
      <x:c r="K128" s="4"/>
      <x:c r="L128" s="4"/>
      <x:c r="M128" s="4"/>
      <x:c r="N128" s="5"/>
    </x:row>
    <x:row r="129" ht="24" customHeight="1">
      <x:c r="A129" s="1" t="str">
        <x:v>RESULT</x:v>
      </x:c>
      <x:c r="B129" s="1" t="str">
        <x:v>Round1</x:v>
      </x:c>
      <x:c r="C129" s="1" t="str">
        <x:v>Closure_155</x:v>
      </x:c>
      <x:c r="D129" s="1" t="str">
        <x:v>NOT_AVAILABLE</x:v>
      </x:c>
      <x:c r="E129" s="5"/>
      <x:c r="F129" s="4" t="n">
        <x:v>0</x:v>
      </x:c>
      <x:c r="G129" s="4" t="n">
        <x:v>28109</x:v>
      </x:c>
      <x:c r="H129" s="6" t="n">
        <x:v>365.07</x:v>
      </x:c>
      <x:c r="I129" s="16" t="n">
        <x:v>1</x:v>
      </x:c>
      <x:c r="J129"/>
      <x:c r="K129" s="4"/>
      <x:c r="L129" s="4"/>
      <x:c r="M129" s="4"/>
      <x:c r="N129" s="5"/>
    </x:row>
    <x:row r="130" ht="24" customHeight="1">
      <x:c r="A130" s="1" t="str">
        <x:v>RESULT</x:v>
      </x:c>
      <x:c r="B130" s="1" t="str">
        <x:v>Round1</x:v>
      </x:c>
      <x:c r="C130" s="1" t="str">
        <x:v>Closure_156</x:v>
      </x:c>
      <x:c r="D130" s="1" t="str">
        <x:v>NOT_AVAILABLE</x:v>
      </x:c>
      <x:c r="E130" s="5"/>
      <x:c r="F130" s="4" t="n">
        <x:v>0</x:v>
      </x:c>
      <x:c r="G130" s="4" t="n">
        <x:v>7679</x:v>
      </x:c>
      <x:c r="H130" s="6" t="n">
        <x:v>58.59</x:v>
      </x:c>
      <x:c r="I130" s="16" t="n">
        <x:v>1</x:v>
      </x:c>
      <x:c r="J130"/>
      <x:c r="K130" s="4"/>
      <x:c r="L130" s="4"/>
      <x:c r="M130" s="4"/>
      <x:c r="N130" s="5"/>
    </x:row>
    <x:row r="131" ht="24" customHeight="1">
      <x:c r="A131" s="1" t="str">
        <x:v>RESULT</x:v>
      </x:c>
      <x:c r="B131" s="1" t="str">
        <x:v>Round1</x:v>
      </x:c>
      <x:c r="C131" s="1" t="str">
        <x:v>Closure_157</x:v>
      </x:c>
      <x:c r="D131" s="1" t="str">
        <x:v>NOT_AVAILABLE</x:v>
      </x:c>
      <x:c r="E131" s="5"/>
      <x:c r="F131" s="4" t="n">
        <x:v>0</x:v>
      </x:c>
      <x:c r="G131" s="4" t="n">
        <x:v>36892</x:v>
      </x:c>
      <x:c r="H131" s="6" t="n">
        <x:v>386.2</x:v>
      </x:c>
      <x:c r="I131" s="16" t="n">
        <x:v>1</x:v>
      </x:c>
      <x:c r="J131"/>
      <x:c r="K131" s="4"/>
      <x:c r="L131" s="4"/>
      <x:c r="M131" s="4"/>
      <x:c r="N131" s="5"/>
    </x:row>
    <x:row r="132" ht="24" customHeight="1">
      <x:c r="A132" s="1" t="str">
        <x:v>RESULT</x:v>
      </x:c>
      <x:c r="B132" s="1" t="str">
        <x:v>Round1</x:v>
      </x:c>
      <x:c r="C132" s="1" t="str">
        <x:v>Closure_158</x:v>
      </x:c>
      <x:c r="D132" s="1" t="str">
        <x:v>NOT_AVAILABLE</x:v>
      </x:c>
      <x:c r="E132" s="5"/>
      <x:c r="F132" s="4" t="n">
        <x:v>0</x:v>
      </x:c>
      <x:c r="G132" s="4" t="n">
        <x:v>24116</x:v>
      </x:c>
      <x:c r="H132" s="6" t="n">
        <x:v>168.64</x:v>
      </x:c>
      <x:c r="I132" s="16" t="n">
        <x:v>1</x:v>
      </x:c>
      <x:c r="J132"/>
      <x:c r="K132" s="4"/>
      <x:c r="L132" s="4"/>
      <x:c r="M132" s="4"/>
      <x:c r="N132" s="5"/>
    </x:row>
    <x:row r="133" ht="24" customHeight="1">
      <x:c r="A133" s="1" t="str">
        <x:v>RESULT</x:v>
      </x:c>
      <x:c r="B133" s="1" t="str">
        <x:v>Round1</x:v>
      </x:c>
      <x:c r="C133" s="1" t="str">
        <x:v>Closure_159</x:v>
      </x:c>
      <x:c r="D133" s="1" t="str">
        <x:v>NOT_AVAILABLE</x:v>
      </x:c>
      <x:c r="E133" s="5"/>
      <x:c r="F133" s="4" t="n">
        <x:v>0</x:v>
      </x:c>
      <x:c r="G133" s="4" t="n">
        <x:v>9716</x:v>
      </x:c>
      <x:c r="H133" s="6" t="n">
        <x:v>98.27</x:v>
      </x:c>
      <x:c r="I133" s="16" t="n">
        <x:v>1</x:v>
      </x:c>
      <x:c r="J133"/>
      <x:c r="K133" s="4"/>
      <x:c r="L133" s="4"/>
      <x:c r="M133" s="4"/>
      <x:c r="N133" s="5"/>
    </x:row>
    <x:row r="134" ht="24" customHeight="1">
      <x:c r="A134" s="1" t="str">
        <x:v>RESULT</x:v>
      </x:c>
      <x:c r="B134" s="1" t="str">
        <x:v>Round1</x:v>
      </x:c>
      <x:c r="C134" s="1" t="str">
        <x:v>Closure_16</x:v>
      </x:c>
      <x:c r="D134" s="1" t="str">
        <x:v>NOT_AVAILABLE</x:v>
      </x:c>
      <x:c r="E134" s="5"/>
      <x:c r="F134" s="4" t="n">
        <x:v>0</x:v>
      </x:c>
      <x:c r="G134" s="4" t="n">
        <x:v>7950</x:v>
      </x:c>
      <x:c r="H134" s="6" t="n">
        <x:v>94.51</x:v>
      </x:c>
      <x:c r="I134" s="16" t="n">
        <x:v>1</x:v>
      </x:c>
      <x:c r="J134"/>
      <x:c r="K134" s="4"/>
      <x:c r="L134" s="4"/>
      <x:c r="M134" s="4"/>
      <x:c r="N134" s="5"/>
    </x:row>
    <x:row r="135" ht="24" customHeight="1">
      <x:c r="A135" s="1" t="str">
        <x:v>RESULT</x:v>
      </x:c>
      <x:c r="B135" s="1" t="str">
        <x:v>Round1</x:v>
      </x:c>
      <x:c r="C135" s="1" t="str">
        <x:v>Closure_160</x:v>
      </x:c>
      <x:c r="D135" s="1" t="str">
        <x:v>NOT_AVAILABLE</x:v>
      </x:c>
      <x:c r="E135" s="5"/>
      <x:c r="F135" s="4" t="n">
        <x:v>0</x:v>
      </x:c>
      <x:c r="G135" s="4" t="n">
        <x:v>14228</x:v>
      </x:c>
      <x:c r="H135" s="6" t="n">
        <x:v>85.49</x:v>
      </x:c>
      <x:c r="I135" s="16" t="n">
        <x:v>1</x:v>
      </x:c>
      <x:c r="J135"/>
      <x:c r="K135" s="4"/>
      <x:c r="L135" s="4"/>
      <x:c r="M135" s="4"/>
      <x:c r="N135" s="5"/>
    </x:row>
    <x:row r="136" ht="24" customHeight="1">
      <x:c r="A136" s="1" t="str">
        <x:v>RESULT</x:v>
      </x:c>
      <x:c r="B136" s="1" t="str">
        <x:v>Round1</x:v>
      </x:c>
      <x:c r="C136" s="1" t="str">
        <x:v>Closure_161</x:v>
      </x:c>
      <x:c r="D136" s="1" t="str">
        <x:v>INCONCLUSIVE</x:v>
      </x:c>
      <x:c r="E136" s="5" t="n">
        <x:v>0.37420000000000003</x:v>
      </x:c>
      <x:c r="F136" s="4" t="n">
        <x:v>0</x:v>
      </x:c>
      <x:c r="G136" s="4" t="n">
        <x:v>15118</x:v>
      </x:c>
      <x:c r="H136" s="6" t="n">
        <x:v>155.58</x:v>
      </x:c>
      <x:c r="I136" s="16" t="n">
        <x:v>1</x:v>
      </x:c>
      <x:c r="J136" t="n">
        <x:v>636</x:v>
      </x:c>
      <x:c r="K136" s="4" t="n">
        <x:v>238</x:v>
      </x:c>
      <x:c r="L136" s="4" t="n">
        <x:v>498</x:v>
      </x:c>
      <x:c r="M136" s="4" t="n">
        <x:v>153</x:v>
      </x:c>
      <x:c r="N136" s="5" t="n">
        <x:v>0.3072</x:v>
      </x:c>
    </x:row>
    <x:row r="137" ht="24" customHeight="1">
      <x:c r="A137" s="1" t="str">
        <x:v>RESULT</x:v>
      </x:c>
      <x:c r="B137" s="1" t="str">
        <x:v>Round1</x:v>
      </x:c>
      <x:c r="C137" s="1" t="str">
        <x:v>Closure_162</x:v>
      </x:c>
      <x:c r="D137" s="1" t="str">
        <x:v>NOT_AVAILABLE</x:v>
      </x:c>
      <x:c r="E137" s="5"/>
      <x:c r="F137" s="4" t="n">
        <x:v>0</x:v>
      </x:c>
      <x:c r="G137" s="4" t="n">
        <x:v>14031</x:v>
      </x:c>
      <x:c r="H137" s="6" t="n">
        <x:v>140.25</x:v>
      </x:c>
      <x:c r="I137" s="16" t="n">
        <x:v>1</x:v>
      </x:c>
      <x:c r="J137"/>
      <x:c r="K137" s="4"/>
      <x:c r="L137" s="4"/>
      <x:c r="M137" s="4"/>
      <x:c r="N137" s="5"/>
    </x:row>
    <x:row r="138" ht="24" customHeight="1">
      <x:c r="A138" s="1" t="str">
        <x:v>RESULT</x:v>
      </x:c>
      <x:c r="B138" s="1" t="str">
        <x:v>Round1</x:v>
      </x:c>
      <x:c r="C138" s="1" t="str">
        <x:v>Closure_163</x:v>
      </x:c>
      <x:c r="D138" s="1" t="str">
        <x:v>NOT_AVAILABLE</x:v>
      </x:c>
      <x:c r="E138" s="5"/>
      <x:c r="F138" s="4" t="n">
        <x:v>0</x:v>
      </x:c>
      <x:c r="G138" s="4" t="n">
        <x:v>17134</x:v>
      </x:c>
      <x:c r="H138" s="6" t="n">
        <x:v>224.35</x:v>
      </x:c>
      <x:c r="I138" s="16" t="n">
        <x:v>1</x:v>
      </x:c>
      <x:c r="J138"/>
      <x:c r="K138" s="4"/>
      <x:c r="L138" s="4"/>
      <x:c r="M138" s="4"/>
      <x:c r="N138" s="5"/>
    </x:row>
    <x:row r="139" ht="24" customHeight="1">
      <x:c r="A139" s="1" t="str">
        <x:v>RESULT</x:v>
      </x:c>
      <x:c r="B139" s="1" t="str">
        <x:v>Round1</x:v>
      </x:c>
      <x:c r="C139" s="1" t="str">
        <x:v>Closure_164</x:v>
      </x:c>
      <x:c r="D139" s="1" t="str">
        <x:v>NOT_AVAILABLE</x:v>
      </x:c>
      <x:c r="E139" s="5"/>
      <x:c r="F139" s="4" t="n">
        <x:v>0</x:v>
      </x:c>
      <x:c r="G139" s="4" t="n">
        <x:v>5849</x:v>
      </x:c>
      <x:c r="H139" s="6" t="n">
        <x:v>77.36</x:v>
      </x:c>
      <x:c r="I139" s="16" t="n">
        <x:v>1</x:v>
      </x:c>
      <x:c r="J139"/>
      <x:c r="K139" s="4"/>
      <x:c r="L139" s="4"/>
      <x:c r="M139" s="4"/>
      <x:c r="N139" s="5"/>
    </x:row>
    <x:row r="140" ht="24" customHeight="1">
      <x:c r="A140" s="1" t="str">
        <x:v>RESULT</x:v>
      </x:c>
      <x:c r="B140" s="1" t="str">
        <x:v>Round1</x:v>
      </x:c>
      <x:c r="C140" s="1" t="str">
        <x:v>Closure_165</x:v>
      </x:c>
      <x:c r="D140" s="1" t="str">
        <x:v>NOT_AVAILABLE</x:v>
      </x:c>
      <x:c r="E140" s="5"/>
      <x:c r="F140" s="4" t="n">
        <x:v>0</x:v>
      </x:c>
      <x:c r="G140" s="4" t="n">
        <x:v>34072</x:v>
      </x:c>
      <x:c r="H140" s="6" t="n">
        <x:v>361.69</x:v>
      </x:c>
      <x:c r="I140" s="16" t="n">
        <x:v>1</x:v>
      </x:c>
      <x:c r="J140"/>
      <x:c r="K140" s="4"/>
      <x:c r="L140" s="4"/>
      <x:c r="M140" s="4"/>
      <x:c r="N140" s="5"/>
    </x:row>
    <x:row r="141" ht="24" customHeight="1">
      <x:c r="A141" s="1" t="str">
        <x:v>RESULT</x:v>
      </x:c>
      <x:c r="B141" s="1" t="str">
        <x:v>Round1</x:v>
      </x:c>
      <x:c r="C141" s="1" t="str">
        <x:v>Closure_166</x:v>
      </x:c>
      <x:c r="D141" s="1" t="str">
        <x:v>NOT_AVAILABLE</x:v>
      </x:c>
      <x:c r="E141" s="5"/>
      <x:c r="F141" s="4" t="n">
        <x:v>0</x:v>
      </x:c>
      <x:c r="G141" s="4" t="n">
        <x:v>8480</x:v>
      </x:c>
      <x:c r="H141" s="6" t="n">
        <x:v>99.89</x:v>
      </x:c>
      <x:c r="I141" s="16" t="n">
        <x:v>1</x:v>
      </x:c>
      <x:c r="J141"/>
      <x:c r="K141" s="4"/>
      <x:c r="L141" s="4"/>
      <x:c r="M141" s="4"/>
      <x:c r="N141" s="5"/>
    </x:row>
    <x:row r="142" ht="24" customHeight="1">
      <x:c r="A142" s="1" t="str">
        <x:v>RESULT</x:v>
      </x:c>
      <x:c r="B142" s="1" t="str">
        <x:v>Round1</x:v>
      </x:c>
      <x:c r="C142" s="1" t="str">
        <x:v>Closure_167</x:v>
      </x:c>
      <x:c r="D142" s="1" t="str">
        <x:v>NOT_AVAILABLE</x:v>
      </x:c>
      <x:c r="E142" s="5"/>
      <x:c r="F142" s="4" t="n">
        <x:v>0</x:v>
      </x:c>
      <x:c r="G142" s="4" t="n">
        <x:v>16944</x:v>
      </x:c>
      <x:c r="H142" s="6" t="n">
        <x:v>187.8</x:v>
      </x:c>
      <x:c r="I142" s="16" t="n">
        <x:v>1</x:v>
      </x:c>
      <x:c r="J142"/>
      <x:c r="K142" s="4"/>
      <x:c r="L142" s="4"/>
      <x:c r="M142" s="4"/>
      <x:c r="N142" s="5"/>
    </x:row>
    <x:row r="143" ht="24" customHeight="1">
      <x:c r="A143" s="1" t="str">
        <x:v>RESULT</x:v>
      </x:c>
      <x:c r="B143" s="1" t="str">
        <x:v>Round1</x:v>
      </x:c>
      <x:c r="C143" s="1" t="str">
        <x:v>Closure_168</x:v>
      </x:c>
      <x:c r="D143" s="1" t="str">
        <x:v>NOT_AVAILABLE</x:v>
      </x:c>
      <x:c r="E143" s="5"/>
      <x:c r="F143" s="4" t="n">
        <x:v>0</x:v>
      </x:c>
      <x:c r="G143" s="4" t="n">
        <x:v>17128</x:v>
      </x:c>
      <x:c r="H143" s="6" t="n">
        <x:v>116.14</x:v>
      </x:c>
      <x:c r="I143" s="16" t="n">
        <x:v>1</x:v>
      </x:c>
      <x:c r="J143"/>
      <x:c r="K143" s="4"/>
      <x:c r="L143" s="4"/>
      <x:c r="M143" s="4"/>
      <x:c r="N143" s="5"/>
    </x:row>
    <x:row r="144" ht="24" customHeight="1">
      <x:c r="A144" s="1" t="str">
        <x:v>RESULT</x:v>
      </x:c>
      <x:c r="B144" s="1" t="str">
        <x:v>Round1</x:v>
      </x:c>
      <x:c r="C144" s="1" t="str">
        <x:v>Closure_169</x:v>
      </x:c>
      <x:c r="D144" s="1" t="str">
        <x:v>NOT_AVAILABLE</x:v>
      </x:c>
      <x:c r="E144" s="5"/>
      <x:c r="F144" s="4" t="n">
        <x:v>0</x:v>
      </x:c>
      <x:c r="G144" s="4" t="n">
        <x:v>34336</x:v>
      </x:c>
      <x:c r="H144" s="6" t="n">
        <x:v>1124.17</x:v>
      </x:c>
      <x:c r="I144" s="16" t="n">
        <x:v>1</x:v>
      </x:c>
      <x:c r="J144"/>
      <x:c r="K144" s="4"/>
      <x:c r="L144" s="4"/>
      <x:c r="M144" s="4"/>
      <x:c r="N144" s="5"/>
    </x:row>
    <x:row r="145" ht="24" customHeight="1">
      <x:c r="A145" s="1" t="str">
        <x:v>RESULT</x:v>
      </x:c>
      <x:c r="B145" s="1" t="str">
        <x:v>Round1</x:v>
      </x:c>
      <x:c r="C145" s="1" t="str">
        <x:v>Closure_17</x:v>
      </x:c>
      <x:c r="D145" s="1" t="str">
        <x:v>NOT_AVAILABLE</x:v>
      </x:c>
      <x:c r="E145" s="5"/>
      <x:c r="F145" s="4" t="n">
        <x:v>0</x:v>
      </x:c>
      <x:c r="G145" s="4" t="n">
        <x:v>17585</x:v>
      </x:c>
      <x:c r="H145" s="6" t="n">
        <x:v>131.89</x:v>
      </x:c>
      <x:c r="I145" s="16" t="n">
        <x:v>1</x:v>
      </x:c>
      <x:c r="J145"/>
      <x:c r="K145" s="4"/>
      <x:c r="L145" s="4"/>
      <x:c r="M145" s="4"/>
      <x:c r="N145" s="5"/>
    </x:row>
    <x:row r="146" ht="24" customHeight="1">
      <x:c r="A146" s="1" t="str">
        <x:v>RESULT</x:v>
      </x:c>
      <x:c r="B146" s="1" t="str">
        <x:v>Round1</x:v>
      </x:c>
      <x:c r="C146" s="1" t="str">
        <x:v>Closure_170</x:v>
      </x:c>
      <x:c r="D146" s="1" t="str">
        <x:v>NOT_AVAILABLE</x:v>
      </x:c>
      <x:c r="E146" s="5"/>
      <x:c r="F146" s="4" t="n">
        <x:v>0</x:v>
      </x:c>
      <x:c r="G146" s="4" t="n">
        <x:v>7879</x:v>
      </x:c>
      <x:c r="H146" s="6" t="n">
        <x:v>72.85</x:v>
      </x:c>
      <x:c r="I146" s="16" t="n">
        <x:v>1</x:v>
      </x:c>
      <x:c r="J146"/>
      <x:c r="K146" s="4"/>
      <x:c r="L146" s="4"/>
      <x:c r="M146" s="4"/>
      <x:c r="N146" s="5"/>
    </x:row>
    <x:row r="147" ht="24" customHeight="1">
      <x:c r="A147" s="1" t="str">
        <x:v>RESULT</x:v>
      </x:c>
      <x:c r="B147" s="1" t="str">
        <x:v>Round1</x:v>
      </x:c>
      <x:c r="C147" s="1" t="str">
        <x:v>Closure_171</x:v>
      </x:c>
      <x:c r="D147" s="1" t="str">
        <x:v>NOT_AVAILABLE</x:v>
      </x:c>
      <x:c r="E147" s="5"/>
      <x:c r="F147" s="4" t="n">
        <x:v>0</x:v>
      </x:c>
      <x:c r="G147" s="4" t="n">
        <x:v>30386</x:v>
      </x:c>
      <x:c r="H147" s="6" t="n">
        <x:v>138.9</x:v>
      </x:c>
      <x:c r="I147" s="16" t="n">
        <x:v>1</x:v>
      </x:c>
      <x:c r="J147"/>
      <x:c r="K147" s="4"/>
      <x:c r="L147" s="4"/>
      <x:c r="M147" s="4"/>
      <x:c r="N147" s="5"/>
    </x:row>
    <x:row r="148" ht="24" customHeight="1">
      <x:c r="A148" s="1" t="str">
        <x:v>RESULT</x:v>
      </x:c>
      <x:c r="B148" s="1" t="str">
        <x:v>Round1</x:v>
      </x:c>
      <x:c r="C148" s="1" t="str">
        <x:v>Closure_172</x:v>
      </x:c>
      <x:c r="D148" s="1" t="str">
        <x:v>INCONCLUSIVE</x:v>
      </x:c>
      <x:c r="E148" s="5" t="n">
        <x:v>0</x:v>
      </x:c>
      <x:c r="F148" s="4" t="n">
        <x:v>0</x:v>
      </x:c>
      <x:c r="G148" s="4" t="n">
        <x:v>18627</x:v>
      </x:c>
      <x:c r="H148" s="6" t="n">
        <x:v>121.57</x:v>
      </x:c>
      <x:c r="I148" s="16" t="n">
        <x:v>1</x:v>
      </x:c>
      <x:c r="J148" t="n">
        <x:v>947</x:v>
      </x:c>
      <x:c r="K148" s="4" t="n">
        <x:v>0</x:v>
      </x:c>
      <x:c r="L148" s="4" t="n">
        <x:v>762</x:v>
      </x:c>
      <x:c r="M148" s="4" t="n">
        <x:v>0</x:v>
      </x:c>
      <x:c r="N148" s="5" t="n">
        <x:v>0</x:v>
      </x:c>
    </x:row>
    <x:row r="149" ht="24" customHeight="1">
      <x:c r="A149" s="1" t="str">
        <x:v>RESULT</x:v>
      </x:c>
      <x:c r="B149" s="1" t="str">
        <x:v>Round1</x:v>
      </x:c>
      <x:c r="C149" s="1" t="str">
        <x:v>Closure_173</x:v>
      </x:c>
      <x:c r="D149" s="1" t="str">
        <x:v>NOT_AVAILABLE</x:v>
      </x:c>
      <x:c r="E149" s="5"/>
      <x:c r="F149" s="4" t="n">
        <x:v>0</x:v>
      </x:c>
      <x:c r="G149" s="4" t="n">
        <x:v>23169</x:v>
      </x:c>
      <x:c r="H149" s="6" t="n">
        <x:v>240.06</x:v>
      </x:c>
      <x:c r="I149" s="16" t="n">
        <x:v>1</x:v>
      </x:c>
      <x:c r="J149"/>
      <x:c r="K149" s="4"/>
      <x:c r="L149" s="4"/>
      <x:c r="M149" s="4"/>
      <x:c r="N149" s="5"/>
    </x:row>
    <x:row r="150" ht="24" customHeight="1">
      <x:c r="A150" s="1" t="str">
        <x:v>RESULT</x:v>
      </x:c>
      <x:c r="B150" s="1" t="str">
        <x:v>Round1</x:v>
      </x:c>
      <x:c r="C150" s="1" t="str">
        <x:v>Closure_174</x:v>
      </x:c>
      <x:c r="D150" s="1" t="str">
        <x:v>NOT_AVAILABLE</x:v>
      </x:c>
      <x:c r="E150" s="5"/>
      <x:c r="F150" s="4" t="n">
        <x:v>0</x:v>
      </x:c>
      <x:c r="G150" s="4" t="n">
        <x:v>36452</x:v>
      </x:c>
      <x:c r="H150" s="6" t="n">
        <x:v>322.48</x:v>
      </x:c>
      <x:c r="I150" s="16" t="n">
        <x:v>1</x:v>
      </x:c>
      <x:c r="J150"/>
      <x:c r="K150" s="4"/>
      <x:c r="L150" s="4"/>
      <x:c r="M150" s="4"/>
      <x:c r="N150" s="5"/>
    </x:row>
    <x:row r="151" ht="24" customHeight="1">
      <x:c r="A151" s="1" t="str">
        <x:v>RESULT</x:v>
      </x:c>
      <x:c r="B151" s="1" t="str">
        <x:v>Round1</x:v>
      </x:c>
      <x:c r="C151" s="1" t="str">
        <x:v>Closure_175</x:v>
      </x:c>
      <x:c r="D151" s="1" t="str">
        <x:v>NOT_AVAILABLE</x:v>
      </x:c>
      <x:c r="E151" s="5"/>
      <x:c r="F151" s="4" t="n">
        <x:v>0</x:v>
      </x:c>
      <x:c r="G151" s="4"/>
      <x:c r="H151" s="6"/>
      <x:c r="I151" s="16" t="n">
        <x:v>1</x:v>
      </x:c>
      <x:c r="J151"/>
      <x:c r="K151" s="4"/>
      <x:c r="L151" s="4"/>
      <x:c r="M151" s="4"/>
      <x:c r="N151" s="5"/>
    </x:row>
    <x:row r="152" ht="24" customHeight="1">
      <x:c r="A152" s="1" t="str">
        <x:v>RESULT</x:v>
      </x:c>
      <x:c r="B152" s="1" t="str">
        <x:v>Round1</x:v>
      </x:c>
      <x:c r="C152" s="1" t="str">
        <x:v>Closure_176</x:v>
      </x:c>
      <x:c r="D152" s="1" t="str">
        <x:v>NOT_AVAILABLE</x:v>
      </x:c>
      <x:c r="E152" s="5"/>
      <x:c r="F152" s="4" t="n">
        <x:v>0</x:v>
      </x:c>
      <x:c r="G152" s="4"/>
      <x:c r="H152" s="6"/>
      <x:c r="I152" s="16" t="n">
        <x:v>1</x:v>
      </x:c>
      <x:c r="J152"/>
      <x:c r="K152" s="4"/>
      <x:c r="L152" s="4"/>
      <x:c r="M152" s="4"/>
      <x:c r="N152" s="5"/>
    </x:row>
    <x:row r="153" ht="24" customHeight="1">
      <x:c r="A153" s="1" t="str">
        <x:v>RESULT</x:v>
      </x:c>
      <x:c r="B153" s="1" t="str">
        <x:v>Round1</x:v>
      </x:c>
      <x:c r="C153" s="1" t="str">
        <x:v>Closure_18</x:v>
      </x:c>
      <x:c r="D153" s="1" t="str">
        <x:v>NOT_AVAILABLE</x:v>
      </x:c>
      <x:c r="E153" s="5"/>
      <x:c r="F153" s="4" t="n">
        <x:v>0</x:v>
      </x:c>
      <x:c r="G153" s="4" t="n">
        <x:v>17921</x:v>
      </x:c>
      <x:c r="H153" s="6" t="n">
        <x:v>96.34</x:v>
      </x:c>
      <x:c r="I153" s="16" t="n">
        <x:v>1</x:v>
      </x:c>
      <x:c r="J153"/>
      <x:c r="K153" s="4"/>
      <x:c r="L153" s="4"/>
      <x:c r="M153" s="4"/>
      <x:c r="N153" s="5"/>
    </x:row>
    <x:row r="154" ht="24" customHeight="1">
      <x:c r="A154" s="1" t="str">
        <x:v>RESULT</x:v>
      </x:c>
      <x:c r="B154" s="1" t="str">
        <x:v>Round1</x:v>
      </x:c>
      <x:c r="C154" s="1" t="str">
        <x:v>Closure_19</x:v>
      </x:c>
      <x:c r="D154" s="1" t="str">
        <x:v>NOT_AVAILABLE</x:v>
      </x:c>
      <x:c r="E154" s="5"/>
      <x:c r="F154" s="4" t="n">
        <x:v>0</x:v>
      </x:c>
      <x:c r="G154" s="4" t="n">
        <x:v>9171</x:v>
      </x:c>
      <x:c r="H154" s="6" t="n">
        <x:v>79.83</x:v>
      </x:c>
      <x:c r="I154" s="16" t="n">
        <x:v>1</x:v>
      </x:c>
      <x:c r="J154"/>
      <x:c r="K154" s="4"/>
      <x:c r="L154" s="4"/>
      <x:c r="M154" s="4"/>
      <x:c r="N154" s="5"/>
    </x:row>
    <x:row r="155" ht="24" customHeight="1">
      <x:c r="A155" s="1" t="str">
        <x:v>RESULT</x:v>
      </x:c>
      <x:c r="B155" s="1" t="str">
        <x:v>Round1</x:v>
      </x:c>
      <x:c r="C155" s="1" t="str">
        <x:v>Closure_2</x:v>
      </x:c>
      <x:c r="D155" s="1" t="str">
        <x:v>NOT_AVAILABLE</x:v>
      </x:c>
      <x:c r="E155" s="5"/>
      <x:c r="F155" s="4" t="n">
        <x:v>0</x:v>
      </x:c>
      <x:c r="G155" s="4" t="n">
        <x:v>20051</x:v>
      </x:c>
      <x:c r="H155" s="6" t="n">
        <x:v>166.29</x:v>
      </x:c>
      <x:c r="I155" s="16" t="n">
        <x:v>1</x:v>
      </x:c>
      <x:c r="J155"/>
      <x:c r="K155" s="4"/>
      <x:c r="L155" s="4"/>
      <x:c r="M155" s="4"/>
      <x:c r="N155" s="5"/>
    </x:row>
    <x:row r="156" ht="24" customHeight="1">
      <x:c r="A156" s="1" t="str">
        <x:v>RESULT</x:v>
      </x:c>
      <x:c r="B156" s="1" t="str">
        <x:v>Round1</x:v>
      </x:c>
      <x:c r="C156" s="1" t="str">
        <x:v>Closure_20</x:v>
      </x:c>
      <x:c r="D156" s="1" t="str">
        <x:v>INCONCLUSIVE</x:v>
      </x:c>
      <x:c r="E156" s="5" t="n">
        <x:v>0.0981</x:v>
      </x:c>
      <x:c r="F156" s="4" t="n">
        <x:v>0</x:v>
      </x:c>
      <x:c r="G156" s="4" t="n">
        <x:v>11724</x:v>
      </x:c>
      <x:c r="H156" s="6" t="n">
        <x:v>38.85</x:v>
      </x:c>
      <x:c r="I156" s="16" t="n">
        <x:v>1</x:v>
      </x:c>
      <x:c r="J156" t="n">
        <x:v>754</x:v>
      </x:c>
      <x:c r="K156" s="4" t="n">
        <x:v>74</x:v>
      </x:c>
      <x:c r="L156" s="4" t="n">
        <x:v>526</x:v>
      </x:c>
      <x:c r="M156" s="4" t="n">
        <x:v>32</x:v>
      </x:c>
      <x:c r="N156" s="5" t="n">
        <x:v>0.0608</x:v>
      </x:c>
    </x:row>
    <x:row r="157" ht="24" customHeight="1">
      <x:c r="A157" s="1" t="str">
        <x:v>RESULT</x:v>
      </x:c>
      <x:c r="B157" s="1" t="str">
        <x:v>Round1</x:v>
      </x:c>
      <x:c r="C157" s="1" t="str">
        <x:v>Closure_21</x:v>
      </x:c>
      <x:c r="D157" s="1" t="str">
        <x:v>NOT_AVAILABLE</x:v>
      </x:c>
      <x:c r="E157" s="5"/>
      <x:c r="F157" s="4" t="n">
        <x:v>0</x:v>
      </x:c>
      <x:c r="G157" s="4" t="n">
        <x:v>4552</x:v>
      </x:c>
      <x:c r="H157" s="6" t="n">
        <x:v>49.1</x:v>
      </x:c>
      <x:c r="I157" s="16" t="n">
        <x:v>1</x:v>
      </x:c>
      <x:c r="J157"/>
      <x:c r="K157" s="4"/>
      <x:c r="L157" s="4"/>
      <x:c r="M157" s="4"/>
      <x:c r="N157" s="5"/>
    </x:row>
    <x:row r="158" ht="24" customHeight="1">
      <x:c r="A158" s="1" t="str">
        <x:v>RESULT</x:v>
      </x:c>
      <x:c r="B158" s="1" t="str">
        <x:v>Round1</x:v>
      </x:c>
      <x:c r="C158" s="1" t="str">
        <x:v>Closure_22</x:v>
      </x:c>
      <x:c r="D158" s="1" t="str">
        <x:v>NOT_AVAILABLE</x:v>
      </x:c>
      <x:c r="E158" s="5"/>
      <x:c r="F158" s="4" t="n">
        <x:v>0</x:v>
      </x:c>
      <x:c r="G158" s="4" t="n">
        <x:v>4747</x:v>
      </x:c>
      <x:c r="H158" s="6" t="n">
        <x:v>53.69</x:v>
      </x:c>
      <x:c r="I158" s="16" t="n">
        <x:v>1</x:v>
      </x:c>
      <x:c r="J158"/>
      <x:c r="K158" s="4"/>
      <x:c r="L158" s="4"/>
      <x:c r="M158" s="4"/>
      <x:c r="N158" s="5"/>
    </x:row>
    <x:row r="159" ht="24" customHeight="1">
      <x:c r="A159" s="1" t="str">
        <x:v>RESULT</x:v>
      </x:c>
      <x:c r="B159" s="1" t="str">
        <x:v>Round1</x:v>
      </x:c>
      <x:c r="C159" s="1" t="str">
        <x:v>Closure_23</x:v>
      </x:c>
      <x:c r="D159" s="1" t="str">
        <x:v>NOT_AVAILABLE</x:v>
      </x:c>
      <x:c r="E159" s="5"/>
      <x:c r="F159" s="4" t="n">
        <x:v>0</x:v>
      </x:c>
      <x:c r="G159" s="4" t="n">
        <x:v>15239</x:v>
      </x:c>
      <x:c r="H159" s="6" t="n">
        <x:v>168.31</x:v>
      </x:c>
      <x:c r="I159" s="16" t="n">
        <x:v>1</x:v>
      </x:c>
      <x:c r="J159"/>
      <x:c r="K159" s="4"/>
      <x:c r="L159" s="4"/>
      <x:c r="M159" s="4"/>
      <x:c r="N159" s="5"/>
    </x:row>
    <x:row r="160" ht="24" customHeight="1">
      <x:c r="A160" s="1" t="str">
        <x:v>RESULT</x:v>
      </x:c>
      <x:c r="B160" s="1" t="str">
        <x:v>Round1</x:v>
      </x:c>
      <x:c r="C160" s="1" t="str">
        <x:v>Closure_24</x:v>
      </x:c>
      <x:c r="D160" s="1" t="str">
        <x:v>NOT_AVAILABLE</x:v>
      </x:c>
      <x:c r="E160" s="5"/>
      <x:c r="F160" s="4" t="n">
        <x:v>0</x:v>
      </x:c>
      <x:c r="G160" s="4" t="n">
        <x:v>6811</x:v>
      </x:c>
      <x:c r="H160" s="6" t="n">
        <x:v>72.37</x:v>
      </x:c>
      <x:c r="I160" s="16" t="n">
        <x:v>1</x:v>
      </x:c>
      <x:c r="J160"/>
      <x:c r="K160" s="4"/>
      <x:c r="L160" s="4"/>
      <x:c r="M160" s="4"/>
      <x:c r="N160" s="5"/>
    </x:row>
    <x:row r="161" ht="24" customHeight="1">
      <x:c r="A161" s="1" t="str">
        <x:v>RESULT</x:v>
      </x:c>
      <x:c r="B161" s="1" t="str">
        <x:v>Round1</x:v>
      </x:c>
      <x:c r="C161" s="1" t="str">
        <x:v>Closure_25</x:v>
      </x:c>
      <x:c r="D161" s="1" t="str">
        <x:v>NOT_AVAILABLE</x:v>
      </x:c>
      <x:c r="E161" s="5"/>
      <x:c r="F161" s="4" t="n">
        <x:v>0</x:v>
      </x:c>
      <x:c r="G161" s="4" t="n">
        <x:v>13852</x:v>
      </x:c>
      <x:c r="H161" s="6" t="n">
        <x:v>117.45</x:v>
      </x:c>
      <x:c r="I161" s="16" t="n">
        <x:v>1</x:v>
      </x:c>
      <x:c r="J161"/>
      <x:c r="K161" s="4"/>
      <x:c r="L161" s="4"/>
      <x:c r="M161" s="4"/>
      <x:c r="N161" s="5"/>
    </x:row>
    <x:row r="162" ht="24" customHeight="1">
      <x:c r="A162" s="1" t="str">
        <x:v>RESULT</x:v>
      </x:c>
      <x:c r="B162" s="1" t="str">
        <x:v>Round1</x:v>
      </x:c>
      <x:c r="C162" s="1" t="str">
        <x:v>Closure_26</x:v>
      </x:c>
      <x:c r="D162" s="1" t="str">
        <x:v>NOT_AVAILABLE</x:v>
      </x:c>
      <x:c r="E162" s="5"/>
      <x:c r="F162" s="4" t="n">
        <x:v>0</x:v>
      </x:c>
      <x:c r="G162" s="4" t="n">
        <x:v>5273</x:v>
      </x:c>
      <x:c r="H162" s="6" t="n">
        <x:v>56.65</x:v>
      </x:c>
      <x:c r="I162" s="16" t="n">
        <x:v>1</x:v>
      </x:c>
      <x:c r="J162"/>
      <x:c r="K162" s="4"/>
      <x:c r="L162" s="4"/>
      <x:c r="M162" s="4"/>
      <x:c r="N162" s="5"/>
    </x:row>
    <x:row r="163" ht="24" customHeight="1">
      <x:c r="A163" s="1" t="str">
        <x:v>RESULT</x:v>
      </x:c>
      <x:c r="B163" s="1" t="str">
        <x:v>Round1</x:v>
      </x:c>
      <x:c r="C163" s="1" t="str">
        <x:v>Closure_27</x:v>
      </x:c>
      <x:c r="D163" s="1" t="str">
        <x:v>NOT_AVAILABLE</x:v>
      </x:c>
      <x:c r="E163" s="5"/>
      <x:c r="F163" s="4" t="n">
        <x:v>0</x:v>
      </x:c>
      <x:c r="G163" s="4" t="n">
        <x:v>9908</x:v>
      </x:c>
      <x:c r="H163" s="6" t="n">
        <x:v>135.19</x:v>
      </x:c>
      <x:c r="I163" s="16" t="n">
        <x:v>1</x:v>
      </x:c>
      <x:c r="J163"/>
      <x:c r="K163" s="4"/>
      <x:c r="L163" s="4"/>
      <x:c r="M163" s="4"/>
      <x:c r="N163" s="5"/>
    </x:row>
    <x:row r="164" ht="24" customHeight="1">
      <x:c r="A164" s="1" t="str">
        <x:v>RESULT</x:v>
      </x:c>
      <x:c r="B164" s="1" t="str">
        <x:v>Round1</x:v>
      </x:c>
      <x:c r="C164" s="1" t="str">
        <x:v>Closure_28</x:v>
      </x:c>
      <x:c r="D164" s="1" t="str">
        <x:v>NOT_AVAILABLE</x:v>
      </x:c>
      <x:c r="E164" s="5"/>
      <x:c r="F164" s="4" t="n">
        <x:v>0</x:v>
      </x:c>
      <x:c r="G164" s="4" t="n">
        <x:v>3133</x:v>
      </x:c>
      <x:c r="H164" s="6" t="n">
        <x:v>38.49</x:v>
      </x:c>
      <x:c r="I164" s="16" t="n">
        <x:v>1</x:v>
      </x:c>
      <x:c r="J164"/>
      <x:c r="K164" s="4"/>
      <x:c r="L164" s="4"/>
      <x:c r="M164" s="4"/>
      <x:c r="N164" s="5"/>
    </x:row>
    <x:row r="165" ht="24" customHeight="1">
      <x:c r="A165" s="1" t="str">
        <x:v>RESULT</x:v>
      </x:c>
      <x:c r="B165" s="1" t="str">
        <x:v>Round1</x:v>
      </x:c>
      <x:c r="C165" s="1" t="str">
        <x:v>Closure_29</x:v>
      </x:c>
      <x:c r="D165" s="1" t="str">
        <x:v>NOT_AVAILABLE</x:v>
      </x:c>
      <x:c r="E165" s="5"/>
      <x:c r="F165" s="4" t="n">
        <x:v>0</x:v>
      </x:c>
      <x:c r="G165" s="4" t="n">
        <x:v>6703</x:v>
      </x:c>
      <x:c r="H165" s="6" t="n">
        <x:v>56.16</x:v>
      </x:c>
      <x:c r="I165" s="16" t="n">
        <x:v>1</x:v>
      </x:c>
      <x:c r="J165"/>
      <x:c r="K165" s="4"/>
      <x:c r="L165" s="4"/>
      <x:c r="M165" s="4"/>
      <x:c r="N165" s="5"/>
    </x:row>
    <x:row r="166" ht="24" customHeight="1">
      <x:c r="A166" s="1" t="str">
        <x:v>RESULT</x:v>
      </x:c>
      <x:c r="B166" s="1" t="str">
        <x:v>Round1</x:v>
      </x:c>
      <x:c r="C166" s="1" t="str">
        <x:v>Closure_3</x:v>
      </x:c>
      <x:c r="D166" s="1" t="str">
        <x:v>NOT_AVAILABLE</x:v>
      </x:c>
      <x:c r="E166" s="5"/>
      <x:c r="F166" s="4" t="n">
        <x:v>0</x:v>
      </x:c>
      <x:c r="G166" s="4" t="n">
        <x:v>8091</x:v>
      </x:c>
      <x:c r="H166" s="6" t="n">
        <x:v>82.02</x:v>
      </x:c>
      <x:c r="I166" s="16" t="n">
        <x:v>1</x:v>
      </x:c>
      <x:c r="J166"/>
      <x:c r="K166" s="4"/>
      <x:c r="L166" s="4"/>
      <x:c r="M166" s="4"/>
      <x:c r="N166" s="5"/>
    </x:row>
    <x:row r="167" ht="24" customHeight="1">
      <x:c r="A167" s="1" t="str">
        <x:v>RESULT</x:v>
      </x:c>
      <x:c r="B167" s="1" t="str">
        <x:v>Round1</x:v>
      </x:c>
      <x:c r="C167" s="1" t="str">
        <x:v>Closure_30</x:v>
      </x:c>
      <x:c r="D167" s="1" t="str">
        <x:v>NOT_AVAILABLE</x:v>
      </x:c>
      <x:c r="E167" s="5"/>
      <x:c r="F167" s="4" t="n">
        <x:v>0</x:v>
      </x:c>
      <x:c r="G167" s="4" t="n">
        <x:v>14693</x:v>
      </x:c>
      <x:c r="H167" s="6" t="n">
        <x:v>165.08</x:v>
      </x:c>
      <x:c r="I167" s="16" t="n">
        <x:v>1</x:v>
      </x:c>
      <x:c r="J167"/>
      <x:c r="K167" s="4"/>
      <x:c r="L167" s="4"/>
      <x:c r="M167" s="4"/>
      <x:c r="N167" s="5"/>
    </x:row>
    <x:row r="168" ht="24" customHeight="1">
      <x:c r="A168" s="1" t="str">
        <x:v>RESULT</x:v>
      </x:c>
      <x:c r="B168" s="1" t="str">
        <x:v>Round1</x:v>
      </x:c>
      <x:c r="C168" s="1" t="str">
        <x:v>Closure_31</x:v>
      </x:c>
      <x:c r="D168" s="1" t="str">
        <x:v>NOT_AVAILABLE</x:v>
      </x:c>
      <x:c r="E168" s="5"/>
      <x:c r="F168" s="4" t="n">
        <x:v>0</x:v>
      </x:c>
      <x:c r="G168" s="4" t="n">
        <x:v>16996</x:v>
      </x:c>
      <x:c r="H168" s="6" t="n">
        <x:v>81.93</x:v>
      </x:c>
      <x:c r="I168" s="16" t="n">
        <x:v>1</x:v>
      </x:c>
      <x:c r="J168"/>
      <x:c r="K168" s="4"/>
      <x:c r="L168" s="4"/>
      <x:c r="M168" s="4"/>
      <x:c r="N168" s="5"/>
    </x:row>
    <x:row r="169" ht="24" customHeight="1">
      <x:c r="A169" s="1" t="str">
        <x:v>RESULT</x:v>
      </x:c>
      <x:c r="B169" s="1" t="str">
        <x:v>Round1</x:v>
      </x:c>
      <x:c r="C169" s="1" t="str">
        <x:v>Closure_32</x:v>
      </x:c>
      <x:c r="D169" s="1" t="str">
        <x:v>NOT_AVAILABLE</x:v>
      </x:c>
      <x:c r="E169" s="5"/>
      <x:c r="F169" s="4" t="n">
        <x:v>0</x:v>
      </x:c>
      <x:c r="G169" s="4" t="n">
        <x:v>15857</x:v>
      </x:c>
      <x:c r="H169" s="6" t="n">
        <x:v>70.92</x:v>
      </x:c>
      <x:c r="I169" s="16" t="n">
        <x:v>1</x:v>
      </x:c>
      <x:c r="J169"/>
      <x:c r="K169" s="4"/>
      <x:c r="L169" s="4"/>
      <x:c r="M169" s="4"/>
      <x:c r="N169" s="5"/>
    </x:row>
    <x:row r="170" ht="24" customHeight="1">
      <x:c r="A170" s="1" t="str">
        <x:v>RESULT</x:v>
      </x:c>
      <x:c r="B170" s="1" t="str">
        <x:v>Round1</x:v>
      </x:c>
      <x:c r="C170" s="1" t="str">
        <x:v>Closure_33</x:v>
      </x:c>
      <x:c r="D170" s="1" t="str">
        <x:v>NOT_AVAILABLE</x:v>
      </x:c>
      <x:c r="E170" s="5"/>
      <x:c r="F170" s="4" t="n">
        <x:v>0</x:v>
      </x:c>
      <x:c r="G170" s="4" t="n">
        <x:v>7162</x:v>
      </x:c>
      <x:c r="H170" s="6" t="n">
        <x:v>55.84</x:v>
      </x:c>
      <x:c r="I170" s="16" t="n">
        <x:v>1</x:v>
      </x:c>
      <x:c r="J170"/>
      <x:c r="K170" s="4"/>
      <x:c r="L170" s="4"/>
      <x:c r="M170" s="4"/>
      <x:c r="N170" s="5"/>
    </x:row>
    <x:row r="171" ht="24" customHeight="1">
      <x:c r="A171" s="1" t="str">
        <x:v>RESULT</x:v>
      </x:c>
      <x:c r="B171" s="1" t="str">
        <x:v>Round1</x:v>
      </x:c>
      <x:c r="C171" s="1" t="str">
        <x:v>Closure_34</x:v>
      </x:c>
      <x:c r="D171" s="1" t="str">
        <x:v>NOT_AVAILABLE</x:v>
      </x:c>
      <x:c r="E171" s="5"/>
      <x:c r="F171" s="4" t="n">
        <x:v>0</x:v>
      </x:c>
      <x:c r="G171" s="4" t="n">
        <x:v>17221</x:v>
      </x:c>
      <x:c r="H171" s="6" t="n">
        <x:v>84.88</x:v>
      </x:c>
      <x:c r="I171" s="16" t="n">
        <x:v>1</x:v>
      </x:c>
      <x:c r="J171"/>
      <x:c r="K171" s="4"/>
      <x:c r="L171" s="4"/>
      <x:c r="M171" s="4"/>
      <x:c r="N171" s="5"/>
    </x:row>
    <x:row r="172" ht="24" customHeight="1">
      <x:c r="A172" s="1" t="str">
        <x:v>RESULT</x:v>
      </x:c>
      <x:c r="B172" s="1" t="str">
        <x:v>Round1</x:v>
      </x:c>
      <x:c r="C172" s="1" t="str">
        <x:v>Closure_35</x:v>
      </x:c>
      <x:c r="D172" s="1" t="str">
        <x:v>NOT_AVAILABLE</x:v>
      </x:c>
      <x:c r="E172" s="5"/>
      <x:c r="F172" s="4" t="n">
        <x:v>0</x:v>
      </x:c>
      <x:c r="G172" s="4" t="n">
        <x:v>11787</x:v>
      </x:c>
      <x:c r="H172" s="6" t="n">
        <x:v>47.47</x:v>
      </x:c>
      <x:c r="I172" s="16" t="n">
        <x:v>1</x:v>
      </x:c>
      <x:c r="J172"/>
      <x:c r="K172" s="4"/>
      <x:c r="L172" s="4"/>
      <x:c r="M172" s="4"/>
      <x:c r="N172" s="5"/>
    </x:row>
    <x:row r="173" ht="24" customHeight="1">
      <x:c r="A173" s="1" t="str">
        <x:v>RESULT</x:v>
      </x:c>
      <x:c r="B173" s="1" t="str">
        <x:v>Round1</x:v>
      </x:c>
      <x:c r="C173" s="1" t="str">
        <x:v>Closure_36</x:v>
      </x:c>
      <x:c r="D173" s="1" t="str">
        <x:v>NOT_AVAILABLE</x:v>
      </x:c>
      <x:c r="E173" s="5"/>
      <x:c r="F173" s="4" t="n">
        <x:v>0</x:v>
      </x:c>
      <x:c r="G173" s="4" t="n">
        <x:v>8915</x:v>
      </x:c>
      <x:c r="H173" s="6" t="n">
        <x:v>128.67</x:v>
      </x:c>
      <x:c r="I173" s="16" t="n">
        <x:v>1</x:v>
      </x:c>
      <x:c r="J173"/>
      <x:c r="K173" s="4"/>
      <x:c r="L173" s="4"/>
      <x:c r="M173" s="4"/>
      <x:c r="N173" s="5"/>
    </x:row>
    <x:row r="174" ht="24" customHeight="1">
      <x:c r="A174" s="1" t="str">
        <x:v>RESULT</x:v>
      </x:c>
      <x:c r="B174" s="1" t="str">
        <x:v>Round1</x:v>
      </x:c>
      <x:c r="C174" s="1" t="str">
        <x:v>Closure_37</x:v>
      </x:c>
      <x:c r="D174" s="1" t="str">
        <x:v>NOT_AVAILABLE</x:v>
      </x:c>
      <x:c r="E174" s="5"/>
      <x:c r="F174" s="4" t="n">
        <x:v>0</x:v>
      </x:c>
      <x:c r="G174" s="4" t="n">
        <x:v>26024</x:v>
      </x:c>
      <x:c r="H174" s="6" t="n">
        <x:v>287.73</x:v>
      </x:c>
      <x:c r="I174" s="16" t="n">
        <x:v>1</x:v>
      </x:c>
      <x:c r="J174"/>
      <x:c r="K174" s="4"/>
      <x:c r="L174" s="4"/>
      <x:c r="M174" s="4"/>
      <x:c r="N174" s="5"/>
    </x:row>
    <x:row r="175" ht="24" customHeight="1">
      <x:c r="A175" s="1" t="str">
        <x:v>RESULT</x:v>
      </x:c>
      <x:c r="B175" s="1" t="str">
        <x:v>Round1</x:v>
      </x:c>
      <x:c r="C175" s="1" t="str">
        <x:v>Closure_38</x:v>
      </x:c>
      <x:c r="D175" s="1" t="str">
        <x:v>INCONCLUSIVE</x:v>
      </x:c>
      <x:c r="E175" s="5" t="n">
        <x:v>0.6875</x:v>
      </x:c>
      <x:c r="F175" s="4" t="n">
        <x:v>0</x:v>
      </x:c>
      <x:c r="G175" s="4" t="n">
        <x:v>4356</x:v>
      </x:c>
      <x:c r="H175" s="6" t="n">
        <x:v>43.42</x:v>
      </x:c>
      <x:c r="I175" s="16" t="n">
        <x:v>1</x:v>
      </x:c>
      <x:c r="J175" t="n">
        <x:v>112</x:v>
      </x:c>
      <x:c r="K175" s="4" t="n">
        <x:v>77</x:v>
      </x:c>
      <x:c r="L175" s="4" t="n">
        <x:v>64</x:v>
      </x:c>
      <x:c r="M175" s="4" t="n">
        <x:v>43</x:v>
      </x:c>
      <x:c r="N175" s="5" t="n">
        <x:v>0.6718999999999999</x:v>
      </x:c>
    </x:row>
    <x:row r="176" ht="24" customHeight="1">
      <x:c r="A176" s="1" t="str">
        <x:v>RESULT</x:v>
      </x:c>
      <x:c r="B176" s="1" t="str">
        <x:v>Round1</x:v>
      </x:c>
      <x:c r="C176" s="1" t="str">
        <x:v>Closure_39</x:v>
      </x:c>
      <x:c r="D176" s="1" t="str">
        <x:v>NOT_AVAILABLE</x:v>
      </x:c>
      <x:c r="E176" s="5"/>
      <x:c r="F176" s="4" t="n">
        <x:v>0</x:v>
      </x:c>
      <x:c r="G176" s="4" t="n">
        <x:v>8420</x:v>
      </x:c>
      <x:c r="H176" s="6" t="n">
        <x:v>100.98</x:v>
      </x:c>
      <x:c r="I176" s="16" t="n">
        <x:v>1</x:v>
      </x:c>
      <x:c r="J176"/>
      <x:c r="K176" s="4"/>
      <x:c r="L176" s="4"/>
      <x:c r="M176" s="4"/>
      <x:c r="N176" s="5"/>
    </x:row>
    <x:row r="177" ht="24" customHeight="1">
      <x:c r="A177" s="1" t="str">
        <x:v>RESULT</x:v>
      </x:c>
      <x:c r="B177" s="1" t="str">
        <x:v>Round1</x:v>
      </x:c>
      <x:c r="C177" s="1" t="str">
        <x:v>Closure_4</x:v>
      </x:c>
      <x:c r="D177" s="1" t="str">
        <x:v>NOT_AVAILABLE</x:v>
      </x:c>
      <x:c r="E177" s="5"/>
      <x:c r="F177" s="4" t="n">
        <x:v>0</x:v>
      </x:c>
      <x:c r="G177" s="4" t="n">
        <x:v>7048</x:v>
      </x:c>
      <x:c r="H177" s="6" t="n">
        <x:v>81.66</x:v>
      </x:c>
      <x:c r="I177" s="16" t="n">
        <x:v>1</x:v>
      </x:c>
      <x:c r="J177"/>
      <x:c r="K177" s="4"/>
      <x:c r="L177" s="4"/>
      <x:c r="M177" s="4"/>
      <x:c r="N177" s="5"/>
    </x:row>
    <x:row r="178" ht="24" customHeight="1">
      <x:c r="A178" s="1" t="str">
        <x:v>RESULT</x:v>
      </x:c>
      <x:c r="B178" s="1" t="str">
        <x:v>Round1</x:v>
      </x:c>
      <x:c r="C178" s="1" t="str">
        <x:v>Closure_40</x:v>
      </x:c>
      <x:c r="D178" s="1" t="str">
        <x:v>NOT_AVAILABLE</x:v>
      </x:c>
      <x:c r="E178" s="5"/>
      <x:c r="F178" s="4" t="n">
        <x:v>0</x:v>
      </x:c>
      <x:c r="G178" s="4" t="n">
        <x:v>12780</x:v>
      </x:c>
      <x:c r="H178" s="6" t="n">
        <x:v>79.61</x:v>
      </x:c>
      <x:c r="I178" s="16" t="n">
        <x:v>1</x:v>
      </x:c>
      <x:c r="J178"/>
      <x:c r="K178" s="4"/>
      <x:c r="L178" s="4"/>
      <x:c r="M178" s="4"/>
      <x:c r="N178" s="5"/>
    </x:row>
    <x:row r="179" ht="24" customHeight="1">
      <x:c r="A179" s="1" t="str">
        <x:v>RESULT</x:v>
      </x:c>
      <x:c r="B179" s="1" t="str">
        <x:v>Round1</x:v>
      </x:c>
      <x:c r="C179" s="1" t="str">
        <x:v>Closure_41</x:v>
      </x:c>
      <x:c r="D179" s="1" t="str">
        <x:v>NOT_AVAILABLE</x:v>
      </x:c>
      <x:c r="E179" s="5"/>
      <x:c r="F179" s="4" t="n">
        <x:v>0</x:v>
      </x:c>
      <x:c r="G179" s="4" t="n">
        <x:v>7572</x:v>
      </x:c>
      <x:c r="H179" s="6" t="n">
        <x:v>41.79</x:v>
      </x:c>
      <x:c r="I179" s="16" t="n">
        <x:v>1</x:v>
      </x:c>
      <x:c r="J179"/>
      <x:c r="K179" s="4"/>
      <x:c r="L179" s="4"/>
      <x:c r="M179" s="4"/>
      <x:c r="N179" s="5"/>
    </x:row>
    <x:row r="180" ht="24" customHeight="1">
      <x:c r="A180" s="1" t="str">
        <x:v>RESULT</x:v>
      </x:c>
      <x:c r="B180" s="1" t="str">
        <x:v>Round1</x:v>
      </x:c>
      <x:c r="C180" s="1" t="str">
        <x:v>Closure_42</x:v>
      </x:c>
      <x:c r="D180" s="1" t="str">
        <x:v>NOT_AVAILABLE</x:v>
      </x:c>
      <x:c r="E180" s="5"/>
      <x:c r="F180" s="4" t="n">
        <x:v>0</x:v>
      </x:c>
      <x:c r="G180" s="4" t="n">
        <x:v>15236</x:v>
      </x:c>
      <x:c r="H180" s="6" t="n">
        <x:v>131.48</x:v>
      </x:c>
      <x:c r="I180" s="16" t="n">
        <x:v>1</x:v>
      </x:c>
      <x:c r="J180"/>
      <x:c r="K180" s="4"/>
      <x:c r="L180" s="4"/>
      <x:c r="M180" s="4"/>
      <x:c r="N180" s="5"/>
    </x:row>
    <x:row r="181" ht="24" customHeight="1">
      <x:c r="A181" s="1" t="str">
        <x:v>RESULT</x:v>
      </x:c>
      <x:c r="B181" s="1" t="str">
        <x:v>Round1</x:v>
      </x:c>
      <x:c r="C181" s="1" t="str">
        <x:v>Closure_43</x:v>
      </x:c>
      <x:c r="D181" s="1" t="str">
        <x:v>NOT_AVAILABLE</x:v>
      </x:c>
      <x:c r="E181" s="5"/>
      <x:c r="F181" s="4" t="n">
        <x:v>0</x:v>
      </x:c>
      <x:c r="G181" s="4" t="n">
        <x:v>15352</x:v>
      </x:c>
      <x:c r="H181" s="6" t="n">
        <x:v>66.68</x:v>
      </x:c>
      <x:c r="I181" s="16" t="n">
        <x:v>1</x:v>
      </x:c>
      <x:c r="J181"/>
      <x:c r="K181" s="4"/>
      <x:c r="L181" s="4"/>
      <x:c r="M181" s="4"/>
      <x:c r="N181" s="5"/>
    </x:row>
    <x:row r="182" ht="24" customHeight="1">
      <x:c r="A182" s="1" t="str">
        <x:v>RESULT</x:v>
      </x:c>
      <x:c r="B182" s="1" t="str">
        <x:v>Round1</x:v>
      </x:c>
      <x:c r="C182" s="1" t="str">
        <x:v>Closure_44</x:v>
      </x:c>
      <x:c r="D182" s="1" t="str">
        <x:v>INCONCLUSIVE</x:v>
      </x:c>
      <x:c r="E182" s="5" t="n">
        <x:v>0.8349</x:v>
      </x:c>
      <x:c r="F182" s="4" t="n">
        <x:v>0</x:v>
      </x:c>
      <x:c r="G182" s="4" t="n">
        <x:v>5117</x:v>
      </x:c>
      <x:c r="H182" s="6" t="n">
        <x:v>66.75</x:v>
      </x:c>
      <x:c r="I182" s="16" t="n">
        <x:v>1</x:v>
      </x:c>
      <x:c r="J182" t="n">
        <x:v>109</x:v>
      </x:c>
      <x:c r="K182" s="4" t="n">
        <x:v>91</x:v>
      </x:c>
      <x:c r="L182" s="4" t="n">
        <x:v>60</x:v>
      </x:c>
      <x:c r="M182" s="4" t="n">
        <x:v>53</x:v>
      </x:c>
      <x:c r="N182" s="5" t="n">
        <x:v>0.8833</x:v>
      </x:c>
    </x:row>
    <x:row r="183" ht="24" customHeight="1">
      <x:c r="A183" s="1" t="str">
        <x:v>RESULT</x:v>
      </x:c>
      <x:c r="B183" s="1" t="str">
        <x:v>Round1</x:v>
      </x:c>
      <x:c r="C183" s="1" t="str">
        <x:v>Closure_45</x:v>
      </x:c>
      <x:c r="D183" s="1" t="str">
        <x:v>NOT_AVAILABLE</x:v>
      </x:c>
      <x:c r="E183" s="5"/>
      <x:c r="F183" s="4" t="n">
        <x:v>0</x:v>
      </x:c>
      <x:c r="G183" s="4" t="n">
        <x:v>7472</x:v>
      </x:c>
      <x:c r="H183" s="6" t="n">
        <x:v>54.21</x:v>
      </x:c>
      <x:c r="I183" s="16" t="n">
        <x:v>1</x:v>
      </x:c>
      <x:c r="J183"/>
      <x:c r="K183" s="4"/>
      <x:c r="L183" s="4"/>
      <x:c r="M183" s="4"/>
      <x:c r="N183" s="5"/>
    </x:row>
    <x:row r="184" ht="24" customHeight="1">
      <x:c r="A184" s="1" t="str">
        <x:v>RESULT</x:v>
      </x:c>
      <x:c r="B184" s="1" t="str">
        <x:v>Round1</x:v>
      </x:c>
      <x:c r="C184" s="1" t="str">
        <x:v>Closure_46</x:v>
      </x:c>
      <x:c r="D184" s="1" t="str">
        <x:v>NOT_AVAILABLE</x:v>
      </x:c>
      <x:c r="E184" s="5"/>
      <x:c r="F184" s="4" t="n">
        <x:v>0</x:v>
      </x:c>
      <x:c r="G184" s="4" t="n">
        <x:v>6718</x:v>
      </x:c>
      <x:c r="H184" s="6" t="n">
        <x:v>91.84</x:v>
      </x:c>
      <x:c r="I184" s="16" t="n">
        <x:v>1</x:v>
      </x:c>
      <x:c r="J184"/>
      <x:c r="K184" s="4"/>
      <x:c r="L184" s="4"/>
      <x:c r="M184" s="4"/>
      <x:c r="N184" s="5"/>
    </x:row>
    <x:row r="185" ht="24" customHeight="1">
      <x:c r="A185" s="1" t="str">
        <x:v>RESULT</x:v>
      </x:c>
      <x:c r="B185" s="1" t="str">
        <x:v>Round1</x:v>
      </x:c>
      <x:c r="C185" s="1" t="str">
        <x:v>Closure_47</x:v>
      </x:c>
      <x:c r="D185" s="1" t="str">
        <x:v>NOT_AVAILABLE</x:v>
      </x:c>
      <x:c r="E185" s="5"/>
      <x:c r="F185" s="4" t="n">
        <x:v>0</x:v>
      </x:c>
      <x:c r="G185" s="4" t="n">
        <x:v>12522</x:v>
      </x:c>
      <x:c r="H185" s="6" t="n">
        <x:v>118.75</x:v>
      </x:c>
      <x:c r="I185" s="16" t="n">
        <x:v>1</x:v>
      </x:c>
      <x:c r="J185"/>
      <x:c r="K185" s="4"/>
      <x:c r="L185" s="4"/>
      <x:c r="M185" s="4"/>
      <x:c r="N185" s="5"/>
    </x:row>
    <x:row r="186" ht="24" customHeight="1">
      <x:c r="A186" s="1" t="str">
        <x:v>RESULT</x:v>
      </x:c>
      <x:c r="B186" s="1" t="str">
        <x:v>Round1</x:v>
      </x:c>
      <x:c r="C186" s="1" t="str">
        <x:v>Closure_48</x:v>
      </x:c>
      <x:c r="D186" s="1" t="str">
        <x:v>NOT_AVAILABLE</x:v>
      </x:c>
      <x:c r="E186" s="5"/>
      <x:c r="F186" s="4" t="n">
        <x:v>0</x:v>
      </x:c>
      <x:c r="G186" s="4" t="n">
        <x:v>15692</x:v>
      </x:c>
      <x:c r="H186" s="6" t="n">
        <x:v>81.07</x:v>
      </x:c>
      <x:c r="I186" s="16" t="n">
        <x:v>1</x:v>
      </x:c>
      <x:c r="J186"/>
      <x:c r="K186" s="4"/>
      <x:c r="L186" s="4"/>
      <x:c r="M186" s="4"/>
      <x:c r="N186" s="5"/>
    </x:row>
    <x:row r="187" ht="24" customHeight="1">
      <x:c r="A187" s="1" t="str">
        <x:v>RESULT</x:v>
      </x:c>
      <x:c r="B187" s="1" t="str">
        <x:v>Round1</x:v>
      </x:c>
      <x:c r="C187" s="1" t="str">
        <x:v>Closure_49</x:v>
      </x:c>
      <x:c r="D187" s="1" t="str">
        <x:v>NOT_AVAILABLE</x:v>
      </x:c>
      <x:c r="E187" s="5"/>
      <x:c r="F187" s="4" t="n">
        <x:v>0</x:v>
      </x:c>
      <x:c r="G187" s="4" t="n">
        <x:v>6820</x:v>
      </x:c>
      <x:c r="H187" s="6" t="n">
        <x:v>47.09</x:v>
      </x:c>
      <x:c r="I187" s="16" t="n">
        <x:v>1</x:v>
      </x:c>
      <x:c r="J187"/>
      <x:c r="K187" s="4"/>
      <x:c r="L187" s="4"/>
      <x:c r="M187" s="4"/>
      <x:c r="N187" s="5"/>
    </x:row>
    <x:row r="188" ht="24" customHeight="1">
      <x:c r="A188" s="1" t="str">
        <x:v>RESULT</x:v>
      </x:c>
      <x:c r="B188" s="1" t="str">
        <x:v>Round1</x:v>
      </x:c>
      <x:c r="C188" s="1" t="str">
        <x:v>Closure_5</x:v>
      </x:c>
      <x:c r="D188" s="1" t="str">
        <x:v>NOT_AVAILABLE</x:v>
      </x:c>
      <x:c r="E188" s="5"/>
      <x:c r="F188" s="4" t="n">
        <x:v>0</x:v>
      </x:c>
      <x:c r="G188" s="4" t="n">
        <x:v>8233</x:v>
      </x:c>
      <x:c r="H188" s="6" t="n">
        <x:v>100.69</x:v>
      </x:c>
      <x:c r="I188" s="16" t="n">
        <x:v>1</x:v>
      </x:c>
      <x:c r="J188"/>
      <x:c r="K188" s="4"/>
      <x:c r="L188" s="4"/>
      <x:c r="M188" s="4"/>
      <x:c r="N188" s="5"/>
    </x:row>
    <x:row r="189" ht="24" customHeight="1">
      <x:c r="A189" s="1" t="str">
        <x:v>RESULT</x:v>
      </x:c>
      <x:c r="B189" s="1" t="str">
        <x:v>Round1</x:v>
      </x:c>
      <x:c r="C189" s="1" t="str">
        <x:v>Closure_50</x:v>
      </x:c>
      <x:c r="D189" s="1" t="str">
        <x:v>INCONCLUSIVE</x:v>
      </x:c>
      <x:c r="E189" s="5" t="n">
        <x:v>0.5227</x:v>
      </x:c>
      <x:c r="F189" s="4" t="n">
        <x:v>0</x:v>
      </x:c>
      <x:c r="G189" s="4" t="n">
        <x:v>10111</x:v>
      </x:c>
      <x:c r="H189" s="6" t="n">
        <x:v>129.59</x:v>
      </x:c>
      <x:c r="I189" s="16" t="n">
        <x:v>1</x:v>
      </x:c>
      <x:c r="J189" t="n">
        <x:v>308</x:v>
      </x:c>
      <x:c r="K189" s="4" t="n">
        <x:v>161</x:v>
      </x:c>
      <x:c r="L189" s="4" t="n">
        <x:v>245</x:v>
      </x:c>
      <x:c r="M189" s="4" t="n">
        <x:v>102</x:v>
      </x:c>
      <x:c r="N189" s="5" t="n">
        <x:v>0.4163</x:v>
      </x:c>
    </x:row>
    <x:row r="190" ht="24" customHeight="1">
      <x:c r="A190" s="1" t="str">
        <x:v>RESULT</x:v>
      </x:c>
      <x:c r="B190" s="1" t="str">
        <x:v>Round1</x:v>
      </x:c>
      <x:c r="C190" s="1" t="str">
        <x:v>Closure_51</x:v>
      </x:c>
      <x:c r="D190" s="1" t="str">
        <x:v>NOT_AVAILABLE</x:v>
      </x:c>
      <x:c r="E190" s="5"/>
      <x:c r="F190" s="4" t="n">
        <x:v>0</x:v>
      </x:c>
      <x:c r="G190" s="4" t="n">
        <x:v>6142</x:v>
      </x:c>
      <x:c r="H190" s="6" t="n">
        <x:v>106.96</x:v>
      </x:c>
      <x:c r="I190" s="16" t="n">
        <x:v>1</x:v>
      </x:c>
      <x:c r="J190"/>
      <x:c r="K190" s="4"/>
      <x:c r="L190" s="4"/>
      <x:c r="M190" s="4"/>
      <x:c r="N190" s="5"/>
    </x:row>
    <x:row r="191" ht="24" customHeight="1">
      <x:c r="A191" s="1" t="str">
        <x:v>RESULT</x:v>
      </x:c>
      <x:c r="B191" s="1" t="str">
        <x:v>Round1</x:v>
      </x:c>
      <x:c r="C191" s="1" t="str">
        <x:v>Closure_52</x:v>
      </x:c>
      <x:c r="D191" s="1" t="str">
        <x:v>NOT_AVAILABLE</x:v>
      </x:c>
      <x:c r="E191" s="5"/>
      <x:c r="F191" s="4" t="n">
        <x:v>0</x:v>
      </x:c>
      <x:c r="G191" s="4" t="n">
        <x:v>12512</x:v>
      </x:c>
      <x:c r="H191" s="6" t="n">
        <x:v>138.98</x:v>
      </x:c>
      <x:c r="I191" s="16" t="n">
        <x:v>1</x:v>
      </x:c>
      <x:c r="J191"/>
      <x:c r="K191" s="4"/>
      <x:c r="L191" s="4"/>
      <x:c r="M191" s="4"/>
      <x:c r="N191" s="5"/>
    </x:row>
    <x:row r="192" ht="24" customHeight="1">
      <x:c r="A192" s="1" t="str">
        <x:v>RESULT</x:v>
      </x:c>
      <x:c r="B192" s="1" t="str">
        <x:v>Round1</x:v>
      </x:c>
      <x:c r="C192" s="1" t="str">
        <x:v>Closure_53</x:v>
      </x:c>
      <x:c r="D192" s="1" t="str">
        <x:v>NOT_AVAILABLE</x:v>
      </x:c>
      <x:c r="E192" s="5"/>
      <x:c r="F192" s="4" t="n">
        <x:v>0</x:v>
      </x:c>
      <x:c r="G192" s="4" t="n">
        <x:v>8068</x:v>
      </x:c>
      <x:c r="H192" s="6" t="n">
        <x:v>104.22</x:v>
      </x:c>
      <x:c r="I192" s="16" t="n">
        <x:v>1</x:v>
      </x:c>
      <x:c r="J192"/>
      <x:c r="K192" s="4"/>
      <x:c r="L192" s="4"/>
      <x:c r="M192" s="4"/>
      <x:c r="N192" s="5"/>
    </x:row>
    <x:row r="193" ht="24" customHeight="1">
      <x:c r="A193" s="1" t="str">
        <x:v>RESULT</x:v>
      </x:c>
      <x:c r="B193" s="1" t="str">
        <x:v>Round1</x:v>
      </x:c>
      <x:c r="C193" s="1" t="str">
        <x:v>Closure_54</x:v>
      </x:c>
      <x:c r="D193" s="1" t="str">
        <x:v>NOT_AVAILABLE</x:v>
      </x:c>
      <x:c r="E193" s="5"/>
      <x:c r="F193" s="4" t="n">
        <x:v>0</x:v>
      </x:c>
      <x:c r="G193" s="4" t="n">
        <x:v>27187</x:v>
      </x:c>
      <x:c r="H193" s="6" t="n">
        <x:v>276.86</x:v>
      </x:c>
      <x:c r="I193" s="16" t="n">
        <x:v>1</x:v>
      </x:c>
      <x:c r="J193"/>
      <x:c r="K193" s="4"/>
      <x:c r="L193" s="4"/>
      <x:c r="M193" s="4"/>
      <x:c r="N193" s="5"/>
    </x:row>
    <x:row r="194" ht="24" customHeight="1">
      <x:c r="A194" s="1" t="str">
        <x:v>RESULT</x:v>
      </x:c>
      <x:c r="B194" s="1" t="str">
        <x:v>Round1</x:v>
      </x:c>
      <x:c r="C194" s="1" t="str">
        <x:v>Closure_55</x:v>
      </x:c>
      <x:c r="D194" s="1" t="str">
        <x:v>NOT_AVAILABLE</x:v>
      </x:c>
      <x:c r="E194" s="5"/>
      <x:c r="F194" s="4" t="n">
        <x:v>0</x:v>
      </x:c>
      <x:c r="G194" s="4" t="n">
        <x:v>8032</x:v>
      </x:c>
      <x:c r="H194" s="6" t="n">
        <x:v>100.96</x:v>
      </x:c>
      <x:c r="I194" s="16" t="n">
        <x:v>1</x:v>
      </x:c>
      <x:c r="J194"/>
      <x:c r="K194" s="4"/>
      <x:c r="L194" s="4"/>
      <x:c r="M194" s="4"/>
      <x:c r="N194" s="5"/>
    </x:row>
    <x:row r="195" ht="24" customHeight="1">
      <x:c r="A195" s="1" t="str">
        <x:v>RESULT</x:v>
      </x:c>
      <x:c r="B195" s="1" t="str">
        <x:v>Round1</x:v>
      </x:c>
      <x:c r="C195" s="1" t="str">
        <x:v>Closure_56</x:v>
      </x:c>
      <x:c r="D195" s="1" t="str">
        <x:v>NOT_AVAILABLE</x:v>
      </x:c>
      <x:c r="E195" s="5"/>
      <x:c r="F195" s="4" t="n">
        <x:v>0</x:v>
      </x:c>
      <x:c r="G195" s="4" t="n">
        <x:v>7407</x:v>
      </x:c>
      <x:c r="H195" s="6" t="n">
        <x:v>88.29</x:v>
      </x:c>
      <x:c r="I195" s="16" t="n">
        <x:v>1</x:v>
      </x:c>
      <x:c r="J195"/>
      <x:c r="K195" s="4"/>
      <x:c r="L195" s="4"/>
      <x:c r="M195" s="4"/>
      <x:c r="N195" s="5"/>
    </x:row>
    <x:row r="196" ht="24" customHeight="1">
      <x:c r="A196" s="1" t="str">
        <x:v>RESULT</x:v>
      </x:c>
      <x:c r="B196" s="1" t="str">
        <x:v>Round1</x:v>
      </x:c>
      <x:c r="C196" s="1" t="str">
        <x:v>Closure_57</x:v>
      </x:c>
      <x:c r="D196" s="1" t="str">
        <x:v>NOT_AVAILABLE</x:v>
      </x:c>
      <x:c r="E196" s="5"/>
      <x:c r="F196" s="4" t="n">
        <x:v>0</x:v>
      </x:c>
      <x:c r="G196" s="4" t="n">
        <x:v>7481</x:v>
      </x:c>
      <x:c r="H196" s="6" t="n">
        <x:v>101.6</x:v>
      </x:c>
      <x:c r="I196" s="16" t="n">
        <x:v>1</x:v>
      </x:c>
      <x:c r="J196"/>
      <x:c r="K196" s="4"/>
      <x:c r="L196" s="4"/>
      <x:c r="M196" s="4"/>
      <x:c r="N196" s="5"/>
    </x:row>
    <x:row r="197" ht="24" customHeight="1">
      <x:c r="A197" s="1" t="str">
        <x:v>RESULT</x:v>
      </x:c>
      <x:c r="B197" s="1" t="str">
        <x:v>Round1</x:v>
      </x:c>
      <x:c r="C197" s="1" t="str">
        <x:v>Closure_58</x:v>
      </x:c>
      <x:c r="D197" s="1" t="str">
        <x:v>NOT_AVAILABLE</x:v>
      </x:c>
      <x:c r="E197" s="5"/>
      <x:c r="F197" s="4" t="n">
        <x:v>0</x:v>
      </x:c>
      <x:c r="G197" s="4" t="n">
        <x:v>11676</x:v>
      </x:c>
      <x:c r="H197" s="6" t="n">
        <x:v>250.28</x:v>
      </x:c>
      <x:c r="I197" s="16" t="n">
        <x:v>1</x:v>
      </x:c>
      <x:c r="J197"/>
      <x:c r="K197" s="4"/>
      <x:c r="L197" s="4"/>
      <x:c r="M197" s="4"/>
      <x:c r="N197" s="5"/>
    </x:row>
    <x:row r="198" ht="24" customHeight="1">
      <x:c r="A198" s="1" t="str">
        <x:v>RESULT</x:v>
      </x:c>
      <x:c r="B198" s="1" t="str">
        <x:v>Round1</x:v>
      </x:c>
      <x:c r="C198" s="1" t="str">
        <x:v>Closure_59</x:v>
      </x:c>
      <x:c r="D198" s="1" t="str">
        <x:v>NOT_AVAILABLE</x:v>
      </x:c>
      <x:c r="E198" s="5"/>
      <x:c r="F198" s="4" t="n">
        <x:v>0</x:v>
      </x:c>
      <x:c r="G198" s="4" t="n">
        <x:v>15934</x:v>
      </x:c>
      <x:c r="H198" s="6" t="n">
        <x:v>125.64</x:v>
      </x:c>
      <x:c r="I198" s="16" t="n">
        <x:v>1</x:v>
      </x:c>
      <x:c r="J198"/>
      <x:c r="K198" s="4"/>
      <x:c r="L198" s="4"/>
      <x:c r="M198" s="4"/>
      <x:c r="N198" s="5"/>
    </x:row>
    <x:row r="199" ht="24" customHeight="1">
      <x:c r="A199" s="1" t="str">
        <x:v>RESULT</x:v>
      </x:c>
      <x:c r="B199" s="1" t="str">
        <x:v>Round1</x:v>
      </x:c>
      <x:c r="C199" s="1" t="str">
        <x:v>Closure_6</x:v>
      </x:c>
      <x:c r="D199" s="1" t="str">
        <x:v>NOT_AVAILABLE</x:v>
      </x:c>
      <x:c r="E199" s="5"/>
      <x:c r="F199" s="4" t="n">
        <x:v>0</x:v>
      </x:c>
      <x:c r="G199" s="4" t="n">
        <x:v>9214</x:v>
      </x:c>
      <x:c r="H199" s="6" t="n">
        <x:v>110.52</x:v>
      </x:c>
      <x:c r="I199" s="16" t="n">
        <x:v>1</x:v>
      </x:c>
      <x:c r="J199"/>
      <x:c r="K199" s="4"/>
      <x:c r="L199" s="4"/>
      <x:c r="M199" s="4"/>
      <x:c r="N199" s="5"/>
    </x:row>
    <x:row r="200" ht="24" customHeight="1">
      <x:c r="A200" s="1" t="str">
        <x:v>RESULT</x:v>
      </x:c>
      <x:c r="B200" s="1" t="str">
        <x:v>Round1</x:v>
      </x:c>
      <x:c r="C200" s="1" t="str">
        <x:v>Closure_60</x:v>
      </x:c>
      <x:c r="D200" s="1" t="str">
        <x:v>NOT_AVAILABLE</x:v>
      </x:c>
      <x:c r="E200" s="5"/>
      <x:c r="F200" s="4" t="n">
        <x:v>0</x:v>
      </x:c>
      <x:c r="G200" s="4" t="n">
        <x:v>20426</x:v>
      </x:c>
      <x:c r="H200" s="6" t="n">
        <x:v>180.46</x:v>
      </x:c>
      <x:c r="I200" s="16" t="n">
        <x:v>1</x:v>
      </x:c>
      <x:c r="J200"/>
      <x:c r="K200" s="4"/>
      <x:c r="L200" s="4"/>
      <x:c r="M200" s="4"/>
      <x:c r="N200" s="5"/>
    </x:row>
    <x:row r="201" ht="24" customHeight="1">
      <x:c r="A201" s="1" t="str">
        <x:v>RESULT</x:v>
      </x:c>
      <x:c r="B201" s="1" t="str">
        <x:v>Round1</x:v>
      </x:c>
      <x:c r="C201" s="1" t="str">
        <x:v>Closure_61</x:v>
      </x:c>
      <x:c r="D201" s="1" t="str">
        <x:v>NOT_AVAILABLE</x:v>
      </x:c>
      <x:c r="E201" s="5"/>
      <x:c r="F201" s="4" t="n">
        <x:v>0</x:v>
      </x:c>
      <x:c r="G201" s="4" t="n">
        <x:v>20022</x:v>
      </x:c>
      <x:c r="H201" s="6" t="n">
        <x:v>165.15</x:v>
      </x:c>
      <x:c r="I201" s="16" t="n">
        <x:v>1</x:v>
      </x:c>
      <x:c r="J201"/>
      <x:c r="K201" s="4"/>
      <x:c r="L201" s="4"/>
      <x:c r="M201" s="4"/>
      <x:c r="N201" s="5"/>
    </x:row>
    <x:row r="202" ht="24" customHeight="1">
      <x:c r="A202" s="1" t="str">
        <x:v>RESULT</x:v>
      </x:c>
      <x:c r="B202" s="1" t="str">
        <x:v>Round1</x:v>
      </x:c>
      <x:c r="C202" s="1" t="str">
        <x:v>Closure_62</x:v>
      </x:c>
      <x:c r="D202" s="1" t="str">
        <x:v>NOT_AVAILABLE</x:v>
      </x:c>
      <x:c r="E202" s="5"/>
      <x:c r="F202" s="4" t="n">
        <x:v>0</x:v>
      </x:c>
      <x:c r="G202" s="4" t="n">
        <x:v>3771</x:v>
      </x:c>
      <x:c r="H202" s="6" t="n">
        <x:v>56.24</x:v>
      </x:c>
      <x:c r="I202" s="16" t="n">
        <x:v>1</x:v>
      </x:c>
      <x:c r="J202"/>
      <x:c r="K202" s="4"/>
      <x:c r="L202" s="4"/>
      <x:c r="M202" s="4"/>
      <x:c r="N202" s="5"/>
    </x:row>
    <x:row r="203" ht="24" customHeight="1">
      <x:c r="A203" s="1" t="str">
        <x:v>RESULT</x:v>
      </x:c>
      <x:c r="B203" s="1" t="str">
        <x:v>Round1</x:v>
      </x:c>
      <x:c r="C203" s="1" t="str">
        <x:v>Closure_64</x:v>
      </x:c>
      <x:c r="D203" s="1" t="str">
        <x:v>NOT_AVAILABLE</x:v>
      </x:c>
      <x:c r="E203" s="5"/>
      <x:c r="F203" s="4" t="n">
        <x:v>0</x:v>
      </x:c>
      <x:c r="G203" s="4" t="n">
        <x:v>18998</x:v>
      </x:c>
      <x:c r="H203" s="6" t="n">
        <x:v>177.92</x:v>
      </x:c>
      <x:c r="I203" s="16" t="n">
        <x:v>1</x:v>
      </x:c>
      <x:c r="J203"/>
      <x:c r="K203" s="4"/>
      <x:c r="L203" s="4"/>
      <x:c r="M203" s="4"/>
      <x:c r="N203" s="5"/>
    </x:row>
    <x:row r="204" ht="24" customHeight="1">
      <x:c r="A204" s="1" t="str">
        <x:v>RESULT</x:v>
      </x:c>
      <x:c r="B204" s="1" t="str">
        <x:v>Round1</x:v>
      </x:c>
      <x:c r="C204" s="1" t="str">
        <x:v>Closure_65</x:v>
      </x:c>
      <x:c r="D204" s="1" t="str">
        <x:v>NOT_AVAILABLE</x:v>
      </x:c>
      <x:c r="E204" s="5"/>
      <x:c r="F204" s="4" t="n">
        <x:v>0</x:v>
      </x:c>
      <x:c r="G204" s="4" t="n">
        <x:v>15563</x:v>
      </x:c>
      <x:c r="H204" s="6" t="n">
        <x:v>301.08</x:v>
      </x:c>
      <x:c r="I204" s="16" t="n">
        <x:v>1</x:v>
      </x:c>
      <x:c r="J204"/>
      <x:c r="K204" s="4"/>
      <x:c r="L204" s="4"/>
      <x:c r="M204" s="4"/>
      <x:c r="N204" s="5"/>
    </x:row>
    <x:row r="205" ht="24" customHeight="1">
      <x:c r="A205" s="1" t="str">
        <x:v>RESULT</x:v>
      </x:c>
      <x:c r="B205" s="1" t="str">
        <x:v>Round1</x:v>
      </x:c>
      <x:c r="C205" s="1" t="str">
        <x:v>Closure_66</x:v>
      </x:c>
      <x:c r="D205" s="1" t="str">
        <x:v>NOT_AVAILABLE</x:v>
      </x:c>
      <x:c r="E205" s="5"/>
      <x:c r="F205" s="4" t="n">
        <x:v>0</x:v>
      </x:c>
      <x:c r="G205" s="4" t="n">
        <x:v>15518</x:v>
      </x:c>
      <x:c r="H205" s="6" t="n">
        <x:v>81</x:v>
      </x:c>
      <x:c r="I205" s="16" t="n">
        <x:v>1</x:v>
      </x:c>
      <x:c r="J205"/>
      <x:c r="K205" s="4"/>
      <x:c r="L205" s="4"/>
      <x:c r="M205" s="4"/>
      <x:c r="N205" s="5"/>
    </x:row>
    <x:row r="206" ht="24" customHeight="1">
      <x:c r="A206" s="1" t="str">
        <x:v>RESULT</x:v>
      </x:c>
      <x:c r="B206" s="1" t="str">
        <x:v>Round1</x:v>
      </x:c>
      <x:c r="C206" s="1" t="str">
        <x:v>Closure_67</x:v>
      </x:c>
      <x:c r="D206" s="1" t="str">
        <x:v>NOT_AVAILABLE</x:v>
      </x:c>
      <x:c r="E206" s="5"/>
      <x:c r="F206" s="4" t="n">
        <x:v>0</x:v>
      </x:c>
      <x:c r="G206" s="4" t="n">
        <x:v>10467</x:v>
      </x:c>
      <x:c r="H206" s="6" t="n">
        <x:v>165.67</x:v>
      </x:c>
      <x:c r="I206" s="16" t="n">
        <x:v>1</x:v>
      </x:c>
      <x:c r="J206"/>
      <x:c r="K206" s="4"/>
      <x:c r="L206" s="4"/>
      <x:c r="M206" s="4"/>
      <x:c r="N206" s="5"/>
    </x:row>
    <x:row r="207" ht="24" customHeight="1">
      <x:c r="A207" s="1" t="str">
        <x:v>RESULT</x:v>
      </x:c>
      <x:c r="B207" s="1" t="str">
        <x:v>Round1</x:v>
      </x:c>
      <x:c r="C207" s="1" t="str">
        <x:v>Closure_68</x:v>
      </x:c>
      <x:c r="D207" s="1" t="str">
        <x:v>NOT_AVAILABLE</x:v>
      </x:c>
      <x:c r="E207" s="5"/>
      <x:c r="F207" s="4" t="n">
        <x:v>0</x:v>
      </x:c>
      <x:c r="G207" s="4" t="n">
        <x:v>15822</x:v>
      </x:c>
      <x:c r="H207" s="6" t="n">
        <x:v>96.26</x:v>
      </x:c>
      <x:c r="I207" s="16" t="n">
        <x:v>1</x:v>
      </x:c>
      <x:c r="J207"/>
      <x:c r="K207" s="4"/>
      <x:c r="L207" s="4"/>
      <x:c r="M207" s="4"/>
      <x:c r="N207" s="5"/>
    </x:row>
    <x:row r="208" ht="24" customHeight="1">
      <x:c r="A208" s="1" t="str">
        <x:v>RESULT</x:v>
      </x:c>
      <x:c r="B208" s="1" t="str">
        <x:v>Round1</x:v>
      </x:c>
      <x:c r="C208" s="1" t="str">
        <x:v>Closure_69</x:v>
      </x:c>
      <x:c r="D208" s="1" t="str">
        <x:v>NOT_AVAILABLE</x:v>
      </x:c>
      <x:c r="E208" s="5"/>
      <x:c r="F208" s="4" t="n">
        <x:v>0</x:v>
      </x:c>
      <x:c r="G208" s="4" t="n">
        <x:v>16329</x:v>
      </x:c>
      <x:c r="H208" s="6" t="n">
        <x:v>118.1</x:v>
      </x:c>
      <x:c r="I208" s="16" t="n">
        <x:v>1</x:v>
      </x:c>
      <x:c r="J208"/>
      <x:c r="K208" s="4"/>
      <x:c r="L208" s="4"/>
      <x:c r="M208" s="4"/>
      <x:c r="N208" s="5"/>
    </x:row>
    <x:row r="209" ht="24" customHeight="1">
      <x:c r="A209" s="1" t="str">
        <x:v>RESULT</x:v>
      </x:c>
      <x:c r="B209" s="1" t="str">
        <x:v>Round1</x:v>
      </x:c>
      <x:c r="C209" s="1" t="str">
        <x:v>Closure_7</x:v>
      </x:c>
      <x:c r="D209" s="1" t="str">
        <x:v>NOT_AVAILABLE</x:v>
      </x:c>
      <x:c r="E209" s="5"/>
      <x:c r="F209" s="4" t="n">
        <x:v>0</x:v>
      </x:c>
      <x:c r="G209" s="4" t="n">
        <x:v>13083</x:v>
      </x:c>
      <x:c r="H209" s="6" t="n">
        <x:v>273.55</x:v>
      </x:c>
      <x:c r="I209" s="16" t="n">
        <x:v>1</x:v>
      </x:c>
      <x:c r="J209"/>
      <x:c r="K209" s="4"/>
      <x:c r="L209" s="4"/>
      <x:c r="M209" s="4"/>
      <x:c r="N209" s="5"/>
    </x:row>
    <x:row r="210" ht="24" customHeight="1">
      <x:c r="A210" s="1" t="str">
        <x:v>RESULT</x:v>
      </x:c>
      <x:c r="B210" s="1" t="str">
        <x:v>Round1</x:v>
      </x:c>
      <x:c r="C210" s="1" t="str">
        <x:v>Closure_70</x:v>
      </x:c>
      <x:c r="D210" s="1" t="str">
        <x:v>NOT_AVAILABLE</x:v>
      </x:c>
      <x:c r="E210" s="5"/>
      <x:c r="F210" s="4" t="n">
        <x:v>0</x:v>
      </x:c>
      <x:c r="G210" s="4" t="n">
        <x:v>15691</x:v>
      </x:c>
      <x:c r="H210" s="6" t="n">
        <x:v>122.53</x:v>
      </x:c>
      <x:c r="I210" s="16" t="n">
        <x:v>1</x:v>
      </x:c>
      <x:c r="J210"/>
      <x:c r="K210" s="4"/>
      <x:c r="L210" s="4"/>
      <x:c r="M210" s="4"/>
      <x:c r="N210" s="5"/>
    </x:row>
    <x:row r="211" ht="24" customHeight="1">
      <x:c r="A211" s="1" t="str">
        <x:v>RESULT</x:v>
      </x:c>
      <x:c r="B211" s="1" t="str">
        <x:v>Round1</x:v>
      </x:c>
      <x:c r="C211" s="1" t="str">
        <x:v>Closure_71</x:v>
      </x:c>
      <x:c r="D211" s="1" t="str">
        <x:v>NOT_AVAILABLE</x:v>
      </x:c>
      <x:c r="E211" s="5"/>
      <x:c r="F211" s="4" t="n">
        <x:v>0</x:v>
      </x:c>
      <x:c r="G211" s="4" t="n">
        <x:v>8153</x:v>
      </x:c>
      <x:c r="H211" s="6" t="n">
        <x:v>72.78</x:v>
      </x:c>
      <x:c r="I211" s="16" t="n">
        <x:v>1</x:v>
      </x:c>
      <x:c r="J211"/>
      <x:c r="K211" s="4"/>
      <x:c r="L211" s="4"/>
      <x:c r="M211" s="4"/>
      <x:c r="N211" s="5"/>
    </x:row>
    <x:row r="212" ht="24" customHeight="1">
      <x:c r="A212" s="1" t="str">
        <x:v>RESULT</x:v>
      </x:c>
      <x:c r="B212" s="1" t="str">
        <x:v>Round1</x:v>
      </x:c>
      <x:c r="C212" s="1" t="str">
        <x:v>Closure_72</x:v>
      </x:c>
      <x:c r="D212" s="1" t="str">
        <x:v>NOT_AVAILABLE</x:v>
      </x:c>
      <x:c r="E212" s="5"/>
      <x:c r="F212" s="4" t="n">
        <x:v>0</x:v>
      </x:c>
      <x:c r="G212" s="4" t="n">
        <x:v>13607</x:v>
      </x:c>
      <x:c r="H212" s="6" t="n">
        <x:v>236.27</x:v>
      </x:c>
      <x:c r="I212" s="16" t="n">
        <x:v>1</x:v>
      </x:c>
      <x:c r="J212"/>
      <x:c r="K212" s="4"/>
      <x:c r="L212" s="4"/>
      <x:c r="M212" s="4"/>
      <x:c r="N212" s="5"/>
    </x:row>
    <x:row r="213" ht="24" customHeight="1">
      <x:c r="A213" s="1" t="str">
        <x:v>RESULT</x:v>
      </x:c>
      <x:c r="B213" s="1" t="str">
        <x:v>Round1</x:v>
      </x:c>
      <x:c r="C213" s="1" t="str">
        <x:v>Closure_73</x:v>
      </x:c>
      <x:c r="D213" s="1" t="str">
        <x:v>NOT_AVAILABLE</x:v>
      </x:c>
      <x:c r="E213" s="5"/>
      <x:c r="F213" s="4" t="n">
        <x:v>0</x:v>
      </x:c>
      <x:c r="G213" s="4" t="n">
        <x:v>11328</x:v>
      </x:c>
      <x:c r="H213" s="6" t="n">
        <x:v>126.87</x:v>
      </x:c>
      <x:c r="I213" s="16" t="n">
        <x:v>1</x:v>
      </x:c>
      <x:c r="J213"/>
      <x:c r="K213" s="4"/>
      <x:c r="L213" s="4"/>
      <x:c r="M213" s="4"/>
      <x:c r="N213" s="5"/>
    </x:row>
    <x:row r="214" ht="24" customHeight="1">
      <x:c r="A214" s="1" t="str">
        <x:v>RESULT</x:v>
      </x:c>
      <x:c r="B214" s="1" t="str">
        <x:v>Round1</x:v>
      </x:c>
      <x:c r="C214" s="1" t="str">
        <x:v>Closure_74</x:v>
      </x:c>
      <x:c r="D214" s="1" t="str">
        <x:v>NOT_AVAILABLE</x:v>
      </x:c>
      <x:c r="E214" s="5"/>
      <x:c r="F214" s="4" t="n">
        <x:v>0</x:v>
      </x:c>
      <x:c r="G214" s="4" t="n">
        <x:v>13995</x:v>
      </x:c>
      <x:c r="H214" s="6" t="n">
        <x:v>117.03</x:v>
      </x:c>
      <x:c r="I214" s="16" t="n">
        <x:v>1</x:v>
      </x:c>
      <x:c r="J214"/>
      <x:c r="K214" s="4"/>
      <x:c r="L214" s="4"/>
      <x:c r="M214" s="4"/>
      <x:c r="N214" s="5"/>
    </x:row>
    <x:row r="215" ht="24" customHeight="1">
      <x:c r="A215" s="1" t="str">
        <x:v>RESULT</x:v>
      </x:c>
      <x:c r="B215" s="1" t="str">
        <x:v>Round1</x:v>
      </x:c>
      <x:c r="C215" s="1" t="str">
        <x:v>Closure_75</x:v>
      </x:c>
      <x:c r="D215" s="1" t="str">
        <x:v>NOT_AVAILABLE</x:v>
      </x:c>
      <x:c r="E215" s="5"/>
      <x:c r="F215" s="4" t="n">
        <x:v>0</x:v>
      </x:c>
      <x:c r="G215" s="4" t="n">
        <x:v>19089</x:v>
      </x:c>
      <x:c r="H215" s="6" t="n">
        <x:v>133.35</x:v>
      </x:c>
      <x:c r="I215" s="16" t="n">
        <x:v>1</x:v>
      </x:c>
      <x:c r="J215"/>
      <x:c r="K215" s="4"/>
      <x:c r="L215" s="4"/>
      <x:c r="M215" s="4"/>
      <x:c r="N215" s="5"/>
    </x:row>
    <x:row r="216" ht="24" customHeight="1">
      <x:c r="A216" s="1" t="str">
        <x:v>RESULT</x:v>
      </x:c>
      <x:c r="B216" s="1" t="str">
        <x:v>Round1</x:v>
      </x:c>
      <x:c r="C216" s="1" t="str">
        <x:v>Closure_76</x:v>
      </x:c>
      <x:c r="D216" s="1" t="str">
        <x:v>NOT_AVAILABLE</x:v>
      </x:c>
      <x:c r="E216" s="5"/>
      <x:c r="F216" s="4" t="n">
        <x:v>0</x:v>
      </x:c>
      <x:c r="G216" s="4" t="n">
        <x:v>7517</x:v>
      </x:c>
      <x:c r="H216" s="6" t="n">
        <x:v>120.07</x:v>
      </x:c>
      <x:c r="I216" s="16" t="n">
        <x:v>1</x:v>
      </x:c>
      <x:c r="J216"/>
      <x:c r="K216" s="4"/>
      <x:c r="L216" s="4"/>
      <x:c r="M216" s="4"/>
      <x:c r="N216" s="5"/>
    </x:row>
    <x:row r="217" ht="24" customHeight="1">
      <x:c r="A217" s="1" t="str">
        <x:v>RESULT</x:v>
      </x:c>
      <x:c r="B217" s="1" t="str">
        <x:v>Round1</x:v>
      </x:c>
      <x:c r="C217" s="1" t="str">
        <x:v>Closure_77</x:v>
      </x:c>
      <x:c r="D217" s="1" t="str">
        <x:v>NOT_AVAILABLE</x:v>
      </x:c>
      <x:c r="E217" s="5"/>
      <x:c r="F217" s="4" t="n">
        <x:v>0</x:v>
      </x:c>
      <x:c r="G217" s="4" t="n">
        <x:v>11622</x:v>
      </x:c>
      <x:c r="H217" s="6" t="n">
        <x:v>150.67</x:v>
      </x:c>
      <x:c r="I217" s="16" t="n">
        <x:v>1</x:v>
      </x:c>
      <x:c r="J217"/>
      <x:c r="K217" s="4"/>
      <x:c r="L217" s="4"/>
      <x:c r="M217" s="4"/>
      <x:c r="N217" s="5"/>
    </x:row>
    <x:row r="218" ht="24" customHeight="1">
      <x:c r="A218" s="1" t="str">
        <x:v>RESULT</x:v>
      </x:c>
      <x:c r="B218" s="1" t="str">
        <x:v>Round1</x:v>
      </x:c>
      <x:c r="C218" s="1" t="str">
        <x:v>Closure_78</x:v>
      </x:c>
      <x:c r="D218" s="1" t="str">
        <x:v>NOT_AVAILABLE</x:v>
      </x:c>
      <x:c r="E218" s="5"/>
      <x:c r="F218" s="4" t="n">
        <x:v>0</x:v>
      </x:c>
      <x:c r="G218" s="4" t="n">
        <x:v>16353</x:v>
      </x:c>
      <x:c r="H218" s="6" t="n">
        <x:v>226.58</x:v>
      </x:c>
      <x:c r="I218" s="16" t="n">
        <x:v>1</x:v>
      </x:c>
      <x:c r="J218"/>
      <x:c r="K218" s="4"/>
      <x:c r="L218" s="4"/>
      <x:c r="M218" s="4"/>
      <x:c r="N218" s="5"/>
    </x:row>
    <x:row r="219" ht="24" customHeight="1">
      <x:c r="A219" s="1" t="str">
        <x:v>RESULT</x:v>
      </x:c>
      <x:c r="B219" s="1" t="str">
        <x:v>Round1</x:v>
      </x:c>
      <x:c r="C219" s="1" t="str">
        <x:v>Closure_79</x:v>
      </x:c>
      <x:c r="D219" s="1" t="str">
        <x:v>NOT_AVAILABLE</x:v>
      </x:c>
      <x:c r="E219" s="5"/>
      <x:c r="F219" s="4" t="n">
        <x:v>0</x:v>
      </x:c>
      <x:c r="G219" s="4" t="n">
        <x:v>19389</x:v>
      </x:c>
      <x:c r="H219" s="6" t="n">
        <x:v>268.54</x:v>
      </x:c>
      <x:c r="I219" s="16" t="n">
        <x:v>1</x:v>
      </x:c>
      <x:c r="J219"/>
      <x:c r="K219" s="4"/>
      <x:c r="L219" s="4"/>
      <x:c r="M219" s="4"/>
      <x:c r="N219" s="5"/>
    </x:row>
    <x:row r="220" ht="24" customHeight="1">
      <x:c r="A220" s="1" t="str">
        <x:v>RESULT</x:v>
      </x:c>
      <x:c r="B220" s="1" t="str">
        <x:v>Round1</x:v>
      </x:c>
      <x:c r="C220" s="1" t="str">
        <x:v>Closure_8</x:v>
      </x:c>
      <x:c r="D220" s="1" t="str">
        <x:v>NOT_AVAILABLE</x:v>
      </x:c>
      <x:c r="E220" s="5"/>
      <x:c r="F220" s="4" t="n">
        <x:v>0</x:v>
      </x:c>
      <x:c r="G220" s="4" t="n">
        <x:v>5351</x:v>
      </x:c>
      <x:c r="H220" s="6" t="n">
        <x:v>98.92</x:v>
      </x:c>
      <x:c r="I220" s="16" t="n">
        <x:v>1</x:v>
      </x:c>
      <x:c r="J220"/>
      <x:c r="K220" s="4"/>
      <x:c r="L220" s="4"/>
      <x:c r="M220" s="4"/>
      <x:c r="N220" s="5"/>
    </x:row>
    <x:row r="221" ht="24" customHeight="1">
      <x:c r="A221" s="1" t="str">
        <x:v>RESULT</x:v>
      </x:c>
      <x:c r="B221" s="1" t="str">
        <x:v>Round1</x:v>
      </x:c>
      <x:c r="C221" s="1" t="str">
        <x:v>Closure_80</x:v>
      </x:c>
      <x:c r="D221" s="1" t="str">
        <x:v>NOT_AVAILABLE</x:v>
      </x:c>
      <x:c r="E221" s="5"/>
      <x:c r="F221" s="4" t="n">
        <x:v>0</x:v>
      </x:c>
      <x:c r="G221" s="4" t="n">
        <x:v>18848</x:v>
      </x:c>
      <x:c r="H221" s="6" t="n">
        <x:v>117.57</x:v>
      </x:c>
      <x:c r="I221" s="16" t="n">
        <x:v>1</x:v>
      </x:c>
      <x:c r="J221"/>
      <x:c r="K221" s="4"/>
      <x:c r="L221" s="4"/>
      <x:c r="M221" s="4"/>
      <x:c r="N221" s="5"/>
    </x:row>
    <x:row r="222" ht="24" customHeight="1">
      <x:c r="A222" s="1" t="str">
        <x:v>RESULT</x:v>
      </x:c>
      <x:c r="B222" s="1" t="str">
        <x:v>Round1</x:v>
      </x:c>
      <x:c r="C222" s="1" t="str">
        <x:v>Closure_81</x:v>
      </x:c>
      <x:c r="D222" s="1" t="str">
        <x:v>NOT_AVAILABLE</x:v>
      </x:c>
      <x:c r="E222" s="5"/>
      <x:c r="F222" s="4" t="n">
        <x:v>0</x:v>
      </x:c>
      <x:c r="G222" s="4" t="n">
        <x:v>13418</x:v>
      </x:c>
      <x:c r="H222" s="6" t="n">
        <x:v>58.09</x:v>
      </x:c>
      <x:c r="I222" s="16" t="n">
        <x:v>1</x:v>
      </x:c>
      <x:c r="J222"/>
      <x:c r="K222" s="4"/>
      <x:c r="L222" s="4"/>
      <x:c r="M222" s="4"/>
      <x:c r="N222" s="5"/>
    </x:row>
    <x:row r="223" ht="24" customHeight="1">
      <x:c r="A223" s="1" t="str">
        <x:v>RESULT</x:v>
      </x:c>
      <x:c r="B223" s="1" t="str">
        <x:v>Round1</x:v>
      </x:c>
      <x:c r="C223" s="1" t="str">
        <x:v>Closure_82</x:v>
      </x:c>
      <x:c r="D223" s="1" t="str">
        <x:v>NOT_AVAILABLE</x:v>
      </x:c>
      <x:c r="E223" s="5"/>
      <x:c r="F223" s="4" t="n">
        <x:v>0</x:v>
      </x:c>
      <x:c r="G223" s="4" t="n">
        <x:v>13560</x:v>
      </x:c>
      <x:c r="H223" s="6" t="n">
        <x:v>349.9</x:v>
      </x:c>
      <x:c r="I223" s="16" t="n">
        <x:v>1</x:v>
      </x:c>
      <x:c r="J223"/>
      <x:c r="K223" s="4"/>
      <x:c r="L223" s="4"/>
      <x:c r="M223" s="4"/>
      <x:c r="N223" s="5"/>
    </x:row>
    <x:row r="224" ht="24" customHeight="1">
      <x:c r="A224" s="1" t="str">
        <x:v>RESULT</x:v>
      </x:c>
      <x:c r="B224" s="1" t="str">
        <x:v>Round1</x:v>
      </x:c>
      <x:c r="C224" s="1" t="str">
        <x:v>Closure_83</x:v>
      </x:c>
      <x:c r="D224" s="1" t="str">
        <x:v>NOT_AVAILABLE</x:v>
      </x:c>
      <x:c r="E224" s="5"/>
      <x:c r="F224" s="4" t="n">
        <x:v>0</x:v>
      </x:c>
      <x:c r="G224" s="4" t="n">
        <x:v>9321</x:v>
      </x:c>
      <x:c r="H224" s="6" t="n">
        <x:v>106.05</x:v>
      </x:c>
      <x:c r="I224" s="16" t="n">
        <x:v>1</x:v>
      </x:c>
      <x:c r="J224"/>
      <x:c r="K224" s="4"/>
      <x:c r="L224" s="4"/>
      <x:c r="M224" s="4"/>
      <x:c r="N224" s="5"/>
    </x:row>
    <x:row r="225" ht="24" customHeight="1">
      <x:c r="A225" s="1" t="str">
        <x:v>RESULT</x:v>
      </x:c>
      <x:c r="B225" s="1" t="str">
        <x:v>Round1</x:v>
      </x:c>
      <x:c r="C225" s="1" t="str">
        <x:v>Closure_84</x:v>
      </x:c>
      <x:c r="D225" s="1" t="str">
        <x:v>NOT_AVAILABLE</x:v>
      </x:c>
      <x:c r="E225" s="5"/>
      <x:c r="F225" s="4" t="n">
        <x:v>0</x:v>
      </x:c>
      <x:c r="G225" s="4" t="n">
        <x:v>12107</x:v>
      </x:c>
      <x:c r="H225" s="6" t="n">
        <x:v>22.64</x:v>
      </x:c>
      <x:c r="I225" s="16" t="n">
        <x:v>1</x:v>
      </x:c>
      <x:c r="J225"/>
      <x:c r="K225" s="4"/>
      <x:c r="L225" s="4"/>
      <x:c r="M225" s="4"/>
      <x:c r="N225" s="5"/>
    </x:row>
    <x:row r="226" ht="24" customHeight="1">
      <x:c r="A226" s="1" t="str">
        <x:v>RESULT</x:v>
      </x:c>
      <x:c r="B226" s="1" t="str">
        <x:v>Round1</x:v>
      </x:c>
      <x:c r="C226" s="1" t="str">
        <x:v>Closure_85</x:v>
      </x:c>
      <x:c r="D226" s="1" t="str">
        <x:v>NOT_AVAILABLE</x:v>
      </x:c>
      <x:c r="E226" s="5"/>
      <x:c r="F226" s="4" t="n">
        <x:v>0</x:v>
      </x:c>
      <x:c r="G226" s="4" t="n">
        <x:v>5364</x:v>
      </x:c>
      <x:c r="H226" s="6" t="n">
        <x:v>97.46</x:v>
      </x:c>
      <x:c r="I226" s="16" t="n">
        <x:v>1</x:v>
      </x:c>
      <x:c r="J226"/>
      <x:c r="K226" s="4"/>
      <x:c r="L226" s="4"/>
      <x:c r="M226" s="4"/>
      <x:c r="N226" s="5"/>
    </x:row>
    <x:row r="227" ht="24" customHeight="1">
      <x:c r="A227" s="1" t="str">
        <x:v>RESULT</x:v>
      </x:c>
      <x:c r="B227" s="1" t="str">
        <x:v>Round1</x:v>
      </x:c>
      <x:c r="C227" s="1" t="str">
        <x:v>Closure_86</x:v>
      </x:c>
      <x:c r="D227" s="1" t="str">
        <x:v>NOT_AVAILABLE</x:v>
      </x:c>
      <x:c r="E227" s="5"/>
      <x:c r="F227" s="4" t="n">
        <x:v>0</x:v>
      </x:c>
      <x:c r="G227" s="4" t="n">
        <x:v>25853</x:v>
      </x:c>
      <x:c r="H227" s="6" t="n">
        <x:v>501.04</x:v>
      </x:c>
      <x:c r="I227" s="16" t="n">
        <x:v>1</x:v>
      </x:c>
      <x:c r="J227"/>
      <x:c r="K227" s="4"/>
      <x:c r="L227" s="4"/>
      <x:c r="M227" s="4"/>
      <x:c r="N227" s="5"/>
    </x:row>
    <x:row r="228" ht="24" customHeight="1">
      <x:c r="A228" s="1" t="str">
        <x:v>RESULT</x:v>
      </x:c>
      <x:c r="B228" s="1" t="str">
        <x:v>Round1</x:v>
      </x:c>
      <x:c r="C228" s="1" t="str">
        <x:v>Closure_87</x:v>
      </x:c>
      <x:c r="D228" s="1" t="str">
        <x:v>NOT_AVAILABLE</x:v>
      </x:c>
      <x:c r="E228" s="5"/>
      <x:c r="F228" s="4" t="n">
        <x:v>0</x:v>
      </x:c>
      <x:c r="G228" s="4" t="n">
        <x:v>8141</x:v>
      </x:c>
      <x:c r="H228" s="6" t="n">
        <x:v>52.76</x:v>
      </x:c>
      <x:c r="I228" s="16" t="n">
        <x:v>1</x:v>
      </x:c>
      <x:c r="J228"/>
      <x:c r="K228" s="4"/>
      <x:c r="L228" s="4"/>
      <x:c r="M228" s="4"/>
      <x:c r="N228" s="5"/>
    </x:row>
    <x:row r="229" ht="24" customHeight="1">
      <x:c r="A229" s="1" t="str">
        <x:v>RESULT</x:v>
      </x:c>
      <x:c r="B229" s="1" t="str">
        <x:v>Round1</x:v>
      </x:c>
      <x:c r="C229" s="1" t="str">
        <x:v>Closure_88</x:v>
      </x:c>
      <x:c r="D229" s="1" t="str">
        <x:v>NOT_AVAILABLE</x:v>
      </x:c>
      <x:c r="E229" s="5"/>
      <x:c r="F229" s="4" t="n">
        <x:v>0</x:v>
      </x:c>
      <x:c r="G229" s="4" t="n">
        <x:v>6165</x:v>
      </x:c>
      <x:c r="H229" s="6" t="n">
        <x:v>80.01</x:v>
      </x:c>
      <x:c r="I229" s="16" t="n">
        <x:v>1</x:v>
      </x:c>
      <x:c r="J229"/>
      <x:c r="K229" s="4"/>
      <x:c r="L229" s="4"/>
      <x:c r="M229" s="4"/>
      <x:c r="N229" s="5"/>
    </x:row>
    <x:row r="230" ht="24" customHeight="1">
      <x:c r="A230" s="1" t="str">
        <x:v>RESULT</x:v>
      </x:c>
      <x:c r="B230" s="1" t="str">
        <x:v>Round1</x:v>
      </x:c>
      <x:c r="C230" s="1" t="str">
        <x:v>Closure_89</x:v>
      </x:c>
      <x:c r="D230" s="1" t="str">
        <x:v>NOT_AVAILABLE</x:v>
      </x:c>
      <x:c r="E230" s="5"/>
      <x:c r="F230" s="4" t="n">
        <x:v>0</x:v>
      </x:c>
      <x:c r="G230" s="4" t="n">
        <x:v>17419</x:v>
      </x:c>
      <x:c r="H230" s="6" t="n">
        <x:v>225.01</x:v>
      </x:c>
      <x:c r="I230" s="16" t="n">
        <x:v>1</x:v>
      </x:c>
      <x:c r="J230"/>
      <x:c r="K230" s="4"/>
      <x:c r="L230" s="4"/>
      <x:c r="M230" s="4"/>
      <x:c r="N230" s="5"/>
    </x:row>
    <x:row r="231" ht="24" customHeight="1">
      <x:c r="A231" s="1" t="str">
        <x:v>RESULT</x:v>
      </x:c>
      <x:c r="B231" s="1" t="str">
        <x:v>Round1</x:v>
      </x:c>
      <x:c r="C231" s="1" t="str">
        <x:v>Closure_9</x:v>
      </x:c>
      <x:c r="D231" s="1" t="str">
        <x:v>NOT_AVAILABLE</x:v>
      </x:c>
      <x:c r="E231" s="5"/>
      <x:c r="F231" s="4" t="n">
        <x:v>0</x:v>
      </x:c>
      <x:c r="G231" s="4" t="n">
        <x:v>5289</x:v>
      </x:c>
      <x:c r="H231" s="6" t="n">
        <x:v>71.92</x:v>
      </x:c>
      <x:c r="I231" s="16" t="n">
        <x:v>1</x:v>
      </x:c>
      <x:c r="J231"/>
      <x:c r="K231" s="4"/>
      <x:c r="L231" s="4"/>
      <x:c r="M231" s="4"/>
      <x:c r="N231" s="5"/>
    </x:row>
    <x:row r="232" ht="24" customHeight="1">
      <x:c r="A232" s="1" t="str">
        <x:v>RESULT</x:v>
      </x:c>
      <x:c r="B232" s="1" t="str">
        <x:v>Round1</x:v>
      </x:c>
      <x:c r="C232" s="1" t="str">
        <x:v>Closure_90</x:v>
      </x:c>
      <x:c r="D232" s="1" t="str">
        <x:v>NOT_AVAILABLE</x:v>
      </x:c>
      <x:c r="E232" s="5"/>
      <x:c r="F232" s="4" t="n">
        <x:v>0</x:v>
      </x:c>
      <x:c r="G232" s="4" t="n">
        <x:v>29404</x:v>
      </x:c>
      <x:c r="H232" s="6" t="n">
        <x:v>256.06</x:v>
      </x:c>
      <x:c r="I232" s="16" t="n">
        <x:v>1</x:v>
      </x:c>
      <x:c r="J232"/>
      <x:c r="K232" s="4"/>
      <x:c r="L232" s="4"/>
      <x:c r="M232" s="4"/>
      <x:c r="N232" s="5"/>
    </x:row>
    <x:row r="233" ht="24" customHeight="1">
      <x:c r="A233" s="1" t="str">
        <x:v>RESULT</x:v>
      </x:c>
      <x:c r="B233" s="1" t="str">
        <x:v>Round1</x:v>
      </x:c>
      <x:c r="C233" s="1" t="str">
        <x:v>Closure_91</x:v>
      </x:c>
      <x:c r="D233" s="1" t="str">
        <x:v>NOT_AVAILABLE</x:v>
      </x:c>
      <x:c r="E233" s="5"/>
      <x:c r="F233" s="4" t="n">
        <x:v>0</x:v>
      </x:c>
      <x:c r="G233" s="4" t="n">
        <x:v>5685</x:v>
      </x:c>
      <x:c r="H233" s="6" t="n">
        <x:v>116.63</x:v>
      </x:c>
      <x:c r="I233" s="16" t="n">
        <x:v>1</x:v>
      </x:c>
      <x:c r="J233"/>
      <x:c r="K233" s="4"/>
      <x:c r="L233" s="4"/>
      <x:c r="M233" s="4"/>
      <x:c r="N233" s="5"/>
    </x:row>
    <x:row r="234" ht="24" customHeight="1">
      <x:c r="A234" s="1" t="str">
        <x:v>RESULT</x:v>
      </x:c>
      <x:c r="B234" s="1" t="str">
        <x:v>Round1</x:v>
      </x:c>
      <x:c r="C234" s="1" t="str">
        <x:v>Closure_92</x:v>
      </x:c>
      <x:c r="D234" s="1" t="str">
        <x:v>NOT_AVAILABLE</x:v>
      </x:c>
      <x:c r="E234" s="5"/>
      <x:c r="F234" s="4" t="n">
        <x:v>0</x:v>
      </x:c>
      <x:c r="G234" s="4" t="n">
        <x:v>11025</x:v>
      </x:c>
      <x:c r="H234" s="6" t="n">
        <x:v>173.4</x:v>
      </x:c>
      <x:c r="I234" s="16" t="n">
        <x:v>1</x:v>
      </x:c>
      <x:c r="J234"/>
      <x:c r="K234" s="4"/>
      <x:c r="L234" s="4"/>
      <x:c r="M234" s="4"/>
      <x:c r="N234" s="5"/>
    </x:row>
    <x:row r="235" ht="24" customHeight="1">
      <x:c r="A235" s="1" t="str">
        <x:v>RESULT</x:v>
      </x:c>
      <x:c r="B235" s="1" t="str">
        <x:v>Round1</x:v>
      </x:c>
      <x:c r="C235" s="1" t="str">
        <x:v>Closure_94</x:v>
      </x:c>
      <x:c r="D235" s="1" t="str">
        <x:v>NOT_AVAILABLE</x:v>
      </x:c>
      <x:c r="E235" s="5"/>
      <x:c r="F235" s="4" t="n">
        <x:v>0</x:v>
      </x:c>
      <x:c r="G235" s="4" t="n">
        <x:v>24236</x:v>
      </x:c>
      <x:c r="H235" s="6" t="n">
        <x:v>478.67</x:v>
      </x:c>
      <x:c r="I235" s="16" t="n">
        <x:v>1</x:v>
      </x:c>
      <x:c r="J235"/>
      <x:c r="K235" s="4"/>
      <x:c r="L235" s="4"/>
      <x:c r="M235" s="4"/>
      <x:c r="N235" s="5"/>
    </x:row>
    <x:row r="236" ht="24" customHeight="1">
      <x:c r="A236" s="1" t="str">
        <x:v>RESULT</x:v>
      </x:c>
      <x:c r="B236" s="1" t="str">
        <x:v>Round1</x:v>
      </x:c>
      <x:c r="C236" s="1" t="str">
        <x:v>Closure_95</x:v>
      </x:c>
      <x:c r="D236" s="1" t="str">
        <x:v>NOT_AVAILABLE</x:v>
      </x:c>
      <x:c r="E236" s="5"/>
      <x:c r="F236" s="4" t="n">
        <x:v>0</x:v>
      </x:c>
      <x:c r="G236" s="4" t="n">
        <x:v>13087</x:v>
      </x:c>
      <x:c r="H236" s="6" t="n">
        <x:v>88.64</x:v>
      </x:c>
      <x:c r="I236" s="16" t="n">
        <x:v>1</x:v>
      </x:c>
      <x:c r="J236"/>
      <x:c r="K236" s="4"/>
      <x:c r="L236" s="4"/>
      <x:c r="M236" s="4"/>
      <x:c r="N236" s="5"/>
    </x:row>
    <x:row r="237" ht="24" customHeight="1">
      <x:c r="A237" s="1" t="str">
        <x:v>RESULT</x:v>
      </x:c>
      <x:c r="B237" s="1" t="str">
        <x:v>Round1</x:v>
      </x:c>
      <x:c r="C237" s="1" t="str">
        <x:v>Closure_96</x:v>
      </x:c>
      <x:c r="D237" s="1" t="str">
        <x:v>NOT_AVAILABLE</x:v>
      </x:c>
      <x:c r="E237" s="5"/>
      <x:c r="F237" s="4" t="n">
        <x:v>0</x:v>
      </x:c>
      <x:c r="G237" s="4" t="n">
        <x:v>14294</x:v>
      </x:c>
      <x:c r="H237" s="6" t="n">
        <x:v>85.97</x:v>
      </x:c>
      <x:c r="I237" s="16" t="n">
        <x:v>1</x:v>
      </x:c>
      <x:c r="J237"/>
      <x:c r="K237" s="4"/>
      <x:c r="L237" s="4"/>
      <x:c r="M237" s="4"/>
      <x:c r="N237" s="5"/>
    </x:row>
    <x:row r="238" ht="24" customHeight="1">
      <x:c r="A238" s="1" t="str">
        <x:v>RESULT</x:v>
      </x:c>
      <x:c r="B238" s="1" t="str">
        <x:v>Round1</x:v>
      </x:c>
      <x:c r="C238" s="1" t="str">
        <x:v>Closure_97</x:v>
      </x:c>
      <x:c r="D238" s="1" t="str">
        <x:v>NOT_AVAILABLE</x:v>
      </x:c>
      <x:c r="E238" s="5"/>
      <x:c r="F238" s="4" t="n">
        <x:v>0</x:v>
      </x:c>
      <x:c r="G238" s="4" t="n">
        <x:v>10928</x:v>
      </x:c>
      <x:c r="H238" s="6" t="n">
        <x:v>124.24</x:v>
      </x:c>
      <x:c r="I238" s="16" t="n">
        <x:v>1</x:v>
      </x:c>
      <x:c r="J238"/>
      <x:c r="K238" s="4"/>
      <x:c r="L238" s="4"/>
      <x:c r="M238" s="4"/>
      <x:c r="N238" s="5"/>
    </x:row>
    <x:row r="239" ht="24" customHeight="1">
      <x:c r="A239" s="1" t="str">
        <x:v>RESULT</x:v>
      </x:c>
      <x:c r="B239" s="1" t="str">
        <x:v>Round1</x:v>
      </x:c>
      <x:c r="C239" s="1" t="str">
        <x:v>Closure_98</x:v>
      </x:c>
      <x:c r="D239" s="1" t="str">
        <x:v>NOT_AVAILABLE</x:v>
      </x:c>
      <x:c r="E239" s="5"/>
      <x:c r="F239" s="4" t="n">
        <x:v>0</x:v>
      </x:c>
      <x:c r="G239" s="4" t="n">
        <x:v>8493</x:v>
      </x:c>
      <x:c r="H239" s="6" t="n">
        <x:v>133.97</x:v>
      </x:c>
      <x:c r="I239" s="16" t="n">
        <x:v>1</x:v>
      </x:c>
      <x:c r="J239"/>
      <x:c r="K239" s="4"/>
      <x:c r="L239" s="4"/>
      <x:c r="M239" s="4"/>
      <x:c r="N239" s="5"/>
    </x:row>
    <x:row r="240" ht="24" customHeight="1">
      <x:c r="A240" s="1" t="str">
        <x:v>RESULT</x:v>
      </x:c>
      <x:c r="B240" s="1" t="str">
        <x:v>Round1</x:v>
      </x:c>
      <x:c r="C240" s="1" t="str">
        <x:v>Closure_99</x:v>
      </x:c>
      <x:c r="D240" s="1" t="str">
        <x:v>NOT_AVAILABLE</x:v>
      </x:c>
      <x:c r="E240" s="5"/>
      <x:c r="F240" s="4" t="n">
        <x:v>0</x:v>
      </x:c>
      <x:c r="G240" s="4" t="n">
        <x:v>7110</x:v>
      </x:c>
      <x:c r="H240" s="6" t="n">
        <x:v>173.11</x:v>
      </x:c>
      <x:c r="I240" s="16" t="n">
        <x:v>1</x:v>
      </x:c>
      <x:c r="J240"/>
      <x:c r="K240" s="4"/>
      <x:c r="L240" s="4"/>
      <x:c r="M240" s="4"/>
      <x:c r="N240" s="5"/>
    </x:row>
    <x:row r="241" ht="24" customHeight="1">
      <x:c r="A241" s="1" t="str">
        <x:v>RESULT</x:v>
      </x:c>
      <x:c r="B241" s="1" t="str">
        <x:v>Round1</x:v>
      </x:c>
      <x:c r="C241" s="1" t="str">
        <x:v>Codec_1</x:v>
      </x:c>
      <x:c r="D241" s="1" t="str">
        <x:v>NOT_AVAILABLE</x:v>
      </x:c>
      <x:c r="E241" s="5"/>
      <x:c r="F241" s="4" t="n">
        <x:v>0</x:v>
      </x:c>
      <x:c r="G241" s="4" t="n">
        <x:v>25963</x:v>
      </x:c>
      <x:c r="H241" s="6" t="n">
        <x:v>320.59</x:v>
      </x:c>
      <x:c r="I241" s="16" t="n">
        <x:v>1</x:v>
      </x:c>
      <x:c r="J241"/>
      <x:c r="K241" s="4"/>
      <x:c r="L241" s="4"/>
      <x:c r="M241" s="4"/>
      <x:c r="N241" s="5"/>
    </x:row>
    <x:row r="242" ht="24" customHeight="1">
      <x:c r="A242" s="1" t="str">
        <x:v>RESULT</x:v>
      </x:c>
      <x:c r="B242" s="1" t="str">
        <x:v>Round1</x:v>
      </x:c>
      <x:c r="C242" s="1" t="str">
        <x:v>Codec_10</x:v>
      </x:c>
      <x:c r="D242" s="1" t="str">
        <x:v>NOT_AVAILABLE</x:v>
      </x:c>
      <x:c r="E242" s="5" t="n">
        <x:v>0.9854999999999999</x:v>
      </x:c>
      <x:c r="F242" s="4" t="n">
        <x:v>0</x:v>
      </x:c>
      <x:c r="G242" s="4" t="n">
        <x:v>3930</x:v>
      </x:c>
      <x:c r="H242" s="6" t="n">
        <x:v>33.98</x:v>
      </x:c>
      <x:c r="I242" s="16" t="n">
        <x:v>1</x:v>
      </x:c>
      <x:c r="J242" t="n">
        <x:v>69</x:v>
      </x:c>
      <x:c r="K242" s="4" t="n">
        <x:v>68</x:v>
      </x:c>
      <x:c r="L242" s="4" t="n">
        <x:v>6</x:v>
      </x:c>
      <x:c r="M242" s="4" t="n">
        <x:v>5</x:v>
      </x:c>
      <x:c r="N242" s="5" t="n">
        <x:v>0.8332999999999999</x:v>
      </x:c>
    </x:row>
    <x:row r="243" ht="24" customHeight="1">
      <x:c r="A243" s="1" t="str">
        <x:v>RESULT</x:v>
      </x:c>
      <x:c r="B243" s="1" t="str">
        <x:v>Round1</x:v>
      </x:c>
      <x:c r="C243" s="1" t="str">
        <x:v>Codec_11</x:v>
      </x:c>
      <x:c r="D243" s="1" t="str">
        <x:v>NOT_AVAILABLE</x:v>
      </x:c>
      <x:c r="E243" s="5"/>
      <x:c r="F243" s="4" t="n">
        <x:v>0</x:v>
      </x:c>
      <x:c r="G243" s="4" t="n">
        <x:v>6769</x:v>
      </x:c>
      <x:c r="H243" s="6" t="n">
        <x:v>80.11</x:v>
      </x:c>
      <x:c r="I243" s="16" t="n">
        <x:v>1</x:v>
      </x:c>
      <x:c r="J243"/>
      <x:c r="K243" s="4"/>
      <x:c r="L243" s="4"/>
      <x:c r="M243" s="4"/>
      <x:c r="N243" s="5"/>
    </x:row>
    <x:row r="244" ht="24" customHeight="1">
      <x:c r="A244" s="1" t="str">
        <x:v>RESULT</x:v>
      </x:c>
      <x:c r="B244" s="1" t="str">
        <x:v>Round1</x:v>
      </x:c>
      <x:c r="C244" s="1" t="str">
        <x:v>Codec_12</x:v>
      </x:c>
      <x:c r="D244" s="1" t="str">
        <x:v>NOT_AVAILABLE</x:v>
      </x:c>
      <x:c r="E244" s="5"/>
      <x:c r="F244" s="4" t="n">
        <x:v>0</x:v>
      </x:c>
      <x:c r="G244" s="4" t="n">
        <x:v>4311</x:v>
      </x:c>
      <x:c r="H244" s="6" t="n">
        <x:v>75.43</x:v>
      </x:c>
      <x:c r="I244" s="16" t="n">
        <x:v>1</x:v>
      </x:c>
      <x:c r="J244"/>
      <x:c r="K244" s="4"/>
      <x:c r="L244" s="4"/>
      <x:c r="M244" s="4"/>
      <x:c r="N244" s="5"/>
    </x:row>
    <x:row r="245" ht="24" customHeight="1">
      <x:c r="A245" s="1" t="str">
        <x:v>RESULT</x:v>
      </x:c>
      <x:c r="B245" s="1" t="str">
        <x:v>Round1</x:v>
      </x:c>
      <x:c r="C245" s="1" t="str">
        <x:v>Codec_13</x:v>
      </x:c>
      <x:c r="D245" s="1" t="str">
        <x:v>NOT_AVAILABLE</x:v>
      </x:c>
      <x:c r="E245" s="5"/>
      <x:c r="F245" s="4" t="n">
        <x:v>0</x:v>
      </x:c>
      <x:c r="G245" s="4" t="n">
        <x:v>15891</x:v>
      </x:c>
      <x:c r="H245" s="6" t="n">
        <x:v>93.89</x:v>
      </x:c>
      <x:c r="I245" s="16" t="n">
        <x:v>1</x:v>
      </x:c>
      <x:c r="J245"/>
      <x:c r="K245" s="4"/>
      <x:c r="L245" s="4"/>
      <x:c r="M245" s="4"/>
      <x:c r="N245" s="5"/>
    </x:row>
    <x:row r="246" ht="24" customHeight="1">
      <x:c r="A246" s="1" t="str">
        <x:v>RESULT</x:v>
      </x:c>
      <x:c r="B246" s="1" t="str">
        <x:v>Round1</x:v>
      </x:c>
      <x:c r="C246" s="1" t="str">
        <x:v>Codec_14</x:v>
      </x:c>
      <x:c r="D246" s="1" t="str">
        <x:v>NOT_AVAILABLE</x:v>
      </x:c>
      <x:c r="E246" s="5"/>
      <x:c r="F246" s="4" t="n">
        <x:v>0</x:v>
      </x:c>
      <x:c r="G246" s="4" t="n">
        <x:v>19743</x:v>
      </x:c>
      <x:c r="H246" s="6" t="n">
        <x:v>234.25</x:v>
      </x:c>
      <x:c r="I246" s="16" t="n">
        <x:v>1</x:v>
      </x:c>
      <x:c r="J246"/>
      <x:c r="K246" s="4"/>
      <x:c r="L246" s="4"/>
      <x:c r="M246" s="4"/>
      <x:c r="N246" s="5"/>
    </x:row>
    <x:row r="247" ht="24" customHeight="1">
      <x:c r="A247" s="1" t="str">
        <x:v>RESULT</x:v>
      </x:c>
      <x:c r="B247" s="1" t="str">
        <x:v>Round1</x:v>
      </x:c>
      <x:c r="C247" s="1" t="str">
        <x:v>Codec_15</x:v>
      </x:c>
      <x:c r="D247" s="1" t="str">
        <x:v>NOT_AVAILABLE</x:v>
      </x:c>
      <x:c r="E247" s="5"/>
      <x:c r="F247" s="4" t="n">
        <x:v>0</x:v>
      </x:c>
      <x:c r="G247" s="4" t="n">
        <x:v>4299</x:v>
      </x:c>
      <x:c r="H247" s="6" t="n">
        <x:v>28.58</x:v>
      </x:c>
      <x:c r="I247" s="16" t="n">
        <x:v>1</x:v>
      </x:c>
      <x:c r="J247"/>
      <x:c r="K247" s="4"/>
      <x:c r="L247" s="4"/>
      <x:c r="M247" s="4"/>
      <x:c r="N247" s="5"/>
    </x:row>
    <x:row r="248" ht="24" customHeight="1">
      <x:c r="A248" s="1" t="str">
        <x:v>RESULT</x:v>
      </x:c>
      <x:c r="B248" s="1" t="str">
        <x:v>Round1</x:v>
      </x:c>
      <x:c r="C248" s="1" t="str">
        <x:v>Codec_16</x:v>
      </x:c>
      <x:c r="D248" s="1" t="str">
        <x:v>NOT_AVAILABLE</x:v>
      </x:c>
      <x:c r="E248" s="5"/>
      <x:c r="F248" s="4" t="n">
        <x:v>0</x:v>
      </x:c>
      <x:c r="G248" s="4" t="n">
        <x:v>8027</x:v>
      </x:c>
      <x:c r="H248" s="6" t="n">
        <x:v>126.74</x:v>
      </x:c>
      <x:c r="I248" s="16" t="n">
        <x:v>1</x:v>
      </x:c>
      <x:c r="J248"/>
      <x:c r="K248" s="4"/>
      <x:c r="L248" s="4"/>
      <x:c r="M248" s="4"/>
      <x:c r="N248" s="5"/>
    </x:row>
    <x:row r="249" ht="24" customHeight="1">
      <x:c r="A249" s="1" t="str">
        <x:v>RESULT</x:v>
      </x:c>
      <x:c r="B249" s="1" t="str">
        <x:v>Round1</x:v>
      </x:c>
      <x:c r="C249" s="1" t="str">
        <x:v>Codec_17</x:v>
      </x:c>
      <x:c r="D249" s="1" t="str">
        <x:v>NOT_AVAILABLE</x:v>
      </x:c>
      <x:c r="E249" s="5"/>
      <x:c r="F249" s="4" t="n">
        <x:v>0</x:v>
      </x:c>
      <x:c r="G249" s="4" t="n">
        <x:v>7468</x:v>
      </x:c>
      <x:c r="H249" s="6" t="n">
        <x:v>58.76</x:v>
      </x:c>
      <x:c r="I249" s="16" t="n">
        <x:v>1</x:v>
      </x:c>
      <x:c r="J249"/>
      <x:c r="K249" s="4"/>
      <x:c r="L249" s="4"/>
      <x:c r="M249" s="4"/>
      <x:c r="N249" s="5"/>
    </x:row>
    <x:row r="250" ht="24" customHeight="1">
      <x:c r="A250" s="1" t="str">
        <x:v>RESULT</x:v>
      </x:c>
      <x:c r="B250" s="1" t="str">
        <x:v>Round1</x:v>
      </x:c>
      <x:c r="C250" s="1" t="str">
        <x:v>Codec_18</x:v>
      </x:c>
      <x:c r="D250" s="1" t="str">
        <x:v>NOT_AVAILABLE</x:v>
      </x:c>
      <x:c r="E250" s="5"/>
      <x:c r="F250" s="4" t="n">
        <x:v>0</x:v>
      </x:c>
      <x:c r="G250" s="4" t="n">
        <x:v>7806</x:v>
      </x:c>
      <x:c r="H250" s="6" t="n">
        <x:v>72</x:v>
      </x:c>
      <x:c r="I250" s="16" t="n">
        <x:v>1</x:v>
      </x:c>
      <x:c r="J250"/>
      <x:c r="K250" s="4"/>
      <x:c r="L250" s="4"/>
      <x:c r="M250" s="4"/>
      <x:c r="N250" s="5"/>
    </x:row>
    <x:row r="251" ht="24" customHeight="1">
      <x:c r="A251" s="1" t="str">
        <x:v>RESULT</x:v>
      </x:c>
      <x:c r="B251" s="1" t="str">
        <x:v>Round1</x:v>
      </x:c>
      <x:c r="C251" s="1" t="str">
        <x:v>Codec_2</x:v>
      </x:c>
      <x:c r="D251" s="1" t="str">
        <x:v>INCONCLUSIVE</x:v>
      </x:c>
      <x:c r="E251" s="5" t="n">
        <x:v>0.8364</x:v>
      </x:c>
      <x:c r="F251" s="4" t="n">
        <x:v>0</x:v>
      </x:c>
      <x:c r="G251" s="4" t="n">
        <x:v>7064</x:v>
      </x:c>
      <x:c r="H251" s="6" t="n">
        <x:v>67.94</x:v>
      </x:c>
      <x:c r="I251" s="16" t="n">
        <x:v>1</x:v>
      </x:c>
      <x:c r="J251" t="n">
        <x:v>214</x:v>
      </x:c>
      <x:c r="K251" s="4" t="n">
        <x:v>179</x:v>
      </x:c>
      <x:c r="L251" s="4" t="n">
        <x:v>146</x:v>
      </x:c>
      <x:c r="M251" s="4" t="n">
        <x:v>102</x:v>
      </x:c>
      <x:c r="N251" s="5" t="n">
        <x:v>0.6986</x:v>
      </x:c>
    </x:row>
    <x:row r="252" ht="24" customHeight="1">
      <x:c r="A252" s="1" t="str">
        <x:v>RESULT</x:v>
      </x:c>
      <x:c r="B252" s="1" t="str">
        <x:v>Round1</x:v>
      </x:c>
      <x:c r="C252" s="1" t="str">
        <x:v>Codec_3</x:v>
      </x:c>
      <x:c r="D252" s="1" t="str">
        <x:v>NOT_AVAILABLE</x:v>
      </x:c>
      <x:c r="E252" s="5"/>
      <x:c r="F252" s="4" t="n">
        <x:v>0</x:v>
      </x:c>
      <x:c r="G252" s="4" t="n">
        <x:v>10229</x:v>
      </x:c>
      <x:c r="H252" s="6" t="n">
        <x:v>75.17</x:v>
      </x:c>
      <x:c r="I252" s="16" t="n">
        <x:v>1</x:v>
      </x:c>
      <x:c r="J252"/>
      <x:c r="K252" s="4"/>
      <x:c r="L252" s="4"/>
      <x:c r="M252" s="4"/>
      <x:c r="N252" s="5"/>
    </x:row>
    <x:row r="253" ht="24" customHeight="1">
      <x:c r="A253" s="1" t="str">
        <x:v>RESULT</x:v>
      </x:c>
      <x:c r="B253" s="1" t="str">
        <x:v>Round1</x:v>
      </x:c>
      <x:c r="C253" s="1" t="str">
        <x:v>Codec_4</x:v>
      </x:c>
      <x:c r="D253" s="1" t="str">
        <x:v>NOT_AVAILABLE</x:v>
      </x:c>
      <x:c r="E253" s="5"/>
      <x:c r="F253" s="4" t="n">
        <x:v>0</x:v>
      </x:c>
      <x:c r="G253" s="4" t="n">
        <x:v>7737</x:v>
      </x:c>
      <x:c r="H253" s="6" t="n">
        <x:v>82.44</x:v>
      </x:c>
      <x:c r="I253" s="16" t="n">
        <x:v>1</x:v>
      </x:c>
      <x:c r="J253"/>
      <x:c r="K253" s="4"/>
      <x:c r="L253" s="4"/>
      <x:c r="M253" s="4"/>
      <x:c r="N253" s="5"/>
    </x:row>
    <x:row r="254" ht="24" customHeight="1">
      <x:c r="A254" s="1" t="str">
        <x:v>RESULT</x:v>
      </x:c>
      <x:c r="B254" s="1" t="str">
        <x:v>Round1</x:v>
      </x:c>
      <x:c r="C254" s="1" t="str">
        <x:v>Codec_5</x:v>
      </x:c>
      <x:c r="D254" s="1" t="str">
        <x:v>INCONCLUSIVE</x:v>
      </x:c>
      <x:c r="E254" s="5" t="n">
        <x:v>0.8831</x:v>
      </x:c>
      <x:c r="F254" s="4" t="n">
        <x:v>0</x:v>
      </x:c>
      <x:c r="G254" s="4" t="n">
        <x:v>7735</x:v>
      </x:c>
      <x:c r="H254" s="6" t="n">
        <x:v>80.94</x:v>
      </x:c>
      <x:c r="I254" s="16" t="n">
        <x:v>1</x:v>
      </x:c>
      <x:c r="J254" t="n">
        <x:v>231</x:v>
      </x:c>
      <x:c r="K254" s="4" t="n">
        <x:v>204</x:v>
      </x:c>
      <x:c r="L254" s="4" t="n">
        <x:v>158</x:v>
      </x:c>
      <x:c r="M254" s="4" t="n">
        <x:v>117</x:v>
      </x:c>
      <x:c r="N254" s="5" t="n">
        <x:v>0.7404999999999999</x:v>
      </x:c>
    </x:row>
    <x:row r="255" ht="24" customHeight="1">
      <x:c r="A255" s="1" t="str">
        <x:v>RESULT</x:v>
      </x:c>
      <x:c r="B255" s="1" t="str">
        <x:v>Round1</x:v>
      </x:c>
      <x:c r="C255" s="1" t="str">
        <x:v>Codec_6</x:v>
      </x:c>
      <x:c r="D255" s="1" t="str">
        <x:v>NOT_AVAILABLE</x:v>
      </x:c>
      <x:c r="E255" s="5"/>
      <x:c r="F255" s="4" t="n">
        <x:v>0</x:v>
      </x:c>
      <x:c r="G255" s="4" t="n">
        <x:v>4269</x:v>
      </x:c>
      <x:c r="H255" s="6" t="n">
        <x:v>52.2</x:v>
      </x:c>
      <x:c r="I255" s="16" t="n">
        <x:v>1</x:v>
      </x:c>
      <x:c r="J255"/>
      <x:c r="K255" s="4"/>
      <x:c r="L255" s="4"/>
      <x:c r="M255" s="4"/>
      <x:c r="N255" s="5"/>
    </x:row>
    <x:row r="256" ht="24" customHeight="1">
      <x:c r="A256" s="1" t="str">
        <x:v>RESULT</x:v>
      </x:c>
      <x:c r="B256" s="1" t="str">
        <x:v>Round1</x:v>
      </x:c>
      <x:c r="C256" s="1" t="str">
        <x:v>Codec_7</x:v>
      </x:c>
      <x:c r="D256" s="1" t="str">
        <x:v>INCONCLUSIVE</x:v>
      </x:c>
      <x:c r="E256" s="5" t="n">
        <x:v>0.8412000000000001</x:v>
      </x:c>
      <x:c r="F256" s="4" t="n">
        <x:v>0</x:v>
      </x:c>
      <x:c r="G256" s="4" t="n">
        <x:v>8632</x:v>
      </x:c>
      <x:c r="H256" s="6" t="n">
        <x:v>116.99</x:v>
      </x:c>
      <x:c r="I256" s="16" t="n">
        <x:v>1</x:v>
      </x:c>
      <x:c r="J256" t="n">
        <x:v>233</x:v>
      </x:c>
      <x:c r="K256" s="4" t="n">
        <x:v>196</x:v>
      </x:c>
      <x:c r="L256" s="4" t="n">
        <x:v>162</x:v>
      </x:c>
      <x:c r="M256" s="4" t="n">
        <x:v>119</x:v>
      </x:c>
      <x:c r="N256" s="5" t="n">
        <x:v>0.7345999999999999</x:v>
      </x:c>
    </x:row>
    <x:row r="257" ht="24" customHeight="1">
      <x:c r="A257" s="1" t="str">
        <x:v>RESULT</x:v>
      </x:c>
      <x:c r="B257" s="1" t="str">
        <x:v>Round1</x:v>
      </x:c>
      <x:c r="C257" s="1" t="str">
        <x:v>Codec_8</x:v>
      </x:c>
      <x:c r="D257" s="1" t="str">
        <x:v>INCONCLUSIVE</x:v>
      </x:c>
      <x:c r="E257" s="5" t="n">
        <x:v>0.8621</x:v>
      </x:c>
      <x:c r="F257" s="4" t="n">
        <x:v>0</x:v>
      </x:c>
      <x:c r="G257" s="4" t="n">
        <x:v>13249</x:v>
      </x:c>
      <x:c r="H257" s="6" t="n">
        <x:v>186.92</x:v>
      </x:c>
      <x:c r="I257" s="16" t="n">
        <x:v>1</x:v>
      </x:c>
      <x:c r="J257" t="n">
        <x:v>261</x:v>
      </x:c>
      <x:c r="K257" s="4" t="n">
        <x:v>225</x:v>
      </x:c>
      <x:c r="L257" s="4" t="n">
        <x:v>186</x:v>
      </x:c>
      <x:c r="M257" s="4" t="n">
        <x:v>145</x:v>
      </x:c>
      <x:c r="N257" s="5" t="n">
        <x:v>0.7796</x:v>
      </x:c>
    </x:row>
    <x:row r="258" ht="24" customHeight="1">
      <x:c r="A258" s="1" t="str">
        <x:v>RESULT</x:v>
      </x:c>
      <x:c r="B258" s="1" t="str">
        <x:v>Round1</x:v>
      </x:c>
      <x:c r="C258" s="1" t="str">
        <x:v>Codec_9</x:v>
      </x:c>
      <x:c r="D258" s="1" t="str">
        <x:v>NOT_AVAILABLE</x:v>
      </x:c>
      <x:c r="E258" s="5"/>
      <x:c r="F258" s="4" t="n">
        <x:v>0</x:v>
      </x:c>
      <x:c r="G258" s="4" t="n">
        <x:v>9382</x:v>
      </x:c>
      <x:c r="H258" s="6" t="n">
        <x:v>150.2</x:v>
      </x:c>
      <x:c r="I258" s="16" t="n">
        <x:v>1</x:v>
      </x:c>
      <x:c r="J258"/>
      <x:c r="K258" s="4"/>
      <x:c r="L258" s="4"/>
      <x:c r="M258" s="4"/>
      <x:c r="N258" s="5"/>
    </x:row>
    <x:row r="259" ht="24" customHeight="1">
      <x:c r="A259" s="1" t="str">
        <x:v>RESULT</x:v>
      </x:c>
      <x:c r="B259" s="1" t="str">
        <x:v>Round1</x:v>
      </x:c>
      <x:c r="C259" s="1" t="str">
        <x:v>Collections_1</x:v>
      </x:c>
      <x:c r="D259" s="1" t="str">
        <x:v>NOT_AVAILABLE</x:v>
      </x:c>
      <x:c r="E259" s="5"/>
      <x:c r="F259" s="4" t="n">
        <x:v>0</x:v>
      </x:c>
      <x:c r="G259" s="4" t="n">
        <x:v>8600</x:v>
      </x:c>
      <x:c r="H259" s="6" t="n">
        <x:v>89.25</x:v>
      </x:c>
      <x:c r="I259" s="16" t="n">
        <x:v>1</x:v>
      </x:c>
      <x:c r="J259"/>
      <x:c r="K259" s="4"/>
      <x:c r="L259" s="4"/>
      <x:c r="M259" s="4"/>
      <x:c r="N259" s="5"/>
    </x:row>
    <x:row r="260" ht="24" customHeight="1">
      <x:c r="A260" s="1" t="str">
        <x:v>RESULT</x:v>
      </x:c>
      <x:c r="B260" s="1" t="str">
        <x:v>Round1</x:v>
      </x:c>
      <x:c r="C260" s="1" t="str">
        <x:v>Collections_10</x:v>
      </x:c>
      <x:c r="D260" s="1" t="str">
        <x:v>NOT_REVEALING</x:v>
      </x:c>
      <x:c r="E260" s="5" t="n">
        <x:v>0.8571</x:v>
      </x:c>
      <x:c r="F260" s="4" t="n">
        <x:v>0</x:v>
      </x:c>
      <x:c r="G260" s="4" t="n">
        <x:v>6778</x:v>
      </x:c>
      <x:c r="H260" s="6" t="n">
        <x:v>87.2</x:v>
      </x:c>
      <x:c r="I260" s="16" t="n">
        <x:v>1</x:v>
      </x:c>
      <x:c r="J260" t="n">
        <x:v>119</x:v>
      </x:c>
      <x:c r="K260" s="4" t="n">
        <x:v>102</x:v>
      </x:c>
      <x:c r="L260" s="4" t="n">
        <x:v>48</x:v>
      </x:c>
      <x:c r="M260" s="4" t="n">
        <x:v>40</x:v>
      </x:c>
      <x:c r="N260" s="5" t="n">
        <x:v>0.8332999999999999</x:v>
      </x:c>
    </x:row>
    <x:row r="261" ht="24" customHeight="1">
      <x:c r="A261" s="1" t="str">
        <x:v>RESULT</x:v>
      </x:c>
      <x:c r="B261" s="1" t="str">
        <x:v>Round1</x:v>
      </x:c>
      <x:c r="C261" s="1" t="str">
        <x:v>Collections_11</x:v>
      </x:c>
      <x:c r="D261" s="1" t="str">
        <x:v>INCONCLUSIVE</x:v>
      </x:c>
      <x:c r="E261" s="5" t="n">
        <x:v>1</x:v>
      </x:c>
      <x:c r="F261" s="4" t="n">
        <x:v>0</x:v>
      </x:c>
      <x:c r="G261" s="4" t="n">
        <x:v>5865</x:v>
      </x:c>
      <x:c r="H261" s="6" t="n">
        <x:v>115.21</x:v>
      </x:c>
      <x:c r="I261" s="16" t="n">
        <x:v>1</x:v>
      </x:c>
      <x:c r="J261" t="n">
        <x:v>35</x:v>
      </x:c>
      <x:c r="K261" s="4" t="n">
        <x:v>35</x:v>
      </x:c>
      <x:c r="L261" s="4" t="n">
        <x:v>12</x:v>
      </x:c>
      <x:c r="M261" s="4" t="n">
        <x:v>12</x:v>
      </x:c>
      <x:c r="N261" s="5" t="n">
        <x:v>1</x:v>
      </x:c>
    </x:row>
    <x:row r="262" ht="24" customHeight="1">
      <x:c r="A262" s="1" t="str">
        <x:v>RESULT</x:v>
      </x:c>
      <x:c r="B262" s="1" t="str">
        <x:v>Round1</x:v>
      </x:c>
      <x:c r="C262" s="1" t="str">
        <x:v>Collections_12</x:v>
      </x:c>
      <x:c r="D262" s="1" t="str">
        <x:v>NOT_AVAILABLE</x:v>
      </x:c>
      <x:c r="E262" s="5"/>
      <x:c r="F262" s="4" t="n">
        <x:v>0</x:v>
      </x:c>
      <x:c r="G262" s="4" t="n">
        <x:v>13382</x:v>
      </x:c>
      <x:c r="H262" s="6" t="n">
        <x:v>256.67</x:v>
      </x:c>
      <x:c r="I262" s="16" t="n">
        <x:v>1</x:v>
      </x:c>
      <x:c r="J262"/>
      <x:c r="K262" s="4"/>
      <x:c r="L262" s="4"/>
      <x:c r="M262" s="4"/>
      <x:c r="N262" s="5"/>
    </x:row>
    <x:row r="263" ht="24" customHeight="1">
      <x:c r="A263" s="1" t="str">
        <x:v>RESULT</x:v>
      </x:c>
      <x:c r="B263" s="1" t="str">
        <x:v>Round1</x:v>
      </x:c>
      <x:c r="C263" s="1" t="str">
        <x:v>Collections_13</x:v>
      </x:c>
      <x:c r="D263" s="1" t="str">
        <x:v>NOT_AVAILABLE</x:v>
      </x:c>
      <x:c r="E263" s="5"/>
      <x:c r="F263" s="4" t="n">
        <x:v>0</x:v>
      </x:c>
      <x:c r="G263" s="4" t="n">
        <x:v>9842</x:v>
      </x:c>
      <x:c r="H263" s="6" t="n">
        <x:v>119.84</x:v>
      </x:c>
      <x:c r="I263" s="16" t="n">
        <x:v>1</x:v>
      </x:c>
      <x:c r="J263"/>
      <x:c r="K263" s="4"/>
      <x:c r="L263" s="4"/>
      <x:c r="M263" s="4"/>
      <x:c r="N263" s="5"/>
    </x:row>
    <x:row r="264" ht="24" customHeight="1">
      <x:c r="A264" s="1" t="str">
        <x:v>RESULT</x:v>
      </x:c>
      <x:c r="B264" s="1" t="str">
        <x:v>Round1</x:v>
      </x:c>
      <x:c r="C264" s="1" t="str">
        <x:v>Collections_14</x:v>
      </x:c>
      <x:c r="D264" s="1" t="str">
        <x:v>NOT_AVAILABLE</x:v>
      </x:c>
      <x:c r="E264" s="5"/>
      <x:c r="F264" s="4" t="n">
        <x:v>0</x:v>
      </x:c>
      <x:c r="G264" s="4" t="n">
        <x:v>3635</x:v>
      </x:c>
      <x:c r="H264" s="6" t="n">
        <x:v>50.17</x:v>
      </x:c>
      <x:c r="I264" s="16" t="n">
        <x:v>1</x:v>
      </x:c>
      <x:c r="J264"/>
      <x:c r="K264" s="4"/>
      <x:c r="L264" s="4"/>
      <x:c r="M264" s="4"/>
      <x:c r="N264" s="5"/>
    </x:row>
    <x:row r="265" ht="24" customHeight="1">
      <x:c r="A265" s="1" t="str">
        <x:v>RESULT</x:v>
      </x:c>
      <x:c r="B265" s="1" t="str">
        <x:v>Round1</x:v>
      </x:c>
      <x:c r="C265" s="1" t="str">
        <x:v>Collections_15</x:v>
      </x:c>
      <x:c r="D265" s="1" t="str">
        <x:v>NOT_AVAILABLE</x:v>
      </x:c>
      <x:c r="E265" s="5"/>
      <x:c r="F265" s="4" t="n">
        <x:v>0</x:v>
      </x:c>
      <x:c r="G265" s="4" t="n">
        <x:v>5295</x:v>
      </x:c>
      <x:c r="H265" s="6" t="n">
        <x:v>67.31</x:v>
      </x:c>
      <x:c r="I265" s="16" t="n">
        <x:v>1</x:v>
      </x:c>
      <x:c r="J265"/>
      <x:c r="K265" s="4"/>
      <x:c r="L265" s="4"/>
      <x:c r="M265" s="4"/>
      <x:c r="N265" s="5"/>
    </x:row>
    <x:row r="266" ht="24" customHeight="1">
      <x:c r="A266" s="1" t="str">
        <x:v>RESULT</x:v>
      </x:c>
      <x:c r="B266" s="1" t="str">
        <x:v>Round1</x:v>
      </x:c>
      <x:c r="C266" s="1" t="str">
        <x:v>Collections_16</x:v>
      </x:c>
      <x:c r="D266" s="1" t="str">
        <x:v>NOT_AVAILABLE</x:v>
      </x:c>
      <x:c r="E266" s="5"/>
      <x:c r="F266" s="4" t="n">
        <x:v>0</x:v>
      </x:c>
      <x:c r="G266" s="4" t="n">
        <x:v>5840</x:v>
      </x:c>
      <x:c r="H266" s="6" t="n">
        <x:v>92.05</x:v>
      </x:c>
      <x:c r="I266" s="16" t="n">
        <x:v>1</x:v>
      </x:c>
      <x:c r="J266"/>
      <x:c r="K266" s="4"/>
      <x:c r="L266" s="4"/>
      <x:c r="M266" s="4"/>
      <x:c r="N266" s="5"/>
    </x:row>
    <x:row r="267" ht="24" customHeight="1">
      <x:c r="A267" s="1" t="str">
        <x:v>RESULT</x:v>
      </x:c>
      <x:c r="B267" s="1" t="str">
        <x:v>Round1</x:v>
      </x:c>
      <x:c r="C267" s="1" t="str">
        <x:v>Collections_17</x:v>
      </x:c>
      <x:c r="D267" s="1" t="str">
        <x:v>NOT_AVAILABLE</x:v>
      </x:c>
      <x:c r="E267" s="5"/>
      <x:c r="F267" s="4" t="n">
        <x:v>0</x:v>
      </x:c>
      <x:c r="G267" s="4" t="n">
        <x:v>3529</x:v>
      </x:c>
      <x:c r="H267" s="6" t="n">
        <x:v>58.78</x:v>
      </x:c>
      <x:c r="I267" s="16" t="n">
        <x:v>1</x:v>
      </x:c>
      <x:c r="J267"/>
      <x:c r="K267" s="4"/>
      <x:c r="L267" s="4"/>
      <x:c r="M267" s="4"/>
      <x:c r="N267" s="5"/>
    </x:row>
    <x:row r="268" ht="24" customHeight="1">
      <x:c r="A268" s="1" t="str">
        <x:v>RESULT</x:v>
      </x:c>
      <x:c r="B268" s="1" t="str">
        <x:v>Round1</x:v>
      </x:c>
      <x:c r="C268" s="1" t="str">
        <x:v>Collections_18</x:v>
      </x:c>
      <x:c r="D268" s="1" t="str">
        <x:v>NOT_AVAILABLE</x:v>
      </x:c>
      <x:c r="E268" s="5"/>
      <x:c r="F268" s="4" t="n">
        <x:v>0</x:v>
      </x:c>
      <x:c r="G268" s="4" t="n">
        <x:v>7451</x:v>
      </x:c>
      <x:c r="H268" s="6" t="n">
        <x:v>140.59</x:v>
      </x:c>
      <x:c r="I268" s="16" t="n">
        <x:v>1</x:v>
      </x:c>
      <x:c r="J268"/>
      <x:c r="K268" s="4"/>
      <x:c r="L268" s="4"/>
      <x:c r="M268" s="4"/>
      <x:c r="N268" s="5"/>
    </x:row>
    <x:row r="269" ht="24" customHeight="1">
      <x:c r="A269" s="1" t="str">
        <x:v>RESULT</x:v>
      </x:c>
      <x:c r="B269" s="1" t="str">
        <x:v>Round1</x:v>
      </x:c>
      <x:c r="C269" s="1" t="str">
        <x:v>Collections_19</x:v>
      </x:c>
      <x:c r="D269" s="1" t="str">
        <x:v>NOT_AVAILABLE</x:v>
      </x:c>
      <x:c r="E269" s="5"/>
      <x:c r="F269" s="4" t="n">
        <x:v>0</x:v>
      </x:c>
      <x:c r="G269" s="4" t="n">
        <x:v>6269</x:v>
      </x:c>
      <x:c r="H269" s="6" t="n">
        <x:v>83</x:v>
      </x:c>
      <x:c r="I269" s="16" t="n">
        <x:v>1</x:v>
      </x:c>
      <x:c r="J269"/>
      <x:c r="K269" s="4"/>
      <x:c r="L269" s="4"/>
      <x:c r="M269" s="4"/>
      <x:c r="N269" s="5"/>
    </x:row>
    <x:row r="270" ht="24" customHeight="1">
      <x:c r="A270" s="1" t="str">
        <x:v>RESULT</x:v>
      </x:c>
      <x:c r="B270" s="1" t="str">
        <x:v>Round1</x:v>
      </x:c>
      <x:c r="C270" s="1" t="str">
        <x:v>Collections_2</x:v>
      </x:c>
      <x:c r="D270" s="1" t="str">
        <x:v>NOT_AVAILABLE</x:v>
      </x:c>
      <x:c r="E270" s="5"/>
      <x:c r="F270" s="4" t="n">
        <x:v>0</x:v>
      </x:c>
      <x:c r="G270" s="4" t="n">
        <x:v>10157</x:v>
      </x:c>
      <x:c r="H270" s="6" t="n">
        <x:v>143.35</x:v>
      </x:c>
      <x:c r="I270" s="16" t="n">
        <x:v>1</x:v>
      </x:c>
      <x:c r="J270"/>
      <x:c r="K270" s="4"/>
      <x:c r="L270" s="4"/>
      <x:c r="M270" s="4"/>
      <x:c r="N270" s="5"/>
    </x:row>
    <x:row r="271" ht="24" customHeight="1">
      <x:c r="A271" s="1" t="str">
        <x:v>RESULT</x:v>
      </x:c>
      <x:c r="B271" s="1" t="str">
        <x:v>Round1</x:v>
      </x:c>
      <x:c r="C271" s="1" t="str">
        <x:v>Collections_20</x:v>
      </x:c>
      <x:c r="D271" s="1" t="str">
        <x:v>INCONCLUSIVE</x:v>
      </x:c>
      <x:c r="E271" s="5" t="n">
        <x:v>0.8123</x:v>
      </x:c>
      <x:c r="F271" s="4" t="n">
        <x:v>0</x:v>
      </x:c>
      <x:c r="G271" s="4" t="n">
        <x:v>7238</x:v>
      </x:c>
      <x:c r="H271" s="6" t="n">
        <x:v>97.23</x:v>
      </x:c>
      <x:c r="I271" s="16" t="n">
        <x:v>1</x:v>
      </x:c>
      <x:c r="J271" t="n">
        <x:v>293</x:v>
      </x:c>
      <x:c r="K271" s="4" t="n">
        <x:v>238</x:v>
      </x:c>
      <x:c r="L271" s="4" t="n">
        <x:v>154</x:v>
      </x:c>
      <x:c r="M271" s="4" t="n">
        <x:v>106</x:v>
      </x:c>
      <x:c r="N271" s="5" t="n">
        <x:v>0.6883</x:v>
      </x:c>
    </x:row>
    <x:row r="272" ht="24" customHeight="1">
      <x:c r="A272" s="1" t="str">
        <x:v>RESULT</x:v>
      </x:c>
      <x:c r="B272" s="1" t="str">
        <x:v>Round1</x:v>
      </x:c>
      <x:c r="C272" s="1" t="str">
        <x:v>Collections_21</x:v>
      </x:c>
      <x:c r="D272" s="1" t="str">
        <x:v>NOT_REVEALING</x:v>
      </x:c>
      <x:c r="E272" s="5" t="n">
        <x:v>0.9358</x:v>
      </x:c>
      <x:c r="F272" s="4" t="n">
        <x:v>0</x:v>
      </x:c>
      <x:c r="G272" s="4" t="n">
        <x:v>6692</x:v>
      </x:c>
      <x:c r="H272" s="6" t="n">
        <x:v>104.43</x:v>
      </x:c>
      <x:c r="I272" s="16" t="n">
        <x:v>1</x:v>
      </x:c>
      <x:c r="J272" t="n">
        <x:v>109</x:v>
      </x:c>
      <x:c r="K272" s="4" t="n">
        <x:v>102</x:v>
      </x:c>
      <x:c r="L272" s="4" t="n">
        <x:v>38</x:v>
      </x:c>
      <x:c r="M272" s="4" t="n">
        <x:v>36</x:v>
      </x:c>
      <x:c r="N272" s="5" t="n">
        <x:v>0.9473999999999999</x:v>
      </x:c>
    </x:row>
    <x:row r="273" ht="24" customHeight="1">
      <x:c r="A273" s="1" t="str">
        <x:v>RESULT</x:v>
      </x:c>
      <x:c r="B273" s="1" t="str">
        <x:v>Round1</x:v>
      </x:c>
      <x:c r="C273" s="1" t="str">
        <x:v>Collections_22</x:v>
      </x:c>
      <x:c r="D273" s="1" t="str">
        <x:v>NOT_AVAILABLE</x:v>
      </x:c>
      <x:c r="E273" s="5"/>
      <x:c r="F273" s="4" t="n">
        <x:v>0</x:v>
      </x:c>
      <x:c r="G273" s="4" t="n">
        <x:v>8451</x:v>
      </x:c>
      <x:c r="H273" s="6" t="n">
        <x:v>168.25</x:v>
      </x:c>
      <x:c r="I273" s="16" t="n">
        <x:v>1</x:v>
      </x:c>
      <x:c r="J273"/>
      <x:c r="K273" s="4"/>
      <x:c r="L273" s="4"/>
      <x:c r="M273" s="4"/>
      <x:c r="N273" s="5"/>
    </x:row>
    <x:row r="274" ht="24" customHeight="1">
      <x:c r="A274" s="1" t="str">
        <x:v>RESULT</x:v>
      </x:c>
      <x:c r="B274" s="1" t="str">
        <x:v>Round1</x:v>
      </x:c>
      <x:c r="C274" s="1" t="str">
        <x:v>Collections_23</x:v>
      </x:c>
      <x:c r="D274" s="1" t="str">
        <x:v>NOT_AVAILABLE</x:v>
      </x:c>
      <x:c r="E274" s="5"/>
      <x:c r="F274" s="4" t="n">
        <x:v>0</x:v>
      </x:c>
      <x:c r="G274" s="4" t="n">
        <x:v>4142</x:v>
      </x:c>
      <x:c r="H274" s="6" t="n">
        <x:v>69.05</x:v>
      </x:c>
      <x:c r="I274" s="16" t="n">
        <x:v>1</x:v>
      </x:c>
      <x:c r="J274"/>
      <x:c r="K274" s="4"/>
      <x:c r="L274" s="4"/>
      <x:c r="M274" s="4"/>
      <x:c r="N274" s="5"/>
    </x:row>
    <x:row r="275" ht="24" customHeight="1">
      <x:c r="A275" s="1" t="str">
        <x:v>RESULT</x:v>
      </x:c>
      <x:c r="B275" s="1" t="str">
        <x:v>Round1</x:v>
      </x:c>
      <x:c r="C275" s="1" t="str">
        <x:v>Collections_24</x:v>
      </x:c>
      <x:c r="D275" s="1" t="str">
        <x:v>NOT_REVEALING</x:v>
      </x:c>
      <x:c r="E275" s="5" t="n">
        <x:v>0.9615</x:v>
      </x:c>
      <x:c r="F275" s="4" t="n">
        <x:v>0</x:v>
      </x:c>
      <x:c r="G275" s="4" t="n">
        <x:v>4395</x:v>
      </x:c>
      <x:c r="H275" s="6" t="n">
        <x:v>77.99</x:v>
      </x:c>
      <x:c r="I275" s="16" t="n">
        <x:v>1</x:v>
      </x:c>
      <x:c r="J275" t="n">
        <x:v>26</x:v>
      </x:c>
      <x:c r="K275" s="4" t="n">
        <x:v>25</x:v>
      </x:c>
      <x:c r="L275" s="4" t="n">
        <x:v>12</x:v>
      </x:c>
      <x:c r="M275" s="4" t="n">
        <x:v>12</x:v>
      </x:c>
      <x:c r="N275" s="5" t="n">
        <x:v>1</x:v>
      </x:c>
    </x:row>
    <x:row r="276" ht="24" customHeight="1">
      <x:c r="A276" s="1" t="str">
        <x:v>RESULT</x:v>
      </x:c>
      <x:c r="B276" s="1" t="str">
        <x:v>Round1</x:v>
      </x:c>
      <x:c r="C276" s="1" t="str">
        <x:v>Collections_25</x:v>
      </x:c>
      <x:c r="D276" s="1" t="str">
        <x:v>NOT_AVAILABLE</x:v>
      </x:c>
      <x:c r="E276" s="5"/>
      <x:c r="F276" s="4" t="n">
        <x:v>0</x:v>
      </x:c>
      <x:c r="G276" s="4" t="n">
        <x:v>11072</x:v>
      </x:c>
      <x:c r="H276" s="6" t="n">
        <x:v>204.64</x:v>
      </x:c>
      <x:c r="I276" s="16" t="n">
        <x:v>1</x:v>
      </x:c>
      <x:c r="J276"/>
      <x:c r="K276" s="4"/>
      <x:c r="L276" s="4"/>
      <x:c r="M276" s="4"/>
      <x:c r="N276" s="5"/>
    </x:row>
    <x:row r="277" ht="24" customHeight="1">
      <x:c r="A277" s="1" t="str">
        <x:v>RESULT</x:v>
      </x:c>
      <x:c r="B277" s="1" t="str">
        <x:v>Round1</x:v>
      </x:c>
      <x:c r="C277" s="1" t="str">
        <x:v>Collections_26</x:v>
      </x:c>
      <x:c r="D277" s="1" t="str">
        <x:v>NOT_REVEALING</x:v>
      </x:c>
      <x:c r="E277" s="5" t="n">
        <x:v>0.9459000000000001</x:v>
      </x:c>
      <x:c r="F277" s="4" t="n">
        <x:v>0</x:v>
      </x:c>
      <x:c r="G277" s="4" t="n">
        <x:v>5333</x:v>
      </x:c>
      <x:c r="H277" s="6" t="n">
        <x:v>78.51</x:v>
      </x:c>
      <x:c r="I277" s="16" t="n">
        <x:v>1</x:v>
      </x:c>
      <x:c r="J277" t="n">
        <x:v>37</x:v>
      </x:c>
      <x:c r="K277" s="4" t="n">
        <x:v>35</x:v>
      </x:c>
      <x:c r="L277" s="4" t="n">
        <x:v>12</x:v>
      </x:c>
      <x:c r="M277" s="4" t="n">
        <x:v>12</x:v>
      </x:c>
      <x:c r="N277" s="5" t="n">
        <x:v>1</x:v>
      </x:c>
    </x:row>
    <x:row r="278" ht="24" customHeight="1">
      <x:c r="A278" s="1" t="str">
        <x:v>RESULT</x:v>
      </x:c>
      <x:c r="B278" s="1" t="str">
        <x:v>Round1</x:v>
      </x:c>
      <x:c r="C278" s="1" t="str">
        <x:v>Collections_27</x:v>
      </x:c>
      <x:c r="D278" s="1" t="str">
        <x:v>INCONCLUSIVE</x:v>
      </x:c>
      <x:c r="E278" s="5" t="n">
        <x:v>0.8583</x:v>
      </x:c>
      <x:c r="F278" s="4" t="n">
        <x:v>0</x:v>
      </x:c>
      <x:c r="G278" s="4" t="n">
        <x:v>7592</x:v>
      </x:c>
      <x:c r="H278" s="6" t="n">
        <x:v>76.51</x:v>
      </x:c>
      <x:c r="I278" s="16" t="n">
        <x:v>1</x:v>
      </x:c>
      <x:c r="J278" t="n">
        <x:v>127</x:v>
      </x:c>
      <x:c r="K278" s="4" t="n">
        <x:v>109</x:v>
      </x:c>
      <x:c r="L278" s="4" t="n">
        <x:v>50</x:v>
      </x:c>
      <x:c r="M278" s="4" t="n">
        <x:v>41</x:v>
      </x:c>
      <x:c r="N278" s="5" t="n">
        <x:v>0.82</x:v>
      </x:c>
    </x:row>
    <x:row r="279" ht="24" customHeight="1">
      <x:c r="A279" s="1" t="str">
        <x:v>RESULT</x:v>
      </x:c>
      <x:c r="B279" s="1" t="str">
        <x:v>Round1</x:v>
      </x:c>
      <x:c r="C279" s="1" t="str">
        <x:v>Collections_28</x:v>
      </x:c>
      <x:c r="D279" s="1" t="str">
        <x:v>NOT_AVAILABLE</x:v>
      </x:c>
      <x:c r="E279" s="5"/>
      <x:c r="F279" s="4" t="n">
        <x:v>0</x:v>
      </x:c>
      <x:c r="G279" s="4" t="n">
        <x:v>15342</x:v>
      </x:c>
      <x:c r="H279" s="6" t="n">
        <x:v>101.16</x:v>
      </x:c>
      <x:c r="I279" s="16" t="n">
        <x:v>1</x:v>
      </x:c>
      <x:c r="J279"/>
      <x:c r="K279" s="4"/>
      <x:c r="L279" s="4"/>
      <x:c r="M279" s="4"/>
      <x:c r="N279" s="5"/>
    </x:row>
    <x:row r="280" ht="24" customHeight="1">
      <x:c r="A280" s="1" t="str">
        <x:v>RESULT</x:v>
      </x:c>
      <x:c r="B280" s="1" t="str">
        <x:v>Round1</x:v>
      </x:c>
      <x:c r="C280" s="1" t="str">
        <x:v>Collections_3</x:v>
      </x:c>
      <x:c r="D280" s="1" t="str">
        <x:v>NOT_AVAILABLE</x:v>
      </x:c>
      <x:c r="E280" s="5"/>
      <x:c r="F280" s="4" t="n">
        <x:v>0</x:v>
      </x:c>
      <x:c r="G280" s="4" t="n">
        <x:v>8841</x:v>
      </x:c>
      <x:c r="H280" s="6" t="n">
        <x:v>146.29</x:v>
      </x:c>
      <x:c r="I280" s="16" t="n">
        <x:v>1</x:v>
      </x:c>
      <x:c r="J280"/>
      <x:c r="K280" s="4"/>
      <x:c r="L280" s="4"/>
      <x:c r="M280" s="4"/>
      <x:c r="N280" s="5"/>
    </x:row>
    <x:row r="281" ht="24" customHeight="1">
      <x:c r="A281" s="1" t="str">
        <x:v>RESULT</x:v>
      </x:c>
      <x:c r="B281" s="1" t="str">
        <x:v>Round1</x:v>
      </x:c>
      <x:c r="C281" s="1" t="str">
        <x:v>Collections_4</x:v>
      </x:c>
      <x:c r="D281" s="1" t="str">
        <x:v>NOT_AVAILABLE</x:v>
      </x:c>
      <x:c r="E281" s="5"/>
      <x:c r="F281" s="4" t="n">
        <x:v>0</x:v>
      </x:c>
      <x:c r="G281" s="4" t="n">
        <x:v>6869</x:v>
      </x:c>
      <x:c r="H281" s="6" t="n">
        <x:v>99.97</x:v>
      </x:c>
      <x:c r="I281" s="16" t="n">
        <x:v>1</x:v>
      </x:c>
      <x:c r="J281"/>
      <x:c r="K281" s="4"/>
      <x:c r="L281" s="4"/>
      <x:c r="M281" s="4"/>
      <x:c r="N281" s="5"/>
    </x:row>
    <x:row r="282" ht="24" customHeight="1">
      <x:c r="A282" s="1" t="str">
        <x:v>RESULT</x:v>
      </x:c>
      <x:c r="B282" s="1" t="str">
        <x:v>Round1</x:v>
      </x:c>
      <x:c r="C282" s="1" t="str">
        <x:v>Collections_5</x:v>
      </x:c>
      <x:c r="D282" s="1" t="str">
        <x:v>INCONCLUSIVE</x:v>
      </x:c>
      <x:c r="E282" s="5" t="n">
        <x:v>0.9878</x:v>
      </x:c>
      <x:c r="F282" s="4" t="n">
        <x:v>0</x:v>
      </x:c>
      <x:c r="G282" s="4" t="n">
        <x:v>6373</x:v>
      </x:c>
      <x:c r="H282" s="6" t="n">
        <x:v>113.97</x:v>
      </x:c>
      <x:c r="I282" s="16" t="n">
        <x:v>1</x:v>
      </x:c>
      <x:c r="J282" t="n">
        <x:v>82</x:v>
      </x:c>
      <x:c r="K282" s="4" t="n">
        <x:v>81</x:v>
      </x:c>
      <x:c r="L282" s="4" t="n">
        <x:v>20</x:v>
      </x:c>
      <x:c r="M282" s="4" t="n">
        <x:v>19</x:v>
      </x:c>
      <x:c r="N282" s="5" t="n">
        <x:v>0.95</x:v>
      </x:c>
    </x:row>
    <x:row r="283" ht="24" customHeight="1">
      <x:c r="A283" s="1" t="str">
        <x:v>RESULT</x:v>
      </x:c>
      <x:c r="B283" s="1" t="str">
        <x:v>Round1</x:v>
      </x:c>
      <x:c r="C283" s="1" t="str">
        <x:v>Collections_6</x:v>
      </x:c>
      <x:c r="D283" s="1" t="str">
        <x:v>REVEALING</x:v>
      </x:c>
      <x:c r="E283" s="5" t="n">
        <x:v>0.5919</x:v>
      </x:c>
      <x:c r="F283" s="4" t="n">
        <x:v>1</x:v>
      </x:c>
      <x:c r="G283" s="4" t="n">
        <x:v>9005</x:v>
      </x:c>
      <x:c r="H283" s="6" t="n">
        <x:v>98.9</x:v>
      </x:c>
      <x:c r="I283" s="16" t="n">
        <x:v>1</x:v>
      </x:c>
      <x:c r="J283" t="n">
        <x:v>495</x:v>
      </x:c>
      <x:c r="K283" s="4" t="n">
        <x:v>293</x:v>
      </x:c>
      <x:c r="L283" s="4" t="n">
        <x:v>376</x:v>
      </x:c>
      <x:c r="M283" s="4" t="n">
        <x:v>193</x:v>
      </x:c>
      <x:c r="N283" s="5" t="n">
        <x:v>0.5133</x:v>
      </x:c>
    </x:row>
    <x:row r="284" ht="24" customHeight="1">
      <x:c r="A284" s="1" t="str">
        <x:v>RESULT</x:v>
      </x:c>
      <x:c r="B284" s="1" t="str">
        <x:v>Round1</x:v>
      </x:c>
      <x:c r="C284" s="1" t="str">
        <x:v>Collections_7</x:v>
      </x:c>
      <x:c r="D284" s="1" t="str">
        <x:v>NOT_AVAILABLE</x:v>
      </x:c>
      <x:c r="E284" s="5"/>
      <x:c r="F284" s="4" t="n">
        <x:v>0</x:v>
      </x:c>
      <x:c r="G284" s="4" t="n">
        <x:v>9201</x:v>
      </x:c>
      <x:c r="H284" s="6" t="n">
        <x:v>93.19</x:v>
      </x:c>
      <x:c r="I284" s="16" t="n">
        <x:v>1</x:v>
      </x:c>
      <x:c r="J284"/>
      <x:c r="K284" s="4"/>
      <x:c r="L284" s="4"/>
      <x:c r="M284" s="4"/>
      <x:c r="N284" s="5"/>
    </x:row>
    <x:row r="285" ht="24" customHeight="1">
      <x:c r="A285" s="1" t="str">
        <x:v>RESULT</x:v>
      </x:c>
      <x:c r="B285" s="1" t="str">
        <x:v>Round1</x:v>
      </x:c>
      <x:c r="C285" s="1" t="str">
        <x:v>Collections_8</x:v>
      </x:c>
      <x:c r="D285" s="1" t="str">
        <x:v>NOT_AVAILABLE</x:v>
      </x:c>
      <x:c r="E285" s="5"/>
      <x:c r="F285" s="4" t="n">
        <x:v>0</x:v>
      </x:c>
      <x:c r="G285" s="4" t="n">
        <x:v>4859</x:v>
      </x:c>
      <x:c r="H285" s="6" t="n">
        <x:v>65.9</x:v>
      </x:c>
      <x:c r="I285" s="16" t="n">
        <x:v>1</x:v>
      </x:c>
      <x:c r="J285"/>
      <x:c r="K285" s="4"/>
      <x:c r="L285" s="4"/>
      <x:c r="M285" s="4"/>
      <x:c r="N285" s="5"/>
    </x:row>
    <x:row r="286" ht="24" customHeight="1">
      <x:c r="A286" s="1" t="str">
        <x:v>RESULT</x:v>
      </x:c>
      <x:c r="B286" s="1" t="str">
        <x:v>Round1</x:v>
      </x:c>
      <x:c r="C286" s="1" t="str">
        <x:v>Collections_9</x:v>
      </x:c>
      <x:c r="D286" s="1" t="str">
        <x:v>NOT_AVAILABLE</x:v>
      </x:c>
      <x:c r="E286" s="5"/>
      <x:c r="F286" s="4" t="n">
        <x:v>0</x:v>
      </x:c>
      <x:c r="G286" s="4" t="n">
        <x:v>12344</x:v>
      </x:c>
      <x:c r="H286" s="6" t="n">
        <x:v>224.28</x:v>
      </x:c>
      <x:c r="I286" s="16" t="n">
        <x:v>1</x:v>
      </x:c>
      <x:c r="J286"/>
      <x:c r="K286" s="4"/>
      <x:c r="L286" s="4"/>
      <x:c r="M286" s="4"/>
      <x:c r="N286" s="5"/>
    </x:row>
    <x:row r="287" ht="24" customHeight="1">
      <x:c r="A287" s="1" t="str">
        <x:v>RESULT</x:v>
      </x:c>
      <x:c r="B287" s="1" t="str">
        <x:v>Round1</x:v>
      </x:c>
      <x:c r="C287" s="1" t="str">
        <x:v>Compress_1</x:v>
      </x:c>
      <x:c r="D287" s="1" t="str">
        <x:v>NOT_AVAILABLE</x:v>
      </x:c>
      <x:c r="E287" s="5"/>
      <x:c r="F287" s="4" t="n">
        <x:v>0</x:v>
      </x:c>
      <x:c r="G287" s="4" t="n">
        <x:v>5891</x:v>
      </x:c>
      <x:c r="H287" s="6" t="n">
        <x:v>55.65</x:v>
      </x:c>
      <x:c r="I287" s="16" t="n">
        <x:v>1</x:v>
      </x:c>
      <x:c r="J287"/>
      <x:c r="K287" s="4"/>
      <x:c r="L287" s="4"/>
      <x:c r="M287" s="4"/>
      <x:c r="N287" s="5"/>
    </x:row>
    <x:row r="288" ht="24" customHeight="1">
      <x:c r="A288" s="1" t="str">
        <x:v>RESULT</x:v>
      </x:c>
      <x:c r="B288" s="1" t="str">
        <x:v>Round1</x:v>
      </x:c>
      <x:c r="C288" s="1" t="str">
        <x:v>Compress_10</x:v>
      </x:c>
      <x:c r="D288" s="1" t="str">
        <x:v>NOT_AVAILABLE</x:v>
      </x:c>
      <x:c r="E288" s="5"/>
      <x:c r="F288" s="4" t="n">
        <x:v>0</x:v>
      </x:c>
      <x:c r="G288" s="4" t="n">
        <x:v>7790</x:v>
      </x:c>
      <x:c r="H288" s="6" t="n">
        <x:v>86.81</x:v>
      </x:c>
      <x:c r="I288" s="16" t="n">
        <x:v>1</x:v>
      </x:c>
      <x:c r="J288"/>
      <x:c r="K288" s="4"/>
      <x:c r="L288" s="4"/>
      <x:c r="M288" s="4"/>
      <x:c r="N288" s="5"/>
    </x:row>
    <x:row r="289" ht="24" customHeight="1">
      <x:c r="A289" s="1" t="str">
        <x:v>RESULT</x:v>
      </x:c>
      <x:c r="B289" s="1" t="str">
        <x:v>Round1</x:v>
      </x:c>
      <x:c r="C289" s="1" t="str">
        <x:v>Compress_11</x:v>
      </x:c>
      <x:c r="D289" s="1" t="str">
        <x:v>NOT_AVAILABLE</x:v>
      </x:c>
      <x:c r="E289" s="5"/>
      <x:c r="F289" s="4" t="n">
        <x:v>0</x:v>
      </x:c>
      <x:c r="G289" s="4" t="n">
        <x:v>6034</x:v>
      </x:c>
      <x:c r="H289" s="6" t="n">
        <x:v>105.06</x:v>
      </x:c>
      <x:c r="I289" s="16" t="n">
        <x:v>1</x:v>
      </x:c>
      <x:c r="J289"/>
      <x:c r="K289" s="4"/>
      <x:c r="L289" s="4"/>
      <x:c r="M289" s="4"/>
      <x:c r="N289" s="5"/>
    </x:row>
    <x:row r="290" ht="24" customHeight="1">
      <x:c r="A290" s="1" t="str">
        <x:v>RESULT</x:v>
      </x:c>
      <x:c r="B290" s="1" t="str">
        <x:v>Round1</x:v>
      </x:c>
      <x:c r="C290" s="1" t="str">
        <x:v>Compress_12</x:v>
      </x:c>
      <x:c r="D290" s="1" t="str">
        <x:v>NOT_AVAILABLE</x:v>
      </x:c>
      <x:c r="E290" s="5"/>
      <x:c r="F290" s="4" t="n">
        <x:v>0</x:v>
      </x:c>
      <x:c r="G290" s="4" t="n">
        <x:v>8587</x:v>
      </x:c>
      <x:c r="H290" s="6" t="n">
        <x:v>130.67</x:v>
      </x:c>
      <x:c r="I290" s="16" t="n">
        <x:v>1</x:v>
      </x:c>
      <x:c r="J290"/>
      <x:c r="K290" s="4"/>
      <x:c r="L290" s="4"/>
      <x:c r="M290" s="4"/>
      <x:c r="N290" s="5"/>
    </x:row>
    <x:row r="291" ht="24" customHeight="1">
      <x:c r="A291" s="1" t="str">
        <x:v>RESULT</x:v>
      </x:c>
      <x:c r="B291" s="1" t="str">
        <x:v>Round1</x:v>
      </x:c>
      <x:c r="C291" s="1" t="str">
        <x:v>Compress_13</x:v>
      </x:c>
      <x:c r="D291" s="1" t="str">
        <x:v>NOT_AVAILABLE</x:v>
      </x:c>
      <x:c r="E291" s="5"/>
      <x:c r="F291" s="4" t="n">
        <x:v>0</x:v>
      </x:c>
      <x:c r="G291" s="4" t="n">
        <x:v>11035</x:v>
      </x:c>
      <x:c r="H291" s="6" t="n">
        <x:v>194.71</x:v>
      </x:c>
      <x:c r="I291" s="16" t="n">
        <x:v>1</x:v>
      </x:c>
      <x:c r="J291"/>
      <x:c r="K291" s="4"/>
      <x:c r="L291" s="4"/>
      <x:c r="M291" s="4"/>
      <x:c r="N291" s="5"/>
    </x:row>
    <x:row r="292" ht="24" customHeight="1">
      <x:c r="A292" s="1" t="str">
        <x:v>RESULT</x:v>
      </x:c>
      <x:c r="B292" s="1" t="str">
        <x:v>Round1</x:v>
      </x:c>
      <x:c r="C292" s="1" t="str">
        <x:v>Compress_14</x:v>
      </x:c>
      <x:c r="D292" s="1" t="str">
        <x:v>INCONCLUSIVE</x:v>
      </x:c>
      <x:c r="E292" s="5" t="n">
        <x:v>0.7228</x:v>
      </x:c>
      <x:c r="F292" s="4" t="n">
        <x:v>0</x:v>
      </x:c>
      <x:c r="G292" s="4" t="n">
        <x:v>6676</x:v>
      </x:c>
      <x:c r="H292" s="6" t="n">
        <x:v>85.25</x:v>
      </x:c>
      <x:c r="I292" s="16" t="n">
        <x:v>1</x:v>
      </x:c>
      <x:c r="J292" t="n">
        <x:v>101</x:v>
      </x:c>
      <x:c r="K292" s="4" t="n">
        <x:v>73</x:v>
      </x:c>
      <x:c r="L292" s="4" t="n">
        <x:v>66</x:v>
      </x:c>
      <x:c r="M292" s="4" t="n">
        <x:v>47</x:v>
      </x:c>
      <x:c r="N292" s="5" t="n">
        <x:v>0.7121</x:v>
      </x:c>
    </x:row>
    <x:row r="293" ht="24" customHeight="1">
      <x:c r="A293" s="1" t="str">
        <x:v>RESULT</x:v>
      </x:c>
      <x:c r="B293" s="1" t="str">
        <x:v>Round1</x:v>
      </x:c>
      <x:c r="C293" s="1" t="str">
        <x:v>Compress_15</x:v>
      </x:c>
      <x:c r="D293" s="1" t="str">
        <x:v>NOT_AVAILABLE</x:v>
      </x:c>
      <x:c r="E293" s="5"/>
      <x:c r="F293" s="4" t="n">
        <x:v>0</x:v>
      </x:c>
      <x:c r="G293" s="4" t="n">
        <x:v>9951</x:v>
      </x:c>
      <x:c r="H293" s="6" t="n">
        <x:v>152.68</x:v>
      </x:c>
      <x:c r="I293" s="16" t="n">
        <x:v>1</x:v>
      </x:c>
      <x:c r="J293"/>
      <x:c r="K293" s="4"/>
      <x:c r="L293" s="4"/>
      <x:c r="M293" s="4"/>
      <x:c r="N293" s="5"/>
    </x:row>
    <x:row r="294" ht="24" customHeight="1">
      <x:c r="A294" s="1" t="str">
        <x:v>RESULT</x:v>
      </x:c>
      <x:c r="B294" s="1" t="str">
        <x:v>Round1</x:v>
      </x:c>
      <x:c r="C294" s="1" t="str">
        <x:v>Compress_16</x:v>
      </x:c>
      <x:c r="D294" s="1" t="str">
        <x:v>NOT_AVAILABLE</x:v>
      </x:c>
      <x:c r="E294" s="5"/>
      <x:c r="F294" s="4" t="n">
        <x:v>0</x:v>
      </x:c>
      <x:c r="G294" s="4" t="n">
        <x:v>5464</x:v>
      </x:c>
      <x:c r="H294" s="6" t="n">
        <x:v>83.63</x:v>
      </x:c>
      <x:c r="I294" s="16" t="n">
        <x:v>1</x:v>
      </x:c>
      <x:c r="J294"/>
      <x:c r="K294" s="4"/>
      <x:c r="L294" s="4"/>
      <x:c r="M294" s="4"/>
      <x:c r="N294" s="5"/>
    </x:row>
    <x:row r="295" ht="24" customHeight="1">
      <x:c r="A295" s="1" t="str">
        <x:v>RESULT</x:v>
      </x:c>
      <x:c r="B295" s="1" t="str">
        <x:v>Round1</x:v>
      </x:c>
      <x:c r="C295" s="1" t="str">
        <x:v>Compress_17</x:v>
      </x:c>
      <x:c r="D295" s="1" t="str">
        <x:v>INCONCLUSIVE</x:v>
      </x:c>
      <x:c r="E295" s="5" t="n">
        <x:v>0.7206999999999999</x:v>
      </x:c>
      <x:c r="F295" s="4" t="n">
        <x:v>0</x:v>
      </x:c>
      <x:c r="G295" s="4" t="n">
        <x:v>8801</x:v>
      </x:c>
      <x:c r="H295" s="6" t="n">
        <x:v>84.98</x:v>
      </x:c>
      <x:c r="I295" s="16" t="n">
        <x:v>1</x:v>
      </x:c>
      <x:c r="J295" t="n">
        <x:v>179</x:v>
      </x:c>
      <x:c r="K295" s="4" t="n">
        <x:v>129</x:v>
      </x:c>
      <x:c r="L295" s="4" t="n">
        <x:v>116</x:v>
      </x:c>
      <x:c r="M295" s="4" t="n">
        <x:v>82</x:v>
      </x:c>
      <x:c r="N295" s="5" t="n">
        <x:v>0.7069</x:v>
      </x:c>
    </x:row>
    <x:row r="296" ht="24" customHeight="1">
      <x:c r="A296" s="1" t="str">
        <x:v>RESULT</x:v>
      </x:c>
      <x:c r="B296" s="1" t="str">
        <x:v>Round1</x:v>
      </x:c>
      <x:c r="C296" s="1" t="str">
        <x:v>Compress_18</x:v>
      </x:c>
      <x:c r="D296" s="1" t="str">
        <x:v>NOT_AVAILABLE</x:v>
      </x:c>
      <x:c r="E296" s="5"/>
      <x:c r="F296" s="4" t="n">
        <x:v>0</x:v>
      </x:c>
      <x:c r="G296" s="4" t="n">
        <x:v>10257</x:v>
      </x:c>
      <x:c r="H296" s="6" t="n">
        <x:v>166.08</x:v>
      </x:c>
      <x:c r="I296" s="16" t="n">
        <x:v>1</x:v>
      </x:c>
      <x:c r="J296"/>
      <x:c r="K296" s="4"/>
      <x:c r="L296" s="4"/>
      <x:c r="M296" s="4"/>
      <x:c r="N296" s="5"/>
    </x:row>
    <x:row r="297" ht="24" customHeight="1">
      <x:c r="A297" s="1" t="str">
        <x:v>RESULT</x:v>
      </x:c>
      <x:c r="B297" s="1" t="str">
        <x:v>Round1</x:v>
      </x:c>
      <x:c r="C297" s="1" t="str">
        <x:v>Compress_19</x:v>
      </x:c>
      <x:c r="D297" s="1" t="str">
        <x:v>NOT_AVAILABLE</x:v>
      </x:c>
      <x:c r="E297" s="5"/>
      <x:c r="F297" s="4" t="n">
        <x:v>0</x:v>
      </x:c>
      <x:c r="G297" s="4" t="n">
        <x:v>7885</x:v>
      </x:c>
      <x:c r="H297" s="6" t="n">
        <x:v>152.38</x:v>
      </x:c>
      <x:c r="I297" s="16" t="n">
        <x:v>1</x:v>
      </x:c>
      <x:c r="J297"/>
      <x:c r="K297" s="4"/>
      <x:c r="L297" s="4"/>
      <x:c r="M297" s="4"/>
      <x:c r="N297" s="5"/>
    </x:row>
    <x:row r="298" ht="24" customHeight="1">
      <x:c r="A298" s="1" t="str">
        <x:v>RESULT</x:v>
      </x:c>
      <x:c r="B298" s="1" t="str">
        <x:v>Round1</x:v>
      </x:c>
      <x:c r="C298" s="1" t="str">
        <x:v>Compress_2</x:v>
      </x:c>
      <x:c r="D298" s="1" t="str">
        <x:v>NOT_AVAILABLE</x:v>
      </x:c>
      <x:c r="E298" s="5"/>
      <x:c r="F298" s="4" t="n">
        <x:v>0</x:v>
      </x:c>
      <x:c r="G298" s="4" t="n">
        <x:v>5000</x:v>
      </x:c>
      <x:c r="H298" s="6" t="n">
        <x:v>103.85</x:v>
      </x:c>
      <x:c r="I298" s="16" t="n">
        <x:v>1</x:v>
      </x:c>
      <x:c r="J298"/>
      <x:c r="K298" s="4"/>
      <x:c r="L298" s="4"/>
      <x:c r="M298" s="4"/>
      <x:c r="N298" s="5"/>
    </x:row>
    <x:row r="299" ht="24" customHeight="1">
      <x:c r="A299" s="1" t="str">
        <x:v>RESULT</x:v>
      </x:c>
      <x:c r="B299" s="1" t="str">
        <x:v>Round1</x:v>
      </x:c>
      <x:c r="C299" s="1" t="str">
        <x:v>Compress_20</x:v>
      </x:c>
      <x:c r="D299" s="1" t="str">
        <x:v>INCONCLUSIVE</x:v>
      </x:c>
      <x:c r="E299" s="5" t="n">
        <x:v>0.39909999999999995</x:v>
      </x:c>
      <x:c r="F299" s="4" t="n">
        <x:v>0</x:v>
      </x:c>
      <x:c r="G299" s="4" t="n">
        <x:v>7081</x:v>
      </x:c>
      <x:c r="H299" s="6" t="n">
        <x:v>61.4</x:v>
      </x:c>
      <x:c r="I299" s="16" t="n">
        <x:v>1</x:v>
      </x:c>
      <x:c r="J299" t="n">
        <x:v>213</x:v>
      </x:c>
      <x:c r="K299" s="4" t="n">
        <x:v>85</x:v>
      </x:c>
      <x:c r="L299" s="4" t="n">
        <x:v>114</x:v>
      </x:c>
      <x:c r="M299" s="4" t="n">
        <x:v>33</x:v>
      </x:c>
      <x:c r="N299" s="5" t="n">
        <x:v>0.2895</x:v>
      </x:c>
    </x:row>
    <x:row r="300" ht="24" customHeight="1">
      <x:c r="A300" s="1" t="str">
        <x:v>RESULT</x:v>
      </x:c>
      <x:c r="B300" s="1" t="str">
        <x:v>Round1</x:v>
      </x:c>
      <x:c r="C300" s="1" t="str">
        <x:v>Compress_21</x:v>
      </x:c>
      <x:c r="D300" s="1" t="str">
        <x:v>INCONCLUSIVE</x:v>
      </x:c>
      <x:c r="E300" s="5" t="n">
        <x:v>0.7128</x:v>
      </x:c>
      <x:c r="F300" s="4" t="n">
        <x:v>0</x:v>
      </x:c>
      <x:c r="G300" s="4" t="n">
        <x:v>7907</x:v>
      </x:c>
      <x:c r="H300" s="6" t="n">
        <x:v>63.97</x:v>
      </x:c>
      <x:c r="I300" s="16" t="n">
        <x:v>1</x:v>
      </x:c>
      <x:c r="J300" t="n">
        <x:v>390</x:v>
      </x:c>
      <x:c r="K300" s="4" t="n">
        <x:v>278</x:v>
      </x:c>
      <x:c r="L300" s="4" t="n">
        <x:v>136</x:v>
      </x:c>
      <x:c r="M300" s="4" t="n">
        <x:v>81</x:v>
      </x:c>
      <x:c r="N300" s="5" t="n">
        <x:v>0.5956</x:v>
      </x:c>
    </x:row>
    <x:row r="301" ht="24" customHeight="1">
      <x:c r="A301" s="1" t="str">
        <x:v>RESULT</x:v>
      </x:c>
      <x:c r="B301" s="1" t="str">
        <x:v>Round1</x:v>
      </x:c>
      <x:c r="C301" s="1" t="str">
        <x:v>Compress_22</x:v>
      </x:c>
      <x:c r="D301" s="1" t="str">
        <x:v>NOT_AVAILABLE</x:v>
      </x:c>
      <x:c r="E301" s="5"/>
      <x:c r="F301" s="4" t="n">
        <x:v>0</x:v>
      </x:c>
      <x:c r="G301" s="4" t="n">
        <x:v>11074</x:v>
      </x:c>
      <x:c r="H301" s="6" t="n">
        <x:v>113.74</x:v>
      </x:c>
      <x:c r="I301" s="16" t="n">
        <x:v>1</x:v>
      </x:c>
      <x:c r="J301"/>
      <x:c r="K301" s="4"/>
      <x:c r="L301" s="4"/>
      <x:c r="M301" s="4"/>
      <x:c r="N301" s="5"/>
    </x:row>
    <x:row r="302" ht="24" customHeight="1">
      <x:c r="A302" s="1" t="str">
        <x:v>RESULT</x:v>
      </x:c>
      <x:c r="B302" s="1" t="str">
        <x:v>Round1</x:v>
      </x:c>
      <x:c r="C302" s="1" t="str">
        <x:v>Compress_23</x:v>
      </x:c>
      <x:c r="D302" s="1" t="str">
        <x:v>NOT_AVAILABLE</x:v>
      </x:c>
      <x:c r="E302" s="5"/>
      <x:c r="F302" s="4" t="n">
        <x:v>0</x:v>
      </x:c>
      <x:c r="G302" s="4" t="n">
        <x:v>7349</x:v>
      </x:c>
      <x:c r="H302" s="6" t="n">
        <x:v>151.7</x:v>
      </x:c>
      <x:c r="I302" s="16" t="n">
        <x:v>1</x:v>
      </x:c>
      <x:c r="J302"/>
      <x:c r="K302" s="4"/>
      <x:c r="L302" s="4"/>
      <x:c r="M302" s="4"/>
      <x:c r="N302" s="5"/>
    </x:row>
    <x:row r="303" ht="24" customHeight="1">
      <x:c r="A303" s="1" t="str">
        <x:v>RESULT</x:v>
      </x:c>
      <x:c r="B303" s="1" t="str">
        <x:v>Round1</x:v>
      </x:c>
      <x:c r="C303" s="1" t="str">
        <x:v>Compress_24</x:v>
      </x:c>
      <x:c r="D303" s="1" t="str">
        <x:v>INCONCLUSIVE</x:v>
      </x:c>
      <x:c r="E303" s="5" t="n">
        <x:v>0.6667000000000001</x:v>
      </x:c>
      <x:c r="F303" s="4" t="n">
        <x:v>0</x:v>
      </x:c>
      <x:c r="G303" s="4" t="n">
        <x:v>8822</x:v>
      </x:c>
      <x:c r="H303" s="6" t="n">
        <x:v>81.06</x:v>
      </x:c>
      <x:c r="I303" s="16" t="n">
        <x:v>1</x:v>
      </x:c>
      <x:c r="J303" t="n">
        <x:v>180</x:v>
      </x:c>
      <x:c r="K303" s="4" t="n">
        <x:v>120</x:v>
      </x:c>
      <x:c r="L303" s="4" t="n">
        <x:v>118</x:v>
      </x:c>
      <x:c r="M303" s="4" t="n">
        <x:v>75</x:v>
      </x:c>
      <x:c r="N303" s="5" t="n">
        <x:v>0.6356</x:v>
      </x:c>
    </x:row>
    <x:row r="304" ht="24" customHeight="1">
      <x:c r="A304" s="1" t="str">
        <x:v>RESULT</x:v>
      </x:c>
      <x:c r="B304" s="1" t="str">
        <x:v>Round1</x:v>
      </x:c>
      <x:c r="C304" s="1" t="str">
        <x:v>Compress_25</x:v>
      </x:c>
      <x:c r="D304" s="1" t="str">
        <x:v>NOT_AVAILABLE</x:v>
      </x:c>
      <x:c r="E304" s="5"/>
      <x:c r="F304" s="4" t="n">
        <x:v>0</x:v>
      </x:c>
      <x:c r="G304" s="4" t="n">
        <x:v>10663</x:v>
      </x:c>
      <x:c r="H304" s="6" t="n">
        <x:v>152.85</x:v>
      </x:c>
      <x:c r="I304" s="16" t="n">
        <x:v>1</x:v>
      </x:c>
      <x:c r="J304"/>
      <x:c r="K304" s="4"/>
      <x:c r="L304" s="4"/>
      <x:c r="M304" s="4"/>
      <x:c r="N304" s="5"/>
    </x:row>
    <x:row r="305" ht="24" customHeight="1">
      <x:c r="A305" s="1" t="str">
        <x:v>RESULT</x:v>
      </x:c>
      <x:c r="B305" s="1" t="str">
        <x:v>Round1</x:v>
      </x:c>
      <x:c r="C305" s="1" t="str">
        <x:v>Compress_26</x:v>
      </x:c>
      <x:c r="D305" s="1" t="str">
        <x:v>NOT_AVAILABLE</x:v>
      </x:c>
      <x:c r="E305" s="5"/>
      <x:c r="F305" s="4" t="n">
        <x:v>0</x:v>
      </x:c>
      <x:c r="G305" s="4" t="n">
        <x:v>5812</x:v>
      </x:c>
      <x:c r="H305" s="6" t="n">
        <x:v>123.04</x:v>
      </x:c>
      <x:c r="I305" s="16" t="n">
        <x:v>1</x:v>
      </x:c>
      <x:c r="J305"/>
      <x:c r="K305" s="4"/>
      <x:c r="L305" s="4"/>
      <x:c r="M305" s="4"/>
      <x:c r="N305" s="5"/>
    </x:row>
    <x:row r="306" ht="24" customHeight="1">
      <x:c r="A306" s="1" t="str">
        <x:v>RESULT</x:v>
      </x:c>
      <x:c r="B306" s="1" t="str">
        <x:v>Round1</x:v>
      </x:c>
      <x:c r="C306" s="1" t="str">
        <x:v>Compress_27</x:v>
      </x:c>
      <x:c r="D306" s="1" t="str">
        <x:v>NOT_AVAILABLE</x:v>
      </x:c>
      <x:c r="E306" s="5"/>
      <x:c r="F306" s="4" t="n">
        <x:v>0</x:v>
      </x:c>
      <x:c r="G306" s="4" t="n">
        <x:v>9575</x:v>
      </x:c>
      <x:c r="H306" s="6" t="n">
        <x:v>113.43</x:v>
      </x:c>
      <x:c r="I306" s="16" t="n">
        <x:v>1</x:v>
      </x:c>
      <x:c r="J306"/>
      <x:c r="K306" s="4"/>
      <x:c r="L306" s="4"/>
      <x:c r="M306" s="4"/>
      <x:c r="N306" s="5"/>
    </x:row>
    <x:row r="307" ht="24" customHeight="1">
      <x:c r="A307" s="1" t="str">
        <x:v>RESULT</x:v>
      </x:c>
      <x:c r="B307" s="1" t="str">
        <x:v>Round1</x:v>
      </x:c>
      <x:c r="C307" s="1" t="str">
        <x:v>Compress_28</x:v>
      </x:c>
      <x:c r="D307" s="1" t="str">
        <x:v>NOT_AVAILABLE</x:v>
      </x:c>
      <x:c r="E307" s="5"/>
      <x:c r="F307" s="4" t="n">
        <x:v>0</x:v>
      </x:c>
      <x:c r="G307" s="4" t="n">
        <x:v>8881</x:v>
      </x:c>
      <x:c r="H307" s="6" t="n">
        <x:v>99.67</x:v>
      </x:c>
      <x:c r="I307" s="16" t="n">
        <x:v>1</x:v>
      </x:c>
      <x:c r="J307"/>
      <x:c r="K307" s="4"/>
      <x:c r="L307" s="4"/>
      <x:c r="M307" s="4"/>
      <x:c r="N307" s="5"/>
    </x:row>
    <x:row r="308" ht="24" customHeight="1">
      <x:c r="A308" s="1" t="str">
        <x:v>RESULT</x:v>
      </x:c>
      <x:c r="B308" s="1" t="str">
        <x:v>Round1</x:v>
      </x:c>
      <x:c r="C308" s="1" t="str">
        <x:v>Compress_29</x:v>
      </x:c>
      <x:c r="D308" s="1" t="str">
        <x:v>NOT_AVAILABLE</x:v>
      </x:c>
      <x:c r="E308" s="5"/>
      <x:c r="F308" s="4" t="n">
        <x:v>0</x:v>
      </x:c>
      <x:c r="G308" s="4" t="n">
        <x:v>63088</x:v>
      </x:c>
      <x:c r="H308" s="6" t="n">
        <x:v>872.72</x:v>
      </x:c>
      <x:c r="I308" s="16" t="n">
        <x:v>1</x:v>
      </x:c>
      <x:c r="J308"/>
      <x:c r="K308" s="4"/>
      <x:c r="L308" s="4"/>
      <x:c r="M308" s="4"/>
      <x:c r="N308" s="5"/>
    </x:row>
    <x:row r="309" ht="24" customHeight="1">
      <x:c r="A309" s="1" t="str">
        <x:v>RESULT</x:v>
      </x:c>
      <x:c r="B309" s="1" t="str">
        <x:v>Round1</x:v>
      </x:c>
      <x:c r="C309" s="1" t="str">
        <x:v>Compress_3</x:v>
      </x:c>
      <x:c r="D309" s="1" t="str">
        <x:v>NOT_AVAILABLE</x:v>
      </x:c>
      <x:c r="E309" s="5"/>
      <x:c r="F309" s="4" t="n">
        <x:v>0</x:v>
      </x:c>
      <x:c r="G309" s="4" t="n">
        <x:v>6012</x:v>
      </x:c>
      <x:c r="H309" s="6" t="n">
        <x:v>88.31</x:v>
      </x:c>
      <x:c r="I309" s="16" t="n">
        <x:v>1</x:v>
      </x:c>
      <x:c r="J309"/>
      <x:c r="K309" s="4"/>
      <x:c r="L309" s="4"/>
      <x:c r="M309" s="4"/>
      <x:c r="N309" s="5"/>
    </x:row>
    <x:row r="310" ht="24" customHeight="1">
      <x:c r="A310" s="1" t="str">
        <x:v>RESULT</x:v>
      </x:c>
      <x:c r="B310" s="1" t="str">
        <x:v>Round1</x:v>
      </x:c>
      <x:c r="C310" s="1" t="str">
        <x:v>Compress_30</x:v>
      </x:c>
      <x:c r="D310" s="1" t="str">
        <x:v>INCONCLUSIVE</x:v>
      </x:c>
      <x:c r="E310" s="5" t="n">
        <x:v>0.0799</x:v>
      </x:c>
      <x:c r="F310" s="4" t="n">
        <x:v>0</x:v>
      </x:c>
      <x:c r="G310" s="4" t="n">
        <x:v>9294</x:v>
      </x:c>
      <x:c r="H310" s="6" t="n">
        <x:v>47.68</x:v>
      </x:c>
      <x:c r="I310" s="16" t="n">
        <x:v>1</x:v>
      </x:c>
      <x:c r="J310" t="n">
        <x:v>488</x:v>
      </x:c>
      <x:c r="K310" s="4" t="n">
        <x:v>39</x:v>
      </x:c>
      <x:c r="L310" s="4" t="n">
        <x:v>265</x:v>
      </x:c>
      <x:c r="M310" s="4" t="n">
        <x:v>19</x:v>
      </x:c>
      <x:c r="N310" s="5" t="n">
        <x:v>0.0717</x:v>
      </x:c>
    </x:row>
    <x:row r="311" ht="24" customHeight="1">
      <x:c r="A311" s="1" t="str">
        <x:v>RESULT</x:v>
      </x:c>
      <x:c r="B311" s="1" t="str">
        <x:v>Round1</x:v>
      </x:c>
      <x:c r="C311" s="1" t="str">
        <x:v>Compress_31</x:v>
      </x:c>
      <x:c r="D311" s="1" t="str">
        <x:v>INCONCLUSIVE</x:v>
      </x:c>
      <x:c r="E311" s="5" t="n">
        <x:v>0.6591</x:v>
      </x:c>
      <x:c r="F311" s="4" t="n">
        <x:v>0</x:v>
      </x:c>
      <x:c r="G311" s="4" t="n">
        <x:v>5998</x:v>
      </x:c>
      <x:c r="H311" s="6" t="n">
        <x:v>77.3</x:v>
      </x:c>
      <x:c r="I311" s="16" t="n">
        <x:v>1</x:v>
      </x:c>
      <x:c r="J311" t="n">
        <x:v>176</x:v>
      </x:c>
      <x:c r="K311" s="4" t="n">
        <x:v>116</x:v>
      </x:c>
      <x:c r="L311" s="4" t="n">
        <x:v>116</x:v>
      </x:c>
      <x:c r="M311" s="4" t="n">
        <x:v>73</x:v>
      </x:c>
      <x:c r="N311" s="5" t="n">
        <x:v>0.6293</x:v>
      </x:c>
    </x:row>
    <x:row r="312" ht="24" customHeight="1">
      <x:c r="A312" s="1" t="str">
        <x:v>RESULT</x:v>
      </x:c>
      <x:c r="B312" s="1" t="str">
        <x:v>Round1</x:v>
      </x:c>
      <x:c r="C312" s="1" t="str">
        <x:v>Compress_32</x:v>
      </x:c>
      <x:c r="D312" s="1" t="str">
        <x:v>INCONCLUSIVE</x:v>
      </x:c>
      <x:c r="E312" s="5" t="n">
        <x:v>0.4364</x:v>
      </x:c>
      <x:c r="F312" s="4" t="n">
        <x:v>0</x:v>
      </x:c>
      <x:c r="G312" s="4" t="n">
        <x:v>9959</x:v>
      </x:c>
      <x:c r="H312" s="6" t="n">
        <x:v>130.16</x:v>
      </x:c>
      <x:c r="I312" s="16" t="n">
        <x:v>1</x:v>
      </x:c>
      <x:c r="J312" t="n">
        <x:v>220</x:v>
      </x:c>
      <x:c r="K312" s="4" t="n">
        <x:v>96</x:v>
      </x:c>
      <x:c r="L312" s="4" t="n">
        <x:v>126</x:v>
      </x:c>
      <x:c r="M312" s="4" t="n">
        <x:v>38</x:v>
      </x:c>
      <x:c r="N312" s="5" t="n">
        <x:v>0.3016</x:v>
      </x:c>
    </x:row>
    <x:row r="313" ht="24" customHeight="1">
      <x:c r="A313" s="1" t="str">
        <x:v>RESULT</x:v>
      </x:c>
      <x:c r="B313" s="1" t="str">
        <x:v>Round1</x:v>
      </x:c>
      <x:c r="C313" s="1" t="str">
        <x:v>Compress_33</x:v>
      </x:c>
      <x:c r="D313" s="1" t="str">
        <x:v>NOT_AVAILABLE</x:v>
      </x:c>
      <x:c r="E313" s="5"/>
      <x:c r="F313" s="4" t="n">
        <x:v>0</x:v>
      </x:c>
      <x:c r="G313" s="4" t="n">
        <x:v>10273</x:v>
      </x:c>
      <x:c r="H313" s="6" t="n">
        <x:v>154.44</x:v>
      </x:c>
      <x:c r="I313" s="16" t="n">
        <x:v>1</x:v>
      </x:c>
      <x:c r="J313"/>
      <x:c r="K313" s="4"/>
      <x:c r="L313" s="4"/>
      <x:c r="M313" s="4"/>
      <x:c r="N313" s="5"/>
    </x:row>
    <x:row r="314" ht="24" customHeight="1">
      <x:c r="A314" s="1" t="str">
        <x:v>RESULT</x:v>
      </x:c>
      <x:c r="B314" s="1" t="str">
        <x:v>Round1</x:v>
      </x:c>
      <x:c r="C314" s="1" t="str">
        <x:v>Compress_34</x:v>
      </x:c>
      <x:c r="D314" s="1" t="str">
        <x:v>NOT_AVAILABLE</x:v>
      </x:c>
      <x:c r="E314" s="5"/>
      <x:c r="F314" s="4" t="n">
        <x:v>0</x:v>
      </x:c>
      <x:c r="G314" s="4" t="n">
        <x:v>6497</x:v>
      </x:c>
      <x:c r="H314" s="6" t="n">
        <x:v>90.01</x:v>
      </x:c>
      <x:c r="I314" s="16" t="n">
        <x:v>1</x:v>
      </x:c>
      <x:c r="J314"/>
      <x:c r="K314" s="4"/>
      <x:c r="L314" s="4"/>
      <x:c r="M314" s="4"/>
      <x:c r="N314" s="5"/>
    </x:row>
    <x:row r="315" ht="24" customHeight="1">
      <x:c r="A315" s="1" t="str">
        <x:v>RESULT</x:v>
      </x:c>
      <x:c r="B315" s="1" t="str">
        <x:v>Round1</x:v>
      </x:c>
      <x:c r="C315" s="1" t="str">
        <x:v>Compress_35</x:v>
      </x:c>
      <x:c r="D315" s="1" t="str">
        <x:v>NOT_AVAILABLE</x:v>
      </x:c>
      <x:c r="E315" s="5"/>
      <x:c r="F315" s="4" t="n">
        <x:v>0</x:v>
      </x:c>
      <x:c r="G315" s="4" t="n">
        <x:v>8824</x:v>
      </x:c>
      <x:c r="H315" s="6" t="n">
        <x:v>91.67</x:v>
      </x:c>
      <x:c r="I315" s="16" t="n">
        <x:v>1</x:v>
      </x:c>
      <x:c r="J315"/>
      <x:c r="K315" s="4"/>
      <x:c r="L315" s="4"/>
      <x:c r="M315" s="4"/>
      <x:c r="N315" s="5"/>
    </x:row>
    <x:row r="316" ht="24" customHeight="1">
      <x:c r="A316" s="1" t="str">
        <x:v>RESULT</x:v>
      </x:c>
      <x:c r="B316" s="1" t="str">
        <x:v>Round1</x:v>
      </x:c>
      <x:c r="C316" s="1" t="str">
        <x:v>Compress_36</x:v>
      </x:c>
      <x:c r="D316" s="1" t="str">
        <x:v>INCONCLUSIVE</x:v>
      </x:c>
      <x:c r="E316" s="5" t="n">
        <x:v>0.075</x:v>
      </x:c>
      <x:c r="F316" s="4" t="n">
        <x:v>0</x:v>
      </x:c>
      <x:c r="G316" s="4" t="n">
        <x:v>12753</x:v>
      </x:c>
      <x:c r="H316" s="6" t="n">
        <x:v>155.04</x:v>
      </x:c>
      <x:c r="I316" s="16" t="n">
        <x:v>1</x:v>
      </x:c>
      <x:c r="J316" t="n">
        <x:v>533</x:v>
      </x:c>
      <x:c r="K316" s="4" t="n">
        <x:v>40</x:v>
      </x:c>
      <x:c r="L316" s="4" t="n">
        <x:v>303</x:v>
      </x:c>
      <x:c r="M316" s="4" t="n">
        <x:v>10</x:v>
      </x:c>
      <x:c r="N316" s="5" t="n">
        <x:v>0.033</x:v>
      </x:c>
    </x:row>
    <x:row r="317" ht="24" customHeight="1">
      <x:c r="A317" s="1" t="str">
        <x:v>RESULT</x:v>
      </x:c>
      <x:c r="B317" s="1" t="str">
        <x:v>Round1</x:v>
      </x:c>
      <x:c r="C317" s="1" t="str">
        <x:v>Compress_37</x:v>
      </x:c>
      <x:c r="D317" s="1" t="str">
        <x:v>NOT_AVAILABLE</x:v>
      </x:c>
      <x:c r="E317" s="5"/>
      <x:c r="F317" s="4" t="n">
        <x:v>0</x:v>
      </x:c>
      <x:c r="G317" s="4" t="n">
        <x:v>7714</x:v>
      </x:c>
      <x:c r="H317" s="6" t="n">
        <x:v>130.04</x:v>
      </x:c>
      <x:c r="I317" s="16" t="n">
        <x:v>1</x:v>
      </x:c>
      <x:c r="J317"/>
      <x:c r="K317" s="4"/>
      <x:c r="L317" s="4"/>
      <x:c r="M317" s="4"/>
      <x:c r="N317" s="5"/>
    </x:row>
    <x:row r="318" ht="24" customHeight="1">
      <x:c r="A318" s="1" t="str">
        <x:v>RESULT</x:v>
      </x:c>
      <x:c r="B318" s="1" t="str">
        <x:v>Round1</x:v>
      </x:c>
      <x:c r="C318" s="1" t="str">
        <x:v>Compress_38</x:v>
      </x:c>
      <x:c r="D318" s="1" t="str">
        <x:v>NOT_AVAILABLE</x:v>
      </x:c>
      <x:c r="E318" s="5"/>
      <x:c r="F318" s="4" t="n">
        <x:v>0</x:v>
      </x:c>
      <x:c r="G318" s="4" t="n">
        <x:v>7465</x:v>
      </x:c>
      <x:c r="H318" s="6" t="n">
        <x:v>68.6</x:v>
      </x:c>
      <x:c r="I318" s="16" t="n">
        <x:v>1</x:v>
      </x:c>
      <x:c r="J318"/>
      <x:c r="K318" s="4"/>
      <x:c r="L318" s="4"/>
      <x:c r="M318" s="4"/>
      <x:c r="N318" s="5"/>
    </x:row>
    <x:row r="319" ht="24" customHeight="1">
      <x:c r="A319" s="1" t="str">
        <x:v>RESULT</x:v>
      </x:c>
      <x:c r="B319" s="1" t="str">
        <x:v>Round1</x:v>
      </x:c>
      <x:c r="C319" s="1" t="str">
        <x:v>Compress_39</x:v>
      </x:c>
      <x:c r="D319" s="1" t="str">
        <x:v>NOT_AVAILABLE</x:v>
      </x:c>
      <x:c r="E319" s="5"/>
      <x:c r="F319" s="4" t="n">
        <x:v>0</x:v>
      </x:c>
      <x:c r="G319" s="4" t="n">
        <x:v>5564</x:v>
      </x:c>
      <x:c r="H319" s="6" t="n">
        <x:v>79.18</x:v>
      </x:c>
      <x:c r="I319" s="16" t="n">
        <x:v>1</x:v>
      </x:c>
      <x:c r="J319"/>
      <x:c r="K319" s="4"/>
      <x:c r="L319" s="4"/>
      <x:c r="M319" s="4"/>
      <x:c r="N319" s="5"/>
    </x:row>
    <x:row r="320" ht="24" customHeight="1">
      <x:c r="A320" s="1" t="str">
        <x:v>RESULT</x:v>
      </x:c>
      <x:c r="B320" s="1" t="str">
        <x:v>Round1</x:v>
      </x:c>
      <x:c r="C320" s="1" t="str">
        <x:v>Compress_4</x:v>
      </x:c>
      <x:c r="D320" s="1" t="str">
        <x:v>NOT_AVAILABLE</x:v>
      </x:c>
      <x:c r="E320" s="5"/>
      <x:c r="F320" s="4" t="n">
        <x:v>0</x:v>
      </x:c>
      <x:c r="G320" s="4" t="n">
        <x:v>35734</x:v>
      </x:c>
      <x:c r="H320" s="6" t="n">
        <x:v>481.45</x:v>
      </x:c>
      <x:c r="I320" s="16" t="n">
        <x:v>1</x:v>
      </x:c>
      <x:c r="J320"/>
      <x:c r="K320" s="4"/>
      <x:c r="L320" s="4"/>
      <x:c r="M320" s="4"/>
      <x:c r="N320" s="5"/>
    </x:row>
    <x:row r="321" ht="24" customHeight="1">
      <x:c r="A321" s="1" t="str">
        <x:v>RESULT</x:v>
      </x:c>
      <x:c r="B321" s="1" t="str">
        <x:v>Round1</x:v>
      </x:c>
      <x:c r="C321" s="1" t="str">
        <x:v>Compress_40</x:v>
      </x:c>
      <x:c r="D321" s="1" t="str">
        <x:v>NOT_AVAILABLE</x:v>
      </x:c>
      <x:c r="E321" s="5"/>
      <x:c r="F321" s="4" t="n">
        <x:v>0</x:v>
      </x:c>
      <x:c r="G321" s="4" t="n">
        <x:v>3458</x:v>
      </x:c>
      <x:c r="H321" s="6" t="n">
        <x:v>54.63</x:v>
      </x:c>
      <x:c r="I321" s="16" t="n">
        <x:v>1</x:v>
      </x:c>
      <x:c r="J321"/>
      <x:c r="K321" s="4"/>
      <x:c r="L321" s="4"/>
      <x:c r="M321" s="4"/>
      <x:c r="N321" s="5"/>
    </x:row>
    <x:row r="322" ht="24" customHeight="1">
      <x:c r="A322" s="1" t="str">
        <x:v>RESULT</x:v>
      </x:c>
      <x:c r="B322" s="1" t="str">
        <x:v>Round1</x:v>
      </x:c>
      <x:c r="C322" s="1" t="str">
        <x:v>Compress_41</x:v>
      </x:c>
      <x:c r="D322" s="1" t="str">
        <x:v>NOT_AVAILABLE</x:v>
      </x:c>
      <x:c r="E322" s="5"/>
      <x:c r="F322" s="4" t="n">
        <x:v>0</x:v>
      </x:c>
      <x:c r="G322" s="4" t="n">
        <x:v>9960</x:v>
      </x:c>
      <x:c r="H322" s="6" t="n">
        <x:v>116.41</x:v>
      </x:c>
      <x:c r="I322" s="16" t="n">
        <x:v>1</x:v>
      </x:c>
      <x:c r="J322"/>
      <x:c r="K322" s="4"/>
      <x:c r="L322" s="4"/>
      <x:c r="M322" s="4"/>
      <x:c r="N322" s="5"/>
    </x:row>
    <x:row r="323" ht="24" customHeight="1">
      <x:c r="A323" s="1" t="str">
        <x:v>RESULT</x:v>
      </x:c>
      <x:c r="B323" s="1" t="str">
        <x:v>Round1</x:v>
      </x:c>
      <x:c r="C323" s="1" t="str">
        <x:v>Compress_42</x:v>
      </x:c>
      <x:c r="D323" s="1" t="str">
        <x:v>NOT_AVAILABLE</x:v>
      </x:c>
      <x:c r="E323" s="5"/>
      <x:c r="F323" s="4" t="n">
        <x:v>0</x:v>
      </x:c>
      <x:c r="G323" s="4" t="n">
        <x:v>8933</x:v>
      </x:c>
      <x:c r="H323" s="6" t="n">
        <x:v>110.75</x:v>
      </x:c>
      <x:c r="I323" s="16" t="n">
        <x:v>1</x:v>
      </x:c>
      <x:c r="J323"/>
      <x:c r="K323" s="4"/>
      <x:c r="L323" s="4"/>
      <x:c r="M323" s="4"/>
      <x:c r="N323" s="5"/>
    </x:row>
    <x:row r="324" ht="24" customHeight="1">
      <x:c r="A324" s="1" t="str">
        <x:v>RESULT</x:v>
      </x:c>
      <x:c r="B324" s="1" t="str">
        <x:v>Round1</x:v>
      </x:c>
      <x:c r="C324" s="1" t="str">
        <x:v>Compress_43</x:v>
      </x:c>
      <x:c r="D324" s="1" t="str">
        <x:v>NOT_AVAILABLE</x:v>
      </x:c>
      <x:c r="E324" s="5"/>
      <x:c r="F324" s="4" t="n">
        <x:v>0</x:v>
      </x:c>
      <x:c r="G324" s="4" t="n">
        <x:v>12822</x:v>
      </x:c>
      <x:c r="H324" s="6" t="n">
        <x:v>94.27</x:v>
      </x:c>
      <x:c r="I324" s="16" t="n">
        <x:v>1</x:v>
      </x:c>
      <x:c r="J324"/>
      <x:c r="K324" s="4"/>
      <x:c r="L324" s="4"/>
      <x:c r="M324" s="4"/>
      <x:c r="N324" s="5"/>
    </x:row>
    <x:row r="325" ht="24" customHeight="1">
      <x:c r="A325" s="1" t="str">
        <x:v>RESULT</x:v>
      </x:c>
      <x:c r="B325" s="1" t="str">
        <x:v>Round1</x:v>
      </x:c>
      <x:c r="C325" s="1" t="str">
        <x:v>Compress_44</x:v>
      </x:c>
      <x:c r="D325" s="1" t="str">
        <x:v>NOT_AVAILABLE</x:v>
      </x:c>
      <x:c r="E325" s="5"/>
      <x:c r="F325" s="4" t="n">
        <x:v>0</x:v>
      </x:c>
      <x:c r="G325" s="4" t="n">
        <x:v>5485</x:v>
      </x:c>
      <x:c r="H325" s="6" t="n">
        <x:v>142.91</x:v>
      </x:c>
      <x:c r="I325" s="16" t="n">
        <x:v>1</x:v>
      </x:c>
      <x:c r="J325"/>
      <x:c r="K325" s="4"/>
      <x:c r="L325" s="4"/>
      <x:c r="M325" s="4"/>
      <x:c r="N325" s="5"/>
    </x:row>
    <x:row r="326" ht="24" customHeight="1">
      <x:c r="A326" s="1" t="str">
        <x:v>RESULT</x:v>
      </x:c>
      <x:c r="B326" s="1" t="str">
        <x:v>Round1</x:v>
      </x:c>
      <x:c r="C326" s="1" t="str">
        <x:v>Compress_45</x:v>
      </x:c>
      <x:c r="D326" s="1" t="str">
        <x:v>INCONCLUSIVE</x:v>
      </x:c>
      <x:c r="E326" s="5" t="n">
        <x:v>0.6374</x:v>
      </x:c>
      <x:c r="F326" s="4" t="n">
        <x:v>0</x:v>
      </x:c>
      <x:c r="G326" s="4" t="n">
        <x:v>8859</x:v>
      </x:c>
      <x:c r="H326" s="6" t="n">
        <x:v>90.32</x:v>
      </x:c>
      <x:c r="I326" s="16" t="n">
        <x:v>1</x:v>
      </x:c>
      <x:c r="J326" t="n">
        <x:v>171</x:v>
      </x:c>
      <x:c r="K326" s="4" t="n">
        <x:v>109</x:v>
      </x:c>
      <x:c r="L326" s="4" t="n">
        <x:v>108</x:v>
      </x:c>
      <x:c r="M326" s="4" t="n">
        <x:v>66</x:v>
      </x:c>
      <x:c r="N326" s="5" t="n">
        <x:v>0.6111</x:v>
      </x:c>
    </x:row>
    <x:row r="327" ht="24" customHeight="1">
      <x:c r="A327" s="1" t="str">
        <x:v>RESULT</x:v>
      </x:c>
      <x:c r="B327" s="1" t="str">
        <x:v>Round1</x:v>
      </x:c>
      <x:c r="C327" s="1" t="str">
        <x:v>Compress_46</x:v>
      </x:c>
      <x:c r="D327" s="1" t="str">
        <x:v>NOT_AVAILABLE</x:v>
      </x:c>
      <x:c r="E327" s="5"/>
      <x:c r="F327" s="4" t="n">
        <x:v>0</x:v>
      </x:c>
      <x:c r="G327" s="4" t="n">
        <x:v>9018</x:v>
      </x:c>
      <x:c r="H327" s="6" t="n">
        <x:v>96.67</x:v>
      </x:c>
      <x:c r="I327" s="16" t="n">
        <x:v>1</x:v>
      </x:c>
      <x:c r="J327"/>
      <x:c r="K327" s="4"/>
      <x:c r="L327" s="4"/>
      <x:c r="M327" s="4"/>
      <x:c r="N327" s="5"/>
    </x:row>
    <x:row r="328" ht="24" customHeight="1">
      <x:c r="A328" s="1" t="str">
        <x:v>RESULT</x:v>
      </x:c>
      <x:c r="B328" s="1" t="str">
        <x:v>Round1</x:v>
      </x:c>
      <x:c r="C328" s="1" t="str">
        <x:v>Compress_47</x:v>
      </x:c>
      <x:c r="D328" s="1" t="str">
        <x:v>INCONCLUSIVE</x:v>
      </x:c>
      <x:c r="E328" s="5" t="n">
        <x:v>0.6557999999999999</x:v>
      </x:c>
      <x:c r="F328" s="4" t="n">
        <x:v>0</x:v>
      </x:c>
      <x:c r="G328" s="4" t="n">
        <x:v>10070</x:v>
      </x:c>
      <x:c r="H328" s="6" t="n">
        <x:v>114.35</x:v>
      </x:c>
      <x:c r="I328" s="16" t="n">
        <x:v>1</x:v>
      </x:c>
      <x:c r="J328" t="n">
        <x:v>430</x:v>
      </x:c>
      <x:c r="K328" s="4" t="n">
        <x:v>282</x:v>
      </x:c>
      <x:c r="L328" s="4" t="n">
        <x:v>273</x:v>
      </x:c>
      <x:c r="M328" s="4" t="n">
        <x:v>129</x:v>
      </x:c>
      <x:c r="N328" s="5" t="n">
        <x:v>0.4725</x:v>
      </x:c>
    </x:row>
    <x:row r="329" ht="24" customHeight="1">
      <x:c r="A329" s="1" t="str">
        <x:v>RESULT</x:v>
      </x:c>
      <x:c r="B329" s="1" t="str">
        <x:v>Round1</x:v>
      </x:c>
      <x:c r="C329" s="1" t="str">
        <x:v>Compress_5</x:v>
      </x:c>
      <x:c r="D329" s="1" t="str">
        <x:v>NOT_AVAILABLE</x:v>
      </x:c>
      <x:c r="E329" s="5"/>
      <x:c r="F329" s="4" t="n">
        <x:v>0</x:v>
      </x:c>
      <x:c r="G329" s="4" t="n">
        <x:v>7342</x:v>
      </x:c>
      <x:c r="H329" s="6" t="n">
        <x:v>138.56</x:v>
      </x:c>
      <x:c r="I329" s="16" t="n">
        <x:v>1</x:v>
      </x:c>
      <x:c r="J329"/>
      <x:c r="K329" s="4"/>
      <x:c r="L329" s="4"/>
      <x:c r="M329" s="4"/>
      <x:c r="N329" s="5"/>
    </x:row>
    <x:row r="330" ht="24" customHeight="1">
      <x:c r="A330" s="1" t="str">
        <x:v>RESULT</x:v>
      </x:c>
      <x:c r="B330" s="1" t="str">
        <x:v>Round1</x:v>
      </x:c>
      <x:c r="C330" s="1" t="str">
        <x:v>Compress_6</x:v>
      </x:c>
      <x:c r="D330" s="1" t="str">
        <x:v>NOT_AVAILABLE</x:v>
      </x:c>
      <x:c r="E330" s="5"/>
      <x:c r="F330" s="4" t="n">
        <x:v>0</x:v>
      </x:c>
      <x:c r="G330" s="4" t="n">
        <x:v>8350</x:v>
      </x:c>
      <x:c r="H330" s="6" t="n">
        <x:v>151.88</x:v>
      </x:c>
      <x:c r="I330" s="16" t="n">
        <x:v>1</x:v>
      </x:c>
      <x:c r="J330"/>
      <x:c r="K330" s="4"/>
      <x:c r="L330" s="4"/>
      <x:c r="M330" s="4"/>
      <x:c r="N330" s="5"/>
    </x:row>
    <x:row r="331" ht="24" customHeight="1">
      <x:c r="A331" s="1" t="str">
        <x:v>RESULT</x:v>
      </x:c>
      <x:c r="B331" s="1" t="str">
        <x:v>Round1</x:v>
      </x:c>
      <x:c r="C331" s="1" t="str">
        <x:v>Compress_7</x:v>
      </x:c>
      <x:c r="D331" s="1" t="str">
        <x:v>NOT_AVAILABLE</x:v>
      </x:c>
      <x:c r="E331" s="5"/>
      <x:c r="F331" s="4" t="n">
        <x:v>0</x:v>
      </x:c>
      <x:c r="G331" s="4" t="n">
        <x:v>5922</x:v>
      </x:c>
      <x:c r="H331" s="6" t="n">
        <x:v>102.76</x:v>
      </x:c>
      <x:c r="I331" s="16" t="n">
        <x:v>1</x:v>
      </x:c>
      <x:c r="J331"/>
      <x:c r="K331" s="4"/>
      <x:c r="L331" s="4"/>
      <x:c r="M331" s="4"/>
      <x:c r="N331" s="5"/>
    </x:row>
    <x:row r="332" ht="24" customHeight="1">
      <x:c r="A332" s="1" t="str">
        <x:v>RESULT</x:v>
      </x:c>
      <x:c r="B332" s="1" t="str">
        <x:v>Round1</x:v>
      </x:c>
      <x:c r="C332" s="1" t="str">
        <x:v>Compress_8</x:v>
      </x:c>
      <x:c r="D332" s="1" t="str">
        <x:v>INCONCLUSIVE</x:v>
      </x:c>
      <x:c r="E332" s="5" t="n">
        <x:v>0.9714</x:v>
      </x:c>
      <x:c r="F332" s="4" t="n">
        <x:v>0</x:v>
      </x:c>
      <x:c r="G332" s="4" t="n">
        <x:v>6080</x:v>
      </x:c>
      <x:c r="H332" s="6" t="n">
        <x:v>101.8</x:v>
      </x:c>
      <x:c r="I332" s="16" t="n">
        <x:v>1</x:v>
      </x:c>
      <x:c r="J332" t="n">
        <x:v>70</x:v>
      </x:c>
      <x:c r="K332" s="4" t="n">
        <x:v>68</x:v>
      </x:c>
      <x:c r="L332" s="4" t="n">
        <x:v>38</x:v>
      </x:c>
      <x:c r="M332" s="4" t="n">
        <x:v>35</x:v>
      </x:c>
      <x:c r="N332" s="5" t="n">
        <x:v>0.9211</x:v>
      </x:c>
    </x:row>
    <x:row r="333" ht="24" customHeight="1">
      <x:c r="A333" s="1" t="str">
        <x:v>RESULT</x:v>
      </x:c>
      <x:c r="B333" s="1" t="str">
        <x:v>Round1</x:v>
      </x:c>
      <x:c r="C333" s="1" t="str">
        <x:v>Compress_9</x:v>
      </x:c>
      <x:c r="D333" s="1" t="str">
        <x:v>INCONCLUSIVE</x:v>
      </x:c>
      <x:c r="E333" s="5" t="n">
        <x:v>0.7726999999999999</x:v>
      </x:c>
      <x:c r="F333" s="4" t="n">
        <x:v>0</x:v>
      </x:c>
      <x:c r="G333" s="4" t="n">
        <x:v>6099</x:v>
      </x:c>
      <x:c r="H333" s="6" t="n">
        <x:v>85.72</x:v>
      </x:c>
      <x:c r="I333" s="16" t="n">
        <x:v>1</x:v>
      </x:c>
      <x:c r="J333" t="n">
        <x:v>110</x:v>
      </x:c>
      <x:c r="K333" s="4" t="n">
        <x:v>85</x:v>
      </x:c>
      <x:c r="L333" s="4" t="n">
        <x:v>42</x:v>
      </x:c>
      <x:c r="M333" s="4" t="n">
        <x:v>35</x:v>
      </x:c>
      <x:c r="N333" s="5" t="n">
        <x:v>0.8332999999999999</x:v>
      </x:c>
    </x:row>
    <x:row r="334" ht="24" customHeight="1">
      <x:c r="A334" s="1" t="str">
        <x:v>RESULT</x:v>
      </x:c>
      <x:c r="B334" s="1" t="str">
        <x:v>Round1</x:v>
      </x:c>
      <x:c r="C334" s="1" t="str">
        <x:v>Csv_1</x:v>
      </x:c>
      <x:c r="D334" s="1" t="str">
        <x:v>INCONCLUSIVE</x:v>
      </x:c>
      <x:c r="E334" s="5" t="n">
        <x:v>1</x:v>
      </x:c>
      <x:c r="F334" s="4" t="n">
        <x:v>0</x:v>
      </x:c>
      <x:c r="G334" s="4" t="n">
        <x:v>4324</x:v>
      </x:c>
      <x:c r="H334" s="6" t="n">
        <x:v>94.68</x:v>
      </x:c>
      <x:c r="I334" s="16" t="n">
        <x:v>1</x:v>
      </x:c>
      <x:c r="J334" t="n">
        <x:v>37</x:v>
      </x:c>
      <x:c r="K334" s="4" t="n">
        <x:v>37</x:v>
      </x:c>
      <x:c r="L334" s="4" t="n">
        <x:v>22</x:v>
      </x:c>
      <x:c r="M334" s="4" t="n">
        <x:v>21</x:v>
      </x:c>
      <x:c r="N334" s="5" t="n">
        <x:v>0.9545</x:v>
      </x:c>
    </x:row>
    <x:row r="335" ht="24" customHeight="1">
      <x:c r="A335" s="1" t="str">
        <x:v>RESULT</x:v>
      </x:c>
      <x:c r="B335" s="1" t="str">
        <x:v>Round1</x:v>
      </x:c>
      <x:c r="C335" s="1" t="str">
        <x:v>Csv_10</x:v>
      </x:c>
      <x:c r="D335" s="1" t="str">
        <x:v>NOT_AVAILABLE</x:v>
      </x:c>
      <x:c r="E335" s="5"/>
      <x:c r="F335" s="4" t="n">
        <x:v>0</x:v>
      </x:c>
      <x:c r="G335" s="4" t="n">
        <x:v>8310</x:v>
      </x:c>
      <x:c r="H335" s="6" t="n">
        <x:v>159.11</x:v>
      </x:c>
      <x:c r="I335" s="16" t="n">
        <x:v>1</x:v>
      </x:c>
      <x:c r="J335"/>
      <x:c r="K335" s="4"/>
      <x:c r="L335" s="4"/>
      <x:c r="M335" s="4"/>
      <x:c r="N335" s="5"/>
    </x:row>
    <x:row r="336" ht="24" customHeight="1">
      <x:c r="A336" s="1" t="str">
        <x:v>RESULT</x:v>
      </x:c>
      <x:c r="B336" s="1" t="str">
        <x:v>Round1</x:v>
      </x:c>
      <x:c r="C336" s="1" t="str">
        <x:v>Csv_11</x:v>
      </x:c>
      <x:c r="D336" s="1" t="str">
        <x:v>NOT_AVAILABLE</x:v>
      </x:c>
      <x:c r="E336" s="5"/>
      <x:c r="F336" s="4" t="n">
        <x:v>0</x:v>
      </x:c>
      <x:c r="G336" s="4" t="n">
        <x:v>7685</x:v>
      </x:c>
      <x:c r="H336" s="6" t="n">
        <x:v>95.4</x:v>
      </x:c>
      <x:c r="I336" s="16" t="n">
        <x:v>1</x:v>
      </x:c>
      <x:c r="J336"/>
      <x:c r="K336" s="4"/>
      <x:c r="L336" s="4"/>
      <x:c r="M336" s="4"/>
      <x:c r="N336" s="5"/>
    </x:row>
    <x:row r="337" ht="24" customHeight="1">
      <x:c r="A337" s="1" t="str">
        <x:v>RESULT</x:v>
      </x:c>
      <x:c r="B337" s="1" t="str">
        <x:v>Round1</x:v>
      </x:c>
      <x:c r="C337" s="1" t="str">
        <x:v>Csv_12</x:v>
      </x:c>
      <x:c r="D337" s="1" t="str">
        <x:v>INCONCLUSIVE</x:v>
      </x:c>
      <x:c r="E337" s="5" t="n">
        <x:v>0.7445999999999999</x:v>
      </x:c>
      <x:c r="F337" s="4" t="n">
        <x:v>0</x:v>
      </x:c>
      <x:c r="G337" s="4" t="n">
        <x:v>7694</x:v>
      </x:c>
      <x:c r="H337" s="6" t="n">
        <x:v>118.39</x:v>
      </x:c>
      <x:c r="I337" s="16" t="n">
        <x:v>1</x:v>
      </x:c>
      <x:c r="J337" t="n">
        <x:v>184</x:v>
      </x:c>
      <x:c r="K337" s="4" t="n">
        <x:v>137</x:v>
      </x:c>
      <x:c r="L337" s="4" t="n">
        <x:v>140</x:v>
      </x:c>
      <x:c r="M337" s="4" t="n">
        <x:v>82</x:v>
      </x:c>
      <x:c r="N337" s="5" t="n">
        <x:v>0.5857</x:v>
      </x:c>
    </x:row>
    <x:row r="338" ht="24" customHeight="1">
      <x:c r="A338" s="1" t="str">
        <x:v>RESULT</x:v>
      </x:c>
      <x:c r="B338" s="1" t="str">
        <x:v>Round1</x:v>
      </x:c>
      <x:c r="C338" s="1" t="str">
        <x:v>Csv_13</x:v>
      </x:c>
      <x:c r="D338" s="1" t="str">
        <x:v>NOT_AVAILABLE</x:v>
      </x:c>
      <x:c r="E338" s="5"/>
      <x:c r="F338" s="4" t="n">
        <x:v>0</x:v>
      </x:c>
      <x:c r="G338" s="4" t="n">
        <x:v>17444</x:v>
      </x:c>
      <x:c r="H338" s="6" t="n">
        <x:v>273.54</x:v>
      </x:c>
      <x:c r="I338" s="16" t="n">
        <x:v>1</x:v>
      </x:c>
      <x:c r="J338"/>
      <x:c r="K338" s="4"/>
      <x:c r="L338" s="4"/>
      <x:c r="M338" s="4"/>
      <x:c r="N338" s="5"/>
    </x:row>
    <x:row r="339" ht="24" customHeight="1">
      <x:c r="A339" s="1" t="str">
        <x:v>RESULT</x:v>
      </x:c>
      <x:c r="B339" s="1" t="str">
        <x:v>Round1</x:v>
      </x:c>
      <x:c r="C339" s="1" t="str">
        <x:v>Csv_14</x:v>
      </x:c>
      <x:c r="D339" s="1" t="str">
        <x:v>NOT_AVAILABLE</x:v>
      </x:c>
      <x:c r="E339" s="5"/>
      <x:c r="F339" s="4" t="n">
        <x:v>0</x:v>
      </x:c>
      <x:c r="G339" s="4" t="n">
        <x:v>14033</x:v>
      </x:c>
      <x:c r="H339" s="6" t="n">
        <x:v>256.75</x:v>
      </x:c>
      <x:c r="I339" s="16" t="n">
        <x:v>1</x:v>
      </x:c>
      <x:c r="J339"/>
      <x:c r="K339" s="4"/>
      <x:c r="L339" s="4"/>
      <x:c r="M339" s="4"/>
      <x:c r="N339" s="5"/>
    </x:row>
    <x:row r="340" ht="24" customHeight="1">
      <x:c r="A340" s="1" t="str">
        <x:v>RESULT</x:v>
      </x:c>
      <x:c r="B340" s="1" t="str">
        <x:v>Round1</x:v>
      </x:c>
      <x:c r="C340" s="1" t="str">
        <x:v>Csv_15</x:v>
      </x:c>
      <x:c r="D340" s="1" t="str">
        <x:v>NOT_AVAILABLE</x:v>
      </x:c>
      <x:c r="E340" s="5"/>
      <x:c r="F340" s="4" t="n">
        <x:v>0</x:v>
      </x:c>
      <x:c r="G340" s="4" t="n">
        <x:v>15991</x:v>
      </x:c>
      <x:c r="H340" s="6" t="n">
        <x:v>319.51</x:v>
      </x:c>
      <x:c r="I340" s="16" t="n">
        <x:v>1</x:v>
      </x:c>
      <x:c r="J340"/>
      <x:c r="K340" s="4"/>
      <x:c r="L340" s="4"/>
      <x:c r="M340" s="4"/>
      <x:c r="N340" s="5"/>
    </x:row>
    <x:row r="341" ht="24" customHeight="1">
      <x:c r="A341" s="1" t="str">
        <x:v>RESULT</x:v>
      </x:c>
      <x:c r="B341" s="1" t="str">
        <x:v>Round1</x:v>
      </x:c>
      <x:c r="C341" s="1" t="str">
        <x:v>Csv_16</x:v>
      </x:c>
      <x:c r="D341" s="1" t="str">
        <x:v>NOT_AVAILABLE</x:v>
      </x:c>
      <x:c r="E341" s="5"/>
      <x:c r="F341" s="4" t="n">
        <x:v>0</x:v>
      </x:c>
      <x:c r="G341" s="4" t="n">
        <x:v>7794</x:v>
      </x:c>
      <x:c r="H341" s="6" t="n">
        <x:v>61.42</x:v>
      </x:c>
      <x:c r="I341" s="16" t="n">
        <x:v>1</x:v>
      </x:c>
      <x:c r="J341"/>
      <x:c r="K341" s="4"/>
      <x:c r="L341" s="4"/>
      <x:c r="M341" s="4"/>
      <x:c r="N341" s="5"/>
    </x:row>
    <x:row r="342" ht="24" customHeight="1">
      <x:c r="A342" s="1" t="str">
        <x:v>RESULT</x:v>
      </x:c>
      <x:c r="B342" s="1" t="str">
        <x:v>Round1</x:v>
      </x:c>
      <x:c r="C342" s="1" t="str">
        <x:v>Csv_2</x:v>
      </x:c>
      <x:c r="D342" s="1" t="str">
        <x:v>NOT_REVEALING</x:v>
      </x:c>
      <x:c r="E342" s="5" t="n">
        <x:v>1</x:v>
      </x:c>
      <x:c r="F342" s="4" t="n">
        <x:v>0</x:v>
      </x:c>
      <x:c r="G342" s="4" t="n">
        <x:v>3511</x:v>
      </x:c>
      <x:c r="H342" s="6" t="n">
        <x:v>46.56</x:v>
      </x:c>
      <x:c r="I342" s="16" t="n">
        <x:v>1</x:v>
      </x:c>
      <x:c r="J342" t="n">
        <x:v>21</x:v>
      </x:c>
      <x:c r="K342" s="4" t="n">
        <x:v>21</x:v>
      </x:c>
      <x:c r="L342" s="4" t="n">
        <x:v>16</x:v>
      </x:c>
      <x:c r="M342" s="4" t="n">
        <x:v>16</x:v>
      </x:c>
      <x:c r="N342" s="5" t="n">
        <x:v>1</x:v>
      </x:c>
    </x:row>
    <x:row r="343" ht="24" customHeight="1">
      <x:c r="A343" s="1" t="str">
        <x:v>RESULT</x:v>
      </x:c>
      <x:c r="B343" s="1" t="str">
        <x:v>Round1</x:v>
      </x:c>
      <x:c r="C343" s="1" t="str">
        <x:v>Csv_3</x:v>
      </x:c>
      <x:c r="D343" s="1" t="str">
        <x:v>NOT_AVAILABLE</x:v>
      </x:c>
      <x:c r="E343" s="5"/>
      <x:c r="F343" s="4" t="n">
        <x:v>0</x:v>
      </x:c>
      <x:c r="G343" s="4" t="n">
        <x:v>5395</x:v>
      </x:c>
      <x:c r="H343" s="6" t="n">
        <x:v>111.29</x:v>
      </x:c>
      <x:c r="I343" s="16" t="n">
        <x:v>1</x:v>
      </x:c>
      <x:c r="J343"/>
      <x:c r="K343" s="4"/>
      <x:c r="L343" s="4"/>
      <x:c r="M343" s="4"/>
      <x:c r="N343" s="5"/>
    </x:row>
    <x:row r="344" ht="24" customHeight="1">
      <x:c r="A344" s="1" t="str">
        <x:v>RESULT</x:v>
      </x:c>
      <x:c r="B344" s="1" t="str">
        <x:v>Round1</x:v>
      </x:c>
      <x:c r="C344" s="1" t="str">
        <x:v>Csv_4</x:v>
      </x:c>
      <x:c r="D344" s="1" t="str">
        <x:v>NOT_AVAILABLE</x:v>
      </x:c>
      <x:c r="E344" s="5"/>
      <x:c r="F344" s="4" t="n">
        <x:v>0</x:v>
      </x:c>
      <x:c r="G344" s="4" t="n">
        <x:v>6561</x:v>
      </x:c>
      <x:c r="H344" s="6" t="n">
        <x:v>71.99</x:v>
      </x:c>
      <x:c r="I344" s="16" t="n">
        <x:v>1</x:v>
      </x:c>
      <x:c r="J344"/>
      <x:c r="K344" s="4"/>
      <x:c r="L344" s="4"/>
      <x:c r="M344" s="4"/>
      <x:c r="N344" s="5"/>
    </x:row>
    <x:row r="345" ht="24" customHeight="1">
      <x:c r="A345" s="1" t="str">
        <x:v>RESULT</x:v>
      </x:c>
      <x:c r="B345" s="1" t="str">
        <x:v>Round1</x:v>
      </x:c>
      <x:c r="C345" s="1" t="str">
        <x:v>Csv_5</x:v>
      </x:c>
      <x:c r="D345" s="1" t="str">
        <x:v>NOT_AVAILABLE</x:v>
      </x:c>
      <x:c r="E345" s="5"/>
      <x:c r="F345" s="4" t="n">
        <x:v>0</x:v>
      </x:c>
      <x:c r="G345" s="4" t="n">
        <x:v>10149</x:v>
      </x:c>
      <x:c r="H345" s="6" t="n">
        <x:v>238.66</x:v>
      </x:c>
      <x:c r="I345" s="16" t="n">
        <x:v>1</x:v>
      </x:c>
      <x:c r="J345"/>
      <x:c r="K345" s="4"/>
      <x:c r="L345" s="4"/>
      <x:c r="M345" s="4"/>
      <x:c r="N345" s="5"/>
    </x:row>
    <x:row r="346" ht="24" customHeight="1">
      <x:c r="A346" s="1" t="str">
        <x:v>RESULT</x:v>
      </x:c>
      <x:c r="B346" s="1" t="str">
        <x:v>Round1</x:v>
      </x:c>
      <x:c r="C346" s="1" t="str">
        <x:v>Csv_6</x:v>
      </x:c>
      <x:c r="D346" s="1" t="str">
        <x:v>INCONCLUSIVE</x:v>
      </x:c>
      <x:c r="E346" s="5" t="n">
        <x:v>0.8856999999999999</x:v>
      </x:c>
      <x:c r="F346" s="4" t="n">
        <x:v>0</x:v>
      </x:c>
      <x:c r="G346" s="4" t="n">
        <x:v>4167</x:v>
      </x:c>
      <x:c r="H346" s="6" t="n">
        <x:v>58.75</x:v>
      </x:c>
      <x:c r="I346" s="16" t="n">
        <x:v>1</x:v>
      </x:c>
      <x:c r="J346" t="n">
        <x:v>35</x:v>
      </x:c>
      <x:c r="K346" s="4" t="n">
        <x:v>31</x:v>
      </x:c>
      <x:c r="L346" s="4" t="n">
        <x:v>18</x:v>
      </x:c>
      <x:c r="M346" s="4" t="n">
        <x:v>15</x:v>
      </x:c>
      <x:c r="N346" s="5" t="n">
        <x:v>0.8332999999999999</x:v>
      </x:c>
    </x:row>
    <x:row r="347" ht="24" customHeight="1">
      <x:c r="A347" s="1" t="str">
        <x:v>RESULT</x:v>
      </x:c>
      <x:c r="B347" s="1" t="str">
        <x:v>Round1</x:v>
      </x:c>
      <x:c r="C347" s="1" t="str">
        <x:v>Csv_7</x:v>
      </x:c>
      <x:c r="D347" s="1" t="str">
        <x:v>INCONCLUSIVE</x:v>
      </x:c>
      <x:c r="E347" s="5" t="n">
        <x:v>0.7723</x:v>
      </x:c>
      <x:c r="F347" s="4" t="n">
        <x:v>0</x:v>
      </x:c>
      <x:c r="G347" s="4" t="n">
        <x:v>6580</x:v>
      </x:c>
      <x:c r="H347" s="6" t="n">
        <x:v>72.2</x:v>
      </x:c>
      <x:c r="I347" s="16" t="n">
        <x:v>1</x:v>
      </x:c>
      <x:c r="J347" t="n">
        <x:v>101</x:v>
      </x:c>
      <x:c r="K347" s="4" t="n">
        <x:v>78</x:v>
      </x:c>
      <x:c r="L347" s="4" t="n">
        <x:v>50</x:v>
      </x:c>
      <x:c r="M347" s="4" t="n">
        <x:v>34</x:v>
      </x:c>
      <x:c r="N347" s="5" t="n">
        <x:v>0.68</x:v>
      </x:c>
    </x:row>
    <x:row r="348" ht="24" customHeight="1">
      <x:c r="A348" s="1" t="str">
        <x:v>RESULT</x:v>
      </x:c>
      <x:c r="B348" s="1" t="str">
        <x:v>Round1</x:v>
      </x:c>
      <x:c r="C348" s="1" t="str">
        <x:v>Csv_8</x:v>
      </x:c>
      <x:c r="D348" s="1" t="str">
        <x:v>NOT_AVAILABLE</x:v>
      </x:c>
      <x:c r="E348" s="5"/>
      <x:c r="F348" s="4" t="n">
        <x:v>0</x:v>
      </x:c>
      <x:c r="G348" s="4" t="n">
        <x:v>7917</x:v>
      </x:c>
      <x:c r="H348" s="6" t="n">
        <x:v>135.49</x:v>
      </x:c>
      <x:c r="I348" s="16" t="n">
        <x:v>1</x:v>
      </x:c>
      <x:c r="J348"/>
      <x:c r="K348" s="4"/>
      <x:c r="L348" s="4"/>
      <x:c r="M348" s="4"/>
      <x:c r="N348" s="5"/>
    </x:row>
    <x:row r="349" ht="24" customHeight="1">
      <x:c r="A349" s="1" t="str">
        <x:v>RESULT</x:v>
      </x:c>
      <x:c r="B349" s="1" t="str">
        <x:v>Round1</x:v>
      </x:c>
      <x:c r="C349" s="1" t="str">
        <x:v>Csv_9</x:v>
      </x:c>
      <x:c r="D349" s="1" t="str">
        <x:v>INCONCLUSIVE</x:v>
      </x:c>
      <x:c r="E349" s="5" t="n">
        <x:v>1</x:v>
      </x:c>
      <x:c r="F349" s="4" t="n">
        <x:v>0</x:v>
      </x:c>
      <x:c r="G349" s="4" t="n">
        <x:v>4736</x:v>
      </x:c>
      <x:c r="H349" s="6" t="n">
        <x:v>79.29</x:v>
      </x:c>
      <x:c r="I349" s="16" t="n">
        <x:v>1</x:v>
      </x:c>
      <x:c r="J349" t="n">
        <x:v>36</x:v>
      </x:c>
      <x:c r="K349" s="4" t="n">
        <x:v>36</x:v>
      </x:c>
      <x:c r="L349" s="4" t="n">
        <x:v>22</x:v>
      </x:c>
      <x:c r="M349" s="4" t="n">
        <x:v>21</x:v>
      </x:c>
      <x:c r="N349" s="5" t="n">
        <x:v>0.9545</x:v>
      </x:c>
    </x:row>
    <x:row r="350" ht="24" customHeight="1">
      <x:c r="A350" s="1" t="str">
        <x:v>RESULT</x:v>
      </x:c>
      <x:c r="B350" s="1" t="str">
        <x:v>Round1</x:v>
      </x:c>
      <x:c r="C350" s="1" t="str">
        <x:v>Gson_1</x:v>
      </x:c>
      <x:c r="D350" s="1" t="str">
        <x:v>INCONCLUSIVE</x:v>
      </x:c>
      <x:c r="E350" s="5" t="n">
        <x:v>0.6383</x:v>
      </x:c>
      <x:c r="F350" s="4" t="n">
        <x:v>0</x:v>
      </x:c>
      <x:c r="G350" s="4" t="n">
        <x:v>4580</x:v>
      </x:c>
      <x:c r="H350" s="6" t="n">
        <x:v>89.56</x:v>
      </x:c>
      <x:c r="I350" s="16" t="n">
        <x:v>1</x:v>
      </x:c>
      <x:c r="J350" t="n">
        <x:v>47</x:v>
      </x:c>
      <x:c r="K350" s="4" t="n">
        <x:v>30</x:v>
      </x:c>
      <x:c r="L350" s="4" t="n">
        <x:v>22</x:v>
      </x:c>
      <x:c r="M350" s="4" t="n">
        <x:v>12</x:v>
      </x:c>
      <x:c r="N350" s="5" t="n">
        <x:v>0.5455</x:v>
      </x:c>
    </x:row>
    <x:row r="351" ht="24" customHeight="1">
      <x:c r="A351" s="1" t="str">
        <x:v>RESULT</x:v>
      </x:c>
      <x:c r="B351" s="1" t="str">
        <x:v>Round1</x:v>
      </x:c>
      <x:c r="C351" s="1" t="str">
        <x:v>Gson_10</x:v>
      </x:c>
      <x:c r="D351" s="1" t="str">
        <x:v>NOT_AVAILABLE</x:v>
      </x:c>
      <x:c r="E351" s="5"/>
      <x:c r="F351" s="4" t="n">
        <x:v>0</x:v>
      </x:c>
      <x:c r="G351" s="4" t="n">
        <x:v>5293</x:v>
      </x:c>
      <x:c r="H351" s="6" t="n">
        <x:v>80.19</x:v>
      </x:c>
      <x:c r="I351" s="16" t="n">
        <x:v>1</x:v>
      </x:c>
      <x:c r="J351"/>
      <x:c r="K351" s="4"/>
      <x:c r="L351" s="4"/>
      <x:c r="M351" s="4"/>
      <x:c r="N351" s="5"/>
    </x:row>
    <x:row r="352" ht="24" customHeight="1">
      <x:c r="A352" s="1" t="str">
        <x:v>RESULT</x:v>
      </x:c>
      <x:c r="B352" s="1" t="str">
        <x:v>Round1</x:v>
      </x:c>
      <x:c r="C352" s="1" t="str">
        <x:v>Gson_11</x:v>
      </x:c>
      <x:c r="D352" s="1" t="str">
        <x:v>NOT_AVAILABLE</x:v>
      </x:c>
      <x:c r="E352" s="5"/>
      <x:c r="F352" s="4" t="n">
        <x:v>0</x:v>
      </x:c>
      <x:c r="G352" s="4" t="n">
        <x:v>14038</x:v>
      </x:c>
      <x:c r="H352" s="6" t="n">
        <x:v>233</x:v>
      </x:c>
      <x:c r="I352" s="16" t="n">
        <x:v>1</x:v>
      </x:c>
      <x:c r="J352"/>
      <x:c r="K352" s="4"/>
      <x:c r="L352" s="4"/>
      <x:c r="M352" s="4"/>
      <x:c r="N352" s="5"/>
    </x:row>
    <x:row r="353" ht="24" customHeight="1">
      <x:c r="A353" s="1" t="str">
        <x:v>RESULT</x:v>
      </x:c>
      <x:c r="B353" s="1" t="str">
        <x:v>Round1</x:v>
      </x:c>
      <x:c r="C353" s="1" t="str">
        <x:v>Gson_12</x:v>
      </x:c>
      <x:c r="D353" s="1" t="str">
        <x:v>NOT_AVAILABLE</x:v>
      </x:c>
      <x:c r="E353" s="5"/>
      <x:c r="F353" s="4" t="n">
        <x:v>0</x:v>
      </x:c>
      <x:c r="G353" s="4" t="n">
        <x:v>5464</x:v>
      </x:c>
      <x:c r="H353" s="6" t="n">
        <x:v>72.46</x:v>
      </x:c>
      <x:c r="I353" s="16" t="n">
        <x:v>1</x:v>
      </x:c>
      <x:c r="J353"/>
      <x:c r="K353" s="4"/>
      <x:c r="L353" s="4"/>
      <x:c r="M353" s="4"/>
      <x:c r="N353" s="5"/>
    </x:row>
    <x:row r="354" ht="24" customHeight="1">
      <x:c r="A354" s="1" t="str">
        <x:v>RESULT</x:v>
      </x:c>
      <x:c r="B354" s="1" t="str">
        <x:v>Round1</x:v>
      </x:c>
      <x:c r="C354" s="1" t="str">
        <x:v>Gson_13</x:v>
      </x:c>
      <x:c r="D354" s="1" t="str">
        <x:v>NOT_AVAILABLE</x:v>
      </x:c>
      <x:c r="E354" s="5"/>
      <x:c r="F354" s="4" t="n">
        <x:v>0</x:v>
      </x:c>
      <x:c r="G354" s="4" t="n">
        <x:v>12757</x:v>
      </x:c>
      <x:c r="H354" s="6" t="n">
        <x:v>107.83</x:v>
      </x:c>
      <x:c r="I354" s="16" t="n">
        <x:v>1</x:v>
      </x:c>
      <x:c r="J354"/>
      <x:c r="K354" s="4"/>
      <x:c r="L354" s="4"/>
      <x:c r="M354" s="4"/>
      <x:c r="N354" s="5"/>
    </x:row>
    <x:row r="355" ht="24" customHeight="1">
      <x:c r="A355" s="1" t="str">
        <x:v>RESULT</x:v>
      </x:c>
      <x:c r="B355" s="1" t="str">
        <x:v>Round1</x:v>
      </x:c>
      <x:c r="C355" s="1" t="str">
        <x:v>Gson_14</x:v>
      </x:c>
      <x:c r="D355" s="1" t="str">
        <x:v>NOT_AVAILABLE</x:v>
      </x:c>
      <x:c r="E355" s="5"/>
      <x:c r="F355" s="4" t="n">
        <x:v>0</x:v>
      </x:c>
      <x:c r="G355" s="4" t="n">
        <x:v>10458</x:v>
      </x:c>
      <x:c r="H355" s="6" t="n">
        <x:v>171.06</x:v>
      </x:c>
      <x:c r="I355" s="16" t="n">
        <x:v>1</x:v>
      </x:c>
      <x:c r="J355"/>
      <x:c r="K355" s="4"/>
      <x:c r="L355" s="4"/>
      <x:c r="M355" s="4"/>
      <x:c r="N355" s="5"/>
    </x:row>
    <x:row r="356" ht="24" customHeight="1">
      <x:c r="A356" s="1" t="str">
        <x:v>RESULT</x:v>
      </x:c>
      <x:c r="B356" s="1" t="str">
        <x:v>Round1</x:v>
      </x:c>
      <x:c r="C356" s="1" t="str">
        <x:v>Gson_15</x:v>
      </x:c>
      <x:c r="D356" s="1" t="str">
        <x:v>NOT_AVAILABLE</x:v>
      </x:c>
      <x:c r="E356" s="5"/>
      <x:c r="F356" s="4" t="n">
        <x:v>0</x:v>
      </x:c>
      <x:c r="G356" s="4" t="n">
        <x:v>8143</x:v>
      </x:c>
      <x:c r="H356" s="6" t="n">
        <x:v>79.37</x:v>
      </x:c>
      <x:c r="I356" s="16" t="n">
        <x:v>1</x:v>
      </x:c>
      <x:c r="J356"/>
      <x:c r="K356" s="4"/>
      <x:c r="L356" s="4"/>
      <x:c r="M356" s="4"/>
      <x:c r="N356" s="5"/>
    </x:row>
    <x:row r="357" ht="24" customHeight="1">
      <x:c r="A357" s="1" t="str">
        <x:v>RESULT</x:v>
      </x:c>
      <x:c r="B357" s="1" t="str">
        <x:v>Round1</x:v>
      </x:c>
      <x:c r="C357" s="1" t="str">
        <x:v>Gson_16</x:v>
      </x:c>
      <x:c r="D357" s="1" t="str">
        <x:v>NOT_AVAILABLE</x:v>
      </x:c>
      <x:c r="E357" s="5"/>
      <x:c r="F357" s="4" t="n">
        <x:v>0</x:v>
      </x:c>
      <x:c r="G357" s="4" t="n">
        <x:v>8828</x:v>
      </x:c>
      <x:c r="H357" s="6" t="n">
        <x:v>105.07</x:v>
      </x:c>
      <x:c r="I357" s="16" t="n">
        <x:v>1</x:v>
      </x:c>
      <x:c r="J357"/>
      <x:c r="K357" s="4"/>
      <x:c r="L357" s="4"/>
      <x:c r="M357" s="4"/>
      <x:c r="N357" s="5"/>
    </x:row>
    <x:row r="358" ht="24" customHeight="1">
      <x:c r="A358" s="1" t="str">
        <x:v>RESULT</x:v>
      </x:c>
      <x:c r="B358" s="1" t="str">
        <x:v>Round1</x:v>
      </x:c>
      <x:c r="C358" s="1" t="str">
        <x:v>Gson_17</x:v>
      </x:c>
      <x:c r="D358" s="1" t="str">
        <x:v>NOT_AVAILABLE</x:v>
      </x:c>
      <x:c r="E358" s="5"/>
      <x:c r="F358" s="4" t="n">
        <x:v>0</x:v>
      </x:c>
      <x:c r="G358" s="4" t="n">
        <x:v>5265</x:v>
      </x:c>
      <x:c r="H358" s="6" t="n">
        <x:v>133.65</x:v>
      </x:c>
      <x:c r="I358" s="16" t="n">
        <x:v>1</x:v>
      </x:c>
      <x:c r="J358"/>
      <x:c r="K358" s="4"/>
      <x:c r="L358" s="4"/>
      <x:c r="M358" s="4"/>
      <x:c r="N358" s="5"/>
    </x:row>
    <x:row r="359" ht="24" customHeight="1">
      <x:c r="A359" s="1" t="str">
        <x:v>RESULT</x:v>
      </x:c>
      <x:c r="B359" s="1" t="str">
        <x:v>Round1</x:v>
      </x:c>
      <x:c r="C359" s="1" t="str">
        <x:v>Gson_18</x:v>
      </x:c>
      <x:c r="D359" s="1" t="str">
        <x:v>NOT_AVAILABLE</x:v>
      </x:c>
      <x:c r="E359" s="5"/>
      <x:c r="F359" s="4" t="n">
        <x:v>0</x:v>
      </x:c>
      <x:c r="G359" s="4" t="n">
        <x:v>9385</x:v>
      </x:c>
      <x:c r="H359" s="6" t="n">
        <x:v>126.1</x:v>
      </x:c>
      <x:c r="I359" s="16" t="n">
        <x:v>1</x:v>
      </x:c>
      <x:c r="J359"/>
      <x:c r="K359" s="4"/>
      <x:c r="L359" s="4"/>
      <x:c r="M359" s="4"/>
      <x:c r="N359" s="5"/>
    </x:row>
    <x:row r="360" ht="24" customHeight="1">
      <x:c r="A360" s="1" t="str">
        <x:v>RESULT</x:v>
      </x:c>
      <x:c r="B360" s="1" t="str">
        <x:v>Round1</x:v>
      </x:c>
      <x:c r="C360" s="1" t="str">
        <x:v>Gson_2</x:v>
      </x:c>
      <x:c r="D360" s="1" t="str">
        <x:v>NOT_AVAILABLE</x:v>
      </x:c>
      <x:c r="E360" s="5"/>
      <x:c r="F360" s="4" t="n">
        <x:v>0</x:v>
      </x:c>
      <x:c r="G360" s="4" t="n">
        <x:v>12826</x:v>
      </x:c>
      <x:c r="H360" s="6" t="n">
        <x:v>226.29</x:v>
      </x:c>
      <x:c r="I360" s="16" t="n">
        <x:v>1</x:v>
      </x:c>
      <x:c r="J360"/>
      <x:c r="K360" s="4"/>
      <x:c r="L360" s="4"/>
      <x:c r="M360" s="4"/>
      <x:c r="N360" s="5"/>
    </x:row>
    <x:row r="361" ht="24" customHeight="1">
      <x:c r="A361" s="1" t="str">
        <x:v>RESULT</x:v>
      </x:c>
      <x:c r="B361" s="1" t="str">
        <x:v>Round1</x:v>
      </x:c>
      <x:c r="C361" s="1" t="str">
        <x:v>Gson_3</x:v>
      </x:c>
      <x:c r="D361" s="1" t="str">
        <x:v>INCONCLUSIVE</x:v>
      </x:c>
      <x:c r="E361" s="5" t="n">
        <x:v>0.7093</x:v>
      </x:c>
      <x:c r="F361" s="4" t="n">
        <x:v>0</x:v>
      </x:c>
      <x:c r="G361" s="4" t="n">
        <x:v>4191</x:v>
      </x:c>
      <x:c r="H361" s="6" t="n">
        <x:v>53</x:v>
      </x:c>
      <x:c r="I361" s="16" t="n">
        <x:v>1</x:v>
      </x:c>
      <x:c r="J361" t="n">
        <x:v>86</x:v>
      </x:c>
      <x:c r="K361" s="4" t="n">
        <x:v>61</x:v>
      </x:c>
      <x:c r="L361" s="4" t="n">
        <x:v>32</x:v>
      </x:c>
      <x:c r="M361" s="4" t="n">
        <x:v>21</x:v>
      </x:c>
      <x:c r="N361" s="5" t="n">
        <x:v>0.6562</x:v>
      </x:c>
    </x:row>
    <x:row r="362" ht="24" customHeight="1">
      <x:c r="A362" s="1" t="str">
        <x:v>RESULT</x:v>
      </x:c>
      <x:c r="B362" s="1" t="str">
        <x:v>Round1</x:v>
      </x:c>
      <x:c r="C362" s="1" t="str">
        <x:v>Gson_4</x:v>
      </x:c>
      <x:c r="D362" s="1" t="str">
        <x:v>NOT_AVAILABLE</x:v>
      </x:c>
      <x:c r="E362" s="5"/>
      <x:c r="F362" s="4" t="n">
        <x:v>0</x:v>
      </x:c>
      <x:c r="G362" s="4" t="n">
        <x:v>21045</x:v>
      </x:c>
      <x:c r="H362" s="6" t="n">
        <x:v>183.49</x:v>
      </x:c>
      <x:c r="I362" s="16" t="n">
        <x:v>1</x:v>
      </x:c>
      <x:c r="J362"/>
      <x:c r="K362" s="4"/>
      <x:c r="L362" s="4"/>
      <x:c r="M362" s="4"/>
      <x:c r="N362" s="5"/>
    </x:row>
    <x:row r="363" ht="24" customHeight="1">
      <x:c r="A363" s="1" t="str">
        <x:v>RESULT</x:v>
      </x:c>
      <x:c r="B363" s="1" t="str">
        <x:v>Round1</x:v>
      </x:c>
      <x:c r="C363" s="1" t="str">
        <x:v>Gson_5</x:v>
      </x:c>
      <x:c r="D363" s="1" t="str">
        <x:v>INCONCLUSIVE</x:v>
      </x:c>
      <x:c r="E363" s="5" t="n">
        <x:v>0.9</x:v>
      </x:c>
      <x:c r="F363" s="4" t="n">
        <x:v>0</x:v>
      </x:c>
      <x:c r="G363" s="4" t="n">
        <x:v>7267</x:v>
      </x:c>
      <x:c r="H363" s="6" t="n">
        <x:v>112.35</x:v>
      </x:c>
      <x:c r="I363" s="16" t="n">
        <x:v>1</x:v>
      </x:c>
      <x:c r="J363" t="n">
        <x:v>150</x:v>
      </x:c>
      <x:c r="K363" s="4" t="n">
        <x:v>135</x:v>
      </x:c>
      <x:c r="L363" s="4" t="n">
        <x:v>89</x:v>
      </x:c>
      <x:c r="M363" s="4" t="n">
        <x:v>67</x:v>
      </x:c>
      <x:c r="N363" s="5" t="n">
        <x:v>0.7528</x:v>
      </x:c>
    </x:row>
    <x:row r="364" ht="24" customHeight="1">
      <x:c r="A364" s="1" t="str">
        <x:v>RESULT</x:v>
      </x:c>
      <x:c r="B364" s="1" t="str">
        <x:v>Round1</x:v>
      </x:c>
      <x:c r="C364" s="1" t="str">
        <x:v>Gson_6</x:v>
      </x:c>
      <x:c r="D364" s="1" t="str">
        <x:v>NOT_AVAILABLE</x:v>
      </x:c>
      <x:c r="E364" s="5"/>
      <x:c r="F364" s="4" t="n">
        <x:v>0</x:v>
      </x:c>
      <x:c r="G364" s="4" t="n">
        <x:v>3034</x:v>
      </x:c>
      <x:c r="H364" s="6" t="n">
        <x:v>48.78</x:v>
      </x:c>
      <x:c r="I364" s="16" t="n">
        <x:v>1</x:v>
      </x:c>
      <x:c r="J364"/>
      <x:c r="K364" s="4"/>
      <x:c r="L364" s="4"/>
      <x:c r="M364" s="4"/>
      <x:c r="N364" s="5"/>
    </x:row>
    <x:row r="365" ht="24" customHeight="1">
      <x:c r="A365" s="1" t="str">
        <x:v>RESULT</x:v>
      </x:c>
      <x:c r="B365" s="1" t="str">
        <x:v>Round1</x:v>
      </x:c>
      <x:c r="C365" s="1" t="str">
        <x:v>Gson_7</x:v>
      </x:c>
      <x:c r="D365" s="1" t="str">
        <x:v>NOT_AVAILABLE</x:v>
      </x:c>
      <x:c r="E365" s="5"/>
      <x:c r="F365" s="4" t="n">
        <x:v>0</x:v>
      </x:c>
      <x:c r="G365" s="4" t="n">
        <x:v>13460</x:v>
      </x:c>
      <x:c r="H365" s="6" t="n">
        <x:v>127.95</x:v>
      </x:c>
      <x:c r="I365" s="16" t="n">
        <x:v>1</x:v>
      </x:c>
      <x:c r="J365"/>
      <x:c r="K365" s="4"/>
      <x:c r="L365" s="4"/>
      <x:c r="M365" s="4"/>
      <x:c r="N365" s="5"/>
    </x:row>
    <x:row r="366" ht="24" customHeight="1">
      <x:c r="A366" s="1" t="str">
        <x:v>RESULT</x:v>
      </x:c>
      <x:c r="B366" s="1" t="str">
        <x:v>Round1</x:v>
      </x:c>
      <x:c r="C366" s="1" t="str">
        <x:v>Gson_8</x:v>
      </x:c>
      <x:c r="D366" s="1" t="str">
        <x:v>NOT_REVEALING</x:v>
      </x:c>
      <x:c r="E366" s="5" t="n">
        <x:v>0</x:v>
      </x:c>
      <x:c r="F366" s="4" t="n">
        <x:v>0</x:v>
      </x:c>
      <x:c r="G366" s="4" t="n">
        <x:v>3437</x:v>
      </x:c>
      <x:c r="H366" s="6" t="n">
        <x:v>54.15</x:v>
      </x:c>
      <x:c r="I366" s="16" t="n">
        <x:v>1</x:v>
      </x:c>
      <x:c r="J366" t="n">
        <x:v>31</x:v>
      </x:c>
      <x:c r="K366" s="4" t="n">
        <x:v>0</x:v>
      </x:c>
      <x:c r="L366" s="4" t="n">
        <x:v>0</x:v>
      </x:c>
      <x:c r="M366" s="4" t="n">
        <x:v>0</x:v>
      </x:c>
      <x:c r="N366" s="5"/>
    </x:row>
    <x:row r="367" ht="24" customHeight="1">
      <x:c r="A367" s="1" t="str">
        <x:v>RESULT</x:v>
      </x:c>
      <x:c r="B367" s="1" t="str">
        <x:v>Round1</x:v>
      </x:c>
      <x:c r="C367" s="1" t="str">
        <x:v>Gson_9</x:v>
      </x:c>
      <x:c r="D367" s="1" t="str">
        <x:v>NOT_AVAILABLE</x:v>
      </x:c>
      <x:c r="E367" s="5"/>
      <x:c r="F367" s="4" t="n">
        <x:v>0</x:v>
      </x:c>
      <x:c r="G367" s="4" t="n">
        <x:v>29381</x:v>
      </x:c>
      <x:c r="H367" s="6" t="n">
        <x:v>509</x:v>
      </x:c>
      <x:c r="I367" s="16" t="n">
        <x:v>1</x:v>
      </x:c>
      <x:c r="J367"/>
      <x:c r="K367" s="4"/>
      <x:c r="L367" s="4"/>
      <x:c r="M367" s="4"/>
      <x:c r="N367" s="5"/>
    </x:row>
    <x:row r="368" ht="24" customHeight="1">
      <x:c r="A368" s="1" t="str">
        <x:v>RESULT</x:v>
      </x:c>
      <x:c r="B368" s="1" t="str">
        <x:v>Round1</x:v>
      </x:c>
      <x:c r="C368" s="1" t="str">
        <x:v>JacksonCore_1</x:v>
      </x:c>
      <x:c r="D368" s="1" t="str">
        <x:v>NOT_AVAILABLE</x:v>
      </x:c>
      <x:c r="E368" s="5"/>
      <x:c r="F368" s="4" t="n">
        <x:v>0</x:v>
      </x:c>
      <x:c r="G368" s="4" t="n">
        <x:v>14211</x:v>
      </x:c>
      <x:c r="H368" s="6" t="n">
        <x:v>186.17</x:v>
      </x:c>
      <x:c r="I368" s="16" t="n">
        <x:v>1</x:v>
      </x:c>
      <x:c r="J368"/>
      <x:c r="K368" s="4"/>
      <x:c r="L368" s="4"/>
      <x:c r="M368" s="4"/>
      <x:c r="N368" s="5"/>
    </x:row>
    <x:row r="369" ht="24" customHeight="1">
      <x:c r="A369" s="1" t="str">
        <x:v>RESULT</x:v>
      </x:c>
      <x:c r="B369" s="1" t="str">
        <x:v>Round1</x:v>
      </x:c>
      <x:c r="C369" s="1" t="str">
        <x:v>JacksonCore_10</x:v>
      </x:c>
      <x:c r="D369" s="1" t="str">
        <x:v>NOT_AVAILABLE</x:v>
      </x:c>
      <x:c r="E369" s="5"/>
      <x:c r="F369" s="4" t="n">
        <x:v>0</x:v>
      </x:c>
      <x:c r="G369" s="4" t="n">
        <x:v>9450</x:v>
      </x:c>
      <x:c r="H369" s="6" t="n">
        <x:v>63.43</x:v>
      </x:c>
      <x:c r="I369" s="16" t="n">
        <x:v>1</x:v>
      </x:c>
      <x:c r="J369"/>
      <x:c r="K369" s="4"/>
      <x:c r="L369" s="4"/>
      <x:c r="M369" s="4"/>
      <x:c r="N369" s="5"/>
    </x:row>
    <x:row r="370" ht="24" customHeight="1">
      <x:c r="A370" s="1" t="str">
        <x:v>RESULT</x:v>
      </x:c>
      <x:c r="B370" s="1" t="str">
        <x:v>Round1</x:v>
      </x:c>
      <x:c r="C370" s="1" t="str">
        <x:v>JacksonCore_11</x:v>
      </x:c>
      <x:c r="D370" s="1" t="str">
        <x:v>INCONCLUSIVE</x:v>
      </x:c>
      <x:c r="E370" s="5" t="n">
        <x:v>0.6966</x:v>
      </x:c>
      <x:c r="F370" s="4" t="n">
        <x:v>0</x:v>
      </x:c>
      <x:c r="G370" s="4" t="n">
        <x:v>10140</x:v>
      </x:c>
      <x:c r="H370" s="6" t="n">
        <x:v>87.82</x:v>
      </x:c>
      <x:c r="I370" s="16" t="n">
        <x:v>1</x:v>
      </x:c>
      <x:c r="J370" t="n">
        <x:v>468</x:v>
      </x:c>
      <x:c r="K370" s="4" t="n">
        <x:v>326</x:v>
      </x:c>
      <x:c r="L370" s="4" t="n">
        <x:v>268</x:v>
      </x:c>
      <x:c r="M370" s="4" t="n">
        <x:v>109</x:v>
      </x:c>
      <x:c r="N370" s="5" t="n">
        <x:v>0.4067</x:v>
      </x:c>
    </x:row>
    <x:row r="371" ht="24" customHeight="1">
      <x:c r="A371" s="1" t="str">
        <x:v>RESULT</x:v>
      </x:c>
      <x:c r="B371" s="1" t="str">
        <x:v>Round1</x:v>
      </x:c>
      <x:c r="C371" s="1" t="str">
        <x:v>JacksonCore_12</x:v>
      </x:c>
      <x:c r="D371" s="1" t="str">
        <x:v>NOT_AVAILABLE</x:v>
      </x:c>
      <x:c r="E371" s="5"/>
      <x:c r="F371" s="4" t="n">
        <x:v>0</x:v>
      </x:c>
      <x:c r="G371" s="4" t="n">
        <x:v>51716</x:v>
      </x:c>
      <x:c r="H371" s="6" t="n">
        <x:v>336.79</x:v>
      </x:c>
      <x:c r="I371" s="16" t="n">
        <x:v>1</x:v>
      </x:c>
      <x:c r="J371"/>
      <x:c r="K371" s="4"/>
      <x:c r="L371" s="4"/>
      <x:c r="M371" s="4"/>
      <x:c r="N371" s="5"/>
    </x:row>
    <x:row r="372" ht="24" customHeight="1">
      <x:c r="A372" s="1" t="str">
        <x:v>RESULT</x:v>
      </x:c>
      <x:c r="B372" s="1" t="str">
        <x:v>Round1</x:v>
      </x:c>
      <x:c r="C372" s="1" t="str">
        <x:v>JacksonCore_13</x:v>
      </x:c>
      <x:c r="D372" s="1" t="str">
        <x:v>NOT_AVAILABLE</x:v>
      </x:c>
      <x:c r="E372" s="5"/>
      <x:c r="F372" s="4" t="n">
        <x:v>0</x:v>
      </x:c>
      <x:c r="G372" s="4" t="n">
        <x:v>4441</x:v>
      </x:c>
      <x:c r="H372" s="6" t="n">
        <x:v>78.58</x:v>
      </x:c>
      <x:c r="I372" s="16" t="n">
        <x:v>1</x:v>
      </x:c>
      <x:c r="J372"/>
      <x:c r="K372" s="4"/>
      <x:c r="L372" s="4"/>
      <x:c r="M372" s="4"/>
      <x:c r="N372" s="5"/>
    </x:row>
    <x:row r="373" ht="24" customHeight="1">
      <x:c r="A373" s="1" t="str">
        <x:v>RESULT</x:v>
      </x:c>
      <x:c r="B373" s="1" t="str">
        <x:v>Round1</x:v>
      </x:c>
      <x:c r="C373" s="1" t="str">
        <x:v>JacksonCore_14</x:v>
      </x:c>
      <x:c r="D373" s="1" t="str">
        <x:v>NOT_AVAILABLE</x:v>
      </x:c>
      <x:c r="E373" s="5"/>
      <x:c r="F373" s="4" t="n">
        <x:v>0</x:v>
      </x:c>
      <x:c r="G373" s="4" t="n">
        <x:v>3918</x:v>
      </x:c>
      <x:c r="H373" s="6" t="n">
        <x:v>48.41</x:v>
      </x:c>
      <x:c r="I373" s="16" t="n">
        <x:v>1</x:v>
      </x:c>
      <x:c r="J373"/>
      <x:c r="K373" s="4"/>
      <x:c r="L373" s="4"/>
      <x:c r="M373" s="4"/>
      <x:c r="N373" s="5"/>
    </x:row>
    <x:row r="374" ht="24" customHeight="1">
      <x:c r="A374" s="1" t="str">
        <x:v>RESULT</x:v>
      </x:c>
      <x:c r="B374" s="1" t="str">
        <x:v>Round1</x:v>
      </x:c>
      <x:c r="C374" s="1" t="str">
        <x:v>JacksonCore_15</x:v>
      </x:c>
      <x:c r="D374" s="1" t="str">
        <x:v>NOT_AVAILABLE</x:v>
      </x:c>
      <x:c r="E374" s="5"/>
      <x:c r="F374" s="4" t="n">
        <x:v>0</x:v>
      </x:c>
      <x:c r="G374" s="4" t="n">
        <x:v>9628</x:v>
      </x:c>
      <x:c r="H374" s="6" t="n">
        <x:v>146</x:v>
      </x:c>
      <x:c r="I374" s="16" t="n">
        <x:v>1</x:v>
      </x:c>
      <x:c r="J374"/>
      <x:c r="K374" s="4"/>
      <x:c r="L374" s="4"/>
      <x:c r="M374" s="4"/>
      <x:c r="N374" s="5"/>
    </x:row>
    <x:row r="375" ht="24" customHeight="1">
      <x:c r="A375" s="1" t="str">
        <x:v>RESULT</x:v>
      </x:c>
      <x:c r="B375" s="1" t="str">
        <x:v>Round1</x:v>
      </x:c>
      <x:c r="C375" s="1" t="str">
        <x:v>JacksonCore_16</x:v>
      </x:c>
      <x:c r="D375" s="1" t="str">
        <x:v>NOT_AVAILABLE</x:v>
      </x:c>
      <x:c r="E375" s="5"/>
      <x:c r="F375" s="4" t="n">
        <x:v>0</x:v>
      </x:c>
      <x:c r="G375" s="4" t="n">
        <x:v>4724</x:v>
      </x:c>
      <x:c r="H375" s="6" t="n">
        <x:v>100.28</x:v>
      </x:c>
      <x:c r="I375" s="16" t="n">
        <x:v>1</x:v>
      </x:c>
      <x:c r="J375"/>
      <x:c r="K375" s="4"/>
      <x:c r="L375" s="4"/>
      <x:c r="M375" s="4"/>
      <x:c r="N375" s="5"/>
    </x:row>
    <x:row r="376" ht="24" customHeight="1">
      <x:c r="A376" s="1" t="str">
        <x:v>RESULT</x:v>
      </x:c>
      <x:c r="B376" s="1" t="str">
        <x:v>Round1</x:v>
      </x:c>
      <x:c r="C376" s="1" t="str">
        <x:v>JacksonCore_17</x:v>
      </x:c>
      <x:c r="D376" s="1" t="str">
        <x:v>NOT_AVAILABLE</x:v>
      </x:c>
      <x:c r="E376" s="5"/>
      <x:c r="F376" s="4" t="n">
        <x:v>0</x:v>
      </x:c>
      <x:c r="G376" s="4" t="n">
        <x:v>16686</x:v>
      </x:c>
      <x:c r="H376" s="6" t="n">
        <x:v>85.32</x:v>
      </x:c>
      <x:c r="I376" s="16" t="n">
        <x:v>1</x:v>
      </x:c>
      <x:c r="J376"/>
      <x:c r="K376" s="4"/>
      <x:c r="L376" s="4"/>
      <x:c r="M376" s="4"/>
      <x:c r="N376" s="5"/>
    </x:row>
    <x:row r="377" ht="24" customHeight="1">
      <x:c r="A377" s="1" t="str">
        <x:v>RESULT</x:v>
      </x:c>
      <x:c r="B377" s="1" t="str">
        <x:v>Round1</x:v>
      </x:c>
      <x:c r="C377" s="1" t="str">
        <x:v>JacksonCore_18</x:v>
      </x:c>
      <x:c r="D377" s="1" t="str">
        <x:v>NOT_AVAILABLE</x:v>
      </x:c>
      <x:c r="E377" s="5"/>
      <x:c r="F377" s="4" t="n">
        <x:v>0</x:v>
      </x:c>
      <x:c r="G377" s="4" t="n">
        <x:v>47656</x:v>
      </x:c>
      <x:c r="H377" s="6" t="n">
        <x:v>461.13</x:v>
      </x:c>
      <x:c r="I377" s="16" t="n">
        <x:v>1</x:v>
      </x:c>
      <x:c r="J377"/>
      <x:c r="K377" s="4"/>
      <x:c r="L377" s="4"/>
      <x:c r="M377" s="4"/>
      <x:c r="N377" s="5"/>
    </x:row>
    <x:row r="378" ht="24" customHeight="1">
      <x:c r="A378" s="1" t="str">
        <x:v>RESULT</x:v>
      </x:c>
      <x:c r="B378" s="1" t="str">
        <x:v>Round1</x:v>
      </x:c>
      <x:c r="C378" s="1" t="str">
        <x:v>JacksonCore_19</x:v>
      </x:c>
      <x:c r="D378" s="1" t="str">
        <x:v>NOT_AVAILABLE</x:v>
      </x:c>
      <x:c r="E378" s="5"/>
      <x:c r="F378" s="4" t="n">
        <x:v>0</x:v>
      </x:c>
      <x:c r="G378" s="4" t="n">
        <x:v>52502</x:v>
      </x:c>
      <x:c r="H378" s="6" t="n">
        <x:v>377.63</x:v>
      </x:c>
      <x:c r="I378" s="16" t="n">
        <x:v>1</x:v>
      </x:c>
      <x:c r="J378"/>
      <x:c r="K378" s="4"/>
      <x:c r="L378" s="4"/>
      <x:c r="M378" s="4"/>
      <x:c r="N378" s="5"/>
    </x:row>
    <x:row r="379" ht="24" customHeight="1">
      <x:c r="A379" s="1" t="str">
        <x:v>RESULT</x:v>
      </x:c>
      <x:c r="B379" s="1" t="str">
        <x:v>Round1</x:v>
      </x:c>
      <x:c r="C379" s="1" t="str">
        <x:v>JacksonCore_2</x:v>
      </x:c>
      <x:c r="D379" s="1" t="str">
        <x:v>NOT_AVAILABLE</x:v>
      </x:c>
      <x:c r="E379" s="5"/>
      <x:c r="F379" s="4" t="n">
        <x:v>0</x:v>
      </x:c>
      <x:c r="G379" s="4" t="n">
        <x:v>39207</x:v>
      </x:c>
      <x:c r="H379" s="6" t="n">
        <x:v>188.86</x:v>
      </x:c>
      <x:c r="I379" s="16" t="n">
        <x:v>1</x:v>
      </x:c>
      <x:c r="J379"/>
      <x:c r="K379" s="4"/>
      <x:c r="L379" s="4"/>
      <x:c r="M379" s="4"/>
      <x:c r="N379" s="5"/>
    </x:row>
    <x:row r="380" ht="24" customHeight="1">
      <x:c r="A380" s="1" t="str">
        <x:v>RESULT</x:v>
      </x:c>
      <x:c r="B380" s="1" t="str">
        <x:v>Round1</x:v>
      </x:c>
      <x:c r="C380" s="1" t="str">
        <x:v>JacksonCore_20</x:v>
      </x:c>
      <x:c r="D380" s="1" t="str">
        <x:v>NOT_AVAILABLE</x:v>
      </x:c>
      <x:c r="E380" s="5"/>
      <x:c r="F380" s="4" t="n">
        <x:v>0</x:v>
      </x:c>
      <x:c r="G380" s="4" t="n">
        <x:v>11348</x:v>
      </x:c>
      <x:c r="H380" s="6" t="n">
        <x:v>249.52</x:v>
      </x:c>
      <x:c r="I380" s="16" t="n">
        <x:v>1</x:v>
      </x:c>
      <x:c r="J380"/>
      <x:c r="K380" s="4"/>
      <x:c r="L380" s="4"/>
      <x:c r="M380" s="4"/>
      <x:c r="N380" s="5"/>
    </x:row>
    <x:row r="381" ht="24" customHeight="1">
      <x:c r="A381" s="1" t="str">
        <x:v>RESULT</x:v>
      </x:c>
      <x:c r="B381" s="1" t="str">
        <x:v>Round1</x:v>
      </x:c>
      <x:c r="C381" s="1" t="str">
        <x:v>JacksonCore_21</x:v>
      </x:c>
      <x:c r="D381" s="1" t="str">
        <x:v>NOT_AVAILABLE</x:v>
      </x:c>
      <x:c r="E381" s="5"/>
      <x:c r="F381" s="4" t="n">
        <x:v>0</x:v>
      </x:c>
      <x:c r="G381" s="4" t="n">
        <x:v>9229</x:v>
      </x:c>
      <x:c r="H381" s="6" t="n">
        <x:v>124.62</x:v>
      </x:c>
      <x:c r="I381" s="16" t="n">
        <x:v>1</x:v>
      </x:c>
      <x:c r="J381"/>
      <x:c r="K381" s="4"/>
      <x:c r="L381" s="4"/>
      <x:c r="M381" s="4"/>
      <x:c r="N381" s="5"/>
    </x:row>
    <x:row r="382" ht="24" customHeight="1">
      <x:c r="A382" s="1" t="str">
        <x:v>RESULT</x:v>
      </x:c>
      <x:c r="B382" s="1" t="str">
        <x:v>Round1</x:v>
      </x:c>
      <x:c r="C382" s="1" t="str">
        <x:v>JacksonCore_22</x:v>
      </x:c>
      <x:c r="D382" s="1" t="str">
        <x:v>NOT_AVAILABLE</x:v>
      </x:c>
      <x:c r="E382" s="5"/>
      <x:c r="F382" s="4" t="n">
        <x:v>0</x:v>
      </x:c>
      <x:c r="G382" s="4" t="n">
        <x:v>10752</x:v>
      </x:c>
      <x:c r="H382" s="6" t="n">
        <x:v>187</x:v>
      </x:c>
      <x:c r="I382" s="16" t="n">
        <x:v>1</x:v>
      </x:c>
      <x:c r="J382"/>
      <x:c r="K382" s="4"/>
      <x:c r="L382" s="4"/>
      <x:c r="M382" s="4"/>
      <x:c r="N382" s="5"/>
    </x:row>
    <x:row r="383" ht="24" customHeight="1">
      <x:c r="A383" s="1" t="str">
        <x:v>RESULT</x:v>
      </x:c>
      <x:c r="B383" s="1" t="str">
        <x:v>Round1</x:v>
      </x:c>
      <x:c r="C383" s="1" t="str">
        <x:v>JacksonCore_23</x:v>
      </x:c>
      <x:c r="D383" s="1" t="str">
        <x:v>NOT_AVAILABLE</x:v>
      </x:c>
      <x:c r="E383" s="5"/>
      <x:c r="F383" s="4" t="n">
        <x:v>0</x:v>
      </x:c>
      <x:c r="G383" s="4" t="n">
        <x:v>7731</x:v>
      </x:c>
      <x:c r="H383" s="6" t="n">
        <x:v>144.07</x:v>
      </x:c>
      <x:c r="I383" s="16" t="n">
        <x:v>1</x:v>
      </x:c>
      <x:c r="J383"/>
      <x:c r="K383" s="4"/>
      <x:c r="L383" s="4"/>
      <x:c r="M383" s="4"/>
      <x:c r="N383" s="5"/>
    </x:row>
    <x:row r="384" ht="24" customHeight="1">
      <x:c r="A384" s="1" t="str">
        <x:v>RESULT</x:v>
      </x:c>
      <x:c r="B384" s="1" t="str">
        <x:v>Round1</x:v>
      </x:c>
      <x:c r="C384" s="1" t="str">
        <x:v>JacksonCore_24</x:v>
      </x:c>
      <x:c r="D384" s="1" t="str">
        <x:v>NOT_AVAILABLE</x:v>
      </x:c>
      <x:c r="E384" s="5"/>
      <x:c r="F384" s="4" t="n">
        <x:v>0</x:v>
      </x:c>
      <x:c r="G384" s="4" t="n">
        <x:v>23375</x:v>
      </x:c>
      <x:c r="H384" s="6" t="n">
        <x:v>368.1</x:v>
      </x:c>
      <x:c r="I384" s="16" t="n">
        <x:v>1</x:v>
      </x:c>
      <x:c r="J384"/>
      <x:c r="K384" s="4"/>
      <x:c r="L384" s="4"/>
      <x:c r="M384" s="4"/>
      <x:c r="N384" s="5"/>
    </x:row>
    <x:row r="385" ht="24" customHeight="1">
      <x:c r="A385" s="1" t="str">
        <x:v>RESULT</x:v>
      </x:c>
      <x:c r="B385" s="1" t="str">
        <x:v>Round1</x:v>
      </x:c>
      <x:c r="C385" s="1" t="str">
        <x:v>JacksonCore_25</x:v>
      </x:c>
      <x:c r="D385" s="1" t="str">
        <x:v>NOT_AVAILABLE</x:v>
      </x:c>
      <x:c r="E385" s="5"/>
      <x:c r="F385" s="4" t="n">
        <x:v>0</x:v>
      </x:c>
      <x:c r="G385" s="4" t="n">
        <x:v>24952</x:v>
      </x:c>
      <x:c r="H385" s="6" t="n">
        <x:v>91.4</x:v>
      </x:c>
      <x:c r="I385" s="16" t="n">
        <x:v>1</x:v>
      </x:c>
      <x:c r="J385"/>
      <x:c r="K385" s="4"/>
      <x:c r="L385" s="4"/>
      <x:c r="M385" s="4"/>
      <x:c r="N385" s="5"/>
    </x:row>
    <x:row r="386" ht="24" customHeight="1">
      <x:c r="A386" s="1" t="str">
        <x:v>RESULT</x:v>
      </x:c>
      <x:c r="B386" s="1" t="str">
        <x:v>Round1</x:v>
      </x:c>
      <x:c r="C386" s="1" t="str">
        <x:v>JacksonCore_26</x:v>
      </x:c>
      <x:c r="D386" s="1" t="str">
        <x:v>INCONCLUSIVE</x:v>
      </x:c>
      <x:c r="E386" s="5" t="n">
        <x:v>0.1404</x:v>
      </x:c>
      <x:c r="F386" s="4" t="n">
        <x:v>0</x:v>
      </x:c>
      <x:c r="G386" s="4" t="n">
        <x:v>26360</x:v>
      </x:c>
      <x:c r="H386" s="6" t="n">
        <x:v>66.37</x:v>
      </x:c>
      <x:c r="I386" s="16" t="n">
        <x:v>1</x:v>
      </x:c>
      <x:c r="J386" t="n">
        <x:v>1482</x:v>
      </x:c>
      <x:c r="K386" s="4" t="n">
        <x:v>208</x:v>
      </x:c>
      <x:c r="L386" s="4" t="n">
        <x:v>951</x:v>
      </x:c>
      <x:c r="M386" s="4" t="n">
        <x:v>101</x:v>
      </x:c>
      <x:c r="N386" s="5" t="n">
        <x:v>0.10619999999999999</x:v>
      </x:c>
    </x:row>
    <x:row r="387" ht="24" customHeight="1">
      <x:c r="A387" s="1" t="str">
        <x:v>RESULT</x:v>
      </x:c>
      <x:c r="B387" s="1" t="str">
        <x:v>Round1</x:v>
      </x:c>
      <x:c r="C387" s="1" t="str">
        <x:v>JacksonCore_3</x:v>
      </x:c>
      <x:c r="D387" s="1" t="str">
        <x:v>NOT_AVAILABLE</x:v>
      </x:c>
      <x:c r="E387" s="5"/>
      <x:c r="F387" s="4" t="n">
        <x:v>0</x:v>
      </x:c>
      <x:c r="G387" s="4" t="n">
        <x:v>25167</x:v>
      </x:c>
      <x:c r="H387" s="6" t="n">
        <x:v>115.17</x:v>
      </x:c>
      <x:c r="I387" s="16" t="n">
        <x:v>1</x:v>
      </x:c>
      <x:c r="J387"/>
      <x:c r="K387" s="4"/>
      <x:c r="L387" s="4"/>
      <x:c r="M387" s="4"/>
      <x:c r="N387" s="5"/>
    </x:row>
    <x:row r="388" ht="24" customHeight="1">
      <x:c r="A388" s="1" t="str">
        <x:v>RESULT</x:v>
      </x:c>
      <x:c r="B388" s="1" t="str">
        <x:v>Round1</x:v>
      </x:c>
      <x:c r="C388" s="1" t="str">
        <x:v>JacksonCore_4</x:v>
      </x:c>
      <x:c r="D388" s="1" t="str">
        <x:v>NOT_AVAILABLE</x:v>
      </x:c>
      <x:c r="E388" s="5"/>
      <x:c r="F388" s="4" t="n">
        <x:v>0</x:v>
      </x:c>
      <x:c r="G388" s="4" t="n">
        <x:v>8796</x:v>
      </x:c>
      <x:c r="H388" s="6" t="n">
        <x:v>78.71</x:v>
      </x:c>
      <x:c r="I388" s="16" t="n">
        <x:v>1</x:v>
      </x:c>
      <x:c r="J388"/>
      <x:c r="K388" s="4"/>
      <x:c r="L388" s="4"/>
      <x:c r="M388" s="4"/>
      <x:c r="N388" s="5"/>
    </x:row>
    <x:row r="389" ht="24" customHeight="1">
      <x:c r="A389" s="1" t="str">
        <x:v>RESULT</x:v>
      </x:c>
      <x:c r="B389" s="1" t="str">
        <x:v>Round1</x:v>
      </x:c>
      <x:c r="C389" s="1" t="str">
        <x:v>JacksonCore_5</x:v>
      </x:c>
      <x:c r="D389" s="1" t="str">
        <x:v>NOT_AVAILABLE</x:v>
      </x:c>
      <x:c r="E389" s="5"/>
      <x:c r="F389" s="4" t="n">
        <x:v>0</x:v>
      </x:c>
      <x:c r="G389" s="4" t="n">
        <x:v>5259</x:v>
      </x:c>
      <x:c r="H389" s="6" t="n">
        <x:v>70.73</x:v>
      </x:c>
      <x:c r="I389" s="16" t="n">
        <x:v>1</x:v>
      </x:c>
      <x:c r="J389"/>
      <x:c r="K389" s="4"/>
      <x:c r="L389" s="4"/>
      <x:c r="M389" s="4"/>
      <x:c r="N389" s="5"/>
    </x:row>
    <x:row r="390" ht="24" customHeight="1">
      <x:c r="A390" s="1" t="str">
        <x:v>RESULT</x:v>
      </x:c>
      <x:c r="B390" s="1" t="str">
        <x:v>Round1</x:v>
      </x:c>
      <x:c r="C390" s="1" t="str">
        <x:v>JacksonCore_6</x:v>
      </x:c>
      <x:c r="D390" s="1" t="str">
        <x:v>INCONCLUSIVE</x:v>
      </x:c>
      <x:c r="E390" s="5" t="n">
        <x:v>0.9523999999999999</x:v>
      </x:c>
      <x:c r="F390" s="4" t="n">
        <x:v>0</x:v>
      </x:c>
      <x:c r="G390" s="4" t="n">
        <x:v>4525</x:v>
      </x:c>
      <x:c r="H390" s="6" t="n">
        <x:v>43.93</x:v>
      </x:c>
      <x:c r="I390" s="16" t="n">
        <x:v>1</x:v>
      </x:c>
      <x:c r="J390" t="n">
        <x:v>84</x:v>
      </x:c>
      <x:c r="K390" s="4" t="n">
        <x:v>80</x:v>
      </x:c>
      <x:c r="L390" s="4" t="n">
        <x:v>62</x:v>
      </x:c>
      <x:c r="M390" s="4" t="n">
        <x:v>54</x:v>
      </x:c>
      <x:c r="N390" s="5" t="n">
        <x:v>0.871</x:v>
      </x:c>
    </x:row>
    <x:row r="391" ht="24" customHeight="1">
      <x:c r="A391" s="1" t="str">
        <x:v>RESULT</x:v>
      </x:c>
      <x:c r="B391" s="1" t="str">
        <x:v>Round1</x:v>
      </x:c>
      <x:c r="C391" s="1" t="str">
        <x:v>JacksonCore_7</x:v>
      </x:c>
      <x:c r="D391" s="1" t="str">
        <x:v>NOT_AVAILABLE</x:v>
      </x:c>
      <x:c r="E391" s="5"/>
      <x:c r="F391" s="4" t="n">
        <x:v>0</x:v>
      </x:c>
      <x:c r="G391" s="4" t="n">
        <x:v>4844</x:v>
      </x:c>
      <x:c r="H391" s="6" t="n">
        <x:v>72.19</x:v>
      </x:c>
      <x:c r="I391" s="16" t="n">
        <x:v>1</x:v>
      </x:c>
      <x:c r="J391"/>
      <x:c r="K391" s="4"/>
      <x:c r="L391" s="4"/>
      <x:c r="M391" s="4"/>
      <x:c r="N391" s="5"/>
    </x:row>
    <x:row r="392" ht="24" customHeight="1">
      <x:c r="A392" s="1" t="str">
        <x:v>RESULT</x:v>
      </x:c>
      <x:c r="B392" s="1" t="str">
        <x:v>Round1</x:v>
      </x:c>
      <x:c r="C392" s="1" t="str">
        <x:v>JacksonCore_8</x:v>
      </x:c>
      <x:c r="D392" s="1" t="str">
        <x:v>INCONCLUSIVE</x:v>
      </x:c>
      <x:c r="E392" s="5" t="n">
        <x:v>0.6052000000000001</x:v>
      </x:c>
      <x:c r="F392" s="4" t="n">
        <x:v>0</x:v>
      </x:c>
      <x:c r="G392" s="4" t="n">
        <x:v>9426</x:v>
      </x:c>
      <x:c r="H392" s="6" t="n">
        <x:v>104.46</x:v>
      </x:c>
      <x:c r="I392" s="16" t="n">
        <x:v>1</x:v>
      </x:c>
      <x:c r="J392" t="n">
        <x:v>271</x:v>
      </x:c>
      <x:c r="K392" s="4" t="n">
        <x:v>164</x:v>
      </x:c>
      <x:c r="L392" s="4" t="n">
        <x:v>138</x:v>
      </x:c>
      <x:c r="M392" s="4" t="n">
        <x:v>67</x:v>
      </x:c>
      <x:c r="N392" s="5" t="n">
        <x:v>0.4855</x:v>
      </x:c>
    </x:row>
    <x:row r="393" ht="24" customHeight="1">
      <x:c r="A393" s="1" t="str">
        <x:v>RESULT</x:v>
      </x:c>
      <x:c r="B393" s="1" t="str">
        <x:v>Round1</x:v>
      </x:c>
      <x:c r="C393" s="1" t="str">
        <x:v>JacksonCore_9</x:v>
      </x:c>
      <x:c r="D393" s="1" t="str">
        <x:v>NOT_AVAILABLE</x:v>
      </x:c>
      <x:c r="E393" s="5"/>
      <x:c r="F393" s="4" t="n">
        <x:v>0</x:v>
      </x:c>
      <x:c r="G393" s="4" t="n">
        <x:v>54816</x:v>
      </x:c>
      <x:c r="H393" s="6" t="n">
        <x:v>298.88</x:v>
      </x:c>
      <x:c r="I393" s="16" t="n">
        <x:v>1</x:v>
      </x:c>
      <x:c r="J393"/>
      <x:c r="K393" s="4"/>
      <x:c r="L393" s="4"/>
      <x:c r="M393" s="4"/>
      <x:c r="N393" s="5"/>
    </x:row>
    <x:row r="394" ht="24" customHeight="1">
      <x:c r="A394" s="1" t="str">
        <x:v>RESULT</x:v>
      </x:c>
      <x:c r="B394" s="1" t="str">
        <x:v>Round1</x:v>
      </x:c>
      <x:c r="C394" s="1" t="str">
        <x:v>JacksonDatabind_1</x:v>
      </x:c>
      <x:c r="D394" s="1" t="str">
        <x:v>NOT_AVAILABLE</x:v>
      </x:c>
      <x:c r="E394" s="5"/>
      <x:c r="F394" s="4" t="n">
        <x:v>0</x:v>
      </x:c>
      <x:c r="G394" s="4" t="n">
        <x:v>11178</x:v>
      </x:c>
      <x:c r="H394" s="6" t="n">
        <x:v>193.51</x:v>
      </x:c>
      <x:c r="I394" s="16" t="n">
        <x:v>1</x:v>
      </x:c>
      <x:c r="J394"/>
      <x:c r="K394" s="4"/>
      <x:c r="L394" s="4"/>
      <x:c r="M394" s="4"/>
      <x:c r="N394" s="5"/>
    </x:row>
    <x:row r="395" ht="24" customHeight="1">
      <x:c r="A395" s="1" t="str">
        <x:v>RESULT</x:v>
      </x:c>
      <x:c r="B395" s="1" t="str">
        <x:v>Round1</x:v>
      </x:c>
      <x:c r="C395" s="1" t="str">
        <x:v>JacksonDatabind_10</x:v>
      </x:c>
      <x:c r="D395" s="1" t="str">
        <x:v>NOT_AVAILABLE</x:v>
      </x:c>
      <x:c r="E395" s="5"/>
      <x:c r="F395" s="4" t="n">
        <x:v>0</x:v>
      </x:c>
      <x:c r="G395" s="4" t="n">
        <x:v>12959</x:v>
      </x:c>
      <x:c r="H395" s="6" t="n">
        <x:v>228.31</x:v>
      </x:c>
      <x:c r="I395" s="16" t="n">
        <x:v>1</x:v>
      </x:c>
      <x:c r="J395"/>
      <x:c r="K395" s="4"/>
      <x:c r="L395" s="4"/>
      <x:c r="M395" s="4"/>
      <x:c r="N395" s="5"/>
    </x:row>
    <x:row r="396" ht="24" customHeight="1">
      <x:c r="A396" s="1" t="str">
        <x:v>RESULT</x:v>
      </x:c>
      <x:c r="B396" s="1" t="str">
        <x:v>Round1</x:v>
      </x:c>
      <x:c r="C396" s="1" t="str">
        <x:v>JacksonDatabind_100</x:v>
      </x:c>
      <x:c r="D396" s="1" t="str">
        <x:v>NOT_AVAILABLE</x:v>
      </x:c>
      <x:c r="E396" s="5"/>
      <x:c r="F396" s="4" t="n">
        <x:v>0</x:v>
      </x:c>
      <x:c r="G396" s="4" t="n">
        <x:v>6790</x:v>
      </x:c>
      <x:c r="H396" s="6" t="n">
        <x:v>122.61</x:v>
      </x:c>
      <x:c r="I396" s="16" t="n">
        <x:v>1</x:v>
      </x:c>
      <x:c r="J396"/>
      <x:c r="K396" s="4"/>
      <x:c r="L396" s="4"/>
      <x:c r="M396" s="4"/>
      <x:c r="N396" s="5"/>
    </x:row>
    <x:row r="397" ht="24" customHeight="1">
      <x:c r="A397" s="1" t="str">
        <x:v>RESULT</x:v>
      </x:c>
      <x:c r="B397" s="1" t="str">
        <x:v>Round1</x:v>
      </x:c>
      <x:c r="C397" s="1" t="str">
        <x:v>JacksonDatabind_101</x:v>
      </x:c>
      <x:c r="D397" s="1" t="str">
        <x:v>NOT_AVAILABLE</x:v>
      </x:c>
      <x:c r="E397" s="5"/>
      <x:c r="F397" s="4" t="n">
        <x:v>0</x:v>
      </x:c>
      <x:c r="G397" s="4" t="n">
        <x:v>10850</x:v>
      </x:c>
      <x:c r="H397" s="6" t="n">
        <x:v>131.3</x:v>
      </x:c>
      <x:c r="I397" s="16" t="n">
        <x:v>1</x:v>
      </x:c>
      <x:c r="J397"/>
      <x:c r="K397" s="4"/>
      <x:c r="L397" s="4"/>
      <x:c r="M397" s="4"/>
      <x:c r="N397" s="5"/>
    </x:row>
    <x:row r="398" ht="24" customHeight="1">
      <x:c r="A398" s="1" t="str">
        <x:v>RESULT</x:v>
      </x:c>
      <x:c r="B398" s="1" t="str">
        <x:v>Round1</x:v>
      </x:c>
      <x:c r="C398" s="1" t="str">
        <x:v>JacksonDatabind_102</x:v>
      </x:c>
      <x:c r="D398" s="1" t="str">
        <x:v>NOT_AVAILABLE</x:v>
      </x:c>
      <x:c r="E398" s="5"/>
      <x:c r="F398" s="4" t="n">
        <x:v>0</x:v>
      </x:c>
      <x:c r="G398" s="4" t="n">
        <x:v>5770</x:v>
      </x:c>
      <x:c r="H398" s="6" t="n">
        <x:v>106.89</x:v>
      </x:c>
      <x:c r="I398" s="16" t="n">
        <x:v>1</x:v>
      </x:c>
      <x:c r="J398"/>
      <x:c r="K398" s="4"/>
      <x:c r="L398" s="4"/>
      <x:c r="M398" s="4"/>
      <x:c r="N398" s="5"/>
    </x:row>
    <x:row r="399" ht="24" customHeight="1">
      <x:c r="A399" s="1" t="str">
        <x:v>RESULT</x:v>
      </x:c>
      <x:c r="B399" s="1" t="str">
        <x:v>Round1</x:v>
      </x:c>
      <x:c r="C399" s="1" t="str">
        <x:v>JacksonDatabind_103</x:v>
      </x:c>
      <x:c r="D399" s="1" t="str">
        <x:v>NOT_AVAILABLE</x:v>
      </x:c>
      <x:c r="E399" s="5"/>
      <x:c r="F399" s="4" t="n">
        <x:v>0</x:v>
      </x:c>
      <x:c r="G399" s="4" t="n">
        <x:v>162360</x:v>
      </x:c>
      <x:c r="H399" s="6" t="n">
        <x:v>2297.41</x:v>
      </x:c>
      <x:c r="I399" s="16" t="n">
        <x:v>1</x:v>
      </x:c>
      <x:c r="J399"/>
      <x:c r="K399" s="4"/>
      <x:c r="L399" s="4"/>
      <x:c r="M399" s="4"/>
      <x:c r="N399" s="5"/>
    </x:row>
    <x:row r="400" ht="24" customHeight="1">
      <x:c r="A400" s="1" t="str">
        <x:v>RESULT</x:v>
      </x:c>
      <x:c r="B400" s="1" t="str">
        <x:v>Round1</x:v>
      </x:c>
      <x:c r="C400" s="1" t="str">
        <x:v>JacksonDatabind_104</x:v>
      </x:c>
      <x:c r="D400" s="1" t="str">
        <x:v>NOT_AVAILABLE</x:v>
      </x:c>
      <x:c r="E400" s="5"/>
      <x:c r="F400" s="4" t="n">
        <x:v>0</x:v>
      </x:c>
      <x:c r="G400" s="4" t="n">
        <x:v>7484</x:v>
      </x:c>
      <x:c r="H400" s="6" t="n">
        <x:v>67.78</x:v>
      </x:c>
      <x:c r="I400" s="16" t="n">
        <x:v>1</x:v>
      </x:c>
      <x:c r="J400"/>
      <x:c r="K400" s="4"/>
      <x:c r="L400" s="4"/>
      <x:c r="M400" s="4"/>
      <x:c r="N400" s="5"/>
    </x:row>
    <x:row r="401" ht="24" customHeight="1">
      <x:c r="A401" s="1" t="str">
        <x:v>RESULT</x:v>
      </x:c>
      <x:c r="B401" s="1" t="str">
        <x:v>Round1</x:v>
      </x:c>
      <x:c r="C401" s="1" t="str">
        <x:v>JacksonDatabind_105</x:v>
      </x:c>
      <x:c r="D401" s="1" t="str">
        <x:v>INCONCLUSIVE</x:v>
      </x:c>
      <x:c r="E401" s="5" t="n">
        <x:v>0.8946999999999999</x:v>
      </x:c>
      <x:c r="F401" s="4" t="n">
        <x:v>0</x:v>
      </x:c>
      <x:c r="G401" s="4" t="n">
        <x:v>2205</x:v>
      </x:c>
      <x:c r="H401" s="6" t="n">
        <x:v>17.89</x:v>
      </x:c>
      <x:c r="I401" s="16" t="n">
        <x:v>1</x:v>
      </x:c>
      <x:c r="J401" t="n">
        <x:v>19</x:v>
      </x:c>
      <x:c r="K401" s="4" t="n">
        <x:v>17</x:v>
      </x:c>
      <x:c r="L401" s="4" t="n">
        <x:v>12</x:v>
      </x:c>
      <x:c r="M401" s="4" t="n">
        <x:v>10</x:v>
      </x:c>
      <x:c r="N401" s="5" t="n">
        <x:v>0.8332999999999999</x:v>
      </x:c>
    </x:row>
    <x:row r="402" ht="24" customHeight="1">
      <x:c r="A402" s="1" t="str">
        <x:v>RESULT</x:v>
      </x:c>
      <x:c r="B402" s="1" t="str">
        <x:v>Round1</x:v>
      </x:c>
      <x:c r="C402" s="1" t="str">
        <x:v>JacksonDatabind_106</x:v>
      </x:c>
      <x:c r="D402" s="1" t="str">
        <x:v>NOT_AVAILABLE</x:v>
      </x:c>
      <x:c r="E402" s="5"/>
      <x:c r="F402" s="4" t="n">
        <x:v>0</x:v>
      </x:c>
      <x:c r="G402" s="4" t="n">
        <x:v>14175</x:v>
      </x:c>
      <x:c r="H402" s="6" t="n">
        <x:v>333.32</x:v>
      </x:c>
      <x:c r="I402" s="16" t="n">
        <x:v>1</x:v>
      </x:c>
      <x:c r="J402"/>
      <x:c r="K402" s="4"/>
      <x:c r="L402" s="4"/>
      <x:c r="M402" s="4"/>
      <x:c r="N402" s="5"/>
    </x:row>
    <x:row r="403" ht="24" customHeight="1">
      <x:c r="A403" s="1" t="str">
        <x:v>RESULT</x:v>
      </x:c>
      <x:c r="B403" s="1" t="str">
        <x:v>Round1</x:v>
      </x:c>
      <x:c r="C403" s="1" t="str">
        <x:v>JacksonDatabind_107</x:v>
      </x:c>
      <x:c r="D403" s="1" t="str">
        <x:v>NOT_AVAILABLE</x:v>
      </x:c>
      <x:c r="E403" s="5"/>
      <x:c r="F403" s="4" t="n">
        <x:v>0</x:v>
      </x:c>
      <x:c r="G403" s="4" t="n">
        <x:v>6855</x:v>
      </x:c>
      <x:c r="H403" s="6" t="n">
        <x:v>96.53</x:v>
      </x:c>
      <x:c r="I403" s="16" t="n">
        <x:v>1</x:v>
      </x:c>
      <x:c r="J403"/>
      <x:c r="K403" s="4"/>
      <x:c r="L403" s="4"/>
      <x:c r="M403" s="4"/>
      <x:c r="N403" s="5"/>
    </x:row>
    <x:row r="404" ht="24" customHeight="1">
      <x:c r="A404" s="1" t="str">
        <x:v>RESULT</x:v>
      </x:c>
      <x:c r="B404" s="1" t="str">
        <x:v>Round1</x:v>
      </x:c>
      <x:c r="C404" s="1" t="str">
        <x:v>JacksonDatabind_108</x:v>
      </x:c>
      <x:c r="D404" s="1" t="str">
        <x:v>NOT_AVAILABLE</x:v>
      </x:c>
      <x:c r="E404" s="5"/>
      <x:c r="F404" s="4" t="n">
        <x:v>0</x:v>
      </x:c>
      <x:c r="G404" s="4" t="n">
        <x:v>18257</x:v>
      </x:c>
      <x:c r="H404" s="6" t="n">
        <x:v>293.89</x:v>
      </x:c>
      <x:c r="I404" s="16" t="n">
        <x:v>1</x:v>
      </x:c>
      <x:c r="J404"/>
      <x:c r="K404" s="4"/>
      <x:c r="L404" s="4"/>
      <x:c r="M404" s="4"/>
      <x:c r="N404" s="5"/>
    </x:row>
    <x:row r="405" ht="24" customHeight="1">
      <x:c r="A405" s="1" t="str">
        <x:v>RESULT</x:v>
      </x:c>
      <x:c r="B405" s="1" t="str">
        <x:v>Round1</x:v>
      </x:c>
      <x:c r="C405" s="1" t="str">
        <x:v>JacksonDatabind_109</x:v>
      </x:c>
      <x:c r="D405" s="1" t="str">
        <x:v>NOT_AVAILABLE</x:v>
      </x:c>
      <x:c r="E405" s="5"/>
      <x:c r="F405" s="4" t="n">
        <x:v>0</x:v>
      </x:c>
      <x:c r="G405" s="4" t="n">
        <x:v>11969</x:v>
      </x:c>
      <x:c r="H405" s="6" t="n">
        <x:v>224.83</x:v>
      </x:c>
      <x:c r="I405" s="16" t="n">
        <x:v>1</x:v>
      </x:c>
      <x:c r="J405"/>
      <x:c r="K405" s="4"/>
      <x:c r="L405" s="4"/>
      <x:c r="M405" s="4"/>
      <x:c r="N405" s="5"/>
    </x:row>
    <x:row r="406" ht="24" customHeight="1">
      <x:c r="A406" s="1" t="str">
        <x:v>RESULT</x:v>
      </x:c>
      <x:c r="B406" s="1" t="str">
        <x:v>Round1</x:v>
      </x:c>
      <x:c r="C406" s="1" t="str">
        <x:v>JacksonDatabind_11</x:v>
      </x:c>
      <x:c r="D406" s="1" t="str">
        <x:v>NOT_AVAILABLE</x:v>
      </x:c>
      <x:c r="E406" s="5"/>
      <x:c r="F406" s="4" t="n">
        <x:v>0</x:v>
      </x:c>
      <x:c r="G406" s="4" t="n">
        <x:v>9895</x:v>
      </x:c>
      <x:c r="H406" s="6" t="n">
        <x:v>108.29</x:v>
      </x:c>
      <x:c r="I406" s="16" t="n">
        <x:v>1</x:v>
      </x:c>
      <x:c r="J406"/>
      <x:c r="K406" s="4"/>
      <x:c r="L406" s="4"/>
      <x:c r="M406" s="4"/>
      <x:c r="N406" s="5"/>
    </x:row>
    <x:row r="407" ht="24" customHeight="1">
      <x:c r="A407" s="1" t="str">
        <x:v>RESULT</x:v>
      </x:c>
      <x:c r="B407" s="1" t="str">
        <x:v>Round1</x:v>
      </x:c>
      <x:c r="C407" s="1" t="str">
        <x:v>JacksonDatabind_110</x:v>
      </x:c>
      <x:c r="D407" s="1" t="str">
        <x:v>NOT_AVAILABLE</x:v>
      </x:c>
      <x:c r="E407" s="5"/>
      <x:c r="F407" s="4" t="n">
        <x:v>0</x:v>
      </x:c>
      <x:c r="G407" s="4" t="n">
        <x:v>5379</x:v>
      </x:c>
      <x:c r="H407" s="6" t="n">
        <x:v>70.89</x:v>
      </x:c>
      <x:c r="I407" s="16" t="n">
        <x:v>1</x:v>
      </x:c>
      <x:c r="J407"/>
      <x:c r="K407" s="4"/>
      <x:c r="L407" s="4"/>
      <x:c r="M407" s="4"/>
      <x:c r="N407" s="5"/>
    </x:row>
    <x:row r="408" ht="24" customHeight="1">
      <x:c r="A408" s="1" t="str">
        <x:v>RESULT</x:v>
      </x:c>
      <x:c r="B408" s="1" t="str">
        <x:v>Round1</x:v>
      </x:c>
      <x:c r="C408" s="1" t="str">
        <x:v>JacksonDatabind_111</x:v>
      </x:c>
      <x:c r="D408" s="1" t="str">
        <x:v>NOT_AVAILABLE</x:v>
      </x:c>
      <x:c r="E408" s="5"/>
      <x:c r="F408" s="4" t="n">
        <x:v>0</x:v>
      </x:c>
      <x:c r="G408" s="4" t="n">
        <x:v>41383</x:v>
      </x:c>
      <x:c r="H408" s="6" t="n">
        <x:v>805.16</x:v>
      </x:c>
      <x:c r="I408" s="16" t="n">
        <x:v>1</x:v>
      </x:c>
      <x:c r="J408"/>
      <x:c r="K408" s="4"/>
      <x:c r="L408" s="4"/>
      <x:c r="M408" s="4"/>
      <x:c r="N408" s="5"/>
    </x:row>
    <x:row r="409" ht="24" customHeight="1">
      <x:c r="A409" s="1" t="str">
        <x:v>RESULT</x:v>
      </x:c>
      <x:c r="B409" s="1" t="str">
        <x:v>Round1</x:v>
      </x:c>
      <x:c r="C409" s="1" t="str">
        <x:v>JacksonDatabind_112</x:v>
      </x:c>
      <x:c r="D409" s="1" t="str">
        <x:v>NOT_AVAILABLE</x:v>
      </x:c>
      <x:c r="E409" s="5"/>
      <x:c r="F409" s="4" t="n">
        <x:v>0</x:v>
      </x:c>
      <x:c r="G409" s="4" t="n">
        <x:v>7032</x:v>
      </x:c>
      <x:c r="H409" s="6" t="n">
        <x:v>103.67</x:v>
      </x:c>
      <x:c r="I409" s="16" t="n">
        <x:v>1</x:v>
      </x:c>
      <x:c r="J409"/>
      <x:c r="K409" s="4"/>
      <x:c r="L409" s="4"/>
      <x:c r="M409" s="4"/>
      <x:c r="N409" s="5"/>
    </x:row>
    <x:row r="410" ht="24" customHeight="1">
      <x:c r="A410" s="1" t="str">
        <x:v>RESULT</x:v>
      </x:c>
      <x:c r="B410" s="1" t="str">
        <x:v>Round1</x:v>
      </x:c>
      <x:c r="C410" s="1" t="str">
        <x:v>JacksonDatabind_12</x:v>
      </x:c>
      <x:c r="D410" s="1" t="str">
        <x:v>NOT_AVAILABLE</x:v>
      </x:c>
      <x:c r="E410" s="5"/>
      <x:c r="F410" s="4" t="n">
        <x:v>0</x:v>
      </x:c>
      <x:c r="G410" s="4" t="n">
        <x:v>13547</x:v>
      </x:c>
      <x:c r="H410" s="6" t="n">
        <x:v>66.85</x:v>
      </x:c>
      <x:c r="I410" s="16" t="n">
        <x:v>1</x:v>
      </x:c>
      <x:c r="J410"/>
      <x:c r="K410" s="4"/>
      <x:c r="L410" s="4"/>
      <x:c r="M410" s="4"/>
      <x:c r="N410" s="5"/>
    </x:row>
    <x:row r="411" ht="24" customHeight="1">
      <x:c r="A411" s="1" t="str">
        <x:v>RESULT</x:v>
      </x:c>
      <x:c r="B411" s="1" t="str">
        <x:v>Round1</x:v>
      </x:c>
      <x:c r="C411" s="1" t="str">
        <x:v>JacksonDatabind_13</x:v>
      </x:c>
      <x:c r="D411" s="1" t="str">
        <x:v>NOT_AVAILABLE</x:v>
      </x:c>
      <x:c r="E411" s="5"/>
      <x:c r="F411" s="4" t="n">
        <x:v>0</x:v>
      </x:c>
      <x:c r="G411" s="4" t="n">
        <x:v>9422</x:v>
      </x:c>
      <x:c r="H411" s="6" t="n">
        <x:v>112.02</x:v>
      </x:c>
      <x:c r="I411" s="16" t="n">
        <x:v>1</x:v>
      </x:c>
      <x:c r="J411"/>
      <x:c r="K411" s="4"/>
      <x:c r="L411" s="4"/>
      <x:c r="M411" s="4"/>
      <x:c r="N411" s="5"/>
    </x:row>
    <x:row r="412" ht="24" customHeight="1">
      <x:c r="A412" s="1" t="str">
        <x:v>RESULT</x:v>
      </x:c>
      <x:c r="B412" s="1" t="str">
        <x:v>Round1</x:v>
      </x:c>
      <x:c r="C412" s="1" t="str">
        <x:v>JacksonDatabind_14</x:v>
      </x:c>
      <x:c r="D412" s="1" t="str">
        <x:v>NOT_AVAILABLE</x:v>
      </x:c>
      <x:c r="E412" s="5"/>
      <x:c r="F412" s="4" t="n">
        <x:v>0</x:v>
      </x:c>
      <x:c r="G412" s="4" t="n">
        <x:v>15122</x:v>
      </x:c>
      <x:c r="H412" s="6" t="n">
        <x:v>188.53</x:v>
      </x:c>
      <x:c r="I412" s="16" t="n">
        <x:v>1</x:v>
      </x:c>
      <x:c r="J412"/>
      <x:c r="K412" s="4"/>
      <x:c r="L412" s="4"/>
      <x:c r="M412" s="4"/>
      <x:c r="N412" s="5"/>
    </x:row>
    <x:row r="413" ht="24" customHeight="1">
      <x:c r="A413" s="1" t="str">
        <x:v>RESULT</x:v>
      </x:c>
      <x:c r="B413" s="1" t="str">
        <x:v>Round1</x:v>
      </x:c>
      <x:c r="C413" s="1" t="str">
        <x:v>JacksonDatabind_15</x:v>
      </x:c>
      <x:c r="D413" s="1" t="str">
        <x:v>NOT_AVAILABLE</x:v>
      </x:c>
      <x:c r="E413" s="5"/>
      <x:c r="F413" s="4" t="n">
        <x:v>0</x:v>
      </x:c>
      <x:c r="G413" s="4" t="n">
        <x:v>37235</x:v>
      </x:c>
      <x:c r="H413" s="6" t="n">
        <x:v>456.01</x:v>
      </x:c>
      <x:c r="I413" s="16" t="n">
        <x:v>1</x:v>
      </x:c>
      <x:c r="J413"/>
      <x:c r="K413" s="4"/>
      <x:c r="L413" s="4"/>
      <x:c r="M413" s="4"/>
      <x:c r="N413" s="5"/>
    </x:row>
    <x:row r="414" ht="24" customHeight="1">
      <x:c r="A414" s="1" t="str">
        <x:v>RESULT</x:v>
      </x:c>
      <x:c r="B414" s="1" t="str">
        <x:v>Round1</x:v>
      </x:c>
      <x:c r="C414" s="1" t="str">
        <x:v>JacksonDatabind_16</x:v>
      </x:c>
      <x:c r="D414" s="1" t="str">
        <x:v>INCONCLUSIVE</x:v>
      </x:c>
      <x:c r="E414" s="5" t="n">
        <x:v>1</x:v>
      </x:c>
      <x:c r="F414" s="4" t="n">
        <x:v>0</x:v>
      </x:c>
      <x:c r="G414" s="4" t="n">
        <x:v>3389</x:v>
      </x:c>
      <x:c r="H414" s="6" t="n">
        <x:v>45.92</x:v>
      </x:c>
      <x:c r="I414" s="16" t="n">
        <x:v>1</x:v>
      </x:c>
      <x:c r="J414" t="n">
        <x:v>35</x:v>
      </x:c>
      <x:c r="K414" s="4" t="n">
        <x:v>35</x:v>
      </x:c>
      <x:c r="L414" s="4" t="n">
        <x:v>36</x:v>
      </x:c>
      <x:c r="M414" s="4" t="n">
        <x:v>31</x:v>
      </x:c>
      <x:c r="N414" s="5" t="n">
        <x:v>0.8611</x:v>
      </x:c>
    </x:row>
    <x:row r="415" ht="24" customHeight="1">
      <x:c r="A415" s="1" t="str">
        <x:v>RESULT</x:v>
      </x:c>
      <x:c r="B415" s="1" t="str">
        <x:v>Round1</x:v>
      </x:c>
      <x:c r="C415" s="1" t="str">
        <x:v>JacksonDatabind_17</x:v>
      </x:c>
      <x:c r="D415" s="1" t="str">
        <x:v>NOT_AVAILABLE</x:v>
      </x:c>
      <x:c r="E415" s="5"/>
      <x:c r="F415" s="4" t="n">
        <x:v>0</x:v>
      </x:c>
      <x:c r="G415" s="4" t="n">
        <x:v>16313</x:v>
      </x:c>
      <x:c r="H415" s="6" t="n">
        <x:v>54.48</x:v>
      </x:c>
      <x:c r="I415" s="16" t="n">
        <x:v>1</x:v>
      </x:c>
      <x:c r="J415"/>
      <x:c r="K415" s="4"/>
      <x:c r="L415" s="4"/>
      <x:c r="M415" s="4"/>
      <x:c r="N415" s="5"/>
    </x:row>
    <x:row r="416" ht="24" customHeight="1">
      <x:c r="A416" s="1" t="str">
        <x:v>RESULT</x:v>
      </x:c>
      <x:c r="B416" s="1" t="str">
        <x:v>Round1</x:v>
      </x:c>
      <x:c r="C416" s="1" t="str">
        <x:v>JacksonDatabind_18</x:v>
      </x:c>
      <x:c r="D416" s="1" t="str">
        <x:v>NOT_AVAILABLE</x:v>
      </x:c>
      <x:c r="E416" s="5"/>
      <x:c r="F416" s="4" t="n">
        <x:v>0</x:v>
      </x:c>
      <x:c r="G416" s="4" t="n">
        <x:v>6669</x:v>
      </x:c>
      <x:c r="H416" s="6" t="n">
        <x:v>100.29</x:v>
      </x:c>
      <x:c r="I416" s="16" t="n">
        <x:v>1</x:v>
      </x:c>
      <x:c r="J416"/>
      <x:c r="K416" s="4"/>
      <x:c r="L416" s="4"/>
      <x:c r="M416" s="4"/>
      <x:c r="N416" s="5"/>
    </x:row>
    <x:row r="417" ht="24" customHeight="1">
      <x:c r="A417" s="1" t="str">
        <x:v>RESULT</x:v>
      </x:c>
      <x:c r="B417" s="1" t="str">
        <x:v>Round1</x:v>
      </x:c>
      <x:c r="C417" s="1" t="str">
        <x:v>JacksonDatabind_19</x:v>
      </x:c>
      <x:c r="D417" s="1" t="str">
        <x:v>NOT_AVAILABLE</x:v>
      </x:c>
      <x:c r="E417" s="5"/>
      <x:c r="F417" s="4" t="n">
        <x:v>0</x:v>
      </x:c>
      <x:c r="G417" s="4" t="n">
        <x:v>9702</x:v>
      </x:c>
      <x:c r="H417" s="6" t="n">
        <x:v>82.92</x:v>
      </x:c>
      <x:c r="I417" s="16" t="n">
        <x:v>1</x:v>
      </x:c>
      <x:c r="J417"/>
      <x:c r="K417" s="4"/>
      <x:c r="L417" s="4"/>
      <x:c r="M417" s="4"/>
      <x:c r="N417" s="5"/>
    </x:row>
    <x:row r="418" ht="24" customHeight="1">
      <x:c r="A418" s="1" t="str">
        <x:v>RESULT</x:v>
      </x:c>
      <x:c r="B418" s="1" t="str">
        <x:v>Round1</x:v>
      </x:c>
      <x:c r="C418" s="1" t="str">
        <x:v>JacksonDatabind_2</x:v>
      </x:c>
      <x:c r="D418" s="1" t="str">
        <x:v>NOT_AVAILABLE</x:v>
      </x:c>
      <x:c r="E418" s="5"/>
      <x:c r="F418" s="4" t="n">
        <x:v>0</x:v>
      </x:c>
      <x:c r="G418" s="4" t="n">
        <x:v>14964</x:v>
      </x:c>
      <x:c r="H418" s="6" t="n">
        <x:v>189.47</x:v>
      </x:c>
      <x:c r="I418" s="16" t="n">
        <x:v>1</x:v>
      </x:c>
      <x:c r="J418"/>
      <x:c r="K418" s="4"/>
      <x:c r="L418" s="4"/>
      <x:c r="M418" s="4"/>
      <x:c r="N418" s="5"/>
    </x:row>
    <x:row r="419" ht="24" customHeight="1">
      <x:c r="A419" s="1" t="str">
        <x:v>RESULT</x:v>
      </x:c>
      <x:c r="B419" s="1" t="str">
        <x:v>Round1</x:v>
      </x:c>
      <x:c r="C419" s="1" t="str">
        <x:v>JacksonDatabind_20</x:v>
      </x:c>
      <x:c r="D419" s="1" t="str">
        <x:v>NOT_AVAILABLE</x:v>
      </x:c>
      <x:c r="E419" s="5"/>
      <x:c r="F419" s="4" t="n">
        <x:v>0</x:v>
      </x:c>
      <x:c r="G419" s="4" t="n">
        <x:v>12140</x:v>
      </x:c>
      <x:c r="H419" s="6" t="n">
        <x:v>168.54</x:v>
      </x:c>
      <x:c r="I419" s="16" t="n">
        <x:v>1</x:v>
      </x:c>
      <x:c r="J419"/>
      <x:c r="K419" s="4"/>
      <x:c r="L419" s="4"/>
      <x:c r="M419" s="4"/>
      <x:c r="N419" s="5"/>
    </x:row>
    <x:row r="420" ht="24" customHeight="1">
      <x:c r="A420" s="1" t="str">
        <x:v>RESULT</x:v>
      </x:c>
      <x:c r="B420" s="1" t="str">
        <x:v>Round1</x:v>
      </x:c>
      <x:c r="C420" s="1" t="str">
        <x:v>JacksonDatabind_21</x:v>
      </x:c>
      <x:c r="D420" s="1" t="str">
        <x:v>NOT_AVAILABLE</x:v>
      </x:c>
      <x:c r="E420" s="5"/>
      <x:c r="F420" s="4" t="n">
        <x:v>0</x:v>
      </x:c>
      <x:c r="G420" s="4" t="n">
        <x:v>10493</x:v>
      </x:c>
      <x:c r="H420" s="6" t="n">
        <x:v>147.72</x:v>
      </x:c>
      <x:c r="I420" s="16" t="n">
        <x:v>1</x:v>
      </x:c>
      <x:c r="J420"/>
      <x:c r="K420" s="4"/>
      <x:c r="L420" s="4"/>
      <x:c r="M420" s="4"/>
      <x:c r="N420" s="5"/>
    </x:row>
    <x:row r="421" ht="24" customHeight="1">
      <x:c r="A421" s="1" t="str">
        <x:v>RESULT</x:v>
      </x:c>
      <x:c r="B421" s="1" t="str">
        <x:v>Round1</x:v>
      </x:c>
      <x:c r="C421" s="1" t="str">
        <x:v>JacksonDatabind_22</x:v>
      </x:c>
      <x:c r="D421" s="1" t="str">
        <x:v>NOT_AVAILABLE</x:v>
      </x:c>
      <x:c r="E421" s="5"/>
      <x:c r="F421" s="4" t="n">
        <x:v>0</x:v>
      </x:c>
      <x:c r="G421" s="4" t="n">
        <x:v>17859</x:v>
      </x:c>
      <x:c r="H421" s="6" t="n">
        <x:v>163.44</x:v>
      </x:c>
      <x:c r="I421" s="16" t="n">
        <x:v>1</x:v>
      </x:c>
      <x:c r="J421"/>
      <x:c r="K421" s="4"/>
      <x:c r="L421" s="4"/>
      <x:c r="M421" s="4"/>
      <x:c r="N421" s="5"/>
    </x:row>
    <x:row r="422" ht="24" customHeight="1">
      <x:c r="A422" s="1" t="str">
        <x:v>RESULT</x:v>
      </x:c>
      <x:c r="B422" s="1" t="str">
        <x:v>Round1</x:v>
      </x:c>
      <x:c r="C422" s="1" t="str">
        <x:v>JacksonDatabind_23</x:v>
      </x:c>
      <x:c r="D422" s="1" t="str">
        <x:v>NOT_AVAILABLE</x:v>
      </x:c>
      <x:c r="E422" s="5"/>
      <x:c r="F422" s="4" t="n">
        <x:v>0</x:v>
      </x:c>
      <x:c r="G422" s="4" t="n">
        <x:v>7190</x:v>
      </x:c>
      <x:c r="H422" s="6" t="n">
        <x:v>130.75</x:v>
      </x:c>
      <x:c r="I422" s="16" t="n">
        <x:v>1</x:v>
      </x:c>
      <x:c r="J422"/>
      <x:c r="K422" s="4"/>
      <x:c r="L422" s="4"/>
      <x:c r="M422" s="4"/>
      <x:c r="N422" s="5"/>
    </x:row>
    <x:row r="423" ht="24" customHeight="1">
      <x:c r="A423" s="1" t="str">
        <x:v>RESULT</x:v>
      </x:c>
      <x:c r="B423" s="1" t="str">
        <x:v>Round1</x:v>
      </x:c>
      <x:c r="C423" s="1" t="str">
        <x:v>JacksonDatabind_24</x:v>
      </x:c>
      <x:c r="D423" s="1" t="str">
        <x:v>NOT_AVAILABLE</x:v>
      </x:c>
      <x:c r="E423" s="5"/>
      <x:c r="F423" s="4" t="n">
        <x:v>0</x:v>
      </x:c>
      <x:c r="G423" s="4" t="n">
        <x:v>8084</x:v>
      </x:c>
      <x:c r="H423" s="6" t="n">
        <x:v>123.84</x:v>
      </x:c>
      <x:c r="I423" s="16" t="n">
        <x:v>1</x:v>
      </x:c>
      <x:c r="J423"/>
      <x:c r="K423" s="4"/>
      <x:c r="L423" s="4"/>
      <x:c r="M423" s="4"/>
      <x:c r="N423" s="5"/>
    </x:row>
    <x:row r="424" ht="24" customHeight="1">
      <x:c r="A424" s="1" t="str">
        <x:v>RESULT</x:v>
      </x:c>
      <x:c r="B424" s="1" t="str">
        <x:v>Round1</x:v>
      </x:c>
      <x:c r="C424" s="1" t="str">
        <x:v>JacksonDatabind_25</x:v>
      </x:c>
      <x:c r="D424" s="1" t="str">
        <x:v>NOT_AVAILABLE</x:v>
      </x:c>
      <x:c r="E424" s="5"/>
      <x:c r="F424" s="4" t="n">
        <x:v>0</x:v>
      </x:c>
      <x:c r="G424" s="4" t="n">
        <x:v>37860</x:v>
      </x:c>
      <x:c r="H424" s="6" t="n">
        <x:v>408.56</x:v>
      </x:c>
      <x:c r="I424" s="16" t="n">
        <x:v>1</x:v>
      </x:c>
      <x:c r="J424"/>
      <x:c r="K424" s="4"/>
      <x:c r="L424" s="4"/>
      <x:c r="M424" s="4"/>
      <x:c r="N424" s="5"/>
    </x:row>
    <x:row r="425" ht="24" customHeight="1">
      <x:c r="A425" s="1" t="str">
        <x:v>RESULT</x:v>
      </x:c>
      <x:c r="B425" s="1" t="str">
        <x:v>Round1</x:v>
      </x:c>
      <x:c r="C425" s="1" t="str">
        <x:v>JacksonDatabind_26</x:v>
      </x:c>
      <x:c r="D425" s="1" t="str">
        <x:v>NOT_AVAILABLE</x:v>
      </x:c>
      <x:c r="E425" s="5"/>
      <x:c r="F425" s="4" t="n">
        <x:v>0</x:v>
      </x:c>
      <x:c r="G425" s="4" t="n">
        <x:v>9988</x:v>
      </x:c>
      <x:c r="H425" s="6" t="n">
        <x:v>146.59</x:v>
      </x:c>
      <x:c r="I425" s="16" t="n">
        <x:v>1</x:v>
      </x:c>
      <x:c r="J425"/>
      <x:c r="K425" s="4"/>
      <x:c r="L425" s="4"/>
      <x:c r="M425" s="4"/>
      <x:c r="N425" s="5"/>
    </x:row>
    <x:row r="426" ht="24" customHeight="1">
      <x:c r="A426" s="1" t="str">
        <x:v>RESULT</x:v>
      </x:c>
      <x:c r="B426" s="1" t="str">
        <x:v>Round1</x:v>
      </x:c>
      <x:c r="C426" s="1" t="str">
        <x:v>JacksonDatabind_27</x:v>
      </x:c>
      <x:c r="D426" s="1" t="str">
        <x:v>NOT_AVAILABLE</x:v>
      </x:c>
      <x:c r="E426" s="5"/>
      <x:c r="F426" s="4" t="n">
        <x:v>0</x:v>
      </x:c>
      <x:c r="G426" s="4" t="n">
        <x:v>8089</x:v>
      </x:c>
      <x:c r="H426" s="6" t="n">
        <x:v>47.52</x:v>
      </x:c>
      <x:c r="I426" s="16" t="n">
        <x:v>1</x:v>
      </x:c>
      <x:c r="J426"/>
      <x:c r="K426" s="4"/>
      <x:c r="L426" s="4"/>
      <x:c r="M426" s="4"/>
      <x:c r="N426" s="5"/>
    </x:row>
    <x:row r="427" ht="24" customHeight="1">
      <x:c r="A427" s="1" t="str">
        <x:v>RESULT</x:v>
      </x:c>
      <x:c r="B427" s="1" t="str">
        <x:v>Round1</x:v>
      </x:c>
      <x:c r="C427" s="1" t="str">
        <x:v>JacksonDatabind_28</x:v>
      </x:c>
      <x:c r="D427" s="1" t="str">
        <x:v>NOT_AVAILABLE</x:v>
      </x:c>
      <x:c r="E427" s="5"/>
      <x:c r="F427" s="4" t="n">
        <x:v>0</x:v>
      </x:c>
      <x:c r="G427" s="4" t="n">
        <x:v>6659</x:v>
      </x:c>
      <x:c r="H427" s="6" t="n">
        <x:v>65.07</x:v>
      </x:c>
      <x:c r="I427" s="16" t="n">
        <x:v>1</x:v>
      </x:c>
      <x:c r="J427"/>
      <x:c r="K427" s="4"/>
      <x:c r="L427" s="4"/>
      <x:c r="M427" s="4"/>
      <x:c r="N427" s="5"/>
    </x:row>
    <x:row r="428" ht="24" customHeight="1">
      <x:c r="A428" s="1" t="str">
        <x:v>RESULT</x:v>
      </x:c>
      <x:c r="B428" s="1" t="str">
        <x:v>Round1</x:v>
      </x:c>
      <x:c r="C428" s="1" t="str">
        <x:v>JacksonDatabind_29</x:v>
      </x:c>
      <x:c r="D428" s="1" t="str">
        <x:v>NOT_AVAILABLE</x:v>
      </x:c>
      <x:c r="E428" s="5"/>
      <x:c r="F428" s="4" t="n">
        <x:v>0</x:v>
      </x:c>
      <x:c r="G428" s="4" t="n">
        <x:v>6560</x:v>
      </x:c>
      <x:c r="H428" s="6" t="n">
        <x:v>76.1</x:v>
      </x:c>
      <x:c r="I428" s="16" t="n">
        <x:v>1</x:v>
      </x:c>
      <x:c r="J428"/>
      <x:c r="K428" s="4"/>
      <x:c r="L428" s="4"/>
      <x:c r="M428" s="4"/>
      <x:c r="N428" s="5"/>
    </x:row>
    <x:row r="429" ht="24" customHeight="1">
      <x:c r="A429" s="1" t="str">
        <x:v>RESULT</x:v>
      </x:c>
      <x:c r="B429" s="1" t="str">
        <x:v>Round1</x:v>
      </x:c>
      <x:c r="C429" s="1" t="str">
        <x:v>JacksonDatabind_3</x:v>
      </x:c>
      <x:c r="D429" s="1" t="str">
        <x:v>NOT_AVAILABLE</x:v>
      </x:c>
      <x:c r="E429" s="5"/>
      <x:c r="F429" s="4" t="n">
        <x:v>0</x:v>
      </x:c>
      <x:c r="G429" s="4" t="n">
        <x:v>5271</x:v>
      </x:c>
      <x:c r="H429" s="6" t="n">
        <x:v>84.94</x:v>
      </x:c>
      <x:c r="I429" s="16" t="n">
        <x:v>1</x:v>
      </x:c>
      <x:c r="J429"/>
      <x:c r="K429" s="4"/>
      <x:c r="L429" s="4"/>
      <x:c r="M429" s="4"/>
      <x:c r="N429" s="5"/>
    </x:row>
    <x:row r="430" ht="24" customHeight="1">
      <x:c r="A430" s="1" t="str">
        <x:v>RESULT</x:v>
      </x:c>
      <x:c r="B430" s="1" t="str">
        <x:v>Round1</x:v>
      </x:c>
      <x:c r="C430" s="1" t="str">
        <x:v>JacksonDatabind_30</x:v>
      </x:c>
      <x:c r="D430" s="1" t="str">
        <x:v>NOT_AVAILABLE</x:v>
      </x:c>
      <x:c r="E430" s="5"/>
      <x:c r="F430" s="4" t="n">
        <x:v>0</x:v>
      </x:c>
      <x:c r="G430" s="4" t="n">
        <x:v>33823</x:v>
      </x:c>
      <x:c r="H430" s="6" t="n">
        <x:v>259.17</x:v>
      </x:c>
      <x:c r="I430" s="16" t="n">
        <x:v>1</x:v>
      </x:c>
      <x:c r="J430"/>
      <x:c r="K430" s="4"/>
      <x:c r="L430" s="4"/>
      <x:c r="M430" s="4"/>
      <x:c r="N430" s="5"/>
    </x:row>
    <x:row r="431" ht="24" customHeight="1">
      <x:c r="A431" s="1" t="str">
        <x:v>RESULT</x:v>
      </x:c>
      <x:c r="B431" s="1" t="str">
        <x:v>Round1</x:v>
      </x:c>
      <x:c r="C431" s="1" t="str">
        <x:v>JacksonDatabind_31</x:v>
      </x:c>
      <x:c r="D431" s="1" t="str">
        <x:v>NOT_AVAILABLE</x:v>
      </x:c>
      <x:c r="E431" s="5"/>
      <x:c r="F431" s="4" t="n">
        <x:v>0</x:v>
      </x:c>
      <x:c r="G431" s="4" t="n">
        <x:v>13619</x:v>
      </x:c>
      <x:c r="H431" s="6" t="n">
        <x:v>109.49</x:v>
      </x:c>
      <x:c r="I431" s="16" t="n">
        <x:v>1</x:v>
      </x:c>
      <x:c r="J431"/>
      <x:c r="K431" s="4"/>
      <x:c r="L431" s="4"/>
      <x:c r="M431" s="4"/>
      <x:c r="N431" s="5"/>
    </x:row>
    <x:row r="432" ht="24" customHeight="1">
      <x:c r="A432" s="1" t="str">
        <x:v>RESULT</x:v>
      </x:c>
      <x:c r="B432" s="1" t="str">
        <x:v>Round1</x:v>
      </x:c>
      <x:c r="C432" s="1" t="str">
        <x:v>JacksonDatabind_32</x:v>
      </x:c>
      <x:c r="D432" s="1" t="str">
        <x:v>NOT_AVAILABLE</x:v>
      </x:c>
      <x:c r="E432" s="5"/>
      <x:c r="F432" s="4" t="n">
        <x:v>0</x:v>
      </x:c>
      <x:c r="G432" s="4" t="n">
        <x:v>11233</x:v>
      </x:c>
      <x:c r="H432" s="6" t="n">
        <x:v>170.46</x:v>
      </x:c>
      <x:c r="I432" s="16" t="n">
        <x:v>1</x:v>
      </x:c>
      <x:c r="J432"/>
      <x:c r="K432" s="4"/>
      <x:c r="L432" s="4"/>
      <x:c r="M432" s="4"/>
      <x:c r="N432" s="5"/>
    </x:row>
    <x:row r="433" ht="24" customHeight="1">
      <x:c r="A433" s="1" t="str">
        <x:v>RESULT</x:v>
      </x:c>
      <x:c r="B433" s="1" t="str">
        <x:v>Round1</x:v>
      </x:c>
      <x:c r="C433" s="1" t="str">
        <x:v>JacksonDatabind_33</x:v>
      </x:c>
      <x:c r="D433" s="1" t="str">
        <x:v>NOT_AVAILABLE</x:v>
      </x:c>
      <x:c r="E433" s="5"/>
      <x:c r="F433" s="4" t="n">
        <x:v>0</x:v>
      </x:c>
      <x:c r="G433" s="4" t="n">
        <x:v>16883</x:v>
      </x:c>
      <x:c r="H433" s="6" t="n">
        <x:v>272.81</x:v>
      </x:c>
      <x:c r="I433" s="16" t="n">
        <x:v>1</x:v>
      </x:c>
      <x:c r="J433"/>
      <x:c r="K433" s="4"/>
      <x:c r="L433" s="4"/>
      <x:c r="M433" s="4"/>
      <x:c r="N433" s="5"/>
    </x:row>
    <x:row r="434" ht="24" customHeight="1">
      <x:c r="A434" s="1" t="str">
        <x:v>RESULT</x:v>
      </x:c>
      <x:c r="B434" s="1" t="str">
        <x:v>Round1</x:v>
      </x:c>
      <x:c r="C434" s="1" t="str">
        <x:v>JacksonDatabind_34</x:v>
      </x:c>
      <x:c r="D434" s="1" t="str">
        <x:v>NOT_AVAILABLE</x:v>
      </x:c>
      <x:c r="E434" s="5"/>
      <x:c r="F434" s="4" t="n">
        <x:v>0</x:v>
      </x:c>
      <x:c r="G434" s="4" t="n">
        <x:v>4315</x:v>
      </x:c>
      <x:c r="H434" s="6" t="n">
        <x:v>75.94</x:v>
      </x:c>
      <x:c r="I434" s="16" t="n">
        <x:v>1</x:v>
      </x:c>
      <x:c r="J434"/>
      <x:c r="K434" s="4"/>
      <x:c r="L434" s="4"/>
      <x:c r="M434" s="4"/>
      <x:c r="N434" s="5"/>
    </x:row>
    <x:row r="435" ht="24" customHeight="1">
      <x:c r="A435" s="1" t="str">
        <x:v>RESULT</x:v>
      </x:c>
      <x:c r="B435" s="1" t="str">
        <x:v>Round1</x:v>
      </x:c>
      <x:c r="C435" s="1" t="str">
        <x:v>JacksonDatabind_35</x:v>
      </x:c>
      <x:c r="D435" s="1" t="str">
        <x:v>NOT_AVAILABLE</x:v>
      </x:c>
      <x:c r="E435" s="5"/>
      <x:c r="F435" s="4" t="n">
        <x:v>0</x:v>
      </x:c>
      <x:c r="G435" s="4" t="n">
        <x:v>4280</x:v>
      </x:c>
      <x:c r="H435" s="6" t="n">
        <x:v>65.12</x:v>
      </x:c>
      <x:c r="I435" s="16" t="n">
        <x:v>1</x:v>
      </x:c>
      <x:c r="J435"/>
      <x:c r="K435" s="4"/>
      <x:c r="L435" s="4"/>
      <x:c r="M435" s="4"/>
      <x:c r="N435" s="5"/>
    </x:row>
    <x:row r="436" ht="24" customHeight="1">
      <x:c r="A436" s="1" t="str">
        <x:v>RESULT</x:v>
      </x:c>
      <x:c r="B436" s="1" t="str">
        <x:v>Round1</x:v>
      </x:c>
      <x:c r="C436" s="1" t="str">
        <x:v>JacksonDatabind_36</x:v>
      </x:c>
      <x:c r="D436" s="1" t="str">
        <x:v>INCONCLUSIVE</x:v>
      </x:c>
      <x:c r="E436" s="5" t="n">
        <x:v>0.8445999999999999</x:v>
      </x:c>
      <x:c r="F436" s="4" t="n">
        <x:v>0</x:v>
      </x:c>
      <x:c r="G436" s="4" t="n">
        <x:v>9151</x:v>
      </x:c>
      <x:c r="H436" s="6" t="n">
        <x:v>104.11</x:v>
      </x:c>
      <x:c r="I436" s="16" t="n">
        <x:v>1</x:v>
      </x:c>
      <x:c r="J436" t="n">
        <x:v>193</x:v>
      </x:c>
      <x:c r="K436" s="4" t="n">
        <x:v>163</x:v>
      </x:c>
      <x:c r="L436" s="4" t="n">
        <x:v>130</x:v>
      </x:c>
      <x:c r="M436" s="4" t="n">
        <x:v>92</x:v>
      </x:c>
      <x:c r="N436" s="5" t="n">
        <x:v>0.7077</x:v>
      </x:c>
    </x:row>
    <x:row r="437" ht="24" customHeight="1">
      <x:c r="A437" s="1" t="str">
        <x:v>RESULT</x:v>
      </x:c>
      <x:c r="B437" s="1" t="str">
        <x:v>Round1</x:v>
      </x:c>
      <x:c r="C437" s="1" t="str">
        <x:v>JacksonDatabind_37</x:v>
      </x:c>
      <x:c r="D437" s="1" t="str">
        <x:v>NOT_AVAILABLE</x:v>
      </x:c>
      <x:c r="E437" s="5"/>
      <x:c r="F437" s="4" t="n">
        <x:v>0</x:v>
      </x:c>
      <x:c r="G437" s="4" t="n">
        <x:v>5842</x:v>
      </x:c>
      <x:c r="H437" s="6" t="n">
        <x:v>32.17</x:v>
      </x:c>
      <x:c r="I437" s="16" t="n">
        <x:v>1</x:v>
      </x:c>
      <x:c r="J437"/>
      <x:c r="K437" s="4"/>
      <x:c r="L437" s="4"/>
      <x:c r="M437" s="4"/>
      <x:c r="N437" s="5"/>
    </x:row>
    <x:row r="438" ht="24" customHeight="1">
      <x:c r="A438" s="1" t="str">
        <x:v>RESULT</x:v>
      </x:c>
      <x:c r="B438" s="1" t="str">
        <x:v>Round1</x:v>
      </x:c>
      <x:c r="C438" s="1" t="str">
        <x:v>JacksonDatabind_38</x:v>
      </x:c>
      <x:c r="D438" s="1" t="str">
        <x:v>NOT_AVAILABLE</x:v>
      </x:c>
      <x:c r="E438" s="5"/>
      <x:c r="F438" s="4" t="n">
        <x:v>0</x:v>
      </x:c>
      <x:c r="G438" s="4" t="n">
        <x:v>12747</x:v>
      </x:c>
      <x:c r="H438" s="6" t="n">
        <x:v>151.14</x:v>
      </x:c>
      <x:c r="I438" s="16" t="n">
        <x:v>1</x:v>
      </x:c>
      <x:c r="J438"/>
      <x:c r="K438" s="4"/>
      <x:c r="L438" s="4"/>
      <x:c r="M438" s="4"/>
      <x:c r="N438" s="5"/>
    </x:row>
    <x:row r="439" ht="24" customHeight="1">
      <x:c r="A439" s="1" t="str">
        <x:v>RESULT</x:v>
      </x:c>
      <x:c r="B439" s="1" t="str">
        <x:v>Round1</x:v>
      </x:c>
      <x:c r="C439" s="1" t="str">
        <x:v>JacksonDatabind_39</x:v>
      </x:c>
      <x:c r="D439" s="1" t="str">
        <x:v>INCONCLUSIVE</x:v>
      </x:c>
      <x:c r="E439" s="5" t="n">
        <x:v>1</x:v>
      </x:c>
      <x:c r="F439" s="4" t="n">
        <x:v>0</x:v>
      </x:c>
      <x:c r="G439" s="4" t="n">
        <x:v>3013</x:v>
      </x:c>
      <x:c r="H439" s="6" t="n">
        <x:v>43.97</x:v>
      </x:c>
      <x:c r="I439" s="16" t="n">
        <x:v>1</x:v>
      </x:c>
      <x:c r="J439" t="n">
        <x:v>7</x:v>
      </x:c>
      <x:c r="K439" s="4" t="n">
        <x:v>7</x:v>
      </x:c>
      <x:c r="L439" s="4" t="n">
        <x:v>2</x:v>
      </x:c>
      <x:c r="M439" s="4" t="n">
        <x:v>2</x:v>
      </x:c>
      <x:c r="N439" s="5" t="n">
        <x:v>1</x:v>
      </x:c>
    </x:row>
    <x:row r="440" ht="24" customHeight="1">
      <x:c r="A440" s="1" t="str">
        <x:v>RESULT</x:v>
      </x:c>
      <x:c r="B440" s="1" t="str">
        <x:v>Round1</x:v>
      </x:c>
      <x:c r="C440" s="1" t="str">
        <x:v>JacksonDatabind_4</x:v>
      </x:c>
      <x:c r="D440" s="1" t="str">
        <x:v>NOT_AVAILABLE</x:v>
      </x:c>
      <x:c r="E440" s="5"/>
      <x:c r="F440" s="4" t="n">
        <x:v>0</x:v>
      </x:c>
      <x:c r="G440" s="4" t="n">
        <x:v>5694</x:v>
      </x:c>
      <x:c r="H440" s="6" t="n">
        <x:v>94.2</x:v>
      </x:c>
      <x:c r="I440" s="16" t="n">
        <x:v>1</x:v>
      </x:c>
      <x:c r="J440"/>
      <x:c r="K440" s="4"/>
      <x:c r="L440" s="4"/>
      <x:c r="M440" s="4"/>
      <x:c r="N440" s="5"/>
    </x:row>
    <x:row r="441" ht="24" customHeight="1">
      <x:c r="A441" s="1" t="str">
        <x:v>RESULT</x:v>
      </x:c>
      <x:c r="B441" s="1" t="str">
        <x:v>Round1</x:v>
      </x:c>
      <x:c r="C441" s="1" t="str">
        <x:v>JacksonDatabind_40</x:v>
      </x:c>
      <x:c r="D441" s="1" t="str">
        <x:v>INCONCLUSIVE</x:v>
      </x:c>
      <x:c r="E441" s="5" t="n">
        <x:v>0.6804000000000001</x:v>
      </x:c>
      <x:c r="F441" s="4" t="n">
        <x:v>0</x:v>
      </x:c>
      <x:c r="G441" s="4" t="n">
        <x:v>11395</x:v>
      </x:c>
      <x:c r="H441" s="6" t="n">
        <x:v>181.56</x:v>
      </x:c>
      <x:c r="I441" s="16" t="n">
        <x:v>1</x:v>
      </x:c>
      <x:c r="J441" t="n">
        <x:v>219</x:v>
      </x:c>
      <x:c r="K441" s="4" t="n">
        <x:v>149</x:v>
      </x:c>
      <x:c r="L441" s="4" t="n">
        <x:v>130</x:v>
      </x:c>
      <x:c r="M441" s="4" t="n">
        <x:v>83</x:v>
      </x:c>
      <x:c r="N441" s="5" t="n">
        <x:v>0.6385000000000001</x:v>
      </x:c>
    </x:row>
    <x:row r="442" ht="24" customHeight="1">
      <x:c r="A442" s="1" t="str">
        <x:v>RESULT</x:v>
      </x:c>
      <x:c r="B442" s="1" t="str">
        <x:v>Round1</x:v>
      </x:c>
      <x:c r="C442" s="1" t="str">
        <x:v>JacksonDatabind_41</x:v>
      </x:c>
      <x:c r="D442" s="1" t="str">
        <x:v>NOT_AVAILABLE</x:v>
      </x:c>
      <x:c r="E442" s="5"/>
      <x:c r="F442" s="4" t="n">
        <x:v>0</x:v>
      </x:c>
      <x:c r="G442" s="4" t="n">
        <x:v>11613</x:v>
      </x:c>
      <x:c r="H442" s="6" t="n">
        <x:v>131.42</x:v>
      </x:c>
      <x:c r="I442" s="16" t="n">
        <x:v>1</x:v>
      </x:c>
      <x:c r="J442"/>
      <x:c r="K442" s="4"/>
      <x:c r="L442" s="4"/>
      <x:c r="M442" s="4"/>
      <x:c r="N442" s="5"/>
    </x:row>
    <x:row r="443" ht="24" customHeight="1">
      <x:c r="A443" s="1" t="str">
        <x:v>RESULT</x:v>
      </x:c>
      <x:c r="B443" s="1" t="str">
        <x:v>Round1</x:v>
      </x:c>
      <x:c r="C443" s="1" t="str">
        <x:v>JacksonDatabind_42</x:v>
      </x:c>
      <x:c r="D443" s="1" t="str">
        <x:v>NOT_AVAILABLE</x:v>
      </x:c>
      <x:c r="E443" s="5"/>
      <x:c r="F443" s="4" t="n">
        <x:v>0</x:v>
      </x:c>
      <x:c r="G443" s="4" t="n">
        <x:v>12594</x:v>
      </x:c>
      <x:c r="H443" s="6" t="n">
        <x:v>293.13</x:v>
      </x:c>
      <x:c r="I443" s="16" t="n">
        <x:v>1</x:v>
      </x:c>
      <x:c r="J443"/>
      <x:c r="K443" s="4"/>
      <x:c r="L443" s="4"/>
      <x:c r="M443" s="4"/>
      <x:c r="N443" s="5"/>
    </x:row>
    <x:row r="444" ht="24" customHeight="1">
      <x:c r="A444" s="1" t="str">
        <x:v>RESULT</x:v>
      </x:c>
      <x:c r="B444" s="1" t="str">
        <x:v>Round1</x:v>
      </x:c>
      <x:c r="C444" s="1" t="str">
        <x:v>JacksonDatabind_43</x:v>
      </x:c>
      <x:c r="D444" s="1" t="str">
        <x:v>NOT_AVAILABLE</x:v>
      </x:c>
      <x:c r="E444" s="5"/>
      <x:c r="F444" s="4" t="n">
        <x:v>0</x:v>
      </x:c>
      <x:c r="G444" s="4" t="n">
        <x:v>4964</x:v>
      </x:c>
      <x:c r="H444" s="6" t="n">
        <x:v>89.63</x:v>
      </x:c>
      <x:c r="I444" s="16" t="n">
        <x:v>1</x:v>
      </x:c>
      <x:c r="J444"/>
      <x:c r="K444" s="4"/>
      <x:c r="L444" s="4"/>
      <x:c r="M444" s="4"/>
      <x:c r="N444" s="5"/>
    </x:row>
    <x:row r="445" ht="24" customHeight="1">
      <x:c r="A445" s="1" t="str">
        <x:v>RESULT</x:v>
      </x:c>
      <x:c r="B445" s="1" t="str">
        <x:v>Round1</x:v>
      </x:c>
      <x:c r="C445" s="1" t="str">
        <x:v>JacksonDatabind_44</x:v>
      </x:c>
      <x:c r="D445" s="1" t="str">
        <x:v>NOT_REVEALING</x:v>
      </x:c>
      <x:c r="E445" s="5" t="n">
        <x:v>0.8533</x:v>
      </x:c>
      <x:c r="F445" s="4" t="n">
        <x:v>0</x:v>
      </x:c>
      <x:c r="G445" s="4" t="n">
        <x:v>24160</x:v>
      </x:c>
      <x:c r="H445" s="6" t="n">
        <x:v>645.68</x:v>
      </x:c>
      <x:c r="I445" s="16" t="n">
        <x:v>1</x:v>
      </x:c>
      <x:c r="J445" t="n">
        <x:v>75</x:v>
      </x:c>
      <x:c r="K445" s="4" t="n">
        <x:v>64</x:v>
      </x:c>
      <x:c r="L445" s="4" t="n">
        <x:v>36</x:v>
      </x:c>
      <x:c r="M445" s="4" t="n">
        <x:v>32</x:v>
      </x:c>
      <x:c r="N445" s="5" t="n">
        <x:v>0.8889</x:v>
      </x:c>
    </x:row>
    <x:row r="446" ht="24" customHeight="1">
      <x:c r="A446" s="1" t="str">
        <x:v>RESULT</x:v>
      </x:c>
      <x:c r="B446" s="1" t="str">
        <x:v>Round1</x:v>
      </x:c>
      <x:c r="C446" s="1" t="str">
        <x:v>JacksonDatabind_45</x:v>
      </x:c>
      <x:c r="D446" s="1" t="str">
        <x:v>NOT_AVAILABLE</x:v>
      </x:c>
      <x:c r="E446" s="5"/>
      <x:c r="F446" s="4" t="n">
        <x:v>0</x:v>
      </x:c>
      <x:c r="G446" s="4" t="n">
        <x:v>18990</x:v>
      </x:c>
      <x:c r="H446" s="6" t="n">
        <x:v>506.16</x:v>
      </x:c>
      <x:c r="I446" s="16" t="n">
        <x:v>1</x:v>
      </x:c>
      <x:c r="J446"/>
      <x:c r="K446" s="4"/>
      <x:c r="L446" s="4"/>
      <x:c r="M446" s="4"/>
      <x:c r="N446" s="5"/>
    </x:row>
    <x:row r="447" ht="24" customHeight="1">
      <x:c r="A447" s="1" t="str">
        <x:v>RESULT</x:v>
      </x:c>
      <x:c r="B447" s="1" t="str">
        <x:v>Round1</x:v>
      </x:c>
      <x:c r="C447" s="1" t="str">
        <x:v>JacksonDatabind_46</x:v>
      </x:c>
      <x:c r="D447" s="1" t="str">
        <x:v>NOT_AVAILABLE</x:v>
      </x:c>
      <x:c r="E447" s="5"/>
      <x:c r="F447" s="4" t="n">
        <x:v>0</x:v>
      </x:c>
      <x:c r="G447" s="4" t="n">
        <x:v>22460</x:v>
      </x:c>
      <x:c r="H447" s="6" t="n">
        <x:v>710.83</x:v>
      </x:c>
      <x:c r="I447" s="16" t="n">
        <x:v>1</x:v>
      </x:c>
      <x:c r="J447"/>
      <x:c r="K447" s="4"/>
      <x:c r="L447" s="4"/>
      <x:c r="M447" s="4"/>
      <x:c r="N447" s="5"/>
    </x:row>
    <x:row r="448" ht="24" customHeight="1">
      <x:c r="A448" s="1" t="str">
        <x:v>RESULT</x:v>
      </x:c>
      <x:c r="B448" s="1" t="str">
        <x:v>Round1</x:v>
      </x:c>
      <x:c r="C448" s="1" t="str">
        <x:v>JacksonDatabind_47</x:v>
      </x:c>
      <x:c r="D448" s="1" t="str">
        <x:v>INCONCLUSIVE</x:v>
      </x:c>
      <x:c r="E448" s="5" t="n">
        <x:v>0.2905</x:v>
      </x:c>
      <x:c r="F448" s="4" t="n">
        <x:v>0</x:v>
      </x:c>
      <x:c r="G448" s="4" t="n">
        <x:v>31255</x:v>
      </x:c>
      <x:c r="H448" s="6" t="n">
        <x:v>979.93</x:v>
      </x:c>
      <x:c r="I448" s="16" t="n">
        <x:v>1</x:v>
      </x:c>
      <x:c r="J448" t="n">
        <x:v>179</x:v>
      </x:c>
      <x:c r="K448" s="4" t="n">
        <x:v>52</x:v>
      </x:c>
      <x:c r="L448" s="4" t="n">
        <x:v>44</x:v>
      </x:c>
      <x:c r="M448" s="4" t="n">
        <x:v>0</x:v>
      </x:c>
      <x:c r="N448" s="5" t="n">
        <x:v>0</x:v>
      </x:c>
    </x:row>
    <x:row r="449" ht="24" customHeight="1">
      <x:c r="A449" s="1" t="str">
        <x:v>RESULT</x:v>
      </x:c>
      <x:c r="B449" s="1" t="str">
        <x:v>Round1</x:v>
      </x:c>
      <x:c r="C449" s="1" t="str">
        <x:v>JacksonDatabind_48</x:v>
      </x:c>
      <x:c r="D449" s="1" t="str">
        <x:v>NOT_AVAILABLE</x:v>
      </x:c>
      <x:c r="E449" s="5"/>
      <x:c r="F449" s="4" t="n">
        <x:v>0</x:v>
      </x:c>
      <x:c r="G449" s="4" t="n">
        <x:v>70637</x:v>
      </x:c>
      <x:c r="H449" s="6" t="n">
        <x:v>2334.93</x:v>
      </x:c>
      <x:c r="I449" s="16" t="n">
        <x:v>1</x:v>
      </x:c>
      <x:c r="J449"/>
      <x:c r="K449" s="4"/>
      <x:c r="L449" s="4"/>
      <x:c r="M449" s="4"/>
      <x:c r="N449" s="5"/>
    </x:row>
    <x:row r="450" ht="24" customHeight="1">
      <x:c r="A450" s="1" t="str">
        <x:v>RESULT</x:v>
      </x:c>
      <x:c r="B450" s="1" t="str">
        <x:v>Round1</x:v>
      </x:c>
      <x:c r="C450" s="1" t="str">
        <x:v>JacksonDatabind_49</x:v>
      </x:c>
      <x:c r="D450" s="1" t="str">
        <x:v>NOT_AVAILABLE</x:v>
      </x:c>
      <x:c r="E450" s="5"/>
      <x:c r="F450" s="4" t="n">
        <x:v>0</x:v>
      </x:c>
      <x:c r="G450" s="4" t="n">
        <x:v>3801</x:v>
      </x:c>
      <x:c r="H450" s="6" t="n">
        <x:v>126.67</x:v>
      </x:c>
      <x:c r="I450" s="16" t="n">
        <x:v>1</x:v>
      </x:c>
      <x:c r="J450"/>
      <x:c r="K450" s="4"/>
      <x:c r="L450" s="4"/>
      <x:c r="M450" s="4"/>
      <x:c r="N450" s="5"/>
    </x:row>
    <x:row r="451" ht="24" customHeight="1">
      <x:c r="A451" s="1" t="str">
        <x:v>RESULT</x:v>
      </x:c>
      <x:c r="B451" s="1" t="str">
        <x:v>Round1</x:v>
      </x:c>
      <x:c r="C451" s="1" t="str">
        <x:v>JacksonDatabind_5</x:v>
      </x:c>
      <x:c r="D451" s="1" t="str">
        <x:v>INCONCLUSIVE</x:v>
      </x:c>
      <x:c r="E451" s="5" t="n">
        <x:v>0.5233</x:v>
      </x:c>
      <x:c r="F451" s="4" t="n">
        <x:v>0</x:v>
      </x:c>
      <x:c r="G451" s="4" t="n">
        <x:v>15673</x:v>
      </x:c>
      <x:c r="H451" s="6" t="n">
        <x:v>85.89</x:v>
      </x:c>
      <x:c r="I451" s="16" t="n">
        <x:v>1</x:v>
      </x:c>
      <x:c r="J451" t="n">
        <x:v>365</x:v>
      </x:c>
      <x:c r="K451" s="4" t="n">
        <x:v>191</x:v>
      </x:c>
      <x:c r="L451" s="4" t="n">
        <x:v>272</x:v>
      </x:c>
      <x:c r="M451" s="4" t="n">
        <x:v>106</x:v>
      </x:c>
      <x:c r="N451" s="5" t="n">
        <x:v>0.3897</x:v>
      </x:c>
    </x:row>
    <x:row r="452" ht="24" customHeight="1">
      <x:c r="A452" s="1" t="str">
        <x:v>RESULT</x:v>
      </x:c>
      <x:c r="B452" s="1" t="str">
        <x:v>Round1</x:v>
      </x:c>
      <x:c r="C452" s="1" t="str">
        <x:v>JacksonDatabind_50</x:v>
      </x:c>
      <x:c r="D452" s="1" t="str">
        <x:v>NOT_AVAILABLE</x:v>
      </x:c>
      <x:c r="E452" s="5"/>
      <x:c r="F452" s="4" t="n">
        <x:v>0</x:v>
      </x:c>
      <x:c r="G452" s="4" t="n">
        <x:v>11282</x:v>
      </x:c>
      <x:c r="H452" s="6" t="n">
        <x:v>39.29</x:v>
      </x:c>
      <x:c r="I452" s="16" t="n">
        <x:v>1</x:v>
      </x:c>
      <x:c r="J452"/>
      <x:c r="K452" s="4"/>
      <x:c r="L452" s="4"/>
      <x:c r="M452" s="4"/>
      <x:c r="N452" s="5"/>
    </x:row>
    <x:row r="453" ht="24" customHeight="1">
      <x:c r="A453" s="1" t="str">
        <x:v>RESULT</x:v>
      </x:c>
      <x:c r="B453" s="1" t="str">
        <x:v>Round1</x:v>
      </x:c>
      <x:c r="C453" s="1" t="str">
        <x:v>JacksonDatabind_51</x:v>
      </x:c>
      <x:c r="D453" s="1" t="str">
        <x:v>NOT_AVAILABLE</x:v>
      </x:c>
      <x:c r="E453" s="5"/>
      <x:c r="F453" s="4" t="n">
        <x:v>0</x:v>
      </x:c>
      <x:c r="G453" s="4" t="n">
        <x:v>14689</x:v>
      </x:c>
      <x:c r="H453" s="6" t="n">
        <x:v>99.43</x:v>
      </x:c>
      <x:c r="I453" s="16" t="n">
        <x:v>1</x:v>
      </x:c>
      <x:c r="J453"/>
      <x:c r="K453" s="4"/>
      <x:c r="L453" s="4"/>
      <x:c r="M453" s="4"/>
      <x:c r="N453" s="5"/>
    </x:row>
    <x:row r="454" ht="24" customHeight="1">
      <x:c r="A454" s="1" t="str">
        <x:v>RESULT</x:v>
      </x:c>
      <x:c r="B454" s="1" t="str">
        <x:v>Round1</x:v>
      </x:c>
      <x:c r="C454" s="1" t="str">
        <x:v>JacksonDatabind_52</x:v>
      </x:c>
      <x:c r="D454" s="1" t="str">
        <x:v>NOT_AVAILABLE</x:v>
      </x:c>
      <x:c r="E454" s="5"/>
      <x:c r="F454" s="4" t="n">
        <x:v>0</x:v>
      </x:c>
      <x:c r="G454" s="4" t="n">
        <x:v>62355</x:v>
      </x:c>
      <x:c r="H454" s="6" t="n">
        <x:v>330.25</x:v>
      </x:c>
      <x:c r="I454" s="16" t="n">
        <x:v>1</x:v>
      </x:c>
      <x:c r="J454"/>
      <x:c r="K454" s="4"/>
      <x:c r="L454" s="4"/>
      <x:c r="M454" s="4"/>
      <x:c r="N454" s="5"/>
    </x:row>
    <x:row r="455" ht="24" customHeight="1">
      <x:c r="A455" s="1" t="str">
        <x:v>RESULT</x:v>
      </x:c>
      <x:c r="B455" s="1" t="str">
        <x:v>Round1</x:v>
      </x:c>
      <x:c r="C455" s="1" t="str">
        <x:v>JacksonDatabind_53</x:v>
      </x:c>
      <x:c r="D455" s="1" t="str">
        <x:v>INCONCLUSIVE</x:v>
      </x:c>
      <x:c r="E455" s="5" t="n">
        <x:v>0.7931999999999999</x:v>
      </x:c>
      <x:c r="F455" s="4" t="n">
        <x:v>0</x:v>
      </x:c>
      <x:c r="G455" s="4" t="n">
        <x:v>88051</x:v>
      </x:c>
      <x:c r="H455" s="6" t="n">
        <x:v>414.25</x:v>
      </x:c>
      <x:c r="I455" s="16" t="n">
        <x:v>1</x:v>
      </x:c>
      <x:c r="J455" t="n">
        <x:v>503</x:v>
      </x:c>
      <x:c r="K455" s="4" t="n">
        <x:v>399</x:v>
      </x:c>
      <x:c r="L455" s="4" t="n">
        <x:v>346</x:v>
      </x:c>
      <x:c r="M455" s="4" t="n">
        <x:v>240</x:v>
      </x:c>
      <x:c r="N455" s="5" t="n">
        <x:v>0.6936</x:v>
      </x:c>
    </x:row>
    <x:row r="456" ht="24" customHeight="1">
      <x:c r="A456" s="1" t="str">
        <x:v>RESULT</x:v>
      </x:c>
      <x:c r="B456" s="1" t="str">
        <x:v>Round1</x:v>
      </x:c>
      <x:c r="C456" s="1" t="str">
        <x:v>JacksonDatabind_54</x:v>
      </x:c>
      <x:c r="D456" s="1" t="str">
        <x:v>NOT_AVAILABLE</x:v>
      </x:c>
      <x:c r="E456" s="5"/>
      <x:c r="F456" s="4" t="n">
        <x:v>0</x:v>
      </x:c>
      <x:c r="G456" s="4" t="n">
        <x:v>32372</x:v>
      </x:c>
      <x:c r="H456" s="6" t="n">
        <x:v>156.47</x:v>
      </x:c>
      <x:c r="I456" s="16" t="n">
        <x:v>1</x:v>
      </x:c>
      <x:c r="J456"/>
      <x:c r="K456" s="4"/>
      <x:c r="L456" s="4"/>
      <x:c r="M456" s="4"/>
      <x:c r="N456" s="5"/>
    </x:row>
    <x:row r="457" ht="24" customHeight="1">
      <x:c r="A457" s="1" t="str">
        <x:v>RESULT</x:v>
      </x:c>
      <x:c r="B457" s="1" t="str">
        <x:v>Round1</x:v>
      </x:c>
      <x:c r="C457" s="1" t="str">
        <x:v>JacksonDatabind_55</x:v>
      </x:c>
      <x:c r="D457" s="1" t="str">
        <x:v>INCONCLUSIVE</x:v>
      </x:c>
      <x:c r="E457" s="5" t="n">
        <x:v>0.7868999999999999</x:v>
      </x:c>
      <x:c r="F457" s="4" t="n">
        <x:v>0</x:v>
      </x:c>
      <x:c r="G457" s="4" t="n">
        <x:v>29318</x:v>
      </x:c>
      <x:c r="H457" s="6" t="n">
        <x:v>160.06</x:v>
      </x:c>
      <x:c r="I457" s="16" t="n">
        <x:v>1</x:v>
      </x:c>
      <x:c r="J457" t="n">
        <x:v>61</x:v>
      </x:c>
      <x:c r="K457" s="4" t="n">
        <x:v>48</x:v>
      </x:c>
      <x:c r="L457" s="4" t="n">
        <x:v>37</x:v>
      </x:c>
      <x:c r="M457" s="4" t="n">
        <x:v>32</x:v>
      </x:c>
      <x:c r="N457" s="5" t="n">
        <x:v>0.8649</x:v>
      </x:c>
    </x:row>
    <x:row r="458" ht="24" customHeight="1">
      <x:c r="A458" s="1" t="str">
        <x:v>RESULT</x:v>
      </x:c>
      <x:c r="B458" s="1" t="str">
        <x:v>Round1</x:v>
      </x:c>
      <x:c r="C458" s="1" t="str">
        <x:v>JacksonDatabind_56</x:v>
      </x:c>
      <x:c r="D458" s="1" t="str">
        <x:v>NOT_AVAILABLE</x:v>
      </x:c>
      <x:c r="E458" s="5"/>
      <x:c r="F458" s="4" t="n">
        <x:v>0</x:v>
      </x:c>
      <x:c r="G458" s="4" t="n">
        <x:v>34032</x:v>
      </x:c>
      <x:c r="H458" s="6" t="n">
        <x:v>181.95</x:v>
      </x:c>
      <x:c r="I458" s="16" t="n">
        <x:v>1</x:v>
      </x:c>
      <x:c r="J458"/>
      <x:c r="K458" s="4"/>
      <x:c r="L458" s="4"/>
      <x:c r="M458" s="4"/>
      <x:c r="N458" s="5"/>
    </x:row>
    <x:row r="459" ht="24" customHeight="1">
      <x:c r="A459" s="1" t="str">
        <x:v>RESULT</x:v>
      </x:c>
      <x:c r="B459" s="1" t="str">
        <x:v>Round1</x:v>
      </x:c>
      <x:c r="C459" s="1" t="str">
        <x:v>JacksonDatabind_57</x:v>
      </x:c>
      <x:c r="D459" s="1" t="str">
        <x:v>INCONCLUSIVE</x:v>
      </x:c>
      <x:c r="E459" s="5" t="n">
        <x:v>0.5528</x:v>
      </x:c>
      <x:c r="F459" s="4" t="n">
        <x:v>0</x:v>
      </x:c>
      <x:c r="G459" s="4" t="n">
        <x:v>47519</x:v>
      </x:c>
      <x:c r="H459" s="6" t="n">
        <x:v>221.33</x:v>
      </x:c>
      <x:c r="I459" s="16" t="n">
        <x:v>1</x:v>
      </x:c>
      <x:c r="J459" t="n">
        <x:v>407</x:v>
      </x:c>
      <x:c r="K459" s="4" t="n">
        <x:v>225</x:v>
      </x:c>
      <x:c r="L459" s="4" t="n">
        <x:v>156</x:v>
      </x:c>
      <x:c r="M459" s="4" t="n">
        <x:v>66</x:v>
      </x:c>
      <x:c r="N459" s="5" t="n">
        <x:v>0.42310000000000003</x:v>
      </x:c>
    </x:row>
    <x:row r="460" ht="24" customHeight="1">
      <x:c r="A460" s="1" t="str">
        <x:v>RESULT</x:v>
      </x:c>
      <x:c r="B460" s="1" t="str">
        <x:v>Round1</x:v>
      </x:c>
      <x:c r="C460" s="1" t="str">
        <x:v>JacksonDatabind_58</x:v>
      </x:c>
      <x:c r="D460" s="1" t="str">
        <x:v>NOT_AVAILABLE</x:v>
      </x:c>
      <x:c r="E460" s="5"/>
      <x:c r="F460" s="4" t="n">
        <x:v>0</x:v>
      </x:c>
      <x:c r="G460" s="4" t="n">
        <x:v>26722</x:v>
      </x:c>
      <x:c r="H460" s="6" t="n">
        <x:v>111.87</x:v>
      </x:c>
      <x:c r="I460" s="16" t="n">
        <x:v>1</x:v>
      </x:c>
      <x:c r="J460"/>
      <x:c r="K460" s="4"/>
      <x:c r="L460" s="4"/>
      <x:c r="M460" s="4"/>
      <x:c r="N460" s="5"/>
    </x:row>
    <x:row r="461" ht="24" customHeight="1">
      <x:c r="A461" s="1" t="str">
        <x:v>RESULT</x:v>
      </x:c>
      <x:c r="B461" s="1" t="str">
        <x:v>Round1</x:v>
      </x:c>
      <x:c r="C461" s="1" t="str">
        <x:v>JacksonDatabind_59</x:v>
      </x:c>
      <x:c r="D461" s="1" t="str">
        <x:v>NOT_AVAILABLE</x:v>
      </x:c>
      <x:c r="E461" s="5"/>
      <x:c r="F461" s="4" t="n">
        <x:v>0</x:v>
      </x:c>
      <x:c r="G461" s="4" t="n">
        <x:v>90899</x:v>
      </x:c>
      <x:c r="H461" s="6" t="n">
        <x:v>387.27</x:v>
      </x:c>
      <x:c r="I461" s="16" t="n">
        <x:v>1</x:v>
      </x:c>
      <x:c r="J461"/>
      <x:c r="K461" s="4"/>
      <x:c r="L461" s="4"/>
      <x:c r="M461" s="4"/>
      <x:c r="N461" s="5"/>
    </x:row>
    <x:row r="462" ht="24" customHeight="1">
      <x:c r="A462" s="1" t="str">
        <x:v>RESULT</x:v>
      </x:c>
      <x:c r="B462" s="1" t="str">
        <x:v>Round1</x:v>
      </x:c>
      <x:c r="C462" s="1" t="str">
        <x:v>JacksonDatabind_6</x:v>
      </x:c>
      <x:c r="D462" s="1" t="str">
        <x:v>NOT_REVEALING</x:v>
      </x:c>
      <x:c r="E462" s="5" t="n">
        <x:v>0.8926000000000001</x:v>
      </x:c>
      <x:c r="F462" s="4" t="n">
        <x:v>0</x:v>
      </x:c>
      <x:c r="G462" s="4" t="n">
        <x:v>21898</x:v>
      </x:c>
      <x:c r="H462" s="6" t="n">
        <x:v>84.61</x:v>
      </x:c>
      <x:c r="I462" s="16" t="n">
        <x:v>1</x:v>
      </x:c>
      <x:c r="J462" t="n">
        <x:v>149</x:v>
      </x:c>
      <x:c r="K462" s="4" t="n">
        <x:v>133</x:v>
      </x:c>
      <x:c r="L462" s="4" t="n">
        <x:v>94</x:v>
      </x:c>
      <x:c r="M462" s="4" t="n">
        <x:v>71</x:v>
      </x:c>
      <x:c r="N462" s="5" t="n">
        <x:v>0.7553</x:v>
      </x:c>
    </x:row>
    <x:row r="463" ht="24" customHeight="1">
      <x:c r="A463" s="1" t="str">
        <x:v>RESULT</x:v>
      </x:c>
      <x:c r="B463" s="1" t="str">
        <x:v>Round1</x:v>
      </x:c>
      <x:c r="C463" s="1" t="str">
        <x:v>JacksonDatabind_60</x:v>
      </x:c>
      <x:c r="D463" s="1" t="str">
        <x:v>NOT_AVAILABLE</x:v>
      </x:c>
      <x:c r="E463" s="5"/>
      <x:c r="F463" s="4" t="n">
        <x:v>0</x:v>
      </x:c>
      <x:c r="G463" s="4" t="n">
        <x:v>41995</x:v>
      </x:c>
      <x:c r="H463" s="6" t="n">
        <x:v>191.28</x:v>
      </x:c>
      <x:c r="I463" s="16" t="n">
        <x:v>1</x:v>
      </x:c>
      <x:c r="J463"/>
      <x:c r="K463" s="4"/>
      <x:c r="L463" s="4"/>
      <x:c r="M463" s="4"/>
      <x:c r="N463" s="5"/>
    </x:row>
    <x:row r="464" ht="24" customHeight="1">
      <x:c r="A464" s="1" t="str">
        <x:v>RESULT</x:v>
      </x:c>
      <x:c r="B464" s="1" t="str">
        <x:v>Round1</x:v>
      </x:c>
      <x:c r="C464" s="1" t="str">
        <x:v>JacksonDatabind_61</x:v>
      </x:c>
      <x:c r="D464" s="1" t="str">
        <x:v>NOT_AVAILABLE</x:v>
      </x:c>
      <x:c r="E464" s="5"/>
      <x:c r="F464" s="4" t="n">
        <x:v>0</x:v>
      </x:c>
      <x:c r="G464" s="4" t="n">
        <x:v>60197</x:v>
      </x:c>
      <x:c r="H464" s="6" t="n">
        <x:v>210.69</x:v>
      </x:c>
      <x:c r="I464" s="16" t="n">
        <x:v>1</x:v>
      </x:c>
      <x:c r="J464"/>
      <x:c r="K464" s="4"/>
      <x:c r="L464" s="4"/>
      <x:c r="M464" s="4"/>
      <x:c r="N464" s="5"/>
    </x:row>
    <x:row r="465" ht="24" customHeight="1">
      <x:c r="A465" s="1" t="str">
        <x:v>RESULT</x:v>
      </x:c>
      <x:c r="B465" s="1" t="str">
        <x:v>Round1</x:v>
      </x:c>
      <x:c r="C465" s="1" t="str">
        <x:v>JacksonDatabind_62</x:v>
      </x:c>
      <x:c r="D465" s="1" t="str">
        <x:v>NOT_AVAILABLE</x:v>
      </x:c>
      <x:c r="E465" s="5"/>
      <x:c r="F465" s="4" t="n">
        <x:v>0</x:v>
      </x:c>
      <x:c r="G465" s="4" t="n">
        <x:v>25738</x:v>
      </x:c>
      <x:c r="H465" s="6" t="n">
        <x:v>105.66</x:v>
      </x:c>
      <x:c r="I465" s="16" t="n">
        <x:v>1</x:v>
      </x:c>
      <x:c r="J465"/>
      <x:c r="K465" s="4"/>
      <x:c r="L465" s="4"/>
      <x:c r="M465" s="4"/>
      <x:c r="N465" s="5"/>
    </x:row>
    <x:row r="466" ht="24" customHeight="1">
      <x:c r="A466" s="1" t="str">
        <x:v>RESULT</x:v>
      </x:c>
      <x:c r="B466" s="1" t="str">
        <x:v>Round1</x:v>
      </x:c>
      <x:c r="C466" s="1" t="str">
        <x:v>JacksonDatabind_63</x:v>
      </x:c>
      <x:c r="D466" s="1" t="str">
        <x:v>INCONCLUSIVE</x:v>
      </x:c>
      <x:c r="E466" s="5" t="n">
        <x:v>0.8210999999999999</x:v>
      </x:c>
      <x:c r="F466" s="4" t="n">
        <x:v>0</x:v>
      </x:c>
      <x:c r="G466" s="4" t="n">
        <x:v>34186</x:v>
      </x:c>
      <x:c r="H466" s="6" t="n">
        <x:v>166.77</x:v>
      </x:c>
      <x:c r="I466" s="16" t="n">
        <x:v>1</x:v>
      </x:c>
      <x:c r="J466" t="n">
        <x:v>123</x:v>
      </x:c>
      <x:c r="K466" s="4" t="n">
        <x:v>101</x:v>
      </x:c>
      <x:c r="L466" s="4" t="n">
        <x:v>44</x:v>
      </x:c>
      <x:c r="M466" s="4" t="n">
        <x:v>35</x:v>
      </x:c>
      <x:c r="N466" s="5" t="n">
        <x:v>0.7955</x:v>
      </x:c>
    </x:row>
    <x:row r="467" ht="24" customHeight="1">
      <x:c r="A467" s="1" t="str">
        <x:v>RESULT</x:v>
      </x:c>
      <x:c r="B467" s="1" t="str">
        <x:v>Round1</x:v>
      </x:c>
      <x:c r="C467" s="1" t="str">
        <x:v>JacksonDatabind_64</x:v>
      </x:c>
      <x:c r="D467" s="1" t="str">
        <x:v>NOT_AVAILABLE</x:v>
      </x:c>
      <x:c r="E467" s="5"/>
      <x:c r="F467" s="4" t="n">
        <x:v>0</x:v>
      </x:c>
      <x:c r="G467" s="4" t="n">
        <x:v>29076</x:v>
      </x:c>
      <x:c r="H467" s="6" t="n">
        <x:v>126.95</x:v>
      </x:c>
      <x:c r="I467" s="16" t="n">
        <x:v>1</x:v>
      </x:c>
      <x:c r="J467"/>
      <x:c r="K467" s="4"/>
      <x:c r="L467" s="4"/>
      <x:c r="M467" s="4"/>
      <x:c r="N467" s="5"/>
    </x:row>
    <x:row r="468" ht="24" customHeight="1">
      <x:c r="A468" s="1" t="str">
        <x:v>RESULT</x:v>
      </x:c>
      <x:c r="B468" s="1" t="str">
        <x:v>Round1</x:v>
      </x:c>
      <x:c r="C468" s="1" t="str">
        <x:v>JacksonDatabind_66</x:v>
      </x:c>
      <x:c r="D468" s="1" t="str">
        <x:v>NOT_REVEALING</x:v>
      </x:c>
      <x:c r="E468" s="5" t="n">
        <x:v>0.5321</x:v>
      </x:c>
      <x:c r="F468" s="4" t="n">
        <x:v>0</x:v>
      </x:c>
      <x:c r="G468" s="4" t="n">
        <x:v>26274</x:v>
      </x:c>
      <x:c r="H468" s="6" t="n">
        <x:v>104.83</x:v>
      </x:c>
      <x:c r="I468" s="16" t="n">
        <x:v>1</x:v>
      </x:c>
      <x:c r="J468" t="n">
        <x:v>156</x:v>
      </x:c>
      <x:c r="K468" s="4" t="n">
        <x:v>83</x:v>
      </x:c>
      <x:c r="L468" s="4" t="n">
        <x:v>95</x:v>
      </x:c>
      <x:c r="M468" s="4" t="n">
        <x:v>62</x:v>
      </x:c>
      <x:c r="N468" s="5" t="n">
        <x:v>0.6526000000000001</x:v>
      </x:c>
    </x:row>
    <x:row r="469" ht="24" customHeight="1">
      <x:c r="A469" s="1" t="str">
        <x:v>RESULT</x:v>
      </x:c>
      <x:c r="B469" s="1" t="str">
        <x:v>Round1</x:v>
      </x:c>
      <x:c r="C469" s="1" t="str">
        <x:v>JacksonDatabind_67</x:v>
      </x:c>
      <x:c r="D469" s="1" t="str">
        <x:v>NOT_AVAILABLE</x:v>
      </x:c>
      <x:c r="E469" s="5"/>
      <x:c r="F469" s="4" t="n">
        <x:v>0</x:v>
      </x:c>
      <x:c r="G469" s="4" t="n">
        <x:v>33108</x:v>
      </x:c>
      <x:c r="H469" s="6" t="n">
        <x:v>89.04</x:v>
      </x:c>
      <x:c r="I469" s="16" t="n">
        <x:v>1</x:v>
      </x:c>
      <x:c r="J469"/>
      <x:c r="K469" s="4"/>
      <x:c r="L469" s="4"/>
      <x:c r="M469" s="4"/>
      <x:c r="N469" s="5"/>
    </x:row>
    <x:row r="470" ht="24" customHeight="1">
      <x:c r="A470" s="1" t="str">
        <x:v>RESULT</x:v>
      </x:c>
      <x:c r="B470" s="1" t="str">
        <x:v>Round1</x:v>
      </x:c>
      <x:c r="C470" s="1" t="str">
        <x:v>JacksonDatabind_68</x:v>
      </x:c>
      <x:c r="D470" s="1" t="str">
        <x:v>INCONCLUSIVE</x:v>
      </x:c>
      <x:c r="E470" s="5" t="n">
        <x:v>0.0017000000000000001</x:v>
      </x:c>
      <x:c r="F470" s="4" t="n">
        <x:v>0</x:v>
      </x:c>
      <x:c r="G470" s="4" t="n">
        <x:v>40387</x:v>
      </x:c>
      <x:c r="H470" s="6" t="n">
        <x:v>148.97</x:v>
      </x:c>
      <x:c r="I470" s="16" t="n">
        <x:v>1</x:v>
      </x:c>
      <x:c r="J470" t="n">
        <x:v>592</x:v>
      </x:c>
      <x:c r="K470" s="4" t="n">
        <x:v>1</x:v>
      </x:c>
      <x:c r="L470" s="4" t="n">
        <x:v>369</x:v>
      </x:c>
      <x:c r="M470" s="4" t="n">
        <x:v>0</x:v>
      </x:c>
      <x:c r="N470" s="5" t="n">
        <x:v>0</x:v>
      </x:c>
    </x:row>
    <x:row r="471" ht="24" customHeight="1">
      <x:c r="A471" s="1" t="str">
        <x:v>RESULT</x:v>
      </x:c>
      <x:c r="B471" s="1" t="str">
        <x:v>Round1</x:v>
      </x:c>
      <x:c r="C471" s="1" t="str">
        <x:v>JacksonDatabind_69</x:v>
      </x:c>
      <x:c r="D471" s="1" t="str">
        <x:v>NOT_AVAILABLE</x:v>
      </x:c>
      <x:c r="E471" s="5"/>
      <x:c r="F471" s="4" t="n">
        <x:v>0</x:v>
      </x:c>
      <x:c r="G471" s="4" t="n">
        <x:v>26170</x:v>
      </x:c>
      <x:c r="H471" s="6" t="n">
        <x:v>115.5</x:v>
      </x:c>
      <x:c r="I471" s="16" t="n">
        <x:v>1</x:v>
      </x:c>
      <x:c r="J471"/>
      <x:c r="K471" s="4"/>
      <x:c r="L471" s="4"/>
      <x:c r="M471" s="4"/>
      <x:c r="N471" s="5"/>
    </x:row>
    <x:row r="472" ht="24" customHeight="1">
      <x:c r="A472" s="1" t="str">
        <x:v>RESULT</x:v>
      </x:c>
      <x:c r="B472" s="1" t="str">
        <x:v>Round1</x:v>
      </x:c>
      <x:c r="C472" s="1" t="str">
        <x:v>JacksonDatabind_7</x:v>
      </x:c>
      <x:c r="D472" s="1" t="str">
        <x:v>NOT_AVAILABLE</x:v>
      </x:c>
      <x:c r="E472" s="5"/>
      <x:c r="F472" s="4" t="n">
        <x:v>0</x:v>
      </x:c>
      <x:c r="G472" s="4" t="n">
        <x:v>35233</x:v>
      </x:c>
      <x:c r="H472" s="6" t="n">
        <x:v>122.98</x:v>
      </x:c>
      <x:c r="I472" s="16" t="n">
        <x:v>1</x:v>
      </x:c>
      <x:c r="J472"/>
      <x:c r="K472" s="4"/>
      <x:c r="L472" s="4"/>
      <x:c r="M472" s="4"/>
      <x:c r="N472" s="5"/>
    </x:row>
    <x:row r="473" ht="24" customHeight="1">
      <x:c r="A473" s="1" t="str">
        <x:v>RESULT</x:v>
      </x:c>
      <x:c r="B473" s="1" t="str">
        <x:v>Round1</x:v>
      </x:c>
      <x:c r="C473" s="1" t="str">
        <x:v>JacksonDatabind_70</x:v>
      </x:c>
      <x:c r="D473" s="1" t="str">
        <x:v>NOT_AVAILABLE</x:v>
      </x:c>
      <x:c r="E473" s="5"/>
      <x:c r="F473" s="4" t="n">
        <x:v>0</x:v>
      </x:c>
      <x:c r="G473" s="4" t="n">
        <x:v>28271</x:v>
      </x:c>
      <x:c r="H473" s="6" t="n">
        <x:v>101.79</x:v>
      </x:c>
      <x:c r="I473" s="16" t="n">
        <x:v>1</x:v>
      </x:c>
      <x:c r="J473"/>
      <x:c r="K473" s="4"/>
      <x:c r="L473" s="4"/>
      <x:c r="M473" s="4"/>
      <x:c r="N473" s="5"/>
    </x:row>
    <x:row r="474" ht="24" customHeight="1">
      <x:c r="A474" s="1" t="str">
        <x:v>RESULT</x:v>
      </x:c>
      <x:c r="B474" s="1" t="str">
        <x:v>Round1</x:v>
      </x:c>
      <x:c r="C474" s="1" t="str">
        <x:v>JacksonDatabind_71</x:v>
      </x:c>
      <x:c r="D474" s="1" t="str">
        <x:v>INCONCLUSIVE</x:v>
      </x:c>
      <x:c r="E474" s="5" t="n">
        <x:v>0.8054000000000001</x:v>
      </x:c>
      <x:c r="F474" s="4" t="n">
        <x:v>0</x:v>
      </x:c>
      <x:c r="G474" s="4" t="n">
        <x:v>29033</x:v>
      </x:c>
      <x:c r="H474" s="6" t="n">
        <x:v>129.43</x:v>
      </x:c>
      <x:c r="I474" s="16" t="n">
        <x:v>1</x:v>
      </x:c>
      <x:c r="J474" t="n">
        <x:v>149</x:v>
      </x:c>
      <x:c r="K474" s="4" t="n">
        <x:v>120</x:v>
      </x:c>
      <x:c r="L474" s="4" t="n">
        <x:v>95</x:v>
      </x:c>
      <x:c r="M474" s="4" t="n">
        <x:v>79</x:v>
      </x:c>
      <x:c r="N474" s="5" t="n">
        <x:v>0.8316</x:v>
      </x:c>
    </x:row>
    <x:row r="475" ht="24" customHeight="1">
      <x:c r="A475" s="1" t="str">
        <x:v>RESULT</x:v>
      </x:c>
      <x:c r="B475" s="1" t="str">
        <x:v>Round1</x:v>
      </x:c>
      <x:c r="C475" s="1" t="str">
        <x:v>JacksonDatabind_72</x:v>
      </x:c>
      <x:c r="D475" s="1" t="str">
        <x:v>NOT_AVAILABLE</x:v>
      </x:c>
      <x:c r="E475" s="5"/>
      <x:c r="F475" s="4" t="n">
        <x:v>0</x:v>
      </x:c>
      <x:c r="G475" s="4" t="n">
        <x:v>46082</x:v>
      </x:c>
      <x:c r="H475" s="6" t="n">
        <x:v>213.78</x:v>
      </x:c>
      <x:c r="I475" s="16" t="n">
        <x:v>1</x:v>
      </x:c>
      <x:c r="J475"/>
      <x:c r="K475" s="4"/>
      <x:c r="L475" s="4"/>
      <x:c r="M475" s="4"/>
      <x:c r="N475" s="5"/>
    </x:row>
    <x:row r="476" ht="24" customHeight="1">
      <x:c r="A476" s="1" t="str">
        <x:v>RESULT</x:v>
      </x:c>
      <x:c r="B476" s="1" t="str">
        <x:v>Round1</x:v>
      </x:c>
      <x:c r="C476" s="1" t="str">
        <x:v>JacksonDatabind_73</x:v>
      </x:c>
      <x:c r="D476" s="1" t="str">
        <x:v>NOT_REVEALING</x:v>
      </x:c>
      <x:c r="E476" s="5" t="n">
        <x:v>0.6831999999999999</x:v>
      </x:c>
      <x:c r="F476" s="4" t="n">
        <x:v>0</x:v>
      </x:c>
      <x:c r="G476" s="4" t="n">
        <x:v>81613</x:v>
      </x:c>
      <x:c r="H476" s="6" t="n">
        <x:v>363.26</x:v>
      </x:c>
      <x:c r="I476" s="16" t="n">
        <x:v>1</x:v>
      </x:c>
      <x:c r="J476" t="n">
        <x:v>928</x:v>
      </x:c>
      <x:c r="K476" s="4" t="n">
        <x:v>634</x:v>
      </x:c>
      <x:c r="L476" s="4" t="n">
        <x:v>716</x:v>
      </x:c>
      <x:c r="M476" s="4" t="n">
        <x:v>389</x:v>
      </x:c>
      <x:c r="N476" s="5" t="n">
        <x:v>0.5433</x:v>
      </x:c>
    </x:row>
    <x:row r="477" ht="24" customHeight="1">
      <x:c r="A477" s="1" t="str">
        <x:v>RESULT</x:v>
      </x:c>
      <x:c r="B477" s="1" t="str">
        <x:v>Round1</x:v>
      </x:c>
      <x:c r="C477" s="1" t="str">
        <x:v>JacksonDatabind_74</x:v>
      </x:c>
      <x:c r="D477" s="1" t="str">
        <x:v>NOT_AVAILABLE</x:v>
      </x:c>
      <x:c r="E477" s="5"/>
      <x:c r="F477" s="4" t="n">
        <x:v>0</x:v>
      </x:c>
      <x:c r="G477" s="4" t="n">
        <x:v>31978</x:v>
      </x:c>
      <x:c r="H477" s="6" t="n">
        <x:v>168.92</x:v>
      </x:c>
      <x:c r="I477" s="16" t="n">
        <x:v>1</x:v>
      </x:c>
      <x:c r="J477"/>
      <x:c r="K477" s="4"/>
      <x:c r="L477" s="4"/>
      <x:c r="M477" s="4"/>
      <x:c r="N477" s="5"/>
    </x:row>
    <x:row r="478" ht="24" customHeight="1">
      <x:c r="A478" s="1" t="str">
        <x:v>RESULT</x:v>
      </x:c>
      <x:c r="B478" s="1" t="str">
        <x:v>Round1</x:v>
      </x:c>
      <x:c r="C478" s="1" t="str">
        <x:v>JacksonDatabind_75</x:v>
      </x:c>
      <x:c r="D478" s="1" t="str">
        <x:v>NOT_AVAILABLE</x:v>
      </x:c>
      <x:c r="E478" s="5"/>
      <x:c r="F478" s="4" t="n">
        <x:v>0</x:v>
      </x:c>
      <x:c r="G478" s="4" t="n">
        <x:v>17169</x:v>
      </x:c>
      <x:c r="H478" s="6" t="n">
        <x:v>73.19</x:v>
      </x:c>
      <x:c r="I478" s="16" t="n">
        <x:v>1</x:v>
      </x:c>
      <x:c r="J478"/>
      <x:c r="K478" s="4"/>
      <x:c r="L478" s="4"/>
      <x:c r="M478" s="4"/>
      <x:c r="N478" s="5"/>
    </x:row>
    <x:row r="479" ht="24" customHeight="1">
      <x:c r="A479" s="1" t="str">
        <x:v>RESULT</x:v>
      </x:c>
      <x:c r="B479" s="1" t="str">
        <x:v>Round1</x:v>
      </x:c>
      <x:c r="C479" s="1" t="str">
        <x:v>JacksonDatabind_76</x:v>
      </x:c>
      <x:c r="D479" s="1" t="str">
        <x:v>NOT_AVAILABLE</x:v>
      </x:c>
      <x:c r="E479" s="5"/>
      <x:c r="F479" s="4" t="n">
        <x:v>0</x:v>
      </x:c>
      <x:c r="G479" s="4" t="n">
        <x:v>46110</x:v>
      </x:c>
      <x:c r="H479" s="6" t="n">
        <x:v>224.48</x:v>
      </x:c>
      <x:c r="I479" s="16" t="n">
        <x:v>1</x:v>
      </x:c>
      <x:c r="J479"/>
      <x:c r="K479" s="4"/>
      <x:c r="L479" s="4"/>
      <x:c r="M479" s="4"/>
      <x:c r="N479" s="5"/>
    </x:row>
    <x:row r="480" ht="24" customHeight="1">
      <x:c r="A480" s="1" t="str">
        <x:v>RESULT</x:v>
      </x:c>
      <x:c r="B480" s="1" t="str">
        <x:v>Round1</x:v>
      </x:c>
      <x:c r="C480" s="1" t="str">
        <x:v>JacksonDatabind_77</x:v>
      </x:c>
      <x:c r="D480" s="1" t="str">
        <x:v>NOT_AVAILABLE</x:v>
      </x:c>
      <x:c r="E480" s="5"/>
      <x:c r="F480" s="4" t="n">
        <x:v>0</x:v>
      </x:c>
      <x:c r="G480" s="4" t="n">
        <x:v>24529</x:v>
      </x:c>
      <x:c r="H480" s="6" t="n">
        <x:v>100.9</x:v>
      </x:c>
      <x:c r="I480" s="16" t="n">
        <x:v>1</x:v>
      </x:c>
      <x:c r="J480"/>
      <x:c r="K480" s="4"/>
      <x:c r="L480" s="4"/>
      <x:c r="M480" s="4"/>
      <x:c r="N480" s="5"/>
    </x:row>
    <x:row r="481" ht="24" customHeight="1">
      <x:c r="A481" s="1" t="str">
        <x:v>RESULT</x:v>
      </x:c>
      <x:c r="B481" s="1" t="str">
        <x:v>Round1</x:v>
      </x:c>
      <x:c r="C481" s="1" t="str">
        <x:v>JacksonDatabind_78</x:v>
      </x:c>
      <x:c r="D481" s="1" t="str">
        <x:v>NOT_REVEALING</x:v>
      </x:c>
      <x:c r="E481" s="5" t="n">
        <x:v>0.7232</x:v>
      </x:c>
      <x:c r="F481" s="4" t="n">
        <x:v>0</x:v>
      </x:c>
      <x:c r="G481" s="4" t="n">
        <x:v>30958</x:v>
      </x:c>
      <x:c r="H481" s="6" t="n">
        <x:v>131.59</x:v>
      </x:c>
      <x:c r="I481" s="16" t="n">
        <x:v>1</x:v>
      </x:c>
      <x:c r="J481" t="n">
        <x:v>336</x:v>
      </x:c>
      <x:c r="K481" s="4" t="n">
        <x:v>243</x:v>
      </x:c>
      <x:c r="L481" s="4" t="n">
        <x:v>210</x:v>
      </x:c>
      <x:c r="M481" s="4" t="n">
        <x:v>118</x:v>
      </x:c>
      <x:c r="N481" s="5" t="n">
        <x:v>0.5619</x:v>
      </x:c>
    </x:row>
    <x:row r="482" ht="24" customHeight="1">
      <x:c r="A482" s="1" t="str">
        <x:v>RESULT</x:v>
      </x:c>
      <x:c r="B482" s="1" t="str">
        <x:v>Round1</x:v>
      </x:c>
      <x:c r="C482" s="1" t="str">
        <x:v>JacksonDatabind_79</x:v>
      </x:c>
      <x:c r="D482" s="1" t="str">
        <x:v>NOT_AVAILABLE</x:v>
      </x:c>
      <x:c r="E482" s="5"/>
      <x:c r="F482" s="4" t="n">
        <x:v>0</x:v>
      </x:c>
      <x:c r="G482" s="4" t="n">
        <x:v>83758</x:v>
      </x:c>
      <x:c r="H482" s="6" t="n">
        <x:v>348.2</x:v>
      </x:c>
      <x:c r="I482" s="16" t="n">
        <x:v>1</x:v>
      </x:c>
      <x:c r="J482"/>
      <x:c r="K482" s="4"/>
      <x:c r="L482" s="4"/>
      <x:c r="M482" s="4"/>
      <x:c r="N482" s="5"/>
    </x:row>
    <x:row r="483" ht="24" customHeight="1">
      <x:c r="A483" s="1" t="str">
        <x:v>RESULT</x:v>
      </x:c>
      <x:c r="B483" s="1" t="str">
        <x:v>Round1</x:v>
      </x:c>
      <x:c r="C483" s="1" t="str">
        <x:v>JacksonDatabind_8</x:v>
      </x:c>
      <x:c r="D483" s="1" t="str">
        <x:v>NOT_AVAILABLE</x:v>
      </x:c>
      <x:c r="E483" s="5"/>
      <x:c r="F483" s="4" t="n">
        <x:v>0</x:v>
      </x:c>
      <x:c r="G483" s="4" t="n">
        <x:v>32101</x:v>
      </x:c>
      <x:c r="H483" s="6" t="n">
        <x:v>140.28</x:v>
      </x:c>
      <x:c r="I483" s="16" t="n">
        <x:v>1</x:v>
      </x:c>
      <x:c r="J483"/>
      <x:c r="K483" s="4"/>
      <x:c r="L483" s="4"/>
      <x:c r="M483" s="4"/>
      <x:c r="N483" s="5"/>
    </x:row>
    <x:row r="484" ht="24" customHeight="1">
      <x:c r="A484" s="1" t="str">
        <x:v>RESULT</x:v>
      </x:c>
      <x:c r="B484" s="1" t="str">
        <x:v>Round1</x:v>
      </x:c>
      <x:c r="C484" s="1" t="str">
        <x:v>JacksonDatabind_80</x:v>
      </x:c>
      <x:c r="D484" s="1" t="str">
        <x:v>NOT_AVAILABLE</x:v>
      </x:c>
      <x:c r="E484" s="5"/>
      <x:c r="F484" s="4" t="n">
        <x:v>0</x:v>
      </x:c>
      <x:c r="G484" s="4" t="n">
        <x:v>66057</x:v>
      </x:c>
      <x:c r="H484" s="6" t="n">
        <x:v>323.25</x:v>
      </x:c>
      <x:c r="I484" s="16" t="n">
        <x:v>1</x:v>
      </x:c>
      <x:c r="J484"/>
      <x:c r="K484" s="4"/>
      <x:c r="L484" s="4"/>
      <x:c r="M484" s="4"/>
      <x:c r="N484" s="5"/>
    </x:row>
    <x:row r="485" ht="24" customHeight="1">
      <x:c r="A485" s="1" t="str">
        <x:v>RESULT</x:v>
      </x:c>
      <x:c r="B485" s="1" t="str">
        <x:v>Round1</x:v>
      </x:c>
      <x:c r="C485" s="1" t="str">
        <x:v>JacksonDatabind_81</x:v>
      </x:c>
      <x:c r="D485" s="1" t="str">
        <x:v>NOT_AVAILABLE</x:v>
      </x:c>
      <x:c r="E485" s="5"/>
      <x:c r="F485" s="4" t="n">
        <x:v>0</x:v>
      </x:c>
      <x:c r="G485" s="4" t="n">
        <x:v>47361</x:v>
      </x:c>
      <x:c r="H485" s="6" t="n">
        <x:v>171.4</x:v>
      </x:c>
      <x:c r="I485" s="16" t="n">
        <x:v>1</x:v>
      </x:c>
      <x:c r="J485"/>
      <x:c r="K485" s="4"/>
      <x:c r="L485" s="4"/>
      <x:c r="M485" s="4"/>
      <x:c r="N485" s="5"/>
    </x:row>
    <x:row r="486" ht="24" customHeight="1">
      <x:c r="A486" s="1" t="str">
        <x:v>RESULT</x:v>
      </x:c>
      <x:c r="B486" s="1" t="str">
        <x:v>Round1</x:v>
      </x:c>
      <x:c r="C486" s="1" t="str">
        <x:v>JacksonDatabind_82</x:v>
      </x:c>
      <x:c r="D486" s="1" t="str">
        <x:v>NOT_AVAILABLE</x:v>
      </x:c>
      <x:c r="E486" s="5"/>
      <x:c r="F486" s="4" t="n">
        <x:v>0</x:v>
      </x:c>
      <x:c r="G486" s="4" t="n">
        <x:v>46167</x:v>
      </x:c>
      <x:c r="H486" s="6" t="n">
        <x:v>208.58</x:v>
      </x:c>
      <x:c r="I486" s="16" t="n">
        <x:v>1</x:v>
      </x:c>
      <x:c r="J486"/>
      <x:c r="K486" s="4"/>
      <x:c r="L486" s="4"/>
      <x:c r="M486" s="4"/>
      <x:c r="N486" s="5"/>
    </x:row>
    <x:row r="487" ht="24" customHeight="1">
      <x:c r="A487" s="1" t="str">
        <x:v>RESULT</x:v>
      </x:c>
      <x:c r="B487" s="1" t="str">
        <x:v>Round1</x:v>
      </x:c>
      <x:c r="C487" s="1" t="str">
        <x:v>JacksonDatabind_83</x:v>
      </x:c>
      <x:c r="D487" s="1" t="str">
        <x:v>INCONCLUSIVE</x:v>
      </x:c>
      <x:c r="E487" s="5" t="n">
        <x:v>0.8197</x:v>
      </x:c>
      <x:c r="F487" s="4" t="n">
        <x:v>0</x:v>
      </x:c>
      <x:c r="G487" s="4" t="n">
        <x:v>33635</x:v>
      </x:c>
      <x:c r="H487" s="6" t="n">
        <x:v>167.25</x:v>
      </x:c>
      <x:c r="I487" s="16" t="n">
        <x:v>1</x:v>
      </x:c>
      <x:c r="J487" t="n">
        <x:v>122</x:v>
      </x:c>
      <x:c r="K487" s="4" t="n">
        <x:v>100</x:v>
      </x:c>
      <x:c r="L487" s="4" t="n">
        <x:v>88</x:v>
      </x:c>
      <x:c r="M487" s="4" t="n">
        <x:v>69</x:v>
      </x:c>
      <x:c r="N487" s="5" t="n">
        <x:v>0.7841</x:v>
      </x:c>
    </x:row>
    <x:row r="488" ht="24" customHeight="1">
      <x:c r="A488" s="1" t="str">
        <x:v>RESULT</x:v>
      </x:c>
      <x:c r="B488" s="1" t="str">
        <x:v>Round1</x:v>
      </x:c>
      <x:c r="C488" s="1" t="str">
        <x:v>JacksonDatabind_84</x:v>
      </x:c>
      <x:c r="D488" s="1" t="str">
        <x:v>INCONCLUSIVE</x:v>
      </x:c>
      <x:c r="E488" s="5" t="n">
        <x:v>0.9667</x:v>
      </x:c>
      <x:c r="F488" s="4" t="n">
        <x:v>0</x:v>
      </x:c>
      <x:c r="G488" s="4" t="n">
        <x:v>8105</x:v>
      </x:c>
      <x:c r="H488" s="6" t="n">
        <x:v>34.56</x:v>
      </x:c>
      <x:c r="I488" s="16" t="n">
        <x:v>1</x:v>
      </x:c>
      <x:c r="J488" t="n">
        <x:v>30</x:v>
      </x:c>
      <x:c r="K488" s="4" t="n">
        <x:v>29</x:v>
      </x:c>
      <x:c r="L488" s="4" t="n">
        <x:v>14</x:v>
      </x:c>
      <x:c r="M488" s="4" t="n">
        <x:v>14</x:v>
      </x:c>
      <x:c r="N488" s="5" t="n">
        <x:v>1</x:v>
      </x:c>
    </x:row>
    <x:row r="489" ht="24" customHeight="1">
      <x:c r="A489" s="1" t="str">
        <x:v>RESULT</x:v>
      </x:c>
      <x:c r="B489" s="1" t="str">
        <x:v>Round1</x:v>
      </x:c>
      <x:c r="C489" s="1" t="str">
        <x:v>JacksonDatabind_85</x:v>
      </x:c>
      <x:c r="D489" s="1" t="str">
        <x:v>NOT_AVAILABLE</x:v>
      </x:c>
      <x:c r="E489" s="5"/>
      <x:c r="F489" s="4" t="n">
        <x:v>0</x:v>
      </x:c>
      <x:c r="G489" s="4" t="n">
        <x:v>63432</x:v>
      </x:c>
      <x:c r="H489" s="6" t="n">
        <x:v>322.67</x:v>
      </x:c>
      <x:c r="I489" s="16" t="n">
        <x:v>1</x:v>
      </x:c>
      <x:c r="J489"/>
      <x:c r="K489" s="4"/>
      <x:c r="L489" s="4"/>
      <x:c r="M489" s="4"/>
      <x:c r="N489" s="5"/>
    </x:row>
    <x:row r="490" ht="24" customHeight="1">
      <x:c r="A490" s="1" t="str">
        <x:v>RESULT</x:v>
      </x:c>
      <x:c r="B490" s="1" t="str">
        <x:v>Round1</x:v>
      </x:c>
      <x:c r="C490" s="1" t="str">
        <x:v>JacksonDatabind_86</x:v>
      </x:c>
      <x:c r="D490" s="1" t="str">
        <x:v>NOT_REVEALING</x:v>
      </x:c>
      <x:c r="E490" s="5" t="n">
        <x:v>0.9667</x:v>
      </x:c>
      <x:c r="F490" s="4" t="n">
        <x:v>0</x:v>
      </x:c>
      <x:c r="G490" s="4" t="n">
        <x:v>17758</x:v>
      </x:c>
      <x:c r="H490" s="6" t="n">
        <x:v>93.82</x:v>
      </x:c>
      <x:c r="I490" s="16" t="n">
        <x:v>1</x:v>
      </x:c>
      <x:c r="J490" t="n">
        <x:v>30</x:v>
      </x:c>
      <x:c r="K490" s="4" t="n">
        <x:v>29</x:v>
      </x:c>
      <x:c r="L490" s="4" t="n">
        <x:v>14</x:v>
      </x:c>
      <x:c r="M490" s="4" t="n">
        <x:v>14</x:v>
      </x:c>
      <x:c r="N490" s="5" t="n">
        <x:v>1</x:v>
      </x:c>
    </x:row>
    <x:row r="491" ht="24" customHeight="1">
      <x:c r="A491" s="1" t="str">
        <x:v>RESULT</x:v>
      </x:c>
      <x:c r="B491" s="1" t="str">
        <x:v>Round1</x:v>
      </x:c>
      <x:c r="C491" s="1" t="str">
        <x:v>JacksonDatabind_87</x:v>
      </x:c>
      <x:c r="D491" s="1" t="str">
        <x:v>NOT_REVEALING</x:v>
      </x:c>
      <x:c r="E491" s="5" t="n">
        <x:v>0.8564</x:v>
      </x:c>
      <x:c r="F491" s="4" t="n">
        <x:v>0</x:v>
      </x:c>
      <x:c r="G491" s="4" t="n">
        <x:v>27198</x:v>
      </x:c>
      <x:c r="H491" s="6" t="n">
        <x:v>114.13</x:v>
      </x:c>
      <x:c r="I491" s="16" t="n">
        <x:v>1</x:v>
      </x:c>
      <x:c r="J491" t="n">
        <x:v>202</x:v>
      </x:c>
      <x:c r="K491" s="4" t="n">
        <x:v>173</x:v>
      </x:c>
      <x:c r="L491" s="4" t="n">
        <x:v>136</x:v>
      </x:c>
      <x:c r="M491" s="4" t="n">
        <x:v>89</x:v>
      </x:c>
      <x:c r="N491" s="5" t="n">
        <x:v>0.6544</x:v>
      </x:c>
    </x:row>
    <x:row r="492" ht="24" customHeight="1">
      <x:c r="A492" s="1" t="str">
        <x:v>RESULT</x:v>
      </x:c>
      <x:c r="B492" s="1" t="str">
        <x:v>Round1</x:v>
      </x:c>
      <x:c r="C492" s="1" t="str">
        <x:v>JacksonDatabind_88</x:v>
      </x:c>
      <x:c r="D492" s="1" t="str">
        <x:v>NOT_AVAILABLE</x:v>
      </x:c>
      <x:c r="E492" s="5"/>
      <x:c r="F492" s="4" t="n">
        <x:v>0</x:v>
      </x:c>
      <x:c r="G492" s="4" t="n">
        <x:v>43326</x:v>
      </x:c>
      <x:c r="H492" s="6" t="n">
        <x:v>218.07</x:v>
      </x:c>
      <x:c r="I492" s="16" t="n">
        <x:v>1</x:v>
      </x:c>
      <x:c r="J492"/>
      <x:c r="K492" s="4"/>
      <x:c r="L492" s="4"/>
      <x:c r="M492" s="4"/>
      <x:c r="N492" s="5"/>
    </x:row>
    <x:row r="493" ht="24" customHeight="1">
      <x:c r="A493" s="1" t="str">
        <x:v>RESULT</x:v>
      </x:c>
      <x:c r="B493" s="1" t="str">
        <x:v>Round1</x:v>
      </x:c>
      <x:c r="C493" s="1" t="str">
        <x:v>JacksonDatabind_9</x:v>
      </x:c>
      <x:c r="D493" s="1" t="str">
        <x:v>INCONCLUSIVE</x:v>
      </x:c>
      <x:c r="E493" s="5" t="n">
        <x:v>0.9</x:v>
      </x:c>
      <x:c r="F493" s="4" t="n">
        <x:v>0</x:v>
      </x:c>
      <x:c r="G493" s="4" t="n">
        <x:v>16352</x:v>
      </x:c>
      <x:c r="H493" s="6" t="n">
        <x:v>84.29</x:v>
      </x:c>
      <x:c r="I493" s="16" t="n">
        <x:v>1</x:v>
      </x:c>
      <x:c r="J493" t="n">
        <x:v>10</x:v>
      </x:c>
      <x:c r="K493" s="4" t="n">
        <x:v>9</x:v>
      </x:c>
      <x:c r="L493" s="4" t="n">
        <x:v>2</x:v>
      </x:c>
      <x:c r="M493" s="4" t="n">
        <x:v>2</x:v>
      </x:c>
      <x:c r="N493" s="5" t="n">
        <x:v>1</x:v>
      </x:c>
    </x:row>
    <x:row r="494" ht="24" customHeight="1">
      <x:c r="A494" s="1" t="str">
        <x:v>RESULT</x:v>
      </x:c>
      <x:c r="B494" s="1" t="str">
        <x:v>Round1</x:v>
      </x:c>
      <x:c r="C494" s="1" t="str">
        <x:v>JacksonDatabind_90</x:v>
      </x:c>
      <x:c r="D494" s="1" t="str">
        <x:v>NOT_AVAILABLE</x:v>
      </x:c>
      <x:c r="E494" s="5"/>
      <x:c r="F494" s="4" t="n">
        <x:v>0</x:v>
      </x:c>
      <x:c r="G494" s="4" t="n">
        <x:v>55257</x:v>
      </x:c>
      <x:c r="H494" s="6" t="n">
        <x:v>234.63</x:v>
      </x:c>
      <x:c r="I494" s="16" t="n">
        <x:v>1</x:v>
      </x:c>
      <x:c r="J494"/>
      <x:c r="K494" s="4"/>
      <x:c r="L494" s="4"/>
      <x:c r="M494" s="4"/>
      <x:c r="N494" s="5"/>
    </x:row>
    <x:row r="495" ht="24" customHeight="1">
      <x:c r="A495" s="1" t="str">
        <x:v>RESULT</x:v>
      </x:c>
      <x:c r="B495" s="1" t="str">
        <x:v>Round1</x:v>
      </x:c>
      <x:c r="C495" s="1" t="str">
        <x:v>JacksonDatabind_91</x:v>
      </x:c>
      <x:c r="D495" s="1" t="str">
        <x:v>NOT_AVAILABLE</x:v>
      </x:c>
      <x:c r="E495" s="5"/>
      <x:c r="F495" s="4" t="n">
        <x:v>0</x:v>
      </x:c>
      <x:c r="G495" s="4" t="n">
        <x:v>41754</x:v>
      </x:c>
      <x:c r="H495" s="6" t="n">
        <x:v>191.92</x:v>
      </x:c>
      <x:c r="I495" s="16" t="n">
        <x:v>1</x:v>
      </x:c>
      <x:c r="J495"/>
      <x:c r="K495" s="4"/>
      <x:c r="L495" s="4"/>
      <x:c r="M495" s="4"/>
      <x:c r="N495" s="5"/>
    </x:row>
    <x:row r="496" ht="24" customHeight="1">
      <x:c r="A496" s="1" t="str">
        <x:v>RESULT</x:v>
      </x:c>
      <x:c r="B496" s="1" t="str">
        <x:v>Round1</x:v>
      </x:c>
      <x:c r="C496" s="1" t="str">
        <x:v>JacksonDatabind_92</x:v>
      </x:c>
      <x:c r="D496" s="1" t="str">
        <x:v>NOT_AVAILABLE</x:v>
      </x:c>
      <x:c r="E496" s="5"/>
      <x:c r="F496" s="4" t="n">
        <x:v>0</x:v>
      </x:c>
      <x:c r="G496" s="4" t="n">
        <x:v>57366</x:v>
      </x:c>
      <x:c r="H496" s="6" t="n">
        <x:v>297.58</x:v>
      </x:c>
      <x:c r="I496" s="16" t="n">
        <x:v>1</x:v>
      </x:c>
      <x:c r="J496"/>
      <x:c r="K496" s="4"/>
      <x:c r="L496" s="4"/>
      <x:c r="M496" s="4"/>
      <x:c r="N496" s="5"/>
    </x:row>
    <x:row r="497" ht="24" customHeight="1">
      <x:c r="A497" s="1" t="str">
        <x:v>RESULT</x:v>
      </x:c>
      <x:c r="B497" s="1" t="str">
        <x:v>Round1</x:v>
      </x:c>
      <x:c r="C497" s="1" t="str">
        <x:v>JacksonDatabind_93</x:v>
      </x:c>
      <x:c r="D497" s="1" t="str">
        <x:v>NOT_AVAILABLE</x:v>
      </x:c>
      <x:c r="E497" s="5"/>
      <x:c r="F497" s="4" t="n">
        <x:v>0</x:v>
      </x:c>
      <x:c r="G497" s="4" t="n">
        <x:v>19662</x:v>
      </x:c>
      <x:c r="H497" s="6" t="n">
        <x:v>109.65</x:v>
      </x:c>
      <x:c r="I497" s="16" t="n">
        <x:v>1</x:v>
      </x:c>
      <x:c r="J497"/>
      <x:c r="K497" s="4"/>
      <x:c r="L497" s="4"/>
      <x:c r="M497" s="4"/>
      <x:c r="N497" s="5"/>
    </x:row>
    <x:row r="498" ht="24" customHeight="1">
      <x:c r="A498" s="1" t="str">
        <x:v>RESULT</x:v>
      </x:c>
      <x:c r="B498" s="1" t="str">
        <x:v>Round1</x:v>
      </x:c>
      <x:c r="C498" s="1" t="str">
        <x:v>JacksonDatabind_94</x:v>
      </x:c>
      <x:c r="D498" s="1" t="str">
        <x:v>INCONCLUSIVE</x:v>
      </x:c>
      <x:c r="E498" s="5" t="n">
        <x:v>0.8571</x:v>
      </x:c>
      <x:c r="F498" s="4" t="n">
        <x:v>0</x:v>
      </x:c>
      <x:c r="G498" s="4" t="n">
        <x:v>19933</x:v>
      </x:c>
      <x:c r="H498" s="6" t="n">
        <x:v>113.42</x:v>
      </x:c>
      <x:c r="I498" s="16" t="n">
        <x:v>1</x:v>
      </x:c>
      <x:c r="J498" t="n">
        <x:v>35</x:v>
      </x:c>
      <x:c r="K498" s="4" t="n">
        <x:v>30</x:v>
      </x:c>
      <x:c r="L498" s="4" t="n">
        <x:v>14</x:v>
      </x:c>
      <x:c r="M498" s="4" t="n">
        <x:v>5</x:v>
      </x:c>
      <x:c r="N498" s="5" t="n">
        <x:v>0.35710000000000003</x:v>
      </x:c>
    </x:row>
    <x:row r="499" ht="24" customHeight="1">
      <x:c r="A499" s="1" t="str">
        <x:v>RESULT</x:v>
      </x:c>
      <x:c r="B499" s="1" t="str">
        <x:v>Round1</x:v>
      </x:c>
      <x:c r="C499" s="1" t="str">
        <x:v>JacksonDatabind_95</x:v>
      </x:c>
      <x:c r="D499" s="1" t="str">
        <x:v>NOT_AVAILABLE</x:v>
      </x:c>
      <x:c r="E499" s="5"/>
      <x:c r="F499" s="4" t="n">
        <x:v>0</x:v>
      </x:c>
      <x:c r="G499" s="4" t="n">
        <x:v>51009</x:v>
      </x:c>
      <x:c r="H499" s="6" t="n">
        <x:v>246.08</x:v>
      </x:c>
      <x:c r="I499" s="16" t="n">
        <x:v>1</x:v>
      </x:c>
      <x:c r="J499"/>
      <x:c r="K499" s="4"/>
      <x:c r="L499" s="4"/>
      <x:c r="M499" s="4"/>
      <x:c r="N499" s="5"/>
    </x:row>
    <x:row r="500" ht="24" customHeight="1">
      <x:c r="A500" s="1" t="str">
        <x:v>RESULT</x:v>
      </x:c>
      <x:c r="B500" s="1" t="str">
        <x:v>Round1</x:v>
      </x:c>
      <x:c r="C500" s="1" t="str">
        <x:v>JacksonDatabind_96</x:v>
      </x:c>
      <x:c r="D500" s="1" t="str">
        <x:v>NOT_AVAILABLE</x:v>
      </x:c>
      <x:c r="E500" s="5"/>
      <x:c r="F500" s="4" t="n">
        <x:v>0</x:v>
      </x:c>
      <x:c r="G500" s="4" t="n">
        <x:v>52149</x:v>
      </x:c>
      <x:c r="H500" s="6" t="n">
        <x:v>192.69</x:v>
      </x:c>
      <x:c r="I500" s="16" t="n">
        <x:v>1</x:v>
      </x:c>
      <x:c r="J500"/>
      <x:c r="K500" s="4"/>
      <x:c r="L500" s="4"/>
      <x:c r="M500" s="4"/>
      <x:c r="N500" s="5"/>
    </x:row>
    <x:row r="501" ht="24" customHeight="1">
      <x:c r="A501" s="1" t="str">
        <x:v>RESULT</x:v>
      </x:c>
      <x:c r="B501" s="1" t="str">
        <x:v>Round1</x:v>
      </x:c>
      <x:c r="C501" s="1" t="str">
        <x:v>JacksonDatabind_97</x:v>
      </x:c>
      <x:c r="D501" s="1" t="str">
        <x:v>NOT_AVAILABLE</x:v>
      </x:c>
      <x:c r="E501" s="5"/>
      <x:c r="F501" s="4" t="n">
        <x:v>0</x:v>
      </x:c>
      <x:c r="G501" s="4" t="n">
        <x:v>15148</x:v>
      </x:c>
      <x:c r="H501" s="6" t="n">
        <x:v>67.22</x:v>
      </x:c>
      <x:c r="I501" s="16" t="n">
        <x:v>1</x:v>
      </x:c>
      <x:c r="J501"/>
      <x:c r="K501" s="4"/>
      <x:c r="L501" s="4"/>
      <x:c r="M501" s="4"/>
      <x:c r="N501" s="5"/>
    </x:row>
    <x:row r="502" ht="24" customHeight="1">
      <x:c r="A502" s="1" t="str">
        <x:v>RESULT</x:v>
      </x:c>
      <x:c r="B502" s="1" t="str">
        <x:v>Round1</x:v>
      </x:c>
      <x:c r="C502" s="1" t="str">
        <x:v>JacksonDatabind_98</x:v>
      </x:c>
      <x:c r="D502" s="1" t="str">
        <x:v>NOT_AVAILABLE</x:v>
      </x:c>
      <x:c r="E502" s="5"/>
      <x:c r="F502" s="4" t="n">
        <x:v>0</x:v>
      </x:c>
      <x:c r="G502" s="4" t="n">
        <x:v>43871</x:v>
      </x:c>
      <x:c r="H502" s="6" t="n">
        <x:v>191.78</x:v>
      </x:c>
      <x:c r="I502" s="16" t="n">
        <x:v>1</x:v>
      </x:c>
      <x:c r="J502"/>
      <x:c r="K502" s="4"/>
      <x:c r="L502" s="4"/>
      <x:c r="M502" s="4"/>
      <x:c r="N502" s="5"/>
    </x:row>
    <x:row r="503" ht="24" customHeight="1">
      <x:c r="A503" s="1" t="str">
        <x:v>RESULT</x:v>
      </x:c>
      <x:c r="B503" s="1" t="str">
        <x:v>Round1</x:v>
      </x:c>
      <x:c r="C503" s="1" t="str">
        <x:v>JacksonDatabind_99</x:v>
      </x:c>
      <x:c r="D503" s="1" t="str">
        <x:v>NOT_AVAILABLE</x:v>
      </x:c>
      <x:c r="E503" s="5"/>
      <x:c r="F503" s="4" t="n">
        <x:v>0</x:v>
      </x:c>
      <x:c r="G503" s="4" t="n">
        <x:v>53726</x:v>
      </x:c>
      <x:c r="H503" s="6" t="n">
        <x:v>274.4</x:v>
      </x:c>
      <x:c r="I503" s="16" t="n">
        <x:v>1</x:v>
      </x:c>
      <x:c r="J503"/>
      <x:c r="K503" s="4"/>
      <x:c r="L503" s="4"/>
      <x:c r="M503" s="4"/>
      <x:c r="N503" s="5"/>
    </x:row>
    <x:row r="504" ht="24" customHeight="1">
      <x:c r="A504" s="1" t="str">
        <x:v>RESULT</x:v>
      </x:c>
      <x:c r="B504" s="1" t="str">
        <x:v>Round1</x:v>
      </x:c>
      <x:c r="C504" s="1" t="str">
        <x:v>JacksonXml_1</x:v>
      </x:c>
      <x:c r="D504" s="1" t="str">
        <x:v>NOT_AVAILABLE</x:v>
      </x:c>
      <x:c r="E504" s="5"/>
      <x:c r="F504" s="4" t="n">
        <x:v>0</x:v>
      </x:c>
      <x:c r="G504" s="4" t="n">
        <x:v>8470</x:v>
      </x:c>
      <x:c r="H504" s="6" t="n">
        <x:v>125.19</x:v>
      </x:c>
      <x:c r="I504" s="16" t="n">
        <x:v>1</x:v>
      </x:c>
      <x:c r="J504"/>
      <x:c r="K504" s="4"/>
      <x:c r="L504" s="4"/>
      <x:c r="M504" s="4"/>
      <x:c r="N504" s="5"/>
    </x:row>
    <x:row r="505" ht="24" customHeight="1">
      <x:c r="A505" s="1" t="str">
        <x:v>RESULT</x:v>
      </x:c>
      <x:c r="B505" s="1" t="str">
        <x:v>Round1</x:v>
      </x:c>
      <x:c r="C505" s="1" t="str">
        <x:v>JacksonXml_2</x:v>
      </x:c>
      <x:c r="D505" s="1" t="str">
        <x:v>NOT_AVAILABLE</x:v>
      </x:c>
      <x:c r="E505" s="5"/>
      <x:c r="F505" s="4" t="n">
        <x:v>0</x:v>
      </x:c>
      <x:c r="G505" s="4" t="n">
        <x:v>8214</x:v>
      </x:c>
      <x:c r="H505" s="6" t="n">
        <x:v>115.22</x:v>
      </x:c>
      <x:c r="I505" s="16" t="n">
        <x:v>1</x:v>
      </x:c>
      <x:c r="J505"/>
      <x:c r="K505" s="4"/>
      <x:c r="L505" s="4"/>
      <x:c r="M505" s="4"/>
      <x:c r="N505" s="5"/>
    </x:row>
    <x:row r="506" ht="24" customHeight="1">
      <x:c r="A506" s="1" t="str">
        <x:v>RESULT</x:v>
      </x:c>
      <x:c r="B506" s="1" t="str">
        <x:v>Round1</x:v>
      </x:c>
      <x:c r="C506" s="1" t="str">
        <x:v>JacksonXml_3</x:v>
      </x:c>
      <x:c r="D506" s="1" t="str">
        <x:v>NOT_AVAILABLE</x:v>
      </x:c>
      <x:c r="E506" s="5"/>
      <x:c r="F506" s="4" t="n">
        <x:v>0</x:v>
      </x:c>
      <x:c r="G506" s="4" t="n">
        <x:v>9654</x:v>
      </x:c>
      <x:c r="H506" s="6" t="n">
        <x:v>162.73</x:v>
      </x:c>
      <x:c r="I506" s="16" t="n">
        <x:v>1</x:v>
      </x:c>
      <x:c r="J506"/>
      <x:c r="K506" s="4"/>
      <x:c r="L506" s="4"/>
      <x:c r="M506" s="4"/>
      <x:c r="N506" s="5"/>
    </x:row>
    <x:row r="507" ht="24" customHeight="1">
      <x:c r="A507" s="1" t="str">
        <x:v>RESULT</x:v>
      </x:c>
      <x:c r="B507" s="1" t="str">
        <x:v>Round1</x:v>
      </x:c>
      <x:c r="C507" s="1" t="str">
        <x:v>JacksonXml_4</x:v>
      </x:c>
      <x:c r="D507" s="1" t="str">
        <x:v>NOT_AVAILABLE</x:v>
      </x:c>
      <x:c r="E507" s="5"/>
      <x:c r="F507" s="4" t="n">
        <x:v>0</x:v>
      </x:c>
      <x:c r="G507" s="4" t="n">
        <x:v>7116</x:v>
      </x:c>
      <x:c r="H507" s="6" t="n">
        <x:v>124.81</x:v>
      </x:c>
      <x:c r="I507" s="16" t="n">
        <x:v>1</x:v>
      </x:c>
      <x:c r="J507"/>
      <x:c r="K507" s="4"/>
      <x:c r="L507" s="4"/>
      <x:c r="M507" s="4"/>
      <x:c r="N507" s="5"/>
    </x:row>
    <x:row r="508" ht="24" customHeight="1">
      <x:c r="A508" s="1" t="str">
        <x:v>RESULT</x:v>
      </x:c>
      <x:c r="B508" s="1" t="str">
        <x:v>Round1</x:v>
      </x:c>
      <x:c r="C508" s="1" t="str">
        <x:v>JacksonXml_5</x:v>
      </x:c>
      <x:c r="D508" s="1" t="str">
        <x:v>NOT_AVAILABLE</x:v>
      </x:c>
      <x:c r="E508" s="5"/>
      <x:c r="F508" s="4" t="n">
        <x:v>0</x:v>
      </x:c>
      <x:c r="G508" s="4" t="n">
        <x:v>6810</x:v>
      </x:c>
      <x:c r="H508" s="6" t="n">
        <x:v>115.64</x:v>
      </x:c>
      <x:c r="I508" s="16" t="n">
        <x:v>1</x:v>
      </x:c>
      <x:c r="J508"/>
      <x:c r="K508" s="4"/>
      <x:c r="L508" s="4"/>
      <x:c r="M508" s="4"/>
      <x:c r="N508" s="5"/>
    </x:row>
    <x:row r="509" ht="24" customHeight="1">
      <x:c r="A509" s="1" t="str">
        <x:v>RESULT</x:v>
      </x:c>
      <x:c r="B509" s="1" t="str">
        <x:v>Round1</x:v>
      </x:c>
      <x:c r="C509" s="1" t="str">
        <x:v>JacksonXml_6</x:v>
      </x:c>
      <x:c r="D509" s="1" t="str">
        <x:v>NOT_AVAILABLE</x:v>
      </x:c>
      <x:c r="E509" s="5"/>
      <x:c r="F509" s="4" t="n">
        <x:v>0</x:v>
      </x:c>
      <x:c r="G509" s="4" t="n">
        <x:v>12771</x:v>
      </x:c>
      <x:c r="H509" s="6" t="n">
        <x:v>150.9</x:v>
      </x:c>
      <x:c r="I509" s="16" t="n">
        <x:v>1</x:v>
      </x:c>
      <x:c r="J509"/>
      <x:c r="K509" s="4"/>
      <x:c r="L509" s="4"/>
      <x:c r="M509" s="4"/>
      <x:c r="N509" s="5"/>
    </x:row>
    <x:row r="510" ht="24" customHeight="1">
      <x:c r="A510" s="1" t="str">
        <x:v>RESULT</x:v>
      </x:c>
      <x:c r="B510" s="1" t="str">
        <x:v>Round1</x:v>
      </x:c>
      <x:c r="C510" s="1" t="str">
        <x:v>Jsoup_1</x:v>
      </x:c>
      <x:c r="D510" s="1" t="str">
        <x:v>INCONCLUSIVE</x:v>
      </x:c>
      <x:c r="E510" s="5" t="n">
        <x:v>0.9783</x:v>
      </x:c>
      <x:c r="F510" s="4" t="n">
        <x:v>0</x:v>
      </x:c>
      <x:c r="G510" s="4" t="n">
        <x:v>3538</x:v>
      </x:c>
      <x:c r="H510" s="6" t="n">
        <x:v>45.8</x:v>
      </x:c>
      <x:c r="I510" s="16" t="n">
        <x:v>1</x:v>
      </x:c>
      <x:c r="J510" t="n">
        <x:v>46</x:v>
      </x:c>
      <x:c r="K510" s="4" t="n">
        <x:v>45</x:v>
      </x:c>
      <x:c r="L510" s="4" t="n">
        <x:v>18</x:v>
      </x:c>
      <x:c r="M510" s="4" t="n">
        <x:v>17</x:v>
      </x:c>
      <x:c r="N510" s="5" t="n">
        <x:v>0.9444</x:v>
      </x:c>
    </x:row>
    <x:row r="511" ht="24" customHeight="1">
      <x:c r="A511" s="1" t="str">
        <x:v>RESULT</x:v>
      </x:c>
      <x:c r="B511" s="1" t="str">
        <x:v>Round1</x:v>
      </x:c>
      <x:c r="C511" s="1" t="str">
        <x:v>Jsoup_10</x:v>
      </x:c>
      <x:c r="D511" s="1" t="str">
        <x:v>NOT_AVAILABLE</x:v>
      </x:c>
      <x:c r="E511" s="5"/>
      <x:c r="F511" s="4" t="n">
        <x:v>0</x:v>
      </x:c>
      <x:c r="G511" s="4" t="n">
        <x:v>6827</x:v>
      </x:c>
      <x:c r="H511" s="6" t="n">
        <x:v>67.1</x:v>
      </x:c>
      <x:c r="I511" s="16" t="n">
        <x:v>1</x:v>
      </x:c>
      <x:c r="J511"/>
      <x:c r="K511" s="4"/>
      <x:c r="L511" s="4"/>
      <x:c r="M511" s="4"/>
      <x:c r="N511" s="5"/>
    </x:row>
    <x:row r="512" ht="24" customHeight="1">
      <x:c r="A512" s="1" t="str">
        <x:v>RESULT</x:v>
      </x:c>
      <x:c r="B512" s="1" t="str">
        <x:v>Round1</x:v>
      </x:c>
      <x:c r="C512" s="1" t="str">
        <x:v>Jsoup_11</x:v>
      </x:c>
      <x:c r="D512" s="1" t="str">
        <x:v>INCONCLUSIVE</x:v>
      </x:c>
      <x:c r="E512" s="5" t="n">
        <x:v>0.8131</x:v>
      </x:c>
      <x:c r="F512" s="4" t="n">
        <x:v>0</x:v>
      </x:c>
      <x:c r="G512" s="4" t="n">
        <x:v>7997</x:v>
      </x:c>
      <x:c r="H512" s="6" t="n">
        <x:v>63.54</x:v>
      </x:c>
      <x:c r="I512" s="16" t="n">
        <x:v>1</x:v>
      </x:c>
      <x:c r="J512" t="n">
        <x:v>198</x:v>
      </x:c>
      <x:c r="K512" s="4" t="n">
        <x:v>161</x:v>
      </x:c>
      <x:c r="L512" s="4" t="n">
        <x:v>120</x:v>
      </x:c>
      <x:c r="M512" s="4" t="n">
        <x:v>83</x:v>
      </x:c>
      <x:c r="N512" s="5" t="n">
        <x:v>0.6917</x:v>
      </x:c>
    </x:row>
    <x:row r="513" ht="24" customHeight="1">
      <x:c r="A513" s="1" t="str">
        <x:v>RESULT</x:v>
      </x:c>
      <x:c r="B513" s="1" t="str">
        <x:v>Round1</x:v>
      </x:c>
      <x:c r="C513" s="1" t="str">
        <x:v>Jsoup_12</x:v>
      </x:c>
      <x:c r="D513" s="1" t="str">
        <x:v>INCONCLUSIVE</x:v>
      </x:c>
      <x:c r="E513" s="5" t="n">
        <x:v>0.9495</x:v>
      </x:c>
      <x:c r="F513" s="4" t="n">
        <x:v>0</x:v>
      </x:c>
      <x:c r="G513" s="4" t="n">
        <x:v>8769</x:v>
      </x:c>
      <x:c r="H513" s="6" t="n">
        <x:v>81.98</x:v>
      </x:c>
      <x:c r="I513" s="16" t="n">
        <x:v>1</x:v>
      </x:c>
      <x:c r="J513" t="n">
        <x:v>218</x:v>
      </x:c>
      <x:c r="K513" s="4" t="n">
        <x:v>207</x:v>
      </x:c>
      <x:c r="L513" s="4" t="n">
        <x:v>132</x:v>
      </x:c>
      <x:c r="M513" s="4" t="n">
        <x:v>118</x:v>
      </x:c>
      <x:c r="N513" s="5" t="n">
        <x:v>0.8939</x:v>
      </x:c>
    </x:row>
    <x:row r="514" ht="24" customHeight="1">
      <x:c r="A514" s="1" t="str">
        <x:v>RESULT</x:v>
      </x:c>
      <x:c r="B514" s="1" t="str">
        <x:v>Round1</x:v>
      </x:c>
      <x:c r="C514" s="1" t="str">
        <x:v>Jsoup_13</x:v>
      </x:c>
      <x:c r="D514" s="1" t="str">
        <x:v>NOT_AVAILABLE</x:v>
      </x:c>
      <x:c r="E514" s="5"/>
      <x:c r="F514" s="4" t="n">
        <x:v>0</x:v>
      </x:c>
      <x:c r="G514" s="4" t="n">
        <x:v>7694</x:v>
      </x:c>
      <x:c r="H514" s="6" t="n">
        <x:v>70.35</x:v>
      </x:c>
      <x:c r="I514" s="16" t="n">
        <x:v>1</x:v>
      </x:c>
      <x:c r="J514"/>
      <x:c r="K514" s="4"/>
      <x:c r="L514" s="4"/>
      <x:c r="M514" s="4"/>
      <x:c r="N514" s="5"/>
    </x:row>
    <x:row r="515" ht="24" customHeight="1">
      <x:c r="A515" s="1" t="str">
        <x:v>RESULT</x:v>
      </x:c>
      <x:c r="B515" s="1" t="str">
        <x:v>Round1</x:v>
      </x:c>
      <x:c r="C515" s="1" t="str">
        <x:v>Jsoup_14</x:v>
      </x:c>
      <x:c r="D515" s="1" t="str">
        <x:v>NOT_AVAILABLE</x:v>
      </x:c>
      <x:c r="E515" s="5"/>
      <x:c r="F515" s="4" t="n">
        <x:v>0</x:v>
      </x:c>
      <x:c r="G515" s="4" t="n">
        <x:v>26339</x:v>
      </x:c>
      <x:c r="H515" s="6" t="n">
        <x:v>426.47</x:v>
      </x:c>
      <x:c r="I515" s="16" t="n">
        <x:v>1</x:v>
      </x:c>
      <x:c r="J515"/>
      <x:c r="K515" s="4"/>
      <x:c r="L515" s="4"/>
      <x:c r="M515" s="4"/>
      <x:c r="N515" s="5"/>
    </x:row>
    <x:row r="516" ht="24" customHeight="1">
      <x:c r="A516" s="1" t="str">
        <x:v>RESULT</x:v>
      </x:c>
      <x:c r="B516" s="1" t="str">
        <x:v>Round1</x:v>
      </x:c>
      <x:c r="C516" s="1" t="str">
        <x:v>Jsoup_15</x:v>
      </x:c>
      <x:c r="D516" s="1" t="str">
        <x:v>NOT_AVAILABLE</x:v>
      </x:c>
      <x:c r="E516" s="5"/>
      <x:c r="F516" s="4" t="n">
        <x:v>0</x:v>
      </x:c>
      <x:c r="G516" s="4" t="n">
        <x:v>20551</x:v>
      </x:c>
      <x:c r="H516" s="6" t="n">
        <x:v>309.39</x:v>
      </x:c>
      <x:c r="I516" s="16" t="n">
        <x:v>1</x:v>
      </x:c>
      <x:c r="J516"/>
      <x:c r="K516" s="4"/>
      <x:c r="L516" s="4"/>
      <x:c r="M516" s="4"/>
      <x:c r="N516" s="5"/>
    </x:row>
    <x:row r="517" ht="24" customHeight="1">
      <x:c r="A517" s="1" t="str">
        <x:v>RESULT</x:v>
      </x:c>
      <x:c r="B517" s="1" t="str">
        <x:v>Round1</x:v>
      </x:c>
      <x:c r="C517" s="1" t="str">
        <x:v>Jsoup_16</x:v>
      </x:c>
      <x:c r="D517" s="1" t="str">
        <x:v>INCONCLUSIVE</x:v>
      </x:c>
      <x:c r="E517" s="5" t="n">
        <x:v>1</x:v>
      </x:c>
      <x:c r="F517" s="4" t="n">
        <x:v>0</x:v>
      </x:c>
      <x:c r="G517" s="4" t="n">
        <x:v>2174</x:v>
      </x:c>
      <x:c r="H517" s="6" t="n">
        <x:v>32.86</x:v>
      </x:c>
      <x:c r="I517" s="16" t="n">
        <x:v>1</x:v>
      </x:c>
      <x:c r="J517" t="n">
        <x:v>14</x:v>
      </x:c>
      <x:c r="K517" s="4" t="n">
        <x:v>14</x:v>
      </x:c>
      <x:c r="L517" s="4" t="n">
        <x:v>4</x:v>
      </x:c>
      <x:c r="M517" s="4" t="n">
        <x:v>4</x:v>
      </x:c>
      <x:c r="N517" s="5" t="n">
        <x:v>1</x:v>
      </x:c>
    </x:row>
    <x:row r="518" ht="24" customHeight="1">
      <x:c r="A518" s="1" t="str">
        <x:v>RESULT</x:v>
      </x:c>
      <x:c r="B518" s="1" t="str">
        <x:v>Round1</x:v>
      </x:c>
      <x:c r="C518" s="1" t="str">
        <x:v>Jsoup_17</x:v>
      </x:c>
      <x:c r="D518" s="1" t="str">
        <x:v>NOT_AVAILABLE</x:v>
      </x:c>
      <x:c r="E518" s="5"/>
      <x:c r="F518" s="4" t="n">
        <x:v>0</x:v>
      </x:c>
      <x:c r="G518" s="4" t="n">
        <x:v>23849</x:v>
      </x:c>
      <x:c r="H518" s="6" t="n">
        <x:v>433.74</x:v>
      </x:c>
      <x:c r="I518" s="16" t="n">
        <x:v>1</x:v>
      </x:c>
      <x:c r="J518"/>
      <x:c r="K518" s="4"/>
      <x:c r="L518" s="4"/>
      <x:c r="M518" s="4"/>
      <x:c r="N518" s="5"/>
    </x:row>
    <x:row r="519" ht="24" customHeight="1">
      <x:c r="A519" s="1" t="str">
        <x:v>RESULT</x:v>
      </x:c>
      <x:c r="B519" s="1" t="str">
        <x:v>Round1</x:v>
      </x:c>
      <x:c r="C519" s="1" t="str">
        <x:v>Jsoup_18</x:v>
      </x:c>
      <x:c r="D519" s="1" t="str">
        <x:v>INCONCLUSIVE</x:v>
      </x:c>
      <x:c r="E519" s="5" t="n">
        <x:v>0.9897</x:v>
      </x:c>
      <x:c r="F519" s="4" t="n">
        <x:v>0</x:v>
      </x:c>
      <x:c r="G519" s="4" t="n">
        <x:v>6423</x:v>
      </x:c>
      <x:c r="H519" s="6" t="n">
        <x:v>162.23</x:v>
      </x:c>
      <x:c r="I519" s="16" t="n">
        <x:v>1</x:v>
      </x:c>
      <x:c r="J519" t="n">
        <x:v>97</x:v>
      </x:c>
      <x:c r="K519" s="4" t="n">
        <x:v>96</x:v>
      </x:c>
      <x:c r="L519" s="4" t="n">
        <x:v>82</x:v>
      </x:c>
      <x:c r="M519" s="4" t="n">
        <x:v>68</x:v>
      </x:c>
      <x:c r="N519" s="5" t="n">
        <x:v>0.8293</x:v>
      </x:c>
    </x:row>
    <x:row r="520" ht="24" customHeight="1">
      <x:c r="A520" s="1" t="str">
        <x:v>RESULT</x:v>
      </x:c>
      <x:c r="B520" s="1" t="str">
        <x:v>Round1</x:v>
      </x:c>
      <x:c r="C520" s="1" t="str">
        <x:v>Jsoup_19</x:v>
      </x:c>
      <x:c r="D520" s="1" t="str">
        <x:v>NOT_AVAILABLE</x:v>
      </x:c>
      <x:c r="E520" s="5"/>
      <x:c r="F520" s="4" t="n">
        <x:v>0</x:v>
      </x:c>
      <x:c r="G520" s="4" t="n">
        <x:v>7897</x:v>
      </x:c>
      <x:c r="H520" s="6" t="n">
        <x:v>106.12</x:v>
      </x:c>
      <x:c r="I520" s="16" t="n">
        <x:v>1</x:v>
      </x:c>
      <x:c r="J520"/>
      <x:c r="K520" s="4"/>
      <x:c r="L520" s="4"/>
      <x:c r="M520" s="4"/>
      <x:c r="N520" s="5"/>
    </x:row>
    <x:row r="521" ht="24" customHeight="1">
      <x:c r="A521" s="1" t="str">
        <x:v>RESULT</x:v>
      </x:c>
      <x:c r="B521" s="1" t="str">
        <x:v>Round1</x:v>
      </x:c>
      <x:c r="C521" s="1" t="str">
        <x:v>Jsoup_2</x:v>
      </x:c>
      <x:c r="D521" s="1" t="str">
        <x:v>NOT_AVAILABLE</x:v>
      </x:c>
      <x:c r="E521" s="5"/>
      <x:c r="F521" s="4" t="n">
        <x:v>0</x:v>
      </x:c>
      <x:c r="G521" s="4" t="n">
        <x:v>5001</x:v>
      </x:c>
      <x:c r="H521" s="6" t="n">
        <x:v>61.33</x:v>
      </x:c>
      <x:c r="I521" s="16" t="n">
        <x:v>1</x:v>
      </x:c>
      <x:c r="J521"/>
      <x:c r="K521" s="4"/>
      <x:c r="L521" s="4"/>
      <x:c r="M521" s="4"/>
      <x:c r="N521" s="5"/>
    </x:row>
    <x:row r="522" ht="24" customHeight="1">
      <x:c r="A522" s="1" t="str">
        <x:v>RESULT</x:v>
      </x:c>
      <x:c r="B522" s="1" t="str">
        <x:v>Round1</x:v>
      </x:c>
      <x:c r="C522" s="1" t="str">
        <x:v>Jsoup_20</x:v>
      </x:c>
      <x:c r="D522" s="1" t="str">
        <x:v>INCONCLUSIVE</x:v>
      </x:c>
      <x:c r="E522" s="5" t="n">
        <x:v>0.9773000000000001</x:v>
      </x:c>
      <x:c r="F522" s="4" t="n">
        <x:v>0</x:v>
      </x:c>
      <x:c r="G522" s="4" t="n">
        <x:v>5135</x:v>
      </x:c>
      <x:c r="H522" s="6" t="n">
        <x:v>102.29</x:v>
      </x:c>
      <x:c r="I522" s="16" t="n">
        <x:v>1</x:v>
      </x:c>
      <x:c r="J522" t="n">
        <x:v>44</x:v>
      </x:c>
      <x:c r="K522" s="4" t="n">
        <x:v>43</x:v>
      </x:c>
      <x:c r="L522" s="4" t="n">
        <x:v>22</x:v>
      </x:c>
      <x:c r="M522" s="4" t="n">
        <x:v>19</x:v>
      </x:c>
      <x:c r="N522" s="5" t="n">
        <x:v>0.8636</x:v>
      </x:c>
    </x:row>
    <x:row r="523" ht="24" customHeight="1">
      <x:c r="A523" s="1" t="str">
        <x:v>RESULT</x:v>
      </x:c>
      <x:c r="B523" s="1" t="str">
        <x:v>Round1</x:v>
      </x:c>
      <x:c r="C523" s="1" t="str">
        <x:v>Jsoup_21</x:v>
      </x:c>
      <x:c r="D523" s="1" t="str">
        <x:v>NOT_AVAILABLE</x:v>
      </x:c>
      <x:c r="E523" s="5"/>
      <x:c r="F523" s="4" t="n">
        <x:v>0</x:v>
      </x:c>
      <x:c r="G523" s="4" t="n">
        <x:v>8028</x:v>
      </x:c>
      <x:c r="H523" s="6" t="n">
        <x:v>113</x:v>
      </x:c>
      <x:c r="I523" s="16" t="n">
        <x:v>1</x:v>
      </x:c>
      <x:c r="J523"/>
      <x:c r="K523" s="4"/>
      <x:c r="L523" s="4"/>
      <x:c r="M523" s="4"/>
      <x:c r="N523" s="5"/>
    </x:row>
    <x:row r="524" ht="24" customHeight="1">
      <x:c r="A524" s="1" t="str">
        <x:v>RESULT</x:v>
      </x:c>
      <x:c r="B524" s="1" t="str">
        <x:v>Round1</x:v>
      </x:c>
      <x:c r="C524" s="1" t="str">
        <x:v>Jsoup_22</x:v>
      </x:c>
      <x:c r="D524" s="1" t="str">
        <x:v>NOT_AVAILABLE</x:v>
      </x:c>
      <x:c r="E524" s="5"/>
      <x:c r="F524" s="4" t="n">
        <x:v>0</x:v>
      </x:c>
      <x:c r="G524" s="4" t="n">
        <x:v>28515</x:v>
      </x:c>
      <x:c r="H524" s="6" t="n">
        <x:v>507.18</x:v>
      </x:c>
      <x:c r="I524" s="16" t="n">
        <x:v>1</x:v>
      </x:c>
      <x:c r="J524"/>
      <x:c r="K524" s="4"/>
      <x:c r="L524" s="4"/>
      <x:c r="M524" s="4"/>
      <x:c r="N524" s="5"/>
    </x:row>
    <x:row r="525" ht="24" customHeight="1">
      <x:c r="A525" s="1" t="str">
        <x:v>RESULT</x:v>
      </x:c>
      <x:c r="B525" s="1" t="str">
        <x:v>Round1</x:v>
      </x:c>
      <x:c r="C525" s="1" t="str">
        <x:v>Jsoup_23</x:v>
      </x:c>
      <x:c r="D525" s="1" t="str">
        <x:v>NOT_AVAILABLE</x:v>
      </x:c>
      <x:c r="E525" s="5"/>
      <x:c r="F525" s="4" t="n">
        <x:v>0</x:v>
      </x:c>
      <x:c r="G525" s="4" t="n">
        <x:v>10958</x:v>
      </x:c>
      <x:c r="H525" s="6" t="n">
        <x:v>226.27</x:v>
      </x:c>
      <x:c r="I525" s="16" t="n">
        <x:v>1</x:v>
      </x:c>
      <x:c r="J525"/>
      <x:c r="K525" s="4"/>
      <x:c r="L525" s="4"/>
      <x:c r="M525" s="4"/>
      <x:c r="N525" s="5"/>
    </x:row>
    <x:row r="526" ht="24" customHeight="1">
      <x:c r="A526" s="1" t="str">
        <x:v>RESULT</x:v>
      </x:c>
      <x:c r="B526" s="1" t="str">
        <x:v>Round1</x:v>
      </x:c>
      <x:c r="C526" s="1" t="str">
        <x:v>Jsoup_24</x:v>
      </x:c>
      <x:c r="D526" s="1" t="str">
        <x:v>NOT_AVAILABLE</x:v>
      </x:c>
      <x:c r="E526" s="5"/>
      <x:c r="F526" s="4" t="n">
        <x:v>0</x:v>
      </x:c>
      <x:c r="G526" s="4" t="n">
        <x:v>21150</x:v>
      </x:c>
      <x:c r="H526" s="6" t="n">
        <x:v>81.26</x:v>
      </x:c>
      <x:c r="I526" s="16" t="n">
        <x:v>1</x:v>
      </x:c>
      <x:c r="J526"/>
      <x:c r="K526" s="4"/>
      <x:c r="L526" s="4"/>
      <x:c r="M526" s="4"/>
      <x:c r="N526" s="5"/>
    </x:row>
    <x:row r="527" ht="24" customHeight="1">
      <x:c r="A527" s="1" t="str">
        <x:v>RESULT</x:v>
      </x:c>
      <x:c r="B527" s="1" t="str">
        <x:v>Round1</x:v>
      </x:c>
      <x:c r="C527" s="1" t="str">
        <x:v>Jsoup_25</x:v>
      </x:c>
      <x:c r="D527" s="1" t="str">
        <x:v>NOT_AVAILABLE</x:v>
      </x:c>
      <x:c r="E527" s="5"/>
      <x:c r="F527" s="4" t="n">
        <x:v>0</x:v>
      </x:c>
      <x:c r="G527" s="4" t="n">
        <x:v>9117</x:v>
      </x:c>
      <x:c r="H527" s="6" t="n">
        <x:v>134.75</x:v>
      </x:c>
      <x:c r="I527" s="16" t="n">
        <x:v>1</x:v>
      </x:c>
      <x:c r="J527"/>
      <x:c r="K527" s="4"/>
      <x:c r="L527" s="4"/>
      <x:c r="M527" s="4"/>
      <x:c r="N527" s="5"/>
    </x:row>
    <x:row r="528" ht="24" customHeight="1">
      <x:c r="A528" s="1" t="str">
        <x:v>RESULT</x:v>
      </x:c>
      <x:c r="B528" s="1" t="str">
        <x:v>Round1</x:v>
      </x:c>
      <x:c r="C528" s="1" t="str">
        <x:v>Jsoup_26</x:v>
      </x:c>
      <x:c r="D528" s="1" t="str">
        <x:v>NOT_AVAILABLE</x:v>
      </x:c>
      <x:c r="E528" s="5"/>
      <x:c r="F528" s="4" t="n">
        <x:v>0</x:v>
      </x:c>
      <x:c r="G528" s="4" t="n">
        <x:v>4778</x:v>
      </x:c>
      <x:c r="H528" s="6" t="n">
        <x:v>77.21</x:v>
      </x:c>
      <x:c r="I528" s="16" t="n">
        <x:v>1</x:v>
      </x:c>
      <x:c r="J528"/>
      <x:c r="K528" s="4"/>
      <x:c r="L528" s="4"/>
      <x:c r="M528" s="4"/>
      <x:c r="N528" s="5"/>
    </x:row>
    <x:row r="529" ht="24" customHeight="1">
      <x:c r="A529" s="1" t="str">
        <x:v>RESULT</x:v>
      </x:c>
      <x:c r="B529" s="1" t="str">
        <x:v>Round1</x:v>
      </x:c>
      <x:c r="C529" s="1" t="str">
        <x:v>Jsoup_27</x:v>
      </x:c>
      <x:c r="D529" s="1" t="str">
        <x:v>NOT_AVAILABLE</x:v>
      </x:c>
      <x:c r="E529" s="5"/>
      <x:c r="F529" s="4" t="n">
        <x:v>0</x:v>
      </x:c>
      <x:c r="G529" s="4" t="n">
        <x:v>5002</x:v>
      </x:c>
      <x:c r="H529" s="6" t="n">
        <x:v>73.63</x:v>
      </x:c>
      <x:c r="I529" s="16" t="n">
        <x:v>1</x:v>
      </x:c>
      <x:c r="J529"/>
      <x:c r="K529" s="4"/>
      <x:c r="L529" s="4"/>
      <x:c r="M529" s="4"/>
      <x:c r="N529" s="5"/>
    </x:row>
    <x:row r="530" ht="24" customHeight="1">
      <x:c r="A530" s="1" t="str">
        <x:v>RESULT</x:v>
      </x:c>
      <x:c r="B530" s="1" t="str">
        <x:v>Round1</x:v>
      </x:c>
      <x:c r="C530" s="1" t="str">
        <x:v>Jsoup_28</x:v>
      </x:c>
      <x:c r="D530" s="1" t="str">
        <x:v>NOT_AVAILABLE</x:v>
      </x:c>
      <x:c r="E530" s="5"/>
      <x:c r="F530" s="4" t="n">
        <x:v>0</x:v>
      </x:c>
      <x:c r="G530" s="4" t="n">
        <x:v>16029</x:v>
      </x:c>
      <x:c r="H530" s="6" t="n">
        <x:v>253.21</x:v>
      </x:c>
      <x:c r="I530" s="16" t="n">
        <x:v>1</x:v>
      </x:c>
      <x:c r="J530"/>
      <x:c r="K530" s="4"/>
      <x:c r="L530" s="4"/>
      <x:c r="M530" s="4"/>
      <x:c r="N530" s="5"/>
    </x:row>
    <x:row r="531" ht="24" customHeight="1">
      <x:c r="A531" s="1" t="str">
        <x:v>RESULT</x:v>
      </x:c>
      <x:c r="B531" s="1" t="str">
        <x:v>Round1</x:v>
      </x:c>
      <x:c r="C531" s="1" t="str">
        <x:v>Jsoup_29</x:v>
      </x:c>
      <x:c r="D531" s="1" t="str">
        <x:v>NOT_AVAILABLE</x:v>
      </x:c>
      <x:c r="E531" s="5"/>
      <x:c r="F531" s="4" t="n">
        <x:v>0</x:v>
      </x:c>
      <x:c r="G531" s="4" t="n">
        <x:v>5681</x:v>
      </x:c>
      <x:c r="H531" s="6" t="n">
        <x:v>62.07</x:v>
      </x:c>
      <x:c r="I531" s="16" t="n">
        <x:v>1</x:v>
      </x:c>
      <x:c r="J531"/>
      <x:c r="K531" s="4"/>
      <x:c r="L531" s="4"/>
      <x:c r="M531" s="4"/>
      <x:c r="N531" s="5"/>
    </x:row>
    <x:row r="532" ht="24" customHeight="1">
      <x:c r="A532" s="1" t="str">
        <x:v>RESULT</x:v>
      </x:c>
      <x:c r="B532" s="1" t="str">
        <x:v>Round1</x:v>
      </x:c>
      <x:c r="C532" s="1" t="str">
        <x:v>Jsoup_3</x:v>
      </x:c>
      <x:c r="D532" s="1" t="str">
        <x:v>NOT_AVAILABLE</x:v>
      </x:c>
      <x:c r="E532" s="5"/>
      <x:c r="F532" s="4" t="n">
        <x:v>0</x:v>
      </x:c>
      <x:c r="G532" s="4" t="n">
        <x:v>20133</x:v>
      </x:c>
      <x:c r="H532" s="6" t="n">
        <x:v>259.28</x:v>
      </x:c>
      <x:c r="I532" s="16" t="n">
        <x:v>1</x:v>
      </x:c>
      <x:c r="J532"/>
      <x:c r="K532" s="4"/>
      <x:c r="L532" s="4"/>
      <x:c r="M532" s="4"/>
      <x:c r="N532" s="5"/>
    </x:row>
    <x:row r="533" ht="24" customHeight="1">
      <x:c r="A533" s="1" t="str">
        <x:v>RESULT</x:v>
      </x:c>
      <x:c r="B533" s="1" t="str">
        <x:v>Round1</x:v>
      </x:c>
      <x:c r="C533" s="1" t="str">
        <x:v>Jsoup_30</x:v>
      </x:c>
      <x:c r="D533" s="1" t="str">
        <x:v>NOT_AVAILABLE</x:v>
      </x:c>
      <x:c r="E533" s="5"/>
      <x:c r="F533" s="4" t="n">
        <x:v>0</x:v>
      </x:c>
      <x:c r="G533" s="4" t="n">
        <x:v>2937</x:v>
      </x:c>
      <x:c r="H533" s="6" t="n">
        <x:v>34.74</x:v>
      </x:c>
      <x:c r="I533" s="16" t="n">
        <x:v>1</x:v>
      </x:c>
      <x:c r="J533"/>
      <x:c r="K533" s="4"/>
      <x:c r="L533" s="4"/>
      <x:c r="M533" s="4"/>
      <x:c r="N533" s="5"/>
    </x:row>
    <x:row r="534" ht="24" customHeight="1">
      <x:c r="A534" s="1" t="str">
        <x:v>RESULT</x:v>
      </x:c>
      <x:c r="B534" s="1" t="str">
        <x:v>Round1</x:v>
      </x:c>
      <x:c r="C534" s="1" t="str">
        <x:v>Jsoup_31</x:v>
      </x:c>
      <x:c r="D534" s="1" t="str">
        <x:v>NOT_AVAILABLE</x:v>
      </x:c>
      <x:c r="E534" s="5"/>
      <x:c r="F534" s="4" t="n">
        <x:v>0</x:v>
      </x:c>
      <x:c r="G534" s="4" t="n">
        <x:v>25551</x:v>
      </x:c>
      <x:c r="H534" s="6" t="n">
        <x:v>302.78</x:v>
      </x:c>
      <x:c r="I534" s="16" t="n">
        <x:v>1</x:v>
      </x:c>
      <x:c r="J534"/>
      <x:c r="K534" s="4"/>
      <x:c r="L534" s="4"/>
      <x:c r="M534" s="4"/>
      <x:c r="N534" s="5"/>
    </x:row>
    <x:row r="535" ht="24" customHeight="1">
      <x:c r="A535" s="1" t="str">
        <x:v>RESULT</x:v>
      </x:c>
      <x:c r="B535" s="1" t="str">
        <x:v>Round1</x:v>
      </x:c>
      <x:c r="C535" s="1" t="str">
        <x:v>Jsoup_32</x:v>
      </x:c>
      <x:c r="D535" s="1" t="str">
        <x:v>NOT_AVAILABLE</x:v>
      </x:c>
      <x:c r="E535" s="5"/>
      <x:c r="F535" s="4" t="n">
        <x:v>0</x:v>
      </x:c>
      <x:c r="G535" s="4" t="n">
        <x:v>10340</x:v>
      </x:c>
      <x:c r="H535" s="6" t="n">
        <x:v>169.7</x:v>
      </x:c>
      <x:c r="I535" s="16" t="n">
        <x:v>1</x:v>
      </x:c>
      <x:c r="J535"/>
      <x:c r="K535" s="4"/>
      <x:c r="L535" s="4"/>
      <x:c r="M535" s="4"/>
      <x:c r="N535" s="5"/>
    </x:row>
    <x:row r="536" ht="24" customHeight="1">
      <x:c r="A536" s="1" t="str">
        <x:v>RESULT</x:v>
      </x:c>
      <x:c r="B536" s="1" t="str">
        <x:v>Round1</x:v>
      </x:c>
      <x:c r="C536" s="1" t="str">
        <x:v>Jsoup_33</x:v>
      </x:c>
      <x:c r="D536" s="1" t="str">
        <x:v>INCONCLUSIVE</x:v>
      </x:c>
      <x:c r="E536" s="5" t="n">
        <x:v>0.47840000000000005</x:v>
      </x:c>
      <x:c r="F536" s="4" t="n">
        <x:v>0</x:v>
      </x:c>
      <x:c r="G536" s="4" t="n">
        <x:v>9691</x:v>
      </x:c>
      <x:c r="H536" s="6" t="n">
        <x:v>110.03</x:v>
      </x:c>
      <x:c r="I536" s="16" t="n">
        <x:v>1</x:v>
      </x:c>
      <x:c r="J536" t="n">
        <x:v>393</x:v>
      </x:c>
      <x:c r="K536" s="4" t="n">
        <x:v>188</x:v>
      </x:c>
      <x:c r="L536" s="4" t="n">
        <x:v>202</x:v>
      </x:c>
      <x:c r="M536" s="4" t="n">
        <x:v>79</x:v>
      </x:c>
      <x:c r="N536" s="5" t="n">
        <x:v>0.3911</x:v>
      </x:c>
    </x:row>
    <x:row r="537" ht="24" customHeight="1">
      <x:c r="A537" s="1" t="str">
        <x:v>RESULT</x:v>
      </x:c>
      <x:c r="B537" s="1" t="str">
        <x:v>Round1</x:v>
      </x:c>
      <x:c r="C537" s="1" t="str">
        <x:v>Jsoup_34</x:v>
      </x:c>
      <x:c r="D537" s="1" t="str">
        <x:v>INCONCLUSIVE</x:v>
      </x:c>
      <x:c r="E537" s="5" t="n">
        <x:v>0.9779000000000001</x:v>
      </x:c>
      <x:c r="F537" s="4" t="n">
        <x:v>0</x:v>
      </x:c>
      <x:c r="G537" s="4" t="n">
        <x:v>4912</x:v>
      </x:c>
      <x:c r="H537" s="6" t="n">
        <x:v>86.31</x:v>
      </x:c>
      <x:c r="I537" s="16" t="n">
        <x:v>1</x:v>
      </x:c>
      <x:c r="J537" t="n">
        <x:v>136</x:v>
      </x:c>
      <x:c r="K537" s="4" t="n">
        <x:v>133</x:v>
      </x:c>
      <x:c r="L537" s="4" t="n">
        <x:v>130</x:v>
      </x:c>
      <x:c r="M537" s="4" t="n">
        <x:v>107</x:v>
      </x:c>
      <x:c r="N537" s="5" t="n">
        <x:v>0.8231</x:v>
      </x:c>
    </x:row>
    <x:row r="538" ht="24" customHeight="1">
      <x:c r="A538" s="1" t="str">
        <x:v>RESULT</x:v>
      </x:c>
      <x:c r="B538" s="1" t="str">
        <x:v>Round1</x:v>
      </x:c>
      <x:c r="C538" s="1" t="str">
        <x:v>Jsoup_35</x:v>
      </x:c>
      <x:c r="D538" s="1" t="str">
        <x:v>NOT_AVAILABLE</x:v>
      </x:c>
      <x:c r="E538" s="5"/>
      <x:c r="F538" s="4" t="n">
        <x:v>0</x:v>
      </x:c>
      <x:c r="G538" s="4" t="n">
        <x:v>15197</x:v>
      </x:c>
      <x:c r="H538" s="6" t="n">
        <x:v>78.35</x:v>
      </x:c>
      <x:c r="I538" s="16" t="n">
        <x:v>1</x:v>
      </x:c>
      <x:c r="J538"/>
      <x:c r="K538" s="4"/>
      <x:c r="L538" s="4"/>
      <x:c r="M538" s="4"/>
      <x:c r="N538" s="5"/>
    </x:row>
    <x:row r="539" ht="24" customHeight="1">
      <x:c r="A539" s="1" t="str">
        <x:v>RESULT</x:v>
      </x:c>
      <x:c r="B539" s="1" t="str">
        <x:v>Round1</x:v>
      </x:c>
      <x:c r="C539" s="1" t="str">
        <x:v>Jsoup_36</x:v>
      </x:c>
      <x:c r="D539" s="1" t="str">
        <x:v>NOT_AVAILABLE</x:v>
      </x:c>
      <x:c r="E539" s="5"/>
      <x:c r="F539" s="4" t="n">
        <x:v>0</x:v>
      </x:c>
      <x:c r="G539" s="4" t="n">
        <x:v>5485</x:v>
      </x:c>
      <x:c r="H539" s="6" t="n">
        <x:v>87.6</x:v>
      </x:c>
      <x:c r="I539" s="16" t="n">
        <x:v>1</x:v>
      </x:c>
      <x:c r="J539"/>
      <x:c r="K539" s="4"/>
      <x:c r="L539" s="4"/>
      <x:c r="M539" s="4"/>
      <x:c r="N539" s="5"/>
    </x:row>
    <x:row r="540" ht="24" customHeight="1">
      <x:c r="A540" s="1" t="str">
        <x:v>RESULT</x:v>
      </x:c>
      <x:c r="B540" s="1" t="str">
        <x:v>Round1</x:v>
      </x:c>
      <x:c r="C540" s="1" t="str">
        <x:v>Jsoup_37</x:v>
      </x:c>
      <x:c r="D540" s="1" t="str">
        <x:v>NOT_AVAILABLE</x:v>
      </x:c>
      <x:c r="E540" s="5"/>
      <x:c r="F540" s="4" t="n">
        <x:v>0</x:v>
      </x:c>
      <x:c r="G540" s="4" t="n">
        <x:v>9427</x:v>
      </x:c>
      <x:c r="H540" s="6" t="n">
        <x:v>135.62</x:v>
      </x:c>
      <x:c r="I540" s="16" t="n">
        <x:v>1</x:v>
      </x:c>
      <x:c r="J540"/>
      <x:c r="K540" s="4"/>
      <x:c r="L540" s="4"/>
      <x:c r="M540" s="4"/>
      <x:c r="N540" s="5"/>
    </x:row>
    <x:row r="541" ht="24" customHeight="1">
      <x:c r="A541" s="1" t="str">
        <x:v>RESULT</x:v>
      </x:c>
      <x:c r="B541" s="1" t="str">
        <x:v>Round1</x:v>
      </x:c>
      <x:c r="C541" s="1" t="str">
        <x:v>Jsoup_38</x:v>
      </x:c>
      <x:c r="D541" s="1" t="str">
        <x:v>NOT_AVAILABLE</x:v>
      </x:c>
      <x:c r="E541" s="5"/>
      <x:c r="F541" s="4" t="n">
        <x:v>0</x:v>
      </x:c>
      <x:c r="G541" s="4" t="n">
        <x:v>18486</x:v>
      </x:c>
      <x:c r="H541" s="6" t="n">
        <x:v>181.69</x:v>
      </x:c>
      <x:c r="I541" s="16" t="n">
        <x:v>1</x:v>
      </x:c>
      <x:c r="J541"/>
      <x:c r="K541" s="4"/>
      <x:c r="L541" s="4"/>
      <x:c r="M541" s="4"/>
      <x:c r="N541" s="5"/>
    </x:row>
    <x:row r="542" ht="24" customHeight="1">
      <x:c r="A542" s="1" t="str">
        <x:v>RESULT</x:v>
      </x:c>
      <x:c r="B542" s="1" t="str">
        <x:v>Round1</x:v>
      </x:c>
      <x:c r="C542" s="1" t="str">
        <x:v>Jsoup_39</x:v>
      </x:c>
      <x:c r="D542" s="1" t="str">
        <x:v>INCONCLUSIVE</x:v>
      </x:c>
      <x:c r="E542" s="5" t="n">
        <x:v>0.88</x:v>
      </x:c>
      <x:c r="F542" s="4" t="n">
        <x:v>0</x:v>
      </x:c>
      <x:c r="G542" s="4" t="n">
        <x:v>5507</x:v>
      </x:c>
      <x:c r="H542" s="6" t="n">
        <x:v>75.71</x:v>
      </x:c>
      <x:c r="I542" s="16" t="n">
        <x:v>1</x:v>
      </x:c>
      <x:c r="J542" t="n">
        <x:v>75</x:v>
      </x:c>
      <x:c r="K542" s="4" t="n">
        <x:v>66</x:v>
      </x:c>
      <x:c r="L542" s="4" t="n">
        <x:v>46</x:v>
      </x:c>
      <x:c r="M542" s="4" t="n">
        <x:v>33</x:v>
      </x:c>
      <x:c r="N542" s="5" t="n">
        <x:v>0.7173999999999999</x:v>
      </x:c>
    </x:row>
    <x:row r="543" ht="24" customHeight="1">
      <x:c r="A543" s="1" t="str">
        <x:v>RESULT</x:v>
      </x:c>
      <x:c r="B543" s="1" t="str">
        <x:v>Round1</x:v>
      </x:c>
      <x:c r="C543" s="1" t="str">
        <x:v>Jsoup_4</x:v>
      </x:c>
      <x:c r="D543" s="1" t="str">
        <x:v>NOT_AVAILABLE</x:v>
      </x:c>
      <x:c r="E543" s="5"/>
      <x:c r="F543" s="4" t="n">
        <x:v>0</x:v>
      </x:c>
      <x:c r="G543" s="4" t="n">
        <x:v>28801</x:v>
      </x:c>
      <x:c r="H543" s="6" t="n">
        <x:v>47.53</x:v>
      </x:c>
      <x:c r="I543" s="16" t="n">
        <x:v>1</x:v>
      </x:c>
      <x:c r="J543"/>
      <x:c r="K543" s="4"/>
      <x:c r="L543" s="4"/>
      <x:c r="M543" s="4"/>
      <x:c r="N543" s="5"/>
    </x:row>
    <x:row r="544" ht="24" customHeight="1">
      <x:c r="A544" s="1" t="str">
        <x:v>RESULT</x:v>
      </x:c>
      <x:c r="B544" s="1" t="str">
        <x:v>Round1</x:v>
      </x:c>
      <x:c r="C544" s="1" t="str">
        <x:v>Jsoup_40</x:v>
      </x:c>
      <x:c r="D544" s="1" t="str">
        <x:v>INCONCLUSIVE</x:v>
      </x:c>
      <x:c r="E544" s="5" t="n">
        <x:v>1</x:v>
      </x:c>
      <x:c r="F544" s="4" t="n">
        <x:v>0</x:v>
      </x:c>
      <x:c r="G544" s="4" t="n">
        <x:v>2713</x:v>
      </x:c>
      <x:c r="H544" s="6" t="n">
        <x:v>38.38</x:v>
      </x:c>
      <x:c r="I544" s="16" t="n">
        <x:v>1</x:v>
      </x:c>
      <x:c r="J544" t="n">
        <x:v>17</x:v>
      </x:c>
      <x:c r="K544" s="4" t="n">
        <x:v>17</x:v>
      </x:c>
      <x:c r="L544" s="4" t="n">
        <x:v>6</x:v>
      </x:c>
      <x:c r="M544" s="4" t="n">
        <x:v>6</x:v>
      </x:c>
      <x:c r="N544" s="5" t="n">
        <x:v>1</x:v>
      </x:c>
    </x:row>
    <x:row r="545" ht="24" customHeight="1">
      <x:c r="A545" s="1" t="str">
        <x:v>RESULT</x:v>
      </x:c>
      <x:c r="B545" s="1" t="str">
        <x:v>Round1</x:v>
      </x:c>
      <x:c r="C545" s="1" t="str">
        <x:v>Jsoup_41</x:v>
      </x:c>
      <x:c r="D545" s="1" t="str">
        <x:v>NOT_AVAILABLE</x:v>
      </x:c>
      <x:c r="E545" s="5"/>
      <x:c r="F545" s="4" t="n">
        <x:v>0</x:v>
      </x:c>
      <x:c r="G545" s="4" t="n">
        <x:v>10958</x:v>
      </x:c>
      <x:c r="H545" s="6" t="n">
        <x:v>170.09</x:v>
      </x:c>
      <x:c r="I545" s="16" t="n">
        <x:v>1</x:v>
      </x:c>
      <x:c r="J545"/>
      <x:c r="K545" s="4"/>
      <x:c r="L545" s="4"/>
      <x:c r="M545" s="4"/>
      <x:c r="N545" s="5"/>
    </x:row>
    <x:row r="546" ht="24" customHeight="1">
      <x:c r="A546" s="1" t="str">
        <x:v>RESULT</x:v>
      </x:c>
      <x:c r="B546" s="1" t="str">
        <x:v>Round1</x:v>
      </x:c>
      <x:c r="C546" s="1" t="str">
        <x:v>Jsoup_42</x:v>
      </x:c>
      <x:c r="D546" s="1" t="str">
        <x:v>NOT_AVAILABLE</x:v>
      </x:c>
      <x:c r="E546" s="5"/>
      <x:c r="F546" s="4" t="n">
        <x:v>0</x:v>
      </x:c>
      <x:c r="G546" s="4" t="n">
        <x:v>5095</x:v>
      </x:c>
      <x:c r="H546" s="6" t="n">
        <x:v>96.06</x:v>
      </x:c>
      <x:c r="I546" s="16" t="n">
        <x:v>1</x:v>
      </x:c>
      <x:c r="J546"/>
      <x:c r="K546" s="4"/>
      <x:c r="L546" s="4"/>
      <x:c r="M546" s="4"/>
      <x:c r="N546" s="5"/>
    </x:row>
    <x:row r="547" ht="24" customHeight="1">
      <x:c r="A547" s="1" t="str">
        <x:v>RESULT</x:v>
      </x:c>
      <x:c r="B547" s="1" t="str">
        <x:v>Round1</x:v>
      </x:c>
      <x:c r="C547" s="1" t="str">
        <x:v>Jsoup_43</x:v>
      </x:c>
      <x:c r="D547" s="1" t="str">
        <x:v>NOT_AVAILABLE</x:v>
      </x:c>
      <x:c r="E547" s="5"/>
      <x:c r="F547" s="4" t="n">
        <x:v>0</x:v>
      </x:c>
      <x:c r="G547" s="4" t="n">
        <x:v>11367</x:v>
      </x:c>
      <x:c r="H547" s="6" t="n">
        <x:v>181.73</x:v>
      </x:c>
      <x:c r="I547" s="16" t="n">
        <x:v>1</x:v>
      </x:c>
      <x:c r="J547"/>
      <x:c r="K547" s="4"/>
      <x:c r="L547" s="4"/>
      <x:c r="M547" s="4"/>
      <x:c r="N547" s="5"/>
    </x:row>
    <x:row r="548" ht="24" customHeight="1">
      <x:c r="A548" s="1" t="str">
        <x:v>RESULT</x:v>
      </x:c>
      <x:c r="B548" s="1" t="str">
        <x:v>Round1</x:v>
      </x:c>
      <x:c r="C548" s="1" t="str">
        <x:v>Jsoup_44</x:v>
      </x:c>
      <x:c r="D548" s="1" t="str">
        <x:v>NOT_AVAILABLE</x:v>
      </x:c>
      <x:c r="E548" s="5"/>
      <x:c r="F548" s="4" t="n">
        <x:v>0</x:v>
      </x:c>
      <x:c r="G548" s="4" t="n">
        <x:v>11353</x:v>
      </x:c>
      <x:c r="H548" s="6" t="n">
        <x:v>87.67</x:v>
      </x:c>
      <x:c r="I548" s="16" t="n">
        <x:v>1</x:v>
      </x:c>
      <x:c r="J548"/>
      <x:c r="K548" s="4"/>
      <x:c r="L548" s="4"/>
      <x:c r="M548" s="4"/>
      <x:c r="N548" s="5"/>
    </x:row>
    <x:row r="549" ht="24" customHeight="1">
      <x:c r="A549" s="1" t="str">
        <x:v>RESULT</x:v>
      </x:c>
      <x:c r="B549" s="1" t="str">
        <x:v>Round1</x:v>
      </x:c>
      <x:c r="C549" s="1" t="str">
        <x:v>Jsoup_45</x:v>
      </x:c>
      <x:c r="D549" s="1" t="str">
        <x:v>NOT_AVAILABLE</x:v>
      </x:c>
      <x:c r="E549" s="5"/>
      <x:c r="F549" s="4" t="n">
        <x:v>0</x:v>
      </x:c>
      <x:c r="G549" s="4" t="n">
        <x:v>8279</x:v>
      </x:c>
      <x:c r="H549" s="6" t="n">
        <x:v>49.29</x:v>
      </x:c>
      <x:c r="I549" s="16" t="n">
        <x:v>1</x:v>
      </x:c>
      <x:c r="J549"/>
      <x:c r="K549" s="4"/>
      <x:c r="L549" s="4"/>
      <x:c r="M549" s="4"/>
      <x:c r="N549" s="5"/>
    </x:row>
    <x:row r="550" ht="24" customHeight="1">
      <x:c r="A550" s="1" t="str">
        <x:v>RESULT</x:v>
      </x:c>
      <x:c r="B550" s="1" t="str">
        <x:v>Round1</x:v>
      </x:c>
      <x:c r="C550" s="1" t="str">
        <x:v>Jsoup_46</x:v>
      </x:c>
      <x:c r="D550" s="1" t="str">
        <x:v>INCONCLUSIVE</x:v>
      </x:c>
      <x:c r="E550" s="5" t="n">
        <x:v>0.7966</x:v>
      </x:c>
      <x:c r="F550" s="4" t="n">
        <x:v>0</x:v>
      </x:c>
      <x:c r="G550" s="4" t="n">
        <x:v>5894</x:v>
      </x:c>
      <x:c r="H550" s="6" t="n">
        <x:v>86.44</x:v>
      </x:c>
      <x:c r="I550" s="16" t="n">
        <x:v>1</x:v>
      </x:c>
      <x:c r="J550" t="n">
        <x:v>118</x:v>
      </x:c>
      <x:c r="K550" s="4" t="n">
        <x:v>94</x:v>
      </x:c>
      <x:c r="L550" s="4" t="n">
        <x:v>51</x:v>
      </x:c>
      <x:c r="M550" s="4" t="n">
        <x:v>32</x:v>
      </x:c>
      <x:c r="N550" s="5" t="n">
        <x:v>0.6275</x:v>
      </x:c>
    </x:row>
    <x:row r="551" ht="24" customHeight="1">
      <x:c r="A551" s="1" t="str">
        <x:v>RESULT</x:v>
      </x:c>
      <x:c r="B551" s="1" t="str">
        <x:v>Round1</x:v>
      </x:c>
      <x:c r="C551" s="1" t="str">
        <x:v>Jsoup_47</x:v>
      </x:c>
      <x:c r="D551" s="1" t="str">
        <x:v>NOT_AVAILABLE</x:v>
      </x:c>
      <x:c r="E551" s="5"/>
      <x:c r="F551" s="4" t="n">
        <x:v>0</x:v>
      </x:c>
      <x:c r="G551" s="4" t="n">
        <x:v>5448</x:v>
      </x:c>
      <x:c r="H551" s="6" t="n">
        <x:v>67.07</x:v>
      </x:c>
      <x:c r="I551" s="16" t="n">
        <x:v>1</x:v>
      </x:c>
      <x:c r="J551"/>
      <x:c r="K551" s="4"/>
      <x:c r="L551" s="4"/>
      <x:c r="M551" s="4"/>
      <x:c r="N551" s="5"/>
    </x:row>
    <x:row r="552" ht="24" customHeight="1">
      <x:c r="A552" s="1" t="str">
        <x:v>RESULT</x:v>
      </x:c>
      <x:c r="B552" s="1" t="str">
        <x:v>Round1</x:v>
      </x:c>
      <x:c r="C552" s="1" t="str">
        <x:v>Jsoup_48</x:v>
      </x:c>
      <x:c r="D552" s="1" t="str">
        <x:v>NOT_AVAILABLE</x:v>
      </x:c>
      <x:c r="E552" s="5"/>
      <x:c r="F552" s="4" t="n">
        <x:v>0</x:v>
      </x:c>
      <x:c r="G552" s="4" t="n">
        <x:v>14167</x:v>
      </x:c>
      <x:c r="H552" s="6" t="n">
        <x:v>220.44</x:v>
      </x:c>
      <x:c r="I552" s="16" t="n">
        <x:v>1</x:v>
      </x:c>
      <x:c r="J552"/>
      <x:c r="K552" s="4"/>
      <x:c r="L552" s="4"/>
      <x:c r="M552" s="4"/>
      <x:c r="N552" s="5"/>
    </x:row>
    <x:row r="553" ht="24" customHeight="1">
      <x:c r="A553" s="1" t="str">
        <x:v>RESULT</x:v>
      </x:c>
      <x:c r="B553" s="1" t="str">
        <x:v>Round1</x:v>
      </x:c>
      <x:c r="C553" s="1" t="str">
        <x:v>Jsoup_49</x:v>
      </x:c>
      <x:c r="D553" s="1" t="str">
        <x:v>NOT_AVAILABLE</x:v>
      </x:c>
      <x:c r="E553" s="5"/>
      <x:c r="F553" s="4" t="n">
        <x:v>0</x:v>
      </x:c>
      <x:c r="G553" s="4" t="n">
        <x:v>9393</x:v>
      </x:c>
      <x:c r="H553" s="6" t="n">
        <x:v>92.75</x:v>
      </x:c>
      <x:c r="I553" s="16" t="n">
        <x:v>1</x:v>
      </x:c>
      <x:c r="J553"/>
      <x:c r="K553" s="4"/>
      <x:c r="L553" s="4"/>
      <x:c r="M553" s="4"/>
      <x:c r="N553" s="5"/>
    </x:row>
    <x:row r="554" ht="24" customHeight="1">
      <x:c r="A554" s="1" t="str">
        <x:v>RESULT</x:v>
      </x:c>
      <x:c r="B554" s="1" t="str">
        <x:v>Round1</x:v>
      </x:c>
      <x:c r="C554" s="1" t="str">
        <x:v>Jsoup_5</x:v>
      </x:c>
      <x:c r="D554" s="1" t="str">
        <x:v>NOT_REVEALING</x:v>
      </x:c>
      <x:c r="E554" s="5" t="n">
        <x:v>0.6453</x:v>
      </x:c>
      <x:c r="F554" s="4" t="n">
        <x:v>0</x:v>
      </x:c>
      <x:c r="G554" s="4" t="n">
        <x:v>4252</x:v>
      </x:c>
      <x:c r="H554" s="6" t="n">
        <x:v>15.69</x:v>
      </x:c>
      <x:c r="I554" s="16" t="n">
        <x:v>1</x:v>
      </x:c>
      <x:c r="J554" t="n">
        <x:v>172</x:v>
      </x:c>
      <x:c r="K554" s="4" t="n">
        <x:v>111</x:v>
      </x:c>
      <x:c r="L554" s="4" t="n">
        <x:v>92</x:v>
      </x:c>
      <x:c r="M554" s="4" t="n">
        <x:v>45</x:v>
      </x:c>
      <x:c r="N554" s="5" t="n">
        <x:v>0.4891</x:v>
      </x:c>
    </x:row>
    <x:row r="555" ht="24" customHeight="1">
      <x:c r="A555" s="1" t="str">
        <x:v>RESULT</x:v>
      </x:c>
      <x:c r="B555" s="1" t="str">
        <x:v>Round1</x:v>
      </x:c>
      <x:c r="C555" s="1" t="str">
        <x:v>Jsoup_50</x:v>
      </x:c>
      <x:c r="D555" s="1" t="str">
        <x:v>NOT_AVAILABLE</x:v>
      </x:c>
      <x:c r="E555" s="5"/>
      <x:c r="F555" s="4" t="n">
        <x:v>0</x:v>
      </x:c>
      <x:c r="G555" s="4" t="n">
        <x:v>6493</x:v>
      </x:c>
      <x:c r="H555" s="6" t="n">
        <x:v>95.9</x:v>
      </x:c>
      <x:c r="I555" s="16" t="n">
        <x:v>1</x:v>
      </x:c>
      <x:c r="J555"/>
      <x:c r="K555" s="4"/>
      <x:c r="L555" s="4"/>
      <x:c r="M555" s="4"/>
      <x:c r="N555" s="5"/>
    </x:row>
    <x:row r="556" ht="24" customHeight="1">
      <x:c r="A556" s="1" t="str">
        <x:v>RESULT</x:v>
      </x:c>
      <x:c r="B556" s="1" t="str">
        <x:v>Round1</x:v>
      </x:c>
      <x:c r="C556" s="1" t="str">
        <x:v>Jsoup_51</x:v>
      </x:c>
      <x:c r="D556" s="1" t="str">
        <x:v>INCONCLUSIVE</x:v>
      </x:c>
      <x:c r="E556" s="5" t="n">
        <x:v>0.9641</x:v>
      </x:c>
      <x:c r="F556" s="4" t="n">
        <x:v>0</x:v>
      </x:c>
      <x:c r="G556" s="4" t="n">
        <x:v>6530</x:v>
      </x:c>
      <x:c r="H556" s="6" t="n">
        <x:v>88.42</x:v>
      </x:c>
      <x:c r="I556" s="16" t="n">
        <x:v>1</x:v>
      </x:c>
      <x:c r="J556" t="n">
        <x:v>195</x:v>
      </x:c>
      <x:c r="K556" s="4" t="n">
        <x:v>188</x:v>
      </x:c>
      <x:c r="L556" s="4" t="n">
        <x:v>186</x:v>
      </x:c>
      <x:c r="M556" s="4" t="n">
        <x:v>149</x:v>
      </x:c>
      <x:c r="N556" s="5" t="n">
        <x:v>0.8011</x:v>
      </x:c>
    </x:row>
    <x:row r="557" ht="24" customHeight="1">
      <x:c r="A557" s="1" t="str">
        <x:v>RESULT</x:v>
      </x:c>
      <x:c r="B557" s="1" t="str">
        <x:v>Round1</x:v>
      </x:c>
      <x:c r="C557" s="1" t="str">
        <x:v>Jsoup_52</x:v>
      </x:c>
      <x:c r="D557" s="1" t="str">
        <x:v>NOT_AVAILABLE</x:v>
      </x:c>
      <x:c r="E557" s="5"/>
      <x:c r="F557" s="4" t="n">
        <x:v>0</x:v>
      </x:c>
      <x:c r="G557" s="4" t="n">
        <x:v>11651</x:v>
      </x:c>
      <x:c r="H557" s="6" t="n">
        <x:v>147.44</x:v>
      </x:c>
      <x:c r="I557" s="16" t="n">
        <x:v>1</x:v>
      </x:c>
      <x:c r="J557"/>
      <x:c r="K557" s="4"/>
      <x:c r="L557" s="4"/>
      <x:c r="M557" s="4"/>
      <x:c r="N557" s="5"/>
    </x:row>
    <x:row r="558" ht="24" customHeight="1">
      <x:c r="A558" s="1" t="str">
        <x:v>RESULT</x:v>
      </x:c>
      <x:c r="B558" s="1" t="str">
        <x:v>Round1</x:v>
      </x:c>
      <x:c r="C558" s="1" t="str">
        <x:v>Jsoup_53</x:v>
      </x:c>
      <x:c r="D558" s="1" t="str">
        <x:v>INCONCLUSIVE</x:v>
      </x:c>
      <x:c r="E558" s="5" t="n">
        <x:v>0.9</x:v>
      </x:c>
      <x:c r="F558" s="4" t="n">
        <x:v>0</x:v>
      </x:c>
      <x:c r="G558" s="4" t="n">
        <x:v>6397</x:v>
      </x:c>
      <x:c r="H558" s="6" t="n">
        <x:v>87.95</x:v>
      </x:c>
      <x:c r="I558" s="16" t="n">
        <x:v>1</x:v>
      </x:c>
      <x:c r="J558" t="n">
        <x:v>130</x:v>
      </x:c>
      <x:c r="K558" s="4" t="n">
        <x:v>117</x:v>
      </x:c>
      <x:c r="L558" s="4" t="n">
        <x:v>108</x:v>
      </x:c>
      <x:c r="M558" s="4" t="n">
        <x:v>88</x:v>
      </x:c>
      <x:c r="N558" s="5" t="n">
        <x:v>0.8148000000000001</x:v>
      </x:c>
    </x:row>
    <x:row r="559" ht="24" customHeight="1">
      <x:c r="A559" s="1" t="str">
        <x:v>RESULT</x:v>
      </x:c>
      <x:c r="B559" s="1" t="str">
        <x:v>Round1</x:v>
      </x:c>
      <x:c r="C559" s="1" t="str">
        <x:v>Jsoup_54</x:v>
      </x:c>
      <x:c r="D559" s="1" t="str">
        <x:v>NOT_AVAILABLE</x:v>
      </x:c>
      <x:c r="E559" s="5"/>
      <x:c r="F559" s="4" t="n">
        <x:v>0</x:v>
      </x:c>
      <x:c r="G559" s="4" t="n">
        <x:v>4842</x:v>
      </x:c>
      <x:c r="H559" s="6" t="n">
        <x:v>94.35</x:v>
      </x:c>
      <x:c r="I559" s="16" t="n">
        <x:v>1</x:v>
      </x:c>
      <x:c r="J559"/>
      <x:c r="K559" s="4"/>
      <x:c r="L559" s="4"/>
      <x:c r="M559" s="4"/>
      <x:c r="N559" s="5"/>
    </x:row>
    <x:row r="560" ht="24" customHeight="1">
      <x:c r="A560" s="1" t="str">
        <x:v>RESULT</x:v>
      </x:c>
      <x:c r="B560" s="1" t="str">
        <x:v>Round1</x:v>
      </x:c>
      <x:c r="C560" s="1" t="str">
        <x:v>Jsoup_55</x:v>
      </x:c>
      <x:c r="D560" s="1" t="str">
        <x:v>NOT_AVAILABLE</x:v>
      </x:c>
      <x:c r="E560" s="5"/>
      <x:c r="F560" s="4" t="n">
        <x:v>0</x:v>
      </x:c>
      <x:c r="G560" s="4" t="n">
        <x:v>16140</x:v>
      </x:c>
      <x:c r="H560" s="6" t="n">
        <x:v>137.97</x:v>
      </x:c>
      <x:c r="I560" s="16" t="n">
        <x:v>1</x:v>
      </x:c>
      <x:c r="J560"/>
      <x:c r="K560" s="4"/>
      <x:c r="L560" s="4"/>
      <x:c r="M560" s="4"/>
      <x:c r="N560" s="5"/>
    </x:row>
    <x:row r="561" ht="24" customHeight="1">
      <x:c r="A561" s="1" t="str">
        <x:v>RESULT</x:v>
      </x:c>
      <x:c r="B561" s="1" t="str">
        <x:v>Round1</x:v>
      </x:c>
      <x:c r="C561" s="1" t="str">
        <x:v>Jsoup_56</x:v>
      </x:c>
      <x:c r="D561" s="1" t="str">
        <x:v>NOT_AVAILABLE</x:v>
      </x:c>
      <x:c r="E561" s="5"/>
      <x:c r="F561" s="4" t="n">
        <x:v>0</x:v>
      </x:c>
      <x:c r="G561" s="4" t="n">
        <x:v>44430</x:v>
      </x:c>
      <x:c r="H561" s="6" t="n">
        <x:v>445.71</x:v>
      </x:c>
      <x:c r="I561" s="16" t="n">
        <x:v>1</x:v>
      </x:c>
      <x:c r="J561"/>
      <x:c r="K561" s="4"/>
      <x:c r="L561" s="4"/>
      <x:c r="M561" s="4"/>
      <x:c r="N561" s="5"/>
    </x:row>
    <x:row r="562" ht="24" customHeight="1">
      <x:c r="A562" s="1" t="str">
        <x:v>RESULT</x:v>
      </x:c>
      <x:c r="B562" s="1" t="str">
        <x:v>Round1</x:v>
      </x:c>
      <x:c r="C562" s="1" t="str">
        <x:v>Jsoup_57</x:v>
      </x:c>
      <x:c r="D562" s="1" t="str">
        <x:v>NOT_REVEALING</x:v>
      </x:c>
      <x:c r="E562" s="5" t="n">
        <x:v>0.9449</x:v>
      </x:c>
      <x:c r="F562" s="4" t="n">
        <x:v>0</x:v>
      </x:c>
      <x:c r="G562" s="4" t="n">
        <x:v>6057</x:v>
      </x:c>
      <x:c r="H562" s="6" t="n">
        <x:v>91.57</x:v>
      </x:c>
      <x:c r="I562" s="16" t="n">
        <x:v>1</x:v>
      </x:c>
      <x:c r="J562" t="n">
        <x:v>127</x:v>
      </x:c>
      <x:c r="K562" s="4" t="n">
        <x:v>120</x:v>
      </x:c>
      <x:c r="L562" s="4" t="n">
        <x:v>76</x:v>
      </x:c>
      <x:c r="M562" s="4" t="n">
        <x:v>71</x:v>
      </x:c>
      <x:c r="N562" s="5" t="n">
        <x:v>0.9342</x:v>
      </x:c>
    </x:row>
    <x:row r="563" ht="24" customHeight="1">
      <x:c r="A563" s="1" t="str">
        <x:v>RESULT</x:v>
      </x:c>
      <x:c r="B563" s="1" t="str">
        <x:v>Round1</x:v>
      </x:c>
      <x:c r="C563" s="1" t="str">
        <x:v>Jsoup_58</x:v>
      </x:c>
      <x:c r="D563" s="1" t="str">
        <x:v>INCONCLUSIVE</x:v>
      </x:c>
      <x:c r="E563" s="5" t="n">
        <x:v>0.9684999999999999</x:v>
      </x:c>
      <x:c r="F563" s="4" t="n">
        <x:v>0</x:v>
      </x:c>
      <x:c r="G563" s="4" t="n">
        <x:v>15770</x:v>
      </x:c>
      <x:c r="H563" s="6" t="n">
        <x:v>208.18</x:v>
      </x:c>
      <x:c r="I563" s="16" t="n">
        <x:v>1</x:v>
      </x:c>
      <x:c r="J563" t="n">
        <x:v>127</x:v>
      </x:c>
      <x:c r="K563" s="4" t="n">
        <x:v>123</x:v>
      </x:c>
      <x:c r="L563" s="4" t="n">
        <x:v>32</x:v>
      </x:c>
      <x:c r="M563" s="4" t="n">
        <x:v>32</x:v>
      </x:c>
      <x:c r="N563" s="5" t="n">
        <x:v>1</x:v>
      </x:c>
    </x:row>
    <x:row r="564" ht="24" customHeight="1">
      <x:c r="A564" s="1" t="str">
        <x:v>RESULT</x:v>
      </x:c>
      <x:c r="B564" s="1" t="str">
        <x:v>Round1</x:v>
      </x:c>
      <x:c r="C564" s="1" t="str">
        <x:v>Jsoup_59</x:v>
      </x:c>
      <x:c r="D564" s="1" t="str">
        <x:v>NOT_AVAILABLE</x:v>
      </x:c>
      <x:c r="E564" s="5"/>
      <x:c r="F564" s="4" t="n">
        <x:v>0</x:v>
      </x:c>
      <x:c r="G564" s="4" t="n">
        <x:v>5602</x:v>
      </x:c>
      <x:c r="H564" s="6" t="n">
        <x:v>75.69</x:v>
      </x:c>
      <x:c r="I564" s="16" t="n">
        <x:v>1</x:v>
      </x:c>
      <x:c r="J564"/>
      <x:c r="K564" s="4"/>
      <x:c r="L564" s="4"/>
      <x:c r="M564" s="4"/>
      <x:c r="N564" s="5"/>
    </x:row>
    <x:row r="565" ht="24" customHeight="1">
      <x:c r="A565" s="1" t="str">
        <x:v>RESULT</x:v>
      </x:c>
      <x:c r="B565" s="1" t="str">
        <x:v>Round1</x:v>
      </x:c>
      <x:c r="C565" s="1" t="str">
        <x:v>Jsoup_6</x:v>
      </x:c>
      <x:c r="D565" s="1" t="str">
        <x:v>NOT_AVAILABLE</x:v>
      </x:c>
      <x:c r="E565" s="5"/>
      <x:c r="F565" s="4" t="n">
        <x:v>0</x:v>
      </x:c>
      <x:c r="G565" s="4" t="n">
        <x:v>28465</x:v>
      </x:c>
      <x:c r="H565" s="6" t="n">
        <x:v>33.03</x:v>
      </x:c>
      <x:c r="I565" s="16" t="n">
        <x:v>1</x:v>
      </x:c>
      <x:c r="J565"/>
      <x:c r="K565" s="4"/>
      <x:c r="L565" s="4"/>
      <x:c r="M565" s="4"/>
      <x:c r="N565" s="5"/>
    </x:row>
    <x:row r="566" ht="24" customHeight="1">
      <x:c r="A566" s="1" t="str">
        <x:v>RESULT</x:v>
      </x:c>
      <x:c r="B566" s="1" t="str">
        <x:v>Round1</x:v>
      </x:c>
      <x:c r="C566" s="1" t="str">
        <x:v>Jsoup_60</x:v>
      </x:c>
      <x:c r="D566" s="1" t="str">
        <x:v>NOT_AVAILABLE</x:v>
      </x:c>
      <x:c r="E566" s="5"/>
      <x:c r="F566" s="4" t="n">
        <x:v>0</x:v>
      </x:c>
      <x:c r="G566" s="4" t="n">
        <x:v>14652</x:v>
      </x:c>
      <x:c r="H566" s="6" t="n">
        <x:v>192.41</x:v>
      </x:c>
      <x:c r="I566" s="16" t="n">
        <x:v>1</x:v>
      </x:c>
      <x:c r="J566"/>
      <x:c r="K566" s="4"/>
      <x:c r="L566" s="4"/>
      <x:c r="M566" s="4"/>
      <x:c r="N566" s="5"/>
    </x:row>
    <x:row r="567" ht="24" customHeight="1">
      <x:c r="A567" s="1" t="str">
        <x:v>RESULT</x:v>
      </x:c>
      <x:c r="B567" s="1" t="str">
        <x:v>Round1</x:v>
      </x:c>
      <x:c r="C567" s="1" t="str">
        <x:v>Jsoup_61</x:v>
      </x:c>
      <x:c r="D567" s="1" t="str">
        <x:v>NOT_AVAILABLE</x:v>
      </x:c>
      <x:c r="E567" s="5"/>
      <x:c r="F567" s="4" t="n">
        <x:v>0</x:v>
      </x:c>
      <x:c r="G567" s="4" t="n">
        <x:v>10911</x:v>
      </x:c>
      <x:c r="H567" s="6" t="n">
        <x:v>166.98</x:v>
      </x:c>
      <x:c r="I567" s="16" t="n">
        <x:v>1</x:v>
      </x:c>
      <x:c r="J567"/>
      <x:c r="K567" s="4"/>
      <x:c r="L567" s="4"/>
      <x:c r="M567" s="4"/>
      <x:c r="N567" s="5"/>
    </x:row>
    <x:row r="568" ht="24" customHeight="1">
      <x:c r="A568" s="1" t="str">
        <x:v>RESULT</x:v>
      </x:c>
      <x:c r="B568" s="1" t="str">
        <x:v>Round1</x:v>
      </x:c>
      <x:c r="C568" s="1" t="str">
        <x:v>Jsoup_62</x:v>
      </x:c>
      <x:c r="D568" s="1" t="str">
        <x:v>NOT_AVAILABLE</x:v>
      </x:c>
      <x:c r="E568" s="5"/>
      <x:c r="F568" s="4" t="n">
        <x:v>0</x:v>
      </x:c>
      <x:c r="G568" s="4" t="n">
        <x:v>19098</x:v>
      </x:c>
      <x:c r="H568" s="6" t="n">
        <x:v>185</x:v>
      </x:c>
      <x:c r="I568" s="16" t="n">
        <x:v>1</x:v>
      </x:c>
      <x:c r="J568"/>
      <x:c r="K568" s="4"/>
      <x:c r="L568" s="4"/>
      <x:c r="M568" s="4"/>
      <x:c r="N568" s="5"/>
    </x:row>
    <x:row r="569" ht="24" customHeight="1">
      <x:c r="A569" s="1" t="str">
        <x:v>RESULT</x:v>
      </x:c>
      <x:c r="B569" s="1" t="str">
        <x:v>Round1</x:v>
      </x:c>
      <x:c r="C569" s="1" t="str">
        <x:v>Jsoup_63</x:v>
      </x:c>
      <x:c r="D569" s="1" t="str">
        <x:v>NOT_AVAILABLE</x:v>
      </x:c>
      <x:c r="E569" s="5"/>
      <x:c r="F569" s="4" t="n">
        <x:v>0</x:v>
      </x:c>
      <x:c r="G569" s="4" t="n">
        <x:v>14433</x:v>
      </x:c>
      <x:c r="H569" s="6" t="n">
        <x:v>156.52</x:v>
      </x:c>
      <x:c r="I569" s="16" t="n">
        <x:v>1</x:v>
      </x:c>
      <x:c r="J569"/>
      <x:c r="K569" s="4"/>
      <x:c r="L569" s="4"/>
      <x:c r="M569" s="4"/>
      <x:c r="N569" s="5"/>
    </x:row>
    <x:row r="570" ht="24" customHeight="1">
      <x:c r="A570" s="1" t="str">
        <x:v>RESULT</x:v>
      </x:c>
      <x:c r="B570" s="1" t="str">
        <x:v>Round1</x:v>
      </x:c>
      <x:c r="C570" s="1" t="str">
        <x:v>Jsoup_64</x:v>
      </x:c>
      <x:c r="D570" s="1" t="str">
        <x:v>NOT_AVAILABLE</x:v>
      </x:c>
      <x:c r="E570" s="5"/>
      <x:c r="F570" s="4" t="n">
        <x:v>0</x:v>
      </x:c>
      <x:c r="G570" s="4" t="n">
        <x:v>18832</x:v>
      </x:c>
      <x:c r="H570" s="6" t="n">
        <x:v>52.12</x:v>
      </x:c>
      <x:c r="I570" s="16" t="n">
        <x:v>1</x:v>
      </x:c>
      <x:c r="J570"/>
      <x:c r="K570" s="4"/>
      <x:c r="L570" s="4"/>
      <x:c r="M570" s="4"/>
      <x:c r="N570" s="5"/>
    </x:row>
    <x:row r="571" ht="24" customHeight="1">
      <x:c r="A571" s="1" t="str">
        <x:v>RESULT</x:v>
      </x:c>
      <x:c r="B571" s="1" t="str">
        <x:v>Round1</x:v>
      </x:c>
      <x:c r="C571" s="1" t="str">
        <x:v>Jsoup_65</x:v>
      </x:c>
      <x:c r="D571" s="1" t="str">
        <x:v>NOT_AVAILABLE</x:v>
      </x:c>
      <x:c r="E571" s="5"/>
      <x:c r="F571" s="4" t="n">
        <x:v>0</x:v>
      </x:c>
      <x:c r="G571" s="4" t="n">
        <x:v>35285</x:v>
      </x:c>
      <x:c r="H571" s="6" t="n">
        <x:v>498.3</x:v>
      </x:c>
      <x:c r="I571" s="16" t="n">
        <x:v>1</x:v>
      </x:c>
      <x:c r="J571"/>
      <x:c r="K571" s="4"/>
      <x:c r="L571" s="4"/>
      <x:c r="M571" s="4"/>
      <x:c r="N571" s="5"/>
    </x:row>
    <x:row r="572" ht="24" customHeight="1">
      <x:c r="A572" s="1" t="str">
        <x:v>RESULT</x:v>
      </x:c>
      <x:c r="B572" s="1" t="str">
        <x:v>Round1</x:v>
      </x:c>
      <x:c r="C572" s="1" t="str">
        <x:v>Jsoup_66</x:v>
      </x:c>
      <x:c r="D572" s="1" t="str">
        <x:v>NOT_AVAILABLE</x:v>
      </x:c>
      <x:c r="E572" s="5"/>
      <x:c r="F572" s="4" t="n">
        <x:v>0</x:v>
      </x:c>
      <x:c r="G572" s="4" t="n">
        <x:v>12214</x:v>
      </x:c>
      <x:c r="H572" s="6" t="n">
        <x:v>165.51</x:v>
      </x:c>
      <x:c r="I572" s="16" t="n">
        <x:v>1</x:v>
      </x:c>
      <x:c r="J572"/>
      <x:c r="K572" s="4"/>
      <x:c r="L572" s="4"/>
      <x:c r="M572" s="4"/>
      <x:c r="N572" s="5"/>
    </x:row>
    <x:row r="573" ht="24" customHeight="1">
      <x:c r="A573" s="1" t="str">
        <x:v>RESULT</x:v>
      </x:c>
      <x:c r="B573" s="1" t="str">
        <x:v>Round1</x:v>
      </x:c>
      <x:c r="C573" s="1" t="str">
        <x:v>Jsoup_67</x:v>
      </x:c>
      <x:c r="D573" s="1" t="str">
        <x:v>NOT_AVAILABLE</x:v>
      </x:c>
      <x:c r="E573" s="5"/>
      <x:c r="F573" s="4" t="n">
        <x:v>0</x:v>
      </x:c>
      <x:c r="G573" s="4" t="n">
        <x:v>8597</x:v>
      </x:c>
      <x:c r="H573" s="6" t="n">
        <x:v>80.8</x:v>
      </x:c>
      <x:c r="I573" s="16" t="n">
        <x:v>1</x:v>
      </x:c>
      <x:c r="J573"/>
      <x:c r="K573" s="4"/>
      <x:c r="L573" s="4"/>
      <x:c r="M573" s="4"/>
      <x:c r="N573" s="5"/>
    </x:row>
    <x:row r="574" ht="24" customHeight="1">
      <x:c r="A574" s="1" t="str">
        <x:v>RESULT</x:v>
      </x:c>
      <x:c r="B574" s="1" t="str">
        <x:v>Round1</x:v>
      </x:c>
      <x:c r="C574" s="1" t="str">
        <x:v>Jsoup_68</x:v>
      </x:c>
      <x:c r="D574" s="1" t="str">
        <x:v>NOT_AVAILABLE</x:v>
      </x:c>
      <x:c r="E574" s="5"/>
      <x:c r="F574" s="4" t="n">
        <x:v>0</x:v>
      </x:c>
      <x:c r="G574" s="4" t="n">
        <x:v>11814</x:v>
      </x:c>
      <x:c r="H574" s="6" t="n">
        <x:v>181.1</x:v>
      </x:c>
      <x:c r="I574" s="16" t="n">
        <x:v>1</x:v>
      </x:c>
      <x:c r="J574"/>
      <x:c r="K574" s="4"/>
      <x:c r="L574" s="4"/>
      <x:c r="M574" s="4"/>
      <x:c r="N574" s="5"/>
    </x:row>
    <x:row r="575" ht="24" customHeight="1">
      <x:c r="A575" s="1" t="str">
        <x:v>RESULT</x:v>
      </x:c>
      <x:c r="B575" s="1" t="str">
        <x:v>Round1</x:v>
      </x:c>
      <x:c r="C575" s="1" t="str">
        <x:v>Jsoup_69</x:v>
      </x:c>
      <x:c r="D575" s="1" t="str">
        <x:v>INCONCLUSIVE</x:v>
      </x:c>
      <x:c r="E575" s="5" t="n">
        <x:v>0.9211</x:v>
      </x:c>
      <x:c r="F575" s="4" t="n">
        <x:v>0</x:v>
      </x:c>
      <x:c r="G575" s="4" t="n">
        <x:v>3905</x:v>
      </x:c>
      <x:c r="H575" s="6" t="n">
        <x:v>56.09</x:v>
      </x:c>
      <x:c r="I575" s="16" t="n">
        <x:v>1</x:v>
      </x:c>
      <x:c r="J575" t="n">
        <x:v>38</x:v>
      </x:c>
      <x:c r="K575" s="4" t="n">
        <x:v>35</x:v>
      </x:c>
      <x:c r="L575" s="4" t="n">
        <x:v>28</x:v>
      </x:c>
      <x:c r="M575" s="4" t="n">
        <x:v>24</x:v>
      </x:c>
      <x:c r="N575" s="5" t="n">
        <x:v>0.8571</x:v>
      </x:c>
    </x:row>
    <x:row r="576" ht="24" customHeight="1">
      <x:c r="A576" s="1" t="str">
        <x:v>RESULT</x:v>
      </x:c>
      <x:c r="B576" s="1" t="str">
        <x:v>Round1</x:v>
      </x:c>
      <x:c r="C576" s="1" t="str">
        <x:v>Jsoup_7</x:v>
      </x:c>
      <x:c r="D576" s="1" t="str">
        <x:v>NOT_AVAILABLE</x:v>
      </x:c>
      <x:c r="E576" s="5"/>
      <x:c r="F576" s="4" t="n">
        <x:v>0</x:v>
      </x:c>
      <x:c r="G576" s="4" t="n">
        <x:v>5341</x:v>
      </x:c>
      <x:c r="H576" s="6" t="n">
        <x:v>66.41</x:v>
      </x:c>
      <x:c r="I576" s="16" t="n">
        <x:v>1</x:v>
      </x:c>
      <x:c r="J576"/>
      <x:c r="K576" s="4"/>
      <x:c r="L576" s="4"/>
      <x:c r="M576" s="4"/>
      <x:c r="N576" s="5"/>
    </x:row>
    <x:row r="577" ht="24" customHeight="1">
      <x:c r="A577" s="1" t="str">
        <x:v>RESULT</x:v>
      </x:c>
      <x:c r="B577" s="1" t="str">
        <x:v>Round1</x:v>
      </x:c>
      <x:c r="C577" s="1" t="str">
        <x:v>Jsoup_70</x:v>
      </x:c>
      <x:c r="D577" s="1" t="str">
        <x:v>NOT_AVAILABLE</x:v>
      </x:c>
      <x:c r="E577" s="5"/>
      <x:c r="F577" s="4" t="n">
        <x:v>0</x:v>
      </x:c>
      <x:c r="G577" s="4" t="n">
        <x:v>9731</x:v>
      </x:c>
      <x:c r="H577" s="6" t="n">
        <x:v>97.17</x:v>
      </x:c>
      <x:c r="I577" s="16" t="n">
        <x:v>1</x:v>
      </x:c>
      <x:c r="J577"/>
      <x:c r="K577" s="4"/>
      <x:c r="L577" s="4"/>
      <x:c r="M577" s="4"/>
      <x:c r="N577" s="5"/>
    </x:row>
    <x:row r="578" ht="24" customHeight="1">
      <x:c r="A578" s="1" t="str">
        <x:v>RESULT</x:v>
      </x:c>
      <x:c r="B578" s="1" t="str">
        <x:v>Round1</x:v>
      </x:c>
      <x:c r="C578" s="1" t="str">
        <x:v>Jsoup_71</x:v>
      </x:c>
      <x:c r="D578" s="1" t="str">
        <x:v>NOT_AVAILABLE</x:v>
      </x:c>
      <x:c r="E578" s="5"/>
      <x:c r="F578" s="4" t="n">
        <x:v>0</x:v>
      </x:c>
      <x:c r="G578" s="4" t="n">
        <x:v>15573</x:v>
      </x:c>
      <x:c r="H578" s="6" t="n">
        <x:v>164.5</x:v>
      </x:c>
      <x:c r="I578" s="16" t="n">
        <x:v>1</x:v>
      </x:c>
      <x:c r="J578"/>
      <x:c r="K578" s="4"/>
      <x:c r="L578" s="4"/>
      <x:c r="M578" s="4"/>
      <x:c r="N578" s="5"/>
    </x:row>
    <x:row r="579" ht="24" customHeight="1">
      <x:c r="A579" s="1" t="str">
        <x:v>RESULT</x:v>
      </x:c>
      <x:c r="B579" s="1" t="str">
        <x:v>Round1</x:v>
      </x:c>
      <x:c r="C579" s="1" t="str">
        <x:v>Jsoup_72</x:v>
      </x:c>
      <x:c r="D579" s="1" t="str">
        <x:v>INCONCLUSIVE</x:v>
      </x:c>
      <x:c r="E579" s="5" t="n">
        <x:v>0.9473999999999999</x:v>
      </x:c>
      <x:c r="F579" s="4" t="n">
        <x:v>0</x:v>
      </x:c>
      <x:c r="G579" s="4" t="n">
        <x:v>8384</x:v>
      </x:c>
      <x:c r="H579" s="6" t="n">
        <x:v>117.27</x:v>
      </x:c>
      <x:c r="I579" s="16" t="n">
        <x:v>1</x:v>
      </x:c>
      <x:c r="J579" t="n">
        <x:v>228</x:v>
      </x:c>
      <x:c r="K579" s="4" t="n">
        <x:v>216</x:v>
      </x:c>
      <x:c r="L579" s="4" t="n">
        <x:v>198</x:v>
      </x:c>
      <x:c r="M579" s="4" t="n">
        <x:v>159</x:v>
      </x:c>
      <x:c r="N579" s="5" t="n">
        <x:v>0.8029999999999999</x:v>
      </x:c>
    </x:row>
    <x:row r="580" ht="24" customHeight="1">
      <x:c r="A580" s="1" t="str">
        <x:v>RESULT</x:v>
      </x:c>
      <x:c r="B580" s="1" t="str">
        <x:v>Round1</x:v>
      </x:c>
      <x:c r="C580" s="1" t="str">
        <x:v>Jsoup_73</x:v>
      </x:c>
      <x:c r="D580" s="1" t="str">
        <x:v>NOT_AVAILABLE</x:v>
      </x:c>
      <x:c r="E580" s="5"/>
      <x:c r="F580" s="4" t="n">
        <x:v>0</x:v>
      </x:c>
      <x:c r="G580" s="4" t="n">
        <x:v>5390</x:v>
      </x:c>
      <x:c r="H580" s="6" t="n">
        <x:v>82.79</x:v>
      </x:c>
      <x:c r="I580" s="16" t="n">
        <x:v>1</x:v>
      </x:c>
      <x:c r="J580"/>
      <x:c r="K580" s="4"/>
      <x:c r="L580" s="4"/>
      <x:c r="M580" s="4"/>
      <x:c r="N580" s="5"/>
    </x:row>
    <x:row r="581" ht="24" customHeight="1">
      <x:c r="A581" s="1" t="str">
        <x:v>RESULT</x:v>
      </x:c>
      <x:c r="B581" s="1" t="str">
        <x:v>Round1</x:v>
      </x:c>
      <x:c r="C581" s="1" t="str">
        <x:v>Jsoup_74</x:v>
      </x:c>
      <x:c r="D581" s="1" t="str">
        <x:v>INCONCLUSIVE</x:v>
      </x:c>
      <x:c r="E581" s="5" t="n">
        <x:v>0.9157</x:v>
      </x:c>
      <x:c r="F581" s="4" t="n">
        <x:v>0</x:v>
      </x:c>
      <x:c r="G581" s="4" t="n">
        <x:v>6954</x:v>
      </x:c>
      <x:c r="H581" s="6" t="n">
        <x:v>137.74</x:v>
      </x:c>
      <x:c r="I581" s="16" t="n">
        <x:v>1</x:v>
      </x:c>
      <x:c r="J581" t="n">
        <x:v>83</x:v>
      </x:c>
      <x:c r="K581" s="4" t="n">
        <x:v>76</x:v>
      </x:c>
      <x:c r="L581" s="4" t="n">
        <x:v>74</x:v>
      </x:c>
      <x:c r="M581" s="4" t="n">
        <x:v>67</x:v>
      </x:c>
      <x:c r="N581" s="5" t="n">
        <x:v>0.9054000000000001</x:v>
      </x:c>
    </x:row>
    <x:row r="582" ht="24" customHeight="1">
      <x:c r="A582" s="1" t="str">
        <x:v>RESULT</x:v>
      </x:c>
      <x:c r="B582" s="1" t="str">
        <x:v>Round1</x:v>
      </x:c>
      <x:c r="C582" s="1" t="str">
        <x:v>Jsoup_75</x:v>
      </x:c>
      <x:c r="D582" s="1" t="str">
        <x:v>INCONCLUSIVE</x:v>
      </x:c>
      <x:c r="E582" s="5" t="n">
        <x:v>0.9699</x:v>
      </x:c>
      <x:c r="F582" s="4" t="n">
        <x:v>0</x:v>
      </x:c>
      <x:c r="G582" s="4" t="n">
        <x:v>6599</x:v>
      </x:c>
      <x:c r="H582" s="6" t="n">
        <x:v>71.77</x:v>
      </x:c>
      <x:c r="I582" s="16" t="n">
        <x:v>1</x:v>
      </x:c>
      <x:c r="J582" t="n">
        <x:v>166</x:v>
      </x:c>
      <x:c r="K582" s="4" t="n">
        <x:v>161</x:v>
      </x:c>
      <x:c r="L582" s="4" t="n">
        <x:v>84</x:v>
      </x:c>
      <x:c r="M582" s="4" t="n">
        <x:v>75</x:v>
      </x:c>
      <x:c r="N582" s="5" t="n">
        <x:v>0.8929</x:v>
      </x:c>
    </x:row>
    <x:row r="583" ht="24" customHeight="1">
      <x:c r="A583" s="1" t="str">
        <x:v>RESULT</x:v>
      </x:c>
      <x:c r="B583" s="1" t="str">
        <x:v>Round1</x:v>
      </x:c>
      <x:c r="C583" s="1" t="str">
        <x:v>Jsoup_76</x:v>
      </x:c>
      <x:c r="D583" s="1" t="str">
        <x:v>NOT_AVAILABLE</x:v>
      </x:c>
      <x:c r="E583" s="5"/>
      <x:c r="F583" s="4" t="n">
        <x:v>0</x:v>
      </x:c>
      <x:c r="G583" s="4" t="n">
        <x:v>21065</x:v>
      </x:c>
      <x:c r="H583" s="6" t="n">
        <x:v>235.06</x:v>
      </x:c>
      <x:c r="I583" s="16" t="n">
        <x:v>1</x:v>
      </x:c>
      <x:c r="J583"/>
      <x:c r="K583" s="4"/>
      <x:c r="L583" s="4"/>
      <x:c r="M583" s="4"/>
      <x:c r="N583" s="5"/>
    </x:row>
    <x:row r="584" ht="24" customHeight="1">
      <x:c r="A584" s="1" t="str">
        <x:v>RESULT</x:v>
      </x:c>
      <x:c r="B584" s="1" t="str">
        <x:v>Round1</x:v>
      </x:c>
      <x:c r="C584" s="1" t="str">
        <x:v>Jsoup_77</x:v>
      </x:c>
      <x:c r="D584" s="1" t="str">
        <x:v>NOT_AVAILABLE</x:v>
      </x:c>
      <x:c r="E584" s="5"/>
      <x:c r="F584" s="4" t="n">
        <x:v>0</x:v>
      </x:c>
      <x:c r="G584" s="4" t="n">
        <x:v>5666</x:v>
      </x:c>
      <x:c r="H584" s="6" t="n">
        <x:v>104.78</x:v>
      </x:c>
      <x:c r="I584" s="16" t="n">
        <x:v>1</x:v>
      </x:c>
      <x:c r="J584"/>
      <x:c r="K584" s="4"/>
      <x:c r="L584" s="4"/>
      <x:c r="M584" s="4"/>
      <x:c r="N584" s="5"/>
    </x:row>
    <x:row r="585" ht="24" customHeight="1">
      <x:c r="A585" s="1" t="str">
        <x:v>RESULT</x:v>
      </x:c>
      <x:c r="B585" s="1" t="str">
        <x:v>Round1</x:v>
      </x:c>
      <x:c r="C585" s="1" t="str">
        <x:v>Jsoup_78</x:v>
      </x:c>
      <x:c r="D585" s="1" t="str">
        <x:v>INCONCLUSIVE</x:v>
      </x:c>
      <x:c r="E585" s="5" t="n">
        <x:v>0.7523000000000001</x:v>
      </x:c>
      <x:c r="F585" s="4" t="n">
        <x:v>0</x:v>
      </x:c>
      <x:c r="G585" s="4" t="n">
        <x:v>5856</x:v>
      </x:c>
      <x:c r="H585" s="6" t="n">
        <x:v>60.19</x:v>
      </x:c>
      <x:c r="I585" s="16" t="n">
        <x:v>1</x:v>
      </x:c>
      <x:c r="J585" t="n">
        <x:v>109</x:v>
      </x:c>
      <x:c r="K585" s="4" t="n">
        <x:v>82</x:v>
      </x:c>
      <x:c r="L585" s="4" t="n">
        <x:v>88</x:v>
      </x:c>
      <x:c r="M585" s="4" t="n">
        <x:v>38</x:v>
      </x:c>
      <x:c r="N585" s="5" t="n">
        <x:v>0.4318</x:v>
      </x:c>
    </x:row>
    <x:row r="586" ht="24" customHeight="1">
      <x:c r="A586" s="1" t="str">
        <x:v>RESULT</x:v>
      </x:c>
      <x:c r="B586" s="1" t="str">
        <x:v>Round1</x:v>
      </x:c>
      <x:c r="C586" s="1" t="str">
        <x:v>Jsoup_79</x:v>
      </x:c>
      <x:c r="D586" s="1" t="str">
        <x:v>NOT_AVAILABLE</x:v>
      </x:c>
      <x:c r="E586" s="5"/>
      <x:c r="F586" s="4" t="n">
        <x:v>0</x:v>
      </x:c>
      <x:c r="G586" s="4" t="n">
        <x:v>2945</x:v>
      </x:c>
      <x:c r="H586" s="6" t="n">
        <x:v>38.76</x:v>
      </x:c>
      <x:c r="I586" s="16" t="n">
        <x:v>1</x:v>
      </x:c>
      <x:c r="J586"/>
      <x:c r="K586" s="4"/>
      <x:c r="L586" s="4"/>
      <x:c r="M586" s="4"/>
      <x:c r="N586" s="5"/>
    </x:row>
    <x:row r="587" ht="24" customHeight="1">
      <x:c r="A587" s="1" t="str">
        <x:v>RESULT</x:v>
      </x:c>
      <x:c r="B587" s="1" t="str">
        <x:v>Round1</x:v>
      </x:c>
      <x:c r="C587" s="1" t="str">
        <x:v>Jsoup_8</x:v>
      </x:c>
      <x:c r="D587" s="1" t="str">
        <x:v>NOT_AVAILABLE</x:v>
      </x:c>
      <x:c r="E587" s="5"/>
      <x:c r="F587" s="4" t="n">
        <x:v>0</x:v>
      </x:c>
      <x:c r="G587" s="4" t="n">
        <x:v>22751</x:v>
      </x:c>
      <x:c r="H587" s="6" t="n">
        <x:v>560.13</x:v>
      </x:c>
      <x:c r="I587" s="16" t="n">
        <x:v>1</x:v>
      </x:c>
      <x:c r="J587"/>
      <x:c r="K587" s="4"/>
      <x:c r="L587" s="4"/>
      <x:c r="M587" s="4"/>
      <x:c r="N587" s="5"/>
    </x:row>
    <x:row r="588" ht="24" customHeight="1">
      <x:c r="A588" s="1" t="str">
        <x:v>RESULT</x:v>
      </x:c>
      <x:c r="B588" s="1" t="str">
        <x:v>Round1</x:v>
      </x:c>
      <x:c r="C588" s="1" t="str">
        <x:v>Jsoup_80</x:v>
      </x:c>
      <x:c r="D588" s="1" t="str">
        <x:v>NOT_AVAILABLE</x:v>
      </x:c>
      <x:c r="E588" s="5"/>
      <x:c r="F588" s="4" t="n">
        <x:v>0</x:v>
      </x:c>
      <x:c r="G588" s="4" t="n">
        <x:v>15092</x:v>
      </x:c>
      <x:c r="H588" s="6" t="n">
        <x:v>397.99</x:v>
      </x:c>
      <x:c r="I588" s="16" t="n">
        <x:v>1</x:v>
      </x:c>
      <x:c r="J588"/>
      <x:c r="K588" s="4"/>
      <x:c r="L588" s="4"/>
      <x:c r="M588" s="4"/>
      <x:c r="N588" s="5"/>
    </x:row>
    <x:row r="589" ht="24" customHeight="1">
      <x:c r="A589" s="1" t="str">
        <x:v>RESULT</x:v>
      </x:c>
      <x:c r="B589" s="1" t="str">
        <x:v>Round1</x:v>
      </x:c>
      <x:c r="C589" s="1" t="str">
        <x:v>Jsoup_81</x:v>
      </x:c>
      <x:c r="D589" s="1" t="str">
        <x:v>NOT_AVAILABLE</x:v>
      </x:c>
      <x:c r="E589" s="5"/>
      <x:c r="F589" s="4" t="n">
        <x:v>0</x:v>
      </x:c>
      <x:c r="G589" s="4" t="n">
        <x:v>14363</x:v>
      </x:c>
      <x:c r="H589" s="6" t="n">
        <x:v>328.6</x:v>
      </x:c>
      <x:c r="I589" s="16" t="n">
        <x:v>1</x:v>
      </x:c>
      <x:c r="J589"/>
      <x:c r="K589" s="4"/>
      <x:c r="L589" s="4"/>
      <x:c r="M589" s="4"/>
      <x:c r="N589" s="5"/>
    </x:row>
    <x:row r="590" ht="24" customHeight="1">
      <x:c r="A590" s="1" t="str">
        <x:v>RESULT</x:v>
      </x:c>
      <x:c r="B590" s="1" t="str">
        <x:v>Round1</x:v>
      </x:c>
      <x:c r="C590" s="1" t="str">
        <x:v>Jsoup_82</x:v>
      </x:c>
      <x:c r="D590" s="1" t="str">
        <x:v>INCONCLUSIVE</x:v>
      </x:c>
      <x:c r="E590" s="5" t="n">
        <x:v>0.7965000000000001</x:v>
      </x:c>
      <x:c r="F590" s="4" t="n">
        <x:v>0</x:v>
      </x:c>
      <x:c r="G590" s="4" t="n">
        <x:v>25469</x:v>
      </x:c>
      <x:c r="H590" s="6" t="n">
        <x:v>782.88</x:v>
      </x:c>
      <x:c r="I590" s="16" t="n">
        <x:v>1</x:v>
      </x:c>
      <x:c r="J590" t="n">
        <x:v>113</x:v>
      </x:c>
      <x:c r="K590" s="4" t="n">
        <x:v>90</x:v>
      </x:c>
      <x:c r="L590" s="4" t="n">
        <x:v>96</x:v>
      </x:c>
      <x:c r="M590" s="4" t="n">
        <x:v>44</x:v>
      </x:c>
      <x:c r="N590" s="5" t="n">
        <x:v>0.4583</x:v>
      </x:c>
    </x:row>
    <x:row r="591" ht="24" customHeight="1">
      <x:c r="A591" s="1" t="str">
        <x:v>RESULT</x:v>
      </x:c>
      <x:c r="B591" s="1" t="str">
        <x:v>Round1</x:v>
      </x:c>
      <x:c r="C591" s="1" t="str">
        <x:v>Jsoup_83</x:v>
      </x:c>
      <x:c r="D591" s="1" t="str">
        <x:v>NOT_AVAILABLE</x:v>
      </x:c>
      <x:c r="E591" s="5"/>
      <x:c r="F591" s="4" t="n">
        <x:v>0</x:v>
      </x:c>
      <x:c r="G591" s="4" t="n">
        <x:v>61762</x:v>
      </x:c>
      <x:c r="H591" s="6" t="n">
        <x:v>1850.4</x:v>
      </x:c>
      <x:c r="I591" s="16" t="n">
        <x:v>1</x:v>
      </x:c>
      <x:c r="J591"/>
      <x:c r="K591" s="4"/>
      <x:c r="L591" s="4"/>
      <x:c r="M591" s="4"/>
      <x:c r="N591" s="5"/>
    </x:row>
    <x:row r="592" ht="24" customHeight="1">
      <x:c r="A592" s="1" t="str">
        <x:v>RESULT</x:v>
      </x:c>
      <x:c r="B592" s="1" t="str">
        <x:v>Round1</x:v>
      </x:c>
      <x:c r="C592" s="1" t="str">
        <x:v>Jsoup_84</x:v>
      </x:c>
      <x:c r="D592" s="1" t="str">
        <x:v>NOT_AVAILABLE</x:v>
      </x:c>
      <x:c r="E592" s="5"/>
      <x:c r="F592" s="4" t="n">
        <x:v>0</x:v>
      </x:c>
      <x:c r="G592" s="4" t="n">
        <x:v>5665</x:v>
      </x:c>
      <x:c r="H592" s="6" t="n">
        <x:v>27.83</x:v>
      </x:c>
      <x:c r="I592" s="16" t="n">
        <x:v>1</x:v>
      </x:c>
      <x:c r="J592"/>
      <x:c r="K592" s="4"/>
      <x:c r="L592" s="4"/>
      <x:c r="M592" s="4"/>
      <x:c r="N592" s="5"/>
    </x:row>
    <x:row r="593" ht="24" customHeight="1">
      <x:c r="A593" s="1" t="str">
        <x:v>RESULT</x:v>
      </x:c>
      <x:c r="B593" s="1" t="str">
        <x:v>Round1</x:v>
      </x:c>
      <x:c r="C593" s="1" t="str">
        <x:v>Jsoup_85</x:v>
      </x:c>
      <x:c r="D593" s="1" t="str">
        <x:v>INCONCLUSIVE</x:v>
      </x:c>
      <x:c r="E593" s="5" t="n">
        <x:v>0.9077</x:v>
      </x:c>
      <x:c r="F593" s="4" t="n">
        <x:v>0</x:v>
      </x:c>
      <x:c r="G593" s="4" t="n">
        <x:v>12617</x:v>
      </x:c>
      <x:c r="H593" s="6" t="n">
        <x:v>99.05</x:v>
      </x:c>
      <x:c r="I593" s="16" t="n">
        <x:v>1</x:v>
      </x:c>
      <x:c r="J593" t="n">
        <x:v>65</x:v>
      </x:c>
      <x:c r="K593" s="4" t="n">
        <x:v>59</x:v>
      </x:c>
      <x:c r="L593" s="4" t="n">
        <x:v>50</x:v>
      </x:c>
      <x:c r="M593" s="4" t="n">
        <x:v>37</x:v>
      </x:c>
      <x:c r="N593" s="5" t="n">
        <x:v>0.74</x:v>
      </x:c>
    </x:row>
    <x:row r="594" ht="24" customHeight="1">
      <x:c r="A594" s="1" t="str">
        <x:v>RESULT</x:v>
      </x:c>
      <x:c r="B594" s="1" t="str">
        <x:v>Round1</x:v>
      </x:c>
      <x:c r="C594" s="1" t="str">
        <x:v>Jsoup_86</x:v>
      </x:c>
      <x:c r="D594" s="1" t="str">
        <x:v>INCONCLUSIVE</x:v>
      </x:c>
      <x:c r="E594" s="5" t="n">
        <x:v>0.9259000000000001</x:v>
      </x:c>
      <x:c r="F594" s="4" t="n">
        <x:v>0</x:v>
      </x:c>
      <x:c r="G594" s="4" t="n">
        <x:v>5549</x:v>
      </x:c>
      <x:c r="H594" s="6" t="n">
        <x:v>41.45</x:v>
      </x:c>
      <x:c r="I594" s="16" t="n">
        <x:v>1</x:v>
      </x:c>
      <x:c r="J594" t="n">
        <x:v>27</x:v>
      </x:c>
      <x:c r="K594" s="4" t="n">
        <x:v>25</x:v>
      </x:c>
      <x:c r="L594" s="4" t="n">
        <x:v>10</x:v>
      </x:c>
      <x:c r="M594" s="4" t="n">
        <x:v>8</x:v>
      </x:c>
      <x:c r="N594" s="5" t="n">
        <x:v>0.8</x:v>
      </x:c>
    </x:row>
    <x:row r="595" ht="24" customHeight="1">
      <x:c r="A595" s="1" t="str">
        <x:v>RESULT</x:v>
      </x:c>
      <x:c r="B595" s="1" t="str">
        <x:v>Round1</x:v>
      </x:c>
      <x:c r="C595" s="1" t="str">
        <x:v>Jsoup_87</x:v>
      </x:c>
      <x:c r="D595" s="1" t="str">
        <x:v>NOT_AVAILABLE</x:v>
      </x:c>
      <x:c r="E595" s="5"/>
      <x:c r="F595" s="4" t="n">
        <x:v>0</x:v>
      </x:c>
      <x:c r="G595" s="4" t="n">
        <x:v>54469</x:v>
      </x:c>
      <x:c r="H595" s="6" t="n">
        <x:v>305.12</x:v>
      </x:c>
      <x:c r="I595" s="16" t="n">
        <x:v>1</x:v>
      </x:c>
      <x:c r="J595"/>
      <x:c r="K595" s="4"/>
      <x:c r="L595" s="4"/>
      <x:c r="M595" s="4"/>
      <x:c r="N595" s="5"/>
    </x:row>
    <x:row r="596" ht="24" customHeight="1">
      <x:c r="A596" s="1" t="str">
        <x:v>RESULT</x:v>
      </x:c>
      <x:c r="B596" s="1" t="str">
        <x:v>Round1</x:v>
      </x:c>
      <x:c r="C596" s="1" t="str">
        <x:v>Jsoup_88</x:v>
      </x:c>
      <x:c r="D596" s="1" t="str">
        <x:v>NOT_REVEALING</x:v>
      </x:c>
      <x:c r="E596" s="5" t="n">
        <x:v>0.8787999999999999</x:v>
      </x:c>
      <x:c r="F596" s="4" t="n">
        <x:v>0</x:v>
      </x:c>
      <x:c r="G596" s="4" t="n">
        <x:v>21258</x:v>
      </x:c>
      <x:c r="H596" s="6" t="n">
        <x:v>98.69</x:v>
      </x:c>
      <x:c r="I596" s="16" t="n">
        <x:v>1</x:v>
      </x:c>
      <x:c r="J596" t="n">
        <x:v>66</x:v>
      </x:c>
      <x:c r="K596" s="4" t="n">
        <x:v>58</x:v>
      </x:c>
      <x:c r="L596" s="4" t="n">
        <x:v>50</x:v>
      </x:c>
      <x:c r="M596" s="4" t="n">
        <x:v>36</x:v>
      </x:c>
      <x:c r="N596" s="5" t="n">
        <x:v>0.72</x:v>
      </x:c>
    </x:row>
    <x:row r="597" ht="24" customHeight="1">
      <x:c r="A597" s="1" t="str">
        <x:v>RESULT</x:v>
      </x:c>
      <x:c r="B597" s="1" t="str">
        <x:v>Round1</x:v>
      </x:c>
      <x:c r="C597" s="1" t="str">
        <x:v>Jsoup_89</x:v>
      </x:c>
      <x:c r="D597" s="1" t="str">
        <x:v>INCONCLUSIVE</x:v>
      </x:c>
      <x:c r="E597" s="5" t="n">
        <x:v>0.8939</x:v>
      </x:c>
      <x:c r="F597" s="4" t="n">
        <x:v>0</x:v>
      </x:c>
      <x:c r="G597" s="4" t="n">
        <x:v>27310</x:v>
      </x:c>
      <x:c r="H597" s="6" t="n">
        <x:v>140.35</x:v>
      </x:c>
      <x:c r="I597" s="16" t="n">
        <x:v>1</x:v>
      </x:c>
      <x:c r="J597" t="n">
        <x:v>66</x:v>
      </x:c>
      <x:c r="K597" s="4" t="n">
        <x:v>59</x:v>
      </x:c>
      <x:c r="L597" s="4" t="n">
        <x:v>50</x:v>
      </x:c>
      <x:c r="M597" s="4" t="n">
        <x:v>38</x:v>
      </x:c>
      <x:c r="N597" s="5" t="n">
        <x:v>0.76</x:v>
      </x:c>
    </x:row>
    <x:row r="598" ht="24" customHeight="1">
      <x:c r="A598" s="1" t="str">
        <x:v>RESULT</x:v>
      </x:c>
      <x:c r="B598" s="1" t="str">
        <x:v>Round1</x:v>
      </x:c>
      <x:c r="C598" s="1" t="str">
        <x:v>Jsoup_9</x:v>
      </x:c>
      <x:c r="D598" s="1" t="str">
        <x:v>NOT_REVEALING</x:v>
      </x:c>
      <x:c r="E598" s="5"/>
      <x:c r="F598" s="4" t="n">
        <x:v>0</x:v>
      </x:c>
      <x:c r="G598" s="4" t="n">
        <x:v>32365</x:v>
      </x:c>
      <x:c r="H598" s="6" t="n">
        <x:v>29.07</x:v>
      </x:c>
      <x:c r="I598" s="16" t="n">
        <x:v>1</x:v>
      </x:c>
      <x:c r="J598"/>
      <x:c r="K598" s="4"/>
      <x:c r="L598" s="4"/>
      <x:c r="M598" s="4"/>
      <x:c r="N598" s="5"/>
    </x:row>
    <x:row r="599" ht="24" customHeight="1">
      <x:c r="A599" s="1" t="str">
        <x:v>RESULT</x:v>
      </x:c>
      <x:c r="B599" s="1" t="str">
        <x:v>Round1</x:v>
      </x:c>
      <x:c r="C599" s="1" t="str">
        <x:v>Jsoup_90</x:v>
      </x:c>
      <x:c r="D599" s="1" t="str">
        <x:v>NOT_AVAILABLE</x:v>
      </x:c>
      <x:c r="E599" s="5"/>
      <x:c r="F599" s="4" t="n">
        <x:v>0</x:v>
      </x:c>
      <x:c r="G599" s="4" t="n">
        <x:v>46545</x:v>
      </x:c>
      <x:c r="H599" s="6" t="n">
        <x:v>195.28</x:v>
      </x:c>
      <x:c r="I599" s="16" t="n">
        <x:v>1</x:v>
      </x:c>
      <x:c r="J599"/>
      <x:c r="K599" s="4"/>
      <x:c r="L599" s="4"/>
      <x:c r="M599" s="4"/>
      <x:c r="N599" s="5"/>
    </x:row>
    <x:row r="600" ht="24" customHeight="1">
      <x:c r="A600" s="1" t="str">
        <x:v>RESULT</x:v>
      </x:c>
      <x:c r="B600" s="1" t="str">
        <x:v>Round1</x:v>
      </x:c>
      <x:c r="C600" s="1" t="str">
        <x:v>Jsoup_91</x:v>
      </x:c>
      <x:c r="D600" s="1" t="str">
        <x:v>NOT_AVAILABLE</x:v>
      </x:c>
      <x:c r="E600" s="5" t="n">
        <x:v>0.9478</x:v>
      </x:c>
      <x:c r="F600" s="4" t="n">
        <x:v>0</x:v>
      </x:c>
      <x:c r="G600" s="4" t="n">
        <x:v>39993</x:v>
      </x:c>
      <x:c r="H600" s="6" t="n">
        <x:v>190.97</x:v>
      </x:c>
      <x:c r="I600" s="16" t="n">
        <x:v>1</x:v>
      </x:c>
      <x:c r="J600" t="n">
        <x:v>249</x:v>
      </x:c>
      <x:c r="K600" s="4" t="n">
        <x:v>236</x:v>
      </x:c>
      <x:c r="L600" s="4" t="n">
        <x:v>190</x:v>
      </x:c>
      <x:c r="M600" s="4" t="n">
        <x:v>153</x:v>
      </x:c>
      <x:c r="N600" s="5" t="n">
        <x:v>0.8053</x:v>
      </x:c>
    </x:row>
    <x:row r="601" ht="24" customHeight="1">
      <x:c r="A601" s="1" t="str">
        <x:v>RESULT</x:v>
      </x:c>
      <x:c r="B601" s="1" t="str">
        <x:v>Round1</x:v>
      </x:c>
      <x:c r="C601" s="1" t="str">
        <x:v>Jsoup_92</x:v>
      </x:c>
      <x:c r="D601" s="1" t="str">
        <x:v>NOT_AVAILABLE</x:v>
      </x:c>
      <x:c r="E601" s="5"/>
      <x:c r="F601" s="4" t="n">
        <x:v>0</x:v>
      </x:c>
      <x:c r="G601" s="4" t="n">
        <x:v>89337</x:v>
      </x:c>
      <x:c r="H601" s="6" t="n">
        <x:v>429.8</x:v>
      </x:c>
      <x:c r="I601" s="16" t="n">
        <x:v>1</x:v>
      </x:c>
      <x:c r="J601"/>
      <x:c r="K601" s="4"/>
      <x:c r="L601" s="4"/>
      <x:c r="M601" s="4"/>
      <x:c r="N601" s="5"/>
    </x:row>
    <x:row r="602" ht="24" customHeight="1">
      <x:c r="A602" s="1" t="str">
        <x:v>RESULT</x:v>
      </x:c>
      <x:c r="B602" s="1" t="str">
        <x:v>Round1</x:v>
      </x:c>
      <x:c r="C602" s="1" t="str">
        <x:v>Jsoup_93</x:v>
      </x:c>
      <x:c r="D602" s="1" t="str">
        <x:v>NOT_AVAILABLE</x:v>
      </x:c>
      <x:c r="E602" s="5"/>
      <x:c r="F602" s="4" t="n">
        <x:v>0</x:v>
      </x:c>
      <x:c r="G602" s="4" t="n">
        <x:v>21809</x:v>
      </x:c>
      <x:c r="H602" s="6" t="n">
        <x:v>121.5</x:v>
      </x:c>
      <x:c r="I602" s="16" t="n">
        <x:v>1</x:v>
      </x:c>
      <x:c r="J602"/>
      <x:c r="K602" s="4"/>
      <x:c r="L602" s="4"/>
      <x:c r="M602" s="4"/>
      <x:c r="N602" s="5"/>
    </x:row>
    <x:row r="603" ht="24" customHeight="1">
      <x:c r="A603" s="1" t="str">
        <x:v>RESULT</x:v>
      </x:c>
      <x:c r="B603" s="1" t="str">
        <x:v>Round1</x:v>
      </x:c>
      <x:c r="C603" s="1" t="str">
        <x:v>JxPath_1</x:v>
      </x:c>
      <x:c r="D603" s="1" t="str">
        <x:v>NOT_AVAILABLE</x:v>
      </x:c>
      <x:c r="E603" s="5"/>
      <x:c r="F603" s="4" t="n">
        <x:v>0</x:v>
      </x:c>
      <x:c r="G603" s="4" t="n">
        <x:v>22734</x:v>
      </x:c>
      <x:c r="H603" s="6" t="n">
        <x:v>224.03</x:v>
      </x:c>
      <x:c r="I603" s="16" t="n">
        <x:v>1</x:v>
      </x:c>
      <x:c r="J603"/>
      <x:c r="K603" s="4"/>
      <x:c r="L603" s="4"/>
      <x:c r="M603" s="4"/>
      <x:c r="N603" s="5"/>
    </x:row>
    <x:row r="604" ht="24" customHeight="1">
      <x:c r="A604" s="1" t="str">
        <x:v>RESULT</x:v>
      </x:c>
      <x:c r="B604" s="1" t="str">
        <x:v>Round1</x:v>
      </x:c>
      <x:c r="C604" s="1" t="str">
        <x:v>JxPath_10</x:v>
      </x:c>
      <x:c r="D604" s="1" t="str">
        <x:v>NOT_AVAILABLE</x:v>
      </x:c>
      <x:c r="E604" s="5"/>
      <x:c r="F604" s="4" t="n">
        <x:v>0</x:v>
      </x:c>
      <x:c r="G604" s="4" t="n">
        <x:v>5181</x:v>
      </x:c>
      <x:c r="H604" s="6" t="n">
        <x:v>99.13</x:v>
      </x:c>
      <x:c r="I604" s="16" t="n">
        <x:v>1</x:v>
      </x:c>
      <x:c r="J604"/>
      <x:c r="K604" s="4"/>
      <x:c r="L604" s="4"/>
      <x:c r="M604" s="4"/>
      <x:c r="N604" s="5"/>
    </x:row>
    <x:row r="605" ht="24" customHeight="1">
      <x:c r="A605" s="1" t="str">
        <x:v>RESULT</x:v>
      </x:c>
      <x:c r="B605" s="1" t="str">
        <x:v>Round1</x:v>
      </x:c>
      <x:c r="C605" s="1" t="str">
        <x:v>JxPath_11</x:v>
      </x:c>
      <x:c r="D605" s="1" t="str">
        <x:v>NOT_AVAILABLE</x:v>
      </x:c>
      <x:c r="E605" s="5"/>
      <x:c r="F605" s="4" t="n">
        <x:v>0</x:v>
      </x:c>
      <x:c r="G605" s="4" t="n">
        <x:v>7708</x:v>
      </x:c>
      <x:c r="H605" s="6" t="n">
        <x:v>111.73</x:v>
      </x:c>
      <x:c r="I605" s="16" t="n">
        <x:v>1</x:v>
      </x:c>
      <x:c r="J605"/>
      <x:c r="K605" s="4"/>
      <x:c r="L605" s="4"/>
      <x:c r="M605" s="4"/>
      <x:c r="N605" s="5"/>
    </x:row>
    <x:row r="606" ht="24" customHeight="1">
      <x:c r="A606" s="1" t="str">
        <x:v>RESULT</x:v>
      </x:c>
      <x:c r="B606" s="1" t="str">
        <x:v>Round1</x:v>
      </x:c>
      <x:c r="C606" s="1" t="str">
        <x:v>JxPath_12</x:v>
      </x:c>
      <x:c r="D606" s="1" t="str">
        <x:v>NOT_AVAILABLE</x:v>
      </x:c>
      <x:c r="E606" s="5"/>
      <x:c r="F606" s="4" t="n">
        <x:v>0</x:v>
      </x:c>
      <x:c r="G606" s="4" t="n">
        <x:v>9181</x:v>
      </x:c>
      <x:c r="H606" s="6" t="n">
        <x:v>88.43</x:v>
      </x:c>
      <x:c r="I606" s="16" t="n">
        <x:v>1</x:v>
      </x:c>
      <x:c r="J606"/>
      <x:c r="K606" s="4"/>
      <x:c r="L606" s="4"/>
      <x:c r="M606" s="4"/>
      <x:c r="N606" s="5"/>
    </x:row>
    <x:row r="607" ht="24" customHeight="1">
      <x:c r="A607" s="1" t="str">
        <x:v>RESULT</x:v>
      </x:c>
      <x:c r="B607" s="1" t="str">
        <x:v>Round1</x:v>
      </x:c>
      <x:c r="C607" s="1" t="str">
        <x:v>JxPath_13</x:v>
      </x:c>
      <x:c r="D607" s="1" t="str">
        <x:v>NOT_AVAILABLE</x:v>
      </x:c>
      <x:c r="E607" s="5"/>
      <x:c r="F607" s="4" t="n">
        <x:v>0</x:v>
      </x:c>
      <x:c r="G607" s="4" t="n">
        <x:v>17302</x:v>
      </x:c>
      <x:c r="H607" s="6" t="n">
        <x:v>276.36</x:v>
      </x:c>
      <x:c r="I607" s="16" t="n">
        <x:v>1</x:v>
      </x:c>
      <x:c r="J607"/>
      <x:c r="K607" s="4"/>
      <x:c r="L607" s="4"/>
      <x:c r="M607" s="4"/>
      <x:c r="N607" s="5"/>
    </x:row>
    <x:row r="608" ht="24" customHeight="1">
      <x:c r="A608" s="1" t="str">
        <x:v>RESULT</x:v>
      </x:c>
      <x:c r="B608" s="1" t="str">
        <x:v>Round1</x:v>
      </x:c>
      <x:c r="C608" s="1" t="str">
        <x:v>JxPath_14</x:v>
      </x:c>
      <x:c r="D608" s="1" t="str">
        <x:v>NOT_AVAILABLE</x:v>
      </x:c>
      <x:c r="E608" s="5"/>
      <x:c r="F608" s="4" t="n">
        <x:v>0</x:v>
      </x:c>
      <x:c r="G608" s="4" t="n">
        <x:v>10091</x:v>
      </x:c>
      <x:c r="H608" s="6" t="n">
        <x:v>112.71</x:v>
      </x:c>
      <x:c r="I608" s="16" t="n">
        <x:v>1</x:v>
      </x:c>
      <x:c r="J608"/>
      <x:c r="K608" s="4"/>
      <x:c r="L608" s="4"/>
      <x:c r="M608" s="4"/>
      <x:c r="N608" s="5"/>
    </x:row>
    <x:row r="609" ht="24" customHeight="1">
      <x:c r="A609" s="1" t="str">
        <x:v>RESULT</x:v>
      </x:c>
      <x:c r="B609" s="1" t="str">
        <x:v>Round1</x:v>
      </x:c>
      <x:c r="C609" s="1" t="str">
        <x:v>JxPath_15</x:v>
      </x:c>
      <x:c r="D609" s="1" t="str">
        <x:v>NOT_AVAILABLE</x:v>
      </x:c>
      <x:c r="E609" s="5"/>
      <x:c r="F609" s="4" t="n">
        <x:v>0</x:v>
      </x:c>
      <x:c r="G609" s="4" t="n">
        <x:v>3198</x:v>
      </x:c>
      <x:c r="H609" s="6" t="n">
        <x:v>47.08</x:v>
      </x:c>
      <x:c r="I609" s="16" t="n">
        <x:v>1</x:v>
      </x:c>
      <x:c r="J609"/>
      <x:c r="K609" s="4"/>
      <x:c r="L609" s="4"/>
      <x:c r="M609" s="4"/>
      <x:c r="N609" s="5"/>
    </x:row>
    <x:row r="610" ht="24" customHeight="1">
      <x:c r="A610" s="1" t="str">
        <x:v>RESULT</x:v>
      </x:c>
      <x:c r="B610" s="1" t="str">
        <x:v>Round1</x:v>
      </x:c>
      <x:c r="C610" s="1" t="str">
        <x:v>JxPath_16</x:v>
      </x:c>
      <x:c r="D610" s="1" t="str">
        <x:v>NOT_AVAILABLE</x:v>
      </x:c>
      <x:c r="E610" s="5"/>
      <x:c r="F610" s="4" t="n">
        <x:v>0</x:v>
      </x:c>
      <x:c r="G610" s="4" t="n">
        <x:v>17107</x:v>
      </x:c>
      <x:c r="H610" s="6" t="n">
        <x:v>162.88</x:v>
      </x:c>
      <x:c r="I610" s="16" t="n">
        <x:v>1</x:v>
      </x:c>
      <x:c r="J610"/>
      <x:c r="K610" s="4"/>
      <x:c r="L610" s="4"/>
      <x:c r="M610" s="4"/>
      <x:c r="N610" s="5"/>
    </x:row>
    <x:row r="611" ht="24" customHeight="1">
      <x:c r="A611" s="1" t="str">
        <x:v>RESULT</x:v>
      </x:c>
      <x:c r="B611" s="1" t="str">
        <x:v>Round1</x:v>
      </x:c>
      <x:c r="C611" s="1" t="str">
        <x:v>JxPath_17</x:v>
      </x:c>
      <x:c r="D611" s="1" t="str">
        <x:v>NOT_AVAILABLE</x:v>
      </x:c>
      <x:c r="E611" s="5"/>
      <x:c r="F611" s="4" t="n">
        <x:v>0</x:v>
      </x:c>
      <x:c r="G611" s="4" t="n">
        <x:v>15945</x:v>
      </x:c>
      <x:c r="H611" s="6" t="n">
        <x:v>145.13</x:v>
      </x:c>
      <x:c r="I611" s="16" t="n">
        <x:v>1</x:v>
      </x:c>
      <x:c r="J611"/>
      <x:c r="K611" s="4"/>
      <x:c r="L611" s="4"/>
      <x:c r="M611" s="4"/>
      <x:c r="N611" s="5"/>
    </x:row>
    <x:row r="612" ht="24" customHeight="1">
      <x:c r="A612" s="1" t="str">
        <x:v>RESULT</x:v>
      </x:c>
      <x:c r="B612" s="1" t="str">
        <x:v>Round1</x:v>
      </x:c>
      <x:c r="C612" s="1" t="str">
        <x:v>JxPath_18</x:v>
      </x:c>
      <x:c r="D612" s="1" t="str">
        <x:v>NOT_AVAILABLE</x:v>
      </x:c>
      <x:c r="E612" s="5"/>
      <x:c r="F612" s="4" t="n">
        <x:v>0</x:v>
      </x:c>
      <x:c r="G612" s="4" t="n">
        <x:v>2954</x:v>
      </x:c>
      <x:c r="H612" s="6" t="n">
        <x:v>31.09</x:v>
      </x:c>
      <x:c r="I612" s="16" t="n">
        <x:v>1</x:v>
      </x:c>
      <x:c r="J612"/>
      <x:c r="K612" s="4"/>
      <x:c r="L612" s="4"/>
      <x:c r="M612" s="4"/>
      <x:c r="N612" s="5"/>
    </x:row>
    <x:row r="613" ht="24" customHeight="1">
      <x:c r="A613" s="1" t="str">
        <x:v>RESULT</x:v>
      </x:c>
      <x:c r="B613" s="1" t="str">
        <x:v>Round1</x:v>
      </x:c>
      <x:c r="C613" s="1" t="str">
        <x:v>JxPath_19</x:v>
      </x:c>
      <x:c r="D613" s="1" t="str">
        <x:v>NOT_AVAILABLE</x:v>
      </x:c>
      <x:c r="E613" s="5"/>
      <x:c r="F613" s="4" t="n">
        <x:v>0</x:v>
      </x:c>
      <x:c r="G613" s="4" t="n">
        <x:v>19166</x:v>
      </x:c>
      <x:c r="H613" s="6" t="n">
        <x:v>233.31</x:v>
      </x:c>
      <x:c r="I613" s="16" t="n">
        <x:v>1</x:v>
      </x:c>
      <x:c r="J613"/>
      <x:c r="K613" s="4"/>
      <x:c r="L613" s="4"/>
      <x:c r="M613" s="4"/>
      <x:c r="N613" s="5"/>
    </x:row>
    <x:row r="614" ht="24" customHeight="1">
      <x:c r="A614" s="1" t="str">
        <x:v>RESULT</x:v>
      </x:c>
      <x:c r="B614" s="1" t="str">
        <x:v>Round1</x:v>
      </x:c>
      <x:c r="C614" s="1" t="str">
        <x:v>JxPath_2</x:v>
      </x:c>
      <x:c r="D614" s="1" t="str">
        <x:v>NOT_AVAILABLE</x:v>
      </x:c>
      <x:c r="E614" s="5"/>
      <x:c r="F614" s="4" t="n">
        <x:v>0</x:v>
      </x:c>
      <x:c r="G614" s="4" t="n">
        <x:v>5187</x:v>
      </x:c>
      <x:c r="H614" s="6" t="n">
        <x:v>97.2</x:v>
      </x:c>
      <x:c r="I614" s="16" t="n">
        <x:v>1</x:v>
      </x:c>
      <x:c r="J614"/>
      <x:c r="K614" s="4"/>
      <x:c r="L614" s="4"/>
      <x:c r="M614" s="4"/>
      <x:c r="N614" s="5"/>
    </x:row>
    <x:row r="615" ht="24" customHeight="1">
      <x:c r="A615" s="1" t="str">
        <x:v>RESULT</x:v>
      </x:c>
      <x:c r="B615" s="1" t="str">
        <x:v>Round1</x:v>
      </x:c>
      <x:c r="C615" s="1" t="str">
        <x:v>JxPath_20</x:v>
      </x:c>
      <x:c r="D615" s="1" t="str">
        <x:v>NOT_AVAILABLE</x:v>
      </x:c>
      <x:c r="E615" s="5"/>
      <x:c r="F615" s="4" t="n">
        <x:v>0</x:v>
      </x:c>
      <x:c r="G615" s="4" t="n">
        <x:v>9760</x:v>
      </x:c>
      <x:c r="H615" s="6" t="n">
        <x:v>268.33</x:v>
      </x:c>
      <x:c r="I615" s="16" t="n">
        <x:v>1</x:v>
      </x:c>
      <x:c r="J615"/>
      <x:c r="K615" s="4"/>
      <x:c r="L615" s="4"/>
      <x:c r="M615" s="4"/>
      <x:c r="N615" s="5"/>
    </x:row>
    <x:row r="616" ht="24" customHeight="1">
      <x:c r="A616" s="1" t="str">
        <x:v>RESULT</x:v>
      </x:c>
      <x:c r="B616" s="1" t="str">
        <x:v>Round1</x:v>
      </x:c>
      <x:c r="C616" s="1" t="str">
        <x:v>JxPath_21</x:v>
      </x:c>
      <x:c r="D616" s="1" t="str">
        <x:v>NOT_AVAILABLE</x:v>
      </x:c>
      <x:c r="E616" s="5"/>
      <x:c r="F616" s="4" t="n">
        <x:v>0</x:v>
      </x:c>
      <x:c r="G616" s="4" t="n">
        <x:v>4905</x:v>
      </x:c>
      <x:c r="H616" s="6" t="n">
        <x:v>71.84</x:v>
      </x:c>
      <x:c r="I616" s="16" t="n">
        <x:v>1</x:v>
      </x:c>
      <x:c r="J616"/>
      <x:c r="K616" s="4"/>
      <x:c r="L616" s="4"/>
      <x:c r="M616" s="4"/>
      <x:c r="N616" s="5"/>
    </x:row>
    <x:row r="617" ht="24" customHeight="1">
      <x:c r="A617" s="1" t="str">
        <x:v>RESULT</x:v>
      </x:c>
      <x:c r="B617" s="1" t="str">
        <x:v>Round1</x:v>
      </x:c>
      <x:c r="C617" s="1" t="str">
        <x:v>JxPath_22</x:v>
      </x:c>
      <x:c r="D617" s="1" t="str">
        <x:v>NOT_AVAILABLE</x:v>
      </x:c>
      <x:c r="E617" s="5"/>
      <x:c r="F617" s="4" t="n">
        <x:v>0</x:v>
      </x:c>
      <x:c r="G617" s="4" t="n">
        <x:v>9275</x:v>
      </x:c>
      <x:c r="H617" s="6" t="n">
        <x:v>108.72</x:v>
      </x:c>
      <x:c r="I617" s="16" t="n">
        <x:v>1</x:v>
      </x:c>
      <x:c r="J617"/>
      <x:c r="K617" s="4"/>
      <x:c r="L617" s="4"/>
      <x:c r="M617" s="4"/>
      <x:c r="N617" s="5"/>
    </x:row>
    <x:row r="618" ht="24" customHeight="1">
      <x:c r="A618" s="1" t="str">
        <x:v>RESULT</x:v>
      </x:c>
      <x:c r="B618" s="1" t="str">
        <x:v>Round1</x:v>
      </x:c>
      <x:c r="C618" s="1" t="str">
        <x:v>JxPath_3</x:v>
      </x:c>
      <x:c r="D618" s="1" t="str">
        <x:v>NOT_AVAILABLE</x:v>
      </x:c>
      <x:c r="E618" s="5"/>
      <x:c r="F618" s="4" t="n">
        <x:v>0</x:v>
      </x:c>
      <x:c r="G618" s="4" t="n">
        <x:v>4963</x:v>
      </x:c>
      <x:c r="H618" s="6" t="n">
        <x:v>74.92</x:v>
      </x:c>
      <x:c r="I618" s="16" t="n">
        <x:v>1</x:v>
      </x:c>
      <x:c r="J618"/>
      <x:c r="K618" s="4"/>
      <x:c r="L618" s="4"/>
      <x:c r="M618" s="4"/>
      <x:c r="N618" s="5"/>
    </x:row>
    <x:row r="619" ht="24" customHeight="1">
      <x:c r="A619" s="1" t="str">
        <x:v>RESULT</x:v>
      </x:c>
      <x:c r="B619" s="1" t="str">
        <x:v>Round1</x:v>
      </x:c>
      <x:c r="C619" s="1" t="str">
        <x:v>JxPath_4</x:v>
      </x:c>
      <x:c r="D619" s="1" t="str">
        <x:v>NOT_AVAILABLE</x:v>
      </x:c>
      <x:c r="E619" s="5"/>
      <x:c r="F619" s="4" t="n">
        <x:v>0</x:v>
      </x:c>
      <x:c r="G619" s="4" t="n">
        <x:v>16807</x:v>
      </x:c>
      <x:c r="H619" s="6" t="n">
        <x:v>142.58</x:v>
      </x:c>
      <x:c r="I619" s="16" t="n">
        <x:v>1</x:v>
      </x:c>
      <x:c r="J619"/>
      <x:c r="K619" s="4"/>
      <x:c r="L619" s="4"/>
      <x:c r="M619" s="4"/>
      <x:c r="N619" s="5"/>
    </x:row>
    <x:row r="620" ht="24" customHeight="1">
      <x:c r="A620" s="1" t="str">
        <x:v>RESULT</x:v>
      </x:c>
      <x:c r="B620" s="1" t="str">
        <x:v>Round1</x:v>
      </x:c>
      <x:c r="C620" s="1" t="str">
        <x:v>JxPath_5</x:v>
      </x:c>
      <x:c r="D620" s="1" t="str">
        <x:v>NOT_AVAILABLE</x:v>
      </x:c>
      <x:c r="E620" s="5"/>
      <x:c r="F620" s="4" t="n">
        <x:v>0</x:v>
      </x:c>
      <x:c r="G620" s="4" t="n">
        <x:v>8281</x:v>
      </x:c>
      <x:c r="H620" s="6" t="n">
        <x:v>65.51</x:v>
      </x:c>
      <x:c r="I620" s="16" t="n">
        <x:v>1</x:v>
      </x:c>
      <x:c r="J620"/>
      <x:c r="K620" s="4"/>
      <x:c r="L620" s="4"/>
      <x:c r="M620" s="4"/>
      <x:c r="N620" s="5"/>
    </x:row>
    <x:row r="621" ht="24" customHeight="1">
      <x:c r="A621" s="1" t="str">
        <x:v>RESULT</x:v>
      </x:c>
      <x:c r="B621" s="1" t="str">
        <x:v>Round1</x:v>
      </x:c>
      <x:c r="C621" s="1" t="str">
        <x:v>JxPath_6</x:v>
      </x:c>
      <x:c r="D621" s="1" t="str">
        <x:v>NOT_AVAILABLE</x:v>
      </x:c>
      <x:c r="E621" s="5"/>
      <x:c r="F621" s="4" t="n">
        <x:v>0</x:v>
      </x:c>
      <x:c r="G621" s="4" t="n">
        <x:v>5016</x:v>
      </x:c>
      <x:c r="H621" s="6" t="n">
        <x:v>94.23</x:v>
      </x:c>
      <x:c r="I621" s="16" t="n">
        <x:v>1</x:v>
      </x:c>
      <x:c r="J621"/>
      <x:c r="K621" s="4"/>
      <x:c r="L621" s="4"/>
      <x:c r="M621" s="4"/>
      <x:c r="N621" s="5"/>
    </x:row>
    <x:row r="622" ht="24" customHeight="1">
      <x:c r="A622" s="1" t="str">
        <x:v>RESULT</x:v>
      </x:c>
      <x:c r="B622" s="1" t="str">
        <x:v>Round1</x:v>
      </x:c>
      <x:c r="C622" s="1" t="str">
        <x:v>JxPath_7</x:v>
      </x:c>
      <x:c r="D622" s="1" t="str">
        <x:v>NOT_AVAILABLE</x:v>
      </x:c>
      <x:c r="E622" s="5"/>
      <x:c r="F622" s="4" t="n">
        <x:v>0</x:v>
      </x:c>
      <x:c r="G622" s="4" t="n">
        <x:v>14930</x:v>
      </x:c>
      <x:c r="H622" s="6" t="n">
        <x:v>231.84</x:v>
      </x:c>
      <x:c r="I622" s="16" t="n">
        <x:v>1</x:v>
      </x:c>
      <x:c r="J622"/>
      <x:c r="K622" s="4"/>
      <x:c r="L622" s="4"/>
      <x:c r="M622" s="4"/>
      <x:c r="N622" s="5"/>
    </x:row>
    <x:row r="623" ht="24" customHeight="1">
      <x:c r="A623" s="1" t="str">
        <x:v>RESULT</x:v>
      </x:c>
      <x:c r="B623" s="1" t="str">
        <x:v>Round1</x:v>
      </x:c>
      <x:c r="C623" s="1" t="str">
        <x:v>JxPath_8</x:v>
      </x:c>
      <x:c r="D623" s="1" t="str">
        <x:v>NOT_AVAILABLE</x:v>
      </x:c>
      <x:c r="E623" s="5"/>
      <x:c r="F623" s="4" t="n">
        <x:v>0</x:v>
      </x:c>
      <x:c r="G623" s="4" t="n">
        <x:v>3748</x:v>
      </x:c>
      <x:c r="H623" s="6" t="n">
        <x:v>57.11</x:v>
      </x:c>
      <x:c r="I623" s="16" t="n">
        <x:v>1</x:v>
      </x:c>
      <x:c r="J623"/>
      <x:c r="K623" s="4"/>
      <x:c r="L623" s="4"/>
      <x:c r="M623" s="4"/>
      <x:c r="N623" s="5"/>
    </x:row>
    <x:row r="624" ht="24" customHeight="1">
      <x:c r="A624" s="1" t="str">
        <x:v>RESULT</x:v>
      </x:c>
      <x:c r="B624" s="1" t="str">
        <x:v>Round1</x:v>
      </x:c>
      <x:c r="C624" s="1" t="str">
        <x:v>JxPath_9</x:v>
      </x:c>
      <x:c r="D624" s="1" t="str">
        <x:v>NOT_AVAILABLE</x:v>
      </x:c>
      <x:c r="E624" s="5"/>
      <x:c r="F624" s="4" t="n">
        <x:v>0</x:v>
      </x:c>
      <x:c r="G624" s="4" t="n">
        <x:v>12089</x:v>
      </x:c>
      <x:c r="H624" s="6" t="n">
        <x:v>254.45</x:v>
      </x:c>
      <x:c r="I624" s="16" t="n">
        <x:v>1</x:v>
      </x:c>
      <x:c r="J624"/>
      <x:c r="K624" s="4"/>
      <x:c r="L624" s="4"/>
      <x:c r="M624" s="4"/>
      <x:c r="N624" s="5"/>
    </x:row>
    <x:row r="625" ht="24" customHeight="1">
      <x:c r="A625" s="1" t="str">
        <x:v>RESULT</x:v>
      </x:c>
      <x:c r="B625" s="1" t="str">
        <x:v>Round1</x:v>
      </x:c>
      <x:c r="C625" s="1" t="str">
        <x:v>Lang_1</x:v>
      </x:c>
      <x:c r="D625" s="1" t="str">
        <x:v>NOT_AVAILABLE</x:v>
      </x:c>
      <x:c r="E625" s="5"/>
      <x:c r="F625" s="4" t="n">
        <x:v>0</x:v>
      </x:c>
      <x:c r="G625" s="4" t="n">
        <x:v>8985</x:v>
      </x:c>
      <x:c r="H625" s="6" t="n">
        <x:v>97.82</x:v>
      </x:c>
      <x:c r="I625" s="16" t="n">
        <x:v>1</x:v>
      </x:c>
      <x:c r="J625"/>
      <x:c r="K625" s="4"/>
      <x:c r="L625" s="4"/>
      <x:c r="M625" s="4"/>
      <x:c r="N625" s="5"/>
    </x:row>
    <x:row r="626" ht="24" customHeight="1">
      <x:c r="A626" s="1" t="str">
        <x:v>RESULT</x:v>
      </x:c>
      <x:c r="B626" s="1" t="str">
        <x:v>Round1</x:v>
      </x:c>
      <x:c r="C626" s="1" t="str">
        <x:v>Lang_10</x:v>
      </x:c>
      <x:c r="D626" s="1" t="str">
        <x:v>NOT_REVEALING</x:v>
      </x:c>
      <x:c r="E626" s="5" t="n">
        <x:v>0.8172</x:v>
      </x:c>
      <x:c r="F626" s="4" t="n">
        <x:v>0</x:v>
      </x:c>
      <x:c r="G626" s="4" t="n">
        <x:v>15957</x:v>
      </x:c>
      <x:c r="H626" s="6" t="n">
        <x:v>171.81</x:v>
      </x:c>
      <x:c r="I626" s="16" t="n">
        <x:v>1</x:v>
      </x:c>
      <x:c r="J626" t="n">
        <x:v>279</x:v>
      </x:c>
      <x:c r="K626" s="4" t="n">
        <x:v>228</x:v>
      </x:c>
      <x:c r="L626" s="4" t="n">
        <x:v>127</x:v>
      </x:c>
      <x:c r="M626" s="4" t="n">
        <x:v>88</x:v>
      </x:c>
      <x:c r="N626" s="5" t="n">
        <x:v>0.6929000000000001</x:v>
      </x:c>
    </x:row>
    <x:row r="627" ht="24" customHeight="1">
      <x:c r="A627" s="1" t="str">
        <x:v>RESULT</x:v>
      </x:c>
      <x:c r="B627" s="1" t="str">
        <x:v>Round1</x:v>
      </x:c>
      <x:c r="C627" s="1" t="str">
        <x:v>Lang_11</x:v>
      </x:c>
      <x:c r="D627" s="1" t="str">
        <x:v>NOT_AVAILABLE</x:v>
      </x:c>
      <x:c r="E627" s="5"/>
      <x:c r="F627" s="4" t="n">
        <x:v>0</x:v>
      </x:c>
      <x:c r="G627" s="4" t="n">
        <x:v>5728</x:v>
      </x:c>
      <x:c r="H627" s="6" t="n">
        <x:v>49.65</x:v>
      </x:c>
      <x:c r="I627" s="16" t="n">
        <x:v>1</x:v>
      </x:c>
      <x:c r="J627"/>
      <x:c r="K627" s="4"/>
      <x:c r="L627" s="4"/>
      <x:c r="M627" s="4"/>
      <x:c r="N627" s="5"/>
    </x:row>
    <x:row r="628" ht="24" customHeight="1">
      <x:c r="A628" s="1" t="str">
        <x:v>RESULT</x:v>
      </x:c>
      <x:c r="B628" s="1" t="str">
        <x:v>Round1</x:v>
      </x:c>
      <x:c r="C628" s="1" t="str">
        <x:v>Lang_12</x:v>
      </x:c>
      <x:c r="D628" s="1" t="str">
        <x:v>NOT_AVAILABLE</x:v>
      </x:c>
      <x:c r="E628" s="5"/>
      <x:c r="F628" s="4" t="n">
        <x:v>0</x:v>
      </x:c>
      <x:c r="G628" s="4" t="n">
        <x:v>5412</x:v>
      </x:c>
      <x:c r="H628" s="6" t="n">
        <x:v>42.18</x:v>
      </x:c>
      <x:c r="I628" s="16" t="n">
        <x:v>1</x:v>
      </x:c>
      <x:c r="J628"/>
      <x:c r="K628" s="4"/>
      <x:c r="L628" s="4"/>
      <x:c r="M628" s="4"/>
      <x:c r="N628" s="5"/>
    </x:row>
    <x:row r="629" ht="24" customHeight="1">
      <x:c r="A629" s="1" t="str">
        <x:v>RESULT</x:v>
      </x:c>
      <x:c r="B629" s="1" t="str">
        <x:v>Round1</x:v>
      </x:c>
      <x:c r="C629" s="1" t="str">
        <x:v>Lang_13</x:v>
      </x:c>
      <x:c r="D629" s="1" t="str">
        <x:v>INCONCLUSIVE</x:v>
      </x:c>
      <x:c r="E629" s="5" t="n">
        <x:v>0.6875</x:v>
      </x:c>
      <x:c r="F629" s="4" t="n">
        <x:v>0</x:v>
      </x:c>
      <x:c r="G629" s="4" t="n">
        <x:v>5643</x:v>
      </x:c>
      <x:c r="H629" s="6" t="n">
        <x:v>69.24</x:v>
      </x:c>
      <x:c r="I629" s="16" t="n">
        <x:v>1</x:v>
      </x:c>
      <x:c r="J629" t="n">
        <x:v>64</x:v>
      </x:c>
      <x:c r="K629" s="4" t="n">
        <x:v>44</x:v>
      </x:c>
      <x:c r="L629" s="4" t="n">
        <x:v>14</x:v>
      </x:c>
      <x:c r="M629" s="4" t="n">
        <x:v>12</x:v>
      </x:c>
      <x:c r="N629" s="5" t="n">
        <x:v>0.8571</x:v>
      </x:c>
    </x:row>
    <x:row r="630" ht="24" customHeight="1">
      <x:c r="A630" s="1" t="str">
        <x:v>RESULT</x:v>
      </x:c>
      <x:c r="B630" s="1" t="str">
        <x:v>Round1</x:v>
      </x:c>
      <x:c r="C630" s="1" t="str">
        <x:v>Lang_14</x:v>
      </x:c>
      <x:c r="D630" s="1" t="str">
        <x:v>NOT_AVAILABLE</x:v>
      </x:c>
      <x:c r="E630" s="5"/>
      <x:c r="F630" s="4" t="n">
        <x:v>0</x:v>
      </x:c>
      <x:c r="G630" s="4" t="n">
        <x:v>23208</x:v>
      </x:c>
      <x:c r="H630" s="6" t="n">
        <x:v>173.52</x:v>
      </x:c>
      <x:c r="I630" s="16" t="n">
        <x:v>1</x:v>
      </x:c>
      <x:c r="J630"/>
      <x:c r="K630" s="4"/>
      <x:c r="L630" s="4"/>
      <x:c r="M630" s="4"/>
      <x:c r="N630" s="5"/>
    </x:row>
    <x:row r="631" ht="24" customHeight="1">
      <x:c r="A631" s="1" t="str">
        <x:v>RESULT</x:v>
      </x:c>
      <x:c r="B631" s="1" t="str">
        <x:v>Round1</x:v>
      </x:c>
      <x:c r="C631" s="1" t="str">
        <x:v>Lang_15</x:v>
      </x:c>
      <x:c r="D631" s="1" t="str">
        <x:v>NOT_AVAILABLE</x:v>
      </x:c>
      <x:c r="E631" s="5"/>
      <x:c r="F631" s="4" t="n">
        <x:v>0</x:v>
      </x:c>
      <x:c r="G631" s="4" t="n">
        <x:v>7706</x:v>
      </x:c>
      <x:c r="H631" s="6" t="n">
        <x:v>60.41</x:v>
      </x:c>
      <x:c r="I631" s="16" t="n">
        <x:v>1</x:v>
      </x:c>
      <x:c r="J631"/>
      <x:c r="K631" s="4"/>
      <x:c r="L631" s="4"/>
      <x:c r="M631" s="4"/>
      <x:c r="N631" s="5"/>
    </x:row>
    <x:row r="632" ht="24" customHeight="1">
      <x:c r="A632" s="1" t="str">
        <x:v>RESULT</x:v>
      </x:c>
      <x:c r="B632" s="1" t="str">
        <x:v>Round1</x:v>
      </x:c>
      <x:c r="C632" s="1" t="str">
        <x:v>Lang_16</x:v>
      </x:c>
      <x:c r="D632" s="1" t="str">
        <x:v>INCONCLUSIVE</x:v>
      </x:c>
      <x:c r="E632" s="5" t="n">
        <x:v>0.7733</x:v>
      </x:c>
      <x:c r="F632" s="4" t="n">
        <x:v>0</x:v>
      </x:c>
      <x:c r="G632" s="4" t="n">
        <x:v>8821</x:v>
      </x:c>
      <x:c r="H632" s="6" t="n">
        <x:v>98.75</x:v>
      </x:c>
      <x:c r="I632" s="16" t="n">
        <x:v>1</x:v>
      </x:c>
      <x:c r="J632" t="n">
        <x:v>375</x:v>
      </x:c>
      <x:c r="K632" s="4" t="n">
        <x:v>290</x:v>
      </x:c>
      <x:c r="L632" s="4" t="n">
        <x:v>358</x:v>
      </x:c>
      <x:c r="M632" s="4" t="n">
        <x:v>222</x:v>
      </x:c>
      <x:c r="N632" s="5" t="n">
        <x:v>0.6201</x:v>
      </x:c>
    </x:row>
    <x:row r="633" ht="24" customHeight="1">
      <x:c r="A633" s="1" t="str">
        <x:v>RESULT</x:v>
      </x:c>
      <x:c r="B633" s="1" t="str">
        <x:v>Round1</x:v>
      </x:c>
      <x:c r="C633" s="1" t="str">
        <x:v>Lang_17</x:v>
      </x:c>
      <x:c r="D633" s="1" t="str">
        <x:v>NOT_AVAILABLE</x:v>
      </x:c>
      <x:c r="E633" s="5"/>
      <x:c r="F633" s="4" t="n">
        <x:v>0</x:v>
      </x:c>
      <x:c r="G633" s="4" t="n">
        <x:v>4112</x:v>
      </x:c>
      <x:c r="H633" s="6" t="n">
        <x:v>50.16</x:v>
      </x:c>
      <x:c r="I633" s="16" t="n">
        <x:v>1</x:v>
      </x:c>
      <x:c r="J633"/>
      <x:c r="K633" s="4"/>
      <x:c r="L633" s="4"/>
      <x:c r="M633" s="4"/>
      <x:c r="N633" s="5"/>
    </x:row>
    <x:row r="634" ht="24" customHeight="1">
      <x:c r="A634" s="1" t="str">
        <x:v>RESULT</x:v>
      </x:c>
      <x:c r="B634" s="1" t="str">
        <x:v>Round1</x:v>
      </x:c>
      <x:c r="C634" s="1" t="str">
        <x:v>Lang_19</x:v>
      </x:c>
      <x:c r="D634" s="1" t="str">
        <x:v>INCONCLUSIVE</x:v>
      </x:c>
      <x:c r="E634" s="5" t="n">
        <x:v>1</x:v>
      </x:c>
      <x:c r="F634" s="4" t="n">
        <x:v>0</x:v>
      </x:c>
      <x:c r="G634" s="4" t="n">
        <x:v>3312</x:v>
      </x:c>
      <x:c r="H634" s="6" t="n">
        <x:v>48.03</x:v>
      </x:c>
      <x:c r="I634" s="16" t="n">
        <x:v>1</x:v>
      </x:c>
      <x:c r="J634" t="n">
        <x:v>27</x:v>
      </x:c>
      <x:c r="K634" s="4" t="n">
        <x:v>27</x:v>
      </x:c>
      <x:c r="L634" s="4" t="n">
        <x:v>18</x:v>
      </x:c>
      <x:c r="M634" s="4" t="n">
        <x:v>17</x:v>
      </x:c>
      <x:c r="N634" s="5" t="n">
        <x:v>0.9444</x:v>
      </x:c>
    </x:row>
    <x:row r="635" ht="24" customHeight="1">
      <x:c r="A635" s="1" t="str">
        <x:v>RESULT</x:v>
      </x:c>
      <x:c r="B635" s="1" t="str">
        <x:v>Round1</x:v>
      </x:c>
      <x:c r="C635" s="1" t="str">
        <x:v>Lang_20</x:v>
      </x:c>
      <x:c r="D635" s="1" t="str">
        <x:v>NOT_AVAILABLE</x:v>
      </x:c>
      <x:c r="E635" s="5"/>
      <x:c r="F635" s="4" t="n">
        <x:v>0</x:v>
      </x:c>
      <x:c r="G635" s="4" t="n">
        <x:v>24701</x:v>
      </x:c>
      <x:c r="H635" s="6" t="n">
        <x:v>235.91</x:v>
      </x:c>
      <x:c r="I635" s="16" t="n">
        <x:v>1</x:v>
      </x:c>
      <x:c r="J635"/>
      <x:c r="K635" s="4"/>
      <x:c r="L635" s="4"/>
      <x:c r="M635" s="4"/>
      <x:c r="N635" s="5"/>
    </x:row>
    <x:row r="636" ht="24" customHeight="1">
      <x:c r="A636" s="1" t="str">
        <x:v>RESULT</x:v>
      </x:c>
      <x:c r="B636" s="1" t="str">
        <x:v>Round1</x:v>
      </x:c>
      <x:c r="C636" s="1" t="str">
        <x:v>Lang_21</x:v>
      </x:c>
      <x:c r="D636" s="1" t="str">
        <x:v>NOT_AVAILABLE</x:v>
      </x:c>
      <x:c r="E636" s="5"/>
      <x:c r="F636" s="4" t="n">
        <x:v>0</x:v>
      </x:c>
      <x:c r="G636" s="4" t="n">
        <x:v>9732</x:v>
      </x:c>
      <x:c r="H636" s="6" t="n">
        <x:v>111.7</x:v>
      </x:c>
      <x:c r="I636" s="16" t="n">
        <x:v>1</x:v>
      </x:c>
      <x:c r="J636"/>
      <x:c r="K636" s="4"/>
      <x:c r="L636" s="4"/>
      <x:c r="M636" s="4"/>
      <x:c r="N636" s="5"/>
    </x:row>
    <x:row r="637" ht="24" customHeight="1">
      <x:c r="A637" s="1" t="str">
        <x:v>RESULT</x:v>
      </x:c>
      <x:c r="B637" s="1" t="str">
        <x:v>Round1</x:v>
      </x:c>
      <x:c r="C637" s="1" t="str">
        <x:v>Lang_22</x:v>
      </x:c>
      <x:c r="D637" s="1" t="str">
        <x:v>NOT_AVAILABLE</x:v>
      </x:c>
      <x:c r="E637" s="5"/>
      <x:c r="F637" s="4" t="n">
        <x:v>0</x:v>
      </x:c>
      <x:c r="G637" s="4" t="n">
        <x:v>7730</x:v>
      </x:c>
      <x:c r="H637" s="6" t="n">
        <x:v>91.25</x:v>
      </x:c>
      <x:c r="I637" s="16" t="n">
        <x:v>1</x:v>
      </x:c>
      <x:c r="J637"/>
      <x:c r="K637" s="4"/>
      <x:c r="L637" s="4"/>
      <x:c r="M637" s="4"/>
      <x:c r="N637" s="5"/>
    </x:row>
    <x:row r="638" ht="24" customHeight="1">
      <x:c r="A638" s="1" t="str">
        <x:v>RESULT</x:v>
      </x:c>
      <x:c r="B638" s="1" t="str">
        <x:v>Round1</x:v>
      </x:c>
      <x:c r="C638" s="1" t="str">
        <x:v>Lang_23</x:v>
      </x:c>
      <x:c r="D638" s="1" t="str">
        <x:v>INCONCLUSIVE</x:v>
      </x:c>
      <x:c r="E638" s="5" t="n">
        <x:v>0.521</x:v>
      </x:c>
      <x:c r="F638" s="4" t="n">
        <x:v>0</x:v>
      </x:c>
      <x:c r="G638" s="4" t="n">
        <x:v>6957</x:v>
      </x:c>
      <x:c r="H638" s="6" t="n">
        <x:v>58.94</x:v>
      </x:c>
      <x:c r="I638" s="16" t="n">
        <x:v>1</x:v>
      </x:c>
      <x:c r="J638" t="n">
        <x:v>167</x:v>
      </x:c>
      <x:c r="K638" s="4" t="n">
        <x:v>87</x:v>
      </x:c>
      <x:c r="L638" s="4" t="n">
        <x:v>99</x:v>
      </x:c>
      <x:c r="M638" s="4" t="n">
        <x:v>30</x:v>
      </x:c>
      <x:c r="N638" s="5" t="n">
        <x:v>0.303</x:v>
      </x:c>
    </x:row>
    <x:row r="639" ht="24" customHeight="1">
      <x:c r="A639" s="1" t="str">
        <x:v>RESULT</x:v>
      </x:c>
      <x:c r="B639" s="1" t="str">
        <x:v>Round1</x:v>
      </x:c>
      <x:c r="C639" s="1" t="str">
        <x:v>Lang_24</x:v>
      </x:c>
      <x:c r="D639" s="1" t="str">
        <x:v>INCONCLUSIVE</x:v>
      </x:c>
      <x:c r="E639" s="5" t="n">
        <x:v>0.6489</x:v>
      </x:c>
      <x:c r="F639" s="4" t="n">
        <x:v>0</x:v>
      </x:c>
      <x:c r="G639" s="4" t="n">
        <x:v>7820</x:v>
      </x:c>
      <x:c r="H639" s="6" t="n">
        <x:v>63.68</x:v>
      </x:c>
      <x:c r="I639" s="16" t="n">
        <x:v>1</x:v>
      </x:c>
      <x:c r="J639" t="n">
        <x:v>376</x:v>
      </x:c>
      <x:c r="K639" s="4" t="n">
        <x:v>244</x:v>
      </x:c>
      <x:c r="L639" s="4" t="n">
        <x:v>356</x:v>
      </x:c>
      <x:c r="M639" s="4" t="n">
        <x:v>161</x:v>
      </x:c>
      <x:c r="N639" s="5" t="n">
        <x:v>0.4522</x:v>
      </x:c>
    </x:row>
    <x:row r="640" ht="24" customHeight="1">
      <x:c r="A640" s="1" t="str">
        <x:v>RESULT</x:v>
      </x:c>
      <x:c r="B640" s="1" t="str">
        <x:v>Round1</x:v>
      </x:c>
      <x:c r="C640" s="1" t="str">
        <x:v>Lang_26</x:v>
      </x:c>
      <x:c r="D640" s="1" t="str">
        <x:v>INCONCLUSIVE</x:v>
      </x:c>
      <x:c r="E640" s="5" t="n">
        <x:v>0.8538</x:v>
      </x:c>
      <x:c r="F640" s="4" t="n">
        <x:v>0</x:v>
      </x:c>
      <x:c r="G640" s="4" t="n">
        <x:v>12609</x:v>
      </x:c>
      <x:c r="H640" s="6" t="n">
        <x:v>154.77</x:v>
      </x:c>
      <x:c r="I640" s="16" t="n">
        <x:v>1</x:v>
      </x:c>
      <x:c r="J640" t="n">
        <x:v>465</x:v>
      </x:c>
      <x:c r="K640" s="4" t="n">
        <x:v>397</x:v>
      </x:c>
      <x:c r="L640" s="4" t="n">
        <x:v>228</x:v>
      </x:c>
      <x:c r="M640" s="4" t="n">
        <x:v>156</x:v>
      </x:c>
      <x:c r="N640" s="5" t="n">
        <x:v>0.6842</x:v>
      </x:c>
    </x:row>
    <x:row r="641" ht="24" customHeight="1">
      <x:c r="A641" s="1" t="str">
        <x:v>RESULT</x:v>
      </x:c>
      <x:c r="B641" s="1" t="str">
        <x:v>Round1</x:v>
      </x:c>
      <x:c r="C641" s="1" t="str">
        <x:v>Lang_27</x:v>
      </x:c>
      <x:c r="D641" s="1" t="str">
        <x:v>INCONCLUSIVE</x:v>
      </x:c>
      <x:c r="E641" s="5" t="n">
        <x:v>0.7086</x:v>
      </x:c>
      <x:c r="F641" s="4" t="n">
        <x:v>0</x:v>
      </x:c>
      <x:c r="G641" s="4" t="n">
        <x:v>8257</x:v>
      </x:c>
      <x:c r="H641" s="6" t="n">
        <x:v>79</x:v>
      </x:c>
      <x:c r="I641" s="16" t="n">
        <x:v>1</x:v>
      </x:c>
      <x:c r="J641" t="n">
        <x:v>374</x:v>
      </x:c>
      <x:c r="K641" s="4" t="n">
        <x:v>265</x:v>
      </x:c>
      <x:c r="L641" s="4" t="n">
        <x:v>352</x:v>
      </x:c>
      <x:c r="M641" s="4" t="n">
        <x:v>197</x:v>
      </x:c>
      <x:c r="N641" s="5" t="n">
        <x:v>0.5597</x:v>
      </x:c>
    </x:row>
    <x:row r="642" ht="24" customHeight="1">
      <x:c r="A642" s="1" t="str">
        <x:v>RESULT</x:v>
      </x:c>
      <x:c r="B642" s="1" t="str">
        <x:v>Round1</x:v>
      </x:c>
      <x:c r="C642" s="1" t="str">
        <x:v>Lang_28</x:v>
      </x:c>
      <x:c r="D642" s="1" t="str">
        <x:v>INCONCLUSIVE</x:v>
      </x:c>
      <x:c r="E642" s="5" t="n">
        <x:v>0.95</x:v>
      </x:c>
      <x:c r="F642" s="4" t="n">
        <x:v>0</x:v>
      </x:c>
      <x:c r="G642" s="4" t="n">
        <x:v>2703</x:v>
      </x:c>
      <x:c r="H642" s="6" t="n">
        <x:v>45.23</x:v>
      </x:c>
      <x:c r="I642" s="16" t="n">
        <x:v>1</x:v>
      </x:c>
      <x:c r="J642" t="n">
        <x:v>20</x:v>
      </x:c>
      <x:c r="K642" s="4" t="n">
        <x:v>19</x:v>
      </x:c>
      <x:c r="L642" s="4" t="n">
        <x:v>14</x:v>
      </x:c>
      <x:c r="M642" s="4" t="n">
        <x:v>12</x:v>
      </x:c>
      <x:c r="N642" s="5" t="n">
        <x:v>0.8571</x:v>
      </x:c>
    </x:row>
    <x:row r="643" ht="24" customHeight="1">
      <x:c r="A643" s="1" t="str">
        <x:v>RESULT</x:v>
      </x:c>
      <x:c r="B643" s="1" t="str">
        <x:v>Round1</x:v>
      </x:c>
      <x:c r="C643" s="1" t="str">
        <x:v>Lang_29</x:v>
      </x:c>
      <x:c r="D643" s="1" t="str">
        <x:v>NOT_AVAILABLE</x:v>
      </x:c>
      <x:c r="E643" s="5"/>
      <x:c r="F643" s="4" t="n">
        <x:v>0</x:v>
      </x:c>
      <x:c r="G643" s="4" t="n">
        <x:v>6101</x:v>
      </x:c>
      <x:c r="H643" s="6" t="n">
        <x:v>75.13</x:v>
      </x:c>
      <x:c r="I643" s="16" t="n">
        <x:v>1</x:v>
      </x:c>
      <x:c r="J643"/>
      <x:c r="K643" s="4"/>
      <x:c r="L643" s="4"/>
      <x:c r="M643" s="4"/>
      <x:c r="N643" s="5"/>
    </x:row>
    <x:row r="644" ht="24" customHeight="1">
      <x:c r="A644" s="1" t="str">
        <x:v>RESULT</x:v>
      </x:c>
      <x:c r="B644" s="1" t="str">
        <x:v>Round1</x:v>
      </x:c>
      <x:c r="C644" s="1" t="str">
        <x:v>Lang_3</x:v>
      </x:c>
      <x:c r="D644" s="1" t="str">
        <x:v>NOT_AVAILABLE</x:v>
      </x:c>
      <x:c r="E644" s="5"/>
      <x:c r="F644" s="4" t="n">
        <x:v>0</x:v>
      </x:c>
      <x:c r="G644" s="4" t="n">
        <x:v>9526</x:v>
      </x:c>
      <x:c r="H644" s="6" t="n">
        <x:v>129.04</x:v>
      </x:c>
      <x:c r="I644" s="16" t="n">
        <x:v>1</x:v>
      </x:c>
      <x:c r="J644"/>
      <x:c r="K644" s="4"/>
      <x:c r="L644" s="4"/>
      <x:c r="M644" s="4"/>
      <x:c r="N644" s="5"/>
    </x:row>
    <x:row r="645" ht="24" customHeight="1">
      <x:c r="A645" s="1" t="str">
        <x:v>RESULT</x:v>
      </x:c>
      <x:c r="B645" s="1" t="str">
        <x:v>Round1</x:v>
      </x:c>
      <x:c r="C645" s="1" t="str">
        <x:v>Lang_30</x:v>
      </x:c>
      <x:c r="D645" s="1" t="str">
        <x:v>NOT_AVAILABLE</x:v>
      </x:c>
      <x:c r="E645" s="5"/>
      <x:c r="F645" s="4" t="n">
        <x:v>0</x:v>
      </x:c>
      <x:c r="G645" s="4" t="n">
        <x:v>20352</x:v>
      </x:c>
      <x:c r="H645" s="6" t="n">
        <x:v>138.81</x:v>
      </x:c>
      <x:c r="I645" s="16" t="n">
        <x:v>1</x:v>
      </x:c>
      <x:c r="J645"/>
      <x:c r="K645" s="4"/>
      <x:c r="L645" s="4"/>
      <x:c r="M645" s="4"/>
      <x:c r="N645" s="5"/>
    </x:row>
    <x:row r="646" ht="24" customHeight="1">
      <x:c r="A646" s="1" t="str">
        <x:v>RESULT</x:v>
      </x:c>
      <x:c r="B646" s="1" t="str">
        <x:v>Round1</x:v>
      </x:c>
      <x:c r="C646" s="1" t="str">
        <x:v>Lang_31</x:v>
      </x:c>
      <x:c r="D646" s="1" t="str">
        <x:v>NOT_AVAILABLE</x:v>
      </x:c>
      <x:c r="E646" s="5"/>
      <x:c r="F646" s="4" t="n">
        <x:v>0</x:v>
      </x:c>
      <x:c r="G646" s="4" t="n">
        <x:v>22853</x:v>
      </x:c>
      <x:c r="H646" s="6" t="n">
        <x:v>221.13</x:v>
      </x:c>
      <x:c r="I646" s="16" t="n">
        <x:v>1</x:v>
      </x:c>
      <x:c r="J646"/>
      <x:c r="K646" s="4"/>
      <x:c r="L646" s="4"/>
      <x:c r="M646" s="4"/>
      <x:c r="N646" s="5"/>
    </x:row>
    <x:row r="647" ht="24" customHeight="1">
      <x:c r="A647" s="1" t="str">
        <x:v>RESULT</x:v>
      </x:c>
      <x:c r="B647" s="1" t="str">
        <x:v>Round1</x:v>
      </x:c>
      <x:c r="C647" s="1" t="str">
        <x:v>Lang_32</x:v>
      </x:c>
      <x:c r="D647" s="1" t="str">
        <x:v>NOT_AVAILABLE</x:v>
      </x:c>
      <x:c r="E647" s="5"/>
      <x:c r="F647" s="4" t="n">
        <x:v>0</x:v>
      </x:c>
      <x:c r="G647" s="4" t="n">
        <x:v>8179</x:v>
      </x:c>
      <x:c r="H647" s="6" t="n">
        <x:v>158.82</x:v>
      </x:c>
      <x:c r="I647" s="16" t="n">
        <x:v>1</x:v>
      </x:c>
      <x:c r="J647"/>
      <x:c r="K647" s="4"/>
      <x:c r="L647" s="4"/>
      <x:c r="M647" s="4"/>
      <x:c r="N647" s="5"/>
    </x:row>
    <x:row r="648" ht="24" customHeight="1">
      <x:c r="A648" s="1" t="str">
        <x:v>RESULT</x:v>
      </x:c>
      <x:c r="B648" s="1" t="str">
        <x:v>Round1</x:v>
      </x:c>
      <x:c r="C648" s="1" t="str">
        <x:v>Lang_33</x:v>
      </x:c>
      <x:c r="D648" s="1" t="str">
        <x:v>NOT_AVAILABLE</x:v>
      </x:c>
      <x:c r="E648" s="5"/>
      <x:c r="F648" s="4" t="n">
        <x:v>0</x:v>
      </x:c>
      <x:c r="G648" s="4" t="n">
        <x:v>7344</x:v>
      </x:c>
      <x:c r="H648" s="6" t="n">
        <x:v>72.35</x:v>
      </x:c>
      <x:c r="I648" s="16" t="n">
        <x:v>1</x:v>
      </x:c>
      <x:c r="J648"/>
      <x:c r="K648" s="4"/>
      <x:c r="L648" s="4"/>
      <x:c r="M648" s="4"/>
      <x:c r="N648" s="5"/>
    </x:row>
    <x:row r="649" ht="24" customHeight="1">
      <x:c r="A649" s="1" t="str">
        <x:v>RESULT</x:v>
      </x:c>
      <x:c r="B649" s="1" t="str">
        <x:v>Round1</x:v>
      </x:c>
      <x:c r="C649" s="1" t="str">
        <x:v>Lang_34</x:v>
      </x:c>
      <x:c r="D649" s="1" t="str">
        <x:v>NOT_AVAILABLE</x:v>
      </x:c>
      <x:c r="E649" s="5"/>
      <x:c r="F649" s="4" t="n">
        <x:v>0</x:v>
      </x:c>
      <x:c r="G649" s="4" t="n">
        <x:v>11934</x:v>
      </x:c>
      <x:c r="H649" s="6" t="n">
        <x:v>142.81</x:v>
      </x:c>
      <x:c r="I649" s="16" t="n">
        <x:v>1</x:v>
      </x:c>
      <x:c r="J649"/>
      <x:c r="K649" s="4"/>
      <x:c r="L649" s="4"/>
      <x:c r="M649" s="4"/>
      <x:c r="N649" s="5"/>
    </x:row>
    <x:row r="650" ht="24" customHeight="1">
      <x:c r="A650" s="1" t="str">
        <x:v>RESULT</x:v>
      </x:c>
      <x:c r="B650" s="1" t="str">
        <x:v>Round1</x:v>
      </x:c>
      <x:c r="C650" s="1" t="str">
        <x:v>Lang_35</x:v>
      </x:c>
      <x:c r="D650" s="1" t="str">
        <x:v>NOT_AVAILABLE</x:v>
      </x:c>
      <x:c r="E650" s="5"/>
      <x:c r="F650" s="4" t="n">
        <x:v>0</x:v>
      </x:c>
      <x:c r="G650" s="4" t="n">
        <x:v>15515</x:v>
      </x:c>
      <x:c r="H650" s="6" t="n">
        <x:v>14.97</x:v>
      </x:c>
      <x:c r="I650" s="16" t="n">
        <x:v>1</x:v>
      </x:c>
      <x:c r="J650"/>
      <x:c r="K650" s="4"/>
      <x:c r="L650" s="4"/>
      <x:c r="M650" s="4"/>
      <x:c r="N650" s="5"/>
    </x:row>
    <x:row r="651" ht="24" customHeight="1">
      <x:c r="A651" s="1" t="str">
        <x:v>RESULT</x:v>
      </x:c>
      <x:c r="B651" s="1" t="str">
        <x:v>Round1</x:v>
      </x:c>
      <x:c r="C651" s="1" t="str">
        <x:v>Lang_36</x:v>
      </x:c>
      <x:c r="D651" s="1" t="str">
        <x:v>NOT_AVAILABLE</x:v>
      </x:c>
      <x:c r="E651" s="5"/>
      <x:c r="F651" s="4" t="n">
        <x:v>0</x:v>
      </x:c>
      <x:c r="G651" s="4" t="n">
        <x:v>8360</x:v>
      </x:c>
      <x:c r="H651" s="6" t="n">
        <x:v>80.67</x:v>
      </x:c>
      <x:c r="I651" s="16" t="n">
        <x:v>1</x:v>
      </x:c>
      <x:c r="J651"/>
      <x:c r="K651" s="4"/>
      <x:c r="L651" s="4"/>
      <x:c r="M651" s="4"/>
      <x:c r="N651" s="5"/>
    </x:row>
    <x:row r="652" ht="24" customHeight="1">
      <x:c r="A652" s="1" t="str">
        <x:v>RESULT</x:v>
      </x:c>
      <x:c r="B652" s="1" t="str">
        <x:v>Round1</x:v>
      </x:c>
      <x:c r="C652" s="1" t="str">
        <x:v>Lang_37</x:v>
      </x:c>
      <x:c r="D652" s="1" t="str">
        <x:v>NOT_AVAILABLE</x:v>
      </x:c>
      <x:c r="E652" s="5"/>
      <x:c r="F652" s="4" t="n">
        <x:v>0</x:v>
      </x:c>
      <x:c r="G652" s="4" t="n">
        <x:v>18218</x:v>
      </x:c>
      <x:c r="H652" s="6" t="n">
        <x:v>78.84</x:v>
      </x:c>
      <x:c r="I652" s="16" t="n">
        <x:v>1</x:v>
      </x:c>
      <x:c r="J652"/>
      <x:c r="K652" s="4"/>
      <x:c r="L652" s="4"/>
      <x:c r="M652" s="4"/>
      <x:c r="N652" s="5"/>
    </x:row>
    <x:row r="653" ht="24" customHeight="1">
      <x:c r="A653" s="1" t="str">
        <x:v>RESULT</x:v>
      </x:c>
      <x:c r="B653" s="1" t="str">
        <x:v>Round1</x:v>
      </x:c>
      <x:c r="C653" s="1" t="str">
        <x:v>Lang_38</x:v>
      </x:c>
      <x:c r="D653" s="1" t="str">
        <x:v>REVEALING</x:v>
      </x:c>
      <x:c r="E653" s="5" t="n">
        <x:v>0.7759</x:v>
      </x:c>
      <x:c r="F653" s="4" t="n">
        <x:v>1</x:v>
      </x:c>
      <x:c r="G653" s="4" t="n">
        <x:v>10005</x:v>
      </x:c>
      <x:c r="H653" s="6" t="n">
        <x:v>67.68</x:v>
      </x:c>
      <x:c r="I653" s="16" t="n">
        <x:v>1</x:v>
      </x:c>
      <x:c r="J653" t="n">
        <x:v>464</x:v>
      </x:c>
      <x:c r="K653" s="4" t="n">
        <x:v>360</x:v>
      </x:c>
      <x:c r="L653" s="4" t="n">
        <x:v>228</x:v>
      </x:c>
      <x:c r="M653" s="4" t="n">
        <x:v>136</x:v>
      </x:c>
      <x:c r="N653" s="5" t="n">
        <x:v>0.5965</x:v>
      </x:c>
    </x:row>
    <x:row r="654" ht="24" customHeight="1">
      <x:c r="A654" s="1" t="str">
        <x:v>RESULT</x:v>
      </x:c>
      <x:c r="B654" s="1" t="str">
        <x:v>Round1</x:v>
      </x:c>
      <x:c r="C654" s="1" t="str">
        <x:v>Lang_39</x:v>
      </x:c>
      <x:c r="D654" s="1" t="str">
        <x:v>NOT_AVAILABLE</x:v>
      </x:c>
      <x:c r="E654" s="5"/>
      <x:c r="F654" s="4" t="n">
        <x:v>0</x:v>
      </x:c>
      <x:c r="G654" s="4" t="n">
        <x:v>21737</x:v>
      </x:c>
      <x:c r="H654" s="6" t="n">
        <x:v>203.1</x:v>
      </x:c>
      <x:c r="I654" s="16" t="n">
        <x:v>1</x:v>
      </x:c>
      <x:c r="J654"/>
      <x:c r="K654" s="4"/>
      <x:c r="L654" s="4"/>
      <x:c r="M654" s="4"/>
      <x:c r="N654" s="5"/>
    </x:row>
    <x:row r="655" ht="24" customHeight="1">
      <x:c r="A655" s="1" t="str">
        <x:v>RESULT</x:v>
      </x:c>
      <x:c r="B655" s="1" t="str">
        <x:v>Round1</x:v>
      </x:c>
      <x:c r="C655" s="1" t="str">
        <x:v>Lang_4</x:v>
      </x:c>
      <x:c r="D655" s="1" t="str">
        <x:v>INCONCLUSIVE</x:v>
      </x:c>
      <x:c r="E655" s="5" t="n">
        <x:v>1</x:v>
      </x:c>
      <x:c r="F655" s="4" t="n">
        <x:v>0</x:v>
      </x:c>
      <x:c r="G655" s="4" t="n">
        <x:v>3038</x:v>
      </x:c>
      <x:c r="H655" s="6" t="n">
        <x:v>37.02</x:v>
      </x:c>
      <x:c r="I655" s="16" t="n">
        <x:v>1</x:v>
      </x:c>
      <x:c r="J655" t="n">
        <x:v>25</x:v>
      </x:c>
      <x:c r="K655" s="4" t="n">
        <x:v>25</x:v>
      </x:c>
      <x:c r="L655" s="4" t="n">
        <x:v>14</x:v>
      </x:c>
      <x:c r="M655" s="4" t="n">
        <x:v>14</x:v>
      </x:c>
      <x:c r="N655" s="5" t="n">
        <x:v>1</x:v>
      </x:c>
    </x:row>
    <x:row r="656" ht="24" customHeight="1">
      <x:c r="A656" s="1" t="str">
        <x:v>RESULT</x:v>
      </x:c>
      <x:c r="B656" s="1" t="str">
        <x:v>Round1</x:v>
      </x:c>
      <x:c r="C656" s="1" t="str">
        <x:v>Lang_40</x:v>
      </x:c>
      <x:c r="D656" s="1" t="str">
        <x:v>NOT_AVAILABLE</x:v>
      </x:c>
      <x:c r="E656" s="5"/>
      <x:c r="F656" s="4" t="n">
        <x:v>0</x:v>
      </x:c>
      <x:c r="G656" s="4" t="n">
        <x:v>20231</x:v>
      </x:c>
      <x:c r="H656" s="6" t="n">
        <x:v>173.24</x:v>
      </x:c>
      <x:c r="I656" s="16" t="n">
        <x:v>1</x:v>
      </x:c>
      <x:c r="J656"/>
      <x:c r="K656" s="4"/>
      <x:c r="L656" s="4"/>
      <x:c r="M656" s="4"/>
      <x:c r="N656" s="5"/>
    </x:row>
    <x:row r="657" ht="24" customHeight="1">
      <x:c r="A657" s="1" t="str">
        <x:v>RESULT</x:v>
      </x:c>
      <x:c r="B657" s="1" t="str">
        <x:v>Round1</x:v>
      </x:c>
      <x:c r="C657" s="1" t="str">
        <x:v>Lang_41</x:v>
      </x:c>
      <x:c r="D657" s="1" t="str">
        <x:v>NOT_AVAILABLE</x:v>
      </x:c>
      <x:c r="E657" s="5"/>
      <x:c r="F657" s="4" t="n">
        <x:v>0</x:v>
      </x:c>
      <x:c r="G657" s="4" t="n">
        <x:v>7563</x:v>
      </x:c>
      <x:c r="H657" s="6" t="n">
        <x:v>82.33</x:v>
      </x:c>
      <x:c r="I657" s="16" t="n">
        <x:v>1</x:v>
      </x:c>
      <x:c r="J657"/>
      <x:c r="K657" s="4"/>
      <x:c r="L657" s="4"/>
      <x:c r="M657" s="4"/>
      <x:c r="N657" s="5"/>
    </x:row>
    <x:row r="658" ht="24" customHeight="1">
      <x:c r="A658" s="1" t="str">
        <x:v>RESULT</x:v>
      </x:c>
      <x:c r="B658" s="1" t="str">
        <x:v>Round1</x:v>
      </x:c>
      <x:c r="C658" s="1" t="str">
        <x:v>Lang_42</x:v>
      </x:c>
      <x:c r="D658" s="1" t="str">
        <x:v>NOT_AVAILABLE</x:v>
      </x:c>
      <x:c r="E658" s="5"/>
      <x:c r="F658" s="4" t="n">
        <x:v>0</x:v>
      </x:c>
      <x:c r="G658" s="4" t="n">
        <x:v>7605</x:v>
      </x:c>
      <x:c r="H658" s="6" t="n">
        <x:v>59.41</x:v>
      </x:c>
      <x:c r="I658" s="16" t="n">
        <x:v>1</x:v>
      </x:c>
      <x:c r="J658"/>
      <x:c r="K658" s="4"/>
      <x:c r="L658" s="4"/>
      <x:c r="M658" s="4"/>
      <x:c r="N658" s="5"/>
    </x:row>
    <x:row r="659" ht="24" customHeight="1">
      <x:c r="A659" s="1" t="str">
        <x:v>RESULT</x:v>
      </x:c>
      <x:c r="B659" s="1" t="str">
        <x:v>Round1</x:v>
      </x:c>
      <x:c r="C659" s="1" t="str">
        <x:v>Lang_43</x:v>
      </x:c>
      <x:c r="D659" s="1" t="str">
        <x:v>NOT_AVAILABLE</x:v>
      </x:c>
      <x:c r="E659" s="5"/>
      <x:c r="F659" s="4" t="n">
        <x:v>0</x:v>
      </x:c>
      <x:c r="G659" s="4" t="n">
        <x:v>6217</x:v>
      </x:c>
      <x:c r="H659" s="6" t="n">
        <x:v>41.91</x:v>
      </x:c>
      <x:c r="I659" s="16" t="n">
        <x:v>1</x:v>
      </x:c>
      <x:c r="J659"/>
      <x:c r="K659" s="4"/>
      <x:c r="L659" s="4"/>
      <x:c r="M659" s="4"/>
      <x:c r="N659" s="5"/>
    </x:row>
    <x:row r="660" ht="24" customHeight="1">
      <x:c r="A660" s="1" t="str">
        <x:v>RESULT</x:v>
      </x:c>
      <x:c r="B660" s="1" t="str">
        <x:v>Round1</x:v>
      </x:c>
      <x:c r="C660" s="1" t="str">
        <x:v>Lang_44</x:v>
      </x:c>
      <x:c r="D660" s="1" t="str">
        <x:v>INCONCLUSIVE</x:v>
      </x:c>
      <x:c r="E660" s="5" t="n">
        <x:v>0.6526000000000001</x:v>
      </x:c>
      <x:c r="F660" s="4" t="n">
        <x:v>0</x:v>
      </x:c>
      <x:c r="G660" s="4" t="n">
        <x:v>11654</x:v>
      </x:c>
      <x:c r="H660" s="6" t="n">
        <x:v>138.7</x:v>
      </x:c>
      <x:c r="I660" s="16" t="n">
        <x:v>1</x:v>
      </x:c>
      <x:c r="J660" t="n">
        <x:v>190</x:v>
      </x:c>
      <x:c r="K660" s="4" t="n">
        <x:v>124</x:v>
      </x:c>
      <x:c r="L660" s="4" t="n">
        <x:v>216</x:v>
      </x:c>
      <x:c r="M660" s="4" t="n">
        <x:v>93</x:v>
      </x:c>
      <x:c r="N660" s="5" t="n">
        <x:v>0.43060000000000004</x:v>
      </x:c>
    </x:row>
    <x:row r="661" ht="24" customHeight="1">
      <x:c r="A661" s="1" t="str">
        <x:v>RESULT</x:v>
      </x:c>
      <x:c r="B661" s="1" t="str">
        <x:v>Round1</x:v>
      </x:c>
      <x:c r="C661" s="1" t="str">
        <x:v>Lang_45</x:v>
      </x:c>
      <x:c r="D661" s="1" t="str">
        <x:v>INCONCLUSIVE</x:v>
      </x:c>
      <x:c r="E661" s="5" t="n">
        <x:v>0.9493</x:v>
      </x:c>
      <x:c r="F661" s="4" t="n">
        <x:v>0</x:v>
      </x:c>
      <x:c r="G661" s="4" t="n">
        <x:v>4821</x:v>
      </x:c>
      <x:c r="H661" s="6" t="n">
        <x:v>58.82</x:v>
      </x:c>
      <x:c r="I661" s="16" t="n">
        <x:v>1</x:v>
      </x:c>
      <x:c r="J661" t="n">
        <x:v>138</x:v>
      </x:c>
      <x:c r="K661" s="4" t="n">
        <x:v>131</x:v>
      </x:c>
      <x:c r="L661" s="4" t="n">
        <x:v>102</x:v>
      </x:c>
      <x:c r="M661" s="4" t="n">
        <x:v>97</x:v>
      </x:c>
      <x:c r="N661" s="5" t="n">
        <x:v>0.951</x:v>
      </x:c>
    </x:row>
    <x:row r="662" ht="24" customHeight="1">
      <x:c r="A662" s="1" t="str">
        <x:v>RESULT</x:v>
      </x:c>
      <x:c r="B662" s="1" t="str">
        <x:v>Round1</x:v>
      </x:c>
      <x:c r="C662" s="1" t="str">
        <x:v>Lang_46</x:v>
      </x:c>
      <x:c r="D662" s="1" t="str">
        <x:v>NOT_AVAILABLE</x:v>
      </x:c>
      <x:c r="E662" s="5"/>
      <x:c r="F662" s="4" t="n">
        <x:v>0</x:v>
      </x:c>
      <x:c r="G662" s="4" t="n">
        <x:v>9331</x:v>
      </x:c>
      <x:c r="H662" s="6" t="n">
        <x:v>187.92</x:v>
      </x:c>
      <x:c r="I662" s="16" t="n">
        <x:v>1</x:v>
      </x:c>
      <x:c r="J662"/>
      <x:c r="K662" s="4"/>
      <x:c r="L662" s="4"/>
      <x:c r="M662" s="4"/>
      <x:c r="N662" s="5"/>
    </x:row>
    <x:row r="663" ht="24" customHeight="1">
      <x:c r="A663" s="1" t="str">
        <x:v>RESULT</x:v>
      </x:c>
      <x:c r="B663" s="1" t="str">
        <x:v>Round1</x:v>
      </x:c>
      <x:c r="C663" s="1" t="str">
        <x:v>Lang_47</x:v>
      </x:c>
      <x:c r="D663" s="1" t="str">
        <x:v>NOT_AVAILABLE</x:v>
      </x:c>
      <x:c r="E663" s="5"/>
      <x:c r="F663" s="4" t="n">
        <x:v>0</x:v>
      </x:c>
      <x:c r="G663" s="4" t="n">
        <x:v>15750</x:v>
      </x:c>
      <x:c r="H663" s="6" t="n">
        <x:v>188.31</x:v>
      </x:c>
      <x:c r="I663" s="16" t="n">
        <x:v>1</x:v>
      </x:c>
      <x:c r="J663"/>
      <x:c r="K663" s="4"/>
      <x:c r="L663" s="4"/>
      <x:c r="M663" s="4"/>
      <x:c r="N663" s="5"/>
    </x:row>
    <x:row r="664" ht="24" customHeight="1">
      <x:c r="A664" s="1" t="str">
        <x:v>RESULT</x:v>
      </x:c>
      <x:c r="B664" s="1" t="str">
        <x:v>Round1</x:v>
      </x:c>
      <x:c r="C664" s="1" t="str">
        <x:v>Lang_49</x:v>
      </x:c>
      <x:c r="D664" s="1" t="str">
        <x:v>INCONCLUSIVE</x:v>
      </x:c>
      <x:c r="E664" s="5" t="n">
        <x:v>0.9348000000000001</x:v>
      </x:c>
      <x:c r="F664" s="4" t="n">
        <x:v>0</x:v>
      </x:c>
      <x:c r="G664" s="4" t="n">
        <x:v>8879</x:v>
      </x:c>
      <x:c r="H664" s="6" t="n">
        <x:v>159.17</x:v>
      </x:c>
      <x:c r="I664" s="16" t="n">
        <x:v>1</x:v>
      </x:c>
      <x:c r="J664" t="n">
        <x:v>276</x:v>
      </x:c>
      <x:c r="K664" s="4" t="n">
        <x:v>258</x:v>
      </x:c>
      <x:c r="L664" s="4" t="n">
        <x:v>184</x:v>
      </x:c>
      <x:c r="M664" s="4" t="n">
        <x:v>148</x:v>
      </x:c>
      <x:c r="N664" s="5" t="n">
        <x:v>0.8043</x:v>
      </x:c>
    </x:row>
    <x:row r="665" ht="24" customHeight="1">
      <x:c r="A665" s="1" t="str">
        <x:v>RESULT</x:v>
      </x:c>
      <x:c r="B665" s="1" t="str">
        <x:v>Round1</x:v>
      </x:c>
      <x:c r="C665" s="1" t="str">
        <x:v>Lang_5</x:v>
      </x:c>
      <x:c r="D665" s="1" t="str">
        <x:v>INCONCLUSIVE</x:v>
      </x:c>
      <x:c r="E665" s="5" t="n">
        <x:v>0.9390000000000001</x:v>
      </x:c>
      <x:c r="F665" s="4" t="n">
        <x:v>0</x:v>
      </x:c>
      <x:c r="G665" s="4" t="n">
        <x:v>5377</x:v>
      </x:c>
      <x:c r="H665" s="6" t="n">
        <x:v>47.9</x:v>
      </x:c>
      <x:c r="I665" s="16" t="n">
        <x:v>1</x:v>
      </x:c>
      <x:c r="J665" t="n">
        <x:v>82</x:v>
      </x:c>
      <x:c r="K665" s="4" t="n">
        <x:v>77</x:v>
      </x:c>
      <x:c r="L665" s="4" t="n">
        <x:v>56</x:v>
      </x:c>
      <x:c r="M665" s="4" t="n">
        <x:v>49</x:v>
      </x:c>
      <x:c r="N665" s="5" t="n">
        <x:v>0.875</x:v>
      </x:c>
    </x:row>
    <x:row r="666" ht="24" customHeight="1">
      <x:c r="A666" s="1" t="str">
        <x:v>RESULT</x:v>
      </x:c>
      <x:c r="B666" s="1" t="str">
        <x:v>Round1</x:v>
      </x:c>
      <x:c r="C666" s="1" t="str">
        <x:v>Lang_50</x:v>
      </x:c>
      <x:c r="D666" s="1" t="str">
        <x:v>NOT_AVAILABLE</x:v>
      </x:c>
      <x:c r="E666" s="5"/>
      <x:c r="F666" s="4" t="n">
        <x:v>0</x:v>
      </x:c>
      <x:c r="G666" s="4" t="n">
        <x:v>10704</x:v>
      </x:c>
      <x:c r="H666" s="6" t="n">
        <x:v>91.45</x:v>
      </x:c>
      <x:c r="I666" s="16" t="n">
        <x:v>1</x:v>
      </x:c>
      <x:c r="J666"/>
      <x:c r="K666" s="4"/>
      <x:c r="L666" s="4"/>
      <x:c r="M666" s="4"/>
      <x:c r="N666" s="5"/>
    </x:row>
    <x:row r="667" ht="24" customHeight="1">
      <x:c r="A667" s="1" t="str">
        <x:v>RESULT</x:v>
      </x:c>
      <x:c r="B667" s="1" t="str">
        <x:v>Round1</x:v>
      </x:c>
      <x:c r="C667" s="1" t="str">
        <x:v>Lang_51</x:v>
      </x:c>
      <x:c r="D667" s="1" t="str">
        <x:v>INCONCLUSIVE</x:v>
      </x:c>
      <x:c r="E667" s="5" t="n">
        <x:v>0.9064</x:v>
      </x:c>
      <x:c r="F667" s="4" t="n">
        <x:v>0</x:v>
      </x:c>
      <x:c r="G667" s="4" t="n">
        <x:v>6775</x:v>
      </x:c>
      <x:c r="H667" s="6" t="n">
        <x:v>165.21</x:v>
      </x:c>
      <x:c r="I667" s="16" t="n">
        <x:v>1</x:v>
      </x:c>
      <x:c r="J667" t="n">
        <x:v>171</x:v>
      </x:c>
      <x:c r="K667" s="4" t="n">
        <x:v>155</x:v>
      </x:c>
      <x:c r="L667" s="4" t="n">
        <x:v>212</x:v>
      </x:c>
      <x:c r="M667" s="4" t="n">
        <x:v>161</x:v>
      </x:c>
      <x:c r="N667" s="5" t="n">
        <x:v>0.7594</x:v>
      </x:c>
    </x:row>
    <x:row r="668" ht="24" customHeight="1">
      <x:c r="A668" s="1" t="str">
        <x:v>RESULT</x:v>
      </x:c>
      <x:c r="B668" s="1" t="str">
        <x:v>Round1</x:v>
      </x:c>
      <x:c r="C668" s="1" t="str">
        <x:v>Lang_52</x:v>
      </x:c>
      <x:c r="D668" s="1" t="str">
        <x:v>NOT_AVAILABLE</x:v>
      </x:c>
      <x:c r="E668" s="5"/>
      <x:c r="F668" s="4" t="n">
        <x:v>0</x:v>
      </x:c>
      <x:c r="G668" s="4" t="n">
        <x:v>5674</x:v>
      </x:c>
      <x:c r="H668" s="6" t="n">
        <x:v>89.08</x:v>
      </x:c>
      <x:c r="I668" s="16" t="n">
        <x:v>1</x:v>
      </x:c>
      <x:c r="J668"/>
      <x:c r="K668" s="4"/>
      <x:c r="L668" s="4"/>
      <x:c r="M668" s="4"/>
      <x:c r="N668" s="5"/>
    </x:row>
    <x:row r="669" ht="24" customHeight="1">
      <x:c r="A669" s="1" t="str">
        <x:v>RESULT</x:v>
      </x:c>
      <x:c r="B669" s="1" t="str">
        <x:v>Round1</x:v>
      </x:c>
      <x:c r="C669" s="1" t="str">
        <x:v>Lang_53</x:v>
      </x:c>
      <x:c r="D669" s="1" t="str">
        <x:v>NOT_AVAILABLE</x:v>
      </x:c>
      <x:c r="E669" s="5"/>
      <x:c r="F669" s="4" t="n">
        <x:v>0</x:v>
      </x:c>
      <x:c r="G669" s="4" t="n">
        <x:v>7171</x:v>
      </x:c>
      <x:c r="H669" s="6" t="n">
        <x:v>92.39</x:v>
      </x:c>
      <x:c r="I669" s="16" t="n">
        <x:v>1</x:v>
      </x:c>
      <x:c r="J669"/>
      <x:c r="K669" s="4"/>
      <x:c r="L669" s="4"/>
      <x:c r="M669" s="4"/>
      <x:c r="N669" s="5"/>
    </x:row>
    <x:row r="670" ht="24" customHeight="1">
      <x:c r="A670" s="1" t="str">
        <x:v>RESULT</x:v>
      </x:c>
      <x:c r="B670" s="1" t="str">
        <x:v>Round1</x:v>
      </x:c>
      <x:c r="C670" s="1" t="str">
        <x:v>Lang_54</x:v>
      </x:c>
      <x:c r="D670" s="1" t="str">
        <x:v>INCONCLUSIVE</x:v>
      </x:c>
      <x:c r="E670" s="5" t="n">
        <x:v>0.9494</x:v>
      </x:c>
      <x:c r="F670" s="4" t="n">
        <x:v>0</x:v>
      </x:c>
      <x:c r="G670" s="4" t="n">
        <x:v>6112</x:v>
      </x:c>
      <x:c r="H670" s="6" t="n">
        <x:v>72.42</x:v>
      </x:c>
      <x:c r="I670" s="16" t="n">
        <x:v>1</x:v>
      </x:c>
      <x:c r="J670" t="n">
        <x:v>79</x:v>
      </x:c>
      <x:c r="K670" s="4" t="n">
        <x:v>75</x:v>
      </x:c>
      <x:c r="L670" s="4" t="n">
        <x:v>64</x:v>
      </x:c>
      <x:c r="M670" s="4" t="n">
        <x:v>52</x:v>
      </x:c>
      <x:c r="N670" s="5" t="n">
        <x:v>0.8125</x:v>
      </x:c>
    </x:row>
    <x:row r="671" ht="24" customHeight="1">
      <x:c r="A671" s="1" t="str">
        <x:v>RESULT</x:v>
      </x:c>
      <x:c r="B671" s="1" t="str">
        <x:v>Round1</x:v>
      </x:c>
      <x:c r="C671" s="1" t="str">
        <x:v>Lang_55</x:v>
      </x:c>
      <x:c r="D671" s="1" t="str">
        <x:v>INCONCLUSIVE</x:v>
      </x:c>
      <x:c r="E671" s="5" t="n">
        <x:v>0.9298000000000001</x:v>
      </x:c>
      <x:c r="F671" s="4" t="n">
        <x:v>0</x:v>
      </x:c>
      <x:c r="G671" s="4" t="n">
        <x:v>5316</x:v>
      </x:c>
      <x:c r="H671" s="6" t="n">
        <x:v>57.39</x:v>
      </x:c>
      <x:c r="I671" s="16" t="n">
        <x:v>1</x:v>
      </x:c>
      <x:c r="J671" t="n">
        <x:v>57</x:v>
      </x:c>
      <x:c r="K671" s="4" t="n">
        <x:v>53</x:v>
      </x:c>
      <x:c r="L671" s="4" t="n">
        <x:v>26</x:v>
      </x:c>
      <x:c r="M671" s="4" t="n">
        <x:v>23</x:v>
      </x:c>
      <x:c r="N671" s="5" t="n">
        <x:v>0.8845999999999999</x:v>
      </x:c>
    </x:row>
    <x:row r="672" ht="24" customHeight="1">
      <x:c r="A672" s="1" t="str">
        <x:v>RESULT</x:v>
      </x:c>
      <x:c r="B672" s="1" t="str">
        <x:v>Round1</x:v>
      </x:c>
      <x:c r="C672" s="1" t="str">
        <x:v>Lang_56</x:v>
      </x:c>
      <x:c r="D672" s="1" t="str">
        <x:v>NOT_AVAILABLE</x:v>
      </x:c>
      <x:c r="E672" s="5"/>
      <x:c r="F672" s="4" t="n">
        <x:v>0</x:v>
      </x:c>
      <x:c r="G672" s="4" t="n">
        <x:v>10417</x:v>
      </x:c>
      <x:c r="H672" s="6" t="n">
        <x:v>84.85</x:v>
      </x:c>
      <x:c r="I672" s="16" t="n">
        <x:v>1</x:v>
      </x:c>
      <x:c r="J672"/>
      <x:c r="K672" s="4"/>
      <x:c r="L672" s="4"/>
      <x:c r="M672" s="4"/>
      <x:c r="N672" s="5"/>
    </x:row>
    <x:row r="673" ht="24" customHeight="1">
      <x:c r="A673" s="1" t="str">
        <x:v>RESULT</x:v>
      </x:c>
      <x:c r="B673" s="1" t="str">
        <x:v>Round1</x:v>
      </x:c>
      <x:c r="C673" s="1" t="str">
        <x:v>Lang_57</x:v>
      </x:c>
      <x:c r="D673" s="1" t="str">
        <x:v>INCONCLUSIVE</x:v>
      </x:c>
      <x:c r="E673" s="5" t="n">
        <x:v>0.9747</x:v>
      </x:c>
      <x:c r="F673" s="4" t="n">
        <x:v>0</x:v>
      </x:c>
      <x:c r="G673" s="4" t="n">
        <x:v>5331</x:v>
      </x:c>
      <x:c r="H673" s="6" t="n">
        <x:v>45.83</x:v>
      </x:c>
      <x:c r="I673" s="16" t="n">
        <x:v>1</x:v>
      </x:c>
      <x:c r="J673" t="n">
        <x:v>79</x:v>
      </x:c>
      <x:c r="K673" s="4" t="n">
        <x:v>77</x:v>
      </x:c>
      <x:c r="L673" s="4" t="n">
        <x:v>64</x:v>
      </x:c>
      <x:c r="M673" s="4" t="n">
        <x:v>53</x:v>
      </x:c>
      <x:c r="N673" s="5" t="n">
        <x:v>0.8281000000000001</x:v>
      </x:c>
    </x:row>
    <x:row r="674" ht="24" customHeight="1">
      <x:c r="A674" s="1" t="str">
        <x:v>RESULT</x:v>
      </x:c>
      <x:c r="B674" s="1" t="str">
        <x:v>Round1</x:v>
      </x:c>
      <x:c r="C674" s="1" t="str">
        <x:v>Lang_58</x:v>
      </x:c>
      <x:c r="D674" s="1" t="str">
        <x:v>INCONCLUSIVE</x:v>
      </x:c>
      <x:c r="E674" s="5" t="n">
        <x:v>0.8069</x:v>
      </x:c>
      <x:c r="F674" s="4" t="n">
        <x:v>0</x:v>
      </x:c>
      <x:c r="G674" s="4" t="n">
        <x:v>10881</x:v>
      </x:c>
      <x:c r="H674" s="6" t="n">
        <x:v>134.08</x:v>
      </x:c>
      <x:c r="I674" s="16" t="n">
        <x:v>1</x:v>
      </x:c>
      <x:c r="J674" t="n">
        <x:v>435</x:v>
      </x:c>
      <x:c r="K674" s="4" t="n">
        <x:v>351</x:v>
      </x:c>
      <x:c r="L674" s="4" t="n">
        <x:v>420</x:v>
      </x:c>
      <x:c r="M674" s="4" t="n">
        <x:v>289</x:v>
      </x:c>
      <x:c r="N674" s="5" t="n">
        <x:v>0.6881</x:v>
      </x:c>
    </x:row>
    <x:row r="675" ht="24" customHeight="1">
      <x:c r="A675" s="1" t="str">
        <x:v>RESULT</x:v>
      </x:c>
      <x:c r="B675" s="1" t="str">
        <x:v>Round1</x:v>
      </x:c>
      <x:c r="C675" s="1" t="str">
        <x:v>Lang_59</x:v>
      </x:c>
      <x:c r="D675" s="1" t="str">
        <x:v>NOT_AVAILABLE</x:v>
      </x:c>
      <x:c r="E675" s="5"/>
      <x:c r="F675" s="4" t="n">
        <x:v>0</x:v>
      </x:c>
      <x:c r="G675" s="4" t="n">
        <x:v>16235</x:v>
      </x:c>
      <x:c r="H675" s="6" t="n">
        <x:v>219.76</x:v>
      </x:c>
      <x:c r="I675" s="16" t="n">
        <x:v>1</x:v>
      </x:c>
      <x:c r="J675"/>
      <x:c r="K675" s="4"/>
      <x:c r="L675" s="4"/>
      <x:c r="M675" s="4"/>
      <x:c r="N675" s="5"/>
    </x:row>
    <x:row r="676" ht="24" customHeight="1">
      <x:c r="A676" s="1" t="str">
        <x:v>RESULT</x:v>
      </x:c>
      <x:c r="B676" s="1" t="str">
        <x:v>Round1</x:v>
      </x:c>
      <x:c r="C676" s="1" t="str">
        <x:v>Lang_6</x:v>
      </x:c>
      <x:c r="D676" s="1" t="str">
        <x:v>INCONCLUSIVE</x:v>
      </x:c>
      <x:c r="E676" s="5" t="n">
        <x:v>1</x:v>
      </x:c>
      <x:c r="F676" s="4" t="n">
        <x:v>0</x:v>
      </x:c>
      <x:c r="G676" s="4" t="n">
        <x:v>3519</x:v>
      </x:c>
      <x:c r="H676" s="6" t="n">
        <x:v>44.42</x:v>
      </x:c>
      <x:c r="I676" s="16" t="n">
        <x:v>1</x:v>
      </x:c>
      <x:c r="J676" t="n">
        <x:v>30</x:v>
      </x:c>
      <x:c r="K676" s="4" t="n">
        <x:v>30</x:v>
      </x:c>
      <x:c r="L676" s="4" t="n">
        <x:v>12</x:v>
      </x:c>
      <x:c r="M676" s="4" t="n">
        <x:v>12</x:v>
      </x:c>
      <x:c r="N676" s="5" t="n">
        <x:v>1</x:v>
      </x:c>
    </x:row>
    <x:row r="677" ht="24" customHeight="1">
      <x:c r="A677" s="1" t="str">
        <x:v>RESULT</x:v>
      </x:c>
      <x:c r="B677" s="1" t="str">
        <x:v>Round1</x:v>
      </x:c>
      <x:c r="C677" s="1" t="str">
        <x:v>Lang_60</x:v>
      </x:c>
      <x:c r="D677" s="1" t="str">
        <x:v>NOT_AVAILABLE</x:v>
      </x:c>
      <x:c r="E677" s="5"/>
      <x:c r="F677" s="4" t="n">
        <x:v>0</x:v>
      </x:c>
      <x:c r="G677" s="4" t="n">
        <x:v>12568</x:v>
      </x:c>
      <x:c r="H677" s="6" t="n">
        <x:v>102.97</x:v>
      </x:c>
      <x:c r="I677" s="16" t="n">
        <x:v>1</x:v>
      </x:c>
      <x:c r="J677"/>
      <x:c r="K677" s="4"/>
      <x:c r="L677" s="4"/>
      <x:c r="M677" s="4"/>
      <x:c r="N677" s="5"/>
    </x:row>
    <x:row r="678" ht="24" customHeight="1">
      <x:c r="A678" s="1" t="str">
        <x:v>RESULT</x:v>
      </x:c>
      <x:c r="B678" s="1" t="str">
        <x:v>Round1</x:v>
      </x:c>
      <x:c r="C678" s="1" t="str">
        <x:v>Lang_61</x:v>
      </x:c>
      <x:c r="D678" s="1" t="str">
        <x:v>NOT_AVAILABLE</x:v>
      </x:c>
      <x:c r="E678" s="5"/>
      <x:c r="F678" s="4" t="n">
        <x:v>0</x:v>
      </x:c>
      <x:c r="G678" s="4" t="n">
        <x:v>13335</x:v>
      </x:c>
      <x:c r="H678" s="6" t="n">
        <x:v>127.31</x:v>
      </x:c>
      <x:c r="I678" s="16" t="n">
        <x:v>1</x:v>
      </x:c>
      <x:c r="J678"/>
      <x:c r="K678" s="4"/>
      <x:c r="L678" s="4"/>
      <x:c r="M678" s="4"/>
      <x:c r="N678" s="5"/>
    </x:row>
    <x:row r="679" ht="24" customHeight="1">
      <x:c r="A679" s="1" t="str">
        <x:v>RESULT</x:v>
      </x:c>
      <x:c r="B679" s="1" t="str">
        <x:v>Round1</x:v>
      </x:c>
      <x:c r="C679" s="1" t="str">
        <x:v>Lang_62</x:v>
      </x:c>
      <x:c r="D679" s="1" t="str">
        <x:v>NOT_AVAILABLE</x:v>
      </x:c>
      <x:c r="E679" s="5"/>
      <x:c r="F679" s="4" t="n">
        <x:v>0</x:v>
      </x:c>
      <x:c r="G679" s="4" t="n">
        <x:v>8350</x:v>
      </x:c>
      <x:c r="H679" s="6" t="n">
        <x:v>74.19</x:v>
      </x:c>
      <x:c r="I679" s="16" t="n">
        <x:v>1</x:v>
      </x:c>
      <x:c r="J679"/>
      <x:c r="K679" s="4"/>
      <x:c r="L679" s="4"/>
      <x:c r="M679" s="4"/>
      <x:c r="N679" s="5"/>
    </x:row>
    <x:row r="680" ht="24" customHeight="1">
      <x:c r="A680" s="1" t="str">
        <x:v>RESULT</x:v>
      </x:c>
      <x:c r="B680" s="1" t="str">
        <x:v>Round1</x:v>
      </x:c>
      <x:c r="C680" s="1" t="str">
        <x:v>Lang_63</x:v>
      </x:c>
      <x:c r="D680" s="1" t="str">
        <x:v>INCONCLUSIVE</x:v>
      </x:c>
      <x:c r="E680" s="5" t="n">
        <x:v>0.6349</x:v>
      </x:c>
      <x:c r="F680" s="4" t="n">
        <x:v>0</x:v>
      </x:c>
      <x:c r="G680" s="4" t="n">
        <x:v>8614</x:v>
      </x:c>
      <x:c r="H680" s="6" t="n">
        <x:v>56.65</x:v>
      </x:c>
      <x:c r="I680" s="16" t="n">
        <x:v>1</x:v>
      </x:c>
      <x:c r="J680" t="n">
        <x:v>252</x:v>
      </x:c>
      <x:c r="K680" s="4" t="n">
        <x:v>160</x:v>
      </x:c>
      <x:c r="L680" s="4" t="n">
        <x:v>135</x:v>
      </x:c>
      <x:c r="M680" s="4" t="n">
        <x:v>82</x:v>
      </x:c>
      <x:c r="N680" s="5" t="n">
        <x:v>0.6074</x:v>
      </x:c>
    </x:row>
    <x:row r="681" ht="24" customHeight="1">
      <x:c r="A681" s="1" t="str">
        <x:v>RESULT</x:v>
      </x:c>
      <x:c r="B681" s="1" t="str">
        <x:v>Round1</x:v>
      </x:c>
      <x:c r="C681" s="1" t="str">
        <x:v>Lang_64</x:v>
      </x:c>
      <x:c r="D681" s="1" t="str">
        <x:v>INCONCLUSIVE</x:v>
      </x:c>
      <x:c r="E681" s="5" t="n">
        <x:v>0.22219999999999998</x:v>
      </x:c>
      <x:c r="F681" s="4" t="n">
        <x:v>0</x:v>
      </x:c>
      <x:c r="G681" s="4" t="n">
        <x:v>4129</x:v>
      </x:c>
      <x:c r="H681" s="6" t="n">
        <x:v>32.11</x:v>
      </x:c>
      <x:c r="I681" s="16" t="n">
        <x:v>1</x:v>
      </x:c>
      <x:c r="J681" t="n">
        <x:v>18</x:v>
      </x:c>
      <x:c r="K681" s="4" t="n">
        <x:v>4</x:v>
      </x:c>
      <x:c r="L681" s="4" t="n">
        <x:v>8</x:v>
      </x:c>
      <x:c r="M681" s="4" t="n">
        <x:v>0</x:v>
      </x:c>
      <x:c r="N681" s="5" t="n">
        <x:v>0</x:v>
      </x:c>
    </x:row>
    <x:row r="682" ht="24" customHeight="1">
      <x:c r="A682" s="1" t="str">
        <x:v>RESULT</x:v>
      </x:c>
      <x:c r="B682" s="1" t="str">
        <x:v>Round1</x:v>
      </x:c>
      <x:c r="C682" s="1" t="str">
        <x:v>Lang_65</x:v>
      </x:c>
      <x:c r="D682" s="1" t="str">
        <x:v>NOT_AVAILABLE</x:v>
      </x:c>
      <x:c r="E682" s="5"/>
      <x:c r="F682" s="4" t="n">
        <x:v>0</x:v>
      </x:c>
      <x:c r="G682" s="4" t="n">
        <x:v>8466</x:v>
      </x:c>
      <x:c r="H682" s="6" t="n">
        <x:v>113.09</x:v>
      </x:c>
      <x:c r="I682" s="16" t="n">
        <x:v>1</x:v>
      </x:c>
      <x:c r="J682"/>
      <x:c r="K682" s="4"/>
      <x:c r="L682" s="4"/>
      <x:c r="M682" s="4"/>
      <x:c r="N682" s="5"/>
    </x:row>
    <x:row r="683" ht="24" customHeight="1">
      <x:c r="A683" s="1" t="str">
        <x:v>RESULT</x:v>
      </x:c>
      <x:c r="B683" s="1" t="str">
        <x:v>Round1</x:v>
      </x:c>
      <x:c r="C683" s="1" t="str">
        <x:v>Lang_7</x:v>
      </x:c>
      <x:c r="D683" s="1" t="str">
        <x:v>INCONCLUSIVE</x:v>
      </x:c>
      <x:c r="E683" s="5" t="n">
        <x:v>0.7237</x:v>
      </x:c>
      <x:c r="F683" s="4" t="n">
        <x:v>0</x:v>
      </x:c>
      <x:c r="G683" s="4" t="n">
        <x:v>8896</x:v>
      </x:c>
      <x:c r="H683" s="6" t="n">
        <x:v>88.23</x:v>
      </x:c>
      <x:c r="I683" s="16" t="n">
        <x:v>1</x:v>
      </x:c>
      <x:c r="J683" t="n">
        <x:v>380</x:v>
      </x:c>
      <x:c r="K683" s="4" t="n">
        <x:v>275</x:v>
      </x:c>
      <x:c r="L683" s="4" t="n">
        <x:v>366</x:v>
      </x:c>
      <x:c r="M683" s="4" t="n">
        <x:v>200</x:v>
      </x:c>
      <x:c r="N683" s="5" t="n">
        <x:v>0.5464</x:v>
      </x:c>
    </x:row>
    <x:row r="684" ht="24" customHeight="1">
      <x:c r="A684" s="1" t="str">
        <x:v>RESULT</x:v>
      </x:c>
      <x:c r="B684" s="1" t="str">
        <x:v>Round1</x:v>
      </x:c>
      <x:c r="C684" s="1" t="str">
        <x:v>Lang_8</x:v>
      </x:c>
      <x:c r="D684" s="1" t="str">
        <x:v>NOT_REVEALING</x:v>
      </x:c>
      <x:c r="E684" s="5" t="n">
        <x:v>0.6291</x:v>
      </x:c>
      <x:c r="F684" s="4" t="n">
        <x:v>0</x:v>
      </x:c>
      <x:c r="G684" s="4" t="n">
        <x:v>8064</x:v>
      </x:c>
      <x:c r="H684" s="6" t="n">
        <x:v>57.8</x:v>
      </x:c>
      <x:c r="I684" s="16" t="n">
        <x:v>1</x:v>
      </x:c>
      <x:c r="J684" t="n">
        <x:v>337</x:v>
      </x:c>
      <x:c r="K684" s="4" t="n">
        <x:v>212</x:v>
      </x:c>
      <x:c r="L684" s="4" t="n">
        <x:v>150</x:v>
      </x:c>
      <x:c r="M684" s="4" t="n">
        <x:v>80</x:v>
      </x:c>
      <x:c r="N684" s="5" t="n">
        <x:v>0.5333</x:v>
      </x:c>
    </x:row>
    <x:row r="685" ht="24" customHeight="1">
      <x:c r="A685" s="1" t="str">
        <x:v>RESULT</x:v>
      </x:c>
      <x:c r="B685" s="1" t="str">
        <x:v>Round1</x:v>
      </x:c>
      <x:c r="C685" s="1" t="str">
        <x:v>Lang_9</x:v>
      </x:c>
      <x:c r="D685" s="1" t="str">
        <x:v>NOT_AVAILABLE</x:v>
      </x:c>
      <x:c r="E685" s="5"/>
      <x:c r="F685" s="4" t="n">
        <x:v>0</x:v>
      </x:c>
      <x:c r="G685" s="4" t="n">
        <x:v>6849</x:v>
      </x:c>
      <x:c r="H685" s="6" t="n">
        <x:v>38.82</x:v>
      </x:c>
      <x:c r="I685" s="16" t="n">
        <x:v>1</x:v>
      </x:c>
      <x:c r="J685"/>
      <x:c r="K685" s="4"/>
      <x:c r="L685" s="4"/>
      <x:c r="M685" s="4"/>
      <x:c r="N685" s="5"/>
    </x:row>
    <x:row r="686" ht="24" customHeight="1">
      <x:c r="A686" s="1" t="str">
        <x:v>RESULT</x:v>
      </x:c>
      <x:c r="B686" s="1" t="str">
        <x:v>Round1</x:v>
      </x:c>
      <x:c r="C686" s="1" t="str">
        <x:v>Math_1</x:v>
      </x:c>
      <x:c r="D686" s="1" t="str">
        <x:v>INCONCLUSIVE</x:v>
      </x:c>
      <x:c r="E686" s="5" t="n">
        <x:v>0.8493999999999999</x:v>
      </x:c>
      <x:c r="F686" s="4" t="n">
        <x:v>0</x:v>
      </x:c>
      <x:c r="G686" s="4" t="n">
        <x:v>18053</x:v>
      </x:c>
      <x:c r="H686" s="6" t="n">
        <x:v>218.08</x:v>
      </x:c>
      <x:c r="I686" s="16" t="n">
        <x:v>1</x:v>
      </x:c>
      <x:c r="J686" t="n">
        <x:v>425</x:v>
      </x:c>
      <x:c r="K686" s="4" t="n">
        <x:v>361</x:v>
      </x:c>
      <x:c r="L686" s="4" t="n">
        <x:v>192</x:v>
      </x:c>
      <x:c r="M686" s="4" t="n">
        <x:v>151</x:v>
      </x:c>
      <x:c r="N686" s="5" t="n">
        <x:v>0.7865000000000001</x:v>
      </x:c>
    </x:row>
    <x:row r="687" ht="24" customHeight="1">
      <x:c r="A687" s="1" t="str">
        <x:v>RESULT</x:v>
      </x:c>
      <x:c r="B687" s="1" t="str">
        <x:v>Round1</x:v>
      </x:c>
      <x:c r="C687" s="1" t="str">
        <x:v>Math_10</x:v>
      </x:c>
      <x:c r="D687" s="1" t="str">
        <x:v>INCONCLUSIVE</x:v>
      </x:c>
      <x:c r="E687" s="5" t="n">
        <x:v>0.8170000000000001</x:v>
      </x:c>
      <x:c r="F687" s="4" t="n">
        <x:v>0</x:v>
      </x:c>
      <x:c r="G687" s="4" t="n">
        <x:v>15534</x:v>
      </x:c>
      <x:c r="H687" s="6" t="n">
        <x:v>167.34</x:v>
      </x:c>
      <x:c r="I687" s="16" t="n">
        <x:v>1</x:v>
      </x:c>
      <x:c r="J687" t="n">
        <x:v>552</x:v>
      </x:c>
      <x:c r="K687" s="4" t="n">
        <x:v>451</x:v>
      </x:c>
      <x:c r="L687" s="4" t="n">
        <x:v>286</x:v>
      </x:c>
      <x:c r="M687" s="4" t="n">
        <x:v>189</x:v>
      </x:c>
      <x:c r="N687" s="5" t="n">
        <x:v>0.6607999999999999</x:v>
      </x:c>
    </x:row>
    <x:row r="688" ht="24" customHeight="1">
      <x:c r="A688" s="1" t="str">
        <x:v>RESULT</x:v>
      </x:c>
      <x:c r="B688" s="1" t="str">
        <x:v>Round1</x:v>
      </x:c>
      <x:c r="C688" s="1" t="str">
        <x:v>Math_100</x:v>
      </x:c>
      <x:c r="D688" s="1" t="str">
        <x:v>NOT_AVAILABLE</x:v>
      </x:c>
      <x:c r="E688" s="5"/>
      <x:c r="F688" s="4" t="n">
        <x:v>0</x:v>
      </x:c>
      <x:c r="G688" s="4" t="n">
        <x:v>6057</x:v>
      </x:c>
      <x:c r="H688" s="6" t="n">
        <x:v>79.3</x:v>
      </x:c>
      <x:c r="I688" s="16" t="n">
        <x:v>1</x:v>
      </x:c>
      <x:c r="J688"/>
      <x:c r="K688" s="4"/>
      <x:c r="L688" s="4"/>
      <x:c r="M688" s="4"/>
      <x:c r="N688" s="5"/>
    </x:row>
    <x:row r="689" ht="24" customHeight="1">
      <x:c r="A689" s="1" t="str">
        <x:v>RESULT</x:v>
      </x:c>
      <x:c r="B689" s="1" t="str">
        <x:v>Round1</x:v>
      </x:c>
      <x:c r="C689" s="1" t="str">
        <x:v>Math_101</x:v>
      </x:c>
      <x:c r="D689" s="1" t="str">
        <x:v>NOT_REVEALING</x:v>
      </x:c>
      <x:c r="E689" s="5" t="n">
        <x:v>0.951</x:v>
      </x:c>
      <x:c r="F689" s="4" t="n">
        <x:v>0</x:v>
      </x:c>
      <x:c r="G689" s="4" t="n">
        <x:v>7866</x:v>
      </x:c>
      <x:c r="H689" s="6" t="n">
        <x:v>81.36</x:v>
      </x:c>
      <x:c r="I689" s="16" t="n">
        <x:v>1</x:v>
      </x:c>
      <x:c r="J689" t="n">
        <x:v>143</x:v>
      </x:c>
      <x:c r="K689" s="4" t="n">
        <x:v>136</x:v>
      </x:c>
      <x:c r="L689" s="4" t="n">
        <x:v>52</x:v>
      </x:c>
      <x:c r="M689" s="4" t="n">
        <x:v>49</x:v>
      </x:c>
      <x:c r="N689" s="5" t="n">
        <x:v>0.9423</x:v>
      </x:c>
    </x:row>
    <x:row r="690" ht="24" customHeight="1">
      <x:c r="A690" s="1" t="str">
        <x:v>RESULT</x:v>
      </x:c>
      <x:c r="B690" s="1" t="str">
        <x:v>Round1</x:v>
      </x:c>
      <x:c r="C690" s="1" t="str">
        <x:v>Math_102</x:v>
      </x:c>
      <x:c r="D690" s="1" t="str">
        <x:v>NOT_AVAILABLE</x:v>
      </x:c>
      <x:c r="E690" s="5"/>
      <x:c r="F690" s="4" t="n">
        <x:v>0</x:v>
      </x:c>
      <x:c r="G690" s="4" t="n">
        <x:v>6252</x:v>
      </x:c>
      <x:c r="H690" s="6" t="n">
        <x:v>53.28</x:v>
      </x:c>
      <x:c r="I690" s="16" t="n">
        <x:v>1</x:v>
      </x:c>
      <x:c r="J690"/>
      <x:c r="K690" s="4"/>
      <x:c r="L690" s="4"/>
      <x:c r="M690" s="4"/>
      <x:c r="N690" s="5"/>
    </x:row>
    <x:row r="691" ht="24" customHeight="1">
      <x:c r="A691" s="1" t="str">
        <x:v>RESULT</x:v>
      </x:c>
      <x:c r="B691" s="1" t="str">
        <x:v>Round1</x:v>
      </x:c>
      <x:c r="C691" s="1" t="str">
        <x:v>Math_103</x:v>
      </x:c>
      <x:c r="D691" s="1" t="str">
        <x:v>INCONCLUSIVE</x:v>
      </x:c>
      <x:c r="E691" s="5" t="n">
        <x:v>1</x:v>
      </x:c>
      <x:c r="F691" s="4" t="n">
        <x:v>0</x:v>
      </x:c>
      <x:c r="G691" s="4" t="n">
        <x:v>5023</x:v>
      </x:c>
      <x:c r="H691" s="6" t="n">
        <x:v>75.07</x:v>
      </x:c>
      <x:c r="I691" s="16" t="n">
        <x:v>1</x:v>
      </x:c>
      <x:c r="J691" t="n">
        <x:v>37</x:v>
      </x:c>
      <x:c r="K691" s="4" t="n">
        <x:v>37</x:v>
      </x:c>
      <x:c r="L691" s="4" t="n">
        <x:v>14</x:v>
      </x:c>
      <x:c r="M691" s="4" t="n">
        <x:v>14</x:v>
      </x:c>
      <x:c r="N691" s="5" t="n">
        <x:v>1</x:v>
      </x:c>
    </x:row>
    <x:row r="692" ht="24" customHeight="1">
      <x:c r="A692" s="1" t="str">
        <x:v>RESULT</x:v>
      </x:c>
      <x:c r="B692" s="1" t="str">
        <x:v>Round1</x:v>
      </x:c>
      <x:c r="C692" s="1" t="str">
        <x:v>Math_104</x:v>
      </x:c>
      <x:c r="D692" s="1" t="str">
        <x:v>INCONCLUSIVE</x:v>
      </x:c>
      <x:c r="E692" s="5" t="n">
        <x:v>0.8936</x:v>
      </x:c>
      <x:c r="F692" s="4" t="n">
        <x:v>0</x:v>
      </x:c>
      <x:c r="G692" s="4" t="n">
        <x:v>5625</x:v>
      </x:c>
      <x:c r="H692" s="6" t="n">
        <x:v>75.51</x:v>
      </x:c>
      <x:c r="I692" s="16" t="n">
        <x:v>1</x:v>
      </x:c>
      <x:c r="J692" t="n">
        <x:v>47</x:v>
      </x:c>
      <x:c r="K692" s="4" t="n">
        <x:v>42</x:v>
      </x:c>
      <x:c r="L692" s="4" t="n">
        <x:v>40</x:v>
      </x:c>
      <x:c r="M692" s="4" t="n">
        <x:v>36</x:v>
      </x:c>
      <x:c r="N692" s="5" t="n">
        <x:v>0.9</x:v>
      </x:c>
    </x:row>
    <x:row r="693" ht="24" customHeight="1">
      <x:c r="A693" s="1" t="str">
        <x:v>RESULT</x:v>
      </x:c>
      <x:c r="B693" s="1" t="str">
        <x:v>Round1</x:v>
      </x:c>
      <x:c r="C693" s="1" t="str">
        <x:v>Math_105</x:v>
      </x:c>
      <x:c r="D693" s="1" t="str">
        <x:v>INCONCLUSIVE</x:v>
      </x:c>
      <x:c r="E693" s="5" t="n">
        <x:v>1</x:v>
      </x:c>
      <x:c r="F693" s="4" t="n">
        <x:v>0</x:v>
      </x:c>
      <x:c r="G693" s="4" t="n">
        <x:v>9520</x:v>
      </x:c>
      <x:c r="H693" s="6" t="n">
        <x:v>131.9</x:v>
      </x:c>
      <x:c r="I693" s="16" t="n">
        <x:v>1</x:v>
      </x:c>
      <x:c r="J693" t="n">
        <x:v>71</x:v>
      </x:c>
      <x:c r="K693" s="4" t="n">
        <x:v>71</x:v>
      </x:c>
      <x:c r="L693" s="4" t="n">
        <x:v>18</x:v>
      </x:c>
      <x:c r="M693" s="4" t="n">
        <x:v>18</x:v>
      </x:c>
      <x:c r="N693" s="5" t="n">
        <x:v>1</x:v>
      </x:c>
    </x:row>
    <x:row r="694" ht="24" customHeight="1">
      <x:c r="A694" s="1" t="str">
        <x:v>RESULT</x:v>
      </x:c>
      <x:c r="B694" s="1" t="str">
        <x:v>Round1</x:v>
      </x:c>
      <x:c r="C694" s="1" t="str">
        <x:v>Math_106</x:v>
      </x:c>
      <x:c r="D694" s="1" t="str">
        <x:v>INCONCLUSIVE</x:v>
      </x:c>
      <x:c r="E694" s="5" t="n">
        <x:v>0.8946999999999999</x:v>
      </x:c>
      <x:c r="F694" s="4" t="n">
        <x:v>0</x:v>
      </x:c>
      <x:c r="G694" s="4" t="n">
        <x:v>4637</x:v>
      </x:c>
      <x:c r="H694" s="6" t="n">
        <x:v>48.16</x:v>
      </x:c>
      <x:c r="I694" s="16" t="n">
        <x:v>1</x:v>
      </x:c>
      <x:c r="J694" t="n">
        <x:v>57</x:v>
      </x:c>
      <x:c r="K694" s="4" t="n">
        <x:v>51</x:v>
      </x:c>
      <x:c r="L694" s="4" t="n">
        <x:v>15</x:v>
      </x:c>
      <x:c r="M694" s="4" t="n">
        <x:v>12</x:v>
      </x:c>
      <x:c r="N694" s="5" t="n">
        <x:v>0.8</x:v>
      </x:c>
    </x:row>
    <x:row r="695" ht="24" customHeight="1">
      <x:c r="A695" s="1" t="str">
        <x:v>RESULT</x:v>
      </x:c>
      <x:c r="B695" s="1" t="str">
        <x:v>Round1</x:v>
      </x:c>
      <x:c r="C695" s="1" t="str">
        <x:v>Math_11</x:v>
      </x:c>
      <x:c r="D695" s="1" t="str">
        <x:v>NOT_AVAILABLE</x:v>
      </x:c>
      <x:c r="E695" s="5"/>
      <x:c r="F695" s="4" t="n">
        <x:v>0</x:v>
      </x:c>
      <x:c r="G695" s="4" t="n">
        <x:v>5985</x:v>
      </x:c>
      <x:c r="H695" s="6" t="n">
        <x:v>97.52</x:v>
      </x:c>
      <x:c r="I695" s="16" t="n">
        <x:v>1</x:v>
      </x:c>
      <x:c r="J695"/>
      <x:c r="K695" s="4"/>
      <x:c r="L695" s="4"/>
      <x:c r="M695" s="4"/>
      <x:c r="N695" s="5"/>
    </x:row>
    <x:row r="696" ht="24" customHeight="1">
      <x:c r="A696" s="1" t="str">
        <x:v>RESULT</x:v>
      </x:c>
      <x:c r="B696" s="1" t="str">
        <x:v>Round1</x:v>
      </x:c>
      <x:c r="C696" s="1" t="str">
        <x:v>Math_12</x:v>
      </x:c>
      <x:c r="D696" s="1" t="str">
        <x:v>INCONCLUSIVE</x:v>
      </x:c>
      <x:c r="E696" s="5" t="n">
        <x:v>0.9582999999999999</x:v>
      </x:c>
      <x:c r="F696" s="4" t="n">
        <x:v>0</x:v>
      </x:c>
      <x:c r="G696" s="4" t="n">
        <x:v>4462</x:v>
      </x:c>
      <x:c r="H696" s="6" t="n">
        <x:v>57.92</x:v>
      </x:c>
      <x:c r="I696" s="16" t="n">
        <x:v>1</x:v>
      </x:c>
      <x:c r="J696" t="n">
        <x:v>48</x:v>
      </x:c>
      <x:c r="K696" s="4" t="n">
        <x:v>46</x:v>
      </x:c>
      <x:c r="L696" s="4" t="n">
        <x:v>14</x:v>
      </x:c>
      <x:c r="M696" s="4" t="n">
        <x:v>12</x:v>
      </x:c>
      <x:c r="N696" s="5" t="n">
        <x:v>0.8571</x:v>
      </x:c>
    </x:row>
    <x:row r="697" ht="24" customHeight="1">
      <x:c r="A697" s="1" t="str">
        <x:v>RESULT</x:v>
      </x:c>
      <x:c r="B697" s="1" t="str">
        <x:v>Round1</x:v>
      </x:c>
      <x:c r="C697" s="1" t="str">
        <x:v>Math_13</x:v>
      </x:c>
      <x:c r="D697" s="1" t="str">
        <x:v>NOT_AVAILABLE</x:v>
      </x:c>
      <x:c r="E697" s="5"/>
      <x:c r="F697" s="4" t="n">
        <x:v>0</x:v>
      </x:c>
      <x:c r="G697" s="4" t="n">
        <x:v>9216</x:v>
      </x:c>
      <x:c r="H697" s="6" t="n">
        <x:v>82.13</x:v>
      </x:c>
      <x:c r="I697" s="16" t="n">
        <x:v>1</x:v>
      </x:c>
      <x:c r="J697"/>
      <x:c r="K697" s="4"/>
      <x:c r="L697" s="4"/>
      <x:c r="M697" s="4"/>
      <x:c r="N697" s="5"/>
    </x:row>
    <x:row r="698" ht="24" customHeight="1">
      <x:c r="A698" s="1" t="str">
        <x:v>RESULT</x:v>
      </x:c>
      <x:c r="B698" s="1" t="str">
        <x:v>Round1</x:v>
      </x:c>
      <x:c r="C698" s="1" t="str">
        <x:v>Math_14</x:v>
      </x:c>
      <x:c r="D698" s="1" t="str">
        <x:v>NOT_AVAILABLE</x:v>
      </x:c>
      <x:c r="E698" s="5"/>
      <x:c r="F698" s="4" t="n">
        <x:v>0</x:v>
      </x:c>
      <x:c r="G698" s="4" t="n">
        <x:v>10334</x:v>
      </x:c>
      <x:c r="H698" s="6" t="n">
        <x:v>157.93</x:v>
      </x:c>
      <x:c r="I698" s="16" t="n">
        <x:v>1</x:v>
      </x:c>
      <x:c r="J698"/>
      <x:c r="K698" s="4"/>
      <x:c r="L698" s="4"/>
      <x:c r="M698" s="4"/>
      <x:c r="N698" s="5"/>
    </x:row>
    <x:row r="699" ht="24" customHeight="1">
      <x:c r="A699" s="1" t="str">
        <x:v>RESULT</x:v>
      </x:c>
      <x:c r="B699" s="1" t="str">
        <x:v>Round1</x:v>
      </x:c>
      <x:c r="C699" s="1" t="str">
        <x:v>Math_15</x:v>
      </x:c>
      <x:c r="D699" s="1" t="str">
        <x:v>INCONCLUSIVE</x:v>
      </x:c>
      <x:c r="E699" s="5" t="n">
        <x:v>0.5317000000000001</x:v>
      </x:c>
      <x:c r="F699" s="4" t="n">
        <x:v>0</x:v>
      </x:c>
      <x:c r="G699" s="4" t="n">
        <x:v>28739</x:v>
      </x:c>
      <x:c r="H699" s="6" t="n">
        <x:v>121.18</x:v>
      </x:c>
      <x:c r="I699" s="16" t="n">
        <x:v>1</x:v>
      </x:c>
      <x:c r="J699" t="n">
        <x:v>1497</x:v>
      </x:c>
      <x:c r="K699" s="4" t="n">
        <x:v>796</x:v>
      </x:c>
      <x:c r="L699" s="4" t="n">
        <x:v>798</x:v>
      </x:c>
      <x:c r="M699" s="4" t="n">
        <x:v>267</x:v>
      </x:c>
      <x:c r="N699" s="5" t="n">
        <x:v>0.3346</x:v>
      </x:c>
    </x:row>
    <x:row r="700" ht="24" customHeight="1">
      <x:c r="A700" s="1" t="str">
        <x:v>RESULT</x:v>
      </x:c>
      <x:c r="B700" s="1" t="str">
        <x:v>Round1</x:v>
      </x:c>
      <x:c r="C700" s="1" t="str">
        <x:v>Math_16</x:v>
      </x:c>
      <x:c r="D700" s="1" t="str">
        <x:v>INCONCLUSIVE</x:v>
      </x:c>
      <x:c r="E700" s="5" t="n">
        <x:v>0.564</x:v>
      </x:c>
      <x:c r="F700" s="4" t="n">
        <x:v>0</x:v>
      </x:c>
      <x:c r="G700" s="4" t="n">
        <x:v>29742</x:v>
      </x:c>
      <x:c r="H700" s="6" t="n">
        <x:v>148.15</x:v>
      </x:c>
      <x:c r="I700" s="16" t="n">
        <x:v>1</x:v>
      </x:c>
      <x:c r="J700" t="n">
        <x:v>1484</x:v>
      </x:c>
      <x:c r="K700" s="4" t="n">
        <x:v>837</x:v>
      </x:c>
      <x:c r="L700" s="4" t="n">
        <x:v>790</x:v>
      </x:c>
      <x:c r="M700" s="4" t="n">
        <x:v>288</x:v>
      </x:c>
      <x:c r="N700" s="5" t="n">
        <x:v>0.36460000000000004</x:v>
      </x:c>
    </x:row>
    <x:row r="701" ht="24" customHeight="1">
      <x:c r="A701" s="1" t="str">
        <x:v>RESULT</x:v>
      </x:c>
      <x:c r="B701" s="1" t="str">
        <x:v>Round1</x:v>
      </x:c>
      <x:c r="C701" s="1" t="str">
        <x:v>Math_17</x:v>
      </x:c>
      <x:c r="D701" s="1" t="str">
        <x:v>NOT_AVAILABLE</x:v>
      </x:c>
      <x:c r="E701" s="5"/>
      <x:c r="F701" s="4" t="n">
        <x:v>0</x:v>
      </x:c>
      <x:c r="G701" s="4" t="n">
        <x:v>16498</x:v>
      </x:c>
      <x:c r="H701" s="6" t="n">
        <x:v>64.24</x:v>
      </x:c>
      <x:c r="I701" s="16" t="n">
        <x:v>1</x:v>
      </x:c>
      <x:c r="J701"/>
      <x:c r="K701" s="4"/>
      <x:c r="L701" s="4"/>
      <x:c r="M701" s="4"/>
      <x:c r="N701" s="5"/>
    </x:row>
    <x:row r="702" ht="24" customHeight="1">
      <x:c r="A702" s="1" t="str">
        <x:v>RESULT</x:v>
      </x:c>
      <x:c r="B702" s="1" t="str">
        <x:v>Round1</x:v>
      </x:c>
      <x:c r="C702" s="1" t="str">
        <x:v>Math_18</x:v>
      </x:c>
      <x:c r="D702" s="1" t="str">
        <x:v>NOT_AVAILABLE</x:v>
      </x:c>
      <x:c r="E702" s="5"/>
      <x:c r="F702" s="4" t="n">
        <x:v>0</x:v>
      </x:c>
      <x:c r="G702" s="4" t="n">
        <x:v>12388</x:v>
      </x:c>
      <x:c r="H702" s="6" t="n">
        <x:v>86.38</x:v>
      </x:c>
      <x:c r="I702" s="16" t="n">
        <x:v>1</x:v>
      </x:c>
      <x:c r="J702"/>
      <x:c r="K702" s="4"/>
      <x:c r="L702" s="4"/>
      <x:c r="M702" s="4"/>
      <x:c r="N702" s="5"/>
    </x:row>
    <x:row r="703" ht="24" customHeight="1">
      <x:c r="A703" s="1" t="str">
        <x:v>RESULT</x:v>
      </x:c>
      <x:c r="B703" s="1" t="str">
        <x:v>Round1</x:v>
      </x:c>
      <x:c r="C703" s="1" t="str">
        <x:v>Math_19</x:v>
      </x:c>
      <x:c r="D703" s="1" t="str">
        <x:v>NOT_AVAILABLE</x:v>
      </x:c>
      <x:c r="E703" s="5"/>
      <x:c r="F703" s="4" t="n">
        <x:v>0</x:v>
      </x:c>
      <x:c r="G703" s="4" t="n">
        <x:v>20760</x:v>
      </x:c>
      <x:c r="H703" s="6" t="n">
        <x:v>145.03</x:v>
      </x:c>
      <x:c r="I703" s="16" t="n">
        <x:v>1</x:v>
      </x:c>
      <x:c r="J703"/>
      <x:c r="K703" s="4"/>
      <x:c r="L703" s="4"/>
      <x:c r="M703" s="4"/>
      <x:c r="N703" s="5"/>
    </x:row>
    <x:row r="704" ht="24" customHeight="1">
      <x:c r="A704" s="1" t="str">
        <x:v>RESULT</x:v>
      </x:c>
      <x:c r="B704" s="1" t="str">
        <x:v>Round1</x:v>
      </x:c>
      <x:c r="C704" s="1" t="str">
        <x:v>Math_2</x:v>
      </x:c>
      <x:c r="D704" s="1" t="str">
        <x:v>INCONCLUSIVE</x:v>
      </x:c>
      <x:c r="E704" s="5" t="n">
        <x:v>0.9865</x:v>
      </x:c>
      <x:c r="F704" s="4" t="n">
        <x:v>0</x:v>
      </x:c>
      <x:c r="G704" s="4" t="n">
        <x:v>6591</x:v>
      </x:c>
      <x:c r="H704" s="6" t="n">
        <x:v>74.63</x:v>
      </x:c>
      <x:c r="I704" s="16" t="n">
        <x:v>1</x:v>
      </x:c>
      <x:c r="J704" t="n">
        <x:v>74</x:v>
      </x:c>
      <x:c r="K704" s="4" t="n">
        <x:v>73</x:v>
      </x:c>
      <x:c r="L704" s="4" t="n">
        <x:v>26</x:v>
      </x:c>
      <x:c r="M704" s="4" t="n">
        <x:v>23</x:v>
      </x:c>
      <x:c r="N704" s="5" t="n">
        <x:v>0.8845999999999999</x:v>
      </x:c>
    </x:row>
    <x:row r="705" ht="24" customHeight="1">
      <x:c r="A705" s="1" t="str">
        <x:v>RESULT</x:v>
      </x:c>
      <x:c r="B705" s="1" t="str">
        <x:v>Round1</x:v>
      </x:c>
      <x:c r="C705" s="1" t="str">
        <x:v>Math_20</x:v>
      </x:c>
      <x:c r="D705" s="1" t="str">
        <x:v>NOT_AVAILABLE</x:v>
      </x:c>
      <x:c r="E705" s="5"/>
      <x:c r="F705" s="4" t="n">
        <x:v>0</x:v>
      </x:c>
      <x:c r="G705" s="4" t="n">
        <x:v>12380</x:v>
      </x:c>
      <x:c r="H705" s="6" t="n">
        <x:v>87.44</x:v>
      </x:c>
      <x:c r="I705" s="16" t="n">
        <x:v>1</x:v>
      </x:c>
      <x:c r="J705"/>
      <x:c r="K705" s="4"/>
      <x:c r="L705" s="4"/>
      <x:c r="M705" s="4"/>
      <x:c r="N705" s="5"/>
    </x:row>
    <x:row r="706" ht="24" customHeight="1">
      <x:c r="A706" s="1" t="str">
        <x:v>RESULT</x:v>
      </x:c>
      <x:c r="B706" s="1" t="str">
        <x:v>Round1</x:v>
      </x:c>
      <x:c r="C706" s="1" t="str">
        <x:v>Math_21</x:v>
      </x:c>
      <x:c r="D706" s="1" t="str">
        <x:v>INCONCLUSIVE</x:v>
      </x:c>
      <x:c r="E706" s="5" t="n">
        <x:v>1</x:v>
      </x:c>
      <x:c r="F706" s="4" t="n">
        <x:v>0</x:v>
      </x:c>
      <x:c r="G706" s="4" t="n">
        <x:v>4439</x:v>
      </x:c>
      <x:c r="H706" s="6" t="n">
        <x:v>53.66</x:v>
      </x:c>
      <x:c r="I706" s="16" t="n">
        <x:v>1</x:v>
      </x:c>
      <x:c r="J706" t="n">
        <x:v>52</x:v>
      </x:c>
      <x:c r="K706" s="4" t="n">
        <x:v>52</x:v>
      </x:c>
      <x:c r="L706" s="4" t="n">
        <x:v>28</x:v>
      </x:c>
      <x:c r="M706" s="4" t="n">
        <x:v>28</x:v>
      </x:c>
      <x:c r="N706" s="5" t="n">
        <x:v>1</x:v>
      </x:c>
    </x:row>
    <x:row r="707" ht="24" customHeight="1">
      <x:c r="A707" s="1" t="str">
        <x:v>RESULT</x:v>
      </x:c>
      <x:c r="B707" s="1" t="str">
        <x:v>Round1</x:v>
      </x:c>
      <x:c r="C707" s="1" t="str">
        <x:v>Math_22</x:v>
      </x:c>
      <x:c r="D707" s="1" t="str">
        <x:v>NOT_AVAILABLE</x:v>
      </x:c>
      <x:c r="E707" s="5"/>
      <x:c r="F707" s="4" t="n">
        <x:v>0</x:v>
      </x:c>
      <x:c r="G707" s="4" t="n">
        <x:v>9367</x:v>
      </x:c>
      <x:c r="H707" s="6" t="n">
        <x:v>102.45</x:v>
      </x:c>
      <x:c r="I707" s="16" t="n">
        <x:v>1</x:v>
      </x:c>
      <x:c r="J707"/>
      <x:c r="K707" s="4"/>
      <x:c r="L707" s="4"/>
      <x:c r="M707" s="4"/>
      <x:c r="N707" s="5"/>
    </x:row>
    <x:row r="708" ht="24" customHeight="1">
      <x:c r="A708" s="1" t="str">
        <x:v>RESULT</x:v>
      </x:c>
      <x:c r="B708" s="1" t="str">
        <x:v>Round1</x:v>
      </x:c>
      <x:c r="C708" s="1" t="str">
        <x:v>Math_23</x:v>
      </x:c>
      <x:c r="D708" s="1" t="str">
        <x:v>NOT_AVAILABLE</x:v>
      </x:c>
      <x:c r="E708" s="5"/>
      <x:c r="F708" s="4" t="n">
        <x:v>0</x:v>
      </x:c>
      <x:c r="G708" s="4" t="n">
        <x:v>8317</x:v>
      </x:c>
      <x:c r="H708" s="6" t="n">
        <x:v>147.24</x:v>
      </x:c>
      <x:c r="I708" s="16" t="n">
        <x:v>1</x:v>
      </x:c>
      <x:c r="J708"/>
      <x:c r="K708" s="4"/>
      <x:c r="L708" s="4"/>
      <x:c r="M708" s="4"/>
      <x:c r="N708" s="5"/>
    </x:row>
    <x:row r="709" ht="24" customHeight="1">
      <x:c r="A709" s="1" t="str">
        <x:v>RESULT</x:v>
      </x:c>
      <x:c r="B709" s="1" t="str">
        <x:v>Round1</x:v>
      </x:c>
      <x:c r="C709" s="1" t="str">
        <x:v>Math_24</x:v>
      </x:c>
      <x:c r="D709" s="1" t="str">
        <x:v>NOT_AVAILABLE</x:v>
      </x:c>
      <x:c r="E709" s="5"/>
      <x:c r="F709" s="4" t="n">
        <x:v>0</x:v>
      </x:c>
      <x:c r="G709" s="4" t="n">
        <x:v>5957</x:v>
      </x:c>
      <x:c r="H709" s="6" t="n">
        <x:v>66.58</x:v>
      </x:c>
      <x:c r="I709" s="16" t="n">
        <x:v>1</x:v>
      </x:c>
      <x:c r="J709"/>
      <x:c r="K709" s="4"/>
      <x:c r="L709" s="4"/>
      <x:c r="M709" s="4"/>
      <x:c r="N709" s="5"/>
    </x:row>
    <x:row r="710" ht="24" customHeight="1">
      <x:c r="A710" s="1" t="str">
        <x:v>RESULT</x:v>
      </x:c>
      <x:c r="B710" s="1" t="str">
        <x:v>Round1</x:v>
      </x:c>
      <x:c r="C710" s="1" t="str">
        <x:v>Math_25</x:v>
      </x:c>
      <x:c r="D710" s="1" t="str">
        <x:v>INCONCLUSIVE</x:v>
      </x:c>
      <x:c r="E710" s="5" t="n">
        <x:v>0.9468000000000001</x:v>
      </x:c>
      <x:c r="F710" s="4" t="n">
        <x:v>0</x:v>
      </x:c>
      <x:c r="G710" s="4" t="n">
        <x:v>7346</x:v>
      </x:c>
      <x:c r="H710" s="6" t="n">
        <x:v>56.37</x:v>
      </x:c>
      <x:c r="I710" s="16" t="n">
        <x:v>1</x:v>
      </x:c>
      <x:c r="J710" t="n">
        <x:v>94</x:v>
      </x:c>
      <x:c r="K710" s="4" t="n">
        <x:v>89</x:v>
      </x:c>
      <x:c r="L710" s="4" t="n">
        <x:v>28</x:v>
      </x:c>
      <x:c r="M710" s="4" t="n">
        <x:v>26</x:v>
      </x:c>
      <x:c r="N710" s="5" t="n">
        <x:v>0.9286</x:v>
      </x:c>
    </x:row>
    <x:row r="711" ht="24" customHeight="1">
      <x:c r="A711" s="1" t="str">
        <x:v>RESULT</x:v>
      </x:c>
      <x:c r="B711" s="1" t="str">
        <x:v>Round1</x:v>
      </x:c>
      <x:c r="C711" s="1" t="str">
        <x:v>Math_26</x:v>
      </x:c>
      <x:c r="D711" s="1" t="str">
        <x:v>NOT_AVAILABLE</x:v>
      </x:c>
      <x:c r="E711" s="5"/>
      <x:c r="F711" s="4" t="n">
        <x:v>0</x:v>
      </x:c>
      <x:c r="G711" s="4" t="n">
        <x:v>9303</x:v>
      </x:c>
      <x:c r="H711" s="6" t="n">
        <x:v>76.43</x:v>
      </x:c>
      <x:c r="I711" s="16" t="n">
        <x:v>1</x:v>
      </x:c>
      <x:c r="J711"/>
      <x:c r="K711" s="4"/>
      <x:c r="L711" s="4"/>
      <x:c r="M711" s="4"/>
      <x:c r="N711" s="5"/>
    </x:row>
    <x:row r="712" ht="24" customHeight="1">
      <x:c r="A712" s="1" t="str">
        <x:v>RESULT</x:v>
      </x:c>
      <x:c r="B712" s="1" t="str">
        <x:v>Round1</x:v>
      </x:c>
      <x:c r="C712" s="1" t="str">
        <x:v>Math_27</x:v>
      </x:c>
      <x:c r="D712" s="1" t="str">
        <x:v>INCONCLUSIVE</x:v>
      </x:c>
      <x:c r="E712" s="5" t="n">
        <x:v>0.153</x:v>
      </x:c>
      <x:c r="F712" s="4" t="n">
        <x:v>0</x:v>
      </x:c>
      <x:c r="G712" s="4" t="n">
        <x:v>10919</x:v>
      </x:c>
      <x:c r="H712" s="6" t="n">
        <x:v>135.28</x:v>
      </x:c>
      <x:c r="I712" s="16" t="n">
        <x:v>1</x:v>
      </x:c>
      <x:c r="J712" t="n">
        <x:v>183</x:v>
      </x:c>
      <x:c r="K712" s="4" t="n">
        <x:v>28</x:v>
      </x:c>
      <x:c r="L712" s="4" t="n">
        <x:v>94</x:v>
      </x:c>
      <x:c r="M712" s="4" t="n">
        <x:v>8</x:v>
      </x:c>
      <x:c r="N712" s="5" t="n">
        <x:v>0.0851</x:v>
      </x:c>
    </x:row>
    <x:row r="713" ht="24" customHeight="1">
      <x:c r="A713" s="1" t="str">
        <x:v>RESULT</x:v>
      </x:c>
      <x:c r="B713" s="1" t="str">
        <x:v>Round1</x:v>
      </x:c>
      <x:c r="C713" s="1" t="str">
        <x:v>Math_28</x:v>
      </x:c>
      <x:c r="D713" s="1" t="str">
        <x:v>NOT_AVAILABLE</x:v>
      </x:c>
      <x:c r="E713" s="5"/>
      <x:c r="F713" s="4" t="n">
        <x:v>0</x:v>
      </x:c>
      <x:c r="G713" s="4" t="n">
        <x:v>5395</x:v>
      </x:c>
      <x:c r="H713" s="6" t="n">
        <x:v>67.83</x:v>
      </x:c>
      <x:c r="I713" s="16" t="n">
        <x:v>1</x:v>
      </x:c>
      <x:c r="J713"/>
      <x:c r="K713" s="4"/>
      <x:c r="L713" s="4"/>
      <x:c r="M713" s="4"/>
      <x:c r="N713" s="5"/>
    </x:row>
    <x:row r="714" ht="24" customHeight="1">
      <x:c r="A714" s="1" t="str">
        <x:v>RESULT</x:v>
      </x:c>
      <x:c r="B714" s="1" t="str">
        <x:v>Round1</x:v>
      </x:c>
      <x:c r="C714" s="1" t="str">
        <x:v>Math_29</x:v>
      </x:c>
      <x:c r="D714" s="1" t="str">
        <x:v>INCONCLUSIVE</x:v>
      </x:c>
      <x:c r="E714" s="5" t="n">
        <x:v>0.8349</x:v>
      </x:c>
      <x:c r="F714" s="4" t="n">
        <x:v>0</x:v>
      </x:c>
      <x:c r="G714" s="4" t="n">
        <x:v>9946</x:v>
      </x:c>
      <x:c r="H714" s="6" t="n">
        <x:v>144.79</x:v>
      </x:c>
      <x:c r="I714" s="16" t="n">
        <x:v>1</x:v>
      </x:c>
      <x:c r="J714" t="n">
        <x:v>321</x:v>
      </x:c>
      <x:c r="K714" s="4" t="n">
        <x:v>268</x:v>
      </x:c>
      <x:c r="L714" s="4" t="n">
        <x:v>134</x:v>
      </x:c>
      <x:c r="M714" s="4" t="n">
        <x:v>101</x:v>
      </x:c>
      <x:c r="N714" s="5" t="n">
        <x:v>0.7537</x:v>
      </x:c>
    </x:row>
    <x:row r="715" ht="24" customHeight="1">
      <x:c r="A715" s="1" t="str">
        <x:v>RESULT</x:v>
      </x:c>
      <x:c r="B715" s="1" t="str">
        <x:v>Round1</x:v>
      </x:c>
      <x:c r="C715" s="1" t="str">
        <x:v>Math_3</x:v>
      </x:c>
      <x:c r="D715" s="1" t="str">
        <x:v>INCONCLUSIVE</x:v>
      </x:c>
      <x:c r="E715" s="5" t="n">
        <x:v>0.6729999999999999</x:v>
      </x:c>
      <x:c r="F715" s="4" t="n">
        <x:v>0</x:v>
      </x:c>
      <x:c r="G715" s="4" t="n">
        <x:v>13660</x:v>
      </x:c>
      <x:c r="H715" s="6" t="n">
        <x:v>178.08</x:v>
      </x:c>
      <x:c r="I715" s="16" t="n">
        <x:v>1</x:v>
      </x:c>
      <x:c r="J715" t="n">
        <x:v>419</x:v>
      </x:c>
      <x:c r="K715" s="4" t="n">
        <x:v>282</x:v>
      </x:c>
      <x:c r="L715" s="4" t="n">
        <x:v>234</x:v>
      </x:c>
      <x:c r="M715" s="4" t="n">
        <x:v>190</x:v>
      </x:c>
      <x:c r="N715" s="5" t="n">
        <x:v>0.812</x:v>
      </x:c>
    </x:row>
    <x:row r="716" ht="24" customHeight="1">
      <x:c r="A716" s="1" t="str">
        <x:v>RESULT</x:v>
      </x:c>
      <x:c r="B716" s="1" t="str">
        <x:v>Round1</x:v>
      </x:c>
      <x:c r="C716" s="1" t="str">
        <x:v>Math_30</x:v>
      </x:c>
      <x:c r="D716" s="1" t="str">
        <x:v>INCONCLUSIVE</x:v>
      </x:c>
      <x:c r="E716" s="5" t="n">
        <x:v>1</x:v>
      </x:c>
      <x:c r="F716" s="4" t="n">
        <x:v>0</x:v>
      </x:c>
      <x:c r="G716" s="4" t="n">
        <x:v>5623</x:v>
      </x:c>
      <x:c r="H716" s="6" t="n">
        <x:v>85.82</x:v>
      </x:c>
      <x:c r="I716" s="16" t="n">
        <x:v>1</x:v>
      </x:c>
      <x:c r="J716" t="n">
        <x:v>34</x:v>
      </x:c>
      <x:c r="K716" s="4" t="n">
        <x:v>34</x:v>
      </x:c>
      <x:c r="L716" s="4" t="n">
        <x:v>10</x:v>
      </x:c>
      <x:c r="M716" s="4" t="n">
        <x:v>10</x:v>
      </x:c>
      <x:c r="N716" s="5" t="n">
        <x:v>1</x:v>
      </x:c>
    </x:row>
    <x:row r="717" ht="24" customHeight="1">
      <x:c r="A717" s="1" t="str">
        <x:v>RESULT</x:v>
      </x:c>
      <x:c r="B717" s="1" t="str">
        <x:v>Round1</x:v>
      </x:c>
      <x:c r="C717" s="1" t="str">
        <x:v>Math_31</x:v>
      </x:c>
      <x:c r="D717" s="1" t="str">
        <x:v>INCONCLUSIVE</x:v>
      </x:c>
      <x:c r="E717" s="5" t="n">
        <x:v>0.9322</x:v>
      </x:c>
      <x:c r="F717" s="4" t="n">
        <x:v>0</x:v>
      </x:c>
      <x:c r="G717" s="4" t="n">
        <x:v>4948</x:v>
      </x:c>
      <x:c r="H717" s="6" t="n">
        <x:v>63.3</x:v>
      </x:c>
      <x:c r="I717" s="16" t="n">
        <x:v>1</x:v>
      </x:c>
      <x:c r="J717" t="n">
        <x:v>59</x:v>
      </x:c>
      <x:c r="K717" s="4" t="n">
        <x:v>55</x:v>
      </x:c>
      <x:c r="L717" s="4" t="n">
        <x:v>30</x:v>
      </x:c>
      <x:c r="M717" s="4" t="n">
        <x:v>22</x:v>
      </x:c>
      <x:c r="N717" s="5" t="n">
        <x:v>0.7333</x:v>
      </x:c>
    </x:row>
    <x:row r="718" ht="24" customHeight="1">
      <x:c r="A718" s="1" t="str">
        <x:v>RESULT</x:v>
      </x:c>
      <x:c r="B718" s="1" t="str">
        <x:v>Round1</x:v>
      </x:c>
      <x:c r="C718" s="1" t="str">
        <x:v>Math_32</x:v>
      </x:c>
      <x:c r="D718" s="1" t="str">
        <x:v>NOT_AVAILABLE</x:v>
      </x:c>
      <x:c r="E718" s="5"/>
      <x:c r="F718" s="4" t="n">
        <x:v>0</x:v>
      </x:c>
      <x:c r="G718" s="4" t="n">
        <x:v>7899</x:v>
      </x:c>
      <x:c r="H718" s="6" t="n">
        <x:v>75.66</x:v>
      </x:c>
      <x:c r="I718" s="16" t="n">
        <x:v>1</x:v>
      </x:c>
      <x:c r="J718"/>
      <x:c r="K718" s="4"/>
      <x:c r="L718" s="4"/>
      <x:c r="M718" s="4"/>
      <x:c r="N718" s="5"/>
    </x:row>
    <x:row r="719" ht="24" customHeight="1">
      <x:c r="A719" s="1" t="str">
        <x:v>RESULT</x:v>
      </x:c>
      <x:c r="B719" s="1" t="str">
        <x:v>Round1</x:v>
      </x:c>
      <x:c r="C719" s="1" t="str">
        <x:v>Math_33</x:v>
      </x:c>
      <x:c r="D719" s="1" t="str">
        <x:v>NOT_AVAILABLE</x:v>
      </x:c>
      <x:c r="E719" s="5"/>
      <x:c r="F719" s="4" t="n">
        <x:v>0</x:v>
      </x:c>
      <x:c r="G719" s="4" t="n">
        <x:v>9780</x:v>
      </x:c>
      <x:c r="H719" s="6" t="n">
        <x:v>155.19</x:v>
      </x:c>
      <x:c r="I719" s="16" t="n">
        <x:v>1</x:v>
      </x:c>
      <x:c r="J719"/>
      <x:c r="K719" s="4"/>
      <x:c r="L719" s="4"/>
      <x:c r="M719" s="4"/>
      <x:c r="N719" s="5"/>
    </x:row>
    <x:row r="720" ht="24" customHeight="1">
      <x:c r="A720" s="1" t="str">
        <x:v>RESULT</x:v>
      </x:c>
      <x:c r="B720" s="1" t="str">
        <x:v>Round1</x:v>
      </x:c>
      <x:c r="C720" s="1" t="str">
        <x:v>Math_34</x:v>
      </x:c>
      <x:c r="D720" s="1" t="str">
        <x:v>NOT_AVAILABLE</x:v>
      </x:c>
      <x:c r="E720" s="5"/>
      <x:c r="F720" s="4" t="n">
        <x:v>0</x:v>
      </x:c>
      <x:c r="G720" s="4" t="n">
        <x:v>5729</x:v>
      </x:c>
      <x:c r="H720" s="6" t="n">
        <x:v>96.32</x:v>
      </x:c>
      <x:c r="I720" s="16" t="n">
        <x:v>1</x:v>
      </x:c>
      <x:c r="J720"/>
      <x:c r="K720" s="4"/>
      <x:c r="L720" s="4"/>
      <x:c r="M720" s="4"/>
      <x:c r="N720" s="5"/>
    </x:row>
    <x:row r="721" ht="24" customHeight="1">
      <x:c r="A721" s="1" t="str">
        <x:v>RESULT</x:v>
      </x:c>
      <x:c r="B721" s="1" t="str">
        <x:v>Round1</x:v>
      </x:c>
      <x:c r="C721" s="1" t="str">
        <x:v>Math_35</x:v>
      </x:c>
      <x:c r="D721" s="1" t="str">
        <x:v>NOT_AVAILABLE</x:v>
      </x:c>
      <x:c r="E721" s="5"/>
      <x:c r="F721" s="4" t="n">
        <x:v>0</x:v>
      </x:c>
      <x:c r="G721" s="4" t="n">
        <x:v>3668</x:v>
      </x:c>
      <x:c r="H721" s="6" t="n">
        <x:v>49.61</x:v>
      </x:c>
      <x:c r="I721" s="16" t="n">
        <x:v>1</x:v>
      </x:c>
      <x:c r="J721"/>
      <x:c r="K721" s="4"/>
      <x:c r="L721" s="4"/>
      <x:c r="M721" s="4"/>
      <x:c r="N721" s="5"/>
    </x:row>
    <x:row r="722" ht="24" customHeight="1">
      <x:c r="A722" s="1" t="str">
        <x:v>RESULT</x:v>
      </x:c>
      <x:c r="B722" s="1" t="str">
        <x:v>Round1</x:v>
      </x:c>
      <x:c r="C722" s="1" t="str">
        <x:v>Math_36</x:v>
      </x:c>
      <x:c r="D722" s="1" t="str">
        <x:v>NOT_AVAILABLE</x:v>
      </x:c>
      <x:c r="E722" s="5"/>
      <x:c r="F722" s="4" t="n">
        <x:v>0</x:v>
      </x:c>
      <x:c r="G722" s="4" t="n">
        <x:v>11649</x:v>
      </x:c>
      <x:c r="H722" s="6" t="n">
        <x:v>236.05</x:v>
      </x:c>
      <x:c r="I722" s="16" t="n">
        <x:v>1</x:v>
      </x:c>
      <x:c r="J722"/>
      <x:c r="K722" s="4"/>
      <x:c r="L722" s="4"/>
      <x:c r="M722" s="4"/>
      <x:c r="N722" s="5"/>
    </x:row>
    <x:row r="723" ht="24" customHeight="1">
      <x:c r="A723" s="1" t="str">
        <x:v>RESULT</x:v>
      </x:c>
      <x:c r="B723" s="1" t="str">
        <x:v>Round1</x:v>
      </x:c>
      <x:c r="C723" s="1" t="str">
        <x:v>Math_37</x:v>
      </x:c>
      <x:c r="D723" s="1" t="str">
        <x:v>NOT_AVAILABLE</x:v>
      </x:c>
      <x:c r="E723" s="5"/>
      <x:c r="F723" s="4" t="n">
        <x:v>0</x:v>
      </x:c>
      <x:c r="G723" s="4" t="n">
        <x:v>7510</x:v>
      </x:c>
      <x:c r="H723" s="6" t="n">
        <x:v>102.9</x:v>
      </x:c>
      <x:c r="I723" s="16" t="n">
        <x:v>1</x:v>
      </x:c>
      <x:c r="J723"/>
      <x:c r="K723" s="4"/>
      <x:c r="L723" s="4"/>
      <x:c r="M723" s="4"/>
      <x:c r="N723" s="5"/>
    </x:row>
    <x:row r="724" ht="24" customHeight="1">
      <x:c r="A724" s="1" t="str">
        <x:v>RESULT</x:v>
      </x:c>
      <x:c r="B724" s="1" t="str">
        <x:v>Round1</x:v>
      </x:c>
      <x:c r="C724" s="1" t="str">
        <x:v>Math_38</x:v>
      </x:c>
      <x:c r="D724" s="1" t="str">
        <x:v>NOT_AVAILABLE</x:v>
      </x:c>
      <x:c r="E724" s="5"/>
      <x:c r="F724" s="4" t="n">
        <x:v>0</x:v>
      </x:c>
      <x:c r="G724" s="4" t="n">
        <x:v>22203</x:v>
      </x:c>
      <x:c r="H724" s="6" t="n">
        <x:v>106.47</x:v>
      </x:c>
      <x:c r="I724" s="16" t="n">
        <x:v>1</x:v>
      </x:c>
      <x:c r="J724"/>
      <x:c r="K724" s="4"/>
      <x:c r="L724" s="4"/>
      <x:c r="M724" s="4"/>
      <x:c r="N724" s="5"/>
    </x:row>
    <x:row r="725" ht="24" customHeight="1">
      <x:c r="A725" s="1" t="str">
        <x:v>RESULT</x:v>
      </x:c>
      <x:c r="B725" s="1" t="str">
        <x:v>Round1</x:v>
      </x:c>
      <x:c r="C725" s="1" t="str">
        <x:v>Math_39</x:v>
      </x:c>
      <x:c r="D725" s="1" t="str">
        <x:v>NOT_AVAILABLE</x:v>
      </x:c>
      <x:c r="E725" s="5"/>
      <x:c r="F725" s="4" t="n">
        <x:v>0</x:v>
      </x:c>
      <x:c r="G725" s="4" t="n">
        <x:v>6544</x:v>
      </x:c>
      <x:c r="H725" s="6" t="n">
        <x:v>69.18</x:v>
      </x:c>
      <x:c r="I725" s="16" t="n">
        <x:v>1</x:v>
      </x:c>
      <x:c r="J725"/>
      <x:c r="K725" s="4"/>
      <x:c r="L725" s="4"/>
      <x:c r="M725" s="4"/>
      <x:c r="N725" s="5"/>
    </x:row>
    <x:row r="726" ht="24" customHeight="1">
      <x:c r="A726" s="1" t="str">
        <x:v>RESULT</x:v>
      </x:c>
      <x:c r="B726" s="1" t="str">
        <x:v>Round1</x:v>
      </x:c>
      <x:c r="C726" s="1" t="str">
        <x:v>Math_4</x:v>
      </x:c>
      <x:c r="D726" s="1" t="str">
        <x:v>NOT_AVAILABLE</x:v>
      </x:c>
      <x:c r="E726" s="5"/>
      <x:c r="F726" s="4" t="n">
        <x:v>0</x:v>
      </x:c>
      <x:c r="G726" s="4" t="n">
        <x:v>11216</x:v>
      </x:c>
      <x:c r="H726" s="6" t="n">
        <x:v>160.55</x:v>
      </x:c>
      <x:c r="I726" s="16" t="n">
        <x:v>1</x:v>
      </x:c>
      <x:c r="J726"/>
      <x:c r="K726" s="4"/>
      <x:c r="L726" s="4"/>
      <x:c r="M726" s="4"/>
      <x:c r="N726" s="5"/>
    </x:row>
    <x:row r="727" ht="24" customHeight="1">
      <x:c r="A727" s="1" t="str">
        <x:v>RESULT</x:v>
      </x:c>
      <x:c r="B727" s="1" t="str">
        <x:v>Round1</x:v>
      </x:c>
      <x:c r="C727" s="1" t="str">
        <x:v>Math_40</x:v>
      </x:c>
      <x:c r="D727" s="1" t="str">
        <x:v>INCONCLUSIVE</x:v>
      </x:c>
      <x:c r="E727" s="5" t="n">
        <x:v>0.8016</x:v>
      </x:c>
      <x:c r="F727" s="4" t="n">
        <x:v>0</x:v>
      </x:c>
      <x:c r="G727" s="4" t="n">
        <x:v>6405</x:v>
      </x:c>
      <x:c r="H727" s="6" t="n">
        <x:v>59.35</x:v>
      </x:c>
      <x:c r="I727" s="16" t="n">
        <x:v>1</x:v>
      </x:c>
      <x:c r="J727" t="n">
        <x:v>126</x:v>
      </x:c>
      <x:c r="K727" s="4" t="n">
        <x:v>101</x:v>
      </x:c>
      <x:c r="L727" s="4" t="n">
        <x:v>66</x:v>
      </x:c>
      <x:c r="M727" s="4" t="n">
        <x:v>45</x:v>
      </x:c>
      <x:c r="N727" s="5" t="n">
        <x:v>0.6818000000000001</x:v>
      </x:c>
    </x:row>
    <x:row r="728" ht="24" customHeight="1">
      <x:c r="A728" s="1" t="str">
        <x:v>RESULT</x:v>
      </x:c>
      <x:c r="B728" s="1" t="str">
        <x:v>Round1</x:v>
      </x:c>
      <x:c r="C728" s="1" t="str">
        <x:v>Math_41</x:v>
      </x:c>
      <x:c r="D728" s="1" t="str">
        <x:v>INCONCLUSIVE</x:v>
      </x:c>
      <x:c r="E728" s="5" t="n">
        <x:v>0.9196</x:v>
      </x:c>
      <x:c r="F728" s="4" t="n">
        <x:v>0</x:v>
      </x:c>
      <x:c r="G728" s="4" t="n">
        <x:v>9672</x:v>
      </x:c>
      <x:c r="H728" s="6" t="n">
        <x:v>74.65</x:v>
      </x:c>
      <x:c r="I728" s="16" t="n">
        <x:v>1</x:v>
      </x:c>
      <x:c r="J728" t="n">
        <x:v>112</x:v>
      </x:c>
      <x:c r="K728" s="4" t="n">
        <x:v>103</x:v>
      </x:c>
      <x:c r="L728" s="4" t="n">
        <x:v>46</x:v>
      </x:c>
      <x:c r="M728" s="4" t="n">
        <x:v>33</x:v>
      </x:c>
      <x:c r="N728" s="5" t="n">
        <x:v>0.7173999999999999</x:v>
      </x:c>
    </x:row>
    <x:row r="729" ht="24" customHeight="1">
      <x:c r="A729" s="1" t="str">
        <x:v>RESULT</x:v>
      </x:c>
      <x:c r="B729" s="1" t="str">
        <x:v>Round1</x:v>
      </x:c>
      <x:c r="C729" s="1" t="str">
        <x:v>Math_42</x:v>
      </x:c>
      <x:c r="D729" s="1" t="str">
        <x:v>INCONCLUSIVE</x:v>
      </x:c>
      <x:c r="E729" s="5" t="n">
        <x:v>0.7143</x:v>
      </x:c>
      <x:c r="F729" s="4" t="n">
        <x:v>0</x:v>
      </x:c>
      <x:c r="G729" s="4" t="n">
        <x:v>8464</x:v>
      </x:c>
      <x:c r="H729" s="6" t="n">
        <x:v>71.25</x:v>
      </x:c>
      <x:c r="I729" s="16" t="n">
        <x:v>1</x:v>
      </x:c>
      <x:c r="J729" t="n">
        <x:v>182</x:v>
      </x:c>
      <x:c r="K729" s="4" t="n">
        <x:v>130</x:v>
      </x:c>
      <x:c r="L729" s="4" t="n">
        <x:v>120</x:v>
      </x:c>
      <x:c r="M729" s="4" t="n">
        <x:v>68</x:v>
      </x:c>
      <x:c r="N729" s="5" t="n">
        <x:v>0.5667</x:v>
      </x:c>
    </x:row>
    <x:row r="730" ht="24" customHeight="1">
      <x:c r="A730" s="1" t="str">
        <x:v>RESULT</x:v>
      </x:c>
      <x:c r="B730" s="1" t="str">
        <x:v>Round1</x:v>
      </x:c>
      <x:c r="C730" s="1" t="str">
        <x:v>Math_43</x:v>
      </x:c>
      <x:c r="D730" s="1" t="str">
        <x:v>INCONCLUSIVE</x:v>
      </x:c>
      <x:c r="E730" s="5" t="n">
        <x:v>0.8957999999999999</x:v>
      </x:c>
      <x:c r="F730" s="4" t="n">
        <x:v>0</x:v>
      </x:c>
      <x:c r="G730" s="4" t="n">
        <x:v>6162</x:v>
      </x:c>
      <x:c r="H730" s="6" t="n">
        <x:v>69.86</x:v>
      </x:c>
      <x:c r="I730" s="16" t="n">
        <x:v>1</x:v>
      </x:c>
      <x:c r="J730" t="n">
        <x:v>192</x:v>
      </x:c>
      <x:c r="K730" s="4" t="n">
        <x:v>172</x:v>
      </x:c>
      <x:c r="L730" s="4" t="n">
        <x:v>58</x:v>
      </x:c>
      <x:c r="M730" s="4" t="n">
        <x:v>34</x:v>
      </x:c>
      <x:c r="N730" s="5" t="n">
        <x:v>0.5861999999999999</x:v>
      </x:c>
    </x:row>
    <x:row r="731" ht="24" customHeight="1">
      <x:c r="A731" s="1" t="str">
        <x:v>RESULT</x:v>
      </x:c>
      <x:c r="B731" s="1" t="str">
        <x:v>Round1</x:v>
      </x:c>
      <x:c r="C731" s="1" t="str">
        <x:v>Math_44</x:v>
      </x:c>
      <x:c r="D731" s="1" t="str">
        <x:v>NOT_AVAILABLE</x:v>
      </x:c>
      <x:c r="E731" s="5"/>
      <x:c r="F731" s="4" t="n">
        <x:v>0</x:v>
      </x:c>
      <x:c r="G731" s="4" t="n">
        <x:v>6711</x:v>
      </x:c>
      <x:c r="H731" s="6" t="n">
        <x:v>69.88</x:v>
      </x:c>
      <x:c r="I731" s="16" t="n">
        <x:v>1</x:v>
      </x:c>
      <x:c r="J731"/>
      <x:c r="K731" s="4"/>
      <x:c r="L731" s="4"/>
      <x:c r="M731" s="4"/>
      <x:c r="N731" s="5"/>
    </x:row>
    <x:row r="732" ht="24" customHeight="1">
      <x:c r="A732" s="1" t="str">
        <x:v>RESULT</x:v>
      </x:c>
      <x:c r="B732" s="1" t="str">
        <x:v>Round1</x:v>
      </x:c>
      <x:c r="C732" s="1" t="str">
        <x:v>Math_45</x:v>
      </x:c>
      <x:c r="D732" s="1" t="str">
        <x:v>INCONCLUSIVE</x:v>
      </x:c>
      <x:c r="E732" s="5" t="n">
        <x:v>0.9588</x:v>
      </x:c>
      <x:c r="F732" s="4" t="n">
        <x:v>0</x:v>
      </x:c>
      <x:c r="G732" s="4" t="n">
        <x:v>5450</x:v>
      </x:c>
      <x:c r="H732" s="6" t="n">
        <x:v>69.84</x:v>
      </x:c>
      <x:c r="I732" s="16" t="n">
        <x:v>1</x:v>
      </x:c>
      <x:c r="J732" t="n">
        <x:v>97</x:v>
      </x:c>
      <x:c r="K732" s="4" t="n">
        <x:v>93</x:v>
      </x:c>
      <x:c r="L732" s="4" t="n">
        <x:v>22</x:v>
      </x:c>
      <x:c r="M732" s="4" t="n">
        <x:v>21</x:v>
      </x:c>
      <x:c r="N732" s="5" t="n">
        <x:v>0.9545</x:v>
      </x:c>
    </x:row>
    <x:row r="733" ht="24" customHeight="1">
      <x:c r="A733" s="1" t="str">
        <x:v>RESULT</x:v>
      </x:c>
      <x:c r="B733" s="1" t="str">
        <x:v>Round1</x:v>
      </x:c>
      <x:c r="C733" s="1" t="str">
        <x:v>Math_46</x:v>
      </x:c>
      <x:c r="D733" s="1" t="str">
        <x:v>NOT_AVAILABLE</x:v>
      </x:c>
      <x:c r="E733" s="5"/>
      <x:c r="F733" s="4" t="n">
        <x:v>0</x:v>
      </x:c>
      <x:c r="G733" s="4" t="n">
        <x:v>7757</x:v>
      </x:c>
      <x:c r="H733" s="6" t="n">
        <x:v>117.78</x:v>
      </x:c>
      <x:c r="I733" s="16" t="n">
        <x:v>1</x:v>
      </x:c>
      <x:c r="J733"/>
      <x:c r="K733" s="4"/>
      <x:c r="L733" s="4"/>
      <x:c r="M733" s="4"/>
      <x:c r="N733" s="5"/>
    </x:row>
    <x:row r="734" ht="24" customHeight="1">
      <x:c r="A734" s="1" t="str">
        <x:v>RESULT</x:v>
      </x:c>
      <x:c r="B734" s="1" t="str">
        <x:v>Round1</x:v>
      </x:c>
      <x:c r="C734" s="1" t="str">
        <x:v>Math_47</x:v>
      </x:c>
      <x:c r="D734" s="1" t="str">
        <x:v>NOT_AVAILABLE</x:v>
      </x:c>
      <x:c r="E734" s="5"/>
      <x:c r="F734" s="4" t="n">
        <x:v>0</x:v>
      </x:c>
      <x:c r="G734" s="4" t="n">
        <x:v>8253</x:v>
      </x:c>
      <x:c r="H734" s="6" t="n">
        <x:v>118.11</x:v>
      </x:c>
      <x:c r="I734" s="16" t="n">
        <x:v>1</x:v>
      </x:c>
      <x:c r="J734"/>
      <x:c r="K734" s="4"/>
      <x:c r="L734" s="4"/>
      <x:c r="M734" s="4"/>
      <x:c r="N734" s="5"/>
    </x:row>
    <x:row r="735" ht="24" customHeight="1">
      <x:c r="A735" s="1" t="str">
        <x:v>RESULT</x:v>
      </x:c>
      <x:c r="B735" s="1" t="str">
        <x:v>Round1</x:v>
      </x:c>
      <x:c r="C735" s="1" t="str">
        <x:v>Math_48</x:v>
      </x:c>
      <x:c r="D735" s="1" t="str">
        <x:v>NOT_AVAILABLE</x:v>
      </x:c>
      <x:c r="E735" s="5"/>
      <x:c r="F735" s="4" t="n">
        <x:v>0</x:v>
      </x:c>
      <x:c r="G735" s="4" t="n">
        <x:v>5280</x:v>
      </x:c>
      <x:c r="H735" s="6" t="n">
        <x:v>61.93</x:v>
      </x:c>
      <x:c r="I735" s="16" t="n">
        <x:v>1</x:v>
      </x:c>
      <x:c r="J735"/>
      <x:c r="K735" s="4"/>
      <x:c r="L735" s="4"/>
      <x:c r="M735" s="4"/>
      <x:c r="N735" s="5"/>
    </x:row>
    <x:row r="736" ht="24" customHeight="1">
      <x:c r="A736" s="1" t="str">
        <x:v>RESULT</x:v>
      </x:c>
      <x:c r="B736" s="1" t="str">
        <x:v>Round1</x:v>
      </x:c>
      <x:c r="C736" s="1" t="str">
        <x:v>Math_49</x:v>
      </x:c>
      <x:c r="D736" s="1" t="str">
        <x:v>NOT_AVAILABLE</x:v>
      </x:c>
      <x:c r="E736" s="5"/>
      <x:c r="F736" s="4" t="n">
        <x:v>0</x:v>
      </x:c>
      <x:c r="G736" s="4" t="n">
        <x:v>10078</x:v>
      </x:c>
      <x:c r="H736" s="6" t="n">
        <x:v>146.78</x:v>
      </x:c>
      <x:c r="I736" s="16" t="n">
        <x:v>1</x:v>
      </x:c>
      <x:c r="J736"/>
      <x:c r="K736" s="4"/>
      <x:c r="L736" s="4"/>
      <x:c r="M736" s="4"/>
      <x:c r="N736" s="5"/>
    </x:row>
    <x:row r="737" ht="24" customHeight="1">
      <x:c r="A737" s="1" t="str">
        <x:v>RESULT</x:v>
      </x:c>
      <x:c r="B737" s="1" t="str">
        <x:v>Round1</x:v>
      </x:c>
      <x:c r="C737" s="1" t="str">
        <x:v>Math_5</x:v>
      </x:c>
      <x:c r="D737" s="1" t="str">
        <x:v>NOT_AVAILABLE</x:v>
      </x:c>
      <x:c r="E737" s="5"/>
      <x:c r="F737" s="4" t="n">
        <x:v>0</x:v>
      </x:c>
      <x:c r="G737" s="4" t="n">
        <x:v>8419</x:v>
      </x:c>
      <x:c r="H737" s="6" t="n">
        <x:v>126.85</x:v>
      </x:c>
      <x:c r="I737" s="16" t="n">
        <x:v>1</x:v>
      </x:c>
      <x:c r="J737"/>
      <x:c r="K737" s="4"/>
      <x:c r="L737" s="4"/>
      <x:c r="M737" s="4"/>
      <x:c r="N737" s="5"/>
    </x:row>
    <x:row r="738" ht="24" customHeight="1">
      <x:c r="A738" s="1" t="str">
        <x:v>RESULT</x:v>
      </x:c>
      <x:c r="B738" s="1" t="str">
        <x:v>Round1</x:v>
      </x:c>
      <x:c r="C738" s="1" t="str">
        <x:v>Math_50</x:v>
      </x:c>
      <x:c r="D738" s="1" t="str">
        <x:v>NOT_AVAILABLE</x:v>
      </x:c>
      <x:c r="E738" s="5"/>
      <x:c r="F738" s="4" t="n">
        <x:v>0</x:v>
      </x:c>
      <x:c r="G738" s="4" t="n">
        <x:v>7923</x:v>
      </x:c>
      <x:c r="H738" s="6" t="n">
        <x:v>67.74</x:v>
      </x:c>
      <x:c r="I738" s="16" t="n">
        <x:v>1</x:v>
      </x:c>
      <x:c r="J738"/>
      <x:c r="K738" s="4"/>
      <x:c r="L738" s="4"/>
      <x:c r="M738" s="4"/>
      <x:c r="N738" s="5"/>
    </x:row>
    <x:row r="739" ht="24" customHeight="1">
      <x:c r="A739" s="1" t="str">
        <x:v>RESULT</x:v>
      </x:c>
      <x:c r="B739" s="1" t="str">
        <x:v>Round1</x:v>
      </x:c>
      <x:c r="C739" s="1" t="str">
        <x:v>Math_51</x:v>
      </x:c>
      <x:c r="D739" s="1" t="str">
        <x:v>NOT_AVAILABLE</x:v>
      </x:c>
      <x:c r="E739" s="5"/>
      <x:c r="F739" s="4" t="n">
        <x:v>0</x:v>
      </x:c>
      <x:c r="G739" s="4" t="n">
        <x:v>6431</x:v>
      </x:c>
      <x:c r="H739" s="6" t="n">
        <x:v>100.17</x:v>
      </x:c>
      <x:c r="I739" s="16" t="n">
        <x:v>1</x:v>
      </x:c>
      <x:c r="J739"/>
      <x:c r="K739" s="4"/>
      <x:c r="L739" s="4"/>
      <x:c r="M739" s="4"/>
      <x:c r="N739" s="5"/>
    </x:row>
    <x:row r="740" ht="24" customHeight="1">
      <x:c r="A740" s="1" t="str">
        <x:v>RESULT</x:v>
      </x:c>
      <x:c r="B740" s="1" t="str">
        <x:v>Round1</x:v>
      </x:c>
      <x:c r="C740" s="1" t="str">
        <x:v>Math_52</x:v>
      </x:c>
      <x:c r="D740" s="1" t="str">
        <x:v>NOT_AVAILABLE</x:v>
      </x:c>
      <x:c r="E740" s="5"/>
      <x:c r="F740" s="4" t="n">
        <x:v>0</x:v>
      </x:c>
      <x:c r="G740" s="4" t="n">
        <x:v>10846</x:v>
      </x:c>
      <x:c r="H740" s="6" t="n">
        <x:v>89.28</x:v>
      </x:c>
      <x:c r="I740" s="16" t="n">
        <x:v>1</x:v>
      </x:c>
      <x:c r="J740"/>
      <x:c r="K740" s="4"/>
      <x:c r="L740" s="4"/>
      <x:c r="M740" s="4"/>
      <x:c r="N740" s="5"/>
    </x:row>
    <x:row r="741" ht="24" customHeight="1">
      <x:c r="A741" s="1" t="str">
        <x:v>RESULT</x:v>
      </x:c>
      <x:c r="B741" s="1" t="str">
        <x:v>Round1</x:v>
      </x:c>
      <x:c r="C741" s="1" t="str">
        <x:v>Math_53</x:v>
      </x:c>
      <x:c r="D741" s="1" t="str">
        <x:v>NOT_AVAILABLE</x:v>
      </x:c>
      <x:c r="E741" s="5"/>
      <x:c r="F741" s="4" t="n">
        <x:v>0</x:v>
      </x:c>
      <x:c r="G741" s="4" t="n">
        <x:v>7557</x:v>
      </x:c>
      <x:c r="H741" s="6" t="n">
        <x:v>125.41</x:v>
      </x:c>
      <x:c r="I741" s="16" t="n">
        <x:v>1</x:v>
      </x:c>
      <x:c r="J741"/>
      <x:c r="K741" s="4"/>
      <x:c r="L741" s="4"/>
      <x:c r="M741" s="4"/>
      <x:c r="N741" s="5"/>
    </x:row>
    <x:row r="742" ht="24" customHeight="1">
      <x:c r="A742" s="1" t="str">
        <x:v>RESULT</x:v>
      </x:c>
      <x:c r="B742" s="1" t="str">
        <x:v>Round1</x:v>
      </x:c>
      <x:c r="C742" s="1" t="str">
        <x:v>Math_54</x:v>
      </x:c>
      <x:c r="D742" s="1" t="str">
        <x:v>NOT_AVAILABLE</x:v>
      </x:c>
      <x:c r="E742" s="5"/>
      <x:c r="F742" s="4" t="n">
        <x:v>0</x:v>
      </x:c>
      <x:c r="G742" s="4" t="n">
        <x:v>17687</x:v>
      </x:c>
      <x:c r="H742" s="6" t="n">
        <x:v>113.54</x:v>
      </x:c>
      <x:c r="I742" s="16" t="n">
        <x:v>1</x:v>
      </x:c>
      <x:c r="J742"/>
      <x:c r="K742" s="4"/>
      <x:c r="L742" s="4"/>
      <x:c r="M742" s="4"/>
      <x:c r="N742" s="5"/>
    </x:row>
    <x:row r="743" ht="24" customHeight="1">
      <x:c r="A743" s="1" t="str">
        <x:v>RESULT</x:v>
      </x:c>
      <x:c r="B743" s="1" t="str">
        <x:v>Round1</x:v>
      </x:c>
      <x:c r="C743" s="1" t="str">
        <x:v>Math_55</x:v>
      </x:c>
      <x:c r="D743" s="1" t="str">
        <x:v>NOT_AVAILABLE</x:v>
      </x:c>
      <x:c r="E743" s="5"/>
      <x:c r="F743" s="4" t="n">
        <x:v>0</x:v>
      </x:c>
      <x:c r="G743" s="4" t="n">
        <x:v>9565</x:v>
      </x:c>
      <x:c r="H743" s="6" t="n">
        <x:v>97.13</x:v>
      </x:c>
      <x:c r="I743" s="16" t="n">
        <x:v>1</x:v>
      </x:c>
      <x:c r="J743"/>
      <x:c r="K743" s="4"/>
      <x:c r="L743" s="4"/>
      <x:c r="M743" s="4"/>
      <x:c r="N743" s="5"/>
    </x:row>
    <x:row r="744" ht="24" customHeight="1">
      <x:c r="A744" s="1" t="str">
        <x:v>RESULT</x:v>
      </x:c>
      <x:c r="B744" s="1" t="str">
        <x:v>Round1</x:v>
      </x:c>
      <x:c r="C744" s="1" t="str">
        <x:v>Math_56</x:v>
      </x:c>
      <x:c r="D744" s="1" t="str">
        <x:v>INCONCLUSIVE</x:v>
      </x:c>
      <x:c r="E744" s="5" t="n">
        <x:v>0.9867</x:v>
      </x:c>
      <x:c r="F744" s="4" t="n">
        <x:v>0</x:v>
      </x:c>
      <x:c r="G744" s="4" t="n">
        <x:v>5667</x:v>
      </x:c>
      <x:c r="H744" s="6" t="n">
        <x:v>76.47</x:v>
      </x:c>
      <x:c r="I744" s="16" t="n">
        <x:v>1</x:v>
      </x:c>
      <x:c r="J744" t="n">
        <x:v>75</x:v>
      </x:c>
      <x:c r="K744" s="4" t="n">
        <x:v>74</x:v>
      </x:c>
      <x:c r="L744" s="4" t="n">
        <x:v>34</x:v>
      </x:c>
      <x:c r="M744" s="4" t="n">
        <x:v>32</x:v>
      </x:c>
      <x:c r="N744" s="5" t="n">
        <x:v>0.9412</x:v>
      </x:c>
    </x:row>
    <x:row r="745" ht="24" customHeight="1">
      <x:c r="A745" s="1" t="str">
        <x:v>RESULT</x:v>
      </x:c>
      <x:c r="B745" s="1" t="str">
        <x:v>Round1</x:v>
      </x:c>
      <x:c r="C745" s="1" t="str">
        <x:v>Math_57</x:v>
      </x:c>
      <x:c r="D745" s="1" t="str">
        <x:v>NOT_AVAILABLE</x:v>
      </x:c>
      <x:c r="E745" s="5"/>
      <x:c r="F745" s="4" t="n">
        <x:v>0</x:v>
      </x:c>
      <x:c r="G745" s="4" t="n">
        <x:v>6535</x:v>
      </x:c>
      <x:c r="H745" s="6" t="n">
        <x:v>84.97</x:v>
      </x:c>
      <x:c r="I745" s="16" t="n">
        <x:v>1</x:v>
      </x:c>
      <x:c r="J745"/>
      <x:c r="K745" s="4"/>
      <x:c r="L745" s="4"/>
      <x:c r="M745" s="4"/>
      <x:c r="N745" s="5"/>
    </x:row>
    <x:row r="746" ht="24" customHeight="1">
      <x:c r="A746" s="1" t="str">
        <x:v>RESULT</x:v>
      </x:c>
      <x:c r="B746" s="1" t="str">
        <x:v>Round1</x:v>
      </x:c>
      <x:c r="C746" s="1" t="str">
        <x:v>Math_58</x:v>
      </x:c>
      <x:c r="D746" s="1" t="str">
        <x:v>NOT_AVAILABLE</x:v>
      </x:c>
      <x:c r="E746" s="5"/>
      <x:c r="F746" s="4" t="n">
        <x:v>0</x:v>
      </x:c>
      <x:c r="G746" s="4" t="n">
        <x:v>7243</x:v>
      </x:c>
      <x:c r="H746" s="6" t="n">
        <x:v>98.56</x:v>
      </x:c>
      <x:c r="I746" s="16" t="n">
        <x:v>1</x:v>
      </x:c>
      <x:c r="J746"/>
      <x:c r="K746" s="4"/>
      <x:c r="L746" s="4"/>
      <x:c r="M746" s="4"/>
      <x:c r="N746" s="5"/>
    </x:row>
    <x:row r="747" ht="24" customHeight="1">
      <x:c r="A747" s="1" t="str">
        <x:v>RESULT</x:v>
      </x:c>
      <x:c r="B747" s="1" t="str">
        <x:v>Round1</x:v>
      </x:c>
      <x:c r="C747" s="1" t="str">
        <x:v>Math_59</x:v>
      </x:c>
      <x:c r="D747" s="1" t="str">
        <x:v>INCONCLUSIVE</x:v>
      </x:c>
      <x:c r="E747" s="5" t="n">
        <x:v>0.7037</x:v>
      </x:c>
      <x:c r="F747" s="4" t="n">
        <x:v>0</x:v>
      </x:c>
      <x:c r="G747" s="4" t="n">
        <x:v>27938</x:v>
      </x:c>
      <x:c r="H747" s="6" t="n">
        <x:v>129.31</x:v>
      </x:c>
      <x:c r="I747" s="16" t="n">
        <x:v>1</x:v>
      </x:c>
      <x:c r="J747" t="n">
        <x:v>1549</x:v>
      </x:c>
      <x:c r="K747" s="4" t="n">
        <x:v>1090</x:v>
      </x:c>
      <x:c r="L747" s="4" t="n">
        <x:v>652</x:v>
      </x:c>
      <x:c r="M747" s="4" t="n">
        <x:v>284</x:v>
      </x:c>
      <x:c r="N747" s="5" t="n">
        <x:v>0.43560000000000004</x:v>
      </x:c>
    </x:row>
    <x:row r="748" ht="24" customHeight="1">
      <x:c r="A748" s="1" t="str">
        <x:v>RESULT</x:v>
      </x:c>
      <x:c r="B748" s="1" t="str">
        <x:v>Round1</x:v>
      </x:c>
      <x:c r="C748" s="1" t="str">
        <x:v>Math_6</x:v>
      </x:c>
      <x:c r="D748" s="1" t="str">
        <x:v>NOT_AVAILABLE</x:v>
      </x:c>
      <x:c r="E748" s="5"/>
      <x:c r="F748" s="4" t="n">
        <x:v>0</x:v>
      </x:c>
      <x:c r="G748" s="4" t="n">
        <x:v>64031</x:v>
      </x:c>
      <x:c r="H748" s="6" t="n">
        <x:v>1076.24</x:v>
      </x:c>
      <x:c r="I748" s="16" t="n">
        <x:v>1</x:v>
      </x:c>
      <x:c r="J748"/>
      <x:c r="K748" s="4"/>
      <x:c r="L748" s="4"/>
      <x:c r="M748" s="4"/>
      <x:c r="N748" s="5"/>
    </x:row>
    <x:row r="749" ht="24" customHeight="1">
      <x:c r="A749" s="1" t="str">
        <x:v>RESULT</x:v>
      </x:c>
      <x:c r="B749" s="1" t="str">
        <x:v>Round1</x:v>
      </x:c>
      <x:c r="C749" s="1" t="str">
        <x:v>Math_60</x:v>
      </x:c>
      <x:c r="D749" s="1" t="str">
        <x:v>NOT_REVEALING</x:v>
      </x:c>
      <x:c r="E749" s="5" t="n">
        <x:v>0.8723000000000001</x:v>
      </x:c>
      <x:c r="F749" s="4" t="n">
        <x:v>0</x:v>
      </x:c>
      <x:c r="G749" s="4" t="n">
        <x:v>26041</x:v>
      </x:c>
      <x:c r="H749" s="6" t="n">
        <x:v>961.7</x:v>
      </x:c>
      <x:c r="I749" s="16" t="n">
        <x:v>1</x:v>
      </x:c>
      <x:c r="J749" t="n">
        <x:v>47</x:v>
      </x:c>
      <x:c r="K749" s="4" t="n">
        <x:v>41</x:v>
      </x:c>
      <x:c r="L749" s="4" t="n">
        <x:v>18</x:v>
      </x:c>
      <x:c r="M749" s="4" t="n">
        <x:v>14</x:v>
      </x:c>
      <x:c r="N749" s="5" t="n">
        <x:v>0.7778</x:v>
      </x:c>
    </x:row>
    <x:row r="750" ht="24" customHeight="1">
      <x:c r="A750" s="1" t="str">
        <x:v>RESULT</x:v>
      </x:c>
      <x:c r="B750" s="1" t="str">
        <x:v>Round1</x:v>
      </x:c>
      <x:c r="C750" s="1" t="str">
        <x:v>Math_61</x:v>
      </x:c>
      <x:c r="D750" s="1" t="str">
        <x:v>NOT_REVEALING</x:v>
      </x:c>
      <x:c r="E750" s="5" t="n">
        <x:v>0.8234999999999999</x:v>
      </x:c>
      <x:c r="F750" s="4" t="n">
        <x:v>0</x:v>
      </x:c>
      <x:c r="G750" s="4" t="n">
        <x:v>10343</x:v>
      </x:c>
      <x:c r="H750" s="6" t="n">
        <x:v>74.38</x:v>
      </x:c>
      <x:c r="I750" s="16" t="n">
        <x:v>1</x:v>
      </x:c>
      <x:c r="J750" t="n">
        <x:v>34</x:v>
      </x:c>
      <x:c r="K750" s="4" t="n">
        <x:v>28</x:v>
      </x:c>
      <x:c r="L750" s="4" t="n">
        <x:v>12</x:v>
      </x:c>
      <x:c r="M750" s="4" t="n">
        <x:v>12</x:v>
      </x:c>
      <x:c r="N750" s="5" t="n">
        <x:v>1</x:v>
      </x:c>
    </x:row>
    <x:row r="751" ht="24" customHeight="1">
      <x:c r="A751" s="1" t="str">
        <x:v>RESULT</x:v>
      </x:c>
      <x:c r="B751" s="1" t="str">
        <x:v>Round1</x:v>
      </x:c>
      <x:c r="C751" s="1" t="str">
        <x:v>Math_62</x:v>
      </x:c>
      <x:c r="D751" s="1" t="str">
        <x:v>NOT_AVAILABLE</x:v>
      </x:c>
      <x:c r="E751" s="5"/>
      <x:c r="F751" s="4" t="n">
        <x:v>0</x:v>
      </x:c>
      <x:c r="G751" s="4" t="n">
        <x:v>9312</x:v>
      </x:c>
      <x:c r="H751" s="6" t="n">
        <x:v>53.11</x:v>
      </x:c>
      <x:c r="I751" s="16" t="n">
        <x:v>1</x:v>
      </x:c>
      <x:c r="J751"/>
      <x:c r="K751" s="4"/>
      <x:c r="L751" s="4"/>
      <x:c r="M751" s="4"/>
      <x:c r="N751" s="5"/>
    </x:row>
    <x:row r="752" ht="24" customHeight="1">
      <x:c r="A752" s="1" t="str">
        <x:v>RESULT</x:v>
      </x:c>
      <x:c r="B752" s="1" t="str">
        <x:v>Round1</x:v>
      </x:c>
      <x:c r="C752" s="1" t="str">
        <x:v>Math_63</x:v>
      </x:c>
      <x:c r="D752" s="1" t="str">
        <x:v>INCONCLUSIVE</x:v>
      </x:c>
      <x:c r="E752" s="5" t="n">
        <x:v>0.6139</x:v>
      </x:c>
      <x:c r="F752" s="4" t="n">
        <x:v>0</x:v>
      </x:c>
      <x:c r="G752" s="4" t="n">
        <x:v>13922</x:v>
      </x:c>
      <x:c r="H752" s="6" t="n">
        <x:v>105.32</x:v>
      </x:c>
      <x:c r="I752" s="16" t="n">
        <x:v>1</x:v>
      </x:c>
      <x:c r="J752" t="n">
        <x:v>518</x:v>
      </x:c>
      <x:c r="K752" s="4" t="n">
        <x:v>318</x:v>
      </x:c>
      <x:c r="L752" s="4" t="n">
        <x:v>441</x:v>
      </x:c>
      <x:c r="M752" s="4" t="n">
        <x:v>254</x:v>
      </x:c>
      <x:c r="N752" s="5" t="n">
        <x:v>0.5760000000000001</x:v>
      </x:c>
    </x:row>
    <x:row r="753" ht="24" customHeight="1">
      <x:c r="A753" s="1" t="str">
        <x:v>RESULT</x:v>
      </x:c>
      <x:c r="B753" s="1" t="str">
        <x:v>Round1</x:v>
      </x:c>
      <x:c r="C753" s="1" t="str">
        <x:v>Math_64</x:v>
      </x:c>
      <x:c r="D753" s="1" t="str">
        <x:v>NOT_AVAILABLE</x:v>
      </x:c>
      <x:c r="E753" s="5"/>
      <x:c r="F753" s="4" t="n">
        <x:v>0</x:v>
      </x:c>
      <x:c r="G753" s="4" t="n">
        <x:v>16521</x:v>
      </x:c>
      <x:c r="H753" s="6" t="n">
        <x:v>98.57</x:v>
      </x:c>
      <x:c r="I753" s="16" t="n">
        <x:v>1</x:v>
      </x:c>
      <x:c r="J753"/>
      <x:c r="K753" s="4"/>
      <x:c r="L753" s="4"/>
      <x:c r="M753" s="4"/>
      <x:c r="N753" s="5"/>
    </x:row>
    <x:row r="754" ht="24" customHeight="1">
      <x:c r="A754" s="1" t="str">
        <x:v>RESULT</x:v>
      </x:c>
      <x:c r="B754" s="1" t="str">
        <x:v>Round1</x:v>
      </x:c>
      <x:c r="C754" s="1" t="str">
        <x:v>Math_65</x:v>
      </x:c>
      <x:c r="D754" s="1" t="str">
        <x:v>NOT_AVAILABLE</x:v>
      </x:c>
      <x:c r="E754" s="5"/>
      <x:c r="F754" s="4" t="n">
        <x:v>0</x:v>
      </x:c>
      <x:c r="G754" s="4" t="n">
        <x:v>10624</x:v>
      </x:c>
      <x:c r="H754" s="6" t="n">
        <x:v>59.06</x:v>
      </x:c>
      <x:c r="I754" s="16" t="n">
        <x:v>1</x:v>
      </x:c>
      <x:c r="J754"/>
      <x:c r="K754" s="4"/>
      <x:c r="L754" s="4"/>
      <x:c r="M754" s="4"/>
      <x:c r="N754" s="5"/>
    </x:row>
    <x:row r="755" ht="24" customHeight="1">
      <x:c r="A755" s="1" t="str">
        <x:v>RESULT</x:v>
      </x:c>
      <x:c r="B755" s="1" t="str">
        <x:v>Round1</x:v>
      </x:c>
      <x:c r="C755" s="1" t="str">
        <x:v>Math_66</x:v>
      </x:c>
      <x:c r="D755" s="1" t="str">
        <x:v>INCONCLUSIVE</x:v>
      </x:c>
      <x:c r="E755" s="5" t="n">
        <x:v>1</x:v>
      </x:c>
      <x:c r="F755" s="4" t="n">
        <x:v>0</x:v>
      </x:c>
      <x:c r="G755" s="4" t="n">
        <x:v>5161</x:v>
      </x:c>
      <x:c r="H755" s="6" t="n">
        <x:v>19.17</x:v>
      </x:c>
      <x:c r="I755" s="16" t="n">
        <x:v>1</x:v>
      </x:c>
      <x:c r="J755" t="n">
        <x:v>102</x:v>
      </x:c>
      <x:c r="K755" s="4" t="n">
        <x:v>102</x:v>
      </x:c>
      <x:c r="L755" s="4" t="n">
        <x:v>58</x:v>
      </x:c>
      <x:c r="M755" s="4" t="n">
        <x:v>55</x:v>
      </x:c>
      <x:c r="N755" s="5" t="n">
        <x:v>0.9483</x:v>
      </x:c>
    </x:row>
    <x:row r="756" ht="24" customHeight="1">
      <x:c r="A756" s="1" t="str">
        <x:v>RESULT</x:v>
      </x:c>
      <x:c r="B756" s="1" t="str">
        <x:v>Round1</x:v>
      </x:c>
      <x:c r="C756" s="1" t="str">
        <x:v>Math_67</x:v>
      </x:c>
      <x:c r="D756" s="1" t="str">
        <x:v>INCONCLUSIVE</x:v>
      </x:c>
      <x:c r="E756" s="5" t="n">
        <x:v>0.8172</x:v>
      </x:c>
      <x:c r="F756" s="4" t="n">
        <x:v>0</x:v>
      </x:c>
      <x:c r="G756" s="4" t="n">
        <x:v>7273</x:v>
      </x:c>
      <x:c r="H756" s="6" t="n">
        <x:v>30.09</x:v>
      </x:c>
      <x:c r="I756" s="16" t="n">
        <x:v>1</x:v>
      </x:c>
      <x:c r="J756" t="n">
        <x:v>93</x:v>
      </x:c>
      <x:c r="K756" s="4" t="n">
        <x:v>76</x:v>
      </x:c>
      <x:c r="L756" s="4" t="n">
        <x:v>34</x:v>
      </x:c>
      <x:c r="M756" s="4" t="n">
        <x:v>29</x:v>
      </x:c>
      <x:c r="N756" s="5" t="n">
        <x:v>0.8529000000000001</x:v>
      </x:c>
    </x:row>
    <x:row r="757" ht="24" customHeight="1">
      <x:c r="A757" s="1" t="str">
        <x:v>RESULT</x:v>
      </x:c>
      <x:c r="B757" s="1" t="str">
        <x:v>Round1</x:v>
      </x:c>
      <x:c r="C757" s="1" t="str">
        <x:v>Math_68</x:v>
      </x:c>
      <x:c r="D757" s="1" t="str">
        <x:v>NOT_AVAILABLE</x:v>
      </x:c>
      <x:c r="E757" s="5"/>
      <x:c r="F757" s="4" t="n">
        <x:v>0</x:v>
      </x:c>
      <x:c r="G757" s="4" t="n">
        <x:v>11389</x:v>
      </x:c>
      <x:c r="H757" s="6" t="n">
        <x:v>55.21</x:v>
      </x:c>
      <x:c r="I757" s="16" t="n">
        <x:v>1</x:v>
      </x:c>
      <x:c r="J757"/>
      <x:c r="K757" s="4"/>
      <x:c r="L757" s="4"/>
      <x:c r="M757" s="4"/>
      <x:c r="N757" s="5"/>
    </x:row>
    <x:row r="758" ht="24" customHeight="1">
      <x:c r="A758" s="1" t="str">
        <x:v>RESULT</x:v>
      </x:c>
      <x:c r="B758" s="1" t="str">
        <x:v>Round1</x:v>
      </x:c>
      <x:c r="C758" s="1" t="str">
        <x:v>Math_69</x:v>
      </x:c>
      <x:c r="D758" s="1" t="str">
        <x:v>NOT_REVEALING</x:v>
      </x:c>
      <x:c r="E758" s="5" t="n">
        <x:v>0.92</x:v>
      </x:c>
      <x:c r="F758" s="4" t="n">
        <x:v>0</x:v>
      </x:c>
      <x:c r="G758" s="4" t="n">
        <x:v>9872</x:v>
      </x:c>
      <x:c r="H758" s="6" t="n">
        <x:v>100.58</x:v>
      </x:c>
      <x:c r="I758" s="16" t="n">
        <x:v>1</x:v>
      </x:c>
      <x:c r="J758" t="n">
        <x:v>75</x:v>
      </x:c>
      <x:c r="K758" s="4" t="n">
        <x:v>69</x:v>
      </x:c>
      <x:c r="L758" s="4" t="n">
        <x:v>30</x:v>
      </x:c>
      <x:c r="M758" s="4" t="n">
        <x:v>29</x:v>
      </x:c>
      <x:c r="N758" s="5" t="n">
        <x:v>0.9667</x:v>
      </x:c>
    </x:row>
    <x:row r="759" ht="24" customHeight="1">
      <x:c r="A759" s="1" t="str">
        <x:v>RESULT</x:v>
      </x:c>
      <x:c r="B759" s="1" t="str">
        <x:v>Round1</x:v>
      </x:c>
      <x:c r="C759" s="1" t="str">
        <x:v>Math_7</x:v>
      </x:c>
      <x:c r="D759" s="1" t="str">
        <x:v>NOT_AVAILABLE</x:v>
      </x:c>
      <x:c r="E759" s="5"/>
      <x:c r="F759" s="4" t="n">
        <x:v>0</x:v>
      </x:c>
      <x:c r="G759" s="4" t="n">
        <x:v>16749</x:v>
      </x:c>
      <x:c r="H759" s="6" t="n">
        <x:v>114.74</x:v>
      </x:c>
      <x:c r="I759" s="16" t="n">
        <x:v>1</x:v>
      </x:c>
      <x:c r="J759"/>
      <x:c r="K759" s="4"/>
      <x:c r="L759" s="4"/>
      <x:c r="M759" s="4"/>
      <x:c r="N759" s="5"/>
    </x:row>
    <x:row r="760" ht="24" customHeight="1">
      <x:c r="A760" s="1" t="str">
        <x:v>RESULT</x:v>
      </x:c>
      <x:c r="B760" s="1" t="str">
        <x:v>Round1</x:v>
      </x:c>
      <x:c r="C760" s="1" t="str">
        <x:v>Math_70</x:v>
      </x:c>
      <x:c r="D760" s="1" t="str">
        <x:v>INCONCLUSIVE</x:v>
      </x:c>
      <x:c r="E760" s="5" t="n">
        <x:v>0.7826000000000001</x:v>
      </x:c>
      <x:c r="F760" s="4" t="n">
        <x:v>0</x:v>
      </x:c>
      <x:c r="G760" s="4" t="n">
        <x:v>7764</x:v>
      </x:c>
      <x:c r="H760" s="6" t="n">
        <x:v>62.75</x:v>
      </x:c>
      <x:c r="I760" s="16" t="n">
        <x:v>1</x:v>
      </x:c>
      <x:c r="J760" t="n">
        <x:v>23</x:v>
      </x:c>
      <x:c r="K760" s="4" t="n">
        <x:v>18</x:v>
      </x:c>
      <x:c r="L760" s="4" t="n">
        <x:v>6</x:v>
      </x:c>
      <x:c r="M760" s="4" t="n">
        <x:v>6</x:v>
      </x:c>
      <x:c r="N760" s="5" t="n">
        <x:v>1</x:v>
      </x:c>
    </x:row>
    <x:row r="761" ht="24" customHeight="1">
      <x:c r="A761" s="1" t="str">
        <x:v>RESULT</x:v>
      </x:c>
      <x:c r="B761" s="1" t="str">
        <x:v>Round1</x:v>
      </x:c>
      <x:c r="C761" s="1" t="str">
        <x:v>Math_71</x:v>
      </x:c>
      <x:c r="D761" s="1" t="str">
        <x:v>NOT_AVAILABLE</x:v>
      </x:c>
      <x:c r="E761" s="5"/>
      <x:c r="F761" s="4" t="n">
        <x:v>0</x:v>
      </x:c>
      <x:c r="G761" s="4" t="n">
        <x:v>19701</x:v>
      </x:c>
      <x:c r="H761" s="6" t="n">
        <x:v>123</x:v>
      </x:c>
      <x:c r="I761" s="16" t="n">
        <x:v>1</x:v>
      </x:c>
      <x:c r="J761"/>
      <x:c r="K761" s="4"/>
      <x:c r="L761" s="4"/>
      <x:c r="M761" s="4"/>
      <x:c r="N761" s="5"/>
    </x:row>
    <x:row r="762" ht="24" customHeight="1">
      <x:c r="A762" s="1" t="str">
        <x:v>RESULT</x:v>
      </x:c>
      <x:c r="B762" s="1" t="str">
        <x:v>Round1</x:v>
      </x:c>
      <x:c r="C762" s="1" t="str">
        <x:v>Math_72</x:v>
      </x:c>
      <x:c r="D762" s="1" t="str">
        <x:v>INCONCLUSIVE</x:v>
      </x:c>
      <x:c r="E762" s="5" t="n">
        <x:v>0.8598</x:v>
      </x:c>
      <x:c r="F762" s="4" t="n">
        <x:v>0</x:v>
      </x:c>
      <x:c r="G762" s="4" t="n">
        <x:v>11178</x:v>
      </x:c>
      <x:c r="H762" s="6" t="n">
        <x:v>64.83</x:v>
      </x:c>
      <x:c r="I762" s="16" t="n">
        <x:v>1</x:v>
      </x:c>
      <x:c r="J762" t="n">
        <x:v>107</x:v>
      </x:c>
      <x:c r="K762" s="4" t="n">
        <x:v>92</x:v>
      </x:c>
      <x:c r="L762" s="4" t="n">
        <x:v>54</x:v>
      </x:c>
      <x:c r="M762" s="4" t="n">
        <x:v>44</x:v>
      </x:c>
      <x:c r="N762" s="5" t="n">
        <x:v>0.8148000000000001</x:v>
      </x:c>
    </x:row>
    <x:row r="763" ht="24" customHeight="1">
      <x:c r="A763" s="1" t="str">
        <x:v>RESULT</x:v>
      </x:c>
      <x:c r="B763" s="1" t="str">
        <x:v>Round1</x:v>
      </x:c>
      <x:c r="C763" s="1" t="str">
        <x:v>Math_73</x:v>
      </x:c>
      <x:c r="D763" s="1" t="str">
        <x:v>NOT_REVEALING</x:v>
      </x:c>
      <x:c r="E763" s="5" t="n">
        <x:v>0.8462000000000001</x:v>
      </x:c>
      <x:c r="F763" s="4" t="n">
        <x:v>0</x:v>
      </x:c>
      <x:c r="G763" s="4" t="n">
        <x:v>6713</x:v>
      </x:c>
      <x:c r="H763" s="6" t="n">
        <x:v>27.68</x:v>
      </x:c>
      <x:c r="I763" s="16" t="n">
        <x:v>1</x:v>
      </x:c>
      <x:c r="J763" t="n">
        <x:v>104</x:v>
      </x:c>
      <x:c r="K763" s="4" t="n">
        <x:v>88</x:v>
      </x:c>
      <x:c r="L763" s="4" t="n">
        <x:v>52</x:v>
      </x:c>
      <x:c r="M763" s="4" t="n">
        <x:v>42</x:v>
      </x:c>
      <x:c r="N763" s="5" t="n">
        <x:v>0.8077</x:v>
      </x:c>
    </x:row>
    <x:row r="764" ht="24" customHeight="1">
      <x:c r="A764" s="1" t="str">
        <x:v>RESULT</x:v>
      </x:c>
      <x:c r="B764" s="1" t="str">
        <x:v>Round1</x:v>
      </x:c>
      <x:c r="C764" s="1" t="str">
        <x:v>Math_74</x:v>
      </x:c>
      <x:c r="D764" s="1" t="str">
        <x:v>NOT_AVAILABLE</x:v>
      </x:c>
      <x:c r="E764" s="5"/>
      <x:c r="F764" s="4" t="n">
        <x:v>0</x:v>
      </x:c>
      <x:c r="G764" s="4" t="n">
        <x:v>17383</x:v>
      </x:c>
      <x:c r="H764" s="6" t="n">
        <x:v>125.69</x:v>
      </x:c>
      <x:c r="I764" s="16" t="n">
        <x:v>1</x:v>
      </x:c>
      <x:c r="J764"/>
      <x:c r="K764" s="4"/>
      <x:c r="L764" s="4"/>
      <x:c r="M764" s="4"/>
      <x:c r="N764" s="5"/>
    </x:row>
    <x:row r="765" ht="24" customHeight="1">
      <x:c r="A765" s="1" t="str">
        <x:v>RESULT</x:v>
      </x:c>
      <x:c r="B765" s="1" t="str">
        <x:v>Round1</x:v>
      </x:c>
      <x:c r="C765" s="1" t="str">
        <x:v>Math_75</x:v>
      </x:c>
      <x:c r="D765" s="1" t="str">
        <x:v>INCONCLUSIVE</x:v>
      </x:c>
      <x:c r="E765" s="5" t="n">
        <x:v>0.8506999999999999</x:v>
      </x:c>
      <x:c r="F765" s="4" t="n">
        <x:v>0</x:v>
      </x:c>
      <x:c r="G765" s="4" t="n">
        <x:v>8972</x:v>
      </x:c>
      <x:c r="H765" s="6" t="n">
        <x:v>28.58</x:v>
      </x:c>
      <x:c r="I765" s="16" t="n">
        <x:v>1</x:v>
      </x:c>
      <x:c r="J765" t="n">
        <x:v>134</x:v>
      </x:c>
      <x:c r="K765" s="4" t="n">
        <x:v>114</x:v>
      </x:c>
      <x:c r="L765" s="4" t="n">
        <x:v>48</x:v>
      </x:c>
      <x:c r="M765" s="4" t="n">
        <x:v>37</x:v>
      </x:c>
      <x:c r="N765" s="5" t="n">
        <x:v>0.7707999999999999</x:v>
      </x:c>
    </x:row>
    <x:row r="766" ht="24" customHeight="1">
      <x:c r="A766" s="1" t="str">
        <x:v>RESULT</x:v>
      </x:c>
      <x:c r="B766" s="1" t="str">
        <x:v>Round1</x:v>
      </x:c>
      <x:c r="C766" s="1" t="str">
        <x:v>Math_76</x:v>
      </x:c>
      <x:c r="D766" s="1" t="str">
        <x:v>INCONCLUSIVE</x:v>
      </x:c>
      <x:c r="E766" s="5" t="n">
        <x:v>0.7985</x:v>
      </x:c>
      <x:c r="F766" s="4" t="n">
        <x:v>0</x:v>
      </x:c>
      <x:c r="G766" s="4" t="n">
        <x:v>7946</x:v>
      </x:c>
      <x:c r="H766" s="6" t="n">
        <x:v>28.25</x:v>
      </x:c>
      <x:c r="I766" s="16" t="n">
        <x:v>1</x:v>
      </x:c>
      <x:c r="J766" t="n">
        <x:v>134</x:v>
      </x:c>
      <x:c r="K766" s="4" t="n">
        <x:v>107</x:v>
      </x:c>
      <x:c r="L766" s="4" t="n">
        <x:v>54</x:v>
      </x:c>
      <x:c r="M766" s="4" t="n">
        <x:v>36</x:v>
      </x:c>
      <x:c r="N766" s="5" t="n">
        <x:v>0.6667000000000001</x:v>
      </x:c>
    </x:row>
    <x:row r="767" ht="24" customHeight="1">
      <x:c r="A767" s="1" t="str">
        <x:v>RESULT</x:v>
      </x:c>
      <x:c r="B767" s="1" t="str">
        <x:v>Round1</x:v>
      </x:c>
      <x:c r="C767" s="1" t="str">
        <x:v>Math_77</x:v>
      </x:c>
      <x:c r="D767" s="1" t="str">
        <x:v>NOT_AVAILABLE</x:v>
      </x:c>
      <x:c r="E767" s="5"/>
      <x:c r="F767" s="4" t="n">
        <x:v>0</x:v>
      </x:c>
      <x:c r="G767" s="4" t="n">
        <x:v>23852</x:v>
      </x:c>
      <x:c r="H767" s="6" t="n">
        <x:v>89.57</x:v>
      </x:c>
      <x:c r="I767" s="16" t="n">
        <x:v>1</x:v>
      </x:c>
      <x:c r="J767"/>
      <x:c r="K767" s="4"/>
      <x:c r="L767" s="4"/>
      <x:c r="M767" s="4"/>
      <x:c r="N767" s="5"/>
    </x:row>
    <x:row r="768" ht="24" customHeight="1">
      <x:c r="A768" s="1" t="str">
        <x:v>RESULT</x:v>
      </x:c>
      <x:c r="B768" s="1" t="str">
        <x:v>Round1</x:v>
      </x:c>
      <x:c r="C768" s="1" t="str">
        <x:v>Math_78</x:v>
      </x:c>
      <x:c r="D768" s="1" t="str">
        <x:v>NOT_AVAILABLE</x:v>
      </x:c>
      <x:c r="E768" s="5"/>
      <x:c r="F768" s="4" t="n">
        <x:v>0</x:v>
      </x:c>
      <x:c r="G768" s="4" t="n">
        <x:v>25626</x:v>
      </x:c>
      <x:c r="H768" s="6" t="n">
        <x:v>211.91</x:v>
      </x:c>
      <x:c r="I768" s="16" t="n">
        <x:v>1</x:v>
      </x:c>
      <x:c r="J768"/>
      <x:c r="K768" s="4"/>
      <x:c r="L768" s="4"/>
      <x:c r="M768" s="4"/>
      <x:c r="N768" s="5"/>
    </x:row>
    <x:row r="769" ht="24" customHeight="1">
      <x:c r="A769" s="1" t="str">
        <x:v>RESULT</x:v>
      </x:c>
      <x:c r="B769" s="1" t="str">
        <x:v>Round1</x:v>
      </x:c>
      <x:c r="C769" s="1" t="str">
        <x:v>Math_79</x:v>
      </x:c>
      <x:c r="D769" s="1" t="str">
        <x:v>INCONCLUSIVE</x:v>
      </x:c>
      <x:c r="E769" s="5" t="n">
        <x:v>0.6333</x:v>
      </x:c>
      <x:c r="F769" s="4" t="n">
        <x:v>0</x:v>
      </x:c>
      <x:c r="G769" s="4" t="n">
        <x:v>20155</x:v>
      </x:c>
      <x:c r="H769" s="6" t="n">
        <x:v>98.61</x:v>
      </x:c>
      <x:c r="I769" s="16" t="n">
        <x:v>1</x:v>
      </x:c>
      <x:c r="J769" t="n">
        <x:v>420</x:v>
      </x:c>
      <x:c r="K769" s="4" t="n">
        <x:v>266</x:v>
      </x:c>
      <x:c r="L769" s="4" t="n">
        <x:v>345</x:v>
      </x:c>
      <x:c r="M769" s="4" t="n">
        <x:v>216</x:v>
      </x:c>
      <x:c r="N769" s="5" t="n">
        <x:v>0.6261</x:v>
      </x:c>
    </x:row>
    <x:row r="770" ht="24" customHeight="1">
      <x:c r="A770" s="1" t="str">
        <x:v>RESULT</x:v>
      </x:c>
      <x:c r="B770" s="1" t="str">
        <x:v>Round1</x:v>
      </x:c>
      <x:c r="C770" s="1" t="str">
        <x:v>Math_8</x:v>
      </x:c>
      <x:c r="D770" s="1" t="str">
        <x:v>NOT_AVAILABLE</x:v>
      </x:c>
      <x:c r="E770" s="5" t="n">
        <x:v>0.975</x:v>
      </x:c>
      <x:c r="F770" s="4" t="n">
        <x:v>0</x:v>
      </x:c>
      <x:c r="G770" s="4" t="n">
        <x:v>6361</x:v>
      </x:c>
      <x:c r="H770" s="6" t="n">
        <x:v>36.26</x:v>
      </x:c>
      <x:c r="I770" s="16" t="n">
        <x:v>1</x:v>
      </x:c>
      <x:c r="J770" t="n">
        <x:v>40</x:v>
      </x:c>
      <x:c r="K770" s="4" t="n">
        <x:v>39</x:v>
      </x:c>
      <x:c r="L770" s="4" t="n">
        <x:v>24</x:v>
      </x:c>
      <x:c r="M770" s="4" t="n">
        <x:v>23</x:v>
      </x:c>
      <x:c r="N770" s="5" t="n">
        <x:v>0.9582999999999999</x:v>
      </x:c>
    </x:row>
    <x:row r="771" ht="24" customHeight="1">
      <x:c r="A771" s="1" t="str">
        <x:v>RESULT</x:v>
      </x:c>
      <x:c r="B771" s="1" t="str">
        <x:v>Round1</x:v>
      </x:c>
      <x:c r="C771" s="1" t="str">
        <x:v>Math_80</x:v>
      </x:c>
      <x:c r="D771" s="1" t="str">
        <x:v>INCONCLUSIVE</x:v>
      </x:c>
      <x:c r="E771" s="5" t="n">
        <x:v>0.33020000000000005</x:v>
      </x:c>
      <x:c r="F771" s="4" t="n">
        <x:v>0</x:v>
      </x:c>
      <x:c r="G771" s="4" t="n">
        <x:v>19765</x:v>
      </x:c>
      <x:c r="H771" s="6" t="n">
        <x:v>89.85</x:v>
      </x:c>
      <x:c r="I771" s="16" t="n">
        <x:v>1</x:v>
      </x:c>
      <x:c r="J771" t="n">
        <x:v>854</x:v>
      </x:c>
      <x:c r="K771" s="4" t="n">
        <x:v>282</x:v>
      </x:c>
      <x:c r="L771" s="4" t="n">
        <x:v>414</x:v>
      </x:c>
      <x:c r="M771" s="4" t="n">
        <x:v>80</x:v>
      </x:c>
      <x:c r="N771" s="5" t="n">
        <x:v>0.1932</x:v>
      </x:c>
    </x:row>
    <x:row r="772" ht="24" customHeight="1">
      <x:c r="A772" s="1" t="str">
        <x:v>RESULT</x:v>
      </x:c>
      <x:c r="B772" s="1" t="str">
        <x:v>Round1</x:v>
      </x:c>
      <x:c r="C772" s="1" t="str">
        <x:v>Math_81</x:v>
      </x:c>
      <x:c r="D772" s="1" t="str">
        <x:v>NOT_REVEALING</x:v>
      </x:c>
      <x:c r="E772" s="5" t="n">
        <x:v>0.3353</x:v>
      </x:c>
      <x:c r="F772" s="4" t="n">
        <x:v>0</x:v>
      </x:c>
      <x:c r="G772" s="4" t="n">
        <x:v>18310</x:v>
      </x:c>
      <x:c r="H772" s="6" t="n">
        <x:v>41.98</x:v>
      </x:c>
      <x:c r="I772" s="16" t="n">
        <x:v>1</x:v>
      </x:c>
      <x:c r="J772" t="n">
        <x:v>853</x:v>
      </x:c>
      <x:c r="K772" s="4" t="n">
        <x:v>286</x:v>
      </x:c>
      <x:c r="L772" s="4" t="n">
        <x:v>414</x:v>
      </x:c>
      <x:c r="M772" s="4" t="n">
        <x:v>84</x:v>
      </x:c>
      <x:c r="N772" s="5" t="n">
        <x:v>0.2029</x:v>
      </x:c>
    </x:row>
    <x:row r="773" ht="24" customHeight="1">
      <x:c r="A773" s="1" t="str">
        <x:v>RESULT</x:v>
      </x:c>
      <x:c r="B773" s="1" t="str">
        <x:v>Round1</x:v>
      </x:c>
      <x:c r="C773" s="1" t="str">
        <x:v>Math_82</x:v>
      </x:c>
      <x:c r="D773" s="1" t="str">
        <x:v>NOT_AVAILABLE</x:v>
      </x:c>
      <x:c r="E773" s="5"/>
      <x:c r="F773" s="4" t="n">
        <x:v>0</x:v>
      </x:c>
      <x:c r="G773" s="4" t="n">
        <x:v>9364</x:v>
      </x:c>
      <x:c r="H773" s="6" t="n">
        <x:v>68.84</x:v>
      </x:c>
      <x:c r="I773" s="16" t="n">
        <x:v>1</x:v>
      </x:c>
      <x:c r="J773"/>
      <x:c r="K773" s="4"/>
      <x:c r="L773" s="4"/>
      <x:c r="M773" s="4"/>
      <x:c r="N773" s="5"/>
    </x:row>
    <x:row r="774" ht="24" customHeight="1">
      <x:c r="A774" s="1" t="str">
        <x:v>RESULT</x:v>
      </x:c>
      <x:c r="B774" s="1" t="str">
        <x:v>Round1</x:v>
      </x:c>
      <x:c r="C774" s="1" t="str">
        <x:v>Math_83</x:v>
      </x:c>
      <x:c r="D774" s="1" t="str">
        <x:v>NOT_AVAILABLE</x:v>
      </x:c>
      <x:c r="E774" s="5"/>
      <x:c r="F774" s="4" t="n">
        <x:v>0</x:v>
      </x:c>
      <x:c r="G774" s="4" t="n">
        <x:v>9149</x:v>
      </x:c>
      <x:c r="H774" s="6" t="n">
        <x:v>36.08</x:v>
      </x:c>
      <x:c r="I774" s="16" t="n">
        <x:v>1</x:v>
      </x:c>
      <x:c r="J774"/>
      <x:c r="K774" s="4"/>
      <x:c r="L774" s="4"/>
      <x:c r="M774" s="4"/>
      <x:c r="N774" s="5"/>
    </x:row>
    <x:row r="775" ht="24" customHeight="1">
      <x:c r="A775" s="1" t="str">
        <x:v>RESULT</x:v>
      </x:c>
      <x:c r="B775" s="1" t="str">
        <x:v>Round1</x:v>
      </x:c>
      <x:c r="C775" s="1" t="str">
        <x:v>Math_84</x:v>
      </x:c>
      <x:c r="D775" s="1" t="str">
        <x:v>NOT_AVAILABLE</x:v>
      </x:c>
      <x:c r="E775" s="5"/>
      <x:c r="F775" s="4" t="n">
        <x:v>0</x:v>
      </x:c>
      <x:c r="G775" s="4" t="n">
        <x:v>13211</x:v>
      </x:c>
      <x:c r="H775" s="6" t="n">
        <x:v>124.31</x:v>
      </x:c>
      <x:c r="I775" s="16" t="n">
        <x:v>1</x:v>
      </x:c>
      <x:c r="J775"/>
      <x:c r="K775" s="4"/>
      <x:c r="L775" s="4"/>
      <x:c r="M775" s="4"/>
      <x:c r="N775" s="5"/>
    </x:row>
    <x:row r="776" ht="24" customHeight="1">
      <x:c r="A776" s="1" t="str">
        <x:v>RESULT</x:v>
      </x:c>
      <x:c r="B776" s="1" t="str">
        <x:v>Round1</x:v>
      </x:c>
      <x:c r="C776" s="1" t="str">
        <x:v>Math_85</x:v>
      </x:c>
      <x:c r="D776" s="1" t="str">
        <x:v>REVEALING</x:v>
      </x:c>
      <x:c r="E776" s="5" t="n">
        <x:v>0.9211</x:v>
      </x:c>
      <x:c r="F776" s="4" t="n">
        <x:v>1</x:v>
      </x:c>
      <x:c r="G776" s="4" t="n">
        <x:v>9800</x:v>
      </x:c>
      <x:c r="H776" s="6" t="n">
        <x:v>55.98</x:v>
      </x:c>
      <x:c r="I776" s="16" t="n">
        <x:v>1</x:v>
      </x:c>
      <x:c r="J776" t="n">
        <x:v>38</x:v>
      </x:c>
      <x:c r="K776" s="4" t="n">
        <x:v>35</x:v>
      </x:c>
      <x:c r="L776" s="4" t="n">
        <x:v>22</x:v>
      </x:c>
      <x:c r="M776" s="4" t="n">
        <x:v>19</x:v>
      </x:c>
      <x:c r="N776" s="5" t="n">
        <x:v>0.8636</x:v>
      </x:c>
    </x:row>
    <x:row r="777" ht="24" customHeight="1">
      <x:c r="A777" s="1" t="str">
        <x:v>RESULT</x:v>
      </x:c>
      <x:c r="B777" s="1" t="str">
        <x:v>Round1</x:v>
      </x:c>
      <x:c r="C777" s="1" t="str">
        <x:v>Math_86</x:v>
      </x:c>
      <x:c r="D777" s="1" t="str">
        <x:v>NOT_AVAILABLE</x:v>
      </x:c>
      <x:c r="E777" s="5"/>
      <x:c r="F777" s="4" t="n">
        <x:v>0</x:v>
      </x:c>
      <x:c r="G777" s="4" t="n">
        <x:v>8446</x:v>
      </x:c>
      <x:c r="H777" s="6" t="n">
        <x:v>39.55</x:v>
      </x:c>
      <x:c r="I777" s="16" t="n">
        <x:v>1</x:v>
      </x:c>
      <x:c r="J777"/>
      <x:c r="K777" s="4"/>
      <x:c r="L777" s="4"/>
      <x:c r="M777" s="4"/>
      <x:c r="N777" s="5"/>
    </x:row>
    <x:row r="778" ht="24" customHeight="1">
      <x:c r="A778" s="1" t="str">
        <x:v>RESULT</x:v>
      </x:c>
      <x:c r="B778" s="1" t="str">
        <x:v>Round1</x:v>
      </x:c>
      <x:c r="C778" s="1" t="str">
        <x:v>Math_87</x:v>
      </x:c>
      <x:c r="D778" s="1" t="str">
        <x:v>NOT_REVEALING</x:v>
      </x:c>
      <x:c r="E778" s="5" t="n">
        <x:v>0.0724</x:v>
      </x:c>
      <x:c r="F778" s="4" t="n">
        <x:v>0</x:v>
      </x:c>
      <x:c r="G778" s="4" t="n">
        <x:v>36437</x:v>
      </x:c>
      <x:c r="H778" s="6" t="n">
        <x:v>172.11</x:v>
      </x:c>
      <x:c r="I778" s="16" t="n">
        <x:v>1</x:v>
      </x:c>
      <x:c r="J778" t="n">
        <x:v>152</x:v>
      </x:c>
      <x:c r="K778" s="4" t="n">
        <x:v>11</x:v>
      </x:c>
      <x:c r="L778" s="4" t="n">
        <x:v>90</x:v>
      </x:c>
      <x:c r="M778" s="4" t="n">
        <x:v>7</x:v>
      </x:c>
      <x:c r="N778" s="5" t="n">
        <x:v>0.07780000000000001</x:v>
      </x:c>
    </x:row>
    <x:row r="779" ht="24" customHeight="1">
      <x:c r="A779" s="1" t="str">
        <x:v>RESULT</x:v>
      </x:c>
      <x:c r="B779" s="1" t="str">
        <x:v>Round1</x:v>
      </x:c>
      <x:c r="C779" s="1" t="str">
        <x:v>Math_88</x:v>
      </x:c>
      <x:c r="D779" s="1" t="str">
        <x:v>NOT_AVAILABLE</x:v>
      </x:c>
      <x:c r="E779" s="5"/>
      <x:c r="F779" s="4" t="n">
        <x:v>0</x:v>
      </x:c>
      <x:c r="G779" s="4" t="n">
        <x:v>8606</x:v>
      </x:c>
      <x:c r="H779" s="6" t="n">
        <x:v>374.3</x:v>
      </x:c>
      <x:c r="I779" s="16" t="n">
        <x:v>1</x:v>
      </x:c>
      <x:c r="J779"/>
      <x:c r="K779" s="4"/>
      <x:c r="L779" s="4"/>
      <x:c r="M779" s="4"/>
      <x:c r="N779" s="5"/>
    </x:row>
    <x:row r="780" ht="24" customHeight="1">
      <x:c r="A780" s="1" t="str">
        <x:v>RESULT</x:v>
      </x:c>
      <x:c r="B780" s="1" t="str">
        <x:v>Round1</x:v>
      </x:c>
      <x:c r="C780" s="1" t="str">
        <x:v>Math_89</x:v>
      </x:c>
      <x:c r="D780" s="1" t="str">
        <x:v>NOT_REVEALING</x:v>
      </x:c>
      <x:c r="E780" s="5" t="n">
        <x:v>0.8981</x:v>
      </x:c>
      <x:c r="F780" s="4" t="n">
        <x:v>0</x:v>
      </x:c>
      <x:c r="G780" s="4" t="n">
        <x:v>9670</x:v>
      </x:c>
      <x:c r="H780" s="6" t="n">
        <x:v>40.8</x:v>
      </x:c>
      <x:c r="I780" s="16" t="n">
        <x:v>1</x:v>
      </x:c>
      <x:c r="J780" t="n">
        <x:v>108</x:v>
      </x:c>
      <x:c r="K780" s="4" t="n">
        <x:v>97</x:v>
      </x:c>
      <x:c r="L780" s="4" t="n">
        <x:v>32</x:v>
      </x:c>
      <x:c r="M780" s="4" t="n">
        <x:v>30</x:v>
      </x:c>
      <x:c r="N780" s="5" t="n">
        <x:v>0.9375</x:v>
      </x:c>
    </x:row>
    <x:row r="781" ht="24" customHeight="1">
      <x:c r="A781" s="1" t="str">
        <x:v>RESULT</x:v>
      </x:c>
      <x:c r="B781" s="1" t="str">
        <x:v>Round1</x:v>
      </x:c>
      <x:c r="C781" s="1" t="str">
        <x:v>Math_9</x:v>
      </x:c>
      <x:c r="D781" s="1" t="str">
        <x:v>NOT_AVAILABLE</x:v>
      </x:c>
      <x:c r="E781" s="5"/>
      <x:c r="F781" s="4" t="n">
        <x:v>0</x:v>
      </x:c>
      <x:c r="G781" s="4" t="n">
        <x:v>11346</x:v>
      </x:c>
      <x:c r="H781" s="6" t="n">
        <x:v>104.47</x:v>
      </x:c>
      <x:c r="I781" s="16" t="n">
        <x:v>1</x:v>
      </x:c>
      <x:c r="J781"/>
      <x:c r="K781" s="4"/>
      <x:c r="L781" s="4"/>
      <x:c r="M781" s="4"/>
      <x:c r="N781" s="5"/>
    </x:row>
    <x:row r="782" ht="24" customHeight="1">
      <x:c r="A782" s="1" t="str">
        <x:v>RESULT</x:v>
      </x:c>
      <x:c r="B782" s="1" t="str">
        <x:v>Round1</x:v>
      </x:c>
      <x:c r="C782" s="1" t="str">
        <x:v>Math_90</x:v>
      </x:c>
      <x:c r="D782" s="1" t="str">
        <x:v>INCONCLUSIVE</x:v>
      </x:c>
      <x:c r="E782" s="5" t="n">
        <x:v>0.8208</x:v>
      </x:c>
      <x:c r="F782" s="4" t="n">
        <x:v>0</x:v>
      </x:c>
      <x:c r="G782" s="4" t="n">
        <x:v>17675</x:v>
      </x:c>
      <x:c r="H782" s="6" t="n">
        <x:v>70.85</x:v>
      </x:c>
      <x:c r="I782" s="16" t="n">
        <x:v>1</x:v>
      </x:c>
      <x:c r="J782" t="n">
        <x:v>106</x:v>
      </x:c>
      <x:c r="K782" s="4" t="n">
        <x:v>87</x:v>
      </x:c>
      <x:c r="L782" s="4" t="n">
        <x:v>32</x:v>
      </x:c>
      <x:c r="M782" s="4" t="n">
        <x:v>29</x:v>
      </x:c>
      <x:c r="N782" s="5" t="n">
        <x:v>0.9062</x:v>
      </x:c>
    </x:row>
    <x:row r="783" ht="24" customHeight="1">
      <x:c r="A783" s="1" t="str">
        <x:v>RESULT</x:v>
      </x:c>
      <x:c r="B783" s="1" t="str">
        <x:v>Round1</x:v>
      </x:c>
      <x:c r="C783" s="1" t="str">
        <x:v>Math_91</x:v>
      </x:c>
      <x:c r="D783" s="1" t="str">
        <x:v>NOT_REVEALING</x:v>
      </x:c>
      <x:c r="E783" s="5" t="n">
        <x:v>0.9693</x:v>
      </x:c>
      <x:c r="F783" s="4" t="n">
        <x:v>0</x:v>
      </x:c>
      <x:c r="G783" s="4" t="n">
        <x:v>57173</x:v>
      </x:c>
      <x:c r="H783" s="6" t="n">
        <x:v>279.31</x:v>
      </x:c>
      <x:c r="I783" s="16" t="n">
        <x:v>1</x:v>
      </x:c>
      <x:c r="J783" t="n">
        <x:v>163</x:v>
      </x:c>
      <x:c r="K783" s="4" t="n">
        <x:v>158</x:v>
      </x:c>
      <x:c r="L783" s="4" t="n">
        <x:v>90</x:v>
      </x:c>
      <x:c r="M783" s="4" t="n">
        <x:v>85</x:v>
      </x:c>
      <x:c r="N783" s="5" t="n">
        <x:v>0.9444</x:v>
      </x:c>
    </x:row>
    <x:row r="784" ht="24" customHeight="1">
      <x:c r="A784" s="1" t="str">
        <x:v>RESULT</x:v>
      </x:c>
      <x:c r="B784" s="1" t="str">
        <x:v>Round1</x:v>
      </x:c>
      <x:c r="C784" s="1" t="str">
        <x:v>Math_92</x:v>
      </x:c>
      <x:c r="D784" s="1" t="str">
        <x:v>INCONCLUSIVE</x:v>
      </x:c>
      <x:c r="E784" s="5" t="n">
        <x:v>0.7965000000000001</x:v>
      </x:c>
      <x:c r="F784" s="4" t="n">
        <x:v>0</x:v>
      </x:c>
      <x:c r="G784" s="4" t="n">
        <x:v>11908</x:v>
      </x:c>
      <x:c r="H784" s="6" t="n">
        <x:v>35.16</x:v>
      </x:c>
      <x:c r="I784" s="16" t="n">
        <x:v>1</x:v>
      </x:c>
      <x:c r="J784" t="n">
        <x:v>231</x:v>
      </x:c>
      <x:c r="K784" s="4" t="n">
        <x:v>184</x:v>
      </x:c>
      <x:c r="L784" s="4" t="n">
        <x:v>223</x:v>
      </x:c>
      <x:c r="M784" s="4" t="n">
        <x:v>181</x:v>
      </x:c>
      <x:c r="N784" s="5" t="n">
        <x:v>0.8117</x:v>
      </x:c>
    </x:row>
    <x:row r="785" ht="24" customHeight="1">
      <x:c r="A785" s="1" t="str">
        <x:v>RESULT</x:v>
      </x:c>
      <x:c r="B785" s="1" t="str">
        <x:v>Round1</x:v>
      </x:c>
      <x:c r="C785" s="1" t="str">
        <x:v>Math_93</x:v>
      </x:c>
      <x:c r="D785" s="1" t="str">
        <x:v>NOT_REVEALING</x:v>
      </x:c>
      <x:c r="E785" s="5" t="n">
        <x:v>0.9336</x:v>
      </x:c>
      <x:c r="F785" s="4" t="n">
        <x:v>0</x:v>
      </x:c>
      <x:c r="G785" s="4" t="n">
        <x:v>38445</x:v>
      </x:c>
      <x:c r="H785" s="6" t="n">
        <x:v>178.93</x:v>
      </x:c>
      <x:c r="I785" s="16" t="n">
        <x:v>1</x:v>
      </x:c>
      <x:c r="J785" t="n">
        <x:v>226</x:v>
      </x:c>
      <x:c r="K785" s="4" t="n">
        <x:v>211</x:v>
      </x:c>
      <x:c r="L785" s="4" t="n">
        <x:v>217</x:v>
      </x:c>
      <x:c r="M785" s="4" t="n">
        <x:v>202</x:v>
      </x:c>
      <x:c r="N785" s="5" t="n">
        <x:v>0.9309000000000001</x:v>
      </x:c>
    </x:row>
    <x:row r="786" ht="24" customHeight="1">
      <x:c r="A786" s="1" t="str">
        <x:v>RESULT</x:v>
      </x:c>
      <x:c r="B786" s="1" t="str">
        <x:v>Round1</x:v>
      </x:c>
      <x:c r="C786" s="1" t="str">
        <x:v>Math_94</x:v>
      </x:c>
      <x:c r="D786" s="1" t="str">
        <x:v>NOT_REVEALING</x:v>
      </x:c>
      <x:c r="E786" s="5" t="n">
        <x:v>0.8</x:v>
      </x:c>
      <x:c r="F786" s="4" t="n">
        <x:v>0</x:v>
      </x:c>
      <x:c r="G786" s="4" t="n">
        <x:v>19295</x:v>
      </x:c>
      <x:c r="H786" s="6" t="n">
        <x:v>73.77</x:v>
      </x:c>
      <x:c r="I786" s="16" t="n">
        <x:v>1</x:v>
      </x:c>
      <x:c r="J786" t="n">
        <x:v>225</x:v>
      </x:c>
      <x:c r="K786" s="4" t="n">
        <x:v>180</x:v>
      </x:c>
      <x:c r="L786" s="4" t="n">
        <x:v>215</x:v>
      </x:c>
      <x:c r="M786" s="4" t="n">
        <x:v>175</x:v>
      </x:c>
      <x:c r="N786" s="5" t="n">
        <x:v>0.8140000000000001</x:v>
      </x:c>
    </x:row>
    <x:row r="787" ht="24" customHeight="1">
      <x:c r="A787" s="1" t="str">
        <x:v>RESULT</x:v>
      </x:c>
      <x:c r="B787" s="1" t="str">
        <x:v>Round1</x:v>
      </x:c>
      <x:c r="C787" s="1" t="str">
        <x:v>Math_95</x:v>
      </x:c>
      <x:c r="D787" s="1" t="str">
        <x:v>NOT_REVEALING</x:v>
      </x:c>
      <x:c r="E787" s="5" t="n">
        <x:v>1</x:v>
      </x:c>
      <x:c r="F787" s="4" t="n">
        <x:v>0</x:v>
      </x:c>
      <x:c r="G787" s="4" t="n">
        <x:v>14726</x:v>
      </x:c>
      <x:c r="H787" s="6" t="n">
        <x:v>77.28</x:v>
      </x:c>
      <x:c r="I787" s="16" t="n">
        <x:v>1</x:v>
      </x:c>
      <x:c r="J787" t="n">
        <x:v>30</x:v>
      </x:c>
      <x:c r="K787" s="4" t="n">
        <x:v>30</x:v>
      </x:c>
      <x:c r="L787" s="4" t="n">
        <x:v>10</x:v>
      </x:c>
      <x:c r="M787" s="4" t="n">
        <x:v>10</x:v>
      </x:c>
      <x:c r="N787" s="5" t="n">
        <x:v>1</x:v>
      </x:c>
    </x:row>
    <x:row r="788" ht="24" customHeight="1">
      <x:c r="A788" s="1" t="str">
        <x:v>RESULT</x:v>
      </x:c>
      <x:c r="B788" s="1" t="str">
        <x:v>Round1</x:v>
      </x:c>
      <x:c r="C788" s="1" t="str">
        <x:v>Math_96</x:v>
      </x:c>
      <x:c r="D788" s="1" t="str">
        <x:v>INCONCLUSIVE</x:v>
      </x:c>
      <x:c r="E788" s="5" t="n">
        <x:v>0.9789</x:v>
      </x:c>
      <x:c r="F788" s="4" t="n">
        <x:v>0</x:v>
      </x:c>
      <x:c r="G788" s="4" t="n">
        <x:v>17203</x:v>
      </x:c>
      <x:c r="H788" s="6" t="n">
        <x:v>76.97</x:v>
      </x:c>
      <x:c r="I788" s="16" t="n">
        <x:v>1</x:v>
      </x:c>
      <x:c r="J788" t="n">
        <x:v>142</x:v>
      </x:c>
      <x:c r="K788" s="4" t="n">
        <x:v>139</x:v>
      </x:c>
      <x:c r="L788" s="4" t="n">
        <x:v>102</x:v>
      </x:c>
      <x:c r="M788" s="4" t="n">
        <x:v>91</x:v>
      </x:c>
      <x:c r="N788" s="5" t="n">
        <x:v>0.8922</x:v>
      </x:c>
    </x:row>
    <x:row r="789" ht="24" customHeight="1">
      <x:c r="A789" s="1" t="str">
        <x:v>RESULT</x:v>
      </x:c>
      <x:c r="B789" s="1" t="str">
        <x:v>Round1</x:v>
      </x:c>
      <x:c r="C789" s="1" t="str">
        <x:v>Math_97</x:v>
      </x:c>
      <x:c r="D789" s="1" t="str">
        <x:v>NOT_REVEALING</x:v>
      </x:c>
      <x:c r="E789" s="5" t="n">
        <x:v>0.9775</x:v>
      </x:c>
      <x:c r="F789" s="4" t="n">
        <x:v>0</x:v>
      </x:c>
      <x:c r="G789" s="4" t="n">
        <x:v>48482</x:v>
      </x:c>
      <x:c r="H789" s="6" t="n">
        <x:v>278.05</x:v>
      </x:c>
      <x:c r="I789" s="16" t="n">
        <x:v>1</x:v>
      </x:c>
      <x:c r="J789" t="n">
        <x:v>89</x:v>
      </x:c>
      <x:c r="K789" s="4" t="n">
        <x:v>87</x:v>
      </x:c>
      <x:c r="L789" s="4" t="n">
        <x:v>46</x:v>
      </x:c>
      <x:c r="M789" s="4" t="n">
        <x:v>41</x:v>
      </x:c>
      <x:c r="N789" s="5" t="n">
        <x:v>0.8913</x:v>
      </x:c>
    </x:row>
    <x:row r="790" ht="24" customHeight="1">
      <x:c r="A790" s="1" t="str">
        <x:v>RESULT</x:v>
      </x:c>
      <x:c r="B790" s="1" t="str">
        <x:v>Round1</x:v>
      </x:c>
      <x:c r="C790" s="1" t="str">
        <x:v>Math_98</x:v>
      </x:c>
      <x:c r="D790" s="1" t="str">
        <x:v>INCONCLUSIVE</x:v>
      </x:c>
      <x:c r="E790" s="5" t="n">
        <x:v>0.8420000000000001</x:v>
      </x:c>
      <x:c r="F790" s="4" t="n">
        <x:v>0</x:v>
      </x:c>
      <x:c r="G790" s="4" t="n">
        <x:v>45308</x:v>
      </x:c>
      <x:c r="H790" s="6" t="n">
        <x:v>164.77</x:v>
      </x:c>
      <x:c r="I790" s="16" t="n">
        <x:v>1</x:v>
      </x:c>
      <x:c r="J790" t="n">
        <x:v>918</x:v>
      </x:c>
      <x:c r="K790" s="4" t="n">
        <x:v>773</x:v>
      </x:c>
      <x:c r="L790" s="4" t="n">
        <x:v>554</x:v>
      </x:c>
      <x:c r="M790" s="4" t="n">
        <x:v>440</x:v>
      </x:c>
      <x:c r="N790" s="5" t="n">
        <x:v>0.7942</x:v>
      </x:c>
    </x:row>
    <x:row r="791" ht="24" customHeight="1">
      <x:c r="A791" s="1" t="str">
        <x:v>RESULT</x:v>
      </x:c>
      <x:c r="B791" s="1" t="str">
        <x:v>Round1</x:v>
      </x:c>
      <x:c r="C791" s="1" t="str">
        <x:v>Math_99</x:v>
      </x:c>
      <x:c r="D791" s="1" t="str">
        <x:v>NOT_REVEALING</x:v>
      </x:c>
      <x:c r="E791" s="5" t="n">
        <x:v>0.9257</x:v>
      </x:c>
      <x:c r="F791" s="4" t="n">
        <x:v>0</x:v>
      </x:c>
      <x:c r="G791" s="4" t="n">
        <x:v>43460</x:v>
      </x:c>
      <x:c r="H791" s="6" t="n">
        <x:v>197.95</x:v>
      </x:c>
      <x:c r="I791" s="16" t="n">
        <x:v>1</x:v>
      </x:c>
      <x:c r="J791" t="n">
        <x:v>269</x:v>
      </x:c>
      <x:c r="K791" s="4" t="n">
        <x:v>249</x:v>
      </x:c>
      <x:c r="L791" s="4" t="n">
        <x:v>271</x:v>
      </x:c>
      <x:c r="M791" s="4" t="n">
        <x:v>245</x:v>
      </x:c>
      <x:c r="N791" s="5" t="n">
        <x:v>0.9041</x:v>
      </x:c>
    </x:row>
    <x:row r="792" ht="24" customHeight="1">
      <x:c r="A792" s="1" t="str">
        <x:v>RESULT</x:v>
      </x:c>
      <x:c r="B792" s="1" t="str">
        <x:v>Round1</x:v>
      </x:c>
      <x:c r="C792" s="1" t="str">
        <x:v>Mockito_1</x:v>
      </x:c>
      <x:c r="D792" s="1" t="str">
        <x:v>NOT_AVAILABLE</x:v>
      </x:c>
      <x:c r="E792" s="5"/>
      <x:c r="F792" s="4" t="n">
        <x:v>0</x:v>
      </x:c>
      <x:c r="G792" s="4" t="n">
        <x:v>6588</x:v>
      </x:c>
      <x:c r="H792" s="6" t="n">
        <x:v>135.45</x:v>
      </x:c>
      <x:c r="I792" s="16" t="n">
        <x:v>1</x:v>
      </x:c>
      <x:c r="J792"/>
      <x:c r="K792" s="4"/>
      <x:c r="L792" s="4"/>
      <x:c r="M792" s="4"/>
      <x:c r="N792" s="5"/>
    </x:row>
    <x:row r="793" ht="24" customHeight="1">
      <x:c r="A793" s="1" t="str">
        <x:v>RESULT</x:v>
      </x:c>
      <x:c r="B793" s="1" t="str">
        <x:v>Round1</x:v>
      </x:c>
      <x:c r="C793" s="1" t="str">
        <x:v>Mockito_10</x:v>
      </x:c>
      <x:c r="D793" s="1" t="str">
        <x:v>NOT_AVAILABLE</x:v>
      </x:c>
      <x:c r="E793" s="5"/>
      <x:c r="F793" s="4" t="n">
        <x:v>0</x:v>
      </x:c>
      <x:c r="G793" s="4" t="n">
        <x:v>5466</x:v>
      </x:c>
      <x:c r="H793" s="6" t="n">
        <x:v>91.57</x:v>
      </x:c>
      <x:c r="I793" s="16" t="n">
        <x:v>1</x:v>
      </x:c>
      <x:c r="J793"/>
      <x:c r="K793" s="4"/>
      <x:c r="L793" s="4"/>
      <x:c r="M793" s="4"/>
      <x:c r="N793" s="5"/>
    </x:row>
    <x:row r="794" ht="24" customHeight="1">
      <x:c r="A794" s="1" t="str">
        <x:v>RESULT</x:v>
      </x:c>
      <x:c r="B794" s="1" t="str">
        <x:v>Round1</x:v>
      </x:c>
      <x:c r="C794" s="1" t="str">
        <x:v>Mockito_11</x:v>
      </x:c>
      <x:c r="D794" s="1" t="str">
        <x:v>INCONCLUSIVE</x:v>
      </x:c>
      <x:c r="E794" s="5" t="n">
        <x:v>1</x:v>
      </x:c>
      <x:c r="F794" s="4" t="n">
        <x:v>0</x:v>
      </x:c>
      <x:c r="G794" s="4" t="n">
        <x:v>3344</x:v>
      </x:c>
      <x:c r="H794" s="6" t="n">
        <x:v>124.42</x:v>
      </x:c>
      <x:c r="I794" s="16" t="n">
        <x:v>1</x:v>
      </x:c>
      <x:c r="J794" t="n">
        <x:v>14</x:v>
      </x:c>
      <x:c r="K794" s="4" t="n">
        <x:v>14</x:v>
      </x:c>
      <x:c r="L794" s="4" t="n">
        <x:v>6</x:v>
      </x:c>
      <x:c r="M794" s="4" t="n">
        <x:v>3</x:v>
      </x:c>
      <x:c r="N794" s="5" t="n">
        <x:v>0.5</x:v>
      </x:c>
    </x:row>
    <x:row r="795" ht="24" customHeight="1">
      <x:c r="A795" s="1" t="str">
        <x:v>RESULT</x:v>
      </x:c>
      <x:c r="B795" s="1" t="str">
        <x:v>Round1</x:v>
      </x:c>
      <x:c r="C795" s="1" t="str">
        <x:v>Mockito_12</x:v>
      </x:c>
      <x:c r="D795" s="1" t="str">
        <x:v>INCONCLUSIVE</x:v>
      </x:c>
      <x:c r="E795" s="5" t="n">
        <x:v>1</x:v>
      </x:c>
      <x:c r="F795" s="4" t="n">
        <x:v>0</x:v>
      </x:c>
      <x:c r="G795" s="4" t="n">
        <x:v>2136</x:v>
      </x:c>
      <x:c r="H795" s="6" t="n">
        <x:v>25.31</x:v>
      </x:c>
      <x:c r="I795" s="16" t="n">
        <x:v>1</x:v>
      </x:c>
      <x:c r="J795" t="n">
        <x:v>6</x:v>
      </x:c>
      <x:c r="K795" s="4" t="n">
        <x:v>6</x:v>
      </x:c>
      <x:c r="L795" s="4" t="n">
        <x:v>4</x:v>
      </x:c>
      <x:c r="M795" s="4" t="n">
        <x:v>3</x:v>
      </x:c>
      <x:c r="N795" s="5" t="n">
        <x:v>0.75</x:v>
      </x:c>
    </x:row>
    <x:row r="796" ht="24" customHeight="1">
      <x:c r="A796" s="1" t="str">
        <x:v>RESULT</x:v>
      </x:c>
      <x:c r="B796" s="1" t="str">
        <x:v>Round1</x:v>
      </x:c>
      <x:c r="C796" s="1" t="str">
        <x:v>Mockito_13</x:v>
      </x:c>
      <x:c r="D796" s="1" t="str">
        <x:v>NOT_AVAILABLE</x:v>
      </x:c>
      <x:c r="E796" s="5"/>
      <x:c r="F796" s="4" t="n">
        <x:v>0</x:v>
      </x:c>
      <x:c r="G796" s="4" t="n">
        <x:v>4520</x:v>
      </x:c>
      <x:c r="H796" s="6" t="n">
        <x:v>71.65</x:v>
      </x:c>
      <x:c r="I796" s="16" t="n">
        <x:v>1</x:v>
      </x:c>
      <x:c r="J796"/>
      <x:c r="K796" s="4"/>
      <x:c r="L796" s="4"/>
      <x:c r="M796" s="4"/>
      <x:c r="N796" s="5"/>
    </x:row>
    <x:row r="797" ht="24" customHeight="1">
      <x:c r="A797" s="1" t="str">
        <x:v>RESULT</x:v>
      </x:c>
      <x:c r="B797" s="1" t="str">
        <x:v>Round1</x:v>
      </x:c>
      <x:c r="C797" s="1" t="str">
        <x:v>Mockito_14</x:v>
      </x:c>
      <x:c r="D797" s="1" t="str">
        <x:v>NOT_AVAILABLE</x:v>
      </x:c>
      <x:c r="E797" s="5"/>
      <x:c r="F797" s="4" t="n">
        <x:v>0</x:v>
      </x:c>
      <x:c r="G797" s="4" t="n">
        <x:v>8755</x:v>
      </x:c>
      <x:c r="H797" s="6" t="n">
        <x:v>138.52</x:v>
      </x:c>
      <x:c r="I797" s="16" t="n">
        <x:v>1</x:v>
      </x:c>
      <x:c r="J797"/>
      <x:c r="K797" s="4"/>
      <x:c r="L797" s="4"/>
      <x:c r="M797" s="4"/>
      <x:c r="N797" s="5"/>
    </x:row>
    <x:row r="798" ht="24" customHeight="1">
      <x:c r="A798" s="1" t="str">
        <x:v>RESULT</x:v>
      </x:c>
      <x:c r="B798" s="1" t="str">
        <x:v>Round1</x:v>
      </x:c>
      <x:c r="C798" s="1" t="str">
        <x:v>Mockito_15</x:v>
      </x:c>
      <x:c r="D798" s="1" t="str">
        <x:v>NOT_REVEALING</x:v>
      </x:c>
      <x:c r="E798" s="5" t="n">
        <x:v>1</x:v>
      </x:c>
      <x:c r="F798" s="4" t="n">
        <x:v>0</x:v>
      </x:c>
      <x:c r="G798" s="4" t="n">
        <x:v>2832</x:v>
      </x:c>
      <x:c r="H798" s="6" t="n">
        <x:v>42.89</x:v>
      </x:c>
      <x:c r="I798" s="16" t="n">
        <x:v>1</x:v>
      </x:c>
      <x:c r="J798" t="n">
        <x:v>13</x:v>
      </x:c>
      <x:c r="K798" s="4" t="n">
        <x:v>13</x:v>
      </x:c>
      <x:c r="L798" s="4" t="n">
        <x:v>2</x:v>
      </x:c>
      <x:c r="M798" s="4" t="n">
        <x:v>2</x:v>
      </x:c>
      <x:c r="N798" s="5" t="n">
        <x:v>1</x:v>
      </x:c>
    </x:row>
    <x:row r="799" ht="24" customHeight="1">
      <x:c r="A799" s="1" t="str">
        <x:v>RESULT</x:v>
      </x:c>
      <x:c r="B799" s="1" t="str">
        <x:v>Round1</x:v>
      </x:c>
      <x:c r="C799" s="1" t="str">
        <x:v>Mockito_16</x:v>
      </x:c>
      <x:c r="D799" s="1" t="str">
        <x:v>NOT_AVAILABLE</x:v>
      </x:c>
      <x:c r="E799" s="5"/>
      <x:c r="F799" s="4" t="n">
        <x:v>0</x:v>
      </x:c>
      <x:c r="G799" s="4" t="n">
        <x:v>10076</x:v>
      </x:c>
      <x:c r="H799" s="6" t="n">
        <x:v>169.96</x:v>
      </x:c>
      <x:c r="I799" s="16" t="n">
        <x:v>1</x:v>
      </x:c>
      <x:c r="J799"/>
      <x:c r="K799" s="4"/>
      <x:c r="L799" s="4"/>
      <x:c r="M799" s="4"/>
      <x:c r="N799" s="5"/>
    </x:row>
    <x:row r="800" ht="24" customHeight="1">
      <x:c r="A800" s="1" t="str">
        <x:v>RESULT</x:v>
      </x:c>
      <x:c r="B800" s="1" t="str">
        <x:v>Round1</x:v>
      </x:c>
      <x:c r="C800" s="1" t="str">
        <x:v>Mockito_17</x:v>
      </x:c>
      <x:c r="D800" s="1" t="str">
        <x:v>NOT_AVAILABLE</x:v>
      </x:c>
      <x:c r="E800" s="5"/>
      <x:c r="F800" s="4" t="n">
        <x:v>0</x:v>
      </x:c>
      <x:c r="G800" s="4" t="n">
        <x:v>7429</x:v>
      </x:c>
      <x:c r="H800" s="6" t="n">
        <x:v>117.79</x:v>
      </x:c>
      <x:c r="I800" s="16" t="n">
        <x:v>1</x:v>
      </x:c>
      <x:c r="J800"/>
      <x:c r="K800" s="4"/>
      <x:c r="L800" s="4"/>
      <x:c r="M800" s="4"/>
      <x:c r="N800" s="5"/>
    </x:row>
    <x:row r="801" ht="24" customHeight="1">
      <x:c r="A801" s="1" t="str">
        <x:v>RESULT</x:v>
      </x:c>
      <x:c r="B801" s="1" t="str">
        <x:v>Round1</x:v>
      </x:c>
      <x:c r="C801" s="1" t="str">
        <x:v>Mockito_18</x:v>
      </x:c>
      <x:c r="D801" s="1" t="str">
        <x:v>NOT_AVAILABLE</x:v>
      </x:c>
      <x:c r="E801" s="5"/>
      <x:c r="F801" s="4" t="n">
        <x:v>0</x:v>
      </x:c>
      <x:c r="G801" s="4" t="n">
        <x:v>4246</x:v>
      </x:c>
      <x:c r="H801" s="6" t="n">
        <x:v>61.5</x:v>
      </x:c>
      <x:c r="I801" s="16" t="n">
        <x:v>1</x:v>
      </x:c>
      <x:c r="J801"/>
      <x:c r="K801" s="4"/>
      <x:c r="L801" s="4"/>
      <x:c r="M801" s="4"/>
      <x:c r="N801" s="5"/>
    </x:row>
    <x:row r="802" ht="24" customHeight="1">
      <x:c r="A802" s="1" t="str">
        <x:v>RESULT</x:v>
      </x:c>
      <x:c r="B802" s="1" t="str">
        <x:v>Round1</x:v>
      </x:c>
      <x:c r="C802" s="1" t="str">
        <x:v>Mockito_19</x:v>
      </x:c>
      <x:c r="D802" s="1" t="str">
        <x:v>NOT_AVAILABLE</x:v>
      </x:c>
      <x:c r="E802" s="5"/>
      <x:c r="F802" s="4" t="n">
        <x:v>0</x:v>
      </x:c>
      <x:c r="G802" s="4" t="n">
        <x:v>18897</x:v>
      </x:c>
      <x:c r="H802" s="6" t="n">
        <x:v>339.03</x:v>
      </x:c>
      <x:c r="I802" s="16" t="n">
        <x:v>1</x:v>
      </x:c>
      <x:c r="J802"/>
      <x:c r="K802" s="4"/>
      <x:c r="L802" s="4"/>
      <x:c r="M802" s="4"/>
      <x:c r="N802" s="5"/>
    </x:row>
    <x:row r="803" ht="24" customHeight="1">
      <x:c r="A803" s="1" t="str">
        <x:v>RESULT</x:v>
      </x:c>
      <x:c r="B803" s="1" t="str">
        <x:v>Round1</x:v>
      </x:c>
      <x:c r="C803" s="1" t="str">
        <x:v>Mockito_2</x:v>
      </x:c>
      <x:c r="D803" s="1" t="str">
        <x:v>INCONCLUSIVE</x:v>
      </x:c>
      <x:c r="E803" s="5" t="n">
        <x:v>1</x:v>
      </x:c>
      <x:c r="F803" s="4" t="n">
        <x:v>0</x:v>
      </x:c>
      <x:c r="G803" s="4" t="n">
        <x:v>3032</x:v>
      </x:c>
      <x:c r="H803" s="6" t="n">
        <x:v>51.9</x:v>
      </x:c>
      <x:c r="I803" s="16" t="n">
        <x:v>1</x:v>
      </x:c>
      <x:c r="J803" t="n">
        <x:v>9</x:v>
      </x:c>
      <x:c r="K803" s="4" t="n">
        <x:v>9</x:v>
      </x:c>
      <x:c r="L803" s="4" t="n">
        <x:v>6</x:v>
      </x:c>
      <x:c r="M803" s="4" t="n">
        <x:v>3</x:v>
      </x:c>
      <x:c r="N803" s="5" t="n">
        <x:v>0.5</x:v>
      </x:c>
    </x:row>
    <x:row r="804" ht="24" customHeight="1">
      <x:c r="A804" s="1" t="str">
        <x:v>RESULT</x:v>
      </x:c>
      <x:c r="B804" s="1" t="str">
        <x:v>Round1</x:v>
      </x:c>
      <x:c r="C804" s="1" t="str">
        <x:v>Mockito_20</x:v>
      </x:c>
      <x:c r="D804" s="1" t="str">
        <x:v>NOT_AVAILABLE</x:v>
      </x:c>
      <x:c r="E804" s="5"/>
      <x:c r="F804" s="4" t="n">
        <x:v>0</x:v>
      </x:c>
      <x:c r="G804" s="4" t="n">
        <x:v>3336</x:v>
      </x:c>
      <x:c r="H804" s="6" t="n">
        <x:v>31.31</x:v>
      </x:c>
      <x:c r="I804" s="16" t="n">
        <x:v>1</x:v>
      </x:c>
      <x:c r="J804"/>
      <x:c r="K804" s="4"/>
      <x:c r="L804" s="4"/>
      <x:c r="M804" s="4"/>
      <x:c r="N804" s="5"/>
    </x:row>
    <x:row r="805" ht="24" customHeight="1">
      <x:c r="A805" s="1" t="str">
        <x:v>RESULT</x:v>
      </x:c>
      <x:c r="B805" s="1" t="str">
        <x:v>Round1</x:v>
      </x:c>
      <x:c r="C805" s="1" t="str">
        <x:v>Mockito_21</x:v>
      </x:c>
      <x:c r="D805" s="1" t="str">
        <x:v>INCONCLUSIVE</x:v>
      </x:c>
      <x:c r="E805" s="5" t="n">
        <x:v>1</x:v>
      </x:c>
      <x:c r="F805" s="4" t="n">
        <x:v>0</x:v>
      </x:c>
      <x:c r="G805" s="4" t="n">
        <x:v>2200</x:v>
      </x:c>
      <x:c r="H805" s="6" t="n">
        <x:v>20.23</x:v>
      </x:c>
      <x:c r="I805" s="16" t="n">
        <x:v>1</x:v>
      </x:c>
      <x:c r="J805" t="n">
        <x:v>16</x:v>
      </x:c>
      <x:c r="K805" s="4" t="n">
        <x:v>16</x:v>
      </x:c>
      <x:c r="L805" s="4" t="n">
        <x:v>2</x:v>
      </x:c>
      <x:c r="M805" s="4" t="n">
        <x:v>2</x:v>
      </x:c>
      <x:c r="N805" s="5" t="n">
        <x:v>1</x:v>
      </x:c>
    </x:row>
    <x:row r="806" ht="24" customHeight="1">
      <x:c r="A806" s="1" t="str">
        <x:v>RESULT</x:v>
      </x:c>
      <x:c r="B806" s="1" t="str">
        <x:v>Round1</x:v>
      </x:c>
      <x:c r="C806" s="1" t="str">
        <x:v>Mockito_22</x:v>
      </x:c>
      <x:c r="D806" s="1" t="str">
        <x:v>NOT_REVEALING</x:v>
      </x:c>
      <x:c r="E806" s="5" t="n">
        <x:v>0.9231</x:v>
      </x:c>
      <x:c r="F806" s="4" t="n">
        <x:v>0</x:v>
      </x:c>
      <x:c r="G806" s="4" t="n">
        <x:v>3178</x:v>
      </x:c>
      <x:c r="H806" s="6" t="n">
        <x:v>51.99</x:v>
      </x:c>
      <x:c r="I806" s="16" t="n">
        <x:v>1</x:v>
      </x:c>
      <x:c r="J806" t="n">
        <x:v>13</x:v>
      </x:c>
      <x:c r="K806" s="4" t="n">
        <x:v>12</x:v>
      </x:c>
      <x:c r="L806" s="4" t="n">
        <x:v>24</x:v>
      </x:c>
      <x:c r="M806" s="4" t="n">
        <x:v>24</x:v>
      </x:c>
      <x:c r="N806" s="5" t="n">
        <x:v>1</x:v>
      </x:c>
    </x:row>
    <x:row r="807" ht="24" customHeight="1">
      <x:c r="A807" s="1" t="str">
        <x:v>RESULT</x:v>
      </x:c>
      <x:c r="B807" s="1" t="str">
        <x:v>Round1</x:v>
      </x:c>
      <x:c r="C807" s="1" t="str">
        <x:v>Mockito_23</x:v>
      </x:c>
      <x:c r="D807" s="1" t="str">
        <x:v>NOT_AVAILABLE</x:v>
      </x:c>
      <x:c r="E807" s="5"/>
      <x:c r="F807" s="4" t="n">
        <x:v>0</x:v>
      </x:c>
      <x:c r="G807" s="4" t="n">
        <x:v>4662</x:v>
      </x:c>
      <x:c r="H807" s="6" t="n">
        <x:v>75.63</x:v>
      </x:c>
      <x:c r="I807" s="16" t="n">
        <x:v>1</x:v>
      </x:c>
      <x:c r="J807"/>
      <x:c r="K807" s="4"/>
      <x:c r="L807" s="4"/>
      <x:c r="M807" s="4"/>
      <x:c r="N807" s="5"/>
    </x:row>
    <x:row r="808" ht="24" customHeight="1">
      <x:c r="A808" s="1" t="str">
        <x:v>RESULT</x:v>
      </x:c>
      <x:c r="B808" s="1" t="str">
        <x:v>Round1</x:v>
      </x:c>
      <x:c r="C808" s="1" t="str">
        <x:v>Mockito_24</x:v>
      </x:c>
      <x:c r="D808" s="1" t="str">
        <x:v>NOT_AVAILABLE</x:v>
      </x:c>
      <x:c r="E808" s="5"/>
      <x:c r="F808" s="4" t="n">
        <x:v>0</x:v>
      </x:c>
      <x:c r="G808" s="4" t="n">
        <x:v>4787</x:v>
      </x:c>
      <x:c r="H808" s="6" t="n">
        <x:v>80.23</x:v>
      </x:c>
      <x:c r="I808" s="16" t="n">
        <x:v>1</x:v>
      </x:c>
      <x:c r="J808"/>
      <x:c r="K808" s="4"/>
      <x:c r="L808" s="4"/>
      <x:c r="M808" s="4"/>
      <x:c r="N808" s="5"/>
    </x:row>
    <x:row r="809" ht="24" customHeight="1">
      <x:c r="A809" s="1" t="str">
        <x:v>RESULT</x:v>
      </x:c>
      <x:c r="B809" s="1" t="str">
        <x:v>Round1</x:v>
      </x:c>
      <x:c r="C809" s="1" t="str">
        <x:v>Mockito_25</x:v>
      </x:c>
      <x:c r="D809" s="1" t="str">
        <x:v>NOT_AVAILABLE</x:v>
      </x:c>
      <x:c r="E809" s="5"/>
      <x:c r="F809" s="4" t="n">
        <x:v>0</x:v>
      </x:c>
      <x:c r="G809" s="4" t="n">
        <x:v>5619</x:v>
      </x:c>
      <x:c r="H809" s="6" t="n">
        <x:v>117.53</x:v>
      </x:c>
      <x:c r="I809" s="16" t="n">
        <x:v>1</x:v>
      </x:c>
      <x:c r="J809"/>
      <x:c r="K809" s="4"/>
      <x:c r="L809" s="4"/>
      <x:c r="M809" s="4"/>
      <x:c r="N809" s="5"/>
    </x:row>
    <x:row r="810" ht="24" customHeight="1">
      <x:c r="A810" s="1" t="str">
        <x:v>RESULT</x:v>
      </x:c>
      <x:c r="B810" s="1" t="str">
        <x:v>Round1</x:v>
      </x:c>
      <x:c r="C810" s="1" t="str">
        <x:v>Mockito_26</x:v>
      </x:c>
      <x:c r="D810" s="1" t="str">
        <x:v>NOT_AVAILABLE</x:v>
      </x:c>
      <x:c r="E810" s="5"/>
      <x:c r="F810" s="4" t="n">
        <x:v>0</x:v>
      </x:c>
      <x:c r="G810" s="4" t="n">
        <x:v>5241</x:v>
      </x:c>
      <x:c r="H810" s="6" t="n">
        <x:v>104.42</x:v>
      </x:c>
      <x:c r="I810" s="16" t="n">
        <x:v>1</x:v>
      </x:c>
      <x:c r="J810"/>
      <x:c r="K810" s="4"/>
      <x:c r="L810" s="4"/>
      <x:c r="M810" s="4"/>
      <x:c r="N810" s="5"/>
    </x:row>
    <x:row r="811" ht="24" customHeight="1">
      <x:c r="A811" s="1" t="str">
        <x:v>RESULT</x:v>
      </x:c>
      <x:c r="B811" s="1" t="str">
        <x:v>Round1</x:v>
      </x:c>
      <x:c r="C811" s="1" t="str">
        <x:v>Mockito_27</x:v>
      </x:c>
      <x:c r="D811" s="1" t="str">
        <x:v>NOT_AVAILABLE</x:v>
      </x:c>
      <x:c r="E811" s="5"/>
      <x:c r="F811" s="4" t="n">
        <x:v>0</x:v>
      </x:c>
      <x:c r="G811" s="4" t="n">
        <x:v>4140</x:v>
      </x:c>
      <x:c r="H811" s="6" t="n">
        <x:v>66.39</x:v>
      </x:c>
      <x:c r="I811" s="16" t="n">
        <x:v>1</x:v>
      </x:c>
      <x:c r="J811"/>
      <x:c r="K811" s="4"/>
      <x:c r="L811" s="4"/>
      <x:c r="M811" s="4"/>
      <x:c r="N811" s="5"/>
    </x:row>
    <x:row r="812" ht="24" customHeight="1">
      <x:c r="A812" s="1" t="str">
        <x:v>RESULT</x:v>
      </x:c>
      <x:c r="B812" s="1" t="str">
        <x:v>Round1</x:v>
      </x:c>
      <x:c r="C812" s="1" t="str">
        <x:v>Mockito_28</x:v>
      </x:c>
      <x:c r="D812" s="1" t="str">
        <x:v>NOT_AVAILABLE</x:v>
      </x:c>
      <x:c r="E812" s="5"/>
      <x:c r="F812" s="4" t="n">
        <x:v>0</x:v>
      </x:c>
      <x:c r="G812" s="4" t="n">
        <x:v>4194</x:v>
      </x:c>
      <x:c r="H812" s="6" t="n">
        <x:v>65.16</x:v>
      </x:c>
      <x:c r="I812" s="16" t="n">
        <x:v>1</x:v>
      </x:c>
      <x:c r="J812"/>
      <x:c r="K812" s="4"/>
      <x:c r="L812" s="4"/>
      <x:c r="M812" s="4"/>
      <x:c r="N812" s="5"/>
    </x:row>
    <x:row r="813" ht="24" customHeight="1">
      <x:c r="A813" s="1" t="str">
        <x:v>RESULT</x:v>
      </x:c>
      <x:c r="B813" s="1" t="str">
        <x:v>Round1</x:v>
      </x:c>
      <x:c r="C813" s="1" t="str">
        <x:v>Mockito_29</x:v>
      </x:c>
      <x:c r="D813" s="1" t="str">
        <x:v>NOT_AVAILABLE</x:v>
      </x:c>
      <x:c r="E813" s="5"/>
      <x:c r="F813" s="4" t="n">
        <x:v>0</x:v>
      </x:c>
      <x:c r="G813" s="4" t="n">
        <x:v>2074</x:v>
      </x:c>
      <x:c r="H813" s="6" t="n">
        <x:v>20.7</x:v>
      </x:c>
      <x:c r="I813" s="16" t="n">
        <x:v>1</x:v>
      </x:c>
      <x:c r="J813"/>
      <x:c r="K813" s="4"/>
      <x:c r="L813" s="4"/>
      <x:c r="M813" s="4"/>
      <x:c r="N813" s="5"/>
    </x:row>
    <x:row r="814" ht="24" customHeight="1">
      <x:c r="A814" s="1" t="str">
        <x:v>RESULT</x:v>
      </x:c>
      <x:c r="B814" s="1" t="str">
        <x:v>Round1</x:v>
      </x:c>
      <x:c r="C814" s="1" t="str">
        <x:v>Mockito_3</x:v>
      </x:c>
      <x:c r="D814" s="1" t="str">
        <x:v>NOT_AVAILABLE</x:v>
      </x:c>
      <x:c r="E814" s="5"/>
      <x:c r="F814" s="4" t="n">
        <x:v>0</x:v>
      </x:c>
      <x:c r="G814" s="4" t="n">
        <x:v>5688</x:v>
      </x:c>
      <x:c r="H814" s="6" t="n">
        <x:v>102.16</x:v>
      </x:c>
      <x:c r="I814" s="16" t="n">
        <x:v>1</x:v>
      </x:c>
      <x:c r="J814"/>
      <x:c r="K814" s="4"/>
      <x:c r="L814" s="4"/>
      <x:c r="M814" s="4"/>
      <x:c r="N814" s="5"/>
    </x:row>
    <x:row r="815" ht="24" customHeight="1">
      <x:c r="A815" s="1" t="str">
        <x:v>RESULT</x:v>
      </x:c>
      <x:c r="B815" s="1" t="str">
        <x:v>Round1</x:v>
      </x:c>
      <x:c r="C815" s="1" t="str">
        <x:v>Mockito_30</x:v>
      </x:c>
      <x:c r="D815" s="1" t="str">
        <x:v>NOT_AVAILABLE</x:v>
      </x:c>
      <x:c r="E815" s="5"/>
      <x:c r="F815" s="4" t="n">
        <x:v>0</x:v>
      </x:c>
      <x:c r="G815" s="4" t="n">
        <x:v>13618</x:v>
      </x:c>
      <x:c r="H815" s="6" t="n">
        <x:v>171.19</x:v>
      </x:c>
      <x:c r="I815" s="16" t="n">
        <x:v>1</x:v>
      </x:c>
      <x:c r="J815"/>
      <x:c r="K815" s="4"/>
      <x:c r="L815" s="4"/>
      <x:c r="M815" s="4"/>
      <x:c r="N815" s="5"/>
    </x:row>
    <x:row r="816" ht="24" customHeight="1">
      <x:c r="A816" s="1" t="str">
        <x:v>RESULT</x:v>
      </x:c>
      <x:c r="B816" s="1" t="str">
        <x:v>Round1</x:v>
      </x:c>
      <x:c r="C816" s="1" t="str">
        <x:v>Mockito_31</x:v>
      </x:c>
      <x:c r="D816" s="1" t="str">
        <x:v>NOT_AVAILABLE</x:v>
      </x:c>
      <x:c r="E816" s="5"/>
      <x:c r="F816" s="4" t="n">
        <x:v>0</x:v>
      </x:c>
      <x:c r="G816" s="4" t="n">
        <x:v>3690</x:v>
      </x:c>
      <x:c r="H816" s="6" t="n">
        <x:v>54.57</x:v>
      </x:c>
      <x:c r="I816" s="16" t="n">
        <x:v>1</x:v>
      </x:c>
      <x:c r="J816"/>
      <x:c r="K816" s="4"/>
      <x:c r="L816" s="4"/>
      <x:c r="M816" s="4"/>
      <x:c r="N816" s="5"/>
    </x:row>
    <x:row r="817" ht="24" customHeight="1">
      <x:c r="A817" s="1" t="str">
        <x:v>RESULT</x:v>
      </x:c>
      <x:c r="B817" s="1" t="str">
        <x:v>Round1</x:v>
      </x:c>
      <x:c r="C817" s="1" t="str">
        <x:v>Mockito_32</x:v>
      </x:c>
      <x:c r="D817" s="1" t="str">
        <x:v>NOT_AVAILABLE</x:v>
      </x:c>
      <x:c r="E817" s="5"/>
      <x:c r="F817" s="4" t="n">
        <x:v>0</x:v>
      </x:c>
      <x:c r="G817" s="4" t="n">
        <x:v>2918</x:v>
      </x:c>
      <x:c r="H817" s="6" t="n">
        <x:v>36.72</x:v>
      </x:c>
      <x:c r="I817" s="16" t="n">
        <x:v>1</x:v>
      </x:c>
      <x:c r="J817"/>
      <x:c r="K817" s="4"/>
      <x:c r="L817" s="4"/>
      <x:c r="M817" s="4"/>
      <x:c r="N817" s="5"/>
    </x:row>
    <x:row r="818" ht="24" customHeight="1">
      <x:c r="A818" s="1" t="str">
        <x:v>RESULT</x:v>
      </x:c>
      <x:c r="B818" s="1" t="str">
        <x:v>Round1</x:v>
      </x:c>
      <x:c r="C818" s="1" t="str">
        <x:v>Mockito_33</x:v>
      </x:c>
      <x:c r="D818" s="1" t="str">
        <x:v>NOT_AVAILABLE</x:v>
      </x:c>
      <x:c r="E818" s="5"/>
      <x:c r="F818" s="4" t="n">
        <x:v>0</x:v>
      </x:c>
      <x:c r="G818" s="4" t="n">
        <x:v>11590</x:v>
      </x:c>
      <x:c r="H818" s="6" t="n">
        <x:v>277.9</x:v>
      </x:c>
      <x:c r="I818" s="16" t="n">
        <x:v>1</x:v>
      </x:c>
      <x:c r="J818"/>
      <x:c r="K818" s="4"/>
      <x:c r="L818" s="4"/>
      <x:c r="M818" s="4"/>
      <x:c r="N818" s="5"/>
    </x:row>
    <x:row r="819" ht="24" customHeight="1">
      <x:c r="A819" s="1" t="str">
        <x:v>RESULT</x:v>
      </x:c>
      <x:c r="B819" s="1" t="str">
        <x:v>Round1</x:v>
      </x:c>
      <x:c r="C819" s="1" t="str">
        <x:v>Mockito_34</x:v>
      </x:c>
      <x:c r="D819" s="1" t="str">
        <x:v>NOT_AVAILABLE</x:v>
      </x:c>
      <x:c r="E819" s="5"/>
      <x:c r="F819" s="4" t="n">
        <x:v>0</x:v>
      </x:c>
      <x:c r="G819" s="4" t="n">
        <x:v>4626</x:v>
      </x:c>
      <x:c r="H819" s="6" t="n">
        <x:v>85.83</x:v>
      </x:c>
      <x:c r="I819" s="16" t="n">
        <x:v>1</x:v>
      </x:c>
      <x:c r="J819"/>
      <x:c r="K819" s="4"/>
      <x:c r="L819" s="4"/>
      <x:c r="M819" s="4"/>
      <x:c r="N819" s="5"/>
    </x:row>
    <x:row r="820" ht="24" customHeight="1">
      <x:c r="A820" s="1" t="str">
        <x:v>RESULT</x:v>
      </x:c>
      <x:c r="B820" s="1" t="str">
        <x:v>Round1</x:v>
      </x:c>
      <x:c r="C820" s="1" t="str">
        <x:v>Mockito_35</x:v>
      </x:c>
      <x:c r="D820" s="1" t="str">
        <x:v>NOT_AVAILABLE</x:v>
      </x:c>
      <x:c r="E820" s="5"/>
      <x:c r="F820" s="4" t="n">
        <x:v>0</x:v>
      </x:c>
      <x:c r="G820" s="4" t="n">
        <x:v>9319</x:v>
      </x:c>
      <x:c r="H820" s="6" t="n">
        <x:v>83.19</x:v>
      </x:c>
      <x:c r="I820" s="16" t="n">
        <x:v>1</x:v>
      </x:c>
      <x:c r="J820"/>
      <x:c r="K820" s="4"/>
      <x:c r="L820" s="4"/>
      <x:c r="M820" s="4"/>
      <x:c r="N820" s="5"/>
    </x:row>
    <x:row r="821" ht="24" customHeight="1">
      <x:c r="A821" s="1" t="str">
        <x:v>RESULT</x:v>
      </x:c>
      <x:c r="B821" s="1" t="str">
        <x:v>Round1</x:v>
      </x:c>
      <x:c r="C821" s="1" t="str">
        <x:v>Mockito_36</x:v>
      </x:c>
      <x:c r="D821" s="1" t="str">
        <x:v>NOT_AVAILABLE</x:v>
      </x:c>
      <x:c r="E821" s="5"/>
      <x:c r="F821" s="4" t="n">
        <x:v>0</x:v>
      </x:c>
      <x:c r="G821" s="4" t="n">
        <x:v>5657</x:v>
      </x:c>
      <x:c r="H821" s="6" t="n">
        <x:v>95.47</x:v>
      </x:c>
      <x:c r="I821" s="16" t="n">
        <x:v>1</x:v>
      </x:c>
      <x:c r="J821"/>
      <x:c r="K821" s="4"/>
      <x:c r="L821" s="4"/>
      <x:c r="M821" s="4"/>
      <x:c r="N821" s="5"/>
    </x:row>
    <x:row r="822" ht="24" customHeight="1">
      <x:c r="A822" s="1" t="str">
        <x:v>RESULT</x:v>
      </x:c>
      <x:c r="B822" s="1" t="str">
        <x:v>Round1</x:v>
      </x:c>
      <x:c r="C822" s="1" t="str">
        <x:v>Mockito_37</x:v>
      </x:c>
      <x:c r="D822" s="1" t="str">
        <x:v>INCONCLUSIVE</x:v>
      </x:c>
      <x:c r="E822" s="5" t="n">
        <x:v>1</x:v>
      </x:c>
      <x:c r="F822" s="4" t="n">
        <x:v>0</x:v>
      </x:c>
      <x:c r="G822" s="4" t="n">
        <x:v>2879</x:v>
      </x:c>
      <x:c r="H822" s="6" t="n">
        <x:v>39.73</x:v>
      </x:c>
      <x:c r="I822" s="16" t="n">
        <x:v>1</x:v>
      </x:c>
      <x:c r="J822" t="n">
        <x:v>27</x:v>
      </x:c>
      <x:c r="K822" s="4" t="n">
        <x:v>27</x:v>
      </x:c>
      <x:c r="L822" s="4" t="n">
        <x:v>26</x:v>
      </x:c>
      <x:c r="M822" s="4" t="n">
        <x:v>25</x:v>
      </x:c>
      <x:c r="N822" s="5" t="n">
        <x:v>0.9615</x:v>
      </x:c>
    </x:row>
    <x:row r="823" ht="24" customHeight="1">
      <x:c r="A823" s="1" t="str">
        <x:v>RESULT</x:v>
      </x:c>
      <x:c r="B823" s="1" t="str">
        <x:v>Round1</x:v>
      </x:c>
      <x:c r="C823" s="1" t="str">
        <x:v>Mockito_38</x:v>
      </x:c>
      <x:c r="D823" s="1" t="str">
        <x:v>NOT_AVAILABLE</x:v>
      </x:c>
      <x:c r="E823" s="5"/>
      <x:c r="F823" s="4" t="n">
        <x:v>0</x:v>
      </x:c>
      <x:c r="G823" s="4" t="n">
        <x:v>3811</x:v>
      </x:c>
      <x:c r="H823" s="6" t="n">
        <x:v>66.25</x:v>
      </x:c>
      <x:c r="I823" s="16" t="n">
        <x:v>1</x:v>
      </x:c>
      <x:c r="J823"/>
      <x:c r="K823" s="4"/>
      <x:c r="L823" s="4"/>
      <x:c r="M823" s="4"/>
      <x:c r="N823" s="5"/>
    </x:row>
    <x:row r="824" ht="24" customHeight="1">
      <x:c r="A824" s="1" t="str">
        <x:v>RESULT</x:v>
      </x:c>
      <x:c r="B824" s="1" t="str">
        <x:v>Round1</x:v>
      </x:c>
      <x:c r="C824" s="1" t="str">
        <x:v>Mockito_4</x:v>
      </x:c>
      <x:c r="D824" s="1" t="str">
        <x:v>NOT_AVAILABLE</x:v>
      </x:c>
      <x:c r="E824" s="5"/>
      <x:c r="F824" s="4" t="n">
        <x:v>0</x:v>
      </x:c>
      <x:c r="G824" s="4" t="n">
        <x:v>15684</x:v>
      </x:c>
      <x:c r="H824" s="6" t="n">
        <x:v>195.15</x:v>
      </x:c>
      <x:c r="I824" s="16" t="n">
        <x:v>1</x:v>
      </x:c>
      <x:c r="J824"/>
      <x:c r="K824" s="4"/>
      <x:c r="L824" s="4"/>
      <x:c r="M824" s="4"/>
      <x:c r="N824" s="5"/>
    </x:row>
    <x:row r="825" ht="24" customHeight="1">
      <x:c r="A825" s="1" t="str">
        <x:v>RESULT</x:v>
      </x:c>
      <x:c r="B825" s="1" t="str">
        <x:v>Round1</x:v>
      </x:c>
      <x:c r="C825" s="1" t="str">
        <x:v>Mockito_5</x:v>
      </x:c>
      <x:c r="D825" s="1" t="str">
        <x:v>NOT_AVAILABLE</x:v>
      </x:c>
      <x:c r="E825" s="5"/>
      <x:c r="F825" s="4" t="n">
        <x:v>0</x:v>
      </x:c>
      <x:c r="G825" s="4" t="n">
        <x:v>3771</x:v>
      </x:c>
      <x:c r="H825" s="6" t="n">
        <x:v>44.4</x:v>
      </x:c>
      <x:c r="I825" s="16" t="n">
        <x:v>1</x:v>
      </x:c>
      <x:c r="J825"/>
      <x:c r="K825" s="4"/>
      <x:c r="L825" s="4"/>
      <x:c r="M825" s="4"/>
      <x:c r="N825" s="5"/>
    </x:row>
    <x:row r="826" ht="24" customHeight="1">
      <x:c r="A826" s="1" t="str">
        <x:v>RESULT</x:v>
      </x:c>
      <x:c r="B826" s="1" t="str">
        <x:v>Round1</x:v>
      </x:c>
      <x:c r="C826" s="1" t="str">
        <x:v>Mockito_6</x:v>
      </x:c>
      <x:c r="D826" s="1" t="str">
        <x:v>INCONCLUSIVE</x:v>
      </x:c>
      <x:c r="E826" s="5" t="n">
        <x:v>0.9818000000000001</x:v>
      </x:c>
      <x:c r="F826" s="4" t="n">
        <x:v>0</x:v>
      </x:c>
      <x:c r="G826" s="4" t="n">
        <x:v>5536</x:v>
      </x:c>
      <x:c r="H826" s="6" t="n">
        <x:v>87.21</x:v>
      </x:c>
      <x:c r="I826" s="16" t="n">
        <x:v>1</x:v>
      </x:c>
      <x:c r="J826" t="n">
        <x:v>55</x:v>
      </x:c>
      <x:c r="K826" s="4" t="n">
        <x:v>54</x:v>
      </x:c>
      <x:c r="L826" s="4" t="n">
        <x:v>0</x:v>
      </x:c>
      <x:c r="M826" s="4" t="n">
        <x:v>0</x:v>
      </x:c>
      <x:c r="N826" s="5"/>
    </x:row>
    <x:row r="827" ht="24" customHeight="1">
      <x:c r="A827" s="1" t="str">
        <x:v>RESULT</x:v>
      </x:c>
      <x:c r="B827" s="1" t="str">
        <x:v>Round1</x:v>
      </x:c>
      <x:c r="C827" s="1" t="str">
        <x:v>Mockito_7</x:v>
      </x:c>
      <x:c r="D827" s="1" t="str">
        <x:v>INCONCLUSIVE</x:v>
      </x:c>
      <x:c r="E827" s="5" t="n">
        <x:v>0.6437</x:v>
      </x:c>
      <x:c r="F827" s="4" t="n">
        <x:v>0</x:v>
      </x:c>
      <x:c r="G827" s="4" t="n">
        <x:v>8835</x:v>
      </x:c>
      <x:c r="H827" s="6" t="n">
        <x:v>74.59</x:v>
      </x:c>
      <x:c r="I827" s="16" t="n">
        <x:v>1</x:v>
      </x:c>
      <x:c r="J827" t="n">
        <x:v>174</x:v>
      </x:c>
      <x:c r="K827" s="4" t="n">
        <x:v>112</x:v>
      </x:c>
      <x:c r="L827" s="4" t="n">
        <x:v>82</x:v>
      </x:c>
      <x:c r="M827" s="4" t="n">
        <x:v>39</x:v>
      </x:c>
      <x:c r="N827" s="5" t="n">
        <x:v>0.4756</x:v>
      </x:c>
    </x:row>
    <x:row r="828" ht="24" customHeight="1">
      <x:c r="A828" s="1" t="str">
        <x:v>RESULT</x:v>
      </x:c>
      <x:c r="B828" s="1" t="str">
        <x:v>Round1</x:v>
      </x:c>
      <x:c r="C828" s="1" t="str">
        <x:v>Mockito_8</x:v>
      </x:c>
      <x:c r="D828" s="1" t="str">
        <x:v>INCONCLUSIVE</x:v>
      </x:c>
      <x:c r="E828" s="5" t="n">
        <x:v>0.5722999999999999</x:v>
      </x:c>
      <x:c r="F828" s="4" t="n">
        <x:v>0</x:v>
      </x:c>
      <x:c r="G828" s="4" t="n">
        <x:v>8563</x:v>
      </x:c>
      <x:c r="H828" s="6" t="n">
        <x:v>66.56</x:v>
      </x:c>
      <x:c r="I828" s="16" t="n">
        <x:v>1</x:v>
      </x:c>
      <x:c r="J828" t="n">
        <x:v>173</x:v>
      </x:c>
      <x:c r="K828" s="4" t="n">
        <x:v>99</x:v>
      </x:c>
      <x:c r="L828" s="4" t="n">
        <x:v>80</x:v>
      </x:c>
      <x:c r="M828" s="4" t="n">
        <x:v>37</x:v>
      </x:c>
      <x:c r="N828" s="5" t="n">
        <x:v>0.4625</x:v>
      </x:c>
    </x:row>
    <x:row r="829" ht="24" customHeight="1">
      <x:c r="A829" s="1" t="str">
        <x:v>RESULT</x:v>
      </x:c>
      <x:c r="B829" s="1" t="str">
        <x:v>Round1</x:v>
      </x:c>
      <x:c r="C829" s="1" t="str">
        <x:v>Mockito_9</x:v>
      </x:c>
      <x:c r="D829" s="1" t="str">
        <x:v>INCONCLUSIVE</x:v>
      </x:c>
      <x:c r="E829" s="5" t="n">
        <x:v>1</x:v>
      </x:c>
      <x:c r="F829" s="4" t="n">
        <x:v>0</x:v>
      </x:c>
      <x:c r="G829" s="4" t="n">
        <x:v>2107</x:v>
      </x:c>
      <x:c r="H829" s="6" t="n">
        <x:v>16.5</x:v>
      </x:c>
      <x:c r="I829" s="16" t="n">
        <x:v>1</x:v>
      </x:c>
      <x:c r="J829" t="n">
        <x:v>2</x:v>
      </x:c>
      <x:c r="K829" s="4" t="n">
        <x:v>2</x:v>
      </x:c>
      <x:c r="L829" s="4" t="n">
        <x:v>0</x:v>
      </x:c>
      <x:c r="M829" s="4" t="n">
        <x:v>0</x:v>
      </x:c>
      <x:c r="N829" s="5"/>
    </x:row>
    <x:row r="830" ht="24" customHeight="1">
      <x:c r="A830" s="1" t="str">
        <x:v>RESULT</x:v>
      </x:c>
      <x:c r="B830" s="1" t="str">
        <x:v>Round1</x:v>
      </x:c>
      <x:c r="C830" s="1" t="str">
        <x:v>Time_1</x:v>
      </x:c>
      <x:c r="D830" s="1" t="str">
        <x:v>NOT_AVAILABLE</x:v>
      </x:c>
      <x:c r="E830" s="5"/>
      <x:c r="F830" s="4" t="n">
        <x:v>0</x:v>
      </x:c>
      <x:c r="G830" s="4" t="n">
        <x:v>12206</x:v>
      </x:c>
      <x:c r="H830" s="6" t="n">
        <x:v>147.6</x:v>
      </x:c>
      <x:c r="I830" s="16" t="n">
        <x:v>1</x:v>
      </x:c>
      <x:c r="J830"/>
      <x:c r="K830" s="4"/>
      <x:c r="L830" s="4"/>
      <x:c r="M830" s="4"/>
      <x:c r="N830" s="5"/>
    </x:row>
    <x:row r="831" ht="24" customHeight="1">
      <x:c r="A831" s="1" t="str">
        <x:v>RESULT</x:v>
      </x:c>
      <x:c r="B831" s="1" t="str">
        <x:v>Round1</x:v>
      </x:c>
      <x:c r="C831" s="1" t="str">
        <x:v>Time_10</x:v>
      </x:c>
      <x:c r="D831" s="1" t="str">
        <x:v>NOT_AVAILABLE</x:v>
      </x:c>
      <x:c r="E831" s="5"/>
      <x:c r="F831" s="4" t="n">
        <x:v>0</x:v>
      </x:c>
      <x:c r="G831" s="4" t="n">
        <x:v>6295</x:v>
      </x:c>
      <x:c r="H831" s="6" t="n">
        <x:v>72.39</x:v>
      </x:c>
      <x:c r="I831" s="16" t="n">
        <x:v>1</x:v>
      </x:c>
      <x:c r="J831"/>
      <x:c r="K831" s="4"/>
      <x:c r="L831" s="4"/>
      <x:c r="M831" s="4"/>
      <x:c r="N831" s="5"/>
    </x:row>
    <x:row r="832" ht="24" customHeight="1">
      <x:c r="A832" s="1" t="str">
        <x:v>RESULT</x:v>
      </x:c>
      <x:c r="B832" s="1" t="str">
        <x:v>Round1</x:v>
      </x:c>
      <x:c r="C832" s="1" t="str">
        <x:v>Time_11</x:v>
      </x:c>
      <x:c r="D832" s="1" t="str">
        <x:v>NOT_AVAILABLE</x:v>
      </x:c>
      <x:c r="E832" s="5"/>
      <x:c r="F832" s="4" t="n">
        <x:v>0</x:v>
      </x:c>
      <x:c r="G832" s="4" t="n">
        <x:v>9879</x:v>
      </x:c>
      <x:c r="H832" s="6" t="n">
        <x:v>98.95</x:v>
      </x:c>
      <x:c r="I832" s="16" t="n">
        <x:v>1</x:v>
      </x:c>
      <x:c r="J832"/>
      <x:c r="K832" s="4"/>
      <x:c r="L832" s="4"/>
      <x:c r="M832" s="4"/>
      <x:c r="N832" s="5"/>
    </x:row>
    <x:row r="833" ht="24" customHeight="1">
      <x:c r="A833" s="1" t="str">
        <x:v>RESULT</x:v>
      </x:c>
      <x:c r="B833" s="1" t="str">
        <x:v>Round1</x:v>
      </x:c>
      <x:c r="C833" s="1" t="str">
        <x:v>Time_12</x:v>
      </x:c>
      <x:c r="D833" s="1" t="str">
        <x:v>NOT_AVAILABLE</x:v>
      </x:c>
      <x:c r="E833" s="5"/>
      <x:c r="F833" s="4" t="n">
        <x:v>0</x:v>
      </x:c>
      <x:c r="G833" s="4" t="n">
        <x:v>26068</x:v>
      </x:c>
      <x:c r="H833" s="6" t="n">
        <x:v>357.61</x:v>
      </x:c>
      <x:c r="I833" s="16" t="n">
        <x:v>1</x:v>
      </x:c>
      <x:c r="J833"/>
      <x:c r="K833" s="4"/>
      <x:c r="L833" s="4"/>
      <x:c r="M833" s="4"/>
      <x:c r="N833" s="5"/>
    </x:row>
    <x:row r="834" ht="24" customHeight="1">
      <x:c r="A834" s="1" t="str">
        <x:v>RESULT</x:v>
      </x:c>
      <x:c r="B834" s="1" t="str">
        <x:v>Round1</x:v>
      </x:c>
      <x:c r="C834" s="1" t="str">
        <x:v>Time_13</x:v>
      </x:c>
      <x:c r="D834" s="1" t="str">
        <x:v>INCONCLUSIVE</x:v>
      </x:c>
      <x:c r="E834" s="5" t="n">
        <x:v>0.3274</x:v>
      </x:c>
      <x:c r="F834" s="4" t="n">
        <x:v>0</x:v>
      </x:c>
      <x:c r="G834" s="4" t="n">
        <x:v>12886</x:v>
      </x:c>
      <x:c r="H834" s="6" t="n">
        <x:v>58.74</x:v>
      </x:c>
      <x:c r="I834" s="16" t="n">
        <x:v>1</x:v>
      </x:c>
      <x:c r="J834" t="n">
        <x:v>672</x:v>
      </x:c>
      <x:c r="K834" s="4" t="n">
        <x:v>220</x:v>
      </x:c>
      <x:c r="L834" s="4" t="n">
        <x:v>452</x:v>
      </x:c>
      <x:c r="M834" s="4" t="n">
        <x:v>61</x:v>
      </x:c>
      <x:c r="N834" s="5" t="n">
        <x:v>0.135</x:v>
      </x:c>
    </x:row>
    <x:row r="835" ht="24" customHeight="1">
      <x:c r="A835" s="1" t="str">
        <x:v>RESULT</x:v>
      </x:c>
      <x:c r="B835" s="1" t="str">
        <x:v>Round1</x:v>
      </x:c>
      <x:c r="C835" s="1" t="str">
        <x:v>Time_14</x:v>
      </x:c>
      <x:c r="D835" s="1" t="str">
        <x:v>NOT_AVAILABLE</x:v>
      </x:c>
      <x:c r="E835" s="5"/>
      <x:c r="F835" s="4" t="n">
        <x:v>0</x:v>
      </x:c>
      <x:c r="G835" s="4" t="n">
        <x:v>7182</x:v>
      </x:c>
      <x:c r="H835" s="6" t="n">
        <x:v>75.3</x:v>
      </x:c>
      <x:c r="I835" s="16" t="n">
        <x:v>1</x:v>
      </x:c>
      <x:c r="J835"/>
      <x:c r="K835" s="4"/>
      <x:c r="L835" s="4"/>
      <x:c r="M835" s="4"/>
      <x:c r="N835" s="5"/>
    </x:row>
    <x:row r="836" ht="24" customHeight="1">
      <x:c r="A836" s="1" t="str">
        <x:v>RESULT</x:v>
      </x:c>
      <x:c r="B836" s="1" t="str">
        <x:v>Round1</x:v>
      </x:c>
      <x:c r="C836" s="1" t="str">
        <x:v>Time_15</x:v>
      </x:c>
      <x:c r="D836" s="1" t="str">
        <x:v>NOT_AVAILABLE</x:v>
      </x:c>
      <x:c r="E836" s="5"/>
      <x:c r="F836" s="4" t="n">
        <x:v>0</x:v>
      </x:c>
      <x:c r="G836" s="4" t="n">
        <x:v>8172</x:v>
      </x:c>
      <x:c r="H836" s="6" t="n">
        <x:v>123.44</x:v>
      </x:c>
      <x:c r="I836" s="16" t="n">
        <x:v>1</x:v>
      </x:c>
      <x:c r="J836"/>
      <x:c r="K836" s="4"/>
      <x:c r="L836" s="4"/>
      <x:c r="M836" s="4"/>
      <x:c r="N836" s="5"/>
    </x:row>
    <x:row r="837" ht="24" customHeight="1">
      <x:c r="A837" s="1" t="str">
        <x:v>RESULT</x:v>
      </x:c>
      <x:c r="B837" s="1" t="str">
        <x:v>Round1</x:v>
      </x:c>
      <x:c r="C837" s="1" t="str">
        <x:v>Time_16</x:v>
      </x:c>
      <x:c r="D837" s="1" t="str">
        <x:v>NOT_AVAILABLE</x:v>
      </x:c>
      <x:c r="E837" s="5"/>
      <x:c r="F837" s="4" t="n">
        <x:v>0</x:v>
      </x:c>
      <x:c r="G837" s="4" t="n">
        <x:v>7303</x:v>
      </x:c>
      <x:c r="H837" s="6" t="n">
        <x:v>93.97</x:v>
      </x:c>
      <x:c r="I837" s="16" t="n">
        <x:v>1</x:v>
      </x:c>
      <x:c r="J837"/>
      <x:c r="K837" s="4"/>
      <x:c r="L837" s="4"/>
      <x:c r="M837" s="4"/>
      <x:c r="N837" s="5"/>
    </x:row>
    <x:row r="838" ht="24" customHeight="1">
      <x:c r="A838" s="1" t="str">
        <x:v>RESULT</x:v>
      </x:c>
      <x:c r="B838" s="1" t="str">
        <x:v>Round1</x:v>
      </x:c>
      <x:c r="C838" s="1" t="str">
        <x:v>Time_17</x:v>
      </x:c>
      <x:c r="D838" s="1" t="str">
        <x:v>NOT_AVAILABLE</x:v>
      </x:c>
      <x:c r="E838" s="5"/>
      <x:c r="F838" s="4" t="n">
        <x:v>0</x:v>
      </x:c>
      <x:c r="G838" s="4" t="n">
        <x:v>8939</x:v>
      </x:c>
      <x:c r="H838" s="6" t="n">
        <x:v>97.31</x:v>
      </x:c>
      <x:c r="I838" s="16" t="n">
        <x:v>1</x:v>
      </x:c>
      <x:c r="J838"/>
      <x:c r="K838" s="4"/>
      <x:c r="L838" s="4"/>
      <x:c r="M838" s="4"/>
      <x:c r="N838" s="5"/>
    </x:row>
    <x:row r="839" ht="24" customHeight="1">
      <x:c r="A839" s="1" t="str">
        <x:v>RESULT</x:v>
      </x:c>
      <x:c r="B839" s="1" t="str">
        <x:v>Round1</x:v>
      </x:c>
      <x:c r="C839" s="1" t="str">
        <x:v>Time_18</x:v>
      </x:c>
      <x:c r="D839" s="1" t="str">
        <x:v>NOT_AVAILABLE</x:v>
      </x:c>
      <x:c r="E839" s="5"/>
      <x:c r="F839" s="4" t="n">
        <x:v>0</x:v>
      </x:c>
      <x:c r="G839" s="4" t="n">
        <x:v>9994</x:v>
      </x:c>
      <x:c r="H839" s="6" t="n">
        <x:v>65.35</x:v>
      </x:c>
      <x:c r="I839" s="16" t="n">
        <x:v>1</x:v>
      </x:c>
      <x:c r="J839"/>
      <x:c r="K839" s="4"/>
      <x:c r="L839" s="4"/>
      <x:c r="M839" s="4"/>
      <x:c r="N839" s="5"/>
    </x:row>
    <x:row r="840" ht="24" customHeight="1">
      <x:c r="A840" s="1" t="str">
        <x:v>RESULT</x:v>
      </x:c>
      <x:c r="B840" s="1" t="str">
        <x:v>Round1</x:v>
      </x:c>
      <x:c r="C840" s="1" t="str">
        <x:v>Time_19</x:v>
      </x:c>
      <x:c r="D840" s="1" t="str">
        <x:v>NOT_AVAILABLE</x:v>
      </x:c>
      <x:c r="E840" s="5"/>
      <x:c r="F840" s="4" t="n">
        <x:v>0</x:v>
      </x:c>
      <x:c r="G840" s="4" t="n">
        <x:v>8259</x:v>
      </x:c>
      <x:c r="H840" s="6" t="n">
        <x:v>76.81</x:v>
      </x:c>
      <x:c r="I840" s="16" t="n">
        <x:v>1</x:v>
      </x:c>
      <x:c r="J840"/>
      <x:c r="K840" s="4"/>
      <x:c r="L840" s="4"/>
      <x:c r="M840" s="4"/>
      <x:c r="N840" s="5"/>
    </x:row>
    <x:row r="841" ht="24" customHeight="1">
      <x:c r="A841" s="1" t="str">
        <x:v>RESULT</x:v>
      </x:c>
      <x:c r="B841" s="1" t="str">
        <x:v>Round1</x:v>
      </x:c>
      <x:c r="C841" s="1" t="str">
        <x:v>Time_2</x:v>
      </x:c>
      <x:c r="D841" s="1" t="str">
        <x:v>NOT_AVAILABLE</x:v>
      </x:c>
      <x:c r="E841" s="5"/>
      <x:c r="F841" s="4" t="n">
        <x:v>0</x:v>
      </x:c>
      <x:c r="G841" s="4" t="n">
        <x:v>11893</x:v>
      </x:c>
      <x:c r="H841" s="6" t="n">
        <x:v>137.14</x:v>
      </x:c>
      <x:c r="I841" s="16" t="n">
        <x:v>1</x:v>
      </x:c>
      <x:c r="J841"/>
      <x:c r="K841" s="4"/>
      <x:c r="L841" s="4"/>
      <x:c r="M841" s="4"/>
      <x:c r="N841" s="5"/>
    </x:row>
    <x:row r="842" ht="24" customHeight="1">
      <x:c r="A842" s="1" t="str">
        <x:v>RESULT</x:v>
      </x:c>
      <x:c r="B842" s="1" t="str">
        <x:v>Round1</x:v>
      </x:c>
      <x:c r="C842" s="1" t="str">
        <x:v>Time_20</x:v>
      </x:c>
      <x:c r="D842" s="1" t="str">
        <x:v>NOT_AVAILABLE</x:v>
      </x:c>
      <x:c r="E842" s="5"/>
      <x:c r="F842" s="4" t="n">
        <x:v>0</x:v>
      </x:c>
      <x:c r="G842" s="4" t="n">
        <x:v>18576</x:v>
      </x:c>
      <x:c r="H842" s="6" t="n">
        <x:v>85.56</x:v>
      </x:c>
      <x:c r="I842" s="16" t="n">
        <x:v>1</x:v>
      </x:c>
      <x:c r="J842"/>
      <x:c r="K842" s="4"/>
      <x:c r="L842" s="4"/>
      <x:c r="M842" s="4"/>
      <x:c r="N842" s="5"/>
    </x:row>
    <x:row r="843" ht="24" customHeight="1">
      <x:c r="A843" s="1" t="str">
        <x:v>RESULT</x:v>
      </x:c>
      <x:c r="B843" s="1" t="str">
        <x:v>Round1</x:v>
      </x:c>
      <x:c r="C843" s="1" t="str">
        <x:v>Time_22</x:v>
      </x:c>
      <x:c r="D843" s="1" t="str">
        <x:v>NOT_AVAILABLE</x:v>
      </x:c>
      <x:c r="E843" s="5"/>
      <x:c r="F843" s="4" t="n">
        <x:v>0</x:v>
      </x:c>
      <x:c r="G843" s="4" t="n">
        <x:v>5841</x:v>
      </x:c>
      <x:c r="H843" s="6" t="n">
        <x:v>63.38</x:v>
      </x:c>
      <x:c r="I843" s="16" t="n">
        <x:v>1</x:v>
      </x:c>
      <x:c r="J843"/>
      <x:c r="K843" s="4"/>
      <x:c r="L843" s="4"/>
      <x:c r="M843" s="4"/>
      <x:c r="N843" s="5"/>
    </x:row>
    <x:row r="844" ht="24" customHeight="1">
      <x:c r="A844" s="1" t="str">
        <x:v>RESULT</x:v>
      </x:c>
      <x:c r="B844" s="1" t="str">
        <x:v>Round1</x:v>
      </x:c>
      <x:c r="C844" s="1" t="str">
        <x:v>Time_23</x:v>
      </x:c>
      <x:c r="D844" s="1" t="str">
        <x:v>NOT_AVAILABLE</x:v>
      </x:c>
      <x:c r="E844" s="5"/>
      <x:c r="F844" s="4" t="n">
        <x:v>0</x:v>
      </x:c>
      <x:c r="G844" s="4" t="n">
        <x:v>7500</x:v>
      </x:c>
      <x:c r="H844" s="6" t="n">
        <x:v>52.39</x:v>
      </x:c>
      <x:c r="I844" s="16" t="n">
        <x:v>1</x:v>
      </x:c>
      <x:c r="J844"/>
      <x:c r="K844" s="4"/>
      <x:c r="L844" s="4"/>
      <x:c r="M844" s="4"/>
      <x:c r="N844" s="5"/>
    </x:row>
    <x:row r="845" ht="24" customHeight="1">
      <x:c r="A845" s="1" t="str">
        <x:v>RESULT</x:v>
      </x:c>
      <x:c r="B845" s="1" t="str">
        <x:v>Round1</x:v>
      </x:c>
      <x:c r="C845" s="1" t="str">
        <x:v>Time_24</x:v>
      </x:c>
      <x:c r="D845" s="1" t="str">
        <x:v>NOT_AVAILABLE</x:v>
      </x:c>
      <x:c r="E845" s="5"/>
      <x:c r="F845" s="4" t="n">
        <x:v>0</x:v>
      </x:c>
      <x:c r="G845" s="4" t="n">
        <x:v>8886</x:v>
      </x:c>
      <x:c r="H845" s="6" t="n">
        <x:v>109.49</x:v>
      </x:c>
      <x:c r="I845" s="16" t="n">
        <x:v>1</x:v>
      </x:c>
      <x:c r="J845"/>
      <x:c r="K845" s="4"/>
      <x:c r="L845" s="4"/>
      <x:c r="M845" s="4"/>
      <x:c r="N845" s="5"/>
    </x:row>
    <x:row r="846" ht="24" customHeight="1">
      <x:c r="A846" s="1" t="str">
        <x:v>RESULT</x:v>
      </x:c>
      <x:c r="B846" s="1" t="str">
        <x:v>Round1</x:v>
      </x:c>
      <x:c r="C846" s="1" t="str">
        <x:v>Time_25</x:v>
      </x:c>
      <x:c r="D846" s="1" t="str">
        <x:v>INCONCLUSIVE</x:v>
      </x:c>
      <x:c r="E846" s="5" t="n">
        <x:v>0.6799</x:v>
      </x:c>
      <x:c r="F846" s="4" t="n">
        <x:v>0</x:v>
      </x:c>
      <x:c r="G846" s="4" t="n">
        <x:v>8072</x:v>
      </x:c>
      <x:c r="H846" s="6" t="n">
        <x:v>81.59</x:v>
      </x:c>
      <x:c r="I846" s="16" t="n">
        <x:v>1</x:v>
      </x:c>
      <x:c r="J846" t="n">
        <x:v>328</x:v>
      </x:c>
      <x:c r="K846" s="4" t="n">
        <x:v>223</x:v>
      </x:c>
      <x:c r="L846" s="4" t="n">
        <x:v>152</x:v>
      </x:c>
      <x:c r="M846" s="4" t="n">
        <x:v>81</x:v>
      </x:c>
      <x:c r="N846" s="5" t="n">
        <x:v>0.5329</x:v>
      </x:c>
    </x:row>
    <x:row r="847" ht="24" customHeight="1">
      <x:c r="A847" s="1" t="str">
        <x:v>RESULT</x:v>
      </x:c>
      <x:c r="B847" s="1" t="str">
        <x:v>Round1</x:v>
      </x:c>
      <x:c r="C847" s="1" t="str">
        <x:v>Time_26</x:v>
      </x:c>
      <x:c r="D847" s="1" t="str">
        <x:v>NOT_AVAILABLE</x:v>
      </x:c>
      <x:c r="E847" s="5"/>
      <x:c r="F847" s="4" t="n">
        <x:v>0</x:v>
      </x:c>
      <x:c r="G847" s="4" t="n">
        <x:v>20003</x:v>
      </x:c>
      <x:c r="H847" s="6" t="n">
        <x:v>208.89</x:v>
      </x:c>
      <x:c r="I847" s="16" t="n">
        <x:v>1</x:v>
      </x:c>
      <x:c r="J847"/>
      <x:c r="K847" s="4"/>
      <x:c r="L847" s="4"/>
      <x:c r="M847" s="4"/>
      <x:c r="N847" s="5"/>
    </x:row>
    <x:row r="848" ht="24" customHeight="1">
      <x:c r="A848" s="1" t="str">
        <x:v>RESULT</x:v>
      </x:c>
      <x:c r="B848" s="1" t="str">
        <x:v>Round1</x:v>
      </x:c>
      <x:c r="C848" s="1" t="str">
        <x:v>Time_27</x:v>
      </x:c>
      <x:c r="D848" s="1" t="str">
        <x:v>INCONCLUSIVE</x:v>
      </x:c>
      <x:c r="E848" s="5" t="n">
        <x:v>0.3507</x:v>
      </x:c>
      <x:c r="F848" s="4" t="n">
        <x:v>0</x:v>
      </x:c>
      <x:c r="G848" s="4" t="n">
        <x:v>13340</x:v>
      </x:c>
      <x:c r="H848" s="6" t="n">
        <x:v>25.98</x:v>
      </x:c>
      <x:c r="I848" s="16" t="n">
        <x:v>1</x:v>
      </x:c>
      <x:c r="J848" t="n">
        <x:v>670</x:v>
      </x:c>
      <x:c r="K848" s="4" t="n">
        <x:v>235</x:v>
      </x:c>
      <x:c r="L848" s="4" t="n">
        <x:v>446</x:v>
      </x:c>
      <x:c r="M848" s="4" t="n">
        <x:v>88</x:v>
      </x:c>
      <x:c r="N848" s="5" t="n">
        <x:v>0.1973</x:v>
      </x:c>
    </x:row>
    <x:row r="849" ht="24" customHeight="1">
      <x:c r="A849" s="1" t="str">
        <x:v>RESULT</x:v>
      </x:c>
      <x:c r="B849" s="1" t="str">
        <x:v>Round1</x:v>
      </x:c>
      <x:c r="C849" s="1" t="str">
        <x:v>Time_3</x:v>
      </x:c>
      <x:c r="D849" s="1" t="str">
        <x:v>NOT_AVAILABLE</x:v>
      </x:c>
      <x:c r="E849" s="5"/>
      <x:c r="F849" s="4" t="n">
        <x:v>0</x:v>
      </x:c>
      <x:c r="G849" s="4" t="n">
        <x:v>39206</x:v>
      </x:c>
      <x:c r="H849" s="6" t="n">
        <x:v>1344.56</x:v>
      </x:c>
      <x:c r="I849" s="16" t="n">
        <x:v>1</x:v>
      </x:c>
      <x:c r="J849"/>
      <x:c r="K849" s="4"/>
      <x:c r="L849" s="4"/>
      <x:c r="M849" s="4"/>
      <x:c r="N849" s="5"/>
    </x:row>
    <x:row r="850" ht="24" customHeight="1">
      <x:c r="A850" s="1" t="str">
        <x:v>RESULT</x:v>
      </x:c>
      <x:c r="B850" s="1" t="str">
        <x:v>Round1</x:v>
      </x:c>
      <x:c r="C850" s="1" t="str">
        <x:v>Time_4</x:v>
      </x:c>
      <x:c r="D850" s="1" t="str">
        <x:v>NOT_REVEALING</x:v>
      </x:c>
      <x:c r="E850" s="5" t="n">
        <x:v>0.8498</x:v>
      </x:c>
      <x:c r="F850" s="4" t="n">
        <x:v>0</x:v>
      </x:c>
      <x:c r="G850" s="4" t="n">
        <x:v>31951</x:v>
      </x:c>
      <x:c r="H850" s="6" t="n">
        <x:v>1114.19</x:v>
      </x:c>
      <x:c r="I850" s="16" t="n">
        <x:v>1</x:v>
      </x:c>
      <x:c r="J850" t="n">
        <x:v>253</x:v>
      </x:c>
      <x:c r="K850" s="4" t="n">
        <x:v>215</x:v>
      </x:c>
      <x:c r="L850" s="4" t="n">
        <x:v>106</x:v>
      </x:c>
      <x:c r="M850" s="4" t="n">
        <x:v>74</x:v>
      </x:c>
      <x:c r="N850" s="5" t="n">
        <x:v>0.6981</x:v>
      </x:c>
    </x:row>
    <x:row r="851" ht="24" customHeight="1">
      <x:c r="A851" s="1" t="str">
        <x:v>RESULT</x:v>
      </x:c>
      <x:c r="B851" s="1" t="str">
        <x:v>Round1</x:v>
      </x:c>
      <x:c r="C851" s="1" t="str">
        <x:v>Time_5</x:v>
      </x:c>
      <x:c r="D851" s="1" t="str">
        <x:v>NOT_AVAILABLE</x:v>
      </x:c>
      <x:c r="E851" s="5"/>
      <x:c r="F851" s="4" t="n">
        <x:v>0</x:v>
      </x:c>
      <x:c r="G851" s="4" t="n">
        <x:v>10096</x:v>
      </x:c>
      <x:c r="H851" s="6" t="n">
        <x:v>30.4</x:v>
      </x:c>
      <x:c r="I851" s="16" t="n">
        <x:v>1</x:v>
      </x:c>
      <x:c r="J851"/>
      <x:c r="K851" s="4"/>
      <x:c r="L851" s="4"/>
      <x:c r="M851" s="4"/>
      <x:c r="N851" s="5"/>
    </x:row>
    <x:row r="852" ht="24" customHeight="1">
      <x:c r="A852" s="1" t="str">
        <x:v>RESULT</x:v>
      </x:c>
      <x:c r="B852" s="1" t="str">
        <x:v>Round1</x:v>
      </x:c>
      <x:c r="C852" s="1" t="str">
        <x:v>Time_6</x:v>
      </x:c>
      <x:c r="D852" s="1" t="str">
        <x:v>NOT_REVEALING</x:v>
      </x:c>
      <x:c r="E852" s="5" t="n">
        <x:v>0.5069</x:v>
      </x:c>
      <x:c r="F852" s="4" t="n">
        <x:v>0</x:v>
      </x:c>
      <x:c r="G852" s="4" t="n">
        <x:v>12282</x:v>
      </x:c>
      <x:c r="H852" s="6" t="n">
        <x:v>36.35</x:v>
      </x:c>
      <x:c r="I852" s="16" t="n">
        <x:v>1</x:v>
      </x:c>
      <x:c r="J852" t="n">
        <x:v>361</x:v>
      </x:c>
      <x:c r="K852" s="4" t="n">
        <x:v>183</x:v>
      </x:c>
      <x:c r="L852" s="4" t="n">
        <x:v>168</x:v>
      </x:c>
      <x:c r="M852" s="4" t="n">
        <x:v>46</x:v>
      </x:c>
      <x:c r="N852" s="5" t="n">
        <x:v>0.2738</x:v>
      </x:c>
    </x:row>
    <x:row r="853" ht="24" customHeight="1">
      <x:c r="A853" s="1" t="str">
        <x:v>RESULT</x:v>
      </x:c>
      <x:c r="B853" s="1" t="str">
        <x:v>Round1</x:v>
      </x:c>
      <x:c r="C853" s="1" t="str">
        <x:v>Time_7</x:v>
      </x:c>
      <x:c r="D853" s="1" t="str">
        <x:v>NOT_AVAILABLE</x:v>
      </x:c>
      <x:c r="E853" s="5"/>
      <x:c r="F853" s="4" t="n">
        <x:v>0</x:v>
      </x:c>
      <x:c r="G853" s="4" t="n">
        <x:v>9841</x:v>
      </x:c>
      <x:c r="H853" s="6" t="n">
        <x:v>77.89</x:v>
      </x:c>
      <x:c r="I853" s="16" t="n">
        <x:v>1</x:v>
      </x:c>
      <x:c r="J853"/>
      <x:c r="K853" s="4"/>
      <x:c r="L853" s="4"/>
      <x:c r="M853" s="4"/>
      <x:c r="N853" s="5"/>
    </x:row>
    <x:row r="854" ht="24" customHeight="1">
      <x:c r="A854" s="1" t="str">
        <x:v>RESULT</x:v>
      </x:c>
      <x:c r="B854" s="1" t="str">
        <x:v>Round1</x:v>
      </x:c>
      <x:c r="C854" s="1" t="str">
        <x:v>Time_8</x:v>
      </x:c>
      <x:c r="D854" s="1" t="str">
        <x:v>NOT_REVEALING</x:v>
      </x:c>
      <x:c r="E854" s="5" t="n">
        <x:v>0.6535</x:v>
      </x:c>
      <x:c r="F854" s="4" t="n">
        <x:v>0</x:v>
      </x:c>
      <x:c r="G854" s="4" t="n">
        <x:v>16573</x:v>
      </x:c>
      <x:c r="H854" s="6" t="n">
        <x:v>125.27</x:v>
      </x:c>
      <x:c r="I854" s="16" t="n">
        <x:v>1</x:v>
      </x:c>
      <x:c r="J854" t="n">
        <x:v>355</x:v>
      </x:c>
      <x:c r="K854" s="4" t="n">
        <x:v>232</x:v>
      </x:c>
      <x:c r="L854" s="4" t="n">
        <x:v>178</x:v>
      </x:c>
      <x:c r="M854" s="4" t="n">
        <x:v>91</x:v>
      </x:c>
      <x:c r="N854" s="5" t="n">
        <x:v>0.5112</x:v>
      </x:c>
    </x:row>
    <x:row r="855" ht="24" customHeight="1">
      <x:c r="A855" s="1" t="str">
        <x:v>RESULT</x:v>
      </x:c>
      <x:c r="B855" s="1" t="str">
        <x:v>Round1</x:v>
      </x:c>
      <x:c r="C855" s="1" t="str">
        <x:v>Time_9</x:v>
      </x:c>
      <x:c r="D855" s="1" t="str">
        <x:v>NOT_AVAILABLE</x:v>
      </x:c>
      <x:c r="E855" s="5"/>
      <x:c r="F855" s="4" t="n">
        <x:v>0</x:v>
      </x:c>
      <x:c r="G855" s="4" t="n">
        <x:v>11786</x:v>
      </x:c>
      <x:c r="H855" s="6" t="n">
        <x:v>50.08</x:v>
      </x:c>
      <x:c r="I855" s="16" t="n">
        <x:v>1</x:v>
      </x:c>
      <x:c r="J855"/>
      <x:c r="K855" s="4"/>
      <x:c r="L855" s="4"/>
      <x:c r="M855" s="4"/>
      <x:c r="N855" s="5"/>
    </x:row>
    <x:row r="856" ht="24" customHeight="1">
      <x:c r="A856" s="1" t="str">
        <x:v>RESULT</x:v>
      </x:c>
      <x:c r="B856" s="1" t="str">
        <x:v>Round2</x:v>
      </x:c>
      <x:c r="C856" s="1" t="str">
        <x:v>Chart_1</x:v>
      </x:c>
      <x:c r="D856" s="1" t="str">
        <x:v>NOT_AVAILABLE</x:v>
      </x:c>
      <x:c r="E856" s="5"/>
      <x:c r="F856" s="4" t="n">
        <x:v>0</x:v>
      </x:c>
      <x:c r="G856" s="4" t="n">
        <x:v>15417</x:v>
      </x:c>
      <x:c r="H856" s="6" t="n">
        <x:v>128.58</x:v>
      </x:c>
      <x:c r="I856" s="16" t="n">
        <x:v>1</x:v>
      </x:c>
      <x:c r="J856"/>
      <x:c r="K856" s="4"/>
      <x:c r="L856" s="4"/>
      <x:c r="M856" s="4"/>
      <x:c r="N856" s="5"/>
    </x:row>
    <x:row r="857" ht="24" customHeight="1">
      <x:c r="A857" s="1" t="str">
        <x:v>RESULT</x:v>
      </x:c>
      <x:c r="B857" s="1" t="str">
        <x:v>Round2</x:v>
      </x:c>
      <x:c r="C857" s="1" t="str">
        <x:v>Chart_10</x:v>
      </x:c>
      <x:c r="D857" s="1" t="str">
        <x:v>INCONCLUSIVE</x:v>
      </x:c>
      <x:c r="E857" s="5" t="n">
        <x:v>1</x:v>
      </x:c>
      <x:c r="F857" s="4" t="n">
        <x:v>0</x:v>
      </x:c>
      <x:c r="G857" s="4"/>
      <x:c r="H857" s="6"/>
      <x:c r="I857" s="16" t="n">
        <x:v>1</x:v>
      </x:c>
      <x:c r="J857" t="n">
        <x:v>3</x:v>
      </x:c>
      <x:c r="K857" s="4" t="n">
        <x:v>3</x:v>
      </x:c>
      <x:c r="L857" s="4" t="n">
        <x:v>0</x:v>
      </x:c>
      <x:c r="M857" s="4" t="n">
        <x:v>0</x:v>
      </x:c>
      <x:c r="N857" s="5"/>
    </x:row>
    <x:row r="858" ht="24" customHeight="1">
      <x:c r="A858" s="1" t="str">
        <x:v>RESULT</x:v>
      </x:c>
      <x:c r="B858" s="1" t="str">
        <x:v>Round2</x:v>
      </x:c>
      <x:c r="C858" s="1" t="str">
        <x:v>Chart_11</x:v>
      </x:c>
      <x:c r="D858" s="1" t="str">
        <x:v>NOT_AVAILABLE</x:v>
      </x:c>
      <x:c r="E858" s="5"/>
      <x:c r="F858" s="4" t="n">
        <x:v>0</x:v>
      </x:c>
      <x:c r="G858" s="4" t="n">
        <x:v>32931</x:v>
      </x:c>
      <x:c r="H858" s="6" t="n">
        <x:v>647.68</x:v>
      </x:c>
      <x:c r="I858" s="16" t="n">
        <x:v>1</x:v>
      </x:c>
      <x:c r="J858"/>
      <x:c r="K858" s="4"/>
      <x:c r="L858" s="4"/>
      <x:c r="M858" s="4"/>
      <x:c r="N858" s="5"/>
    </x:row>
    <x:row r="859" ht="24" customHeight="1">
      <x:c r="A859" s="1" t="str">
        <x:v>RESULT</x:v>
      </x:c>
      <x:c r="B859" s="1" t="str">
        <x:v>Round2</x:v>
      </x:c>
      <x:c r="C859" s="1" t="str">
        <x:v>Chart_12</x:v>
      </x:c>
      <x:c r="D859" s="1" t="str">
        <x:v>NOT_AVAILABLE</x:v>
      </x:c>
      <x:c r="E859" s="5"/>
      <x:c r="F859" s="4" t="n">
        <x:v>0</x:v>
      </x:c>
      <x:c r="G859" s="4" t="n">
        <x:v>14456</x:v>
      </x:c>
      <x:c r="H859" s="6" t="n">
        <x:v>45.69</x:v>
      </x:c>
      <x:c r="I859" s="16" t="n">
        <x:v>1</x:v>
      </x:c>
      <x:c r="J859"/>
      <x:c r="K859" s="4"/>
      <x:c r="L859" s="4"/>
      <x:c r="M859" s="4"/>
      <x:c r="N859" s="5"/>
    </x:row>
    <x:row r="860" ht="24" customHeight="1">
      <x:c r="A860" s="1" t="str">
        <x:v>RESULT</x:v>
      </x:c>
      <x:c r="B860" s="1" t="str">
        <x:v>Round2</x:v>
      </x:c>
      <x:c r="C860" s="1" t="str">
        <x:v>Chart_13</x:v>
      </x:c>
      <x:c r="D860" s="1" t="str">
        <x:v>NOT_AVAILABLE</x:v>
      </x:c>
      <x:c r="E860" s="5"/>
      <x:c r="F860" s="4" t="n">
        <x:v>0</x:v>
      </x:c>
      <x:c r="G860" s="4" t="n">
        <x:v>7874</x:v>
      </x:c>
      <x:c r="H860" s="6" t="n">
        <x:v>41.46</x:v>
      </x:c>
      <x:c r="I860" s="16" t="n">
        <x:v>1</x:v>
      </x:c>
      <x:c r="J860"/>
      <x:c r="K860" s="4"/>
      <x:c r="L860" s="4"/>
      <x:c r="M860" s="4"/>
      <x:c r="N860" s="5"/>
    </x:row>
    <x:row r="861" ht="24" customHeight="1">
      <x:c r="A861" s="1" t="str">
        <x:v>RESULT</x:v>
      </x:c>
      <x:c r="B861" s="1" t="str">
        <x:v>Round2</x:v>
      </x:c>
      <x:c r="C861" s="1" t="str">
        <x:v>Chart_14</x:v>
      </x:c>
      <x:c r="D861" s="1" t="str">
        <x:v>NOT_AVAILABLE</x:v>
      </x:c>
      <x:c r="E861" s="5"/>
      <x:c r="F861" s="4" t="n">
        <x:v>0</x:v>
      </x:c>
      <x:c r="G861" s="4" t="n">
        <x:v>96334</x:v>
      </x:c>
      <x:c r="H861" s="6" t="n">
        <x:v>1390.34</x:v>
      </x:c>
      <x:c r="I861" s="16" t="n">
        <x:v>1</x:v>
      </x:c>
      <x:c r="J861"/>
      <x:c r="K861" s="4"/>
      <x:c r="L861" s="4"/>
      <x:c r="M861" s="4"/>
      <x:c r="N861" s="5"/>
    </x:row>
    <x:row r="862" ht="24" customHeight="1">
      <x:c r="A862" s="1" t="str">
        <x:v>RESULT</x:v>
      </x:c>
      <x:c r="B862" s="1" t="str">
        <x:v>Round2</x:v>
      </x:c>
      <x:c r="C862" s="1" t="str">
        <x:v>Chart_15</x:v>
      </x:c>
      <x:c r="D862" s="1" t="str">
        <x:v>INCONCLUSIVE</x:v>
      </x:c>
      <x:c r="E862" s="5" t="n">
        <x:v>0.3014</x:v>
      </x:c>
      <x:c r="F862" s="4" t="n">
        <x:v>0</x:v>
      </x:c>
      <x:c r="G862" s="4"/>
      <x:c r="H862" s="6"/>
      <x:c r="I862" s="16" t="n">
        <x:v>1</x:v>
      </x:c>
      <x:c r="J862" t="n">
        <x:v>836</x:v>
      </x:c>
      <x:c r="K862" s="4" t="n">
        <x:v>252</x:v>
      </x:c>
      <x:c r="L862" s="4" t="n">
        <x:v>312</x:v>
      </x:c>
      <x:c r="M862" s="4" t="n">
        <x:v>82</x:v>
      </x:c>
      <x:c r="N862" s="5" t="n">
        <x:v>0.26280000000000003</x:v>
      </x:c>
    </x:row>
    <x:row r="863" ht="24" customHeight="1">
      <x:c r="A863" s="1" t="str">
        <x:v>RESULT</x:v>
      </x:c>
      <x:c r="B863" s="1" t="str">
        <x:v>Round2</x:v>
      </x:c>
      <x:c r="C863" s="1" t="str">
        <x:v>Chart_16</x:v>
      </x:c>
      <x:c r="D863" s="1" t="str">
        <x:v>NOT_REVEALING</x:v>
      </x:c>
      <x:c r="E863" s="5" t="n">
        <x:v>0.9415</x:v>
      </x:c>
      <x:c r="F863" s="4" t="n">
        <x:v>0</x:v>
      </x:c>
      <x:c r="G863" s="4" t="n">
        <x:v>10730</x:v>
      </x:c>
      <x:c r="H863" s="6" t="n">
        <x:v>127.74</x:v>
      </x:c>
      <x:c r="I863" s="16" t="n">
        <x:v>1</x:v>
      </x:c>
      <x:c r="J863" t="n">
        <x:v>188</x:v>
      </x:c>
      <x:c r="K863" s="4" t="n">
        <x:v>177</x:v>
      </x:c>
      <x:c r="L863" s="4" t="n">
        <x:v>128</x:v>
      </x:c>
      <x:c r="M863" s="4" t="n">
        <x:v>113</x:v>
      </x:c>
      <x:c r="N863" s="5" t="n">
        <x:v>0.8828</x:v>
      </x:c>
    </x:row>
    <x:row r="864" ht="24" customHeight="1">
      <x:c r="A864" s="1" t="str">
        <x:v>RESULT</x:v>
      </x:c>
      <x:c r="B864" s="1" t="str">
        <x:v>Round2</x:v>
      </x:c>
      <x:c r="C864" s="1" t="str">
        <x:v>Chart_17</x:v>
      </x:c>
      <x:c r="D864" s="1" t="str">
        <x:v>NOT_REVEALING</x:v>
      </x:c>
      <x:c r="E864" s="5" t="n">
        <x:v>0.8467</x:v>
      </x:c>
      <x:c r="F864" s="4" t="n">
        <x:v>0</x:v>
      </x:c>
      <x:c r="G864" s="4" t="n">
        <x:v>24107</x:v>
      </x:c>
      <x:c r="H864" s="6" t="n">
        <x:v>486.79</x:v>
      </x:c>
      <x:c r="I864" s="16" t="n">
        <x:v>1</x:v>
      </x:c>
      <x:c r="J864" t="n">
        <x:v>287</x:v>
      </x:c>
      <x:c r="K864" s="4" t="n">
        <x:v>243</x:v>
      </x:c>
      <x:c r="L864" s="4" t="n">
        <x:v>128</x:v>
      </x:c>
      <x:c r="M864" s="4" t="n">
        <x:v>94</x:v>
      </x:c>
      <x:c r="N864" s="5" t="n">
        <x:v>0.7343999999999999</x:v>
      </x:c>
    </x:row>
    <x:row r="865" ht="24" customHeight="1">
      <x:c r="A865" s="1" t="str">
        <x:v>RESULT</x:v>
      </x:c>
      <x:c r="B865" s="1" t="str">
        <x:v>Round2</x:v>
      </x:c>
      <x:c r="C865" s="1" t="str">
        <x:v>Chart_18</x:v>
      </x:c>
      <x:c r="D865" s="1" t="str">
        <x:v>INCONCLUSIVE</x:v>
      </x:c>
      <x:c r="E865" s="5" t="n">
        <x:v>0.9586</x:v>
      </x:c>
      <x:c r="F865" s="4" t="n">
        <x:v>0</x:v>
      </x:c>
      <x:c r="G865" s="4"/>
      <x:c r="H865" s="6"/>
      <x:c r="I865" s="16" t="n">
        <x:v>1</x:v>
      </x:c>
      <x:c r="J865" t="n">
        <x:v>266</x:v>
      </x:c>
      <x:c r="K865" s="4" t="n">
        <x:v>255</x:v>
      </x:c>
      <x:c r="L865" s="4" t="n">
        <x:v>122</x:v>
      </x:c>
      <x:c r="M865" s="4" t="n">
        <x:v>102</x:v>
      </x:c>
      <x:c r="N865" s="5" t="n">
        <x:v>0.8361</x:v>
      </x:c>
    </x:row>
    <x:row r="866" ht="24" customHeight="1">
      <x:c r="A866" s="1" t="str">
        <x:v>RESULT</x:v>
      </x:c>
      <x:c r="B866" s="1" t="str">
        <x:v>Round2</x:v>
      </x:c>
      <x:c r="C866" s="1" t="str">
        <x:v>Chart_19</x:v>
      </x:c>
      <x:c r="D866" s="1" t="str">
        <x:v>NOT_AVAILABLE</x:v>
      </x:c>
      <x:c r="E866" s="5"/>
      <x:c r="F866" s="4" t="n">
        <x:v>0</x:v>
      </x:c>
      <x:c r="G866" s="4" t="n">
        <x:v>39699</x:v>
      </x:c>
      <x:c r="H866" s="6" t="n">
        <x:v>129.04</x:v>
      </x:c>
      <x:c r="I866" s="16" t="n">
        <x:v>1</x:v>
      </x:c>
      <x:c r="J866"/>
      <x:c r="K866" s="4"/>
      <x:c r="L866" s="4"/>
      <x:c r="M866" s="4"/>
      <x:c r="N866" s="5"/>
    </x:row>
    <x:row r="867" ht="24" customHeight="1">
      <x:c r="A867" s="1" t="str">
        <x:v>RESULT</x:v>
      </x:c>
      <x:c r="B867" s="1" t="str">
        <x:v>Round2</x:v>
      </x:c>
      <x:c r="C867" s="1" t="str">
        <x:v>Chart_2</x:v>
      </x:c>
      <x:c r="D867" s="1" t="str">
        <x:v>NOT_AVAILABLE</x:v>
      </x:c>
      <x:c r="E867" s="5"/>
      <x:c r="F867" s="4" t="n">
        <x:v>0</x:v>
      </x:c>
      <x:c r="G867" s="4" t="n">
        <x:v>19133</x:v>
      </x:c>
      <x:c r="H867" s="6" t="n">
        <x:v>228.8</x:v>
      </x:c>
      <x:c r="I867" s="16" t="n">
        <x:v>1</x:v>
      </x:c>
      <x:c r="J867"/>
      <x:c r="K867" s="4"/>
      <x:c r="L867" s="4"/>
      <x:c r="M867" s="4"/>
      <x:c r="N867" s="5"/>
    </x:row>
    <x:row r="868" ht="24" customHeight="1">
      <x:c r="A868" s="1" t="str">
        <x:v>RESULT</x:v>
      </x:c>
      <x:c r="B868" s="1" t="str">
        <x:v>Round2</x:v>
      </x:c>
      <x:c r="C868" s="1" t="str">
        <x:v>Chart_20</x:v>
      </x:c>
      <x:c r="D868" s="1" t="str">
        <x:v>REVEALING</x:v>
      </x:c>
      <x:c r="E868" s="5" t="n">
        <x:v>0.9545</x:v>
      </x:c>
      <x:c r="F868" s="4" t="n">
        <x:v>1</x:v>
      </x:c>
      <x:c r="G868" s="4" t="n">
        <x:v>21318</x:v>
      </x:c>
      <x:c r="H868" s="6" t="n">
        <x:v>475.71</x:v>
      </x:c>
      <x:c r="I868" s="16" t="n">
        <x:v>1</x:v>
      </x:c>
      <x:c r="J868" t="n">
        <x:v>22</x:v>
      </x:c>
      <x:c r="K868" s="4" t="n">
        <x:v>21</x:v>
      </x:c>
      <x:c r="L868" s="4" t="n">
        <x:v>8</x:v>
      </x:c>
      <x:c r="M868" s="4" t="n">
        <x:v>7</x:v>
      </x:c>
      <x:c r="N868" s="5" t="n">
        <x:v>0.875</x:v>
      </x:c>
    </x:row>
    <x:row r="869" ht="24" customHeight="1">
      <x:c r="A869" s="1" t="str">
        <x:v>RESULT</x:v>
      </x:c>
      <x:c r="B869" s="1" t="str">
        <x:v>Round2</x:v>
      </x:c>
      <x:c r="C869" s="1" t="str">
        <x:v>Chart_21</x:v>
      </x:c>
      <x:c r="D869" s="1" t="str">
        <x:v>INCONCLUSIVE</x:v>
      </x:c>
      <x:c r="E869" s="5" t="n">
        <x:v>0.5589999999999999</x:v>
      </x:c>
      <x:c r="F869" s="4" t="n">
        <x:v>0</x:v>
      </x:c>
      <x:c r="G869" s="4"/>
      <x:c r="H869" s="6"/>
      <x:c r="I869" s="16" t="n">
        <x:v>1</x:v>
      </x:c>
      <x:c r="J869" t="n">
        <x:v>161</x:v>
      </x:c>
      <x:c r="K869" s="4" t="n">
        <x:v>90</x:v>
      </x:c>
      <x:c r="L869" s="4" t="n">
        <x:v>60</x:v>
      </x:c>
      <x:c r="M869" s="4" t="n">
        <x:v>24</x:v>
      </x:c>
      <x:c r="N869" s="5" t="n">
        <x:v>0.4</x:v>
      </x:c>
    </x:row>
    <x:row r="870" ht="24" customHeight="1">
      <x:c r="A870" s="1" t="str">
        <x:v>RESULT</x:v>
      </x:c>
      <x:c r="B870" s="1" t="str">
        <x:v>Round2</x:v>
      </x:c>
      <x:c r="C870" s="1" t="str">
        <x:v>Chart_22</x:v>
      </x:c>
      <x:c r="D870" s="1" t="str">
        <x:v>INCONCLUSIVE</x:v>
      </x:c>
      <x:c r="E870" s="5" t="n">
        <x:v>0.9274</x:v>
      </x:c>
      <x:c r="F870" s="4" t="n">
        <x:v>0</x:v>
      </x:c>
      <x:c r="G870" s="4"/>
      <x:c r="H870" s="6"/>
      <x:c r="I870" s="16" t="n">
        <x:v>1</x:v>
      </x:c>
      <x:c r="J870" t="n">
        <x:v>124</x:v>
      </x:c>
      <x:c r="K870" s="4" t="n">
        <x:v>115</x:v>
      </x:c>
      <x:c r="L870" s="4" t="n">
        <x:v>58</x:v>
      </x:c>
      <x:c r="M870" s="4" t="n">
        <x:v>47</x:v>
      </x:c>
      <x:c r="N870" s="5" t="n">
        <x:v>0.8103</x:v>
      </x:c>
    </x:row>
    <x:row r="871" ht="24" customHeight="1">
      <x:c r="A871" s="1" t="str">
        <x:v>RESULT</x:v>
      </x:c>
      <x:c r="B871" s="1" t="str">
        <x:v>Round2</x:v>
      </x:c>
      <x:c r="C871" s="1" t="str">
        <x:v>Chart_23</x:v>
      </x:c>
      <x:c r="D871" s="1" t="str">
        <x:v>REVEALING</x:v>
      </x:c>
      <x:c r="E871" s="5" t="n">
        <x:v>0.375</x:v>
      </x:c>
      <x:c r="F871" s="4" t="n">
        <x:v>1</x:v>
      </x:c>
      <x:c r="G871" s="4" t="n">
        <x:v>19716</x:v>
      </x:c>
      <x:c r="H871" s="6" t="n">
        <x:v>351.16</x:v>
      </x:c>
      <x:c r="I871" s="16" t="n">
        <x:v>1</x:v>
      </x:c>
      <x:c r="J871" t="n">
        <x:v>144</x:v>
      </x:c>
      <x:c r="K871" s="4" t="n">
        <x:v>54</x:v>
      </x:c>
      <x:c r="L871" s="4" t="n">
        <x:v>46</x:v>
      </x:c>
      <x:c r="M871" s="4" t="n">
        <x:v>12</x:v>
      </x:c>
      <x:c r="N871" s="5" t="n">
        <x:v>0.2609</x:v>
      </x:c>
    </x:row>
    <x:row r="872" ht="24" customHeight="1">
      <x:c r="A872" s="1" t="str">
        <x:v>RESULT</x:v>
      </x:c>
      <x:c r="B872" s="1" t="str">
        <x:v>Round2</x:v>
      </x:c>
      <x:c r="C872" s="1" t="str">
        <x:v>Chart_24</x:v>
      </x:c>
      <x:c r="D872" s="1" t="str">
        <x:v>INCONCLUSIVE</x:v>
      </x:c>
      <x:c r="E872" s="5" t="n">
        <x:v>1</x:v>
      </x:c>
      <x:c r="F872" s="4" t="n">
        <x:v>0</x:v>
      </x:c>
      <x:c r="G872" s="4"/>
      <x:c r="H872" s="6"/>
      <x:c r="I872" s="16" t="n">
        <x:v>1</x:v>
      </x:c>
      <x:c r="J872" t="n">
        <x:v>25</x:v>
      </x:c>
      <x:c r="K872" s="4" t="n">
        <x:v>25</x:v>
      </x:c>
      <x:c r="L872" s="4" t="n">
        <x:v>10</x:v>
      </x:c>
      <x:c r="M872" s="4" t="n">
        <x:v>10</x:v>
      </x:c>
      <x:c r="N872" s="5" t="n">
        <x:v>1</x:v>
      </x:c>
    </x:row>
    <x:row r="873" ht="24" customHeight="1">
      <x:c r="A873" s="1" t="str">
        <x:v>RESULT</x:v>
      </x:c>
      <x:c r="B873" s="1" t="str">
        <x:v>Round2</x:v>
      </x:c>
      <x:c r="C873" s="1" t="str">
        <x:v>Chart_25</x:v>
      </x:c>
      <x:c r="D873" s="1" t="str">
        <x:v>NOT_AVAILABLE</x:v>
      </x:c>
      <x:c r="E873" s="5"/>
      <x:c r="F873" s="4" t="n">
        <x:v>0</x:v>
      </x:c>
      <x:c r="G873" s="4" t="n">
        <x:v>17415</x:v>
      </x:c>
      <x:c r="H873" s="6" t="n">
        <x:v>295.88</x:v>
      </x:c>
      <x:c r="I873" s="16" t="n">
        <x:v>1</x:v>
      </x:c>
      <x:c r="J873"/>
      <x:c r="K873" s="4"/>
      <x:c r="L873" s="4"/>
      <x:c r="M873" s="4"/>
      <x:c r="N873" s="5"/>
    </x:row>
    <x:row r="874" ht="24" customHeight="1">
      <x:c r="A874" s="1" t="str">
        <x:v>RESULT</x:v>
      </x:c>
      <x:c r="B874" s="1" t="str">
        <x:v>Round2</x:v>
      </x:c>
      <x:c r="C874" s="1" t="str">
        <x:v>Chart_26</x:v>
      </x:c>
      <x:c r="D874" s="1" t="str">
        <x:v>NOT_REVEALING</x:v>
      </x:c>
      <x:c r="E874" s="5" t="n">
        <x:v>0.5571</x:v>
      </x:c>
      <x:c r="F874" s="4" t="n">
        <x:v>0</x:v>
      </x:c>
      <x:c r="G874" s="4" t="n">
        <x:v>25237</x:v>
      </x:c>
      <x:c r="H874" s="6" t="n">
        <x:v>478.08</x:v>
      </x:c>
      <x:c r="I874" s="16" t="n">
        <x:v>1</x:v>
      </x:c>
      <x:c r="J874" t="n">
        <x:v>350</x:v>
      </x:c>
      <x:c r="K874" s="4" t="n">
        <x:v>195</x:v>
      </x:c>
      <x:c r="L874" s="4" t="n">
        <x:v>128</x:v>
      </x:c>
      <x:c r="M874" s="4" t="n">
        <x:v>65</x:v>
      </x:c>
      <x:c r="N874" s="5" t="n">
        <x:v>0.5078</x:v>
      </x:c>
    </x:row>
    <x:row r="875" ht="24" customHeight="1">
      <x:c r="A875" s="1" t="str">
        <x:v>RESULT</x:v>
      </x:c>
      <x:c r="B875" s="1" t="str">
        <x:v>Round2</x:v>
      </x:c>
      <x:c r="C875" s="1" t="str">
        <x:v>Chart_3</x:v>
      </x:c>
      <x:c r="D875" s="1" t="str">
        <x:v>NOT_AVAILABLE</x:v>
      </x:c>
      <x:c r="E875" s="5"/>
      <x:c r="F875" s="4" t="n">
        <x:v>0</x:v>
      </x:c>
      <x:c r="G875" s="4" t="n">
        <x:v>25880</x:v>
      </x:c>
      <x:c r="H875" s="6" t="n">
        <x:v>508.03</x:v>
      </x:c>
      <x:c r="I875" s="16" t="n">
        <x:v>1</x:v>
      </x:c>
      <x:c r="J875"/>
      <x:c r="K875" s="4"/>
      <x:c r="L875" s="4"/>
      <x:c r="M875" s="4"/>
      <x:c r="N875" s="5"/>
    </x:row>
    <x:row r="876" ht="24" customHeight="1">
      <x:c r="A876" s="1" t="str">
        <x:v>RESULT</x:v>
      </x:c>
      <x:c r="B876" s="1" t="str">
        <x:v>Round2</x:v>
      </x:c>
      <x:c r="C876" s="1" t="str">
        <x:v>Chart_4</x:v>
      </x:c>
      <x:c r="D876" s="1" t="str">
        <x:v>NOT_AVAILABLE</x:v>
      </x:c>
      <x:c r="E876" s="5"/>
      <x:c r="F876" s="4" t="n">
        <x:v>0</x:v>
      </x:c>
      <x:c r="G876" s="4" t="n">
        <x:v>54043</x:v>
      </x:c>
      <x:c r="H876" s="6" t="n">
        <x:v>704.66</x:v>
      </x:c>
      <x:c r="I876" s="16" t="n">
        <x:v>1</x:v>
      </x:c>
      <x:c r="J876"/>
      <x:c r="K876" s="4"/>
      <x:c r="L876" s="4"/>
      <x:c r="M876" s="4"/>
      <x:c r="N876" s="5"/>
    </x:row>
    <x:row r="877" ht="24" customHeight="1">
      <x:c r="A877" s="1" t="str">
        <x:v>RESULT</x:v>
      </x:c>
      <x:c r="B877" s="1" t="str">
        <x:v>Round2</x:v>
      </x:c>
      <x:c r="C877" s="1" t="str">
        <x:v>Chart_5</x:v>
      </x:c>
      <x:c r="D877" s="1" t="str">
        <x:v>INCONCLUSIVE</x:v>
      </x:c>
      <x:c r="E877" s="5" t="n">
        <x:v>0.9012</x:v>
      </x:c>
      <x:c r="F877" s="4" t="n">
        <x:v>0</x:v>
      </x:c>
      <x:c r="G877" s="4" t="n">
        <x:v>36186</x:v>
      </x:c>
      <x:c r="H877" s="6" t="n">
        <x:v>716.8</x:v>
      </x:c>
      <x:c r="I877" s="16" t="n">
        <x:v>1</x:v>
      </x:c>
      <x:c r="J877" t="n">
        <x:v>172</x:v>
      </x:c>
      <x:c r="K877" s="4" t="n">
        <x:v>155</x:v>
      </x:c>
      <x:c r="L877" s="4" t="n">
        <x:v>80</x:v>
      </x:c>
      <x:c r="M877" s="4" t="n">
        <x:v>69</x:v>
      </x:c>
      <x:c r="N877" s="5" t="n">
        <x:v>0.8625</x:v>
      </x:c>
    </x:row>
    <x:row r="878" ht="24" customHeight="1">
      <x:c r="A878" s="1" t="str">
        <x:v>RESULT</x:v>
      </x:c>
      <x:c r="B878" s="1" t="str">
        <x:v>Round2</x:v>
      </x:c>
      <x:c r="C878" s="1" t="str">
        <x:v>Chart_6</x:v>
      </x:c>
      <x:c r="D878" s="1" t="str">
        <x:v>NOT_AVAILABLE</x:v>
      </x:c>
      <x:c r="E878" s="5"/>
      <x:c r="F878" s="4" t="n">
        <x:v>0</x:v>
      </x:c>
      <x:c r="G878" s="4" t="n">
        <x:v>28854</x:v>
      </x:c>
      <x:c r="H878" s="6" t="n">
        <x:v>652.26</x:v>
      </x:c>
      <x:c r="I878" s="16" t="n">
        <x:v>1</x:v>
      </x:c>
      <x:c r="J878"/>
      <x:c r="K878" s="4"/>
      <x:c r="L878" s="4"/>
      <x:c r="M878" s="4"/>
      <x:c r="N878" s="5"/>
    </x:row>
    <x:row r="879" ht="24" customHeight="1">
      <x:c r="A879" s="1" t="str">
        <x:v>RESULT</x:v>
      </x:c>
      <x:c r="B879" s="1" t="str">
        <x:v>Round2</x:v>
      </x:c>
      <x:c r="C879" s="1" t="str">
        <x:v>Chart_7</x:v>
      </x:c>
      <x:c r="D879" s="1" t="str">
        <x:v>NOT_AVAILABLE</x:v>
      </x:c>
      <x:c r="E879" s="5"/>
      <x:c r="F879" s="4" t="n">
        <x:v>0</x:v>
      </x:c>
      <x:c r="G879" s="4" t="n">
        <x:v>25498</x:v>
      </x:c>
      <x:c r="H879" s="6" t="n">
        <x:v>498.65</x:v>
      </x:c>
      <x:c r="I879" s="16" t="n">
        <x:v>1</x:v>
      </x:c>
      <x:c r="J879"/>
      <x:c r="K879" s="4"/>
      <x:c r="L879" s="4"/>
      <x:c r="M879" s="4"/>
      <x:c r="N879" s="5"/>
    </x:row>
    <x:row r="880" ht="24" customHeight="1">
      <x:c r="A880" s="1" t="str">
        <x:v>RESULT</x:v>
      </x:c>
      <x:c r="B880" s="1" t="str">
        <x:v>Round2</x:v>
      </x:c>
      <x:c r="C880" s="1" t="str">
        <x:v>Chart_8</x:v>
      </x:c>
      <x:c r="D880" s="1" t="str">
        <x:v>INCONCLUSIVE</x:v>
      </x:c>
      <x:c r="E880" s="5" t="n">
        <x:v>0.7345999999999999</x:v>
      </x:c>
      <x:c r="F880" s="4" t="n">
        <x:v>0</x:v>
      </x:c>
      <x:c r="G880" s="4"/>
      <x:c r="H880" s="6"/>
      <x:c r="I880" s="16" t="n">
        <x:v>1</x:v>
      </x:c>
      <x:c r="J880" t="n">
        <x:v>162</x:v>
      </x:c>
      <x:c r="K880" s="4" t="n">
        <x:v>119</x:v>
      </x:c>
      <x:c r="L880" s="4" t="n">
        <x:v>68</x:v>
      </x:c>
      <x:c r="M880" s="4" t="n">
        <x:v>35</x:v>
      </x:c>
      <x:c r="N880" s="5" t="n">
        <x:v>0.5146999999999999</x:v>
      </x:c>
    </x:row>
    <x:row r="881" ht="24" customHeight="1">
      <x:c r="A881" s="1" t="str">
        <x:v>RESULT</x:v>
      </x:c>
      <x:c r="B881" s="1" t="str">
        <x:v>Round2</x:v>
      </x:c>
      <x:c r="C881" s="1" t="str">
        <x:v>Chart_9</x:v>
      </x:c>
      <x:c r="D881" s="1" t="str">
        <x:v>NOT_REVEALING</x:v>
      </x:c>
      <x:c r="E881" s="5" t="n">
        <x:v>0.7778</x:v>
      </x:c>
      <x:c r="F881" s="4" t="n">
        <x:v>0</x:v>
      </x:c>
      <x:c r="G881" s="4" t="n">
        <x:v>19526</x:v>
      </x:c>
      <x:c r="H881" s="6" t="n">
        <x:v>364.61</x:v>
      </x:c>
      <x:c r="I881" s="16" t="n">
        <x:v>1</x:v>
      </x:c>
      <x:c r="J881" t="n">
        <x:v>288</x:v>
      </x:c>
      <x:c r="K881" s="4" t="n">
        <x:v>224</x:v>
      </x:c>
      <x:c r="L881" s="4" t="n">
        <x:v>128</x:v>
      </x:c>
      <x:c r="M881" s="4" t="n">
        <x:v>88</x:v>
      </x:c>
      <x:c r="N881" s="5" t="n">
        <x:v>0.6875</x:v>
      </x:c>
    </x:row>
    <x:row r="882" ht="24" customHeight="1">
      <x:c r="A882" s="1" t="str">
        <x:v>RESULT</x:v>
      </x:c>
      <x:c r="B882" s="1" t="str">
        <x:v>Round2</x:v>
      </x:c>
      <x:c r="C882" s="1" t="str">
        <x:v>Cli_1</x:v>
      </x:c>
      <x:c r="D882" s="1" t="str">
        <x:v>INCONCLUSIVE</x:v>
      </x:c>
      <x:c r="E882" s="5" t="n">
        <x:v>0</x:v>
      </x:c>
      <x:c r="F882" s="4" t="n">
        <x:v>0</x:v>
      </x:c>
      <x:c r="G882" s="4" t="n">
        <x:v>26036</x:v>
      </x:c>
      <x:c r="H882" s="6" t="n">
        <x:v>576.84</x:v>
      </x:c>
      <x:c r="I882" s="16" t="n">
        <x:v>1</x:v>
      </x:c>
      <x:c r="J882" t="n">
        <x:v>45</x:v>
      </x:c>
      <x:c r="K882" s="4" t="n">
        <x:v>0</x:v>
      </x:c>
      <x:c r="L882" s="4" t="n">
        <x:v>14</x:v>
      </x:c>
      <x:c r="M882" s="4" t="n">
        <x:v>0</x:v>
      </x:c>
      <x:c r="N882" s="5" t="n">
        <x:v>0</x:v>
      </x:c>
    </x:row>
    <x:row r="883" ht="24" customHeight="1">
      <x:c r="A883" s="1" t="str">
        <x:v>RESULT</x:v>
      </x:c>
      <x:c r="B883" s="1" t="str">
        <x:v>Round2</x:v>
      </x:c>
      <x:c r="C883" s="1" t="str">
        <x:v>Cli_10</x:v>
      </x:c>
      <x:c r="D883" s="1" t="str">
        <x:v>INCONCLUSIVE</x:v>
      </x:c>
      <x:c r="E883" s="5" t="n">
        <x:v>0</x:v>
      </x:c>
      <x:c r="F883" s="4" t="n">
        <x:v>0</x:v>
      </x:c>
      <x:c r="G883" s="4" t="n">
        <x:v>24451</x:v>
      </x:c>
      <x:c r="H883" s="6" t="n">
        <x:v>500.79</x:v>
      </x:c>
      <x:c r="I883" s="16" t="n">
        <x:v>1</x:v>
      </x:c>
      <x:c r="J883" t="n">
        <x:v>106</x:v>
      </x:c>
      <x:c r="K883" s="4" t="n">
        <x:v>0</x:v>
      </x:c>
      <x:c r="L883" s="4" t="n">
        <x:v>70</x:v>
      </x:c>
      <x:c r="M883" s="4" t="n">
        <x:v>0</x:v>
      </x:c>
      <x:c r="N883" s="5" t="n">
        <x:v>0</x:v>
      </x:c>
    </x:row>
    <x:row r="884" ht="24" customHeight="1">
      <x:c r="A884" s="1" t="str">
        <x:v>RESULT</x:v>
      </x:c>
      <x:c r="B884" s="1" t="str">
        <x:v>Round2</x:v>
      </x:c>
      <x:c r="C884" s="1" t="str">
        <x:v>Cli_11</x:v>
      </x:c>
      <x:c r="D884" s="1" t="str">
        <x:v>INCONCLUSIVE</x:v>
      </x:c>
      <x:c r="E884" s="5" t="n">
        <x:v>0</x:v>
      </x:c>
      <x:c r="F884" s="4" t="n">
        <x:v>0</x:v>
      </x:c>
      <x:c r="G884" s="4" t="n">
        <x:v>25124</x:v>
      </x:c>
      <x:c r="H884" s="6" t="n">
        <x:v>510.35</x:v>
      </x:c>
      <x:c r="I884" s="16" t="n">
        <x:v>1</x:v>
      </x:c>
      <x:c r="J884" t="n">
        <x:v>198</x:v>
      </x:c>
      <x:c r="K884" s="4" t="n">
        <x:v>0</x:v>
      </x:c>
      <x:c r="L884" s="4" t="n">
        <x:v>106</x:v>
      </x:c>
      <x:c r="M884" s="4" t="n">
        <x:v>0</x:v>
      </x:c>
      <x:c r="N884" s="5" t="n">
        <x:v>0</x:v>
      </x:c>
    </x:row>
    <x:row r="885" ht="24" customHeight="1">
      <x:c r="A885" s="1" t="str">
        <x:v>RESULT</x:v>
      </x:c>
      <x:c r="B885" s="1" t="str">
        <x:v>Round2</x:v>
      </x:c>
      <x:c r="C885" s="1" t="str">
        <x:v>Cli_12</x:v>
      </x:c>
      <x:c r="D885" s="1" t="str">
        <x:v>INCONCLUSIVE</x:v>
      </x:c>
      <x:c r="E885" s="5" t="n">
        <x:v>0</x:v>
      </x:c>
      <x:c r="F885" s="4" t="n">
        <x:v>0</x:v>
      </x:c>
      <x:c r="G885" s="4"/>
      <x:c r="H885" s="6"/>
      <x:c r="I885" s="16" t="n">
        <x:v>1</x:v>
      </x:c>
      <x:c r="J885" t="n">
        <x:v>25</x:v>
      </x:c>
      <x:c r="K885" s="4" t="n">
        <x:v>0</x:v>
      </x:c>
      <x:c r="L885" s="4" t="n">
        <x:v>16</x:v>
      </x:c>
      <x:c r="M885" s="4" t="n">
        <x:v>0</x:v>
      </x:c>
      <x:c r="N885" s="5" t="n">
        <x:v>0</x:v>
      </x:c>
    </x:row>
    <x:row r="886" ht="24" customHeight="1">
      <x:c r="A886" s="1" t="str">
        <x:v>RESULT</x:v>
      </x:c>
      <x:c r="B886" s="1" t="str">
        <x:v>Round2</x:v>
      </x:c>
      <x:c r="C886" s="1" t="str">
        <x:v>Cli_13</x:v>
      </x:c>
      <x:c r="D886" s="1" t="str">
        <x:v>NOT_AVAILABLE</x:v>
      </x:c>
      <x:c r="E886" s="5"/>
      <x:c r="F886" s="4" t="n">
        <x:v>0</x:v>
      </x:c>
      <x:c r="G886" s="4" t="n">
        <x:v>87599</x:v>
      </x:c>
      <x:c r="H886" s="6" t="n">
        <x:v>1946.17</x:v>
      </x:c>
      <x:c r="I886" s="16" t="n">
        <x:v>1</x:v>
      </x:c>
      <x:c r="J886"/>
      <x:c r="K886" s="4"/>
      <x:c r="L886" s="4"/>
      <x:c r="M886" s="4"/>
      <x:c r="N886" s="5"/>
    </x:row>
    <x:row r="887" ht="24" customHeight="1">
      <x:c r="A887" s="1" t="str">
        <x:v>RESULT</x:v>
      </x:c>
      <x:c r="B887" s="1" t="str">
        <x:v>Round2</x:v>
      </x:c>
      <x:c r="C887" s="1" t="str">
        <x:v>Cli_14</x:v>
      </x:c>
      <x:c r="D887" s="1" t="str">
        <x:v>NOT_AVAILABLE</x:v>
      </x:c>
      <x:c r="E887" s="5"/>
      <x:c r="F887" s="4" t="n">
        <x:v>0</x:v>
      </x:c>
      <x:c r="G887" s="4" t="n">
        <x:v>27213</x:v>
      </x:c>
      <x:c r="H887" s="6" t="n">
        <x:v>552.78</x:v>
      </x:c>
      <x:c r="I887" s="16" t="n">
        <x:v>1</x:v>
      </x:c>
      <x:c r="J887"/>
      <x:c r="K887" s="4"/>
      <x:c r="L887" s="4"/>
      <x:c r="M887" s="4"/>
      <x:c r="N887" s="5"/>
    </x:row>
    <x:row r="888" ht="24" customHeight="1">
      <x:c r="A888" s="1" t="str">
        <x:v>RESULT</x:v>
      </x:c>
      <x:c r="B888" s="1" t="str">
        <x:v>Round2</x:v>
      </x:c>
      <x:c r="C888" s="1" t="str">
        <x:v>Cli_15</x:v>
      </x:c>
      <x:c r="D888" s="1" t="str">
        <x:v>NOT_AVAILABLE</x:v>
      </x:c>
      <x:c r="E888" s="5"/>
      <x:c r="F888" s="4" t="n">
        <x:v>0</x:v>
      </x:c>
      <x:c r="G888" s="4" t="n">
        <x:v>29250</x:v>
      </x:c>
      <x:c r="H888" s="6" t="n">
        <x:v>643.05</x:v>
      </x:c>
      <x:c r="I888" s="16" t="n">
        <x:v>1</x:v>
      </x:c>
      <x:c r="J888"/>
      <x:c r="K888" s="4"/>
      <x:c r="L888" s="4"/>
      <x:c r="M888" s="4"/>
      <x:c r="N888" s="5"/>
    </x:row>
    <x:row r="889" ht="24" customHeight="1">
      <x:c r="A889" s="1" t="str">
        <x:v>RESULT</x:v>
      </x:c>
      <x:c r="B889" s="1" t="str">
        <x:v>Round2</x:v>
      </x:c>
      <x:c r="C889" s="1" t="str">
        <x:v>Cli_16</x:v>
      </x:c>
      <x:c r="D889" s="1" t="str">
        <x:v>NOT_AVAILABLE</x:v>
      </x:c>
      <x:c r="E889" s="5"/>
      <x:c r="F889" s="4" t="n">
        <x:v>0</x:v>
      </x:c>
      <x:c r="G889" s="4" t="n">
        <x:v>119272</x:v>
      </x:c>
      <x:c r="H889" s="6" t="n">
        <x:v>2516.15</x:v>
      </x:c>
      <x:c r="I889" s="16" t="n">
        <x:v>1</x:v>
      </x:c>
      <x:c r="J889"/>
      <x:c r="K889" s="4"/>
      <x:c r="L889" s="4"/>
      <x:c r="M889" s="4"/>
      <x:c r="N889" s="5"/>
    </x:row>
    <x:row r="890" ht="24" customHeight="1">
      <x:c r="A890" s="1" t="str">
        <x:v>RESULT</x:v>
      </x:c>
      <x:c r="B890" s="1" t="str">
        <x:v>Round2</x:v>
      </x:c>
      <x:c r="C890" s="1" t="str">
        <x:v>Cli_17</x:v>
      </x:c>
      <x:c r="D890" s="1" t="str">
        <x:v>INCONCLUSIVE</x:v>
      </x:c>
      <x:c r="E890" s="5" t="n">
        <x:v>0</x:v>
      </x:c>
      <x:c r="F890" s="4" t="n">
        <x:v>0</x:v>
      </x:c>
      <x:c r="G890" s="4" t="n">
        <x:v>32576</x:v>
      </x:c>
      <x:c r="H890" s="6" t="n">
        <x:v>662.59</x:v>
      </x:c>
      <x:c r="I890" s="16" t="n">
        <x:v>1</x:v>
      </x:c>
      <x:c r="J890" t="n">
        <x:v>67</x:v>
      </x:c>
      <x:c r="K890" s="4" t="n">
        <x:v>0</x:v>
      </x:c>
      <x:c r="L890" s="4" t="n">
        <x:v>42</x:v>
      </x:c>
      <x:c r="M890" s="4" t="n">
        <x:v>0</x:v>
      </x:c>
      <x:c r="N890" s="5" t="n">
        <x:v>0</x:v>
      </x:c>
    </x:row>
    <x:row r="891" ht="24" customHeight="1">
      <x:c r="A891" s="1" t="str">
        <x:v>RESULT</x:v>
      </x:c>
      <x:c r="B891" s="1" t="str">
        <x:v>Round2</x:v>
      </x:c>
      <x:c r="C891" s="1" t="str">
        <x:v>Cli_18</x:v>
      </x:c>
      <x:c r="D891" s="1" t="str">
        <x:v>INCONCLUSIVE</x:v>
      </x:c>
      <x:c r="E891" s="5" t="n">
        <x:v>0</x:v>
      </x:c>
      <x:c r="F891" s="4" t="n">
        <x:v>0</x:v>
      </x:c>
      <x:c r="G891" s="4"/>
      <x:c r="H891" s="6"/>
      <x:c r="I891" s="16" t="n">
        <x:v>1</x:v>
      </x:c>
      <x:c r="J891" t="n">
        <x:v>66</x:v>
      </x:c>
      <x:c r="K891" s="4" t="n">
        <x:v>0</x:v>
      </x:c>
      <x:c r="L891" s="4" t="n">
        <x:v>42</x:v>
      </x:c>
      <x:c r="M891" s="4" t="n">
        <x:v>0</x:v>
      </x:c>
      <x:c r="N891" s="5" t="n">
        <x:v>0</x:v>
      </x:c>
    </x:row>
    <x:row r="892" ht="24" customHeight="1">
      <x:c r="A892" s="1" t="str">
        <x:v>RESULT</x:v>
      </x:c>
      <x:c r="B892" s="1" t="str">
        <x:v>Round2</x:v>
      </x:c>
      <x:c r="C892" s="1" t="str">
        <x:v>Cli_19</x:v>
      </x:c>
      <x:c r="D892" s="1" t="str">
        <x:v>INCONCLUSIVE</x:v>
      </x:c>
      <x:c r="E892" s="5" t="n">
        <x:v>0</x:v>
      </x:c>
      <x:c r="F892" s="4" t="n">
        <x:v>0</x:v>
      </x:c>
      <x:c r="G892" s="4"/>
      <x:c r="H892" s="6"/>
      <x:c r="I892" s="16" t="n">
        <x:v>1</x:v>
      </x:c>
      <x:c r="J892" t="n">
        <x:v>65</x:v>
      </x:c>
      <x:c r="K892" s="4" t="n">
        <x:v>0</x:v>
      </x:c>
      <x:c r="L892" s="4" t="n">
        <x:v>42</x:v>
      </x:c>
      <x:c r="M892" s="4" t="n">
        <x:v>0</x:v>
      </x:c>
      <x:c r="N892" s="5" t="n">
        <x:v>0</x:v>
      </x:c>
    </x:row>
    <x:row r="893" ht="24" customHeight="1">
      <x:c r="A893" s="1" t="str">
        <x:v>RESULT</x:v>
      </x:c>
      <x:c r="B893" s="1" t="str">
        <x:v>Round2</x:v>
      </x:c>
      <x:c r="C893" s="1" t="str">
        <x:v>Cli_2</x:v>
      </x:c>
      <x:c r="D893" s="1" t="str">
        <x:v>INCONCLUSIVE</x:v>
      </x:c>
      <x:c r="E893" s="5" t="n">
        <x:v>0</x:v>
      </x:c>
      <x:c r="F893" s="4" t="n">
        <x:v>0</x:v>
      </x:c>
      <x:c r="G893" s="4"/>
      <x:c r="H893" s="6"/>
      <x:c r="I893" s="16" t="n">
        <x:v>1</x:v>
      </x:c>
      <x:c r="J893" t="n">
        <x:v>68</x:v>
      </x:c>
      <x:c r="K893" s="4" t="n">
        <x:v>0</x:v>
      </x:c>
      <x:c r="L893" s="4" t="n">
        <x:v>42</x:v>
      </x:c>
      <x:c r="M893" s="4" t="n">
        <x:v>0</x:v>
      </x:c>
      <x:c r="N893" s="5" t="n">
        <x:v>0</x:v>
      </x:c>
    </x:row>
    <x:row r="894" ht="24" customHeight="1">
      <x:c r="A894" s="1" t="str">
        <x:v>RESULT</x:v>
      </x:c>
      <x:c r="B894" s="1" t="str">
        <x:v>Round2</x:v>
      </x:c>
      <x:c r="C894" s="1" t="str">
        <x:v>Cli_20</x:v>
      </x:c>
      <x:c r="D894" s="1" t="str">
        <x:v>INCONCLUSIVE</x:v>
      </x:c>
      <x:c r="E894" s="5" t="n">
        <x:v>0</x:v>
      </x:c>
      <x:c r="F894" s="4" t="n">
        <x:v>0</x:v>
      </x:c>
      <x:c r="G894" s="4" t="n">
        <x:v>20406</x:v>
      </x:c>
      <x:c r="H894" s="6" t="n">
        <x:v>398.93</x:v>
      </x:c>
      <x:c r="I894" s="16" t="n">
        <x:v>1</x:v>
      </x:c>
      <x:c r="J894" t="n">
        <x:v>64</x:v>
      </x:c>
      <x:c r="K894" s="4" t="n">
        <x:v>0</x:v>
      </x:c>
      <x:c r="L894" s="4" t="n">
        <x:v>42</x:v>
      </x:c>
      <x:c r="M894" s="4" t="n">
        <x:v>0</x:v>
      </x:c>
      <x:c r="N894" s="5" t="n">
        <x:v>0</x:v>
      </x:c>
    </x:row>
    <x:row r="895" ht="24" customHeight="1">
      <x:c r="A895" s="1" t="str">
        <x:v>RESULT</x:v>
      </x:c>
      <x:c r="B895" s="1" t="str">
        <x:v>Round2</x:v>
      </x:c>
      <x:c r="C895" s="1" t="str">
        <x:v>Cli_21</x:v>
      </x:c>
      <x:c r="D895" s="1" t="str">
        <x:v>NOT_AVAILABLE</x:v>
      </x:c>
      <x:c r="E895" s="5"/>
      <x:c r="F895" s="4" t="n">
        <x:v>0</x:v>
      </x:c>
      <x:c r="G895" s="4" t="n">
        <x:v>69965</x:v>
      </x:c>
      <x:c r="H895" s="6" t="n">
        <x:v>1405.27</x:v>
      </x:c>
      <x:c r="I895" s="16" t="n">
        <x:v>1</x:v>
      </x:c>
      <x:c r="J895"/>
      <x:c r="K895" s="4"/>
      <x:c r="L895" s="4"/>
      <x:c r="M895" s="4"/>
      <x:c r="N895" s="5"/>
    </x:row>
    <x:row r="896" ht="24" customHeight="1">
      <x:c r="A896" s="1" t="str">
        <x:v>RESULT</x:v>
      </x:c>
      <x:c r="B896" s="1" t="str">
        <x:v>Round2</x:v>
      </x:c>
      <x:c r="C896" s="1" t="str">
        <x:v>Cli_22</x:v>
      </x:c>
      <x:c r="D896" s="1" t="str">
        <x:v>INCONCLUSIVE</x:v>
      </x:c>
      <x:c r="E896" s="5" t="n">
        <x:v>0</x:v>
      </x:c>
      <x:c r="F896" s="4" t="n">
        <x:v>0</x:v>
      </x:c>
      <x:c r="G896" s="4"/>
      <x:c r="H896" s="6"/>
      <x:c r="I896" s="16" t="n">
        <x:v>1</x:v>
      </x:c>
      <x:c r="J896" t="n">
        <x:v>57</x:v>
      </x:c>
      <x:c r="K896" s="4" t="n">
        <x:v>0</x:v>
      </x:c>
      <x:c r="L896" s="4" t="n">
        <x:v>38</x:v>
      </x:c>
      <x:c r="M896" s="4" t="n">
        <x:v>0</x:v>
      </x:c>
      <x:c r="N896" s="5" t="n">
        <x:v>0</x:v>
      </x:c>
    </x:row>
    <x:row r="897" ht="24" customHeight="1">
      <x:c r="A897" s="1" t="str">
        <x:v>RESULT</x:v>
      </x:c>
      <x:c r="B897" s="1" t="str">
        <x:v>Round2</x:v>
      </x:c>
      <x:c r="C897" s="1" t="str">
        <x:v>Cli_23</x:v>
      </x:c>
      <x:c r="D897" s="1" t="str">
        <x:v>INCONCLUSIVE</x:v>
      </x:c>
      <x:c r="E897" s="5" t="n">
        <x:v>0</x:v>
      </x:c>
      <x:c r="F897" s="4" t="n">
        <x:v>0</x:v>
      </x:c>
      <x:c r="G897" s="4" t="n">
        <x:v>25166</x:v>
      </x:c>
      <x:c r="H897" s="6" t="n">
        <x:v>489.56</x:v>
      </x:c>
      <x:c r="I897" s="16" t="n">
        <x:v>1</x:v>
      </x:c>
      <x:c r="J897" t="n">
        <x:v>198</x:v>
      </x:c>
      <x:c r="K897" s="4" t="n">
        <x:v>0</x:v>
      </x:c>
      <x:c r="L897" s="4" t="n">
        <x:v>108</x:v>
      </x:c>
      <x:c r="M897" s="4" t="n">
        <x:v>0</x:v>
      </x:c>
      <x:c r="N897" s="5" t="n">
        <x:v>0</x:v>
      </x:c>
    </x:row>
    <x:row r="898" ht="24" customHeight="1">
      <x:c r="A898" s="1" t="str">
        <x:v>RESULT</x:v>
      </x:c>
      <x:c r="B898" s="1" t="str">
        <x:v>Round2</x:v>
      </x:c>
      <x:c r="C898" s="1" t="str">
        <x:v>Cli_24</x:v>
      </x:c>
      <x:c r="D898" s="1" t="str">
        <x:v>INCONCLUSIVE</x:v>
      </x:c>
      <x:c r="E898" s="5" t="n">
        <x:v>0</x:v>
      </x:c>
      <x:c r="F898" s="4" t="n">
        <x:v>0</x:v>
      </x:c>
      <x:c r="G898" s="4"/>
      <x:c r="H898" s="6"/>
      <x:c r="I898" s="16" t="n">
        <x:v>1</x:v>
      </x:c>
      <x:c r="J898" t="n">
        <x:v>198</x:v>
      </x:c>
      <x:c r="K898" s="4" t="n">
        <x:v>0</x:v>
      </x:c>
      <x:c r="L898" s="4" t="n">
        <x:v>112</x:v>
      </x:c>
      <x:c r="M898" s="4" t="n">
        <x:v>0</x:v>
      </x:c>
      <x:c r="N898" s="5" t="n">
        <x:v>0</x:v>
      </x:c>
    </x:row>
    <x:row r="899" ht="24" customHeight="1">
      <x:c r="A899" s="1" t="str">
        <x:v>RESULT</x:v>
      </x:c>
      <x:c r="B899" s="1" t="str">
        <x:v>Round2</x:v>
      </x:c>
      <x:c r="C899" s="1" t="str">
        <x:v>Cli_25</x:v>
      </x:c>
      <x:c r="D899" s="1" t="str">
        <x:v>INCONCLUSIVE</x:v>
      </x:c>
      <x:c r="E899" s="5" t="n">
        <x:v>0</x:v>
      </x:c>
      <x:c r="F899" s="4" t="n">
        <x:v>0</x:v>
      </x:c>
      <x:c r="G899" s="4" t="n">
        <x:v>23074</x:v>
      </x:c>
      <x:c r="H899" s="6" t="n">
        <x:v>451.32</x:v>
      </x:c>
      <x:c r="I899" s="16" t="n">
        <x:v>1</x:v>
      </x:c>
      <x:c r="J899" t="n">
        <x:v>198</x:v>
      </x:c>
      <x:c r="K899" s="4" t="n">
        <x:v>0</x:v>
      </x:c>
      <x:c r="L899" s="4" t="n">
        <x:v>112</x:v>
      </x:c>
      <x:c r="M899" s="4" t="n">
        <x:v>0</x:v>
      </x:c>
      <x:c r="N899" s="5" t="n">
        <x:v>0</x:v>
      </x:c>
    </x:row>
    <x:row r="900" ht="24" customHeight="1">
      <x:c r="A900" s="1" t="str">
        <x:v>RESULT</x:v>
      </x:c>
      <x:c r="B900" s="1" t="str">
        <x:v>Round2</x:v>
      </x:c>
      <x:c r="C900" s="1" t="str">
        <x:v>Cli_26</x:v>
      </x:c>
      <x:c r="D900" s="1" t="str">
        <x:v>NOT_AVAILABLE</x:v>
      </x:c>
      <x:c r="E900" s="5"/>
      <x:c r="F900" s="4" t="n">
        <x:v>0</x:v>
      </x:c>
      <x:c r="G900" s="4" t="n">
        <x:v>27088</x:v>
      </x:c>
      <x:c r="H900" s="6" t="n">
        <x:v>564.09</x:v>
      </x:c>
      <x:c r="I900" s="16" t="n">
        <x:v>1</x:v>
      </x:c>
      <x:c r="J900"/>
      <x:c r="K900" s="4"/>
      <x:c r="L900" s="4"/>
      <x:c r="M900" s="4"/>
      <x:c r="N900" s="5"/>
    </x:row>
    <x:row r="901" ht="24" customHeight="1">
      <x:c r="A901" s="1" t="str">
        <x:v>RESULT</x:v>
      </x:c>
      <x:c r="B901" s="1" t="str">
        <x:v>Round2</x:v>
      </x:c>
      <x:c r="C901" s="1" t="str">
        <x:v>Cli_27</x:v>
      </x:c>
      <x:c r="D901" s="1" t="str">
        <x:v>INCONCLUSIVE</x:v>
      </x:c>
      <x:c r="E901" s="5" t="n">
        <x:v>0</x:v>
      </x:c>
      <x:c r="F901" s="4" t="n">
        <x:v>0</x:v>
      </x:c>
      <x:c r="G901" s="4"/>
      <x:c r="H901" s="6"/>
      <x:c r="I901" s="16" t="n">
        <x:v>1</x:v>
      </x:c>
      <x:c r="J901" t="n">
        <x:v>34</x:v>
      </x:c>
      <x:c r="K901" s="4" t="n">
        <x:v>0</x:v>
      </x:c>
      <x:c r="L901" s="4" t="n">
        <x:v>12</x:v>
      </x:c>
      <x:c r="M901" s="4" t="n">
        <x:v>0</x:v>
      </x:c>
      <x:c r="N901" s="5" t="n">
        <x:v>0</x:v>
      </x:c>
    </x:row>
    <x:row r="902" ht="24" customHeight="1">
      <x:c r="A902" s="1" t="str">
        <x:v>RESULT</x:v>
      </x:c>
      <x:c r="B902" s="1" t="str">
        <x:v>Round2</x:v>
      </x:c>
      <x:c r="C902" s="1" t="str">
        <x:v>Cli_28</x:v>
      </x:c>
      <x:c r="D902" s="1" t="str">
        <x:v>INCONCLUSIVE</x:v>
      </x:c>
      <x:c r="E902" s="5" t="n">
        <x:v>0</x:v>
      </x:c>
      <x:c r="F902" s="4" t="n">
        <x:v>0</x:v>
      </x:c>
      <x:c r="G902" s="4" t="n">
        <x:v>31395</x:v>
      </x:c>
      <x:c r="H902" s="6" t="n">
        <x:v>642.56</x:v>
      </x:c>
      <x:c r="I902" s="16" t="n">
        <x:v>1</x:v>
      </x:c>
      <x:c r="J902" t="n">
        <x:v>101</x:v>
      </x:c>
      <x:c r="K902" s="4" t="n">
        <x:v>0</x:v>
      </x:c>
      <x:c r="L902" s="4" t="n">
        <x:v>68</x:v>
      </x:c>
      <x:c r="M902" s="4" t="n">
        <x:v>0</x:v>
      </x:c>
      <x:c r="N902" s="5" t="n">
        <x:v>0</x:v>
      </x:c>
    </x:row>
    <x:row r="903" ht="24" customHeight="1">
      <x:c r="A903" s="1" t="str">
        <x:v>RESULT</x:v>
      </x:c>
      <x:c r="B903" s="1" t="str">
        <x:v>Round2</x:v>
      </x:c>
      <x:c r="C903" s="1" t="str">
        <x:v>Cli_29</x:v>
      </x:c>
      <x:c r="D903" s="1" t="str">
        <x:v>INCONCLUSIVE</x:v>
      </x:c>
      <x:c r="E903" s="5" t="n">
        <x:v>0</x:v>
      </x:c>
      <x:c r="F903" s="4" t="n">
        <x:v>0</x:v>
      </x:c>
      <x:c r="G903" s="4"/>
      <x:c r="H903" s="6"/>
      <x:c r="I903" s="16" t="n">
        <x:v>1</x:v>
      </x:c>
      <x:c r="J903" t="n">
        <x:v>14</x:v>
      </x:c>
      <x:c r="K903" s="4" t="n">
        <x:v>0</x:v>
      </x:c>
      <x:c r="L903" s="4" t="n">
        <x:v>10</x:v>
      </x:c>
      <x:c r="M903" s="4" t="n">
        <x:v>0</x:v>
      </x:c>
      <x:c r="N903" s="5" t="n">
        <x:v>0</x:v>
      </x:c>
    </x:row>
    <x:row r="904" ht="24" customHeight="1">
      <x:c r="A904" s="1" t="str">
        <x:v>RESULT</x:v>
      </x:c>
      <x:c r="B904" s="1" t="str">
        <x:v>Round2</x:v>
      </x:c>
      <x:c r="C904" s="1" t="str">
        <x:v>Cli_3</x:v>
      </x:c>
      <x:c r="D904" s="1" t="str">
        <x:v>INCONCLUSIVE</x:v>
      </x:c>
      <x:c r="E904" s="5" t="n">
        <x:v>0</x:v>
      </x:c>
      <x:c r="F904" s="4" t="n">
        <x:v>0</x:v>
      </x:c>
      <x:c r="G904" s="4"/>
      <x:c r="H904" s="6"/>
      <x:c r="I904" s="16" t="n">
        <x:v>1</x:v>
      </x:c>
      <x:c r="J904" t="n">
        <x:v>55</x:v>
      </x:c>
      <x:c r="K904" s="4" t="n">
        <x:v>0</x:v>
      </x:c>
      <x:c r="L904" s="4" t="n">
        <x:v>20</x:v>
      </x:c>
      <x:c r="M904" s="4" t="n">
        <x:v>0</x:v>
      </x:c>
      <x:c r="N904" s="5" t="n">
        <x:v>0</x:v>
      </x:c>
    </x:row>
    <x:row r="905" ht="24" customHeight="1">
      <x:c r="A905" s="1" t="str">
        <x:v>RESULT</x:v>
      </x:c>
      <x:c r="B905" s="1" t="str">
        <x:v>Round2</x:v>
      </x:c>
      <x:c r="C905" s="1" t="str">
        <x:v>Cli_30</x:v>
      </x:c>
      <x:c r="D905" s="1" t="str">
        <x:v>INCONCLUSIVE</x:v>
      </x:c>
      <x:c r="E905" s="5" t="n">
        <x:v>0</x:v>
      </x:c>
      <x:c r="F905" s="4" t="n">
        <x:v>0</x:v>
      </x:c>
      <x:c r="G905" s="4" t="n">
        <x:v>61030</x:v>
      </x:c>
      <x:c r="H905" s="6" t="n">
        <x:v>1280.86</x:v>
      </x:c>
      <x:c r="I905" s="16" t="n">
        <x:v>1</x:v>
      </x:c>
      <x:c r="J905" t="n">
        <x:v>288</x:v>
      </x:c>
      <x:c r="K905" s="4" t="n">
        <x:v>0</x:v>
      </x:c>
      <x:c r="L905" s="4" t="n">
        <x:v>218</x:v>
      </x:c>
      <x:c r="M905" s="4" t="n">
        <x:v>0</x:v>
      </x:c>
      <x:c r="N905" s="5" t="n">
        <x:v>0</x:v>
      </x:c>
    </x:row>
    <x:row r="906" ht="24" customHeight="1">
      <x:c r="A906" s="1" t="str">
        <x:v>RESULT</x:v>
      </x:c>
      <x:c r="B906" s="1" t="str">
        <x:v>Round2</x:v>
      </x:c>
      <x:c r="C906" s="1" t="str">
        <x:v>Cli_31</x:v>
      </x:c>
      <x:c r="D906" s="1" t="str">
        <x:v>NOT_AVAILABLE</x:v>
      </x:c>
      <x:c r="E906" s="5"/>
      <x:c r="F906" s="4" t="n">
        <x:v>0</x:v>
      </x:c>
      <x:c r="G906" s="4" t="n">
        <x:v>76957</x:v>
      </x:c>
      <x:c r="H906" s="6" t="n">
        <x:v>1612.14</x:v>
      </x:c>
      <x:c r="I906" s="16" t="n">
        <x:v>1</x:v>
      </x:c>
      <x:c r="J906"/>
      <x:c r="K906" s="4"/>
      <x:c r="L906" s="4"/>
      <x:c r="M906" s="4"/>
      <x:c r="N906" s="5"/>
    </x:row>
    <x:row r="907" ht="24" customHeight="1">
      <x:c r="A907" s="1" t="str">
        <x:v>RESULT</x:v>
      </x:c>
      <x:c r="B907" s="1" t="str">
        <x:v>Round2</x:v>
      </x:c>
      <x:c r="C907" s="1" t="str">
        <x:v>Cli_32</x:v>
      </x:c>
      <x:c r="D907" s="1" t="str">
        <x:v>INCONCLUSIVE</x:v>
      </x:c>
      <x:c r="E907" s="5" t="n">
        <x:v>0</x:v>
      </x:c>
      <x:c r="F907" s="4" t="n">
        <x:v>0</x:v>
      </x:c>
      <x:c r="G907" s="4" t="n">
        <x:v>31495</x:v>
      </x:c>
      <x:c r="H907" s="6" t="n">
        <x:v>689.01</x:v>
      </x:c>
      <x:c r="I907" s="16" t="n">
        <x:v>1</x:v>
      </x:c>
      <x:c r="J907" t="n">
        <x:v>203</x:v>
      </x:c>
      <x:c r="K907" s="4" t="n">
        <x:v>0</x:v>
      </x:c>
      <x:c r="L907" s="4" t="n">
        <x:v>122</x:v>
      </x:c>
      <x:c r="M907" s="4" t="n">
        <x:v>0</x:v>
      </x:c>
      <x:c r="N907" s="5" t="n">
        <x:v>0</x:v>
      </x:c>
    </x:row>
    <x:row r="908" ht="24" customHeight="1">
      <x:c r="A908" s="1" t="str">
        <x:v>RESULT</x:v>
      </x:c>
      <x:c r="B908" s="1" t="str">
        <x:v>Round2</x:v>
      </x:c>
      <x:c r="C908" s="1" t="str">
        <x:v>Cli_33</x:v>
      </x:c>
      <x:c r="D908" s="1" t="str">
        <x:v>INCONCLUSIVE</x:v>
      </x:c>
      <x:c r="E908" s="5" t="n">
        <x:v>0</x:v>
      </x:c>
      <x:c r="F908" s="4" t="n">
        <x:v>0</x:v>
      </x:c>
      <x:c r="G908" s="4"/>
      <x:c r="H908" s="6"/>
      <x:c r="I908" s="16" t="n">
        <x:v>1</x:v>
      </x:c>
      <x:c r="J908" t="n">
        <x:v>201</x:v>
      </x:c>
      <x:c r="K908" s="4" t="n">
        <x:v>0</x:v>
      </x:c>
      <x:c r="L908" s="4" t="n">
        <x:v>114</x:v>
      </x:c>
      <x:c r="M908" s="4" t="n">
        <x:v>0</x:v>
      </x:c>
      <x:c r="N908" s="5" t="n">
        <x:v>0</x:v>
      </x:c>
    </x:row>
    <x:row r="909" ht="24" customHeight="1">
      <x:c r="A909" s="1" t="str">
        <x:v>RESULT</x:v>
      </x:c>
      <x:c r="B909" s="1" t="str">
        <x:v>Round2</x:v>
      </x:c>
      <x:c r="C909" s="1" t="str">
        <x:v>Cli_34</x:v>
      </x:c>
      <x:c r="D909" s="1" t="str">
        <x:v>NOT_AVAILABLE</x:v>
      </x:c>
      <x:c r="E909" s="5"/>
      <x:c r="F909" s="4" t="n">
        <x:v>0</x:v>
      </x:c>
      <x:c r="G909" s="4" t="n">
        <x:v>44502</x:v>
      </x:c>
      <x:c r="H909" s="6" t="n">
        <x:v>920.63</x:v>
      </x:c>
      <x:c r="I909" s="16" t="n">
        <x:v>1</x:v>
      </x:c>
      <x:c r="J909"/>
      <x:c r="K909" s="4"/>
      <x:c r="L909" s="4"/>
      <x:c r="M909" s="4"/>
      <x:c r="N909" s="5"/>
    </x:row>
    <x:row r="910" ht="24" customHeight="1">
      <x:c r="A910" s="1" t="str">
        <x:v>RESULT</x:v>
      </x:c>
      <x:c r="B910" s="1" t="str">
        <x:v>Round2</x:v>
      </x:c>
      <x:c r="C910" s="1" t="str">
        <x:v>Cli_35</x:v>
      </x:c>
      <x:c r="D910" s="1" t="str">
        <x:v>INCONCLUSIVE</x:v>
      </x:c>
      <x:c r="E910" s="5" t="n">
        <x:v>0.9473999999999999</x:v>
      </x:c>
      <x:c r="F910" s="4" t="n">
        <x:v>0</x:v>
      </x:c>
      <x:c r="G910" s="4"/>
      <x:c r="H910" s="6"/>
      <x:c r="I910" s="16" t="n">
        <x:v>1</x:v>
      </x:c>
      <x:c r="J910" t="n">
        <x:v>57</x:v>
      </x:c>
      <x:c r="K910" s="4" t="n">
        <x:v>54</x:v>
      </x:c>
      <x:c r="L910" s="4" t="n">
        <x:v>20</x:v>
      </x:c>
      <x:c r="M910" s="4" t="n">
        <x:v>19</x:v>
      </x:c>
      <x:c r="N910" s="5" t="n">
        <x:v>0.95</x:v>
      </x:c>
    </x:row>
    <x:row r="911" ht="24" customHeight="1">
      <x:c r="A911" s="1" t="str">
        <x:v>RESULT</x:v>
      </x:c>
      <x:c r="B911" s="1" t="str">
        <x:v>Round2</x:v>
      </x:c>
      <x:c r="C911" s="1" t="str">
        <x:v>Cli_36</x:v>
      </x:c>
      <x:c r="D911" s="1" t="str">
        <x:v>NOT_AVAILABLE</x:v>
      </x:c>
      <x:c r="E911" s="5"/>
      <x:c r="F911" s="4" t="n">
        <x:v>0</x:v>
      </x:c>
      <x:c r="G911" s="4" t="n">
        <x:v>33157</x:v>
      </x:c>
      <x:c r="H911" s="6" t="n">
        <x:v>683.13</x:v>
      </x:c>
      <x:c r="I911" s="16" t="n">
        <x:v>1</x:v>
      </x:c>
      <x:c r="J911"/>
      <x:c r="K911" s="4"/>
      <x:c r="L911" s="4"/>
      <x:c r="M911" s="4"/>
      <x:c r="N911" s="5"/>
    </x:row>
    <x:row r="912" ht="24" customHeight="1">
      <x:c r="A912" s="1" t="str">
        <x:v>RESULT</x:v>
      </x:c>
      <x:c r="B912" s="1" t="str">
        <x:v>Round2</x:v>
      </x:c>
      <x:c r="C912" s="1" t="str">
        <x:v>Cli_37</x:v>
      </x:c>
      <x:c r="D912" s="1" t="str">
        <x:v>NOT_REVEALING</x:v>
      </x:c>
      <x:c r="E912" s="5" t="n">
        <x:v>0.8449</x:v>
      </x:c>
      <x:c r="F912" s="4" t="n">
        <x:v>0</x:v>
      </x:c>
      <x:c r="G912" s="4" t="n">
        <x:v>32282</x:v>
      </x:c>
      <x:c r="H912" s="6" t="n">
        <x:v>664.89</x:v>
      </x:c>
      <x:c r="I912" s="16" t="n">
        <x:v>1</x:v>
      </x:c>
      <x:c r="J912" t="n">
        <x:v>187</x:v>
      </x:c>
      <x:c r="K912" s="4" t="n">
        <x:v>158</x:v>
      </x:c>
      <x:c r="L912" s="4" t="n">
        <x:v>158</x:v>
      </x:c>
      <x:c r="M912" s="4" t="n">
        <x:v>102</x:v>
      </x:c>
      <x:c r="N912" s="5" t="n">
        <x:v>0.6456000000000001</x:v>
      </x:c>
    </x:row>
    <x:row r="913" ht="24" customHeight="1">
      <x:c r="A913" s="1" t="str">
        <x:v>RESULT</x:v>
      </x:c>
      <x:c r="B913" s="1" t="str">
        <x:v>Round2</x:v>
      </x:c>
      <x:c r="C913" s="1" t="str">
        <x:v>Cli_38</x:v>
      </x:c>
      <x:c r="D913" s="1" t="str">
        <x:v>NOT_REVEALING</x:v>
      </x:c>
      <x:c r="E913" s="5" t="n">
        <x:v>0.8377</x:v>
      </x:c>
      <x:c r="F913" s="4" t="n">
        <x:v>0</x:v>
      </x:c>
      <x:c r="G913" s="4" t="n">
        <x:v>24149</x:v>
      </x:c>
      <x:c r="H913" s="6" t="n">
        <x:v>485.83</x:v>
      </x:c>
      <x:c r="I913" s="16" t="n">
        <x:v>1</x:v>
      </x:c>
      <x:c r="J913" t="n">
        <x:v>191</x:v>
      </x:c>
      <x:c r="K913" s="4" t="n">
        <x:v>160</x:v>
      </x:c>
      <x:c r="L913" s="4" t="n">
        <x:v>158</x:v>
      </x:c>
      <x:c r="M913" s="4" t="n">
        <x:v>101</x:v>
      </x:c>
      <x:c r="N913" s="5" t="n">
        <x:v>0.6392</x:v>
      </x:c>
    </x:row>
    <x:row r="914" ht="24" customHeight="1">
      <x:c r="A914" s="1" t="str">
        <x:v>RESULT</x:v>
      </x:c>
      <x:c r="B914" s="1" t="str">
        <x:v>Round2</x:v>
      </x:c>
      <x:c r="C914" s="1" t="str">
        <x:v>Cli_39</x:v>
      </x:c>
      <x:c r="D914" s="1" t="str">
        <x:v>INCONCLUSIVE</x:v>
      </x:c>
      <x:c r="E914" s="5" t="n">
        <x:v>0.8571</x:v>
      </x:c>
      <x:c r="F914" s="4" t="n">
        <x:v>0</x:v>
      </x:c>
      <x:c r="G914" s="4"/>
      <x:c r="H914" s="6"/>
      <x:c r="I914" s="16" t="n">
        <x:v>1</x:v>
      </x:c>
      <x:c r="J914" t="n">
        <x:v>42</x:v>
      </x:c>
      <x:c r="K914" s="4" t="n">
        <x:v>36</x:v>
      </x:c>
      <x:c r="L914" s="4" t="n">
        <x:v>20</x:v>
      </x:c>
      <x:c r="M914" s="4" t="n">
        <x:v>16</x:v>
      </x:c>
      <x:c r="N914" s="5" t="n">
        <x:v>0.8</x:v>
      </x:c>
    </x:row>
    <x:row r="915" ht="24" customHeight="1">
      <x:c r="A915" s="1" t="str">
        <x:v>RESULT</x:v>
      </x:c>
      <x:c r="B915" s="1" t="str">
        <x:v>Round2</x:v>
      </x:c>
      <x:c r="C915" s="1" t="str">
        <x:v>Cli_4</x:v>
      </x:c>
      <x:c r="D915" s="1" t="str">
        <x:v>INCONCLUSIVE</x:v>
      </x:c>
      <x:c r="E915" s="5" t="n">
        <x:v>0</x:v>
      </x:c>
      <x:c r="F915" s="4" t="n">
        <x:v>0</x:v>
      </x:c>
      <x:c r="G915" s="4"/>
      <x:c r="H915" s="6"/>
      <x:c r="I915" s="16" t="n">
        <x:v>1</x:v>
      </x:c>
      <x:c r="J915" t="n">
        <x:v>99</x:v>
      </x:c>
      <x:c r="K915" s="4" t="n">
        <x:v>0</x:v>
      </x:c>
      <x:c r="L915" s="4" t="n">
        <x:v>68</x:v>
      </x:c>
      <x:c r="M915" s="4" t="n">
        <x:v>0</x:v>
      </x:c>
      <x:c r="N915" s="5" t="n">
        <x:v>0</x:v>
      </x:c>
    </x:row>
    <x:row r="916" ht="24" customHeight="1">
      <x:c r="A916" s="1" t="str">
        <x:v>RESULT</x:v>
      </x:c>
      <x:c r="B916" s="1" t="str">
        <x:v>Round2</x:v>
      </x:c>
      <x:c r="C916" s="1" t="str">
        <x:v>Cli_40</x:v>
      </x:c>
      <x:c r="D916" s="1" t="str">
        <x:v>NOT_AVAILABLE</x:v>
      </x:c>
      <x:c r="E916" s="5"/>
      <x:c r="F916" s="4" t="n">
        <x:v>0</x:v>
      </x:c>
      <x:c r="G916" s="4" t="n">
        <x:v>30498</x:v>
      </x:c>
      <x:c r="H916" s="6" t="n">
        <x:v>716.82</x:v>
      </x:c>
      <x:c r="I916" s="16" t="n">
        <x:v>1</x:v>
      </x:c>
      <x:c r="J916"/>
      <x:c r="K916" s="4"/>
      <x:c r="L916" s="4"/>
      <x:c r="M916" s="4"/>
      <x:c r="N916" s="5"/>
    </x:row>
    <x:row r="917" ht="24" customHeight="1">
      <x:c r="A917" s="1" t="str">
        <x:v>RESULT</x:v>
      </x:c>
      <x:c r="B917" s="1" t="str">
        <x:v>Round2</x:v>
      </x:c>
      <x:c r="C917" s="1" t="str">
        <x:v>Cli_5</x:v>
      </x:c>
      <x:c r="D917" s="1" t="str">
        <x:v>INCONCLUSIVE</x:v>
      </x:c>
      <x:c r="E917" s="5" t="n">
        <x:v>0</x:v>
      </x:c>
      <x:c r="F917" s="4" t="n">
        <x:v>0</x:v>
      </x:c>
      <x:c r="G917" s="4"/>
      <x:c r="H917" s="6"/>
      <x:c r="I917" s="16" t="n">
        <x:v>1</x:v>
      </x:c>
      <x:c r="J917" t="n">
        <x:v>11</x:v>
      </x:c>
      <x:c r="K917" s="4" t="n">
        <x:v>0</x:v>
      </x:c>
      <x:c r="L917" s="4" t="n">
        <x:v>8</x:v>
      </x:c>
      <x:c r="M917" s="4" t="n">
        <x:v>0</x:v>
      </x:c>
      <x:c r="N917" s="5" t="n">
        <x:v>0</x:v>
      </x:c>
    </x:row>
    <x:row r="918" ht="24" customHeight="1">
      <x:c r="A918" s="1" t="str">
        <x:v>RESULT</x:v>
      </x:c>
      <x:c r="B918" s="1" t="str">
        <x:v>Round2</x:v>
      </x:c>
      <x:c r="C918" s="1" t="str">
        <x:v>Cli_7</x:v>
      </x:c>
      <x:c r="D918" s="1" t="str">
        <x:v>NOT_AVAILABLE</x:v>
      </x:c>
      <x:c r="E918" s="5"/>
      <x:c r="F918" s="4" t="n">
        <x:v>0</x:v>
      </x:c>
      <x:c r="G918" s="4" t="n">
        <x:v>35845</x:v>
      </x:c>
      <x:c r="H918" s="6" t="n">
        <x:v>842.51</x:v>
      </x:c>
      <x:c r="I918" s="16" t="n">
        <x:v>1</x:v>
      </x:c>
      <x:c r="J918"/>
      <x:c r="K918" s="4"/>
      <x:c r="L918" s="4"/>
      <x:c r="M918" s="4"/>
      <x:c r="N918" s="5"/>
    </x:row>
    <x:row r="919" ht="24" customHeight="1">
      <x:c r="A919" s="1" t="str">
        <x:v>RESULT</x:v>
      </x:c>
      <x:c r="B919" s="1" t="str">
        <x:v>Round2</x:v>
      </x:c>
      <x:c r="C919" s="1" t="str">
        <x:v>Cli_8</x:v>
      </x:c>
      <x:c r="D919" s="1" t="str">
        <x:v>INCONCLUSIVE</x:v>
      </x:c>
      <x:c r="E919" s="5" t="n">
        <x:v>0</x:v>
      </x:c>
      <x:c r="F919" s="4" t="n">
        <x:v>0</x:v>
      </x:c>
      <x:c r="G919" s="4"/>
      <x:c r="H919" s="6"/>
      <x:c r="I919" s="16" t="n">
        <x:v>1</x:v>
      </x:c>
      <x:c r="J919" t="n">
        <x:v>192</x:v>
      </x:c>
      <x:c r="K919" s="4" t="n">
        <x:v>0</x:v>
      </x:c>
      <x:c r="L919" s="4" t="n">
        <x:v>104</x:v>
      </x:c>
      <x:c r="M919" s="4" t="n">
        <x:v>0</x:v>
      </x:c>
      <x:c r="N919" s="5" t="n">
        <x:v>0</x:v>
      </x:c>
    </x:row>
    <x:row r="920" ht="24" customHeight="1">
      <x:c r="A920" s="1" t="str">
        <x:v>RESULT</x:v>
      </x:c>
      <x:c r="B920" s="1" t="str">
        <x:v>Round2</x:v>
      </x:c>
      <x:c r="C920" s="1" t="str">
        <x:v>Cli_9</x:v>
      </x:c>
      <x:c r="D920" s="1" t="str">
        <x:v>NOT_AVAILABLE</x:v>
      </x:c>
      <x:c r="E920" s="5"/>
      <x:c r="F920" s="4" t="n">
        <x:v>0</x:v>
      </x:c>
      <x:c r="G920" s="4" t="n">
        <x:v>29868</x:v>
      </x:c>
      <x:c r="H920" s="6" t="n">
        <x:v>680.54</x:v>
      </x:c>
      <x:c r="I920" s="16" t="n">
        <x:v>1</x:v>
      </x:c>
      <x:c r="J920"/>
      <x:c r="K920" s="4"/>
      <x:c r="L920" s="4"/>
      <x:c r="M920" s="4"/>
      <x:c r="N920" s="5"/>
    </x:row>
    <x:row r="921" ht="24" customHeight="1">
      <x:c r="A921" s="1" t="str">
        <x:v>RESULT</x:v>
      </x:c>
      <x:c r="B921" s="1" t="str">
        <x:v>Round2</x:v>
      </x:c>
      <x:c r="C921" s="1" t="str">
        <x:v>Closure_1</x:v>
      </x:c>
      <x:c r="D921" s="1" t="str">
        <x:v>NOT_AVAILABLE</x:v>
      </x:c>
      <x:c r="E921" s="5"/>
      <x:c r="F921" s="4" t="n">
        <x:v>0</x:v>
      </x:c>
      <x:c r="G921" s="4" t="n">
        <x:v>27717</x:v>
      </x:c>
      <x:c r="H921" s="6" t="n">
        <x:v>547.23</x:v>
      </x:c>
      <x:c r="I921" s="16" t="n">
        <x:v>1</x:v>
      </x:c>
      <x:c r="J921"/>
      <x:c r="K921" s="4"/>
      <x:c r="L921" s="4"/>
      <x:c r="M921" s="4"/>
      <x:c r="N921" s="5"/>
    </x:row>
    <x:row r="922" ht="24" customHeight="1">
      <x:c r="A922" s="1" t="str">
        <x:v>RESULT</x:v>
      </x:c>
      <x:c r="B922" s="1" t="str">
        <x:v>Round2</x:v>
      </x:c>
      <x:c r="C922" s="1" t="str">
        <x:v>Closure_10</x:v>
      </x:c>
      <x:c r="D922" s="1" t="str">
        <x:v>INCONCLUSIVE</x:v>
      </x:c>
      <x:c r="E922" s="5" t="n">
        <x:v>0.0727</x:v>
      </x:c>
      <x:c r="F922" s="4" t="n">
        <x:v>0</x:v>
      </x:c>
      <x:c r="G922" s="4" t="n">
        <x:v>44147</x:v>
      </x:c>
      <x:c r="H922" s="6" t="n">
        <x:v>687.03</x:v>
      </x:c>
      <x:c r="I922" s="16" t="n">
        <x:v>1</x:v>
      </x:c>
      <x:c r="J922" t="n">
        <x:v>1031</x:v>
      </x:c>
      <x:c r="K922" s="4" t="n">
        <x:v>75</x:v>
      </x:c>
      <x:c r="L922" s="4" t="n">
        <x:v>1028</x:v>
      </x:c>
      <x:c r="M922" s="4" t="n">
        <x:v>44</x:v>
      </x:c>
      <x:c r="N922" s="5" t="n">
        <x:v>0.042800000000000005</x:v>
      </x:c>
    </x:row>
    <x:row r="923" ht="24" customHeight="1">
      <x:c r="A923" s="1" t="str">
        <x:v>RESULT</x:v>
      </x:c>
      <x:c r="B923" s="1" t="str">
        <x:v>Round2</x:v>
      </x:c>
      <x:c r="C923" s="1" t="str">
        <x:v>Closure_100</x:v>
      </x:c>
      <x:c r="D923" s="1" t="str">
        <x:v>NOT_AVAILABLE</x:v>
      </x:c>
      <x:c r="E923" s="5"/>
      <x:c r="F923" s="4" t="n">
        <x:v>0</x:v>
      </x:c>
      <x:c r="G923" s="4" t="n">
        <x:v>33370</x:v>
      </x:c>
      <x:c r="H923" s="6" t="n">
        <x:v>765.17</x:v>
      </x:c>
      <x:c r="I923" s="16" t="n">
        <x:v>1</x:v>
      </x:c>
      <x:c r="J923"/>
      <x:c r="K923" s="4"/>
      <x:c r="L923" s="4"/>
      <x:c r="M923" s="4"/>
      <x:c r="N923" s="5"/>
    </x:row>
    <x:row r="924" ht="24" customHeight="1">
      <x:c r="A924" s="1" t="str">
        <x:v>RESULT</x:v>
      </x:c>
      <x:c r="B924" s="1" t="str">
        <x:v>Round2</x:v>
      </x:c>
      <x:c r="C924" s="1" t="str">
        <x:v>Closure_101</x:v>
      </x:c>
      <x:c r="D924" s="1" t="str">
        <x:v>NOT_AVAILABLE</x:v>
      </x:c>
      <x:c r="E924" s="5"/>
      <x:c r="F924" s="4" t="n">
        <x:v>0</x:v>
      </x:c>
      <x:c r="G924" s="4" t="n">
        <x:v>22802</x:v>
      </x:c>
      <x:c r="H924" s="6" t="n">
        <x:v>425.26</x:v>
      </x:c>
      <x:c r="I924" s="16" t="n">
        <x:v>1</x:v>
      </x:c>
      <x:c r="J924"/>
      <x:c r="K924" s="4"/>
      <x:c r="L924" s="4"/>
      <x:c r="M924" s="4"/>
      <x:c r="N924" s="5"/>
    </x:row>
    <x:row r="925" ht="24" customHeight="1">
      <x:c r="A925" s="1" t="str">
        <x:v>RESULT</x:v>
      </x:c>
      <x:c r="B925" s="1" t="str">
        <x:v>Round2</x:v>
      </x:c>
      <x:c r="C925" s="1" t="str">
        <x:v>Closure_102</x:v>
      </x:c>
      <x:c r="D925" s="1" t="str">
        <x:v>INCONCLUSIVE</x:v>
      </x:c>
      <x:c r="E925" s="5" t="n">
        <x:v>0.2527</x:v>
      </x:c>
      <x:c r="F925" s="4" t="n">
        <x:v>0</x:v>
      </x:c>
      <x:c r="G925" s="4" t="n">
        <x:v>19008</x:v>
      </x:c>
      <x:c r="H925" s="6" t="n">
        <x:v>333.24</x:v>
      </x:c>
      <x:c r="I925" s="16" t="n">
        <x:v>1</x:v>
      </x:c>
      <x:c r="J925" t="n">
        <x:v>186</x:v>
      </x:c>
      <x:c r="K925" s="4" t="n">
        <x:v>47</x:v>
      </x:c>
      <x:c r="L925" s="4" t="n">
        <x:v>109</x:v>
      </x:c>
      <x:c r="M925" s="4" t="n">
        <x:v>25</x:v>
      </x:c>
      <x:c r="N925" s="5" t="n">
        <x:v>0.22940000000000002</x:v>
      </x:c>
    </x:row>
    <x:row r="926" ht="24" customHeight="1">
      <x:c r="A926" s="1" t="str">
        <x:v>RESULT</x:v>
      </x:c>
      <x:c r="B926" s="1" t="str">
        <x:v>Round2</x:v>
      </x:c>
      <x:c r="C926" s="1" t="str">
        <x:v>Closure_103</x:v>
      </x:c>
      <x:c r="D926" s="1" t="str">
        <x:v>NOT_AVAILABLE</x:v>
      </x:c>
      <x:c r="E926" s="5"/>
      <x:c r="F926" s="4" t="n">
        <x:v>0</x:v>
      </x:c>
      <x:c r="G926" s="4" t="n">
        <x:v>39647</x:v>
      </x:c>
      <x:c r="H926" s="6" t="n">
        <x:v>545.66</x:v>
      </x:c>
      <x:c r="I926" s="16" t="n">
        <x:v>1</x:v>
      </x:c>
      <x:c r="J926"/>
      <x:c r="K926" s="4"/>
      <x:c r="L926" s="4"/>
      <x:c r="M926" s="4"/>
      <x:c r="N926" s="5"/>
    </x:row>
    <x:row r="927" ht="24" customHeight="1">
      <x:c r="A927" s="1" t="str">
        <x:v>RESULT</x:v>
      </x:c>
      <x:c r="B927" s="1" t="str">
        <x:v>Round2</x:v>
      </x:c>
      <x:c r="C927" s="1" t="str">
        <x:v>Closure_104</x:v>
      </x:c>
      <x:c r="D927" s="1" t="str">
        <x:v>NOT_AVAILABLE</x:v>
      </x:c>
      <x:c r="E927" s="5"/>
      <x:c r="F927" s="4" t="n">
        <x:v>0</x:v>
      </x:c>
      <x:c r="G927" s="4" t="n">
        <x:v>15828</x:v>
      </x:c>
      <x:c r="H927" s="6" t="n">
        <x:v>119.01</x:v>
      </x:c>
      <x:c r="I927" s="16" t="n">
        <x:v>1</x:v>
      </x:c>
      <x:c r="J927"/>
      <x:c r="K927" s="4"/>
      <x:c r="L927" s="4"/>
      <x:c r="M927" s="4"/>
      <x:c r="N927" s="5"/>
    </x:row>
    <x:row r="928" ht="24" customHeight="1">
      <x:c r="A928" s="1" t="str">
        <x:v>RESULT</x:v>
      </x:c>
      <x:c r="B928" s="1" t="str">
        <x:v>Round2</x:v>
      </x:c>
      <x:c r="C928" s="1" t="str">
        <x:v>Closure_105</x:v>
      </x:c>
      <x:c r="D928" s="1" t="str">
        <x:v>NOT_AVAILABLE</x:v>
      </x:c>
      <x:c r="E928" s="5"/>
      <x:c r="F928" s="4" t="n">
        <x:v>0</x:v>
      </x:c>
      <x:c r="G928" s="4" t="n">
        <x:v>34432</x:v>
      </x:c>
      <x:c r="H928" s="6" t="n">
        <x:v>1074.94</x:v>
      </x:c>
      <x:c r="I928" s="16" t="n">
        <x:v>1</x:v>
      </x:c>
      <x:c r="J928"/>
      <x:c r="K928" s="4"/>
      <x:c r="L928" s="4"/>
      <x:c r="M928" s="4"/>
      <x:c r="N928" s="5"/>
    </x:row>
    <x:row r="929" ht="24" customHeight="1">
      <x:c r="A929" s="1" t="str">
        <x:v>RESULT</x:v>
      </x:c>
      <x:c r="B929" s="1" t="str">
        <x:v>Round2</x:v>
      </x:c>
      <x:c r="C929" s="1" t="str">
        <x:v>Closure_106</x:v>
      </x:c>
      <x:c r="D929" s="1" t="str">
        <x:v>NOT_AVAILABLE</x:v>
      </x:c>
      <x:c r="E929" s="5"/>
      <x:c r="F929" s="4" t="n">
        <x:v>0</x:v>
      </x:c>
      <x:c r="G929" s="4" t="n">
        <x:v>21370</x:v>
      </x:c>
      <x:c r="H929" s="6" t="n">
        <x:v>112.86</x:v>
      </x:c>
      <x:c r="I929" s="16" t="n">
        <x:v>1</x:v>
      </x:c>
      <x:c r="J929"/>
      <x:c r="K929" s="4"/>
      <x:c r="L929" s="4"/>
      <x:c r="M929" s="4"/>
      <x:c r="N929" s="5"/>
    </x:row>
    <x:row r="930" ht="24" customHeight="1">
      <x:c r="A930" s="1" t="str">
        <x:v>RESULT</x:v>
      </x:c>
      <x:c r="B930" s="1" t="str">
        <x:v>Round2</x:v>
      </x:c>
      <x:c r="C930" s="1" t="str">
        <x:v>Closure_107</x:v>
      </x:c>
      <x:c r="D930" s="1" t="str">
        <x:v>NOT_AVAILABLE</x:v>
      </x:c>
      <x:c r="E930" s="5"/>
      <x:c r="F930" s="4" t="n">
        <x:v>0</x:v>
      </x:c>
      <x:c r="G930" s="4" t="n">
        <x:v>20643</x:v>
      </x:c>
      <x:c r="H930" s="6" t="n">
        <x:v>591.6</x:v>
      </x:c>
      <x:c r="I930" s="16" t="n">
        <x:v>1</x:v>
      </x:c>
      <x:c r="J930"/>
      <x:c r="K930" s="4"/>
      <x:c r="L930" s="4"/>
      <x:c r="M930" s="4"/>
      <x:c r="N930" s="5"/>
    </x:row>
    <x:row r="931" ht="24" customHeight="1">
      <x:c r="A931" s="1" t="str">
        <x:v>RESULT</x:v>
      </x:c>
      <x:c r="B931" s="1" t="str">
        <x:v>Round2</x:v>
      </x:c>
      <x:c r="C931" s="1" t="str">
        <x:v>Closure_108</x:v>
      </x:c>
      <x:c r="D931" s="1" t="str">
        <x:v>NOT_AVAILABLE</x:v>
      </x:c>
      <x:c r="E931" s="5"/>
      <x:c r="F931" s="4" t="n">
        <x:v>0</x:v>
      </x:c>
      <x:c r="G931" s="4" t="n">
        <x:v>20015</x:v>
      </x:c>
      <x:c r="H931" s="6" t="n">
        <x:v>128.63</x:v>
      </x:c>
      <x:c r="I931" s="16" t="n">
        <x:v>1</x:v>
      </x:c>
      <x:c r="J931"/>
      <x:c r="K931" s="4"/>
      <x:c r="L931" s="4"/>
      <x:c r="M931" s="4"/>
      <x:c r="N931" s="5"/>
    </x:row>
    <x:row r="932" ht="24" customHeight="1">
      <x:c r="A932" s="1" t="str">
        <x:v>RESULT</x:v>
      </x:c>
      <x:c r="B932" s="1" t="str">
        <x:v>Round2</x:v>
      </x:c>
      <x:c r="C932" s="1" t="str">
        <x:v>Closure_109</x:v>
      </x:c>
      <x:c r="D932" s="1" t="str">
        <x:v>NOT_AVAILABLE</x:v>
      </x:c>
      <x:c r="E932" s="5"/>
      <x:c r="F932" s="4" t="n">
        <x:v>0</x:v>
      </x:c>
      <x:c r="G932" s="4" t="n">
        <x:v>18234</x:v>
      </x:c>
      <x:c r="H932" s="6" t="n">
        <x:v>61.37</x:v>
      </x:c>
      <x:c r="I932" s="16" t="n">
        <x:v>1</x:v>
      </x:c>
      <x:c r="J932"/>
      <x:c r="K932" s="4"/>
      <x:c r="L932" s="4"/>
      <x:c r="M932" s="4"/>
      <x:c r="N932" s="5"/>
    </x:row>
    <x:row r="933" ht="24" customHeight="1">
      <x:c r="A933" s="1" t="str">
        <x:v>RESULT</x:v>
      </x:c>
      <x:c r="B933" s="1" t="str">
        <x:v>Round2</x:v>
      </x:c>
      <x:c r="C933" s="1" t="str">
        <x:v>Closure_11</x:v>
      </x:c>
      <x:c r="D933" s="1" t="str">
        <x:v>NOT_AVAILABLE</x:v>
      </x:c>
      <x:c r="E933" s="5"/>
      <x:c r="F933" s="4" t="n">
        <x:v>0</x:v>
      </x:c>
      <x:c r="G933" s="4" t="n">
        <x:v>45707</x:v>
      </x:c>
      <x:c r="H933" s="6" t="n">
        <x:v>308.33</x:v>
      </x:c>
      <x:c r="I933" s="16" t="n">
        <x:v>1</x:v>
      </x:c>
      <x:c r="J933"/>
      <x:c r="K933" s="4"/>
      <x:c r="L933" s="4"/>
      <x:c r="M933" s="4"/>
      <x:c r="N933" s="5"/>
    </x:row>
    <x:row r="934" ht="24" customHeight="1">
      <x:c r="A934" s="1" t="str">
        <x:v>RESULT</x:v>
      </x:c>
      <x:c r="B934" s="1" t="str">
        <x:v>Round2</x:v>
      </x:c>
      <x:c r="C934" s="1" t="str">
        <x:v>Closure_110</x:v>
      </x:c>
      <x:c r="D934" s="1" t="str">
        <x:v>NOT_AVAILABLE</x:v>
      </x:c>
      <x:c r="E934" s="5"/>
      <x:c r="F934" s="4" t="n">
        <x:v>0</x:v>
      </x:c>
      <x:c r="G934" s="4" t="n">
        <x:v>46815</x:v>
      </x:c>
      <x:c r="H934" s="6" t="n">
        <x:v>307.07</x:v>
      </x:c>
      <x:c r="I934" s="16" t="n">
        <x:v>1</x:v>
      </x:c>
      <x:c r="J934"/>
      <x:c r="K934" s="4"/>
      <x:c r="L934" s="4"/>
      <x:c r="M934" s="4"/>
      <x:c r="N934" s="5"/>
    </x:row>
    <x:row r="935" ht="24" customHeight="1">
      <x:c r="A935" s="1" t="str">
        <x:v>RESULT</x:v>
      </x:c>
      <x:c r="B935" s="1" t="str">
        <x:v>Round2</x:v>
      </x:c>
      <x:c r="C935" s="1" t="str">
        <x:v>Closure_111</x:v>
      </x:c>
      <x:c r="D935" s="1" t="str">
        <x:v>NOT_AVAILABLE</x:v>
      </x:c>
      <x:c r="E935" s="5"/>
      <x:c r="F935" s="4" t="n">
        <x:v>0</x:v>
      </x:c>
      <x:c r="G935" s="4" t="n">
        <x:v>11951</x:v>
      </x:c>
      <x:c r="H935" s="6" t="n">
        <x:v>40.05</x:v>
      </x:c>
      <x:c r="I935" s="16" t="n">
        <x:v>1</x:v>
      </x:c>
      <x:c r="J935"/>
      <x:c r="K935" s="4"/>
      <x:c r="L935" s="4"/>
      <x:c r="M935" s="4"/>
      <x:c r="N935" s="5"/>
    </x:row>
    <x:row r="936" ht="24" customHeight="1">
      <x:c r="A936" s="1" t="str">
        <x:v>RESULT</x:v>
      </x:c>
      <x:c r="B936" s="1" t="str">
        <x:v>Round2</x:v>
      </x:c>
      <x:c r="C936" s="1" t="str">
        <x:v>Closure_112</x:v>
      </x:c>
      <x:c r="D936" s="1" t="str">
        <x:v>NOT_AVAILABLE</x:v>
      </x:c>
      <x:c r="E936" s="5"/>
      <x:c r="F936" s="4" t="n">
        <x:v>0</x:v>
      </x:c>
      <x:c r="G936" s="4" t="n">
        <x:v>15257</x:v>
      </x:c>
      <x:c r="H936" s="6" t="n">
        <x:v>29.88</x:v>
      </x:c>
      <x:c r="I936" s="16" t="n">
        <x:v>1</x:v>
      </x:c>
      <x:c r="J936"/>
      <x:c r="K936" s="4"/>
      <x:c r="L936" s="4"/>
      <x:c r="M936" s="4"/>
      <x:c r="N936" s="5"/>
    </x:row>
    <x:row r="937" ht="24" customHeight="1">
      <x:c r="A937" s="1" t="str">
        <x:v>RESULT</x:v>
      </x:c>
      <x:c r="B937" s="1" t="str">
        <x:v>Round2</x:v>
      </x:c>
      <x:c r="C937" s="1" t="str">
        <x:v>Closure_113</x:v>
      </x:c>
      <x:c r="D937" s="1" t="str">
        <x:v>NOT_AVAILABLE</x:v>
      </x:c>
      <x:c r="E937" s="5"/>
      <x:c r="F937" s="4" t="n">
        <x:v>0</x:v>
      </x:c>
      <x:c r="G937" s="4" t="n">
        <x:v>24393</x:v>
      </x:c>
      <x:c r="H937" s="6" t="n">
        <x:v>397.5</x:v>
      </x:c>
      <x:c r="I937" s="16" t="n">
        <x:v>1</x:v>
      </x:c>
      <x:c r="J937"/>
      <x:c r="K937" s="4"/>
      <x:c r="L937" s="4"/>
      <x:c r="M937" s="4"/>
      <x:c r="N937" s="5"/>
    </x:row>
    <x:row r="938" ht="24" customHeight="1">
      <x:c r="A938" s="1" t="str">
        <x:v>RESULT</x:v>
      </x:c>
      <x:c r="B938" s="1" t="str">
        <x:v>Round2</x:v>
      </x:c>
      <x:c r="C938" s="1" t="str">
        <x:v>Closure_114</x:v>
      </x:c>
      <x:c r="D938" s="1" t="str">
        <x:v>NOT_AVAILABLE</x:v>
      </x:c>
      <x:c r="E938" s="5"/>
      <x:c r="F938" s="4" t="n">
        <x:v>0</x:v>
      </x:c>
      <x:c r="G938" s="4" t="n">
        <x:v>33687</x:v>
      </x:c>
      <x:c r="H938" s="6" t="n">
        <x:v>202.33</x:v>
      </x:c>
      <x:c r="I938" s="16" t="n">
        <x:v>1</x:v>
      </x:c>
      <x:c r="J938"/>
      <x:c r="K938" s="4"/>
      <x:c r="L938" s="4"/>
      <x:c r="M938" s="4"/>
      <x:c r="N938" s="5"/>
    </x:row>
    <x:row r="939" ht="24" customHeight="1">
      <x:c r="A939" s="1" t="str">
        <x:v>RESULT</x:v>
      </x:c>
      <x:c r="B939" s="1" t="str">
        <x:v>Round2</x:v>
      </x:c>
      <x:c r="C939" s="1" t="str">
        <x:v>Closure_115</x:v>
      </x:c>
      <x:c r="D939" s="1" t="str">
        <x:v>NOT_AVAILABLE</x:v>
      </x:c>
      <x:c r="E939" s="5"/>
      <x:c r="F939" s="4" t="n">
        <x:v>0</x:v>
      </x:c>
      <x:c r="G939" s="4" t="n">
        <x:v>10158</x:v>
      </x:c>
      <x:c r="H939" s="6" t="n">
        <x:v>208.9</x:v>
      </x:c>
      <x:c r="I939" s="16" t="n">
        <x:v>1</x:v>
      </x:c>
      <x:c r="J939"/>
      <x:c r="K939" s="4"/>
      <x:c r="L939" s="4"/>
      <x:c r="M939" s="4"/>
      <x:c r="N939" s="5"/>
    </x:row>
    <x:row r="940" ht="24" customHeight="1">
      <x:c r="A940" s="1" t="str">
        <x:v>RESULT</x:v>
      </x:c>
      <x:c r="B940" s="1" t="str">
        <x:v>Round2</x:v>
      </x:c>
      <x:c r="C940" s="1" t="str">
        <x:v>Closure_116</x:v>
      </x:c>
      <x:c r="D940" s="1" t="str">
        <x:v>NOT_AVAILABLE</x:v>
      </x:c>
      <x:c r="E940" s="5"/>
      <x:c r="F940" s="4" t="n">
        <x:v>0</x:v>
      </x:c>
      <x:c r="G940" s="4" t="n">
        <x:v>21295</x:v>
      </x:c>
      <x:c r="H940" s="6" t="n">
        <x:v>146.65</x:v>
      </x:c>
      <x:c r="I940" s="16" t="n">
        <x:v>1</x:v>
      </x:c>
      <x:c r="J940"/>
      <x:c r="K940" s="4"/>
      <x:c r="L940" s="4"/>
      <x:c r="M940" s="4"/>
      <x:c r="N940" s="5"/>
    </x:row>
    <x:row r="941" ht="24" customHeight="1">
      <x:c r="A941" s="1" t="str">
        <x:v>RESULT</x:v>
      </x:c>
      <x:c r="B941" s="1" t="str">
        <x:v>Round2</x:v>
      </x:c>
      <x:c r="C941" s="1" t="str">
        <x:v>Closure_117</x:v>
      </x:c>
      <x:c r="D941" s="1" t="str">
        <x:v>NOT_AVAILABLE</x:v>
      </x:c>
      <x:c r="E941" s="5"/>
      <x:c r="F941" s="4" t="n">
        <x:v>0</x:v>
      </x:c>
      <x:c r="G941" s="4" t="n">
        <x:v>11428</x:v>
      </x:c>
      <x:c r="H941" s="6" t="n">
        <x:v>36.85</x:v>
      </x:c>
      <x:c r="I941" s="16" t="n">
        <x:v>1</x:v>
      </x:c>
      <x:c r="J941"/>
      <x:c r="K941" s="4"/>
      <x:c r="L941" s="4"/>
      <x:c r="M941" s="4"/>
      <x:c r="N941" s="5"/>
    </x:row>
    <x:row r="942" ht="24" customHeight="1">
      <x:c r="A942" s="1" t="str">
        <x:v>RESULT</x:v>
      </x:c>
      <x:c r="B942" s="1" t="str">
        <x:v>Round2</x:v>
      </x:c>
      <x:c r="C942" s="1" t="str">
        <x:v>Closure_118</x:v>
      </x:c>
      <x:c r="D942" s="1" t="str">
        <x:v>NOT_AVAILABLE</x:v>
      </x:c>
      <x:c r="E942" s="5"/>
      <x:c r="F942" s="4" t="n">
        <x:v>0</x:v>
      </x:c>
      <x:c r="G942" s="4" t="n">
        <x:v>18539</x:v>
      </x:c>
      <x:c r="H942" s="6" t="n">
        <x:v>90.25</x:v>
      </x:c>
      <x:c r="I942" s="16" t="n">
        <x:v>1</x:v>
      </x:c>
      <x:c r="J942"/>
      <x:c r="K942" s="4"/>
      <x:c r="L942" s="4"/>
      <x:c r="M942" s="4"/>
      <x:c r="N942" s="5"/>
    </x:row>
    <x:row r="943" ht="24" customHeight="1">
      <x:c r="A943" s="1" t="str">
        <x:v>RESULT</x:v>
      </x:c>
      <x:c r="B943" s="1" t="str">
        <x:v>Round2</x:v>
      </x:c>
      <x:c r="C943" s="1" t="str">
        <x:v>Closure_119</x:v>
      </x:c>
      <x:c r="D943" s="1" t="str">
        <x:v>NOT_AVAILABLE</x:v>
      </x:c>
      <x:c r="E943" s="5"/>
      <x:c r="F943" s="4" t="n">
        <x:v>0</x:v>
      </x:c>
      <x:c r="G943" s="4" t="n">
        <x:v>11631</x:v>
      </x:c>
      <x:c r="H943" s="6" t="n">
        <x:v>28.41</x:v>
      </x:c>
      <x:c r="I943" s="16" t="n">
        <x:v>1</x:v>
      </x:c>
      <x:c r="J943"/>
      <x:c r="K943" s="4"/>
      <x:c r="L943" s="4"/>
      <x:c r="M943" s="4"/>
      <x:c r="N943" s="5"/>
    </x:row>
    <x:row r="944" ht="24" customHeight="1">
      <x:c r="A944" s="1" t="str">
        <x:v>RESULT</x:v>
      </x:c>
      <x:c r="B944" s="1" t="str">
        <x:v>Round2</x:v>
      </x:c>
      <x:c r="C944" s="1" t="str">
        <x:v>Closure_12</x:v>
      </x:c>
      <x:c r="D944" s="1" t="str">
        <x:v>NOT_AVAILABLE</x:v>
      </x:c>
      <x:c r="E944" s="5"/>
      <x:c r="F944" s="4" t="n">
        <x:v>0</x:v>
      </x:c>
      <x:c r="G944" s="4" t="n">
        <x:v>26652</x:v>
      </x:c>
      <x:c r="H944" s="6" t="n">
        <x:v>207.63</x:v>
      </x:c>
      <x:c r="I944" s="16" t="n">
        <x:v>1</x:v>
      </x:c>
      <x:c r="J944"/>
      <x:c r="K944" s="4"/>
      <x:c r="L944" s="4"/>
      <x:c r="M944" s="4"/>
      <x:c r="N944" s="5"/>
    </x:row>
    <x:row r="945" ht="24" customHeight="1">
      <x:c r="A945" s="1" t="str">
        <x:v>RESULT</x:v>
      </x:c>
      <x:c r="B945" s="1" t="str">
        <x:v>Round2</x:v>
      </x:c>
      <x:c r="C945" s="1" t="str">
        <x:v>Closure_120</x:v>
      </x:c>
      <x:c r="D945" s="1" t="str">
        <x:v>NOT_AVAILABLE</x:v>
      </x:c>
      <x:c r="E945" s="5"/>
      <x:c r="F945" s="4" t="n">
        <x:v>0</x:v>
      </x:c>
      <x:c r="G945" s="4" t="n">
        <x:v>20153</x:v>
      </x:c>
      <x:c r="H945" s="6" t="n">
        <x:v>160.6</x:v>
      </x:c>
      <x:c r="I945" s="16" t="n">
        <x:v>1</x:v>
      </x:c>
      <x:c r="J945"/>
      <x:c r="K945" s="4"/>
      <x:c r="L945" s="4"/>
      <x:c r="M945" s="4"/>
      <x:c r="N945" s="5"/>
    </x:row>
    <x:row r="946" ht="24" customHeight="1">
      <x:c r="A946" s="1" t="str">
        <x:v>RESULT</x:v>
      </x:c>
      <x:c r="B946" s="1" t="str">
        <x:v>Round2</x:v>
      </x:c>
      <x:c r="C946" s="1" t="str">
        <x:v>Closure_121</x:v>
      </x:c>
      <x:c r="D946" s="1" t="str">
        <x:v>INCONCLUSIVE</x:v>
      </x:c>
      <x:c r="E946" s="5" t="n">
        <x:v>0.6296</x:v>
      </x:c>
      <x:c r="F946" s="4" t="n">
        <x:v>0</x:v>
      </x:c>
      <x:c r="G946" s="4" t="n">
        <x:v>16450</x:v>
      </x:c>
      <x:c r="H946" s="6" t="n">
        <x:v>111.94</x:v>
      </x:c>
      <x:c r="I946" s="16" t="n">
        <x:v>1</x:v>
      </x:c>
      <x:c r="J946" t="n">
        <x:v>297</x:v>
      </x:c>
      <x:c r="K946" s="4" t="n">
        <x:v>187</x:v>
      </x:c>
      <x:c r="L946" s="4" t="n">
        <x:v>236</x:v>
      </x:c>
      <x:c r="M946" s="4" t="n">
        <x:v>109</x:v>
      </x:c>
      <x:c r="N946" s="5" t="n">
        <x:v>0.4619</x:v>
      </x:c>
    </x:row>
    <x:row r="947" ht="24" customHeight="1">
      <x:c r="A947" s="1" t="str">
        <x:v>RESULT</x:v>
      </x:c>
      <x:c r="B947" s="1" t="str">
        <x:v>Round2</x:v>
      </x:c>
      <x:c r="C947" s="1" t="str">
        <x:v>Closure_122</x:v>
      </x:c>
      <x:c r="D947" s="1" t="str">
        <x:v>NOT_AVAILABLE</x:v>
      </x:c>
      <x:c r="E947" s="5"/>
      <x:c r="F947" s="4" t="n">
        <x:v>0</x:v>
      </x:c>
      <x:c r="G947" s="4" t="n">
        <x:v>19103</x:v>
      </x:c>
      <x:c r="H947" s="6" t="n">
        <x:v>50.31</x:v>
      </x:c>
      <x:c r="I947" s="16" t="n">
        <x:v>1</x:v>
      </x:c>
      <x:c r="J947"/>
      <x:c r="K947" s="4"/>
      <x:c r="L947" s="4"/>
      <x:c r="M947" s="4"/>
      <x:c r="N947" s="5"/>
    </x:row>
    <x:row r="948" ht="24" customHeight="1">
      <x:c r="A948" s="1" t="str">
        <x:v>RESULT</x:v>
      </x:c>
      <x:c r="B948" s="1" t="str">
        <x:v>Round2</x:v>
      </x:c>
      <x:c r="C948" s="1" t="str">
        <x:v>Closure_123</x:v>
      </x:c>
      <x:c r="D948" s="1" t="str">
        <x:v>NOT_AVAILABLE</x:v>
      </x:c>
      <x:c r="E948" s="5"/>
      <x:c r="F948" s="4" t="n">
        <x:v>0</x:v>
      </x:c>
      <x:c r="G948" s="4" t="n">
        <x:v>12909</x:v>
      </x:c>
      <x:c r="H948" s="6" t="n">
        <x:v>33.61</x:v>
      </x:c>
      <x:c r="I948" s="16" t="n">
        <x:v>1</x:v>
      </x:c>
      <x:c r="J948"/>
      <x:c r="K948" s="4"/>
      <x:c r="L948" s="4"/>
      <x:c r="M948" s="4"/>
      <x:c r="N948" s="5"/>
    </x:row>
    <x:row r="949" ht="24" customHeight="1">
      <x:c r="A949" s="1" t="str">
        <x:v>RESULT</x:v>
      </x:c>
      <x:c r="B949" s="1" t="str">
        <x:v>Round2</x:v>
      </x:c>
      <x:c r="C949" s="1" t="str">
        <x:v>Closure_124</x:v>
      </x:c>
      <x:c r="D949" s="1" t="str">
        <x:v>NOT_AVAILABLE</x:v>
      </x:c>
      <x:c r="E949" s="5"/>
      <x:c r="F949" s="4" t="n">
        <x:v>0</x:v>
      </x:c>
      <x:c r="G949" s="4" t="n">
        <x:v>10157</x:v>
      </x:c>
      <x:c r="H949" s="6" t="n">
        <x:v>60.75</x:v>
      </x:c>
      <x:c r="I949" s="16" t="n">
        <x:v>1</x:v>
      </x:c>
      <x:c r="J949"/>
      <x:c r="K949" s="4"/>
      <x:c r="L949" s="4"/>
      <x:c r="M949" s="4"/>
      <x:c r="N949" s="5"/>
    </x:row>
    <x:row r="950" ht="24" customHeight="1">
      <x:c r="A950" s="1" t="str">
        <x:v>RESULT</x:v>
      </x:c>
      <x:c r="B950" s="1" t="str">
        <x:v>Round2</x:v>
      </x:c>
      <x:c r="C950" s="1" t="str">
        <x:v>Closure_125</x:v>
      </x:c>
      <x:c r="D950" s="1" t="str">
        <x:v>NOT_AVAILABLE</x:v>
      </x:c>
      <x:c r="E950" s="5"/>
      <x:c r="F950" s="4" t="n">
        <x:v>0</x:v>
      </x:c>
      <x:c r="G950" s="4" t="n">
        <x:v>20520</x:v>
      </x:c>
      <x:c r="H950" s="6" t="n">
        <x:v>41.4</x:v>
      </x:c>
      <x:c r="I950" s="16" t="n">
        <x:v>1</x:v>
      </x:c>
      <x:c r="J950"/>
      <x:c r="K950" s="4"/>
      <x:c r="L950" s="4"/>
      <x:c r="M950" s="4"/>
      <x:c r="N950" s="5"/>
    </x:row>
    <x:row r="951" ht="24" customHeight="1">
      <x:c r="A951" s="1" t="str">
        <x:v>RESULT</x:v>
      </x:c>
      <x:c r="B951" s="1" t="str">
        <x:v>Round2</x:v>
      </x:c>
      <x:c r="C951" s="1" t="str">
        <x:v>Closure_126</x:v>
      </x:c>
      <x:c r="D951" s="1" t="str">
        <x:v>NOT_AVAILABLE</x:v>
      </x:c>
      <x:c r="E951" s="5"/>
      <x:c r="F951" s="4" t="n">
        <x:v>0</x:v>
      </x:c>
      <x:c r="G951" s="4" t="n">
        <x:v>13540</x:v>
      </x:c>
      <x:c r="H951" s="6" t="n">
        <x:v>89.8</x:v>
      </x:c>
      <x:c r="I951" s="16" t="n">
        <x:v>1</x:v>
      </x:c>
      <x:c r="J951"/>
      <x:c r="K951" s="4"/>
      <x:c r="L951" s="4"/>
      <x:c r="M951" s="4"/>
      <x:c r="N951" s="5"/>
    </x:row>
    <x:row r="952" ht="24" customHeight="1">
      <x:c r="A952" s="1" t="str">
        <x:v>RESULT</x:v>
      </x:c>
      <x:c r="B952" s="1" t="str">
        <x:v>Round2</x:v>
      </x:c>
      <x:c r="C952" s="1" t="str">
        <x:v>Closure_127</x:v>
      </x:c>
      <x:c r="D952" s="1" t="str">
        <x:v>NOT_AVAILABLE</x:v>
      </x:c>
      <x:c r="E952" s="5"/>
      <x:c r="F952" s="4" t="n">
        <x:v>0</x:v>
      </x:c>
      <x:c r="G952" s="4" t="n">
        <x:v>15667</x:v>
      </x:c>
      <x:c r="H952" s="6" t="n">
        <x:v>116.84</x:v>
      </x:c>
      <x:c r="I952" s="16" t="n">
        <x:v>1</x:v>
      </x:c>
      <x:c r="J952"/>
      <x:c r="K952" s="4"/>
      <x:c r="L952" s="4"/>
      <x:c r="M952" s="4"/>
      <x:c r="N952" s="5"/>
    </x:row>
    <x:row r="953" ht="24" customHeight="1">
      <x:c r="A953" s="1" t="str">
        <x:v>RESULT</x:v>
      </x:c>
      <x:c r="B953" s="1" t="str">
        <x:v>Round2</x:v>
      </x:c>
      <x:c r="C953" s="1" t="str">
        <x:v>Closure_128</x:v>
      </x:c>
      <x:c r="D953" s="1" t="str">
        <x:v>NOT_AVAILABLE</x:v>
      </x:c>
      <x:c r="E953" s="5"/>
      <x:c r="F953" s="4" t="n">
        <x:v>0</x:v>
      </x:c>
      <x:c r="G953" s="4" t="n">
        <x:v>14733</x:v>
      </x:c>
      <x:c r="H953" s="6" t="n">
        <x:v>51.32</x:v>
      </x:c>
      <x:c r="I953" s="16" t="n">
        <x:v>1</x:v>
      </x:c>
      <x:c r="J953"/>
      <x:c r="K953" s="4"/>
      <x:c r="L953" s="4"/>
      <x:c r="M953" s="4"/>
      <x:c r="N953" s="5"/>
    </x:row>
    <x:row r="954" ht="24" customHeight="1">
      <x:c r="A954" s="1" t="str">
        <x:v>RESULT</x:v>
      </x:c>
      <x:c r="B954" s="1" t="str">
        <x:v>Round2</x:v>
      </x:c>
      <x:c r="C954" s="1" t="str">
        <x:v>Closure_129</x:v>
      </x:c>
      <x:c r="D954" s="1" t="str">
        <x:v>NOT_AVAILABLE</x:v>
      </x:c>
      <x:c r="E954" s="5"/>
      <x:c r="F954" s="4" t="n">
        <x:v>0</x:v>
      </x:c>
      <x:c r="G954" s="4" t="n">
        <x:v>18484</x:v>
      </x:c>
      <x:c r="H954" s="6" t="n">
        <x:v>159.32</x:v>
      </x:c>
      <x:c r="I954" s="16" t="n">
        <x:v>1</x:v>
      </x:c>
      <x:c r="J954"/>
      <x:c r="K954" s="4"/>
      <x:c r="L954" s="4"/>
      <x:c r="M954" s="4"/>
      <x:c r="N954" s="5"/>
    </x:row>
    <x:row r="955" ht="24" customHeight="1">
      <x:c r="A955" s="1" t="str">
        <x:v>RESULT</x:v>
      </x:c>
      <x:c r="B955" s="1" t="str">
        <x:v>Round2</x:v>
      </x:c>
      <x:c r="C955" s="1" t="str">
        <x:v>Closure_13</x:v>
      </x:c>
      <x:c r="D955" s="1" t="str">
        <x:v>NOT_AVAILABLE</x:v>
      </x:c>
      <x:c r="E955" s="5"/>
      <x:c r="F955" s="4" t="n">
        <x:v>0</x:v>
      </x:c>
      <x:c r="G955" s="4" t="n">
        <x:v>5207</x:v>
      </x:c>
      <x:c r="H955" s="6" t="n">
        <x:v>23.49</x:v>
      </x:c>
      <x:c r="I955" s="16" t="n">
        <x:v>1</x:v>
      </x:c>
      <x:c r="J955"/>
      <x:c r="K955" s="4"/>
      <x:c r="L955" s="4"/>
      <x:c r="M955" s="4"/>
      <x:c r="N955" s="5"/>
    </x:row>
    <x:row r="956" ht="24" customHeight="1">
      <x:c r="A956" s="1" t="str">
        <x:v>RESULT</x:v>
      </x:c>
      <x:c r="B956" s="1" t="str">
        <x:v>Round2</x:v>
      </x:c>
      <x:c r="C956" s="1" t="str">
        <x:v>Closure_130</x:v>
      </x:c>
      <x:c r="D956" s="1" t="str">
        <x:v>NOT_AVAILABLE</x:v>
      </x:c>
      <x:c r="E956" s="5"/>
      <x:c r="F956" s="4" t="n">
        <x:v>0</x:v>
      </x:c>
      <x:c r="G956" s="4" t="n">
        <x:v>14545</x:v>
      </x:c>
      <x:c r="H956" s="6" t="n">
        <x:v>82.78</x:v>
      </x:c>
      <x:c r="I956" s="16" t="n">
        <x:v>1</x:v>
      </x:c>
      <x:c r="J956"/>
      <x:c r="K956" s="4"/>
      <x:c r="L956" s="4"/>
      <x:c r="M956" s="4"/>
      <x:c r="N956" s="5"/>
    </x:row>
    <x:row r="957" ht="24" customHeight="1">
      <x:c r="A957" s="1" t="str">
        <x:v>RESULT</x:v>
      </x:c>
      <x:c r="B957" s="1" t="str">
        <x:v>Round2</x:v>
      </x:c>
      <x:c r="C957" s="1" t="str">
        <x:v>Closure_131</x:v>
      </x:c>
      <x:c r="D957" s="1" t="str">
        <x:v>REVEALING</x:v>
      </x:c>
      <x:c r="E957" s="5" t="n">
        <x:v>0.9912000000000001</x:v>
      </x:c>
      <x:c r="F957" s="4" t="n">
        <x:v>1</x:v>
      </x:c>
      <x:c r="G957" s="4"/>
      <x:c r="H957" s="6"/>
      <x:c r="I957" s="16" t="n">
        <x:v>1</x:v>
      </x:c>
      <x:c r="J957" t="n">
        <x:v>113</x:v>
      </x:c>
      <x:c r="K957" s="4" t="n">
        <x:v>112</x:v>
      </x:c>
      <x:c r="L957" s="4" t="n">
        <x:v>165</x:v>
      </x:c>
      <x:c r="M957" s="4" t="n">
        <x:v>138</x:v>
      </x:c>
      <x:c r="N957" s="5" t="n">
        <x:v>0.8364</x:v>
      </x:c>
    </x:row>
    <x:row r="958" ht="24" customHeight="1">
      <x:c r="A958" s="1" t="str">
        <x:v>RESULT</x:v>
      </x:c>
      <x:c r="B958" s="1" t="str">
        <x:v>Round2</x:v>
      </x:c>
      <x:c r="C958" s="1" t="str">
        <x:v>Closure_132</x:v>
      </x:c>
      <x:c r="D958" s="1" t="str">
        <x:v>NOT_AVAILABLE</x:v>
      </x:c>
      <x:c r="E958" s="5"/>
      <x:c r="F958" s="4" t="n">
        <x:v>0</x:v>
      </x:c>
      <x:c r="G958" s="4" t="n">
        <x:v>17734</x:v>
      </x:c>
      <x:c r="H958" s="6" t="n">
        <x:v>64.32</x:v>
      </x:c>
      <x:c r="I958" s="16" t="n">
        <x:v>1</x:v>
      </x:c>
      <x:c r="J958"/>
      <x:c r="K958" s="4"/>
      <x:c r="L958" s="4"/>
      <x:c r="M958" s="4"/>
      <x:c r="N958" s="5"/>
    </x:row>
    <x:row r="959" ht="24" customHeight="1">
      <x:c r="A959" s="1" t="str">
        <x:v>RESULT</x:v>
      </x:c>
      <x:c r="B959" s="1" t="str">
        <x:v>Round2</x:v>
      </x:c>
      <x:c r="C959" s="1" t="str">
        <x:v>Closure_133</x:v>
      </x:c>
      <x:c r="D959" s="1" t="str">
        <x:v>NOT_AVAILABLE</x:v>
      </x:c>
      <x:c r="E959" s="5"/>
      <x:c r="F959" s="4" t="n">
        <x:v>0</x:v>
      </x:c>
      <x:c r="G959" s="4" t="n">
        <x:v>17727</x:v>
      </x:c>
      <x:c r="H959" s="6" t="n">
        <x:v>26.68</x:v>
      </x:c>
      <x:c r="I959" s="16" t="n">
        <x:v>1</x:v>
      </x:c>
      <x:c r="J959"/>
      <x:c r="K959" s="4"/>
      <x:c r="L959" s="4"/>
      <x:c r="M959" s="4"/>
      <x:c r="N959" s="5"/>
    </x:row>
    <x:row r="960" ht="24" customHeight="1">
      <x:c r="A960" s="1" t="str">
        <x:v>RESULT</x:v>
      </x:c>
      <x:c r="B960" s="1" t="str">
        <x:v>Round2</x:v>
      </x:c>
      <x:c r="C960" s="1" t="str">
        <x:v>Closure_134</x:v>
      </x:c>
      <x:c r="D960" s="1" t="str">
        <x:v>NOT_AVAILABLE</x:v>
      </x:c>
      <x:c r="E960" s="5"/>
      <x:c r="F960" s="4" t="n">
        <x:v>0</x:v>
      </x:c>
      <x:c r="G960" s="4" t="n">
        <x:v>37067</x:v>
      </x:c>
      <x:c r="H960" s="6" t="n">
        <x:v>209.84</x:v>
      </x:c>
      <x:c r="I960" s="16" t="n">
        <x:v>1</x:v>
      </x:c>
      <x:c r="J960"/>
      <x:c r="K960" s="4"/>
      <x:c r="L960" s="4"/>
      <x:c r="M960" s="4"/>
      <x:c r="N960" s="5"/>
    </x:row>
    <x:row r="961" ht="24" customHeight="1">
      <x:c r="A961" s="1" t="str">
        <x:v>RESULT</x:v>
      </x:c>
      <x:c r="B961" s="1" t="str">
        <x:v>Round2</x:v>
      </x:c>
      <x:c r="C961" s="1" t="str">
        <x:v>Closure_135</x:v>
      </x:c>
      <x:c r="D961" s="1" t="str">
        <x:v>NOT_AVAILABLE</x:v>
      </x:c>
      <x:c r="E961" s="5"/>
      <x:c r="F961" s="4" t="n">
        <x:v>0</x:v>
      </x:c>
      <x:c r="G961" s="4" t="n">
        <x:v>34300</x:v>
      </x:c>
      <x:c r="H961" s="6" t="n">
        <x:v>211.78</x:v>
      </x:c>
      <x:c r="I961" s="16" t="n">
        <x:v>1</x:v>
      </x:c>
      <x:c r="J961"/>
      <x:c r="K961" s="4"/>
      <x:c r="L961" s="4"/>
      <x:c r="M961" s="4"/>
      <x:c r="N961" s="5"/>
    </x:row>
    <x:row r="962" ht="24" customHeight="1">
      <x:c r="A962" s="1" t="str">
        <x:v>RESULT</x:v>
      </x:c>
      <x:c r="B962" s="1" t="str">
        <x:v>Round2</x:v>
      </x:c>
      <x:c r="C962" s="1" t="str">
        <x:v>Closure_136</x:v>
      </x:c>
      <x:c r="D962" s="1" t="str">
        <x:v>NOT_AVAILABLE</x:v>
      </x:c>
      <x:c r="E962" s="5"/>
      <x:c r="F962" s="4" t="n">
        <x:v>0</x:v>
      </x:c>
      <x:c r="G962" s="4" t="n">
        <x:v>25898</x:v>
      </x:c>
      <x:c r="H962" s="6" t="n">
        <x:v>190.26</x:v>
      </x:c>
      <x:c r="I962" s="16" t="n">
        <x:v>1</x:v>
      </x:c>
      <x:c r="J962"/>
      <x:c r="K962" s="4"/>
      <x:c r="L962" s="4"/>
      <x:c r="M962" s="4"/>
      <x:c r="N962" s="5"/>
    </x:row>
    <x:row r="963" ht="24" customHeight="1">
      <x:c r="A963" s="1" t="str">
        <x:v>RESULT</x:v>
      </x:c>
      <x:c r="B963" s="1" t="str">
        <x:v>Round2</x:v>
      </x:c>
      <x:c r="C963" s="1" t="str">
        <x:v>Closure_137</x:v>
      </x:c>
      <x:c r="D963" s="1" t="str">
        <x:v>NOT_AVAILABLE</x:v>
      </x:c>
      <x:c r="E963" s="5"/>
      <x:c r="F963" s="4" t="n">
        <x:v>0</x:v>
      </x:c>
      <x:c r="G963" s="4" t="n">
        <x:v>49247</x:v>
      </x:c>
      <x:c r="H963" s="6" t="n">
        <x:v>231.45</x:v>
      </x:c>
      <x:c r="I963" s="16" t="n">
        <x:v>1</x:v>
      </x:c>
      <x:c r="J963"/>
      <x:c r="K963" s="4"/>
      <x:c r="L963" s="4"/>
      <x:c r="M963" s="4"/>
      <x:c r="N963" s="5"/>
    </x:row>
    <x:row r="964" ht="24" customHeight="1">
      <x:c r="A964" s="1" t="str">
        <x:v>RESULT</x:v>
      </x:c>
      <x:c r="B964" s="1" t="str">
        <x:v>Round2</x:v>
      </x:c>
      <x:c r="C964" s="1" t="str">
        <x:v>Closure_138</x:v>
      </x:c>
      <x:c r="D964" s="1" t="str">
        <x:v>NOT_AVAILABLE</x:v>
      </x:c>
      <x:c r="E964" s="5"/>
      <x:c r="F964" s="4" t="n">
        <x:v>0</x:v>
      </x:c>
      <x:c r="G964" s="4" t="n">
        <x:v>30582</x:v>
      </x:c>
      <x:c r="H964" s="6" t="n">
        <x:v>226.13</x:v>
      </x:c>
      <x:c r="I964" s="16" t="n">
        <x:v>1</x:v>
      </x:c>
      <x:c r="J964"/>
      <x:c r="K964" s="4"/>
      <x:c r="L964" s="4"/>
      <x:c r="M964" s="4"/>
      <x:c r="N964" s="5"/>
    </x:row>
    <x:row r="965" ht="24" customHeight="1">
      <x:c r="A965" s="1" t="str">
        <x:v>RESULT</x:v>
      </x:c>
      <x:c r="B965" s="1" t="str">
        <x:v>Round2</x:v>
      </x:c>
      <x:c r="C965" s="1" t="str">
        <x:v>Closure_139</x:v>
      </x:c>
      <x:c r="D965" s="1" t="str">
        <x:v>NOT_AVAILABLE</x:v>
      </x:c>
      <x:c r="E965" s="5"/>
      <x:c r="F965" s="4" t="n">
        <x:v>0</x:v>
      </x:c>
      <x:c r="G965" s="4" t="n">
        <x:v>19285</x:v>
      </x:c>
      <x:c r="H965" s="6" t="n">
        <x:v>121.98</x:v>
      </x:c>
      <x:c r="I965" s="16" t="n">
        <x:v>1</x:v>
      </x:c>
      <x:c r="J965"/>
      <x:c r="K965" s="4"/>
      <x:c r="L965" s="4"/>
      <x:c r="M965" s="4"/>
      <x:c r="N965" s="5"/>
    </x:row>
    <x:row r="966" ht="24" customHeight="1">
      <x:c r="A966" s="1" t="str">
        <x:v>RESULT</x:v>
      </x:c>
      <x:c r="B966" s="1" t="str">
        <x:v>Round2</x:v>
      </x:c>
      <x:c r="C966" s="1" t="str">
        <x:v>Closure_14</x:v>
      </x:c>
      <x:c r="D966" s="1" t="str">
        <x:v>NOT_AVAILABLE</x:v>
      </x:c>
      <x:c r="E966" s="5"/>
      <x:c r="F966" s="4" t="n">
        <x:v>0</x:v>
      </x:c>
      <x:c r="G966" s="4" t="n">
        <x:v>19325</x:v>
      </x:c>
      <x:c r="H966" s="6" t="n">
        <x:v>107.01</x:v>
      </x:c>
      <x:c r="I966" s="16" t="n">
        <x:v>1</x:v>
      </x:c>
      <x:c r="J966"/>
      <x:c r="K966" s="4"/>
      <x:c r="L966" s="4"/>
      <x:c r="M966" s="4"/>
      <x:c r="N966" s="5"/>
    </x:row>
    <x:row r="967" ht="24" customHeight="1">
      <x:c r="A967" s="1" t="str">
        <x:v>RESULT</x:v>
      </x:c>
      <x:c r="B967" s="1" t="str">
        <x:v>Round2</x:v>
      </x:c>
      <x:c r="C967" s="1" t="str">
        <x:v>Closure_140</x:v>
      </x:c>
      <x:c r="D967" s="1" t="str">
        <x:v>NOT_AVAILABLE</x:v>
      </x:c>
      <x:c r="E967" s="5"/>
      <x:c r="F967" s="4" t="n">
        <x:v>0</x:v>
      </x:c>
      <x:c r="G967" s="4" t="n">
        <x:v>13749</x:v>
      </x:c>
      <x:c r="H967" s="6" t="n">
        <x:v>34.83</x:v>
      </x:c>
      <x:c r="I967" s="16" t="n">
        <x:v>1</x:v>
      </x:c>
      <x:c r="J967"/>
      <x:c r="K967" s="4"/>
      <x:c r="L967" s="4"/>
      <x:c r="M967" s="4"/>
      <x:c r="N967" s="5"/>
    </x:row>
    <x:row r="968" ht="24" customHeight="1">
      <x:c r="A968" s="1" t="str">
        <x:v>RESULT</x:v>
      </x:c>
      <x:c r="B968" s="1" t="str">
        <x:v>Round2</x:v>
      </x:c>
      <x:c r="C968" s="1" t="str">
        <x:v>Closure_141</x:v>
      </x:c>
      <x:c r="D968" s="1" t="str">
        <x:v>NOT_AVAILABLE</x:v>
      </x:c>
      <x:c r="E968" s="5"/>
      <x:c r="F968" s="4" t="n">
        <x:v>0</x:v>
      </x:c>
      <x:c r="G968" s="4" t="n">
        <x:v>24591</x:v>
      </x:c>
      <x:c r="H968" s="6" t="n">
        <x:v>65.71</x:v>
      </x:c>
      <x:c r="I968" s="16" t="n">
        <x:v>1</x:v>
      </x:c>
      <x:c r="J968"/>
      <x:c r="K968" s="4"/>
      <x:c r="L968" s="4"/>
      <x:c r="M968" s="4"/>
      <x:c r="N968" s="5"/>
    </x:row>
    <x:row r="969" ht="24" customHeight="1">
      <x:c r="A969" s="1" t="str">
        <x:v>RESULT</x:v>
      </x:c>
      <x:c r="B969" s="1" t="str">
        <x:v>Round2</x:v>
      </x:c>
      <x:c r="C969" s="1" t="str">
        <x:v>Closure_142</x:v>
      </x:c>
      <x:c r="D969" s="1" t="str">
        <x:v>NOT_AVAILABLE</x:v>
      </x:c>
      <x:c r="E969" s="5"/>
      <x:c r="F969" s="4" t="n">
        <x:v>0</x:v>
      </x:c>
      <x:c r="G969" s="4" t="n">
        <x:v>27215</x:v>
      </x:c>
      <x:c r="H969" s="6" t="n">
        <x:v>82.45</x:v>
      </x:c>
      <x:c r="I969" s="16" t="n">
        <x:v>1</x:v>
      </x:c>
      <x:c r="J969"/>
      <x:c r="K969" s="4"/>
      <x:c r="L969" s="4"/>
      <x:c r="M969" s="4"/>
      <x:c r="N969" s="5"/>
    </x:row>
    <x:row r="970" ht="24" customHeight="1">
      <x:c r="A970" s="1" t="str">
        <x:v>RESULT</x:v>
      </x:c>
      <x:c r="B970" s="1" t="str">
        <x:v>Round2</x:v>
      </x:c>
      <x:c r="C970" s="1" t="str">
        <x:v>Closure_143</x:v>
      </x:c>
      <x:c r="D970" s="1" t="str">
        <x:v>NOT_AVAILABLE</x:v>
      </x:c>
      <x:c r="E970" s="5"/>
      <x:c r="F970" s="4" t="n">
        <x:v>0</x:v>
      </x:c>
      <x:c r="G970" s="4" t="n">
        <x:v>29465</x:v>
      </x:c>
      <x:c r="H970" s="6" t="n">
        <x:v>197.95</x:v>
      </x:c>
      <x:c r="I970" s="16" t="n">
        <x:v>1</x:v>
      </x:c>
      <x:c r="J970"/>
      <x:c r="K970" s="4"/>
      <x:c r="L970" s="4"/>
      <x:c r="M970" s="4"/>
      <x:c r="N970" s="5"/>
    </x:row>
    <x:row r="971" ht="24" customHeight="1">
      <x:c r="A971" s="1" t="str">
        <x:v>RESULT</x:v>
      </x:c>
      <x:c r="B971" s="1" t="str">
        <x:v>Round2</x:v>
      </x:c>
      <x:c r="C971" s="1" t="str">
        <x:v>Closure_144</x:v>
      </x:c>
      <x:c r="D971" s="1" t="str">
        <x:v>NOT_AVAILABLE</x:v>
      </x:c>
      <x:c r="E971" s="5"/>
      <x:c r="F971" s="4" t="n">
        <x:v>0</x:v>
      </x:c>
      <x:c r="G971" s="4" t="n">
        <x:v>72590</x:v>
      </x:c>
      <x:c r="H971" s="6" t="n">
        <x:v>393.02</x:v>
      </x:c>
      <x:c r="I971" s="16" t="n">
        <x:v>1</x:v>
      </x:c>
      <x:c r="J971"/>
      <x:c r="K971" s="4"/>
      <x:c r="L971" s="4"/>
      <x:c r="M971" s="4"/>
      <x:c r="N971" s="5"/>
    </x:row>
    <x:row r="972" ht="24" customHeight="1">
      <x:c r="A972" s="1" t="str">
        <x:v>RESULT</x:v>
      </x:c>
      <x:c r="B972" s="1" t="str">
        <x:v>Round2</x:v>
      </x:c>
      <x:c r="C972" s="1" t="str">
        <x:v>Closure_145</x:v>
      </x:c>
      <x:c r="D972" s="1" t="str">
        <x:v>NOT_AVAILABLE</x:v>
      </x:c>
      <x:c r="E972" s="5"/>
      <x:c r="F972" s="4" t="n">
        <x:v>0</x:v>
      </x:c>
      <x:c r="G972" s="4" t="n">
        <x:v>16927</x:v>
      </x:c>
      <x:c r="H972" s="6" t="n">
        <x:v>85.83</x:v>
      </x:c>
      <x:c r="I972" s="16" t="n">
        <x:v>1</x:v>
      </x:c>
      <x:c r="J972"/>
      <x:c r="K972" s="4"/>
      <x:c r="L972" s="4"/>
      <x:c r="M972" s="4"/>
      <x:c r="N972" s="5"/>
    </x:row>
    <x:row r="973" ht="24" customHeight="1">
      <x:c r="A973" s="1" t="str">
        <x:v>RESULT</x:v>
      </x:c>
      <x:c r="B973" s="1" t="str">
        <x:v>Round2</x:v>
      </x:c>
      <x:c r="C973" s="1" t="str">
        <x:v>Closure_146</x:v>
      </x:c>
      <x:c r="D973" s="1" t="str">
        <x:v>NOT_AVAILABLE</x:v>
      </x:c>
      <x:c r="E973" s="5"/>
      <x:c r="F973" s="4" t="n">
        <x:v>0</x:v>
      </x:c>
      <x:c r="G973" s="4" t="n">
        <x:v>20328</x:v>
      </x:c>
      <x:c r="H973" s="6" t="n">
        <x:v>137.89</x:v>
      </x:c>
      <x:c r="I973" s="16" t="n">
        <x:v>1</x:v>
      </x:c>
      <x:c r="J973"/>
      <x:c r="K973" s="4"/>
      <x:c r="L973" s="4"/>
      <x:c r="M973" s="4"/>
      <x:c r="N973" s="5"/>
    </x:row>
    <x:row r="974" ht="24" customHeight="1">
      <x:c r="A974" s="1" t="str">
        <x:v>RESULT</x:v>
      </x:c>
      <x:c r="B974" s="1" t="str">
        <x:v>Round2</x:v>
      </x:c>
      <x:c r="C974" s="1" t="str">
        <x:v>Closure_147</x:v>
      </x:c>
      <x:c r="D974" s="1" t="str">
        <x:v>NOT_AVAILABLE</x:v>
      </x:c>
      <x:c r="E974" s="5"/>
      <x:c r="F974" s="4" t="n">
        <x:v>0</x:v>
      </x:c>
      <x:c r="G974" s="4" t="n">
        <x:v>30127</x:v>
      </x:c>
      <x:c r="H974" s="6" t="n">
        <x:v>216.9</x:v>
      </x:c>
      <x:c r="I974" s="16" t="n">
        <x:v>1</x:v>
      </x:c>
      <x:c r="J974"/>
      <x:c r="K974" s="4"/>
      <x:c r="L974" s="4"/>
      <x:c r="M974" s="4"/>
      <x:c r="N974" s="5"/>
    </x:row>
    <x:row r="975" ht="24" customHeight="1">
      <x:c r="A975" s="1" t="str">
        <x:v>RESULT</x:v>
      </x:c>
      <x:c r="B975" s="1" t="str">
        <x:v>Round2</x:v>
      </x:c>
      <x:c r="C975" s="1" t="str">
        <x:v>Closure_148</x:v>
      </x:c>
      <x:c r="D975" s="1" t="str">
        <x:v>NOT_AVAILABLE</x:v>
      </x:c>
      <x:c r="E975" s="5"/>
      <x:c r="F975" s="4" t="n">
        <x:v>0</x:v>
      </x:c>
      <x:c r="G975" s="4" t="n">
        <x:v>38692</x:v>
      </x:c>
      <x:c r="H975" s="6" t="n">
        <x:v>201.32</x:v>
      </x:c>
      <x:c r="I975" s="16" t="n">
        <x:v>1</x:v>
      </x:c>
      <x:c r="J975"/>
      <x:c r="K975" s="4"/>
      <x:c r="L975" s="4"/>
      <x:c r="M975" s="4"/>
      <x:c r="N975" s="5"/>
    </x:row>
    <x:row r="976" ht="24" customHeight="1">
      <x:c r="A976" s="1" t="str">
        <x:v>RESULT</x:v>
      </x:c>
      <x:c r="B976" s="1" t="str">
        <x:v>Round2</x:v>
      </x:c>
      <x:c r="C976" s="1" t="str">
        <x:v>Closure_149</x:v>
      </x:c>
      <x:c r="D976" s="1" t="str">
        <x:v>NOT_AVAILABLE</x:v>
      </x:c>
      <x:c r="E976" s="5"/>
      <x:c r="F976" s="4" t="n">
        <x:v>0</x:v>
      </x:c>
      <x:c r="G976" s="4" t="n">
        <x:v>64064</x:v>
      </x:c>
      <x:c r="H976" s="6" t="n">
        <x:v>273.32</x:v>
      </x:c>
      <x:c r="I976" s="16" t="n">
        <x:v>1</x:v>
      </x:c>
      <x:c r="J976"/>
      <x:c r="K976" s="4"/>
      <x:c r="L976" s="4"/>
      <x:c r="M976" s="4"/>
      <x:c r="N976" s="5"/>
    </x:row>
    <x:row r="977" ht="24" customHeight="1">
      <x:c r="A977" s="1" t="str">
        <x:v>RESULT</x:v>
      </x:c>
      <x:c r="B977" s="1" t="str">
        <x:v>Round2</x:v>
      </x:c>
      <x:c r="C977" s="1" t="str">
        <x:v>Closure_15</x:v>
      </x:c>
      <x:c r="D977" s="1" t="str">
        <x:v>NOT_AVAILABLE</x:v>
      </x:c>
      <x:c r="E977" s="5"/>
      <x:c r="F977" s="4" t="n">
        <x:v>0</x:v>
      </x:c>
      <x:c r="G977" s="4" t="n">
        <x:v>10294</x:v>
      </x:c>
      <x:c r="H977" s="6" t="n">
        <x:v>43.81</x:v>
      </x:c>
      <x:c r="I977" s="16" t="n">
        <x:v>1</x:v>
      </x:c>
      <x:c r="J977"/>
      <x:c r="K977" s="4"/>
      <x:c r="L977" s="4"/>
      <x:c r="M977" s="4"/>
      <x:c r="N977" s="5"/>
    </x:row>
    <x:row r="978" ht="24" customHeight="1">
      <x:c r="A978" s="1" t="str">
        <x:v>RESULT</x:v>
      </x:c>
      <x:c r="B978" s="1" t="str">
        <x:v>Round2</x:v>
      </x:c>
      <x:c r="C978" s="1" t="str">
        <x:v>Closure_150</x:v>
      </x:c>
      <x:c r="D978" s="1" t="str">
        <x:v>NOT_AVAILABLE</x:v>
      </x:c>
      <x:c r="E978" s="5"/>
      <x:c r="F978" s="4" t="n">
        <x:v>0</x:v>
      </x:c>
      <x:c r="G978" s="4" t="n">
        <x:v>20500</x:v>
      </x:c>
      <x:c r="H978" s="6" t="n">
        <x:v>75.72</x:v>
      </x:c>
      <x:c r="I978" s="16" t="n">
        <x:v>1</x:v>
      </x:c>
      <x:c r="J978"/>
      <x:c r="K978" s="4"/>
      <x:c r="L978" s="4"/>
      <x:c r="M978" s="4"/>
      <x:c r="N978" s="5"/>
    </x:row>
    <x:row r="979" ht="24" customHeight="1">
      <x:c r="A979" s="1" t="str">
        <x:v>RESULT</x:v>
      </x:c>
      <x:c r="B979" s="1" t="str">
        <x:v>Round2</x:v>
      </x:c>
      <x:c r="C979" s="1" t="str">
        <x:v>Closure_151</x:v>
      </x:c>
      <x:c r="D979" s="1" t="str">
        <x:v>INCONCLUSIVE</x:v>
      </x:c>
      <x:c r="E979" s="5" t="n">
        <x:v>0.7582</x:v>
      </x:c>
      <x:c r="F979" s="4" t="n">
        <x:v>0</x:v>
      </x:c>
      <x:c r="G979" s="4" t="n">
        <x:v>10783</x:v>
      </x:c>
      <x:c r="H979" s="6" t="n">
        <x:v>39.77</x:v>
      </x:c>
      <x:c r="I979" s="16" t="n">
        <x:v>1</x:v>
      </x:c>
      <x:c r="J979" t="n">
        <x:v>182</x:v>
      </x:c>
      <x:c r="K979" s="4" t="n">
        <x:v>138</x:v>
      </x:c>
      <x:c r="L979" s="4" t="n">
        <x:v>34</x:v>
      </x:c>
      <x:c r="M979" s="4" t="n">
        <x:v>18</x:v>
      </x:c>
      <x:c r="N979" s="5" t="n">
        <x:v>0.5294</x:v>
      </x:c>
    </x:row>
    <x:row r="980" ht="24" customHeight="1">
      <x:c r="A980" s="1" t="str">
        <x:v>RESULT</x:v>
      </x:c>
      <x:c r="B980" s="1" t="str">
        <x:v>Round2</x:v>
      </x:c>
      <x:c r="C980" s="1" t="str">
        <x:v>Closure_152</x:v>
      </x:c>
      <x:c r="D980" s="1" t="str">
        <x:v>NOT_AVAILABLE</x:v>
      </x:c>
      <x:c r="E980" s="5"/>
      <x:c r="F980" s="4" t="n">
        <x:v>0</x:v>
      </x:c>
      <x:c r="G980" s="4" t="n">
        <x:v>14877</x:v>
      </x:c>
      <x:c r="H980" s="6" t="n">
        <x:v>91.06</x:v>
      </x:c>
      <x:c r="I980" s="16" t="n">
        <x:v>1</x:v>
      </x:c>
      <x:c r="J980"/>
      <x:c r="K980" s="4"/>
      <x:c r="L980" s="4"/>
      <x:c r="M980" s="4"/>
      <x:c r="N980" s="5"/>
    </x:row>
    <x:row r="981" ht="24" customHeight="1">
      <x:c r="A981" s="1" t="str">
        <x:v>RESULT</x:v>
      </x:c>
      <x:c r="B981" s="1" t="str">
        <x:v>Round2</x:v>
      </x:c>
      <x:c r="C981" s="1" t="str">
        <x:v>Closure_153</x:v>
      </x:c>
      <x:c r="D981" s="1" t="str">
        <x:v>NOT_AVAILABLE</x:v>
      </x:c>
      <x:c r="E981" s="5"/>
      <x:c r="F981" s="4" t="n">
        <x:v>0</x:v>
      </x:c>
      <x:c r="G981" s="4" t="n">
        <x:v>26373</x:v>
      </x:c>
      <x:c r="H981" s="6" t="n">
        <x:v>168.52</x:v>
      </x:c>
      <x:c r="I981" s="16" t="n">
        <x:v>1</x:v>
      </x:c>
      <x:c r="J981"/>
      <x:c r="K981" s="4"/>
      <x:c r="L981" s="4"/>
      <x:c r="M981" s="4"/>
      <x:c r="N981" s="5"/>
    </x:row>
    <x:row r="982" ht="24" customHeight="1">
      <x:c r="A982" s="1" t="str">
        <x:v>RESULT</x:v>
      </x:c>
      <x:c r="B982" s="1" t="str">
        <x:v>Round2</x:v>
      </x:c>
      <x:c r="C982" s="1" t="str">
        <x:v>Closure_154</x:v>
      </x:c>
      <x:c r="D982" s="1" t="str">
        <x:v>NOT_AVAILABLE</x:v>
      </x:c>
      <x:c r="E982" s="5"/>
      <x:c r="F982" s="4" t="n">
        <x:v>0</x:v>
      </x:c>
      <x:c r="G982" s="4" t="n">
        <x:v>38638</x:v>
      </x:c>
      <x:c r="H982" s="6" t="n">
        <x:v>167.03</x:v>
      </x:c>
      <x:c r="I982" s="16" t="n">
        <x:v>1</x:v>
      </x:c>
      <x:c r="J982"/>
      <x:c r="K982" s="4"/>
      <x:c r="L982" s="4"/>
      <x:c r="M982" s="4"/>
      <x:c r="N982" s="5"/>
    </x:row>
    <x:row r="983" ht="24" customHeight="1">
      <x:c r="A983" s="1" t="str">
        <x:v>RESULT</x:v>
      </x:c>
      <x:c r="B983" s="1" t="str">
        <x:v>Round2</x:v>
      </x:c>
      <x:c r="C983" s="1" t="str">
        <x:v>Closure_155</x:v>
      </x:c>
      <x:c r="D983" s="1" t="str">
        <x:v>NOT_AVAILABLE</x:v>
      </x:c>
      <x:c r="E983" s="5"/>
      <x:c r="F983" s="4" t="n">
        <x:v>0</x:v>
      </x:c>
      <x:c r="G983" s="4" t="n">
        <x:v>80454</x:v>
      </x:c>
      <x:c r="H983" s="6" t="n">
        <x:v>1159.33</x:v>
      </x:c>
      <x:c r="I983" s="16" t="n">
        <x:v>1</x:v>
      </x:c>
      <x:c r="J983"/>
      <x:c r="K983" s="4"/>
      <x:c r="L983" s="4"/>
      <x:c r="M983" s="4"/>
      <x:c r="N983" s="5"/>
    </x:row>
    <x:row r="984" ht="24" customHeight="1">
      <x:c r="A984" s="1" t="str">
        <x:v>RESULT</x:v>
      </x:c>
      <x:c r="B984" s="1" t="str">
        <x:v>Round2</x:v>
      </x:c>
      <x:c r="C984" s="1" t="str">
        <x:v>Closure_156</x:v>
      </x:c>
      <x:c r="D984" s="1" t="str">
        <x:v>NOT_AVAILABLE</x:v>
      </x:c>
      <x:c r="E984" s="5"/>
      <x:c r="F984" s="4" t="n">
        <x:v>0</x:v>
      </x:c>
      <x:c r="G984" s="4" t="n">
        <x:v>15212</x:v>
      </x:c>
      <x:c r="H984" s="6" t="n">
        <x:v>92.24</x:v>
      </x:c>
      <x:c r="I984" s="16" t="n">
        <x:v>1</x:v>
      </x:c>
      <x:c r="J984"/>
      <x:c r="K984" s="4"/>
      <x:c r="L984" s="4"/>
      <x:c r="M984" s="4"/>
      <x:c r="N984" s="5"/>
    </x:row>
    <x:row r="985" ht="24" customHeight="1">
      <x:c r="A985" s="1" t="str">
        <x:v>RESULT</x:v>
      </x:c>
      <x:c r="B985" s="1" t="str">
        <x:v>Round2</x:v>
      </x:c>
      <x:c r="C985" s="1" t="str">
        <x:v>Closure_157</x:v>
      </x:c>
      <x:c r="D985" s="1" t="str">
        <x:v>NOT_AVAILABLE</x:v>
      </x:c>
      <x:c r="E985" s="5"/>
      <x:c r="F985" s="4" t="n">
        <x:v>0</x:v>
      </x:c>
      <x:c r="G985" s="4" t="n">
        <x:v>69747</x:v>
      </x:c>
      <x:c r="H985" s="6" t="n">
        <x:v>1139.52</x:v>
      </x:c>
      <x:c r="I985" s="16" t="n">
        <x:v>1</x:v>
      </x:c>
      <x:c r="J985"/>
      <x:c r="K985" s="4"/>
      <x:c r="L985" s="4"/>
      <x:c r="M985" s="4"/>
      <x:c r="N985" s="5"/>
    </x:row>
    <x:row r="986" ht="24" customHeight="1">
      <x:c r="A986" s="1" t="str">
        <x:v>RESULT</x:v>
      </x:c>
      <x:c r="B986" s="1" t="str">
        <x:v>Round2</x:v>
      </x:c>
      <x:c r="C986" s="1" t="str">
        <x:v>Closure_158</x:v>
      </x:c>
      <x:c r="D986" s="1" t="str">
        <x:v>NOT_AVAILABLE</x:v>
      </x:c>
      <x:c r="E986" s="5"/>
      <x:c r="F986" s="4" t="n">
        <x:v>0</x:v>
      </x:c>
      <x:c r="G986" s="4" t="n">
        <x:v>78426</x:v>
      </x:c>
      <x:c r="H986" s="6" t="n">
        <x:v>910.68</x:v>
      </x:c>
      <x:c r="I986" s="16" t="n">
        <x:v>1</x:v>
      </x:c>
      <x:c r="J986"/>
      <x:c r="K986" s="4"/>
      <x:c r="L986" s="4"/>
      <x:c r="M986" s="4"/>
      <x:c r="N986" s="5"/>
    </x:row>
    <x:row r="987" ht="24" customHeight="1">
      <x:c r="A987" s="1" t="str">
        <x:v>RESULT</x:v>
      </x:c>
      <x:c r="B987" s="1" t="str">
        <x:v>Round2</x:v>
      </x:c>
      <x:c r="C987" s="1" t="str">
        <x:v>Closure_159</x:v>
      </x:c>
      <x:c r="D987" s="1" t="str">
        <x:v>NOT_AVAILABLE</x:v>
      </x:c>
      <x:c r="E987" s="5"/>
      <x:c r="F987" s="4" t="n">
        <x:v>0</x:v>
      </x:c>
      <x:c r="G987" s="4" t="n">
        <x:v>15350</x:v>
      </x:c>
      <x:c r="H987" s="6" t="n">
        <x:v>84.2</x:v>
      </x:c>
      <x:c r="I987" s="16" t="n">
        <x:v>1</x:v>
      </x:c>
      <x:c r="J987"/>
      <x:c r="K987" s="4"/>
      <x:c r="L987" s="4"/>
      <x:c r="M987" s="4"/>
      <x:c r="N987" s="5"/>
    </x:row>
    <x:row r="988" ht="24" customHeight="1">
      <x:c r="A988" s="1" t="str">
        <x:v>RESULT</x:v>
      </x:c>
      <x:c r="B988" s="1" t="str">
        <x:v>Round2</x:v>
      </x:c>
      <x:c r="C988" s="1" t="str">
        <x:v>Closure_16</x:v>
      </x:c>
      <x:c r="D988" s="1" t="str">
        <x:v>NOT_AVAILABLE</x:v>
      </x:c>
      <x:c r="E988" s="5"/>
      <x:c r="F988" s="4" t="n">
        <x:v>0</x:v>
      </x:c>
      <x:c r="G988" s="4" t="n">
        <x:v>17950</x:v>
      </x:c>
      <x:c r="H988" s="6" t="n">
        <x:v>121.88</x:v>
      </x:c>
      <x:c r="I988" s="16" t="n">
        <x:v>1</x:v>
      </x:c>
      <x:c r="J988"/>
      <x:c r="K988" s="4"/>
      <x:c r="L988" s="4"/>
      <x:c r="M988" s="4"/>
      <x:c r="N988" s="5"/>
    </x:row>
    <x:row r="989" ht="24" customHeight="1">
      <x:c r="A989" s="1" t="str">
        <x:v>RESULT</x:v>
      </x:c>
      <x:c r="B989" s="1" t="str">
        <x:v>Round2</x:v>
      </x:c>
      <x:c r="C989" s="1" t="str">
        <x:v>Closure_160</x:v>
      </x:c>
      <x:c r="D989" s="1" t="str">
        <x:v>NOT_AVAILABLE</x:v>
      </x:c>
      <x:c r="E989" s="5"/>
      <x:c r="F989" s="4" t="n">
        <x:v>0</x:v>
      </x:c>
      <x:c r="G989" s="4" t="n">
        <x:v>17571</x:v>
      </x:c>
      <x:c r="H989" s="6" t="n">
        <x:v>44.36</x:v>
      </x:c>
      <x:c r="I989" s="16" t="n">
        <x:v>1</x:v>
      </x:c>
      <x:c r="J989"/>
      <x:c r="K989" s="4"/>
      <x:c r="L989" s="4"/>
      <x:c r="M989" s="4"/>
      <x:c r="N989" s="5"/>
    </x:row>
    <x:row r="990" ht="24" customHeight="1">
      <x:c r="A990" s="1" t="str">
        <x:v>RESULT</x:v>
      </x:c>
      <x:c r="B990" s="1" t="str">
        <x:v>Round2</x:v>
      </x:c>
      <x:c r="C990" s="1" t="str">
        <x:v>Closure_161</x:v>
      </x:c>
      <x:c r="D990" s="1" t="str">
        <x:v>INCONCLUSIVE</x:v>
      </x:c>
      <x:c r="E990" s="5" t="n">
        <x:v>0.37420000000000003</x:v>
      </x:c>
      <x:c r="F990" s="4" t="n">
        <x:v>0</x:v>
      </x:c>
      <x:c r="G990" s="4"/>
      <x:c r="H990" s="6"/>
      <x:c r="I990" s="16" t="n">
        <x:v>1</x:v>
      </x:c>
      <x:c r="J990" t="n">
        <x:v>636</x:v>
      </x:c>
      <x:c r="K990" s="4" t="n">
        <x:v>238</x:v>
      </x:c>
      <x:c r="L990" s="4" t="n">
        <x:v>498</x:v>
      </x:c>
      <x:c r="M990" s="4" t="n">
        <x:v>153</x:v>
      </x:c>
      <x:c r="N990" s="5" t="n">
        <x:v>0.3072</x:v>
      </x:c>
    </x:row>
    <x:row r="991" ht="24" customHeight="1">
      <x:c r="A991" s="1" t="str">
        <x:v>RESULT</x:v>
      </x:c>
      <x:c r="B991" s="1" t="str">
        <x:v>Round2</x:v>
      </x:c>
      <x:c r="C991" s="1" t="str">
        <x:v>Closure_162</x:v>
      </x:c>
      <x:c r="D991" s="1" t="str">
        <x:v>NOT_AVAILABLE</x:v>
      </x:c>
      <x:c r="E991" s="5"/>
      <x:c r="F991" s="4" t="n">
        <x:v>0</x:v>
      </x:c>
      <x:c r="G991" s="4" t="n">
        <x:v>25536</x:v>
      </x:c>
      <x:c r="H991" s="6" t="n">
        <x:v>132.94</x:v>
      </x:c>
      <x:c r="I991" s="16" t="n">
        <x:v>1</x:v>
      </x:c>
      <x:c r="J991"/>
      <x:c r="K991" s="4"/>
      <x:c r="L991" s="4"/>
      <x:c r="M991" s="4"/>
      <x:c r="N991" s="5"/>
    </x:row>
    <x:row r="992" ht="24" customHeight="1">
      <x:c r="A992" s="1" t="str">
        <x:v>RESULT</x:v>
      </x:c>
      <x:c r="B992" s="1" t="str">
        <x:v>Round2</x:v>
      </x:c>
      <x:c r="C992" s="1" t="str">
        <x:v>Closure_163</x:v>
      </x:c>
      <x:c r="D992" s="1" t="str">
        <x:v>NOT_AVAILABLE</x:v>
      </x:c>
      <x:c r="E992" s="5"/>
      <x:c r="F992" s="4" t="n">
        <x:v>0</x:v>
      </x:c>
      <x:c r="G992" s="4" t="n">
        <x:v>51070</x:v>
      </x:c>
      <x:c r="H992" s="6" t="n">
        <x:v>369.39</x:v>
      </x:c>
      <x:c r="I992" s="16" t="n">
        <x:v>1</x:v>
      </x:c>
      <x:c r="J992"/>
      <x:c r="K992" s="4"/>
      <x:c r="L992" s="4"/>
      <x:c r="M992" s="4"/>
      <x:c r="N992" s="5"/>
    </x:row>
    <x:row r="993" ht="24" customHeight="1">
      <x:c r="A993" s="1" t="str">
        <x:v>RESULT</x:v>
      </x:c>
      <x:c r="B993" s="1" t="str">
        <x:v>Round2</x:v>
      </x:c>
      <x:c r="C993" s="1" t="str">
        <x:v>Closure_164</x:v>
      </x:c>
      <x:c r="D993" s="1" t="str">
        <x:v>NOT_AVAILABLE</x:v>
      </x:c>
      <x:c r="E993" s="5"/>
      <x:c r="F993" s="4" t="n">
        <x:v>0</x:v>
      </x:c>
      <x:c r="G993" s="4" t="n">
        <x:v>11847</x:v>
      </x:c>
      <x:c r="H993" s="6" t="n">
        <x:v>81.29</x:v>
      </x:c>
      <x:c r="I993" s="16" t="n">
        <x:v>1</x:v>
      </x:c>
      <x:c r="J993"/>
      <x:c r="K993" s="4"/>
      <x:c r="L993" s="4"/>
      <x:c r="M993" s="4"/>
      <x:c r="N993" s="5"/>
    </x:row>
    <x:row r="994" ht="24" customHeight="1">
      <x:c r="A994" s="1" t="str">
        <x:v>RESULT</x:v>
      </x:c>
      <x:c r="B994" s="1" t="str">
        <x:v>Round2</x:v>
      </x:c>
      <x:c r="C994" s="1" t="str">
        <x:v>Closure_165</x:v>
      </x:c>
      <x:c r="D994" s="1" t="str">
        <x:v>NOT_AVAILABLE</x:v>
      </x:c>
      <x:c r="E994" s="5"/>
      <x:c r="F994" s="4" t="n">
        <x:v>0</x:v>
      </x:c>
      <x:c r="G994" s="4" t="n">
        <x:v>51021</x:v>
      </x:c>
      <x:c r="H994" s="6" t="n">
        <x:v>251.84</x:v>
      </x:c>
      <x:c r="I994" s="16" t="n">
        <x:v>1</x:v>
      </x:c>
      <x:c r="J994"/>
      <x:c r="K994" s="4"/>
      <x:c r="L994" s="4"/>
      <x:c r="M994" s="4"/>
      <x:c r="N994" s="5"/>
    </x:row>
    <x:row r="995" ht="24" customHeight="1">
      <x:c r="A995" s="1" t="str">
        <x:v>RESULT</x:v>
      </x:c>
      <x:c r="B995" s="1" t="str">
        <x:v>Round2</x:v>
      </x:c>
      <x:c r="C995" s="1" t="str">
        <x:v>Closure_166</x:v>
      </x:c>
      <x:c r="D995" s="1" t="str">
        <x:v>NOT_AVAILABLE</x:v>
      </x:c>
      <x:c r="E995" s="5"/>
      <x:c r="F995" s="4" t="n">
        <x:v>0</x:v>
      </x:c>
      <x:c r="G995" s="4" t="n">
        <x:v>11959</x:v>
      </x:c>
      <x:c r="H995" s="6" t="n">
        <x:v>50.56</x:v>
      </x:c>
      <x:c r="I995" s="16" t="n">
        <x:v>1</x:v>
      </x:c>
      <x:c r="J995"/>
      <x:c r="K995" s="4"/>
      <x:c r="L995" s="4"/>
      <x:c r="M995" s="4"/>
      <x:c r="N995" s="5"/>
    </x:row>
    <x:row r="996" ht="24" customHeight="1">
      <x:c r="A996" s="1" t="str">
        <x:v>RESULT</x:v>
      </x:c>
      <x:c r="B996" s="1" t="str">
        <x:v>Round2</x:v>
      </x:c>
      <x:c r="C996" s="1" t="str">
        <x:v>Closure_167</x:v>
      </x:c>
      <x:c r="D996" s="1" t="str">
        <x:v>NOT_AVAILABLE</x:v>
      </x:c>
      <x:c r="E996" s="5"/>
      <x:c r="F996" s="4" t="n">
        <x:v>0</x:v>
      </x:c>
      <x:c r="G996" s="4" t="n">
        <x:v>28779</x:v>
      </x:c>
      <x:c r="H996" s="6" t="n">
        <x:v>131.67</x:v>
      </x:c>
      <x:c r="I996" s="16" t="n">
        <x:v>1</x:v>
      </x:c>
      <x:c r="J996"/>
      <x:c r="K996" s="4"/>
      <x:c r="L996" s="4"/>
      <x:c r="M996" s="4"/>
      <x:c r="N996" s="5"/>
    </x:row>
    <x:row r="997" ht="24" customHeight="1">
      <x:c r="A997" s="1" t="str">
        <x:v>RESULT</x:v>
      </x:c>
      <x:c r="B997" s="1" t="str">
        <x:v>Round2</x:v>
      </x:c>
      <x:c r="C997" s="1" t="str">
        <x:v>Closure_168</x:v>
      </x:c>
      <x:c r="D997" s="1" t="str">
        <x:v>NOT_AVAILABLE</x:v>
      </x:c>
      <x:c r="E997" s="5"/>
      <x:c r="F997" s="4" t="n">
        <x:v>0</x:v>
      </x:c>
      <x:c r="G997" s="4" t="n">
        <x:v>29914</x:v>
      </x:c>
      <x:c r="H997" s="6" t="n">
        <x:v>139.41</x:v>
      </x:c>
      <x:c r="I997" s="16" t="n">
        <x:v>1</x:v>
      </x:c>
      <x:c r="J997"/>
      <x:c r="K997" s="4"/>
      <x:c r="L997" s="4"/>
      <x:c r="M997" s="4"/>
      <x:c r="N997" s="5"/>
    </x:row>
    <x:row r="998" ht="24" customHeight="1">
      <x:c r="A998" s="1" t="str">
        <x:v>RESULT</x:v>
      </x:c>
      <x:c r="B998" s="1" t="str">
        <x:v>Round2</x:v>
      </x:c>
      <x:c r="C998" s="1" t="str">
        <x:v>Closure_169</x:v>
      </x:c>
      <x:c r="D998" s="1" t="str">
        <x:v>NOT_AVAILABLE</x:v>
      </x:c>
      <x:c r="E998" s="5"/>
      <x:c r="F998" s="4" t="n">
        <x:v>0</x:v>
      </x:c>
      <x:c r="G998" s="4" t="n">
        <x:v>61341</x:v>
      </x:c>
      <x:c r="H998" s="6" t="n">
        <x:v>342.1</x:v>
      </x:c>
      <x:c r="I998" s="16" t="n">
        <x:v>1</x:v>
      </x:c>
      <x:c r="J998"/>
      <x:c r="K998" s="4"/>
      <x:c r="L998" s="4"/>
      <x:c r="M998" s="4"/>
      <x:c r="N998" s="5"/>
    </x:row>
    <x:row r="999" ht="24" customHeight="1">
      <x:c r="A999" s="1" t="str">
        <x:v>RESULT</x:v>
      </x:c>
      <x:c r="B999" s="1" t="str">
        <x:v>Round2</x:v>
      </x:c>
      <x:c r="C999" s="1" t="str">
        <x:v>Closure_17</x:v>
      </x:c>
      <x:c r="D999" s="1" t="str">
        <x:v>NOT_AVAILABLE</x:v>
      </x:c>
      <x:c r="E999" s="5"/>
      <x:c r="F999" s="4" t="n">
        <x:v>0</x:v>
      </x:c>
      <x:c r="G999" s="4" t="n">
        <x:v>21423</x:v>
      </x:c>
      <x:c r="H999" s="6" t="n">
        <x:v>52.92</x:v>
      </x:c>
      <x:c r="I999" s="16" t="n">
        <x:v>1</x:v>
      </x:c>
      <x:c r="J999"/>
      <x:c r="K999" s="4"/>
      <x:c r="L999" s="4"/>
      <x:c r="M999" s="4"/>
      <x:c r="N999" s="5"/>
    </x:row>
    <x:row r="1000" ht="24" customHeight="1">
      <x:c r="A1000" s="1" t="str">
        <x:v>RESULT</x:v>
      </x:c>
      <x:c r="B1000" s="1" t="str">
        <x:v>Round2</x:v>
      </x:c>
      <x:c r="C1000" s="1" t="str">
        <x:v>Closure_170</x:v>
      </x:c>
      <x:c r="D1000" s="1" t="str">
        <x:v>INCONCLUSIVE</x:v>
      </x:c>
      <x:c r="E1000" s="5" t="n">
        <x:v>0.0391</x:v>
      </x:c>
      <x:c r="F1000" s="4" t="n">
        <x:v>0</x:v>
      </x:c>
      <x:c r="G1000" s="4" t="n">
        <x:v>17925</x:v>
      </x:c>
      <x:c r="H1000" s="6" t="n">
        <x:v>480.33</x:v>
      </x:c>
      <x:c r="I1000" s="16" t="n">
        <x:v>1</x:v>
      </x:c>
      <x:c r="J1000" t="n">
        <x:v>179</x:v>
      </x:c>
      <x:c r="K1000" s="4" t="n">
        <x:v>7</x:v>
      </x:c>
      <x:c r="L1000" s="4" t="n">
        <x:v>132</x:v>
      </x:c>
      <x:c r="M1000" s="4" t="n">
        <x:v>0</x:v>
      </x:c>
      <x:c r="N1000" s="5" t="n">
        <x:v>0</x:v>
      </x:c>
    </x:row>
    <x:row r="1001" ht="24" customHeight="1">
      <x:c r="A1001" s="1" t="str">
        <x:v>RESULT</x:v>
      </x:c>
      <x:c r="B1001" s="1" t="str">
        <x:v>Round2</x:v>
      </x:c>
      <x:c r="C1001" s="1" t="str">
        <x:v>Closure_171</x:v>
      </x:c>
      <x:c r="D1001" s="1" t="str">
        <x:v>NOT_AVAILABLE</x:v>
      </x:c>
      <x:c r="E1001" s="5"/>
      <x:c r="F1001" s="4" t="n">
        <x:v>0</x:v>
      </x:c>
      <x:c r="G1001" s="4" t="n">
        <x:v>41485</x:v>
      </x:c>
      <x:c r="H1001" s="6" t="n">
        <x:v>109.98</x:v>
      </x:c>
      <x:c r="I1001" s="16" t="n">
        <x:v>1</x:v>
      </x:c>
      <x:c r="J1001"/>
      <x:c r="K1001" s="4"/>
      <x:c r="L1001" s="4"/>
      <x:c r="M1001" s="4"/>
      <x:c r="N1001" s="5"/>
    </x:row>
    <x:row r="1002" ht="24" customHeight="1">
      <x:c r="A1002" s="1" t="str">
        <x:v>RESULT</x:v>
      </x:c>
      <x:c r="B1002" s="1" t="str">
        <x:v>Round2</x:v>
      </x:c>
      <x:c r="C1002" s="1" t="str">
        <x:v>Closure_172</x:v>
      </x:c>
      <x:c r="D1002" s="1" t="str">
        <x:v>INCONCLUSIVE</x:v>
      </x:c>
      <x:c r="E1002" s="5" t="n">
        <x:v>0</x:v>
      </x:c>
      <x:c r="F1002" s="4" t="n">
        <x:v>0</x:v>
      </x:c>
      <x:c r="G1002" s="4"/>
      <x:c r="H1002" s="6"/>
      <x:c r="I1002" s="16" t="n">
        <x:v>1</x:v>
      </x:c>
      <x:c r="J1002" t="n">
        <x:v>947</x:v>
      </x:c>
      <x:c r="K1002" s="4" t="n">
        <x:v>0</x:v>
      </x:c>
      <x:c r="L1002" s="4" t="n">
        <x:v>762</x:v>
      </x:c>
      <x:c r="M1002" s="4" t="n">
        <x:v>0</x:v>
      </x:c>
      <x:c r="N1002" s="5" t="n">
        <x:v>0</x:v>
      </x:c>
    </x:row>
    <x:row r="1003" ht="24" customHeight="1">
      <x:c r="A1003" s="1" t="str">
        <x:v>RESULT</x:v>
      </x:c>
      <x:c r="B1003" s="1" t="str">
        <x:v>Round2</x:v>
      </x:c>
      <x:c r="C1003" s="1" t="str">
        <x:v>Closure_173</x:v>
      </x:c>
      <x:c r="D1003" s="1" t="str">
        <x:v>INCONCLUSIVE</x:v>
      </x:c>
      <x:c r="E1003" s="5" t="n">
        <x:v>0.08310000000000001</x:v>
      </x:c>
      <x:c r="F1003" s="4" t="n">
        <x:v>0</x:v>
      </x:c>
      <x:c r="G1003" s="4" t="n">
        <x:v>57446</x:v>
      </x:c>
      <x:c r="H1003" s="6" t="n">
        <x:v>1918.65</x:v>
      </x:c>
      <x:c r="I1003" s="16" t="n">
        <x:v>1</x:v>
      </x:c>
      <x:c r="J1003" t="n">
        <x:v>915</x:v>
      </x:c>
      <x:c r="K1003" s="4" t="n">
        <x:v>76</x:v>
      </x:c>
      <x:c r="L1003" s="4" t="n">
        <x:v>685</x:v>
      </x:c>
      <x:c r="M1003" s="4" t="n">
        <x:v>29</x:v>
      </x:c>
      <x:c r="N1003" s="5" t="n">
        <x:v>0.042300000000000004</x:v>
      </x:c>
    </x:row>
    <x:row r="1004" ht="24" customHeight="1">
      <x:c r="A1004" s="1" t="str">
        <x:v>RESULT</x:v>
      </x:c>
      <x:c r="B1004" s="1" t="str">
        <x:v>Round2</x:v>
      </x:c>
      <x:c r="C1004" s="1" t="str">
        <x:v>Closure_174</x:v>
      </x:c>
      <x:c r="D1004" s="1" t="str">
        <x:v>NOT_AVAILABLE</x:v>
      </x:c>
      <x:c r="E1004" s="5"/>
      <x:c r="F1004" s="4" t="n">
        <x:v>0</x:v>
      </x:c>
      <x:c r="G1004" s="4" t="n">
        <x:v>73829</x:v>
      </x:c>
      <x:c r="H1004" s="6" t="n">
        <x:v>2075.43</x:v>
      </x:c>
      <x:c r="I1004" s="16" t="n">
        <x:v>1</x:v>
      </x:c>
      <x:c r="J1004"/>
      <x:c r="K1004" s="4"/>
      <x:c r="L1004" s="4"/>
      <x:c r="M1004" s="4"/>
      <x:c r="N1004" s="5"/>
    </x:row>
    <x:row r="1005" ht="24" customHeight="1">
      <x:c r="A1005" s="1" t="str">
        <x:v>RESULT</x:v>
      </x:c>
      <x:c r="B1005" s="1" t="str">
        <x:v>Round2</x:v>
      </x:c>
      <x:c r="C1005" s="1" t="str">
        <x:v>Closure_175</x:v>
      </x:c>
      <x:c r="D1005" s="1" t="str">
        <x:v>NOT_AVAILABLE</x:v>
      </x:c>
      <x:c r="E1005" s="5"/>
      <x:c r="F1005" s="4" t="n">
        <x:v>0</x:v>
      </x:c>
      <x:c r="G1005" s="4"/>
      <x:c r="H1005" s="6"/>
      <x:c r="I1005" s="16" t="n">
        <x:v>1</x:v>
      </x:c>
      <x:c r="J1005"/>
      <x:c r="K1005" s="4"/>
      <x:c r="L1005" s="4"/>
      <x:c r="M1005" s="4"/>
      <x:c r="N1005" s="5"/>
    </x:row>
    <x:row r="1006" ht="24" customHeight="1">
      <x:c r="A1006" s="1" t="str">
        <x:v>RESULT</x:v>
      </x:c>
      <x:c r="B1006" s="1" t="str">
        <x:v>Round2</x:v>
      </x:c>
      <x:c r="C1006" s="1" t="str">
        <x:v>Closure_176</x:v>
      </x:c>
      <x:c r="D1006" s="1" t="str">
        <x:v>NOT_AVAILABLE</x:v>
      </x:c>
      <x:c r="E1006" s="5"/>
      <x:c r="F1006" s="4" t="n">
        <x:v>0</x:v>
      </x:c>
      <x:c r="G1006" s="4"/>
      <x:c r="H1006" s="6"/>
      <x:c r="I1006" s="16" t="n">
        <x:v>1</x:v>
      </x:c>
      <x:c r="J1006"/>
      <x:c r="K1006" s="4"/>
      <x:c r="L1006" s="4"/>
      <x:c r="M1006" s="4"/>
      <x:c r="N1006" s="5"/>
    </x:row>
    <x:row r="1007" ht="24" customHeight="1">
      <x:c r="A1007" s="1" t="str">
        <x:v>RESULT</x:v>
      </x:c>
      <x:c r="B1007" s="1" t="str">
        <x:v>Round2</x:v>
      </x:c>
      <x:c r="C1007" s="1" t="str">
        <x:v>Closure_18</x:v>
      </x:c>
      <x:c r="D1007" s="1" t="str">
        <x:v>NOT_AVAILABLE</x:v>
      </x:c>
      <x:c r="E1007" s="5"/>
      <x:c r="F1007" s="4" t="n">
        <x:v>0</x:v>
      </x:c>
      <x:c r="G1007" s="4" t="n">
        <x:v>31700</x:v>
      </x:c>
      <x:c r="H1007" s="6" t="n">
        <x:v>711.25</x:v>
      </x:c>
      <x:c r="I1007" s="16" t="n">
        <x:v>1</x:v>
      </x:c>
      <x:c r="J1007"/>
      <x:c r="K1007" s="4"/>
      <x:c r="L1007" s="4"/>
      <x:c r="M1007" s="4"/>
      <x:c r="N1007" s="5"/>
    </x:row>
    <x:row r="1008" ht="24" customHeight="1">
      <x:c r="A1008" s="1" t="str">
        <x:v>RESULT</x:v>
      </x:c>
      <x:c r="B1008" s="1" t="str">
        <x:v>Round2</x:v>
      </x:c>
      <x:c r="C1008" s="1" t="str">
        <x:v>Closure_19</x:v>
      </x:c>
      <x:c r="D1008" s="1" t="str">
        <x:v>NOT_AVAILABLE</x:v>
      </x:c>
      <x:c r="E1008" s="5"/>
      <x:c r="F1008" s="4" t="n">
        <x:v>0</x:v>
      </x:c>
      <x:c r="G1008" s="4" t="n">
        <x:v>27159</x:v>
      </x:c>
      <x:c r="H1008" s="6" t="n">
        <x:v>940.18</x:v>
      </x:c>
      <x:c r="I1008" s="16" t="n">
        <x:v>1</x:v>
      </x:c>
      <x:c r="J1008"/>
      <x:c r="K1008" s="4"/>
      <x:c r="L1008" s="4"/>
      <x:c r="M1008" s="4"/>
      <x:c r="N1008" s="5"/>
    </x:row>
    <x:row r="1009" ht="24" customHeight="1">
      <x:c r="A1009" s="1" t="str">
        <x:v>RESULT</x:v>
      </x:c>
      <x:c r="B1009" s="1" t="str">
        <x:v>Round2</x:v>
      </x:c>
      <x:c r="C1009" s="1" t="str">
        <x:v>Closure_2</x:v>
      </x:c>
      <x:c r="D1009" s="1" t="str">
        <x:v>NOT_AVAILABLE</x:v>
      </x:c>
      <x:c r="E1009" s="5"/>
      <x:c r="F1009" s="4" t="n">
        <x:v>0</x:v>
      </x:c>
      <x:c r="G1009" s="4" t="n">
        <x:v>17894</x:v>
      </x:c>
      <x:c r="H1009" s="6" t="n">
        <x:v>179.39</x:v>
      </x:c>
      <x:c r="I1009" s="16" t="n">
        <x:v>1</x:v>
      </x:c>
      <x:c r="J1009"/>
      <x:c r="K1009" s="4"/>
      <x:c r="L1009" s="4"/>
      <x:c r="M1009" s="4"/>
      <x:c r="N1009" s="5"/>
    </x:row>
    <x:row r="1010" ht="24" customHeight="1">
      <x:c r="A1010" s="1" t="str">
        <x:v>RESULT</x:v>
      </x:c>
      <x:c r="B1010" s="1" t="str">
        <x:v>Round2</x:v>
      </x:c>
      <x:c r="C1010" s="1" t="str">
        <x:v>Closure_20</x:v>
      </x:c>
      <x:c r="D1010" s="1" t="str">
        <x:v>INCONCLUSIVE</x:v>
      </x:c>
      <x:c r="E1010" s="5" t="n">
        <x:v>0.0981</x:v>
      </x:c>
      <x:c r="F1010" s="4" t="n">
        <x:v>0</x:v>
      </x:c>
      <x:c r="G1010" s="4"/>
      <x:c r="H1010" s="6"/>
      <x:c r="I1010" s="16" t="n">
        <x:v>1</x:v>
      </x:c>
      <x:c r="J1010" t="n">
        <x:v>754</x:v>
      </x:c>
      <x:c r="K1010" s="4" t="n">
        <x:v>74</x:v>
      </x:c>
      <x:c r="L1010" s="4" t="n">
        <x:v>526</x:v>
      </x:c>
      <x:c r="M1010" s="4" t="n">
        <x:v>32</x:v>
      </x:c>
      <x:c r="N1010" s="5" t="n">
        <x:v>0.0608</x:v>
      </x:c>
    </x:row>
    <x:row r="1011" ht="24" customHeight="1">
      <x:c r="A1011" s="1" t="str">
        <x:v>RESULT</x:v>
      </x:c>
      <x:c r="B1011" s="1" t="str">
        <x:v>Round2</x:v>
      </x:c>
      <x:c r="C1011" s="1" t="str">
        <x:v>Closure_21</x:v>
      </x:c>
      <x:c r="D1011" s="1" t="str">
        <x:v>NOT_AVAILABLE</x:v>
      </x:c>
      <x:c r="E1011" s="5"/>
      <x:c r="F1011" s="4" t="n">
        <x:v>0</x:v>
      </x:c>
      <x:c r="G1011" s="4" t="n">
        <x:v>19078</x:v>
      </x:c>
      <x:c r="H1011" s="6" t="n">
        <x:v>102</x:v>
      </x:c>
      <x:c r="I1011" s="16" t="n">
        <x:v>1</x:v>
      </x:c>
      <x:c r="J1011"/>
      <x:c r="K1011" s="4"/>
      <x:c r="L1011" s="4"/>
      <x:c r="M1011" s="4"/>
      <x:c r="N1011" s="5"/>
    </x:row>
    <x:row r="1012" ht="24" customHeight="1">
      <x:c r="A1012" s="1" t="str">
        <x:v>RESULT</x:v>
      </x:c>
      <x:c r="B1012" s="1" t="str">
        <x:v>Round2</x:v>
      </x:c>
      <x:c r="C1012" s="1" t="str">
        <x:v>Closure_22</x:v>
      </x:c>
      <x:c r="D1012" s="1" t="str">
        <x:v>NOT_AVAILABLE</x:v>
      </x:c>
      <x:c r="E1012" s="5"/>
      <x:c r="F1012" s="4" t="n">
        <x:v>0</x:v>
      </x:c>
      <x:c r="G1012" s="4" t="n">
        <x:v>22429</x:v>
      </x:c>
      <x:c r="H1012" s="6" t="n">
        <x:v>809.48</x:v>
      </x:c>
      <x:c r="I1012" s="16" t="n">
        <x:v>1</x:v>
      </x:c>
      <x:c r="J1012"/>
      <x:c r="K1012" s="4"/>
      <x:c r="L1012" s="4"/>
      <x:c r="M1012" s="4"/>
      <x:c r="N1012" s="5"/>
    </x:row>
    <x:row r="1013" ht="24" customHeight="1">
      <x:c r="A1013" s="1" t="str">
        <x:v>RESULT</x:v>
      </x:c>
      <x:c r="B1013" s="1" t="str">
        <x:v>Round2</x:v>
      </x:c>
      <x:c r="C1013" s="1" t="str">
        <x:v>Closure_23</x:v>
      </x:c>
      <x:c r="D1013" s="1" t="str">
        <x:v>NOT_AVAILABLE</x:v>
      </x:c>
      <x:c r="E1013" s="5"/>
      <x:c r="F1013" s="4" t="n">
        <x:v>0</x:v>
      </x:c>
      <x:c r="G1013" s="4" t="n">
        <x:v>29967</x:v>
      </x:c>
      <x:c r="H1013" s="6" t="n">
        <x:v>889.2</x:v>
      </x:c>
      <x:c r="I1013" s="16" t="n">
        <x:v>1</x:v>
      </x:c>
      <x:c r="J1013"/>
      <x:c r="K1013" s="4"/>
      <x:c r="L1013" s="4"/>
      <x:c r="M1013" s="4"/>
      <x:c r="N1013" s="5"/>
    </x:row>
    <x:row r="1014" ht="24" customHeight="1">
      <x:c r="A1014" s="1" t="str">
        <x:v>RESULT</x:v>
      </x:c>
      <x:c r="B1014" s="1" t="str">
        <x:v>Round2</x:v>
      </x:c>
      <x:c r="C1014" s="1" t="str">
        <x:v>Closure_24</x:v>
      </x:c>
      <x:c r="D1014" s="1" t="str">
        <x:v>NOT_AVAILABLE</x:v>
      </x:c>
      <x:c r="E1014" s="5"/>
      <x:c r="F1014" s="4" t="n">
        <x:v>0</x:v>
      </x:c>
      <x:c r="G1014" s="4" t="n">
        <x:v>26682</x:v>
      </x:c>
      <x:c r="H1014" s="6" t="n">
        <x:v>927.61</x:v>
      </x:c>
      <x:c r="I1014" s="16" t="n">
        <x:v>1</x:v>
      </x:c>
      <x:c r="J1014"/>
      <x:c r="K1014" s="4"/>
      <x:c r="L1014" s="4"/>
      <x:c r="M1014" s="4"/>
      <x:c r="N1014" s="5"/>
    </x:row>
    <x:row r="1015" ht="24" customHeight="1">
      <x:c r="A1015" s="1" t="str">
        <x:v>RESULT</x:v>
      </x:c>
      <x:c r="B1015" s="1" t="str">
        <x:v>Round2</x:v>
      </x:c>
      <x:c r="C1015" s="1" t="str">
        <x:v>Closure_25</x:v>
      </x:c>
      <x:c r="D1015" s="1" t="str">
        <x:v>NOT_AVAILABLE</x:v>
      </x:c>
      <x:c r="E1015" s="5"/>
      <x:c r="F1015" s="4" t="n">
        <x:v>0</x:v>
      </x:c>
      <x:c r="G1015" s="4" t="n">
        <x:v>32334</x:v>
      </x:c>
      <x:c r="H1015" s="6" t="n">
        <x:v>944.66</x:v>
      </x:c>
      <x:c r="I1015" s="16" t="n">
        <x:v>1</x:v>
      </x:c>
      <x:c r="J1015"/>
      <x:c r="K1015" s="4"/>
      <x:c r="L1015" s="4"/>
      <x:c r="M1015" s="4"/>
      <x:c r="N1015" s="5"/>
    </x:row>
    <x:row r="1016" ht="24" customHeight="1">
      <x:c r="A1016" s="1" t="str">
        <x:v>RESULT</x:v>
      </x:c>
      <x:c r="B1016" s="1" t="str">
        <x:v>Round2</x:v>
      </x:c>
      <x:c r="C1016" s="1" t="str">
        <x:v>Closure_26</x:v>
      </x:c>
      <x:c r="D1016" s="1" t="str">
        <x:v>INCONCLUSIVE</x:v>
      </x:c>
      <x:c r="E1016" s="5" t="n">
        <x:v>0.23579999999999998</x:v>
      </x:c>
      <x:c r="F1016" s="4" t="n">
        <x:v>0</x:v>
      </x:c>
      <x:c r="G1016" s="4" t="n">
        <x:v>16377</x:v>
      </x:c>
      <x:c r="H1016" s="6" t="n">
        <x:v>545.88</x:v>
      </x:c>
      <x:c r="I1016" s="16" t="n">
        <x:v>1</x:v>
      </x:c>
      <x:c r="J1016" t="n">
        <x:v>106</x:v>
      </x:c>
      <x:c r="K1016" s="4" t="n">
        <x:v>25</x:v>
      </x:c>
      <x:c r="L1016" s="4" t="n">
        <x:v>40</x:v>
      </x:c>
      <x:c r="M1016" s="4" t="n">
        <x:v>7</x:v>
      </x:c>
      <x:c r="N1016" s="5" t="n">
        <x:v>0.175</x:v>
      </x:c>
    </x:row>
    <x:row r="1017" ht="24" customHeight="1">
      <x:c r="A1017" s="1" t="str">
        <x:v>RESULT</x:v>
      </x:c>
      <x:c r="B1017" s="1" t="str">
        <x:v>Round2</x:v>
      </x:c>
      <x:c r="C1017" s="1" t="str">
        <x:v>Closure_27</x:v>
      </x:c>
      <x:c r="D1017" s="1" t="str">
        <x:v>INCONCLUSIVE</x:v>
      </x:c>
      <x:c r="E1017" s="5" t="n">
        <x:v>0.7326</x:v>
      </x:c>
      <x:c r="F1017" s="4" t="n">
        <x:v>0</x:v>
      </x:c>
      <x:c r="G1017" s="4" t="n">
        <x:v>24828</x:v>
      </x:c>
      <x:c r="H1017" s="6" t="n">
        <x:v>813</x:v>
      </x:c>
      <x:c r="I1017" s="16" t="n">
        <x:v>1</x:v>
      </x:c>
      <x:c r="J1017" t="n">
        <x:v>187</x:v>
      </x:c>
      <x:c r="K1017" s="4" t="n">
        <x:v>137</x:v>
      </x:c>
      <x:c r="L1017" s="4" t="n">
        <x:v>60</x:v>
      </x:c>
      <x:c r="M1017" s="4" t="n">
        <x:v>34</x:v>
      </x:c>
      <x:c r="N1017" s="5" t="n">
        <x:v>0.5667</x:v>
      </x:c>
    </x:row>
    <x:row r="1018" ht="24" customHeight="1">
      <x:c r="A1018" s="1" t="str">
        <x:v>RESULT</x:v>
      </x:c>
      <x:c r="B1018" s="1" t="str">
        <x:v>Round2</x:v>
      </x:c>
      <x:c r="C1018" s="1" t="str">
        <x:v>Closure_28</x:v>
      </x:c>
      <x:c r="D1018" s="1" t="str">
        <x:v>NOT_AVAILABLE</x:v>
      </x:c>
      <x:c r="E1018" s="5"/>
      <x:c r="F1018" s="4" t="n">
        <x:v>0</x:v>
      </x:c>
      <x:c r="G1018" s="4" t="n">
        <x:v>17960</x:v>
      </x:c>
      <x:c r="H1018" s="6" t="n">
        <x:v>744.8</x:v>
      </x:c>
      <x:c r="I1018" s="16" t="n">
        <x:v>1</x:v>
      </x:c>
      <x:c r="J1018"/>
      <x:c r="K1018" s="4"/>
      <x:c r="L1018" s="4"/>
      <x:c r="M1018" s="4"/>
      <x:c r="N1018" s="5"/>
    </x:row>
    <x:row r="1019" ht="24" customHeight="1">
      <x:c r="A1019" s="1" t="str">
        <x:v>RESULT</x:v>
      </x:c>
      <x:c r="B1019" s="1" t="str">
        <x:v>Round2</x:v>
      </x:c>
      <x:c r="C1019" s="1" t="str">
        <x:v>Closure_29</x:v>
      </x:c>
      <x:c r="D1019" s="1" t="str">
        <x:v>INCONCLUSIVE</x:v>
      </x:c>
      <x:c r="E1019" s="5" t="n">
        <x:v>0.046</x:v>
      </x:c>
      <x:c r="F1019" s="4" t="n">
        <x:v>0</x:v>
      </x:c>
      <x:c r="G1019" s="4" t="n">
        <x:v>29328</x:v>
      </x:c>
      <x:c r="H1019" s="6" t="n">
        <x:v>1120.89</x:v>
      </x:c>
      <x:c r="I1019" s="16" t="n">
        <x:v>1</x:v>
      </x:c>
      <x:c r="J1019" t="n">
        <x:v>174</x:v>
      </x:c>
      <x:c r="K1019" s="4" t="n">
        <x:v>8</x:v>
      </x:c>
      <x:c r="L1019" s="4" t="n">
        <x:v>104</x:v>
      </x:c>
      <x:c r="M1019" s="4" t="n">
        <x:v>0</x:v>
      </x:c>
      <x:c r="N1019" s="5" t="n">
        <x:v>0</x:v>
      </x:c>
    </x:row>
    <x:row r="1020" ht="24" customHeight="1">
      <x:c r="A1020" s="1" t="str">
        <x:v>RESULT</x:v>
      </x:c>
      <x:c r="B1020" s="1" t="str">
        <x:v>Round2</x:v>
      </x:c>
      <x:c r="C1020" s="1" t="str">
        <x:v>Closure_3</x:v>
      </x:c>
      <x:c r="D1020" s="1" t="str">
        <x:v>NOT_REVEALING</x:v>
      </x:c>
      <x:c r="E1020" s="5" t="n">
        <x:v>0.1023</x:v>
      </x:c>
      <x:c r="F1020" s="4" t="n">
        <x:v>0</x:v>
      </x:c>
      <x:c r="G1020" s="4" t="n">
        <x:v>29987</x:v>
      </x:c>
      <x:c r="H1020" s="6" t="n">
        <x:v>1080.18</x:v>
      </x:c>
      <x:c r="I1020" s="16" t="n">
        <x:v>1</x:v>
      </x:c>
      <x:c r="J1020" t="n">
        <x:v>176</x:v>
      </x:c>
      <x:c r="K1020" s="4" t="n">
        <x:v>18</x:v>
      </x:c>
      <x:c r="L1020" s="4" t="n">
        <x:v>127</x:v>
      </x:c>
      <x:c r="M1020" s="4" t="n">
        <x:v>9</x:v>
      </x:c>
      <x:c r="N1020" s="5" t="n">
        <x:v>0.0709</x:v>
      </x:c>
    </x:row>
    <x:row r="1021" ht="24" customHeight="1">
      <x:c r="A1021" s="1" t="str">
        <x:v>RESULT</x:v>
      </x:c>
      <x:c r="B1021" s="1" t="str">
        <x:v>Round2</x:v>
      </x:c>
      <x:c r="C1021" s="1" t="str">
        <x:v>Closure_30</x:v>
      </x:c>
      <x:c r="D1021" s="1" t="str">
        <x:v>INCONCLUSIVE</x:v>
      </x:c>
      <x:c r="E1021" s="5" t="n">
        <x:v>0.0697</x:v>
      </x:c>
      <x:c r="F1021" s="4" t="n">
        <x:v>0</x:v>
      </x:c>
      <x:c r="G1021" s="4" t="n">
        <x:v>44999</x:v>
      </x:c>
      <x:c r="H1021" s="6" t="n">
        <x:v>1547.99</x:v>
      </x:c>
      <x:c r="I1021" s="16" t="n">
        <x:v>1</x:v>
      </x:c>
      <x:c r="J1021" t="n">
        <x:v>330</x:v>
      </x:c>
      <x:c r="K1021" s="4" t="n">
        <x:v>23</x:v>
      </x:c>
      <x:c r="L1021" s="4" t="n">
        <x:v>222</x:v>
      </x:c>
      <x:c r="M1021" s="4" t="n">
        <x:v>5</x:v>
      </x:c>
      <x:c r="N1021" s="5" t="n">
        <x:v>0.0225</x:v>
      </x:c>
    </x:row>
    <x:row r="1022" ht="24" customHeight="1">
      <x:c r="A1022" s="1" t="str">
        <x:v>RESULT</x:v>
      </x:c>
      <x:c r="B1022" s="1" t="str">
        <x:v>Round2</x:v>
      </x:c>
      <x:c r="C1022" s="1" t="str">
        <x:v>Closure_31</x:v>
      </x:c>
      <x:c r="D1022" s="1" t="str">
        <x:v>INCONCLUSIVE</x:v>
      </x:c>
      <x:c r="E1022" s="5" t="n">
        <x:v>0.41490000000000005</x:v>
      </x:c>
      <x:c r="F1022" s="4" t="n">
        <x:v>0</x:v>
      </x:c>
      <x:c r="G1022" s="4" t="n">
        <x:v>34549</x:v>
      </x:c>
      <x:c r="H1022" s="6" t="n">
        <x:v>871.93</x:v>
      </x:c>
      <x:c r="I1022" s="16" t="n">
        <x:v>1</x:v>
      </x:c>
      <x:c r="J1022" t="n">
        <x:v>981</x:v>
      </x:c>
      <x:c r="K1022" s="4" t="n">
        <x:v>407</x:v>
      </x:c>
      <x:c r="L1022" s="4" t="n">
        <x:v>400</x:v>
      </x:c>
      <x:c r="M1022" s="4" t="n">
        <x:v>134</x:v>
      </x:c>
      <x:c r="N1022" s="5" t="n">
        <x:v>0.335</x:v>
      </x:c>
    </x:row>
    <x:row r="1023" ht="24" customHeight="1">
      <x:c r="A1023" s="1" t="str">
        <x:v>RESULT</x:v>
      </x:c>
      <x:c r="B1023" s="1" t="str">
        <x:v>Round2</x:v>
      </x:c>
      <x:c r="C1023" s="1" t="str">
        <x:v>Closure_32</x:v>
      </x:c>
      <x:c r="D1023" s="1" t="str">
        <x:v>NOT_AVAILABLE</x:v>
      </x:c>
      <x:c r="E1023" s="5"/>
      <x:c r="F1023" s="4" t="n">
        <x:v>0</x:v>
      </x:c>
      <x:c r="G1023" s="4" t="n">
        <x:v>31252</x:v>
      </x:c>
      <x:c r="H1023" s="6" t="n">
        <x:v>757.24</x:v>
      </x:c>
      <x:c r="I1023" s="16" t="n">
        <x:v>1</x:v>
      </x:c>
      <x:c r="J1023"/>
      <x:c r="K1023" s="4"/>
      <x:c r="L1023" s="4"/>
      <x:c r="M1023" s="4"/>
      <x:c r="N1023" s="5"/>
    </x:row>
    <x:row r="1024" ht="24" customHeight="1">
      <x:c r="A1024" s="1" t="str">
        <x:v>RESULT</x:v>
      </x:c>
      <x:c r="B1024" s="1" t="str">
        <x:v>Round2</x:v>
      </x:c>
      <x:c r="C1024" s="1" t="str">
        <x:v>Closure_33</x:v>
      </x:c>
      <x:c r="D1024" s="1" t="str">
        <x:v>NOT_AVAILABLE</x:v>
      </x:c>
      <x:c r="E1024" s="5"/>
      <x:c r="F1024" s="4" t="n">
        <x:v>0</x:v>
      </x:c>
      <x:c r="G1024" s="4" t="n">
        <x:v>29770</x:v>
      </x:c>
      <x:c r="H1024" s="6" t="n">
        <x:v>1120.16</x:v>
      </x:c>
      <x:c r="I1024" s="16" t="n">
        <x:v>1</x:v>
      </x:c>
      <x:c r="J1024"/>
      <x:c r="K1024" s="4"/>
      <x:c r="L1024" s="4"/>
      <x:c r="M1024" s="4"/>
      <x:c r="N1024" s="5"/>
    </x:row>
    <x:row r="1025" ht="24" customHeight="1">
      <x:c r="A1025" s="1" t="str">
        <x:v>RESULT</x:v>
      </x:c>
      <x:c r="B1025" s="1" t="str">
        <x:v>Round2</x:v>
      </x:c>
      <x:c r="C1025" s="1" t="str">
        <x:v>Closure_34</x:v>
      </x:c>
      <x:c r="D1025" s="1" t="str">
        <x:v>NOT_AVAILABLE</x:v>
      </x:c>
      <x:c r="E1025" s="5"/>
      <x:c r="F1025" s="4" t="n">
        <x:v>0</x:v>
      </x:c>
      <x:c r="G1025" s="4" t="n">
        <x:v>51362</x:v>
      </x:c>
      <x:c r="H1025" s="6" t="n">
        <x:v>1665.27</x:v>
      </x:c>
      <x:c r="I1025" s="16" t="n">
        <x:v>1</x:v>
      </x:c>
      <x:c r="J1025"/>
      <x:c r="K1025" s="4"/>
      <x:c r="L1025" s="4"/>
      <x:c r="M1025" s="4"/>
      <x:c r="N1025" s="5"/>
    </x:row>
    <x:row r="1026" ht="24" customHeight="1">
      <x:c r="A1026" s="1" t="str">
        <x:v>RESULT</x:v>
      </x:c>
      <x:c r="B1026" s="1" t="str">
        <x:v>Round2</x:v>
      </x:c>
      <x:c r="C1026" s="1" t="str">
        <x:v>Closure_35</x:v>
      </x:c>
      <x:c r="D1026" s="1" t="str">
        <x:v>INCONCLUSIVE</x:v>
      </x:c>
      <x:c r="E1026" s="5" t="n">
        <x:v>0</x:v>
      </x:c>
      <x:c r="F1026" s="4" t="n">
        <x:v>0</x:v>
      </x:c>
      <x:c r="G1026" s="4" t="n">
        <x:v>33003</x:v>
      </x:c>
      <x:c r="H1026" s="6" t="n">
        <x:v>1071.15</x:v>
      </x:c>
      <x:c r="I1026" s="16" t="n">
        <x:v>1</x:v>
      </x:c>
      <x:c r="J1026" t="n">
        <x:v>626</x:v>
      </x:c>
      <x:c r="K1026" s="4" t="n">
        <x:v>0</x:v>
      </x:c>
      <x:c r="L1026" s="4" t="n">
        <x:v>422</x:v>
      </x:c>
      <x:c r="M1026" s="4" t="n">
        <x:v>0</x:v>
      </x:c>
      <x:c r="N1026" s="5" t="n">
        <x:v>0</x:v>
      </x:c>
    </x:row>
    <x:row r="1027" ht="24" customHeight="1">
      <x:c r="A1027" s="1" t="str">
        <x:v>RESULT</x:v>
      </x:c>
      <x:c r="B1027" s="1" t="str">
        <x:v>Round2</x:v>
      </x:c>
      <x:c r="C1027" s="1" t="str">
        <x:v>Closure_36</x:v>
      </x:c>
      <x:c r="D1027" s="1" t="str">
        <x:v>NOT_AVAILABLE</x:v>
      </x:c>
      <x:c r="E1027" s="5"/>
      <x:c r="F1027" s="4" t="n">
        <x:v>0</x:v>
      </x:c>
      <x:c r="G1027" s="4" t="n">
        <x:v>21770</x:v>
      </x:c>
      <x:c r="H1027" s="6" t="n">
        <x:v>742.57</x:v>
      </x:c>
      <x:c r="I1027" s="16" t="n">
        <x:v>1</x:v>
      </x:c>
      <x:c r="J1027"/>
      <x:c r="K1027" s="4"/>
      <x:c r="L1027" s="4"/>
      <x:c r="M1027" s="4"/>
      <x:c r="N1027" s="5"/>
    </x:row>
    <x:row r="1028" ht="24" customHeight="1">
      <x:c r="A1028" s="1" t="str">
        <x:v>RESULT</x:v>
      </x:c>
      <x:c r="B1028" s="1" t="str">
        <x:v>Round2</x:v>
      </x:c>
      <x:c r="C1028" s="1" t="str">
        <x:v>Closure_37</x:v>
      </x:c>
      <x:c r="D1028" s="1" t="str">
        <x:v>NOT_AVAILABLE</x:v>
      </x:c>
      <x:c r="E1028" s="5"/>
      <x:c r="F1028" s="4" t="n">
        <x:v>0</x:v>
      </x:c>
      <x:c r="G1028" s="4" t="n">
        <x:v>69889</x:v>
      </x:c>
      <x:c r="H1028" s="6" t="n">
        <x:v>2437.21</x:v>
      </x:c>
      <x:c r="I1028" s="16" t="n">
        <x:v>1</x:v>
      </x:c>
      <x:c r="J1028"/>
      <x:c r="K1028" s="4"/>
      <x:c r="L1028" s="4"/>
      <x:c r="M1028" s="4"/>
      <x:c r="N1028" s="5"/>
    </x:row>
    <x:row r="1029" ht="24" customHeight="1">
      <x:c r="A1029" s="1" t="str">
        <x:v>RESULT</x:v>
      </x:c>
      <x:c r="B1029" s="1" t="str">
        <x:v>Round2</x:v>
      </x:c>
      <x:c r="C1029" s="1" t="str">
        <x:v>Closure_38</x:v>
      </x:c>
      <x:c r="D1029" s="1" t="str">
        <x:v>INCONCLUSIVE</x:v>
      </x:c>
      <x:c r="E1029" s="5" t="n">
        <x:v>0.6875</x:v>
      </x:c>
      <x:c r="F1029" s="4" t="n">
        <x:v>0</x:v>
      </x:c>
      <x:c r="G1029" s="4"/>
      <x:c r="H1029" s="6"/>
      <x:c r="I1029" s="16" t="n">
        <x:v>1</x:v>
      </x:c>
      <x:c r="J1029" t="n">
        <x:v>112</x:v>
      </x:c>
      <x:c r="K1029" s="4" t="n">
        <x:v>77</x:v>
      </x:c>
      <x:c r="L1029" s="4" t="n">
        <x:v>64</x:v>
      </x:c>
      <x:c r="M1029" s="4" t="n">
        <x:v>43</x:v>
      </x:c>
      <x:c r="N1029" s="5" t="n">
        <x:v>0.6718999999999999</x:v>
      </x:c>
    </x:row>
    <x:row r="1030" ht="24" customHeight="1">
      <x:c r="A1030" s="1" t="str">
        <x:v>RESULT</x:v>
      </x:c>
      <x:c r="B1030" s="1" t="str">
        <x:v>Round2</x:v>
      </x:c>
      <x:c r="C1030" s="1" t="str">
        <x:v>Closure_39</x:v>
      </x:c>
      <x:c r="D1030" s="1" t="str">
        <x:v>NOT_AVAILABLE</x:v>
      </x:c>
      <x:c r="E1030" s="5"/>
      <x:c r="F1030" s="4" t="n">
        <x:v>0</x:v>
      </x:c>
      <x:c r="G1030" s="4" t="n">
        <x:v>30873</x:v>
      </x:c>
      <x:c r="H1030" s="6" t="n">
        <x:v>1155.69</x:v>
      </x:c>
      <x:c r="I1030" s="16" t="n">
        <x:v>1</x:v>
      </x:c>
      <x:c r="J1030"/>
      <x:c r="K1030" s="4"/>
      <x:c r="L1030" s="4"/>
      <x:c r="M1030" s="4"/>
      <x:c r="N1030" s="5"/>
    </x:row>
    <x:row r="1031" ht="24" customHeight="1">
      <x:c r="A1031" s="1" t="str">
        <x:v>RESULT</x:v>
      </x:c>
      <x:c r="B1031" s="1" t="str">
        <x:v>Round2</x:v>
      </x:c>
      <x:c r="C1031" s="1" t="str">
        <x:v>Closure_4</x:v>
      </x:c>
      <x:c r="D1031" s="1" t="str">
        <x:v>NOT_REVEALING</x:v>
      </x:c>
      <x:c r="E1031" s="5" t="n">
        <x:v>0.1818</x:v>
      </x:c>
      <x:c r="F1031" s="4" t="n">
        <x:v>0</x:v>
      </x:c>
      <x:c r="G1031" s="4" t="n">
        <x:v>17783</x:v>
      </x:c>
      <x:c r="H1031" s="6" t="n">
        <x:v>603.03</x:v>
      </x:c>
      <x:c r="I1031" s="16" t="n">
        <x:v>1</x:v>
      </x:c>
      <x:c r="J1031" t="n">
        <x:v>132</x:v>
      </x:c>
      <x:c r="K1031" s="4" t="n">
        <x:v>24</x:v>
      </x:c>
      <x:c r="L1031" s="4" t="n">
        <x:v>86</x:v>
      </x:c>
      <x:c r="M1031" s="4" t="n">
        <x:v>2</x:v>
      </x:c>
      <x:c r="N1031" s="5" t="n">
        <x:v>0.0233</x:v>
      </x:c>
    </x:row>
    <x:row r="1032" ht="24" customHeight="1">
      <x:c r="A1032" s="1" t="str">
        <x:v>RESULT</x:v>
      </x:c>
      <x:c r="B1032" s="1" t="str">
        <x:v>Round2</x:v>
      </x:c>
      <x:c r="C1032" s="1" t="str">
        <x:v>Closure_40</x:v>
      </x:c>
      <x:c r="D1032" s="1" t="str">
        <x:v>NOT_AVAILABLE</x:v>
      </x:c>
      <x:c r="E1032" s="5"/>
      <x:c r="F1032" s="4" t="n">
        <x:v>0</x:v>
      </x:c>
      <x:c r="G1032" s="4" t="n">
        <x:v>26549</x:v>
      </x:c>
      <x:c r="H1032" s="6" t="n">
        <x:v>759</x:v>
      </x:c>
      <x:c r="I1032" s="16" t="n">
        <x:v>1</x:v>
      </x:c>
      <x:c r="J1032"/>
      <x:c r="K1032" s="4"/>
      <x:c r="L1032" s="4"/>
      <x:c r="M1032" s="4"/>
      <x:c r="N1032" s="5"/>
    </x:row>
    <x:row r="1033" ht="24" customHeight="1">
      <x:c r="A1033" s="1" t="str">
        <x:v>RESULT</x:v>
      </x:c>
      <x:c r="B1033" s="1" t="str">
        <x:v>Round2</x:v>
      </x:c>
      <x:c r="C1033" s="1" t="str">
        <x:v>Closure_41</x:v>
      </x:c>
      <x:c r="D1033" s="1" t="str">
        <x:v>NOT_AVAILABLE</x:v>
      </x:c>
      <x:c r="E1033" s="5"/>
      <x:c r="F1033" s="4" t="n">
        <x:v>0</x:v>
      </x:c>
      <x:c r="G1033" s="4" t="n">
        <x:v>22954</x:v>
      </x:c>
      <x:c r="H1033" s="6" t="n">
        <x:v>738.31</x:v>
      </x:c>
      <x:c r="I1033" s="16" t="n">
        <x:v>1</x:v>
      </x:c>
      <x:c r="J1033"/>
      <x:c r="K1033" s="4"/>
      <x:c r="L1033" s="4"/>
      <x:c r="M1033" s="4"/>
      <x:c r="N1033" s="5"/>
    </x:row>
    <x:row r="1034" ht="24" customHeight="1">
      <x:c r="A1034" s="1" t="str">
        <x:v>RESULT</x:v>
      </x:c>
      <x:c r="B1034" s="1" t="str">
        <x:v>Round2</x:v>
      </x:c>
      <x:c r="C1034" s="1" t="str">
        <x:v>Closure_42</x:v>
      </x:c>
      <x:c r="D1034" s="1" t="str">
        <x:v>NOT_AVAILABLE</x:v>
      </x:c>
      <x:c r="E1034" s="5"/>
      <x:c r="F1034" s="4" t="n">
        <x:v>0</x:v>
      </x:c>
      <x:c r="G1034" s="4" t="n">
        <x:v>33956</x:v>
      </x:c>
      <x:c r="H1034" s="6" t="n">
        <x:v>1021.25</x:v>
      </x:c>
      <x:c r="I1034" s="16" t="n">
        <x:v>1</x:v>
      </x:c>
      <x:c r="J1034"/>
      <x:c r="K1034" s="4"/>
      <x:c r="L1034" s="4"/>
      <x:c r="M1034" s="4"/>
      <x:c r="N1034" s="5"/>
    </x:row>
    <x:row r="1035" ht="24" customHeight="1">
      <x:c r="A1035" s="1" t="str">
        <x:v>RESULT</x:v>
      </x:c>
      <x:c r="B1035" s="1" t="str">
        <x:v>Round2</x:v>
      </x:c>
      <x:c r="C1035" s="1" t="str">
        <x:v>Closure_43</x:v>
      </x:c>
      <x:c r="D1035" s="1" t="str">
        <x:v>NOT_AVAILABLE</x:v>
      </x:c>
      <x:c r="E1035" s="5"/>
      <x:c r="F1035" s="4" t="n">
        <x:v>0</x:v>
      </x:c>
      <x:c r="G1035" s="4" t="n">
        <x:v>44781</x:v>
      </x:c>
      <x:c r="H1035" s="6" t="n">
        <x:v>370.54</x:v>
      </x:c>
      <x:c r="I1035" s="16" t="n">
        <x:v>1</x:v>
      </x:c>
      <x:c r="J1035"/>
      <x:c r="K1035" s="4"/>
      <x:c r="L1035" s="4"/>
      <x:c r="M1035" s="4"/>
      <x:c r="N1035" s="5"/>
    </x:row>
    <x:row r="1036" ht="24" customHeight="1">
      <x:c r="A1036" s="1" t="str">
        <x:v>RESULT</x:v>
      </x:c>
      <x:c r="B1036" s="1" t="str">
        <x:v>Round2</x:v>
      </x:c>
      <x:c r="C1036" s="1" t="str">
        <x:v>Closure_44</x:v>
      </x:c>
      <x:c r="D1036" s="1" t="str">
        <x:v>INCONCLUSIVE</x:v>
      </x:c>
      <x:c r="E1036" s="5" t="n">
        <x:v>0.8349</x:v>
      </x:c>
      <x:c r="F1036" s="4" t="n">
        <x:v>0</x:v>
      </x:c>
      <x:c r="G1036" s="4"/>
      <x:c r="H1036" s="6"/>
      <x:c r="I1036" s="16" t="n">
        <x:v>1</x:v>
      </x:c>
      <x:c r="J1036" t="n">
        <x:v>109</x:v>
      </x:c>
      <x:c r="K1036" s="4" t="n">
        <x:v>91</x:v>
      </x:c>
      <x:c r="L1036" s="4" t="n">
        <x:v>60</x:v>
      </x:c>
      <x:c r="M1036" s="4" t="n">
        <x:v>53</x:v>
      </x:c>
      <x:c r="N1036" s="5" t="n">
        <x:v>0.8833</x:v>
      </x:c>
    </x:row>
    <x:row r="1037" ht="24" customHeight="1">
      <x:c r="A1037" s="1" t="str">
        <x:v>RESULT</x:v>
      </x:c>
      <x:c r="B1037" s="1" t="str">
        <x:v>Round2</x:v>
      </x:c>
      <x:c r="C1037" s="1" t="str">
        <x:v>Closure_45</x:v>
      </x:c>
      <x:c r="D1037" s="1" t="str">
        <x:v>NOT_AVAILABLE</x:v>
      </x:c>
      <x:c r="E1037" s="5"/>
      <x:c r="F1037" s="4" t="n">
        <x:v>0</x:v>
      </x:c>
      <x:c r="G1037" s="4" t="n">
        <x:v>26183</x:v>
      </x:c>
      <x:c r="H1037" s="6" t="n">
        <x:v>916.52</x:v>
      </x:c>
      <x:c r="I1037" s="16" t="n">
        <x:v>1</x:v>
      </x:c>
      <x:c r="J1037"/>
      <x:c r="K1037" s="4"/>
      <x:c r="L1037" s="4"/>
      <x:c r="M1037" s="4"/>
      <x:c r="N1037" s="5"/>
    </x:row>
    <x:row r="1038" ht="24" customHeight="1">
      <x:c r="A1038" s="1" t="str">
        <x:v>RESULT</x:v>
      </x:c>
      <x:c r="B1038" s="1" t="str">
        <x:v>Round2</x:v>
      </x:c>
      <x:c r="C1038" s="1" t="str">
        <x:v>Closure_46</x:v>
      </x:c>
      <x:c r="D1038" s="1" t="str">
        <x:v>NOT_AVAILABLE</x:v>
      </x:c>
      <x:c r="E1038" s="5"/>
      <x:c r="F1038" s="4" t="n">
        <x:v>0</x:v>
      </x:c>
      <x:c r="G1038" s="4" t="n">
        <x:v>25595</x:v>
      </x:c>
      <x:c r="H1038" s="6" t="n">
        <x:v>984.74</x:v>
      </x:c>
      <x:c r="I1038" s="16" t="n">
        <x:v>1</x:v>
      </x:c>
      <x:c r="J1038"/>
      <x:c r="K1038" s="4"/>
      <x:c r="L1038" s="4"/>
      <x:c r="M1038" s="4"/>
      <x:c r="N1038" s="5"/>
    </x:row>
    <x:row r="1039" ht="24" customHeight="1">
      <x:c r="A1039" s="1" t="str">
        <x:v>RESULT</x:v>
      </x:c>
      <x:c r="B1039" s="1" t="str">
        <x:v>Round2</x:v>
      </x:c>
      <x:c r="C1039" s="1" t="str">
        <x:v>Closure_47</x:v>
      </x:c>
      <x:c r="D1039" s="1" t="str">
        <x:v>NOT_AVAILABLE</x:v>
      </x:c>
      <x:c r="E1039" s="5"/>
      <x:c r="F1039" s="4" t="n">
        <x:v>0</x:v>
      </x:c>
      <x:c r="G1039" s="4" t="n">
        <x:v>49791</x:v>
      </x:c>
      <x:c r="H1039" s="6" t="n">
        <x:v>1898.35</x:v>
      </x:c>
      <x:c r="I1039" s="16" t="n">
        <x:v>1</x:v>
      </x:c>
      <x:c r="J1039"/>
      <x:c r="K1039" s="4"/>
      <x:c r="L1039" s="4"/>
      <x:c r="M1039" s="4"/>
      <x:c r="N1039" s="5"/>
    </x:row>
    <x:row r="1040" ht="24" customHeight="1">
      <x:c r="A1040" s="1" t="str">
        <x:v>RESULT</x:v>
      </x:c>
      <x:c r="B1040" s="1" t="str">
        <x:v>Round2</x:v>
      </x:c>
      <x:c r="C1040" s="1" t="str">
        <x:v>Closure_48</x:v>
      </x:c>
      <x:c r="D1040" s="1" t="str">
        <x:v>INCONCLUSIVE</x:v>
      </x:c>
      <x:c r="E1040" s="5" t="n">
        <x:v>0.0641</x:v>
      </x:c>
      <x:c r="F1040" s="4" t="n">
        <x:v>0</x:v>
      </x:c>
      <x:c r="G1040" s="4" t="n">
        <x:v>32355</x:v>
      </x:c>
      <x:c r="H1040" s="6" t="n">
        <x:v>824.58</x:v>
      </x:c>
      <x:c r="I1040" s="16" t="n">
        <x:v>1</x:v>
      </x:c>
      <x:c r="J1040" t="n">
        <x:v>827</x:v>
      </x:c>
      <x:c r="K1040" s="4" t="n">
        <x:v>53</x:v>
      </x:c>
      <x:c r="L1040" s="4" t="n">
        <x:v>641</x:v>
      </x:c>
      <x:c r="M1040" s="4" t="n">
        <x:v>10</x:v>
      </x:c>
      <x:c r="N1040" s="5" t="n">
        <x:v>0.015600000000000001</x:v>
      </x:c>
    </x:row>
    <x:row r="1041" ht="24" customHeight="1">
      <x:c r="A1041" s="1" t="str">
        <x:v>RESULT</x:v>
      </x:c>
      <x:c r="B1041" s="1" t="str">
        <x:v>Round2</x:v>
      </x:c>
      <x:c r="C1041" s="1" t="str">
        <x:v>Closure_49</x:v>
      </x:c>
      <x:c r="D1041" s="1" t="str">
        <x:v>NOT_AVAILABLE</x:v>
      </x:c>
      <x:c r="E1041" s="5"/>
      <x:c r="F1041" s="4" t="n">
        <x:v>0</x:v>
      </x:c>
      <x:c r="G1041" s="4" t="n">
        <x:v>27664</x:v>
      </x:c>
      <x:c r="H1041" s="6" t="n">
        <x:v>1070.76</x:v>
      </x:c>
      <x:c r="I1041" s="16" t="n">
        <x:v>1</x:v>
      </x:c>
      <x:c r="J1041"/>
      <x:c r="K1041" s="4"/>
      <x:c r="L1041" s="4"/>
      <x:c r="M1041" s="4"/>
      <x:c r="N1041" s="5"/>
    </x:row>
    <x:row r="1042" ht="24" customHeight="1">
      <x:c r="A1042" s="1" t="str">
        <x:v>RESULT</x:v>
      </x:c>
      <x:c r="B1042" s="1" t="str">
        <x:v>Round2</x:v>
      </x:c>
      <x:c r="C1042" s="1" t="str">
        <x:v>Closure_5</x:v>
      </x:c>
      <x:c r="D1042" s="1" t="str">
        <x:v>INCONCLUSIVE</x:v>
      </x:c>
      <x:c r="E1042" s="5" t="n">
        <x:v>0.044199999999999996</x:v>
      </x:c>
      <x:c r="F1042" s="4" t="n">
        <x:v>0</x:v>
      </x:c>
      <x:c r="G1042" s="4" t="n">
        <x:v>26570</x:v>
      </x:c>
      <x:c r="H1042" s="6" t="n">
        <x:v>986.68</x:v>
      </x:c>
      <x:c r="I1042" s="16" t="n">
        <x:v>1</x:v>
      </x:c>
      <x:c r="J1042" t="n">
        <x:v>181</x:v>
      </x:c>
      <x:c r="K1042" s="4" t="n">
        <x:v>8</x:v>
      </x:c>
      <x:c r="L1042" s="4" t="n">
        <x:v>108</x:v>
      </x:c>
      <x:c r="M1042" s="4" t="n">
        <x:v>0</x:v>
      </x:c>
      <x:c r="N1042" s="5" t="n">
        <x:v>0</x:v>
      </x:c>
    </x:row>
    <x:row r="1043" ht="24" customHeight="1">
      <x:c r="A1043" s="1" t="str">
        <x:v>RESULT</x:v>
      </x:c>
      <x:c r="B1043" s="1" t="str">
        <x:v>Round2</x:v>
      </x:c>
      <x:c r="C1043" s="1" t="str">
        <x:v>Closure_50</x:v>
      </x:c>
      <x:c r="D1043" s="1" t="str">
        <x:v>INCONCLUSIVE</x:v>
      </x:c>
      <x:c r="E1043" s="5" t="n">
        <x:v>0.5227</x:v>
      </x:c>
      <x:c r="F1043" s="4" t="n">
        <x:v>0</x:v>
      </x:c>
      <x:c r="G1043" s="4"/>
      <x:c r="H1043" s="6"/>
      <x:c r="I1043" s="16" t="n">
        <x:v>1</x:v>
      </x:c>
      <x:c r="J1043" t="n">
        <x:v>308</x:v>
      </x:c>
      <x:c r="K1043" s="4" t="n">
        <x:v>161</x:v>
      </x:c>
      <x:c r="L1043" s="4" t="n">
        <x:v>245</x:v>
      </x:c>
      <x:c r="M1043" s="4" t="n">
        <x:v>102</x:v>
      </x:c>
      <x:c r="N1043" s="5" t="n">
        <x:v>0.4163</x:v>
      </x:c>
    </x:row>
    <x:row r="1044" ht="24" customHeight="1">
      <x:c r="A1044" s="1" t="str">
        <x:v>RESULT</x:v>
      </x:c>
      <x:c r="B1044" s="1" t="str">
        <x:v>Round2</x:v>
      </x:c>
      <x:c r="C1044" s="1" t="str">
        <x:v>Closure_51</x:v>
      </x:c>
      <x:c r="D1044" s="1" t="str">
        <x:v>INCONCLUSIVE</x:v>
      </x:c>
      <x:c r="E1044" s="5" t="n">
        <x:v>0.9444</x:v>
      </x:c>
      <x:c r="F1044" s="4" t="n">
        <x:v>0</x:v>
      </x:c>
      <x:c r="G1044" s="4" t="n">
        <x:v>5622</x:v>
      </x:c>
      <x:c r="H1044" s="6" t="n">
        <x:v>67.49</x:v>
      </x:c>
      <x:c r="I1044" s="16" t="n">
        <x:v>1</x:v>
      </x:c>
      <x:c r="J1044" t="n">
        <x:v>108</x:v>
      </x:c>
      <x:c r="K1044" s="4" t="n">
        <x:v>102</x:v>
      </x:c>
      <x:c r="L1044" s="4" t="n">
        <x:v>54</x:v>
      </x:c>
      <x:c r="M1044" s="4" t="n">
        <x:v>52</x:v>
      </x:c>
      <x:c r="N1044" s="5" t="n">
        <x:v>0.963</x:v>
      </x:c>
    </x:row>
    <x:row r="1045" ht="24" customHeight="1">
      <x:c r="A1045" s="1" t="str">
        <x:v>RESULT</x:v>
      </x:c>
      <x:c r="B1045" s="1" t="str">
        <x:v>Round2</x:v>
      </x:c>
      <x:c r="C1045" s="1" t="str">
        <x:v>Closure_52</x:v>
      </x:c>
      <x:c r="D1045" s="1" t="str">
        <x:v>NOT_AVAILABLE</x:v>
      </x:c>
      <x:c r="E1045" s="5"/>
      <x:c r="F1045" s="4" t="n">
        <x:v>0</x:v>
      </x:c>
      <x:c r="G1045" s="4" t="n">
        <x:v>34585</x:v>
      </x:c>
      <x:c r="H1045" s="6" t="n">
        <x:v>1057.91</x:v>
      </x:c>
      <x:c r="I1045" s="16" t="n">
        <x:v>1</x:v>
      </x:c>
      <x:c r="J1045"/>
      <x:c r="K1045" s="4"/>
      <x:c r="L1045" s="4"/>
      <x:c r="M1045" s="4"/>
      <x:c r="N1045" s="5"/>
    </x:row>
    <x:row r="1046" ht="24" customHeight="1">
      <x:c r="A1046" s="1" t="str">
        <x:v>RESULT</x:v>
      </x:c>
      <x:c r="B1046" s="1" t="str">
        <x:v>Round2</x:v>
      </x:c>
      <x:c r="C1046" s="1" t="str">
        <x:v>Closure_53</x:v>
      </x:c>
      <x:c r="D1046" s="1" t="str">
        <x:v>NOT_AVAILABLE</x:v>
      </x:c>
      <x:c r="E1046" s="5"/>
      <x:c r="F1046" s="4" t="n">
        <x:v>0</x:v>
      </x:c>
      <x:c r="G1046" s="4" t="n">
        <x:v>8653</x:v>
      </x:c>
      <x:c r="H1046" s="6" t="n">
        <x:v>152.34</x:v>
      </x:c>
      <x:c r="I1046" s="16" t="n">
        <x:v>1</x:v>
      </x:c>
      <x:c r="J1046"/>
      <x:c r="K1046" s="4"/>
      <x:c r="L1046" s="4"/>
      <x:c r="M1046" s="4"/>
      <x:c r="N1046" s="5"/>
    </x:row>
    <x:row r="1047" ht="24" customHeight="1">
      <x:c r="A1047" s="1" t="str">
        <x:v>RESULT</x:v>
      </x:c>
      <x:c r="B1047" s="1" t="str">
        <x:v>Round2</x:v>
      </x:c>
      <x:c r="C1047" s="1" t="str">
        <x:v>Closure_54</x:v>
      </x:c>
      <x:c r="D1047" s="1" t="str">
        <x:v>NOT_AVAILABLE</x:v>
      </x:c>
      <x:c r="E1047" s="5"/>
      <x:c r="F1047" s="4" t="n">
        <x:v>0</x:v>
      </x:c>
      <x:c r="G1047" s="4" t="n">
        <x:v>29151</x:v>
      </x:c>
      <x:c r="H1047" s="6" t="n">
        <x:v>112.84</x:v>
      </x:c>
      <x:c r="I1047" s="16" t="n">
        <x:v>1</x:v>
      </x:c>
      <x:c r="J1047"/>
      <x:c r="K1047" s="4"/>
      <x:c r="L1047" s="4"/>
      <x:c r="M1047" s="4"/>
      <x:c r="N1047" s="5"/>
    </x:row>
    <x:row r="1048" ht="24" customHeight="1">
      <x:c r="A1048" s="1" t="str">
        <x:v>RESULT</x:v>
      </x:c>
      <x:c r="B1048" s="1" t="str">
        <x:v>Round2</x:v>
      </x:c>
      <x:c r="C1048" s="1" t="str">
        <x:v>Closure_55</x:v>
      </x:c>
      <x:c r="D1048" s="1" t="str">
        <x:v>NOT_AVAILABLE</x:v>
      </x:c>
      <x:c r="E1048" s="5"/>
      <x:c r="F1048" s="4" t="n">
        <x:v>0</x:v>
      </x:c>
      <x:c r="G1048" s="4" t="n">
        <x:v>23678</x:v>
      </x:c>
      <x:c r="H1048" s="6" t="n">
        <x:v>246.9</x:v>
      </x:c>
      <x:c r="I1048" s="16" t="n">
        <x:v>1</x:v>
      </x:c>
      <x:c r="J1048"/>
      <x:c r="K1048" s="4"/>
      <x:c r="L1048" s="4"/>
      <x:c r="M1048" s="4"/>
      <x:c r="N1048" s="5"/>
    </x:row>
    <x:row r="1049" ht="24" customHeight="1">
      <x:c r="A1049" s="1" t="str">
        <x:v>RESULT</x:v>
      </x:c>
      <x:c r="B1049" s="1" t="str">
        <x:v>Round2</x:v>
      </x:c>
      <x:c r="C1049" s="1" t="str">
        <x:v>Closure_56</x:v>
      </x:c>
      <x:c r="D1049" s="1" t="str">
        <x:v>NOT_AVAILABLE</x:v>
      </x:c>
      <x:c r="E1049" s="5"/>
      <x:c r="F1049" s="4" t="n">
        <x:v>0</x:v>
      </x:c>
      <x:c r="G1049" s="4" t="n">
        <x:v>15238</x:v>
      </x:c>
      <x:c r="H1049" s="6" t="n">
        <x:v>136.27</x:v>
      </x:c>
      <x:c r="I1049" s="16" t="n">
        <x:v>1</x:v>
      </x:c>
      <x:c r="J1049"/>
      <x:c r="K1049" s="4"/>
      <x:c r="L1049" s="4"/>
      <x:c r="M1049" s="4"/>
      <x:c r="N1049" s="5"/>
    </x:row>
    <x:row r="1050" ht="24" customHeight="1">
      <x:c r="A1050" s="1" t="str">
        <x:v>RESULT</x:v>
      </x:c>
      <x:c r="B1050" s="1" t="str">
        <x:v>Round2</x:v>
      </x:c>
      <x:c r="C1050" s="1" t="str">
        <x:v>Closure_57</x:v>
      </x:c>
      <x:c r="D1050" s="1" t="str">
        <x:v>NOT_AVAILABLE</x:v>
      </x:c>
      <x:c r="E1050" s="5"/>
      <x:c r="F1050" s="4" t="n">
        <x:v>0</x:v>
      </x:c>
      <x:c r="G1050" s="4" t="n">
        <x:v>33195</x:v>
      </x:c>
      <x:c r="H1050" s="6" t="n">
        <x:v>1332.04</x:v>
      </x:c>
      <x:c r="I1050" s="16" t="n">
        <x:v>1</x:v>
      </x:c>
      <x:c r="J1050"/>
      <x:c r="K1050" s="4"/>
      <x:c r="L1050" s="4"/>
      <x:c r="M1050" s="4"/>
      <x:c r="N1050" s="5"/>
    </x:row>
    <x:row r="1051" ht="24" customHeight="1">
      <x:c r="A1051" s="1" t="str">
        <x:v>RESULT</x:v>
      </x:c>
      <x:c r="B1051" s="1" t="str">
        <x:v>Round2</x:v>
      </x:c>
      <x:c r="C1051" s="1" t="str">
        <x:v>Closure_58</x:v>
      </x:c>
      <x:c r="D1051" s="1" t="str">
        <x:v>NOT_AVAILABLE</x:v>
      </x:c>
      <x:c r="E1051" s="5"/>
      <x:c r="F1051" s="4" t="n">
        <x:v>0</x:v>
      </x:c>
      <x:c r="G1051" s="4" t="n">
        <x:v>26831</x:v>
      </x:c>
      <x:c r="H1051" s="6" t="n">
        <x:v>1146.82</x:v>
      </x:c>
      <x:c r="I1051" s="16" t="n">
        <x:v>1</x:v>
      </x:c>
      <x:c r="J1051"/>
      <x:c r="K1051" s="4"/>
      <x:c r="L1051" s="4"/>
      <x:c r="M1051" s="4"/>
      <x:c r="N1051" s="5"/>
    </x:row>
    <x:row r="1052" ht="24" customHeight="1">
      <x:c r="A1052" s="1" t="str">
        <x:v>RESULT</x:v>
      </x:c>
      <x:c r="B1052" s="1" t="str">
        <x:v>Round2</x:v>
      </x:c>
      <x:c r="C1052" s="1" t="str">
        <x:v>Closure_59</x:v>
      </x:c>
      <x:c r="D1052" s="1" t="str">
        <x:v>NOT_AVAILABLE</x:v>
      </x:c>
      <x:c r="E1052" s="5"/>
      <x:c r="F1052" s="4" t="n">
        <x:v>0</x:v>
      </x:c>
      <x:c r="G1052" s="4" t="n">
        <x:v>15681</x:v>
      </x:c>
      <x:c r="H1052" s="6" t="n">
        <x:v>28.63</x:v>
      </x:c>
      <x:c r="I1052" s="16" t="n">
        <x:v>1</x:v>
      </x:c>
      <x:c r="J1052"/>
      <x:c r="K1052" s="4"/>
      <x:c r="L1052" s="4"/>
      <x:c r="M1052" s="4"/>
      <x:c r="N1052" s="5"/>
    </x:row>
    <x:row r="1053" ht="24" customHeight="1">
      <x:c r="A1053" s="1" t="str">
        <x:v>RESULT</x:v>
      </x:c>
      <x:c r="B1053" s="1" t="str">
        <x:v>Round2</x:v>
      </x:c>
      <x:c r="C1053" s="1" t="str">
        <x:v>Closure_6</x:v>
      </x:c>
      <x:c r="D1053" s="1" t="str">
        <x:v>NOT_AVAILABLE</x:v>
      </x:c>
      <x:c r="E1053" s="5"/>
      <x:c r="F1053" s="4" t="n">
        <x:v>0</x:v>
      </x:c>
      <x:c r="G1053" s="4" t="n">
        <x:v>28856</x:v>
      </x:c>
      <x:c r="H1053" s="6" t="n">
        <x:v>1121.79</x:v>
      </x:c>
      <x:c r="I1053" s="16" t="n">
        <x:v>1</x:v>
      </x:c>
      <x:c r="J1053"/>
      <x:c r="K1053" s="4"/>
      <x:c r="L1053" s="4"/>
      <x:c r="M1053" s="4"/>
      <x:c r="N1053" s="5"/>
    </x:row>
    <x:row r="1054" ht="24" customHeight="1">
      <x:c r="A1054" s="1" t="str">
        <x:v>RESULT</x:v>
      </x:c>
      <x:c r="B1054" s="1" t="str">
        <x:v>Round2</x:v>
      </x:c>
      <x:c r="C1054" s="1" t="str">
        <x:v>Closure_60</x:v>
      </x:c>
      <x:c r="D1054" s="1" t="str">
        <x:v>NOT_AVAILABLE</x:v>
      </x:c>
      <x:c r="E1054" s="5"/>
      <x:c r="F1054" s="4" t="n">
        <x:v>0</x:v>
      </x:c>
      <x:c r="G1054" s="4" t="n">
        <x:v>35837</x:v>
      </x:c>
      <x:c r="H1054" s="6" t="n">
        <x:v>143.43</x:v>
      </x:c>
      <x:c r="I1054" s="16" t="n">
        <x:v>1</x:v>
      </x:c>
      <x:c r="J1054"/>
      <x:c r="K1054" s="4"/>
      <x:c r="L1054" s="4"/>
      <x:c r="M1054" s="4"/>
      <x:c r="N1054" s="5"/>
    </x:row>
    <x:row r="1055" ht="24" customHeight="1">
      <x:c r="A1055" s="1" t="str">
        <x:v>RESULT</x:v>
      </x:c>
      <x:c r="B1055" s="1" t="str">
        <x:v>Round2</x:v>
      </x:c>
      <x:c r="C1055" s="1" t="str">
        <x:v>Closure_61</x:v>
      </x:c>
      <x:c r="D1055" s="1" t="str">
        <x:v>NOT_AVAILABLE</x:v>
      </x:c>
      <x:c r="E1055" s="5"/>
      <x:c r="F1055" s="4" t="n">
        <x:v>0</x:v>
      </x:c>
      <x:c r="G1055" s="4" t="n">
        <x:v>35432</x:v>
      </x:c>
      <x:c r="H1055" s="6" t="n">
        <x:v>200.25</x:v>
      </x:c>
      <x:c r="I1055" s="16" t="n">
        <x:v>1</x:v>
      </x:c>
      <x:c r="J1055"/>
      <x:c r="K1055" s="4"/>
      <x:c r="L1055" s="4"/>
      <x:c r="M1055" s="4"/>
      <x:c r="N1055" s="5"/>
    </x:row>
    <x:row r="1056" ht="24" customHeight="1">
      <x:c r="A1056" s="1" t="str">
        <x:v>RESULT</x:v>
      </x:c>
      <x:c r="B1056" s="1" t="str">
        <x:v>Round2</x:v>
      </x:c>
      <x:c r="C1056" s="1" t="str">
        <x:v>Closure_62</x:v>
      </x:c>
      <x:c r="D1056" s="1" t="str">
        <x:v>NOT_AVAILABLE</x:v>
      </x:c>
      <x:c r="E1056" s="5"/>
      <x:c r="F1056" s="4" t="n">
        <x:v>0</x:v>
      </x:c>
      <x:c r="G1056" s="4" t="n">
        <x:v>5185</x:v>
      </x:c>
      <x:c r="H1056" s="6" t="n">
        <x:v>29.35</x:v>
      </x:c>
      <x:c r="I1056" s="16" t="n">
        <x:v>1</x:v>
      </x:c>
      <x:c r="J1056"/>
      <x:c r="K1056" s="4"/>
      <x:c r="L1056" s="4"/>
      <x:c r="M1056" s="4"/>
      <x:c r="N1056" s="5"/>
    </x:row>
    <x:row r="1057" ht="24" customHeight="1">
      <x:c r="A1057" s="1" t="str">
        <x:v>RESULT</x:v>
      </x:c>
      <x:c r="B1057" s="1" t="str">
        <x:v>Round2</x:v>
      </x:c>
      <x:c r="C1057" s="1" t="str">
        <x:v>Closure_64</x:v>
      </x:c>
      <x:c r="D1057" s="1" t="str">
        <x:v>NOT_AVAILABLE</x:v>
      </x:c>
      <x:c r="E1057" s="5"/>
      <x:c r="F1057" s="4" t="n">
        <x:v>0</x:v>
      </x:c>
      <x:c r="G1057" s="4" t="n">
        <x:v>16849</x:v>
      </x:c>
      <x:c r="H1057" s="6" t="n">
        <x:v>42.63</x:v>
      </x:c>
      <x:c r="I1057" s="16" t="n">
        <x:v>1</x:v>
      </x:c>
      <x:c r="J1057"/>
      <x:c r="K1057" s="4"/>
      <x:c r="L1057" s="4"/>
      <x:c r="M1057" s="4"/>
      <x:c r="N1057" s="5"/>
    </x:row>
    <x:row r="1058" ht="24" customHeight="1">
      <x:c r="A1058" s="1" t="str">
        <x:v>RESULT</x:v>
      </x:c>
      <x:c r="B1058" s="1" t="str">
        <x:v>Round2</x:v>
      </x:c>
      <x:c r="C1058" s="1" t="str">
        <x:v>Closure_65</x:v>
      </x:c>
      <x:c r="D1058" s="1" t="str">
        <x:v>NOT_AVAILABLE</x:v>
      </x:c>
      <x:c r="E1058" s="5"/>
      <x:c r="F1058" s="4" t="n">
        <x:v>0</x:v>
      </x:c>
      <x:c r="G1058" s="4" t="n">
        <x:v>12777</x:v>
      </x:c>
      <x:c r="H1058" s="6" t="n">
        <x:v>35.42</x:v>
      </x:c>
      <x:c r="I1058" s="16" t="n">
        <x:v>1</x:v>
      </x:c>
      <x:c r="J1058"/>
      <x:c r="K1058" s="4"/>
      <x:c r="L1058" s="4"/>
      <x:c r="M1058" s="4"/>
      <x:c r="N1058" s="5"/>
    </x:row>
    <x:row r="1059" ht="24" customHeight="1">
      <x:c r="A1059" s="1" t="str">
        <x:v>RESULT</x:v>
      </x:c>
      <x:c r="B1059" s="1" t="str">
        <x:v>Round2</x:v>
      </x:c>
      <x:c r="C1059" s="1" t="str">
        <x:v>Closure_66</x:v>
      </x:c>
      <x:c r="D1059" s="1" t="str">
        <x:v>NOT_AVAILABLE</x:v>
      </x:c>
      <x:c r="E1059" s="5"/>
      <x:c r="F1059" s="4" t="n">
        <x:v>0</x:v>
      </x:c>
      <x:c r="G1059" s="4" t="n">
        <x:v>19998</x:v>
      </x:c>
      <x:c r="H1059" s="6" t="n">
        <x:v>59.08</x:v>
      </x:c>
      <x:c r="I1059" s="16" t="n">
        <x:v>1</x:v>
      </x:c>
      <x:c r="J1059"/>
      <x:c r="K1059" s="4"/>
      <x:c r="L1059" s="4"/>
      <x:c r="M1059" s="4"/>
      <x:c r="N1059" s="5"/>
    </x:row>
    <x:row r="1060" ht="24" customHeight="1">
      <x:c r="A1060" s="1" t="str">
        <x:v>RESULT</x:v>
      </x:c>
      <x:c r="B1060" s="1" t="str">
        <x:v>Round2</x:v>
      </x:c>
      <x:c r="C1060" s="1" t="str">
        <x:v>Closure_67</x:v>
      </x:c>
      <x:c r="D1060" s="1" t="str">
        <x:v>NOT_AVAILABLE</x:v>
      </x:c>
      <x:c r="E1060" s="5"/>
      <x:c r="F1060" s="4" t="n">
        <x:v>0</x:v>
      </x:c>
      <x:c r="G1060" s="4" t="n">
        <x:v>8410</x:v>
      </x:c>
      <x:c r="H1060" s="6" t="n">
        <x:v>17.5</x:v>
      </x:c>
      <x:c r="I1060" s="16" t="n">
        <x:v>1</x:v>
      </x:c>
      <x:c r="J1060"/>
      <x:c r="K1060" s="4"/>
      <x:c r="L1060" s="4"/>
      <x:c r="M1060" s="4"/>
      <x:c r="N1060" s="5"/>
    </x:row>
    <x:row r="1061" ht="24" customHeight="1">
      <x:c r="A1061" s="1" t="str">
        <x:v>RESULT</x:v>
      </x:c>
      <x:c r="B1061" s="1" t="str">
        <x:v>Round2</x:v>
      </x:c>
      <x:c r="C1061" s="1" t="str">
        <x:v>Closure_68</x:v>
      </x:c>
      <x:c r="D1061" s="1" t="str">
        <x:v>NOT_AVAILABLE</x:v>
      </x:c>
      <x:c r="E1061" s="5"/>
      <x:c r="F1061" s="4" t="n">
        <x:v>0</x:v>
      </x:c>
      <x:c r="G1061" s="4" t="n">
        <x:v>23236</x:v>
      </x:c>
      <x:c r="H1061" s="6" t="n">
        <x:v>100.83</x:v>
      </x:c>
      <x:c r="I1061" s="16" t="n">
        <x:v>1</x:v>
      </x:c>
      <x:c r="J1061"/>
      <x:c r="K1061" s="4"/>
      <x:c r="L1061" s="4"/>
      <x:c r="M1061" s="4"/>
      <x:c r="N1061" s="5"/>
    </x:row>
    <x:row r="1062" ht="24" customHeight="1">
      <x:c r="A1062" s="1" t="str">
        <x:v>RESULT</x:v>
      </x:c>
      <x:c r="B1062" s="1" t="str">
        <x:v>Round2</x:v>
      </x:c>
      <x:c r="C1062" s="1" t="str">
        <x:v>Closure_69</x:v>
      </x:c>
      <x:c r="D1062" s="1" t="str">
        <x:v>NOT_AVAILABLE</x:v>
      </x:c>
      <x:c r="E1062" s="5"/>
      <x:c r="F1062" s="4" t="n">
        <x:v>0</x:v>
      </x:c>
      <x:c r="G1062" s="4" t="n">
        <x:v>17030</x:v>
      </x:c>
      <x:c r="H1062" s="6" t="n">
        <x:v>28.73</x:v>
      </x:c>
      <x:c r="I1062" s="16" t="n">
        <x:v>1</x:v>
      </x:c>
      <x:c r="J1062"/>
      <x:c r="K1062" s="4"/>
      <x:c r="L1062" s="4"/>
      <x:c r="M1062" s="4"/>
      <x:c r="N1062" s="5"/>
    </x:row>
    <x:row r="1063" ht="24" customHeight="1">
      <x:c r="A1063" s="1" t="str">
        <x:v>RESULT</x:v>
      </x:c>
      <x:c r="B1063" s="1" t="str">
        <x:v>Round2</x:v>
      </x:c>
      <x:c r="C1063" s="1" t="str">
        <x:v>Closure_7</x:v>
      </x:c>
      <x:c r="D1063" s="1" t="str">
        <x:v>NOT_AVAILABLE</x:v>
      </x:c>
      <x:c r="E1063" s="5"/>
      <x:c r="F1063" s="4" t="n">
        <x:v>0</x:v>
      </x:c>
      <x:c r="G1063" s="4" t="n">
        <x:v>11888</x:v>
      </x:c>
      <x:c r="H1063" s="6" t="n">
        <x:v>38.87</x:v>
      </x:c>
      <x:c r="I1063" s="16" t="n">
        <x:v>1</x:v>
      </x:c>
      <x:c r="J1063"/>
      <x:c r="K1063" s="4"/>
      <x:c r="L1063" s="4"/>
      <x:c r="M1063" s="4"/>
      <x:c r="N1063" s="5"/>
    </x:row>
    <x:row r="1064" ht="24" customHeight="1">
      <x:c r="A1064" s="1" t="str">
        <x:v>RESULT</x:v>
      </x:c>
      <x:c r="B1064" s="1" t="str">
        <x:v>Round2</x:v>
      </x:c>
      <x:c r="C1064" s="1" t="str">
        <x:v>Closure_70</x:v>
      </x:c>
      <x:c r="D1064" s="1" t="str">
        <x:v>NOT_AVAILABLE</x:v>
      </x:c>
      <x:c r="E1064" s="5"/>
      <x:c r="F1064" s="4" t="n">
        <x:v>0</x:v>
      </x:c>
      <x:c r="G1064" s="4" t="n">
        <x:v>16946</x:v>
      </x:c>
      <x:c r="H1064" s="6" t="n">
        <x:v>26.08</x:v>
      </x:c>
      <x:c r="I1064" s="16" t="n">
        <x:v>1</x:v>
      </x:c>
      <x:c r="J1064"/>
      <x:c r="K1064" s="4"/>
      <x:c r="L1064" s="4"/>
      <x:c r="M1064" s="4"/>
      <x:c r="N1064" s="5"/>
    </x:row>
    <x:row r="1065" ht="24" customHeight="1">
      <x:c r="A1065" s="1" t="str">
        <x:v>RESULT</x:v>
      </x:c>
      <x:c r="B1065" s="1" t="str">
        <x:v>Round2</x:v>
      </x:c>
      <x:c r="C1065" s="1" t="str">
        <x:v>Closure_71</x:v>
      </x:c>
      <x:c r="D1065" s="1" t="str">
        <x:v>NOT_AVAILABLE</x:v>
      </x:c>
      <x:c r="E1065" s="5"/>
      <x:c r="F1065" s="4" t="n">
        <x:v>0</x:v>
      </x:c>
      <x:c r="G1065" s="4" t="n">
        <x:v>10739</x:v>
      </x:c>
      <x:c r="H1065" s="6" t="n">
        <x:v>43.29</x:v>
      </x:c>
      <x:c r="I1065" s="16" t="n">
        <x:v>1</x:v>
      </x:c>
      <x:c r="J1065"/>
      <x:c r="K1065" s="4"/>
      <x:c r="L1065" s="4"/>
      <x:c r="M1065" s="4"/>
      <x:c r="N1065" s="5"/>
    </x:row>
    <x:row r="1066" ht="24" customHeight="1">
      <x:c r="A1066" s="1" t="str">
        <x:v>RESULT</x:v>
      </x:c>
      <x:c r="B1066" s="1" t="str">
        <x:v>Round2</x:v>
      </x:c>
      <x:c r="C1066" s="1" t="str">
        <x:v>Closure_72</x:v>
      </x:c>
      <x:c r="D1066" s="1" t="str">
        <x:v>NOT_AVAILABLE</x:v>
      </x:c>
      <x:c r="E1066" s="5"/>
      <x:c r="F1066" s="4" t="n">
        <x:v>0</x:v>
      </x:c>
      <x:c r="G1066" s="4" t="n">
        <x:v>12859</x:v>
      </x:c>
      <x:c r="H1066" s="6" t="n">
        <x:v>41.67</x:v>
      </x:c>
      <x:c r="I1066" s="16" t="n">
        <x:v>1</x:v>
      </x:c>
      <x:c r="J1066"/>
      <x:c r="K1066" s="4"/>
      <x:c r="L1066" s="4"/>
      <x:c r="M1066" s="4"/>
      <x:c r="N1066" s="5"/>
    </x:row>
    <x:row r="1067" ht="24" customHeight="1">
      <x:c r="A1067" s="1" t="str">
        <x:v>RESULT</x:v>
      </x:c>
      <x:c r="B1067" s="1" t="str">
        <x:v>Round2</x:v>
      </x:c>
      <x:c r="C1067" s="1" t="str">
        <x:v>Closure_73</x:v>
      </x:c>
      <x:c r="D1067" s="1" t="str">
        <x:v>NOT_AVAILABLE</x:v>
      </x:c>
      <x:c r="E1067" s="5"/>
      <x:c r="F1067" s="4" t="n">
        <x:v>0</x:v>
      </x:c>
      <x:c r="G1067" s="4" t="n">
        <x:v>13461</x:v>
      </x:c>
      <x:c r="H1067" s="6" t="n">
        <x:v>44.68</x:v>
      </x:c>
      <x:c r="I1067" s="16" t="n">
        <x:v>1</x:v>
      </x:c>
      <x:c r="J1067"/>
      <x:c r="K1067" s="4"/>
      <x:c r="L1067" s="4"/>
      <x:c r="M1067" s="4"/>
      <x:c r="N1067" s="5"/>
    </x:row>
    <x:row r="1068" ht="24" customHeight="1">
      <x:c r="A1068" s="1" t="str">
        <x:v>RESULT</x:v>
      </x:c>
      <x:c r="B1068" s="1" t="str">
        <x:v>Round2</x:v>
      </x:c>
      <x:c r="C1068" s="1" t="str">
        <x:v>Closure_74</x:v>
      </x:c>
      <x:c r="D1068" s="1" t="str">
        <x:v>INCONCLUSIVE</x:v>
      </x:c>
      <x:c r="E1068" s="5" t="n">
        <x:v>0.5575</x:v>
      </x:c>
      <x:c r="F1068" s="4" t="n">
        <x:v>0</x:v>
      </x:c>
      <x:c r="G1068" s="4" t="n">
        <x:v>20375</x:v>
      </x:c>
      <x:c r="H1068" s="6" t="n">
        <x:v>82</x:v>
      </x:c>
      <x:c r="I1068" s="16" t="n">
        <x:v>1</x:v>
      </x:c>
      <x:c r="J1068" t="n">
        <x:v>800</x:v>
      </x:c>
      <x:c r="K1068" s="4" t="n">
        <x:v>446</x:v>
      </x:c>
      <x:c r="L1068" s="4" t="n">
        <x:v>619</x:v>
      </x:c>
      <x:c r="M1068" s="4" t="n">
        <x:v>269</x:v>
      </x:c>
      <x:c r="N1068" s="5" t="n">
        <x:v>0.4346</x:v>
      </x:c>
    </x:row>
    <x:row r="1069" ht="24" customHeight="1">
      <x:c r="A1069" s="1" t="str">
        <x:v>RESULT</x:v>
      </x:c>
      <x:c r="B1069" s="1" t="str">
        <x:v>Round2</x:v>
      </x:c>
      <x:c r="C1069" s="1" t="str">
        <x:v>Closure_75</x:v>
      </x:c>
      <x:c r="D1069" s="1" t="str">
        <x:v>NOT_AVAILABLE</x:v>
      </x:c>
      <x:c r="E1069" s="5"/>
      <x:c r="F1069" s="4" t="n">
        <x:v>0</x:v>
      </x:c>
      <x:c r="G1069" s="4" t="n">
        <x:v>36715</x:v>
      </x:c>
      <x:c r="H1069" s="6" t="n">
        <x:v>171.11</x:v>
      </x:c>
      <x:c r="I1069" s="16" t="n">
        <x:v>1</x:v>
      </x:c>
      <x:c r="J1069"/>
      <x:c r="K1069" s="4"/>
      <x:c r="L1069" s="4"/>
      <x:c r="M1069" s="4"/>
      <x:c r="N1069" s="5"/>
    </x:row>
    <x:row r="1070" ht="24" customHeight="1">
      <x:c r="A1070" s="1" t="str">
        <x:v>RESULT</x:v>
      </x:c>
      <x:c r="B1070" s="1" t="str">
        <x:v>Round2</x:v>
      </x:c>
      <x:c r="C1070" s="1" t="str">
        <x:v>Closure_76</x:v>
      </x:c>
      <x:c r="D1070" s="1" t="str">
        <x:v>NOT_AVAILABLE</x:v>
      </x:c>
      <x:c r="E1070" s="5"/>
      <x:c r="F1070" s="4" t="n">
        <x:v>0</x:v>
      </x:c>
      <x:c r="G1070" s="4" t="n">
        <x:v>6221</x:v>
      </x:c>
      <x:c r="H1070" s="6" t="n">
        <x:v>13.41</x:v>
      </x:c>
      <x:c r="I1070" s="16" t="n">
        <x:v>1</x:v>
      </x:c>
      <x:c r="J1070"/>
      <x:c r="K1070" s="4"/>
      <x:c r="L1070" s="4"/>
      <x:c r="M1070" s="4"/>
      <x:c r="N1070" s="5"/>
    </x:row>
    <x:row r="1071" ht="24" customHeight="1">
      <x:c r="A1071" s="1" t="str">
        <x:v>RESULT</x:v>
      </x:c>
      <x:c r="B1071" s="1" t="str">
        <x:v>Round2</x:v>
      </x:c>
      <x:c r="C1071" s="1" t="str">
        <x:v>Closure_77</x:v>
      </x:c>
      <x:c r="D1071" s="1" t="str">
        <x:v>NOT_AVAILABLE</x:v>
      </x:c>
      <x:c r="E1071" s="5"/>
      <x:c r="F1071" s="4" t="n">
        <x:v>0</x:v>
      </x:c>
      <x:c r="G1071" s="4" t="n">
        <x:v>16342</x:v>
      </x:c>
      <x:c r="H1071" s="6" t="n">
        <x:v>86.02</x:v>
      </x:c>
      <x:c r="I1071" s="16" t="n">
        <x:v>1</x:v>
      </x:c>
      <x:c r="J1071"/>
      <x:c r="K1071" s="4"/>
      <x:c r="L1071" s="4"/>
      <x:c r="M1071" s="4"/>
      <x:c r="N1071" s="5"/>
    </x:row>
    <x:row r="1072" ht="24" customHeight="1">
      <x:c r="A1072" s="1" t="str">
        <x:v>RESULT</x:v>
      </x:c>
      <x:c r="B1072" s="1" t="str">
        <x:v>Round2</x:v>
      </x:c>
      <x:c r="C1072" s="1" t="str">
        <x:v>Closure_78</x:v>
      </x:c>
      <x:c r="D1072" s="1" t="str">
        <x:v>NOT_AVAILABLE</x:v>
      </x:c>
      <x:c r="E1072" s="5"/>
      <x:c r="F1072" s="4" t="n">
        <x:v>0</x:v>
      </x:c>
      <x:c r="G1072" s="4" t="n">
        <x:v>14912</x:v>
      </x:c>
      <x:c r="H1072" s="6" t="n">
        <x:v>35.43</x:v>
      </x:c>
      <x:c r="I1072" s="16" t="n">
        <x:v>1</x:v>
      </x:c>
      <x:c r="J1072"/>
      <x:c r="K1072" s="4"/>
      <x:c r="L1072" s="4"/>
      <x:c r="M1072" s="4"/>
      <x:c r="N1072" s="5"/>
    </x:row>
    <x:row r="1073" ht="24" customHeight="1">
      <x:c r="A1073" s="1" t="str">
        <x:v>RESULT</x:v>
      </x:c>
      <x:c r="B1073" s="1" t="str">
        <x:v>Round2</x:v>
      </x:c>
      <x:c r="C1073" s="1" t="str">
        <x:v>Closure_79</x:v>
      </x:c>
      <x:c r="D1073" s="1" t="str">
        <x:v>NOT_AVAILABLE</x:v>
      </x:c>
      <x:c r="E1073" s="5"/>
      <x:c r="F1073" s="4" t="n">
        <x:v>0</x:v>
      </x:c>
      <x:c r="G1073" s="4" t="n">
        <x:v>14674</x:v>
      </x:c>
      <x:c r="H1073" s="6" t="n">
        <x:v>52.56</x:v>
      </x:c>
      <x:c r="I1073" s="16" t="n">
        <x:v>1</x:v>
      </x:c>
      <x:c r="J1073"/>
      <x:c r="K1073" s="4"/>
      <x:c r="L1073" s="4"/>
      <x:c r="M1073" s="4"/>
      <x:c r="N1073" s="5"/>
    </x:row>
    <x:row r="1074" ht="24" customHeight="1">
      <x:c r="A1074" s="1" t="str">
        <x:v>RESULT</x:v>
      </x:c>
      <x:c r="B1074" s="1" t="str">
        <x:v>Round2</x:v>
      </x:c>
      <x:c r="C1074" s="1" t="str">
        <x:v>Closure_8</x:v>
      </x:c>
      <x:c r="D1074" s="1" t="str">
        <x:v>NOT_AVAILABLE</x:v>
      </x:c>
      <x:c r="E1074" s="5"/>
      <x:c r="F1074" s="4" t="n">
        <x:v>0</x:v>
      </x:c>
      <x:c r="G1074" s="4" t="n">
        <x:v>4604</x:v>
      </x:c>
      <x:c r="H1074" s="6" t="n">
        <x:v>16.48</x:v>
      </x:c>
      <x:c r="I1074" s="16" t="n">
        <x:v>1</x:v>
      </x:c>
      <x:c r="J1074"/>
      <x:c r="K1074" s="4"/>
      <x:c r="L1074" s="4"/>
      <x:c r="M1074" s="4"/>
      <x:c r="N1074" s="5"/>
    </x:row>
    <x:row r="1075" ht="24" customHeight="1">
      <x:c r="A1075" s="1" t="str">
        <x:v>RESULT</x:v>
      </x:c>
      <x:c r="B1075" s="1" t="str">
        <x:v>Round2</x:v>
      </x:c>
      <x:c r="C1075" s="1" t="str">
        <x:v>Closure_80</x:v>
      </x:c>
      <x:c r="D1075" s="1" t="str">
        <x:v>NOT_AVAILABLE</x:v>
      </x:c>
      <x:c r="E1075" s="5"/>
      <x:c r="F1075" s="4" t="n">
        <x:v>0</x:v>
      </x:c>
      <x:c r="G1075" s="4" t="n">
        <x:v>35484</x:v>
      </x:c>
      <x:c r="H1075" s="6" t="n">
        <x:v>180.29</x:v>
      </x:c>
      <x:c r="I1075" s="16" t="n">
        <x:v>1</x:v>
      </x:c>
      <x:c r="J1075"/>
      <x:c r="K1075" s="4"/>
      <x:c r="L1075" s="4"/>
      <x:c r="M1075" s="4"/>
      <x:c r="N1075" s="5"/>
    </x:row>
    <x:row r="1076" ht="24" customHeight="1">
      <x:c r="A1076" s="1" t="str">
        <x:v>RESULT</x:v>
      </x:c>
      <x:c r="B1076" s="1" t="str">
        <x:v>Round2</x:v>
      </x:c>
      <x:c r="C1076" s="1" t="str">
        <x:v>Closure_81</x:v>
      </x:c>
      <x:c r="D1076" s="1" t="str">
        <x:v>NOT_AVAILABLE</x:v>
      </x:c>
      <x:c r="E1076" s="5"/>
      <x:c r="F1076" s="4" t="n">
        <x:v>0</x:v>
      </x:c>
      <x:c r="G1076" s="4" t="n">
        <x:v>22007</x:v>
      </x:c>
      <x:c r="H1076" s="6" t="n">
        <x:v>73.35</x:v>
      </x:c>
      <x:c r="I1076" s="16" t="n">
        <x:v>1</x:v>
      </x:c>
      <x:c r="J1076"/>
      <x:c r="K1076" s="4"/>
      <x:c r="L1076" s="4"/>
      <x:c r="M1076" s="4"/>
      <x:c r="N1076" s="5"/>
    </x:row>
    <x:row r="1077" ht="24" customHeight="1">
      <x:c r="A1077" s="1" t="str">
        <x:v>RESULT</x:v>
      </x:c>
      <x:c r="B1077" s="1" t="str">
        <x:v>Round2</x:v>
      </x:c>
      <x:c r="C1077" s="1" t="str">
        <x:v>Closure_82</x:v>
      </x:c>
      <x:c r="D1077" s="1" t="str">
        <x:v>NOT_AVAILABLE</x:v>
      </x:c>
      <x:c r="E1077" s="5"/>
      <x:c r="F1077" s="4" t="n">
        <x:v>0</x:v>
      </x:c>
      <x:c r="G1077" s="4" t="n">
        <x:v>10495</x:v>
      </x:c>
      <x:c r="H1077" s="6" t="n">
        <x:v>56.2</x:v>
      </x:c>
      <x:c r="I1077" s="16" t="n">
        <x:v>1</x:v>
      </x:c>
      <x:c r="J1077"/>
      <x:c r="K1077" s="4"/>
      <x:c r="L1077" s="4"/>
      <x:c r="M1077" s="4"/>
      <x:c r="N1077" s="5"/>
    </x:row>
    <x:row r="1078" ht="24" customHeight="1">
      <x:c r="A1078" s="1" t="str">
        <x:v>RESULT</x:v>
      </x:c>
      <x:c r="B1078" s="1" t="str">
        <x:v>Round2</x:v>
      </x:c>
      <x:c r="C1078" s="1" t="str">
        <x:v>Closure_83</x:v>
      </x:c>
      <x:c r="D1078" s="1" t="str">
        <x:v>INCONCLUSIVE</x:v>
      </x:c>
      <x:c r="E1078" s="5" t="n">
        <x:v>0.7772</x:v>
      </x:c>
      <x:c r="F1078" s="4" t="n">
        <x:v>0</x:v>
      </x:c>
      <x:c r="G1078" s="4" t="n">
        <x:v>9223</x:v>
      </x:c>
      <x:c r="H1078" s="6" t="n">
        <x:v>17.52</x:v>
      </x:c>
      <x:c r="I1078" s="16" t="n">
        <x:v>1</x:v>
      </x:c>
      <x:c r="J1078" t="n">
        <x:v>193</x:v>
      </x:c>
      <x:c r="K1078" s="4" t="n">
        <x:v>150</x:v>
      </x:c>
      <x:c r="L1078" s="4" t="n">
        <x:v>36</x:v>
      </x:c>
      <x:c r="M1078" s="4" t="n">
        <x:v>19</x:v>
      </x:c>
      <x:c r="N1078" s="5" t="n">
        <x:v>0.5278</x:v>
      </x:c>
    </x:row>
    <x:row r="1079" ht="24" customHeight="1">
      <x:c r="A1079" s="1" t="str">
        <x:v>RESULT</x:v>
      </x:c>
      <x:c r="B1079" s="1" t="str">
        <x:v>Round2</x:v>
      </x:c>
      <x:c r="C1079" s="1" t="str">
        <x:v>Closure_84</x:v>
      </x:c>
      <x:c r="D1079" s="1" t="str">
        <x:v>NOT_AVAILABLE</x:v>
      </x:c>
      <x:c r="E1079" s="5"/>
      <x:c r="F1079" s="4" t="n">
        <x:v>0</x:v>
      </x:c>
      <x:c r="G1079" s="4" t="n">
        <x:v>19385</x:v>
      </x:c>
      <x:c r="H1079" s="6" t="n">
        <x:v>54.02</x:v>
      </x:c>
      <x:c r="I1079" s="16" t="n">
        <x:v>1</x:v>
      </x:c>
      <x:c r="J1079"/>
      <x:c r="K1079" s="4"/>
      <x:c r="L1079" s="4"/>
      <x:c r="M1079" s="4"/>
      <x:c r="N1079" s="5"/>
    </x:row>
    <x:row r="1080" ht="24" customHeight="1">
      <x:c r="A1080" s="1" t="str">
        <x:v>RESULT</x:v>
      </x:c>
      <x:c r="B1080" s="1" t="str">
        <x:v>Round2</x:v>
      </x:c>
      <x:c r="C1080" s="1" t="str">
        <x:v>Closure_85</x:v>
      </x:c>
      <x:c r="D1080" s="1" t="str">
        <x:v>NOT_AVAILABLE</x:v>
      </x:c>
      <x:c r="E1080" s="5"/>
      <x:c r="F1080" s="4" t="n">
        <x:v>0</x:v>
      </x:c>
      <x:c r="G1080" s="4" t="n">
        <x:v>5699</x:v>
      </x:c>
      <x:c r="H1080" s="6" t="n">
        <x:v>52.75</x:v>
      </x:c>
      <x:c r="I1080" s="16" t="n">
        <x:v>1</x:v>
      </x:c>
      <x:c r="J1080"/>
      <x:c r="K1080" s="4"/>
      <x:c r="L1080" s="4"/>
      <x:c r="M1080" s="4"/>
      <x:c r="N1080" s="5"/>
    </x:row>
    <x:row r="1081" ht="24" customHeight="1">
      <x:c r="A1081" s="1" t="str">
        <x:v>RESULT</x:v>
      </x:c>
      <x:c r="B1081" s="1" t="str">
        <x:v>Round2</x:v>
      </x:c>
      <x:c r="C1081" s="1" t="str">
        <x:v>Closure_86</x:v>
      </x:c>
      <x:c r="D1081" s="1" t="str">
        <x:v>NOT_AVAILABLE</x:v>
      </x:c>
      <x:c r="E1081" s="5"/>
      <x:c r="F1081" s="4" t="n">
        <x:v>0</x:v>
      </x:c>
      <x:c r="G1081" s="4" t="n">
        <x:v>26853</x:v>
      </x:c>
      <x:c r="H1081" s="6" t="n">
        <x:v>86.65</x:v>
      </x:c>
      <x:c r="I1081" s="16" t="n">
        <x:v>1</x:v>
      </x:c>
      <x:c r="J1081"/>
      <x:c r="K1081" s="4"/>
      <x:c r="L1081" s="4"/>
      <x:c r="M1081" s="4"/>
      <x:c r="N1081" s="5"/>
    </x:row>
    <x:row r="1082" ht="24" customHeight="1">
      <x:c r="A1082" s="1" t="str">
        <x:v>RESULT</x:v>
      </x:c>
      <x:c r="B1082" s="1" t="str">
        <x:v>Round2</x:v>
      </x:c>
      <x:c r="C1082" s="1" t="str">
        <x:v>Closure_87</x:v>
      </x:c>
      <x:c r="D1082" s="1" t="str">
        <x:v>NOT_AVAILABLE</x:v>
      </x:c>
      <x:c r="E1082" s="5"/>
      <x:c r="F1082" s="4" t="n">
        <x:v>0</x:v>
      </x:c>
      <x:c r="G1082" s="4" t="n">
        <x:v>11360</x:v>
      </x:c>
      <x:c r="H1082" s="6" t="n">
        <x:v>37.61</x:v>
      </x:c>
      <x:c r="I1082" s="16" t="n">
        <x:v>1</x:v>
      </x:c>
      <x:c r="J1082"/>
      <x:c r="K1082" s="4"/>
      <x:c r="L1082" s="4"/>
      <x:c r="M1082" s="4"/>
      <x:c r="N1082" s="5"/>
    </x:row>
    <x:row r="1083" ht="24" customHeight="1">
      <x:c r="A1083" s="1" t="str">
        <x:v>RESULT</x:v>
      </x:c>
      <x:c r="B1083" s="1" t="str">
        <x:v>Round2</x:v>
      </x:c>
      <x:c r="C1083" s="1" t="str">
        <x:v>Closure_88</x:v>
      </x:c>
      <x:c r="D1083" s="1" t="str">
        <x:v>NOT_AVAILABLE</x:v>
      </x:c>
      <x:c r="E1083" s="5"/>
      <x:c r="F1083" s="4" t="n">
        <x:v>0</x:v>
      </x:c>
      <x:c r="G1083" s="4" t="n">
        <x:v>7469</x:v>
      </x:c>
      <x:c r="H1083" s="6" t="n">
        <x:v>38.35</x:v>
      </x:c>
      <x:c r="I1083" s="16" t="n">
        <x:v>1</x:v>
      </x:c>
      <x:c r="J1083"/>
      <x:c r="K1083" s="4"/>
      <x:c r="L1083" s="4"/>
      <x:c r="M1083" s="4"/>
      <x:c r="N1083" s="5"/>
    </x:row>
    <x:row r="1084" ht="24" customHeight="1">
      <x:c r="A1084" s="1" t="str">
        <x:v>RESULT</x:v>
      </x:c>
      <x:c r="B1084" s="1" t="str">
        <x:v>Round2</x:v>
      </x:c>
      <x:c r="C1084" s="1" t="str">
        <x:v>Closure_89</x:v>
      </x:c>
      <x:c r="D1084" s="1" t="str">
        <x:v>NOT_AVAILABLE</x:v>
      </x:c>
      <x:c r="E1084" s="5"/>
      <x:c r="F1084" s="4" t="n">
        <x:v>0</x:v>
      </x:c>
      <x:c r="G1084" s="4" t="n">
        <x:v>18449</x:v>
      </x:c>
      <x:c r="H1084" s="6" t="n">
        <x:v>59.71</x:v>
      </x:c>
      <x:c r="I1084" s="16" t="n">
        <x:v>1</x:v>
      </x:c>
      <x:c r="J1084"/>
      <x:c r="K1084" s="4"/>
      <x:c r="L1084" s="4"/>
      <x:c r="M1084" s="4"/>
      <x:c r="N1084" s="5"/>
    </x:row>
    <x:row r="1085" ht="24" customHeight="1">
      <x:c r="A1085" s="1" t="str">
        <x:v>RESULT</x:v>
      </x:c>
      <x:c r="B1085" s="1" t="str">
        <x:v>Round2</x:v>
      </x:c>
      <x:c r="C1085" s="1" t="str">
        <x:v>Closure_9</x:v>
      </x:c>
      <x:c r="D1085" s="1" t="str">
        <x:v>NOT_AVAILABLE</x:v>
      </x:c>
      <x:c r="E1085" s="5"/>
      <x:c r="F1085" s="4" t="n">
        <x:v>0</x:v>
      </x:c>
      <x:c r="G1085" s="4" t="n">
        <x:v>5090</x:v>
      </x:c>
      <x:c r="H1085" s="6" t="n">
        <x:v>13.68</x:v>
      </x:c>
      <x:c r="I1085" s="16" t="n">
        <x:v>1</x:v>
      </x:c>
      <x:c r="J1085"/>
      <x:c r="K1085" s="4"/>
      <x:c r="L1085" s="4"/>
      <x:c r="M1085" s="4"/>
      <x:c r="N1085" s="5"/>
    </x:row>
    <x:row r="1086" ht="24" customHeight="1">
      <x:c r="A1086" s="1" t="str">
        <x:v>RESULT</x:v>
      </x:c>
      <x:c r="B1086" s="1" t="str">
        <x:v>Round2</x:v>
      </x:c>
      <x:c r="C1086" s="1" t="str">
        <x:v>Closure_90</x:v>
      </x:c>
      <x:c r="D1086" s="1" t="str">
        <x:v>NOT_AVAILABLE</x:v>
      </x:c>
      <x:c r="E1086" s="5"/>
      <x:c r="F1086" s="4" t="n">
        <x:v>0</x:v>
      </x:c>
      <x:c r="G1086" s="4" t="n">
        <x:v>18634</x:v>
      </x:c>
      <x:c r="H1086" s="6" t="n">
        <x:v>55.01</x:v>
      </x:c>
      <x:c r="I1086" s="16" t="n">
        <x:v>1</x:v>
      </x:c>
      <x:c r="J1086"/>
      <x:c r="K1086" s="4"/>
      <x:c r="L1086" s="4"/>
      <x:c r="M1086" s="4"/>
      <x:c r="N1086" s="5"/>
    </x:row>
    <x:row r="1087" ht="24" customHeight="1">
      <x:c r="A1087" s="1" t="str">
        <x:v>RESULT</x:v>
      </x:c>
      <x:c r="B1087" s="1" t="str">
        <x:v>Round2</x:v>
      </x:c>
      <x:c r="C1087" s="1" t="str">
        <x:v>Closure_91</x:v>
      </x:c>
      <x:c r="D1087" s="1" t="str">
        <x:v>NOT_AVAILABLE</x:v>
      </x:c>
      <x:c r="E1087" s="5"/>
      <x:c r="F1087" s="4" t="n">
        <x:v>0</x:v>
      </x:c>
      <x:c r="G1087" s="4" t="n">
        <x:v>4977</x:v>
      </x:c>
      <x:c r="H1087" s="6" t="n">
        <x:v>19.09</x:v>
      </x:c>
      <x:c r="I1087" s="16" t="n">
        <x:v>1</x:v>
      </x:c>
      <x:c r="J1087"/>
      <x:c r="K1087" s="4"/>
      <x:c r="L1087" s="4"/>
      <x:c r="M1087" s="4"/>
      <x:c r="N1087" s="5"/>
    </x:row>
    <x:row r="1088" ht="24" customHeight="1">
      <x:c r="A1088" s="1" t="str">
        <x:v>RESULT</x:v>
      </x:c>
      <x:c r="B1088" s="1" t="str">
        <x:v>Round2</x:v>
      </x:c>
      <x:c r="C1088" s="1" t="str">
        <x:v>Closure_92</x:v>
      </x:c>
      <x:c r="D1088" s="1" t="str">
        <x:v>NOT_AVAILABLE</x:v>
      </x:c>
      <x:c r="E1088" s="5"/>
      <x:c r="F1088" s="4" t="n">
        <x:v>0</x:v>
      </x:c>
      <x:c r="G1088" s="4" t="n">
        <x:v>10853</x:v>
      </x:c>
      <x:c r="H1088" s="6" t="n">
        <x:v>41.51</x:v>
      </x:c>
      <x:c r="I1088" s="16" t="n">
        <x:v>1</x:v>
      </x:c>
      <x:c r="J1088"/>
      <x:c r="K1088" s="4"/>
      <x:c r="L1088" s="4"/>
      <x:c r="M1088" s="4"/>
      <x:c r="N1088" s="5"/>
    </x:row>
    <x:row r="1089" ht="24" customHeight="1">
      <x:c r="A1089" s="1" t="str">
        <x:v>RESULT</x:v>
      </x:c>
      <x:c r="B1089" s="1" t="str">
        <x:v>Round2</x:v>
      </x:c>
      <x:c r="C1089" s="1" t="str">
        <x:v>Closure_94</x:v>
      </x:c>
      <x:c r="D1089" s="1" t="str">
        <x:v>NOT_AVAILABLE</x:v>
      </x:c>
      <x:c r="E1089" s="5"/>
      <x:c r="F1089" s="4" t="n">
        <x:v>0</x:v>
      </x:c>
      <x:c r="G1089" s="4" t="n">
        <x:v>18841</x:v>
      </x:c>
      <x:c r="H1089" s="6" t="n">
        <x:v>49.44</x:v>
      </x:c>
      <x:c r="I1089" s="16" t="n">
        <x:v>1</x:v>
      </x:c>
      <x:c r="J1089"/>
      <x:c r="K1089" s="4"/>
      <x:c r="L1089" s="4"/>
      <x:c r="M1089" s="4"/>
      <x:c r="N1089" s="5"/>
    </x:row>
    <x:row r="1090" ht="24" customHeight="1">
      <x:c r="A1090" s="1" t="str">
        <x:v>RESULT</x:v>
      </x:c>
      <x:c r="B1090" s="1" t="str">
        <x:v>Round2</x:v>
      </x:c>
      <x:c r="C1090" s="1" t="str">
        <x:v>Closure_95</x:v>
      </x:c>
      <x:c r="D1090" s="1" t="str">
        <x:v>NOT_AVAILABLE</x:v>
      </x:c>
      <x:c r="E1090" s="5"/>
      <x:c r="F1090" s="4" t="n">
        <x:v>0</x:v>
      </x:c>
      <x:c r="G1090" s="4" t="n">
        <x:v>13434</x:v>
      </x:c>
      <x:c r="H1090" s="6" t="n">
        <x:v>14.26</x:v>
      </x:c>
      <x:c r="I1090" s="16" t="n">
        <x:v>1</x:v>
      </x:c>
      <x:c r="J1090"/>
      <x:c r="K1090" s="4"/>
      <x:c r="L1090" s="4"/>
      <x:c r="M1090" s="4"/>
      <x:c r="N1090" s="5"/>
    </x:row>
    <x:row r="1091" ht="24" customHeight="1">
      <x:c r="A1091" s="1" t="str">
        <x:v>RESULT</x:v>
      </x:c>
      <x:c r="B1091" s="1" t="str">
        <x:v>Round2</x:v>
      </x:c>
      <x:c r="C1091" s="1" t="str">
        <x:v>Closure_96</x:v>
      </x:c>
      <x:c r="D1091" s="1" t="str">
        <x:v>NOT_AVAILABLE</x:v>
      </x:c>
      <x:c r="E1091" s="5"/>
      <x:c r="F1091" s="4" t="n">
        <x:v>0</x:v>
      </x:c>
      <x:c r="G1091" s="4" t="n">
        <x:v>15718</x:v>
      </x:c>
      <x:c r="H1091" s="6" t="n">
        <x:v>21.01</x:v>
      </x:c>
      <x:c r="I1091" s="16" t="n">
        <x:v>1</x:v>
      </x:c>
      <x:c r="J1091"/>
      <x:c r="K1091" s="4"/>
      <x:c r="L1091" s="4"/>
      <x:c r="M1091" s="4"/>
      <x:c r="N1091" s="5"/>
    </x:row>
    <x:row r="1092" ht="24" customHeight="1">
      <x:c r="A1092" s="1" t="str">
        <x:v>RESULT</x:v>
      </x:c>
      <x:c r="B1092" s="1" t="str">
        <x:v>Round2</x:v>
      </x:c>
      <x:c r="C1092" s="1" t="str">
        <x:v>Closure_97</x:v>
      </x:c>
      <x:c r="D1092" s="1" t="str">
        <x:v>NOT_AVAILABLE</x:v>
      </x:c>
      <x:c r="E1092" s="5"/>
      <x:c r="F1092" s="4" t="n">
        <x:v>0</x:v>
      </x:c>
      <x:c r="G1092" s="4" t="n">
        <x:v>12406</x:v>
      </x:c>
      <x:c r="H1092" s="6" t="n">
        <x:v>29.64</x:v>
      </x:c>
      <x:c r="I1092" s="16" t="n">
        <x:v>1</x:v>
      </x:c>
      <x:c r="J1092"/>
      <x:c r="K1092" s="4"/>
      <x:c r="L1092" s="4"/>
      <x:c r="M1092" s="4"/>
      <x:c r="N1092" s="5"/>
    </x:row>
    <x:row r="1093" ht="24" customHeight="1">
      <x:c r="A1093" s="1" t="str">
        <x:v>RESULT</x:v>
      </x:c>
      <x:c r="B1093" s="1" t="str">
        <x:v>Round2</x:v>
      </x:c>
      <x:c r="C1093" s="1" t="str">
        <x:v>Closure_98</x:v>
      </x:c>
      <x:c r="D1093" s="1" t="str">
        <x:v>NOT_AVAILABLE</x:v>
      </x:c>
      <x:c r="E1093" s="5"/>
      <x:c r="F1093" s="4" t="n">
        <x:v>0</x:v>
      </x:c>
      <x:c r="G1093" s="4" t="n">
        <x:v>9140</x:v>
      </x:c>
      <x:c r="H1093" s="6" t="n">
        <x:v>26.44</x:v>
      </x:c>
      <x:c r="I1093" s="16" t="n">
        <x:v>1</x:v>
      </x:c>
      <x:c r="J1093"/>
      <x:c r="K1093" s="4"/>
      <x:c r="L1093" s="4"/>
      <x:c r="M1093" s="4"/>
      <x:c r="N1093" s="5"/>
    </x:row>
    <x:row r="1094" ht="24" customHeight="1">
      <x:c r="A1094" s="1" t="str">
        <x:v>RESULT</x:v>
      </x:c>
      <x:c r="B1094" s="1" t="str">
        <x:v>Round2</x:v>
      </x:c>
      <x:c r="C1094" s="1" t="str">
        <x:v>Closure_99</x:v>
      </x:c>
      <x:c r="D1094" s="1" t="str">
        <x:v>NOT_AVAILABLE</x:v>
      </x:c>
      <x:c r="E1094" s="5"/>
      <x:c r="F1094" s="4" t="n">
        <x:v>0</x:v>
      </x:c>
      <x:c r="G1094" s="4" t="n">
        <x:v>4941</x:v>
      </x:c>
      <x:c r="H1094" s="6" t="n">
        <x:v>12.65</x:v>
      </x:c>
      <x:c r="I1094" s="16" t="n">
        <x:v>1</x:v>
      </x:c>
      <x:c r="J1094"/>
      <x:c r="K1094" s="4"/>
      <x:c r="L1094" s="4"/>
      <x:c r="M1094" s="4"/>
      <x:c r="N1094" s="5"/>
    </x:row>
    <x:row r="1095" ht="24" customHeight="1">
      <x:c r="A1095" s="1" t="str">
        <x:v>RESULT</x:v>
      </x:c>
      <x:c r="B1095" s="1" t="str">
        <x:v>Round2</x:v>
      </x:c>
      <x:c r="C1095" s="1" t="str">
        <x:v>Codec_1</x:v>
      </x:c>
      <x:c r="D1095" s="1" t="str">
        <x:v>INCONCLUSIVE</x:v>
      </x:c>
      <x:c r="E1095" s="5" t="n">
        <x:v>0.7227</x:v>
      </x:c>
      <x:c r="F1095" s="4" t="n">
        <x:v>0</x:v>
      </x:c>
      <x:c r="G1095" s="4" t="n">
        <x:v>86900</x:v>
      </x:c>
      <x:c r="H1095" s="6" t="n">
        <x:v>2833.71</x:v>
      </x:c>
      <x:c r="I1095" s="16" t="n">
        <x:v>1</x:v>
      </x:c>
      <x:c r="J1095" t="n">
        <x:v>256</x:v>
      </x:c>
      <x:c r="K1095" s="4" t="n">
        <x:v>185</x:v>
      </x:c>
      <x:c r="L1095" s="4" t="n">
        <x:v>184</x:v>
      </x:c>
      <x:c r="M1095" s="4" t="n">
        <x:v>98</x:v>
      </x:c>
      <x:c r="N1095" s="5" t="n">
        <x:v>0.5326</x:v>
      </x:c>
    </x:row>
    <x:row r="1096" ht="24" customHeight="1">
      <x:c r="A1096" s="1" t="str">
        <x:v>RESULT</x:v>
      </x:c>
      <x:c r="B1096" s="1" t="str">
        <x:v>Round2</x:v>
      </x:c>
      <x:c r="C1096" s="1" t="str">
        <x:v>Codec_10</x:v>
      </x:c>
      <x:c r="D1096" s="1" t="str">
        <x:v>NOT_REVEALING</x:v>
      </x:c>
      <x:c r="E1096" s="5" t="n">
        <x:v>1</x:v>
      </x:c>
      <x:c r="F1096" s="4" t="n">
        <x:v>0</x:v>
      </x:c>
      <x:c r="G1096" s="4" t="n">
        <x:v>25148</x:v>
      </x:c>
      <x:c r="H1096" s="6" t="n">
        <x:v>901.6</x:v>
      </x:c>
      <x:c r="I1096" s="16" t="n">
        <x:v>1</x:v>
      </x:c>
      <x:c r="J1096" t="n">
        <x:v>69</x:v>
      </x:c>
      <x:c r="K1096" s="4" t="n">
        <x:v>69</x:v>
      </x:c>
      <x:c r="L1096" s="4" t="n">
        <x:v>6</x:v>
      </x:c>
      <x:c r="M1096" s="4" t="n">
        <x:v>6</x:v>
      </x:c>
      <x:c r="N1096" s="5" t="n">
        <x:v>1</x:v>
      </x:c>
    </x:row>
    <x:row r="1097" ht="24" customHeight="1">
      <x:c r="A1097" s="1" t="str">
        <x:v>RESULT</x:v>
      </x:c>
      <x:c r="B1097" s="1" t="str">
        <x:v>Round2</x:v>
      </x:c>
      <x:c r="C1097" s="1" t="str">
        <x:v>Codec_11</x:v>
      </x:c>
      <x:c r="D1097" s="1" t="str">
        <x:v>INCONCLUSIVE</x:v>
      </x:c>
      <x:c r="E1097" s="5" t="n">
        <x:v>0.9259000000000001</x:v>
      </x:c>
      <x:c r="F1097" s="4" t="n">
        <x:v>0</x:v>
      </x:c>
      <x:c r="G1097" s="4" t="n">
        <x:v>29880</x:v>
      </x:c>
      <x:c r="H1097" s="6" t="n">
        <x:v>818.32</x:v>
      </x:c>
      <x:c r="I1097" s="16" t="n">
        <x:v>1</x:v>
      </x:c>
      <x:c r="J1097" t="n">
        <x:v>81</x:v>
      </x:c>
      <x:c r="K1097" s="4" t="n">
        <x:v>75</x:v>
      </x:c>
      <x:c r="L1097" s="4" t="n">
        <x:v>36</x:v>
      </x:c>
      <x:c r="M1097" s="4" t="n">
        <x:v>34</x:v>
      </x:c>
      <x:c r="N1097" s="5" t="n">
        <x:v>0.9444</x:v>
      </x:c>
    </x:row>
    <x:row r="1098" ht="24" customHeight="1">
      <x:c r="A1098" s="1" t="str">
        <x:v>RESULT</x:v>
      </x:c>
      <x:c r="B1098" s="1" t="str">
        <x:v>Round2</x:v>
      </x:c>
      <x:c r="C1098" s="1" t="str">
        <x:v>Codec_12</x:v>
      </x:c>
      <x:c r="D1098" s="1" t="str">
        <x:v>INCONCLUSIVE</x:v>
      </x:c>
      <x:c r="E1098" s="5" t="n">
        <x:v>0.9677</x:v>
      </x:c>
      <x:c r="F1098" s="4" t="n">
        <x:v>0</x:v>
      </x:c>
      <x:c r="G1098" s="4" t="n">
        <x:v>28288</x:v>
      </x:c>
      <x:c r="H1098" s="6" t="n">
        <x:v>782.13</x:v>
      </x:c>
      <x:c r="I1098" s="16" t="n">
        <x:v>1</x:v>
      </x:c>
      <x:c r="J1098" t="n">
        <x:v>31</x:v>
      </x:c>
      <x:c r="K1098" s="4" t="n">
        <x:v>30</x:v>
      </x:c>
      <x:c r="L1098" s="4" t="n">
        <x:v>26</x:v>
      </x:c>
      <x:c r="M1098" s="4" t="n">
        <x:v>25</x:v>
      </x:c>
      <x:c r="N1098" s="5" t="n">
        <x:v>0.9615</x:v>
      </x:c>
    </x:row>
    <x:row r="1099" ht="24" customHeight="1">
      <x:c r="A1099" s="1" t="str">
        <x:v>RESULT</x:v>
      </x:c>
      <x:c r="B1099" s="1" t="str">
        <x:v>Round2</x:v>
      </x:c>
      <x:c r="C1099" s="1" t="str">
        <x:v>Codec_13</x:v>
      </x:c>
      <x:c r="D1099" s="1" t="str">
        <x:v>NOT_AVAILABLE</x:v>
      </x:c>
      <x:c r="E1099" s="5"/>
      <x:c r="F1099" s="4" t="n">
        <x:v>0</x:v>
      </x:c>
      <x:c r="G1099" s="4" t="n">
        <x:v>20827</x:v>
      </x:c>
      <x:c r="H1099" s="6" t="n">
        <x:v>60.38</x:v>
      </x:c>
      <x:c r="I1099" s="16" t="n">
        <x:v>1</x:v>
      </x:c>
      <x:c r="J1099"/>
      <x:c r="K1099" s="4"/>
      <x:c r="L1099" s="4"/>
      <x:c r="M1099" s="4"/>
      <x:c r="N1099" s="5"/>
    </x:row>
    <x:row r="1100" ht="24" customHeight="1">
      <x:c r="A1100" s="1" t="str">
        <x:v>RESULT</x:v>
      </x:c>
      <x:c r="B1100" s="1" t="str">
        <x:v>Round2</x:v>
      </x:c>
      <x:c r="C1100" s="1" t="str">
        <x:v>Codec_14</x:v>
      </x:c>
      <x:c r="D1100" s="1" t="str">
        <x:v>NOT_AVAILABLE</x:v>
      </x:c>
      <x:c r="E1100" s="5"/>
      <x:c r="F1100" s="4" t="n">
        <x:v>0</x:v>
      </x:c>
      <x:c r="G1100" s="4" t="n">
        <x:v>20605</x:v>
      </x:c>
      <x:c r="H1100" s="6" t="n">
        <x:v>36.06</x:v>
      </x:c>
      <x:c r="I1100" s="16" t="n">
        <x:v>1</x:v>
      </x:c>
      <x:c r="J1100"/>
      <x:c r="K1100" s="4"/>
      <x:c r="L1100" s="4"/>
      <x:c r="M1100" s="4"/>
      <x:c r="N1100" s="5"/>
    </x:row>
    <x:row r="1101" ht="24" customHeight="1">
      <x:c r="A1101" s="1" t="str">
        <x:v>RESULT</x:v>
      </x:c>
      <x:c r="B1101" s="1" t="str">
        <x:v>Round2</x:v>
      </x:c>
      <x:c r="C1101" s="1" t="str">
        <x:v>Codec_15</x:v>
      </x:c>
      <x:c r="D1101" s="1" t="str">
        <x:v>INCONCLUSIVE</x:v>
      </x:c>
      <x:c r="E1101" s="5" t="n">
        <x:v>0.9804</x:v>
      </x:c>
      <x:c r="F1101" s="4" t="n">
        <x:v>0</x:v>
      </x:c>
      <x:c r="G1101" s="4" t="n">
        <x:v>4722</x:v>
      </x:c>
      <x:c r="H1101" s="6" t="n">
        <x:v>7.65</x:v>
      </x:c>
      <x:c r="I1101" s="16" t="n">
        <x:v>1</x:v>
      </x:c>
      <x:c r="J1101" t="n">
        <x:v>51</x:v>
      </x:c>
      <x:c r="K1101" s="4" t="n">
        <x:v>50</x:v>
      </x:c>
      <x:c r="L1101" s="4" t="n">
        <x:v>34</x:v>
      </x:c>
      <x:c r="M1101" s="4" t="n">
        <x:v>26</x:v>
      </x:c>
      <x:c r="N1101" s="5" t="n">
        <x:v>0.7646999999999999</x:v>
      </x:c>
    </x:row>
    <x:row r="1102" ht="24" customHeight="1">
      <x:c r="A1102" s="1" t="str">
        <x:v>RESULT</x:v>
      </x:c>
      <x:c r="B1102" s="1" t="str">
        <x:v>Round2</x:v>
      </x:c>
      <x:c r="C1102" s="1" t="str">
        <x:v>Codec_16</x:v>
      </x:c>
      <x:c r="D1102" s="1" t="str">
        <x:v>INCONCLUSIVE</x:v>
      </x:c>
      <x:c r="E1102" s="5" t="n">
        <x:v>0.8364</x:v>
      </x:c>
      <x:c r="F1102" s="4" t="n">
        <x:v>0</x:v>
      </x:c>
      <x:c r="G1102" s="4" t="n">
        <x:v>6875</x:v>
      </x:c>
      <x:c r="H1102" s="6" t="n">
        <x:v>10.12</x:v>
      </x:c>
      <x:c r="I1102" s="16" t="n">
        <x:v>1</x:v>
      </x:c>
      <x:c r="J1102" t="n">
        <x:v>165</x:v>
      </x:c>
      <x:c r="K1102" s="4" t="n">
        <x:v>138</x:v>
      </x:c>
      <x:c r="L1102" s="4" t="n">
        <x:v>75</x:v>
      </x:c>
      <x:c r="M1102" s="4" t="n">
        <x:v>60</x:v>
      </x:c>
      <x:c r="N1102" s="5" t="n">
        <x:v>0.8</x:v>
      </x:c>
    </x:row>
    <x:row r="1103" ht="24" customHeight="1">
      <x:c r="A1103" s="1" t="str">
        <x:v>RESULT</x:v>
      </x:c>
      <x:c r="B1103" s="1" t="str">
        <x:v>Round2</x:v>
      </x:c>
      <x:c r="C1103" s="1" t="str">
        <x:v>Codec_17</x:v>
      </x:c>
      <x:c r="D1103" s="1" t="str">
        <x:v>NOT_AVAILABLE</x:v>
      </x:c>
      <x:c r="E1103" s="5"/>
      <x:c r="F1103" s="4" t="n">
        <x:v>0</x:v>
      </x:c>
      <x:c r="G1103" s="4" t="n">
        <x:v>7741</x:v>
      </x:c>
      <x:c r="H1103" s="6" t="n">
        <x:v>10.7</x:v>
      </x:c>
      <x:c r="I1103" s="16" t="n">
        <x:v>1</x:v>
      </x:c>
      <x:c r="J1103"/>
      <x:c r="K1103" s="4"/>
      <x:c r="L1103" s="4"/>
      <x:c r="M1103" s="4"/>
      <x:c r="N1103" s="5"/>
    </x:row>
    <x:row r="1104" ht="24" customHeight="1">
      <x:c r="A1104" s="1" t="str">
        <x:v>RESULT</x:v>
      </x:c>
      <x:c r="B1104" s="1" t="str">
        <x:v>Round2</x:v>
      </x:c>
      <x:c r="C1104" s="1" t="str">
        <x:v>Codec_18</x:v>
      </x:c>
      <x:c r="D1104" s="1" t="str">
        <x:v>NOT_REVEALING</x:v>
      </x:c>
      <x:c r="E1104" s="5" t="n">
        <x:v>0.9743999999999999</x:v>
      </x:c>
      <x:c r="F1104" s="4" t="n">
        <x:v>0</x:v>
      </x:c>
      <x:c r="G1104" s="4" t="n">
        <x:v>8030</x:v>
      </x:c>
      <x:c r="H1104" s="6" t="n">
        <x:v>12.96</x:v>
      </x:c>
      <x:c r="I1104" s="16" t="n">
        <x:v>1</x:v>
      </x:c>
      <x:c r="J1104" t="n">
        <x:v>39</x:v>
      </x:c>
      <x:c r="K1104" s="4" t="n">
        <x:v>38</x:v>
      </x:c>
      <x:c r="L1104" s="4" t="n">
        <x:v>20</x:v>
      </x:c>
      <x:c r="M1104" s="4" t="n">
        <x:v>19</x:v>
      </x:c>
      <x:c r="N1104" s="5" t="n">
        <x:v>0.95</x:v>
      </x:c>
    </x:row>
    <x:row r="1105" ht="24" customHeight="1">
      <x:c r="A1105" s="1" t="str">
        <x:v>RESULT</x:v>
      </x:c>
      <x:c r="B1105" s="1" t="str">
        <x:v>Round2</x:v>
      </x:c>
      <x:c r="C1105" s="1" t="str">
        <x:v>Codec_2</x:v>
      </x:c>
      <x:c r="D1105" s="1" t="str">
        <x:v>INCONCLUSIVE</x:v>
      </x:c>
      <x:c r="E1105" s="5" t="n">
        <x:v>0.8364</x:v>
      </x:c>
      <x:c r="F1105" s="4" t="n">
        <x:v>0</x:v>
      </x:c>
      <x:c r="G1105" s="4"/>
      <x:c r="H1105" s="6"/>
      <x:c r="I1105" s="16" t="n">
        <x:v>1</x:v>
      </x:c>
      <x:c r="J1105" t="n">
        <x:v>214</x:v>
      </x:c>
      <x:c r="K1105" s="4" t="n">
        <x:v>179</x:v>
      </x:c>
      <x:c r="L1105" s="4" t="n">
        <x:v>146</x:v>
      </x:c>
      <x:c r="M1105" s="4" t="n">
        <x:v>102</x:v>
      </x:c>
      <x:c r="N1105" s="5" t="n">
        <x:v>0.6986</x:v>
      </x:c>
    </x:row>
    <x:row r="1106" ht="24" customHeight="1">
      <x:c r="A1106" s="1" t="str">
        <x:v>RESULT</x:v>
      </x:c>
      <x:c r="B1106" s="1" t="str">
        <x:v>Round2</x:v>
      </x:c>
      <x:c r="C1106" s="1" t="str">
        <x:v>Codec_3</x:v>
      </x:c>
      <x:c r="D1106" s="1" t="str">
        <x:v>INCONCLUSIVE</x:v>
      </x:c>
      <x:c r="E1106" s="5" t="n">
        <x:v>0.9248999999999999</x:v>
      </x:c>
      <x:c r="F1106" s="4" t="n">
        <x:v>0</x:v>
      </x:c>
      <x:c r="G1106" s="4" t="n">
        <x:v>15186</x:v>
      </x:c>
      <x:c r="H1106" s="6" t="n">
        <x:v>33.53</x:v>
      </x:c>
      <x:c r="I1106" s="16" t="n">
        <x:v>1</x:v>
      </x:c>
      <x:c r="J1106" t="n">
        <x:v>453</x:v>
      </x:c>
      <x:c r="K1106" s="4" t="n">
        <x:v>419</x:v>
      </x:c>
      <x:c r="L1106" s="4" t="n">
        <x:v>450</x:v>
      </x:c>
      <x:c r="M1106" s="4" t="n">
        <x:v>364</x:v>
      </x:c>
      <x:c r="N1106" s="5" t="n">
        <x:v>0.8089</x:v>
      </x:c>
    </x:row>
    <x:row r="1107" ht="24" customHeight="1">
      <x:c r="A1107" s="1" t="str">
        <x:v>RESULT</x:v>
      </x:c>
      <x:c r="B1107" s="1" t="str">
        <x:v>Round2</x:v>
      </x:c>
      <x:c r="C1107" s="1" t="str">
        <x:v>Codec_4</x:v>
      </x:c>
      <x:c r="D1107" s="1" t="str">
        <x:v>INCONCLUSIVE</x:v>
      </x:c>
      <x:c r="E1107" s="5" t="n">
        <x:v>0.9264</x:v>
      </x:c>
      <x:c r="F1107" s="4" t="n">
        <x:v>0</x:v>
      </x:c>
      <x:c r="G1107" s="4" t="n">
        <x:v>7531</x:v>
      </x:c>
      <x:c r="H1107" s="6" t="n">
        <x:v>10.83</x:v>
      </x:c>
      <x:c r="I1107" s="16" t="n">
        <x:v>1</x:v>
      </x:c>
      <x:c r="J1107" t="n">
        <x:v>231</x:v>
      </x:c>
      <x:c r="K1107" s="4" t="n">
        <x:v>214</x:v>
      </x:c>
      <x:c r="L1107" s="4" t="n">
        <x:v>158</x:v>
      </x:c>
      <x:c r="M1107" s="4" t="n">
        <x:v>125</x:v>
      </x:c>
      <x:c r="N1107" s="5" t="n">
        <x:v>0.7911</x:v>
      </x:c>
    </x:row>
    <x:row r="1108" ht="24" customHeight="1">
      <x:c r="A1108" s="1" t="str">
        <x:v>RESULT</x:v>
      </x:c>
      <x:c r="B1108" s="1" t="str">
        <x:v>Round2</x:v>
      </x:c>
      <x:c r="C1108" s="1" t="str">
        <x:v>Codec_5</x:v>
      </x:c>
      <x:c r="D1108" s="1" t="str">
        <x:v>INCONCLUSIVE</x:v>
      </x:c>
      <x:c r="E1108" s="5" t="n">
        <x:v>0.8831</x:v>
      </x:c>
      <x:c r="F1108" s="4" t="n">
        <x:v>0</x:v>
      </x:c>
      <x:c r="G1108" s="4"/>
      <x:c r="H1108" s="6"/>
      <x:c r="I1108" s="16" t="n">
        <x:v>1</x:v>
      </x:c>
      <x:c r="J1108" t="n">
        <x:v>231</x:v>
      </x:c>
      <x:c r="K1108" s="4" t="n">
        <x:v>204</x:v>
      </x:c>
      <x:c r="L1108" s="4" t="n">
        <x:v>158</x:v>
      </x:c>
      <x:c r="M1108" s="4" t="n">
        <x:v>117</x:v>
      </x:c>
      <x:c r="N1108" s="5" t="n">
        <x:v>0.7404999999999999</x:v>
      </x:c>
    </x:row>
    <x:row r="1109" ht="24" customHeight="1">
      <x:c r="A1109" s="1" t="str">
        <x:v>RESULT</x:v>
      </x:c>
      <x:c r="B1109" s="1" t="str">
        <x:v>Round2</x:v>
      </x:c>
      <x:c r="C1109" s="1" t="str">
        <x:v>Codec_6</x:v>
      </x:c>
      <x:c r="D1109" s="1" t="str">
        <x:v>INCONCLUSIVE</x:v>
      </x:c>
      <x:c r="E1109" s="5" t="n">
        <x:v>1</x:v>
      </x:c>
      <x:c r="F1109" s="4" t="n">
        <x:v>0</x:v>
      </x:c>
      <x:c r="G1109" s="4" t="n">
        <x:v>4566</x:v>
      </x:c>
      <x:c r="H1109" s="6" t="n">
        <x:v>22.57</x:v>
      </x:c>
      <x:c r="I1109" s="16" t="n">
        <x:v>1</x:v>
      </x:c>
      <x:c r="J1109" t="n">
        <x:v>35</x:v>
      </x:c>
      <x:c r="K1109" s="4" t="n">
        <x:v>35</x:v>
      </x:c>
      <x:c r="L1109" s="4" t="n">
        <x:v>28</x:v>
      </x:c>
      <x:c r="M1109" s="4" t="n">
        <x:v>26</x:v>
      </x:c>
      <x:c r="N1109" s="5" t="n">
        <x:v>0.9286</x:v>
      </x:c>
    </x:row>
    <x:row r="1110" ht="24" customHeight="1">
      <x:c r="A1110" s="1" t="str">
        <x:v>RESULT</x:v>
      </x:c>
      <x:c r="B1110" s="1" t="str">
        <x:v>Round2</x:v>
      </x:c>
      <x:c r="C1110" s="1" t="str">
        <x:v>Codec_7</x:v>
      </x:c>
      <x:c r="D1110" s="1" t="str">
        <x:v>INCONCLUSIVE</x:v>
      </x:c>
      <x:c r="E1110" s="5" t="n">
        <x:v>0.8412000000000001</x:v>
      </x:c>
      <x:c r="F1110" s="4" t="n">
        <x:v>0</x:v>
      </x:c>
      <x:c r="G1110" s="4"/>
      <x:c r="H1110" s="6"/>
      <x:c r="I1110" s="16" t="n">
        <x:v>1</x:v>
      </x:c>
      <x:c r="J1110" t="n">
        <x:v>233</x:v>
      </x:c>
      <x:c r="K1110" s="4" t="n">
        <x:v>196</x:v>
      </x:c>
      <x:c r="L1110" s="4" t="n">
        <x:v>162</x:v>
      </x:c>
      <x:c r="M1110" s="4" t="n">
        <x:v>119</x:v>
      </x:c>
      <x:c r="N1110" s="5" t="n">
        <x:v>0.7345999999999999</x:v>
      </x:c>
    </x:row>
    <x:row r="1111" ht="24" customHeight="1">
      <x:c r="A1111" s="1" t="str">
        <x:v>RESULT</x:v>
      </x:c>
      <x:c r="B1111" s="1" t="str">
        <x:v>Round2</x:v>
      </x:c>
      <x:c r="C1111" s="1" t="str">
        <x:v>Codec_8</x:v>
      </x:c>
      <x:c r="D1111" s="1" t="str">
        <x:v>INCONCLUSIVE</x:v>
      </x:c>
      <x:c r="E1111" s="5" t="n">
        <x:v>0.8621</x:v>
      </x:c>
      <x:c r="F1111" s="4" t="n">
        <x:v>0</x:v>
      </x:c>
      <x:c r="G1111" s="4"/>
      <x:c r="H1111" s="6"/>
      <x:c r="I1111" s="16" t="n">
        <x:v>1</x:v>
      </x:c>
      <x:c r="J1111" t="n">
        <x:v>261</x:v>
      </x:c>
      <x:c r="K1111" s="4" t="n">
        <x:v>225</x:v>
      </x:c>
      <x:c r="L1111" s="4" t="n">
        <x:v>186</x:v>
      </x:c>
      <x:c r="M1111" s="4" t="n">
        <x:v>145</x:v>
      </x:c>
      <x:c r="N1111" s="5" t="n">
        <x:v>0.7796</x:v>
      </x:c>
    </x:row>
    <x:row r="1112" ht="24" customHeight="1">
      <x:c r="A1112" s="1" t="str">
        <x:v>RESULT</x:v>
      </x:c>
      <x:c r="B1112" s="1" t="str">
        <x:v>Round2</x:v>
      </x:c>
      <x:c r="C1112" s="1" t="str">
        <x:v>Codec_9</x:v>
      </x:c>
      <x:c r="D1112" s="1" t="str">
        <x:v>NOT_AVAILABLE</x:v>
      </x:c>
      <x:c r="E1112" s="5"/>
      <x:c r="F1112" s="4" t="n">
        <x:v>0</x:v>
      </x:c>
      <x:c r="G1112" s="4" t="n">
        <x:v>8375</x:v>
      </x:c>
      <x:c r="H1112" s="6" t="n">
        <x:v>23.97</x:v>
      </x:c>
      <x:c r="I1112" s="16" t="n">
        <x:v>1</x:v>
      </x:c>
      <x:c r="J1112"/>
      <x:c r="K1112" s="4"/>
      <x:c r="L1112" s="4"/>
      <x:c r="M1112" s="4"/>
      <x:c r="N1112" s="5"/>
    </x:row>
    <x:row r="1113" ht="24" customHeight="1">
      <x:c r="A1113" s="1" t="str">
        <x:v>RESULT</x:v>
      </x:c>
      <x:c r="B1113" s="1" t="str">
        <x:v>Round2</x:v>
      </x:c>
      <x:c r="C1113" s="1" t="str">
        <x:v>Collections_1</x:v>
      </x:c>
      <x:c r="D1113" s="1" t="str">
        <x:v>INCONCLUSIVE</x:v>
      </x:c>
      <x:c r="E1113" s="5" t="n">
        <x:v>0.5539999999999999</x:v>
      </x:c>
      <x:c r="F1113" s="4" t="n">
        <x:v>0</x:v>
      </x:c>
      <x:c r="G1113" s="4" t="n">
        <x:v>9251</x:v>
      </x:c>
      <x:c r="H1113" s="6" t="n">
        <x:v>18.91</x:v>
      </x:c>
      <x:c r="I1113" s="16" t="n">
        <x:v>1</x:v>
      </x:c>
      <x:c r="J1113" t="n">
        <x:v>491</x:v>
      </x:c>
      <x:c r="K1113" s="4" t="n">
        <x:v>272</x:v>
      </x:c>
      <x:c r="L1113" s="4" t="n">
        <x:v>376</x:v>
      </x:c>
      <x:c r="M1113" s="4" t="n">
        <x:v>160</x:v>
      </x:c>
      <x:c r="N1113" s="5" t="n">
        <x:v>0.4255</x:v>
      </x:c>
    </x:row>
    <x:row r="1114" ht="24" customHeight="1">
      <x:c r="A1114" s="1" t="str">
        <x:v>RESULT</x:v>
      </x:c>
      <x:c r="B1114" s="1" t="str">
        <x:v>Round2</x:v>
      </x:c>
      <x:c r="C1114" s="1" t="str">
        <x:v>Collections_10</x:v>
      </x:c>
      <x:c r="D1114" s="1" t="str">
        <x:v>NOT_REVEALING</x:v>
      </x:c>
      <x:c r="E1114" s="5" t="n">
        <x:v>0.8571</x:v>
      </x:c>
      <x:c r="F1114" s="4" t="n">
        <x:v>0</x:v>
      </x:c>
      <x:c r="G1114" s="4"/>
      <x:c r="H1114" s="6"/>
      <x:c r="I1114" s="16" t="n">
        <x:v>1</x:v>
      </x:c>
      <x:c r="J1114" t="n">
        <x:v>119</x:v>
      </x:c>
      <x:c r="K1114" s="4" t="n">
        <x:v>102</x:v>
      </x:c>
      <x:c r="L1114" s="4" t="n">
        <x:v>48</x:v>
      </x:c>
      <x:c r="M1114" s="4" t="n">
        <x:v>40</x:v>
      </x:c>
      <x:c r="N1114" s="5" t="n">
        <x:v>0.8332999999999999</x:v>
      </x:c>
    </x:row>
    <x:row r="1115" ht="24" customHeight="1">
      <x:c r="A1115" s="1" t="str">
        <x:v>RESULT</x:v>
      </x:c>
      <x:c r="B1115" s="1" t="str">
        <x:v>Round2</x:v>
      </x:c>
      <x:c r="C1115" s="1" t="str">
        <x:v>Collections_11</x:v>
      </x:c>
      <x:c r="D1115" s="1" t="str">
        <x:v>INCONCLUSIVE</x:v>
      </x:c>
      <x:c r="E1115" s="5" t="n">
        <x:v>1</x:v>
      </x:c>
      <x:c r="F1115" s="4" t="n">
        <x:v>0</x:v>
      </x:c>
      <x:c r="G1115" s="4"/>
      <x:c r="H1115" s="6"/>
      <x:c r="I1115" s="16" t="n">
        <x:v>1</x:v>
      </x:c>
      <x:c r="J1115" t="n">
        <x:v>35</x:v>
      </x:c>
      <x:c r="K1115" s="4" t="n">
        <x:v>35</x:v>
      </x:c>
      <x:c r="L1115" s="4" t="n">
        <x:v>12</x:v>
      </x:c>
      <x:c r="M1115" s="4" t="n">
        <x:v>12</x:v>
      </x:c>
      <x:c r="N1115" s="5" t="n">
        <x:v>1</x:v>
      </x:c>
    </x:row>
    <x:row r="1116" ht="24" customHeight="1">
      <x:c r="A1116" s="1" t="str">
        <x:v>RESULT</x:v>
      </x:c>
      <x:c r="B1116" s="1" t="str">
        <x:v>Round2</x:v>
      </x:c>
      <x:c r="C1116" s="1" t="str">
        <x:v>Collections_12</x:v>
      </x:c>
      <x:c r="D1116" s="1" t="str">
        <x:v>NOT_AVAILABLE</x:v>
      </x:c>
      <x:c r="E1116" s="5"/>
      <x:c r="F1116" s="4" t="n">
        <x:v>0</x:v>
      </x:c>
      <x:c r="G1116" s="4" t="n">
        <x:v>9908</x:v>
      </x:c>
      <x:c r="H1116" s="6" t="n">
        <x:v>20.18</x:v>
      </x:c>
      <x:c r="I1116" s="16" t="n">
        <x:v>1</x:v>
      </x:c>
      <x:c r="J1116"/>
      <x:c r="K1116" s="4"/>
      <x:c r="L1116" s="4"/>
      <x:c r="M1116" s="4"/>
      <x:c r="N1116" s="5"/>
    </x:row>
    <x:row r="1117" ht="24" customHeight="1">
      <x:c r="A1117" s="1" t="str">
        <x:v>RESULT</x:v>
      </x:c>
      <x:c r="B1117" s="1" t="str">
        <x:v>Round2</x:v>
      </x:c>
      <x:c r="C1117" s="1" t="str">
        <x:v>Collections_13</x:v>
      </x:c>
      <x:c r="D1117" s="1" t="str">
        <x:v>NOT_AVAILABLE</x:v>
      </x:c>
      <x:c r="E1117" s="5"/>
      <x:c r="F1117" s="4" t="n">
        <x:v>0</x:v>
      </x:c>
      <x:c r="G1117" s="4" t="n">
        <x:v>11098</x:v>
      </x:c>
      <x:c r="H1117" s="6" t="n">
        <x:v>37</x:v>
      </x:c>
      <x:c r="I1117" s="16" t="n">
        <x:v>1</x:v>
      </x:c>
      <x:c r="J1117"/>
      <x:c r="K1117" s="4"/>
      <x:c r="L1117" s="4"/>
      <x:c r="M1117" s="4"/>
      <x:c r="N1117" s="5"/>
    </x:row>
    <x:row r="1118" ht="24" customHeight="1">
      <x:c r="A1118" s="1" t="str">
        <x:v>RESULT</x:v>
      </x:c>
      <x:c r="B1118" s="1" t="str">
        <x:v>Round2</x:v>
      </x:c>
      <x:c r="C1118" s="1" t="str">
        <x:v>Collections_14</x:v>
      </x:c>
      <x:c r="D1118" s="1" t="str">
        <x:v>NOT_REVEALING</x:v>
      </x:c>
      <x:c r="E1118" s="5" t="n">
        <x:v>0.6667000000000001</x:v>
      </x:c>
      <x:c r="F1118" s="4" t="n">
        <x:v>0</x:v>
      </x:c>
      <x:c r="G1118" s="4" t="n">
        <x:v>5054</x:v>
      </x:c>
      <x:c r="H1118" s="6" t="n">
        <x:v>23.64</x:v>
      </x:c>
      <x:c r="I1118" s="16" t="n">
        <x:v>1</x:v>
      </x:c>
      <x:c r="J1118" t="n">
        <x:v>18</x:v>
      </x:c>
      <x:c r="K1118" s="4" t="n">
        <x:v>12</x:v>
      </x:c>
      <x:c r="L1118" s="4" t="n">
        <x:v>2</x:v>
      </x:c>
      <x:c r="M1118" s="4" t="n">
        <x:v>2</x:v>
      </x:c>
      <x:c r="N1118" s="5" t="n">
        <x:v>1</x:v>
      </x:c>
    </x:row>
    <x:row r="1119" ht="24" customHeight="1">
      <x:c r="A1119" s="1" t="str">
        <x:v>RESULT</x:v>
      </x:c>
      <x:c r="B1119" s="1" t="str">
        <x:v>Round2</x:v>
      </x:c>
      <x:c r="C1119" s="1" t="str">
        <x:v>Collections_15</x:v>
      </x:c>
      <x:c r="D1119" s="1" t="str">
        <x:v>NOT_REVEALING</x:v>
      </x:c>
      <x:c r="E1119" s="5" t="n">
        <x:v>0.9767</x:v>
      </x:c>
      <x:c r="F1119" s="4" t="n">
        <x:v>0</x:v>
      </x:c>
      <x:c r="G1119" s="4" t="n">
        <x:v>5769</x:v>
      </x:c>
      <x:c r="H1119" s="6" t="n">
        <x:v>18.47</x:v>
      </x:c>
      <x:c r="I1119" s="16" t="n">
        <x:v>1</x:v>
      </x:c>
      <x:c r="J1119" t="n">
        <x:v>86</x:v>
      </x:c>
      <x:c r="K1119" s="4" t="n">
        <x:v>84</x:v>
      </x:c>
      <x:c r="L1119" s="4" t="n">
        <x:v>22</x:v>
      </x:c>
      <x:c r="M1119" s="4" t="n">
        <x:v>22</x:v>
      </x:c>
      <x:c r="N1119" s="5" t="n">
        <x:v>1</x:v>
      </x:c>
    </x:row>
    <x:row r="1120" ht="24" customHeight="1">
      <x:c r="A1120" s="1" t="str">
        <x:v>RESULT</x:v>
      </x:c>
      <x:c r="B1120" s="1" t="str">
        <x:v>Round2</x:v>
      </x:c>
      <x:c r="C1120" s="1" t="str">
        <x:v>Collections_16</x:v>
      </x:c>
      <x:c r="D1120" s="1" t="str">
        <x:v>NOT_AVAILABLE</x:v>
      </x:c>
      <x:c r="E1120" s="5"/>
      <x:c r="F1120" s="4" t="n">
        <x:v>0</x:v>
      </x:c>
      <x:c r="G1120" s="4" t="n">
        <x:v>5780</x:v>
      </x:c>
      <x:c r="H1120" s="6" t="n">
        <x:v>20.78</x:v>
      </x:c>
      <x:c r="I1120" s="16" t="n">
        <x:v>1</x:v>
      </x:c>
      <x:c r="J1120"/>
      <x:c r="K1120" s="4"/>
      <x:c r="L1120" s="4"/>
      <x:c r="M1120" s="4"/>
      <x:c r="N1120" s="5"/>
    </x:row>
    <x:row r="1121" ht="24" customHeight="1">
      <x:c r="A1121" s="1" t="str">
        <x:v>RESULT</x:v>
      </x:c>
      <x:c r="B1121" s="1" t="str">
        <x:v>Round2</x:v>
      </x:c>
      <x:c r="C1121" s="1" t="str">
        <x:v>Collections_17</x:v>
      </x:c>
      <x:c r="D1121" s="1" t="str">
        <x:v>NOT_AVAILABLE</x:v>
      </x:c>
      <x:c r="E1121" s="5"/>
      <x:c r="F1121" s="4" t="n">
        <x:v>0</x:v>
      </x:c>
      <x:c r="G1121" s="4" t="n">
        <x:v>3715</x:v>
      </x:c>
      <x:c r="H1121" s="6" t="n">
        <x:v>16.67</x:v>
      </x:c>
      <x:c r="I1121" s="16" t="n">
        <x:v>1</x:v>
      </x:c>
      <x:c r="J1121"/>
      <x:c r="K1121" s="4"/>
      <x:c r="L1121" s="4"/>
      <x:c r="M1121" s="4"/>
      <x:c r="N1121" s="5"/>
    </x:row>
    <x:row r="1122" ht="24" customHeight="1">
      <x:c r="A1122" s="1" t="str">
        <x:v>RESULT</x:v>
      </x:c>
      <x:c r="B1122" s="1" t="str">
        <x:v>Round2</x:v>
      </x:c>
      <x:c r="C1122" s="1" t="str">
        <x:v>Collections_18</x:v>
      </x:c>
      <x:c r="D1122" s="1" t="str">
        <x:v>INCONCLUSIVE</x:v>
      </x:c>
      <x:c r="E1122" s="5" t="n">
        <x:v>0.9031999999999999</x:v>
      </x:c>
      <x:c r="F1122" s="4" t="n">
        <x:v>0</x:v>
      </x:c>
      <x:c r="G1122" s="4" t="n">
        <x:v>6547</x:v>
      </x:c>
      <x:c r="H1122" s="6" t="n">
        <x:v>21.11</x:v>
      </x:c>
      <x:c r="I1122" s="16" t="n">
        <x:v>1</x:v>
      </x:c>
      <x:c r="J1122" t="n">
        <x:v>93</x:v>
      </x:c>
      <x:c r="K1122" s="4" t="n">
        <x:v>84</x:v>
      </x:c>
      <x:c r="L1122" s="4" t="n">
        <x:v>36</x:v>
      </x:c>
      <x:c r="M1122" s="4" t="n">
        <x:v>34</x:v>
      </x:c>
      <x:c r="N1122" s="5" t="n">
        <x:v>0.9444</x:v>
      </x:c>
    </x:row>
    <x:row r="1123" ht="24" customHeight="1">
      <x:c r="A1123" s="1" t="str">
        <x:v>RESULT</x:v>
      </x:c>
      <x:c r="B1123" s="1" t="str">
        <x:v>Round2</x:v>
      </x:c>
      <x:c r="C1123" s="1" t="str">
        <x:v>Collections_19</x:v>
      </x:c>
      <x:c r="D1123" s="1" t="str">
        <x:v>NOT_REVEALING</x:v>
      </x:c>
      <x:c r="E1123" s="5" t="n">
        <x:v>0.9358</x:v>
      </x:c>
      <x:c r="F1123" s="4" t="n">
        <x:v>0</x:v>
      </x:c>
      <x:c r="G1123" s="4" t="n">
        <x:v>6508</x:v>
      </x:c>
      <x:c r="H1123" s="6" t="n">
        <x:v>22.66</x:v>
      </x:c>
      <x:c r="I1123" s="16" t="n">
        <x:v>1</x:v>
      </x:c>
      <x:c r="J1123" t="n">
        <x:v>109</x:v>
      </x:c>
      <x:c r="K1123" s="4" t="n">
        <x:v>102</x:v>
      </x:c>
      <x:c r="L1123" s="4" t="n">
        <x:v>38</x:v>
      </x:c>
      <x:c r="M1123" s="4" t="n">
        <x:v>35</x:v>
      </x:c>
      <x:c r="N1123" s="5" t="n">
        <x:v>0.9211</x:v>
      </x:c>
    </x:row>
    <x:row r="1124" ht="24" customHeight="1">
      <x:c r="A1124" s="1" t="str">
        <x:v>RESULT</x:v>
      </x:c>
      <x:c r="B1124" s="1" t="str">
        <x:v>Round2</x:v>
      </x:c>
      <x:c r="C1124" s="1" t="str">
        <x:v>Collections_2</x:v>
      </x:c>
      <x:c r="D1124" s="1" t="str">
        <x:v>NOT_AVAILABLE</x:v>
      </x:c>
      <x:c r="E1124" s="5"/>
      <x:c r="F1124" s="4" t="n">
        <x:v>0</x:v>
      </x:c>
      <x:c r="G1124" s="4" t="n">
        <x:v>12256</x:v>
      </x:c>
      <x:c r="H1124" s="6" t="n">
        <x:v>43.07</x:v>
      </x:c>
      <x:c r="I1124" s="16" t="n">
        <x:v>1</x:v>
      </x:c>
      <x:c r="J1124"/>
      <x:c r="K1124" s="4"/>
      <x:c r="L1124" s="4"/>
      <x:c r="M1124" s="4"/>
      <x:c r="N1124" s="5"/>
    </x:row>
    <x:row r="1125" ht="24" customHeight="1">
      <x:c r="A1125" s="1" t="str">
        <x:v>RESULT</x:v>
      </x:c>
      <x:c r="B1125" s="1" t="str">
        <x:v>Round2</x:v>
      </x:c>
      <x:c r="C1125" s="1" t="str">
        <x:v>Collections_20</x:v>
      </x:c>
      <x:c r="D1125" s="1" t="str">
        <x:v>INCONCLUSIVE</x:v>
      </x:c>
      <x:c r="E1125" s="5" t="n">
        <x:v>0.8123</x:v>
      </x:c>
      <x:c r="F1125" s="4" t="n">
        <x:v>0</x:v>
      </x:c>
      <x:c r="G1125" s="4"/>
      <x:c r="H1125" s="6"/>
      <x:c r="I1125" s="16" t="n">
        <x:v>1</x:v>
      </x:c>
      <x:c r="J1125" t="n">
        <x:v>293</x:v>
      </x:c>
      <x:c r="K1125" s="4" t="n">
        <x:v>238</x:v>
      </x:c>
      <x:c r="L1125" s="4" t="n">
        <x:v>154</x:v>
      </x:c>
      <x:c r="M1125" s="4" t="n">
        <x:v>106</x:v>
      </x:c>
      <x:c r="N1125" s="5" t="n">
        <x:v>0.6883</x:v>
      </x:c>
    </x:row>
    <x:row r="1126" ht="24" customHeight="1">
      <x:c r="A1126" s="1" t="str">
        <x:v>RESULT</x:v>
      </x:c>
      <x:c r="B1126" s="1" t="str">
        <x:v>Round2</x:v>
      </x:c>
      <x:c r="C1126" s="1" t="str">
        <x:v>Collections_21</x:v>
      </x:c>
      <x:c r="D1126" s="1" t="str">
        <x:v>NOT_REVEALING</x:v>
      </x:c>
      <x:c r="E1126" s="5" t="n">
        <x:v>0.9358</x:v>
      </x:c>
      <x:c r="F1126" s="4" t="n">
        <x:v>0</x:v>
      </x:c>
      <x:c r="G1126" s="4"/>
      <x:c r="H1126" s="6"/>
      <x:c r="I1126" s="16" t="n">
        <x:v>1</x:v>
      </x:c>
      <x:c r="J1126" t="n">
        <x:v>109</x:v>
      </x:c>
      <x:c r="K1126" s="4" t="n">
        <x:v>102</x:v>
      </x:c>
      <x:c r="L1126" s="4" t="n">
        <x:v>38</x:v>
      </x:c>
      <x:c r="M1126" s="4" t="n">
        <x:v>36</x:v>
      </x:c>
      <x:c r="N1126" s="5" t="n">
        <x:v>0.9473999999999999</x:v>
      </x:c>
    </x:row>
    <x:row r="1127" ht="24" customHeight="1">
      <x:c r="A1127" s="1" t="str">
        <x:v>RESULT</x:v>
      </x:c>
      <x:c r="B1127" s="1" t="str">
        <x:v>Round2</x:v>
      </x:c>
      <x:c r="C1127" s="1" t="str">
        <x:v>Collections_22</x:v>
      </x:c>
      <x:c r="D1127" s="1" t="str">
        <x:v>NOT_REVEALING</x:v>
      </x:c>
      <x:c r="E1127" s="5" t="n">
        <x:v>0.4667</x:v>
      </x:c>
      <x:c r="F1127" s="4" t="n">
        <x:v>0</x:v>
      </x:c>
      <x:c r="G1127" s="4" t="n">
        <x:v>5930</x:v>
      </x:c>
      <x:c r="H1127" s="6" t="n">
        <x:v>16.49</x:v>
      </x:c>
      <x:c r="I1127" s="16" t="n">
        <x:v>1</x:v>
      </x:c>
      <x:c r="J1127" t="n">
        <x:v>195</x:v>
      </x:c>
      <x:c r="K1127" s="4" t="n">
        <x:v>91</x:v>
      </x:c>
      <x:c r="L1127" s="4" t="n">
        <x:v>52</x:v>
      </x:c>
      <x:c r="M1127" s="4" t="n">
        <x:v>27</x:v>
      </x:c>
      <x:c r="N1127" s="5" t="n">
        <x:v>0.5192</x:v>
      </x:c>
    </x:row>
    <x:row r="1128" ht="24" customHeight="1">
      <x:c r="A1128" s="1" t="str">
        <x:v>RESULT</x:v>
      </x:c>
      <x:c r="B1128" s="1" t="str">
        <x:v>Round2</x:v>
      </x:c>
      <x:c r="C1128" s="1" t="str">
        <x:v>Collections_23</x:v>
      </x:c>
      <x:c r="D1128" s="1" t="str">
        <x:v>NOT_AVAILABLE</x:v>
      </x:c>
      <x:c r="E1128" s="5"/>
      <x:c r="F1128" s="4" t="n">
        <x:v>0</x:v>
      </x:c>
      <x:c r="G1128" s="4" t="n">
        <x:v>4605</x:v>
      </x:c>
      <x:c r="H1128" s="6" t="n">
        <x:v>16.5</x:v>
      </x:c>
      <x:c r="I1128" s="16" t="n">
        <x:v>1</x:v>
      </x:c>
      <x:c r="J1128"/>
      <x:c r="K1128" s="4"/>
      <x:c r="L1128" s="4"/>
      <x:c r="M1128" s="4"/>
      <x:c r="N1128" s="5"/>
    </x:row>
    <x:row r="1129" ht="24" customHeight="1">
      <x:c r="A1129" s="1" t="str">
        <x:v>RESULT</x:v>
      </x:c>
      <x:c r="B1129" s="1" t="str">
        <x:v>Round2</x:v>
      </x:c>
      <x:c r="C1129" s="1" t="str">
        <x:v>Collections_24</x:v>
      </x:c>
      <x:c r="D1129" s="1" t="str">
        <x:v>NOT_REVEALING</x:v>
      </x:c>
      <x:c r="E1129" s="5" t="n">
        <x:v>0.9615</x:v>
      </x:c>
      <x:c r="F1129" s="4" t="n">
        <x:v>0</x:v>
      </x:c>
      <x:c r="G1129" s="4"/>
      <x:c r="H1129" s="6"/>
      <x:c r="I1129" s="16" t="n">
        <x:v>1</x:v>
      </x:c>
      <x:c r="J1129" t="n">
        <x:v>26</x:v>
      </x:c>
      <x:c r="K1129" s="4" t="n">
        <x:v>25</x:v>
      </x:c>
      <x:c r="L1129" s="4" t="n">
        <x:v>12</x:v>
      </x:c>
      <x:c r="M1129" s="4" t="n">
        <x:v>12</x:v>
      </x:c>
      <x:c r="N1129" s="5" t="n">
        <x:v>1</x:v>
      </x:c>
    </x:row>
    <x:row r="1130" ht="24" customHeight="1">
      <x:c r="A1130" s="1" t="str">
        <x:v>RESULT</x:v>
      </x:c>
      <x:c r="B1130" s="1" t="str">
        <x:v>Round2</x:v>
      </x:c>
      <x:c r="C1130" s="1" t="str">
        <x:v>Collections_25</x:v>
      </x:c>
      <x:c r="D1130" s="1" t="str">
        <x:v>NOT_AVAILABLE</x:v>
      </x:c>
      <x:c r="E1130" s="5"/>
      <x:c r="F1130" s="4" t="n">
        <x:v>0</x:v>
      </x:c>
      <x:c r="G1130" s="4" t="n">
        <x:v>10632</x:v>
      </x:c>
      <x:c r="H1130" s="6" t="n">
        <x:v>37.5</x:v>
      </x:c>
      <x:c r="I1130" s="16" t="n">
        <x:v>1</x:v>
      </x:c>
      <x:c r="J1130"/>
      <x:c r="K1130" s="4"/>
      <x:c r="L1130" s="4"/>
      <x:c r="M1130" s="4"/>
      <x:c r="N1130" s="5"/>
    </x:row>
    <x:row r="1131" ht="24" customHeight="1">
      <x:c r="A1131" s="1" t="str">
        <x:v>RESULT</x:v>
      </x:c>
      <x:c r="B1131" s="1" t="str">
        <x:v>Round2</x:v>
      </x:c>
      <x:c r="C1131" s="1" t="str">
        <x:v>Collections_26</x:v>
      </x:c>
      <x:c r="D1131" s="1" t="str">
        <x:v>NOT_REVEALING</x:v>
      </x:c>
      <x:c r="E1131" s="5" t="n">
        <x:v>0.9459000000000001</x:v>
      </x:c>
      <x:c r="F1131" s="4" t="n">
        <x:v>0</x:v>
      </x:c>
      <x:c r="G1131" s="4"/>
      <x:c r="H1131" s="6"/>
      <x:c r="I1131" s="16" t="n">
        <x:v>1</x:v>
      </x:c>
      <x:c r="J1131" t="n">
        <x:v>37</x:v>
      </x:c>
      <x:c r="K1131" s="4" t="n">
        <x:v>35</x:v>
      </x:c>
      <x:c r="L1131" s="4" t="n">
        <x:v>12</x:v>
      </x:c>
      <x:c r="M1131" s="4" t="n">
        <x:v>12</x:v>
      </x:c>
      <x:c r="N1131" s="5" t="n">
        <x:v>1</x:v>
      </x:c>
    </x:row>
    <x:row r="1132" ht="24" customHeight="1">
      <x:c r="A1132" s="1" t="str">
        <x:v>RESULT</x:v>
      </x:c>
      <x:c r="B1132" s="1" t="str">
        <x:v>Round2</x:v>
      </x:c>
      <x:c r="C1132" s="1" t="str">
        <x:v>Collections_27</x:v>
      </x:c>
      <x:c r="D1132" s="1" t="str">
        <x:v>INCONCLUSIVE</x:v>
      </x:c>
      <x:c r="E1132" s="5" t="n">
        <x:v>0.8583</x:v>
      </x:c>
      <x:c r="F1132" s="4" t="n">
        <x:v>0</x:v>
      </x:c>
      <x:c r="G1132" s="4"/>
      <x:c r="H1132" s="6"/>
      <x:c r="I1132" s="16" t="n">
        <x:v>1</x:v>
      </x:c>
      <x:c r="J1132" t="n">
        <x:v>127</x:v>
      </x:c>
      <x:c r="K1132" s="4" t="n">
        <x:v>109</x:v>
      </x:c>
      <x:c r="L1132" s="4" t="n">
        <x:v>50</x:v>
      </x:c>
      <x:c r="M1132" s="4" t="n">
        <x:v>41</x:v>
      </x:c>
      <x:c r="N1132" s="5" t="n">
        <x:v>0.82</x:v>
      </x:c>
    </x:row>
    <x:row r="1133" ht="24" customHeight="1">
      <x:c r="A1133" s="1" t="str">
        <x:v>RESULT</x:v>
      </x:c>
      <x:c r="B1133" s="1" t="str">
        <x:v>Round2</x:v>
      </x:c>
      <x:c r="C1133" s="1" t="str">
        <x:v>Collections_28</x:v>
      </x:c>
      <x:c r="D1133" s="1" t="str">
        <x:v>NOT_AVAILABLE</x:v>
      </x:c>
      <x:c r="E1133" s="5"/>
      <x:c r="F1133" s="4" t="n">
        <x:v>0</x:v>
      </x:c>
      <x:c r="G1133" s="4" t="n">
        <x:v>16331</x:v>
      </x:c>
      <x:c r="H1133" s="6" t="n">
        <x:v>31.69</x:v>
      </x:c>
      <x:c r="I1133" s="16" t="n">
        <x:v>1</x:v>
      </x:c>
      <x:c r="J1133"/>
      <x:c r="K1133" s="4"/>
      <x:c r="L1133" s="4"/>
      <x:c r="M1133" s="4"/>
      <x:c r="N1133" s="5"/>
    </x:row>
    <x:row r="1134" ht="24" customHeight="1">
      <x:c r="A1134" s="1" t="str">
        <x:v>RESULT</x:v>
      </x:c>
      <x:c r="B1134" s="1" t="str">
        <x:v>Round2</x:v>
      </x:c>
      <x:c r="C1134" s="1" t="str">
        <x:v>Collections_3</x:v>
      </x:c>
      <x:c r="D1134" s="1" t="str">
        <x:v>NOT_AVAILABLE</x:v>
      </x:c>
      <x:c r="E1134" s="5"/>
      <x:c r="F1134" s="4" t="n">
        <x:v>0</x:v>
      </x:c>
      <x:c r="G1134" s="4" t="n">
        <x:v>10325</x:v>
      </x:c>
      <x:c r="H1134" s="6" t="n">
        <x:v>45.28</x:v>
      </x:c>
      <x:c r="I1134" s="16" t="n">
        <x:v>1</x:v>
      </x:c>
      <x:c r="J1134"/>
      <x:c r="K1134" s="4"/>
      <x:c r="L1134" s="4"/>
      <x:c r="M1134" s="4"/>
      <x:c r="N1134" s="5"/>
    </x:row>
    <x:row r="1135" ht="24" customHeight="1">
      <x:c r="A1135" s="1" t="str">
        <x:v>RESULT</x:v>
      </x:c>
      <x:c r="B1135" s="1" t="str">
        <x:v>Round2</x:v>
      </x:c>
      <x:c r="C1135" s="1" t="str">
        <x:v>Collections_4</x:v>
      </x:c>
      <x:c r="D1135" s="1" t="str">
        <x:v>INCONCLUSIVE</x:v>
      </x:c>
      <x:c r="E1135" s="5" t="n">
        <x:v>0.9279000000000001</x:v>
      </x:c>
      <x:c r="F1135" s="4" t="n">
        <x:v>0</x:v>
      </x:c>
      <x:c r="G1135" s="4" t="n">
        <x:v>6832</x:v>
      </x:c>
      <x:c r="H1135" s="6" t="n">
        <x:v>26.34</x:v>
      </x:c>
      <x:c r="I1135" s="16" t="n">
        <x:v>1</x:v>
      </x:c>
      <x:c r="J1135" t="n">
        <x:v>111</x:v>
      </x:c>
      <x:c r="K1135" s="4" t="n">
        <x:v>103</x:v>
      </x:c>
      <x:c r="L1135" s="4" t="n">
        <x:v>48</x:v>
      </x:c>
      <x:c r="M1135" s="4" t="n">
        <x:v>41</x:v>
      </x:c>
      <x:c r="N1135" s="5" t="n">
        <x:v>0.8542000000000001</x:v>
      </x:c>
    </x:row>
    <x:row r="1136" ht="24" customHeight="1">
      <x:c r="A1136" s="1" t="str">
        <x:v>RESULT</x:v>
      </x:c>
      <x:c r="B1136" s="1" t="str">
        <x:v>Round2</x:v>
      </x:c>
      <x:c r="C1136" s="1" t="str">
        <x:v>Collections_5</x:v>
      </x:c>
      <x:c r="D1136" s="1" t="str">
        <x:v>INCONCLUSIVE</x:v>
      </x:c>
      <x:c r="E1136" s="5" t="n">
        <x:v>0.9878</x:v>
      </x:c>
      <x:c r="F1136" s="4" t="n">
        <x:v>0</x:v>
      </x:c>
      <x:c r="G1136" s="4"/>
      <x:c r="H1136" s="6"/>
      <x:c r="I1136" s="16" t="n">
        <x:v>1</x:v>
      </x:c>
      <x:c r="J1136" t="n">
        <x:v>82</x:v>
      </x:c>
      <x:c r="K1136" s="4" t="n">
        <x:v>81</x:v>
      </x:c>
      <x:c r="L1136" s="4" t="n">
        <x:v>20</x:v>
      </x:c>
      <x:c r="M1136" s="4" t="n">
        <x:v>19</x:v>
      </x:c>
      <x:c r="N1136" s="5" t="n">
        <x:v>0.95</x:v>
      </x:c>
    </x:row>
    <x:row r="1137" ht="24" customHeight="1">
      <x:c r="A1137" s="1" t="str">
        <x:v>RESULT</x:v>
      </x:c>
      <x:c r="B1137" s="1" t="str">
        <x:v>Round2</x:v>
      </x:c>
      <x:c r="C1137" s="1" t="str">
        <x:v>Collections_6</x:v>
      </x:c>
      <x:c r="D1137" s="1" t="str">
        <x:v>REVEALING</x:v>
      </x:c>
      <x:c r="E1137" s="5" t="n">
        <x:v>0.5919</x:v>
      </x:c>
      <x:c r="F1137" s="4" t="n">
        <x:v>1</x:v>
      </x:c>
      <x:c r="G1137" s="4"/>
      <x:c r="H1137" s="6"/>
      <x:c r="I1137" s="16" t="n">
        <x:v>1</x:v>
      </x:c>
      <x:c r="J1137" t="n">
        <x:v>495</x:v>
      </x:c>
      <x:c r="K1137" s="4" t="n">
        <x:v>293</x:v>
      </x:c>
      <x:c r="L1137" s="4" t="n">
        <x:v>376</x:v>
      </x:c>
      <x:c r="M1137" s="4" t="n">
        <x:v>193</x:v>
      </x:c>
      <x:c r="N1137" s="5" t="n">
        <x:v>0.5133</x:v>
      </x:c>
    </x:row>
    <x:row r="1138" ht="24" customHeight="1">
      <x:c r="A1138" s="1" t="str">
        <x:v>RESULT</x:v>
      </x:c>
      <x:c r="B1138" s="1" t="str">
        <x:v>Round2</x:v>
      </x:c>
      <x:c r="C1138" s="1" t="str">
        <x:v>Collections_7</x:v>
      </x:c>
      <x:c r="D1138" s="1" t="str">
        <x:v>NOT_AVAILABLE</x:v>
      </x:c>
      <x:c r="E1138" s="5"/>
      <x:c r="F1138" s="4" t="n">
        <x:v>0</x:v>
      </x:c>
      <x:c r="G1138" s="4" t="n">
        <x:v>11995</x:v>
      </x:c>
      <x:c r="H1138" s="6" t="n">
        <x:v>58.26</x:v>
      </x:c>
      <x:c r="I1138" s="16" t="n">
        <x:v>1</x:v>
      </x:c>
      <x:c r="J1138"/>
      <x:c r="K1138" s="4"/>
      <x:c r="L1138" s="4"/>
      <x:c r="M1138" s="4"/>
      <x:c r="N1138" s="5"/>
    </x:row>
    <x:row r="1139" ht="24" customHeight="1">
      <x:c r="A1139" s="1" t="str">
        <x:v>RESULT</x:v>
      </x:c>
      <x:c r="B1139" s="1" t="str">
        <x:v>Round2</x:v>
      </x:c>
      <x:c r="C1139" s="1" t="str">
        <x:v>Collections_8</x:v>
      </x:c>
      <x:c r="D1139" s="1" t="str">
        <x:v>NOT_REVEALING</x:v>
      </x:c>
      <x:c r="E1139" s="5" t="n">
        <x:v>0.8409</x:v>
      </x:c>
      <x:c r="F1139" s="4" t="n">
        <x:v>0</x:v>
      </x:c>
      <x:c r="G1139" s="4" t="n">
        <x:v>5932</x:v>
      </x:c>
      <x:c r="H1139" s="6" t="n">
        <x:v>27.64</x:v>
      </x:c>
      <x:c r="I1139" s="16" t="n">
        <x:v>1</x:v>
      </x:c>
      <x:c r="J1139" t="n">
        <x:v>88</x:v>
      </x:c>
      <x:c r="K1139" s="4" t="n">
        <x:v>74</x:v>
      </x:c>
      <x:c r="L1139" s="4" t="n">
        <x:v>36</x:v>
      </x:c>
      <x:c r="M1139" s="4" t="n">
        <x:v>30</x:v>
      </x:c>
      <x:c r="N1139" s="5" t="n">
        <x:v>0.8332999999999999</x:v>
      </x:c>
    </x:row>
    <x:row r="1140" ht="24" customHeight="1">
      <x:c r="A1140" s="1" t="str">
        <x:v>RESULT</x:v>
      </x:c>
      <x:c r="B1140" s="1" t="str">
        <x:v>Round2</x:v>
      </x:c>
      <x:c r="C1140" s="1" t="str">
        <x:v>Collections_9</x:v>
      </x:c>
      <x:c r="D1140" s="1" t="str">
        <x:v>NOT_AVAILABLE</x:v>
      </x:c>
      <x:c r="E1140" s="5"/>
      <x:c r="F1140" s="4" t="n">
        <x:v>0</x:v>
      </x:c>
      <x:c r="G1140" s="4" t="n">
        <x:v>10265</x:v>
      </x:c>
      <x:c r="H1140" s="6" t="n">
        <x:v>28.5</x:v>
      </x:c>
      <x:c r="I1140" s="16" t="n">
        <x:v>1</x:v>
      </x:c>
      <x:c r="J1140"/>
      <x:c r="K1140" s="4"/>
      <x:c r="L1140" s="4"/>
      <x:c r="M1140" s="4"/>
      <x:c r="N1140" s="5"/>
    </x:row>
    <x:row r="1141" ht="24" customHeight="1">
      <x:c r="A1141" s="1" t="str">
        <x:v>RESULT</x:v>
      </x:c>
      <x:c r="B1141" s="1" t="str">
        <x:v>Round2</x:v>
      </x:c>
      <x:c r="C1141" s="1" t="str">
        <x:v>Compress_1</x:v>
      </x:c>
      <x:c r="D1141" s="1" t="str">
        <x:v>NOT_AVAILABLE</x:v>
      </x:c>
      <x:c r="E1141" s="5"/>
      <x:c r="F1141" s="4" t="n">
        <x:v>0</x:v>
      </x:c>
      <x:c r="G1141" s="4" t="n">
        <x:v>6364</x:v>
      </x:c>
      <x:c r="H1141" s="6" t="n">
        <x:v>19.12</x:v>
      </x:c>
      <x:c r="I1141" s="16" t="n">
        <x:v>1</x:v>
      </x:c>
      <x:c r="J1141"/>
      <x:c r="K1141" s="4"/>
      <x:c r="L1141" s="4"/>
      <x:c r="M1141" s="4"/>
      <x:c r="N1141" s="5"/>
    </x:row>
    <x:row r="1142" ht="24" customHeight="1">
      <x:c r="A1142" s="1" t="str">
        <x:v>RESULT</x:v>
      </x:c>
      <x:c r="B1142" s="1" t="str">
        <x:v>Round2</x:v>
      </x:c>
      <x:c r="C1142" s="1" t="str">
        <x:v>Compress_10</x:v>
      </x:c>
      <x:c r="D1142" s="1" t="str">
        <x:v>INCONCLUSIVE</x:v>
      </x:c>
      <x:c r="E1142" s="5" t="n">
        <x:v>0.6809000000000001</x:v>
      </x:c>
      <x:c r="F1142" s="4" t="n">
        <x:v>0</x:v>
      </x:c>
      <x:c r="G1142" s="4" t="n">
        <x:v>7003</x:v>
      </x:c>
      <x:c r="H1142" s="6" t="n">
        <x:v>11.33</x:v>
      </x:c>
      <x:c r="I1142" s="16" t="n">
        <x:v>1</x:v>
      </x:c>
      <x:c r="J1142" t="n">
        <x:v>304</x:v>
      </x:c>
      <x:c r="K1142" s="4" t="n">
        <x:v>207</x:v>
      </x:c>
      <x:c r="L1142" s="4" t="n">
        <x:v>113</x:v>
      </x:c>
      <x:c r="M1142" s="4" t="n">
        <x:v>39</x:v>
      </x:c>
      <x:c r="N1142" s="5" t="n">
        <x:v>0.34509999999999996</x:v>
      </x:c>
    </x:row>
    <x:row r="1143" ht="24" customHeight="1">
      <x:c r="A1143" s="1" t="str">
        <x:v>RESULT</x:v>
      </x:c>
      <x:c r="B1143" s="1" t="str">
        <x:v>Round2</x:v>
      </x:c>
      <x:c r="C1143" s="1" t="str">
        <x:v>Compress_11</x:v>
      </x:c>
      <x:c r="D1143" s="1" t="str">
        <x:v>INCONCLUSIVE</x:v>
      </x:c>
      <x:c r="E1143" s="5" t="n">
        <x:v>0.7681</x:v>
      </x:c>
      <x:c r="F1143" s="4" t="n">
        <x:v>0</x:v>
      </x:c>
      <x:c r="G1143" s="4" t="n">
        <x:v>4865</x:v>
      </x:c>
      <x:c r="H1143" s="6" t="n">
        <x:v>8.13</x:v>
      </x:c>
      <x:c r="I1143" s="16" t="n">
        <x:v>1</x:v>
      </x:c>
      <x:c r="J1143" t="n">
        <x:v>69</x:v>
      </x:c>
      <x:c r="K1143" s="4" t="n">
        <x:v>53</x:v>
      </x:c>
      <x:c r="L1143" s="4" t="n">
        <x:v>46</x:v>
      </x:c>
      <x:c r="M1143" s="4" t="n">
        <x:v>33</x:v>
      </x:c>
      <x:c r="N1143" s="5" t="n">
        <x:v>0.7173999999999999</x:v>
      </x:c>
    </x:row>
    <x:row r="1144" ht="24" customHeight="1">
      <x:c r="A1144" s="1" t="str">
        <x:v>RESULT</x:v>
      </x:c>
      <x:c r="B1144" s="1" t="str">
        <x:v>Round2</x:v>
      </x:c>
      <x:c r="C1144" s="1" t="str">
        <x:v>Compress_12</x:v>
      </x:c>
      <x:c r="D1144" s="1" t="str">
        <x:v>NOT_AVAILABLE</x:v>
      </x:c>
      <x:c r="E1144" s="5"/>
      <x:c r="F1144" s="4" t="n">
        <x:v>0</x:v>
      </x:c>
      <x:c r="G1144" s="4" t="n">
        <x:v>8811</x:v>
      </x:c>
      <x:c r="H1144" s="6" t="n">
        <x:v>35.67</x:v>
      </x:c>
      <x:c r="I1144" s="16" t="n">
        <x:v>1</x:v>
      </x:c>
      <x:c r="J1144"/>
      <x:c r="K1144" s="4"/>
      <x:c r="L1144" s="4"/>
      <x:c r="M1144" s="4"/>
      <x:c r="N1144" s="5"/>
    </x:row>
    <x:row r="1145" ht="24" customHeight="1">
      <x:c r="A1145" s="1" t="str">
        <x:v>RESULT</x:v>
      </x:c>
      <x:c r="B1145" s="1" t="str">
        <x:v>Round2</x:v>
      </x:c>
      <x:c r="C1145" s="1" t="str">
        <x:v>Compress_13</x:v>
      </x:c>
      <x:c r="D1145" s="1" t="str">
        <x:v>NOT_AVAILABLE</x:v>
      </x:c>
      <x:c r="E1145" s="5"/>
      <x:c r="F1145" s="4" t="n">
        <x:v>0</x:v>
      </x:c>
      <x:c r="G1145" s="4" t="n">
        <x:v>9325</x:v>
      </x:c>
      <x:c r="H1145" s="6" t="n">
        <x:v>28.03</x:v>
      </x:c>
      <x:c r="I1145" s="16" t="n">
        <x:v>1</x:v>
      </x:c>
      <x:c r="J1145"/>
      <x:c r="K1145" s="4"/>
      <x:c r="L1145" s="4"/>
      <x:c r="M1145" s="4"/>
      <x:c r="N1145" s="5"/>
    </x:row>
    <x:row r="1146" ht="24" customHeight="1">
      <x:c r="A1146" s="1" t="str">
        <x:v>RESULT</x:v>
      </x:c>
      <x:c r="B1146" s="1" t="str">
        <x:v>Round2</x:v>
      </x:c>
      <x:c r="C1146" s="1" t="str">
        <x:v>Compress_14</x:v>
      </x:c>
      <x:c r="D1146" s="1" t="str">
        <x:v>INCONCLUSIVE</x:v>
      </x:c>
      <x:c r="E1146" s="5" t="n">
        <x:v>0.7228</x:v>
      </x:c>
      <x:c r="F1146" s="4" t="n">
        <x:v>0</x:v>
      </x:c>
      <x:c r="G1146" s="4"/>
      <x:c r="H1146" s="6"/>
      <x:c r="I1146" s="16" t="n">
        <x:v>1</x:v>
      </x:c>
      <x:c r="J1146" t="n">
        <x:v>101</x:v>
      </x:c>
      <x:c r="K1146" s="4" t="n">
        <x:v>73</x:v>
      </x:c>
      <x:c r="L1146" s="4" t="n">
        <x:v>66</x:v>
      </x:c>
      <x:c r="M1146" s="4" t="n">
        <x:v>47</x:v>
      </x:c>
      <x:c r="N1146" s="5" t="n">
        <x:v>0.7121</x:v>
      </x:c>
    </x:row>
    <x:row r="1147" ht="24" customHeight="1">
      <x:c r="A1147" s="1" t="str">
        <x:v>RESULT</x:v>
      </x:c>
      <x:c r="B1147" s="1" t="str">
        <x:v>Round2</x:v>
      </x:c>
      <x:c r="C1147" s="1" t="str">
        <x:v>Compress_15</x:v>
      </x:c>
      <x:c r="D1147" s="1" t="str">
        <x:v>NOT_AVAILABLE</x:v>
      </x:c>
      <x:c r="E1147" s="5"/>
      <x:c r="F1147" s="4" t="n">
        <x:v>0</x:v>
      </x:c>
      <x:c r="G1147" s="4" t="n">
        <x:v>5730</x:v>
      </x:c>
      <x:c r="H1147" s="6" t="n">
        <x:v>20.82</x:v>
      </x:c>
      <x:c r="I1147" s="16" t="n">
        <x:v>1</x:v>
      </x:c>
      <x:c r="J1147"/>
      <x:c r="K1147" s="4"/>
      <x:c r="L1147" s="4"/>
      <x:c r="M1147" s="4"/>
      <x:c r="N1147" s="5"/>
    </x:row>
    <x:row r="1148" ht="24" customHeight="1">
      <x:c r="A1148" s="1" t="str">
        <x:v>RESULT</x:v>
      </x:c>
      <x:c r="B1148" s="1" t="str">
        <x:v>Round2</x:v>
      </x:c>
      <x:c r="C1148" s="1" t="str">
        <x:v>Compress_16</x:v>
      </x:c>
      <x:c r="D1148" s="1" t="str">
        <x:v>NOT_AVAILABLE</x:v>
      </x:c>
      <x:c r="E1148" s="5"/>
      <x:c r="F1148" s="4" t="n">
        <x:v>0</x:v>
      </x:c>
      <x:c r="G1148" s="4" t="n">
        <x:v>5240</x:v>
      </x:c>
      <x:c r="H1148" s="6" t="n">
        <x:v>17.75</x:v>
      </x:c>
      <x:c r="I1148" s="16" t="n">
        <x:v>1</x:v>
      </x:c>
      <x:c r="J1148"/>
      <x:c r="K1148" s="4"/>
      <x:c r="L1148" s="4"/>
      <x:c r="M1148" s="4"/>
      <x:c r="N1148" s="5"/>
    </x:row>
    <x:row r="1149" ht="24" customHeight="1">
      <x:c r="A1149" s="1" t="str">
        <x:v>RESULT</x:v>
      </x:c>
      <x:c r="B1149" s="1" t="str">
        <x:v>Round2</x:v>
      </x:c>
      <x:c r="C1149" s="1" t="str">
        <x:v>Compress_17</x:v>
      </x:c>
      <x:c r="D1149" s="1" t="str">
        <x:v>INCONCLUSIVE</x:v>
      </x:c>
      <x:c r="E1149" s="5" t="n">
        <x:v>0.7206999999999999</x:v>
      </x:c>
      <x:c r="F1149" s="4" t="n">
        <x:v>0</x:v>
      </x:c>
      <x:c r="G1149" s="4"/>
      <x:c r="H1149" s="6"/>
      <x:c r="I1149" s="16" t="n">
        <x:v>1</x:v>
      </x:c>
      <x:c r="J1149" t="n">
        <x:v>179</x:v>
      </x:c>
      <x:c r="K1149" s="4" t="n">
        <x:v>129</x:v>
      </x:c>
      <x:c r="L1149" s="4" t="n">
        <x:v>116</x:v>
      </x:c>
      <x:c r="M1149" s="4" t="n">
        <x:v>82</x:v>
      </x:c>
      <x:c r="N1149" s="5" t="n">
        <x:v>0.7069</x:v>
      </x:c>
    </x:row>
    <x:row r="1150" ht="24" customHeight="1">
      <x:c r="A1150" s="1" t="str">
        <x:v>RESULT</x:v>
      </x:c>
      <x:c r="B1150" s="1" t="str">
        <x:v>Round2</x:v>
      </x:c>
      <x:c r="C1150" s="1" t="str">
        <x:v>Compress_18</x:v>
      </x:c>
      <x:c r="D1150" s="1" t="str">
        <x:v>NOT_AVAILABLE</x:v>
      </x:c>
      <x:c r="E1150" s="5"/>
      <x:c r="F1150" s="4" t="n">
        <x:v>0</x:v>
      </x:c>
      <x:c r="G1150" s="4" t="n">
        <x:v>9287</x:v>
      </x:c>
      <x:c r="H1150" s="6" t="n">
        <x:v>42.29</x:v>
      </x:c>
      <x:c r="I1150" s="16" t="n">
        <x:v>1</x:v>
      </x:c>
      <x:c r="J1150"/>
      <x:c r="K1150" s="4"/>
      <x:c r="L1150" s="4"/>
      <x:c r="M1150" s="4"/>
      <x:c r="N1150" s="5"/>
    </x:row>
    <x:row r="1151" ht="24" customHeight="1">
      <x:c r="A1151" s="1" t="str">
        <x:v>RESULT</x:v>
      </x:c>
      <x:c r="B1151" s="1" t="str">
        <x:v>Round2</x:v>
      </x:c>
      <x:c r="C1151" s="1" t="str">
        <x:v>Compress_19</x:v>
      </x:c>
      <x:c r="D1151" s="1" t="str">
        <x:v>INCONCLUSIVE</x:v>
      </x:c>
      <x:c r="E1151" s="5" t="n">
        <x:v>0.9899</x:v>
      </x:c>
      <x:c r="F1151" s="4" t="n">
        <x:v>0</x:v>
      </x:c>
      <x:c r="G1151" s="4" t="n">
        <x:v>7452</x:v>
      </x:c>
      <x:c r="H1151" s="6" t="n">
        <x:v>36.13</x:v>
      </x:c>
      <x:c r="I1151" s="16" t="n">
        <x:v>1</x:v>
      </x:c>
      <x:c r="J1151" t="n">
        <x:v>99</x:v>
      </x:c>
      <x:c r="K1151" s="4" t="n">
        <x:v>98</x:v>
      </x:c>
      <x:c r="L1151" s="4" t="n">
        <x:v>60</x:v>
      </x:c>
      <x:c r="M1151" s="4" t="n">
        <x:v>59</x:v>
      </x:c>
      <x:c r="N1151" s="5" t="n">
        <x:v>0.9833</x:v>
      </x:c>
    </x:row>
    <x:row r="1152" ht="24" customHeight="1">
      <x:c r="A1152" s="1" t="str">
        <x:v>RESULT</x:v>
      </x:c>
      <x:c r="B1152" s="1" t="str">
        <x:v>Round2</x:v>
      </x:c>
      <x:c r="C1152" s="1" t="str">
        <x:v>Compress_2</x:v>
      </x:c>
      <x:c r="D1152" s="1" t="str">
        <x:v>NOT_AVAILABLE</x:v>
      </x:c>
      <x:c r="E1152" s="5"/>
      <x:c r="F1152" s="4" t="n">
        <x:v>0</x:v>
      </x:c>
      <x:c r="G1152" s="4" t="n">
        <x:v>4798</x:v>
      </x:c>
      <x:c r="H1152" s="6" t="n">
        <x:v>20.54</x:v>
      </x:c>
      <x:c r="I1152" s="16" t="n">
        <x:v>1</x:v>
      </x:c>
      <x:c r="J1152"/>
      <x:c r="K1152" s="4"/>
      <x:c r="L1152" s="4"/>
      <x:c r="M1152" s="4"/>
      <x:c r="N1152" s="5"/>
    </x:row>
    <x:row r="1153" ht="24" customHeight="1">
      <x:c r="A1153" s="1" t="str">
        <x:v>RESULT</x:v>
      </x:c>
      <x:c r="B1153" s="1" t="str">
        <x:v>Round2</x:v>
      </x:c>
      <x:c r="C1153" s="1" t="str">
        <x:v>Compress_20</x:v>
      </x:c>
      <x:c r="D1153" s="1" t="str">
        <x:v>INCONCLUSIVE</x:v>
      </x:c>
      <x:c r="E1153" s="5" t="n">
        <x:v>0.39909999999999995</x:v>
      </x:c>
      <x:c r="F1153" s="4" t="n">
        <x:v>0</x:v>
      </x:c>
      <x:c r="G1153" s="4"/>
      <x:c r="H1153" s="6"/>
      <x:c r="I1153" s="16" t="n">
        <x:v>1</x:v>
      </x:c>
      <x:c r="J1153" t="n">
        <x:v>213</x:v>
      </x:c>
      <x:c r="K1153" s="4" t="n">
        <x:v>85</x:v>
      </x:c>
      <x:c r="L1153" s="4" t="n">
        <x:v>114</x:v>
      </x:c>
      <x:c r="M1153" s="4" t="n">
        <x:v>33</x:v>
      </x:c>
      <x:c r="N1153" s="5" t="n">
        <x:v>0.2895</x:v>
      </x:c>
    </x:row>
    <x:row r="1154" ht="24" customHeight="1">
      <x:c r="A1154" s="1" t="str">
        <x:v>RESULT</x:v>
      </x:c>
      <x:c r="B1154" s="1" t="str">
        <x:v>Round2</x:v>
      </x:c>
      <x:c r="C1154" s="1" t="str">
        <x:v>Compress_21</x:v>
      </x:c>
      <x:c r="D1154" s="1" t="str">
        <x:v>INCONCLUSIVE</x:v>
      </x:c>
      <x:c r="E1154" s="5" t="n">
        <x:v>0.7128</x:v>
      </x:c>
      <x:c r="F1154" s="4" t="n">
        <x:v>0</x:v>
      </x:c>
      <x:c r="G1154" s="4"/>
      <x:c r="H1154" s="6"/>
      <x:c r="I1154" s="16" t="n">
        <x:v>1</x:v>
      </x:c>
      <x:c r="J1154" t="n">
        <x:v>390</x:v>
      </x:c>
      <x:c r="K1154" s="4" t="n">
        <x:v>278</x:v>
      </x:c>
      <x:c r="L1154" s="4" t="n">
        <x:v>136</x:v>
      </x:c>
      <x:c r="M1154" s="4" t="n">
        <x:v>81</x:v>
      </x:c>
      <x:c r="N1154" s="5" t="n">
        <x:v>0.5956</x:v>
      </x:c>
    </x:row>
    <x:row r="1155" ht="24" customHeight="1">
      <x:c r="A1155" s="1" t="str">
        <x:v>RESULT</x:v>
      </x:c>
      <x:c r="B1155" s="1" t="str">
        <x:v>Round2</x:v>
      </x:c>
      <x:c r="C1155" s="1" t="str">
        <x:v>Compress_22</x:v>
      </x:c>
      <x:c r="D1155" s="1" t="str">
        <x:v>INCONCLUSIVE</x:v>
      </x:c>
      <x:c r="E1155" s="5" t="n">
        <x:v>0.084</x:v>
      </x:c>
      <x:c r="F1155" s="4" t="n">
        <x:v>0</x:v>
      </x:c>
      <x:c r="G1155" s="4" t="n">
        <x:v>9368</x:v>
      </x:c>
      <x:c r="H1155" s="6" t="n">
        <x:v>7.14</x:v>
      </x:c>
      <x:c r="I1155" s="16" t="n">
        <x:v>1</x:v>
      </x:c>
      <x:c r="J1155" t="n">
        <x:v>500</x:v>
      </x:c>
      <x:c r="K1155" s="4" t="n">
        <x:v>42</x:v>
      </x:c>
      <x:c r="L1155" s="4" t="n">
        <x:v>265</x:v>
      </x:c>
      <x:c r="M1155" s="4" t="n">
        <x:v>22</x:v>
      </x:c>
      <x:c r="N1155" s="5" t="n">
        <x:v>0.083</x:v>
      </x:c>
    </x:row>
    <x:row r="1156" ht="24" customHeight="1">
      <x:c r="A1156" s="1" t="str">
        <x:v>RESULT</x:v>
      </x:c>
      <x:c r="B1156" s="1" t="str">
        <x:v>Round2</x:v>
      </x:c>
      <x:c r="C1156" s="1" t="str">
        <x:v>Compress_23</x:v>
      </x:c>
      <x:c r="D1156" s="1" t="str">
        <x:v>NOT_AVAILABLE</x:v>
      </x:c>
      <x:c r="E1156" s="5"/>
      <x:c r="F1156" s="4" t="n">
        <x:v>0</x:v>
      </x:c>
      <x:c r="G1156" s="4" t="n">
        <x:v>5857</x:v>
      </x:c>
      <x:c r="H1156" s="6" t="n">
        <x:v>25.08</x:v>
      </x:c>
      <x:c r="I1156" s="16" t="n">
        <x:v>1</x:v>
      </x:c>
      <x:c r="J1156"/>
      <x:c r="K1156" s="4"/>
      <x:c r="L1156" s="4"/>
      <x:c r="M1156" s="4"/>
      <x:c r="N1156" s="5"/>
    </x:row>
    <x:row r="1157" ht="24" customHeight="1">
      <x:c r="A1157" s="1" t="str">
        <x:v>RESULT</x:v>
      </x:c>
      <x:c r="B1157" s="1" t="str">
        <x:v>Round2</x:v>
      </x:c>
      <x:c r="C1157" s="1" t="str">
        <x:v>Compress_24</x:v>
      </x:c>
      <x:c r="D1157" s="1" t="str">
        <x:v>INCONCLUSIVE</x:v>
      </x:c>
      <x:c r="E1157" s="5" t="n">
        <x:v>0.6667000000000001</x:v>
      </x:c>
      <x:c r="F1157" s="4" t="n">
        <x:v>0</x:v>
      </x:c>
      <x:c r="G1157" s="4"/>
      <x:c r="H1157" s="6"/>
      <x:c r="I1157" s="16" t="n">
        <x:v>1</x:v>
      </x:c>
      <x:c r="J1157" t="n">
        <x:v>180</x:v>
      </x:c>
      <x:c r="K1157" s="4" t="n">
        <x:v>120</x:v>
      </x:c>
      <x:c r="L1157" s="4" t="n">
        <x:v>118</x:v>
      </x:c>
      <x:c r="M1157" s="4" t="n">
        <x:v>75</x:v>
      </x:c>
      <x:c r="N1157" s="5" t="n">
        <x:v>0.6356</x:v>
      </x:c>
    </x:row>
    <x:row r="1158" ht="24" customHeight="1">
      <x:c r="A1158" s="1" t="str">
        <x:v>RESULT</x:v>
      </x:c>
      <x:c r="B1158" s="1" t="str">
        <x:v>Round2</x:v>
      </x:c>
      <x:c r="C1158" s="1" t="str">
        <x:v>Compress_25</x:v>
      </x:c>
      <x:c r="D1158" s="1" t="str">
        <x:v>INCONCLUSIVE</x:v>
      </x:c>
      <x:c r="E1158" s="5" t="n">
        <x:v>0.6384000000000001</x:v>
      </x:c>
      <x:c r="F1158" s="4" t="n">
        <x:v>0</x:v>
      </x:c>
      <x:c r="G1158" s="4" t="n">
        <x:v>10812</x:v>
      </x:c>
      <x:c r="H1158" s="6" t="n">
        <x:v>49.72</x:v>
      </x:c>
      <x:c r="I1158" s="16" t="n">
        <x:v>1</x:v>
      </x:c>
      <x:c r="J1158" t="n">
        <x:v>401</x:v>
      </x:c>
      <x:c r="K1158" s="4" t="n">
        <x:v>256</x:v>
      </x:c>
      <x:c r="L1158" s="4" t="n">
        <x:v>252</x:v>
      </x:c>
      <x:c r="M1158" s="4" t="n">
        <x:v>121</x:v>
      </x:c>
      <x:c r="N1158" s="5" t="n">
        <x:v>0.4802</x:v>
      </x:c>
    </x:row>
    <x:row r="1159" ht="24" customHeight="1">
      <x:c r="A1159" s="1" t="str">
        <x:v>RESULT</x:v>
      </x:c>
      <x:c r="B1159" s="1" t="str">
        <x:v>Round2</x:v>
      </x:c>
      <x:c r="C1159" s="1" t="str">
        <x:v>Compress_26</x:v>
      </x:c>
      <x:c r="D1159" s="1" t="str">
        <x:v>NOT_REVEALING</x:v>
      </x:c>
      <x:c r="E1159" s="5" t="n">
        <x:v>1</x:v>
      </x:c>
      <x:c r="F1159" s="4" t="n">
        <x:v>0</x:v>
      </x:c>
      <x:c r="G1159" s="4" t="n">
        <x:v>4733</x:v>
      </x:c>
      <x:c r="H1159" s="6" t="n">
        <x:v>19.09</x:v>
      </x:c>
      <x:c r="I1159" s="16" t="n">
        <x:v>1</x:v>
      </x:c>
      <x:c r="J1159" t="n">
        <x:v>36</x:v>
      </x:c>
      <x:c r="K1159" s="4" t="n">
        <x:v>36</x:v>
      </x:c>
      <x:c r="L1159" s="4" t="n">
        <x:v>18</x:v>
      </x:c>
      <x:c r="M1159" s="4" t="n">
        <x:v>18</x:v>
      </x:c>
      <x:c r="N1159" s="5" t="n">
        <x:v>1</x:v>
      </x:c>
    </x:row>
    <x:row r="1160" ht="24" customHeight="1">
      <x:c r="A1160" s="1" t="str">
        <x:v>RESULT</x:v>
      </x:c>
      <x:c r="B1160" s="1" t="str">
        <x:v>Round2</x:v>
      </x:c>
      <x:c r="C1160" s="1" t="str">
        <x:v>Compress_27</x:v>
      </x:c>
      <x:c r="D1160" s="1" t="str">
        <x:v>NOT_AVAILABLE</x:v>
      </x:c>
      <x:c r="E1160" s="5"/>
      <x:c r="F1160" s="4" t="n">
        <x:v>0</x:v>
      </x:c>
      <x:c r="G1160" s="4" t="n">
        <x:v>9487</x:v>
      </x:c>
      <x:c r="H1160" s="6" t="n">
        <x:v>23.52</x:v>
      </x:c>
      <x:c r="I1160" s="16" t="n">
        <x:v>1</x:v>
      </x:c>
      <x:c r="J1160"/>
      <x:c r="K1160" s="4"/>
      <x:c r="L1160" s="4"/>
      <x:c r="M1160" s="4"/>
      <x:c r="N1160" s="5"/>
    </x:row>
    <x:row r="1161" ht="24" customHeight="1">
      <x:c r="A1161" s="1" t="str">
        <x:v>RESULT</x:v>
      </x:c>
      <x:c r="B1161" s="1" t="str">
        <x:v>Round2</x:v>
      </x:c>
      <x:c r="C1161" s="1" t="str">
        <x:v>Compress_28</x:v>
      </x:c>
      <x:c r="D1161" s="1" t="str">
        <x:v>NOT_AVAILABLE</x:v>
      </x:c>
      <x:c r="E1161" s="5"/>
      <x:c r="F1161" s="4" t="n">
        <x:v>0</x:v>
      </x:c>
      <x:c r="G1161" s="4" t="n">
        <x:v>11380</x:v>
      </x:c>
      <x:c r="H1161" s="6" t="n">
        <x:v>55.49</x:v>
      </x:c>
      <x:c r="I1161" s="16" t="n">
        <x:v>1</x:v>
      </x:c>
      <x:c r="J1161"/>
      <x:c r="K1161" s="4"/>
      <x:c r="L1161" s="4"/>
      <x:c r="M1161" s="4"/>
      <x:c r="N1161" s="5"/>
    </x:row>
    <x:row r="1162" ht="24" customHeight="1">
      <x:c r="A1162" s="1" t="str">
        <x:v>RESULT</x:v>
      </x:c>
      <x:c r="B1162" s="1" t="str">
        <x:v>Round2</x:v>
      </x:c>
      <x:c r="C1162" s="1" t="str">
        <x:v>Compress_29</x:v>
      </x:c>
      <x:c r="D1162" s="1" t="str">
        <x:v>NOT_AVAILABLE</x:v>
      </x:c>
      <x:c r="E1162" s="5"/>
      <x:c r="F1162" s="4" t="n">
        <x:v>0</x:v>
      </x:c>
      <x:c r="G1162" s="4" t="n">
        <x:v>100923</x:v>
      </x:c>
      <x:c r="H1162" s="6" t="n">
        <x:v>2330.61</x:v>
      </x:c>
      <x:c r="I1162" s="16" t="n">
        <x:v>1</x:v>
      </x:c>
      <x:c r="J1162"/>
      <x:c r="K1162" s="4"/>
      <x:c r="L1162" s="4"/>
      <x:c r="M1162" s="4"/>
      <x:c r="N1162" s="5"/>
    </x:row>
    <x:row r="1163" ht="24" customHeight="1">
      <x:c r="A1163" s="1" t="str">
        <x:v>RESULT</x:v>
      </x:c>
      <x:c r="B1163" s="1" t="str">
        <x:v>Round2</x:v>
      </x:c>
      <x:c r="C1163" s="1" t="str">
        <x:v>Compress_3</x:v>
      </x:c>
      <x:c r="D1163" s="1" t="str">
        <x:v>INCONCLUSIVE</x:v>
      </x:c>
      <x:c r="E1163" s="5" t="n">
        <x:v>0.9444</x:v>
      </x:c>
      <x:c r="F1163" s="4" t="n">
        <x:v>0</x:v>
      </x:c>
      <x:c r="G1163" s="4" t="n">
        <x:v>28192</x:v>
      </x:c>
      <x:c r="H1163" s="6" t="n">
        <x:v>1116.56</x:v>
      </x:c>
      <x:c r="I1163" s="16" t="n">
        <x:v>1</x:v>
      </x:c>
      <x:c r="J1163" t="n">
        <x:v>90</x:v>
      </x:c>
      <x:c r="K1163" s="4" t="n">
        <x:v>85</x:v>
      </x:c>
      <x:c r="L1163" s="4" t="n">
        <x:v>28</x:v>
      </x:c>
      <x:c r="M1163" s="4" t="n">
        <x:v>27</x:v>
      </x:c>
      <x:c r="N1163" s="5" t="n">
        <x:v>0.9643</x:v>
      </x:c>
    </x:row>
    <x:row r="1164" ht="24" customHeight="1">
      <x:c r="A1164" s="1" t="str">
        <x:v>RESULT</x:v>
      </x:c>
      <x:c r="B1164" s="1" t="str">
        <x:v>Round2</x:v>
      </x:c>
      <x:c r="C1164" s="1" t="str">
        <x:v>Compress_30</x:v>
      </x:c>
      <x:c r="D1164" s="1" t="str">
        <x:v>INCONCLUSIVE</x:v>
      </x:c>
      <x:c r="E1164" s="5" t="n">
        <x:v>0.0799</x:v>
      </x:c>
      <x:c r="F1164" s="4" t="n">
        <x:v>0</x:v>
      </x:c>
      <x:c r="G1164" s="4"/>
      <x:c r="H1164" s="6"/>
      <x:c r="I1164" s="16" t="n">
        <x:v>1</x:v>
      </x:c>
      <x:c r="J1164" t="n">
        <x:v>488</x:v>
      </x:c>
      <x:c r="K1164" s="4" t="n">
        <x:v>39</x:v>
      </x:c>
      <x:c r="L1164" s="4" t="n">
        <x:v>265</x:v>
      </x:c>
      <x:c r="M1164" s="4" t="n">
        <x:v>19</x:v>
      </x:c>
      <x:c r="N1164" s="5" t="n">
        <x:v>0.0717</x:v>
      </x:c>
    </x:row>
    <x:row r="1165" ht="24" customHeight="1">
      <x:c r="A1165" s="1" t="str">
        <x:v>RESULT</x:v>
      </x:c>
      <x:c r="B1165" s="1" t="str">
        <x:v>Round2</x:v>
      </x:c>
      <x:c r="C1165" s="1" t="str">
        <x:v>Compress_31</x:v>
      </x:c>
      <x:c r="D1165" s="1" t="str">
        <x:v>INCONCLUSIVE</x:v>
      </x:c>
      <x:c r="E1165" s="5" t="n">
        <x:v>0.6591</x:v>
      </x:c>
      <x:c r="F1165" s="4" t="n">
        <x:v>0</x:v>
      </x:c>
      <x:c r="G1165" s="4"/>
      <x:c r="H1165" s="6"/>
      <x:c r="I1165" s="16" t="n">
        <x:v>1</x:v>
      </x:c>
      <x:c r="J1165" t="n">
        <x:v>176</x:v>
      </x:c>
      <x:c r="K1165" s="4" t="n">
        <x:v>116</x:v>
      </x:c>
      <x:c r="L1165" s="4" t="n">
        <x:v>116</x:v>
      </x:c>
      <x:c r="M1165" s="4" t="n">
        <x:v>73</x:v>
      </x:c>
      <x:c r="N1165" s="5" t="n">
        <x:v>0.6293</x:v>
      </x:c>
    </x:row>
    <x:row r="1166" ht="24" customHeight="1">
      <x:c r="A1166" s="1" t="str">
        <x:v>RESULT</x:v>
      </x:c>
      <x:c r="B1166" s="1" t="str">
        <x:v>Round2</x:v>
      </x:c>
      <x:c r="C1166" s="1" t="str">
        <x:v>Compress_32</x:v>
      </x:c>
      <x:c r="D1166" s="1" t="str">
        <x:v>INCONCLUSIVE</x:v>
      </x:c>
      <x:c r="E1166" s="5" t="n">
        <x:v>0.4364</x:v>
      </x:c>
      <x:c r="F1166" s="4" t="n">
        <x:v>0</x:v>
      </x:c>
      <x:c r="G1166" s="4"/>
      <x:c r="H1166" s="6"/>
      <x:c r="I1166" s="16" t="n">
        <x:v>1</x:v>
      </x:c>
      <x:c r="J1166" t="n">
        <x:v>220</x:v>
      </x:c>
      <x:c r="K1166" s="4" t="n">
        <x:v>96</x:v>
      </x:c>
      <x:c r="L1166" s="4" t="n">
        <x:v>126</x:v>
      </x:c>
      <x:c r="M1166" s="4" t="n">
        <x:v>38</x:v>
      </x:c>
      <x:c r="N1166" s="5" t="n">
        <x:v>0.3016</x:v>
      </x:c>
    </x:row>
    <x:row r="1167" ht="24" customHeight="1">
      <x:c r="A1167" s="1" t="str">
        <x:v>RESULT</x:v>
      </x:c>
      <x:c r="B1167" s="1" t="str">
        <x:v>Round2</x:v>
      </x:c>
      <x:c r="C1167" s="1" t="str">
        <x:v>Compress_33</x:v>
      </x:c>
      <x:c r="D1167" s="1" t="str">
        <x:v>NOT_AVAILABLE</x:v>
      </x:c>
      <x:c r="E1167" s="5"/>
      <x:c r="F1167" s="4" t="n">
        <x:v>0</x:v>
      </x:c>
      <x:c r="G1167" s="4" t="n">
        <x:v>34149</x:v>
      </x:c>
      <x:c r="H1167" s="6" t="n">
        <x:v>1158.57</x:v>
      </x:c>
      <x:c r="I1167" s="16" t="n">
        <x:v>1</x:v>
      </x:c>
      <x:c r="J1167"/>
      <x:c r="K1167" s="4"/>
      <x:c r="L1167" s="4"/>
      <x:c r="M1167" s="4"/>
      <x:c r="N1167" s="5"/>
    </x:row>
    <x:row r="1168" ht="24" customHeight="1">
      <x:c r="A1168" s="1" t="str">
        <x:v>RESULT</x:v>
      </x:c>
      <x:c r="B1168" s="1" t="str">
        <x:v>Round2</x:v>
      </x:c>
      <x:c r="C1168" s="1" t="str">
        <x:v>Compress_34</x:v>
      </x:c>
      <x:c r="D1168" s="1" t="str">
        <x:v>INCONCLUSIVE</x:v>
      </x:c>
      <x:c r="E1168" s="5" t="n">
        <x:v>1</x:v>
      </x:c>
      <x:c r="F1168" s="4" t="n">
        <x:v>0</x:v>
      </x:c>
      <x:c r="G1168" s="4" t="n">
        <x:v>7029</x:v>
      </x:c>
      <x:c r="H1168" s="6" t="n">
        <x:v>22.79</x:v>
      </x:c>
      <x:c r="I1168" s="16" t="n">
        <x:v>1</x:v>
      </x:c>
      <x:c r="J1168" t="n">
        <x:v>70</x:v>
      </x:c>
      <x:c r="K1168" s="4" t="n">
        <x:v>70</x:v>
      </x:c>
      <x:c r="L1168" s="4" t="n">
        <x:v>14</x:v>
      </x:c>
      <x:c r="M1168" s="4" t="n">
        <x:v>13</x:v>
      </x:c>
      <x:c r="N1168" s="5" t="n">
        <x:v>0.9286</x:v>
      </x:c>
    </x:row>
    <x:row r="1169" ht="24" customHeight="1">
      <x:c r="A1169" s="1" t="str">
        <x:v>RESULT</x:v>
      </x:c>
      <x:c r="B1169" s="1" t="str">
        <x:v>Round2</x:v>
      </x:c>
      <x:c r="C1169" s="1" t="str">
        <x:v>Compress_35</x:v>
      </x:c>
      <x:c r="D1169" s="1" t="str">
        <x:v>INCONCLUSIVE</x:v>
      </x:c>
      <x:c r="E1169" s="5" t="n">
        <x:v>0.6954</x:v>
      </x:c>
      <x:c r="F1169" s="4" t="n">
        <x:v>0</x:v>
      </x:c>
      <x:c r="G1169" s="4" t="n">
        <x:v>5424</x:v>
      </x:c>
      <x:c r="H1169" s="6" t="n">
        <x:v>12.74</x:v>
      </x:c>
      <x:c r="I1169" s="16" t="n">
        <x:v>1</x:v>
      </x:c>
      <x:c r="J1169" t="n">
        <x:v>174</x:v>
      </x:c>
      <x:c r="K1169" s="4" t="n">
        <x:v>121</x:v>
      </x:c>
      <x:c r="L1169" s="4" t="n">
        <x:v>112</x:v>
      </x:c>
      <x:c r="M1169" s="4" t="n">
        <x:v>68</x:v>
      </x:c>
      <x:c r="N1169" s="5" t="n">
        <x:v>0.6071</x:v>
      </x:c>
    </x:row>
    <x:row r="1170" ht="24" customHeight="1">
      <x:c r="A1170" s="1" t="str">
        <x:v>RESULT</x:v>
      </x:c>
      <x:c r="B1170" s="1" t="str">
        <x:v>Round2</x:v>
      </x:c>
      <x:c r="C1170" s="1" t="str">
        <x:v>Compress_36</x:v>
      </x:c>
      <x:c r="D1170" s="1" t="str">
        <x:v>INCONCLUSIVE</x:v>
      </x:c>
      <x:c r="E1170" s="5" t="n">
        <x:v>0.075</x:v>
      </x:c>
      <x:c r="F1170" s="4" t="n">
        <x:v>0</x:v>
      </x:c>
      <x:c r="G1170" s="4"/>
      <x:c r="H1170" s="6"/>
      <x:c r="I1170" s="16" t="n">
        <x:v>1</x:v>
      </x:c>
      <x:c r="J1170" t="n">
        <x:v>533</x:v>
      </x:c>
      <x:c r="K1170" s="4" t="n">
        <x:v>40</x:v>
      </x:c>
      <x:c r="L1170" s="4" t="n">
        <x:v>303</x:v>
      </x:c>
      <x:c r="M1170" s="4" t="n">
        <x:v>10</x:v>
      </x:c>
      <x:c r="N1170" s="5" t="n">
        <x:v>0.033</x:v>
      </x:c>
    </x:row>
    <x:row r="1171" ht="24" customHeight="1">
      <x:c r="A1171" s="1" t="str">
        <x:v>RESULT</x:v>
      </x:c>
      <x:c r="B1171" s="1" t="str">
        <x:v>Round2</x:v>
      </x:c>
      <x:c r="C1171" s="1" t="str">
        <x:v>Compress_37</x:v>
      </x:c>
      <x:c r="D1171" s="1" t="str">
        <x:v>NOT_AVAILABLE</x:v>
      </x:c>
      <x:c r="E1171" s="5"/>
      <x:c r="F1171" s="4" t="n">
        <x:v>0</x:v>
      </x:c>
      <x:c r="G1171" s="4" t="n">
        <x:v>7892</x:v>
      </x:c>
      <x:c r="H1171" s="6" t="n">
        <x:v>39.5</x:v>
      </x:c>
      <x:c r="I1171" s="16" t="n">
        <x:v>1</x:v>
      </x:c>
      <x:c r="J1171"/>
      <x:c r="K1171" s="4"/>
      <x:c r="L1171" s="4"/>
      <x:c r="M1171" s="4"/>
      <x:c r="N1171" s="5"/>
    </x:row>
    <x:row r="1172" ht="24" customHeight="1">
      <x:c r="A1172" s="1" t="str">
        <x:v>RESULT</x:v>
      </x:c>
      <x:c r="B1172" s="1" t="str">
        <x:v>Round2</x:v>
      </x:c>
      <x:c r="C1172" s="1" t="str">
        <x:v>Compress_38</x:v>
      </x:c>
      <x:c r="D1172" s="1" t="str">
        <x:v>NOT_AVAILABLE</x:v>
      </x:c>
      <x:c r="E1172" s="5"/>
      <x:c r="F1172" s="4" t="n">
        <x:v>0</x:v>
      </x:c>
      <x:c r="G1172" s="4" t="n">
        <x:v>10164</x:v>
      </x:c>
      <x:c r="H1172" s="6" t="n">
        <x:v>50.46</x:v>
      </x:c>
      <x:c r="I1172" s="16" t="n">
        <x:v>1</x:v>
      </x:c>
      <x:c r="J1172"/>
      <x:c r="K1172" s="4"/>
      <x:c r="L1172" s="4"/>
      <x:c r="M1172" s="4"/>
      <x:c r="N1172" s="5"/>
    </x:row>
    <x:row r="1173" ht="24" customHeight="1">
      <x:c r="A1173" s="1" t="str">
        <x:v>RESULT</x:v>
      </x:c>
      <x:c r="B1173" s="1" t="str">
        <x:v>Round2</x:v>
      </x:c>
      <x:c r="C1173" s="1" t="str">
        <x:v>Compress_39</x:v>
      </x:c>
      <x:c r="D1173" s="1" t="str">
        <x:v>NOT_AVAILABLE</x:v>
      </x:c>
      <x:c r="E1173" s="5"/>
      <x:c r="F1173" s="4" t="n">
        <x:v>0</x:v>
      </x:c>
      <x:c r="G1173" s="4" t="n">
        <x:v>5720</x:v>
      </x:c>
      <x:c r="H1173" s="6" t="n">
        <x:v>16.48</x:v>
      </x:c>
      <x:c r="I1173" s="16" t="n">
        <x:v>1</x:v>
      </x:c>
      <x:c r="J1173"/>
      <x:c r="K1173" s="4"/>
      <x:c r="L1173" s="4"/>
      <x:c r="M1173" s="4"/>
      <x:c r="N1173" s="5"/>
    </x:row>
    <x:row r="1174" ht="24" customHeight="1">
      <x:c r="A1174" s="1" t="str">
        <x:v>RESULT</x:v>
      </x:c>
      <x:c r="B1174" s="1" t="str">
        <x:v>Round2</x:v>
      </x:c>
      <x:c r="C1174" s="1" t="str">
        <x:v>Compress_4</x:v>
      </x:c>
      <x:c r="D1174" s="1" t="str">
        <x:v>NOT_AVAILABLE</x:v>
      </x:c>
      <x:c r="E1174" s="5"/>
      <x:c r="F1174" s="4" t="n">
        <x:v>0</x:v>
      </x:c>
      <x:c r="G1174" s="4" t="n">
        <x:v>26247</x:v>
      </x:c>
      <x:c r="H1174" s="6" t="n">
        <x:v>94.46</x:v>
      </x:c>
      <x:c r="I1174" s="16" t="n">
        <x:v>1</x:v>
      </x:c>
      <x:c r="J1174"/>
      <x:c r="K1174" s="4"/>
      <x:c r="L1174" s="4"/>
      <x:c r="M1174" s="4"/>
      <x:c r="N1174" s="5"/>
    </x:row>
    <x:row r="1175" ht="24" customHeight="1">
      <x:c r="A1175" s="1" t="str">
        <x:v>RESULT</x:v>
      </x:c>
      <x:c r="B1175" s="1" t="str">
        <x:v>Round2</x:v>
      </x:c>
      <x:c r="C1175" s="1" t="str">
        <x:v>Compress_40</x:v>
      </x:c>
      <x:c r="D1175" s="1" t="str">
        <x:v>NOT_REVEALING</x:v>
      </x:c>
      <x:c r="E1175" s="5" t="n">
        <x:v>1</x:v>
      </x:c>
      <x:c r="F1175" s="4" t="n">
        <x:v>0</x:v>
      </x:c>
      <x:c r="G1175" s="4" t="n">
        <x:v>30359</x:v>
      </x:c>
      <x:c r="H1175" s="6" t="n">
        <x:v>1239.11</x:v>
      </x:c>
      <x:c r="I1175" s="16" t="n">
        <x:v>1</x:v>
      </x:c>
      <x:c r="J1175" t="n">
        <x:v>33</x:v>
      </x:c>
      <x:c r="K1175" s="4" t="n">
        <x:v>33</x:v>
      </x:c>
      <x:c r="L1175" s="4" t="n">
        <x:v>12</x:v>
      </x:c>
      <x:c r="M1175" s="4" t="n">
        <x:v>12</x:v>
      </x:c>
      <x:c r="N1175" s="5" t="n">
        <x:v>1</x:v>
      </x:c>
    </x:row>
    <x:row r="1176" ht="24" customHeight="1">
      <x:c r="A1176" s="1" t="str">
        <x:v>RESULT</x:v>
      </x:c>
      <x:c r="B1176" s="1" t="str">
        <x:v>Round2</x:v>
      </x:c>
      <x:c r="C1176" s="1" t="str">
        <x:v>Compress_41</x:v>
      </x:c>
      <x:c r="D1176" s="1" t="str">
        <x:v>NOT_AVAILABLE</x:v>
      </x:c>
      <x:c r="E1176" s="5"/>
      <x:c r="F1176" s="4" t="n">
        <x:v>0</x:v>
      </x:c>
      <x:c r="G1176" s="4" t="n">
        <x:v>9169</x:v>
      </x:c>
      <x:c r="H1176" s="6" t="n">
        <x:v>20.38</x:v>
      </x:c>
      <x:c r="I1176" s="16" t="n">
        <x:v>1</x:v>
      </x:c>
      <x:c r="J1176"/>
      <x:c r="K1176" s="4"/>
      <x:c r="L1176" s="4"/>
      <x:c r="M1176" s="4"/>
      <x:c r="N1176" s="5"/>
    </x:row>
    <x:row r="1177" ht="24" customHeight="1">
      <x:c r="A1177" s="1" t="str">
        <x:v>RESULT</x:v>
      </x:c>
      <x:c r="B1177" s="1" t="str">
        <x:v>Round2</x:v>
      </x:c>
      <x:c r="C1177" s="1" t="str">
        <x:v>Compress_42</x:v>
      </x:c>
      <x:c r="D1177" s="1" t="str">
        <x:v>INCONCLUSIVE</x:v>
      </x:c>
      <x:c r="E1177" s="5" t="n">
        <x:v>0.8636</x:v>
      </x:c>
      <x:c r="F1177" s="4" t="n">
        <x:v>0</x:v>
      </x:c>
      <x:c r="G1177" s="4" t="n">
        <x:v>10206</x:v>
      </x:c>
      <x:c r="H1177" s="6" t="n">
        <x:v>30.98</x:v>
      </x:c>
      <x:c r="I1177" s="16" t="n">
        <x:v>1</x:v>
      </x:c>
      <x:c r="J1177" t="n">
        <x:v>242</x:v>
      </x:c>
      <x:c r="K1177" s="4" t="n">
        <x:v>209</x:v>
      </x:c>
      <x:c r="L1177" s="4" t="n">
        <x:v>132</x:v>
      </x:c>
      <x:c r="M1177" s="4" t="n">
        <x:v>88</x:v>
      </x:c>
      <x:c r="N1177" s="5" t="n">
        <x:v>0.6667000000000001</x:v>
      </x:c>
    </x:row>
    <x:row r="1178" ht="24" customHeight="1">
      <x:c r="A1178" s="1" t="str">
        <x:v>RESULT</x:v>
      </x:c>
      <x:c r="B1178" s="1" t="str">
        <x:v>Round2</x:v>
      </x:c>
      <x:c r="C1178" s="1" t="str">
        <x:v>Compress_43</x:v>
      </x:c>
      <x:c r="D1178" s="1" t="str">
        <x:v>NOT_AVAILABLE</x:v>
      </x:c>
      <x:c r="E1178" s="5"/>
      <x:c r="F1178" s="4" t="n">
        <x:v>0</x:v>
      </x:c>
      <x:c r="G1178" s="4" t="n">
        <x:v>14532</x:v>
      </x:c>
      <x:c r="H1178" s="6" t="n">
        <x:v>30.64</x:v>
      </x:c>
      <x:c r="I1178" s="16" t="n">
        <x:v>1</x:v>
      </x:c>
      <x:c r="J1178"/>
      <x:c r="K1178" s="4"/>
      <x:c r="L1178" s="4"/>
      <x:c r="M1178" s="4"/>
      <x:c r="N1178" s="5"/>
    </x:row>
    <x:row r="1179" ht="24" customHeight="1">
      <x:c r="A1179" s="1" t="str">
        <x:v>RESULT</x:v>
      </x:c>
      <x:c r="B1179" s="1" t="str">
        <x:v>Round2</x:v>
      </x:c>
      <x:c r="C1179" s="1" t="str">
        <x:v>Compress_44</x:v>
      </x:c>
      <x:c r="D1179" s="1" t="str">
        <x:v>INCONCLUSIVE</x:v>
      </x:c>
      <x:c r="E1179" s="5" t="n">
        <x:v>1</x:v>
      </x:c>
      <x:c r="F1179" s="4" t="n">
        <x:v>0</x:v>
      </x:c>
      <x:c r="G1179" s="4" t="n">
        <x:v>3393</x:v>
      </x:c>
      <x:c r="H1179" s="6" t="n">
        <x:v>12.4</x:v>
      </x:c>
      <x:c r="I1179" s="16" t="n">
        <x:v>1</x:v>
      </x:c>
      <x:c r="J1179" t="n">
        <x:v>17</x:v>
      </x:c>
      <x:c r="K1179" s="4" t="n">
        <x:v>17</x:v>
      </x:c>
      <x:c r="L1179" s="4" t="n">
        <x:v>6</x:v>
      </x:c>
      <x:c r="M1179" s="4" t="n">
        <x:v>6</x:v>
      </x:c>
      <x:c r="N1179" s="5" t="n">
        <x:v>1</x:v>
      </x:c>
    </x:row>
    <x:row r="1180" ht="24" customHeight="1">
      <x:c r="A1180" s="1" t="str">
        <x:v>RESULT</x:v>
      </x:c>
      <x:c r="B1180" s="1" t="str">
        <x:v>Round2</x:v>
      </x:c>
      <x:c r="C1180" s="1" t="str">
        <x:v>Compress_45</x:v>
      </x:c>
      <x:c r="D1180" s="1" t="str">
        <x:v>INCONCLUSIVE</x:v>
      </x:c>
      <x:c r="E1180" s="5" t="n">
        <x:v>0.6374</x:v>
      </x:c>
      <x:c r="F1180" s="4" t="n">
        <x:v>0</x:v>
      </x:c>
      <x:c r="G1180" s="4"/>
      <x:c r="H1180" s="6"/>
      <x:c r="I1180" s="16" t="n">
        <x:v>1</x:v>
      </x:c>
      <x:c r="J1180" t="n">
        <x:v>171</x:v>
      </x:c>
      <x:c r="K1180" s="4" t="n">
        <x:v>109</x:v>
      </x:c>
      <x:c r="L1180" s="4" t="n">
        <x:v>108</x:v>
      </x:c>
      <x:c r="M1180" s="4" t="n">
        <x:v>66</x:v>
      </x:c>
      <x:c r="N1180" s="5" t="n">
        <x:v>0.6111</x:v>
      </x:c>
    </x:row>
    <x:row r="1181" ht="24" customHeight="1">
      <x:c r="A1181" s="1" t="str">
        <x:v>RESULT</x:v>
      </x:c>
      <x:c r="B1181" s="1" t="str">
        <x:v>Round2</x:v>
      </x:c>
      <x:c r="C1181" s="1" t="str">
        <x:v>Compress_46</x:v>
      </x:c>
      <x:c r="D1181" s="1" t="str">
        <x:v>INCONCLUSIVE</x:v>
      </x:c>
      <x:c r="E1181" s="5" t="n">
        <x:v>0.9464</x:v>
      </x:c>
      <x:c r="F1181" s="4" t="n">
        <x:v>0</x:v>
      </x:c>
      <x:c r="G1181" s="4" t="n">
        <x:v>10389</x:v>
      </x:c>
      <x:c r="H1181" s="6" t="n">
        <x:v>35.4</x:v>
      </x:c>
      <x:c r="I1181" s="16" t="n">
        <x:v>1</x:v>
      </x:c>
      <x:c r="J1181" t="n">
        <x:v>112</x:v>
      </x:c>
      <x:c r="K1181" s="4" t="n">
        <x:v>106</x:v>
      </x:c>
      <x:c r="L1181" s="4" t="n">
        <x:v>96</x:v>
      </x:c>
      <x:c r="M1181" s="4" t="n">
        <x:v>72</x:v>
      </x:c>
      <x:c r="N1181" s="5" t="n">
        <x:v>0.75</x:v>
      </x:c>
    </x:row>
    <x:row r="1182" ht="24" customHeight="1">
      <x:c r="A1182" s="1" t="str">
        <x:v>RESULT</x:v>
      </x:c>
      <x:c r="B1182" s="1" t="str">
        <x:v>Round2</x:v>
      </x:c>
      <x:c r="C1182" s="1" t="str">
        <x:v>Compress_47</x:v>
      </x:c>
      <x:c r="D1182" s="1" t="str">
        <x:v>INCONCLUSIVE</x:v>
      </x:c>
      <x:c r="E1182" s="5" t="n">
        <x:v>0.6557999999999999</x:v>
      </x:c>
      <x:c r="F1182" s="4" t="n">
        <x:v>0</x:v>
      </x:c>
      <x:c r="G1182" s="4"/>
      <x:c r="H1182" s="6"/>
      <x:c r="I1182" s="16" t="n">
        <x:v>1</x:v>
      </x:c>
      <x:c r="J1182" t="n">
        <x:v>430</x:v>
      </x:c>
      <x:c r="K1182" s="4" t="n">
        <x:v>282</x:v>
      </x:c>
      <x:c r="L1182" s="4" t="n">
        <x:v>273</x:v>
      </x:c>
      <x:c r="M1182" s="4" t="n">
        <x:v>129</x:v>
      </x:c>
      <x:c r="N1182" s="5" t="n">
        <x:v>0.4725</x:v>
      </x:c>
    </x:row>
    <x:row r="1183" ht="24" customHeight="1">
      <x:c r="A1183" s="1" t="str">
        <x:v>RESULT</x:v>
      </x:c>
      <x:c r="B1183" s="1" t="str">
        <x:v>Round2</x:v>
      </x:c>
      <x:c r="C1183" s="1" t="str">
        <x:v>Compress_5</x:v>
      </x:c>
      <x:c r="D1183" s="1" t="str">
        <x:v>INCONCLUSIVE</x:v>
      </x:c>
      <x:c r="E1183" s="5" t="n">
        <x:v>0.9181999999999999</x:v>
      </x:c>
      <x:c r="F1183" s="4" t="n">
        <x:v>0</x:v>
      </x:c>
      <x:c r="G1183" s="4" t="n">
        <x:v>6440</x:v>
      </x:c>
      <x:c r="H1183" s="6" t="n">
        <x:v>28.04</x:v>
      </x:c>
      <x:c r="I1183" s="16" t="n">
        <x:v>1</x:v>
      </x:c>
      <x:c r="J1183" t="n">
        <x:v>159</x:v>
      </x:c>
      <x:c r="K1183" s="4" t="n">
        <x:v>146</x:v>
      </x:c>
      <x:c r="L1183" s="4" t="n">
        <x:v>94</x:v>
      </x:c>
      <x:c r="M1183" s="4" t="n">
        <x:v>70</x:v>
      </x:c>
      <x:c r="N1183" s="5" t="n">
        <x:v>0.7447</x:v>
      </x:c>
    </x:row>
    <x:row r="1184" ht="24" customHeight="1">
      <x:c r="A1184" s="1" t="str">
        <x:v>RESULT</x:v>
      </x:c>
      <x:c r="B1184" s="1" t="str">
        <x:v>Round2</x:v>
      </x:c>
      <x:c r="C1184" s="1" t="str">
        <x:v>Compress_6</x:v>
      </x:c>
      <x:c r="D1184" s="1" t="str">
        <x:v>NOT_AVAILABLE</x:v>
      </x:c>
      <x:c r="E1184" s="5"/>
      <x:c r="F1184" s="4" t="n">
        <x:v>0</x:v>
      </x:c>
      <x:c r="G1184" s="4" t="n">
        <x:v>8221</x:v>
      </x:c>
      <x:c r="H1184" s="6" t="n">
        <x:v>31.88</x:v>
      </x:c>
      <x:c r="I1184" s="16" t="n">
        <x:v>1</x:v>
      </x:c>
      <x:c r="J1184"/>
      <x:c r="K1184" s="4"/>
      <x:c r="L1184" s="4"/>
      <x:c r="M1184" s="4"/>
      <x:c r="N1184" s="5"/>
    </x:row>
    <x:row r="1185" ht="24" customHeight="1">
      <x:c r="A1185" s="1" t="str">
        <x:v>RESULT</x:v>
      </x:c>
      <x:c r="B1185" s="1" t="str">
        <x:v>Round2</x:v>
      </x:c>
      <x:c r="C1185" s="1" t="str">
        <x:v>Compress_7</x:v>
      </x:c>
      <x:c r="D1185" s="1" t="str">
        <x:v>INCONCLUSIVE</x:v>
      </x:c>
      <x:c r="E1185" s="5" t="n">
        <x:v>0.9682999999999999</x:v>
      </x:c>
      <x:c r="F1185" s="4" t="n">
        <x:v>0</x:v>
      </x:c>
      <x:c r="G1185" s="4" t="n">
        <x:v>5075</x:v>
      </x:c>
      <x:c r="H1185" s="6" t="n">
        <x:v>13.76</x:v>
      </x:c>
      <x:c r="I1185" s="16" t="n">
        <x:v>1</x:v>
      </x:c>
      <x:c r="J1185" t="n">
        <x:v>63</x:v>
      </x:c>
      <x:c r="K1185" s="4" t="n">
        <x:v>61</x:v>
      </x:c>
      <x:c r="L1185" s="4" t="n">
        <x:v>38</x:v>
      </x:c>
      <x:c r="M1185" s="4" t="n">
        <x:v>35</x:v>
      </x:c>
      <x:c r="N1185" s="5" t="n">
        <x:v>0.9211</x:v>
      </x:c>
    </x:row>
    <x:row r="1186" ht="24" customHeight="1">
      <x:c r="A1186" s="1" t="str">
        <x:v>RESULT</x:v>
      </x:c>
      <x:c r="B1186" s="1" t="str">
        <x:v>Round2</x:v>
      </x:c>
      <x:c r="C1186" s="1" t="str">
        <x:v>Compress_8</x:v>
      </x:c>
      <x:c r="D1186" s="1" t="str">
        <x:v>INCONCLUSIVE</x:v>
      </x:c>
      <x:c r="E1186" s="5" t="n">
        <x:v>0.9714</x:v>
      </x:c>
      <x:c r="F1186" s="4" t="n">
        <x:v>0</x:v>
      </x:c>
      <x:c r="G1186" s="4"/>
      <x:c r="H1186" s="6"/>
      <x:c r="I1186" s="16" t="n">
        <x:v>1</x:v>
      </x:c>
      <x:c r="J1186" t="n">
        <x:v>70</x:v>
      </x:c>
      <x:c r="K1186" s="4" t="n">
        <x:v>68</x:v>
      </x:c>
      <x:c r="L1186" s="4" t="n">
        <x:v>38</x:v>
      </x:c>
      <x:c r="M1186" s="4" t="n">
        <x:v>35</x:v>
      </x:c>
      <x:c r="N1186" s="5" t="n">
        <x:v>0.9211</x:v>
      </x:c>
    </x:row>
    <x:row r="1187" ht="24" customHeight="1">
      <x:c r="A1187" s="1" t="str">
        <x:v>RESULT</x:v>
      </x:c>
      <x:c r="B1187" s="1" t="str">
        <x:v>Round2</x:v>
      </x:c>
      <x:c r="C1187" s="1" t="str">
        <x:v>Compress_9</x:v>
      </x:c>
      <x:c r="D1187" s="1" t="str">
        <x:v>INCONCLUSIVE</x:v>
      </x:c>
      <x:c r="E1187" s="5" t="n">
        <x:v>0.7726999999999999</x:v>
      </x:c>
      <x:c r="F1187" s="4" t="n">
        <x:v>0</x:v>
      </x:c>
      <x:c r="G1187" s="4"/>
      <x:c r="H1187" s="6"/>
      <x:c r="I1187" s="16" t="n">
        <x:v>1</x:v>
      </x:c>
      <x:c r="J1187" t="n">
        <x:v>110</x:v>
      </x:c>
      <x:c r="K1187" s="4" t="n">
        <x:v>85</x:v>
      </x:c>
      <x:c r="L1187" s="4" t="n">
        <x:v>42</x:v>
      </x:c>
      <x:c r="M1187" s="4" t="n">
        <x:v>35</x:v>
      </x:c>
      <x:c r="N1187" s="5" t="n">
        <x:v>0.8332999999999999</x:v>
      </x:c>
    </x:row>
    <x:row r="1188" ht="24" customHeight="1">
      <x:c r="A1188" s="1" t="str">
        <x:v>RESULT</x:v>
      </x:c>
      <x:c r="B1188" s="1" t="str">
        <x:v>Round2</x:v>
      </x:c>
      <x:c r="C1188" s="1" t="str">
        <x:v>Csv_1</x:v>
      </x:c>
      <x:c r="D1188" s="1" t="str">
        <x:v>INCONCLUSIVE</x:v>
      </x:c>
      <x:c r="E1188" s="5" t="n">
        <x:v>1</x:v>
      </x:c>
      <x:c r="F1188" s="4" t="n">
        <x:v>0</x:v>
      </x:c>
      <x:c r="G1188" s="4"/>
      <x:c r="H1188" s="6"/>
      <x:c r="I1188" s="16" t="n">
        <x:v>1</x:v>
      </x:c>
      <x:c r="J1188" t="n">
        <x:v>37</x:v>
      </x:c>
      <x:c r="K1188" s="4" t="n">
        <x:v>37</x:v>
      </x:c>
      <x:c r="L1188" s="4" t="n">
        <x:v>22</x:v>
      </x:c>
      <x:c r="M1188" s="4" t="n">
        <x:v>21</x:v>
      </x:c>
      <x:c r="N1188" s="5" t="n">
        <x:v>0.9545</x:v>
      </x:c>
    </x:row>
    <x:row r="1189" ht="24" customHeight="1">
      <x:c r="A1189" s="1" t="str">
        <x:v>RESULT</x:v>
      </x:c>
      <x:c r="B1189" s="1" t="str">
        <x:v>Round2</x:v>
      </x:c>
      <x:c r="C1189" s="1" t="str">
        <x:v>Csv_10</x:v>
      </x:c>
      <x:c r="D1189" s="1" t="str">
        <x:v>NOT_AVAILABLE</x:v>
      </x:c>
      <x:c r="E1189" s="5"/>
      <x:c r="F1189" s="4" t="n">
        <x:v>0</x:v>
      </x:c>
      <x:c r="G1189" s="4" t="n">
        <x:v>10286</x:v>
      </x:c>
      <x:c r="H1189" s="6" t="n">
        <x:v>66.17</x:v>
      </x:c>
      <x:c r="I1189" s="16" t="n">
        <x:v>1</x:v>
      </x:c>
      <x:c r="J1189"/>
      <x:c r="K1189" s="4"/>
      <x:c r="L1189" s="4"/>
      <x:c r="M1189" s="4"/>
      <x:c r="N1189" s="5"/>
    </x:row>
    <x:row r="1190" ht="24" customHeight="1">
      <x:c r="A1190" s="1" t="str">
        <x:v>RESULT</x:v>
      </x:c>
      <x:c r="B1190" s="1" t="str">
        <x:v>Round2</x:v>
      </x:c>
      <x:c r="C1190" s="1" t="str">
        <x:v>Csv_11</x:v>
      </x:c>
      <x:c r="D1190" s="1" t="str">
        <x:v>NOT_AVAILABLE</x:v>
      </x:c>
      <x:c r="E1190" s="5"/>
      <x:c r="F1190" s="4" t="n">
        <x:v>0</x:v>
      </x:c>
      <x:c r="G1190" s="4" t="n">
        <x:v>14515</x:v>
      </x:c>
      <x:c r="H1190" s="6" t="n">
        <x:v>83.06</x:v>
      </x:c>
      <x:c r="I1190" s="16" t="n">
        <x:v>1</x:v>
      </x:c>
      <x:c r="J1190"/>
      <x:c r="K1190" s="4"/>
      <x:c r="L1190" s="4"/>
      <x:c r="M1190" s="4"/>
      <x:c r="N1190" s="5"/>
    </x:row>
    <x:row r="1191" ht="24" customHeight="1">
      <x:c r="A1191" s="1" t="str">
        <x:v>RESULT</x:v>
      </x:c>
      <x:c r="B1191" s="1" t="str">
        <x:v>Round2</x:v>
      </x:c>
      <x:c r="C1191" s="1" t="str">
        <x:v>Csv_12</x:v>
      </x:c>
      <x:c r="D1191" s="1" t="str">
        <x:v>INCONCLUSIVE</x:v>
      </x:c>
      <x:c r="E1191" s="5" t="n">
        <x:v>0.7445999999999999</x:v>
      </x:c>
      <x:c r="F1191" s="4" t="n">
        <x:v>0</x:v>
      </x:c>
      <x:c r="G1191" s="4"/>
      <x:c r="H1191" s="6"/>
      <x:c r="I1191" s="16" t="n">
        <x:v>1</x:v>
      </x:c>
      <x:c r="J1191" t="n">
        <x:v>184</x:v>
      </x:c>
      <x:c r="K1191" s="4" t="n">
        <x:v>137</x:v>
      </x:c>
      <x:c r="L1191" s="4" t="n">
        <x:v>140</x:v>
      </x:c>
      <x:c r="M1191" s="4" t="n">
        <x:v>82</x:v>
      </x:c>
      <x:c r="N1191" s="5" t="n">
        <x:v>0.5857</x:v>
      </x:c>
    </x:row>
    <x:row r="1192" ht="24" customHeight="1">
      <x:c r="A1192" s="1" t="str">
        <x:v>RESULT</x:v>
      </x:c>
      <x:c r="B1192" s="1" t="str">
        <x:v>Round2</x:v>
      </x:c>
      <x:c r="C1192" s="1" t="str">
        <x:v>Csv_13</x:v>
      </x:c>
      <x:c r="D1192" s="1" t="str">
        <x:v>NOT_AVAILABLE</x:v>
      </x:c>
      <x:c r="E1192" s="5"/>
      <x:c r="F1192" s="4" t="n">
        <x:v>0</x:v>
      </x:c>
      <x:c r="G1192" s="4" t="n">
        <x:v>26765</x:v>
      </x:c>
      <x:c r="H1192" s="6" t="n">
        <x:v>163.83</x:v>
      </x:c>
      <x:c r="I1192" s="16" t="n">
        <x:v>1</x:v>
      </x:c>
      <x:c r="J1192"/>
      <x:c r="K1192" s="4"/>
      <x:c r="L1192" s="4"/>
      <x:c r="M1192" s="4"/>
      <x:c r="N1192" s="5"/>
    </x:row>
    <x:row r="1193" ht="24" customHeight="1">
      <x:c r="A1193" s="1" t="str">
        <x:v>RESULT</x:v>
      </x:c>
      <x:c r="B1193" s="1" t="str">
        <x:v>Round2</x:v>
      </x:c>
      <x:c r="C1193" s="1" t="str">
        <x:v>Csv_14</x:v>
      </x:c>
      <x:c r="D1193" s="1" t="str">
        <x:v>NOT_AVAILABLE</x:v>
      </x:c>
      <x:c r="E1193" s="5"/>
      <x:c r="F1193" s="4" t="n">
        <x:v>0</x:v>
      </x:c>
      <x:c r="G1193" s="4" t="n">
        <x:v>12004</x:v>
      </x:c>
      <x:c r="H1193" s="6" t="n">
        <x:v>44.8</x:v>
      </x:c>
      <x:c r="I1193" s="16" t="n">
        <x:v>1</x:v>
      </x:c>
      <x:c r="J1193"/>
      <x:c r="K1193" s="4"/>
      <x:c r="L1193" s="4"/>
      <x:c r="M1193" s="4"/>
      <x:c r="N1193" s="5"/>
    </x:row>
    <x:row r="1194" ht="24" customHeight="1">
      <x:c r="A1194" s="1" t="str">
        <x:v>RESULT</x:v>
      </x:c>
      <x:c r="B1194" s="1" t="str">
        <x:v>Round2</x:v>
      </x:c>
      <x:c r="C1194" s="1" t="str">
        <x:v>Csv_15</x:v>
      </x:c>
      <x:c r="D1194" s="1" t="str">
        <x:v>INCONCLUSIVE</x:v>
      </x:c>
      <x:c r="E1194" s="5" t="n">
        <x:v>0.6548999999999999</x:v>
      </x:c>
      <x:c r="F1194" s="4" t="n">
        <x:v>0</x:v>
      </x:c>
      <x:c r="G1194" s="4" t="n">
        <x:v>29090</x:v>
      </x:c>
      <x:c r="H1194" s="6" t="n">
        <x:v>1018.27</x:v>
      </x:c>
      <x:c r="I1194" s="16" t="n">
        <x:v>1</x:v>
      </x:c>
      <x:c r="J1194" t="n">
        <x:v>397</x:v>
      </x:c>
      <x:c r="K1194" s="4" t="n">
        <x:v>260</x:v>
      </x:c>
      <x:c r="L1194" s="4" t="n">
        <x:v>279</x:v>
      </x:c>
      <x:c r="M1194" s="4" t="n">
        <x:v>135</x:v>
      </x:c>
      <x:c r="N1194" s="5" t="n">
        <x:v>0.4839</x:v>
      </x:c>
    </x:row>
    <x:row r="1195" ht="24" customHeight="1">
      <x:c r="A1195" s="1" t="str">
        <x:v>RESULT</x:v>
      </x:c>
      <x:c r="B1195" s="1" t="str">
        <x:v>Round2</x:v>
      </x:c>
      <x:c r="C1195" s="1" t="str">
        <x:v>Csv_16</x:v>
      </x:c>
      <x:c r="D1195" s="1" t="str">
        <x:v>INCONCLUSIVE</x:v>
      </x:c>
      <x:c r="E1195" s="5" t="n">
        <x:v>0.6942</x:v>
      </x:c>
      <x:c r="F1195" s="4" t="n">
        <x:v>0</x:v>
      </x:c>
      <x:c r="G1195" s="4" t="n">
        <x:v>13793</x:v>
      </x:c>
      <x:c r="H1195" s="6" t="n">
        <x:v>76.21</x:v>
      </x:c>
      <x:c r="I1195" s="16" t="n">
        <x:v>1</x:v>
      </x:c>
      <x:c r="J1195" t="n">
        <x:v>121</x:v>
      </x:c>
      <x:c r="K1195" s="4" t="n">
        <x:v>84</x:v>
      </x:c>
      <x:c r="L1195" s="4" t="n">
        <x:v>68</x:v>
      </x:c>
      <x:c r="M1195" s="4" t="n">
        <x:v>42</x:v>
      </x:c>
      <x:c r="N1195" s="5" t="n">
        <x:v>0.6175999999999999</x:v>
      </x:c>
    </x:row>
    <x:row r="1196" ht="24" customHeight="1">
      <x:c r="A1196" s="1" t="str">
        <x:v>RESULT</x:v>
      </x:c>
      <x:c r="B1196" s="1" t="str">
        <x:v>Round2</x:v>
      </x:c>
      <x:c r="C1196" s="1" t="str">
        <x:v>Csv_2</x:v>
      </x:c>
      <x:c r="D1196" s="1" t="str">
        <x:v>NOT_REVEALING</x:v>
      </x:c>
      <x:c r="E1196" s="5" t="n">
        <x:v>1</x:v>
      </x:c>
      <x:c r="F1196" s="4" t="n">
        <x:v>0</x:v>
      </x:c>
      <x:c r="G1196" s="4"/>
      <x:c r="H1196" s="6"/>
      <x:c r="I1196" s="16" t="n">
        <x:v>1</x:v>
      </x:c>
      <x:c r="J1196" t="n">
        <x:v>21</x:v>
      </x:c>
      <x:c r="K1196" s="4" t="n">
        <x:v>21</x:v>
      </x:c>
      <x:c r="L1196" s="4" t="n">
        <x:v>16</x:v>
      </x:c>
      <x:c r="M1196" s="4" t="n">
        <x:v>16</x:v>
      </x:c>
      <x:c r="N1196" s="5" t="n">
        <x:v>1</x:v>
      </x:c>
    </x:row>
    <x:row r="1197" ht="24" customHeight="1">
      <x:c r="A1197" s="1" t="str">
        <x:v>RESULT</x:v>
      </x:c>
      <x:c r="B1197" s="1" t="str">
        <x:v>Round2</x:v>
      </x:c>
      <x:c r="C1197" s="1" t="str">
        <x:v>Csv_3</x:v>
      </x:c>
      <x:c r="D1197" s="1" t="str">
        <x:v>NOT_AVAILABLE</x:v>
      </x:c>
      <x:c r="E1197" s="5"/>
      <x:c r="F1197" s="4" t="n">
        <x:v>0</x:v>
      </x:c>
      <x:c r="G1197" s="4" t="n">
        <x:v>14015</x:v>
      </x:c>
      <x:c r="H1197" s="6" t="n">
        <x:v>122.45</x:v>
      </x:c>
      <x:c r="I1197" s="16" t="n">
        <x:v>1</x:v>
      </x:c>
      <x:c r="J1197"/>
      <x:c r="K1197" s="4"/>
      <x:c r="L1197" s="4"/>
      <x:c r="M1197" s="4"/>
      <x:c r="N1197" s="5"/>
    </x:row>
    <x:row r="1198" ht="24" customHeight="1">
      <x:c r="A1198" s="1" t="str">
        <x:v>RESULT</x:v>
      </x:c>
      <x:c r="B1198" s="1" t="str">
        <x:v>Round2</x:v>
      </x:c>
      <x:c r="C1198" s="1" t="str">
        <x:v>Csv_4</x:v>
      </x:c>
      <x:c r="D1198" s="1" t="str">
        <x:v>NOT_AVAILABLE</x:v>
      </x:c>
      <x:c r="E1198" s="5"/>
      <x:c r="F1198" s="4" t="n">
        <x:v>0</x:v>
      </x:c>
      <x:c r="G1198" s="4" t="n">
        <x:v>11009</x:v>
      </x:c>
      <x:c r="H1198" s="6" t="n">
        <x:v>55.46</x:v>
      </x:c>
      <x:c r="I1198" s="16" t="n">
        <x:v>1</x:v>
      </x:c>
      <x:c r="J1198"/>
      <x:c r="K1198" s="4"/>
      <x:c r="L1198" s="4"/>
      <x:c r="M1198" s="4"/>
      <x:c r="N1198" s="5"/>
    </x:row>
    <x:row r="1199" ht="24" customHeight="1">
      <x:c r="A1199" s="1" t="str">
        <x:v>RESULT</x:v>
      </x:c>
      <x:c r="B1199" s="1" t="str">
        <x:v>Round2</x:v>
      </x:c>
      <x:c r="C1199" s="1" t="str">
        <x:v>Csv_5</x:v>
      </x:c>
      <x:c r="D1199" s="1" t="str">
        <x:v>NOT_AVAILABLE</x:v>
      </x:c>
      <x:c r="E1199" s="5"/>
      <x:c r="F1199" s="4" t="n">
        <x:v>0</x:v>
      </x:c>
      <x:c r="G1199" s="4" t="n">
        <x:v>26189</x:v>
      </x:c>
      <x:c r="H1199" s="6" t="n">
        <x:v>1103.01</x:v>
      </x:c>
      <x:c r="I1199" s="16" t="n">
        <x:v>1</x:v>
      </x:c>
      <x:c r="J1199"/>
      <x:c r="K1199" s="4"/>
      <x:c r="L1199" s="4"/>
      <x:c r="M1199" s="4"/>
      <x:c r="N1199" s="5"/>
    </x:row>
    <x:row r="1200" ht="24" customHeight="1">
      <x:c r="A1200" s="1" t="str">
        <x:v>RESULT</x:v>
      </x:c>
      <x:c r="B1200" s="1" t="str">
        <x:v>Round2</x:v>
      </x:c>
      <x:c r="C1200" s="1" t="str">
        <x:v>Csv_6</x:v>
      </x:c>
      <x:c r="D1200" s="1" t="str">
        <x:v>INCONCLUSIVE</x:v>
      </x:c>
      <x:c r="E1200" s="5" t="n">
        <x:v>0.8856999999999999</x:v>
      </x:c>
      <x:c r="F1200" s="4" t="n">
        <x:v>0</x:v>
      </x:c>
      <x:c r="G1200" s="4"/>
      <x:c r="H1200" s="6"/>
      <x:c r="I1200" s="16" t="n">
        <x:v>1</x:v>
      </x:c>
      <x:c r="J1200" t="n">
        <x:v>35</x:v>
      </x:c>
      <x:c r="K1200" s="4" t="n">
        <x:v>31</x:v>
      </x:c>
      <x:c r="L1200" s="4" t="n">
        <x:v>18</x:v>
      </x:c>
      <x:c r="M1200" s="4" t="n">
        <x:v>15</x:v>
      </x:c>
      <x:c r="N1200" s="5" t="n">
        <x:v>0.8332999999999999</x:v>
      </x:c>
    </x:row>
    <x:row r="1201" ht="24" customHeight="1">
      <x:c r="A1201" s="1" t="str">
        <x:v>RESULT</x:v>
      </x:c>
      <x:c r="B1201" s="1" t="str">
        <x:v>Round2</x:v>
      </x:c>
      <x:c r="C1201" s="1" t="str">
        <x:v>Csv_7</x:v>
      </x:c>
      <x:c r="D1201" s="1" t="str">
        <x:v>INCONCLUSIVE</x:v>
      </x:c>
      <x:c r="E1201" s="5" t="n">
        <x:v>0.7723</x:v>
      </x:c>
      <x:c r="F1201" s="4" t="n">
        <x:v>0</x:v>
      </x:c>
      <x:c r="G1201" s="4"/>
      <x:c r="H1201" s="6"/>
      <x:c r="I1201" s="16" t="n">
        <x:v>1</x:v>
      </x:c>
      <x:c r="J1201" t="n">
        <x:v>101</x:v>
      </x:c>
      <x:c r="K1201" s="4" t="n">
        <x:v>78</x:v>
      </x:c>
      <x:c r="L1201" s="4" t="n">
        <x:v>50</x:v>
      </x:c>
      <x:c r="M1201" s="4" t="n">
        <x:v>34</x:v>
      </x:c>
      <x:c r="N1201" s="5" t="n">
        <x:v>0.68</x:v>
      </x:c>
    </x:row>
    <x:row r="1202" ht="24" customHeight="1">
      <x:c r="A1202" s="1" t="str">
        <x:v>RESULT</x:v>
      </x:c>
      <x:c r="B1202" s="1" t="str">
        <x:v>Round2</x:v>
      </x:c>
      <x:c r="C1202" s="1" t="str">
        <x:v>Csv_8</x:v>
      </x:c>
      <x:c r="D1202" s="1" t="str">
        <x:v>INCONCLUSIVE</x:v>
      </x:c>
      <x:c r="E1202" s="5" t="n">
        <x:v>0.8436</x:v>
      </x:c>
      <x:c r="F1202" s="4" t="n">
        <x:v>0</x:v>
      </x:c>
      <x:c r="G1202" s="4" t="n">
        <x:v>7905</x:v>
      </x:c>
      <x:c r="H1202" s="6" t="n">
        <x:v>34.6</x:v>
      </x:c>
      <x:c r="I1202" s="16" t="n">
        <x:v>1</x:v>
      </x:c>
      <x:c r="J1202" t="n">
        <x:v>179</x:v>
      </x:c>
      <x:c r="K1202" s="4" t="n">
        <x:v>151</x:v>
      </x:c>
      <x:c r="L1202" s="4" t="n">
        <x:v>140</x:v>
      </x:c>
      <x:c r="M1202" s="4" t="n">
        <x:v>96</x:v>
      </x:c>
      <x:c r="N1202" s="5" t="n">
        <x:v>0.6857</x:v>
      </x:c>
    </x:row>
    <x:row r="1203" ht="24" customHeight="1">
      <x:c r="A1203" s="1" t="str">
        <x:v>RESULT</x:v>
      </x:c>
      <x:c r="B1203" s="1" t="str">
        <x:v>Round2</x:v>
      </x:c>
      <x:c r="C1203" s="1" t="str">
        <x:v>Csv_9</x:v>
      </x:c>
      <x:c r="D1203" s="1" t="str">
        <x:v>INCONCLUSIVE</x:v>
      </x:c>
      <x:c r="E1203" s="5" t="n">
        <x:v>1</x:v>
      </x:c>
      <x:c r="F1203" s="4" t="n">
        <x:v>0</x:v>
      </x:c>
      <x:c r="G1203" s="4"/>
      <x:c r="H1203" s="6"/>
      <x:c r="I1203" s="16" t="n">
        <x:v>1</x:v>
      </x:c>
      <x:c r="J1203" t="n">
        <x:v>36</x:v>
      </x:c>
      <x:c r="K1203" s="4" t="n">
        <x:v>36</x:v>
      </x:c>
      <x:c r="L1203" s="4" t="n">
        <x:v>22</x:v>
      </x:c>
      <x:c r="M1203" s="4" t="n">
        <x:v>21</x:v>
      </x:c>
      <x:c r="N1203" s="5" t="n">
        <x:v>0.9545</x:v>
      </x:c>
    </x:row>
    <x:row r="1204" ht="24" customHeight="1">
      <x:c r="A1204" s="1" t="str">
        <x:v>RESULT</x:v>
      </x:c>
      <x:c r="B1204" s="1" t="str">
        <x:v>Round2</x:v>
      </x:c>
      <x:c r="C1204" s="1" t="str">
        <x:v>Gson_1</x:v>
      </x:c>
      <x:c r="D1204" s="1" t="str">
        <x:v>INCONCLUSIVE</x:v>
      </x:c>
      <x:c r="E1204" s="5" t="n">
        <x:v>0.6383</x:v>
      </x:c>
      <x:c r="F1204" s="4" t="n">
        <x:v>0</x:v>
      </x:c>
      <x:c r="G1204" s="4"/>
      <x:c r="H1204" s="6"/>
      <x:c r="I1204" s="16" t="n">
        <x:v>1</x:v>
      </x:c>
      <x:c r="J1204" t="n">
        <x:v>47</x:v>
      </x:c>
      <x:c r="K1204" s="4" t="n">
        <x:v>30</x:v>
      </x:c>
      <x:c r="L1204" s="4" t="n">
        <x:v>22</x:v>
      </x:c>
      <x:c r="M1204" s="4" t="n">
        <x:v>12</x:v>
      </x:c>
      <x:c r="N1204" s="5" t="n">
        <x:v>0.5455</x:v>
      </x:c>
    </x:row>
    <x:row r="1205" ht="24" customHeight="1">
      <x:c r="A1205" s="1" t="str">
        <x:v>RESULT</x:v>
      </x:c>
      <x:c r="B1205" s="1" t="str">
        <x:v>Round2</x:v>
      </x:c>
      <x:c r="C1205" s="1" t="str">
        <x:v>Gson_10</x:v>
      </x:c>
      <x:c r="D1205" s="1" t="str">
        <x:v>NOT_AVAILABLE</x:v>
      </x:c>
      <x:c r="E1205" s="5"/>
      <x:c r="F1205" s="4" t="n">
        <x:v>0</x:v>
      </x:c>
      <x:c r="G1205" s="4" t="n">
        <x:v>9785</x:v>
      </x:c>
      <x:c r="H1205" s="6" t="n">
        <x:v>56.99</x:v>
      </x:c>
      <x:c r="I1205" s="16" t="n">
        <x:v>1</x:v>
      </x:c>
      <x:c r="J1205"/>
      <x:c r="K1205" s="4"/>
      <x:c r="L1205" s="4"/>
      <x:c r="M1205" s="4"/>
      <x:c r="N1205" s="5"/>
    </x:row>
    <x:row r="1206" ht="24" customHeight="1">
      <x:c r="A1206" s="1" t="str">
        <x:v>RESULT</x:v>
      </x:c>
      <x:c r="B1206" s="1" t="str">
        <x:v>Round2</x:v>
      </x:c>
      <x:c r="C1206" s="1" t="str">
        <x:v>Gson_11</x:v>
      </x:c>
      <x:c r="D1206" s="1" t="str">
        <x:v>INCONCLUSIVE</x:v>
      </x:c>
      <x:c r="E1206" s="5" t="n">
        <x:v>0.838</x:v>
      </x:c>
      <x:c r="F1206" s="4" t="n">
        <x:v>0</x:v>
      </x:c>
      <x:c r="G1206" s="4" t="n">
        <x:v>23224</x:v>
      </x:c>
      <x:c r="H1206" s="6" t="n">
        <x:v>106.9</x:v>
      </x:c>
      <x:c r="I1206" s="16" t="n">
        <x:v>1</x:v>
      </x:c>
      <x:c r="J1206" t="n">
        <x:v>500</x:v>
      </x:c>
      <x:c r="K1206" s="4" t="n">
        <x:v>419</x:v>
      </x:c>
      <x:c r="L1206" s="4" t="n">
        <x:v>196</x:v>
      </x:c>
      <x:c r="M1206" s="4" t="n">
        <x:v>157</x:v>
      </x:c>
      <x:c r="N1206" s="5" t="n">
        <x:v>0.8009999999999999</x:v>
      </x:c>
    </x:row>
    <x:row r="1207" ht="24" customHeight="1">
      <x:c r="A1207" s="1" t="str">
        <x:v>RESULT</x:v>
      </x:c>
      <x:c r="B1207" s="1" t="str">
        <x:v>Round2</x:v>
      </x:c>
      <x:c r="C1207" s="1" t="str">
        <x:v>Gson_12</x:v>
      </x:c>
      <x:c r="D1207" s="1" t="str">
        <x:v>NOT_REVEALING</x:v>
      </x:c>
      <x:c r="E1207" s="5" t="n">
        <x:v>0.875</x:v>
      </x:c>
      <x:c r="F1207" s="4" t="n">
        <x:v>0</x:v>
      </x:c>
      <x:c r="G1207" s="4" t="n">
        <x:v>8524</x:v>
      </x:c>
      <x:c r="H1207" s="6" t="n">
        <x:v>64.96</x:v>
      </x:c>
      <x:c r="I1207" s="16" t="n">
        <x:v>1</x:v>
      </x:c>
      <x:c r="J1207" t="n">
        <x:v>168</x:v>
      </x:c>
      <x:c r="K1207" s="4" t="n">
        <x:v>147</x:v>
      </x:c>
      <x:c r="L1207" s="4" t="n">
        <x:v>86</x:v>
      </x:c>
      <x:c r="M1207" s="4" t="n">
        <x:v>64</x:v>
      </x:c>
      <x:c r="N1207" s="5" t="n">
        <x:v>0.7442</x:v>
      </x:c>
    </x:row>
    <x:row r="1208" ht="24" customHeight="1">
      <x:c r="A1208" s="1" t="str">
        <x:v>RESULT</x:v>
      </x:c>
      <x:c r="B1208" s="1" t="str">
        <x:v>Round2</x:v>
      </x:c>
      <x:c r="C1208" s="1" t="str">
        <x:v>Gson_13</x:v>
      </x:c>
      <x:c r="D1208" s="1" t="str">
        <x:v>INCONCLUSIVE</x:v>
      </x:c>
      <x:c r="E1208" s="5" t="n">
        <x:v>0.6223</x:v>
      </x:c>
      <x:c r="F1208" s="4" t="n">
        <x:v>0</x:v>
      </x:c>
      <x:c r="G1208" s="4" t="n">
        <x:v>13237</x:v>
      </x:c>
      <x:c r="H1208" s="6" t="n">
        <x:v>28.06</x:v>
      </x:c>
      <x:c r="I1208" s="16" t="n">
        <x:v>1</x:v>
      </x:c>
      <x:c r="J1208" t="n">
        <x:v>683</x:v>
      </x:c>
      <x:c r="K1208" s="4" t="n">
        <x:v>425</x:v>
      </x:c>
      <x:c r="L1208" s="4" t="n">
        <x:v>484</x:v>
      </x:c>
      <x:c r="M1208" s="4" t="n">
        <x:v>246</x:v>
      </x:c>
      <x:c r="N1208" s="5" t="n">
        <x:v>0.5083</x:v>
      </x:c>
    </x:row>
    <x:row r="1209" ht="24" customHeight="1">
      <x:c r="A1209" s="1" t="str">
        <x:v>RESULT</x:v>
      </x:c>
      <x:c r="B1209" s="1" t="str">
        <x:v>Round2</x:v>
      </x:c>
      <x:c r="C1209" s="1" t="str">
        <x:v>Gson_14</x:v>
      </x:c>
      <x:c r="D1209" s="1" t="str">
        <x:v>INCONCLUSIVE</x:v>
      </x:c>
      <x:c r="E1209" s="5" t="n">
        <x:v>0.7940999999999999</x:v>
      </x:c>
      <x:c r="F1209" s="4" t="n">
        <x:v>0</x:v>
      </x:c>
      <x:c r="G1209" s="4" t="n">
        <x:v>33611</x:v>
      </x:c>
      <x:c r="H1209" s="6" t="n">
        <x:v>135.92</x:v>
      </x:c>
      <x:c r="I1209" s="16" t="n">
        <x:v>1</x:v>
      </x:c>
      <x:c r="J1209" t="n">
        <x:v>238</x:v>
      </x:c>
      <x:c r="K1209" s="4" t="n">
        <x:v>189</x:v>
      </x:c>
      <x:c r="L1209" s="4" t="n">
        <x:v>190</x:v>
      </x:c>
      <x:c r="M1209" s="4" t="n">
        <x:v>123</x:v>
      </x:c>
      <x:c r="N1209" s="5" t="n">
        <x:v>0.6474</x:v>
      </x:c>
    </x:row>
    <x:row r="1210" ht="24" customHeight="1">
      <x:c r="A1210" s="1" t="str">
        <x:v>RESULT</x:v>
      </x:c>
      <x:c r="B1210" s="1" t="str">
        <x:v>Round2</x:v>
      </x:c>
      <x:c r="C1210" s="1" t="str">
        <x:v>Gson_15</x:v>
      </x:c>
      <x:c r="D1210" s="1" t="str">
        <x:v>INCONCLUSIVE</x:v>
      </x:c>
      <x:c r="E1210" s="5" t="n">
        <x:v>0.7828</x:v>
      </x:c>
      <x:c r="F1210" s="4" t="n">
        <x:v>0</x:v>
      </x:c>
      <x:c r="G1210" s="4" t="n">
        <x:v>8407</x:v>
      </x:c>
      <x:c r="H1210" s="6" t="n">
        <x:v>26.11</x:v>
      </x:c>
      <x:c r="I1210" s="16" t="n">
        <x:v>1</x:v>
      </x:c>
      <x:c r="J1210" t="n">
        <x:v>198</x:v>
      </x:c>
      <x:c r="K1210" s="4" t="n">
        <x:v>155</x:v>
      </x:c>
      <x:c r="L1210" s="4" t="n">
        <x:v>92</x:v>
      </x:c>
      <x:c r="M1210" s="4" t="n">
        <x:v>56</x:v>
      </x:c>
      <x:c r="N1210" s="5" t="n">
        <x:v>0.6087</x:v>
      </x:c>
    </x:row>
    <x:row r="1211" ht="24" customHeight="1">
      <x:c r="A1211" s="1" t="str">
        <x:v>RESULT</x:v>
      </x:c>
      <x:c r="B1211" s="1" t="str">
        <x:v>Round2</x:v>
      </x:c>
      <x:c r="C1211" s="1" t="str">
        <x:v>Gson_16</x:v>
      </x:c>
      <x:c r="D1211" s="1" t="str">
        <x:v>NOT_REVEALING</x:v>
      </x:c>
      <x:c r="E1211" s="5" t="n">
        <x:v>0.8354</x:v>
      </x:c>
      <x:c r="F1211" s="4" t="n">
        <x:v>0</x:v>
      </x:c>
      <x:c r="G1211" s="4" t="n">
        <x:v>31648</x:v>
      </x:c>
      <x:c r="H1211" s="6" t="n">
        <x:v>132.2</x:v>
      </x:c>
      <x:c r="I1211" s="16" t="n">
        <x:v>1</x:v>
      </x:c>
      <x:c r="J1211" t="n">
        <x:v>243</x:v>
      </x:c>
      <x:c r="K1211" s="4" t="n">
        <x:v>203</x:v>
      </x:c>
      <x:c r="L1211" s="4" t="n">
        <x:v>194</x:v>
      </x:c>
      <x:c r="M1211" s="4" t="n">
        <x:v>129</x:v>
      </x:c>
      <x:c r="N1211" s="5" t="n">
        <x:v>0.6648999999999999</x:v>
      </x:c>
    </x:row>
    <x:row r="1212" ht="24" customHeight="1">
      <x:c r="A1212" s="1" t="str">
        <x:v>RESULT</x:v>
      </x:c>
      <x:c r="B1212" s="1" t="str">
        <x:v>Round2</x:v>
      </x:c>
      <x:c r="C1212" s="1" t="str">
        <x:v>Gson_17</x:v>
      </x:c>
      <x:c r="D1212" s="1" t="str">
        <x:v>NOT_AVAILABLE</x:v>
      </x:c>
      <x:c r="E1212" s="5"/>
      <x:c r="F1212" s="4" t="n">
        <x:v>0</x:v>
      </x:c>
      <x:c r="G1212" s="4" t="n">
        <x:v>11566</x:v>
      </x:c>
      <x:c r="H1212" s="6" t="n">
        <x:v>80.92</x:v>
      </x:c>
      <x:c r="I1212" s="16" t="n">
        <x:v>1</x:v>
      </x:c>
      <x:c r="J1212"/>
      <x:c r="K1212" s="4"/>
      <x:c r="L1212" s="4"/>
      <x:c r="M1212" s="4"/>
      <x:c r="N1212" s="5"/>
    </x:row>
    <x:row r="1213" ht="24" customHeight="1">
      <x:c r="A1213" s="1" t="str">
        <x:v>RESULT</x:v>
      </x:c>
      <x:c r="B1213" s="1" t="str">
        <x:v>Round2</x:v>
      </x:c>
      <x:c r="C1213" s="1" t="str">
        <x:v>Gson_18</x:v>
      </x:c>
      <x:c r="D1213" s="1" t="str">
        <x:v>NOT_AVAILABLE</x:v>
      </x:c>
      <x:c r="E1213" s="5"/>
      <x:c r="F1213" s="4" t="n">
        <x:v>0</x:v>
      </x:c>
      <x:c r="G1213" s="4" t="n">
        <x:v>16257</x:v>
      </x:c>
      <x:c r="H1213" s="6" t="n">
        <x:v>87.3</x:v>
      </x:c>
      <x:c r="I1213" s="16" t="n">
        <x:v>1</x:v>
      </x:c>
      <x:c r="J1213"/>
      <x:c r="K1213" s="4"/>
      <x:c r="L1213" s="4"/>
      <x:c r="M1213" s="4"/>
      <x:c r="N1213" s="5"/>
    </x:row>
    <x:row r="1214" ht="24" customHeight="1">
      <x:c r="A1214" s="1" t="str">
        <x:v>RESULT</x:v>
      </x:c>
      <x:c r="B1214" s="1" t="str">
        <x:v>Round2</x:v>
      </x:c>
      <x:c r="C1214" s="1" t="str">
        <x:v>Gson_2</x:v>
      </x:c>
      <x:c r="D1214" s="1" t="str">
        <x:v>NOT_AVAILABLE</x:v>
      </x:c>
      <x:c r="E1214" s="5"/>
      <x:c r="F1214" s="4" t="n">
        <x:v>0</x:v>
      </x:c>
      <x:c r="G1214" s="4" t="n">
        <x:v>15371</x:v>
      </x:c>
      <x:c r="H1214" s="6" t="n">
        <x:v>67.57</x:v>
      </x:c>
      <x:c r="I1214" s="16" t="n">
        <x:v>1</x:v>
      </x:c>
      <x:c r="J1214"/>
      <x:c r="K1214" s="4"/>
      <x:c r="L1214" s="4"/>
      <x:c r="M1214" s="4"/>
      <x:c r="N1214" s="5"/>
    </x:row>
    <x:row r="1215" ht="24" customHeight="1">
      <x:c r="A1215" s="1" t="str">
        <x:v>RESULT</x:v>
      </x:c>
      <x:c r="B1215" s="1" t="str">
        <x:v>Round2</x:v>
      </x:c>
      <x:c r="C1215" s="1" t="str">
        <x:v>Gson_3</x:v>
      </x:c>
      <x:c r="D1215" s="1" t="str">
        <x:v>INCONCLUSIVE</x:v>
      </x:c>
      <x:c r="E1215" s="5" t="n">
        <x:v>0.7093</x:v>
      </x:c>
      <x:c r="F1215" s="4" t="n">
        <x:v>0</x:v>
      </x:c>
      <x:c r="G1215" s="4"/>
      <x:c r="H1215" s="6"/>
      <x:c r="I1215" s="16" t="n">
        <x:v>1</x:v>
      </x:c>
      <x:c r="J1215" t="n">
        <x:v>86</x:v>
      </x:c>
      <x:c r="K1215" s="4" t="n">
        <x:v>61</x:v>
      </x:c>
      <x:c r="L1215" s="4" t="n">
        <x:v>32</x:v>
      </x:c>
      <x:c r="M1215" s="4" t="n">
        <x:v>21</x:v>
      </x:c>
      <x:c r="N1215" s="5" t="n">
        <x:v>0.6562</x:v>
      </x:c>
    </x:row>
    <x:row r="1216" ht="24" customHeight="1">
      <x:c r="A1216" s="1" t="str">
        <x:v>RESULT</x:v>
      </x:c>
      <x:c r="B1216" s="1" t="str">
        <x:v>Round2</x:v>
      </x:c>
      <x:c r="C1216" s="1" t="str">
        <x:v>Gson_4</x:v>
      </x:c>
      <x:c r="D1216" s="1" t="str">
        <x:v>INCONCLUSIVE</x:v>
      </x:c>
      <x:c r="E1216" s="5" t="n">
        <x:v>0.6247</x:v>
      </x:c>
      <x:c r="F1216" s="4" t="n">
        <x:v>0</x:v>
      </x:c>
      <x:c r="G1216" s="4" t="n">
        <x:v>35328</x:v>
      </x:c>
      <x:c r="H1216" s="6" t="n">
        <x:v>147.18</x:v>
      </x:c>
      <x:c r="I1216" s="16" t="n">
        <x:v>1</x:v>
      </x:c>
      <x:c r="J1216" t="n">
        <x:v>882</x:v>
      </x:c>
      <x:c r="K1216" s="4" t="n">
        <x:v>551</x:v>
      </x:c>
      <x:c r="L1216" s="4" t="n">
        <x:v>565</x:v>
      </x:c>
      <x:c r="M1216" s="4" t="n">
        <x:v>275</x:v>
      </x:c>
      <x:c r="N1216" s="5" t="n">
        <x:v>0.4867</x:v>
      </x:c>
    </x:row>
    <x:row r="1217" ht="24" customHeight="1">
      <x:c r="A1217" s="1" t="str">
        <x:v>RESULT</x:v>
      </x:c>
      <x:c r="B1217" s="1" t="str">
        <x:v>Round2</x:v>
      </x:c>
      <x:c r="C1217" s="1" t="str">
        <x:v>Gson_5</x:v>
      </x:c>
      <x:c r="D1217" s="1" t="str">
        <x:v>INCONCLUSIVE</x:v>
      </x:c>
      <x:c r="E1217" s="5" t="n">
        <x:v>0.9</x:v>
      </x:c>
      <x:c r="F1217" s="4" t="n">
        <x:v>0</x:v>
      </x:c>
      <x:c r="G1217" s="4"/>
      <x:c r="H1217" s="6"/>
      <x:c r="I1217" s="16" t="n">
        <x:v>1</x:v>
      </x:c>
      <x:c r="J1217" t="n">
        <x:v>150</x:v>
      </x:c>
      <x:c r="K1217" s="4" t="n">
        <x:v>135</x:v>
      </x:c>
      <x:c r="L1217" s="4" t="n">
        <x:v>89</x:v>
      </x:c>
      <x:c r="M1217" s="4" t="n">
        <x:v>67</x:v>
      </x:c>
      <x:c r="N1217" s="5" t="n">
        <x:v>0.7528</x:v>
      </x:c>
    </x:row>
    <x:row r="1218" ht="24" customHeight="1">
      <x:c r="A1218" s="1" t="str">
        <x:v>RESULT</x:v>
      </x:c>
      <x:c r="B1218" s="1" t="str">
        <x:v>Round2</x:v>
      </x:c>
      <x:c r="C1218" s="1" t="str">
        <x:v>Gson_6</x:v>
      </x:c>
      <x:c r="D1218" s="1" t="str">
        <x:v>NOT_AVAILABLE</x:v>
      </x:c>
      <x:c r="E1218" s="5"/>
      <x:c r="F1218" s="4" t="n">
        <x:v>0</x:v>
      </x:c>
      <x:c r="G1218" s="4" t="n">
        <x:v>5614</x:v>
      </x:c>
      <x:c r="H1218" s="6" t="n">
        <x:v>35.82</x:v>
      </x:c>
      <x:c r="I1218" s="16" t="n">
        <x:v>1</x:v>
      </x:c>
      <x:c r="J1218"/>
      <x:c r="K1218" s="4"/>
      <x:c r="L1218" s="4"/>
      <x:c r="M1218" s="4"/>
      <x:c r="N1218" s="5"/>
    </x:row>
    <x:row r="1219" ht="24" customHeight="1">
      <x:c r="A1219" s="1" t="str">
        <x:v>RESULT</x:v>
      </x:c>
      <x:c r="B1219" s="1" t="str">
        <x:v>Round2</x:v>
      </x:c>
      <x:c r="C1219" s="1" t="str">
        <x:v>Gson_7</x:v>
      </x:c>
      <x:c r="D1219" s="1" t="str">
        <x:v>NOT_REVEALING</x:v>
      </x:c>
      <x:c r="E1219" s="5" t="n">
        <x:v>0.6681</x:v>
      </x:c>
      <x:c r="F1219" s="4" t="n">
        <x:v>0</x:v>
      </x:c>
      <x:c r="G1219" s="4" t="n">
        <x:v>18765</x:v>
      </x:c>
      <x:c r="H1219" s="6" t="n">
        <x:v>69.64</x:v>
      </x:c>
      <x:c r="I1219" s="16" t="n">
        <x:v>1</x:v>
      </x:c>
      <x:c r="J1219" t="n">
        <x:v>684</x:v>
      </x:c>
      <x:c r="K1219" s="4" t="n">
        <x:v>457</x:v>
      </x:c>
      <x:c r="L1219" s="4" t="n">
        <x:v>469</x:v>
      </x:c>
      <x:c r="M1219" s="4" t="n">
        <x:v>254</x:v>
      </x:c>
      <x:c r="N1219" s="5" t="n">
        <x:v>0.5416</x:v>
      </x:c>
    </x:row>
    <x:row r="1220" ht="24" customHeight="1">
      <x:c r="A1220" s="1" t="str">
        <x:v>RESULT</x:v>
      </x:c>
      <x:c r="B1220" s="1" t="str">
        <x:v>Round2</x:v>
      </x:c>
      <x:c r="C1220" s="1" t="str">
        <x:v>Gson_8</x:v>
      </x:c>
      <x:c r="D1220" s="1" t="str">
        <x:v>NOT_REVEALING</x:v>
      </x:c>
      <x:c r="E1220" s="5" t="n">
        <x:v>0</x:v>
      </x:c>
      <x:c r="F1220" s="4" t="n">
        <x:v>0</x:v>
      </x:c>
      <x:c r="G1220" s="4"/>
      <x:c r="H1220" s="6"/>
      <x:c r="I1220" s="16" t="n">
        <x:v>1</x:v>
      </x:c>
      <x:c r="J1220" t="n">
        <x:v>31</x:v>
      </x:c>
      <x:c r="K1220" s="4" t="n">
        <x:v>0</x:v>
      </x:c>
      <x:c r="L1220" s="4" t="n">
        <x:v>0</x:v>
      </x:c>
      <x:c r="M1220" s="4" t="n">
        <x:v>0</x:v>
      </x:c>
      <x:c r="N1220" s="5"/>
    </x:row>
    <x:row r="1221" ht="24" customHeight="1">
      <x:c r="A1221" s="1" t="str">
        <x:v>RESULT</x:v>
      </x:c>
      <x:c r="B1221" s="1" t="str">
        <x:v>Round2</x:v>
      </x:c>
      <x:c r="C1221" s="1" t="str">
        <x:v>Gson_9</x:v>
      </x:c>
      <x:c r="D1221" s="1" t="str">
        <x:v>NOT_AVAILABLE</x:v>
      </x:c>
      <x:c r="E1221" s="5"/>
      <x:c r="F1221" s="4" t="n">
        <x:v>0</x:v>
      </x:c>
      <x:c r="G1221" s="4" t="n">
        <x:v>29700</x:v>
      </x:c>
      <x:c r="H1221" s="6" t="n">
        <x:v>139.85</x:v>
      </x:c>
      <x:c r="I1221" s="16" t="n">
        <x:v>1</x:v>
      </x:c>
      <x:c r="J1221"/>
      <x:c r="K1221" s="4"/>
      <x:c r="L1221" s="4"/>
      <x:c r="M1221" s="4"/>
      <x:c r="N1221" s="5"/>
    </x:row>
    <x:row r="1222" ht="24" customHeight="1">
      <x:c r="A1222" s="1" t="str">
        <x:v>RESULT</x:v>
      </x:c>
      <x:c r="B1222" s="1" t="str">
        <x:v>Round2</x:v>
      </x:c>
      <x:c r="C1222" s="1" t="str">
        <x:v>JacksonCore_1</x:v>
      </x:c>
      <x:c r="D1222" s="1" t="str">
        <x:v>NOT_AVAILABLE</x:v>
      </x:c>
      <x:c r="E1222" s="5"/>
      <x:c r="F1222" s="4" t="n">
        <x:v>0</x:v>
      </x:c>
      <x:c r="G1222" s="4" t="n">
        <x:v>15764</x:v>
      </x:c>
      <x:c r="H1222" s="6" t="n">
        <x:v>69.23</x:v>
      </x:c>
      <x:c r="I1222" s="16" t="n">
        <x:v>1</x:v>
      </x:c>
      <x:c r="J1222"/>
      <x:c r="K1222" s="4"/>
      <x:c r="L1222" s="4"/>
      <x:c r="M1222" s="4"/>
      <x:c r="N1222" s="5"/>
    </x:row>
    <x:row r="1223" ht="24" customHeight="1">
      <x:c r="A1223" s="1" t="str">
        <x:v>RESULT</x:v>
      </x:c>
      <x:c r="B1223" s="1" t="str">
        <x:v>Round2</x:v>
      </x:c>
      <x:c r="C1223" s="1" t="str">
        <x:v>JacksonCore_10</x:v>
      </x:c>
      <x:c r="D1223" s="1" t="str">
        <x:v>INCONCLUSIVE</x:v>
      </x:c>
      <x:c r="E1223" s="5" t="n">
        <x:v>0.5484</x:v>
      </x:c>
      <x:c r="F1223" s="4" t="n">
        <x:v>0</x:v>
      </x:c>
      <x:c r="G1223" s="4" t="n">
        <x:v>10640</x:v>
      </x:c>
      <x:c r="H1223" s="6" t="n">
        <x:v>27.76</x:v>
      </x:c>
      <x:c r="I1223" s="16" t="n">
        <x:v>1</x:v>
      </x:c>
      <x:c r="J1223" t="n">
        <x:v>465</x:v>
      </x:c>
      <x:c r="K1223" s="4" t="n">
        <x:v>255</x:v>
      </x:c>
      <x:c r="L1223" s="4" t="n">
        <x:v>266</x:v>
      </x:c>
      <x:c r="M1223" s="4" t="n">
        <x:v>63</x:v>
      </x:c>
      <x:c r="N1223" s="5" t="n">
        <x:v>0.2368</x:v>
      </x:c>
    </x:row>
    <x:row r="1224" ht="24" customHeight="1">
      <x:c r="A1224" s="1" t="str">
        <x:v>RESULT</x:v>
      </x:c>
      <x:c r="B1224" s="1" t="str">
        <x:v>Round2</x:v>
      </x:c>
      <x:c r="C1224" s="1" t="str">
        <x:v>JacksonCore_11</x:v>
      </x:c>
      <x:c r="D1224" s="1" t="str">
        <x:v>INCONCLUSIVE</x:v>
      </x:c>
      <x:c r="E1224" s="5" t="n">
        <x:v>0.6966</x:v>
      </x:c>
      <x:c r="F1224" s="4" t="n">
        <x:v>0</x:v>
      </x:c>
      <x:c r="G1224" s="4"/>
      <x:c r="H1224" s="6"/>
      <x:c r="I1224" s="16" t="n">
        <x:v>1</x:v>
      </x:c>
      <x:c r="J1224" t="n">
        <x:v>468</x:v>
      </x:c>
      <x:c r="K1224" s="4" t="n">
        <x:v>326</x:v>
      </x:c>
      <x:c r="L1224" s="4" t="n">
        <x:v>268</x:v>
      </x:c>
      <x:c r="M1224" s="4" t="n">
        <x:v>109</x:v>
      </x:c>
      <x:c r="N1224" s="5" t="n">
        <x:v>0.4067</x:v>
      </x:c>
    </x:row>
    <x:row r="1225" ht="24" customHeight="1">
      <x:c r="A1225" s="1" t="str">
        <x:v>RESULT</x:v>
      </x:c>
      <x:c r="B1225" s="1" t="str">
        <x:v>Round2</x:v>
      </x:c>
      <x:c r="C1225" s="1" t="str">
        <x:v>JacksonCore_12</x:v>
      </x:c>
      <x:c r="D1225" s="1" t="str">
        <x:v>NOT_AVAILABLE</x:v>
      </x:c>
      <x:c r="E1225" s="5"/>
      <x:c r="F1225" s="4" t="n">
        <x:v>0</x:v>
      </x:c>
      <x:c r="G1225" s="4" t="n">
        <x:v>79019</x:v>
      </x:c>
      <x:c r="H1225" s="6" t="n">
        <x:v>1566.92</x:v>
      </x:c>
      <x:c r="I1225" s="16" t="n">
        <x:v>1</x:v>
      </x:c>
      <x:c r="J1225"/>
      <x:c r="K1225" s="4"/>
      <x:c r="L1225" s="4"/>
      <x:c r="M1225" s="4"/>
      <x:c r="N1225" s="5"/>
    </x:row>
    <x:row r="1226" ht="24" customHeight="1">
      <x:c r="A1226" s="1" t="str">
        <x:v>RESULT</x:v>
      </x:c>
      <x:c r="B1226" s="1" t="str">
        <x:v>Round2</x:v>
      </x:c>
      <x:c r="C1226" s="1" t="str">
        <x:v>JacksonCore_13</x:v>
      </x:c>
      <x:c r="D1226" s="1" t="str">
        <x:v>NOT_AVAILABLE</x:v>
      </x:c>
      <x:c r="E1226" s="5"/>
      <x:c r="F1226" s="4" t="n">
        <x:v>0</x:v>
      </x:c>
      <x:c r="G1226" s="4" t="n">
        <x:v>4900</x:v>
      </x:c>
      <x:c r="H1226" s="6" t="n">
        <x:v>26.43</x:v>
      </x:c>
      <x:c r="I1226" s="16" t="n">
        <x:v>1</x:v>
      </x:c>
      <x:c r="J1226"/>
      <x:c r="K1226" s="4"/>
      <x:c r="L1226" s="4"/>
      <x:c r="M1226" s="4"/>
      <x:c r="N1226" s="5"/>
    </x:row>
    <x:row r="1227" ht="24" customHeight="1">
      <x:c r="A1227" s="1" t="str">
        <x:v>RESULT</x:v>
      </x:c>
      <x:c r="B1227" s="1" t="str">
        <x:v>Round2</x:v>
      </x:c>
      <x:c r="C1227" s="1" t="str">
        <x:v>JacksonCore_14</x:v>
      </x:c>
      <x:c r="D1227" s="1" t="str">
        <x:v>NOT_AVAILABLE</x:v>
      </x:c>
      <x:c r="E1227" s="5"/>
      <x:c r="F1227" s="4" t="n">
        <x:v>0</x:v>
      </x:c>
      <x:c r="G1227" s="4" t="n">
        <x:v>5769</x:v>
      </x:c>
      <x:c r="H1227" s="6" t="n">
        <x:v>26.39</x:v>
      </x:c>
      <x:c r="I1227" s="16" t="n">
        <x:v>1</x:v>
      </x:c>
      <x:c r="J1227"/>
      <x:c r="K1227" s="4"/>
      <x:c r="L1227" s="4"/>
      <x:c r="M1227" s="4"/>
      <x:c r="N1227" s="5"/>
    </x:row>
    <x:row r="1228" ht="24" customHeight="1">
      <x:c r="A1228" s="1" t="str">
        <x:v>RESULT</x:v>
      </x:c>
      <x:c r="B1228" s="1" t="str">
        <x:v>Round2</x:v>
      </x:c>
      <x:c r="C1228" s="1" t="str">
        <x:v>JacksonCore_15</x:v>
      </x:c>
      <x:c r="D1228" s="1" t="str">
        <x:v>NOT_AVAILABLE</x:v>
      </x:c>
      <x:c r="E1228" s="5"/>
      <x:c r="F1228" s="4" t="n">
        <x:v>0</x:v>
      </x:c>
      <x:c r="G1228" s="4" t="n">
        <x:v>7645</x:v>
      </x:c>
      <x:c r="H1228" s="6" t="n">
        <x:v>9.34</x:v>
      </x:c>
      <x:c r="I1228" s="16" t="n">
        <x:v>1</x:v>
      </x:c>
      <x:c r="J1228"/>
      <x:c r="K1228" s="4"/>
      <x:c r="L1228" s="4"/>
      <x:c r="M1228" s="4"/>
      <x:c r="N1228" s="5"/>
    </x:row>
    <x:row r="1229" ht="24" customHeight="1">
      <x:c r="A1229" s="1" t="str">
        <x:v>RESULT</x:v>
      </x:c>
      <x:c r="B1229" s="1" t="str">
        <x:v>Round2</x:v>
      </x:c>
      <x:c r="C1229" s="1" t="str">
        <x:v>JacksonCore_16</x:v>
      </x:c>
      <x:c r="D1229" s="1" t="str">
        <x:v>NOT_AVAILABLE</x:v>
      </x:c>
      <x:c r="E1229" s="5"/>
      <x:c r="F1229" s="4" t="n">
        <x:v>0</x:v>
      </x:c>
      <x:c r="G1229" s="4" t="n">
        <x:v>5144</x:v>
      </x:c>
      <x:c r="H1229" s="6" t="n">
        <x:v>27.87</x:v>
      </x:c>
      <x:c r="I1229" s="16" t="n">
        <x:v>1</x:v>
      </x:c>
      <x:c r="J1229"/>
      <x:c r="K1229" s="4"/>
      <x:c r="L1229" s="4"/>
      <x:c r="M1229" s="4"/>
      <x:c r="N1229" s="5"/>
    </x:row>
    <x:row r="1230" ht="24" customHeight="1">
      <x:c r="A1230" s="1" t="str">
        <x:v>RESULT</x:v>
      </x:c>
      <x:c r="B1230" s="1" t="str">
        <x:v>Round2</x:v>
      </x:c>
      <x:c r="C1230" s="1" t="str">
        <x:v>JacksonCore_17</x:v>
      </x:c>
      <x:c r="D1230" s="1" t="str">
        <x:v>NOT_AVAILABLE</x:v>
      </x:c>
      <x:c r="E1230" s="5"/>
      <x:c r="F1230" s="4" t="n">
        <x:v>0</x:v>
      </x:c>
      <x:c r="G1230" s="4" t="n">
        <x:v>17786</x:v>
      </x:c>
      <x:c r="H1230" s="6" t="n">
        <x:v>40.13</x:v>
      </x:c>
      <x:c r="I1230" s="16" t="n">
        <x:v>1</x:v>
      </x:c>
      <x:c r="J1230"/>
      <x:c r="K1230" s="4"/>
      <x:c r="L1230" s="4"/>
      <x:c r="M1230" s="4"/>
      <x:c r="N1230" s="5"/>
    </x:row>
    <x:row r="1231" ht="24" customHeight="1">
      <x:c r="A1231" s="1" t="str">
        <x:v>RESULT</x:v>
      </x:c>
      <x:c r="B1231" s="1" t="str">
        <x:v>Round2</x:v>
      </x:c>
      <x:c r="C1231" s="1" t="str">
        <x:v>JacksonCore_18</x:v>
      </x:c>
      <x:c r="D1231" s="1" t="str">
        <x:v>NOT_AVAILABLE</x:v>
      </x:c>
      <x:c r="E1231" s="5"/>
      <x:c r="F1231" s="4" t="n">
        <x:v>0</x:v>
      </x:c>
      <x:c r="G1231" s="4" t="n">
        <x:v>42422</x:v>
      </x:c>
      <x:c r="H1231" s="6" t="n">
        <x:v>107.41</x:v>
      </x:c>
      <x:c r="I1231" s="16" t="n">
        <x:v>1</x:v>
      </x:c>
      <x:c r="J1231"/>
      <x:c r="K1231" s="4"/>
      <x:c r="L1231" s="4"/>
      <x:c r="M1231" s="4"/>
      <x:c r="N1231" s="5"/>
    </x:row>
    <x:row r="1232" ht="24" customHeight="1">
      <x:c r="A1232" s="1" t="str">
        <x:v>RESULT</x:v>
      </x:c>
      <x:c r="B1232" s="1" t="str">
        <x:v>Round2</x:v>
      </x:c>
      <x:c r="C1232" s="1" t="str">
        <x:v>JacksonCore_19</x:v>
      </x:c>
      <x:c r="D1232" s="1" t="str">
        <x:v>NOT_AVAILABLE</x:v>
      </x:c>
      <x:c r="E1232" s="5"/>
      <x:c r="F1232" s="4" t="n">
        <x:v>0</x:v>
      </x:c>
      <x:c r="G1232" s="4" t="n">
        <x:v>59866</x:v>
      </x:c>
      <x:c r="H1232" s="6" t="n">
        <x:v>140.22</x:v>
      </x:c>
      <x:c r="I1232" s="16" t="n">
        <x:v>1</x:v>
      </x:c>
      <x:c r="J1232"/>
      <x:c r="K1232" s="4"/>
      <x:c r="L1232" s="4"/>
      <x:c r="M1232" s="4"/>
      <x:c r="N1232" s="5"/>
    </x:row>
    <x:row r="1233" ht="24" customHeight="1">
      <x:c r="A1233" s="1" t="str">
        <x:v>RESULT</x:v>
      </x:c>
      <x:c r="B1233" s="1" t="str">
        <x:v>Round2</x:v>
      </x:c>
      <x:c r="C1233" s="1" t="str">
        <x:v>JacksonCore_2</x:v>
      </x:c>
      <x:c r="D1233" s="1" t="str">
        <x:v>INCONCLUSIVE</x:v>
      </x:c>
      <x:c r="E1233" s="5" t="n">
        <x:v>0.4531</x:v>
      </x:c>
      <x:c r="F1233" s="4" t="n">
        <x:v>0</x:v>
      </x:c>
      <x:c r="G1233" s="4" t="n">
        <x:v>89654</x:v>
      </x:c>
      <x:c r="H1233" s="6" t="n">
        <x:v>2402.45</x:v>
      </x:c>
      <x:c r="I1233" s="16" t="n">
        <x:v>1</x:v>
      </x:c>
      <x:c r="J1233" t="n">
        <x:v>2463</x:v>
      </x:c>
      <x:c r="K1233" s="4" t="n">
        <x:v>1116</x:v>
      </x:c>
      <x:c r="L1233" s="4" t="n">
        <x:v>1698</x:v>
      </x:c>
      <x:c r="M1233" s="4" t="n">
        <x:v>559</x:v>
      </x:c>
      <x:c r="N1233" s="5" t="n">
        <x:v>0.3292</x:v>
      </x:c>
    </x:row>
    <x:row r="1234" ht="24" customHeight="1">
      <x:c r="A1234" s="1" t="str">
        <x:v>RESULT</x:v>
      </x:c>
      <x:c r="B1234" s="1" t="str">
        <x:v>Round2</x:v>
      </x:c>
      <x:c r="C1234" s="1" t="str">
        <x:v>JacksonCore_20</x:v>
      </x:c>
      <x:c r="D1234" s="1" t="str">
        <x:v>NOT_AVAILABLE</x:v>
      </x:c>
      <x:c r="E1234" s="5"/>
      <x:c r="F1234" s="4" t="n">
        <x:v>0</x:v>
      </x:c>
      <x:c r="G1234" s="4" t="n">
        <x:v>13465</x:v>
      </x:c>
      <x:c r="H1234" s="6" t="n">
        <x:v>79.5</x:v>
      </x:c>
      <x:c r="I1234" s="16" t="n">
        <x:v>1</x:v>
      </x:c>
      <x:c r="J1234"/>
      <x:c r="K1234" s="4"/>
      <x:c r="L1234" s="4"/>
      <x:c r="M1234" s="4"/>
      <x:c r="N1234" s="5"/>
    </x:row>
    <x:row r="1235" ht="24" customHeight="1">
      <x:c r="A1235" s="1" t="str">
        <x:v>RESULT</x:v>
      </x:c>
      <x:c r="B1235" s="1" t="str">
        <x:v>Round2</x:v>
      </x:c>
      <x:c r="C1235" s="1" t="str">
        <x:v>JacksonCore_21</x:v>
      </x:c>
      <x:c r="D1235" s="1" t="str">
        <x:v>INCONCLUSIVE</x:v>
      </x:c>
      <x:c r="E1235" s="5" t="n">
        <x:v>0.1143</x:v>
      </x:c>
      <x:c r="F1235" s="4" t="n">
        <x:v>0</x:v>
      </x:c>
      <x:c r="G1235" s="4" t="n">
        <x:v>9443</x:v>
      </x:c>
      <x:c r="H1235" s="6" t="n">
        <x:v>30.34</x:v>
      </x:c>
      <x:c r="I1235" s="16" t="n">
        <x:v>1</x:v>
      </x:c>
      <x:c r="J1235" t="n">
        <x:v>385</x:v>
      </x:c>
      <x:c r="K1235" s="4" t="n">
        <x:v>44</x:v>
      </x:c>
      <x:c r="L1235" s="4" t="n">
        <x:v>269</x:v>
      </x:c>
      <x:c r="M1235" s="4" t="n">
        <x:v>18</x:v>
      </x:c>
      <x:c r="N1235" s="5" t="n">
        <x:v>0.0669</x:v>
      </x:c>
    </x:row>
    <x:row r="1236" ht="24" customHeight="1">
      <x:c r="A1236" s="1" t="str">
        <x:v>RESULT</x:v>
      </x:c>
      <x:c r="B1236" s="1" t="str">
        <x:v>Round2</x:v>
      </x:c>
      <x:c r="C1236" s="1" t="str">
        <x:v>JacksonCore_22</x:v>
      </x:c>
      <x:c r="D1236" s="1" t="str">
        <x:v>INCONCLUSIVE</x:v>
      </x:c>
      <x:c r="E1236" s="5" t="n">
        <x:v>0.4068</x:v>
      </x:c>
      <x:c r="F1236" s="4" t="n">
        <x:v>0</x:v>
      </x:c>
      <x:c r="G1236" s="4" t="n">
        <x:v>30806</x:v>
      </x:c>
      <x:c r="H1236" s="6" t="n">
        <x:v>1131.65</x:v>
      </x:c>
      <x:c r="I1236" s="16" t="n">
        <x:v>1</x:v>
      </x:c>
      <x:c r="J1236" t="n">
        <x:v>381</x:v>
      </x:c>
      <x:c r="K1236" s="4" t="n">
        <x:v>155</x:v>
      </x:c>
      <x:c r="L1236" s="4" t="n">
        <x:v>267</x:v>
      </x:c>
      <x:c r="M1236" s="4" t="n">
        <x:v>83</x:v>
      </x:c>
      <x:c r="N1236" s="5" t="n">
        <x:v>0.3109</x:v>
      </x:c>
    </x:row>
    <x:row r="1237" ht="24" customHeight="1">
      <x:c r="A1237" s="1" t="str">
        <x:v>RESULT</x:v>
      </x:c>
      <x:c r="B1237" s="1" t="str">
        <x:v>Round2</x:v>
      </x:c>
      <x:c r="C1237" s="1" t="str">
        <x:v>JacksonCore_23</x:v>
      </x:c>
      <x:c r="D1237" s="1" t="str">
        <x:v>NOT_AVAILABLE</x:v>
      </x:c>
      <x:c r="E1237" s="5"/>
      <x:c r="F1237" s="4" t="n">
        <x:v>0</x:v>
      </x:c>
      <x:c r="G1237" s="4" t="n">
        <x:v>8178</x:v>
      </x:c>
      <x:c r="H1237" s="6" t="n">
        <x:v>42.67</x:v>
      </x:c>
      <x:c r="I1237" s="16" t="n">
        <x:v>1</x:v>
      </x:c>
      <x:c r="J1237"/>
      <x:c r="K1237" s="4"/>
      <x:c r="L1237" s="4"/>
      <x:c r="M1237" s="4"/>
      <x:c r="N1237" s="5"/>
    </x:row>
    <x:row r="1238" ht="24" customHeight="1">
      <x:c r="A1238" s="1" t="str">
        <x:v>RESULT</x:v>
      </x:c>
      <x:c r="B1238" s="1" t="str">
        <x:v>Round2</x:v>
      </x:c>
      <x:c r="C1238" s="1" t="str">
        <x:v>JacksonCore_24</x:v>
      </x:c>
      <x:c r="D1238" s="1" t="str">
        <x:v>NOT_AVAILABLE</x:v>
      </x:c>
      <x:c r="E1238" s="5"/>
      <x:c r="F1238" s="4" t="n">
        <x:v>0</x:v>
      </x:c>
      <x:c r="G1238" s="4" t="n">
        <x:v>24753</x:v>
      </x:c>
      <x:c r="H1238" s="6" t="n">
        <x:v>90.98</x:v>
      </x:c>
      <x:c r="I1238" s="16" t="n">
        <x:v>1</x:v>
      </x:c>
      <x:c r="J1238"/>
      <x:c r="K1238" s="4"/>
      <x:c r="L1238" s="4"/>
      <x:c r="M1238" s="4"/>
      <x:c r="N1238" s="5"/>
    </x:row>
    <x:row r="1239" ht="24" customHeight="1">
      <x:c r="A1239" s="1" t="str">
        <x:v>RESULT</x:v>
      </x:c>
      <x:c r="B1239" s="1" t="str">
        <x:v>Round2</x:v>
      </x:c>
      <x:c r="C1239" s="1" t="str">
        <x:v>JacksonCore_25</x:v>
      </x:c>
      <x:c r="D1239" s="1" t="str">
        <x:v>NOT_AVAILABLE</x:v>
      </x:c>
      <x:c r="E1239" s="5"/>
      <x:c r="F1239" s="4" t="n">
        <x:v>0</x:v>
      </x:c>
      <x:c r="G1239" s="4" t="n">
        <x:v>24624</x:v>
      </x:c>
      <x:c r="H1239" s="6" t="n">
        <x:v>48.81</x:v>
      </x:c>
      <x:c r="I1239" s="16" t="n">
        <x:v>1</x:v>
      </x:c>
      <x:c r="J1239"/>
      <x:c r="K1239" s="4"/>
      <x:c r="L1239" s="4"/>
      <x:c r="M1239" s="4"/>
      <x:c r="N1239" s="5"/>
    </x:row>
    <x:row r="1240" ht="24" customHeight="1">
      <x:c r="A1240" s="1" t="str">
        <x:v>RESULT</x:v>
      </x:c>
      <x:c r="B1240" s="1" t="str">
        <x:v>Round2</x:v>
      </x:c>
      <x:c r="C1240" s="1" t="str">
        <x:v>JacksonCore_26</x:v>
      </x:c>
      <x:c r="D1240" s="1" t="str">
        <x:v>INCONCLUSIVE</x:v>
      </x:c>
      <x:c r="E1240" s="5" t="n">
        <x:v>0.1404</x:v>
      </x:c>
      <x:c r="F1240" s="4" t="n">
        <x:v>0</x:v>
      </x:c>
      <x:c r="G1240" s="4"/>
      <x:c r="H1240" s="6"/>
      <x:c r="I1240" s="16" t="n">
        <x:v>1</x:v>
      </x:c>
      <x:c r="J1240" t="n">
        <x:v>1482</x:v>
      </x:c>
      <x:c r="K1240" s="4" t="n">
        <x:v>208</x:v>
      </x:c>
      <x:c r="L1240" s="4" t="n">
        <x:v>951</x:v>
      </x:c>
      <x:c r="M1240" s="4" t="n">
        <x:v>101</x:v>
      </x:c>
      <x:c r="N1240" s="5" t="n">
        <x:v>0.10619999999999999</x:v>
      </x:c>
    </x:row>
    <x:row r="1241" ht="24" customHeight="1">
      <x:c r="A1241" s="1" t="str">
        <x:v>RESULT</x:v>
      </x:c>
      <x:c r="B1241" s="1" t="str">
        <x:v>Round2</x:v>
      </x:c>
      <x:c r="C1241" s="1" t="str">
        <x:v>JacksonCore_3</x:v>
      </x:c>
      <x:c r="D1241" s="1" t="str">
        <x:v>NOT_AVAILABLE</x:v>
      </x:c>
      <x:c r="E1241" s="5"/>
      <x:c r="F1241" s="4" t="n">
        <x:v>0</x:v>
      </x:c>
      <x:c r="G1241" s="4" t="n">
        <x:v>25687</x:v>
      </x:c>
      <x:c r="H1241" s="6" t="n">
        <x:v>35.03</x:v>
      </x:c>
      <x:c r="I1241" s="16" t="n">
        <x:v>1</x:v>
      </x:c>
      <x:c r="J1241"/>
      <x:c r="K1241" s="4"/>
      <x:c r="L1241" s="4"/>
      <x:c r="M1241" s="4"/>
      <x:c r="N1241" s="5"/>
    </x:row>
    <x:row r="1242" ht="24" customHeight="1">
      <x:c r="A1242" s="1" t="str">
        <x:v>RESULT</x:v>
      </x:c>
      <x:c r="B1242" s="1" t="str">
        <x:v>Round2</x:v>
      </x:c>
      <x:c r="C1242" s="1" t="str">
        <x:v>JacksonCore_4</x:v>
      </x:c>
      <x:c r="D1242" s="1" t="str">
        <x:v>NOT_AVAILABLE</x:v>
      </x:c>
      <x:c r="E1242" s="5"/>
      <x:c r="F1242" s="4" t="n">
        <x:v>0</x:v>
      </x:c>
      <x:c r="G1242" s="4" t="n">
        <x:v>8845</x:v>
      </x:c>
      <x:c r="H1242" s="6" t="n">
        <x:v>23.17</x:v>
      </x:c>
      <x:c r="I1242" s="16" t="n">
        <x:v>1</x:v>
      </x:c>
      <x:c r="J1242"/>
      <x:c r="K1242" s="4"/>
      <x:c r="L1242" s="4"/>
      <x:c r="M1242" s="4"/>
      <x:c r="N1242" s="5"/>
    </x:row>
    <x:row r="1243" ht="24" customHeight="1">
      <x:c r="A1243" s="1" t="str">
        <x:v>RESULT</x:v>
      </x:c>
      <x:c r="B1243" s="1" t="str">
        <x:v>Round2</x:v>
      </x:c>
      <x:c r="C1243" s="1" t="str">
        <x:v>JacksonCore_5</x:v>
      </x:c>
      <x:c r="D1243" s="1" t="str">
        <x:v>NOT_REVEALING</x:v>
      </x:c>
      <x:c r="E1243" s="5" t="n">
        <x:v>0.9762000000000001</x:v>
      </x:c>
      <x:c r="F1243" s="4" t="n">
        <x:v>0</x:v>
      </x:c>
      <x:c r="G1243" s="4" t="n">
        <x:v>5160</x:v>
      </x:c>
      <x:c r="H1243" s="6" t="n">
        <x:v>32.41</x:v>
      </x:c>
      <x:c r="I1243" s="16" t="n">
        <x:v>1</x:v>
      </x:c>
      <x:c r="J1243" t="n">
        <x:v>84</x:v>
      </x:c>
      <x:c r="K1243" s="4" t="n">
        <x:v>82</x:v>
      </x:c>
      <x:c r="L1243" s="4" t="n">
        <x:v>62</x:v>
      </x:c>
      <x:c r="M1243" s="4" t="n">
        <x:v>56</x:v>
      </x:c>
      <x:c r="N1243" s="5" t="n">
        <x:v>0.9031999999999999</x:v>
      </x:c>
    </x:row>
    <x:row r="1244" ht="24" customHeight="1">
      <x:c r="A1244" s="1" t="str">
        <x:v>RESULT</x:v>
      </x:c>
      <x:c r="B1244" s="1" t="str">
        <x:v>Round2</x:v>
      </x:c>
      <x:c r="C1244" s="1" t="str">
        <x:v>JacksonCore_6</x:v>
      </x:c>
      <x:c r="D1244" s="1" t="str">
        <x:v>INCONCLUSIVE</x:v>
      </x:c>
      <x:c r="E1244" s="5" t="n">
        <x:v>0.9523999999999999</x:v>
      </x:c>
      <x:c r="F1244" s="4" t="n">
        <x:v>0</x:v>
      </x:c>
      <x:c r="G1244" s="4"/>
      <x:c r="H1244" s="6"/>
      <x:c r="I1244" s="16" t="n">
        <x:v>1</x:v>
      </x:c>
      <x:c r="J1244" t="n">
        <x:v>84</x:v>
      </x:c>
      <x:c r="K1244" s="4" t="n">
        <x:v>80</x:v>
      </x:c>
      <x:c r="L1244" s="4" t="n">
        <x:v>62</x:v>
      </x:c>
      <x:c r="M1244" s="4" t="n">
        <x:v>54</x:v>
      </x:c>
      <x:c r="N1244" s="5" t="n">
        <x:v>0.871</x:v>
      </x:c>
    </x:row>
    <x:row r="1245" ht="24" customHeight="1">
      <x:c r="A1245" s="1" t="str">
        <x:v>RESULT</x:v>
      </x:c>
      <x:c r="B1245" s="1" t="str">
        <x:v>Round2</x:v>
      </x:c>
      <x:c r="C1245" s="1" t="str">
        <x:v>JacksonCore_7</x:v>
      </x:c>
      <x:c r="D1245" s="1" t="str">
        <x:v>NOT_AVAILABLE</x:v>
      </x:c>
      <x:c r="E1245" s="5"/>
      <x:c r="F1245" s="4" t="n">
        <x:v>0</x:v>
      </x:c>
      <x:c r="G1245" s="4" t="n">
        <x:v>4627</x:v>
      </x:c>
      <x:c r="H1245" s="6" t="n">
        <x:v>19.73</x:v>
      </x:c>
      <x:c r="I1245" s="16" t="n">
        <x:v>1</x:v>
      </x:c>
      <x:c r="J1245"/>
      <x:c r="K1245" s="4"/>
      <x:c r="L1245" s="4"/>
      <x:c r="M1245" s="4"/>
      <x:c r="N1245" s="5"/>
    </x:row>
    <x:row r="1246" ht="24" customHeight="1">
      <x:c r="A1246" s="1" t="str">
        <x:v>RESULT</x:v>
      </x:c>
      <x:c r="B1246" s="1" t="str">
        <x:v>Round2</x:v>
      </x:c>
      <x:c r="C1246" s="1" t="str">
        <x:v>JacksonCore_8</x:v>
      </x:c>
      <x:c r="D1246" s="1" t="str">
        <x:v>INCONCLUSIVE</x:v>
      </x:c>
      <x:c r="E1246" s="5" t="n">
        <x:v>0.6052000000000001</x:v>
      </x:c>
      <x:c r="F1246" s="4" t="n">
        <x:v>0</x:v>
      </x:c>
      <x:c r="G1246" s="4"/>
      <x:c r="H1246" s="6"/>
      <x:c r="I1246" s="16" t="n">
        <x:v>1</x:v>
      </x:c>
      <x:c r="J1246" t="n">
        <x:v>271</x:v>
      </x:c>
      <x:c r="K1246" s="4" t="n">
        <x:v>164</x:v>
      </x:c>
      <x:c r="L1246" s="4" t="n">
        <x:v>138</x:v>
      </x:c>
      <x:c r="M1246" s="4" t="n">
        <x:v>67</x:v>
      </x:c>
      <x:c r="N1246" s="5" t="n">
        <x:v>0.4855</x:v>
      </x:c>
    </x:row>
    <x:row r="1247" ht="24" customHeight="1">
      <x:c r="A1247" s="1" t="str">
        <x:v>RESULT</x:v>
      </x:c>
      <x:c r="B1247" s="1" t="str">
        <x:v>Round2</x:v>
      </x:c>
      <x:c r="C1247" s="1" t="str">
        <x:v>JacksonCore_9</x:v>
      </x:c>
      <x:c r="D1247" s="1" t="str">
        <x:v>NOT_AVAILABLE</x:v>
      </x:c>
      <x:c r="E1247" s="5"/>
      <x:c r="F1247" s="4" t="n">
        <x:v>0</x:v>
      </x:c>
      <x:c r="G1247" s="4" t="n">
        <x:v>60697</x:v>
      </x:c>
      <x:c r="H1247" s="6" t="n">
        <x:v>146.81</x:v>
      </x:c>
      <x:c r="I1247" s="16" t="n">
        <x:v>1</x:v>
      </x:c>
      <x:c r="J1247"/>
      <x:c r="K1247" s="4"/>
      <x:c r="L1247" s="4"/>
      <x:c r="M1247" s="4"/>
      <x:c r="N1247" s="5"/>
    </x:row>
    <x:row r="1248" ht="24" customHeight="1">
      <x:c r="A1248" s="1" t="str">
        <x:v>RESULT</x:v>
      </x:c>
      <x:c r="B1248" s="1" t="str">
        <x:v>Round2</x:v>
      </x:c>
      <x:c r="C1248" s="1" t="str">
        <x:v>JacksonDatabind_1</x:v>
      </x:c>
      <x:c r="D1248" s="1" t="str">
        <x:v>NOT_AVAILABLE</x:v>
      </x:c>
      <x:c r="E1248" s="5"/>
      <x:c r="F1248" s="4" t="n">
        <x:v>0</x:v>
      </x:c>
      <x:c r="G1248" s="4" t="n">
        <x:v>14379</x:v>
      </x:c>
      <x:c r="H1248" s="6" t="n">
        <x:v>91.46</x:v>
      </x:c>
      <x:c r="I1248" s="16" t="n">
        <x:v>1</x:v>
      </x:c>
      <x:c r="J1248"/>
      <x:c r="K1248" s="4"/>
      <x:c r="L1248" s="4"/>
      <x:c r="M1248" s="4"/>
      <x:c r="N1248" s="5"/>
    </x:row>
    <x:row r="1249" ht="24" customHeight="1">
      <x:c r="A1249" s="1" t="str">
        <x:v>RESULT</x:v>
      </x:c>
      <x:c r="B1249" s="1" t="str">
        <x:v>Round2</x:v>
      </x:c>
      <x:c r="C1249" s="1" t="str">
        <x:v>JacksonDatabind_10</x:v>
      </x:c>
      <x:c r="D1249" s="1" t="str">
        <x:v>NOT_AVAILABLE</x:v>
      </x:c>
      <x:c r="E1249" s="5"/>
      <x:c r="F1249" s="4" t="n">
        <x:v>0</x:v>
      </x:c>
      <x:c r="G1249" s="4" t="n">
        <x:v>36112</x:v>
      </x:c>
      <x:c r="H1249" s="6" t="n">
        <x:v>1003.42</x:v>
      </x:c>
      <x:c r="I1249" s="16" t="n">
        <x:v>1</x:v>
      </x:c>
      <x:c r="J1249"/>
      <x:c r="K1249" s="4"/>
      <x:c r="L1249" s="4"/>
      <x:c r="M1249" s="4"/>
      <x:c r="N1249" s="5"/>
    </x:row>
    <x:row r="1250" ht="24" customHeight="1">
      <x:c r="A1250" s="1" t="str">
        <x:v>RESULT</x:v>
      </x:c>
      <x:c r="B1250" s="1" t="str">
        <x:v>Round2</x:v>
      </x:c>
      <x:c r="C1250" s="1" t="str">
        <x:v>JacksonDatabind_100</x:v>
      </x:c>
      <x:c r="D1250" s="1" t="str">
        <x:v>NOT_AVAILABLE</x:v>
      </x:c>
      <x:c r="E1250" s="5"/>
      <x:c r="F1250" s="4" t="n">
        <x:v>0</x:v>
      </x:c>
      <x:c r="G1250" s="4" t="n">
        <x:v>9136</x:v>
      </x:c>
      <x:c r="H1250" s="6" t="n">
        <x:v>64.51</x:v>
      </x:c>
      <x:c r="I1250" s="16" t="n">
        <x:v>1</x:v>
      </x:c>
      <x:c r="J1250"/>
      <x:c r="K1250" s="4"/>
      <x:c r="L1250" s="4"/>
      <x:c r="M1250" s="4"/>
      <x:c r="N1250" s="5"/>
    </x:row>
    <x:row r="1251" ht="24" customHeight="1">
      <x:c r="A1251" s="1" t="str">
        <x:v>RESULT</x:v>
      </x:c>
      <x:c r="B1251" s="1" t="str">
        <x:v>Round2</x:v>
      </x:c>
      <x:c r="C1251" s="1" t="str">
        <x:v>JacksonDatabind_101</x:v>
      </x:c>
      <x:c r="D1251" s="1" t="str">
        <x:v>NOT_AVAILABLE</x:v>
      </x:c>
      <x:c r="E1251" s="5"/>
      <x:c r="F1251" s="4" t="n">
        <x:v>0</x:v>
      </x:c>
      <x:c r="G1251" s="4" t="n">
        <x:v>40188</x:v>
      </x:c>
      <x:c r="H1251" s="6" t="n">
        <x:v>435.67</x:v>
      </x:c>
      <x:c r="I1251" s="16" t="n">
        <x:v>1</x:v>
      </x:c>
      <x:c r="J1251"/>
      <x:c r="K1251" s="4"/>
      <x:c r="L1251" s="4"/>
      <x:c r="M1251" s="4"/>
      <x:c r="N1251" s="5"/>
    </x:row>
    <x:row r="1252" ht="24" customHeight="1">
      <x:c r="A1252" s="1" t="str">
        <x:v>RESULT</x:v>
      </x:c>
      <x:c r="B1252" s="1" t="str">
        <x:v>Round2</x:v>
      </x:c>
      <x:c r="C1252" s="1" t="str">
        <x:v>JacksonDatabind_102</x:v>
      </x:c>
      <x:c r="D1252" s="1" t="str">
        <x:v>NOT_AVAILABLE</x:v>
      </x:c>
      <x:c r="E1252" s="5"/>
      <x:c r="F1252" s="4" t="n">
        <x:v>0</x:v>
      </x:c>
      <x:c r="G1252" s="4" t="n">
        <x:v>14746</x:v>
      </x:c>
      <x:c r="H1252" s="6" t="n">
        <x:v>98.6</x:v>
      </x:c>
      <x:c r="I1252" s="16" t="n">
        <x:v>1</x:v>
      </x:c>
      <x:c r="J1252"/>
      <x:c r="K1252" s="4"/>
      <x:c r="L1252" s="4"/>
      <x:c r="M1252" s="4"/>
      <x:c r="N1252" s="5"/>
    </x:row>
    <x:row r="1253" ht="24" customHeight="1">
      <x:c r="A1253" s="1" t="str">
        <x:v>RESULT</x:v>
      </x:c>
      <x:c r="B1253" s="1" t="str">
        <x:v>Round2</x:v>
      </x:c>
      <x:c r="C1253" s="1" t="str">
        <x:v>JacksonDatabind_103</x:v>
      </x:c>
      <x:c r="D1253" s="1" t="str">
        <x:v>NOT_AVAILABLE</x:v>
      </x:c>
      <x:c r="E1253" s="5"/>
      <x:c r="F1253" s="4" t="n">
        <x:v>0</x:v>
      </x:c>
      <x:c r="G1253" s="4" t="n">
        <x:v>389617</x:v>
      </x:c>
      <x:c r="H1253" s="6" t="n">
        <x:v>8335.63</x:v>
      </x:c>
      <x:c r="I1253" s="16" t="n">
        <x:v>1</x:v>
      </x:c>
      <x:c r="J1253"/>
      <x:c r="K1253" s="4"/>
      <x:c r="L1253" s="4"/>
      <x:c r="M1253" s="4"/>
      <x:c r="N1253" s="5"/>
    </x:row>
    <x:row r="1254" ht="24" customHeight="1">
      <x:c r="A1254" s="1" t="str">
        <x:v>RESULT</x:v>
      </x:c>
      <x:c r="B1254" s="1" t="str">
        <x:v>Round2</x:v>
      </x:c>
      <x:c r="C1254" s="1" t="str">
        <x:v>JacksonDatabind_104</x:v>
      </x:c>
      <x:c r="D1254" s="1" t="str">
        <x:v>NOT_AVAILABLE</x:v>
      </x:c>
      <x:c r="E1254" s="5"/>
      <x:c r="F1254" s="4" t="n">
        <x:v>0</x:v>
      </x:c>
      <x:c r="G1254" s="4" t="n">
        <x:v>34246</x:v>
      </x:c>
      <x:c r="H1254" s="6" t="n">
        <x:v>1296.87</x:v>
      </x:c>
      <x:c r="I1254" s="16" t="n">
        <x:v>1</x:v>
      </x:c>
      <x:c r="J1254"/>
      <x:c r="K1254" s="4"/>
      <x:c r="L1254" s="4"/>
      <x:c r="M1254" s="4"/>
      <x:c r="N1254" s="5"/>
    </x:row>
    <x:row r="1255" ht="24" customHeight="1">
      <x:c r="A1255" s="1" t="str">
        <x:v>RESULT</x:v>
      </x:c>
      <x:c r="B1255" s="1" t="str">
        <x:v>Round2</x:v>
      </x:c>
      <x:c r="C1255" s="1" t="str">
        <x:v>JacksonDatabind_105</x:v>
      </x:c>
      <x:c r="D1255" s="1" t="str">
        <x:v>INCONCLUSIVE</x:v>
      </x:c>
      <x:c r="E1255" s="5" t="n">
        <x:v>0.8946999999999999</x:v>
      </x:c>
      <x:c r="F1255" s="4" t="n">
        <x:v>0</x:v>
      </x:c>
      <x:c r="G1255" s="4"/>
      <x:c r="H1255" s="6"/>
      <x:c r="I1255" s="16" t="n">
        <x:v>1</x:v>
      </x:c>
      <x:c r="J1255" t="n">
        <x:v>19</x:v>
      </x:c>
      <x:c r="K1255" s="4" t="n">
        <x:v>17</x:v>
      </x:c>
      <x:c r="L1255" s="4" t="n">
        <x:v>12</x:v>
      </x:c>
      <x:c r="M1255" s="4" t="n">
        <x:v>10</x:v>
      </x:c>
      <x:c r="N1255" s="5" t="n">
        <x:v>0.8332999999999999</x:v>
      </x:c>
    </x:row>
    <x:row r="1256" ht="24" customHeight="1">
      <x:c r="A1256" s="1" t="str">
        <x:v>RESULT</x:v>
      </x:c>
      <x:c r="B1256" s="1" t="str">
        <x:v>Round2</x:v>
      </x:c>
      <x:c r="C1256" s="1" t="str">
        <x:v>JacksonDatabind_106</x:v>
      </x:c>
      <x:c r="D1256" s="1" t="str">
        <x:v>NOT_AVAILABLE</x:v>
      </x:c>
      <x:c r="E1256" s="5"/>
      <x:c r="F1256" s="4" t="n">
        <x:v>0</x:v>
      </x:c>
      <x:c r="G1256" s="4" t="n">
        <x:v>33769</x:v>
      </x:c>
      <x:c r="H1256" s="6" t="n">
        <x:v>1359.96</x:v>
      </x:c>
      <x:c r="I1256" s="16" t="n">
        <x:v>1</x:v>
      </x:c>
      <x:c r="J1256"/>
      <x:c r="K1256" s="4"/>
      <x:c r="L1256" s="4"/>
      <x:c r="M1256" s="4"/>
      <x:c r="N1256" s="5"/>
    </x:row>
    <x:row r="1257" ht="24" customHeight="1">
      <x:c r="A1257" s="1" t="str">
        <x:v>RESULT</x:v>
      </x:c>
      <x:c r="B1257" s="1" t="str">
        <x:v>Round2</x:v>
      </x:c>
      <x:c r="C1257" s="1" t="str">
        <x:v>JacksonDatabind_107</x:v>
      </x:c>
      <x:c r="D1257" s="1" t="str">
        <x:v>NOT_AVAILABLE</x:v>
      </x:c>
      <x:c r="E1257" s="5"/>
      <x:c r="F1257" s="4" t="n">
        <x:v>0</x:v>
      </x:c>
      <x:c r="G1257" s="4" t="n">
        <x:v>34875</x:v>
      </x:c>
      <x:c r="H1257" s="6" t="n">
        <x:v>1413.17</x:v>
      </x:c>
      <x:c r="I1257" s="16" t="n">
        <x:v>1</x:v>
      </x:c>
      <x:c r="J1257"/>
      <x:c r="K1257" s="4"/>
      <x:c r="L1257" s="4"/>
      <x:c r="M1257" s="4"/>
      <x:c r="N1257" s="5"/>
    </x:row>
    <x:row r="1258" ht="24" customHeight="1">
      <x:c r="A1258" s="1" t="str">
        <x:v>RESULT</x:v>
      </x:c>
      <x:c r="B1258" s="1" t="str">
        <x:v>Round2</x:v>
      </x:c>
      <x:c r="C1258" s="1" t="str">
        <x:v>JacksonDatabind_108</x:v>
      </x:c>
      <x:c r="D1258" s="1" t="str">
        <x:v>INCONCLUSIVE</x:v>
      </x:c>
      <x:c r="E1258" s="5" t="n">
        <x:v>0.4514</x:v>
      </x:c>
      <x:c r="F1258" s="4" t="n">
        <x:v>0</x:v>
      </x:c>
      <x:c r="G1258" s="4" t="n">
        <x:v>38897</x:v>
      </x:c>
      <x:c r="H1258" s="6" t="n">
        <x:v>1340.95</x:v>
      </x:c>
      <x:c r="I1258" s="16" t="n">
        <x:v>1</x:v>
      </x:c>
      <x:c r="J1258" t="n">
        <x:v>432</x:v>
      </x:c>
      <x:c r="K1258" s="4" t="n">
        <x:v>195</x:v>
      </x:c>
      <x:c r="L1258" s="4" t="n">
        <x:v>182</x:v>
      </x:c>
      <x:c r="M1258" s="4" t="n">
        <x:v>66</x:v>
      </x:c>
      <x:c r="N1258" s="5" t="n">
        <x:v>0.3626</x:v>
      </x:c>
    </x:row>
    <x:row r="1259" ht="24" customHeight="1">
      <x:c r="A1259" s="1" t="str">
        <x:v>RESULT</x:v>
      </x:c>
      <x:c r="B1259" s="1" t="str">
        <x:v>Round2</x:v>
      </x:c>
      <x:c r="C1259" s="1" t="str">
        <x:v>JacksonDatabind_109</x:v>
      </x:c>
      <x:c r="D1259" s="1" t="str">
        <x:v>NOT_AVAILABLE</x:v>
      </x:c>
      <x:c r="E1259" s="5"/>
      <x:c r="F1259" s="4" t="n">
        <x:v>0</x:v>
      </x:c>
      <x:c r="G1259" s="4" t="n">
        <x:v>48021</x:v>
      </x:c>
      <x:c r="H1259" s="6" t="n">
        <x:v>1965.05</x:v>
      </x:c>
      <x:c r="I1259" s="16" t="n">
        <x:v>1</x:v>
      </x:c>
      <x:c r="J1259"/>
      <x:c r="K1259" s="4"/>
      <x:c r="L1259" s="4"/>
      <x:c r="M1259" s="4"/>
      <x:c r="N1259" s="5"/>
    </x:row>
    <x:row r="1260" ht="24" customHeight="1">
      <x:c r="A1260" s="1" t="str">
        <x:v>RESULT</x:v>
      </x:c>
      <x:c r="B1260" s="1" t="str">
        <x:v>Round2</x:v>
      </x:c>
      <x:c r="C1260" s="1" t="str">
        <x:v>JacksonDatabind_11</x:v>
      </x:c>
      <x:c r="D1260" s="1" t="str">
        <x:v>NOT_REVEALING</x:v>
      </x:c>
      <x:c r="E1260" s="5" t="n">
        <x:v>0.5625</x:v>
      </x:c>
      <x:c r="F1260" s="4" t="n">
        <x:v>0</x:v>
      </x:c>
      <x:c r="G1260" s="4" t="n">
        <x:v>30985</x:v>
      </x:c>
      <x:c r="H1260" s="6" t="n">
        <x:v>1107.72</x:v>
      </x:c>
      <x:c r="I1260" s="16" t="n">
        <x:v>1</x:v>
      </x:c>
      <x:c r="J1260" t="n">
        <x:v>320</x:v>
      </x:c>
      <x:c r="K1260" s="4" t="n">
        <x:v>180</x:v>
      </x:c>
      <x:c r="L1260" s="4" t="n">
        <x:v>198</x:v>
      </x:c>
      <x:c r="M1260" s="4" t="n">
        <x:v>84</x:v>
      </x:c>
      <x:c r="N1260" s="5" t="n">
        <x:v>0.4242</x:v>
      </x:c>
    </x:row>
    <x:row r="1261" ht="24" customHeight="1">
      <x:c r="A1261" s="1" t="str">
        <x:v>RESULT</x:v>
      </x:c>
      <x:c r="B1261" s="1" t="str">
        <x:v>Round2</x:v>
      </x:c>
      <x:c r="C1261" s="1" t="str">
        <x:v>JacksonDatabind_110</x:v>
      </x:c>
      <x:c r="D1261" s="1" t="str">
        <x:v>NOT_AVAILABLE</x:v>
      </x:c>
      <x:c r="E1261" s="5"/>
      <x:c r="F1261" s="4" t="n">
        <x:v>0</x:v>
      </x:c>
      <x:c r="G1261" s="4" t="n">
        <x:v>11788</x:v>
      </x:c>
      <x:c r="H1261" s="6" t="n">
        <x:v>108.48</x:v>
      </x:c>
      <x:c r="I1261" s="16" t="n">
        <x:v>1</x:v>
      </x:c>
      <x:c r="J1261"/>
      <x:c r="K1261" s="4"/>
      <x:c r="L1261" s="4"/>
      <x:c r="M1261" s="4"/>
      <x:c r="N1261" s="5"/>
    </x:row>
    <x:row r="1262" ht="24" customHeight="1">
      <x:c r="A1262" s="1" t="str">
        <x:v>RESULT</x:v>
      </x:c>
      <x:c r="B1262" s="1" t="str">
        <x:v>Round2</x:v>
      </x:c>
      <x:c r="C1262" s="1" t="str">
        <x:v>JacksonDatabind_111</x:v>
      </x:c>
      <x:c r="D1262" s="1" t="str">
        <x:v>NOT_AVAILABLE</x:v>
      </x:c>
      <x:c r="E1262" s="5"/>
      <x:c r="F1262" s="4" t="n">
        <x:v>0</x:v>
      </x:c>
      <x:c r="G1262" s="4" t="n">
        <x:v>173119</x:v>
      </x:c>
      <x:c r="H1262" s="6" t="n">
        <x:v>5363.56</x:v>
      </x:c>
      <x:c r="I1262" s="16" t="n">
        <x:v>1</x:v>
      </x:c>
      <x:c r="J1262"/>
      <x:c r="K1262" s="4"/>
      <x:c r="L1262" s="4"/>
      <x:c r="M1262" s="4"/>
      <x:c r="N1262" s="5"/>
    </x:row>
    <x:row r="1263" ht="24" customHeight="1">
      <x:c r="A1263" s="1" t="str">
        <x:v>RESULT</x:v>
      </x:c>
      <x:c r="B1263" s="1" t="str">
        <x:v>Round2</x:v>
      </x:c>
      <x:c r="C1263" s="1" t="str">
        <x:v>JacksonDatabind_112</x:v>
      </x:c>
      <x:c r="D1263" s="1" t="str">
        <x:v>NOT_AVAILABLE</x:v>
      </x:c>
      <x:c r="E1263" s="5"/>
      <x:c r="F1263" s="4" t="n">
        <x:v>0</x:v>
      </x:c>
      <x:c r="G1263" s="4" t="n">
        <x:v>20159</x:v>
      </x:c>
      <x:c r="H1263" s="6" t="n">
        <x:v>159.96</x:v>
      </x:c>
      <x:c r="I1263" s="16" t="n">
        <x:v>1</x:v>
      </x:c>
      <x:c r="J1263"/>
      <x:c r="K1263" s="4"/>
      <x:c r="L1263" s="4"/>
      <x:c r="M1263" s="4"/>
      <x:c r="N1263" s="5"/>
    </x:row>
    <x:row r="1264" ht="24" customHeight="1">
      <x:c r="A1264" s="1" t="str">
        <x:v>RESULT</x:v>
      </x:c>
      <x:c r="B1264" s="1" t="str">
        <x:v>Round2</x:v>
      </x:c>
      <x:c r="C1264" s="1" t="str">
        <x:v>JacksonDatabind_12</x:v>
      </x:c>
      <x:c r="D1264" s="1" t="str">
        <x:v>NOT_AVAILABLE</x:v>
      </x:c>
      <x:c r="E1264" s="5"/>
      <x:c r="F1264" s="4" t="n">
        <x:v>0</x:v>
      </x:c>
      <x:c r="G1264" s="4" t="n">
        <x:v>33456</x:v>
      </x:c>
      <x:c r="H1264" s="6" t="n">
        <x:v>369.8</x:v>
      </x:c>
      <x:c r="I1264" s="16" t="n">
        <x:v>1</x:v>
      </x:c>
      <x:c r="J1264"/>
      <x:c r="K1264" s="4"/>
      <x:c r="L1264" s="4"/>
      <x:c r="M1264" s="4"/>
      <x:c r="N1264" s="5"/>
    </x:row>
    <x:row r="1265" ht="24" customHeight="1">
      <x:c r="A1265" s="1" t="str">
        <x:v>RESULT</x:v>
      </x:c>
      <x:c r="B1265" s="1" t="str">
        <x:v>Round2</x:v>
      </x:c>
      <x:c r="C1265" s="1" t="str">
        <x:v>JacksonDatabind_13</x:v>
      </x:c>
      <x:c r="D1265" s="1" t="str">
        <x:v>NOT_AVAILABLE</x:v>
      </x:c>
      <x:c r="E1265" s="5"/>
      <x:c r="F1265" s="4" t="n">
        <x:v>0</x:v>
      </x:c>
      <x:c r="G1265" s="4" t="n">
        <x:v>34391</x:v>
      </x:c>
      <x:c r="H1265" s="6" t="n">
        <x:v>237.96</x:v>
      </x:c>
      <x:c r="I1265" s="16" t="n">
        <x:v>1</x:v>
      </x:c>
      <x:c r="J1265"/>
      <x:c r="K1265" s="4"/>
      <x:c r="L1265" s="4"/>
      <x:c r="M1265" s="4"/>
      <x:c r="N1265" s="5"/>
    </x:row>
    <x:row r="1266" ht="24" customHeight="1">
      <x:c r="A1266" s="1" t="str">
        <x:v>RESULT</x:v>
      </x:c>
      <x:c r="B1266" s="1" t="str">
        <x:v>Round2</x:v>
      </x:c>
      <x:c r="C1266" s="1" t="str">
        <x:v>JacksonDatabind_14</x:v>
      </x:c>
      <x:c r="D1266" s="1" t="str">
        <x:v>NOT_AVAILABLE</x:v>
      </x:c>
      <x:c r="E1266" s="5"/>
      <x:c r="F1266" s="4" t="n">
        <x:v>0</x:v>
      </x:c>
      <x:c r="G1266" s="4" t="n">
        <x:v>25937</x:v>
      </x:c>
      <x:c r="H1266" s="6" t="n">
        <x:v>143.59</x:v>
      </x:c>
      <x:c r="I1266" s="16" t="n">
        <x:v>1</x:v>
      </x:c>
      <x:c r="J1266"/>
      <x:c r="K1266" s="4"/>
      <x:c r="L1266" s="4"/>
      <x:c r="M1266" s="4"/>
      <x:c r="N1266" s="5"/>
    </x:row>
    <x:row r="1267" ht="24" customHeight="1">
      <x:c r="A1267" s="1" t="str">
        <x:v>RESULT</x:v>
      </x:c>
      <x:c r="B1267" s="1" t="str">
        <x:v>Round2</x:v>
      </x:c>
      <x:c r="C1267" s="1" t="str">
        <x:v>JacksonDatabind_15</x:v>
      </x:c>
      <x:c r="D1267" s="1" t="str">
        <x:v>NOT_AVAILABLE</x:v>
      </x:c>
      <x:c r="E1267" s="5"/>
      <x:c r="F1267" s="4" t="n">
        <x:v>0</x:v>
      </x:c>
      <x:c r="G1267" s="4" t="n">
        <x:v>98568</x:v>
      </x:c>
      <x:c r="H1267" s="6" t="n">
        <x:v>673.98</x:v>
      </x:c>
      <x:c r="I1267" s="16" t="n">
        <x:v>1</x:v>
      </x:c>
      <x:c r="J1267"/>
      <x:c r="K1267" s="4"/>
      <x:c r="L1267" s="4"/>
      <x:c r="M1267" s="4"/>
      <x:c r="N1267" s="5"/>
    </x:row>
    <x:row r="1268" ht="24" customHeight="1">
      <x:c r="A1268" s="1" t="str">
        <x:v>RESULT</x:v>
      </x:c>
      <x:c r="B1268" s="1" t="str">
        <x:v>Round2</x:v>
      </x:c>
      <x:c r="C1268" s="1" t="str">
        <x:v>JacksonDatabind_16</x:v>
      </x:c>
      <x:c r="D1268" s="1" t="str">
        <x:v>INCONCLUSIVE</x:v>
      </x:c>
      <x:c r="E1268" s="5" t="n">
        <x:v>1</x:v>
      </x:c>
      <x:c r="F1268" s="4" t="n">
        <x:v>0</x:v>
      </x:c>
      <x:c r="G1268" s="4"/>
      <x:c r="H1268" s="6"/>
      <x:c r="I1268" s="16" t="n">
        <x:v>1</x:v>
      </x:c>
      <x:c r="J1268" t="n">
        <x:v>35</x:v>
      </x:c>
      <x:c r="K1268" s="4" t="n">
        <x:v>35</x:v>
      </x:c>
      <x:c r="L1268" s="4" t="n">
        <x:v>36</x:v>
      </x:c>
      <x:c r="M1268" s="4" t="n">
        <x:v>31</x:v>
      </x:c>
      <x:c r="N1268" s="5" t="n">
        <x:v>0.8611</x:v>
      </x:c>
    </x:row>
    <x:row r="1269" ht="24" customHeight="1">
      <x:c r="A1269" s="1" t="str">
        <x:v>RESULT</x:v>
      </x:c>
      <x:c r="B1269" s="1" t="str">
        <x:v>Round2</x:v>
      </x:c>
      <x:c r="C1269" s="1" t="str">
        <x:v>JacksonDatabind_17</x:v>
      </x:c>
      <x:c r="D1269" s="1" t="str">
        <x:v>NOT_AVAILABLE</x:v>
      </x:c>
      <x:c r="E1269" s="5"/>
      <x:c r="F1269" s="4" t="n">
        <x:v>0</x:v>
      </x:c>
      <x:c r="G1269" s="4" t="n">
        <x:v>22989</x:v>
      </x:c>
      <x:c r="H1269" s="6" t="n">
        <x:v>73.15</x:v>
      </x:c>
      <x:c r="I1269" s="16" t="n">
        <x:v>1</x:v>
      </x:c>
      <x:c r="J1269"/>
      <x:c r="K1269" s="4"/>
      <x:c r="L1269" s="4"/>
      <x:c r="M1269" s="4"/>
      <x:c r="N1269" s="5"/>
    </x:row>
    <x:row r="1270" ht="24" customHeight="1">
      <x:c r="A1270" s="1" t="str">
        <x:v>RESULT</x:v>
      </x:c>
      <x:c r="B1270" s="1" t="str">
        <x:v>Round2</x:v>
      </x:c>
      <x:c r="C1270" s="1" t="str">
        <x:v>JacksonDatabind_18</x:v>
      </x:c>
      <x:c r="D1270" s="1" t="str">
        <x:v>NOT_AVAILABLE</x:v>
      </x:c>
      <x:c r="E1270" s="5"/>
      <x:c r="F1270" s="4" t="n">
        <x:v>0</x:v>
      </x:c>
      <x:c r="G1270" s="4" t="n">
        <x:v>22728</x:v>
      </x:c>
      <x:c r="H1270" s="6" t="n">
        <x:v>832.92</x:v>
      </x:c>
      <x:c r="I1270" s="16" t="n">
        <x:v>1</x:v>
      </x:c>
      <x:c r="J1270"/>
      <x:c r="K1270" s="4"/>
      <x:c r="L1270" s="4"/>
      <x:c r="M1270" s="4"/>
      <x:c r="N1270" s="5"/>
    </x:row>
    <x:row r="1271" ht="24" customHeight="1">
      <x:c r="A1271" s="1" t="str">
        <x:v>RESULT</x:v>
      </x:c>
      <x:c r="B1271" s="1" t="str">
        <x:v>Round2</x:v>
      </x:c>
      <x:c r="C1271" s="1" t="str">
        <x:v>JacksonDatabind_19</x:v>
      </x:c>
      <x:c r="D1271" s="1" t="str">
        <x:v>NOT_AVAILABLE</x:v>
      </x:c>
      <x:c r="E1271" s="5"/>
      <x:c r="F1271" s="4" t="n">
        <x:v>0</x:v>
      </x:c>
      <x:c r="G1271" s="4" t="n">
        <x:v>20107</x:v>
      </x:c>
      <x:c r="H1271" s="6" t="n">
        <x:v>111.47</x:v>
      </x:c>
      <x:c r="I1271" s="16" t="n">
        <x:v>1</x:v>
      </x:c>
      <x:c r="J1271"/>
      <x:c r="K1271" s="4"/>
      <x:c r="L1271" s="4"/>
      <x:c r="M1271" s="4"/>
      <x:c r="N1271" s="5"/>
    </x:row>
    <x:row r="1272" ht="24" customHeight="1">
      <x:c r="A1272" s="1" t="str">
        <x:v>RESULT</x:v>
      </x:c>
      <x:c r="B1272" s="1" t="str">
        <x:v>Round2</x:v>
      </x:c>
      <x:c r="C1272" s="1" t="str">
        <x:v>JacksonDatabind_2</x:v>
      </x:c>
      <x:c r="D1272" s="1" t="str">
        <x:v>NOT_AVAILABLE</x:v>
      </x:c>
      <x:c r="E1272" s="5"/>
      <x:c r="F1272" s="4" t="n">
        <x:v>0</x:v>
      </x:c>
      <x:c r="G1272" s="4" t="n">
        <x:v>17491</x:v>
      </x:c>
      <x:c r="H1272" s="6" t="n">
        <x:v>119.88</x:v>
      </x:c>
      <x:c r="I1272" s="16" t="n">
        <x:v>1</x:v>
      </x:c>
      <x:c r="J1272"/>
      <x:c r="K1272" s="4"/>
      <x:c r="L1272" s="4"/>
      <x:c r="M1272" s="4"/>
      <x:c r="N1272" s="5"/>
    </x:row>
    <x:row r="1273" ht="24" customHeight="1">
      <x:c r="A1273" s="1" t="str">
        <x:v>RESULT</x:v>
      </x:c>
      <x:c r="B1273" s="1" t="str">
        <x:v>Round2</x:v>
      </x:c>
      <x:c r="C1273" s="1" t="str">
        <x:v>JacksonDatabind_20</x:v>
      </x:c>
      <x:c r="D1273" s="1" t="str">
        <x:v>NOT_AVAILABLE</x:v>
      </x:c>
      <x:c r="E1273" s="5"/>
      <x:c r="F1273" s="4" t="n">
        <x:v>0</x:v>
      </x:c>
      <x:c r="G1273" s="4" t="n">
        <x:v>15853</x:v>
      </x:c>
      <x:c r="H1273" s="6" t="n">
        <x:v>68.88</x:v>
      </x:c>
      <x:c r="I1273" s="16" t="n">
        <x:v>1</x:v>
      </x:c>
      <x:c r="J1273"/>
      <x:c r="K1273" s="4"/>
      <x:c r="L1273" s="4"/>
      <x:c r="M1273" s="4"/>
      <x:c r="N1273" s="5"/>
    </x:row>
    <x:row r="1274" ht="24" customHeight="1">
      <x:c r="A1274" s="1" t="str">
        <x:v>RESULT</x:v>
      </x:c>
      <x:c r="B1274" s="1" t="str">
        <x:v>Round2</x:v>
      </x:c>
      <x:c r="C1274" s="1" t="str">
        <x:v>JacksonDatabind_21</x:v>
      </x:c>
      <x:c r="D1274" s="1" t="str">
        <x:v>NOT_AVAILABLE</x:v>
      </x:c>
      <x:c r="E1274" s="5"/>
      <x:c r="F1274" s="4" t="n">
        <x:v>0</x:v>
      </x:c>
      <x:c r="G1274" s="4" t="n">
        <x:v>28939</x:v>
      </x:c>
      <x:c r="H1274" s="6" t="n">
        <x:v>189.01</x:v>
      </x:c>
      <x:c r="I1274" s="16" t="n">
        <x:v>1</x:v>
      </x:c>
      <x:c r="J1274"/>
      <x:c r="K1274" s="4"/>
      <x:c r="L1274" s="4"/>
      <x:c r="M1274" s="4"/>
      <x:c r="N1274" s="5"/>
    </x:row>
    <x:row r="1275" ht="24" customHeight="1">
      <x:c r="A1275" s="1" t="str">
        <x:v>RESULT</x:v>
      </x:c>
      <x:c r="B1275" s="1" t="str">
        <x:v>Round2</x:v>
      </x:c>
      <x:c r="C1275" s="1" t="str">
        <x:v>JacksonDatabind_22</x:v>
      </x:c>
      <x:c r="D1275" s="1" t="str">
        <x:v>NOT_AVAILABLE</x:v>
      </x:c>
      <x:c r="E1275" s="5"/>
      <x:c r="F1275" s="4" t="n">
        <x:v>0</x:v>
      </x:c>
      <x:c r="G1275" s="4" t="n">
        <x:v>36049</x:v>
      </x:c>
      <x:c r="H1275" s="6" t="n">
        <x:v>194.02</x:v>
      </x:c>
      <x:c r="I1275" s="16" t="n">
        <x:v>1</x:v>
      </x:c>
      <x:c r="J1275"/>
      <x:c r="K1275" s="4"/>
      <x:c r="L1275" s="4"/>
      <x:c r="M1275" s="4"/>
      <x:c r="N1275" s="5"/>
    </x:row>
    <x:row r="1276" ht="24" customHeight="1">
      <x:c r="A1276" s="1" t="str">
        <x:v>RESULT</x:v>
      </x:c>
      <x:c r="B1276" s="1" t="str">
        <x:v>Round2</x:v>
      </x:c>
      <x:c r="C1276" s="1" t="str">
        <x:v>JacksonDatabind_23</x:v>
      </x:c>
      <x:c r="D1276" s="1" t="str">
        <x:v>NOT_AVAILABLE</x:v>
      </x:c>
      <x:c r="E1276" s="5"/>
      <x:c r="F1276" s="4" t="n">
        <x:v>0</x:v>
      </x:c>
      <x:c r="G1276" s="4" t="n">
        <x:v>42721</x:v>
      </x:c>
      <x:c r="H1276" s="6" t="n">
        <x:v>196.22</x:v>
      </x:c>
      <x:c r="I1276" s="16" t="n">
        <x:v>1</x:v>
      </x:c>
      <x:c r="J1276"/>
      <x:c r="K1276" s="4"/>
      <x:c r="L1276" s="4"/>
      <x:c r="M1276" s="4"/>
      <x:c r="N1276" s="5"/>
    </x:row>
    <x:row r="1277" ht="24" customHeight="1">
      <x:c r="A1277" s="1" t="str">
        <x:v>RESULT</x:v>
      </x:c>
      <x:c r="B1277" s="1" t="str">
        <x:v>Round2</x:v>
      </x:c>
      <x:c r="C1277" s="1" t="str">
        <x:v>JacksonDatabind_24</x:v>
      </x:c>
      <x:c r="D1277" s="1" t="str">
        <x:v>NOT_AVAILABLE</x:v>
      </x:c>
      <x:c r="E1277" s="5"/>
      <x:c r="F1277" s="4" t="n">
        <x:v>0</x:v>
      </x:c>
      <x:c r="G1277" s="4" t="n">
        <x:v>21652</x:v>
      </x:c>
      <x:c r="H1277" s="6" t="n">
        <x:v>160.47</x:v>
      </x:c>
      <x:c r="I1277" s="16" t="n">
        <x:v>1</x:v>
      </x:c>
      <x:c r="J1277"/>
      <x:c r="K1277" s="4"/>
      <x:c r="L1277" s="4"/>
      <x:c r="M1277" s="4"/>
      <x:c r="N1277" s="5"/>
    </x:row>
    <x:row r="1278" ht="24" customHeight="1">
      <x:c r="A1278" s="1" t="str">
        <x:v>RESULT</x:v>
      </x:c>
      <x:c r="B1278" s="1" t="str">
        <x:v>Round2</x:v>
      </x:c>
      <x:c r="C1278" s="1" t="str">
        <x:v>JacksonDatabind_25</x:v>
      </x:c>
      <x:c r="D1278" s="1" t="str">
        <x:v>NOT_AVAILABLE</x:v>
      </x:c>
      <x:c r="E1278" s="5"/>
      <x:c r="F1278" s="4" t="n">
        <x:v>0</x:v>
      </x:c>
      <x:c r="G1278" s="4" t="n">
        <x:v>137569</x:v>
      </x:c>
      <x:c r="H1278" s="6" t="n">
        <x:v>545.59</x:v>
      </x:c>
      <x:c r="I1278" s="16" t="n">
        <x:v>1</x:v>
      </x:c>
      <x:c r="J1278"/>
      <x:c r="K1278" s="4"/>
      <x:c r="L1278" s="4"/>
      <x:c r="M1278" s="4"/>
      <x:c r="N1278" s="5"/>
    </x:row>
    <x:row r="1279" ht="24" customHeight="1">
      <x:c r="A1279" s="1" t="str">
        <x:v>RESULT</x:v>
      </x:c>
      <x:c r="B1279" s="1" t="str">
        <x:v>Round2</x:v>
      </x:c>
      <x:c r="C1279" s="1" t="str">
        <x:v>JacksonDatabind_26</x:v>
      </x:c>
      <x:c r="D1279" s="1" t="str">
        <x:v>NOT_AVAILABLE</x:v>
      </x:c>
      <x:c r="E1279" s="5"/>
      <x:c r="F1279" s="4" t="n">
        <x:v>0</x:v>
      </x:c>
      <x:c r="G1279" s="4" t="n">
        <x:v>26254</x:v>
      </x:c>
      <x:c r="H1279" s="6" t="n">
        <x:v>181.67</x:v>
      </x:c>
      <x:c r="I1279" s="16" t="n">
        <x:v>1</x:v>
      </x:c>
      <x:c r="J1279"/>
      <x:c r="K1279" s="4"/>
      <x:c r="L1279" s="4"/>
      <x:c r="M1279" s="4"/>
      <x:c r="N1279" s="5"/>
    </x:row>
    <x:row r="1280" ht="24" customHeight="1">
      <x:c r="A1280" s="1" t="str">
        <x:v>RESULT</x:v>
      </x:c>
      <x:c r="B1280" s="1" t="str">
        <x:v>Round2</x:v>
      </x:c>
      <x:c r="C1280" s="1" t="str">
        <x:v>JacksonDatabind_27</x:v>
      </x:c>
      <x:c r="D1280" s="1" t="str">
        <x:v>NOT_AVAILABLE</x:v>
      </x:c>
      <x:c r="E1280" s="5"/>
      <x:c r="F1280" s="4" t="n">
        <x:v>0</x:v>
      </x:c>
      <x:c r="G1280" s="4" t="n">
        <x:v>13235</x:v>
      </x:c>
      <x:c r="H1280" s="6" t="n">
        <x:v>58.45</x:v>
      </x:c>
      <x:c r="I1280" s="16" t="n">
        <x:v>1</x:v>
      </x:c>
      <x:c r="J1280"/>
      <x:c r="K1280" s="4"/>
      <x:c r="L1280" s="4"/>
      <x:c r="M1280" s="4"/>
      <x:c r="N1280" s="5"/>
    </x:row>
    <x:row r="1281" ht="24" customHeight="1">
      <x:c r="A1281" s="1" t="str">
        <x:v>RESULT</x:v>
      </x:c>
      <x:c r="B1281" s="1" t="str">
        <x:v>Round2</x:v>
      </x:c>
      <x:c r="C1281" s="1" t="str">
        <x:v>JacksonDatabind_28</x:v>
      </x:c>
      <x:c r="D1281" s="1" t="str">
        <x:v>NOT_AVAILABLE</x:v>
      </x:c>
      <x:c r="E1281" s="5"/>
      <x:c r="F1281" s="4" t="n">
        <x:v>0</x:v>
      </x:c>
      <x:c r="G1281" s="4" t="n">
        <x:v>13261</x:v>
      </x:c>
      <x:c r="H1281" s="6" t="n">
        <x:v>66.39</x:v>
      </x:c>
      <x:c r="I1281" s="16" t="n">
        <x:v>1</x:v>
      </x:c>
      <x:c r="J1281"/>
      <x:c r="K1281" s="4"/>
      <x:c r="L1281" s="4"/>
      <x:c r="M1281" s="4"/>
      <x:c r="N1281" s="5"/>
    </x:row>
    <x:row r="1282" ht="24" customHeight="1">
      <x:c r="A1282" s="1" t="str">
        <x:v>RESULT</x:v>
      </x:c>
      <x:c r="B1282" s="1" t="str">
        <x:v>Round2</x:v>
      </x:c>
      <x:c r="C1282" s="1" t="str">
        <x:v>JacksonDatabind_29</x:v>
      </x:c>
      <x:c r="D1282" s="1" t="str">
        <x:v>NOT_AVAILABLE</x:v>
      </x:c>
      <x:c r="E1282" s="5"/>
      <x:c r="F1282" s="4" t="n">
        <x:v>0</x:v>
      </x:c>
      <x:c r="G1282" s="4" t="n">
        <x:v>9405</x:v>
      </x:c>
      <x:c r="H1282" s="6" t="n">
        <x:v>40.82</x:v>
      </x:c>
      <x:c r="I1282" s="16" t="n">
        <x:v>1</x:v>
      </x:c>
      <x:c r="J1282"/>
      <x:c r="K1282" s="4"/>
      <x:c r="L1282" s="4"/>
      <x:c r="M1282" s="4"/>
      <x:c r="N1282" s="5"/>
    </x:row>
    <x:row r="1283" ht="24" customHeight="1">
      <x:c r="A1283" s="1" t="str">
        <x:v>RESULT</x:v>
      </x:c>
      <x:c r="B1283" s="1" t="str">
        <x:v>Round2</x:v>
      </x:c>
      <x:c r="C1283" s="1" t="str">
        <x:v>JacksonDatabind_3</x:v>
      </x:c>
      <x:c r="D1283" s="1" t="str">
        <x:v>NOT_AVAILABLE</x:v>
      </x:c>
      <x:c r="E1283" s="5"/>
      <x:c r="F1283" s="4" t="n">
        <x:v>0</x:v>
      </x:c>
      <x:c r="G1283" s="4" t="n">
        <x:v>19502</x:v>
      </x:c>
      <x:c r="H1283" s="6" t="n">
        <x:v>157.03</x:v>
      </x:c>
      <x:c r="I1283" s="16" t="n">
        <x:v>1</x:v>
      </x:c>
      <x:c r="J1283"/>
      <x:c r="K1283" s="4"/>
      <x:c r="L1283" s="4"/>
      <x:c r="M1283" s="4"/>
      <x:c r="N1283" s="5"/>
    </x:row>
    <x:row r="1284" ht="24" customHeight="1">
      <x:c r="A1284" s="1" t="str">
        <x:v>RESULT</x:v>
      </x:c>
      <x:c r="B1284" s="1" t="str">
        <x:v>Round2</x:v>
      </x:c>
      <x:c r="C1284" s="1" t="str">
        <x:v>JacksonDatabind_30</x:v>
      </x:c>
      <x:c r="D1284" s="1" t="str">
        <x:v>NOT_AVAILABLE</x:v>
      </x:c>
      <x:c r="E1284" s="5"/>
      <x:c r="F1284" s="4" t="n">
        <x:v>0</x:v>
      </x:c>
      <x:c r="G1284" s="4" t="n">
        <x:v>78935</x:v>
      </x:c>
      <x:c r="H1284" s="6" t="n">
        <x:v>255.19</x:v>
      </x:c>
      <x:c r="I1284" s="16" t="n">
        <x:v>1</x:v>
      </x:c>
      <x:c r="J1284"/>
      <x:c r="K1284" s="4"/>
      <x:c r="L1284" s="4"/>
      <x:c r="M1284" s="4"/>
      <x:c r="N1284" s="5"/>
    </x:row>
    <x:row r="1285" ht="24" customHeight="1">
      <x:c r="A1285" s="1" t="str">
        <x:v>RESULT</x:v>
      </x:c>
      <x:c r="B1285" s="1" t="str">
        <x:v>Round2</x:v>
      </x:c>
      <x:c r="C1285" s="1" t="str">
        <x:v>JacksonDatabind_31</x:v>
      </x:c>
      <x:c r="D1285" s="1" t="str">
        <x:v>NOT_AVAILABLE</x:v>
      </x:c>
      <x:c r="E1285" s="5"/>
      <x:c r="F1285" s="4" t="n">
        <x:v>0</x:v>
      </x:c>
      <x:c r="G1285" s="4" t="n">
        <x:v>28856</x:v>
      </x:c>
      <x:c r="H1285" s="6" t="n">
        <x:v>788.38</x:v>
      </x:c>
      <x:c r="I1285" s="16" t="n">
        <x:v>1</x:v>
      </x:c>
      <x:c r="J1285"/>
      <x:c r="K1285" s="4"/>
      <x:c r="L1285" s="4"/>
      <x:c r="M1285" s="4"/>
      <x:c r="N1285" s="5"/>
    </x:row>
    <x:row r="1286" ht="24" customHeight="1">
      <x:c r="A1286" s="1" t="str">
        <x:v>RESULT</x:v>
      </x:c>
      <x:c r="B1286" s="1" t="str">
        <x:v>Round2</x:v>
      </x:c>
      <x:c r="C1286" s="1" t="str">
        <x:v>JacksonDatabind_32</x:v>
      </x:c>
      <x:c r="D1286" s="1" t="str">
        <x:v>NOT_AVAILABLE</x:v>
      </x:c>
      <x:c r="E1286" s="5"/>
      <x:c r="F1286" s="4" t="n">
        <x:v>0</x:v>
      </x:c>
      <x:c r="G1286" s="4" t="n">
        <x:v>16517</x:v>
      </x:c>
      <x:c r="H1286" s="6" t="n">
        <x:v>81.53</x:v>
      </x:c>
      <x:c r="I1286" s="16" t="n">
        <x:v>1</x:v>
      </x:c>
      <x:c r="J1286"/>
      <x:c r="K1286" s="4"/>
      <x:c r="L1286" s="4"/>
      <x:c r="M1286" s="4"/>
      <x:c r="N1286" s="5"/>
    </x:row>
    <x:row r="1287" ht="24" customHeight="1">
      <x:c r="A1287" s="1" t="str">
        <x:v>RESULT</x:v>
      </x:c>
      <x:c r="B1287" s="1" t="str">
        <x:v>Round2</x:v>
      </x:c>
      <x:c r="C1287" s="1" t="str">
        <x:v>JacksonDatabind_33</x:v>
      </x:c>
      <x:c r="D1287" s="1" t="str">
        <x:v>NOT_AVAILABLE</x:v>
      </x:c>
      <x:c r="E1287" s="5"/>
      <x:c r="F1287" s="4" t="n">
        <x:v>0</x:v>
      </x:c>
      <x:c r="G1287" s="4" t="n">
        <x:v>14894</x:v>
      </x:c>
      <x:c r="H1287" s="6" t="n">
        <x:v>60.94</x:v>
      </x:c>
      <x:c r="I1287" s="16" t="n">
        <x:v>1</x:v>
      </x:c>
      <x:c r="J1287"/>
      <x:c r="K1287" s="4"/>
      <x:c r="L1287" s="4"/>
      <x:c r="M1287" s="4"/>
      <x:c r="N1287" s="5"/>
    </x:row>
    <x:row r="1288" ht="24" customHeight="1">
      <x:c r="A1288" s="1" t="str">
        <x:v>RESULT</x:v>
      </x:c>
      <x:c r="B1288" s="1" t="str">
        <x:v>Round2</x:v>
      </x:c>
      <x:c r="C1288" s="1" t="str">
        <x:v>JacksonDatabind_34</x:v>
      </x:c>
      <x:c r="D1288" s="1" t="str">
        <x:v>NOT_AVAILABLE</x:v>
      </x:c>
      <x:c r="E1288" s="5"/>
      <x:c r="F1288" s="4" t="n">
        <x:v>0</x:v>
      </x:c>
      <x:c r="G1288" s="4" t="n">
        <x:v>20556</x:v>
      </x:c>
      <x:c r="H1288" s="6" t="n">
        <x:v>159.3</x:v>
      </x:c>
      <x:c r="I1288" s="16" t="n">
        <x:v>1</x:v>
      </x:c>
      <x:c r="J1288"/>
      <x:c r="K1288" s="4"/>
      <x:c r="L1288" s="4"/>
      <x:c r="M1288" s="4"/>
      <x:c r="N1288" s="5"/>
    </x:row>
    <x:row r="1289" ht="24" customHeight="1">
      <x:c r="A1289" s="1" t="str">
        <x:v>RESULT</x:v>
      </x:c>
      <x:c r="B1289" s="1" t="str">
        <x:v>Round2</x:v>
      </x:c>
      <x:c r="C1289" s="1" t="str">
        <x:v>JacksonDatabind_35</x:v>
      </x:c>
      <x:c r="D1289" s="1" t="str">
        <x:v>NOT_AVAILABLE</x:v>
      </x:c>
      <x:c r="E1289" s="5"/>
      <x:c r="F1289" s="4" t="n">
        <x:v>0</x:v>
      </x:c>
      <x:c r="G1289" s="4" t="n">
        <x:v>23008</x:v>
      </x:c>
      <x:c r="H1289" s="6" t="n">
        <x:v>106.54</x:v>
      </x:c>
      <x:c r="I1289" s="16" t="n">
        <x:v>1</x:v>
      </x:c>
      <x:c r="J1289"/>
      <x:c r="K1289" s="4"/>
      <x:c r="L1289" s="4"/>
      <x:c r="M1289" s="4"/>
      <x:c r="N1289" s="5"/>
    </x:row>
    <x:row r="1290" ht="24" customHeight="1">
      <x:c r="A1290" s="1" t="str">
        <x:v>RESULT</x:v>
      </x:c>
      <x:c r="B1290" s="1" t="str">
        <x:v>Round2</x:v>
      </x:c>
      <x:c r="C1290" s="1" t="str">
        <x:v>JacksonDatabind_36</x:v>
      </x:c>
      <x:c r="D1290" s="1" t="str">
        <x:v>INCONCLUSIVE</x:v>
      </x:c>
      <x:c r="E1290" s="5" t="n">
        <x:v>0.8445999999999999</x:v>
      </x:c>
      <x:c r="F1290" s="4" t="n">
        <x:v>0</x:v>
      </x:c>
      <x:c r="G1290" s="4"/>
      <x:c r="H1290" s="6"/>
      <x:c r="I1290" s="16" t="n">
        <x:v>1</x:v>
      </x:c>
      <x:c r="J1290" t="n">
        <x:v>193</x:v>
      </x:c>
      <x:c r="K1290" s="4" t="n">
        <x:v>163</x:v>
      </x:c>
      <x:c r="L1290" s="4" t="n">
        <x:v>130</x:v>
      </x:c>
      <x:c r="M1290" s="4" t="n">
        <x:v>92</x:v>
      </x:c>
      <x:c r="N1290" s="5" t="n">
        <x:v>0.7077</x:v>
      </x:c>
    </x:row>
    <x:row r="1291" ht="24" customHeight="1">
      <x:c r="A1291" s="1" t="str">
        <x:v>RESULT</x:v>
      </x:c>
      <x:c r="B1291" s="1" t="str">
        <x:v>Round2</x:v>
      </x:c>
      <x:c r="C1291" s="1" t="str">
        <x:v>JacksonDatabind_37</x:v>
      </x:c>
      <x:c r="D1291" s="1" t="str">
        <x:v>NOT_REVEALING</x:v>
      </x:c>
      <x:c r="E1291" s="5" t="n">
        <x:v>0.7164</x:v>
      </x:c>
      <x:c r="F1291" s="4" t="n">
        <x:v>0</x:v>
      </x:c>
      <x:c r="G1291" s="4" t="n">
        <x:v>9535</x:v>
      </x:c>
      <x:c r="H1291" s="6" t="n">
        <x:v>56.41</x:v>
      </x:c>
      <x:c r="I1291" s="16" t="n">
        <x:v>1</x:v>
      </x:c>
      <x:c r="J1291" t="n">
        <x:v>67</x:v>
      </x:c>
      <x:c r="K1291" s="4" t="n">
        <x:v>48</x:v>
      </x:c>
      <x:c r="L1291" s="4" t="n">
        <x:v>32</x:v>
      </x:c>
      <x:c r="M1291" s="4" t="n">
        <x:v>22</x:v>
      </x:c>
      <x:c r="N1291" s="5" t="n">
        <x:v>0.6875</x:v>
      </x:c>
    </x:row>
    <x:row r="1292" ht="24" customHeight="1">
      <x:c r="A1292" s="1" t="str">
        <x:v>RESULT</x:v>
      </x:c>
      <x:c r="B1292" s="1" t="str">
        <x:v>Round2</x:v>
      </x:c>
      <x:c r="C1292" s="1" t="str">
        <x:v>JacksonDatabind_38</x:v>
      </x:c>
      <x:c r="D1292" s="1" t="str">
        <x:v>NOT_AVAILABLE</x:v>
      </x:c>
      <x:c r="E1292" s="5"/>
      <x:c r="F1292" s="4" t="n">
        <x:v>0</x:v>
      </x:c>
      <x:c r="G1292" s="4" t="n">
        <x:v>36027</x:v>
      </x:c>
      <x:c r="H1292" s="6" t="n">
        <x:v>179.27</x:v>
      </x:c>
      <x:c r="I1292" s="16" t="n">
        <x:v>1</x:v>
      </x:c>
      <x:c r="J1292"/>
      <x:c r="K1292" s="4"/>
      <x:c r="L1292" s="4"/>
      <x:c r="M1292" s="4"/>
      <x:c r="N1292" s="5"/>
    </x:row>
    <x:row r="1293" ht="24" customHeight="1">
      <x:c r="A1293" s="1" t="str">
        <x:v>RESULT</x:v>
      </x:c>
      <x:c r="B1293" s="1" t="str">
        <x:v>Round2</x:v>
      </x:c>
      <x:c r="C1293" s="1" t="str">
        <x:v>JacksonDatabind_39</x:v>
      </x:c>
      <x:c r="D1293" s="1" t="str">
        <x:v>INCONCLUSIVE</x:v>
      </x:c>
      <x:c r="E1293" s="5" t="n">
        <x:v>1</x:v>
      </x:c>
      <x:c r="F1293" s="4" t="n">
        <x:v>0</x:v>
      </x:c>
      <x:c r="G1293" s="4"/>
      <x:c r="H1293" s="6"/>
      <x:c r="I1293" s="16" t="n">
        <x:v>1</x:v>
      </x:c>
      <x:c r="J1293" t="n">
        <x:v>7</x:v>
      </x:c>
      <x:c r="K1293" s="4" t="n">
        <x:v>7</x:v>
      </x:c>
      <x:c r="L1293" s="4" t="n">
        <x:v>2</x:v>
      </x:c>
      <x:c r="M1293" s="4" t="n">
        <x:v>2</x:v>
      </x:c>
      <x:c r="N1293" s="5" t="n">
        <x:v>1</x:v>
      </x:c>
    </x:row>
    <x:row r="1294" ht="24" customHeight="1">
      <x:c r="A1294" s="1" t="str">
        <x:v>RESULT</x:v>
      </x:c>
      <x:c r="B1294" s="1" t="str">
        <x:v>Round2</x:v>
      </x:c>
      <x:c r="C1294" s="1" t="str">
        <x:v>JacksonDatabind_4</x:v>
      </x:c>
      <x:c r="D1294" s="1" t="str">
        <x:v>NOT_AVAILABLE</x:v>
      </x:c>
      <x:c r="E1294" s="5"/>
      <x:c r="F1294" s="4" t="n">
        <x:v>0</x:v>
      </x:c>
      <x:c r="G1294" s="4" t="n">
        <x:v>40690</x:v>
      </x:c>
      <x:c r="H1294" s="6" t="n">
        <x:v>184.75</x:v>
      </x:c>
      <x:c r="I1294" s="16" t="n">
        <x:v>1</x:v>
      </x:c>
      <x:c r="J1294"/>
      <x:c r="K1294" s="4"/>
      <x:c r="L1294" s="4"/>
      <x:c r="M1294" s="4"/>
      <x:c r="N1294" s="5"/>
    </x:row>
    <x:row r="1295" ht="24" customHeight="1">
      <x:c r="A1295" s="1" t="str">
        <x:v>RESULT</x:v>
      </x:c>
      <x:c r="B1295" s="1" t="str">
        <x:v>Round2</x:v>
      </x:c>
      <x:c r="C1295" s="1" t="str">
        <x:v>JacksonDatabind_40</x:v>
      </x:c>
      <x:c r="D1295" s="1" t="str">
        <x:v>INCONCLUSIVE</x:v>
      </x:c>
      <x:c r="E1295" s="5" t="n">
        <x:v>0.6804000000000001</x:v>
      </x:c>
      <x:c r="F1295" s="4" t="n">
        <x:v>0</x:v>
      </x:c>
      <x:c r="G1295" s="4"/>
      <x:c r="H1295" s="6"/>
      <x:c r="I1295" s="16" t="n">
        <x:v>1</x:v>
      </x:c>
      <x:c r="J1295" t="n">
        <x:v>219</x:v>
      </x:c>
      <x:c r="K1295" s="4" t="n">
        <x:v>149</x:v>
      </x:c>
      <x:c r="L1295" s="4" t="n">
        <x:v>130</x:v>
      </x:c>
      <x:c r="M1295" s="4" t="n">
        <x:v>83</x:v>
      </x:c>
      <x:c r="N1295" s="5" t="n">
        <x:v>0.6385000000000001</x:v>
      </x:c>
    </x:row>
    <x:row r="1296" ht="24" customHeight="1">
      <x:c r="A1296" s="1" t="str">
        <x:v>RESULT</x:v>
      </x:c>
      <x:c r="B1296" s="1" t="str">
        <x:v>Round2</x:v>
      </x:c>
      <x:c r="C1296" s="1" t="str">
        <x:v>JacksonDatabind_41</x:v>
      </x:c>
      <x:c r="D1296" s="1" t="str">
        <x:v>NOT_AVAILABLE</x:v>
      </x:c>
      <x:c r="E1296" s="5"/>
      <x:c r="F1296" s="4" t="n">
        <x:v>0</x:v>
      </x:c>
      <x:c r="G1296" s="4" t="n">
        <x:v>10460</x:v>
      </x:c>
      <x:c r="H1296" s="6" t="n">
        <x:v>24.3</x:v>
      </x:c>
      <x:c r="I1296" s="16" t="n">
        <x:v>1</x:v>
      </x:c>
      <x:c r="J1296"/>
      <x:c r="K1296" s="4"/>
      <x:c r="L1296" s="4"/>
      <x:c r="M1296" s="4"/>
      <x:c r="N1296" s="5"/>
    </x:row>
    <x:row r="1297" ht="24" customHeight="1">
      <x:c r="A1297" s="1" t="str">
        <x:v>RESULT</x:v>
      </x:c>
      <x:c r="B1297" s="1" t="str">
        <x:v>Round2</x:v>
      </x:c>
      <x:c r="C1297" s="1" t="str">
        <x:v>JacksonDatabind_42</x:v>
      </x:c>
      <x:c r="D1297" s="1" t="str">
        <x:v>INCONCLUSIVE</x:v>
      </x:c>
      <x:c r="E1297" s="5" t="n">
        <x:v>0.8818</x:v>
      </x:c>
      <x:c r="F1297" s="4" t="n">
        <x:v>0</x:v>
      </x:c>
      <x:c r="G1297" s="4" t="n">
        <x:v>48621</x:v>
      </x:c>
      <x:c r="H1297" s="6" t="n">
        <x:v>213.73</x:v>
      </x:c>
      <x:c r="I1297" s="16" t="n">
        <x:v>1</x:v>
      </x:c>
      <x:c r="J1297" t="n">
        <x:v>110</x:v>
      </x:c>
      <x:c r="K1297" s="4" t="n">
        <x:v>97</x:v>
      </x:c>
      <x:c r="L1297" s="4" t="n">
        <x:v>79</x:v>
      </x:c>
      <x:c r="M1297" s="4" t="n">
        <x:v>66</x:v>
      </x:c>
      <x:c r="N1297" s="5" t="n">
        <x:v>0.8354</x:v>
      </x:c>
    </x:row>
    <x:row r="1298" ht="24" customHeight="1">
      <x:c r="A1298" s="1" t="str">
        <x:v>RESULT</x:v>
      </x:c>
      <x:c r="B1298" s="1" t="str">
        <x:v>Round2</x:v>
      </x:c>
      <x:c r="C1298" s="1" t="str">
        <x:v>JacksonDatabind_43</x:v>
      </x:c>
      <x:c r="D1298" s="1" t="str">
        <x:v>NOT_AVAILABLE</x:v>
      </x:c>
      <x:c r="E1298" s="5"/>
      <x:c r="F1298" s="4" t="n">
        <x:v>0</x:v>
      </x:c>
      <x:c r="G1298" s="4" t="n">
        <x:v>44659</x:v>
      </x:c>
      <x:c r="H1298" s="6" t="n">
        <x:v>204.08</x:v>
      </x:c>
      <x:c r="I1298" s="16" t="n">
        <x:v>1</x:v>
      </x:c>
      <x:c r="J1298"/>
      <x:c r="K1298" s="4"/>
      <x:c r="L1298" s="4"/>
      <x:c r="M1298" s="4"/>
      <x:c r="N1298" s="5"/>
    </x:row>
    <x:row r="1299" ht="24" customHeight="1">
      <x:c r="A1299" s="1" t="str">
        <x:v>RESULT</x:v>
      </x:c>
      <x:c r="B1299" s="1" t="str">
        <x:v>Round2</x:v>
      </x:c>
      <x:c r="C1299" s="1" t="str">
        <x:v>JacksonDatabind_44</x:v>
      </x:c>
      <x:c r="D1299" s="1" t="str">
        <x:v>NOT_REVEALING</x:v>
      </x:c>
      <x:c r="E1299" s="5" t="n">
        <x:v>0.8533</x:v>
      </x:c>
      <x:c r="F1299" s="4" t="n">
        <x:v>0</x:v>
      </x:c>
      <x:c r="G1299" s="4"/>
      <x:c r="H1299" s="6"/>
      <x:c r="I1299" s="16" t="n">
        <x:v>1</x:v>
      </x:c>
      <x:c r="J1299" t="n">
        <x:v>75</x:v>
      </x:c>
      <x:c r="K1299" s="4" t="n">
        <x:v>64</x:v>
      </x:c>
      <x:c r="L1299" s="4" t="n">
        <x:v>36</x:v>
      </x:c>
      <x:c r="M1299" s="4" t="n">
        <x:v>32</x:v>
      </x:c>
      <x:c r="N1299" s="5" t="n">
        <x:v>0.8889</x:v>
      </x:c>
    </x:row>
    <x:row r="1300" ht="24" customHeight="1">
      <x:c r="A1300" s="1" t="str">
        <x:v>RESULT</x:v>
      </x:c>
      <x:c r="B1300" s="1" t="str">
        <x:v>Round2</x:v>
      </x:c>
      <x:c r="C1300" s="1" t="str">
        <x:v>JacksonDatabind_45</x:v>
      </x:c>
      <x:c r="D1300" s="1" t="str">
        <x:v>NOT_AVAILABLE</x:v>
      </x:c>
      <x:c r="E1300" s="5"/>
      <x:c r="F1300" s="4" t="n">
        <x:v>0</x:v>
      </x:c>
      <x:c r="G1300" s="4" t="n">
        <x:v>46292</x:v>
      </x:c>
      <x:c r="H1300" s="6" t="n">
        <x:v>208.37</x:v>
      </x:c>
      <x:c r="I1300" s="16" t="n">
        <x:v>1</x:v>
      </x:c>
      <x:c r="J1300"/>
      <x:c r="K1300" s="4"/>
      <x:c r="L1300" s="4"/>
      <x:c r="M1300" s="4"/>
      <x:c r="N1300" s="5"/>
    </x:row>
    <x:row r="1301" ht="24" customHeight="1">
      <x:c r="A1301" s="1" t="str">
        <x:v>RESULT</x:v>
      </x:c>
      <x:c r="B1301" s="1" t="str">
        <x:v>Round2</x:v>
      </x:c>
      <x:c r="C1301" s="1" t="str">
        <x:v>JacksonDatabind_46</x:v>
      </x:c>
      <x:c r="D1301" s="1" t="str">
        <x:v>NOT_AVAILABLE</x:v>
      </x:c>
      <x:c r="E1301" s="5"/>
      <x:c r="F1301" s="4" t="n">
        <x:v>0</x:v>
      </x:c>
      <x:c r="G1301" s="4" t="n">
        <x:v>12354</x:v>
      </x:c>
      <x:c r="H1301" s="6" t="n">
        <x:v>90.85</x:v>
      </x:c>
      <x:c r="I1301" s="16" t="n">
        <x:v>1</x:v>
      </x:c>
      <x:c r="J1301"/>
      <x:c r="K1301" s="4"/>
      <x:c r="L1301" s="4"/>
      <x:c r="M1301" s="4"/>
      <x:c r="N1301" s="5"/>
    </x:row>
    <x:row r="1302" ht="24" customHeight="1">
      <x:c r="A1302" s="1" t="str">
        <x:v>RESULT</x:v>
      </x:c>
      <x:c r="B1302" s="1" t="str">
        <x:v>Round2</x:v>
      </x:c>
      <x:c r="C1302" s="1" t="str">
        <x:v>JacksonDatabind_47</x:v>
      </x:c>
      <x:c r="D1302" s="1" t="str">
        <x:v>INCONCLUSIVE</x:v>
      </x:c>
      <x:c r="E1302" s="5" t="n">
        <x:v>0.2905</x:v>
      </x:c>
      <x:c r="F1302" s="4" t="n">
        <x:v>0</x:v>
      </x:c>
      <x:c r="G1302" s="4"/>
      <x:c r="H1302" s="6"/>
      <x:c r="I1302" s="16" t="n">
        <x:v>1</x:v>
      </x:c>
      <x:c r="J1302" t="n">
        <x:v>179</x:v>
      </x:c>
      <x:c r="K1302" s="4" t="n">
        <x:v>52</x:v>
      </x:c>
      <x:c r="L1302" s="4" t="n">
        <x:v>44</x:v>
      </x:c>
      <x:c r="M1302" s="4" t="n">
        <x:v>0</x:v>
      </x:c>
      <x:c r="N1302" s="5" t="n">
        <x:v>0</x:v>
      </x:c>
    </x:row>
    <x:row r="1303" ht="24" customHeight="1">
      <x:c r="A1303" s="1" t="str">
        <x:v>RESULT</x:v>
      </x:c>
      <x:c r="B1303" s="1" t="str">
        <x:v>Round2</x:v>
      </x:c>
      <x:c r="C1303" s="1" t="str">
        <x:v>JacksonDatabind_48</x:v>
      </x:c>
      <x:c r="D1303" s="1" t="str">
        <x:v>NOT_AVAILABLE</x:v>
      </x:c>
      <x:c r="E1303" s="5"/>
      <x:c r="F1303" s="4" t="n">
        <x:v>0</x:v>
      </x:c>
      <x:c r="G1303" s="4" t="n">
        <x:v>110596</x:v>
      </x:c>
      <x:c r="H1303" s="6" t="n">
        <x:v>441.08</x:v>
      </x:c>
      <x:c r="I1303" s="16" t="n">
        <x:v>1</x:v>
      </x:c>
      <x:c r="J1303"/>
      <x:c r="K1303" s="4"/>
      <x:c r="L1303" s="4"/>
      <x:c r="M1303" s="4"/>
      <x:c r="N1303" s="5"/>
    </x:row>
    <x:row r="1304" ht="24" customHeight="1">
      <x:c r="A1304" s="1" t="str">
        <x:v>RESULT</x:v>
      </x:c>
      <x:c r="B1304" s="1" t="str">
        <x:v>Round2</x:v>
      </x:c>
      <x:c r="C1304" s="1" t="str">
        <x:v>JacksonDatabind_49</x:v>
      </x:c>
      <x:c r="D1304" s="1" t="str">
        <x:v>NOT_AVAILABLE</x:v>
      </x:c>
      <x:c r="E1304" s="5"/>
      <x:c r="F1304" s="4" t="n">
        <x:v>0</x:v>
      </x:c>
      <x:c r="G1304" s="4" t="n">
        <x:v>47120</x:v>
      </x:c>
      <x:c r="H1304" s="6" t="n">
        <x:v>224.87</x:v>
      </x:c>
      <x:c r="I1304" s="16" t="n">
        <x:v>1</x:v>
      </x:c>
      <x:c r="J1304"/>
      <x:c r="K1304" s="4"/>
      <x:c r="L1304" s="4"/>
      <x:c r="M1304" s="4"/>
      <x:c r="N1304" s="5"/>
    </x:row>
    <x:row r="1305" ht="24" customHeight="1">
      <x:c r="A1305" s="1" t="str">
        <x:v>RESULT</x:v>
      </x:c>
      <x:c r="B1305" s="1" t="str">
        <x:v>Round2</x:v>
      </x:c>
      <x:c r="C1305" s="1" t="str">
        <x:v>JacksonDatabind_5</x:v>
      </x:c>
      <x:c r="D1305" s="1" t="str">
        <x:v>INCONCLUSIVE</x:v>
      </x:c>
      <x:c r="E1305" s="5" t="n">
        <x:v>0.5233</x:v>
      </x:c>
      <x:c r="F1305" s="4" t="n">
        <x:v>0</x:v>
      </x:c>
      <x:c r="G1305" s="4"/>
      <x:c r="H1305" s="6"/>
      <x:c r="I1305" s="16" t="n">
        <x:v>1</x:v>
      </x:c>
      <x:c r="J1305" t="n">
        <x:v>365</x:v>
      </x:c>
      <x:c r="K1305" s="4" t="n">
        <x:v>191</x:v>
      </x:c>
      <x:c r="L1305" s="4" t="n">
        <x:v>272</x:v>
      </x:c>
      <x:c r="M1305" s="4" t="n">
        <x:v>106</x:v>
      </x:c>
      <x:c r="N1305" s="5" t="n">
        <x:v>0.3897</x:v>
      </x:c>
    </x:row>
    <x:row r="1306" ht="24" customHeight="1">
      <x:c r="A1306" s="1" t="str">
        <x:v>RESULT</x:v>
      </x:c>
      <x:c r="B1306" s="1" t="str">
        <x:v>Round2</x:v>
      </x:c>
      <x:c r="C1306" s="1" t="str">
        <x:v>JacksonDatabind_50</x:v>
      </x:c>
      <x:c r="D1306" s="1" t="str">
        <x:v>NOT_AVAILABLE</x:v>
      </x:c>
      <x:c r="E1306" s="5"/>
      <x:c r="F1306" s="4" t="n">
        <x:v>0</x:v>
      </x:c>
      <x:c r="G1306" s="4" t="n">
        <x:v>30038</x:v>
      </x:c>
      <x:c r="H1306" s="6" t="n">
        <x:v>992.2</x:v>
      </x:c>
      <x:c r="I1306" s="16" t="n">
        <x:v>1</x:v>
      </x:c>
      <x:c r="J1306"/>
      <x:c r="K1306" s="4"/>
      <x:c r="L1306" s="4"/>
      <x:c r="M1306" s="4"/>
      <x:c r="N1306" s="5"/>
    </x:row>
    <x:row r="1307" ht="24" customHeight="1">
      <x:c r="A1307" s="1" t="str">
        <x:v>RESULT</x:v>
      </x:c>
      <x:c r="B1307" s="1" t="str">
        <x:v>Round2</x:v>
      </x:c>
      <x:c r="C1307" s="1" t="str">
        <x:v>JacksonDatabind_51</x:v>
      </x:c>
      <x:c r="D1307" s="1" t="str">
        <x:v>NOT_AVAILABLE</x:v>
      </x:c>
      <x:c r="E1307" s="5"/>
      <x:c r="F1307" s="4" t="n">
        <x:v>0</x:v>
      </x:c>
      <x:c r="G1307" s="4" t="n">
        <x:v>45875</x:v>
      </x:c>
      <x:c r="H1307" s="6" t="n">
        <x:v>197.95</x:v>
      </x:c>
      <x:c r="I1307" s="16" t="n">
        <x:v>1</x:v>
      </x:c>
      <x:c r="J1307"/>
      <x:c r="K1307" s="4"/>
      <x:c r="L1307" s="4"/>
      <x:c r="M1307" s="4"/>
      <x:c r="N1307" s="5"/>
    </x:row>
    <x:row r="1308" ht="24" customHeight="1">
      <x:c r="A1308" s="1" t="str">
        <x:v>RESULT</x:v>
      </x:c>
      <x:c r="B1308" s="1" t="str">
        <x:v>Round2</x:v>
      </x:c>
      <x:c r="C1308" s="1" t="str">
        <x:v>JacksonDatabind_52</x:v>
      </x:c>
      <x:c r="D1308" s="1" t="str">
        <x:v>NOT_AVAILABLE</x:v>
      </x:c>
      <x:c r="E1308" s="5"/>
      <x:c r="F1308" s="4" t="n">
        <x:v>0</x:v>
      </x:c>
      <x:c r="G1308" s="4" t="n">
        <x:v>65013</x:v>
      </x:c>
      <x:c r="H1308" s="6" t="n">
        <x:v>271.13</x:v>
      </x:c>
      <x:c r="I1308" s="16" t="n">
        <x:v>1</x:v>
      </x:c>
      <x:c r="J1308"/>
      <x:c r="K1308" s="4"/>
      <x:c r="L1308" s="4"/>
      <x:c r="M1308" s="4"/>
      <x:c r="N1308" s="5"/>
    </x:row>
    <x:row r="1309" ht="24" customHeight="1">
      <x:c r="A1309" s="1" t="str">
        <x:v>RESULT</x:v>
      </x:c>
      <x:c r="B1309" s="1" t="str">
        <x:v>Round2</x:v>
      </x:c>
      <x:c r="C1309" s="1" t="str">
        <x:v>JacksonDatabind_53</x:v>
      </x:c>
      <x:c r="D1309" s="1" t="str">
        <x:v>INCONCLUSIVE</x:v>
      </x:c>
      <x:c r="E1309" s="5" t="n">
        <x:v>0.7931999999999999</x:v>
      </x:c>
      <x:c r="F1309" s="4" t="n">
        <x:v>0</x:v>
      </x:c>
      <x:c r="G1309" s="4"/>
      <x:c r="H1309" s="6"/>
      <x:c r="I1309" s="16" t="n">
        <x:v>1</x:v>
      </x:c>
      <x:c r="J1309" t="n">
        <x:v>503</x:v>
      </x:c>
      <x:c r="K1309" s="4" t="n">
        <x:v>399</x:v>
      </x:c>
      <x:c r="L1309" s="4" t="n">
        <x:v>346</x:v>
      </x:c>
      <x:c r="M1309" s="4" t="n">
        <x:v>240</x:v>
      </x:c>
      <x:c r="N1309" s="5" t="n">
        <x:v>0.6936</x:v>
      </x:c>
    </x:row>
    <x:row r="1310" ht="24" customHeight="1">
      <x:c r="A1310" s="1" t="str">
        <x:v>RESULT</x:v>
      </x:c>
      <x:c r="B1310" s="1" t="str">
        <x:v>Round2</x:v>
      </x:c>
      <x:c r="C1310" s="1" t="str">
        <x:v>JacksonDatabind_54</x:v>
      </x:c>
      <x:c r="D1310" s="1" t="str">
        <x:v>NOT_AVAILABLE</x:v>
      </x:c>
      <x:c r="E1310" s="5"/>
      <x:c r="F1310" s="4" t="n">
        <x:v>0</x:v>
      </x:c>
      <x:c r="G1310" s="4" t="n">
        <x:v>34669</x:v>
      </x:c>
      <x:c r="H1310" s="6" t="n">
        <x:v>142.57</x:v>
      </x:c>
      <x:c r="I1310" s="16" t="n">
        <x:v>1</x:v>
      </x:c>
      <x:c r="J1310"/>
      <x:c r="K1310" s="4"/>
      <x:c r="L1310" s="4"/>
      <x:c r="M1310" s="4"/>
      <x:c r="N1310" s="5"/>
    </x:row>
    <x:row r="1311" ht="24" customHeight="1">
      <x:c r="A1311" s="1" t="str">
        <x:v>RESULT</x:v>
      </x:c>
      <x:c r="B1311" s="1" t="str">
        <x:v>Round2</x:v>
      </x:c>
      <x:c r="C1311" s="1" t="str">
        <x:v>JacksonDatabind_55</x:v>
      </x:c>
      <x:c r="D1311" s="1" t="str">
        <x:v>INCONCLUSIVE</x:v>
      </x:c>
      <x:c r="E1311" s="5" t="n">
        <x:v>0.7868999999999999</x:v>
      </x:c>
      <x:c r="F1311" s="4" t="n">
        <x:v>0</x:v>
      </x:c>
      <x:c r="G1311" s="4"/>
      <x:c r="H1311" s="6"/>
      <x:c r="I1311" s="16" t="n">
        <x:v>1</x:v>
      </x:c>
      <x:c r="J1311" t="n">
        <x:v>61</x:v>
      </x:c>
      <x:c r="K1311" s="4" t="n">
        <x:v>48</x:v>
      </x:c>
      <x:c r="L1311" s="4" t="n">
        <x:v>37</x:v>
      </x:c>
      <x:c r="M1311" s="4" t="n">
        <x:v>32</x:v>
      </x:c>
      <x:c r="N1311" s="5" t="n">
        <x:v>0.8649</x:v>
      </x:c>
    </x:row>
    <x:row r="1312" ht="24" customHeight="1">
      <x:c r="A1312" s="1" t="str">
        <x:v>RESULT</x:v>
      </x:c>
      <x:c r="B1312" s="1" t="str">
        <x:v>Round2</x:v>
      </x:c>
      <x:c r="C1312" s="1" t="str">
        <x:v>JacksonDatabind_56</x:v>
      </x:c>
      <x:c r="D1312" s="1" t="str">
        <x:v>INCONCLUSIVE</x:v>
      </x:c>
      <x:c r="E1312" s="5" t="n">
        <x:v>0.9464</x:v>
      </x:c>
      <x:c r="F1312" s="4" t="n">
        <x:v>0</x:v>
      </x:c>
      <x:c r="G1312" s="4" t="n">
        <x:v>33216</x:v>
      </x:c>
      <x:c r="H1312" s="6" t="n">
        <x:v>143.14</x:v>
      </x:c>
      <x:c r="I1312" s="16" t="n">
        <x:v>1</x:v>
      </x:c>
      <x:c r="J1312" t="n">
        <x:v>112</x:v>
      </x:c>
      <x:c r="K1312" s="4" t="n">
        <x:v>106</x:v>
      </x:c>
      <x:c r="L1312" s="4" t="n">
        <x:v>81</x:v>
      </x:c>
      <x:c r="M1312" s="4" t="n">
        <x:v>74</x:v>
      </x:c>
      <x:c r="N1312" s="5" t="n">
        <x:v>0.9136</x:v>
      </x:c>
    </x:row>
    <x:row r="1313" ht="24" customHeight="1">
      <x:c r="A1313" s="1" t="str">
        <x:v>RESULT</x:v>
      </x:c>
      <x:c r="B1313" s="1" t="str">
        <x:v>Round2</x:v>
      </x:c>
      <x:c r="C1313" s="1" t="str">
        <x:v>JacksonDatabind_57</x:v>
      </x:c>
      <x:c r="D1313" s="1" t="str">
        <x:v>INCONCLUSIVE</x:v>
      </x:c>
      <x:c r="E1313" s="5" t="n">
        <x:v>0.5528</x:v>
      </x:c>
      <x:c r="F1313" s="4" t="n">
        <x:v>0</x:v>
      </x:c>
      <x:c r="G1313" s="4"/>
      <x:c r="H1313" s="6"/>
      <x:c r="I1313" s="16" t="n">
        <x:v>1</x:v>
      </x:c>
      <x:c r="J1313" t="n">
        <x:v>407</x:v>
      </x:c>
      <x:c r="K1313" s="4" t="n">
        <x:v>225</x:v>
      </x:c>
      <x:c r="L1313" s="4" t="n">
        <x:v>156</x:v>
      </x:c>
      <x:c r="M1313" s="4" t="n">
        <x:v>66</x:v>
      </x:c>
      <x:c r="N1313" s="5" t="n">
        <x:v>0.42310000000000003</x:v>
      </x:c>
    </x:row>
    <x:row r="1314" ht="24" customHeight="1">
      <x:c r="A1314" s="1" t="str">
        <x:v>RESULT</x:v>
      </x:c>
      <x:c r="B1314" s="1" t="str">
        <x:v>Round2</x:v>
      </x:c>
      <x:c r="C1314" s="1" t="str">
        <x:v>JacksonDatabind_58</x:v>
      </x:c>
      <x:c r="D1314" s="1" t="str">
        <x:v>NOT_AVAILABLE</x:v>
      </x:c>
      <x:c r="E1314" s="5"/>
      <x:c r="F1314" s="4" t="n">
        <x:v>0</x:v>
      </x:c>
      <x:c r="G1314" s="4" t="n">
        <x:v>29947</x:v>
      </x:c>
      <x:c r="H1314" s="6" t="n">
        <x:v>996.03</x:v>
      </x:c>
      <x:c r="I1314" s="16" t="n">
        <x:v>1</x:v>
      </x:c>
      <x:c r="J1314"/>
      <x:c r="K1314" s="4"/>
      <x:c r="L1314" s="4"/>
      <x:c r="M1314" s="4"/>
      <x:c r="N1314" s="5"/>
    </x:row>
    <x:row r="1315" ht="24" customHeight="1">
      <x:c r="A1315" s="1" t="str">
        <x:v>RESULT</x:v>
      </x:c>
      <x:c r="B1315" s="1" t="str">
        <x:v>Round2</x:v>
      </x:c>
      <x:c r="C1315" s="1" t="str">
        <x:v>JacksonDatabind_59</x:v>
      </x:c>
      <x:c r="D1315" s="1" t="str">
        <x:v>NOT_AVAILABLE</x:v>
      </x:c>
      <x:c r="E1315" s="5"/>
      <x:c r="F1315" s="4" t="n">
        <x:v>0</x:v>
      </x:c>
      <x:c r="G1315" s="4" t="n">
        <x:v>107103</x:v>
      </x:c>
      <x:c r="H1315" s="6" t="n">
        <x:v>3618.75</x:v>
      </x:c>
      <x:c r="I1315" s="16" t="n">
        <x:v>1</x:v>
      </x:c>
      <x:c r="J1315"/>
      <x:c r="K1315" s="4"/>
      <x:c r="L1315" s="4"/>
      <x:c r="M1315" s="4"/>
      <x:c r="N1315" s="5"/>
    </x:row>
    <x:row r="1316" ht="24" customHeight="1">
      <x:c r="A1316" s="1" t="str">
        <x:v>RESULT</x:v>
      </x:c>
      <x:c r="B1316" s="1" t="str">
        <x:v>Round2</x:v>
      </x:c>
      <x:c r="C1316" s="1" t="str">
        <x:v>JacksonDatabind_6</x:v>
      </x:c>
      <x:c r="D1316" s="1" t="str">
        <x:v>NOT_REVEALING</x:v>
      </x:c>
      <x:c r="E1316" s="5" t="n">
        <x:v>0.8926000000000001</x:v>
      </x:c>
      <x:c r="F1316" s="4" t="n">
        <x:v>0</x:v>
      </x:c>
      <x:c r="G1316" s="4"/>
      <x:c r="H1316" s="6"/>
      <x:c r="I1316" s="16" t="n">
        <x:v>1</x:v>
      </x:c>
      <x:c r="J1316" t="n">
        <x:v>149</x:v>
      </x:c>
      <x:c r="K1316" s="4" t="n">
        <x:v>133</x:v>
      </x:c>
      <x:c r="L1316" s="4" t="n">
        <x:v>94</x:v>
      </x:c>
      <x:c r="M1316" s="4" t="n">
        <x:v>71</x:v>
      </x:c>
      <x:c r="N1316" s="5" t="n">
        <x:v>0.7553</x:v>
      </x:c>
    </x:row>
    <x:row r="1317" ht="24" customHeight="1">
      <x:c r="A1317" s="1" t="str">
        <x:v>RESULT</x:v>
      </x:c>
      <x:c r="B1317" s="1" t="str">
        <x:v>Round2</x:v>
      </x:c>
      <x:c r="C1317" s="1" t="str">
        <x:v>JacksonDatabind_60</x:v>
      </x:c>
      <x:c r="D1317" s="1" t="str">
        <x:v>NOT_AVAILABLE</x:v>
      </x:c>
      <x:c r="E1317" s="5"/>
      <x:c r="F1317" s="4" t="n">
        <x:v>0</x:v>
      </x:c>
      <x:c r="G1317" s="4" t="n">
        <x:v>40944</x:v>
      </x:c>
      <x:c r="H1317" s="6" t="n">
        <x:v>174.85</x:v>
      </x:c>
      <x:c r="I1317" s="16" t="n">
        <x:v>1</x:v>
      </x:c>
      <x:c r="J1317"/>
      <x:c r="K1317" s="4"/>
      <x:c r="L1317" s="4"/>
      <x:c r="M1317" s="4"/>
      <x:c r="N1317" s="5"/>
    </x:row>
    <x:row r="1318" ht="24" customHeight="1">
      <x:c r="A1318" s="1" t="str">
        <x:v>RESULT</x:v>
      </x:c>
      <x:c r="B1318" s="1" t="str">
        <x:v>Round2</x:v>
      </x:c>
      <x:c r="C1318" s="1" t="str">
        <x:v>JacksonDatabind_61</x:v>
      </x:c>
      <x:c r="D1318" s="1" t="str">
        <x:v>NOT_AVAILABLE</x:v>
      </x:c>
      <x:c r="E1318" s="5"/>
      <x:c r="F1318" s="4" t="n">
        <x:v>0</x:v>
      </x:c>
      <x:c r="G1318" s="4" t="n">
        <x:v>68347</x:v>
      </x:c>
      <x:c r="H1318" s="6" t="n">
        <x:v>230.19</x:v>
      </x:c>
      <x:c r="I1318" s="16" t="n">
        <x:v>1</x:v>
      </x:c>
      <x:c r="J1318"/>
      <x:c r="K1318" s="4"/>
      <x:c r="L1318" s="4"/>
      <x:c r="M1318" s="4"/>
      <x:c r="N1318" s="5"/>
    </x:row>
    <x:row r="1319" ht="24" customHeight="1">
      <x:c r="A1319" s="1" t="str">
        <x:v>RESULT</x:v>
      </x:c>
      <x:c r="B1319" s="1" t="str">
        <x:v>Round2</x:v>
      </x:c>
      <x:c r="C1319" s="1" t="str">
        <x:v>JacksonDatabind_62</x:v>
      </x:c>
      <x:c r="D1319" s="1" t="str">
        <x:v>NOT_AVAILABLE</x:v>
      </x:c>
      <x:c r="E1319" s="5"/>
      <x:c r="F1319" s="4" t="n">
        <x:v>0</x:v>
      </x:c>
      <x:c r="G1319" s="4" t="n">
        <x:v>18202</x:v>
      </x:c>
      <x:c r="H1319" s="6" t="n">
        <x:v>113.8</x:v>
      </x:c>
      <x:c r="I1319" s="16" t="n">
        <x:v>1</x:v>
      </x:c>
      <x:c r="J1319"/>
      <x:c r="K1319" s="4"/>
      <x:c r="L1319" s="4"/>
      <x:c r="M1319" s="4"/>
      <x:c r="N1319" s="5"/>
    </x:row>
    <x:row r="1320" ht="24" customHeight="1">
      <x:c r="A1320" s="1" t="str">
        <x:v>RESULT</x:v>
      </x:c>
      <x:c r="B1320" s="1" t="str">
        <x:v>Round2</x:v>
      </x:c>
      <x:c r="C1320" s="1" t="str">
        <x:v>JacksonDatabind_63</x:v>
      </x:c>
      <x:c r="D1320" s="1" t="str">
        <x:v>INCONCLUSIVE</x:v>
      </x:c>
      <x:c r="E1320" s="5" t="n">
        <x:v>0.8210999999999999</x:v>
      </x:c>
      <x:c r="F1320" s="4" t="n">
        <x:v>0</x:v>
      </x:c>
      <x:c r="G1320" s="4"/>
      <x:c r="H1320" s="6"/>
      <x:c r="I1320" s="16" t="n">
        <x:v>1</x:v>
      </x:c>
      <x:c r="J1320" t="n">
        <x:v>123</x:v>
      </x:c>
      <x:c r="K1320" s="4" t="n">
        <x:v>101</x:v>
      </x:c>
      <x:c r="L1320" s="4" t="n">
        <x:v>44</x:v>
      </x:c>
      <x:c r="M1320" s="4" t="n">
        <x:v>35</x:v>
      </x:c>
      <x:c r="N1320" s="5" t="n">
        <x:v>0.7955</x:v>
      </x:c>
    </x:row>
    <x:row r="1321" ht="24" customHeight="1">
      <x:c r="A1321" s="1" t="str">
        <x:v>RESULT</x:v>
      </x:c>
      <x:c r="B1321" s="1" t="str">
        <x:v>Round2</x:v>
      </x:c>
      <x:c r="C1321" s="1" t="str">
        <x:v>JacksonDatabind_64</x:v>
      </x:c>
      <x:c r="D1321" s="1" t="str">
        <x:v>NOT_AVAILABLE</x:v>
      </x:c>
      <x:c r="E1321" s="5"/>
      <x:c r="F1321" s="4" t="n">
        <x:v>0</x:v>
      </x:c>
      <x:c r="G1321" s="4" t="n">
        <x:v>26067</x:v>
      </x:c>
      <x:c r="H1321" s="6" t="n">
        <x:v>919.18</x:v>
      </x:c>
      <x:c r="I1321" s="16" t="n">
        <x:v>1</x:v>
      </x:c>
      <x:c r="J1321"/>
      <x:c r="K1321" s="4"/>
      <x:c r="L1321" s="4"/>
      <x:c r="M1321" s="4"/>
      <x:c r="N1321" s="5"/>
    </x:row>
    <x:row r="1322" ht="24" customHeight="1">
      <x:c r="A1322" s="1" t="str">
        <x:v>RESULT</x:v>
      </x:c>
      <x:c r="B1322" s="1" t="str">
        <x:v>Round2</x:v>
      </x:c>
      <x:c r="C1322" s="1" t="str">
        <x:v>JacksonDatabind_66</x:v>
      </x:c>
      <x:c r="D1322" s="1" t="str">
        <x:v>NOT_REVEALING</x:v>
      </x:c>
      <x:c r="E1322" s="5" t="n">
        <x:v>0.5321</x:v>
      </x:c>
      <x:c r="F1322" s="4" t="n">
        <x:v>0</x:v>
      </x:c>
      <x:c r="G1322" s="4"/>
      <x:c r="H1322" s="6"/>
      <x:c r="I1322" s="16" t="n">
        <x:v>1</x:v>
      </x:c>
      <x:c r="J1322" t="n">
        <x:v>156</x:v>
      </x:c>
      <x:c r="K1322" s="4" t="n">
        <x:v>83</x:v>
      </x:c>
      <x:c r="L1322" s="4" t="n">
        <x:v>95</x:v>
      </x:c>
      <x:c r="M1322" s="4" t="n">
        <x:v>62</x:v>
      </x:c>
      <x:c r="N1322" s="5" t="n">
        <x:v>0.6526000000000001</x:v>
      </x:c>
    </x:row>
    <x:row r="1323" ht="24" customHeight="1">
      <x:c r="A1323" s="1" t="str">
        <x:v>RESULT</x:v>
      </x:c>
      <x:c r="B1323" s="1" t="str">
        <x:v>Round2</x:v>
      </x:c>
      <x:c r="C1323" s="1" t="str">
        <x:v>JacksonDatabind_67</x:v>
      </x:c>
      <x:c r="D1323" s="1" t="str">
        <x:v>NOT_AVAILABLE</x:v>
      </x:c>
      <x:c r="E1323" s="5"/>
      <x:c r="F1323" s="4" t="n">
        <x:v>0</x:v>
      </x:c>
      <x:c r="G1323" s="4" t="n">
        <x:v>50959</x:v>
      </x:c>
      <x:c r="H1323" s="6" t="n">
        <x:v>172.8</x:v>
      </x:c>
      <x:c r="I1323" s="16" t="n">
        <x:v>1</x:v>
      </x:c>
      <x:c r="J1323"/>
      <x:c r="K1323" s="4"/>
      <x:c r="L1323" s="4"/>
      <x:c r="M1323" s="4"/>
      <x:c r="N1323" s="5"/>
    </x:row>
    <x:row r="1324" ht="24" customHeight="1">
      <x:c r="A1324" s="1" t="str">
        <x:v>RESULT</x:v>
      </x:c>
      <x:c r="B1324" s="1" t="str">
        <x:v>Round2</x:v>
      </x:c>
      <x:c r="C1324" s="1" t="str">
        <x:v>JacksonDatabind_68</x:v>
      </x:c>
      <x:c r="D1324" s="1" t="str">
        <x:v>INCONCLUSIVE</x:v>
      </x:c>
      <x:c r="E1324" s="5" t="n">
        <x:v>0.0017000000000000001</x:v>
      </x:c>
      <x:c r="F1324" s="4" t="n">
        <x:v>0</x:v>
      </x:c>
      <x:c r="G1324" s="4"/>
      <x:c r="H1324" s="6"/>
      <x:c r="I1324" s="16" t="n">
        <x:v>1</x:v>
      </x:c>
      <x:c r="J1324" t="n">
        <x:v>592</x:v>
      </x:c>
      <x:c r="K1324" s="4" t="n">
        <x:v>1</x:v>
      </x:c>
      <x:c r="L1324" s="4" t="n">
        <x:v>369</x:v>
      </x:c>
      <x:c r="M1324" s="4" t="n">
        <x:v>0</x:v>
      </x:c>
      <x:c r="N1324" s="5" t="n">
        <x:v>0</x:v>
      </x:c>
    </x:row>
    <x:row r="1325" ht="24" customHeight="1">
      <x:c r="A1325" s="1" t="str">
        <x:v>RESULT</x:v>
      </x:c>
      <x:c r="B1325" s="1" t="str">
        <x:v>Round2</x:v>
      </x:c>
      <x:c r="C1325" s="1" t="str">
        <x:v>JacksonDatabind_69</x:v>
      </x:c>
      <x:c r="D1325" s="1" t="str">
        <x:v>NOT_AVAILABLE</x:v>
      </x:c>
      <x:c r="E1325" s="5"/>
      <x:c r="F1325" s="4" t="n">
        <x:v>0</x:v>
      </x:c>
      <x:c r="G1325" s="4" t="n">
        <x:v>36122</x:v>
      </x:c>
      <x:c r="H1325" s="6" t="n">
        <x:v>155.53</x:v>
      </x:c>
      <x:c r="I1325" s="16" t="n">
        <x:v>1</x:v>
      </x:c>
      <x:c r="J1325"/>
      <x:c r="K1325" s="4"/>
      <x:c r="L1325" s="4"/>
      <x:c r="M1325" s="4"/>
      <x:c r="N1325" s="5"/>
    </x:row>
    <x:row r="1326" ht="24" customHeight="1">
      <x:c r="A1326" s="1" t="str">
        <x:v>RESULT</x:v>
      </x:c>
      <x:c r="B1326" s="1" t="str">
        <x:v>Round2</x:v>
      </x:c>
      <x:c r="C1326" s="1" t="str">
        <x:v>JacksonDatabind_7</x:v>
      </x:c>
      <x:c r="D1326" s="1" t="str">
        <x:v>NOT_AVAILABLE</x:v>
      </x:c>
      <x:c r="E1326" s="5"/>
      <x:c r="F1326" s="4" t="n">
        <x:v>0</x:v>
      </x:c>
      <x:c r="G1326" s="4" t="n">
        <x:v>35573</x:v>
      </x:c>
      <x:c r="H1326" s="6" t="n">
        <x:v>131.56</x:v>
      </x:c>
      <x:c r="I1326" s="16" t="n">
        <x:v>1</x:v>
      </x:c>
      <x:c r="J1326"/>
      <x:c r="K1326" s="4"/>
      <x:c r="L1326" s="4"/>
      <x:c r="M1326" s="4"/>
      <x:c r="N1326" s="5"/>
    </x:row>
    <x:row r="1327" ht="24" customHeight="1">
      <x:c r="A1327" s="1" t="str">
        <x:v>RESULT</x:v>
      </x:c>
      <x:c r="B1327" s="1" t="str">
        <x:v>Round2</x:v>
      </x:c>
      <x:c r="C1327" s="1" t="str">
        <x:v>JacksonDatabind_70</x:v>
      </x:c>
      <x:c r="D1327" s="1" t="str">
        <x:v>NOT_AVAILABLE</x:v>
      </x:c>
      <x:c r="E1327" s="5"/>
      <x:c r="F1327" s="4" t="n">
        <x:v>0</x:v>
      </x:c>
      <x:c r="G1327" s="4" t="n">
        <x:v>26978</x:v>
      </x:c>
      <x:c r="H1327" s="6" t="n">
        <x:v>83.7</x:v>
      </x:c>
      <x:c r="I1327" s="16" t="n">
        <x:v>1</x:v>
      </x:c>
      <x:c r="J1327"/>
      <x:c r="K1327" s="4"/>
      <x:c r="L1327" s="4"/>
      <x:c r="M1327" s="4"/>
      <x:c r="N1327" s="5"/>
    </x:row>
    <x:row r="1328" ht="24" customHeight="1">
      <x:c r="A1328" s="1" t="str">
        <x:v>RESULT</x:v>
      </x:c>
      <x:c r="B1328" s="1" t="str">
        <x:v>Round2</x:v>
      </x:c>
      <x:c r="C1328" s="1" t="str">
        <x:v>JacksonDatabind_71</x:v>
      </x:c>
      <x:c r="D1328" s="1" t="str">
        <x:v>INCONCLUSIVE</x:v>
      </x:c>
      <x:c r="E1328" s="5" t="n">
        <x:v>0.8054000000000001</x:v>
      </x:c>
      <x:c r="F1328" s="4" t="n">
        <x:v>0</x:v>
      </x:c>
      <x:c r="G1328" s="4"/>
      <x:c r="H1328" s="6"/>
      <x:c r="I1328" s="16" t="n">
        <x:v>1</x:v>
      </x:c>
      <x:c r="J1328" t="n">
        <x:v>149</x:v>
      </x:c>
      <x:c r="K1328" s="4" t="n">
        <x:v>120</x:v>
      </x:c>
      <x:c r="L1328" s="4" t="n">
        <x:v>95</x:v>
      </x:c>
      <x:c r="M1328" s="4" t="n">
        <x:v>79</x:v>
      </x:c>
      <x:c r="N1328" s="5" t="n">
        <x:v>0.8316</x:v>
      </x:c>
    </x:row>
    <x:row r="1329" ht="24" customHeight="1">
      <x:c r="A1329" s="1" t="str">
        <x:v>RESULT</x:v>
      </x:c>
      <x:c r="B1329" s="1" t="str">
        <x:v>Round2</x:v>
      </x:c>
      <x:c r="C1329" s="1" t="str">
        <x:v>JacksonDatabind_72</x:v>
      </x:c>
      <x:c r="D1329" s="1" t="str">
        <x:v>NOT_AVAILABLE</x:v>
      </x:c>
      <x:c r="E1329" s="5"/>
      <x:c r="F1329" s="4" t="n">
        <x:v>0</x:v>
      </x:c>
      <x:c r="G1329" s="4" t="n">
        <x:v>49401</x:v>
      </x:c>
      <x:c r="H1329" s="6" t="n">
        <x:v>265.61</x:v>
      </x:c>
      <x:c r="I1329" s="16" t="n">
        <x:v>1</x:v>
      </x:c>
      <x:c r="J1329"/>
      <x:c r="K1329" s="4"/>
      <x:c r="L1329" s="4"/>
      <x:c r="M1329" s="4"/>
      <x:c r="N1329" s="5"/>
    </x:row>
    <x:row r="1330" ht="24" customHeight="1">
      <x:c r="A1330" s="1" t="str">
        <x:v>RESULT</x:v>
      </x:c>
      <x:c r="B1330" s="1" t="str">
        <x:v>Round2</x:v>
      </x:c>
      <x:c r="C1330" s="1" t="str">
        <x:v>JacksonDatabind_73</x:v>
      </x:c>
      <x:c r="D1330" s="1" t="str">
        <x:v>NOT_REVEALING</x:v>
      </x:c>
      <x:c r="E1330" s="5" t="n">
        <x:v>0.6831999999999999</x:v>
      </x:c>
      <x:c r="F1330" s="4" t="n">
        <x:v>0</x:v>
      </x:c>
      <x:c r="G1330" s="4"/>
      <x:c r="H1330" s="6"/>
      <x:c r="I1330" s="16" t="n">
        <x:v>1</x:v>
      </x:c>
      <x:c r="J1330" t="n">
        <x:v>928</x:v>
      </x:c>
      <x:c r="K1330" s="4" t="n">
        <x:v>634</x:v>
      </x:c>
      <x:c r="L1330" s="4" t="n">
        <x:v>716</x:v>
      </x:c>
      <x:c r="M1330" s="4" t="n">
        <x:v>389</x:v>
      </x:c>
      <x:c r="N1330" s="5" t="n">
        <x:v>0.5433</x:v>
      </x:c>
    </x:row>
    <x:row r="1331" ht="24" customHeight="1">
      <x:c r="A1331" s="1" t="str">
        <x:v>RESULT</x:v>
      </x:c>
      <x:c r="B1331" s="1" t="str">
        <x:v>Round2</x:v>
      </x:c>
      <x:c r="C1331" s="1" t="str">
        <x:v>JacksonDatabind_74</x:v>
      </x:c>
      <x:c r="D1331" s="1" t="str">
        <x:v>NOT_AVAILABLE</x:v>
      </x:c>
      <x:c r="E1331" s="5"/>
      <x:c r="F1331" s="4" t="n">
        <x:v>0</x:v>
      </x:c>
      <x:c r="G1331" s="4" t="n">
        <x:v>34114</x:v>
      </x:c>
      <x:c r="H1331" s="6" t="n">
        <x:v>184.39</x:v>
      </x:c>
      <x:c r="I1331" s="16" t="n">
        <x:v>1</x:v>
      </x:c>
      <x:c r="J1331"/>
      <x:c r="K1331" s="4"/>
      <x:c r="L1331" s="4"/>
      <x:c r="M1331" s="4"/>
      <x:c r="N1331" s="5"/>
    </x:row>
    <x:row r="1332" ht="24" customHeight="1">
      <x:c r="A1332" s="1" t="str">
        <x:v>RESULT</x:v>
      </x:c>
      <x:c r="B1332" s="1" t="str">
        <x:v>Round2</x:v>
      </x:c>
      <x:c r="C1332" s="1" t="str">
        <x:v>JacksonDatabind_75</x:v>
      </x:c>
      <x:c r="D1332" s="1" t="str">
        <x:v>NOT_AVAILABLE</x:v>
      </x:c>
      <x:c r="E1332" s="5"/>
      <x:c r="F1332" s="4" t="n">
        <x:v>0</x:v>
      </x:c>
      <x:c r="G1332" s="4" t="n">
        <x:v>39559</x:v>
      </x:c>
      <x:c r="H1332" s="6" t="n">
        <x:v>207.96</x:v>
      </x:c>
      <x:c r="I1332" s="16" t="n">
        <x:v>1</x:v>
      </x:c>
      <x:c r="J1332"/>
      <x:c r="K1332" s="4"/>
      <x:c r="L1332" s="4"/>
      <x:c r="M1332" s="4"/>
      <x:c r="N1332" s="5"/>
    </x:row>
    <x:row r="1333" ht="24" customHeight="1">
      <x:c r="A1333" s="1" t="str">
        <x:v>RESULT</x:v>
      </x:c>
      <x:c r="B1333" s="1" t="str">
        <x:v>Round2</x:v>
      </x:c>
      <x:c r="C1333" s="1" t="str">
        <x:v>JacksonDatabind_76</x:v>
      </x:c>
      <x:c r="D1333" s="1" t="str">
        <x:v>NOT_AVAILABLE</x:v>
      </x:c>
      <x:c r="E1333" s="5"/>
      <x:c r="F1333" s="4" t="n">
        <x:v>0</x:v>
      </x:c>
      <x:c r="G1333" s="4" t="n">
        <x:v>41626</x:v>
      </x:c>
      <x:c r="H1333" s="6" t="n">
        <x:v>208.49</x:v>
      </x:c>
      <x:c r="I1333" s="16" t="n">
        <x:v>1</x:v>
      </x:c>
      <x:c r="J1333"/>
      <x:c r="K1333" s="4"/>
      <x:c r="L1333" s="4"/>
      <x:c r="M1333" s="4"/>
      <x:c r="N1333" s="5"/>
    </x:row>
    <x:row r="1334" ht="24" customHeight="1">
      <x:c r="A1334" s="1" t="str">
        <x:v>RESULT</x:v>
      </x:c>
      <x:c r="B1334" s="1" t="str">
        <x:v>Round2</x:v>
      </x:c>
      <x:c r="C1334" s="1" t="str">
        <x:v>JacksonDatabind_77</x:v>
      </x:c>
      <x:c r="D1334" s="1" t="str">
        <x:v>NOT_AVAILABLE</x:v>
      </x:c>
      <x:c r="E1334" s="5"/>
      <x:c r="F1334" s="4" t="n">
        <x:v>0</x:v>
      </x:c>
      <x:c r="G1334" s="4" t="n">
        <x:v>48663</x:v>
      </x:c>
      <x:c r="H1334" s="6" t="n">
        <x:v>229.14</x:v>
      </x:c>
      <x:c r="I1334" s="16" t="n">
        <x:v>1</x:v>
      </x:c>
      <x:c r="J1334"/>
      <x:c r="K1334" s="4"/>
      <x:c r="L1334" s="4"/>
      <x:c r="M1334" s="4"/>
      <x:c r="N1334" s="5"/>
    </x:row>
    <x:row r="1335" ht="24" customHeight="1">
      <x:c r="A1335" s="1" t="str">
        <x:v>RESULT</x:v>
      </x:c>
      <x:c r="B1335" s="1" t="str">
        <x:v>Round2</x:v>
      </x:c>
      <x:c r="C1335" s="1" t="str">
        <x:v>JacksonDatabind_78</x:v>
      </x:c>
      <x:c r="D1335" s="1" t="str">
        <x:v>NOT_REVEALING</x:v>
      </x:c>
      <x:c r="E1335" s="5" t="n">
        <x:v>0.7232</x:v>
      </x:c>
      <x:c r="F1335" s="4" t="n">
        <x:v>0</x:v>
      </x:c>
      <x:c r="G1335" s="4"/>
      <x:c r="H1335" s="6"/>
      <x:c r="I1335" s="16" t="n">
        <x:v>1</x:v>
      </x:c>
      <x:c r="J1335" t="n">
        <x:v>336</x:v>
      </x:c>
      <x:c r="K1335" s="4" t="n">
        <x:v>243</x:v>
      </x:c>
      <x:c r="L1335" s="4" t="n">
        <x:v>210</x:v>
      </x:c>
      <x:c r="M1335" s="4" t="n">
        <x:v>118</x:v>
      </x:c>
      <x:c r="N1335" s="5" t="n">
        <x:v>0.5619</x:v>
      </x:c>
    </x:row>
    <x:row r="1336" ht="24" customHeight="1">
      <x:c r="A1336" s="1" t="str">
        <x:v>RESULT</x:v>
      </x:c>
      <x:c r="B1336" s="1" t="str">
        <x:v>Round2</x:v>
      </x:c>
      <x:c r="C1336" s="1" t="str">
        <x:v>JacksonDatabind_79</x:v>
      </x:c>
      <x:c r="D1336" s="1" t="str">
        <x:v>NOT_AVAILABLE</x:v>
      </x:c>
      <x:c r="E1336" s="5"/>
      <x:c r="F1336" s="4" t="n">
        <x:v>0</x:v>
      </x:c>
      <x:c r="G1336" s="4" t="n">
        <x:v>80679</x:v>
      </x:c>
      <x:c r="H1336" s="6" t="n">
        <x:v>2766.57</x:v>
      </x:c>
      <x:c r="I1336" s="16" t="n">
        <x:v>1</x:v>
      </x:c>
      <x:c r="J1336"/>
      <x:c r="K1336" s="4"/>
      <x:c r="L1336" s="4"/>
      <x:c r="M1336" s="4"/>
      <x:c r="N1336" s="5"/>
    </x:row>
    <x:row r="1337" ht="24" customHeight="1">
      <x:c r="A1337" s="1" t="str">
        <x:v>RESULT</x:v>
      </x:c>
      <x:c r="B1337" s="1" t="str">
        <x:v>Round2</x:v>
      </x:c>
      <x:c r="C1337" s="1" t="str">
        <x:v>JacksonDatabind_8</x:v>
      </x:c>
      <x:c r="D1337" s="1" t="str">
        <x:v>NOT_AVAILABLE</x:v>
      </x:c>
      <x:c r="E1337" s="5"/>
      <x:c r="F1337" s="4" t="n">
        <x:v>0</x:v>
      </x:c>
      <x:c r="G1337" s="4" t="n">
        <x:v>33423</x:v>
      </x:c>
      <x:c r="H1337" s="6" t="n">
        <x:v>166.67</x:v>
      </x:c>
      <x:c r="I1337" s="16" t="n">
        <x:v>1</x:v>
      </x:c>
      <x:c r="J1337"/>
      <x:c r="K1337" s="4"/>
      <x:c r="L1337" s="4"/>
      <x:c r="M1337" s="4"/>
      <x:c r="N1337" s="5"/>
    </x:row>
    <x:row r="1338" ht="24" customHeight="1">
      <x:c r="A1338" s="1" t="str">
        <x:v>RESULT</x:v>
      </x:c>
      <x:c r="B1338" s="1" t="str">
        <x:v>Round2</x:v>
      </x:c>
      <x:c r="C1338" s="1" t="str">
        <x:v>JacksonDatabind_80</x:v>
      </x:c>
      <x:c r="D1338" s="1" t="str">
        <x:v>NOT_AVAILABLE</x:v>
      </x:c>
      <x:c r="E1338" s="5"/>
      <x:c r="F1338" s="4" t="n">
        <x:v>0</x:v>
      </x:c>
      <x:c r="G1338" s="4" t="n">
        <x:v>29422</x:v>
      </x:c>
      <x:c r="H1338" s="6" t="n">
        <x:v>1072.34</x:v>
      </x:c>
      <x:c r="I1338" s="16" t="n">
        <x:v>1</x:v>
      </x:c>
      <x:c r="J1338"/>
      <x:c r="K1338" s="4"/>
      <x:c r="L1338" s="4"/>
      <x:c r="M1338" s="4"/>
      <x:c r="N1338" s="5"/>
    </x:row>
    <x:row r="1339" ht="24" customHeight="1">
      <x:c r="A1339" s="1" t="str">
        <x:v>RESULT</x:v>
      </x:c>
      <x:c r="B1339" s="1" t="str">
        <x:v>Round2</x:v>
      </x:c>
      <x:c r="C1339" s="1" t="str">
        <x:v>JacksonDatabind_81</x:v>
      </x:c>
      <x:c r="D1339" s="1" t="str">
        <x:v>NOT_AVAILABLE</x:v>
      </x:c>
      <x:c r="E1339" s="5"/>
      <x:c r="F1339" s="4" t="n">
        <x:v>0</x:v>
      </x:c>
      <x:c r="G1339" s="4" t="n">
        <x:v>37455</x:v>
      </x:c>
      <x:c r="H1339" s="6" t="n">
        <x:v>1130.98</x:v>
      </x:c>
      <x:c r="I1339" s="16" t="n">
        <x:v>1</x:v>
      </x:c>
      <x:c r="J1339"/>
      <x:c r="K1339" s="4"/>
      <x:c r="L1339" s="4"/>
      <x:c r="M1339" s="4"/>
      <x:c r="N1339" s="5"/>
    </x:row>
    <x:row r="1340" ht="24" customHeight="1">
      <x:c r="A1340" s="1" t="str">
        <x:v>RESULT</x:v>
      </x:c>
      <x:c r="B1340" s="1" t="str">
        <x:v>Round2</x:v>
      </x:c>
      <x:c r="C1340" s="1" t="str">
        <x:v>JacksonDatabind_82</x:v>
      </x:c>
      <x:c r="D1340" s="1" t="str">
        <x:v>INCONCLUSIVE</x:v>
      </x:c>
      <x:c r="E1340" s="5" t="n">
        <x:v>0.6912</x:v>
      </x:c>
      <x:c r="F1340" s="4" t="n">
        <x:v>0</x:v>
      </x:c>
      <x:c r="G1340" s="4" t="n">
        <x:v>32768</x:v>
      </x:c>
      <x:c r="H1340" s="6" t="n">
        <x:v>145.4</x:v>
      </x:c>
      <x:c r="I1340" s="16" t="n">
        <x:v>1</x:v>
      </x:c>
      <x:c r="J1340" t="n">
        <x:v>353</x:v>
      </x:c>
      <x:c r="K1340" s="4" t="n">
        <x:v>244</x:v>
      </x:c>
      <x:c r="L1340" s="4" t="n">
        <x:v>212</x:v>
      </x:c>
      <x:c r="M1340" s="4" t="n">
        <x:v>105</x:v>
      </x:c>
      <x:c r="N1340" s="5" t="n">
        <x:v>0.4953</x:v>
      </x:c>
    </x:row>
    <x:row r="1341" ht="24" customHeight="1">
      <x:c r="A1341" s="1" t="str">
        <x:v>RESULT</x:v>
      </x:c>
      <x:c r="B1341" s="1" t="str">
        <x:v>Round2</x:v>
      </x:c>
      <x:c r="C1341" s="1" t="str">
        <x:v>JacksonDatabind_83</x:v>
      </x:c>
      <x:c r="D1341" s="1" t="str">
        <x:v>INCONCLUSIVE</x:v>
      </x:c>
      <x:c r="E1341" s="5" t="n">
        <x:v>0.8197</x:v>
      </x:c>
      <x:c r="F1341" s="4" t="n">
        <x:v>0</x:v>
      </x:c>
      <x:c r="G1341" s="4"/>
      <x:c r="H1341" s="6"/>
      <x:c r="I1341" s="16" t="n">
        <x:v>1</x:v>
      </x:c>
      <x:c r="J1341" t="n">
        <x:v>122</x:v>
      </x:c>
      <x:c r="K1341" s="4" t="n">
        <x:v>100</x:v>
      </x:c>
      <x:c r="L1341" s="4" t="n">
        <x:v>88</x:v>
      </x:c>
      <x:c r="M1341" s="4" t="n">
        <x:v>69</x:v>
      </x:c>
      <x:c r="N1341" s="5" t="n">
        <x:v>0.7841</x:v>
      </x:c>
    </x:row>
    <x:row r="1342" ht="24" customHeight="1">
      <x:c r="A1342" s="1" t="str">
        <x:v>RESULT</x:v>
      </x:c>
      <x:c r="B1342" s="1" t="str">
        <x:v>Round2</x:v>
      </x:c>
      <x:c r="C1342" s="1" t="str">
        <x:v>JacksonDatabind_84</x:v>
      </x:c>
      <x:c r="D1342" s="1" t="str">
        <x:v>INCONCLUSIVE</x:v>
      </x:c>
      <x:c r="E1342" s="5" t="n">
        <x:v>0.9667</x:v>
      </x:c>
      <x:c r="F1342" s="4" t="n">
        <x:v>0</x:v>
      </x:c>
      <x:c r="G1342" s="4"/>
      <x:c r="H1342" s="6"/>
      <x:c r="I1342" s="16" t="n">
        <x:v>1</x:v>
      </x:c>
      <x:c r="J1342" t="n">
        <x:v>30</x:v>
      </x:c>
      <x:c r="K1342" s="4" t="n">
        <x:v>29</x:v>
      </x:c>
      <x:c r="L1342" s="4" t="n">
        <x:v>14</x:v>
      </x:c>
      <x:c r="M1342" s="4" t="n">
        <x:v>14</x:v>
      </x:c>
      <x:c r="N1342" s="5" t="n">
        <x:v>1</x:v>
      </x:c>
    </x:row>
    <x:row r="1343" ht="24" customHeight="1">
      <x:c r="A1343" s="1" t="str">
        <x:v>RESULT</x:v>
      </x:c>
      <x:c r="B1343" s="1" t="str">
        <x:v>Round2</x:v>
      </x:c>
      <x:c r="C1343" s="1" t="str">
        <x:v>JacksonDatabind_85</x:v>
      </x:c>
      <x:c r="D1343" s="1" t="str">
        <x:v>NOT_AVAILABLE</x:v>
      </x:c>
      <x:c r="E1343" s="5"/>
      <x:c r="F1343" s="4" t="n">
        <x:v>0</x:v>
      </x:c>
      <x:c r="G1343" s="4" t="n">
        <x:v>31660</x:v>
      </x:c>
      <x:c r="H1343" s="6" t="n">
        <x:v>1202.9</x:v>
      </x:c>
      <x:c r="I1343" s="16" t="n">
        <x:v>1</x:v>
      </x:c>
      <x:c r="J1343"/>
      <x:c r="K1343" s="4"/>
      <x:c r="L1343" s="4"/>
      <x:c r="M1343" s="4"/>
      <x:c r="N1343" s="5"/>
    </x:row>
    <x:row r="1344" ht="24" customHeight="1">
      <x:c r="A1344" s="1" t="str">
        <x:v>RESULT</x:v>
      </x:c>
      <x:c r="B1344" s="1" t="str">
        <x:v>Round2</x:v>
      </x:c>
      <x:c r="C1344" s="1" t="str">
        <x:v>JacksonDatabind_86</x:v>
      </x:c>
      <x:c r="D1344" s="1" t="str">
        <x:v>NOT_REVEALING</x:v>
      </x:c>
      <x:c r="E1344" s="5" t="n">
        <x:v>0.9667</x:v>
      </x:c>
      <x:c r="F1344" s="4" t="n">
        <x:v>0</x:v>
      </x:c>
      <x:c r="G1344" s="4"/>
      <x:c r="H1344" s="6"/>
      <x:c r="I1344" s="16" t="n">
        <x:v>1</x:v>
      </x:c>
      <x:c r="J1344" t="n">
        <x:v>30</x:v>
      </x:c>
      <x:c r="K1344" s="4" t="n">
        <x:v>29</x:v>
      </x:c>
      <x:c r="L1344" s="4" t="n">
        <x:v>14</x:v>
      </x:c>
      <x:c r="M1344" s="4" t="n">
        <x:v>14</x:v>
      </x:c>
      <x:c r="N1344" s="5" t="n">
        <x:v>1</x:v>
      </x:c>
    </x:row>
    <x:row r="1345" ht="24" customHeight="1">
      <x:c r="A1345" s="1" t="str">
        <x:v>RESULT</x:v>
      </x:c>
      <x:c r="B1345" s="1" t="str">
        <x:v>Round2</x:v>
      </x:c>
      <x:c r="C1345" s="1" t="str">
        <x:v>JacksonDatabind_87</x:v>
      </x:c>
      <x:c r="D1345" s="1" t="str">
        <x:v>NOT_REVEALING</x:v>
      </x:c>
      <x:c r="E1345" s="5" t="n">
        <x:v>0.8564</x:v>
      </x:c>
      <x:c r="F1345" s="4" t="n">
        <x:v>0</x:v>
      </x:c>
      <x:c r="G1345" s="4"/>
      <x:c r="H1345" s="6"/>
      <x:c r="I1345" s="16" t="n">
        <x:v>1</x:v>
      </x:c>
      <x:c r="J1345" t="n">
        <x:v>202</x:v>
      </x:c>
      <x:c r="K1345" s="4" t="n">
        <x:v>173</x:v>
      </x:c>
      <x:c r="L1345" s="4" t="n">
        <x:v>136</x:v>
      </x:c>
      <x:c r="M1345" s="4" t="n">
        <x:v>89</x:v>
      </x:c>
      <x:c r="N1345" s="5" t="n">
        <x:v>0.6544</x:v>
      </x:c>
    </x:row>
    <x:row r="1346" ht="24" customHeight="1">
      <x:c r="A1346" s="1" t="str">
        <x:v>RESULT</x:v>
      </x:c>
      <x:c r="B1346" s="1" t="str">
        <x:v>Round2</x:v>
      </x:c>
      <x:c r="C1346" s="1" t="str">
        <x:v>JacksonDatabind_88</x:v>
      </x:c>
      <x:c r="D1346" s="1" t="str">
        <x:v>NOT_AVAILABLE</x:v>
      </x:c>
      <x:c r="E1346" s="5"/>
      <x:c r="F1346" s="4" t="n">
        <x:v>0</x:v>
      </x:c>
      <x:c r="G1346" s="4" t="n">
        <x:v>23731</x:v>
      </x:c>
      <x:c r="H1346" s="6" t="n">
        <x:v>124.24</x:v>
      </x:c>
      <x:c r="I1346" s="16" t="n">
        <x:v>1</x:v>
      </x:c>
      <x:c r="J1346"/>
      <x:c r="K1346" s="4"/>
      <x:c r="L1346" s="4"/>
      <x:c r="M1346" s="4"/>
      <x:c r="N1346" s="5"/>
    </x:row>
    <x:row r="1347" ht="24" customHeight="1">
      <x:c r="A1347" s="1" t="str">
        <x:v>RESULT</x:v>
      </x:c>
      <x:c r="B1347" s="1" t="str">
        <x:v>Round2</x:v>
      </x:c>
      <x:c r="C1347" s="1" t="str">
        <x:v>JacksonDatabind_9</x:v>
      </x:c>
      <x:c r="D1347" s="1" t="str">
        <x:v>INCONCLUSIVE</x:v>
      </x:c>
      <x:c r="E1347" s="5" t="n">
        <x:v>0.9</x:v>
      </x:c>
      <x:c r="F1347" s="4" t="n">
        <x:v>0</x:v>
      </x:c>
      <x:c r="G1347" s="4"/>
      <x:c r="H1347" s="6"/>
      <x:c r="I1347" s="16" t="n">
        <x:v>1</x:v>
      </x:c>
      <x:c r="J1347" t="n">
        <x:v>10</x:v>
      </x:c>
      <x:c r="K1347" s="4" t="n">
        <x:v>9</x:v>
      </x:c>
      <x:c r="L1347" s="4" t="n">
        <x:v>2</x:v>
      </x:c>
      <x:c r="M1347" s="4" t="n">
        <x:v>2</x:v>
      </x:c>
      <x:c r="N1347" s="5" t="n">
        <x:v>1</x:v>
      </x:c>
    </x:row>
    <x:row r="1348" ht="24" customHeight="1">
      <x:c r="A1348" s="1" t="str">
        <x:v>RESULT</x:v>
      </x:c>
      <x:c r="B1348" s="1" t="str">
        <x:v>Round2</x:v>
      </x:c>
      <x:c r="C1348" s="1" t="str">
        <x:v>JacksonDatabind_90</x:v>
      </x:c>
      <x:c r="D1348" s="1" t="str">
        <x:v>NOT_AVAILABLE</x:v>
      </x:c>
      <x:c r="E1348" s="5"/>
      <x:c r="F1348" s="4" t="n">
        <x:v>0</x:v>
      </x:c>
      <x:c r="G1348" s="4" t="n">
        <x:v>63602</x:v>
      </x:c>
      <x:c r="H1348" s="6" t="n">
        <x:v>1077.35</x:v>
      </x:c>
      <x:c r="I1348" s="16" t="n">
        <x:v>1</x:v>
      </x:c>
      <x:c r="J1348"/>
      <x:c r="K1348" s="4"/>
      <x:c r="L1348" s="4"/>
      <x:c r="M1348" s="4"/>
      <x:c r="N1348" s="5"/>
    </x:row>
    <x:row r="1349" ht="24" customHeight="1">
      <x:c r="A1349" s="1" t="str">
        <x:v>RESULT</x:v>
      </x:c>
      <x:c r="B1349" s="1" t="str">
        <x:v>Round2</x:v>
      </x:c>
      <x:c r="C1349" s="1" t="str">
        <x:v>JacksonDatabind_91</x:v>
      </x:c>
      <x:c r="D1349" s="1" t="str">
        <x:v>NOT_AVAILABLE</x:v>
      </x:c>
      <x:c r="E1349" s="5"/>
      <x:c r="F1349" s="4" t="n">
        <x:v>0</x:v>
      </x:c>
      <x:c r="G1349" s="4" t="n">
        <x:v>33235</x:v>
      </x:c>
      <x:c r="H1349" s="6" t="n">
        <x:v>822.6</x:v>
      </x:c>
      <x:c r="I1349" s="16" t="n">
        <x:v>1</x:v>
      </x:c>
      <x:c r="J1349"/>
      <x:c r="K1349" s="4"/>
      <x:c r="L1349" s="4"/>
      <x:c r="M1349" s="4"/>
      <x:c r="N1349" s="5"/>
    </x:row>
    <x:row r="1350" ht="24" customHeight="1">
      <x:c r="A1350" s="1" t="str">
        <x:v>RESULT</x:v>
      </x:c>
      <x:c r="B1350" s="1" t="str">
        <x:v>Round2</x:v>
      </x:c>
      <x:c r="C1350" s="1" t="str">
        <x:v>JacksonDatabind_92</x:v>
      </x:c>
      <x:c r="D1350" s="1" t="str">
        <x:v>INCONCLUSIVE</x:v>
      </x:c>
      <x:c r="E1350" s="5" t="n">
        <x:v>0.16670000000000001</x:v>
      </x:c>
      <x:c r="F1350" s="4" t="n">
        <x:v>0</x:v>
      </x:c>
      <x:c r="G1350" s="4" t="n">
        <x:v>30101</x:v>
      </x:c>
      <x:c r="H1350" s="6" t="n">
        <x:v>975.39</x:v>
      </x:c>
      <x:c r="I1350" s="16" t="n">
        <x:v>1</x:v>
      </x:c>
      <x:c r="J1350" t="n">
        <x:v>342</x:v>
      </x:c>
      <x:c r="K1350" s="4" t="n">
        <x:v>57</x:v>
      </x:c>
      <x:c r="L1350" s="4" t="n">
        <x:v>204</x:v>
      </x:c>
      <x:c r="M1350" s="4" t="n">
        <x:v>22</x:v>
      </x:c>
      <x:c r="N1350" s="5" t="n">
        <x:v>0.10779999999999999</x:v>
      </x:c>
    </x:row>
    <x:row r="1351" ht="24" customHeight="1">
      <x:c r="A1351" s="1" t="str">
        <x:v>RESULT</x:v>
      </x:c>
      <x:c r="B1351" s="1" t="str">
        <x:v>Round2</x:v>
      </x:c>
      <x:c r="C1351" s="1" t="str">
        <x:v>JacksonDatabind_93</x:v>
      </x:c>
      <x:c r="D1351" s="1" t="str">
        <x:v>INCONCLUSIVE</x:v>
      </x:c>
      <x:c r="E1351" s="5" t="n">
        <x:v>0.8611</x:v>
      </x:c>
      <x:c r="F1351" s="4" t="n">
        <x:v>0</x:v>
      </x:c>
      <x:c r="G1351" s="4" t="n">
        <x:v>18382</x:v>
      </x:c>
      <x:c r="H1351" s="6" t="n">
        <x:v>500.09</x:v>
      </x:c>
      <x:c r="I1351" s="16" t="n">
        <x:v>1</x:v>
      </x:c>
      <x:c r="J1351" t="n">
        <x:v>36</x:v>
      </x:c>
      <x:c r="K1351" s="4" t="n">
        <x:v>31</x:v>
      </x:c>
      <x:c r="L1351" s="4" t="n">
        <x:v>10</x:v>
      </x:c>
      <x:c r="M1351" s="4" t="n">
        <x:v>3</x:v>
      </x:c>
      <x:c r="N1351" s="5" t="n">
        <x:v>0.3</x:v>
      </x:c>
    </x:row>
    <x:row r="1352" ht="24" customHeight="1">
      <x:c r="A1352" s="1" t="str">
        <x:v>RESULT</x:v>
      </x:c>
      <x:c r="B1352" s="1" t="str">
        <x:v>Round2</x:v>
      </x:c>
      <x:c r="C1352" s="1" t="str">
        <x:v>JacksonDatabind_94</x:v>
      </x:c>
      <x:c r="D1352" s="1" t="str">
        <x:v>INCONCLUSIVE</x:v>
      </x:c>
      <x:c r="E1352" s="5" t="n">
        <x:v>0.8571</x:v>
      </x:c>
      <x:c r="F1352" s="4" t="n">
        <x:v>0</x:v>
      </x:c>
      <x:c r="G1352" s="4"/>
      <x:c r="H1352" s="6"/>
      <x:c r="I1352" s="16" t="n">
        <x:v>1</x:v>
      </x:c>
      <x:c r="J1352" t="n">
        <x:v>35</x:v>
      </x:c>
      <x:c r="K1352" s="4" t="n">
        <x:v>30</x:v>
      </x:c>
      <x:c r="L1352" s="4" t="n">
        <x:v>14</x:v>
      </x:c>
      <x:c r="M1352" s="4" t="n">
        <x:v>5</x:v>
      </x:c>
      <x:c r="N1352" s="5" t="n">
        <x:v>0.35710000000000003</x:v>
      </x:c>
    </x:row>
    <x:row r="1353" ht="24" customHeight="1">
      <x:c r="A1353" s="1" t="str">
        <x:v>RESULT</x:v>
      </x:c>
      <x:c r="B1353" s="1" t="str">
        <x:v>Round2</x:v>
      </x:c>
      <x:c r="C1353" s="1" t="str">
        <x:v>JacksonDatabind_95</x:v>
      </x:c>
      <x:c r="D1353" s="1" t="str">
        <x:v>NOT_AVAILABLE</x:v>
      </x:c>
      <x:c r="E1353" s="5"/>
      <x:c r="F1353" s="4" t="n">
        <x:v>0</x:v>
      </x:c>
      <x:c r="G1353" s="4" t="n">
        <x:v>58945</x:v>
      </x:c>
      <x:c r="H1353" s="6" t="n">
        <x:v>2072.3</x:v>
      </x:c>
      <x:c r="I1353" s="16" t="n">
        <x:v>1</x:v>
      </x:c>
      <x:c r="J1353"/>
      <x:c r="K1353" s="4"/>
      <x:c r="L1353" s="4"/>
      <x:c r="M1353" s="4"/>
      <x:c r="N1353" s="5"/>
    </x:row>
    <x:row r="1354" ht="24" customHeight="1">
      <x:c r="A1354" s="1" t="str">
        <x:v>RESULT</x:v>
      </x:c>
      <x:c r="B1354" s="1" t="str">
        <x:v>Round2</x:v>
      </x:c>
      <x:c r="C1354" s="1" t="str">
        <x:v>JacksonDatabind_96</x:v>
      </x:c>
      <x:c r="D1354" s="1" t="str">
        <x:v>NOT_AVAILABLE</x:v>
      </x:c>
      <x:c r="E1354" s="5"/>
      <x:c r="F1354" s="4" t="n">
        <x:v>0</x:v>
      </x:c>
      <x:c r="G1354" s="4" t="n">
        <x:v>38597</x:v>
      </x:c>
      <x:c r="H1354" s="6" t="n">
        <x:v>922.34</x:v>
      </x:c>
      <x:c r="I1354" s="16" t="n">
        <x:v>1</x:v>
      </x:c>
      <x:c r="J1354"/>
      <x:c r="K1354" s="4"/>
      <x:c r="L1354" s="4"/>
      <x:c r="M1354" s="4"/>
      <x:c r="N1354" s="5"/>
    </x:row>
    <x:row r="1355" ht="24" customHeight="1">
      <x:c r="A1355" s="1" t="str">
        <x:v>RESULT</x:v>
      </x:c>
      <x:c r="B1355" s="1" t="str">
        <x:v>Round2</x:v>
      </x:c>
      <x:c r="C1355" s="1" t="str">
        <x:v>JacksonDatabind_97</x:v>
      </x:c>
      <x:c r="D1355" s="1" t="str">
        <x:v>NOT_AVAILABLE</x:v>
      </x:c>
      <x:c r="E1355" s="5"/>
      <x:c r="F1355" s="4" t="n">
        <x:v>0</x:v>
      </x:c>
      <x:c r="G1355" s="4" t="n">
        <x:v>35538</x:v>
      </x:c>
      <x:c r="H1355" s="6" t="n">
        <x:v>1458.09</x:v>
      </x:c>
      <x:c r="I1355" s="16" t="n">
        <x:v>1</x:v>
      </x:c>
      <x:c r="J1355"/>
      <x:c r="K1355" s="4"/>
      <x:c r="L1355" s="4"/>
      <x:c r="M1355" s="4"/>
      <x:c r="N1355" s="5"/>
    </x:row>
    <x:row r="1356" ht="24" customHeight="1">
      <x:c r="A1356" s="1" t="str">
        <x:v>RESULT</x:v>
      </x:c>
      <x:c r="B1356" s="1" t="str">
        <x:v>Round2</x:v>
      </x:c>
      <x:c r="C1356" s="1" t="str">
        <x:v>JacksonDatabind_98</x:v>
      </x:c>
      <x:c r="D1356" s="1" t="str">
        <x:v>INCONCLUSIVE</x:v>
      </x:c>
      <x:c r="E1356" s="5" t="n">
        <x:v>0.5121</x:v>
      </x:c>
      <x:c r="F1356" s="4" t="n">
        <x:v>0</x:v>
      </x:c>
      <x:c r="G1356" s="4" t="n">
        <x:v>25442</x:v>
      </x:c>
      <x:c r="H1356" s="6" t="n">
        <x:v>858.2</x:v>
      </x:c>
      <x:c r="I1356" s="16" t="n">
        <x:v>1</x:v>
      </x:c>
      <x:c r="J1356" t="n">
        <x:v>207</x:v>
      </x:c>
      <x:c r="K1356" s="4" t="n">
        <x:v>106</x:v>
      </x:c>
      <x:c r="L1356" s="4" t="n">
        <x:v>92</x:v>
      </x:c>
      <x:c r="M1356" s="4" t="n">
        <x:v>31</x:v>
      </x:c>
      <x:c r="N1356" s="5" t="n">
        <x:v>0.337</x:v>
      </x:c>
    </x:row>
    <x:row r="1357" ht="24" customHeight="1">
      <x:c r="A1357" s="1" t="str">
        <x:v>RESULT</x:v>
      </x:c>
      <x:c r="B1357" s="1" t="str">
        <x:v>Round2</x:v>
      </x:c>
      <x:c r="C1357" s="1" t="str">
        <x:v>JacksonDatabind_99</x:v>
      </x:c>
      <x:c r="D1357" s="1" t="str">
        <x:v>NOT_AVAILABLE</x:v>
      </x:c>
      <x:c r="E1357" s="5"/>
      <x:c r="F1357" s="4" t="n">
        <x:v>0</x:v>
      </x:c>
      <x:c r="G1357" s="4" t="n">
        <x:v>6041</x:v>
      </x:c>
      <x:c r="H1357" s="6" t="n">
        <x:v>34.84</x:v>
      </x:c>
      <x:c r="I1357" s="16" t="n">
        <x:v>1</x:v>
      </x:c>
      <x:c r="J1357"/>
      <x:c r="K1357" s="4"/>
      <x:c r="L1357" s="4"/>
      <x:c r="M1357" s="4"/>
      <x:c r="N1357" s="5"/>
    </x:row>
    <x:row r="1358" ht="24" customHeight="1">
      <x:c r="A1358" s="1" t="str">
        <x:v>RESULT</x:v>
      </x:c>
      <x:c r="B1358" s="1" t="str">
        <x:v>Round2</x:v>
      </x:c>
      <x:c r="C1358" s="1" t="str">
        <x:v>JacksonXml_1</x:v>
      </x:c>
      <x:c r="D1358" s="1" t="str">
        <x:v>NOT_AVAILABLE</x:v>
      </x:c>
      <x:c r="E1358" s="5"/>
      <x:c r="F1358" s="4" t="n">
        <x:v>0</x:v>
      </x:c>
      <x:c r="G1358" s="4" t="n">
        <x:v>7577</x:v>
      </x:c>
      <x:c r="H1358" s="6" t="n">
        <x:v>18.84</x:v>
      </x:c>
      <x:c r="I1358" s="16" t="n">
        <x:v>1</x:v>
      </x:c>
      <x:c r="J1358"/>
      <x:c r="K1358" s="4"/>
      <x:c r="L1358" s="4"/>
      <x:c r="M1358" s="4"/>
      <x:c r="N1358" s="5"/>
    </x:row>
    <x:row r="1359" ht="24" customHeight="1">
      <x:c r="A1359" s="1" t="str">
        <x:v>RESULT</x:v>
      </x:c>
      <x:c r="B1359" s="1" t="str">
        <x:v>Round2</x:v>
      </x:c>
      <x:c r="C1359" s="1" t="str">
        <x:v>JacksonXml_2</x:v>
      </x:c>
      <x:c r="D1359" s="1" t="str">
        <x:v>NOT_AVAILABLE</x:v>
      </x:c>
      <x:c r="E1359" s="5"/>
      <x:c r="F1359" s="4" t="n">
        <x:v>0</x:v>
      </x:c>
      <x:c r="G1359" s="4" t="n">
        <x:v>8268</x:v>
      </x:c>
      <x:c r="H1359" s="6" t="n">
        <x:v>28.26</x:v>
      </x:c>
      <x:c r="I1359" s="16" t="n">
        <x:v>1</x:v>
      </x:c>
      <x:c r="J1359"/>
      <x:c r="K1359" s="4"/>
      <x:c r="L1359" s="4"/>
      <x:c r="M1359" s="4"/>
      <x:c r="N1359" s="5"/>
    </x:row>
    <x:row r="1360" ht="24" customHeight="1">
      <x:c r="A1360" s="1" t="str">
        <x:v>RESULT</x:v>
      </x:c>
      <x:c r="B1360" s="1" t="str">
        <x:v>Round2</x:v>
      </x:c>
      <x:c r="C1360" s="1" t="str">
        <x:v>JacksonXml_3</x:v>
      </x:c>
      <x:c r="D1360" s="1" t="str">
        <x:v>NOT_AVAILABLE</x:v>
      </x:c>
      <x:c r="E1360" s="5"/>
      <x:c r="F1360" s="4" t="n">
        <x:v>0</x:v>
      </x:c>
      <x:c r="G1360" s="4" t="n">
        <x:v>8209</x:v>
      </x:c>
      <x:c r="H1360" s="6" t="n">
        <x:v>24.32</x:v>
      </x:c>
      <x:c r="I1360" s="16" t="n">
        <x:v>1</x:v>
      </x:c>
      <x:c r="J1360"/>
      <x:c r="K1360" s="4"/>
      <x:c r="L1360" s="4"/>
      <x:c r="M1360" s="4"/>
      <x:c r="N1360" s="5"/>
    </x:row>
    <x:row r="1361" ht="24" customHeight="1">
      <x:c r="A1361" s="1" t="str">
        <x:v>RESULT</x:v>
      </x:c>
      <x:c r="B1361" s="1" t="str">
        <x:v>Round2</x:v>
      </x:c>
      <x:c r="C1361" s="1" t="str">
        <x:v>JacksonXml_4</x:v>
      </x:c>
      <x:c r="D1361" s="1" t="str">
        <x:v>NOT_AVAILABLE</x:v>
      </x:c>
      <x:c r="E1361" s="5"/>
      <x:c r="F1361" s="4" t="n">
        <x:v>0</x:v>
      </x:c>
      <x:c r="G1361" s="4" t="n">
        <x:v>6458</x:v>
      </x:c>
      <x:c r="H1361" s="6" t="n">
        <x:v>33.78</x:v>
      </x:c>
      <x:c r="I1361" s="16" t="n">
        <x:v>1</x:v>
      </x:c>
      <x:c r="J1361"/>
      <x:c r="K1361" s="4"/>
      <x:c r="L1361" s="4"/>
      <x:c r="M1361" s="4"/>
      <x:c r="N1361" s="5"/>
    </x:row>
    <x:row r="1362" ht="24" customHeight="1">
      <x:c r="A1362" s="1" t="str">
        <x:v>RESULT</x:v>
      </x:c>
      <x:c r="B1362" s="1" t="str">
        <x:v>Round2</x:v>
      </x:c>
      <x:c r="C1362" s="1" t="str">
        <x:v>JacksonXml_5</x:v>
      </x:c>
      <x:c r="D1362" s="1" t="str">
        <x:v>NOT_AVAILABLE</x:v>
      </x:c>
      <x:c r="E1362" s="5"/>
      <x:c r="F1362" s="4" t="n">
        <x:v>0</x:v>
      </x:c>
      <x:c r="G1362" s="4" t="n">
        <x:v>6689</x:v>
      </x:c>
      <x:c r="H1362" s="6" t="n">
        <x:v>29.2</x:v>
      </x:c>
      <x:c r="I1362" s="16" t="n">
        <x:v>1</x:v>
      </x:c>
      <x:c r="J1362"/>
      <x:c r="K1362" s="4"/>
      <x:c r="L1362" s="4"/>
      <x:c r="M1362" s="4"/>
      <x:c r="N1362" s="5"/>
    </x:row>
    <x:row r="1363" ht="24" customHeight="1">
      <x:c r="A1363" s="1" t="str">
        <x:v>RESULT</x:v>
      </x:c>
      <x:c r="B1363" s="1" t="str">
        <x:v>Round2</x:v>
      </x:c>
      <x:c r="C1363" s="1" t="str">
        <x:v>JacksonXml_6</x:v>
      </x:c>
      <x:c r="D1363" s="1" t="str">
        <x:v>NOT_AVAILABLE</x:v>
      </x:c>
      <x:c r="E1363" s="5"/>
      <x:c r="F1363" s="4" t="n">
        <x:v>0</x:v>
      </x:c>
      <x:c r="G1363" s="4" t="n">
        <x:v>13988</x:v>
      </x:c>
      <x:c r="H1363" s="6" t="n">
        <x:v>47.19</x:v>
      </x:c>
      <x:c r="I1363" s="16" t="n">
        <x:v>1</x:v>
      </x:c>
      <x:c r="J1363"/>
      <x:c r="K1363" s="4"/>
      <x:c r="L1363" s="4"/>
      <x:c r="M1363" s="4"/>
      <x:c r="N1363" s="5"/>
    </x:row>
    <x:row r="1364" ht="24" customHeight="1">
      <x:c r="A1364" s="1" t="str">
        <x:v>RESULT</x:v>
      </x:c>
      <x:c r="B1364" s="1" t="str">
        <x:v>Round2</x:v>
      </x:c>
      <x:c r="C1364" s="1" t="str">
        <x:v>Jsoup_1</x:v>
      </x:c>
      <x:c r="D1364" s="1" t="str">
        <x:v>INCONCLUSIVE</x:v>
      </x:c>
      <x:c r="E1364" s="5" t="n">
        <x:v>0.9783</x:v>
      </x:c>
      <x:c r="F1364" s="4" t="n">
        <x:v>0</x:v>
      </x:c>
      <x:c r="G1364" s="4"/>
      <x:c r="H1364" s="6"/>
      <x:c r="I1364" s="16" t="n">
        <x:v>1</x:v>
      </x:c>
      <x:c r="J1364" t="n">
        <x:v>46</x:v>
      </x:c>
      <x:c r="K1364" s="4" t="n">
        <x:v>45</x:v>
      </x:c>
      <x:c r="L1364" s="4" t="n">
        <x:v>18</x:v>
      </x:c>
      <x:c r="M1364" s="4" t="n">
        <x:v>17</x:v>
      </x:c>
      <x:c r="N1364" s="5" t="n">
        <x:v>0.9444</x:v>
      </x:c>
    </x:row>
    <x:row r="1365" ht="24" customHeight="1">
      <x:c r="A1365" s="1" t="str">
        <x:v>RESULT</x:v>
      </x:c>
      <x:c r="B1365" s="1" t="str">
        <x:v>Round2</x:v>
      </x:c>
      <x:c r="C1365" s="1" t="str">
        <x:v>Jsoup_10</x:v>
      </x:c>
      <x:c r="D1365" s="1" t="str">
        <x:v>NOT_AVAILABLE</x:v>
      </x:c>
      <x:c r="E1365" s="5"/>
      <x:c r="F1365" s="4" t="n">
        <x:v>0</x:v>
      </x:c>
      <x:c r="G1365" s="4" t="n">
        <x:v>15171</x:v>
      </x:c>
      <x:c r="H1365" s="6" t="n">
        <x:v>93.88</x:v>
      </x:c>
      <x:c r="I1365" s="16" t="n">
        <x:v>1</x:v>
      </x:c>
      <x:c r="J1365"/>
      <x:c r="K1365" s="4"/>
      <x:c r="L1365" s="4"/>
      <x:c r="M1365" s="4"/>
      <x:c r="N1365" s="5"/>
    </x:row>
    <x:row r="1366" ht="24" customHeight="1">
      <x:c r="A1366" s="1" t="str">
        <x:v>RESULT</x:v>
      </x:c>
      <x:c r="B1366" s="1" t="str">
        <x:v>Round2</x:v>
      </x:c>
      <x:c r="C1366" s="1" t="str">
        <x:v>Jsoup_11</x:v>
      </x:c>
      <x:c r="D1366" s="1" t="str">
        <x:v>INCONCLUSIVE</x:v>
      </x:c>
      <x:c r="E1366" s="5" t="n">
        <x:v>0.8131</x:v>
      </x:c>
      <x:c r="F1366" s="4" t="n">
        <x:v>0</x:v>
      </x:c>
      <x:c r="G1366" s="4"/>
      <x:c r="H1366" s="6"/>
      <x:c r="I1366" s="16" t="n">
        <x:v>1</x:v>
      </x:c>
      <x:c r="J1366" t="n">
        <x:v>198</x:v>
      </x:c>
      <x:c r="K1366" s="4" t="n">
        <x:v>161</x:v>
      </x:c>
      <x:c r="L1366" s="4" t="n">
        <x:v>120</x:v>
      </x:c>
      <x:c r="M1366" s="4" t="n">
        <x:v>83</x:v>
      </x:c>
      <x:c r="N1366" s="5" t="n">
        <x:v>0.6917</x:v>
      </x:c>
    </x:row>
    <x:row r="1367" ht="24" customHeight="1">
      <x:c r="A1367" s="1" t="str">
        <x:v>RESULT</x:v>
      </x:c>
      <x:c r="B1367" s="1" t="str">
        <x:v>Round2</x:v>
      </x:c>
      <x:c r="C1367" s="1" t="str">
        <x:v>Jsoup_12</x:v>
      </x:c>
      <x:c r="D1367" s="1" t="str">
        <x:v>INCONCLUSIVE</x:v>
      </x:c>
      <x:c r="E1367" s="5" t="n">
        <x:v>0.9495</x:v>
      </x:c>
      <x:c r="F1367" s="4" t="n">
        <x:v>0</x:v>
      </x:c>
      <x:c r="G1367" s="4"/>
      <x:c r="H1367" s="6"/>
      <x:c r="I1367" s="16" t="n">
        <x:v>1</x:v>
      </x:c>
      <x:c r="J1367" t="n">
        <x:v>218</x:v>
      </x:c>
      <x:c r="K1367" s="4" t="n">
        <x:v>207</x:v>
      </x:c>
      <x:c r="L1367" s="4" t="n">
        <x:v>132</x:v>
      </x:c>
      <x:c r="M1367" s="4" t="n">
        <x:v>118</x:v>
      </x:c>
      <x:c r="N1367" s="5" t="n">
        <x:v>0.8939</x:v>
      </x:c>
    </x:row>
    <x:row r="1368" ht="24" customHeight="1">
      <x:c r="A1368" s="1" t="str">
        <x:v>RESULT</x:v>
      </x:c>
      <x:c r="B1368" s="1" t="str">
        <x:v>Round2</x:v>
      </x:c>
      <x:c r="C1368" s="1" t="str">
        <x:v>Jsoup_13</x:v>
      </x:c>
      <x:c r="D1368" s="1" t="str">
        <x:v>NOT_AVAILABLE</x:v>
      </x:c>
      <x:c r="E1368" s="5"/>
      <x:c r="F1368" s="4" t="n">
        <x:v>0</x:v>
      </x:c>
      <x:c r="G1368" s="4" t="n">
        <x:v>19164</x:v>
      </x:c>
      <x:c r="H1368" s="6" t="n">
        <x:v>123.58</x:v>
      </x:c>
      <x:c r="I1368" s="16" t="n">
        <x:v>1</x:v>
      </x:c>
      <x:c r="J1368"/>
      <x:c r="K1368" s="4"/>
      <x:c r="L1368" s="4"/>
      <x:c r="M1368" s="4"/>
      <x:c r="N1368" s="5"/>
    </x:row>
    <x:row r="1369" ht="24" customHeight="1">
      <x:c r="A1369" s="1" t="str">
        <x:v>RESULT</x:v>
      </x:c>
      <x:c r="B1369" s="1" t="str">
        <x:v>Round2</x:v>
      </x:c>
      <x:c r="C1369" s="1" t="str">
        <x:v>Jsoup_14</x:v>
      </x:c>
      <x:c r="D1369" s="1" t="str">
        <x:v>NOT_AVAILABLE</x:v>
      </x:c>
      <x:c r="E1369" s="5"/>
      <x:c r="F1369" s="4" t="n">
        <x:v>0</x:v>
      </x:c>
      <x:c r="G1369" s="4" t="n">
        <x:v>35764</x:v>
      </x:c>
      <x:c r="H1369" s="6" t="n">
        <x:v>184.42</x:v>
      </x:c>
      <x:c r="I1369" s="16" t="n">
        <x:v>1</x:v>
      </x:c>
      <x:c r="J1369"/>
      <x:c r="K1369" s="4"/>
      <x:c r="L1369" s="4"/>
      <x:c r="M1369" s="4"/>
      <x:c r="N1369" s="5"/>
    </x:row>
    <x:row r="1370" ht="24" customHeight="1">
      <x:c r="A1370" s="1" t="str">
        <x:v>RESULT</x:v>
      </x:c>
      <x:c r="B1370" s="1" t="str">
        <x:v>Round2</x:v>
      </x:c>
      <x:c r="C1370" s="1" t="str">
        <x:v>Jsoup_15</x:v>
      </x:c>
      <x:c r="D1370" s="1" t="str">
        <x:v>NOT_AVAILABLE</x:v>
      </x:c>
      <x:c r="E1370" s="5"/>
      <x:c r="F1370" s="4" t="n">
        <x:v>0</x:v>
      </x:c>
      <x:c r="G1370" s="4" t="n">
        <x:v>18435</x:v>
      </x:c>
      <x:c r="H1370" s="6" t="n">
        <x:v>50.5</x:v>
      </x:c>
      <x:c r="I1370" s="16" t="n">
        <x:v>1</x:v>
      </x:c>
      <x:c r="J1370"/>
      <x:c r="K1370" s="4"/>
      <x:c r="L1370" s="4"/>
      <x:c r="M1370" s="4"/>
      <x:c r="N1370" s="5"/>
    </x:row>
    <x:row r="1371" ht="24" customHeight="1">
      <x:c r="A1371" s="1" t="str">
        <x:v>RESULT</x:v>
      </x:c>
      <x:c r="B1371" s="1" t="str">
        <x:v>Round2</x:v>
      </x:c>
      <x:c r="C1371" s="1" t="str">
        <x:v>Jsoup_16</x:v>
      </x:c>
      <x:c r="D1371" s="1" t="str">
        <x:v>INCONCLUSIVE</x:v>
      </x:c>
      <x:c r="E1371" s="5" t="n">
        <x:v>1</x:v>
      </x:c>
      <x:c r="F1371" s="4" t="n">
        <x:v>0</x:v>
      </x:c>
      <x:c r="G1371" s="4"/>
      <x:c r="H1371" s="6"/>
      <x:c r="I1371" s="16" t="n">
        <x:v>1</x:v>
      </x:c>
      <x:c r="J1371" t="n">
        <x:v>14</x:v>
      </x:c>
      <x:c r="K1371" s="4" t="n">
        <x:v>14</x:v>
      </x:c>
      <x:c r="L1371" s="4" t="n">
        <x:v>4</x:v>
      </x:c>
      <x:c r="M1371" s="4" t="n">
        <x:v>4</x:v>
      </x:c>
      <x:c r="N1371" s="5" t="n">
        <x:v>1</x:v>
      </x:c>
    </x:row>
    <x:row r="1372" ht="24" customHeight="1">
      <x:c r="A1372" s="1" t="str">
        <x:v>RESULT</x:v>
      </x:c>
      <x:c r="B1372" s="1" t="str">
        <x:v>Round2</x:v>
      </x:c>
      <x:c r="C1372" s="1" t="str">
        <x:v>Jsoup_17</x:v>
      </x:c>
      <x:c r="D1372" s="1" t="str">
        <x:v>NOT_AVAILABLE</x:v>
      </x:c>
      <x:c r="E1372" s="5"/>
      <x:c r="F1372" s="4" t="n">
        <x:v>0</x:v>
      </x:c>
      <x:c r="G1372" s="4" t="n">
        <x:v>19122</x:v>
      </x:c>
      <x:c r="H1372" s="6" t="n">
        <x:v>54.56</x:v>
      </x:c>
      <x:c r="I1372" s="16" t="n">
        <x:v>1</x:v>
      </x:c>
      <x:c r="J1372"/>
      <x:c r="K1372" s="4"/>
      <x:c r="L1372" s="4"/>
      <x:c r="M1372" s="4"/>
      <x:c r="N1372" s="5"/>
    </x:row>
    <x:row r="1373" ht="24" customHeight="1">
      <x:c r="A1373" s="1" t="str">
        <x:v>RESULT</x:v>
      </x:c>
      <x:c r="B1373" s="1" t="str">
        <x:v>Round2</x:v>
      </x:c>
      <x:c r="C1373" s="1" t="str">
        <x:v>Jsoup_18</x:v>
      </x:c>
      <x:c r="D1373" s="1" t="str">
        <x:v>INCONCLUSIVE</x:v>
      </x:c>
      <x:c r="E1373" s="5" t="n">
        <x:v>0.9897</x:v>
      </x:c>
      <x:c r="F1373" s="4" t="n">
        <x:v>0</x:v>
      </x:c>
      <x:c r="G1373" s="4"/>
      <x:c r="H1373" s="6"/>
      <x:c r="I1373" s="16" t="n">
        <x:v>1</x:v>
      </x:c>
      <x:c r="J1373" t="n">
        <x:v>97</x:v>
      </x:c>
      <x:c r="K1373" s="4" t="n">
        <x:v>96</x:v>
      </x:c>
      <x:c r="L1373" s="4" t="n">
        <x:v>82</x:v>
      </x:c>
      <x:c r="M1373" s="4" t="n">
        <x:v>68</x:v>
      </x:c>
      <x:c r="N1373" s="5" t="n">
        <x:v>0.8293</x:v>
      </x:c>
    </x:row>
    <x:row r="1374" ht="24" customHeight="1">
      <x:c r="A1374" s="1" t="str">
        <x:v>RESULT</x:v>
      </x:c>
      <x:c r="B1374" s="1" t="str">
        <x:v>Round2</x:v>
      </x:c>
      <x:c r="C1374" s="1" t="str">
        <x:v>Jsoup_19</x:v>
      </x:c>
      <x:c r="D1374" s="1" t="str">
        <x:v>NOT_AVAILABLE</x:v>
      </x:c>
      <x:c r="E1374" s="5"/>
      <x:c r="F1374" s="4" t="n">
        <x:v>0</x:v>
      </x:c>
      <x:c r="G1374" s="4" t="n">
        <x:v>17824</x:v>
      </x:c>
      <x:c r="H1374" s="6" t="n">
        <x:v>114.84</x:v>
      </x:c>
      <x:c r="I1374" s="16" t="n">
        <x:v>1</x:v>
      </x:c>
      <x:c r="J1374"/>
      <x:c r="K1374" s="4"/>
      <x:c r="L1374" s="4"/>
      <x:c r="M1374" s="4"/>
      <x:c r="N1374" s="5"/>
    </x:row>
    <x:row r="1375" ht="24" customHeight="1">
      <x:c r="A1375" s="1" t="str">
        <x:v>RESULT</x:v>
      </x:c>
      <x:c r="B1375" s="1" t="str">
        <x:v>Round2</x:v>
      </x:c>
      <x:c r="C1375" s="1" t="str">
        <x:v>Jsoup_2</x:v>
      </x:c>
      <x:c r="D1375" s="1" t="str">
        <x:v>NOT_AVAILABLE</x:v>
      </x:c>
      <x:c r="E1375" s="5"/>
      <x:c r="F1375" s="4" t="n">
        <x:v>0</x:v>
      </x:c>
      <x:c r="G1375" s="4" t="n">
        <x:v>8352</x:v>
      </x:c>
      <x:c r="H1375" s="6" t="n">
        <x:v>43.78</x:v>
      </x:c>
      <x:c r="I1375" s="16" t="n">
        <x:v>1</x:v>
      </x:c>
      <x:c r="J1375"/>
      <x:c r="K1375" s="4"/>
      <x:c r="L1375" s="4"/>
      <x:c r="M1375" s="4"/>
      <x:c r="N1375" s="5"/>
    </x:row>
    <x:row r="1376" ht="24" customHeight="1">
      <x:c r="A1376" s="1" t="str">
        <x:v>RESULT</x:v>
      </x:c>
      <x:c r="B1376" s="1" t="str">
        <x:v>Round2</x:v>
      </x:c>
      <x:c r="C1376" s="1" t="str">
        <x:v>Jsoup_20</x:v>
      </x:c>
      <x:c r="D1376" s="1" t="str">
        <x:v>INCONCLUSIVE</x:v>
      </x:c>
      <x:c r="E1376" s="5" t="n">
        <x:v>0.9773000000000001</x:v>
      </x:c>
      <x:c r="F1376" s="4" t="n">
        <x:v>0</x:v>
      </x:c>
      <x:c r="G1376" s="4"/>
      <x:c r="H1376" s="6"/>
      <x:c r="I1376" s="16" t="n">
        <x:v>1</x:v>
      </x:c>
      <x:c r="J1376" t="n">
        <x:v>44</x:v>
      </x:c>
      <x:c r="K1376" s="4" t="n">
        <x:v>43</x:v>
      </x:c>
      <x:c r="L1376" s="4" t="n">
        <x:v>22</x:v>
      </x:c>
      <x:c r="M1376" s="4" t="n">
        <x:v>19</x:v>
      </x:c>
      <x:c r="N1376" s="5" t="n">
        <x:v>0.8636</x:v>
      </x:c>
    </x:row>
    <x:row r="1377" ht="24" customHeight="1">
      <x:c r="A1377" s="1" t="str">
        <x:v>RESULT</x:v>
      </x:c>
      <x:c r="B1377" s="1" t="str">
        <x:v>Round2</x:v>
      </x:c>
      <x:c r="C1377" s="1" t="str">
        <x:v>Jsoup_21</x:v>
      </x:c>
      <x:c r="D1377" s="1" t="str">
        <x:v>INCONCLUSIVE</x:v>
      </x:c>
      <x:c r="E1377" s="5" t="n">
        <x:v>0.9947</x:v>
      </x:c>
      <x:c r="F1377" s="4" t="n">
        <x:v>0</x:v>
      </x:c>
      <x:c r="G1377" s="4" t="n">
        <x:v>72872</x:v>
      </x:c>
      <x:c r="H1377" s="6" t="n">
        <x:v>410.56</x:v>
      </x:c>
      <x:c r="I1377" s="16" t="n">
        <x:v>1</x:v>
      </x:c>
      <x:c r="J1377" t="n">
        <x:v>189</x:v>
      </x:c>
      <x:c r="K1377" s="4" t="n">
        <x:v>188</x:v>
      </x:c>
      <x:c r="L1377" s="4" t="n">
        <x:v>96</x:v>
      </x:c>
      <x:c r="M1377" s="4" t="n">
        <x:v>95</x:v>
      </x:c>
      <x:c r="N1377" s="5" t="n">
        <x:v>0.9895999999999999</x:v>
      </x:c>
    </x:row>
    <x:row r="1378" ht="24" customHeight="1">
      <x:c r="A1378" s="1" t="str">
        <x:v>RESULT</x:v>
      </x:c>
      <x:c r="B1378" s="1" t="str">
        <x:v>Round2</x:v>
      </x:c>
      <x:c r="C1378" s="1" t="str">
        <x:v>Jsoup_22</x:v>
      </x:c>
      <x:c r="D1378" s="1" t="str">
        <x:v>NOT_AVAILABLE</x:v>
      </x:c>
      <x:c r="E1378" s="5"/>
      <x:c r="F1378" s="4" t="n">
        <x:v>0</x:v>
      </x:c>
      <x:c r="G1378" s="4" t="n">
        <x:v>86427</x:v>
      </x:c>
      <x:c r="H1378" s="6" t="n">
        <x:v>2539.51</x:v>
      </x:c>
      <x:c r="I1378" s="16" t="n">
        <x:v>1</x:v>
      </x:c>
      <x:c r="J1378"/>
      <x:c r="K1378" s="4"/>
      <x:c r="L1378" s="4"/>
      <x:c r="M1378" s="4"/>
      <x:c r="N1378" s="5"/>
    </x:row>
    <x:row r="1379" ht="24" customHeight="1">
      <x:c r="A1379" s="1" t="str">
        <x:v>RESULT</x:v>
      </x:c>
      <x:c r="B1379" s="1" t="str">
        <x:v>Round2</x:v>
      </x:c>
      <x:c r="C1379" s="1" t="str">
        <x:v>Jsoup_23</x:v>
      </x:c>
      <x:c r="D1379" s="1" t="str">
        <x:v>NOT_AVAILABLE</x:v>
      </x:c>
      <x:c r="E1379" s="5"/>
      <x:c r="F1379" s="4" t="n">
        <x:v>0</x:v>
      </x:c>
      <x:c r="G1379" s="4" t="n">
        <x:v>40229</x:v>
      </x:c>
      <x:c r="H1379" s="6" t="n">
        <x:v>1254.91</x:v>
      </x:c>
      <x:c r="I1379" s="16" t="n">
        <x:v>1</x:v>
      </x:c>
      <x:c r="J1379"/>
      <x:c r="K1379" s="4"/>
      <x:c r="L1379" s="4"/>
      <x:c r="M1379" s="4"/>
      <x:c r="N1379" s="5"/>
    </x:row>
    <x:row r="1380" ht="24" customHeight="1">
      <x:c r="A1380" s="1" t="str">
        <x:v>RESULT</x:v>
      </x:c>
      <x:c r="B1380" s="1" t="str">
        <x:v>Round2</x:v>
      </x:c>
      <x:c r="C1380" s="1" t="str">
        <x:v>Jsoup_24</x:v>
      </x:c>
      <x:c r="D1380" s="1" t="str">
        <x:v>NOT_AVAILABLE</x:v>
      </x:c>
      <x:c r="E1380" s="5"/>
      <x:c r="F1380" s="4" t="n">
        <x:v>0</x:v>
      </x:c>
      <x:c r="G1380" s="4" t="n">
        <x:v>16790</x:v>
      </x:c>
      <x:c r="H1380" s="6" t="n">
        <x:v>39.66</x:v>
      </x:c>
      <x:c r="I1380" s="16" t="n">
        <x:v>1</x:v>
      </x:c>
      <x:c r="J1380"/>
      <x:c r="K1380" s="4"/>
      <x:c r="L1380" s="4"/>
      <x:c r="M1380" s="4"/>
      <x:c r="N1380" s="5"/>
    </x:row>
    <x:row r="1381" ht="24" customHeight="1">
      <x:c r="A1381" s="1" t="str">
        <x:v>RESULT</x:v>
      </x:c>
      <x:c r="B1381" s="1" t="str">
        <x:v>Round2</x:v>
      </x:c>
      <x:c r="C1381" s="1" t="str">
        <x:v>Jsoup_25</x:v>
      </x:c>
      <x:c r="D1381" s="1" t="str">
        <x:v>NOT_AVAILABLE</x:v>
      </x:c>
      <x:c r="E1381" s="5"/>
      <x:c r="F1381" s="4" t="n">
        <x:v>0</x:v>
      </x:c>
      <x:c r="G1381" s="4" t="n">
        <x:v>7720</x:v>
      </x:c>
      <x:c r="H1381" s="6" t="n">
        <x:v>68.2</x:v>
      </x:c>
      <x:c r="I1381" s="16" t="n">
        <x:v>1</x:v>
      </x:c>
      <x:c r="J1381"/>
      <x:c r="K1381" s="4"/>
      <x:c r="L1381" s="4"/>
      <x:c r="M1381" s="4"/>
      <x:c r="N1381" s="5"/>
    </x:row>
    <x:row r="1382" ht="24" customHeight="1">
      <x:c r="A1382" s="1" t="str">
        <x:v>RESULT</x:v>
      </x:c>
      <x:c r="B1382" s="1" t="str">
        <x:v>Round2</x:v>
      </x:c>
      <x:c r="C1382" s="1" t="str">
        <x:v>Jsoup_26</x:v>
      </x:c>
      <x:c r="D1382" s="1" t="str">
        <x:v>NOT_AVAILABLE</x:v>
      </x:c>
      <x:c r="E1382" s="5"/>
      <x:c r="F1382" s="4" t="n">
        <x:v>0</x:v>
      </x:c>
      <x:c r="G1382" s="4" t="n">
        <x:v>5764</x:v>
      </x:c>
      <x:c r="H1382" s="6" t="n">
        <x:v>57.03</x:v>
      </x:c>
      <x:c r="I1382" s="16" t="n">
        <x:v>1</x:v>
      </x:c>
      <x:c r="J1382"/>
      <x:c r="K1382" s="4"/>
      <x:c r="L1382" s="4"/>
      <x:c r="M1382" s="4"/>
      <x:c r="N1382" s="5"/>
    </x:row>
    <x:row r="1383" ht="24" customHeight="1">
      <x:c r="A1383" s="1" t="str">
        <x:v>RESULT</x:v>
      </x:c>
      <x:c r="B1383" s="1" t="str">
        <x:v>Round2</x:v>
      </x:c>
      <x:c r="C1383" s="1" t="str">
        <x:v>Jsoup_27</x:v>
      </x:c>
      <x:c r="D1383" s="1" t="str">
        <x:v>NOT_AVAILABLE</x:v>
      </x:c>
      <x:c r="E1383" s="5"/>
      <x:c r="F1383" s="4" t="n">
        <x:v>0</x:v>
      </x:c>
      <x:c r="G1383" s="4" t="n">
        <x:v>10631</x:v>
      </x:c>
      <x:c r="H1383" s="6" t="n">
        <x:v>72.59</x:v>
      </x:c>
      <x:c r="I1383" s="16" t="n">
        <x:v>1</x:v>
      </x:c>
      <x:c r="J1383"/>
      <x:c r="K1383" s="4"/>
      <x:c r="L1383" s="4"/>
      <x:c r="M1383" s="4"/>
      <x:c r="N1383" s="5"/>
    </x:row>
    <x:row r="1384" ht="24" customHeight="1">
      <x:c r="A1384" s="1" t="str">
        <x:v>RESULT</x:v>
      </x:c>
      <x:c r="B1384" s="1" t="str">
        <x:v>Round2</x:v>
      </x:c>
      <x:c r="C1384" s="1" t="str">
        <x:v>Jsoup_28</x:v>
      </x:c>
      <x:c r="D1384" s="1" t="str">
        <x:v>NOT_AVAILABLE</x:v>
      </x:c>
      <x:c r="E1384" s="5"/>
      <x:c r="F1384" s="4" t="n">
        <x:v>0</x:v>
      </x:c>
      <x:c r="G1384" s="4" t="n">
        <x:v>39576</x:v>
      </x:c>
      <x:c r="H1384" s="6" t="n">
        <x:v>415.45</x:v>
      </x:c>
      <x:c r="I1384" s="16" t="n">
        <x:v>1</x:v>
      </x:c>
      <x:c r="J1384"/>
      <x:c r="K1384" s="4"/>
      <x:c r="L1384" s="4"/>
      <x:c r="M1384" s="4"/>
      <x:c r="N1384" s="5"/>
    </x:row>
    <x:row r="1385" ht="24" customHeight="1">
      <x:c r="A1385" s="1" t="str">
        <x:v>RESULT</x:v>
      </x:c>
      <x:c r="B1385" s="1" t="str">
        <x:v>Round2</x:v>
      </x:c>
      <x:c r="C1385" s="1" t="str">
        <x:v>Jsoup_29</x:v>
      </x:c>
      <x:c r="D1385" s="1" t="str">
        <x:v>NOT_AVAILABLE</x:v>
      </x:c>
      <x:c r="E1385" s="5"/>
      <x:c r="F1385" s="4" t="n">
        <x:v>0</x:v>
      </x:c>
      <x:c r="G1385" s="4" t="n">
        <x:v>7451</x:v>
      </x:c>
      <x:c r="H1385" s="6" t="n">
        <x:v>62.25</x:v>
      </x:c>
      <x:c r="I1385" s="16" t="n">
        <x:v>1</x:v>
      </x:c>
      <x:c r="J1385"/>
      <x:c r="K1385" s="4"/>
      <x:c r="L1385" s="4"/>
      <x:c r="M1385" s="4"/>
      <x:c r="N1385" s="5"/>
    </x:row>
    <x:row r="1386" ht="24" customHeight="1">
      <x:c r="A1386" s="1" t="str">
        <x:v>RESULT</x:v>
      </x:c>
      <x:c r="B1386" s="1" t="str">
        <x:v>Round2</x:v>
      </x:c>
      <x:c r="C1386" s="1" t="str">
        <x:v>Jsoup_3</x:v>
      </x:c>
      <x:c r="D1386" s="1" t="str">
        <x:v>NOT_AVAILABLE</x:v>
      </x:c>
      <x:c r="E1386" s="5"/>
      <x:c r="F1386" s="4" t="n">
        <x:v>0</x:v>
      </x:c>
      <x:c r="G1386" s="4" t="n">
        <x:v>40198</x:v>
      </x:c>
      <x:c r="H1386" s="6" t="n">
        <x:v>245.45</x:v>
      </x:c>
      <x:c r="I1386" s="16" t="n">
        <x:v>1</x:v>
      </x:c>
      <x:c r="J1386"/>
      <x:c r="K1386" s="4"/>
      <x:c r="L1386" s="4"/>
      <x:c r="M1386" s="4"/>
      <x:c r="N1386" s="5"/>
    </x:row>
    <x:row r="1387" ht="24" customHeight="1">
      <x:c r="A1387" s="1" t="str">
        <x:v>RESULT</x:v>
      </x:c>
      <x:c r="B1387" s="1" t="str">
        <x:v>Round2</x:v>
      </x:c>
      <x:c r="C1387" s="1" t="str">
        <x:v>Jsoup_30</x:v>
      </x:c>
      <x:c r="D1387" s="1" t="str">
        <x:v>INCONCLUSIVE</x:v>
      </x:c>
      <x:c r="E1387" s="5" t="n">
        <x:v>1</x:v>
      </x:c>
      <x:c r="F1387" s="4" t="n">
        <x:v>0</x:v>
      </x:c>
      <x:c r="G1387" s="4" t="n">
        <x:v>26620</x:v>
      </x:c>
      <x:c r="H1387" s="6" t="n">
        <x:v>146.08</x:v>
      </x:c>
      <x:c r="I1387" s="16" t="n">
        <x:v>1</x:v>
      </x:c>
      <x:c r="J1387" t="n">
        <x:v>50</x:v>
      </x:c>
      <x:c r="K1387" s="4" t="n">
        <x:v>50</x:v>
      </x:c>
      <x:c r="L1387" s="4" t="n">
        <x:v>16</x:v>
      </x:c>
      <x:c r="M1387" s="4" t="n">
        <x:v>16</x:v>
      </x:c>
      <x:c r="N1387" s="5" t="n">
        <x:v>1</x:v>
      </x:c>
    </x:row>
    <x:row r="1388" ht="24" customHeight="1">
      <x:c r="A1388" s="1" t="str">
        <x:v>RESULT</x:v>
      </x:c>
      <x:c r="B1388" s="1" t="str">
        <x:v>Round2</x:v>
      </x:c>
      <x:c r="C1388" s="1" t="str">
        <x:v>Jsoup_31</x:v>
      </x:c>
      <x:c r="D1388" s="1" t="str">
        <x:v>NOT_AVAILABLE</x:v>
      </x:c>
      <x:c r="E1388" s="5"/>
      <x:c r="F1388" s="4" t="n">
        <x:v>0</x:v>
      </x:c>
      <x:c r="G1388" s="4" t="n">
        <x:v>36910</x:v>
      </x:c>
      <x:c r="H1388" s="6" t="n">
        <x:v>172.79</x:v>
      </x:c>
      <x:c r="I1388" s="16" t="n">
        <x:v>1</x:v>
      </x:c>
      <x:c r="J1388"/>
      <x:c r="K1388" s="4"/>
      <x:c r="L1388" s="4"/>
      <x:c r="M1388" s="4"/>
      <x:c r="N1388" s="5"/>
    </x:row>
    <x:row r="1389" ht="24" customHeight="1">
      <x:c r="A1389" s="1" t="str">
        <x:v>RESULT</x:v>
      </x:c>
      <x:c r="B1389" s="1" t="str">
        <x:v>Round2</x:v>
      </x:c>
      <x:c r="C1389" s="1" t="str">
        <x:v>Jsoup_32</x:v>
      </x:c>
      <x:c r="D1389" s="1" t="str">
        <x:v>INCONCLUSIVE</x:v>
      </x:c>
      <x:c r="E1389" s="5" t="n">
        <x:v>0.7558</x:v>
      </x:c>
      <x:c r="F1389" s="4" t="n">
        <x:v>0</x:v>
      </x:c>
      <x:c r="G1389" s="4" t="n">
        <x:v>33359</x:v>
      </x:c>
      <x:c r="H1389" s="6" t="n">
        <x:v>1255.94</x:v>
      </x:c>
      <x:c r="I1389" s="16" t="n">
        <x:v>1</x:v>
      </x:c>
      <x:c r="J1389" t="n">
        <x:v>303</x:v>
      </x:c>
      <x:c r="K1389" s="4" t="n">
        <x:v>229</x:v>
      </x:c>
      <x:c r="L1389" s="4" t="n">
        <x:v>140</x:v>
      </x:c>
      <x:c r="M1389" s="4" t="n">
        <x:v>79</x:v>
      </x:c>
      <x:c r="N1389" s="5" t="n">
        <x:v>0.5643</x:v>
      </x:c>
    </x:row>
    <x:row r="1390" ht="24" customHeight="1">
      <x:c r="A1390" s="1" t="str">
        <x:v>RESULT</x:v>
      </x:c>
      <x:c r="B1390" s="1" t="str">
        <x:v>Round2</x:v>
      </x:c>
      <x:c r="C1390" s="1" t="str">
        <x:v>Jsoup_33</x:v>
      </x:c>
      <x:c r="D1390" s="1" t="str">
        <x:v>INCONCLUSIVE</x:v>
      </x:c>
      <x:c r="E1390" s="5" t="n">
        <x:v>0.47840000000000005</x:v>
      </x:c>
      <x:c r="F1390" s="4" t="n">
        <x:v>0</x:v>
      </x:c>
      <x:c r="G1390" s="4"/>
      <x:c r="H1390" s="6"/>
      <x:c r="I1390" s="16" t="n">
        <x:v>1</x:v>
      </x:c>
      <x:c r="J1390" t="n">
        <x:v>393</x:v>
      </x:c>
      <x:c r="K1390" s="4" t="n">
        <x:v>188</x:v>
      </x:c>
      <x:c r="L1390" s="4" t="n">
        <x:v>202</x:v>
      </x:c>
      <x:c r="M1390" s="4" t="n">
        <x:v>79</x:v>
      </x:c>
      <x:c r="N1390" s="5" t="n">
        <x:v>0.3911</x:v>
      </x:c>
    </x:row>
    <x:row r="1391" ht="24" customHeight="1">
      <x:c r="A1391" s="1" t="str">
        <x:v>RESULT</x:v>
      </x:c>
      <x:c r="B1391" s="1" t="str">
        <x:v>Round2</x:v>
      </x:c>
      <x:c r="C1391" s="1" t="str">
        <x:v>Jsoup_34</x:v>
      </x:c>
      <x:c r="D1391" s="1" t="str">
        <x:v>INCONCLUSIVE</x:v>
      </x:c>
      <x:c r="E1391" s="5" t="n">
        <x:v>0.9779000000000001</x:v>
      </x:c>
      <x:c r="F1391" s="4" t="n">
        <x:v>0</x:v>
      </x:c>
      <x:c r="G1391" s="4"/>
      <x:c r="H1391" s="6"/>
      <x:c r="I1391" s="16" t="n">
        <x:v>1</x:v>
      </x:c>
      <x:c r="J1391" t="n">
        <x:v>136</x:v>
      </x:c>
      <x:c r="K1391" s="4" t="n">
        <x:v>133</x:v>
      </x:c>
      <x:c r="L1391" s="4" t="n">
        <x:v>130</x:v>
      </x:c>
      <x:c r="M1391" s="4" t="n">
        <x:v>107</x:v>
      </x:c>
      <x:c r="N1391" s="5" t="n">
        <x:v>0.8231</x:v>
      </x:c>
    </x:row>
    <x:row r="1392" ht="24" customHeight="1">
      <x:c r="A1392" s="1" t="str">
        <x:v>RESULT</x:v>
      </x:c>
      <x:c r="B1392" s="1" t="str">
        <x:v>Round2</x:v>
      </x:c>
      <x:c r="C1392" s="1" t="str">
        <x:v>Jsoup_35</x:v>
      </x:c>
      <x:c r="D1392" s="1" t="str">
        <x:v>NOT_AVAILABLE</x:v>
      </x:c>
      <x:c r="E1392" s="5"/>
      <x:c r="F1392" s="4" t="n">
        <x:v>0</x:v>
      </x:c>
      <x:c r="G1392" s="4" t="n">
        <x:v>17797</x:v>
      </x:c>
      <x:c r="H1392" s="6" t="n">
        <x:v>52.03</x:v>
      </x:c>
      <x:c r="I1392" s="16" t="n">
        <x:v>1</x:v>
      </x:c>
      <x:c r="J1392"/>
      <x:c r="K1392" s="4"/>
      <x:c r="L1392" s="4"/>
      <x:c r="M1392" s="4"/>
      <x:c r="N1392" s="5"/>
    </x:row>
    <x:row r="1393" ht="24" customHeight="1">
      <x:c r="A1393" s="1" t="str">
        <x:v>RESULT</x:v>
      </x:c>
      <x:c r="B1393" s="1" t="str">
        <x:v>Round2</x:v>
      </x:c>
      <x:c r="C1393" s="1" t="str">
        <x:v>Jsoup_36</x:v>
      </x:c>
      <x:c r="D1393" s="1" t="str">
        <x:v>INCONCLUSIVE</x:v>
      </x:c>
      <x:c r="E1393" s="5" t="n">
        <x:v>0.8332999999999999</x:v>
      </x:c>
      <x:c r="F1393" s="4" t="n">
        <x:v>0</x:v>
      </x:c>
      <x:c r="G1393" s="4" t="n">
        <x:v>10566</x:v>
      </x:c>
      <x:c r="H1393" s="6" t="n">
        <x:v>65.12</x:v>
      </x:c>
      <x:c r="I1393" s="16" t="n">
        <x:v>1</x:v>
      </x:c>
      <x:c r="J1393" t="n">
        <x:v>60</x:v>
      </x:c>
      <x:c r="K1393" s="4" t="n">
        <x:v>50</x:v>
      </x:c>
      <x:c r="L1393" s="4" t="n">
        <x:v>38</x:v>
      </x:c>
      <x:c r="M1393" s="4" t="n">
        <x:v>29</x:v>
      </x:c>
      <x:c r="N1393" s="5" t="n">
        <x:v>0.7631999999999999</x:v>
      </x:c>
    </x:row>
    <x:row r="1394" ht="24" customHeight="1">
      <x:c r="A1394" s="1" t="str">
        <x:v>RESULT</x:v>
      </x:c>
      <x:c r="B1394" s="1" t="str">
        <x:v>Round2</x:v>
      </x:c>
      <x:c r="C1394" s="1" t="str">
        <x:v>Jsoup_37</x:v>
      </x:c>
      <x:c r="D1394" s="1" t="str">
        <x:v>INCONCLUSIVE</x:v>
      </x:c>
      <x:c r="E1394" s="5" t="n">
        <x:v>0.7883</x:v>
      </x:c>
      <x:c r="F1394" s="4" t="n">
        <x:v>0</x:v>
      </x:c>
      <x:c r="G1394" s="4" t="n">
        <x:v>10264</x:v>
      </x:c>
      <x:c r="H1394" s="6" t="n">
        <x:v>40.94</x:v>
      </x:c>
      <x:c r="I1394" s="16" t="n">
        <x:v>1</x:v>
      </x:c>
      <x:c r="J1394" t="n">
        <x:v>307</x:v>
      </x:c>
      <x:c r="K1394" s="4" t="n">
        <x:v>242</x:v>
      </x:c>
      <x:c r="L1394" s="4" t="n">
        <x:v>152</x:v>
      </x:c>
      <x:c r="M1394" s="4" t="n">
        <x:v>95</x:v>
      </x:c>
      <x:c r="N1394" s="5" t="n">
        <x:v>0.625</x:v>
      </x:c>
    </x:row>
    <x:row r="1395" ht="24" customHeight="1">
      <x:c r="A1395" s="1" t="str">
        <x:v>RESULT</x:v>
      </x:c>
      <x:c r="B1395" s="1" t="str">
        <x:v>Round2</x:v>
      </x:c>
      <x:c r="C1395" s="1" t="str">
        <x:v>Jsoup_38</x:v>
      </x:c>
      <x:c r="D1395" s="1" t="str">
        <x:v>NOT_AVAILABLE</x:v>
      </x:c>
      <x:c r="E1395" s="5"/>
      <x:c r="F1395" s="4" t="n">
        <x:v>0</x:v>
      </x:c>
      <x:c r="G1395" s="4" t="n">
        <x:v>53493</x:v>
      </x:c>
      <x:c r="H1395" s="6" t="n">
        <x:v>203.7</x:v>
      </x:c>
      <x:c r="I1395" s="16" t="n">
        <x:v>1</x:v>
      </x:c>
      <x:c r="J1395"/>
      <x:c r="K1395" s="4"/>
      <x:c r="L1395" s="4"/>
      <x:c r="M1395" s="4"/>
      <x:c r="N1395" s="5"/>
    </x:row>
    <x:row r="1396" ht="24" customHeight="1">
      <x:c r="A1396" s="1" t="str">
        <x:v>RESULT</x:v>
      </x:c>
      <x:c r="B1396" s="1" t="str">
        <x:v>Round2</x:v>
      </x:c>
      <x:c r="C1396" s="1" t="str">
        <x:v>Jsoup_39</x:v>
      </x:c>
      <x:c r="D1396" s="1" t="str">
        <x:v>INCONCLUSIVE</x:v>
      </x:c>
      <x:c r="E1396" s="5" t="n">
        <x:v>0.88</x:v>
      </x:c>
      <x:c r="F1396" s="4" t="n">
        <x:v>0</x:v>
      </x:c>
      <x:c r="G1396" s="4"/>
      <x:c r="H1396" s="6"/>
      <x:c r="I1396" s="16" t="n">
        <x:v>1</x:v>
      </x:c>
      <x:c r="J1396" t="n">
        <x:v>75</x:v>
      </x:c>
      <x:c r="K1396" s="4" t="n">
        <x:v>66</x:v>
      </x:c>
      <x:c r="L1396" s="4" t="n">
        <x:v>46</x:v>
      </x:c>
      <x:c r="M1396" s="4" t="n">
        <x:v>33</x:v>
      </x:c>
      <x:c r="N1396" s="5" t="n">
        <x:v>0.7173999999999999</x:v>
      </x:c>
    </x:row>
    <x:row r="1397" ht="24" customHeight="1">
      <x:c r="A1397" s="1" t="str">
        <x:v>RESULT</x:v>
      </x:c>
      <x:c r="B1397" s="1" t="str">
        <x:v>Round2</x:v>
      </x:c>
      <x:c r="C1397" s="1" t="str">
        <x:v>Jsoup_4</x:v>
      </x:c>
      <x:c r="D1397" s="1" t="str">
        <x:v>INCONCLUSIVE</x:v>
      </x:c>
      <x:c r="E1397" s="5"/>
      <x:c r="F1397" s="4" t="n">
        <x:v>0</x:v>
      </x:c>
      <x:c r="G1397" s="4" t="n">
        <x:v>38097</x:v>
      </x:c>
      <x:c r="H1397" s="6" t="n">
        <x:v>59.44</x:v>
      </x:c>
      <x:c r="I1397" s="16" t="n">
        <x:v>1</x:v>
      </x:c>
      <x:c r="J1397"/>
      <x:c r="K1397" s="4"/>
      <x:c r="L1397" s="4"/>
      <x:c r="M1397" s="4"/>
      <x:c r="N1397" s="5"/>
    </x:row>
    <x:row r="1398" ht="24" customHeight="1">
      <x:c r="A1398" s="1" t="str">
        <x:v>RESULT</x:v>
      </x:c>
      <x:c r="B1398" s="1" t="str">
        <x:v>Round2</x:v>
      </x:c>
      <x:c r="C1398" s="1" t="str">
        <x:v>Jsoup_40</x:v>
      </x:c>
      <x:c r="D1398" s="1" t="str">
        <x:v>INCONCLUSIVE</x:v>
      </x:c>
      <x:c r="E1398" s="5" t="n">
        <x:v>1</x:v>
      </x:c>
      <x:c r="F1398" s="4" t="n">
        <x:v>0</x:v>
      </x:c>
      <x:c r="G1398" s="4"/>
      <x:c r="H1398" s="6"/>
      <x:c r="I1398" s="16" t="n">
        <x:v>1</x:v>
      </x:c>
      <x:c r="J1398" t="n">
        <x:v>17</x:v>
      </x:c>
      <x:c r="K1398" s="4" t="n">
        <x:v>17</x:v>
      </x:c>
      <x:c r="L1398" s="4" t="n">
        <x:v>6</x:v>
      </x:c>
      <x:c r="M1398" s="4" t="n">
        <x:v>6</x:v>
      </x:c>
      <x:c r="N1398" s="5" t="n">
        <x:v>1</x:v>
      </x:c>
    </x:row>
    <x:row r="1399" ht="24" customHeight="1">
      <x:c r="A1399" s="1" t="str">
        <x:v>RESULT</x:v>
      </x:c>
      <x:c r="B1399" s="1" t="str">
        <x:v>Round2</x:v>
      </x:c>
      <x:c r="C1399" s="1" t="str">
        <x:v>Jsoup_41</x:v>
      </x:c>
      <x:c r="D1399" s="1" t="str">
        <x:v>INCONCLUSIVE</x:v>
      </x:c>
      <x:c r="E1399" s="5" t="n">
        <x:v>0.7761</x:v>
      </x:c>
      <x:c r="F1399" s="4" t="n">
        <x:v>0</x:v>
      </x:c>
      <x:c r="G1399" s="4" t="n">
        <x:v>18114</x:v>
      </x:c>
      <x:c r="H1399" s="6" t="n">
        <x:v>114.28</x:v>
      </x:c>
      <x:c r="I1399" s="16" t="n">
        <x:v>1</x:v>
      </x:c>
      <x:c r="J1399" t="n">
        <x:v>326</x:v>
      </x:c>
      <x:c r="K1399" s="4" t="n">
        <x:v>253</x:v>
      </x:c>
      <x:c r="L1399" s="4" t="n">
        <x:v>174</x:v>
      </x:c>
      <x:c r="M1399" s="4" t="n">
        <x:v>98</x:v>
      </x:c>
      <x:c r="N1399" s="5" t="n">
        <x:v>0.5632</x:v>
      </x:c>
    </x:row>
    <x:row r="1400" ht="24" customHeight="1">
      <x:c r="A1400" s="1" t="str">
        <x:v>RESULT</x:v>
      </x:c>
      <x:c r="B1400" s="1" t="str">
        <x:v>Round2</x:v>
      </x:c>
      <x:c r="C1400" s="1" t="str">
        <x:v>Jsoup_42</x:v>
      </x:c>
      <x:c r="D1400" s="1" t="str">
        <x:v>NOT_AVAILABLE</x:v>
      </x:c>
      <x:c r="E1400" s="5"/>
      <x:c r="F1400" s="4" t="n">
        <x:v>0</x:v>
      </x:c>
      <x:c r="G1400" s="4" t="n">
        <x:v>9280</x:v>
      </x:c>
      <x:c r="H1400" s="6" t="n">
        <x:v>66.13</x:v>
      </x:c>
      <x:c r="I1400" s="16" t="n">
        <x:v>1</x:v>
      </x:c>
      <x:c r="J1400"/>
      <x:c r="K1400" s="4"/>
      <x:c r="L1400" s="4"/>
      <x:c r="M1400" s="4"/>
      <x:c r="N1400" s="5"/>
    </x:row>
    <x:row r="1401" ht="24" customHeight="1">
      <x:c r="A1401" s="1" t="str">
        <x:v>RESULT</x:v>
      </x:c>
      <x:c r="B1401" s="1" t="str">
        <x:v>Round2</x:v>
      </x:c>
      <x:c r="C1401" s="1" t="str">
        <x:v>Jsoup_43</x:v>
      </x:c>
      <x:c r="D1401" s="1" t="str">
        <x:v>NOT_AVAILABLE</x:v>
      </x:c>
      <x:c r="E1401" s="5"/>
      <x:c r="F1401" s="4" t="n">
        <x:v>0</x:v>
      </x:c>
      <x:c r="G1401" s="4" t="n">
        <x:v>9273</x:v>
      </x:c>
      <x:c r="H1401" s="6" t="n">
        <x:v>31.6</x:v>
      </x:c>
      <x:c r="I1401" s="16" t="n">
        <x:v>1</x:v>
      </x:c>
      <x:c r="J1401"/>
      <x:c r="K1401" s="4"/>
      <x:c r="L1401" s="4"/>
      <x:c r="M1401" s="4"/>
      <x:c r="N1401" s="5"/>
    </x:row>
    <x:row r="1402" ht="24" customHeight="1">
      <x:c r="A1402" s="1" t="str">
        <x:v>RESULT</x:v>
      </x:c>
      <x:c r="B1402" s="1" t="str">
        <x:v>Round2</x:v>
      </x:c>
      <x:c r="C1402" s="1" t="str">
        <x:v>Jsoup_44</x:v>
      </x:c>
      <x:c r="D1402" s="1" t="str">
        <x:v>NOT_AVAILABLE</x:v>
      </x:c>
      <x:c r="E1402" s="5"/>
      <x:c r="F1402" s="4" t="n">
        <x:v>0</x:v>
      </x:c>
      <x:c r="G1402" s="4" t="n">
        <x:v>8996</x:v>
      </x:c>
      <x:c r="H1402" s="6" t="n">
        <x:v>38.86</x:v>
      </x:c>
      <x:c r="I1402" s="16" t="n">
        <x:v>1</x:v>
      </x:c>
      <x:c r="J1402"/>
      <x:c r="K1402" s="4"/>
      <x:c r="L1402" s="4"/>
      <x:c r="M1402" s="4"/>
      <x:c r="N1402" s="5"/>
    </x:row>
    <x:row r="1403" ht="24" customHeight="1">
      <x:c r="A1403" s="1" t="str">
        <x:v>RESULT</x:v>
      </x:c>
      <x:c r="B1403" s="1" t="str">
        <x:v>Round2</x:v>
      </x:c>
      <x:c r="C1403" s="1" t="str">
        <x:v>Jsoup_45</x:v>
      </x:c>
      <x:c r="D1403" s="1" t="str">
        <x:v>NOT_AVAILABLE</x:v>
      </x:c>
      <x:c r="E1403" s="5"/>
      <x:c r="F1403" s="4" t="n">
        <x:v>0</x:v>
      </x:c>
      <x:c r="G1403" s="4" t="n">
        <x:v>42014</x:v>
      </x:c>
      <x:c r="H1403" s="6" t="n">
        <x:v>170.48</x:v>
      </x:c>
      <x:c r="I1403" s="16" t="n">
        <x:v>1</x:v>
      </x:c>
      <x:c r="J1403"/>
      <x:c r="K1403" s="4"/>
      <x:c r="L1403" s="4"/>
      <x:c r="M1403" s="4"/>
      <x:c r="N1403" s="5"/>
    </x:row>
    <x:row r="1404" ht="24" customHeight="1">
      <x:c r="A1404" s="1" t="str">
        <x:v>RESULT</x:v>
      </x:c>
      <x:c r="B1404" s="1" t="str">
        <x:v>Round2</x:v>
      </x:c>
      <x:c r="C1404" s="1" t="str">
        <x:v>Jsoup_46</x:v>
      </x:c>
      <x:c r="D1404" s="1" t="str">
        <x:v>INCONCLUSIVE</x:v>
      </x:c>
      <x:c r="E1404" s="5" t="n">
        <x:v>0.7966</x:v>
      </x:c>
      <x:c r="F1404" s="4" t="n">
        <x:v>0</x:v>
      </x:c>
      <x:c r="G1404" s="4"/>
      <x:c r="H1404" s="6"/>
      <x:c r="I1404" s="16" t="n">
        <x:v>1</x:v>
      </x:c>
      <x:c r="J1404" t="n">
        <x:v>118</x:v>
      </x:c>
      <x:c r="K1404" s="4" t="n">
        <x:v>94</x:v>
      </x:c>
      <x:c r="L1404" s="4" t="n">
        <x:v>51</x:v>
      </x:c>
      <x:c r="M1404" s="4" t="n">
        <x:v>32</x:v>
      </x:c>
      <x:c r="N1404" s="5" t="n">
        <x:v>0.6275</x:v>
      </x:c>
    </x:row>
    <x:row r="1405" ht="24" customHeight="1">
      <x:c r="A1405" s="1" t="str">
        <x:v>RESULT</x:v>
      </x:c>
      <x:c r="B1405" s="1" t="str">
        <x:v>Round2</x:v>
      </x:c>
      <x:c r="C1405" s="1" t="str">
        <x:v>Jsoup_47</x:v>
      </x:c>
      <x:c r="D1405" s="1" t="str">
        <x:v>NOT_REVEALING</x:v>
      </x:c>
      <x:c r="E1405" s="5" t="n">
        <x:v>0.9661</x:v>
      </x:c>
      <x:c r="F1405" s="4" t="n">
        <x:v>0</x:v>
      </x:c>
      <x:c r="G1405" s="4" t="n">
        <x:v>21689</x:v>
      </x:c>
      <x:c r="H1405" s="6" t="n">
        <x:v>94.47</x:v>
      </x:c>
      <x:c r="I1405" s="16" t="n">
        <x:v>1</x:v>
      </x:c>
      <x:c r="J1405" t="n">
        <x:v>118</x:v>
      </x:c>
      <x:c r="K1405" s="4" t="n">
        <x:v>114</x:v>
      </x:c>
      <x:c r="L1405" s="4" t="n">
        <x:v>51</x:v>
      </x:c>
      <x:c r="M1405" s="4" t="n">
        <x:v>49</x:v>
      </x:c>
      <x:c r="N1405" s="5" t="n">
        <x:v>0.9608</x:v>
      </x:c>
    </x:row>
    <x:row r="1406" ht="24" customHeight="1">
      <x:c r="A1406" s="1" t="str">
        <x:v>RESULT</x:v>
      </x:c>
      <x:c r="B1406" s="1" t="str">
        <x:v>Round2</x:v>
      </x:c>
      <x:c r="C1406" s="1" t="str">
        <x:v>Jsoup_48</x:v>
      </x:c>
      <x:c r="D1406" s="1" t="str">
        <x:v>NOT_AVAILABLE</x:v>
      </x:c>
      <x:c r="E1406" s="5"/>
      <x:c r="F1406" s="4" t="n">
        <x:v>0</x:v>
      </x:c>
      <x:c r="G1406" s="4" t="n">
        <x:v>16706</x:v>
      </x:c>
      <x:c r="H1406" s="6" t="n">
        <x:v>74.9</x:v>
      </x:c>
      <x:c r="I1406" s="16" t="n">
        <x:v>1</x:v>
      </x:c>
      <x:c r="J1406"/>
      <x:c r="K1406" s="4"/>
      <x:c r="L1406" s="4"/>
      <x:c r="M1406" s="4"/>
      <x:c r="N1406" s="5"/>
    </x:row>
    <x:row r="1407" ht="24" customHeight="1">
      <x:c r="A1407" s="1" t="str">
        <x:v>RESULT</x:v>
      </x:c>
      <x:c r="B1407" s="1" t="str">
        <x:v>Round2</x:v>
      </x:c>
      <x:c r="C1407" s="1" t="str">
        <x:v>Jsoup_49</x:v>
      </x:c>
      <x:c r="D1407" s="1" t="str">
        <x:v>NOT_AVAILABLE</x:v>
      </x:c>
      <x:c r="E1407" s="5"/>
      <x:c r="F1407" s="4" t="n">
        <x:v>0</x:v>
      </x:c>
      <x:c r="G1407" s="4" t="n">
        <x:v>18519</x:v>
      </x:c>
      <x:c r="H1407" s="6" t="n">
        <x:v>104.4</x:v>
      </x:c>
      <x:c r="I1407" s="16" t="n">
        <x:v>1</x:v>
      </x:c>
      <x:c r="J1407"/>
      <x:c r="K1407" s="4"/>
      <x:c r="L1407" s="4"/>
      <x:c r="M1407" s="4"/>
      <x:c r="N1407" s="5"/>
    </x:row>
    <x:row r="1408" ht="24" customHeight="1">
      <x:c r="A1408" s="1" t="str">
        <x:v>RESULT</x:v>
      </x:c>
      <x:c r="B1408" s="1" t="str">
        <x:v>Round2</x:v>
      </x:c>
      <x:c r="C1408" s="1" t="str">
        <x:v>Jsoup_5</x:v>
      </x:c>
      <x:c r="D1408" s="1" t="str">
        <x:v>NOT_REVEALING</x:v>
      </x:c>
      <x:c r="E1408" s="5" t="n">
        <x:v>0.6453</x:v>
      </x:c>
      <x:c r="F1408" s="4" t="n">
        <x:v>0</x:v>
      </x:c>
      <x:c r="G1408" s="4"/>
      <x:c r="H1408" s="6"/>
      <x:c r="I1408" s="16" t="n">
        <x:v>1</x:v>
      </x:c>
      <x:c r="J1408" t="n">
        <x:v>172</x:v>
      </x:c>
      <x:c r="K1408" s="4" t="n">
        <x:v>111</x:v>
      </x:c>
      <x:c r="L1408" s="4" t="n">
        <x:v>92</x:v>
      </x:c>
      <x:c r="M1408" s="4" t="n">
        <x:v>45</x:v>
      </x:c>
      <x:c r="N1408" s="5" t="n">
        <x:v>0.4891</x:v>
      </x:c>
    </x:row>
    <x:row r="1409" ht="24" customHeight="1">
      <x:c r="A1409" s="1" t="str">
        <x:v>RESULT</x:v>
      </x:c>
      <x:c r="B1409" s="1" t="str">
        <x:v>Round2</x:v>
      </x:c>
      <x:c r="C1409" s="1" t="str">
        <x:v>Jsoup_50</x:v>
      </x:c>
      <x:c r="D1409" s="1" t="str">
        <x:v>INCONCLUSIVE</x:v>
      </x:c>
      <x:c r="E1409" s="5" t="n">
        <x:v>0.9667</x:v>
      </x:c>
      <x:c r="F1409" s="4" t="n">
        <x:v>0</x:v>
      </x:c>
      <x:c r="G1409" s="4" t="n">
        <x:v>20263</x:v>
      </x:c>
      <x:c r="H1409" s="6" t="n">
        <x:v>82.58</x:v>
      </x:c>
      <x:c r="I1409" s="16" t="n">
        <x:v>1</x:v>
      </x:c>
      <x:c r="J1409" t="n">
        <x:v>90</x:v>
      </x:c>
      <x:c r="K1409" s="4" t="n">
        <x:v>87</x:v>
      </x:c>
      <x:c r="L1409" s="4" t="n">
        <x:v>50</x:v>
      </x:c>
      <x:c r="M1409" s="4" t="n">
        <x:v>43</x:v>
      </x:c>
      <x:c r="N1409" s="5" t="n">
        <x:v>0.86</x:v>
      </x:c>
    </x:row>
    <x:row r="1410" ht="24" customHeight="1">
      <x:c r="A1410" s="1" t="str">
        <x:v>RESULT</x:v>
      </x:c>
      <x:c r="B1410" s="1" t="str">
        <x:v>Round2</x:v>
      </x:c>
      <x:c r="C1410" s="1" t="str">
        <x:v>Jsoup_51</x:v>
      </x:c>
      <x:c r="D1410" s="1" t="str">
        <x:v>INCONCLUSIVE</x:v>
      </x:c>
      <x:c r="E1410" s="5" t="n">
        <x:v>0.9641</x:v>
      </x:c>
      <x:c r="F1410" s="4" t="n">
        <x:v>0</x:v>
      </x:c>
      <x:c r="G1410" s="4"/>
      <x:c r="H1410" s="6"/>
      <x:c r="I1410" s="16" t="n">
        <x:v>1</x:v>
      </x:c>
      <x:c r="J1410" t="n">
        <x:v>195</x:v>
      </x:c>
      <x:c r="K1410" s="4" t="n">
        <x:v>188</x:v>
      </x:c>
      <x:c r="L1410" s="4" t="n">
        <x:v>186</x:v>
      </x:c>
      <x:c r="M1410" s="4" t="n">
        <x:v>149</x:v>
      </x:c>
      <x:c r="N1410" s="5" t="n">
        <x:v>0.8011</x:v>
      </x:c>
    </x:row>
    <x:row r="1411" ht="24" customHeight="1">
      <x:c r="A1411" s="1" t="str">
        <x:v>RESULT</x:v>
      </x:c>
      <x:c r="B1411" s="1" t="str">
        <x:v>Round2</x:v>
      </x:c>
      <x:c r="C1411" s="1" t="str">
        <x:v>Jsoup_52</x:v>
      </x:c>
      <x:c r="D1411" s="1" t="str">
        <x:v>NOT_AVAILABLE</x:v>
      </x:c>
      <x:c r="E1411" s="5"/>
      <x:c r="F1411" s="4" t="n">
        <x:v>0</x:v>
      </x:c>
      <x:c r="G1411" s="4" t="n">
        <x:v>29996</x:v>
      </x:c>
      <x:c r="H1411" s="6" t="n">
        <x:v>196.23</x:v>
      </x:c>
      <x:c r="I1411" s="16" t="n">
        <x:v>1</x:v>
      </x:c>
      <x:c r="J1411"/>
      <x:c r="K1411" s="4"/>
      <x:c r="L1411" s="4"/>
      <x:c r="M1411" s="4"/>
      <x:c r="N1411" s="5"/>
    </x:row>
    <x:row r="1412" ht="24" customHeight="1">
      <x:c r="A1412" s="1" t="str">
        <x:v>RESULT</x:v>
      </x:c>
      <x:c r="B1412" s="1" t="str">
        <x:v>Round2</x:v>
      </x:c>
      <x:c r="C1412" s="1" t="str">
        <x:v>Jsoup_53</x:v>
      </x:c>
      <x:c r="D1412" s="1" t="str">
        <x:v>INCONCLUSIVE</x:v>
      </x:c>
      <x:c r="E1412" s="5" t="n">
        <x:v>0.9</x:v>
      </x:c>
      <x:c r="F1412" s="4" t="n">
        <x:v>0</x:v>
      </x:c>
      <x:c r="G1412" s="4"/>
      <x:c r="H1412" s="6"/>
      <x:c r="I1412" s="16" t="n">
        <x:v>1</x:v>
      </x:c>
      <x:c r="J1412" t="n">
        <x:v>130</x:v>
      </x:c>
      <x:c r="K1412" s="4" t="n">
        <x:v>117</x:v>
      </x:c>
      <x:c r="L1412" s="4" t="n">
        <x:v>108</x:v>
      </x:c>
      <x:c r="M1412" s="4" t="n">
        <x:v>88</x:v>
      </x:c>
      <x:c r="N1412" s="5" t="n">
        <x:v>0.8148000000000001</x:v>
      </x:c>
    </x:row>
    <x:row r="1413" ht="24" customHeight="1">
      <x:c r="A1413" s="1" t="str">
        <x:v>RESULT</x:v>
      </x:c>
      <x:c r="B1413" s="1" t="str">
        <x:v>Round2</x:v>
      </x:c>
      <x:c r="C1413" s="1" t="str">
        <x:v>Jsoup_54</x:v>
      </x:c>
      <x:c r="D1413" s="1" t="str">
        <x:v>NOT_AVAILABLE</x:v>
      </x:c>
      <x:c r="E1413" s="5"/>
      <x:c r="F1413" s="4" t="n">
        <x:v>0</x:v>
      </x:c>
      <x:c r="G1413" s="4" t="n">
        <x:v>9219</x:v>
      </x:c>
      <x:c r="H1413" s="6" t="n">
        <x:v>59.92</x:v>
      </x:c>
      <x:c r="I1413" s="16" t="n">
        <x:v>1</x:v>
      </x:c>
      <x:c r="J1413"/>
      <x:c r="K1413" s="4"/>
      <x:c r="L1413" s="4"/>
      <x:c r="M1413" s="4"/>
      <x:c r="N1413" s="5"/>
    </x:row>
    <x:row r="1414" ht="24" customHeight="1">
      <x:c r="A1414" s="1" t="str">
        <x:v>RESULT</x:v>
      </x:c>
      <x:c r="B1414" s="1" t="str">
        <x:v>Round2</x:v>
      </x:c>
      <x:c r="C1414" s="1" t="str">
        <x:v>Jsoup_55</x:v>
      </x:c>
      <x:c r="D1414" s="1" t="str">
        <x:v>NOT_AVAILABLE</x:v>
      </x:c>
      <x:c r="E1414" s="5"/>
      <x:c r="F1414" s="4" t="n">
        <x:v>0</x:v>
      </x:c>
      <x:c r="G1414" s="4" t="n">
        <x:v>40310</x:v>
      </x:c>
      <x:c r="H1414" s="6" t="n">
        <x:v>152.56</x:v>
      </x:c>
      <x:c r="I1414" s="16" t="n">
        <x:v>1</x:v>
      </x:c>
      <x:c r="J1414"/>
      <x:c r="K1414" s="4"/>
      <x:c r="L1414" s="4"/>
      <x:c r="M1414" s="4"/>
      <x:c r="N1414" s="5"/>
    </x:row>
    <x:row r="1415" ht="24" customHeight="1">
      <x:c r="A1415" s="1" t="str">
        <x:v>RESULT</x:v>
      </x:c>
      <x:c r="B1415" s="1" t="str">
        <x:v>Round2</x:v>
      </x:c>
      <x:c r="C1415" s="1" t="str">
        <x:v>Jsoup_56</x:v>
      </x:c>
      <x:c r="D1415" s="1" t="str">
        <x:v>NOT_AVAILABLE</x:v>
      </x:c>
      <x:c r="E1415" s="5"/>
      <x:c r="F1415" s="4" t="n">
        <x:v>0</x:v>
      </x:c>
      <x:c r="G1415" s="4" t="n">
        <x:v>111148</x:v>
      </x:c>
      <x:c r="H1415" s="6" t="n">
        <x:v>449.36</x:v>
      </x:c>
      <x:c r="I1415" s="16" t="n">
        <x:v>1</x:v>
      </x:c>
      <x:c r="J1415"/>
      <x:c r="K1415" s="4"/>
      <x:c r="L1415" s="4"/>
      <x:c r="M1415" s="4"/>
      <x:c r="N1415" s="5"/>
    </x:row>
    <x:row r="1416" ht="24" customHeight="1">
      <x:c r="A1416" s="1" t="str">
        <x:v>RESULT</x:v>
      </x:c>
      <x:c r="B1416" s="1" t="str">
        <x:v>Round2</x:v>
      </x:c>
      <x:c r="C1416" s="1" t="str">
        <x:v>Jsoup_57</x:v>
      </x:c>
      <x:c r="D1416" s="1" t="str">
        <x:v>NOT_REVEALING</x:v>
      </x:c>
      <x:c r="E1416" s="5" t="n">
        <x:v>0.9449</x:v>
      </x:c>
      <x:c r="F1416" s="4" t="n">
        <x:v>0</x:v>
      </x:c>
      <x:c r="G1416" s="4"/>
      <x:c r="H1416" s="6"/>
      <x:c r="I1416" s="16" t="n">
        <x:v>1</x:v>
      </x:c>
      <x:c r="J1416" t="n">
        <x:v>127</x:v>
      </x:c>
      <x:c r="K1416" s="4" t="n">
        <x:v>120</x:v>
      </x:c>
      <x:c r="L1416" s="4" t="n">
        <x:v>76</x:v>
      </x:c>
      <x:c r="M1416" s="4" t="n">
        <x:v>71</x:v>
      </x:c>
      <x:c r="N1416" s="5" t="n">
        <x:v>0.9342</x:v>
      </x:c>
    </x:row>
    <x:row r="1417" ht="24" customHeight="1">
      <x:c r="A1417" s="1" t="str">
        <x:v>RESULT</x:v>
      </x:c>
      <x:c r="B1417" s="1" t="str">
        <x:v>Round2</x:v>
      </x:c>
      <x:c r="C1417" s="1" t="str">
        <x:v>Jsoup_58</x:v>
      </x:c>
      <x:c r="D1417" s="1" t="str">
        <x:v>INCONCLUSIVE</x:v>
      </x:c>
      <x:c r="E1417" s="5" t="n">
        <x:v>0.9684999999999999</x:v>
      </x:c>
      <x:c r="F1417" s="4" t="n">
        <x:v>0</x:v>
      </x:c>
      <x:c r="G1417" s="4"/>
      <x:c r="H1417" s="6"/>
      <x:c r="I1417" s="16" t="n">
        <x:v>1</x:v>
      </x:c>
      <x:c r="J1417" t="n">
        <x:v>127</x:v>
      </x:c>
      <x:c r="K1417" s="4" t="n">
        <x:v>123</x:v>
      </x:c>
      <x:c r="L1417" s="4" t="n">
        <x:v>32</x:v>
      </x:c>
      <x:c r="M1417" s="4" t="n">
        <x:v>32</x:v>
      </x:c>
      <x:c r="N1417" s="5" t="n">
        <x:v>1</x:v>
      </x:c>
    </x:row>
    <x:row r="1418" ht="24" customHeight="1">
      <x:c r="A1418" s="1" t="str">
        <x:v>RESULT</x:v>
      </x:c>
      <x:c r="B1418" s="1" t="str">
        <x:v>Round2</x:v>
      </x:c>
      <x:c r="C1418" s="1" t="str">
        <x:v>Jsoup_59</x:v>
      </x:c>
      <x:c r="D1418" s="1" t="str">
        <x:v>NOT_REVEALING</x:v>
      </x:c>
      <x:c r="E1418" s="5" t="n">
        <x:v>0.9875</x:v>
      </x:c>
      <x:c r="F1418" s="4" t="n">
        <x:v>0</x:v>
      </x:c>
      <x:c r="G1418" s="4" t="n">
        <x:v>30945</x:v>
      </x:c>
      <x:c r="H1418" s="6" t="n">
        <x:v>139.37</x:v>
      </x:c>
      <x:c r="I1418" s="16" t="n">
        <x:v>1</x:v>
      </x:c>
      <x:c r="J1418" t="n">
        <x:v>160</x:v>
      </x:c>
      <x:c r="K1418" s="4" t="n">
        <x:v>158</x:v>
      </x:c>
      <x:c r="L1418" s="4" t="n">
        <x:v>44</x:v>
      </x:c>
      <x:c r="M1418" s="4" t="n">
        <x:v>41</x:v>
      </x:c>
      <x:c r="N1418" s="5" t="n">
        <x:v>0.9318000000000001</x:v>
      </x:c>
    </x:row>
    <x:row r="1419" ht="24" customHeight="1">
      <x:c r="A1419" s="1" t="str">
        <x:v>RESULT</x:v>
      </x:c>
      <x:c r="B1419" s="1" t="str">
        <x:v>Round2</x:v>
      </x:c>
      <x:c r="C1419" s="1" t="str">
        <x:v>Jsoup_6</x:v>
      </x:c>
      <x:c r="D1419" s="1" t="str">
        <x:v>NOT_REVEALING</x:v>
      </x:c>
      <x:c r="E1419" s="5"/>
      <x:c r="F1419" s="4" t="n">
        <x:v>0</x:v>
      </x:c>
      <x:c r="G1419" s="4" t="n">
        <x:v>31526</x:v>
      </x:c>
      <x:c r="H1419" s="6" t="n">
        <x:v>35.23</x:v>
      </x:c>
      <x:c r="I1419" s="16" t="n">
        <x:v>1</x:v>
      </x:c>
      <x:c r="J1419"/>
      <x:c r="K1419" s="4"/>
      <x:c r="L1419" s="4"/>
      <x:c r="M1419" s="4"/>
      <x:c r="N1419" s="5"/>
    </x:row>
    <x:row r="1420" ht="24" customHeight="1">
      <x:c r="A1420" s="1" t="str">
        <x:v>RESULT</x:v>
      </x:c>
      <x:c r="B1420" s="1" t="str">
        <x:v>Round2</x:v>
      </x:c>
      <x:c r="C1420" s="1" t="str">
        <x:v>Jsoup_60</x:v>
      </x:c>
      <x:c r="D1420" s="1" t="str">
        <x:v>INCONCLUSIVE</x:v>
      </x:c>
      <x:c r="E1420" s="5" t="n">
        <x:v>0.7615999999999999</x:v>
      </x:c>
      <x:c r="F1420" s="4" t="n">
        <x:v>0</x:v>
      </x:c>
      <x:c r="G1420" s="4" t="n">
        <x:v>19534</x:v>
      </x:c>
      <x:c r="H1420" s="6" t="n">
        <x:v>88.71</x:v>
      </x:c>
      <x:c r="I1420" s="16" t="n">
        <x:v>1</x:v>
      </x:c>
      <x:c r="J1420" t="n">
        <x:v>365</x:v>
      </x:c>
      <x:c r="K1420" s="4" t="n">
        <x:v>278</x:v>
      </x:c>
      <x:c r="L1420" s="4" t="n">
        <x:v>258</x:v>
      </x:c>
      <x:c r="M1420" s="4" t="n">
        <x:v>182</x:v>
      </x:c>
      <x:c r="N1420" s="5" t="n">
        <x:v>0.7054</x:v>
      </x:c>
    </x:row>
    <x:row r="1421" ht="24" customHeight="1">
      <x:c r="A1421" s="1" t="str">
        <x:v>RESULT</x:v>
      </x:c>
      <x:c r="B1421" s="1" t="str">
        <x:v>Round2</x:v>
      </x:c>
      <x:c r="C1421" s="1" t="str">
        <x:v>Jsoup_61</x:v>
      </x:c>
      <x:c r="D1421" s="1" t="str">
        <x:v>NOT_AVAILABLE</x:v>
      </x:c>
      <x:c r="E1421" s="5"/>
      <x:c r="F1421" s="4" t="n">
        <x:v>0</x:v>
      </x:c>
      <x:c r="G1421" s="4" t="n">
        <x:v>40343</x:v>
      </x:c>
      <x:c r="H1421" s="6" t="n">
        <x:v>174.37</x:v>
      </x:c>
      <x:c r="I1421" s="16" t="n">
        <x:v>1</x:v>
      </x:c>
      <x:c r="J1421"/>
      <x:c r="K1421" s="4"/>
      <x:c r="L1421" s="4"/>
      <x:c r="M1421" s="4"/>
      <x:c r="N1421" s="5"/>
    </x:row>
    <x:row r="1422" ht="24" customHeight="1">
      <x:c r="A1422" s="1" t="str">
        <x:v>RESULT</x:v>
      </x:c>
      <x:c r="B1422" s="1" t="str">
        <x:v>Round2</x:v>
      </x:c>
      <x:c r="C1422" s="1" t="str">
        <x:v>Jsoup_62</x:v>
      </x:c>
      <x:c r="D1422" s="1" t="str">
        <x:v>NOT_AVAILABLE</x:v>
      </x:c>
      <x:c r="E1422" s="5"/>
      <x:c r="F1422" s="4" t="n">
        <x:v>0</x:v>
      </x:c>
      <x:c r="G1422" s="4" t="n">
        <x:v>27854</x:v>
      </x:c>
      <x:c r="H1422" s="6" t="n">
        <x:v>116.47</x:v>
      </x:c>
      <x:c r="I1422" s="16" t="n">
        <x:v>1</x:v>
      </x:c>
      <x:c r="J1422"/>
      <x:c r="K1422" s="4"/>
      <x:c r="L1422" s="4"/>
      <x:c r="M1422" s="4"/>
      <x:c r="N1422" s="5"/>
    </x:row>
    <x:row r="1423" ht="24" customHeight="1">
      <x:c r="A1423" s="1" t="str">
        <x:v>RESULT</x:v>
      </x:c>
      <x:c r="B1423" s="1" t="str">
        <x:v>Round2</x:v>
      </x:c>
      <x:c r="C1423" s="1" t="str">
        <x:v>Jsoup_63</x:v>
      </x:c>
      <x:c r="D1423" s="1" t="str">
        <x:v>NOT_AVAILABLE</x:v>
      </x:c>
      <x:c r="E1423" s="5"/>
      <x:c r="F1423" s="4" t="n">
        <x:v>0</x:v>
      </x:c>
      <x:c r="G1423" s="4" t="n">
        <x:v>69433</x:v>
      </x:c>
      <x:c r="H1423" s="6" t="n">
        <x:v>290.85</x:v>
      </x:c>
      <x:c r="I1423" s="16" t="n">
        <x:v>1</x:v>
      </x:c>
      <x:c r="J1423"/>
      <x:c r="K1423" s="4"/>
      <x:c r="L1423" s="4"/>
      <x:c r="M1423" s="4"/>
      <x:c r="N1423" s="5"/>
    </x:row>
    <x:row r="1424" ht="24" customHeight="1">
      <x:c r="A1424" s="1" t="str">
        <x:v>RESULT</x:v>
      </x:c>
      <x:c r="B1424" s="1" t="str">
        <x:v>Round2</x:v>
      </x:c>
      <x:c r="C1424" s="1" t="str">
        <x:v>Jsoup_64</x:v>
      </x:c>
      <x:c r="D1424" s="1" t="str">
        <x:v>NOT_AVAILABLE</x:v>
      </x:c>
      <x:c r="E1424" s="5"/>
      <x:c r="F1424" s="4" t="n">
        <x:v>0</x:v>
      </x:c>
      <x:c r="G1424" s="4" t="n">
        <x:v>22773</x:v>
      </x:c>
      <x:c r="H1424" s="6" t="n">
        <x:v>88.49</x:v>
      </x:c>
      <x:c r="I1424" s="16" t="n">
        <x:v>1</x:v>
      </x:c>
      <x:c r="J1424"/>
      <x:c r="K1424" s="4"/>
      <x:c r="L1424" s="4"/>
      <x:c r="M1424" s="4"/>
      <x:c r="N1424" s="5"/>
    </x:row>
    <x:row r="1425" ht="24" customHeight="1">
      <x:c r="A1425" s="1" t="str">
        <x:v>RESULT</x:v>
      </x:c>
      <x:c r="B1425" s="1" t="str">
        <x:v>Round2</x:v>
      </x:c>
      <x:c r="C1425" s="1" t="str">
        <x:v>Jsoup_65</x:v>
      </x:c>
      <x:c r="D1425" s="1" t="str">
        <x:v>NOT_AVAILABLE</x:v>
      </x:c>
      <x:c r="E1425" s="5"/>
      <x:c r="F1425" s="4" t="n">
        <x:v>0</x:v>
      </x:c>
      <x:c r="G1425" s="4" t="n">
        <x:v>34979</x:v>
      </x:c>
      <x:c r="H1425" s="6" t="n">
        <x:v>147.19</x:v>
      </x:c>
      <x:c r="I1425" s="16" t="n">
        <x:v>1</x:v>
      </x:c>
      <x:c r="J1425"/>
      <x:c r="K1425" s="4"/>
      <x:c r="L1425" s="4"/>
      <x:c r="M1425" s="4"/>
      <x:c r="N1425" s="5"/>
    </x:row>
    <x:row r="1426" ht="24" customHeight="1">
      <x:c r="A1426" s="1" t="str">
        <x:v>RESULT</x:v>
      </x:c>
      <x:c r="B1426" s="1" t="str">
        <x:v>Round2</x:v>
      </x:c>
      <x:c r="C1426" s="1" t="str">
        <x:v>Jsoup_66</x:v>
      </x:c>
      <x:c r="D1426" s="1" t="str">
        <x:v>NOT_AVAILABLE</x:v>
      </x:c>
      <x:c r="E1426" s="5"/>
      <x:c r="F1426" s="4" t="n">
        <x:v>0</x:v>
      </x:c>
      <x:c r="G1426" s="4" t="n">
        <x:v>11937</x:v>
      </x:c>
      <x:c r="H1426" s="6" t="n">
        <x:v>41.21</x:v>
      </x:c>
      <x:c r="I1426" s="16" t="n">
        <x:v>1</x:v>
      </x:c>
      <x:c r="J1426"/>
      <x:c r="K1426" s="4"/>
      <x:c r="L1426" s="4"/>
      <x:c r="M1426" s="4"/>
      <x:c r="N1426" s="5"/>
    </x:row>
    <x:row r="1427" ht="24" customHeight="1">
      <x:c r="A1427" s="1" t="str">
        <x:v>RESULT</x:v>
      </x:c>
      <x:c r="B1427" s="1" t="str">
        <x:v>Round2</x:v>
      </x:c>
      <x:c r="C1427" s="1" t="str">
        <x:v>Jsoup_67</x:v>
      </x:c>
      <x:c r="D1427" s="1" t="str">
        <x:v>INCONCLUSIVE</x:v>
      </x:c>
      <x:c r="E1427" s="5" t="n">
        <x:v>0.769</x:v>
      </x:c>
      <x:c r="F1427" s="4" t="n">
        <x:v>0</x:v>
      </x:c>
      <x:c r="G1427" s="4" t="n">
        <x:v>64668</x:v>
      </x:c>
      <x:c r="H1427" s="6" t="n">
        <x:v>293.14</x:v>
      </x:c>
      <x:c r="I1427" s="16" t="n">
        <x:v>1</x:v>
      </x:c>
      <x:c r="J1427" t="n">
        <x:v>381</x:v>
      </x:c>
      <x:c r="K1427" s="4" t="n">
        <x:v>293</x:v>
      </x:c>
      <x:c r="L1427" s="4" t="n">
        <x:v>200</x:v>
      </x:c>
      <x:c r="M1427" s="4" t="n">
        <x:v>118</x:v>
      </x:c>
      <x:c r="N1427" s="5" t="n">
        <x:v>0.59</x:v>
      </x:c>
    </x:row>
    <x:row r="1428" ht="24" customHeight="1">
      <x:c r="A1428" s="1" t="str">
        <x:v>RESULT</x:v>
      </x:c>
      <x:c r="B1428" s="1" t="str">
        <x:v>Round2</x:v>
      </x:c>
      <x:c r="C1428" s="1" t="str">
        <x:v>Jsoup_68</x:v>
      </x:c>
      <x:c r="D1428" s="1" t="str">
        <x:v>NOT_AVAILABLE</x:v>
      </x:c>
      <x:c r="E1428" s="5"/>
      <x:c r="F1428" s="4" t="n">
        <x:v>0</x:v>
      </x:c>
      <x:c r="G1428" s="4" t="n">
        <x:v>45094</x:v>
      </x:c>
      <x:c r="H1428" s="6" t="n">
        <x:v>195.72</x:v>
      </x:c>
      <x:c r="I1428" s="16" t="n">
        <x:v>1</x:v>
      </x:c>
      <x:c r="J1428"/>
      <x:c r="K1428" s="4"/>
      <x:c r="L1428" s="4"/>
      <x:c r="M1428" s="4"/>
      <x:c r="N1428" s="5"/>
    </x:row>
    <x:row r="1429" ht="24" customHeight="1">
      <x:c r="A1429" s="1" t="str">
        <x:v>RESULT</x:v>
      </x:c>
      <x:c r="B1429" s="1" t="str">
        <x:v>Round2</x:v>
      </x:c>
      <x:c r="C1429" s="1" t="str">
        <x:v>Jsoup_69</x:v>
      </x:c>
      <x:c r="D1429" s="1" t="str">
        <x:v>INCONCLUSIVE</x:v>
      </x:c>
      <x:c r="E1429" s="5" t="n">
        <x:v>0.9211</x:v>
      </x:c>
      <x:c r="F1429" s="4" t="n">
        <x:v>0</x:v>
      </x:c>
      <x:c r="G1429" s="4"/>
      <x:c r="H1429" s="6"/>
      <x:c r="I1429" s="16" t="n">
        <x:v>1</x:v>
      </x:c>
      <x:c r="J1429" t="n">
        <x:v>38</x:v>
      </x:c>
      <x:c r="K1429" s="4" t="n">
        <x:v>35</x:v>
      </x:c>
      <x:c r="L1429" s="4" t="n">
        <x:v>28</x:v>
      </x:c>
      <x:c r="M1429" s="4" t="n">
        <x:v>24</x:v>
      </x:c>
      <x:c r="N1429" s="5" t="n">
        <x:v>0.8571</x:v>
      </x:c>
    </x:row>
    <x:row r="1430" ht="24" customHeight="1">
      <x:c r="A1430" s="1" t="str">
        <x:v>RESULT</x:v>
      </x:c>
      <x:c r="B1430" s="1" t="str">
        <x:v>Round2</x:v>
      </x:c>
      <x:c r="C1430" s="1" t="str">
        <x:v>Jsoup_7</x:v>
      </x:c>
      <x:c r="D1430" s="1" t="str">
        <x:v>NOT_REVEALING</x:v>
      </x:c>
      <x:c r="E1430" s="5" t="n">
        <x:v>0.9875</x:v>
      </x:c>
      <x:c r="F1430" s="4" t="n">
        <x:v>0</x:v>
      </x:c>
      <x:c r="G1430" s="4" t="n">
        <x:v>27207</x:v>
      </x:c>
      <x:c r="H1430" s="6" t="n">
        <x:v>122.52</x:v>
      </x:c>
      <x:c r="I1430" s="16" t="n">
        <x:v>1</x:v>
      </x:c>
      <x:c r="J1430" t="n">
        <x:v>80</x:v>
      </x:c>
      <x:c r="K1430" s="4" t="n">
        <x:v>79</x:v>
      </x:c>
      <x:c r="L1430" s="4" t="n">
        <x:v>26</x:v>
      </x:c>
      <x:c r="M1430" s="4" t="n">
        <x:v>26</x:v>
      </x:c>
      <x:c r="N1430" s="5" t="n">
        <x:v>1</x:v>
      </x:c>
    </x:row>
    <x:row r="1431" ht="24" customHeight="1">
      <x:c r="A1431" s="1" t="str">
        <x:v>RESULT</x:v>
      </x:c>
      <x:c r="B1431" s="1" t="str">
        <x:v>Round2</x:v>
      </x:c>
      <x:c r="C1431" s="1" t="str">
        <x:v>Jsoup_70</x:v>
      </x:c>
      <x:c r="D1431" s="1" t="str">
        <x:v>NOT_AVAILABLE</x:v>
      </x:c>
      <x:c r="E1431" s="5"/>
      <x:c r="F1431" s="4" t="n">
        <x:v>0</x:v>
      </x:c>
      <x:c r="G1431" s="4" t="n">
        <x:v>10960</x:v>
      </x:c>
      <x:c r="H1431" s="6" t="n">
        <x:v>32.96</x:v>
      </x:c>
      <x:c r="I1431" s="16" t="n">
        <x:v>1</x:v>
      </x:c>
      <x:c r="J1431"/>
      <x:c r="K1431" s="4"/>
      <x:c r="L1431" s="4"/>
      <x:c r="M1431" s="4"/>
      <x:c r="N1431" s="5"/>
    </x:row>
    <x:row r="1432" ht="24" customHeight="1">
      <x:c r="A1432" s="1" t="str">
        <x:v>RESULT</x:v>
      </x:c>
      <x:c r="B1432" s="1" t="str">
        <x:v>Round2</x:v>
      </x:c>
      <x:c r="C1432" s="1" t="str">
        <x:v>Jsoup_71</x:v>
      </x:c>
      <x:c r="D1432" s="1" t="str">
        <x:v>INCONCLUSIVE</x:v>
      </x:c>
      <x:c r="E1432" s="5" t="n">
        <x:v>0.7070000000000001</x:v>
      </x:c>
      <x:c r="F1432" s="4" t="n">
        <x:v>0</x:v>
      </x:c>
      <x:c r="G1432" s="4" t="n">
        <x:v>34117</x:v>
      </x:c>
      <x:c r="H1432" s="6" t="n">
        <x:v>156.64</x:v>
      </x:c>
      <x:c r="I1432" s="16" t="n">
        <x:v>1</x:v>
      </x:c>
      <x:c r="J1432" t="n">
        <x:v>430</x:v>
      </x:c>
      <x:c r="K1432" s="4" t="n">
        <x:v>304</x:v>
      </x:c>
      <x:c r="L1432" s="4" t="n">
        <x:v>248</x:v>
      </x:c>
      <x:c r="M1432" s="4" t="n">
        <x:v>156</x:v>
      </x:c>
      <x:c r="N1432" s="5" t="n">
        <x:v>0.629</x:v>
      </x:c>
    </x:row>
    <x:row r="1433" ht="24" customHeight="1">
      <x:c r="A1433" s="1" t="str">
        <x:v>RESULT</x:v>
      </x:c>
      <x:c r="B1433" s="1" t="str">
        <x:v>Round2</x:v>
      </x:c>
      <x:c r="C1433" s="1" t="str">
        <x:v>Jsoup_72</x:v>
      </x:c>
      <x:c r="D1433" s="1" t="str">
        <x:v>INCONCLUSIVE</x:v>
      </x:c>
      <x:c r="E1433" s="5" t="n">
        <x:v>0.9473999999999999</x:v>
      </x:c>
      <x:c r="F1433" s="4" t="n">
        <x:v>0</x:v>
      </x:c>
      <x:c r="G1433" s="4"/>
      <x:c r="H1433" s="6"/>
      <x:c r="I1433" s="16" t="n">
        <x:v>1</x:v>
      </x:c>
      <x:c r="J1433" t="n">
        <x:v>228</x:v>
      </x:c>
      <x:c r="K1433" s="4" t="n">
        <x:v>216</x:v>
      </x:c>
      <x:c r="L1433" s="4" t="n">
        <x:v>198</x:v>
      </x:c>
      <x:c r="M1433" s="4" t="n">
        <x:v>159</x:v>
      </x:c>
      <x:c r="N1433" s="5" t="n">
        <x:v>0.8029999999999999</x:v>
      </x:c>
    </x:row>
    <x:row r="1434" ht="24" customHeight="1">
      <x:c r="A1434" s="1" t="str">
        <x:v>RESULT</x:v>
      </x:c>
      <x:c r="B1434" s="1" t="str">
        <x:v>Round2</x:v>
      </x:c>
      <x:c r="C1434" s="1" t="str">
        <x:v>Jsoup_73</x:v>
      </x:c>
      <x:c r="D1434" s="1" t="str">
        <x:v>NOT_REVEALING</x:v>
      </x:c>
      <x:c r="E1434" s="5" t="n">
        <x:v>0.9155</x:v>
      </x:c>
      <x:c r="F1434" s="4" t="n">
        <x:v>0</x:v>
      </x:c>
      <x:c r="G1434" s="4" t="n">
        <x:v>5803</x:v>
      </x:c>
      <x:c r="H1434" s="6" t="n">
        <x:v>24.85</x:v>
      </x:c>
      <x:c r="I1434" s="16" t="n">
        <x:v>1</x:v>
      </x:c>
      <x:c r="J1434" t="n">
        <x:v>71</x:v>
      </x:c>
      <x:c r="K1434" s="4" t="n">
        <x:v>65</x:v>
      </x:c>
      <x:c r="L1434" s="4" t="n">
        <x:v>28</x:v>
      </x:c>
      <x:c r="M1434" s="4" t="n">
        <x:v>24</x:v>
      </x:c>
      <x:c r="N1434" s="5" t="n">
        <x:v>0.8571</x:v>
      </x:c>
    </x:row>
    <x:row r="1435" ht="24" customHeight="1">
      <x:c r="A1435" s="1" t="str">
        <x:v>RESULT</x:v>
      </x:c>
      <x:c r="B1435" s="1" t="str">
        <x:v>Round2</x:v>
      </x:c>
      <x:c r="C1435" s="1" t="str">
        <x:v>Jsoup_74</x:v>
      </x:c>
      <x:c r="D1435" s="1" t="str">
        <x:v>INCONCLUSIVE</x:v>
      </x:c>
      <x:c r="E1435" s="5" t="n">
        <x:v>0.9157</x:v>
      </x:c>
      <x:c r="F1435" s="4" t="n">
        <x:v>0</x:v>
      </x:c>
      <x:c r="G1435" s="4"/>
      <x:c r="H1435" s="6"/>
      <x:c r="I1435" s="16" t="n">
        <x:v>1</x:v>
      </x:c>
      <x:c r="J1435" t="n">
        <x:v>83</x:v>
      </x:c>
      <x:c r="K1435" s="4" t="n">
        <x:v>76</x:v>
      </x:c>
      <x:c r="L1435" s="4" t="n">
        <x:v>74</x:v>
      </x:c>
      <x:c r="M1435" s="4" t="n">
        <x:v>67</x:v>
      </x:c>
      <x:c r="N1435" s="5" t="n">
        <x:v>0.9054000000000001</x:v>
      </x:c>
    </x:row>
    <x:row r="1436" ht="24" customHeight="1">
      <x:c r="A1436" s="1" t="str">
        <x:v>RESULT</x:v>
      </x:c>
      <x:c r="B1436" s="1" t="str">
        <x:v>Round2</x:v>
      </x:c>
      <x:c r="C1436" s="1" t="str">
        <x:v>Jsoup_75</x:v>
      </x:c>
      <x:c r="D1436" s="1" t="str">
        <x:v>INCONCLUSIVE</x:v>
      </x:c>
      <x:c r="E1436" s="5" t="n">
        <x:v>0.9699</x:v>
      </x:c>
      <x:c r="F1436" s="4" t="n">
        <x:v>0</x:v>
      </x:c>
      <x:c r="G1436" s="4"/>
      <x:c r="H1436" s="6"/>
      <x:c r="I1436" s="16" t="n">
        <x:v>1</x:v>
      </x:c>
      <x:c r="J1436" t="n">
        <x:v>166</x:v>
      </x:c>
      <x:c r="K1436" s="4" t="n">
        <x:v>161</x:v>
      </x:c>
      <x:c r="L1436" s="4" t="n">
        <x:v>84</x:v>
      </x:c>
      <x:c r="M1436" s="4" t="n">
        <x:v>75</x:v>
      </x:c>
      <x:c r="N1436" s="5" t="n">
        <x:v>0.8929</x:v>
      </x:c>
    </x:row>
    <x:row r="1437" ht="24" customHeight="1">
      <x:c r="A1437" s="1" t="str">
        <x:v>RESULT</x:v>
      </x:c>
      <x:c r="B1437" s="1" t="str">
        <x:v>Round2</x:v>
      </x:c>
      <x:c r="C1437" s="1" t="str">
        <x:v>Jsoup_76</x:v>
      </x:c>
      <x:c r="D1437" s="1" t="str">
        <x:v>NOT_AVAILABLE</x:v>
      </x:c>
      <x:c r="E1437" s="5"/>
      <x:c r="F1437" s="4" t="n">
        <x:v>0</x:v>
      </x:c>
      <x:c r="G1437" s="4" t="n">
        <x:v>20479</x:v>
      </x:c>
      <x:c r="H1437" s="6" t="n">
        <x:v>66.03</x:v>
      </x:c>
      <x:c r="I1437" s="16" t="n">
        <x:v>1</x:v>
      </x:c>
      <x:c r="J1437"/>
      <x:c r="K1437" s="4"/>
      <x:c r="L1437" s="4"/>
      <x:c r="M1437" s="4"/>
      <x:c r="N1437" s="5"/>
    </x:row>
    <x:row r="1438" ht="24" customHeight="1">
      <x:c r="A1438" s="1" t="str">
        <x:v>RESULT</x:v>
      </x:c>
      <x:c r="B1438" s="1" t="str">
        <x:v>Round2</x:v>
      </x:c>
      <x:c r="C1438" s="1" t="str">
        <x:v>Jsoup_77</x:v>
      </x:c>
      <x:c r="D1438" s="1" t="str">
        <x:v>NOT_REVEALING</x:v>
      </x:c>
      <x:c r="E1438" s="5" t="n">
        <x:v>0.9854999999999999</x:v>
      </x:c>
      <x:c r="F1438" s="4" t="n">
        <x:v>0</x:v>
      </x:c>
      <x:c r="G1438" s="4" t="n">
        <x:v>25820</x:v>
      </x:c>
      <x:c r="H1438" s="6" t="n">
        <x:v>978.68</x:v>
      </x:c>
      <x:c r="I1438" s="16" t="n">
        <x:v>1</x:v>
      </x:c>
      <x:c r="J1438" t="n">
        <x:v>69</x:v>
      </x:c>
      <x:c r="K1438" s="4" t="n">
        <x:v>68</x:v>
      </x:c>
      <x:c r="L1438" s="4" t="n">
        <x:v>31</x:v>
      </x:c>
      <x:c r="M1438" s="4" t="n">
        <x:v>26</x:v>
      </x:c>
      <x:c r="N1438" s="5" t="n">
        <x:v>0.8387</x:v>
      </x:c>
    </x:row>
    <x:row r="1439" ht="24" customHeight="1">
      <x:c r="A1439" s="1" t="str">
        <x:v>RESULT</x:v>
      </x:c>
      <x:c r="B1439" s="1" t="str">
        <x:v>Round2</x:v>
      </x:c>
      <x:c r="C1439" s="1" t="str">
        <x:v>Jsoup_78</x:v>
      </x:c>
      <x:c r="D1439" s="1" t="str">
        <x:v>INCONCLUSIVE</x:v>
      </x:c>
      <x:c r="E1439" s="5" t="n">
        <x:v>0.7523000000000001</x:v>
      </x:c>
      <x:c r="F1439" s="4" t="n">
        <x:v>0</x:v>
      </x:c>
      <x:c r="G1439" s="4"/>
      <x:c r="H1439" s="6"/>
      <x:c r="I1439" s="16" t="n">
        <x:v>1</x:v>
      </x:c>
      <x:c r="J1439" t="n">
        <x:v>109</x:v>
      </x:c>
      <x:c r="K1439" s="4" t="n">
        <x:v>82</x:v>
      </x:c>
      <x:c r="L1439" s="4" t="n">
        <x:v>88</x:v>
      </x:c>
      <x:c r="M1439" s="4" t="n">
        <x:v>38</x:v>
      </x:c>
      <x:c r="N1439" s="5" t="n">
        <x:v>0.4318</x:v>
      </x:c>
    </x:row>
    <x:row r="1440" ht="24" customHeight="1">
      <x:c r="A1440" s="1" t="str">
        <x:v>RESULT</x:v>
      </x:c>
      <x:c r="B1440" s="1" t="str">
        <x:v>Round2</x:v>
      </x:c>
      <x:c r="C1440" s="1" t="str">
        <x:v>Jsoup_79</x:v>
      </x:c>
      <x:c r="D1440" s="1" t="str">
        <x:v>NOT_AVAILABLE</x:v>
      </x:c>
      <x:c r="E1440" s="5"/>
      <x:c r="F1440" s="4" t="n">
        <x:v>0</x:v>
      </x:c>
      <x:c r="G1440" s="4" t="n">
        <x:v>28047</x:v>
      </x:c>
      <x:c r="H1440" s="6" t="n">
        <x:v>604.04</x:v>
      </x:c>
      <x:c r="I1440" s="16" t="n">
        <x:v>1</x:v>
      </x:c>
      <x:c r="J1440"/>
      <x:c r="K1440" s="4"/>
      <x:c r="L1440" s="4"/>
      <x:c r="M1440" s="4"/>
      <x:c r="N1440" s="5"/>
    </x:row>
    <x:row r="1441" ht="24" customHeight="1">
      <x:c r="A1441" s="1" t="str">
        <x:v>RESULT</x:v>
      </x:c>
      <x:c r="B1441" s="1" t="str">
        <x:v>Round2</x:v>
      </x:c>
      <x:c r="C1441" s="1" t="str">
        <x:v>Jsoup_8</x:v>
      </x:c>
      <x:c r="D1441" s="1" t="str">
        <x:v>INCONCLUSIVE</x:v>
      </x:c>
      <x:c r="E1441" s="5" t="n">
        <x:v>0.8776999999999999</x:v>
      </x:c>
      <x:c r="F1441" s="4" t="n">
        <x:v>0</x:v>
      </x:c>
      <x:c r="G1441" s="4" t="n">
        <x:v>9891</x:v>
      </x:c>
      <x:c r="H1441" s="6" t="n">
        <x:v>48.53</x:v>
      </x:c>
      <x:c r="I1441" s="16" t="n">
        <x:v>1</x:v>
      </x:c>
      <x:c r="J1441" t="n">
        <x:v>139</x:v>
      </x:c>
      <x:c r="K1441" s="4" t="n">
        <x:v>122</x:v>
      </x:c>
      <x:c r="L1441" s="4" t="n">
        <x:v>40</x:v>
      </x:c>
      <x:c r="M1441" s="4" t="n">
        <x:v>29</x:v>
      </x:c>
      <x:c r="N1441" s="5" t="n">
        <x:v>0.725</x:v>
      </x:c>
    </x:row>
    <x:row r="1442" ht="24" customHeight="1">
      <x:c r="A1442" s="1" t="str">
        <x:v>RESULT</x:v>
      </x:c>
      <x:c r="B1442" s="1" t="str">
        <x:v>Round2</x:v>
      </x:c>
      <x:c r="C1442" s="1" t="str">
        <x:v>Jsoup_80</x:v>
      </x:c>
      <x:c r="D1442" s="1" t="str">
        <x:v>NOT_AVAILABLE</x:v>
      </x:c>
      <x:c r="E1442" s="5"/>
      <x:c r="F1442" s="4" t="n">
        <x:v>0</x:v>
      </x:c>
      <x:c r="G1442" s="4" t="n">
        <x:v>6297</x:v>
      </x:c>
      <x:c r="H1442" s="6" t="n">
        <x:v>34.1</x:v>
      </x:c>
      <x:c r="I1442" s="16" t="n">
        <x:v>1</x:v>
      </x:c>
      <x:c r="J1442"/>
      <x:c r="K1442" s="4"/>
      <x:c r="L1442" s="4"/>
      <x:c r="M1442" s="4"/>
      <x:c r="N1442" s="5"/>
    </x:row>
    <x:row r="1443" ht="24" customHeight="1">
      <x:c r="A1443" s="1" t="str">
        <x:v>RESULT</x:v>
      </x:c>
      <x:c r="B1443" s="1" t="str">
        <x:v>Round2</x:v>
      </x:c>
      <x:c r="C1443" s="1" t="str">
        <x:v>Jsoup_81</x:v>
      </x:c>
      <x:c r="D1443" s="1" t="str">
        <x:v>NOT_REVEALING</x:v>
      </x:c>
      <x:c r="E1443" s="5" t="n">
        <x:v>0.8889</x:v>
      </x:c>
      <x:c r="F1443" s="4" t="n">
        <x:v>0</x:v>
      </x:c>
      <x:c r="G1443" s="4" t="n">
        <x:v>8011</x:v>
      </x:c>
      <x:c r="H1443" s="6" t="n">
        <x:v>32.27</x:v>
      </x:c>
      <x:c r="I1443" s="16" t="n">
        <x:v>1</x:v>
      </x:c>
      <x:c r="J1443" t="n">
        <x:v>117</x:v>
      </x:c>
      <x:c r="K1443" s="4" t="n">
        <x:v>104</x:v>
      </x:c>
      <x:c r="L1443" s="4" t="n">
        <x:v>94</x:v>
      </x:c>
      <x:c r="M1443" s="4" t="n">
        <x:v>54</x:v>
      </x:c>
      <x:c r="N1443" s="5" t="n">
        <x:v>0.5745</x:v>
      </x:c>
    </x:row>
    <x:row r="1444" ht="24" customHeight="1">
      <x:c r="A1444" s="1" t="str">
        <x:v>RESULT</x:v>
      </x:c>
      <x:c r="B1444" s="1" t="str">
        <x:v>Round2</x:v>
      </x:c>
      <x:c r="C1444" s="1" t="str">
        <x:v>Jsoup_82</x:v>
      </x:c>
      <x:c r="D1444" s="1" t="str">
        <x:v>INCONCLUSIVE</x:v>
      </x:c>
      <x:c r="E1444" s="5" t="n">
        <x:v>0.7965000000000001</x:v>
      </x:c>
      <x:c r="F1444" s="4" t="n">
        <x:v>0</x:v>
      </x:c>
      <x:c r="G1444" s="4"/>
      <x:c r="H1444" s="6"/>
      <x:c r="I1444" s="16" t="n">
        <x:v>1</x:v>
      </x:c>
      <x:c r="J1444" t="n">
        <x:v>113</x:v>
      </x:c>
      <x:c r="K1444" s="4" t="n">
        <x:v>90</x:v>
      </x:c>
      <x:c r="L1444" s="4" t="n">
        <x:v>96</x:v>
      </x:c>
      <x:c r="M1444" s="4" t="n">
        <x:v>44</x:v>
      </x:c>
      <x:c r="N1444" s="5" t="n">
        <x:v>0.4583</x:v>
      </x:c>
    </x:row>
    <x:row r="1445" ht="24" customHeight="1">
      <x:c r="A1445" s="1" t="str">
        <x:v>RESULT</x:v>
      </x:c>
      <x:c r="B1445" s="1" t="str">
        <x:v>Round2</x:v>
      </x:c>
      <x:c r="C1445" s="1" t="str">
        <x:v>Jsoup_83</x:v>
      </x:c>
      <x:c r="D1445" s="1" t="str">
        <x:v>NOT_AVAILABLE</x:v>
      </x:c>
      <x:c r="E1445" s="5"/>
      <x:c r="F1445" s="4" t="n">
        <x:v>0</x:v>
      </x:c>
      <x:c r="G1445" s="4" t="n">
        <x:v>48767</x:v>
      </x:c>
      <x:c r="H1445" s="6" t="n">
        <x:v>1204.07</x:v>
      </x:c>
      <x:c r="I1445" s="16" t="n">
        <x:v>1</x:v>
      </x:c>
      <x:c r="J1445"/>
      <x:c r="K1445" s="4"/>
      <x:c r="L1445" s="4"/>
      <x:c r="M1445" s="4"/>
      <x:c r="N1445" s="5"/>
    </x:row>
    <x:row r="1446" ht="24" customHeight="1">
      <x:c r="A1446" s="1" t="str">
        <x:v>RESULT</x:v>
      </x:c>
      <x:c r="B1446" s="1" t="str">
        <x:v>Round2</x:v>
      </x:c>
      <x:c r="C1446" s="1" t="str">
        <x:v>Jsoup_84</x:v>
      </x:c>
      <x:c r="D1446" s="1" t="str">
        <x:v>NOT_REVEALING</x:v>
      </x:c>
      <x:c r="E1446" s="5" t="n">
        <x:v>0.9342</x:v>
      </x:c>
      <x:c r="F1446" s="4" t="n">
        <x:v>0</x:v>
      </x:c>
      <x:c r="G1446" s="4" t="n">
        <x:v>17143</x:v>
      </x:c>
      <x:c r="H1446" s="6" t="n">
        <x:v>74.45</x:v>
      </x:c>
      <x:c r="I1446" s="16" t="n">
        <x:v>1</x:v>
      </x:c>
      <x:c r="J1446" t="n">
        <x:v>76</x:v>
      </x:c>
      <x:c r="K1446" s="4" t="n">
        <x:v>71</x:v>
      </x:c>
      <x:c r="L1446" s="4" t="n">
        <x:v>28</x:v>
      </x:c>
      <x:c r="M1446" s="4" t="n">
        <x:v>25</x:v>
      </x:c>
      <x:c r="N1446" s="5" t="n">
        <x:v>0.8929</x:v>
      </x:c>
    </x:row>
    <x:row r="1447" ht="24" customHeight="1">
      <x:c r="A1447" s="1" t="str">
        <x:v>RESULT</x:v>
      </x:c>
      <x:c r="B1447" s="1" t="str">
        <x:v>Round2</x:v>
      </x:c>
      <x:c r="C1447" s="1" t="str">
        <x:v>Jsoup_85</x:v>
      </x:c>
      <x:c r="D1447" s="1" t="str">
        <x:v>INCONCLUSIVE</x:v>
      </x:c>
      <x:c r="E1447" s="5" t="n">
        <x:v>0.9077</x:v>
      </x:c>
      <x:c r="F1447" s="4" t="n">
        <x:v>0</x:v>
      </x:c>
      <x:c r="G1447" s="4"/>
      <x:c r="H1447" s="6"/>
      <x:c r="I1447" s="16" t="n">
        <x:v>1</x:v>
      </x:c>
      <x:c r="J1447" t="n">
        <x:v>65</x:v>
      </x:c>
      <x:c r="K1447" s="4" t="n">
        <x:v>59</x:v>
      </x:c>
      <x:c r="L1447" s="4" t="n">
        <x:v>50</x:v>
      </x:c>
      <x:c r="M1447" s="4" t="n">
        <x:v>37</x:v>
      </x:c>
      <x:c r="N1447" s="5" t="n">
        <x:v>0.74</x:v>
      </x:c>
    </x:row>
    <x:row r="1448" ht="24" customHeight="1">
      <x:c r="A1448" s="1" t="str">
        <x:v>RESULT</x:v>
      </x:c>
      <x:c r="B1448" s="1" t="str">
        <x:v>Round2</x:v>
      </x:c>
      <x:c r="C1448" s="1" t="str">
        <x:v>Jsoup_86</x:v>
      </x:c>
      <x:c r="D1448" s="1" t="str">
        <x:v>INCONCLUSIVE</x:v>
      </x:c>
      <x:c r="E1448" s="5" t="n">
        <x:v>0.9259000000000001</x:v>
      </x:c>
      <x:c r="F1448" s="4" t="n">
        <x:v>0</x:v>
      </x:c>
      <x:c r="G1448" s="4"/>
      <x:c r="H1448" s="6"/>
      <x:c r="I1448" s="16" t="n">
        <x:v>1</x:v>
      </x:c>
      <x:c r="J1448" t="n">
        <x:v>27</x:v>
      </x:c>
      <x:c r="K1448" s="4" t="n">
        <x:v>25</x:v>
      </x:c>
      <x:c r="L1448" s="4" t="n">
        <x:v>10</x:v>
      </x:c>
      <x:c r="M1448" s="4" t="n">
        <x:v>8</x:v>
      </x:c>
      <x:c r="N1448" s="5" t="n">
        <x:v>0.8</x:v>
      </x:c>
    </x:row>
    <x:row r="1449" ht="24" customHeight="1">
      <x:c r="A1449" s="1" t="str">
        <x:v>RESULT</x:v>
      </x:c>
      <x:c r="B1449" s="1" t="str">
        <x:v>Round2</x:v>
      </x:c>
      <x:c r="C1449" s="1" t="str">
        <x:v>Jsoup_87</x:v>
      </x:c>
      <x:c r="D1449" s="1" t="str">
        <x:v>NOT_AVAILABLE</x:v>
      </x:c>
      <x:c r="E1449" s="5"/>
      <x:c r="F1449" s="4" t="n">
        <x:v>0</x:v>
      </x:c>
      <x:c r="G1449" s="4" t="n">
        <x:v>113459</x:v>
      </x:c>
      <x:c r="H1449" s="6" t="n">
        <x:v>510.89</x:v>
      </x:c>
      <x:c r="I1449" s="16" t="n">
        <x:v>1</x:v>
      </x:c>
      <x:c r="J1449"/>
      <x:c r="K1449" s="4"/>
      <x:c r="L1449" s="4"/>
      <x:c r="M1449" s="4"/>
      <x:c r="N1449" s="5"/>
    </x:row>
    <x:row r="1450" ht="24" customHeight="1">
      <x:c r="A1450" s="1" t="str">
        <x:v>RESULT</x:v>
      </x:c>
      <x:c r="B1450" s="1" t="str">
        <x:v>Round2</x:v>
      </x:c>
      <x:c r="C1450" s="1" t="str">
        <x:v>Jsoup_88</x:v>
      </x:c>
      <x:c r="D1450" s="1" t="str">
        <x:v>NOT_REVEALING</x:v>
      </x:c>
      <x:c r="E1450" s="5" t="n">
        <x:v>0.8787999999999999</x:v>
      </x:c>
      <x:c r="F1450" s="4" t="n">
        <x:v>0</x:v>
      </x:c>
      <x:c r="G1450" s="4"/>
      <x:c r="H1450" s="6"/>
      <x:c r="I1450" s="16" t="n">
        <x:v>1</x:v>
      </x:c>
      <x:c r="J1450" t="n">
        <x:v>66</x:v>
      </x:c>
      <x:c r="K1450" s="4" t="n">
        <x:v>58</x:v>
      </x:c>
      <x:c r="L1450" s="4" t="n">
        <x:v>50</x:v>
      </x:c>
      <x:c r="M1450" s="4" t="n">
        <x:v>36</x:v>
      </x:c>
      <x:c r="N1450" s="5" t="n">
        <x:v>0.72</x:v>
      </x:c>
    </x:row>
    <x:row r="1451" ht="24" customHeight="1">
      <x:c r="A1451" s="1" t="str">
        <x:v>RESULT</x:v>
      </x:c>
      <x:c r="B1451" s="1" t="str">
        <x:v>Round2</x:v>
      </x:c>
      <x:c r="C1451" s="1" t="str">
        <x:v>Jsoup_89</x:v>
      </x:c>
      <x:c r="D1451" s="1" t="str">
        <x:v>INCONCLUSIVE</x:v>
      </x:c>
      <x:c r="E1451" s="5" t="n">
        <x:v>0.8939</x:v>
      </x:c>
      <x:c r="F1451" s="4" t="n">
        <x:v>0</x:v>
      </x:c>
      <x:c r="G1451" s="4"/>
      <x:c r="H1451" s="6"/>
      <x:c r="I1451" s="16" t="n">
        <x:v>1</x:v>
      </x:c>
      <x:c r="J1451" t="n">
        <x:v>66</x:v>
      </x:c>
      <x:c r="K1451" s="4" t="n">
        <x:v>59</x:v>
      </x:c>
      <x:c r="L1451" s="4" t="n">
        <x:v>50</x:v>
      </x:c>
      <x:c r="M1451" s="4" t="n">
        <x:v>38</x:v>
      </x:c>
      <x:c r="N1451" s="5" t="n">
        <x:v>0.76</x:v>
      </x:c>
    </x:row>
    <x:row r="1452" ht="24" customHeight="1">
      <x:c r="A1452" s="1" t="str">
        <x:v>RESULT</x:v>
      </x:c>
      <x:c r="B1452" s="1" t="str">
        <x:v>Round2</x:v>
      </x:c>
      <x:c r="C1452" s="1" t="str">
        <x:v>Jsoup_9</x:v>
      </x:c>
      <x:c r="D1452" s="1" t="str">
        <x:v>NOT_REVEALING</x:v>
      </x:c>
      <x:c r="E1452" s="5"/>
      <x:c r="F1452" s="4" t="n">
        <x:v>0</x:v>
      </x:c>
      <x:c r="G1452" s="4"/>
      <x:c r="H1452" s="6"/>
      <x:c r="I1452" s="16" t="n">
        <x:v>1</x:v>
      </x:c>
      <x:c r="J1452"/>
      <x:c r="K1452" s="4"/>
      <x:c r="L1452" s="4"/>
      <x:c r="M1452" s="4"/>
      <x:c r="N1452" s="5"/>
    </x:row>
    <x:row r="1453" ht="24" customHeight="1">
      <x:c r="A1453" s="1" t="str">
        <x:v>RESULT</x:v>
      </x:c>
      <x:c r="B1453" s="1" t="str">
        <x:v>Round2</x:v>
      </x:c>
      <x:c r="C1453" s="1" t="str">
        <x:v>Jsoup_90</x:v>
      </x:c>
      <x:c r="D1453" s="1" t="str">
        <x:v>NOT_AVAILABLE</x:v>
      </x:c>
      <x:c r="E1453" s="5"/>
      <x:c r="F1453" s="4" t="n">
        <x:v>0</x:v>
      </x:c>
      <x:c r="G1453" s="4" t="n">
        <x:v>17422</x:v>
      </x:c>
      <x:c r="H1453" s="6" t="n">
        <x:v>68</x:v>
      </x:c>
      <x:c r="I1453" s="16" t="n">
        <x:v>1</x:v>
      </x:c>
      <x:c r="J1453"/>
      <x:c r="K1453" s="4"/>
      <x:c r="L1453" s="4"/>
      <x:c r="M1453" s="4"/>
      <x:c r="N1453" s="5"/>
    </x:row>
    <x:row r="1454" ht="24" customHeight="1">
      <x:c r="A1454" s="1" t="str">
        <x:v>RESULT</x:v>
      </x:c>
      <x:c r="B1454" s="1" t="str">
        <x:v>Round2</x:v>
      </x:c>
      <x:c r="C1454" s="1" t="str">
        <x:v>Jsoup_91</x:v>
      </x:c>
      <x:c r="D1454" s="1" t="str">
        <x:v>NOT_AVAILABLE</x:v>
      </x:c>
      <x:c r="E1454" s="5"/>
      <x:c r="F1454" s="4" t="n">
        <x:v>0</x:v>
      </x:c>
      <x:c r="G1454" s="4" t="n">
        <x:v>12273</x:v>
      </x:c>
      <x:c r="H1454" s="6" t="n">
        <x:v>57.91</x:v>
      </x:c>
      <x:c r="I1454" s="16" t="n">
        <x:v>1</x:v>
      </x:c>
      <x:c r="J1454"/>
      <x:c r="K1454" s="4"/>
      <x:c r="L1454" s="4"/>
      <x:c r="M1454" s="4"/>
      <x:c r="N1454" s="5"/>
    </x:row>
    <x:row r="1455" ht="24" customHeight="1">
      <x:c r="A1455" s="1" t="str">
        <x:v>RESULT</x:v>
      </x:c>
      <x:c r="B1455" s="1" t="str">
        <x:v>Round2</x:v>
      </x:c>
      <x:c r="C1455" s="1" t="str">
        <x:v>Jsoup_92</x:v>
      </x:c>
      <x:c r="D1455" s="1" t="str">
        <x:v>NOT_AVAILABLE</x:v>
      </x:c>
      <x:c r="E1455" s="5"/>
      <x:c r="F1455" s="4" t="n">
        <x:v>0</x:v>
      </x:c>
      <x:c r="G1455" s="4" t="n">
        <x:v>98057</x:v>
      </x:c>
      <x:c r="H1455" s="6" t="n">
        <x:v>443.33</x:v>
      </x:c>
      <x:c r="I1455" s="16" t="n">
        <x:v>1</x:v>
      </x:c>
      <x:c r="J1455"/>
      <x:c r="K1455" s="4"/>
      <x:c r="L1455" s="4"/>
      <x:c r="M1455" s="4"/>
      <x:c r="N1455" s="5"/>
    </x:row>
    <x:row r="1456" ht="24" customHeight="1">
      <x:c r="A1456" s="1" t="str">
        <x:v>RESULT</x:v>
      </x:c>
      <x:c r="B1456" s="1" t="str">
        <x:v>Round2</x:v>
      </x:c>
      <x:c r="C1456" s="1" t="str">
        <x:v>Jsoup_93</x:v>
      </x:c>
      <x:c r="D1456" s="1" t="str">
        <x:v>NOT_REVEALING</x:v>
      </x:c>
      <x:c r="E1456" s="5" t="n">
        <x:v>0.9268000000000001</x:v>
      </x:c>
      <x:c r="F1456" s="4" t="n">
        <x:v>0</x:v>
      </x:c>
      <x:c r="G1456" s="4" t="n">
        <x:v>37674</x:v>
      </x:c>
      <x:c r="H1456" s="6" t="n">
        <x:v>181.9</x:v>
      </x:c>
      <x:c r="I1456" s="16" t="n">
        <x:v>1</x:v>
      </x:c>
      <x:c r="J1456" t="n">
        <x:v>41</x:v>
      </x:c>
      <x:c r="K1456" s="4" t="n">
        <x:v>38</x:v>
      </x:c>
      <x:c r="L1456" s="4" t="n">
        <x:v>28</x:v>
      </x:c>
      <x:c r="M1456" s="4" t="n">
        <x:v>28</x:v>
      </x:c>
      <x:c r="N1456" s="5" t="n">
        <x:v>1</x:v>
      </x:c>
    </x:row>
    <x:row r="1457" ht="24" customHeight="1">
      <x:c r="A1457" s="1" t="str">
        <x:v>RESULT</x:v>
      </x:c>
      <x:c r="B1457" s="1" t="str">
        <x:v>Round2</x:v>
      </x:c>
      <x:c r="C1457" s="1" t="str">
        <x:v>JxPath_1</x:v>
      </x:c>
      <x:c r="D1457" s="1" t="str">
        <x:v>NOT_AVAILABLE</x:v>
      </x:c>
      <x:c r="E1457" s="5"/>
      <x:c r="F1457" s="4" t="n">
        <x:v>0</x:v>
      </x:c>
      <x:c r="G1457" s="4" t="n">
        <x:v>21290</x:v>
      </x:c>
      <x:c r="H1457" s="6" t="n">
        <x:v>78.58</x:v>
      </x:c>
      <x:c r="I1457" s="16" t="n">
        <x:v>1</x:v>
      </x:c>
      <x:c r="J1457"/>
      <x:c r="K1457" s="4"/>
      <x:c r="L1457" s="4"/>
      <x:c r="M1457" s="4"/>
      <x:c r="N1457" s="5"/>
    </x:row>
    <x:row r="1458" ht="24" customHeight="1">
      <x:c r="A1458" s="1" t="str">
        <x:v>RESULT</x:v>
      </x:c>
      <x:c r="B1458" s="1" t="str">
        <x:v>Round2</x:v>
      </x:c>
      <x:c r="C1458" s="1" t="str">
        <x:v>JxPath_10</x:v>
      </x:c>
      <x:c r="D1458" s="1" t="str">
        <x:v>NOT_AVAILABLE</x:v>
      </x:c>
      <x:c r="E1458" s="5"/>
      <x:c r="F1458" s="4" t="n">
        <x:v>0</x:v>
      </x:c>
      <x:c r="G1458" s="4" t="n">
        <x:v>6491</x:v>
      </x:c>
      <x:c r="H1458" s="6" t="n">
        <x:v>34.79</x:v>
      </x:c>
      <x:c r="I1458" s="16" t="n">
        <x:v>1</x:v>
      </x:c>
      <x:c r="J1458"/>
      <x:c r="K1458" s="4"/>
      <x:c r="L1458" s="4"/>
      <x:c r="M1458" s="4"/>
      <x:c r="N1458" s="5"/>
    </x:row>
    <x:row r="1459" ht="24" customHeight="1">
      <x:c r="A1459" s="1" t="str">
        <x:v>RESULT</x:v>
      </x:c>
      <x:c r="B1459" s="1" t="str">
        <x:v>Round2</x:v>
      </x:c>
      <x:c r="C1459" s="1" t="str">
        <x:v>JxPath_11</x:v>
      </x:c>
      <x:c r="D1459" s="1" t="str">
        <x:v>NOT_AVAILABLE</x:v>
      </x:c>
      <x:c r="E1459" s="5"/>
      <x:c r="F1459" s="4" t="n">
        <x:v>0</x:v>
      </x:c>
      <x:c r="G1459" s="4" t="n">
        <x:v>7403</x:v>
      </x:c>
      <x:c r="H1459" s="6" t="n">
        <x:v>26.1</x:v>
      </x:c>
      <x:c r="I1459" s="16" t="n">
        <x:v>1</x:v>
      </x:c>
      <x:c r="J1459"/>
      <x:c r="K1459" s="4"/>
      <x:c r="L1459" s="4"/>
      <x:c r="M1459" s="4"/>
      <x:c r="N1459" s="5"/>
    </x:row>
    <x:row r="1460" ht="24" customHeight="1">
      <x:c r="A1460" s="1" t="str">
        <x:v>RESULT</x:v>
      </x:c>
      <x:c r="B1460" s="1" t="str">
        <x:v>Round2</x:v>
      </x:c>
      <x:c r="C1460" s="1" t="str">
        <x:v>JxPath_12</x:v>
      </x:c>
      <x:c r="D1460" s="1" t="str">
        <x:v>NOT_AVAILABLE</x:v>
      </x:c>
      <x:c r="E1460" s="5"/>
      <x:c r="F1460" s="4" t="n">
        <x:v>0</x:v>
      </x:c>
      <x:c r="G1460" s="4" t="n">
        <x:v>9295</x:v>
      </x:c>
      <x:c r="H1460" s="6" t="n">
        <x:v>45.55</x:v>
      </x:c>
      <x:c r="I1460" s="16" t="n">
        <x:v>1</x:v>
      </x:c>
      <x:c r="J1460"/>
      <x:c r="K1460" s="4"/>
      <x:c r="L1460" s="4"/>
      <x:c r="M1460" s="4"/>
      <x:c r="N1460" s="5"/>
    </x:row>
    <x:row r="1461" ht="24" customHeight="1">
      <x:c r="A1461" s="1" t="str">
        <x:v>RESULT</x:v>
      </x:c>
      <x:c r="B1461" s="1" t="str">
        <x:v>Round2</x:v>
      </x:c>
      <x:c r="C1461" s="1" t="str">
        <x:v>JxPath_13</x:v>
      </x:c>
      <x:c r="D1461" s="1" t="str">
        <x:v>NOT_AVAILABLE</x:v>
      </x:c>
      <x:c r="E1461" s="5"/>
      <x:c r="F1461" s="4" t="n">
        <x:v>0</x:v>
      </x:c>
      <x:c r="G1461" s="4" t="n">
        <x:v>18326</x:v>
      </x:c>
      <x:c r="H1461" s="6" t="n">
        <x:v>77.93</x:v>
      </x:c>
      <x:c r="I1461" s="16" t="n">
        <x:v>1</x:v>
      </x:c>
      <x:c r="J1461"/>
      <x:c r="K1461" s="4"/>
      <x:c r="L1461" s="4"/>
      <x:c r="M1461" s="4"/>
      <x:c r="N1461" s="5"/>
    </x:row>
    <x:row r="1462" ht="24" customHeight="1">
      <x:c r="A1462" s="1" t="str">
        <x:v>RESULT</x:v>
      </x:c>
      <x:c r="B1462" s="1" t="str">
        <x:v>Round2</x:v>
      </x:c>
      <x:c r="C1462" s="1" t="str">
        <x:v>JxPath_14</x:v>
      </x:c>
      <x:c r="D1462" s="1" t="str">
        <x:v>NOT_AVAILABLE</x:v>
      </x:c>
      <x:c r="E1462" s="5"/>
      <x:c r="F1462" s="4" t="n">
        <x:v>0</x:v>
      </x:c>
      <x:c r="G1462" s="4" t="n">
        <x:v>12143</x:v>
      </x:c>
      <x:c r="H1462" s="6" t="n">
        <x:v>51.1</x:v>
      </x:c>
      <x:c r="I1462" s="16" t="n">
        <x:v>1</x:v>
      </x:c>
      <x:c r="J1462"/>
      <x:c r="K1462" s="4"/>
      <x:c r="L1462" s="4"/>
      <x:c r="M1462" s="4"/>
      <x:c r="N1462" s="5"/>
    </x:row>
    <x:row r="1463" ht="24" customHeight="1">
      <x:c r="A1463" s="1" t="str">
        <x:v>RESULT</x:v>
      </x:c>
      <x:c r="B1463" s="1" t="str">
        <x:v>Round2</x:v>
      </x:c>
      <x:c r="C1463" s="1" t="str">
        <x:v>JxPath_15</x:v>
      </x:c>
      <x:c r="D1463" s="1" t="str">
        <x:v>NOT_AVAILABLE</x:v>
      </x:c>
      <x:c r="E1463" s="5"/>
      <x:c r="F1463" s="4" t="n">
        <x:v>0</x:v>
      </x:c>
      <x:c r="G1463" s="4" t="n">
        <x:v>2930</x:v>
      </x:c>
      <x:c r="H1463" s="6" t="n">
        <x:v>11.48</x:v>
      </x:c>
      <x:c r="I1463" s="16" t="n">
        <x:v>1</x:v>
      </x:c>
      <x:c r="J1463"/>
      <x:c r="K1463" s="4"/>
      <x:c r="L1463" s="4"/>
      <x:c r="M1463" s="4"/>
      <x:c r="N1463" s="5"/>
    </x:row>
    <x:row r="1464" ht="24" customHeight="1">
      <x:c r="A1464" s="1" t="str">
        <x:v>RESULT</x:v>
      </x:c>
      <x:c r="B1464" s="1" t="str">
        <x:v>Round2</x:v>
      </x:c>
      <x:c r="C1464" s="1" t="str">
        <x:v>JxPath_16</x:v>
      </x:c>
      <x:c r="D1464" s="1" t="str">
        <x:v>NOT_AVAILABLE</x:v>
      </x:c>
      <x:c r="E1464" s="5"/>
      <x:c r="F1464" s="4" t="n">
        <x:v>0</x:v>
      </x:c>
      <x:c r="G1464" s="4" t="n">
        <x:v>22733</x:v>
      </x:c>
      <x:c r="H1464" s="6" t="n">
        <x:v>96.68</x:v>
      </x:c>
      <x:c r="I1464" s="16" t="n">
        <x:v>1</x:v>
      </x:c>
      <x:c r="J1464"/>
      <x:c r="K1464" s="4"/>
      <x:c r="L1464" s="4"/>
      <x:c r="M1464" s="4"/>
      <x:c r="N1464" s="5"/>
    </x:row>
    <x:row r="1465" ht="24" customHeight="1">
      <x:c r="A1465" s="1" t="str">
        <x:v>RESULT</x:v>
      </x:c>
      <x:c r="B1465" s="1" t="str">
        <x:v>Round2</x:v>
      </x:c>
      <x:c r="C1465" s="1" t="str">
        <x:v>JxPath_17</x:v>
      </x:c>
      <x:c r="D1465" s="1" t="str">
        <x:v>NOT_AVAILABLE</x:v>
      </x:c>
      <x:c r="E1465" s="5"/>
      <x:c r="F1465" s="4" t="n">
        <x:v>0</x:v>
      </x:c>
      <x:c r="G1465" s="4" t="n">
        <x:v>10336</x:v>
      </x:c>
      <x:c r="H1465" s="6" t="n">
        <x:v>54.25</x:v>
      </x:c>
      <x:c r="I1465" s="16" t="n">
        <x:v>1</x:v>
      </x:c>
      <x:c r="J1465"/>
      <x:c r="K1465" s="4"/>
      <x:c r="L1465" s="4"/>
      <x:c r="M1465" s="4"/>
      <x:c r="N1465" s="5"/>
    </x:row>
    <x:row r="1466" ht="24" customHeight="1">
      <x:c r="A1466" s="1" t="str">
        <x:v>RESULT</x:v>
      </x:c>
      <x:c r="B1466" s="1" t="str">
        <x:v>Round2</x:v>
      </x:c>
      <x:c r="C1466" s="1" t="str">
        <x:v>JxPath_18</x:v>
      </x:c>
      <x:c r="D1466" s="1" t="str">
        <x:v>NOT_AVAILABLE</x:v>
      </x:c>
      <x:c r="E1466" s="5"/>
      <x:c r="F1466" s="4" t="n">
        <x:v>0</x:v>
      </x:c>
      <x:c r="G1466" s="4" t="n">
        <x:v>3798</x:v>
      </x:c>
      <x:c r="H1466" s="6" t="n">
        <x:v>65.88</x:v>
      </x:c>
      <x:c r="I1466" s="16" t="n">
        <x:v>1</x:v>
      </x:c>
      <x:c r="J1466"/>
      <x:c r="K1466" s="4"/>
      <x:c r="L1466" s="4"/>
      <x:c r="M1466" s="4"/>
      <x:c r="N1466" s="5"/>
    </x:row>
    <x:row r="1467" ht="24" customHeight="1">
      <x:c r="A1467" s="1" t="str">
        <x:v>RESULT</x:v>
      </x:c>
      <x:c r="B1467" s="1" t="str">
        <x:v>Round2</x:v>
      </x:c>
      <x:c r="C1467" s="1" t="str">
        <x:v>JxPath_19</x:v>
      </x:c>
      <x:c r="D1467" s="1" t="str">
        <x:v>NOT_AVAILABLE</x:v>
      </x:c>
      <x:c r="E1467" s="5"/>
      <x:c r="F1467" s="4" t="n">
        <x:v>0</x:v>
      </x:c>
      <x:c r="G1467" s="4" t="n">
        <x:v>21236</x:v>
      </x:c>
      <x:c r="H1467" s="6" t="n">
        <x:v>79.09</x:v>
      </x:c>
      <x:c r="I1467" s="16" t="n">
        <x:v>1</x:v>
      </x:c>
      <x:c r="J1467"/>
      <x:c r="K1467" s="4"/>
      <x:c r="L1467" s="4"/>
      <x:c r="M1467" s="4"/>
      <x:c r="N1467" s="5"/>
    </x:row>
    <x:row r="1468" ht="24" customHeight="1">
      <x:c r="A1468" s="1" t="str">
        <x:v>RESULT</x:v>
      </x:c>
      <x:c r="B1468" s="1" t="str">
        <x:v>Round2</x:v>
      </x:c>
      <x:c r="C1468" s="1" t="str">
        <x:v>JxPath_2</x:v>
      </x:c>
      <x:c r="D1468" s="1" t="str">
        <x:v>NOT_AVAILABLE</x:v>
      </x:c>
      <x:c r="E1468" s="5"/>
      <x:c r="F1468" s="4" t="n">
        <x:v>0</x:v>
      </x:c>
      <x:c r="G1468" s="4" t="n">
        <x:v>4375</x:v>
      </x:c>
      <x:c r="H1468" s="6" t="n">
        <x:v>18.56</x:v>
      </x:c>
      <x:c r="I1468" s="16" t="n">
        <x:v>1</x:v>
      </x:c>
      <x:c r="J1468"/>
      <x:c r="K1468" s="4"/>
      <x:c r="L1468" s="4"/>
      <x:c r="M1468" s="4"/>
      <x:c r="N1468" s="5"/>
    </x:row>
    <x:row r="1469" ht="24" customHeight="1">
      <x:c r="A1469" s="1" t="str">
        <x:v>RESULT</x:v>
      </x:c>
      <x:c r="B1469" s="1" t="str">
        <x:v>Round2</x:v>
      </x:c>
      <x:c r="C1469" s="1" t="str">
        <x:v>JxPath_20</x:v>
      </x:c>
      <x:c r="D1469" s="1" t="str">
        <x:v>NOT_AVAILABLE</x:v>
      </x:c>
      <x:c r="E1469" s="5"/>
      <x:c r="F1469" s="4" t="n">
        <x:v>0</x:v>
      </x:c>
      <x:c r="G1469" s="4" t="n">
        <x:v>4709</x:v>
      </x:c>
      <x:c r="H1469" s="6" t="n">
        <x:v>20.6</x:v>
      </x:c>
      <x:c r="I1469" s="16" t="n">
        <x:v>1</x:v>
      </x:c>
      <x:c r="J1469"/>
      <x:c r="K1469" s="4"/>
      <x:c r="L1469" s="4"/>
      <x:c r="M1469" s="4"/>
      <x:c r="N1469" s="5"/>
    </x:row>
    <x:row r="1470" ht="24" customHeight="1">
      <x:c r="A1470" s="1" t="str">
        <x:v>RESULT</x:v>
      </x:c>
      <x:c r="B1470" s="1" t="str">
        <x:v>Round2</x:v>
      </x:c>
      <x:c r="C1470" s="1" t="str">
        <x:v>JxPath_21</x:v>
      </x:c>
      <x:c r="D1470" s="1" t="str">
        <x:v>NOT_AVAILABLE</x:v>
      </x:c>
      <x:c r="E1470" s="5"/>
      <x:c r="F1470" s="4" t="n">
        <x:v>0</x:v>
      </x:c>
      <x:c r="G1470" s="4" t="n">
        <x:v>6441</x:v>
      </x:c>
      <x:c r="H1470" s="6" t="n">
        <x:v>42.52</x:v>
      </x:c>
      <x:c r="I1470" s="16" t="n">
        <x:v>1</x:v>
      </x:c>
      <x:c r="J1470"/>
      <x:c r="K1470" s="4"/>
      <x:c r="L1470" s="4"/>
      <x:c r="M1470" s="4"/>
      <x:c r="N1470" s="5"/>
    </x:row>
    <x:row r="1471" ht="24" customHeight="1">
      <x:c r="A1471" s="1" t="str">
        <x:v>RESULT</x:v>
      </x:c>
      <x:c r="B1471" s="1" t="str">
        <x:v>Round2</x:v>
      </x:c>
      <x:c r="C1471" s="1" t="str">
        <x:v>JxPath_22</x:v>
      </x:c>
      <x:c r="D1471" s="1" t="str">
        <x:v>NOT_AVAILABLE</x:v>
      </x:c>
      <x:c r="E1471" s="5"/>
      <x:c r="F1471" s="4" t="n">
        <x:v>0</x:v>
      </x:c>
      <x:c r="G1471" s="4" t="n">
        <x:v>10298</x:v>
      </x:c>
      <x:c r="H1471" s="6" t="n">
        <x:v>22.77</x:v>
      </x:c>
      <x:c r="I1471" s="16" t="n">
        <x:v>1</x:v>
      </x:c>
      <x:c r="J1471"/>
      <x:c r="K1471" s="4"/>
      <x:c r="L1471" s="4"/>
      <x:c r="M1471" s="4"/>
      <x:c r="N1471" s="5"/>
    </x:row>
    <x:row r="1472" ht="24" customHeight="1">
      <x:c r="A1472" s="1" t="str">
        <x:v>RESULT</x:v>
      </x:c>
      <x:c r="B1472" s="1" t="str">
        <x:v>Round2</x:v>
      </x:c>
      <x:c r="C1472" s="1" t="str">
        <x:v>JxPath_3</x:v>
      </x:c>
      <x:c r="D1472" s="1" t="str">
        <x:v>INCONCLUSIVE</x:v>
      </x:c>
      <x:c r="E1472" s="5" t="n">
        <x:v>0.6883</x:v>
      </x:c>
      <x:c r="F1472" s="4" t="n">
        <x:v>0</x:v>
      </x:c>
      <x:c r="G1472" s="4" t="n">
        <x:v>21628</x:v>
      </x:c>
      <x:c r="H1472" s="6" t="n">
        <x:v>910.19</x:v>
      </x:c>
      <x:c r="I1472" s="16" t="n">
        <x:v>1</x:v>
      </x:c>
      <x:c r="J1472" t="n">
        <x:v>77</x:v>
      </x:c>
      <x:c r="K1472" s="4" t="n">
        <x:v>53</x:v>
      </x:c>
      <x:c r="L1472" s="4" t="n">
        <x:v>26</x:v>
      </x:c>
      <x:c r="M1472" s="4" t="n">
        <x:v>13</x:v>
      </x:c>
      <x:c r="N1472" s="5" t="n">
        <x:v>0.5</x:v>
      </x:c>
    </x:row>
    <x:row r="1473" ht="24" customHeight="1">
      <x:c r="A1473" s="1" t="str">
        <x:v>RESULT</x:v>
      </x:c>
      <x:c r="B1473" s="1" t="str">
        <x:v>Round2</x:v>
      </x:c>
      <x:c r="C1473" s="1" t="str">
        <x:v>JxPath_4</x:v>
      </x:c>
      <x:c r="D1473" s="1" t="str">
        <x:v>NOT_AVAILABLE</x:v>
      </x:c>
      <x:c r="E1473" s="5"/>
      <x:c r="F1473" s="4" t="n">
        <x:v>0</x:v>
      </x:c>
      <x:c r="G1473" s="4" t="n">
        <x:v>23762</x:v>
      </x:c>
      <x:c r="H1473" s="6" t="n">
        <x:v>104.38</x:v>
      </x:c>
      <x:c r="I1473" s="16" t="n">
        <x:v>1</x:v>
      </x:c>
      <x:c r="J1473"/>
      <x:c r="K1473" s="4"/>
      <x:c r="L1473" s="4"/>
      <x:c r="M1473" s="4"/>
      <x:c r="N1473" s="5"/>
    </x:row>
    <x:row r="1474" ht="24" customHeight="1">
      <x:c r="A1474" s="1" t="str">
        <x:v>RESULT</x:v>
      </x:c>
      <x:c r="B1474" s="1" t="str">
        <x:v>Round2</x:v>
      </x:c>
      <x:c r="C1474" s="1" t="str">
        <x:v>JxPath_5</x:v>
      </x:c>
      <x:c r="D1474" s="1" t="str">
        <x:v>NOT_AVAILABLE</x:v>
      </x:c>
      <x:c r="E1474" s="5"/>
      <x:c r="F1474" s="4" t="n">
        <x:v>0</x:v>
      </x:c>
      <x:c r="G1474" s="4" t="n">
        <x:v>11656</x:v>
      </x:c>
      <x:c r="H1474" s="6" t="n">
        <x:v>38.65</x:v>
      </x:c>
      <x:c r="I1474" s="16" t="n">
        <x:v>1</x:v>
      </x:c>
      <x:c r="J1474"/>
      <x:c r="K1474" s="4"/>
      <x:c r="L1474" s="4"/>
      <x:c r="M1474" s="4"/>
      <x:c r="N1474" s="5"/>
    </x:row>
    <x:row r="1475" ht="24" customHeight="1">
      <x:c r="A1475" s="1" t="str">
        <x:v>RESULT</x:v>
      </x:c>
      <x:c r="B1475" s="1" t="str">
        <x:v>Round2</x:v>
      </x:c>
      <x:c r="C1475" s="1" t="str">
        <x:v>JxPath_6</x:v>
      </x:c>
      <x:c r="D1475" s="1" t="str">
        <x:v>NOT_AVAILABLE</x:v>
      </x:c>
      <x:c r="E1475" s="5"/>
      <x:c r="F1475" s="4" t="n">
        <x:v>0</x:v>
      </x:c>
      <x:c r="G1475" s="4" t="n">
        <x:v>10743</x:v>
      </x:c>
      <x:c r="H1475" s="6" t="n">
        <x:v>361.09</x:v>
      </x:c>
      <x:c r="I1475" s="16" t="n">
        <x:v>1</x:v>
      </x:c>
      <x:c r="J1475"/>
      <x:c r="K1475" s="4"/>
      <x:c r="L1475" s="4"/>
      <x:c r="M1475" s="4"/>
      <x:c r="N1475" s="5"/>
    </x:row>
    <x:row r="1476" ht="24" customHeight="1">
      <x:c r="A1476" s="1" t="str">
        <x:v>RESULT</x:v>
      </x:c>
      <x:c r="B1476" s="1" t="str">
        <x:v>Round2</x:v>
      </x:c>
      <x:c r="C1476" s="1" t="str">
        <x:v>JxPath_7</x:v>
      </x:c>
      <x:c r="D1476" s="1" t="str">
        <x:v>NOT_AVAILABLE</x:v>
      </x:c>
      <x:c r="E1476" s="5"/>
      <x:c r="F1476" s="4" t="n">
        <x:v>0</x:v>
      </x:c>
      <x:c r="G1476" s="4" t="n">
        <x:v>28799</x:v>
      </x:c>
      <x:c r="H1476" s="6" t="n">
        <x:v>218.34</x:v>
      </x:c>
      <x:c r="I1476" s="16" t="n">
        <x:v>1</x:v>
      </x:c>
      <x:c r="J1476"/>
      <x:c r="K1476" s="4"/>
      <x:c r="L1476" s="4"/>
      <x:c r="M1476" s="4"/>
      <x:c r="N1476" s="5"/>
    </x:row>
    <x:row r="1477" ht="24" customHeight="1">
      <x:c r="A1477" s="1" t="str">
        <x:v>RESULT</x:v>
      </x:c>
      <x:c r="B1477" s="1" t="str">
        <x:v>Round2</x:v>
      </x:c>
      <x:c r="C1477" s="1" t="str">
        <x:v>JxPath_8</x:v>
      </x:c>
      <x:c r="D1477" s="1" t="str">
        <x:v>NOT_AVAILABLE</x:v>
      </x:c>
      <x:c r="E1477" s="5"/>
      <x:c r="F1477" s="4" t="n">
        <x:v>0</x:v>
      </x:c>
      <x:c r="G1477" s="4" t="n">
        <x:v>11100</x:v>
      </x:c>
      <x:c r="H1477" s="6" t="n">
        <x:v>103.26</x:v>
      </x:c>
      <x:c r="I1477" s="16" t="n">
        <x:v>1</x:v>
      </x:c>
      <x:c r="J1477"/>
      <x:c r="K1477" s="4"/>
      <x:c r="L1477" s="4"/>
      <x:c r="M1477" s="4"/>
      <x:c r="N1477" s="5"/>
    </x:row>
    <x:row r="1478" ht="24" customHeight="1">
      <x:c r="A1478" s="1" t="str">
        <x:v>RESULT</x:v>
      </x:c>
      <x:c r="B1478" s="1" t="str">
        <x:v>Round2</x:v>
      </x:c>
      <x:c r="C1478" s="1" t="str">
        <x:v>JxPath_9</x:v>
      </x:c>
      <x:c r="D1478" s="1" t="str">
        <x:v>NOT_AVAILABLE</x:v>
      </x:c>
      <x:c r="E1478" s="5"/>
      <x:c r="F1478" s="4" t="n">
        <x:v>0</x:v>
      </x:c>
      <x:c r="G1478" s="4" t="n">
        <x:v>24622</x:v>
      </x:c>
      <x:c r="H1478" s="6" t="n">
        <x:v>287.7</x:v>
      </x:c>
      <x:c r="I1478" s="16" t="n">
        <x:v>1</x:v>
      </x:c>
      <x:c r="J1478"/>
      <x:c r="K1478" s="4"/>
      <x:c r="L1478" s="4"/>
      <x:c r="M1478" s="4"/>
      <x:c r="N1478" s="5"/>
    </x:row>
    <x:row r="1479" ht="24" customHeight="1">
      <x:c r="A1479" s="1" t="str">
        <x:v>RESULT</x:v>
      </x:c>
      <x:c r="B1479" s="1" t="str">
        <x:v>Round2</x:v>
      </x:c>
      <x:c r="C1479" s="1" t="str">
        <x:v>Lang_1</x:v>
      </x:c>
      <x:c r="D1479" s="1" t="str">
        <x:v>NOT_REVEALING</x:v>
      </x:c>
      <x:c r="E1479" s="5" t="n">
        <x:v>0.8027</x:v>
      </x:c>
      <x:c r="F1479" s="4" t="n">
        <x:v>0</x:v>
      </x:c>
      <x:c r="G1479" s="4" t="n">
        <x:v>29505</x:v>
      </x:c>
      <x:c r="H1479" s="6" t="n">
        <x:v>985.18</x:v>
      </x:c>
      <x:c r="I1479" s="16" t="n">
        <x:v>1</x:v>
      </x:c>
      <x:c r="J1479" t="n">
        <x:v>375</x:v>
      </x:c>
      <x:c r="K1479" s="4" t="n">
        <x:v>301</x:v>
      </x:c>
      <x:c r="L1479" s="4" t="n">
        <x:v>338</x:v>
      </x:c>
      <x:c r="M1479" s="4" t="n">
        <x:v>205</x:v>
      </x:c>
      <x:c r="N1479" s="5" t="n">
        <x:v>0.6065</x:v>
      </x:c>
    </x:row>
    <x:row r="1480" ht="24" customHeight="1">
      <x:c r="A1480" s="1" t="str">
        <x:v>RESULT</x:v>
      </x:c>
      <x:c r="B1480" s="1" t="str">
        <x:v>Round2</x:v>
      </x:c>
      <x:c r="C1480" s="1" t="str">
        <x:v>Lang_10</x:v>
      </x:c>
      <x:c r="D1480" s="1" t="str">
        <x:v>NOT_REVEALING</x:v>
      </x:c>
      <x:c r="E1480" s="5" t="n">
        <x:v>0.8172</x:v>
      </x:c>
      <x:c r="F1480" s="4" t="n">
        <x:v>0</x:v>
      </x:c>
      <x:c r="G1480" s="4"/>
      <x:c r="H1480" s="6"/>
      <x:c r="I1480" s="16" t="n">
        <x:v>1</x:v>
      </x:c>
      <x:c r="J1480" t="n">
        <x:v>279</x:v>
      </x:c>
      <x:c r="K1480" s="4" t="n">
        <x:v>228</x:v>
      </x:c>
      <x:c r="L1480" s="4" t="n">
        <x:v>127</x:v>
      </x:c>
      <x:c r="M1480" s="4" t="n">
        <x:v>88</x:v>
      </x:c>
      <x:c r="N1480" s="5" t="n">
        <x:v>0.6929000000000001</x:v>
      </x:c>
    </x:row>
    <x:row r="1481" ht="24" customHeight="1">
      <x:c r="A1481" s="1" t="str">
        <x:v>RESULT</x:v>
      </x:c>
      <x:c r="B1481" s="1" t="str">
        <x:v>Round2</x:v>
      </x:c>
      <x:c r="C1481" s="1" t="str">
        <x:v>Lang_11</x:v>
      </x:c>
      <x:c r="D1481" s="1" t="str">
        <x:v>NOT_REVEALING</x:v>
      </x:c>
      <x:c r="E1481" s="5" t="n">
        <x:v>0.8571</x:v>
      </x:c>
      <x:c r="F1481" s="4" t="n">
        <x:v>0</x:v>
      </x:c>
      <x:c r="G1481" s="4" t="n">
        <x:v>25833</x:v>
      </x:c>
      <x:c r="H1481" s="6" t="n">
        <x:v>672.15</x:v>
      </x:c>
      <x:c r="I1481" s="16" t="n">
        <x:v>1</x:v>
      </x:c>
      <x:c r="J1481" t="n">
        <x:v>56</x:v>
      </x:c>
      <x:c r="K1481" s="4" t="n">
        <x:v>48</x:v>
      </x:c>
      <x:c r="L1481" s="4" t="n">
        <x:v>54</x:v>
      </x:c>
      <x:c r="M1481" s="4" t="n">
        <x:v>49</x:v>
      </x:c>
      <x:c r="N1481" s="5" t="n">
        <x:v>0.9074</x:v>
      </x:c>
    </x:row>
    <x:row r="1482" ht="24" customHeight="1">
      <x:c r="A1482" s="1" t="str">
        <x:v>RESULT</x:v>
      </x:c>
      <x:c r="B1482" s="1" t="str">
        <x:v>Round2</x:v>
      </x:c>
      <x:c r="C1482" s="1" t="str">
        <x:v>Lang_12</x:v>
      </x:c>
      <x:c r="D1482" s="1" t="str">
        <x:v>NOT_AVAILABLE</x:v>
      </x:c>
      <x:c r="E1482" s="5"/>
      <x:c r="F1482" s="4" t="n">
        <x:v>0</x:v>
      </x:c>
      <x:c r="G1482" s="4" t="n">
        <x:v>16435</x:v>
      </x:c>
      <x:c r="H1482" s="6" t="n">
        <x:v>170.74</x:v>
      </x:c>
      <x:c r="I1482" s="16" t="n">
        <x:v>1</x:v>
      </x:c>
      <x:c r="J1482"/>
      <x:c r="K1482" s="4"/>
      <x:c r="L1482" s="4"/>
      <x:c r="M1482" s="4"/>
      <x:c r="N1482" s="5"/>
    </x:row>
    <x:row r="1483" ht="24" customHeight="1">
      <x:c r="A1483" s="1" t="str">
        <x:v>RESULT</x:v>
      </x:c>
      <x:c r="B1483" s="1" t="str">
        <x:v>Round2</x:v>
      </x:c>
      <x:c r="C1483" s="1" t="str">
        <x:v>Lang_13</x:v>
      </x:c>
      <x:c r="D1483" s="1" t="str">
        <x:v>INCONCLUSIVE</x:v>
      </x:c>
      <x:c r="E1483" s="5" t="n">
        <x:v>0.6875</x:v>
      </x:c>
      <x:c r="F1483" s="4" t="n">
        <x:v>0</x:v>
      </x:c>
      <x:c r="G1483" s="4"/>
      <x:c r="H1483" s="6"/>
      <x:c r="I1483" s="16" t="n">
        <x:v>1</x:v>
      </x:c>
      <x:c r="J1483" t="n">
        <x:v>64</x:v>
      </x:c>
      <x:c r="K1483" s="4" t="n">
        <x:v>44</x:v>
      </x:c>
      <x:c r="L1483" s="4" t="n">
        <x:v>14</x:v>
      </x:c>
      <x:c r="M1483" s="4" t="n">
        <x:v>12</x:v>
      </x:c>
      <x:c r="N1483" s="5" t="n">
        <x:v>0.8571</x:v>
      </x:c>
    </x:row>
    <x:row r="1484" ht="24" customHeight="1">
      <x:c r="A1484" s="1" t="str">
        <x:v>RESULT</x:v>
      </x:c>
      <x:c r="B1484" s="1" t="str">
        <x:v>Round2</x:v>
      </x:c>
      <x:c r="C1484" s="1" t="str">
        <x:v>Lang_14</x:v>
      </x:c>
      <x:c r="D1484" s="1" t="str">
        <x:v>INCONCLUSIVE</x:v>
      </x:c>
      <x:c r="E1484" s="5" t="n">
        <x:v>0.7624</x:v>
      </x:c>
      <x:c r="F1484" s="4" t="n">
        <x:v>0</x:v>
      </x:c>
      <x:c r="G1484" s="4" t="n">
        <x:v>26869</x:v>
      </x:c>
      <x:c r="H1484" s="6" t="n">
        <x:v>151.51</x:v>
      </x:c>
      <x:c r="I1484" s="16" t="n">
        <x:v>1</x:v>
      </x:c>
      <x:c r="J1484" t="n">
        <x:v>1292</x:v>
      </x:c>
      <x:c r="K1484" s="4" t="n">
        <x:v>985</x:v>
      </x:c>
      <x:c r="L1484" s="4" t="n">
        <x:v>1141</x:v>
      </x:c>
      <x:c r="M1484" s="4" t="n">
        <x:v>806</x:v>
      </x:c>
      <x:c r="N1484" s="5" t="n">
        <x:v>0.7064</x:v>
      </x:c>
    </x:row>
    <x:row r="1485" ht="24" customHeight="1">
      <x:c r="A1485" s="1" t="str">
        <x:v>RESULT</x:v>
      </x:c>
      <x:c r="B1485" s="1" t="str">
        <x:v>Round2</x:v>
      </x:c>
      <x:c r="C1485" s="1" t="str">
        <x:v>Lang_15</x:v>
      </x:c>
      <x:c r="D1485" s="1" t="str">
        <x:v>INCONCLUSIVE</x:v>
      </x:c>
      <x:c r="E1485" s="5" t="n">
        <x:v>0.5892000000000001</x:v>
      </x:c>
      <x:c r="F1485" s="4" t="n">
        <x:v>0</x:v>
      </x:c>
      <x:c r="G1485" s="4" t="n">
        <x:v>27520</x:v>
      </x:c>
      <x:c r="H1485" s="6" t="n">
        <x:v>176.27</x:v>
      </x:c>
      <x:c r="I1485" s="16" t="n">
        <x:v>1</x:v>
      </x:c>
      <x:c r="J1485" t="n">
        <x:v>297</x:v>
      </x:c>
      <x:c r="K1485" s="4" t="n">
        <x:v>175</x:v>
      </x:c>
      <x:c r="L1485" s="4" t="n">
        <x:v>284</x:v>
      </x:c>
      <x:c r="M1485" s="4" t="n">
        <x:v>144</x:v>
      </x:c>
      <x:c r="N1485" s="5" t="n">
        <x:v>0.507</x:v>
      </x:c>
    </x:row>
    <x:row r="1486" ht="24" customHeight="1">
      <x:c r="A1486" s="1" t="str">
        <x:v>RESULT</x:v>
      </x:c>
      <x:c r="B1486" s="1" t="str">
        <x:v>Round2</x:v>
      </x:c>
      <x:c r="C1486" s="1" t="str">
        <x:v>Lang_16</x:v>
      </x:c>
      <x:c r="D1486" s="1" t="str">
        <x:v>INCONCLUSIVE</x:v>
      </x:c>
      <x:c r="E1486" s="5" t="n">
        <x:v>0.7733</x:v>
      </x:c>
      <x:c r="F1486" s="4" t="n">
        <x:v>0</x:v>
      </x:c>
      <x:c r="G1486" s="4"/>
      <x:c r="H1486" s="6"/>
      <x:c r="I1486" s="16" t="n">
        <x:v>1</x:v>
      </x:c>
      <x:c r="J1486" t="n">
        <x:v>375</x:v>
      </x:c>
      <x:c r="K1486" s="4" t="n">
        <x:v>290</x:v>
      </x:c>
      <x:c r="L1486" s="4" t="n">
        <x:v>358</x:v>
      </x:c>
      <x:c r="M1486" s="4" t="n">
        <x:v>222</x:v>
      </x:c>
      <x:c r="N1486" s="5" t="n">
        <x:v>0.6201</x:v>
      </x:c>
    </x:row>
    <x:row r="1487" ht="24" customHeight="1">
      <x:c r="A1487" s="1" t="str">
        <x:v>RESULT</x:v>
      </x:c>
      <x:c r="B1487" s="1" t="str">
        <x:v>Round2</x:v>
      </x:c>
      <x:c r="C1487" s="1" t="str">
        <x:v>Lang_17</x:v>
      </x:c>
      <x:c r="D1487" s="1" t="str">
        <x:v>NOT_AVAILABLE</x:v>
      </x:c>
      <x:c r="E1487" s="5"/>
      <x:c r="F1487" s="4" t="n">
        <x:v>0</x:v>
      </x:c>
      <x:c r="G1487" s="4" t="n">
        <x:v>23456</x:v>
      </x:c>
      <x:c r="H1487" s="6" t="n">
        <x:v>947.93</x:v>
      </x:c>
      <x:c r="I1487" s="16" t="n">
        <x:v>1</x:v>
      </x:c>
      <x:c r="J1487"/>
      <x:c r="K1487" s="4"/>
      <x:c r="L1487" s="4"/>
      <x:c r="M1487" s="4"/>
      <x:c r="N1487" s="5"/>
    </x:row>
    <x:row r="1488" ht="24" customHeight="1">
      <x:c r="A1488" s="1" t="str">
        <x:v>RESULT</x:v>
      </x:c>
      <x:c r="B1488" s="1" t="str">
        <x:v>Round2</x:v>
      </x:c>
      <x:c r="C1488" s="1" t="str">
        <x:v>Lang_19</x:v>
      </x:c>
      <x:c r="D1488" s="1" t="str">
        <x:v>INCONCLUSIVE</x:v>
      </x:c>
      <x:c r="E1488" s="5" t="n">
        <x:v>1</x:v>
      </x:c>
      <x:c r="F1488" s="4" t="n">
        <x:v>0</x:v>
      </x:c>
      <x:c r="G1488" s="4"/>
      <x:c r="H1488" s="6"/>
      <x:c r="I1488" s="16" t="n">
        <x:v>1</x:v>
      </x:c>
      <x:c r="J1488" t="n">
        <x:v>27</x:v>
      </x:c>
      <x:c r="K1488" s="4" t="n">
        <x:v>27</x:v>
      </x:c>
      <x:c r="L1488" s="4" t="n">
        <x:v>18</x:v>
      </x:c>
      <x:c r="M1488" s="4" t="n">
        <x:v>17</x:v>
      </x:c>
      <x:c r="N1488" s="5" t="n">
        <x:v>0.9444</x:v>
      </x:c>
    </x:row>
    <x:row r="1489" ht="24" customHeight="1">
      <x:c r="A1489" s="1" t="str">
        <x:v>RESULT</x:v>
      </x:c>
      <x:c r="B1489" s="1" t="str">
        <x:v>Round2</x:v>
      </x:c>
      <x:c r="C1489" s="1" t="str">
        <x:v>Lang_20</x:v>
      </x:c>
      <x:c r="D1489" s="1" t="str">
        <x:v>NOT_REVEALING</x:v>
      </x:c>
      <x:c r="E1489" s="5" t="n">
        <x:v>0.4384</x:v>
      </x:c>
      <x:c r="F1489" s="4" t="n">
        <x:v>0</x:v>
      </x:c>
      <x:c r="G1489" s="4" t="n">
        <x:v>44443</x:v>
      </x:c>
      <x:c r="H1489" s="6" t="n">
        <x:v>1226.45</x:v>
      </x:c>
      <x:c r="I1489" s="16" t="n">
        <x:v>1</x:v>
      </x:c>
      <x:c r="J1489" t="n">
        <x:v>1298</x:v>
      </x:c>
      <x:c r="K1489" s="4" t="n">
        <x:v>569</x:v>
      </x:c>
      <x:c r="L1489" s="4" t="n">
        <x:v>1149</x:v>
      </x:c>
      <x:c r="M1489" s="4" t="n">
        <x:v>399</x:v>
      </x:c>
      <x:c r="N1489" s="5" t="n">
        <x:v>0.34729999999999994</x:v>
      </x:c>
    </x:row>
    <x:row r="1490" ht="24" customHeight="1">
      <x:c r="A1490" s="1" t="str">
        <x:v>RESULT</x:v>
      </x:c>
      <x:c r="B1490" s="1" t="str">
        <x:v>Round2</x:v>
      </x:c>
      <x:c r="C1490" s="1" t="str">
        <x:v>Lang_21</x:v>
      </x:c>
      <x:c r="D1490" s="1" t="str">
        <x:v>NOT_AVAILABLE</x:v>
      </x:c>
      <x:c r="E1490" s="5"/>
      <x:c r="F1490" s="4" t="n">
        <x:v>0</x:v>
      </x:c>
      <x:c r="G1490" s="4" t="n">
        <x:v>30994</x:v>
      </x:c>
      <x:c r="H1490" s="6" t="n">
        <x:v>1110.44</x:v>
      </x:c>
      <x:c r="I1490" s="16" t="n">
        <x:v>1</x:v>
      </x:c>
      <x:c r="J1490"/>
      <x:c r="K1490" s="4"/>
      <x:c r="L1490" s="4"/>
      <x:c r="M1490" s="4"/>
      <x:c r="N1490" s="5"/>
    </x:row>
    <x:row r="1491" ht="24" customHeight="1">
      <x:c r="A1491" s="1" t="str">
        <x:v>RESULT</x:v>
      </x:c>
      <x:c r="B1491" s="1" t="str">
        <x:v>Round2</x:v>
      </x:c>
      <x:c r="C1491" s="1" t="str">
        <x:v>Lang_22</x:v>
      </x:c>
      <x:c r="D1491" s="1" t="str">
        <x:v>NOT_AVAILABLE</x:v>
      </x:c>
      <x:c r="E1491" s="5"/>
      <x:c r="F1491" s="4" t="n">
        <x:v>0</x:v>
      </x:c>
      <x:c r="G1491" s="4" t="n">
        <x:v>30800</x:v>
      </x:c>
      <x:c r="H1491" s="6" t="n">
        <x:v>1217.21</x:v>
      </x:c>
      <x:c r="I1491" s="16" t="n">
        <x:v>1</x:v>
      </x:c>
      <x:c r="J1491"/>
      <x:c r="K1491" s="4"/>
      <x:c r="L1491" s="4"/>
      <x:c r="M1491" s="4"/>
      <x:c r="N1491" s="5"/>
    </x:row>
    <x:row r="1492" ht="24" customHeight="1">
      <x:c r="A1492" s="1" t="str">
        <x:v>RESULT</x:v>
      </x:c>
      <x:c r="B1492" s="1" t="str">
        <x:v>Round2</x:v>
      </x:c>
      <x:c r="C1492" s="1" t="str">
        <x:v>Lang_23</x:v>
      </x:c>
      <x:c r="D1492" s="1" t="str">
        <x:v>INCONCLUSIVE</x:v>
      </x:c>
      <x:c r="E1492" s="5" t="n">
        <x:v>0.521</x:v>
      </x:c>
      <x:c r="F1492" s="4" t="n">
        <x:v>0</x:v>
      </x:c>
      <x:c r="G1492" s="4"/>
      <x:c r="H1492" s="6"/>
      <x:c r="I1492" s="16" t="n">
        <x:v>1</x:v>
      </x:c>
      <x:c r="J1492" t="n">
        <x:v>167</x:v>
      </x:c>
      <x:c r="K1492" s="4" t="n">
        <x:v>87</x:v>
      </x:c>
      <x:c r="L1492" s="4" t="n">
        <x:v>99</x:v>
      </x:c>
      <x:c r="M1492" s="4" t="n">
        <x:v>30</x:v>
      </x:c>
      <x:c r="N1492" s="5" t="n">
        <x:v>0.303</x:v>
      </x:c>
    </x:row>
    <x:row r="1493" ht="24" customHeight="1">
      <x:c r="A1493" s="1" t="str">
        <x:v>RESULT</x:v>
      </x:c>
      <x:c r="B1493" s="1" t="str">
        <x:v>Round2</x:v>
      </x:c>
      <x:c r="C1493" s="1" t="str">
        <x:v>Lang_24</x:v>
      </x:c>
      <x:c r="D1493" s="1" t="str">
        <x:v>INCONCLUSIVE</x:v>
      </x:c>
      <x:c r="E1493" s="5" t="n">
        <x:v>0.6489</x:v>
      </x:c>
      <x:c r="F1493" s="4" t="n">
        <x:v>0</x:v>
      </x:c>
      <x:c r="G1493" s="4"/>
      <x:c r="H1493" s="6"/>
      <x:c r="I1493" s="16" t="n">
        <x:v>1</x:v>
      </x:c>
      <x:c r="J1493" t="n">
        <x:v>376</x:v>
      </x:c>
      <x:c r="K1493" s="4" t="n">
        <x:v>244</x:v>
      </x:c>
      <x:c r="L1493" s="4" t="n">
        <x:v>356</x:v>
      </x:c>
      <x:c r="M1493" s="4" t="n">
        <x:v>161</x:v>
      </x:c>
      <x:c r="N1493" s="5" t="n">
        <x:v>0.4522</x:v>
      </x:c>
    </x:row>
    <x:row r="1494" ht="24" customHeight="1">
      <x:c r="A1494" s="1" t="str">
        <x:v>RESULT</x:v>
      </x:c>
      <x:c r="B1494" s="1" t="str">
        <x:v>Round2</x:v>
      </x:c>
      <x:c r="C1494" s="1" t="str">
        <x:v>Lang_26</x:v>
      </x:c>
      <x:c r="D1494" s="1" t="str">
        <x:v>INCONCLUSIVE</x:v>
      </x:c>
      <x:c r="E1494" s="5" t="n">
        <x:v>0.8538</x:v>
      </x:c>
      <x:c r="F1494" s="4" t="n">
        <x:v>0</x:v>
      </x:c>
      <x:c r="G1494" s="4"/>
      <x:c r="H1494" s="6"/>
      <x:c r="I1494" s="16" t="n">
        <x:v>1</x:v>
      </x:c>
      <x:c r="J1494" t="n">
        <x:v>465</x:v>
      </x:c>
      <x:c r="K1494" s="4" t="n">
        <x:v>397</x:v>
      </x:c>
      <x:c r="L1494" s="4" t="n">
        <x:v>228</x:v>
      </x:c>
      <x:c r="M1494" s="4" t="n">
        <x:v>156</x:v>
      </x:c>
      <x:c r="N1494" s="5" t="n">
        <x:v>0.6842</x:v>
      </x:c>
    </x:row>
    <x:row r="1495" ht="24" customHeight="1">
      <x:c r="A1495" s="1" t="str">
        <x:v>RESULT</x:v>
      </x:c>
      <x:c r="B1495" s="1" t="str">
        <x:v>Round2</x:v>
      </x:c>
      <x:c r="C1495" s="1" t="str">
        <x:v>Lang_27</x:v>
      </x:c>
      <x:c r="D1495" s="1" t="str">
        <x:v>INCONCLUSIVE</x:v>
      </x:c>
      <x:c r="E1495" s="5" t="n">
        <x:v>0.7086</x:v>
      </x:c>
      <x:c r="F1495" s="4" t="n">
        <x:v>0</x:v>
      </x:c>
      <x:c r="G1495" s="4"/>
      <x:c r="H1495" s="6"/>
      <x:c r="I1495" s="16" t="n">
        <x:v>1</x:v>
      </x:c>
      <x:c r="J1495" t="n">
        <x:v>374</x:v>
      </x:c>
      <x:c r="K1495" s="4" t="n">
        <x:v>265</x:v>
      </x:c>
      <x:c r="L1495" s="4" t="n">
        <x:v>352</x:v>
      </x:c>
      <x:c r="M1495" s="4" t="n">
        <x:v>197</x:v>
      </x:c>
      <x:c r="N1495" s="5" t="n">
        <x:v>0.5597</x:v>
      </x:c>
    </x:row>
    <x:row r="1496" ht="24" customHeight="1">
      <x:c r="A1496" s="1" t="str">
        <x:v>RESULT</x:v>
      </x:c>
      <x:c r="B1496" s="1" t="str">
        <x:v>Round2</x:v>
      </x:c>
      <x:c r="C1496" s="1" t="str">
        <x:v>Lang_28</x:v>
      </x:c>
      <x:c r="D1496" s="1" t="str">
        <x:v>INCONCLUSIVE</x:v>
      </x:c>
      <x:c r="E1496" s="5" t="n">
        <x:v>0.95</x:v>
      </x:c>
      <x:c r="F1496" s="4" t="n">
        <x:v>0</x:v>
      </x:c>
      <x:c r="G1496" s="4"/>
      <x:c r="H1496" s="6"/>
      <x:c r="I1496" s="16" t="n">
        <x:v>1</x:v>
      </x:c>
      <x:c r="J1496" t="n">
        <x:v>20</x:v>
      </x:c>
      <x:c r="K1496" s="4" t="n">
        <x:v>19</x:v>
      </x:c>
      <x:c r="L1496" s="4" t="n">
        <x:v>14</x:v>
      </x:c>
      <x:c r="M1496" s="4" t="n">
        <x:v>12</x:v>
      </x:c>
      <x:c r="N1496" s="5" t="n">
        <x:v>0.8571</x:v>
      </x:c>
    </x:row>
    <x:row r="1497" ht="24" customHeight="1">
      <x:c r="A1497" s="1" t="str">
        <x:v>RESULT</x:v>
      </x:c>
      <x:c r="B1497" s="1" t="str">
        <x:v>Round2</x:v>
      </x:c>
      <x:c r="C1497" s="1" t="str">
        <x:v>Lang_29</x:v>
      </x:c>
      <x:c r="D1497" s="1" t="str">
        <x:v>NOT_REVEALING</x:v>
      </x:c>
      <x:c r="E1497" s="5" t="n">
        <x:v>0.9290999999999999</x:v>
      </x:c>
      <x:c r="F1497" s="4" t="n">
        <x:v>0</x:v>
      </x:c>
      <x:c r="G1497" s="4" t="n">
        <x:v>27351</x:v>
      </x:c>
      <x:c r="H1497" s="6" t="n">
        <x:v>1115.59</x:v>
      </x:c>
      <x:c r="I1497" s="16" t="n">
        <x:v>1</x:v>
      </x:c>
      <x:c r="J1497" t="n">
        <x:v>141</x:v>
      </x:c>
      <x:c r="K1497" s="4" t="n">
        <x:v>131</x:v>
      </x:c>
      <x:c r="L1497" s="4" t="n">
        <x:v>50</x:v>
      </x:c>
      <x:c r="M1497" s="4" t="n">
        <x:v>43</x:v>
      </x:c>
      <x:c r="N1497" s="5" t="n">
        <x:v>0.86</x:v>
      </x:c>
    </x:row>
    <x:row r="1498" ht="24" customHeight="1">
      <x:c r="A1498" s="1" t="str">
        <x:v>RESULT</x:v>
      </x:c>
      <x:c r="B1498" s="1" t="str">
        <x:v>Round2</x:v>
      </x:c>
      <x:c r="C1498" s="1" t="str">
        <x:v>Lang_3</x:v>
      </x:c>
      <x:c r="D1498" s="1" t="str">
        <x:v>INCONCLUSIVE</x:v>
      </x:c>
      <x:c r="E1498" s="5" t="n">
        <x:v>0.6568</x:v>
      </x:c>
      <x:c r="F1498" s="4" t="n">
        <x:v>0</x:v>
      </x:c>
      <x:c r="G1498" s="4" t="n">
        <x:v>9217</x:v>
      </x:c>
      <x:c r="H1498" s="6" t="n">
        <x:v>35.18</x:v>
      </x:c>
      <x:c r="I1498" s="16" t="n">
        <x:v>1</x:v>
      </x:c>
      <x:c r="J1498" t="n">
        <x:v>373</x:v>
      </x:c>
      <x:c r="K1498" s="4" t="n">
        <x:v>245</x:v>
      </x:c>
      <x:c r="L1498" s="4" t="n">
        <x:v>334</x:v>
      </x:c>
      <x:c r="M1498" s="4" t="n">
        <x:v>176</x:v>
      </x:c>
      <x:c r="N1498" s="5" t="n">
        <x:v>0.5268999999999999</x:v>
      </x:c>
    </x:row>
    <x:row r="1499" ht="24" customHeight="1">
      <x:c r="A1499" s="1" t="str">
        <x:v>RESULT</x:v>
      </x:c>
      <x:c r="B1499" s="1" t="str">
        <x:v>Round2</x:v>
      </x:c>
      <x:c r="C1499" s="1" t="str">
        <x:v>Lang_30</x:v>
      </x:c>
      <x:c r="D1499" s="1" t="str">
        <x:v>NOT_AVAILABLE</x:v>
      </x:c>
      <x:c r="E1499" s="5"/>
      <x:c r="F1499" s="4" t="n">
        <x:v>0</x:v>
      </x:c>
      <x:c r="G1499" s="4" t="n">
        <x:v>31057</x:v>
      </x:c>
      <x:c r="H1499" s="6" t="n">
        <x:v>191.59</x:v>
      </x:c>
      <x:c r="I1499" s="16" t="n">
        <x:v>1</x:v>
      </x:c>
      <x:c r="J1499"/>
      <x:c r="K1499" s="4"/>
      <x:c r="L1499" s="4"/>
      <x:c r="M1499" s="4"/>
      <x:c r="N1499" s="5"/>
    </x:row>
    <x:row r="1500" ht="24" customHeight="1">
      <x:c r="A1500" s="1" t="str">
        <x:v>RESULT</x:v>
      </x:c>
      <x:c r="B1500" s="1" t="str">
        <x:v>Round2</x:v>
      </x:c>
      <x:c r="C1500" s="1" t="str">
        <x:v>Lang_31</x:v>
      </x:c>
      <x:c r="D1500" s="1" t="str">
        <x:v>INCONCLUSIVE</x:v>
      </x:c>
      <x:c r="E1500" s="5" t="n">
        <x:v>0.21309999999999998</x:v>
      </x:c>
      <x:c r="F1500" s="4" t="n">
        <x:v>0</x:v>
      </x:c>
      <x:c r="G1500" s="4" t="n">
        <x:v>18836</x:v>
      </x:c>
      <x:c r="H1500" s="6" t="n">
        <x:v>28.62</x:v>
      </x:c>
      <x:c r="I1500" s="16" t="n">
        <x:v>1</x:v>
      </x:c>
      <x:c r="J1500" t="n">
        <x:v>1178</x:v>
      </x:c>
      <x:c r="K1500" s="4" t="n">
        <x:v>251</x:v>
      </x:c>
      <x:c r="L1500" s="4" t="n">
        <x:v>1045</x:v>
      </x:c>
      <x:c r="M1500" s="4" t="n">
        <x:v>187</x:v>
      </x:c>
      <x:c r="N1500" s="5" t="n">
        <x:v>0.1789</x:v>
      </x:c>
    </x:row>
    <x:row r="1501" ht="24" customHeight="1">
      <x:c r="A1501" s="1" t="str">
        <x:v>RESULT</x:v>
      </x:c>
      <x:c r="B1501" s="1" t="str">
        <x:v>Round2</x:v>
      </x:c>
      <x:c r="C1501" s="1" t="str">
        <x:v>Lang_32</x:v>
      </x:c>
      <x:c r="D1501" s="1" t="str">
        <x:v>INCONCLUSIVE</x:v>
      </x:c>
      <x:c r="E1501" s="5" t="n">
        <x:v>0.8219</x:v>
      </x:c>
      <x:c r="F1501" s="4" t="n">
        <x:v>0</x:v>
      </x:c>
      <x:c r="G1501" s="4" t="n">
        <x:v>10550</x:v>
      </x:c>
      <x:c r="H1501" s="6" t="n">
        <x:v>73.15</x:v>
      </x:c>
      <x:c r="I1501" s="16" t="n">
        <x:v>1</x:v>
      </x:c>
      <x:c r="J1501" t="n">
        <x:v>146</x:v>
      </x:c>
      <x:c r="K1501" s="4" t="n">
        <x:v>120</x:v>
      </x:c>
      <x:c r="L1501" s="4" t="n">
        <x:v>86</x:v>
      </x:c>
      <x:c r="M1501" s="4" t="n">
        <x:v>68</x:v>
      </x:c>
      <x:c r="N1501" s="5" t="n">
        <x:v>0.7907</x:v>
      </x:c>
    </x:row>
    <x:row r="1502" ht="24" customHeight="1">
      <x:c r="A1502" s="1" t="str">
        <x:v>RESULT</x:v>
      </x:c>
      <x:c r="B1502" s="1" t="str">
        <x:v>Round2</x:v>
      </x:c>
      <x:c r="C1502" s="1" t="str">
        <x:v>Lang_33</x:v>
      </x:c>
      <x:c r="D1502" s="1" t="str">
        <x:v>NOT_AVAILABLE</x:v>
      </x:c>
      <x:c r="E1502" s="5"/>
      <x:c r="F1502" s="4" t="n">
        <x:v>0</x:v>
      </x:c>
      <x:c r="G1502" s="4" t="n">
        <x:v>14594</x:v>
      </x:c>
      <x:c r="H1502" s="6" t="n">
        <x:v>105.59</x:v>
      </x:c>
      <x:c r="I1502" s="16" t="n">
        <x:v>1</x:v>
      </x:c>
      <x:c r="J1502"/>
      <x:c r="K1502" s="4"/>
      <x:c r="L1502" s="4"/>
      <x:c r="M1502" s="4"/>
      <x:c r="N1502" s="5"/>
    </x:row>
    <x:row r="1503" ht="24" customHeight="1">
      <x:c r="A1503" s="1" t="str">
        <x:v>RESULT</x:v>
      </x:c>
      <x:c r="B1503" s="1" t="str">
        <x:v>Round2</x:v>
      </x:c>
      <x:c r="C1503" s="1" t="str">
        <x:v>Lang_34</x:v>
      </x:c>
      <x:c r="D1503" s="1" t="str">
        <x:v>INCONCLUSIVE</x:v>
      </x:c>
      <x:c r="E1503" s="5" t="n">
        <x:v>0.8776999999999999</x:v>
      </x:c>
      <x:c r="F1503" s="4" t="n">
        <x:v>0</x:v>
      </x:c>
      <x:c r="G1503" s="4" t="n">
        <x:v>13115</x:v>
      </x:c>
      <x:c r="H1503" s="6" t="n">
        <x:v>58.99</x:v>
      </x:c>
      <x:c r="I1503" s="16" t="n">
        <x:v>1</x:v>
      </x:c>
      <x:c r="J1503" t="n">
        <x:v>515</x:v>
      </x:c>
      <x:c r="K1503" s="4" t="n">
        <x:v>452</x:v>
      </x:c>
      <x:c r="L1503" s="4" t="n">
        <x:v>216</x:v>
      </x:c>
      <x:c r="M1503" s="4" t="n">
        <x:v>156</x:v>
      </x:c>
      <x:c r="N1503" s="5" t="n">
        <x:v>0.7222</x:v>
      </x:c>
    </x:row>
    <x:row r="1504" ht="24" customHeight="1">
      <x:c r="A1504" s="1" t="str">
        <x:v>RESULT</x:v>
      </x:c>
      <x:c r="B1504" s="1" t="str">
        <x:v>Round2</x:v>
      </x:c>
      <x:c r="C1504" s="1" t="str">
        <x:v>Lang_35</x:v>
      </x:c>
      <x:c r="D1504" s="1" t="str">
        <x:v>INCONCLUSIVE</x:v>
      </x:c>
      <x:c r="E1504" s="5" t="n">
        <x:v>0.166</x:v>
      </x:c>
      <x:c r="F1504" s="4" t="n">
        <x:v>0</x:v>
      </x:c>
      <x:c r="G1504" s="4" t="n">
        <x:v>17542</x:v>
      </x:c>
      <x:c r="H1504" s="6" t="n">
        <x:v>28.62</x:v>
      </x:c>
      <x:c r="I1504" s="16" t="n">
        <x:v>1</x:v>
      </x:c>
      <x:c r="J1504" t="n">
        <x:v>964</x:v>
      </x:c>
      <x:c r="K1504" s="4" t="n">
        <x:v>160</x:v>
      </x:c>
      <x:c r="L1504" s="4" t="n">
        <x:v>806</x:v>
      </x:c>
      <x:c r="M1504" s="4" t="n">
        <x:v>110</x:v>
      </x:c>
      <x:c r="N1504" s="5" t="n">
        <x:v>0.1365</x:v>
      </x:c>
    </x:row>
    <x:row r="1505" ht="24" customHeight="1">
      <x:c r="A1505" s="1" t="str">
        <x:v>RESULT</x:v>
      </x:c>
      <x:c r="B1505" s="1" t="str">
        <x:v>Round2</x:v>
      </x:c>
      <x:c r="C1505" s="1" t="str">
        <x:v>Lang_36</x:v>
      </x:c>
      <x:c r="D1505" s="1" t="str">
        <x:v>NOT_AVAILABLE</x:v>
      </x:c>
      <x:c r="E1505" s="5"/>
      <x:c r="F1505" s="4" t="n">
        <x:v>0</x:v>
      </x:c>
      <x:c r="G1505" s="4" t="n">
        <x:v>10575</x:v>
      </x:c>
      <x:c r="H1505" s="6" t="n">
        <x:v>50.64</x:v>
      </x:c>
      <x:c r="I1505" s="16" t="n">
        <x:v>1</x:v>
      </x:c>
      <x:c r="J1505"/>
      <x:c r="K1505" s="4"/>
      <x:c r="L1505" s="4"/>
      <x:c r="M1505" s="4"/>
      <x:c r="N1505" s="5"/>
    </x:row>
    <x:row r="1506" ht="24" customHeight="1">
      <x:c r="A1506" s="1" t="str">
        <x:v>RESULT</x:v>
      </x:c>
      <x:c r="B1506" s="1" t="str">
        <x:v>Round2</x:v>
      </x:c>
      <x:c r="C1506" s="1" t="str">
        <x:v>Lang_37</x:v>
      </x:c>
      <x:c r="D1506" s="1" t="str">
        <x:v>NOT_REVEALING</x:v>
      </x:c>
      <x:c r="E1506" s="5" t="n">
        <x:v>0.225</x:v>
      </x:c>
      <x:c r="F1506" s="4" t="n">
        <x:v>0</x:v>
      </x:c>
      <x:c r="G1506" s="4" t="n">
        <x:v>18859</x:v>
      </x:c>
      <x:c r="H1506" s="6" t="n">
        <x:v>85.49</x:v>
      </x:c>
      <x:c r="I1506" s="16" t="n">
        <x:v>1</x:v>
      </x:c>
      <x:c r="J1506" t="n">
        <x:v>951</x:v>
      </x:c>
      <x:c r="K1506" s="4" t="n">
        <x:v>214</x:v>
      </x:c>
      <x:c r="L1506" s="4" t="n">
        <x:v>804</x:v>
      </x:c>
      <x:c r="M1506" s="4" t="n">
        <x:v>135</x:v>
      </x:c>
      <x:c r="N1506" s="5" t="n">
        <x:v>0.1679</x:v>
      </x:c>
    </x:row>
    <x:row r="1507" ht="24" customHeight="1">
      <x:c r="A1507" s="1" t="str">
        <x:v>RESULT</x:v>
      </x:c>
      <x:c r="B1507" s="1" t="str">
        <x:v>Round2</x:v>
      </x:c>
      <x:c r="C1507" s="1" t="str">
        <x:v>Lang_38</x:v>
      </x:c>
      <x:c r="D1507" s="1" t="str">
        <x:v>REVEALING</x:v>
      </x:c>
      <x:c r="E1507" s="5" t="n">
        <x:v>0.7759</x:v>
      </x:c>
      <x:c r="F1507" s="4" t="n">
        <x:v>1</x:v>
      </x:c>
      <x:c r="G1507" s="4"/>
      <x:c r="H1507" s="6"/>
      <x:c r="I1507" s="16" t="n">
        <x:v>1</x:v>
      </x:c>
      <x:c r="J1507" t="n">
        <x:v>464</x:v>
      </x:c>
      <x:c r="K1507" s="4" t="n">
        <x:v>360</x:v>
      </x:c>
      <x:c r="L1507" s="4" t="n">
        <x:v>228</x:v>
      </x:c>
      <x:c r="M1507" s="4" t="n">
        <x:v>136</x:v>
      </x:c>
      <x:c r="N1507" s="5" t="n">
        <x:v>0.5965</x:v>
      </x:c>
    </x:row>
    <x:row r="1508" ht="24" customHeight="1">
      <x:c r="A1508" s="1" t="str">
        <x:v>RESULT</x:v>
      </x:c>
      <x:c r="B1508" s="1" t="str">
        <x:v>Round2</x:v>
      </x:c>
      <x:c r="C1508" s="1" t="str">
        <x:v>Lang_39</x:v>
      </x:c>
      <x:c r="D1508" s="1" t="str">
        <x:v>INCONCLUSIVE</x:v>
      </x:c>
      <x:c r="E1508" s="5" t="n">
        <x:v>0.2309</x:v>
      </x:c>
      <x:c r="F1508" s="4" t="n">
        <x:v>0</x:v>
      </x:c>
      <x:c r="G1508" s="4" t="n">
        <x:v>18079</x:v>
      </x:c>
      <x:c r="H1508" s="6" t="n">
        <x:v>41.74</x:v>
      </x:c>
      <x:c r="I1508" s="16" t="n">
        <x:v>1</x:v>
      </x:c>
      <x:c r="J1508" t="n">
        <x:v>1126</x:v>
      </x:c>
      <x:c r="K1508" s="4" t="n">
        <x:v>260</x:v>
      </x:c>
      <x:c r="L1508" s="4" t="n">
        <x:v>1005</x:v>
      </x:c>
      <x:c r="M1508" s="4" t="n">
        <x:v>220</x:v>
      </x:c>
      <x:c r="N1508" s="5" t="n">
        <x:v>0.2189</x:v>
      </x:c>
    </x:row>
    <x:row r="1509" ht="24" customHeight="1">
      <x:c r="A1509" s="1" t="str">
        <x:v>RESULT</x:v>
      </x:c>
      <x:c r="B1509" s="1" t="str">
        <x:v>Round2</x:v>
      </x:c>
      <x:c r="C1509" s="1" t="str">
        <x:v>Lang_4</x:v>
      </x:c>
      <x:c r="D1509" s="1" t="str">
        <x:v>INCONCLUSIVE</x:v>
      </x:c>
      <x:c r="E1509" s="5" t="n">
        <x:v>1</x:v>
      </x:c>
      <x:c r="F1509" s="4" t="n">
        <x:v>0</x:v>
      </x:c>
      <x:c r="G1509" s="4"/>
      <x:c r="H1509" s="6"/>
      <x:c r="I1509" s="16" t="n">
        <x:v>1</x:v>
      </x:c>
      <x:c r="J1509" t="n">
        <x:v>25</x:v>
      </x:c>
      <x:c r="K1509" s="4" t="n">
        <x:v>25</x:v>
      </x:c>
      <x:c r="L1509" s="4" t="n">
        <x:v>14</x:v>
      </x:c>
      <x:c r="M1509" s="4" t="n">
        <x:v>14</x:v>
      </x:c>
      <x:c r="N1509" s="5" t="n">
        <x:v>1</x:v>
      </x:c>
    </x:row>
    <x:row r="1510" ht="24" customHeight="1">
      <x:c r="A1510" s="1" t="str">
        <x:v>RESULT</x:v>
      </x:c>
      <x:c r="B1510" s="1" t="str">
        <x:v>Round2</x:v>
      </x:c>
      <x:c r="C1510" s="1" t="str">
        <x:v>Lang_40</x:v>
      </x:c>
      <x:c r="D1510" s="1" t="str">
        <x:v>INCONCLUSIVE</x:v>
      </x:c>
      <x:c r="E1510" s="5" t="n">
        <x:v>0.25</x:v>
      </x:c>
      <x:c r="F1510" s="4" t="n">
        <x:v>0</x:v>
      </x:c>
      <x:c r="G1510" s="4" t="n">
        <x:v>17226</x:v>
      </x:c>
      <x:c r="H1510" s="6" t="n">
        <x:v>25.38</x:v>
      </x:c>
      <x:c r="I1510" s="16" t="n">
        <x:v>1</x:v>
      </x:c>
      <x:c r="J1510" t="n">
        <x:v>1096</x:v>
      </x:c>
      <x:c r="K1510" s="4" t="n">
        <x:v>274</x:v>
      </x:c>
      <x:c r="L1510" s="4" t="n">
        <x:v>997</x:v>
      </x:c>
      <x:c r="M1510" s="4" t="n">
        <x:v>209</x:v>
      </x:c>
      <x:c r="N1510" s="5" t="n">
        <x:v>0.2096</x:v>
      </x:c>
    </x:row>
    <x:row r="1511" ht="24" customHeight="1">
      <x:c r="A1511" s="1" t="str">
        <x:v>RESULT</x:v>
      </x:c>
      <x:c r="B1511" s="1" t="str">
        <x:v>Round2</x:v>
      </x:c>
      <x:c r="C1511" s="1" t="str">
        <x:v>Lang_41</x:v>
      </x:c>
      <x:c r="D1511" s="1" t="str">
        <x:v>NOT_AVAILABLE</x:v>
      </x:c>
      <x:c r="E1511" s="5"/>
      <x:c r="F1511" s="4" t="n">
        <x:v>0</x:v>
      </x:c>
      <x:c r="G1511" s="4" t="n">
        <x:v>9752</x:v>
      </x:c>
      <x:c r="H1511" s="6" t="n">
        <x:v>47.56</x:v>
      </x:c>
      <x:c r="I1511" s="16" t="n">
        <x:v>1</x:v>
      </x:c>
      <x:c r="J1511"/>
      <x:c r="K1511" s="4"/>
      <x:c r="L1511" s="4"/>
      <x:c r="M1511" s="4"/>
      <x:c r="N1511" s="5"/>
    </x:row>
    <x:row r="1512" ht="24" customHeight="1">
      <x:c r="A1512" s="1" t="str">
        <x:v>RESULT</x:v>
      </x:c>
      <x:c r="B1512" s="1" t="str">
        <x:v>Round2</x:v>
      </x:c>
      <x:c r="C1512" s="1" t="str">
        <x:v>Lang_42</x:v>
      </x:c>
      <x:c r="D1512" s="1" t="str">
        <x:v>INCONCLUSIVE</x:v>
      </x:c>
      <x:c r="E1512" s="5" t="n">
        <x:v>0.5652</x:v>
      </x:c>
      <x:c r="F1512" s="4" t="n">
        <x:v>0</x:v>
      </x:c>
      <x:c r="G1512" s="4" t="n">
        <x:v>11569</x:v>
      </x:c>
      <x:c r="H1512" s="6" t="n">
        <x:v>66.71</x:v>
      </x:c>
      <x:c r="I1512" s="16" t="n">
        <x:v>1</x:v>
      </x:c>
      <x:c r="J1512" t="n">
        <x:v>207</x:v>
      </x:c>
      <x:c r="K1512" s="4" t="n">
        <x:v>117</x:v>
      </x:c>
      <x:c r="L1512" s="4" t="n">
        <x:v>64</x:v>
      </x:c>
      <x:c r="M1512" s="4" t="n">
        <x:v>38</x:v>
      </x:c>
      <x:c r="N1512" s="5" t="n">
        <x:v>0.5938</x:v>
      </x:c>
    </x:row>
    <x:row r="1513" ht="24" customHeight="1">
      <x:c r="A1513" s="1" t="str">
        <x:v>RESULT</x:v>
      </x:c>
      <x:c r="B1513" s="1" t="str">
        <x:v>Round2</x:v>
      </x:c>
      <x:c r="C1513" s="1" t="str">
        <x:v>Lang_43</x:v>
      </x:c>
      <x:c r="D1513" s="1" t="str">
        <x:v>NOT_AVAILABLE</x:v>
      </x:c>
      <x:c r="E1513" s="5"/>
      <x:c r="F1513" s="4" t="n">
        <x:v>0</x:v>
      </x:c>
      <x:c r="G1513" s="4" t="n">
        <x:v>6737</x:v>
      </x:c>
      <x:c r="H1513" s="6" t="n">
        <x:v>26.91</x:v>
      </x:c>
      <x:c r="I1513" s="16" t="n">
        <x:v>1</x:v>
      </x:c>
      <x:c r="J1513"/>
      <x:c r="K1513" s="4"/>
      <x:c r="L1513" s="4"/>
      <x:c r="M1513" s="4"/>
      <x:c r="N1513" s="5"/>
    </x:row>
    <x:row r="1514" ht="24" customHeight="1">
      <x:c r="A1514" s="1" t="str">
        <x:v>RESULT</x:v>
      </x:c>
      <x:c r="B1514" s="1" t="str">
        <x:v>Round2</x:v>
      </x:c>
      <x:c r="C1514" s="1" t="str">
        <x:v>Lang_44</x:v>
      </x:c>
      <x:c r="D1514" s="1" t="str">
        <x:v>INCONCLUSIVE</x:v>
      </x:c>
      <x:c r="E1514" s="5" t="n">
        <x:v>0.6526000000000001</x:v>
      </x:c>
      <x:c r="F1514" s="4" t="n">
        <x:v>0</x:v>
      </x:c>
      <x:c r="G1514" s="4"/>
      <x:c r="H1514" s="6"/>
      <x:c r="I1514" s="16" t="n">
        <x:v>1</x:v>
      </x:c>
      <x:c r="J1514" t="n">
        <x:v>190</x:v>
      </x:c>
      <x:c r="K1514" s="4" t="n">
        <x:v>124</x:v>
      </x:c>
      <x:c r="L1514" s="4" t="n">
        <x:v>216</x:v>
      </x:c>
      <x:c r="M1514" s="4" t="n">
        <x:v>93</x:v>
      </x:c>
      <x:c r="N1514" s="5" t="n">
        <x:v>0.43060000000000004</x:v>
      </x:c>
    </x:row>
    <x:row r="1515" ht="24" customHeight="1">
      <x:c r="A1515" s="1" t="str">
        <x:v>RESULT</x:v>
      </x:c>
      <x:c r="B1515" s="1" t="str">
        <x:v>Round2</x:v>
      </x:c>
      <x:c r="C1515" s="1" t="str">
        <x:v>Lang_45</x:v>
      </x:c>
      <x:c r="D1515" s="1" t="str">
        <x:v>INCONCLUSIVE</x:v>
      </x:c>
      <x:c r="E1515" s="5" t="n">
        <x:v>0.9493</x:v>
      </x:c>
      <x:c r="F1515" s="4" t="n">
        <x:v>0</x:v>
      </x:c>
      <x:c r="G1515" s="4"/>
      <x:c r="H1515" s="6"/>
      <x:c r="I1515" s="16" t="n">
        <x:v>1</x:v>
      </x:c>
      <x:c r="J1515" t="n">
        <x:v>138</x:v>
      </x:c>
      <x:c r="K1515" s="4" t="n">
        <x:v>131</x:v>
      </x:c>
      <x:c r="L1515" s="4" t="n">
        <x:v>102</x:v>
      </x:c>
      <x:c r="M1515" s="4" t="n">
        <x:v>97</x:v>
      </x:c>
      <x:c r="N1515" s="5" t="n">
        <x:v>0.951</x:v>
      </x:c>
    </x:row>
    <x:row r="1516" ht="24" customHeight="1">
      <x:c r="A1516" s="1" t="str">
        <x:v>RESULT</x:v>
      </x:c>
      <x:c r="B1516" s="1" t="str">
        <x:v>Round2</x:v>
      </x:c>
      <x:c r="C1516" s="1" t="str">
        <x:v>Lang_46</x:v>
      </x:c>
      <x:c r="D1516" s="1" t="str">
        <x:v>INCONCLUSIVE</x:v>
      </x:c>
      <x:c r="E1516" s="5" t="n">
        <x:v>0.7421</x:v>
      </x:c>
      <x:c r="F1516" s="4" t="n">
        <x:v>0</x:v>
      </x:c>
      <x:c r="G1516" s="4" t="n">
        <x:v>5926</x:v>
      </x:c>
      <x:c r="H1516" s="6" t="n">
        <x:v>163.63</x:v>
      </x:c>
      <x:c r="I1516" s="16" t="n">
        <x:v>1</x:v>
      </x:c>
      <x:c r="J1516" t="n">
        <x:v>221</x:v>
      </x:c>
      <x:c r="K1516" s="4" t="n">
        <x:v>164</x:v>
      </x:c>
      <x:c r="L1516" s="4" t="n">
        <x:v>107</x:v>
      </x:c>
      <x:c r="M1516" s="4" t="n">
        <x:v>88</x:v>
      </x:c>
      <x:c r="N1516" s="5" t="n">
        <x:v>0.8223999999999999</x:v>
      </x:c>
    </x:row>
    <x:row r="1517" ht="24" customHeight="1">
      <x:c r="A1517" s="1" t="str">
        <x:v>RESULT</x:v>
      </x:c>
      <x:c r="B1517" s="1" t="str">
        <x:v>Round2</x:v>
      </x:c>
      <x:c r="C1517" s="1" t="str">
        <x:v>Lang_47</x:v>
      </x:c>
      <x:c r="D1517" s="1" t="str">
        <x:v>NOT_AVAILABLE</x:v>
      </x:c>
      <x:c r="E1517" s="5"/>
      <x:c r="F1517" s="4" t="n">
        <x:v>0</x:v>
      </x:c>
      <x:c r="G1517" s="4" t="n">
        <x:v>30423</x:v>
      </x:c>
      <x:c r="H1517" s="6" t="n">
        <x:v>835.34</x:v>
      </x:c>
      <x:c r="I1517" s="16" t="n">
        <x:v>1</x:v>
      </x:c>
      <x:c r="J1517"/>
      <x:c r="K1517" s="4"/>
      <x:c r="L1517" s="4"/>
      <x:c r="M1517" s="4"/>
      <x:c r="N1517" s="5"/>
    </x:row>
    <x:row r="1518" ht="24" customHeight="1">
      <x:c r="A1518" s="1" t="str">
        <x:v>RESULT</x:v>
      </x:c>
      <x:c r="B1518" s="1" t="str">
        <x:v>Round2</x:v>
      </x:c>
      <x:c r="C1518" s="1" t="str">
        <x:v>Lang_49</x:v>
      </x:c>
      <x:c r="D1518" s="1" t="str">
        <x:v>INCONCLUSIVE</x:v>
      </x:c>
      <x:c r="E1518" s="5" t="n">
        <x:v>0.9348000000000001</x:v>
      </x:c>
      <x:c r="F1518" s="4" t="n">
        <x:v>0</x:v>
      </x:c>
      <x:c r="G1518" s="4"/>
      <x:c r="H1518" s="6"/>
      <x:c r="I1518" s="16" t="n">
        <x:v>1</x:v>
      </x:c>
      <x:c r="J1518" t="n">
        <x:v>276</x:v>
      </x:c>
      <x:c r="K1518" s="4" t="n">
        <x:v>258</x:v>
      </x:c>
      <x:c r="L1518" s="4" t="n">
        <x:v>184</x:v>
      </x:c>
      <x:c r="M1518" s="4" t="n">
        <x:v>148</x:v>
      </x:c>
      <x:c r="N1518" s="5" t="n">
        <x:v>0.8043</x:v>
      </x:c>
    </x:row>
    <x:row r="1519" ht="24" customHeight="1">
      <x:c r="A1519" s="1" t="str">
        <x:v>RESULT</x:v>
      </x:c>
      <x:c r="B1519" s="1" t="str">
        <x:v>Round2</x:v>
      </x:c>
      <x:c r="C1519" s="1" t="str">
        <x:v>Lang_5</x:v>
      </x:c>
      <x:c r="D1519" s="1" t="str">
        <x:v>INCONCLUSIVE</x:v>
      </x:c>
      <x:c r="E1519" s="5" t="n">
        <x:v>0.9390000000000001</x:v>
      </x:c>
      <x:c r="F1519" s="4" t="n">
        <x:v>0</x:v>
      </x:c>
      <x:c r="G1519" s="4"/>
      <x:c r="H1519" s="6"/>
      <x:c r="I1519" s="16" t="n">
        <x:v>1</x:v>
      </x:c>
      <x:c r="J1519" t="n">
        <x:v>82</x:v>
      </x:c>
      <x:c r="K1519" s="4" t="n">
        <x:v>77</x:v>
      </x:c>
      <x:c r="L1519" s="4" t="n">
        <x:v>56</x:v>
      </x:c>
      <x:c r="M1519" s="4" t="n">
        <x:v>49</x:v>
      </x:c>
      <x:c r="N1519" s="5" t="n">
        <x:v>0.875</x:v>
      </x:c>
    </x:row>
    <x:row r="1520" ht="24" customHeight="1">
      <x:c r="A1520" s="1" t="str">
        <x:v>RESULT</x:v>
      </x:c>
      <x:c r="B1520" s="1" t="str">
        <x:v>Round2</x:v>
      </x:c>
      <x:c r="C1520" s="1" t="str">
        <x:v>Lang_50</x:v>
      </x:c>
      <x:c r="D1520" s="1" t="str">
        <x:v>INCONCLUSIVE</x:v>
      </x:c>
      <x:c r="E1520" s="5" t="n">
        <x:v>0.7559</x:v>
      </x:c>
      <x:c r="F1520" s="4" t="n">
        <x:v>0</x:v>
      </x:c>
      <x:c r="G1520" s="4" t="n">
        <x:v>10477</x:v>
      </x:c>
      <x:c r="H1520" s="6" t="n">
        <x:v>22.46</x:v>
      </x:c>
      <x:c r="I1520" s="16" t="n">
        <x:v>1</x:v>
      </x:c>
      <x:c r="J1520" t="n">
        <x:v>467</x:v>
      </x:c>
      <x:c r="K1520" s="4" t="n">
        <x:v>353</x:v>
      </x:c>
      <x:c r="L1520" s="4" t="n">
        <x:v>232</x:v>
      </x:c>
      <x:c r="M1520" s="4" t="n">
        <x:v>127</x:v>
      </x:c>
      <x:c r="N1520" s="5" t="n">
        <x:v>0.5474</x:v>
      </x:c>
    </x:row>
    <x:row r="1521" ht="24" customHeight="1">
      <x:c r="A1521" s="1" t="str">
        <x:v>RESULT</x:v>
      </x:c>
      <x:c r="B1521" s="1" t="str">
        <x:v>Round2</x:v>
      </x:c>
      <x:c r="C1521" s="1" t="str">
        <x:v>Lang_51</x:v>
      </x:c>
      <x:c r="D1521" s="1" t="str">
        <x:v>INCONCLUSIVE</x:v>
      </x:c>
      <x:c r="E1521" s="5" t="n">
        <x:v>0.9064</x:v>
      </x:c>
      <x:c r="F1521" s="4" t="n">
        <x:v>0</x:v>
      </x:c>
      <x:c r="G1521" s="4"/>
      <x:c r="H1521" s="6"/>
      <x:c r="I1521" s="16" t="n">
        <x:v>1</x:v>
      </x:c>
      <x:c r="J1521" t="n">
        <x:v>171</x:v>
      </x:c>
      <x:c r="K1521" s="4" t="n">
        <x:v>155</x:v>
      </x:c>
      <x:c r="L1521" s="4" t="n">
        <x:v>212</x:v>
      </x:c>
      <x:c r="M1521" s="4" t="n">
        <x:v>161</x:v>
      </x:c>
      <x:c r="N1521" s="5" t="n">
        <x:v>0.7594</x:v>
      </x:c>
    </x:row>
    <x:row r="1522" ht="24" customHeight="1">
      <x:c r="A1522" s="1" t="str">
        <x:v>RESULT</x:v>
      </x:c>
      <x:c r="B1522" s="1" t="str">
        <x:v>Round2</x:v>
      </x:c>
      <x:c r="C1522" s="1" t="str">
        <x:v>Lang_52</x:v>
      </x:c>
      <x:c r="D1522" s="1" t="str">
        <x:v>NOT_AVAILABLE</x:v>
      </x:c>
      <x:c r="E1522" s="5"/>
      <x:c r="F1522" s="4" t="n">
        <x:v>0</x:v>
      </x:c>
      <x:c r="G1522" s="4" t="n">
        <x:v>5997</x:v>
      </x:c>
      <x:c r="H1522" s="6" t="n">
        <x:v>25.37</x:v>
      </x:c>
      <x:c r="I1522" s="16" t="n">
        <x:v>1</x:v>
      </x:c>
      <x:c r="J1522"/>
      <x:c r="K1522" s="4"/>
      <x:c r="L1522" s="4"/>
      <x:c r="M1522" s="4"/>
      <x:c r="N1522" s="5"/>
    </x:row>
    <x:row r="1523" ht="24" customHeight="1">
      <x:c r="A1523" s="1" t="str">
        <x:v>RESULT</x:v>
      </x:c>
      <x:c r="B1523" s="1" t="str">
        <x:v>Round2</x:v>
      </x:c>
      <x:c r="C1523" s="1" t="str">
        <x:v>Lang_53</x:v>
      </x:c>
      <x:c r="D1523" s="1" t="str">
        <x:v>NOT_AVAILABLE</x:v>
      </x:c>
      <x:c r="E1523" s="5"/>
      <x:c r="F1523" s="4" t="n">
        <x:v>0</x:v>
      </x:c>
      <x:c r="G1523" s="4" t="n">
        <x:v>17556</x:v>
      </x:c>
      <x:c r="H1523" s="6" t="n">
        <x:v>76.32</x:v>
      </x:c>
      <x:c r="I1523" s="16" t="n">
        <x:v>1</x:v>
      </x:c>
      <x:c r="J1523"/>
      <x:c r="K1523" s="4"/>
      <x:c r="L1523" s="4"/>
      <x:c r="M1523" s="4"/>
      <x:c r="N1523" s="5"/>
    </x:row>
    <x:row r="1524" ht="24" customHeight="1">
      <x:c r="A1524" s="1" t="str">
        <x:v>RESULT</x:v>
      </x:c>
      <x:c r="B1524" s="1" t="str">
        <x:v>Round2</x:v>
      </x:c>
      <x:c r="C1524" s="1" t="str">
        <x:v>Lang_54</x:v>
      </x:c>
      <x:c r="D1524" s="1" t="str">
        <x:v>INCONCLUSIVE</x:v>
      </x:c>
      <x:c r="E1524" s="5" t="n">
        <x:v>0.9494</x:v>
      </x:c>
      <x:c r="F1524" s="4" t="n">
        <x:v>0</x:v>
      </x:c>
      <x:c r="G1524" s="4"/>
      <x:c r="H1524" s="6"/>
      <x:c r="I1524" s="16" t="n">
        <x:v>1</x:v>
      </x:c>
      <x:c r="J1524" t="n">
        <x:v>79</x:v>
      </x:c>
      <x:c r="K1524" s="4" t="n">
        <x:v>75</x:v>
      </x:c>
      <x:c r="L1524" s="4" t="n">
        <x:v>64</x:v>
      </x:c>
      <x:c r="M1524" s="4" t="n">
        <x:v>52</x:v>
      </x:c>
      <x:c r="N1524" s="5" t="n">
        <x:v>0.8125</x:v>
      </x:c>
    </x:row>
    <x:row r="1525" ht="24" customHeight="1">
      <x:c r="A1525" s="1" t="str">
        <x:v>RESULT</x:v>
      </x:c>
      <x:c r="B1525" s="1" t="str">
        <x:v>Round2</x:v>
      </x:c>
      <x:c r="C1525" s="1" t="str">
        <x:v>Lang_55</x:v>
      </x:c>
      <x:c r="D1525" s="1" t="str">
        <x:v>INCONCLUSIVE</x:v>
      </x:c>
      <x:c r="E1525" s="5" t="n">
        <x:v>0.9298000000000001</x:v>
      </x:c>
      <x:c r="F1525" s="4" t="n">
        <x:v>0</x:v>
      </x:c>
      <x:c r="G1525" s="4"/>
      <x:c r="H1525" s="6"/>
      <x:c r="I1525" s="16" t="n">
        <x:v>1</x:v>
      </x:c>
      <x:c r="J1525" t="n">
        <x:v>57</x:v>
      </x:c>
      <x:c r="K1525" s="4" t="n">
        <x:v>53</x:v>
      </x:c>
      <x:c r="L1525" s="4" t="n">
        <x:v>26</x:v>
      </x:c>
      <x:c r="M1525" s="4" t="n">
        <x:v>23</x:v>
      </x:c>
      <x:c r="N1525" s="5" t="n">
        <x:v>0.8845999999999999</x:v>
      </x:c>
    </x:row>
    <x:row r="1526" ht="24" customHeight="1">
      <x:c r="A1526" s="1" t="str">
        <x:v>RESULT</x:v>
      </x:c>
      <x:c r="B1526" s="1" t="str">
        <x:v>Round2</x:v>
      </x:c>
      <x:c r="C1526" s="1" t="str">
        <x:v>Lang_56</x:v>
      </x:c>
      <x:c r="D1526" s="1" t="str">
        <x:v>NOT_REVEALING</x:v>
      </x:c>
      <x:c r="E1526" s="5" t="n">
        <x:v>0.6809999999999999</x:v>
      </x:c>
      <x:c r="F1526" s="4" t="n">
        <x:v>0</x:v>
      </x:c>
      <x:c r="G1526" s="4" t="n">
        <x:v>32008</x:v>
      </x:c>
      <x:c r="H1526" s="6" t="n">
        <x:v>133.33</x:v>
      </x:c>
      <x:c r="I1526" s="16" t="n">
        <x:v>1</x:v>
      </x:c>
      <x:c r="J1526" t="n">
        <x:v>464</x:v>
      </x:c>
      <x:c r="K1526" s="4" t="n">
        <x:v>316</x:v>
      </x:c>
      <x:c r="L1526" s="4" t="n">
        <x:v>232</x:v>
      </x:c>
      <x:c r="M1526" s="4" t="n">
        <x:v>124</x:v>
      </x:c>
      <x:c r="N1526" s="5" t="n">
        <x:v>0.5345</x:v>
      </x:c>
    </x:row>
    <x:row r="1527" ht="24" customHeight="1">
      <x:c r="A1527" s="1" t="str">
        <x:v>RESULT</x:v>
      </x:c>
      <x:c r="B1527" s="1" t="str">
        <x:v>Round2</x:v>
      </x:c>
      <x:c r="C1527" s="1" t="str">
        <x:v>Lang_57</x:v>
      </x:c>
      <x:c r="D1527" s="1" t="str">
        <x:v>INCONCLUSIVE</x:v>
      </x:c>
      <x:c r="E1527" s="5" t="n">
        <x:v>0.9747</x:v>
      </x:c>
      <x:c r="F1527" s="4" t="n">
        <x:v>0</x:v>
      </x:c>
      <x:c r="G1527" s="4"/>
      <x:c r="H1527" s="6"/>
      <x:c r="I1527" s="16" t="n">
        <x:v>1</x:v>
      </x:c>
      <x:c r="J1527" t="n">
        <x:v>79</x:v>
      </x:c>
      <x:c r="K1527" s="4" t="n">
        <x:v>77</x:v>
      </x:c>
      <x:c r="L1527" s="4" t="n">
        <x:v>64</x:v>
      </x:c>
      <x:c r="M1527" s="4" t="n">
        <x:v>53</x:v>
      </x:c>
      <x:c r="N1527" s="5" t="n">
        <x:v>0.8281000000000001</x:v>
      </x:c>
    </x:row>
    <x:row r="1528" ht="24" customHeight="1">
      <x:c r="A1528" s="1" t="str">
        <x:v>RESULT</x:v>
      </x:c>
      <x:c r="B1528" s="1" t="str">
        <x:v>Round2</x:v>
      </x:c>
      <x:c r="C1528" s="1" t="str">
        <x:v>Lang_58</x:v>
      </x:c>
      <x:c r="D1528" s="1" t="str">
        <x:v>INCONCLUSIVE</x:v>
      </x:c>
      <x:c r="E1528" s="5" t="n">
        <x:v>0.8069</x:v>
      </x:c>
      <x:c r="F1528" s="4" t="n">
        <x:v>0</x:v>
      </x:c>
      <x:c r="G1528" s="4"/>
      <x:c r="H1528" s="6"/>
      <x:c r="I1528" s="16" t="n">
        <x:v>1</x:v>
      </x:c>
      <x:c r="J1528" t="n">
        <x:v>435</x:v>
      </x:c>
      <x:c r="K1528" s="4" t="n">
        <x:v>351</x:v>
      </x:c>
      <x:c r="L1528" s="4" t="n">
        <x:v>420</x:v>
      </x:c>
      <x:c r="M1528" s="4" t="n">
        <x:v>289</x:v>
      </x:c>
      <x:c r="N1528" s="5" t="n">
        <x:v>0.6881</x:v>
      </x:c>
    </x:row>
    <x:row r="1529" ht="24" customHeight="1">
      <x:c r="A1529" s="1" t="str">
        <x:v>RESULT</x:v>
      </x:c>
      <x:c r="B1529" s="1" t="str">
        <x:v>Round2</x:v>
      </x:c>
      <x:c r="C1529" s="1" t="str">
        <x:v>Lang_59</x:v>
      </x:c>
      <x:c r="D1529" s="1" t="str">
        <x:v>NOT_AVAILABLE</x:v>
      </x:c>
      <x:c r="E1529" s="5"/>
      <x:c r="F1529" s="4" t="n">
        <x:v>0</x:v>
      </x:c>
      <x:c r="G1529" s="4" t="n">
        <x:v>14482</x:v>
      </x:c>
      <x:c r="H1529" s="6" t="n">
        <x:v>42.52</x:v>
      </x:c>
      <x:c r="I1529" s="16" t="n">
        <x:v>1</x:v>
      </x:c>
      <x:c r="J1529"/>
      <x:c r="K1529" s="4"/>
      <x:c r="L1529" s="4"/>
      <x:c r="M1529" s="4"/>
      <x:c r="N1529" s="5"/>
    </x:row>
    <x:row r="1530" ht="24" customHeight="1">
      <x:c r="A1530" s="1" t="str">
        <x:v>RESULT</x:v>
      </x:c>
      <x:c r="B1530" s="1" t="str">
        <x:v>Round2</x:v>
      </x:c>
      <x:c r="C1530" s="1" t="str">
        <x:v>Lang_6</x:v>
      </x:c>
      <x:c r="D1530" s="1" t="str">
        <x:v>INCONCLUSIVE</x:v>
      </x:c>
      <x:c r="E1530" s="5" t="n">
        <x:v>1</x:v>
      </x:c>
      <x:c r="F1530" s="4" t="n">
        <x:v>0</x:v>
      </x:c>
      <x:c r="G1530" s="4"/>
      <x:c r="H1530" s="6"/>
      <x:c r="I1530" s="16" t="n">
        <x:v>1</x:v>
      </x:c>
      <x:c r="J1530" t="n">
        <x:v>30</x:v>
      </x:c>
      <x:c r="K1530" s="4" t="n">
        <x:v>30</x:v>
      </x:c>
      <x:c r="L1530" s="4" t="n">
        <x:v>12</x:v>
      </x:c>
      <x:c r="M1530" s="4" t="n">
        <x:v>12</x:v>
      </x:c>
      <x:c r="N1530" s="5" t="n">
        <x:v>1</x:v>
      </x:c>
    </x:row>
    <x:row r="1531" ht="24" customHeight="1">
      <x:c r="A1531" s="1" t="str">
        <x:v>RESULT</x:v>
      </x:c>
      <x:c r="B1531" s="1" t="str">
        <x:v>Round2</x:v>
      </x:c>
      <x:c r="C1531" s="1" t="str">
        <x:v>Lang_60</x:v>
      </x:c>
      <x:c r="D1531" s="1" t="str">
        <x:v>NOT_AVAILABLE</x:v>
      </x:c>
      <x:c r="E1531" s="5"/>
      <x:c r="F1531" s="4" t="n">
        <x:v>0</x:v>
      </x:c>
      <x:c r="G1531" s="4" t="n">
        <x:v>18807</x:v>
      </x:c>
      <x:c r="H1531" s="6" t="n">
        <x:v>148.22</x:v>
      </x:c>
      <x:c r="I1531" s="16" t="n">
        <x:v>1</x:v>
      </x:c>
      <x:c r="J1531"/>
      <x:c r="K1531" s="4"/>
      <x:c r="L1531" s="4"/>
      <x:c r="M1531" s="4"/>
      <x:c r="N1531" s="5"/>
    </x:row>
    <x:row r="1532" ht="24" customHeight="1">
      <x:c r="A1532" s="1" t="str">
        <x:v>RESULT</x:v>
      </x:c>
      <x:c r="B1532" s="1" t="str">
        <x:v>Round2</x:v>
      </x:c>
      <x:c r="C1532" s="1" t="str">
        <x:v>Lang_61</x:v>
      </x:c>
      <x:c r="D1532" s="1" t="str">
        <x:v>NOT_AVAILABLE</x:v>
      </x:c>
      <x:c r="E1532" s="5"/>
      <x:c r="F1532" s="4" t="n">
        <x:v>0</x:v>
      </x:c>
      <x:c r="G1532" s="4" t="n">
        <x:v>17661</x:v>
      </x:c>
      <x:c r="H1532" s="6" t="n">
        <x:v>68.24</x:v>
      </x:c>
      <x:c r="I1532" s="16" t="n">
        <x:v>1</x:v>
      </x:c>
      <x:c r="J1532"/>
      <x:c r="K1532" s="4"/>
      <x:c r="L1532" s="4"/>
      <x:c r="M1532" s="4"/>
      <x:c r="N1532" s="5"/>
    </x:row>
    <x:row r="1533" ht="24" customHeight="1">
      <x:c r="A1533" s="1" t="str">
        <x:v>RESULT</x:v>
      </x:c>
      <x:c r="B1533" s="1" t="str">
        <x:v>Round2</x:v>
      </x:c>
      <x:c r="C1533" s="1" t="str">
        <x:v>Lang_62</x:v>
      </x:c>
      <x:c r="D1533" s="1" t="str">
        <x:v>INCONCLUSIVE</x:v>
      </x:c>
      <x:c r="E1533" s="5" t="n">
        <x:v>0.6017</x:v>
      </x:c>
      <x:c r="F1533" s="4" t="n">
        <x:v>0</x:v>
      </x:c>
      <x:c r="G1533" s="4" t="n">
        <x:v>11386</x:v>
      </x:c>
      <x:c r="H1533" s="6" t="n">
        <x:v>58.46</x:v>
      </x:c>
      <x:c r="I1533" s="16" t="n">
        <x:v>1</x:v>
      </x:c>
      <x:c r="J1533" t="n">
        <x:v>241</x:v>
      </x:c>
      <x:c r="K1533" s="4" t="n">
        <x:v>145</x:v>
      </x:c>
      <x:c r="L1533" s="4" t="n">
        <x:v>90</x:v>
      </x:c>
      <x:c r="M1533" s="4" t="n">
        <x:v>54</x:v>
      </x:c>
      <x:c r="N1533" s="5" t="n">
        <x:v>0.6</x:v>
      </x:c>
    </x:row>
    <x:row r="1534" ht="24" customHeight="1">
      <x:c r="A1534" s="1" t="str">
        <x:v>RESULT</x:v>
      </x:c>
      <x:c r="B1534" s="1" t="str">
        <x:v>Round2</x:v>
      </x:c>
      <x:c r="C1534" s="1" t="str">
        <x:v>Lang_63</x:v>
      </x:c>
      <x:c r="D1534" s="1" t="str">
        <x:v>INCONCLUSIVE</x:v>
      </x:c>
      <x:c r="E1534" s="5" t="n">
        <x:v>0.6349</x:v>
      </x:c>
      <x:c r="F1534" s="4" t="n">
        <x:v>0</x:v>
      </x:c>
      <x:c r="G1534" s="4"/>
      <x:c r="H1534" s="6"/>
      <x:c r="I1534" s="16" t="n">
        <x:v>1</x:v>
      </x:c>
      <x:c r="J1534" t="n">
        <x:v>252</x:v>
      </x:c>
      <x:c r="K1534" s="4" t="n">
        <x:v>160</x:v>
      </x:c>
      <x:c r="L1534" s="4" t="n">
        <x:v>135</x:v>
      </x:c>
      <x:c r="M1534" s="4" t="n">
        <x:v>82</x:v>
      </x:c>
      <x:c r="N1534" s="5" t="n">
        <x:v>0.6074</x:v>
      </x:c>
    </x:row>
    <x:row r="1535" ht="24" customHeight="1">
      <x:c r="A1535" s="1" t="str">
        <x:v>RESULT</x:v>
      </x:c>
      <x:c r="B1535" s="1" t="str">
        <x:v>Round2</x:v>
      </x:c>
      <x:c r="C1535" s="1" t="str">
        <x:v>Lang_64</x:v>
      </x:c>
      <x:c r="D1535" s="1" t="str">
        <x:v>INCONCLUSIVE</x:v>
      </x:c>
      <x:c r="E1535" s="5" t="n">
        <x:v>0.22219999999999998</x:v>
      </x:c>
      <x:c r="F1535" s="4" t="n">
        <x:v>0</x:v>
      </x:c>
      <x:c r="G1535" s="4"/>
      <x:c r="H1535" s="6"/>
      <x:c r="I1535" s="16" t="n">
        <x:v>1</x:v>
      </x:c>
      <x:c r="J1535" t="n">
        <x:v>18</x:v>
      </x:c>
      <x:c r="K1535" s="4" t="n">
        <x:v>4</x:v>
      </x:c>
      <x:c r="L1535" s="4" t="n">
        <x:v>8</x:v>
      </x:c>
      <x:c r="M1535" s="4" t="n">
        <x:v>0</x:v>
      </x:c>
      <x:c r="N1535" s="5" t="n">
        <x:v>0</x:v>
      </x:c>
    </x:row>
    <x:row r="1536" ht="24" customHeight="1">
      <x:c r="A1536" s="1" t="str">
        <x:v>RESULT</x:v>
      </x:c>
      <x:c r="B1536" s="1" t="str">
        <x:v>Round2</x:v>
      </x:c>
      <x:c r="C1536" s="1" t="str">
        <x:v>Lang_65</x:v>
      </x:c>
      <x:c r="D1536" s="1" t="str">
        <x:v>NOT_AVAILABLE</x:v>
      </x:c>
      <x:c r="E1536" s="5"/>
      <x:c r="F1536" s="4" t="n">
        <x:v>0</x:v>
      </x:c>
      <x:c r="G1536" s="4" t="n">
        <x:v>27183</x:v>
      </x:c>
      <x:c r="H1536" s="6" t="n">
        <x:v>1038.36</x:v>
      </x:c>
      <x:c r="I1536" s="16" t="n">
        <x:v>1</x:v>
      </x:c>
      <x:c r="J1536"/>
      <x:c r="K1536" s="4"/>
      <x:c r="L1536" s="4"/>
      <x:c r="M1536" s="4"/>
      <x:c r="N1536" s="5"/>
    </x:row>
    <x:row r="1537" ht="24" customHeight="1">
      <x:c r="A1537" s="1" t="str">
        <x:v>RESULT</x:v>
      </x:c>
      <x:c r="B1537" s="1" t="str">
        <x:v>Round2</x:v>
      </x:c>
      <x:c r="C1537" s="1" t="str">
        <x:v>Lang_7</x:v>
      </x:c>
      <x:c r="D1537" s="1" t="str">
        <x:v>INCONCLUSIVE</x:v>
      </x:c>
      <x:c r="E1537" s="5" t="n">
        <x:v>0.7237</x:v>
      </x:c>
      <x:c r="F1537" s="4" t="n">
        <x:v>0</x:v>
      </x:c>
      <x:c r="G1537" s="4"/>
      <x:c r="H1537" s="6"/>
      <x:c r="I1537" s="16" t="n">
        <x:v>1</x:v>
      </x:c>
      <x:c r="J1537" t="n">
        <x:v>380</x:v>
      </x:c>
      <x:c r="K1537" s="4" t="n">
        <x:v>275</x:v>
      </x:c>
      <x:c r="L1537" s="4" t="n">
        <x:v>366</x:v>
      </x:c>
      <x:c r="M1537" s="4" t="n">
        <x:v>200</x:v>
      </x:c>
      <x:c r="N1537" s="5" t="n">
        <x:v>0.5464</x:v>
      </x:c>
    </x:row>
    <x:row r="1538" ht="24" customHeight="1">
      <x:c r="A1538" s="1" t="str">
        <x:v>RESULT</x:v>
      </x:c>
      <x:c r="B1538" s="1" t="str">
        <x:v>Round2</x:v>
      </x:c>
      <x:c r="C1538" s="1" t="str">
        <x:v>Lang_8</x:v>
      </x:c>
      <x:c r="D1538" s="1" t="str">
        <x:v>NOT_REVEALING</x:v>
      </x:c>
      <x:c r="E1538" s="5" t="n">
        <x:v>0.6291</x:v>
      </x:c>
      <x:c r="F1538" s="4" t="n">
        <x:v>0</x:v>
      </x:c>
      <x:c r="G1538" s="4"/>
      <x:c r="H1538" s="6"/>
      <x:c r="I1538" s="16" t="n">
        <x:v>1</x:v>
      </x:c>
      <x:c r="J1538" t="n">
        <x:v>337</x:v>
      </x:c>
      <x:c r="K1538" s="4" t="n">
        <x:v>212</x:v>
      </x:c>
      <x:c r="L1538" s="4" t="n">
        <x:v>150</x:v>
      </x:c>
      <x:c r="M1538" s="4" t="n">
        <x:v>80</x:v>
      </x:c>
      <x:c r="N1538" s="5" t="n">
        <x:v>0.5333</x:v>
      </x:c>
    </x:row>
    <x:row r="1539" ht="24" customHeight="1">
      <x:c r="A1539" s="1" t="str">
        <x:v>RESULT</x:v>
      </x:c>
      <x:c r="B1539" s="1" t="str">
        <x:v>Round2</x:v>
      </x:c>
      <x:c r="C1539" s="1" t="str">
        <x:v>Lang_9</x:v>
      </x:c>
      <x:c r="D1539" s="1" t="str">
        <x:v>INCONCLUSIVE</x:v>
      </x:c>
      <x:c r="E1539" s="5" t="n">
        <x:v>0.7912</x:v>
      </x:c>
      <x:c r="F1539" s="4" t="n">
        <x:v>0</x:v>
      </x:c>
      <x:c r="G1539" s="4" t="n">
        <x:v>9856</x:v>
      </x:c>
      <x:c r="H1539" s="6" t="n">
        <x:v>59.71</x:v>
      </x:c>
      <x:c r="I1539" s="16" t="n">
        <x:v>1</x:v>
      </x:c>
      <x:c r="J1539" t="n">
        <x:v>273</x:v>
      </x:c>
      <x:c r="K1539" s="4" t="n">
        <x:v>216</x:v>
      </x:c>
      <x:c r="L1539" s="4" t="n">
        <x:v>123</x:v>
      </x:c>
      <x:c r="M1539" s="4" t="n">
        <x:v>85</x:v>
      </x:c>
      <x:c r="N1539" s="5" t="n">
        <x:v>0.6911</x:v>
      </x:c>
    </x:row>
    <x:row r="1540" ht="24" customHeight="1">
      <x:c r="A1540" s="1" t="str">
        <x:v>RESULT</x:v>
      </x:c>
      <x:c r="B1540" s="1" t="str">
        <x:v>Round2</x:v>
      </x:c>
      <x:c r="C1540" s="1" t="str">
        <x:v>Math_1</x:v>
      </x:c>
      <x:c r="D1540" s="1" t="str">
        <x:v>INCONCLUSIVE</x:v>
      </x:c>
      <x:c r="E1540" s="5" t="n">
        <x:v>0.8493999999999999</x:v>
      </x:c>
      <x:c r="F1540" s="4" t="n">
        <x:v>0</x:v>
      </x:c>
      <x:c r="G1540" s="4"/>
      <x:c r="H1540" s="6"/>
      <x:c r="I1540" s="16" t="n">
        <x:v>1</x:v>
      </x:c>
      <x:c r="J1540" t="n">
        <x:v>425</x:v>
      </x:c>
      <x:c r="K1540" s="4" t="n">
        <x:v>361</x:v>
      </x:c>
      <x:c r="L1540" s="4" t="n">
        <x:v>192</x:v>
      </x:c>
      <x:c r="M1540" s="4" t="n">
        <x:v>151</x:v>
      </x:c>
      <x:c r="N1540" s="5" t="n">
        <x:v>0.7865000000000001</x:v>
      </x:c>
    </x:row>
    <x:row r="1541" ht="24" customHeight="1">
      <x:c r="A1541" s="1" t="str">
        <x:v>RESULT</x:v>
      </x:c>
      <x:c r="B1541" s="1" t="str">
        <x:v>Round2</x:v>
      </x:c>
      <x:c r="C1541" s="1" t="str">
        <x:v>Math_10</x:v>
      </x:c>
      <x:c r="D1541" s="1" t="str">
        <x:v>INCONCLUSIVE</x:v>
      </x:c>
      <x:c r="E1541" s="5" t="n">
        <x:v>0.8170000000000001</x:v>
      </x:c>
      <x:c r="F1541" s="4" t="n">
        <x:v>0</x:v>
      </x:c>
      <x:c r="G1541" s="4"/>
      <x:c r="H1541" s="6"/>
      <x:c r="I1541" s="16" t="n">
        <x:v>1</x:v>
      </x:c>
      <x:c r="J1541" t="n">
        <x:v>552</x:v>
      </x:c>
      <x:c r="K1541" s="4" t="n">
        <x:v>451</x:v>
      </x:c>
      <x:c r="L1541" s="4" t="n">
        <x:v>286</x:v>
      </x:c>
      <x:c r="M1541" s="4" t="n">
        <x:v>189</x:v>
      </x:c>
      <x:c r="N1541" s="5" t="n">
        <x:v>0.6607999999999999</x:v>
      </x:c>
    </x:row>
    <x:row r="1542" ht="24" customHeight="1">
      <x:c r="A1542" s="1" t="str">
        <x:v>RESULT</x:v>
      </x:c>
      <x:c r="B1542" s="1" t="str">
        <x:v>Round2</x:v>
      </x:c>
      <x:c r="C1542" s="1" t="str">
        <x:v>Math_100</x:v>
      </x:c>
      <x:c r="D1542" s="1" t="str">
        <x:v>NOT_AVAILABLE</x:v>
      </x:c>
      <x:c r="E1542" s="5"/>
      <x:c r="F1542" s="4" t="n">
        <x:v>0</x:v>
      </x:c>
      <x:c r="G1542" s="4" t="n">
        <x:v>26490</x:v>
      </x:c>
      <x:c r="H1542" s="6" t="n">
        <x:v>105.45</x:v>
      </x:c>
      <x:c r="I1542" s="16" t="n">
        <x:v>1</x:v>
      </x:c>
      <x:c r="J1542"/>
      <x:c r="K1542" s="4"/>
      <x:c r="L1542" s="4"/>
      <x:c r="M1542" s="4"/>
      <x:c r="N1542" s="5"/>
    </x:row>
    <x:row r="1543" ht="24" customHeight="1">
      <x:c r="A1543" s="1" t="str">
        <x:v>RESULT</x:v>
      </x:c>
      <x:c r="B1543" s="1" t="str">
        <x:v>Round2</x:v>
      </x:c>
      <x:c r="C1543" s="1" t="str">
        <x:v>Math_101</x:v>
      </x:c>
      <x:c r="D1543" s="1" t="str">
        <x:v>NOT_REVEALING</x:v>
      </x:c>
      <x:c r="E1543" s="5" t="n">
        <x:v>0.951</x:v>
      </x:c>
      <x:c r="F1543" s="4" t="n">
        <x:v>0</x:v>
      </x:c>
      <x:c r="G1543" s="4"/>
      <x:c r="H1543" s="6"/>
      <x:c r="I1543" s="16" t="n">
        <x:v>1</x:v>
      </x:c>
      <x:c r="J1543" t="n">
        <x:v>143</x:v>
      </x:c>
      <x:c r="K1543" s="4" t="n">
        <x:v>136</x:v>
      </x:c>
      <x:c r="L1543" s="4" t="n">
        <x:v>52</x:v>
      </x:c>
      <x:c r="M1543" s="4" t="n">
        <x:v>49</x:v>
      </x:c>
      <x:c r="N1543" s="5" t="n">
        <x:v>0.9423</x:v>
      </x:c>
    </x:row>
    <x:row r="1544" ht="24" customHeight="1">
      <x:c r="A1544" s="1" t="str">
        <x:v>RESULT</x:v>
      </x:c>
      <x:c r="B1544" s="1" t="str">
        <x:v>Round2</x:v>
      </x:c>
      <x:c r="C1544" s="1" t="str">
        <x:v>Math_102</x:v>
      </x:c>
      <x:c r="D1544" s="1" t="str">
        <x:v>INCONCLUSIVE</x:v>
      </x:c>
      <x:c r="E1544" s="5" t="n">
        <x:v>0.991</x:v>
      </x:c>
      <x:c r="F1544" s="4" t="n">
        <x:v>0</x:v>
      </x:c>
      <x:c r="G1544" s="4" t="n">
        <x:v>27740</x:v>
      </x:c>
      <x:c r="H1544" s="6" t="n">
        <x:v>112.33</x:v>
      </x:c>
      <x:c r="I1544" s="16" t="n">
        <x:v>1</x:v>
      </x:c>
      <x:c r="J1544" t="n">
        <x:v>111</x:v>
      </x:c>
      <x:c r="K1544" s="4" t="n">
        <x:v>110</x:v>
      </x:c>
      <x:c r="L1544" s="4" t="n">
        <x:v>86</x:v>
      </x:c>
      <x:c r="M1544" s="4" t="n">
        <x:v>78</x:v>
      </x:c>
      <x:c r="N1544" s="5" t="n">
        <x:v>0.907</x:v>
      </x:c>
    </x:row>
    <x:row r="1545" ht="24" customHeight="1">
      <x:c r="A1545" s="1" t="str">
        <x:v>RESULT</x:v>
      </x:c>
      <x:c r="B1545" s="1" t="str">
        <x:v>Round2</x:v>
      </x:c>
      <x:c r="C1545" s="1" t="str">
        <x:v>Math_103</x:v>
      </x:c>
      <x:c r="D1545" s="1" t="str">
        <x:v>INCONCLUSIVE</x:v>
      </x:c>
      <x:c r="E1545" s="5" t="n">
        <x:v>1</x:v>
      </x:c>
      <x:c r="F1545" s="4" t="n">
        <x:v>0</x:v>
      </x:c>
      <x:c r="G1545" s="4"/>
      <x:c r="H1545" s="6"/>
      <x:c r="I1545" s="16" t="n">
        <x:v>1</x:v>
      </x:c>
      <x:c r="J1545" t="n">
        <x:v>37</x:v>
      </x:c>
      <x:c r="K1545" s="4" t="n">
        <x:v>37</x:v>
      </x:c>
      <x:c r="L1545" s="4" t="n">
        <x:v>14</x:v>
      </x:c>
      <x:c r="M1545" s="4" t="n">
        <x:v>14</x:v>
      </x:c>
      <x:c r="N1545" s="5" t="n">
        <x:v>1</x:v>
      </x:c>
    </x:row>
    <x:row r="1546" ht="24" customHeight="1">
      <x:c r="A1546" s="1" t="str">
        <x:v>RESULT</x:v>
      </x:c>
      <x:c r="B1546" s="1" t="str">
        <x:v>Round2</x:v>
      </x:c>
      <x:c r="C1546" s="1" t="str">
        <x:v>Math_104</x:v>
      </x:c>
      <x:c r="D1546" s="1" t="str">
        <x:v>INCONCLUSIVE</x:v>
      </x:c>
      <x:c r="E1546" s="5" t="n">
        <x:v>0.8936</x:v>
      </x:c>
      <x:c r="F1546" s="4" t="n">
        <x:v>0</x:v>
      </x:c>
      <x:c r="G1546" s="4"/>
      <x:c r="H1546" s="6"/>
      <x:c r="I1546" s="16" t="n">
        <x:v>1</x:v>
      </x:c>
      <x:c r="J1546" t="n">
        <x:v>47</x:v>
      </x:c>
      <x:c r="K1546" s="4" t="n">
        <x:v>42</x:v>
      </x:c>
      <x:c r="L1546" s="4" t="n">
        <x:v>40</x:v>
      </x:c>
      <x:c r="M1546" s="4" t="n">
        <x:v>36</x:v>
      </x:c>
      <x:c r="N1546" s="5" t="n">
        <x:v>0.9</x:v>
      </x:c>
    </x:row>
    <x:row r="1547" ht="24" customHeight="1">
      <x:c r="A1547" s="1" t="str">
        <x:v>RESULT</x:v>
      </x:c>
      <x:c r="B1547" s="1" t="str">
        <x:v>Round2</x:v>
      </x:c>
      <x:c r="C1547" s="1" t="str">
        <x:v>Math_105</x:v>
      </x:c>
      <x:c r="D1547" s="1" t="str">
        <x:v>INCONCLUSIVE</x:v>
      </x:c>
      <x:c r="E1547" s="5" t="n">
        <x:v>1</x:v>
      </x:c>
      <x:c r="F1547" s="4" t="n">
        <x:v>0</x:v>
      </x:c>
      <x:c r="G1547" s="4"/>
      <x:c r="H1547" s="6"/>
      <x:c r="I1547" s="16" t="n">
        <x:v>1</x:v>
      </x:c>
      <x:c r="J1547" t="n">
        <x:v>71</x:v>
      </x:c>
      <x:c r="K1547" s="4" t="n">
        <x:v>71</x:v>
      </x:c>
      <x:c r="L1547" s="4" t="n">
        <x:v>18</x:v>
      </x:c>
      <x:c r="M1547" s="4" t="n">
        <x:v>18</x:v>
      </x:c>
      <x:c r="N1547" s="5" t="n">
        <x:v>1</x:v>
      </x:c>
    </x:row>
    <x:row r="1548" ht="24" customHeight="1">
      <x:c r="A1548" s="1" t="str">
        <x:v>RESULT</x:v>
      </x:c>
      <x:c r="B1548" s="1" t="str">
        <x:v>Round2</x:v>
      </x:c>
      <x:c r="C1548" s="1" t="str">
        <x:v>Math_106</x:v>
      </x:c>
      <x:c r="D1548" s="1" t="str">
        <x:v>INCONCLUSIVE</x:v>
      </x:c>
      <x:c r="E1548" s="5" t="n">
        <x:v>0.8946999999999999</x:v>
      </x:c>
      <x:c r="F1548" s="4" t="n">
        <x:v>0</x:v>
      </x:c>
      <x:c r="G1548" s="4"/>
      <x:c r="H1548" s="6"/>
      <x:c r="I1548" s="16" t="n">
        <x:v>1</x:v>
      </x:c>
      <x:c r="J1548" t="n">
        <x:v>57</x:v>
      </x:c>
      <x:c r="K1548" s="4" t="n">
        <x:v>51</x:v>
      </x:c>
      <x:c r="L1548" s="4" t="n">
        <x:v>15</x:v>
      </x:c>
      <x:c r="M1548" s="4" t="n">
        <x:v>12</x:v>
      </x:c>
      <x:c r="N1548" s="5" t="n">
        <x:v>0.8</x:v>
      </x:c>
    </x:row>
    <x:row r="1549" ht="24" customHeight="1">
      <x:c r="A1549" s="1" t="str">
        <x:v>RESULT</x:v>
      </x:c>
      <x:c r="B1549" s="1" t="str">
        <x:v>Round2</x:v>
      </x:c>
      <x:c r="C1549" s="1" t="str">
        <x:v>Math_11</x:v>
      </x:c>
      <x:c r="D1549" s="1" t="str">
        <x:v>INCONCLUSIVE</x:v>
      </x:c>
      <x:c r="E1549" s="5" t="n">
        <x:v>1</x:v>
      </x:c>
      <x:c r="F1549" s="4" t="n">
        <x:v>0</x:v>
      </x:c>
      <x:c r="G1549" s="4" t="n">
        <x:v>8825</x:v>
      </x:c>
      <x:c r="H1549" s="6" t="n">
        <x:v>44.19</x:v>
      </x:c>
      <x:c r="I1549" s="16" t="n">
        <x:v>1</x:v>
      </x:c>
      <x:c r="J1549" t="n">
        <x:v>59</x:v>
      </x:c>
      <x:c r="K1549" s="4" t="n">
        <x:v>59</x:v>
      </x:c>
      <x:c r="L1549" s="4" t="n">
        <x:v>28</x:v>
      </x:c>
      <x:c r="M1549" s="4" t="n">
        <x:v>28</x:v>
      </x:c>
      <x:c r="N1549" s="5" t="n">
        <x:v>1</x:v>
      </x:c>
    </x:row>
    <x:row r="1550" ht="24" customHeight="1">
      <x:c r="A1550" s="1" t="str">
        <x:v>RESULT</x:v>
      </x:c>
      <x:c r="B1550" s="1" t="str">
        <x:v>Round2</x:v>
      </x:c>
      <x:c r="C1550" s="1" t="str">
        <x:v>Math_12</x:v>
      </x:c>
      <x:c r="D1550" s="1" t="str">
        <x:v>INCONCLUSIVE</x:v>
      </x:c>
      <x:c r="E1550" s="5" t="n">
        <x:v>0.9582999999999999</x:v>
      </x:c>
      <x:c r="F1550" s="4" t="n">
        <x:v>0</x:v>
      </x:c>
      <x:c r="G1550" s="4"/>
      <x:c r="H1550" s="6"/>
      <x:c r="I1550" s="16" t="n">
        <x:v>1</x:v>
      </x:c>
      <x:c r="J1550" t="n">
        <x:v>48</x:v>
      </x:c>
      <x:c r="K1550" s="4" t="n">
        <x:v>46</x:v>
      </x:c>
      <x:c r="L1550" s="4" t="n">
        <x:v>14</x:v>
      </x:c>
      <x:c r="M1550" s="4" t="n">
        <x:v>12</x:v>
      </x:c>
      <x:c r="N1550" s="5" t="n">
        <x:v>0.8571</x:v>
      </x:c>
    </x:row>
    <x:row r="1551" ht="24" customHeight="1">
      <x:c r="A1551" s="1" t="str">
        <x:v>RESULT</x:v>
      </x:c>
      <x:c r="B1551" s="1" t="str">
        <x:v>Round2</x:v>
      </x:c>
      <x:c r="C1551" s="1" t="str">
        <x:v>Math_13</x:v>
      </x:c>
      <x:c r="D1551" s="1" t="str">
        <x:v>NOT_AVAILABLE</x:v>
      </x:c>
      <x:c r="E1551" s="5"/>
      <x:c r="F1551" s="4" t="n">
        <x:v>0</x:v>
      </x:c>
      <x:c r="G1551" s="4" t="n">
        <x:v>33208</x:v>
      </x:c>
      <x:c r="H1551" s="6" t="n">
        <x:v>131.77</x:v>
      </x:c>
      <x:c r="I1551" s="16" t="n">
        <x:v>1</x:v>
      </x:c>
      <x:c r="J1551"/>
      <x:c r="K1551" s="4"/>
      <x:c r="L1551" s="4"/>
      <x:c r="M1551" s="4"/>
      <x:c r="N1551" s="5"/>
    </x:row>
    <x:row r="1552" ht="24" customHeight="1">
      <x:c r="A1552" s="1" t="str">
        <x:v>RESULT</x:v>
      </x:c>
      <x:c r="B1552" s="1" t="str">
        <x:v>Round2</x:v>
      </x:c>
      <x:c r="C1552" s="1" t="str">
        <x:v>Math_14</x:v>
      </x:c>
      <x:c r="D1552" s="1" t="str">
        <x:v>INCONCLUSIVE</x:v>
      </x:c>
      <x:c r="E1552" s="5" t="n">
        <x:v>0.9804</x:v>
      </x:c>
      <x:c r="F1552" s="4" t="n">
        <x:v>0</x:v>
      </x:c>
      <x:c r="G1552" s="4" t="n">
        <x:v>72608</x:v>
      </x:c>
      <x:c r="H1552" s="6" t="n">
        <x:v>329.5</x:v>
      </x:c>
      <x:c r="I1552" s="16" t="n">
        <x:v>1</x:v>
      </x:c>
      <x:c r="J1552" t="n">
        <x:v>51</x:v>
      </x:c>
      <x:c r="K1552" s="4" t="n">
        <x:v>50</x:v>
      </x:c>
      <x:c r="L1552" s="4" t="n">
        <x:v>14</x:v>
      </x:c>
      <x:c r="M1552" s="4" t="n">
        <x:v>14</x:v>
      </x:c>
      <x:c r="N1552" s="5" t="n">
        <x:v>1</x:v>
      </x:c>
    </x:row>
    <x:row r="1553" ht="24" customHeight="1">
      <x:c r="A1553" s="1" t="str">
        <x:v>RESULT</x:v>
      </x:c>
      <x:c r="B1553" s="1" t="str">
        <x:v>Round2</x:v>
      </x:c>
      <x:c r="C1553" s="1" t="str">
        <x:v>Math_15</x:v>
      </x:c>
      <x:c r="D1553" s="1" t="str">
        <x:v>INCONCLUSIVE</x:v>
      </x:c>
      <x:c r="E1553" s="5" t="n">
        <x:v>0.5317000000000001</x:v>
      </x:c>
      <x:c r="F1553" s="4" t="n">
        <x:v>0</x:v>
      </x:c>
      <x:c r="G1553" s="4"/>
      <x:c r="H1553" s="6"/>
      <x:c r="I1553" s="16" t="n">
        <x:v>1</x:v>
      </x:c>
      <x:c r="J1553" t="n">
        <x:v>1497</x:v>
      </x:c>
      <x:c r="K1553" s="4" t="n">
        <x:v>796</x:v>
      </x:c>
      <x:c r="L1553" s="4" t="n">
        <x:v>798</x:v>
      </x:c>
      <x:c r="M1553" s="4" t="n">
        <x:v>267</x:v>
      </x:c>
      <x:c r="N1553" s="5" t="n">
        <x:v>0.3346</x:v>
      </x:c>
    </x:row>
    <x:row r="1554" ht="24" customHeight="1">
      <x:c r="A1554" s="1" t="str">
        <x:v>RESULT</x:v>
      </x:c>
      <x:c r="B1554" s="1" t="str">
        <x:v>Round2</x:v>
      </x:c>
      <x:c r="C1554" s="1" t="str">
        <x:v>Math_16</x:v>
      </x:c>
      <x:c r="D1554" s="1" t="str">
        <x:v>INCONCLUSIVE</x:v>
      </x:c>
      <x:c r="E1554" s="5" t="n">
        <x:v>0.564</x:v>
      </x:c>
      <x:c r="F1554" s="4" t="n">
        <x:v>0</x:v>
      </x:c>
      <x:c r="G1554" s="4"/>
      <x:c r="H1554" s="6"/>
      <x:c r="I1554" s="16" t="n">
        <x:v>1</x:v>
      </x:c>
      <x:c r="J1554" t="n">
        <x:v>1484</x:v>
      </x:c>
      <x:c r="K1554" s="4" t="n">
        <x:v>837</x:v>
      </x:c>
      <x:c r="L1554" s="4" t="n">
        <x:v>790</x:v>
      </x:c>
      <x:c r="M1554" s="4" t="n">
        <x:v>288</x:v>
      </x:c>
      <x:c r="N1554" s="5" t="n">
        <x:v>0.36460000000000004</x:v>
      </x:c>
    </x:row>
    <x:row r="1555" ht="24" customHeight="1">
      <x:c r="A1555" s="1" t="str">
        <x:v>RESULT</x:v>
      </x:c>
      <x:c r="B1555" s="1" t="str">
        <x:v>Round2</x:v>
      </x:c>
      <x:c r="C1555" s="1" t="str">
        <x:v>Math_17</x:v>
      </x:c>
      <x:c r="D1555" s="1" t="str">
        <x:v>INCONCLUSIVE</x:v>
      </x:c>
      <x:c r="E1555" s="5" t="n">
        <x:v>0.62</x:v>
      </x:c>
      <x:c r="F1555" s="4" t="n">
        <x:v>0</x:v>
      </x:c>
      <x:c r="G1555" s="4" t="n">
        <x:v>34912</x:v>
      </x:c>
      <x:c r="H1555" s="6" t="n">
        <x:v>891.56</x:v>
      </x:c>
      <x:c r="I1555" s="16" t="n">
        <x:v>1</x:v>
      </x:c>
      <x:c r="J1555" t="n">
        <x:v>1029</x:v>
      </x:c>
      <x:c r="K1555" s="4" t="n">
        <x:v>638</x:v>
      </x:c>
      <x:c r="L1555" s="4" t="n">
        <x:v>738</x:v>
      </x:c>
      <x:c r="M1555" s="4" t="n">
        <x:v>420</x:v>
      </x:c>
      <x:c r="N1555" s="5" t="n">
        <x:v>0.5690999999999999</x:v>
      </x:c>
    </x:row>
    <x:row r="1556" ht="24" customHeight="1">
      <x:c r="A1556" s="1" t="str">
        <x:v>RESULT</x:v>
      </x:c>
      <x:c r="B1556" s="1" t="str">
        <x:v>Round2</x:v>
      </x:c>
      <x:c r="C1556" s="1" t="str">
        <x:v>Math_18</x:v>
      </x:c>
      <x:c r="D1556" s="1" t="str">
        <x:v>NOT_REVEALING</x:v>
      </x:c>
      <x:c r="E1556" s="5" t="n">
        <x:v>0.8521</x:v>
      </x:c>
      <x:c r="F1556" s="4" t="n">
        <x:v>0</x:v>
      </x:c>
      <x:c r="G1556" s="4" t="n">
        <x:v>18202</x:v>
      </x:c>
      <x:c r="H1556" s="6" t="n">
        <x:v>38.68</x:v>
      </x:c>
      <x:c r="I1556" s="16" t="n">
        <x:v>1</x:v>
      </x:c>
      <x:c r="J1556" t="n">
        <x:v>507</x:v>
      </x:c>
      <x:c r="K1556" s="4" t="n">
        <x:v>432</x:v>
      </x:c>
      <x:c r="L1556" s="4" t="n">
        <x:v>276</x:v>
      </x:c>
      <x:c r="M1556" s="4" t="n">
        <x:v>193</x:v>
      </x:c>
      <x:c r="N1556" s="5" t="n">
        <x:v>0.6993</x:v>
      </x:c>
    </x:row>
    <x:row r="1557" ht="24" customHeight="1">
      <x:c r="A1557" s="1" t="str">
        <x:v>RESULT</x:v>
      </x:c>
      <x:c r="B1557" s="1" t="str">
        <x:v>Round2</x:v>
      </x:c>
      <x:c r="C1557" s="1" t="str">
        <x:v>Math_19</x:v>
      </x:c>
      <x:c r="D1557" s="1" t="str">
        <x:v>NOT_REVEALING</x:v>
      </x:c>
      <x:c r="E1557" s="5" t="n">
        <x:v>0.9056000000000001</x:v>
      </x:c>
      <x:c r="F1557" s="4" t="n">
        <x:v>0</x:v>
      </x:c>
      <x:c r="G1557" s="4" t="n">
        <x:v>36987</x:v>
      </x:c>
      <x:c r="H1557" s="6" t="n">
        <x:v>133.95</x:v>
      </x:c>
      <x:c r="I1557" s="16" t="n">
        <x:v>1</x:v>
      </x:c>
      <x:c r="J1557" t="n">
        <x:v>498</x:v>
      </x:c>
      <x:c r="K1557" s="4" t="n">
        <x:v>451</x:v>
      </x:c>
      <x:c r="L1557" s="4" t="n">
        <x:v>272</x:v>
      </x:c>
      <x:c r="M1557" s="4" t="n">
        <x:v>210</x:v>
      </x:c>
      <x:c r="N1557" s="5" t="n">
        <x:v>0.7720999999999999</x:v>
      </x:c>
    </x:row>
    <x:row r="1558" ht="24" customHeight="1">
      <x:c r="A1558" s="1" t="str">
        <x:v>RESULT</x:v>
      </x:c>
      <x:c r="B1558" s="1" t="str">
        <x:v>Round2</x:v>
      </x:c>
      <x:c r="C1558" s="1" t="str">
        <x:v>Math_2</x:v>
      </x:c>
      <x:c r="D1558" s="1" t="str">
        <x:v>INCONCLUSIVE</x:v>
      </x:c>
      <x:c r="E1558" s="5" t="n">
        <x:v>0.9865</x:v>
      </x:c>
      <x:c r="F1558" s="4" t="n">
        <x:v>0</x:v>
      </x:c>
      <x:c r="G1558" s="4"/>
      <x:c r="H1558" s="6"/>
      <x:c r="I1558" s="16" t="n">
        <x:v>1</x:v>
      </x:c>
      <x:c r="J1558" t="n">
        <x:v>74</x:v>
      </x:c>
      <x:c r="K1558" s="4" t="n">
        <x:v>73</x:v>
      </x:c>
      <x:c r="L1558" s="4" t="n">
        <x:v>26</x:v>
      </x:c>
      <x:c r="M1558" s="4" t="n">
        <x:v>23</x:v>
      </x:c>
      <x:c r="N1558" s="5" t="n">
        <x:v>0.8845999999999999</x:v>
      </x:c>
    </x:row>
    <x:row r="1559" ht="24" customHeight="1">
      <x:c r="A1559" s="1" t="str">
        <x:v>RESULT</x:v>
      </x:c>
      <x:c r="B1559" s="1" t="str">
        <x:v>Round2</x:v>
      </x:c>
      <x:c r="C1559" s="1" t="str">
        <x:v>Math_20</x:v>
      </x:c>
      <x:c r="D1559" s="1" t="str">
        <x:v>NOT_REVEALING</x:v>
      </x:c>
      <x:c r="E1559" s="5" t="n">
        <x:v>0.8612000000000001</x:v>
      </x:c>
      <x:c r="F1559" s="4" t="n">
        <x:v>0</x:v>
      </x:c>
      <x:c r="G1559" s="4" t="n">
        <x:v>35122</x:v>
      </x:c>
      <x:c r="H1559" s="6" t="n">
        <x:v>1078.34</x:v>
      </x:c>
      <x:c r="I1559" s="16" t="n">
        <x:v>1</x:v>
      </x:c>
      <x:c r="J1559" t="n">
        <x:v>497</x:v>
      </x:c>
      <x:c r="K1559" s="4" t="n">
        <x:v>428</x:v>
      </x:c>
      <x:c r="L1559" s="4" t="n">
        <x:v>268</x:v>
      </x:c>
      <x:c r="M1559" s="4" t="n">
        <x:v>205</x:v>
      </x:c>
      <x:c r="N1559" s="5" t="n">
        <x:v>0.7648999999999999</x:v>
      </x:c>
    </x:row>
    <x:row r="1560" ht="24" customHeight="1">
      <x:c r="A1560" s="1" t="str">
        <x:v>RESULT</x:v>
      </x:c>
      <x:c r="B1560" s="1" t="str">
        <x:v>Round2</x:v>
      </x:c>
      <x:c r="C1560" s="1" t="str">
        <x:v>Math_21</x:v>
      </x:c>
      <x:c r="D1560" s="1" t="str">
        <x:v>INCONCLUSIVE</x:v>
      </x:c>
      <x:c r="E1560" s="5" t="n">
        <x:v>1</x:v>
      </x:c>
      <x:c r="F1560" s="4" t="n">
        <x:v>0</x:v>
      </x:c>
      <x:c r="G1560" s="4"/>
      <x:c r="H1560" s="6"/>
      <x:c r="I1560" s="16" t="n">
        <x:v>1</x:v>
      </x:c>
      <x:c r="J1560" t="n">
        <x:v>52</x:v>
      </x:c>
      <x:c r="K1560" s="4" t="n">
        <x:v>52</x:v>
      </x:c>
      <x:c r="L1560" s="4" t="n">
        <x:v>28</x:v>
      </x:c>
      <x:c r="M1560" s="4" t="n">
        <x:v>28</x:v>
      </x:c>
      <x:c r="N1560" s="5" t="n">
        <x:v>1</x:v>
      </x:c>
    </x:row>
    <x:row r="1561" ht="24" customHeight="1">
      <x:c r="A1561" s="1" t="str">
        <x:v>RESULT</x:v>
      </x:c>
      <x:c r="B1561" s="1" t="str">
        <x:v>Round2</x:v>
      </x:c>
      <x:c r="C1561" s="1" t="str">
        <x:v>Math_22</x:v>
      </x:c>
      <x:c r="D1561" s="1" t="str">
        <x:v>INCONCLUSIVE</x:v>
      </x:c>
      <x:c r="E1561" s="5" t="n">
        <x:v>1</x:v>
      </x:c>
      <x:c r="F1561" s="4" t="n">
        <x:v>0</x:v>
      </x:c>
      <x:c r="G1561" s="4" t="n">
        <x:v>27053</x:v>
      </x:c>
      <x:c r="H1561" s="6" t="n">
        <x:v>112.38</x:v>
      </x:c>
      <x:c r="I1561" s="16" t="n">
        <x:v>1</x:v>
      </x:c>
      <x:c r="J1561" t="n">
        <x:v>86</x:v>
      </x:c>
      <x:c r="K1561" s="4" t="n">
        <x:v>86</x:v>
      </x:c>
      <x:c r="L1561" s="4" t="n">
        <x:v>22</x:v>
      </x:c>
      <x:c r="M1561" s="4" t="n">
        <x:v>21</x:v>
      </x:c>
      <x:c r="N1561" s="5" t="n">
        <x:v>0.9545</x:v>
      </x:c>
    </x:row>
    <x:row r="1562" ht="24" customHeight="1">
      <x:c r="A1562" s="1" t="str">
        <x:v>RESULT</x:v>
      </x:c>
      <x:c r="B1562" s="1" t="str">
        <x:v>Round2</x:v>
      </x:c>
      <x:c r="C1562" s="1" t="str">
        <x:v>Math_23</x:v>
      </x:c>
      <x:c r="D1562" s="1" t="str">
        <x:v>NOT_REVEALING</x:v>
      </x:c>
      <x:c r="E1562" s="5" t="n">
        <x:v>0.925</x:v>
      </x:c>
      <x:c r="F1562" s="4" t="n">
        <x:v>0</x:v>
      </x:c>
      <x:c r="G1562" s="4" t="n">
        <x:v>9342</x:v>
      </x:c>
      <x:c r="H1562" s="6" t="n">
        <x:v>54.15</x:v>
      </x:c>
      <x:c r="I1562" s="16" t="n">
        <x:v>1</x:v>
      </x:c>
      <x:c r="J1562" t="n">
        <x:v>120</x:v>
      </x:c>
      <x:c r="K1562" s="4" t="n">
        <x:v>111</x:v>
      </x:c>
      <x:c r="L1562" s="4" t="n">
        <x:v>74</x:v>
      </x:c>
      <x:c r="M1562" s="4" t="n">
        <x:v>58</x:v>
      </x:c>
      <x:c r="N1562" s="5" t="n">
        <x:v>0.7837999999999999</x:v>
      </x:c>
    </x:row>
    <x:row r="1563" ht="24" customHeight="1">
      <x:c r="A1563" s="1" t="str">
        <x:v>RESULT</x:v>
      </x:c>
      <x:c r="B1563" s="1" t="str">
        <x:v>Round2</x:v>
      </x:c>
      <x:c r="C1563" s="1" t="str">
        <x:v>Math_24</x:v>
      </x:c>
      <x:c r="D1563" s="1" t="str">
        <x:v>REVEALING</x:v>
      </x:c>
      <x:c r="E1563" s="5" t="n">
        <x:v>0.8571</x:v>
      </x:c>
      <x:c r="F1563" s="4" t="n">
        <x:v>1</x:v>
      </x:c>
      <x:c r="G1563" s="4" t="n">
        <x:v>48545</x:v>
      </x:c>
      <x:c r="H1563" s="6" t="n">
        <x:v>228.45</x:v>
      </x:c>
      <x:c r="I1563" s="16" t="n">
        <x:v>1</x:v>
      </x:c>
      <x:c r="J1563" t="n">
        <x:v>119</x:v>
      </x:c>
      <x:c r="K1563" s="4" t="n">
        <x:v>102</x:v>
      </x:c>
      <x:c r="L1563" s="4" t="n">
        <x:v>74</x:v>
      </x:c>
      <x:c r="M1563" s="4" t="n">
        <x:v>48</x:v>
      </x:c>
      <x:c r="N1563" s="5" t="n">
        <x:v>0.6486</x:v>
      </x:c>
    </x:row>
    <x:row r="1564" ht="24" customHeight="1">
      <x:c r="A1564" s="1" t="str">
        <x:v>RESULT</x:v>
      </x:c>
      <x:c r="B1564" s="1" t="str">
        <x:v>Round2</x:v>
      </x:c>
      <x:c r="C1564" s="1" t="str">
        <x:v>Math_25</x:v>
      </x:c>
      <x:c r="D1564" s="1" t="str">
        <x:v>INCONCLUSIVE</x:v>
      </x:c>
      <x:c r="E1564" s="5" t="n">
        <x:v>0.9468000000000001</x:v>
      </x:c>
      <x:c r="F1564" s="4" t="n">
        <x:v>0</x:v>
      </x:c>
      <x:c r="G1564" s="4"/>
      <x:c r="H1564" s="6"/>
      <x:c r="I1564" s="16" t="n">
        <x:v>1</x:v>
      </x:c>
      <x:c r="J1564" t="n">
        <x:v>94</x:v>
      </x:c>
      <x:c r="K1564" s="4" t="n">
        <x:v>89</x:v>
      </x:c>
      <x:c r="L1564" s="4" t="n">
        <x:v>28</x:v>
      </x:c>
      <x:c r="M1564" s="4" t="n">
        <x:v>26</x:v>
      </x:c>
      <x:c r="N1564" s="5" t="n">
        <x:v>0.9286</x:v>
      </x:c>
    </x:row>
    <x:row r="1565" ht="24" customHeight="1">
      <x:c r="A1565" s="1" t="str">
        <x:v>RESULT</x:v>
      </x:c>
      <x:c r="B1565" s="1" t="str">
        <x:v>Round2</x:v>
      </x:c>
      <x:c r="C1565" s="1" t="str">
        <x:v>Math_26</x:v>
      </x:c>
      <x:c r="D1565" s="1" t="str">
        <x:v>INCONCLUSIVE</x:v>
      </x:c>
      <x:c r="E1565" s="5" t="n">
        <x:v>0.9672</x:v>
      </x:c>
      <x:c r="F1565" s="4" t="n">
        <x:v>0</x:v>
      </x:c>
      <x:c r="G1565" s="4" t="n">
        <x:v>34405</x:v>
      </x:c>
      <x:c r="H1565" s="6" t="n">
        <x:v>138.65</x:v>
      </x:c>
      <x:c r="I1565" s="16" t="n">
        <x:v>1</x:v>
      </x:c>
      <x:c r="J1565" t="n">
        <x:v>183</x:v>
      </x:c>
      <x:c r="K1565" s="4" t="n">
        <x:v>177</x:v>
      </x:c>
      <x:c r="L1565" s="4" t="n">
        <x:v>94</x:v>
      </x:c>
      <x:c r="M1565" s="4" t="n">
        <x:v>86</x:v>
      </x:c>
      <x:c r="N1565" s="5" t="n">
        <x:v>0.9148999999999999</x:v>
      </x:c>
    </x:row>
    <x:row r="1566" ht="24" customHeight="1">
      <x:c r="A1566" s="1" t="str">
        <x:v>RESULT</x:v>
      </x:c>
      <x:c r="B1566" s="1" t="str">
        <x:v>Round2</x:v>
      </x:c>
      <x:c r="C1566" s="1" t="str">
        <x:v>Math_27</x:v>
      </x:c>
      <x:c r="D1566" s="1" t="str">
        <x:v>INCONCLUSIVE</x:v>
      </x:c>
      <x:c r="E1566" s="5" t="n">
        <x:v>0.153</x:v>
      </x:c>
      <x:c r="F1566" s="4" t="n">
        <x:v>0</x:v>
      </x:c>
      <x:c r="G1566" s="4"/>
      <x:c r="H1566" s="6"/>
      <x:c r="I1566" s="16" t="n">
        <x:v>1</x:v>
      </x:c>
      <x:c r="J1566" t="n">
        <x:v>183</x:v>
      </x:c>
      <x:c r="K1566" s="4" t="n">
        <x:v>28</x:v>
      </x:c>
      <x:c r="L1566" s="4" t="n">
        <x:v>94</x:v>
      </x:c>
      <x:c r="M1566" s="4" t="n">
        <x:v>8</x:v>
      </x:c>
      <x:c r="N1566" s="5" t="n">
        <x:v>0.0851</x:v>
      </x:c>
    </x:row>
    <x:row r="1567" ht="24" customHeight="1">
      <x:c r="A1567" s="1" t="str">
        <x:v>RESULT</x:v>
      </x:c>
      <x:c r="B1567" s="1" t="str">
        <x:v>Round2</x:v>
      </x:c>
      <x:c r="C1567" s="1" t="str">
        <x:v>Math_28</x:v>
      </x:c>
      <x:c r="D1567" s="1" t="str">
        <x:v>NOT_AVAILABLE</x:v>
      </x:c>
      <x:c r="E1567" s="5"/>
      <x:c r="F1567" s="4" t="n">
        <x:v>0</x:v>
      </x:c>
      <x:c r="G1567" s="4" t="n">
        <x:v>6301</x:v>
      </x:c>
      <x:c r="H1567" s="6" t="n">
        <x:v>26.44</x:v>
      </x:c>
      <x:c r="I1567" s="16" t="n">
        <x:v>1</x:v>
      </x:c>
      <x:c r="J1567"/>
      <x:c r="K1567" s="4"/>
      <x:c r="L1567" s="4"/>
      <x:c r="M1567" s="4"/>
      <x:c r="N1567" s="5"/>
    </x:row>
    <x:row r="1568" ht="24" customHeight="1">
      <x:c r="A1568" s="1" t="str">
        <x:v>RESULT</x:v>
      </x:c>
      <x:c r="B1568" s="1" t="str">
        <x:v>Round2</x:v>
      </x:c>
      <x:c r="C1568" s="1" t="str">
        <x:v>Math_29</x:v>
      </x:c>
      <x:c r="D1568" s="1" t="str">
        <x:v>INCONCLUSIVE</x:v>
      </x:c>
      <x:c r="E1568" s="5" t="n">
        <x:v>0.8349</x:v>
      </x:c>
      <x:c r="F1568" s="4" t="n">
        <x:v>0</x:v>
      </x:c>
      <x:c r="G1568" s="4"/>
      <x:c r="H1568" s="6"/>
      <x:c r="I1568" s="16" t="n">
        <x:v>1</x:v>
      </x:c>
      <x:c r="J1568" t="n">
        <x:v>321</x:v>
      </x:c>
      <x:c r="K1568" s="4" t="n">
        <x:v>268</x:v>
      </x:c>
      <x:c r="L1568" s="4" t="n">
        <x:v>134</x:v>
      </x:c>
      <x:c r="M1568" s="4" t="n">
        <x:v>101</x:v>
      </x:c>
      <x:c r="N1568" s="5" t="n">
        <x:v>0.7537</x:v>
      </x:c>
    </x:row>
    <x:row r="1569" ht="24" customHeight="1">
      <x:c r="A1569" s="1" t="str">
        <x:v>RESULT</x:v>
      </x:c>
      <x:c r="B1569" s="1" t="str">
        <x:v>Round2</x:v>
      </x:c>
      <x:c r="C1569" s="1" t="str">
        <x:v>Math_3</x:v>
      </x:c>
      <x:c r="D1569" s="1" t="str">
        <x:v>INCONCLUSIVE</x:v>
      </x:c>
      <x:c r="E1569" s="5" t="n">
        <x:v>0.6729999999999999</x:v>
      </x:c>
      <x:c r="F1569" s="4" t="n">
        <x:v>0</x:v>
      </x:c>
      <x:c r="G1569" s="4"/>
      <x:c r="H1569" s="6"/>
      <x:c r="I1569" s="16" t="n">
        <x:v>1</x:v>
      </x:c>
      <x:c r="J1569" t="n">
        <x:v>419</x:v>
      </x:c>
      <x:c r="K1569" s="4" t="n">
        <x:v>282</x:v>
      </x:c>
      <x:c r="L1569" s="4" t="n">
        <x:v>234</x:v>
      </x:c>
      <x:c r="M1569" s="4" t="n">
        <x:v>190</x:v>
      </x:c>
      <x:c r="N1569" s="5" t="n">
        <x:v>0.812</x:v>
      </x:c>
    </x:row>
    <x:row r="1570" ht="24" customHeight="1">
      <x:c r="A1570" s="1" t="str">
        <x:v>RESULT</x:v>
      </x:c>
      <x:c r="B1570" s="1" t="str">
        <x:v>Round2</x:v>
      </x:c>
      <x:c r="C1570" s="1" t="str">
        <x:v>Math_30</x:v>
      </x:c>
      <x:c r="D1570" s="1" t="str">
        <x:v>INCONCLUSIVE</x:v>
      </x:c>
      <x:c r="E1570" s="5" t="n">
        <x:v>1</x:v>
      </x:c>
      <x:c r="F1570" s="4" t="n">
        <x:v>0</x:v>
      </x:c>
      <x:c r="G1570" s="4"/>
      <x:c r="H1570" s="6"/>
      <x:c r="I1570" s="16" t="n">
        <x:v>1</x:v>
      </x:c>
      <x:c r="J1570" t="n">
        <x:v>34</x:v>
      </x:c>
      <x:c r="K1570" s="4" t="n">
        <x:v>34</x:v>
      </x:c>
      <x:c r="L1570" s="4" t="n">
        <x:v>10</x:v>
      </x:c>
      <x:c r="M1570" s="4" t="n">
        <x:v>10</x:v>
      </x:c>
      <x:c r="N1570" s="5" t="n">
        <x:v>1</x:v>
      </x:c>
    </x:row>
    <x:row r="1571" ht="24" customHeight="1">
      <x:c r="A1571" s="1" t="str">
        <x:v>RESULT</x:v>
      </x:c>
      <x:c r="B1571" s="1" t="str">
        <x:v>Round2</x:v>
      </x:c>
      <x:c r="C1571" s="1" t="str">
        <x:v>Math_31</x:v>
      </x:c>
      <x:c r="D1571" s="1" t="str">
        <x:v>INCONCLUSIVE</x:v>
      </x:c>
      <x:c r="E1571" s="5" t="n">
        <x:v>0.9322</x:v>
      </x:c>
      <x:c r="F1571" s="4" t="n">
        <x:v>0</x:v>
      </x:c>
      <x:c r="G1571" s="4"/>
      <x:c r="H1571" s="6"/>
      <x:c r="I1571" s="16" t="n">
        <x:v>1</x:v>
      </x:c>
      <x:c r="J1571" t="n">
        <x:v>59</x:v>
      </x:c>
      <x:c r="K1571" s="4" t="n">
        <x:v>55</x:v>
      </x:c>
      <x:c r="L1571" s="4" t="n">
        <x:v>30</x:v>
      </x:c>
      <x:c r="M1571" s="4" t="n">
        <x:v>22</x:v>
      </x:c>
      <x:c r="N1571" s="5" t="n">
        <x:v>0.7333</x:v>
      </x:c>
    </x:row>
    <x:row r="1572" ht="24" customHeight="1">
      <x:c r="A1572" s="1" t="str">
        <x:v>RESULT</x:v>
      </x:c>
      <x:c r="B1572" s="1" t="str">
        <x:v>Round2</x:v>
      </x:c>
      <x:c r="C1572" s="1" t="str">
        <x:v>Math_32</x:v>
      </x:c>
      <x:c r="D1572" s="1" t="str">
        <x:v>NOT_AVAILABLE</x:v>
      </x:c>
      <x:c r="E1572" s="5"/>
      <x:c r="F1572" s="4" t="n">
        <x:v>0</x:v>
      </x:c>
      <x:c r="G1572" s="4" t="n">
        <x:v>28414</x:v>
      </x:c>
      <x:c r="H1572" s="6" t="n">
        <x:v>119.36</x:v>
      </x:c>
      <x:c r="I1572" s="16" t="n">
        <x:v>1</x:v>
      </x:c>
      <x:c r="J1572"/>
      <x:c r="K1572" s="4"/>
      <x:c r="L1572" s="4"/>
      <x:c r="M1572" s="4"/>
      <x:c r="N1572" s="5"/>
    </x:row>
    <x:row r="1573" ht="24" customHeight="1">
      <x:c r="A1573" s="1" t="str">
        <x:v>RESULT</x:v>
      </x:c>
      <x:c r="B1573" s="1" t="str">
        <x:v>Round2</x:v>
      </x:c>
      <x:c r="C1573" s="1" t="str">
        <x:v>Math_33</x:v>
      </x:c>
      <x:c r="D1573" s="1" t="str">
        <x:v>NOT_AVAILABLE</x:v>
      </x:c>
      <x:c r="E1573" s="5"/>
      <x:c r="F1573" s="4" t="n">
        <x:v>0</x:v>
      </x:c>
      <x:c r="G1573" s="4" t="n">
        <x:v>12582</x:v>
      </x:c>
      <x:c r="H1573" s="6" t="n">
        <x:v>49.25</x:v>
      </x:c>
      <x:c r="I1573" s="16" t="n">
        <x:v>1</x:v>
      </x:c>
      <x:c r="J1573"/>
      <x:c r="K1573" s="4"/>
      <x:c r="L1573" s="4"/>
      <x:c r="M1573" s="4"/>
      <x:c r="N1573" s="5"/>
    </x:row>
    <x:row r="1574" ht="24" customHeight="1">
      <x:c r="A1574" s="1" t="str">
        <x:v>RESULT</x:v>
      </x:c>
      <x:c r="B1574" s="1" t="str">
        <x:v>Round2</x:v>
      </x:c>
      <x:c r="C1574" s="1" t="str">
        <x:v>Math_34</x:v>
      </x:c>
      <x:c r="D1574" s="1" t="str">
        <x:v>NOT_AVAILABLE</x:v>
      </x:c>
      <x:c r="E1574" s="5"/>
      <x:c r="F1574" s="4" t="n">
        <x:v>0</x:v>
      </x:c>
      <x:c r="G1574" s="4" t="n">
        <x:v>32920</x:v>
      </x:c>
      <x:c r="H1574" s="6" t="n">
        <x:v>144.15</x:v>
      </x:c>
      <x:c r="I1574" s="16" t="n">
        <x:v>1</x:v>
      </x:c>
      <x:c r="J1574"/>
      <x:c r="K1574" s="4"/>
      <x:c r="L1574" s="4"/>
      <x:c r="M1574" s="4"/>
      <x:c r="N1574" s="5"/>
    </x:row>
    <x:row r="1575" ht="24" customHeight="1">
      <x:c r="A1575" s="1" t="str">
        <x:v>RESULT</x:v>
      </x:c>
      <x:c r="B1575" s="1" t="str">
        <x:v>Round2</x:v>
      </x:c>
      <x:c r="C1575" s="1" t="str">
        <x:v>Math_35</x:v>
      </x:c>
      <x:c r="D1575" s="1" t="str">
        <x:v>NOT_AVAILABLE</x:v>
      </x:c>
      <x:c r="E1575" s="5"/>
      <x:c r="F1575" s="4" t="n">
        <x:v>0</x:v>
      </x:c>
      <x:c r="G1575" s="4" t="n">
        <x:v>28649</x:v>
      </x:c>
      <x:c r="H1575" s="6" t="n">
        <x:v>129.93</x:v>
      </x:c>
      <x:c r="I1575" s="16" t="n">
        <x:v>1</x:v>
      </x:c>
      <x:c r="J1575"/>
      <x:c r="K1575" s="4"/>
      <x:c r="L1575" s="4"/>
      <x:c r="M1575" s="4"/>
      <x:c r="N1575" s="5"/>
    </x:row>
    <x:row r="1576" ht="24" customHeight="1">
      <x:c r="A1576" s="1" t="str">
        <x:v>RESULT</x:v>
      </x:c>
      <x:c r="B1576" s="1" t="str">
        <x:v>Round2</x:v>
      </x:c>
      <x:c r="C1576" s="1" t="str">
        <x:v>Math_36</x:v>
      </x:c>
      <x:c r="D1576" s="1" t="str">
        <x:v>INCONCLUSIVE</x:v>
      </x:c>
      <x:c r="E1576" s="5" t="n">
        <x:v>0.9348000000000001</x:v>
      </x:c>
      <x:c r="F1576" s="4" t="n">
        <x:v>0</x:v>
      </x:c>
      <x:c r="G1576" s="4" t="n">
        <x:v>16564</x:v>
      </x:c>
      <x:c r="H1576" s="6" t="n">
        <x:v>88.23</x:v>
      </x:c>
      <x:c r="I1576" s="16" t="n">
        <x:v>1</x:v>
      </x:c>
      <x:c r="J1576" t="n">
        <x:v>230</x:v>
      </x:c>
      <x:c r="K1576" s="4" t="n">
        <x:v>215</x:v>
      </x:c>
      <x:c r="L1576" s="4" t="n">
        <x:v>92</x:v>
      </x:c>
      <x:c r="M1576" s="4" t="n">
        <x:v>79</x:v>
      </x:c>
      <x:c r="N1576" s="5" t="n">
        <x:v>0.8587</x:v>
      </x:c>
    </x:row>
    <x:row r="1577" ht="24" customHeight="1">
      <x:c r="A1577" s="1" t="str">
        <x:v>RESULT</x:v>
      </x:c>
      <x:c r="B1577" s="1" t="str">
        <x:v>Round2</x:v>
      </x:c>
      <x:c r="C1577" s="1" t="str">
        <x:v>Math_37</x:v>
      </x:c>
      <x:c r="D1577" s="1" t="str">
        <x:v>INCONCLUSIVE</x:v>
      </x:c>
      <x:c r="E1577" s="5" t="n">
        <x:v>0.8864</x:v>
      </x:c>
      <x:c r="F1577" s="4" t="n">
        <x:v>0</x:v>
      </x:c>
      <x:c r="G1577" s="4" t="n">
        <x:v>31294</x:v>
      </x:c>
      <x:c r="H1577" s="6" t="n">
        <x:v>1166.69</x:v>
      </x:c>
      <x:c r="I1577" s="16" t="n">
        <x:v>1</x:v>
      </x:c>
      <x:c r="J1577" t="n">
        <x:v>220</x:v>
      </x:c>
      <x:c r="K1577" s="4" t="n">
        <x:v>195</x:v>
      </x:c>
      <x:c r="L1577" s="4" t="n">
        <x:v>158</x:v>
      </x:c>
      <x:c r="M1577" s="4" t="n">
        <x:v>113</x:v>
      </x:c>
      <x:c r="N1577" s="5" t="n">
        <x:v>0.7152</x:v>
      </x:c>
    </x:row>
    <x:row r="1578" ht="24" customHeight="1">
      <x:c r="A1578" s="1" t="str">
        <x:v>RESULT</x:v>
      </x:c>
      <x:c r="B1578" s="1" t="str">
        <x:v>Round2</x:v>
      </x:c>
      <x:c r="C1578" s="1" t="str">
        <x:v>Math_38</x:v>
      </x:c>
      <x:c r="D1578" s="1" t="str">
        <x:v>NOT_AVAILABLE</x:v>
      </x:c>
      <x:c r="E1578" s="5"/>
      <x:c r="F1578" s="4" t="n">
        <x:v>0</x:v>
      </x:c>
      <x:c r="G1578" s="4" t="n">
        <x:v>22926</x:v>
      </x:c>
      <x:c r="H1578" s="6" t="n">
        <x:v>34.78</x:v>
      </x:c>
      <x:c r="I1578" s="16" t="n">
        <x:v>1</x:v>
      </x:c>
      <x:c r="J1578"/>
      <x:c r="K1578" s="4"/>
      <x:c r="L1578" s="4"/>
      <x:c r="M1578" s="4"/>
      <x:c r="N1578" s="5"/>
    </x:row>
    <x:row r="1579" ht="24" customHeight="1">
      <x:c r="A1579" s="1" t="str">
        <x:v>RESULT</x:v>
      </x:c>
      <x:c r="B1579" s="1" t="str">
        <x:v>Round2</x:v>
      </x:c>
      <x:c r="C1579" s="1" t="str">
        <x:v>Math_39</x:v>
      </x:c>
      <x:c r="D1579" s="1" t="str">
        <x:v>NOT_REVEALING</x:v>
      </x:c>
      <x:c r="E1579" s="5" t="n">
        <x:v>0.9906999999999999</x:v>
      </x:c>
      <x:c r="F1579" s="4" t="n">
        <x:v>0</x:v>
      </x:c>
      <x:c r="G1579" s="4" t="n">
        <x:v>49518</x:v>
      </x:c>
      <x:c r="H1579" s="6" t="n">
        <x:v>225.21</x:v>
      </x:c>
      <x:c r="I1579" s="16" t="n">
        <x:v>1</x:v>
      </x:c>
      <x:c r="J1579" t="n">
        <x:v>107</x:v>
      </x:c>
      <x:c r="K1579" s="4" t="n">
        <x:v>106</x:v>
      </x:c>
      <x:c r="L1579" s="4" t="n">
        <x:v>48</x:v>
      </x:c>
      <x:c r="M1579" s="4" t="n">
        <x:v>47</x:v>
      </x:c>
      <x:c r="N1579" s="5" t="n">
        <x:v>0.9792000000000001</x:v>
      </x:c>
    </x:row>
    <x:row r="1580" ht="24" customHeight="1">
      <x:c r="A1580" s="1" t="str">
        <x:v>RESULT</x:v>
      </x:c>
      <x:c r="B1580" s="1" t="str">
        <x:v>Round2</x:v>
      </x:c>
      <x:c r="C1580" s="1" t="str">
        <x:v>Math_4</x:v>
      </x:c>
      <x:c r="D1580" s="1" t="str">
        <x:v>NOT_AVAILABLE</x:v>
      </x:c>
      <x:c r="E1580" s="5"/>
      <x:c r="F1580" s="4" t="n">
        <x:v>0</x:v>
      </x:c>
      <x:c r="G1580" s="4" t="n">
        <x:v>19297</x:v>
      </x:c>
      <x:c r="H1580" s="6" t="n">
        <x:v>114.39</x:v>
      </x:c>
      <x:c r="I1580" s="16" t="n">
        <x:v>1</x:v>
      </x:c>
      <x:c r="J1580"/>
      <x:c r="K1580" s="4"/>
      <x:c r="L1580" s="4"/>
      <x:c r="M1580" s="4"/>
      <x:c r="N1580" s="5"/>
    </x:row>
    <x:row r="1581" ht="24" customHeight="1">
      <x:c r="A1581" s="1" t="str">
        <x:v>RESULT</x:v>
      </x:c>
      <x:c r="B1581" s="1" t="str">
        <x:v>Round2</x:v>
      </x:c>
      <x:c r="C1581" s="1" t="str">
        <x:v>Math_40</x:v>
      </x:c>
      <x:c r="D1581" s="1" t="str">
        <x:v>INCONCLUSIVE</x:v>
      </x:c>
      <x:c r="E1581" s="5" t="n">
        <x:v>0.8016</x:v>
      </x:c>
      <x:c r="F1581" s="4" t="n">
        <x:v>0</x:v>
      </x:c>
      <x:c r="G1581" s="4"/>
      <x:c r="H1581" s="6"/>
      <x:c r="I1581" s="16" t="n">
        <x:v>1</x:v>
      </x:c>
      <x:c r="J1581" t="n">
        <x:v>126</x:v>
      </x:c>
      <x:c r="K1581" s="4" t="n">
        <x:v>101</x:v>
      </x:c>
      <x:c r="L1581" s="4" t="n">
        <x:v>66</x:v>
      </x:c>
      <x:c r="M1581" s="4" t="n">
        <x:v>45</x:v>
      </x:c>
      <x:c r="N1581" s="5" t="n">
        <x:v>0.6818000000000001</x:v>
      </x:c>
    </x:row>
    <x:row r="1582" ht="24" customHeight="1">
      <x:c r="A1582" s="1" t="str">
        <x:v>RESULT</x:v>
      </x:c>
      <x:c r="B1582" s="1" t="str">
        <x:v>Round2</x:v>
      </x:c>
      <x:c r="C1582" s="1" t="str">
        <x:v>Math_41</x:v>
      </x:c>
      <x:c r="D1582" s="1" t="str">
        <x:v>INCONCLUSIVE</x:v>
      </x:c>
      <x:c r="E1582" s="5" t="n">
        <x:v>0.9196</x:v>
      </x:c>
      <x:c r="F1582" s="4" t="n">
        <x:v>0</x:v>
      </x:c>
      <x:c r="G1582" s="4"/>
      <x:c r="H1582" s="6"/>
      <x:c r="I1582" s="16" t="n">
        <x:v>1</x:v>
      </x:c>
      <x:c r="J1582" t="n">
        <x:v>112</x:v>
      </x:c>
      <x:c r="K1582" s="4" t="n">
        <x:v>103</x:v>
      </x:c>
      <x:c r="L1582" s="4" t="n">
        <x:v>46</x:v>
      </x:c>
      <x:c r="M1582" s="4" t="n">
        <x:v>33</x:v>
      </x:c>
      <x:c r="N1582" s="5" t="n">
        <x:v>0.7173999999999999</x:v>
      </x:c>
    </x:row>
    <x:row r="1583" ht="24" customHeight="1">
      <x:c r="A1583" s="1" t="str">
        <x:v>RESULT</x:v>
      </x:c>
      <x:c r="B1583" s="1" t="str">
        <x:v>Round2</x:v>
      </x:c>
      <x:c r="C1583" s="1" t="str">
        <x:v>Math_42</x:v>
      </x:c>
      <x:c r="D1583" s="1" t="str">
        <x:v>INCONCLUSIVE</x:v>
      </x:c>
      <x:c r="E1583" s="5" t="n">
        <x:v>0.7143</x:v>
      </x:c>
      <x:c r="F1583" s="4" t="n">
        <x:v>0</x:v>
      </x:c>
      <x:c r="G1583" s="4"/>
      <x:c r="H1583" s="6"/>
      <x:c r="I1583" s="16" t="n">
        <x:v>1</x:v>
      </x:c>
      <x:c r="J1583" t="n">
        <x:v>182</x:v>
      </x:c>
      <x:c r="K1583" s="4" t="n">
        <x:v>130</x:v>
      </x:c>
      <x:c r="L1583" s="4" t="n">
        <x:v>120</x:v>
      </x:c>
      <x:c r="M1583" s="4" t="n">
        <x:v>68</x:v>
      </x:c>
      <x:c r="N1583" s="5" t="n">
        <x:v>0.5667</x:v>
      </x:c>
    </x:row>
    <x:row r="1584" ht="24" customHeight="1">
      <x:c r="A1584" s="1" t="str">
        <x:v>RESULT</x:v>
      </x:c>
      <x:c r="B1584" s="1" t="str">
        <x:v>Round2</x:v>
      </x:c>
      <x:c r="C1584" s="1" t="str">
        <x:v>Math_43</x:v>
      </x:c>
      <x:c r="D1584" s="1" t="str">
        <x:v>INCONCLUSIVE</x:v>
      </x:c>
      <x:c r="E1584" s="5" t="n">
        <x:v>0.8957999999999999</x:v>
      </x:c>
      <x:c r="F1584" s="4" t="n">
        <x:v>0</x:v>
      </x:c>
      <x:c r="G1584" s="4"/>
      <x:c r="H1584" s="6"/>
      <x:c r="I1584" s="16" t="n">
        <x:v>1</x:v>
      </x:c>
      <x:c r="J1584" t="n">
        <x:v>192</x:v>
      </x:c>
      <x:c r="K1584" s="4" t="n">
        <x:v>172</x:v>
      </x:c>
      <x:c r="L1584" s="4" t="n">
        <x:v>58</x:v>
      </x:c>
      <x:c r="M1584" s="4" t="n">
        <x:v>34</x:v>
      </x:c>
      <x:c r="N1584" s="5" t="n">
        <x:v>0.5861999999999999</x:v>
      </x:c>
    </x:row>
    <x:row r="1585" ht="24" customHeight="1">
      <x:c r="A1585" s="1" t="str">
        <x:v>RESULT</x:v>
      </x:c>
      <x:c r="B1585" s="1" t="str">
        <x:v>Round2</x:v>
      </x:c>
      <x:c r="C1585" s="1" t="str">
        <x:v>Math_44</x:v>
      </x:c>
      <x:c r="D1585" s="1" t="str">
        <x:v>NOT_AVAILABLE</x:v>
      </x:c>
      <x:c r="E1585" s="5"/>
      <x:c r="F1585" s="4" t="n">
        <x:v>0</x:v>
      </x:c>
      <x:c r="G1585" s="4" t="n">
        <x:v>16542</x:v>
      </x:c>
      <x:c r="H1585" s="6" t="n">
        <x:v>102.94</x:v>
      </x:c>
      <x:c r="I1585" s="16" t="n">
        <x:v>1</x:v>
      </x:c>
      <x:c r="J1585"/>
      <x:c r="K1585" s="4"/>
      <x:c r="L1585" s="4"/>
      <x:c r="M1585" s="4"/>
      <x:c r="N1585" s="5"/>
    </x:row>
    <x:row r="1586" ht="24" customHeight="1">
      <x:c r="A1586" s="1" t="str">
        <x:v>RESULT</x:v>
      </x:c>
      <x:c r="B1586" s="1" t="str">
        <x:v>Round2</x:v>
      </x:c>
      <x:c r="C1586" s="1" t="str">
        <x:v>Math_45</x:v>
      </x:c>
      <x:c r="D1586" s="1" t="str">
        <x:v>INCONCLUSIVE</x:v>
      </x:c>
      <x:c r="E1586" s="5" t="n">
        <x:v>0.9588</x:v>
      </x:c>
      <x:c r="F1586" s="4" t="n">
        <x:v>0</x:v>
      </x:c>
      <x:c r="G1586" s="4"/>
      <x:c r="H1586" s="6"/>
      <x:c r="I1586" s="16" t="n">
        <x:v>1</x:v>
      </x:c>
      <x:c r="J1586" t="n">
        <x:v>97</x:v>
      </x:c>
      <x:c r="K1586" s="4" t="n">
        <x:v>93</x:v>
      </x:c>
      <x:c r="L1586" s="4" t="n">
        <x:v>22</x:v>
      </x:c>
      <x:c r="M1586" s="4" t="n">
        <x:v>21</x:v>
      </x:c>
      <x:c r="N1586" s="5" t="n">
        <x:v>0.9545</x:v>
      </x:c>
    </x:row>
    <x:row r="1587" ht="24" customHeight="1">
      <x:c r="A1587" s="1" t="str">
        <x:v>RESULT</x:v>
      </x:c>
      <x:c r="B1587" s="1" t="str">
        <x:v>Round2</x:v>
      </x:c>
      <x:c r="C1587" s="1" t="str">
        <x:v>Math_46</x:v>
      </x:c>
      <x:c r="D1587" s="1" t="str">
        <x:v>INCONCLUSIVE</x:v>
      </x:c>
      <x:c r="E1587" s="5" t="n">
        <x:v>0.7822</x:v>
      </x:c>
      <x:c r="F1587" s="4" t="n">
        <x:v>0</x:v>
      </x:c>
      <x:c r="G1587" s="4" t="n">
        <x:v>14158</x:v>
      </x:c>
      <x:c r="H1587" s="6" t="n">
        <x:v>74.07</x:v>
      </x:c>
      <x:c r="I1587" s="16" t="n">
        <x:v>1</x:v>
      </x:c>
      <x:c r="J1587" t="n">
        <x:v>202</x:v>
      </x:c>
      <x:c r="K1587" s="4" t="n">
        <x:v>158</x:v>
      </x:c>
      <x:c r="L1587" s="4" t="n">
        <x:v>148</x:v>
      </x:c>
      <x:c r="M1587" s="4" t="n">
        <x:v>109</x:v>
      </x:c>
      <x:c r="N1587" s="5" t="n">
        <x:v>0.7365</x:v>
      </x:c>
    </x:row>
    <x:row r="1588" ht="24" customHeight="1">
      <x:c r="A1588" s="1" t="str">
        <x:v>RESULT</x:v>
      </x:c>
      <x:c r="B1588" s="1" t="str">
        <x:v>Round2</x:v>
      </x:c>
      <x:c r="C1588" s="1" t="str">
        <x:v>Math_47</x:v>
      </x:c>
      <x:c r="D1588" s="1" t="str">
        <x:v>INCONCLUSIVE</x:v>
      </x:c>
      <x:c r="E1588" s="5" t="n">
        <x:v>0.8059999999999999</x:v>
      </x:c>
      <x:c r="F1588" s="4" t="n">
        <x:v>0</x:v>
      </x:c>
      <x:c r="G1588" s="4" t="n">
        <x:v>8115</x:v>
      </x:c>
      <x:c r="H1588" s="6" t="n">
        <x:v>27.89</x:v>
      </x:c>
      <x:c r="I1588" s="16" t="n">
        <x:v>1</x:v>
      </x:c>
      <x:c r="J1588" t="n">
        <x:v>201</x:v>
      </x:c>
      <x:c r="K1588" s="4" t="n">
        <x:v>162</x:v>
      </x:c>
      <x:c r="L1588" s="4" t="n">
        <x:v>142</x:v>
      </x:c>
      <x:c r="M1588" s="4" t="n">
        <x:v>107</x:v>
      </x:c>
      <x:c r="N1588" s="5" t="n">
        <x:v>0.7535</x:v>
      </x:c>
    </x:row>
    <x:row r="1589" ht="24" customHeight="1">
      <x:c r="A1589" s="1" t="str">
        <x:v>RESULT</x:v>
      </x:c>
      <x:c r="B1589" s="1" t="str">
        <x:v>Round2</x:v>
      </x:c>
      <x:c r="C1589" s="1" t="str">
        <x:v>Math_48</x:v>
      </x:c>
      <x:c r="D1589" s="1" t="str">
        <x:v>NOT_REVEALING</x:v>
      </x:c>
      <x:c r="E1589" s="5" t="n">
        <x:v>0.7670999999999999</x:v>
      </x:c>
      <x:c r="F1589" s="4" t="n">
        <x:v>0</x:v>
      </x:c>
      <x:c r="G1589" s="4" t="n">
        <x:v>36454</x:v>
      </x:c>
      <x:c r="H1589" s="6" t="n">
        <x:v>166.54</x:v>
      </x:c>
      <x:c r="I1589" s="16" t="n">
        <x:v>1</x:v>
      </x:c>
      <x:c r="J1589" t="n">
        <x:v>73</x:v>
      </x:c>
      <x:c r="K1589" s="4" t="n">
        <x:v>56</x:v>
      </x:c>
      <x:c r="L1589" s="4" t="n">
        <x:v>46</x:v>
      </x:c>
      <x:c r="M1589" s="4" t="n">
        <x:v>29</x:v>
      </x:c>
      <x:c r="N1589" s="5" t="n">
        <x:v>0.6304</x:v>
      </x:c>
    </x:row>
    <x:row r="1590" ht="24" customHeight="1">
      <x:c r="A1590" s="1" t="str">
        <x:v>RESULT</x:v>
      </x:c>
      <x:c r="B1590" s="1" t="str">
        <x:v>Round2</x:v>
      </x:c>
      <x:c r="C1590" s="1" t="str">
        <x:v>Math_49</x:v>
      </x:c>
      <x:c r="D1590" s="1" t="str">
        <x:v>NOT_REVEALING</x:v>
      </x:c>
      <x:c r="E1590" s="5" t="n">
        <x:v>0.9365000000000001</x:v>
      </x:c>
      <x:c r="F1590" s="4" t="n">
        <x:v>0</x:v>
      </x:c>
      <x:c r="G1590" s="4" t="n">
        <x:v>27737</x:v>
      </x:c>
      <x:c r="H1590" s="6" t="n">
        <x:v>101.38</x:v>
      </x:c>
      <x:c r="I1590" s="16" t="n">
        <x:v>1</x:v>
      </x:c>
      <x:c r="J1590" t="n">
        <x:v>378</x:v>
      </x:c>
      <x:c r="K1590" s="4" t="n">
        <x:v>354</x:v>
      </x:c>
      <x:c r="L1590" s="4" t="n">
        <x:v>152</x:v>
      </x:c>
      <x:c r="M1590" s="4" t="n">
        <x:v>135</x:v>
      </x:c>
      <x:c r="N1590" s="5" t="n">
        <x:v>0.8881999999999999</x:v>
      </x:c>
    </x:row>
    <x:row r="1591" ht="24" customHeight="1">
      <x:c r="A1591" s="1" t="str">
        <x:v>RESULT</x:v>
      </x:c>
      <x:c r="B1591" s="1" t="str">
        <x:v>Round2</x:v>
      </x:c>
      <x:c r="C1591" s="1" t="str">
        <x:v>Math_5</x:v>
      </x:c>
      <x:c r="D1591" s="1" t="str">
        <x:v>INCONCLUSIVE</x:v>
      </x:c>
      <x:c r="E1591" s="5" t="n">
        <x:v>0.6416</x:v>
      </x:c>
      <x:c r="F1591" s="4" t="n">
        <x:v>0</x:v>
      </x:c>
      <x:c r="G1591" s="4" t="n">
        <x:v>33100</x:v>
      </x:c>
      <x:c r="H1591" s="6" t="n">
        <x:v>1230.06</x:v>
      </x:c>
      <x:c r="I1591" s="16" t="n">
        <x:v>1</x:v>
      </x:c>
      <x:c r="J1591" t="n">
        <x:v>226</x:v>
      </x:c>
      <x:c r="K1591" s="4" t="n">
        <x:v>145</x:v>
      </x:c>
      <x:c r="L1591" s="4" t="n">
        <x:v>170</x:v>
      </x:c>
      <x:c r="M1591" s="4" t="n">
        <x:v>93</x:v>
      </x:c>
      <x:c r="N1591" s="5" t="n">
        <x:v>0.5471</x:v>
      </x:c>
    </x:row>
    <x:row r="1592" ht="24" customHeight="1">
      <x:c r="A1592" s="1" t="str">
        <x:v>RESULT</x:v>
      </x:c>
      <x:c r="B1592" s="1" t="str">
        <x:v>Round2</x:v>
      </x:c>
      <x:c r="C1592" s="1" t="str">
        <x:v>Math_50</x:v>
      </x:c>
      <x:c r="D1592" s="1" t="str">
        <x:v>INCONCLUSIVE</x:v>
      </x:c>
      <x:c r="E1592" s="5" t="n">
        <x:v>0.7867000000000001</x:v>
      </x:c>
      <x:c r="F1592" s="4" t="n">
        <x:v>0</x:v>
      </x:c>
      <x:c r="G1592" s="4" t="n">
        <x:v>27582</x:v>
      </x:c>
      <x:c r="H1592" s="6" t="n">
        <x:v>128.01</x:v>
      </x:c>
      <x:c r="I1592" s="16" t="n">
        <x:v>1</x:v>
      </x:c>
      <x:c r="J1592" t="n">
        <x:v>75</x:v>
      </x:c>
      <x:c r="K1592" s="4" t="n">
        <x:v>59</x:v>
      </x:c>
      <x:c r="L1592" s="4" t="n">
        <x:v>48</x:v>
      </x:c>
      <x:c r="M1592" s="4" t="n">
        <x:v>29</x:v>
      </x:c>
      <x:c r="N1592" s="5" t="n">
        <x:v>0.6042000000000001</x:v>
      </x:c>
    </x:row>
    <x:row r="1593" ht="24" customHeight="1">
      <x:c r="A1593" s="1" t="str">
        <x:v>RESULT</x:v>
      </x:c>
      <x:c r="B1593" s="1" t="str">
        <x:v>Round2</x:v>
      </x:c>
      <x:c r="C1593" s="1" t="str">
        <x:v>Math_51</x:v>
      </x:c>
      <x:c r="D1593" s="1" t="str">
        <x:v>INCONCLUSIVE</x:v>
      </x:c>
      <x:c r="E1593" s="5" t="n">
        <x:v>0.8028</x:v>
      </x:c>
      <x:c r="F1593" s="4" t="n">
        <x:v>0</x:v>
      </x:c>
      <x:c r="G1593" s="4" t="n">
        <x:v>37252</x:v>
      </x:c>
      <x:c r="H1593" s="6" t="n">
        <x:v>173.8</x:v>
      </x:c>
      <x:c r="I1593" s="16" t="n">
        <x:v>1</x:v>
      </x:c>
      <x:c r="J1593" t="n">
        <x:v>71</x:v>
      </x:c>
      <x:c r="K1593" s="4" t="n">
        <x:v>57</x:v>
      </x:c>
      <x:c r="L1593" s="4" t="n">
        <x:v>45</x:v>
      </x:c>
      <x:c r="M1593" s="4" t="n">
        <x:v>23</x:v>
      </x:c>
      <x:c r="N1593" s="5" t="n">
        <x:v>0.5111</x:v>
      </x:c>
    </x:row>
    <x:row r="1594" ht="24" customHeight="1">
      <x:c r="A1594" s="1" t="str">
        <x:v>RESULT</x:v>
      </x:c>
      <x:c r="B1594" s="1" t="str">
        <x:v>Round2</x:v>
      </x:c>
      <x:c r="C1594" s="1" t="str">
        <x:v>Math_52</x:v>
      </x:c>
      <x:c r="D1594" s="1" t="str">
        <x:v>NOT_REVEALING</x:v>
      </x:c>
      <x:c r="E1594" s="5" t="n">
        <x:v>0.9292</x:v>
      </x:c>
      <x:c r="F1594" s="4" t="n">
        <x:v>0</x:v>
      </x:c>
      <x:c r="G1594" s="4" t="n">
        <x:v>55591</x:v>
      </x:c>
      <x:c r="H1594" s="6" t="n">
        <x:v>274.63</x:v>
      </x:c>
      <x:c r="I1594" s="16" t="n">
        <x:v>1</x:v>
      </x:c>
      <x:c r="J1594" t="n">
        <x:v>367</x:v>
      </x:c>
      <x:c r="K1594" s="4" t="n">
        <x:v>341</x:v>
      </x:c>
      <x:c r="L1594" s="4" t="n">
        <x:v>122</x:v>
      </x:c>
      <x:c r="M1594" s="4" t="n">
        <x:v>89</x:v>
      </x:c>
      <x:c r="N1594" s="5" t="n">
        <x:v>0.7295</x:v>
      </x:c>
    </x:row>
    <x:row r="1595" ht="24" customHeight="1">
      <x:c r="A1595" s="1" t="str">
        <x:v>RESULT</x:v>
      </x:c>
      <x:c r="B1595" s="1" t="str">
        <x:v>Round2</x:v>
      </x:c>
      <x:c r="C1595" s="1" t="str">
        <x:v>Math_53</x:v>
      </x:c>
      <x:c r="D1595" s="1" t="str">
        <x:v>NOT_REVEALING</x:v>
      </x:c>
      <x:c r="E1595" s="5" t="n">
        <x:v>0.9823999999999999</x:v>
      </x:c>
      <x:c r="F1595" s="4" t="n">
        <x:v>0</x:v>
      </x:c>
      <x:c r="G1595" s="4" t="n">
        <x:v>33412</x:v>
      </x:c>
      <x:c r="H1595" s="6" t="n">
        <x:v>144.73</x:v>
      </x:c>
      <x:c r="I1595" s="16" t="n">
        <x:v>1</x:v>
      </x:c>
      <x:c r="J1595" t="n">
        <x:v>170</x:v>
      </x:c>
      <x:c r="K1595" s="4" t="n">
        <x:v>167</x:v>
      </x:c>
      <x:c r="L1595" s="4" t="n">
        <x:v>114</x:v>
      </x:c>
      <x:c r="M1595" s="4" t="n">
        <x:v>100</x:v>
      </x:c>
      <x:c r="N1595" s="5" t="n">
        <x:v>0.8772</x:v>
      </x:c>
    </x:row>
    <x:row r="1596" ht="24" customHeight="1">
      <x:c r="A1596" s="1" t="str">
        <x:v>RESULT</x:v>
      </x:c>
      <x:c r="B1596" s="1" t="str">
        <x:v>Round2</x:v>
      </x:c>
      <x:c r="C1596" s="1" t="str">
        <x:v>Math_54</x:v>
      </x:c>
      <x:c r="D1596" s="1" t="str">
        <x:v>REVEALING</x:v>
      </x:c>
      <x:c r="E1596" s="5" t="n">
        <x:v>0.74</x:v>
      </x:c>
      <x:c r="F1596" s="4" t="n">
        <x:v>1</x:v>
      </x:c>
      <x:c r="G1596" s="4" t="n">
        <x:v>33836</x:v>
      </x:c>
      <x:c r="H1596" s="6" t="n">
        <x:v>101.82</x:v>
      </x:c>
      <x:c r="I1596" s="16" t="n">
        <x:v>1</x:v>
      </x:c>
      <x:c r="J1596" t="n">
        <x:v>996</x:v>
      </x:c>
      <x:c r="K1596" s="4" t="n">
        <x:v>737</x:v>
      </x:c>
      <x:c r="L1596" s="4" t="n">
        <x:v>694</x:v>
      </x:c>
      <x:c r="M1596" s="4" t="n">
        <x:v>458</x:v>
      </x:c>
      <x:c r="N1596" s="5" t="n">
        <x:v>0.6598999999999999</x:v>
      </x:c>
    </x:row>
    <x:row r="1597" ht="24" customHeight="1">
      <x:c r="A1597" s="1" t="str">
        <x:v>RESULT</x:v>
      </x:c>
      <x:c r="B1597" s="1" t="str">
        <x:v>Round2</x:v>
      </x:c>
      <x:c r="C1597" s="1" t="str">
        <x:v>Math_55</x:v>
      </x:c>
      <x:c r="D1597" s="1" t="str">
        <x:v>NOT_REVEALING</x:v>
      </x:c>
      <x:c r="E1597" s="5" t="n">
        <x:v>1</x:v>
      </x:c>
      <x:c r="F1597" s="4" t="n">
        <x:v>0</x:v>
      </x:c>
      <x:c r="G1597" s="4" t="n">
        <x:v>34317</x:v>
      </x:c>
      <x:c r="H1597" s="6" t="n">
        <x:v>144.05</x:v>
      </x:c>
      <x:c r="I1597" s="16" t="n">
        <x:v>1</x:v>
      </x:c>
      <x:c r="J1597" t="n">
        <x:v>116</x:v>
      </x:c>
      <x:c r="K1597" s="4" t="n">
        <x:v>116</x:v>
      </x:c>
      <x:c r="L1597" s="4" t="n">
        <x:v>48</x:v>
      </x:c>
      <x:c r="M1597" s="4" t="n">
        <x:v>40</x:v>
      </x:c>
      <x:c r="N1597" s="5" t="n">
        <x:v>0.8332999999999999</x:v>
      </x:c>
    </x:row>
    <x:row r="1598" ht="24" customHeight="1">
      <x:c r="A1598" s="1" t="str">
        <x:v>RESULT</x:v>
      </x:c>
      <x:c r="B1598" s="1" t="str">
        <x:v>Round2</x:v>
      </x:c>
      <x:c r="C1598" s="1" t="str">
        <x:v>Math_56</x:v>
      </x:c>
      <x:c r="D1598" s="1" t="str">
        <x:v>INCONCLUSIVE</x:v>
      </x:c>
      <x:c r="E1598" s="5" t="n">
        <x:v>0.9867</x:v>
      </x:c>
      <x:c r="F1598" s="4" t="n">
        <x:v>0</x:v>
      </x:c>
      <x:c r="G1598" s="4"/>
      <x:c r="H1598" s="6"/>
      <x:c r="I1598" s="16" t="n">
        <x:v>1</x:v>
      </x:c>
      <x:c r="J1598" t="n">
        <x:v>75</x:v>
      </x:c>
      <x:c r="K1598" s="4" t="n">
        <x:v>74</x:v>
      </x:c>
      <x:c r="L1598" s="4" t="n">
        <x:v>34</x:v>
      </x:c>
      <x:c r="M1598" s="4" t="n">
        <x:v>32</x:v>
      </x:c>
      <x:c r="N1598" s="5" t="n">
        <x:v>0.9412</x:v>
      </x:c>
    </x:row>
    <x:row r="1599" ht="24" customHeight="1">
      <x:c r="A1599" s="1" t="str">
        <x:v>RESULT</x:v>
      </x:c>
      <x:c r="B1599" s="1" t="str">
        <x:v>Round2</x:v>
      </x:c>
      <x:c r="C1599" s="1" t="str">
        <x:v>Math_57</x:v>
      </x:c>
      <x:c r="D1599" s="1" t="str">
        <x:v>NOT_REVEALING</x:v>
      </x:c>
      <x:c r="E1599" s="5" t="n">
        <x:v>0.975</x:v>
      </x:c>
      <x:c r="F1599" s="4" t="n">
        <x:v>0</x:v>
      </x:c>
      <x:c r="G1599" s="4" t="n">
        <x:v>42124</x:v>
      </x:c>
      <x:c r="H1599" s="6" t="n">
        <x:v>253.4</x:v>
      </x:c>
      <x:c r="I1599" s="16" t="n">
        <x:v>1</x:v>
      </x:c>
      <x:c r="J1599" t="n">
        <x:v>120</x:v>
      </x:c>
      <x:c r="K1599" s="4" t="n">
        <x:v>117</x:v>
      </x:c>
      <x:c r="L1599" s="4" t="n">
        <x:v>54</x:v>
      </x:c>
      <x:c r="M1599" s="4" t="n">
        <x:v>49</x:v>
      </x:c>
      <x:c r="N1599" s="5" t="n">
        <x:v>0.9074</x:v>
      </x:c>
    </x:row>
    <x:row r="1600" ht="24" customHeight="1">
      <x:c r="A1600" s="1" t="str">
        <x:v>RESULT</x:v>
      </x:c>
      <x:c r="B1600" s="1" t="str">
        <x:v>Round2</x:v>
      </x:c>
      <x:c r="C1600" s="1" t="str">
        <x:v>Math_58</x:v>
      </x:c>
      <x:c r="D1600" s="1" t="str">
        <x:v>NOT_REVEALING</x:v>
      </x:c>
      <x:c r="E1600" s="5" t="n">
        <x:v>0.6809000000000001</x:v>
      </x:c>
      <x:c r="F1600" s="4" t="n">
        <x:v>0</x:v>
      </x:c>
      <x:c r="G1600" s="4" t="n">
        <x:v>24919</x:v>
      </x:c>
      <x:c r="H1600" s="6" t="n">
        <x:v>110.84</x:v>
      </x:c>
      <x:c r="I1600" s="16" t="n">
        <x:v>1</x:v>
      </x:c>
      <x:c r="J1600" t="n">
        <x:v>94</x:v>
      </x:c>
      <x:c r="K1600" s="4" t="n">
        <x:v>64</x:v>
      </x:c>
      <x:c r="L1600" s="4" t="n">
        <x:v>58</x:v>
      </x:c>
      <x:c r="M1600" s="4" t="n">
        <x:v>36</x:v>
      </x:c>
      <x:c r="N1600" s="5" t="n">
        <x:v>0.6207</x:v>
      </x:c>
    </x:row>
    <x:row r="1601" ht="24" customHeight="1">
      <x:c r="A1601" s="1" t="str">
        <x:v>RESULT</x:v>
      </x:c>
      <x:c r="B1601" s="1" t="str">
        <x:v>Round2</x:v>
      </x:c>
      <x:c r="C1601" s="1" t="str">
        <x:v>Math_59</x:v>
      </x:c>
      <x:c r="D1601" s="1" t="str">
        <x:v>INCONCLUSIVE</x:v>
      </x:c>
      <x:c r="E1601" s="5" t="n">
        <x:v>0.7037</x:v>
      </x:c>
      <x:c r="F1601" s="4" t="n">
        <x:v>0</x:v>
      </x:c>
      <x:c r="G1601" s="4"/>
      <x:c r="H1601" s="6"/>
      <x:c r="I1601" s="16" t="n">
        <x:v>1</x:v>
      </x:c>
      <x:c r="J1601" t="n">
        <x:v>1549</x:v>
      </x:c>
      <x:c r="K1601" s="4" t="n">
        <x:v>1090</x:v>
      </x:c>
      <x:c r="L1601" s="4" t="n">
        <x:v>652</x:v>
      </x:c>
      <x:c r="M1601" s="4" t="n">
        <x:v>284</x:v>
      </x:c>
      <x:c r="N1601" s="5" t="n">
        <x:v>0.43560000000000004</x:v>
      </x:c>
    </x:row>
    <x:row r="1602" ht="24" customHeight="1">
      <x:c r="A1602" s="1" t="str">
        <x:v>RESULT</x:v>
      </x:c>
      <x:c r="B1602" s="1" t="str">
        <x:v>Round2</x:v>
      </x:c>
      <x:c r="C1602" s="1" t="str">
        <x:v>Math_6</x:v>
      </x:c>
      <x:c r="D1602" s="1" t="str">
        <x:v>NOT_AVAILABLE</x:v>
      </x:c>
      <x:c r="E1602" s="5"/>
      <x:c r="F1602" s="4" t="n">
        <x:v>0</x:v>
      </x:c>
      <x:c r="G1602" s="4" t="n">
        <x:v>190729</x:v>
      </x:c>
      <x:c r="H1602" s="6" t="n">
        <x:v>917.36</x:v>
      </x:c>
      <x:c r="I1602" s="16" t="n">
        <x:v>1</x:v>
      </x:c>
      <x:c r="J1602"/>
      <x:c r="K1602" s="4"/>
      <x:c r="L1602" s="4"/>
      <x:c r="M1602" s="4"/>
      <x:c r="N1602" s="5"/>
    </x:row>
    <x:row r="1603" ht="24" customHeight="1">
      <x:c r="A1603" s="1" t="str">
        <x:v>RESULT</x:v>
      </x:c>
      <x:c r="B1603" s="1" t="str">
        <x:v>Round2</x:v>
      </x:c>
      <x:c r="C1603" s="1" t="str">
        <x:v>Math_60</x:v>
      </x:c>
      <x:c r="D1603" s="1" t="str">
        <x:v>NOT_REVEALING</x:v>
      </x:c>
      <x:c r="E1603" s="5" t="n">
        <x:v>0.8723000000000001</x:v>
      </x:c>
      <x:c r="F1603" s="4" t="n">
        <x:v>0</x:v>
      </x:c>
      <x:c r="G1603" s="4"/>
      <x:c r="H1603" s="6"/>
      <x:c r="I1603" s="16" t="n">
        <x:v>1</x:v>
      </x:c>
      <x:c r="J1603" t="n">
        <x:v>47</x:v>
      </x:c>
      <x:c r="K1603" s="4" t="n">
        <x:v>41</x:v>
      </x:c>
      <x:c r="L1603" s="4" t="n">
        <x:v>18</x:v>
      </x:c>
      <x:c r="M1603" s="4" t="n">
        <x:v>14</x:v>
      </x:c>
      <x:c r="N1603" s="5" t="n">
        <x:v>0.7778</x:v>
      </x:c>
    </x:row>
    <x:row r="1604" ht="24" customHeight="1">
      <x:c r="A1604" s="1" t="str">
        <x:v>RESULT</x:v>
      </x:c>
      <x:c r="B1604" s="1" t="str">
        <x:v>Round2</x:v>
      </x:c>
      <x:c r="C1604" s="1" t="str">
        <x:v>Math_61</x:v>
      </x:c>
      <x:c r="D1604" s="1" t="str">
        <x:v>NOT_REVEALING</x:v>
      </x:c>
      <x:c r="E1604" s="5" t="n">
        <x:v>0.8234999999999999</x:v>
      </x:c>
      <x:c r="F1604" s="4" t="n">
        <x:v>0</x:v>
      </x:c>
      <x:c r="G1604" s="4"/>
      <x:c r="H1604" s="6"/>
      <x:c r="I1604" s="16" t="n">
        <x:v>1</x:v>
      </x:c>
      <x:c r="J1604" t="n">
        <x:v>34</x:v>
      </x:c>
      <x:c r="K1604" s="4" t="n">
        <x:v>28</x:v>
      </x:c>
      <x:c r="L1604" s="4" t="n">
        <x:v>12</x:v>
      </x:c>
      <x:c r="M1604" s="4" t="n">
        <x:v>12</x:v>
      </x:c>
      <x:c r="N1604" s="5" t="n">
        <x:v>1</x:v>
      </x:c>
    </x:row>
    <x:row r="1605" ht="24" customHeight="1">
      <x:c r="A1605" s="1" t="str">
        <x:v>RESULT</x:v>
      </x:c>
      <x:c r="B1605" s="1" t="str">
        <x:v>Round2</x:v>
      </x:c>
      <x:c r="C1605" s="1" t="str">
        <x:v>Math_62</x:v>
      </x:c>
      <x:c r="D1605" s="1" t="str">
        <x:v>NOT_REVEALING</x:v>
      </x:c>
      <x:c r="E1605" s="5" t="n">
        <x:v>0.9787</x:v>
      </x:c>
      <x:c r="F1605" s="4" t="n">
        <x:v>0</x:v>
      </x:c>
      <x:c r="G1605" s="4" t="n">
        <x:v>28453</x:v>
      </x:c>
      <x:c r="H1605" s="6" t="n">
        <x:v>149.93</x:v>
      </x:c>
      <x:c r="I1605" s="16" t="n">
        <x:v>1</x:v>
      </x:c>
      <x:c r="J1605" t="n">
        <x:v>47</x:v>
      </x:c>
      <x:c r="K1605" s="4" t="n">
        <x:v>46</x:v>
      </x:c>
      <x:c r="L1605" s="4" t="n">
        <x:v>18</x:v>
      </x:c>
      <x:c r="M1605" s="4" t="n">
        <x:v>17</x:v>
      </x:c>
      <x:c r="N1605" s="5" t="n">
        <x:v>0.9444</x:v>
      </x:c>
    </x:row>
    <x:row r="1606" ht="24" customHeight="1">
      <x:c r="A1606" s="1" t="str">
        <x:v>RESULT</x:v>
      </x:c>
      <x:c r="B1606" s="1" t="str">
        <x:v>Round2</x:v>
      </x:c>
      <x:c r="C1606" s="1" t="str">
        <x:v>Math_63</x:v>
      </x:c>
      <x:c r="D1606" s="1" t="str">
        <x:v>INCONCLUSIVE</x:v>
      </x:c>
      <x:c r="E1606" s="5" t="n">
        <x:v>0.6139</x:v>
      </x:c>
      <x:c r="F1606" s="4" t="n">
        <x:v>0</x:v>
      </x:c>
      <x:c r="G1606" s="4"/>
      <x:c r="H1606" s="6"/>
      <x:c r="I1606" s="16" t="n">
        <x:v>1</x:v>
      </x:c>
      <x:c r="J1606" t="n">
        <x:v>518</x:v>
      </x:c>
      <x:c r="K1606" s="4" t="n">
        <x:v>318</x:v>
      </x:c>
      <x:c r="L1606" s="4" t="n">
        <x:v>441</x:v>
      </x:c>
      <x:c r="M1606" s="4" t="n">
        <x:v>254</x:v>
      </x:c>
      <x:c r="N1606" s="5" t="n">
        <x:v>0.5760000000000001</x:v>
      </x:c>
    </x:row>
    <x:row r="1607" ht="24" customHeight="1">
      <x:c r="A1607" s="1" t="str">
        <x:v>RESULT</x:v>
      </x:c>
      <x:c r="B1607" s="1" t="str">
        <x:v>Round2</x:v>
      </x:c>
      <x:c r="C1607" s="1" t="str">
        <x:v>Math_64</x:v>
      </x:c>
      <x:c r="D1607" s="1" t="str">
        <x:v>INCONCLUSIVE</x:v>
      </x:c>
      <x:c r="E1607" s="5" t="n">
        <x:v>0.5731</x:v>
      </x:c>
      <x:c r="F1607" s="4" t="n">
        <x:v>0</x:v>
      </x:c>
      <x:c r="G1607" s="4" t="n">
        <x:v>30052</x:v>
      </x:c>
      <x:c r="H1607" s="6" t="n">
        <x:v>147.12</x:v>
      </x:c>
      <x:c r="I1607" s="16" t="n">
        <x:v>1</x:v>
      </x:c>
      <x:c r="J1607" t="n">
        <x:v>342</x:v>
      </x:c>
      <x:c r="K1607" s="4" t="n">
        <x:v>196</x:v>
      </x:c>
      <x:c r="L1607" s="4" t="n">
        <x:v>200</x:v>
      </x:c>
      <x:c r="M1607" s="4" t="n">
        <x:v>88</x:v>
      </x:c>
      <x:c r="N1607" s="5" t="n">
        <x:v>0.44</x:v>
      </x:c>
    </x:row>
    <x:row r="1608" ht="24" customHeight="1">
      <x:c r="A1608" s="1" t="str">
        <x:v>RESULT</x:v>
      </x:c>
      <x:c r="B1608" s="1" t="str">
        <x:v>Round2</x:v>
      </x:c>
      <x:c r="C1608" s="1" t="str">
        <x:v>Math_65</x:v>
      </x:c>
      <x:c r="D1608" s="1" t="str">
        <x:v>NOT_AVAILABLE</x:v>
      </x:c>
      <x:c r="E1608" s="5"/>
      <x:c r="F1608" s="4" t="n">
        <x:v>0</x:v>
      </x:c>
      <x:c r="G1608" s="4" t="n">
        <x:v>21820</x:v>
      </x:c>
      <x:c r="H1608" s="6" t="n">
        <x:v>99.9</x:v>
      </x:c>
      <x:c r="I1608" s="16" t="n">
        <x:v>1</x:v>
      </x:c>
      <x:c r="J1608"/>
      <x:c r="K1608" s="4"/>
      <x:c r="L1608" s="4"/>
      <x:c r="M1608" s="4"/>
      <x:c r="N1608" s="5"/>
    </x:row>
    <x:row r="1609" ht="24" customHeight="1">
      <x:c r="A1609" s="1" t="str">
        <x:v>RESULT</x:v>
      </x:c>
      <x:c r="B1609" s="1" t="str">
        <x:v>Round2</x:v>
      </x:c>
      <x:c r="C1609" s="1" t="str">
        <x:v>Math_66</x:v>
      </x:c>
      <x:c r="D1609" s="1" t="str">
        <x:v>INCONCLUSIVE</x:v>
      </x:c>
      <x:c r="E1609" s="5" t="n">
        <x:v>1</x:v>
      </x:c>
      <x:c r="F1609" s="4" t="n">
        <x:v>0</x:v>
      </x:c>
      <x:c r="G1609" s="4"/>
      <x:c r="H1609" s="6"/>
      <x:c r="I1609" s="16" t="n">
        <x:v>1</x:v>
      </x:c>
      <x:c r="J1609" t="n">
        <x:v>102</x:v>
      </x:c>
      <x:c r="K1609" s="4" t="n">
        <x:v>102</x:v>
      </x:c>
      <x:c r="L1609" s="4" t="n">
        <x:v>58</x:v>
      </x:c>
      <x:c r="M1609" s="4" t="n">
        <x:v>55</x:v>
      </x:c>
      <x:c r="N1609" s="5" t="n">
        <x:v>0.9483</x:v>
      </x:c>
    </x:row>
    <x:row r="1610" ht="24" customHeight="1">
      <x:c r="A1610" s="1" t="str">
        <x:v>RESULT</x:v>
      </x:c>
      <x:c r="B1610" s="1" t="str">
        <x:v>Round2</x:v>
      </x:c>
      <x:c r="C1610" s="1" t="str">
        <x:v>Math_67</x:v>
      </x:c>
      <x:c r="D1610" s="1" t="str">
        <x:v>INCONCLUSIVE</x:v>
      </x:c>
      <x:c r="E1610" s="5" t="n">
        <x:v>0.8172</x:v>
      </x:c>
      <x:c r="F1610" s="4" t="n">
        <x:v>0</x:v>
      </x:c>
      <x:c r="G1610" s="4"/>
      <x:c r="H1610" s="6"/>
      <x:c r="I1610" s="16" t="n">
        <x:v>1</x:v>
      </x:c>
      <x:c r="J1610" t="n">
        <x:v>93</x:v>
      </x:c>
      <x:c r="K1610" s="4" t="n">
        <x:v>76</x:v>
      </x:c>
      <x:c r="L1610" s="4" t="n">
        <x:v>34</x:v>
      </x:c>
      <x:c r="M1610" s="4" t="n">
        <x:v>29</x:v>
      </x:c>
      <x:c r="N1610" s="5" t="n">
        <x:v>0.8529000000000001</x:v>
      </x:c>
    </x:row>
    <x:row r="1611" ht="24" customHeight="1">
      <x:c r="A1611" s="1" t="str">
        <x:v>RESULT</x:v>
      </x:c>
      <x:c r="B1611" s="1" t="str">
        <x:v>Round2</x:v>
      </x:c>
      <x:c r="C1611" s="1" t="str">
        <x:v>Math_68</x:v>
      </x:c>
      <x:c r="D1611" s="1" t="str">
        <x:v>NOT_REVEALING</x:v>
      </x:c>
      <x:c r="E1611" s="5" t="n">
        <x:v>0.5633</x:v>
      </x:c>
      <x:c r="F1611" s="4" t="n">
        <x:v>0</x:v>
      </x:c>
      <x:c r="G1611" s="4" t="n">
        <x:v>18400</x:v>
      </x:c>
      <x:c r="H1611" s="6" t="n">
        <x:v>75.27</x:v>
      </x:c>
      <x:c r="I1611" s="16" t="n">
        <x:v>1</x:v>
      </x:c>
      <x:c r="J1611" t="n">
        <x:v>332</x:v>
      </x:c>
      <x:c r="K1611" s="4" t="n">
        <x:v>187</x:v>
      </x:c>
      <x:c r="L1611" s="4" t="n">
        <x:v>196</x:v>
      </x:c>
      <x:c r="M1611" s="4" t="n">
        <x:v>84</x:v>
      </x:c>
      <x:c r="N1611" s="5" t="n">
        <x:v>0.4286</x:v>
      </x:c>
    </x:row>
    <x:row r="1612" ht="24" customHeight="1">
      <x:c r="A1612" s="1" t="str">
        <x:v>RESULT</x:v>
      </x:c>
      <x:c r="B1612" s="1" t="str">
        <x:v>Round2</x:v>
      </x:c>
      <x:c r="C1612" s="1" t="str">
        <x:v>Math_69</x:v>
      </x:c>
      <x:c r="D1612" s="1" t="str">
        <x:v>NOT_REVEALING</x:v>
      </x:c>
      <x:c r="E1612" s="5" t="n">
        <x:v>0.92</x:v>
      </x:c>
      <x:c r="F1612" s="4" t="n">
        <x:v>0</x:v>
      </x:c>
      <x:c r="G1612" s="4"/>
      <x:c r="H1612" s="6"/>
      <x:c r="I1612" s="16" t="n">
        <x:v>1</x:v>
      </x:c>
      <x:c r="J1612" t="n">
        <x:v>75</x:v>
      </x:c>
      <x:c r="K1612" s="4" t="n">
        <x:v>69</x:v>
      </x:c>
      <x:c r="L1612" s="4" t="n">
        <x:v>30</x:v>
      </x:c>
      <x:c r="M1612" s="4" t="n">
        <x:v>29</x:v>
      </x:c>
      <x:c r="N1612" s="5" t="n">
        <x:v>0.9667</x:v>
      </x:c>
    </x:row>
    <x:row r="1613" ht="24" customHeight="1">
      <x:c r="A1613" s="1" t="str">
        <x:v>RESULT</x:v>
      </x:c>
      <x:c r="B1613" s="1" t="str">
        <x:v>Round2</x:v>
      </x:c>
      <x:c r="C1613" s="1" t="str">
        <x:v>Math_7</x:v>
      </x:c>
      <x:c r="D1613" s="1" t="str">
        <x:v>NOT_REVEALING</x:v>
      </x:c>
      <x:c r="E1613" s="5" t="n">
        <x:v>0.5307999999999999</x:v>
      </x:c>
      <x:c r="F1613" s="4" t="n">
        <x:v>0</x:v>
      </x:c>
      <x:c r="G1613" s="4" t="n">
        <x:v>27209</x:v>
      </x:c>
      <x:c r="H1613" s="6" t="n">
        <x:v>115.31</x:v>
      </x:c>
      <x:c r="I1613" s="16" t="n">
        <x:v>1</x:v>
      </x:c>
      <x:c r="J1613" t="n">
        <x:v>130</x:v>
      </x:c>
      <x:c r="K1613" s="4" t="n">
        <x:v>69</x:v>
      </x:c>
      <x:c r="L1613" s="4" t="n">
        <x:v>50</x:v>
      </x:c>
      <x:c r="M1613" s="4" t="n">
        <x:v>14</x:v>
      </x:c>
      <x:c r="N1613" s="5" t="n">
        <x:v>0.28</x:v>
      </x:c>
    </x:row>
    <x:row r="1614" ht="24" customHeight="1">
      <x:c r="A1614" s="1" t="str">
        <x:v>RESULT</x:v>
      </x:c>
      <x:c r="B1614" s="1" t="str">
        <x:v>Round2</x:v>
      </x:c>
      <x:c r="C1614" s="1" t="str">
        <x:v>Math_70</x:v>
      </x:c>
      <x:c r="D1614" s="1" t="str">
        <x:v>INCONCLUSIVE</x:v>
      </x:c>
      <x:c r="E1614" s="5" t="n">
        <x:v>0.7826000000000001</x:v>
      </x:c>
      <x:c r="F1614" s="4" t="n">
        <x:v>0</x:v>
      </x:c>
      <x:c r="G1614" s="4"/>
      <x:c r="H1614" s="6"/>
      <x:c r="I1614" s="16" t="n">
        <x:v>1</x:v>
      </x:c>
      <x:c r="J1614" t="n">
        <x:v>23</x:v>
      </x:c>
      <x:c r="K1614" s="4" t="n">
        <x:v>18</x:v>
      </x:c>
      <x:c r="L1614" s="4" t="n">
        <x:v>6</x:v>
      </x:c>
      <x:c r="M1614" s="4" t="n">
        <x:v>6</x:v>
      </x:c>
      <x:c r="N1614" s="5" t="n">
        <x:v>1</x:v>
      </x:c>
    </x:row>
    <x:row r="1615" ht="24" customHeight="1">
      <x:c r="A1615" s="1" t="str">
        <x:v>RESULT</x:v>
      </x:c>
      <x:c r="B1615" s="1" t="str">
        <x:v>Round2</x:v>
      </x:c>
      <x:c r="C1615" s="1" t="str">
        <x:v>Math_71</x:v>
      </x:c>
      <x:c r="D1615" s="1" t="str">
        <x:v>INCONCLUSIVE</x:v>
      </x:c>
      <x:c r="E1615" s="5" t="n">
        <x:v>0.9036</x:v>
      </x:c>
      <x:c r="F1615" s="4" t="n">
        <x:v>0</x:v>
      </x:c>
      <x:c r="G1615" s="4" t="n">
        <x:v>86223</x:v>
      </x:c>
      <x:c r="H1615" s="6" t="n">
        <x:v>474</x:v>
      </x:c>
      <x:c r="I1615" s="16" t="n">
        <x:v>1</x:v>
      </x:c>
      <x:c r="J1615" t="n">
        <x:v>197</x:v>
      </x:c>
      <x:c r="K1615" s="4" t="n">
        <x:v>178</x:v>
      </x:c>
      <x:c r="L1615" s="4" t="n">
        <x:v>98</x:v>
      </x:c>
      <x:c r="M1615" s="4" t="n">
        <x:v>79</x:v>
      </x:c>
      <x:c r="N1615" s="5" t="n">
        <x:v>0.8061</x:v>
      </x:c>
    </x:row>
    <x:row r="1616" ht="24" customHeight="1">
      <x:c r="A1616" s="1" t="str">
        <x:v>RESULT</x:v>
      </x:c>
      <x:c r="B1616" s="1" t="str">
        <x:v>Round2</x:v>
      </x:c>
      <x:c r="C1616" s="1" t="str">
        <x:v>Math_72</x:v>
      </x:c>
      <x:c r="D1616" s="1" t="str">
        <x:v>INCONCLUSIVE</x:v>
      </x:c>
      <x:c r="E1616" s="5" t="n">
        <x:v>0.8598</x:v>
      </x:c>
      <x:c r="F1616" s="4" t="n">
        <x:v>0</x:v>
      </x:c>
      <x:c r="G1616" s="4"/>
      <x:c r="H1616" s="6"/>
      <x:c r="I1616" s="16" t="n">
        <x:v>1</x:v>
      </x:c>
      <x:c r="J1616" t="n">
        <x:v>107</x:v>
      </x:c>
      <x:c r="K1616" s="4" t="n">
        <x:v>92</x:v>
      </x:c>
      <x:c r="L1616" s="4" t="n">
        <x:v>54</x:v>
      </x:c>
      <x:c r="M1616" s="4" t="n">
        <x:v>44</x:v>
      </x:c>
      <x:c r="N1616" s="5" t="n">
        <x:v>0.8148000000000001</x:v>
      </x:c>
    </x:row>
    <x:row r="1617" ht="24" customHeight="1">
      <x:c r="A1617" s="1" t="str">
        <x:v>RESULT</x:v>
      </x:c>
      <x:c r="B1617" s="1" t="str">
        <x:v>Round2</x:v>
      </x:c>
      <x:c r="C1617" s="1" t="str">
        <x:v>Math_73</x:v>
      </x:c>
      <x:c r="D1617" s="1" t="str">
        <x:v>NOT_REVEALING</x:v>
      </x:c>
      <x:c r="E1617" s="5" t="n">
        <x:v>0.8462000000000001</x:v>
      </x:c>
      <x:c r="F1617" s="4" t="n">
        <x:v>0</x:v>
      </x:c>
      <x:c r="G1617" s="4"/>
      <x:c r="H1617" s="6"/>
      <x:c r="I1617" s="16" t="n">
        <x:v>1</x:v>
      </x:c>
      <x:c r="J1617" t="n">
        <x:v>104</x:v>
      </x:c>
      <x:c r="K1617" s="4" t="n">
        <x:v>88</x:v>
      </x:c>
      <x:c r="L1617" s="4" t="n">
        <x:v>52</x:v>
      </x:c>
      <x:c r="M1617" s="4" t="n">
        <x:v>42</x:v>
      </x:c>
      <x:c r="N1617" s="5" t="n">
        <x:v>0.8077</x:v>
      </x:c>
    </x:row>
    <x:row r="1618" ht="24" customHeight="1">
      <x:c r="A1618" s="1" t="str">
        <x:v>RESULT</x:v>
      </x:c>
      <x:c r="B1618" s="1" t="str">
        <x:v>Round2</x:v>
      </x:c>
      <x:c r="C1618" s="1" t="str">
        <x:v>Math_74</x:v>
      </x:c>
      <x:c r="D1618" s="1" t="str">
        <x:v>NOT_REVEALING</x:v>
      </x:c>
      <x:c r="E1618" s="5" t="n">
        <x:v>0.9179999999999999</x:v>
      </x:c>
      <x:c r="F1618" s="4" t="n">
        <x:v>0</x:v>
      </x:c>
      <x:c r="G1618" s="4" t="n">
        <x:v>43319</x:v>
      </x:c>
      <x:c r="H1618" s="6" t="n">
        <x:v>230.83</x:v>
      </x:c>
      <x:c r="I1618" s="16" t="n">
        <x:v>1</x:v>
      </x:c>
      <x:c r="J1618" t="n">
        <x:v>122</x:v>
      </x:c>
      <x:c r="K1618" s="4" t="n">
        <x:v>112</x:v>
      </x:c>
      <x:c r="L1618" s="4" t="n">
        <x:v>54</x:v>
      </x:c>
      <x:c r="M1618" s="4" t="n">
        <x:v>46</x:v>
      </x:c>
      <x:c r="N1618" s="5" t="n">
        <x:v>0.8519</x:v>
      </x:c>
    </x:row>
    <x:row r="1619" ht="24" customHeight="1">
      <x:c r="A1619" s="1" t="str">
        <x:v>RESULT</x:v>
      </x:c>
      <x:c r="B1619" s="1" t="str">
        <x:v>Round2</x:v>
      </x:c>
      <x:c r="C1619" s="1" t="str">
        <x:v>Math_75</x:v>
      </x:c>
      <x:c r="D1619" s="1" t="str">
        <x:v>INCONCLUSIVE</x:v>
      </x:c>
      <x:c r="E1619" s="5" t="n">
        <x:v>0.8506999999999999</x:v>
      </x:c>
      <x:c r="F1619" s="4" t="n">
        <x:v>0</x:v>
      </x:c>
      <x:c r="G1619" s="4"/>
      <x:c r="H1619" s="6"/>
      <x:c r="I1619" s="16" t="n">
        <x:v>1</x:v>
      </x:c>
      <x:c r="J1619" t="n">
        <x:v>134</x:v>
      </x:c>
      <x:c r="K1619" s="4" t="n">
        <x:v>114</x:v>
      </x:c>
      <x:c r="L1619" s="4" t="n">
        <x:v>48</x:v>
      </x:c>
      <x:c r="M1619" s="4" t="n">
        <x:v>37</x:v>
      </x:c>
      <x:c r="N1619" s="5" t="n">
        <x:v>0.7707999999999999</x:v>
      </x:c>
    </x:row>
    <x:row r="1620" ht="24" customHeight="1">
      <x:c r="A1620" s="1" t="str">
        <x:v>RESULT</x:v>
      </x:c>
      <x:c r="B1620" s="1" t="str">
        <x:v>Round2</x:v>
      </x:c>
      <x:c r="C1620" s="1" t="str">
        <x:v>Math_76</x:v>
      </x:c>
      <x:c r="D1620" s="1" t="str">
        <x:v>INCONCLUSIVE</x:v>
      </x:c>
      <x:c r="E1620" s="5" t="n">
        <x:v>0.7985</x:v>
      </x:c>
      <x:c r="F1620" s="4" t="n">
        <x:v>0</x:v>
      </x:c>
      <x:c r="G1620" s="4"/>
      <x:c r="H1620" s="6"/>
      <x:c r="I1620" s="16" t="n">
        <x:v>1</x:v>
      </x:c>
      <x:c r="J1620" t="n">
        <x:v>134</x:v>
      </x:c>
      <x:c r="K1620" s="4" t="n">
        <x:v>107</x:v>
      </x:c>
      <x:c r="L1620" s="4" t="n">
        <x:v>54</x:v>
      </x:c>
      <x:c r="M1620" s="4" t="n">
        <x:v>36</x:v>
      </x:c>
      <x:c r="N1620" s="5" t="n">
        <x:v>0.6667000000000001</x:v>
      </x:c>
    </x:row>
    <x:row r="1621" ht="24" customHeight="1">
      <x:c r="A1621" s="1" t="str">
        <x:v>RESULT</x:v>
      </x:c>
      <x:c r="B1621" s="1" t="str">
        <x:v>Round2</x:v>
      </x:c>
      <x:c r="C1621" s="1" t="str">
        <x:v>Math_77</x:v>
      </x:c>
      <x:c r="D1621" s="1" t="str">
        <x:v>REVEALING</x:v>
      </x:c>
      <x:c r="E1621" s="5" t="n">
        <x:v>0.7309</x:v>
      </x:c>
      <x:c r="F1621" s="4" t="n">
        <x:v>1</x:v>
      </x:c>
      <x:c r="G1621" s="4" t="n">
        <x:v>72520</x:v>
      </x:c>
      <x:c r="H1621" s="6" t="n">
        <x:v>2519.37</x:v>
      </x:c>
      <x:c r="I1621" s="16" t="n">
        <x:v>1</x:v>
      </x:c>
      <x:c r="J1621" t="n">
        <x:v>799</x:v>
      </x:c>
      <x:c r="K1621" s="4" t="n">
        <x:v>584</x:v>
      </x:c>
      <x:c r="L1621" s="4" t="n">
        <x:v>338</x:v>
      </x:c>
      <x:c r="M1621" s="4" t="n">
        <x:v>233</x:v>
      </x:c>
      <x:c r="N1621" s="5" t="n">
        <x:v>0.6893</x:v>
      </x:c>
    </x:row>
    <x:row r="1622" ht="24" customHeight="1">
      <x:c r="A1622" s="1" t="str">
        <x:v>RESULT</x:v>
      </x:c>
      <x:c r="B1622" s="1" t="str">
        <x:v>Round2</x:v>
      </x:c>
      <x:c r="C1622" s="1" t="str">
        <x:v>Math_78</x:v>
      </x:c>
      <x:c r="D1622" s="1" t="str">
        <x:v>NOT_AVAILABLE</x:v>
      </x:c>
      <x:c r="E1622" s="5"/>
      <x:c r="F1622" s="4" t="n">
        <x:v>0</x:v>
      </x:c>
      <x:c r="G1622" s="4" t="n">
        <x:v>53116</x:v>
      </x:c>
      <x:c r="H1622" s="6" t="n">
        <x:v>289.03</x:v>
      </x:c>
      <x:c r="I1622" s="16" t="n">
        <x:v>1</x:v>
      </x:c>
      <x:c r="J1622"/>
      <x:c r="K1622" s="4"/>
      <x:c r="L1622" s="4"/>
      <x:c r="M1622" s="4"/>
      <x:c r="N1622" s="5"/>
    </x:row>
    <x:row r="1623" ht="24" customHeight="1">
      <x:c r="A1623" s="1" t="str">
        <x:v>RESULT</x:v>
      </x:c>
      <x:c r="B1623" s="1" t="str">
        <x:v>Round2</x:v>
      </x:c>
      <x:c r="C1623" s="1" t="str">
        <x:v>Math_79</x:v>
      </x:c>
      <x:c r="D1623" s="1" t="str">
        <x:v>INCONCLUSIVE</x:v>
      </x:c>
      <x:c r="E1623" s="5" t="n">
        <x:v>0.6333</x:v>
      </x:c>
      <x:c r="F1623" s="4" t="n">
        <x:v>0</x:v>
      </x:c>
      <x:c r="G1623" s="4"/>
      <x:c r="H1623" s="6"/>
      <x:c r="I1623" s="16" t="n">
        <x:v>1</x:v>
      </x:c>
      <x:c r="J1623" t="n">
        <x:v>420</x:v>
      </x:c>
      <x:c r="K1623" s="4" t="n">
        <x:v>266</x:v>
      </x:c>
      <x:c r="L1623" s="4" t="n">
        <x:v>345</x:v>
      </x:c>
      <x:c r="M1623" s="4" t="n">
        <x:v>216</x:v>
      </x:c>
      <x:c r="N1623" s="5" t="n">
        <x:v>0.6261</x:v>
      </x:c>
    </x:row>
    <x:row r="1624" ht="24" customHeight="1">
      <x:c r="A1624" s="1" t="str">
        <x:v>RESULT</x:v>
      </x:c>
      <x:c r="B1624" s="1" t="str">
        <x:v>Round2</x:v>
      </x:c>
      <x:c r="C1624" s="1" t="str">
        <x:v>Math_8</x:v>
      </x:c>
      <x:c r="D1624" s="1" t="str">
        <x:v>NOT_AVAILABLE</x:v>
      </x:c>
      <x:c r="E1624" s="5" t="n">
        <x:v>1</x:v>
      </x:c>
      <x:c r="F1624" s="4" t="n">
        <x:v>0</x:v>
      </x:c>
      <x:c r="G1624" s="4" t="n">
        <x:v>22891</x:v>
      </x:c>
      <x:c r="H1624" s="6" t="n">
        <x:v>847.47</x:v>
      </x:c>
      <x:c r="I1624" s="16" t="n">
        <x:v>1</x:v>
      </x:c>
      <x:c r="J1624" t="n">
        <x:v>40</x:v>
      </x:c>
      <x:c r="K1624" s="4" t="n">
        <x:v>40</x:v>
      </x:c>
      <x:c r="L1624" s="4" t="n">
        <x:v>24</x:v>
      </x:c>
      <x:c r="M1624" s="4" t="n">
        <x:v>24</x:v>
      </x:c>
      <x:c r="N1624" s="5" t="n">
        <x:v>1</x:v>
      </x:c>
    </x:row>
    <x:row r="1625" ht="24" customHeight="1">
      <x:c r="A1625" s="1" t="str">
        <x:v>RESULT</x:v>
      </x:c>
      <x:c r="B1625" s="1" t="str">
        <x:v>Round2</x:v>
      </x:c>
      <x:c r="C1625" s="1" t="str">
        <x:v>Math_80</x:v>
      </x:c>
      <x:c r="D1625" s="1" t="str">
        <x:v>INCONCLUSIVE</x:v>
      </x:c>
      <x:c r="E1625" s="5" t="n">
        <x:v>0.33020000000000005</x:v>
      </x:c>
      <x:c r="F1625" s="4" t="n">
        <x:v>0</x:v>
      </x:c>
      <x:c r="G1625" s="4"/>
      <x:c r="H1625" s="6"/>
      <x:c r="I1625" s="16" t="n">
        <x:v>1</x:v>
      </x:c>
      <x:c r="J1625" t="n">
        <x:v>854</x:v>
      </x:c>
      <x:c r="K1625" s="4" t="n">
        <x:v>282</x:v>
      </x:c>
      <x:c r="L1625" s="4" t="n">
        <x:v>414</x:v>
      </x:c>
      <x:c r="M1625" s="4" t="n">
        <x:v>80</x:v>
      </x:c>
      <x:c r="N1625" s="5" t="n">
        <x:v>0.1932</x:v>
      </x:c>
    </x:row>
    <x:row r="1626" ht="24" customHeight="1">
      <x:c r="A1626" s="1" t="str">
        <x:v>RESULT</x:v>
      </x:c>
      <x:c r="B1626" s="1" t="str">
        <x:v>Round2</x:v>
      </x:c>
      <x:c r="C1626" s="1" t="str">
        <x:v>Math_81</x:v>
      </x:c>
      <x:c r="D1626" s="1" t="str">
        <x:v>NOT_REVEALING</x:v>
      </x:c>
      <x:c r="E1626" s="5" t="n">
        <x:v>0.3353</x:v>
      </x:c>
      <x:c r="F1626" s="4" t="n">
        <x:v>0</x:v>
      </x:c>
      <x:c r="G1626" s="4"/>
      <x:c r="H1626" s="6"/>
      <x:c r="I1626" s="16" t="n">
        <x:v>1</x:v>
      </x:c>
      <x:c r="J1626" t="n">
        <x:v>853</x:v>
      </x:c>
      <x:c r="K1626" s="4" t="n">
        <x:v>286</x:v>
      </x:c>
      <x:c r="L1626" s="4" t="n">
        <x:v>414</x:v>
      </x:c>
      <x:c r="M1626" s="4" t="n">
        <x:v>84</x:v>
      </x:c>
      <x:c r="N1626" s="5" t="n">
        <x:v>0.2029</x:v>
      </x:c>
    </x:row>
    <x:row r="1627" ht="24" customHeight="1">
      <x:c r="A1627" s="1" t="str">
        <x:v>RESULT</x:v>
      </x:c>
      <x:c r="B1627" s="1" t="str">
        <x:v>Round2</x:v>
      </x:c>
      <x:c r="C1627" s="1" t="str">
        <x:v>Math_82</x:v>
      </x:c>
      <x:c r="D1627" s="1" t="str">
        <x:v>NOT_REVEALING</x:v>
      </x:c>
      <x:c r="E1627" s="5" t="n">
        <x:v>0.9667</x:v>
      </x:c>
      <x:c r="F1627" s="4" t="n">
        <x:v>0</x:v>
      </x:c>
      <x:c r="G1627" s="4" t="n">
        <x:v>23798</x:v>
      </x:c>
      <x:c r="H1627" s="6" t="n">
        <x:v>129.59</x:v>
      </x:c>
      <x:c r="I1627" s="16" t="n">
        <x:v>1</x:v>
      </x:c>
      <x:c r="J1627" t="n">
        <x:v>60</x:v>
      </x:c>
      <x:c r="K1627" s="4" t="n">
        <x:v>58</x:v>
      </x:c>
      <x:c r="L1627" s="4" t="n">
        <x:v>36</x:v>
      </x:c>
      <x:c r="M1627" s="4" t="n">
        <x:v>33</x:v>
      </x:c>
      <x:c r="N1627" s="5" t="n">
        <x:v>0.9167000000000001</x:v>
      </x:c>
    </x:row>
    <x:row r="1628" ht="24" customHeight="1">
      <x:c r="A1628" s="1" t="str">
        <x:v>RESULT</x:v>
      </x:c>
      <x:c r="B1628" s="1" t="str">
        <x:v>Round2</x:v>
      </x:c>
      <x:c r="C1628" s="1" t="str">
        <x:v>Math_83</x:v>
      </x:c>
      <x:c r="D1628" s="1" t="str">
        <x:v>INCONCLUSIVE</x:v>
      </x:c>
      <x:c r="E1628" s="5" t="n">
        <x:v>0.071</x:v>
      </x:c>
      <x:c r="F1628" s="4" t="n">
        <x:v>0</x:v>
      </x:c>
      <x:c r="G1628" s="4" t="n">
        <x:v>38166</x:v>
      </x:c>
      <x:c r="H1628" s="6" t="n">
        <x:v>191.5</x:v>
      </x:c>
      <x:c r="I1628" s="16" t="n">
        <x:v>1</x:v>
      </x:c>
      <x:c r="J1628" t="n">
        <x:v>155</x:v>
      </x:c>
      <x:c r="K1628" s="4" t="n">
        <x:v>11</x:v>
      </x:c>
      <x:c r="L1628" s="4" t="n">
        <x:v>92</x:v>
      </x:c>
      <x:c r="M1628" s="4" t="n">
        <x:v>7</x:v>
      </x:c>
      <x:c r="N1628" s="5" t="n">
        <x:v>0.0761</x:v>
      </x:c>
    </x:row>
    <x:row r="1629" ht="24" customHeight="1">
      <x:c r="A1629" s="1" t="str">
        <x:v>RESULT</x:v>
      </x:c>
      <x:c r="B1629" s="1" t="str">
        <x:v>Round2</x:v>
      </x:c>
      <x:c r="C1629" s="1" t="str">
        <x:v>Math_84</x:v>
      </x:c>
      <x:c r="D1629" s="1" t="str">
        <x:v>NOT_AVAILABLE</x:v>
      </x:c>
      <x:c r="E1629" s="5"/>
      <x:c r="F1629" s="4" t="n">
        <x:v>0</x:v>
      </x:c>
      <x:c r="G1629" s="4" t="n">
        <x:v>25283</x:v>
      </x:c>
      <x:c r="H1629" s="6" t="n">
        <x:v>135.24</x:v>
      </x:c>
      <x:c r="I1629" s="16" t="n">
        <x:v>1</x:v>
      </x:c>
      <x:c r="J1629"/>
      <x:c r="K1629" s="4"/>
      <x:c r="L1629" s="4"/>
      <x:c r="M1629" s="4"/>
      <x:c r="N1629" s="5"/>
    </x:row>
    <x:row r="1630" ht="24" customHeight="1">
      <x:c r="A1630" s="1" t="str">
        <x:v>RESULT</x:v>
      </x:c>
      <x:c r="B1630" s="1" t="str">
        <x:v>Round2</x:v>
      </x:c>
      <x:c r="C1630" s="1" t="str">
        <x:v>Math_85</x:v>
      </x:c>
      <x:c r="D1630" s="1" t="str">
        <x:v>REVEALING</x:v>
      </x:c>
      <x:c r="E1630" s="5" t="n">
        <x:v>0.9211</x:v>
      </x:c>
      <x:c r="F1630" s="4" t="n">
        <x:v>1</x:v>
      </x:c>
      <x:c r="G1630" s="4"/>
      <x:c r="H1630" s="6"/>
      <x:c r="I1630" s="16" t="n">
        <x:v>1</x:v>
      </x:c>
      <x:c r="J1630" t="n">
        <x:v>38</x:v>
      </x:c>
      <x:c r="K1630" s="4" t="n">
        <x:v>35</x:v>
      </x:c>
      <x:c r="L1630" s="4" t="n">
        <x:v>22</x:v>
      </x:c>
      <x:c r="M1630" s="4" t="n">
        <x:v>19</x:v>
      </x:c>
      <x:c r="N1630" s="5" t="n">
        <x:v>0.8636</x:v>
      </x:c>
    </x:row>
    <x:row r="1631" ht="24" customHeight="1">
      <x:c r="A1631" s="1" t="str">
        <x:v>RESULT</x:v>
      </x:c>
      <x:c r="B1631" s="1" t="str">
        <x:v>Round2</x:v>
      </x:c>
      <x:c r="C1631" s="1" t="str">
        <x:v>Math_86</x:v>
      </x:c>
      <x:c r="D1631" s="1" t="str">
        <x:v>REVEALING</x:v>
      </x:c>
      <x:c r="E1631" s="5" t="n">
        <x:v>0.8448</x:v>
      </x:c>
      <x:c r="F1631" s="4" t="n">
        <x:v>1</x:v>
      </x:c>
      <x:c r="G1631" s="4" t="n">
        <x:v>35471</x:v>
      </x:c>
      <x:c r="H1631" s="6" t="n">
        <x:v>183.12</x:v>
      </x:c>
      <x:c r="I1631" s="16" t="n">
        <x:v>1</x:v>
      </x:c>
      <x:c r="J1631" t="n">
        <x:v>116</x:v>
      </x:c>
      <x:c r="K1631" s="4" t="n">
        <x:v>98</x:v>
      </x:c>
      <x:c r="L1631" s="4" t="n">
        <x:v>60</x:v>
      </x:c>
      <x:c r="M1631" s="4" t="n">
        <x:v>50</x:v>
      </x:c>
      <x:c r="N1631" s="5" t="n">
        <x:v>0.8332999999999999</x:v>
      </x:c>
    </x:row>
    <x:row r="1632" ht="24" customHeight="1">
      <x:c r="A1632" s="1" t="str">
        <x:v>RESULT</x:v>
      </x:c>
      <x:c r="B1632" s="1" t="str">
        <x:v>Round2</x:v>
      </x:c>
      <x:c r="C1632" s="1" t="str">
        <x:v>Math_87</x:v>
      </x:c>
      <x:c r="D1632" s="1" t="str">
        <x:v>NOT_REVEALING</x:v>
      </x:c>
      <x:c r="E1632" s="5" t="n">
        <x:v>0.0724</x:v>
      </x:c>
      <x:c r="F1632" s="4" t="n">
        <x:v>0</x:v>
      </x:c>
      <x:c r="G1632" s="4"/>
      <x:c r="H1632" s="6"/>
      <x:c r="I1632" s="16" t="n">
        <x:v>1</x:v>
      </x:c>
      <x:c r="J1632" t="n">
        <x:v>152</x:v>
      </x:c>
      <x:c r="K1632" s="4" t="n">
        <x:v>11</x:v>
      </x:c>
      <x:c r="L1632" s="4" t="n">
        <x:v>90</x:v>
      </x:c>
      <x:c r="M1632" s="4" t="n">
        <x:v>7</x:v>
      </x:c>
      <x:c r="N1632" s="5" t="n">
        <x:v>0.07780000000000001</x:v>
      </x:c>
    </x:row>
    <x:row r="1633" ht="24" customHeight="1">
      <x:c r="A1633" s="1" t="str">
        <x:v>RESULT</x:v>
      </x:c>
      <x:c r="B1633" s="1" t="str">
        <x:v>Round2</x:v>
      </x:c>
      <x:c r="C1633" s="1" t="str">
        <x:v>Math_88</x:v>
      </x:c>
      <x:c r="D1633" s="1" t="str">
        <x:v>INCONCLUSIVE</x:v>
      </x:c>
      <x:c r="E1633" s="5" t="n">
        <x:v>0.0724</x:v>
      </x:c>
      <x:c r="F1633" s="4" t="n">
        <x:v>0</x:v>
      </x:c>
      <x:c r="G1633" s="4" t="n">
        <x:v>20609</x:v>
      </x:c>
      <x:c r="H1633" s="6" t="n">
        <x:v>87.01</x:v>
      </x:c>
      <x:c r="I1633" s="16" t="n">
        <x:v>1</x:v>
      </x:c>
      <x:c r="J1633" t="n">
        <x:v>152</x:v>
      </x:c>
      <x:c r="K1633" s="4" t="n">
        <x:v>11</x:v>
      </x:c>
      <x:c r="L1633" s="4" t="n">
        <x:v>94</x:v>
      </x:c>
      <x:c r="M1633" s="4" t="n">
        <x:v>6</x:v>
      </x:c>
      <x:c r="N1633" s="5" t="n">
        <x:v>0.0638</x:v>
      </x:c>
    </x:row>
    <x:row r="1634" ht="24" customHeight="1">
      <x:c r="A1634" s="1" t="str">
        <x:v>RESULT</x:v>
      </x:c>
      <x:c r="B1634" s="1" t="str">
        <x:v>Round2</x:v>
      </x:c>
      <x:c r="C1634" s="1" t="str">
        <x:v>Math_89</x:v>
      </x:c>
      <x:c r="D1634" s="1" t="str">
        <x:v>NOT_REVEALING</x:v>
      </x:c>
      <x:c r="E1634" s="5" t="n">
        <x:v>0.8981</x:v>
      </x:c>
      <x:c r="F1634" s="4" t="n">
        <x:v>0</x:v>
      </x:c>
      <x:c r="G1634" s="4"/>
      <x:c r="H1634" s="6"/>
      <x:c r="I1634" s="16" t="n">
        <x:v>1</x:v>
      </x:c>
      <x:c r="J1634" t="n">
        <x:v>108</x:v>
      </x:c>
      <x:c r="K1634" s="4" t="n">
        <x:v>97</x:v>
      </x:c>
      <x:c r="L1634" s="4" t="n">
        <x:v>32</x:v>
      </x:c>
      <x:c r="M1634" s="4" t="n">
        <x:v>30</x:v>
      </x:c>
      <x:c r="N1634" s="5" t="n">
        <x:v>0.9375</x:v>
      </x:c>
    </x:row>
    <x:row r="1635" ht="24" customHeight="1">
      <x:c r="A1635" s="1" t="str">
        <x:v>RESULT</x:v>
      </x:c>
      <x:c r="B1635" s="1" t="str">
        <x:v>Round2</x:v>
      </x:c>
      <x:c r="C1635" s="1" t="str">
        <x:v>Math_9</x:v>
      </x:c>
      <x:c r="D1635" s="1" t="str">
        <x:v>NOT_REVEALING</x:v>
      </x:c>
      <x:c r="E1635" s="5" t="n">
        <x:v>0.9783</x:v>
      </x:c>
      <x:c r="F1635" s="4" t="n">
        <x:v>0</x:v>
      </x:c>
      <x:c r="G1635" s="4" t="n">
        <x:v>15724</x:v>
      </x:c>
      <x:c r="H1635" s="6" t="n">
        <x:v>523.34</x:v>
      </x:c>
      <x:c r="I1635" s="16" t="n">
        <x:v>1</x:v>
      </x:c>
      <x:c r="J1635" t="n">
        <x:v>46</x:v>
      </x:c>
      <x:c r="K1635" s="4" t="n">
        <x:v>45</x:v>
      </x:c>
      <x:c r="L1635" s="4" t="n">
        <x:v>16</x:v>
      </x:c>
      <x:c r="M1635" s="4" t="n">
        <x:v>16</x:v>
      </x:c>
      <x:c r="N1635" s="5" t="n">
        <x:v>1</x:v>
      </x:c>
    </x:row>
    <x:row r="1636" ht="24" customHeight="1">
      <x:c r="A1636" s="1" t="str">
        <x:v>RESULT</x:v>
      </x:c>
      <x:c r="B1636" s="1" t="str">
        <x:v>Round2</x:v>
      </x:c>
      <x:c r="C1636" s="1" t="str">
        <x:v>Math_90</x:v>
      </x:c>
      <x:c r="D1636" s="1" t="str">
        <x:v>INCONCLUSIVE</x:v>
      </x:c>
      <x:c r="E1636" s="5" t="n">
        <x:v>0.8208</x:v>
      </x:c>
      <x:c r="F1636" s="4" t="n">
        <x:v>0</x:v>
      </x:c>
      <x:c r="G1636" s="4"/>
      <x:c r="H1636" s="6"/>
      <x:c r="I1636" s="16" t="n">
        <x:v>1</x:v>
      </x:c>
      <x:c r="J1636" t="n">
        <x:v>106</x:v>
      </x:c>
      <x:c r="K1636" s="4" t="n">
        <x:v>87</x:v>
      </x:c>
      <x:c r="L1636" s="4" t="n">
        <x:v>32</x:v>
      </x:c>
      <x:c r="M1636" s="4" t="n">
        <x:v>29</x:v>
      </x:c>
      <x:c r="N1636" s="5" t="n">
        <x:v>0.9062</x:v>
      </x:c>
    </x:row>
    <x:row r="1637" ht="24" customHeight="1">
      <x:c r="A1637" s="1" t="str">
        <x:v>RESULT</x:v>
      </x:c>
      <x:c r="B1637" s="1" t="str">
        <x:v>Round2</x:v>
      </x:c>
      <x:c r="C1637" s="1" t="str">
        <x:v>Math_91</x:v>
      </x:c>
      <x:c r="D1637" s="1" t="str">
        <x:v>NOT_REVEALING</x:v>
      </x:c>
      <x:c r="E1637" s="5" t="n">
        <x:v>0.9693</x:v>
      </x:c>
      <x:c r="F1637" s="4" t="n">
        <x:v>0</x:v>
      </x:c>
      <x:c r="G1637" s="4"/>
      <x:c r="H1637" s="6"/>
      <x:c r="I1637" s="16" t="n">
        <x:v>1</x:v>
      </x:c>
      <x:c r="J1637" t="n">
        <x:v>163</x:v>
      </x:c>
      <x:c r="K1637" s="4" t="n">
        <x:v>158</x:v>
      </x:c>
      <x:c r="L1637" s="4" t="n">
        <x:v>90</x:v>
      </x:c>
      <x:c r="M1637" s="4" t="n">
        <x:v>85</x:v>
      </x:c>
      <x:c r="N1637" s="5" t="n">
        <x:v>0.9444</x:v>
      </x:c>
    </x:row>
    <x:row r="1638" ht="24" customHeight="1">
      <x:c r="A1638" s="1" t="str">
        <x:v>RESULT</x:v>
      </x:c>
      <x:c r="B1638" s="1" t="str">
        <x:v>Round2</x:v>
      </x:c>
      <x:c r="C1638" s="1" t="str">
        <x:v>Math_92</x:v>
      </x:c>
      <x:c r="D1638" s="1" t="str">
        <x:v>INCONCLUSIVE</x:v>
      </x:c>
      <x:c r="E1638" s="5" t="n">
        <x:v>0.7965000000000001</x:v>
      </x:c>
      <x:c r="F1638" s="4" t="n">
        <x:v>0</x:v>
      </x:c>
      <x:c r="G1638" s="4"/>
      <x:c r="H1638" s="6"/>
      <x:c r="I1638" s="16" t="n">
        <x:v>1</x:v>
      </x:c>
      <x:c r="J1638" t="n">
        <x:v>231</x:v>
      </x:c>
      <x:c r="K1638" s="4" t="n">
        <x:v>184</x:v>
      </x:c>
      <x:c r="L1638" s="4" t="n">
        <x:v>223</x:v>
      </x:c>
      <x:c r="M1638" s="4" t="n">
        <x:v>181</x:v>
      </x:c>
      <x:c r="N1638" s="5" t="n">
        <x:v>0.8117</x:v>
      </x:c>
    </x:row>
    <x:row r="1639" ht="24" customHeight="1">
      <x:c r="A1639" s="1" t="str">
        <x:v>RESULT</x:v>
      </x:c>
      <x:c r="B1639" s="1" t="str">
        <x:v>Round2</x:v>
      </x:c>
      <x:c r="C1639" s="1" t="str">
        <x:v>Math_93</x:v>
      </x:c>
      <x:c r="D1639" s="1" t="str">
        <x:v>NOT_REVEALING</x:v>
      </x:c>
      <x:c r="E1639" s="5" t="n">
        <x:v>0.9336</x:v>
      </x:c>
      <x:c r="F1639" s="4" t="n">
        <x:v>0</x:v>
      </x:c>
      <x:c r="G1639" s="4"/>
      <x:c r="H1639" s="6"/>
      <x:c r="I1639" s="16" t="n">
        <x:v>1</x:v>
      </x:c>
      <x:c r="J1639" t="n">
        <x:v>226</x:v>
      </x:c>
      <x:c r="K1639" s="4" t="n">
        <x:v>211</x:v>
      </x:c>
      <x:c r="L1639" s="4" t="n">
        <x:v>217</x:v>
      </x:c>
      <x:c r="M1639" s="4" t="n">
        <x:v>202</x:v>
      </x:c>
      <x:c r="N1639" s="5" t="n">
        <x:v>0.9309000000000001</x:v>
      </x:c>
    </x:row>
    <x:row r="1640" ht="24" customHeight="1">
      <x:c r="A1640" s="1" t="str">
        <x:v>RESULT</x:v>
      </x:c>
      <x:c r="B1640" s="1" t="str">
        <x:v>Round2</x:v>
      </x:c>
      <x:c r="C1640" s="1" t="str">
        <x:v>Math_94</x:v>
      </x:c>
      <x:c r="D1640" s="1" t="str">
        <x:v>NOT_REVEALING</x:v>
      </x:c>
      <x:c r="E1640" s="5" t="n">
        <x:v>0.8</x:v>
      </x:c>
      <x:c r="F1640" s="4" t="n">
        <x:v>0</x:v>
      </x:c>
      <x:c r="G1640" s="4"/>
      <x:c r="H1640" s="6"/>
      <x:c r="I1640" s="16" t="n">
        <x:v>1</x:v>
      </x:c>
      <x:c r="J1640" t="n">
        <x:v>225</x:v>
      </x:c>
      <x:c r="K1640" s="4" t="n">
        <x:v>180</x:v>
      </x:c>
      <x:c r="L1640" s="4" t="n">
        <x:v>215</x:v>
      </x:c>
      <x:c r="M1640" s="4" t="n">
        <x:v>175</x:v>
      </x:c>
      <x:c r="N1640" s="5" t="n">
        <x:v>0.8140000000000001</x:v>
      </x:c>
    </x:row>
    <x:row r="1641" ht="24" customHeight="1">
      <x:c r="A1641" s="1" t="str">
        <x:v>RESULT</x:v>
      </x:c>
      <x:c r="B1641" s="1" t="str">
        <x:v>Round2</x:v>
      </x:c>
      <x:c r="C1641" s="1" t="str">
        <x:v>Math_95</x:v>
      </x:c>
      <x:c r="D1641" s="1" t="str">
        <x:v>NOT_REVEALING</x:v>
      </x:c>
      <x:c r="E1641" s="5" t="n">
        <x:v>1</x:v>
      </x:c>
      <x:c r="F1641" s="4" t="n">
        <x:v>0</x:v>
      </x:c>
      <x:c r="G1641" s="4"/>
      <x:c r="H1641" s="6"/>
      <x:c r="I1641" s="16" t="n">
        <x:v>1</x:v>
      </x:c>
      <x:c r="J1641" t="n">
        <x:v>30</x:v>
      </x:c>
      <x:c r="K1641" s="4" t="n">
        <x:v>30</x:v>
      </x:c>
      <x:c r="L1641" s="4" t="n">
        <x:v>10</x:v>
      </x:c>
      <x:c r="M1641" s="4" t="n">
        <x:v>10</x:v>
      </x:c>
      <x:c r="N1641" s="5" t="n">
        <x:v>1</x:v>
      </x:c>
    </x:row>
    <x:row r="1642" ht="24" customHeight="1">
      <x:c r="A1642" s="1" t="str">
        <x:v>RESULT</x:v>
      </x:c>
      <x:c r="B1642" s="1" t="str">
        <x:v>Round2</x:v>
      </x:c>
      <x:c r="C1642" s="1" t="str">
        <x:v>Math_96</x:v>
      </x:c>
      <x:c r="D1642" s="1" t="str">
        <x:v>INCONCLUSIVE</x:v>
      </x:c>
      <x:c r="E1642" s="5" t="n">
        <x:v>0.9789</x:v>
      </x:c>
      <x:c r="F1642" s="4" t="n">
        <x:v>0</x:v>
      </x:c>
      <x:c r="G1642" s="4"/>
      <x:c r="H1642" s="6"/>
      <x:c r="I1642" s="16" t="n">
        <x:v>1</x:v>
      </x:c>
      <x:c r="J1642" t="n">
        <x:v>142</x:v>
      </x:c>
      <x:c r="K1642" s="4" t="n">
        <x:v>139</x:v>
      </x:c>
      <x:c r="L1642" s="4" t="n">
        <x:v>102</x:v>
      </x:c>
      <x:c r="M1642" s="4" t="n">
        <x:v>91</x:v>
      </x:c>
      <x:c r="N1642" s="5" t="n">
        <x:v>0.8922</x:v>
      </x:c>
    </x:row>
    <x:row r="1643" ht="24" customHeight="1">
      <x:c r="A1643" s="1" t="str">
        <x:v>RESULT</x:v>
      </x:c>
      <x:c r="B1643" s="1" t="str">
        <x:v>Round2</x:v>
      </x:c>
      <x:c r="C1643" s="1" t="str">
        <x:v>Math_97</x:v>
      </x:c>
      <x:c r="D1643" s="1" t="str">
        <x:v>NOT_REVEALING</x:v>
      </x:c>
      <x:c r="E1643" s="5" t="n">
        <x:v>0.9775</x:v>
      </x:c>
      <x:c r="F1643" s="4" t="n">
        <x:v>0</x:v>
      </x:c>
      <x:c r="G1643" s="4"/>
      <x:c r="H1643" s="6"/>
      <x:c r="I1643" s="16" t="n">
        <x:v>1</x:v>
      </x:c>
      <x:c r="J1643" t="n">
        <x:v>89</x:v>
      </x:c>
      <x:c r="K1643" s="4" t="n">
        <x:v>87</x:v>
      </x:c>
      <x:c r="L1643" s="4" t="n">
        <x:v>46</x:v>
      </x:c>
      <x:c r="M1643" s="4" t="n">
        <x:v>41</x:v>
      </x:c>
      <x:c r="N1643" s="5" t="n">
        <x:v>0.8913</x:v>
      </x:c>
    </x:row>
    <x:row r="1644" ht="24" customHeight="1">
      <x:c r="A1644" s="1" t="str">
        <x:v>RESULT</x:v>
      </x:c>
      <x:c r="B1644" s="1" t="str">
        <x:v>Round2</x:v>
      </x:c>
      <x:c r="C1644" s="1" t="str">
        <x:v>Math_98</x:v>
      </x:c>
      <x:c r="D1644" s="1" t="str">
        <x:v>INCONCLUSIVE</x:v>
      </x:c>
      <x:c r="E1644" s="5" t="n">
        <x:v>0.8420000000000001</x:v>
      </x:c>
      <x:c r="F1644" s="4" t="n">
        <x:v>0</x:v>
      </x:c>
      <x:c r="G1644" s="4"/>
      <x:c r="H1644" s="6"/>
      <x:c r="I1644" s="16" t="n">
        <x:v>1</x:v>
      </x:c>
      <x:c r="J1644" t="n">
        <x:v>918</x:v>
      </x:c>
      <x:c r="K1644" s="4" t="n">
        <x:v>773</x:v>
      </x:c>
      <x:c r="L1644" s="4" t="n">
        <x:v>554</x:v>
      </x:c>
      <x:c r="M1644" s="4" t="n">
        <x:v>440</x:v>
      </x:c>
      <x:c r="N1644" s="5" t="n">
        <x:v>0.7942</x:v>
      </x:c>
    </x:row>
    <x:row r="1645" ht="24" customHeight="1">
      <x:c r="A1645" s="1" t="str">
        <x:v>RESULT</x:v>
      </x:c>
      <x:c r="B1645" s="1" t="str">
        <x:v>Round2</x:v>
      </x:c>
      <x:c r="C1645" s="1" t="str">
        <x:v>Math_99</x:v>
      </x:c>
      <x:c r="D1645" s="1" t="str">
        <x:v>NOT_REVEALING</x:v>
      </x:c>
      <x:c r="E1645" s="5" t="n">
        <x:v>0.9257</x:v>
      </x:c>
      <x:c r="F1645" s="4" t="n">
        <x:v>0</x:v>
      </x:c>
      <x:c r="G1645" s="4"/>
      <x:c r="H1645" s="6"/>
      <x:c r="I1645" s="16" t="n">
        <x:v>1</x:v>
      </x:c>
      <x:c r="J1645" t="n">
        <x:v>269</x:v>
      </x:c>
      <x:c r="K1645" s="4" t="n">
        <x:v>249</x:v>
      </x:c>
      <x:c r="L1645" s="4" t="n">
        <x:v>271</x:v>
      </x:c>
      <x:c r="M1645" s="4" t="n">
        <x:v>245</x:v>
      </x:c>
      <x:c r="N1645" s="5" t="n">
        <x:v>0.9041</x:v>
      </x:c>
    </x:row>
    <x:row r="1646" ht="24" customHeight="1">
      <x:c r="A1646" s="1" t="str">
        <x:v>RESULT</x:v>
      </x:c>
      <x:c r="B1646" s="1" t="str">
        <x:v>Round2</x:v>
      </x:c>
      <x:c r="C1646" s="1" t="str">
        <x:v>Mockito_1</x:v>
      </x:c>
      <x:c r="D1646" s="1" t="str">
        <x:v>NOT_AVAILABLE</x:v>
      </x:c>
      <x:c r="E1646" s="5"/>
      <x:c r="F1646" s="4" t="n">
        <x:v>0</x:v>
      </x:c>
      <x:c r="G1646" s="4" t="n">
        <x:v>29941</x:v>
      </x:c>
      <x:c r="H1646" s="6" t="n">
        <x:v>1130.12</x:v>
      </x:c>
      <x:c r="I1646" s="16" t="n">
        <x:v>1</x:v>
      </x:c>
      <x:c r="J1646"/>
      <x:c r="K1646" s="4"/>
      <x:c r="L1646" s="4"/>
      <x:c r="M1646" s="4"/>
      <x:c r="N1646" s="5"/>
    </x:row>
    <x:row r="1647" ht="24" customHeight="1">
      <x:c r="A1647" s="1" t="str">
        <x:v>RESULT</x:v>
      </x:c>
      <x:c r="B1647" s="1" t="str">
        <x:v>Round2</x:v>
      </x:c>
      <x:c r="C1647" s="1" t="str">
        <x:v>Mockito_10</x:v>
      </x:c>
      <x:c r="D1647" s="1" t="str">
        <x:v>NOT_AVAILABLE</x:v>
      </x:c>
      <x:c r="E1647" s="5"/>
      <x:c r="F1647" s="4" t="n">
        <x:v>0</x:v>
      </x:c>
      <x:c r="G1647" s="4" t="n">
        <x:v>11174</x:v>
      </x:c>
      <x:c r="H1647" s="6" t="n">
        <x:v>78.65</x:v>
      </x:c>
      <x:c r="I1647" s="16" t="n">
        <x:v>1</x:v>
      </x:c>
      <x:c r="J1647"/>
      <x:c r="K1647" s="4"/>
      <x:c r="L1647" s="4"/>
      <x:c r="M1647" s="4"/>
      <x:c r="N1647" s="5"/>
    </x:row>
    <x:row r="1648" ht="24" customHeight="1">
      <x:c r="A1648" s="1" t="str">
        <x:v>RESULT</x:v>
      </x:c>
      <x:c r="B1648" s="1" t="str">
        <x:v>Round2</x:v>
      </x:c>
      <x:c r="C1648" s="1" t="str">
        <x:v>Mockito_11</x:v>
      </x:c>
      <x:c r="D1648" s="1" t="str">
        <x:v>INCONCLUSIVE</x:v>
      </x:c>
      <x:c r="E1648" s="5" t="n">
        <x:v>1</x:v>
      </x:c>
      <x:c r="F1648" s="4" t="n">
        <x:v>0</x:v>
      </x:c>
      <x:c r="G1648" s="4"/>
      <x:c r="H1648" s="6"/>
      <x:c r="I1648" s="16" t="n">
        <x:v>1</x:v>
      </x:c>
      <x:c r="J1648" t="n">
        <x:v>14</x:v>
      </x:c>
      <x:c r="K1648" s="4" t="n">
        <x:v>14</x:v>
      </x:c>
      <x:c r="L1648" s="4" t="n">
        <x:v>6</x:v>
      </x:c>
      <x:c r="M1648" s="4" t="n">
        <x:v>3</x:v>
      </x:c>
      <x:c r="N1648" s="5" t="n">
        <x:v>0.5</x:v>
      </x:c>
    </x:row>
    <x:row r="1649" ht="24" customHeight="1">
      <x:c r="A1649" s="1" t="str">
        <x:v>RESULT</x:v>
      </x:c>
      <x:c r="B1649" s="1" t="str">
        <x:v>Round2</x:v>
      </x:c>
      <x:c r="C1649" s="1" t="str">
        <x:v>Mockito_12</x:v>
      </x:c>
      <x:c r="D1649" s="1" t="str">
        <x:v>INCONCLUSIVE</x:v>
      </x:c>
      <x:c r="E1649" s="5" t="n">
        <x:v>1</x:v>
      </x:c>
      <x:c r="F1649" s="4" t="n">
        <x:v>0</x:v>
      </x:c>
      <x:c r="G1649" s="4"/>
      <x:c r="H1649" s="6"/>
      <x:c r="I1649" s="16" t="n">
        <x:v>1</x:v>
      </x:c>
      <x:c r="J1649" t="n">
        <x:v>6</x:v>
      </x:c>
      <x:c r="K1649" s="4" t="n">
        <x:v>6</x:v>
      </x:c>
      <x:c r="L1649" s="4" t="n">
        <x:v>4</x:v>
      </x:c>
      <x:c r="M1649" s="4" t="n">
        <x:v>3</x:v>
      </x:c>
      <x:c r="N1649" s="5" t="n">
        <x:v>0.75</x:v>
      </x:c>
    </x:row>
    <x:row r="1650" ht="24" customHeight="1">
      <x:c r="A1650" s="1" t="str">
        <x:v>RESULT</x:v>
      </x:c>
      <x:c r="B1650" s="1" t="str">
        <x:v>Round2</x:v>
      </x:c>
      <x:c r="C1650" s="1" t="str">
        <x:v>Mockito_13</x:v>
      </x:c>
      <x:c r="D1650" s="1" t="str">
        <x:v>NOT_AVAILABLE</x:v>
      </x:c>
      <x:c r="E1650" s="5"/>
      <x:c r="F1650" s="4" t="n">
        <x:v>0</x:v>
      </x:c>
      <x:c r="G1650" s="4" t="n">
        <x:v>11915</x:v>
      </x:c>
      <x:c r="H1650" s="6" t="n">
        <x:v>95.19</x:v>
      </x:c>
      <x:c r="I1650" s="16" t="n">
        <x:v>1</x:v>
      </x:c>
      <x:c r="J1650"/>
      <x:c r="K1650" s="4"/>
      <x:c r="L1650" s="4"/>
      <x:c r="M1650" s="4"/>
      <x:c r="N1650" s="5"/>
    </x:row>
    <x:row r="1651" ht="24" customHeight="1">
      <x:c r="A1651" s="1" t="str">
        <x:v>RESULT</x:v>
      </x:c>
      <x:c r="B1651" s="1" t="str">
        <x:v>Round2</x:v>
      </x:c>
      <x:c r="C1651" s="1" t="str">
        <x:v>Mockito_14</x:v>
      </x:c>
      <x:c r="D1651" s="1" t="str">
        <x:v>NOT_AVAILABLE</x:v>
      </x:c>
      <x:c r="E1651" s="5"/>
      <x:c r="F1651" s="4" t="n">
        <x:v>0</x:v>
      </x:c>
      <x:c r="G1651" s="4" t="n">
        <x:v>47089</x:v>
      </x:c>
      <x:c r="H1651" s="6" t="n">
        <x:v>249.5</x:v>
      </x:c>
      <x:c r="I1651" s="16" t="n">
        <x:v>1</x:v>
      </x:c>
      <x:c r="J1651"/>
      <x:c r="K1651" s="4"/>
      <x:c r="L1651" s="4"/>
      <x:c r="M1651" s="4"/>
      <x:c r="N1651" s="5"/>
    </x:row>
    <x:row r="1652" ht="24" customHeight="1">
      <x:c r="A1652" s="1" t="str">
        <x:v>RESULT</x:v>
      </x:c>
      <x:c r="B1652" s="1" t="str">
        <x:v>Round2</x:v>
      </x:c>
      <x:c r="C1652" s="1" t="str">
        <x:v>Mockito_15</x:v>
      </x:c>
      <x:c r="D1652" s="1" t="str">
        <x:v>NOT_REVEALING</x:v>
      </x:c>
      <x:c r="E1652" s="5" t="n">
        <x:v>1</x:v>
      </x:c>
      <x:c r="F1652" s="4" t="n">
        <x:v>0</x:v>
      </x:c>
      <x:c r="G1652" s="4"/>
      <x:c r="H1652" s="6"/>
      <x:c r="I1652" s="16" t="n">
        <x:v>1</x:v>
      </x:c>
      <x:c r="J1652" t="n">
        <x:v>13</x:v>
      </x:c>
      <x:c r="K1652" s="4" t="n">
        <x:v>13</x:v>
      </x:c>
      <x:c r="L1652" s="4" t="n">
        <x:v>2</x:v>
      </x:c>
      <x:c r="M1652" s="4" t="n">
        <x:v>2</x:v>
      </x:c>
      <x:c r="N1652" s="5" t="n">
        <x:v>1</x:v>
      </x:c>
    </x:row>
    <x:row r="1653" ht="24" customHeight="1">
      <x:c r="A1653" s="1" t="str">
        <x:v>RESULT</x:v>
      </x:c>
      <x:c r="B1653" s="1" t="str">
        <x:v>Round2</x:v>
      </x:c>
      <x:c r="C1653" s="1" t="str">
        <x:v>Mockito_16</x:v>
      </x:c>
      <x:c r="D1653" s="1" t="str">
        <x:v>NOT_AVAILABLE</x:v>
      </x:c>
      <x:c r="E1653" s="5"/>
      <x:c r="F1653" s="4" t="n">
        <x:v>0</x:v>
      </x:c>
      <x:c r="G1653" s="4" t="n">
        <x:v>28467</x:v>
      </x:c>
      <x:c r="H1653" s="6" t="n">
        <x:v>228.43</x:v>
      </x:c>
      <x:c r="I1653" s="16" t="n">
        <x:v>1</x:v>
      </x:c>
      <x:c r="J1653"/>
      <x:c r="K1653" s="4"/>
      <x:c r="L1653" s="4"/>
      <x:c r="M1653" s="4"/>
      <x:c r="N1653" s="5"/>
    </x:row>
    <x:row r="1654" ht="24" customHeight="1">
      <x:c r="A1654" s="1" t="str">
        <x:v>RESULT</x:v>
      </x:c>
      <x:c r="B1654" s="1" t="str">
        <x:v>Round2</x:v>
      </x:c>
      <x:c r="C1654" s="1" t="str">
        <x:v>Mockito_17</x:v>
      </x:c>
      <x:c r="D1654" s="1" t="str">
        <x:v>INCONCLUSIVE</x:v>
      </x:c>
      <x:c r="E1654" s="5" t="n">
        <x:v>1</x:v>
      </x:c>
      <x:c r="F1654" s="4" t="n">
        <x:v>0</x:v>
      </x:c>
      <x:c r="G1654" s="4" t="n">
        <x:v>41653</x:v>
      </x:c>
      <x:c r="H1654" s="6" t="n">
        <x:v>194.24</x:v>
      </x:c>
      <x:c r="I1654" s="16" t="n">
        <x:v>1</x:v>
      </x:c>
      <x:c r="J1654" t="n">
        <x:v>61</x:v>
      </x:c>
      <x:c r="K1654" s="4" t="n">
        <x:v>61</x:v>
      </x:c>
      <x:c r="L1654" s="4" t="n">
        <x:v>32</x:v>
      </x:c>
      <x:c r="M1654" s="4" t="n">
        <x:v>32</x:v>
      </x:c>
      <x:c r="N1654" s="5" t="n">
        <x:v>1</x:v>
      </x:c>
    </x:row>
    <x:row r="1655" ht="24" customHeight="1">
      <x:c r="A1655" s="1" t="str">
        <x:v>RESULT</x:v>
      </x:c>
      <x:c r="B1655" s="1" t="str">
        <x:v>Round2</x:v>
      </x:c>
      <x:c r="C1655" s="1" t="str">
        <x:v>Mockito_18</x:v>
      </x:c>
      <x:c r="D1655" s="1" t="str">
        <x:v>NOT_AVAILABLE</x:v>
      </x:c>
      <x:c r="E1655" s="5"/>
      <x:c r="F1655" s="4" t="n">
        <x:v>0</x:v>
      </x:c>
      <x:c r="G1655" s="4" t="n">
        <x:v>8105</x:v>
      </x:c>
      <x:c r="H1655" s="6" t="n">
        <x:v>46.27</x:v>
      </x:c>
      <x:c r="I1655" s="16" t="n">
        <x:v>1</x:v>
      </x:c>
      <x:c r="J1655"/>
      <x:c r="K1655" s="4"/>
      <x:c r="L1655" s="4"/>
      <x:c r="M1655" s="4"/>
      <x:c r="N1655" s="5"/>
    </x:row>
    <x:row r="1656" ht="24" customHeight="1">
      <x:c r="A1656" s="1" t="str">
        <x:v>RESULT</x:v>
      </x:c>
      <x:c r="B1656" s="1" t="str">
        <x:v>Round2</x:v>
      </x:c>
      <x:c r="C1656" s="1" t="str">
        <x:v>Mockito_19</x:v>
      </x:c>
      <x:c r="D1656" s="1" t="str">
        <x:v>NOT_AVAILABLE</x:v>
      </x:c>
      <x:c r="E1656" s="5"/>
      <x:c r="F1656" s="4" t="n">
        <x:v>0</x:v>
      </x:c>
      <x:c r="G1656" s="4" t="n">
        <x:v>65263</x:v>
      </x:c>
      <x:c r="H1656" s="6" t="n">
        <x:v>350.57</x:v>
      </x:c>
      <x:c r="I1656" s="16" t="n">
        <x:v>1</x:v>
      </x:c>
      <x:c r="J1656"/>
      <x:c r="K1656" s="4"/>
      <x:c r="L1656" s="4"/>
      <x:c r="M1656" s="4"/>
      <x:c r="N1656" s="5"/>
    </x:row>
    <x:row r="1657" ht="24" customHeight="1">
      <x:c r="A1657" s="1" t="str">
        <x:v>RESULT</x:v>
      </x:c>
      <x:c r="B1657" s="1" t="str">
        <x:v>Round2</x:v>
      </x:c>
      <x:c r="C1657" s="1" t="str">
        <x:v>Mockito_2</x:v>
      </x:c>
      <x:c r="D1657" s="1" t="str">
        <x:v>INCONCLUSIVE</x:v>
      </x:c>
      <x:c r="E1657" s="5" t="n">
        <x:v>1</x:v>
      </x:c>
      <x:c r="F1657" s="4" t="n">
        <x:v>0</x:v>
      </x:c>
      <x:c r="G1657" s="4"/>
      <x:c r="H1657" s="6"/>
      <x:c r="I1657" s="16" t="n">
        <x:v>1</x:v>
      </x:c>
      <x:c r="J1657" t="n">
        <x:v>9</x:v>
      </x:c>
      <x:c r="K1657" s="4" t="n">
        <x:v>9</x:v>
      </x:c>
      <x:c r="L1657" s="4" t="n">
        <x:v>6</x:v>
      </x:c>
      <x:c r="M1657" s="4" t="n">
        <x:v>3</x:v>
      </x:c>
      <x:c r="N1657" s="5" t="n">
        <x:v>0.5</x:v>
      </x:c>
    </x:row>
    <x:row r="1658" ht="24" customHeight="1">
      <x:c r="A1658" s="1" t="str">
        <x:v>RESULT</x:v>
      </x:c>
      <x:c r="B1658" s="1" t="str">
        <x:v>Round2</x:v>
      </x:c>
      <x:c r="C1658" s="1" t="str">
        <x:v>Mockito_20</x:v>
      </x:c>
      <x:c r="D1658" s="1" t="str">
        <x:v>NOT_AVAILABLE</x:v>
      </x:c>
      <x:c r="E1658" s="5"/>
      <x:c r="F1658" s="4" t="n">
        <x:v>0</x:v>
      </x:c>
      <x:c r="G1658" s="4" t="n">
        <x:v>8990</x:v>
      </x:c>
      <x:c r="H1658" s="6" t="n">
        <x:v>64.8</x:v>
      </x:c>
      <x:c r="I1658" s="16" t="n">
        <x:v>1</x:v>
      </x:c>
      <x:c r="J1658"/>
      <x:c r="K1658" s="4"/>
      <x:c r="L1658" s="4"/>
      <x:c r="M1658" s="4"/>
      <x:c r="N1658" s="5"/>
    </x:row>
    <x:row r="1659" ht="24" customHeight="1">
      <x:c r="A1659" s="1" t="str">
        <x:v>RESULT</x:v>
      </x:c>
      <x:c r="B1659" s="1" t="str">
        <x:v>Round2</x:v>
      </x:c>
      <x:c r="C1659" s="1" t="str">
        <x:v>Mockito_21</x:v>
      </x:c>
      <x:c r="D1659" s="1" t="str">
        <x:v>INCONCLUSIVE</x:v>
      </x:c>
      <x:c r="E1659" s="5" t="n">
        <x:v>1</x:v>
      </x:c>
      <x:c r="F1659" s="4" t="n">
        <x:v>0</x:v>
      </x:c>
      <x:c r="G1659" s="4"/>
      <x:c r="H1659" s="6"/>
      <x:c r="I1659" s="16" t="n">
        <x:v>1</x:v>
      </x:c>
      <x:c r="J1659" t="n">
        <x:v>16</x:v>
      </x:c>
      <x:c r="K1659" s="4" t="n">
        <x:v>16</x:v>
      </x:c>
      <x:c r="L1659" s="4" t="n">
        <x:v>2</x:v>
      </x:c>
      <x:c r="M1659" s="4" t="n">
        <x:v>2</x:v>
      </x:c>
      <x:c r="N1659" s="5" t="n">
        <x:v>1</x:v>
      </x:c>
    </x:row>
    <x:row r="1660" ht="24" customHeight="1">
      <x:c r="A1660" s="1" t="str">
        <x:v>RESULT</x:v>
      </x:c>
      <x:c r="B1660" s="1" t="str">
        <x:v>Round2</x:v>
      </x:c>
      <x:c r="C1660" s="1" t="str">
        <x:v>Mockito_22</x:v>
      </x:c>
      <x:c r="D1660" s="1" t="str">
        <x:v>NOT_REVEALING</x:v>
      </x:c>
      <x:c r="E1660" s="5" t="n">
        <x:v>0.9231</x:v>
      </x:c>
      <x:c r="F1660" s="4" t="n">
        <x:v>0</x:v>
      </x:c>
      <x:c r="G1660" s="4"/>
      <x:c r="H1660" s="6"/>
      <x:c r="I1660" s="16" t="n">
        <x:v>1</x:v>
      </x:c>
      <x:c r="J1660" t="n">
        <x:v>13</x:v>
      </x:c>
      <x:c r="K1660" s="4" t="n">
        <x:v>12</x:v>
      </x:c>
      <x:c r="L1660" s="4" t="n">
        <x:v>24</x:v>
      </x:c>
      <x:c r="M1660" s="4" t="n">
        <x:v>24</x:v>
      </x:c>
      <x:c r="N1660" s="5" t="n">
        <x:v>1</x:v>
      </x:c>
    </x:row>
    <x:row r="1661" ht="24" customHeight="1">
      <x:c r="A1661" s="1" t="str">
        <x:v>RESULT</x:v>
      </x:c>
      <x:c r="B1661" s="1" t="str">
        <x:v>Round2</x:v>
      </x:c>
      <x:c r="C1661" s="1" t="str">
        <x:v>Mockito_23</x:v>
      </x:c>
      <x:c r="D1661" s="1" t="str">
        <x:v>NOT_AVAILABLE</x:v>
      </x:c>
      <x:c r="E1661" s="5"/>
      <x:c r="F1661" s="4" t="n">
        <x:v>0</x:v>
      </x:c>
      <x:c r="G1661" s="4" t="n">
        <x:v>13106</x:v>
      </x:c>
      <x:c r="H1661" s="6" t="n">
        <x:v>94.4</x:v>
      </x:c>
      <x:c r="I1661" s="16" t="n">
        <x:v>1</x:v>
      </x:c>
      <x:c r="J1661"/>
      <x:c r="K1661" s="4"/>
      <x:c r="L1661" s="4"/>
      <x:c r="M1661" s="4"/>
      <x:c r="N1661" s="5"/>
    </x:row>
    <x:row r="1662" ht="24" customHeight="1">
      <x:c r="A1662" s="1" t="str">
        <x:v>RESULT</x:v>
      </x:c>
      <x:c r="B1662" s="1" t="str">
        <x:v>Round2</x:v>
      </x:c>
      <x:c r="C1662" s="1" t="str">
        <x:v>Mockito_24</x:v>
      </x:c>
      <x:c r="D1662" s="1" t="str">
        <x:v>NOT_AVAILABLE</x:v>
      </x:c>
      <x:c r="E1662" s="5"/>
      <x:c r="F1662" s="4" t="n">
        <x:v>0</x:v>
      </x:c>
      <x:c r="G1662" s="4" t="n">
        <x:v>13329</x:v>
      </x:c>
      <x:c r="H1662" s="6" t="n">
        <x:v>99.92</x:v>
      </x:c>
      <x:c r="I1662" s="16" t="n">
        <x:v>1</x:v>
      </x:c>
      <x:c r="J1662"/>
      <x:c r="K1662" s="4"/>
      <x:c r="L1662" s="4"/>
      <x:c r="M1662" s="4"/>
      <x:c r="N1662" s="5"/>
    </x:row>
    <x:row r="1663" ht="24" customHeight="1">
      <x:c r="A1663" s="1" t="str">
        <x:v>RESULT</x:v>
      </x:c>
      <x:c r="B1663" s="1" t="str">
        <x:v>Round2</x:v>
      </x:c>
      <x:c r="C1663" s="1" t="str">
        <x:v>Mockito_25</x:v>
      </x:c>
      <x:c r="D1663" s="1" t="str">
        <x:v>NOT_REVEALING</x:v>
      </x:c>
      <x:c r="E1663" s="5" t="n">
        <x:v>0.9565</x:v>
      </x:c>
      <x:c r="F1663" s="4" t="n">
        <x:v>0</x:v>
      </x:c>
      <x:c r="G1663" s="4" t="n">
        <x:v>30465</x:v>
      </x:c>
      <x:c r="H1663" s="6" t="n">
        <x:v>147.95</x:v>
      </x:c>
      <x:c r="I1663" s="16" t="n">
        <x:v>1</x:v>
      </x:c>
      <x:c r="J1663" t="n">
        <x:v>23</x:v>
      </x:c>
      <x:c r="K1663" s="4" t="n">
        <x:v>22</x:v>
      </x:c>
      <x:c r="L1663" s="4" t="n">
        <x:v>6</x:v>
      </x:c>
      <x:c r="M1663" s="4" t="n">
        <x:v>5</x:v>
      </x:c>
      <x:c r="N1663" s="5" t="n">
        <x:v>0.8332999999999999</x:v>
      </x:c>
    </x:row>
    <x:row r="1664" ht="24" customHeight="1">
      <x:c r="A1664" s="1" t="str">
        <x:v>RESULT</x:v>
      </x:c>
      <x:c r="B1664" s="1" t="str">
        <x:v>Round2</x:v>
      </x:c>
      <x:c r="C1664" s="1" t="str">
        <x:v>Mockito_26</x:v>
      </x:c>
      <x:c r="D1664" s="1" t="str">
        <x:v>REVEALING</x:v>
      </x:c>
      <x:c r="E1664" s="5" t="n">
        <x:v>0.9722</x:v>
      </x:c>
      <x:c r="F1664" s="4" t="n">
        <x:v>1</x:v>
      </x:c>
      <x:c r="G1664" s="4" t="n">
        <x:v>16627</x:v>
      </x:c>
      <x:c r="H1664" s="6" t="n">
        <x:v>73.84</x:v>
      </x:c>
      <x:c r="I1664" s="16" t="n">
        <x:v>1</x:v>
      </x:c>
      <x:c r="J1664" t="n">
        <x:v>36</x:v>
      </x:c>
      <x:c r="K1664" s="4" t="n">
        <x:v>35</x:v>
      </x:c>
      <x:c r="L1664" s="4" t="n">
        <x:v>2</x:v>
      </x:c>
      <x:c r="M1664" s="4" t="n">
        <x:v>2</x:v>
      </x:c>
      <x:c r="N1664" s="5" t="n">
        <x:v>1</x:v>
      </x:c>
    </x:row>
    <x:row r="1665" ht="24" customHeight="1">
      <x:c r="A1665" s="1" t="str">
        <x:v>RESULT</x:v>
      </x:c>
      <x:c r="B1665" s="1" t="str">
        <x:v>Round2</x:v>
      </x:c>
      <x:c r="C1665" s="1" t="str">
        <x:v>Mockito_27</x:v>
      </x:c>
      <x:c r="D1665" s="1" t="str">
        <x:v>NOT_AVAILABLE</x:v>
      </x:c>
      <x:c r="E1665" s="5"/>
      <x:c r="F1665" s="4" t="n">
        <x:v>0</x:v>
      </x:c>
      <x:c r="G1665" s="4" t="n">
        <x:v>38641</x:v>
      </x:c>
      <x:c r="H1665" s="6" t="n">
        <x:v>183.57</x:v>
      </x:c>
      <x:c r="I1665" s="16" t="n">
        <x:v>1</x:v>
      </x:c>
      <x:c r="J1665"/>
      <x:c r="K1665" s="4"/>
      <x:c r="L1665" s="4"/>
      <x:c r="M1665" s="4"/>
      <x:c r="N1665" s="5"/>
    </x:row>
    <x:row r="1666" ht="24" customHeight="1">
      <x:c r="A1666" s="1" t="str">
        <x:v>RESULT</x:v>
      </x:c>
      <x:c r="B1666" s="1" t="str">
        <x:v>Round2</x:v>
      </x:c>
      <x:c r="C1666" s="1" t="str">
        <x:v>Mockito_28</x:v>
      </x:c>
      <x:c r="D1666" s="1" t="str">
        <x:v>NOT_REVEALING</x:v>
      </x:c>
      <x:c r="E1666" s="5" t="n">
        <x:v>0.9333</x:v>
      </x:c>
      <x:c r="F1666" s="4" t="n">
        <x:v>0</x:v>
      </x:c>
      <x:c r="G1666" s="4" t="n">
        <x:v>22293</x:v>
      </x:c>
      <x:c r="H1666" s="6" t="n">
        <x:v>840.12</x:v>
      </x:c>
      <x:c r="I1666" s="16" t="n">
        <x:v>1</x:v>
      </x:c>
      <x:c r="J1666" t="n">
        <x:v>30</x:v>
      </x:c>
      <x:c r="K1666" s="4" t="n">
        <x:v>28</x:v>
      </x:c>
      <x:c r="L1666" s="4" t="n">
        <x:v>10</x:v>
      </x:c>
      <x:c r="M1666" s="4" t="n">
        <x:v>8</x:v>
      </x:c>
      <x:c r="N1666" s="5" t="n">
        <x:v>0.8</x:v>
      </x:c>
    </x:row>
    <x:row r="1667" ht="24" customHeight="1">
      <x:c r="A1667" s="1" t="str">
        <x:v>RESULT</x:v>
      </x:c>
      <x:c r="B1667" s="1" t="str">
        <x:v>Round2</x:v>
      </x:c>
      <x:c r="C1667" s="1" t="str">
        <x:v>Mockito_29</x:v>
      </x:c>
      <x:c r="D1667" s="1" t="str">
        <x:v>NOT_AVAILABLE</x:v>
      </x:c>
      <x:c r="E1667" s="5"/>
      <x:c r="F1667" s="4" t="n">
        <x:v>0</x:v>
      </x:c>
      <x:c r="G1667" s="4" t="n">
        <x:v>2295</x:v>
      </x:c>
      <x:c r="H1667" s="6" t="n">
        <x:v>16.39</x:v>
      </x:c>
      <x:c r="I1667" s="16" t="n">
        <x:v>1</x:v>
      </x:c>
      <x:c r="J1667"/>
      <x:c r="K1667" s="4"/>
      <x:c r="L1667" s="4"/>
      <x:c r="M1667" s="4"/>
      <x:c r="N1667" s="5"/>
    </x:row>
    <x:row r="1668" ht="24" customHeight="1">
      <x:c r="A1668" s="1" t="str">
        <x:v>RESULT</x:v>
      </x:c>
      <x:c r="B1668" s="1" t="str">
        <x:v>Round2</x:v>
      </x:c>
      <x:c r="C1668" s="1" t="str">
        <x:v>Mockito_3</x:v>
      </x:c>
      <x:c r="D1668" s="1" t="str">
        <x:v>NOT_AVAILABLE</x:v>
      </x:c>
      <x:c r="E1668" s="5"/>
      <x:c r="F1668" s="4" t="n">
        <x:v>0</x:v>
      </x:c>
      <x:c r="G1668" s="4" t="n">
        <x:v>11519</x:v>
      </x:c>
      <x:c r="H1668" s="6" t="n">
        <x:v>83.38</x:v>
      </x:c>
      <x:c r="I1668" s="16" t="n">
        <x:v>1</x:v>
      </x:c>
      <x:c r="J1668"/>
      <x:c r="K1668" s="4"/>
      <x:c r="L1668" s="4"/>
      <x:c r="M1668" s="4"/>
      <x:c r="N1668" s="5"/>
    </x:row>
    <x:row r="1669" ht="24" customHeight="1">
      <x:c r="A1669" s="1" t="str">
        <x:v>RESULT</x:v>
      </x:c>
      <x:c r="B1669" s="1" t="str">
        <x:v>Round2</x:v>
      </x:c>
      <x:c r="C1669" s="1" t="str">
        <x:v>Mockito_30</x:v>
      </x:c>
      <x:c r="D1669" s="1" t="str">
        <x:v>NOT_AVAILABLE</x:v>
      </x:c>
      <x:c r="E1669" s="5" t="n">
        <x:v>0.7768</x:v>
      </x:c>
      <x:c r="F1669" s="4" t="n">
        <x:v>0</x:v>
      </x:c>
      <x:c r="G1669" s="4" t="n">
        <x:v>62928</x:v>
      </x:c>
      <x:c r="H1669" s="6" t="n">
        <x:v>279.8</x:v>
      </x:c>
      <x:c r="I1669" s="16" t="n">
        <x:v>1</x:v>
      </x:c>
      <x:c r="J1669" t="n">
        <x:v>112</x:v>
      </x:c>
      <x:c r="K1669" s="4" t="n">
        <x:v>87</x:v>
      </x:c>
      <x:c r="L1669" s="4" t="n">
        <x:v>14</x:v>
      </x:c>
      <x:c r="M1669" s="4" t="n">
        <x:v>11</x:v>
      </x:c>
      <x:c r="N1669" s="5" t="n">
        <x:v>0.7857</x:v>
      </x:c>
    </x:row>
    <x:row r="1670" ht="24" customHeight="1">
      <x:c r="A1670" s="1" t="str">
        <x:v>RESULT</x:v>
      </x:c>
      <x:c r="B1670" s="1" t="str">
        <x:v>Round2</x:v>
      </x:c>
      <x:c r="C1670" s="1" t="str">
        <x:v>Mockito_31</x:v>
      </x:c>
      <x:c r="D1670" s="1" t="str">
        <x:v>NOT_REVEALING</x:v>
      </x:c>
      <x:c r="E1670" s="5" t="n">
        <x:v>0.9473999999999999</x:v>
      </x:c>
      <x:c r="F1670" s="4" t="n">
        <x:v>0</x:v>
      </x:c>
      <x:c r="G1670" s="4" t="n">
        <x:v>29028</x:v>
      </x:c>
      <x:c r="H1670" s="6" t="n">
        <x:v>1174.2</x:v>
      </x:c>
      <x:c r="I1670" s="16" t="n">
        <x:v>1</x:v>
      </x:c>
      <x:c r="J1670" t="n">
        <x:v>19</x:v>
      </x:c>
      <x:c r="K1670" s="4" t="n">
        <x:v>18</x:v>
      </x:c>
      <x:c r="L1670" s="4" t="n">
        <x:v>6</x:v>
      </x:c>
      <x:c r="M1670" s="4" t="n">
        <x:v>6</x:v>
      </x:c>
      <x:c r="N1670" s="5" t="n">
        <x:v>1</x:v>
      </x:c>
    </x:row>
    <x:row r="1671" ht="24" customHeight="1">
      <x:c r="A1671" s="1" t="str">
        <x:v>RESULT</x:v>
      </x:c>
      <x:c r="B1671" s="1" t="str">
        <x:v>Round2</x:v>
      </x:c>
      <x:c r="C1671" s="1" t="str">
        <x:v>Mockito_32</x:v>
      </x:c>
      <x:c r="D1671" s="1" t="str">
        <x:v>INCONCLUSIVE</x:v>
      </x:c>
      <x:c r="E1671" s="5" t="n">
        <x:v>0.8695999999999999</x:v>
      </x:c>
      <x:c r="F1671" s="4" t="n">
        <x:v>0</x:v>
      </x:c>
      <x:c r="G1671" s="4" t="n">
        <x:v>6014</x:v>
      </x:c>
      <x:c r="H1671" s="6" t="n">
        <x:v>46.74</x:v>
      </x:c>
      <x:c r="I1671" s="16" t="n">
        <x:v>1</x:v>
      </x:c>
      <x:c r="J1671" t="n">
        <x:v>23</x:v>
      </x:c>
      <x:c r="K1671" s="4" t="n">
        <x:v>20</x:v>
      </x:c>
      <x:c r="L1671" s="4" t="n">
        <x:v>12</x:v>
      </x:c>
      <x:c r="M1671" s="4" t="n">
        <x:v>12</x:v>
      </x:c>
      <x:c r="N1671" s="5" t="n">
        <x:v>1</x:v>
      </x:c>
    </x:row>
    <x:row r="1672" ht="24" customHeight="1">
      <x:c r="A1672" s="1" t="str">
        <x:v>RESULT</x:v>
      </x:c>
      <x:c r="B1672" s="1" t="str">
        <x:v>Round2</x:v>
      </x:c>
      <x:c r="C1672" s="1" t="str">
        <x:v>Mockito_33</x:v>
      </x:c>
      <x:c r="D1672" s="1" t="str">
        <x:v>NOT_AVAILABLE</x:v>
      </x:c>
      <x:c r="E1672" s="5"/>
      <x:c r="F1672" s="4" t="n">
        <x:v>0</x:v>
      </x:c>
      <x:c r="G1672" s="4" t="n">
        <x:v>23449</x:v>
      </x:c>
      <x:c r="H1672" s="6" t="n">
        <x:v>287.79</x:v>
      </x:c>
      <x:c r="I1672" s="16" t="n">
        <x:v>1</x:v>
      </x:c>
      <x:c r="J1672"/>
      <x:c r="K1672" s="4"/>
      <x:c r="L1672" s="4"/>
      <x:c r="M1672" s="4"/>
      <x:c r="N1672" s="5"/>
    </x:row>
    <x:row r="1673" ht="24" customHeight="1">
      <x:c r="A1673" s="1" t="str">
        <x:v>RESULT</x:v>
      </x:c>
      <x:c r="B1673" s="1" t="str">
        <x:v>Round2</x:v>
      </x:c>
      <x:c r="C1673" s="1" t="str">
        <x:v>Mockito_34</x:v>
      </x:c>
      <x:c r="D1673" s="1" t="str">
        <x:v>NOT_AVAILABLE</x:v>
      </x:c>
      <x:c r="E1673" s="5"/>
      <x:c r="F1673" s="4" t="n">
        <x:v>0</x:v>
      </x:c>
      <x:c r="G1673" s="4" t="n">
        <x:v>4266</x:v>
      </x:c>
      <x:c r="H1673" s="6" t="n">
        <x:v>142.63</x:v>
      </x:c>
      <x:c r="I1673" s="16" t="n">
        <x:v>1</x:v>
      </x:c>
      <x:c r="J1673"/>
      <x:c r="K1673" s="4"/>
      <x:c r="L1673" s="4"/>
      <x:c r="M1673" s="4"/>
      <x:c r="N1673" s="5"/>
    </x:row>
    <x:row r="1674" ht="24" customHeight="1">
      <x:c r="A1674" s="1" t="str">
        <x:v>RESULT</x:v>
      </x:c>
      <x:c r="B1674" s="1" t="str">
        <x:v>Round2</x:v>
      </x:c>
      <x:c r="C1674" s="1" t="str">
        <x:v>Mockito_35</x:v>
      </x:c>
      <x:c r="D1674" s="1" t="str">
        <x:v>INCONCLUSIVE</x:v>
      </x:c>
      <x:c r="E1674" s="5" t="n">
        <x:v>0.9804</x:v>
      </x:c>
      <x:c r="F1674" s="4" t="n">
        <x:v>0</x:v>
      </x:c>
      <x:c r="G1674" s="4" t="n">
        <x:v>24052</x:v>
      </x:c>
      <x:c r="H1674" s="6" t="n">
        <x:v>84.17</x:v>
      </x:c>
      <x:c r="I1674" s="16" t="n">
        <x:v>1</x:v>
      </x:c>
      <x:c r="J1674" t="n">
        <x:v>51</x:v>
      </x:c>
      <x:c r="K1674" s="4" t="n">
        <x:v>50</x:v>
      </x:c>
      <x:c r="L1674" s="4" t="n">
        <x:v>0</x:v>
      </x:c>
      <x:c r="M1674" s="4" t="n">
        <x:v>0</x:v>
      </x:c>
      <x:c r="N1674" s="5"/>
    </x:row>
    <x:row r="1675" ht="24" customHeight="1">
      <x:c r="A1675" s="1" t="str">
        <x:v>RESULT</x:v>
      </x:c>
      <x:c r="B1675" s="1" t="str">
        <x:v>Round2</x:v>
      </x:c>
      <x:c r="C1675" s="1" t="str">
        <x:v>Mockito_36</x:v>
      </x:c>
      <x:c r="D1675" s="1" t="str">
        <x:v>NOT_AVAILABLE</x:v>
      </x:c>
      <x:c r="E1675" s="5"/>
      <x:c r="F1675" s="4" t="n">
        <x:v>0</x:v>
      </x:c>
      <x:c r="G1675" s="4" t="n">
        <x:v>11243</x:v>
      </x:c>
      <x:c r="H1675" s="6" t="n">
        <x:v>63.48</x:v>
      </x:c>
      <x:c r="I1675" s="16" t="n">
        <x:v>1</x:v>
      </x:c>
      <x:c r="J1675"/>
      <x:c r="K1675" s="4"/>
      <x:c r="L1675" s="4"/>
      <x:c r="M1675" s="4"/>
      <x:c r="N1675" s="5"/>
    </x:row>
    <x:row r="1676" ht="24" customHeight="1">
      <x:c r="A1676" s="1" t="str">
        <x:v>RESULT</x:v>
      </x:c>
      <x:c r="B1676" s="1" t="str">
        <x:v>Round2</x:v>
      </x:c>
      <x:c r="C1676" s="1" t="str">
        <x:v>Mockito_37</x:v>
      </x:c>
      <x:c r="D1676" s="1" t="str">
        <x:v>INCONCLUSIVE</x:v>
      </x:c>
      <x:c r="E1676" s="5" t="n">
        <x:v>1</x:v>
      </x:c>
      <x:c r="F1676" s="4" t="n">
        <x:v>0</x:v>
      </x:c>
      <x:c r="G1676" s="4"/>
      <x:c r="H1676" s="6"/>
      <x:c r="I1676" s="16" t="n">
        <x:v>1</x:v>
      </x:c>
      <x:c r="J1676" t="n">
        <x:v>27</x:v>
      </x:c>
      <x:c r="K1676" s="4" t="n">
        <x:v>27</x:v>
      </x:c>
      <x:c r="L1676" s="4" t="n">
        <x:v>26</x:v>
      </x:c>
      <x:c r="M1676" s="4" t="n">
        <x:v>25</x:v>
      </x:c>
      <x:c r="N1676" s="5" t="n">
        <x:v>0.9615</x:v>
      </x:c>
    </x:row>
    <x:row r="1677" ht="24" customHeight="1">
      <x:c r="A1677" s="1" t="str">
        <x:v>RESULT</x:v>
      </x:c>
      <x:c r="B1677" s="1" t="str">
        <x:v>Round2</x:v>
      </x:c>
      <x:c r="C1677" s="1" t="str">
        <x:v>Mockito_38</x:v>
      </x:c>
      <x:c r="D1677" s="1" t="str">
        <x:v>NOT_AVAILABLE</x:v>
      </x:c>
      <x:c r="E1677" s="5"/>
      <x:c r="F1677" s="4" t="n">
        <x:v>0</x:v>
      </x:c>
      <x:c r="G1677" s="4" t="n">
        <x:v>17049</x:v>
      </x:c>
      <x:c r="H1677" s="6" t="n">
        <x:v>349.94</x:v>
      </x:c>
      <x:c r="I1677" s="16" t="n">
        <x:v>1</x:v>
      </x:c>
      <x:c r="J1677"/>
      <x:c r="K1677" s="4"/>
      <x:c r="L1677" s="4"/>
      <x:c r="M1677" s="4"/>
      <x:c r="N1677" s="5"/>
    </x:row>
    <x:row r="1678" ht="24" customHeight="1">
      <x:c r="A1678" s="1" t="str">
        <x:v>RESULT</x:v>
      </x:c>
      <x:c r="B1678" s="1" t="str">
        <x:v>Round2</x:v>
      </x:c>
      <x:c r="C1678" s="1" t="str">
        <x:v>Mockito_4</x:v>
      </x:c>
      <x:c r="D1678" s="1" t="str">
        <x:v>NOT_AVAILABLE</x:v>
      </x:c>
      <x:c r="E1678" s="5"/>
      <x:c r="F1678" s="4" t="n">
        <x:v>0</x:v>
      </x:c>
      <x:c r="G1678" s="4" t="n">
        <x:v>30024</x:v>
      </x:c>
      <x:c r="H1678" s="6" t="n">
        <x:v>138.08</x:v>
      </x:c>
      <x:c r="I1678" s="16" t="n">
        <x:v>1</x:v>
      </x:c>
      <x:c r="J1678"/>
      <x:c r="K1678" s="4"/>
      <x:c r="L1678" s="4"/>
      <x:c r="M1678" s="4"/>
      <x:c r="N1678" s="5"/>
    </x:row>
    <x:row r="1679" ht="24" customHeight="1">
      <x:c r="A1679" s="1" t="str">
        <x:v>RESULT</x:v>
      </x:c>
      <x:c r="B1679" s="1" t="str">
        <x:v>Round2</x:v>
      </x:c>
      <x:c r="C1679" s="1" t="str">
        <x:v>Mockito_5</x:v>
      </x:c>
      <x:c r="D1679" s="1" t="str">
        <x:v>NOT_AVAILABLE</x:v>
      </x:c>
      <x:c r="E1679" s="5"/>
      <x:c r="F1679" s="4" t="n">
        <x:v>0</x:v>
      </x:c>
      <x:c r="G1679" s="4" t="n">
        <x:v>6854</x:v>
      </x:c>
      <x:c r="H1679" s="6" t="n">
        <x:v>60.64</x:v>
      </x:c>
      <x:c r="I1679" s="16" t="n">
        <x:v>1</x:v>
      </x:c>
      <x:c r="J1679"/>
      <x:c r="K1679" s="4"/>
      <x:c r="L1679" s="4"/>
      <x:c r="M1679" s="4"/>
      <x:c r="N1679" s="5"/>
    </x:row>
    <x:row r="1680" ht="24" customHeight="1">
      <x:c r="A1680" s="1" t="str">
        <x:v>RESULT</x:v>
      </x:c>
      <x:c r="B1680" s="1" t="str">
        <x:v>Round2</x:v>
      </x:c>
      <x:c r="C1680" s="1" t="str">
        <x:v>Mockito_6</x:v>
      </x:c>
      <x:c r="D1680" s="1" t="str">
        <x:v>INCONCLUSIVE</x:v>
      </x:c>
      <x:c r="E1680" s="5" t="n">
        <x:v>0.9818000000000001</x:v>
      </x:c>
      <x:c r="F1680" s="4" t="n">
        <x:v>0</x:v>
      </x:c>
      <x:c r="G1680" s="4"/>
      <x:c r="H1680" s="6"/>
      <x:c r="I1680" s="16" t="n">
        <x:v>1</x:v>
      </x:c>
      <x:c r="J1680" t="n">
        <x:v>55</x:v>
      </x:c>
      <x:c r="K1680" s="4" t="n">
        <x:v>54</x:v>
      </x:c>
      <x:c r="L1680" s="4" t="n">
        <x:v>0</x:v>
      </x:c>
      <x:c r="M1680" s="4" t="n">
        <x:v>0</x:v>
      </x:c>
      <x:c r="N1680" s="5"/>
    </x:row>
    <x:row r="1681" ht="24" customHeight="1">
      <x:c r="A1681" s="1" t="str">
        <x:v>RESULT</x:v>
      </x:c>
      <x:c r="B1681" s="1" t="str">
        <x:v>Round2</x:v>
      </x:c>
      <x:c r="C1681" s="1" t="str">
        <x:v>Mockito_7</x:v>
      </x:c>
      <x:c r="D1681" s="1" t="str">
        <x:v>INCONCLUSIVE</x:v>
      </x:c>
      <x:c r="E1681" s="5" t="n">
        <x:v>0.6437</x:v>
      </x:c>
      <x:c r="F1681" s="4" t="n">
        <x:v>0</x:v>
      </x:c>
      <x:c r="G1681" s="4"/>
      <x:c r="H1681" s="6"/>
      <x:c r="I1681" s="16" t="n">
        <x:v>1</x:v>
      </x:c>
      <x:c r="J1681" t="n">
        <x:v>174</x:v>
      </x:c>
      <x:c r="K1681" s="4" t="n">
        <x:v>112</x:v>
      </x:c>
      <x:c r="L1681" s="4" t="n">
        <x:v>82</x:v>
      </x:c>
      <x:c r="M1681" s="4" t="n">
        <x:v>39</x:v>
      </x:c>
      <x:c r="N1681" s="5" t="n">
        <x:v>0.4756</x:v>
      </x:c>
    </x:row>
    <x:row r="1682" ht="24" customHeight="1">
      <x:c r="A1682" s="1" t="str">
        <x:v>RESULT</x:v>
      </x:c>
      <x:c r="B1682" s="1" t="str">
        <x:v>Round2</x:v>
      </x:c>
      <x:c r="C1682" s="1" t="str">
        <x:v>Mockito_8</x:v>
      </x:c>
      <x:c r="D1682" s="1" t="str">
        <x:v>INCONCLUSIVE</x:v>
      </x:c>
      <x:c r="E1682" s="5" t="n">
        <x:v>0.5722999999999999</x:v>
      </x:c>
      <x:c r="F1682" s="4" t="n">
        <x:v>0</x:v>
      </x:c>
      <x:c r="G1682" s="4"/>
      <x:c r="H1682" s="6"/>
      <x:c r="I1682" s="16" t="n">
        <x:v>1</x:v>
      </x:c>
      <x:c r="J1682" t="n">
        <x:v>173</x:v>
      </x:c>
      <x:c r="K1682" s="4" t="n">
        <x:v>99</x:v>
      </x:c>
      <x:c r="L1682" s="4" t="n">
        <x:v>80</x:v>
      </x:c>
      <x:c r="M1682" s="4" t="n">
        <x:v>37</x:v>
      </x:c>
      <x:c r="N1682" s="5" t="n">
        <x:v>0.4625</x:v>
      </x:c>
    </x:row>
    <x:row r="1683" ht="24" customHeight="1">
      <x:c r="A1683" s="1" t="str">
        <x:v>RESULT</x:v>
      </x:c>
      <x:c r="B1683" s="1" t="str">
        <x:v>Round2</x:v>
      </x:c>
      <x:c r="C1683" s="1" t="str">
        <x:v>Mockito_9</x:v>
      </x:c>
      <x:c r="D1683" s="1" t="str">
        <x:v>INCONCLUSIVE</x:v>
      </x:c>
      <x:c r="E1683" s="5" t="n">
        <x:v>1</x:v>
      </x:c>
      <x:c r="F1683" s="4" t="n">
        <x:v>0</x:v>
      </x:c>
      <x:c r="G1683" s="4"/>
      <x:c r="H1683" s="6"/>
      <x:c r="I1683" s="16" t="n">
        <x:v>1</x:v>
      </x:c>
      <x:c r="J1683" t="n">
        <x:v>2</x:v>
      </x:c>
      <x:c r="K1683" s="4" t="n">
        <x:v>2</x:v>
      </x:c>
      <x:c r="L1683" s="4" t="n">
        <x:v>0</x:v>
      </x:c>
      <x:c r="M1683" s="4" t="n">
        <x:v>0</x:v>
      </x:c>
      <x:c r="N1683" s="5"/>
    </x:row>
    <x:row r="1684" ht="24" customHeight="1">
      <x:c r="A1684" s="1" t="str">
        <x:v>RESULT</x:v>
      </x:c>
      <x:c r="B1684" s="1" t="str">
        <x:v>Round2</x:v>
      </x:c>
      <x:c r="C1684" s="1" t="str">
        <x:v>Time_1</x:v>
      </x:c>
      <x:c r="D1684" s="1" t="str">
        <x:v>NOT_AVAILABLE</x:v>
      </x:c>
      <x:c r="E1684" s="5"/>
      <x:c r="F1684" s="4" t="n">
        <x:v>0</x:v>
      </x:c>
      <x:c r="G1684" s="4" t="n">
        <x:v>39918</x:v>
      </x:c>
      <x:c r="H1684" s="6" t="n">
        <x:v>1369.87</x:v>
      </x:c>
      <x:c r="I1684" s="16" t="n">
        <x:v>1</x:v>
      </x:c>
      <x:c r="J1684"/>
      <x:c r="K1684" s="4"/>
      <x:c r="L1684" s="4"/>
      <x:c r="M1684" s="4"/>
      <x:c r="N1684" s="5"/>
    </x:row>
    <x:row r="1685" ht="24" customHeight="1">
      <x:c r="A1685" s="1" t="str">
        <x:v>RESULT</x:v>
      </x:c>
      <x:c r="B1685" s="1" t="str">
        <x:v>Round2</x:v>
      </x:c>
      <x:c r="C1685" s="1" t="str">
        <x:v>Time_10</x:v>
      </x:c>
      <x:c r="D1685" s="1" t="str">
        <x:v>NOT_REVEALING</x:v>
      </x:c>
      <x:c r="E1685" s="5" t="n">
        <x:v>0.9296</x:v>
      </x:c>
      <x:c r="F1685" s="4" t="n">
        <x:v>0</x:v>
      </x:c>
      <x:c r="G1685" s="4" t="n">
        <x:v>28792</x:v>
      </x:c>
      <x:c r="H1685" s="6" t="n">
        <x:v>1153.95</x:v>
      </x:c>
      <x:c r="I1685" s="16" t="n">
        <x:v>1</x:v>
      </x:c>
      <x:c r="J1685" t="n">
        <x:v>71</x:v>
      </x:c>
      <x:c r="K1685" s="4" t="n">
        <x:v>66</x:v>
      </x:c>
      <x:c r="L1685" s="4" t="n">
        <x:v>46</x:v>
      </x:c>
      <x:c r="M1685" s="4" t="n">
        <x:v>42</x:v>
      </x:c>
      <x:c r="N1685" s="5" t="n">
        <x:v>0.9129999999999999</x:v>
      </x:c>
    </x:row>
    <x:row r="1686" ht="24" customHeight="1">
      <x:c r="A1686" s="1" t="str">
        <x:v>RESULT</x:v>
      </x:c>
      <x:c r="B1686" s="1" t="str">
        <x:v>Round2</x:v>
      </x:c>
      <x:c r="C1686" s="1" t="str">
        <x:v>Time_11</x:v>
      </x:c>
      <x:c r="D1686" s="1" t="str">
        <x:v>INCONCLUSIVE</x:v>
      </x:c>
      <x:c r="E1686" s="5" t="n">
        <x:v>0.1628</x:v>
      </x:c>
      <x:c r="F1686" s="4" t="n">
        <x:v>0</x:v>
      </x:c>
      <x:c r="G1686" s="4" t="n">
        <x:v>32382</x:v>
      </x:c>
      <x:c r="H1686" s="6" t="n">
        <x:v>1223.18</x:v>
      </x:c>
      <x:c r="I1686" s="16" t="n">
        <x:v>1</x:v>
      </x:c>
      <x:c r="J1686" t="n">
        <x:v>393</x:v>
      </x:c>
      <x:c r="K1686" s="4" t="n">
        <x:v>64</x:v>
      </x:c>
      <x:c r="L1686" s="4" t="n">
        <x:v>193</x:v>
      </x:c>
      <x:c r="M1686" s="4" t="n">
        <x:v>34</x:v>
      </x:c>
      <x:c r="N1686" s="5" t="n">
        <x:v>0.17620000000000002</x:v>
      </x:c>
    </x:row>
    <x:row r="1687" ht="24" customHeight="1">
      <x:c r="A1687" s="1" t="str">
        <x:v>RESULT</x:v>
      </x:c>
      <x:c r="B1687" s="1" t="str">
        <x:v>Round2</x:v>
      </x:c>
      <x:c r="C1687" s="1" t="str">
        <x:v>Time_12</x:v>
      </x:c>
      <x:c r="D1687" s="1" t="str">
        <x:v>NOT_AVAILABLE</x:v>
      </x:c>
      <x:c r="E1687" s="5"/>
      <x:c r="F1687" s="4" t="n">
        <x:v>0</x:v>
      </x:c>
      <x:c r="G1687" s="4" t="n">
        <x:v>53899</x:v>
      </x:c>
      <x:c r="H1687" s="6" t="n">
        <x:v>1571.04</x:v>
      </x:c>
      <x:c r="I1687" s="16" t="n">
        <x:v>1</x:v>
      </x:c>
      <x:c r="J1687"/>
      <x:c r="K1687" s="4"/>
      <x:c r="L1687" s="4"/>
      <x:c r="M1687" s="4"/>
      <x:c r="N1687" s="5"/>
    </x:row>
    <x:row r="1688" ht="24" customHeight="1">
      <x:c r="A1688" s="1" t="str">
        <x:v>RESULT</x:v>
      </x:c>
      <x:c r="B1688" s="1" t="str">
        <x:v>Round2</x:v>
      </x:c>
      <x:c r="C1688" s="1" t="str">
        <x:v>Time_13</x:v>
      </x:c>
      <x:c r="D1688" s="1" t="str">
        <x:v>INCONCLUSIVE</x:v>
      </x:c>
      <x:c r="E1688" s="5" t="n">
        <x:v>0.3274</x:v>
      </x:c>
      <x:c r="F1688" s="4" t="n">
        <x:v>0</x:v>
      </x:c>
      <x:c r="G1688" s="4"/>
      <x:c r="H1688" s="6"/>
      <x:c r="I1688" s="16" t="n">
        <x:v>1</x:v>
      </x:c>
      <x:c r="J1688" t="n">
        <x:v>672</x:v>
      </x:c>
      <x:c r="K1688" s="4" t="n">
        <x:v>220</x:v>
      </x:c>
      <x:c r="L1688" s="4" t="n">
        <x:v>452</x:v>
      </x:c>
      <x:c r="M1688" s="4" t="n">
        <x:v>61</x:v>
      </x:c>
      <x:c r="N1688" s="5" t="n">
        <x:v>0.135</x:v>
      </x:c>
    </x:row>
    <x:row r="1689" ht="24" customHeight="1">
      <x:c r="A1689" s="1" t="str">
        <x:v>RESULT</x:v>
      </x:c>
      <x:c r="B1689" s="1" t="str">
        <x:v>Round2</x:v>
      </x:c>
      <x:c r="C1689" s="1" t="str">
        <x:v>Time_14</x:v>
      </x:c>
      <x:c r="D1689" s="1" t="str">
        <x:v>NOT_REVEALING</x:v>
      </x:c>
      <x:c r="E1689" s="5" t="n">
        <x:v>0.7368000000000001</x:v>
      </x:c>
      <x:c r="F1689" s="4" t="n">
        <x:v>0</x:v>
      </x:c>
      <x:c r="G1689" s="4" t="n">
        <x:v>28833</x:v>
      </x:c>
      <x:c r="H1689" s="6" t="n">
        <x:v>1119.23</x:v>
      </x:c>
      <x:c r="I1689" s="16" t="n">
        <x:v>1</x:v>
      </x:c>
      <x:c r="J1689" t="n">
        <x:v>114</x:v>
      </x:c>
      <x:c r="K1689" s="4" t="n">
        <x:v>84</x:v>
      </x:c>
      <x:c r="L1689" s="4" t="n">
        <x:v>46</x:v>
      </x:c>
      <x:c r="M1689" s="4" t="n">
        <x:v>30</x:v>
      </x:c>
      <x:c r="N1689" s="5" t="n">
        <x:v>0.6522</x:v>
      </x:c>
    </x:row>
    <x:row r="1690" ht="24" customHeight="1">
      <x:c r="A1690" s="1" t="str">
        <x:v>RESULT</x:v>
      </x:c>
      <x:c r="B1690" s="1" t="str">
        <x:v>Round2</x:v>
      </x:c>
      <x:c r="C1690" s="1" t="str">
        <x:v>Time_15</x:v>
      </x:c>
      <x:c r="D1690" s="1" t="str">
        <x:v>INCONCLUSIVE</x:v>
      </x:c>
      <x:c r="E1690" s="5" t="n">
        <x:v>0.7467</x:v>
      </x:c>
      <x:c r="F1690" s="4" t="n">
        <x:v>0</x:v>
      </x:c>
      <x:c r="G1690" s="4" t="n">
        <x:v>30106</x:v>
      </x:c>
      <x:c r="H1690" s="6" t="n">
        <x:v>1190.48</x:v>
      </x:c>
      <x:c r="I1690" s="16" t="n">
        <x:v>1</x:v>
      </x:c>
      <x:c r="J1690" t="n">
        <x:v>75</x:v>
      </x:c>
      <x:c r="K1690" s="4" t="n">
        <x:v>56</x:v>
      </x:c>
      <x:c r="L1690" s="4" t="n">
        <x:v>70</x:v>
      </x:c>
      <x:c r="M1690" s="4" t="n">
        <x:v>46</x:v>
      </x:c>
      <x:c r="N1690" s="5" t="n">
        <x:v>0.6570999999999999</x:v>
      </x:c>
    </x:row>
    <x:row r="1691" ht="24" customHeight="1">
      <x:c r="A1691" s="1" t="str">
        <x:v>RESULT</x:v>
      </x:c>
      <x:c r="B1691" s="1" t="str">
        <x:v>Round2</x:v>
      </x:c>
      <x:c r="C1691" s="1" t="str">
        <x:v>Time_16</x:v>
      </x:c>
      <x:c r="D1691" s="1" t="str">
        <x:v>INCONCLUSIVE</x:v>
      </x:c>
      <x:c r="E1691" s="5" t="n">
        <x:v>0.715</x:v>
      </x:c>
      <x:c r="F1691" s="4" t="n">
        <x:v>0</x:v>
      </x:c>
      <x:c r="G1691" s="4" t="n">
        <x:v>32710</x:v>
      </x:c>
      <x:c r="H1691" s="6" t="n">
        <x:v>1304.85</x:v>
      </x:c>
      <x:c r="I1691" s="16" t="n">
        <x:v>1</x:v>
      </x:c>
      <x:c r="J1691" t="n">
        <x:v>207</x:v>
      </x:c>
      <x:c r="K1691" s="4" t="n">
        <x:v>148</x:v>
      </x:c>
      <x:c r="L1691" s="4" t="n">
        <x:v>88</x:v>
      </x:c>
      <x:c r="M1691" s="4" t="n">
        <x:v>50</x:v>
      </x:c>
      <x:c r="N1691" s="5" t="n">
        <x:v>0.5682</x:v>
      </x:c>
    </x:row>
    <x:row r="1692" ht="24" customHeight="1">
      <x:c r="A1692" s="1" t="str">
        <x:v>RESULT</x:v>
      </x:c>
      <x:c r="B1692" s="1" t="str">
        <x:v>Round2</x:v>
      </x:c>
      <x:c r="C1692" s="1" t="str">
        <x:v>Time_17</x:v>
      </x:c>
      <x:c r="D1692" s="1" t="str">
        <x:v>INCONCLUSIVE</x:v>
      </x:c>
      <x:c r="E1692" s="5" t="n">
        <x:v>0.6618</x:v>
      </x:c>
      <x:c r="F1692" s="4" t="n">
        <x:v>0</x:v>
      </x:c>
      <x:c r="G1692" s="4" t="n">
        <x:v>30447</x:v>
      </x:c>
      <x:c r="H1692" s="6" t="n">
        <x:v>1100.06</x:v>
      </x:c>
      <x:c r="I1692" s="16" t="n">
        <x:v>1</x:v>
      </x:c>
      <x:c r="J1692" t="n">
        <x:v>343</x:v>
      </x:c>
      <x:c r="K1692" s="4" t="n">
        <x:v>227</x:v>
      </x:c>
      <x:c r="L1692" s="4" t="n">
        <x:v>162</x:v>
      </x:c>
      <x:c r="M1692" s="4" t="n">
        <x:v>81</x:v>
      </x:c>
      <x:c r="N1692" s="5" t="n">
        <x:v>0.5</x:v>
      </x:c>
    </x:row>
    <x:row r="1693" ht="24" customHeight="1">
      <x:c r="A1693" s="1" t="str">
        <x:v>RESULT</x:v>
      </x:c>
      <x:c r="B1693" s="1" t="str">
        <x:v>Round2</x:v>
      </x:c>
      <x:c r="C1693" s="1" t="str">
        <x:v>Time_18</x:v>
      </x:c>
      <x:c r="D1693" s="1" t="str">
        <x:v>INCONCLUSIVE</x:v>
      </x:c>
      <x:c r="E1693" s="5" t="n">
        <x:v>0.5</x:v>
      </x:c>
      <x:c r="F1693" s="4" t="n">
        <x:v>0</x:v>
      </x:c>
      <x:c r="G1693" s="4" t="n">
        <x:v>33443</x:v>
      </x:c>
      <x:c r="H1693" s="6" t="n">
        <x:v>1185.56</x:v>
      </x:c>
      <x:c r="I1693" s="16" t="n">
        <x:v>1</x:v>
      </x:c>
      <x:c r="J1693" t="n">
        <x:v>344</x:v>
      </x:c>
      <x:c r="K1693" s="4" t="n">
        <x:v>172</x:v>
      </x:c>
      <x:c r="L1693" s="4" t="n">
        <x:v>152</x:v>
      </x:c>
      <x:c r="M1693" s="4" t="n">
        <x:v>45</x:v>
      </x:c>
      <x:c r="N1693" s="5" t="n">
        <x:v>0.2961</x:v>
      </x:c>
    </x:row>
    <x:row r="1694" ht="24" customHeight="1">
      <x:c r="A1694" s="1" t="str">
        <x:v>RESULT</x:v>
      </x:c>
      <x:c r="B1694" s="1" t="str">
        <x:v>Round2</x:v>
      </x:c>
      <x:c r="C1694" s="1" t="str">
        <x:v>Time_19</x:v>
      </x:c>
      <x:c r="D1694" s="1" t="str">
        <x:v>NOT_AVAILABLE</x:v>
      </x:c>
      <x:c r="E1694" s="5"/>
      <x:c r="F1694" s="4" t="n">
        <x:v>0</x:v>
      </x:c>
      <x:c r="G1694" s="4" t="n">
        <x:v>39582</x:v>
      </x:c>
      <x:c r="H1694" s="6" t="n">
        <x:v>1507.87</x:v>
      </x:c>
      <x:c r="I1694" s="16" t="n">
        <x:v>1</x:v>
      </x:c>
      <x:c r="J1694"/>
      <x:c r="K1694" s="4"/>
      <x:c r="L1694" s="4"/>
      <x:c r="M1694" s="4"/>
      <x:c r="N1694" s="5"/>
    </x:row>
    <x:row r="1695" ht="24" customHeight="1">
      <x:c r="A1695" s="1" t="str">
        <x:v>RESULT</x:v>
      </x:c>
      <x:c r="B1695" s="1" t="str">
        <x:v>Round2</x:v>
      </x:c>
      <x:c r="C1695" s="1" t="str">
        <x:v>Time_2</x:v>
      </x:c>
      <x:c r="D1695" s="1" t="str">
        <x:v>NOT_AVAILABLE</x:v>
      </x:c>
      <x:c r="E1695" s="5"/>
      <x:c r="F1695" s="4" t="n">
        <x:v>0</x:v>
      </x:c>
      <x:c r="G1695" s="4" t="n">
        <x:v>49540</x:v>
      </x:c>
      <x:c r="H1695" s="6" t="n">
        <x:v>1918.61</x:v>
      </x:c>
      <x:c r="I1695" s="16" t="n">
        <x:v>1</x:v>
      </x:c>
      <x:c r="J1695"/>
      <x:c r="K1695" s="4"/>
      <x:c r="L1695" s="4"/>
      <x:c r="M1695" s="4"/>
      <x:c r="N1695" s="5"/>
    </x:row>
    <x:row r="1696" ht="24" customHeight="1">
      <x:c r="A1696" s="1" t="str">
        <x:v>RESULT</x:v>
      </x:c>
      <x:c r="B1696" s="1" t="str">
        <x:v>Round2</x:v>
      </x:c>
      <x:c r="C1696" s="1" t="str">
        <x:v>Time_20</x:v>
      </x:c>
      <x:c r="D1696" s="1" t="str">
        <x:v>INCONCLUSIVE</x:v>
      </x:c>
      <x:c r="E1696" s="5" t="n">
        <x:v>0.1655</x:v>
      </x:c>
      <x:c r="F1696" s="4" t="n">
        <x:v>0</x:v>
      </x:c>
      <x:c r="G1696" s="4" t="n">
        <x:v>32566</x:v>
      </x:c>
      <x:c r="H1696" s="6" t="n">
        <x:v>764.44</x:v>
      </x:c>
      <x:c r="I1696" s="16" t="n">
        <x:v>1</x:v>
      </x:c>
      <x:c r="J1696" t="n">
        <x:v>1033</x:v>
      </x:c>
      <x:c r="K1696" s="4" t="n">
        <x:v>171</x:v>
      </x:c>
      <x:c r="L1696" s="4" t="n">
        <x:v>589</x:v>
      </x:c>
      <x:c r="M1696" s="4" t="n">
        <x:v>76</x:v>
      </x:c>
      <x:c r="N1696" s="5" t="n">
        <x:v>0.129</x:v>
      </x:c>
    </x:row>
    <x:row r="1697" ht="24" customHeight="1">
      <x:c r="A1697" s="1" t="str">
        <x:v>RESULT</x:v>
      </x:c>
      <x:c r="B1697" s="1" t="str">
        <x:v>Round2</x:v>
      </x:c>
      <x:c r="C1697" s="1" t="str">
        <x:v>Time_22</x:v>
      </x:c>
      <x:c r="D1697" s="1" t="str">
        <x:v>INCONCLUSIVE</x:v>
      </x:c>
      <x:c r="E1697" s="5" t="n">
        <x:v>0.5614</x:v>
      </x:c>
      <x:c r="F1697" s="4" t="n">
        <x:v>0</x:v>
      </x:c>
      <x:c r="G1697" s="4" t="n">
        <x:v>33751</x:v>
      </x:c>
      <x:c r="H1697" s="6" t="n">
        <x:v>1465.73</x:v>
      </x:c>
      <x:c r="I1697" s="16" t="n">
        <x:v>1</x:v>
      </x:c>
      <x:c r="J1697" t="n">
        <x:v>171</x:v>
      </x:c>
      <x:c r="K1697" s="4" t="n">
        <x:v>96</x:v>
      </x:c>
      <x:c r="L1697" s="4" t="n">
        <x:v>58</x:v>
      </x:c>
      <x:c r="M1697" s="4" t="n">
        <x:v>23</x:v>
      </x:c>
      <x:c r="N1697" s="5" t="n">
        <x:v>0.39659999999999995</x:v>
      </x:c>
    </x:row>
    <x:row r="1698" ht="24" customHeight="1">
      <x:c r="A1698" s="1" t="str">
        <x:v>RESULT</x:v>
      </x:c>
      <x:c r="B1698" s="1" t="str">
        <x:v>Round2</x:v>
      </x:c>
      <x:c r="C1698" s="1" t="str">
        <x:v>Time_23</x:v>
      </x:c>
      <x:c r="D1698" s="1" t="str">
        <x:v>INCONCLUSIVE</x:v>
      </x:c>
      <x:c r="E1698" s="5" t="n">
        <x:v>0.655</x:v>
      </x:c>
      <x:c r="F1698" s="4" t="n">
        <x:v>0</x:v>
      </x:c>
      <x:c r="G1698" s="4" t="n">
        <x:v>34521</x:v>
      </x:c>
      <x:c r="H1698" s="6" t="n">
        <x:v>1308.23</x:v>
      </x:c>
      <x:c r="I1698" s="16" t="n">
        <x:v>1</x:v>
      </x:c>
      <x:c r="J1698" t="n">
        <x:v>342</x:v>
      </x:c>
      <x:c r="K1698" s="4" t="n">
        <x:v>224</x:v>
      </x:c>
      <x:c r="L1698" s="4" t="n">
        <x:v>162</x:v>
      </x:c>
      <x:c r="M1698" s="4" t="n">
        <x:v>83</x:v>
      </x:c>
      <x:c r="N1698" s="5" t="n">
        <x:v>0.5123</x:v>
      </x:c>
    </x:row>
    <x:row r="1699" ht="24" customHeight="1">
      <x:c r="A1699" s="1" t="str">
        <x:v>RESULT</x:v>
      </x:c>
      <x:c r="B1699" s="1" t="str">
        <x:v>Round2</x:v>
      </x:c>
      <x:c r="C1699" s="1" t="str">
        <x:v>Time_24</x:v>
      </x:c>
      <x:c r="D1699" s="1" t="str">
        <x:v>NOT_AVAILABLE</x:v>
      </x:c>
      <x:c r="E1699" s="5"/>
      <x:c r="F1699" s="4" t="n">
        <x:v>0</x:v>
      </x:c>
      <x:c r="G1699" s="4" t="n">
        <x:v>28932</x:v>
      </x:c>
      <x:c r="H1699" s="6" t="n">
        <x:v>1062.11</x:v>
      </x:c>
      <x:c r="I1699" s="16" t="n">
        <x:v>1</x:v>
      </x:c>
      <x:c r="J1699"/>
      <x:c r="K1699" s="4"/>
      <x:c r="L1699" s="4"/>
      <x:c r="M1699" s="4"/>
      <x:c r="N1699" s="5"/>
    </x:row>
    <x:row r="1700" ht="24" customHeight="1">
      <x:c r="A1700" s="1" t="str">
        <x:v>RESULT</x:v>
      </x:c>
      <x:c r="B1700" s="1" t="str">
        <x:v>Round2</x:v>
      </x:c>
      <x:c r="C1700" s="1" t="str">
        <x:v>Time_25</x:v>
      </x:c>
      <x:c r="D1700" s="1" t="str">
        <x:v>INCONCLUSIVE</x:v>
      </x:c>
      <x:c r="E1700" s="5" t="n">
        <x:v>0.6799</x:v>
      </x:c>
      <x:c r="F1700" s="4" t="n">
        <x:v>0</x:v>
      </x:c>
      <x:c r="G1700" s="4"/>
      <x:c r="H1700" s="6"/>
      <x:c r="I1700" s="16" t="n">
        <x:v>1</x:v>
      </x:c>
      <x:c r="J1700" t="n">
        <x:v>328</x:v>
      </x:c>
      <x:c r="K1700" s="4" t="n">
        <x:v>223</x:v>
      </x:c>
      <x:c r="L1700" s="4" t="n">
        <x:v>152</x:v>
      </x:c>
      <x:c r="M1700" s="4" t="n">
        <x:v>81</x:v>
      </x:c>
      <x:c r="N1700" s="5" t="n">
        <x:v>0.5329</x:v>
      </x:c>
    </x:row>
    <x:row r="1701" ht="24" customHeight="1">
      <x:c r="A1701" s="1" t="str">
        <x:v>RESULT</x:v>
      </x:c>
      <x:c r="B1701" s="1" t="str">
        <x:v>Round2</x:v>
      </x:c>
      <x:c r="C1701" s="1" t="str">
        <x:v>Time_26</x:v>
      </x:c>
      <x:c r="D1701" s="1" t="str">
        <x:v>INCONCLUSIVE</x:v>
      </x:c>
      <x:c r="E1701" s="5" t="n">
        <x:v>0.6914</x:v>
      </x:c>
      <x:c r="F1701" s="4" t="n">
        <x:v>0</x:v>
      </x:c>
      <x:c r="G1701" s="4" t="n">
        <x:v>77059</x:v>
      </x:c>
      <x:c r="H1701" s="6" t="n">
        <x:v>805.38</x:v>
      </x:c>
      <x:c r="I1701" s="16" t="n">
        <x:v>1</x:v>
      </x:c>
      <x:c r="J1701" t="n">
        <x:v>567</x:v>
      </x:c>
      <x:c r="K1701" s="4" t="n">
        <x:v>392</x:v>
      </x:c>
      <x:c r="L1701" s="4" t="n">
        <x:v>240</x:v>
      </x:c>
      <x:c r="M1701" s="4" t="n">
        <x:v>144</x:v>
      </x:c>
      <x:c r="N1701" s="5" t="n">
        <x:v>0.6</x:v>
      </x:c>
    </x:row>
    <x:row r="1702" ht="24" customHeight="1">
      <x:c r="A1702" s="1" t="str">
        <x:v>RESULT</x:v>
      </x:c>
      <x:c r="B1702" s="1" t="str">
        <x:v>Round2</x:v>
      </x:c>
      <x:c r="C1702" s="1" t="str">
        <x:v>Time_27</x:v>
      </x:c>
      <x:c r="D1702" s="1" t="str">
        <x:v>INCONCLUSIVE</x:v>
      </x:c>
      <x:c r="E1702" s="5" t="n">
        <x:v>0.3507</x:v>
      </x:c>
      <x:c r="F1702" s="4" t="n">
        <x:v>0</x:v>
      </x:c>
      <x:c r="G1702" s="4"/>
      <x:c r="H1702" s="6"/>
      <x:c r="I1702" s="16" t="n">
        <x:v>1</x:v>
      </x:c>
      <x:c r="J1702" t="n">
        <x:v>670</x:v>
      </x:c>
      <x:c r="K1702" s="4" t="n">
        <x:v>235</x:v>
      </x:c>
      <x:c r="L1702" s="4" t="n">
        <x:v>446</x:v>
      </x:c>
      <x:c r="M1702" s="4" t="n">
        <x:v>88</x:v>
      </x:c>
      <x:c r="N1702" s="5" t="n">
        <x:v>0.1973</x:v>
      </x:c>
    </x:row>
    <x:row r="1703" ht="24" customHeight="1">
      <x:c r="A1703" s="1" t="str">
        <x:v>RESULT</x:v>
      </x:c>
      <x:c r="B1703" s="1" t="str">
        <x:v>Round2</x:v>
      </x:c>
      <x:c r="C1703" s="1" t="str">
        <x:v>Time_3</x:v>
      </x:c>
      <x:c r="D1703" s="1" t="str">
        <x:v>NOT_AVAILABLE</x:v>
      </x:c>
      <x:c r="E1703" s="5"/>
      <x:c r="F1703" s="4" t="n">
        <x:v>0</x:v>
      </x:c>
      <x:c r="G1703" s="4" t="n">
        <x:v>15629</x:v>
      </x:c>
      <x:c r="H1703" s="6" t="n">
        <x:v>135.44</x:v>
      </x:c>
      <x:c r="I1703" s="16" t="n">
        <x:v>1</x:v>
      </x:c>
      <x:c r="J1703"/>
      <x:c r="K1703" s="4"/>
      <x:c r="L1703" s="4"/>
      <x:c r="M1703" s="4"/>
      <x:c r="N1703" s="5"/>
    </x:row>
    <x:row r="1704" ht="24" customHeight="1">
      <x:c r="A1704" s="1" t="str">
        <x:v>RESULT</x:v>
      </x:c>
      <x:c r="B1704" s="1" t="str">
        <x:v>Round2</x:v>
      </x:c>
      <x:c r="C1704" s="1" t="str">
        <x:v>Time_4</x:v>
      </x:c>
      <x:c r="D1704" s="1" t="str">
        <x:v>NOT_REVEALING</x:v>
      </x:c>
      <x:c r="E1704" s="5" t="n">
        <x:v>0.8498</x:v>
      </x:c>
      <x:c r="F1704" s="4" t="n">
        <x:v>0</x:v>
      </x:c>
      <x:c r="G1704" s="4"/>
      <x:c r="H1704" s="6"/>
      <x:c r="I1704" s="16" t="n">
        <x:v>1</x:v>
      </x:c>
      <x:c r="J1704" t="n">
        <x:v>253</x:v>
      </x:c>
      <x:c r="K1704" s="4" t="n">
        <x:v>215</x:v>
      </x:c>
      <x:c r="L1704" s="4" t="n">
        <x:v>106</x:v>
      </x:c>
      <x:c r="M1704" s="4" t="n">
        <x:v>74</x:v>
      </x:c>
      <x:c r="N1704" s="5" t="n">
        <x:v>0.6981</x:v>
      </x:c>
    </x:row>
    <x:row r="1705" ht="24" customHeight="1">
      <x:c r="A1705" s="1" t="str">
        <x:v>RESULT</x:v>
      </x:c>
      <x:c r="B1705" s="1" t="str">
        <x:v>Round2</x:v>
      </x:c>
      <x:c r="C1705" s="1" t="str">
        <x:v>Time_5</x:v>
      </x:c>
      <x:c r="D1705" s="1" t="str">
        <x:v>NOT_REVEALING</x:v>
      </x:c>
      <x:c r="E1705" s="5" t="n">
        <x:v>0.8763</x:v>
      </x:c>
      <x:c r="F1705" s="4" t="n">
        <x:v>0</x:v>
      </x:c>
      <x:c r="G1705" s="4" t="n">
        <x:v>47833</x:v>
      </x:c>
      <x:c r="H1705" s="6" t="n">
        <x:v>223.45</x:v>
      </x:c>
      <x:c r="I1705" s="16" t="n">
        <x:v>1</x:v>
      </x:c>
      <x:c r="J1705" t="n">
        <x:v>283</x:v>
      </x:c>
      <x:c r="K1705" s="4" t="n">
        <x:v>248</x:v>
      </x:c>
      <x:c r="L1705" s="4" t="n">
        <x:v>62</x:v>
      </x:c>
      <x:c r="M1705" s="4" t="n">
        <x:v>55</x:v>
      </x:c>
      <x:c r="N1705" s="5" t="n">
        <x:v>0.8870999999999999</x:v>
      </x:c>
    </x:row>
    <x:row r="1706" ht="24" customHeight="1">
      <x:c r="A1706" s="1" t="str">
        <x:v>RESULT</x:v>
      </x:c>
      <x:c r="B1706" s="1" t="str">
        <x:v>Round2</x:v>
      </x:c>
      <x:c r="C1706" s="1" t="str">
        <x:v>Time_6</x:v>
      </x:c>
      <x:c r="D1706" s="1" t="str">
        <x:v>NOT_REVEALING</x:v>
      </x:c>
      <x:c r="E1706" s="5" t="n">
        <x:v>0.5069</x:v>
      </x:c>
      <x:c r="F1706" s="4" t="n">
        <x:v>0</x:v>
      </x:c>
      <x:c r="G1706" s="4"/>
      <x:c r="H1706" s="6"/>
      <x:c r="I1706" s="16" t="n">
        <x:v>1</x:v>
      </x:c>
      <x:c r="J1706" t="n">
        <x:v>361</x:v>
      </x:c>
      <x:c r="K1706" s="4" t="n">
        <x:v>183</x:v>
      </x:c>
      <x:c r="L1706" s="4" t="n">
        <x:v>168</x:v>
      </x:c>
      <x:c r="M1706" s="4" t="n">
        <x:v>46</x:v>
      </x:c>
      <x:c r="N1706" s="5" t="n">
        <x:v>0.2738</x:v>
      </x:c>
    </x:row>
    <x:row r="1707" ht="24" customHeight="1">
      <x:c r="A1707" s="1" t="str">
        <x:v>RESULT</x:v>
      </x:c>
      <x:c r="B1707" s="1" t="str">
        <x:v>Round2</x:v>
      </x:c>
      <x:c r="C1707" s="1" t="str">
        <x:v>Time_7</x:v>
      </x:c>
      <x:c r="D1707" s="1" t="str">
        <x:v>NOT_AVAILABLE</x:v>
      </x:c>
      <x:c r="E1707" s="5"/>
      <x:c r="F1707" s="4" t="n">
        <x:v>0</x:v>
      </x:c>
      <x:c r="G1707" s="4" t="n">
        <x:v>39690</x:v>
      </x:c>
      <x:c r="H1707" s="6" t="n">
        <x:v>196.13</x:v>
      </x:c>
      <x:c r="I1707" s="16" t="n">
        <x:v>1</x:v>
      </x:c>
      <x:c r="J1707"/>
      <x:c r="K1707" s="4"/>
      <x:c r="L1707" s="4"/>
      <x:c r="M1707" s="4"/>
      <x:c r="N1707" s="5"/>
    </x:row>
    <x:row r="1708" ht="24" customHeight="1">
      <x:c r="A1708" s="1" t="str">
        <x:v>RESULT</x:v>
      </x:c>
      <x:c r="B1708" s="1" t="str">
        <x:v>Round2</x:v>
      </x:c>
      <x:c r="C1708" s="1" t="str">
        <x:v>Time_8</x:v>
      </x:c>
      <x:c r="D1708" s="1" t="str">
        <x:v>NOT_REVEALING</x:v>
      </x:c>
      <x:c r="E1708" s="5" t="n">
        <x:v>0.6535</x:v>
      </x:c>
      <x:c r="F1708" s="4" t="n">
        <x:v>0</x:v>
      </x:c>
      <x:c r="G1708" s="4"/>
      <x:c r="H1708" s="6"/>
      <x:c r="I1708" s="16" t="n">
        <x:v>1</x:v>
      </x:c>
      <x:c r="J1708" t="n">
        <x:v>355</x:v>
      </x:c>
      <x:c r="K1708" s="4" t="n">
        <x:v>232</x:v>
      </x:c>
      <x:c r="L1708" s="4" t="n">
        <x:v>178</x:v>
      </x:c>
      <x:c r="M1708" s="4" t="n">
        <x:v>91</x:v>
      </x:c>
      <x:c r="N1708" s="5" t="n">
        <x:v>0.5112</x:v>
      </x:c>
    </x:row>
    <x:row r="1709" ht="24" customHeight="1">
      <x:c r="A1709" s="1" t="str">
        <x:v>RESULT</x:v>
      </x:c>
      <x:c r="B1709" s="1" t="str">
        <x:v>Round2</x:v>
      </x:c>
      <x:c r="C1709" s="1" t="str">
        <x:v>Time_9</x:v>
      </x:c>
      <x:c r="D1709" s="1" t="str">
        <x:v>NOT_AVAILABLE</x:v>
      </x:c>
      <x:c r="E1709" s="5"/>
      <x:c r="F1709" s="4" t="n">
        <x:v>0</x:v>
      </x:c>
      <x:c r="G1709" s="4" t="n">
        <x:v>33472</x:v>
      </x:c>
      <x:c r="H1709" s="6" t="n">
        <x:v>1208.75</x:v>
      </x:c>
      <x:c r="I1709" s="16" t="n">
        <x:v>1</x:v>
      </x:c>
      <x:c r="J1709"/>
      <x:c r="K1709" s="4"/>
      <x:c r="L1709" s="4"/>
      <x:c r="M1709" s="4"/>
      <x:c r="N1709" s="5"/>
    </x:row>
  </x:sheetData>
  <x:pageMargins left="0.7" right="0.7" top="0.75" bottom="0.75" header="0.3" footer="0.3"/>
  <x:tableParts count="1">
    <x:tablePart xmlns:r="http://schemas.openxmlformats.org/officeDocument/2006/relationships" r:id="Ra1a70b2316c84c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40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</x:cols>
  <x:sheetData>
    <x:row r="2">
      <x:c r="B2" t="str">
        <x:v>Resoucre inventory checked before summary</x:v>
      </x:c>
    </x:row>
    <x:row r="3">
      <x:c r="B3" t="str">
        <x:v>Only Resoucre targets are counted. Extra saved results are preserved but excluded. Each bug/round counts separately.</x:v>
      </x:c>
    </x:row>
    <x:row r="6" ht="42" customHeight="1">
      <x:c r="B6" s="20" t="str">
        <x:v>Round</x:v>
      </x:c>
      <x:c r="C6" s="20" t="str">
        <x:v>Resource targets</x:v>
      </x:c>
      <x:c r="D6" s="20" t="str">
        <x:v>Saved results</x:v>
      </x:c>
      <x:c r="E6" s="20" t="str">
        <x:v>Java test folders</x:v>
      </x:c>
      <x:c r="F6" s="20" t="str">
        <x:v>Missing results</x:v>
      </x:c>
      <x:c r="G6" s="20" t="str">
        <x:v>Extra results</x:v>
      </x:c>
      <x:c r="H6" s="20" t="str">
        <x:v>Missing tests</x:v>
      </x:c>
      <x:c r="I6" s="20" t="str">
        <x:v>Extra tests</x:v>
      </x:c>
      <x:c r="J6" s="20" t="str">
        <x:v>Check</x:v>
      </x:c>
    </x:row>
    <x:row r="7" ht="23" customHeight="1">
      <x:c r="B7" s="17" t="str">
        <x:v>Round1</x:v>
      </x:c>
      <x:c r="C7" s="17" t="n">
        <x:v>854</x:v>
      </x:c>
      <x:c r="D7" s="17" t="n">
        <x:v>854</x:v>
      </x:c>
      <x:c r="E7" s="17" t="n">
        <x:v>854</x:v>
      </x:c>
      <x:c r="F7" s="21" t="str">
        <x:v>—</x:v>
      </x:c>
      <x:c r="G7" s="21" t="str">
        <x:v>—</x:v>
      </x:c>
      <x:c r="H7" s="21" t="str">
        <x:v>—</x:v>
      </x:c>
      <x:c r="I7" s="21" t="str">
        <x:v>—</x:v>
      </x:c>
      <x:c r="J7" s="21" t="str">
        <x:v>Complete reference results</x:v>
      </x:c>
    </x:row>
    <x:row r="8" ht="23" customHeight="1">
      <x:c r="B8" s="17" t="str">
        <x:v>Round2</x:v>
      </x:c>
      <x:c r="C8" s="17" t="n">
        <x:v>854</x:v>
      </x:c>
      <x:c r="D8" s="17" t="n">
        <x:v>854</x:v>
      </x:c>
      <x:c r="E8" s="17" t="n">
        <x:v>854</x:v>
      </x:c>
      <x:c r="F8" s="21" t="str">
        <x:v>—</x:v>
      </x:c>
      <x:c r="G8" s="21" t="str">
        <x:v>—</x:v>
      </x:c>
      <x:c r="H8" s="21" t="str">
        <x:v>—</x:v>
      </x:c>
      <x:c r="I8" s="21" t="str">
        <x:v>—</x:v>
      </x:c>
      <x:c r="J8" s="21" t="str">
        <x:v>Complete reference results</x:v>
      </x:c>
    </x:row>
  </x:sheetData>
  <x:mergeCells>
    <x:mergeCell ref="B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9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70" hidden="0" customWidth="1"/>
    <x:col min="14" max="14" width="70" hidden="0" customWidth="1"/>
    <x:col min="15" max="15" width="70" hidden="0" customWidth="1"/>
    <x:col min="16" max="16" width="28" hidden="0" customWidth="1"/>
    <x:col min="17" max="17" width="55" hidden="0" customWidth="1"/>
    <x:col min="18" max="18" width="55" hidden="0" customWidth="1"/>
    <x:col min="19" max="19" width="55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44" customHeight="1">
      <x:c r="A1" s="20" t="str">
        <x:v>project</x:v>
      </x:c>
      <x:c r="B1" s="20" t="str">
        <x:v>bug_id</x:v>
      </x:c>
      <x:c r="C1" s="20" t="str">
        <x:v>round</x:v>
      </x:c>
      <x:c r="D1" s="20" t="str">
        <x:v>status</x:v>
      </x:c>
      <x:c r="E1" s="20" t="str">
        <x:v>partial_generation</x:v>
      </x:c>
      <x:c r="F1" s="20" t="str">
        <x:v>notes</x:v>
      </x:c>
      <x:c r="G1" s="20" t="str">
        <x:v>partial_generation_known</x:v>
      </x:c>
      <x:c r="H1" s="20" t="str">
        <x:v>previous_status</x:v>
      </x:c>
      <x:c r="I1" s="20" t="str">
        <x:v>buggy_result</x:v>
      </x:c>
      <x:c r="J1" s="20" t="str">
        <x:v>fixed_result</x:v>
      </x:c>
      <x:c r="K1" s="20" t="str">
        <x:v>java_files</x:v>
      </x:c>
      <x:c r="L1" s="20" t="str">
        <x:v>latest_generation_failed</x:v>
      </x:c>
      <x:c r="M1" s="20" t="str">
        <x:v>generation_source</x:v>
      </x:c>
      <x:c r="N1" s="20" t="str">
        <x:v>validation_source</x:v>
      </x:c>
      <x:c r="O1" s="20" t="str">
        <x:v>coverage_source</x:v>
      </x:c>
      <x:c r="P1" s="20" t="str">
        <x:v>not_available_cause</x:v>
      </x:c>
      <x:c r="Q1" s="28" t="str">
        <x:v>generation_failed_tasks</x:v>
      </x:c>
      <x:c r="R1" s="28" t="str">
        <x:v>failed_generation_classes</x:v>
      </x:c>
      <x:c r="S1" s="28" t="str">
        <x:v>missing_generation_classes</x:v>
      </x:c>
      <x:c r="T1" s="28" t="str">
        <x:v>stale_generation_failure</x:v>
      </x:c>
      <x:c r="U1" s="28" t="str">
        <x:v>has_test_methods</x:v>
      </x:c>
      <x:c r="V1" s="28" t="str">
        <x:v>status_changed</x:v>
      </x:c>
    </x:row>
    <x:row r="2" ht="80" customHeight="1">
      <x:c r="A2" s="25" t="str">
        <x:v>Chart</x:v>
      </x:c>
      <x:c r="B2" s="25" t="n">
        <x:v>1</x:v>
      </x:c>
      <x:c r="C2" s="25" t="str">
        <x:v>Round1</x:v>
      </x:c>
      <x:c r="D2" s="25" t="str">
        <x:v>NOT_AVAILABLE</x:v>
      </x:c>
      <x:c r="E2" s="25" t="str">
        <x:v>N/A</x:v>
      </x:c>
      <x:c r="F2" s="26" t="str">
        <x:v>Tests exist but current coverage did not complete</x:v>
      </x:c>
      <x:c r="G2" s="25" t="str">
        <x:v>true</x:v>
      </x:c>
      <x:c r="H2" s="25" t="str">
        <x:v>NOT_AVAILABLE</x:v>
      </x:c>
      <x:c r="I2" s="25" t="str">
        <x:v>NOT_RUN</x:v>
      </x:c>
      <x:c r="J2" s="25" t="str">
        <x:v>NOT_RUN</x:v>
      </x:c>
      <x:c r="K2" s="25" t="n">
        <x:v>1</x:v>
      </x:c>
      <x:c r="L2" s="27" t="b">
        <x:v>0</x:v>
      </x:c>
      <x:c r="M2" s="25" t="str">
        <x:v>Deepseek-flash-v4/state/Round1/shards/Chart.json</x:v>
      </x:c>
      <x:c r="N2" s="25" t="str">
        <x:v>Deepseek-flash-v4/Result/Chart_1/result.json</x:v>
      </x:c>
      <x:c r="O2" s="25" t="str">
        <x:v>Deepseek-flash-v4/Result/Chart_1/result.json</x:v>
      </x:c>
      <x:c r="P2" t="str">
        <x:v>BOTH_NOT_RUN</x:v>
      </x:c>
      <x:c r="Q2" s="21" t="str"/>
      <x:c r="R2" s="21" t="str"/>
      <x:c r="S2" s="21" t="str"/>
      <x:c r="T2" s="17" t="str">
        <x:v>false</x:v>
      </x:c>
      <x:c r="U2" s="17" t="str">
        <x:v>true</x:v>
      </x:c>
      <x:c r="V2" s="17" t="str">
        <x:v>false</x:v>
      </x:c>
    </x:row>
    <x:row r="3" ht="80" customHeight="1">
      <x:c r="A3" s="25" t="str">
        <x:v>Chart</x:v>
      </x:c>
      <x:c r="B3" s="25" t="n">
        <x:v>10</x:v>
      </x:c>
      <x:c r="C3" s="25" t="str">
        <x:v>Round1</x:v>
      </x:c>
      <x:c r="D3" s="25" t="str">
        <x:v>INCONCLUSIVE</x:v>
      </x:c>
      <x:c r="E3" s="25" t="str">
        <x:v>N/A</x:v>
      </x:c>
      <x:c r="F3" s="26" t="str">
        <x:v>Fixed also failed; assertion failure cannot be attributed to this bug</x:v>
      </x:c>
      <x:c r="G3" s="25" t="str">
        <x:v>true</x:v>
      </x:c>
      <x:c r="H3" s="25" t="str">
        <x:v>INCONCLUSIVE</x:v>
      </x:c>
      <x:c r="I3" s="25" t="str">
        <x:v>FAIL</x:v>
      </x:c>
      <x:c r="J3" s="25" t="str">
        <x:v>FAIL</x:v>
      </x:c>
      <x:c r="K3" s="25" t="n">
        <x:v>1</x:v>
      </x:c>
      <x:c r="L3" s="27" t="b">
        <x:v>0</x:v>
      </x:c>
      <x:c r="M3" s="25" t="str">
        <x:v>Deepseek-flash-v4/state/Round1/shards/Chart.json</x:v>
      </x:c>
      <x:c r="N3" s="25" t="str">
        <x:v>Deepseek-flash-v4/Result/Chart_10/result.json</x:v>
      </x:c>
      <x:c r="O3" s="25" t="str">
        <x:v>Deepseek-flash-v4/Result/Chart_10/result.json</x:v>
      </x:c>
      <x:c r="P3"/>
      <x:c r="Q3" s="21" t="str"/>
      <x:c r="R3" s="21" t="str"/>
      <x:c r="S3" s="21" t="str"/>
      <x:c r="T3" s="17" t="str">
        <x:v>false</x:v>
      </x:c>
      <x:c r="U3" s="17" t="str">
        <x:v>true</x:v>
      </x:c>
      <x:c r="V3" s="17" t="str">
        <x:v>false</x:v>
      </x:c>
    </x:row>
    <x:row r="4" ht="80" customHeight="1">
      <x:c r="A4" s="25" t="str">
        <x:v>Chart</x:v>
      </x:c>
      <x:c r="B4" s="25" t="n">
        <x:v>11</x:v>
      </x:c>
      <x:c r="C4" s="25" t="str">
        <x:v>Round1</x:v>
      </x:c>
      <x:c r="D4" s="25" t="str">
        <x:v>NOT_AVAILABLE</x:v>
      </x:c>
      <x:c r="E4" s="25" t="str">
        <x:v>N/A</x:v>
      </x:c>
      <x:c r="F4" s="26" t="str">
        <x:v>Tests exist but current coverage did not complete</x:v>
      </x:c>
      <x:c r="G4" s="25" t="str">
        <x:v>true</x:v>
      </x:c>
      <x:c r="H4" s="25" t="str">
        <x:v>NOT_AVAILABLE</x:v>
      </x:c>
      <x:c r="I4" s="25" t="str">
        <x:v>NOT_RUN</x:v>
      </x:c>
      <x:c r="J4" s="25" t="str">
        <x:v>NOT_RUN</x:v>
      </x:c>
      <x:c r="K4" s="25" t="n">
        <x:v>1</x:v>
      </x:c>
      <x:c r="L4" s="27" t="b">
        <x:v>0</x:v>
      </x:c>
      <x:c r="M4" s="25" t="str">
        <x:v>Deepseek-flash-v4/state/Round1/shards/Chart.json</x:v>
      </x:c>
      <x:c r="N4" s="25" t="str">
        <x:v>Deepseek-flash-v4/Result/Chart_11/result.json</x:v>
      </x:c>
      <x:c r="O4" s="25" t="str">
        <x:v>Deepseek-flash-v4/Result/Chart_11/result.json</x:v>
      </x:c>
      <x:c r="P4" t="str">
        <x:v>BOTH_NOT_RUN</x:v>
      </x:c>
      <x:c r="Q4" s="21" t="str"/>
      <x:c r="R4" s="21" t="str"/>
      <x:c r="S4" s="21" t="str"/>
      <x:c r="T4" s="17" t="str">
        <x:v>false</x:v>
      </x:c>
      <x:c r="U4" s="17" t="str">
        <x:v>true</x:v>
      </x:c>
      <x:c r="V4" s="17" t="str">
        <x:v>false</x:v>
      </x:c>
    </x:row>
    <x:row r="5" ht="80" customHeight="1">
      <x:c r="A5" s="25" t="str">
        <x:v>Chart</x:v>
      </x:c>
      <x:c r="B5" s="25" t="n">
        <x:v>12</x:v>
      </x:c>
      <x:c r="C5" s="25" t="str">
        <x:v>Round1</x:v>
      </x:c>
      <x:c r="D5" s="25" t="str">
        <x:v>NOT_AVAILABLE</x:v>
      </x:c>
      <x:c r="E5" s="25" t="str">
        <x:v>N/A</x:v>
      </x:c>
      <x:c r="F5" s="26" t="str">
        <x:v>Tests exist but current coverage did not complete</x:v>
      </x:c>
      <x:c r="G5" s="25" t="str">
        <x:v>true</x:v>
      </x:c>
      <x:c r="H5" s="25" t="str">
        <x:v>NOT_AVAILABLE</x:v>
      </x:c>
      <x:c r="I5" s="25" t="str">
        <x:v>NOT_RUN</x:v>
      </x:c>
      <x:c r="J5" s="25" t="str">
        <x:v>NOT_RUN</x:v>
      </x:c>
      <x:c r="K5" s="25" t="n">
        <x:v>1</x:v>
      </x:c>
      <x:c r="L5" s="27" t="b">
        <x:v>0</x:v>
      </x:c>
      <x:c r="M5" s="25" t="str">
        <x:v>Deepseek-flash-v4/state/Round1/shards/Chart.json</x:v>
      </x:c>
      <x:c r="N5" s="25" t="str">
        <x:v>Deepseek-flash-v4/Result/Chart_12/result.json</x:v>
      </x:c>
      <x:c r="O5" s="25" t="str">
        <x:v>Deepseek-flash-v4/Result/Chart_12/result.json</x:v>
      </x:c>
      <x:c r="P5" t="str">
        <x:v>BOTH_NOT_RUN</x:v>
      </x:c>
      <x:c r="Q5" s="21" t="str"/>
      <x:c r="R5" s="21" t="str"/>
      <x:c r="S5" s="21" t="str"/>
      <x:c r="T5" s="17" t="str">
        <x:v>false</x:v>
      </x:c>
      <x:c r="U5" s="17" t="str">
        <x:v>true</x:v>
      </x:c>
      <x:c r="V5" s="17" t="str">
        <x:v>false</x:v>
      </x:c>
    </x:row>
    <x:row r="6" ht="80" customHeight="1">
      <x:c r="A6" s="25" t="str">
        <x:v>Chart</x:v>
      </x:c>
      <x:c r="B6" s="25" t="n">
        <x:v>13</x:v>
      </x:c>
      <x:c r="C6" s="25" t="str">
        <x:v>Round1</x:v>
      </x:c>
      <x:c r="D6" s="25" t="str">
        <x:v>NOT_AVAILABLE</x:v>
      </x:c>
      <x:c r="E6" s="25" t="str">
        <x:v>N/A</x:v>
      </x:c>
      <x:c r="F6" s="26" t="str">
        <x:v>Tests exist but current coverage did not complete</x:v>
      </x:c>
      <x:c r="G6" s="25" t="str">
        <x:v>true</x:v>
      </x:c>
      <x:c r="H6" s="25" t="str">
        <x:v>NOT_AVAILABLE</x:v>
      </x:c>
      <x:c r="I6" s="25" t="str">
        <x:v>NOT_RUN</x:v>
      </x:c>
      <x:c r="J6" s="25" t="str">
        <x:v>NOT_RUN</x:v>
      </x:c>
      <x:c r="K6" s="25" t="n">
        <x:v>1</x:v>
      </x:c>
      <x:c r="L6" s="27" t="b">
        <x:v>0</x:v>
      </x:c>
      <x:c r="M6" s="25" t="str">
        <x:v>Deepseek-flash-v4/state/Round1/shards/Chart.json</x:v>
      </x:c>
      <x:c r="N6" s="25" t="str">
        <x:v>Deepseek-flash-v4/Result/Chart_13/result.json</x:v>
      </x:c>
      <x:c r="O6" s="25" t="str">
        <x:v>Deepseek-flash-v4/Result/Chart_13/result.json</x:v>
      </x:c>
      <x:c r="P6" t="str">
        <x:v>BOTH_NOT_RUN</x:v>
      </x:c>
      <x:c r="Q6" s="21" t="str"/>
      <x:c r="R6" s="21" t="str"/>
      <x:c r="S6" s="21" t="str"/>
      <x:c r="T6" s="17" t="str">
        <x:v>false</x:v>
      </x:c>
      <x:c r="U6" s="17" t="str">
        <x:v>true</x:v>
      </x:c>
      <x:c r="V6" s="17" t="str">
        <x:v>false</x:v>
      </x:c>
    </x:row>
    <x:row r="7" ht="80" customHeight="1">
      <x:c r="A7" s="25" t="str">
        <x:v>Chart</x:v>
      </x:c>
      <x:c r="B7" s="25" t="n">
        <x:v>14</x:v>
      </x:c>
      <x:c r="C7" s="25" t="str">
        <x:v>Round1</x:v>
      </x:c>
      <x:c r="D7" s="25" t="str">
        <x:v>NOT_AVAILABLE</x:v>
      </x:c>
      <x:c r="E7" s="25" t="str">
        <x:v>N/A</x:v>
      </x:c>
      <x:c r="F7" s="26" t="str">
        <x:v>Tests exist but current coverage did not complete</x:v>
      </x:c>
      <x:c r="G7" s="25" t="str">
        <x:v>true</x:v>
      </x:c>
      <x:c r="H7" s="25" t="str">
        <x:v>NOT_AVAILABLE</x:v>
      </x:c>
      <x:c r="I7" s="25" t="str">
        <x:v>NOT_RUN</x:v>
      </x:c>
      <x:c r="J7" s="25" t="str">
        <x:v>NOT_RUN</x:v>
      </x:c>
      <x:c r="K7" s="25" t="n">
        <x:v>2</x:v>
      </x:c>
      <x:c r="L7" s="27" t="b">
        <x:v>0</x:v>
      </x:c>
      <x:c r="M7" s="25" t="str">
        <x:v>Deepseek-flash-v4/state/Round1/shards/Chart.json</x:v>
      </x:c>
      <x:c r="N7" s="25" t="str">
        <x:v>Deepseek-flash-v4/Result/Chart_14/result.json</x:v>
      </x:c>
      <x:c r="O7" s="25" t="str">
        <x:v>Deepseek-flash-v4/Result/Chart_14/result.json</x:v>
      </x:c>
      <x:c r="P7" t="str">
        <x:v>BOTH_NOT_RUN</x:v>
      </x:c>
      <x:c r="Q7" s="21" t="str"/>
      <x:c r="R7" s="21" t="str"/>
      <x:c r="S7" s="21" t="str"/>
      <x:c r="T7" s="17" t="str">
        <x:v>false</x:v>
      </x:c>
      <x:c r="U7" s="17" t="str">
        <x:v>true</x:v>
      </x:c>
      <x:c r="V7" s="17" t="str">
        <x:v>false</x:v>
      </x:c>
    </x:row>
    <x:row r="8" ht="80" customHeight="1">
      <x:c r="A8" s="25" t="str">
        <x:v>Chart</x:v>
      </x:c>
      <x:c r="B8" s="25" t="n">
        <x:v>15</x:v>
      </x:c>
      <x:c r="C8" s="25" t="str">
        <x:v>Round1</x:v>
      </x:c>
      <x:c r="D8" s="25" t="str">
        <x:v>INCONCLUSIVE</x:v>
      </x:c>
      <x:c r="E8" s="25" t="str">
        <x:v>N/A</x:v>
      </x:c>
      <x:c r="F8" s="26" t="str">
        <x:v>Fixed also failed; assertion failure cannot be attributed to this bug</x:v>
      </x:c>
      <x:c r="G8" s="25" t="str">
        <x:v>true</x:v>
      </x:c>
      <x:c r="H8" s="25" t="str">
        <x:v>INCONCLUSIVE</x:v>
      </x:c>
      <x:c r="I8" s="25" t="str">
        <x:v>FAIL</x:v>
      </x:c>
      <x:c r="J8" s="25" t="str">
        <x:v>FAIL</x:v>
      </x:c>
      <x:c r="K8" s="25" t="n">
        <x:v>1</x:v>
      </x:c>
      <x:c r="L8" s="27" t="b">
        <x:v>0</x:v>
      </x:c>
      <x:c r="M8" s="25" t="str">
        <x:v>Deepseek-flash-v4/state/Round1/shards/Chart.json</x:v>
      </x:c>
      <x:c r="N8" s="25" t="str">
        <x:v>Deepseek-flash-v4/Result/Chart_15/result.json</x:v>
      </x:c>
      <x:c r="O8" s="25" t="str">
        <x:v>Deepseek-flash-v4/Result/Chart_15/result.json</x:v>
      </x:c>
      <x:c r="P8"/>
      <x:c r="Q8" s="21" t="str"/>
      <x:c r="R8" s="21" t="str"/>
      <x:c r="S8" s="21" t="str"/>
      <x:c r="T8" s="17" t="str">
        <x:v>false</x:v>
      </x:c>
      <x:c r="U8" s="17" t="str">
        <x:v>true</x:v>
      </x:c>
      <x:c r="V8" s="17" t="str">
        <x:v>false</x:v>
      </x:c>
    </x:row>
    <x:row r="9" ht="80" customHeight="1">
      <x:c r="A9" s="25" t="str">
        <x:v>Chart</x:v>
      </x:c>
      <x:c r="B9" s="25" t="n">
        <x:v>16</x:v>
      </x:c>
      <x:c r="C9" s="25" t="str">
        <x:v>Round1</x:v>
      </x:c>
      <x:c r="D9" s="25" t="str">
        <x:v>NOT_AVAILABLE</x:v>
      </x:c>
      <x:c r="E9" s="25" t="str">
        <x:v>N/A</x:v>
      </x:c>
      <x:c r="F9" s="26" t="str">
        <x:v>Tests exist but current coverage did not complete</x:v>
      </x:c>
      <x:c r="G9" s="25" t="str">
        <x:v>true</x:v>
      </x:c>
      <x:c r="H9" s="25" t="str">
        <x:v>NOT_AVAILABLE</x:v>
      </x:c>
      <x:c r="I9" s="25" t="str">
        <x:v>NOT_RUN</x:v>
      </x:c>
      <x:c r="J9" s="25" t="str">
        <x:v>NOT_RUN</x:v>
      </x:c>
      <x:c r="K9" s="25" t="n">
        <x:v>1</x:v>
      </x:c>
      <x:c r="L9" s="27" t="b">
        <x:v>0</x:v>
      </x:c>
      <x:c r="M9" s="25" t="str">
        <x:v>Deepseek-flash-v4/state/Round1/shards/Chart.json</x:v>
      </x:c>
      <x:c r="N9" s="25" t="str">
        <x:v>Deepseek-flash-v4/Result/Chart_16/result.json</x:v>
      </x:c>
      <x:c r="O9" s="25" t="str">
        <x:v>Deepseek-flash-v4/Result/Chart_16/result.json</x:v>
      </x:c>
      <x:c r="P9" t="str">
        <x:v>BOTH_NOT_RUN</x:v>
      </x:c>
      <x:c r="Q9" s="21" t="str"/>
      <x:c r="R9" s="21" t="str"/>
      <x:c r="S9" s="21" t="str"/>
      <x:c r="T9" s="17" t="str">
        <x:v>false</x:v>
      </x:c>
      <x:c r="U9" s="17" t="str">
        <x:v>true</x:v>
      </x:c>
      <x:c r="V9" s="17" t="str">
        <x:v>false</x:v>
      </x:c>
    </x:row>
    <x:row r="10" ht="80" customHeight="1">
      <x:c r="A10" s="25" t="str">
        <x:v>Chart</x:v>
      </x:c>
      <x:c r="B10" s="25" t="n">
        <x:v>17</x:v>
      </x:c>
      <x:c r="C10" s="25" t="str">
        <x:v>Round1</x:v>
      </x:c>
      <x:c r="D10" s="25" t="str">
        <x:v>NOT_AVAILABLE</x:v>
      </x:c>
      <x:c r="E10" s="25" t="str">
        <x:v>N/A</x:v>
      </x:c>
      <x:c r="F10" s="26" t="str">
        <x:v>Tests exist but current coverage did not complete</x:v>
      </x:c>
      <x:c r="G10" s="25" t="str">
        <x:v>true</x:v>
      </x:c>
      <x:c r="H10" s="25" t="str">
        <x:v>NOT_AVAILABLE</x:v>
      </x:c>
      <x:c r="I10" s="25" t="str">
        <x:v>NOT_RUN</x:v>
      </x:c>
      <x:c r="J10" s="25" t="str">
        <x:v>NOT_RUN</x:v>
      </x:c>
      <x:c r="K10" s="25" t="n">
        <x:v>1</x:v>
      </x:c>
      <x:c r="L10" s="27" t="b">
        <x:v>0</x:v>
      </x:c>
      <x:c r="M10" s="25" t="str">
        <x:v>Deepseek-flash-v4/state/Round1/shards/Chart.json</x:v>
      </x:c>
      <x:c r="N10" s="25" t="str">
        <x:v>Deepseek-flash-v4/Result/Chart_17/result.json</x:v>
      </x:c>
      <x:c r="O10" s="25" t="str">
        <x:v>Deepseek-flash-v4/Result/Chart_17/result.json</x:v>
      </x:c>
      <x:c r="P10" t="str">
        <x:v>BOTH_NOT_RUN</x:v>
      </x:c>
      <x:c r="Q10" s="21" t="str"/>
      <x:c r="R10" s="21" t="str"/>
      <x:c r="S10" s="21" t="str"/>
      <x:c r="T10" s="17" t="str">
        <x:v>false</x:v>
      </x:c>
      <x:c r="U10" s="17" t="str">
        <x:v>true</x:v>
      </x:c>
      <x:c r="V10" s="17" t="str">
        <x:v>false</x:v>
      </x:c>
    </x:row>
    <x:row r="11" ht="80" customHeight="1">
      <x:c r="A11" s="25" t="str">
        <x:v>Chart</x:v>
      </x:c>
      <x:c r="B11" s="25" t="n">
        <x:v>18</x:v>
      </x:c>
      <x:c r="C11" s="25" t="str">
        <x:v>Round1</x:v>
      </x:c>
      <x:c r="D11" s="25" t="str">
        <x:v>INCONCLUSIVE</x:v>
      </x:c>
      <x:c r="E11" s="25" t="str">
        <x:v>N/A</x:v>
      </x:c>
      <x:c r="F11" s="26" t="str">
        <x:v>Fixed also failed; assertion failure cannot be attributed to this bug</x:v>
      </x:c>
      <x:c r="G11" s="25" t="str">
        <x:v>true</x:v>
      </x:c>
      <x:c r="H11" s="25" t="str">
        <x:v>INCONCLUSIVE</x:v>
      </x:c>
      <x:c r="I11" s="25" t="str">
        <x:v>FAIL</x:v>
      </x:c>
      <x:c r="J11" s="25" t="str">
        <x:v>FAIL</x:v>
      </x:c>
      <x:c r="K11" s="25" t="n">
        <x:v>2</x:v>
      </x:c>
      <x:c r="L11" s="27" t="b">
        <x:v>0</x:v>
      </x:c>
      <x:c r="M11" s="25" t="str">
        <x:v>Deepseek-flash-v4/state/Round1/shards/Chart.json</x:v>
      </x:c>
      <x:c r="N11" s="25" t="str">
        <x:v>Deepseek-flash-v4/Result/Chart_18/result.json</x:v>
      </x:c>
      <x:c r="O11" s="25" t="str">
        <x:v>Deepseek-flash-v4/Result/Chart_18/result.json</x:v>
      </x:c>
      <x:c r="P11"/>
      <x:c r="Q11" s="21" t="str"/>
      <x:c r="R11" s="21" t="str"/>
      <x:c r="S11" s="21" t="str"/>
      <x:c r="T11" s="17" t="str">
        <x:v>false</x:v>
      </x:c>
      <x:c r="U11" s="17" t="str">
        <x:v>true</x:v>
      </x:c>
      <x:c r="V11" s="17" t="str">
        <x:v>false</x:v>
      </x:c>
    </x:row>
    <x:row r="12" ht="80" customHeight="1">
      <x:c r="A12" s="25" t="str">
        <x:v>Chart</x:v>
      </x:c>
      <x:c r="B12" s="25" t="n">
        <x:v>19</x:v>
      </x:c>
      <x:c r="C12" s="25" t="str">
        <x:v>Round1</x:v>
      </x:c>
      <x:c r="D12" s="25" t="str">
        <x:v>NOT_AVAILABLE</x:v>
      </x:c>
      <x:c r="E12" s="25" t="str">
        <x:v>N/A</x:v>
      </x:c>
      <x:c r="F12" s="26" t="str">
        <x:v>Tests exist but current coverage did not complete</x:v>
      </x:c>
      <x:c r="G12" s="25" t="str">
        <x:v>true</x:v>
      </x:c>
      <x:c r="H12" s="25" t="str">
        <x:v>NOT_AVAILABLE</x:v>
      </x:c>
      <x:c r="I12" s="25" t="str">
        <x:v>NOT_RUN</x:v>
      </x:c>
      <x:c r="J12" s="25" t="str">
        <x:v>NOT_RUN</x:v>
      </x:c>
      <x:c r="K12" s="25" t="n">
        <x:v>1</x:v>
      </x:c>
      <x:c r="L12" s="27" t="b">
        <x:v>0</x:v>
      </x:c>
      <x:c r="M12" s="25" t="str">
        <x:v>Deepseek-flash-v4/state/Round1/shards/Chart.json</x:v>
      </x:c>
      <x:c r="N12" s="25" t="str">
        <x:v>Deepseek-flash-v4/Result/Chart_19/result.json</x:v>
      </x:c>
      <x:c r="O12" s="25" t="str">
        <x:v>Deepseek-flash-v4/Result/Chart_19/result.json</x:v>
      </x:c>
      <x:c r="P12" t="str">
        <x:v>BOTH_NOT_RUN</x:v>
      </x:c>
      <x:c r="Q12" s="21" t="str"/>
      <x:c r="R12" s="21" t="str"/>
      <x:c r="S12" s="21" t="str"/>
      <x:c r="T12" s="17" t="str">
        <x:v>false</x:v>
      </x:c>
      <x:c r="U12" s="17" t="str">
        <x:v>true</x:v>
      </x:c>
      <x:c r="V12" s="17" t="str">
        <x:v>false</x:v>
      </x:c>
    </x:row>
    <x:row r="13" ht="80" customHeight="1">
      <x:c r="A13" s="25" t="str">
        <x:v>Chart</x:v>
      </x:c>
      <x:c r="B13" s="25" t="n">
        <x:v>2</x:v>
      </x:c>
      <x:c r="C13" s="25" t="str">
        <x:v>Round1</x:v>
      </x:c>
      <x:c r="D13" s="25" t="str">
        <x:v>NOT_AVAILABLE</x:v>
      </x:c>
      <x:c r="E13" s="25" t="str">
        <x:v>N/A</x:v>
      </x:c>
      <x:c r="F13" s="26" t="str">
        <x:v>Tests exist but current coverage did not complete</x:v>
      </x:c>
      <x:c r="G13" s="25" t="str">
        <x:v>true</x:v>
      </x:c>
      <x:c r="H13" s="25" t="str">
        <x:v>NOT_AVAILABLE</x:v>
      </x:c>
      <x:c r="I13" s="25" t="str">
        <x:v>NOT_RUN</x:v>
      </x:c>
      <x:c r="J13" s="25" t="str">
        <x:v>NOT_RUN</x:v>
      </x:c>
      <x:c r="K13" s="25" t="n">
        <x:v>1</x:v>
      </x:c>
      <x:c r="L13" s="27" t="b">
        <x:v>0</x:v>
      </x:c>
      <x:c r="M13" s="25" t="str">
        <x:v>Deepseek-flash-v4/state/Round1/shards/Chart.json</x:v>
      </x:c>
      <x:c r="N13" s="25" t="str">
        <x:v>Deepseek-flash-v4/Result/Chart_2/result.json</x:v>
      </x:c>
      <x:c r="O13" s="25" t="str">
        <x:v>Deepseek-flash-v4/Result/Chart_2/result.json</x:v>
      </x:c>
      <x:c r="P13" t="str">
        <x:v>BOTH_NOT_RUN</x:v>
      </x:c>
      <x:c r="Q13" s="21" t="str"/>
      <x:c r="R13" s="21" t="str"/>
      <x:c r="S13" s="21" t="str"/>
      <x:c r="T13" s="17" t="str">
        <x:v>false</x:v>
      </x:c>
      <x:c r="U13" s="17" t="str">
        <x:v>true</x:v>
      </x:c>
      <x:c r="V13" s="17" t="str">
        <x:v>false</x:v>
      </x:c>
    </x:row>
    <x:row r="14" ht="80" customHeight="1">
      <x:c r="A14" s="25" t="str">
        <x:v>Chart</x:v>
      </x:c>
      <x:c r="B14" s="25" t="n">
        <x:v>20</x:v>
      </x:c>
      <x:c r="C14" s="25" t="str">
        <x:v>Round1</x:v>
      </x:c>
      <x:c r="D14" s="25" t="str">
        <x:v>NOT_AVAILABLE</x:v>
      </x:c>
      <x:c r="E14" s="25" t="str">
        <x:v>N/A</x:v>
      </x:c>
      <x:c r="F14" s="26" t="str">
        <x:v>Tests exist but current coverage did not complete</x:v>
      </x:c>
      <x:c r="G14" s="25" t="str">
        <x:v>true</x:v>
      </x:c>
      <x:c r="H14" s="25" t="str">
        <x:v>NOT_AVAILABLE</x:v>
      </x:c>
      <x:c r="I14" s="25" t="str">
        <x:v>NOT_RUN</x:v>
      </x:c>
      <x:c r="J14" s="25" t="str">
        <x:v>NOT_RUN</x:v>
      </x:c>
      <x:c r="K14" s="25" t="n">
        <x:v>1</x:v>
      </x:c>
      <x:c r="L14" s="27" t="b">
        <x:v>0</x:v>
      </x:c>
      <x:c r="M14" s="25" t="str">
        <x:v>Deepseek-flash-v4/state/Round1/shards/Chart.json</x:v>
      </x:c>
      <x:c r="N14" s="25" t="str">
        <x:v>Deepseek-flash-v4/Result/Chart_20/result.json</x:v>
      </x:c>
      <x:c r="O14" s="25" t="str">
        <x:v>Deepseek-flash-v4/Result/Chart_20/result.json</x:v>
      </x:c>
      <x:c r="P14" t="str">
        <x:v>BOTH_NOT_RUN</x:v>
      </x:c>
      <x:c r="Q14" s="21" t="str"/>
      <x:c r="R14" s="21" t="str"/>
      <x:c r="S14" s="21" t="str"/>
      <x:c r="T14" s="17" t="str">
        <x:v>false</x:v>
      </x:c>
      <x:c r="U14" s="17" t="str">
        <x:v>true</x:v>
      </x:c>
      <x:c r="V14" s="17" t="str">
        <x:v>false</x:v>
      </x:c>
    </x:row>
    <x:row r="15" ht="80" customHeight="1">
      <x:c r="A15" s="25" t="str">
        <x:v>Chart</x:v>
      </x:c>
      <x:c r="B15" s="25" t="n">
        <x:v>21</x:v>
      </x:c>
      <x:c r="C15" s="25" t="str">
        <x:v>Round1</x:v>
      </x:c>
      <x:c r="D15" s="25" t="str">
        <x:v>INCONCLUSIVE</x:v>
      </x:c>
      <x:c r="E15" s="25" t="str">
        <x:v>N/A</x:v>
      </x:c>
      <x:c r="F15" s="26" t="str">
        <x:v>Fixed also failed; assertion failure cannot be attributed to this bug</x:v>
      </x:c>
      <x:c r="G15" s="25" t="str">
        <x:v>true</x:v>
      </x:c>
      <x:c r="H15" s="25" t="str">
        <x:v>INCONCLUSIVE</x:v>
      </x:c>
      <x:c r="I15" s="25" t="str">
        <x:v>FAIL</x:v>
      </x:c>
      <x:c r="J15" s="25" t="str">
        <x:v>FAIL</x:v>
      </x:c>
      <x:c r="K15" s="25" t="n">
        <x:v>1</x:v>
      </x:c>
      <x:c r="L15" s="27" t="b">
        <x:v>0</x:v>
      </x:c>
      <x:c r="M15" s="25" t="str">
        <x:v>Deepseek-flash-v4/state/Round1/shards/Chart.json</x:v>
      </x:c>
      <x:c r="N15" s="25" t="str">
        <x:v>Deepseek-flash-v4/Result/Chart_21/result.json</x:v>
      </x:c>
      <x:c r="O15" s="25" t="str">
        <x:v>Deepseek-flash-v4/Result/Chart_21/result.json</x:v>
      </x:c>
      <x:c r="P15"/>
      <x:c r="Q15" s="21" t="str"/>
      <x:c r="R15" s="21" t="str"/>
      <x:c r="S15" s="21" t="str"/>
      <x:c r="T15" s="17" t="str">
        <x:v>false</x:v>
      </x:c>
      <x:c r="U15" s="17" t="str">
        <x:v>true</x:v>
      </x:c>
      <x:c r="V15" s="17" t="str">
        <x:v>false</x:v>
      </x:c>
    </x:row>
    <x:row r="16" ht="80" customHeight="1">
      <x:c r="A16" s="25" t="str">
        <x:v>Chart</x:v>
      </x:c>
      <x:c r="B16" s="25" t="n">
        <x:v>22</x:v>
      </x:c>
      <x:c r="C16" s="25" t="str">
        <x:v>Round1</x:v>
      </x:c>
      <x:c r="D16" s="25" t="str">
        <x:v>INCONCLUSIVE</x:v>
      </x:c>
      <x:c r="E16" s="25" t="str">
        <x:v>N/A</x:v>
      </x:c>
      <x:c r="F16" s="26" t="str">
        <x:v>Fixed also failed; assertion failure cannot be attributed to this bug</x:v>
      </x:c>
      <x:c r="G16" s="25" t="str">
        <x:v>true</x:v>
      </x:c>
      <x:c r="H16" s="25" t="str">
        <x:v>INCONCLUSIVE</x:v>
      </x:c>
      <x:c r="I16" s="25" t="str">
        <x:v>FAIL</x:v>
      </x:c>
      <x:c r="J16" s="25" t="str">
        <x:v>FAIL</x:v>
      </x:c>
      <x:c r="K16" s="25" t="n">
        <x:v>1</x:v>
      </x:c>
      <x:c r="L16" s="27" t="b">
        <x:v>0</x:v>
      </x:c>
      <x:c r="M16" s="25" t="str">
        <x:v>Deepseek-flash-v4/state/Round1/shards/Chart.json</x:v>
      </x:c>
      <x:c r="N16" s="25" t="str">
        <x:v>Deepseek-flash-v4/Result/Chart_22/result.json</x:v>
      </x:c>
      <x:c r="O16" s="25" t="str">
        <x:v>Deepseek-flash-v4/Result/Chart_22/result.json</x:v>
      </x:c>
      <x:c r="P16"/>
      <x:c r="Q16" s="21" t="str"/>
      <x:c r="R16" s="21" t="str"/>
      <x:c r="S16" s="21" t="str"/>
      <x:c r="T16" s="17" t="str">
        <x:v>false</x:v>
      </x:c>
      <x:c r="U16" s="17" t="str">
        <x:v>true</x:v>
      </x:c>
      <x:c r="V16" s="17" t="str">
        <x:v>false</x:v>
      </x:c>
    </x:row>
    <x:row r="17" ht="80" customHeight="1">
      <x:c r="A17" s="25" t="str">
        <x:v>Chart</x:v>
      </x:c>
      <x:c r="B17" s="25" t="n">
        <x:v>23</x:v>
      </x:c>
      <x:c r="C17" s="25" t="str">
        <x:v>Round1</x:v>
      </x:c>
      <x:c r="D17" s="25" t="str">
        <x:v>NOT_AVAILABLE</x:v>
      </x:c>
      <x:c r="E17" s="25" t="str">
        <x:v>N/A</x:v>
      </x:c>
      <x:c r="F17" s="26" t="str">
        <x:v>Tests exist but current coverage did not complete</x:v>
      </x:c>
      <x:c r="G17" s="25" t="str">
        <x:v>true</x:v>
      </x:c>
      <x:c r="H17" s="25" t="str">
        <x:v>NOT_AVAILABLE</x:v>
      </x:c>
      <x:c r="I17" s="25" t="str">
        <x:v>NOT_RUN</x:v>
      </x:c>
      <x:c r="J17" s="25" t="str">
        <x:v>NOT_RUN</x:v>
      </x:c>
      <x:c r="K17" s="25" t="n">
        <x:v>1</x:v>
      </x:c>
      <x:c r="L17" s="27" t="b">
        <x:v>0</x:v>
      </x:c>
      <x:c r="M17" s="25" t="str">
        <x:v>Deepseek-flash-v4/state/Round1/shards/Chart.json</x:v>
      </x:c>
      <x:c r="N17" s="25" t="str">
        <x:v>Deepseek-flash-v4/Result/Chart_23/result.json</x:v>
      </x:c>
      <x:c r="O17" s="25" t="str">
        <x:v>Deepseek-flash-v4/Result/Chart_23/result.json</x:v>
      </x:c>
      <x:c r="P17" t="str">
        <x:v>BOTH_NOT_RUN</x:v>
      </x:c>
      <x:c r="Q17" s="21" t="str"/>
      <x:c r="R17" s="21" t="str"/>
      <x:c r="S17" s="21" t="str"/>
      <x:c r="T17" s="17" t="str">
        <x:v>false</x:v>
      </x:c>
      <x:c r="U17" s="17" t="str">
        <x:v>true</x:v>
      </x:c>
      <x:c r="V17" s="17" t="str">
        <x:v>false</x:v>
      </x:c>
    </x:row>
    <x:row r="18" ht="80" customHeight="1">
      <x:c r="A18" s="25" t="str">
        <x:v>Chart</x:v>
      </x:c>
      <x:c r="B18" s="25" t="n">
        <x:v>24</x:v>
      </x:c>
      <x:c r="C18" s="25" t="str">
        <x:v>Round1</x:v>
      </x:c>
      <x:c r="D18" s="25" t="str">
        <x:v>INCONCLUSIVE</x:v>
      </x:c>
      <x:c r="E18" s="25" t="str">
        <x:v>N/A</x:v>
      </x:c>
      <x:c r="F18" s="26" t="str">
        <x:v>Fixed also failed; assertion failure cannot be attributed to this bug</x:v>
      </x:c>
      <x:c r="G18" s="25" t="str">
        <x:v>true</x:v>
      </x:c>
      <x:c r="H18" s="25" t="str">
        <x:v>INCONCLUSIVE</x:v>
      </x:c>
      <x:c r="I18" s="25" t="str">
        <x:v>FAIL</x:v>
      </x:c>
      <x:c r="J18" s="25" t="str">
        <x:v>FAIL</x:v>
      </x:c>
      <x:c r="K18" s="25" t="n">
        <x:v>1</x:v>
      </x:c>
      <x:c r="L18" s="27" t="b">
        <x:v>0</x:v>
      </x:c>
      <x:c r="M18" s="25" t="str">
        <x:v>Deepseek-flash-v4/state/Round1/shards/Chart.json</x:v>
      </x:c>
      <x:c r="N18" s="25" t="str">
        <x:v>Deepseek-flash-v4/Result/Chart_24/result.json</x:v>
      </x:c>
      <x:c r="O18" s="25" t="str">
        <x:v>Deepseek-flash-v4/Result/Chart_24/result.json</x:v>
      </x:c>
      <x:c r="P18"/>
      <x:c r="Q18" s="21" t="str"/>
      <x:c r="R18" s="21" t="str"/>
      <x:c r="S18" s="21" t="str"/>
      <x:c r="T18" s="17" t="str">
        <x:v>false</x:v>
      </x:c>
      <x:c r="U18" s="17" t="str">
        <x:v>true</x:v>
      </x:c>
      <x:c r="V18" s="17" t="str">
        <x:v>false</x:v>
      </x:c>
    </x:row>
    <x:row r="19" ht="80" customHeight="1">
      <x:c r="A19" s="25" t="str">
        <x:v>Chart</x:v>
      </x:c>
      <x:c r="B19" s="25" t="n">
        <x:v>25</x:v>
      </x:c>
      <x:c r="C19" s="25" t="str">
        <x:v>Round1</x:v>
      </x:c>
      <x:c r="D19" s="25" t="str">
        <x:v>NOT_AVAILABLE</x:v>
      </x:c>
      <x:c r="E19" s="25" t="str">
        <x:v>N/A</x:v>
      </x:c>
      <x:c r="F19" s="26" t="str">
        <x:v>Tests exist but current coverage did not complete</x:v>
      </x:c>
      <x:c r="G19" s="25" t="str">
        <x:v>true</x:v>
      </x:c>
      <x:c r="H19" s="25" t="str">
        <x:v>NOT_AVAILABLE</x:v>
      </x:c>
      <x:c r="I19" s="25" t="str">
        <x:v>NOT_RUN</x:v>
      </x:c>
      <x:c r="J19" s="25" t="str">
        <x:v>NOT_RUN</x:v>
      </x:c>
      <x:c r="K19" s="25" t="n">
        <x:v>1</x:v>
      </x:c>
      <x:c r="L19" s="27" t="b">
        <x:v>0</x:v>
      </x:c>
      <x:c r="M19" s="25" t="str">
        <x:v>Deepseek-flash-v4/state/Round1/shards/Chart.json</x:v>
      </x:c>
      <x:c r="N19" s="25" t="str">
        <x:v>Deepseek-flash-v4/Result/Chart_25/result.json</x:v>
      </x:c>
      <x:c r="O19" s="25" t="str">
        <x:v>Deepseek-flash-v4/Result/Chart_25/result.json</x:v>
      </x:c>
      <x:c r="P19" t="str">
        <x:v>BOTH_NOT_RUN</x:v>
      </x:c>
      <x:c r="Q19" s="21" t="str"/>
      <x:c r="R19" s="21" t="str"/>
      <x:c r="S19" s="21" t="str"/>
      <x:c r="T19" s="17" t="str">
        <x:v>false</x:v>
      </x:c>
      <x:c r="U19" s="17" t="str">
        <x:v>true</x:v>
      </x:c>
      <x:c r="V19" s="17" t="str">
        <x:v>false</x:v>
      </x:c>
    </x:row>
    <x:row r="20" ht="80" customHeight="1">
      <x:c r="A20" s="25" t="str">
        <x:v>Chart</x:v>
      </x:c>
      <x:c r="B20" s="25" t="n">
        <x:v>26</x:v>
      </x:c>
      <x:c r="C20" s="25" t="str">
        <x:v>Round1</x:v>
      </x:c>
      <x:c r="D20" s="25" t="str">
        <x:v>NOT_AVAILABLE</x:v>
      </x:c>
      <x:c r="E20" s="25" t="str">
        <x:v>N/A</x:v>
      </x:c>
      <x:c r="F20" s="26" t="str">
        <x:v>Tests exist but current coverage did not complete</x:v>
      </x:c>
      <x:c r="G20" s="25" t="str">
        <x:v>true</x:v>
      </x:c>
      <x:c r="H20" s="25" t="str">
        <x:v>NOT_AVAILABLE</x:v>
      </x:c>
      <x:c r="I20" s="25" t="str">
        <x:v>NOT_RUN</x:v>
      </x:c>
      <x:c r="J20" s="25" t="str">
        <x:v>NOT_RUN</x:v>
      </x:c>
      <x:c r="K20" s="25" t="n">
        <x:v>1</x:v>
      </x:c>
      <x:c r="L20" s="27" t="b">
        <x:v>0</x:v>
      </x:c>
      <x:c r="M20" s="25" t="str">
        <x:v>Deepseek-flash-v4/state/Round1/shards/Chart.json</x:v>
      </x:c>
      <x:c r="N20" s="25" t="str">
        <x:v>Deepseek-flash-v4/Result/Chart_26/result.json</x:v>
      </x:c>
      <x:c r="O20" s="25" t="str">
        <x:v>Deepseek-flash-v4/Result/Chart_26/result.json</x:v>
      </x:c>
      <x:c r="P20" t="str">
        <x:v>BOTH_NOT_RUN</x:v>
      </x:c>
      <x:c r="Q20" s="21" t="str"/>
      <x:c r="R20" s="21" t="str"/>
      <x:c r="S20" s="21" t="str"/>
      <x:c r="T20" s="17" t="str">
        <x:v>false</x:v>
      </x:c>
      <x:c r="U20" s="17" t="str">
        <x:v>true</x:v>
      </x:c>
      <x:c r="V20" s="17" t="str">
        <x:v>false</x:v>
      </x:c>
    </x:row>
    <x:row r="21" ht="80" customHeight="1">
      <x:c r="A21" s="25" t="str">
        <x:v>Chart</x:v>
      </x:c>
      <x:c r="B21" s="25" t="n">
        <x:v>3</x:v>
      </x:c>
      <x:c r="C21" s="25" t="str">
        <x:v>Round1</x:v>
      </x:c>
      <x:c r="D21" s="25" t="str">
        <x:v>NOT_AVAILABLE</x:v>
      </x:c>
      <x:c r="E21" s="25" t="str">
        <x:v>N/A</x:v>
      </x:c>
      <x:c r="F21" s="26" t="str">
        <x:v>Tests exist but current coverage did not complete</x:v>
      </x:c>
      <x:c r="G21" s="25" t="str">
        <x:v>true</x:v>
      </x:c>
      <x:c r="H21" s="25" t="str">
        <x:v>NOT_AVAILABLE</x:v>
      </x:c>
      <x:c r="I21" s="25" t="str">
        <x:v>NOT_RUN</x:v>
      </x:c>
      <x:c r="J21" s="25" t="str">
        <x:v>NOT_RUN</x:v>
      </x:c>
      <x:c r="K21" s="25" t="n">
        <x:v>1</x:v>
      </x:c>
      <x:c r="L21" s="27" t="b">
        <x:v>0</x:v>
      </x:c>
      <x:c r="M21" s="25" t="str">
        <x:v>Deepseek-flash-v4/state/Round1/shards/Chart.json</x:v>
      </x:c>
      <x:c r="N21" s="25" t="str">
        <x:v>Deepseek-flash-v4/Result/Chart_3/result.json</x:v>
      </x:c>
      <x:c r="O21" s="25" t="str">
        <x:v>Deepseek-flash-v4/Result/Chart_3/result.json</x:v>
      </x:c>
      <x:c r="P21" t="str">
        <x:v>BOTH_NOT_RUN</x:v>
      </x:c>
      <x:c r="Q21" s="21" t="str"/>
      <x:c r="R21" s="21" t="str"/>
      <x:c r="S21" s="21" t="str"/>
      <x:c r="T21" s="17" t="str">
        <x:v>false</x:v>
      </x:c>
      <x:c r="U21" s="17" t="str">
        <x:v>true</x:v>
      </x:c>
      <x:c r="V21" s="17" t="str">
        <x:v>false</x:v>
      </x:c>
    </x:row>
    <x:row r="22" ht="80" customHeight="1">
      <x:c r="A22" s="25" t="str">
        <x:v>Chart</x:v>
      </x:c>
      <x:c r="B22" s="25" t="n">
        <x:v>4</x:v>
      </x:c>
      <x:c r="C22" s="25" t="str">
        <x:v>Round1</x:v>
      </x:c>
      <x:c r="D22" s="25" t="str">
        <x:v>NOT_AVAILABLE</x:v>
      </x:c>
      <x:c r="E22" s="25" t="str">
        <x:v>N/A</x:v>
      </x:c>
      <x:c r="F22" s="26" t="str">
        <x:v>Tests exist but current coverage did not complete</x:v>
      </x:c>
      <x:c r="G22" s="25" t="str">
        <x:v>true</x:v>
      </x:c>
      <x:c r="H22" s="25" t="str">
        <x:v>NOT_AVAILABLE</x:v>
      </x:c>
      <x:c r="I22" s="25" t="str">
        <x:v>NOT_RUN</x:v>
      </x:c>
      <x:c r="J22" s="25" t="str">
        <x:v>NOT_RUN</x:v>
      </x:c>
      <x:c r="K22" s="25" t="n">
        <x:v>1</x:v>
      </x:c>
      <x:c r="L22" s="27" t="b">
        <x:v>0</x:v>
      </x:c>
      <x:c r="M22" s="25" t="str">
        <x:v>Deepseek-flash-v4/state/Round1/shards/Chart.json</x:v>
      </x:c>
      <x:c r="N22" s="25" t="str">
        <x:v>Deepseek-flash-v4/Result/Chart_4/result.json</x:v>
      </x:c>
      <x:c r="O22" s="25" t="str">
        <x:v>Deepseek-flash-v4/Result/Chart_4/result.json</x:v>
      </x:c>
      <x:c r="P22" t="str">
        <x:v>BOTH_NOT_RUN</x:v>
      </x:c>
      <x:c r="Q22" s="21" t="str"/>
      <x:c r="R22" s="21" t="str"/>
      <x:c r="S22" s="21" t="str"/>
      <x:c r="T22" s="17" t="str">
        <x:v>false</x:v>
      </x:c>
      <x:c r="U22" s="17" t="str">
        <x:v>true</x:v>
      </x:c>
      <x:c r="V22" s="17" t="str">
        <x:v>false</x:v>
      </x:c>
    </x:row>
    <x:row r="23" ht="80" customHeight="1">
      <x:c r="A23" s="25" t="str">
        <x:v>Chart</x:v>
      </x:c>
      <x:c r="B23" s="25" t="n">
        <x:v>5</x:v>
      </x:c>
      <x:c r="C23" s="25" t="str">
        <x:v>Round1</x:v>
      </x:c>
      <x:c r="D23" s="25" t="str">
        <x:v>NOT_AVAILABLE</x:v>
      </x:c>
      <x:c r="E23" s="25" t="str">
        <x:v>N/A</x:v>
      </x:c>
      <x:c r="F23" s="26" t="str">
        <x:v>Tests exist but current coverage did not complete</x:v>
      </x:c>
      <x:c r="G23" s="25" t="str">
        <x:v>true</x:v>
      </x:c>
      <x:c r="H23" s="25" t="str">
        <x:v>NOT_AVAILABLE</x:v>
      </x:c>
      <x:c r="I23" s="25" t="str">
        <x:v>NOT_RUN</x:v>
      </x:c>
      <x:c r="J23" s="25" t="str">
        <x:v>NOT_RUN</x:v>
      </x:c>
      <x:c r="K23" s="25" t="n">
        <x:v>1</x:v>
      </x:c>
      <x:c r="L23" s="27" t="b">
        <x:v>0</x:v>
      </x:c>
      <x:c r="M23" s="25" t="str">
        <x:v>Deepseek-flash-v4/state/Round1/shards/Chart.json</x:v>
      </x:c>
      <x:c r="N23" s="25" t="str">
        <x:v>Deepseek-flash-v4/Result/Chart_5/result.json</x:v>
      </x:c>
      <x:c r="O23" s="25" t="str">
        <x:v>Deepseek-flash-v4/Result/Chart_5/result.json</x:v>
      </x:c>
      <x:c r="P23" t="str">
        <x:v>BOTH_NOT_RUN</x:v>
      </x:c>
      <x:c r="Q23" s="21" t="str"/>
      <x:c r="R23" s="21" t="str"/>
      <x:c r="S23" s="21" t="str"/>
      <x:c r="T23" s="17" t="str">
        <x:v>false</x:v>
      </x:c>
      <x:c r="U23" s="17" t="str">
        <x:v>true</x:v>
      </x:c>
      <x:c r="V23" s="17" t="str">
        <x:v>false</x:v>
      </x:c>
    </x:row>
    <x:row r="24" ht="80" customHeight="1">
      <x:c r="A24" s="25" t="str">
        <x:v>Chart</x:v>
      </x:c>
      <x:c r="B24" s="25" t="n">
        <x:v>6</x:v>
      </x:c>
      <x:c r="C24" s="25" t="str">
        <x:v>Round1</x:v>
      </x:c>
      <x:c r="D24" s="25" t="str">
        <x:v>NOT_AVAILABLE</x:v>
      </x:c>
      <x:c r="E24" s="25" t="str">
        <x:v>N/A</x:v>
      </x:c>
      <x:c r="F24" s="26" t="str">
        <x:v>Tests exist but current coverage did not complete</x:v>
      </x:c>
      <x:c r="G24" s="25" t="str">
        <x:v>true</x:v>
      </x:c>
      <x:c r="H24" s="25" t="str">
        <x:v>NOT_AVAILABLE</x:v>
      </x:c>
      <x:c r="I24" s="25" t="str">
        <x:v>NOT_RUN</x:v>
      </x:c>
      <x:c r="J24" s="25" t="str">
        <x:v>NOT_RUN</x:v>
      </x:c>
      <x:c r="K24" s="25" t="n">
        <x:v>1</x:v>
      </x:c>
      <x:c r="L24" s="27" t="b">
        <x:v>0</x:v>
      </x:c>
      <x:c r="M24" s="25" t="str">
        <x:v>Deepseek-flash-v4/state/Round1/shards/Chart.json</x:v>
      </x:c>
      <x:c r="N24" s="25" t="str">
        <x:v>Deepseek-flash-v4/Result/Chart_6/result.json</x:v>
      </x:c>
      <x:c r="O24" s="25" t="str">
        <x:v>Deepseek-flash-v4/Result/Chart_6/result.json</x:v>
      </x:c>
      <x:c r="P24" t="str">
        <x:v>BOTH_NOT_RUN</x:v>
      </x:c>
      <x:c r="Q24" s="21" t="str"/>
      <x:c r="R24" s="21" t="str"/>
      <x:c r="S24" s="21" t="str"/>
      <x:c r="T24" s="17" t="str">
        <x:v>false</x:v>
      </x:c>
      <x:c r="U24" s="17" t="str">
        <x:v>true</x:v>
      </x:c>
      <x:c r="V24" s="17" t="str">
        <x:v>false</x:v>
      </x:c>
    </x:row>
    <x:row r="25" ht="80" customHeight="1">
      <x:c r="A25" s="25" t="str">
        <x:v>Chart</x:v>
      </x:c>
      <x:c r="B25" s="25" t="n">
        <x:v>7</x:v>
      </x:c>
      <x:c r="C25" s="25" t="str">
        <x:v>Round1</x:v>
      </x:c>
      <x:c r="D25" s="25" t="str">
        <x:v>NOT_AVAILABLE</x:v>
      </x:c>
      <x:c r="E25" s="25" t="str">
        <x:v>N/A</x:v>
      </x:c>
      <x:c r="F25" s="26" t="str">
        <x:v>Tests exist but current coverage did not complete</x:v>
      </x:c>
      <x:c r="G25" s="25" t="str">
        <x:v>true</x:v>
      </x:c>
      <x:c r="H25" s="25" t="str">
        <x:v>NOT_AVAILABLE</x:v>
      </x:c>
      <x:c r="I25" s="25" t="str">
        <x:v>NOT_RUN</x:v>
      </x:c>
      <x:c r="J25" s="25" t="str">
        <x:v>NOT_RUN</x:v>
      </x:c>
      <x:c r="K25" s="25" t="n">
        <x:v>1</x:v>
      </x:c>
      <x:c r="L25" s="27" t="b">
        <x:v>0</x:v>
      </x:c>
      <x:c r="M25" s="25" t="str">
        <x:v>Deepseek-flash-v4/state/Round1/shards/Chart.json</x:v>
      </x:c>
      <x:c r="N25" s="25" t="str">
        <x:v>Deepseek-flash-v4/Result/Chart_7/result.json</x:v>
      </x:c>
      <x:c r="O25" s="25" t="str">
        <x:v>Deepseek-flash-v4/Result/Chart_7/result.json</x:v>
      </x:c>
      <x:c r="P25" t="str">
        <x:v>BOTH_NOT_RUN</x:v>
      </x:c>
      <x:c r="Q25" s="21" t="str"/>
      <x:c r="R25" s="21" t="str"/>
      <x:c r="S25" s="21" t="str"/>
      <x:c r="T25" s="17" t="str">
        <x:v>false</x:v>
      </x:c>
      <x:c r="U25" s="17" t="str">
        <x:v>true</x:v>
      </x:c>
      <x:c r="V25" s="17" t="str">
        <x:v>false</x:v>
      </x:c>
    </x:row>
    <x:row r="26" ht="80" customHeight="1">
      <x:c r="A26" s="25" t="str">
        <x:v>Chart</x:v>
      </x:c>
      <x:c r="B26" s="25" t="n">
        <x:v>8</x:v>
      </x:c>
      <x:c r="C26" s="25" t="str">
        <x:v>Round1</x:v>
      </x:c>
      <x:c r="D26" s="25" t="str">
        <x:v>INCONCLUSIVE</x:v>
      </x:c>
      <x:c r="E26" s="25" t="str">
        <x:v>N/A</x:v>
      </x:c>
      <x:c r="F26" s="26" t="str">
        <x:v>Fixed also failed; assertion failure cannot be attributed to this bug</x:v>
      </x:c>
      <x:c r="G26" s="25" t="str">
        <x:v>true</x:v>
      </x:c>
      <x:c r="H26" s="25" t="str">
        <x:v>INCONCLUSIVE</x:v>
      </x:c>
      <x:c r="I26" s="25" t="str">
        <x:v>FAIL</x:v>
      </x:c>
      <x:c r="J26" s="25" t="str">
        <x:v>FAIL</x:v>
      </x:c>
      <x:c r="K26" s="25" t="n">
        <x:v>1</x:v>
      </x:c>
      <x:c r="L26" s="27" t="b">
        <x:v>0</x:v>
      </x:c>
      <x:c r="M26" s="25" t="str">
        <x:v>Deepseek-flash-v4/state/Round1/shards/Chart.json</x:v>
      </x:c>
      <x:c r="N26" s="25" t="str">
        <x:v>Deepseek-flash-v4/Result/Chart_8/result.json</x:v>
      </x:c>
      <x:c r="O26" s="25" t="str">
        <x:v>Deepseek-flash-v4/Result/Chart_8/result.json</x:v>
      </x:c>
      <x:c r="P26"/>
      <x:c r="Q26" s="21" t="str"/>
      <x:c r="R26" s="21" t="str"/>
      <x:c r="S26" s="21" t="str"/>
      <x:c r="T26" s="17" t="str">
        <x:v>false</x:v>
      </x:c>
      <x:c r="U26" s="17" t="str">
        <x:v>true</x:v>
      </x:c>
      <x:c r="V26" s="17" t="str">
        <x:v>false</x:v>
      </x:c>
    </x:row>
    <x:row r="27" ht="80" customHeight="1">
      <x:c r="A27" s="25" t="str">
        <x:v>Chart</x:v>
      </x:c>
      <x:c r="B27" s="25" t="n">
        <x:v>9</x:v>
      </x:c>
      <x:c r="C27" s="25" t="str">
        <x:v>Round1</x:v>
      </x:c>
      <x:c r="D27" s="25" t="str">
        <x:v>NOT_AVAILABLE</x:v>
      </x:c>
      <x:c r="E27" s="25" t="str">
        <x:v>N/A</x:v>
      </x:c>
      <x:c r="F27" s="26" t="str">
        <x:v>Tests exist but current coverage did not complete</x:v>
      </x:c>
      <x:c r="G27" s="25" t="str">
        <x:v>true</x:v>
      </x:c>
      <x:c r="H27" s="25" t="str">
        <x:v>NOT_AVAILABLE</x:v>
      </x:c>
      <x:c r="I27" s="25" t="str">
        <x:v>NOT_RUN</x:v>
      </x:c>
      <x:c r="J27" s="25" t="str">
        <x:v>NOT_RUN</x:v>
      </x:c>
      <x:c r="K27" s="25" t="n">
        <x:v>1</x:v>
      </x:c>
      <x:c r="L27" s="27" t="b">
        <x:v>0</x:v>
      </x:c>
      <x:c r="M27" s="25" t="str">
        <x:v>Deepseek-flash-v4/state/Round1/shards/Chart.json</x:v>
      </x:c>
      <x:c r="N27" s="25" t="str">
        <x:v>Deepseek-flash-v4/Result/Chart_9/result.json</x:v>
      </x:c>
      <x:c r="O27" s="25" t="str">
        <x:v>Deepseek-flash-v4/Result/Chart_9/result.json</x:v>
      </x:c>
      <x:c r="P27" t="str">
        <x:v>BOTH_NOT_RUN</x:v>
      </x:c>
      <x:c r="Q27" s="21" t="str"/>
      <x:c r="R27" s="21" t="str"/>
      <x:c r="S27" s="21" t="str"/>
      <x:c r="T27" s="17" t="str">
        <x:v>false</x:v>
      </x:c>
      <x:c r="U27" s="17" t="str">
        <x:v>true</x:v>
      </x:c>
      <x:c r="V27" s="17" t="str">
        <x:v>false</x:v>
      </x:c>
    </x:row>
    <x:row r="28" ht="80" customHeight="1">
      <x:c r="A28" s="25" t="str">
        <x:v>Cli</x:v>
      </x:c>
      <x:c r="B28" s="25" t="n">
        <x:v>1</x:v>
      </x:c>
      <x:c r="C28" s="25" t="str">
        <x:v>Round1</x:v>
      </x:c>
      <x:c r="D28" s="25" t="str">
        <x:v>NOT_AVAILABLE</x:v>
      </x:c>
      <x:c r="E28" s="25" t="str">
        <x:v>N/A</x:v>
      </x:c>
      <x:c r="F28" s="26" t="str">
        <x:v>Tests exist but current coverage did not complete</x:v>
      </x:c>
      <x:c r="G28" s="25" t="str">
        <x:v>true</x:v>
      </x:c>
      <x:c r="H28" s="25" t="str">
        <x:v>NOT_AVAILABLE</x:v>
      </x:c>
      <x:c r="I28" s="25" t="str">
        <x:v>NOT_RUN</x:v>
      </x:c>
      <x:c r="J28" s="25" t="str">
        <x:v>NOT_RUN</x:v>
      </x:c>
      <x:c r="K28" s="25" t="n">
        <x:v>1</x:v>
      </x:c>
      <x:c r="L28" s="27" t="b">
        <x:v>0</x:v>
      </x:c>
      <x:c r="M28" s="25" t="str">
        <x:v>Deepseek-flash-v4/state/Round1/shards/Cli.json</x:v>
      </x:c>
      <x:c r="N28" s="25" t="str">
        <x:v>Deepseek-flash-v4/Result/Cli_1/result.json</x:v>
      </x:c>
      <x:c r="O28" s="25" t="str">
        <x:v>Deepseek-flash-v4/Result/Cli_1/result.json</x:v>
      </x:c>
      <x:c r="P28" t="str">
        <x:v>BOTH_NOT_RUN</x:v>
      </x:c>
      <x:c r="Q28" s="21" t="str"/>
      <x:c r="R28" s="21" t="str"/>
      <x:c r="S28" s="21" t="str"/>
      <x:c r="T28" s="17" t="str">
        <x:v>false</x:v>
      </x:c>
      <x:c r="U28" s="17" t="str">
        <x:v>true</x:v>
      </x:c>
      <x:c r="V28" s="17" t="str">
        <x:v>false</x:v>
      </x:c>
    </x:row>
    <x:row r="29" ht="80" customHeight="1">
      <x:c r="A29" s="25" t="str">
        <x:v>Cli</x:v>
      </x:c>
      <x:c r="B29" s="25" t="n">
        <x:v>10</x:v>
      </x:c>
      <x:c r="C29" s="25" t="str">
        <x:v>Round1</x:v>
      </x:c>
      <x:c r="D29" s="25" t="str">
        <x:v>NOT_AVAILABLE</x:v>
      </x:c>
      <x:c r="E29" s="25" t="str">
        <x:v>N/A</x:v>
      </x:c>
      <x:c r="F29" s="26" t="str">
        <x:v>Tests exist but current coverage did not complete</x:v>
      </x:c>
      <x:c r="G29" s="25" t="str">
        <x:v>true</x:v>
      </x:c>
      <x:c r="H29" s="25" t="str">
        <x:v>NOT_AVAILABLE</x:v>
      </x:c>
      <x:c r="I29" s="25" t="str">
        <x:v>NOT_RUN</x:v>
      </x:c>
      <x:c r="J29" s="25" t="str">
        <x:v>NOT_RUN</x:v>
      </x:c>
      <x:c r="K29" s="25" t="n">
        <x:v>1</x:v>
      </x:c>
      <x:c r="L29" s="27" t="b">
        <x:v>0</x:v>
      </x:c>
      <x:c r="M29" s="25" t="str">
        <x:v>Deepseek-flash-v4/state/Round1/shards/Cli.json</x:v>
      </x:c>
      <x:c r="N29" s="25" t="str">
        <x:v>Deepseek-flash-v4/Result/Cli_10/result.json</x:v>
      </x:c>
      <x:c r="O29" s="25" t="str">
        <x:v>Deepseek-flash-v4/Result/Cli_10/result.json</x:v>
      </x:c>
      <x:c r="P29" t="str">
        <x:v>BOTH_NOT_RUN</x:v>
      </x:c>
      <x:c r="Q29" s="21" t="str"/>
      <x:c r="R29" s="21" t="str"/>
      <x:c r="S29" s="21" t="str"/>
      <x:c r="T29" s="17" t="str">
        <x:v>false</x:v>
      </x:c>
      <x:c r="U29" s="17" t="str">
        <x:v>true</x:v>
      </x:c>
      <x:c r="V29" s="17" t="str">
        <x:v>false</x:v>
      </x:c>
    </x:row>
    <x:row r="30" ht="80" customHeight="1">
      <x:c r="A30" s="25" t="str">
        <x:v>Cli</x:v>
      </x:c>
      <x:c r="B30" s="25" t="n">
        <x:v>11</x:v>
      </x:c>
      <x:c r="C30" s="25" t="str">
        <x:v>Round1</x:v>
      </x:c>
      <x:c r="D30" s="25" t="str">
        <x:v>NOT_AVAILABLE</x:v>
      </x:c>
      <x:c r="E30" s="25" t="str">
        <x:v>N/A</x:v>
      </x:c>
      <x:c r="F30" s="26" t="str">
        <x:v>Tests exist but current coverage did not complete</x:v>
      </x:c>
      <x:c r="G30" s="25" t="str">
        <x:v>true</x:v>
      </x:c>
      <x:c r="H30" s="25" t="str">
        <x:v>NOT_AVAILABLE</x:v>
      </x:c>
      <x:c r="I30" s="25" t="str">
        <x:v>NOT_RUN</x:v>
      </x:c>
      <x:c r="J30" s="25" t="str">
        <x:v>NOT_RUN</x:v>
      </x:c>
      <x:c r="K30" s="25" t="n">
        <x:v>1</x:v>
      </x:c>
      <x:c r="L30" s="27" t="b">
        <x:v>0</x:v>
      </x:c>
      <x:c r="M30" s="25" t="str">
        <x:v>Deepseek-flash-v4/state/Round1/shards/Cli.json</x:v>
      </x:c>
      <x:c r="N30" s="25" t="str">
        <x:v>Deepseek-flash-v4/Result/Cli_11/result.json</x:v>
      </x:c>
      <x:c r="O30" s="25" t="str">
        <x:v>Deepseek-flash-v4/Result/Cli_11/result.json</x:v>
      </x:c>
      <x:c r="P30" t="str">
        <x:v>BOTH_NOT_RUN</x:v>
      </x:c>
      <x:c r="Q30" s="21" t="str"/>
      <x:c r="R30" s="21" t="str"/>
      <x:c r="S30" s="21" t="str"/>
      <x:c r="T30" s="17" t="str">
        <x:v>false</x:v>
      </x:c>
      <x:c r="U30" s="17" t="str">
        <x:v>true</x:v>
      </x:c>
      <x:c r="V30" s="17" t="str">
        <x:v>false</x:v>
      </x:c>
    </x:row>
    <x:row r="31" ht="80" customHeight="1">
      <x:c r="A31" s="25" t="str">
        <x:v>Cli</x:v>
      </x:c>
      <x:c r="B31" s="25" t="n">
        <x:v>12</x:v>
      </x:c>
      <x:c r="C31" s="25" t="str">
        <x:v>Round1</x:v>
      </x:c>
      <x:c r="D31" s="25" t="str">
        <x:v>INCONCLUSIVE</x:v>
      </x:c>
      <x:c r="E31" s="25" t="str">
        <x:v>N/A</x:v>
      </x:c>
      <x:c r="F31" s="26" t="str">
        <x:v>Fixed also failed; assertion failure cannot be attributed to this bug</x:v>
      </x:c>
      <x:c r="G31" s="25" t="str">
        <x:v>true</x:v>
      </x:c>
      <x:c r="H31" s="25" t="str">
        <x:v>INCONCLUSIVE</x:v>
      </x:c>
      <x:c r="I31" s="25" t="str">
        <x:v>FAIL</x:v>
      </x:c>
      <x:c r="J31" s="25" t="str">
        <x:v>FAIL</x:v>
      </x:c>
      <x:c r="K31" s="25" t="n">
        <x:v>1</x:v>
      </x:c>
      <x:c r="L31" s="27" t="b">
        <x:v>0</x:v>
      </x:c>
      <x:c r="M31" s="25" t="str">
        <x:v>Deepseek-flash-v4/state/Round1/shards/Cli.json</x:v>
      </x:c>
      <x:c r="N31" s="25" t="str">
        <x:v>Deepseek-flash-v4/Result/Cli_12/result.json</x:v>
      </x:c>
      <x:c r="O31" s="25" t="str">
        <x:v>Deepseek-flash-v4/Result/Cli_12/result.json</x:v>
      </x:c>
      <x:c r="P31"/>
      <x:c r="Q31" s="21" t="str"/>
      <x:c r="R31" s="21" t="str"/>
      <x:c r="S31" s="21" t="str"/>
      <x:c r="T31" s="17" t="str">
        <x:v>false</x:v>
      </x:c>
      <x:c r="U31" s="17" t="str">
        <x:v>true</x:v>
      </x:c>
      <x:c r="V31" s="17" t="str">
        <x:v>false</x:v>
      </x:c>
    </x:row>
    <x:row r="32" ht="80" customHeight="1">
      <x:c r="A32" s="25" t="str">
        <x:v>Cli</x:v>
      </x:c>
      <x:c r="B32" s="25" t="n">
        <x:v>13</x:v>
      </x:c>
      <x:c r="C32" s="25" t="str">
        <x:v>Round1</x:v>
      </x:c>
      <x:c r="D32" s="25" t="str">
        <x:v>NOT_AVAILABLE</x:v>
      </x:c>
      <x:c r="E32" s="25" t="str">
        <x:v>N/A</x:v>
      </x:c>
      <x:c r="F32" s="26" t="str">
        <x:v>Tests exist but current coverage did not complete</x:v>
      </x:c>
      <x:c r="G32" s="25" t="str">
        <x:v>true</x:v>
      </x:c>
      <x:c r="H32" s="25" t="str">
        <x:v>NOT_AVAILABLE</x:v>
      </x:c>
      <x:c r="I32" s="25" t="str">
        <x:v>NOT_RUN</x:v>
      </x:c>
      <x:c r="J32" s="25" t="str">
        <x:v>NOT_RUN</x:v>
      </x:c>
      <x:c r="K32" s="25" t="n">
        <x:v>3</x:v>
      </x:c>
      <x:c r="L32" s="27" t="b">
        <x:v>0</x:v>
      </x:c>
      <x:c r="M32" s="25" t="str">
        <x:v>Deepseek-flash-v4/state/Round1/shards/Cli.json</x:v>
      </x:c>
      <x:c r="N32" s="25" t="str">
        <x:v>Deepseek-flash-v4/Result/Cli_13/result.json</x:v>
      </x:c>
      <x:c r="O32" s="25" t="str">
        <x:v>Deepseek-flash-v4/Result/Cli_13/result.json</x:v>
      </x:c>
      <x:c r="P32" t="str">
        <x:v>BOTH_NOT_RUN</x:v>
      </x:c>
      <x:c r="Q32" s="21" t="str"/>
      <x:c r="R32" s="21" t="str"/>
      <x:c r="S32" s="21" t="str"/>
      <x:c r="T32" s="17" t="str">
        <x:v>false</x:v>
      </x:c>
      <x:c r="U32" s="17" t="str">
        <x:v>true</x:v>
      </x:c>
      <x:c r="V32" s="17" t="str">
        <x:v>false</x:v>
      </x:c>
    </x:row>
    <x:row r="33" ht="80" customHeight="1">
      <x:c r="A33" s="25" t="str">
        <x:v>Cli</x:v>
      </x:c>
      <x:c r="B33" s="25" t="n">
        <x:v>14</x:v>
      </x:c>
      <x:c r="C33" s="25" t="str">
        <x:v>Round1</x:v>
      </x:c>
      <x:c r="D33" s="25" t="str">
        <x:v>NOT_AVAILABLE</x:v>
      </x:c>
      <x:c r="E33" s="25" t="str">
        <x:v>N/A</x:v>
      </x:c>
      <x:c r="F33" s="26" t="str">
        <x:v>Tests exist but current coverage did not complete</x:v>
      </x:c>
      <x:c r="G33" s="25" t="str">
        <x:v>true</x:v>
      </x:c>
      <x:c r="H33" s="25" t="str">
        <x:v>NOT_AVAILABLE</x:v>
      </x:c>
      <x:c r="I33" s="25" t="str">
        <x:v>NOT_RUN</x:v>
      </x:c>
      <x:c r="J33" s="25" t="str">
        <x:v>NOT_RUN</x:v>
      </x:c>
      <x:c r="K33" s="25" t="n">
        <x:v>1</x:v>
      </x:c>
      <x:c r="L33" s="27" t="b">
        <x:v>0</x:v>
      </x:c>
      <x:c r="M33" s="25" t="str">
        <x:v>Deepseek-flash-v4/state/Round1/shards/Cli.json</x:v>
      </x:c>
      <x:c r="N33" s="25" t="str">
        <x:v>Deepseek-flash-v4/Result/Cli_14/result.json</x:v>
      </x:c>
      <x:c r="O33" s="25" t="str">
        <x:v>Deepseek-flash-v4/Result/Cli_14/result.json</x:v>
      </x:c>
      <x:c r="P33" t="str">
        <x:v>BOTH_NOT_RUN</x:v>
      </x:c>
      <x:c r="Q33" s="21" t="str"/>
      <x:c r="R33" s="21" t="str"/>
      <x:c r="S33" s="21" t="str"/>
      <x:c r="T33" s="17" t="str">
        <x:v>false</x:v>
      </x:c>
      <x:c r="U33" s="17" t="str">
        <x:v>true</x:v>
      </x:c>
      <x:c r="V33" s="17" t="str">
        <x:v>false</x:v>
      </x:c>
    </x:row>
    <x:row r="34" ht="80" customHeight="1">
      <x:c r="A34" s="25" t="str">
        <x:v>Cli</x:v>
      </x:c>
      <x:c r="B34" s="25" t="n">
        <x:v>15</x:v>
      </x:c>
      <x:c r="C34" s="25" t="str">
        <x:v>Round1</x:v>
      </x:c>
      <x:c r="D34" s="25" t="str">
        <x:v>NOT_AVAILABLE</x:v>
      </x:c>
      <x:c r="E34" s="25" t="str">
        <x:v>N/A</x:v>
      </x:c>
      <x:c r="F34" s="26" t="str">
        <x:v>Tests exist but current coverage did not complete</x:v>
      </x:c>
      <x:c r="G34" s="25" t="str">
        <x:v>true</x:v>
      </x:c>
      <x:c r="H34" s="25" t="str">
        <x:v>NOT_AVAILABLE</x:v>
      </x:c>
      <x:c r="I34" s="25" t="str">
        <x:v>NOT_RUN</x:v>
      </x:c>
      <x:c r="J34" s="25" t="str">
        <x:v>NOT_RUN</x:v>
      </x:c>
      <x:c r="K34" s="25" t="n">
        <x:v>1</x:v>
      </x:c>
      <x:c r="L34" s="27" t="b">
        <x:v>0</x:v>
      </x:c>
      <x:c r="M34" s="25" t="str">
        <x:v>Deepseek-flash-v4/state/Round1/shards/Cli.json</x:v>
      </x:c>
      <x:c r="N34" s="25" t="str">
        <x:v>Deepseek-flash-v4/Result/Cli_15/result.json</x:v>
      </x:c>
      <x:c r="O34" s="25" t="str">
        <x:v>Deepseek-flash-v4/Result/Cli_15/result.json</x:v>
      </x:c>
      <x:c r="P34" t="str">
        <x:v>BOTH_NOT_RUN</x:v>
      </x:c>
      <x:c r="Q34" s="21" t="str"/>
      <x:c r="R34" s="21" t="str"/>
      <x:c r="S34" s="21" t="str"/>
      <x:c r="T34" s="17" t="str">
        <x:v>false</x:v>
      </x:c>
      <x:c r="U34" s="17" t="str">
        <x:v>true</x:v>
      </x:c>
      <x:c r="V34" s="17" t="str">
        <x:v>false</x:v>
      </x:c>
    </x:row>
    <x:row r="35" ht="80" customHeight="1">
      <x:c r="A35" s="25" t="str">
        <x:v>Cli</x:v>
      </x:c>
      <x:c r="B35" s="25" t="n">
        <x:v>16</x:v>
      </x:c>
      <x:c r="C35" s="25" t="str">
        <x:v>Round1</x:v>
      </x:c>
      <x:c r="D35" s="25" t="str">
        <x:v>NOT_AVAILABLE</x:v>
      </x:c>
      <x:c r="E35" s="25" t="str">
        <x:v>N/A</x:v>
      </x:c>
      <x:c r="F35" s="26" t="str">
        <x:v>Tests exist but current coverage did not complete</x:v>
      </x:c>
      <x:c r="G35" s="25" t="str">
        <x:v>true</x:v>
      </x:c>
      <x:c r="H35" s="25" t="str">
        <x:v>NOT_AVAILABLE</x:v>
      </x:c>
      <x:c r="I35" s="25" t="str">
        <x:v>NOT_RUN</x:v>
      </x:c>
      <x:c r="J35" s="25" t="str">
        <x:v>NOT_RUN</x:v>
      </x:c>
      <x:c r="K35" s="25" t="n">
        <x:v>4</x:v>
      </x:c>
      <x:c r="L35" s="27" t="b">
        <x:v>0</x:v>
      </x:c>
      <x:c r="M35" s="25" t="str">
        <x:v>Deepseek-flash-v4/state/Round1/shards/Cli.json</x:v>
      </x:c>
      <x:c r="N35" s="25" t="str">
        <x:v>Deepseek-flash-v4/Result/Cli_16/result.json</x:v>
      </x:c>
      <x:c r="O35" s="25" t="str">
        <x:v>Deepseek-flash-v4/Result/Cli_16/result.json</x:v>
      </x:c>
      <x:c r="P35" t="str">
        <x:v>BOTH_NOT_RUN</x:v>
      </x:c>
      <x:c r="Q35" s="21" t="str"/>
      <x:c r="R35" s="21" t="str"/>
      <x:c r="S35" s="21" t="str"/>
      <x:c r="T35" s="17" t="str">
        <x:v>false</x:v>
      </x:c>
      <x:c r="U35" s="17" t="str">
        <x:v>true</x:v>
      </x:c>
      <x:c r="V35" s="17" t="str">
        <x:v>false</x:v>
      </x:c>
    </x:row>
    <x:row r="36" ht="80" customHeight="1">
      <x:c r="A36" s="25" t="str">
        <x:v>Cli</x:v>
      </x:c>
      <x:c r="B36" s="25" t="n">
        <x:v>17</x:v>
      </x:c>
      <x:c r="C36" s="25" t="str">
        <x:v>Round1</x:v>
      </x:c>
      <x:c r="D36" s="25" t="str">
        <x:v>NOT_AVAILABLE</x:v>
      </x:c>
      <x:c r="E36" s="25" t="str">
        <x:v>N/A</x:v>
      </x:c>
      <x:c r="F36" s="26" t="str">
        <x:v>Tests exist but current coverage did not complete</x:v>
      </x:c>
      <x:c r="G36" s="25" t="str">
        <x:v>true</x:v>
      </x:c>
      <x:c r="H36" s="25" t="str">
        <x:v>NOT_AVAILABLE</x:v>
      </x:c>
      <x:c r="I36" s="25" t="str">
        <x:v>NOT_RUN</x:v>
      </x:c>
      <x:c r="J36" s="25" t="str">
        <x:v>NOT_RUN</x:v>
      </x:c>
      <x:c r="K36" s="25" t="n">
        <x:v>1</x:v>
      </x:c>
      <x:c r="L36" s="27" t="b">
        <x:v>0</x:v>
      </x:c>
      <x:c r="M36" s="25" t="str">
        <x:v>Deepseek-flash-v4/state/Round1/shards/Cli.json</x:v>
      </x:c>
      <x:c r="N36" s="25" t="str">
        <x:v>Deepseek-flash-v4/Result/Cli_17/result.json</x:v>
      </x:c>
      <x:c r="O36" s="25" t="str">
        <x:v>Deepseek-flash-v4/Result/Cli_17/result.json</x:v>
      </x:c>
      <x:c r="P36" t="str">
        <x:v>BOTH_NOT_RUN</x:v>
      </x:c>
      <x:c r="Q36" s="21" t="str"/>
      <x:c r="R36" s="21" t="str"/>
      <x:c r="S36" s="21" t="str"/>
      <x:c r="T36" s="17" t="str">
        <x:v>false</x:v>
      </x:c>
      <x:c r="U36" s="17" t="str">
        <x:v>true</x:v>
      </x:c>
      <x:c r="V36" s="17" t="str">
        <x:v>false</x:v>
      </x:c>
    </x:row>
    <x:row r="37" ht="80" customHeight="1">
      <x:c r="A37" s="25" t="str">
        <x:v>Cli</x:v>
      </x:c>
      <x:c r="B37" s="25" t="n">
        <x:v>18</x:v>
      </x:c>
      <x:c r="C37" s="25" t="str">
        <x:v>Round1</x:v>
      </x:c>
      <x:c r="D37" s="25" t="str">
        <x:v>INCONCLUSIVE</x:v>
      </x:c>
      <x:c r="E37" s="25" t="str">
        <x:v>N/A</x:v>
      </x:c>
      <x:c r="F37" s="26" t="str">
        <x:v>Fixed also failed; assertion failure cannot be attributed to this bug</x:v>
      </x:c>
      <x:c r="G37" s="25" t="str">
        <x:v>true</x:v>
      </x:c>
      <x:c r="H37" s="25" t="str">
        <x:v>INCONCLUSIVE</x:v>
      </x:c>
      <x:c r="I37" s="25" t="str">
        <x:v>FAIL</x:v>
      </x:c>
      <x:c r="J37" s="25" t="str">
        <x:v>FAIL</x:v>
      </x:c>
      <x:c r="K37" s="25" t="n">
        <x:v>1</x:v>
      </x:c>
      <x:c r="L37" s="27" t="b">
        <x:v>0</x:v>
      </x:c>
      <x:c r="M37" s="25" t="str">
        <x:v>Deepseek-flash-v4/state/Round1/shards/Cli.json</x:v>
      </x:c>
      <x:c r="N37" s="25" t="str">
        <x:v>Deepseek-flash-v4/Result/Cli_18/result.json</x:v>
      </x:c>
      <x:c r="O37" s="25" t="str">
        <x:v>Deepseek-flash-v4/Result/Cli_18/result.json</x:v>
      </x:c>
      <x:c r="P37"/>
      <x:c r="Q37" s="21" t="str"/>
      <x:c r="R37" s="21" t="str"/>
      <x:c r="S37" s="21" t="str"/>
      <x:c r="T37" s="17" t="str">
        <x:v>false</x:v>
      </x:c>
      <x:c r="U37" s="17" t="str">
        <x:v>true</x:v>
      </x:c>
      <x:c r="V37" s="17" t="str">
        <x:v>false</x:v>
      </x:c>
    </x:row>
    <x:row r="38" ht="80" customHeight="1">
      <x:c r="A38" s="25" t="str">
        <x:v>Cli</x:v>
      </x:c>
      <x:c r="B38" s="25" t="n">
        <x:v>19</x:v>
      </x:c>
      <x:c r="C38" s="25" t="str">
        <x:v>Round1</x:v>
      </x:c>
      <x:c r="D38" s="25" t="str">
        <x:v>INCONCLUSIVE</x:v>
      </x:c>
      <x:c r="E38" s="25" t="str">
        <x:v>N/A</x:v>
      </x:c>
      <x:c r="F38" s="26" t="str">
        <x:v>Fixed also failed; assertion failure cannot be attributed to this bug</x:v>
      </x:c>
      <x:c r="G38" s="25" t="str">
        <x:v>true</x:v>
      </x:c>
      <x:c r="H38" s="25" t="str">
        <x:v>INCONCLUSIVE</x:v>
      </x:c>
      <x:c r="I38" s="25" t="str">
        <x:v>FAIL</x:v>
      </x:c>
      <x:c r="J38" s="25" t="str">
        <x:v>FAIL</x:v>
      </x:c>
      <x:c r="K38" s="25" t="n">
        <x:v>1</x:v>
      </x:c>
      <x:c r="L38" s="27" t="b">
        <x:v>0</x:v>
      </x:c>
      <x:c r="M38" s="25" t="str">
        <x:v>Deepseek-flash-v4/state/Round1/shards/Cli.json</x:v>
      </x:c>
      <x:c r="N38" s="25" t="str">
        <x:v>Deepseek-flash-v4/Result/Cli_19/result.json</x:v>
      </x:c>
      <x:c r="O38" s="25" t="str">
        <x:v>Deepseek-flash-v4/Result/Cli_19/result.json</x:v>
      </x:c>
      <x:c r="P38"/>
      <x:c r="Q38" s="21" t="str"/>
      <x:c r="R38" s="21" t="str"/>
      <x:c r="S38" s="21" t="str"/>
      <x:c r="T38" s="17" t="str">
        <x:v>false</x:v>
      </x:c>
      <x:c r="U38" s="17" t="str">
        <x:v>true</x:v>
      </x:c>
      <x:c r="V38" s="17" t="str">
        <x:v>false</x:v>
      </x:c>
    </x:row>
    <x:row r="39" ht="80" customHeight="1">
      <x:c r="A39" s="25" t="str">
        <x:v>Cli</x:v>
      </x:c>
      <x:c r="B39" s="25" t="n">
        <x:v>2</x:v>
      </x:c>
      <x:c r="C39" s="25" t="str">
        <x:v>Round1</x:v>
      </x:c>
      <x:c r="D39" s="25" t="str">
        <x:v>INCONCLUSIVE</x:v>
      </x:c>
      <x:c r="E39" s="25" t="str">
        <x:v>N/A</x:v>
      </x:c>
      <x:c r="F39" s="26" t="str">
        <x:v>Fixed also failed; assertion failure cannot be attributed to this bug</x:v>
      </x:c>
      <x:c r="G39" s="25" t="str">
        <x:v>true</x:v>
      </x:c>
      <x:c r="H39" s="25" t="str">
        <x:v>INCONCLUSIVE</x:v>
      </x:c>
      <x:c r="I39" s="25" t="str">
        <x:v>FAIL</x:v>
      </x:c>
      <x:c r="J39" s="25" t="str">
        <x:v>FAIL</x:v>
      </x:c>
      <x:c r="K39" s="25" t="n">
        <x:v>1</x:v>
      </x:c>
      <x:c r="L39" s="27" t="b">
        <x:v>0</x:v>
      </x:c>
      <x:c r="M39" s="25" t="str">
        <x:v>Deepseek-flash-v4/state/Round1/shards/Cli.json</x:v>
      </x:c>
      <x:c r="N39" s="25" t="str">
        <x:v>Deepseek-flash-v4/Result/Cli_2/result.json</x:v>
      </x:c>
      <x:c r="O39" s="25" t="str">
        <x:v>Deepseek-flash-v4/Result/Cli_2/result.json</x:v>
      </x:c>
      <x:c r="P39"/>
      <x:c r="Q39" s="21" t="str"/>
      <x:c r="R39" s="21" t="str"/>
      <x:c r="S39" s="21" t="str"/>
      <x:c r="T39" s="17" t="str">
        <x:v>false</x:v>
      </x:c>
      <x:c r="U39" s="17" t="str">
        <x:v>true</x:v>
      </x:c>
      <x:c r="V39" s="17" t="str">
        <x:v>false</x:v>
      </x:c>
    </x:row>
    <x:row r="40" ht="80" customHeight="1">
      <x:c r="A40" s="25" t="str">
        <x:v>Cli</x:v>
      </x:c>
      <x:c r="B40" s="25" t="n">
        <x:v>20</x:v>
      </x:c>
      <x:c r="C40" s="25" t="str">
        <x:v>Round1</x:v>
      </x:c>
      <x:c r="D40" s="25" t="str">
        <x:v>NOT_AVAILABLE</x:v>
      </x:c>
      <x:c r="E40" s="25" t="str">
        <x:v>N/A</x:v>
      </x:c>
      <x:c r="F40" s="26" t="str">
        <x:v>Tests exist but current coverage did not complete</x:v>
      </x:c>
      <x:c r="G40" s="25" t="str">
        <x:v>true</x:v>
      </x:c>
      <x:c r="H40" s="25" t="str">
        <x:v>NOT_AVAILABLE</x:v>
      </x:c>
      <x:c r="I40" s="25" t="str">
        <x:v>NOT_RUN</x:v>
      </x:c>
      <x:c r="J40" s="25" t="str">
        <x:v>NOT_RUN</x:v>
      </x:c>
      <x:c r="K40" s="25" t="n">
        <x:v>1</x:v>
      </x:c>
      <x:c r="L40" s="27" t="b">
        <x:v>0</x:v>
      </x:c>
      <x:c r="M40" s="25" t="str">
        <x:v>Deepseek-flash-v4/state/Round1/shards/Cli.json</x:v>
      </x:c>
      <x:c r="N40" s="25" t="str">
        <x:v>Deepseek-flash-v4/Result/Cli_20/result.json</x:v>
      </x:c>
      <x:c r="O40" s="25" t="str">
        <x:v>Deepseek-flash-v4/Result/Cli_20/result.json</x:v>
      </x:c>
      <x:c r="P40" t="str">
        <x:v>BOTH_NOT_RUN</x:v>
      </x:c>
      <x:c r="Q40" s="21" t="str"/>
      <x:c r="R40" s="21" t="str"/>
      <x:c r="S40" s="21" t="str"/>
      <x:c r="T40" s="17" t="str">
        <x:v>false</x:v>
      </x:c>
      <x:c r="U40" s="17" t="str">
        <x:v>true</x:v>
      </x:c>
      <x:c r="V40" s="17" t="str">
        <x:v>false</x:v>
      </x:c>
    </x:row>
    <x:row r="41" ht="80" customHeight="1">
      <x:c r="A41" s="25" t="str">
        <x:v>Cli</x:v>
      </x:c>
      <x:c r="B41" s="25" t="n">
        <x:v>21</x:v>
      </x:c>
      <x:c r="C41" s="25" t="str">
        <x:v>Round1</x:v>
      </x:c>
      <x:c r="D41" s="25" t="str">
        <x:v>NOT_AVAILABLE</x:v>
      </x:c>
      <x:c r="E41" s="25" t="str">
        <x:v>N/A</x:v>
      </x:c>
      <x:c r="F41" s="26" t="str">
        <x:v>Tests exist but current coverage did not complete</x:v>
      </x:c>
      <x:c r="G41" s="25" t="str">
        <x:v>true</x:v>
      </x:c>
      <x:c r="H41" s="25" t="str">
        <x:v>NOT_AVAILABLE</x:v>
      </x:c>
      <x:c r="I41" s="25" t="str">
        <x:v>NOT_RUN</x:v>
      </x:c>
      <x:c r="J41" s="25" t="str">
        <x:v>NOT_RUN</x:v>
      </x:c>
      <x:c r="K41" s="25" t="n">
        <x:v>3</x:v>
      </x:c>
      <x:c r="L41" s="27" t="b">
        <x:v>0</x:v>
      </x:c>
      <x:c r="M41" s="25" t="str">
        <x:v>Deepseek-flash-v4/state/Round1/shards/Cli.json</x:v>
      </x:c>
      <x:c r="N41" s="25" t="str">
        <x:v>Deepseek-flash-v4/Result/Cli_21/result.json</x:v>
      </x:c>
      <x:c r="O41" s="25" t="str">
        <x:v>Deepseek-flash-v4/Result/Cli_21/result.json</x:v>
      </x:c>
      <x:c r="P41" t="str">
        <x:v>BOTH_NOT_RUN</x:v>
      </x:c>
      <x:c r="Q41" s="21" t="str"/>
      <x:c r="R41" s="21" t="str"/>
      <x:c r="S41" s="21" t="str"/>
      <x:c r="T41" s="17" t="str">
        <x:v>false</x:v>
      </x:c>
      <x:c r="U41" s="17" t="str">
        <x:v>true</x:v>
      </x:c>
      <x:c r="V41" s="17" t="str">
        <x:v>false</x:v>
      </x:c>
    </x:row>
    <x:row r="42" ht="80" customHeight="1">
      <x:c r="A42" s="25" t="str">
        <x:v>Cli</x:v>
      </x:c>
      <x:c r="B42" s="25" t="n">
        <x:v>22</x:v>
      </x:c>
      <x:c r="C42" s="25" t="str">
        <x:v>Round1</x:v>
      </x:c>
      <x:c r="D42" s="25" t="str">
        <x:v>INCONCLUSIVE</x:v>
      </x:c>
      <x:c r="E42" s="25" t="str">
        <x:v>N/A</x:v>
      </x:c>
      <x:c r="F42" s="26" t="str">
        <x:v>Fixed also failed; assertion failure cannot be attributed to this bug</x:v>
      </x:c>
      <x:c r="G42" s="25" t="str">
        <x:v>true</x:v>
      </x:c>
      <x:c r="H42" s="25" t="str">
        <x:v>INCONCLUSIVE</x:v>
      </x:c>
      <x:c r="I42" s="25" t="str">
        <x:v>FAIL</x:v>
      </x:c>
      <x:c r="J42" s="25" t="str">
        <x:v>FAIL</x:v>
      </x:c>
      <x:c r="K42" s="25" t="n">
        <x:v>1</x:v>
      </x:c>
      <x:c r="L42" s="27" t="b">
        <x:v>0</x:v>
      </x:c>
      <x:c r="M42" s="25" t="str">
        <x:v>Deepseek-flash-v4/state/Round1/shards/Cli.json</x:v>
      </x:c>
      <x:c r="N42" s="25" t="str">
        <x:v>Deepseek-flash-v4/Result/Cli_22/result.json</x:v>
      </x:c>
      <x:c r="O42" s="25" t="str">
        <x:v>Deepseek-flash-v4/Result/Cli_22/result.json</x:v>
      </x:c>
      <x:c r="P42"/>
      <x:c r="Q42" s="21" t="str"/>
      <x:c r="R42" s="21" t="str"/>
      <x:c r="S42" s="21" t="str"/>
      <x:c r="T42" s="17" t="str">
        <x:v>false</x:v>
      </x:c>
      <x:c r="U42" s="17" t="str">
        <x:v>true</x:v>
      </x:c>
      <x:c r="V42" s="17" t="str">
        <x:v>false</x:v>
      </x:c>
    </x:row>
    <x:row r="43" ht="80" customHeight="1">
      <x:c r="A43" s="25" t="str">
        <x:v>Cli</x:v>
      </x:c>
      <x:c r="B43" s="25" t="n">
        <x:v>23</x:v>
      </x:c>
      <x:c r="C43" s="25" t="str">
        <x:v>Round1</x:v>
      </x:c>
      <x:c r="D43" s="25" t="str">
        <x:v>NOT_AVAILABLE</x:v>
      </x:c>
      <x:c r="E43" s="25" t="str">
        <x:v>N/A</x:v>
      </x:c>
      <x:c r="F43" s="26" t="str">
        <x:v>Tests exist but current coverage did not complete</x:v>
      </x:c>
      <x:c r="G43" s="25" t="str">
        <x:v>true</x:v>
      </x:c>
      <x:c r="H43" s="25" t="str">
        <x:v>NOT_AVAILABLE</x:v>
      </x:c>
      <x:c r="I43" s="25" t="str">
        <x:v>NOT_RUN</x:v>
      </x:c>
      <x:c r="J43" s="25" t="str">
        <x:v>NOT_RUN</x:v>
      </x:c>
      <x:c r="K43" s="25" t="n">
        <x:v>1</x:v>
      </x:c>
      <x:c r="L43" s="27" t="b">
        <x:v>0</x:v>
      </x:c>
      <x:c r="M43" s="25" t="str">
        <x:v>Deepseek-flash-v4/state/Round1/shards/Cli.json</x:v>
      </x:c>
      <x:c r="N43" s="25" t="str">
        <x:v>Deepseek-flash-v4/Result/Cli_23/result.json</x:v>
      </x:c>
      <x:c r="O43" s="25" t="str">
        <x:v>Deepseek-flash-v4/Result/Cli_23/result.json</x:v>
      </x:c>
      <x:c r="P43" t="str">
        <x:v>BOTH_NOT_RUN</x:v>
      </x:c>
      <x:c r="Q43" s="21" t="str"/>
      <x:c r="R43" s="21" t="str"/>
      <x:c r="S43" s="21" t="str"/>
      <x:c r="T43" s="17" t="str">
        <x:v>false</x:v>
      </x:c>
      <x:c r="U43" s="17" t="str">
        <x:v>true</x:v>
      </x:c>
      <x:c r="V43" s="17" t="str">
        <x:v>false</x:v>
      </x:c>
    </x:row>
    <x:row r="44" ht="80" customHeight="1">
      <x:c r="A44" s="25" t="str">
        <x:v>Cli</x:v>
      </x:c>
      <x:c r="B44" s="25" t="n">
        <x:v>24</x:v>
      </x:c>
      <x:c r="C44" s="25" t="str">
        <x:v>Round1</x:v>
      </x:c>
      <x:c r="D44" s="25" t="str">
        <x:v>INCONCLUSIVE</x:v>
      </x:c>
      <x:c r="E44" s="25" t="str">
        <x:v>N/A</x:v>
      </x:c>
      <x:c r="F44" s="26" t="str">
        <x:v>Fixed also failed; assertion failure cannot be attributed to this bug</x:v>
      </x:c>
      <x:c r="G44" s="25" t="str">
        <x:v>true</x:v>
      </x:c>
      <x:c r="H44" s="25" t="str">
        <x:v>INCONCLUSIVE</x:v>
      </x:c>
      <x:c r="I44" s="25" t="str">
        <x:v>FAIL</x:v>
      </x:c>
      <x:c r="J44" s="25" t="str">
        <x:v>FAIL</x:v>
      </x:c>
      <x:c r="K44" s="25" t="n">
        <x:v>1</x:v>
      </x:c>
      <x:c r="L44" s="27" t="b">
        <x:v>0</x:v>
      </x:c>
      <x:c r="M44" s="25" t="str">
        <x:v>Deepseek-flash-v4/state/Round1/shards/Cli.json</x:v>
      </x:c>
      <x:c r="N44" s="25" t="str">
        <x:v>Deepseek-flash-v4/Result/Cli_24/result.json</x:v>
      </x:c>
      <x:c r="O44" s="25" t="str">
        <x:v>Deepseek-flash-v4/Result/Cli_24/result.json</x:v>
      </x:c>
      <x:c r="P44"/>
      <x:c r="Q44" s="21" t="str"/>
      <x:c r="R44" s="21" t="str"/>
      <x:c r="S44" s="21" t="str"/>
      <x:c r="T44" s="17" t="str">
        <x:v>false</x:v>
      </x:c>
      <x:c r="U44" s="17" t="str">
        <x:v>true</x:v>
      </x:c>
      <x:c r="V44" s="17" t="str">
        <x:v>false</x:v>
      </x:c>
    </x:row>
    <x:row r="45" ht="80" customHeight="1">
      <x:c r="A45" s="25" t="str">
        <x:v>Cli</x:v>
      </x:c>
      <x:c r="B45" s="25" t="n">
        <x:v>25</x:v>
      </x:c>
      <x:c r="C45" s="25" t="str">
        <x:v>Round1</x:v>
      </x:c>
      <x:c r="D45" s="25" t="str">
        <x:v>NOT_AVAILABLE</x:v>
      </x:c>
      <x:c r="E45" s="25" t="str">
        <x:v>N/A</x:v>
      </x:c>
      <x:c r="F45" s="26" t="str">
        <x:v>Tests exist but current coverage did not complete</x:v>
      </x:c>
      <x:c r="G45" s="25" t="str">
        <x:v>true</x:v>
      </x:c>
      <x:c r="H45" s="25" t="str">
        <x:v>NOT_AVAILABLE</x:v>
      </x:c>
      <x:c r="I45" s="25" t="str">
        <x:v>NOT_RUN</x:v>
      </x:c>
      <x:c r="J45" s="25" t="str">
        <x:v>NOT_RUN</x:v>
      </x:c>
      <x:c r="K45" s="25" t="n">
        <x:v>1</x:v>
      </x:c>
      <x:c r="L45" s="27" t="b">
        <x:v>0</x:v>
      </x:c>
      <x:c r="M45" s="25" t="str">
        <x:v>Deepseek-flash-v4/state/Round1/shards/Cli.json</x:v>
      </x:c>
      <x:c r="N45" s="25" t="str">
        <x:v>Deepseek-flash-v4/Result/Cli_25/result.json</x:v>
      </x:c>
      <x:c r="O45" s="25" t="str">
        <x:v>Deepseek-flash-v4/Result/Cli_25/result.json</x:v>
      </x:c>
      <x:c r="P45" t="str">
        <x:v>BOTH_NOT_RUN</x:v>
      </x:c>
      <x:c r="Q45" s="21" t="str"/>
      <x:c r="R45" s="21" t="str"/>
      <x:c r="S45" s="21" t="str"/>
      <x:c r="T45" s="17" t="str">
        <x:v>false</x:v>
      </x:c>
      <x:c r="U45" s="17" t="str">
        <x:v>true</x:v>
      </x:c>
      <x:c r="V45" s="17" t="str">
        <x:v>false</x:v>
      </x:c>
    </x:row>
    <x:row r="46" ht="80" customHeight="1">
      <x:c r="A46" s="25" t="str">
        <x:v>Cli</x:v>
      </x:c>
      <x:c r="B46" s="25" t="n">
        <x:v>26</x:v>
      </x:c>
      <x:c r="C46" s="25" t="str">
        <x:v>Round1</x:v>
      </x:c>
      <x:c r="D46" s="25" t="str">
        <x:v>NOT_AVAILABLE</x:v>
      </x:c>
      <x:c r="E46" s="25" t="str">
        <x:v>N/A</x:v>
      </x:c>
      <x:c r="F46" s="26" t="str">
        <x:v>Tests exist but current coverage did not complete</x:v>
      </x:c>
      <x:c r="G46" s="25" t="str">
        <x:v>true</x:v>
      </x:c>
      <x:c r="H46" s="25" t="str">
        <x:v>NOT_AVAILABLE</x:v>
      </x:c>
      <x:c r="I46" s="25" t="str">
        <x:v>NOT_RUN</x:v>
      </x:c>
      <x:c r="J46" s="25" t="str">
        <x:v>NOT_RUN</x:v>
      </x:c>
      <x:c r="K46" s="25" t="n">
        <x:v>1</x:v>
      </x:c>
      <x:c r="L46" s="27" t="b">
        <x:v>0</x:v>
      </x:c>
      <x:c r="M46" s="25" t="str">
        <x:v>Deepseek-flash-v4/state/Round1/shards/Cli.json</x:v>
      </x:c>
      <x:c r="N46" s="25" t="str">
        <x:v>Deepseek-flash-v4/Result/Cli_26/result.json</x:v>
      </x:c>
      <x:c r="O46" s="25" t="str">
        <x:v>Deepseek-flash-v4/Result/Cli_26/result.json</x:v>
      </x:c>
      <x:c r="P46" t="str">
        <x:v>BOTH_NOT_RUN</x:v>
      </x:c>
      <x:c r="Q46" s="21" t="str"/>
      <x:c r="R46" s="21" t="str"/>
      <x:c r="S46" s="21" t="str"/>
      <x:c r="T46" s="17" t="str">
        <x:v>false</x:v>
      </x:c>
      <x:c r="U46" s="17" t="str">
        <x:v>true</x:v>
      </x:c>
      <x:c r="V46" s="17" t="str">
        <x:v>false</x:v>
      </x:c>
    </x:row>
    <x:row r="47" ht="80" customHeight="1">
      <x:c r="A47" s="25" t="str">
        <x:v>Cli</x:v>
      </x:c>
      <x:c r="B47" s="25" t="n">
        <x:v>27</x:v>
      </x:c>
      <x:c r="C47" s="25" t="str">
        <x:v>Round1</x:v>
      </x:c>
      <x:c r="D47" s="25" t="str">
        <x:v>INCONCLUSIVE</x:v>
      </x:c>
      <x:c r="E47" s="25" t="str">
        <x:v>N/A</x:v>
      </x:c>
      <x:c r="F47" s="26" t="str">
        <x:v>Fixed also failed; assertion failure cannot be attributed to this bug</x:v>
      </x:c>
      <x:c r="G47" s="25" t="str">
        <x:v>true</x:v>
      </x:c>
      <x:c r="H47" s="25" t="str">
        <x:v>INCONCLUSIVE</x:v>
      </x:c>
      <x:c r="I47" s="25" t="str">
        <x:v>FAIL</x:v>
      </x:c>
      <x:c r="J47" s="25" t="str">
        <x:v>FAIL</x:v>
      </x:c>
      <x:c r="K47" s="25" t="n">
        <x:v>1</x:v>
      </x:c>
      <x:c r="L47" s="27" t="b">
        <x:v>0</x:v>
      </x:c>
      <x:c r="M47" s="25" t="str">
        <x:v>Deepseek-flash-v4/state/Round1/shards/Cli.json</x:v>
      </x:c>
      <x:c r="N47" s="25" t="str">
        <x:v>Deepseek-flash-v4/Result/Cli_27/result.json</x:v>
      </x:c>
      <x:c r="O47" s="25" t="str">
        <x:v>Deepseek-flash-v4/Result/Cli_27/result.json</x:v>
      </x:c>
      <x:c r="P47"/>
      <x:c r="Q47" s="21" t="str"/>
      <x:c r="R47" s="21" t="str"/>
      <x:c r="S47" s="21" t="str"/>
      <x:c r="T47" s="17" t="str">
        <x:v>false</x:v>
      </x:c>
      <x:c r="U47" s="17" t="str">
        <x:v>true</x:v>
      </x:c>
      <x:c r="V47" s="17" t="str">
        <x:v>false</x:v>
      </x:c>
    </x:row>
    <x:row r="48" ht="80" customHeight="1">
      <x:c r="A48" s="25" t="str">
        <x:v>Cli</x:v>
      </x:c>
      <x:c r="B48" s="25" t="n">
        <x:v>28</x:v>
      </x:c>
      <x:c r="C48" s="25" t="str">
        <x:v>Round1</x:v>
      </x:c>
      <x:c r="D48" s="25" t="str">
        <x:v>NOT_AVAILABLE</x:v>
      </x:c>
      <x:c r="E48" s="25" t="str">
        <x:v>N/A</x:v>
      </x:c>
      <x:c r="F48" s="26" t="str">
        <x:v>Tests exist but current coverage did not complete</x:v>
      </x:c>
      <x:c r="G48" s="25" t="str">
        <x:v>true</x:v>
      </x:c>
      <x:c r="H48" s="25" t="str">
        <x:v>NOT_AVAILABLE</x:v>
      </x:c>
      <x:c r="I48" s="25" t="str">
        <x:v>NOT_RUN</x:v>
      </x:c>
      <x:c r="J48" s="25" t="str">
        <x:v>NOT_RUN</x:v>
      </x:c>
      <x:c r="K48" s="25" t="n">
        <x:v>1</x:v>
      </x:c>
      <x:c r="L48" s="27" t="b">
        <x:v>0</x:v>
      </x:c>
      <x:c r="M48" s="25" t="str">
        <x:v>Deepseek-flash-v4/state/Round1/shards/Cli.json</x:v>
      </x:c>
      <x:c r="N48" s="25" t="str">
        <x:v>Deepseek-flash-v4/Result/Cli_28/result.json</x:v>
      </x:c>
      <x:c r="O48" s="25" t="str">
        <x:v>Deepseek-flash-v4/Result/Cli_28/result.json</x:v>
      </x:c>
      <x:c r="P48" t="str">
        <x:v>BOTH_NOT_RUN</x:v>
      </x:c>
      <x:c r="Q48" s="21" t="str"/>
      <x:c r="R48" s="21" t="str"/>
      <x:c r="S48" s="21" t="str"/>
      <x:c r="T48" s="17" t="str">
        <x:v>false</x:v>
      </x:c>
      <x:c r="U48" s="17" t="str">
        <x:v>true</x:v>
      </x:c>
      <x:c r="V48" s="17" t="str">
        <x:v>false</x:v>
      </x:c>
    </x:row>
    <x:row r="49" ht="80" customHeight="1">
      <x:c r="A49" s="25" t="str">
        <x:v>Cli</x:v>
      </x:c>
      <x:c r="B49" s="25" t="n">
        <x:v>29</x:v>
      </x:c>
      <x:c r="C49" s="25" t="str">
        <x:v>Round1</x:v>
      </x:c>
      <x:c r="D49" s="25" t="str">
        <x:v>INCONCLUSIVE</x:v>
      </x:c>
      <x:c r="E49" s="25" t="str">
        <x:v>N/A</x:v>
      </x:c>
      <x:c r="F49" s="26" t="str">
        <x:v>Fixed also failed; assertion failure cannot be attributed to this bug</x:v>
      </x:c>
      <x:c r="G49" s="25" t="str">
        <x:v>true</x:v>
      </x:c>
      <x:c r="H49" s="25" t="str">
        <x:v>INCONCLUSIVE</x:v>
      </x:c>
      <x:c r="I49" s="25" t="str">
        <x:v>FAIL</x:v>
      </x:c>
      <x:c r="J49" s="25" t="str">
        <x:v>FAIL</x:v>
      </x:c>
      <x:c r="K49" s="25" t="n">
        <x:v>1</x:v>
      </x:c>
      <x:c r="L49" s="27" t="b">
        <x:v>0</x:v>
      </x:c>
      <x:c r="M49" s="25" t="str">
        <x:v>Deepseek-flash-v4/state/Round1/shards/Cli.json</x:v>
      </x:c>
      <x:c r="N49" s="25" t="str">
        <x:v>Deepseek-flash-v4/Result/Cli_29/result.json</x:v>
      </x:c>
      <x:c r="O49" s="25" t="str">
        <x:v>Deepseek-flash-v4/Result/Cli_29/result.json</x:v>
      </x:c>
      <x:c r="P49"/>
      <x:c r="Q49" s="21" t="str"/>
      <x:c r="R49" s="21" t="str"/>
      <x:c r="S49" s="21" t="str"/>
      <x:c r="T49" s="17" t="str">
        <x:v>false</x:v>
      </x:c>
      <x:c r="U49" s="17" t="str">
        <x:v>true</x:v>
      </x:c>
      <x:c r="V49" s="17" t="str">
        <x:v>false</x:v>
      </x:c>
    </x:row>
    <x:row r="50" ht="80" customHeight="1">
      <x:c r="A50" s="25" t="str">
        <x:v>Cli</x:v>
      </x:c>
      <x:c r="B50" s="25" t="n">
        <x:v>3</x:v>
      </x:c>
      <x:c r="C50" s="25" t="str">
        <x:v>Round1</x:v>
      </x:c>
      <x:c r="D50" s="25" t="str">
        <x:v>INCONCLUSIVE</x:v>
      </x:c>
      <x:c r="E50" s="25" t="str">
        <x:v>N/A</x:v>
      </x:c>
      <x:c r="F50" s="26" t="str">
        <x:v>Fixed also failed; assertion failure cannot be attributed to this bug</x:v>
      </x:c>
      <x:c r="G50" s="25" t="str">
        <x:v>true</x:v>
      </x:c>
      <x:c r="H50" s="25" t="str">
        <x:v>INCONCLUSIVE</x:v>
      </x:c>
      <x:c r="I50" s="25" t="str">
        <x:v>FAIL</x:v>
      </x:c>
      <x:c r="J50" s="25" t="str">
        <x:v>FAIL</x:v>
      </x:c>
      <x:c r="K50" s="25" t="n">
        <x:v>1</x:v>
      </x:c>
      <x:c r="L50" s="27" t="b">
        <x:v>0</x:v>
      </x:c>
      <x:c r="M50" s="25" t="str">
        <x:v>Deepseek-flash-v4/state/Round1/shards/Cli.json</x:v>
      </x:c>
      <x:c r="N50" s="25" t="str">
        <x:v>Deepseek-flash-v4/Result/Cli_3/result.json</x:v>
      </x:c>
      <x:c r="O50" s="25" t="str">
        <x:v>Deepseek-flash-v4/Result/Cli_3/result.json</x:v>
      </x:c>
      <x:c r="P50"/>
      <x:c r="Q50" s="21" t="str"/>
      <x:c r="R50" s="21" t="str"/>
      <x:c r="S50" s="21" t="str"/>
      <x:c r="T50" s="17" t="str">
        <x:v>false</x:v>
      </x:c>
      <x:c r="U50" s="17" t="str">
        <x:v>true</x:v>
      </x:c>
      <x:c r="V50" s="17" t="str">
        <x:v>false</x:v>
      </x:c>
    </x:row>
    <x:row r="51" ht="80" customHeight="1">
      <x:c r="A51" s="25" t="str">
        <x:v>Cli</x:v>
      </x:c>
      <x:c r="B51" s="25" t="n">
        <x:v>30</x:v>
      </x:c>
      <x:c r="C51" s="25" t="str">
        <x:v>Round1</x:v>
      </x:c>
      <x:c r="D51" s="25" t="str">
        <x:v>NOT_AVAILABLE</x:v>
      </x:c>
      <x:c r="E51" s="25" t="str">
        <x:v>N/A</x:v>
      </x:c>
      <x:c r="F51" s="26" t="str">
        <x:v>Tests exist but current coverage did not complete</x:v>
      </x:c>
      <x:c r="G51" s="25" t="str">
        <x:v>true</x:v>
      </x:c>
      <x:c r="H51" s="25" t="str">
        <x:v>NOT_AVAILABLE</x:v>
      </x:c>
      <x:c r="I51" s="25" t="str">
        <x:v>NOT_RUN</x:v>
      </x:c>
      <x:c r="J51" s="25" t="str">
        <x:v>NOT_RUN</x:v>
      </x:c>
      <x:c r="K51" s="25" t="n">
        <x:v>2</x:v>
      </x:c>
      <x:c r="L51" s="27" t="b">
        <x:v>0</x:v>
      </x:c>
      <x:c r="M51" s="25" t="str">
        <x:v>Deepseek-flash-v4/state/Round1/shards/Cli.json</x:v>
      </x:c>
      <x:c r="N51" s="25" t="str">
        <x:v>Deepseek-flash-v4/Result/Cli_30/result.json</x:v>
      </x:c>
      <x:c r="O51" s="25" t="str">
        <x:v>Deepseek-flash-v4/Result/Cli_30/result.json</x:v>
      </x:c>
      <x:c r="P51" t="str">
        <x:v>BOTH_NOT_RUN</x:v>
      </x:c>
      <x:c r="Q51" s="21" t="str"/>
      <x:c r="R51" s="21" t="str"/>
      <x:c r="S51" s="21" t="str"/>
      <x:c r="T51" s="17" t="str">
        <x:v>false</x:v>
      </x:c>
      <x:c r="U51" s="17" t="str">
        <x:v>true</x:v>
      </x:c>
      <x:c r="V51" s="17" t="str">
        <x:v>false</x:v>
      </x:c>
    </x:row>
    <x:row r="52" ht="80" customHeight="1">
      <x:c r="A52" s="25" t="str">
        <x:v>Cli</x:v>
      </x:c>
      <x:c r="B52" s="25" t="n">
        <x:v>31</x:v>
      </x:c>
      <x:c r="C52" s="25" t="str">
        <x:v>Round1</x:v>
      </x:c>
      <x:c r="D52" s="25" t="str">
        <x:v>NOT_AVAILABLE</x:v>
      </x:c>
      <x:c r="E52" s="25" t="str">
        <x:v>N/A</x:v>
      </x:c>
      <x:c r="F52" s="26" t="str">
        <x:v>Tests exist but current coverage did not complete</x:v>
      </x:c>
      <x:c r="G52" s="25" t="str">
        <x:v>true</x:v>
      </x:c>
      <x:c r="H52" s="25" t="str">
        <x:v>NOT_AVAILABLE</x:v>
      </x:c>
      <x:c r="I52" s="25" t="str">
        <x:v>NOT_RUN</x:v>
      </x:c>
      <x:c r="J52" s="25" t="str">
        <x:v>NOT_RUN</x:v>
      </x:c>
      <x:c r="K52" s="25" t="n">
        <x:v>3</x:v>
      </x:c>
      <x:c r="L52" s="27" t="b">
        <x:v>0</x:v>
      </x:c>
      <x:c r="M52" s="25" t="str">
        <x:v>Deepseek-flash-v4/state/Round1/shards/Cli.json</x:v>
      </x:c>
      <x:c r="N52" s="25" t="str">
        <x:v>Deepseek-flash-v4/Result/Cli_31/result.json</x:v>
      </x:c>
      <x:c r="O52" s="25" t="str">
        <x:v>Deepseek-flash-v4/Result/Cli_31/result.json</x:v>
      </x:c>
      <x:c r="P52" t="str">
        <x:v>BOTH_NOT_RUN</x:v>
      </x:c>
      <x:c r="Q52" s="21" t="str"/>
      <x:c r="R52" s="21" t="str"/>
      <x:c r="S52" s="21" t="str"/>
      <x:c r="T52" s="17" t="str">
        <x:v>false</x:v>
      </x:c>
      <x:c r="U52" s="17" t="str">
        <x:v>true</x:v>
      </x:c>
      <x:c r="V52" s="17" t="str">
        <x:v>false</x:v>
      </x:c>
    </x:row>
    <x:row r="53" ht="80" customHeight="1">
      <x:c r="A53" s="25" t="str">
        <x:v>Cli</x:v>
      </x:c>
      <x:c r="B53" s="25" t="n">
        <x:v>32</x:v>
      </x:c>
      <x:c r="C53" s="25" t="str">
        <x:v>Round1</x:v>
      </x:c>
      <x:c r="D53" s="25" t="str">
        <x:v>NOT_AVAILABLE</x:v>
      </x:c>
      <x:c r="E53" s="25" t="str">
        <x:v>N/A</x:v>
      </x:c>
      <x:c r="F53" s="26" t="str">
        <x:v>Tests exist but current coverage did not complete</x:v>
      </x:c>
      <x:c r="G53" s="25" t="str">
        <x:v>true</x:v>
      </x:c>
      <x:c r="H53" s="25" t="str">
        <x:v>NOT_AVAILABLE</x:v>
      </x:c>
      <x:c r="I53" s="25" t="str">
        <x:v>NOT_RUN</x:v>
      </x:c>
      <x:c r="J53" s="25" t="str">
        <x:v>NOT_RUN</x:v>
      </x:c>
      <x:c r="K53" s="25" t="n">
        <x:v>1</x:v>
      </x:c>
      <x:c r="L53" s="27" t="b">
        <x:v>0</x:v>
      </x:c>
      <x:c r="M53" s="25" t="str">
        <x:v>Deepseek-flash-v4/state/Round1/shards/Cli.json</x:v>
      </x:c>
      <x:c r="N53" s="25" t="str">
        <x:v>Deepseek-flash-v4/Result/Cli_32/result.json</x:v>
      </x:c>
      <x:c r="O53" s="25" t="str">
        <x:v>Deepseek-flash-v4/Result/Cli_32/result.json</x:v>
      </x:c>
      <x:c r="P53" t="str">
        <x:v>BOTH_NOT_RUN</x:v>
      </x:c>
      <x:c r="Q53" s="21" t="str"/>
      <x:c r="R53" s="21" t="str"/>
      <x:c r="S53" s="21" t="str"/>
      <x:c r="T53" s="17" t="str">
        <x:v>false</x:v>
      </x:c>
      <x:c r="U53" s="17" t="str">
        <x:v>true</x:v>
      </x:c>
      <x:c r="V53" s="17" t="str">
        <x:v>false</x:v>
      </x:c>
    </x:row>
    <x:row r="54" ht="80" customHeight="1">
      <x:c r="A54" s="25" t="str">
        <x:v>Cli</x:v>
      </x:c>
      <x:c r="B54" s="25" t="n">
        <x:v>33</x:v>
      </x:c>
      <x:c r="C54" s="25" t="str">
        <x:v>Round1</x:v>
      </x:c>
      <x:c r="D54" s="25" t="str">
        <x:v>INCONCLUSIVE</x:v>
      </x:c>
      <x:c r="E54" s="25" t="str">
        <x:v>N/A</x:v>
      </x:c>
      <x:c r="F54" s="26" t="str">
        <x:v>Fixed also failed; assertion failure cannot be attributed to this bug</x:v>
      </x:c>
      <x:c r="G54" s="25" t="str">
        <x:v>true</x:v>
      </x:c>
      <x:c r="H54" s="25" t="str">
        <x:v>INCONCLUSIVE</x:v>
      </x:c>
      <x:c r="I54" s="25" t="str">
        <x:v>FAIL</x:v>
      </x:c>
      <x:c r="J54" s="25" t="str">
        <x:v>FAIL</x:v>
      </x:c>
      <x:c r="K54" s="25" t="n">
        <x:v>1</x:v>
      </x:c>
      <x:c r="L54" s="27" t="b">
        <x:v>0</x:v>
      </x:c>
      <x:c r="M54" s="25" t="str">
        <x:v>Deepseek-flash-v4/state/Round1/shards/Cli.json</x:v>
      </x:c>
      <x:c r="N54" s="25" t="str">
        <x:v>Deepseek-flash-v4/Result/Cli_33/result.json</x:v>
      </x:c>
      <x:c r="O54" s="25" t="str">
        <x:v>Deepseek-flash-v4/Result/Cli_33/result.json</x:v>
      </x:c>
      <x:c r="P54"/>
      <x:c r="Q54" s="21" t="str"/>
      <x:c r="R54" s="21" t="str"/>
      <x:c r="S54" s="21" t="str"/>
      <x:c r="T54" s="17" t="str">
        <x:v>false</x:v>
      </x:c>
      <x:c r="U54" s="17" t="str">
        <x:v>true</x:v>
      </x:c>
      <x:c r="V54" s="17" t="str">
        <x:v>false</x:v>
      </x:c>
    </x:row>
    <x:row r="55" ht="80" customHeight="1">
      <x:c r="A55" s="25" t="str">
        <x:v>Cli</x:v>
      </x:c>
      <x:c r="B55" s="25" t="n">
        <x:v>34</x:v>
      </x:c>
      <x:c r="C55" s="25" t="str">
        <x:v>Round1</x:v>
      </x:c>
      <x:c r="D55" s="25" t="str">
        <x:v>NOT_AVAILABLE</x:v>
      </x:c>
      <x:c r="E55" s="25" t="str">
        <x:v>N/A</x:v>
      </x:c>
      <x:c r="F55" s="26" t="str">
        <x:v>Tests exist but current coverage did not complete</x:v>
      </x:c>
      <x:c r="G55" s="25" t="str">
        <x:v>true</x:v>
      </x:c>
      <x:c r="H55" s="25" t="str">
        <x:v>NOT_AVAILABLE</x:v>
      </x:c>
      <x:c r="I55" s="25" t="str">
        <x:v>NOT_RUN</x:v>
      </x:c>
      <x:c r="J55" s="25" t="str">
        <x:v>NOT_RUN</x:v>
      </x:c>
      <x:c r="K55" s="25" t="n">
        <x:v>2</x:v>
      </x:c>
      <x:c r="L55" s="27" t="b">
        <x:v>0</x:v>
      </x:c>
      <x:c r="M55" s="25" t="str">
        <x:v>Deepseek-flash-v4/state/Round1/shards/Cli.json</x:v>
      </x:c>
      <x:c r="N55" s="25" t="str">
        <x:v>Deepseek-flash-v4/Result/Cli_34/result.json</x:v>
      </x:c>
      <x:c r="O55" s="25" t="str">
        <x:v>Deepseek-flash-v4/Result/Cli_34/result.json</x:v>
      </x:c>
      <x:c r="P55" t="str">
        <x:v>BOTH_NOT_RUN</x:v>
      </x:c>
      <x:c r="Q55" s="21" t="str"/>
      <x:c r="R55" s="21" t="str"/>
      <x:c r="S55" s="21" t="str"/>
      <x:c r="T55" s="17" t="str">
        <x:v>false</x:v>
      </x:c>
      <x:c r="U55" s="17" t="str">
        <x:v>true</x:v>
      </x:c>
      <x:c r="V55" s="17" t="str">
        <x:v>false</x:v>
      </x:c>
    </x:row>
    <x:row r="56" ht="80" customHeight="1">
      <x:c r="A56" s="25" t="str">
        <x:v>Cli</x:v>
      </x:c>
      <x:c r="B56" s="25" t="n">
        <x:v>35</x:v>
      </x:c>
      <x:c r="C56" s="25" t="str">
        <x:v>Round1</x:v>
      </x:c>
      <x:c r="D56" s="25" t="str">
        <x:v>INCONCLUSIVE</x:v>
      </x:c>
      <x:c r="E56" s="25" t="str">
        <x:v>N/A</x:v>
      </x:c>
      <x:c r="F56" s="26" t="str">
        <x:v>Fixed also failed; assertion failure cannot be attributed to this bug</x:v>
      </x:c>
      <x:c r="G56" s="25" t="str">
        <x:v>true</x:v>
      </x:c>
      <x:c r="H56" s="25" t="str">
        <x:v>INCONCLUSIVE</x:v>
      </x:c>
      <x:c r="I56" s="25" t="str">
        <x:v>FAIL</x:v>
      </x:c>
      <x:c r="J56" s="25" t="str">
        <x:v>FAIL</x:v>
      </x:c>
      <x:c r="K56" s="25" t="n">
        <x:v>1</x:v>
      </x:c>
      <x:c r="L56" s="27" t="b">
        <x:v>0</x:v>
      </x:c>
      <x:c r="M56" s="25" t="str">
        <x:v>Deepseek-flash-v4/state/Round1/shards/Cli.json</x:v>
      </x:c>
      <x:c r="N56" s="25" t="str">
        <x:v>Deepseek-flash-v4/Result/Cli_35/result.json</x:v>
      </x:c>
      <x:c r="O56" s="25" t="str">
        <x:v>Deepseek-flash-v4/Result/Cli_35/result.json</x:v>
      </x:c>
      <x:c r="P56"/>
      <x:c r="Q56" s="21" t="str"/>
      <x:c r="R56" s="21" t="str"/>
      <x:c r="S56" s="21" t="str"/>
      <x:c r="T56" s="17" t="str">
        <x:v>false</x:v>
      </x:c>
      <x:c r="U56" s="17" t="str">
        <x:v>true</x:v>
      </x:c>
      <x:c r="V56" s="17" t="str">
        <x:v>false</x:v>
      </x:c>
    </x:row>
    <x:row r="57" ht="80" customHeight="1">
      <x:c r="A57" s="25" t="str">
        <x:v>Cli</x:v>
      </x:c>
      <x:c r="B57" s="25" t="n">
        <x:v>36</x:v>
      </x:c>
      <x:c r="C57" s="25" t="str">
        <x:v>Round1</x:v>
      </x:c>
      <x:c r="D57" s="25" t="str">
        <x:v>NOT_AVAILABLE</x:v>
      </x:c>
      <x:c r="E57" s="25" t="str">
        <x:v>N/A</x:v>
      </x:c>
      <x:c r="F57" s="26" t="str">
        <x:v>Tests exist but current coverage did not complete</x:v>
      </x:c>
      <x:c r="G57" s="25" t="str">
        <x:v>true</x:v>
      </x:c>
      <x:c r="H57" s="25" t="str">
        <x:v>NOT_AVAILABLE</x:v>
      </x:c>
      <x:c r="I57" s="25" t="str">
        <x:v>NOT_RUN</x:v>
      </x:c>
      <x:c r="J57" s="25" t="str">
        <x:v>NOT_RUN</x:v>
      </x:c>
      <x:c r="K57" s="25" t="n">
        <x:v>2</x:v>
      </x:c>
      <x:c r="L57" s="27" t="b">
        <x:v>0</x:v>
      </x:c>
      <x:c r="M57" s="25" t="str">
        <x:v>Deepseek-flash-v4/state/Round1/shards/Cli.json</x:v>
      </x:c>
      <x:c r="N57" s="25" t="str">
        <x:v>Deepseek-flash-v4/Result/Cli_36/result.json</x:v>
      </x:c>
      <x:c r="O57" s="25" t="str">
        <x:v>Deepseek-flash-v4/Result/Cli_36/result.json</x:v>
      </x:c>
      <x:c r="P57" t="str">
        <x:v>BOTH_NOT_RUN</x:v>
      </x:c>
      <x:c r="Q57" s="21" t="str"/>
      <x:c r="R57" s="21" t="str"/>
      <x:c r="S57" s="21" t="str"/>
      <x:c r="T57" s="17" t="str">
        <x:v>false</x:v>
      </x:c>
      <x:c r="U57" s="17" t="str">
        <x:v>true</x:v>
      </x:c>
      <x:c r="V57" s="17" t="str">
        <x:v>false</x:v>
      </x:c>
    </x:row>
    <x:row r="58" ht="80" customHeight="1">
      <x:c r="A58" s="25" t="str">
        <x:v>Cli</x:v>
      </x:c>
      <x:c r="B58" s="25" t="n">
        <x:v>37</x:v>
      </x:c>
      <x:c r="C58" s="25" t="str">
        <x:v>Round1</x:v>
      </x:c>
      <x:c r="D58" s="25" t="str">
        <x:v>NOT_AVAILABLE</x:v>
      </x:c>
      <x:c r="E58" s="25" t="str">
        <x:v>N/A</x:v>
      </x:c>
      <x:c r="F58" s="26" t="str">
        <x:v>Tests exist but current coverage did not complete</x:v>
      </x:c>
      <x:c r="G58" s="25" t="str">
        <x:v>true</x:v>
      </x:c>
      <x:c r="H58" s="25" t="str">
        <x:v>NOT_AVAILABLE</x:v>
      </x:c>
      <x:c r="I58" s="25" t="str">
        <x:v>NOT_RUN</x:v>
      </x:c>
      <x:c r="J58" s="25" t="str">
        <x:v>NOT_RUN</x:v>
      </x:c>
      <x:c r="K58" s="25" t="n">
        <x:v>1</x:v>
      </x:c>
      <x:c r="L58" s="27" t="b">
        <x:v>0</x:v>
      </x:c>
      <x:c r="M58" s="25" t="str">
        <x:v>Deepseek-flash-v4/state/Round1/shards/Cli.json</x:v>
      </x:c>
      <x:c r="N58" s="25" t="str">
        <x:v>Deepseek-flash-v4/Result/Cli_37/result.json</x:v>
      </x:c>
      <x:c r="O58" s="25" t="str">
        <x:v>Deepseek-flash-v4/Result/Cli_37/result.json</x:v>
      </x:c>
      <x:c r="P58" t="str">
        <x:v>BOTH_NOT_RUN</x:v>
      </x:c>
      <x:c r="Q58" s="21" t="str"/>
      <x:c r="R58" s="21" t="str"/>
      <x:c r="S58" s="21" t="str"/>
      <x:c r="T58" s="17" t="str">
        <x:v>false</x:v>
      </x:c>
      <x:c r="U58" s="17" t="str">
        <x:v>true</x:v>
      </x:c>
      <x:c r="V58" s="17" t="str">
        <x:v>false</x:v>
      </x:c>
    </x:row>
    <x:row r="59" ht="80" customHeight="1">
      <x:c r="A59" s="25" t="str">
        <x:v>Cli</x:v>
      </x:c>
      <x:c r="B59" s="25" t="n">
        <x:v>38</x:v>
      </x:c>
      <x:c r="C59" s="25" t="str">
        <x:v>Round1</x:v>
      </x:c>
      <x:c r="D59" s="25" t="str">
        <x:v>NOT_AVAILABLE</x:v>
      </x:c>
      <x:c r="E59" s="25" t="str">
        <x:v>N/A</x:v>
      </x:c>
      <x:c r="F59" s="26" t="str">
        <x:v>Tests exist but current coverage did not complete</x:v>
      </x:c>
      <x:c r="G59" s="25" t="str">
        <x:v>true</x:v>
      </x:c>
      <x:c r="H59" s="25" t="str">
        <x:v>NOT_AVAILABLE</x:v>
      </x:c>
      <x:c r="I59" s="25" t="str">
        <x:v>NOT_RUN</x:v>
      </x:c>
      <x:c r="J59" s="25" t="str">
        <x:v>NOT_RUN</x:v>
      </x:c>
      <x:c r="K59" s="25" t="n">
        <x:v>1</x:v>
      </x:c>
      <x:c r="L59" s="27" t="b">
        <x:v>0</x:v>
      </x:c>
      <x:c r="M59" s="25" t="str">
        <x:v>Deepseek-flash-v4/state/Round1/shards/Cli.json</x:v>
      </x:c>
      <x:c r="N59" s="25" t="str">
        <x:v>Deepseek-flash-v4/Result/Cli_38/result.json</x:v>
      </x:c>
      <x:c r="O59" s="25" t="str">
        <x:v>Deepseek-flash-v4/Result/Cli_38/result.json</x:v>
      </x:c>
      <x:c r="P59" t="str">
        <x:v>BOTH_NOT_RUN</x:v>
      </x:c>
      <x:c r="Q59" s="21" t="str"/>
      <x:c r="R59" s="21" t="str"/>
      <x:c r="S59" s="21" t="str"/>
      <x:c r="T59" s="17" t="str">
        <x:v>false</x:v>
      </x:c>
      <x:c r="U59" s="17" t="str">
        <x:v>true</x:v>
      </x:c>
      <x:c r="V59" s="17" t="str">
        <x:v>false</x:v>
      </x:c>
    </x:row>
    <x:row r="60" ht="80" customHeight="1">
      <x:c r="A60" s="25" t="str">
        <x:v>Cli</x:v>
      </x:c>
      <x:c r="B60" s="25" t="n">
        <x:v>39</x:v>
      </x:c>
      <x:c r="C60" s="25" t="str">
        <x:v>Round1</x:v>
      </x:c>
      <x:c r="D60" s="25" t="str">
        <x:v>INCONCLUSIVE</x:v>
      </x:c>
      <x:c r="E60" s="25" t="str">
        <x:v>N/A</x:v>
      </x:c>
      <x:c r="F60" s="26" t="str">
        <x:v>Fixed also failed; assertion failure cannot be attributed to this bug</x:v>
      </x:c>
      <x:c r="G60" s="25" t="str">
        <x:v>true</x:v>
      </x:c>
      <x:c r="H60" s="25" t="str">
        <x:v>INCONCLUSIVE</x:v>
      </x:c>
      <x:c r="I60" s="25" t="str">
        <x:v>FAIL</x:v>
      </x:c>
      <x:c r="J60" s="25" t="str">
        <x:v>FAIL</x:v>
      </x:c>
      <x:c r="K60" s="25" t="n">
        <x:v>1</x:v>
      </x:c>
      <x:c r="L60" s="27" t="b">
        <x:v>0</x:v>
      </x:c>
      <x:c r="M60" s="25" t="str">
        <x:v>Deepseek-flash-v4/state/Round1/shards/Cli.json</x:v>
      </x:c>
      <x:c r="N60" s="25" t="str">
        <x:v>Deepseek-flash-v4/Result/Cli_39/result.json</x:v>
      </x:c>
      <x:c r="O60" s="25" t="str">
        <x:v>Deepseek-flash-v4/Result/Cli_39/result.json</x:v>
      </x:c>
      <x:c r="P60"/>
      <x:c r="Q60" s="21" t="str"/>
      <x:c r="R60" s="21" t="str"/>
      <x:c r="S60" s="21" t="str"/>
      <x:c r="T60" s="17" t="str">
        <x:v>false</x:v>
      </x:c>
      <x:c r="U60" s="17" t="str">
        <x:v>true</x:v>
      </x:c>
      <x:c r="V60" s="17" t="str">
        <x:v>false</x:v>
      </x:c>
    </x:row>
    <x:row r="61" ht="80" customHeight="1">
      <x:c r="A61" s="25" t="str">
        <x:v>Cli</x:v>
      </x:c>
      <x:c r="B61" s="25" t="n">
        <x:v>4</x:v>
      </x:c>
      <x:c r="C61" s="25" t="str">
        <x:v>Round1</x:v>
      </x:c>
      <x:c r="D61" s="25" t="str">
        <x:v>INCONCLUSIVE</x:v>
      </x:c>
      <x:c r="E61" s="25" t="str">
        <x:v>N/A</x:v>
      </x:c>
      <x:c r="F61" s="26" t="str">
        <x:v>Fixed also failed; assertion failure cannot be attributed to this bug</x:v>
      </x:c>
      <x:c r="G61" s="25" t="str">
        <x:v>true</x:v>
      </x:c>
      <x:c r="H61" s="25" t="str">
        <x:v>INCONCLUSIVE</x:v>
      </x:c>
      <x:c r="I61" s="25" t="str">
        <x:v>FAIL</x:v>
      </x:c>
      <x:c r="J61" s="25" t="str">
        <x:v>FAIL</x:v>
      </x:c>
      <x:c r="K61" s="25" t="n">
        <x:v>1</x:v>
      </x:c>
      <x:c r="L61" s="27" t="b">
        <x:v>0</x:v>
      </x:c>
      <x:c r="M61" s="25" t="str">
        <x:v>Deepseek-flash-v4/state/Round1/shards/Cli.json</x:v>
      </x:c>
      <x:c r="N61" s="25" t="str">
        <x:v>Deepseek-flash-v4/Result/Cli_4/result.json</x:v>
      </x:c>
      <x:c r="O61" s="25" t="str">
        <x:v>Deepseek-flash-v4/Result/Cli_4/result.json</x:v>
      </x:c>
      <x:c r="P61"/>
      <x:c r="Q61" s="21" t="str"/>
      <x:c r="R61" s="21" t="str"/>
      <x:c r="S61" s="21" t="str"/>
      <x:c r="T61" s="17" t="str">
        <x:v>false</x:v>
      </x:c>
      <x:c r="U61" s="17" t="str">
        <x:v>true</x:v>
      </x:c>
      <x:c r="V61" s="17" t="str">
        <x:v>false</x:v>
      </x:c>
    </x:row>
    <x:row r="62" ht="80" customHeight="1">
      <x:c r="A62" s="25" t="str">
        <x:v>Cli</x:v>
      </x:c>
      <x:c r="B62" s="25" t="n">
        <x:v>40</x:v>
      </x:c>
      <x:c r="C62" s="25" t="str">
        <x:v>Round1</x:v>
      </x:c>
      <x:c r="D62" s="25" t="str">
        <x:v>NOT_AVAILABLE</x:v>
      </x:c>
      <x:c r="E62" s="25" t="str">
        <x:v>N/A</x:v>
      </x:c>
      <x:c r="F62" s="26" t="str">
        <x:v>Tests exist but current coverage did not complete</x:v>
      </x:c>
      <x:c r="G62" s="25" t="str">
        <x:v>true</x:v>
      </x:c>
      <x:c r="H62" s="25" t="str">
        <x:v>NOT_AVAILABLE</x:v>
      </x:c>
      <x:c r="I62" s="25" t="str">
        <x:v>NOT_RUN</x:v>
      </x:c>
      <x:c r="J62" s="25" t="str">
        <x:v>NOT_RUN</x:v>
      </x:c>
      <x:c r="K62" s="25" t="n">
        <x:v>1</x:v>
      </x:c>
      <x:c r="L62" s="27" t="b">
        <x:v>0</x:v>
      </x:c>
      <x:c r="M62" s="25" t="str">
        <x:v>Deepseek-flash-v4/state/Round1/shards/Cli.json</x:v>
      </x:c>
      <x:c r="N62" s="25" t="str">
        <x:v>Deepseek-flash-v4/Result/Cli_40/result.json</x:v>
      </x:c>
      <x:c r="O62" s="25" t="str">
        <x:v>Deepseek-flash-v4/Result/Cli_40/result.json</x:v>
      </x:c>
      <x:c r="P62" t="str">
        <x:v>BOTH_NOT_RUN</x:v>
      </x:c>
      <x:c r="Q62" s="21" t="str"/>
      <x:c r="R62" s="21" t="str"/>
      <x:c r="S62" s="21" t="str"/>
      <x:c r="T62" s="17" t="str">
        <x:v>false</x:v>
      </x:c>
      <x:c r="U62" s="17" t="str">
        <x:v>true</x:v>
      </x:c>
      <x:c r="V62" s="17" t="str">
        <x:v>false</x:v>
      </x:c>
    </x:row>
    <x:row r="63" ht="80" customHeight="1">
      <x:c r="A63" s="25" t="str">
        <x:v>Cli</x:v>
      </x:c>
      <x:c r="B63" s="25" t="n">
        <x:v>5</x:v>
      </x:c>
      <x:c r="C63" s="25" t="str">
        <x:v>Round1</x:v>
      </x:c>
      <x:c r="D63" s="25" t="str">
        <x:v>INCONCLUSIVE</x:v>
      </x:c>
      <x:c r="E63" s="25" t="str">
        <x:v>N/A</x:v>
      </x:c>
      <x:c r="F63" s="26" t="str">
        <x:v>Fixed also failed; assertion failure cannot be attributed to this bug</x:v>
      </x:c>
      <x:c r="G63" s="25" t="str">
        <x:v>true</x:v>
      </x:c>
      <x:c r="H63" s="25" t="str">
        <x:v>INCONCLUSIVE</x:v>
      </x:c>
      <x:c r="I63" s="25" t="str">
        <x:v>FAIL</x:v>
      </x:c>
      <x:c r="J63" s="25" t="str">
        <x:v>FAIL</x:v>
      </x:c>
      <x:c r="K63" s="25" t="n">
        <x:v>1</x:v>
      </x:c>
      <x:c r="L63" s="27" t="b">
        <x:v>0</x:v>
      </x:c>
      <x:c r="M63" s="25" t="str">
        <x:v>Deepseek-flash-v4/state/Round1/shards/Cli.json</x:v>
      </x:c>
      <x:c r="N63" s="25" t="str">
        <x:v>Deepseek-flash-v4/Result/Cli_5/result.json</x:v>
      </x:c>
      <x:c r="O63" s="25" t="str">
        <x:v>Deepseek-flash-v4/Result/Cli_5/result.json</x:v>
      </x:c>
      <x:c r="P63"/>
      <x:c r="Q63" s="21" t="str"/>
      <x:c r="R63" s="21" t="str"/>
      <x:c r="S63" s="21" t="str"/>
      <x:c r="T63" s="17" t="str">
        <x:v>false</x:v>
      </x:c>
      <x:c r="U63" s="17" t="str">
        <x:v>true</x:v>
      </x:c>
      <x:c r="V63" s="17" t="str">
        <x:v>false</x:v>
      </x:c>
    </x:row>
    <x:row r="64" ht="80" customHeight="1">
      <x:c r="A64" s="25" t="str">
        <x:v>Cli</x:v>
      </x:c>
      <x:c r="B64" s="25" t="n">
        <x:v>7</x:v>
      </x:c>
      <x:c r="C64" s="25" t="str">
        <x:v>Round1</x:v>
      </x:c>
      <x:c r="D64" s="25" t="str">
        <x:v>NOT_AVAILABLE</x:v>
      </x:c>
      <x:c r="E64" s="25" t="str">
        <x:v>N/A</x:v>
      </x:c>
      <x:c r="F64" s="26" t="str">
        <x:v>Tests exist but current coverage did not complete</x:v>
      </x:c>
      <x:c r="G64" s="25" t="str">
        <x:v>true</x:v>
      </x:c>
      <x:c r="H64" s="25" t="str">
        <x:v>NOT_AVAILABLE</x:v>
      </x:c>
      <x:c r="I64" s="25" t="str">
        <x:v>NOT_RUN</x:v>
      </x:c>
      <x:c r="J64" s="25" t="str">
        <x:v>NOT_RUN</x:v>
      </x:c>
      <x:c r="K64" s="25" t="n">
        <x:v>1</x:v>
      </x:c>
      <x:c r="L64" s="27" t="b">
        <x:v>0</x:v>
      </x:c>
      <x:c r="M64" s="25" t="str">
        <x:v>Deepseek-flash-v4/state/Round1/shards/Cli.json</x:v>
      </x:c>
      <x:c r="N64" s="25" t="str">
        <x:v>Deepseek-flash-v4/Result/Cli_7/result.json</x:v>
      </x:c>
      <x:c r="O64" s="25" t="str">
        <x:v>Deepseek-flash-v4/Result/Cli_7/result.json</x:v>
      </x:c>
      <x:c r="P64" t="str">
        <x:v>BOTH_NOT_RUN</x:v>
      </x:c>
      <x:c r="Q64" s="21" t="str"/>
      <x:c r="R64" s="21" t="str"/>
      <x:c r="S64" s="21" t="str"/>
      <x:c r="T64" s="17" t="str">
        <x:v>false</x:v>
      </x:c>
      <x:c r="U64" s="17" t="str">
        <x:v>true</x:v>
      </x:c>
      <x:c r="V64" s="17" t="str">
        <x:v>false</x:v>
      </x:c>
    </x:row>
    <x:row r="65" ht="80" customHeight="1">
      <x:c r="A65" s="25" t="str">
        <x:v>Cli</x:v>
      </x:c>
      <x:c r="B65" s="25" t="n">
        <x:v>8</x:v>
      </x:c>
      <x:c r="C65" s="25" t="str">
        <x:v>Round1</x:v>
      </x:c>
      <x:c r="D65" s="25" t="str">
        <x:v>INCONCLUSIVE</x:v>
      </x:c>
      <x:c r="E65" s="25" t="str">
        <x:v>N/A</x:v>
      </x:c>
      <x:c r="F65" s="26" t="str">
        <x:v>Fixed also failed; assertion failure cannot be attributed to this bug</x:v>
      </x:c>
      <x:c r="G65" s="25" t="str">
        <x:v>true</x:v>
      </x:c>
      <x:c r="H65" s="25" t="str">
        <x:v>INCONCLUSIVE</x:v>
      </x:c>
      <x:c r="I65" s="25" t="str">
        <x:v>FAIL</x:v>
      </x:c>
      <x:c r="J65" s="25" t="str">
        <x:v>FAIL</x:v>
      </x:c>
      <x:c r="K65" s="25" t="n">
        <x:v>1</x:v>
      </x:c>
      <x:c r="L65" s="27" t="b">
        <x:v>0</x:v>
      </x:c>
      <x:c r="M65" s="25" t="str">
        <x:v>Deepseek-flash-v4/state/Round1/shards/Cli.json</x:v>
      </x:c>
      <x:c r="N65" s="25" t="str">
        <x:v>Deepseek-flash-v4/Result/Cli_8/result.json</x:v>
      </x:c>
      <x:c r="O65" s="25" t="str">
        <x:v>Deepseek-flash-v4/Result/Cli_8/result.json</x:v>
      </x:c>
      <x:c r="P65"/>
      <x:c r="Q65" s="21" t="str"/>
      <x:c r="R65" s="21" t="str"/>
      <x:c r="S65" s="21" t="str"/>
      <x:c r="T65" s="17" t="str">
        <x:v>false</x:v>
      </x:c>
      <x:c r="U65" s="17" t="str">
        <x:v>true</x:v>
      </x:c>
      <x:c r="V65" s="17" t="str">
        <x:v>false</x:v>
      </x:c>
    </x:row>
    <x:row r="66" ht="80" customHeight="1">
      <x:c r="A66" s="25" t="str">
        <x:v>Cli</x:v>
      </x:c>
      <x:c r="B66" s="25" t="n">
        <x:v>9</x:v>
      </x:c>
      <x:c r="C66" s="25" t="str">
        <x:v>Round1</x:v>
      </x:c>
      <x:c r="D66" s="25" t="str">
        <x:v>NOT_AVAILABLE</x:v>
      </x:c>
      <x:c r="E66" s="25" t="str">
        <x:v>N/A</x:v>
      </x:c>
      <x:c r="F66" s="26" t="str">
        <x:v>Tests exist but current coverage did not complete</x:v>
      </x:c>
      <x:c r="G66" s="25" t="str">
        <x:v>true</x:v>
      </x:c>
      <x:c r="H66" s="25" t="str">
        <x:v>NOT_AVAILABLE</x:v>
      </x:c>
      <x:c r="I66" s="25" t="str">
        <x:v>NOT_RUN</x:v>
      </x:c>
      <x:c r="J66" s="25" t="str">
        <x:v>NOT_RUN</x:v>
      </x:c>
      <x:c r="K66" s="25" t="n">
        <x:v>1</x:v>
      </x:c>
      <x:c r="L66" s="27" t="b">
        <x:v>0</x:v>
      </x:c>
      <x:c r="M66" s="25" t="str">
        <x:v>Deepseek-flash-v4/state/Round1/shards/Cli.json</x:v>
      </x:c>
      <x:c r="N66" s="25" t="str">
        <x:v>Deepseek-flash-v4/Result/Cli_9/result.json</x:v>
      </x:c>
      <x:c r="O66" s="25" t="str">
        <x:v>Deepseek-flash-v4/Result/Cli_9/result.json</x:v>
      </x:c>
      <x:c r="P66" t="str">
        <x:v>BOTH_NOT_RUN</x:v>
      </x:c>
      <x:c r="Q66" s="21" t="str"/>
      <x:c r="R66" s="21" t="str"/>
      <x:c r="S66" s="21" t="str"/>
      <x:c r="T66" s="17" t="str">
        <x:v>false</x:v>
      </x:c>
      <x:c r="U66" s="17" t="str">
        <x:v>true</x:v>
      </x:c>
      <x:c r="V66" s="17" t="str">
        <x:v>false</x:v>
      </x:c>
    </x:row>
    <x:row r="67" ht="80" customHeight="1">
      <x:c r="A67" s="25" t="str">
        <x:v>Closure</x:v>
      </x:c>
      <x:c r="B67" s="25" t="n">
        <x:v>1</x:v>
      </x:c>
      <x:c r="C67" s="25" t="str">
        <x:v>Round1</x:v>
      </x:c>
      <x:c r="D67" s="25" t="str">
        <x:v>NOT_AVAILABLE</x:v>
      </x:c>
      <x:c r="E67" s="25" t="str">
        <x:v>N/A</x:v>
      </x:c>
      <x:c r="F67" s="26" t="str">
        <x:v>Tests exist but current coverage did not complete</x:v>
      </x:c>
      <x:c r="G67" s="25" t="str">
        <x:v>true</x:v>
      </x:c>
      <x:c r="H67" s="25" t="str">
        <x:v>NOT_AVAILABLE</x:v>
      </x:c>
      <x:c r="I67" s="25" t="str">
        <x:v>NOT_RUN</x:v>
      </x:c>
      <x:c r="J67" s="25" t="str">
        <x:v>NOT_RUN</x:v>
      </x:c>
      <x:c r="K67" s="25" t="n">
        <x:v>1</x:v>
      </x:c>
      <x:c r="L67" s="27" t="b">
        <x:v>0</x:v>
      </x:c>
      <x:c r="M67" s="25" t="str">
        <x:v>Deepseek-flash-v4/state/Round1/shards/Closure.json</x:v>
      </x:c>
      <x:c r="N67" s="25" t="str">
        <x:v>Deepseek-flash-v4/Result/Closure_1/result.json</x:v>
      </x:c>
      <x:c r="O67" s="25" t="str">
        <x:v>Deepseek-flash-v4/Result/Closure_1/result.json</x:v>
      </x:c>
      <x:c r="P67" t="str">
        <x:v>BOTH_NOT_RUN</x:v>
      </x:c>
      <x:c r="Q67" s="21" t="str"/>
      <x:c r="R67" s="21" t="str"/>
      <x:c r="S67" s="21" t="str"/>
      <x:c r="T67" s="17" t="str">
        <x:v>false</x:v>
      </x:c>
      <x:c r="U67" s="17" t="str">
        <x:v>true</x:v>
      </x:c>
      <x:c r="V67" s="17" t="str">
        <x:v>false</x:v>
      </x:c>
    </x:row>
    <x:row r="68" ht="80" customHeight="1">
      <x:c r="A68" s="25" t="str">
        <x:v>Closure</x:v>
      </x:c>
      <x:c r="B68" s="25" t="n">
        <x:v>10</x:v>
      </x:c>
      <x:c r="C68" s="25" t="str">
        <x:v>Round1</x:v>
      </x:c>
      <x:c r="D68" s="25" t="str">
        <x:v>NOT_AVAILABLE</x:v>
      </x:c>
      <x:c r="E68" s="25" t="str">
        <x:v>N/A</x:v>
      </x:c>
      <x:c r="F68" s="26" t="str">
        <x:v>Tests exist but current coverage did not complete</x:v>
      </x:c>
      <x:c r="G68" s="25" t="str">
        <x:v>true</x:v>
      </x:c>
      <x:c r="H68" s="25" t="str">
        <x:v>NOT_AVAILABLE</x:v>
      </x:c>
      <x:c r="I68" s="25" t="str">
        <x:v>NOT_RUN</x:v>
      </x:c>
      <x:c r="J68" s="25" t="str">
        <x:v>NOT_RUN</x:v>
      </x:c>
      <x:c r="K68" s="25" t="n">
        <x:v>1</x:v>
      </x:c>
      <x:c r="L68" s="27" t="b">
        <x:v>0</x:v>
      </x:c>
      <x:c r="M68" s="25" t="str">
        <x:v>Deepseek-flash-v4/state/Round1/shards/Closure.json</x:v>
      </x:c>
      <x:c r="N68" s="25" t="str">
        <x:v>Deepseek-flash-v4/Result/Closure_10/result.json</x:v>
      </x:c>
      <x:c r="O68" s="25" t="str">
        <x:v>Deepseek-flash-v4/Result/Closure_10/result.json</x:v>
      </x:c>
      <x:c r="P68" t="str">
        <x:v>BOTH_NOT_RUN</x:v>
      </x:c>
      <x:c r="Q68" s="21" t="str"/>
      <x:c r="R68" s="21" t="str"/>
      <x:c r="S68" s="21" t="str"/>
      <x:c r="T68" s="17" t="str">
        <x:v>false</x:v>
      </x:c>
      <x:c r="U68" s="17" t="str">
        <x:v>true</x:v>
      </x:c>
      <x:c r="V68" s="17" t="str">
        <x:v>false</x:v>
      </x:c>
    </x:row>
    <x:row r="69" ht="80" customHeight="1">
      <x:c r="A69" s="25" t="str">
        <x:v>Closure</x:v>
      </x:c>
      <x:c r="B69" s="25" t="n">
        <x:v>100</x:v>
      </x:c>
      <x:c r="C69" s="25" t="str">
        <x:v>Round1</x:v>
      </x:c>
      <x:c r="D69" s="25" t="str">
        <x:v>NOT_AVAILABLE</x:v>
      </x:c>
      <x:c r="E69" s="25" t="str">
        <x:v>N/A</x:v>
      </x:c>
      <x:c r="F69" s="26" t="str">
        <x:v>Tests exist but current coverage did not complete</x:v>
      </x:c>
      <x:c r="G69" s="25" t="str">
        <x:v>true</x:v>
      </x:c>
      <x:c r="H69" s="25" t="str">
        <x:v>NOT_AVAILABLE</x:v>
      </x:c>
      <x:c r="I69" s="25" t="str">
        <x:v>NOT_RUN</x:v>
      </x:c>
      <x:c r="J69" s="25" t="str">
        <x:v>NOT_RUN</x:v>
      </x:c>
      <x:c r="K69" s="25" t="n">
        <x:v>1</x:v>
      </x:c>
      <x:c r="L69" s="27" t="b">
        <x:v>0</x:v>
      </x:c>
      <x:c r="M69" s="25" t="str">
        <x:v>Deepseek-flash-v4/state/Round1/shards/Closure.json</x:v>
      </x:c>
      <x:c r="N69" s="25" t="str">
        <x:v>Deepseek-flash-v4/Result/Closure_100/result.json</x:v>
      </x:c>
      <x:c r="O69" s="25" t="str">
        <x:v>Deepseek-flash-v4/Result/Closure_100/result.json</x:v>
      </x:c>
      <x:c r="P69" t="str">
        <x:v>BOTH_NOT_RUN</x:v>
      </x:c>
      <x:c r="Q69" s="21" t="str"/>
      <x:c r="R69" s="21" t="str"/>
      <x:c r="S69" s="21" t="str"/>
      <x:c r="T69" s="17" t="str">
        <x:v>false</x:v>
      </x:c>
      <x:c r="U69" s="17" t="str">
        <x:v>true</x:v>
      </x:c>
      <x:c r="V69" s="17" t="str">
        <x:v>false</x:v>
      </x:c>
    </x:row>
    <x:row r="70" ht="80" customHeight="1">
      <x:c r="A70" s="25" t="str">
        <x:v>Closure</x:v>
      </x:c>
      <x:c r="B70" s="25" t="n">
        <x:v>101</x:v>
      </x:c>
      <x:c r="C70" s="25" t="str">
        <x:v>Round1</x:v>
      </x:c>
      <x:c r="D70" s="25" t="str">
        <x:v>NOT_AVAILABLE</x:v>
      </x:c>
      <x:c r="E70" s="25" t="str">
        <x:v>N/A</x:v>
      </x:c>
      <x:c r="F70" s="26" t="str">
        <x:v>Tests exist but current coverage did not complete</x:v>
      </x:c>
      <x:c r="G70" s="25" t="str">
        <x:v>true</x:v>
      </x:c>
      <x:c r="H70" s="25" t="str">
        <x:v>NOT_AVAILABLE</x:v>
      </x:c>
      <x:c r="I70" s="25" t="str">
        <x:v>NOT_RUN</x:v>
      </x:c>
      <x:c r="J70" s="25" t="str">
        <x:v>NOT_RUN</x:v>
      </x:c>
      <x:c r="K70" s="25" t="n">
        <x:v>1</x:v>
      </x:c>
      <x:c r="L70" s="27" t="b">
        <x:v>0</x:v>
      </x:c>
      <x:c r="M70" s="25" t="str">
        <x:v>Deepseek-flash-v4/state/Round1/shards/Closure.json</x:v>
      </x:c>
      <x:c r="N70" s="25" t="str">
        <x:v>Deepseek-flash-v4/Result/Closure_101/result.json</x:v>
      </x:c>
      <x:c r="O70" s="25" t="str">
        <x:v>Deepseek-flash-v4/Result/Closure_101/result.json</x:v>
      </x:c>
      <x:c r="P70" t="str">
        <x:v>BOTH_NOT_RUN</x:v>
      </x:c>
      <x:c r="Q70" s="21" t="str"/>
      <x:c r="R70" s="21" t="str"/>
      <x:c r="S70" s="21" t="str"/>
      <x:c r="T70" s="17" t="str">
        <x:v>false</x:v>
      </x:c>
      <x:c r="U70" s="17" t="str">
        <x:v>true</x:v>
      </x:c>
      <x:c r="V70" s="17" t="str">
        <x:v>false</x:v>
      </x:c>
    </x:row>
    <x:row r="71" ht="80" customHeight="1">
      <x:c r="A71" s="25" t="str">
        <x:v>Closure</x:v>
      </x:c>
      <x:c r="B71" s="25" t="n">
        <x:v>102</x:v>
      </x:c>
      <x:c r="C71" s="25" t="str">
        <x:v>Round1</x:v>
      </x:c>
      <x:c r="D71" s="25" t="str">
        <x:v>NOT_AVAILABLE</x:v>
      </x:c>
      <x:c r="E71" s="25" t="str">
        <x:v>N/A</x:v>
      </x:c>
      <x:c r="F71" s="26" t="str">
        <x:v>Tests exist but current coverage did not complete</x:v>
      </x:c>
      <x:c r="G71" s="25" t="str">
        <x:v>true</x:v>
      </x:c>
      <x:c r="H71" s="25" t="str">
        <x:v>NOT_AVAILABLE</x:v>
      </x:c>
      <x:c r="I71" s="25" t="str">
        <x:v>NOT_RUN</x:v>
      </x:c>
      <x:c r="J71" s="25" t="str">
        <x:v>NOT_RUN</x:v>
      </x:c>
      <x:c r="K71" s="25" t="n">
        <x:v>1</x:v>
      </x:c>
      <x:c r="L71" s="27" t="b">
        <x:v>0</x:v>
      </x:c>
      <x:c r="M71" s="25" t="str">
        <x:v>Deepseek-flash-v4/state/Round1/shards/Closure.json</x:v>
      </x:c>
      <x:c r="N71" s="25" t="str">
        <x:v>Deepseek-flash-v4/Result/Closure_102/result.json</x:v>
      </x:c>
      <x:c r="O71" s="25" t="str">
        <x:v>Deepseek-flash-v4/Result/Closure_102/result.json</x:v>
      </x:c>
      <x:c r="P71" t="str">
        <x:v>BOTH_NOT_RUN</x:v>
      </x:c>
      <x:c r="Q71" s="21" t="str"/>
      <x:c r="R71" s="21" t="str"/>
      <x:c r="S71" s="21" t="str"/>
      <x:c r="T71" s="17" t="str">
        <x:v>false</x:v>
      </x:c>
      <x:c r="U71" s="17" t="str">
        <x:v>true</x:v>
      </x:c>
      <x:c r="V71" s="17" t="str">
        <x:v>false</x:v>
      </x:c>
    </x:row>
    <x:row r="72" ht="80" customHeight="1">
      <x:c r="A72" s="25" t="str">
        <x:v>Closure</x:v>
      </x:c>
      <x:c r="B72" s="25" t="n">
        <x:v>103</x:v>
      </x:c>
      <x:c r="C72" s="25" t="str">
        <x:v>Round1</x:v>
      </x:c>
      <x:c r="D72" s="25" t="str">
        <x:v>NOT_AVAILABLE</x:v>
      </x:c>
      <x:c r="E72" s="25" t="str">
        <x:v>N/A</x:v>
      </x:c>
      <x:c r="F72" s="26" t="str">
        <x:v>Tests exist but current coverage did not complete</x:v>
      </x:c>
      <x:c r="G72" s="25" t="str">
        <x:v>true</x:v>
      </x:c>
      <x:c r="H72" s="25" t="str">
        <x:v>NOT_AVAILABLE</x:v>
      </x:c>
      <x:c r="I72" s="25" t="str">
        <x:v>NOT_RUN</x:v>
      </x:c>
      <x:c r="J72" s="25" t="str">
        <x:v>NOT_RUN</x:v>
      </x:c>
      <x:c r="K72" s="25" t="n">
        <x:v>2</x:v>
      </x:c>
      <x:c r="L72" s="27" t="b">
        <x:v>0</x:v>
      </x:c>
      <x:c r="M72" s="25" t="str">
        <x:v>Deepseek-flash-v4/state/Round1/shards/Closure.json</x:v>
      </x:c>
      <x:c r="N72" s="25" t="str">
        <x:v>Deepseek-flash-v4/Result/Closure_103/result.json</x:v>
      </x:c>
      <x:c r="O72" s="25" t="str">
        <x:v>Deepseek-flash-v4/Result/Closure_103/result.json</x:v>
      </x:c>
      <x:c r="P72" t="str">
        <x:v>BOTH_NOT_RUN</x:v>
      </x:c>
      <x:c r="Q72" s="21" t="str"/>
      <x:c r="R72" s="21" t="str"/>
      <x:c r="S72" s="21" t="str"/>
      <x:c r="T72" s="17" t="str">
        <x:v>false</x:v>
      </x:c>
      <x:c r="U72" s="17" t="str">
        <x:v>true</x:v>
      </x:c>
      <x:c r="V72" s="17" t="str">
        <x:v>false</x:v>
      </x:c>
    </x:row>
    <x:row r="73" ht="80" customHeight="1">
      <x:c r="A73" s="25" t="str">
        <x:v>Closure</x:v>
      </x:c>
      <x:c r="B73" s="25" t="n">
        <x:v>104</x:v>
      </x:c>
      <x:c r="C73" s="25" t="str">
        <x:v>Round1</x:v>
      </x:c>
      <x:c r="D73" s="25" t="str">
        <x:v>NOT_AVAILABLE</x:v>
      </x:c>
      <x:c r="E73" s="25" t="str">
        <x:v>N/A</x:v>
      </x:c>
      <x:c r="F73" s="26" t="str">
        <x:v>Tests exist but current coverage did not complete</x:v>
      </x:c>
      <x:c r="G73" s="25" t="str">
        <x:v>true</x:v>
      </x:c>
      <x:c r="H73" s="25" t="str">
        <x:v>NOT_AVAILABLE</x:v>
      </x:c>
      <x:c r="I73" s="25" t="str">
        <x:v>NOT_RUN</x:v>
      </x:c>
      <x:c r="J73" s="25" t="str">
        <x:v>NOT_RUN</x:v>
      </x:c>
      <x:c r="K73" s="25" t="n">
        <x:v>1</x:v>
      </x:c>
      <x:c r="L73" s="27" t="b">
        <x:v>0</x:v>
      </x:c>
      <x:c r="M73" s="25" t="str">
        <x:v>Deepseek-flash-v4/state/Round1/shards/Closure.json</x:v>
      </x:c>
      <x:c r="N73" s="25" t="str">
        <x:v>Deepseek-flash-v4/Result/Closure_104/result.json</x:v>
      </x:c>
      <x:c r="O73" s="25" t="str">
        <x:v>Deepseek-flash-v4/Result/Closure_104/result.json</x:v>
      </x:c>
      <x:c r="P73" t="str">
        <x:v>BOTH_NOT_RUN</x:v>
      </x:c>
      <x:c r="Q73" s="21" t="str"/>
      <x:c r="R73" s="21" t="str"/>
      <x:c r="S73" s="21" t="str"/>
      <x:c r="T73" s="17" t="str">
        <x:v>false</x:v>
      </x:c>
      <x:c r="U73" s="17" t="str">
        <x:v>true</x:v>
      </x:c>
      <x:c r="V73" s="17" t="str">
        <x:v>false</x:v>
      </x:c>
    </x:row>
    <x:row r="74" ht="80" customHeight="1">
      <x:c r="A74" s="25" t="str">
        <x:v>Closure</x:v>
      </x:c>
      <x:c r="B74" s="25" t="n">
        <x:v>105</x:v>
      </x:c>
      <x:c r="C74" s="25" t="str">
        <x:v>Round1</x:v>
      </x:c>
      <x:c r="D74" s="25" t="str">
        <x:v>NOT_AVAILABLE</x:v>
      </x:c>
      <x:c r="E74" s="25" t="str">
        <x:v>N/A</x:v>
      </x:c>
      <x:c r="F74" s="26" t="str">
        <x:v>Tests exist but current coverage did not complete</x:v>
      </x:c>
      <x:c r="G74" s="25" t="str">
        <x:v>true</x:v>
      </x:c>
      <x:c r="H74" s="25" t="str">
        <x:v>NOT_AVAILABLE</x:v>
      </x:c>
      <x:c r="I74" s="25" t="str">
        <x:v>NOT_RUN</x:v>
      </x:c>
      <x:c r="J74" s="25" t="str">
        <x:v>NOT_RUN</x:v>
      </x:c>
      <x:c r="K74" s="25" t="n">
        <x:v>1</x:v>
      </x:c>
      <x:c r="L74" s="27" t="b">
        <x:v>0</x:v>
      </x:c>
      <x:c r="M74" s="25" t="str">
        <x:v>Deepseek-flash-v4/state/Round1/shards/Closure.json</x:v>
      </x:c>
      <x:c r="N74" s="25" t="str">
        <x:v>Deepseek-flash-v4/Result/Closure_105/result.json</x:v>
      </x:c>
      <x:c r="O74" s="25" t="str">
        <x:v>Deepseek-flash-v4/Result/Closure_105/result.json</x:v>
      </x:c>
      <x:c r="P74" t="str">
        <x:v>BOTH_NOT_RUN</x:v>
      </x:c>
      <x:c r="Q74" s="21" t="str"/>
      <x:c r="R74" s="21" t="str"/>
      <x:c r="S74" s="21" t="str"/>
      <x:c r="T74" s="17" t="str">
        <x:v>false</x:v>
      </x:c>
      <x:c r="U74" s="17" t="str">
        <x:v>true</x:v>
      </x:c>
      <x:c r="V74" s="17" t="str">
        <x:v>false</x:v>
      </x:c>
    </x:row>
    <x:row r="75" ht="80" customHeight="1">
      <x:c r="A75" s="25" t="str">
        <x:v>Closure</x:v>
      </x:c>
      <x:c r="B75" s="25" t="n">
        <x:v>106</x:v>
      </x:c>
      <x:c r="C75" s="25" t="str">
        <x:v>Round1</x:v>
      </x:c>
      <x:c r="D75" s="25" t="str">
        <x:v>NOT_AVAILABLE</x:v>
      </x:c>
      <x:c r="E75" s="25" t="str">
        <x:v>N/A</x:v>
      </x:c>
      <x:c r="F75" s="26" t="str">
        <x:v>Tests exist but current coverage did not complete</x:v>
      </x:c>
      <x:c r="G75" s="25" t="str">
        <x:v>true</x:v>
      </x:c>
      <x:c r="H75" s="25" t="str">
        <x:v>NOT_AVAILABLE</x:v>
      </x:c>
      <x:c r="I75" s="25" t="str">
        <x:v>NOT_RUN</x:v>
      </x:c>
      <x:c r="J75" s="25" t="str">
        <x:v>NOT_RUN</x:v>
      </x:c>
      <x:c r="K75" s="25" t="n">
        <x:v>2</x:v>
      </x:c>
      <x:c r="L75" s="27" t="b">
        <x:v>0</x:v>
      </x:c>
      <x:c r="M75" s="25" t="str">
        <x:v>Deepseek-flash-v4/state/Round1/shards/Closure.json</x:v>
      </x:c>
      <x:c r="N75" s="25" t="str">
        <x:v>Deepseek-flash-v4/Result/Closure_106/result.json</x:v>
      </x:c>
      <x:c r="O75" s="25" t="str">
        <x:v>Deepseek-flash-v4/Result/Closure_106/result.json</x:v>
      </x:c>
      <x:c r="P75" t="str">
        <x:v>BOTH_NOT_RUN</x:v>
      </x:c>
      <x:c r="Q75" s="21" t="str"/>
      <x:c r="R75" s="21" t="str"/>
      <x:c r="S75" s="21" t="str"/>
      <x:c r="T75" s="17" t="str">
        <x:v>false</x:v>
      </x:c>
      <x:c r="U75" s="17" t="str">
        <x:v>true</x:v>
      </x:c>
      <x:c r="V75" s="17" t="str">
        <x:v>false</x:v>
      </x:c>
    </x:row>
    <x:row r="76" ht="80" customHeight="1">
      <x:c r="A76" s="25" t="str">
        <x:v>Closure</x:v>
      </x:c>
      <x:c r="B76" s="25" t="n">
        <x:v>107</x:v>
      </x:c>
      <x:c r="C76" s="25" t="str">
        <x:v>Round1</x:v>
      </x:c>
      <x:c r="D76" s="25" t="str">
        <x:v>NOT_AVAILABLE</x:v>
      </x:c>
      <x:c r="E76" s="25" t="str">
        <x:v>N/A</x:v>
      </x:c>
      <x:c r="F76" s="26" t="str">
        <x:v>Tests exist but current coverage did not complete</x:v>
      </x:c>
      <x:c r="G76" s="25" t="str">
        <x:v>true</x:v>
      </x:c>
      <x:c r="H76" s="25" t="str">
        <x:v>NOT_AVAILABLE</x:v>
      </x:c>
      <x:c r="I76" s="25" t="str">
        <x:v>NOT_RUN</x:v>
      </x:c>
      <x:c r="J76" s="25" t="str">
        <x:v>NOT_RUN</x:v>
      </x:c>
      <x:c r="K76" s="25" t="n">
        <x:v>1</x:v>
      </x:c>
      <x:c r="L76" s="27" t="b">
        <x:v>0</x:v>
      </x:c>
      <x:c r="M76" s="25" t="str">
        <x:v>Deepseek-flash-v4/state/Round1/shards/Closure.json</x:v>
      </x:c>
      <x:c r="N76" s="25" t="str">
        <x:v>Deepseek-flash-v4/Result/Closure_107/result.json</x:v>
      </x:c>
      <x:c r="O76" s="25" t="str">
        <x:v>Deepseek-flash-v4/Result/Closure_107/result.json</x:v>
      </x:c>
      <x:c r="P76" t="str">
        <x:v>BOTH_NOT_RUN</x:v>
      </x:c>
      <x:c r="Q76" s="21" t="str"/>
      <x:c r="R76" s="21" t="str"/>
      <x:c r="S76" s="21" t="str"/>
      <x:c r="T76" s="17" t="str">
        <x:v>false</x:v>
      </x:c>
      <x:c r="U76" s="17" t="str">
        <x:v>true</x:v>
      </x:c>
      <x:c r="V76" s="17" t="str">
        <x:v>false</x:v>
      </x:c>
    </x:row>
    <x:row r="77" ht="80" customHeight="1">
      <x:c r="A77" s="25" t="str">
        <x:v>Closure</x:v>
      </x:c>
      <x:c r="B77" s="25" t="n">
        <x:v>108</x:v>
      </x:c>
      <x:c r="C77" s="25" t="str">
        <x:v>Round1</x:v>
      </x:c>
      <x:c r="D77" s="25" t="str">
        <x:v>NOT_AVAILABLE</x:v>
      </x:c>
      <x:c r="E77" s="25" t="str">
        <x:v>N/A</x:v>
      </x:c>
      <x:c r="F77" s="26" t="str">
        <x:v>Tests exist but current coverage did not complete</x:v>
      </x:c>
      <x:c r="G77" s="25" t="str">
        <x:v>true</x:v>
      </x:c>
      <x:c r="H77" s="25" t="str">
        <x:v>NOT_AVAILABLE</x:v>
      </x:c>
      <x:c r="I77" s="25" t="str">
        <x:v>NOT_RUN</x:v>
      </x:c>
      <x:c r="J77" s="25" t="str">
        <x:v>NOT_RUN</x:v>
      </x:c>
      <x:c r="K77" s="25" t="n">
        <x:v>1</x:v>
      </x:c>
      <x:c r="L77" s="27" t="b">
        <x:v>0</x:v>
      </x:c>
      <x:c r="M77" s="25" t="str">
        <x:v>Deepseek-flash-v4/state/Round1/shards/Closure.json</x:v>
      </x:c>
      <x:c r="N77" s="25" t="str">
        <x:v>Deepseek-flash-v4/Result/Closure_108/result.json</x:v>
      </x:c>
      <x:c r="O77" s="25" t="str">
        <x:v>Deepseek-flash-v4/Result/Closure_108/result.json</x:v>
      </x:c>
      <x:c r="P77" t="str">
        <x:v>BOTH_NOT_RUN</x:v>
      </x:c>
      <x:c r="Q77" s="21" t="str"/>
      <x:c r="R77" s="21" t="str"/>
      <x:c r="S77" s="21" t="str"/>
      <x:c r="T77" s="17" t="str">
        <x:v>false</x:v>
      </x:c>
      <x:c r="U77" s="17" t="str">
        <x:v>true</x:v>
      </x:c>
      <x:c r="V77" s="17" t="str">
        <x:v>false</x:v>
      </x:c>
    </x:row>
    <x:row r="78" ht="80" customHeight="1">
      <x:c r="A78" s="25" t="str">
        <x:v>Closure</x:v>
      </x:c>
      <x:c r="B78" s="25" t="n">
        <x:v>109</x:v>
      </x:c>
      <x:c r="C78" s="25" t="str">
        <x:v>Round1</x:v>
      </x:c>
      <x:c r="D78" s="25" t="str">
        <x:v>NOT_AVAILABLE</x:v>
      </x:c>
      <x:c r="E78" s="25" t="str">
        <x:v>N/A</x:v>
      </x:c>
      <x:c r="F78" s="26" t="str">
        <x:v>Tests exist but current coverage did not complete</x:v>
      </x:c>
      <x:c r="G78" s="25" t="str">
        <x:v>true</x:v>
      </x:c>
      <x:c r="H78" s="25" t="str">
        <x:v>NOT_AVAILABLE</x:v>
      </x:c>
      <x:c r="I78" s="25" t="str">
        <x:v>NOT_RUN</x:v>
      </x:c>
      <x:c r="J78" s="25" t="str">
        <x:v>NOT_RUN</x:v>
      </x:c>
      <x:c r="K78" s="25" t="n">
        <x:v>1</x:v>
      </x:c>
      <x:c r="L78" s="27" t="b">
        <x:v>0</x:v>
      </x:c>
      <x:c r="M78" s="25" t="str">
        <x:v>Deepseek-flash-v4/state/Round1/shards/Closure.json</x:v>
      </x:c>
      <x:c r="N78" s="25" t="str">
        <x:v>Deepseek-flash-v4/Result/Closure_109/result.json</x:v>
      </x:c>
      <x:c r="O78" s="25" t="str">
        <x:v>Deepseek-flash-v4/Result/Closure_109/result.json</x:v>
      </x:c>
      <x:c r="P78" t="str">
        <x:v>BOTH_NOT_RUN</x:v>
      </x:c>
      <x:c r="Q78" s="21" t="str"/>
      <x:c r="R78" s="21" t="str"/>
      <x:c r="S78" s="21" t="str"/>
      <x:c r="T78" s="17" t="str">
        <x:v>false</x:v>
      </x:c>
      <x:c r="U78" s="17" t="str">
        <x:v>true</x:v>
      </x:c>
      <x:c r="V78" s="17" t="str">
        <x:v>false</x:v>
      </x:c>
    </x:row>
    <x:row r="79" ht="80" customHeight="1">
      <x:c r="A79" s="25" t="str">
        <x:v>Closure</x:v>
      </x:c>
      <x:c r="B79" s="25" t="n">
        <x:v>11</x:v>
      </x:c>
      <x:c r="C79" s="25" t="str">
        <x:v>Round1</x:v>
      </x:c>
      <x:c r="D79" s="25" t="str">
        <x:v>NOT_AVAILABLE</x:v>
      </x:c>
      <x:c r="E79" s="25" t="str">
        <x:v>N/A</x:v>
      </x:c>
      <x:c r="F79" s="26" t="str">
        <x:v>Tests exist but current coverage did not complete</x:v>
      </x:c>
      <x:c r="G79" s="25" t="str">
        <x:v>true</x:v>
      </x:c>
      <x:c r="H79" s="25" t="str">
        <x:v>NOT_AVAILABLE</x:v>
      </x:c>
      <x:c r="I79" s="25" t="str">
        <x:v>NOT_RUN</x:v>
      </x:c>
      <x:c r="J79" s="25" t="str">
        <x:v>NOT_RUN</x:v>
      </x:c>
      <x:c r="K79" s="25" t="n">
        <x:v>1</x:v>
      </x:c>
      <x:c r="L79" s="27" t="b">
        <x:v>0</x:v>
      </x:c>
      <x:c r="M79" s="25" t="str">
        <x:v>Deepseek-flash-v4/state/Round1/shards/Closure.json</x:v>
      </x:c>
      <x:c r="N79" s="25" t="str">
        <x:v>Deepseek-flash-v4/Result/Closure_11/result.json</x:v>
      </x:c>
      <x:c r="O79" s="25" t="str">
        <x:v>Deepseek-flash-v4/Result/Closure_11/result.json</x:v>
      </x:c>
      <x:c r="P79" t="str">
        <x:v>BOTH_NOT_RUN</x:v>
      </x:c>
      <x:c r="Q79" s="21" t="str"/>
      <x:c r="R79" s="21" t="str"/>
      <x:c r="S79" s="21" t="str"/>
      <x:c r="T79" s="17" t="str">
        <x:v>false</x:v>
      </x:c>
      <x:c r="U79" s="17" t="str">
        <x:v>true</x:v>
      </x:c>
      <x:c r="V79" s="17" t="str">
        <x:v>false</x:v>
      </x:c>
    </x:row>
    <x:row r="80" ht="80" customHeight="1">
      <x:c r="A80" s="25" t="str">
        <x:v>Closure</x:v>
      </x:c>
      <x:c r="B80" s="25" t="n">
        <x:v>110</x:v>
      </x:c>
      <x:c r="C80" s="25" t="str">
        <x:v>Round1</x:v>
      </x:c>
      <x:c r="D80" s="25" t="str">
        <x:v>NOT_AVAILABLE</x:v>
      </x:c>
      <x:c r="E80" s="25" t="str">
        <x:v>N/A</x:v>
      </x:c>
      <x:c r="F80" s="26" t="str">
        <x:v>Tests exist but current coverage did not complete</x:v>
      </x:c>
      <x:c r="G80" s="25" t="str">
        <x:v>true</x:v>
      </x:c>
      <x:c r="H80" s="25" t="str">
        <x:v>NOT_AVAILABLE</x:v>
      </x:c>
      <x:c r="I80" s="25" t="str">
        <x:v>NOT_RUN</x:v>
      </x:c>
      <x:c r="J80" s="25" t="str">
        <x:v>NOT_RUN</x:v>
      </x:c>
      <x:c r="K80" s="25" t="n">
        <x:v>2</x:v>
      </x:c>
      <x:c r="L80" s="27" t="b">
        <x:v>0</x:v>
      </x:c>
      <x:c r="M80" s="25" t="str">
        <x:v>Deepseek-flash-v4/state/Round1/shards/Closure.json</x:v>
      </x:c>
      <x:c r="N80" s="25" t="str">
        <x:v>Deepseek-flash-v4/Result/Closure_110/result.json</x:v>
      </x:c>
      <x:c r="O80" s="25" t="str">
        <x:v>Deepseek-flash-v4/Result/Closure_110/result.json</x:v>
      </x:c>
      <x:c r="P80" t="str">
        <x:v>BOTH_NOT_RUN</x:v>
      </x:c>
      <x:c r="Q80" s="21" t="str"/>
      <x:c r="R80" s="21" t="str"/>
      <x:c r="S80" s="21" t="str"/>
      <x:c r="T80" s="17" t="str">
        <x:v>false</x:v>
      </x:c>
      <x:c r="U80" s="17" t="str">
        <x:v>true</x:v>
      </x:c>
      <x:c r="V80" s="17" t="str">
        <x:v>false</x:v>
      </x:c>
    </x:row>
    <x:row r="81" ht="80" customHeight="1">
      <x:c r="A81" s="25" t="str">
        <x:v>Closure</x:v>
      </x:c>
      <x:c r="B81" s="25" t="n">
        <x:v>111</x:v>
      </x:c>
      <x:c r="C81" s="25" t="str">
        <x:v>Round1</x:v>
      </x:c>
      <x:c r="D81" s="25" t="str">
        <x:v>NOT_AVAILABLE</x:v>
      </x:c>
      <x:c r="E81" s="25" t="str">
        <x:v>N/A</x:v>
      </x:c>
      <x:c r="F81" s="26" t="str">
        <x:v>Tests exist but current coverage did not complete</x:v>
      </x:c>
      <x:c r="G81" s="25" t="str">
        <x:v>true</x:v>
      </x:c>
      <x:c r="H81" s="25" t="str">
        <x:v>NOT_AVAILABLE</x:v>
      </x:c>
      <x:c r="I81" s="25" t="str">
        <x:v>NOT_RUN</x:v>
      </x:c>
      <x:c r="J81" s="25" t="str">
        <x:v>NOT_RUN</x:v>
      </x:c>
      <x:c r="K81" s="25" t="n">
        <x:v>1</x:v>
      </x:c>
      <x:c r="L81" s="27" t="b">
        <x:v>0</x:v>
      </x:c>
      <x:c r="M81" s="25" t="str">
        <x:v>Deepseek-flash-v4/state/Round1/shards/Closure.json</x:v>
      </x:c>
      <x:c r="N81" s="25" t="str">
        <x:v>Deepseek-flash-v4/Result/Closure_111/result.json</x:v>
      </x:c>
      <x:c r="O81" s="25" t="str">
        <x:v>Deepseek-flash-v4/Result/Closure_111/result.json</x:v>
      </x:c>
      <x:c r="P81" t="str">
        <x:v>BOTH_NOT_RUN</x:v>
      </x:c>
      <x:c r="Q81" s="21" t="str"/>
      <x:c r="R81" s="21" t="str"/>
      <x:c r="S81" s="21" t="str"/>
      <x:c r="T81" s="17" t="str">
        <x:v>false</x:v>
      </x:c>
      <x:c r="U81" s="17" t="str">
        <x:v>true</x:v>
      </x:c>
      <x:c r="V81" s="17" t="str">
        <x:v>false</x:v>
      </x:c>
    </x:row>
    <x:row r="82" ht="80" customHeight="1">
      <x:c r="A82" s="25" t="str">
        <x:v>Closure</x:v>
      </x:c>
      <x:c r="B82" s="25" t="n">
        <x:v>112</x:v>
      </x:c>
      <x:c r="C82" s="25" t="str">
        <x:v>Round1</x:v>
      </x:c>
      <x:c r="D82" s="25" t="str">
        <x:v>NOT_AVAILABLE</x:v>
      </x:c>
      <x:c r="E82" s="25" t="str">
        <x:v>N/A</x:v>
      </x:c>
      <x:c r="F82" s="26" t="str">
        <x:v>Tests exist but current coverage did not complete</x:v>
      </x:c>
      <x:c r="G82" s="25" t="str">
        <x:v>true</x:v>
      </x:c>
      <x:c r="H82" s="25" t="str">
        <x:v>NOT_AVAILABLE</x:v>
      </x:c>
      <x:c r="I82" s="25" t="str">
        <x:v>NOT_RUN</x:v>
      </x:c>
      <x:c r="J82" s="25" t="str">
        <x:v>NOT_RUN</x:v>
      </x:c>
      <x:c r="K82" s="25" t="n">
        <x:v>1</x:v>
      </x:c>
      <x:c r="L82" s="27" t="b">
        <x:v>0</x:v>
      </x:c>
      <x:c r="M82" s="25" t="str">
        <x:v>Deepseek-flash-v4/state/Round1/shards/Closure.json</x:v>
      </x:c>
      <x:c r="N82" s="25" t="str">
        <x:v>Deepseek-flash-v4/Result/Closure_112/result.json</x:v>
      </x:c>
      <x:c r="O82" s="25" t="str">
        <x:v>Deepseek-flash-v4/Result/Closure_112/result.json</x:v>
      </x:c>
      <x:c r="P82" t="str">
        <x:v>BOTH_NOT_RUN</x:v>
      </x:c>
      <x:c r="Q82" s="21" t="str"/>
      <x:c r="R82" s="21" t="str"/>
      <x:c r="S82" s="21" t="str"/>
      <x:c r="T82" s="17" t="str">
        <x:v>false</x:v>
      </x:c>
      <x:c r="U82" s="17" t="str">
        <x:v>true</x:v>
      </x:c>
      <x:c r="V82" s="17" t="str">
        <x:v>false</x:v>
      </x:c>
    </x:row>
    <x:row r="83" ht="80" customHeight="1">
      <x:c r="A83" s="25" t="str">
        <x:v>Closure</x:v>
      </x:c>
      <x:c r="B83" s="25" t="n">
        <x:v>113</x:v>
      </x:c>
      <x:c r="C83" s="25" t="str">
        <x:v>Round1</x:v>
      </x:c>
      <x:c r="D83" s="25" t="str">
        <x:v>NOT_AVAILABLE</x:v>
      </x:c>
      <x:c r="E83" s="25" t="str">
        <x:v>N/A</x:v>
      </x:c>
      <x:c r="F83" s="26" t="str">
        <x:v>Tests exist but current coverage did not complete</x:v>
      </x:c>
      <x:c r="G83" s="25" t="str">
        <x:v>true</x:v>
      </x:c>
      <x:c r="H83" s="25" t="str">
        <x:v>NOT_AVAILABLE</x:v>
      </x:c>
      <x:c r="I83" s="25" t="str">
        <x:v>NOT_RUN</x:v>
      </x:c>
      <x:c r="J83" s="25" t="str">
        <x:v>NOT_RUN</x:v>
      </x:c>
      <x:c r="K83" s="25" t="n">
        <x:v>1</x:v>
      </x:c>
      <x:c r="L83" s="27" t="b">
        <x:v>0</x:v>
      </x:c>
      <x:c r="M83" s="25" t="str">
        <x:v>Deepseek-flash-v4/state/Round1/shards/Closure.json</x:v>
      </x:c>
      <x:c r="N83" s="25" t="str">
        <x:v>Deepseek-flash-v4/Result/Closure_113/result.json</x:v>
      </x:c>
      <x:c r="O83" s="25" t="str">
        <x:v>Deepseek-flash-v4/Result/Closure_113/result.json</x:v>
      </x:c>
      <x:c r="P83" t="str">
        <x:v>BOTH_NOT_RUN</x:v>
      </x:c>
      <x:c r="Q83" s="21" t="str"/>
      <x:c r="R83" s="21" t="str"/>
      <x:c r="S83" s="21" t="str"/>
      <x:c r="T83" s="17" t="str">
        <x:v>false</x:v>
      </x:c>
      <x:c r="U83" s="17" t="str">
        <x:v>true</x:v>
      </x:c>
      <x:c r="V83" s="17" t="str">
        <x:v>false</x:v>
      </x:c>
    </x:row>
    <x:row r="84" ht="80" customHeight="1">
      <x:c r="A84" s="25" t="str">
        <x:v>Closure</x:v>
      </x:c>
      <x:c r="B84" s="25" t="n">
        <x:v>114</x:v>
      </x:c>
      <x:c r="C84" s="25" t="str">
        <x:v>Round1</x:v>
      </x:c>
      <x:c r="D84" s="25" t="str">
        <x:v>NOT_AVAILABLE</x:v>
      </x:c>
      <x:c r="E84" s="25" t="str">
        <x:v>N/A</x:v>
      </x:c>
      <x:c r="F84" s="26" t="str">
        <x:v>Tests exist but current coverage did not complete</x:v>
      </x:c>
      <x:c r="G84" s="25" t="str">
        <x:v>true</x:v>
      </x:c>
      <x:c r="H84" s="25" t="str">
        <x:v>NOT_AVAILABLE</x:v>
      </x:c>
      <x:c r="I84" s="25" t="str">
        <x:v>NOT_RUN</x:v>
      </x:c>
      <x:c r="J84" s="25" t="str">
        <x:v>NOT_RUN</x:v>
      </x:c>
      <x:c r="K84" s="25" t="n">
        <x:v>1</x:v>
      </x:c>
      <x:c r="L84" s="27" t="b">
        <x:v>0</x:v>
      </x:c>
      <x:c r="M84" s="25" t="str">
        <x:v>Deepseek-flash-v4/state/Round1/shards/Closure.json</x:v>
      </x:c>
      <x:c r="N84" s="25" t="str">
        <x:v>Deepseek-flash-v4/Result/Closure_114/result.json</x:v>
      </x:c>
      <x:c r="O84" s="25" t="str">
        <x:v>Deepseek-flash-v4/Result/Closure_114/result.json</x:v>
      </x:c>
      <x:c r="P84" t="str">
        <x:v>BOTH_NOT_RUN</x:v>
      </x:c>
      <x:c r="Q84" s="21" t="str"/>
      <x:c r="R84" s="21" t="str"/>
      <x:c r="S84" s="21" t="str"/>
      <x:c r="T84" s="17" t="str">
        <x:v>false</x:v>
      </x:c>
      <x:c r="U84" s="17" t="str">
        <x:v>true</x:v>
      </x:c>
      <x:c r="V84" s="17" t="str">
        <x:v>false</x:v>
      </x:c>
    </x:row>
    <x:row r="85" ht="80" customHeight="1">
      <x:c r="A85" s="25" t="str">
        <x:v>Closure</x:v>
      </x:c>
      <x:c r="B85" s="25" t="n">
        <x:v>115</x:v>
      </x:c>
      <x:c r="C85" s="25" t="str">
        <x:v>Round1</x:v>
      </x:c>
      <x:c r="D85" s="25" t="str">
        <x:v>NOT_AVAILABLE</x:v>
      </x:c>
      <x:c r="E85" s="25" t="str">
        <x:v>N/A</x:v>
      </x:c>
      <x:c r="F85" s="26" t="str">
        <x:v>Tests exist but current coverage did not complete</x:v>
      </x:c>
      <x:c r="G85" s="25" t="str">
        <x:v>true</x:v>
      </x:c>
      <x:c r="H85" s="25" t="str">
        <x:v>NOT_AVAILABLE</x:v>
      </x:c>
      <x:c r="I85" s="25" t="str">
        <x:v>NOT_RUN</x:v>
      </x:c>
      <x:c r="J85" s="25" t="str">
        <x:v>NOT_RUN</x:v>
      </x:c>
      <x:c r="K85" s="25" t="n">
        <x:v>1</x:v>
      </x:c>
      <x:c r="L85" s="27" t="b">
        <x:v>0</x:v>
      </x:c>
      <x:c r="M85" s="25" t="str">
        <x:v>Deepseek-flash-v4/state/Round1/shards/Closure.json</x:v>
      </x:c>
      <x:c r="N85" s="25" t="str">
        <x:v>Deepseek-flash-v4/Result/Closure_115/result.json</x:v>
      </x:c>
      <x:c r="O85" s="25" t="str">
        <x:v>Deepseek-flash-v4/Result/Closure_115/result.json</x:v>
      </x:c>
      <x:c r="P85" t="str">
        <x:v>BOTH_NOT_RUN</x:v>
      </x:c>
      <x:c r="Q85" s="21" t="str"/>
      <x:c r="R85" s="21" t="str"/>
      <x:c r="S85" s="21" t="str"/>
      <x:c r="T85" s="17" t="str">
        <x:v>false</x:v>
      </x:c>
      <x:c r="U85" s="17" t="str">
        <x:v>true</x:v>
      </x:c>
      <x:c r="V85" s="17" t="str">
        <x:v>false</x:v>
      </x:c>
    </x:row>
    <x:row r="86" ht="80" customHeight="1">
      <x:c r="A86" s="25" t="str">
        <x:v>Closure</x:v>
      </x:c>
      <x:c r="B86" s="25" t="n">
        <x:v>116</x:v>
      </x:c>
      <x:c r="C86" s="25" t="str">
        <x:v>Round1</x:v>
      </x:c>
      <x:c r="D86" s="25" t="str">
        <x:v>NOT_AVAILABLE</x:v>
      </x:c>
      <x:c r="E86" s="25" t="str">
        <x:v>N/A</x:v>
      </x:c>
      <x:c r="F86" s="26" t="str">
        <x:v>Tests exist but current coverage did not complete</x:v>
      </x:c>
      <x:c r="G86" s="25" t="str">
        <x:v>true</x:v>
      </x:c>
      <x:c r="H86" s="25" t="str">
        <x:v>NOT_AVAILABLE</x:v>
      </x:c>
      <x:c r="I86" s="25" t="str">
        <x:v>NOT_RUN</x:v>
      </x:c>
      <x:c r="J86" s="25" t="str">
        <x:v>NOT_RUN</x:v>
      </x:c>
      <x:c r="K86" s="25" t="n">
        <x:v>1</x:v>
      </x:c>
      <x:c r="L86" s="27" t="b">
        <x:v>0</x:v>
      </x:c>
      <x:c r="M86" s="25" t="str">
        <x:v>Deepseek-flash-v4/state/Round1/shards/Closure.json</x:v>
      </x:c>
      <x:c r="N86" s="25" t="str">
        <x:v>Deepseek-flash-v4/Result/Closure_116/result.json</x:v>
      </x:c>
      <x:c r="O86" s="25" t="str">
        <x:v>Deepseek-flash-v4/Result/Closure_116/result.json</x:v>
      </x:c>
      <x:c r="P86" t="str">
        <x:v>BOTH_NOT_RUN</x:v>
      </x:c>
      <x:c r="Q86" s="21" t="str"/>
      <x:c r="R86" s="21" t="str"/>
      <x:c r="S86" s="21" t="str"/>
      <x:c r="T86" s="17" t="str">
        <x:v>false</x:v>
      </x:c>
      <x:c r="U86" s="17" t="str">
        <x:v>true</x:v>
      </x:c>
      <x:c r="V86" s="17" t="str">
        <x:v>false</x:v>
      </x:c>
    </x:row>
    <x:row r="87" ht="80" customHeight="1">
      <x:c r="A87" s="25" t="str">
        <x:v>Closure</x:v>
      </x:c>
      <x:c r="B87" s="25" t="n">
        <x:v>117</x:v>
      </x:c>
      <x:c r="C87" s="25" t="str">
        <x:v>Round1</x:v>
      </x:c>
      <x:c r="D87" s="25" t="str">
        <x:v>NOT_AVAILABLE</x:v>
      </x:c>
      <x:c r="E87" s="25" t="str">
        <x:v>N/A</x:v>
      </x:c>
      <x:c r="F87" s="26" t="str">
        <x:v>Tests exist but current coverage did not complete</x:v>
      </x:c>
      <x:c r="G87" s="25" t="str">
        <x:v>true</x:v>
      </x:c>
      <x:c r="H87" s="25" t="str">
        <x:v>NOT_AVAILABLE</x:v>
      </x:c>
      <x:c r="I87" s="25" t="str">
        <x:v>NOT_RUN</x:v>
      </x:c>
      <x:c r="J87" s="25" t="str">
        <x:v>NOT_RUN</x:v>
      </x:c>
      <x:c r="K87" s="25" t="n">
        <x:v>1</x:v>
      </x:c>
      <x:c r="L87" s="27" t="b">
        <x:v>0</x:v>
      </x:c>
      <x:c r="M87" s="25" t="str">
        <x:v>Deepseek-flash-v4/state/Round1/shards/Closure.json</x:v>
      </x:c>
      <x:c r="N87" s="25" t="str">
        <x:v>Deepseek-flash-v4/Result/Closure_117/result.json</x:v>
      </x:c>
      <x:c r="O87" s="25" t="str">
        <x:v>Deepseek-flash-v4/Result/Closure_117/result.json</x:v>
      </x:c>
      <x:c r="P87" t="str">
        <x:v>BOTH_NOT_RUN</x:v>
      </x:c>
      <x:c r="Q87" s="21" t="str"/>
      <x:c r="R87" s="21" t="str"/>
      <x:c r="S87" s="21" t="str"/>
      <x:c r="T87" s="17" t="str">
        <x:v>false</x:v>
      </x:c>
      <x:c r="U87" s="17" t="str">
        <x:v>true</x:v>
      </x:c>
      <x:c r="V87" s="17" t="str">
        <x:v>false</x:v>
      </x:c>
    </x:row>
    <x:row r="88" ht="80" customHeight="1">
      <x:c r="A88" s="25" t="str">
        <x:v>Closure</x:v>
      </x:c>
      <x:c r="B88" s="25" t="n">
        <x:v>118</x:v>
      </x:c>
      <x:c r="C88" s="25" t="str">
        <x:v>Round1</x:v>
      </x:c>
      <x:c r="D88" s="25" t="str">
        <x:v>NOT_AVAILABLE</x:v>
      </x:c>
      <x:c r="E88" s="25" t="str">
        <x:v>N/A</x:v>
      </x:c>
      <x:c r="F88" s="26" t="str">
        <x:v>Tests exist but current coverage did not complete</x:v>
      </x:c>
      <x:c r="G88" s="25" t="str">
        <x:v>true</x:v>
      </x:c>
      <x:c r="H88" s="25" t="str">
        <x:v>NOT_AVAILABLE</x:v>
      </x:c>
      <x:c r="I88" s="25" t="str">
        <x:v>NOT_RUN</x:v>
      </x:c>
      <x:c r="J88" s="25" t="str">
        <x:v>NOT_RUN</x:v>
      </x:c>
      <x:c r="K88" s="25" t="n">
        <x:v>1</x:v>
      </x:c>
      <x:c r="L88" s="27" t="b">
        <x:v>0</x:v>
      </x:c>
      <x:c r="M88" s="25" t="str">
        <x:v>Deepseek-flash-v4/state/Round1/shards/Closure.json</x:v>
      </x:c>
      <x:c r="N88" s="25" t="str">
        <x:v>Deepseek-flash-v4/Result/Closure_118/result.json</x:v>
      </x:c>
      <x:c r="O88" s="25" t="str">
        <x:v>Deepseek-flash-v4/Result/Closure_118/result.json</x:v>
      </x:c>
      <x:c r="P88" t="str">
        <x:v>BOTH_NOT_RUN</x:v>
      </x:c>
      <x:c r="Q88" s="21" t="str"/>
      <x:c r="R88" s="21" t="str"/>
      <x:c r="S88" s="21" t="str"/>
      <x:c r="T88" s="17" t="str">
        <x:v>false</x:v>
      </x:c>
      <x:c r="U88" s="17" t="str">
        <x:v>true</x:v>
      </x:c>
      <x:c r="V88" s="17" t="str">
        <x:v>false</x:v>
      </x:c>
    </x:row>
    <x:row r="89" ht="80" customHeight="1">
      <x:c r="A89" s="25" t="str">
        <x:v>Closure</x:v>
      </x:c>
      <x:c r="B89" s="25" t="n">
        <x:v>119</x:v>
      </x:c>
      <x:c r="C89" s="25" t="str">
        <x:v>Round1</x:v>
      </x:c>
      <x:c r="D89" s="25" t="str">
        <x:v>NOT_AVAILABLE</x:v>
      </x:c>
      <x:c r="E89" s="25" t="str">
        <x:v>N/A</x:v>
      </x:c>
      <x:c r="F89" s="26" t="str">
        <x:v>Tests exist but current coverage did not complete</x:v>
      </x:c>
      <x:c r="G89" s="25" t="str">
        <x:v>true</x:v>
      </x:c>
      <x:c r="H89" s="25" t="str">
        <x:v>NOT_AVAILABLE</x:v>
      </x:c>
      <x:c r="I89" s="25" t="str">
        <x:v>NOT_RUN</x:v>
      </x:c>
      <x:c r="J89" s="25" t="str">
        <x:v>NOT_RUN</x:v>
      </x:c>
      <x:c r="K89" s="25" t="n">
        <x:v>1</x:v>
      </x:c>
      <x:c r="L89" s="27" t="b">
        <x:v>0</x:v>
      </x:c>
      <x:c r="M89" s="25" t="str">
        <x:v>Deepseek-flash-v4/state/Round1/shards/Closure.json</x:v>
      </x:c>
      <x:c r="N89" s="25" t="str">
        <x:v>Deepseek-flash-v4/Result/Closure_119/result.json</x:v>
      </x:c>
      <x:c r="O89" s="25" t="str">
        <x:v>Deepseek-flash-v4/Result/Closure_119/result.json</x:v>
      </x:c>
      <x:c r="P89" t="str">
        <x:v>BOTH_NOT_RUN</x:v>
      </x:c>
      <x:c r="Q89" s="21" t="str"/>
      <x:c r="R89" s="21" t="str"/>
      <x:c r="S89" s="21" t="str"/>
      <x:c r="T89" s="17" t="str">
        <x:v>false</x:v>
      </x:c>
      <x:c r="U89" s="17" t="str">
        <x:v>true</x:v>
      </x:c>
      <x:c r="V89" s="17" t="str">
        <x:v>false</x:v>
      </x:c>
    </x:row>
    <x:row r="90" ht="80" customHeight="1">
      <x:c r="A90" s="25" t="str">
        <x:v>Closure</x:v>
      </x:c>
      <x:c r="B90" s="25" t="n">
        <x:v>12</x:v>
      </x:c>
      <x:c r="C90" s="25" t="str">
        <x:v>Round1</x:v>
      </x:c>
      <x:c r="D90" s="25" t="str">
        <x:v>NOT_AVAILABLE</x:v>
      </x:c>
      <x:c r="E90" s="25" t="str">
        <x:v>N/A</x:v>
      </x:c>
      <x:c r="F90" s="26" t="str">
        <x:v>Tests exist but current coverage did not complete</x:v>
      </x:c>
      <x:c r="G90" s="25" t="str">
        <x:v>true</x:v>
      </x:c>
      <x:c r="H90" s="25" t="str">
        <x:v>NOT_AVAILABLE</x:v>
      </x:c>
      <x:c r="I90" s="25" t="str">
        <x:v>NOT_RUN</x:v>
      </x:c>
      <x:c r="J90" s="25" t="str">
        <x:v>NOT_RUN</x:v>
      </x:c>
      <x:c r="K90" s="25" t="n">
        <x:v>1</x:v>
      </x:c>
      <x:c r="L90" s="27" t="b">
        <x:v>0</x:v>
      </x:c>
      <x:c r="M90" s="25" t="str">
        <x:v>Deepseek-flash-v4/state/Round1/shards/Closure.json</x:v>
      </x:c>
      <x:c r="N90" s="25" t="str">
        <x:v>Deepseek-flash-v4/Result/Closure_12/result.json</x:v>
      </x:c>
      <x:c r="O90" s="25" t="str">
        <x:v>Deepseek-flash-v4/Result/Closure_12/result.json</x:v>
      </x:c>
      <x:c r="P90" t="str">
        <x:v>BOTH_NOT_RUN</x:v>
      </x:c>
      <x:c r="Q90" s="21" t="str"/>
      <x:c r="R90" s="21" t="str"/>
      <x:c r="S90" s="21" t="str"/>
      <x:c r="T90" s="17" t="str">
        <x:v>false</x:v>
      </x:c>
      <x:c r="U90" s="17" t="str">
        <x:v>true</x:v>
      </x:c>
      <x:c r="V90" s="17" t="str">
        <x:v>false</x:v>
      </x:c>
    </x:row>
    <x:row r="91" ht="80" customHeight="1">
      <x:c r="A91" s="25" t="str">
        <x:v>Closure</x:v>
      </x:c>
      <x:c r="B91" s="25" t="n">
        <x:v>120</x:v>
      </x:c>
      <x:c r="C91" s="25" t="str">
        <x:v>Round1</x:v>
      </x:c>
      <x:c r="D91" s="25" t="str">
        <x:v>NOT_AVAILABLE</x:v>
      </x:c>
      <x:c r="E91" s="25" t="str">
        <x:v>N/A</x:v>
      </x:c>
      <x:c r="F91" s="26" t="str">
        <x:v>Tests exist but current coverage did not complete</x:v>
      </x:c>
      <x:c r="G91" s="25" t="str">
        <x:v>true</x:v>
      </x:c>
      <x:c r="H91" s="25" t="str">
        <x:v>NOT_AVAILABLE</x:v>
      </x:c>
      <x:c r="I91" s="25" t="str">
        <x:v>NOT_RUN</x:v>
      </x:c>
      <x:c r="J91" s="25" t="str">
        <x:v>NOT_RUN</x:v>
      </x:c>
      <x:c r="K91" s="25" t="n">
        <x:v>1</x:v>
      </x:c>
      <x:c r="L91" s="27" t="b">
        <x:v>0</x:v>
      </x:c>
      <x:c r="M91" s="25" t="str">
        <x:v>Deepseek-flash-v4/state/Round1/shards/Closure.json</x:v>
      </x:c>
      <x:c r="N91" s="25" t="str">
        <x:v>Deepseek-flash-v4/Result/Closure_120/result.json</x:v>
      </x:c>
      <x:c r="O91" s="25" t="str">
        <x:v>Deepseek-flash-v4/Result/Closure_120/result.json</x:v>
      </x:c>
      <x:c r="P91" t="str">
        <x:v>BOTH_NOT_RUN</x:v>
      </x:c>
      <x:c r="Q91" s="21" t="str"/>
      <x:c r="R91" s="21" t="str"/>
      <x:c r="S91" s="21" t="str"/>
      <x:c r="T91" s="17" t="str">
        <x:v>false</x:v>
      </x:c>
      <x:c r="U91" s="17" t="str">
        <x:v>true</x:v>
      </x:c>
      <x:c r="V91" s="17" t="str">
        <x:v>false</x:v>
      </x:c>
    </x:row>
    <x:row r="92" ht="80" customHeight="1">
      <x:c r="A92" s="25" t="str">
        <x:v>Closure</x:v>
      </x:c>
      <x:c r="B92" s="25" t="n">
        <x:v>121</x:v>
      </x:c>
      <x:c r="C92" s="25" t="str">
        <x:v>Round1</x:v>
      </x:c>
      <x:c r="D92" s="25" t="str">
        <x:v>NOT_AVAILABLE</x:v>
      </x:c>
      <x:c r="E92" s="25" t="str">
        <x:v>N/A</x:v>
      </x:c>
      <x:c r="F92" s="26" t="str">
        <x:v>Tests exist but current coverage did not complete</x:v>
      </x:c>
      <x:c r="G92" s="25" t="str">
        <x:v>true</x:v>
      </x:c>
      <x:c r="H92" s="25" t="str">
        <x:v>NOT_AVAILABLE</x:v>
      </x:c>
      <x:c r="I92" s="25" t="str">
        <x:v>NOT_RUN</x:v>
      </x:c>
      <x:c r="J92" s="25" t="str">
        <x:v>NOT_RUN</x:v>
      </x:c>
      <x:c r="K92" s="25" t="n">
        <x:v>1</x:v>
      </x:c>
      <x:c r="L92" s="27" t="b">
        <x:v>0</x:v>
      </x:c>
      <x:c r="M92" s="25" t="str">
        <x:v>Deepseek-flash-v4/state/Round1/shards/Closure.json</x:v>
      </x:c>
      <x:c r="N92" s="25" t="str">
        <x:v>Deepseek-flash-v4/Result/Closure_121/result.json</x:v>
      </x:c>
      <x:c r="O92" s="25" t="str">
        <x:v>Deepseek-flash-v4/Result/Closure_121/result.json</x:v>
      </x:c>
      <x:c r="P92" t="str">
        <x:v>BOTH_NOT_RUN</x:v>
      </x:c>
      <x:c r="Q92" s="21" t="str"/>
      <x:c r="R92" s="21" t="str"/>
      <x:c r="S92" s="21" t="str"/>
      <x:c r="T92" s="17" t="str">
        <x:v>false</x:v>
      </x:c>
      <x:c r="U92" s="17" t="str">
        <x:v>true</x:v>
      </x:c>
      <x:c r="V92" s="17" t="str">
        <x:v>false</x:v>
      </x:c>
    </x:row>
    <x:row r="93" ht="80" customHeight="1">
      <x:c r="A93" s="25" t="str">
        <x:v>Closure</x:v>
      </x:c>
      <x:c r="B93" s="25" t="n">
        <x:v>122</x:v>
      </x:c>
      <x:c r="C93" s="25" t="str">
        <x:v>Round1</x:v>
      </x:c>
      <x:c r="D93" s="25" t="str">
        <x:v>NOT_AVAILABLE</x:v>
      </x:c>
      <x:c r="E93" s="25" t="str">
        <x:v>N/A</x:v>
      </x:c>
      <x:c r="F93" s="26" t="str">
        <x:v>Tests exist but current coverage did not complete</x:v>
      </x:c>
      <x:c r="G93" s="25" t="str">
        <x:v>true</x:v>
      </x:c>
      <x:c r="H93" s="25" t="str">
        <x:v>NOT_AVAILABLE</x:v>
      </x:c>
      <x:c r="I93" s="25" t="str">
        <x:v>NOT_RUN</x:v>
      </x:c>
      <x:c r="J93" s="25" t="str">
        <x:v>NOT_RUN</x:v>
      </x:c>
      <x:c r="K93" s="25" t="n">
        <x:v>1</x:v>
      </x:c>
      <x:c r="L93" s="27" t="b">
        <x:v>0</x:v>
      </x:c>
      <x:c r="M93" s="25" t="str">
        <x:v>Deepseek-flash-v4/state/Round1/shards/Closure.json</x:v>
      </x:c>
      <x:c r="N93" s="25" t="str">
        <x:v>Deepseek-flash-v4/Result/Closure_122/result.json</x:v>
      </x:c>
      <x:c r="O93" s="25" t="str">
        <x:v>Deepseek-flash-v4/Result/Closure_122/result.json</x:v>
      </x:c>
      <x:c r="P93" t="str">
        <x:v>BOTH_NOT_RUN</x:v>
      </x:c>
      <x:c r="Q93" s="21" t="str"/>
      <x:c r="R93" s="21" t="str"/>
      <x:c r="S93" s="21" t="str"/>
      <x:c r="T93" s="17" t="str">
        <x:v>false</x:v>
      </x:c>
      <x:c r="U93" s="17" t="str">
        <x:v>true</x:v>
      </x:c>
      <x:c r="V93" s="17" t="str">
        <x:v>false</x:v>
      </x:c>
    </x:row>
    <x:row r="94" ht="80" customHeight="1">
      <x:c r="A94" s="25" t="str">
        <x:v>Closure</x:v>
      </x:c>
      <x:c r="B94" s="25" t="n">
        <x:v>123</x:v>
      </x:c>
      <x:c r="C94" s="25" t="str">
        <x:v>Round1</x:v>
      </x:c>
      <x:c r="D94" s="25" t="str">
        <x:v>NOT_AVAILABLE</x:v>
      </x:c>
      <x:c r="E94" s="25" t="str">
        <x:v>N/A</x:v>
      </x:c>
      <x:c r="F94" s="26" t="str">
        <x:v>Tests exist but current coverage did not complete</x:v>
      </x:c>
      <x:c r="G94" s="25" t="str">
        <x:v>true</x:v>
      </x:c>
      <x:c r="H94" s="25" t="str">
        <x:v>NOT_AVAILABLE</x:v>
      </x:c>
      <x:c r="I94" s="25" t="str">
        <x:v>NOT_RUN</x:v>
      </x:c>
      <x:c r="J94" s="25" t="str">
        <x:v>NOT_RUN</x:v>
      </x:c>
      <x:c r="K94" s="25" t="n">
        <x:v>1</x:v>
      </x:c>
      <x:c r="L94" s="27" t="b">
        <x:v>0</x:v>
      </x:c>
      <x:c r="M94" s="25" t="str">
        <x:v>Deepseek-flash-v4/state/Round1/shards/Closure.json</x:v>
      </x:c>
      <x:c r="N94" s="25" t="str">
        <x:v>Deepseek-flash-v4/Result/Closure_123/result.json</x:v>
      </x:c>
      <x:c r="O94" s="25" t="str">
        <x:v>Deepseek-flash-v4/Result/Closure_123/result.json</x:v>
      </x:c>
      <x:c r="P94" t="str">
        <x:v>BOTH_NOT_RUN</x:v>
      </x:c>
      <x:c r="Q94" s="21" t="str"/>
      <x:c r="R94" s="21" t="str"/>
      <x:c r="S94" s="21" t="str"/>
      <x:c r="T94" s="17" t="str">
        <x:v>false</x:v>
      </x:c>
      <x:c r="U94" s="17" t="str">
        <x:v>true</x:v>
      </x:c>
      <x:c r="V94" s="17" t="str">
        <x:v>false</x:v>
      </x:c>
    </x:row>
    <x:row r="95" ht="80" customHeight="1">
      <x:c r="A95" s="25" t="str">
        <x:v>Closure</x:v>
      </x:c>
      <x:c r="B95" s="25" t="n">
        <x:v>124</x:v>
      </x:c>
      <x:c r="C95" s="25" t="str">
        <x:v>Round1</x:v>
      </x:c>
      <x:c r="D95" s="25" t="str">
        <x:v>NOT_AVAILABLE</x:v>
      </x:c>
      <x:c r="E95" s="25" t="str">
        <x:v>N/A</x:v>
      </x:c>
      <x:c r="F95" s="26" t="str">
        <x:v>Tests exist but current coverage did not complete</x:v>
      </x:c>
      <x:c r="G95" s="25" t="str">
        <x:v>true</x:v>
      </x:c>
      <x:c r="H95" s="25" t="str">
        <x:v>NOT_AVAILABLE</x:v>
      </x:c>
      <x:c r="I95" s="25" t="str">
        <x:v>NOT_RUN</x:v>
      </x:c>
      <x:c r="J95" s="25" t="str">
        <x:v>NOT_RUN</x:v>
      </x:c>
      <x:c r="K95" s="25" t="n">
        <x:v>1</x:v>
      </x:c>
      <x:c r="L95" s="27" t="b">
        <x:v>0</x:v>
      </x:c>
      <x:c r="M95" s="25" t="str">
        <x:v>Deepseek-flash-v4/state/Round1/shards/Closure.json</x:v>
      </x:c>
      <x:c r="N95" s="25" t="str">
        <x:v>Deepseek-flash-v4/Result/Closure_124/result.json</x:v>
      </x:c>
      <x:c r="O95" s="25" t="str">
        <x:v>Deepseek-flash-v4/Result/Closure_124/result.json</x:v>
      </x:c>
      <x:c r="P95" t="str">
        <x:v>BOTH_NOT_RUN</x:v>
      </x:c>
      <x:c r="Q95" s="21" t="str"/>
      <x:c r="R95" s="21" t="str"/>
      <x:c r="S95" s="21" t="str"/>
      <x:c r="T95" s="17" t="str">
        <x:v>false</x:v>
      </x:c>
      <x:c r="U95" s="17" t="str">
        <x:v>true</x:v>
      </x:c>
      <x:c r="V95" s="17" t="str">
        <x:v>false</x:v>
      </x:c>
    </x:row>
    <x:row r="96" ht="80" customHeight="1">
      <x:c r="A96" s="25" t="str">
        <x:v>Closure</x:v>
      </x:c>
      <x:c r="B96" s="25" t="n">
        <x:v>125</x:v>
      </x:c>
      <x:c r="C96" s="25" t="str">
        <x:v>Round1</x:v>
      </x:c>
      <x:c r="D96" s="25" t="str">
        <x:v>NOT_AVAILABLE</x:v>
      </x:c>
      <x:c r="E96" s="25" t="str">
        <x:v>N/A</x:v>
      </x:c>
      <x:c r="F96" s="26" t="str">
        <x:v>Tests exist but current coverage did not complete</x:v>
      </x:c>
      <x:c r="G96" s="25" t="str">
        <x:v>true</x:v>
      </x:c>
      <x:c r="H96" s="25" t="str">
        <x:v>NOT_AVAILABLE</x:v>
      </x:c>
      <x:c r="I96" s="25" t="str">
        <x:v>NOT_RUN</x:v>
      </x:c>
      <x:c r="J96" s="25" t="str">
        <x:v>NOT_RUN</x:v>
      </x:c>
      <x:c r="K96" s="25" t="n">
        <x:v>1</x:v>
      </x:c>
      <x:c r="L96" s="27" t="b">
        <x:v>0</x:v>
      </x:c>
      <x:c r="M96" s="25" t="str">
        <x:v>Deepseek-flash-v4/state/Round1/shards/Closure.json</x:v>
      </x:c>
      <x:c r="N96" s="25" t="str">
        <x:v>Deepseek-flash-v4/Result/Closure_125/result.json</x:v>
      </x:c>
      <x:c r="O96" s="25" t="str">
        <x:v>Deepseek-flash-v4/Result/Closure_125/result.json</x:v>
      </x:c>
      <x:c r="P96" t="str">
        <x:v>BOTH_NOT_RUN</x:v>
      </x:c>
      <x:c r="Q96" s="21" t="str"/>
      <x:c r="R96" s="21" t="str"/>
      <x:c r="S96" s="21" t="str"/>
      <x:c r="T96" s="17" t="str">
        <x:v>false</x:v>
      </x:c>
      <x:c r="U96" s="17" t="str">
        <x:v>true</x:v>
      </x:c>
      <x:c r="V96" s="17" t="str">
        <x:v>false</x:v>
      </x:c>
    </x:row>
    <x:row r="97" ht="80" customHeight="1">
      <x:c r="A97" s="25" t="str">
        <x:v>Closure</x:v>
      </x:c>
      <x:c r="B97" s="25" t="n">
        <x:v>126</x:v>
      </x:c>
      <x:c r="C97" s="25" t="str">
        <x:v>Round1</x:v>
      </x:c>
      <x:c r="D97" s="25" t="str">
        <x:v>NOT_AVAILABLE</x:v>
      </x:c>
      <x:c r="E97" s="25" t="str">
        <x:v>N/A</x:v>
      </x:c>
      <x:c r="F97" s="26" t="str">
        <x:v>Tests exist but current coverage did not complete</x:v>
      </x:c>
      <x:c r="G97" s="25" t="str">
        <x:v>true</x:v>
      </x:c>
      <x:c r="H97" s="25" t="str">
        <x:v>NOT_AVAILABLE</x:v>
      </x:c>
      <x:c r="I97" s="25" t="str">
        <x:v>NOT_RUN</x:v>
      </x:c>
      <x:c r="J97" s="25" t="str">
        <x:v>NOT_RUN</x:v>
      </x:c>
      <x:c r="K97" s="25" t="n">
        <x:v>1</x:v>
      </x:c>
      <x:c r="L97" s="27" t="b">
        <x:v>0</x:v>
      </x:c>
      <x:c r="M97" s="25" t="str">
        <x:v>Deepseek-flash-v4/state/Round1/shards/Closure.json</x:v>
      </x:c>
      <x:c r="N97" s="25" t="str">
        <x:v>Deepseek-flash-v4/Result/Closure_126/result.json</x:v>
      </x:c>
      <x:c r="O97" s="25" t="str">
        <x:v>Deepseek-flash-v4/Result/Closure_126/result.json</x:v>
      </x:c>
      <x:c r="P97" t="str">
        <x:v>BOTH_NOT_RUN</x:v>
      </x:c>
      <x:c r="Q97" s="21" t="str"/>
      <x:c r="R97" s="21" t="str"/>
      <x:c r="S97" s="21" t="str"/>
      <x:c r="T97" s="17" t="str">
        <x:v>false</x:v>
      </x:c>
      <x:c r="U97" s="17" t="str">
        <x:v>true</x:v>
      </x:c>
      <x:c r="V97" s="17" t="str">
        <x:v>false</x:v>
      </x:c>
    </x:row>
    <x:row r="98" ht="80" customHeight="1">
      <x:c r="A98" s="25" t="str">
        <x:v>Closure</x:v>
      </x:c>
      <x:c r="B98" s="25" t="n">
        <x:v>127</x:v>
      </x:c>
      <x:c r="C98" s="25" t="str">
        <x:v>Round1</x:v>
      </x:c>
      <x:c r="D98" s="25" t="str">
        <x:v>NOT_AVAILABLE</x:v>
      </x:c>
      <x:c r="E98" s="25" t="str">
        <x:v>N/A</x:v>
      </x:c>
      <x:c r="F98" s="26" t="str">
        <x:v>Tests exist but current coverage did not complete</x:v>
      </x:c>
      <x:c r="G98" s="25" t="str">
        <x:v>true</x:v>
      </x:c>
      <x:c r="H98" s="25" t="str">
        <x:v>NOT_AVAILABLE</x:v>
      </x:c>
      <x:c r="I98" s="25" t="str">
        <x:v>NOT_RUN</x:v>
      </x:c>
      <x:c r="J98" s="25" t="str">
        <x:v>NOT_RUN</x:v>
      </x:c>
      <x:c r="K98" s="25" t="n">
        <x:v>1</x:v>
      </x:c>
      <x:c r="L98" s="27" t="b">
        <x:v>0</x:v>
      </x:c>
      <x:c r="M98" s="25" t="str">
        <x:v>Deepseek-flash-v4/state/Round1/shards/Closure.json</x:v>
      </x:c>
      <x:c r="N98" s="25" t="str">
        <x:v>Deepseek-flash-v4/Result/Closure_127/result.json</x:v>
      </x:c>
      <x:c r="O98" s="25" t="str">
        <x:v>Deepseek-flash-v4/Result/Closure_127/result.json</x:v>
      </x:c>
      <x:c r="P98" t="str">
        <x:v>BOTH_NOT_RUN</x:v>
      </x:c>
      <x:c r="Q98" s="21" t="str"/>
      <x:c r="R98" s="21" t="str"/>
      <x:c r="S98" s="21" t="str"/>
      <x:c r="T98" s="17" t="str">
        <x:v>false</x:v>
      </x:c>
      <x:c r="U98" s="17" t="str">
        <x:v>true</x:v>
      </x:c>
      <x:c r="V98" s="17" t="str">
        <x:v>false</x:v>
      </x:c>
    </x:row>
    <x:row r="99" ht="80" customHeight="1">
      <x:c r="A99" s="25" t="str">
        <x:v>Closure</x:v>
      </x:c>
      <x:c r="B99" s="25" t="n">
        <x:v>128</x:v>
      </x:c>
      <x:c r="C99" s="25" t="str">
        <x:v>Round1</x:v>
      </x:c>
      <x:c r="D99" s="25" t="str">
        <x:v>NOT_AVAILABLE</x:v>
      </x:c>
      <x:c r="E99" s="25" t="str">
        <x:v>N/A</x:v>
      </x:c>
      <x:c r="F99" s="26" t="str">
        <x:v>Tests exist but current coverage did not complete</x:v>
      </x:c>
      <x:c r="G99" s="25" t="str">
        <x:v>true</x:v>
      </x:c>
      <x:c r="H99" s="25" t="str">
        <x:v>NOT_AVAILABLE</x:v>
      </x:c>
      <x:c r="I99" s="25" t="str">
        <x:v>NOT_RUN</x:v>
      </x:c>
      <x:c r="J99" s="25" t="str">
        <x:v>NOT_RUN</x:v>
      </x:c>
      <x:c r="K99" s="25" t="n">
        <x:v>1</x:v>
      </x:c>
      <x:c r="L99" s="27" t="b">
        <x:v>0</x:v>
      </x:c>
      <x:c r="M99" s="25" t="str">
        <x:v>Deepseek-flash-v4/state/Round1/shards/Closure.json</x:v>
      </x:c>
      <x:c r="N99" s="25" t="str">
        <x:v>Deepseek-flash-v4/Result/Closure_128/result.json</x:v>
      </x:c>
      <x:c r="O99" s="25" t="str">
        <x:v>Deepseek-flash-v4/Result/Closure_128/result.json</x:v>
      </x:c>
      <x:c r="P99" t="str">
        <x:v>BOTH_NOT_RUN</x:v>
      </x:c>
      <x:c r="Q99" s="21" t="str"/>
      <x:c r="R99" s="21" t="str"/>
      <x:c r="S99" s="21" t="str"/>
      <x:c r="T99" s="17" t="str">
        <x:v>false</x:v>
      </x:c>
      <x:c r="U99" s="17" t="str">
        <x:v>true</x:v>
      </x:c>
      <x:c r="V99" s="17" t="str">
        <x:v>false</x:v>
      </x:c>
    </x:row>
    <x:row r="100" ht="80" customHeight="1">
      <x:c r="A100" s="25" t="str">
        <x:v>Closure</x:v>
      </x:c>
      <x:c r="B100" s="25" t="n">
        <x:v>129</x:v>
      </x:c>
      <x:c r="C100" s="25" t="str">
        <x:v>Round1</x:v>
      </x:c>
      <x:c r="D100" s="25" t="str">
        <x:v>NOT_AVAILABLE</x:v>
      </x:c>
      <x:c r="E100" s="25" t="str">
        <x:v>N/A</x:v>
      </x:c>
      <x:c r="F100" s="26" t="str">
        <x:v>Tests exist but current coverage did not complete</x:v>
      </x:c>
      <x:c r="G100" s="25" t="str">
        <x:v>true</x:v>
      </x:c>
      <x:c r="H100" s="25" t="str">
        <x:v>NOT_AVAILABLE</x:v>
      </x:c>
      <x:c r="I100" s="25" t="str">
        <x:v>NOT_RUN</x:v>
      </x:c>
      <x:c r="J100" s="25" t="str">
        <x:v>NOT_RUN</x:v>
      </x:c>
      <x:c r="K100" s="25" t="n">
        <x:v>1</x:v>
      </x:c>
      <x:c r="L100" s="27" t="b">
        <x:v>0</x:v>
      </x:c>
      <x:c r="M100" s="25" t="str">
        <x:v>Deepseek-flash-v4/state/Round1/shards/Closure.json</x:v>
      </x:c>
      <x:c r="N100" s="25" t="str">
        <x:v>Deepseek-flash-v4/Result/Closure_129/result.json</x:v>
      </x:c>
      <x:c r="O100" s="25" t="str">
        <x:v>Deepseek-flash-v4/Result/Closure_129/result.json</x:v>
      </x:c>
      <x:c r="P100" t="str">
        <x:v>BOTH_NOT_RUN</x:v>
      </x:c>
      <x:c r="Q100" s="21" t="str"/>
      <x:c r="R100" s="21" t="str"/>
      <x:c r="S100" s="21" t="str"/>
      <x:c r="T100" s="17" t="str">
        <x:v>false</x:v>
      </x:c>
      <x:c r="U100" s="17" t="str">
        <x:v>true</x:v>
      </x:c>
      <x:c r="V100" s="17" t="str">
        <x:v>false</x:v>
      </x:c>
    </x:row>
    <x:row r="101" ht="80" customHeight="1">
      <x:c r="A101" s="25" t="str">
        <x:v>Closure</x:v>
      </x:c>
      <x:c r="B101" s="25" t="n">
        <x:v>13</x:v>
      </x:c>
      <x:c r="C101" s="25" t="str">
        <x:v>Round1</x:v>
      </x:c>
      <x:c r="D101" s="25" t="str">
        <x:v>NOT_AVAILABLE</x:v>
      </x:c>
      <x:c r="E101" s="25" t="str">
        <x:v>N/A</x:v>
      </x:c>
      <x:c r="F101" s="26" t="str">
        <x:v>Tests exist but current coverage did not complete</x:v>
      </x:c>
      <x:c r="G101" s="25" t="str">
        <x:v>true</x:v>
      </x:c>
      <x:c r="H101" s="25" t="str">
        <x:v>NOT_AVAILABLE</x:v>
      </x:c>
      <x:c r="I101" s="25" t="str">
        <x:v>NOT_RUN</x:v>
      </x:c>
      <x:c r="J101" s="25" t="str">
        <x:v>NOT_RUN</x:v>
      </x:c>
      <x:c r="K101" s="25" t="n">
        <x:v>1</x:v>
      </x:c>
      <x:c r="L101" s="27" t="b">
        <x:v>0</x:v>
      </x:c>
      <x:c r="M101" s="25" t="str">
        <x:v>Deepseek-flash-v4/state/Round1/shards/Closure.json</x:v>
      </x:c>
      <x:c r="N101" s="25" t="str">
        <x:v>Deepseek-flash-v4/Result/Closure_13/result.json</x:v>
      </x:c>
      <x:c r="O101" s="25" t="str">
        <x:v>Deepseek-flash-v4/Result/Closure_13/result.json</x:v>
      </x:c>
      <x:c r="P101" t="str">
        <x:v>BOTH_NOT_RUN</x:v>
      </x:c>
      <x:c r="Q101" s="21" t="str"/>
      <x:c r="R101" s="21" t="str"/>
      <x:c r="S101" s="21" t="str"/>
      <x:c r="T101" s="17" t="str">
        <x:v>false</x:v>
      </x:c>
      <x:c r="U101" s="17" t="str">
        <x:v>true</x:v>
      </x:c>
      <x:c r="V101" s="17" t="str">
        <x:v>false</x:v>
      </x:c>
    </x:row>
    <x:row r="102" ht="80" customHeight="1">
      <x:c r="A102" s="25" t="str">
        <x:v>Closure</x:v>
      </x:c>
      <x:c r="B102" s="25" t="n">
        <x:v>130</x:v>
      </x:c>
      <x:c r="C102" s="25" t="str">
        <x:v>Round1</x:v>
      </x:c>
      <x:c r="D102" s="25" t="str">
        <x:v>NOT_AVAILABLE</x:v>
      </x:c>
      <x:c r="E102" s="25" t="str">
        <x:v>N/A</x:v>
      </x:c>
      <x:c r="F102" s="26" t="str">
        <x:v>Tests exist but current coverage did not complete</x:v>
      </x:c>
      <x:c r="G102" s="25" t="str">
        <x:v>true</x:v>
      </x:c>
      <x:c r="H102" s="25" t="str">
        <x:v>NOT_AVAILABLE</x:v>
      </x:c>
      <x:c r="I102" s="25" t="str">
        <x:v>NOT_RUN</x:v>
      </x:c>
      <x:c r="J102" s="25" t="str">
        <x:v>NOT_RUN</x:v>
      </x:c>
      <x:c r="K102" s="25" t="n">
        <x:v>1</x:v>
      </x:c>
      <x:c r="L102" s="27" t="b">
        <x:v>0</x:v>
      </x:c>
      <x:c r="M102" s="25" t="str">
        <x:v>Deepseek-flash-v4/state/Round1/shards/Closure.json</x:v>
      </x:c>
      <x:c r="N102" s="25" t="str">
        <x:v>Deepseek-flash-v4/Result/Closure_130/result.json</x:v>
      </x:c>
      <x:c r="O102" s="25" t="str">
        <x:v>Deepseek-flash-v4/Result/Closure_130/result.json</x:v>
      </x:c>
      <x:c r="P102" t="str">
        <x:v>BOTH_NOT_RUN</x:v>
      </x:c>
      <x:c r="Q102" s="21" t="str"/>
      <x:c r="R102" s="21" t="str"/>
      <x:c r="S102" s="21" t="str"/>
      <x:c r="T102" s="17" t="str">
        <x:v>false</x:v>
      </x:c>
      <x:c r="U102" s="17" t="str">
        <x:v>true</x:v>
      </x:c>
      <x:c r="V102" s="17" t="str">
        <x:v>false</x:v>
      </x:c>
    </x:row>
    <x:row r="103" ht="80" customHeight="1">
      <x:c r="A103" s="25" t="str">
        <x:v>Closure</x:v>
      </x:c>
      <x:c r="B103" s="25" t="n">
        <x:v>131</x:v>
      </x:c>
      <x:c r="C103" s="25" t="str">
        <x:v>Round1</x:v>
      </x:c>
      <x:c r="D103" s="25" t="str">
        <x:v>REVEALING</x:v>
      </x:c>
      <x:c r="E103" s="25" t="str">
        <x:v>N/A</x:v>
      </x:c>
      <x:c r="F103" s="26" t="str">
        <x:v>Same saved validation suite failed on buggy and passed on fixed</x:v>
      </x:c>
      <x:c r="G103" s="25" t="str">
        <x:v>true</x:v>
      </x:c>
      <x:c r="H103" s="25" t="str">
        <x:v>REVEALING</x:v>
      </x:c>
      <x:c r="I103" s="25" t="str">
        <x:v>FAIL</x:v>
      </x:c>
      <x:c r="J103" s="25" t="str">
        <x:v>PASS</x:v>
      </x:c>
      <x:c r="K103" s="25" t="n">
        <x:v>1</x:v>
      </x:c>
      <x:c r="L103" s="27" t="b">
        <x:v>0</x:v>
      </x:c>
      <x:c r="M103" s="25" t="str">
        <x:v>Deepseek-flash-v4/state/Round1/shards/Closure.json</x:v>
      </x:c>
      <x:c r="N103" s="25" t="str">
        <x:v>Deepseek-flash-v4/Result/Closure_131/result.json</x:v>
      </x:c>
      <x:c r="O103" s="25" t="str">
        <x:v>Deepseek-flash-v4/Result/Closure_131/result.json</x:v>
      </x:c>
      <x:c r="P103"/>
      <x:c r="Q103" s="21" t="str"/>
      <x:c r="R103" s="21" t="str"/>
      <x:c r="S103" s="21" t="str"/>
      <x:c r="T103" s="17" t="str">
        <x:v>false</x:v>
      </x:c>
      <x:c r="U103" s="17" t="str">
        <x:v>true</x:v>
      </x:c>
      <x:c r="V103" s="17" t="str">
        <x:v>false</x:v>
      </x:c>
    </x:row>
    <x:row r="104" ht="80" customHeight="1">
      <x:c r="A104" s="25" t="str">
        <x:v>Closure</x:v>
      </x:c>
      <x:c r="B104" s="25" t="n">
        <x:v>132</x:v>
      </x:c>
      <x:c r="C104" s="25" t="str">
        <x:v>Round1</x:v>
      </x:c>
      <x:c r="D104" s="25" t="str">
        <x:v>NOT_AVAILABLE</x:v>
      </x:c>
      <x:c r="E104" s="25" t="str">
        <x:v>N/A</x:v>
      </x:c>
      <x:c r="F104" s="26" t="str">
        <x:v>Tests exist but current coverage did not complete</x:v>
      </x:c>
      <x:c r="G104" s="25" t="str">
        <x:v>true</x:v>
      </x:c>
      <x:c r="H104" s="25" t="str">
        <x:v>NOT_AVAILABLE</x:v>
      </x:c>
      <x:c r="I104" s="25" t="str">
        <x:v>NOT_RUN</x:v>
      </x:c>
      <x:c r="J104" s="25" t="str">
        <x:v>NOT_RUN</x:v>
      </x:c>
      <x:c r="K104" s="25" t="n">
        <x:v>1</x:v>
      </x:c>
      <x:c r="L104" s="27" t="b">
        <x:v>0</x:v>
      </x:c>
      <x:c r="M104" s="25" t="str">
        <x:v>Deepseek-flash-v4/state/Round1/shards/Closure.json</x:v>
      </x:c>
      <x:c r="N104" s="25" t="str">
        <x:v>Deepseek-flash-v4/Result/Closure_132/result.json</x:v>
      </x:c>
      <x:c r="O104" s="25" t="str">
        <x:v>Deepseek-flash-v4/Result/Closure_132/result.json</x:v>
      </x:c>
      <x:c r="P104" t="str">
        <x:v>BOTH_NOT_RUN</x:v>
      </x:c>
      <x:c r="Q104" s="21" t="str"/>
      <x:c r="R104" s="21" t="str"/>
      <x:c r="S104" s="21" t="str"/>
      <x:c r="T104" s="17" t="str">
        <x:v>false</x:v>
      </x:c>
      <x:c r="U104" s="17" t="str">
        <x:v>true</x:v>
      </x:c>
      <x:c r="V104" s="17" t="str">
        <x:v>false</x:v>
      </x:c>
    </x:row>
    <x:row r="105" ht="80" customHeight="1">
      <x:c r="A105" s="25" t="str">
        <x:v>Closure</x:v>
      </x:c>
      <x:c r="B105" s="25" t="n">
        <x:v>133</x:v>
      </x:c>
      <x:c r="C105" s="25" t="str">
        <x:v>Round1</x:v>
      </x:c>
      <x:c r="D105" s="25" t="str">
        <x:v>NOT_AVAILABLE</x:v>
      </x:c>
      <x:c r="E105" s="25" t="str">
        <x:v>N/A</x:v>
      </x:c>
      <x:c r="F105" s="26" t="str">
        <x:v>Tests exist but current coverage did not complete</x:v>
      </x:c>
      <x:c r="G105" s="25" t="str">
        <x:v>true</x:v>
      </x:c>
      <x:c r="H105" s="25" t="str">
        <x:v>NOT_AVAILABLE</x:v>
      </x:c>
      <x:c r="I105" s="25" t="str">
        <x:v>NOT_RUN</x:v>
      </x:c>
      <x:c r="J105" s="25" t="str">
        <x:v>NOT_RUN</x:v>
      </x:c>
      <x:c r="K105" s="25" t="n">
        <x:v>1</x:v>
      </x:c>
      <x:c r="L105" s="27" t="b">
        <x:v>0</x:v>
      </x:c>
      <x:c r="M105" s="25" t="str">
        <x:v>Deepseek-flash-v4/state/Round1/shards/Closure.json</x:v>
      </x:c>
      <x:c r="N105" s="25" t="str">
        <x:v>Deepseek-flash-v4/Result/Closure_133/result.json</x:v>
      </x:c>
      <x:c r="O105" s="25" t="str">
        <x:v>Deepseek-flash-v4/Result/Closure_133/result.json</x:v>
      </x:c>
      <x:c r="P105" t="str">
        <x:v>BOTH_NOT_RUN</x:v>
      </x:c>
      <x:c r="Q105" s="21" t="str"/>
      <x:c r="R105" s="21" t="str"/>
      <x:c r="S105" s="21" t="str"/>
      <x:c r="T105" s="17" t="str">
        <x:v>false</x:v>
      </x:c>
      <x:c r="U105" s="17" t="str">
        <x:v>true</x:v>
      </x:c>
      <x:c r="V105" s="17" t="str">
        <x:v>false</x:v>
      </x:c>
    </x:row>
    <x:row r="106" ht="80" customHeight="1">
      <x:c r="A106" s="25" t="str">
        <x:v>Closure</x:v>
      </x:c>
      <x:c r="B106" s="25" t="n">
        <x:v>134</x:v>
      </x:c>
      <x:c r="C106" s="25" t="str">
        <x:v>Round1</x:v>
      </x:c>
      <x:c r="D106" s="25" t="str">
        <x:v>NOT_AVAILABLE</x:v>
      </x:c>
      <x:c r="E106" s="25" t="str">
        <x:v>N/A</x:v>
      </x:c>
      <x:c r="F106" s="26" t="str">
        <x:v>Tests exist but current coverage did not complete</x:v>
      </x:c>
      <x:c r="G106" s="25" t="str">
        <x:v>true</x:v>
      </x:c>
      <x:c r="H106" s="25" t="str">
        <x:v>NOT_AVAILABLE</x:v>
      </x:c>
      <x:c r="I106" s="25" t="str">
        <x:v>NOT_RUN</x:v>
      </x:c>
      <x:c r="J106" s="25" t="str">
        <x:v>NOT_RUN</x:v>
      </x:c>
      <x:c r="K106" s="25" t="n">
        <x:v>2</x:v>
      </x:c>
      <x:c r="L106" s="27" t="b">
        <x:v>0</x:v>
      </x:c>
      <x:c r="M106" s="25" t="str">
        <x:v>Deepseek-flash-v4/state/Round1/shards/Closure.json</x:v>
      </x:c>
      <x:c r="N106" s="25" t="str">
        <x:v>Deepseek-flash-v4/Result/Closure_134/result.json</x:v>
      </x:c>
      <x:c r="O106" s="25" t="str">
        <x:v>Deepseek-flash-v4/Result/Closure_134/result.json</x:v>
      </x:c>
      <x:c r="P106" t="str">
        <x:v>BOTH_NOT_RUN</x:v>
      </x:c>
      <x:c r="Q106" s="21" t="str"/>
      <x:c r="R106" s="21" t="str"/>
      <x:c r="S106" s="21" t="str"/>
      <x:c r="T106" s="17" t="str">
        <x:v>false</x:v>
      </x:c>
      <x:c r="U106" s="17" t="str">
        <x:v>true</x:v>
      </x:c>
      <x:c r="V106" s="17" t="str">
        <x:v>false</x:v>
      </x:c>
    </x:row>
    <x:row r="107" ht="80" customHeight="1">
      <x:c r="A107" s="25" t="str">
        <x:v>Closure</x:v>
      </x:c>
      <x:c r="B107" s="25" t="n">
        <x:v>135</x:v>
      </x:c>
      <x:c r="C107" s="25" t="str">
        <x:v>Round1</x:v>
      </x:c>
      <x:c r="D107" s="25" t="str">
        <x:v>NOT_AVAILABLE</x:v>
      </x:c>
      <x:c r="E107" s="25" t="str">
        <x:v>N/A</x:v>
      </x:c>
      <x:c r="F107" s="26" t="str">
        <x:v>Tests exist but current coverage did not complete</x:v>
      </x:c>
      <x:c r="G107" s="25" t="str">
        <x:v>true</x:v>
      </x:c>
      <x:c r="H107" s="25" t="str">
        <x:v>NOT_AVAILABLE</x:v>
      </x:c>
      <x:c r="I107" s="25" t="str">
        <x:v>NOT_RUN</x:v>
      </x:c>
      <x:c r="J107" s="25" t="str">
        <x:v>NOT_RUN</x:v>
      </x:c>
      <x:c r="K107" s="25" t="n">
        <x:v>2</x:v>
      </x:c>
      <x:c r="L107" s="27" t="b">
        <x:v>0</x:v>
      </x:c>
      <x:c r="M107" s="25" t="str">
        <x:v>Deepseek-flash-v4/state/Round1/shards/Closure.json</x:v>
      </x:c>
      <x:c r="N107" s="25" t="str">
        <x:v>Deepseek-flash-v4/Result/Closure_135/result.json</x:v>
      </x:c>
      <x:c r="O107" s="25" t="str">
        <x:v>Deepseek-flash-v4/Result/Closure_135/result.json</x:v>
      </x:c>
      <x:c r="P107" t="str">
        <x:v>BOTH_NOT_RUN</x:v>
      </x:c>
      <x:c r="Q107" s="21" t="str"/>
      <x:c r="R107" s="21" t="str"/>
      <x:c r="S107" s="21" t="str"/>
      <x:c r="T107" s="17" t="str">
        <x:v>false</x:v>
      </x:c>
      <x:c r="U107" s="17" t="str">
        <x:v>true</x:v>
      </x:c>
      <x:c r="V107" s="17" t="str">
        <x:v>false</x:v>
      </x:c>
    </x:row>
    <x:row r="108" ht="80" customHeight="1">
      <x:c r="A108" s="25" t="str">
        <x:v>Closure</x:v>
      </x:c>
      <x:c r="B108" s="25" t="n">
        <x:v>136</x:v>
      </x:c>
      <x:c r="C108" s="25" t="str">
        <x:v>Round1</x:v>
      </x:c>
      <x:c r="D108" s="25" t="str">
        <x:v>NOT_AVAILABLE</x:v>
      </x:c>
      <x:c r="E108" s="25" t="str">
        <x:v>N/A</x:v>
      </x:c>
      <x:c r="F108" s="26" t="str">
        <x:v>Tests exist but current coverage did not complete</x:v>
      </x:c>
      <x:c r="G108" s="25" t="str">
        <x:v>true</x:v>
      </x:c>
      <x:c r="H108" s="25" t="str">
        <x:v>NOT_AVAILABLE</x:v>
      </x:c>
      <x:c r="I108" s="25" t="str">
        <x:v>NOT_RUN</x:v>
      </x:c>
      <x:c r="J108" s="25" t="str">
        <x:v>NOT_RUN</x:v>
      </x:c>
      <x:c r="K108" s="25" t="n">
        <x:v>2</x:v>
      </x:c>
      <x:c r="L108" s="27" t="b">
        <x:v>0</x:v>
      </x:c>
      <x:c r="M108" s="25" t="str">
        <x:v>Deepseek-flash-v4/state/Round1/shards/Closure.json</x:v>
      </x:c>
      <x:c r="N108" s="25" t="str">
        <x:v>Deepseek-flash-v4/Result/Closure_136/result.json</x:v>
      </x:c>
      <x:c r="O108" s="25" t="str">
        <x:v>Deepseek-flash-v4/Result/Closure_136/result.json</x:v>
      </x:c>
      <x:c r="P108" t="str">
        <x:v>BOTH_NOT_RUN</x:v>
      </x:c>
      <x:c r="Q108" s="21" t="str"/>
      <x:c r="R108" s="21" t="str"/>
      <x:c r="S108" s="21" t="str"/>
      <x:c r="T108" s="17" t="str">
        <x:v>false</x:v>
      </x:c>
      <x:c r="U108" s="17" t="str">
        <x:v>true</x:v>
      </x:c>
      <x:c r="V108" s="17" t="str">
        <x:v>false</x:v>
      </x:c>
    </x:row>
    <x:row r="109" ht="80" customHeight="1">
      <x:c r="A109" s="25" t="str">
        <x:v>Closure</x:v>
      </x:c>
      <x:c r="B109" s="25" t="n">
        <x:v>137</x:v>
      </x:c>
      <x:c r="C109" s="25" t="str">
        <x:v>Round1</x:v>
      </x:c>
      <x:c r="D109" s="25" t="str">
        <x:v>NOT_AVAILABLE</x:v>
      </x:c>
      <x:c r="E109" s="25" t="str">
        <x:v>N/A</x:v>
      </x:c>
      <x:c r="F109" s="26" t="str">
        <x:v>Tests exist but current coverage did not complete</x:v>
      </x:c>
      <x:c r="G109" s="25" t="str">
        <x:v>true</x:v>
      </x:c>
      <x:c r="H109" s="25" t="str">
        <x:v>NOT_AVAILABLE</x:v>
      </x:c>
      <x:c r="I109" s="25" t="str">
        <x:v>NOT_RUN</x:v>
      </x:c>
      <x:c r="J109" s="25" t="str">
        <x:v>NOT_RUN</x:v>
      </x:c>
      <x:c r="K109" s="25" t="n">
        <x:v>3</x:v>
      </x:c>
      <x:c r="L109" s="27" t="b">
        <x:v>0</x:v>
      </x:c>
      <x:c r="M109" s="25" t="str">
        <x:v>Deepseek-flash-v4/state/Round1/shards/Closure.json</x:v>
      </x:c>
      <x:c r="N109" s="25" t="str">
        <x:v>Deepseek-flash-v4/Result/Closure_137/result.json</x:v>
      </x:c>
      <x:c r="O109" s="25" t="str">
        <x:v>Deepseek-flash-v4/Result/Closure_137/result.json</x:v>
      </x:c>
      <x:c r="P109" t="str">
        <x:v>BOTH_NOT_RUN</x:v>
      </x:c>
      <x:c r="Q109" s="21" t="str"/>
      <x:c r="R109" s="21" t="str"/>
      <x:c r="S109" s="21" t="str"/>
      <x:c r="T109" s="17" t="str">
        <x:v>false</x:v>
      </x:c>
      <x:c r="U109" s="17" t="str">
        <x:v>true</x:v>
      </x:c>
      <x:c r="V109" s="17" t="str">
        <x:v>false</x:v>
      </x:c>
    </x:row>
    <x:row r="110" ht="80" customHeight="1">
      <x:c r="A110" s="25" t="str">
        <x:v>Closure</x:v>
      </x:c>
      <x:c r="B110" s="25" t="n">
        <x:v>138</x:v>
      </x:c>
      <x:c r="C110" s="25" t="str">
        <x:v>Round1</x:v>
      </x:c>
      <x:c r="D110" s="25" t="str">
        <x:v>NOT_AVAILABLE</x:v>
      </x:c>
      <x:c r="E110" s="25" t="str">
        <x:v>N/A</x:v>
      </x:c>
      <x:c r="F110" s="26" t="str">
        <x:v>Tests exist but current coverage did not complete</x:v>
      </x:c>
      <x:c r="G110" s="25" t="str">
        <x:v>true</x:v>
      </x:c>
      <x:c r="H110" s="25" t="str">
        <x:v>NOT_AVAILABLE</x:v>
      </x:c>
      <x:c r="I110" s="25" t="str">
        <x:v>NOT_RUN</x:v>
      </x:c>
      <x:c r="J110" s="25" t="str">
        <x:v>NOT_RUN</x:v>
      </x:c>
      <x:c r="K110" s="25" t="n">
        <x:v>2</x:v>
      </x:c>
      <x:c r="L110" s="27" t="b">
        <x:v>0</x:v>
      </x:c>
      <x:c r="M110" s="25" t="str">
        <x:v>Deepseek-flash-v4/state/Round1/shards/Closure.json</x:v>
      </x:c>
      <x:c r="N110" s="25" t="str">
        <x:v>Deepseek-flash-v4/Result/Closure_138/result.json</x:v>
      </x:c>
      <x:c r="O110" s="25" t="str">
        <x:v>Deepseek-flash-v4/Result/Closure_138/result.json</x:v>
      </x:c>
      <x:c r="P110" t="str">
        <x:v>BOTH_NOT_RUN</x:v>
      </x:c>
      <x:c r="Q110" s="21" t="str"/>
      <x:c r="R110" s="21" t="str"/>
      <x:c r="S110" s="21" t="str"/>
      <x:c r="T110" s="17" t="str">
        <x:v>false</x:v>
      </x:c>
      <x:c r="U110" s="17" t="str">
        <x:v>true</x:v>
      </x:c>
      <x:c r="V110" s="17" t="str">
        <x:v>false</x:v>
      </x:c>
    </x:row>
    <x:row r="111" ht="80" customHeight="1">
      <x:c r="A111" s="25" t="str">
        <x:v>Closure</x:v>
      </x:c>
      <x:c r="B111" s="25" t="n">
        <x:v>139</x:v>
      </x:c>
      <x:c r="C111" s="25" t="str">
        <x:v>Round1</x:v>
      </x:c>
      <x:c r="D111" s="25" t="str">
        <x:v>NOT_AVAILABLE</x:v>
      </x:c>
      <x:c r="E111" s="25" t="str">
        <x:v>N/A</x:v>
      </x:c>
      <x:c r="F111" s="26" t="str">
        <x:v>Tests exist but current coverage did not complete</x:v>
      </x:c>
      <x:c r="G111" s="25" t="str">
        <x:v>true</x:v>
      </x:c>
      <x:c r="H111" s="25" t="str">
        <x:v>NOT_AVAILABLE</x:v>
      </x:c>
      <x:c r="I111" s="25" t="str">
        <x:v>NOT_RUN</x:v>
      </x:c>
      <x:c r="J111" s="25" t="str">
        <x:v>NOT_RUN</x:v>
      </x:c>
      <x:c r="K111" s="25" t="n">
        <x:v>1</x:v>
      </x:c>
      <x:c r="L111" s="27" t="b">
        <x:v>0</x:v>
      </x:c>
      <x:c r="M111" s="25" t="str">
        <x:v>Deepseek-flash-v4/state/Round1/shards/Closure.json</x:v>
      </x:c>
      <x:c r="N111" s="25" t="str">
        <x:v>Deepseek-flash-v4/Result/Closure_139/result.json</x:v>
      </x:c>
      <x:c r="O111" s="25" t="str">
        <x:v>Deepseek-flash-v4/Result/Closure_139/result.json</x:v>
      </x:c>
      <x:c r="P111" t="str">
        <x:v>BOTH_NOT_RUN</x:v>
      </x:c>
      <x:c r="Q111" s="21" t="str"/>
      <x:c r="R111" s="21" t="str"/>
      <x:c r="S111" s="21" t="str"/>
      <x:c r="T111" s="17" t="str">
        <x:v>false</x:v>
      </x:c>
      <x:c r="U111" s="17" t="str">
        <x:v>true</x:v>
      </x:c>
      <x:c r="V111" s="17" t="str">
        <x:v>false</x:v>
      </x:c>
    </x:row>
    <x:row r="112" ht="80" customHeight="1">
      <x:c r="A112" s="25" t="str">
        <x:v>Closure</x:v>
      </x:c>
      <x:c r="B112" s="25" t="n">
        <x:v>14</x:v>
      </x:c>
      <x:c r="C112" s="25" t="str">
        <x:v>Round1</x:v>
      </x:c>
      <x:c r="D112" s="25" t="str">
        <x:v>NOT_AVAILABLE</x:v>
      </x:c>
      <x:c r="E112" s="25" t="str">
        <x:v>N/A</x:v>
      </x:c>
      <x:c r="F112" s="26" t="str">
        <x:v>Tests exist but current coverage did not complete</x:v>
      </x:c>
      <x:c r="G112" s="25" t="str">
        <x:v>true</x:v>
      </x:c>
      <x:c r="H112" s="25" t="str">
        <x:v>NOT_AVAILABLE</x:v>
      </x:c>
      <x:c r="I112" s="25" t="str">
        <x:v>NOT_RUN</x:v>
      </x:c>
      <x:c r="J112" s="25" t="str">
        <x:v>NOT_RUN</x:v>
      </x:c>
      <x:c r="K112" s="25" t="n">
        <x:v>1</x:v>
      </x:c>
      <x:c r="L112" s="27" t="b">
        <x:v>0</x:v>
      </x:c>
      <x:c r="M112" s="25" t="str">
        <x:v>Deepseek-flash-v4/state/Round1/shards/Closure.json</x:v>
      </x:c>
      <x:c r="N112" s="25" t="str">
        <x:v>Deepseek-flash-v4/Result/Closure_14/result.json</x:v>
      </x:c>
      <x:c r="O112" s="25" t="str">
        <x:v>Deepseek-flash-v4/Result/Closure_14/result.json</x:v>
      </x:c>
      <x:c r="P112" t="str">
        <x:v>BOTH_NOT_RUN</x:v>
      </x:c>
      <x:c r="Q112" s="21" t="str"/>
      <x:c r="R112" s="21" t="str"/>
      <x:c r="S112" s="21" t="str"/>
      <x:c r="T112" s="17" t="str">
        <x:v>false</x:v>
      </x:c>
      <x:c r="U112" s="17" t="str">
        <x:v>true</x:v>
      </x:c>
      <x:c r="V112" s="17" t="str">
        <x:v>false</x:v>
      </x:c>
    </x:row>
    <x:row r="113" ht="80" customHeight="1">
      <x:c r="A113" s="25" t="str">
        <x:v>Closure</x:v>
      </x:c>
      <x:c r="B113" s="25" t="n">
        <x:v>140</x:v>
      </x:c>
      <x:c r="C113" s="25" t="str">
        <x:v>Round1</x:v>
      </x:c>
      <x:c r="D113" s="25" t="str">
        <x:v>NOT_AVAILABLE</x:v>
      </x:c>
      <x:c r="E113" s="25" t="str">
        <x:v>N/A</x:v>
      </x:c>
      <x:c r="F113" s="26" t="str">
        <x:v>Tests exist but current coverage did not complete</x:v>
      </x:c>
      <x:c r="G113" s="25" t="str">
        <x:v>true</x:v>
      </x:c>
      <x:c r="H113" s="25" t="str">
        <x:v>NOT_AVAILABLE</x:v>
      </x:c>
      <x:c r="I113" s="25" t="str">
        <x:v>NOT_RUN</x:v>
      </x:c>
      <x:c r="J113" s="25" t="str">
        <x:v>NOT_RUN</x:v>
      </x:c>
      <x:c r="K113" s="25" t="n">
        <x:v>1</x:v>
      </x:c>
      <x:c r="L113" s="27" t="b">
        <x:v>0</x:v>
      </x:c>
      <x:c r="M113" s="25" t="str">
        <x:v>Deepseek-flash-v4/state/Round1/shards/Closure.json</x:v>
      </x:c>
      <x:c r="N113" s="25" t="str">
        <x:v>Deepseek-flash-v4/Result/Closure_140/result.json</x:v>
      </x:c>
      <x:c r="O113" s="25" t="str">
        <x:v>Deepseek-flash-v4/Result/Closure_140/result.json</x:v>
      </x:c>
      <x:c r="P113" t="str">
        <x:v>BOTH_NOT_RUN</x:v>
      </x:c>
      <x:c r="Q113" s="21" t="str"/>
      <x:c r="R113" s="21" t="str"/>
      <x:c r="S113" s="21" t="str"/>
      <x:c r="T113" s="17" t="str">
        <x:v>false</x:v>
      </x:c>
      <x:c r="U113" s="17" t="str">
        <x:v>true</x:v>
      </x:c>
      <x:c r="V113" s="17" t="str">
        <x:v>false</x:v>
      </x:c>
    </x:row>
    <x:row r="114" ht="80" customHeight="1">
      <x:c r="A114" s="25" t="str">
        <x:v>Closure</x:v>
      </x:c>
      <x:c r="B114" s="25" t="n">
        <x:v>141</x:v>
      </x:c>
      <x:c r="C114" s="25" t="str">
        <x:v>Round1</x:v>
      </x:c>
      <x:c r="D114" s="25" t="str">
        <x:v>NOT_AVAILABLE</x:v>
      </x:c>
      <x:c r="E114" s="25" t="str">
        <x:v>N/A</x:v>
      </x:c>
      <x:c r="F114" s="26" t="str">
        <x:v>Tests exist but current coverage did not complete</x:v>
      </x:c>
      <x:c r="G114" s="25" t="str">
        <x:v>true</x:v>
      </x:c>
      <x:c r="H114" s="25" t="str">
        <x:v>NOT_AVAILABLE</x:v>
      </x:c>
      <x:c r="I114" s="25" t="str">
        <x:v>NOT_RUN</x:v>
      </x:c>
      <x:c r="J114" s="25" t="str">
        <x:v>NOT_RUN</x:v>
      </x:c>
      <x:c r="K114" s="25" t="n">
        <x:v>2</x:v>
      </x:c>
      <x:c r="L114" s="27" t="b">
        <x:v>0</x:v>
      </x:c>
      <x:c r="M114" s="25" t="str">
        <x:v>Deepseek-flash-v4/state/Round1/shards/Closure.json</x:v>
      </x:c>
      <x:c r="N114" s="25" t="str">
        <x:v>Deepseek-flash-v4/Result/Closure_141/result.json</x:v>
      </x:c>
      <x:c r="O114" s="25" t="str">
        <x:v>Deepseek-flash-v4/Result/Closure_141/result.json</x:v>
      </x:c>
      <x:c r="P114" t="str">
        <x:v>BOTH_NOT_RUN</x:v>
      </x:c>
      <x:c r="Q114" s="21" t="str"/>
      <x:c r="R114" s="21" t="str"/>
      <x:c r="S114" s="21" t="str"/>
      <x:c r="T114" s="17" t="str">
        <x:v>false</x:v>
      </x:c>
      <x:c r="U114" s="17" t="str">
        <x:v>true</x:v>
      </x:c>
      <x:c r="V114" s="17" t="str">
        <x:v>false</x:v>
      </x:c>
    </x:row>
    <x:row r="115" ht="80" customHeight="1">
      <x:c r="A115" s="25" t="str">
        <x:v>Closure</x:v>
      </x:c>
      <x:c r="B115" s="25" t="n">
        <x:v>142</x:v>
      </x:c>
      <x:c r="C115" s="25" t="str">
        <x:v>Round1</x:v>
      </x:c>
      <x:c r="D115" s="25" t="str">
        <x:v>NOT_AVAILABLE</x:v>
      </x:c>
      <x:c r="E115" s="25" t="str">
        <x:v>N/A</x:v>
      </x:c>
      <x:c r="F115" s="26" t="str">
        <x:v>Tests exist but current coverage did not complete</x:v>
      </x:c>
      <x:c r="G115" s="25" t="str">
        <x:v>true</x:v>
      </x:c>
      <x:c r="H115" s="25" t="str">
        <x:v>NOT_AVAILABLE</x:v>
      </x:c>
      <x:c r="I115" s="25" t="str">
        <x:v>NOT_RUN</x:v>
      </x:c>
      <x:c r="J115" s="25" t="str">
        <x:v>NOT_RUN</x:v>
      </x:c>
      <x:c r="K115" s="25" t="n">
        <x:v>2</x:v>
      </x:c>
      <x:c r="L115" s="27" t="b">
        <x:v>0</x:v>
      </x:c>
      <x:c r="M115" s="25" t="str">
        <x:v>Deepseek-flash-v4/state/Round1/shards/Closure.json</x:v>
      </x:c>
      <x:c r="N115" s="25" t="str">
        <x:v>Deepseek-flash-v4/Result/Closure_142/result.json</x:v>
      </x:c>
      <x:c r="O115" s="25" t="str">
        <x:v>Deepseek-flash-v4/Result/Closure_142/result.json</x:v>
      </x:c>
      <x:c r="P115" t="str">
        <x:v>BOTH_NOT_RUN</x:v>
      </x:c>
      <x:c r="Q115" s="21" t="str"/>
      <x:c r="R115" s="21" t="str"/>
      <x:c r="S115" s="21" t="str"/>
      <x:c r="T115" s="17" t="str">
        <x:v>false</x:v>
      </x:c>
      <x:c r="U115" s="17" t="str">
        <x:v>true</x:v>
      </x:c>
      <x:c r="V115" s="17" t="str">
        <x:v>false</x:v>
      </x:c>
    </x:row>
    <x:row r="116" ht="80" customHeight="1">
      <x:c r="A116" s="25" t="str">
        <x:v>Closure</x:v>
      </x:c>
      <x:c r="B116" s="25" t="n">
        <x:v>143</x:v>
      </x:c>
      <x:c r="C116" s="25" t="str">
        <x:v>Round1</x:v>
      </x:c>
      <x:c r="D116" s="25" t="str">
        <x:v>NOT_AVAILABLE</x:v>
      </x:c>
      <x:c r="E116" s="25" t="str">
        <x:v>N/A</x:v>
      </x:c>
      <x:c r="F116" s="26" t="str">
        <x:v>Tests exist but current coverage did not complete</x:v>
      </x:c>
      <x:c r="G116" s="25" t="str">
        <x:v>true</x:v>
      </x:c>
      <x:c r="H116" s="25" t="str">
        <x:v>NOT_AVAILABLE</x:v>
      </x:c>
      <x:c r="I116" s="25" t="str">
        <x:v>NOT_RUN</x:v>
      </x:c>
      <x:c r="J116" s="25" t="str">
        <x:v>NOT_RUN</x:v>
      </x:c>
      <x:c r="K116" s="25" t="n">
        <x:v>2</x:v>
      </x:c>
      <x:c r="L116" s="27" t="b">
        <x:v>0</x:v>
      </x:c>
      <x:c r="M116" s="25" t="str">
        <x:v>Deepseek-flash-v4/state/Round1/shards/Closure.json</x:v>
      </x:c>
      <x:c r="N116" s="25" t="str">
        <x:v>Deepseek-flash-v4/Result/Closure_143/result.json</x:v>
      </x:c>
      <x:c r="O116" s="25" t="str">
        <x:v>Deepseek-flash-v4/Result/Closure_143/result.json</x:v>
      </x:c>
      <x:c r="P116" t="str">
        <x:v>BOTH_NOT_RUN</x:v>
      </x:c>
      <x:c r="Q116" s="21" t="str"/>
      <x:c r="R116" s="21" t="str"/>
      <x:c r="S116" s="21" t="str"/>
      <x:c r="T116" s="17" t="str">
        <x:v>false</x:v>
      </x:c>
      <x:c r="U116" s="17" t="str">
        <x:v>true</x:v>
      </x:c>
      <x:c r="V116" s="17" t="str">
        <x:v>false</x:v>
      </x:c>
    </x:row>
    <x:row r="117" ht="80" customHeight="1">
      <x:c r="A117" s="25" t="str">
        <x:v>Closure</x:v>
      </x:c>
      <x:c r="B117" s="25" t="n">
        <x:v>144</x:v>
      </x:c>
      <x:c r="C117" s="25" t="str">
        <x:v>Round1</x:v>
      </x:c>
      <x:c r="D117" s="25" t="str">
        <x:v>NOT_AVAILABLE</x:v>
      </x:c>
      <x:c r="E117" s="25" t="str">
        <x:v>N/A</x:v>
      </x:c>
      <x:c r="F117" s="26" t="str">
        <x:v>Tests exist but current coverage did not complete</x:v>
      </x:c>
      <x:c r="G117" s="25" t="str">
        <x:v>true</x:v>
      </x:c>
      <x:c r="H117" s="25" t="str">
        <x:v>NOT_AVAILABLE</x:v>
      </x:c>
      <x:c r="I117" s="25" t="str">
        <x:v>NOT_RUN</x:v>
      </x:c>
      <x:c r="J117" s="25" t="str">
        <x:v>NOT_RUN</x:v>
      </x:c>
      <x:c r="K117" s="25" t="n">
        <x:v>4</x:v>
      </x:c>
      <x:c r="L117" s="27" t="b">
        <x:v>0</x:v>
      </x:c>
      <x:c r="M117" s="25" t="str">
        <x:v>Deepseek-flash-v4/state/Round1/shards/Closure.json</x:v>
      </x:c>
      <x:c r="N117" s="25" t="str">
        <x:v>Deepseek-flash-v4/Result/Closure_144/result.json</x:v>
      </x:c>
      <x:c r="O117" s="25" t="str">
        <x:v>Deepseek-flash-v4/Result/Closure_144/result.json</x:v>
      </x:c>
      <x:c r="P117" t="str">
        <x:v>BOTH_NOT_RUN</x:v>
      </x:c>
      <x:c r="Q117" s="21" t="str"/>
      <x:c r="R117" s="21" t="str"/>
      <x:c r="S117" s="21" t="str"/>
      <x:c r="T117" s="17" t="str">
        <x:v>false</x:v>
      </x:c>
      <x:c r="U117" s="17" t="str">
        <x:v>true</x:v>
      </x:c>
      <x:c r="V117" s="17" t="str">
        <x:v>false</x:v>
      </x:c>
    </x:row>
    <x:row r="118" ht="80" customHeight="1">
      <x:c r="A118" s="25" t="str">
        <x:v>Closure</x:v>
      </x:c>
      <x:c r="B118" s="25" t="n">
        <x:v>145</x:v>
      </x:c>
      <x:c r="C118" s="25" t="str">
        <x:v>Round1</x:v>
      </x:c>
      <x:c r="D118" s="25" t="str">
        <x:v>NOT_AVAILABLE</x:v>
      </x:c>
      <x:c r="E118" s="25" t="str">
        <x:v>N/A</x:v>
      </x:c>
      <x:c r="F118" s="26" t="str">
        <x:v>Tests exist but current coverage did not complete</x:v>
      </x:c>
      <x:c r="G118" s="25" t="str">
        <x:v>true</x:v>
      </x:c>
      <x:c r="H118" s="25" t="str">
        <x:v>NOT_AVAILABLE</x:v>
      </x:c>
      <x:c r="I118" s="25" t="str">
        <x:v>NOT_RUN</x:v>
      </x:c>
      <x:c r="J118" s="25" t="str">
        <x:v>NOT_RUN</x:v>
      </x:c>
      <x:c r="K118" s="25" t="n">
        <x:v>1</x:v>
      </x:c>
      <x:c r="L118" s="27" t="b">
        <x:v>0</x:v>
      </x:c>
      <x:c r="M118" s="25" t="str">
        <x:v>Deepseek-flash-v4/state/Round1/shards/Closure.json</x:v>
      </x:c>
      <x:c r="N118" s="25" t="str">
        <x:v>Deepseek-flash-v4/Result/Closure_145/result.json</x:v>
      </x:c>
      <x:c r="O118" s="25" t="str">
        <x:v>Deepseek-flash-v4/Result/Closure_145/result.json</x:v>
      </x:c>
      <x:c r="P118" t="str">
        <x:v>BOTH_NOT_RUN</x:v>
      </x:c>
      <x:c r="Q118" s="21" t="str"/>
      <x:c r="R118" s="21" t="str"/>
      <x:c r="S118" s="21" t="str"/>
      <x:c r="T118" s="17" t="str">
        <x:v>false</x:v>
      </x:c>
      <x:c r="U118" s="17" t="str">
        <x:v>true</x:v>
      </x:c>
      <x:c r="V118" s="17" t="str">
        <x:v>false</x:v>
      </x:c>
    </x:row>
    <x:row r="119" ht="80" customHeight="1">
      <x:c r="A119" s="25" t="str">
        <x:v>Closure</x:v>
      </x:c>
      <x:c r="B119" s="25" t="n">
        <x:v>146</x:v>
      </x:c>
      <x:c r="C119" s="25" t="str">
        <x:v>Round1</x:v>
      </x:c>
      <x:c r="D119" s="25" t="str">
        <x:v>NOT_AVAILABLE</x:v>
      </x:c>
      <x:c r="E119" s="25" t="str">
        <x:v>N/A</x:v>
      </x:c>
      <x:c r="F119" s="26" t="str">
        <x:v>Tests exist but current coverage did not complete</x:v>
      </x:c>
      <x:c r="G119" s="25" t="str">
        <x:v>true</x:v>
      </x:c>
      <x:c r="H119" s="25" t="str">
        <x:v>NOT_AVAILABLE</x:v>
      </x:c>
      <x:c r="I119" s="25" t="str">
        <x:v>NOT_RUN</x:v>
      </x:c>
      <x:c r="J119" s="25" t="str">
        <x:v>NOT_RUN</x:v>
      </x:c>
      <x:c r="K119" s="25" t="n">
        <x:v>1</x:v>
      </x:c>
      <x:c r="L119" s="27" t="b">
        <x:v>0</x:v>
      </x:c>
      <x:c r="M119" s="25" t="str">
        <x:v>Deepseek-flash-v4/state/Round1/shards/Closure.json</x:v>
      </x:c>
      <x:c r="N119" s="25" t="str">
        <x:v>Deepseek-flash-v4/Result/Closure_146/result.json</x:v>
      </x:c>
      <x:c r="O119" s="25" t="str">
        <x:v>Deepseek-flash-v4/Result/Closure_146/result.json</x:v>
      </x:c>
      <x:c r="P119" t="str">
        <x:v>BOTH_NOT_RUN</x:v>
      </x:c>
      <x:c r="Q119" s="21" t="str"/>
      <x:c r="R119" s="21" t="str"/>
      <x:c r="S119" s="21" t="str"/>
      <x:c r="T119" s="17" t="str">
        <x:v>false</x:v>
      </x:c>
      <x:c r="U119" s="17" t="str">
        <x:v>true</x:v>
      </x:c>
      <x:c r="V119" s="17" t="str">
        <x:v>false</x:v>
      </x:c>
    </x:row>
    <x:row r="120" ht="80" customHeight="1">
      <x:c r="A120" s="25" t="str">
        <x:v>Closure</x:v>
      </x:c>
      <x:c r="B120" s="25" t="n">
        <x:v>147</x:v>
      </x:c>
      <x:c r="C120" s="25" t="str">
        <x:v>Round1</x:v>
      </x:c>
      <x:c r="D120" s="25" t="str">
        <x:v>NOT_AVAILABLE</x:v>
      </x:c>
      <x:c r="E120" s="25" t="str">
        <x:v>N/A</x:v>
      </x:c>
      <x:c r="F120" s="26" t="str">
        <x:v>Tests exist but current coverage did not complete</x:v>
      </x:c>
      <x:c r="G120" s="25" t="str">
        <x:v>true</x:v>
      </x:c>
      <x:c r="H120" s="25" t="str">
        <x:v>NOT_AVAILABLE</x:v>
      </x:c>
      <x:c r="I120" s="25" t="str">
        <x:v>NOT_RUN</x:v>
      </x:c>
      <x:c r="J120" s="25" t="str">
        <x:v>NOT_RUN</x:v>
      </x:c>
      <x:c r="K120" s="25" t="n">
        <x:v>2</x:v>
      </x:c>
      <x:c r="L120" s="27" t="b">
        <x:v>0</x:v>
      </x:c>
      <x:c r="M120" s="25" t="str">
        <x:v>Deepseek-flash-v4/state/Round1/shards/Closure.json</x:v>
      </x:c>
      <x:c r="N120" s="25" t="str">
        <x:v>Deepseek-flash-v4/Result/Closure_147/result.json</x:v>
      </x:c>
      <x:c r="O120" s="25" t="str">
        <x:v>Deepseek-flash-v4/Result/Closure_147/result.json</x:v>
      </x:c>
      <x:c r="P120" t="str">
        <x:v>BOTH_NOT_RUN</x:v>
      </x:c>
      <x:c r="Q120" s="21" t="str"/>
      <x:c r="R120" s="21" t="str"/>
      <x:c r="S120" s="21" t="str"/>
      <x:c r="T120" s="17" t="str">
        <x:v>false</x:v>
      </x:c>
      <x:c r="U120" s="17" t="str">
        <x:v>true</x:v>
      </x:c>
      <x:c r="V120" s="17" t="str">
        <x:v>false</x:v>
      </x:c>
    </x:row>
    <x:row r="121" ht="80" customHeight="1">
      <x:c r="A121" s="25" t="str">
        <x:v>Closure</x:v>
      </x:c>
      <x:c r="B121" s="25" t="n">
        <x:v>148</x:v>
      </x:c>
      <x:c r="C121" s="25" t="str">
        <x:v>Round1</x:v>
      </x:c>
      <x:c r="D121" s="25" t="str">
        <x:v>NOT_AVAILABLE</x:v>
      </x:c>
      <x:c r="E121" s="25" t="str">
        <x:v>N/A</x:v>
      </x:c>
      <x:c r="F121" s="26" t="str">
        <x:v>Tests exist but current coverage did not complete</x:v>
      </x:c>
      <x:c r="G121" s="25" t="str">
        <x:v>true</x:v>
      </x:c>
      <x:c r="H121" s="25" t="str">
        <x:v>NOT_AVAILABLE</x:v>
      </x:c>
      <x:c r="I121" s="25" t="str">
        <x:v>NOT_RUN</x:v>
      </x:c>
      <x:c r="J121" s="25" t="str">
        <x:v>NOT_RUN</x:v>
      </x:c>
      <x:c r="K121" s="25" t="n">
        <x:v>2</x:v>
      </x:c>
      <x:c r="L121" s="27" t="b">
        <x:v>0</x:v>
      </x:c>
      <x:c r="M121" s="25" t="str">
        <x:v>Deepseek-flash-v4/state/Round1/shards/Closure.json</x:v>
      </x:c>
      <x:c r="N121" s="25" t="str">
        <x:v>Deepseek-flash-v4/Result/Closure_148/result.json</x:v>
      </x:c>
      <x:c r="O121" s="25" t="str">
        <x:v>Deepseek-flash-v4/Result/Closure_148/result.json</x:v>
      </x:c>
      <x:c r="P121" t="str">
        <x:v>BOTH_NOT_RUN</x:v>
      </x:c>
      <x:c r="Q121" s="21" t="str"/>
      <x:c r="R121" s="21" t="str"/>
      <x:c r="S121" s="21" t="str"/>
      <x:c r="T121" s="17" t="str">
        <x:v>false</x:v>
      </x:c>
      <x:c r="U121" s="17" t="str">
        <x:v>true</x:v>
      </x:c>
      <x:c r="V121" s="17" t="str">
        <x:v>false</x:v>
      </x:c>
    </x:row>
    <x:row r="122" ht="80" customHeight="1">
      <x:c r="A122" s="25" t="str">
        <x:v>Closure</x:v>
      </x:c>
      <x:c r="B122" s="25" t="n">
        <x:v>149</x:v>
      </x:c>
      <x:c r="C122" s="25" t="str">
        <x:v>Round1</x:v>
      </x:c>
      <x:c r="D122" s="25" t="str">
        <x:v>NOT_AVAILABLE</x:v>
      </x:c>
      <x:c r="E122" s="25" t="str">
        <x:v>N/A</x:v>
      </x:c>
      <x:c r="F122" s="26" t="str">
        <x:v>Tests exist but current coverage did not complete</x:v>
      </x:c>
      <x:c r="G122" s="25" t="str">
        <x:v>true</x:v>
      </x:c>
      <x:c r="H122" s="25" t="str">
        <x:v>NOT_AVAILABLE</x:v>
      </x:c>
      <x:c r="I122" s="25" t="str">
        <x:v>NOT_RUN</x:v>
      </x:c>
      <x:c r="J122" s="25" t="str">
        <x:v>NOT_RUN</x:v>
      </x:c>
      <x:c r="K122" s="25" t="n">
        <x:v>4</x:v>
      </x:c>
      <x:c r="L122" s="27" t="b">
        <x:v>0</x:v>
      </x:c>
      <x:c r="M122" s="25" t="str">
        <x:v>Deepseek-flash-v4/state/Round1/shards/Closure.json</x:v>
      </x:c>
      <x:c r="N122" s="25" t="str">
        <x:v>Deepseek-flash-v4/Result/Closure_149/result.json</x:v>
      </x:c>
      <x:c r="O122" s="25" t="str">
        <x:v>Deepseek-flash-v4/Result/Closure_149/result.json</x:v>
      </x:c>
      <x:c r="P122" t="str">
        <x:v>BOTH_NOT_RUN</x:v>
      </x:c>
      <x:c r="Q122" s="21" t="str"/>
      <x:c r="R122" s="21" t="str"/>
      <x:c r="S122" s="21" t="str"/>
      <x:c r="T122" s="17" t="str">
        <x:v>false</x:v>
      </x:c>
      <x:c r="U122" s="17" t="str">
        <x:v>true</x:v>
      </x:c>
      <x:c r="V122" s="17" t="str">
        <x:v>false</x:v>
      </x:c>
    </x:row>
    <x:row r="123" ht="80" customHeight="1">
      <x:c r="A123" s="25" t="str">
        <x:v>Closure</x:v>
      </x:c>
      <x:c r="B123" s="25" t="n">
        <x:v>15</x:v>
      </x:c>
      <x:c r="C123" s="25" t="str">
        <x:v>Round1</x:v>
      </x:c>
      <x:c r="D123" s="25" t="str">
        <x:v>NOT_AVAILABLE</x:v>
      </x:c>
      <x:c r="E123" s="25" t="str">
        <x:v>N/A</x:v>
      </x:c>
      <x:c r="F123" s="26" t="str">
        <x:v>Tests exist but current coverage did not complete</x:v>
      </x:c>
      <x:c r="G123" s="25" t="str">
        <x:v>true</x:v>
      </x:c>
      <x:c r="H123" s="25" t="str">
        <x:v>NOT_AVAILABLE</x:v>
      </x:c>
      <x:c r="I123" s="25" t="str">
        <x:v>NOT_RUN</x:v>
      </x:c>
      <x:c r="J123" s="25" t="str">
        <x:v>NOT_RUN</x:v>
      </x:c>
      <x:c r="K123" s="25" t="n">
        <x:v>1</x:v>
      </x:c>
      <x:c r="L123" s="27" t="b">
        <x:v>0</x:v>
      </x:c>
      <x:c r="M123" s="25" t="str">
        <x:v>Deepseek-flash-v4/state/Round1/shards/Closure.json</x:v>
      </x:c>
      <x:c r="N123" s="25" t="str">
        <x:v>Deepseek-flash-v4/Result/Closure_15/result.json</x:v>
      </x:c>
      <x:c r="O123" s="25" t="str">
        <x:v>Deepseek-flash-v4/Result/Closure_15/result.json</x:v>
      </x:c>
      <x:c r="P123" t="str">
        <x:v>BOTH_NOT_RUN</x:v>
      </x:c>
      <x:c r="Q123" s="21" t="str"/>
      <x:c r="R123" s="21" t="str"/>
      <x:c r="S123" s="21" t="str"/>
      <x:c r="T123" s="17" t="str">
        <x:v>false</x:v>
      </x:c>
      <x:c r="U123" s="17" t="str">
        <x:v>true</x:v>
      </x:c>
      <x:c r="V123" s="17" t="str">
        <x:v>false</x:v>
      </x:c>
    </x:row>
    <x:row r="124" ht="80" customHeight="1">
      <x:c r="A124" s="25" t="str">
        <x:v>Closure</x:v>
      </x:c>
      <x:c r="B124" s="25" t="n">
        <x:v>150</x:v>
      </x:c>
      <x:c r="C124" s="25" t="str">
        <x:v>Round1</x:v>
      </x:c>
      <x:c r="D124" s="25" t="str">
        <x:v>NOT_AVAILABLE</x:v>
      </x:c>
      <x:c r="E124" s="25" t="str">
        <x:v>N/A</x:v>
      </x:c>
      <x:c r="F124" s="26" t="str">
        <x:v>Tests exist but current coverage did not complete</x:v>
      </x:c>
      <x:c r="G124" s="25" t="str">
        <x:v>true</x:v>
      </x:c>
      <x:c r="H124" s="25" t="str">
        <x:v>NOT_AVAILABLE</x:v>
      </x:c>
      <x:c r="I124" s="25" t="str">
        <x:v>NOT_RUN</x:v>
      </x:c>
      <x:c r="J124" s="25" t="str">
        <x:v>NOT_RUN</x:v>
      </x:c>
      <x:c r="K124" s="25" t="n">
        <x:v>1</x:v>
      </x:c>
      <x:c r="L124" s="27" t="b">
        <x:v>0</x:v>
      </x:c>
      <x:c r="M124" s="25" t="str">
        <x:v>Deepseek-flash-v4/state/Round1/shards/Closure.json</x:v>
      </x:c>
      <x:c r="N124" s="25" t="str">
        <x:v>Deepseek-flash-v4/Result/Closure_150/result.json</x:v>
      </x:c>
      <x:c r="O124" s="25" t="str">
        <x:v>Deepseek-flash-v4/Result/Closure_150/result.json</x:v>
      </x:c>
      <x:c r="P124" t="str">
        <x:v>BOTH_NOT_RUN</x:v>
      </x:c>
      <x:c r="Q124" s="21" t="str"/>
      <x:c r="R124" s="21" t="str"/>
      <x:c r="S124" s="21" t="str"/>
      <x:c r="T124" s="17" t="str">
        <x:v>false</x:v>
      </x:c>
      <x:c r="U124" s="17" t="str">
        <x:v>true</x:v>
      </x:c>
      <x:c r="V124" s="17" t="str">
        <x:v>false</x:v>
      </x:c>
    </x:row>
    <x:row r="125" ht="80" customHeight="1">
      <x:c r="A125" s="25" t="str">
        <x:v>Closure</x:v>
      </x:c>
      <x:c r="B125" s="25" t="n">
        <x:v>151</x:v>
      </x:c>
      <x:c r="C125" s="25" t="str">
        <x:v>Round1</x:v>
      </x:c>
      <x:c r="D125" s="25" t="str">
        <x:v>NOT_AVAILABLE</x:v>
      </x:c>
      <x:c r="E125" s="25" t="str">
        <x:v>N/A</x:v>
      </x:c>
      <x:c r="F125" s="26" t="str">
        <x:v>Tests exist but current coverage did not complete</x:v>
      </x:c>
      <x:c r="G125" s="25" t="str">
        <x:v>true</x:v>
      </x:c>
      <x:c r="H125" s="25" t="str">
        <x:v>NOT_AVAILABLE</x:v>
      </x:c>
      <x:c r="I125" s="25" t="str">
        <x:v>NOT_RUN</x:v>
      </x:c>
      <x:c r="J125" s="25" t="str">
        <x:v>NOT_RUN</x:v>
      </x:c>
      <x:c r="K125" s="25" t="n">
        <x:v>1</x:v>
      </x:c>
      <x:c r="L125" s="27" t="b">
        <x:v>0</x:v>
      </x:c>
      <x:c r="M125" s="25" t="str">
        <x:v>Deepseek-flash-v4/state/Round1/shards/Closure.json</x:v>
      </x:c>
      <x:c r="N125" s="25" t="str">
        <x:v>Deepseek-flash-v4/Result/Closure_151/result.json</x:v>
      </x:c>
      <x:c r="O125" s="25" t="str">
        <x:v>Deepseek-flash-v4/Result/Closure_151/result.json</x:v>
      </x:c>
      <x:c r="P125" t="str">
        <x:v>BOTH_NOT_RUN</x:v>
      </x:c>
      <x:c r="Q125" s="21" t="str"/>
      <x:c r="R125" s="21" t="str"/>
      <x:c r="S125" s="21" t="str"/>
      <x:c r="T125" s="17" t="str">
        <x:v>false</x:v>
      </x:c>
      <x:c r="U125" s="17" t="str">
        <x:v>true</x:v>
      </x:c>
      <x:c r="V125" s="17" t="str">
        <x:v>false</x:v>
      </x:c>
    </x:row>
    <x:row r="126" ht="80" customHeight="1">
      <x:c r="A126" s="25" t="str">
        <x:v>Closure</x:v>
      </x:c>
      <x:c r="B126" s="25" t="n">
        <x:v>152</x:v>
      </x:c>
      <x:c r="C126" s="25" t="str">
        <x:v>Round1</x:v>
      </x:c>
      <x:c r="D126" s="25" t="str">
        <x:v>NOT_AVAILABLE</x:v>
      </x:c>
      <x:c r="E126" s="25" t="str">
        <x:v>N/A</x:v>
      </x:c>
      <x:c r="F126" s="26" t="str">
        <x:v>Tests exist but current coverage did not complete</x:v>
      </x:c>
      <x:c r="G126" s="25" t="str">
        <x:v>true</x:v>
      </x:c>
      <x:c r="H126" s="25" t="str">
        <x:v>NOT_AVAILABLE</x:v>
      </x:c>
      <x:c r="I126" s="25" t="str">
        <x:v>NOT_RUN</x:v>
      </x:c>
      <x:c r="J126" s="25" t="str">
        <x:v>NOT_RUN</x:v>
      </x:c>
      <x:c r="K126" s="25" t="n">
        <x:v>1</x:v>
      </x:c>
      <x:c r="L126" s="27" t="b">
        <x:v>0</x:v>
      </x:c>
      <x:c r="M126" s="25" t="str">
        <x:v>Deepseek-flash-v4/state/Round1/shards/Closure.json</x:v>
      </x:c>
      <x:c r="N126" s="25" t="str">
        <x:v>Deepseek-flash-v4/Result/Closure_152/result.json</x:v>
      </x:c>
      <x:c r="O126" s="25" t="str">
        <x:v>Deepseek-flash-v4/Result/Closure_152/result.json</x:v>
      </x:c>
      <x:c r="P126" t="str">
        <x:v>BOTH_NOT_RUN</x:v>
      </x:c>
      <x:c r="Q126" s="21" t="str"/>
      <x:c r="R126" s="21" t="str"/>
      <x:c r="S126" s="21" t="str"/>
      <x:c r="T126" s="17" t="str">
        <x:v>false</x:v>
      </x:c>
      <x:c r="U126" s="17" t="str">
        <x:v>true</x:v>
      </x:c>
      <x:c r="V126" s="17" t="str">
        <x:v>false</x:v>
      </x:c>
    </x:row>
    <x:row r="127" ht="80" customHeight="1">
      <x:c r="A127" s="25" t="str">
        <x:v>Closure</x:v>
      </x:c>
      <x:c r="B127" s="25" t="n">
        <x:v>153</x:v>
      </x:c>
      <x:c r="C127" s="25" t="str">
        <x:v>Round1</x:v>
      </x:c>
      <x:c r="D127" s="25" t="str">
        <x:v>NOT_AVAILABLE</x:v>
      </x:c>
      <x:c r="E127" s="25" t="str">
        <x:v>N/A</x:v>
      </x:c>
      <x:c r="F127" s="26" t="str">
        <x:v>Tests exist but current coverage did not complete</x:v>
      </x:c>
      <x:c r="G127" s="25" t="str">
        <x:v>true</x:v>
      </x:c>
      <x:c r="H127" s="25" t="str">
        <x:v>NOT_AVAILABLE</x:v>
      </x:c>
      <x:c r="I127" s="25" t="str">
        <x:v>NOT_RUN</x:v>
      </x:c>
      <x:c r="J127" s="25" t="str">
        <x:v>NOT_RUN</x:v>
      </x:c>
      <x:c r="K127" s="25" t="n">
        <x:v>2</x:v>
      </x:c>
      <x:c r="L127" s="27" t="b">
        <x:v>0</x:v>
      </x:c>
      <x:c r="M127" s="25" t="str">
        <x:v>Deepseek-flash-v4/state/Round1/shards/Closure.json</x:v>
      </x:c>
      <x:c r="N127" s="25" t="str">
        <x:v>Deepseek-flash-v4/Result/Closure_153/result.json</x:v>
      </x:c>
      <x:c r="O127" s="25" t="str">
        <x:v>Deepseek-flash-v4/Result/Closure_153/result.json</x:v>
      </x:c>
      <x:c r="P127" t="str">
        <x:v>BOTH_NOT_RUN</x:v>
      </x:c>
      <x:c r="Q127" s="21" t="str"/>
      <x:c r="R127" s="21" t="str"/>
      <x:c r="S127" s="21" t="str"/>
      <x:c r="T127" s="17" t="str">
        <x:v>false</x:v>
      </x:c>
      <x:c r="U127" s="17" t="str">
        <x:v>true</x:v>
      </x:c>
      <x:c r="V127" s="17" t="str">
        <x:v>false</x:v>
      </x:c>
    </x:row>
    <x:row r="128" ht="80" customHeight="1">
      <x:c r="A128" s="25" t="str">
        <x:v>Closure</x:v>
      </x:c>
      <x:c r="B128" s="25" t="n">
        <x:v>154</x:v>
      </x:c>
      <x:c r="C128" s="25" t="str">
        <x:v>Round1</x:v>
      </x:c>
      <x:c r="D128" s="25" t="str">
        <x:v>NOT_AVAILABLE</x:v>
      </x:c>
      <x:c r="E128" s="25" t="str">
        <x:v>N/A</x:v>
      </x:c>
      <x:c r="F128" s="26" t="str">
        <x:v>Tests exist but current coverage did not complete</x:v>
      </x:c>
      <x:c r="G128" s="25" t="str">
        <x:v>true</x:v>
      </x:c>
      <x:c r="H128" s="25" t="str">
        <x:v>NOT_AVAILABLE</x:v>
      </x:c>
      <x:c r="I128" s="25" t="str">
        <x:v>NOT_RUN</x:v>
      </x:c>
      <x:c r="J128" s="25" t="str">
        <x:v>NOT_RUN</x:v>
      </x:c>
      <x:c r="K128" s="25" t="n">
        <x:v>2</x:v>
      </x:c>
      <x:c r="L128" s="27" t="b">
        <x:v>0</x:v>
      </x:c>
      <x:c r="M128" s="25" t="str">
        <x:v>Deepseek-flash-v4/state/Round1/shards/Closure.json</x:v>
      </x:c>
      <x:c r="N128" s="25" t="str">
        <x:v>Deepseek-flash-v4/Result/Closure_154/result.json</x:v>
      </x:c>
      <x:c r="O128" s="25" t="str">
        <x:v>Deepseek-flash-v4/Result/Closure_154/result.json</x:v>
      </x:c>
      <x:c r="P128" t="str">
        <x:v>BOTH_NOT_RUN</x:v>
      </x:c>
      <x:c r="Q128" s="21" t="str"/>
      <x:c r="R128" s="21" t="str"/>
      <x:c r="S128" s="21" t="str"/>
      <x:c r="T128" s="17" t="str">
        <x:v>false</x:v>
      </x:c>
      <x:c r="U128" s="17" t="str">
        <x:v>true</x:v>
      </x:c>
      <x:c r="V128" s="17" t="str">
        <x:v>false</x:v>
      </x:c>
    </x:row>
    <x:row r="129" ht="80" customHeight="1">
      <x:c r="A129" s="25" t="str">
        <x:v>Closure</x:v>
      </x:c>
      <x:c r="B129" s="25" t="n">
        <x:v>155</x:v>
      </x:c>
      <x:c r="C129" s="25" t="str">
        <x:v>Round1</x:v>
      </x:c>
      <x:c r="D129" s="25" t="str">
        <x:v>NOT_AVAILABLE</x:v>
      </x:c>
      <x:c r="E129" s="25" t="str">
        <x:v>N/A</x:v>
      </x:c>
      <x:c r="F129" s="26" t="str">
        <x:v>Tests exist but current coverage did not complete</x:v>
      </x:c>
      <x:c r="G129" s="25" t="str">
        <x:v>true</x:v>
      </x:c>
      <x:c r="H129" s="25" t="str">
        <x:v>NOT_AVAILABLE</x:v>
      </x:c>
      <x:c r="I129" s="25" t="str">
        <x:v>NOT_RUN</x:v>
      </x:c>
      <x:c r="J129" s="25" t="str">
        <x:v>NOT_RUN</x:v>
      </x:c>
      <x:c r="K129" s="25" t="n">
        <x:v>3</x:v>
      </x:c>
      <x:c r="L129" s="27" t="b">
        <x:v>0</x:v>
      </x:c>
      <x:c r="M129" s="25" t="str">
        <x:v>Deepseek-flash-v4/state/Round1/shards/Closure.json</x:v>
      </x:c>
      <x:c r="N129" s="25" t="str">
        <x:v>Deepseek-flash-v4/Result/Closure_155/result.json</x:v>
      </x:c>
      <x:c r="O129" s="25" t="str">
        <x:v>Deepseek-flash-v4/Result/Closure_155/result.json</x:v>
      </x:c>
      <x:c r="P129" t="str">
        <x:v>BOTH_NOT_RUN</x:v>
      </x:c>
      <x:c r="Q129" s="21" t="str"/>
      <x:c r="R129" s="21" t="str"/>
      <x:c r="S129" s="21" t="str"/>
      <x:c r="T129" s="17" t="str">
        <x:v>false</x:v>
      </x:c>
      <x:c r="U129" s="17" t="str">
        <x:v>true</x:v>
      </x:c>
      <x:c r="V129" s="17" t="str">
        <x:v>false</x:v>
      </x:c>
    </x:row>
    <x:row r="130" ht="80" customHeight="1">
      <x:c r="A130" s="25" t="str">
        <x:v>Closure</x:v>
      </x:c>
      <x:c r="B130" s="25" t="n">
        <x:v>156</x:v>
      </x:c>
      <x:c r="C130" s="25" t="str">
        <x:v>Round1</x:v>
      </x:c>
      <x:c r="D130" s="25" t="str">
        <x:v>NOT_AVAILABLE</x:v>
      </x:c>
      <x:c r="E130" s="25" t="str">
        <x:v>N/A</x:v>
      </x:c>
      <x:c r="F130" s="26" t="str">
        <x:v>Tests exist but current coverage did not complete</x:v>
      </x:c>
      <x:c r="G130" s="25" t="str">
        <x:v>true</x:v>
      </x:c>
      <x:c r="H130" s="25" t="str">
        <x:v>NOT_AVAILABLE</x:v>
      </x:c>
      <x:c r="I130" s="25" t="str">
        <x:v>NOT_RUN</x:v>
      </x:c>
      <x:c r="J130" s="25" t="str">
        <x:v>NOT_RUN</x:v>
      </x:c>
      <x:c r="K130" s="25" t="n">
        <x:v>1</x:v>
      </x:c>
      <x:c r="L130" s="27" t="b">
        <x:v>0</x:v>
      </x:c>
      <x:c r="M130" s="25" t="str">
        <x:v>Deepseek-flash-v4/state/Round1/shards/Closure.json</x:v>
      </x:c>
      <x:c r="N130" s="25" t="str">
        <x:v>Deepseek-flash-v4/Result/Closure_156/result.json</x:v>
      </x:c>
      <x:c r="O130" s="25" t="str">
        <x:v>Deepseek-flash-v4/Result/Closure_156/result.json</x:v>
      </x:c>
      <x:c r="P130" t="str">
        <x:v>BOTH_NOT_RUN</x:v>
      </x:c>
      <x:c r="Q130" s="21" t="str"/>
      <x:c r="R130" s="21" t="str"/>
      <x:c r="S130" s="21" t="str"/>
      <x:c r="T130" s="17" t="str">
        <x:v>false</x:v>
      </x:c>
      <x:c r="U130" s="17" t="str">
        <x:v>true</x:v>
      </x:c>
      <x:c r="V130" s="17" t="str">
        <x:v>false</x:v>
      </x:c>
    </x:row>
    <x:row r="131" ht="80" customHeight="1">
      <x:c r="A131" s="25" t="str">
        <x:v>Closure</x:v>
      </x:c>
      <x:c r="B131" s="25" t="n">
        <x:v>157</x:v>
      </x:c>
      <x:c r="C131" s="25" t="str">
        <x:v>Round1</x:v>
      </x:c>
      <x:c r="D131" s="25" t="str">
        <x:v>NOT_AVAILABLE</x:v>
      </x:c>
      <x:c r="E131" s="25" t="str">
        <x:v>N/A</x:v>
      </x:c>
      <x:c r="F131" s="26" t="str">
        <x:v>Tests exist but current coverage did not complete</x:v>
      </x:c>
      <x:c r="G131" s="25" t="str">
        <x:v>true</x:v>
      </x:c>
      <x:c r="H131" s="25" t="str">
        <x:v>NOT_AVAILABLE</x:v>
      </x:c>
      <x:c r="I131" s="25" t="str">
        <x:v>NOT_RUN</x:v>
      </x:c>
      <x:c r="J131" s="25" t="str">
        <x:v>NOT_RUN</x:v>
      </x:c>
      <x:c r="K131" s="25" t="n">
        <x:v>3</x:v>
      </x:c>
      <x:c r="L131" s="27" t="b">
        <x:v>0</x:v>
      </x:c>
      <x:c r="M131" s="25" t="str">
        <x:v>Deepseek-flash-v4/state/Round1/shards/Closure.json</x:v>
      </x:c>
      <x:c r="N131" s="25" t="str">
        <x:v>Deepseek-flash-v4/Result/Closure_157/result.json</x:v>
      </x:c>
      <x:c r="O131" s="25" t="str">
        <x:v>Deepseek-flash-v4/Result/Closure_157/result.json</x:v>
      </x:c>
      <x:c r="P131" t="str">
        <x:v>BOTH_NOT_RUN</x:v>
      </x:c>
      <x:c r="Q131" s="21" t="str"/>
      <x:c r="R131" s="21" t="str"/>
      <x:c r="S131" s="21" t="str"/>
      <x:c r="T131" s="17" t="str">
        <x:v>false</x:v>
      </x:c>
      <x:c r="U131" s="17" t="str">
        <x:v>true</x:v>
      </x:c>
      <x:c r="V131" s="17" t="str">
        <x:v>false</x:v>
      </x:c>
    </x:row>
    <x:row r="132" ht="80" customHeight="1">
      <x:c r="A132" s="25" t="str">
        <x:v>Closure</x:v>
      </x:c>
      <x:c r="B132" s="25" t="n">
        <x:v>158</x:v>
      </x:c>
      <x:c r="C132" s="25" t="str">
        <x:v>Round1</x:v>
      </x:c>
      <x:c r="D132" s="25" t="str">
        <x:v>NOT_AVAILABLE</x:v>
      </x:c>
      <x:c r="E132" s="25" t="str">
        <x:v>N/A</x:v>
      </x:c>
      <x:c r="F132" s="26" t="str">
        <x:v>Tests exist but current coverage did not complete</x:v>
      </x:c>
      <x:c r="G132" s="25" t="str">
        <x:v>true</x:v>
      </x:c>
      <x:c r="H132" s="25" t="str">
        <x:v>NOT_AVAILABLE</x:v>
      </x:c>
      <x:c r="I132" s="25" t="str">
        <x:v>NOT_RUN</x:v>
      </x:c>
      <x:c r="J132" s="25" t="str">
        <x:v>NOT_RUN</x:v>
      </x:c>
      <x:c r="K132" s="25" t="n">
        <x:v>3</x:v>
      </x:c>
      <x:c r="L132" s="27" t="b">
        <x:v>0</x:v>
      </x:c>
      <x:c r="M132" s="25" t="str">
        <x:v>Deepseek-flash-v4/state/Round1/shards/Closure.json</x:v>
      </x:c>
      <x:c r="N132" s="25" t="str">
        <x:v>Deepseek-flash-v4/Result/Closure_158/result.json</x:v>
      </x:c>
      <x:c r="O132" s="25" t="str">
        <x:v>Deepseek-flash-v4/Result/Closure_158/result.json</x:v>
      </x:c>
      <x:c r="P132" t="str">
        <x:v>BOTH_NOT_RUN</x:v>
      </x:c>
      <x:c r="Q132" s="21" t="str"/>
      <x:c r="R132" s="21" t="str"/>
      <x:c r="S132" s="21" t="str"/>
      <x:c r="T132" s="17" t="str">
        <x:v>false</x:v>
      </x:c>
      <x:c r="U132" s="17" t="str">
        <x:v>true</x:v>
      </x:c>
      <x:c r="V132" s="17" t="str">
        <x:v>false</x:v>
      </x:c>
    </x:row>
    <x:row r="133" ht="80" customHeight="1">
      <x:c r="A133" s="25" t="str">
        <x:v>Closure</x:v>
      </x:c>
      <x:c r="B133" s="25" t="n">
        <x:v>159</x:v>
      </x:c>
      <x:c r="C133" s="25" t="str">
        <x:v>Round1</x:v>
      </x:c>
      <x:c r="D133" s="25" t="str">
        <x:v>NOT_AVAILABLE</x:v>
      </x:c>
      <x:c r="E133" s="25" t="str">
        <x:v>N/A</x:v>
      </x:c>
      <x:c r="F133" s="26" t="str">
        <x:v>Tests exist but current coverage did not complete</x:v>
      </x:c>
      <x:c r="G133" s="25" t="str">
        <x:v>true</x:v>
      </x:c>
      <x:c r="H133" s="25" t="str">
        <x:v>NOT_AVAILABLE</x:v>
      </x:c>
      <x:c r="I133" s="25" t="str">
        <x:v>NOT_RUN</x:v>
      </x:c>
      <x:c r="J133" s="25" t="str">
        <x:v>NOT_RUN</x:v>
      </x:c>
      <x:c r="K133" s="25" t="n">
        <x:v>1</x:v>
      </x:c>
      <x:c r="L133" s="27" t="b">
        <x:v>0</x:v>
      </x:c>
      <x:c r="M133" s="25" t="str">
        <x:v>Deepseek-flash-v4/state/Round1/shards/Closure.json</x:v>
      </x:c>
      <x:c r="N133" s="25" t="str">
        <x:v>Deepseek-flash-v4/Result/Closure_159/result.json</x:v>
      </x:c>
      <x:c r="O133" s="25" t="str">
        <x:v>Deepseek-flash-v4/Result/Closure_159/result.json</x:v>
      </x:c>
      <x:c r="P133" t="str">
        <x:v>BOTH_NOT_RUN</x:v>
      </x:c>
      <x:c r="Q133" s="21" t="str"/>
      <x:c r="R133" s="21" t="str"/>
      <x:c r="S133" s="21" t="str"/>
      <x:c r="T133" s="17" t="str">
        <x:v>false</x:v>
      </x:c>
      <x:c r="U133" s="17" t="str">
        <x:v>true</x:v>
      </x:c>
      <x:c r="V133" s="17" t="str">
        <x:v>false</x:v>
      </x:c>
    </x:row>
    <x:row r="134" ht="80" customHeight="1">
      <x:c r="A134" s="25" t="str">
        <x:v>Closure</x:v>
      </x:c>
      <x:c r="B134" s="25" t="n">
        <x:v>16</x:v>
      </x:c>
      <x:c r="C134" s="25" t="str">
        <x:v>Round1</x:v>
      </x:c>
      <x:c r="D134" s="25" t="str">
        <x:v>NOT_AVAILABLE</x:v>
      </x:c>
      <x:c r="E134" s="25" t="str">
        <x:v>N/A</x:v>
      </x:c>
      <x:c r="F134" s="26" t="str">
        <x:v>Tests exist but current coverage did not complete</x:v>
      </x:c>
      <x:c r="G134" s="25" t="str">
        <x:v>true</x:v>
      </x:c>
      <x:c r="H134" s="25" t="str">
        <x:v>NOT_AVAILABLE</x:v>
      </x:c>
      <x:c r="I134" s="25" t="str">
        <x:v>NOT_RUN</x:v>
      </x:c>
      <x:c r="J134" s="25" t="str">
        <x:v>NOT_RUN</x:v>
      </x:c>
      <x:c r="K134" s="25" t="n">
        <x:v>1</x:v>
      </x:c>
      <x:c r="L134" s="27" t="b">
        <x:v>0</x:v>
      </x:c>
      <x:c r="M134" s="25" t="str">
        <x:v>Deepseek-flash-v4/state/Round1/shards/Closure.json</x:v>
      </x:c>
      <x:c r="N134" s="25" t="str">
        <x:v>Deepseek-flash-v4/Result/Closure_16/result.json</x:v>
      </x:c>
      <x:c r="O134" s="25" t="str">
        <x:v>Deepseek-flash-v4/Result/Closure_16/result.json</x:v>
      </x:c>
      <x:c r="P134" t="str">
        <x:v>BOTH_NOT_RUN</x:v>
      </x:c>
      <x:c r="Q134" s="21" t="str"/>
      <x:c r="R134" s="21" t="str"/>
      <x:c r="S134" s="21" t="str"/>
      <x:c r="T134" s="17" t="str">
        <x:v>false</x:v>
      </x:c>
      <x:c r="U134" s="17" t="str">
        <x:v>true</x:v>
      </x:c>
      <x:c r="V134" s="17" t="str">
        <x:v>false</x:v>
      </x:c>
    </x:row>
    <x:row r="135" ht="80" customHeight="1">
      <x:c r="A135" s="25" t="str">
        <x:v>Closure</x:v>
      </x:c>
      <x:c r="B135" s="25" t="n">
        <x:v>160</x:v>
      </x:c>
      <x:c r="C135" s="25" t="str">
        <x:v>Round1</x:v>
      </x:c>
      <x:c r="D135" s="25" t="str">
        <x:v>NOT_AVAILABLE</x:v>
      </x:c>
      <x:c r="E135" s="25" t="str">
        <x:v>N/A</x:v>
      </x:c>
      <x:c r="F135" s="26" t="str">
        <x:v>Tests exist but current coverage did not complete</x:v>
      </x:c>
      <x:c r="G135" s="25" t="str">
        <x:v>true</x:v>
      </x:c>
      <x:c r="H135" s="25" t="str">
        <x:v>NOT_AVAILABLE</x:v>
      </x:c>
      <x:c r="I135" s="25" t="str">
        <x:v>NOT_RUN</x:v>
      </x:c>
      <x:c r="J135" s="25" t="str">
        <x:v>NOT_RUN</x:v>
      </x:c>
      <x:c r="K135" s="25" t="n">
        <x:v>1</x:v>
      </x:c>
      <x:c r="L135" s="27" t="b">
        <x:v>0</x:v>
      </x:c>
      <x:c r="M135" s="25" t="str">
        <x:v>Deepseek-flash-v4/state/Round1/shards/Closure.json</x:v>
      </x:c>
      <x:c r="N135" s="25" t="str">
        <x:v>Deepseek-flash-v4/Result/Closure_160/result.json</x:v>
      </x:c>
      <x:c r="O135" s="25" t="str">
        <x:v>Deepseek-flash-v4/Result/Closure_160/result.json</x:v>
      </x:c>
      <x:c r="P135" t="str">
        <x:v>BOTH_NOT_RUN</x:v>
      </x:c>
      <x:c r="Q135" s="21" t="str"/>
      <x:c r="R135" s="21" t="str"/>
      <x:c r="S135" s="21" t="str"/>
      <x:c r="T135" s="17" t="str">
        <x:v>false</x:v>
      </x:c>
      <x:c r="U135" s="17" t="str">
        <x:v>true</x:v>
      </x:c>
      <x:c r="V135" s="17" t="str">
        <x:v>false</x:v>
      </x:c>
    </x:row>
    <x:row r="136" ht="80" customHeight="1">
      <x:c r="A136" s="25" t="str">
        <x:v>Closure</x:v>
      </x:c>
      <x:c r="B136" s="25" t="n">
        <x:v>161</x:v>
      </x:c>
      <x:c r="C136" s="25" t="str">
        <x:v>Round1</x:v>
      </x:c>
      <x:c r="D136" s="25" t="str">
        <x:v>INCONCLUSIVE</x:v>
      </x:c>
      <x:c r="E136" s="25" t="str">
        <x:v>N/A</x:v>
      </x:c>
      <x:c r="F136" s="26" t="str">
        <x:v>Fixed also failed; assertion failure cannot be attributed to this bug</x:v>
      </x:c>
      <x:c r="G136" s="25" t="str">
        <x:v>true</x:v>
      </x:c>
      <x:c r="H136" s="25" t="str">
        <x:v>INCONCLUSIVE</x:v>
      </x:c>
      <x:c r="I136" s="25" t="str">
        <x:v>FAIL</x:v>
      </x:c>
      <x:c r="J136" s="25" t="str">
        <x:v>FAIL</x:v>
      </x:c>
      <x:c r="K136" s="25" t="n">
        <x:v>1</x:v>
      </x:c>
      <x:c r="L136" s="27" t="b">
        <x:v>0</x:v>
      </x:c>
      <x:c r="M136" s="25" t="str">
        <x:v>Deepseek-flash-v4/state/Round1/shards/Closure.json</x:v>
      </x:c>
      <x:c r="N136" s="25" t="str">
        <x:v>Deepseek-flash-v4/Result/Closure_161/result.json</x:v>
      </x:c>
      <x:c r="O136" s="25" t="str">
        <x:v>Deepseek-flash-v4/Result/Closure_161/result.json</x:v>
      </x:c>
      <x:c r="P136"/>
      <x:c r="Q136" s="21" t="str"/>
      <x:c r="R136" s="21" t="str"/>
      <x:c r="S136" s="21" t="str"/>
      <x:c r="T136" s="17" t="str">
        <x:v>false</x:v>
      </x:c>
      <x:c r="U136" s="17" t="str">
        <x:v>true</x:v>
      </x:c>
      <x:c r="V136" s="17" t="str">
        <x:v>false</x:v>
      </x:c>
    </x:row>
    <x:row r="137" ht="80" customHeight="1">
      <x:c r="A137" s="25" t="str">
        <x:v>Closure</x:v>
      </x:c>
      <x:c r="B137" s="25" t="n">
        <x:v>162</x:v>
      </x:c>
      <x:c r="C137" s="25" t="str">
        <x:v>Round1</x:v>
      </x:c>
      <x:c r="D137" s="25" t="str">
        <x:v>NOT_AVAILABLE</x:v>
      </x:c>
      <x:c r="E137" s="25" t="str">
        <x:v>N/A</x:v>
      </x:c>
      <x:c r="F137" s="26" t="str">
        <x:v>Tests exist but current coverage did not complete</x:v>
      </x:c>
      <x:c r="G137" s="25" t="str">
        <x:v>true</x:v>
      </x:c>
      <x:c r="H137" s="25" t="str">
        <x:v>NOT_AVAILABLE</x:v>
      </x:c>
      <x:c r="I137" s="25" t="str">
        <x:v>NOT_RUN</x:v>
      </x:c>
      <x:c r="J137" s="25" t="str">
        <x:v>NOT_RUN</x:v>
      </x:c>
      <x:c r="K137" s="25" t="n">
        <x:v>2</x:v>
      </x:c>
      <x:c r="L137" s="27" t="b">
        <x:v>0</x:v>
      </x:c>
      <x:c r="M137" s="25" t="str">
        <x:v>Deepseek-flash-v4/state/Round1/shards/Closure.json</x:v>
      </x:c>
      <x:c r="N137" s="25" t="str">
        <x:v>Deepseek-flash-v4/Result/Closure_162/result.json</x:v>
      </x:c>
      <x:c r="O137" s="25" t="str">
        <x:v>Deepseek-flash-v4/Result/Closure_162/result.json</x:v>
      </x:c>
      <x:c r="P137" t="str">
        <x:v>BOTH_NOT_RUN</x:v>
      </x:c>
      <x:c r="Q137" s="21" t="str"/>
      <x:c r="R137" s="21" t="str"/>
      <x:c r="S137" s="21" t="str"/>
      <x:c r="T137" s="17" t="str">
        <x:v>false</x:v>
      </x:c>
      <x:c r="U137" s="17" t="str">
        <x:v>true</x:v>
      </x:c>
      <x:c r="V137" s="17" t="str">
        <x:v>false</x:v>
      </x:c>
    </x:row>
    <x:row r="138" ht="80" customHeight="1">
      <x:c r="A138" s="25" t="str">
        <x:v>Closure</x:v>
      </x:c>
      <x:c r="B138" s="25" t="n">
        <x:v>163</x:v>
      </x:c>
      <x:c r="C138" s="25" t="str">
        <x:v>Round1</x:v>
      </x:c>
      <x:c r="D138" s="25" t="str">
        <x:v>NOT_AVAILABLE</x:v>
      </x:c>
      <x:c r="E138" s="25" t="str">
        <x:v>N/A</x:v>
      </x:c>
      <x:c r="F138" s="26" t="str">
        <x:v>Tests exist but current coverage did not complete</x:v>
      </x:c>
      <x:c r="G138" s="25" t="str">
        <x:v>true</x:v>
      </x:c>
      <x:c r="H138" s="25" t="str">
        <x:v>NOT_AVAILABLE</x:v>
      </x:c>
      <x:c r="I138" s="25" t="str">
        <x:v>NOT_RUN</x:v>
      </x:c>
      <x:c r="J138" s="25" t="str">
        <x:v>NOT_RUN</x:v>
      </x:c>
      <x:c r="K138" s="25" t="n">
        <x:v>2</x:v>
      </x:c>
      <x:c r="L138" s="27" t="b">
        <x:v>0</x:v>
      </x:c>
      <x:c r="M138" s="25" t="str">
        <x:v>Deepseek-flash-v4/state/Round1/shards/Closure.json</x:v>
      </x:c>
      <x:c r="N138" s="25" t="str">
        <x:v>Deepseek-flash-v4/Result/Closure_163/result.json</x:v>
      </x:c>
      <x:c r="O138" s="25" t="str">
        <x:v>Deepseek-flash-v4/Result/Closure_163/result.json</x:v>
      </x:c>
      <x:c r="P138" t="str">
        <x:v>BOTH_NOT_RUN</x:v>
      </x:c>
      <x:c r="Q138" s="21" t="str"/>
      <x:c r="R138" s="21" t="str"/>
      <x:c r="S138" s="21" t="str"/>
      <x:c r="T138" s="17" t="str">
        <x:v>false</x:v>
      </x:c>
      <x:c r="U138" s="17" t="str">
        <x:v>true</x:v>
      </x:c>
      <x:c r="V138" s="17" t="str">
        <x:v>false</x:v>
      </x:c>
    </x:row>
    <x:row r="139" ht="80" customHeight="1">
      <x:c r="A139" s="25" t="str">
        <x:v>Closure</x:v>
      </x:c>
      <x:c r="B139" s="25" t="n">
        <x:v>164</x:v>
      </x:c>
      <x:c r="C139" s="25" t="str">
        <x:v>Round1</x:v>
      </x:c>
      <x:c r="D139" s="25" t="str">
        <x:v>NOT_AVAILABLE</x:v>
      </x:c>
      <x:c r="E139" s="25" t="str">
        <x:v>N/A</x:v>
      </x:c>
      <x:c r="F139" s="26" t="str">
        <x:v>Tests exist but current coverage did not complete</x:v>
      </x:c>
      <x:c r="G139" s="25" t="str">
        <x:v>true</x:v>
      </x:c>
      <x:c r="H139" s="25" t="str">
        <x:v>NOT_AVAILABLE</x:v>
      </x:c>
      <x:c r="I139" s="25" t="str">
        <x:v>NOT_RUN</x:v>
      </x:c>
      <x:c r="J139" s="25" t="str">
        <x:v>NOT_RUN</x:v>
      </x:c>
      <x:c r="K139" s="25" t="n">
        <x:v>1</x:v>
      </x:c>
      <x:c r="L139" s="27" t="b">
        <x:v>0</x:v>
      </x:c>
      <x:c r="M139" s="25" t="str">
        <x:v>Deepseek-flash-v4/state/Round1/shards/Closure.json</x:v>
      </x:c>
      <x:c r="N139" s="25" t="str">
        <x:v>Deepseek-flash-v4/Result/Closure_164/result.json</x:v>
      </x:c>
      <x:c r="O139" s="25" t="str">
        <x:v>Deepseek-flash-v4/Result/Closure_164/result.json</x:v>
      </x:c>
      <x:c r="P139" t="str">
        <x:v>BOTH_NOT_RUN</x:v>
      </x:c>
      <x:c r="Q139" s="21" t="str"/>
      <x:c r="R139" s="21" t="str"/>
      <x:c r="S139" s="21" t="str"/>
      <x:c r="T139" s="17" t="str">
        <x:v>false</x:v>
      </x:c>
      <x:c r="U139" s="17" t="str">
        <x:v>true</x:v>
      </x:c>
      <x:c r="V139" s="17" t="str">
        <x:v>false</x:v>
      </x:c>
    </x:row>
    <x:row r="140" ht="80" customHeight="1">
      <x:c r="A140" s="25" t="str">
        <x:v>Closure</x:v>
      </x:c>
      <x:c r="B140" s="25" t="n">
        <x:v>165</x:v>
      </x:c>
      <x:c r="C140" s="25" t="str">
        <x:v>Round1</x:v>
      </x:c>
      <x:c r="D140" s="25" t="str">
        <x:v>NOT_AVAILABLE</x:v>
      </x:c>
      <x:c r="E140" s="25" t="str">
        <x:v>N/A</x:v>
      </x:c>
      <x:c r="F140" s="26" t="str">
        <x:v>Tests exist but current coverage did not complete</x:v>
      </x:c>
      <x:c r="G140" s="25" t="str">
        <x:v>true</x:v>
      </x:c>
      <x:c r="H140" s="25" t="str">
        <x:v>NOT_AVAILABLE</x:v>
      </x:c>
      <x:c r="I140" s="25" t="str">
        <x:v>NOT_RUN</x:v>
      </x:c>
      <x:c r="J140" s="25" t="str">
        <x:v>NOT_RUN</x:v>
      </x:c>
      <x:c r="K140" s="25" t="n">
        <x:v>4</x:v>
      </x:c>
      <x:c r="L140" s="27" t="b">
        <x:v>0</x:v>
      </x:c>
      <x:c r="M140" s="25" t="str">
        <x:v>Deepseek-flash-v4/state/Round1/shards/Closure.json</x:v>
      </x:c>
      <x:c r="N140" s="25" t="str">
        <x:v>Deepseek-flash-v4/Result/Closure_165/result.json</x:v>
      </x:c>
      <x:c r="O140" s="25" t="str">
        <x:v>Deepseek-flash-v4/Result/Closure_165/result.json</x:v>
      </x:c>
      <x:c r="P140" t="str">
        <x:v>BOTH_NOT_RUN</x:v>
      </x:c>
      <x:c r="Q140" s="21" t="str"/>
      <x:c r="R140" s="21" t="str"/>
      <x:c r="S140" s="21" t="str"/>
      <x:c r="T140" s="17" t="str">
        <x:v>false</x:v>
      </x:c>
      <x:c r="U140" s="17" t="str">
        <x:v>true</x:v>
      </x:c>
      <x:c r="V140" s="17" t="str">
        <x:v>false</x:v>
      </x:c>
    </x:row>
    <x:row r="141" ht="80" customHeight="1">
      <x:c r="A141" s="25" t="str">
        <x:v>Closure</x:v>
      </x:c>
      <x:c r="B141" s="25" t="n">
        <x:v>166</x:v>
      </x:c>
      <x:c r="C141" s="25" t="str">
        <x:v>Round1</x:v>
      </x:c>
      <x:c r="D141" s="25" t="str">
        <x:v>NOT_AVAILABLE</x:v>
      </x:c>
      <x:c r="E141" s="25" t="str">
        <x:v>N/A</x:v>
      </x:c>
      <x:c r="F141" s="26" t="str">
        <x:v>Tests exist but current coverage did not complete</x:v>
      </x:c>
      <x:c r="G141" s="25" t="str">
        <x:v>true</x:v>
      </x:c>
      <x:c r="H141" s="25" t="str">
        <x:v>NOT_AVAILABLE</x:v>
      </x:c>
      <x:c r="I141" s="25" t="str">
        <x:v>NOT_RUN</x:v>
      </x:c>
      <x:c r="J141" s="25" t="str">
        <x:v>NOT_RUN</x:v>
      </x:c>
      <x:c r="K141" s="25" t="n">
        <x:v>1</x:v>
      </x:c>
      <x:c r="L141" s="27" t="b">
        <x:v>0</x:v>
      </x:c>
      <x:c r="M141" s="25" t="str">
        <x:v>Deepseek-flash-v4/state/Round1/shards/Closure.json</x:v>
      </x:c>
      <x:c r="N141" s="25" t="str">
        <x:v>Deepseek-flash-v4/Result/Closure_166/result.json</x:v>
      </x:c>
      <x:c r="O141" s="25" t="str">
        <x:v>Deepseek-flash-v4/Result/Closure_166/result.json</x:v>
      </x:c>
      <x:c r="P141" t="str">
        <x:v>BOTH_NOT_RUN</x:v>
      </x:c>
      <x:c r="Q141" s="21" t="str"/>
      <x:c r="R141" s="21" t="str"/>
      <x:c r="S141" s="21" t="str"/>
      <x:c r="T141" s="17" t="str">
        <x:v>false</x:v>
      </x:c>
      <x:c r="U141" s="17" t="str">
        <x:v>true</x:v>
      </x:c>
      <x:c r="V141" s="17" t="str">
        <x:v>false</x:v>
      </x:c>
    </x:row>
    <x:row r="142" ht="80" customHeight="1">
      <x:c r="A142" s="25" t="str">
        <x:v>Closure</x:v>
      </x:c>
      <x:c r="B142" s="25" t="n">
        <x:v>167</x:v>
      </x:c>
      <x:c r="C142" s="25" t="str">
        <x:v>Round1</x:v>
      </x:c>
      <x:c r="D142" s="25" t="str">
        <x:v>NOT_AVAILABLE</x:v>
      </x:c>
      <x:c r="E142" s="25" t="str">
        <x:v>N/A</x:v>
      </x:c>
      <x:c r="F142" s="26" t="str">
        <x:v>Tests exist but current coverage did not complete</x:v>
      </x:c>
      <x:c r="G142" s="25" t="str">
        <x:v>true</x:v>
      </x:c>
      <x:c r="H142" s="25" t="str">
        <x:v>NOT_AVAILABLE</x:v>
      </x:c>
      <x:c r="I142" s="25" t="str">
        <x:v>NOT_RUN</x:v>
      </x:c>
      <x:c r="J142" s="25" t="str">
        <x:v>NOT_RUN</x:v>
      </x:c>
      <x:c r="K142" s="25" t="n">
        <x:v>2</x:v>
      </x:c>
      <x:c r="L142" s="27" t="b">
        <x:v>0</x:v>
      </x:c>
      <x:c r="M142" s="25" t="str">
        <x:v>Deepseek-flash-v4/state/Round1/shards/Closure.json</x:v>
      </x:c>
      <x:c r="N142" s="25" t="str">
        <x:v>Deepseek-flash-v4/Result/Closure_167/result.json</x:v>
      </x:c>
      <x:c r="O142" s="25" t="str">
        <x:v>Deepseek-flash-v4/Result/Closure_167/result.json</x:v>
      </x:c>
      <x:c r="P142" t="str">
        <x:v>BOTH_NOT_RUN</x:v>
      </x:c>
      <x:c r="Q142" s="21" t="str"/>
      <x:c r="R142" s="21" t="str"/>
      <x:c r="S142" s="21" t="str"/>
      <x:c r="T142" s="17" t="str">
        <x:v>false</x:v>
      </x:c>
      <x:c r="U142" s="17" t="str">
        <x:v>true</x:v>
      </x:c>
      <x:c r="V142" s="17" t="str">
        <x:v>false</x:v>
      </x:c>
    </x:row>
    <x:row r="143" ht="80" customHeight="1">
      <x:c r="A143" s="25" t="str">
        <x:v>Closure</x:v>
      </x:c>
      <x:c r="B143" s="25" t="n">
        <x:v>168</x:v>
      </x:c>
      <x:c r="C143" s="25" t="str">
        <x:v>Round1</x:v>
      </x:c>
      <x:c r="D143" s="25" t="str">
        <x:v>NOT_AVAILABLE</x:v>
      </x:c>
      <x:c r="E143" s="25" t="str">
        <x:v>N/A</x:v>
      </x:c>
      <x:c r="F143" s="26" t="str">
        <x:v>Tests exist but current coverage did not complete</x:v>
      </x:c>
      <x:c r="G143" s="25" t="str">
        <x:v>true</x:v>
      </x:c>
      <x:c r="H143" s="25" t="str">
        <x:v>NOT_AVAILABLE</x:v>
      </x:c>
      <x:c r="I143" s="25" t="str">
        <x:v>NOT_RUN</x:v>
      </x:c>
      <x:c r="J143" s="25" t="str">
        <x:v>NOT_RUN</x:v>
      </x:c>
      <x:c r="K143" s="25" t="n">
        <x:v>1</x:v>
      </x:c>
      <x:c r="L143" s="27" t="b">
        <x:v>0</x:v>
      </x:c>
      <x:c r="M143" s="25" t="str">
        <x:v>Deepseek-flash-v4/state/Round1/shards/Closure.json</x:v>
      </x:c>
      <x:c r="N143" s="25" t="str">
        <x:v>Deepseek-flash-v4/Result/Closure_168/result.json</x:v>
      </x:c>
      <x:c r="O143" s="25" t="str">
        <x:v>Deepseek-flash-v4/Result/Closure_168/result.json</x:v>
      </x:c>
      <x:c r="P143" t="str">
        <x:v>BOTH_NOT_RUN</x:v>
      </x:c>
      <x:c r="Q143" s="21" t="str"/>
      <x:c r="R143" s="21" t="str"/>
      <x:c r="S143" s="21" t="str"/>
      <x:c r="T143" s="17" t="str">
        <x:v>false</x:v>
      </x:c>
      <x:c r="U143" s="17" t="str">
        <x:v>true</x:v>
      </x:c>
      <x:c r="V143" s="17" t="str">
        <x:v>false</x:v>
      </x:c>
    </x:row>
    <x:row r="144" ht="80" customHeight="1">
      <x:c r="A144" s="25" t="str">
        <x:v>Closure</x:v>
      </x:c>
      <x:c r="B144" s="25" t="n">
        <x:v>169</x:v>
      </x:c>
      <x:c r="C144" s="25" t="str">
        <x:v>Round1</x:v>
      </x:c>
      <x:c r="D144" s="25" t="str">
        <x:v>NOT_AVAILABLE</x:v>
      </x:c>
      <x:c r="E144" s="25" t="str">
        <x:v>N/A</x:v>
      </x:c>
      <x:c r="F144" s="26" t="str">
        <x:v>Tests exist but current coverage did not complete</x:v>
      </x:c>
      <x:c r="G144" s="25" t="str">
        <x:v>true</x:v>
      </x:c>
      <x:c r="H144" s="25" t="str">
        <x:v>NOT_AVAILABLE</x:v>
      </x:c>
      <x:c r="I144" s="25" t="str">
        <x:v>NOT_RUN</x:v>
      </x:c>
      <x:c r="J144" s="25" t="str">
        <x:v>NOT_RUN</x:v>
      </x:c>
      <x:c r="K144" s="25" t="n">
        <x:v>5</x:v>
      </x:c>
      <x:c r="L144" s="27" t="b">
        <x:v>0</x:v>
      </x:c>
      <x:c r="M144" s="25" t="str">
        <x:v>Deepseek-flash-v4/state/Round1/generator_state.json; Deepseek-flash-v4/state/Round1/shards/Closure.json</x:v>
      </x:c>
      <x:c r="N144" s="25" t="str">
        <x:v>Deepseek-flash-v4/Result/Closure_169/result.json</x:v>
      </x:c>
      <x:c r="O144" s="25" t="str">
        <x:v>Deepseek-flash-v4/Result/Closure_169/result.json</x:v>
      </x:c>
      <x:c r="P144" t="str">
        <x:v>BOTH_NOT_RUN</x:v>
      </x:c>
      <x:c r="Q144" s="21" t="str"/>
      <x:c r="R144" s="21" t="str"/>
      <x:c r="S144" s="21" t="str"/>
      <x:c r="T144" s="17" t="str">
        <x:v>false</x:v>
      </x:c>
      <x:c r="U144" s="17" t="str">
        <x:v>true</x:v>
      </x:c>
      <x:c r="V144" s="17" t="str">
        <x:v>false</x:v>
      </x:c>
    </x:row>
    <x:row r="145" ht="80" customHeight="1">
      <x:c r="A145" s="25" t="str">
        <x:v>Closure</x:v>
      </x:c>
      <x:c r="B145" s="25" t="n">
        <x:v>17</x:v>
      </x:c>
      <x:c r="C145" s="25" t="str">
        <x:v>Round1</x:v>
      </x:c>
      <x:c r="D145" s="25" t="str">
        <x:v>NOT_AVAILABLE</x:v>
      </x:c>
      <x:c r="E145" s="25" t="str">
        <x:v>N/A</x:v>
      </x:c>
      <x:c r="F145" s="26" t="str">
        <x:v>Tests exist but current coverage did not complete</x:v>
      </x:c>
      <x:c r="G145" s="25" t="str">
        <x:v>true</x:v>
      </x:c>
      <x:c r="H145" s="25" t="str">
        <x:v>NOT_AVAILABLE</x:v>
      </x:c>
      <x:c r="I145" s="25" t="str">
        <x:v>NOT_RUN</x:v>
      </x:c>
      <x:c r="J145" s="25" t="str">
        <x:v>NOT_RUN</x:v>
      </x:c>
      <x:c r="K145" s="25" t="n">
        <x:v>1</x:v>
      </x:c>
      <x:c r="L145" s="27" t="b">
        <x:v>0</x:v>
      </x:c>
      <x:c r="M145" s="25" t="str">
        <x:v>Deepseek-flash-v4/state/Round1/shards/Closure.json</x:v>
      </x:c>
      <x:c r="N145" s="25" t="str">
        <x:v>Deepseek-flash-v4/Result/Closure_17/result.json</x:v>
      </x:c>
      <x:c r="O145" s="25" t="str">
        <x:v>Deepseek-flash-v4/Result/Closure_17/result.json</x:v>
      </x:c>
      <x:c r="P145" t="str">
        <x:v>BOTH_NOT_RUN</x:v>
      </x:c>
      <x:c r="Q145" s="21" t="str"/>
      <x:c r="R145" s="21" t="str"/>
      <x:c r="S145" s="21" t="str"/>
      <x:c r="T145" s="17" t="str">
        <x:v>false</x:v>
      </x:c>
      <x:c r="U145" s="17" t="str">
        <x:v>true</x:v>
      </x:c>
      <x:c r="V145" s="17" t="str">
        <x:v>false</x:v>
      </x:c>
    </x:row>
    <x:row r="146" ht="80" customHeight="1">
      <x:c r="A146" s="25" t="str">
        <x:v>Closure</x:v>
      </x:c>
      <x:c r="B146" s="25" t="n">
        <x:v>170</x:v>
      </x:c>
      <x:c r="C146" s="25" t="str">
        <x:v>Round1</x:v>
      </x:c>
      <x:c r="D146" s="25" t="str">
        <x:v>NOT_AVAILABLE</x:v>
      </x:c>
      <x:c r="E146" s="25" t="str">
        <x:v>N/A</x:v>
      </x:c>
      <x:c r="F146" s="26" t="str">
        <x:v>Tests exist but current coverage did not complete</x:v>
      </x:c>
      <x:c r="G146" s="25" t="str">
        <x:v>true</x:v>
      </x:c>
      <x:c r="H146" s="25" t="str">
        <x:v>NOT_AVAILABLE</x:v>
      </x:c>
      <x:c r="I146" s="25" t="str">
        <x:v>NOT_RUN</x:v>
      </x:c>
      <x:c r="J146" s="25" t="str">
        <x:v>NOT_RUN</x:v>
      </x:c>
      <x:c r="K146" s="25" t="n">
        <x:v>1</x:v>
      </x:c>
      <x:c r="L146" s="27" t="b">
        <x:v>0</x:v>
      </x:c>
      <x:c r="M146" s="25" t="str">
        <x:v>Deepseek-flash-v4/state/Round1/shards/Closure.json</x:v>
      </x:c>
      <x:c r="N146" s="25" t="str">
        <x:v>Deepseek-flash-v4/Result/Closure_170/result.json</x:v>
      </x:c>
      <x:c r="O146" s="25" t="str">
        <x:v>Deepseek-flash-v4/Result/Closure_170/result.json</x:v>
      </x:c>
      <x:c r="P146" t="str">
        <x:v>BOTH_NOT_RUN</x:v>
      </x:c>
      <x:c r="Q146" s="21" t="str"/>
      <x:c r="R146" s="21" t="str"/>
      <x:c r="S146" s="21" t="str"/>
      <x:c r="T146" s="17" t="str">
        <x:v>false</x:v>
      </x:c>
      <x:c r="U146" s="17" t="str">
        <x:v>true</x:v>
      </x:c>
      <x:c r="V146" s="17" t="str">
        <x:v>false</x:v>
      </x:c>
    </x:row>
    <x:row r="147" ht="80" customHeight="1">
      <x:c r="A147" s="25" t="str">
        <x:v>Closure</x:v>
      </x:c>
      <x:c r="B147" s="25" t="n">
        <x:v>171</x:v>
      </x:c>
      <x:c r="C147" s="25" t="str">
        <x:v>Round1</x:v>
      </x:c>
      <x:c r="D147" s="25" t="str">
        <x:v>NOT_AVAILABLE</x:v>
      </x:c>
      <x:c r="E147" s="25" t="str">
        <x:v>N/A</x:v>
      </x:c>
      <x:c r="F147" s="26" t="str">
        <x:v>Tests exist but current coverage did not complete</x:v>
      </x:c>
      <x:c r="G147" s="25" t="str">
        <x:v>true</x:v>
      </x:c>
      <x:c r="H147" s="25" t="str">
        <x:v>NOT_AVAILABLE</x:v>
      </x:c>
      <x:c r="I147" s="25" t="str">
        <x:v>NOT_RUN</x:v>
      </x:c>
      <x:c r="J147" s="25" t="str">
        <x:v>NOT_RUN</x:v>
      </x:c>
      <x:c r="K147" s="25" t="n">
        <x:v>2</x:v>
      </x:c>
      <x:c r="L147" s="27" t="b">
        <x:v>0</x:v>
      </x:c>
      <x:c r="M147" s="25" t="str">
        <x:v>Deepseek-flash-v4/state/Round1/shards/Closure.json</x:v>
      </x:c>
      <x:c r="N147" s="25" t="str">
        <x:v>Deepseek-flash-v4/Result/Closure_171/result.json</x:v>
      </x:c>
      <x:c r="O147" s="25" t="str">
        <x:v>Deepseek-flash-v4/Result/Closure_171/result.json</x:v>
      </x:c>
      <x:c r="P147" t="str">
        <x:v>BOTH_NOT_RUN</x:v>
      </x:c>
      <x:c r="Q147" s="21" t="str"/>
      <x:c r="R147" s="21" t="str"/>
      <x:c r="S147" s="21" t="str"/>
      <x:c r="T147" s="17" t="str">
        <x:v>false</x:v>
      </x:c>
      <x:c r="U147" s="17" t="str">
        <x:v>true</x:v>
      </x:c>
      <x:c r="V147" s="17" t="str">
        <x:v>false</x:v>
      </x:c>
    </x:row>
    <x:row r="148" ht="80" customHeight="1">
      <x:c r="A148" s="25" t="str">
        <x:v>Closure</x:v>
      </x:c>
      <x:c r="B148" s="25" t="n">
        <x:v>172</x:v>
      </x:c>
      <x:c r="C148" s="25" t="str">
        <x:v>Round1</x:v>
      </x:c>
      <x:c r="D148" s="25" t="str">
        <x:v>INCONCLUSIVE</x:v>
      </x:c>
      <x:c r="E148" s="25" t="str">
        <x:v>N/A</x:v>
      </x:c>
      <x:c r="F148" s="26" t="str">
        <x:v>Fixed also failed; assertion failure cannot be attributed to this bug</x:v>
      </x:c>
      <x:c r="G148" s="25" t="str">
        <x:v>true</x:v>
      </x:c>
      <x:c r="H148" s="25" t="str">
        <x:v>INCONCLUSIVE</x:v>
      </x:c>
      <x:c r="I148" s="25" t="str">
        <x:v>FAIL</x:v>
      </x:c>
      <x:c r="J148" s="25" t="str">
        <x:v>FAIL</x:v>
      </x:c>
      <x:c r="K148" s="25" t="n">
        <x:v>1</x:v>
      </x:c>
      <x:c r="L148" s="27" t="b">
        <x:v>0</x:v>
      </x:c>
      <x:c r="M148" s="25" t="str">
        <x:v>Deepseek-flash-v4/state/Round1/shards/Closure.json</x:v>
      </x:c>
      <x:c r="N148" s="25" t="str">
        <x:v>Deepseek-flash-v4/Result/Closure_172/result.json</x:v>
      </x:c>
      <x:c r="O148" s="25" t="str">
        <x:v>Deepseek-flash-v4/Result/Closure_172/result.json</x:v>
      </x:c>
      <x:c r="P148"/>
      <x:c r="Q148" s="21" t="str"/>
      <x:c r="R148" s="21" t="str"/>
      <x:c r="S148" s="21" t="str"/>
      <x:c r="T148" s="17" t="str">
        <x:v>false</x:v>
      </x:c>
      <x:c r="U148" s="17" t="str">
        <x:v>true</x:v>
      </x:c>
      <x:c r="V148" s="17" t="str">
        <x:v>false</x:v>
      </x:c>
    </x:row>
    <x:row r="149" ht="80" customHeight="1">
      <x:c r="A149" s="25" t="str">
        <x:v>Closure</x:v>
      </x:c>
      <x:c r="B149" s="25" t="n">
        <x:v>173</x:v>
      </x:c>
      <x:c r="C149" s="25" t="str">
        <x:v>Round1</x:v>
      </x:c>
      <x:c r="D149" s="25" t="str">
        <x:v>NOT_AVAILABLE</x:v>
      </x:c>
      <x:c r="E149" s="25" t="str">
        <x:v>N/A</x:v>
      </x:c>
      <x:c r="F149" s="26" t="str">
        <x:v>Tests exist but current coverage did not complete</x:v>
      </x:c>
      <x:c r="G149" s="25" t="str">
        <x:v>true</x:v>
      </x:c>
      <x:c r="H149" s="25" t="str">
        <x:v>NOT_AVAILABLE</x:v>
      </x:c>
      <x:c r="I149" s="25" t="str">
        <x:v>NOT_RUN</x:v>
      </x:c>
      <x:c r="J149" s="25" t="str">
        <x:v>NOT_RUN</x:v>
      </x:c>
      <x:c r="K149" s="25" t="n">
        <x:v>2</x:v>
      </x:c>
      <x:c r="L149" s="27" t="b">
        <x:v>0</x:v>
      </x:c>
      <x:c r="M149" s="25" t="str">
        <x:v>Deepseek-flash-v4/state/Round1/shards/Closure.json</x:v>
      </x:c>
      <x:c r="N149" s="25" t="str">
        <x:v>Deepseek-flash-v4/Result/Closure_173/result.json</x:v>
      </x:c>
      <x:c r="O149" s="25" t="str">
        <x:v>Deepseek-flash-v4/Result/Closure_173/result.json</x:v>
      </x:c>
      <x:c r="P149" t="str">
        <x:v>BOTH_NOT_RUN</x:v>
      </x:c>
      <x:c r="Q149" s="21" t="str"/>
      <x:c r="R149" s="21" t="str"/>
      <x:c r="S149" s="21" t="str"/>
      <x:c r="T149" s="17" t="str">
        <x:v>false</x:v>
      </x:c>
      <x:c r="U149" s="17" t="str">
        <x:v>true</x:v>
      </x:c>
      <x:c r="V149" s="17" t="str">
        <x:v>false</x:v>
      </x:c>
    </x:row>
    <x:row r="150" ht="80" customHeight="1">
      <x:c r="A150" s="25" t="str">
        <x:v>Closure</x:v>
      </x:c>
      <x:c r="B150" s="25" t="n">
        <x:v>174</x:v>
      </x:c>
      <x:c r="C150" s="25" t="str">
        <x:v>Round1</x:v>
      </x:c>
      <x:c r="D150" s="25" t="str">
        <x:v>NOT_AVAILABLE</x:v>
      </x:c>
      <x:c r="E150" s="25" t="str">
        <x:v>N/A</x:v>
      </x:c>
      <x:c r="F150" s="26" t="str">
        <x:v>Tests exist but current coverage did not complete</x:v>
      </x:c>
      <x:c r="G150" s="25" t="str">
        <x:v>true</x:v>
      </x:c>
      <x:c r="H150" s="25" t="str">
        <x:v>NOT_AVAILABLE</x:v>
      </x:c>
      <x:c r="I150" s="25" t="str">
        <x:v>NOT_RUN</x:v>
      </x:c>
      <x:c r="J150" s="25" t="str">
        <x:v>NOT_RUN</x:v>
      </x:c>
      <x:c r="K150" s="25" t="n">
        <x:v>3</x:v>
      </x:c>
      <x:c r="L150" s="27" t="b">
        <x:v>0</x:v>
      </x:c>
      <x:c r="M150" s="25" t="str">
        <x:v>Deepseek-flash-v4/state/Round1/shards/Closure.json</x:v>
      </x:c>
      <x:c r="N150" s="25" t="str">
        <x:v>Deepseek-flash-v4/Result/Closure_174/result.json</x:v>
      </x:c>
      <x:c r="O150" s="25" t="str">
        <x:v>Deepseek-flash-v4/Result/Closure_174/result.json</x:v>
      </x:c>
      <x:c r="P150" t="str">
        <x:v>BOTH_NOT_RUN</x:v>
      </x:c>
      <x:c r="Q150" s="21" t="str"/>
      <x:c r="R150" s="21" t="str"/>
      <x:c r="S150" s="21" t="str"/>
      <x:c r="T150" s="17" t="str">
        <x:v>false</x:v>
      </x:c>
      <x:c r="U150" s="17" t="str">
        <x:v>true</x:v>
      </x:c>
      <x:c r="V150" s="17" t="str">
        <x:v>false</x:v>
      </x:c>
    </x:row>
    <x:row r="151" ht="80" customHeight="1">
      <x:c r="A151" s="25" t="str">
        <x:v>Closure</x:v>
      </x:c>
      <x:c r="B151" s="25" t="n">
        <x:v>175</x:v>
      </x:c>
      <x:c r="C151" s="25" t="str">
        <x:v>Round1</x:v>
      </x:c>
      <x:c r="D151" s="25" t="str">
        <x:v>NOT_AVAILABLE</x:v>
      </x:c>
      <x:c r="E151" s="25" t="str">
        <x:v>N/A</x:v>
      </x:c>
      <x:c r="F151" s="26" t="str">
        <x:v>Tests exist but current coverage did not complete</x:v>
      </x:c>
      <x:c r="G151" s="25" t="str">
        <x:v>true</x:v>
      </x:c>
      <x:c r="H151" s="25" t="str">
        <x:v>NOT_AVAILABLE</x:v>
      </x:c>
      <x:c r="I151" s="25" t="str">
        <x:v>NOT_RUN</x:v>
      </x:c>
      <x:c r="J151" s="25" t="str">
        <x:v>NOT_RUN</x:v>
      </x:c>
      <x:c r="K151" s="25" t="n">
        <x:v>1</x:v>
      </x:c>
      <x:c r="L151" s="27" t="b">
        <x:v>0</x:v>
      </x:c>
      <x:c r="M151" s="25" t="str">
        <x:v>Deepseek-flash-v4/state/Round1/generator_state.json</x:v>
      </x:c>
      <x:c r="N151" s="25" t="str">
        <x:v>Deepseek-flash-v4/Result/Closure_175/result.json</x:v>
      </x:c>
      <x:c r="O151" s="25" t="str">
        <x:v>Deepseek-flash-v4/Result/Closure_175/result.json</x:v>
      </x:c>
      <x:c r="P151" t="str">
        <x:v>BOTH_NOT_RUN</x:v>
      </x:c>
      <x:c r="Q151" s="21" t="str"/>
      <x:c r="R151" s="21" t="str"/>
      <x:c r="S151" s="21" t="str"/>
      <x:c r="T151" s="17" t="str">
        <x:v>false</x:v>
      </x:c>
      <x:c r="U151" s="17" t="str">
        <x:v>true</x:v>
      </x:c>
      <x:c r="V151" s="17" t="str">
        <x:v>false</x:v>
      </x:c>
    </x:row>
    <x:row r="152" ht="80" customHeight="1">
      <x:c r="A152" s="25" t="str">
        <x:v>Closure</x:v>
      </x:c>
      <x:c r="B152" s="25" t="n">
        <x:v>176</x:v>
      </x:c>
      <x:c r="C152" s="25" t="str">
        <x:v>Round1</x:v>
      </x:c>
      <x:c r="D152" s="25" t="str">
        <x:v>NOT_AVAILABLE</x:v>
      </x:c>
      <x:c r="E152" s="25" t="str">
        <x:v>N/A</x:v>
      </x:c>
      <x:c r="F152" s="26" t="str">
        <x:v>Tests exist but current coverage did not complete</x:v>
      </x:c>
      <x:c r="G152" s="25" t="str">
        <x:v>true</x:v>
      </x:c>
      <x:c r="H152" s="25" t="str">
        <x:v>NOT_AVAILABLE</x:v>
      </x:c>
      <x:c r="I152" s="25" t="str">
        <x:v>NOT_RUN</x:v>
      </x:c>
      <x:c r="J152" s="25" t="str">
        <x:v>NOT_RUN</x:v>
      </x:c>
      <x:c r="K152" s="25" t="n">
        <x:v>1</x:v>
      </x:c>
      <x:c r="L152" s="27" t="b">
        <x:v>0</x:v>
      </x:c>
      <x:c r="M152" s="25" t="str">
        <x:v>Deepseek-flash-v4/state/Round1/generator_state.json</x:v>
      </x:c>
      <x:c r="N152" s="25" t="str">
        <x:v>Deepseek-flash-v4/Result/Closure_176/result.json</x:v>
      </x:c>
      <x:c r="O152" s="25" t="str">
        <x:v>Deepseek-flash-v4/Result/Closure_176/result.json</x:v>
      </x:c>
      <x:c r="P152" t="str">
        <x:v>BOTH_NOT_RUN</x:v>
      </x:c>
      <x:c r="Q152" s="21" t="str"/>
      <x:c r="R152" s="21" t="str"/>
      <x:c r="S152" s="21" t="str"/>
      <x:c r="T152" s="17" t="str">
        <x:v>false</x:v>
      </x:c>
      <x:c r="U152" s="17" t="str">
        <x:v>true</x:v>
      </x:c>
      <x:c r="V152" s="17" t="str">
        <x:v>false</x:v>
      </x:c>
    </x:row>
    <x:row r="153" ht="80" customHeight="1">
      <x:c r="A153" s="25" t="str">
        <x:v>Closure</x:v>
      </x:c>
      <x:c r="B153" s="25" t="n">
        <x:v>18</x:v>
      </x:c>
      <x:c r="C153" s="25" t="str">
        <x:v>Round1</x:v>
      </x:c>
      <x:c r="D153" s="25" t="str">
        <x:v>NOT_AVAILABLE</x:v>
      </x:c>
      <x:c r="E153" s="25" t="str">
        <x:v>N/A</x:v>
      </x:c>
      <x:c r="F153" s="26" t="str">
        <x:v>Tests exist but current coverage did not complete</x:v>
      </x:c>
      <x:c r="G153" s="25" t="str">
        <x:v>true</x:v>
      </x:c>
      <x:c r="H153" s="25" t="str">
        <x:v>NOT_AVAILABLE</x:v>
      </x:c>
      <x:c r="I153" s="25" t="str">
        <x:v>NOT_RUN</x:v>
      </x:c>
      <x:c r="J153" s="25" t="str">
        <x:v>NOT_RUN</x:v>
      </x:c>
      <x:c r="K153" s="25" t="n">
        <x:v>1</x:v>
      </x:c>
      <x:c r="L153" s="27" t="b">
        <x:v>0</x:v>
      </x:c>
      <x:c r="M153" s="25" t="str">
        <x:v>Deepseek-flash-v4/state/Round1/shards/Closure.json</x:v>
      </x:c>
      <x:c r="N153" s="25" t="str">
        <x:v>Deepseek-flash-v4/Result/Closure_18/result.json</x:v>
      </x:c>
      <x:c r="O153" s="25" t="str">
        <x:v>Deepseek-flash-v4/Result/Closure_18/result.json</x:v>
      </x:c>
      <x:c r="P153" t="str">
        <x:v>BOTH_NOT_RUN</x:v>
      </x:c>
      <x:c r="Q153" s="21" t="str"/>
      <x:c r="R153" s="21" t="str"/>
      <x:c r="S153" s="21" t="str"/>
      <x:c r="T153" s="17" t="str">
        <x:v>false</x:v>
      </x:c>
      <x:c r="U153" s="17" t="str">
        <x:v>true</x:v>
      </x:c>
      <x:c r="V153" s="17" t="str">
        <x:v>false</x:v>
      </x:c>
    </x:row>
    <x:row r="154" ht="80" customHeight="1">
      <x:c r="A154" s="25" t="str">
        <x:v>Closure</x:v>
      </x:c>
      <x:c r="B154" s="25" t="n">
        <x:v>19</x:v>
      </x:c>
      <x:c r="C154" s="25" t="str">
        <x:v>Round1</x:v>
      </x:c>
      <x:c r="D154" s="25" t="str">
        <x:v>NOT_AVAILABLE</x:v>
      </x:c>
      <x:c r="E154" s="25" t="str">
        <x:v>N/A</x:v>
      </x:c>
      <x:c r="F154" s="26" t="str">
        <x:v>Tests exist but current coverage did not complete</x:v>
      </x:c>
      <x:c r="G154" s="25" t="str">
        <x:v>true</x:v>
      </x:c>
      <x:c r="H154" s="25" t="str">
        <x:v>NOT_AVAILABLE</x:v>
      </x:c>
      <x:c r="I154" s="25" t="str">
        <x:v>NOT_RUN</x:v>
      </x:c>
      <x:c r="J154" s="25" t="str">
        <x:v>NOT_RUN</x:v>
      </x:c>
      <x:c r="K154" s="25" t="n">
        <x:v>1</x:v>
      </x:c>
      <x:c r="L154" s="27" t="b">
        <x:v>0</x:v>
      </x:c>
      <x:c r="M154" s="25" t="str">
        <x:v>Deepseek-flash-v4/state/Round1/shards/Closure.json</x:v>
      </x:c>
      <x:c r="N154" s="25" t="str">
        <x:v>Deepseek-flash-v4/Result/Closure_19/result.json</x:v>
      </x:c>
      <x:c r="O154" s="25" t="str">
        <x:v>Deepseek-flash-v4/Result/Closure_19/result.json</x:v>
      </x:c>
      <x:c r="P154" t="str">
        <x:v>BOTH_NOT_RUN</x:v>
      </x:c>
      <x:c r="Q154" s="21" t="str"/>
      <x:c r="R154" s="21" t="str"/>
      <x:c r="S154" s="21" t="str"/>
      <x:c r="T154" s="17" t="str">
        <x:v>false</x:v>
      </x:c>
      <x:c r="U154" s="17" t="str">
        <x:v>true</x:v>
      </x:c>
      <x:c r="V154" s="17" t="str">
        <x:v>false</x:v>
      </x:c>
    </x:row>
    <x:row r="155" ht="80" customHeight="1">
      <x:c r="A155" s="25" t="str">
        <x:v>Closure</x:v>
      </x:c>
      <x:c r="B155" s="25" t="n">
        <x:v>2</x:v>
      </x:c>
      <x:c r="C155" s="25" t="str">
        <x:v>Round1</x:v>
      </x:c>
      <x:c r="D155" s="25" t="str">
        <x:v>NOT_AVAILABLE</x:v>
      </x:c>
      <x:c r="E155" s="25" t="str">
        <x:v>N/A</x:v>
      </x:c>
      <x:c r="F155" s="26" t="str">
        <x:v>Tests exist but current coverage did not complete</x:v>
      </x:c>
      <x:c r="G155" s="25" t="str">
        <x:v>true</x:v>
      </x:c>
      <x:c r="H155" s="25" t="str">
        <x:v>NOT_AVAILABLE</x:v>
      </x:c>
      <x:c r="I155" s="25" t="str">
        <x:v>NOT_RUN</x:v>
      </x:c>
      <x:c r="J155" s="25" t="str">
        <x:v>NOT_RUN</x:v>
      </x:c>
      <x:c r="K155" s="25" t="n">
        <x:v>1</x:v>
      </x:c>
      <x:c r="L155" s="27" t="b">
        <x:v>0</x:v>
      </x:c>
      <x:c r="M155" s="25" t="str">
        <x:v>Deepseek-flash-v4/state/Round1/shards/Closure.json</x:v>
      </x:c>
      <x:c r="N155" s="25" t="str">
        <x:v>Deepseek-flash-v4/Result/Closure_2/result.json</x:v>
      </x:c>
      <x:c r="O155" s="25" t="str">
        <x:v>Deepseek-flash-v4/Result/Closure_2/result.json</x:v>
      </x:c>
      <x:c r="P155" t="str">
        <x:v>BOTH_NOT_RUN</x:v>
      </x:c>
      <x:c r="Q155" s="21" t="str"/>
      <x:c r="R155" s="21" t="str"/>
      <x:c r="S155" s="21" t="str"/>
      <x:c r="T155" s="17" t="str">
        <x:v>false</x:v>
      </x:c>
      <x:c r="U155" s="17" t="str">
        <x:v>true</x:v>
      </x:c>
      <x:c r="V155" s="17" t="str">
        <x:v>false</x:v>
      </x:c>
    </x:row>
    <x:row r="156" ht="80" customHeight="1">
      <x:c r="A156" s="25" t="str">
        <x:v>Closure</x:v>
      </x:c>
      <x:c r="B156" s="25" t="n">
        <x:v>20</x:v>
      </x:c>
      <x:c r="C156" s="25" t="str">
        <x:v>Round1</x:v>
      </x:c>
      <x:c r="D156" s="25" t="str">
        <x:v>INCONCLUSIVE</x:v>
      </x:c>
      <x:c r="E156" s="25" t="str">
        <x:v>N/A</x:v>
      </x:c>
      <x:c r="F156" s="26" t="str">
        <x:v>Fixed also failed; assertion failure cannot be attributed to this bug</x:v>
      </x:c>
      <x:c r="G156" s="25" t="str">
        <x:v>true</x:v>
      </x:c>
      <x:c r="H156" s="25" t="str">
        <x:v>INCONCLUSIVE</x:v>
      </x:c>
      <x:c r="I156" s="25" t="str">
        <x:v>FAIL</x:v>
      </x:c>
      <x:c r="J156" s="25" t="str">
        <x:v>FAIL</x:v>
      </x:c>
      <x:c r="K156" s="25" t="n">
        <x:v>1</x:v>
      </x:c>
      <x:c r="L156" s="27" t="b">
        <x:v>0</x:v>
      </x:c>
      <x:c r="M156" s="25" t="str">
        <x:v>Deepseek-flash-v4/state/Round1/shards/Closure.json</x:v>
      </x:c>
      <x:c r="N156" s="25" t="str">
        <x:v>Deepseek-flash-v4/Result/Closure_20/result.json</x:v>
      </x:c>
      <x:c r="O156" s="25" t="str">
        <x:v>Deepseek-flash-v4/Result/Closure_20/result.json</x:v>
      </x:c>
      <x:c r="P156"/>
      <x:c r="Q156" s="21" t="str"/>
      <x:c r="R156" s="21" t="str"/>
      <x:c r="S156" s="21" t="str"/>
      <x:c r="T156" s="17" t="str">
        <x:v>false</x:v>
      </x:c>
      <x:c r="U156" s="17" t="str">
        <x:v>true</x:v>
      </x:c>
      <x:c r="V156" s="17" t="str">
        <x:v>false</x:v>
      </x:c>
    </x:row>
    <x:row r="157" ht="80" customHeight="1">
      <x:c r="A157" s="25" t="str">
        <x:v>Closure</x:v>
      </x:c>
      <x:c r="B157" s="25" t="n">
        <x:v>21</x:v>
      </x:c>
      <x:c r="C157" s="25" t="str">
        <x:v>Round1</x:v>
      </x:c>
      <x:c r="D157" s="25" t="str">
        <x:v>NOT_AVAILABLE</x:v>
      </x:c>
      <x:c r="E157" s="25" t="str">
        <x:v>N/A</x:v>
      </x:c>
      <x:c r="F157" s="26" t="str">
        <x:v>Tests exist but current coverage did not complete</x:v>
      </x:c>
      <x:c r="G157" s="25" t="str">
        <x:v>true</x:v>
      </x:c>
      <x:c r="H157" s="25" t="str">
        <x:v>NOT_AVAILABLE</x:v>
      </x:c>
      <x:c r="I157" s="25" t="str">
        <x:v>NOT_RUN</x:v>
      </x:c>
      <x:c r="J157" s="25" t="str">
        <x:v>NOT_RUN</x:v>
      </x:c>
      <x:c r="K157" s="25" t="n">
        <x:v>1</x:v>
      </x:c>
      <x:c r="L157" s="27" t="b">
        <x:v>0</x:v>
      </x:c>
      <x:c r="M157" s="25" t="str">
        <x:v>Deepseek-flash-v4/state/Round1/shards/Closure.json</x:v>
      </x:c>
      <x:c r="N157" s="25" t="str">
        <x:v>Deepseek-flash-v4/Result/Closure_21/result.json</x:v>
      </x:c>
      <x:c r="O157" s="25" t="str">
        <x:v>Deepseek-flash-v4/Result/Closure_21/result.json</x:v>
      </x:c>
      <x:c r="P157" t="str">
        <x:v>BOTH_NOT_RUN</x:v>
      </x:c>
      <x:c r="Q157" s="21" t="str"/>
      <x:c r="R157" s="21" t="str"/>
      <x:c r="S157" s="21" t="str"/>
      <x:c r="T157" s="17" t="str">
        <x:v>false</x:v>
      </x:c>
      <x:c r="U157" s="17" t="str">
        <x:v>true</x:v>
      </x:c>
      <x:c r="V157" s="17" t="str">
        <x:v>false</x:v>
      </x:c>
    </x:row>
    <x:row r="158" ht="80" customHeight="1">
      <x:c r="A158" s="25" t="str">
        <x:v>Closure</x:v>
      </x:c>
      <x:c r="B158" s="25" t="n">
        <x:v>22</x:v>
      </x:c>
      <x:c r="C158" s="25" t="str">
        <x:v>Round1</x:v>
      </x:c>
      <x:c r="D158" s="25" t="str">
        <x:v>NOT_AVAILABLE</x:v>
      </x:c>
      <x:c r="E158" s="25" t="str">
        <x:v>N/A</x:v>
      </x:c>
      <x:c r="F158" s="26" t="str">
        <x:v>Tests exist but current coverage did not complete</x:v>
      </x:c>
      <x:c r="G158" s="25" t="str">
        <x:v>true</x:v>
      </x:c>
      <x:c r="H158" s="25" t="str">
        <x:v>NOT_AVAILABLE</x:v>
      </x:c>
      <x:c r="I158" s="25" t="str">
        <x:v>NOT_RUN</x:v>
      </x:c>
      <x:c r="J158" s="25" t="str">
        <x:v>NOT_RUN</x:v>
      </x:c>
      <x:c r="K158" s="25" t="n">
        <x:v>1</x:v>
      </x:c>
      <x:c r="L158" s="27" t="b">
        <x:v>0</x:v>
      </x:c>
      <x:c r="M158" s="25" t="str">
        <x:v>Deepseek-flash-v4/state/Round1/shards/Closure.json</x:v>
      </x:c>
      <x:c r="N158" s="25" t="str">
        <x:v>Deepseek-flash-v4/Result/Closure_22/result.json</x:v>
      </x:c>
      <x:c r="O158" s="25" t="str">
        <x:v>Deepseek-flash-v4/Result/Closure_22/result.json</x:v>
      </x:c>
      <x:c r="P158" t="str">
        <x:v>BOTH_NOT_RUN</x:v>
      </x:c>
      <x:c r="Q158" s="21" t="str"/>
      <x:c r="R158" s="21" t="str"/>
      <x:c r="S158" s="21" t="str"/>
      <x:c r="T158" s="17" t="str">
        <x:v>false</x:v>
      </x:c>
      <x:c r="U158" s="17" t="str">
        <x:v>true</x:v>
      </x:c>
      <x:c r="V158" s="17" t="str">
        <x:v>false</x:v>
      </x:c>
    </x:row>
    <x:row r="159" ht="80" customHeight="1">
      <x:c r="A159" s="25" t="str">
        <x:v>Closure</x:v>
      </x:c>
      <x:c r="B159" s="25" t="n">
        <x:v>23</x:v>
      </x:c>
      <x:c r="C159" s="25" t="str">
        <x:v>Round1</x:v>
      </x:c>
      <x:c r="D159" s="25" t="str">
        <x:v>NOT_AVAILABLE</x:v>
      </x:c>
      <x:c r="E159" s="25" t="str">
        <x:v>N/A</x:v>
      </x:c>
      <x:c r="F159" s="26" t="str">
        <x:v>Tests exist but current coverage did not complete</x:v>
      </x:c>
      <x:c r="G159" s="25" t="str">
        <x:v>true</x:v>
      </x:c>
      <x:c r="H159" s="25" t="str">
        <x:v>NOT_AVAILABLE</x:v>
      </x:c>
      <x:c r="I159" s="25" t="str">
        <x:v>NOT_RUN</x:v>
      </x:c>
      <x:c r="J159" s="25" t="str">
        <x:v>NOT_RUN</x:v>
      </x:c>
      <x:c r="K159" s="25" t="n">
        <x:v>1</x:v>
      </x:c>
      <x:c r="L159" s="27" t="b">
        <x:v>0</x:v>
      </x:c>
      <x:c r="M159" s="25" t="str">
        <x:v>Deepseek-flash-v4/state/Round1/shards/Closure.json</x:v>
      </x:c>
      <x:c r="N159" s="25" t="str">
        <x:v>Deepseek-flash-v4/Result/Closure_23/result.json</x:v>
      </x:c>
      <x:c r="O159" s="25" t="str">
        <x:v>Deepseek-flash-v4/Result/Closure_23/result.json</x:v>
      </x:c>
      <x:c r="P159" t="str">
        <x:v>BOTH_NOT_RUN</x:v>
      </x:c>
      <x:c r="Q159" s="21" t="str"/>
      <x:c r="R159" s="21" t="str"/>
      <x:c r="S159" s="21" t="str"/>
      <x:c r="T159" s="17" t="str">
        <x:v>false</x:v>
      </x:c>
      <x:c r="U159" s="17" t="str">
        <x:v>true</x:v>
      </x:c>
      <x:c r="V159" s="17" t="str">
        <x:v>false</x:v>
      </x:c>
    </x:row>
    <x:row r="160" ht="80" customHeight="1">
      <x:c r="A160" s="25" t="str">
        <x:v>Closure</x:v>
      </x:c>
      <x:c r="B160" s="25" t="n">
        <x:v>24</x:v>
      </x:c>
      <x:c r="C160" s="25" t="str">
        <x:v>Round1</x:v>
      </x:c>
      <x:c r="D160" s="25" t="str">
        <x:v>NOT_AVAILABLE</x:v>
      </x:c>
      <x:c r="E160" s="25" t="str">
        <x:v>N/A</x:v>
      </x:c>
      <x:c r="F160" s="26" t="str">
        <x:v>Tests exist but current coverage did not complete</x:v>
      </x:c>
      <x:c r="G160" s="25" t="str">
        <x:v>true</x:v>
      </x:c>
      <x:c r="H160" s="25" t="str">
        <x:v>NOT_AVAILABLE</x:v>
      </x:c>
      <x:c r="I160" s="25" t="str">
        <x:v>NOT_RUN</x:v>
      </x:c>
      <x:c r="J160" s="25" t="str">
        <x:v>NOT_RUN</x:v>
      </x:c>
      <x:c r="K160" s="25" t="n">
        <x:v>1</x:v>
      </x:c>
      <x:c r="L160" s="27" t="b">
        <x:v>0</x:v>
      </x:c>
      <x:c r="M160" s="25" t="str">
        <x:v>Deepseek-flash-v4/state/Round1/shards/Closure.json</x:v>
      </x:c>
      <x:c r="N160" s="25" t="str">
        <x:v>Deepseek-flash-v4/Result/Closure_24/result.json</x:v>
      </x:c>
      <x:c r="O160" s="25" t="str">
        <x:v>Deepseek-flash-v4/Result/Closure_24/result.json</x:v>
      </x:c>
      <x:c r="P160" t="str">
        <x:v>BOTH_NOT_RUN</x:v>
      </x:c>
      <x:c r="Q160" s="21" t="str"/>
      <x:c r="R160" s="21" t="str"/>
      <x:c r="S160" s="21" t="str"/>
      <x:c r="T160" s="17" t="str">
        <x:v>false</x:v>
      </x:c>
      <x:c r="U160" s="17" t="str">
        <x:v>true</x:v>
      </x:c>
      <x:c r="V160" s="17" t="str">
        <x:v>false</x:v>
      </x:c>
    </x:row>
    <x:row r="161" ht="80" customHeight="1">
      <x:c r="A161" s="25" t="str">
        <x:v>Closure</x:v>
      </x:c>
      <x:c r="B161" s="25" t="n">
        <x:v>25</x:v>
      </x:c>
      <x:c r="C161" s="25" t="str">
        <x:v>Round1</x:v>
      </x:c>
      <x:c r="D161" s="25" t="str">
        <x:v>NOT_AVAILABLE</x:v>
      </x:c>
      <x:c r="E161" s="25" t="str">
        <x:v>N/A</x:v>
      </x:c>
      <x:c r="F161" s="26" t="str">
        <x:v>Tests exist but current coverage did not complete</x:v>
      </x:c>
      <x:c r="G161" s="25" t="str">
        <x:v>true</x:v>
      </x:c>
      <x:c r="H161" s="25" t="str">
        <x:v>NOT_AVAILABLE</x:v>
      </x:c>
      <x:c r="I161" s="25" t="str">
        <x:v>NOT_RUN</x:v>
      </x:c>
      <x:c r="J161" s="25" t="str">
        <x:v>NOT_RUN</x:v>
      </x:c>
      <x:c r="K161" s="25" t="n">
        <x:v>1</x:v>
      </x:c>
      <x:c r="L161" s="27" t="b">
        <x:v>0</x:v>
      </x:c>
      <x:c r="M161" s="25" t="str">
        <x:v>Deepseek-flash-v4/state/Round1/shards/Closure.json</x:v>
      </x:c>
      <x:c r="N161" s="25" t="str">
        <x:v>Deepseek-flash-v4/Result/Closure_25/result.json</x:v>
      </x:c>
      <x:c r="O161" s="25" t="str">
        <x:v>Deepseek-flash-v4/Result/Closure_25/result.json</x:v>
      </x:c>
      <x:c r="P161" t="str">
        <x:v>BOTH_NOT_RUN</x:v>
      </x:c>
      <x:c r="Q161" s="21" t="str"/>
      <x:c r="R161" s="21" t="str"/>
      <x:c r="S161" s="21" t="str"/>
      <x:c r="T161" s="17" t="str">
        <x:v>false</x:v>
      </x:c>
      <x:c r="U161" s="17" t="str">
        <x:v>true</x:v>
      </x:c>
      <x:c r="V161" s="17" t="str">
        <x:v>false</x:v>
      </x:c>
    </x:row>
    <x:row r="162" ht="80" customHeight="1">
      <x:c r="A162" s="25" t="str">
        <x:v>Closure</x:v>
      </x:c>
      <x:c r="B162" s="25" t="n">
        <x:v>26</x:v>
      </x:c>
      <x:c r="C162" s="25" t="str">
        <x:v>Round1</x:v>
      </x:c>
      <x:c r="D162" s="25" t="str">
        <x:v>NOT_AVAILABLE</x:v>
      </x:c>
      <x:c r="E162" s="25" t="str">
        <x:v>N/A</x:v>
      </x:c>
      <x:c r="F162" s="26" t="str">
        <x:v>Tests exist but current coverage did not complete</x:v>
      </x:c>
      <x:c r="G162" s="25" t="str">
        <x:v>true</x:v>
      </x:c>
      <x:c r="H162" s="25" t="str">
        <x:v>NOT_AVAILABLE</x:v>
      </x:c>
      <x:c r="I162" s="25" t="str">
        <x:v>NOT_RUN</x:v>
      </x:c>
      <x:c r="J162" s="25" t="str">
        <x:v>NOT_RUN</x:v>
      </x:c>
      <x:c r="K162" s="25" t="n">
        <x:v>1</x:v>
      </x:c>
      <x:c r="L162" s="27" t="b">
        <x:v>0</x:v>
      </x:c>
      <x:c r="M162" s="25" t="str">
        <x:v>Deepseek-flash-v4/state/Round1/shards/Closure.json</x:v>
      </x:c>
      <x:c r="N162" s="25" t="str">
        <x:v>Deepseek-flash-v4/Result/Closure_26/result.json</x:v>
      </x:c>
      <x:c r="O162" s="25" t="str">
        <x:v>Deepseek-flash-v4/Result/Closure_26/result.json</x:v>
      </x:c>
      <x:c r="P162" t="str">
        <x:v>BOTH_NOT_RUN</x:v>
      </x:c>
      <x:c r="Q162" s="21" t="str"/>
      <x:c r="R162" s="21" t="str"/>
      <x:c r="S162" s="21" t="str"/>
      <x:c r="T162" s="17" t="str">
        <x:v>false</x:v>
      </x:c>
      <x:c r="U162" s="17" t="str">
        <x:v>true</x:v>
      </x:c>
      <x:c r="V162" s="17" t="str">
        <x:v>false</x:v>
      </x:c>
    </x:row>
    <x:row r="163" ht="80" customHeight="1">
      <x:c r="A163" s="25" t="str">
        <x:v>Closure</x:v>
      </x:c>
      <x:c r="B163" s="25" t="n">
        <x:v>27</x:v>
      </x:c>
      <x:c r="C163" s="25" t="str">
        <x:v>Round1</x:v>
      </x:c>
      <x:c r="D163" s="25" t="str">
        <x:v>NOT_AVAILABLE</x:v>
      </x:c>
      <x:c r="E163" s="25" t="str">
        <x:v>N/A</x:v>
      </x:c>
      <x:c r="F163" s="26" t="str">
        <x:v>Tests exist but current coverage did not complete</x:v>
      </x:c>
      <x:c r="G163" s="25" t="str">
        <x:v>true</x:v>
      </x:c>
      <x:c r="H163" s="25" t="str">
        <x:v>NOT_AVAILABLE</x:v>
      </x:c>
      <x:c r="I163" s="25" t="str">
        <x:v>NOT_RUN</x:v>
      </x:c>
      <x:c r="J163" s="25" t="str">
        <x:v>NOT_RUN</x:v>
      </x:c>
      <x:c r="K163" s="25" t="n">
        <x:v>1</x:v>
      </x:c>
      <x:c r="L163" s="27" t="b">
        <x:v>0</x:v>
      </x:c>
      <x:c r="M163" s="25" t="str">
        <x:v>Deepseek-flash-v4/state/Round1/shards/Closure.json</x:v>
      </x:c>
      <x:c r="N163" s="25" t="str">
        <x:v>Deepseek-flash-v4/Result/Closure_27/result.json</x:v>
      </x:c>
      <x:c r="O163" s="25" t="str">
        <x:v>Deepseek-flash-v4/Result/Closure_27/result.json</x:v>
      </x:c>
      <x:c r="P163" t="str">
        <x:v>BOTH_NOT_RUN</x:v>
      </x:c>
      <x:c r="Q163" s="21" t="str"/>
      <x:c r="R163" s="21" t="str"/>
      <x:c r="S163" s="21" t="str"/>
      <x:c r="T163" s="17" t="str">
        <x:v>false</x:v>
      </x:c>
      <x:c r="U163" s="17" t="str">
        <x:v>true</x:v>
      </x:c>
      <x:c r="V163" s="17" t="str">
        <x:v>false</x:v>
      </x:c>
    </x:row>
    <x:row r="164" ht="80" customHeight="1">
      <x:c r="A164" s="25" t="str">
        <x:v>Closure</x:v>
      </x:c>
      <x:c r="B164" s="25" t="n">
        <x:v>28</x:v>
      </x:c>
      <x:c r="C164" s="25" t="str">
        <x:v>Round1</x:v>
      </x:c>
      <x:c r="D164" s="25" t="str">
        <x:v>NOT_AVAILABLE</x:v>
      </x:c>
      <x:c r="E164" s="25" t="str">
        <x:v>N/A</x:v>
      </x:c>
      <x:c r="F164" s="26" t="str">
        <x:v>Tests exist but current coverage did not complete</x:v>
      </x:c>
      <x:c r="G164" s="25" t="str">
        <x:v>true</x:v>
      </x:c>
      <x:c r="H164" s="25" t="str">
        <x:v>NOT_AVAILABLE</x:v>
      </x:c>
      <x:c r="I164" s="25" t="str">
        <x:v>NOT_RUN</x:v>
      </x:c>
      <x:c r="J164" s="25" t="str">
        <x:v>NOT_RUN</x:v>
      </x:c>
      <x:c r="K164" s="25" t="n">
        <x:v>1</x:v>
      </x:c>
      <x:c r="L164" s="27" t="b">
        <x:v>0</x:v>
      </x:c>
      <x:c r="M164" s="25" t="str">
        <x:v>Deepseek-flash-v4/state/Round1/shards/Closure.json</x:v>
      </x:c>
      <x:c r="N164" s="25" t="str">
        <x:v>Deepseek-flash-v4/Result/Closure_28/result.json</x:v>
      </x:c>
      <x:c r="O164" s="25" t="str">
        <x:v>Deepseek-flash-v4/Result/Closure_28/result.json</x:v>
      </x:c>
      <x:c r="P164" t="str">
        <x:v>BOTH_NOT_RUN</x:v>
      </x:c>
      <x:c r="Q164" s="21" t="str"/>
      <x:c r="R164" s="21" t="str"/>
      <x:c r="S164" s="21" t="str"/>
      <x:c r="T164" s="17" t="str">
        <x:v>false</x:v>
      </x:c>
      <x:c r="U164" s="17" t="str">
        <x:v>true</x:v>
      </x:c>
      <x:c r="V164" s="17" t="str">
        <x:v>false</x:v>
      </x:c>
    </x:row>
    <x:row r="165" ht="80" customHeight="1">
      <x:c r="A165" s="25" t="str">
        <x:v>Closure</x:v>
      </x:c>
      <x:c r="B165" s="25" t="n">
        <x:v>29</x:v>
      </x:c>
      <x:c r="C165" s="25" t="str">
        <x:v>Round1</x:v>
      </x:c>
      <x:c r="D165" s="25" t="str">
        <x:v>NOT_AVAILABLE</x:v>
      </x:c>
      <x:c r="E165" s="25" t="str">
        <x:v>N/A</x:v>
      </x:c>
      <x:c r="F165" s="26" t="str">
        <x:v>Tests exist but current coverage did not complete</x:v>
      </x:c>
      <x:c r="G165" s="25" t="str">
        <x:v>true</x:v>
      </x:c>
      <x:c r="H165" s="25" t="str">
        <x:v>NOT_AVAILABLE</x:v>
      </x:c>
      <x:c r="I165" s="25" t="str">
        <x:v>NOT_RUN</x:v>
      </x:c>
      <x:c r="J165" s="25" t="str">
        <x:v>NOT_RUN</x:v>
      </x:c>
      <x:c r="K165" s="25" t="n">
        <x:v>1</x:v>
      </x:c>
      <x:c r="L165" s="27" t="b">
        <x:v>0</x:v>
      </x:c>
      <x:c r="M165" s="25" t="str">
        <x:v>Deepseek-flash-v4/state/Round1/shards/Closure.json</x:v>
      </x:c>
      <x:c r="N165" s="25" t="str">
        <x:v>Deepseek-flash-v4/Result/Closure_29/result.json</x:v>
      </x:c>
      <x:c r="O165" s="25" t="str">
        <x:v>Deepseek-flash-v4/Result/Closure_29/result.json</x:v>
      </x:c>
      <x:c r="P165" t="str">
        <x:v>BOTH_NOT_RUN</x:v>
      </x:c>
      <x:c r="Q165" s="21" t="str"/>
      <x:c r="R165" s="21" t="str"/>
      <x:c r="S165" s="21" t="str"/>
      <x:c r="T165" s="17" t="str">
        <x:v>false</x:v>
      </x:c>
      <x:c r="U165" s="17" t="str">
        <x:v>true</x:v>
      </x:c>
      <x:c r="V165" s="17" t="str">
        <x:v>false</x:v>
      </x:c>
    </x:row>
    <x:row r="166" ht="80" customHeight="1">
      <x:c r="A166" s="25" t="str">
        <x:v>Closure</x:v>
      </x:c>
      <x:c r="B166" s="25" t="n">
        <x:v>3</x:v>
      </x:c>
      <x:c r="C166" s="25" t="str">
        <x:v>Round1</x:v>
      </x:c>
      <x:c r="D166" s="25" t="str">
        <x:v>NOT_AVAILABLE</x:v>
      </x:c>
      <x:c r="E166" s="25" t="str">
        <x:v>N/A</x:v>
      </x:c>
      <x:c r="F166" s="26" t="str">
        <x:v>Tests exist but current coverage did not complete</x:v>
      </x:c>
      <x:c r="G166" s="25" t="str">
        <x:v>true</x:v>
      </x:c>
      <x:c r="H166" s="25" t="str">
        <x:v>NOT_AVAILABLE</x:v>
      </x:c>
      <x:c r="I166" s="25" t="str">
        <x:v>NOT_RUN</x:v>
      </x:c>
      <x:c r="J166" s="25" t="str">
        <x:v>NOT_RUN</x:v>
      </x:c>
      <x:c r="K166" s="25" t="n">
        <x:v>1</x:v>
      </x:c>
      <x:c r="L166" s="27" t="b">
        <x:v>0</x:v>
      </x:c>
      <x:c r="M166" s="25" t="str">
        <x:v>Deepseek-flash-v4/state/Round1/shards/Closure.json</x:v>
      </x:c>
      <x:c r="N166" s="25" t="str">
        <x:v>Deepseek-flash-v4/Result/Closure_3/result.json</x:v>
      </x:c>
      <x:c r="O166" s="25" t="str">
        <x:v>Deepseek-flash-v4/Result/Closure_3/result.json</x:v>
      </x:c>
      <x:c r="P166" t="str">
        <x:v>BOTH_NOT_RUN</x:v>
      </x:c>
      <x:c r="Q166" s="21" t="str"/>
      <x:c r="R166" s="21" t="str"/>
      <x:c r="S166" s="21" t="str"/>
      <x:c r="T166" s="17" t="str">
        <x:v>false</x:v>
      </x:c>
      <x:c r="U166" s="17" t="str">
        <x:v>true</x:v>
      </x:c>
      <x:c r="V166" s="17" t="str">
        <x:v>false</x:v>
      </x:c>
    </x:row>
    <x:row r="167" ht="80" customHeight="1">
      <x:c r="A167" s="25" t="str">
        <x:v>Closure</x:v>
      </x:c>
      <x:c r="B167" s="25" t="n">
        <x:v>30</x:v>
      </x:c>
      <x:c r="C167" s="25" t="str">
        <x:v>Round1</x:v>
      </x:c>
      <x:c r="D167" s="25" t="str">
        <x:v>NOT_AVAILABLE</x:v>
      </x:c>
      <x:c r="E167" s="25" t="str">
        <x:v>N/A</x:v>
      </x:c>
      <x:c r="F167" s="26" t="str">
        <x:v>Tests exist but current coverage did not complete</x:v>
      </x:c>
      <x:c r="G167" s="25" t="str">
        <x:v>true</x:v>
      </x:c>
      <x:c r="H167" s="25" t="str">
        <x:v>NOT_AVAILABLE</x:v>
      </x:c>
      <x:c r="I167" s="25" t="str">
        <x:v>NOT_RUN</x:v>
      </x:c>
      <x:c r="J167" s="25" t="str">
        <x:v>NOT_RUN</x:v>
      </x:c>
      <x:c r="K167" s="25" t="n">
        <x:v>2</x:v>
      </x:c>
      <x:c r="L167" s="27" t="b">
        <x:v>0</x:v>
      </x:c>
      <x:c r="M167" s="25" t="str">
        <x:v>Deepseek-flash-v4/state/Round1/shards/Closure.json</x:v>
      </x:c>
      <x:c r="N167" s="25" t="str">
        <x:v>Deepseek-flash-v4/Result/Closure_30/result.json</x:v>
      </x:c>
      <x:c r="O167" s="25" t="str">
        <x:v>Deepseek-flash-v4/Result/Closure_30/result.json</x:v>
      </x:c>
      <x:c r="P167" t="str">
        <x:v>BOTH_NOT_RUN</x:v>
      </x:c>
      <x:c r="Q167" s="21" t="str"/>
      <x:c r="R167" s="21" t="str"/>
      <x:c r="S167" s="21" t="str"/>
      <x:c r="T167" s="17" t="str">
        <x:v>false</x:v>
      </x:c>
      <x:c r="U167" s="17" t="str">
        <x:v>true</x:v>
      </x:c>
      <x:c r="V167" s="17" t="str">
        <x:v>false</x:v>
      </x:c>
    </x:row>
    <x:row r="168" ht="80" customHeight="1">
      <x:c r="A168" s="25" t="str">
        <x:v>Closure</x:v>
      </x:c>
      <x:c r="B168" s="25" t="n">
        <x:v>31</x:v>
      </x:c>
      <x:c r="C168" s="25" t="str">
        <x:v>Round1</x:v>
      </x:c>
      <x:c r="D168" s="25" t="str">
        <x:v>NOT_AVAILABLE</x:v>
      </x:c>
      <x:c r="E168" s="25" t="str">
        <x:v>N/A</x:v>
      </x:c>
      <x:c r="F168" s="26" t="str">
        <x:v>Tests exist but current coverage did not complete</x:v>
      </x:c>
      <x:c r="G168" s="25" t="str">
        <x:v>true</x:v>
      </x:c>
      <x:c r="H168" s="25" t="str">
        <x:v>NOT_AVAILABLE</x:v>
      </x:c>
      <x:c r="I168" s="25" t="str">
        <x:v>NOT_RUN</x:v>
      </x:c>
      <x:c r="J168" s="25" t="str">
        <x:v>NOT_RUN</x:v>
      </x:c>
      <x:c r="K168" s="25" t="n">
        <x:v>1</x:v>
      </x:c>
      <x:c r="L168" s="27" t="b">
        <x:v>0</x:v>
      </x:c>
      <x:c r="M168" s="25" t="str">
        <x:v>Deepseek-flash-v4/state/Round1/shards/Closure.json</x:v>
      </x:c>
      <x:c r="N168" s="25" t="str">
        <x:v>Deepseek-flash-v4/Result/Closure_31/result.json</x:v>
      </x:c>
      <x:c r="O168" s="25" t="str">
        <x:v>Deepseek-flash-v4/Result/Closure_31/result.json</x:v>
      </x:c>
      <x:c r="P168" t="str">
        <x:v>BOTH_NOT_RUN</x:v>
      </x:c>
      <x:c r="Q168" s="21" t="str"/>
      <x:c r="R168" s="21" t="str"/>
      <x:c r="S168" s="21" t="str"/>
      <x:c r="T168" s="17" t="str">
        <x:v>false</x:v>
      </x:c>
      <x:c r="U168" s="17" t="str">
        <x:v>true</x:v>
      </x:c>
      <x:c r="V168" s="17" t="str">
        <x:v>false</x:v>
      </x:c>
    </x:row>
    <x:row r="169" ht="80" customHeight="1">
      <x:c r="A169" s="25" t="str">
        <x:v>Closure</x:v>
      </x:c>
      <x:c r="B169" s="25" t="n">
        <x:v>32</x:v>
      </x:c>
      <x:c r="C169" s="25" t="str">
        <x:v>Round1</x:v>
      </x:c>
      <x:c r="D169" s="25" t="str">
        <x:v>NOT_AVAILABLE</x:v>
      </x:c>
      <x:c r="E169" s="25" t="str">
        <x:v>N/A</x:v>
      </x:c>
      <x:c r="F169" s="26" t="str">
        <x:v>Tests exist but current coverage did not complete</x:v>
      </x:c>
      <x:c r="G169" s="25" t="str">
        <x:v>true</x:v>
      </x:c>
      <x:c r="H169" s="25" t="str">
        <x:v>NOT_AVAILABLE</x:v>
      </x:c>
      <x:c r="I169" s="25" t="str">
        <x:v>NOT_RUN</x:v>
      </x:c>
      <x:c r="J169" s="25" t="str">
        <x:v>NOT_RUN</x:v>
      </x:c>
      <x:c r="K169" s="25" t="n">
        <x:v>1</x:v>
      </x:c>
      <x:c r="L169" s="27" t="b">
        <x:v>0</x:v>
      </x:c>
      <x:c r="M169" s="25" t="str">
        <x:v>Deepseek-flash-v4/state/Round1/shards/Closure.json</x:v>
      </x:c>
      <x:c r="N169" s="25" t="str">
        <x:v>Deepseek-flash-v4/Result/Closure_32/result.json</x:v>
      </x:c>
      <x:c r="O169" s="25" t="str">
        <x:v>Deepseek-flash-v4/Result/Closure_32/result.json</x:v>
      </x:c>
      <x:c r="P169" t="str">
        <x:v>BOTH_NOT_RUN</x:v>
      </x:c>
      <x:c r="Q169" s="21" t="str"/>
      <x:c r="R169" s="21" t="str"/>
      <x:c r="S169" s="21" t="str"/>
      <x:c r="T169" s="17" t="str">
        <x:v>false</x:v>
      </x:c>
      <x:c r="U169" s="17" t="str">
        <x:v>true</x:v>
      </x:c>
      <x:c r="V169" s="17" t="str">
        <x:v>false</x:v>
      </x:c>
    </x:row>
    <x:row r="170" ht="80" customHeight="1">
      <x:c r="A170" s="25" t="str">
        <x:v>Closure</x:v>
      </x:c>
      <x:c r="B170" s="25" t="n">
        <x:v>33</x:v>
      </x:c>
      <x:c r="C170" s="25" t="str">
        <x:v>Round1</x:v>
      </x:c>
      <x:c r="D170" s="25" t="str">
        <x:v>NOT_AVAILABLE</x:v>
      </x:c>
      <x:c r="E170" s="25" t="str">
        <x:v>N/A</x:v>
      </x:c>
      <x:c r="F170" s="26" t="str">
        <x:v>Tests exist but current coverage did not complete</x:v>
      </x:c>
      <x:c r="G170" s="25" t="str">
        <x:v>true</x:v>
      </x:c>
      <x:c r="H170" s="25" t="str">
        <x:v>NOT_AVAILABLE</x:v>
      </x:c>
      <x:c r="I170" s="25" t="str">
        <x:v>NOT_RUN</x:v>
      </x:c>
      <x:c r="J170" s="25" t="str">
        <x:v>NOT_RUN</x:v>
      </x:c>
      <x:c r="K170" s="25" t="n">
        <x:v>1</x:v>
      </x:c>
      <x:c r="L170" s="27" t="b">
        <x:v>0</x:v>
      </x:c>
      <x:c r="M170" s="25" t="str">
        <x:v>Deepseek-flash-v4/state/Round1/shards/Closure.json</x:v>
      </x:c>
      <x:c r="N170" s="25" t="str">
        <x:v>Deepseek-flash-v4/Result/Closure_33/result.json</x:v>
      </x:c>
      <x:c r="O170" s="25" t="str">
        <x:v>Deepseek-flash-v4/Result/Closure_33/result.json</x:v>
      </x:c>
      <x:c r="P170" t="str">
        <x:v>BOTH_NOT_RUN</x:v>
      </x:c>
      <x:c r="Q170" s="21" t="str"/>
      <x:c r="R170" s="21" t="str"/>
      <x:c r="S170" s="21" t="str"/>
      <x:c r="T170" s="17" t="str">
        <x:v>false</x:v>
      </x:c>
      <x:c r="U170" s="17" t="str">
        <x:v>true</x:v>
      </x:c>
      <x:c r="V170" s="17" t="str">
        <x:v>false</x:v>
      </x:c>
    </x:row>
    <x:row r="171" ht="80" customHeight="1">
      <x:c r="A171" s="25" t="str">
        <x:v>Closure</x:v>
      </x:c>
      <x:c r="B171" s="25" t="n">
        <x:v>34</x:v>
      </x:c>
      <x:c r="C171" s="25" t="str">
        <x:v>Round1</x:v>
      </x:c>
      <x:c r="D171" s="25" t="str">
        <x:v>NOT_AVAILABLE</x:v>
      </x:c>
      <x:c r="E171" s="25" t="str">
        <x:v>N/A</x:v>
      </x:c>
      <x:c r="F171" s="26" t="str">
        <x:v>Tests exist but current coverage did not complete</x:v>
      </x:c>
      <x:c r="G171" s="25" t="str">
        <x:v>true</x:v>
      </x:c>
      <x:c r="H171" s="25" t="str">
        <x:v>NOT_AVAILABLE</x:v>
      </x:c>
      <x:c r="I171" s="25" t="str">
        <x:v>NOT_RUN</x:v>
      </x:c>
      <x:c r="J171" s="25" t="str">
        <x:v>NOT_RUN</x:v>
      </x:c>
      <x:c r="K171" s="25" t="n">
        <x:v>2</x:v>
      </x:c>
      <x:c r="L171" s="27" t="b">
        <x:v>0</x:v>
      </x:c>
      <x:c r="M171" s="25" t="str">
        <x:v>Deepseek-flash-v4/state/Round1/shards/Closure.json</x:v>
      </x:c>
      <x:c r="N171" s="25" t="str">
        <x:v>Deepseek-flash-v4/Result/Closure_34/result.json</x:v>
      </x:c>
      <x:c r="O171" s="25" t="str">
        <x:v>Deepseek-flash-v4/Result/Closure_34/result.json</x:v>
      </x:c>
      <x:c r="P171" t="str">
        <x:v>BOTH_NOT_RUN</x:v>
      </x:c>
      <x:c r="Q171" s="21" t="str"/>
      <x:c r="R171" s="21" t="str"/>
      <x:c r="S171" s="21" t="str"/>
      <x:c r="T171" s="17" t="str">
        <x:v>false</x:v>
      </x:c>
      <x:c r="U171" s="17" t="str">
        <x:v>true</x:v>
      </x:c>
      <x:c r="V171" s="17" t="str">
        <x:v>false</x:v>
      </x:c>
    </x:row>
    <x:row r="172" ht="80" customHeight="1">
      <x:c r="A172" s="25" t="str">
        <x:v>Closure</x:v>
      </x:c>
      <x:c r="B172" s="25" t="n">
        <x:v>35</x:v>
      </x:c>
      <x:c r="C172" s="25" t="str">
        <x:v>Round1</x:v>
      </x:c>
      <x:c r="D172" s="25" t="str">
        <x:v>NOT_AVAILABLE</x:v>
      </x:c>
      <x:c r="E172" s="25" t="str">
        <x:v>N/A</x:v>
      </x:c>
      <x:c r="F172" s="26" t="str">
        <x:v>Tests exist but current coverage did not complete</x:v>
      </x:c>
      <x:c r="G172" s="25" t="str">
        <x:v>true</x:v>
      </x:c>
      <x:c r="H172" s="25" t="str">
        <x:v>NOT_AVAILABLE</x:v>
      </x:c>
      <x:c r="I172" s="25" t="str">
        <x:v>NOT_RUN</x:v>
      </x:c>
      <x:c r="J172" s="25" t="str">
        <x:v>NOT_RUN</x:v>
      </x:c>
      <x:c r="K172" s="25" t="n">
        <x:v>1</x:v>
      </x:c>
      <x:c r="L172" s="27" t="b">
        <x:v>0</x:v>
      </x:c>
      <x:c r="M172" s="25" t="str">
        <x:v>Deepseek-flash-v4/state/Round1/shards/Closure.json</x:v>
      </x:c>
      <x:c r="N172" s="25" t="str">
        <x:v>Deepseek-flash-v4/Result/Closure_35/result.json</x:v>
      </x:c>
      <x:c r="O172" s="25" t="str">
        <x:v>Deepseek-flash-v4/Result/Closure_35/result.json</x:v>
      </x:c>
      <x:c r="P172" t="str">
        <x:v>BOTH_NOT_RUN</x:v>
      </x:c>
      <x:c r="Q172" s="21" t="str"/>
      <x:c r="R172" s="21" t="str"/>
      <x:c r="S172" s="21" t="str"/>
      <x:c r="T172" s="17" t="str">
        <x:v>false</x:v>
      </x:c>
      <x:c r="U172" s="17" t="str">
        <x:v>true</x:v>
      </x:c>
      <x:c r="V172" s="17" t="str">
        <x:v>false</x:v>
      </x:c>
    </x:row>
    <x:row r="173" ht="80" customHeight="1">
      <x:c r="A173" s="25" t="str">
        <x:v>Closure</x:v>
      </x:c>
      <x:c r="B173" s="25" t="n">
        <x:v>36</x:v>
      </x:c>
      <x:c r="C173" s="25" t="str">
        <x:v>Round1</x:v>
      </x:c>
      <x:c r="D173" s="25" t="str">
        <x:v>NOT_AVAILABLE</x:v>
      </x:c>
      <x:c r="E173" s="25" t="str">
        <x:v>N/A</x:v>
      </x:c>
      <x:c r="F173" s="26" t="str">
        <x:v>Tests exist but current coverage did not complete</x:v>
      </x:c>
      <x:c r="G173" s="25" t="str">
        <x:v>true</x:v>
      </x:c>
      <x:c r="H173" s="25" t="str">
        <x:v>NOT_AVAILABLE</x:v>
      </x:c>
      <x:c r="I173" s="25" t="str">
        <x:v>NOT_RUN</x:v>
      </x:c>
      <x:c r="J173" s="25" t="str">
        <x:v>NOT_RUN</x:v>
      </x:c>
      <x:c r="K173" s="25" t="n">
        <x:v>1</x:v>
      </x:c>
      <x:c r="L173" s="27" t="b">
        <x:v>0</x:v>
      </x:c>
      <x:c r="M173" s="25" t="str">
        <x:v>Deepseek-flash-v4/state/Round1/shards/Closure.json</x:v>
      </x:c>
      <x:c r="N173" s="25" t="str">
        <x:v>Deepseek-flash-v4/Result/Closure_36/result.json</x:v>
      </x:c>
      <x:c r="O173" s="25" t="str">
        <x:v>Deepseek-flash-v4/Result/Closure_36/result.json</x:v>
      </x:c>
      <x:c r="P173" t="str">
        <x:v>BOTH_NOT_RUN</x:v>
      </x:c>
      <x:c r="Q173" s="21" t="str"/>
      <x:c r="R173" s="21" t="str"/>
      <x:c r="S173" s="21" t="str"/>
      <x:c r="T173" s="17" t="str">
        <x:v>false</x:v>
      </x:c>
      <x:c r="U173" s="17" t="str">
        <x:v>true</x:v>
      </x:c>
      <x:c r="V173" s="17" t="str">
        <x:v>false</x:v>
      </x:c>
    </x:row>
    <x:row r="174" ht="80" customHeight="1">
      <x:c r="A174" s="25" t="str">
        <x:v>Closure</x:v>
      </x:c>
      <x:c r="B174" s="25" t="n">
        <x:v>37</x:v>
      </x:c>
      <x:c r="C174" s="25" t="str">
        <x:v>Round1</x:v>
      </x:c>
      <x:c r="D174" s="25" t="str">
        <x:v>NOT_AVAILABLE</x:v>
      </x:c>
      <x:c r="E174" s="25" t="str">
        <x:v>N/A</x:v>
      </x:c>
      <x:c r="F174" s="26" t="str">
        <x:v>Tests exist but current coverage did not complete</x:v>
      </x:c>
      <x:c r="G174" s="25" t="str">
        <x:v>true</x:v>
      </x:c>
      <x:c r="H174" s="25" t="str">
        <x:v>NOT_AVAILABLE</x:v>
      </x:c>
      <x:c r="I174" s="25" t="str">
        <x:v>NOT_RUN</x:v>
      </x:c>
      <x:c r="J174" s="25" t="str">
        <x:v>NOT_RUN</x:v>
      </x:c>
      <x:c r="K174" s="25" t="n">
        <x:v>2</x:v>
      </x:c>
      <x:c r="L174" s="27" t="b">
        <x:v>0</x:v>
      </x:c>
      <x:c r="M174" s="25" t="str">
        <x:v>Deepseek-flash-v4/state/Round1/shards/Closure.json</x:v>
      </x:c>
      <x:c r="N174" s="25" t="str">
        <x:v>Deepseek-flash-v4/Result/Closure_37/result.json</x:v>
      </x:c>
      <x:c r="O174" s="25" t="str">
        <x:v>Deepseek-flash-v4/Result/Closure_37/result.json</x:v>
      </x:c>
      <x:c r="P174" t="str">
        <x:v>BOTH_NOT_RUN</x:v>
      </x:c>
      <x:c r="Q174" s="21" t="str"/>
      <x:c r="R174" s="21" t="str"/>
      <x:c r="S174" s="21" t="str"/>
      <x:c r="T174" s="17" t="str">
        <x:v>false</x:v>
      </x:c>
      <x:c r="U174" s="17" t="str">
        <x:v>true</x:v>
      </x:c>
      <x:c r="V174" s="17" t="str">
        <x:v>false</x:v>
      </x:c>
    </x:row>
    <x:row r="175" ht="80" customHeight="1">
      <x:c r="A175" s="25" t="str">
        <x:v>Closure</x:v>
      </x:c>
      <x:c r="B175" s="25" t="n">
        <x:v>38</x:v>
      </x:c>
      <x:c r="C175" s="25" t="str">
        <x:v>Round1</x:v>
      </x:c>
      <x:c r="D175" s="25" t="str">
        <x:v>INCONCLUSIVE</x:v>
      </x:c>
      <x:c r="E175" s="25" t="str">
        <x:v>N/A</x:v>
      </x:c>
      <x:c r="F175" s="26" t="str">
        <x:v>Fixed also failed; assertion failure cannot be attributed to this bug</x:v>
      </x:c>
      <x:c r="G175" s="25" t="str">
        <x:v>true</x:v>
      </x:c>
      <x:c r="H175" s="25" t="str">
        <x:v>INCONCLUSIVE</x:v>
      </x:c>
      <x:c r="I175" s="25" t="str">
        <x:v>FAIL</x:v>
      </x:c>
      <x:c r="J175" s="25" t="str">
        <x:v>FAIL</x:v>
      </x:c>
      <x:c r="K175" s="25" t="n">
        <x:v>1</x:v>
      </x:c>
      <x:c r="L175" s="27" t="b">
        <x:v>0</x:v>
      </x:c>
      <x:c r="M175" s="25" t="str">
        <x:v>Deepseek-flash-v4/state/Round1/shards/Closure.json</x:v>
      </x:c>
      <x:c r="N175" s="25" t="str">
        <x:v>Deepseek-flash-v4/Result/Closure_38/result.json</x:v>
      </x:c>
      <x:c r="O175" s="25" t="str">
        <x:v>Deepseek-flash-v4/Result/Closure_38/result.json</x:v>
      </x:c>
      <x:c r="P175"/>
      <x:c r="Q175" s="21" t="str"/>
      <x:c r="R175" s="21" t="str"/>
      <x:c r="S175" s="21" t="str"/>
      <x:c r="T175" s="17" t="str">
        <x:v>false</x:v>
      </x:c>
      <x:c r="U175" s="17" t="str">
        <x:v>true</x:v>
      </x:c>
      <x:c r="V175" s="17" t="str">
        <x:v>false</x:v>
      </x:c>
    </x:row>
    <x:row r="176" ht="80" customHeight="1">
      <x:c r="A176" s="25" t="str">
        <x:v>Closure</x:v>
      </x:c>
      <x:c r="B176" s="25" t="n">
        <x:v>39</x:v>
      </x:c>
      <x:c r="C176" s="25" t="str">
        <x:v>Round1</x:v>
      </x:c>
      <x:c r="D176" s="25" t="str">
        <x:v>NOT_AVAILABLE</x:v>
      </x:c>
      <x:c r="E176" s="25" t="str">
        <x:v>N/A</x:v>
      </x:c>
      <x:c r="F176" s="26" t="str">
        <x:v>Tests exist but current coverage did not complete</x:v>
      </x:c>
      <x:c r="G176" s="25" t="str">
        <x:v>true</x:v>
      </x:c>
      <x:c r="H176" s="25" t="str">
        <x:v>NOT_AVAILABLE</x:v>
      </x:c>
      <x:c r="I176" s="25" t="str">
        <x:v>NOT_RUN</x:v>
      </x:c>
      <x:c r="J176" s="25" t="str">
        <x:v>NOT_RUN</x:v>
      </x:c>
      <x:c r="K176" s="25" t="n">
        <x:v>1</x:v>
      </x:c>
      <x:c r="L176" s="27" t="b">
        <x:v>0</x:v>
      </x:c>
      <x:c r="M176" s="25" t="str">
        <x:v>Deepseek-flash-v4/state/Round1/shards/Closure.json</x:v>
      </x:c>
      <x:c r="N176" s="25" t="str">
        <x:v>Deepseek-flash-v4/Result/Closure_39/result.json</x:v>
      </x:c>
      <x:c r="O176" s="25" t="str">
        <x:v>Deepseek-flash-v4/Result/Closure_39/result.json</x:v>
      </x:c>
      <x:c r="P176" t="str">
        <x:v>BOTH_NOT_RUN</x:v>
      </x:c>
      <x:c r="Q176" s="21" t="str"/>
      <x:c r="R176" s="21" t="str"/>
      <x:c r="S176" s="21" t="str"/>
      <x:c r="T176" s="17" t="str">
        <x:v>false</x:v>
      </x:c>
      <x:c r="U176" s="17" t="str">
        <x:v>true</x:v>
      </x:c>
      <x:c r="V176" s="17" t="str">
        <x:v>false</x:v>
      </x:c>
    </x:row>
    <x:row r="177" ht="80" customHeight="1">
      <x:c r="A177" s="25" t="str">
        <x:v>Closure</x:v>
      </x:c>
      <x:c r="B177" s="25" t="n">
        <x:v>4</x:v>
      </x:c>
      <x:c r="C177" s="25" t="str">
        <x:v>Round1</x:v>
      </x:c>
      <x:c r="D177" s="25" t="str">
        <x:v>NOT_AVAILABLE</x:v>
      </x:c>
      <x:c r="E177" s="25" t="str">
        <x:v>N/A</x:v>
      </x:c>
      <x:c r="F177" s="26" t="str">
        <x:v>Tests exist but current coverage did not complete</x:v>
      </x:c>
      <x:c r="G177" s="25" t="str">
        <x:v>true</x:v>
      </x:c>
      <x:c r="H177" s="25" t="str">
        <x:v>NOT_AVAILABLE</x:v>
      </x:c>
      <x:c r="I177" s="25" t="str">
        <x:v>NOT_RUN</x:v>
      </x:c>
      <x:c r="J177" s="25" t="str">
        <x:v>NOT_RUN</x:v>
      </x:c>
      <x:c r="K177" s="25" t="n">
        <x:v>1</x:v>
      </x:c>
      <x:c r="L177" s="27" t="b">
        <x:v>0</x:v>
      </x:c>
      <x:c r="M177" s="25" t="str">
        <x:v>Deepseek-flash-v4/state/Round1/shards/Closure.json</x:v>
      </x:c>
      <x:c r="N177" s="25" t="str">
        <x:v>Deepseek-flash-v4/Result/Closure_4/result.json</x:v>
      </x:c>
      <x:c r="O177" s="25" t="str">
        <x:v>Deepseek-flash-v4/Result/Closure_4/result.json</x:v>
      </x:c>
      <x:c r="P177" t="str">
        <x:v>BOTH_NOT_RUN</x:v>
      </x:c>
      <x:c r="Q177" s="21" t="str"/>
      <x:c r="R177" s="21" t="str"/>
      <x:c r="S177" s="21" t="str"/>
      <x:c r="T177" s="17" t="str">
        <x:v>false</x:v>
      </x:c>
      <x:c r="U177" s="17" t="str">
        <x:v>true</x:v>
      </x:c>
      <x:c r="V177" s="17" t="str">
        <x:v>false</x:v>
      </x:c>
    </x:row>
    <x:row r="178" ht="80" customHeight="1">
      <x:c r="A178" s="25" t="str">
        <x:v>Closure</x:v>
      </x:c>
      <x:c r="B178" s="25" t="n">
        <x:v>40</x:v>
      </x:c>
      <x:c r="C178" s="25" t="str">
        <x:v>Round1</x:v>
      </x:c>
      <x:c r="D178" s="25" t="str">
        <x:v>NOT_AVAILABLE</x:v>
      </x:c>
      <x:c r="E178" s="25" t="str">
        <x:v>N/A</x:v>
      </x:c>
      <x:c r="F178" s="26" t="str">
        <x:v>Tests exist but current coverage did not complete</x:v>
      </x:c>
      <x:c r="G178" s="25" t="str">
        <x:v>true</x:v>
      </x:c>
      <x:c r="H178" s="25" t="str">
        <x:v>NOT_AVAILABLE</x:v>
      </x:c>
      <x:c r="I178" s="25" t="str">
        <x:v>NOT_RUN</x:v>
      </x:c>
      <x:c r="J178" s="25" t="str">
        <x:v>NOT_RUN</x:v>
      </x:c>
      <x:c r="K178" s="25" t="n">
        <x:v>1</x:v>
      </x:c>
      <x:c r="L178" s="27" t="b">
        <x:v>0</x:v>
      </x:c>
      <x:c r="M178" s="25" t="str">
        <x:v>Deepseek-flash-v4/state/Round1/shards/Closure.json</x:v>
      </x:c>
      <x:c r="N178" s="25" t="str">
        <x:v>Deepseek-flash-v4/Result/Closure_40/result.json</x:v>
      </x:c>
      <x:c r="O178" s="25" t="str">
        <x:v>Deepseek-flash-v4/Result/Closure_40/result.json</x:v>
      </x:c>
      <x:c r="P178" t="str">
        <x:v>BOTH_NOT_RUN</x:v>
      </x:c>
      <x:c r="Q178" s="21" t="str"/>
      <x:c r="R178" s="21" t="str"/>
      <x:c r="S178" s="21" t="str"/>
      <x:c r="T178" s="17" t="str">
        <x:v>false</x:v>
      </x:c>
      <x:c r="U178" s="17" t="str">
        <x:v>true</x:v>
      </x:c>
      <x:c r="V178" s="17" t="str">
        <x:v>false</x:v>
      </x:c>
    </x:row>
    <x:row r="179" ht="80" customHeight="1">
      <x:c r="A179" s="25" t="str">
        <x:v>Closure</x:v>
      </x:c>
      <x:c r="B179" s="25" t="n">
        <x:v>41</x:v>
      </x:c>
      <x:c r="C179" s="25" t="str">
        <x:v>Round1</x:v>
      </x:c>
      <x:c r="D179" s="25" t="str">
        <x:v>NOT_AVAILABLE</x:v>
      </x:c>
      <x:c r="E179" s="25" t="str">
        <x:v>N/A</x:v>
      </x:c>
      <x:c r="F179" s="26" t="str">
        <x:v>Tests exist but current coverage did not complete</x:v>
      </x:c>
      <x:c r="G179" s="25" t="str">
        <x:v>true</x:v>
      </x:c>
      <x:c r="H179" s="25" t="str">
        <x:v>NOT_AVAILABLE</x:v>
      </x:c>
      <x:c r="I179" s="25" t="str">
        <x:v>NOT_RUN</x:v>
      </x:c>
      <x:c r="J179" s="25" t="str">
        <x:v>NOT_RUN</x:v>
      </x:c>
      <x:c r="K179" s="25" t="n">
        <x:v>1</x:v>
      </x:c>
      <x:c r="L179" s="27" t="b">
        <x:v>0</x:v>
      </x:c>
      <x:c r="M179" s="25" t="str">
        <x:v>Deepseek-flash-v4/state/Round1/shards/Closure.json</x:v>
      </x:c>
      <x:c r="N179" s="25" t="str">
        <x:v>Deepseek-flash-v4/Result/Closure_41/result.json</x:v>
      </x:c>
      <x:c r="O179" s="25" t="str">
        <x:v>Deepseek-flash-v4/Result/Closure_41/result.json</x:v>
      </x:c>
      <x:c r="P179" t="str">
        <x:v>BOTH_NOT_RUN</x:v>
      </x:c>
      <x:c r="Q179" s="21" t="str"/>
      <x:c r="R179" s="21" t="str"/>
      <x:c r="S179" s="21" t="str"/>
      <x:c r="T179" s="17" t="str">
        <x:v>false</x:v>
      </x:c>
      <x:c r="U179" s="17" t="str">
        <x:v>true</x:v>
      </x:c>
      <x:c r="V179" s="17" t="str">
        <x:v>false</x:v>
      </x:c>
    </x:row>
    <x:row r="180" ht="80" customHeight="1">
      <x:c r="A180" s="25" t="str">
        <x:v>Closure</x:v>
      </x:c>
      <x:c r="B180" s="25" t="n">
        <x:v>42</x:v>
      </x:c>
      <x:c r="C180" s="25" t="str">
        <x:v>Round1</x:v>
      </x:c>
      <x:c r="D180" s="25" t="str">
        <x:v>NOT_AVAILABLE</x:v>
      </x:c>
      <x:c r="E180" s="25" t="str">
        <x:v>N/A</x:v>
      </x:c>
      <x:c r="F180" s="26" t="str">
        <x:v>Tests exist but current coverage did not complete</x:v>
      </x:c>
      <x:c r="G180" s="25" t="str">
        <x:v>true</x:v>
      </x:c>
      <x:c r="H180" s="25" t="str">
        <x:v>NOT_AVAILABLE</x:v>
      </x:c>
      <x:c r="I180" s="25" t="str">
        <x:v>NOT_RUN</x:v>
      </x:c>
      <x:c r="J180" s="25" t="str">
        <x:v>NOT_RUN</x:v>
      </x:c>
      <x:c r="K180" s="25" t="n">
        <x:v>1</x:v>
      </x:c>
      <x:c r="L180" s="27" t="b">
        <x:v>0</x:v>
      </x:c>
      <x:c r="M180" s="25" t="str">
        <x:v>Deepseek-flash-v4/state/Round1/shards/Closure.json</x:v>
      </x:c>
      <x:c r="N180" s="25" t="str">
        <x:v>Deepseek-flash-v4/Result/Closure_42/result.json</x:v>
      </x:c>
      <x:c r="O180" s="25" t="str">
        <x:v>Deepseek-flash-v4/Result/Closure_42/result.json</x:v>
      </x:c>
      <x:c r="P180" t="str">
        <x:v>BOTH_NOT_RUN</x:v>
      </x:c>
      <x:c r="Q180" s="21" t="str"/>
      <x:c r="R180" s="21" t="str"/>
      <x:c r="S180" s="21" t="str"/>
      <x:c r="T180" s="17" t="str">
        <x:v>false</x:v>
      </x:c>
      <x:c r="U180" s="17" t="str">
        <x:v>true</x:v>
      </x:c>
      <x:c r="V180" s="17" t="str">
        <x:v>false</x:v>
      </x:c>
    </x:row>
    <x:row r="181" ht="80" customHeight="1">
      <x:c r="A181" s="25" t="str">
        <x:v>Closure</x:v>
      </x:c>
      <x:c r="B181" s="25" t="n">
        <x:v>43</x:v>
      </x:c>
      <x:c r="C181" s="25" t="str">
        <x:v>Round1</x:v>
      </x:c>
      <x:c r="D181" s="25" t="str">
        <x:v>NOT_AVAILABLE</x:v>
      </x:c>
      <x:c r="E181" s="25" t="str">
        <x:v>N/A</x:v>
      </x:c>
      <x:c r="F181" s="26" t="str">
        <x:v>Tests exist but current coverage did not complete</x:v>
      </x:c>
      <x:c r="G181" s="25" t="str">
        <x:v>true</x:v>
      </x:c>
      <x:c r="H181" s="25" t="str">
        <x:v>NOT_AVAILABLE</x:v>
      </x:c>
      <x:c r="I181" s="25" t="str">
        <x:v>NOT_RUN</x:v>
      </x:c>
      <x:c r="J181" s="25" t="str">
        <x:v>NOT_RUN</x:v>
      </x:c>
      <x:c r="K181" s="25" t="n">
        <x:v>1</x:v>
      </x:c>
      <x:c r="L181" s="27" t="b">
        <x:v>0</x:v>
      </x:c>
      <x:c r="M181" s="25" t="str">
        <x:v>Deepseek-flash-v4/state/Round1/shards/Closure.json</x:v>
      </x:c>
      <x:c r="N181" s="25" t="str">
        <x:v>Deepseek-flash-v4/Result/Closure_43/result.json</x:v>
      </x:c>
      <x:c r="O181" s="25" t="str">
        <x:v>Deepseek-flash-v4/Result/Closure_43/result.json</x:v>
      </x:c>
      <x:c r="P181" t="str">
        <x:v>BOTH_NOT_RUN</x:v>
      </x:c>
      <x:c r="Q181" s="21" t="str"/>
      <x:c r="R181" s="21" t="str"/>
      <x:c r="S181" s="21" t="str"/>
      <x:c r="T181" s="17" t="str">
        <x:v>false</x:v>
      </x:c>
      <x:c r="U181" s="17" t="str">
        <x:v>true</x:v>
      </x:c>
      <x:c r="V181" s="17" t="str">
        <x:v>false</x:v>
      </x:c>
    </x:row>
    <x:row r="182" ht="80" customHeight="1">
      <x:c r="A182" s="25" t="str">
        <x:v>Closure</x:v>
      </x:c>
      <x:c r="B182" s="25" t="n">
        <x:v>44</x:v>
      </x:c>
      <x:c r="C182" s="25" t="str">
        <x:v>Round1</x:v>
      </x:c>
      <x:c r="D182" s="25" t="str">
        <x:v>INCONCLUSIVE</x:v>
      </x:c>
      <x:c r="E182" s="25" t="str">
        <x:v>N/A</x:v>
      </x:c>
      <x:c r="F182" s="26" t="str">
        <x:v>Fixed also failed; assertion failure cannot be attributed to this bug</x:v>
      </x:c>
      <x:c r="G182" s="25" t="str">
        <x:v>true</x:v>
      </x:c>
      <x:c r="H182" s="25" t="str">
        <x:v>INCONCLUSIVE</x:v>
      </x:c>
      <x:c r="I182" s="25" t="str">
        <x:v>FAIL</x:v>
      </x:c>
      <x:c r="J182" s="25" t="str">
        <x:v>FAIL</x:v>
      </x:c>
      <x:c r="K182" s="25" t="n">
        <x:v>1</x:v>
      </x:c>
      <x:c r="L182" s="27" t="b">
        <x:v>0</x:v>
      </x:c>
      <x:c r="M182" s="25" t="str">
        <x:v>Deepseek-flash-v4/state/Round1/shards/Closure.json</x:v>
      </x:c>
      <x:c r="N182" s="25" t="str">
        <x:v>Deepseek-flash-v4/Result/Closure_44/result.json</x:v>
      </x:c>
      <x:c r="O182" s="25" t="str">
        <x:v>Deepseek-flash-v4/Result/Closure_44/result.json</x:v>
      </x:c>
      <x:c r="P182"/>
      <x:c r="Q182" s="21" t="str"/>
      <x:c r="R182" s="21" t="str"/>
      <x:c r="S182" s="21" t="str"/>
      <x:c r="T182" s="17" t="str">
        <x:v>false</x:v>
      </x:c>
      <x:c r="U182" s="17" t="str">
        <x:v>true</x:v>
      </x:c>
      <x:c r="V182" s="17" t="str">
        <x:v>false</x:v>
      </x:c>
    </x:row>
    <x:row r="183" ht="80" customHeight="1">
      <x:c r="A183" s="25" t="str">
        <x:v>Closure</x:v>
      </x:c>
      <x:c r="B183" s="25" t="n">
        <x:v>45</x:v>
      </x:c>
      <x:c r="C183" s="25" t="str">
        <x:v>Round1</x:v>
      </x:c>
      <x:c r="D183" s="25" t="str">
        <x:v>NOT_AVAILABLE</x:v>
      </x:c>
      <x:c r="E183" s="25" t="str">
        <x:v>N/A</x:v>
      </x:c>
      <x:c r="F183" s="26" t="str">
        <x:v>Tests exist but current coverage did not complete</x:v>
      </x:c>
      <x:c r="G183" s="25" t="str">
        <x:v>true</x:v>
      </x:c>
      <x:c r="H183" s="25" t="str">
        <x:v>NOT_AVAILABLE</x:v>
      </x:c>
      <x:c r="I183" s="25" t="str">
        <x:v>NOT_RUN</x:v>
      </x:c>
      <x:c r="J183" s="25" t="str">
        <x:v>NOT_RUN</x:v>
      </x:c>
      <x:c r="K183" s="25" t="n">
        <x:v>1</x:v>
      </x:c>
      <x:c r="L183" s="27" t="b">
        <x:v>0</x:v>
      </x:c>
      <x:c r="M183" s="25" t="str">
        <x:v>Deepseek-flash-v4/state/Round1/shards/Closure.json</x:v>
      </x:c>
      <x:c r="N183" s="25" t="str">
        <x:v>Deepseek-flash-v4/Result/Closure_45/result.json</x:v>
      </x:c>
      <x:c r="O183" s="25" t="str">
        <x:v>Deepseek-flash-v4/Result/Closure_45/result.json</x:v>
      </x:c>
      <x:c r="P183" t="str">
        <x:v>BOTH_NOT_RUN</x:v>
      </x:c>
      <x:c r="Q183" s="21" t="str"/>
      <x:c r="R183" s="21" t="str"/>
      <x:c r="S183" s="21" t="str"/>
      <x:c r="T183" s="17" t="str">
        <x:v>false</x:v>
      </x:c>
      <x:c r="U183" s="17" t="str">
        <x:v>true</x:v>
      </x:c>
      <x:c r="V183" s="17" t="str">
        <x:v>false</x:v>
      </x:c>
    </x:row>
    <x:row r="184" ht="80" customHeight="1">
      <x:c r="A184" s="25" t="str">
        <x:v>Closure</x:v>
      </x:c>
      <x:c r="B184" s="25" t="n">
        <x:v>46</x:v>
      </x:c>
      <x:c r="C184" s="25" t="str">
        <x:v>Round1</x:v>
      </x:c>
      <x:c r="D184" s="25" t="str">
        <x:v>NOT_AVAILABLE</x:v>
      </x:c>
      <x:c r="E184" s="25" t="str">
        <x:v>N/A</x:v>
      </x:c>
      <x:c r="F184" s="26" t="str">
        <x:v>Tests exist but current coverage did not complete</x:v>
      </x:c>
      <x:c r="G184" s="25" t="str">
        <x:v>true</x:v>
      </x:c>
      <x:c r="H184" s="25" t="str">
        <x:v>NOT_AVAILABLE</x:v>
      </x:c>
      <x:c r="I184" s="25" t="str">
        <x:v>NOT_RUN</x:v>
      </x:c>
      <x:c r="J184" s="25" t="str">
        <x:v>NOT_RUN</x:v>
      </x:c>
      <x:c r="K184" s="25" t="n">
        <x:v>1</x:v>
      </x:c>
      <x:c r="L184" s="27" t="b">
        <x:v>0</x:v>
      </x:c>
      <x:c r="M184" s="25" t="str">
        <x:v>Deepseek-flash-v4/state/Round1/shards/Closure.json</x:v>
      </x:c>
      <x:c r="N184" s="25" t="str">
        <x:v>Deepseek-flash-v4/Result/Closure_46/result.json</x:v>
      </x:c>
      <x:c r="O184" s="25" t="str">
        <x:v>Deepseek-flash-v4/Result/Closure_46/result.json</x:v>
      </x:c>
      <x:c r="P184" t="str">
        <x:v>BOTH_NOT_RUN</x:v>
      </x:c>
      <x:c r="Q184" s="21" t="str"/>
      <x:c r="R184" s="21" t="str"/>
      <x:c r="S184" s="21" t="str"/>
      <x:c r="T184" s="17" t="str">
        <x:v>false</x:v>
      </x:c>
      <x:c r="U184" s="17" t="str">
        <x:v>true</x:v>
      </x:c>
      <x:c r="V184" s="17" t="str">
        <x:v>false</x:v>
      </x:c>
    </x:row>
    <x:row r="185" ht="80" customHeight="1">
      <x:c r="A185" s="25" t="str">
        <x:v>Closure</x:v>
      </x:c>
      <x:c r="B185" s="25" t="n">
        <x:v>47</x:v>
      </x:c>
      <x:c r="C185" s="25" t="str">
        <x:v>Round1</x:v>
      </x:c>
      <x:c r="D185" s="25" t="str">
        <x:v>NOT_AVAILABLE</x:v>
      </x:c>
      <x:c r="E185" s="25" t="str">
        <x:v>N/A</x:v>
      </x:c>
      <x:c r="F185" s="26" t="str">
        <x:v>Tests exist but current coverage did not complete</x:v>
      </x:c>
      <x:c r="G185" s="25" t="str">
        <x:v>true</x:v>
      </x:c>
      <x:c r="H185" s="25" t="str">
        <x:v>NOT_AVAILABLE</x:v>
      </x:c>
      <x:c r="I185" s="25" t="str">
        <x:v>NOT_RUN</x:v>
      </x:c>
      <x:c r="J185" s="25" t="str">
        <x:v>NOT_RUN</x:v>
      </x:c>
      <x:c r="K185" s="25" t="n">
        <x:v>2</x:v>
      </x:c>
      <x:c r="L185" s="27" t="b">
        <x:v>0</x:v>
      </x:c>
      <x:c r="M185" s="25" t="str">
        <x:v>Deepseek-flash-v4/state/Round1/shards/Closure.json</x:v>
      </x:c>
      <x:c r="N185" s="25" t="str">
        <x:v>Deepseek-flash-v4/Result/Closure_47/result.json</x:v>
      </x:c>
      <x:c r="O185" s="25" t="str">
        <x:v>Deepseek-flash-v4/Result/Closure_47/result.json</x:v>
      </x:c>
      <x:c r="P185" t="str">
        <x:v>BOTH_NOT_RUN</x:v>
      </x:c>
      <x:c r="Q185" s="21" t="str"/>
      <x:c r="R185" s="21" t="str"/>
      <x:c r="S185" s="21" t="str"/>
      <x:c r="T185" s="17" t="str">
        <x:v>false</x:v>
      </x:c>
      <x:c r="U185" s="17" t="str">
        <x:v>true</x:v>
      </x:c>
      <x:c r="V185" s="17" t="str">
        <x:v>false</x:v>
      </x:c>
    </x:row>
    <x:row r="186" ht="80" customHeight="1">
      <x:c r="A186" s="25" t="str">
        <x:v>Closure</x:v>
      </x:c>
      <x:c r="B186" s="25" t="n">
        <x:v>48</x:v>
      </x:c>
      <x:c r="C186" s="25" t="str">
        <x:v>Round1</x:v>
      </x:c>
      <x:c r="D186" s="25" t="str">
        <x:v>NOT_AVAILABLE</x:v>
      </x:c>
      <x:c r="E186" s="25" t="str">
        <x:v>N/A</x:v>
      </x:c>
      <x:c r="F186" s="26" t="str">
        <x:v>Tests exist but current coverage did not complete</x:v>
      </x:c>
      <x:c r="G186" s="25" t="str">
        <x:v>true</x:v>
      </x:c>
      <x:c r="H186" s="25" t="str">
        <x:v>NOT_AVAILABLE</x:v>
      </x:c>
      <x:c r="I186" s="25" t="str">
        <x:v>NOT_RUN</x:v>
      </x:c>
      <x:c r="J186" s="25" t="str">
        <x:v>NOT_RUN</x:v>
      </x:c>
      <x:c r="K186" s="25" t="n">
        <x:v>1</x:v>
      </x:c>
      <x:c r="L186" s="27" t="b">
        <x:v>0</x:v>
      </x:c>
      <x:c r="M186" s="25" t="str">
        <x:v>Deepseek-flash-v4/state/Round1/shards/Closure.json</x:v>
      </x:c>
      <x:c r="N186" s="25" t="str">
        <x:v>Deepseek-flash-v4/Result/Closure_48/result.json</x:v>
      </x:c>
      <x:c r="O186" s="25" t="str">
        <x:v>Deepseek-flash-v4/Result/Closure_48/result.json</x:v>
      </x:c>
      <x:c r="P186" t="str">
        <x:v>BOTH_NOT_RUN</x:v>
      </x:c>
      <x:c r="Q186" s="21" t="str"/>
      <x:c r="R186" s="21" t="str"/>
      <x:c r="S186" s="21" t="str"/>
      <x:c r="T186" s="17" t="str">
        <x:v>false</x:v>
      </x:c>
      <x:c r="U186" s="17" t="str">
        <x:v>true</x:v>
      </x:c>
      <x:c r="V186" s="17" t="str">
        <x:v>false</x:v>
      </x:c>
    </x:row>
    <x:row r="187" ht="80" customHeight="1">
      <x:c r="A187" s="25" t="str">
        <x:v>Closure</x:v>
      </x:c>
      <x:c r="B187" s="25" t="n">
        <x:v>49</x:v>
      </x:c>
      <x:c r="C187" s="25" t="str">
        <x:v>Round1</x:v>
      </x:c>
      <x:c r="D187" s="25" t="str">
        <x:v>NOT_AVAILABLE</x:v>
      </x:c>
      <x:c r="E187" s="25" t="str">
        <x:v>N/A</x:v>
      </x:c>
      <x:c r="F187" s="26" t="str">
        <x:v>Tests exist but current coverage did not complete</x:v>
      </x:c>
      <x:c r="G187" s="25" t="str">
        <x:v>true</x:v>
      </x:c>
      <x:c r="H187" s="25" t="str">
        <x:v>NOT_AVAILABLE</x:v>
      </x:c>
      <x:c r="I187" s="25" t="str">
        <x:v>NOT_RUN</x:v>
      </x:c>
      <x:c r="J187" s="25" t="str">
        <x:v>NOT_RUN</x:v>
      </x:c>
      <x:c r="K187" s="25" t="n">
        <x:v>1</x:v>
      </x:c>
      <x:c r="L187" s="27" t="b">
        <x:v>0</x:v>
      </x:c>
      <x:c r="M187" s="25" t="str">
        <x:v>Deepseek-flash-v4/state/Round1/shards/Closure.json</x:v>
      </x:c>
      <x:c r="N187" s="25" t="str">
        <x:v>Deepseek-flash-v4/Result/Closure_49/result.json</x:v>
      </x:c>
      <x:c r="O187" s="25" t="str">
        <x:v>Deepseek-flash-v4/Result/Closure_49/result.json</x:v>
      </x:c>
      <x:c r="P187" t="str">
        <x:v>BOTH_NOT_RUN</x:v>
      </x:c>
      <x:c r="Q187" s="21" t="str"/>
      <x:c r="R187" s="21" t="str"/>
      <x:c r="S187" s="21" t="str"/>
      <x:c r="T187" s="17" t="str">
        <x:v>false</x:v>
      </x:c>
      <x:c r="U187" s="17" t="str">
        <x:v>true</x:v>
      </x:c>
      <x:c r="V187" s="17" t="str">
        <x:v>false</x:v>
      </x:c>
    </x:row>
    <x:row r="188" ht="80" customHeight="1">
      <x:c r="A188" s="25" t="str">
        <x:v>Closure</x:v>
      </x:c>
      <x:c r="B188" s="25" t="n">
        <x:v>5</x:v>
      </x:c>
      <x:c r="C188" s="25" t="str">
        <x:v>Round1</x:v>
      </x:c>
      <x:c r="D188" s="25" t="str">
        <x:v>NOT_AVAILABLE</x:v>
      </x:c>
      <x:c r="E188" s="25" t="str">
        <x:v>N/A</x:v>
      </x:c>
      <x:c r="F188" s="26" t="str">
        <x:v>Tests exist but current coverage did not complete</x:v>
      </x:c>
      <x:c r="G188" s="25" t="str">
        <x:v>true</x:v>
      </x:c>
      <x:c r="H188" s="25" t="str">
        <x:v>NOT_AVAILABLE</x:v>
      </x:c>
      <x:c r="I188" s="25" t="str">
        <x:v>NOT_RUN</x:v>
      </x:c>
      <x:c r="J188" s="25" t="str">
        <x:v>NOT_RUN</x:v>
      </x:c>
      <x:c r="K188" s="25" t="n">
        <x:v>1</x:v>
      </x:c>
      <x:c r="L188" s="27" t="b">
        <x:v>0</x:v>
      </x:c>
      <x:c r="M188" s="25" t="str">
        <x:v>Deepseek-flash-v4/state/Round1/shards/Closure.json</x:v>
      </x:c>
      <x:c r="N188" s="25" t="str">
        <x:v>Deepseek-flash-v4/Result/Closure_5/result.json</x:v>
      </x:c>
      <x:c r="O188" s="25" t="str">
        <x:v>Deepseek-flash-v4/Result/Closure_5/result.json</x:v>
      </x:c>
      <x:c r="P188" t="str">
        <x:v>BOTH_NOT_RUN</x:v>
      </x:c>
      <x:c r="Q188" s="21" t="str"/>
      <x:c r="R188" s="21" t="str"/>
      <x:c r="S188" s="21" t="str"/>
      <x:c r="T188" s="17" t="str">
        <x:v>false</x:v>
      </x:c>
      <x:c r="U188" s="17" t="str">
        <x:v>true</x:v>
      </x:c>
      <x:c r="V188" s="17" t="str">
        <x:v>false</x:v>
      </x:c>
    </x:row>
    <x:row r="189" ht="80" customHeight="1">
      <x:c r="A189" s="25" t="str">
        <x:v>Closure</x:v>
      </x:c>
      <x:c r="B189" s="25" t="n">
        <x:v>50</x:v>
      </x:c>
      <x:c r="C189" s="25" t="str">
        <x:v>Round1</x:v>
      </x:c>
      <x:c r="D189" s="25" t="str">
        <x:v>INCONCLUSIVE</x:v>
      </x:c>
      <x:c r="E189" s="25" t="str">
        <x:v>N/A</x:v>
      </x:c>
      <x:c r="F189" s="26" t="str">
        <x:v>Fixed also failed; assertion failure cannot be attributed to this bug</x:v>
      </x:c>
      <x:c r="G189" s="25" t="str">
        <x:v>true</x:v>
      </x:c>
      <x:c r="H189" s="25" t="str">
        <x:v>INCONCLUSIVE</x:v>
      </x:c>
      <x:c r="I189" s="25" t="str">
        <x:v>FAIL</x:v>
      </x:c>
      <x:c r="J189" s="25" t="str">
        <x:v>FAIL</x:v>
      </x:c>
      <x:c r="K189" s="25" t="n">
        <x:v>1</x:v>
      </x:c>
      <x:c r="L189" s="27" t="b">
        <x:v>0</x:v>
      </x:c>
      <x:c r="M189" s="25" t="str">
        <x:v>Deepseek-flash-v4/state/Round1/shards/Closure.json</x:v>
      </x:c>
      <x:c r="N189" s="25" t="str">
        <x:v>Deepseek-flash-v4/Result/Closure_50/result.json</x:v>
      </x:c>
      <x:c r="O189" s="25" t="str">
        <x:v>Deepseek-flash-v4/Result/Closure_50/result.json</x:v>
      </x:c>
      <x:c r="P189"/>
      <x:c r="Q189" s="21" t="str"/>
      <x:c r="R189" s="21" t="str"/>
      <x:c r="S189" s="21" t="str"/>
      <x:c r="T189" s="17" t="str">
        <x:v>false</x:v>
      </x:c>
      <x:c r="U189" s="17" t="str">
        <x:v>true</x:v>
      </x:c>
      <x:c r="V189" s="17" t="str">
        <x:v>false</x:v>
      </x:c>
    </x:row>
    <x:row r="190" ht="80" customHeight="1">
      <x:c r="A190" s="25" t="str">
        <x:v>Closure</x:v>
      </x:c>
      <x:c r="B190" s="25" t="n">
        <x:v>51</x:v>
      </x:c>
      <x:c r="C190" s="25" t="str">
        <x:v>Round1</x:v>
      </x:c>
      <x:c r="D190" s="25" t="str">
        <x:v>NOT_AVAILABLE</x:v>
      </x:c>
      <x:c r="E190" s="25" t="str">
        <x:v>N/A</x:v>
      </x:c>
      <x:c r="F190" s="26" t="str">
        <x:v>Tests exist but current coverage did not complete</x:v>
      </x:c>
      <x:c r="G190" s="25" t="str">
        <x:v>true</x:v>
      </x:c>
      <x:c r="H190" s="25" t="str">
        <x:v>NOT_AVAILABLE</x:v>
      </x:c>
      <x:c r="I190" s="25" t="str">
        <x:v>NOT_RUN</x:v>
      </x:c>
      <x:c r="J190" s="25" t="str">
        <x:v>NOT_RUN</x:v>
      </x:c>
      <x:c r="K190" s="25" t="n">
        <x:v>1</x:v>
      </x:c>
      <x:c r="L190" s="27" t="b">
        <x:v>0</x:v>
      </x:c>
      <x:c r="M190" s="25" t="str">
        <x:v>Deepseek-flash-v4/state/Round1/shards/Closure.json</x:v>
      </x:c>
      <x:c r="N190" s="25" t="str">
        <x:v>Deepseek-flash-v4/Result/Closure_51/result.json</x:v>
      </x:c>
      <x:c r="O190" s="25" t="str">
        <x:v>Deepseek-flash-v4/Result/Closure_51/result.json</x:v>
      </x:c>
      <x:c r="P190" t="str">
        <x:v>BOTH_NOT_RUN</x:v>
      </x:c>
      <x:c r="Q190" s="21" t="str"/>
      <x:c r="R190" s="21" t="str"/>
      <x:c r="S190" s="21" t="str"/>
      <x:c r="T190" s="17" t="str">
        <x:v>false</x:v>
      </x:c>
      <x:c r="U190" s="17" t="str">
        <x:v>true</x:v>
      </x:c>
      <x:c r="V190" s="17" t="str">
        <x:v>false</x:v>
      </x:c>
    </x:row>
    <x:row r="191" ht="80" customHeight="1">
      <x:c r="A191" s="25" t="str">
        <x:v>Closure</x:v>
      </x:c>
      <x:c r="B191" s="25" t="n">
        <x:v>52</x:v>
      </x:c>
      <x:c r="C191" s="25" t="str">
        <x:v>Round1</x:v>
      </x:c>
      <x:c r="D191" s="25" t="str">
        <x:v>NOT_AVAILABLE</x:v>
      </x:c>
      <x:c r="E191" s="25" t="str">
        <x:v>N/A</x:v>
      </x:c>
      <x:c r="F191" s="26" t="str">
        <x:v>Tests exist but current coverage did not complete</x:v>
      </x:c>
      <x:c r="G191" s="25" t="str">
        <x:v>true</x:v>
      </x:c>
      <x:c r="H191" s="25" t="str">
        <x:v>NOT_AVAILABLE</x:v>
      </x:c>
      <x:c r="I191" s="25" t="str">
        <x:v>NOT_RUN</x:v>
      </x:c>
      <x:c r="J191" s="25" t="str">
        <x:v>NOT_RUN</x:v>
      </x:c>
      <x:c r="K191" s="25" t="n">
        <x:v>1</x:v>
      </x:c>
      <x:c r="L191" s="27" t="b">
        <x:v>0</x:v>
      </x:c>
      <x:c r="M191" s="25" t="str">
        <x:v>Deepseek-flash-v4/state/Round1/shards/Closure.json</x:v>
      </x:c>
      <x:c r="N191" s="25" t="str">
        <x:v>Deepseek-flash-v4/Result/Closure_52/result.json</x:v>
      </x:c>
      <x:c r="O191" s="25" t="str">
        <x:v>Deepseek-flash-v4/Result/Closure_52/result.json</x:v>
      </x:c>
      <x:c r="P191" t="str">
        <x:v>BOTH_NOT_RUN</x:v>
      </x:c>
      <x:c r="Q191" s="21" t="str"/>
      <x:c r="R191" s="21" t="str"/>
      <x:c r="S191" s="21" t="str"/>
      <x:c r="T191" s="17" t="str">
        <x:v>false</x:v>
      </x:c>
      <x:c r="U191" s="17" t="str">
        <x:v>true</x:v>
      </x:c>
      <x:c r="V191" s="17" t="str">
        <x:v>false</x:v>
      </x:c>
    </x:row>
    <x:row r="192" ht="80" customHeight="1">
      <x:c r="A192" s="25" t="str">
        <x:v>Closure</x:v>
      </x:c>
      <x:c r="B192" s="25" t="n">
        <x:v>53</x:v>
      </x:c>
      <x:c r="C192" s="25" t="str">
        <x:v>Round1</x:v>
      </x:c>
      <x:c r="D192" s="25" t="str">
        <x:v>NOT_AVAILABLE</x:v>
      </x:c>
      <x:c r="E192" s="25" t="str">
        <x:v>N/A</x:v>
      </x:c>
      <x:c r="F192" s="26" t="str">
        <x:v>Tests exist but current coverage did not complete</x:v>
      </x:c>
      <x:c r="G192" s="25" t="str">
        <x:v>true</x:v>
      </x:c>
      <x:c r="H192" s="25" t="str">
        <x:v>NOT_AVAILABLE</x:v>
      </x:c>
      <x:c r="I192" s="25" t="str">
        <x:v>NOT_RUN</x:v>
      </x:c>
      <x:c r="J192" s="25" t="str">
        <x:v>NOT_RUN</x:v>
      </x:c>
      <x:c r="K192" s="25" t="n">
        <x:v>1</x:v>
      </x:c>
      <x:c r="L192" s="27" t="b">
        <x:v>0</x:v>
      </x:c>
      <x:c r="M192" s="25" t="str">
        <x:v>Deepseek-flash-v4/state/Round1/shards/Closure.json</x:v>
      </x:c>
      <x:c r="N192" s="25" t="str">
        <x:v>Deepseek-flash-v4/Result/Closure_53/result.json</x:v>
      </x:c>
      <x:c r="O192" s="25" t="str">
        <x:v>Deepseek-flash-v4/Result/Closure_53/result.json</x:v>
      </x:c>
      <x:c r="P192" t="str">
        <x:v>BOTH_NOT_RUN</x:v>
      </x:c>
      <x:c r="Q192" s="21" t="str"/>
      <x:c r="R192" s="21" t="str"/>
      <x:c r="S192" s="21" t="str"/>
      <x:c r="T192" s="17" t="str">
        <x:v>false</x:v>
      </x:c>
      <x:c r="U192" s="17" t="str">
        <x:v>true</x:v>
      </x:c>
      <x:c r="V192" s="17" t="str">
        <x:v>false</x:v>
      </x:c>
    </x:row>
    <x:row r="193" ht="80" customHeight="1">
      <x:c r="A193" s="25" t="str">
        <x:v>Closure</x:v>
      </x:c>
      <x:c r="B193" s="25" t="n">
        <x:v>54</x:v>
      </x:c>
      <x:c r="C193" s="25" t="str">
        <x:v>Round1</x:v>
      </x:c>
      <x:c r="D193" s="25" t="str">
        <x:v>NOT_AVAILABLE</x:v>
      </x:c>
      <x:c r="E193" s="25" t="str">
        <x:v>N/A</x:v>
      </x:c>
      <x:c r="F193" s="26" t="str">
        <x:v>Tests exist but current coverage did not complete</x:v>
      </x:c>
      <x:c r="G193" s="25" t="str">
        <x:v>true</x:v>
      </x:c>
      <x:c r="H193" s="25" t="str">
        <x:v>NOT_AVAILABLE</x:v>
      </x:c>
      <x:c r="I193" s="25" t="str">
        <x:v>NOT_RUN</x:v>
      </x:c>
      <x:c r="J193" s="25" t="str">
        <x:v>NOT_RUN</x:v>
      </x:c>
      <x:c r="K193" s="25" t="n">
        <x:v>2</x:v>
      </x:c>
      <x:c r="L193" s="27" t="b">
        <x:v>0</x:v>
      </x:c>
      <x:c r="M193" s="25" t="str">
        <x:v>Deepseek-flash-v4/state/Round1/shards/Closure.json</x:v>
      </x:c>
      <x:c r="N193" s="25" t="str">
        <x:v>Deepseek-flash-v4/Result/Closure_54/result.json</x:v>
      </x:c>
      <x:c r="O193" s="25" t="str">
        <x:v>Deepseek-flash-v4/Result/Closure_54/result.json</x:v>
      </x:c>
      <x:c r="P193" t="str">
        <x:v>BOTH_NOT_RUN</x:v>
      </x:c>
      <x:c r="Q193" s="21" t="str"/>
      <x:c r="R193" s="21" t="str"/>
      <x:c r="S193" s="21" t="str"/>
      <x:c r="T193" s="17" t="str">
        <x:v>false</x:v>
      </x:c>
      <x:c r="U193" s="17" t="str">
        <x:v>true</x:v>
      </x:c>
      <x:c r="V193" s="17" t="str">
        <x:v>false</x:v>
      </x:c>
    </x:row>
    <x:row r="194" ht="80" customHeight="1">
      <x:c r="A194" s="25" t="str">
        <x:v>Closure</x:v>
      </x:c>
      <x:c r="B194" s="25" t="n">
        <x:v>55</x:v>
      </x:c>
      <x:c r="C194" s="25" t="str">
        <x:v>Round1</x:v>
      </x:c>
      <x:c r="D194" s="25" t="str">
        <x:v>NOT_AVAILABLE</x:v>
      </x:c>
      <x:c r="E194" s="25" t="str">
        <x:v>N/A</x:v>
      </x:c>
      <x:c r="F194" s="26" t="str">
        <x:v>Tests exist but current coverage did not complete</x:v>
      </x:c>
      <x:c r="G194" s="25" t="str">
        <x:v>true</x:v>
      </x:c>
      <x:c r="H194" s="25" t="str">
        <x:v>NOT_AVAILABLE</x:v>
      </x:c>
      <x:c r="I194" s="25" t="str">
        <x:v>NOT_RUN</x:v>
      </x:c>
      <x:c r="J194" s="25" t="str">
        <x:v>NOT_RUN</x:v>
      </x:c>
      <x:c r="K194" s="25" t="n">
        <x:v>1</x:v>
      </x:c>
      <x:c r="L194" s="27" t="b">
        <x:v>0</x:v>
      </x:c>
      <x:c r="M194" s="25" t="str">
        <x:v>Deepseek-flash-v4/state/Round1/shards/Closure.json</x:v>
      </x:c>
      <x:c r="N194" s="25" t="str">
        <x:v>Deepseek-flash-v4/Result/Closure_55/result.json</x:v>
      </x:c>
      <x:c r="O194" s="25" t="str">
        <x:v>Deepseek-flash-v4/Result/Closure_55/result.json</x:v>
      </x:c>
      <x:c r="P194" t="str">
        <x:v>BOTH_NOT_RUN</x:v>
      </x:c>
      <x:c r="Q194" s="21" t="str"/>
      <x:c r="R194" s="21" t="str"/>
      <x:c r="S194" s="21" t="str"/>
      <x:c r="T194" s="17" t="str">
        <x:v>false</x:v>
      </x:c>
      <x:c r="U194" s="17" t="str">
        <x:v>true</x:v>
      </x:c>
      <x:c r="V194" s="17" t="str">
        <x:v>false</x:v>
      </x:c>
    </x:row>
    <x:row r="195" ht="80" customHeight="1">
      <x:c r="A195" s="25" t="str">
        <x:v>Closure</x:v>
      </x:c>
      <x:c r="B195" s="25" t="n">
        <x:v>56</x:v>
      </x:c>
      <x:c r="C195" s="25" t="str">
        <x:v>Round1</x:v>
      </x:c>
      <x:c r="D195" s="25" t="str">
        <x:v>NOT_AVAILABLE</x:v>
      </x:c>
      <x:c r="E195" s="25" t="str">
        <x:v>N/A</x:v>
      </x:c>
      <x:c r="F195" s="26" t="str">
        <x:v>Tests exist but current coverage did not complete</x:v>
      </x:c>
      <x:c r="G195" s="25" t="str">
        <x:v>true</x:v>
      </x:c>
      <x:c r="H195" s="25" t="str">
        <x:v>NOT_AVAILABLE</x:v>
      </x:c>
      <x:c r="I195" s="25" t="str">
        <x:v>NOT_RUN</x:v>
      </x:c>
      <x:c r="J195" s="25" t="str">
        <x:v>NOT_RUN</x:v>
      </x:c>
      <x:c r="K195" s="25" t="n">
        <x:v>1</x:v>
      </x:c>
      <x:c r="L195" s="27" t="b">
        <x:v>0</x:v>
      </x:c>
      <x:c r="M195" s="25" t="str">
        <x:v>Deepseek-flash-v4/state/Round1/shards/Closure.json</x:v>
      </x:c>
      <x:c r="N195" s="25" t="str">
        <x:v>Deepseek-flash-v4/Result/Closure_56/result.json</x:v>
      </x:c>
      <x:c r="O195" s="25" t="str">
        <x:v>Deepseek-flash-v4/Result/Closure_56/result.json</x:v>
      </x:c>
      <x:c r="P195" t="str">
        <x:v>BOTH_NOT_RUN</x:v>
      </x:c>
      <x:c r="Q195" s="21" t="str"/>
      <x:c r="R195" s="21" t="str"/>
      <x:c r="S195" s="21" t="str"/>
      <x:c r="T195" s="17" t="str">
        <x:v>false</x:v>
      </x:c>
      <x:c r="U195" s="17" t="str">
        <x:v>true</x:v>
      </x:c>
      <x:c r="V195" s="17" t="str">
        <x:v>false</x:v>
      </x:c>
    </x:row>
    <x:row r="196" ht="80" customHeight="1">
      <x:c r="A196" s="25" t="str">
        <x:v>Closure</x:v>
      </x:c>
      <x:c r="B196" s="25" t="n">
        <x:v>57</x:v>
      </x:c>
      <x:c r="C196" s="25" t="str">
        <x:v>Round1</x:v>
      </x:c>
      <x:c r="D196" s="25" t="str">
        <x:v>NOT_AVAILABLE</x:v>
      </x:c>
      <x:c r="E196" s="25" t="str">
        <x:v>N/A</x:v>
      </x:c>
      <x:c r="F196" s="26" t="str">
        <x:v>Tests exist but current coverage did not complete</x:v>
      </x:c>
      <x:c r="G196" s="25" t="str">
        <x:v>true</x:v>
      </x:c>
      <x:c r="H196" s="25" t="str">
        <x:v>NOT_AVAILABLE</x:v>
      </x:c>
      <x:c r="I196" s="25" t="str">
        <x:v>NOT_RUN</x:v>
      </x:c>
      <x:c r="J196" s="25" t="str">
        <x:v>NOT_RUN</x:v>
      </x:c>
      <x:c r="K196" s="25" t="n">
        <x:v>1</x:v>
      </x:c>
      <x:c r="L196" s="27" t="b">
        <x:v>0</x:v>
      </x:c>
      <x:c r="M196" s="25" t="str">
        <x:v>Deepseek-flash-v4/state/Round1/shards/Closure.json</x:v>
      </x:c>
      <x:c r="N196" s="25" t="str">
        <x:v>Deepseek-flash-v4/Result/Closure_57/result.json</x:v>
      </x:c>
      <x:c r="O196" s="25" t="str">
        <x:v>Deepseek-flash-v4/Result/Closure_57/result.json</x:v>
      </x:c>
      <x:c r="P196" t="str">
        <x:v>BOTH_NOT_RUN</x:v>
      </x:c>
      <x:c r="Q196" s="21" t="str"/>
      <x:c r="R196" s="21" t="str"/>
      <x:c r="S196" s="21" t="str"/>
      <x:c r="T196" s="17" t="str">
        <x:v>false</x:v>
      </x:c>
      <x:c r="U196" s="17" t="str">
        <x:v>true</x:v>
      </x:c>
      <x:c r="V196" s="17" t="str">
        <x:v>false</x:v>
      </x:c>
    </x:row>
    <x:row r="197" ht="80" customHeight="1">
      <x:c r="A197" s="25" t="str">
        <x:v>Closure</x:v>
      </x:c>
      <x:c r="B197" s="25" t="n">
        <x:v>58</x:v>
      </x:c>
      <x:c r="C197" s="25" t="str">
        <x:v>Round1</x:v>
      </x:c>
      <x:c r="D197" s="25" t="str">
        <x:v>NOT_AVAILABLE</x:v>
      </x:c>
      <x:c r="E197" s="25" t="str">
        <x:v>N/A</x:v>
      </x:c>
      <x:c r="F197" s="26" t="str">
        <x:v>Tests exist but current coverage did not complete</x:v>
      </x:c>
      <x:c r="G197" s="25" t="str">
        <x:v>true</x:v>
      </x:c>
      <x:c r="H197" s="25" t="str">
        <x:v>NOT_AVAILABLE</x:v>
      </x:c>
      <x:c r="I197" s="25" t="str">
        <x:v>NOT_RUN</x:v>
      </x:c>
      <x:c r="J197" s="25" t="str">
        <x:v>NOT_RUN</x:v>
      </x:c>
      <x:c r="K197" s="25" t="n">
        <x:v>1</x:v>
      </x:c>
      <x:c r="L197" s="27" t="b">
        <x:v>0</x:v>
      </x:c>
      <x:c r="M197" s="25" t="str">
        <x:v>Deepseek-flash-v4/state/Round1/shards/Closure.json</x:v>
      </x:c>
      <x:c r="N197" s="25" t="str">
        <x:v>Deepseek-flash-v4/Result/Closure_58/result.json</x:v>
      </x:c>
      <x:c r="O197" s="25" t="str">
        <x:v>Deepseek-flash-v4/Result/Closure_58/result.json</x:v>
      </x:c>
      <x:c r="P197" t="str">
        <x:v>BOTH_NOT_RUN</x:v>
      </x:c>
      <x:c r="Q197" s="21" t="str"/>
      <x:c r="R197" s="21" t="str"/>
      <x:c r="S197" s="21" t="str"/>
      <x:c r="T197" s="17" t="str">
        <x:v>false</x:v>
      </x:c>
      <x:c r="U197" s="17" t="str">
        <x:v>true</x:v>
      </x:c>
      <x:c r="V197" s="17" t="str">
        <x:v>false</x:v>
      </x:c>
    </x:row>
    <x:row r="198" ht="80" customHeight="1">
      <x:c r="A198" s="25" t="str">
        <x:v>Closure</x:v>
      </x:c>
      <x:c r="B198" s="25" t="n">
        <x:v>59</x:v>
      </x:c>
      <x:c r="C198" s="25" t="str">
        <x:v>Round1</x:v>
      </x:c>
      <x:c r="D198" s="25" t="str">
        <x:v>NOT_AVAILABLE</x:v>
      </x:c>
      <x:c r="E198" s="25" t="str">
        <x:v>N/A</x:v>
      </x:c>
      <x:c r="F198" s="26" t="str">
        <x:v>Tests exist but current coverage did not complete</x:v>
      </x:c>
      <x:c r="G198" s="25" t="str">
        <x:v>true</x:v>
      </x:c>
      <x:c r="H198" s="25" t="str">
        <x:v>NOT_AVAILABLE</x:v>
      </x:c>
      <x:c r="I198" s="25" t="str">
        <x:v>NOT_RUN</x:v>
      </x:c>
      <x:c r="J198" s="25" t="str">
        <x:v>NOT_RUN</x:v>
      </x:c>
      <x:c r="K198" s="25" t="n">
        <x:v>1</x:v>
      </x:c>
      <x:c r="L198" s="27" t="b">
        <x:v>0</x:v>
      </x:c>
      <x:c r="M198" s="25" t="str">
        <x:v>Deepseek-flash-v4/state/Round1/shards/Closure.json</x:v>
      </x:c>
      <x:c r="N198" s="25" t="str">
        <x:v>Deepseek-flash-v4/Result/Closure_59/result.json</x:v>
      </x:c>
      <x:c r="O198" s="25" t="str">
        <x:v>Deepseek-flash-v4/Result/Closure_59/result.json</x:v>
      </x:c>
      <x:c r="P198" t="str">
        <x:v>BOTH_NOT_RUN</x:v>
      </x:c>
      <x:c r="Q198" s="21" t="str"/>
      <x:c r="R198" s="21" t="str"/>
      <x:c r="S198" s="21" t="str"/>
      <x:c r="T198" s="17" t="str">
        <x:v>false</x:v>
      </x:c>
      <x:c r="U198" s="17" t="str">
        <x:v>true</x:v>
      </x:c>
      <x:c r="V198" s="17" t="str">
        <x:v>false</x:v>
      </x:c>
    </x:row>
    <x:row r="199" ht="80" customHeight="1">
      <x:c r="A199" s="25" t="str">
        <x:v>Closure</x:v>
      </x:c>
      <x:c r="B199" s="25" t="n">
        <x:v>6</x:v>
      </x:c>
      <x:c r="C199" s="25" t="str">
        <x:v>Round1</x:v>
      </x:c>
      <x:c r="D199" s="25" t="str">
        <x:v>NOT_AVAILABLE</x:v>
      </x:c>
      <x:c r="E199" s="25" t="str">
        <x:v>N/A</x:v>
      </x:c>
      <x:c r="F199" s="26" t="str">
        <x:v>Tests exist but current coverage did not complete</x:v>
      </x:c>
      <x:c r="G199" s="25" t="str">
        <x:v>true</x:v>
      </x:c>
      <x:c r="H199" s="25" t="str">
        <x:v>NOT_AVAILABLE</x:v>
      </x:c>
      <x:c r="I199" s="25" t="str">
        <x:v>NOT_RUN</x:v>
      </x:c>
      <x:c r="J199" s="25" t="str">
        <x:v>NOT_RUN</x:v>
      </x:c>
      <x:c r="K199" s="25" t="n">
        <x:v>1</x:v>
      </x:c>
      <x:c r="L199" s="27" t="b">
        <x:v>0</x:v>
      </x:c>
      <x:c r="M199" s="25" t="str">
        <x:v>Deepseek-flash-v4/state/Round1/shards/Closure.json</x:v>
      </x:c>
      <x:c r="N199" s="25" t="str">
        <x:v>Deepseek-flash-v4/Result/Closure_6/result.json</x:v>
      </x:c>
      <x:c r="O199" s="25" t="str">
        <x:v>Deepseek-flash-v4/Result/Closure_6/result.json</x:v>
      </x:c>
      <x:c r="P199" t="str">
        <x:v>BOTH_NOT_RUN</x:v>
      </x:c>
      <x:c r="Q199" s="21" t="str"/>
      <x:c r="R199" s="21" t="str"/>
      <x:c r="S199" s="21" t="str"/>
      <x:c r="T199" s="17" t="str">
        <x:v>false</x:v>
      </x:c>
      <x:c r="U199" s="17" t="str">
        <x:v>true</x:v>
      </x:c>
      <x:c r="V199" s="17" t="str">
        <x:v>false</x:v>
      </x:c>
    </x:row>
    <x:row r="200" ht="80" customHeight="1">
      <x:c r="A200" s="25" t="str">
        <x:v>Closure</x:v>
      </x:c>
      <x:c r="B200" s="25" t="n">
        <x:v>60</x:v>
      </x:c>
      <x:c r="C200" s="25" t="str">
        <x:v>Round1</x:v>
      </x:c>
      <x:c r="D200" s="25" t="str">
        <x:v>NOT_AVAILABLE</x:v>
      </x:c>
      <x:c r="E200" s="25" t="str">
        <x:v>N/A</x:v>
      </x:c>
      <x:c r="F200" s="26" t="str">
        <x:v>Tests exist but current coverage did not complete</x:v>
      </x:c>
      <x:c r="G200" s="25" t="str">
        <x:v>true</x:v>
      </x:c>
      <x:c r="H200" s="25" t="str">
        <x:v>NOT_AVAILABLE</x:v>
      </x:c>
      <x:c r="I200" s="25" t="str">
        <x:v>NOT_RUN</x:v>
      </x:c>
      <x:c r="J200" s="25" t="str">
        <x:v>NOT_RUN</x:v>
      </x:c>
      <x:c r="K200" s="25" t="n">
        <x:v>1</x:v>
      </x:c>
      <x:c r="L200" s="27" t="b">
        <x:v>0</x:v>
      </x:c>
      <x:c r="M200" s="25" t="str">
        <x:v>Deepseek-flash-v4/state/Round1/shards/Closure.json</x:v>
      </x:c>
      <x:c r="N200" s="25" t="str">
        <x:v>Deepseek-flash-v4/Result/Closure_60/result.json</x:v>
      </x:c>
      <x:c r="O200" s="25" t="str">
        <x:v>Deepseek-flash-v4/Result/Closure_60/result.json</x:v>
      </x:c>
      <x:c r="P200" t="str">
        <x:v>BOTH_NOT_RUN</x:v>
      </x:c>
      <x:c r="Q200" s="21" t="str"/>
      <x:c r="R200" s="21" t="str"/>
      <x:c r="S200" s="21" t="str"/>
      <x:c r="T200" s="17" t="str">
        <x:v>false</x:v>
      </x:c>
      <x:c r="U200" s="17" t="str">
        <x:v>true</x:v>
      </x:c>
      <x:c r="V200" s="17" t="str">
        <x:v>false</x:v>
      </x:c>
    </x:row>
    <x:row r="201" ht="80" customHeight="1">
      <x:c r="A201" s="25" t="str">
        <x:v>Closure</x:v>
      </x:c>
      <x:c r="B201" s="25" t="n">
        <x:v>61</x:v>
      </x:c>
      <x:c r="C201" s="25" t="str">
        <x:v>Round1</x:v>
      </x:c>
      <x:c r="D201" s="25" t="str">
        <x:v>NOT_AVAILABLE</x:v>
      </x:c>
      <x:c r="E201" s="25" t="str">
        <x:v>N/A</x:v>
      </x:c>
      <x:c r="F201" s="26" t="str">
        <x:v>Tests exist but current coverage did not complete</x:v>
      </x:c>
      <x:c r="G201" s="25" t="str">
        <x:v>true</x:v>
      </x:c>
      <x:c r="H201" s="25" t="str">
        <x:v>NOT_AVAILABLE</x:v>
      </x:c>
      <x:c r="I201" s="25" t="str">
        <x:v>NOT_RUN</x:v>
      </x:c>
      <x:c r="J201" s="25" t="str">
        <x:v>NOT_RUN</x:v>
      </x:c>
      <x:c r="K201" s="25" t="n">
        <x:v>1</x:v>
      </x:c>
      <x:c r="L201" s="27" t="b">
        <x:v>0</x:v>
      </x:c>
      <x:c r="M201" s="25" t="str">
        <x:v>Deepseek-flash-v4/state/Round1/shards/Closure.json</x:v>
      </x:c>
      <x:c r="N201" s="25" t="str">
        <x:v>Deepseek-flash-v4/Result/Closure_61/result.json</x:v>
      </x:c>
      <x:c r="O201" s="25" t="str">
        <x:v>Deepseek-flash-v4/Result/Closure_61/result.json</x:v>
      </x:c>
      <x:c r="P201" t="str">
        <x:v>BOTH_NOT_RUN</x:v>
      </x:c>
      <x:c r="Q201" s="21" t="str"/>
      <x:c r="R201" s="21" t="str"/>
      <x:c r="S201" s="21" t="str"/>
      <x:c r="T201" s="17" t="str">
        <x:v>false</x:v>
      </x:c>
      <x:c r="U201" s="17" t="str">
        <x:v>true</x:v>
      </x:c>
      <x:c r="V201" s="17" t="str">
        <x:v>false</x:v>
      </x:c>
    </x:row>
    <x:row r="202" ht="80" customHeight="1">
      <x:c r="A202" s="25" t="str">
        <x:v>Closure</x:v>
      </x:c>
      <x:c r="B202" s="25" t="n">
        <x:v>62</x:v>
      </x:c>
      <x:c r="C202" s="25" t="str">
        <x:v>Round1</x:v>
      </x:c>
      <x:c r="D202" s="25" t="str">
        <x:v>NOT_AVAILABLE</x:v>
      </x:c>
      <x:c r="E202" s="25" t="str">
        <x:v>N/A</x:v>
      </x:c>
      <x:c r="F202" s="26" t="str">
        <x:v>Tests exist but current coverage did not complete</x:v>
      </x:c>
      <x:c r="G202" s="25" t="str">
        <x:v>true</x:v>
      </x:c>
      <x:c r="H202" s="25" t="str">
        <x:v>NOT_AVAILABLE</x:v>
      </x:c>
      <x:c r="I202" s="25" t="str">
        <x:v>NOT_RUN</x:v>
      </x:c>
      <x:c r="J202" s="25" t="str">
        <x:v>NOT_RUN</x:v>
      </x:c>
      <x:c r="K202" s="25" t="n">
        <x:v>1</x:v>
      </x:c>
      <x:c r="L202" s="27" t="b">
        <x:v>0</x:v>
      </x:c>
      <x:c r="M202" s="25" t="str">
        <x:v>Deepseek-flash-v4/state/Round1/shards/Closure.json</x:v>
      </x:c>
      <x:c r="N202" s="25" t="str">
        <x:v>Deepseek-flash-v4/Result/Closure_62/result.json</x:v>
      </x:c>
      <x:c r="O202" s="25" t="str">
        <x:v>Deepseek-flash-v4/Result/Closure_62/result.json</x:v>
      </x:c>
      <x:c r="P202" t="str">
        <x:v>BOTH_NOT_RUN</x:v>
      </x:c>
      <x:c r="Q202" s="21" t="str"/>
      <x:c r="R202" s="21" t="str"/>
      <x:c r="S202" s="21" t="str"/>
      <x:c r="T202" s="17" t="str">
        <x:v>false</x:v>
      </x:c>
      <x:c r="U202" s="17" t="str">
        <x:v>true</x:v>
      </x:c>
      <x:c r="V202" s="17" t="str">
        <x:v>false</x:v>
      </x:c>
    </x:row>
    <x:row r="203" ht="80" customHeight="1">
      <x:c r="A203" s="25" t="str">
        <x:v>Closure</x:v>
      </x:c>
      <x:c r="B203" s="25" t="n">
        <x:v>64</x:v>
      </x:c>
      <x:c r="C203" s="25" t="str">
        <x:v>Round1</x:v>
      </x:c>
      <x:c r="D203" s="25" t="str">
        <x:v>NOT_AVAILABLE</x:v>
      </x:c>
      <x:c r="E203" s="25" t="str">
        <x:v>N/A</x:v>
      </x:c>
      <x:c r="F203" s="26" t="str">
        <x:v>Tests exist but current coverage did not complete</x:v>
      </x:c>
      <x:c r="G203" s="25" t="str">
        <x:v>true</x:v>
      </x:c>
      <x:c r="H203" s="25" t="str">
        <x:v>NOT_AVAILABLE</x:v>
      </x:c>
      <x:c r="I203" s="25" t="str">
        <x:v>NOT_RUN</x:v>
      </x:c>
      <x:c r="J203" s="25" t="str">
        <x:v>NOT_RUN</x:v>
      </x:c>
      <x:c r="K203" s="25" t="n">
        <x:v>1</x:v>
      </x:c>
      <x:c r="L203" s="27" t="b">
        <x:v>0</x:v>
      </x:c>
      <x:c r="M203" s="25" t="str">
        <x:v>Deepseek-flash-v4/state/Round1/shards/Closure.json</x:v>
      </x:c>
      <x:c r="N203" s="25" t="str">
        <x:v>Deepseek-flash-v4/Result/Closure_64/result.json</x:v>
      </x:c>
      <x:c r="O203" s="25" t="str">
        <x:v>Deepseek-flash-v4/Result/Closure_64/result.json</x:v>
      </x:c>
      <x:c r="P203" t="str">
        <x:v>BOTH_NOT_RUN</x:v>
      </x:c>
      <x:c r="Q203" s="21" t="str"/>
      <x:c r="R203" s="21" t="str"/>
      <x:c r="S203" s="21" t="str"/>
      <x:c r="T203" s="17" t="str">
        <x:v>false</x:v>
      </x:c>
      <x:c r="U203" s="17" t="str">
        <x:v>true</x:v>
      </x:c>
      <x:c r="V203" s="17" t="str">
        <x:v>false</x:v>
      </x:c>
    </x:row>
    <x:row r="204" ht="80" customHeight="1">
      <x:c r="A204" s="25" t="str">
        <x:v>Closure</x:v>
      </x:c>
      <x:c r="B204" s="25" t="n">
        <x:v>65</x:v>
      </x:c>
      <x:c r="C204" s="25" t="str">
        <x:v>Round1</x:v>
      </x:c>
      <x:c r="D204" s="25" t="str">
        <x:v>NOT_AVAILABLE</x:v>
      </x:c>
      <x:c r="E204" s="25" t="str">
        <x:v>N/A</x:v>
      </x:c>
      <x:c r="F204" s="26" t="str">
        <x:v>Tests exist but current coverage did not complete</x:v>
      </x:c>
      <x:c r="G204" s="25" t="str">
        <x:v>true</x:v>
      </x:c>
      <x:c r="H204" s="25" t="str">
        <x:v>NOT_AVAILABLE</x:v>
      </x:c>
      <x:c r="I204" s="25" t="str">
        <x:v>NOT_RUN</x:v>
      </x:c>
      <x:c r="J204" s="25" t="str">
        <x:v>NOT_RUN</x:v>
      </x:c>
      <x:c r="K204" s="25" t="n">
        <x:v>1</x:v>
      </x:c>
      <x:c r="L204" s="27" t="b">
        <x:v>0</x:v>
      </x:c>
      <x:c r="M204" s="25" t="str">
        <x:v>Deepseek-flash-v4/state/Round1/shards/Closure.json</x:v>
      </x:c>
      <x:c r="N204" s="25" t="str">
        <x:v>Deepseek-flash-v4/Result/Closure_65/result.json</x:v>
      </x:c>
      <x:c r="O204" s="25" t="str">
        <x:v>Deepseek-flash-v4/Result/Closure_65/result.json</x:v>
      </x:c>
      <x:c r="P204" t="str">
        <x:v>BOTH_NOT_RUN</x:v>
      </x:c>
      <x:c r="Q204" s="21" t="str"/>
      <x:c r="R204" s="21" t="str"/>
      <x:c r="S204" s="21" t="str"/>
      <x:c r="T204" s="17" t="str">
        <x:v>false</x:v>
      </x:c>
      <x:c r="U204" s="17" t="str">
        <x:v>true</x:v>
      </x:c>
      <x:c r="V204" s="17" t="str">
        <x:v>false</x:v>
      </x:c>
    </x:row>
    <x:row r="205" ht="80" customHeight="1">
      <x:c r="A205" s="25" t="str">
        <x:v>Closure</x:v>
      </x:c>
      <x:c r="B205" s="25" t="n">
        <x:v>66</x:v>
      </x:c>
      <x:c r="C205" s="25" t="str">
        <x:v>Round1</x:v>
      </x:c>
      <x:c r="D205" s="25" t="str">
        <x:v>NOT_AVAILABLE</x:v>
      </x:c>
      <x:c r="E205" s="25" t="str">
        <x:v>N/A</x:v>
      </x:c>
      <x:c r="F205" s="26" t="str">
        <x:v>Tests exist but current coverage did not complete</x:v>
      </x:c>
      <x:c r="G205" s="25" t="str">
        <x:v>true</x:v>
      </x:c>
      <x:c r="H205" s="25" t="str">
        <x:v>NOT_AVAILABLE</x:v>
      </x:c>
      <x:c r="I205" s="25" t="str">
        <x:v>NOT_RUN</x:v>
      </x:c>
      <x:c r="J205" s="25" t="str">
        <x:v>NOT_RUN</x:v>
      </x:c>
      <x:c r="K205" s="25" t="n">
        <x:v>1</x:v>
      </x:c>
      <x:c r="L205" s="27" t="b">
        <x:v>0</x:v>
      </x:c>
      <x:c r="M205" s="25" t="str">
        <x:v>Deepseek-flash-v4/state/Round1/shards/Closure.json</x:v>
      </x:c>
      <x:c r="N205" s="25" t="str">
        <x:v>Deepseek-flash-v4/Result/Closure_66/result.json</x:v>
      </x:c>
      <x:c r="O205" s="25" t="str">
        <x:v>Deepseek-flash-v4/Result/Closure_66/result.json</x:v>
      </x:c>
      <x:c r="P205" t="str">
        <x:v>BOTH_NOT_RUN</x:v>
      </x:c>
      <x:c r="Q205" s="21" t="str"/>
      <x:c r="R205" s="21" t="str"/>
      <x:c r="S205" s="21" t="str"/>
      <x:c r="T205" s="17" t="str">
        <x:v>false</x:v>
      </x:c>
      <x:c r="U205" s="17" t="str">
        <x:v>true</x:v>
      </x:c>
      <x:c r="V205" s="17" t="str">
        <x:v>false</x:v>
      </x:c>
    </x:row>
    <x:row r="206" ht="80" customHeight="1">
      <x:c r="A206" s="25" t="str">
        <x:v>Closure</x:v>
      </x:c>
      <x:c r="B206" s="25" t="n">
        <x:v>67</x:v>
      </x:c>
      <x:c r="C206" s="25" t="str">
        <x:v>Round1</x:v>
      </x:c>
      <x:c r="D206" s="25" t="str">
        <x:v>NOT_AVAILABLE</x:v>
      </x:c>
      <x:c r="E206" s="25" t="str">
        <x:v>N/A</x:v>
      </x:c>
      <x:c r="F206" s="26" t="str">
        <x:v>Tests exist but current coverage did not complete</x:v>
      </x:c>
      <x:c r="G206" s="25" t="str">
        <x:v>true</x:v>
      </x:c>
      <x:c r="H206" s="25" t="str">
        <x:v>NOT_AVAILABLE</x:v>
      </x:c>
      <x:c r="I206" s="25" t="str">
        <x:v>NOT_RUN</x:v>
      </x:c>
      <x:c r="J206" s="25" t="str">
        <x:v>NOT_RUN</x:v>
      </x:c>
      <x:c r="K206" s="25" t="n">
        <x:v>1</x:v>
      </x:c>
      <x:c r="L206" s="27" t="b">
        <x:v>0</x:v>
      </x:c>
      <x:c r="M206" s="25" t="str">
        <x:v>Deepseek-flash-v4/state/Round1/shards/Closure.json</x:v>
      </x:c>
      <x:c r="N206" s="25" t="str">
        <x:v>Deepseek-flash-v4/Result/Closure_67/result.json</x:v>
      </x:c>
      <x:c r="O206" s="25" t="str">
        <x:v>Deepseek-flash-v4/Result/Closure_67/result.json</x:v>
      </x:c>
      <x:c r="P206" t="str">
        <x:v>BOTH_NOT_RUN</x:v>
      </x:c>
      <x:c r="Q206" s="21" t="str"/>
      <x:c r="R206" s="21" t="str"/>
      <x:c r="S206" s="21" t="str"/>
      <x:c r="T206" s="17" t="str">
        <x:v>false</x:v>
      </x:c>
      <x:c r="U206" s="17" t="str">
        <x:v>true</x:v>
      </x:c>
      <x:c r="V206" s="17" t="str">
        <x:v>false</x:v>
      </x:c>
    </x:row>
    <x:row r="207" ht="80" customHeight="1">
      <x:c r="A207" s="25" t="str">
        <x:v>Closure</x:v>
      </x:c>
      <x:c r="B207" s="25" t="n">
        <x:v>68</x:v>
      </x:c>
      <x:c r="C207" s="25" t="str">
        <x:v>Round1</x:v>
      </x:c>
      <x:c r="D207" s="25" t="str">
        <x:v>NOT_AVAILABLE</x:v>
      </x:c>
      <x:c r="E207" s="25" t="str">
        <x:v>N/A</x:v>
      </x:c>
      <x:c r="F207" s="26" t="str">
        <x:v>Tests exist but current coverage did not complete</x:v>
      </x:c>
      <x:c r="G207" s="25" t="str">
        <x:v>true</x:v>
      </x:c>
      <x:c r="H207" s="25" t="str">
        <x:v>NOT_AVAILABLE</x:v>
      </x:c>
      <x:c r="I207" s="25" t="str">
        <x:v>NOT_RUN</x:v>
      </x:c>
      <x:c r="J207" s="25" t="str">
        <x:v>NOT_RUN</x:v>
      </x:c>
      <x:c r="K207" s="25" t="n">
        <x:v>1</x:v>
      </x:c>
      <x:c r="L207" s="27" t="b">
        <x:v>0</x:v>
      </x:c>
      <x:c r="M207" s="25" t="str">
        <x:v>Deepseek-flash-v4/state/Round1/shards/Closure.json</x:v>
      </x:c>
      <x:c r="N207" s="25" t="str">
        <x:v>Deepseek-flash-v4/Result/Closure_68/result.json</x:v>
      </x:c>
      <x:c r="O207" s="25" t="str">
        <x:v>Deepseek-flash-v4/Result/Closure_68/result.json</x:v>
      </x:c>
      <x:c r="P207" t="str">
        <x:v>BOTH_NOT_RUN</x:v>
      </x:c>
      <x:c r="Q207" s="21" t="str"/>
      <x:c r="R207" s="21" t="str"/>
      <x:c r="S207" s="21" t="str"/>
      <x:c r="T207" s="17" t="str">
        <x:v>false</x:v>
      </x:c>
      <x:c r="U207" s="17" t="str">
        <x:v>true</x:v>
      </x:c>
      <x:c r="V207" s="17" t="str">
        <x:v>false</x:v>
      </x:c>
    </x:row>
    <x:row r="208" ht="80" customHeight="1">
      <x:c r="A208" s="25" t="str">
        <x:v>Closure</x:v>
      </x:c>
      <x:c r="B208" s="25" t="n">
        <x:v>69</x:v>
      </x:c>
      <x:c r="C208" s="25" t="str">
        <x:v>Round1</x:v>
      </x:c>
      <x:c r="D208" s="25" t="str">
        <x:v>NOT_AVAILABLE</x:v>
      </x:c>
      <x:c r="E208" s="25" t="str">
        <x:v>N/A</x:v>
      </x:c>
      <x:c r="F208" s="26" t="str">
        <x:v>Tests exist but current coverage did not complete</x:v>
      </x:c>
      <x:c r="G208" s="25" t="str">
        <x:v>true</x:v>
      </x:c>
      <x:c r="H208" s="25" t="str">
        <x:v>NOT_AVAILABLE</x:v>
      </x:c>
      <x:c r="I208" s="25" t="str">
        <x:v>NOT_RUN</x:v>
      </x:c>
      <x:c r="J208" s="25" t="str">
        <x:v>NOT_RUN</x:v>
      </x:c>
      <x:c r="K208" s="25" t="n">
        <x:v>1</x:v>
      </x:c>
      <x:c r="L208" s="27" t="b">
        <x:v>0</x:v>
      </x:c>
      <x:c r="M208" s="25" t="str">
        <x:v>Deepseek-flash-v4/state/Round1/shards/Closure.json</x:v>
      </x:c>
      <x:c r="N208" s="25" t="str">
        <x:v>Deepseek-flash-v4/Result/Closure_69/result.json</x:v>
      </x:c>
      <x:c r="O208" s="25" t="str">
        <x:v>Deepseek-flash-v4/Result/Closure_69/result.json</x:v>
      </x:c>
      <x:c r="P208" t="str">
        <x:v>BOTH_NOT_RUN</x:v>
      </x:c>
      <x:c r="Q208" s="21" t="str"/>
      <x:c r="R208" s="21" t="str"/>
      <x:c r="S208" s="21" t="str"/>
      <x:c r="T208" s="17" t="str">
        <x:v>false</x:v>
      </x:c>
      <x:c r="U208" s="17" t="str">
        <x:v>true</x:v>
      </x:c>
      <x:c r="V208" s="17" t="str">
        <x:v>false</x:v>
      </x:c>
    </x:row>
    <x:row r="209" ht="80" customHeight="1">
      <x:c r="A209" s="25" t="str">
        <x:v>Closure</x:v>
      </x:c>
      <x:c r="B209" s="25" t="n">
        <x:v>7</x:v>
      </x:c>
      <x:c r="C209" s="25" t="str">
        <x:v>Round1</x:v>
      </x:c>
      <x:c r="D209" s="25" t="str">
        <x:v>NOT_AVAILABLE</x:v>
      </x:c>
      <x:c r="E209" s="25" t="str">
        <x:v>N/A</x:v>
      </x:c>
      <x:c r="F209" s="26" t="str">
        <x:v>Tests exist but current coverage did not complete</x:v>
      </x:c>
      <x:c r="G209" s="25" t="str">
        <x:v>true</x:v>
      </x:c>
      <x:c r="H209" s="25" t="str">
        <x:v>NOT_AVAILABLE</x:v>
      </x:c>
      <x:c r="I209" s="25" t="str">
        <x:v>NOT_RUN</x:v>
      </x:c>
      <x:c r="J209" s="25" t="str">
        <x:v>NOT_RUN</x:v>
      </x:c>
      <x:c r="K209" s="25" t="n">
        <x:v>1</x:v>
      </x:c>
      <x:c r="L209" s="27" t="b">
        <x:v>0</x:v>
      </x:c>
      <x:c r="M209" s="25" t="str">
        <x:v>Deepseek-flash-v4/state/Round1/shards/Closure.json</x:v>
      </x:c>
      <x:c r="N209" s="25" t="str">
        <x:v>Deepseek-flash-v4/Result/Closure_7/result.json</x:v>
      </x:c>
      <x:c r="O209" s="25" t="str">
        <x:v>Deepseek-flash-v4/Result/Closure_7/result.json</x:v>
      </x:c>
      <x:c r="P209" t="str">
        <x:v>BOTH_NOT_RUN</x:v>
      </x:c>
      <x:c r="Q209" s="21" t="str"/>
      <x:c r="R209" s="21" t="str"/>
      <x:c r="S209" s="21" t="str"/>
      <x:c r="T209" s="17" t="str">
        <x:v>false</x:v>
      </x:c>
      <x:c r="U209" s="17" t="str">
        <x:v>true</x:v>
      </x:c>
      <x:c r="V209" s="17" t="str">
        <x:v>false</x:v>
      </x:c>
    </x:row>
    <x:row r="210" ht="80" customHeight="1">
      <x:c r="A210" s="25" t="str">
        <x:v>Closure</x:v>
      </x:c>
      <x:c r="B210" s="25" t="n">
        <x:v>70</x:v>
      </x:c>
      <x:c r="C210" s="25" t="str">
        <x:v>Round1</x:v>
      </x:c>
      <x:c r="D210" s="25" t="str">
        <x:v>NOT_AVAILABLE</x:v>
      </x:c>
      <x:c r="E210" s="25" t="str">
        <x:v>N/A</x:v>
      </x:c>
      <x:c r="F210" s="26" t="str">
        <x:v>Tests exist but current coverage did not complete</x:v>
      </x:c>
      <x:c r="G210" s="25" t="str">
        <x:v>true</x:v>
      </x:c>
      <x:c r="H210" s="25" t="str">
        <x:v>NOT_AVAILABLE</x:v>
      </x:c>
      <x:c r="I210" s="25" t="str">
        <x:v>NOT_RUN</x:v>
      </x:c>
      <x:c r="J210" s="25" t="str">
        <x:v>NOT_RUN</x:v>
      </x:c>
      <x:c r="K210" s="25" t="n">
        <x:v>1</x:v>
      </x:c>
      <x:c r="L210" s="27" t="b">
        <x:v>0</x:v>
      </x:c>
      <x:c r="M210" s="25" t="str">
        <x:v>Deepseek-flash-v4/state/Round1/shards/Closure.json</x:v>
      </x:c>
      <x:c r="N210" s="25" t="str">
        <x:v>Deepseek-flash-v4/Result/Closure_70/result.json</x:v>
      </x:c>
      <x:c r="O210" s="25" t="str">
        <x:v>Deepseek-flash-v4/Result/Closure_70/result.json</x:v>
      </x:c>
      <x:c r="P210" t="str">
        <x:v>BOTH_NOT_RUN</x:v>
      </x:c>
      <x:c r="Q210" s="21" t="str"/>
      <x:c r="R210" s="21" t="str"/>
      <x:c r="S210" s="21" t="str"/>
      <x:c r="T210" s="17" t="str">
        <x:v>false</x:v>
      </x:c>
      <x:c r="U210" s="17" t="str">
        <x:v>true</x:v>
      </x:c>
      <x:c r="V210" s="17" t="str">
        <x:v>false</x:v>
      </x:c>
    </x:row>
    <x:row r="211" ht="80" customHeight="1">
      <x:c r="A211" s="25" t="str">
        <x:v>Closure</x:v>
      </x:c>
      <x:c r="B211" s="25" t="n">
        <x:v>71</x:v>
      </x:c>
      <x:c r="C211" s="25" t="str">
        <x:v>Round1</x:v>
      </x:c>
      <x:c r="D211" s="25" t="str">
        <x:v>NOT_AVAILABLE</x:v>
      </x:c>
      <x:c r="E211" s="25" t="str">
        <x:v>N/A</x:v>
      </x:c>
      <x:c r="F211" s="26" t="str">
        <x:v>Tests exist but current coverage did not complete</x:v>
      </x:c>
      <x:c r="G211" s="25" t="str">
        <x:v>true</x:v>
      </x:c>
      <x:c r="H211" s="25" t="str">
        <x:v>NOT_AVAILABLE</x:v>
      </x:c>
      <x:c r="I211" s="25" t="str">
        <x:v>NOT_RUN</x:v>
      </x:c>
      <x:c r="J211" s="25" t="str">
        <x:v>NOT_RUN</x:v>
      </x:c>
      <x:c r="K211" s="25" t="n">
        <x:v>1</x:v>
      </x:c>
      <x:c r="L211" s="27" t="b">
        <x:v>0</x:v>
      </x:c>
      <x:c r="M211" s="25" t="str">
        <x:v>Deepseek-flash-v4/state/Round1/shards/Closure.json</x:v>
      </x:c>
      <x:c r="N211" s="25" t="str">
        <x:v>Deepseek-flash-v4/Result/Closure_71/result.json</x:v>
      </x:c>
      <x:c r="O211" s="25" t="str">
        <x:v>Deepseek-flash-v4/Result/Closure_71/result.json</x:v>
      </x:c>
      <x:c r="P211" t="str">
        <x:v>BOTH_NOT_RUN</x:v>
      </x:c>
      <x:c r="Q211" s="21" t="str"/>
      <x:c r="R211" s="21" t="str"/>
      <x:c r="S211" s="21" t="str"/>
      <x:c r="T211" s="17" t="str">
        <x:v>false</x:v>
      </x:c>
      <x:c r="U211" s="17" t="str">
        <x:v>true</x:v>
      </x:c>
      <x:c r="V211" s="17" t="str">
        <x:v>false</x:v>
      </x:c>
    </x:row>
    <x:row r="212" ht="80" customHeight="1">
      <x:c r="A212" s="25" t="str">
        <x:v>Closure</x:v>
      </x:c>
      <x:c r="B212" s="25" t="n">
        <x:v>72</x:v>
      </x:c>
      <x:c r="C212" s="25" t="str">
        <x:v>Round1</x:v>
      </x:c>
      <x:c r="D212" s="25" t="str">
        <x:v>NOT_AVAILABLE</x:v>
      </x:c>
      <x:c r="E212" s="25" t="str">
        <x:v>N/A</x:v>
      </x:c>
      <x:c r="F212" s="26" t="str">
        <x:v>Tests exist but current coverage did not complete</x:v>
      </x:c>
      <x:c r="G212" s="25" t="str">
        <x:v>true</x:v>
      </x:c>
      <x:c r="H212" s="25" t="str">
        <x:v>NOT_AVAILABLE</x:v>
      </x:c>
      <x:c r="I212" s="25" t="str">
        <x:v>NOT_RUN</x:v>
      </x:c>
      <x:c r="J212" s="25" t="str">
        <x:v>NOT_RUN</x:v>
      </x:c>
      <x:c r="K212" s="25" t="n">
        <x:v>2</x:v>
      </x:c>
      <x:c r="L212" s="27" t="b">
        <x:v>0</x:v>
      </x:c>
      <x:c r="M212" s="25" t="str">
        <x:v>Deepseek-flash-v4/state/Round1/shards/Closure.json</x:v>
      </x:c>
      <x:c r="N212" s="25" t="str">
        <x:v>Deepseek-flash-v4/Result/Closure_72/result.json</x:v>
      </x:c>
      <x:c r="O212" s="25" t="str">
        <x:v>Deepseek-flash-v4/Result/Closure_72/result.json</x:v>
      </x:c>
      <x:c r="P212" t="str">
        <x:v>BOTH_NOT_RUN</x:v>
      </x:c>
      <x:c r="Q212" s="21" t="str"/>
      <x:c r="R212" s="21" t="str"/>
      <x:c r="S212" s="21" t="str"/>
      <x:c r="T212" s="17" t="str">
        <x:v>false</x:v>
      </x:c>
      <x:c r="U212" s="17" t="str">
        <x:v>true</x:v>
      </x:c>
      <x:c r="V212" s="17" t="str">
        <x:v>false</x:v>
      </x:c>
    </x:row>
    <x:row r="213" ht="80" customHeight="1">
      <x:c r="A213" s="25" t="str">
        <x:v>Closure</x:v>
      </x:c>
      <x:c r="B213" s="25" t="n">
        <x:v>73</x:v>
      </x:c>
      <x:c r="C213" s="25" t="str">
        <x:v>Round1</x:v>
      </x:c>
      <x:c r="D213" s="25" t="str">
        <x:v>NOT_AVAILABLE</x:v>
      </x:c>
      <x:c r="E213" s="25" t="str">
        <x:v>N/A</x:v>
      </x:c>
      <x:c r="F213" s="26" t="str">
        <x:v>Tests exist but current coverage did not complete</x:v>
      </x:c>
      <x:c r="G213" s="25" t="str">
        <x:v>true</x:v>
      </x:c>
      <x:c r="H213" s="25" t="str">
        <x:v>NOT_AVAILABLE</x:v>
      </x:c>
      <x:c r="I213" s="25" t="str">
        <x:v>NOT_RUN</x:v>
      </x:c>
      <x:c r="J213" s="25" t="str">
        <x:v>NOT_RUN</x:v>
      </x:c>
      <x:c r="K213" s="25" t="n">
        <x:v>1</x:v>
      </x:c>
      <x:c r="L213" s="27" t="b">
        <x:v>0</x:v>
      </x:c>
      <x:c r="M213" s="25" t="str">
        <x:v>Deepseek-flash-v4/state/Round1/shards/Closure.json</x:v>
      </x:c>
      <x:c r="N213" s="25" t="str">
        <x:v>Deepseek-flash-v4/Result/Closure_73/result.json</x:v>
      </x:c>
      <x:c r="O213" s="25" t="str">
        <x:v>Deepseek-flash-v4/Result/Closure_73/result.json</x:v>
      </x:c>
      <x:c r="P213" t="str">
        <x:v>BOTH_NOT_RUN</x:v>
      </x:c>
      <x:c r="Q213" s="21" t="str"/>
      <x:c r="R213" s="21" t="str"/>
      <x:c r="S213" s="21" t="str"/>
      <x:c r="T213" s="17" t="str">
        <x:v>false</x:v>
      </x:c>
      <x:c r="U213" s="17" t="str">
        <x:v>true</x:v>
      </x:c>
      <x:c r="V213" s="17" t="str">
        <x:v>false</x:v>
      </x:c>
    </x:row>
    <x:row r="214" ht="80" customHeight="1">
      <x:c r="A214" s="25" t="str">
        <x:v>Closure</x:v>
      </x:c>
      <x:c r="B214" s="25" t="n">
        <x:v>74</x:v>
      </x:c>
      <x:c r="C214" s="25" t="str">
        <x:v>Round1</x:v>
      </x:c>
      <x:c r="D214" s="25" t="str">
        <x:v>NOT_AVAILABLE</x:v>
      </x:c>
      <x:c r="E214" s="25" t="str">
        <x:v>N/A</x:v>
      </x:c>
      <x:c r="F214" s="26" t="str">
        <x:v>Tests exist but current coverage did not complete</x:v>
      </x:c>
      <x:c r="G214" s="25" t="str">
        <x:v>true</x:v>
      </x:c>
      <x:c r="H214" s="25" t="str">
        <x:v>NOT_AVAILABLE</x:v>
      </x:c>
      <x:c r="I214" s="25" t="str">
        <x:v>NOT_RUN</x:v>
      </x:c>
      <x:c r="J214" s="25" t="str">
        <x:v>NOT_RUN</x:v>
      </x:c>
      <x:c r="K214" s="25" t="n">
        <x:v>1</x:v>
      </x:c>
      <x:c r="L214" s="27" t="b">
        <x:v>0</x:v>
      </x:c>
      <x:c r="M214" s="25" t="str">
        <x:v>Deepseek-flash-v4/state/Round1/shards/Closure.json</x:v>
      </x:c>
      <x:c r="N214" s="25" t="str">
        <x:v>Deepseek-flash-v4/Result/Closure_74/result.json</x:v>
      </x:c>
      <x:c r="O214" s="25" t="str">
        <x:v>Deepseek-flash-v4/Result/Closure_74/result.json</x:v>
      </x:c>
      <x:c r="P214" t="str">
        <x:v>BOTH_NOT_RUN</x:v>
      </x:c>
      <x:c r="Q214" s="21" t="str"/>
      <x:c r="R214" s="21" t="str"/>
      <x:c r="S214" s="21" t="str"/>
      <x:c r="T214" s="17" t="str">
        <x:v>false</x:v>
      </x:c>
      <x:c r="U214" s="17" t="str">
        <x:v>true</x:v>
      </x:c>
      <x:c r="V214" s="17" t="str">
        <x:v>false</x:v>
      </x:c>
    </x:row>
    <x:row r="215" ht="80" customHeight="1">
      <x:c r="A215" s="25" t="str">
        <x:v>Closure</x:v>
      </x:c>
      <x:c r="B215" s="25" t="n">
        <x:v>75</x:v>
      </x:c>
      <x:c r="C215" s="25" t="str">
        <x:v>Round1</x:v>
      </x:c>
      <x:c r="D215" s="25" t="str">
        <x:v>NOT_AVAILABLE</x:v>
      </x:c>
      <x:c r="E215" s="25" t="str">
        <x:v>N/A</x:v>
      </x:c>
      <x:c r="F215" s="26" t="str">
        <x:v>Tests exist but current coverage did not complete</x:v>
      </x:c>
      <x:c r="G215" s="25" t="str">
        <x:v>true</x:v>
      </x:c>
      <x:c r="H215" s="25" t="str">
        <x:v>NOT_AVAILABLE</x:v>
      </x:c>
      <x:c r="I215" s="25" t="str">
        <x:v>NOT_RUN</x:v>
      </x:c>
      <x:c r="J215" s="25" t="str">
        <x:v>NOT_RUN</x:v>
      </x:c>
      <x:c r="K215" s="25" t="n">
        <x:v>1</x:v>
      </x:c>
      <x:c r="L215" s="27" t="b">
        <x:v>0</x:v>
      </x:c>
      <x:c r="M215" s="25" t="str">
        <x:v>Deepseek-flash-v4/state/Round1/shards/Closure.json</x:v>
      </x:c>
      <x:c r="N215" s="25" t="str">
        <x:v>Deepseek-flash-v4/Result/Closure_75/result.json</x:v>
      </x:c>
      <x:c r="O215" s="25" t="str">
        <x:v>Deepseek-flash-v4/Result/Closure_75/result.json</x:v>
      </x:c>
      <x:c r="P215" t="str">
        <x:v>BOTH_NOT_RUN</x:v>
      </x:c>
      <x:c r="Q215" s="21" t="str"/>
      <x:c r="R215" s="21" t="str"/>
      <x:c r="S215" s="21" t="str"/>
      <x:c r="T215" s="17" t="str">
        <x:v>false</x:v>
      </x:c>
      <x:c r="U215" s="17" t="str">
        <x:v>true</x:v>
      </x:c>
      <x:c r="V215" s="17" t="str">
        <x:v>false</x:v>
      </x:c>
    </x:row>
    <x:row r="216" ht="80" customHeight="1">
      <x:c r="A216" s="25" t="str">
        <x:v>Closure</x:v>
      </x:c>
      <x:c r="B216" s="25" t="n">
        <x:v>76</x:v>
      </x:c>
      <x:c r="C216" s="25" t="str">
        <x:v>Round1</x:v>
      </x:c>
      <x:c r="D216" s="25" t="str">
        <x:v>NOT_AVAILABLE</x:v>
      </x:c>
      <x:c r="E216" s="25" t="str">
        <x:v>N/A</x:v>
      </x:c>
      <x:c r="F216" s="26" t="str">
        <x:v>Tests exist but current coverage did not complete</x:v>
      </x:c>
      <x:c r="G216" s="25" t="str">
        <x:v>true</x:v>
      </x:c>
      <x:c r="H216" s="25" t="str">
        <x:v>NOT_AVAILABLE</x:v>
      </x:c>
      <x:c r="I216" s="25" t="str">
        <x:v>NOT_RUN</x:v>
      </x:c>
      <x:c r="J216" s="25" t="str">
        <x:v>NOT_RUN</x:v>
      </x:c>
      <x:c r="K216" s="25" t="n">
        <x:v>1</x:v>
      </x:c>
      <x:c r="L216" s="27" t="b">
        <x:v>0</x:v>
      </x:c>
      <x:c r="M216" s="25" t="str">
        <x:v>Deepseek-flash-v4/state/Round1/shards/Closure.json</x:v>
      </x:c>
      <x:c r="N216" s="25" t="str">
        <x:v>Deepseek-flash-v4/Result/Closure_76/result.json</x:v>
      </x:c>
      <x:c r="O216" s="25" t="str">
        <x:v>Deepseek-flash-v4/Result/Closure_76/result.json</x:v>
      </x:c>
      <x:c r="P216" t="str">
        <x:v>BOTH_NOT_RUN</x:v>
      </x:c>
      <x:c r="Q216" s="21" t="str"/>
      <x:c r="R216" s="21" t="str"/>
      <x:c r="S216" s="21" t="str"/>
      <x:c r="T216" s="17" t="str">
        <x:v>false</x:v>
      </x:c>
      <x:c r="U216" s="17" t="str">
        <x:v>true</x:v>
      </x:c>
      <x:c r="V216" s="17" t="str">
        <x:v>false</x:v>
      </x:c>
    </x:row>
    <x:row r="217" ht="80" customHeight="1">
      <x:c r="A217" s="25" t="str">
        <x:v>Closure</x:v>
      </x:c>
      <x:c r="B217" s="25" t="n">
        <x:v>77</x:v>
      </x:c>
      <x:c r="C217" s="25" t="str">
        <x:v>Round1</x:v>
      </x:c>
      <x:c r="D217" s="25" t="str">
        <x:v>NOT_AVAILABLE</x:v>
      </x:c>
      <x:c r="E217" s="25" t="str">
        <x:v>N/A</x:v>
      </x:c>
      <x:c r="F217" s="26" t="str">
        <x:v>Tests exist but current coverage did not complete</x:v>
      </x:c>
      <x:c r="G217" s="25" t="str">
        <x:v>true</x:v>
      </x:c>
      <x:c r="H217" s="25" t="str">
        <x:v>NOT_AVAILABLE</x:v>
      </x:c>
      <x:c r="I217" s="25" t="str">
        <x:v>NOT_RUN</x:v>
      </x:c>
      <x:c r="J217" s="25" t="str">
        <x:v>NOT_RUN</x:v>
      </x:c>
      <x:c r="K217" s="25" t="n">
        <x:v>1</x:v>
      </x:c>
      <x:c r="L217" s="27" t="b">
        <x:v>0</x:v>
      </x:c>
      <x:c r="M217" s="25" t="str">
        <x:v>Deepseek-flash-v4/state/Round1/shards/Closure.json</x:v>
      </x:c>
      <x:c r="N217" s="25" t="str">
        <x:v>Deepseek-flash-v4/Result/Closure_77/result.json</x:v>
      </x:c>
      <x:c r="O217" s="25" t="str">
        <x:v>Deepseek-flash-v4/Result/Closure_77/result.json</x:v>
      </x:c>
      <x:c r="P217" t="str">
        <x:v>BOTH_NOT_RUN</x:v>
      </x:c>
      <x:c r="Q217" s="21" t="str"/>
      <x:c r="R217" s="21" t="str"/>
      <x:c r="S217" s="21" t="str"/>
      <x:c r="T217" s="17" t="str">
        <x:v>false</x:v>
      </x:c>
      <x:c r="U217" s="17" t="str">
        <x:v>true</x:v>
      </x:c>
      <x:c r="V217" s="17" t="str">
        <x:v>false</x:v>
      </x:c>
    </x:row>
    <x:row r="218" ht="80" customHeight="1">
      <x:c r="A218" s="25" t="str">
        <x:v>Closure</x:v>
      </x:c>
      <x:c r="B218" s="25" t="n">
        <x:v>78</x:v>
      </x:c>
      <x:c r="C218" s="25" t="str">
        <x:v>Round1</x:v>
      </x:c>
      <x:c r="D218" s="25" t="str">
        <x:v>NOT_AVAILABLE</x:v>
      </x:c>
      <x:c r="E218" s="25" t="str">
        <x:v>N/A</x:v>
      </x:c>
      <x:c r="F218" s="26" t="str">
        <x:v>Tests exist but current coverage did not complete</x:v>
      </x:c>
      <x:c r="G218" s="25" t="str">
        <x:v>true</x:v>
      </x:c>
      <x:c r="H218" s="25" t="str">
        <x:v>NOT_AVAILABLE</x:v>
      </x:c>
      <x:c r="I218" s="25" t="str">
        <x:v>NOT_RUN</x:v>
      </x:c>
      <x:c r="J218" s="25" t="str">
        <x:v>NOT_RUN</x:v>
      </x:c>
      <x:c r="K218" s="25" t="n">
        <x:v>1</x:v>
      </x:c>
      <x:c r="L218" s="27" t="b">
        <x:v>0</x:v>
      </x:c>
      <x:c r="M218" s="25" t="str">
        <x:v>Deepseek-flash-v4/state/Round1/shards/Closure.json</x:v>
      </x:c>
      <x:c r="N218" s="25" t="str">
        <x:v>Deepseek-flash-v4/Result/Closure_78/result.json</x:v>
      </x:c>
      <x:c r="O218" s="25" t="str">
        <x:v>Deepseek-flash-v4/Result/Closure_78/result.json</x:v>
      </x:c>
      <x:c r="P218" t="str">
        <x:v>BOTH_NOT_RUN</x:v>
      </x:c>
      <x:c r="Q218" s="21" t="str"/>
      <x:c r="R218" s="21" t="str"/>
      <x:c r="S218" s="21" t="str"/>
      <x:c r="T218" s="17" t="str">
        <x:v>false</x:v>
      </x:c>
      <x:c r="U218" s="17" t="str">
        <x:v>true</x:v>
      </x:c>
      <x:c r="V218" s="17" t="str">
        <x:v>false</x:v>
      </x:c>
    </x:row>
    <x:row r="219" ht="80" customHeight="1">
      <x:c r="A219" s="25" t="str">
        <x:v>Closure</x:v>
      </x:c>
      <x:c r="B219" s="25" t="n">
        <x:v>79</x:v>
      </x:c>
      <x:c r="C219" s="25" t="str">
        <x:v>Round1</x:v>
      </x:c>
      <x:c r="D219" s="25" t="str">
        <x:v>NOT_AVAILABLE</x:v>
      </x:c>
      <x:c r="E219" s="25" t="str">
        <x:v>N/A</x:v>
      </x:c>
      <x:c r="F219" s="26" t="str">
        <x:v>Tests exist but current coverage did not complete</x:v>
      </x:c>
      <x:c r="G219" s="25" t="str">
        <x:v>true</x:v>
      </x:c>
      <x:c r="H219" s="25" t="str">
        <x:v>NOT_AVAILABLE</x:v>
      </x:c>
      <x:c r="I219" s="25" t="str">
        <x:v>NOT_RUN</x:v>
      </x:c>
      <x:c r="J219" s="25" t="str">
        <x:v>NOT_RUN</x:v>
      </x:c>
      <x:c r="K219" s="25" t="n">
        <x:v>2</x:v>
      </x:c>
      <x:c r="L219" s="27" t="b">
        <x:v>0</x:v>
      </x:c>
      <x:c r="M219" s="25" t="str">
        <x:v>Deepseek-flash-v4/state/Round1/shards/Closure.json</x:v>
      </x:c>
      <x:c r="N219" s="25" t="str">
        <x:v>Deepseek-flash-v4/Result/Closure_79/result.json</x:v>
      </x:c>
      <x:c r="O219" s="25" t="str">
        <x:v>Deepseek-flash-v4/Result/Closure_79/result.json</x:v>
      </x:c>
      <x:c r="P219" t="str">
        <x:v>BOTH_NOT_RUN</x:v>
      </x:c>
      <x:c r="Q219" s="21" t="str"/>
      <x:c r="R219" s="21" t="str"/>
      <x:c r="S219" s="21" t="str"/>
      <x:c r="T219" s="17" t="str">
        <x:v>false</x:v>
      </x:c>
      <x:c r="U219" s="17" t="str">
        <x:v>true</x:v>
      </x:c>
      <x:c r="V219" s="17" t="str">
        <x:v>false</x:v>
      </x:c>
    </x:row>
    <x:row r="220" ht="80" customHeight="1">
      <x:c r="A220" s="25" t="str">
        <x:v>Closure</x:v>
      </x:c>
      <x:c r="B220" s="25" t="n">
        <x:v>8</x:v>
      </x:c>
      <x:c r="C220" s="25" t="str">
        <x:v>Round1</x:v>
      </x:c>
      <x:c r="D220" s="25" t="str">
        <x:v>NOT_AVAILABLE</x:v>
      </x:c>
      <x:c r="E220" s="25" t="str">
        <x:v>N/A</x:v>
      </x:c>
      <x:c r="F220" s="26" t="str">
        <x:v>Tests exist but current coverage did not complete</x:v>
      </x:c>
      <x:c r="G220" s="25" t="str">
        <x:v>true</x:v>
      </x:c>
      <x:c r="H220" s="25" t="str">
        <x:v>NOT_AVAILABLE</x:v>
      </x:c>
      <x:c r="I220" s="25" t="str">
        <x:v>NOT_RUN</x:v>
      </x:c>
      <x:c r="J220" s="25" t="str">
        <x:v>NOT_RUN</x:v>
      </x:c>
      <x:c r="K220" s="25" t="n">
        <x:v>1</x:v>
      </x:c>
      <x:c r="L220" s="27" t="b">
        <x:v>0</x:v>
      </x:c>
      <x:c r="M220" s="25" t="str">
        <x:v>Deepseek-flash-v4/state/Round1/shards/Closure.json</x:v>
      </x:c>
      <x:c r="N220" s="25" t="str">
        <x:v>Deepseek-flash-v4/Result/Closure_8/result.json</x:v>
      </x:c>
      <x:c r="O220" s="25" t="str">
        <x:v>Deepseek-flash-v4/Result/Closure_8/result.json</x:v>
      </x:c>
      <x:c r="P220" t="str">
        <x:v>BOTH_NOT_RUN</x:v>
      </x:c>
      <x:c r="Q220" s="21" t="str"/>
      <x:c r="R220" s="21" t="str"/>
      <x:c r="S220" s="21" t="str"/>
      <x:c r="T220" s="17" t="str">
        <x:v>false</x:v>
      </x:c>
      <x:c r="U220" s="17" t="str">
        <x:v>true</x:v>
      </x:c>
      <x:c r="V220" s="17" t="str">
        <x:v>false</x:v>
      </x:c>
    </x:row>
    <x:row r="221" ht="80" customHeight="1">
      <x:c r="A221" s="25" t="str">
        <x:v>Closure</x:v>
      </x:c>
      <x:c r="B221" s="25" t="n">
        <x:v>80</x:v>
      </x:c>
      <x:c r="C221" s="25" t="str">
        <x:v>Round1</x:v>
      </x:c>
      <x:c r="D221" s="25" t="str">
        <x:v>NOT_AVAILABLE</x:v>
      </x:c>
      <x:c r="E221" s="25" t="str">
        <x:v>N/A</x:v>
      </x:c>
      <x:c r="F221" s="26" t="str">
        <x:v>Tests exist but current coverage did not complete</x:v>
      </x:c>
      <x:c r="G221" s="25" t="str">
        <x:v>true</x:v>
      </x:c>
      <x:c r="H221" s="25" t="str">
        <x:v>NOT_AVAILABLE</x:v>
      </x:c>
      <x:c r="I221" s="25" t="str">
        <x:v>NOT_RUN</x:v>
      </x:c>
      <x:c r="J221" s="25" t="str">
        <x:v>NOT_RUN</x:v>
      </x:c>
      <x:c r="K221" s="25" t="n">
        <x:v>1</x:v>
      </x:c>
      <x:c r="L221" s="27" t="b">
        <x:v>0</x:v>
      </x:c>
      <x:c r="M221" s="25" t="str">
        <x:v>Deepseek-flash-v4/state/Round1/shards/Closure.json</x:v>
      </x:c>
      <x:c r="N221" s="25" t="str">
        <x:v>Deepseek-flash-v4/Result/Closure_80/result.json</x:v>
      </x:c>
      <x:c r="O221" s="25" t="str">
        <x:v>Deepseek-flash-v4/Result/Closure_80/result.json</x:v>
      </x:c>
      <x:c r="P221" t="str">
        <x:v>BOTH_NOT_RUN</x:v>
      </x:c>
      <x:c r="Q221" s="21" t="str"/>
      <x:c r="R221" s="21" t="str"/>
      <x:c r="S221" s="21" t="str"/>
      <x:c r="T221" s="17" t="str">
        <x:v>false</x:v>
      </x:c>
      <x:c r="U221" s="17" t="str">
        <x:v>true</x:v>
      </x:c>
      <x:c r="V221" s="17" t="str">
        <x:v>false</x:v>
      </x:c>
    </x:row>
    <x:row r="222" ht="80" customHeight="1">
      <x:c r="A222" s="25" t="str">
        <x:v>Closure</x:v>
      </x:c>
      <x:c r="B222" s="25" t="n">
        <x:v>81</x:v>
      </x:c>
      <x:c r="C222" s="25" t="str">
        <x:v>Round1</x:v>
      </x:c>
      <x:c r="D222" s="25" t="str">
        <x:v>NOT_AVAILABLE</x:v>
      </x:c>
      <x:c r="E222" s="25" t="str">
        <x:v>N/A</x:v>
      </x:c>
      <x:c r="F222" s="26" t="str">
        <x:v>Tests exist but current coverage did not complete</x:v>
      </x:c>
      <x:c r="G222" s="25" t="str">
        <x:v>true</x:v>
      </x:c>
      <x:c r="H222" s="25" t="str">
        <x:v>NOT_AVAILABLE</x:v>
      </x:c>
      <x:c r="I222" s="25" t="str">
        <x:v>NOT_RUN</x:v>
      </x:c>
      <x:c r="J222" s="25" t="str">
        <x:v>NOT_RUN</x:v>
      </x:c>
      <x:c r="K222" s="25" t="n">
        <x:v>1</x:v>
      </x:c>
      <x:c r="L222" s="27" t="b">
        <x:v>0</x:v>
      </x:c>
      <x:c r="M222" s="25" t="str">
        <x:v>Deepseek-flash-v4/state/Round1/shards/Closure.json</x:v>
      </x:c>
      <x:c r="N222" s="25" t="str">
        <x:v>Deepseek-flash-v4/Result/Closure_81/result.json</x:v>
      </x:c>
      <x:c r="O222" s="25" t="str">
        <x:v>Deepseek-flash-v4/Result/Closure_81/result.json</x:v>
      </x:c>
      <x:c r="P222" t="str">
        <x:v>BOTH_NOT_RUN</x:v>
      </x:c>
      <x:c r="Q222" s="21" t="str"/>
      <x:c r="R222" s="21" t="str"/>
      <x:c r="S222" s="21" t="str"/>
      <x:c r="T222" s="17" t="str">
        <x:v>false</x:v>
      </x:c>
      <x:c r="U222" s="17" t="str">
        <x:v>true</x:v>
      </x:c>
      <x:c r="V222" s="17" t="str">
        <x:v>false</x:v>
      </x:c>
    </x:row>
    <x:row r="223" ht="80" customHeight="1">
      <x:c r="A223" s="25" t="str">
        <x:v>Closure</x:v>
      </x:c>
      <x:c r="B223" s="25" t="n">
        <x:v>82</x:v>
      </x:c>
      <x:c r="C223" s="25" t="str">
        <x:v>Round1</x:v>
      </x:c>
      <x:c r="D223" s="25" t="str">
        <x:v>NOT_AVAILABLE</x:v>
      </x:c>
      <x:c r="E223" s="25" t="str">
        <x:v>N/A</x:v>
      </x:c>
      <x:c r="F223" s="26" t="str">
        <x:v>Tests exist but current coverage did not complete</x:v>
      </x:c>
      <x:c r="G223" s="25" t="str">
        <x:v>true</x:v>
      </x:c>
      <x:c r="H223" s="25" t="str">
        <x:v>NOT_AVAILABLE</x:v>
      </x:c>
      <x:c r="I223" s="25" t="str">
        <x:v>NOT_RUN</x:v>
      </x:c>
      <x:c r="J223" s="25" t="str">
        <x:v>NOT_RUN</x:v>
      </x:c>
      <x:c r="K223" s="25" t="n">
        <x:v>1</x:v>
      </x:c>
      <x:c r="L223" s="27" t="b">
        <x:v>0</x:v>
      </x:c>
      <x:c r="M223" s="25" t="str">
        <x:v>Deepseek-flash-v4/state/Round1/shards/Closure.json</x:v>
      </x:c>
      <x:c r="N223" s="25" t="str">
        <x:v>Deepseek-flash-v4/Result/Closure_82/result.json</x:v>
      </x:c>
      <x:c r="O223" s="25" t="str">
        <x:v>Deepseek-flash-v4/Result/Closure_82/result.json</x:v>
      </x:c>
      <x:c r="P223" t="str">
        <x:v>BOTH_NOT_RUN</x:v>
      </x:c>
      <x:c r="Q223" s="21" t="str"/>
      <x:c r="R223" s="21" t="str"/>
      <x:c r="S223" s="21" t="str"/>
      <x:c r="T223" s="17" t="str">
        <x:v>false</x:v>
      </x:c>
      <x:c r="U223" s="17" t="str">
        <x:v>true</x:v>
      </x:c>
      <x:c r="V223" s="17" t="str">
        <x:v>false</x:v>
      </x:c>
    </x:row>
    <x:row r="224" ht="80" customHeight="1">
      <x:c r="A224" s="25" t="str">
        <x:v>Closure</x:v>
      </x:c>
      <x:c r="B224" s="25" t="n">
        <x:v>83</x:v>
      </x:c>
      <x:c r="C224" s="25" t="str">
        <x:v>Round1</x:v>
      </x:c>
      <x:c r="D224" s="25" t="str">
        <x:v>NOT_AVAILABLE</x:v>
      </x:c>
      <x:c r="E224" s="25" t="str">
        <x:v>N/A</x:v>
      </x:c>
      <x:c r="F224" s="26" t="str">
        <x:v>Tests exist but current coverage did not complete</x:v>
      </x:c>
      <x:c r="G224" s="25" t="str">
        <x:v>true</x:v>
      </x:c>
      <x:c r="H224" s="25" t="str">
        <x:v>NOT_AVAILABLE</x:v>
      </x:c>
      <x:c r="I224" s="25" t="str">
        <x:v>NOT_RUN</x:v>
      </x:c>
      <x:c r="J224" s="25" t="str">
        <x:v>NOT_RUN</x:v>
      </x:c>
      <x:c r="K224" s="25" t="n">
        <x:v>1</x:v>
      </x:c>
      <x:c r="L224" s="27" t="b">
        <x:v>0</x:v>
      </x:c>
      <x:c r="M224" s="25" t="str">
        <x:v>Deepseek-flash-v4/state/Round1/shards/Closure.json</x:v>
      </x:c>
      <x:c r="N224" s="25" t="str">
        <x:v>Deepseek-flash-v4/Result/Closure_83/result.json</x:v>
      </x:c>
      <x:c r="O224" s="25" t="str">
        <x:v>Deepseek-flash-v4/Result/Closure_83/result.json</x:v>
      </x:c>
      <x:c r="P224" t="str">
        <x:v>BOTH_NOT_RUN</x:v>
      </x:c>
      <x:c r="Q224" s="21" t="str"/>
      <x:c r="R224" s="21" t="str"/>
      <x:c r="S224" s="21" t="str"/>
      <x:c r="T224" s="17" t="str">
        <x:v>false</x:v>
      </x:c>
      <x:c r="U224" s="17" t="str">
        <x:v>true</x:v>
      </x:c>
      <x:c r="V224" s="17" t="str">
        <x:v>false</x:v>
      </x:c>
    </x:row>
    <x:row r="225" ht="80" customHeight="1">
      <x:c r="A225" s="25" t="str">
        <x:v>Closure</x:v>
      </x:c>
      <x:c r="B225" s="25" t="n">
        <x:v>84</x:v>
      </x:c>
      <x:c r="C225" s="25" t="str">
        <x:v>Round1</x:v>
      </x:c>
      <x:c r="D225" s="25" t="str">
        <x:v>NOT_AVAILABLE</x:v>
      </x:c>
      <x:c r="E225" s="25" t="str">
        <x:v>N/A</x:v>
      </x:c>
      <x:c r="F225" s="26" t="str">
        <x:v>Tests exist but current coverage did not complete</x:v>
      </x:c>
      <x:c r="G225" s="25" t="str">
        <x:v>true</x:v>
      </x:c>
      <x:c r="H225" s="25" t="str">
        <x:v>NOT_AVAILABLE</x:v>
      </x:c>
      <x:c r="I225" s="25" t="str">
        <x:v>NOT_RUN</x:v>
      </x:c>
      <x:c r="J225" s="25" t="str">
        <x:v>NOT_RUN</x:v>
      </x:c>
      <x:c r="K225" s="25" t="n">
        <x:v>1</x:v>
      </x:c>
      <x:c r="L225" s="27" t="b">
        <x:v>0</x:v>
      </x:c>
      <x:c r="M225" s="25" t="str">
        <x:v>Deepseek-flash-v4/state/Round1/shards/Closure.json</x:v>
      </x:c>
      <x:c r="N225" s="25" t="str">
        <x:v>Deepseek-flash-v4/Result/Closure_84/result.json</x:v>
      </x:c>
      <x:c r="O225" s="25" t="str">
        <x:v>Deepseek-flash-v4/Result/Closure_84/result.json</x:v>
      </x:c>
      <x:c r="P225" t="str">
        <x:v>BOTH_NOT_RUN</x:v>
      </x:c>
      <x:c r="Q225" s="21" t="str"/>
      <x:c r="R225" s="21" t="str"/>
      <x:c r="S225" s="21" t="str"/>
      <x:c r="T225" s="17" t="str">
        <x:v>false</x:v>
      </x:c>
      <x:c r="U225" s="17" t="str">
        <x:v>true</x:v>
      </x:c>
      <x:c r="V225" s="17" t="str">
        <x:v>false</x:v>
      </x:c>
    </x:row>
    <x:row r="226" ht="80" customHeight="1">
      <x:c r="A226" s="25" t="str">
        <x:v>Closure</x:v>
      </x:c>
      <x:c r="B226" s="25" t="n">
        <x:v>85</x:v>
      </x:c>
      <x:c r="C226" s="25" t="str">
        <x:v>Round1</x:v>
      </x:c>
      <x:c r="D226" s="25" t="str">
        <x:v>NOT_AVAILABLE</x:v>
      </x:c>
      <x:c r="E226" s="25" t="str">
        <x:v>N/A</x:v>
      </x:c>
      <x:c r="F226" s="26" t="str">
        <x:v>Tests exist but current coverage did not complete</x:v>
      </x:c>
      <x:c r="G226" s="25" t="str">
        <x:v>true</x:v>
      </x:c>
      <x:c r="H226" s="25" t="str">
        <x:v>NOT_AVAILABLE</x:v>
      </x:c>
      <x:c r="I226" s="25" t="str">
        <x:v>NOT_RUN</x:v>
      </x:c>
      <x:c r="J226" s="25" t="str">
        <x:v>NOT_RUN</x:v>
      </x:c>
      <x:c r="K226" s="25" t="n">
        <x:v>1</x:v>
      </x:c>
      <x:c r="L226" s="27" t="b">
        <x:v>0</x:v>
      </x:c>
      <x:c r="M226" s="25" t="str">
        <x:v>Deepseek-flash-v4/state/Round1/shards/Closure.json</x:v>
      </x:c>
      <x:c r="N226" s="25" t="str">
        <x:v>Deepseek-flash-v4/Result/Closure_85/result.json</x:v>
      </x:c>
      <x:c r="O226" s="25" t="str">
        <x:v>Deepseek-flash-v4/Result/Closure_85/result.json</x:v>
      </x:c>
      <x:c r="P226" t="str">
        <x:v>BOTH_NOT_RUN</x:v>
      </x:c>
      <x:c r="Q226" s="21" t="str"/>
      <x:c r="R226" s="21" t="str"/>
      <x:c r="S226" s="21" t="str"/>
      <x:c r="T226" s="17" t="str">
        <x:v>false</x:v>
      </x:c>
      <x:c r="U226" s="17" t="str">
        <x:v>true</x:v>
      </x:c>
      <x:c r="V226" s="17" t="str">
        <x:v>false</x:v>
      </x:c>
    </x:row>
    <x:row r="227" ht="80" customHeight="1">
      <x:c r="A227" s="25" t="str">
        <x:v>Closure</x:v>
      </x:c>
      <x:c r="B227" s="25" t="n">
        <x:v>86</x:v>
      </x:c>
      <x:c r="C227" s="25" t="str">
        <x:v>Round1</x:v>
      </x:c>
      <x:c r="D227" s="25" t="str">
        <x:v>NOT_AVAILABLE</x:v>
      </x:c>
      <x:c r="E227" s="25" t="str">
        <x:v>N/A</x:v>
      </x:c>
      <x:c r="F227" s="26" t="str">
        <x:v>Tests exist but current coverage did not complete</x:v>
      </x:c>
      <x:c r="G227" s="25" t="str">
        <x:v>true</x:v>
      </x:c>
      <x:c r="H227" s="25" t="str">
        <x:v>NOT_AVAILABLE</x:v>
      </x:c>
      <x:c r="I227" s="25" t="str">
        <x:v>NOT_RUN</x:v>
      </x:c>
      <x:c r="J227" s="25" t="str">
        <x:v>NOT_RUN</x:v>
      </x:c>
      <x:c r="K227" s="25" t="n">
        <x:v>1</x:v>
      </x:c>
      <x:c r="L227" s="27" t="b">
        <x:v>0</x:v>
      </x:c>
      <x:c r="M227" s="25" t="str">
        <x:v>Deepseek-flash-v4/state/Round1/shards/Closure.json</x:v>
      </x:c>
      <x:c r="N227" s="25" t="str">
        <x:v>Deepseek-flash-v4/Result/Closure_86/result.json</x:v>
      </x:c>
      <x:c r="O227" s="25" t="str">
        <x:v>Deepseek-flash-v4/Result/Closure_86/result.json</x:v>
      </x:c>
      <x:c r="P227" t="str">
        <x:v>BOTH_NOT_RUN</x:v>
      </x:c>
      <x:c r="Q227" s="21" t="str"/>
      <x:c r="R227" s="21" t="str"/>
      <x:c r="S227" s="21" t="str"/>
      <x:c r="T227" s="17" t="str">
        <x:v>false</x:v>
      </x:c>
      <x:c r="U227" s="17" t="str">
        <x:v>true</x:v>
      </x:c>
      <x:c r="V227" s="17" t="str">
        <x:v>false</x:v>
      </x:c>
    </x:row>
    <x:row r="228" ht="80" customHeight="1">
      <x:c r="A228" s="25" t="str">
        <x:v>Closure</x:v>
      </x:c>
      <x:c r="B228" s="25" t="n">
        <x:v>87</x:v>
      </x:c>
      <x:c r="C228" s="25" t="str">
        <x:v>Round1</x:v>
      </x:c>
      <x:c r="D228" s="25" t="str">
        <x:v>NOT_AVAILABLE</x:v>
      </x:c>
      <x:c r="E228" s="25" t="str">
        <x:v>N/A</x:v>
      </x:c>
      <x:c r="F228" s="26" t="str">
        <x:v>Tests exist but current coverage did not complete</x:v>
      </x:c>
      <x:c r="G228" s="25" t="str">
        <x:v>true</x:v>
      </x:c>
      <x:c r="H228" s="25" t="str">
        <x:v>NOT_AVAILABLE</x:v>
      </x:c>
      <x:c r="I228" s="25" t="str">
        <x:v>NOT_RUN</x:v>
      </x:c>
      <x:c r="J228" s="25" t="str">
        <x:v>NOT_RUN</x:v>
      </x:c>
      <x:c r="K228" s="25" t="n">
        <x:v>1</x:v>
      </x:c>
      <x:c r="L228" s="27" t="b">
        <x:v>0</x:v>
      </x:c>
      <x:c r="M228" s="25" t="str">
        <x:v>Deepseek-flash-v4/state/Round1/shards/Closure.json</x:v>
      </x:c>
      <x:c r="N228" s="25" t="str">
        <x:v>Deepseek-flash-v4/Result/Closure_87/result.json</x:v>
      </x:c>
      <x:c r="O228" s="25" t="str">
        <x:v>Deepseek-flash-v4/Result/Closure_87/result.json</x:v>
      </x:c>
      <x:c r="P228" t="str">
        <x:v>BOTH_NOT_RUN</x:v>
      </x:c>
      <x:c r="Q228" s="21" t="str"/>
      <x:c r="R228" s="21" t="str"/>
      <x:c r="S228" s="21" t="str"/>
      <x:c r="T228" s="17" t="str">
        <x:v>false</x:v>
      </x:c>
      <x:c r="U228" s="17" t="str">
        <x:v>true</x:v>
      </x:c>
      <x:c r="V228" s="17" t="str">
        <x:v>false</x:v>
      </x:c>
    </x:row>
    <x:row r="229" ht="80" customHeight="1">
      <x:c r="A229" s="25" t="str">
        <x:v>Closure</x:v>
      </x:c>
      <x:c r="B229" s="25" t="n">
        <x:v>88</x:v>
      </x:c>
      <x:c r="C229" s="25" t="str">
        <x:v>Round1</x:v>
      </x:c>
      <x:c r="D229" s="25" t="str">
        <x:v>NOT_AVAILABLE</x:v>
      </x:c>
      <x:c r="E229" s="25" t="str">
        <x:v>N/A</x:v>
      </x:c>
      <x:c r="F229" s="26" t="str">
        <x:v>Tests exist but current coverage did not complete</x:v>
      </x:c>
      <x:c r="G229" s="25" t="str">
        <x:v>true</x:v>
      </x:c>
      <x:c r="H229" s="25" t="str">
        <x:v>NOT_AVAILABLE</x:v>
      </x:c>
      <x:c r="I229" s="25" t="str">
        <x:v>NOT_RUN</x:v>
      </x:c>
      <x:c r="J229" s="25" t="str">
        <x:v>NOT_RUN</x:v>
      </x:c>
      <x:c r="K229" s="25" t="n">
        <x:v>1</x:v>
      </x:c>
      <x:c r="L229" s="27" t="b">
        <x:v>0</x:v>
      </x:c>
      <x:c r="M229" s="25" t="str">
        <x:v>Deepseek-flash-v4/state/Round1/shards/Closure.json</x:v>
      </x:c>
      <x:c r="N229" s="25" t="str">
        <x:v>Deepseek-flash-v4/Result/Closure_88/result.json</x:v>
      </x:c>
      <x:c r="O229" s="25" t="str">
        <x:v>Deepseek-flash-v4/Result/Closure_88/result.json</x:v>
      </x:c>
      <x:c r="P229" t="str">
        <x:v>BOTH_NOT_RUN</x:v>
      </x:c>
      <x:c r="Q229" s="21" t="str"/>
      <x:c r="R229" s="21" t="str"/>
      <x:c r="S229" s="21" t="str"/>
      <x:c r="T229" s="17" t="str">
        <x:v>false</x:v>
      </x:c>
      <x:c r="U229" s="17" t="str">
        <x:v>true</x:v>
      </x:c>
      <x:c r="V229" s="17" t="str">
        <x:v>false</x:v>
      </x:c>
    </x:row>
    <x:row r="230" ht="80" customHeight="1">
      <x:c r="A230" s="25" t="str">
        <x:v>Closure</x:v>
      </x:c>
      <x:c r="B230" s="25" t="n">
        <x:v>89</x:v>
      </x:c>
      <x:c r="C230" s="25" t="str">
        <x:v>Round1</x:v>
      </x:c>
      <x:c r="D230" s="25" t="str">
        <x:v>NOT_AVAILABLE</x:v>
      </x:c>
      <x:c r="E230" s="25" t="str">
        <x:v>N/A</x:v>
      </x:c>
      <x:c r="F230" s="26" t="str">
        <x:v>Tests exist but current coverage did not complete</x:v>
      </x:c>
      <x:c r="G230" s="25" t="str">
        <x:v>true</x:v>
      </x:c>
      <x:c r="H230" s="25" t="str">
        <x:v>NOT_AVAILABLE</x:v>
      </x:c>
      <x:c r="I230" s="25" t="str">
        <x:v>NOT_RUN</x:v>
      </x:c>
      <x:c r="J230" s="25" t="str">
        <x:v>NOT_RUN</x:v>
      </x:c>
      <x:c r="K230" s="25" t="n">
        <x:v>2</x:v>
      </x:c>
      <x:c r="L230" s="27" t="b">
        <x:v>0</x:v>
      </x:c>
      <x:c r="M230" s="25" t="str">
        <x:v>Deepseek-flash-v4/state/Round1/shards/Closure.json</x:v>
      </x:c>
      <x:c r="N230" s="25" t="str">
        <x:v>Deepseek-flash-v4/Result/Closure_89/result.json</x:v>
      </x:c>
      <x:c r="O230" s="25" t="str">
        <x:v>Deepseek-flash-v4/Result/Closure_89/result.json</x:v>
      </x:c>
      <x:c r="P230" t="str">
        <x:v>BOTH_NOT_RUN</x:v>
      </x:c>
      <x:c r="Q230" s="21" t="str"/>
      <x:c r="R230" s="21" t="str"/>
      <x:c r="S230" s="21" t="str"/>
      <x:c r="T230" s="17" t="str">
        <x:v>false</x:v>
      </x:c>
      <x:c r="U230" s="17" t="str">
        <x:v>true</x:v>
      </x:c>
      <x:c r="V230" s="17" t="str">
        <x:v>false</x:v>
      </x:c>
    </x:row>
    <x:row r="231" ht="80" customHeight="1">
      <x:c r="A231" s="25" t="str">
        <x:v>Closure</x:v>
      </x:c>
      <x:c r="B231" s="25" t="n">
        <x:v>9</x:v>
      </x:c>
      <x:c r="C231" s="25" t="str">
        <x:v>Round1</x:v>
      </x:c>
      <x:c r="D231" s="25" t="str">
        <x:v>NOT_AVAILABLE</x:v>
      </x:c>
      <x:c r="E231" s="25" t="str">
        <x:v>N/A</x:v>
      </x:c>
      <x:c r="F231" s="26" t="str">
        <x:v>Tests exist but current coverage did not complete</x:v>
      </x:c>
      <x:c r="G231" s="25" t="str">
        <x:v>true</x:v>
      </x:c>
      <x:c r="H231" s="25" t="str">
        <x:v>NOT_AVAILABLE</x:v>
      </x:c>
      <x:c r="I231" s="25" t="str">
        <x:v>NOT_RUN</x:v>
      </x:c>
      <x:c r="J231" s="25" t="str">
        <x:v>NOT_RUN</x:v>
      </x:c>
      <x:c r="K231" s="25" t="n">
        <x:v>1</x:v>
      </x:c>
      <x:c r="L231" s="27" t="b">
        <x:v>0</x:v>
      </x:c>
      <x:c r="M231" s="25" t="str">
        <x:v>Deepseek-flash-v4/state/Round1/shards/Closure.json</x:v>
      </x:c>
      <x:c r="N231" s="25" t="str">
        <x:v>Deepseek-flash-v4/Result/Closure_9/result.json</x:v>
      </x:c>
      <x:c r="O231" s="25" t="str">
        <x:v>Deepseek-flash-v4/Result/Closure_9/result.json</x:v>
      </x:c>
      <x:c r="P231" t="str">
        <x:v>BOTH_NOT_RUN</x:v>
      </x:c>
      <x:c r="Q231" s="21" t="str"/>
      <x:c r="R231" s="21" t="str"/>
      <x:c r="S231" s="21" t="str"/>
      <x:c r="T231" s="17" t="str">
        <x:v>false</x:v>
      </x:c>
      <x:c r="U231" s="17" t="str">
        <x:v>true</x:v>
      </x:c>
      <x:c r="V231" s="17" t="str">
        <x:v>false</x:v>
      </x:c>
    </x:row>
    <x:row r="232" ht="80" customHeight="1">
      <x:c r="A232" s="25" t="str">
        <x:v>Closure</x:v>
      </x:c>
      <x:c r="B232" s="25" t="n">
        <x:v>90</x:v>
      </x:c>
      <x:c r="C232" s="25" t="str">
        <x:v>Round1</x:v>
      </x:c>
      <x:c r="D232" s="25" t="str">
        <x:v>NOT_AVAILABLE</x:v>
      </x:c>
      <x:c r="E232" s="25" t="str">
        <x:v>N/A</x:v>
      </x:c>
      <x:c r="F232" s="26" t="str">
        <x:v>Tests exist but current coverage did not complete</x:v>
      </x:c>
      <x:c r="G232" s="25" t="str">
        <x:v>true</x:v>
      </x:c>
      <x:c r="H232" s="25" t="str">
        <x:v>NOT_AVAILABLE</x:v>
      </x:c>
      <x:c r="I232" s="25" t="str">
        <x:v>NOT_RUN</x:v>
      </x:c>
      <x:c r="J232" s="25" t="str">
        <x:v>NOT_RUN</x:v>
      </x:c>
      <x:c r="K232" s="25" t="n">
        <x:v>2</x:v>
      </x:c>
      <x:c r="L232" s="27" t="b">
        <x:v>0</x:v>
      </x:c>
      <x:c r="M232" s="25" t="str">
        <x:v>Deepseek-flash-v4/state/Round1/shards/Closure.json</x:v>
      </x:c>
      <x:c r="N232" s="25" t="str">
        <x:v>Deepseek-flash-v4/Result/Closure_90/result.json</x:v>
      </x:c>
      <x:c r="O232" s="25" t="str">
        <x:v>Deepseek-flash-v4/Result/Closure_90/result.json</x:v>
      </x:c>
      <x:c r="P232" t="str">
        <x:v>BOTH_NOT_RUN</x:v>
      </x:c>
      <x:c r="Q232" s="21" t="str"/>
      <x:c r="R232" s="21" t="str"/>
      <x:c r="S232" s="21" t="str"/>
      <x:c r="T232" s="17" t="str">
        <x:v>false</x:v>
      </x:c>
      <x:c r="U232" s="17" t="str">
        <x:v>true</x:v>
      </x:c>
      <x:c r="V232" s="17" t="str">
        <x:v>false</x:v>
      </x:c>
    </x:row>
    <x:row r="233" ht="80" customHeight="1">
      <x:c r="A233" s="25" t="str">
        <x:v>Closure</x:v>
      </x:c>
      <x:c r="B233" s="25" t="n">
        <x:v>91</x:v>
      </x:c>
      <x:c r="C233" s="25" t="str">
        <x:v>Round1</x:v>
      </x:c>
      <x:c r="D233" s="25" t="str">
        <x:v>NOT_AVAILABLE</x:v>
      </x:c>
      <x:c r="E233" s="25" t="str">
        <x:v>N/A</x:v>
      </x:c>
      <x:c r="F233" s="26" t="str">
        <x:v>Tests exist but current coverage did not complete</x:v>
      </x:c>
      <x:c r="G233" s="25" t="str">
        <x:v>true</x:v>
      </x:c>
      <x:c r="H233" s="25" t="str">
        <x:v>NOT_AVAILABLE</x:v>
      </x:c>
      <x:c r="I233" s="25" t="str">
        <x:v>NOT_RUN</x:v>
      </x:c>
      <x:c r="J233" s="25" t="str">
        <x:v>NOT_RUN</x:v>
      </x:c>
      <x:c r="K233" s="25" t="n">
        <x:v>1</x:v>
      </x:c>
      <x:c r="L233" s="27" t="b">
        <x:v>0</x:v>
      </x:c>
      <x:c r="M233" s="25" t="str">
        <x:v>Deepseek-flash-v4/state/Round1/shards/Closure.json</x:v>
      </x:c>
      <x:c r="N233" s="25" t="str">
        <x:v>Deepseek-flash-v4/Result/Closure_91/result.json</x:v>
      </x:c>
      <x:c r="O233" s="25" t="str">
        <x:v>Deepseek-flash-v4/Result/Closure_91/result.json</x:v>
      </x:c>
      <x:c r="P233" t="str">
        <x:v>BOTH_NOT_RUN</x:v>
      </x:c>
      <x:c r="Q233" s="21" t="str"/>
      <x:c r="R233" s="21" t="str"/>
      <x:c r="S233" s="21" t="str"/>
      <x:c r="T233" s="17" t="str">
        <x:v>false</x:v>
      </x:c>
      <x:c r="U233" s="17" t="str">
        <x:v>true</x:v>
      </x:c>
      <x:c r="V233" s="17" t="str">
        <x:v>false</x:v>
      </x:c>
    </x:row>
    <x:row r="234" ht="80" customHeight="1">
      <x:c r="A234" s="25" t="str">
        <x:v>Closure</x:v>
      </x:c>
      <x:c r="B234" s="25" t="n">
        <x:v>92</x:v>
      </x:c>
      <x:c r="C234" s="25" t="str">
        <x:v>Round1</x:v>
      </x:c>
      <x:c r="D234" s="25" t="str">
        <x:v>NOT_AVAILABLE</x:v>
      </x:c>
      <x:c r="E234" s="25" t="str">
        <x:v>N/A</x:v>
      </x:c>
      <x:c r="F234" s="26" t="str">
        <x:v>Tests exist but current coverage did not complete</x:v>
      </x:c>
      <x:c r="G234" s="25" t="str">
        <x:v>true</x:v>
      </x:c>
      <x:c r="H234" s="25" t="str">
        <x:v>NOT_AVAILABLE</x:v>
      </x:c>
      <x:c r="I234" s="25" t="str">
        <x:v>NOT_RUN</x:v>
      </x:c>
      <x:c r="J234" s="25" t="str">
        <x:v>NOT_RUN</x:v>
      </x:c>
      <x:c r="K234" s="25" t="n">
        <x:v>1</x:v>
      </x:c>
      <x:c r="L234" s="27" t="b">
        <x:v>0</x:v>
      </x:c>
      <x:c r="M234" s="25" t="str">
        <x:v>Deepseek-flash-v4/state/Round1/shards/Closure.json</x:v>
      </x:c>
      <x:c r="N234" s="25" t="str">
        <x:v>Deepseek-flash-v4/Result/Closure_92/result.json</x:v>
      </x:c>
      <x:c r="O234" s="25" t="str">
        <x:v>Deepseek-flash-v4/Result/Closure_92/result.json</x:v>
      </x:c>
      <x:c r="P234" t="str">
        <x:v>BOTH_NOT_RUN</x:v>
      </x:c>
      <x:c r="Q234" s="21" t="str"/>
      <x:c r="R234" s="21" t="str"/>
      <x:c r="S234" s="21" t="str"/>
      <x:c r="T234" s="17" t="str">
        <x:v>false</x:v>
      </x:c>
      <x:c r="U234" s="17" t="str">
        <x:v>true</x:v>
      </x:c>
      <x:c r="V234" s="17" t="str">
        <x:v>false</x:v>
      </x:c>
    </x:row>
    <x:row r="235" ht="80" customHeight="1">
      <x:c r="A235" s="25" t="str">
        <x:v>Closure</x:v>
      </x:c>
      <x:c r="B235" s="25" t="n">
        <x:v>94</x:v>
      </x:c>
      <x:c r="C235" s="25" t="str">
        <x:v>Round1</x:v>
      </x:c>
      <x:c r="D235" s="25" t="str">
        <x:v>NOT_AVAILABLE</x:v>
      </x:c>
      <x:c r="E235" s="25" t="str">
        <x:v>N/A</x:v>
      </x:c>
      <x:c r="F235" s="26" t="str">
        <x:v>Tests exist but current coverage did not complete</x:v>
      </x:c>
      <x:c r="G235" s="25" t="str">
        <x:v>true</x:v>
      </x:c>
      <x:c r="H235" s="25" t="str">
        <x:v>NOT_AVAILABLE</x:v>
      </x:c>
      <x:c r="I235" s="25" t="str">
        <x:v>NOT_RUN</x:v>
      </x:c>
      <x:c r="J235" s="25" t="str">
        <x:v>NOT_RUN</x:v>
      </x:c>
      <x:c r="K235" s="25" t="n">
        <x:v>1</x:v>
      </x:c>
      <x:c r="L235" s="27" t="b">
        <x:v>0</x:v>
      </x:c>
      <x:c r="M235" s="25" t="str">
        <x:v>Deepseek-flash-v4/state/Round1/shards/Closure.json</x:v>
      </x:c>
      <x:c r="N235" s="25" t="str">
        <x:v>Deepseek-flash-v4/Result/Closure_94/result.json</x:v>
      </x:c>
      <x:c r="O235" s="25" t="str">
        <x:v>Deepseek-flash-v4/Result/Closure_94/result.json</x:v>
      </x:c>
      <x:c r="P235" t="str">
        <x:v>BOTH_NOT_RUN</x:v>
      </x:c>
      <x:c r="Q235" s="21" t="str"/>
      <x:c r="R235" s="21" t="str"/>
      <x:c r="S235" s="21" t="str"/>
      <x:c r="T235" s="17" t="str">
        <x:v>false</x:v>
      </x:c>
      <x:c r="U235" s="17" t="str">
        <x:v>true</x:v>
      </x:c>
      <x:c r="V235" s="17" t="str">
        <x:v>false</x:v>
      </x:c>
    </x:row>
    <x:row r="236" ht="80" customHeight="1">
      <x:c r="A236" s="25" t="str">
        <x:v>Closure</x:v>
      </x:c>
      <x:c r="B236" s="25" t="n">
        <x:v>95</x:v>
      </x:c>
      <x:c r="C236" s="25" t="str">
        <x:v>Round1</x:v>
      </x:c>
      <x:c r="D236" s="25" t="str">
        <x:v>NOT_AVAILABLE</x:v>
      </x:c>
      <x:c r="E236" s="25" t="str">
        <x:v>N/A</x:v>
      </x:c>
      <x:c r="F236" s="26" t="str">
        <x:v>Tests exist but current coverage did not complete</x:v>
      </x:c>
      <x:c r="G236" s="25" t="str">
        <x:v>true</x:v>
      </x:c>
      <x:c r="H236" s="25" t="str">
        <x:v>NOT_AVAILABLE</x:v>
      </x:c>
      <x:c r="I236" s="25" t="str">
        <x:v>NOT_RUN</x:v>
      </x:c>
      <x:c r="J236" s="25" t="str">
        <x:v>NOT_RUN</x:v>
      </x:c>
      <x:c r="K236" s="25" t="n">
        <x:v>1</x:v>
      </x:c>
      <x:c r="L236" s="27" t="b">
        <x:v>0</x:v>
      </x:c>
      <x:c r="M236" s="25" t="str">
        <x:v>Deepseek-flash-v4/state/Round1/shards/Closure.json</x:v>
      </x:c>
      <x:c r="N236" s="25" t="str">
        <x:v>Deepseek-flash-v4/Result/Closure_95/result.json</x:v>
      </x:c>
      <x:c r="O236" s="25" t="str">
        <x:v>Deepseek-flash-v4/Result/Closure_95/result.json</x:v>
      </x:c>
      <x:c r="P236" t="str">
        <x:v>BOTH_NOT_RUN</x:v>
      </x:c>
      <x:c r="Q236" s="21" t="str"/>
      <x:c r="R236" s="21" t="str"/>
      <x:c r="S236" s="21" t="str"/>
      <x:c r="T236" s="17" t="str">
        <x:v>false</x:v>
      </x:c>
      <x:c r="U236" s="17" t="str">
        <x:v>true</x:v>
      </x:c>
      <x:c r="V236" s="17" t="str">
        <x:v>false</x:v>
      </x:c>
    </x:row>
    <x:row r="237" ht="80" customHeight="1">
      <x:c r="A237" s="25" t="str">
        <x:v>Closure</x:v>
      </x:c>
      <x:c r="B237" s="25" t="n">
        <x:v>96</x:v>
      </x:c>
      <x:c r="C237" s="25" t="str">
        <x:v>Round1</x:v>
      </x:c>
      <x:c r="D237" s="25" t="str">
        <x:v>NOT_AVAILABLE</x:v>
      </x:c>
      <x:c r="E237" s="25" t="str">
        <x:v>N/A</x:v>
      </x:c>
      <x:c r="F237" s="26" t="str">
        <x:v>Tests exist but current coverage did not complete</x:v>
      </x:c>
      <x:c r="G237" s="25" t="str">
        <x:v>true</x:v>
      </x:c>
      <x:c r="H237" s="25" t="str">
        <x:v>NOT_AVAILABLE</x:v>
      </x:c>
      <x:c r="I237" s="25" t="str">
        <x:v>NOT_RUN</x:v>
      </x:c>
      <x:c r="J237" s="25" t="str">
        <x:v>NOT_RUN</x:v>
      </x:c>
      <x:c r="K237" s="25" t="n">
        <x:v>1</x:v>
      </x:c>
      <x:c r="L237" s="27" t="b">
        <x:v>0</x:v>
      </x:c>
      <x:c r="M237" s="25" t="str">
        <x:v>Deepseek-flash-v4/state/Round1/shards/Closure.json</x:v>
      </x:c>
      <x:c r="N237" s="25" t="str">
        <x:v>Deepseek-flash-v4/Result/Closure_96/result.json</x:v>
      </x:c>
      <x:c r="O237" s="25" t="str">
        <x:v>Deepseek-flash-v4/Result/Closure_96/result.json</x:v>
      </x:c>
      <x:c r="P237" t="str">
        <x:v>BOTH_NOT_RUN</x:v>
      </x:c>
      <x:c r="Q237" s="21" t="str"/>
      <x:c r="R237" s="21" t="str"/>
      <x:c r="S237" s="21" t="str"/>
      <x:c r="T237" s="17" t="str">
        <x:v>false</x:v>
      </x:c>
      <x:c r="U237" s="17" t="str">
        <x:v>true</x:v>
      </x:c>
      <x:c r="V237" s="17" t="str">
        <x:v>false</x:v>
      </x:c>
    </x:row>
    <x:row r="238" ht="80" customHeight="1">
      <x:c r="A238" s="25" t="str">
        <x:v>Closure</x:v>
      </x:c>
      <x:c r="B238" s="25" t="n">
        <x:v>97</x:v>
      </x:c>
      <x:c r="C238" s="25" t="str">
        <x:v>Round1</x:v>
      </x:c>
      <x:c r="D238" s="25" t="str">
        <x:v>NOT_AVAILABLE</x:v>
      </x:c>
      <x:c r="E238" s="25" t="str">
        <x:v>N/A</x:v>
      </x:c>
      <x:c r="F238" s="26" t="str">
        <x:v>Tests exist but current coverage did not complete</x:v>
      </x:c>
      <x:c r="G238" s="25" t="str">
        <x:v>true</x:v>
      </x:c>
      <x:c r="H238" s="25" t="str">
        <x:v>NOT_AVAILABLE</x:v>
      </x:c>
      <x:c r="I238" s="25" t="str">
        <x:v>NOT_RUN</x:v>
      </x:c>
      <x:c r="J238" s="25" t="str">
        <x:v>NOT_RUN</x:v>
      </x:c>
      <x:c r="K238" s="25" t="n">
        <x:v>1</x:v>
      </x:c>
      <x:c r="L238" s="27" t="b">
        <x:v>0</x:v>
      </x:c>
      <x:c r="M238" s="25" t="str">
        <x:v>Deepseek-flash-v4/state/Round1/shards/Closure.json</x:v>
      </x:c>
      <x:c r="N238" s="25" t="str">
        <x:v>Deepseek-flash-v4/Result/Closure_97/result.json</x:v>
      </x:c>
      <x:c r="O238" s="25" t="str">
        <x:v>Deepseek-flash-v4/Result/Closure_97/result.json</x:v>
      </x:c>
      <x:c r="P238" t="str">
        <x:v>BOTH_NOT_RUN</x:v>
      </x:c>
      <x:c r="Q238" s="21" t="str"/>
      <x:c r="R238" s="21" t="str"/>
      <x:c r="S238" s="21" t="str"/>
      <x:c r="T238" s="17" t="str">
        <x:v>false</x:v>
      </x:c>
      <x:c r="U238" s="17" t="str">
        <x:v>true</x:v>
      </x:c>
      <x:c r="V238" s="17" t="str">
        <x:v>false</x:v>
      </x:c>
    </x:row>
    <x:row r="239" ht="80" customHeight="1">
      <x:c r="A239" s="25" t="str">
        <x:v>Closure</x:v>
      </x:c>
      <x:c r="B239" s="25" t="n">
        <x:v>98</x:v>
      </x:c>
      <x:c r="C239" s="25" t="str">
        <x:v>Round1</x:v>
      </x:c>
      <x:c r="D239" s="25" t="str">
        <x:v>NOT_AVAILABLE</x:v>
      </x:c>
      <x:c r="E239" s="25" t="str">
        <x:v>N/A</x:v>
      </x:c>
      <x:c r="F239" s="26" t="str">
        <x:v>Tests exist but current coverage did not complete</x:v>
      </x:c>
      <x:c r="G239" s="25" t="str">
        <x:v>true</x:v>
      </x:c>
      <x:c r="H239" s="25" t="str">
        <x:v>NOT_AVAILABLE</x:v>
      </x:c>
      <x:c r="I239" s="25" t="str">
        <x:v>NOT_RUN</x:v>
      </x:c>
      <x:c r="J239" s="25" t="str">
        <x:v>NOT_RUN</x:v>
      </x:c>
      <x:c r="K239" s="25" t="n">
        <x:v>1</x:v>
      </x:c>
      <x:c r="L239" s="27" t="b">
        <x:v>0</x:v>
      </x:c>
      <x:c r="M239" s="25" t="str">
        <x:v>Deepseek-flash-v4/state/Round1/shards/Closure.json</x:v>
      </x:c>
      <x:c r="N239" s="25" t="str">
        <x:v>Deepseek-flash-v4/Result/Closure_98/result.json</x:v>
      </x:c>
      <x:c r="O239" s="25" t="str">
        <x:v>Deepseek-flash-v4/Result/Closure_98/result.json</x:v>
      </x:c>
      <x:c r="P239" t="str">
        <x:v>BOTH_NOT_RUN</x:v>
      </x:c>
      <x:c r="Q239" s="21" t="str"/>
      <x:c r="R239" s="21" t="str"/>
      <x:c r="S239" s="21" t="str"/>
      <x:c r="T239" s="17" t="str">
        <x:v>false</x:v>
      </x:c>
      <x:c r="U239" s="17" t="str">
        <x:v>true</x:v>
      </x:c>
      <x:c r="V239" s="17" t="str">
        <x:v>false</x:v>
      </x:c>
    </x:row>
    <x:row r="240" ht="80" customHeight="1">
      <x:c r="A240" s="25" t="str">
        <x:v>Closure</x:v>
      </x:c>
      <x:c r="B240" s="25" t="n">
        <x:v>99</x:v>
      </x:c>
      <x:c r="C240" s="25" t="str">
        <x:v>Round1</x:v>
      </x:c>
      <x:c r="D240" s="25" t="str">
        <x:v>NOT_AVAILABLE</x:v>
      </x:c>
      <x:c r="E240" s="25" t="str">
        <x:v>N/A</x:v>
      </x:c>
      <x:c r="F240" s="26" t="str">
        <x:v>Tests exist but current coverage did not complete</x:v>
      </x:c>
      <x:c r="G240" s="25" t="str">
        <x:v>true</x:v>
      </x:c>
      <x:c r="H240" s="25" t="str">
        <x:v>NOT_AVAILABLE</x:v>
      </x:c>
      <x:c r="I240" s="25" t="str">
        <x:v>NOT_RUN</x:v>
      </x:c>
      <x:c r="J240" s="25" t="str">
        <x:v>NOT_RUN</x:v>
      </x:c>
      <x:c r="K240" s="25" t="n">
        <x:v>1</x:v>
      </x:c>
      <x:c r="L240" s="27" t="b">
        <x:v>0</x:v>
      </x:c>
      <x:c r="M240" s="25" t="str">
        <x:v>Deepseek-flash-v4/state/Round1/shards/Closure.json</x:v>
      </x:c>
      <x:c r="N240" s="25" t="str">
        <x:v>Deepseek-flash-v4/Result/Closure_99/result.json</x:v>
      </x:c>
      <x:c r="O240" s="25" t="str">
        <x:v>Deepseek-flash-v4/Result/Closure_99/result.json</x:v>
      </x:c>
      <x:c r="P240" t="str">
        <x:v>BOTH_NOT_RUN</x:v>
      </x:c>
      <x:c r="Q240" s="21" t="str"/>
      <x:c r="R240" s="21" t="str"/>
      <x:c r="S240" s="21" t="str"/>
      <x:c r="T240" s="17" t="str">
        <x:v>false</x:v>
      </x:c>
      <x:c r="U240" s="17" t="str">
        <x:v>true</x:v>
      </x:c>
      <x:c r="V240" s="17" t="str">
        <x:v>false</x:v>
      </x:c>
    </x:row>
    <x:row r="241" ht="80" customHeight="1">
      <x:c r="A241" s="25" t="str">
        <x:v>Codec</x:v>
      </x:c>
      <x:c r="B241" s="25" t="n">
        <x:v>1</x:v>
      </x:c>
      <x:c r="C241" s="25" t="str">
        <x:v>Round1</x:v>
      </x:c>
      <x:c r="D241" s="25" t="str">
        <x:v>NOT_AVAILABLE</x:v>
      </x:c>
      <x:c r="E241" s="25" t="str">
        <x:v>N/A</x:v>
      </x:c>
      <x:c r="F241" s="26" t="str">
        <x:v>Tests exist but current coverage did not complete</x:v>
      </x:c>
      <x:c r="G241" s="25" t="str">
        <x:v>true</x:v>
      </x:c>
      <x:c r="H241" s="25" t="str">
        <x:v>NOT_AVAILABLE</x:v>
      </x:c>
      <x:c r="I241" s="25" t="str">
        <x:v>NOT_RUN</x:v>
      </x:c>
      <x:c r="J241" s="25" t="str">
        <x:v>NOT_RUN</x:v>
      </x:c>
      <x:c r="K241" s="25" t="n">
        <x:v>4</x:v>
      </x:c>
      <x:c r="L241" s="27" t="b">
        <x:v>0</x:v>
      </x:c>
      <x:c r="M241" s="25" t="str">
        <x:v>Deepseek-flash-v4/state/Round1/shards/Codec.json</x:v>
      </x:c>
      <x:c r="N241" s="25" t="str">
        <x:v>Deepseek-flash-v4/Result/Codec_1/result.json</x:v>
      </x:c>
      <x:c r="O241" s="25" t="str">
        <x:v>Deepseek-flash-v4/Result/Codec_1/result.json</x:v>
      </x:c>
      <x:c r="P241" t="str">
        <x:v>BOTH_NOT_RUN</x:v>
      </x:c>
      <x:c r="Q241" s="21" t="str"/>
      <x:c r="R241" s="21" t="str"/>
      <x:c r="S241" s="21" t="str"/>
      <x:c r="T241" s="17" t="str">
        <x:v>false</x:v>
      </x:c>
      <x:c r="U241" s="17" t="str">
        <x:v>true</x:v>
      </x:c>
      <x:c r="V241" s="17" t="str">
        <x:v>false</x:v>
      </x:c>
    </x:row>
    <x:row r="242" ht="80" customHeight="1">
      <x:c r="A242" s="25" t="str">
        <x:v>Codec</x:v>
      </x:c>
      <x:c r="B242" s="25" t="n">
        <x:v>10</x:v>
      </x:c>
      <x:c r="C242" s="25" t="str">
        <x:v>Round1</x:v>
      </x:c>
      <x:c r="D242" s="25" t="str">
        <x:v>NOT_AVAILABLE</x:v>
      </x:c>
      <x:c r="E242" s="25" t="str">
        <x:v>N/A</x:v>
      </x:c>
      <x:c r="F242" s="26" t="str">
        <x:v>Paired buggy/fixed execution missing or could not run</x:v>
      </x:c>
      <x:c r="G242" s="25" t="str">
        <x:v>true</x:v>
      </x:c>
      <x:c r="H242" s="25" t="str">
        <x:v>NOT_AVAILABLE</x:v>
      </x:c>
      <x:c r="I242" s="25" t="str">
        <x:v>FAIL</x:v>
      </x:c>
      <x:c r="J242" s="25" t="str">
        <x:v>NOT_RUN</x:v>
      </x:c>
      <x:c r="K242" s="25" t="n">
        <x:v>1</x:v>
      </x:c>
      <x:c r="L242" s="27" t="b">
        <x:v>0</x:v>
      </x:c>
      <x:c r="M242" s="25" t="str">
        <x:v>Deepseek-flash-v4/state/Round1/shards/Codec.json</x:v>
      </x:c>
      <x:c r="N242" s="25" t="str">
        <x:v>Deepseek-flash-v4/Result/Codec_10/result.json</x:v>
      </x:c>
      <x:c r="O242" s="25" t="str">
        <x:v>Deepseek-flash-v4/Result/Codec_10/result.json</x:v>
      </x:c>
      <x:c r="P242" t="str">
        <x:v>FIXED_NOT_RUN</x:v>
      </x:c>
      <x:c r="Q242" s="21" t="str"/>
      <x:c r="R242" s="21" t="str"/>
      <x:c r="S242" s="21" t="str"/>
      <x:c r="T242" s="17" t="str">
        <x:v>false</x:v>
      </x:c>
      <x:c r="U242" s="17" t="str">
        <x:v>true</x:v>
      </x:c>
      <x:c r="V242" s="17" t="str">
        <x:v>false</x:v>
      </x:c>
    </x:row>
    <x:row r="243" ht="80" customHeight="1">
      <x:c r="A243" s="25" t="str">
        <x:v>Codec</x:v>
      </x:c>
      <x:c r="B243" s="25" t="n">
        <x:v>11</x:v>
      </x:c>
      <x:c r="C243" s="25" t="str">
        <x:v>Round1</x:v>
      </x:c>
      <x:c r="D243" s="25" t="str">
        <x:v>NOT_AVAILABLE</x:v>
      </x:c>
      <x:c r="E243" s="25" t="str">
        <x:v>N/A</x:v>
      </x:c>
      <x:c r="F243" s="26" t="str">
        <x:v>Tests exist but current coverage did not complete</x:v>
      </x:c>
      <x:c r="G243" s="25" t="str">
        <x:v>true</x:v>
      </x:c>
      <x:c r="H243" s="25" t="str">
        <x:v>NOT_AVAILABLE</x:v>
      </x:c>
      <x:c r="I243" s="25" t="str">
        <x:v>NOT_RUN</x:v>
      </x:c>
      <x:c r="J243" s="25" t="str">
        <x:v>NOT_RUN</x:v>
      </x:c>
      <x:c r="K243" s="25" t="n">
        <x:v>1</x:v>
      </x:c>
      <x:c r="L243" s="27" t="b">
        <x:v>0</x:v>
      </x:c>
      <x:c r="M243" s="25" t="str">
        <x:v>Deepseek-flash-v4/state/Round1/shards/Codec.json</x:v>
      </x:c>
      <x:c r="N243" s="25" t="str">
        <x:v>Deepseek-flash-v4/Result/Codec_11/result.json</x:v>
      </x:c>
      <x:c r="O243" s="25" t="str">
        <x:v>Deepseek-flash-v4/Result/Codec_11/result.json</x:v>
      </x:c>
      <x:c r="P243" t="str">
        <x:v>BOTH_NOT_RUN</x:v>
      </x:c>
      <x:c r="Q243" s="21" t="str"/>
      <x:c r="R243" s="21" t="str"/>
      <x:c r="S243" s="21" t="str"/>
      <x:c r="T243" s="17" t="str">
        <x:v>false</x:v>
      </x:c>
      <x:c r="U243" s="17" t="str">
        <x:v>true</x:v>
      </x:c>
      <x:c r="V243" s="17" t="str">
        <x:v>false</x:v>
      </x:c>
    </x:row>
    <x:row r="244" ht="80" customHeight="1">
      <x:c r="A244" s="25" t="str">
        <x:v>Codec</x:v>
      </x:c>
      <x:c r="B244" s="25" t="n">
        <x:v>12</x:v>
      </x:c>
      <x:c r="C244" s="25" t="str">
        <x:v>Round1</x:v>
      </x:c>
      <x:c r="D244" s="25" t="str">
        <x:v>NOT_AVAILABLE</x:v>
      </x:c>
      <x:c r="E244" s="25" t="str">
        <x:v>N/A</x:v>
      </x:c>
      <x:c r="F244" s="26" t="str">
        <x:v>Tests exist but current coverage did not complete</x:v>
      </x:c>
      <x:c r="G244" s="25" t="str">
        <x:v>true</x:v>
      </x:c>
      <x:c r="H244" s="25" t="str">
        <x:v>NOT_AVAILABLE</x:v>
      </x:c>
      <x:c r="I244" s="25" t="str">
        <x:v>NOT_RUN</x:v>
      </x:c>
      <x:c r="J244" s="25" t="str">
        <x:v>NOT_RUN</x:v>
      </x:c>
      <x:c r="K244" s="25" t="n">
        <x:v>1</x:v>
      </x:c>
      <x:c r="L244" s="27" t="b">
        <x:v>0</x:v>
      </x:c>
      <x:c r="M244" s="25" t="str">
        <x:v>Deepseek-flash-v4/state/Round1/shards/Codec.json</x:v>
      </x:c>
      <x:c r="N244" s="25" t="str">
        <x:v>Deepseek-flash-v4/Result/Codec_12/result.json</x:v>
      </x:c>
      <x:c r="O244" s="25" t="str">
        <x:v>Deepseek-flash-v4/Result/Codec_12/result.json</x:v>
      </x:c>
      <x:c r="P244" t="str">
        <x:v>BOTH_NOT_RUN</x:v>
      </x:c>
      <x:c r="Q244" s="21" t="str"/>
      <x:c r="R244" s="21" t="str"/>
      <x:c r="S244" s="21" t="str"/>
      <x:c r="T244" s="17" t="str">
        <x:v>false</x:v>
      </x:c>
      <x:c r="U244" s="17" t="str">
        <x:v>true</x:v>
      </x:c>
      <x:c r="V244" s="17" t="str">
        <x:v>false</x:v>
      </x:c>
    </x:row>
    <x:row r="245" ht="80" customHeight="1">
      <x:c r="A245" s="25" t="str">
        <x:v>Codec</x:v>
      </x:c>
      <x:c r="B245" s="25" t="n">
        <x:v>13</x:v>
      </x:c>
      <x:c r="C245" s="25" t="str">
        <x:v>Round1</x:v>
      </x:c>
      <x:c r="D245" s="25" t="str">
        <x:v>NOT_AVAILABLE</x:v>
      </x:c>
      <x:c r="E245" s="25" t="str">
        <x:v>N/A</x:v>
      </x:c>
      <x:c r="F245" s="26" t="str">
        <x:v>Tests exist but current coverage did not complete</x:v>
      </x:c>
      <x:c r="G245" s="25" t="str">
        <x:v>true</x:v>
      </x:c>
      <x:c r="H245" s="25" t="str">
        <x:v>NOT_AVAILABLE</x:v>
      </x:c>
      <x:c r="I245" s="25" t="str">
        <x:v>NOT_RUN</x:v>
      </x:c>
      <x:c r="J245" s="25" t="str">
        <x:v>FAIL</x:v>
      </x:c>
      <x:c r="K245" s="25" t="n">
        <x:v>2</x:v>
      </x:c>
      <x:c r="L245" s="27" t="b">
        <x:v>0</x:v>
      </x:c>
      <x:c r="M245" s="25" t="str">
        <x:v>Deepseek-flash-v4/state/Round1/shards/Codec.json</x:v>
      </x:c>
      <x:c r="N245" s="25" t="str">
        <x:v>Deepseek-flash-v4/Result/Codec_13/result.json</x:v>
      </x:c>
      <x:c r="O245" s="25" t="str">
        <x:v>Deepseek-flash-v4/Result/Codec_13/result.json</x:v>
      </x:c>
      <x:c r="P245" t="str">
        <x:v>BUGGY_NOT_RUN</x:v>
      </x:c>
      <x:c r="Q245" s="21" t="str"/>
      <x:c r="R245" s="21" t="str"/>
      <x:c r="S245" s="21" t="str"/>
      <x:c r="T245" s="17" t="str">
        <x:v>false</x:v>
      </x:c>
      <x:c r="U245" s="17" t="str">
        <x:v>true</x:v>
      </x:c>
      <x:c r="V245" s="17" t="str">
        <x:v>false</x:v>
      </x:c>
    </x:row>
    <x:row r="246" ht="80" customHeight="1">
      <x:c r="A246" s="25" t="str">
        <x:v>Codec</x:v>
      </x:c>
      <x:c r="B246" s="25" t="n">
        <x:v>14</x:v>
      </x:c>
      <x:c r="C246" s="25" t="str">
        <x:v>Round1</x:v>
      </x:c>
      <x:c r="D246" s="25" t="str">
        <x:v>NOT_AVAILABLE</x:v>
      </x:c>
      <x:c r="E246" s="25" t="str">
        <x:v>N/A</x:v>
      </x:c>
      <x:c r="F246" s="26" t="str">
        <x:v>Tests exist but current coverage did not complete</x:v>
      </x:c>
      <x:c r="G246" s="25" t="str">
        <x:v>true</x:v>
      </x:c>
      <x:c r="H246" s="25" t="str">
        <x:v>NOT_AVAILABLE</x:v>
      </x:c>
      <x:c r="I246" s="25" t="str">
        <x:v>NOT_RUN</x:v>
      </x:c>
      <x:c r="J246" s="25" t="str">
        <x:v>NOT_RUN</x:v>
      </x:c>
      <x:c r="K246" s="25" t="n">
        <x:v>3</x:v>
      </x:c>
      <x:c r="L246" s="27" t="b">
        <x:v>0</x:v>
      </x:c>
      <x:c r="M246" s="25" t="str">
        <x:v>Deepseek-flash-v4/state/Round1/shards/Codec.json</x:v>
      </x:c>
      <x:c r="N246" s="25" t="str">
        <x:v>Deepseek-flash-v4/Result/Codec_14/result.json</x:v>
      </x:c>
      <x:c r="O246" s="25" t="str">
        <x:v>Deepseek-flash-v4/Result/Codec_14/result.json</x:v>
      </x:c>
      <x:c r="P246" t="str">
        <x:v>BOTH_NOT_RUN</x:v>
      </x:c>
      <x:c r="Q246" s="21" t="str"/>
      <x:c r="R246" s="21" t="str"/>
      <x:c r="S246" s="21" t="str"/>
      <x:c r="T246" s="17" t="str">
        <x:v>false</x:v>
      </x:c>
      <x:c r="U246" s="17" t="str">
        <x:v>true</x:v>
      </x:c>
      <x:c r="V246" s="17" t="str">
        <x:v>false</x:v>
      </x:c>
    </x:row>
    <x:row r="247" ht="80" customHeight="1">
      <x:c r="A247" s="25" t="str">
        <x:v>Codec</x:v>
      </x:c>
      <x:c r="B247" s="25" t="n">
        <x:v>15</x:v>
      </x:c>
      <x:c r="C247" s="25" t="str">
        <x:v>Round1</x:v>
      </x:c>
      <x:c r="D247" s="25" t="str">
        <x:v>NOT_AVAILABLE</x:v>
      </x:c>
      <x:c r="E247" s="25" t="str">
        <x:v>N/A</x:v>
      </x:c>
      <x:c r="F247" s="26" t="str">
        <x:v>Tests exist but current coverage did not complete</x:v>
      </x:c>
      <x:c r="G247" s="25" t="str">
        <x:v>true</x:v>
      </x:c>
      <x:c r="H247" s="25" t="str">
        <x:v>NOT_AVAILABLE</x:v>
      </x:c>
      <x:c r="I247" s="25" t="str">
        <x:v>FAIL</x:v>
      </x:c>
      <x:c r="J247" s="25" t="str">
        <x:v>NOT_RUN</x:v>
      </x:c>
      <x:c r="K247" s="25" t="n">
        <x:v>1</x:v>
      </x:c>
      <x:c r="L247" s="27" t="b">
        <x:v>0</x:v>
      </x:c>
      <x:c r="M247" s="25" t="str">
        <x:v>Deepseek-flash-v4/state/Round1/shards/Codec.json</x:v>
      </x:c>
      <x:c r="N247" s="25" t="str">
        <x:v>Deepseek-flash-v4/Result/Codec_15/result.json</x:v>
      </x:c>
      <x:c r="O247" s="25" t="str">
        <x:v>Deepseek-flash-v4/Result/Codec_15/result.json</x:v>
      </x:c>
      <x:c r="P247" t="str">
        <x:v>FIXED_NOT_RUN</x:v>
      </x:c>
      <x:c r="Q247" s="21" t="str"/>
      <x:c r="R247" s="21" t="str"/>
      <x:c r="S247" s="21" t="str"/>
      <x:c r="T247" s="17" t="str">
        <x:v>false</x:v>
      </x:c>
      <x:c r="U247" s="17" t="str">
        <x:v>true</x:v>
      </x:c>
      <x:c r="V247" s="17" t="str">
        <x:v>false</x:v>
      </x:c>
    </x:row>
    <x:row r="248" ht="80" customHeight="1">
      <x:c r="A248" s="25" t="str">
        <x:v>Codec</x:v>
      </x:c>
      <x:c r="B248" s="25" t="n">
        <x:v>16</x:v>
      </x:c>
      <x:c r="C248" s="25" t="str">
        <x:v>Round1</x:v>
      </x:c>
      <x:c r="D248" s="25" t="str">
        <x:v>NOT_AVAILABLE</x:v>
      </x:c>
      <x:c r="E248" s="25" t="str">
        <x:v>N/A</x:v>
      </x:c>
      <x:c r="F248" s="26" t="str">
        <x:v>Tests exist but current coverage did not complete</x:v>
      </x:c>
      <x:c r="G248" s="25" t="str">
        <x:v>true</x:v>
      </x:c>
      <x:c r="H248" s="25" t="str">
        <x:v>NOT_AVAILABLE</x:v>
      </x:c>
      <x:c r="I248" s="25" t="str">
        <x:v>NOT_RUN</x:v>
      </x:c>
      <x:c r="J248" s="25" t="str">
        <x:v>NOT_RUN</x:v>
      </x:c>
      <x:c r="K248" s="25" t="n">
        <x:v>1</x:v>
      </x:c>
      <x:c r="L248" s="27" t="b">
        <x:v>0</x:v>
      </x:c>
      <x:c r="M248" s="25" t="str">
        <x:v>Deepseek-flash-v4/state/Round1/shards/Codec.json</x:v>
      </x:c>
      <x:c r="N248" s="25" t="str">
        <x:v>Deepseek-flash-v4/Result/Codec_16/result.json</x:v>
      </x:c>
      <x:c r="O248" s="25" t="str">
        <x:v>Deepseek-flash-v4/Result/Codec_16/result.json</x:v>
      </x:c>
      <x:c r="P248" t="str">
        <x:v>BOTH_NOT_RUN</x:v>
      </x:c>
      <x:c r="Q248" s="21" t="str"/>
      <x:c r="R248" s="21" t="str"/>
      <x:c r="S248" s="21" t="str"/>
      <x:c r="T248" s="17" t="str">
        <x:v>false</x:v>
      </x:c>
      <x:c r="U248" s="17" t="str">
        <x:v>true</x:v>
      </x:c>
      <x:c r="V248" s="17" t="str">
        <x:v>false</x:v>
      </x:c>
    </x:row>
    <x:row r="249" ht="80" customHeight="1">
      <x:c r="A249" s="25" t="str">
        <x:v>Codec</x:v>
      </x:c>
      <x:c r="B249" s="25" t="n">
        <x:v>17</x:v>
      </x:c>
      <x:c r="C249" s="25" t="str">
        <x:v>Round1</x:v>
      </x:c>
      <x:c r="D249" s="25" t="str">
        <x:v>NOT_AVAILABLE</x:v>
      </x:c>
      <x:c r="E249" s="25" t="str">
        <x:v>N/A</x:v>
      </x:c>
      <x:c r="F249" s="26" t="str">
        <x:v>Tests exist but current coverage did not complete</x:v>
      </x:c>
      <x:c r="G249" s="25" t="str">
        <x:v>true</x:v>
      </x:c>
      <x:c r="H249" s="25" t="str">
        <x:v>NOT_AVAILABLE</x:v>
      </x:c>
      <x:c r="I249" s="25" t="str">
        <x:v>NOT_RUN</x:v>
      </x:c>
      <x:c r="J249" s="25" t="str">
        <x:v>NOT_RUN</x:v>
      </x:c>
      <x:c r="K249" s="25" t="n">
        <x:v>1</x:v>
      </x:c>
      <x:c r="L249" s="27" t="b">
        <x:v>0</x:v>
      </x:c>
      <x:c r="M249" s="25" t="str">
        <x:v>Deepseek-flash-v4/state/Round1/shards/Codec.json</x:v>
      </x:c>
      <x:c r="N249" s="25" t="str">
        <x:v>Deepseek-flash-v4/Result/Codec_17/result.json</x:v>
      </x:c>
      <x:c r="O249" s="25" t="str">
        <x:v>Deepseek-flash-v4/Result/Codec_17/result.json</x:v>
      </x:c>
      <x:c r="P249" t="str">
        <x:v>BOTH_NOT_RUN</x:v>
      </x:c>
      <x:c r="Q249" s="21" t="str"/>
      <x:c r="R249" s="21" t="str"/>
      <x:c r="S249" s="21" t="str"/>
      <x:c r="T249" s="17" t="str">
        <x:v>false</x:v>
      </x:c>
      <x:c r="U249" s="17" t="str">
        <x:v>true</x:v>
      </x:c>
      <x:c r="V249" s="17" t="str">
        <x:v>false</x:v>
      </x:c>
    </x:row>
    <x:row r="250" ht="80" customHeight="1">
      <x:c r="A250" s="25" t="str">
        <x:v>Codec</x:v>
      </x:c>
      <x:c r="B250" s="25" t="n">
        <x:v>18</x:v>
      </x:c>
      <x:c r="C250" s="25" t="str">
        <x:v>Round1</x:v>
      </x:c>
      <x:c r="D250" s="25" t="str">
        <x:v>NOT_AVAILABLE</x:v>
      </x:c>
      <x:c r="E250" s="25" t="str">
        <x:v>N/A</x:v>
      </x:c>
      <x:c r="F250" s="26" t="str">
        <x:v>Tests exist but current coverage did not complete</x:v>
      </x:c>
      <x:c r="G250" s="25" t="str">
        <x:v>true</x:v>
      </x:c>
      <x:c r="H250" s="25" t="str">
        <x:v>NOT_AVAILABLE</x:v>
      </x:c>
      <x:c r="I250" s="25" t="str">
        <x:v>NOT_RUN</x:v>
      </x:c>
      <x:c r="J250" s="25" t="str">
        <x:v>NOT_RUN</x:v>
      </x:c>
      <x:c r="K250" s="25" t="n">
        <x:v>1</x:v>
      </x:c>
      <x:c r="L250" s="27" t="b">
        <x:v>0</x:v>
      </x:c>
      <x:c r="M250" s="25" t="str">
        <x:v>Deepseek-flash-v4/state/Round1/shards/Codec.json</x:v>
      </x:c>
      <x:c r="N250" s="25" t="str">
        <x:v>Deepseek-flash-v4/Result/Codec_18/result.json</x:v>
      </x:c>
      <x:c r="O250" s="25" t="str">
        <x:v>Deepseek-flash-v4/Result/Codec_18/result.json</x:v>
      </x:c>
      <x:c r="P250" t="str">
        <x:v>BOTH_NOT_RUN</x:v>
      </x:c>
      <x:c r="Q250" s="21" t="str"/>
      <x:c r="R250" s="21" t="str"/>
      <x:c r="S250" s="21" t="str"/>
      <x:c r="T250" s="17" t="str">
        <x:v>false</x:v>
      </x:c>
      <x:c r="U250" s="17" t="str">
        <x:v>true</x:v>
      </x:c>
      <x:c r="V250" s="17" t="str">
        <x:v>false</x:v>
      </x:c>
    </x:row>
    <x:row r="251" ht="80" customHeight="1">
      <x:c r="A251" s="25" t="str">
        <x:v>Codec</x:v>
      </x:c>
      <x:c r="B251" s="25" t="n">
        <x:v>2</x:v>
      </x:c>
      <x:c r="C251" s="25" t="str">
        <x:v>Round1</x:v>
      </x:c>
      <x:c r="D251" s="25" t="str">
        <x:v>INCONCLUSIVE</x:v>
      </x:c>
      <x:c r="E251" s="25" t="str">
        <x:v>N/A</x:v>
      </x:c>
      <x:c r="F251" s="26" t="str">
        <x:v>Fixed also failed; assertion failure cannot be attributed to this bug</x:v>
      </x:c>
      <x:c r="G251" s="25" t="str">
        <x:v>true</x:v>
      </x:c>
      <x:c r="H251" s="25" t="str">
        <x:v>INCONCLUSIVE</x:v>
      </x:c>
      <x:c r="I251" s="25" t="str">
        <x:v>FAIL</x:v>
      </x:c>
      <x:c r="J251" s="25" t="str">
        <x:v>FAIL</x:v>
      </x:c>
      <x:c r="K251" s="25" t="n">
        <x:v>1</x:v>
      </x:c>
      <x:c r="L251" s="27" t="b">
        <x:v>0</x:v>
      </x:c>
      <x:c r="M251" s="25" t="str">
        <x:v>Deepseek-flash-v4/state/Round1/shards/Codec.json</x:v>
      </x:c>
      <x:c r="N251" s="25" t="str">
        <x:v>Deepseek-flash-v4/Result/Codec_2/result.json</x:v>
      </x:c>
      <x:c r="O251" s="25" t="str">
        <x:v>Deepseek-flash-v4/Result/Codec_2/result.json</x:v>
      </x:c>
      <x:c r="P251"/>
      <x:c r="Q251" s="21" t="str"/>
      <x:c r="R251" s="21" t="str"/>
      <x:c r="S251" s="21" t="str"/>
      <x:c r="T251" s="17" t="str">
        <x:v>false</x:v>
      </x:c>
      <x:c r="U251" s="17" t="str">
        <x:v>true</x:v>
      </x:c>
      <x:c r="V251" s="17" t="str">
        <x:v>false</x:v>
      </x:c>
    </x:row>
    <x:row r="252" ht="80" customHeight="1">
      <x:c r="A252" s="25" t="str">
        <x:v>Codec</x:v>
      </x:c>
      <x:c r="B252" s="25" t="n">
        <x:v>3</x:v>
      </x:c>
      <x:c r="C252" s="25" t="str">
        <x:v>Round1</x:v>
      </x:c>
      <x:c r="D252" s="25" t="str">
        <x:v>NOT_AVAILABLE</x:v>
      </x:c>
      <x:c r="E252" s="25" t="str">
        <x:v>N/A</x:v>
      </x:c>
      <x:c r="F252" s="26" t="str">
        <x:v>Tests exist but current coverage did not complete</x:v>
      </x:c>
      <x:c r="G252" s="25" t="str">
        <x:v>true</x:v>
      </x:c>
      <x:c r="H252" s="25" t="str">
        <x:v>NOT_AVAILABLE</x:v>
      </x:c>
      <x:c r="I252" s="25" t="str">
        <x:v>NOT_RUN</x:v>
      </x:c>
      <x:c r="J252" s="25" t="str">
        <x:v>NOT_RUN</x:v>
      </x:c>
      <x:c r="K252" s="25" t="n">
        <x:v>1</x:v>
      </x:c>
      <x:c r="L252" s="27" t="b">
        <x:v>0</x:v>
      </x:c>
      <x:c r="M252" s="25" t="str">
        <x:v>Deepseek-flash-v4/state/Round1/shards/Codec.json</x:v>
      </x:c>
      <x:c r="N252" s="25" t="str">
        <x:v>Deepseek-flash-v4/Result/Codec_3/result.json</x:v>
      </x:c>
      <x:c r="O252" s="25" t="str">
        <x:v>Deepseek-flash-v4/Result/Codec_3/result.json</x:v>
      </x:c>
      <x:c r="P252" t="str">
        <x:v>BOTH_NOT_RUN</x:v>
      </x:c>
      <x:c r="Q252" s="21" t="str"/>
      <x:c r="R252" s="21" t="str"/>
      <x:c r="S252" s="21" t="str"/>
      <x:c r="T252" s="17" t="str">
        <x:v>false</x:v>
      </x:c>
      <x:c r="U252" s="17" t="str">
        <x:v>true</x:v>
      </x:c>
      <x:c r="V252" s="17" t="str">
        <x:v>false</x:v>
      </x:c>
    </x:row>
    <x:row r="253" ht="80" customHeight="1">
      <x:c r="A253" s="25" t="str">
        <x:v>Codec</x:v>
      </x:c>
      <x:c r="B253" s="25" t="n">
        <x:v>4</x:v>
      </x:c>
      <x:c r="C253" s="25" t="str">
        <x:v>Round1</x:v>
      </x:c>
      <x:c r="D253" s="25" t="str">
        <x:v>NOT_AVAILABLE</x:v>
      </x:c>
      <x:c r="E253" s="25" t="str">
        <x:v>N/A</x:v>
      </x:c>
      <x:c r="F253" s="26" t="str">
        <x:v>Tests exist but current coverage did not complete</x:v>
      </x:c>
      <x:c r="G253" s="25" t="str">
        <x:v>true</x:v>
      </x:c>
      <x:c r="H253" s="25" t="str">
        <x:v>NOT_AVAILABLE</x:v>
      </x:c>
      <x:c r="I253" s="25" t="str">
        <x:v>NOT_RUN</x:v>
      </x:c>
      <x:c r="J253" s="25" t="str">
        <x:v>NOT_RUN</x:v>
      </x:c>
      <x:c r="K253" s="25" t="n">
        <x:v>1</x:v>
      </x:c>
      <x:c r="L253" s="27" t="b">
        <x:v>0</x:v>
      </x:c>
      <x:c r="M253" s="25" t="str">
        <x:v>Deepseek-flash-v4/state/Round1/shards/Codec.json</x:v>
      </x:c>
      <x:c r="N253" s="25" t="str">
        <x:v>Deepseek-flash-v4/Result/Codec_4/result.json</x:v>
      </x:c>
      <x:c r="O253" s="25" t="str">
        <x:v>Deepseek-flash-v4/Result/Codec_4/result.json</x:v>
      </x:c>
      <x:c r="P253" t="str">
        <x:v>BOTH_NOT_RUN</x:v>
      </x:c>
      <x:c r="Q253" s="21" t="str"/>
      <x:c r="R253" s="21" t="str"/>
      <x:c r="S253" s="21" t="str"/>
      <x:c r="T253" s="17" t="str">
        <x:v>false</x:v>
      </x:c>
      <x:c r="U253" s="17" t="str">
        <x:v>true</x:v>
      </x:c>
      <x:c r="V253" s="17" t="str">
        <x:v>false</x:v>
      </x:c>
    </x:row>
    <x:row r="254" ht="80" customHeight="1">
      <x:c r="A254" s="25" t="str">
        <x:v>Codec</x:v>
      </x:c>
      <x:c r="B254" s="25" t="n">
        <x:v>5</x:v>
      </x:c>
      <x:c r="C254" s="25" t="str">
        <x:v>Round1</x:v>
      </x:c>
      <x:c r="D254" s="25" t="str">
        <x:v>INCONCLUSIVE</x:v>
      </x:c>
      <x:c r="E254" s="25" t="str">
        <x:v>N/A</x:v>
      </x:c>
      <x:c r="F254" s="26" t="str">
        <x:v>Fixed also failed; assertion failure cannot be attributed to this bug</x:v>
      </x:c>
      <x:c r="G254" s="25" t="str">
        <x:v>true</x:v>
      </x:c>
      <x:c r="H254" s="25" t="str">
        <x:v>INCONCLUSIVE</x:v>
      </x:c>
      <x:c r="I254" s="25" t="str">
        <x:v>FAIL</x:v>
      </x:c>
      <x:c r="J254" s="25" t="str">
        <x:v>FAIL</x:v>
      </x:c>
      <x:c r="K254" s="25" t="n">
        <x:v>1</x:v>
      </x:c>
      <x:c r="L254" s="27" t="b">
        <x:v>0</x:v>
      </x:c>
      <x:c r="M254" s="25" t="str">
        <x:v>Deepseek-flash-v4/state/Round1/shards/Codec.json</x:v>
      </x:c>
      <x:c r="N254" s="25" t="str">
        <x:v>Deepseek-flash-v4/Result/Codec_5/result.json</x:v>
      </x:c>
      <x:c r="O254" s="25" t="str">
        <x:v>Deepseek-flash-v4/Result/Codec_5/result.json</x:v>
      </x:c>
      <x:c r="P254"/>
      <x:c r="Q254" s="21" t="str"/>
      <x:c r="R254" s="21" t="str"/>
      <x:c r="S254" s="21" t="str"/>
      <x:c r="T254" s="17" t="str">
        <x:v>false</x:v>
      </x:c>
      <x:c r="U254" s="17" t="str">
        <x:v>true</x:v>
      </x:c>
      <x:c r="V254" s="17" t="str">
        <x:v>false</x:v>
      </x:c>
    </x:row>
    <x:row r="255" ht="80" customHeight="1">
      <x:c r="A255" s="25" t="str">
        <x:v>Codec</x:v>
      </x:c>
      <x:c r="B255" s="25" t="n">
        <x:v>6</x:v>
      </x:c>
      <x:c r="C255" s="25" t="str">
        <x:v>Round1</x:v>
      </x:c>
      <x:c r="D255" s="25" t="str">
        <x:v>NOT_AVAILABLE</x:v>
      </x:c>
      <x:c r="E255" s="25" t="str">
        <x:v>N/A</x:v>
      </x:c>
      <x:c r="F255" s="26" t="str">
        <x:v>Tests exist but current coverage did not complete</x:v>
      </x:c>
      <x:c r="G255" s="25" t="str">
        <x:v>true</x:v>
      </x:c>
      <x:c r="H255" s="25" t="str">
        <x:v>NOT_AVAILABLE</x:v>
      </x:c>
      <x:c r="I255" s="25" t="str">
        <x:v>NOT_RUN</x:v>
      </x:c>
      <x:c r="J255" s="25" t="str">
        <x:v>NOT_RUN</x:v>
      </x:c>
      <x:c r="K255" s="25" t="n">
        <x:v>1</x:v>
      </x:c>
      <x:c r="L255" s="27" t="b">
        <x:v>0</x:v>
      </x:c>
      <x:c r="M255" s="25" t="str">
        <x:v>Deepseek-flash-v4/state/Round1/shards/Codec.json</x:v>
      </x:c>
      <x:c r="N255" s="25" t="str">
        <x:v>Deepseek-flash-v4/Result/Codec_6/result.json</x:v>
      </x:c>
      <x:c r="O255" s="25" t="str">
        <x:v>Deepseek-flash-v4/Result/Codec_6/result.json</x:v>
      </x:c>
      <x:c r="P255" t="str">
        <x:v>BOTH_NOT_RUN</x:v>
      </x:c>
      <x:c r="Q255" s="21" t="str"/>
      <x:c r="R255" s="21" t="str"/>
      <x:c r="S255" s="21" t="str"/>
      <x:c r="T255" s="17" t="str">
        <x:v>false</x:v>
      </x:c>
      <x:c r="U255" s="17" t="str">
        <x:v>true</x:v>
      </x:c>
      <x:c r="V255" s="17" t="str">
        <x:v>false</x:v>
      </x:c>
    </x:row>
    <x:row r="256" ht="80" customHeight="1">
      <x:c r="A256" s="25" t="str">
        <x:v>Codec</x:v>
      </x:c>
      <x:c r="B256" s="25" t="n">
        <x:v>7</x:v>
      </x:c>
      <x:c r="C256" s="25" t="str">
        <x:v>Round1</x:v>
      </x:c>
      <x:c r="D256" s="25" t="str">
        <x:v>INCONCLUSIVE</x:v>
      </x:c>
      <x:c r="E256" s="25" t="str">
        <x:v>N/A</x:v>
      </x:c>
      <x:c r="F256" s="26" t="str">
        <x:v>Fixed also failed; assertion failure cannot be attributed to this bug</x:v>
      </x:c>
      <x:c r="G256" s="25" t="str">
        <x:v>true</x:v>
      </x:c>
      <x:c r="H256" s="25" t="str">
        <x:v>INCONCLUSIVE</x:v>
      </x:c>
      <x:c r="I256" s="25" t="str">
        <x:v>FAIL</x:v>
      </x:c>
      <x:c r="J256" s="25" t="str">
        <x:v>FAIL</x:v>
      </x:c>
      <x:c r="K256" s="25" t="n">
        <x:v>1</x:v>
      </x:c>
      <x:c r="L256" s="27" t="b">
        <x:v>0</x:v>
      </x:c>
      <x:c r="M256" s="25" t="str">
        <x:v>Deepseek-flash-v4/state/Round1/shards/Codec.json</x:v>
      </x:c>
      <x:c r="N256" s="25" t="str">
        <x:v>Deepseek-flash-v4/Result/Codec_7/result.json</x:v>
      </x:c>
      <x:c r="O256" s="25" t="str">
        <x:v>Deepseek-flash-v4/Result/Codec_7/result.json</x:v>
      </x:c>
      <x:c r="P256"/>
      <x:c r="Q256" s="21" t="str"/>
      <x:c r="R256" s="21" t="str"/>
      <x:c r="S256" s="21" t="str"/>
      <x:c r="T256" s="17" t="str">
        <x:v>false</x:v>
      </x:c>
      <x:c r="U256" s="17" t="str">
        <x:v>true</x:v>
      </x:c>
      <x:c r="V256" s="17" t="str">
        <x:v>false</x:v>
      </x:c>
    </x:row>
    <x:row r="257" ht="80" customHeight="1">
      <x:c r="A257" s="25" t="str">
        <x:v>Codec</x:v>
      </x:c>
      <x:c r="B257" s="25" t="n">
        <x:v>8</x:v>
      </x:c>
      <x:c r="C257" s="25" t="str">
        <x:v>Round1</x:v>
      </x:c>
      <x:c r="D257" s="25" t="str">
        <x:v>INCONCLUSIVE</x:v>
      </x:c>
      <x:c r="E257" s="25" t="str">
        <x:v>N/A</x:v>
      </x:c>
      <x:c r="F257" s="26" t="str">
        <x:v>Fixed also failed; assertion failure cannot be attributed to this bug</x:v>
      </x:c>
      <x:c r="G257" s="25" t="str">
        <x:v>true</x:v>
      </x:c>
      <x:c r="H257" s="25" t="str">
        <x:v>INCONCLUSIVE</x:v>
      </x:c>
      <x:c r="I257" s="25" t="str">
        <x:v>FAIL</x:v>
      </x:c>
      <x:c r="J257" s="25" t="str">
        <x:v>FAIL</x:v>
      </x:c>
      <x:c r="K257" s="25" t="n">
        <x:v>2</x:v>
      </x:c>
      <x:c r="L257" s="27" t="b">
        <x:v>0</x:v>
      </x:c>
      <x:c r="M257" s="25" t="str">
        <x:v>Deepseek-flash-v4/state/Round1/shards/Codec.json</x:v>
      </x:c>
      <x:c r="N257" s="25" t="str">
        <x:v>Deepseek-flash-v4/Result/Codec_8/result.json</x:v>
      </x:c>
      <x:c r="O257" s="25" t="str">
        <x:v>Deepseek-flash-v4/Result/Codec_8/result.json</x:v>
      </x:c>
      <x:c r="P257"/>
      <x:c r="Q257" s="21" t="str"/>
      <x:c r="R257" s="21" t="str"/>
      <x:c r="S257" s="21" t="str"/>
      <x:c r="T257" s="17" t="str">
        <x:v>false</x:v>
      </x:c>
      <x:c r="U257" s="17" t="str">
        <x:v>true</x:v>
      </x:c>
      <x:c r="V257" s="17" t="str">
        <x:v>false</x:v>
      </x:c>
    </x:row>
    <x:row r="258" ht="80" customHeight="1">
      <x:c r="A258" s="25" t="str">
        <x:v>Codec</x:v>
      </x:c>
      <x:c r="B258" s="25" t="n">
        <x:v>9</x:v>
      </x:c>
      <x:c r="C258" s="25" t="str">
        <x:v>Round1</x:v>
      </x:c>
      <x:c r="D258" s="25" t="str">
        <x:v>NOT_AVAILABLE</x:v>
      </x:c>
      <x:c r="E258" s="25" t="str">
        <x:v>N/A</x:v>
      </x:c>
      <x:c r="F258" s="26" t="str">
        <x:v>Tests exist but current coverage did not complete</x:v>
      </x:c>
      <x:c r="G258" s="25" t="str">
        <x:v>true</x:v>
      </x:c>
      <x:c r="H258" s="25" t="str">
        <x:v>NOT_AVAILABLE</x:v>
      </x:c>
      <x:c r="I258" s="25" t="str">
        <x:v>NOT_RUN</x:v>
      </x:c>
      <x:c r="J258" s="25" t="str">
        <x:v>NOT_RUN</x:v>
      </x:c>
      <x:c r="K258" s="25" t="n">
        <x:v>1</x:v>
      </x:c>
      <x:c r="L258" s="27" t="b">
        <x:v>0</x:v>
      </x:c>
      <x:c r="M258" s="25" t="str">
        <x:v>Deepseek-flash-v4/state/Round1/shards/Codec.json</x:v>
      </x:c>
      <x:c r="N258" s="25" t="str">
        <x:v>Deepseek-flash-v4/Result/Codec_9/result.json</x:v>
      </x:c>
      <x:c r="O258" s="25" t="str">
        <x:v>Deepseek-flash-v4/Result/Codec_9/result.json</x:v>
      </x:c>
      <x:c r="P258" t="str">
        <x:v>BOTH_NOT_RUN</x:v>
      </x:c>
      <x:c r="Q258" s="21" t="str"/>
      <x:c r="R258" s="21" t="str"/>
      <x:c r="S258" s="21" t="str"/>
      <x:c r="T258" s="17" t="str">
        <x:v>false</x:v>
      </x:c>
      <x:c r="U258" s="17" t="str">
        <x:v>true</x:v>
      </x:c>
      <x:c r="V258" s="17" t="str">
        <x:v>false</x:v>
      </x:c>
    </x:row>
    <x:row r="259" ht="80" customHeight="1">
      <x:c r="A259" s="25" t="str">
        <x:v>Collections</x:v>
      </x:c>
      <x:c r="B259" s="25" t="n">
        <x:v>1</x:v>
      </x:c>
      <x:c r="C259" s="25" t="str">
        <x:v>Round1</x:v>
      </x:c>
      <x:c r="D259" s="25" t="str">
        <x:v>NOT_AVAILABLE</x:v>
      </x:c>
      <x:c r="E259" s="25" t="str">
        <x:v>N/A</x:v>
      </x:c>
      <x:c r="F259" s="26" t="str">
        <x:v>Tests exist but current coverage did not complete</x:v>
      </x:c>
      <x:c r="G259" s="25" t="str">
        <x:v>true</x:v>
      </x:c>
      <x:c r="H259" s="25" t="str">
        <x:v>NOT_AVAILABLE</x:v>
      </x:c>
      <x:c r="I259" s="25" t="str">
        <x:v>NOT_RUN</x:v>
      </x:c>
      <x:c r="J259" s="25" t="str">
        <x:v>NOT_RUN</x:v>
      </x:c>
      <x:c r="K259" s="25" t="n">
        <x:v>1</x:v>
      </x:c>
      <x:c r="L259" s="27" t="b">
        <x:v>0</x:v>
      </x:c>
      <x:c r="M259" s="25" t="str">
        <x:v>Deepseek-flash-v4/state/Round1/shards/Collections.json</x:v>
      </x:c>
      <x:c r="N259" s="25" t="str">
        <x:v>Deepseek-flash-v4/Result/Collections_1/result.json</x:v>
      </x:c>
      <x:c r="O259" s="25" t="str">
        <x:v>Deepseek-flash-v4/Result/Collections_1/result.json</x:v>
      </x:c>
      <x:c r="P259" t="str">
        <x:v>BOTH_NOT_RUN</x:v>
      </x:c>
      <x:c r="Q259" s="21" t="str"/>
      <x:c r="R259" s="21" t="str"/>
      <x:c r="S259" s="21" t="str"/>
      <x:c r="T259" s="17" t="str">
        <x:v>false</x:v>
      </x:c>
      <x:c r="U259" s="17" t="str">
        <x:v>true</x:v>
      </x:c>
      <x:c r="V259" s="17" t="str">
        <x:v>false</x:v>
      </x:c>
    </x:row>
    <x:row r="260" ht="80" customHeight="1">
      <x:c r="A260" s="25" t="str">
        <x:v>Collections</x:v>
      </x:c>
      <x:c r="B260" s="25" t="n">
        <x:v>10</x:v>
      </x:c>
      <x:c r="C260" s="25" t="str">
        <x:v>Round1</x:v>
      </x:c>
      <x:c r="D260" s="25" t="str">
        <x:v>NOT_REVEALING</x:v>
      </x:c>
      <x:c r="E260" s="25" t="str">
        <x:v>N/A</x:v>
      </x:c>
      <x:c r="F260" s="26" t="str">
        <x:v>Same saved validation suite passed on buggy and fixed</x:v>
      </x:c>
      <x:c r="G260" s="25" t="str">
        <x:v>true</x:v>
      </x:c>
      <x:c r="H260" s="25" t="str">
        <x:v>NOT_REVEALING</x:v>
      </x:c>
      <x:c r="I260" s="25" t="str">
        <x:v>PASS</x:v>
      </x:c>
      <x:c r="J260" s="25" t="str">
        <x:v>PASS</x:v>
      </x:c>
      <x:c r="K260" s="25" t="n">
        <x:v>1</x:v>
      </x:c>
      <x:c r="L260" s="27" t="b">
        <x:v>0</x:v>
      </x:c>
      <x:c r="M260" s="25" t="str">
        <x:v>Deepseek-flash-v4/state/Round1/shards/Collections.json</x:v>
      </x:c>
      <x:c r="N260" s="25" t="str">
        <x:v>Deepseek-flash-v4/Result/Collections_10/result.json</x:v>
      </x:c>
      <x:c r="O260" s="25" t="str">
        <x:v>Deepseek-flash-v4/Result/Collections_10/result.json</x:v>
      </x:c>
      <x:c r="P260"/>
      <x:c r="Q260" s="21" t="str"/>
      <x:c r="R260" s="21" t="str"/>
      <x:c r="S260" s="21" t="str"/>
      <x:c r="T260" s="17" t="str">
        <x:v>false</x:v>
      </x:c>
      <x:c r="U260" s="17" t="str">
        <x:v>true</x:v>
      </x:c>
      <x:c r="V260" s="17" t="str">
        <x:v>false</x:v>
      </x:c>
    </x:row>
    <x:row r="261" ht="80" customHeight="1">
      <x:c r="A261" s="25" t="str">
        <x:v>Collections</x:v>
      </x:c>
      <x:c r="B261" s="25" t="n">
        <x:v>11</x:v>
      </x:c>
      <x:c r="C261" s="25" t="str">
        <x:v>Round1</x:v>
      </x:c>
      <x:c r="D261" s="25" t="str">
        <x:v>INCONCLUSIVE</x:v>
      </x:c>
      <x:c r="E261" s="25" t="str">
        <x:v>N/A</x:v>
      </x:c>
      <x:c r="F261" s="26" t="str">
        <x:v>Fixed also failed; assertion failure cannot be attributed to this bug</x:v>
      </x:c>
      <x:c r="G261" s="25" t="str">
        <x:v>true</x:v>
      </x:c>
      <x:c r="H261" s="25" t="str">
        <x:v>INCONCLUSIVE</x:v>
      </x:c>
      <x:c r="I261" s="25" t="str">
        <x:v>FAIL</x:v>
      </x:c>
      <x:c r="J261" s="25" t="str">
        <x:v>FAIL</x:v>
      </x:c>
      <x:c r="K261" s="25" t="n">
        <x:v>1</x:v>
      </x:c>
      <x:c r="L261" s="27" t="b">
        <x:v>0</x:v>
      </x:c>
      <x:c r="M261" s="25" t="str">
        <x:v>Deepseek-flash-v4/state/Round1/shards/Collections.json</x:v>
      </x:c>
      <x:c r="N261" s="25" t="str">
        <x:v>Deepseek-flash-v4/Result/Collections_11/result.json</x:v>
      </x:c>
      <x:c r="O261" s="25" t="str">
        <x:v>Deepseek-flash-v4/Result/Collections_11/result.json</x:v>
      </x:c>
      <x:c r="P261"/>
      <x:c r="Q261" s="21" t="str"/>
      <x:c r="R261" s="21" t="str"/>
      <x:c r="S261" s="21" t="str"/>
      <x:c r="T261" s="17" t="str">
        <x:v>false</x:v>
      </x:c>
      <x:c r="U261" s="17" t="str">
        <x:v>true</x:v>
      </x:c>
      <x:c r="V261" s="17" t="str">
        <x:v>false</x:v>
      </x:c>
    </x:row>
    <x:row r="262" ht="80" customHeight="1">
      <x:c r="A262" s="25" t="str">
        <x:v>Collections</x:v>
      </x:c>
      <x:c r="B262" s="25" t="n">
        <x:v>12</x:v>
      </x:c>
      <x:c r="C262" s="25" t="str">
        <x:v>Round1</x:v>
      </x:c>
      <x:c r="D262" s="25" t="str">
        <x:v>NOT_AVAILABLE</x:v>
      </x:c>
      <x:c r="E262" s="25" t="str">
        <x:v>N/A</x:v>
      </x:c>
      <x:c r="F262" s="26" t="str">
        <x:v>Tests exist but current coverage did not complete</x:v>
      </x:c>
      <x:c r="G262" s="25" t="str">
        <x:v>true</x:v>
      </x:c>
      <x:c r="H262" s="25" t="str">
        <x:v>NOT_AVAILABLE</x:v>
      </x:c>
      <x:c r="I262" s="25" t="str">
        <x:v>NOT_RUN</x:v>
      </x:c>
      <x:c r="J262" s="25" t="str">
        <x:v>NOT_RUN</x:v>
      </x:c>
      <x:c r="K262" s="25" t="n">
        <x:v>1</x:v>
      </x:c>
      <x:c r="L262" s="27" t="b">
        <x:v>0</x:v>
      </x:c>
      <x:c r="M262" s="25" t="str">
        <x:v>Deepseek-flash-v4/state/Round1/shards/Collections.json</x:v>
      </x:c>
      <x:c r="N262" s="25" t="str">
        <x:v>Deepseek-flash-v4/Result/Collections_12/result.json</x:v>
      </x:c>
      <x:c r="O262" s="25" t="str">
        <x:v>Deepseek-flash-v4/Result/Collections_12/result.json</x:v>
      </x:c>
      <x:c r="P262" t="str">
        <x:v>BOTH_NOT_RUN</x:v>
      </x:c>
      <x:c r="Q262" s="21" t="str"/>
      <x:c r="R262" s="21" t="str"/>
      <x:c r="S262" s="21" t="str"/>
      <x:c r="T262" s="17" t="str">
        <x:v>false</x:v>
      </x:c>
      <x:c r="U262" s="17" t="str">
        <x:v>true</x:v>
      </x:c>
      <x:c r="V262" s="17" t="str">
        <x:v>false</x:v>
      </x:c>
    </x:row>
    <x:row r="263" ht="80" customHeight="1">
      <x:c r="A263" s="25" t="str">
        <x:v>Collections</x:v>
      </x:c>
      <x:c r="B263" s="25" t="n">
        <x:v>13</x:v>
      </x:c>
      <x:c r="C263" s="25" t="str">
        <x:v>Round1</x:v>
      </x:c>
      <x:c r="D263" s="25" t="str">
        <x:v>NOT_AVAILABLE</x:v>
      </x:c>
      <x:c r="E263" s="25" t="str">
        <x:v>N/A</x:v>
      </x:c>
      <x:c r="F263" s="26" t="str">
        <x:v>Tests exist but current coverage did not complete</x:v>
      </x:c>
      <x:c r="G263" s="25" t="str">
        <x:v>true</x:v>
      </x:c>
      <x:c r="H263" s="25" t="str">
        <x:v>NOT_AVAILABLE</x:v>
      </x:c>
      <x:c r="I263" s="25" t="str">
        <x:v>NOT_RUN</x:v>
      </x:c>
      <x:c r="J263" s="25" t="str">
        <x:v>NOT_RUN</x:v>
      </x:c>
      <x:c r="K263" s="25" t="n">
        <x:v>1</x:v>
      </x:c>
      <x:c r="L263" s="27" t="b">
        <x:v>0</x:v>
      </x:c>
      <x:c r="M263" s="25" t="str">
        <x:v>Deepseek-flash-v4/state/Round1/shards/Collections.json</x:v>
      </x:c>
      <x:c r="N263" s="25" t="str">
        <x:v>Deepseek-flash-v4/Result/Collections_13/result.json</x:v>
      </x:c>
      <x:c r="O263" s="25" t="str">
        <x:v>Deepseek-flash-v4/Result/Collections_13/result.json</x:v>
      </x:c>
      <x:c r="P263" t="str">
        <x:v>BOTH_NOT_RUN</x:v>
      </x:c>
      <x:c r="Q263" s="21" t="str"/>
      <x:c r="R263" s="21" t="str"/>
      <x:c r="S263" s="21" t="str"/>
      <x:c r="T263" s="17" t="str">
        <x:v>false</x:v>
      </x:c>
      <x:c r="U263" s="17" t="str">
        <x:v>true</x:v>
      </x:c>
      <x:c r="V263" s="17" t="str">
        <x:v>false</x:v>
      </x:c>
    </x:row>
    <x:row r="264" ht="80" customHeight="1">
      <x:c r="A264" s="25" t="str">
        <x:v>Collections</x:v>
      </x:c>
      <x:c r="B264" s="25" t="n">
        <x:v>14</x:v>
      </x:c>
      <x:c r="C264" s="25" t="str">
        <x:v>Round1</x:v>
      </x:c>
      <x:c r="D264" s="25" t="str">
        <x:v>NOT_AVAILABLE</x:v>
      </x:c>
      <x:c r="E264" s="25" t="str">
        <x:v>N/A</x:v>
      </x:c>
      <x:c r="F264" s="26" t="str">
        <x:v>Tests exist but current coverage did not complete</x:v>
      </x:c>
      <x:c r="G264" s="25" t="str">
        <x:v>true</x:v>
      </x:c>
      <x:c r="H264" s="25" t="str">
        <x:v>NOT_AVAILABLE</x:v>
      </x:c>
      <x:c r="I264" s="25" t="str">
        <x:v>NOT_RUN</x:v>
      </x:c>
      <x:c r="J264" s="25" t="str">
        <x:v>NOT_RUN</x:v>
      </x:c>
      <x:c r="K264" s="25" t="n">
        <x:v>1</x:v>
      </x:c>
      <x:c r="L264" s="27" t="b">
        <x:v>0</x:v>
      </x:c>
      <x:c r="M264" s="25" t="str">
        <x:v>Deepseek-flash-v4/state/Round1/shards/Collections.json</x:v>
      </x:c>
      <x:c r="N264" s="25" t="str">
        <x:v>Deepseek-flash-v4/Result/Collections_14/result.json</x:v>
      </x:c>
      <x:c r="O264" s="25" t="str">
        <x:v>Deepseek-flash-v4/Result/Collections_14/result.json</x:v>
      </x:c>
      <x:c r="P264" t="str">
        <x:v>BOTH_NOT_RUN</x:v>
      </x:c>
      <x:c r="Q264" s="21" t="str"/>
      <x:c r="R264" s="21" t="str"/>
      <x:c r="S264" s="21" t="str"/>
      <x:c r="T264" s="17" t="str">
        <x:v>false</x:v>
      </x:c>
      <x:c r="U264" s="17" t="str">
        <x:v>true</x:v>
      </x:c>
      <x:c r="V264" s="17" t="str">
        <x:v>false</x:v>
      </x:c>
    </x:row>
    <x:row r="265" ht="80" customHeight="1">
      <x:c r="A265" s="25" t="str">
        <x:v>Collections</x:v>
      </x:c>
      <x:c r="B265" s="25" t="n">
        <x:v>15</x:v>
      </x:c>
      <x:c r="C265" s="25" t="str">
        <x:v>Round1</x:v>
      </x:c>
      <x:c r="D265" s="25" t="str">
        <x:v>NOT_AVAILABLE</x:v>
      </x:c>
      <x:c r="E265" s="25" t="str">
        <x:v>N/A</x:v>
      </x:c>
      <x:c r="F265" s="26" t="str">
        <x:v>Tests exist but current coverage did not complete</x:v>
      </x:c>
      <x:c r="G265" s="25" t="str">
        <x:v>true</x:v>
      </x:c>
      <x:c r="H265" s="25" t="str">
        <x:v>NOT_AVAILABLE</x:v>
      </x:c>
      <x:c r="I265" s="25" t="str">
        <x:v>NOT_RUN</x:v>
      </x:c>
      <x:c r="J265" s="25" t="str">
        <x:v>NOT_RUN</x:v>
      </x:c>
      <x:c r="K265" s="25" t="n">
        <x:v>1</x:v>
      </x:c>
      <x:c r="L265" s="27" t="b">
        <x:v>0</x:v>
      </x:c>
      <x:c r="M265" s="25" t="str">
        <x:v>Deepseek-flash-v4/state/Round1/shards/Collections.json</x:v>
      </x:c>
      <x:c r="N265" s="25" t="str">
        <x:v>Deepseek-flash-v4/Result/Collections_15/result.json</x:v>
      </x:c>
      <x:c r="O265" s="25" t="str">
        <x:v>Deepseek-flash-v4/Result/Collections_15/result.json</x:v>
      </x:c>
      <x:c r="P265" t="str">
        <x:v>BOTH_NOT_RUN</x:v>
      </x:c>
      <x:c r="Q265" s="21" t="str"/>
      <x:c r="R265" s="21" t="str"/>
      <x:c r="S265" s="21" t="str"/>
      <x:c r="T265" s="17" t="str">
        <x:v>false</x:v>
      </x:c>
      <x:c r="U265" s="17" t="str">
        <x:v>true</x:v>
      </x:c>
      <x:c r="V265" s="17" t="str">
        <x:v>false</x:v>
      </x:c>
    </x:row>
    <x:row r="266" ht="80" customHeight="1">
      <x:c r="A266" s="25" t="str">
        <x:v>Collections</x:v>
      </x:c>
      <x:c r="B266" s="25" t="n">
        <x:v>16</x:v>
      </x:c>
      <x:c r="C266" s="25" t="str">
        <x:v>Round1</x:v>
      </x:c>
      <x:c r="D266" s="25" t="str">
        <x:v>NOT_AVAILABLE</x:v>
      </x:c>
      <x:c r="E266" s="25" t="str">
        <x:v>N/A</x:v>
      </x:c>
      <x:c r="F266" s="26" t="str">
        <x:v>Tests exist but current coverage did not complete</x:v>
      </x:c>
      <x:c r="G266" s="25" t="str">
        <x:v>true</x:v>
      </x:c>
      <x:c r="H266" s="25" t="str">
        <x:v>NOT_AVAILABLE</x:v>
      </x:c>
      <x:c r="I266" s="25" t="str">
        <x:v>NOT_RUN</x:v>
      </x:c>
      <x:c r="J266" s="25" t="str">
        <x:v>NOT_RUN</x:v>
      </x:c>
      <x:c r="K266" s="25" t="n">
        <x:v>1</x:v>
      </x:c>
      <x:c r="L266" s="27" t="b">
        <x:v>0</x:v>
      </x:c>
      <x:c r="M266" s="25" t="str">
        <x:v>Deepseek-flash-v4/state/Round1/shards/Collections.json</x:v>
      </x:c>
      <x:c r="N266" s="25" t="str">
        <x:v>Deepseek-flash-v4/Result/Collections_16/result.json</x:v>
      </x:c>
      <x:c r="O266" s="25" t="str">
        <x:v>Deepseek-flash-v4/Result/Collections_16/result.json</x:v>
      </x:c>
      <x:c r="P266" t="str">
        <x:v>BOTH_NOT_RUN</x:v>
      </x:c>
      <x:c r="Q266" s="21" t="str"/>
      <x:c r="R266" s="21" t="str"/>
      <x:c r="S266" s="21" t="str"/>
      <x:c r="T266" s="17" t="str">
        <x:v>false</x:v>
      </x:c>
      <x:c r="U266" s="17" t="str">
        <x:v>true</x:v>
      </x:c>
      <x:c r="V266" s="17" t="str">
        <x:v>false</x:v>
      </x:c>
    </x:row>
    <x:row r="267" ht="80" customHeight="1">
      <x:c r="A267" s="25" t="str">
        <x:v>Collections</x:v>
      </x:c>
      <x:c r="B267" s="25" t="n">
        <x:v>17</x:v>
      </x:c>
      <x:c r="C267" s="25" t="str">
        <x:v>Round1</x:v>
      </x:c>
      <x:c r="D267" s="25" t="str">
        <x:v>NOT_AVAILABLE</x:v>
      </x:c>
      <x:c r="E267" s="25" t="str">
        <x:v>N/A</x:v>
      </x:c>
      <x:c r="F267" s="26" t="str">
        <x:v>Tests exist but current coverage did not complete</x:v>
      </x:c>
      <x:c r="G267" s="25" t="str">
        <x:v>true</x:v>
      </x:c>
      <x:c r="H267" s="25" t="str">
        <x:v>NOT_AVAILABLE</x:v>
      </x:c>
      <x:c r="I267" s="25" t="str">
        <x:v>NOT_RUN</x:v>
      </x:c>
      <x:c r="J267" s="25" t="str">
        <x:v>NOT_RUN</x:v>
      </x:c>
      <x:c r="K267" s="25" t="n">
        <x:v>1</x:v>
      </x:c>
      <x:c r="L267" s="27" t="b">
        <x:v>0</x:v>
      </x:c>
      <x:c r="M267" s="25" t="str">
        <x:v>Deepseek-flash-v4/state/Round1/shards/Collections.json</x:v>
      </x:c>
      <x:c r="N267" s="25" t="str">
        <x:v>Deepseek-flash-v4/Result/Collections_17/result.json</x:v>
      </x:c>
      <x:c r="O267" s="25" t="str">
        <x:v>Deepseek-flash-v4/Result/Collections_17/result.json</x:v>
      </x:c>
      <x:c r="P267" t="str">
        <x:v>BOTH_NOT_RUN</x:v>
      </x:c>
      <x:c r="Q267" s="21" t="str"/>
      <x:c r="R267" s="21" t="str"/>
      <x:c r="S267" s="21" t="str"/>
      <x:c r="T267" s="17" t="str">
        <x:v>false</x:v>
      </x:c>
      <x:c r="U267" s="17" t="str">
        <x:v>true</x:v>
      </x:c>
      <x:c r="V267" s="17" t="str">
        <x:v>false</x:v>
      </x:c>
    </x:row>
    <x:row r="268" ht="80" customHeight="1">
      <x:c r="A268" s="25" t="str">
        <x:v>Collections</x:v>
      </x:c>
      <x:c r="B268" s="25" t="n">
        <x:v>18</x:v>
      </x:c>
      <x:c r="C268" s="25" t="str">
        <x:v>Round1</x:v>
      </x:c>
      <x:c r="D268" s="25" t="str">
        <x:v>NOT_AVAILABLE</x:v>
      </x:c>
      <x:c r="E268" s="25" t="str">
        <x:v>N/A</x:v>
      </x:c>
      <x:c r="F268" s="26" t="str">
        <x:v>Tests exist but current coverage did not complete</x:v>
      </x:c>
      <x:c r="G268" s="25" t="str">
        <x:v>true</x:v>
      </x:c>
      <x:c r="H268" s="25" t="str">
        <x:v>NOT_AVAILABLE</x:v>
      </x:c>
      <x:c r="I268" s="25" t="str">
        <x:v>NOT_RUN</x:v>
      </x:c>
      <x:c r="J268" s="25" t="str">
        <x:v>NOT_RUN</x:v>
      </x:c>
      <x:c r="K268" s="25" t="n">
        <x:v>1</x:v>
      </x:c>
      <x:c r="L268" s="27" t="b">
        <x:v>0</x:v>
      </x:c>
      <x:c r="M268" s="25" t="str">
        <x:v>Deepseek-flash-v4/state/Round1/shards/Collections.json</x:v>
      </x:c>
      <x:c r="N268" s="25" t="str">
        <x:v>Deepseek-flash-v4/Result/Collections_18/result.json</x:v>
      </x:c>
      <x:c r="O268" s="25" t="str">
        <x:v>Deepseek-flash-v4/Result/Collections_18/result.json</x:v>
      </x:c>
      <x:c r="P268" t="str">
        <x:v>BOTH_NOT_RUN</x:v>
      </x:c>
      <x:c r="Q268" s="21" t="str"/>
      <x:c r="R268" s="21" t="str"/>
      <x:c r="S268" s="21" t="str"/>
      <x:c r="T268" s="17" t="str">
        <x:v>false</x:v>
      </x:c>
      <x:c r="U268" s="17" t="str">
        <x:v>true</x:v>
      </x:c>
      <x:c r="V268" s="17" t="str">
        <x:v>false</x:v>
      </x:c>
    </x:row>
    <x:row r="269" ht="80" customHeight="1">
      <x:c r="A269" s="25" t="str">
        <x:v>Collections</x:v>
      </x:c>
      <x:c r="B269" s="25" t="n">
        <x:v>19</x:v>
      </x:c>
      <x:c r="C269" s="25" t="str">
        <x:v>Round1</x:v>
      </x:c>
      <x:c r="D269" s="25" t="str">
        <x:v>NOT_AVAILABLE</x:v>
      </x:c>
      <x:c r="E269" s="25" t="str">
        <x:v>N/A</x:v>
      </x:c>
      <x:c r="F269" s="26" t="str">
        <x:v>Tests exist but current coverage did not complete</x:v>
      </x:c>
      <x:c r="G269" s="25" t="str">
        <x:v>true</x:v>
      </x:c>
      <x:c r="H269" s="25" t="str">
        <x:v>NOT_AVAILABLE</x:v>
      </x:c>
      <x:c r="I269" s="25" t="str">
        <x:v>NOT_RUN</x:v>
      </x:c>
      <x:c r="J269" s="25" t="str">
        <x:v>NOT_RUN</x:v>
      </x:c>
      <x:c r="K269" s="25" t="n">
        <x:v>1</x:v>
      </x:c>
      <x:c r="L269" s="27" t="b">
        <x:v>0</x:v>
      </x:c>
      <x:c r="M269" s="25" t="str">
        <x:v>Deepseek-flash-v4/state/Round1/shards/Collections.json</x:v>
      </x:c>
      <x:c r="N269" s="25" t="str">
        <x:v>Deepseek-flash-v4/Result/Collections_19/result.json</x:v>
      </x:c>
      <x:c r="O269" s="25" t="str">
        <x:v>Deepseek-flash-v4/Result/Collections_19/result.json</x:v>
      </x:c>
      <x:c r="P269" t="str">
        <x:v>BOTH_NOT_RUN</x:v>
      </x:c>
      <x:c r="Q269" s="21" t="str"/>
      <x:c r="R269" s="21" t="str"/>
      <x:c r="S269" s="21" t="str"/>
      <x:c r="T269" s="17" t="str">
        <x:v>false</x:v>
      </x:c>
      <x:c r="U269" s="17" t="str">
        <x:v>true</x:v>
      </x:c>
      <x:c r="V269" s="17" t="str">
        <x:v>false</x:v>
      </x:c>
    </x:row>
    <x:row r="270" ht="80" customHeight="1">
      <x:c r="A270" s="25" t="str">
        <x:v>Collections</x:v>
      </x:c>
      <x:c r="B270" s="25" t="n">
        <x:v>2</x:v>
      </x:c>
      <x:c r="C270" s="25" t="str">
        <x:v>Round1</x:v>
      </x:c>
      <x:c r="D270" s="25" t="str">
        <x:v>NOT_AVAILABLE</x:v>
      </x:c>
      <x:c r="E270" s="25" t="str">
        <x:v>N/A</x:v>
      </x:c>
      <x:c r="F270" s="26" t="str">
        <x:v>Tests exist but current coverage did not complete</x:v>
      </x:c>
      <x:c r="G270" s="25" t="str">
        <x:v>true</x:v>
      </x:c>
      <x:c r="H270" s="25" t="str">
        <x:v>NOT_AVAILABLE</x:v>
      </x:c>
      <x:c r="I270" s="25" t="str">
        <x:v>NOT_RUN</x:v>
      </x:c>
      <x:c r="J270" s="25" t="str">
        <x:v>NOT_RUN</x:v>
      </x:c>
      <x:c r="K270" s="25" t="n">
        <x:v>1</x:v>
      </x:c>
      <x:c r="L270" s="27" t="b">
        <x:v>0</x:v>
      </x:c>
      <x:c r="M270" s="25" t="str">
        <x:v>Deepseek-flash-v4/state/Round1/shards/Collections.json</x:v>
      </x:c>
      <x:c r="N270" s="25" t="str">
        <x:v>Deepseek-flash-v4/Result/Collections_2/result.json</x:v>
      </x:c>
      <x:c r="O270" s="25" t="str">
        <x:v>Deepseek-flash-v4/Result/Collections_2/result.json</x:v>
      </x:c>
      <x:c r="P270" t="str">
        <x:v>BOTH_NOT_RUN</x:v>
      </x:c>
      <x:c r="Q270" s="21" t="str"/>
      <x:c r="R270" s="21" t="str"/>
      <x:c r="S270" s="21" t="str"/>
      <x:c r="T270" s="17" t="str">
        <x:v>false</x:v>
      </x:c>
      <x:c r="U270" s="17" t="str">
        <x:v>true</x:v>
      </x:c>
      <x:c r="V270" s="17" t="str">
        <x:v>false</x:v>
      </x:c>
    </x:row>
    <x:row r="271" ht="80" customHeight="1">
      <x:c r="A271" s="25" t="str">
        <x:v>Collections</x:v>
      </x:c>
      <x:c r="B271" s="25" t="n">
        <x:v>20</x:v>
      </x:c>
      <x:c r="C271" s="25" t="str">
        <x:v>Round1</x:v>
      </x:c>
      <x:c r="D271" s="25" t="str">
        <x:v>INCONCLUSIVE</x:v>
      </x:c>
      <x:c r="E271" s="25" t="str">
        <x:v>N/A</x:v>
      </x:c>
      <x:c r="F271" s="26" t="str">
        <x:v>Fixed also failed; assertion failure cannot be attributed to this bug</x:v>
      </x:c>
      <x:c r="G271" s="25" t="str">
        <x:v>true</x:v>
      </x:c>
      <x:c r="H271" s="25" t="str">
        <x:v>INCONCLUSIVE</x:v>
      </x:c>
      <x:c r="I271" s="25" t="str">
        <x:v>FAIL</x:v>
      </x:c>
      <x:c r="J271" s="25" t="str">
        <x:v>FAIL</x:v>
      </x:c>
      <x:c r="K271" s="25" t="n">
        <x:v>1</x:v>
      </x:c>
      <x:c r="L271" s="27" t="b">
        <x:v>0</x:v>
      </x:c>
      <x:c r="M271" s="25" t="str">
        <x:v>Deepseek-flash-v4/state/Round1/shards/Collections.json</x:v>
      </x:c>
      <x:c r="N271" s="25" t="str">
        <x:v>Deepseek-flash-v4/Result/Collections_20/result.json</x:v>
      </x:c>
      <x:c r="O271" s="25" t="str">
        <x:v>Deepseek-flash-v4/Result/Collections_20/result.json</x:v>
      </x:c>
      <x:c r="P271"/>
      <x:c r="Q271" s="21" t="str"/>
      <x:c r="R271" s="21" t="str"/>
      <x:c r="S271" s="21" t="str"/>
      <x:c r="T271" s="17" t="str">
        <x:v>false</x:v>
      </x:c>
      <x:c r="U271" s="17" t="str">
        <x:v>true</x:v>
      </x:c>
      <x:c r="V271" s="17" t="str">
        <x:v>false</x:v>
      </x:c>
    </x:row>
    <x:row r="272" ht="80" customHeight="1">
      <x:c r="A272" s="25" t="str">
        <x:v>Collections</x:v>
      </x:c>
      <x:c r="B272" s="25" t="n">
        <x:v>21</x:v>
      </x:c>
      <x:c r="C272" s="25" t="str">
        <x:v>Round1</x:v>
      </x:c>
      <x:c r="D272" s="25" t="str">
        <x:v>NOT_REVEALING</x:v>
      </x:c>
      <x:c r="E272" s="25" t="str">
        <x:v>N/A</x:v>
      </x:c>
      <x:c r="F272" s="26" t="str">
        <x:v>Same saved validation suite passed on buggy and fixed</x:v>
      </x:c>
      <x:c r="G272" s="25" t="str">
        <x:v>true</x:v>
      </x:c>
      <x:c r="H272" s="25" t="str">
        <x:v>NOT_REVEALING</x:v>
      </x:c>
      <x:c r="I272" s="25" t="str">
        <x:v>PASS</x:v>
      </x:c>
      <x:c r="J272" s="25" t="str">
        <x:v>PASS</x:v>
      </x:c>
      <x:c r="K272" s="25" t="n">
        <x:v>1</x:v>
      </x:c>
      <x:c r="L272" s="27" t="b">
        <x:v>0</x:v>
      </x:c>
      <x:c r="M272" s="25" t="str">
        <x:v>Deepseek-flash-v4/state/Round1/shards/Collections.json</x:v>
      </x:c>
      <x:c r="N272" s="25" t="str">
        <x:v>Deepseek-flash-v4/Result/Collections_21/result.json</x:v>
      </x:c>
      <x:c r="O272" s="25" t="str">
        <x:v>Deepseek-flash-v4/Result/Collections_21/result.json</x:v>
      </x:c>
      <x:c r="P272"/>
      <x:c r="Q272" s="21" t="str"/>
      <x:c r="R272" s="21" t="str"/>
      <x:c r="S272" s="21" t="str"/>
      <x:c r="T272" s="17" t="str">
        <x:v>false</x:v>
      </x:c>
      <x:c r="U272" s="17" t="str">
        <x:v>true</x:v>
      </x:c>
      <x:c r="V272" s="17" t="str">
        <x:v>false</x:v>
      </x:c>
    </x:row>
    <x:row r="273" ht="80" customHeight="1">
      <x:c r="A273" s="25" t="str">
        <x:v>Collections</x:v>
      </x:c>
      <x:c r="B273" s="25" t="n">
        <x:v>22</x:v>
      </x:c>
      <x:c r="C273" s="25" t="str">
        <x:v>Round1</x:v>
      </x:c>
      <x:c r="D273" s="25" t="str">
        <x:v>NOT_AVAILABLE</x:v>
      </x:c>
      <x:c r="E273" s="25" t="str">
        <x:v>N/A</x:v>
      </x:c>
      <x:c r="F273" s="26" t="str">
        <x:v>Tests exist but current coverage did not complete</x:v>
      </x:c>
      <x:c r="G273" s="25" t="str">
        <x:v>true</x:v>
      </x:c>
      <x:c r="H273" s="25" t="str">
        <x:v>NOT_AVAILABLE</x:v>
      </x:c>
      <x:c r="I273" s="25" t="str">
        <x:v>NOT_RUN</x:v>
      </x:c>
      <x:c r="J273" s="25" t="str">
        <x:v>NOT_RUN</x:v>
      </x:c>
      <x:c r="K273" s="25" t="n">
        <x:v>1</x:v>
      </x:c>
      <x:c r="L273" s="27" t="b">
        <x:v>0</x:v>
      </x:c>
      <x:c r="M273" s="25" t="str">
        <x:v>Deepseek-flash-v4/state/Round1/shards/Collections.json</x:v>
      </x:c>
      <x:c r="N273" s="25" t="str">
        <x:v>Deepseek-flash-v4/Result/Collections_22/result.json</x:v>
      </x:c>
      <x:c r="O273" s="25" t="str">
        <x:v>Deepseek-flash-v4/Result/Collections_22/result.json</x:v>
      </x:c>
      <x:c r="P273" t="str">
        <x:v>BOTH_NOT_RUN</x:v>
      </x:c>
      <x:c r="Q273" s="21" t="str"/>
      <x:c r="R273" s="21" t="str"/>
      <x:c r="S273" s="21" t="str"/>
      <x:c r="T273" s="17" t="str">
        <x:v>false</x:v>
      </x:c>
      <x:c r="U273" s="17" t="str">
        <x:v>true</x:v>
      </x:c>
      <x:c r="V273" s="17" t="str">
        <x:v>false</x:v>
      </x:c>
    </x:row>
    <x:row r="274" ht="80" customHeight="1">
      <x:c r="A274" s="25" t="str">
        <x:v>Collections</x:v>
      </x:c>
      <x:c r="B274" s="25" t="n">
        <x:v>23</x:v>
      </x:c>
      <x:c r="C274" s="25" t="str">
        <x:v>Round1</x:v>
      </x:c>
      <x:c r="D274" s="25" t="str">
        <x:v>NOT_AVAILABLE</x:v>
      </x:c>
      <x:c r="E274" s="25" t="str">
        <x:v>N/A</x:v>
      </x:c>
      <x:c r="F274" s="26" t="str">
        <x:v>Tests exist but current coverage did not complete</x:v>
      </x:c>
      <x:c r="G274" s="25" t="str">
        <x:v>true</x:v>
      </x:c>
      <x:c r="H274" s="25" t="str">
        <x:v>NOT_AVAILABLE</x:v>
      </x:c>
      <x:c r="I274" s="25" t="str">
        <x:v>NOT_RUN</x:v>
      </x:c>
      <x:c r="J274" s="25" t="str">
        <x:v>NOT_RUN</x:v>
      </x:c>
      <x:c r="K274" s="25" t="n">
        <x:v>1</x:v>
      </x:c>
      <x:c r="L274" s="27" t="b">
        <x:v>0</x:v>
      </x:c>
      <x:c r="M274" s="25" t="str">
        <x:v>Deepseek-flash-v4/state/Round1/shards/Collections.json</x:v>
      </x:c>
      <x:c r="N274" s="25" t="str">
        <x:v>Deepseek-flash-v4/Result/Collections_23/result.json</x:v>
      </x:c>
      <x:c r="O274" s="25" t="str">
        <x:v>Deepseek-flash-v4/Result/Collections_23/result.json</x:v>
      </x:c>
      <x:c r="P274" t="str">
        <x:v>BOTH_NOT_RUN</x:v>
      </x:c>
      <x:c r="Q274" s="21" t="str"/>
      <x:c r="R274" s="21" t="str"/>
      <x:c r="S274" s="21" t="str"/>
      <x:c r="T274" s="17" t="str">
        <x:v>false</x:v>
      </x:c>
      <x:c r="U274" s="17" t="str">
        <x:v>true</x:v>
      </x:c>
      <x:c r="V274" s="17" t="str">
        <x:v>false</x:v>
      </x:c>
    </x:row>
    <x:row r="275" ht="80" customHeight="1">
      <x:c r="A275" s="25" t="str">
        <x:v>Collections</x:v>
      </x:c>
      <x:c r="B275" s="25" t="n">
        <x:v>24</x:v>
      </x:c>
      <x:c r="C275" s="25" t="str">
        <x:v>Round1</x:v>
      </x:c>
      <x:c r="D275" s="25" t="str">
        <x:v>NOT_REVEALING</x:v>
      </x:c>
      <x:c r="E275" s="25" t="str">
        <x:v>N/A</x:v>
      </x:c>
      <x:c r="F275" s="26" t="str">
        <x:v>Same saved validation suite passed on buggy and fixed</x:v>
      </x:c>
      <x:c r="G275" s="25" t="str">
        <x:v>true</x:v>
      </x:c>
      <x:c r="H275" s="25" t="str">
        <x:v>NOT_REVEALING</x:v>
      </x:c>
      <x:c r="I275" s="25" t="str">
        <x:v>PASS</x:v>
      </x:c>
      <x:c r="J275" s="25" t="str">
        <x:v>PASS</x:v>
      </x:c>
      <x:c r="K275" s="25" t="n">
        <x:v>1</x:v>
      </x:c>
      <x:c r="L275" s="27" t="b">
        <x:v>0</x:v>
      </x:c>
      <x:c r="M275" s="25" t="str">
        <x:v>Deepseek-flash-v4/state/Round1/shards/Collections.json</x:v>
      </x:c>
      <x:c r="N275" s="25" t="str">
        <x:v>Deepseek-flash-v4/Result/Collections_24/result.json</x:v>
      </x:c>
      <x:c r="O275" s="25" t="str">
        <x:v>Deepseek-flash-v4/Result/Collections_24/result.json</x:v>
      </x:c>
      <x:c r="P275"/>
      <x:c r="Q275" s="21" t="str"/>
      <x:c r="R275" s="21" t="str"/>
      <x:c r="S275" s="21" t="str"/>
      <x:c r="T275" s="17" t="str">
        <x:v>false</x:v>
      </x:c>
      <x:c r="U275" s="17" t="str">
        <x:v>true</x:v>
      </x:c>
      <x:c r="V275" s="17" t="str">
        <x:v>false</x:v>
      </x:c>
    </x:row>
    <x:row r="276" ht="80" customHeight="1">
      <x:c r="A276" s="25" t="str">
        <x:v>Collections</x:v>
      </x:c>
      <x:c r="B276" s="25" t="n">
        <x:v>25</x:v>
      </x:c>
      <x:c r="C276" s="25" t="str">
        <x:v>Round1</x:v>
      </x:c>
      <x:c r="D276" s="25" t="str">
        <x:v>NOT_AVAILABLE</x:v>
      </x:c>
      <x:c r="E276" s="25" t="str">
        <x:v>N/A</x:v>
      </x:c>
      <x:c r="F276" s="26" t="str">
        <x:v>Tests exist but current coverage did not complete</x:v>
      </x:c>
      <x:c r="G276" s="25" t="str">
        <x:v>true</x:v>
      </x:c>
      <x:c r="H276" s="25" t="str">
        <x:v>NOT_AVAILABLE</x:v>
      </x:c>
      <x:c r="I276" s="25" t="str">
        <x:v>NOT_RUN</x:v>
      </x:c>
      <x:c r="J276" s="25" t="str">
        <x:v>NOT_RUN</x:v>
      </x:c>
      <x:c r="K276" s="25" t="n">
        <x:v>1</x:v>
      </x:c>
      <x:c r="L276" s="27" t="b">
        <x:v>0</x:v>
      </x:c>
      <x:c r="M276" s="25" t="str">
        <x:v>Deepseek-flash-v4/state/Round1/shards/Collections.json</x:v>
      </x:c>
      <x:c r="N276" s="25" t="str">
        <x:v>Deepseek-flash-v4/Result/Collections_25/result.json</x:v>
      </x:c>
      <x:c r="O276" s="25" t="str">
        <x:v>Deepseek-flash-v4/Result/Collections_25/result.json</x:v>
      </x:c>
      <x:c r="P276" t="str">
        <x:v>BOTH_NOT_RUN</x:v>
      </x:c>
      <x:c r="Q276" s="21" t="str"/>
      <x:c r="R276" s="21" t="str"/>
      <x:c r="S276" s="21" t="str"/>
      <x:c r="T276" s="17" t="str">
        <x:v>false</x:v>
      </x:c>
      <x:c r="U276" s="17" t="str">
        <x:v>true</x:v>
      </x:c>
      <x:c r="V276" s="17" t="str">
        <x:v>false</x:v>
      </x:c>
    </x:row>
    <x:row r="277" ht="80" customHeight="1">
      <x:c r="A277" s="25" t="str">
        <x:v>Collections</x:v>
      </x:c>
      <x:c r="B277" s="25" t="n">
        <x:v>26</x:v>
      </x:c>
      <x:c r="C277" s="25" t="str">
        <x:v>Round1</x:v>
      </x:c>
      <x:c r="D277" s="25" t="str">
        <x:v>NOT_REVEALING</x:v>
      </x:c>
      <x:c r="E277" s="25" t="str">
        <x:v>N/A</x:v>
      </x:c>
      <x:c r="F277" s="26" t="str">
        <x:v>Same saved validation suite passed on buggy and fixed</x:v>
      </x:c>
      <x:c r="G277" s="25" t="str">
        <x:v>true</x:v>
      </x:c>
      <x:c r="H277" s="25" t="str">
        <x:v>NOT_REVEALING</x:v>
      </x:c>
      <x:c r="I277" s="25" t="str">
        <x:v>PASS</x:v>
      </x:c>
      <x:c r="J277" s="25" t="str">
        <x:v>PASS</x:v>
      </x:c>
      <x:c r="K277" s="25" t="n">
        <x:v>1</x:v>
      </x:c>
      <x:c r="L277" s="27" t="b">
        <x:v>0</x:v>
      </x:c>
      <x:c r="M277" s="25" t="str">
        <x:v>Deepseek-flash-v4/state/Round1/shards/Collections.json</x:v>
      </x:c>
      <x:c r="N277" s="25" t="str">
        <x:v>Deepseek-flash-v4/Result/Collections_26/result.json</x:v>
      </x:c>
      <x:c r="O277" s="25" t="str">
        <x:v>Deepseek-flash-v4/Result/Collections_26/result.json</x:v>
      </x:c>
      <x:c r="P277"/>
      <x:c r="Q277" s="21" t="str"/>
      <x:c r="R277" s="21" t="str"/>
      <x:c r="S277" s="21" t="str"/>
      <x:c r="T277" s="17" t="str">
        <x:v>false</x:v>
      </x:c>
      <x:c r="U277" s="17" t="str">
        <x:v>true</x:v>
      </x:c>
      <x:c r="V277" s="17" t="str">
        <x:v>false</x:v>
      </x:c>
    </x:row>
    <x:row r="278" ht="80" customHeight="1">
      <x:c r="A278" s="25" t="str">
        <x:v>Collections</x:v>
      </x:c>
      <x:c r="B278" s="25" t="n">
        <x:v>27</x:v>
      </x:c>
      <x:c r="C278" s="25" t="str">
        <x:v>Round1</x:v>
      </x:c>
      <x:c r="D278" s="25" t="str">
        <x:v>INCONCLUSIVE</x:v>
      </x:c>
      <x:c r="E278" s="25" t="str">
        <x:v>N/A</x:v>
      </x:c>
      <x:c r="F278" s="26" t="str">
        <x:v>Fixed also failed; assertion failure cannot be attributed to this bug</x:v>
      </x:c>
      <x:c r="G278" s="25" t="str">
        <x:v>true</x:v>
      </x:c>
      <x:c r="H278" s="25" t="str">
        <x:v>INCONCLUSIVE</x:v>
      </x:c>
      <x:c r="I278" s="25" t="str">
        <x:v>FAIL</x:v>
      </x:c>
      <x:c r="J278" s="25" t="str">
        <x:v>FAIL</x:v>
      </x:c>
      <x:c r="K278" s="25" t="n">
        <x:v>1</x:v>
      </x:c>
      <x:c r="L278" s="27" t="b">
        <x:v>0</x:v>
      </x:c>
      <x:c r="M278" s="25" t="str">
        <x:v>Deepseek-flash-v4/state/Round1/shards/Collections.json</x:v>
      </x:c>
      <x:c r="N278" s="25" t="str">
        <x:v>Deepseek-flash-v4/Result/Collections_27/result.json</x:v>
      </x:c>
      <x:c r="O278" s="25" t="str">
        <x:v>Deepseek-flash-v4/Result/Collections_27/result.json</x:v>
      </x:c>
      <x:c r="P278"/>
      <x:c r="Q278" s="21" t="str"/>
      <x:c r="R278" s="21" t="str"/>
      <x:c r="S278" s="21" t="str"/>
      <x:c r="T278" s="17" t="str">
        <x:v>false</x:v>
      </x:c>
      <x:c r="U278" s="17" t="str">
        <x:v>true</x:v>
      </x:c>
      <x:c r="V278" s="17" t="str">
        <x:v>false</x:v>
      </x:c>
    </x:row>
    <x:row r="279" ht="80" customHeight="1">
      <x:c r="A279" s="25" t="str">
        <x:v>Collections</x:v>
      </x:c>
      <x:c r="B279" s="25" t="n">
        <x:v>28</x:v>
      </x:c>
      <x:c r="C279" s="25" t="str">
        <x:v>Round1</x:v>
      </x:c>
      <x:c r="D279" s="25" t="str">
        <x:v>NOT_AVAILABLE</x:v>
      </x:c>
      <x:c r="E279" s="25" t="str">
        <x:v>N/A</x:v>
      </x:c>
      <x:c r="F279" s="26" t="str">
        <x:v>Tests exist but current coverage did not complete</x:v>
      </x:c>
      <x:c r="G279" s="25" t="str">
        <x:v>true</x:v>
      </x:c>
      <x:c r="H279" s="25" t="str">
        <x:v>NOT_AVAILABLE</x:v>
      </x:c>
      <x:c r="I279" s="25" t="str">
        <x:v>NOT_RUN</x:v>
      </x:c>
      <x:c r="J279" s="25" t="str">
        <x:v>NOT_RUN</x:v>
      </x:c>
      <x:c r="K279" s="25" t="n">
        <x:v>1</x:v>
      </x:c>
      <x:c r="L279" s="27" t="b">
        <x:v>0</x:v>
      </x:c>
      <x:c r="M279" s="25" t="str">
        <x:v>Deepseek-flash-v4/state/Round1/shards/Collections.json</x:v>
      </x:c>
      <x:c r="N279" s="25" t="str">
        <x:v>Deepseek-flash-v4/Result/Collections_28/result.json</x:v>
      </x:c>
      <x:c r="O279" s="25" t="str">
        <x:v>Deepseek-flash-v4/Result/Collections_28/result.json</x:v>
      </x:c>
      <x:c r="P279" t="str">
        <x:v>BOTH_NOT_RUN</x:v>
      </x:c>
      <x:c r="Q279" s="21" t="str"/>
      <x:c r="R279" s="21" t="str"/>
      <x:c r="S279" s="21" t="str"/>
      <x:c r="T279" s="17" t="str">
        <x:v>false</x:v>
      </x:c>
      <x:c r="U279" s="17" t="str">
        <x:v>true</x:v>
      </x:c>
      <x:c r="V279" s="17" t="str">
        <x:v>false</x:v>
      </x:c>
    </x:row>
    <x:row r="280" ht="80" customHeight="1">
      <x:c r="A280" s="25" t="str">
        <x:v>Collections</x:v>
      </x:c>
      <x:c r="B280" s="25" t="n">
        <x:v>3</x:v>
      </x:c>
      <x:c r="C280" s="25" t="str">
        <x:v>Round1</x:v>
      </x:c>
      <x:c r="D280" s="25" t="str">
        <x:v>NOT_AVAILABLE</x:v>
      </x:c>
      <x:c r="E280" s="25" t="str">
        <x:v>N/A</x:v>
      </x:c>
      <x:c r="F280" s="26" t="str">
        <x:v>Tests exist but current coverage did not complete</x:v>
      </x:c>
      <x:c r="G280" s="25" t="str">
        <x:v>true</x:v>
      </x:c>
      <x:c r="H280" s="25" t="str">
        <x:v>NOT_AVAILABLE</x:v>
      </x:c>
      <x:c r="I280" s="25" t="str">
        <x:v>NOT_RUN</x:v>
      </x:c>
      <x:c r="J280" s="25" t="str">
        <x:v>NOT_RUN</x:v>
      </x:c>
      <x:c r="K280" s="25" t="n">
        <x:v>1</x:v>
      </x:c>
      <x:c r="L280" s="27" t="b">
        <x:v>0</x:v>
      </x:c>
      <x:c r="M280" s="25" t="str">
        <x:v>Deepseek-flash-v4/state/Round1/shards/Collections.json</x:v>
      </x:c>
      <x:c r="N280" s="25" t="str">
        <x:v>Deepseek-flash-v4/Result/Collections_3/result.json</x:v>
      </x:c>
      <x:c r="O280" s="25" t="str">
        <x:v>Deepseek-flash-v4/Result/Collections_3/result.json</x:v>
      </x:c>
      <x:c r="P280" t="str">
        <x:v>BOTH_NOT_RUN</x:v>
      </x:c>
      <x:c r="Q280" s="21" t="str"/>
      <x:c r="R280" s="21" t="str"/>
      <x:c r="S280" s="21" t="str"/>
      <x:c r="T280" s="17" t="str">
        <x:v>false</x:v>
      </x:c>
      <x:c r="U280" s="17" t="str">
        <x:v>true</x:v>
      </x:c>
      <x:c r="V280" s="17" t="str">
        <x:v>false</x:v>
      </x:c>
    </x:row>
    <x:row r="281" ht="80" customHeight="1">
      <x:c r="A281" s="25" t="str">
        <x:v>Collections</x:v>
      </x:c>
      <x:c r="B281" s="25" t="n">
        <x:v>4</x:v>
      </x:c>
      <x:c r="C281" s="25" t="str">
        <x:v>Round1</x:v>
      </x:c>
      <x:c r="D281" s="25" t="str">
        <x:v>NOT_AVAILABLE</x:v>
      </x:c>
      <x:c r="E281" s="25" t="str">
        <x:v>N/A</x:v>
      </x:c>
      <x:c r="F281" s="26" t="str">
        <x:v>Tests exist but current coverage did not complete</x:v>
      </x:c>
      <x:c r="G281" s="25" t="str">
        <x:v>true</x:v>
      </x:c>
      <x:c r="H281" s="25" t="str">
        <x:v>NOT_AVAILABLE</x:v>
      </x:c>
      <x:c r="I281" s="25" t="str">
        <x:v>NOT_RUN</x:v>
      </x:c>
      <x:c r="J281" s="25" t="str">
        <x:v>NOT_RUN</x:v>
      </x:c>
      <x:c r="K281" s="25" t="n">
        <x:v>1</x:v>
      </x:c>
      <x:c r="L281" s="27" t="b">
        <x:v>0</x:v>
      </x:c>
      <x:c r="M281" s="25" t="str">
        <x:v>Deepseek-flash-v4/state/Round1/shards/Collections.json</x:v>
      </x:c>
      <x:c r="N281" s="25" t="str">
        <x:v>Deepseek-flash-v4/Result/Collections_4/result.json</x:v>
      </x:c>
      <x:c r="O281" s="25" t="str">
        <x:v>Deepseek-flash-v4/Result/Collections_4/result.json</x:v>
      </x:c>
      <x:c r="P281" t="str">
        <x:v>BOTH_NOT_RUN</x:v>
      </x:c>
      <x:c r="Q281" s="21" t="str"/>
      <x:c r="R281" s="21" t="str"/>
      <x:c r="S281" s="21" t="str"/>
      <x:c r="T281" s="17" t="str">
        <x:v>false</x:v>
      </x:c>
      <x:c r="U281" s="17" t="str">
        <x:v>true</x:v>
      </x:c>
      <x:c r="V281" s="17" t="str">
        <x:v>false</x:v>
      </x:c>
    </x:row>
    <x:row r="282" ht="80" customHeight="1">
      <x:c r="A282" s="25" t="str">
        <x:v>Collections</x:v>
      </x:c>
      <x:c r="B282" s="25" t="n">
        <x:v>5</x:v>
      </x:c>
      <x:c r="C282" s="25" t="str">
        <x:v>Round1</x:v>
      </x:c>
      <x:c r="D282" s="25" t="str">
        <x:v>INCONCLUSIVE</x:v>
      </x:c>
      <x:c r="E282" s="25" t="str">
        <x:v>N/A</x:v>
      </x:c>
      <x:c r="F282" s="26" t="str">
        <x:v>Fixed also failed; assertion failure cannot be attributed to this bug</x:v>
      </x:c>
      <x:c r="G282" s="25" t="str">
        <x:v>true</x:v>
      </x:c>
      <x:c r="H282" s="25" t="str">
        <x:v>INCONCLUSIVE</x:v>
      </x:c>
      <x:c r="I282" s="25" t="str">
        <x:v>FAIL</x:v>
      </x:c>
      <x:c r="J282" s="25" t="str">
        <x:v>FAIL</x:v>
      </x:c>
      <x:c r="K282" s="25" t="n">
        <x:v>1</x:v>
      </x:c>
      <x:c r="L282" s="27" t="b">
        <x:v>0</x:v>
      </x:c>
      <x:c r="M282" s="25" t="str">
        <x:v>Deepseek-flash-v4/state/Round1/shards/Collections.json</x:v>
      </x:c>
      <x:c r="N282" s="25" t="str">
        <x:v>Deepseek-flash-v4/Result/Collections_5/result.json</x:v>
      </x:c>
      <x:c r="O282" s="25" t="str">
        <x:v>Deepseek-flash-v4/Result/Collections_5/result.json</x:v>
      </x:c>
      <x:c r="P282"/>
      <x:c r="Q282" s="21" t="str"/>
      <x:c r="R282" s="21" t="str"/>
      <x:c r="S282" s="21" t="str"/>
      <x:c r="T282" s="17" t="str">
        <x:v>false</x:v>
      </x:c>
      <x:c r="U282" s="17" t="str">
        <x:v>true</x:v>
      </x:c>
      <x:c r="V282" s="17" t="str">
        <x:v>false</x:v>
      </x:c>
    </x:row>
    <x:row r="283" ht="80" customHeight="1">
      <x:c r="A283" s="25" t="str">
        <x:v>Collections</x:v>
      </x:c>
      <x:c r="B283" s="25" t="n">
        <x:v>6</x:v>
      </x:c>
      <x:c r="C283" s="25" t="str">
        <x:v>Round1</x:v>
      </x:c>
      <x:c r="D283" s="25" t="str">
        <x:v>REVEALING</x:v>
      </x:c>
      <x:c r="E283" s="25" t="str">
        <x:v>N/A</x:v>
      </x:c>
      <x:c r="F283" s="26" t="str">
        <x:v>Same saved validation suite failed on buggy and passed on fixed</x:v>
      </x:c>
      <x:c r="G283" s="25" t="str">
        <x:v>true</x:v>
      </x:c>
      <x:c r="H283" s="25" t="str">
        <x:v>REVEALING</x:v>
      </x:c>
      <x:c r="I283" s="25" t="str">
        <x:v>FAIL</x:v>
      </x:c>
      <x:c r="J283" s="25" t="str">
        <x:v>PASS</x:v>
      </x:c>
      <x:c r="K283" s="25" t="n">
        <x:v>1</x:v>
      </x:c>
      <x:c r="L283" s="27" t="b">
        <x:v>0</x:v>
      </x:c>
      <x:c r="M283" s="25" t="str">
        <x:v>Deepseek-flash-v4/state/Round1/shards/Collections.json</x:v>
      </x:c>
      <x:c r="N283" s="25" t="str">
        <x:v>Deepseek-flash-v4/Result/Collections_6/result.json</x:v>
      </x:c>
      <x:c r="O283" s="25" t="str">
        <x:v>Deepseek-flash-v4/Result/Collections_6/result.json</x:v>
      </x:c>
      <x:c r="P283"/>
      <x:c r="Q283" s="21" t="str"/>
      <x:c r="R283" s="21" t="str"/>
      <x:c r="S283" s="21" t="str"/>
      <x:c r="T283" s="17" t="str">
        <x:v>false</x:v>
      </x:c>
      <x:c r="U283" s="17" t="str">
        <x:v>true</x:v>
      </x:c>
      <x:c r="V283" s="17" t="str">
        <x:v>false</x:v>
      </x:c>
    </x:row>
    <x:row r="284" ht="80" customHeight="1">
      <x:c r="A284" s="25" t="str">
        <x:v>Collections</x:v>
      </x:c>
      <x:c r="B284" s="25" t="n">
        <x:v>7</x:v>
      </x:c>
      <x:c r="C284" s="25" t="str">
        <x:v>Round1</x:v>
      </x:c>
      <x:c r="D284" s="25" t="str">
        <x:v>NOT_AVAILABLE</x:v>
      </x:c>
      <x:c r="E284" s="25" t="str">
        <x:v>N/A</x:v>
      </x:c>
      <x:c r="F284" s="26" t="str">
        <x:v>Tests exist but current coverage did not complete</x:v>
      </x:c>
      <x:c r="G284" s="25" t="str">
        <x:v>true</x:v>
      </x:c>
      <x:c r="H284" s="25" t="str">
        <x:v>NOT_AVAILABLE</x:v>
      </x:c>
      <x:c r="I284" s="25" t="str">
        <x:v>NOT_RUN</x:v>
      </x:c>
      <x:c r="J284" s="25" t="str">
        <x:v>NOT_RUN</x:v>
      </x:c>
      <x:c r="K284" s="25" t="n">
        <x:v>1</x:v>
      </x:c>
      <x:c r="L284" s="27" t="b">
        <x:v>0</x:v>
      </x:c>
      <x:c r="M284" s="25" t="str">
        <x:v>Deepseek-flash-v4/state/Round1/shards/Collections.json</x:v>
      </x:c>
      <x:c r="N284" s="25" t="str">
        <x:v>Deepseek-flash-v4/Result/Collections_7/result.json</x:v>
      </x:c>
      <x:c r="O284" s="25" t="str">
        <x:v>Deepseek-flash-v4/Result/Collections_7/result.json</x:v>
      </x:c>
      <x:c r="P284" t="str">
        <x:v>BOTH_NOT_RUN</x:v>
      </x:c>
      <x:c r="Q284" s="21" t="str"/>
      <x:c r="R284" s="21" t="str"/>
      <x:c r="S284" s="21" t="str"/>
      <x:c r="T284" s="17" t="str">
        <x:v>false</x:v>
      </x:c>
      <x:c r="U284" s="17" t="str">
        <x:v>true</x:v>
      </x:c>
      <x:c r="V284" s="17" t="str">
        <x:v>false</x:v>
      </x:c>
    </x:row>
    <x:row r="285" ht="80" customHeight="1">
      <x:c r="A285" s="25" t="str">
        <x:v>Collections</x:v>
      </x:c>
      <x:c r="B285" s="25" t="n">
        <x:v>8</x:v>
      </x:c>
      <x:c r="C285" s="25" t="str">
        <x:v>Round1</x:v>
      </x:c>
      <x:c r="D285" s="25" t="str">
        <x:v>NOT_AVAILABLE</x:v>
      </x:c>
      <x:c r="E285" s="25" t="str">
        <x:v>N/A</x:v>
      </x:c>
      <x:c r="F285" s="26" t="str">
        <x:v>Tests exist but current coverage did not complete</x:v>
      </x:c>
      <x:c r="G285" s="25" t="str">
        <x:v>true</x:v>
      </x:c>
      <x:c r="H285" s="25" t="str">
        <x:v>NOT_AVAILABLE</x:v>
      </x:c>
      <x:c r="I285" s="25" t="str">
        <x:v>NOT_RUN</x:v>
      </x:c>
      <x:c r="J285" s="25" t="str">
        <x:v>NOT_RUN</x:v>
      </x:c>
      <x:c r="K285" s="25" t="n">
        <x:v>1</x:v>
      </x:c>
      <x:c r="L285" s="27" t="b">
        <x:v>0</x:v>
      </x:c>
      <x:c r="M285" s="25" t="str">
        <x:v>Deepseek-flash-v4/state/Round1/shards/Collections.json</x:v>
      </x:c>
      <x:c r="N285" s="25" t="str">
        <x:v>Deepseek-flash-v4/Result/Collections_8/result.json</x:v>
      </x:c>
      <x:c r="O285" s="25" t="str">
        <x:v>Deepseek-flash-v4/Result/Collections_8/result.json</x:v>
      </x:c>
      <x:c r="P285" t="str">
        <x:v>BOTH_NOT_RUN</x:v>
      </x:c>
      <x:c r="Q285" s="21" t="str"/>
      <x:c r="R285" s="21" t="str"/>
      <x:c r="S285" s="21" t="str"/>
      <x:c r="T285" s="17" t="str">
        <x:v>false</x:v>
      </x:c>
      <x:c r="U285" s="17" t="str">
        <x:v>true</x:v>
      </x:c>
      <x:c r="V285" s="17" t="str">
        <x:v>false</x:v>
      </x:c>
    </x:row>
    <x:row r="286" ht="80" customHeight="1">
      <x:c r="A286" s="25" t="str">
        <x:v>Collections</x:v>
      </x:c>
      <x:c r="B286" s="25" t="n">
        <x:v>9</x:v>
      </x:c>
      <x:c r="C286" s="25" t="str">
        <x:v>Round1</x:v>
      </x:c>
      <x:c r="D286" s="25" t="str">
        <x:v>NOT_AVAILABLE</x:v>
      </x:c>
      <x:c r="E286" s="25" t="str">
        <x:v>N/A</x:v>
      </x:c>
      <x:c r="F286" s="26" t="str">
        <x:v>Tests exist but current coverage did not complete</x:v>
      </x:c>
      <x:c r="G286" s="25" t="str">
        <x:v>true</x:v>
      </x:c>
      <x:c r="H286" s="25" t="str">
        <x:v>NOT_AVAILABLE</x:v>
      </x:c>
      <x:c r="I286" s="25" t="str">
        <x:v>NOT_RUN</x:v>
      </x:c>
      <x:c r="J286" s="25" t="str">
        <x:v>NOT_RUN</x:v>
      </x:c>
      <x:c r="K286" s="25" t="n">
        <x:v>1</x:v>
      </x:c>
      <x:c r="L286" s="27" t="b">
        <x:v>0</x:v>
      </x:c>
      <x:c r="M286" s="25" t="str">
        <x:v>Deepseek-flash-v4/state/Round1/shards/Collections.json</x:v>
      </x:c>
      <x:c r="N286" s="25" t="str">
        <x:v>Deepseek-flash-v4/Result/Collections_9/result.json</x:v>
      </x:c>
      <x:c r="O286" s="25" t="str">
        <x:v>Deepseek-flash-v4/Result/Collections_9/result.json</x:v>
      </x:c>
      <x:c r="P286" t="str">
        <x:v>BOTH_NOT_RUN</x:v>
      </x:c>
      <x:c r="Q286" s="21" t="str"/>
      <x:c r="R286" s="21" t="str"/>
      <x:c r="S286" s="21" t="str"/>
      <x:c r="T286" s="17" t="str">
        <x:v>false</x:v>
      </x:c>
      <x:c r="U286" s="17" t="str">
        <x:v>true</x:v>
      </x:c>
      <x:c r="V286" s="17" t="str">
        <x:v>false</x:v>
      </x:c>
    </x:row>
    <x:row r="287" ht="80" customHeight="1">
      <x:c r="A287" s="25" t="str">
        <x:v>Compress</x:v>
      </x:c>
      <x:c r="B287" s="25" t="n">
        <x:v>1</x:v>
      </x:c>
      <x:c r="C287" s="25" t="str">
        <x:v>Round1</x:v>
      </x:c>
      <x:c r="D287" s="25" t="str">
        <x:v>NOT_AVAILABLE</x:v>
      </x:c>
      <x:c r="E287" s="25" t="str">
        <x:v>N/A</x:v>
      </x:c>
      <x:c r="F287" s="26" t="str">
        <x:v>Tests exist but current coverage did not complete</x:v>
      </x:c>
      <x:c r="G287" s="25" t="str">
        <x:v>true</x:v>
      </x:c>
      <x:c r="H287" s="25" t="str">
        <x:v>NOT_AVAILABLE</x:v>
      </x:c>
      <x:c r="I287" s="25" t="str">
        <x:v>NOT_RUN</x:v>
      </x:c>
      <x:c r="J287" s="25" t="str">
        <x:v>NOT_RUN</x:v>
      </x:c>
      <x:c r="K287" s="25" t="n">
        <x:v>1</x:v>
      </x:c>
      <x:c r="L287" s="27" t="b">
        <x:v>0</x:v>
      </x:c>
      <x:c r="M287" s="25" t="str">
        <x:v>Deepseek-flash-v4/state/Round1/shards/Compress.json</x:v>
      </x:c>
      <x:c r="N287" s="25" t="str">
        <x:v>Deepseek-flash-v4/Result/Compress_1/result.json</x:v>
      </x:c>
      <x:c r="O287" s="25" t="str">
        <x:v>Deepseek-flash-v4/Result/Compress_1/result.json</x:v>
      </x:c>
      <x:c r="P287" t="str">
        <x:v>BOTH_NOT_RUN</x:v>
      </x:c>
      <x:c r="Q287" s="21" t="str"/>
      <x:c r="R287" s="21" t="str"/>
      <x:c r="S287" s="21" t="str"/>
      <x:c r="T287" s="17" t="str">
        <x:v>false</x:v>
      </x:c>
      <x:c r="U287" s="17" t="str">
        <x:v>true</x:v>
      </x:c>
      <x:c r="V287" s="17" t="str">
        <x:v>false</x:v>
      </x:c>
    </x:row>
    <x:row r="288" ht="80" customHeight="1">
      <x:c r="A288" s="25" t="str">
        <x:v>Compress</x:v>
      </x:c>
      <x:c r="B288" s="25" t="n">
        <x:v>10</x:v>
      </x:c>
      <x:c r="C288" s="25" t="str">
        <x:v>Round1</x:v>
      </x:c>
      <x:c r="D288" s="25" t="str">
        <x:v>NOT_AVAILABLE</x:v>
      </x:c>
      <x:c r="E288" s="25" t="str">
        <x:v>N/A</x:v>
      </x:c>
      <x:c r="F288" s="26" t="str">
        <x:v>Tests exist but current coverage did not complete</x:v>
      </x:c>
      <x:c r="G288" s="25" t="str">
        <x:v>true</x:v>
      </x:c>
      <x:c r="H288" s="25" t="str">
        <x:v>NOT_AVAILABLE</x:v>
      </x:c>
      <x:c r="I288" s="25" t="str">
        <x:v>NOT_RUN</x:v>
      </x:c>
      <x:c r="J288" s="25" t="str">
        <x:v>NOT_RUN</x:v>
      </x:c>
      <x:c r="K288" s="25" t="n">
        <x:v>1</x:v>
      </x:c>
      <x:c r="L288" s="27" t="b">
        <x:v>0</x:v>
      </x:c>
      <x:c r="M288" s="25" t="str">
        <x:v>Deepseek-flash-v4/state/Round1/shards/Compress.json</x:v>
      </x:c>
      <x:c r="N288" s="25" t="str">
        <x:v>Deepseek-flash-v4/Result/Compress_10/result.json</x:v>
      </x:c>
      <x:c r="O288" s="25" t="str">
        <x:v>Deepseek-flash-v4/Result/Compress_10/result.json</x:v>
      </x:c>
      <x:c r="P288" t="str">
        <x:v>BOTH_NOT_RUN</x:v>
      </x:c>
      <x:c r="Q288" s="21" t="str"/>
      <x:c r="R288" s="21" t="str"/>
      <x:c r="S288" s="21" t="str"/>
      <x:c r="T288" s="17" t="str">
        <x:v>false</x:v>
      </x:c>
      <x:c r="U288" s="17" t="str">
        <x:v>true</x:v>
      </x:c>
      <x:c r="V288" s="17" t="str">
        <x:v>false</x:v>
      </x:c>
    </x:row>
    <x:row r="289" ht="80" customHeight="1">
      <x:c r="A289" s="25" t="str">
        <x:v>Compress</x:v>
      </x:c>
      <x:c r="B289" s="25" t="n">
        <x:v>11</x:v>
      </x:c>
      <x:c r="C289" s="25" t="str">
        <x:v>Round1</x:v>
      </x:c>
      <x:c r="D289" s="25" t="str">
        <x:v>NOT_AVAILABLE</x:v>
      </x:c>
      <x:c r="E289" s="25" t="str">
        <x:v>N/A</x:v>
      </x:c>
      <x:c r="F289" s="26" t="str">
        <x:v>Tests exist but current coverage did not complete</x:v>
      </x:c>
      <x:c r="G289" s="25" t="str">
        <x:v>true</x:v>
      </x:c>
      <x:c r="H289" s="25" t="str">
        <x:v>NOT_AVAILABLE</x:v>
      </x:c>
      <x:c r="I289" s="25" t="str">
        <x:v>NOT_RUN</x:v>
      </x:c>
      <x:c r="J289" s="25" t="str">
        <x:v>NOT_RUN</x:v>
      </x:c>
      <x:c r="K289" s="25" t="n">
        <x:v>1</x:v>
      </x:c>
      <x:c r="L289" s="27" t="b">
        <x:v>0</x:v>
      </x:c>
      <x:c r="M289" s="25" t="str">
        <x:v>Deepseek-flash-v4/state/Round1/shards/Compress.json</x:v>
      </x:c>
      <x:c r="N289" s="25" t="str">
        <x:v>Deepseek-flash-v4/Result/Compress_11/result.json</x:v>
      </x:c>
      <x:c r="O289" s="25" t="str">
        <x:v>Deepseek-flash-v4/Result/Compress_11/result.json</x:v>
      </x:c>
      <x:c r="P289" t="str">
        <x:v>BOTH_NOT_RUN</x:v>
      </x:c>
      <x:c r="Q289" s="21" t="str"/>
      <x:c r="R289" s="21" t="str"/>
      <x:c r="S289" s="21" t="str"/>
      <x:c r="T289" s="17" t="str">
        <x:v>false</x:v>
      </x:c>
      <x:c r="U289" s="17" t="str">
        <x:v>true</x:v>
      </x:c>
      <x:c r="V289" s="17" t="str">
        <x:v>false</x:v>
      </x:c>
    </x:row>
    <x:row r="290" ht="80" customHeight="1">
      <x:c r="A290" s="25" t="str">
        <x:v>Compress</x:v>
      </x:c>
      <x:c r="B290" s="25" t="n">
        <x:v>12</x:v>
      </x:c>
      <x:c r="C290" s="25" t="str">
        <x:v>Round1</x:v>
      </x:c>
      <x:c r="D290" s="25" t="str">
        <x:v>NOT_AVAILABLE</x:v>
      </x:c>
      <x:c r="E290" s="25" t="str">
        <x:v>N/A</x:v>
      </x:c>
      <x:c r="F290" s="26" t="str">
        <x:v>Tests exist but current coverage did not complete</x:v>
      </x:c>
      <x:c r="G290" s="25" t="str">
        <x:v>true</x:v>
      </x:c>
      <x:c r="H290" s="25" t="str">
        <x:v>NOT_AVAILABLE</x:v>
      </x:c>
      <x:c r="I290" s="25" t="str">
        <x:v>NOT_RUN</x:v>
      </x:c>
      <x:c r="J290" s="25" t="str">
        <x:v>NOT_RUN</x:v>
      </x:c>
      <x:c r="K290" s="25" t="n">
        <x:v>1</x:v>
      </x:c>
      <x:c r="L290" s="27" t="b">
        <x:v>0</x:v>
      </x:c>
      <x:c r="M290" s="25" t="str">
        <x:v>Deepseek-flash-v4/state/Round1/shards/Compress.json</x:v>
      </x:c>
      <x:c r="N290" s="25" t="str">
        <x:v>Deepseek-flash-v4/Result/Compress_12/result.json</x:v>
      </x:c>
      <x:c r="O290" s="25" t="str">
        <x:v>Deepseek-flash-v4/Result/Compress_12/result.json</x:v>
      </x:c>
      <x:c r="P290" t="str">
        <x:v>BOTH_NOT_RUN</x:v>
      </x:c>
      <x:c r="Q290" s="21" t="str"/>
      <x:c r="R290" s="21" t="str"/>
      <x:c r="S290" s="21" t="str"/>
      <x:c r="T290" s="17" t="str">
        <x:v>false</x:v>
      </x:c>
      <x:c r="U290" s="17" t="str">
        <x:v>true</x:v>
      </x:c>
      <x:c r="V290" s="17" t="str">
        <x:v>false</x:v>
      </x:c>
    </x:row>
    <x:row r="291" ht="80" customHeight="1">
      <x:c r="A291" s="25" t="str">
        <x:v>Compress</x:v>
      </x:c>
      <x:c r="B291" s="25" t="n">
        <x:v>13</x:v>
      </x:c>
      <x:c r="C291" s="25" t="str">
        <x:v>Round1</x:v>
      </x:c>
      <x:c r="D291" s="25" t="str">
        <x:v>NOT_AVAILABLE</x:v>
      </x:c>
      <x:c r="E291" s="25" t="str">
        <x:v>N/A</x:v>
      </x:c>
      <x:c r="F291" s="26" t="str">
        <x:v>Tests exist but current coverage did not complete</x:v>
      </x:c>
      <x:c r="G291" s="25" t="str">
        <x:v>true</x:v>
      </x:c>
      <x:c r="H291" s="25" t="str">
        <x:v>NOT_AVAILABLE</x:v>
      </x:c>
      <x:c r="I291" s="25" t="str">
        <x:v>NOT_RUN</x:v>
      </x:c>
      <x:c r="J291" s="25" t="str">
        <x:v>NOT_RUN</x:v>
      </x:c>
      <x:c r="K291" s="25" t="n">
        <x:v>1</x:v>
      </x:c>
      <x:c r="L291" s="27" t="b">
        <x:v>0</x:v>
      </x:c>
      <x:c r="M291" s="25" t="str">
        <x:v>Deepseek-flash-v4/state/Round1/shards/Compress.json</x:v>
      </x:c>
      <x:c r="N291" s="25" t="str">
        <x:v>Deepseek-flash-v4/Result/Compress_13/result.json</x:v>
      </x:c>
      <x:c r="O291" s="25" t="str">
        <x:v>Deepseek-flash-v4/Result/Compress_13/result.json</x:v>
      </x:c>
      <x:c r="P291" t="str">
        <x:v>BOTH_NOT_RUN</x:v>
      </x:c>
      <x:c r="Q291" s="21" t="str"/>
      <x:c r="R291" s="21" t="str"/>
      <x:c r="S291" s="21" t="str"/>
      <x:c r="T291" s="17" t="str">
        <x:v>false</x:v>
      </x:c>
      <x:c r="U291" s="17" t="str">
        <x:v>true</x:v>
      </x:c>
      <x:c r="V291" s="17" t="str">
        <x:v>false</x:v>
      </x:c>
    </x:row>
    <x:row r="292" ht="80" customHeight="1">
      <x:c r="A292" s="25" t="str">
        <x:v>Compress</x:v>
      </x:c>
      <x:c r="B292" s="25" t="n">
        <x:v>14</x:v>
      </x:c>
      <x:c r="C292" s="25" t="str">
        <x:v>Round1</x:v>
      </x:c>
      <x:c r="D292" s="25" t="str">
        <x:v>INCONCLUSIVE</x:v>
      </x:c>
      <x:c r="E292" s="25" t="str">
        <x:v>N/A</x:v>
      </x:c>
      <x:c r="F292" s="26" t="str">
        <x:v>Fixed also failed; assertion failure cannot be attributed to this bug</x:v>
      </x:c>
      <x:c r="G292" s="25" t="str">
        <x:v>true</x:v>
      </x:c>
      <x:c r="H292" s="25" t="str">
        <x:v>INCONCLUSIVE</x:v>
      </x:c>
      <x:c r="I292" s="25" t="str">
        <x:v>FAIL</x:v>
      </x:c>
      <x:c r="J292" s="25" t="str">
        <x:v>FAIL</x:v>
      </x:c>
      <x:c r="K292" s="25" t="n">
        <x:v>1</x:v>
      </x:c>
      <x:c r="L292" s="27" t="b">
        <x:v>0</x:v>
      </x:c>
      <x:c r="M292" s="25" t="str">
        <x:v>Deepseek-flash-v4/state/Round1/shards/Compress.json</x:v>
      </x:c>
      <x:c r="N292" s="25" t="str">
        <x:v>Deepseek-flash-v4/Result/Compress_14/result.json</x:v>
      </x:c>
      <x:c r="O292" s="25" t="str">
        <x:v>Deepseek-flash-v4/Result/Compress_14/result.json</x:v>
      </x:c>
      <x:c r="P292"/>
      <x:c r="Q292" s="21" t="str"/>
      <x:c r="R292" s="21" t="str"/>
      <x:c r="S292" s="21" t="str"/>
      <x:c r="T292" s="17" t="str">
        <x:v>false</x:v>
      </x:c>
      <x:c r="U292" s="17" t="str">
        <x:v>true</x:v>
      </x:c>
      <x:c r="V292" s="17" t="str">
        <x:v>false</x:v>
      </x:c>
    </x:row>
    <x:row r="293" ht="80" customHeight="1">
      <x:c r="A293" s="25" t="str">
        <x:v>Compress</x:v>
      </x:c>
      <x:c r="B293" s="25" t="n">
        <x:v>15</x:v>
      </x:c>
      <x:c r="C293" s="25" t="str">
        <x:v>Round1</x:v>
      </x:c>
      <x:c r="D293" s="25" t="str">
        <x:v>NOT_AVAILABLE</x:v>
      </x:c>
      <x:c r="E293" s="25" t="str">
        <x:v>N/A</x:v>
      </x:c>
      <x:c r="F293" s="26" t="str">
        <x:v>Tests exist but current coverage did not complete</x:v>
      </x:c>
      <x:c r="G293" s="25" t="str">
        <x:v>true</x:v>
      </x:c>
      <x:c r="H293" s="25" t="str">
        <x:v>NOT_AVAILABLE</x:v>
      </x:c>
      <x:c r="I293" s="25" t="str">
        <x:v>NOT_RUN</x:v>
      </x:c>
      <x:c r="J293" s="25" t="str">
        <x:v>NOT_RUN</x:v>
      </x:c>
      <x:c r="K293" s="25" t="n">
        <x:v>1</x:v>
      </x:c>
      <x:c r="L293" s="27" t="b">
        <x:v>0</x:v>
      </x:c>
      <x:c r="M293" s="25" t="str">
        <x:v>Deepseek-flash-v4/state/Round1/shards/Compress.json</x:v>
      </x:c>
      <x:c r="N293" s="25" t="str">
        <x:v>Deepseek-flash-v4/Result/Compress_15/result.json</x:v>
      </x:c>
      <x:c r="O293" s="25" t="str">
        <x:v>Deepseek-flash-v4/Result/Compress_15/result.json</x:v>
      </x:c>
      <x:c r="P293" t="str">
        <x:v>BOTH_NOT_RUN</x:v>
      </x:c>
      <x:c r="Q293" s="21" t="str"/>
      <x:c r="R293" s="21" t="str"/>
      <x:c r="S293" s="21" t="str"/>
      <x:c r="T293" s="17" t="str">
        <x:v>false</x:v>
      </x:c>
      <x:c r="U293" s="17" t="str">
        <x:v>true</x:v>
      </x:c>
      <x:c r="V293" s="17" t="str">
        <x:v>false</x:v>
      </x:c>
    </x:row>
    <x:row r="294" ht="80" customHeight="1">
      <x:c r="A294" s="25" t="str">
        <x:v>Compress</x:v>
      </x:c>
      <x:c r="B294" s="25" t="n">
        <x:v>16</x:v>
      </x:c>
      <x:c r="C294" s="25" t="str">
        <x:v>Round1</x:v>
      </x:c>
      <x:c r="D294" s="25" t="str">
        <x:v>NOT_AVAILABLE</x:v>
      </x:c>
      <x:c r="E294" s="25" t="str">
        <x:v>N/A</x:v>
      </x:c>
      <x:c r="F294" s="26" t="str">
        <x:v>Tests exist but current coverage did not complete</x:v>
      </x:c>
      <x:c r="G294" s="25" t="str">
        <x:v>true</x:v>
      </x:c>
      <x:c r="H294" s="25" t="str">
        <x:v>NOT_AVAILABLE</x:v>
      </x:c>
      <x:c r="I294" s="25" t="str">
        <x:v>NOT_RUN</x:v>
      </x:c>
      <x:c r="J294" s="25" t="str">
        <x:v>NOT_RUN</x:v>
      </x:c>
      <x:c r="K294" s="25" t="n">
        <x:v>1</x:v>
      </x:c>
      <x:c r="L294" s="27" t="b">
        <x:v>0</x:v>
      </x:c>
      <x:c r="M294" s="25" t="str">
        <x:v>Deepseek-flash-v4/state/Round1/shards/Compress.json</x:v>
      </x:c>
      <x:c r="N294" s="25" t="str">
        <x:v>Deepseek-flash-v4/Result/Compress_16/result.json</x:v>
      </x:c>
      <x:c r="O294" s="25" t="str">
        <x:v>Deepseek-flash-v4/Result/Compress_16/result.json</x:v>
      </x:c>
      <x:c r="P294" t="str">
        <x:v>BOTH_NOT_RUN</x:v>
      </x:c>
      <x:c r="Q294" s="21" t="str"/>
      <x:c r="R294" s="21" t="str"/>
      <x:c r="S294" s="21" t="str"/>
      <x:c r="T294" s="17" t="str">
        <x:v>false</x:v>
      </x:c>
      <x:c r="U294" s="17" t="str">
        <x:v>true</x:v>
      </x:c>
      <x:c r="V294" s="17" t="str">
        <x:v>false</x:v>
      </x:c>
    </x:row>
    <x:row r="295" ht="80" customHeight="1">
      <x:c r="A295" s="25" t="str">
        <x:v>Compress</x:v>
      </x:c>
      <x:c r="B295" s="25" t="n">
        <x:v>17</x:v>
      </x:c>
      <x:c r="C295" s="25" t="str">
        <x:v>Round1</x:v>
      </x:c>
      <x:c r="D295" s="25" t="str">
        <x:v>INCONCLUSIVE</x:v>
      </x:c>
      <x:c r="E295" s="25" t="str">
        <x:v>N/A</x:v>
      </x:c>
      <x:c r="F295" s="26" t="str">
        <x:v>Fixed also failed; assertion failure cannot be attributed to this bug</x:v>
      </x:c>
      <x:c r="G295" s="25" t="str">
        <x:v>true</x:v>
      </x:c>
      <x:c r="H295" s="25" t="str">
        <x:v>INCONCLUSIVE</x:v>
      </x:c>
      <x:c r="I295" s="25" t="str">
        <x:v>FAIL</x:v>
      </x:c>
      <x:c r="J295" s="25" t="str">
        <x:v>FAIL</x:v>
      </x:c>
      <x:c r="K295" s="25" t="n">
        <x:v>1</x:v>
      </x:c>
      <x:c r="L295" s="27" t="b">
        <x:v>0</x:v>
      </x:c>
      <x:c r="M295" s="25" t="str">
        <x:v>Deepseek-flash-v4/state/Round1/shards/Compress.json</x:v>
      </x:c>
      <x:c r="N295" s="25" t="str">
        <x:v>Deepseek-flash-v4/Result/Compress_17/result.json</x:v>
      </x:c>
      <x:c r="O295" s="25" t="str">
        <x:v>Deepseek-flash-v4/Result/Compress_17/result.json</x:v>
      </x:c>
      <x:c r="P295"/>
      <x:c r="Q295" s="21" t="str"/>
      <x:c r="R295" s="21" t="str"/>
      <x:c r="S295" s="21" t="str"/>
      <x:c r="T295" s="17" t="str">
        <x:v>false</x:v>
      </x:c>
      <x:c r="U295" s="17" t="str">
        <x:v>true</x:v>
      </x:c>
      <x:c r="V295" s="17" t="str">
        <x:v>false</x:v>
      </x:c>
    </x:row>
    <x:row r="296" ht="80" customHeight="1">
      <x:c r="A296" s="25" t="str">
        <x:v>Compress</x:v>
      </x:c>
      <x:c r="B296" s="25" t="n">
        <x:v>18</x:v>
      </x:c>
      <x:c r="C296" s="25" t="str">
        <x:v>Round1</x:v>
      </x:c>
      <x:c r="D296" s="25" t="str">
        <x:v>NOT_AVAILABLE</x:v>
      </x:c>
      <x:c r="E296" s="25" t="str">
        <x:v>N/A</x:v>
      </x:c>
      <x:c r="F296" s="26" t="str">
        <x:v>Tests exist but current coverage did not complete</x:v>
      </x:c>
      <x:c r="G296" s="25" t="str">
        <x:v>true</x:v>
      </x:c>
      <x:c r="H296" s="25" t="str">
        <x:v>NOT_AVAILABLE</x:v>
      </x:c>
      <x:c r="I296" s="25" t="str">
        <x:v>NOT_RUN</x:v>
      </x:c>
      <x:c r="J296" s="25" t="str">
        <x:v>NOT_RUN</x:v>
      </x:c>
      <x:c r="K296" s="25" t="n">
        <x:v>1</x:v>
      </x:c>
      <x:c r="L296" s="27" t="b">
        <x:v>0</x:v>
      </x:c>
      <x:c r="M296" s="25" t="str">
        <x:v>Deepseek-flash-v4/state/Round1/shards/Compress.json</x:v>
      </x:c>
      <x:c r="N296" s="25" t="str">
        <x:v>Deepseek-flash-v4/Result/Compress_18/result.json</x:v>
      </x:c>
      <x:c r="O296" s="25" t="str">
        <x:v>Deepseek-flash-v4/Result/Compress_18/result.json</x:v>
      </x:c>
      <x:c r="P296" t="str">
        <x:v>BOTH_NOT_RUN</x:v>
      </x:c>
      <x:c r="Q296" s="21" t="str"/>
      <x:c r="R296" s="21" t="str"/>
      <x:c r="S296" s="21" t="str"/>
      <x:c r="T296" s="17" t="str">
        <x:v>false</x:v>
      </x:c>
      <x:c r="U296" s="17" t="str">
        <x:v>true</x:v>
      </x:c>
      <x:c r="V296" s="17" t="str">
        <x:v>false</x:v>
      </x:c>
    </x:row>
    <x:row r="297" ht="80" customHeight="1">
      <x:c r="A297" s="25" t="str">
        <x:v>Compress</x:v>
      </x:c>
      <x:c r="B297" s="25" t="n">
        <x:v>19</x:v>
      </x:c>
      <x:c r="C297" s="25" t="str">
        <x:v>Round1</x:v>
      </x:c>
      <x:c r="D297" s="25" t="str">
        <x:v>NOT_AVAILABLE</x:v>
      </x:c>
      <x:c r="E297" s="25" t="str">
        <x:v>N/A</x:v>
      </x:c>
      <x:c r="F297" s="26" t="str">
        <x:v>Tests exist but current coverage did not complete</x:v>
      </x:c>
      <x:c r="G297" s="25" t="str">
        <x:v>true</x:v>
      </x:c>
      <x:c r="H297" s="25" t="str">
        <x:v>NOT_AVAILABLE</x:v>
      </x:c>
      <x:c r="I297" s="25" t="str">
        <x:v>NOT_RUN</x:v>
      </x:c>
      <x:c r="J297" s="25" t="str">
        <x:v>NOT_RUN</x:v>
      </x:c>
      <x:c r="K297" s="25" t="n">
        <x:v>1</x:v>
      </x:c>
      <x:c r="L297" s="27" t="b">
        <x:v>0</x:v>
      </x:c>
      <x:c r="M297" s="25" t="str">
        <x:v>Deepseek-flash-v4/state/Round1/shards/Compress.json</x:v>
      </x:c>
      <x:c r="N297" s="25" t="str">
        <x:v>Deepseek-flash-v4/Result/Compress_19/result.json</x:v>
      </x:c>
      <x:c r="O297" s="25" t="str">
        <x:v>Deepseek-flash-v4/Result/Compress_19/result.json</x:v>
      </x:c>
      <x:c r="P297" t="str">
        <x:v>BOTH_NOT_RUN</x:v>
      </x:c>
      <x:c r="Q297" s="21" t="str"/>
      <x:c r="R297" s="21" t="str"/>
      <x:c r="S297" s="21" t="str"/>
      <x:c r="T297" s="17" t="str">
        <x:v>false</x:v>
      </x:c>
      <x:c r="U297" s="17" t="str">
        <x:v>true</x:v>
      </x:c>
      <x:c r="V297" s="17" t="str">
        <x:v>false</x:v>
      </x:c>
    </x:row>
    <x:row r="298" ht="80" customHeight="1">
      <x:c r="A298" s="25" t="str">
        <x:v>Compress</x:v>
      </x:c>
      <x:c r="B298" s="25" t="n">
        <x:v>2</x:v>
      </x:c>
      <x:c r="C298" s="25" t="str">
        <x:v>Round1</x:v>
      </x:c>
      <x:c r="D298" s="25" t="str">
        <x:v>NOT_AVAILABLE</x:v>
      </x:c>
      <x:c r="E298" s="25" t="str">
        <x:v>N/A</x:v>
      </x:c>
      <x:c r="F298" s="26" t="str">
        <x:v>Tests exist but current coverage did not complete</x:v>
      </x:c>
      <x:c r="G298" s="25" t="str">
        <x:v>true</x:v>
      </x:c>
      <x:c r="H298" s="25" t="str">
        <x:v>NOT_AVAILABLE</x:v>
      </x:c>
      <x:c r="I298" s="25" t="str">
        <x:v>NOT_RUN</x:v>
      </x:c>
      <x:c r="J298" s="25" t="str">
        <x:v>NOT_RUN</x:v>
      </x:c>
      <x:c r="K298" s="25" t="n">
        <x:v>1</x:v>
      </x:c>
      <x:c r="L298" s="27" t="b">
        <x:v>0</x:v>
      </x:c>
      <x:c r="M298" s="25" t="str">
        <x:v>Deepseek-flash-v4/state/Round1/shards/Compress.json</x:v>
      </x:c>
      <x:c r="N298" s="25" t="str">
        <x:v>Deepseek-flash-v4/Result/Compress_2/result.json</x:v>
      </x:c>
      <x:c r="O298" s="25" t="str">
        <x:v>Deepseek-flash-v4/Result/Compress_2/result.json</x:v>
      </x:c>
      <x:c r="P298" t="str">
        <x:v>BOTH_NOT_RUN</x:v>
      </x:c>
      <x:c r="Q298" s="21" t="str"/>
      <x:c r="R298" s="21" t="str"/>
      <x:c r="S298" s="21" t="str"/>
      <x:c r="T298" s="17" t="str">
        <x:v>false</x:v>
      </x:c>
      <x:c r="U298" s="17" t="str">
        <x:v>true</x:v>
      </x:c>
      <x:c r="V298" s="17" t="str">
        <x:v>false</x:v>
      </x:c>
    </x:row>
    <x:row r="299" ht="80" customHeight="1">
      <x:c r="A299" s="25" t="str">
        <x:v>Compress</x:v>
      </x:c>
      <x:c r="B299" s="25" t="n">
        <x:v>20</x:v>
      </x:c>
      <x:c r="C299" s="25" t="str">
        <x:v>Round1</x:v>
      </x:c>
      <x:c r="D299" s="25" t="str">
        <x:v>INCONCLUSIVE</x:v>
      </x:c>
      <x:c r="E299" s="25" t="str">
        <x:v>N/A</x:v>
      </x:c>
      <x:c r="F299" s="26" t="str">
        <x:v>Fixed also failed; assertion failure cannot be attributed to this bug</x:v>
      </x:c>
      <x:c r="G299" s="25" t="str">
        <x:v>true</x:v>
      </x:c>
      <x:c r="H299" s="25" t="str">
        <x:v>INCONCLUSIVE</x:v>
      </x:c>
      <x:c r="I299" s="25" t="str">
        <x:v>FAIL</x:v>
      </x:c>
      <x:c r="J299" s="25" t="str">
        <x:v>FAIL</x:v>
      </x:c>
      <x:c r="K299" s="25" t="n">
        <x:v>1</x:v>
      </x:c>
      <x:c r="L299" s="27" t="b">
        <x:v>0</x:v>
      </x:c>
      <x:c r="M299" s="25" t="str">
        <x:v>Deepseek-flash-v4/state/Round1/shards/Compress.json</x:v>
      </x:c>
      <x:c r="N299" s="25" t="str">
        <x:v>Deepseek-flash-v4/Result/Compress_20/result.json</x:v>
      </x:c>
      <x:c r="O299" s="25" t="str">
        <x:v>Deepseek-flash-v4/Result/Compress_20/result.json</x:v>
      </x:c>
      <x:c r="P299"/>
      <x:c r="Q299" s="21" t="str"/>
      <x:c r="R299" s="21" t="str"/>
      <x:c r="S299" s="21" t="str"/>
      <x:c r="T299" s="17" t="str">
        <x:v>false</x:v>
      </x:c>
      <x:c r="U299" s="17" t="str">
        <x:v>true</x:v>
      </x:c>
      <x:c r="V299" s="17" t="str">
        <x:v>false</x:v>
      </x:c>
    </x:row>
    <x:row r="300" ht="80" customHeight="1">
      <x:c r="A300" s="25" t="str">
        <x:v>Compress</x:v>
      </x:c>
      <x:c r="B300" s="25" t="n">
        <x:v>21</x:v>
      </x:c>
      <x:c r="C300" s="25" t="str">
        <x:v>Round1</x:v>
      </x:c>
      <x:c r="D300" s="25" t="str">
        <x:v>INCONCLUSIVE</x:v>
      </x:c>
      <x:c r="E300" s="25" t="str">
        <x:v>N/A</x:v>
      </x:c>
      <x:c r="F300" s="26" t="str">
        <x:v>Fixed also failed; assertion failure cannot be attributed to this bug</x:v>
      </x:c>
      <x:c r="G300" s="25" t="str">
        <x:v>true</x:v>
      </x:c>
      <x:c r="H300" s="25" t="str">
        <x:v>INCONCLUSIVE</x:v>
      </x:c>
      <x:c r="I300" s="25" t="str">
        <x:v>FAIL</x:v>
      </x:c>
      <x:c r="J300" s="25" t="str">
        <x:v>FAIL</x:v>
      </x:c>
      <x:c r="K300" s="25" t="n">
        <x:v>1</x:v>
      </x:c>
      <x:c r="L300" s="27" t="b">
        <x:v>0</x:v>
      </x:c>
      <x:c r="M300" s="25" t="str">
        <x:v>Deepseek-flash-v4/state/Round1/shards/Compress.json</x:v>
      </x:c>
      <x:c r="N300" s="25" t="str">
        <x:v>Deepseek-flash-v4/Result/Compress_21/result.json</x:v>
      </x:c>
      <x:c r="O300" s="25" t="str">
        <x:v>Deepseek-flash-v4/Result/Compress_21/result.json</x:v>
      </x:c>
      <x:c r="P300"/>
      <x:c r="Q300" s="21" t="str"/>
      <x:c r="R300" s="21" t="str"/>
      <x:c r="S300" s="21" t="str"/>
      <x:c r="T300" s="17" t="str">
        <x:v>false</x:v>
      </x:c>
      <x:c r="U300" s="17" t="str">
        <x:v>true</x:v>
      </x:c>
      <x:c r="V300" s="17" t="str">
        <x:v>false</x:v>
      </x:c>
    </x:row>
    <x:row r="301" ht="80" customHeight="1">
      <x:c r="A301" s="25" t="str">
        <x:v>Compress</x:v>
      </x:c>
      <x:c r="B301" s="25" t="n">
        <x:v>22</x:v>
      </x:c>
      <x:c r="C301" s="25" t="str">
        <x:v>Round1</x:v>
      </x:c>
      <x:c r="D301" s="25" t="str">
        <x:v>NOT_AVAILABLE</x:v>
      </x:c>
      <x:c r="E301" s="25" t="str">
        <x:v>N/A</x:v>
      </x:c>
      <x:c r="F301" s="26" t="str">
        <x:v>Tests exist but current coverage did not complete</x:v>
      </x:c>
      <x:c r="G301" s="25" t="str">
        <x:v>true</x:v>
      </x:c>
      <x:c r="H301" s="25" t="str">
        <x:v>NOT_AVAILABLE</x:v>
      </x:c>
      <x:c r="I301" s="25" t="str">
        <x:v>NOT_RUN</x:v>
      </x:c>
      <x:c r="J301" s="25" t="str">
        <x:v>NOT_RUN</x:v>
      </x:c>
      <x:c r="K301" s="25" t="n">
        <x:v>1</x:v>
      </x:c>
      <x:c r="L301" s="27" t="b">
        <x:v>0</x:v>
      </x:c>
      <x:c r="M301" s="25" t="str">
        <x:v>Deepseek-flash-v4/state/Round1/shards/Compress.json</x:v>
      </x:c>
      <x:c r="N301" s="25" t="str">
        <x:v>Deepseek-flash-v4/Result/Compress_22/result.json</x:v>
      </x:c>
      <x:c r="O301" s="25" t="str">
        <x:v>Deepseek-flash-v4/Result/Compress_22/result.json</x:v>
      </x:c>
      <x:c r="P301" t="str">
        <x:v>BOTH_NOT_RUN</x:v>
      </x:c>
      <x:c r="Q301" s="21" t="str"/>
      <x:c r="R301" s="21" t="str"/>
      <x:c r="S301" s="21" t="str"/>
      <x:c r="T301" s="17" t="str">
        <x:v>false</x:v>
      </x:c>
      <x:c r="U301" s="17" t="str">
        <x:v>true</x:v>
      </x:c>
      <x:c r="V301" s="17" t="str">
        <x:v>false</x:v>
      </x:c>
    </x:row>
    <x:row r="302" ht="80" customHeight="1">
      <x:c r="A302" s="25" t="str">
        <x:v>Compress</x:v>
      </x:c>
      <x:c r="B302" s="25" t="n">
        <x:v>23</x:v>
      </x:c>
      <x:c r="C302" s="25" t="str">
        <x:v>Round1</x:v>
      </x:c>
      <x:c r="D302" s="25" t="str">
        <x:v>NOT_AVAILABLE</x:v>
      </x:c>
      <x:c r="E302" s="25" t="str">
        <x:v>N/A</x:v>
      </x:c>
      <x:c r="F302" s="26" t="str">
        <x:v>Tests exist but current coverage did not complete</x:v>
      </x:c>
      <x:c r="G302" s="25" t="str">
        <x:v>true</x:v>
      </x:c>
      <x:c r="H302" s="25" t="str">
        <x:v>NOT_AVAILABLE</x:v>
      </x:c>
      <x:c r="I302" s="25" t="str">
        <x:v>NOT_RUN</x:v>
      </x:c>
      <x:c r="J302" s="25" t="str">
        <x:v>NOT_RUN</x:v>
      </x:c>
      <x:c r="K302" s="25" t="n">
        <x:v>1</x:v>
      </x:c>
      <x:c r="L302" s="27" t="b">
        <x:v>0</x:v>
      </x:c>
      <x:c r="M302" s="25" t="str">
        <x:v>Deepseek-flash-v4/state/Round1/shards/Compress.json</x:v>
      </x:c>
      <x:c r="N302" s="25" t="str">
        <x:v>Deepseek-flash-v4/Result/Compress_23/result.json</x:v>
      </x:c>
      <x:c r="O302" s="25" t="str">
        <x:v>Deepseek-flash-v4/Result/Compress_23/result.json</x:v>
      </x:c>
      <x:c r="P302" t="str">
        <x:v>BOTH_NOT_RUN</x:v>
      </x:c>
      <x:c r="Q302" s="21" t="str"/>
      <x:c r="R302" s="21" t="str"/>
      <x:c r="S302" s="21" t="str"/>
      <x:c r="T302" s="17" t="str">
        <x:v>false</x:v>
      </x:c>
      <x:c r="U302" s="17" t="str">
        <x:v>true</x:v>
      </x:c>
      <x:c r="V302" s="17" t="str">
        <x:v>false</x:v>
      </x:c>
    </x:row>
    <x:row r="303" ht="80" customHeight="1">
      <x:c r="A303" s="25" t="str">
        <x:v>Compress</x:v>
      </x:c>
      <x:c r="B303" s="25" t="n">
        <x:v>24</x:v>
      </x:c>
      <x:c r="C303" s="25" t="str">
        <x:v>Round1</x:v>
      </x:c>
      <x:c r="D303" s="25" t="str">
        <x:v>INCONCLUSIVE</x:v>
      </x:c>
      <x:c r="E303" s="25" t="str">
        <x:v>N/A</x:v>
      </x:c>
      <x:c r="F303" s="26" t="str">
        <x:v>Fixed also failed; assertion failure cannot be attributed to this bug</x:v>
      </x:c>
      <x:c r="G303" s="25" t="str">
        <x:v>true</x:v>
      </x:c>
      <x:c r="H303" s="25" t="str">
        <x:v>INCONCLUSIVE</x:v>
      </x:c>
      <x:c r="I303" s="25" t="str">
        <x:v>FAIL</x:v>
      </x:c>
      <x:c r="J303" s="25" t="str">
        <x:v>FAIL</x:v>
      </x:c>
      <x:c r="K303" s="25" t="n">
        <x:v>1</x:v>
      </x:c>
      <x:c r="L303" s="27" t="b">
        <x:v>0</x:v>
      </x:c>
      <x:c r="M303" s="25" t="str">
        <x:v>Deepseek-flash-v4/state/Round1/shards/Compress.json</x:v>
      </x:c>
      <x:c r="N303" s="25" t="str">
        <x:v>Deepseek-flash-v4/Result/Compress_24/result.json</x:v>
      </x:c>
      <x:c r="O303" s="25" t="str">
        <x:v>Deepseek-flash-v4/Result/Compress_24/result.json</x:v>
      </x:c>
      <x:c r="P303"/>
      <x:c r="Q303" s="21" t="str"/>
      <x:c r="R303" s="21" t="str"/>
      <x:c r="S303" s="21" t="str"/>
      <x:c r="T303" s="17" t="str">
        <x:v>false</x:v>
      </x:c>
      <x:c r="U303" s="17" t="str">
        <x:v>true</x:v>
      </x:c>
      <x:c r="V303" s="17" t="str">
        <x:v>false</x:v>
      </x:c>
    </x:row>
    <x:row r="304" ht="80" customHeight="1">
      <x:c r="A304" s="25" t="str">
        <x:v>Compress</x:v>
      </x:c>
      <x:c r="B304" s="25" t="n">
        <x:v>25</x:v>
      </x:c>
      <x:c r="C304" s="25" t="str">
        <x:v>Round1</x:v>
      </x:c>
      <x:c r="D304" s="25" t="str">
        <x:v>NOT_AVAILABLE</x:v>
      </x:c>
      <x:c r="E304" s="25" t="str">
        <x:v>N/A</x:v>
      </x:c>
      <x:c r="F304" s="26" t="str">
        <x:v>Tests exist but current coverage did not complete</x:v>
      </x:c>
      <x:c r="G304" s="25" t="str">
        <x:v>true</x:v>
      </x:c>
      <x:c r="H304" s="25" t="str">
        <x:v>NOT_AVAILABLE</x:v>
      </x:c>
      <x:c r="I304" s="25" t="str">
        <x:v>NOT_RUN</x:v>
      </x:c>
      <x:c r="J304" s="25" t="str">
        <x:v>NOT_RUN</x:v>
      </x:c>
      <x:c r="K304" s="25" t="n">
        <x:v>1</x:v>
      </x:c>
      <x:c r="L304" s="27" t="b">
        <x:v>0</x:v>
      </x:c>
      <x:c r="M304" s="25" t="str">
        <x:v>Deepseek-flash-v4/state/Round1/shards/Compress.json</x:v>
      </x:c>
      <x:c r="N304" s="25" t="str">
        <x:v>Deepseek-flash-v4/Result/Compress_25/result.json</x:v>
      </x:c>
      <x:c r="O304" s="25" t="str">
        <x:v>Deepseek-flash-v4/Result/Compress_25/result.json</x:v>
      </x:c>
      <x:c r="P304" t="str">
        <x:v>BOTH_NOT_RUN</x:v>
      </x:c>
      <x:c r="Q304" s="21" t="str"/>
      <x:c r="R304" s="21" t="str"/>
      <x:c r="S304" s="21" t="str"/>
      <x:c r="T304" s="17" t="str">
        <x:v>false</x:v>
      </x:c>
      <x:c r="U304" s="17" t="str">
        <x:v>true</x:v>
      </x:c>
      <x:c r="V304" s="17" t="str">
        <x:v>false</x:v>
      </x:c>
    </x:row>
    <x:row r="305" ht="80" customHeight="1">
      <x:c r="A305" s="25" t="str">
        <x:v>Compress</x:v>
      </x:c>
      <x:c r="B305" s="25" t="n">
        <x:v>26</x:v>
      </x:c>
      <x:c r="C305" s="25" t="str">
        <x:v>Round1</x:v>
      </x:c>
      <x:c r="D305" s="25" t="str">
        <x:v>NOT_AVAILABLE</x:v>
      </x:c>
      <x:c r="E305" s="25" t="str">
        <x:v>N/A</x:v>
      </x:c>
      <x:c r="F305" s="26" t="str">
        <x:v>Tests exist but current coverage did not complete</x:v>
      </x:c>
      <x:c r="G305" s="25" t="str">
        <x:v>true</x:v>
      </x:c>
      <x:c r="H305" s="25" t="str">
        <x:v>NOT_AVAILABLE</x:v>
      </x:c>
      <x:c r="I305" s="25" t="str">
        <x:v>NOT_RUN</x:v>
      </x:c>
      <x:c r="J305" s="25" t="str">
        <x:v>NOT_RUN</x:v>
      </x:c>
      <x:c r="K305" s="25" t="n">
        <x:v>1</x:v>
      </x:c>
      <x:c r="L305" s="27" t="b">
        <x:v>0</x:v>
      </x:c>
      <x:c r="M305" s="25" t="str">
        <x:v>Deepseek-flash-v4/state/Round1/shards/Compress.json</x:v>
      </x:c>
      <x:c r="N305" s="25" t="str">
        <x:v>Deepseek-flash-v4/Result/Compress_26/result.json</x:v>
      </x:c>
      <x:c r="O305" s="25" t="str">
        <x:v>Deepseek-flash-v4/Result/Compress_26/result.json</x:v>
      </x:c>
      <x:c r="P305" t="str">
        <x:v>BOTH_NOT_RUN</x:v>
      </x:c>
      <x:c r="Q305" s="21" t="str"/>
      <x:c r="R305" s="21" t="str"/>
      <x:c r="S305" s="21" t="str"/>
      <x:c r="T305" s="17" t="str">
        <x:v>false</x:v>
      </x:c>
      <x:c r="U305" s="17" t="str">
        <x:v>true</x:v>
      </x:c>
      <x:c r="V305" s="17" t="str">
        <x:v>false</x:v>
      </x:c>
    </x:row>
    <x:row r="306" ht="80" customHeight="1">
      <x:c r="A306" s="25" t="str">
        <x:v>Compress</x:v>
      </x:c>
      <x:c r="B306" s="25" t="n">
        <x:v>27</x:v>
      </x:c>
      <x:c r="C306" s="25" t="str">
        <x:v>Round1</x:v>
      </x:c>
      <x:c r="D306" s="25" t="str">
        <x:v>NOT_AVAILABLE</x:v>
      </x:c>
      <x:c r="E306" s="25" t="str">
        <x:v>N/A</x:v>
      </x:c>
      <x:c r="F306" s="26" t="str">
        <x:v>Tests exist but current coverage did not complete</x:v>
      </x:c>
      <x:c r="G306" s="25" t="str">
        <x:v>true</x:v>
      </x:c>
      <x:c r="H306" s="25" t="str">
        <x:v>NOT_AVAILABLE</x:v>
      </x:c>
      <x:c r="I306" s="25" t="str">
        <x:v>NOT_RUN</x:v>
      </x:c>
      <x:c r="J306" s="25" t="str">
        <x:v>NOT_RUN</x:v>
      </x:c>
      <x:c r="K306" s="25" t="n">
        <x:v>1</x:v>
      </x:c>
      <x:c r="L306" s="27" t="b">
        <x:v>0</x:v>
      </x:c>
      <x:c r="M306" s="25" t="str">
        <x:v>Deepseek-flash-v4/state/Round1/shards/Compress.json</x:v>
      </x:c>
      <x:c r="N306" s="25" t="str">
        <x:v>Deepseek-flash-v4/Result/Compress_27/result.json</x:v>
      </x:c>
      <x:c r="O306" s="25" t="str">
        <x:v>Deepseek-flash-v4/Result/Compress_27/result.json</x:v>
      </x:c>
      <x:c r="P306" t="str">
        <x:v>BOTH_NOT_RUN</x:v>
      </x:c>
      <x:c r="Q306" s="21" t="str"/>
      <x:c r="R306" s="21" t="str"/>
      <x:c r="S306" s="21" t="str"/>
      <x:c r="T306" s="17" t="str">
        <x:v>false</x:v>
      </x:c>
      <x:c r="U306" s="17" t="str">
        <x:v>true</x:v>
      </x:c>
      <x:c r="V306" s="17" t="str">
        <x:v>false</x:v>
      </x:c>
    </x:row>
    <x:row r="307" ht="80" customHeight="1">
      <x:c r="A307" s="25" t="str">
        <x:v>Compress</x:v>
      </x:c>
      <x:c r="B307" s="25" t="n">
        <x:v>28</x:v>
      </x:c>
      <x:c r="C307" s="25" t="str">
        <x:v>Round1</x:v>
      </x:c>
      <x:c r="D307" s="25" t="str">
        <x:v>NOT_AVAILABLE</x:v>
      </x:c>
      <x:c r="E307" s="25" t="str">
        <x:v>N/A</x:v>
      </x:c>
      <x:c r="F307" s="26" t="str">
        <x:v>Tests exist but current coverage did not complete</x:v>
      </x:c>
      <x:c r="G307" s="25" t="str">
        <x:v>true</x:v>
      </x:c>
      <x:c r="H307" s="25" t="str">
        <x:v>NOT_AVAILABLE</x:v>
      </x:c>
      <x:c r="I307" s="25" t="str">
        <x:v>NOT_RUN</x:v>
      </x:c>
      <x:c r="J307" s="25" t="str">
        <x:v>NOT_RUN</x:v>
      </x:c>
      <x:c r="K307" s="25" t="n">
        <x:v>1</x:v>
      </x:c>
      <x:c r="L307" s="27" t="b">
        <x:v>0</x:v>
      </x:c>
      <x:c r="M307" s="25" t="str">
        <x:v>Deepseek-flash-v4/state/Round1/shards/Compress.json</x:v>
      </x:c>
      <x:c r="N307" s="25" t="str">
        <x:v>Deepseek-flash-v4/Result/Compress_28/result.json</x:v>
      </x:c>
      <x:c r="O307" s="25" t="str">
        <x:v>Deepseek-flash-v4/Result/Compress_28/result.json</x:v>
      </x:c>
      <x:c r="P307" t="str">
        <x:v>BOTH_NOT_RUN</x:v>
      </x:c>
      <x:c r="Q307" s="21" t="str"/>
      <x:c r="R307" s="21" t="str"/>
      <x:c r="S307" s="21" t="str"/>
      <x:c r="T307" s="17" t="str">
        <x:v>false</x:v>
      </x:c>
      <x:c r="U307" s="17" t="str">
        <x:v>true</x:v>
      </x:c>
      <x:c r="V307" s="17" t="str">
        <x:v>false</x:v>
      </x:c>
    </x:row>
    <x:row r="308" ht="80" customHeight="1">
      <x:c r="A308" s="25" t="str">
        <x:v>Compress</x:v>
      </x:c>
      <x:c r="B308" s="25" t="n">
        <x:v>29</x:v>
      </x:c>
      <x:c r="C308" s="25" t="str">
        <x:v>Round1</x:v>
      </x:c>
      <x:c r="D308" s="25" t="str">
        <x:v>NOT_AVAILABLE</x:v>
      </x:c>
      <x:c r="E308" s="25" t="str">
        <x:v>N/A</x:v>
      </x:c>
      <x:c r="F308" s="26" t="str">
        <x:v>Tests exist but current coverage did not complete</x:v>
      </x:c>
      <x:c r="G308" s="25" t="str">
        <x:v>true</x:v>
      </x:c>
      <x:c r="H308" s="25" t="str">
        <x:v>NOT_AVAILABLE</x:v>
      </x:c>
      <x:c r="I308" s="25" t="str">
        <x:v>NOT_RUN</x:v>
      </x:c>
      <x:c r="J308" s="25" t="str">
        <x:v>NOT_RUN</x:v>
      </x:c>
      <x:c r="K308" s="25" t="n">
        <x:v>7</x:v>
      </x:c>
      <x:c r="L308" s="27" t="b">
        <x:v>0</x:v>
      </x:c>
      <x:c r="M308" s="25" t="str">
        <x:v>Deepseek-flash-v4/state/Round1/shards/Compress.json</x:v>
      </x:c>
      <x:c r="N308" s="25" t="str">
        <x:v>Deepseek-flash-v4/Result/Compress_29/result.json</x:v>
      </x:c>
      <x:c r="O308" s="25" t="str">
        <x:v>Deepseek-flash-v4/Result/Compress_29/result.json</x:v>
      </x:c>
      <x:c r="P308" t="str">
        <x:v>BOTH_NOT_RUN</x:v>
      </x:c>
      <x:c r="Q308" s="21" t="str"/>
      <x:c r="R308" s="21" t="str"/>
      <x:c r="S308" s="21" t="str"/>
      <x:c r="T308" s="17" t="str">
        <x:v>false</x:v>
      </x:c>
      <x:c r="U308" s="17" t="str">
        <x:v>true</x:v>
      </x:c>
      <x:c r="V308" s="17" t="str">
        <x:v>false</x:v>
      </x:c>
    </x:row>
    <x:row r="309" ht="80" customHeight="1">
      <x:c r="A309" s="25" t="str">
        <x:v>Compress</x:v>
      </x:c>
      <x:c r="B309" s="25" t="n">
        <x:v>3</x:v>
      </x:c>
      <x:c r="C309" s="25" t="str">
        <x:v>Round1</x:v>
      </x:c>
      <x:c r="D309" s="25" t="str">
        <x:v>NOT_AVAILABLE</x:v>
      </x:c>
      <x:c r="E309" s="25" t="str">
        <x:v>N/A</x:v>
      </x:c>
      <x:c r="F309" s="26" t="str">
        <x:v>Tests exist but current coverage did not complete</x:v>
      </x:c>
      <x:c r="G309" s="25" t="str">
        <x:v>true</x:v>
      </x:c>
      <x:c r="H309" s="25" t="str">
        <x:v>NOT_AVAILABLE</x:v>
      </x:c>
      <x:c r="I309" s="25" t="str">
        <x:v>NOT_RUN</x:v>
      </x:c>
      <x:c r="J309" s="25" t="str">
        <x:v>NOT_RUN</x:v>
      </x:c>
      <x:c r="K309" s="25" t="n">
        <x:v>1</x:v>
      </x:c>
      <x:c r="L309" s="27" t="b">
        <x:v>0</x:v>
      </x:c>
      <x:c r="M309" s="25" t="str">
        <x:v>Deepseek-flash-v4/state/Round1/shards/Compress.json</x:v>
      </x:c>
      <x:c r="N309" s="25" t="str">
        <x:v>Deepseek-flash-v4/Result/Compress_3/result.json</x:v>
      </x:c>
      <x:c r="O309" s="25" t="str">
        <x:v>Deepseek-flash-v4/Result/Compress_3/result.json</x:v>
      </x:c>
      <x:c r="P309" t="str">
        <x:v>BOTH_NOT_RUN</x:v>
      </x:c>
      <x:c r="Q309" s="21" t="str"/>
      <x:c r="R309" s="21" t="str"/>
      <x:c r="S309" s="21" t="str"/>
      <x:c r="T309" s="17" t="str">
        <x:v>false</x:v>
      </x:c>
      <x:c r="U309" s="17" t="str">
        <x:v>true</x:v>
      </x:c>
      <x:c r="V309" s="17" t="str">
        <x:v>false</x:v>
      </x:c>
    </x:row>
    <x:row r="310" ht="80" customHeight="1">
      <x:c r="A310" s="25" t="str">
        <x:v>Compress</x:v>
      </x:c>
      <x:c r="B310" s="25" t="n">
        <x:v>30</x:v>
      </x:c>
      <x:c r="C310" s="25" t="str">
        <x:v>Round1</x:v>
      </x:c>
      <x:c r="D310" s="25" t="str">
        <x:v>INCONCLUSIVE</x:v>
      </x:c>
      <x:c r="E310" s="25" t="str">
        <x:v>N/A</x:v>
      </x:c>
      <x:c r="F310" s="26" t="str">
        <x:v>Fixed also failed; assertion failure cannot be attributed to this bug</x:v>
      </x:c>
      <x:c r="G310" s="25" t="str">
        <x:v>true</x:v>
      </x:c>
      <x:c r="H310" s="25" t="str">
        <x:v>INCONCLUSIVE</x:v>
      </x:c>
      <x:c r="I310" s="25" t="str">
        <x:v>FAIL</x:v>
      </x:c>
      <x:c r="J310" s="25" t="str">
        <x:v>FAIL</x:v>
      </x:c>
      <x:c r="K310" s="25" t="n">
        <x:v>1</x:v>
      </x:c>
      <x:c r="L310" s="27" t="b">
        <x:v>0</x:v>
      </x:c>
      <x:c r="M310" s="25" t="str">
        <x:v>Deepseek-flash-v4/state/Round1/shards/Compress.json</x:v>
      </x:c>
      <x:c r="N310" s="25" t="str">
        <x:v>Deepseek-flash-v4/Result/Compress_30/result.json</x:v>
      </x:c>
      <x:c r="O310" s="25" t="str">
        <x:v>Deepseek-flash-v4/Result/Compress_30/result.json</x:v>
      </x:c>
      <x:c r="P310"/>
      <x:c r="Q310" s="21" t="str"/>
      <x:c r="R310" s="21" t="str"/>
      <x:c r="S310" s="21" t="str"/>
      <x:c r="T310" s="17" t="str">
        <x:v>false</x:v>
      </x:c>
      <x:c r="U310" s="17" t="str">
        <x:v>true</x:v>
      </x:c>
      <x:c r="V310" s="17" t="str">
        <x:v>false</x:v>
      </x:c>
    </x:row>
    <x:row r="311" ht="80" customHeight="1">
      <x:c r="A311" s="25" t="str">
        <x:v>Compress</x:v>
      </x:c>
      <x:c r="B311" s="25" t="n">
        <x:v>31</x:v>
      </x:c>
      <x:c r="C311" s="25" t="str">
        <x:v>Round1</x:v>
      </x:c>
      <x:c r="D311" s="25" t="str">
        <x:v>INCONCLUSIVE</x:v>
      </x:c>
      <x:c r="E311" s="25" t="str">
        <x:v>N/A</x:v>
      </x:c>
      <x:c r="F311" s="26" t="str">
        <x:v>Fixed also failed; assertion failure cannot be attributed to this bug</x:v>
      </x:c>
      <x:c r="G311" s="25" t="str">
        <x:v>true</x:v>
      </x:c>
      <x:c r="H311" s="25" t="str">
        <x:v>INCONCLUSIVE</x:v>
      </x:c>
      <x:c r="I311" s="25" t="str">
        <x:v>FAIL</x:v>
      </x:c>
      <x:c r="J311" s="25" t="str">
        <x:v>FAIL</x:v>
      </x:c>
      <x:c r="K311" s="25" t="n">
        <x:v>1</x:v>
      </x:c>
      <x:c r="L311" s="27" t="b">
        <x:v>0</x:v>
      </x:c>
      <x:c r="M311" s="25" t="str">
        <x:v>Deepseek-flash-v4/state/Round1/shards/Compress.json</x:v>
      </x:c>
      <x:c r="N311" s="25" t="str">
        <x:v>Deepseek-flash-v4/Result/Compress_31/result.json</x:v>
      </x:c>
      <x:c r="O311" s="25" t="str">
        <x:v>Deepseek-flash-v4/Result/Compress_31/result.json</x:v>
      </x:c>
      <x:c r="P311"/>
      <x:c r="Q311" s="21" t="str"/>
      <x:c r="R311" s="21" t="str"/>
      <x:c r="S311" s="21" t="str"/>
      <x:c r="T311" s="17" t="str">
        <x:v>false</x:v>
      </x:c>
      <x:c r="U311" s="17" t="str">
        <x:v>true</x:v>
      </x:c>
      <x:c r="V311" s="17" t="str">
        <x:v>false</x:v>
      </x:c>
    </x:row>
    <x:row r="312" ht="80" customHeight="1">
      <x:c r="A312" s="25" t="str">
        <x:v>Compress</x:v>
      </x:c>
      <x:c r="B312" s="25" t="n">
        <x:v>32</x:v>
      </x:c>
      <x:c r="C312" s="25" t="str">
        <x:v>Round1</x:v>
      </x:c>
      <x:c r="D312" s="25" t="str">
        <x:v>INCONCLUSIVE</x:v>
      </x:c>
      <x:c r="E312" s="25" t="str">
        <x:v>N/A</x:v>
      </x:c>
      <x:c r="F312" s="26" t="str">
        <x:v>Fixed also failed; assertion failure cannot be attributed to this bug</x:v>
      </x:c>
      <x:c r="G312" s="25" t="str">
        <x:v>true</x:v>
      </x:c>
      <x:c r="H312" s="25" t="str">
        <x:v>INCONCLUSIVE</x:v>
      </x:c>
      <x:c r="I312" s="25" t="str">
        <x:v>FAIL</x:v>
      </x:c>
      <x:c r="J312" s="25" t="str">
        <x:v>FAIL</x:v>
      </x:c>
      <x:c r="K312" s="25" t="n">
        <x:v>1</x:v>
      </x:c>
      <x:c r="L312" s="27" t="b">
        <x:v>0</x:v>
      </x:c>
      <x:c r="M312" s="25" t="str">
        <x:v>Deepseek-flash-v4/state/Round1/shards/Compress.json</x:v>
      </x:c>
      <x:c r="N312" s="25" t="str">
        <x:v>Deepseek-flash-v4/Result/Compress_32/result.json</x:v>
      </x:c>
      <x:c r="O312" s="25" t="str">
        <x:v>Deepseek-flash-v4/Result/Compress_32/result.json</x:v>
      </x:c>
      <x:c r="P312"/>
      <x:c r="Q312" s="21" t="str"/>
      <x:c r="R312" s="21" t="str"/>
      <x:c r="S312" s="21" t="str"/>
      <x:c r="T312" s="17" t="str">
        <x:v>false</x:v>
      </x:c>
      <x:c r="U312" s="17" t="str">
        <x:v>true</x:v>
      </x:c>
      <x:c r="V312" s="17" t="str">
        <x:v>false</x:v>
      </x:c>
    </x:row>
    <x:row r="313" ht="80" customHeight="1">
      <x:c r="A313" s="25" t="str">
        <x:v>Compress</x:v>
      </x:c>
      <x:c r="B313" s="25" t="n">
        <x:v>33</x:v>
      </x:c>
      <x:c r="C313" s="25" t="str">
        <x:v>Round1</x:v>
      </x:c>
      <x:c r="D313" s="25" t="str">
        <x:v>NOT_AVAILABLE</x:v>
      </x:c>
      <x:c r="E313" s="25" t="str">
        <x:v>N/A</x:v>
      </x:c>
      <x:c r="F313" s="26" t="str">
        <x:v>Tests exist but current coverage did not complete</x:v>
      </x:c>
      <x:c r="G313" s="25" t="str">
        <x:v>true</x:v>
      </x:c>
      <x:c r="H313" s="25" t="str">
        <x:v>NOT_AVAILABLE</x:v>
      </x:c>
      <x:c r="I313" s="25" t="str">
        <x:v>NOT_RUN</x:v>
      </x:c>
      <x:c r="J313" s="25" t="str">
        <x:v>NOT_RUN</x:v>
      </x:c>
      <x:c r="K313" s="25" t="n">
        <x:v>2</x:v>
      </x:c>
      <x:c r="L313" s="27" t="b">
        <x:v>0</x:v>
      </x:c>
      <x:c r="M313" s="25" t="str">
        <x:v>Deepseek-flash-v4/state/Round1/shards/Compress.json</x:v>
      </x:c>
      <x:c r="N313" s="25" t="str">
        <x:v>Deepseek-flash-v4/Result/Compress_33/result.json</x:v>
      </x:c>
      <x:c r="O313" s="25" t="str">
        <x:v>Deepseek-flash-v4/Result/Compress_33/result.json</x:v>
      </x:c>
      <x:c r="P313" t="str">
        <x:v>BOTH_NOT_RUN</x:v>
      </x:c>
      <x:c r="Q313" s="21" t="str"/>
      <x:c r="R313" s="21" t="str"/>
      <x:c r="S313" s="21" t="str"/>
      <x:c r="T313" s="17" t="str">
        <x:v>false</x:v>
      </x:c>
      <x:c r="U313" s="17" t="str">
        <x:v>true</x:v>
      </x:c>
      <x:c r="V313" s="17" t="str">
        <x:v>false</x:v>
      </x:c>
    </x:row>
    <x:row r="314" ht="80" customHeight="1">
      <x:c r="A314" s="25" t="str">
        <x:v>Compress</x:v>
      </x:c>
      <x:c r="B314" s="25" t="n">
        <x:v>34</x:v>
      </x:c>
      <x:c r="C314" s="25" t="str">
        <x:v>Round1</x:v>
      </x:c>
      <x:c r="D314" s="25" t="str">
        <x:v>NOT_AVAILABLE</x:v>
      </x:c>
      <x:c r="E314" s="25" t="str">
        <x:v>N/A</x:v>
      </x:c>
      <x:c r="F314" s="26" t="str">
        <x:v>Tests exist but current coverage did not complete</x:v>
      </x:c>
      <x:c r="G314" s="25" t="str">
        <x:v>true</x:v>
      </x:c>
      <x:c r="H314" s="25" t="str">
        <x:v>NOT_AVAILABLE</x:v>
      </x:c>
      <x:c r="I314" s="25" t="str">
        <x:v>NOT_RUN</x:v>
      </x:c>
      <x:c r="J314" s="25" t="str">
        <x:v>NOT_RUN</x:v>
      </x:c>
      <x:c r="K314" s="25" t="n">
        <x:v>1</x:v>
      </x:c>
      <x:c r="L314" s="27" t="b">
        <x:v>0</x:v>
      </x:c>
      <x:c r="M314" s="25" t="str">
        <x:v>Deepseek-flash-v4/state/Round1/shards/Compress.json</x:v>
      </x:c>
      <x:c r="N314" s="25" t="str">
        <x:v>Deepseek-flash-v4/Result/Compress_34/result.json</x:v>
      </x:c>
      <x:c r="O314" s="25" t="str">
        <x:v>Deepseek-flash-v4/Result/Compress_34/result.json</x:v>
      </x:c>
      <x:c r="P314" t="str">
        <x:v>BOTH_NOT_RUN</x:v>
      </x:c>
      <x:c r="Q314" s="21" t="str"/>
      <x:c r="R314" s="21" t="str"/>
      <x:c r="S314" s="21" t="str"/>
      <x:c r="T314" s="17" t="str">
        <x:v>false</x:v>
      </x:c>
      <x:c r="U314" s="17" t="str">
        <x:v>true</x:v>
      </x:c>
      <x:c r="V314" s="17" t="str">
        <x:v>false</x:v>
      </x:c>
    </x:row>
    <x:row r="315" ht="80" customHeight="1">
      <x:c r="A315" s="25" t="str">
        <x:v>Compress</x:v>
      </x:c>
      <x:c r="B315" s="25" t="n">
        <x:v>35</x:v>
      </x:c>
      <x:c r="C315" s="25" t="str">
        <x:v>Round1</x:v>
      </x:c>
      <x:c r="D315" s="25" t="str">
        <x:v>NOT_AVAILABLE</x:v>
      </x:c>
      <x:c r="E315" s="25" t="str">
        <x:v>N/A</x:v>
      </x:c>
      <x:c r="F315" s="26" t="str">
        <x:v>Tests exist but current coverage did not complete</x:v>
      </x:c>
      <x:c r="G315" s="25" t="str">
        <x:v>true</x:v>
      </x:c>
      <x:c r="H315" s="25" t="str">
        <x:v>NOT_AVAILABLE</x:v>
      </x:c>
      <x:c r="I315" s="25" t="str">
        <x:v>NOT_RUN</x:v>
      </x:c>
      <x:c r="J315" s="25" t="str">
        <x:v>NOT_RUN</x:v>
      </x:c>
      <x:c r="K315" s="25" t="n">
        <x:v>1</x:v>
      </x:c>
      <x:c r="L315" s="27" t="b">
        <x:v>0</x:v>
      </x:c>
      <x:c r="M315" s="25" t="str">
        <x:v>Deepseek-flash-v4/state/Round1/shards/Compress.json</x:v>
      </x:c>
      <x:c r="N315" s="25" t="str">
        <x:v>Deepseek-flash-v4/Result/Compress_35/result.json</x:v>
      </x:c>
      <x:c r="O315" s="25" t="str">
        <x:v>Deepseek-flash-v4/Result/Compress_35/result.json</x:v>
      </x:c>
      <x:c r="P315" t="str">
        <x:v>BOTH_NOT_RUN</x:v>
      </x:c>
      <x:c r="Q315" s="21" t="str"/>
      <x:c r="R315" s="21" t="str"/>
      <x:c r="S315" s="21" t="str"/>
      <x:c r="T315" s="17" t="str">
        <x:v>false</x:v>
      </x:c>
      <x:c r="U315" s="17" t="str">
        <x:v>true</x:v>
      </x:c>
      <x:c r="V315" s="17" t="str">
        <x:v>false</x:v>
      </x:c>
    </x:row>
    <x:row r="316" ht="80" customHeight="1">
      <x:c r="A316" s="25" t="str">
        <x:v>Compress</x:v>
      </x:c>
      <x:c r="B316" s="25" t="n">
        <x:v>36</x:v>
      </x:c>
      <x:c r="C316" s="25" t="str">
        <x:v>Round1</x:v>
      </x:c>
      <x:c r="D316" s="25" t="str">
        <x:v>INCONCLUSIVE</x:v>
      </x:c>
      <x:c r="E316" s="25" t="str">
        <x:v>N/A</x:v>
      </x:c>
      <x:c r="F316" s="26" t="str">
        <x:v>Fixed also failed; assertion failure cannot be attributed to this bug</x:v>
      </x:c>
      <x:c r="G316" s="25" t="str">
        <x:v>true</x:v>
      </x:c>
      <x:c r="H316" s="25" t="str">
        <x:v>INCONCLUSIVE</x:v>
      </x:c>
      <x:c r="I316" s="25" t="str">
        <x:v>FAIL</x:v>
      </x:c>
      <x:c r="J316" s="25" t="str">
        <x:v>FAIL</x:v>
      </x:c>
      <x:c r="K316" s="25" t="n">
        <x:v>1</x:v>
      </x:c>
      <x:c r="L316" s="27" t="b">
        <x:v>0</x:v>
      </x:c>
      <x:c r="M316" s="25" t="str">
        <x:v>Deepseek-flash-v4/state/Round1/shards/Compress.json</x:v>
      </x:c>
      <x:c r="N316" s="25" t="str">
        <x:v>Deepseek-flash-v4/Result/Compress_36/result.json</x:v>
      </x:c>
      <x:c r="O316" s="25" t="str">
        <x:v>Deepseek-flash-v4/Result/Compress_36/result.json</x:v>
      </x:c>
      <x:c r="P316"/>
      <x:c r="Q316" s="21" t="str"/>
      <x:c r="R316" s="21" t="str"/>
      <x:c r="S316" s="21" t="str"/>
      <x:c r="T316" s="17" t="str">
        <x:v>false</x:v>
      </x:c>
      <x:c r="U316" s="17" t="str">
        <x:v>true</x:v>
      </x:c>
      <x:c r="V316" s="17" t="str">
        <x:v>false</x:v>
      </x:c>
    </x:row>
    <x:row r="317" ht="80" customHeight="1">
      <x:c r="A317" s="25" t="str">
        <x:v>Compress</x:v>
      </x:c>
      <x:c r="B317" s="25" t="n">
        <x:v>37</x:v>
      </x:c>
      <x:c r="C317" s="25" t="str">
        <x:v>Round1</x:v>
      </x:c>
      <x:c r="D317" s="25" t="str">
        <x:v>NOT_AVAILABLE</x:v>
      </x:c>
      <x:c r="E317" s="25" t="str">
        <x:v>N/A</x:v>
      </x:c>
      <x:c r="F317" s="26" t="str">
        <x:v>Tests exist but current coverage did not complete</x:v>
      </x:c>
      <x:c r="G317" s="25" t="str">
        <x:v>true</x:v>
      </x:c>
      <x:c r="H317" s="25" t="str">
        <x:v>NOT_AVAILABLE</x:v>
      </x:c>
      <x:c r="I317" s="25" t="str">
        <x:v>NOT_RUN</x:v>
      </x:c>
      <x:c r="J317" s="25" t="str">
        <x:v>NOT_RUN</x:v>
      </x:c>
      <x:c r="K317" s="25" t="n">
        <x:v>1</x:v>
      </x:c>
      <x:c r="L317" s="27" t="b">
        <x:v>0</x:v>
      </x:c>
      <x:c r="M317" s="25" t="str">
        <x:v>Deepseek-flash-v4/state/Round1/shards/Compress.json</x:v>
      </x:c>
      <x:c r="N317" s="25" t="str">
        <x:v>Deepseek-flash-v4/Result/Compress_37/result.json</x:v>
      </x:c>
      <x:c r="O317" s="25" t="str">
        <x:v>Deepseek-flash-v4/Result/Compress_37/result.json</x:v>
      </x:c>
      <x:c r="P317" t="str">
        <x:v>BOTH_NOT_RUN</x:v>
      </x:c>
      <x:c r="Q317" s="21" t="str"/>
      <x:c r="R317" s="21" t="str"/>
      <x:c r="S317" s="21" t="str"/>
      <x:c r="T317" s="17" t="str">
        <x:v>false</x:v>
      </x:c>
      <x:c r="U317" s="17" t="str">
        <x:v>true</x:v>
      </x:c>
      <x:c r="V317" s="17" t="str">
        <x:v>false</x:v>
      </x:c>
    </x:row>
    <x:row r="318" ht="80" customHeight="1">
      <x:c r="A318" s="25" t="str">
        <x:v>Compress</x:v>
      </x:c>
      <x:c r="B318" s="25" t="n">
        <x:v>38</x:v>
      </x:c>
      <x:c r="C318" s="25" t="str">
        <x:v>Round1</x:v>
      </x:c>
      <x:c r="D318" s="25" t="str">
        <x:v>NOT_AVAILABLE</x:v>
      </x:c>
      <x:c r="E318" s="25" t="str">
        <x:v>N/A</x:v>
      </x:c>
      <x:c r="F318" s="26" t="str">
        <x:v>Tests exist but current coverage did not complete</x:v>
      </x:c>
      <x:c r="G318" s="25" t="str">
        <x:v>true</x:v>
      </x:c>
      <x:c r="H318" s="25" t="str">
        <x:v>NOT_AVAILABLE</x:v>
      </x:c>
      <x:c r="I318" s="25" t="str">
        <x:v>NOT_RUN</x:v>
      </x:c>
      <x:c r="J318" s="25" t="str">
        <x:v>NOT_RUN</x:v>
      </x:c>
      <x:c r="K318" s="25" t="n">
        <x:v>1</x:v>
      </x:c>
      <x:c r="L318" s="27" t="b">
        <x:v>0</x:v>
      </x:c>
      <x:c r="M318" s="25" t="str">
        <x:v>Deepseek-flash-v4/state/Round1/shards/Compress.json</x:v>
      </x:c>
      <x:c r="N318" s="25" t="str">
        <x:v>Deepseek-flash-v4/Result/Compress_38/result.json</x:v>
      </x:c>
      <x:c r="O318" s="25" t="str">
        <x:v>Deepseek-flash-v4/Result/Compress_38/result.json</x:v>
      </x:c>
      <x:c r="P318" t="str">
        <x:v>BOTH_NOT_RUN</x:v>
      </x:c>
      <x:c r="Q318" s="21" t="str"/>
      <x:c r="R318" s="21" t="str"/>
      <x:c r="S318" s="21" t="str"/>
      <x:c r="T318" s="17" t="str">
        <x:v>false</x:v>
      </x:c>
      <x:c r="U318" s="17" t="str">
        <x:v>true</x:v>
      </x:c>
      <x:c r="V318" s="17" t="str">
        <x:v>false</x:v>
      </x:c>
    </x:row>
    <x:row r="319" ht="80" customHeight="1">
      <x:c r="A319" s="25" t="str">
        <x:v>Compress</x:v>
      </x:c>
      <x:c r="B319" s="25" t="n">
        <x:v>39</x:v>
      </x:c>
      <x:c r="C319" s="25" t="str">
        <x:v>Round1</x:v>
      </x:c>
      <x:c r="D319" s="25" t="str">
        <x:v>NOT_AVAILABLE</x:v>
      </x:c>
      <x:c r="E319" s="25" t="str">
        <x:v>N/A</x:v>
      </x:c>
      <x:c r="F319" s="26" t="str">
        <x:v>Tests exist but current coverage did not complete</x:v>
      </x:c>
      <x:c r="G319" s="25" t="str">
        <x:v>true</x:v>
      </x:c>
      <x:c r="H319" s="25" t="str">
        <x:v>NOT_AVAILABLE</x:v>
      </x:c>
      <x:c r="I319" s="25" t="str">
        <x:v>NOT_RUN</x:v>
      </x:c>
      <x:c r="J319" s="25" t="str">
        <x:v>NOT_RUN</x:v>
      </x:c>
      <x:c r="K319" s="25" t="n">
        <x:v>1</x:v>
      </x:c>
      <x:c r="L319" s="27" t="b">
        <x:v>0</x:v>
      </x:c>
      <x:c r="M319" s="25" t="str">
        <x:v>Deepseek-flash-v4/state/Round1/shards/Compress.json</x:v>
      </x:c>
      <x:c r="N319" s="25" t="str">
        <x:v>Deepseek-flash-v4/Result/Compress_39/result.json</x:v>
      </x:c>
      <x:c r="O319" s="25" t="str">
        <x:v>Deepseek-flash-v4/Result/Compress_39/result.json</x:v>
      </x:c>
      <x:c r="P319" t="str">
        <x:v>BOTH_NOT_RUN</x:v>
      </x:c>
      <x:c r="Q319" s="21" t="str"/>
      <x:c r="R319" s="21" t="str"/>
      <x:c r="S319" s="21" t="str"/>
      <x:c r="T319" s="17" t="str">
        <x:v>false</x:v>
      </x:c>
      <x:c r="U319" s="17" t="str">
        <x:v>true</x:v>
      </x:c>
      <x:c r="V319" s="17" t="str">
        <x:v>false</x:v>
      </x:c>
    </x:row>
    <x:row r="320" ht="80" customHeight="1">
      <x:c r="A320" s="25" t="str">
        <x:v>Compress</x:v>
      </x:c>
      <x:c r="B320" s="25" t="n">
        <x:v>4</x:v>
      </x:c>
      <x:c r="C320" s="25" t="str">
        <x:v>Round1</x:v>
      </x:c>
      <x:c r="D320" s="25" t="str">
        <x:v>NOT_AVAILABLE</x:v>
      </x:c>
      <x:c r="E320" s="25" t="str">
        <x:v>N/A</x:v>
      </x:c>
      <x:c r="F320" s="26" t="str">
        <x:v>Tests exist but current coverage did not complete</x:v>
      </x:c>
      <x:c r="G320" s="25" t="str">
        <x:v>true</x:v>
      </x:c>
      <x:c r="H320" s="25" t="str">
        <x:v>NOT_AVAILABLE</x:v>
      </x:c>
      <x:c r="I320" s="25" t="str">
        <x:v>NOT_RUN</x:v>
      </x:c>
      <x:c r="J320" s="25" t="str">
        <x:v>NOT_RUN</x:v>
      </x:c>
      <x:c r="K320" s="25" t="n">
        <x:v>4</x:v>
      </x:c>
      <x:c r="L320" s="27" t="b">
        <x:v>0</x:v>
      </x:c>
      <x:c r="M320" s="25" t="str">
        <x:v>Deepseek-flash-v4/state/Round1/shards/Compress.json</x:v>
      </x:c>
      <x:c r="N320" s="25" t="str">
        <x:v>Deepseek-flash-v4/Result/Compress_4/result.json</x:v>
      </x:c>
      <x:c r="O320" s="25" t="str">
        <x:v>Deepseek-flash-v4/Result/Compress_4/result.json</x:v>
      </x:c>
      <x:c r="P320" t="str">
        <x:v>BOTH_NOT_RUN</x:v>
      </x:c>
      <x:c r="Q320" s="21" t="str"/>
      <x:c r="R320" s="21" t="str"/>
      <x:c r="S320" s="21" t="str"/>
      <x:c r="T320" s="17" t="str">
        <x:v>false</x:v>
      </x:c>
      <x:c r="U320" s="17" t="str">
        <x:v>true</x:v>
      </x:c>
      <x:c r="V320" s="17" t="str">
        <x:v>false</x:v>
      </x:c>
    </x:row>
    <x:row r="321" ht="80" customHeight="1">
      <x:c r="A321" s="25" t="str">
        <x:v>Compress</x:v>
      </x:c>
      <x:c r="B321" s="25" t="n">
        <x:v>40</x:v>
      </x:c>
      <x:c r="C321" s="25" t="str">
        <x:v>Round1</x:v>
      </x:c>
      <x:c r="D321" s="25" t="str">
        <x:v>NOT_AVAILABLE</x:v>
      </x:c>
      <x:c r="E321" s="25" t="str">
        <x:v>N/A</x:v>
      </x:c>
      <x:c r="F321" s="26" t="str">
        <x:v>Tests exist but current coverage did not complete</x:v>
      </x:c>
      <x:c r="G321" s="25" t="str">
        <x:v>true</x:v>
      </x:c>
      <x:c r="H321" s="25" t="str">
        <x:v>NOT_AVAILABLE</x:v>
      </x:c>
      <x:c r="I321" s="25" t="str">
        <x:v>NOT_RUN</x:v>
      </x:c>
      <x:c r="J321" s="25" t="str">
        <x:v>NOT_RUN</x:v>
      </x:c>
      <x:c r="K321" s="25" t="n">
        <x:v>1</x:v>
      </x:c>
      <x:c r="L321" s="27" t="b">
        <x:v>0</x:v>
      </x:c>
      <x:c r="M321" s="25" t="str">
        <x:v>Deepseek-flash-v4/state/Round1/shards/Compress.json</x:v>
      </x:c>
      <x:c r="N321" s="25" t="str">
        <x:v>Deepseek-flash-v4/Result/Compress_40/result.json</x:v>
      </x:c>
      <x:c r="O321" s="25" t="str">
        <x:v>Deepseek-flash-v4/Result/Compress_40/result.json</x:v>
      </x:c>
      <x:c r="P321" t="str">
        <x:v>BOTH_NOT_RUN</x:v>
      </x:c>
      <x:c r="Q321" s="21" t="str"/>
      <x:c r="R321" s="21" t="str"/>
      <x:c r="S321" s="21" t="str"/>
      <x:c r="T321" s="17" t="str">
        <x:v>false</x:v>
      </x:c>
      <x:c r="U321" s="17" t="str">
        <x:v>true</x:v>
      </x:c>
      <x:c r="V321" s="17" t="str">
        <x:v>false</x:v>
      </x:c>
    </x:row>
    <x:row r="322" ht="80" customHeight="1">
      <x:c r="A322" s="25" t="str">
        <x:v>Compress</x:v>
      </x:c>
      <x:c r="B322" s="25" t="n">
        <x:v>41</x:v>
      </x:c>
      <x:c r="C322" s="25" t="str">
        <x:v>Round1</x:v>
      </x:c>
      <x:c r="D322" s="25" t="str">
        <x:v>NOT_AVAILABLE</x:v>
      </x:c>
      <x:c r="E322" s="25" t="str">
        <x:v>N/A</x:v>
      </x:c>
      <x:c r="F322" s="26" t="str">
        <x:v>Tests exist but current coverage did not complete</x:v>
      </x:c>
      <x:c r="G322" s="25" t="str">
        <x:v>true</x:v>
      </x:c>
      <x:c r="H322" s="25" t="str">
        <x:v>NOT_AVAILABLE</x:v>
      </x:c>
      <x:c r="I322" s="25" t="str">
        <x:v>NOT_RUN</x:v>
      </x:c>
      <x:c r="J322" s="25" t="str">
        <x:v>NOT_RUN</x:v>
      </x:c>
      <x:c r="K322" s="25" t="n">
        <x:v>1</x:v>
      </x:c>
      <x:c r="L322" s="27" t="b">
        <x:v>0</x:v>
      </x:c>
      <x:c r="M322" s="25" t="str">
        <x:v>Deepseek-flash-v4/state/Round1/shards/Compress.json</x:v>
      </x:c>
      <x:c r="N322" s="25" t="str">
        <x:v>Deepseek-flash-v4/Result/Compress_41/result.json</x:v>
      </x:c>
      <x:c r="O322" s="25" t="str">
        <x:v>Deepseek-flash-v4/Result/Compress_41/result.json</x:v>
      </x:c>
      <x:c r="P322" t="str">
        <x:v>BOTH_NOT_RUN</x:v>
      </x:c>
      <x:c r="Q322" s="21" t="str"/>
      <x:c r="R322" s="21" t="str"/>
      <x:c r="S322" s="21" t="str"/>
      <x:c r="T322" s="17" t="str">
        <x:v>false</x:v>
      </x:c>
      <x:c r="U322" s="17" t="str">
        <x:v>true</x:v>
      </x:c>
      <x:c r="V322" s="17" t="str">
        <x:v>false</x:v>
      </x:c>
    </x:row>
    <x:row r="323" ht="80" customHeight="1">
      <x:c r="A323" s="25" t="str">
        <x:v>Compress</x:v>
      </x:c>
      <x:c r="B323" s="25" t="n">
        <x:v>42</x:v>
      </x:c>
      <x:c r="C323" s="25" t="str">
        <x:v>Round1</x:v>
      </x:c>
      <x:c r="D323" s="25" t="str">
        <x:v>NOT_AVAILABLE</x:v>
      </x:c>
      <x:c r="E323" s="25" t="str">
        <x:v>N/A</x:v>
      </x:c>
      <x:c r="F323" s="26" t="str">
        <x:v>Tests exist but current coverage did not complete</x:v>
      </x:c>
      <x:c r="G323" s="25" t="str">
        <x:v>true</x:v>
      </x:c>
      <x:c r="H323" s="25" t="str">
        <x:v>NOT_AVAILABLE</x:v>
      </x:c>
      <x:c r="I323" s="25" t="str">
        <x:v>NOT_RUN</x:v>
      </x:c>
      <x:c r="J323" s="25" t="str">
        <x:v>NOT_RUN</x:v>
      </x:c>
      <x:c r="K323" s="25" t="n">
        <x:v>2</x:v>
      </x:c>
      <x:c r="L323" s="27" t="b">
        <x:v>0</x:v>
      </x:c>
      <x:c r="M323" s="25" t="str">
        <x:v>Deepseek-flash-v4/state/Round1/shards/Compress.json</x:v>
      </x:c>
      <x:c r="N323" s="25" t="str">
        <x:v>Deepseek-flash-v4/Result/Compress_42/result.json</x:v>
      </x:c>
      <x:c r="O323" s="25" t="str">
        <x:v>Deepseek-flash-v4/Result/Compress_42/result.json</x:v>
      </x:c>
      <x:c r="P323" t="str">
        <x:v>BOTH_NOT_RUN</x:v>
      </x:c>
      <x:c r="Q323" s="21" t="str"/>
      <x:c r="R323" s="21" t="str"/>
      <x:c r="S323" s="21" t="str"/>
      <x:c r="T323" s="17" t="str">
        <x:v>false</x:v>
      </x:c>
      <x:c r="U323" s="17" t="str">
        <x:v>true</x:v>
      </x:c>
      <x:c r="V323" s="17" t="str">
        <x:v>false</x:v>
      </x:c>
    </x:row>
    <x:row r="324" ht="80" customHeight="1">
      <x:c r="A324" s="25" t="str">
        <x:v>Compress</x:v>
      </x:c>
      <x:c r="B324" s="25" t="n">
        <x:v>43</x:v>
      </x:c>
      <x:c r="C324" s="25" t="str">
        <x:v>Round1</x:v>
      </x:c>
      <x:c r="D324" s="25" t="str">
        <x:v>NOT_AVAILABLE</x:v>
      </x:c>
      <x:c r="E324" s="25" t="str">
        <x:v>N/A</x:v>
      </x:c>
      <x:c r="F324" s="26" t="str">
        <x:v>Tests exist but current coverage did not complete</x:v>
      </x:c>
      <x:c r="G324" s="25" t="str">
        <x:v>true</x:v>
      </x:c>
      <x:c r="H324" s="25" t="str">
        <x:v>NOT_AVAILABLE</x:v>
      </x:c>
      <x:c r="I324" s="25" t="str">
        <x:v>NOT_RUN</x:v>
      </x:c>
      <x:c r="J324" s="25" t="str">
        <x:v>NOT_RUN</x:v>
      </x:c>
      <x:c r="K324" s="25" t="n">
        <x:v>1</x:v>
      </x:c>
      <x:c r="L324" s="27" t="b">
        <x:v>0</x:v>
      </x:c>
      <x:c r="M324" s="25" t="str">
        <x:v>Deepseek-flash-v4/state/Round1/shards/Compress.json</x:v>
      </x:c>
      <x:c r="N324" s="25" t="str">
        <x:v>Deepseek-flash-v4/Result/Compress_43/result.json</x:v>
      </x:c>
      <x:c r="O324" s="25" t="str">
        <x:v>Deepseek-flash-v4/Result/Compress_43/result.json</x:v>
      </x:c>
      <x:c r="P324" t="str">
        <x:v>BOTH_NOT_RUN</x:v>
      </x:c>
      <x:c r="Q324" s="21" t="str"/>
      <x:c r="R324" s="21" t="str"/>
      <x:c r="S324" s="21" t="str"/>
      <x:c r="T324" s="17" t="str">
        <x:v>false</x:v>
      </x:c>
      <x:c r="U324" s="17" t="str">
        <x:v>true</x:v>
      </x:c>
      <x:c r="V324" s="17" t="str">
        <x:v>false</x:v>
      </x:c>
    </x:row>
    <x:row r="325" ht="80" customHeight="1">
      <x:c r="A325" s="25" t="str">
        <x:v>Compress</x:v>
      </x:c>
      <x:c r="B325" s="25" t="n">
        <x:v>44</x:v>
      </x:c>
      <x:c r="C325" s="25" t="str">
        <x:v>Round1</x:v>
      </x:c>
      <x:c r="D325" s="25" t="str">
        <x:v>NOT_AVAILABLE</x:v>
      </x:c>
      <x:c r="E325" s="25" t="str">
        <x:v>N/A</x:v>
      </x:c>
      <x:c r="F325" s="26" t="str">
        <x:v>Tests exist but current coverage did not complete</x:v>
      </x:c>
      <x:c r="G325" s="25" t="str">
        <x:v>true</x:v>
      </x:c>
      <x:c r="H325" s="25" t="str">
        <x:v>NOT_AVAILABLE</x:v>
      </x:c>
      <x:c r="I325" s="25" t="str">
        <x:v>NOT_RUN</x:v>
      </x:c>
      <x:c r="J325" s="25" t="str">
        <x:v>NOT_RUN</x:v>
      </x:c>
      <x:c r="K325" s="25" t="n">
        <x:v>1</x:v>
      </x:c>
      <x:c r="L325" s="27" t="b">
        <x:v>0</x:v>
      </x:c>
      <x:c r="M325" s="25" t="str">
        <x:v>Deepseek-flash-v4/state/Round1/shards/Compress.json</x:v>
      </x:c>
      <x:c r="N325" s="25" t="str">
        <x:v>Deepseek-flash-v4/Result/Compress_44/result.json</x:v>
      </x:c>
      <x:c r="O325" s="25" t="str">
        <x:v>Deepseek-flash-v4/Result/Compress_44/result.json</x:v>
      </x:c>
      <x:c r="P325" t="str">
        <x:v>BOTH_NOT_RUN</x:v>
      </x:c>
      <x:c r="Q325" s="21" t="str"/>
      <x:c r="R325" s="21" t="str"/>
      <x:c r="S325" s="21" t="str"/>
      <x:c r="T325" s="17" t="str">
        <x:v>false</x:v>
      </x:c>
      <x:c r="U325" s="17" t="str">
        <x:v>true</x:v>
      </x:c>
      <x:c r="V325" s="17" t="str">
        <x:v>false</x:v>
      </x:c>
    </x:row>
    <x:row r="326" ht="80" customHeight="1">
      <x:c r="A326" s="25" t="str">
        <x:v>Compress</x:v>
      </x:c>
      <x:c r="B326" s="25" t="n">
        <x:v>45</x:v>
      </x:c>
      <x:c r="C326" s="25" t="str">
        <x:v>Round1</x:v>
      </x:c>
      <x:c r="D326" s="25" t="str">
        <x:v>INCONCLUSIVE</x:v>
      </x:c>
      <x:c r="E326" s="25" t="str">
        <x:v>N/A</x:v>
      </x:c>
      <x:c r="F326" s="26" t="str">
        <x:v>Fixed also failed; assertion failure cannot be attributed to this bug</x:v>
      </x:c>
      <x:c r="G326" s="25" t="str">
        <x:v>true</x:v>
      </x:c>
      <x:c r="H326" s="25" t="str">
        <x:v>INCONCLUSIVE</x:v>
      </x:c>
      <x:c r="I326" s="25" t="str">
        <x:v>FAIL</x:v>
      </x:c>
      <x:c r="J326" s="25" t="str">
        <x:v>FAIL</x:v>
      </x:c>
      <x:c r="K326" s="25" t="n">
        <x:v>1</x:v>
      </x:c>
      <x:c r="L326" s="27" t="b">
        <x:v>0</x:v>
      </x:c>
      <x:c r="M326" s="25" t="str">
        <x:v>Deepseek-flash-v4/state/Round1/shards/Compress.json</x:v>
      </x:c>
      <x:c r="N326" s="25" t="str">
        <x:v>Deepseek-flash-v4/Result/Compress_45/result.json</x:v>
      </x:c>
      <x:c r="O326" s="25" t="str">
        <x:v>Deepseek-flash-v4/Result/Compress_45/result.json</x:v>
      </x:c>
      <x:c r="P326"/>
      <x:c r="Q326" s="21" t="str"/>
      <x:c r="R326" s="21" t="str"/>
      <x:c r="S326" s="21" t="str"/>
      <x:c r="T326" s="17" t="str">
        <x:v>false</x:v>
      </x:c>
      <x:c r="U326" s="17" t="str">
        <x:v>true</x:v>
      </x:c>
      <x:c r="V326" s="17" t="str">
        <x:v>false</x:v>
      </x:c>
    </x:row>
    <x:row r="327" ht="80" customHeight="1">
      <x:c r="A327" s="25" t="str">
        <x:v>Compress</x:v>
      </x:c>
      <x:c r="B327" s="25" t="n">
        <x:v>46</x:v>
      </x:c>
      <x:c r="C327" s="25" t="str">
        <x:v>Round1</x:v>
      </x:c>
      <x:c r="D327" s="25" t="str">
        <x:v>NOT_AVAILABLE</x:v>
      </x:c>
      <x:c r="E327" s="25" t="str">
        <x:v>N/A</x:v>
      </x:c>
      <x:c r="F327" s="26" t="str">
        <x:v>Tests exist but current coverage did not complete</x:v>
      </x:c>
      <x:c r="G327" s="25" t="str">
        <x:v>true</x:v>
      </x:c>
      <x:c r="H327" s="25" t="str">
        <x:v>NOT_AVAILABLE</x:v>
      </x:c>
      <x:c r="I327" s="25" t="str">
        <x:v>NOT_RUN</x:v>
      </x:c>
      <x:c r="J327" s="25" t="str">
        <x:v>NOT_RUN</x:v>
      </x:c>
      <x:c r="K327" s="25" t="n">
        <x:v>1</x:v>
      </x:c>
      <x:c r="L327" s="27" t="b">
        <x:v>0</x:v>
      </x:c>
      <x:c r="M327" s="25" t="str">
        <x:v>Deepseek-flash-v4/state/Round1/shards/Compress.json</x:v>
      </x:c>
      <x:c r="N327" s="25" t="str">
        <x:v>Deepseek-flash-v4/Result/Compress_46/result.json</x:v>
      </x:c>
      <x:c r="O327" s="25" t="str">
        <x:v>Deepseek-flash-v4/Result/Compress_46/result.json</x:v>
      </x:c>
      <x:c r="P327" t="str">
        <x:v>BOTH_NOT_RUN</x:v>
      </x:c>
      <x:c r="Q327" s="21" t="str"/>
      <x:c r="R327" s="21" t="str"/>
      <x:c r="S327" s="21" t="str"/>
      <x:c r="T327" s="17" t="str">
        <x:v>false</x:v>
      </x:c>
      <x:c r="U327" s="17" t="str">
        <x:v>true</x:v>
      </x:c>
      <x:c r="V327" s="17" t="str">
        <x:v>false</x:v>
      </x:c>
    </x:row>
    <x:row r="328" ht="80" customHeight="1">
      <x:c r="A328" s="25" t="str">
        <x:v>Compress</x:v>
      </x:c>
      <x:c r="B328" s="25" t="n">
        <x:v>47</x:v>
      </x:c>
      <x:c r="C328" s="25" t="str">
        <x:v>Round1</x:v>
      </x:c>
      <x:c r="D328" s="25" t="str">
        <x:v>INCONCLUSIVE</x:v>
      </x:c>
      <x:c r="E328" s="25" t="str">
        <x:v>N/A</x:v>
      </x:c>
      <x:c r="F328" s="26" t="str">
        <x:v>Fixed also failed; assertion failure cannot be attributed to this bug</x:v>
      </x:c>
      <x:c r="G328" s="25" t="str">
        <x:v>true</x:v>
      </x:c>
      <x:c r="H328" s="25" t="str">
        <x:v>INCONCLUSIVE</x:v>
      </x:c>
      <x:c r="I328" s="25" t="str">
        <x:v>FAIL</x:v>
      </x:c>
      <x:c r="J328" s="25" t="str">
        <x:v>FAIL</x:v>
      </x:c>
      <x:c r="K328" s="25" t="n">
        <x:v>1</x:v>
      </x:c>
      <x:c r="L328" s="27" t="b">
        <x:v>0</x:v>
      </x:c>
      <x:c r="M328" s="25" t="str">
        <x:v>Deepseek-flash-v4/state/Round1/shards/Compress.json</x:v>
      </x:c>
      <x:c r="N328" s="25" t="str">
        <x:v>Deepseek-flash-v4/Result/Compress_47/result.json</x:v>
      </x:c>
      <x:c r="O328" s="25" t="str">
        <x:v>Deepseek-flash-v4/Result/Compress_47/result.json</x:v>
      </x:c>
      <x:c r="P328"/>
      <x:c r="Q328" s="21" t="str"/>
      <x:c r="R328" s="21" t="str"/>
      <x:c r="S328" s="21" t="str"/>
      <x:c r="T328" s="17" t="str">
        <x:v>false</x:v>
      </x:c>
      <x:c r="U328" s="17" t="str">
        <x:v>true</x:v>
      </x:c>
      <x:c r="V328" s="17" t="str">
        <x:v>false</x:v>
      </x:c>
    </x:row>
    <x:row r="329" ht="80" customHeight="1">
      <x:c r="A329" s="25" t="str">
        <x:v>Compress</x:v>
      </x:c>
      <x:c r="B329" s="25" t="n">
        <x:v>5</x:v>
      </x:c>
      <x:c r="C329" s="25" t="str">
        <x:v>Round1</x:v>
      </x:c>
      <x:c r="D329" s="25" t="str">
        <x:v>NOT_AVAILABLE</x:v>
      </x:c>
      <x:c r="E329" s="25" t="str">
        <x:v>N/A</x:v>
      </x:c>
      <x:c r="F329" s="26" t="str">
        <x:v>Tests exist but current coverage did not complete</x:v>
      </x:c>
      <x:c r="G329" s="25" t="str">
        <x:v>true</x:v>
      </x:c>
      <x:c r="H329" s="25" t="str">
        <x:v>NOT_AVAILABLE</x:v>
      </x:c>
      <x:c r="I329" s="25" t="str">
        <x:v>NOT_RUN</x:v>
      </x:c>
      <x:c r="J329" s="25" t="str">
        <x:v>NOT_RUN</x:v>
      </x:c>
      <x:c r="K329" s="25" t="n">
        <x:v>1</x:v>
      </x:c>
      <x:c r="L329" s="27" t="b">
        <x:v>0</x:v>
      </x:c>
      <x:c r="M329" s="25" t="str">
        <x:v>Deepseek-flash-v4/state/Round1/shards/Compress.json</x:v>
      </x:c>
      <x:c r="N329" s="25" t="str">
        <x:v>Deepseek-flash-v4/Result/Compress_5/result.json</x:v>
      </x:c>
      <x:c r="O329" s="25" t="str">
        <x:v>Deepseek-flash-v4/Result/Compress_5/result.json</x:v>
      </x:c>
      <x:c r="P329" t="str">
        <x:v>BOTH_NOT_RUN</x:v>
      </x:c>
      <x:c r="Q329" s="21" t="str"/>
      <x:c r="R329" s="21" t="str"/>
      <x:c r="S329" s="21" t="str"/>
      <x:c r="T329" s="17" t="str">
        <x:v>false</x:v>
      </x:c>
      <x:c r="U329" s="17" t="str">
        <x:v>true</x:v>
      </x:c>
      <x:c r="V329" s="17" t="str">
        <x:v>false</x:v>
      </x:c>
    </x:row>
    <x:row r="330" ht="80" customHeight="1">
      <x:c r="A330" s="25" t="str">
        <x:v>Compress</x:v>
      </x:c>
      <x:c r="B330" s="25" t="n">
        <x:v>6</x:v>
      </x:c>
      <x:c r="C330" s="25" t="str">
        <x:v>Round1</x:v>
      </x:c>
      <x:c r="D330" s="25" t="str">
        <x:v>NOT_AVAILABLE</x:v>
      </x:c>
      <x:c r="E330" s="25" t="str">
        <x:v>N/A</x:v>
      </x:c>
      <x:c r="F330" s="26" t="str">
        <x:v>Tests exist but current coverage did not complete</x:v>
      </x:c>
      <x:c r="G330" s="25" t="str">
        <x:v>true</x:v>
      </x:c>
      <x:c r="H330" s="25" t="str">
        <x:v>NOT_AVAILABLE</x:v>
      </x:c>
      <x:c r="I330" s="25" t="str">
        <x:v>NOT_RUN</x:v>
      </x:c>
      <x:c r="J330" s="25" t="str">
        <x:v>NOT_RUN</x:v>
      </x:c>
      <x:c r="K330" s="25" t="n">
        <x:v>1</x:v>
      </x:c>
      <x:c r="L330" s="27" t="b">
        <x:v>0</x:v>
      </x:c>
      <x:c r="M330" s="25" t="str">
        <x:v>Deepseek-flash-v4/state/Round1/shards/Compress.json</x:v>
      </x:c>
      <x:c r="N330" s="25" t="str">
        <x:v>Deepseek-flash-v4/Result/Compress_6/result.json</x:v>
      </x:c>
      <x:c r="O330" s="25" t="str">
        <x:v>Deepseek-flash-v4/Result/Compress_6/result.json</x:v>
      </x:c>
      <x:c r="P330" t="str">
        <x:v>BOTH_NOT_RUN</x:v>
      </x:c>
      <x:c r="Q330" s="21" t="str"/>
      <x:c r="R330" s="21" t="str"/>
      <x:c r="S330" s="21" t="str"/>
      <x:c r="T330" s="17" t="str">
        <x:v>false</x:v>
      </x:c>
      <x:c r="U330" s="17" t="str">
        <x:v>true</x:v>
      </x:c>
      <x:c r="V330" s="17" t="str">
        <x:v>false</x:v>
      </x:c>
    </x:row>
    <x:row r="331" ht="80" customHeight="1">
      <x:c r="A331" s="25" t="str">
        <x:v>Compress</x:v>
      </x:c>
      <x:c r="B331" s="25" t="n">
        <x:v>7</x:v>
      </x:c>
      <x:c r="C331" s="25" t="str">
        <x:v>Round1</x:v>
      </x:c>
      <x:c r="D331" s="25" t="str">
        <x:v>NOT_AVAILABLE</x:v>
      </x:c>
      <x:c r="E331" s="25" t="str">
        <x:v>N/A</x:v>
      </x:c>
      <x:c r="F331" s="26" t="str">
        <x:v>Tests exist but current coverage did not complete</x:v>
      </x:c>
      <x:c r="G331" s="25" t="str">
        <x:v>true</x:v>
      </x:c>
      <x:c r="H331" s="25" t="str">
        <x:v>NOT_AVAILABLE</x:v>
      </x:c>
      <x:c r="I331" s="25" t="str">
        <x:v>NOT_RUN</x:v>
      </x:c>
      <x:c r="J331" s="25" t="str">
        <x:v>NOT_RUN</x:v>
      </x:c>
      <x:c r="K331" s="25" t="n">
        <x:v>1</x:v>
      </x:c>
      <x:c r="L331" s="27" t="b">
        <x:v>0</x:v>
      </x:c>
      <x:c r="M331" s="25" t="str">
        <x:v>Deepseek-flash-v4/state/Round1/shards/Compress.json</x:v>
      </x:c>
      <x:c r="N331" s="25" t="str">
        <x:v>Deepseek-flash-v4/Result/Compress_7/result.json</x:v>
      </x:c>
      <x:c r="O331" s="25" t="str">
        <x:v>Deepseek-flash-v4/Result/Compress_7/result.json</x:v>
      </x:c>
      <x:c r="P331" t="str">
        <x:v>BOTH_NOT_RUN</x:v>
      </x:c>
      <x:c r="Q331" s="21" t="str"/>
      <x:c r="R331" s="21" t="str"/>
      <x:c r="S331" s="21" t="str"/>
      <x:c r="T331" s="17" t="str">
        <x:v>false</x:v>
      </x:c>
      <x:c r="U331" s="17" t="str">
        <x:v>true</x:v>
      </x:c>
      <x:c r="V331" s="17" t="str">
        <x:v>false</x:v>
      </x:c>
    </x:row>
    <x:row r="332" ht="80" customHeight="1">
      <x:c r="A332" s="25" t="str">
        <x:v>Compress</x:v>
      </x:c>
      <x:c r="B332" s="25" t="n">
        <x:v>8</x:v>
      </x:c>
      <x:c r="C332" s="25" t="str">
        <x:v>Round1</x:v>
      </x:c>
      <x:c r="D332" s="25" t="str">
        <x:v>INCONCLUSIVE</x:v>
      </x:c>
      <x:c r="E332" s="25" t="str">
        <x:v>N/A</x:v>
      </x:c>
      <x:c r="F332" s="26" t="str">
        <x:v>Fixed also failed; assertion failure cannot be attributed to this bug</x:v>
      </x:c>
      <x:c r="G332" s="25" t="str">
        <x:v>true</x:v>
      </x:c>
      <x:c r="H332" s="25" t="str">
        <x:v>INCONCLUSIVE</x:v>
      </x:c>
      <x:c r="I332" s="25" t="str">
        <x:v>FAIL</x:v>
      </x:c>
      <x:c r="J332" s="25" t="str">
        <x:v>FAIL</x:v>
      </x:c>
      <x:c r="K332" s="25" t="n">
        <x:v>1</x:v>
      </x:c>
      <x:c r="L332" s="27" t="b">
        <x:v>0</x:v>
      </x:c>
      <x:c r="M332" s="25" t="str">
        <x:v>Deepseek-flash-v4/state/Round1/shards/Compress.json</x:v>
      </x:c>
      <x:c r="N332" s="25" t="str">
        <x:v>Deepseek-flash-v4/Result/Compress_8/result.json</x:v>
      </x:c>
      <x:c r="O332" s="25" t="str">
        <x:v>Deepseek-flash-v4/Result/Compress_8/result.json</x:v>
      </x:c>
      <x:c r="P332"/>
      <x:c r="Q332" s="21" t="str"/>
      <x:c r="R332" s="21" t="str"/>
      <x:c r="S332" s="21" t="str"/>
      <x:c r="T332" s="17" t="str">
        <x:v>false</x:v>
      </x:c>
      <x:c r="U332" s="17" t="str">
        <x:v>true</x:v>
      </x:c>
      <x:c r="V332" s="17" t="str">
        <x:v>false</x:v>
      </x:c>
    </x:row>
    <x:row r="333" ht="80" customHeight="1">
      <x:c r="A333" s="25" t="str">
        <x:v>Compress</x:v>
      </x:c>
      <x:c r="B333" s="25" t="n">
        <x:v>9</x:v>
      </x:c>
      <x:c r="C333" s="25" t="str">
        <x:v>Round1</x:v>
      </x:c>
      <x:c r="D333" s="25" t="str">
        <x:v>INCONCLUSIVE</x:v>
      </x:c>
      <x:c r="E333" s="25" t="str">
        <x:v>N/A</x:v>
      </x:c>
      <x:c r="F333" s="26" t="str">
        <x:v>Fixed also failed; assertion failure cannot be attributed to this bug</x:v>
      </x:c>
      <x:c r="G333" s="25" t="str">
        <x:v>true</x:v>
      </x:c>
      <x:c r="H333" s="25" t="str">
        <x:v>INCONCLUSIVE</x:v>
      </x:c>
      <x:c r="I333" s="25" t="str">
        <x:v>FAIL</x:v>
      </x:c>
      <x:c r="J333" s="25" t="str">
        <x:v>FAIL</x:v>
      </x:c>
      <x:c r="K333" s="25" t="n">
        <x:v>1</x:v>
      </x:c>
      <x:c r="L333" s="27" t="b">
        <x:v>0</x:v>
      </x:c>
      <x:c r="M333" s="25" t="str">
        <x:v>Deepseek-flash-v4/state/Round1/shards/Compress.json</x:v>
      </x:c>
      <x:c r="N333" s="25" t="str">
        <x:v>Deepseek-flash-v4/Result/Compress_9/result.json</x:v>
      </x:c>
      <x:c r="O333" s="25" t="str">
        <x:v>Deepseek-flash-v4/Result/Compress_9/result.json</x:v>
      </x:c>
      <x:c r="P333"/>
      <x:c r="Q333" s="21" t="str"/>
      <x:c r="R333" s="21" t="str"/>
      <x:c r="S333" s="21" t="str"/>
      <x:c r="T333" s="17" t="str">
        <x:v>false</x:v>
      </x:c>
      <x:c r="U333" s="17" t="str">
        <x:v>true</x:v>
      </x:c>
      <x:c r="V333" s="17" t="str">
        <x:v>false</x:v>
      </x:c>
    </x:row>
    <x:row r="334" ht="80" customHeight="1">
      <x:c r="A334" s="25" t="str">
        <x:v>Csv</x:v>
      </x:c>
      <x:c r="B334" s="25" t="n">
        <x:v>1</x:v>
      </x:c>
      <x:c r="C334" s="25" t="str">
        <x:v>Round1</x:v>
      </x:c>
      <x:c r="D334" s="25" t="str">
        <x:v>INCONCLUSIVE</x:v>
      </x:c>
      <x:c r="E334" s="25" t="str">
        <x:v>N/A</x:v>
      </x:c>
      <x:c r="F334" s="26" t="str">
        <x:v>Fixed also failed; assertion failure cannot be attributed to this bug</x:v>
      </x:c>
      <x:c r="G334" s="25" t="str">
        <x:v>true</x:v>
      </x:c>
      <x:c r="H334" s="25" t="str">
        <x:v>INCONCLUSIVE</x:v>
      </x:c>
      <x:c r="I334" s="25" t="str">
        <x:v>FAIL</x:v>
      </x:c>
      <x:c r="J334" s="25" t="str">
        <x:v>FAIL</x:v>
      </x:c>
      <x:c r="K334" s="25" t="n">
        <x:v>1</x:v>
      </x:c>
      <x:c r="L334" s="27" t="b">
        <x:v>0</x:v>
      </x:c>
      <x:c r="M334" s="25" t="str">
        <x:v>Deepseek-flash-v4/state/Round1/shards/Csv.json</x:v>
      </x:c>
      <x:c r="N334" s="25" t="str">
        <x:v>Deepseek-flash-v4/Result/Csv_1/result.json</x:v>
      </x:c>
      <x:c r="O334" s="25" t="str">
        <x:v>Deepseek-flash-v4/Result/Csv_1/result.json</x:v>
      </x:c>
      <x:c r="P334"/>
      <x:c r="Q334" s="21" t="str"/>
      <x:c r="R334" s="21" t="str"/>
      <x:c r="S334" s="21" t="str"/>
      <x:c r="T334" s="17" t="str">
        <x:v>false</x:v>
      </x:c>
      <x:c r="U334" s="17" t="str">
        <x:v>true</x:v>
      </x:c>
      <x:c r="V334" s="17" t="str">
        <x:v>false</x:v>
      </x:c>
    </x:row>
    <x:row r="335" ht="80" customHeight="1">
      <x:c r="A335" s="25" t="str">
        <x:v>Csv</x:v>
      </x:c>
      <x:c r="B335" s="25" t="n">
        <x:v>10</x:v>
      </x:c>
      <x:c r="C335" s="25" t="str">
        <x:v>Round1</x:v>
      </x:c>
      <x:c r="D335" s="25" t="str">
        <x:v>NOT_AVAILABLE</x:v>
      </x:c>
      <x:c r="E335" s="25" t="str">
        <x:v>N/A</x:v>
      </x:c>
      <x:c r="F335" s="26" t="str">
        <x:v>Tests exist but current coverage did not complete</x:v>
      </x:c>
      <x:c r="G335" s="25" t="str">
        <x:v>true</x:v>
      </x:c>
      <x:c r="H335" s="25" t="str">
        <x:v>NOT_AVAILABLE</x:v>
      </x:c>
      <x:c r="I335" s="25" t="str">
        <x:v>NOT_RUN</x:v>
      </x:c>
      <x:c r="J335" s="25" t="str">
        <x:v>NOT_RUN</x:v>
      </x:c>
      <x:c r="K335" s="25" t="n">
        <x:v>1</x:v>
      </x:c>
      <x:c r="L335" s="27" t="b">
        <x:v>0</x:v>
      </x:c>
      <x:c r="M335" s="25" t="str">
        <x:v>Deepseek-flash-v4/state/Round1/shards/Csv.json</x:v>
      </x:c>
      <x:c r="N335" s="25" t="str">
        <x:v>Deepseek-flash-v4/Result/Csv_10/result.json</x:v>
      </x:c>
      <x:c r="O335" s="25" t="str">
        <x:v>Deepseek-flash-v4/Result/Csv_10/result.json</x:v>
      </x:c>
      <x:c r="P335" t="str">
        <x:v>BOTH_NOT_RUN</x:v>
      </x:c>
      <x:c r="Q335" s="21" t="str"/>
      <x:c r="R335" s="21" t="str"/>
      <x:c r="S335" s="21" t="str"/>
      <x:c r="T335" s="17" t="str">
        <x:v>false</x:v>
      </x:c>
      <x:c r="U335" s="17" t="str">
        <x:v>true</x:v>
      </x:c>
      <x:c r="V335" s="17" t="str">
        <x:v>false</x:v>
      </x:c>
    </x:row>
    <x:row r="336" ht="80" customHeight="1">
      <x:c r="A336" s="25" t="str">
        <x:v>Csv</x:v>
      </x:c>
      <x:c r="B336" s="25" t="n">
        <x:v>11</x:v>
      </x:c>
      <x:c r="C336" s="25" t="str">
        <x:v>Round1</x:v>
      </x:c>
      <x:c r="D336" s="25" t="str">
        <x:v>NOT_AVAILABLE</x:v>
      </x:c>
      <x:c r="E336" s="25" t="str">
        <x:v>N/A</x:v>
      </x:c>
      <x:c r="F336" s="26" t="str">
        <x:v>Tests exist but current coverage did not complete</x:v>
      </x:c>
      <x:c r="G336" s="25" t="str">
        <x:v>true</x:v>
      </x:c>
      <x:c r="H336" s="25" t="str">
        <x:v>NOT_AVAILABLE</x:v>
      </x:c>
      <x:c r="I336" s="25" t="str">
        <x:v>NOT_RUN</x:v>
      </x:c>
      <x:c r="J336" s="25" t="str">
        <x:v>NOT_RUN</x:v>
      </x:c>
      <x:c r="K336" s="25" t="n">
        <x:v>1</x:v>
      </x:c>
      <x:c r="L336" s="27" t="b">
        <x:v>0</x:v>
      </x:c>
      <x:c r="M336" s="25" t="str">
        <x:v>Deepseek-flash-v4/state/Round1/shards/Csv.json</x:v>
      </x:c>
      <x:c r="N336" s="25" t="str">
        <x:v>Deepseek-flash-v4/Result/Csv_11/result.json</x:v>
      </x:c>
      <x:c r="O336" s="25" t="str">
        <x:v>Deepseek-flash-v4/Result/Csv_11/result.json</x:v>
      </x:c>
      <x:c r="P336" t="str">
        <x:v>BOTH_NOT_RUN</x:v>
      </x:c>
      <x:c r="Q336" s="21" t="str"/>
      <x:c r="R336" s="21" t="str"/>
      <x:c r="S336" s="21" t="str"/>
      <x:c r="T336" s="17" t="str">
        <x:v>false</x:v>
      </x:c>
      <x:c r="U336" s="17" t="str">
        <x:v>true</x:v>
      </x:c>
      <x:c r="V336" s="17" t="str">
        <x:v>false</x:v>
      </x:c>
    </x:row>
    <x:row r="337" ht="80" customHeight="1">
      <x:c r="A337" s="25" t="str">
        <x:v>Csv</x:v>
      </x:c>
      <x:c r="B337" s="25" t="n">
        <x:v>12</x:v>
      </x:c>
      <x:c r="C337" s="25" t="str">
        <x:v>Round1</x:v>
      </x:c>
      <x:c r="D337" s="25" t="str">
        <x:v>INCONCLUSIVE</x:v>
      </x:c>
      <x:c r="E337" s="25" t="str">
        <x:v>N/A</x:v>
      </x:c>
      <x:c r="F337" s="26" t="str">
        <x:v>Fixed also failed; assertion failure cannot be attributed to this bug</x:v>
      </x:c>
      <x:c r="G337" s="25" t="str">
        <x:v>true</x:v>
      </x:c>
      <x:c r="H337" s="25" t="str">
        <x:v>INCONCLUSIVE</x:v>
      </x:c>
      <x:c r="I337" s="25" t="str">
        <x:v>FAIL</x:v>
      </x:c>
      <x:c r="J337" s="25" t="str">
        <x:v>FAIL</x:v>
      </x:c>
      <x:c r="K337" s="25" t="n">
        <x:v>1</x:v>
      </x:c>
      <x:c r="L337" s="27" t="b">
        <x:v>0</x:v>
      </x:c>
      <x:c r="M337" s="25" t="str">
        <x:v>Deepseek-flash-v4/state/Round1/shards/Csv.json</x:v>
      </x:c>
      <x:c r="N337" s="25" t="str">
        <x:v>Deepseek-flash-v4/Result/Csv_12/result.json</x:v>
      </x:c>
      <x:c r="O337" s="25" t="str">
        <x:v>Deepseek-flash-v4/Result/Csv_12/result.json</x:v>
      </x:c>
      <x:c r="P337"/>
      <x:c r="Q337" s="21" t="str"/>
      <x:c r="R337" s="21" t="str"/>
      <x:c r="S337" s="21" t="str"/>
      <x:c r="T337" s="17" t="str">
        <x:v>false</x:v>
      </x:c>
      <x:c r="U337" s="17" t="str">
        <x:v>true</x:v>
      </x:c>
      <x:c r="V337" s="17" t="str">
        <x:v>false</x:v>
      </x:c>
    </x:row>
    <x:row r="338" ht="80" customHeight="1">
      <x:c r="A338" s="25" t="str">
        <x:v>Csv</x:v>
      </x:c>
      <x:c r="B338" s="25" t="n">
        <x:v>13</x:v>
      </x:c>
      <x:c r="C338" s="25" t="str">
        <x:v>Round1</x:v>
      </x:c>
      <x:c r="D338" s="25" t="str">
        <x:v>NOT_AVAILABLE</x:v>
      </x:c>
      <x:c r="E338" s="25" t="str">
        <x:v>N/A</x:v>
      </x:c>
      <x:c r="F338" s="26" t="str">
        <x:v>Tests exist but current coverage did not complete</x:v>
      </x:c>
      <x:c r="G338" s="25" t="str">
        <x:v>true</x:v>
      </x:c>
      <x:c r="H338" s="25" t="str">
        <x:v>NOT_AVAILABLE</x:v>
      </x:c>
      <x:c r="I338" s="25" t="str">
        <x:v>NOT_RUN</x:v>
      </x:c>
      <x:c r="J338" s="25" t="str">
        <x:v>NOT_RUN</x:v>
      </x:c>
      <x:c r="K338" s="25" t="n">
        <x:v>2</x:v>
      </x:c>
      <x:c r="L338" s="27" t="b">
        <x:v>0</x:v>
      </x:c>
      <x:c r="M338" s="25" t="str">
        <x:v>Deepseek-flash-v4/state/Round1/shards/Csv.json</x:v>
      </x:c>
      <x:c r="N338" s="25" t="str">
        <x:v>Deepseek-flash-v4/Result/Csv_13/result.json</x:v>
      </x:c>
      <x:c r="O338" s="25" t="str">
        <x:v>Deepseek-flash-v4/Result/Csv_13/result.json</x:v>
      </x:c>
      <x:c r="P338" t="str">
        <x:v>BOTH_NOT_RUN</x:v>
      </x:c>
      <x:c r="Q338" s="21" t="str"/>
      <x:c r="R338" s="21" t="str"/>
      <x:c r="S338" s="21" t="str"/>
      <x:c r="T338" s="17" t="str">
        <x:v>false</x:v>
      </x:c>
      <x:c r="U338" s="17" t="str">
        <x:v>true</x:v>
      </x:c>
      <x:c r="V338" s="17" t="str">
        <x:v>false</x:v>
      </x:c>
    </x:row>
    <x:row r="339" ht="80" customHeight="1">
      <x:c r="A339" s="25" t="str">
        <x:v>Csv</x:v>
      </x:c>
      <x:c r="B339" s="25" t="n">
        <x:v>14</x:v>
      </x:c>
      <x:c r="C339" s="25" t="str">
        <x:v>Round1</x:v>
      </x:c>
      <x:c r="D339" s="25" t="str">
        <x:v>NOT_AVAILABLE</x:v>
      </x:c>
      <x:c r="E339" s="25" t="str">
        <x:v>N/A</x:v>
      </x:c>
      <x:c r="F339" s="26" t="str">
        <x:v>Tests exist but current coverage did not complete</x:v>
      </x:c>
      <x:c r="G339" s="25" t="str">
        <x:v>true</x:v>
      </x:c>
      <x:c r="H339" s="25" t="str">
        <x:v>NOT_AVAILABLE</x:v>
      </x:c>
      <x:c r="I339" s="25" t="str">
        <x:v>NOT_RUN</x:v>
      </x:c>
      <x:c r="J339" s="25" t="str">
        <x:v>NOT_RUN</x:v>
      </x:c>
      <x:c r="K339" s="25" t="n">
        <x:v>1</x:v>
      </x:c>
      <x:c r="L339" s="27" t="b">
        <x:v>0</x:v>
      </x:c>
      <x:c r="M339" s="25" t="str">
        <x:v>Deepseek-flash-v4/state/Round1/shards/Csv.json</x:v>
      </x:c>
      <x:c r="N339" s="25" t="str">
        <x:v>Deepseek-flash-v4/Result/Csv_14/result.json</x:v>
      </x:c>
      <x:c r="O339" s="25" t="str">
        <x:v>Deepseek-flash-v4/Result/Csv_14/result.json</x:v>
      </x:c>
      <x:c r="P339" t="str">
        <x:v>BOTH_NOT_RUN</x:v>
      </x:c>
      <x:c r="Q339" s="21" t="str"/>
      <x:c r="R339" s="21" t="str"/>
      <x:c r="S339" s="21" t="str"/>
      <x:c r="T339" s="17" t="str">
        <x:v>false</x:v>
      </x:c>
      <x:c r="U339" s="17" t="str">
        <x:v>true</x:v>
      </x:c>
      <x:c r="V339" s="17" t="str">
        <x:v>false</x:v>
      </x:c>
    </x:row>
    <x:row r="340" ht="80" customHeight="1">
      <x:c r="A340" s="25" t="str">
        <x:v>Csv</x:v>
      </x:c>
      <x:c r="B340" s="25" t="n">
        <x:v>15</x:v>
      </x:c>
      <x:c r="C340" s="25" t="str">
        <x:v>Round1</x:v>
      </x:c>
      <x:c r="D340" s="25" t="str">
        <x:v>NOT_AVAILABLE</x:v>
      </x:c>
      <x:c r="E340" s="25" t="str">
        <x:v>N/A</x:v>
      </x:c>
      <x:c r="F340" s="26" t="str">
        <x:v>Tests exist but current coverage did not complete</x:v>
      </x:c>
      <x:c r="G340" s="25" t="str">
        <x:v>true</x:v>
      </x:c>
      <x:c r="H340" s="25" t="str">
        <x:v>NOT_AVAILABLE</x:v>
      </x:c>
      <x:c r="I340" s="25" t="str">
        <x:v>NOT_RUN</x:v>
      </x:c>
      <x:c r="J340" s="25" t="str">
        <x:v>NOT_RUN</x:v>
      </x:c>
      <x:c r="K340" s="25" t="n">
        <x:v>1</x:v>
      </x:c>
      <x:c r="L340" s="27" t="b">
        <x:v>0</x:v>
      </x:c>
      <x:c r="M340" s="25" t="str">
        <x:v>Deepseek-flash-v4/state/Round1/shards/Csv.json</x:v>
      </x:c>
      <x:c r="N340" s="25" t="str">
        <x:v>Deepseek-flash-v4/Result/Csv_15/result.json</x:v>
      </x:c>
      <x:c r="O340" s="25" t="str">
        <x:v>Deepseek-flash-v4/Result/Csv_15/result.json</x:v>
      </x:c>
      <x:c r="P340" t="str">
        <x:v>BOTH_NOT_RUN</x:v>
      </x:c>
      <x:c r="Q340" s="21" t="str"/>
      <x:c r="R340" s="21" t="str"/>
      <x:c r="S340" s="21" t="str"/>
      <x:c r="T340" s="17" t="str">
        <x:v>false</x:v>
      </x:c>
      <x:c r="U340" s="17" t="str">
        <x:v>true</x:v>
      </x:c>
      <x:c r="V340" s="17" t="str">
        <x:v>false</x:v>
      </x:c>
    </x:row>
    <x:row r="341" ht="80" customHeight="1">
      <x:c r="A341" s="25" t="str">
        <x:v>Csv</x:v>
      </x:c>
      <x:c r="B341" s="25" t="n">
        <x:v>16</x:v>
      </x:c>
      <x:c r="C341" s="25" t="str">
        <x:v>Round1</x:v>
      </x:c>
      <x:c r="D341" s="25" t="str">
        <x:v>NOT_AVAILABLE</x:v>
      </x:c>
      <x:c r="E341" s="25" t="str">
        <x:v>N/A</x:v>
      </x:c>
      <x:c r="F341" s="26" t="str">
        <x:v>Tests exist but current coverage did not complete</x:v>
      </x:c>
      <x:c r="G341" s="25" t="str">
        <x:v>true</x:v>
      </x:c>
      <x:c r="H341" s="25" t="str">
        <x:v>NOT_AVAILABLE</x:v>
      </x:c>
      <x:c r="I341" s="25" t="str">
        <x:v>NOT_RUN</x:v>
      </x:c>
      <x:c r="J341" s="25" t="str">
        <x:v>NOT_RUN</x:v>
      </x:c>
      <x:c r="K341" s="25" t="n">
        <x:v>1</x:v>
      </x:c>
      <x:c r="L341" s="27" t="b">
        <x:v>0</x:v>
      </x:c>
      <x:c r="M341" s="25" t="str">
        <x:v>Deepseek-flash-v4/state/Round1/shards/Csv.json</x:v>
      </x:c>
      <x:c r="N341" s="25" t="str">
        <x:v>Deepseek-flash-v4/Result/Csv_16/result.json</x:v>
      </x:c>
      <x:c r="O341" s="25" t="str">
        <x:v>Deepseek-flash-v4/Result/Csv_16/result.json</x:v>
      </x:c>
      <x:c r="P341" t="str">
        <x:v>BOTH_NOT_RUN</x:v>
      </x:c>
      <x:c r="Q341" s="21" t="str"/>
      <x:c r="R341" s="21" t="str"/>
      <x:c r="S341" s="21" t="str"/>
      <x:c r="T341" s="17" t="str">
        <x:v>false</x:v>
      </x:c>
      <x:c r="U341" s="17" t="str">
        <x:v>true</x:v>
      </x:c>
      <x:c r="V341" s="17" t="str">
        <x:v>false</x:v>
      </x:c>
    </x:row>
    <x:row r="342" ht="80" customHeight="1">
      <x:c r="A342" s="25" t="str">
        <x:v>Csv</x:v>
      </x:c>
      <x:c r="B342" s="25" t="n">
        <x:v>2</x:v>
      </x:c>
      <x:c r="C342" s="25" t="str">
        <x:v>Round1</x:v>
      </x:c>
      <x:c r="D342" s="25" t="str">
        <x:v>NOT_REVEALING</x:v>
      </x:c>
      <x:c r="E342" s="25" t="str">
        <x:v>N/A</x:v>
      </x:c>
      <x:c r="F342" s="26" t="str">
        <x:v>Same saved validation suite passed on buggy and fixed</x:v>
      </x:c>
      <x:c r="G342" s="25" t="str">
        <x:v>true</x:v>
      </x:c>
      <x:c r="H342" s="25" t="str">
        <x:v>NOT_REVEALING</x:v>
      </x:c>
      <x:c r="I342" s="25" t="str">
        <x:v>PASS</x:v>
      </x:c>
      <x:c r="J342" s="25" t="str">
        <x:v>PASS</x:v>
      </x:c>
      <x:c r="K342" s="25" t="n">
        <x:v>1</x:v>
      </x:c>
      <x:c r="L342" s="27" t="b">
        <x:v>0</x:v>
      </x:c>
      <x:c r="M342" s="25" t="str">
        <x:v>Deepseek-flash-v4/state/Round1/shards/Csv.json</x:v>
      </x:c>
      <x:c r="N342" s="25" t="str">
        <x:v>Deepseek-flash-v4/Result/Csv_2/result.json</x:v>
      </x:c>
      <x:c r="O342" s="25" t="str">
        <x:v>Deepseek-flash-v4/Result/Csv_2/result.json</x:v>
      </x:c>
      <x:c r="P342"/>
      <x:c r="Q342" s="21" t="str"/>
      <x:c r="R342" s="21" t="str"/>
      <x:c r="S342" s="21" t="str"/>
      <x:c r="T342" s="17" t="str">
        <x:v>false</x:v>
      </x:c>
      <x:c r="U342" s="17" t="str">
        <x:v>true</x:v>
      </x:c>
      <x:c r="V342" s="17" t="str">
        <x:v>false</x:v>
      </x:c>
    </x:row>
    <x:row r="343" ht="80" customHeight="1">
      <x:c r="A343" s="25" t="str">
        <x:v>Csv</x:v>
      </x:c>
      <x:c r="B343" s="25" t="n">
        <x:v>3</x:v>
      </x:c>
      <x:c r="C343" s="25" t="str">
        <x:v>Round1</x:v>
      </x:c>
      <x:c r="D343" s="25" t="str">
        <x:v>NOT_AVAILABLE</x:v>
      </x:c>
      <x:c r="E343" s="25" t="str">
        <x:v>N/A</x:v>
      </x:c>
      <x:c r="F343" s="26" t="str">
        <x:v>Tests exist but current coverage did not complete</x:v>
      </x:c>
      <x:c r="G343" s="25" t="str">
        <x:v>true</x:v>
      </x:c>
      <x:c r="H343" s="25" t="str">
        <x:v>NOT_AVAILABLE</x:v>
      </x:c>
      <x:c r="I343" s="25" t="str">
        <x:v>NOT_RUN</x:v>
      </x:c>
      <x:c r="J343" s="25" t="str">
        <x:v>NOT_RUN</x:v>
      </x:c>
      <x:c r="K343" s="25" t="n">
        <x:v>1</x:v>
      </x:c>
      <x:c r="L343" s="27" t="b">
        <x:v>0</x:v>
      </x:c>
      <x:c r="M343" s="25" t="str">
        <x:v>Deepseek-flash-v4/state/Round1/shards/Csv.json</x:v>
      </x:c>
      <x:c r="N343" s="25" t="str">
        <x:v>Deepseek-flash-v4/Result/Csv_3/result.json</x:v>
      </x:c>
      <x:c r="O343" s="25" t="str">
        <x:v>Deepseek-flash-v4/Result/Csv_3/result.json</x:v>
      </x:c>
      <x:c r="P343" t="str">
        <x:v>BOTH_NOT_RUN</x:v>
      </x:c>
      <x:c r="Q343" s="21" t="str"/>
      <x:c r="R343" s="21" t="str"/>
      <x:c r="S343" s="21" t="str"/>
      <x:c r="T343" s="17" t="str">
        <x:v>false</x:v>
      </x:c>
      <x:c r="U343" s="17" t="str">
        <x:v>true</x:v>
      </x:c>
      <x:c r="V343" s="17" t="str">
        <x:v>false</x:v>
      </x:c>
    </x:row>
    <x:row r="344" ht="80" customHeight="1">
      <x:c r="A344" s="25" t="str">
        <x:v>Csv</x:v>
      </x:c>
      <x:c r="B344" s="25" t="n">
        <x:v>4</x:v>
      </x:c>
      <x:c r="C344" s="25" t="str">
        <x:v>Round1</x:v>
      </x:c>
      <x:c r="D344" s="25" t="str">
        <x:v>NOT_AVAILABLE</x:v>
      </x:c>
      <x:c r="E344" s="25" t="str">
        <x:v>N/A</x:v>
      </x:c>
      <x:c r="F344" s="26" t="str">
        <x:v>Tests exist but current coverage did not complete</x:v>
      </x:c>
      <x:c r="G344" s="25" t="str">
        <x:v>true</x:v>
      </x:c>
      <x:c r="H344" s="25" t="str">
        <x:v>NOT_AVAILABLE</x:v>
      </x:c>
      <x:c r="I344" s="25" t="str">
        <x:v>NOT_RUN</x:v>
      </x:c>
      <x:c r="J344" s="25" t="str">
        <x:v>NOT_RUN</x:v>
      </x:c>
      <x:c r="K344" s="25" t="n">
        <x:v>1</x:v>
      </x:c>
      <x:c r="L344" s="27" t="b">
        <x:v>0</x:v>
      </x:c>
      <x:c r="M344" s="25" t="str">
        <x:v>Deepseek-flash-v4/state/Round1/shards/Csv.json</x:v>
      </x:c>
      <x:c r="N344" s="25" t="str">
        <x:v>Deepseek-flash-v4/Result/Csv_4/result.json</x:v>
      </x:c>
      <x:c r="O344" s="25" t="str">
        <x:v>Deepseek-flash-v4/Result/Csv_4/result.json</x:v>
      </x:c>
      <x:c r="P344" t="str">
        <x:v>BOTH_NOT_RUN</x:v>
      </x:c>
      <x:c r="Q344" s="21" t="str"/>
      <x:c r="R344" s="21" t="str"/>
      <x:c r="S344" s="21" t="str"/>
      <x:c r="T344" s="17" t="str">
        <x:v>false</x:v>
      </x:c>
      <x:c r="U344" s="17" t="str">
        <x:v>true</x:v>
      </x:c>
      <x:c r="V344" s="17" t="str">
        <x:v>false</x:v>
      </x:c>
    </x:row>
    <x:row r="345" ht="80" customHeight="1">
      <x:c r="A345" s="25" t="str">
        <x:v>Csv</x:v>
      </x:c>
      <x:c r="B345" s="25" t="n">
        <x:v>5</x:v>
      </x:c>
      <x:c r="C345" s="25" t="str">
        <x:v>Round1</x:v>
      </x:c>
      <x:c r="D345" s="25" t="str">
        <x:v>NOT_AVAILABLE</x:v>
      </x:c>
      <x:c r="E345" s="25" t="str">
        <x:v>N/A</x:v>
      </x:c>
      <x:c r="F345" s="26" t="str">
        <x:v>Tests exist but current coverage did not complete</x:v>
      </x:c>
      <x:c r="G345" s="25" t="str">
        <x:v>true</x:v>
      </x:c>
      <x:c r="H345" s="25" t="str">
        <x:v>NOT_AVAILABLE</x:v>
      </x:c>
      <x:c r="I345" s="25" t="str">
        <x:v>NOT_RUN</x:v>
      </x:c>
      <x:c r="J345" s="25" t="str">
        <x:v>NOT_RUN</x:v>
      </x:c>
      <x:c r="K345" s="25" t="n">
        <x:v>1</x:v>
      </x:c>
      <x:c r="L345" s="27" t="b">
        <x:v>0</x:v>
      </x:c>
      <x:c r="M345" s="25" t="str">
        <x:v>Deepseek-flash-v4/state/Round1/shards/Csv.json</x:v>
      </x:c>
      <x:c r="N345" s="25" t="str">
        <x:v>Deepseek-flash-v4/Result/Csv_5/result.json</x:v>
      </x:c>
      <x:c r="O345" s="25" t="str">
        <x:v>Deepseek-flash-v4/Result/Csv_5/result.json</x:v>
      </x:c>
      <x:c r="P345" t="str">
        <x:v>BOTH_NOT_RUN</x:v>
      </x:c>
      <x:c r="Q345" s="21" t="str"/>
      <x:c r="R345" s="21" t="str"/>
      <x:c r="S345" s="21" t="str"/>
      <x:c r="T345" s="17" t="str">
        <x:v>false</x:v>
      </x:c>
      <x:c r="U345" s="17" t="str">
        <x:v>true</x:v>
      </x:c>
      <x:c r="V345" s="17" t="str">
        <x:v>false</x:v>
      </x:c>
    </x:row>
    <x:row r="346" ht="80" customHeight="1">
      <x:c r="A346" s="25" t="str">
        <x:v>Csv</x:v>
      </x:c>
      <x:c r="B346" s="25" t="n">
        <x:v>6</x:v>
      </x:c>
      <x:c r="C346" s="25" t="str">
        <x:v>Round1</x:v>
      </x:c>
      <x:c r="D346" s="25" t="str">
        <x:v>INCONCLUSIVE</x:v>
      </x:c>
      <x:c r="E346" s="25" t="str">
        <x:v>N/A</x:v>
      </x:c>
      <x:c r="F346" s="26" t="str">
        <x:v>Fixed also failed; assertion failure cannot be attributed to this bug</x:v>
      </x:c>
      <x:c r="G346" s="25" t="str">
        <x:v>true</x:v>
      </x:c>
      <x:c r="H346" s="25" t="str">
        <x:v>INCONCLUSIVE</x:v>
      </x:c>
      <x:c r="I346" s="25" t="str">
        <x:v>FAIL</x:v>
      </x:c>
      <x:c r="J346" s="25" t="str">
        <x:v>FAIL</x:v>
      </x:c>
      <x:c r="K346" s="25" t="n">
        <x:v>1</x:v>
      </x:c>
      <x:c r="L346" s="27" t="b">
        <x:v>0</x:v>
      </x:c>
      <x:c r="M346" s="25" t="str">
        <x:v>Deepseek-flash-v4/state/Round1/shards/Csv.json</x:v>
      </x:c>
      <x:c r="N346" s="25" t="str">
        <x:v>Deepseek-flash-v4/Result/Csv_6/result.json</x:v>
      </x:c>
      <x:c r="O346" s="25" t="str">
        <x:v>Deepseek-flash-v4/Result/Csv_6/result.json</x:v>
      </x:c>
      <x:c r="P346"/>
      <x:c r="Q346" s="21" t="str"/>
      <x:c r="R346" s="21" t="str"/>
      <x:c r="S346" s="21" t="str"/>
      <x:c r="T346" s="17" t="str">
        <x:v>false</x:v>
      </x:c>
      <x:c r="U346" s="17" t="str">
        <x:v>true</x:v>
      </x:c>
      <x:c r="V346" s="17" t="str">
        <x:v>false</x:v>
      </x:c>
    </x:row>
    <x:row r="347" ht="80" customHeight="1">
      <x:c r="A347" s="25" t="str">
        <x:v>Csv</x:v>
      </x:c>
      <x:c r="B347" s="25" t="n">
        <x:v>7</x:v>
      </x:c>
      <x:c r="C347" s="25" t="str">
        <x:v>Round1</x:v>
      </x:c>
      <x:c r="D347" s="25" t="str">
        <x:v>INCONCLUSIVE</x:v>
      </x:c>
      <x:c r="E347" s="25" t="str">
        <x:v>N/A</x:v>
      </x:c>
      <x:c r="F347" s="26" t="str">
        <x:v>Fixed also failed; assertion failure cannot be attributed to this bug</x:v>
      </x:c>
      <x:c r="G347" s="25" t="str">
        <x:v>true</x:v>
      </x:c>
      <x:c r="H347" s="25" t="str">
        <x:v>INCONCLUSIVE</x:v>
      </x:c>
      <x:c r="I347" s="25" t="str">
        <x:v>FAIL</x:v>
      </x:c>
      <x:c r="J347" s="25" t="str">
        <x:v>FAIL</x:v>
      </x:c>
      <x:c r="K347" s="25" t="n">
        <x:v>1</x:v>
      </x:c>
      <x:c r="L347" s="27" t="b">
        <x:v>0</x:v>
      </x:c>
      <x:c r="M347" s="25" t="str">
        <x:v>Deepseek-flash-v4/state/Round1/shards/Csv.json</x:v>
      </x:c>
      <x:c r="N347" s="25" t="str">
        <x:v>Deepseek-flash-v4/Result/Csv_7/result.json</x:v>
      </x:c>
      <x:c r="O347" s="25" t="str">
        <x:v>Deepseek-flash-v4/Result/Csv_7/result.json</x:v>
      </x:c>
      <x:c r="P347"/>
      <x:c r="Q347" s="21" t="str"/>
      <x:c r="R347" s="21" t="str"/>
      <x:c r="S347" s="21" t="str"/>
      <x:c r="T347" s="17" t="str">
        <x:v>false</x:v>
      </x:c>
      <x:c r="U347" s="17" t="str">
        <x:v>true</x:v>
      </x:c>
      <x:c r="V347" s="17" t="str">
        <x:v>false</x:v>
      </x:c>
    </x:row>
    <x:row r="348" ht="80" customHeight="1">
      <x:c r="A348" s="25" t="str">
        <x:v>Csv</x:v>
      </x:c>
      <x:c r="B348" s="25" t="n">
        <x:v>8</x:v>
      </x:c>
      <x:c r="C348" s="25" t="str">
        <x:v>Round1</x:v>
      </x:c>
      <x:c r="D348" s="25" t="str">
        <x:v>NOT_AVAILABLE</x:v>
      </x:c>
      <x:c r="E348" s="25" t="str">
        <x:v>N/A</x:v>
      </x:c>
      <x:c r="F348" s="26" t="str">
        <x:v>Tests exist but current coverage did not complete</x:v>
      </x:c>
      <x:c r="G348" s="25" t="str">
        <x:v>true</x:v>
      </x:c>
      <x:c r="H348" s="25" t="str">
        <x:v>NOT_AVAILABLE</x:v>
      </x:c>
      <x:c r="I348" s="25" t="str">
        <x:v>NOT_RUN</x:v>
      </x:c>
      <x:c r="J348" s="25" t="str">
        <x:v>NOT_RUN</x:v>
      </x:c>
      <x:c r="K348" s="25" t="n">
        <x:v>1</x:v>
      </x:c>
      <x:c r="L348" s="27" t="b">
        <x:v>0</x:v>
      </x:c>
      <x:c r="M348" s="25" t="str">
        <x:v>Deepseek-flash-v4/state/Round1/shards/Csv.json</x:v>
      </x:c>
      <x:c r="N348" s="25" t="str">
        <x:v>Deepseek-flash-v4/Result/Csv_8/result.json</x:v>
      </x:c>
      <x:c r="O348" s="25" t="str">
        <x:v>Deepseek-flash-v4/Result/Csv_8/result.json</x:v>
      </x:c>
      <x:c r="P348" t="str">
        <x:v>BOTH_NOT_RUN</x:v>
      </x:c>
      <x:c r="Q348" s="21" t="str"/>
      <x:c r="R348" s="21" t="str"/>
      <x:c r="S348" s="21" t="str"/>
      <x:c r="T348" s="17" t="str">
        <x:v>false</x:v>
      </x:c>
      <x:c r="U348" s="17" t="str">
        <x:v>true</x:v>
      </x:c>
      <x:c r="V348" s="17" t="str">
        <x:v>false</x:v>
      </x:c>
    </x:row>
    <x:row r="349" ht="80" customHeight="1">
      <x:c r="A349" s="25" t="str">
        <x:v>Csv</x:v>
      </x:c>
      <x:c r="B349" s="25" t="n">
        <x:v>9</x:v>
      </x:c>
      <x:c r="C349" s="25" t="str">
        <x:v>Round1</x:v>
      </x:c>
      <x:c r="D349" s="25" t="str">
        <x:v>INCONCLUSIVE</x:v>
      </x:c>
      <x:c r="E349" s="25" t="str">
        <x:v>N/A</x:v>
      </x:c>
      <x:c r="F349" s="26" t="str">
        <x:v>Fixed also failed; assertion failure cannot be attributed to this bug</x:v>
      </x:c>
      <x:c r="G349" s="25" t="str">
        <x:v>true</x:v>
      </x:c>
      <x:c r="H349" s="25" t="str">
        <x:v>INCONCLUSIVE</x:v>
      </x:c>
      <x:c r="I349" s="25" t="str">
        <x:v>FAIL</x:v>
      </x:c>
      <x:c r="J349" s="25" t="str">
        <x:v>FAIL</x:v>
      </x:c>
      <x:c r="K349" s="25" t="n">
        <x:v>1</x:v>
      </x:c>
      <x:c r="L349" s="27" t="b">
        <x:v>0</x:v>
      </x:c>
      <x:c r="M349" s="25" t="str">
        <x:v>Deepseek-flash-v4/state/Round1/shards/Csv.json</x:v>
      </x:c>
      <x:c r="N349" s="25" t="str">
        <x:v>Deepseek-flash-v4/Result/Csv_9/result.json</x:v>
      </x:c>
      <x:c r="O349" s="25" t="str">
        <x:v>Deepseek-flash-v4/Result/Csv_9/result.json</x:v>
      </x:c>
      <x:c r="P349"/>
      <x:c r="Q349" s="21" t="str"/>
      <x:c r="R349" s="21" t="str"/>
      <x:c r="S349" s="21" t="str"/>
      <x:c r="T349" s="17" t="str">
        <x:v>false</x:v>
      </x:c>
      <x:c r="U349" s="17" t="str">
        <x:v>true</x:v>
      </x:c>
      <x:c r="V349" s="17" t="str">
        <x:v>false</x:v>
      </x:c>
    </x:row>
    <x:row r="350" ht="80" customHeight="1">
      <x:c r="A350" s="25" t="str">
        <x:v>Gson</x:v>
      </x:c>
      <x:c r="B350" s="25" t="n">
        <x:v>1</x:v>
      </x:c>
      <x:c r="C350" s="25" t="str">
        <x:v>Round1</x:v>
      </x:c>
      <x:c r="D350" s="25" t="str">
        <x:v>INCONCLUSIVE</x:v>
      </x:c>
      <x:c r="E350" s="25" t="str">
        <x:v>N/A</x:v>
      </x:c>
      <x:c r="F350" s="26" t="str">
        <x:v>Fixed also failed; assertion failure cannot be attributed to this bug</x:v>
      </x:c>
      <x:c r="G350" s="25" t="str">
        <x:v>true</x:v>
      </x:c>
      <x:c r="H350" s="25" t="str">
        <x:v>INCONCLUSIVE</x:v>
      </x:c>
      <x:c r="I350" s="25" t="str">
        <x:v>FAIL</x:v>
      </x:c>
      <x:c r="J350" s="25" t="str">
        <x:v>FAIL</x:v>
      </x:c>
      <x:c r="K350" s="25" t="n">
        <x:v>1</x:v>
      </x:c>
      <x:c r="L350" s="27" t="b">
        <x:v>0</x:v>
      </x:c>
      <x:c r="M350" s="25" t="str">
        <x:v>Deepseek-flash-v4/state/Round1/shards/Gson.json</x:v>
      </x:c>
      <x:c r="N350" s="25" t="str">
        <x:v>Deepseek-flash-v4/Result/Gson_1/result.json</x:v>
      </x:c>
      <x:c r="O350" s="25" t="str">
        <x:v>Deepseek-flash-v4/Result/Gson_1/result.json</x:v>
      </x:c>
      <x:c r="P350"/>
      <x:c r="Q350" s="21" t="str"/>
      <x:c r="R350" s="21" t="str"/>
      <x:c r="S350" s="21" t="str"/>
      <x:c r="T350" s="17" t="str">
        <x:v>false</x:v>
      </x:c>
      <x:c r="U350" s="17" t="str">
        <x:v>true</x:v>
      </x:c>
      <x:c r="V350" s="17" t="str">
        <x:v>false</x:v>
      </x:c>
    </x:row>
    <x:row r="351" ht="80" customHeight="1">
      <x:c r="A351" s="25" t="str">
        <x:v>Gson</x:v>
      </x:c>
      <x:c r="B351" s="25" t="n">
        <x:v>10</x:v>
      </x:c>
      <x:c r="C351" s="25" t="str">
        <x:v>Round1</x:v>
      </x:c>
      <x:c r="D351" s="25" t="str">
        <x:v>NOT_AVAILABLE</x:v>
      </x:c>
      <x:c r="E351" s="25" t="str">
        <x:v>N/A</x:v>
      </x:c>
      <x:c r="F351" s="26" t="str">
        <x:v>Tests exist but current coverage did not complete</x:v>
      </x:c>
      <x:c r="G351" s="25" t="str">
        <x:v>true</x:v>
      </x:c>
      <x:c r="H351" s="25" t="str">
        <x:v>NOT_AVAILABLE</x:v>
      </x:c>
      <x:c r="I351" s="25" t="str">
        <x:v>NOT_RUN</x:v>
      </x:c>
      <x:c r="J351" s="25" t="str">
        <x:v>NOT_RUN</x:v>
      </x:c>
      <x:c r="K351" s="25" t="n">
        <x:v>1</x:v>
      </x:c>
      <x:c r="L351" s="27" t="b">
        <x:v>0</x:v>
      </x:c>
      <x:c r="M351" s="25" t="str">
        <x:v>Deepseek-flash-v4/state/Round1/shards/Gson.json</x:v>
      </x:c>
      <x:c r="N351" s="25" t="str">
        <x:v>Deepseek-flash-v4/Result/Gson_10/result.json</x:v>
      </x:c>
      <x:c r="O351" s="25" t="str">
        <x:v>Deepseek-flash-v4/Result/Gson_10/result.json</x:v>
      </x:c>
      <x:c r="P351" t="str">
        <x:v>BOTH_NOT_RUN</x:v>
      </x:c>
      <x:c r="Q351" s="21" t="str"/>
      <x:c r="R351" s="21" t="str"/>
      <x:c r="S351" s="21" t="str"/>
      <x:c r="T351" s="17" t="str">
        <x:v>false</x:v>
      </x:c>
      <x:c r="U351" s="17" t="str">
        <x:v>true</x:v>
      </x:c>
      <x:c r="V351" s="17" t="str">
        <x:v>false</x:v>
      </x:c>
    </x:row>
    <x:row r="352" ht="80" customHeight="1">
      <x:c r="A352" s="25" t="str">
        <x:v>Gson</x:v>
      </x:c>
      <x:c r="B352" s="25" t="n">
        <x:v>11</x:v>
      </x:c>
      <x:c r="C352" s="25" t="str">
        <x:v>Round1</x:v>
      </x:c>
      <x:c r="D352" s="25" t="str">
        <x:v>NOT_AVAILABLE</x:v>
      </x:c>
      <x:c r="E352" s="25" t="str">
        <x:v>N/A</x:v>
      </x:c>
      <x:c r="F352" s="26" t="str">
        <x:v>Tests exist but current coverage did not complete</x:v>
      </x:c>
      <x:c r="G352" s="25" t="str">
        <x:v>true</x:v>
      </x:c>
      <x:c r="H352" s="25" t="str">
        <x:v>NOT_AVAILABLE</x:v>
      </x:c>
      <x:c r="I352" s="25" t="str">
        <x:v>NOT_RUN</x:v>
      </x:c>
      <x:c r="J352" s="25" t="str">
        <x:v>NOT_RUN</x:v>
      </x:c>
      <x:c r="K352" s="25" t="n">
        <x:v>1</x:v>
      </x:c>
      <x:c r="L352" s="27" t="b">
        <x:v>0</x:v>
      </x:c>
      <x:c r="M352" s="25" t="str">
        <x:v>Deepseek-flash-v4/state/Round1/shards/Gson.json</x:v>
      </x:c>
      <x:c r="N352" s="25" t="str">
        <x:v>Deepseek-flash-v4/Result/Gson_11/result.json</x:v>
      </x:c>
      <x:c r="O352" s="25" t="str">
        <x:v>Deepseek-flash-v4/Result/Gson_11/result.json</x:v>
      </x:c>
      <x:c r="P352" t="str">
        <x:v>BOTH_NOT_RUN</x:v>
      </x:c>
      <x:c r="Q352" s="21" t="str"/>
      <x:c r="R352" s="21" t="str"/>
      <x:c r="S352" s="21" t="str"/>
      <x:c r="T352" s="17" t="str">
        <x:v>false</x:v>
      </x:c>
      <x:c r="U352" s="17" t="str">
        <x:v>true</x:v>
      </x:c>
      <x:c r="V352" s="17" t="str">
        <x:v>false</x:v>
      </x:c>
    </x:row>
    <x:row r="353" ht="80" customHeight="1">
      <x:c r="A353" s="25" t="str">
        <x:v>Gson</x:v>
      </x:c>
      <x:c r="B353" s="25" t="n">
        <x:v>12</x:v>
      </x:c>
      <x:c r="C353" s="25" t="str">
        <x:v>Round1</x:v>
      </x:c>
      <x:c r="D353" s="25" t="str">
        <x:v>NOT_AVAILABLE</x:v>
      </x:c>
      <x:c r="E353" s="25" t="str">
        <x:v>N/A</x:v>
      </x:c>
      <x:c r="F353" s="26" t="str">
        <x:v>Tests exist but current coverage did not complete</x:v>
      </x:c>
      <x:c r="G353" s="25" t="str">
        <x:v>true</x:v>
      </x:c>
      <x:c r="H353" s="25" t="str">
        <x:v>NOT_AVAILABLE</x:v>
      </x:c>
      <x:c r="I353" s="25" t="str">
        <x:v>NOT_RUN</x:v>
      </x:c>
      <x:c r="J353" s="25" t="str">
        <x:v>NOT_RUN</x:v>
      </x:c>
      <x:c r="K353" s="25" t="n">
        <x:v>1</x:v>
      </x:c>
      <x:c r="L353" s="27" t="b">
        <x:v>0</x:v>
      </x:c>
      <x:c r="M353" s="25" t="str">
        <x:v>Deepseek-flash-v4/state/Round1/shards/Gson.json</x:v>
      </x:c>
      <x:c r="N353" s="25" t="str">
        <x:v>Deepseek-flash-v4/Result/Gson_12/result.json</x:v>
      </x:c>
      <x:c r="O353" s="25" t="str">
        <x:v>Deepseek-flash-v4/Result/Gson_12/result.json</x:v>
      </x:c>
      <x:c r="P353" t="str">
        <x:v>BOTH_NOT_RUN</x:v>
      </x:c>
      <x:c r="Q353" s="21" t="str"/>
      <x:c r="R353" s="21" t="str"/>
      <x:c r="S353" s="21" t="str"/>
      <x:c r="T353" s="17" t="str">
        <x:v>false</x:v>
      </x:c>
      <x:c r="U353" s="17" t="str">
        <x:v>true</x:v>
      </x:c>
      <x:c r="V353" s="17" t="str">
        <x:v>false</x:v>
      </x:c>
    </x:row>
    <x:row r="354" ht="80" customHeight="1">
      <x:c r="A354" s="25" t="str">
        <x:v>Gson</x:v>
      </x:c>
      <x:c r="B354" s="25" t="n">
        <x:v>13</x:v>
      </x:c>
      <x:c r="C354" s="25" t="str">
        <x:v>Round1</x:v>
      </x:c>
      <x:c r="D354" s="25" t="str">
        <x:v>NOT_AVAILABLE</x:v>
      </x:c>
      <x:c r="E354" s="25" t="str">
        <x:v>N/A</x:v>
      </x:c>
      <x:c r="F354" s="26" t="str">
        <x:v>Tests exist but current coverage did not complete</x:v>
      </x:c>
      <x:c r="G354" s="25" t="str">
        <x:v>true</x:v>
      </x:c>
      <x:c r="H354" s="25" t="str">
        <x:v>NOT_AVAILABLE</x:v>
      </x:c>
      <x:c r="I354" s="25" t="str">
        <x:v>NOT_RUN</x:v>
      </x:c>
      <x:c r="J354" s="25" t="str">
        <x:v>NOT_RUN</x:v>
      </x:c>
      <x:c r="K354" s="25" t="n">
        <x:v>1</x:v>
      </x:c>
      <x:c r="L354" s="27" t="b">
        <x:v>0</x:v>
      </x:c>
      <x:c r="M354" s="25" t="str">
        <x:v>Deepseek-flash-v4/state/Round1/shards/Gson.json</x:v>
      </x:c>
      <x:c r="N354" s="25" t="str">
        <x:v>Deepseek-flash-v4/Result/Gson_13/result.json</x:v>
      </x:c>
      <x:c r="O354" s="25" t="str">
        <x:v>Deepseek-flash-v4/Result/Gson_13/result.json</x:v>
      </x:c>
      <x:c r="P354" t="str">
        <x:v>BOTH_NOT_RUN</x:v>
      </x:c>
      <x:c r="Q354" s="21" t="str"/>
      <x:c r="R354" s="21" t="str"/>
      <x:c r="S354" s="21" t="str"/>
      <x:c r="T354" s="17" t="str">
        <x:v>false</x:v>
      </x:c>
      <x:c r="U354" s="17" t="str">
        <x:v>true</x:v>
      </x:c>
      <x:c r="V354" s="17" t="str">
        <x:v>false</x:v>
      </x:c>
    </x:row>
    <x:row r="355" ht="80" customHeight="1">
      <x:c r="A355" s="25" t="str">
        <x:v>Gson</x:v>
      </x:c>
      <x:c r="B355" s="25" t="n">
        <x:v>14</x:v>
      </x:c>
      <x:c r="C355" s="25" t="str">
        <x:v>Round1</x:v>
      </x:c>
      <x:c r="D355" s="25" t="str">
        <x:v>NOT_AVAILABLE</x:v>
      </x:c>
      <x:c r="E355" s="25" t="str">
        <x:v>N/A</x:v>
      </x:c>
      <x:c r="F355" s="26" t="str">
        <x:v>Tests exist but current coverage did not complete</x:v>
      </x:c>
      <x:c r="G355" s="25" t="str">
        <x:v>true</x:v>
      </x:c>
      <x:c r="H355" s="25" t="str">
        <x:v>NOT_AVAILABLE</x:v>
      </x:c>
      <x:c r="I355" s="25" t="str">
        <x:v>NOT_RUN</x:v>
      </x:c>
      <x:c r="J355" s="25" t="str">
        <x:v>NOT_RUN</x:v>
      </x:c>
      <x:c r="K355" s="25" t="n">
        <x:v>1</x:v>
      </x:c>
      <x:c r="L355" s="27" t="b">
        <x:v>0</x:v>
      </x:c>
      <x:c r="M355" s="25" t="str">
        <x:v>Deepseek-flash-v4/state/Round1/shards/Gson.json</x:v>
      </x:c>
      <x:c r="N355" s="25" t="str">
        <x:v>Deepseek-flash-v4/Result/Gson_14/result.json</x:v>
      </x:c>
      <x:c r="O355" s="25" t="str">
        <x:v>Deepseek-flash-v4/Result/Gson_14/result.json</x:v>
      </x:c>
      <x:c r="P355" t="str">
        <x:v>BOTH_NOT_RUN</x:v>
      </x:c>
      <x:c r="Q355" s="21" t="str"/>
      <x:c r="R355" s="21" t="str"/>
      <x:c r="S355" s="21" t="str"/>
      <x:c r="T355" s="17" t="str">
        <x:v>false</x:v>
      </x:c>
      <x:c r="U355" s="17" t="str">
        <x:v>true</x:v>
      </x:c>
      <x:c r="V355" s="17" t="str">
        <x:v>false</x:v>
      </x:c>
    </x:row>
    <x:row r="356" ht="80" customHeight="1">
      <x:c r="A356" s="25" t="str">
        <x:v>Gson</x:v>
      </x:c>
      <x:c r="B356" s="25" t="n">
        <x:v>15</x:v>
      </x:c>
      <x:c r="C356" s="25" t="str">
        <x:v>Round1</x:v>
      </x:c>
      <x:c r="D356" s="25" t="str">
        <x:v>NOT_AVAILABLE</x:v>
      </x:c>
      <x:c r="E356" s="25" t="str">
        <x:v>N/A</x:v>
      </x:c>
      <x:c r="F356" s="26" t="str">
        <x:v>Tests exist but current coverage did not complete</x:v>
      </x:c>
      <x:c r="G356" s="25" t="str">
        <x:v>true</x:v>
      </x:c>
      <x:c r="H356" s="25" t="str">
        <x:v>NOT_AVAILABLE</x:v>
      </x:c>
      <x:c r="I356" s="25" t="str">
        <x:v>NOT_RUN</x:v>
      </x:c>
      <x:c r="J356" s="25" t="str">
        <x:v>NOT_RUN</x:v>
      </x:c>
      <x:c r="K356" s="25" t="n">
        <x:v>1</x:v>
      </x:c>
      <x:c r="L356" s="27" t="b">
        <x:v>0</x:v>
      </x:c>
      <x:c r="M356" s="25" t="str">
        <x:v>Deepseek-flash-v4/state/Round1/shards/Gson.json</x:v>
      </x:c>
      <x:c r="N356" s="25" t="str">
        <x:v>Deepseek-flash-v4/Result/Gson_15/result.json</x:v>
      </x:c>
      <x:c r="O356" s="25" t="str">
        <x:v>Deepseek-flash-v4/Result/Gson_15/result.json</x:v>
      </x:c>
      <x:c r="P356" t="str">
        <x:v>BOTH_NOT_RUN</x:v>
      </x:c>
      <x:c r="Q356" s="21" t="str"/>
      <x:c r="R356" s="21" t="str"/>
      <x:c r="S356" s="21" t="str"/>
      <x:c r="T356" s="17" t="str">
        <x:v>false</x:v>
      </x:c>
      <x:c r="U356" s="17" t="str">
        <x:v>true</x:v>
      </x:c>
      <x:c r="V356" s="17" t="str">
        <x:v>false</x:v>
      </x:c>
    </x:row>
    <x:row r="357" ht="80" customHeight="1">
      <x:c r="A357" s="25" t="str">
        <x:v>Gson</x:v>
      </x:c>
      <x:c r="B357" s="25" t="n">
        <x:v>16</x:v>
      </x:c>
      <x:c r="C357" s="25" t="str">
        <x:v>Round1</x:v>
      </x:c>
      <x:c r="D357" s="25" t="str">
        <x:v>NOT_AVAILABLE</x:v>
      </x:c>
      <x:c r="E357" s="25" t="str">
        <x:v>N/A</x:v>
      </x:c>
      <x:c r="F357" s="26" t="str">
        <x:v>Tests exist but current coverage did not complete</x:v>
      </x:c>
      <x:c r="G357" s="25" t="str">
        <x:v>true</x:v>
      </x:c>
      <x:c r="H357" s="25" t="str">
        <x:v>NOT_AVAILABLE</x:v>
      </x:c>
      <x:c r="I357" s="25" t="str">
        <x:v>NOT_RUN</x:v>
      </x:c>
      <x:c r="J357" s="25" t="str">
        <x:v>NOT_RUN</x:v>
      </x:c>
      <x:c r="K357" s="25" t="n">
        <x:v>1</x:v>
      </x:c>
      <x:c r="L357" s="27" t="b">
        <x:v>0</x:v>
      </x:c>
      <x:c r="M357" s="25" t="str">
        <x:v>Deepseek-flash-v4/state/Round1/shards/Gson.json</x:v>
      </x:c>
      <x:c r="N357" s="25" t="str">
        <x:v>Deepseek-flash-v4/Result/Gson_16/result.json</x:v>
      </x:c>
      <x:c r="O357" s="25" t="str">
        <x:v>Deepseek-flash-v4/Result/Gson_16/result.json</x:v>
      </x:c>
      <x:c r="P357" t="str">
        <x:v>BOTH_NOT_RUN</x:v>
      </x:c>
      <x:c r="Q357" s="21" t="str"/>
      <x:c r="R357" s="21" t="str"/>
      <x:c r="S357" s="21" t="str"/>
      <x:c r="T357" s="17" t="str">
        <x:v>false</x:v>
      </x:c>
      <x:c r="U357" s="17" t="str">
        <x:v>true</x:v>
      </x:c>
      <x:c r="V357" s="17" t="str">
        <x:v>false</x:v>
      </x:c>
    </x:row>
    <x:row r="358" ht="80" customHeight="1">
      <x:c r="A358" s="25" t="str">
        <x:v>Gson</x:v>
      </x:c>
      <x:c r="B358" s="25" t="n">
        <x:v>17</x:v>
      </x:c>
      <x:c r="C358" s="25" t="str">
        <x:v>Round1</x:v>
      </x:c>
      <x:c r="D358" s="25" t="str">
        <x:v>NOT_AVAILABLE</x:v>
      </x:c>
      <x:c r="E358" s="25" t="str">
        <x:v>N/A</x:v>
      </x:c>
      <x:c r="F358" s="26" t="str">
        <x:v>Tests exist but current coverage did not complete</x:v>
      </x:c>
      <x:c r="G358" s="25" t="str">
        <x:v>true</x:v>
      </x:c>
      <x:c r="H358" s="25" t="str">
        <x:v>NOT_AVAILABLE</x:v>
      </x:c>
      <x:c r="I358" s="25" t="str">
        <x:v>NOT_RUN</x:v>
      </x:c>
      <x:c r="J358" s="25" t="str">
        <x:v>NOT_RUN</x:v>
      </x:c>
      <x:c r="K358" s="25" t="n">
        <x:v>1</x:v>
      </x:c>
      <x:c r="L358" s="27" t="b">
        <x:v>0</x:v>
      </x:c>
      <x:c r="M358" s="25" t="str">
        <x:v>Deepseek-flash-v4/state/Round1/shards/Gson.json</x:v>
      </x:c>
      <x:c r="N358" s="25" t="str">
        <x:v>Deepseek-flash-v4/Result/Gson_17/result.json</x:v>
      </x:c>
      <x:c r="O358" s="25" t="str">
        <x:v>Deepseek-flash-v4/Result/Gson_17/result.json</x:v>
      </x:c>
      <x:c r="P358" t="str">
        <x:v>BOTH_NOT_RUN</x:v>
      </x:c>
      <x:c r="Q358" s="21" t="str"/>
      <x:c r="R358" s="21" t="str"/>
      <x:c r="S358" s="21" t="str"/>
      <x:c r="T358" s="17" t="str">
        <x:v>false</x:v>
      </x:c>
      <x:c r="U358" s="17" t="str">
        <x:v>true</x:v>
      </x:c>
      <x:c r="V358" s="17" t="str">
        <x:v>false</x:v>
      </x:c>
    </x:row>
    <x:row r="359" ht="80" customHeight="1">
      <x:c r="A359" s="25" t="str">
        <x:v>Gson</x:v>
      </x:c>
      <x:c r="B359" s="25" t="n">
        <x:v>18</x:v>
      </x:c>
      <x:c r="C359" s="25" t="str">
        <x:v>Round1</x:v>
      </x:c>
      <x:c r="D359" s="25" t="str">
        <x:v>NOT_AVAILABLE</x:v>
      </x:c>
      <x:c r="E359" s="25" t="str">
        <x:v>N/A</x:v>
      </x:c>
      <x:c r="F359" s="26" t="str">
        <x:v>Tests exist but current coverage did not complete</x:v>
      </x:c>
      <x:c r="G359" s="25" t="str">
        <x:v>true</x:v>
      </x:c>
      <x:c r="H359" s="25" t="str">
        <x:v>NOT_AVAILABLE</x:v>
      </x:c>
      <x:c r="I359" s="25" t="str">
        <x:v>NOT_RUN</x:v>
      </x:c>
      <x:c r="J359" s="25" t="str">
        <x:v>NOT_RUN</x:v>
      </x:c>
      <x:c r="K359" s="25" t="n">
        <x:v>1</x:v>
      </x:c>
      <x:c r="L359" s="27" t="b">
        <x:v>0</x:v>
      </x:c>
      <x:c r="M359" s="25" t="str">
        <x:v>Deepseek-flash-v4/state/Round1/shards/Gson.json</x:v>
      </x:c>
      <x:c r="N359" s="25" t="str">
        <x:v>Deepseek-flash-v4/Result/Gson_18/result.json</x:v>
      </x:c>
      <x:c r="O359" s="25" t="str">
        <x:v>Deepseek-flash-v4/Result/Gson_18/result.json</x:v>
      </x:c>
      <x:c r="P359" t="str">
        <x:v>BOTH_NOT_RUN</x:v>
      </x:c>
      <x:c r="Q359" s="21" t="str"/>
      <x:c r="R359" s="21" t="str"/>
      <x:c r="S359" s="21" t="str"/>
      <x:c r="T359" s="17" t="str">
        <x:v>false</x:v>
      </x:c>
      <x:c r="U359" s="17" t="str">
        <x:v>true</x:v>
      </x:c>
      <x:c r="V359" s="17" t="str">
        <x:v>false</x:v>
      </x:c>
    </x:row>
    <x:row r="360" ht="80" customHeight="1">
      <x:c r="A360" s="25" t="str">
        <x:v>Gson</x:v>
      </x:c>
      <x:c r="B360" s="25" t="n">
        <x:v>2</x:v>
      </x:c>
      <x:c r="C360" s="25" t="str">
        <x:v>Round1</x:v>
      </x:c>
      <x:c r="D360" s="25" t="str">
        <x:v>NOT_AVAILABLE</x:v>
      </x:c>
      <x:c r="E360" s="25" t="str">
        <x:v>N/A</x:v>
      </x:c>
      <x:c r="F360" s="26" t="str">
        <x:v>Tests exist but current coverage did not complete</x:v>
      </x:c>
      <x:c r="G360" s="25" t="str">
        <x:v>true</x:v>
      </x:c>
      <x:c r="H360" s="25" t="str">
        <x:v>NOT_AVAILABLE</x:v>
      </x:c>
      <x:c r="I360" s="25" t="str">
        <x:v>NOT_RUN</x:v>
      </x:c>
      <x:c r="J360" s="25" t="str">
        <x:v>NOT_RUN</x:v>
      </x:c>
      <x:c r="K360" s="25" t="n">
        <x:v>1</x:v>
      </x:c>
      <x:c r="L360" s="27" t="b">
        <x:v>0</x:v>
      </x:c>
      <x:c r="M360" s="25" t="str">
        <x:v>Deepseek-flash-v4/state/Round1/shards/Gson.json</x:v>
      </x:c>
      <x:c r="N360" s="25" t="str">
        <x:v>Deepseek-flash-v4/Result/Gson_2/result.json</x:v>
      </x:c>
      <x:c r="O360" s="25" t="str">
        <x:v>Deepseek-flash-v4/Result/Gson_2/result.json</x:v>
      </x:c>
      <x:c r="P360" t="str">
        <x:v>BOTH_NOT_RUN</x:v>
      </x:c>
      <x:c r="Q360" s="21" t="str"/>
      <x:c r="R360" s="21" t="str"/>
      <x:c r="S360" s="21" t="str"/>
      <x:c r="T360" s="17" t="str">
        <x:v>false</x:v>
      </x:c>
      <x:c r="U360" s="17" t="str">
        <x:v>true</x:v>
      </x:c>
      <x:c r="V360" s="17" t="str">
        <x:v>false</x:v>
      </x:c>
    </x:row>
    <x:row r="361" ht="80" customHeight="1">
      <x:c r="A361" s="25" t="str">
        <x:v>Gson</x:v>
      </x:c>
      <x:c r="B361" s="25" t="n">
        <x:v>3</x:v>
      </x:c>
      <x:c r="C361" s="25" t="str">
        <x:v>Round1</x:v>
      </x:c>
      <x:c r="D361" s="25" t="str">
        <x:v>INCONCLUSIVE</x:v>
      </x:c>
      <x:c r="E361" s="25" t="str">
        <x:v>N/A</x:v>
      </x:c>
      <x:c r="F361" s="26" t="str">
        <x:v>Fixed also failed; assertion failure cannot be attributed to this bug</x:v>
      </x:c>
      <x:c r="G361" s="25" t="str">
        <x:v>true</x:v>
      </x:c>
      <x:c r="H361" s="25" t="str">
        <x:v>INCONCLUSIVE</x:v>
      </x:c>
      <x:c r="I361" s="25" t="str">
        <x:v>FAIL</x:v>
      </x:c>
      <x:c r="J361" s="25" t="str">
        <x:v>FAIL</x:v>
      </x:c>
      <x:c r="K361" s="25" t="n">
        <x:v>1</x:v>
      </x:c>
      <x:c r="L361" s="27" t="b">
        <x:v>0</x:v>
      </x:c>
      <x:c r="M361" s="25" t="str">
        <x:v>Deepseek-flash-v4/state/Round1/shards/Gson.json</x:v>
      </x:c>
      <x:c r="N361" s="25" t="str">
        <x:v>Deepseek-flash-v4/Result/Gson_3/result.json</x:v>
      </x:c>
      <x:c r="O361" s="25" t="str">
        <x:v>Deepseek-flash-v4/Result/Gson_3/result.json</x:v>
      </x:c>
      <x:c r="P361"/>
      <x:c r="Q361" s="21" t="str"/>
      <x:c r="R361" s="21" t="str"/>
      <x:c r="S361" s="21" t="str"/>
      <x:c r="T361" s="17" t="str">
        <x:v>false</x:v>
      </x:c>
      <x:c r="U361" s="17" t="str">
        <x:v>true</x:v>
      </x:c>
      <x:c r="V361" s="17" t="str">
        <x:v>false</x:v>
      </x:c>
    </x:row>
    <x:row r="362" ht="80" customHeight="1">
      <x:c r="A362" s="25" t="str">
        <x:v>Gson</x:v>
      </x:c>
      <x:c r="B362" s="25" t="n">
        <x:v>4</x:v>
      </x:c>
      <x:c r="C362" s="25" t="str">
        <x:v>Round1</x:v>
      </x:c>
      <x:c r="D362" s="25" t="str">
        <x:v>NOT_AVAILABLE</x:v>
      </x:c>
      <x:c r="E362" s="25" t="str">
        <x:v>N/A</x:v>
      </x:c>
      <x:c r="F362" s="26" t="str">
        <x:v>Tests exist but current coverage did not complete</x:v>
      </x:c>
      <x:c r="G362" s="25" t="str">
        <x:v>true</x:v>
      </x:c>
      <x:c r="H362" s="25" t="str">
        <x:v>NOT_AVAILABLE</x:v>
      </x:c>
      <x:c r="I362" s="25" t="str">
        <x:v>NOT_RUN</x:v>
      </x:c>
      <x:c r="J362" s="25" t="str">
        <x:v>NOT_RUN</x:v>
      </x:c>
      <x:c r="K362" s="25" t="n">
        <x:v>2</x:v>
      </x:c>
      <x:c r="L362" s="27" t="b">
        <x:v>0</x:v>
      </x:c>
      <x:c r="M362" s="25" t="str">
        <x:v>Deepseek-flash-v4/state/Round1/shards/Gson.json</x:v>
      </x:c>
      <x:c r="N362" s="25" t="str">
        <x:v>Deepseek-flash-v4/Result/Gson_4/result.json</x:v>
      </x:c>
      <x:c r="O362" s="25" t="str">
        <x:v>Deepseek-flash-v4/Result/Gson_4/result.json</x:v>
      </x:c>
      <x:c r="P362" t="str">
        <x:v>BOTH_NOT_RUN</x:v>
      </x:c>
      <x:c r="Q362" s="21" t="str"/>
      <x:c r="R362" s="21" t="str"/>
      <x:c r="S362" s="21" t="str"/>
      <x:c r="T362" s="17" t="str">
        <x:v>false</x:v>
      </x:c>
      <x:c r="U362" s="17" t="str">
        <x:v>true</x:v>
      </x:c>
      <x:c r="V362" s="17" t="str">
        <x:v>false</x:v>
      </x:c>
    </x:row>
    <x:row r="363" ht="80" customHeight="1">
      <x:c r="A363" s="25" t="str">
        <x:v>Gson</x:v>
      </x:c>
      <x:c r="B363" s="25" t="n">
        <x:v>5</x:v>
      </x:c>
      <x:c r="C363" s="25" t="str">
        <x:v>Round1</x:v>
      </x:c>
      <x:c r="D363" s="25" t="str">
        <x:v>INCONCLUSIVE</x:v>
      </x:c>
      <x:c r="E363" s="25" t="str">
        <x:v>N/A</x:v>
      </x:c>
      <x:c r="F363" s="26" t="str">
        <x:v>Fixed also failed; assertion failure cannot be attributed to this bug</x:v>
      </x:c>
      <x:c r="G363" s="25" t="str">
        <x:v>true</x:v>
      </x:c>
      <x:c r="H363" s="25" t="str">
        <x:v>INCONCLUSIVE</x:v>
      </x:c>
      <x:c r="I363" s="25" t="str">
        <x:v>FAIL</x:v>
      </x:c>
      <x:c r="J363" s="25" t="str">
        <x:v>FAIL</x:v>
      </x:c>
      <x:c r="K363" s="25" t="n">
        <x:v>1</x:v>
      </x:c>
      <x:c r="L363" s="27" t="b">
        <x:v>0</x:v>
      </x:c>
      <x:c r="M363" s="25" t="str">
        <x:v>Deepseek-flash-v4/state/Round1/shards/Gson.json</x:v>
      </x:c>
      <x:c r="N363" s="25" t="str">
        <x:v>Deepseek-flash-v4/Result/Gson_5/result.json</x:v>
      </x:c>
      <x:c r="O363" s="25" t="str">
        <x:v>Deepseek-flash-v4/Result/Gson_5/result.json</x:v>
      </x:c>
      <x:c r="P363"/>
      <x:c r="Q363" s="21" t="str"/>
      <x:c r="R363" s="21" t="str"/>
      <x:c r="S363" s="21" t="str"/>
      <x:c r="T363" s="17" t="str">
        <x:v>false</x:v>
      </x:c>
      <x:c r="U363" s="17" t="str">
        <x:v>true</x:v>
      </x:c>
      <x:c r="V363" s="17" t="str">
        <x:v>false</x:v>
      </x:c>
    </x:row>
    <x:row r="364" ht="80" customHeight="1">
      <x:c r="A364" s="25" t="str">
        <x:v>Gson</x:v>
      </x:c>
      <x:c r="B364" s="25" t="n">
        <x:v>6</x:v>
      </x:c>
      <x:c r="C364" s="25" t="str">
        <x:v>Round1</x:v>
      </x:c>
      <x:c r="D364" s="25" t="str">
        <x:v>NOT_AVAILABLE</x:v>
      </x:c>
      <x:c r="E364" s="25" t="str">
        <x:v>N/A</x:v>
      </x:c>
      <x:c r="F364" s="26" t="str">
        <x:v>Tests exist but current coverage did not complete</x:v>
      </x:c>
      <x:c r="G364" s="25" t="str">
        <x:v>true</x:v>
      </x:c>
      <x:c r="H364" s="25" t="str">
        <x:v>NOT_AVAILABLE</x:v>
      </x:c>
      <x:c r="I364" s="25" t="str">
        <x:v>NOT_RUN</x:v>
      </x:c>
      <x:c r="J364" s="25" t="str">
        <x:v>NOT_RUN</x:v>
      </x:c>
      <x:c r="K364" s="25" t="n">
        <x:v>1</x:v>
      </x:c>
      <x:c r="L364" s="27" t="b">
        <x:v>0</x:v>
      </x:c>
      <x:c r="M364" s="25" t="str">
        <x:v>Deepseek-flash-v4/state/Round1/shards/Gson.json</x:v>
      </x:c>
      <x:c r="N364" s="25" t="str">
        <x:v>Deepseek-flash-v4/Result/Gson_6/result.json</x:v>
      </x:c>
      <x:c r="O364" s="25" t="str">
        <x:v>Deepseek-flash-v4/Result/Gson_6/result.json</x:v>
      </x:c>
      <x:c r="P364" t="str">
        <x:v>BOTH_NOT_RUN</x:v>
      </x:c>
      <x:c r="Q364" s="21" t="str"/>
      <x:c r="R364" s="21" t="str"/>
      <x:c r="S364" s="21" t="str"/>
      <x:c r="T364" s="17" t="str">
        <x:v>false</x:v>
      </x:c>
      <x:c r="U364" s="17" t="str">
        <x:v>true</x:v>
      </x:c>
      <x:c r="V364" s="17" t="str">
        <x:v>false</x:v>
      </x:c>
    </x:row>
    <x:row r="365" ht="80" customHeight="1">
      <x:c r="A365" s="25" t="str">
        <x:v>Gson</x:v>
      </x:c>
      <x:c r="B365" s="25" t="n">
        <x:v>7</x:v>
      </x:c>
      <x:c r="C365" s="25" t="str">
        <x:v>Round1</x:v>
      </x:c>
      <x:c r="D365" s="25" t="str">
        <x:v>NOT_AVAILABLE</x:v>
      </x:c>
      <x:c r="E365" s="25" t="str">
        <x:v>N/A</x:v>
      </x:c>
      <x:c r="F365" s="26" t="str">
        <x:v>Tests exist but current coverage did not complete</x:v>
      </x:c>
      <x:c r="G365" s="25" t="str">
        <x:v>true</x:v>
      </x:c>
      <x:c r="H365" s="25" t="str">
        <x:v>NOT_AVAILABLE</x:v>
      </x:c>
      <x:c r="I365" s="25" t="str">
        <x:v>NOT_RUN</x:v>
      </x:c>
      <x:c r="J365" s="25" t="str">
        <x:v>NOT_RUN</x:v>
      </x:c>
      <x:c r="K365" s="25" t="n">
        <x:v>1</x:v>
      </x:c>
      <x:c r="L365" s="27" t="b">
        <x:v>0</x:v>
      </x:c>
      <x:c r="M365" s="25" t="str">
        <x:v>Deepseek-flash-v4/state/Round1/shards/Gson.json</x:v>
      </x:c>
      <x:c r="N365" s="25" t="str">
        <x:v>Deepseek-flash-v4/Result/Gson_7/result.json</x:v>
      </x:c>
      <x:c r="O365" s="25" t="str">
        <x:v>Deepseek-flash-v4/Result/Gson_7/result.json</x:v>
      </x:c>
      <x:c r="P365" t="str">
        <x:v>BOTH_NOT_RUN</x:v>
      </x:c>
      <x:c r="Q365" s="21" t="str"/>
      <x:c r="R365" s="21" t="str"/>
      <x:c r="S365" s="21" t="str"/>
      <x:c r="T365" s="17" t="str">
        <x:v>false</x:v>
      </x:c>
      <x:c r="U365" s="17" t="str">
        <x:v>true</x:v>
      </x:c>
      <x:c r="V365" s="17" t="str">
        <x:v>false</x:v>
      </x:c>
    </x:row>
    <x:row r="366" ht="80" customHeight="1">
      <x:c r="A366" s="25" t="str">
        <x:v>Gson</x:v>
      </x:c>
      <x:c r="B366" s="25" t="n">
        <x:v>8</x:v>
      </x:c>
      <x:c r="C366" s="25" t="str">
        <x:v>Round1</x:v>
      </x:c>
      <x:c r="D366" s="25" t="str">
        <x:v>NOT_REVEALING</x:v>
      </x:c>
      <x:c r="E366" s="25" t="str">
        <x:v>N/A</x:v>
      </x:c>
      <x:c r="F366" s="26" t="str">
        <x:v>Same saved validation suite passed on buggy and fixed</x:v>
      </x:c>
      <x:c r="G366" s="25" t="str">
        <x:v>true</x:v>
      </x:c>
      <x:c r="H366" s="25" t="str">
        <x:v>NOT_REVEALING</x:v>
      </x:c>
      <x:c r="I366" s="25" t="str">
        <x:v>PASS</x:v>
      </x:c>
      <x:c r="J366" s="25" t="str">
        <x:v>PASS</x:v>
      </x:c>
      <x:c r="K366" s="25" t="n">
        <x:v>1</x:v>
      </x:c>
      <x:c r="L366" s="27" t="b">
        <x:v>0</x:v>
      </x:c>
      <x:c r="M366" s="25" t="str">
        <x:v>Deepseek-flash-v4/state/Round1/shards/Gson.json</x:v>
      </x:c>
      <x:c r="N366" s="25" t="str">
        <x:v>Deepseek-flash-v4/Result/Gson_8/result.json</x:v>
      </x:c>
      <x:c r="O366" s="25" t="str">
        <x:v>Deepseek-flash-v4/Result/Gson_8/result.json</x:v>
      </x:c>
      <x:c r="P366"/>
      <x:c r="Q366" s="21" t="str"/>
      <x:c r="R366" s="21" t="str"/>
      <x:c r="S366" s="21" t="str"/>
      <x:c r="T366" s="17" t="str">
        <x:v>false</x:v>
      </x:c>
      <x:c r="U366" s="17" t="str">
        <x:v>true</x:v>
      </x:c>
      <x:c r="V366" s="17" t="str">
        <x:v>false</x:v>
      </x:c>
    </x:row>
    <x:row r="367" ht="80" customHeight="1">
      <x:c r="A367" s="25" t="str">
        <x:v>Gson</x:v>
      </x:c>
      <x:c r="B367" s="25" t="n">
        <x:v>9</x:v>
      </x:c>
      <x:c r="C367" s="25" t="str">
        <x:v>Round1</x:v>
      </x:c>
      <x:c r="D367" s="25" t="str">
        <x:v>NOT_AVAILABLE</x:v>
      </x:c>
      <x:c r="E367" s="25" t="str">
        <x:v>N/A</x:v>
      </x:c>
      <x:c r="F367" s="26" t="str">
        <x:v>Tests exist but current coverage did not complete</x:v>
      </x:c>
      <x:c r="G367" s="25" t="str">
        <x:v>true</x:v>
      </x:c>
      <x:c r="H367" s="25" t="str">
        <x:v>NOT_AVAILABLE</x:v>
      </x:c>
      <x:c r="I367" s="25" t="str">
        <x:v>NOT_RUN</x:v>
      </x:c>
      <x:c r="J367" s="25" t="str">
        <x:v>NOT_RUN</x:v>
      </x:c>
      <x:c r="K367" s="25" t="n">
        <x:v>3</x:v>
      </x:c>
      <x:c r="L367" s="27" t="b">
        <x:v>0</x:v>
      </x:c>
      <x:c r="M367" s="25" t="str">
        <x:v>Deepseek-flash-v4/state/Round1/shards/Gson.json</x:v>
      </x:c>
      <x:c r="N367" s="25" t="str">
        <x:v>Deepseek-flash-v4/Result/Gson_9/result.json</x:v>
      </x:c>
      <x:c r="O367" s="25" t="str">
        <x:v>Deepseek-flash-v4/Result/Gson_9/result.json</x:v>
      </x:c>
      <x:c r="P367" t="str">
        <x:v>BOTH_NOT_RUN</x:v>
      </x:c>
      <x:c r="Q367" s="21" t="str"/>
      <x:c r="R367" s="21" t="str"/>
      <x:c r="S367" s="21" t="str"/>
      <x:c r="T367" s="17" t="str">
        <x:v>false</x:v>
      </x:c>
      <x:c r="U367" s="17" t="str">
        <x:v>true</x:v>
      </x:c>
      <x:c r="V367" s="17" t="str">
        <x:v>false</x:v>
      </x:c>
    </x:row>
    <x:row r="368" ht="80" customHeight="1">
      <x:c r="A368" s="25" t="str">
        <x:v>JacksonCore</x:v>
      </x:c>
      <x:c r="B368" s="25" t="n">
        <x:v>1</x:v>
      </x:c>
      <x:c r="C368" s="25" t="str">
        <x:v>Round1</x:v>
      </x:c>
      <x:c r="D368" s="25" t="str">
        <x:v>NOT_AVAILABLE</x:v>
      </x:c>
      <x:c r="E368" s="25" t="str">
        <x:v>N/A</x:v>
      </x:c>
      <x:c r="F368" s="26" t="str">
        <x:v>Tests exist but current coverage did not complete</x:v>
      </x:c>
      <x:c r="G368" s="25" t="str">
        <x:v>true</x:v>
      </x:c>
      <x:c r="H368" s="25" t="str">
        <x:v>NOT_AVAILABLE</x:v>
      </x:c>
      <x:c r="I368" s="25" t="str">
        <x:v>NOT_RUN</x:v>
      </x:c>
      <x:c r="J368" s="25" t="str">
        <x:v>NOT_RUN</x:v>
      </x:c>
      <x:c r="K368" s="25" t="n">
        <x:v>2</x:v>
      </x:c>
      <x:c r="L368" s="27" t="b">
        <x:v>0</x:v>
      </x:c>
      <x:c r="M368" s="25" t="str">
        <x:v>Deepseek-flash-v4/state/Round1/shards/JacksonCore.json</x:v>
      </x:c>
      <x:c r="N368" s="25" t="str">
        <x:v>Deepseek-flash-v4/Result/JacksonCore_1/result.json</x:v>
      </x:c>
      <x:c r="O368" s="25" t="str">
        <x:v>Deepseek-flash-v4/Result/JacksonCore_1/result.json</x:v>
      </x:c>
      <x:c r="P368" t="str">
        <x:v>BOTH_NOT_RUN</x:v>
      </x:c>
      <x:c r="Q368" s="21" t="str"/>
      <x:c r="R368" s="21" t="str"/>
      <x:c r="S368" s="21" t="str"/>
      <x:c r="T368" s="17" t="str">
        <x:v>false</x:v>
      </x:c>
      <x:c r="U368" s="17" t="str">
        <x:v>true</x:v>
      </x:c>
      <x:c r="V368" s="17" t="str">
        <x:v>false</x:v>
      </x:c>
    </x:row>
    <x:row r="369" ht="80" customHeight="1">
      <x:c r="A369" s="25" t="str">
        <x:v>JacksonCore</x:v>
      </x:c>
      <x:c r="B369" s="25" t="n">
        <x:v>10</x:v>
      </x:c>
      <x:c r="C369" s="25" t="str">
        <x:v>Round1</x:v>
      </x:c>
      <x:c r="D369" s="25" t="str">
        <x:v>NOT_AVAILABLE</x:v>
      </x:c>
      <x:c r="E369" s="25" t="str">
        <x:v>N/A</x:v>
      </x:c>
      <x:c r="F369" s="26" t="str">
        <x:v>Tests exist but current coverage did not complete</x:v>
      </x:c>
      <x:c r="G369" s="25" t="str">
        <x:v>true</x:v>
      </x:c>
      <x:c r="H369" s="25" t="str">
        <x:v>NOT_AVAILABLE</x:v>
      </x:c>
      <x:c r="I369" s="25" t="str">
        <x:v>NOT_RUN</x:v>
      </x:c>
      <x:c r="J369" s="25" t="str">
        <x:v>NOT_RUN</x:v>
      </x:c>
      <x:c r="K369" s="25" t="n">
        <x:v>1</x:v>
      </x:c>
      <x:c r="L369" s="27" t="b">
        <x:v>0</x:v>
      </x:c>
      <x:c r="M369" s="25" t="str">
        <x:v>Deepseek-flash-v4/state/Round1/shards/JacksonCore.json</x:v>
      </x:c>
      <x:c r="N369" s="25" t="str">
        <x:v>Deepseek-flash-v4/Result/JacksonCore_10/result.json</x:v>
      </x:c>
      <x:c r="O369" s="25" t="str">
        <x:v>Deepseek-flash-v4/Result/JacksonCore_10/result.json</x:v>
      </x:c>
      <x:c r="P369" t="str">
        <x:v>BOTH_NOT_RUN</x:v>
      </x:c>
      <x:c r="Q369" s="21" t="str"/>
      <x:c r="R369" s="21" t="str"/>
      <x:c r="S369" s="21" t="str"/>
      <x:c r="T369" s="17" t="str">
        <x:v>false</x:v>
      </x:c>
      <x:c r="U369" s="17" t="str">
        <x:v>true</x:v>
      </x:c>
      <x:c r="V369" s="17" t="str">
        <x:v>false</x:v>
      </x:c>
    </x:row>
    <x:row r="370" ht="80" customHeight="1">
      <x:c r="A370" s="25" t="str">
        <x:v>JacksonCore</x:v>
      </x:c>
      <x:c r="B370" s="25" t="n">
        <x:v>11</x:v>
      </x:c>
      <x:c r="C370" s="25" t="str">
        <x:v>Round1</x:v>
      </x:c>
      <x:c r="D370" s="25" t="str">
        <x:v>INCONCLUSIVE</x:v>
      </x:c>
      <x:c r="E370" s="25" t="str">
        <x:v>N/A</x:v>
      </x:c>
      <x:c r="F370" s="26" t="str">
        <x:v>Fixed also failed; assertion failure cannot be attributed to this bug</x:v>
      </x:c>
      <x:c r="G370" s="25" t="str">
        <x:v>true</x:v>
      </x:c>
      <x:c r="H370" s="25" t="str">
        <x:v>INCONCLUSIVE</x:v>
      </x:c>
      <x:c r="I370" s="25" t="str">
        <x:v>FAIL</x:v>
      </x:c>
      <x:c r="J370" s="25" t="str">
        <x:v>FAIL</x:v>
      </x:c>
      <x:c r="K370" s="25" t="n">
        <x:v>1</x:v>
      </x:c>
      <x:c r="L370" s="27" t="b">
        <x:v>0</x:v>
      </x:c>
      <x:c r="M370" s="25" t="str">
        <x:v>Deepseek-flash-v4/state/Round1/shards/JacksonCore.json</x:v>
      </x:c>
      <x:c r="N370" s="25" t="str">
        <x:v>Deepseek-flash-v4/Result/JacksonCore_11/result.json</x:v>
      </x:c>
      <x:c r="O370" s="25" t="str">
        <x:v>Deepseek-flash-v4/Result/JacksonCore_11/result.json</x:v>
      </x:c>
      <x:c r="P370"/>
      <x:c r="Q370" s="21" t="str"/>
      <x:c r="R370" s="21" t="str"/>
      <x:c r="S370" s="21" t="str"/>
      <x:c r="T370" s="17" t="str">
        <x:v>false</x:v>
      </x:c>
      <x:c r="U370" s="17" t="str">
        <x:v>true</x:v>
      </x:c>
      <x:c r="V370" s="17" t="str">
        <x:v>false</x:v>
      </x:c>
    </x:row>
    <x:row r="371" ht="80" customHeight="1">
      <x:c r="A371" s="25" t="str">
        <x:v>JacksonCore</x:v>
      </x:c>
      <x:c r="B371" s="25" t="n">
        <x:v>12</x:v>
      </x:c>
      <x:c r="C371" s="25" t="str">
        <x:v>Round1</x:v>
      </x:c>
      <x:c r="D371" s="25" t="str">
        <x:v>NOT_AVAILABLE</x:v>
      </x:c>
      <x:c r="E371" s="25" t="str">
        <x:v>N/A</x:v>
      </x:c>
      <x:c r="F371" s="26" t="str">
        <x:v>Tests exist but current coverage did not complete</x:v>
      </x:c>
      <x:c r="G371" s="25" t="str">
        <x:v>true</x:v>
      </x:c>
      <x:c r="H371" s="25" t="str">
        <x:v>NOT_AVAILABLE</x:v>
      </x:c>
      <x:c r="I371" s="25" t="str">
        <x:v>NOT_RUN</x:v>
      </x:c>
      <x:c r="J371" s="25" t="str">
        <x:v>NOT_RUN</x:v>
      </x:c>
      <x:c r="K371" s="25" t="n">
        <x:v>2</x:v>
      </x:c>
      <x:c r="L371" s="27" t="b">
        <x:v>0</x:v>
      </x:c>
      <x:c r="M371" s="25" t="str">
        <x:v>Deepseek-flash-v4/state/Round1/shards/JacksonCore.json</x:v>
      </x:c>
      <x:c r="N371" s="25" t="str">
        <x:v>Deepseek-flash-v4/Result/JacksonCore_12/result.json</x:v>
      </x:c>
      <x:c r="O371" s="25" t="str">
        <x:v>Deepseek-flash-v4/Result/JacksonCore_12/result.json</x:v>
      </x:c>
      <x:c r="P371" t="str">
        <x:v>BOTH_NOT_RUN</x:v>
      </x:c>
      <x:c r="Q371" s="21" t="str"/>
      <x:c r="R371" s="21" t="str"/>
      <x:c r="S371" s="21" t="str"/>
      <x:c r="T371" s="17" t="str">
        <x:v>false</x:v>
      </x:c>
      <x:c r="U371" s="17" t="str">
        <x:v>true</x:v>
      </x:c>
      <x:c r="V371" s="17" t="str">
        <x:v>false</x:v>
      </x:c>
    </x:row>
    <x:row r="372" ht="80" customHeight="1">
      <x:c r="A372" s="25" t="str">
        <x:v>JacksonCore</x:v>
      </x:c>
      <x:c r="B372" s="25" t="n">
        <x:v>13</x:v>
      </x:c>
      <x:c r="C372" s="25" t="str">
        <x:v>Round1</x:v>
      </x:c>
      <x:c r="D372" s="25" t="str">
        <x:v>NOT_AVAILABLE</x:v>
      </x:c>
      <x:c r="E372" s="25" t="str">
        <x:v>N/A</x:v>
      </x:c>
      <x:c r="F372" s="26" t="str">
        <x:v>Tests exist but current coverage did not complete</x:v>
      </x:c>
      <x:c r="G372" s="25" t="str">
        <x:v>true</x:v>
      </x:c>
      <x:c r="H372" s="25" t="str">
        <x:v>NOT_AVAILABLE</x:v>
      </x:c>
      <x:c r="I372" s="25" t="str">
        <x:v>NOT_RUN</x:v>
      </x:c>
      <x:c r="J372" s="25" t="str">
        <x:v>NOT_RUN</x:v>
      </x:c>
      <x:c r="K372" s="25" t="n">
        <x:v>1</x:v>
      </x:c>
      <x:c r="L372" s="27" t="b">
        <x:v>0</x:v>
      </x:c>
      <x:c r="M372" s="25" t="str">
        <x:v>Deepseek-flash-v4/state/Round1/shards/JacksonCore.json</x:v>
      </x:c>
      <x:c r="N372" s="25" t="str">
        <x:v>Deepseek-flash-v4/Result/JacksonCore_13/result.json</x:v>
      </x:c>
      <x:c r="O372" s="25" t="str">
        <x:v>Deepseek-flash-v4/Result/JacksonCore_13/result.json</x:v>
      </x:c>
      <x:c r="P372" t="str">
        <x:v>BOTH_NOT_RUN</x:v>
      </x:c>
      <x:c r="Q372" s="21" t="str"/>
      <x:c r="R372" s="21" t="str"/>
      <x:c r="S372" s="21" t="str"/>
      <x:c r="T372" s="17" t="str">
        <x:v>false</x:v>
      </x:c>
      <x:c r="U372" s="17" t="str">
        <x:v>true</x:v>
      </x:c>
      <x:c r="V372" s="17" t="str">
        <x:v>false</x:v>
      </x:c>
    </x:row>
    <x:row r="373" ht="80" customHeight="1">
      <x:c r="A373" s="25" t="str">
        <x:v>JacksonCore</x:v>
      </x:c>
      <x:c r="B373" s="25" t="n">
        <x:v>14</x:v>
      </x:c>
      <x:c r="C373" s="25" t="str">
        <x:v>Round1</x:v>
      </x:c>
      <x:c r="D373" s="25" t="str">
        <x:v>NOT_AVAILABLE</x:v>
      </x:c>
      <x:c r="E373" s="25" t="str">
        <x:v>N/A</x:v>
      </x:c>
      <x:c r="F373" s="26" t="str">
        <x:v>Tests exist but current coverage did not complete</x:v>
      </x:c>
      <x:c r="G373" s="25" t="str">
        <x:v>true</x:v>
      </x:c>
      <x:c r="H373" s="25" t="str">
        <x:v>NOT_AVAILABLE</x:v>
      </x:c>
      <x:c r="I373" s="25" t="str">
        <x:v>NOT_RUN</x:v>
      </x:c>
      <x:c r="J373" s="25" t="str">
        <x:v>NOT_RUN</x:v>
      </x:c>
      <x:c r="K373" s="25" t="n">
        <x:v>1</x:v>
      </x:c>
      <x:c r="L373" s="27" t="b">
        <x:v>0</x:v>
      </x:c>
      <x:c r="M373" s="25" t="str">
        <x:v>Deepseek-flash-v4/state/Round1/shards/JacksonCore.json</x:v>
      </x:c>
      <x:c r="N373" s="25" t="str">
        <x:v>Deepseek-flash-v4/Result/JacksonCore_14/result.json</x:v>
      </x:c>
      <x:c r="O373" s="25" t="str">
        <x:v>Deepseek-flash-v4/Result/JacksonCore_14/result.json</x:v>
      </x:c>
      <x:c r="P373" t="str">
        <x:v>BOTH_NOT_RUN</x:v>
      </x:c>
      <x:c r="Q373" s="21" t="str"/>
      <x:c r="R373" s="21" t="str"/>
      <x:c r="S373" s="21" t="str"/>
      <x:c r="T373" s="17" t="str">
        <x:v>false</x:v>
      </x:c>
      <x:c r="U373" s="17" t="str">
        <x:v>true</x:v>
      </x:c>
      <x:c r="V373" s="17" t="str">
        <x:v>false</x:v>
      </x:c>
    </x:row>
    <x:row r="374" ht="80" customHeight="1">
      <x:c r="A374" s="25" t="str">
        <x:v>JacksonCore</x:v>
      </x:c>
      <x:c r="B374" s="25" t="n">
        <x:v>15</x:v>
      </x:c>
      <x:c r="C374" s="25" t="str">
        <x:v>Round1</x:v>
      </x:c>
      <x:c r="D374" s="25" t="str">
        <x:v>NOT_AVAILABLE</x:v>
      </x:c>
      <x:c r="E374" s="25" t="str">
        <x:v>N/A</x:v>
      </x:c>
      <x:c r="F374" s="26" t="str">
        <x:v>Tests exist but current coverage did not complete</x:v>
      </x:c>
      <x:c r="G374" s="25" t="str">
        <x:v>true</x:v>
      </x:c>
      <x:c r="H374" s="25" t="str">
        <x:v>NOT_AVAILABLE</x:v>
      </x:c>
      <x:c r="I374" s="25" t="str">
        <x:v>NOT_RUN</x:v>
      </x:c>
      <x:c r="J374" s="25" t="str">
        <x:v>NOT_RUN</x:v>
      </x:c>
      <x:c r="K374" s="25" t="n">
        <x:v>1</x:v>
      </x:c>
      <x:c r="L374" s="27" t="b">
        <x:v>0</x:v>
      </x:c>
      <x:c r="M374" s="25" t="str">
        <x:v>Deepseek-flash-v4/state/Round1/shards/JacksonCore.json</x:v>
      </x:c>
      <x:c r="N374" s="25" t="str">
        <x:v>Deepseek-flash-v4/Result/JacksonCore_15/result.json</x:v>
      </x:c>
      <x:c r="O374" s="25" t="str">
        <x:v>Deepseek-flash-v4/Result/JacksonCore_15/result.json</x:v>
      </x:c>
      <x:c r="P374" t="str">
        <x:v>BOTH_NOT_RUN</x:v>
      </x:c>
      <x:c r="Q374" s="21" t="str"/>
      <x:c r="R374" s="21" t="str"/>
      <x:c r="S374" s="21" t="str"/>
      <x:c r="T374" s="17" t="str">
        <x:v>false</x:v>
      </x:c>
      <x:c r="U374" s="17" t="str">
        <x:v>true</x:v>
      </x:c>
      <x:c r="V374" s="17" t="str">
        <x:v>false</x:v>
      </x:c>
    </x:row>
    <x:row r="375" ht="80" customHeight="1">
      <x:c r="A375" s="25" t="str">
        <x:v>JacksonCore</x:v>
      </x:c>
      <x:c r="B375" s="25" t="n">
        <x:v>16</x:v>
      </x:c>
      <x:c r="C375" s="25" t="str">
        <x:v>Round1</x:v>
      </x:c>
      <x:c r="D375" s="25" t="str">
        <x:v>NOT_AVAILABLE</x:v>
      </x:c>
      <x:c r="E375" s="25" t="str">
        <x:v>N/A</x:v>
      </x:c>
      <x:c r="F375" s="26" t="str">
        <x:v>Tests exist but current coverage did not complete</x:v>
      </x:c>
      <x:c r="G375" s="25" t="str">
        <x:v>true</x:v>
      </x:c>
      <x:c r="H375" s="25" t="str">
        <x:v>NOT_AVAILABLE</x:v>
      </x:c>
      <x:c r="I375" s="25" t="str">
        <x:v>NOT_RUN</x:v>
      </x:c>
      <x:c r="J375" s="25" t="str">
        <x:v>NOT_RUN</x:v>
      </x:c>
      <x:c r="K375" s="25" t="n">
        <x:v>1</x:v>
      </x:c>
      <x:c r="L375" s="27" t="b">
        <x:v>0</x:v>
      </x:c>
      <x:c r="M375" s="25" t="str">
        <x:v>Deepseek-flash-v4/state/Round1/shards/JacksonCore.json</x:v>
      </x:c>
      <x:c r="N375" s="25" t="str">
        <x:v>Deepseek-flash-v4/Result/JacksonCore_16/result.json</x:v>
      </x:c>
      <x:c r="O375" s="25" t="str">
        <x:v>Deepseek-flash-v4/Result/JacksonCore_16/result.json</x:v>
      </x:c>
      <x:c r="P375" t="str">
        <x:v>BOTH_NOT_RUN</x:v>
      </x:c>
      <x:c r="Q375" s="21" t="str"/>
      <x:c r="R375" s="21" t="str"/>
      <x:c r="S375" s="21" t="str"/>
      <x:c r="T375" s="17" t="str">
        <x:v>false</x:v>
      </x:c>
      <x:c r="U375" s="17" t="str">
        <x:v>true</x:v>
      </x:c>
      <x:c r="V375" s="17" t="str">
        <x:v>false</x:v>
      </x:c>
    </x:row>
    <x:row r="376" ht="80" customHeight="1">
      <x:c r="A376" s="25" t="str">
        <x:v>JacksonCore</x:v>
      </x:c>
      <x:c r="B376" s="25" t="n">
        <x:v>17</x:v>
      </x:c>
      <x:c r="C376" s="25" t="str">
        <x:v>Round1</x:v>
      </x:c>
      <x:c r="D376" s="25" t="str">
        <x:v>NOT_AVAILABLE</x:v>
      </x:c>
      <x:c r="E376" s="25" t="str">
        <x:v>N/A</x:v>
      </x:c>
      <x:c r="F376" s="26" t="str">
        <x:v>Tests exist but current coverage did not complete</x:v>
      </x:c>
      <x:c r="G376" s="25" t="str">
        <x:v>true</x:v>
      </x:c>
      <x:c r="H376" s="25" t="str">
        <x:v>NOT_AVAILABLE</x:v>
      </x:c>
      <x:c r="I376" s="25" t="str">
        <x:v>NOT_RUN</x:v>
      </x:c>
      <x:c r="J376" s="25" t="str">
        <x:v>NOT_RUN</x:v>
      </x:c>
      <x:c r="K376" s="25" t="n">
        <x:v>1</x:v>
      </x:c>
      <x:c r="L376" s="27" t="b">
        <x:v>0</x:v>
      </x:c>
      <x:c r="M376" s="25" t="str">
        <x:v>Deepseek-flash-v4/state/Round1/shards/JacksonCore.json</x:v>
      </x:c>
      <x:c r="N376" s="25" t="str">
        <x:v>Deepseek-flash-v4/Result/JacksonCore_17/result.json</x:v>
      </x:c>
      <x:c r="O376" s="25" t="str">
        <x:v>Deepseek-flash-v4/Result/JacksonCore_17/result.json</x:v>
      </x:c>
      <x:c r="P376" t="str">
        <x:v>BOTH_NOT_RUN</x:v>
      </x:c>
      <x:c r="Q376" s="21" t="str"/>
      <x:c r="R376" s="21" t="str"/>
      <x:c r="S376" s="21" t="str"/>
      <x:c r="T376" s="17" t="str">
        <x:v>false</x:v>
      </x:c>
      <x:c r="U376" s="17" t="str">
        <x:v>true</x:v>
      </x:c>
      <x:c r="V376" s="17" t="str">
        <x:v>false</x:v>
      </x:c>
    </x:row>
    <x:row r="377" ht="80" customHeight="1">
      <x:c r="A377" s="25" t="str">
        <x:v>JacksonCore</x:v>
      </x:c>
      <x:c r="B377" s="25" t="n">
        <x:v>18</x:v>
      </x:c>
      <x:c r="C377" s="25" t="str">
        <x:v>Round1</x:v>
      </x:c>
      <x:c r="D377" s="25" t="str">
        <x:v>NOT_AVAILABLE</x:v>
      </x:c>
      <x:c r="E377" s="25" t="str">
        <x:v>N/A</x:v>
      </x:c>
      <x:c r="F377" s="26" t="str">
        <x:v>Tests exist but current coverage did not complete</x:v>
      </x:c>
      <x:c r="G377" s="25" t="str">
        <x:v>true</x:v>
      </x:c>
      <x:c r="H377" s="25" t="str">
        <x:v>NOT_AVAILABLE</x:v>
      </x:c>
      <x:c r="I377" s="25" t="str">
        <x:v>NOT_RUN</x:v>
      </x:c>
      <x:c r="J377" s="25" t="str">
        <x:v>NOT_RUN</x:v>
      </x:c>
      <x:c r="K377" s="25" t="n">
        <x:v>3</x:v>
      </x:c>
      <x:c r="L377" s="27" t="b">
        <x:v>0</x:v>
      </x:c>
      <x:c r="M377" s="25" t="str">
        <x:v>Deepseek-flash-v4/state/Round1/shards/JacksonCore.json</x:v>
      </x:c>
      <x:c r="N377" s="25" t="str">
        <x:v>Deepseek-flash-v4/Result/JacksonCore_18/result.json</x:v>
      </x:c>
      <x:c r="O377" s="25" t="str">
        <x:v>Deepseek-flash-v4/Result/JacksonCore_18/result.json</x:v>
      </x:c>
      <x:c r="P377" t="str">
        <x:v>BOTH_NOT_RUN</x:v>
      </x:c>
      <x:c r="Q377" s="21" t="str"/>
      <x:c r="R377" s="21" t="str"/>
      <x:c r="S377" s="21" t="str"/>
      <x:c r="T377" s="17" t="str">
        <x:v>false</x:v>
      </x:c>
      <x:c r="U377" s="17" t="str">
        <x:v>true</x:v>
      </x:c>
      <x:c r="V377" s="17" t="str">
        <x:v>false</x:v>
      </x:c>
    </x:row>
    <x:row r="378" ht="80" customHeight="1">
      <x:c r="A378" s="25" t="str">
        <x:v>JacksonCore</x:v>
      </x:c>
      <x:c r="B378" s="25" t="n">
        <x:v>19</x:v>
      </x:c>
      <x:c r="C378" s="25" t="str">
        <x:v>Round1</x:v>
      </x:c>
      <x:c r="D378" s="25" t="str">
        <x:v>NOT_AVAILABLE</x:v>
      </x:c>
      <x:c r="E378" s="25" t="str">
        <x:v>N/A</x:v>
      </x:c>
      <x:c r="F378" s="26" t="str">
        <x:v>Tests exist but current coverage did not complete</x:v>
      </x:c>
      <x:c r="G378" s="25" t="str">
        <x:v>true</x:v>
      </x:c>
      <x:c r="H378" s="25" t="str">
        <x:v>NOT_AVAILABLE</x:v>
      </x:c>
      <x:c r="I378" s="25" t="str">
        <x:v>NOT_RUN</x:v>
      </x:c>
      <x:c r="J378" s="25" t="str">
        <x:v>NOT_RUN</x:v>
      </x:c>
      <x:c r="K378" s="25" t="n">
        <x:v>2</x:v>
      </x:c>
      <x:c r="L378" s="27" t="b">
        <x:v>0</x:v>
      </x:c>
      <x:c r="M378" s="25" t="str">
        <x:v>Deepseek-flash-v4/state/Round1/shards/JacksonCore.json</x:v>
      </x:c>
      <x:c r="N378" s="25" t="str">
        <x:v>Deepseek-flash-v4/Result/JacksonCore_19/result.json</x:v>
      </x:c>
      <x:c r="O378" s="25" t="str">
        <x:v>Deepseek-flash-v4/Result/JacksonCore_19/result.json</x:v>
      </x:c>
      <x:c r="P378" t="str">
        <x:v>BOTH_NOT_RUN</x:v>
      </x:c>
      <x:c r="Q378" s="21" t="str"/>
      <x:c r="R378" s="21" t="str"/>
      <x:c r="S378" s="21" t="str"/>
      <x:c r="T378" s="17" t="str">
        <x:v>false</x:v>
      </x:c>
      <x:c r="U378" s="17" t="str">
        <x:v>true</x:v>
      </x:c>
      <x:c r="V378" s="17" t="str">
        <x:v>false</x:v>
      </x:c>
    </x:row>
    <x:row r="379" ht="80" customHeight="1">
      <x:c r="A379" s="25" t="str">
        <x:v>JacksonCore</x:v>
      </x:c>
      <x:c r="B379" s="25" t="n">
        <x:v>2</x:v>
      </x:c>
      <x:c r="C379" s="25" t="str">
        <x:v>Round1</x:v>
      </x:c>
      <x:c r="D379" s="25" t="str">
        <x:v>NOT_AVAILABLE</x:v>
      </x:c>
      <x:c r="E379" s="25" t="str">
        <x:v>N/A</x:v>
      </x:c>
      <x:c r="F379" s="26" t="str">
        <x:v>Tests exist but current coverage did not complete</x:v>
      </x:c>
      <x:c r="G379" s="25" t="str">
        <x:v>true</x:v>
      </x:c>
      <x:c r="H379" s="25" t="str">
        <x:v>NOT_AVAILABLE</x:v>
      </x:c>
      <x:c r="I379" s="25" t="str">
        <x:v>NOT_RUN</x:v>
      </x:c>
      <x:c r="J379" s="25" t="str">
        <x:v>NOT_RUN</x:v>
      </x:c>
      <x:c r="K379" s="25" t="n">
        <x:v>2</x:v>
      </x:c>
      <x:c r="L379" s="27" t="b">
        <x:v>0</x:v>
      </x:c>
      <x:c r="M379" s="25" t="str">
        <x:v>Deepseek-flash-v4/state/Round1/shards/JacksonCore.json</x:v>
      </x:c>
      <x:c r="N379" s="25" t="str">
        <x:v>Deepseek-flash-v4/Result/JacksonCore_2/result.json</x:v>
      </x:c>
      <x:c r="O379" s="25" t="str">
        <x:v>Deepseek-flash-v4/Result/JacksonCore_2/result.json</x:v>
      </x:c>
      <x:c r="P379" t="str">
        <x:v>BOTH_NOT_RUN</x:v>
      </x:c>
      <x:c r="Q379" s="21" t="str"/>
      <x:c r="R379" s="21" t="str"/>
      <x:c r="S379" s="21" t="str"/>
      <x:c r="T379" s="17" t="str">
        <x:v>false</x:v>
      </x:c>
      <x:c r="U379" s="17" t="str">
        <x:v>true</x:v>
      </x:c>
      <x:c r="V379" s="17" t="str">
        <x:v>false</x:v>
      </x:c>
    </x:row>
    <x:row r="380" ht="80" customHeight="1">
      <x:c r="A380" s="25" t="str">
        <x:v>JacksonCore</x:v>
      </x:c>
      <x:c r="B380" s="25" t="n">
        <x:v>20</x:v>
      </x:c>
      <x:c r="C380" s="25" t="str">
        <x:v>Round1</x:v>
      </x:c>
      <x:c r="D380" s="25" t="str">
        <x:v>NOT_AVAILABLE</x:v>
      </x:c>
      <x:c r="E380" s="25" t="str">
        <x:v>N/A</x:v>
      </x:c>
      <x:c r="F380" s="26" t="str">
        <x:v>Tests exist but current coverage did not complete</x:v>
      </x:c>
      <x:c r="G380" s="25" t="str">
        <x:v>true</x:v>
      </x:c>
      <x:c r="H380" s="25" t="str">
        <x:v>NOT_AVAILABLE</x:v>
      </x:c>
      <x:c r="I380" s="25" t="str">
        <x:v>NOT_RUN</x:v>
      </x:c>
      <x:c r="J380" s="25" t="str">
        <x:v>NOT_RUN</x:v>
      </x:c>
      <x:c r="K380" s="25" t="n">
        <x:v>1</x:v>
      </x:c>
      <x:c r="L380" s="27" t="b">
        <x:v>0</x:v>
      </x:c>
      <x:c r="M380" s="25" t="str">
        <x:v>Deepseek-flash-v4/state/Round1/shards/JacksonCore.json</x:v>
      </x:c>
      <x:c r="N380" s="25" t="str">
        <x:v>Deepseek-flash-v4/Result/JacksonCore_20/result.json</x:v>
      </x:c>
      <x:c r="O380" s="25" t="str">
        <x:v>Deepseek-flash-v4/Result/JacksonCore_20/result.json</x:v>
      </x:c>
      <x:c r="P380" t="str">
        <x:v>BOTH_NOT_RUN</x:v>
      </x:c>
      <x:c r="Q380" s="21" t="str"/>
      <x:c r="R380" s="21" t="str"/>
      <x:c r="S380" s="21" t="str"/>
      <x:c r="T380" s="17" t="str">
        <x:v>false</x:v>
      </x:c>
      <x:c r="U380" s="17" t="str">
        <x:v>true</x:v>
      </x:c>
      <x:c r="V380" s="17" t="str">
        <x:v>false</x:v>
      </x:c>
    </x:row>
    <x:row r="381" ht="80" customHeight="1">
      <x:c r="A381" s="25" t="str">
        <x:v>JacksonCore</x:v>
      </x:c>
      <x:c r="B381" s="25" t="n">
        <x:v>21</x:v>
      </x:c>
      <x:c r="C381" s="25" t="str">
        <x:v>Round1</x:v>
      </x:c>
      <x:c r="D381" s="25" t="str">
        <x:v>NOT_AVAILABLE</x:v>
      </x:c>
      <x:c r="E381" s="25" t="str">
        <x:v>N/A</x:v>
      </x:c>
      <x:c r="F381" s="26" t="str">
        <x:v>Tests exist but current coverage did not complete</x:v>
      </x:c>
      <x:c r="G381" s="25" t="str">
        <x:v>true</x:v>
      </x:c>
      <x:c r="H381" s="25" t="str">
        <x:v>NOT_AVAILABLE</x:v>
      </x:c>
      <x:c r="I381" s="25" t="str">
        <x:v>NOT_RUN</x:v>
      </x:c>
      <x:c r="J381" s="25" t="str">
        <x:v>NOT_RUN</x:v>
      </x:c>
      <x:c r="K381" s="25" t="n">
        <x:v>1</x:v>
      </x:c>
      <x:c r="L381" s="27" t="b">
        <x:v>0</x:v>
      </x:c>
      <x:c r="M381" s="25" t="str">
        <x:v>Deepseek-flash-v4/state/Round1/shards/JacksonCore.json</x:v>
      </x:c>
      <x:c r="N381" s="25" t="str">
        <x:v>Deepseek-flash-v4/Result/JacksonCore_21/result.json</x:v>
      </x:c>
      <x:c r="O381" s="25" t="str">
        <x:v>Deepseek-flash-v4/Result/JacksonCore_21/result.json</x:v>
      </x:c>
      <x:c r="P381" t="str">
        <x:v>BOTH_NOT_RUN</x:v>
      </x:c>
      <x:c r="Q381" s="21" t="str"/>
      <x:c r="R381" s="21" t="str"/>
      <x:c r="S381" s="21" t="str"/>
      <x:c r="T381" s="17" t="str">
        <x:v>false</x:v>
      </x:c>
      <x:c r="U381" s="17" t="str">
        <x:v>true</x:v>
      </x:c>
      <x:c r="V381" s="17" t="str">
        <x:v>false</x:v>
      </x:c>
    </x:row>
    <x:row r="382" ht="80" customHeight="1">
      <x:c r="A382" s="25" t="str">
        <x:v>JacksonCore</x:v>
      </x:c>
      <x:c r="B382" s="25" t="n">
        <x:v>22</x:v>
      </x:c>
      <x:c r="C382" s="25" t="str">
        <x:v>Round1</x:v>
      </x:c>
      <x:c r="D382" s="25" t="str">
        <x:v>NOT_AVAILABLE</x:v>
      </x:c>
      <x:c r="E382" s="25" t="str">
        <x:v>N/A</x:v>
      </x:c>
      <x:c r="F382" s="26" t="str">
        <x:v>Tests exist but current coverage did not complete</x:v>
      </x:c>
      <x:c r="G382" s="25" t="str">
        <x:v>true</x:v>
      </x:c>
      <x:c r="H382" s="25" t="str">
        <x:v>NOT_AVAILABLE</x:v>
      </x:c>
      <x:c r="I382" s="25" t="str">
        <x:v>NOT_RUN</x:v>
      </x:c>
      <x:c r="J382" s="25" t="str">
        <x:v>NOT_RUN</x:v>
      </x:c>
      <x:c r="K382" s="25" t="n">
        <x:v>1</x:v>
      </x:c>
      <x:c r="L382" s="27" t="b">
        <x:v>0</x:v>
      </x:c>
      <x:c r="M382" s="25" t="str">
        <x:v>Deepseek-flash-v4/state/Round1/shards/JacksonCore.json</x:v>
      </x:c>
      <x:c r="N382" s="25" t="str">
        <x:v>Deepseek-flash-v4/Result/JacksonCore_22/result.json</x:v>
      </x:c>
      <x:c r="O382" s="25" t="str">
        <x:v>Deepseek-flash-v4/Result/JacksonCore_22/result.json</x:v>
      </x:c>
      <x:c r="P382" t="str">
        <x:v>BOTH_NOT_RUN</x:v>
      </x:c>
      <x:c r="Q382" s="21" t="str"/>
      <x:c r="R382" s="21" t="str"/>
      <x:c r="S382" s="21" t="str"/>
      <x:c r="T382" s="17" t="str">
        <x:v>false</x:v>
      </x:c>
      <x:c r="U382" s="17" t="str">
        <x:v>true</x:v>
      </x:c>
      <x:c r="V382" s="17" t="str">
        <x:v>false</x:v>
      </x:c>
    </x:row>
    <x:row r="383" ht="80" customHeight="1">
      <x:c r="A383" s="25" t="str">
        <x:v>JacksonCore</x:v>
      </x:c>
      <x:c r="B383" s="25" t="n">
        <x:v>23</x:v>
      </x:c>
      <x:c r="C383" s="25" t="str">
        <x:v>Round1</x:v>
      </x:c>
      <x:c r="D383" s="25" t="str">
        <x:v>NOT_AVAILABLE</x:v>
      </x:c>
      <x:c r="E383" s="25" t="str">
        <x:v>N/A</x:v>
      </x:c>
      <x:c r="F383" s="26" t="str">
        <x:v>Tests exist but current coverage did not complete</x:v>
      </x:c>
      <x:c r="G383" s="25" t="str">
        <x:v>true</x:v>
      </x:c>
      <x:c r="H383" s="25" t="str">
        <x:v>NOT_AVAILABLE</x:v>
      </x:c>
      <x:c r="I383" s="25" t="str">
        <x:v>NOT_RUN</x:v>
      </x:c>
      <x:c r="J383" s="25" t="str">
        <x:v>NOT_RUN</x:v>
      </x:c>
      <x:c r="K383" s="25" t="n">
        <x:v>1</x:v>
      </x:c>
      <x:c r="L383" s="27" t="b">
        <x:v>0</x:v>
      </x:c>
      <x:c r="M383" s="25" t="str">
        <x:v>Deepseek-flash-v4/state/Round1/shards/JacksonCore.json</x:v>
      </x:c>
      <x:c r="N383" s="25" t="str">
        <x:v>Deepseek-flash-v4/Result/JacksonCore_23/result.json</x:v>
      </x:c>
      <x:c r="O383" s="25" t="str">
        <x:v>Deepseek-flash-v4/Result/JacksonCore_23/result.json</x:v>
      </x:c>
      <x:c r="P383" t="str">
        <x:v>BOTH_NOT_RUN</x:v>
      </x:c>
      <x:c r="Q383" s="21" t="str"/>
      <x:c r="R383" s="21" t="str"/>
      <x:c r="S383" s="21" t="str"/>
      <x:c r="T383" s="17" t="str">
        <x:v>false</x:v>
      </x:c>
      <x:c r="U383" s="17" t="str">
        <x:v>true</x:v>
      </x:c>
      <x:c r="V383" s="17" t="str">
        <x:v>false</x:v>
      </x:c>
    </x:row>
    <x:row r="384" ht="80" customHeight="1">
      <x:c r="A384" s="25" t="str">
        <x:v>JacksonCore</x:v>
      </x:c>
      <x:c r="B384" s="25" t="n">
        <x:v>24</x:v>
      </x:c>
      <x:c r="C384" s="25" t="str">
        <x:v>Round1</x:v>
      </x:c>
      <x:c r="D384" s="25" t="str">
        <x:v>NOT_AVAILABLE</x:v>
      </x:c>
      <x:c r="E384" s="25" t="str">
        <x:v>N/A</x:v>
      </x:c>
      <x:c r="F384" s="26" t="str">
        <x:v>Tests exist but current coverage did not complete</x:v>
      </x:c>
      <x:c r="G384" s="25" t="str">
        <x:v>true</x:v>
      </x:c>
      <x:c r="H384" s="25" t="str">
        <x:v>NOT_AVAILABLE</x:v>
      </x:c>
      <x:c r="I384" s="25" t="str">
        <x:v>NOT_RUN</x:v>
      </x:c>
      <x:c r="J384" s="25" t="str">
        <x:v>NOT_RUN</x:v>
      </x:c>
      <x:c r="K384" s="25" t="n">
        <x:v>2</x:v>
      </x:c>
      <x:c r="L384" s="27" t="b">
        <x:v>0</x:v>
      </x:c>
      <x:c r="M384" s="25" t="str">
        <x:v>Deepseek-flash-v4/state/Round1/shards/JacksonCore.json</x:v>
      </x:c>
      <x:c r="N384" s="25" t="str">
        <x:v>Deepseek-flash-v4/Result/JacksonCore_24/result.json</x:v>
      </x:c>
      <x:c r="O384" s="25" t="str">
        <x:v>Deepseek-flash-v4/Result/JacksonCore_24/result.json</x:v>
      </x:c>
      <x:c r="P384" t="str">
        <x:v>BOTH_NOT_RUN</x:v>
      </x:c>
      <x:c r="Q384" s="21" t="str"/>
      <x:c r="R384" s="21" t="str"/>
      <x:c r="S384" s="21" t="str"/>
      <x:c r="T384" s="17" t="str">
        <x:v>false</x:v>
      </x:c>
      <x:c r="U384" s="17" t="str">
        <x:v>true</x:v>
      </x:c>
      <x:c r="V384" s="17" t="str">
        <x:v>false</x:v>
      </x:c>
    </x:row>
    <x:row r="385" ht="80" customHeight="1">
      <x:c r="A385" s="25" t="str">
        <x:v>JacksonCore</x:v>
      </x:c>
      <x:c r="B385" s="25" t="n">
        <x:v>25</x:v>
      </x:c>
      <x:c r="C385" s="25" t="str">
        <x:v>Round1</x:v>
      </x:c>
      <x:c r="D385" s="25" t="str">
        <x:v>NOT_AVAILABLE</x:v>
      </x:c>
      <x:c r="E385" s="25" t="str">
        <x:v>N/A</x:v>
      </x:c>
      <x:c r="F385" s="26" t="str">
        <x:v>Tests exist but current coverage did not complete</x:v>
      </x:c>
      <x:c r="G385" s="25" t="str">
        <x:v>true</x:v>
      </x:c>
      <x:c r="H385" s="25" t="str">
        <x:v>NOT_AVAILABLE</x:v>
      </x:c>
      <x:c r="I385" s="25" t="str">
        <x:v>NOT_RUN</x:v>
      </x:c>
      <x:c r="J385" s="25" t="str">
        <x:v>NOT_RUN</x:v>
      </x:c>
      <x:c r="K385" s="25" t="n">
        <x:v>1</x:v>
      </x:c>
      <x:c r="L385" s="27" t="b">
        <x:v>0</x:v>
      </x:c>
      <x:c r="M385" s="25" t="str">
        <x:v>Deepseek-flash-v4/state/Round1/shards/JacksonCore.json</x:v>
      </x:c>
      <x:c r="N385" s="25" t="str">
        <x:v>Deepseek-flash-v4/Result/JacksonCore_25/result.json</x:v>
      </x:c>
      <x:c r="O385" s="25" t="str">
        <x:v>Deepseek-flash-v4/Result/JacksonCore_25/result.json</x:v>
      </x:c>
      <x:c r="P385" t="str">
        <x:v>BOTH_NOT_RUN</x:v>
      </x:c>
      <x:c r="Q385" s="21" t="str"/>
      <x:c r="R385" s="21" t="str"/>
      <x:c r="S385" s="21" t="str"/>
      <x:c r="T385" s="17" t="str">
        <x:v>false</x:v>
      </x:c>
      <x:c r="U385" s="17" t="str">
        <x:v>true</x:v>
      </x:c>
      <x:c r="V385" s="17" t="str">
        <x:v>false</x:v>
      </x:c>
    </x:row>
    <x:row r="386" ht="80" customHeight="1">
      <x:c r="A386" s="25" t="str">
        <x:v>JacksonCore</x:v>
      </x:c>
      <x:c r="B386" s="25" t="n">
        <x:v>26</x:v>
      </x:c>
      <x:c r="C386" s="25" t="str">
        <x:v>Round1</x:v>
      </x:c>
      <x:c r="D386" s="25" t="str">
        <x:v>INCONCLUSIVE</x:v>
      </x:c>
      <x:c r="E386" s="25" t="str">
        <x:v>N/A</x:v>
      </x:c>
      <x:c r="F386" s="26" t="str">
        <x:v>Fixed also failed; assertion failure cannot be attributed to this bug</x:v>
      </x:c>
      <x:c r="G386" s="25" t="str">
        <x:v>true</x:v>
      </x:c>
      <x:c r="H386" s="25" t="str">
        <x:v>INCONCLUSIVE</x:v>
      </x:c>
      <x:c r="I386" s="25" t="str">
        <x:v>FAIL</x:v>
      </x:c>
      <x:c r="J386" s="25" t="str">
        <x:v>FAIL</x:v>
      </x:c>
      <x:c r="K386" s="25" t="n">
        <x:v>1</x:v>
      </x:c>
      <x:c r="L386" s="27" t="b">
        <x:v>0</x:v>
      </x:c>
      <x:c r="M386" s="25" t="str">
        <x:v>Deepseek-flash-v4/state/Round1/shards/JacksonCore.json</x:v>
      </x:c>
      <x:c r="N386" s="25" t="str">
        <x:v>Deepseek-flash-v4/Result/JacksonCore_26/result.json</x:v>
      </x:c>
      <x:c r="O386" s="25" t="str">
        <x:v>Deepseek-flash-v4/Result/JacksonCore_26/result.json</x:v>
      </x:c>
      <x:c r="P386"/>
      <x:c r="Q386" s="21" t="str"/>
      <x:c r="R386" s="21" t="str"/>
      <x:c r="S386" s="21" t="str"/>
      <x:c r="T386" s="17" t="str">
        <x:v>false</x:v>
      </x:c>
      <x:c r="U386" s="17" t="str">
        <x:v>true</x:v>
      </x:c>
      <x:c r="V386" s="17" t="str">
        <x:v>false</x:v>
      </x:c>
    </x:row>
    <x:row r="387" ht="80" customHeight="1">
      <x:c r="A387" s="25" t="str">
        <x:v>JacksonCore</x:v>
      </x:c>
      <x:c r="B387" s="25" t="n">
        <x:v>3</x:v>
      </x:c>
      <x:c r="C387" s="25" t="str">
        <x:v>Round1</x:v>
      </x:c>
      <x:c r="D387" s="25" t="str">
        <x:v>NOT_AVAILABLE</x:v>
      </x:c>
      <x:c r="E387" s="25" t="str">
        <x:v>N/A</x:v>
      </x:c>
      <x:c r="F387" s="26" t="str">
        <x:v>Tests exist but current coverage did not complete</x:v>
      </x:c>
      <x:c r="G387" s="25" t="str">
        <x:v>true</x:v>
      </x:c>
      <x:c r="H387" s="25" t="str">
        <x:v>NOT_AVAILABLE</x:v>
      </x:c>
      <x:c r="I387" s="25" t="str">
        <x:v>NOT_RUN</x:v>
      </x:c>
      <x:c r="J387" s="25" t="str">
        <x:v>NOT_RUN</x:v>
      </x:c>
      <x:c r="K387" s="25" t="n">
        <x:v>1</x:v>
      </x:c>
      <x:c r="L387" s="27" t="b">
        <x:v>0</x:v>
      </x:c>
      <x:c r="M387" s="25" t="str">
        <x:v>Deepseek-flash-v4/state/Round1/shards/JacksonCore.json</x:v>
      </x:c>
      <x:c r="N387" s="25" t="str">
        <x:v>Deepseek-flash-v4/Result/JacksonCore_3/result.json</x:v>
      </x:c>
      <x:c r="O387" s="25" t="str">
        <x:v>Deepseek-flash-v4/Result/JacksonCore_3/result.json</x:v>
      </x:c>
      <x:c r="P387" t="str">
        <x:v>BOTH_NOT_RUN</x:v>
      </x:c>
      <x:c r="Q387" s="21" t="str"/>
      <x:c r="R387" s="21" t="str"/>
      <x:c r="S387" s="21" t="str"/>
      <x:c r="T387" s="17" t="str">
        <x:v>false</x:v>
      </x:c>
      <x:c r="U387" s="17" t="str">
        <x:v>true</x:v>
      </x:c>
      <x:c r="V387" s="17" t="str">
        <x:v>false</x:v>
      </x:c>
    </x:row>
    <x:row r="388" ht="80" customHeight="1">
      <x:c r="A388" s="25" t="str">
        <x:v>JacksonCore</x:v>
      </x:c>
      <x:c r="B388" s="25" t="n">
        <x:v>4</x:v>
      </x:c>
      <x:c r="C388" s="25" t="str">
        <x:v>Round1</x:v>
      </x:c>
      <x:c r="D388" s="25" t="str">
        <x:v>NOT_AVAILABLE</x:v>
      </x:c>
      <x:c r="E388" s="25" t="str">
        <x:v>N/A</x:v>
      </x:c>
      <x:c r="F388" s="26" t="str">
        <x:v>Tests exist but current coverage did not complete</x:v>
      </x:c>
      <x:c r="G388" s="25" t="str">
        <x:v>true</x:v>
      </x:c>
      <x:c r="H388" s="25" t="str">
        <x:v>NOT_AVAILABLE</x:v>
      </x:c>
      <x:c r="I388" s="25" t="str">
        <x:v>NOT_RUN</x:v>
      </x:c>
      <x:c r="J388" s="25" t="str">
        <x:v>NOT_RUN</x:v>
      </x:c>
      <x:c r="K388" s="25" t="n">
        <x:v>1</x:v>
      </x:c>
      <x:c r="L388" s="27" t="b">
        <x:v>0</x:v>
      </x:c>
      <x:c r="M388" s="25" t="str">
        <x:v>Deepseek-flash-v4/state/Round1/shards/JacksonCore.json</x:v>
      </x:c>
      <x:c r="N388" s="25" t="str">
        <x:v>Deepseek-flash-v4/Result/JacksonCore_4/result.json</x:v>
      </x:c>
      <x:c r="O388" s="25" t="str">
        <x:v>Deepseek-flash-v4/Result/JacksonCore_4/result.json</x:v>
      </x:c>
      <x:c r="P388" t="str">
        <x:v>BOTH_NOT_RUN</x:v>
      </x:c>
      <x:c r="Q388" s="21" t="str"/>
      <x:c r="R388" s="21" t="str"/>
      <x:c r="S388" s="21" t="str"/>
      <x:c r="T388" s="17" t="str">
        <x:v>false</x:v>
      </x:c>
      <x:c r="U388" s="17" t="str">
        <x:v>true</x:v>
      </x:c>
      <x:c r="V388" s="17" t="str">
        <x:v>false</x:v>
      </x:c>
    </x:row>
    <x:row r="389" ht="80" customHeight="1">
      <x:c r="A389" s="25" t="str">
        <x:v>JacksonCore</x:v>
      </x:c>
      <x:c r="B389" s="25" t="n">
        <x:v>5</x:v>
      </x:c>
      <x:c r="C389" s="25" t="str">
        <x:v>Round1</x:v>
      </x:c>
      <x:c r="D389" s="25" t="str">
        <x:v>NOT_AVAILABLE</x:v>
      </x:c>
      <x:c r="E389" s="25" t="str">
        <x:v>N/A</x:v>
      </x:c>
      <x:c r="F389" s="26" t="str">
        <x:v>Tests exist but current coverage did not complete</x:v>
      </x:c>
      <x:c r="G389" s="25" t="str">
        <x:v>true</x:v>
      </x:c>
      <x:c r="H389" s="25" t="str">
        <x:v>NOT_AVAILABLE</x:v>
      </x:c>
      <x:c r="I389" s="25" t="str">
        <x:v>NOT_RUN</x:v>
      </x:c>
      <x:c r="J389" s="25" t="str">
        <x:v>NOT_RUN</x:v>
      </x:c>
      <x:c r="K389" s="25" t="n">
        <x:v>1</x:v>
      </x:c>
      <x:c r="L389" s="27" t="b">
        <x:v>0</x:v>
      </x:c>
      <x:c r="M389" s="25" t="str">
        <x:v>Deepseek-flash-v4/state/Round1/shards/JacksonCore.json</x:v>
      </x:c>
      <x:c r="N389" s="25" t="str">
        <x:v>Deepseek-flash-v4/Result/JacksonCore_5/result.json</x:v>
      </x:c>
      <x:c r="O389" s="25" t="str">
        <x:v>Deepseek-flash-v4/Result/JacksonCore_5/result.json</x:v>
      </x:c>
      <x:c r="P389" t="str">
        <x:v>BOTH_NOT_RUN</x:v>
      </x:c>
      <x:c r="Q389" s="21" t="str"/>
      <x:c r="R389" s="21" t="str"/>
      <x:c r="S389" s="21" t="str"/>
      <x:c r="T389" s="17" t="str">
        <x:v>false</x:v>
      </x:c>
      <x:c r="U389" s="17" t="str">
        <x:v>true</x:v>
      </x:c>
      <x:c r="V389" s="17" t="str">
        <x:v>false</x:v>
      </x:c>
    </x:row>
    <x:row r="390" ht="80" customHeight="1">
      <x:c r="A390" s="25" t="str">
        <x:v>JacksonCore</x:v>
      </x:c>
      <x:c r="B390" s="25" t="n">
        <x:v>6</x:v>
      </x:c>
      <x:c r="C390" s="25" t="str">
        <x:v>Round1</x:v>
      </x:c>
      <x:c r="D390" s="25" t="str">
        <x:v>INCONCLUSIVE</x:v>
      </x:c>
      <x:c r="E390" s="25" t="str">
        <x:v>N/A</x:v>
      </x:c>
      <x:c r="F390" s="26" t="str">
        <x:v>Fixed also failed; assertion failure cannot be attributed to this bug</x:v>
      </x:c>
      <x:c r="G390" s="25" t="str">
        <x:v>true</x:v>
      </x:c>
      <x:c r="H390" s="25" t="str">
        <x:v>INCONCLUSIVE</x:v>
      </x:c>
      <x:c r="I390" s="25" t="str">
        <x:v>FAIL</x:v>
      </x:c>
      <x:c r="J390" s="25" t="str">
        <x:v>FAIL</x:v>
      </x:c>
      <x:c r="K390" s="25" t="n">
        <x:v>1</x:v>
      </x:c>
      <x:c r="L390" s="27" t="b">
        <x:v>0</x:v>
      </x:c>
      <x:c r="M390" s="25" t="str">
        <x:v>Deepseek-flash-v4/state/Round1/shards/JacksonCore.json</x:v>
      </x:c>
      <x:c r="N390" s="25" t="str">
        <x:v>Deepseek-flash-v4/Result/JacksonCore_6/result.json</x:v>
      </x:c>
      <x:c r="O390" s="25" t="str">
        <x:v>Deepseek-flash-v4/Result/JacksonCore_6/result.json</x:v>
      </x:c>
      <x:c r="P390"/>
      <x:c r="Q390" s="21" t="str"/>
      <x:c r="R390" s="21" t="str"/>
      <x:c r="S390" s="21" t="str"/>
      <x:c r="T390" s="17" t="str">
        <x:v>false</x:v>
      </x:c>
      <x:c r="U390" s="17" t="str">
        <x:v>true</x:v>
      </x:c>
      <x:c r="V390" s="17" t="str">
        <x:v>false</x:v>
      </x:c>
    </x:row>
    <x:row r="391" ht="80" customHeight="1">
      <x:c r="A391" s="25" t="str">
        <x:v>JacksonCore</x:v>
      </x:c>
      <x:c r="B391" s="25" t="n">
        <x:v>7</x:v>
      </x:c>
      <x:c r="C391" s="25" t="str">
        <x:v>Round1</x:v>
      </x:c>
      <x:c r="D391" s="25" t="str">
        <x:v>NOT_AVAILABLE</x:v>
      </x:c>
      <x:c r="E391" s="25" t="str">
        <x:v>N/A</x:v>
      </x:c>
      <x:c r="F391" s="26" t="str">
        <x:v>Tests exist but current coverage did not complete</x:v>
      </x:c>
      <x:c r="G391" s="25" t="str">
        <x:v>true</x:v>
      </x:c>
      <x:c r="H391" s="25" t="str">
        <x:v>NOT_AVAILABLE</x:v>
      </x:c>
      <x:c r="I391" s="25" t="str">
        <x:v>NOT_RUN</x:v>
      </x:c>
      <x:c r="J391" s="25" t="str">
        <x:v>NOT_RUN</x:v>
      </x:c>
      <x:c r="K391" s="25" t="n">
        <x:v>1</x:v>
      </x:c>
      <x:c r="L391" s="27" t="b">
        <x:v>0</x:v>
      </x:c>
      <x:c r="M391" s="25" t="str">
        <x:v>Deepseek-flash-v4/state/Round1/shards/JacksonCore.json</x:v>
      </x:c>
      <x:c r="N391" s="25" t="str">
        <x:v>Deepseek-flash-v4/Result/JacksonCore_7/result.json</x:v>
      </x:c>
      <x:c r="O391" s="25" t="str">
        <x:v>Deepseek-flash-v4/Result/JacksonCore_7/result.json</x:v>
      </x:c>
      <x:c r="P391" t="str">
        <x:v>BOTH_NOT_RUN</x:v>
      </x:c>
      <x:c r="Q391" s="21" t="str"/>
      <x:c r="R391" s="21" t="str"/>
      <x:c r="S391" s="21" t="str"/>
      <x:c r="T391" s="17" t="str">
        <x:v>false</x:v>
      </x:c>
      <x:c r="U391" s="17" t="str">
        <x:v>true</x:v>
      </x:c>
      <x:c r="V391" s="17" t="str">
        <x:v>false</x:v>
      </x:c>
    </x:row>
    <x:row r="392" ht="80" customHeight="1">
      <x:c r="A392" s="25" t="str">
        <x:v>JacksonCore</x:v>
      </x:c>
      <x:c r="B392" s="25" t="n">
        <x:v>8</x:v>
      </x:c>
      <x:c r="C392" s="25" t="str">
        <x:v>Round1</x:v>
      </x:c>
      <x:c r="D392" s="25" t="str">
        <x:v>INCONCLUSIVE</x:v>
      </x:c>
      <x:c r="E392" s="25" t="str">
        <x:v>N/A</x:v>
      </x:c>
      <x:c r="F392" s="26" t="str">
        <x:v>Fixed also failed; assertion failure cannot be attributed to this bug</x:v>
      </x:c>
      <x:c r="G392" s="25" t="str">
        <x:v>true</x:v>
      </x:c>
      <x:c r="H392" s="25" t="str">
        <x:v>INCONCLUSIVE</x:v>
      </x:c>
      <x:c r="I392" s="25" t="str">
        <x:v>FAIL</x:v>
      </x:c>
      <x:c r="J392" s="25" t="str">
        <x:v>FAIL</x:v>
      </x:c>
      <x:c r="K392" s="25" t="n">
        <x:v>1</x:v>
      </x:c>
      <x:c r="L392" s="27" t="b">
        <x:v>0</x:v>
      </x:c>
      <x:c r="M392" s="25" t="str">
        <x:v>Deepseek-flash-v4/state/Round1/shards/JacksonCore.json</x:v>
      </x:c>
      <x:c r="N392" s="25" t="str">
        <x:v>Deepseek-flash-v4/Result/JacksonCore_8/result.json</x:v>
      </x:c>
      <x:c r="O392" s="25" t="str">
        <x:v>Deepseek-flash-v4/Result/JacksonCore_8/result.json</x:v>
      </x:c>
      <x:c r="P392"/>
      <x:c r="Q392" s="21" t="str"/>
      <x:c r="R392" s="21" t="str"/>
      <x:c r="S392" s="21" t="str"/>
      <x:c r="T392" s="17" t="str">
        <x:v>false</x:v>
      </x:c>
      <x:c r="U392" s="17" t="str">
        <x:v>true</x:v>
      </x:c>
      <x:c r="V392" s="17" t="str">
        <x:v>false</x:v>
      </x:c>
    </x:row>
    <x:row r="393" ht="80" customHeight="1">
      <x:c r="A393" s="25" t="str">
        <x:v>JacksonCore</x:v>
      </x:c>
      <x:c r="B393" s="25" t="n">
        <x:v>9</x:v>
      </x:c>
      <x:c r="C393" s="25" t="str">
        <x:v>Round1</x:v>
      </x:c>
      <x:c r="D393" s="25" t="str">
        <x:v>NOT_AVAILABLE</x:v>
      </x:c>
      <x:c r="E393" s="25" t="str">
        <x:v>N/A</x:v>
      </x:c>
      <x:c r="F393" s="26" t="str">
        <x:v>Tests exist but current coverage did not complete</x:v>
      </x:c>
      <x:c r="G393" s="25" t="str">
        <x:v>true</x:v>
      </x:c>
      <x:c r="H393" s="25" t="str">
        <x:v>NOT_AVAILABLE</x:v>
      </x:c>
      <x:c r="I393" s="25" t="str">
        <x:v>NOT_RUN</x:v>
      </x:c>
      <x:c r="J393" s="25" t="str">
        <x:v>NOT_RUN</x:v>
      </x:c>
      <x:c r="K393" s="25" t="n">
        <x:v>3</x:v>
      </x:c>
      <x:c r="L393" s="27" t="b">
        <x:v>0</x:v>
      </x:c>
      <x:c r="M393" s="25" t="str">
        <x:v>Deepseek-flash-v4/state/Round1/shards/JacksonCore.json</x:v>
      </x:c>
      <x:c r="N393" s="25" t="str">
        <x:v>Deepseek-flash-v4/Result/JacksonCore_9/result.json</x:v>
      </x:c>
      <x:c r="O393" s="25" t="str">
        <x:v>Deepseek-flash-v4/Result/JacksonCore_9/result.json</x:v>
      </x:c>
      <x:c r="P393" t="str">
        <x:v>BOTH_NOT_RUN</x:v>
      </x:c>
      <x:c r="Q393" s="21" t="str"/>
      <x:c r="R393" s="21" t="str"/>
      <x:c r="S393" s="21" t="str"/>
      <x:c r="T393" s="17" t="str">
        <x:v>false</x:v>
      </x:c>
      <x:c r="U393" s="17" t="str">
        <x:v>true</x:v>
      </x:c>
      <x:c r="V393" s="17" t="str">
        <x:v>false</x:v>
      </x:c>
    </x:row>
    <x:row r="394" ht="80" customHeight="1">
      <x:c r="A394" s="25" t="str">
        <x:v>JacksonDatabind</x:v>
      </x:c>
      <x:c r="B394" s="25" t="n">
        <x:v>1</x:v>
      </x:c>
      <x:c r="C394" s="25" t="str">
        <x:v>Round1</x:v>
      </x:c>
      <x:c r="D394" s="25" t="str">
        <x:v>NOT_AVAILABLE</x:v>
      </x:c>
      <x:c r="E394" s="25" t="str">
        <x:v>N/A</x:v>
      </x:c>
      <x:c r="F394" s="26" t="str">
        <x:v>Tests exist but current coverage did not complete</x:v>
      </x:c>
      <x:c r="G394" s="25" t="str">
        <x:v>true</x:v>
      </x:c>
      <x:c r="H394" s="25" t="str">
        <x:v>NOT_AVAILABLE</x:v>
      </x:c>
      <x:c r="I394" s="25" t="str">
        <x:v>NOT_RUN</x:v>
      </x:c>
      <x:c r="J394" s="25" t="str">
        <x:v>NOT_RUN</x:v>
      </x:c>
      <x:c r="K394" s="25" t="n">
        <x:v>1</x:v>
      </x:c>
      <x:c r="L394" s="27" t="b">
        <x:v>0</x:v>
      </x:c>
      <x:c r="M394" s="25" t="str">
        <x:v>Deepseek-flash-v4/state/Round1/shards/JacksonDatabind.json</x:v>
      </x:c>
      <x:c r="N394" s="25" t="str">
        <x:v>Deepseek-flash-v4/Result/JacksonDatabind_1/result.json</x:v>
      </x:c>
      <x:c r="O394" s="25" t="str">
        <x:v>Deepseek-flash-v4/Result/JacksonDatabind_1/result.json</x:v>
      </x:c>
      <x:c r="P394" t="str">
        <x:v>BOTH_NOT_RUN</x:v>
      </x:c>
      <x:c r="Q394" s="21" t="str"/>
      <x:c r="R394" s="21" t="str"/>
      <x:c r="S394" s="21" t="str"/>
      <x:c r="T394" s="17" t="str">
        <x:v>false</x:v>
      </x:c>
      <x:c r="U394" s="17" t="str">
        <x:v>true</x:v>
      </x:c>
      <x:c r="V394" s="17" t="str">
        <x:v>false</x:v>
      </x:c>
    </x:row>
    <x:row r="395" ht="80" customHeight="1">
      <x:c r="A395" s="25" t="str">
        <x:v>JacksonDatabind</x:v>
      </x:c>
      <x:c r="B395" s="25" t="n">
        <x:v>10</x:v>
      </x:c>
      <x:c r="C395" s="25" t="str">
        <x:v>Round1</x:v>
      </x:c>
      <x:c r="D395" s="25" t="str">
        <x:v>NOT_AVAILABLE</x:v>
      </x:c>
      <x:c r="E395" s="25" t="str">
        <x:v>N/A</x:v>
      </x:c>
      <x:c r="F395" s="26" t="str">
        <x:v>Tests exist but current coverage did not complete</x:v>
      </x:c>
      <x:c r="G395" s="25" t="str">
        <x:v>true</x:v>
      </x:c>
      <x:c r="H395" s="25" t="str">
        <x:v>NOT_AVAILABLE</x:v>
      </x:c>
      <x:c r="I395" s="25" t="str">
        <x:v>NOT_RUN</x:v>
      </x:c>
      <x:c r="J395" s="25" t="str">
        <x:v>NOT_RUN</x:v>
      </x:c>
      <x:c r="K395" s="25" t="n">
        <x:v>2</x:v>
      </x:c>
      <x:c r="L395" s="27" t="b">
        <x:v>0</x:v>
      </x:c>
      <x:c r="M395" s="25" t="str">
        <x:v>Deepseek-flash-v4/state/Round1/shards/JacksonDatabind.json</x:v>
      </x:c>
      <x:c r="N395" s="25" t="str">
        <x:v>Deepseek-flash-v4/Result/JacksonDatabind_10/result.json</x:v>
      </x:c>
      <x:c r="O395" s="25" t="str">
        <x:v>Deepseek-flash-v4/Result/JacksonDatabind_10/result.json</x:v>
      </x:c>
      <x:c r="P395" t="str">
        <x:v>BOTH_NOT_RUN</x:v>
      </x:c>
      <x:c r="Q395" s="21" t="str"/>
      <x:c r="R395" s="21" t="str"/>
      <x:c r="S395" s="21" t="str"/>
      <x:c r="T395" s="17" t="str">
        <x:v>false</x:v>
      </x:c>
      <x:c r="U395" s="17" t="str">
        <x:v>true</x:v>
      </x:c>
      <x:c r="V395" s="17" t="str">
        <x:v>false</x:v>
      </x:c>
    </x:row>
    <x:row r="396" ht="80" customHeight="1">
      <x:c r="A396" s="25" t="str">
        <x:v>JacksonDatabind</x:v>
      </x:c>
      <x:c r="B396" s="25" t="n">
        <x:v>100</x:v>
      </x:c>
      <x:c r="C396" s="25" t="str">
        <x:v>Round1</x:v>
      </x:c>
      <x:c r="D396" s="25" t="str">
        <x:v>NOT_AVAILABLE</x:v>
      </x:c>
      <x:c r="E396" s="25" t="str">
        <x:v>N/A</x:v>
      </x:c>
      <x:c r="F396" s="26" t="str">
        <x:v>Tests exist but current coverage did not complete</x:v>
      </x:c>
      <x:c r="G396" s="25" t="str">
        <x:v>true</x:v>
      </x:c>
      <x:c r="H396" s="25" t="str">
        <x:v>NOT_AVAILABLE</x:v>
      </x:c>
      <x:c r="I396" s="25" t="str">
        <x:v>NOT_RUN</x:v>
      </x:c>
      <x:c r="J396" s="25" t="str">
        <x:v>NOT_RUN</x:v>
      </x:c>
      <x:c r="K396" s="25" t="n">
        <x:v>1</x:v>
      </x:c>
      <x:c r="L396" s="27" t="b">
        <x:v>0</x:v>
      </x:c>
      <x:c r="M396" s="25" t="str">
        <x:v>Deepseek-flash-v4/state/Round1/shards/JacksonDatabind.json</x:v>
      </x:c>
      <x:c r="N396" s="25" t="str">
        <x:v>Deepseek-flash-v4/Result/JacksonDatabind_100/result.json</x:v>
      </x:c>
      <x:c r="O396" s="25" t="str">
        <x:v>Deepseek-flash-v4/Result/JacksonDatabind_100/result.json</x:v>
      </x:c>
      <x:c r="P396" t="str">
        <x:v>BOTH_NOT_RUN</x:v>
      </x:c>
      <x:c r="Q396" s="21" t="str"/>
      <x:c r="R396" s="21" t="str"/>
      <x:c r="S396" s="21" t="str"/>
      <x:c r="T396" s="17" t="str">
        <x:v>false</x:v>
      </x:c>
      <x:c r="U396" s="17" t="str">
        <x:v>true</x:v>
      </x:c>
      <x:c r="V396" s="17" t="str">
        <x:v>false</x:v>
      </x:c>
    </x:row>
    <x:row r="397" ht="80" customHeight="1">
      <x:c r="A397" s="25" t="str">
        <x:v>JacksonDatabind</x:v>
      </x:c>
      <x:c r="B397" s="25" t="n">
        <x:v>101</x:v>
      </x:c>
      <x:c r="C397" s="25" t="str">
        <x:v>Round1</x:v>
      </x:c>
      <x:c r="D397" s="25" t="str">
        <x:v>NOT_AVAILABLE</x:v>
      </x:c>
      <x:c r="E397" s="25" t="str">
        <x:v>N/A</x:v>
      </x:c>
      <x:c r="F397" s="26" t="str">
        <x:v>Tests exist but current coverage did not complete</x:v>
      </x:c>
      <x:c r="G397" s="25" t="str">
        <x:v>true</x:v>
      </x:c>
      <x:c r="H397" s="25" t="str">
        <x:v>NOT_AVAILABLE</x:v>
      </x:c>
      <x:c r="I397" s="25" t="str">
        <x:v>NOT_RUN</x:v>
      </x:c>
      <x:c r="J397" s="25" t="str">
        <x:v>NOT_RUN</x:v>
      </x:c>
      <x:c r="K397" s="25" t="n">
        <x:v>1</x:v>
      </x:c>
      <x:c r="L397" s="27" t="b">
        <x:v>0</x:v>
      </x:c>
      <x:c r="M397" s="25" t="str">
        <x:v>Deepseek-flash-v4/state/Round1/shards/JacksonDatabind.json</x:v>
      </x:c>
      <x:c r="N397" s="25" t="str">
        <x:v>Deepseek-flash-v4/Result/JacksonDatabind_101/result.json</x:v>
      </x:c>
      <x:c r="O397" s="25" t="str">
        <x:v>Deepseek-flash-v4/Result/JacksonDatabind_101/result.json</x:v>
      </x:c>
      <x:c r="P397" t="str">
        <x:v>BOTH_NOT_RUN</x:v>
      </x:c>
      <x:c r="Q397" s="21" t="str"/>
      <x:c r="R397" s="21" t="str"/>
      <x:c r="S397" s="21" t="str"/>
      <x:c r="T397" s="17" t="str">
        <x:v>false</x:v>
      </x:c>
      <x:c r="U397" s="17" t="str">
        <x:v>true</x:v>
      </x:c>
      <x:c r="V397" s="17" t="str">
        <x:v>false</x:v>
      </x:c>
    </x:row>
    <x:row r="398" ht="80" customHeight="1">
      <x:c r="A398" s="25" t="str">
        <x:v>JacksonDatabind</x:v>
      </x:c>
      <x:c r="B398" s="25" t="n">
        <x:v>102</x:v>
      </x:c>
      <x:c r="C398" s="25" t="str">
        <x:v>Round1</x:v>
      </x:c>
      <x:c r="D398" s="25" t="str">
        <x:v>NOT_AVAILABLE</x:v>
      </x:c>
      <x:c r="E398" s="25" t="str">
        <x:v>N/A</x:v>
      </x:c>
      <x:c r="F398" s="26" t="str">
        <x:v>Tests exist but current coverage did not complete</x:v>
      </x:c>
      <x:c r="G398" s="25" t="str">
        <x:v>true</x:v>
      </x:c>
      <x:c r="H398" s="25" t="str">
        <x:v>NOT_AVAILABLE</x:v>
      </x:c>
      <x:c r="I398" s="25" t="str">
        <x:v>NOT_RUN</x:v>
      </x:c>
      <x:c r="J398" s="25" t="str">
        <x:v>NOT_RUN</x:v>
      </x:c>
      <x:c r="K398" s="25" t="n">
        <x:v>1</x:v>
      </x:c>
      <x:c r="L398" s="27" t="b">
        <x:v>0</x:v>
      </x:c>
      <x:c r="M398" s="25" t="str">
        <x:v>Deepseek-flash-v4/state/Round1/shards/JacksonDatabind.json</x:v>
      </x:c>
      <x:c r="N398" s="25" t="str">
        <x:v>Deepseek-flash-v4/Result/JacksonDatabind_102/result.json</x:v>
      </x:c>
      <x:c r="O398" s="25" t="str">
        <x:v>Deepseek-flash-v4/Result/JacksonDatabind_102/result.json</x:v>
      </x:c>
      <x:c r="P398" t="str">
        <x:v>BOTH_NOT_RUN</x:v>
      </x:c>
      <x:c r="Q398" s="21" t="str"/>
      <x:c r="R398" s="21" t="str"/>
      <x:c r="S398" s="21" t="str"/>
      <x:c r="T398" s="17" t="str">
        <x:v>false</x:v>
      </x:c>
      <x:c r="U398" s="17" t="str">
        <x:v>true</x:v>
      </x:c>
      <x:c r="V398" s="17" t="str">
        <x:v>false</x:v>
      </x:c>
    </x:row>
    <x:row r="399" ht="80" customHeight="1">
      <x:c r="A399" s="25" t="str">
        <x:v>JacksonDatabind</x:v>
      </x:c>
      <x:c r="B399" s="25" t="n">
        <x:v>103</x:v>
      </x:c>
      <x:c r="C399" s="25" t="str">
        <x:v>Round1</x:v>
      </x:c>
      <x:c r="D399" s="25" t="str">
        <x:v>NOT_AVAILABLE</x:v>
      </x:c>
      <x:c r="E399" s="25" t="str">
        <x:v>N/A</x:v>
      </x:c>
      <x:c r="F399" s="26" t="str">
        <x:v>Tests exist but current coverage did not complete</x:v>
      </x:c>
      <x:c r="G399" s="25" t="str">
        <x:v>true</x:v>
      </x:c>
      <x:c r="H399" s="25" t="str">
        <x:v>NOT_AVAILABLE</x:v>
      </x:c>
      <x:c r="I399" s="25" t="str">
        <x:v>NOT_RUN</x:v>
      </x:c>
      <x:c r="J399" s="25" t="str">
        <x:v>NOT_RUN</x:v>
      </x:c>
      <x:c r="K399" s="25" t="n">
        <x:v>16</x:v>
      </x:c>
      <x:c r="L399" s="27" t="b">
        <x:v>0</x:v>
      </x:c>
      <x:c r="M399" s="25" t="str">
        <x:v>Deepseek-flash-v4/state/Round1/shards/JacksonDatabind.json</x:v>
      </x:c>
      <x:c r="N399" s="25" t="str">
        <x:v>Deepseek-flash-v4/Result/JacksonDatabind_103/result.json</x:v>
      </x:c>
      <x:c r="O399" s="25" t="str">
        <x:v>Deepseek-flash-v4/Result/JacksonDatabind_103/result.json</x:v>
      </x:c>
      <x:c r="P399" t="str">
        <x:v>BOTH_NOT_RUN</x:v>
      </x:c>
      <x:c r="Q399" s="21" t="str"/>
      <x:c r="R399" s="21" t="str"/>
      <x:c r="S399" s="21" t="str"/>
      <x:c r="T399" s="17" t="str">
        <x:v>false</x:v>
      </x:c>
      <x:c r="U399" s="17" t="str">
        <x:v>true</x:v>
      </x:c>
      <x:c r="V399" s="17" t="str">
        <x:v>false</x:v>
      </x:c>
    </x:row>
    <x:row r="400" ht="80" customHeight="1">
      <x:c r="A400" s="25" t="str">
        <x:v>JacksonDatabind</x:v>
      </x:c>
      <x:c r="B400" s="25" t="n">
        <x:v>104</x:v>
      </x:c>
      <x:c r="C400" s="25" t="str">
        <x:v>Round1</x:v>
      </x:c>
      <x:c r="D400" s="25" t="str">
        <x:v>NOT_AVAILABLE</x:v>
      </x:c>
      <x:c r="E400" s="25" t="str">
        <x:v>N/A</x:v>
      </x:c>
      <x:c r="F400" s="26" t="str">
        <x:v>Tests exist but current coverage did not complete</x:v>
      </x:c>
      <x:c r="G400" s="25" t="str">
        <x:v>true</x:v>
      </x:c>
      <x:c r="H400" s="25" t="str">
        <x:v>NOT_AVAILABLE</x:v>
      </x:c>
      <x:c r="I400" s="25" t="str">
        <x:v>NOT_RUN</x:v>
      </x:c>
      <x:c r="J400" s="25" t="str">
        <x:v>NOT_RUN</x:v>
      </x:c>
      <x:c r="K400" s="25" t="n">
        <x:v>1</x:v>
      </x:c>
      <x:c r="L400" s="27" t="b">
        <x:v>0</x:v>
      </x:c>
      <x:c r="M400" s="25" t="str">
        <x:v>Deepseek-flash-v4/state/Round1/shards/JacksonDatabind.json</x:v>
      </x:c>
      <x:c r="N400" s="25" t="str">
        <x:v>Deepseek-flash-v4/Result/JacksonDatabind_104/result.json</x:v>
      </x:c>
      <x:c r="O400" s="25" t="str">
        <x:v>Deepseek-flash-v4/Result/JacksonDatabind_104/result.json</x:v>
      </x:c>
      <x:c r="P400" t="str">
        <x:v>BOTH_NOT_RUN</x:v>
      </x:c>
      <x:c r="Q400" s="21" t="str"/>
      <x:c r="R400" s="21" t="str"/>
      <x:c r="S400" s="21" t="str"/>
      <x:c r="T400" s="17" t="str">
        <x:v>false</x:v>
      </x:c>
      <x:c r="U400" s="17" t="str">
        <x:v>true</x:v>
      </x:c>
      <x:c r="V400" s="17" t="str">
        <x:v>false</x:v>
      </x:c>
    </x:row>
    <x:row r="401" ht="80" customHeight="1">
      <x:c r="A401" s="25" t="str">
        <x:v>JacksonDatabind</x:v>
      </x:c>
      <x:c r="B401" s="25" t="n">
        <x:v>105</x:v>
      </x:c>
      <x:c r="C401" s="25" t="str">
        <x:v>Round1</x:v>
      </x:c>
      <x:c r="D401" s="25" t="str">
        <x:v>INCONCLUSIVE</x:v>
      </x:c>
      <x:c r="E401" s="25" t="str">
        <x:v>N/A</x:v>
      </x:c>
      <x:c r="F401" s="26" t="str">
        <x:v>Fixed also failed; assertion failure cannot be attributed to this bug</x:v>
      </x:c>
      <x:c r="G401" s="25" t="str">
        <x:v>true</x:v>
      </x:c>
      <x:c r="H401" s="25" t="str">
        <x:v>INCONCLUSIVE</x:v>
      </x:c>
      <x:c r="I401" s="25" t="str">
        <x:v>FAIL</x:v>
      </x:c>
      <x:c r="J401" s="25" t="str">
        <x:v>FAIL</x:v>
      </x:c>
      <x:c r="K401" s="25" t="n">
        <x:v>1</x:v>
      </x:c>
      <x:c r="L401" s="27" t="b">
        <x:v>0</x:v>
      </x:c>
      <x:c r="M401" s="25" t="str">
        <x:v>Deepseek-flash-v4/state/Round1/shards/JacksonDatabind.json</x:v>
      </x:c>
      <x:c r="N401" s="25" t="str">
        <x:v>Deepseek-flash-v4/Result/JacksonDatabind_105/result.json</x:v>
      </x:c>
      <x:c r="O401" s="25" t="str">
        <x:v>Deepseek-flash-v4/Result/JacksonDatabind_105/result.json</x:v>
      </x:c>
      <x:c r="P401"/>
      <x:c r="Q401" s="21" t="str"/>
      <x:c r="R401" s="21" t="str"/>
      <x:c r="S401" s="21" t="str"/>
      <x:c r="T401" s="17" t="str">
        <x:v>false</x:v>
      </x:c>
      <x:c r="U401" s="17" t="str">
        <x:v>true</x:v>
      </x:c>
      <x:c r="V401" s="17" t="str">
        <x:v>false</x:v>
      </x:c>
    </x:row>
    <x:row r="402" ht="80" customHeight="1">
      <x:c r="A402" s="25" t="str">
        <x:v>JacksonDatabind</x:v>
      </x:c>
      <x:c r="B402" s="25" t="n">
        <x:v>106</x:v>
      </x:c>
      <x:c r="C402" s="25" t="str">
        <x:v>Round1</x:v>
      </x:c>
      <x:c r="D402" s="25" t="str">
        <x:v>NOT_AVAILABLE</x:v>
      </x:c>
      <x:c r="E402" s="25" t="str">
        <x:v>N/A</x:v>
      </x:c>
      <x:c r="F402" s="26" t="str">
        <x:v>Tests exist but current coverage did not complete</x:v>
      </x:c>
      <x:c r="G402" s="25" t="str">
        <x:v>true</x:v>
      </x:c>
      <x:c r="H402" s="25" t="str">
        <x:v>NOT_AVAILABLE</x:v>
      </x:c>
      <x:c r="I402" s="25" t="str">
        <x:v>NOT_RUN</x:v>
      </x:c>
      <x:c r="J402" s="25" t="str">
        <x:v>NOT_RUN</x:v>
      </x:c>
      <x:c r="K402" s="25" t="n">
        <x:v>1</x:v>
      </x:c>
      <x:c r="L402" s="27" t="b">
        <x:v>0</x:v>
      </x:c>
      <x:c r="M402" s="25" t="str">
        <x:v>Deepseek-flash-v4/state/Round1/shards/JacksonDatabind.json</x:v>
      </x:c>
      <x:c r="N402" s="25" t="str">
        <x:v>Deepseek-flash-v4/Result/JacksonDatabind_106/result.json</x:v>
      </x:c>
      <x:c r="O402" s="25" t="str">
        <x:v>Deepseek-flash-v4/Result/JacksonDatabind_106/result.json</x:v>
      </x:c>
      <x:c r="P402" t="str">
        <x:v>BOTH_NOT_RUN</x:v>
      </x:c>
      <x:c r="Q402" s="21" t="str"/>
      <x:c r="R402" s="21" t="str"/>
      <x:c r="S402" s="21" t="str"/>
      <x:c r="T402" s="17" t="str">
        <x:v>false</x:v>
      </x:c>
      <x:c r="U402" s="17" t="str">
        <x:v>true</x:v>
      </x:c>
      <x:c r="V402" s="17" t="str">
        <x:v>false</x:v>
      </x:c>
    </x:row>
    <x:row r="403" ht="80" customHeight="1">
      <x:c r="A403" s="25" t="str">
        <x:v>JacksonDatabind</x:v>
      </x:c>
      <x:c r="B403" s="25" t="n">
        <x:v>107</x:v>
      </x:c>
      <x:c r="C403" s="25" t="str">
        <x:v>Round1</x:v>
      </x:c>
      <x:c r="D403" s="25" t="str">
        <x:v>NOT_AVAILABLE</x:v>
      </x:c>
      <x:c r="E403" s="25" t="str">
        <x:v>N/A</x:v>
      </x:c>
      <x:c r="F403" s="26" t="str">
        <x:v>Tests exist but current coverage did not complete</x:v>
      </x:c>
      <x:c r="G403" s="25" t="str">
        <x:v>true</x:v>
      </x:c>
      <x:c r="H403" s="25" t="str">
        <x:v>NOT_AVAILABLE</x:v>
      </x:c>
      <x:c r="I403" s="25" t="str">
        <x:v>NOT_RUN</x:v>
      </x:c>
      <x:c r="J403" s="25" t="str">
        <x:v>NOT_RUN</x:v>
      </x:c>
      <x:c r="K403" s="25" t="n">
        <x:v>1</x:v>
      </x:c>
      <x:c r="L403" s="27" t="b">
        <x:v>0</x:v>
      </x:c>
      <x:c r="M403" s="25" t="str">
        <x:v>Deepseek-flash-v4/state/Round1/shards/JacksonDatabind.json</x:v>
      </x:c>
      <x:c r="N403" s="25" t="str">
        <x:v>Deepseek-flash-v4/Result/JacksonDatabind_107/result.json</x:v>
      </x:c>
      <x:c r="O403" s="25" t="str">
        <x:v>Deepseek-flash-v4/Result/JacksonDatabind_107/result.json</x:v>
      </x:c>
      <x:c r="P403" t="str">
        <x:v>BOTH_NOT_RUN</x:v>
      </x:c>
      <x:c r="Q403" s="21" t="str"/>
      <x:c r="R403" s="21" t="str"/>
      <x:c r="S403" s="21" t="str"/>
      <x:c r="T403" s="17" t="str">
        <x:v>false</x:v>
      </x:c>
      <x:c r="U403" s="17" t="str">
        <x:v>true</x:v>
      </x:c>
      <x:c r="V403" s="17" t="str">
        <x:v>false</x:v>
      </x:c>
    </x:row>
    <x:row r="404" ht="80" customHeight="1">
      <x:c r="A404" s="25" t="str">
        <x:v>JacksonDatabind</x:v>
      </x:c>
      <x:c r="B404" s="25" t="n">
        <x:v>108</x:v>
      </x:c>
      <x:c r="C404" s="25" t="str">
        <x:v>Round1</x:v>
      </x:c>
      <x:c r="D404" s="25" t="str">
        <x:v>NOT_AVAILABLE</x:v>
      </x:c>
      <x:c r="E404" s="25" t="str">
        <x:v>N/A</x:v>
      </x:c>
      <x:c r="F404" s="26" t="str">
        <x:v>Tests exist but current coverage did not complete</x:v>
      </x:c>
      <x:c r="G404" s="25" t="str">
        <x:v>true</x:v>
      </x:c>
      <x:c r="H404" s="25" t="str">
        <x:v>NOT_AVAILABLE</x:v>
      </x:c>
      <x:c r="I404" s="25" t="str">
        <x:v>NOT_RUN</x:v>
      </x:c>
      <x:c r="J404" s="25" t="str">
        <x:v>NOT_RUN</x:v>
      </x:c>
      <x:c r="K404" s="25" t="n">
        <x:v>1</x:v>
      </x:c>
      <x:c r="L404" s="27" t="b">
        <x:v>0</x:v>
      </x:c>
      <x:c r="M404" s="25" t="str">
        <x:v>Deepseek-flash-v4/state/Round1/shards/JacksonDatabind.json</x:v>
      </x:c>
      <x:c r="N404" s="25" t="str">
        <x:v>Deepseek-flash-v4/Result/JacksonDatabind_108/result.json</x:v>
      </x:c>
      <x:c r="O404" s="25" t="str">
        <x:v>Deepseek-flash-v4/Result/JacksonDatabind_108/result.json</x:v>
      </x:c>
      <x:c r="P404" t="str">
        <x:v>BOTH_NOT_RUN</x:v>
      </x:c>
      <x:c r="Q404" s="21" t="str"/>
      <x:c r="R404" s="21" t="str"/>
      <x:c r="S404" s="21" t="str"/>
      <x:c r="T404" s="17" t="str">
        <x:v>false</x:v>
      </x:c>
      <x:c r="U404" s="17" t="str">
        <x:v>true</x:v>
      </x:c>
      <x:c r="V404" s="17" t="str">
        <x:v>false</x:v>
      </x:c>
    </x:row>
    <x:row r="405" ht="80" customHeight="1">
      <x:c r="A405" s="25" t="str">
        <x:v>JacksonDatabind</x:v>
      </x:c>
      <x:c r="B405" s="25" t="n">
        <x:v>109</x:v>
      </x:c>
      <x:c r="C405" s="25" t="str">
        <x:v>Round1</x:v>
      </x:c>
      <x:c r="D405" s="25" t="str">
        <x:v>NOT_AVAILABLE</x:v>
      </x:c>
      <x:c r="E405" s="25" t="str">
        <x:v>N/A</x:v>
      </x:c>
      <x:c r="F405" s="26" t="str">
        <x:v>Tests exist but current coverage did not complete</x:v>
      </x:c>
      <x:c r="G405" s="25" t="str">
        <x:v>true</x:v>
      </x:c>
      <x:c r="H405" s="25" t="str">
        <x:v>NOT_AVAILABLE</x:v>
      </x:c>
      <x:c r="I405" s="25" t="str">
        <x:v>NOT_RUN</x:v>
      </x:c>
      <x:c r="J405" s="25" t="str">
        <x:v>NOT_RUN</x:v>
      </x:c>
      <x:c r="K405" s="25" t="n">
        <x:v>2</x:v>
      </x:c>
      <x:c r="L405" s="27" t="b">
        <x:v>0</x:v>
      </x:c>
      <x:c r="M405" s="25" t="str">
        <x:v>Deepseek-flash-v4/state/Round1/shards/JacksonDatabind.json</x:v>
      </x:c>
      <x:c r="N405" s="25" t="str">
        <x:v>Deepseek-flash-v4/Result/JacksonDatabind_109/result.json</x:v>
      </x:c>
      <x:c r="O405" s="25" t="str">
        <x:v>Deepseek-flash-v4/Result/JacksonDatabind_109/result.json</x:v>
      </x:c>
      <x:c r="P405" t="str">
        <x:v>BOTH_NOT_RUN</x:v>
      </x:c>
      <x:c r="Q405" s="21" t="str"/>
      <x:c r="R405" s="21" t="str"/>
      <x:c r="S405" s="21" t="str"/>
      <x:c r="T405" s="17" t="str">
        <x:v>false</x:v>
      </x:c>
      <x:c r="U405" s="17" t="str">
        <x:v>true</x:v>
      </x:c>
      <x:c r="V405" s="17" t="str">
        <x:v>false</x:v>
      </x:c>
    </x:row>
    <x:row r="406" ht="80" customHeight="1">
      <x:c r="A406" s="25" t="str">
        <x:v>JacksonDatabind</x:v>
      </x:c>
      <x:c r="B406" s="25" t="n">
        <x:v>11</x:v>
      </x:c>
      <x:c r="C406" s="25" t="str">
        <x:v>Round1</x:v>
      </x:c>
      <x:c r="D406" s="25" t="str">
        <x:v>NOT_AVAILABLE</x:v>
      </x:c>
      <x:c r="E406" s="25" t="str">
        <x:v>N/A</x:v>
      </x:c>
      <x:c r="F406" s="26" t="str">
        <x:v>Tests exist but current coverage did not complete</x:v>
      </x:c>
      <x:c r="G406" s="25" t="str">
        <x:v>true</x:v>
      </x:c>
      <x:c r="H406" s="25" t="str">
        <x:v>NOT_AVAILABLE</x:v>
      </x:c>
      <x:c r="I406" s="25" t="str">
        <x:v>NOT_RUN</x:v>
      </x:c>
      <x:c r="J406" s="25" t="str">
        <x:v>NOT_RUN</x:v>
      </x:c>
      <x:c r="K406" s="25" t="n">
        <x:v>1</x:v>
      </x:c>
      <x:c r="L406" s="27" t="b">
        <x:v>0</x:v>
      </x:c>
      <x:c r="M406" s="25" t="str">
        <x:v>Deepseek-flash-v4/state/Round1/shards/JacksonDatabind.json</x:v>
      </x:c>
      <x:c r="N406" s="25" t="str">
        <x:v>Deepseek-flash-v4/Result/JacksonDatabind_11/result.json</x:v>
      </x:c>
      <x:c r="O406" s="25" t="str">
        <x:v>Deepseek-flash-v4/Result/JacksonDatabind_11/result.json</x:v>
      </x:c>
      <x:c r="P406" t="str">
        <x:v>BOTH_NOT_RUN</x:v>
      </x:c>
      <x:c r="Q406" s="21" t="str"/>
      <x:c r="R406" s="21" t="str"/>
      <x:c r="S406" s="21" t="str"/>
      <x:c r="T406" s="17" t="str">
        <x:v>false</x:v>
      </x:c>
      <x:c r="U406" s="17" t="str">
        <x:v>true</x:v>
      </x:c>
      <x:c r="V406" s="17" t="str">
        <x:v>false</x:v>
      </x:c>
    </x:row>
    <x:row r="407" ht="80" customHeight="1">
      <x:c r="A407" s="25" t="str">
        <x:v>JacksonDatabind</x:v>
      </x:c>
      <x:c r="B407" s="25" t="n">
        <x:v>110</x:v>
      </x:c>
      <x:c r="C407" s="25" t="str">
        <x:v>Round1</x:v>
      </x:c>
      <x:c r="D407" s="25" t="str">
        <x:v>NOT_AVAILABLE</x:v>
      </x:c>
      <x:c r="E407" s="25" t="str">
        <x:v>N/A</x:v>
      </x:c>
      <x:c r="F407" s="26" t="str">
        <x:v>Tests exist but current coverage did not complete</x:v>
      </x:c>
      <x:c r="G407" s="25" t="str">
        <x:v>true</x:v>
      </x:c>
      <x:c r="H407" s="25" t="str">
        <x:v>NOT_AVAILABLE</x:v>
      </x:c>
      <x:c r="I407" s="25" t="str">
        <x:v>NOT_RUN</x:v>
      </x:c>
      <x:c r="J407" s="25" t="str">
        <x:v>NOT_RUN</x:v>
      </x:c>
      <x:c r="K407" s="25" t="n">
        <x:v>1</x:v>
      </x:c>
      <x:c r="L407" s="27" t="b">
        <x:v>0</x:v>
      </x:c>
      <x:c r="M407" s="25" t="str">
        <x:v>Deepseek-flash-v4/state/Round1/shards/JacksonDatabind.json</x:v>
      </x:c>
      <x:c r="N407" s="25" t="str">
        <x:v>Deepseek-flash-v4/Result/JacksonDatabind_110/result.json</x:v>
      </x:c>
      <x:c r="O407" s="25" t="str">
        <x:v>Deepseek-flash-v4/Result/JacksonDatabind_110/result.json</x:v>
      </x:c>
      <x:c r="P407" t="str">
        <x:v>BOTH_NOT_RUN</x:v>
      </x:c>
      <x:c r="Q407" s="21" t="str"/>
      <x:c r="R407" s="21" t="str"/>
      <x:c r="S407" s="21" t="str"/>
      <x:c r="T407" s="17" t="str">
        <x:v>false</x:v>
      </x:c>
      <x:c r="U407" s="17" t="str">
        <x:v>true</x:v>
      </x:c>
      <x:c r="V407" s="17" t="str">
        <x:v>false</x:v>
      </x:c>
    </x:row>
    <x:row r="408" ht="80" customHeight="1">
      <x:c r="A408" s="25" t="str">
        <x:v>JacksonDatabind</x:v>
      </x:c>
      <x:c r="B408" s="25" t="n">
        <x:v>111</x:v>
      </x:c>
      <x:c r="C408" s="25" t="str">
        <x:v>Round1</x:v>
      </x:c>
      <x:c r="D408" s="25" t="str">
        <x:v>NOT_AVAILABLE</x:v>
      </x:c>
      <x:c r="E408" s="25" t="str">
        <x:v>N/A</x:v>
      </x:c>
      <x:c r="F408" s="26" t="str">
        <x:v>Tests exist but current coverage did not complete</x:v>
      </x:c>
      <x:c r="G408" s="25" t="str">
        <x:v>true</x:v>
      </x:c>
      <x:c r="H408" s="25" t="str">
        <x:v>NOT_AVAILABLE</x:v>
      </x:c>
      <x:c r="I408" s="25" t="str">
        <x:v>NOT_RUN</x:v>
      </x:c>
      <x:c r="J408" s="25" t="str">
        <x:v>NOT_RUN</x:v>
      </x:c>
      <x:c r="K408" s="25" t="n">
        <x:v>7</x:v>
      </x:c>
      <x:c r="L408" s="27" t="b">
        <x:v>0</x:v>
      </x:c>
      <x:c r="M408" s="25" t="str">
        <x:v>Deepseek-flash-v4/state/Round1/shards/JacksonDatabind.json</x:v>
      </x:c>
      <x:c r="N408" s="25" t="str">
        <x:v>Deepseek-flash-v4/Result/JacksonDatabind_111/result.json</x:v>
      </x:c>
      <x:c r="O408" s="25" t="str">
        <x:v>Deepseek-flash-v4/Result/JacksonDatabind_111/result.json</x:v>
      </x:c>
      <x:c r="P408" t="str">
        <x:v>BOTH_NOT_RUN</x:v>
      </x:c>
      <x:c r="Q408" s="21" t="str"/>
      <x:c r="R408" s="21" t="str"/>
      <x:c r="S408" s="21" t="str"/>
      <x:c r="T408" s="17" t="str">
        <x:v>false</x:v>
      </x:c>
      <x:c r="U408" s="17" t="str">
        <x:v>true</x:v>
      </x:c>
      <x:c r="V408" s="17" t="str">
        <x:v>false</x:v>
      </x:c>
    </x:row>
    <x:row r="409" ht="80" customHeight="1">
      <x:c r="A409" s="25" t="str">
        <x:v>JacksonDatabind</x:v>
      </x:c>
      <x:c r="B409" s="25" t="n">
        <x:v>112</x:v>
      </x:c>
      <x:c r="C409" s="25" t="str">
        <x:v>Round1</x:v>
      </x:c>
      <x:c r="D409" s="25" t="str">
        <x:v>NOT_AVAILABLE</x:v>
      </x:c>
      <x:c r="E409" s="25" t="str">
        <x:v>N/A</x:v>
      </x:c>
      <x:c r="F409" s="26" t="str">
        <x:v>Tests exist but current coverage did not complete</x:v>
      </x:c>
      <x:c r="G409" s="25" t="str">
        <x:v>true</x:v>
      </x:c>
      <x:c r="H409" s="25" t="str">
        <x:v>NOT_AVAILABLE</x:v>
      </x:c>
      <x:c r="I409" s="25" t="str">
        <x:v>NOT_RUN</x:v>
      </x:c>
      <x:c r="J409" s="25" t="str">
        <x:v>NOT_RUN</x:v>
      </x:c>
      <x:c r="K409" s="25" t="n">
        <x:v>1</x:v>
      </x:c>
      <x:c r="L409" s="27" t="b">
        <x:v>0</x:v>
      </x:c>
      <x:c r="M409" s="25" t="str">
        <x:v>Deepseek-flash-v4/state/Round1/shards/JacksonDatabind.json</x:v>
      </x:c>
      <x:c r="N409" s="25" t="str">
        <x:v>Deepseek-flash-v4/Result/JacksonDatabind_112/result.json</x:v>
      </x:c>
      <x:c r="O409" s="25" t="str">
        <x:v>Deepseek-flash-v4/Result/JacksonDatabind_112/result.json</x:v>
      </x:c>
      <x:c r="P409" t="str">
        <x:v>BOTH_NOT_RUN</x:v>
      </x:c>
      <x:c r="Q409" s="21" t="str"/>
      <x:c r="R409" s="21" t="str"/>
      <x:c r="S409" s="21" t="str"/>
      <x:c r="T409" s="17" t="str">
        <x:v>false</x:v>
      </x:c>
      <x:c r="U409" s="17" t="str">
        <x:v>true</x:v>
      </x:c>
      <x:c r="V409" s="17" t="str">
        <x:v>false</x:v>
      </x:c>
    </x:row>
    <x:row r="410" ht="80" customHeight="1">
      <x:c r="A410" s="25" t="str">
        <x:v>JacksonDatabind</x:v>
      </x:c>
      <x:c r="B410" s="25" t="n">
        <x:v>12</x:v>
      </x:c>
      <x:c r="C410" s="25" t="str">
        <x:v>Round1</x:v>
      </x:c>
      <x:c r="D410" s="25" t="str">
        <x:v>NOT_AVAILABLE</x:v>
      </x:c>
      <x:c r="E410" s="25" t="str">
        <x:v>N/A</x:v>
      </x:c>
      <x:c r="F410" s="26" t="str">
        <x:v>Tests exist but current coverage did not complete</x:v>
      </x:c>
      <x:c r="G410" s="25" t="str">
        <x:v>true</x:v>
      </x:c>
      <x:c r="H410" s="25" t="str">
        <x:v>NOT_AVAILABLE</x:v>
      </x:c>
      <x:c r="I410" s="25" t="str">
        <x:v>NOT_RUN</x:v>
      </x:c>
      <x:c r="J410" s="25" t="str">
        <x:v>NOT_RUN</x:v>
      </x:c>
      <x:c r="K410" s="25" t="n">
        <x:v>1</x:v>
      </x:c>
      <x:c r="L410" s="27" t="b">
        <x:v>0</x:v>
      </x:c>
      <x:c r="M410" s="25" t="str">
        <x:v>Deepseek-flash-v4/state/Round1/shards/JacksonDatabind.json</x:v>
      </x:c>
      <x:c r="N410" s="25" t="str">
        <x:v>Deepseek-flash-v4/Result/JacksonDatabind_12/result.json</x:v>
      </x:c>
      <x:c r="O410" s="25" t="str">
        <x:v>Deepseek-flash-v4/Result/JacksonDatabind_12/result.json</x:v>
      </x:c>
      <x:c r="P410" t="str">
        <x:v>BOTH_NOT_RUN</x:v>
      </x:c>
      <x:c r="Q410" s="21" t="str"/>
      <x:c r="R410" s="21" t="str"/>
      <x:c r="S410" s="21" t="str"/>
      <x:c r="T410" s="17" t="str">
        <x:v>false</x:v>
      </x:c>
      <x:c r="U410" s="17" t="str">
        <x:v>true</x:v>
      </x:c>
      <x:c r="V410" s="17" t="str">
        <x:v>false</x:v>
      </x:c>
    </x:row>
    <x:row r="411" ht="80" customHeight="1">
      <x:c r="A411" s="25" t="str">
        <x:v>JacksonDatabind</x:v>
      </x:c>
      <x:c r="B411" s="25" t="n">
        <x:v>13</x:v>
      </x:c>
      <x:c r="C411" s="25" t="str">
        <x:v>Round1</x:v>
      </x:c>
      <x:c r="D411" s="25" t="str">
        <x:v>NOT_AVAILABLE</x:v>
      </x:c>
      <x:c r="E411" s="25" t="str">
        <x:v>N/A</x:v>
      </x:c>
      <x:c r="F411" s="26" t="str">
        <x:v>Tests exist but current coverage did not complete</x:v>
      </x:c>
      <x:c r="G411" s="25" t="str">
        <x:v>true</x:v>
      </x:c>
      <x:c r="H411" s="25" t="str">
        <x:v>NOT_AVAILABLE</x:v>
      </x:c>
      <x:c r="I411" s="25" t="str">
        <x:v>NOT_RUN</x:v>
      </x:c>
      <x:c r="J411" s="25" t="str">
        <x:v>NOT_RUN</x:v>
      </x:c>
      <x:c r="K411" s="25" t="n">
        <x:v>2</x:v>
      </x:c>
      <x:c r="L411" s="27" t="b">
        <x:v>0</x:v>
      </x:c>
      <x:c r="M411" s="25" t="str">
        <x:v>Deepseek-flash-v4/state/Round1/shards/JacksonDatabind.json</x:v>
      </x:c>
      <x:c r="N411" s="25" t="str">
        <x:v>Deepseek-flash-v4/Result/JacksonDatabind_13/result.json</x:v>
      </x:c>
      <x:c r="O411" s="25" t="str">
        <x:v>Deepseek-flash-v4/Result/JacksonDatabind_13/result.json</x:v>
      </x:c>
      <x:c r="P411" t="str">
        <x:v>BOTH_NOT_RUN</x:v>
      </x:c>
      <x:c r="Q411" s="21" t="str"/>
      <x:c r="R411" s="21" t="str"/>
      <x:c r="S411" s="21" t="str"/>
      <x:c r="T411" s="17" t="str">
        <x:v>false</x:v>
      </x:c>
      <x:c r="U411" s="17" t="str">
        <x:v>true</x:v>
      </x:c>
      <x:c r="V411" s="17" t="str">
        <x:v>false</x:v>
      </x:c>
    </x:row>
    <x:row r="412" ht="80" customHeight="1">
      <x:c r="A412" s="25" t="str">
        <x:v>JacksonDatabind</x:v>
      </x:c>
      <x:c r="B412" s="25" t="n">
        <x:v>14</x:v>
      </x:c>
      <x:c r="C412" s="25" t="str">
        <x:v>Round1</x:v>
      </x:c>
      <x:c r="D412" s="25" t="str">
        <x:v>NOT_AVAILABLE</x:v>
      </x:c>
      <x:c r="E412" s="25" t="str">
        <x:v>N/A</x:v>
      </x:c>
      <x:c r="F412" s="26" t="str">
        <x:v>Tests exist but current coverage did not complete</x:v>
      </x:c>
      <x:c r="G412" s="25" t="str">
        <x:v>true</x:v>
      </x:c>
      <x:c r="H412" s="25" t="str">
        <x:v>NOT_AVAILABLE</x:v>
      </x:c>
      <x:c r="I412" s="25" t="str">
        <x:v>NOT_RUN</x:v>
      </x:c>
      <x:c r="J412" s="25" t="str">
        <x:v>NOT_RUN</x:v>
      </x:c>
      <x:c r="K412" s="25" t="n">
        <x:v>1</x:v>
      </x:c>
      <x:c r="L412" s="27" t="b">
        <x:v>0</x:v>
      </x:c>
      <x:c r="M412" s="25" t="str">
        <x:v>Deepseek-flash-v4/state/Round1/shards/JacksonDatabind.json</x:v>
      </x:c>
      <x:c r="N412" s="25" t="str">
        <x:v>Deepseek-flash-v4/Result/JacksonDatabind_14/result.json</x:v>
      </x:c>
      <x:c r="O412" s="25" t="str">
        <x:v>Deepseek-flash-v4/Result/JacksonDatabind_14/result.json</x:v>
      </x:c>
      <x:c r="P412" t="str">
        <x:v>BOTH_NOT_RUN</x:v>
      </x:c>
      <x:c r="Q412" s="21" t="str"/>
      <x:c r="R412" s="21" t="str"/>
      <x:c r="S412" s="21" t="str"/>
      <x:c r="T412" s="17" t="str">
        <x:v>false</x:v>
      </x:c>
      <x:c r="U412" s="17" t="str">
        <x:v>true</x:v>
      </x:c>
      <x:c r="V412" s="17" t="str">
        <x:v>false</x:v>
      </x:c>
    </x:row>
    <x:row r="413" ht="80" customHeight="1">
      <x:c r="A413" s="25" t="str">
        <x:v>JacksonDatabind</x:v>
      </x:c>
      <x:c r="B413" s="25" t="n">
        <x:v>15</x:v>
      </x:c>
      <x:c r="C413" s="25" t="str">
        <x:v>Round1</x:v>
      </x:c>
      <x:c r="D413" s="25" t="str">
        <x:v>NOT_AVAILABLE</x:v>
      </x:c>
      <x:c r="E413" s="25" t="str">
        <x:v>N/A</x:v>
      </x:c>
      <x:c r="F413" s="26" t="str">
        <x:v>Tests exist but current coverage did not complete</x:v>
      </x:c>
      <x:c r="G413" s="25" t="str">
        <x:v>true</x:v>
      </x:c>
      <x:c r="H413" s="25" t="str">
        <x:v>NOT_AVAILABLE</x:v>
      </x:c>
      <x:c r="I413" s="25" t="str">
        <x:v>NOT_RUN</x:v>
      </x:c>
      <x:c r="J413" s="25" t="str">
        <x:v>NOT_RUN</x:v>
      </x:c>
      <x:c r="K413" s="25" t="n">
        <x:v>5</x:v>
      </x:c>
      <x:c r="L413" s="27" t="b">
        <x:v>0</x:v>
      </x:c>
      <x:c r="M413" s="25" t="str">
        <x:v>Deepseek-flash-v4/state/Round1/shards/JacksonDatabind.json</x:v>
      </x:c>
      <x:c r="N413" s="25" t="str">
        <x:v>Deepseek-flash-v4/Result/JacksonDatabind_15/result.json</x:v>
      </x:c>
      <x:c r="O413" s="25" t="str">
        <x:v>Deepseek-flash-v4/Result/JacksonDatabind_15/result.json</x:v>
      </x:c>
      <x:c r="P413" t="str">
        <x:v>BOTH_NOT_RUN</x:v>
      </x:c>
      <x:c r="Q413" s="21" t="str"/>
      <x:c r="R413" s="21" t="str"/>
      <x:c r="S413" s="21" t="str"/>
      <x:c r="T413" s="17" t="str">
        <x:v>false</x:v>
      </x:c>
      <x:c r="U413" s="17" t="str">
        <x:v>true</x:v>
      </x:c>
      <x:c r="V413" s="17" t="str">
        <x:v>false</x:v>
      </x:c>
    </x:row>
    <x:row r="414" ht="80" customHeight="1">
      <x:c r="A414" s="25" t="str">
        <x:v>JacksonDatabind</x:v>
      </x:c>
      <x:c r="B414" s="25" t="n">
        <x:v>16</x:v>
      </x:c>
      <x:c r="C414" s="25" t="str">
        <x:v>Round1</x:v>
      </x:c>
      <x:c r="D414" s="25" t="str">
        <x:v>INCONCLUSIVE</x:v>
      </x:c>
      <x:c r="E414" s="25" t="str">
        <x:v>N/A</x:v>
      </x:c>
      <x:c r="F414" s="26" t="str">
        <x:v>Fixed also failed; assertion failure cannot be attributed to this bug</x:v>
      </x:c>
      <x:c r="G414" s="25" t="str">
        <x:v>true</x:v>
      </x:c>
      <x:c r="H414" s="25" t="str">
        <x:v>INCONCLUSIVE</x:v>
      </x:c>
      <x:c r="I414" s="25" t="str">
        <x:v>FAIL</x:v>
      </x:c>
      <x:c r="J414" s="25" t="str">
        <x:v>FAIL</x:v>
      </x:c>
      <x:c r="K414" s="25" t="n">
        <x:v>1</x:v>
      </x:c>
      <x:c r="L414" s="27" t="b">
        <x:v>0</x:v>
      </x:c>
      <x:c r="M414" s="25" t="str">
        <x:v>Deepseek-flash-v4/state/Round1/shards/JacksonDatabind.json</x:v>
      </x:c>
      <x:c r="N414" s="25" t="str">
        <x:v>Deepseek-flash-v4/Result/JacksonDatabind_16/result.json</x:v>
      </x:c>
      <x:c r="O414" s="25" t="str">
        <x:v>Deepseek-flash-v4/Result/JacksonDatabind_16/result.json</x:v>
      </x:c>
      <x:c r="P414"/>
      <x:c r="Q414" s="21" t="str"/>
      <x:c r="R414" s="21" t="str"/>
      <x:c r="S414" s="21" t="str"/>
      <x:c r="T414" s="17" t="str">
        <x:v>false</x:v>
      </x:c>
      <x:c r="U414" s="17" t="str">
        <x:v>true</x:v>
      </x:c>
      <x:c r="V414" s="17" t="str">
        <x:v>false</x:v>
      </x:c>
    </x:row>
    <x:row r="415" ht="80" customHeight="1">
      <x:c r="A415" s="25" t="str">
        <x:v>JacksonDatabind</x:v>
      </x:c>
      <x:c r="B415" s="25" t="n">
        <x:v>17</x:v>
      </x:c>
      <x:c r="C415" s="25" t="str">
        <x:v>Round1</x:v>
      </x:c>
      <x:c r="D415" s="25" t="str">
        <x:v>NOT_AVAILABLE</x:v>
      </x:c>
      <x:c r="E415" s="25" t="str">
        <x:v>N/A</x:v>
      </x:c>
      <x:c r="F415" s="26" t="str">
        <x:v>Tests exist but current coverage did not complete</x:v>
      </x:c>
      <x:c r="G415" s="25" t="str">
        <x:v>true</x:v>
      </x:c>
      <x:c r="H415" s="25" t="str">
        <x:v>NOT_AVAILABLE</x:v>
      </x:c>
      <x:c r="I415" s="25" t="str">
        <x:v>NOT_RUN</x:v>
      </x:c>
      <x:c r="J415" s="25" t="str">
        <x:v>NOT_RUN</x:v>
      </x:c>
      <x:c r="K415" s="25" t="n">
        <x:v>1</x:v>
      </x:c>
      <x:c r="L415" s="27" t="b">
        <x:v>0</x:v>
      </x:c>
      <x:c r="M415" s="25" t="str">
        <x:v>Deepseek-flash-v4/state/Round1/shards/JacksonDatabind.json</x:v>
      </x:c>
      <x:c r="N415" s="25" t="str">
        <x:v>Deepseek-flash-v4/Result/JacksonDatabind_17/result.json</x:v>
      </x:c>
      <x:c r="O415" s="25" t="str">
        <x:v>Deepseek-flash-v4/Result/JacksonDatabind_17/result.json</x:v>
      </x:c>
      <x:c r="P415" t="str">
        <x:v>BOTH_NOT_RUN</x:v>
      </x:c>
      <x:c r="Q415" s="21" t="str"/>
      <x:c r="R415" s="21" t="str"/>
      <x:c r="S415" s="21" t="str"/>
      <x:c r="T415" s="17" t="str">
        <x:v>false</x:v>
      </x:c>
      <x:c r="U415" s="17" t="str">
        <x:v>true</x:v>
      </x:c>
      <x:c r="V415" s="17" t="str">
        <x:v>false</x:v>
      </x:c>
    </x:row>
    <x:row r="416" ht="80" customHeight="1">
      <x:c r="A416" s="25" t="str">
        <x:v>JacksonDatabind</x:v>
      </x:c>
      <x:c r="B416" s="25" t="n">
        <x:v>18</x:v>
      </x:c>
      <x:c r="C416" s="25" t="str">
        <x:v>Round1</x:v>
      </x:c>
      <x:c r="D416" s="25" t="str">
        <x:v>NOT_AVAILABLE</x:v>
      </x:c>
      <x:c r="E416" s="25" t="str">
        <x:v>N/A</x:v>
      </x:c>
      <x:c r="F416" s="26" t="str">
        <x:v>Tests exist but current coverage did not complete</x:v>
      </x:c>
      <x:c r="G416" s="25" t="str">
        <x:v>true</x:v>
      </x:c>
      <x:c r="H416" s="25" t="str">
        <x:v>NOT_AVAILABLE</x:v>
      </x:c>
      <x:c r="I416" s="25" t="str">
        <x:v>NOT_RUN</x:v>
      </x:c>
      <x:c r="J416" s="25" t="str">
        <x:v>NOT_RUN</x:v>
      </x:c>
      <x:c r="K416" s="25" t="n">
        <x:v>1</x:v>
      </x:c>
      <x:c r="L416" s="27" t="b">
        <x:v>0</x:v>
      </x:c>
      <x:c r="M416" s="25" t="str">
        <x:v>Deepseek-flash-v4/state/Round1/shards/JacksonDatabind.json</x:v>
      </x:c>
      <x:c r="N416" s="25" t="str">
        <x:v>Deepseek-flash-v4/Result/JacksonDatabind_18/result.json</x:v>
      </x:c>
      <x:c r="O416" s="25" t="str">
        <x:v>Deepseek-flash-v4/Result/JacksonDatabind_18/result.json</x:v>
      </x:c>
      <x:c r="P416" t="str">
        <x:v>BOTH_NOT_RUN</x:v>
      </x:c>
      <x:c r="Q416" s="21" t="str"/>
      <x:c r="R416" s="21" t="str"/>
      <x:c r="S416" s="21" t="str"/>
      <x:c r="T416" s="17" t="str">
        <x:v>false</x:v>
      </x:c>
      <x:c r="U416" s="17" t="str">
        <x:v>true</x:v>
      </x:c>
      <x:c r="V416" s="17" t="str">
        <x:v>false</x:v>
      </x:c>
    </x:row>
    <x:row r="417" ht="80" customHeight="1">
      <x:c r="A417" s="25" t="str">
        <x:v>JacksonDatabind</x:v>
      </x:c>
      <x:c r="B417" s="25" t="n">
        <x:v>19</x:v>
      </x:c>
      <x:c r="C417" s="25" t="str">
        <x:v>Round1</x:v>
      </x:c>
      <x:c r="D417" s="25" t="str">
        <x:v>NOT_AVAILABLE</x:v>
      </x:c>
      <x:c r="E417" s="25" t="str">
        <x:v>N/A</x:v>
      </x:c>
      <x:c r="F417" s="26" t="str">
        <x:v>Tests exist but current coverage did not complete</x:v>
      </x:c>
      <x:c r="G417" s="25" t="str">
        <x:v>true</x:v>
      </x:c>
      <x:c r="H417" s="25" t="str">
        <x:v>NOT_AVAILABLE</x:v>
      </x:c>
      <x:c r="I417" s="25" t="str">
        <x:v>NOT_RUN</x:v>
      </x:c>
      <x:c r="J417" s="25" t="str">
        <x:v>NOT_RUN</x:v>
      </x:c>
      <x:c r="K417" s="25" t="n">
        <x:v>1</x:v>
      </x:c>
      <x:c r="L417" s="27" t="b">
        <x:v>0</x:v>
      </x:c>
      <x:c r="M417" s="25" t="str">
        <x:v>Deepseek-flash-v4/state/Round1/shards/JacksonDatabind.json</x:v>
      </x:c>
      <x:c r="N417" s="25" t="str">
        <x:v>Deepseek-flash-v4/Result/JacksonDatabind_19/result.json</x:v>
      </x:c>
      <x:c r="O417" s="25" t="str">
        <x:v>Deepseek-flash-v4/Result/JacksonDatabind_19/result.json</x:v>
      </x:c>
      <x:c r="P417" t="str">
        <x:v>BOTH_NOT_RUN</x:v>
      </x:c>
      <x:c r="Q417" s="21" t="str"/>
      <x:c r="R417" s="21" t="str"/>
      <x:c r="S417" s="21" t="str"/>
      <x:c r="T417" s="17" t="str">
        <x:v>false</x:v>
      </x:c>
      <x:c r="U417" s="17" t="str">
        <x:v>true</x:v>
      </x:c>
      <x:c r="V417" s="17" t="str">
        <x:v>false</x:v>
      </x:c>
    </x:row>
    <x:row r="418" ht="80" customHeight="1">
      <x:c r="A418" s="25" t="str">
        <x:v>JacksonDatabind</x:v>
      </x:c>
      <x:c r="B418" s="25" t="n">
        <x:v>2</x:v>
      </x:c>
      <x:c r="C418" s="25" t="str">
        <x:v>Round1</x:v>
      </x:c>
      <x:c r="D418" s="25" t="str">
        <x:v>NOT_AVAILABLE</x:v>
      </x:c>
      <x:c r="E418" s="25" t="str">
        <x:v>N/A</x:v>
      </x:c>
      <x:c r="F418" s="26" t="str">
        <x:v>Tests exist but current coverage did not complete</x:v>
      </x:c>
      <x:c r="G418" s="25" t="str">
        <x:v>true</x:v>
      </x:c>
      <x:c r="H418" s="25" t="str">
        <x:v>NOT_AVAILABLE</x:v>
      </x:c>
      <x:c r="I418" s="25" t="str">
        <x:v>NOT_RUN</x:v>
      </x:c>
      <x:c r="J418" s="25" t="str">
        <x:v>NOT_RUN</x:v>
      </x:c>
      <x:c r="K418" s="25" t="n">
        <x:v>1</x:v>
      </x:c>
      <x:c r="L418" s="27" t="b">
        <x:v>0</x:v>
      </x:c>
      <x:c r="M418" s="25" t="str">
        <x:v>Deepseek-flash-v4/state/Round1/shards/JacksonDatabind.json</x:v>
      </x:c>
      <x:c r="N418" s="25" t="str">
        <x:v>Deepseek-flash-v4/Result/JacksonDatabind_2/result.json</x:v>
      </x:c>
      <x:c r="O418" s="25" t="str">
        <x:v>Deepseek-flash-v4/Result/JacksonDatabind_2/result.json</x:v>
      </x:c>
      <x:c r="P418" t="str">
        <x:v>BOTH_NOT_RUN</x:v>
      </x:c>
      <x:c r="Q418" s="21" t="str"/>
      <x:c r="R418" s="21" t="str"/>
      <x:c r="S418" s="21" t="str"/>
      <x:c r="T418" s="17" t="str">
        <x:v>false</x:v>
      </x:c>
      <x:c r="U418" s="17" t="str">
        <x:v>true</x:v>
      </x:c>
      <x:c r="V418" s="17" t="str">
        <x:v>false</x:v>
      </x:c>
    </x:row>
    <x:row r="419" ht="80" customHeight="1">
      <x:c r="A419" s="25" t="str">
        <x:v>JacksonDatabind</x:v>
      </x:c>
      <x:c r="B419" s="25" t="n">
        <x:v>20</x:v>
      </x:c>
      <x:c r="C419" s="25" t="str">
        <x:v>Round1</x:v>
      </x:c>
      <x:c r="D419" s="25" t="str">
        <x:v>NOT_AVAILABLE</x:v>
      </x:c>
      <x:c r="E419" s="25" t="str">
        <x:v>N/A</x:v>
      </x:c>
      <x:c r="F419" s="26" t="str">
        <x:v>Tests exist but current coverage did not complete</x:v>
      </x:c>
      <x:c r="G419" s="25" t="str">
        <x:v>true</x:v>
      </x:c>
      <x:c r="H419" s="25" t="str">
        <x:v>NOT_AVAILABLE</x:v>
      </x:c>
      <x:c r="I419" s="25" t="str">
        <x:v>NOT_RUN</x:v>
      </x:c>
      <x:c r="J419" s="25" t="str">
        <x:v>NOT_RUN</x:v>
      </x:c>
      <x:c r="K419" s="25" t="n">
        <x:v>1</x:v>
      </x:c>
      <x:c r="L419" s="27" t="b">
        <x:v>0</x:v>
      </x:c>
      <x:c r="M419" s="25" t="str">
        <x:v>Deepseek-flash-v4/state/Round1/shards/JacksonDatabind.json</x:v>
      </x:c>
      <x:c r="N419" s="25" t="str">
        <x:v>Deepseek-flash-v4/Result/JacksonDatabind_20/result.json</x:v>
      </x:c>
      <x:c r="O419" s="25" t="str">
        <x:v>Deepseek-flash-v4/Result/JacksonDatabind_20/result.json</x:v>
      </x:c>
      <x:c r="P419" t="str">
        <x:v>BOTH_NOT_RUN</x:v>
      </x:c>
      <x:c r="Q419" s="21" t="str"/>
      <x:c r="R419" s="21" t="str"/>
      <x:c r="S419" s="21" t="str"/>
      <x:c r="T419" s="17" t="str">
        <x:v>false</x:v>
      </x:c>
      <x:c r="U419" s="17" t="str">
        <x:v>true</x:v>
      </x:c>
      <x:c r="V419" s="17" t="str">
        <x:v>false</x:v>
      </x:c>
    </x:row>
    <x:row r="420" ht="80" customHeight="1">
      <x:c r="A420" s="25" t="str">
        <x:v>JacksonDatabind</x:v>
      </x:c>
      <x:c r="B420" s="25" t="n">
        <x:v>21</x:v>
      </x:c>
      <x:c r="C420" s="25" t="str">
        <x:v>Round1</x:v>
      </x:c>
      <x:c r="D420" s="25" t="str">
        <x:v>NOT_AVAILABLE</x:v>
      </x:c>
      <x:c r="E420" s="25" t="str">
        <x:v>N/A</x:v>
      </x:c>
      <x:c r="F420" s="26" t="str">
        <x:v>Tests exist but current coverage did not complete</x:v>
      </x:c>
      <x:c r="G420" s="25" t="str">
        <x:v>true</x:v>
      </x:c>
      <x:c r="H420" s="25" t="str">
        <x:v>NOT_AVAILABLE</x:v>
      </x:c>
      <x:c r="I420" s="25" t="str">
        <x:v>NOT_RUN</x:v>
      </x:c>
      <x:c r="J420" s="25" t="str">
        <x:v>NOT_RUN</x:v>
      </x:c>
      <x:c r="K420" s="25" t="n">
        <x:v>1</x:v>
      </x:c>
      <x:c r="L420" s="27" t="b">
        <x:v>0</x:v>
      </x:c>
      <x:c r="M420" s="25" t="str">
        <x:v>Deepseek-flash-v4/state/Round1/shards/JacksonDatabind.json</x:v>
      </x:c>
      <x:c r="N420" s="25" t="str">
        <x:v>Deepseek-flash-v4/Result/JacksonDatabind_21/result.json</x:v>
      </x:c>
      <x:c r="O420" s="25" t="str">
        <x:v>Deepseek-flash-v4/Result/JacksonDatabind_21/result.json</x:v>
      </x:c>
      <x:c r="P420" t="str">
        <x:v>BOTH_NOT_RUN</x:v>
      </x:c>
      <x:c r="Q420" s="21" t="str"/>
      <x:c r="R420" s="21" t="str"/>
      <x:c r="S420" s="21" t="str"/>
      <x:c r="T420" s="17" t="str">
        <x:v>false</x:v>
      </x:c>
      <x:c r="U420" s="17" t="str">
        <x:v>true</x:v>
      </x:c>
      <x:c r="V420" s="17" t="str">
        <x:v>false</x:v>
      </x:c>
    </x:row>
    <x:row r="421" ht="80" customHeight="1">
      <x:c r="A421" s="25" t="str">
        <x:v>JacksonDatabind</x:v>
      </x:c>
      <x:c r="B421" s="25" t="n">
        <x:v>22</x:v>
      </x:c>
      <x:c r="C421" s="25" t="str">
        <x:v>Round1</x:v>
      </x:c>
      <x:c r="D421" s="25" t="str">
        <x:v>NOT_AVAILABLE</x:v>
      </x:c>
      <x:c r="E421" s="25" t="str">
        <x:v>N/A</x:v>
      </x:c>
      <x:c r="F421" s="26" t="str">
        <x:v>Tests exist but current coverage did not complete</x:v>
      </x:c>
      <x:c r="G421" s="25" t="str">
        <x:v>true</x:v>
      </x:c>
      <x:c r="H421" s="25" t="str">
        <x:v>NOT_AVAILABLE</x:v>
      </x:c>
      <x:c r="I421" s="25" t="str">
        <x:v>NOT_RUN</x:v>
      </x:c>
      <x:c r="J421" s="25" t="str">
        <x:v>NOT_RUN</x:v>
      </x:c>
      <x:c r="K421" s="25" t="n">
        <x:v>2</x:v>
      </x:c>
      <x:c r="L421" s="27" t="b">
        <x:v>0</x:v>
      </x:c>
      <x:c r="M421" s="25" t="str">
        <x:v>Deepseek-flash-v4/state/Round1/shards/JacksonDatabind.json</x:v>
      </x:c>
      <x:c r="N421" s="25" t="str">
        <x:v>Deepseek-flash-v4/Result/JacksonDatabind_22/result.json</x:v>
      </x:c>
      <x:c r="O421" s="25" t="str">
        <x:v>Deepseek-flash-v4/Result/JacksonDatabind_22/result.json</x:v>
      </x:c>
      <x:c r="P421" t="str">
        <x:v>BOTH_NOT_RUN</x:v>
      </x:c>
      <x:c r="Q421" s="21" t="str"/>
      <x:c r="R421" s="21" t="str"/>
      <x:c r="S421" s="21" t="str"/>
      <x:c r="T421" s="17" t="str">
        <x:v>false</x:v>
      </x:c>
      <x:c r="U421" s="17" t="str">
        <x:v>true</x:v>
      </x:c>
      <x:c r="V421" s="17" t="str">
        <x:v>false</x:v>
      </x:c>
    </x:row>
    <x:row r="422" ht="80" customHeight="1">
      <x:c r="A422" s="25" t="str">
        <x:v>JacksonDatabind</x:v>
      </x:c>
      <x:c r="B422" s="25" t="n">
        <x:v>23</x:v>
      </x:c>
      <x:c r="C422" s="25" t="str">
        <x:v>Round1</x:v>
      </x:c>
      <x:c r="D422" s="25" t="str">
        <x:v>NOT_AVAILABLE</x:v>
      </x:c>
      <x:c r="E422" s="25" t="str">
        <x:v>N/A</x:v>
      </x:c>
      <x:c r="F422" s="26" t="str">
        <x:v>Tests exist but current coverage did not complete</x:v>
      </x:c>
      <x:c r="G422" s="25" t="str">
        <x:v>true</x:v>
      </x:c>
      <x:c r="H422" s="25" t="str">
        <x:v>NOT_AVAILABLE</x:v>
      </x:c>
      <x:c r="I422" s="25" t="str">
        <x:v>NOT_RUN</x:v>
      </x:c>
      <x:c r="J422" s="25" t="str">
        <x:v>NOT_RUN</x:v>
      </x:c>
      <x:c r="K422" s="25" t="n">
        <x:v>1</x:v>
      </x:c>
      <x:c r="L422" s="27" t="b">
        <x:v>0</x:v>
      </x:c>
      <x:c r="M422" s="25" t="str">
        <x:v>Deepseek-flash-v4/state/Round1/shards/JacksonDatabind.json</x:v>
      </x:c>
      <x:c r="N422" s="25" t="str">
        <x:v>Deepseek-flash-v4/Result/JacksonDatabind_23/result.json</x:v>
      </x:c>
      <x:c r="O422" s="25" t="str">
        <x:v>Deepseek-flash-v4/Result/JacksonDatabind_23/result.json</x:v>
      </x:c>
      <x:c r="P422" t="str">
        <x:v>BOTH_NOT_RUN</x:v>
      </x:c>
      <x:c r="Q422" s="21" t="str"/>
      <x:c r="R422" s="21" t="str"/>
      <x:c r="S422" s="21" t="str"/>
      <x:c r="T422" s="17" t="str">
        <x:v>false</x:v>
      </x:c>
      <x:c r="U422" s="17" t="str">
        <x:v>true</x:v>
      </x:c>
      <x:c r="V422" s="17" t="str">
        <x:v>false</x:v>
      </x:c>
    </x:row>
    <x:row r="423" ht="80" customHeight="1">
      <x:c r="A423" s="25" t="str">
        <x:v>JacksonDatabind</x:v>
      </x:c>
      <x:c r="B423" s="25" t="n">
        <x:v>24</x:v>
      </x:c>
      <x:c r="C423" s="25" t="str">
        <x:v>Round1</x:v>
      </x:c>
      <x:c r="D423" s="25" t="str">
        <x:v>NOT_AVAILABLE</x:v>
      </x:c>
      <x:c r="E423" s="25" t="str">
        <x:v>N/A</x:v>
      </x:c>
      <x:c r="F423" s="26" t="str">
        <x:v>Tests exist but current coverage did not complete</x:v>
      </x:c>
      <x:c r="G423" s="25" t="str">
        <x:v>true</x:v>
      </x:c>
      <x:c r="H423" s="25" t="str">
        <x:v>NOT_AVAILABLE</x:v>
      </x:c>
      <x:c r="I423" s="25" t="str">
        <x:v>NOT_RUN</x:v>
      </x:c>
      <x:c r="J423" s="25" t="str">
        <x:v>NOT_RUN</x:v>
      </x:c>
      <x:c r="K423" s="25" t="n">
        <x:v>1</x:v>
      </x:c>
      <x:c r="L423" s="27" t="b">
        <x:v>0</x:v>
      </x:c>
      <x:c r="M423" s="25" t="str">
        <x:v>Deepseek-flash-v4/state/Round1/shards/JacksonDatabind.json</x:v>
      </x:c>
      <x:c r="N423" s="25" t="str">
        <x:v>Deepseek-flash-v4/Result/JacksonDatabind_24/result.json</x:v>
      </x:c>
      <x:c r="O423" s="25" t="str">
        <x:v>Deepseek-flash-v4/Result/JacksonDatabind_24/result.json</x:v>
      </x:c>
      <x:c r="P423" t="str">
        <x:v>BOTH_NOT_RUN</x:v>
      </x:c>
      <x:c r="Q423" s="21" t="str"/>
      <x:c r="R423" s="21" t="str"/>
      <x:c r="S423" s="21" t="str"/>
      <x:c r="T423" s="17" t="str">
        <x:v>false</x:v>
      </x:c>
      <x:c r="U423" s="17" t="str">
        <x:v>true</x:v>
      </x:c>
      <x:c r="V423" s="17" t="str">
        <x:v>false</x:v>
      </x:c>
    </x:row>
    <x:row r="424" ht="80" customHeight="1">
      <x:c r="A424" s="25" t="str">
        <x:v>JacksonDatabind</x:v>
      </x:c>
      <x:c r="B424" s="25" t="n">
        <x:v>25</x:v>
      </x:c>
      <x:c r="C424" s="25" t="str">
        <x:v>Round1</x:v>
      </x:c>
      <x:c r="D424" s="25" t="str">
        <x:v>NOT_AVAILABLE</x:v>
      </x:c>
      <x:c r="E424" s="25" t="str">
        <x:v>N/A</x:v>
      </x:c>
      <x:c r="F424" s="26" t="str">
        <x:v>Tests exist but current coverage did not complete</x:v>
      </x:c>
      <x:c r="G424" s="25" t="str">
        <x:v>true</x:v>
      </x:c>
      <x:c r="H424" s="25" t="str">
        <x:v>NOT_AVAILABLE</x:v>
      </x:c>
      <x:c r="I424" s="25" t="str">
        <x:v>NOT_RUN</x:v>
      </x:c>
      <x:c r="J424" s="25" t="str">
        <x:v>NOT_RUN</x:v>
      </x:c>
      <x:c r="K424" s="25" t="n">
        <x:v>4</x:v>
      </x:c>
      <x:c r="L424" s="27" t="b">
        <x:v>0</x:v>
      </x:c>
      <x:c r="M424" s="25" t="str">
        <x:v>Deepseek-flash-v4/state/Round1/shards/JacksonDatabind.json</x:v>
      </x:c>
      <x:c r="N424" s="25" t="str">
        <x:v>Deepseek-flash-v4/Result/JacksonDatabind_25/result.json</x:v>
      </x:c>
      <x:c r="O424" s="25" t="str">
        <x:v>Deepseek-flash-v4/Result/JacksonDatabind_25/result.json</x:v>
      </x:c>
      <x:c r="P424" t="str">
        <x:v>BOTH_NOT_RUN</x:v>
      </x:c>
      <x:c r="Q424" s="21" t="str"/>
      <x:c r="R424" s="21" t="str"/>
      <x:c r="S424" s="21" t="str"/>
      <x:c r="T424" s="17" t="str">
        <x:v>false</x:v>
      </x:c>
      <x:c r="U424" s="17" t="str">
        <x:v>true</x:v>
      </x:c>
      <x:c r="V424" s="17" t="str">
        <x:v>false</x:v>
      </x:c>
    </x:row>
    <x:row r="425" ht="80" customHeight="1">
      <x:c r="A425" s="25" t="str">
        <x:v>JacksonDatabind</x:v>
      </x:c>
      <x:c r="B425" s="25" t="n">
        <x:v>26</x:v>
      </x:c>
      <x:c r="C425" s="25" t="str">
        <x:v>Round1</x:v>
      </x:c>
      <x:c r="D425" s="25" t="str">
        <x:v>NOT_AVAILABLE</x:v>
      </x:c>
      <x:c r="E425" s="25" t="str">
        <x:v>N/A</x:v>
      </x:c>
      <x:c r="F425" s="26" t="str">
        <x:v>Tests exist but current coverage did not complete</x:v>
      </x:c>
      <x:c r="G425" s="25" t="str">
        <x:v>true</x:v>
      </x:c>
      <x:c r="H425" s="25" t="str">
        <x:v>NOT_AVAILABLE</x:v>
      </x:c>
      <x:c r="I425" s="25" t="str">
        <x:v>NOT_RUN</x:v>
      </x:c>
      <x:c r="J425" s="25" t="str">
        <x:v>NOT_RUN</x:v>
      </x:c>
      <x:c r="K425" s="25" t="n">
        <x:v>1</x:v>
      </x:c>
      <x:c r="L425" s="27" t="b">
        <x:v>0</x:v>
      </x:c>
      <x:c r="M425" s="25" t="str">
        <x:v>Deepseek-flash-v4/state/Round1/shards/JacksonDatabind.json</x:v>
      </x:c>
      <x:c r="N425" s="25" t="str">
        <x:v>Deepseek-flash-v4/Result/JacksonDatabind_26/result.json</x:v>
      </x:c>
      <x:c r="O425" s="25" t="str">
        <x:v>Deepseek-flash-v4/Result/JacksonDatabind_26/result.json</x:v>
      </x:c>
      <x:c r="P425" t="str">
        <x:v>BOTH_NOT_RUN</x:v>
      </x:c>
      <x:c r="Q425" s="21" t="str"/>
      <x:c r="R425" s="21" t="str"/>
      <x:c r="S425" s="21" t="str"/>
      <x:c r="T425" s="17" t="str">
        <x:v>false</x:v>
      </x:c>
      <x:c r="U425" s="17" t="str">
        <x:v>true</x:v>
      </x:c>
      <x:c r="V425" s="17" t="str">
        <x:v>false</x:v>
      </x:c>
    </x:row>
    <x:row r="426" ht="80" customHeight="1">
      <x:c r="A426" s="25" t="str">
        <x:v>JacksonDatabind</x:v>
      </x:c>
      <x:c r="B426" s="25" t="n">
        <x:v>27</x:v>
      </x:c>
      <x:c r="C426" s="25" t="str">
        <x:v>Round1</x:v>
      </x:c>
      <x:c r="D426" s="25" t="str">
        <x:v>NOT_AVAILABLE</x:v>
      </x:c>
      <x:c r="E426" s="25" t="str">
        <x:v>N/A</x:v>
      </x:c>
      <x:c r="F426" s="26" t="str">
        <x:v>Tests exist but current coverage did not complete</x:v>
      </x:c>
      <x:c r="G426" s="25" t="str">
        <x:v>true</x:v>
      </x:c>
      <x:c r="H426" s="25" t="str">
        <x:v>NOT_AVAILABLE</x:v>
      </x:c>
      <x:c r="I426" s="25" t="str">
        <x:v>NOT_RUN</x:v>
      </x:c>
      <x:c r="J426" s="25" t="str">
        <x:v>NOT_RUN</x:v>
      </x:c>
      <x:c r="K426" s="25" t="n">
        <x:v>1</x:v>
      </x:c>
      <x:c r="L426" s="27" t="b">
        <x:v>0</x:v>
      </x:c>
      <x:c r="M426" s="25" t="str">
        <x:v>Deepseek-flash-v4/state/Round1/shards/JacksonDatabind.json</x:v>
      </x:c>
      <x:c r="N426" s="25" t="str">
        <x:v>Deepseek-flash-v4/Result/JacksonDatabind_27/result.json</x:v>
      </x:c>
      <x:c r="O426" s="25" t="str">
        <x:v>Deepseek-flash-v4/Result/JacksonDatabind_27/result.json</x:v>
      </x:c>
      <x:c r="P426" t="str">
        <x:v>BOTH_NOT_RUN</x:v>
      </x:c>
      <x:c r="Q426" s="21" t="str"/>
      <x:c r="R426" s="21" t="str"/>
      <x:c r="S426" s="21" t="str"/>
      <x:c r="T426" s="17" t="str">
        <x:v>false</x:v>
      </x:c>
      <x:c r="U426" s="17" t="str">
        <x:v>true</x:v>
      </x:c>
      <x:c r="V426" s="17" t="str">
        <x:v>false</x:v>
      </x:c>
    </x:row>
    <x:row r="427" ht="80" customHeight="1">
      <x:c r="A427" s="25" t="str">
        <x:v>JacksonDatabind</x:v>
      </x:c>
      <x:c r="B427" s="25" t="n">
        <x:v>28</x:v>
      </x:c>
      <x:c r="C427" s="25" t="str">
        <x:v>Round1</x:v>
      </x:c>
      <x:c r="D427" s="25" t="str">
        <x:v>NOT_AVAILABLE</x:v>
      </x:c>
      <x:c r="E427" s="25" t="str">
        <x:v>N/A</x:v>
      </x:c>
      <x:c r="F427" s="26" t="str">
        <x:v>Tests exist but current coverage did not complete</x:v>
      </x:c>
      <x:c r="G427" s="25" t="str">
        <x:v>true</x:v>
      </x:c>
      <x:c r="H427" s="25" t="str">
        <x:v>NOT_AVAILABLE</x:v>
      </x:c>
      <x:c r="I427" s="25" t="str">
        <x:v>NOT_RUN</x:v>
      </x:c>
      <x:c r="J427" s="25" t="str">
        <x:v>NOT_RUN</x:v>
      </x:c>
      <x:c r="K427" s="25" t="n">
        <x:v>1</x:v>
      </x:c>
      <x:c r="L427" s="27" t="b">
        <x:v>0</x:v>
      </x:c>
      <x:c r="M427" s="25" t="str">
        <x:v>Deepseek-flash-v4/state/Round1/shards/JacksonDatabind.json</x:v>
      </x:c>
      <x:c r="N427" s="25" t="str">
        <x:v>Deepseek-flash-v4/Result/JacksonDatabind_28/result.json</x:v>
      </x:c>
      <x:c r="O427" s="25" t="str">
        <x:v>Deepseek-flash-v4/Result/JacksonDatabind_28/result.json</x:v>
      </x:c>
      <x:c r="P427" t="str">
        <x:v>BOTH_NOT_RUN</x:v>
      </x:c>
      <x:c r="Q427" s="21" t="str"/>
      <x:c r="R427" s="21" t="str"/>
      <x:c r="S427" s="21" t="str"/>
      <x:c r="T427" s="17" t="str">
        <x:v>false</x:v>
      </x:c>
      <x:c r="U427" s="17" t="str">
        <x:v>true</x:v>
      </x:c>
      <x:c r="V427" s="17" t="str">
        <x:v>false</x:v>
      </x:c>
    </x:row>
    <x:row r="428" ht="80" customHeight="1">
      <x:c r="A428" s="25" t="str">
        <x:v>JacksonDatabind</x:v>
      </x:c>
      <x:c r="B428" s="25" t="n">
        <x:v>29</x:v>
      </x:c>
      <x:c r="C428" s="25" t="str">
        <x:v>Round1</x:v>
      </x:c>
      <x:c r="D428" s="25" t="str">
        <x:v>NOT_AVAILABLE</x:v>
      </x:c>
      <x:c r="E428" s="25" t="str">
        <x:v>N/A</x:v>
      </x:c>
      <x:c r="F428" s="26" t="str">
        <x:v>Tests exist but current coverage did not complete</x:v>
      </x:c>
      <x:c r="G428" s="25" t="str">
        <x:v>true</x:v>
      </x:c>
      <x:c r="H428" s="25" t="str">
        <x:v>NOT_AVAILABLE</x:v>
      </x:c>
      <x:c r="I428" s="25" t="str">
        <x:v>NOT_RUN</x:v>
      </x:c>
      <x:c r="J428" s="25" t="str">
        <x:v>NOT_RUN</x:v>
      </x:c>
      <x:c r="K428" s="25" t="n">
        <x:v>1</x:v>
      </x:c>
      <x:c r="L428" s="27" t="b">
        <x:v>0</x:v>
      </x:c>
      <x:c r="M428" s="25" t="str">
        <x:v>Deepseek-flash-v4/state/Round1/shards/JacksonDatabind.json</x:v>
      </x:c>
      <x:c r="N428" s="25" t="str">
        <x:v>Deepseek-flash-v4/Result/JacksonDatabind_29/result.json</x:v>
      </x:c>
      <x:c r="O428" s="25" t="str">
        <x:v>Deepseek-flash-v4/Result/JacksonDatabind_29/result.json</x:v>
      </x:c>
      <x:c r="P428" t="str">
        <x:v>BOTH_NOT_RUN</x:v>
      </x:c>
      <x:c r="Q428" s="21" t="str"/>
      <x:c r="R428" s="21" t="str"/>
      <x:c r="S428" s="21" t="str"/>
      <x:c r="T428" s="17" t="str">
        <x:v>false</x:v>
      </x:c>
      <x:c r="U428" s="17" t="str">
        <x:v>true</x:v>
      </x:c>
      <x:c r="V428" s="17" t="str">
        <x:v>false</x:v>
      </x:c>
    </x:row>
    <x:row r="429" ht="80" customHeight="1">
      <x:c r="A429" s="25" t="str">
        <x:v>JacksonDatabind</x:v>
      </x:c>
      <x:c r="B429" s="25" t="n">
        <x:v>3</x:v>
      </x:c>
      <x:c r="C429" s="25" t="str">
        <x:v>Round1</x:v>
      </x:c>
      <x:c r="D429" s="25" t="str">
        <x:v>NOT_AVAILABLE</x:v>
      </x:c>
      <x:c r="E429" s="25" t="str">
        <x:v>N/A</x:v>
      </x:c>
      <x:c r="F429" s="26" t="str">
        <x:v>Tests exist but current coverage did not complete</x:v>
      </x:c>
      <x:c r="G429" s="25" t="str">
        <x:v>true</x:v>
      </x:c>
      <x:c r="H429" s="25" t="str">
        <x:v>NOT_AVAILABLE</x:v>
      </x:c>
      <x:c r="I429" s="25" t="str">
        <x:v>NOT_RUN</x:v>
      </x:c>
      <x:c r="J429" s="25" t="str">
        <x:v>NOT_RUN</x:v>
      </x:c>
      <x:c r="K429" s="25" t="n">
        <x:v>1</x:v>
      </x:c>
      <x:c r="L429" s="27" t="b">
        <x:v>0</x:v>
      </x:c>
      <x:c r="M429" s="25" t="str">
        <x:v>Deepseek-flash-v4/state/Round1/shards/JacksonDatabind.json</x:v>
      </x:c>
      <x:c r="N429" s="25" t="str">
        <x:v>Deepseek-flash-v4/Result/JacksonDatabind_3/result.json</x:v>
      </x:c>
      <x:c r="O429" s="25" t="str">
        <x:v>Deepseek-flash-v4/Result/JacksonDatabind_3/result.json</x:v>
      </x:c>
      <x:c r="P429" t="str">
        <x:v>BOTH_NOT_RUN</x:v>
      </x:c>
      <x:c r="Q429" s="21" t="str"/>
      <x:c r="R429" s="21" t="str"/>
      <x:c r="S429" s="21" t="str"/>
      <x:c r="T429" s="17" t="str">
        <x:v>false</x:v>
      </x:c>
      <x:c r="U429" s="17" t="str">
        <x:v>true</x:v>
      </x:c>
      <x:c r="V429" s="17" t="str">
        <x:v>false</x:v>
      </x:c>
    </x:row>
    <x:row r="430" ht="80" customHeight="1">
      <x:c r="A430" s="25" t="str">
        <x:v>JacksonDatabind</x:v>
      </x:c>
      <x:c r="B430" s="25" t="n">
        <x:v>30</x:v>
      </x:c>
      <x:c r="C430" s="25" t="str">
        <x:v>Round1</x:v>
      </x:c>
      <x:c r="D430" s="25" t="str">
        <x:v>NOT_AVAILABLE</x:v>
      </x:c>
      <x:c r="E430" s="25" t="str">
        <x:v>N/A</x:v>
      </x:c>
      <x:c r="F430" s="26" t="str">
        <x:v>Tests exist but current coverage did not complete</x:v>
      </x:c>
      <x:c r="G430" s="25" t="str">
        <x:v>true</x:v>
      </x:c>
      <x:c r="H430" s="25" t="str">
        <x:v>NOT_AVAILABLE</x:v>
      </x:c>
      <x:c r="I430" s="25" t="str">
        <x:v>NOT_RUN</x:v>
      </x:c>
      <x:c r="J430" s="25" t="str">
        <x:v>NOT_RUN</x:v>
      </x:c>
      <x:c r="K430" s="25" t="n">
        <x:v>2</x:v>
      </x:c>
      <x:c r="L430" s="27" t="b">
        <x:v>0</x:v>
      </x:c>
      <x:c r="M430" s="25" t="str">
        <x:v>Deepseek-flash-v4/state/Round1/shards/JacksonDatabind.json</x:v>
      </x:c>
      <x:c r="N430" s="25" t="str">
        <x:v>Deepseek-flash-v4/Result/JacksonDatabind_30/result.json</x:v>
      </x:c>
      <x:c r="O430" s="25" t="str">
        <x:v>Deepseek-flash-v4/Result/JacksonDatabind_30/result.json</x:v>
      </x:c>
      <x:c r="P430" t="str">
        <x:v>BOTH_NOT_RUN</x:v>
      </x:c>
      <x:c r="Q430" s="21" t="str"/>
      <x:c r="R430" s="21" t="str"/>
      <x:c r="S430" s="21" t="str"/>
      <x:c r="T430" s="17" t="str">
        <x:v>false</x:v>
      </x:c>
      <x:c r="U430" s="17" t="str">
        <x:v>true</x:v>
      </x:c>
      <x:c r="V430" s="17" t="str">
        <x:v>false</x:v>
      </x:c>
    </x:row>
    <x:row r="431" ht="80" customHeight="1">
      <x:c r="A431" s="25" t="str">
        <x:v>JacksonDatabind</x:v>
      </x:c>
      <x:c r="B431" s="25" t="n">
        <x:v>31</x:v>
      </x:c>
      <x:c r="C431" s="25" t="str">
        <x:v>Round1</x:v>
      </x:c>
      <x:c r="D431" s="25" t="str">
        <x:v>NOT_AVAILABLE</x:v>
      </x:c>
      <x:c r="E431" s="25" t="str">
        <x:v>N/A</x:v>
      </x:c>
      <x:c r="F431" s="26" t="str">
        <x:v>Tests exist but current coverage did not complete</x:v>
      </x:c>
      <x:c r="G431" s="25" t="str">
        <x:v>true</x:v>
      </x:c>
      <x:c r="H431" s="25" t="str">
        <x:v>NOT_AVAILABLE</x:v>
      </x:c>
      <x:c r="I431" s="25" t="str">
        <x:v>NOT_RUN</x:v>
      </x:c>
      <x:c r="J431" s="25" t="str">
        <x:v>NOT_RUN</x:v>
      </x:c>
      <x:c r="K431" s="25" t="n">
        <x:v>1</x:v>
      </x:c>
      <x:c r="L431" s="27" t="b">
        <x:v>0</x:v>
      </x:c>
      <x:c r="M431" s="25" t="str">
        <x:v>Deepseek-flash-v4/state/Round1/shards/JacksonDatabind.json</x:v>
      </x:c>
      <x:c r="N431" s="25" t="str">
        <x:v>Deepseek-flash-v4/Result/JacksonDatabind_31/result.json</x:v>
      </x:c>
      <x:c r="O431" s="25" t="str">
        <x:v>Deepseek-flash-v4/Result/JacksonDatabind_31/result.json</x:v>
      </x:c>
      <x:c r="P431" t="str">
        <x:v>BOTH_NOT_RUN</x:v>
      </x:c>
      <x:c r="Q431" s="21" t="str"/>
      <x:c r="R431" s="21" t="str"/>
      <x:c r="S431" s="21" t="str"/>
      <x:c r="T431" s="17" t="str">
        <x:v>false</x:v>
      </x:c>
      <x:c r="U431" s="17" t="str">
        <x:v>true</x:v>
      </x:c>
      <x:c r="V431" s="17" t="str">
        <x:v>false</x:v>
      </x:c>
    </x:row>
    <x:row r="432" ht="80" customHeight="1">
      <x:c r="A432" s="25" t="str">
        <x:v>JacksonDatabind</x:v>
      </x:c>
      <x:c r="B432" s="25" t="n">
        <x:v>32</x:v>
      </x:c>
      <x:c r="C432" s="25" t="str">
        <x:v>Round1</x:v>
      </x:c>
      <x:c r="D432" s="25" t="str">
        <x:v>NOT_AVAILABLE</x:v>
      </x:c>
      <x:c r="E432" s="25" t="str">
        <x:v>N/A</x:v>
      </x:c>
      <x:c r="F432" s="26" t="str">
        <x:v>Tests exist but current coverage did not complete</x:v>
      </x:c>
      <x:c r="G432" s="25" t="str">
        <x:v>true</x:v>
      </x:c>
      <x:c r="H432" s="25" t="str">
        <x:v>NOT_AVAILABLE</x:v>
      </x:c>
      <x:c r="I432" s="25" t="str">
        <x:v>NOT_RUN</x:v>
      </x:c>
      <x:c r="J432" s="25" t="str">
        <x:v>NOT_RUN</x:v>
      </x:c>
      <x:c r="K432" s="25" t="n">
        <x:v>1</x:v>
      </x:c>
      <x:c r="L432" s="27" t="b">
        <x:v>0</x:v>
      </x:c>
      <x:c r="M432" s="25" t="str">
        <x:v>Deepseek-flash-v4/state/Round1/shards/JacksonDatabind.json</x:v>
      </x:c>
      <x:c r="N432" s="25" t="str">
        <x:v>Deepseek-flash-v4/Result/JacksonDatabind_32/result.json</x:v>
      </x:c>
      <x:c r="O432" s="25" t="str">
        <x:v>Deepseek-flash-v4/Result/JacksonDatabind_32/result.json</x:v>
      </x:c>
      <x:c r="P432" t="str">
        <x:v>BOTH_NOT_RUN</x:v>
      </x:c>
      <x:c r="Q432" s="21" t="str"/>
      <x:c r="R432" s="21" t="str"/>
      <x:c r="S432" s="21" t="str"/>
      <x:c r="T432" s="17" t="str">
        <x:v>false</x:v>
      </x:c>
      <x:c r="U432" s="17" t="str">
        <x:v>true</x:v>
      </x:c>
      <x:c r="V432" s="17" t="str">
        <x:v>false</x:v>
      </x:c>
    </x:row>
    <x:row r="433" ht="80" customHeight="1">
      <x:c r="A433" s="25" t="str">
        <x:v>JacksonDatabind</x:v>
      </x:c>
      <x:c r="B433" s="25" t="n">
        <x:v>33</x:v>
      </x:c>
      <x:c r="C433" s="25" t="str">
        <x:v>Round1</x:v>
      </x:c>
      <x:c r="D433" s="25" t="str">
        <x:v>NOT_AVAILABLE</x:v>
      </x:c>
      <x:c r="E433" s="25" t="str">
        <x:v>N/A</x:v>
      </x:c>
      <x:c r="F433" s="26" t="str">
        <x:v>Tests exist but current coverage did not complete</x:v>
      </x:c>
      <x:c r="G433" s="25" t="str">
        <x:v>true</x:v>
      </x:c>
      <x:c r="H433" s="25" t="str">
        <x:v>NOT_AVAILABLE</x:v>
      </x:c>
      <x:c r="I433" s="25" t="str">
        <x:v>NOT_RUN</x:v>
      </x:c>
      <x:c r="J433" s="25" t="str">
        <x:v>NOT_RUN</x:v>
      </x:c>
      <x:c r="K433" s="25" t="n">
        <x:v>1</x:v>
      </x:c>
      <x:c r="L433" s="27" t="b">
        <x:v>0</x:v>
      </x:c>
      <x:c r="M433" s="25" t="str">
        <x:v>Deepseek-flash-v4/state/Round1/shards/JacksonDatabind.json</x:v>
      </x:c>
      <x:c r="N433" s="25" t="str">
        <x:v>Deepseek-flash-v4/Result/JacksonDatabind_33/result.json</x:v>
      </x:c>
      <x:c r="O433" s="25" t="str">
        <x:v>Deepseek-flash-v4/Result/JacksonDatabind_33/result.json</x:v>
      </x:c>
      <x:c r="P433" t="str">
        <x:v>BOTH_NOT_RUN</x:v>
      </x:c>
      <x:c r="Q433" s="21" t="str"/>
      <x:c r="R433" s="21" t="str"/>
      <x:c r="S433" s="21" t="str"/>
      <x:c r="T433" s="17" t="str">
        <x:v>false</x:v>
      </x:c>
      <x:c r="U433" s="17" t="str">
        <x:v>true</x:v>
      </x:c>
      <x:c r="V433" s="17" t="str">
        <x:v>false</x:v>
      </x:c>
    </x:row>
    <x:row r="434" ht="80" customHeight="1">
      <x:c r="A434" s="25" t="str">
        <x:v>JacksonDatabind</x:v>
      </x:c>
      <x:c r="B434" s="25" t="n">
        <x:v>34</x:v>
      </x:c>
      <x:c r="C434" s="25" t="str">
        <x:v>Round1</x:v>
      </x:c>
      <x:c r="D434" s="25" t="str">
        <x:v>NOT_AVAILABLE</x:v>
      </x:c>
      <x:c r="E434" s="25" t="str">
        <x:v>N/A</x:v>
      </x:c>
      <x:c r="F434" s="26" t="str">
        <x:v>Tests exist but current coverage did not complete</x:v>
      </x:c>
      <x:c r="G434" s="25" t="str">
        <x:v>true</x:v>
      </x:c>
      <x:c r="H434" s="25" t="str">
        <x:v>NOT_AVAILABLE</x:v>
      </x:c>
      <x:c r="I434" s="25" t="str">
        <x:v>NOT_RUN</x:v>
      </x:c>
      <x:c r="J434" s="25" t="str">
        <x:v>NOT_RUN</x:v>
      </x:c>
      <x:c r="K434" s="25" t="n">
        <x:v>1</x:v>
      </x:c>
      <x:c r="L434" s="27" t="b">
        <x:v>0</x:v>
      </x:c>
      <x:c r="M434" s="25" t="str">
        <x:v>Deepseek-flash-v4/state/Round1/shards/JacksonDatabind.json</x:v>
      </x:c>
      <x:c r="N434" s="25" t="str">
        <x:v>Deepseek-flash-v4/Result/JacksonDatabind_34/result.json</x:v>
      </x:c>
      <x:c r="O434" s="25" t="str">
        <x:v>Deepseek-flash-v4/Result/JacksonDatabind_34/result.json</x:v>
      </x:c>
      <x:c r="P434" t="str">
        <x:v>BOTH_NOT_RUN</x:v>
      </x:c>
      <x:c r="Q434" s="21" t="str"/>
      <x:c r="R434" s="21" t="str"/>
      <x:c r="S434" s="21" t="str"/>
      <x:c r="T434" s="17" t="str">
        <x:v>false</x:v>
      </x:c>
      <x:c r="U434" s="17" t="str">
        <x:v>true</x:v>
      </x:c>
      <x:c r="V434" s="17" t="str">
        <x:v>false</x:v>
      </x:c>
    </x:row>
    <x:row r="435" ht="80" customHeight="1">
      <x:c r="A435" s="25" t="str">
        <x:v>JacksonDatabind</x:v>
      </x:c>
      <x:c r="B435" s="25" t="n">
        <x:v>35</x:v>
      </x:c>
      <x:c r="C435" s="25" t="str">
        <x:v>Round1</x:v>
      </x:c>
      <x:c r="D435" s="25" t="str">
        <x:v>NOT_AVAILABLE</x:v>
      </x:c>
      <x:c r="E435" s="25" t="str">
        <x:v>N/A</x:v>
      </x:c>
      <x:c r="F435" s="26" t="str">
        <x:v>Tests exist but current coverage did not complete</x:v>
      </x:c>
      <x:c r="G435" s="25" t="str">
        <x:v>true</x:v>
      </x:c>
      <x:c r="H435" s="25" t="str">
        <x:v>NOT_AVAILABLE</x:v>
      </x:c>
      <x:c r="I435" s="25" t="str">
        <x:v>NOT_RUN</x:v>
      </x:c>
      <x:c r="J435" s="25" t="str">
        <x:v>NOT_RUN</x:v>
      </x:c>
      <x:c r="K435" s="25" t="n">
        <x:v>1</x:v>
      </x:c>
      <x:c r="L435" s="27" t="b">
        <x:v>0</x:v>
      </x:c>
      <x:c r="M435" s="25" t="str">
        <x:v>Deepseek-flash-v4/state/Round1/shards/JacksonDatabind.json</x:v>
      </x:c>
      <x:c r="N435" s="25" t="str">
        <x:v>Deepseek-flash-v4/Result/JacksonDatabind_35/result.json</x:v>
      </x:c>
      <x:c r="O435" s="25" t="str">
        <x:v>Deepseek-flash-v4/Result/JacksonDatabind_35/result.json</x:v>
      </x:c>
      <x:c r="P435" t="str">
        <x:v>BOTH_NOT_RUN</x:v>
      </x:c>
      <x:c r="Q435" s="21" t="str"/>
      <x:c r="R435" s="21" t="str"/>
      <x:c r="S435" s="21" t="str"/>
      <x:c r="T435" s="17" t="str">
        <x:v>false</x:v>
      </x:c>
      <x:c r="U435" s="17" t="str">
        <x:v>true</x:v>
      </x:c>
      <x:c r="V435" s="17" t="str">
        <x:v>false</x:v>
      </x:c>
    </x:row>
    <x:row r="436" ht="80" customHeight="1">
      <x:c r="A436" s="25" t="str">
        <x:v>JacksonDatabind</x:v>
      </x:c>
      <x:c r="B436" s="25" t="n">
        <x:v>36</x:v>
      </x:c>
      <x:c r="C436" s="25" t="str">
        <x:v>Round1</x:v>
      </x:c>
      <x:c r="D436" s="25" t="str">
        <x:v>INCONCLUSIVE</x:v>
      </x:c>
      <x:c r="E436" s="25" t="str">
        <x:v>N/A</x:v>
      </x:c>
      <x:c r="F436" s="26" t="str">
        <x:v>Fixed also failed; assertion failure cannot be attributed to this bug</x:v>
      </x:c>
      <x:c r="G436" s="25" t="str">
        <x:v>true</x:v>
      </x:c>
      <x:c r="H436" s="25" t="str">
        <x:v>INCONCLUSIVE</x:v>
      </x:c>
      <x:c r="I436" s="25" t="str">
        <x:v>FAIL</x:v>
      </x:c>
      <x:c r="J436" s="25" t="str">
        <x:v>FAIL</x:v>
      </x:c>
      <x:c r="K436" s="25" t="n">
        <x:v>1</x:v>
      </x:c>
      <x:c r="L436" s="27" t="b">
        <x:v>0</x:v>
      </x:c>
      <x:c r="M436" s="25" t="str">
        <x:v>Deepseek-flash-v4/state/Round1/shards/JacksonDatabind.json</x:v>
      </x:c>
      <x:c r="N436" s="25" t="str">
        <x:v>Deepseek-flash-v4/Result/JacksonDatabind_36/result.json</x:v>
      </x:c>
      <x:c r="O436" s="25" t="str">
        <x:v>Deepseek-flash-v4/Result/JacksonDatabind_36/result.json</x:v>
      </x:c>
      <x:c r="P436"/>
      <x:c r="Q436" s="21" t="str"/>
      <x:c r="R436" s="21" t="str"/>
      <x:c r="S436" s="21" t="str"/>
      <x:c r="T436" s="17" t="str">
        <x:v>false</x:v>
      </x:c>
      <x:c r="U436" s="17" t="str">
        <x:v>true</x:v>
      </x:c>
      <x:c r="V436" s="17" t="str">
        <x:v>false</x:v>
      </x:c>
    </x:row>
    <x:row r="437" ht="80" customHeight="1">
      <x:c r="A437" s="25" t="str">
        <x:v>JacksonDatabind</x:v>
      </x:c>
      <x:c r="B437" s="25" t="n">
        <x:v>37</x:v>
      </x:c>
      <x:c r="C437" s="25" t="str">
        <x:v>Round1</x:v>
      </x:c>
      <x:c r="D437" s="25" t="str">
        <x:v>NOT_AVAILABLE</x:v>
      </x:c>
      <x:c r="E437" s="25" t="str">
        <x:v>N/A</x:v>
      </x:c>
      <x:c r="F437" s="26" t="str">
        <x:v>Tests exist but current coverage did not complete</x:v>
      </x:c>
      <x:c r="G437" s="25" t="str">
        <x:v>true</x:v>
      </x:c>
      <x:c r="H437" s="25" t="str">
        <x:v>NOT_AVAILABLE</x:v>
      </x:c>
      <x:c r="I437" s="25" t="str">
        <x:v>NOT_RUN</x:v>
      </x:c>
      <x:c r="J437" s="25" t="str">
        <x:v>NOT_RUN</x:v>
      </x:c>
      <x:c r="K437" s="25" t="n">
        <x:v>1</x:v>
      </x:c>
      <x:c r="L437" s="27" t="b">
        <x:v>0</x:v>
      </x:c>
      <x:c r="M437" s="25" t="str">
        <x:v>Deepseek-flash-v4/state/Round1/shards/JacksonDatabind.json</x:v>
      </x:c>
      <x:c r="N437" s="25" t="str">
        <x:v>Deepseek-flash-v4/Result/JacksonDatabind_37/result.json</x:v>
      </x:c>
      <x:c r="O437" s="25" t="str">
        <x:v>Deepseek-flash-v4/Result/JacksonDatabind_37/result.json</x:v>
      </x:c>
      <x:c r="P437" t="str">
        <x:v>BOTH_NOT_RUN</x:v>
      </x:c>
      <x:c r="Q437" s="21" t="str"/>
      <x:c r="R437" s="21" t="str"/>
      <x:c r="S437" s="21" t="str"/>
      <x:c r="T437" s="17" t="str">
        <x:v>false</x:v>
      </x:c>
      <x:c r="U437" s="17" t="str">
        <x:v>true</x:v>
      </x:c>
      <x:c r="V437" s="17" t="str">
        <x:v>false</x:v>
      </x:c>
    </x:row>
    <x:row r="438" ht="80" customHeight="1">
      <x:c r="A438" s="25" t="str">
        <x:v>JacksonDatabind</x:v>
      </x:c>
      <x:c r="B438" s="25" t="n">
        <x:v>38</x:v>
      </x:c>
      <x:c r="C438" s="25" t="str">
        <x:v>Round1</x:v>
      </x:c>
      <x:c r="D438" s="25" t="str">
        <x:v>NOT_AVAILABLE</x:v>
      </x:c>
      <x:c r="E438" s="25" t="str">
        <x:v>N/A</x:v>
      </x:c>
      <x:c r="F438" s="26" t="str">
        <x:v>Tests exist but current coverage did not complete</x:v>
      </x:c>
      <x:c r="G438" s="25" t="str">
        <x:v>true</x:v>
      </x:c>
      <x:c r="H438" s="25" t="str">
        <x:v>NOT_AVAILABLE</x:v>
      </x:c>
      <x:c r="I438" s="25" t="str">
        <x:v>NOT_RUN</x:v>
      </x:c>
      <x:c r="J438" s="25" t="str">
        <x:v>NOT_RUN</x:v>
      </x:c>
      <x:c r="K438" s="25" t="n">
        <x:v>3</x:v>
      </x:c>
      <x:c r="L438" s="27" t="b">
        <x:v>0</x:v>
      </x:c>
      <x:c r="M438" s="25" t="str">
        <x:v>Deepseek-flash-v4/state/Round1/shards/JacksonDatabind.json</x:v>
      </x:c>
      <x:c r="N438" s="25" t="str">
        <x:v>Deepseek-flash-v4/Result/JacksonDatabind_38/result.json</x:v>
      </x:c>
      <x:c r="O438" s="25" t="str">
        <x:v>Deepseek-flash-v4/Result/JacksonDatabind_38/result.json</x:v>
      </x:c>
      <x:c r="P438" t="str">
        <x:v>BOTH_NOT_RUN</x:v>
      </x:c>
      <x:c r="Q438" s="21" t="str"/>
      <x:c r="R438" s="21" t="str"/>
      <x:c r="S438" s="21" t="str"/>
      <x:c r="T438" s="17" t="str">
        <x:v>false</x:v>
      </x:c>
      <x:c r="U438" s="17" t="str">
        <x:v>true</x:v>
      </x:c>
      <x:c r="V438" s="17" t="str">
        <x:v>false</x:v>
      </x:c>
    </x:row>
    <x:row r="439" ht="80" customHeight="1">
      <x:c r="A439" s="25" t="str">
        <x:v>JacksonDatabind</x:v>
      </x:c>
      <x:c r="B439" s="25" t="n">
        <x:v>39</x:v>
      </x:c>
      <x:c r="C439" s="25" t="str">
        <x:v>Round1</x:v>
      </x:c>
      <x:c r="D439" s="25" t="str">
        <x:v>INCONCLUSIVE</x:v>
      </x:c>
      <x:c r="E439" s="25" t="str">
        <x:v>N/A</x:v>
      </x:c>
      <x:c r="F439" s="26" t="str">
        <x:v>Fixed also failed; assertion failure cannot be attributed to this bug</x:v>
      </x:c>
      <x:c r="G439" s="25" t="str">
        <x:v>true</x:v>
      </x:c>
      <x:c r="H439" s="25" t="str">
        <x:v>INCONCLUSIVE</x:v>
      </x:c>
      <x:c r="I439" s="25" t="str">
        <x:v>FAIL</x:v>
      </x:c>
      <x:c r="J439" s="25" t="str">
        <x:v>FAIL</x:v>
      </x:c>
      <x:c r="K439" s="25" t="n">
        <x:v>1</x:v>
      </x:c>
      <x:c r="L439" s="27" t="b">
        <x:v>0</x:v>
      </x:c>
      <x:c r="M439" s="25" t="str">
        <x:v>Deepseek-flash-v4/state/Round1/shards/JacksonDatabind.json</x:v>
      </x:c>
      <x:c r="N439" s="25" t="str">
        <x:v>Deepseek-flash-v4/Result/JacksonDatabind_39/result.json</x:v>
      </x:c>
      <x:c r="O439" s="25" t="str">
        <x:v>Deepseek-flash-v4/Result/JacksonDatabind_39/result.json</x:v>
      </x:c>
      <x:c r="P439"/>
      <x:c r="Q439" s="21" t="str"/>
      <x:c r="R439" s="21" t="str"/>
      <x:c r="S439" s="21" t="str"/>
      <x:c r="T439" s="17" t="str">
        <x:v>false</x:v>
      </x:c>
      <x:c r="U439" s="17" t="str">
        <x:v>true</x:v>
      </x:c>
      <x:c r="V439" s="17" t="str">
        <x:v>false</x:v>
      </x:c>
    </x:row>
    <x:row r="440" ht="80" customHeight="1">
      <x:c r="A440" s="25" t="str">
        <x:v>JacksonDatabind</x:v>
      </x:c>
      <x:c r="B440" s="25" t="n">
        <x:v>4</x:v>
      </x:c>
      <x:c r="C440" s="25" t="str">
        <x:v>Round1</x:v>
      </x:c>
      <x:c r="D440" s="25" t="str">
        <x:v>NOT_AVAILABLE</x:v>
      </x:c>
      <x:c r="E440" s="25" t="str">
        <x:v>N/A</x:v>
      </x:c>
      <x:c r="F440" s="26" t="str">
        <x:v>Tests exist but current coverage did not complete</x:v>
      </x:c>
      <x:c r="G440" s="25" t="str">
        <x:v>true</x:v>
      </x:c>
      <x:c r="H440" s="25" t="str">
        <x:v>NOT_AVAILABLE</x:v>
      </x:c>
      <x:c r="I440" s="25" t="str">
        <x:v>NOT_RUN</x:v>
      </x:c>
      <x:c r="J440" s="25" t="str">
        <x:v>NOT_RUN</x:v>
      </x:c>
      <x:c r="K440" s="25" t="n">
        <x:v>1</x:v>
      </x:c>
      <x:c r="L440" s="27" t="b">
        <x:v>0</x:v>
      </x:c>
      <x:c r="M440" s="25" t="str">
        <x:v>Deepseek-flash-v4/state/Round1/shards/JacksonDatabind.json</x:v>
      </x:c>
      <x:c r="N440" s="25" t="str">
        <x:v>Deepseek-flash-v4/Result/JacksonDatabind_4/result.json</x:v>
      </x:c>
      <x:c r="O440" s="25" t="str">
        <x:v>Deepseek-flash-v4/Result/JacksonDatabind_4/result.json</x:v>
      </x:c>
      <x:c r="P440" t="str">
        <x:v>BOTH_NOT_RUN</x:v>
      </x:c>
      <x:c r="Q440" s="21" t="str"/>
      <x:c r="R440" s="21" t="str"/>
      <x:c r="S440" s="21" t="str"/>
      <x:c r="T440" s="17" t="str">
        <x:v>false</x:v>
      </x:c>
      <x:c r="U440" s="17" t="str">
        <x:v>true</x:v>
      </x:c>
      <x:c r="V440" s="17" t="str">
        <x:v>false</x:v>
      </x:c>
    </x:row>
    <x:row r="441" ht="80" customHeight="1">
      <x:c r="A441" s="25" t="str">
        <x:v>JacksonDatabind</x:v>
      </x:c>
      <x:c r="B441" s="25" t="n">
        <x:v>40</x:v>
      </x:c>
      <x:c r="C441" s="25" t="str">
        <x:v>Round1</x:v>
      </x:c>
      <x:c r="D441" s="25" t="str">
        <x:v>INCONCLUSIVE</x:v>
      </x:c>
      <x:c r="E441" s="25" t="str">
        <x:v>N/A</x:v>
      </x:c>
      <x:c r="F441" s="26" t="str">
        <x:v>Fixed also failed; assertion failure cannot be attributed to this bug</x:v>
      </x:c>
      <x:c r="G441" s="25" t="str">
        <x:v>true</x:v>
      </x:c>
      <x:c r="H441" s="25" t="str">
        <x:v>INCONCLUSIVE</x:v>
      </x:c>
      <x:c r="I441" s="25" t="str">
        <x:v>FAIL</x:v>
      </x:c>
      <x:c r="J441" s="25" t="str">
        <x:v>FAIL</x:v>
      </x:c>
      <x:c r="K441" s="25" t="n">
        <x:v>1</x:v>
      </x:c>
      <x:c r="L441" s="27" t="b">
        <x:v>0</x:v>
      </x:c>
      <x:c r="M441" s="25" t="str">
        <x:v>Deepseek-flash-v4/state/Round1/shards/JacksonDatabind.json</x:v>
      </x:c>
      <x:c r="N441" s="25" t="str">
        <x:v>Deepseek-flash-v4/Result/JacksonDatabind_40/result.json</x:v>
      </x:c>
      <x:c r="O441" s="25" t="str">
        <x:v>Deepseek-flash-v4/Result/JacksonDatabind_40/result.json</x:v>
      </x:c>
      <x:c r="P441"/>
      <x:c r="Q441" s="21" t="str"/>
      <x:c r="R441" s="21" t="str"/>
      <x:c r="S441" s="21" t="str"/>
      <x:c r="T441" s="17" t="str">
        <x:v>false</x:v>
      </x:c>
      <x:c r="U441" s="17" t="str">
        <x:v>true</x:v>
      </x:c>
      <x:c r="V441" s="17" t="str">
        <x:v>false</x:v>
      </x:c>
    </x:row>
    <x:row r="442" ht="80" customHeight="1">
      <x:c r="A442" s="25" t="str">
        <x:v>JacksonDatabind</x:v>
      </x:c>
      <x:c r="B442" s="25" t="n">
        <x:v>41</x:v>
      </x:c>
      <x:c r="C442" s="25" t="str">
        <x:v>Round1</x:v>
      </x:c>
      <x:c r="D442" s="25" t="str">
        <x:v>NOT_AVAILABLE</x:v>
      </x:c>
      <x:c r="E442" s="25" t="str">
        <x:v>N/A</x:v>
      </x:c>
      <x:c r="F442" s="26" t="str">
        <x:v>Tests exist but current coverage did not complete</x:v>
      </x:c>
      <x:c r="G442" s="25" t="str">
        <x:v>true</x:v>
      </x:c>
      <x:c r="H442" s="25" t="str">
        <x:v>NOT_AVAILABLE</x:v>
      </x:c>
      <x:c r="I442" s="25" t="str">
        <x:v>NOT_RUN</x:v>
      </x:c>
      <x:c r="J442" s="25" t="str">
        <x:v>NOT_RUN</x:v>
      </x:c>
      <x:c r="K442" s="25" t="n">
        <x:v>1</x:v>
      </x:c>
      <x:c r="L442" s="27" t="b">
        <x:v>0</x:v>
      </x:c>
      <x:c r="M442" s="25" t="str">
        <x:v>Deepseek-flash-v4/state/Round1/shards/JacksonDatabind.json</x:v>
      </x:c>
      <x:c r="N442" s="25" t="str">
        <x:v>Deepseek-flash-v4/Result/JacksonDatabind_41/result.json</x:v>
      </x:c>
      <x:c r="O442" s="25" t="str">
        <x:v>Deepseek-flash-v4/Result/JacksonDatabind_41/result.json</x:v>
      </x:c>
      <x:c r="P442" t="str">
        <x:v>BOTH_NOT_RUN</x:v>
      </x:c>
      <x:c r="Q442" s="21" t="str"/>
      <x:c r="R442" s="21" t="str"/>
      <x:c r="S442" s="21" t="str"/>
      <x:c r="T442" s="17" t="str">
        <x:v>false</x:v>
      </x:c>
      <x:c r="U442" s="17" t="str">
        <x:v>true</x:v>
      </x:c>
      <x:c r="V442" s="17" t="str">
        <x:v>false</x:v>
      </x:c>
    </x:row>
    <x:row r="443" ht="80" customHeight="1">
      <x:c r="A443" s="25" t="str">
        <x:v>JacksonDatabind</x:v>
      </x:c>
      <x:c r="B443" s="25" t="n">
        <x:v>42</x:v>
      </x:c>
      <x:c r="C443" s="25" t="str">
        <x:v>Round1</x:v>
      </x:c>
      <x:c r="D443" s="25" t="str">
        <x:v>NOT_AVAILABLE</x:v>
      </x:c>
      <x:c r="E443" s="25" t="str">
        <x:v>N/A</x:v>
      </x:c>
      <x:c r="F443" s="26" t="str">
        <x:v>Tests exist but current coverage did not complete</x:v>
      </x:c>
      <x:c r="G443" s="25" t="str">
        <x:v>true</x:v>
      </x:c>
      <x:c r="H443" s="25" t="str">
        <x:v>NOT_AVAILABLE</x:v>
      </x:c>
      <x:c r="I443" s="25" t="str">
        <x:v>NOT_RUN</x:v>
      </x:c>
      <x:c r="J443" s="25" t="str">
        <x:v>NOT_RUN</x:v>
      </x:c>
      <x:c r="K443" s="25" t="n">
        <x:v>1</x:v>
      </x:c>
      <x:c r="L443" s="27" t="b">
        <x:v>0</x:v>
      </x:c>
      <x:c r="M443" s="25" t="str">
        <x:v>Deepseek-flash-v4/state/Round1/shards/JacksonDatabind.json</x:v>
      </x:c>
      <x:c r="N443" s="25" t="str">
        <x:v>Deepseek-flash-v4/Result/JacksonDatabind_42/result.json</x:v>
      </x:c>
      <x:c r="O443" s="25" t="str">
        <x:v>Deepseek-flash-v4/Result/JacksonDatabind_42/result.json</x:v>
      </x:c>
      <x:c r="P443" t="str">
        <x:v>BOTH_NOT_RUN</x:v>
      </x:c>
      <x:c r="Q443" s="21" t="str"/>
      <x:c r="R443" s="21" t="str"/>
      <x:c r="S443" s="21" t="str"/>
      <x:c r="T443" s="17" t="str">
        <x:v>false</x:v>
      </x:c>
      <x:c r="U443" s="17" t="str">
        <x:v>true</x:v>
      </x:c>
      <x:c r="V443" s="17" t="str">
        <x:v>false</x:v>
      </x:c>
    </x:row>
    <x:row r="444" ht="80" customHeight="1">
      <x:c r="A444" s="25" t="str">
        <x:v>JacksonDatabind</x:v>
      </x:c>
      <x:c r="B444" s="25" t="n">
        <x:v>43</x:v>
      </x:c>
      <x:c r="C444" s="25" t="str">
        <x:v>Round1</x:v>
      </x:c>
      <x:c r="D444" s="25" t="str">
        <x:v>NOT_AVAILABLE</x:v>
      </x:c>
      <x:c r="E444" s="25" t="str">
        <x:v>N/A</x:v>
      </x:c>
      <x:c r="F444" s="26" t="str">
        <x:v>Tests exist but current coverage did not complete</x:v>
      </x:c>
      <x:c r="G444" s="25" t="str">
        <x:v>true</x:v>
      </x:c>
      <x:c r="H444" s="25" t="str">
        <x:v>NOT_AVAILABLE</x:v>
      </x:c>
      <x:c r="I444" s="25" t="str">
        <x:v>NOT_RUN</x:v>
      </x:c>
      <x:c r="J444" s="25" t="str">
        <x:v>NOT_RUN</x:v>
      </x:c>
      <x:c r="K444" s="25" t="n">
        <x:v>1</x:v>
      </x:c>
      <x:c r="L444" s="27" t="b">
        <x:v>0</x:v>
      </x:c>
      <x:c r="M444" s="25" t="str">
        <x:v>Deepseek-flash-v4/state/Round1/shards/JacksonDatabind.json</x:v>
      </x:c>
      <x:c r="N444" s="25" t="str">
        <x:v>Deepseek-flash-v4/Result/JacksonDatabind_43/result.json</x:v>
      </x:c>
      <x:c r="O444" s="25" t="str">
        <x:v>Deepseek-flash-v4/Result/JacksonDatabind_43/result.json</x:v>
      </x:c>
      <x:c r="P444" t="str">
        <x:v>BOTH_NOT_RUN</x:v>
      </x:c>
      <x:c r="Q444" s="21" t="str"/>
      <x:c r="R444" s="21" t="str"/>
      <x:c r="S444" s="21" t="str"/>
      <x:c r="T444" s="17" t="str">
        <x:v>false</x:v>
      </x:c>
      <x:c r="U444" s="17" t="str">
        <x:v>true</x:v>
      </x:c>
      <x:c r="V444" s="17" t="str">
        <x:v>false</x:v>
      </x:c>
    </x:row>
    <x:row r="445" ht="80" customHeight="1">
      <x:c r="A445" s="25" t="str">
        <x:v>JacksonDatabind</x:v>
      </x:c>
      <x:c r="B445" s="25" t="n">
        <x:v>44</x:v>
      </x:c>
      <x:c r="C445" s="25" t="str">
        <x:v>Round1</x:v>
      </x:c>
      <x:c r="D445" s="25" t="str">
        <x:v>NOT_REVEALING</x:v>
      </x:c>
      <x:c r="E445" s="25" t="str">
        <x:v>N/A</x:v>
      </x:c>
      <x:c r="F445" s="26" t="str">
        <x:v>Same saved validation suite passed on buggy and fixed</x:v>
      </x:c>
      <x:c r="G445" s="25" t="str">
        <x:v>true</x:v>
      </x:c>
      <x:c r="H445" s="25" t="str">
        <x:v>NOT_REVEALING</x:v>
      </x:c>
      <x:c r="I445" s="25" t="str">
        <x:v>PASS</x:v>
      </x:c>
      <x:c r="J445" s="25" t="str">
        <x:v>PASS</x:v>
      </x:c>
      <x:c r="K445" s="25" t="n">
        <x:v>1</x:v>
      </x:c>
      <x:c r="L445" s="27" t="b">
        <x:v>0</x:v>
      </x:c>
      <x:c r="M445" s="25" t="str">
        <x:v>Deepseek-flash-v4/state/Round1/shards/JacksonDatabind.json</x:v>
      </x:c>
      <x:c r="N445" s="25" t="str">
        <x:v>Deepseek-flash-v4/Result/JacksonDatabind_44/result.json</x:v>
      </x:c>
      <x:c r="O445" s="25" t="str">
        <x:v>Deepseek-flash-v4/Result/JacksonDatabind_44/result.json</x:v>
      </x:c>
      <x:c r="P445"/>
      <x:c r="Q445" s="21" t="str"/>
      <x:c r="R445" s="21" t="str"/>
      <x:c r="S445" s="21" t="str"/>
      <x:c r="T445" s="17" t="str">
        <x:v>false</x:v>
      </x:c>
      <x:c r="U445" s="17" t="str">
        <x:v>true</x:v>
      </x:c>
      <x:c r="V445" s="17" t="str">
        <x:v>false</x:v>
      </x:c>
    </x:row>
    <x:row r="446" ht="80" customHeight="1">
      <x:c r="A446" s="25" t="str">
        <x:v>JacksonDatabind</x:v>
      </x:c>
      <x:c r="B446" s="25" t="n">
        <x:v>45</x:v>
      </x:c>
      <x:c r="C446" s="25" t="str">
        <x:v>Round1</x:v>
      </x:c>
      <x:c r="D446" s="25" t="str">
        <x:v>NOT_AVAILABLE</x:v>
      </x:c>
      <x:c r="E446" s="25" t="str">
        <x:v>N/A</x:v>
      </x:c>
      <x:c r="F446" s="26" t="str">
        <x:v>Tests exist but current coverage did not complete</x:v>
      </x:c>
      <x:c r="G446" s="25" t="str">
        <x:v>true</x:v>
      </x:c>
      <x:c r="H446" s="25" t="str">
        <x:v>NOT_AVAILABLE</x:v>
      </x:c>
      <x:c r="I446" s="25" t="str">
        <x:v>NOT_RUN</x:v>
      </x:c>
      <x:c r="J446" s="25" t="str">
        <x:v>NOT_RUN</x:v>
      </x:c>
      <x:c r="K446" s="25" t="n">
        <x:v>1</x:v>
      </x:c>
      <x:c r="L446" s="27" t="b">
        <x:v>0</x:v>
      </x:c>
      <x:c r="M446" s="25" t="str">
        <x:v>Deepseek-flash-v4/state/Round1/shards/JacksonDatabind.json</x:v>
      </x:c>
      <x:c r="N446" s="25" t="str">
        <x:v>Deepseek-flash-v4/Result/JacksonDatabind_45/result.json</x:v>
      </x:c>
      <x:c r="O446" s="25" t="str">
        <x:v>Deepseek-flash-v4/Result/JacksonDatabind_45/result.json</x:v>
      </x:c>
      <x:c r="P446" t="str">
        <x:v>BOTH_NOT_RUN</x:v>
      </x:c>
      <x:c r="Q446" s="21" t="str"/>
      <x:c r="R446" s="21" t="str"/>
      <x:c r="S446" s="21" t="str"/>
      <x:c r="T446" s="17" t="str">
        <x:v>false</x:v>
      </x:c>
      <x:c r="U446" s="17" t="str">
        <x:v>true</x:v>
      </x:c>
      <x:c r="V446" s="17" t="str">
        <x:v>false</x:v>
      </x:c>
    </x:row>
    <x:row r="447" ht="80" customHeight="1">
      <x:c r="A447" s="25" t="str">
        <x:v>JacksonDatabind</x:v>
      </x:c>
      <x:c r="B447" s="25" t="n">
        <x:v>46</x:v>
      </x:c>
      <x:c r="C447" s="25" t="str">
        <x:v>Round1</x:v>
      </x:c>
      <x:c r="D447" s="25" t="str">
        <x:v>NOT_AVAILABLE</x:v>
      </x:c>
      <x:c r="E447" s="25" t="str">
        <x:v>N/A</x:v>
      </x:c>
      <x:c r="F447" s="26" t="str">
        <x:v>Tests exist but current coverage did not complete</x:v>
      </x:c>
      <x:c r="G447" s="25" t="str">
        <x:v>true</x:v>
      </x:c>
      <x:c r="H447" s="25" t="str">
        <x:v>NOT_AVAILABLE</x:v>
      </x:c>
      <x:c r="I447" s="25" t="str">
        <x:v>NOT_RUN</x:v>
      </x:c>
      <x:c r="J447" s="25" t="str">
        <x:v>NOT_RUN</x:v>
      </x:c>
      <x:c r="K447" s="25" t="n">
        <x:v>1</x:v>
      </x:c>
      <x:c r="L447" s="27" t="b">
        <x:v>0</x:v>
      </x:c>
      <x:c r="M447" s="25" t="str">
        <x:v>Deepseek-flash-v4/state/Round1/shards/JacksonDatabind.json</x:v>
      </x:c>
      <x:c r="N447" s="25" t="str">
        <x:v>Deepseek-flash-v4/Result/JacksonDatabind_46/result.json</x:v>
      </x:c>
      <x:c r="O447" s="25" t="str">
        <x:v>Deepseek-flash-v4/Result/JacksonDatabind_46/result.json</x:v>
      </x:c>
      <x:c r="P447" t="str">
        <x:v>BOTH_NOT_RUN</x:v>
      </x:c>
      <x:c r="Q447" s="21" t="str"/>
      <x:c r="R447" s="21" t="str"/>
      <x:c r="S447" s="21" t="str"/>
      <x:c r="T447" s="17" t="str">
        <x:v>false</x:v>
      </x:c>
      <x:c r="U447" s="17" t="str">
        <x:v>true</x:v>
      </x:c>
      <x:c r="V447" s="17" t="str">
        <x:v>false</x:v>
      </x:c>
    </x:row>
    <x:row r="448" ht="80" customHeight="1">
      <x:c r="A448" s="25" t="str">
        <x:v>JacksonDatabind</x:v>
      </x:c>
      <x:c r="B448" s="25" t="n">
        <x:v>47</x:v>
      </x:c>
      <x:c r="C448" s="25" t="str">
        <x:v>Round1</x:v>
      </x:c>
      <x:c r="D448" s="25" t="str">
        <x:v>INCONCLUSIVE</x:v>
      </x:c>
      <x:c r="E448" s="25" t="str">
        <x:v>N/A</x:v>
      </x:c>
      <x:c r="F448" s="26" t="str">
        <x:v>Fixed also failed; assertion failure cannot be attributed to this bug</x:v>
      </x:c>
      <x:c r="G448" s="25" t="str">
        <x:v>true</x:v>
      </x:c>
      <x:c r="H448" s="25" t="str">
        <x:v>INCONCLUSIVE</x:v>
      </x:c>
      <x:c r="I448" s="25" t="str">
        <x:v>FAIL</x:v>
      </x:c>
      <x:c r="J448" s="25" t="str">
        <x:v>FAIL</x:v>
      </x:c>
      <x:c r="K448" s="25" t="n">
        <x:v>1</x:v>
      </x:c>
      <x:c r="L448" s="27" t="b">
        <x:v>0</x:v>
      </x:c>
      <x:c r="M448" s="25" t="str">
        <x:v>Deepseek-flash-v4/state/Round1/shards/JacksonDatabind.json</x:v>
      </x:c>
      <x:c r="N448" s="25" t="str">
        <x:v>Deepseek-flash-v4/Result/JacksonDatabind_47/result.json</x:v>
      </x:c>
      <x:c r="O448" s="25" t="str">
        <x:v>Deepseek-flash-v4/Result/JacksonDatabind_47/result.json</x:v>
      </x:c>
      <x:c r="P448"/>
      <x:c r="Q448" s="21" t="str"/>
      <x:c r="R448" s="21" t="str"/>
      <x:c r="S448" s="21" t="str"/>
      <x:c r="T448" s="17" t="str">
        <x:v>false</x:v>
      </x:c>
      <x:c r="U448" s="17" t="str">
        <x:v>true</x:v>
      </x:c>
      <x:c r="V448" s="17" t="str">
        <x:v>false</x:v>
      </x:c>
    </x:row>
    <x:row r="449" ht="80" customHeight="1">
      <x:c r="A449" s="25" t="str">
        <x:v>JacksonDatabind</x:v>
      </x:c>
      <x:c r="B449" s="25" t="n">
        <x:v>48</x:v>
      </x:c>
      <x:c r="C449" s="25" t="str">
        <x:v>Round1</x:v>
      </x:c>
      <x:c r="D449" s="25" t="str">
        <x:v>NOT_AVAILABLE</x:v>
      </x:c>
      <x:c r="E449" s="25" t="str">
        <x:v>N/A</x:v>
      </x:c>
      <x:c r="F449" s="26" t="str">
        <x:v>Tests exist but current coverage did not complete</x:v>
      </x:c>
      <x:c r="G449" s="25" t="str">
        <x:v>true</x:v>
      </x:c>
      <x:c r="H449" s="25" t="str">
        <x:v>NOT_AVAILABLE</x:v>
      </x:c>
      <x:c r="I449" s="25" t="str">
        <x:v>NOT_RUN</x:v>
      </x:c>
      <x:c r="J449" s="25" t="str">
        <x:v>NOT_RUN</x:v>
      </x:c>
      <x:c r="K449" s="25" t="n">
        <x:v>2</x:v>
      </x:c>
      <x:c r="L449" s="27" t="b">
        <x:v>0</x:v>
      </x:c>
      <x:c r="M449" s="25" t="str">
        <x:v>Deepseek-flash-v4/state/Round1/shards/JacksonDatabind.json</x:v>
      </x:c>
      <x:c r="N449" s="25" t="str">
        <x:v>Deepseek-flash-v4/Result/JacksonDatabind_48/result.json</x:v>
      </x:c>
      <x:c r="O449" s="25" t="str">
        <x:v>Deepseek-flash-v4/Result/JacksonDatabind_48/result.json</x:v>
      </x:c>
      <x:c r="P449" t="str">
        <x:v>BOTH_NOT_RUN</x:v>
      </x:c>
      <x:c r="Q449" s="21" t="str"/>
      <x:c r="R449" s="21" t="str"/>
      <x:c r="S449" s="21" t="str"/>
      <x:c r="T449" s="17" t="str">
        <x:v>false</x:v>
      </x:c>
      <x:c r="U449" s="17" t="str">
        <x:v>true</x:v>
      </x:c>
      <x:c r="V449" s="17" t="str">
        <x:v>false</x:v>
      </x:c>
    </x:row>
    <x:row r="450" ht="80" customHeight="1">
      <x:c r="A450" s="25" t="str">
        <x:v>JacksonDatabind</x:v>
      </x:c>
      <x:c r="B450" s="25" t="n">
        <x:v>49</x:v>
      </x:c>
      <x:c r="C450" s="25" t="str">
        <x:v>Round1</x:v>
      </x:c>
      <x:c r="D450" s="25" t="str">
        <x:v>NOT_AVAILABLE</x:v>
      </x:c>
      <x:c r="E450" s="25" t="str">
        <x:v>N/A</x:v>
      </x:c>
      <x:c r="F450" s="26" t="str">
        <x:v>Tests exist but current coverage did not complete</x:v>
      </x:c>
      <x:c r="G450" s="25" t="str">
        <x:v>true</x:v>
      </x:c>
      <x:c r="H450" s="25" t="str">
        <x:v>NOT_AVAILABLE</x:v>
      </x:c>
      <x:c r="I450" s="25" t="str">
        <x:v>NOT_RUN</x:v>
      </x:c>
      <x:c r="J450" s="25" t="str">
        <x:v>NOT_RUN</x:v>
      </x:c>
      <x:c r="K450" s="25" t="n">
        <x:v>1</x:v>
      </x:c>
      <x:c r="L450" s="27" t="b">
        <x:v>0</x:v>
      </x:c>
      <x:c r="M450" s="25" t="str">
        <x:v>Deepseek-flash-v4/state/Round1/shards/JacksonDatabind.json</x:v>
      </x:c>
      <x:c r="N450" s="25" t="str">
        <x:v>Deepseek-flash-v4/Result/JacksonDatabind_49/result.json</x:v>
      </x:c>
      <x:c r="O450" s="25" t="str">
        <x:v>Deepseek-flash-v4/Result/JacksonDatabind_49/result.json</x:v>
      </x:c>
      <x:c r="P450" t="str">
        <x:v>BOTH_NOT_RUN</x:v>
      </x:c>
      <x:c r="Q450" s="21" t="str"/>
      <x:c r="R450" s="21" t="str"/>
      <x:c r="S450" s="21" t="str"/>
      <x:c r="T450" s="17" t="str">
        <x:v>false</x:v>
      </x:c>
      <x:c r="U450" s="17" t="str">
        <x:v>true</x:v>
      </x:c>
      <x:c r="V450" s="17" t="str">
        <x:v>false</x:v>
      </x:c>
    </x:row>
    <x:row r="451" ht="80" customHeight="1">
      <x:c r="A451" s="25" t="str">
        <x:v>JacksonDatabind</x:v>
      </x:c>
      <x:c r="B451" s="25" t="n">
        <x:v>5</x:v>
      </x:c>
      <x:c r="C451" s="25" t="str">
        <x:v>Round1</x:v>
      </x:c>
      <x:c r="D451" s="25" t="str">
        <x:v>INCONCLUSIVE</x:v>
      </x:c>
      <x:c r="E451" s="25" t="str">
        <x:v>N/A</x:v>
      </x:c>
      <x:c r="F451" s="26" t="str">
        <x:v>Fixed also failed; assertion failure cannot be attributed to this bug</x:v>
      </x:c>
      <x:c r="G451" s="25" t="str">
        <x:v>true</x:v>
      </x:c>
      <x:c r="H451" s="25" t="str">
        <x:v>INCONCLUSIVE</x:v>
      </x:c>
      <x:c r="I451" s="25" t="str">
        <x:v>FAIL</x:v>
      </x:c>
      <x:c r="J451" s="25" t="str">
        <x:v>FAIL</x:v>
      </x:c>
      <x:c r="K451" s="25" t="n">
        <x:v>1</x:v>
      </x:c>
      <x:c r="L451" s="27" t="b">
        <x:v>0</x:v>
      </x:c>
      <x:c r="M451" s="25" t="str">
        <x:v>Deepseek-flash-v4/state/Round1/shards/JacksonDatabind.json</x:v>
      </x:c>
      <x:c r="N451" s="25" t="str">
        <x:v>Deepseek-flash-v4/Result/JacksonDatabind_5/result.json</x:v>
      </x:c>
      <x:c r="O451" s="25" t="str">
        <x:v>Deepseek-flash-v4/Result/JacksonDatabind_5/result.json</x:v>
      </x:c>
      <x:c r="P451"/>
      <x:c r="Q451" s="21" t="str"/>
      <x:c r="R451" s="21" t="str"/>
      <x:c r="S451" s="21" t="str"/>
      <x:c r="T451" s="17" t="str">
        <x:v>false</x:v>
      </x:c>
      <x:c r="U451" s="17" t="str">
        <x:v>true</x:v>
      </x:c>
      <x:c r="V451" s="17" t="str">
        <x:v>false</x:v>
      </x:c>
    </x:row>
    <x:row r="452" ht="80" customHeight="1">
      <x:c r="A452" s="25" t="str">
        <x:v>JacksonDatabind</x:v>
      </x:c>
      <x:c r="B452" s="25" t="n">
        <x:v>50</x:v>
      </x:c>
      <x:c r="C452" s="25" t="str">
        <x:v>Round1</x:v>
      </x:c>
      <x:c r="D452" s="25" t="str">
        <x:v>NOT_AVAILABLE</x:v>
      </x:c>
      <x:c r="E452" s="25" t="str">
        <x:v>N/A</x:v>
      </x:c>
      <x:c r="F452" s="26" t="str">
        <x:v>Tests exist but current coverage did not complete</x:v>
      </x:c>
      <x:c r="G452" s="25" t="str">
        <x:v>true</x:v>
      </x:c>
      <x:c r="H452" s="25" t="str">
        <x:v>NOT_AVAILABLE</x:v>
      </x:c>
      <x:c r="I452" s="25" t="str">
        <x:v>NOT_RUN</x:v>
      </x:c>
      <x:c r="J452" s="25" t="str">
        <x:v>NOT_RUN</x:v>
      </x:c>
      <x:c r="K452" s="25" t="n">
        <x:v>1</x:v>
      </x:c>
      <x:c r="L452" s="27" t="b">
        <x:v>0</x:v>
      </x:c>
      <x:c r="M452" s="25" t="str">
        <x:v>Deepseek-flash-v4/state/Round1/shards/JacksonDatabind.json</x:v>
      </x:c>
      <x:c r="N452" s="25" t="str">
        <x:v>Deepseek-flash-v4/Result/JacksonDatabind_50/result.json</x:v>
      </x:c>
      <x:c r="O452" s="25" t="str">
        <x:v>Deepseek-flash-v4/Result/JacksonDatabind_50/result.json</x:v>
      </x:c>
      <x:c r="P452" t="str">
        <x:v>BOTH_NOT_RUN</x:v>
      </x:c>
      <x:c r="Q452" s="21" t="str"/>
      <x:c r="R452" s="21" t="str"/>
      <x:c r="S452" s="21" t="str"/>
      <x:c r="T452" s="17" t="str">
        <x:v>false</x:v>
      </x:c>
      <x:c r="U452" s="17" t="str">
        <x:v>true</x:v>
      </x:c>
      <x:c r="V452" s="17" t="str">
        <x:v>false</x:v>
      </x:c>
    </x:row>
    <x:row r="453" ht="80" customHeight="1">
      <x:c r="A453" s="25" t="str">
        <x:v>JacksonDatabind</x:v>
      </x:c>
      <x:c r="B453" s="25" t="n">
        <x:v>51</x:v>
      </x:c>
      <x:c r="C453" s="25" t="str">
        <x:v>Round1</x:v>
      </x:c>
      <x:c r="D453" s="25" t="str">
        <x:v>NOT_AVAILABLE</x:v>
      </x:c>
      <x:c r="E453" s="25" t="str">
        <x:v>N/A</x:v>
      </x:c>
      <x:c r="F453" s="26" t="str">
        <x:v>Tests exist but current coverage did not complete</x:v>
      </x:c>
      <x:c r="G453" s="25" t="str">
        <x:v>true</x:v>
      </x:c>
      <x:c r="H453" s="25" t="str">
        <x:v>NOT_AVAILABLE</x:v>
      </x:c>
      <x:c r="I453" s="25" t="str">
        <x:v>NOT_RUN</x:v>
      </x:c>
      <x:c r="J453" s="25" t="str">
        <x:v>NOT_RUN</x:v>
      </x:c>
      <x:c r="K453" s="25" t="n">
        <x:v>1</x:v>
      </x:c>
      <x:c r="L453" s="27" t="b">
        <x:v>0</x:v>
      </x:c>
      <x:c r="M453" s="25" t="str">
        <x:v>Deepseek-flash-v4/state/Round1/shards/JacksonDatabind.json</x:v>
      </x:c>
      <x:c r="N453" s="25" t="str">
        <x:v>Deepseek-flash-v4/Result/JacksonDatabind_51/result.json</x:v>
      </x:c>
      <x:c r="O453" s="25" t="str">
        <x:v>Deepseek-flash-v4/Result/JacksonDatabind_51/result.json</x:v>
      </x:c>
      <x:c r="P453" t="str">
        <x:v>BOTH_NOT_RUN</x:v>
      </x:c>
      <x:c r="Q453" s="21" t="str"/>
      <x:c r="R453" s="21" t="str"/>
      <x:c r="S453" s="21" t="str"/>
      <x:c r="T453" s="17" t="str">
        <x:v>false</x:v>
      </x:c>
      <x:c r="U453" s="17" t="str">
        <x:v>true</x:v>
      </x:c>
      <x:c r="V453" s="17" t="str">
        <x:v>false</x:v>
      </x:c>
    </x:row>
    <x:row r="454" ht="80" customHeight="1">
      <x:c r="A454" s="25" t="str">
        <x:v>JacksonDatabind</x:v>
      </x:c>
      <x:c r="B454" s="25" t="n">
        <x:v>52</x:v>
      </x:c>
      <x:c r="C454" s="25" t="str">
        <x:v>Round1</x:v>
      </x:c>
      <x:c r="D454" s="25" t="str">
        <x:v>NOT_AVAILABLE</x:v>
      </x:c>
      <x:c r="E454" s="25" t="str">
        <x:v>N/A</x:v>
      </x:c>
      <x:c r="F454" s="26" t="str">
        <x:v>Tests exist but current coverage did not complete</x:v>
      </x:c>
      <x:c r="G454" s="25" t="str">
        <x:v>true</x:v>
      </x:c>
      <x:c r="H454" s="25" t="str">
        <x:v>NOT_AVAILABLE</x:v>
      </x:c>
      <x:c r="I454" s="25" t="str">
        <x:v>NOT_RUN</x:v>
      </x:c>
      <x:c r="J454" s="25" t="str">
        <x:v>NOT_RUN</x:v>
      </x:c>
      <x:c r="K454" s="25" t="n">
        <x:v>2</x:v>
      </x:c>
      <x:c r="L454" s="27" t="b">
        <x:v>0</x:v>
      </x:c>
      <x:c r="M454" s="25" t="str">
        <x:v>Deepseek-flash-v4/state/Round1/shards/JacksonDatabind.json</x:v>
      </x:c>
      <x:c r="N454" s="25" t="str">
        <x:v>Deepseek-flash-v4/Result/JacksonDatabind_52/result.json</x:v>
      </x:c>
      <x:c r="O454" s="25" t="str">
        <x:v>Deepseek-flash-v4/Result/JacksonDatabind_52/result.json</x:v>
      </x:c>
      <x:c r="P454" t="str">
        <x:v>BOTH_NOT_RUN</x:v>
      </x:c>
      <x:c r="Q454" s="21" t="str"/>
      <x:c r="R454" s="21" t="str"/>
      <x:c r="S454" s="21" t="str"/>
      <x:c r="T454" s="17" t="str">
        <x:v>false</x:v>
      </x:c>
      <x:c r="U454" s="17" t="str">
        <x:v>true</x:v>
      </x:c>
      <x:c r="V454" s="17" t="str">
        <x:v>false</x:v>
      </x:c>
    </x:row>
    <x:row r="455" ht="80" customHeight="1">
      <x:c r="A455" s="25" t="str">
        <x:v>JacksonDatabind</x:v>
      </x:c>
      <x:c r="B455" s="25" t="n">
        <x:v>53</x:v>
      </x:c>
      <x:c r="C455" s="25" t="str">
        <x:v>Round1</x:v>
      </x:c>
      <x:c r="D455" s="25" t="str">
        <x:v>INCONCLUSIVE</x:v>
      </x:c>
      <x:c r="E455" s="25" t="str">
        <x:v>N/A</x:v>
      </x:c>
      <x:c r="F455" s="26" t="str">
        <x:v>Fixed also failed; assertion failure cannot be attributed to this bug</x:v>
      </x:c>
      <x:c r="G455" s="25" t="str">
        <x:v>true</x:v>
      </x:c>
      <x:c r="H455" s="25" t="str">
        <x:v>INCONCLUSIVE</x:v>
      </x:c>
      <x:c r="I455" s="25" t="str">
        <x:v>FAIL</x:v>
      </x:c>
      <x:c r="J455" s="25" t="str">
        <x:v>FAIL</x:v>
      </x:c>
      <x:c r="K455" s="25" t="n">
        <x:v>2</x:v>
      </x:c>
      <x:c r="L455" s="27" t="b">
        <x:v>0</x:v>
      </x:c>
      <x:c r="M455" s="25" t="str">
        <x:v>Deepseek-flash-v4/state/Round1/shards/JacksonDatabind.json</x:v>
      </x:c>
      <x:c r="N455" s="25" t="str">
        <x:v>Deepseek-flash-v4/Result/JacksonDatabind_53/result.json</x:v>
      </x:c>
      <x:c r="O455" s="25" t="str">
        <x:v>Deepseek-flash-v4/Result/JacksonDatabind_53/result.json</x:v>
      </x:c>
      <x:c r="P455"/>
      <x:c r="Q455" s="21" t="str"/>
      <x:c r="R455" s="21" t="str"/>
      <x:c r="S455" s="21" t="str"/>
      <x:c r="T455" s="17" t="str">
        <x:v>false</x:v>
      </x:c>
      <x:c r="U455" s="17" t="str">
        <x:v>true</x:v>
      </x:c>
      <x:c r="V455" s="17" t="str">
        <x:v>false</x:v>
      </x:c>
    </x:row>
    <x:row r="456" ht="80" customHeight="1">
      <x:c r="A456" s="25" t="str">
        <x:v>JacksonDatabind</x:v>
      </x:c>
      <x:c r="B456" s="25" t="n">
        <x:v>54</x:v>
      </x:c>
      <x:c r="C456" s="25" t="str">
        <x:v>Round1</x:v>
      </x:c>
      <x:c r="D456" s="25" t="str">
        <x:v>NOT_AVAILABLE</x:v>
      </x:c>
      <x:c r="E456" s="25" t="str">
        <x:v>N/A</x:v>
      </x:c>
      <x:c r="F456" s="26" t="str">
        <x:v>Tests exist but current coverage did not complete</x:v>
      </x:c>
      <x:c r="G456" s="25" t="str">
        <x:v>true</x:v>
      </x:c>
      <x:c r="H456" s="25" t="str">
        <x:v>NOT_AVAILABLE</x:v>
      </x:c>
      <x:c r="I456" s="25" t="str">
        <x:v>NOT_RUN</x:v>
      </x:c>
      <x:c r="J456" s="25" t="str">
        <x:v>NOT_RUN</x:v>
      </x:c>
      <x:c r="K456" s="25" t="n">
        <x:v>1</x:v>
      </x:c>
      <x:c r="L456" s="27" t="b">
        <x:v>0</x:v>
      </x:c>
      <x:c r="M456" s="25" t="str">
        <x:v>Deepseek-flash-v4/state/Round1/shards/JacksonDatabind.json</x:v>
      </x:c>
      <x:c r="N456" s="25" t="str">
        <x:v>Deepseek-flash-v4/Result/JacksonDatabind_54/result.json</x:v>
      </x:c>
      <x:c r="O456" s="25" t="str">
        <x:v>Deepseek-flash-v4/Result/JacksonDatabind_54/result.json</x:v>
      </x:c>
      <x:c r="P456" t="str">
        <x:v>BOTH_NOT_RUN</x:v>
      </x:c>
      <x:c r="Q456" s="21" t="str"/>
      <x:c r="R456" s="21" t="str"/>
      <x:c r="S456" s="21" t="str"/>
      <x:c r="T456" s="17" t="str">
        <x:v>false</x:v>
      </x:c>
      <x:c r="U456" s="17" t="str">
        <x:v>true</x:v>
      </x:c>
      <x:c r="V456" s="17" t="str">
        <x:v>false</x:v>
      </x:c>
    </x:row>
    <x:row r="457" ht="80" customHeight="1">
      <x:c r="A457" s="25" t="str">
        <x:v>JacksonDatabind</x:v>
      </x:c>
      <x:c r="B457" s="25" t="n">
        <x:v>55</x:v>
      </x:c>
      <x:c r="C457" s="25" t="str">
        <x:v>Round1</x:v>
      </x:c>
      <x:c r="D457" s="25" t="str">
        <x:v>INCONCLUSIVE</x:v>
      </x:c>
      <x:c r="E457" s="25" t="str">
        <x:v>N/A</x:v>
      </x:c>
      <x:c r="F457" s="26" t="str">
        <x:v>Fixed also failed; assertion failure cannot be attributed to this bug</x:v>
      </x:c>
      <x:c r="G457" s="25" t="str">
        <x:v>true</x:v>
      </x:c>
      <x:c r="H457" s="25" t="str">
        <x:v>INCONCLUSIVE</x:v>
      </x:c>
      <x:c r="I457" s="25" t="str">
        <x:v>FAIL</x:v>
      </x:c>
      <x:c r="J457" s="25" t="str">
        <x:v>FAIL</x:v>
      </x:c>
      <x:c r="K457" s="25" t="n">
        <x:v>1</x:v>
      </x:c>
      <x:c r="L457" s="27" t="b">
        <x:v>0</x:v>
      </x:c>
      <x:c r="M457" s="25" t="str">
        <x:v>Deepseek-flash-v4/state/Round1/shards/JacksonDatabind.json</x:v>
      </x:c>
      <x:c r="N457" s="25" t="str">
        <x:v>Deepseek-flash-v4/Result/JacksonDatabind_55/result.json</x:v>
      </x:c>
      <x:c r="O457" s="25" t="str">
        <x:v>Deepseek-flash-v4/Result/JacksonDatabind_55/result.json</x:v>
      </x:c>
      <x:c r="P457"/>
      <x:c r="Q457" s="21" t="str"/>
      <x:c r="R457" s="21" t="str"/>
      <x:c r="S457" s="21" t="str"/>
      <x:c r="T457" s="17" t="str">
        <x:v>false</x:v>
      </x:c>
      <x:c r="U457" s="17" t="str">
        <x:v>true</x:v>
      </x:c>
      <x:c r="V457" s="17" t="str">
        <x:v>false</x:v>
      </x:c>
    </x:row>
    <x:row r="458" ht="80" customHeight="1">
      <x:c r="A458" s="25" t="str">
        <x:v>JacksonDatabind</x:v>
      </x:c>
      <x:c r="B458" s="25" t="n">
        <x:v>56</x:v>
      </x:c>
      <x:c r="C458" s="25" t="str">
        <x:v>Round1</x:v>
      </x:c>
      <x:c r="D458" s="25" t="str">
        <x:v>NOT_AVAILABLE</x:v>
      </x:c>
      <x:c r="E458" s="25" t="str">
        <x:v>N/A</x:v>
      </x:c>
      <x:c r="F458" s="26" t="str">
        <x:v>Tests exist but current coverage did not complete</x:v>
      </x:c>
      <x:c r="G458" s="25" t="str">
        <x:v>true</x:v>
      </x:c>
      <x:c r="H458" s="25" t="str">
        <x:v>NOT_AVAILABLE</x:v>
      </x:c>
      <x:c r="I458" s="25" t="str">
        <x:v>NOT_RUN</x:v>
      </x:c>
      <x:c r="J458" s="25" t="str">
        <x:v>NOT_RUN</x:v>
      </x:c>
      <x:c r="K458" s="25" t="n">
        <x:v>1</x:v>
      </x:c>
      <x:c r="L458" s="27" t="b">
        <x:v>0</x:v>
      </x:c>
      <x:c r="M458" s="25" t="str">
        <x:v>Deepseek-flash-v4/state/Round1/shards/JacksonDatabind.json</x:v>
      </x:c>
      <x:c r="N458" s="25" t="str">
        <x:v>Deepseek-flash-v4/Result/JacksonDatabind_56/result.json</x:v>
      </x:c>
      <x:c r="O458" s="25" t="str">
        <x:v>Deepseek-flash-v4/Result/JacksonDatabind_56/result.json</x:v>
      </x:c>
      <x:c r="P458" t="str">
        <x:v>BOTH_NOT_RUN</x:v>
      </x:c>
      <x:c r="Q458" s="21" t="str"/>
      <x:c r="R458" s="21" t="str"/>
      <x:c r="S458" s="21" t="str"/>
      <x:c r="T458" s="17" t="str">
        <x:v>false</x:v>
      </x:c>
      <x:c r="U458" s="17" t="str">
        <x:v>true</x:v>
      </x:c>
      <x:c r="V458" s="17" t="str">
        <x:v>false</x:v>
      </x:c>
    </x:row>
    <x:row r="459" ht="80" customHeight="1">
      <x:c r="A459" s="25" t="str">
        <x:v>JacksonDatabind</x:v>
      </x:c>
      <x:c r="B459" s="25" t="n">
        <x:v>57</x:v>
      </x:c>
      <x:c r="C459" s="25" t="str">
        <x:v>Round1</x:v>
      </x:c>
      <x:c r="D459" s="25" t="str">
        <x:v>INCONCLUSIVE</x:v>
      </x:c>
      <x:c r="E459" s="25" t="str">
        <x:v>N/A</x:v>
      </x:c>
      <x:c r="F459" s="26" t="str">
        <x:v>Fixed also failed; assertion failure cannot be attributed to this bug</x:v>
      </x:c>
      <x:c r="G459" s="25" t="str">
        <x:v>true</x:v>
      </x:c>
      <x:c r="H459" s="25" t="str">
        <x:v>INCONCLUSIVE</x:v>
      </x:c>
      <x:c r="I459" s="25" t="str">
        <x:v>FAIL</x:v>
      </x:c>
      <x:c r="J459" s="25" t="str">
        <x:v>FAIL</x:v>
      </x:c>
      <x:c r="K459" s="25" t="n">
        <x:v>1</x:v>
      </x:c>
      <x:c r="L459" s="27" t="b">
        <x:v>0</x:v>
      </x:c>
      <x:c r="M459" s="25" t="str">
        <x:v>Deepseek-flash-v4/state/Round1/shards/JacksonDatabind.json</x:v>
      </x:c>
      <x:c r="N459" s="25" t="str">
        <x:v>Deepseek-flash-v4/Result/JacksonDatabind_57/result.json</x:v>
      </x:c>
      <x:c r="O459" s="25" t="str">
        <x:v>Deepseek-flash-v4/Result/JacksonDatabind_57/result.json</x:v>
      </x:c>
      <x:c r="P459"/>
      <x:c r="Q459" s="21" t="str"/>
      <x:c r="R459" s="21" t="str"/>
      <x:c r="S459" s="21" t="str"/>
      <x:c r="T459" s="17" t="str">
        <x:v>false</x:v>
      </x:c>
      <x:c r="U459" s="17" t="str">
        <x:v>true</x:v>
      </x:c>
      <x:c r="V459" s="17" t="str">
        <x:v>false</x:v>
      </x:c>
    </x:row>
    <x:row r="460" ht="80" customHeight="1">
      <x:c r="A460" s="25" t="str">
        <x:v>JacksonDatabind</x:v>
      </x:c>
      <x:c r="B460" s="25" t="n">
        <x:v>58</x:v>
      </x:c>
      <x:c r="C460" s="25" t="str">
        <x:v>Round1</x:v>
      </x:c>
      <x:c r="D460" s="25" t="str">
        <x:v>NOT_AVAILABLE</x:v>
      </x:c>
      <x:c r="E460" s="25" t="str">
        <x:v>N/A</x:v>
      </x:c>
      <x:c r="F460" s="26" t="str">
        <x:v>Tests exist but current coverage did not complete</x:v>
      </x:c>
      <x:c r="G460" s="25" t="str">
        <x:v>true</x:v>
      </x:c>
      <x:c r="H460" s="25" t="str">
        <x:v>NOT_AVAILABLE</x:v>
      </x:c>
      <x:c r="I460" s="25" t="str">
        <x:v>NOT_RUN</x:v>
      </x:c>
      <x:c r="J460" s="25" t="str">
        <x:v>NOT_RUN</x:v>
      </x:c>
      <x:c r="K460" s="25" t="n">
        <x:v>1</x:v>
      </x:c>
      <x:c r="L460" s="27" t="b">
        <x:v>0</x:v>
      </x:c>
      <x:c r="M460" s="25" t="str">
        <x:v>Deepseek-flash-v4/state/Round1/shards/JacksonDatabind.json</x:v>
      </x:c>
      <x:c r="N460" s="25" t="str">
        <x:v>Deepseek-flash-v4/Result/JacksonDatabind_58/result.json</x:v>
      </x:c>
      <x:c r="O460" s="25" t="str">
        <x:v>Deepseek-flash-v4/Result/JacksonDatabind_58/result.json</x:v>
      </x:c>
      <x:c r="P460" t="str">
        <x:v>BOTH_NOT_RUN</x:v>
      </x:c>
      <x:c r="Q460" s="21" t="str"/>
      <x:c r="R460" s="21" t="str"/>
      <x:c r="S460" s="21" t="str"/>
      <x:c r="T460" s="17" t="str">
        <x:v>false</x:v>
      </x:c>
      <x:c r="U460" s="17" t="str">
        <x:v>true</x:v>
      </x:c>
      <x:c r="V460" s="17" t="str">
        <x:v>false</x:v>
      </x:c>
    </x:row>
    <x:row r="461" ht="80" customHeight="1">
      <x:c r="A461" s="25" t="str">
        <x:v>JacksonDatabind</x:v>
      </x:c>
      <x:c r="B461" s="25" t="n">
        <x:v>59</x:v>
      </x:c>
      <x:c r="C461" s="25" t="str">
        <x:v>Round1</x:v>
      </x:c>
      <x:c r="D461" s="25" t="str">
        <x:v>NOT_AVAILABLE</x:v>
      </x:c>
      <x:c r="E461" s="25" t="str">
        <x:v>N/A</x:v>
      </x:c>
      <x:c r="F461" s="26" t="str">
        <x:v>Tests exist but current coverage did not complete</x:v>
      </x:c>
      <x:c r="G461" s="25" t="str">
        <x:v>true</x:v>
      </x:c>
      <x:c r="H461" s="25" t="str">
        <x:v>NOT_AVAILABLE</x:v>
      </x:c>
      <x:c r="I461" s="25" t="str">
        <x:v>NOT_RUN</x:v>
      </x:c>
      <x:c r="J461" s="25" t="str">
        <x:v>NOT_RUN</x:v>
      </x:c>
      <x:c r="K461" s="25" t="n">
        <x:v>4</x:v>
      </x:c>
      <x:c r="L461" s="27" t="b">
        <x:v>0</x:v>
      </x:c>
      <x:c r="M461" s="25" t="str">
        <x:v>Deepseek-flash-v4/state/Round1/shards/JacksonDatabind.json</x:v>
      </x:c>
      <x:c r="N461" s="25" t="str">
        <x:v>Deepseek-flash-v4/Result/JacksonDatabind_59/result.json</x:v>
      </x:c>
      <x:c r="O461" s="25" t="str">
        <x:v>Deepseek-flash-v4/Result/JacksonDatabind_59/result.json</x:v>
      </x:c>
      <x:c r="P461" t="str">
        <x:v>BOTH_NOT_RUN</x:v>
      </x:c>
      <x:c r="Q461" s="21" t="str"/>
      <x:c r="R461" s="21" t="str"/>
      <x:c r="S461" s="21" t="str"/>
      <x:c r="T461" s="17" t="str">
        <x:v>false</x:v>
      </x:c>
      <x:c r="U461" s="17" t="str">
        <x:v>true</x:v>
      </x:c>
      <x:c r="V461" s="17" t="str">
        <x:v>false</x:v>
      </x:c>
    </x:row>
    <x:row r="462" ht="80" customHeight="1">
      <x:c r="A462" s="25" t="str">
        <x:v>JacksonDatabind</x:v>
      </x:c>
      <x:c r="B462" s="25" t="n">
        <x:v>6</x:v>
      </x:c>
      <x:c r="C462" s="25" t="str">
        <x:v>Round1</x:v>
      </x:c>
      <x:c r="D462" s="25" t="str">
        <x:v>NOT_REVEALING</x:v>
      </x:c>
      <x:c r="E462" s="25" t="str">
        <x:v>N/A</x:v>
      </x:c>
      <x:c r="F462" s="26" t="str">
        <x:v>Same saved validation suite passed on buggy and fixed</x:v>
      </x:c>
      <x:c r="G462" s="25" t="str">
        <x:v>true</x:v>
      </x:c>
      <x:c r="H462" s="25" t="str">
        <x:v>NOT_REVEALING</x:v>
      </x:c>
      <x:c r="I462" s="25" t="str">
        <x:v>PASS</x:v>
      </x:c>
      <x:c r="J462" s="25" t="str">
        <x:v>PASS</x:v>
      </x:c>
      <x:c r="K462" s="25" t="n">
        <x:v>1</x:v>
      </x:c>
      <x:c r="L462" s="27" t="b">
        <x:v>0</x:v>
      </x:c>
      <x:c r="M462" s="25" t="str">
        <x:v>Deepseek-flash-v4/state/Round1/shards/JacksonDatabind.json</x:v>
      </x:c>
      <x:c r="N462" s="25" t="str">
        <x:v>Deepseek-flash-v4/Result/JacksonDatabind_6/result.json</x:v>
      </x:c>
      <x:c r="O462" s="25" t="str">
        <x:v>Deepseek-flash-v4/Result/JacksonDatabind_6/result.json</x:v>
      </x:c>
      <x:c r="P462"/>
      <x:c r="Q462" s="21" t="str"/>
      <x:c r="R462" s="21" t="str"/>
      <x:c r="S462" s="21" t="str"/>
      <x:c r="T462" s="17" t="str">
        <x:v>false</x:v>
      </x:c>
      <x:c r="U462" s="17" t="str">
        <x:v>true</x:v>
      </x:c>
      <x:c r="V462" s="17" t="str">
        <x:v>false</x:v>
      </x:c>
    </x:row>
    <x:row r="463" ht="80" customHeight="1">
      <x:c r="A463" s="25" t="str">
        <x:v>JacksonDatabind</x:v>
      </x:c>
      <x:c r="B463" s="25" t="n">
        <x:v>60</x:v>
      </x:c>
      <x:c r="C463" s="25" t="str">
        <x:v>Round1</x:v>
      </x:c>
      <x:c r="D463" s="25" t="str">
        <x:v>NOT_AVAILABLE</x:v>
      </x:c>
      <x:c r="E463" s="25" t="str">
        <x:v>N/A</x:v>
      </x:c>
      <x:c r="F463" s="26" t="str">
        <x:v>Tests exist but current coverage did not complete</x:v>
      </x:c>
      <x:c r="G463" s="25" t="str">
        <x:v>true</x:v>
      </x:c>
      <x:c r="H463" s="25" t="str">
        <x:v>NOT_AVAILABLE</x:v>
      </x:c>
      <x:c r="I463" s="25" t="str">
        <x:v>NOT_RUN</x:v>
      </x:c>
      <x:c r="J463" s="25" t="str">
        <x:v>NOT_RUN</x:v>
      </x:c>
      <x:c r="K463" s="25" t="n">
        <x:v>1</x:v>
      </x:c>
      <x:c r="L463" s="27" t="b">
        <x:v>0</x:v>
      </x:c>
      <x:c r="M463" s="25" t="str">
        <x:v>Deepseek-flash-v4/state/Round1/shards/JacksonDatabind.json</x:v>
      </x:c>
      <x:c r="N463" s="25" t="str">
        <x:v>Deepseek-flash-v4/Result/JacksonDatabind_60/result.json</x:v>
      </x:c>
      <x:c r="O463" s="25" t="str">
        <x:v>Deepseek-flash-v4/Result/JacksonDatabind_60/result.json</x:v>
      </x:c>
      <x:c r="P463" t="str">
        <x:v>BOTH_NOT_RUN</x:v>
      </x:c>
      <x:c r="Q463" s="21" t="str"/>
      <x:c r="R463" s="21" t="str"/>
      <x:c r="S463" s="21" t="str"/>
      <x:c r="T463" s="17" t="str">
        <x:v>false</x:v>
      </x:c>
      <x:c r="U463" s="17" t="str">
        <x:v>true</x:v>
      </x:c>
      <x:c r="V463" s="17" t="str">
        <x:v>false</x:v>
      </x:c>
    </x:row>
    <x:row r="464" ht="80" customHeight="1">
      <x:c r="A464" s="25" t="str">
        <x:v>JacksonDatabind</x:v>
      </x:c>
      <x:c r="B464" s="25" t="n">
        <x:v>61</x:v>
      </x:c>
      <x:c r="C464" s="25" t="str">
        <x:v>Round1</x:v>
      </x:c>
      <x:c r="D464" s="25" t="str">
        <x:v>NOT_AVAILABLE</x:v>
      </x:c>
      <x:c r="E464" s="25" t="str">
        <x:v>N/A</x:v>
      </x:c>
      <x:c r="F464" s="26" t="str">
        <x:v>Tests exist but current coverage did not complete</x:v>
      </x:c>
      <x:c r="G464" s="25" t="str">
        <x:v>true</x:v>
      </x:c>
      <x:c r="H464" s="25" t="str">
        <x:v>NOT_AVAILABLE</x:v>
      </x:c>
      <x:c r="I464" s="25" t="str">
        <x:v>NOT_RUN</x:v>
      </x:c>
      <x:c r="J464" s="25" t="str">
        <x:v>NOT_RUN</x:v>
      </x:c>
      <x:c r="K464" s="25" t="n">
        <x:v>2</x:v>
      </x:c>
      <x:c r="L464" s="27" t="b">
        <x:v>0</x:v>
      </x:c>
      <x:c r="M464" s="25" t="str">
        <x:v>Deepseek-flash-v4/state/Round1/shards/JacksonDatabind.json</x:v>
      </x:c>
      <x:c r="N464" s="25" t="str">
        <x:v>Deepseek-flash-v4/Result/JacksonDatabind_61/result.json</x:v>
      </x:c>
      <x:c r="O464" s="25" t="str">
        <x:v>Deepseek-flash-v4/Result/JacksonDatabind_61/result.json</x:v>
      </x:c>
      <x:c r="P464" t="str">
        <x:v>BOTH_NOT_RUN</x:v>
      </x:c>
      <x:c r="Q464" s="21" t="str"/>
      <x:c r="R464" s="21" t="str"/>
      <x:c r="S464" s="21" t="str"/>
      <x:c r="T464" s="17" t="str">
        <x:v>false</x:v>
      </x:c>
      <x:c r="U464" s="17" t="str">
        <x:v>true</x:v>
      </x:c>
      <x:c r="V464" s="17" t="str">
        <x:v>false</x:v>
      </x:c>
    </x:row>
    <x:row r="465" ht="80" customHeight="1">
      <x:c r="A465" s="25" t="str">
        <x:v>JacksonDatabind</x:v>
      </x:c>
      <x:c r="B465" s="25" t="n">
        <x:v>62</x:v>
      </x:c>
      <x:c r="C465" s="25" t="str">
        <x:v>Round1</x:v>
      </x:c>
      <x:c r="D465" s="25" t="str">
        <x:v>NOT_AVAILABLE</x:v>
      </x:c>
      <x:c r="E465" s="25" t="str">
        <x:v>N/A</x:v>
      </x:c>
      <x:c r="F465" s="26" t="str">
        <x:v>Tests exist but current coverage did not complete</x:v>
      </x:c>
      <x:c r="G465" s="25" t="str">
        <x:v>true</x:v>
      </x:c>
      <x:c r="H465" s="25" t="str">
        <x:v>NOT_AVAILABLE</x:v>
      </x:c>
      <x:c r="I465" s="25" t="str">
        <x:v>NOT_RUN</x:v>
      </x:c>
      <x:c r="J465" s="25" t="str">
        <x:v>NOT_RUN</x:v>
      </x:c>
      <x:c r="K465" s="25" t="n">
        <x:v>1</x:v>
      </x:c>
      <x:c r="L465" s="27" t="b">
        <x:v>0</x:v>
      </x:c>
      <x:c r="M465" s="25" t="str">
        <x:v>Deepseek-flash-v4/state/Round1/shards/JacksonDatabind.json</x:v>
      </x:c>
      <x:c r="N465" s="25" t="str">
        <x:v>Deepseek-flash-v4/Result/JacksonDatabind_62/result.json</x:v>
      </x:c>
      <x:c r="O465" s="25" t="str">
        <x:v>Deepseek-flash-v4/Result/JacksonDatabind_62/result.json</x:v>
      </x:c>
      <x:c r="P465" t="str">
        <x:v>BOTH_NOT_RUN</x:v>
      </x:c>
      <x:c r="Q465" s="21" t="str"/>
      <x:c r="R465" s="21" t="str"/>
      <x:c r="S465" s="21" t="str"/>
      <x:c r="T465" s="17" t="str">
        <x:v>false</x:v>
      </x:c>
      <x:c r="U465" s="17" t="str">
        <x:v>true</x:v>
      </x:c>
      <x:c r="V465" s="17" t="str">
        <x:v>false</x:v>
      </x:c>
    </x:row>
    <x:row r="466" ht="80" customHeight="1">
      <x:c r="A466" s="25" t="str">
        <x:v>JacksonDatabind</x:v>
      </x:c>
      <x:c r="B466" s="25" t="n">
        <x:v>63</x:v>
      </x:c>
      <x:c r="C466" s="25" t="str">
        <x:v>Round1</x:v>
      </x:c>
      <x:c r="D466" s="25" t="str">
        <x:v>INCONCLUSIVE</x:v>
      </x:c>
      <x:c r="E466" s="25" t="str">
        <x:v>N/A</x:v>
      </x:c>
      <x:c r="F466" s="26" t="str">
        <x:v>Fixed also failed; assertion failure cannot be attributed to this bug</x:v>
      </x:c>
      <x:c r="G466" s="25" t="str">
        <x:v>true</x:v>
      </x:c>
      <x:c r="H466" s="25" t="str">
        <x:v>INCONCLUSIVE</x:v>
      </x:c>
      <x:c r="I466" s="25" t="str">
        <x:v>FAIL</x:v>
      </x:c>
      <x:c r="J466" s="25" t="str">
        <x:v>FAIL</x:v>
      </x:c>
      <x:c r="K466" s="25" t="n">
        <x:v>1</x:v>
      </x:c>
      <x:c r="L466" s="27" t="b">
        <x:v>0</x:v>
      </x:c>
      <x:c r="M466" s="25" t="str">
        <x:v>Deepseek-flash-v4/state/Round1/shards/JacksonDatabind.json</x:v>
      </x:c>
      <x:c r="N466" s="25" t="str">
        <x:v>Deepseek-flash-v4/Result/JacksonDatabind_63/result.json</x:v>
      </x:c>
      <x:c r="O466" s="25" t="str">
        <x:v>Deepseek-flash-v4/Result/JacksonDatabind_63/result.json</x:v>
      </x:c>
      <x:c r="P466"/>
      <x:c r="Q466" s="21" t="str"/>
      <x:c r="R466" s="21" t="str"/>
      <x:c r="S466" s="21" t="str"/>
      <x:c r="T466" s="17" t="str">
        <x:v>false</x:v>
      </x:c>
      <x:c r="U466" s="17" t="str">
        <x:v>true</x:v>
      </x:c>
      <x:c r="V466" s="17" t="str">
        <x:v>false</x:v>
      </x:c>
    </x:row>
    <x:row r="467" ht="80" customHeight="1">
      <x:c r="A467" s="25" t="str">
        <x:v>JacksonDatabind</x:v>
      </x:c>
      <x:c r="B467" s="25" t="n">
        <x:v>64</x:v>
      </x:c>
      <x:c r="C467" s="25" t="str">
        <x:v>Round1</x:v>
      </x:c>
      <x:c r="D467" s="25" t="str">
        <x:v>NOT_AVAILABLE</x:v>
      </x:c>
      <x:c r="E467" s="25" t="str">
        <x:v>N/A</x:v>
      </x:c>
      <x:c r="F467" s="26" t="str">
        <x:v>Tests exist but current coverage did not complete</x:v>
      </x:c>
      <x:c r="G467" s="25" t="str">
        <x:v>true</x:v>
      </x:c>
      <x:c r="H467" s="25" t="str">
        <x:v>NOT_AVAILABLE</x:v>
      </x:c>
      <x:c r="I467" s="25" t="str">
        <x:v>NOT_RUN</x:v>
      </x:c>
      <x:c r="J467" s="25" t="str">
        <x:v>NOT_RUN</x:v>
      </x:c>
      <x:c r="K467" s="25" t="n">
        <x:v>1</x:v>
      </x:c>
      <x:c r="L467" s="27" t="b">
        <x:v>0</x:v>
      </x:c>
      <x:c r="M467" s="25" t="str">
        <x:v>Deepseek-flash-v4/state/Round1/shards/JacksonDatabind.json</x:v>
      </x:c>
      <x:c r="N467" s="25" t="str">
        <x:v>Deepseek-flash-v4/Result/JacksonDatabind_64/result.json</x:v>
      </x:c>
      <x:c r="O467" s="25" t="str">
        <x:v>Deepseek-flash-v4/Result/JacksonDatabind_64/result.json</x:v>
      </x:c>
      <x:c r="P467" t="str">
        <x:v>BOTH_NOT_RUN</x:v>
      </x:c>
      <x:c r="Q467" s="21" t="str"/>
      <x:c r="R467" s="21" t="str"/>
      <x:c r="S467" s="21" t="str"/>
      <x:c r="T467" s="17" t="str">
        <x:v>false</x:v>
      </x:c>
      <x:c r="U467" s="17" t="str">
        <x:v>true</x:v>
      </x:c>
      <x:c r="V467" s="17" t="str">
        <x:v>false</x:v>
      </x:c>
    </x:row>
    <x:row r="468" ht="80" customHeight="1">
      <x:c r="A468" s="25" t="str">
        <x:v>JacksonDatabind</x:v>
      </x:c>
      <x:c r="B468" s="25" t="n">
        <x:v>66</x:v>
      </x:c>
      <x:c r="C468" s="25" t="str">
        <x:v>Round1</x:v>
      </x:c>
      <x:c r="D468" s="25" t="str">
        <x:v>NOT_REVEALING</x:v>
      </x:c>
      <x:c r="E468" s="25" t="str">
        <x:v>N/A</x:v>
      </x:c>
      <x:c r="F468" s="26" t="str">
        <x:v>Same saved validation suite passed on buggy and fixed</x:v>
      </x:c>
      <x:c r="G468" s="25" t="str">
        <x:v>true</x:v>
      </x:c>
      <x:c r="H468" s="25" t="str">
        <x:v>NOT_REVEALING</x:v>
      </x:c>
      <x:c r="I468" s="25" t="str">
        <x:v>PASS</x:v>
      </x:c>
      <x:c r="J468" s="25" t="str">
        <x:v>PASS</x:v>
      </x:c>
      <x:c r="K468" s="25" t="n">
        <x:v>1</x:v>
      </x:c>
      <x:c r="L468" s="27" t="b">
        <x:v>0</x:v>
      </x:c>
      <x:c r="M468" s="25" t="str">
        <x:v>Deepseek-flash-v4/state/Round1/shards/JacksonDatabind.json</x:v>
      </x:c>
      <x:c r="N468" s="25" t="str">
        <x:v>Deepseek-flash-v4/Result/JacksonDatabind_66/result.json</x:v>
      </x:c>
      <x:c r="O468" s="25" t="str">
        <x:v>Deepseek-flash-v4/Result/JacksonDatabind_66/result.json</x:v>
      </x:c>
      <x:c r="P468"/>
      <x:c r="Q468" s="21" t="str"/>
      <x:c r="R468" s="21" t="str"/>
      <x:c r="S468" s="21" t="str"/>
      <x:c r="T468" s="17" t="str">
        <x:v>false</x:v>
      </x:c>
      <x:c r="U468" s="17" t="str">
        <x:v>true</x:v>
      </x:c>
      <x:c r="V468" s="17" t="str">
        <x:v>false</x:v>
      </x:c>
    </x:row>
    <x:row r="469" ht="80" customHeight="1">
      <x:c r="A469" s="25" t="str">
        <x:v>JacksonDatabind</x:v>
      </x:c>
      <x:c r="B469" s="25" t="n">
        <x:v>67</x:v>
      </x:c>
      <x:c r="C469" s="25" t="str">
        <x:v>Round1</x:v>
      </x:c>
      <x:c r="D469" s="25" t="str">
        <x:v>NOT_AVAILABLE</x:v>
      </x:c>
      <x:c r="E469" s="25" t="str">
        <x:v>N/A</x:v>
      </x:c>
      <x:c r="F469" s="26" t="str">
        <x:v>Tests exist but current coverage did not complete</x:v>
      </x:c>
      <x:c r="G469" s="25" t="str">
        <x:v>true</x:v>
      </x:c>
      <x:c r="H469" s="25" t="str">
        <x:v>NOT_AVAILABLE</x:v>
      </x:c>
      <x:c r="I469" s="25" t="str">
        <x:v>NOT_RUN</x:v>
      </x:c>
      <x:c r="J469" s="25" t="str">
        <x:v>NOT_RUN</x:v>
      </x:c>
      <x:c r="K469" s="25" t="n">
        <x:v>1</x:v>
      </x:c>
      <x:c r="L469" s="27" t="b">
        <x:v>0</x:v>
      </x:c>
      <x:c r="M469" s="25" t="str">
        <x:v>Deepseek-flash-v4/state/Round1/shards/JacksonDatabind.json</x:v>
      </x:c>
      <x:c r="N469" s="25" t="str">
        <x:v>Deepseek-flash-v4/Result/JacksonDatabind_67/result.json</x:v>
      </x:c>
      <x:c r="O469" s="25" t="str">
        <x:v>Deepseek-flash-v4/Result/JacksonDatabind_67/result.json</x:v>
      </x:c>
      <x:c r="P469" t="str">
        <x:v>BOTH_NOT_RUN</x:v>
      </x:c>
      <x:c r="Q469" s="21" t="str"/>
      <x:c r="R469" s="21" t="str"/>
      <x:c r="S469" s="21" t="str"/>
      <x:c r="T469" s="17" t="str">
        <x:v>false</x:v>
      </x:c>
      <x:c r="U469" s="17" t="str">
        <x:v>true</x:v>
      </x:c>
      <x:c r="V469" s="17" t="str">
        <x:v>false</x:v>
      </x:c>
    </x:row>
    <x:row r="470" ht="80" customHeight="1">
      <x:c r="A470" s="25" t="str">
        <x:v>JacksonDatabind</x:v>
      </x:c>
      <x:c r="B470" s="25" t="n">
        <x:v>68</x:v>
      </x:c>
      <x:c r="C470" s="25" t="str">
        <x:v>Round1</x:v>
      </x:c>
      <x:c r="D470" s="25" t="str">
        <x:v>INCONCLUSIVE</x:v>
      </x:c>
      <x:c r="E470" s="25" t="str">
        <x:v>N/A</x:v>
      </x:c>
      <x:c r="F470" s="26" t="str">
        <x:v>Fixed also failed; assertion failure cannot be attributed to this bug</x:v>
      </x:c>
      <x:c r="G470" s="25" t="str">
        <x:v>true</x:v>
      </x:c>
      <x:c r="H470" s="25" t="str">
        <x:v>INCONCLUSIVE</x:v>
      </x:c>
      <x:c r="I470" s="25" t="str">
        <x:v>FAIL</x:v>
      </x:c>
      <x:c r="J470" s="25" t="str">
        <x:v>FAIL</x:v>
      </x:c>
      <x:c r="K470" s="25" t="n">
        <x:v>1</x:v>
      </x:c>
      <x:c r="L470" s="27" t="b">
        <x:v>0</x:v>
      </x:c>
      <x:c r="M470" s="25" t="str">
        <x:v>Deepseek-flash-v4/state/Round1/shards/JacksonDatabind.json</x:v>
      </x:c>
      <x:c r="N470" s="25" t="str">
        <x:v>Deepseek-flash-v4/Result/JacksonDatabind_68/result.json</x:v>
      </x:c>
      <x:c r="O470" s="25" t="str">
        <x:v>Deepseek-flash-v4/Result/JacksonDatabind_68/result.json</x:v>
      </x:c>
      <x:c r="P470"/>
      <x:c r="Q470" s="21" t="str"/>
      <x:c r="R470" s="21" t="str"/>
      <x:c r="S470" s="21" t="str"/>
      <x:c r="T470" s="17" t="str">
        <x:v>false</x:v>
      </x:c>
      <x:c r="U470" s="17" t="str">
        <x:v>true</x:v>
      </x:c>
      <x:c r="V470" s="17" t="str">
        <x:v>false</x:v>
      </x:c>
    </x:row>
    <x:row r="471" ht="80" customHeight="1">
      <x:c r="A471" s="25" t="str">
        <x:v>JacksonDatabind</x:v>
      </x:c>
      <x:c r="B471" s="25" t="n">
        <x:v>69</x:v>
      </x:c>
      <x:c r="C471" s="25" t="str">
        <x:v>Round1</x:v>
      </x:c>
      <x:c r="D471" s="25" t="str">
        <x:v>NOT_AVAILABLE</x:v>
      </x:c>
      <x:c r="E471" s="25" t="str">
        <x:v>N/A</x:v>
      </x:c>
      <x:c r="F471" s="26" t="str">
        <x:v>Tests exist but current coverage did not complete</x:v>
      </x:c>
      <x:c r="G471" s="25" t="str">
        <x:v>true</x:v>
      </x:c>
      <x:c r="H471" s="25" t="str">
        <x:v>NOT_AVAILABLE</x:v>
      </x:c>
      <x:c r="I471" s="25" t="str">
        <x:v>NOT_RUN</x:v>
      </x:c>
      <x:c r="J471" s="25" t="str">
        <x:v>NOT_RUN</x:v>
      </x:c>
      <x:c r="K471" s="25" t="n">
        <x:v>1</x:v>
      </x:c>
      <x:c r="L471" s="27" t="b">
        <x:v>0</x:v>
      </x:c>
      <x:c r="M471" s="25" t="str">
        <x:v>Deepseek-flash-v4/state/Round1/shards/JacksonDatabind.json</x:v>
      </x:c>
      <x:c r="N471" s="25" t="str">
        <x:v>Deepseek-flash-v4/Result/JacksonDatabind_69/result.json</x:v>
      </x:c>
      <x:c r="O471" s="25" t="str">
        <x:v>Deepseek-flash-v4/Result/JacksonDatabind_69/result.json</x:v>
      </x:c>
      <x:c r="P471" t="str">
        <x:v>BOTH_NOT_RUN</x:v>
      </x:c>
      <x:c r="Q471" s="21" t="str"/>
      <x:c r="R471" s="21" t="str"/>
      <x:c r="S471" s="21" t="str"/>
      <x:c r="T471" s="17" t="str">
        <x:v>false</x:v>
      </x:c>
      <x:c r="U471" s="17" t="str">
        <x:v>true</x:v>
      </x:c>
      <x:c r="V471" s="17" t="str">
        <x:v>false</x:v>
      </x:c>
    </x:row>
    <x:row r="472" ht="80" customHeight="1">
      <x:c r="A472" s="25" t="str">
        <x:v>JacksonDatabind</x:v>
      </x:c>
      <x:c r="B472" s="25" t="n">
        <x:v>7</x:v>
      </x:c>
      <x:c r="C472" s="25" t="str">
        <x:v>Round1</x:v>
      </x:c>
      <x:c r="D472" s="25" t="str">
        <x:v>NOT_AVAILABLE</x:v>
      </x:c>
      <x:c r="E472" s="25" t="str">
        <x:v>N/A</x:v>
      </x:c>
      <x:c r="F472" s="26" t="str">
        <x:v>Tests exist but current coverage did not complete</x:v>
      </x:c>
      <x:c r="G472" s="25" t="str">
        <x:v>true</x:v>
      </x:c>
      <x:c r="H472" s="25" t="str">
        <x:v>NOT_AVAILABLE</x:v>
      </x:c>
      <x:c r="I472" s="25" t="str">
        <x:v>NOT_RUN</x:v>
      </x:c>
      <x:c r="J472" s="25" t="str">
        <x:v>NOT_RUN</x:v>
      </x:c>
      <x:c r="K472" s="25" t="n">
        <x:v>1</x:v>
      </x:c>
      <x:c r="L472" s="27" t="b">
        <x:v>0</x:v>
      </x:c>
      <x:c r="M472" s="25" t="str">
        <x:v>Deepseek-flash-v4/state/Round1/shards/JacksonDatabind.json</x:v>
      </x:c>
      <x:c r="N472" s="25" t="str">
        <x:v>Deepseek-flash-v4/Result/JacksonDatabind_7/result.json</x:v>
      </x:c>
      <x:c r="O472" s="25" t="str">
        <x:v>Deepseek-flash-v4/Result/JacksonDatabind_7/result.json</x:v>
      </x:c>
      <x:c r="P472" t="str">
        <x:v>BOTH_NOT_RUN</x:v>
      </x:c>
      <x:c r="Q472" s="21" t="str"/>
      <x:c r="R472" s="21" t="str"/>
      <x:c r="S472" s="21" t="str"/>
      <x:c r="T472" s="17" t="str">
        <x:v>false</x:v>
      </x:c>
      <x:c r="U472" s="17" t="str">
        <x:v>true</x:v>
      </x:c>
      <x:c r="V472" s="17" t="str">
        <x:v>false</x:v>
      </x:c>
    </x:row>
    <x:row r="473" ht="80" customHeight="1">
      <x:c r="A473" s="25" t="str">
        <x:v>JacksonDatabind</x:v>
      </x:c>
      <x:c r="B473" s="25" t="n">
        <x:v>70</x:v>
      </x:c>
      <x:c r="C473" s="25" t="str">
        <x:v>Round1</x:v>
      </x:c>
      <x:c r="D473" s="25" t="str">
        <x:v>NOT_AVAILABLE</x:v>
      </x:c>
      <x:c r="E473" s="25" t="str">
        <x:v>N/A</x:v>
      </x:c>
      <x:c r="F473" s="26" t="str">
        <x:v>Tests exist but current coverage did not complete</x:v>
      </x:c>
      <x:c r="G473" s="25" t="str">
        <x:v>true</x:v>
      </x:c>
      <x:c r="H473" s="25" t="str">
        <x:v>NOT_AVAILABLE</x:v>
      </x:c>
      <x:c r="I473" s="25" t="str">
        <x:v>NOT_RUN</x:v>
      </x:c>
      <x:c r="J473" s="25" t="str">
        <x:v>NOT_RUN</x:v>
      </x:c>
      <x:c r="K473" s="25" t="n">
        <x:v>1</x:v>
      </x:c>
      <x:c r="L473" s="27" t="b">
        <x:v>0</x:v>
      </x:c>
      <x:c r="M473" s="25" t="str">
        <x:v>Deepseek-flash-v4/state/Round1/shards/JacksonDatabind.json</x:v>
      </x:c>
      <x:c r="N473" s="25" t="str">
        <x:v>Deepseek-flash-v4/Result/JacksonDatabind_70/result.json</x:v>
      </x:c>
      <x:c r="O473" s="25" t="str">
        <x:v>Deepseek-flash-v4/Result/JacksonDatabind_70/result.json</x:v>
      </x:c>
      <x:c r="P473" t="str">
        <x:v>BOTH_NOT_RUN</x:v>
      </x:c>
      <x:c r="Q473" s="21" t="str"/>
      <x:c r="R473" s="21" t="str"/>
      <x:c r="S473" s="21" t="str"/>
      <x:c r="T473" s="17" t="str">
        <x:v>false</x:v>
      </x:c>
      <x:c r="U473" s="17" t="str">
        <x:v>true</x:v>
      </x:c>
      <x:c r="V473" s="17" t="str">
        <x:v>false</x:v>
      </x:c>
    </x:row>
    <x:row r="474" ht="80" customHeight="1">
      <x:c r="A474" s="25" t="str">
        <x:v>JacksonDatabind</x:v>
      </x:c>
      <x:c r="B474" s="25" t="n">
        <x:v>71</x:v>
      </x:c>
      <x:c r="C474" s="25" t="str">
        <x:v>Round1</x:v>
      </x:c>
      <x:c r="D474" s="25" t="str">
        <x:v>INCONCLUSIVE</x:v>
      </x:c>
      <x:c r="E474" s="25" t="str">
        <x:v>N/A</x:v>
      </x:c>
      <x:c r="F474" s="26" t="str">
        <x:v>Fixed also failed; assertion failure cannot be attributed to this bug</x:v>
      </x:c>
      <x:c r="G474" s="25" t="str">
        <x:v>true</x:v>
      </x:c>
      <x:c r="H474" s="25" t="str">
        <x:v>INCONCLUSIVE</x:v>
      </x:c>
      <x:c r="I474" s="25" t="str">
        <x:v>FAIL</x:v>
      </x:c>
      <x:c r="J474" s="25" t="str">
        <x:v>FAIL</x:v>
      </x:c>
      <x:c r="K474" s="25" t="n">
        <x:v>1</x:v>
      </x:c>
      <x:c r="L474" s="27" t="b">
        <x:v>0</x:v>
      </x:c>
      <x:c r="M474" s="25" t="str">
        <x:v>Deepseek-flash-v4/state/Round1/shards/JacksonDatabind.json</x:v>
      </x:c>
      <x:c r="N474" s="25" t="str">
        <x:v>Deepseek-flash-v4/Result/JacksonDatabind_71/result.json</x:v>
      </x:c>
      <x:c r="O474" s="25" t="str">
        <x:v>Deepseek-flash-v4/Result/JacksonDatabind_71/result.json</x:v>
      </x:c>
      <x:c r="P474"/>
      <x:c r="Q474" s="21" t="str"/>
      <x:c r="R474" s="21" t="str"/>
      <x:c r="S474" s="21" t="str"/>
      <x:c r="T474" s="17" t="str">
        <x:v>false</x:v>
      </x:c>
      <x:c r="U474" s="17" t="str">
        <x:v>true</x:v>
      </x:c>
      <x:c r="V474" s="17" t="str">
        <x:v>false</x:v>
      </x:c>
    </x:row>
    <x:row r="475" ht="80" customHeight="1">
      <x:c r="A475" s="25" t="str">
        <x:v>JacksonDatabind</x:v>
      </x:c>
      <x:c r="B475" s="25" t="n">
        <x:v>72</x:v>
      </x:c>
      <x:c r="C475" s="25" t="str">
        <x:v>Round1</x:v>
      </x:c>
      <x:c r="D475" s="25" t="str">
        <x:v>NOT_AVAILABLE</x:v>
      </x:c>
      <x:c r="E475" s="25" t="str">
        <x:v>N/A</x:v>
      </x:c>
      <x:c r="F475" s="26" t="str">
        <x:v>Tests exist but current coverage did not complete</x:v>
      </x:c>
      <x:c r="G475" s="25" t="str">
        <x:v>true</x:v>
      </x:c>
      <x:c r="H475" s="25" t="str">
        <x:v>NOT_AVAILABLE</x:v>
      </x:c>
      <x:c r="I475" s="25" t="str">
        <x:v>NOT_RUN</x:v>
      </x:c>
      <x:c r="J475" s="25" t="str">
        <x:v>NOT_RUN</x:v>
      </x:c>
      <x:c r="K475" s="25" t="n">
        <x:v>1</x:v>
      </x:c>
      <x:c r="L475" s="27" t="b">
        <x:v>0</x:v>
      </x:c>
      <x:c r="M475" s="25" t="str">
        <x:v>Deepseek-flash-v4/state/Round1/shards/JacksonDatabind.json</x:v>
      </x:c>
      <x:c r="N475" s="25" t="str">
        <x:v>Deepseek-flash-v4/Result/JacksonDatabind_72/result.json</x:v>
      </x:c>
      <x:c r="O475" s="25" t="str">
        <x:v>Deepseek-flash-v4/Result/JacksonDatabind_72/result.json</x:v>
      </x:c>
      <x:c r="P475" t="str">
        <x:v>BOTH_NOT_RUN</x:v>
      </x:c>
      <x:c r="Q475" s="21" t="str"/>
      <x:c r="R475" s="21" t="str"/>
      <x:c r="S475" s="21" t="str"/>
      <x:c r="T475" s="17" t="str">
        <x:v>false</x:v>
      </x:c>
      <x:c r="U475" s="17" t="str">
        <x:v>true</x:v>
      </x:c>
      <x:c r="V475" s="17" t="str">
        <x:v>false</x:v>
      </x:c>
    </x:row>
    <x:row r="476" ht="80" customHeight="1">
      <x:c r="A476" s="25" t="str">
        <x:v>JacksonDatabind</x:v>
      </x:c>
      <x:c r="B476" s="25" t="n">
        <x:v>73</x:v>
      </x:c>
      <x:c r="C476" s="25" t="str">
        <x:v>Round1</x:v>
      </x:c>
      <x:c r="D476" s="25" t="str">
        <x:v>NOT_REVEALING</x:v>
      </x:c>
      <x:c r="E476" s="25" t="str">
        <x:v>N/A</x:v>
      </x:c>
      <x:c r="F476" s="26" t="str">
        <x:v>Same saved validation suite passed on buggy and fixed</x:v>
      </x:c>
      <x:c r="G476" s="25" t="str">
        <x:v>true</x:v>
      </x:c>
      <x:c r="H476" s="25" t="str">
        <x:v>NOT_REVEALING</x:v>
      </x:c>
      <x:c r="I476" s="25" t="str">
        <x:v>PASS</x:v>
      </x:c>
      <x:c r="J476" s="25" t="str">
        <x:v>PASS</x:v>
      </x:c>
      <x:c r="K476" s="25" t="n">
        <x:v>2</x:v>
      </x:c>
      <x:c r="L476" s="27" t="b">
        <x:v>0</x:v>
      </x:c>
      <x:c r="M476" s="25" t="str">
        <x:v>Deepseek-flash-v4/state/Round1/shards/JacksonDatabind.json</x:v>
      </x:c>
      <x:c r="N476" s="25" t="str">
        <x:v>Deepseek-flash-v4/Result/JacksonDatabind_73/result.json</x:v>
      </x:c>
      <x:c r="O476" s="25" t="str">
        <x:v>Deepseek-flash-v4/Result/JacksonDatabind_73/result.json</x:v>
      </x:c>
      <x:c r="P476"/>
      <x:c r="Q476" s="21" t="str"/>
      <x:c r="R476" s="21" t="str"/>
      <x:c r="S476" s="21" t="str"/>
      <x:c r="T476" s="17" t="str">
        <x:v>false</x:v>
      </x:c>
      <x:c r="U476" s="17" t="str">
        <x:v>true</x:v>
      </x:c>
      <x:c r="V476" s="17" t="str">
        <x:v>false</x:v>
      </x:c>
    </x:row>
    <x:row r="477" ht="80" customHeight="1">
      <x:c r="A477" s="25" t="str">
        <x:v>JacksonDatabind</x:v>
      </x:c>
      <x:c r="B477" s="25" t="n">
        <x:v>74</x:v>
      </x:c>
      <x:c r="C477" s="25" t="str">
        <x:v>Round1</x:v>
      </x:c>
      <x:c r="D477" s="25" t="str">
        <x:v>NOT_AVAILABLE</x:v>
      </x:c>
      <x:c r="E477" s="25" t="str">
        <x:v>N/A</x:v>
      </x:c>
      <x:c r="F477" s="26" t="str">
        <x:v>Tests exist but current coverage did not complete</x:v>
      </x:c>
      <x:c r="G477" s="25" t="str">
        <x:v>true</x:v>
      </x:c>
      <x:c r="H477" s="25" t="str">
        <x:v>NOT_AVAILABLE</x:v>
      </x:c>
      <x:c r="I477" s="25" t="str">
        <x:v>NOT_RUN</x:v>
      </x:c>
      <x:c r="J477" s="25" t="str">
        <x:v>NOT_RUN</x:v>
      </x:c>
      <x:c r="K477" s="25" t="n">
        <x:v>1</x:v>
      </x:c>
      <x:c r="L477" s="27" t="b">
        <x:v>0</x:v>
      </x:c>
      <x:c r="M477" s="25" t="str">
        <x:v>Deepseek-flash-v4/state/Round1/shards/JacksonDatabind.json</x:v>
      </x:c>
      <x:c r="N477" s="25" t="str">
        <x:v>Deepseek-flash-v4/Result/JacksonDatabind_74/result.json</x:v>
      </x:c>
      <x:c r="O477" s="25" t="str">
        <x:v>Deepseek-flash-v4/Result/JacksonDatabind_74/result.json</x:v>
      </x:c>
      <x:c r="P477" t="str">
        <x:v>BOTH_NOT_RUN</x:v>
      </x:c>
      <x:c r="Q477" s="21" t="str"/>
      <x:c r="R477" s="21" t="str"/>
      <x:c r="S477" s="21" t="str"/>
      <x:c r="T477" s="17" t="str">
        <x:v>false</x:v>
      </x:c>
      <x:c r="U477" s="17" t="str">
        <x:v>true</x:v>
      </x:c>
      <x:c r="V477" s="17" t="str">
        <x:v>false</x:v>
      </x:c>
    </x:row>
    <x:row r="478" ht="80" customHeight="1">
      <x:c r="A478" s="25" t="str">
        <x:v>JacksonDatabind</x:v>
      </x:c>
      <x:c r="B478" s="25" t="n">
        <x:v>75</x:v>
      </x:c>
      <x:c r="C478" s="25" t="str">
        <x:v>Round1</x:v>
      </x:c>
      <x:c r="D478" s="25" t="str">
        <x:v>NOT_AVAILABLE</x:v>
      </x:c>
      <x:c r="E478" s="25" t="str">
        <x:v>N/A</x:v>
      </x:c>
      <x:c r="F478" s="26" t="str">
        <x:v>Tests exist but current coverage did not complete</x:v>
      </x:c>
      <x:c r="G478" s="25" t="str">
        <x:v>true</x:v>
      </x:c>
      <x:c r="H478" s="25" t="str">
        <x:v>NOT_AVAILABLE</x:v>
      </x:c>
      <x:c r="I478" s="25" t="str">
        <x:v>NOT_RUN</x:v>
      </x:c>
      <x:c r="J478" s="25" t="str">
        <x:v>NOT_RUN</x:v>
      </x:c>
      <x:c r="K478" s="25" t="n">
        <x:v>1</x:v>
      </x:c>
      <x:c r="L478" s="27" t="b">
        <x:v>0</x:v>
      </x:c>
      <x:c r="M478" s="25" t="str">
        <x:v>Deepseek-flash-v4/state/Round1/shards/JacksonDatabind.json</x:v>
      </x:c>
      <x:c r="N478" s="25" t="str">
        <x:v>Deepseek-flash-v4/Result/JacksonDatabind_75/result.json</x:v>
      </x:c>
      <x:c r="O478" s="25" t="str">
        <x:v>Deepseek-flash-v4/Result/JacksonDatabind_75/result.json</x:v>
      </x:c>
      <x:c r="P478" t="str">
        <x:v>BOTH_NOT_RUN</x:v>
      </x:c>
      <x:c r="Q478" s="21" t="str"/>
      <x:c r="R478" s="21" t="str"/>
      <x:c r="S478" s="21" t="str"/>
      <x:c r="T478" s="17" t="str">
        <x:v>false</x:v>
      </x:c>
      <x:c r="U478" s="17" t="str">
        <x:v>true</x:v>
      </x:c>
      <x:c r="V478" s="17" t="str">
        <x:v>false</x:v>
      </x:c>
    </x:row>
    <x:row r="479" ht="80" customHeight="1">
      <x:c r="A479" s="25" t="str">
        <x:v>JacksonDatabind</x:v>
      </x:c>
      <x:c r="B479" s="25" t="n">
        <x:v>76</x:v>
      </x:c>
      <x:c r="C479" s="25" t="str">
        <x:v>Round1</x:v>
      </x:c>
      <x:c r="D479" s="25" t="str">
        <x:v>NOT_AVAILABLE</x:v>
      </x:c>
      <x:c r="E479" s="25" t="str">
        <x:v>N/A</x:v>
      </x:c>
      <x:c r="F479" s="26" t="str">
        <x:v>Tests exist but current coverage did not complete</x:v>
      </x:c>
      <x:c r="G479" s="25" t="str">
        <x:v>true</x:v>
      </x:c>
      <x:c r="H479" s="25" t="str">
        <x:v>NOT_AVAILABLE</x:v>
      </x:c>
      <x:c r="I479" s="25" t="str">
        <x:v>NOT_RUN</x:v>
      </x:c>
      <x:c r="J479" s="25" t="str">
        <x:v>NOT_RUN</x:v>
      </x:c>
      <x:c r="K479" s="25" t="n">
        <x:v>1</x:v>
      </x:c>
      <x:c r="L479" s="27" t="b">
        <x:v>0</x:v>
      </x:c>
      <x:c r="M479" s="25" t="str">
        <x:v>Deepseek-flash-v4/state/Round1/shards/JacksonDatabind.json</x:v>
      </x:c>
      <x:c r="N479" s="25" t="str">
        <x:v>Deepseek-flash-v4/Result/JacksonDatabind_76/result.json</x:v>
      </x:c>
      <x:c r="O479" s="25" t="str">
        <x:v>Deepseek-flash-v4/Result/JacksonDatabind_76/result.json</x:v>
      </x:c>
      <x:c r="P479" t="str">
        <x:v>BOTH_NOT_RUN</x:v>
      </x:c>
      <x:c r="Q479" s="21" t="str"/>
      <x:c r="R479" s="21" t="str"/>
      <x:c r="S479" s="21" t="str"/>
      <x:c r="T479" s="17" t="str">
        <x:v>false</x:v>
      </x:c>
      <x:c r="U479" s="17" t="str">
        <x:v>true</x:v>
      </x:c>
      <x:c r="V479" s="17" t="str">
        <x:v>false</x:v>
      </x:c>
    </x:row>
    <x:row r="480" ht="80" customHeight="1">
      <x:c r="A480" s="25" t="str">
        <x:v>JacksonDatabind</x:v>
      </x:c>
      <x:c r="B480" s="25" t="n">
        <x:v>77</x:v>
      </x:c>
      <x:c r="C480" s="25" t="str">
        <x:v>Round1</x:v>
      </x:c>
      <x:c r="D480" s="25" t="str">
        <x:v>NOT_AVAILABLE</x:v>
      </x:c>
      <x:c r="E480" s="25" t="str">
        <x:v>N/A</x:v>
      </x:c>
      <x:c r="F480" s="26" t="str">
        <x:v>Tests exist but current coverage did not complete</x:v>
      </x:c>
      <x:c r="G480" s="25" t="str">
        <x:v>true</x:v>
      </x:c>
      <x:c r="H480" s="25" t="str">
        <x:v>NOT_AVAILABLE</x:v>
      </x:c>
      <x:c r="I480" s="25" t="str">
        <x:v>NOT_RUN</x:v>
      </x:c>
      <x:c r="J480" s="25" t="str">
        <x:v>NOT_RUN</x:v>
      </x:c>
      <x:c r="K480" s="25" t="n">
        <x:v>1</x:v>
      </x:c>
      <x:c r="L480" s="27" t="b">
        <x:v>0</x:v>
      </x:c>
      <x:c r="M480" s="25" t="str">
        <x:v>Deepseek-flash-v4/state/Round1/shards/JacksonDatabind.json</x:v>
      </x:c>
      <x:c r="N480" s="25" t="str">
        <x:v>Deepseek-flash-v4/Result/JacksonDatabind_77/result.json</x:v>
      </x:c>
      <x:c r="O480" s="25" t="str">
        <x:v>Deepseek-flash-v4/Result/JacksonDatabind_77/result.json</x:v>
      </x:c>
      <x:c r="P480" t="str">
        <x:v>BOTH_NOT_RUN</x:v>
      </x:c>
      <x:c r="Q480" s="21" t="str"/>
      <x:c r="R480" s="21" t="str"/>
      <x:c r="S480" s="21" t="str"/>
      <x:c r="T480" s="17" t="str">
        <x:v>false</x:v>
      </x:c>
      <x:c r="U480" s="17" t="str">
        <x:v>true</x:v>
      </x:c>
      <x:c r="V480" s="17" t="str">
        <x:v>false</x:v>
      </x:c>
    </x:row>
    <x:row r="481" ht="80" customHeight="1">
      <x:c r="A481" s="25" t="str">
        <x:v>JacksonDatabind</x:v>
      </x:c>
      <x:c r="B481" s="25" t="n">
        <x:v>78</x:v>
      </x:c>
      <x:c r="C481" s="25" t="str">
        <x:v>Round1</x:v>
      </x:c>
      <x:c r="D481" s="25" t="str">
        <x:v>NOT_REVEALING</x:v>
      </x:c>
      <x:c r="E481" s="25" t="str">
        <x:v>N/A</x:v>
      </x:c>
      <x:c r="F481" s="26" t="str">
        <x:v>Same saved validation suite passed on buggy and fixed</x:v>
      </x:c>
      <x:c r="G481" s="25" t="str">
        <x:v>true</x:v>
      </x:c>
      <x:c r="H481" s="25" t="str">
        <x:v>NOT_REVEALING</x:v>
      </x:c>
      <x:c r="I481" s="25" t="str">
        <x:v>PASS</x:v>
      </x:c>
      <x:c r="J481" s="25" t="str">
        <x:v>PASS</x:v>
      </x:c>
      <x:c r="K481" s="25" t="n">
        <x:v>1</x:v>
      </x:c>
      <x:c r="L481" s="27" t="b">
        <x:v>0</x:v>
      </x:c>
      <x:c r="M481" s="25" t="str">
        <x:v>Deepseek-flash-v4/state/Round1/shards/JacksonDatabind.json</x:v>
      </x:c>
      <x:c r="N481" s="25" t="str">
        <x:v>Deepseek-flash-v4/Result/JacksonDatabind_78/result.json</x:v>
      </x:c>
      <x:c r="O481" s="25" t="str">
        <x:v>Deepseek-flash-v4/Result/JacksonDatabind_78/result.json</x:v>
      </x:c>
      <x:c r="P481"/>
      <x:c r="Q481" s="21" t="str"/>
      <x:c r="R481" s="21" t="str"/>
      <x:c r="S481" s="21" t="str"/>
      <x:c r="T481" s="17" t="str">
        <x:v>false</x:v>
      </x:c>
      <x:c r="U481" s="17" t="str">
        <x:v>true</x:v>
      </x:c>
      <x:c r="V481" s="17" t="str">
        <x:v>false</x:v>
      </x:c>
    </x:row>
    <x:row r="482" ht="80" customHeight="1">
      <x:c r="A482" s="25" t="str">
        <x:v>JacksonDatabind</x:v>
      </x:c>
      <x:c r="B482" s="25" t="n">
        <x:v>79</x:v>
      </x:c>
      <x:c r="C482" s="25" t="str">
        <x:v>Round1</x:v>
      </x:c>
      <x:c r="D482" s="25" t="str">
        <x:v>NOT_AVAILABLE</x:v>
      </x:c>
      <x:c r="E482" s="25" t="str">
        <x:v>N/A</x:v>
      </x:c>
      <x:c r="F482" s="26" t="str">
        <x:v>Tests exist but current coverage did not complete</x:v>
      </x:c>
      <x:c r="G482" s="25" t="str">
        <x:v>true</x:v>
      </x:c>
      <x:c r="H482" s="25" t="str">
        <x:v>NOT_AVAILABLE</x:v>
      </x:c>
      <x:c r="I482" s="25" t="str">
        <x:v>NOT_RUN</x:v>
      </x:c>
      <x:c r="J482" s="25" t="str">
        <x:v>NOT_RUN</x:v>
      </x:c>
      <x:c r="K482" s="25" t="n">
        <x:v>3</x:v>
      </x:c>
      <x:c r="L482" s="27" t="b">
        <x:v>0</x:v>
      </x:c>
      <x:c r="M482" s="25" t="str">
        <x:v>Deepseek-flash-v4/state/Round1/shards/JacksonDatabind.json</x:v>
      </x:c>
      <x:c r="N482" s="25" t="str">
        <x:v>Deepseek-flash-v4/Result/JacksonDatabind_79/result.json</x:v>
      </x:c>
      <x:c r="O482" s="25" t="str">
        <x:v>Deepseek-flash-v4/Result/JacksonDatabind_79/result.json</x:v>
      </x:c>
      <x:c r="P482" t="str">
        <x:v>BOTH_NOT_RUN</x:v>
      </x:c>
      <x:c r="Q482" s="21" t="str"/>
      <x:c r="R482" s="21" t="str"/>
      <x:c r="S482" s="21" t="str"/>
      <x:c r="T482" s="17" t="str">
        <x:v>false</x:v>
      </x:c>
      <x:c r="U482" s="17" t="str">
        <x:v>true</x:v>
      </x:c>
      <x:c r="V482" s="17" t="str">
        <x:v>false</x:v>
      </x:c>
    </x:row>
    <x:row r="483" ht="80" customHeight="1">
      <x:c r="A483" s="25" t="str">
        <x:v>JacksonDatabind</x:v>
      </x:c>
      <x:c r="B483" s="25" t="n">
        <x:v>8</x:v>
      </x:c>
      <x:c r="C483" s="25" t="str">
        <x:v>Round1</x:v>
      </x:c>
      <x:c r="D483" s="25" t="str">
        <x:v>NOT_AVAILABLE</x:v>
      </x:c>
      <x:c r="E483" s="25" t="str">
        <x:v>N/A</x:v>
      </x:c>
      <x:c r="F483" s="26" t="str">
        <x:v>Tests exist but current coverage did not complete</x:v>
      </x:c>
      <x:c r="G483" s="25" t="str">
        <x:v>true</x:v>
      </x:c>
      <x:c r="H483" s="25" t="str">
        <x:v>NOT_AVAILABLE</x:v>
      </x:c>
      <x:c r="I483" s="25" t="str">
        <x:v>NOT_RUN</x:v>
      </x:c>
      <x:c r="J483" s="25" t="str">
        <x:v>NOT_RUN</x:v>
      </x:c>
      <x:c r="K483" s="25" t="n">
        <x:v>1</x:v>
      </x:c>
      <x:c r="L483" s="27" t="b">
        <x:v>0</x:v>
      </x:c>
      <x:c r="M483" s="25" t="str">
        <x:v>Deepseek-flash-v4/state/Round1/shards/JacksonDatabind.json</x:v>
      </x:c>
      <x:c r="N483" s="25" t="str">
        <x:v>Deepseek-flash-v4/Result/JacksonDatabind_8/result.json</x:v>
      </x:c>
      <x:c r="O483" s="25" t="str">
        <x:v>Deepseek-flash-v4/Result/JacksonDatabind_8/result.json</x:v>
      </x:c>
      <x:c r="P483" t="str">
        <x:v>BOTH_NOT_RUN</x:v>
      </x:c>
      <x:c r="Q483" s="21" t="str"/>
      <x:c r="R483" s="21" t="str"/>
      <x:c r="S483" s="21" t="str"/>
      <x:c r="T483" s="17" t="str">
        <x:v>false</x:v>
      </x:c>
      <x:c r="U483" s="17" t="str">
        <x:v>true</x:v>
      </x:c>
      <x:c r="V483" s="17" t="str">
        <x:v>false</x:v>
      </x:c>
    </x:row>
    <x:row r="484" ht="80" customHeight="1">
      <x:c r="A484" s="25" t="str">
        <x:v>JacksonDatabind</x:v>
      </x:c>
      <x:c r="B484" s="25" t="n">
        <x:v>80</x:v>
      </x:c>
      <x:c r="C484" s="25" t="str">
        <x:v>Round1</x:v>
      </x:c>
      <x:c r="D484" s="25" t="str">
        <x:v>NOT_AVAILABLE</x:v>
      </x:c>
      <x:c r="E484" s="25" t="str">
        <x:v>N/A</x:v>
      </x:c>
      <x:c r="F484" s="26" t="str">
        <x:v>Tests exist but current coverage did not complete</x:v>
      </x:c>
      <x:c r="G484" s="25" t="str">
        <x:v>true</x:v>
      </x:c>
      <x:c r="H484" s="25" t="str">
        <x:v>NOT_AVAILABLE</x:v>
      </x:c>
      <x:c r="I484" s="25" t="str">
        <x:v>NOT_RUN</x:v>
      </x:c>
      <x:c r="J484" s="25" t="str">
        <x:v>NOT_RUN</x:v>
      </x:c>
      <x:c r="K484" s="25" t="n">
        <x:v>1</x:v>
      </x:c>
      <x:c r="L484" s="27" t="b">
        <x:v>0</x:v>
      </x:c>
      <x:c r="M484" s="25" t="str">
        <x:v>Deepseek-flash-v4/state/Round1/shards/JacksonDatabind.json</x:v>
      </x:c>
      <x:c r="N484" s="25" t="str">
        <x:v>Deepseek-flash-v4/Result/JacksonDatabind_80/result.json</x:v>
      </x:c>
      <x:c r="O484" s="25" t="str">
        <x:v>Deepseek-flash-v4/Result/JacksonDatabind_80/result.json</x:v>
      </x:c>
      <x:c r="P484" t="str">
        <x:v>BOTH_NOT_RUN</x:v>
      </x:c>
      <x:c r="Q484" s="21" t="str"/>
      <x:c r="R484" s="21" t="str"/>
      <x:c r="S484" s="21" t="str"/>
      <x:c r="T484" s="17" t="str">
        <x:v>false</x:v>
      </x:c>
      <x:c r="U484" s="17" t="str">
        <x:v>true</x:v>
      </x:c>
      <x:c r="V484" s="17" t="str">
        <x:v>false</x:v>
      </x:c>
    </x:row>
    <x:row r="485" ht="80" customHeight="1">
      <x:c r="A485" s="25" t="str">
        <x:v>JacksonDatabind</x:v>
      </x:c>
      <x:c r="B485" s="25" t="n">
        <x:v>81</x:v>
      </x:c>
      <x:c r="C485" s="25" t="str">
        <x:v>Round1</x:v>
      </x:c>
      <x:c r="D485" s="25" t="str">
        <x:v>NOT_AVAILABLE</x:v>
      </x:c>
      <x:c r="E485" s="25" t="str">
        <x:v>N/A</x:v>
      </x:c>
      <x:c r="F485" s="26" t="str">
        <x:v>Tests exist but current coverage did not complete</x:v>
      </x:c>
      <x:c r="G485" s="25" t="str">
        <x:v>true</x:v>
      </x:c>
      <x:c r="H485" s="25" t="str">
        <x:v>NOT_AVAILABLE</x:v>
      </x:c>
      <x:c r="I485" s="25" t="str">
        <x:v>NOT_RUN</x:v>
      </x:c>
      <x:c r="J485" s="25" t="str">
        <x:v>NOT_RUN</x:v>
      </x:c>
      <x:c r="K485" s="25" t="n">
        <x:v>1</x:v>
      </x:c>
      <x:c r="L485" s="27" t="b">
        <x:v>0</x:v>
      </x:c>
      <x:c r="M485" s="25" t="str">
        <x:v>Deepseek-flash-v4/state/Round1/shards/JacksonDatabind.json</x:v>
      </x:c>
      <x:c r="N485" s="25" t="str">
        <x:v>Deepseek-flash-v4/Result/JacksonDatabind_81/result.json</x:v>
      </x:c>
      <x:c r="O485" s="25" t="str">
        <x:v>Deepseek-flash-v4/Result/JacksonDatabind_81/result.json</x:v>
      </x:c>
      <x:c r="P485" t="str">
        <x:v>BOTH_NOT_RUN</x:v>
      </x:c>
      <x:c r="Q485" s="21" t="str"/>
      <x:c r="R485" s="21" t="str"/>
      <x:c r="S485" s="21" t="str"/>
      <x:c r="T485" s="17" t="str">
        <x:v>false</x:v>
      </x:c>
      <x:c r="U485" s="17" t="str">
        <x:v>true</x:v>
      </x:c>
      <x:c r="V485" s="17" t="str">
        <x:v>false</x:v>
      </x:c>
    </x:row>
    <x:row r="486" ht="80" customHeight="1">
      <x:c r="A486" s="25" t="str">
        <x:v>JacksonDatabind</x:v>
      </x:c>
      <x:c r="B486" s="25" t="n">
        <x:v>82</x:v>
      </x:c>
      <x:c r="C486" s="25" t="str">
        <x:v>Round1</x:v>
      </x:c>
      <x:c r="D486" s="25" t="str">
        <x:v>NOT_AVAILABLE</x:v>
      </x:c>
      <x:c r="E486" s="25" t="str">
        <x:v>N/A</x:v>
      </x:c>
      <x:c r="F486" s="26" t="str">
        <x:v>Tests exist but current coverage did not complete</x:v>
      </x:c>
      <x:c r="G486" s="25" t="str">
        <x:v>true</x:v>
      </x:c>
      <x:c r="H486" s="25" t="str">
        <x:v>NOT_AVAILABLE</x:v>
      </x:c>
      <x:c r="I486" s="25" t="str">
        <x:v>NOT_RUN</x:v>
      </x:c>
      <x:c r="J486" s="25" t="str">
        <x:v>NOT_RUN</x:v>
      </x:c>
      <x:c r="K486" s="25" t="n">
        <x:v>1</x:v>
      </x:c>
      <x:c r="L486" s="27" t="b">
        <x:v>0</x:v>
      </x:c>
      <x:c r="M486" s="25" t="str">
        <x:v>Deepseek-flash-v4/state/Round1/shards/JacksonDatabind.json</x:v>
      </x:c>
      <x:c r="N486" s="25" t="str">
        <x:v>Deepseek-flash-v4/Result/JacksonDatabind_82/result.json</x:v>
      </x:c>
      <x:c r="O486" s="25" t="str">
        <x:v>Deepseek-flash-v4/Result/JacksonDatabind_82/result.json</x:v>
      </x:c>
      <x:c r="P486" t="str">
        <x:v>BOTH_NOT_RUN</x:v>
      </x:c>
      <x:c r="Q486" s="21" t="str"/>
      <x:c r="R486" s="21" t="str"/>
      <x:c r="S486" s="21" t="str"/>
      <x:c r="T486" s="17" t="str">
        <x:v>false</x:v>
      </x:c>
      <x:c r="U486" s="17" t="str">
        <x:v>true</x:v>
      </x:c>
      <x:c r="V486" s="17" t="str">
        <x:v>false</x:v>
      </x:c>
    </x:row>
    <x:row r="487" ht="80" customHeight="1">
      <x:c r="A487" s="25" t="str">
        <x:v>JacksonDatabind</x:v>
      </x:c>
      <x:c r="B487" s="25" t="n">
        <x:v>83</x:v>
      </x:c>
      <x:c r="C487" s="25" t="str">
        <x:v>Round1</x:v>
      </x:c>
      <x:c r="D487" s="25" t="str">
        <x:v>INCONCLUSIVE</x:v>
      </x:c>
      <x:c r="E487" s="25" t="str">
        <x:v>N/A</x:v>
      </x:c>
      <x:c r="F487" s="26" t="str">
        <x:v>Fixed also failed; assertion failure cannot be attributed to this bug</x:v>
      </x:c>
      <x:c r="G487" s="25" t="str">
        <x:v>true</x:v>
      </x:c>
      <x:c r="H487" s="25" t="str">
        <x:v>INCONCLUSIVE</x:v>
      </x:c>
      <x:c r="I487" s="25" t="str">
        <x:v>FAIL</x:v>
      </x:c>
      <x:c r="J487" s="25" t="str">
        <x:v>FAIL</x:v>
      </x:c>
      <x:c r="K487" s="25" t="n">
        <x:v>1</x:v>
      </x:c>
      <x:c r="L487" s="27" t="b">
        <x:v>0</x:v>
      </x:c>
      <x:c r="M487" s="25" t="str">
        <x:v>Deepseek-flash-v4/state/Round1/shards/JacksonDatabind.json</x:v>
      </x:c>
      <x:c r="N487" s="25" t="str">
        <x:v>Deepseek-flash-v4/Result/JacksonDatabind_83/result.json</x:v>
      </x:c>
      <x:c r="O487" s="25" t="str">
        <x:v>Deepseek-flash-v4/Result/JacksonDatabind_83/result.json</x:v>
      </x:c>
      <x:c r="P487"/>
      <x:c r="Q487" s="21" t="str"/>
      <x:c r="R487" s="21" t="str"/>
      <x:c r="S487" s="21" t="str"/>
      <x:c r="T487" s="17" t="str">
        <x:v>false</x:v>
      </x:c>
      <x:c r="U487" s="17" t="str">
        <x:v>true</x:v>
      </x:c>
      <x:c r="V487" s="17" t="str">
        <x:v>false</x:v>
      </x:c>
    </x:row>
    <x:row r="488" ht="80" customHeight="1">
      <x:c r="A488" s="25" t="str">
        <x:v>JacksonDatabind</x:v>
      </x:c>
      <x:c r="B488" s="25" t="n">
        <x:v>84</x:v>
      </x:c>
      <x:c r="C488" s="25" t="str">
        <x:v>Round1</x:v>
      </x:c>
      <x:c r="D488" s="25" t="str">
        <x:v>INCONCLUSIVE</x:v>
      </x:c>
      <x:c r="E488" s="25" t="str">
        <x:v>N/A</x:v>
      </x:c>
      <x:c r="F488" s="26" t="str">
        <x:v>Fixed also failed; assertion failure cannot be attributed to this bug</x:v>
      </x:c>
      <x:c r="G488" s="25" t="str">
        <x:v>true</x:v>
      </x:c>
      <x:c r="H488" s="25" t="str">
        <x:v>INCONCLUSIVE</x:v>
      </x:c>
      <x:c r="I488" s="25" t="str">
        <x:v>FAIL</x:v>
      </x:c>
      <x:c r="J488" s="25" t="str">
        <x:v>FAIL</x:v>
      </x:c>
      <x:c r="K488" s="25" t="n">
        <x:v>1</x:v>
      </x:c>
      <x:c r="L488" s="27" t="b">
        <x:v>0</x:v>
      </x:c>
      <x:c r="M488" s="25" t="str">
        <x:v>Deepseek-flash-v4/state/Round1/shards/JacksonDatabind.json</x:v>
      </x:c>
      <x:c r="N488" s="25" t="str">
        <x:v>Deepseek-flash-v4/Result/JacksonDatabind_84/result.json</x:v>
      </x:c>
      <x:c r="O488" s="25" t="str">
        <x:v>Deepseek-flash-v4/Result/JacksonDatabind_84/result.json</x:v>
      </x:c>
      <x:c r="P488"/>
      <x:c r="Q488" s="21" t="str"/>
      <x:c r="R488" s="21" t="str"/>
      <x:c r="S488" s="21" t="str"/>
      <x:c r="T488" s="17" t="str">
        <x:v>false</x:v>
      </x:c>
      <x:c r="U488" s="17" t="str">
        <x:v>true</x:v>
      </x:c>
      <x:c r="V488" s="17" t="str">
        <x:v>false</x:v>
      </x:c>
    </x:row>
    <x:row r="489" ht="80" customHeight="1">
      <x:c r="A489" s="25" t="str">
        <x:v>JacksonDatabind</x:v>
      </x:c>
      <x:c r="B489" s="25" t="n">
        <x:v>85</x:v>
      </x:c>
      <x:c r="C489" s="25" t="str">
        <x:v>Round1</x:v>
      </x:c>
      <x:c r="D489" s="25" t="str">
        <x:v>NOT_AVAILABLE</x:v>
      </x:c>
      <x:c r="E489" s="25" t="str">
        <x:v>N/A</x:v>
      </x:c>
      <x:c r="F489" s="26" t="str">
        <x:v>Tests exist but current coverage did not complete</x:v>
      </x:c>
      <x:c r="G489" s="25" t="str">
        <x:v>true</x:v>
      </x:c>
      <x:c r="H489" s="25" t="str">
        <x:v>NOT_AVAILABLE</x:v>
      </x:c>
      <x:c r="I489" s="25" t="str">
        <x:v>NOT_RUN</x:v>
      </x:c>
      <x:c r="J489" s="25" t="str">
        <x:v>NOT_RUN</x:v>
      </x:c>
      <x:c r="K489" s="25" t="n">
        <x:v>1</x:v>
      </x:c>
      <x:c r="L489" s="27" t="b">
        <x:v>0</x:v>
      </x:c>
      <x:c r="M489" s="25" t="str">
        <x:v>Deepseek-flash-v4/state/Round1/shards/JacksonDatabind.json</x:v>
      </x:c>
      <x:c r="N489" s="25" t="str">
        <x:v>Deepseek-flash-v4/Result/JacksonDatabind_85/result.json</x:v>
      </x:c>
      <x:c r="O489" s="25" t="str">
        <x:v>Deepseek-flash-v4/Result/JacksonDatabind_85/result.json</x:v>
      </x:c>
      <x:c r="P489" t="str">
        <x:v>BOTH_NOT_RUN</x:v>
      </x:c>
      <x:c r="Q489" s="21" t="str"/>
      <x:c r="R489" s="21" t="str"/>
      <x:c r="S489" s="21" t="str"/>
      <x:c r="T489" s="17" t="str">
        <x:v>false</x:v>
      </x:c>
      <x:c r="U489" s="17" t="str">
        <x:v>true</x:v>
      </x:c>
      <x:c r="V489" s="17" t="str">
        <x:v>false</x:v>
      </x:c>
    </x:row>
    <x:row r="490" ht="80" customHeight="1">
      <x:c r="A490" s="25" t="str">
        <x:v>JacksonDatabind</x:v>
      </x:c>
      <x:c r="B490" s="25" t="n">
        <x:v>86</x:v>
      </x:c>
      <x:c r="C490" s="25" t="str">
        <x:v>Round1</x:v>
      </x:c>
      <x:c r="D490" s="25" t="str">
        <x:v>NOT_REVEALING</x:v>
      </x:c>
      <x:c r="E490" s="25" t="str">
        <x:v>N/A</x:v>
      </x:c>
      <x:c r="F490" s="26" t="str">
        <x:v>Same saved validation suite passed on buggy and fixed</x:v>
      </x:c>
      <x:c r="G490" s="25" t="str">
        <x:v>true</x:v>
      </x:c>
      <x:c r="H490" s="25" t="str">
        <x:v>NOT_REVEALING</x:v>
      </x:c>
      <x:c r="I490" s="25" t="str">
        <x:v>PASS</x:v>
      </x:c>
      <x:c r="J490" s="25" t="str">
        <x:v>PASS</x:v>
      </x:c>
      <x:c r="K490" s="25" t="n">
        <x:v>1</x:v>
      </x:c>
      <x:c r="L490" s="27" t="b">
        <x:v>0</x:v>
      </x:c>
      <x:c r="M490" s="25" t="str">
        <x:v>Deepseek-flash-v4/state/Round1/shards/JacksonDatabind.json</x:v>
      </x:c>
      <x:c r="N490" s="25" t="str">
        <x:v>Deepseek-flash-v4/Result/JacksonDatabind_86/result.json</x:v>
      </x:c>
      <x:c r="O490" s="25" t="str">
        <x:v>Deepseek-flash-v4/Result/JacksonDatabind_86/result.json</x:v>
      </x:c>
      <x:c r="P490"/>
      <x:c r="Q490" s="21" t="str"/>
      <x:c r="R490" s="21" t="str"/>
      <x:c r="S490" s="21" t="str"/>
      <x:c r="T490" s="17" t="str">
        <x:v>false</x:v>
      </x:c>
      <x:c r="U490" s="17" t="str">
        <x:v>true</x:v>
      </x:c>
      <x:c r="V490" s="17" t="str">
        <x:v>false</x:v>
      </x:c>
    </x:row>
    <x:row r="491" ht="80" customHeight="1">
      <x:c r="A491" s="25" t="str">
        <x:v>JacksonDatabind</x:v>
      </x:c>
      <x:c r="B491" s="25" t="n">
        <x:v>87</x:v>
      </x:c>
      <x:c r="C491" s="25" t="str">
        <x:v>Round1</x:v>
      </x:c>
      <x:c r="D491" s="25" t="str">
        <x:v>NOT_REVEALING</x:v>
      </x:c>
      <x:c r="E491" s="25" t="str">
        <x:v>N/A</x:v>
      </x:c>
      <x:c r="F491" s="26" t="str">
        <x:v>Same saved validation suite passed on buggy and fixed</x:v>
      </x:c>
      <x:c r="G491" s="25" t="str">
        <x:v>true</x:v>
      </x:c>
      <x:c r="H491" s="25" t="str">
        <x:v>NOT_REVEALING</x:v>
      </x:c>
      <x:c r="I491" s="25" t="str">
        <x:v>PASS</x:v>
      </x:c>
      <x:c r="J491" s="25" t="str">
        <x:v>PASS</x:v>
      </x:c>
      <x:c r="K491" s="25" t="n">
        <x:v>1</x:v>
      </x:c>
      <x:c r="L491" s="27" t="b">
        <x:v>0</x:v>
      </x:c>
      <x:c r="M491" s="25" t="str">
        <x:v>Deepseek-flash-v4/state/Round1/shards/JacksonDatabind.json</x:v>
      </x:c>
      <x:c r="N491" s="25" t="str">
        <x:v>Deepseek-flash-v4/Result/JacksonDatabind_87/result.json</x:v>
      </x:c>
      <x:c r="O491" s="25" t="str">
        <x:v>Deepseek-flash-v4/Result/JacksonDatabind_87/result.json</x:v>
      </x:c>
      <x:c r="P491"/>
      <x:c r="Q491" s="21" t="str"/>
      <x:c r="R491" s="21" t="str"/>
      <x:c r="S491" s="21" t="str"/>
      <x:c r="T491" s="17" t="str">
        <x:v>false</x:v>
      </x:c>
      <x:c r="U491" s="17" t="str">
        <x:v>true</x:v>
      </x:c>
      <x:c r="V491" s="17" t="str">
        <x:v>false</x:v>
      </x:c>
    </x:row>
    <x:row r="492" ht="80" customHeight="1">
      <x:c r="A492" s="25" t="str">
        <x:v>JacksonDatabind</x:v>
      </x:c>
      <x:c r="B492" s="25" t="n">
        <x:v>88</x:v>
      </x:c>
      <x:c r="C492" s="25" t="str">
        <x:v>Round1</x:v>
      </x:c>
      <x:c r="D492" s="25" t="str">
        <x:v>NOT_AVAILABLE</x:v>
      </x:c>
      <x:c r="E492" s="25" t="str">
        <x:v>N/A</x:v>
      </x:c>
      <x:c r="F492" s="26" t="str">
        <x:v>Tests exist but current coverage did not complete</x:v>
      </x:c>
      <x:c r="G492" s="25" t="str">
        <x:v>true</x:v>
      </x:c>
      <x:c r="H492" s="25" t="str">
        <x:v>NOT_AVAILABLE</x:v>
      </x:c>
      <x:c r="I492" s="25" t="str">
        <x:v>NOT_RUN</x:v>
      </x:c>
      <x:c r="J492" s="25" t="str">
        <x:v>NOT_RUN</x:v>
      </x:c>
      <x:c r="K492" s="25" t="n">
        <x:v>1</x:v>
      </x:c>
      <x:c r="L492" s="27" t="b">
        <x:v>0</x:v>
      </x:c>
      <x:c r="M492" s="25" t="str">
        <x:v>Deepseek-flash-v4/state/Round1/shards/JacksonDatabind.json</x:v>
      </x:c>
      <x:c r="N492" s="25" t="str">
        <x:v>Deepseek-flash-v4/Result/JacksonDatabind_88/result.json</x:v>
      </x:c>
      <x:c r="O492" s="25" t="str">
        <x:v>Deepseek-flash-v4/Result/JacksonDatabind_88/result.json</x:v>
      </x:c>
      <x:c r="P492" t="str">
        <x:v>BOTH_NOT_RUN</x:v>
      </x:c>
      <x:c r="Q492" s="21" t="str"/>
      <x:c r="R492" s="21" t="str"/>
      <x:c r="S492" s="21" t="str"/>
      <x:c r="T492" s="17" t="str">
        <x:v>false</x:v>
      </x:c>
      <x:c r="U492" s="17" t="str">
        <x:v>true</x:v>
      </x:c>
      <x:c r="V492" s="17" t="str">
        <x:v>false</x:v>
      </x:c>
    </x:row>
    <x:row r="493" ht="80" customHeight="1">
      <x:c r="A493" s="25" t="str">
        <x:v>JacksonDatabind</x:v>
      </x:c>
      <x:c r="B493" s="25" t="n">
        <x:v>9</x:v>
      </x:c>
      <x:c r="C493" s="25" t="str">
        <x:v>Round1</x:v>
      </x:c>
      <x:c r="D493" s="25" t="str">
        <x:v>INCONCLUSIVE</x:v>
      </x:c>
      <x:c r="E493" s="25" t="str">
        <x:v>N/A</x:v>
      </x:c>
      <x:c r="F493" s="26" t="str">
        <x:v>Fixed also failed; assertion failure cannot be attributed to this bug</x:v>
      </x:c>
      <x:c r="G493" s="25" t="str">
        <x:v>true</x:v>
      </x:c>
      <x:c r="H493" s="25" t="str">
        <x:v>INCONCLUSIVE</x:v>
      </x:c>
      <x:c r="I493" s="25" t="str">
        <x:v>FAIL</x:v>
      </x:c>
      <x:c r="J493" s="25" t="str">
        <x:v>FAIL</x:v>
      </x:c>
      <x:c r="K493" s="25" t="n">
        <x:v>1</x:v>
      </x:c>
      <x:c r="L493" s="27" t="b">
        <x:v>0</x:v>
      </x:c>
      <x:c r="M493" s="25" t="str">
        <x:v>Deepseek-flash-v4/state/Round1/shards/JacksonDatabind.json</x:v>
      </x:c>
      <x:c r="N493" s="25" t="str">
        <x:v>Deepseek-flash-v4/Result/JacksonDatabind_9/result.json</x:v>
      </x:c>
      <x:c r="O493" s="25" t="str">
        <x:v>Deepseek-flash-v4/Result/JacksonDatabind_9/result.json</x:v>
      </x:c>
      <x:c r="P493"/>
      <x:c r="Q493" s="21" t="str"/>
      <x:c r="R493" s="21" t="str"/>
      <x:c r="S493" s="21" t="str"/>
      <x:c r="T493" s="17" t="str">
        <x:v>false</x:v>
      </x:c>
      <x:c r="U493" s="17" t="str">
        <x:v>true</x:v>
      </x:c>
      <x:c r="V493" s="17" t="str">
        <x:v>false</x:v>
      </x:c>
    </x:row>
    <x:row r="494" ht="80" customHeight="1">
      <x:c r="A494" s="25" t="str">
        <x:v>JacksonDatabind</x:v>
      </x:c>
      <x:c r="B494" s="25" t="n">
        <x:v>90</x:v>
      </x:c>
      <x:c r="C494" s="25" t="str">
        <x:v>Round1</x:v>
      </x:c>
      <x:c r="D494" s="25" t="str">
        <x:v>NOT_AVAILABLE</x:v>
      </x:c>
      <x:c r="E494" s="25" t="str">
        <x:v>N/A</x:v>
      </x:c>
      <x:c r="F494" s="26" t="str">
        <x:v>Tests exist but current coverage did not complete</x:v>
      </x:c>
      <x:c r="G494" s="25" t="str">
        <x:v>true</x:v>
      </x:c>
      <x:c r="H494" s="25" t="str">
        <x:v>NOT_AVAILABLE</x:v>
      </x:c>
      <x:c r="I494" s="25" t="str">
        <x:v>NOT_RUN</x:v>
      </x:c>
      <x:c r="J494" s="25" t="str">
        <x:v>NOT_RUN</x:v>
      </x:c>
      <x:c r="K494" s="25" t="n">
        <x:v>2</x:v>
      </x:c>
      <x:c r="L494" s="27" t="b">
        <x:v>0</x:v>
      </x:c>
      <x:c r="M494" s="25" t="str">
        <x:v>Deepseek-flash-v4/state/Round1/shards/JacksonDatabind.json</x:v>
      </x:c>
      <x:c r="N494" s="25" t="str">
        <x:v>Deepseek-flash-v4/Result/JacksonDatabind_90/result.json</x:v>
      </x:c>
      <x:c r="O494" s="25" t="str">
        <x:v>Deepseek-flash-v4/Result/JacksonDatabind_90/result.json</x:v>
      </x:c>
      <x:c r="P494" t="str">
        <x:v>BOTH_NOT_RUN</x:v>
      </x:c>
      <x:c r="Q494" s="21" t="str"/>
      <x:c r="R494" s="21" t="str"/>
      <x:c r="S494" s="21" t="str"/>
      <x:c r="T494" s="17" t="str">
        <x:v>false</x:v>
      </x:c>
      <x:c r="U494" s="17" t="str">
        <x:v>true</x:v>
      </x:c>
      <x:c r="V494" s="17" t="str">
        <x:v>false</x:v>
      </x:c>
    </x:row>
    <x:row r="495" ht="80" customHeight="1">
      <x:c r="A495" s="25" t="str">
        <x:v>JacksonDatabind</x:v>
      </x:c>
      <x:c r="B495" s="25" t="n">
        <x:v>91</x:v>
      </x:c>
      <x:c r="C495" s="25" t="str">
        <x:v>Round1</x:v>
      </x:c>
      <x:c r="D495" s="25" t="str">
        <x:v>NOT_AVAILABLE</x:v>
      </x:c>
      <x:c r="E495" s="25" t="str">
        <x:v>N/A</x:v>
      </x:c>
      <x:c r="F495" s="26" t="str">
        <x:v>Tests exist but current coverage did not complete</x:v>
      </x:c>
      <x:c r="G495" s="25" t="str">
        <x:v>true</x:v>
      </x:c>
      <x:c r="H495" s="25" t="str">
        <x:v>NOT_AVAILABLE</x:v>
      </x:c>
      <x:c r="I495" s="25" t="str">
        <x:v>NOT_RUN</x:v>
      </x:c>
      <x:c r="J495" s="25" t="str">
        <x:v>NOT_RUN</x:v>
      </x:c>
      <x:c r="K495" s="25" t="n">
        <x:v>1</x:v>
      </x:c>
      <x:c r="L495" s="27" t="b">
        <x:v>0</x:v>
      </x:c>
      <x:c r="M495" s="25" t="str">
        <x:v>Deepseek-flash-v4/state/Round1/shards/JacksonDatabind.json</x:v>
      </x:c>
      <x:c r="N495" s="25" t="str">
        <x:v>Deepseek-flash-v4/Result/JacksonDatabind_91/result.json</x:v>
      </x:c>
      <x:c r="O495" s="25" t="str">
        <x:v>Deepseek-flash-v4/Result/JacksonDatabind_91/result.json</x:v>
      </x:c>
      <x:c r="P495" t="str">
        <x:v>BOTH_NOT_RUN</x:v>
      </x:c>
      <x:c r="Q495" s="21" t="str"/>
      <x:c r="R495" s="21" t="str"/>
      <x:c r="S495" s="21" t="str"/>
      <x:c r="T495" s="17" t="str">
        <x:v>false</x:v>
      </x:c>
      <x:c r="U495" s="17" t="str">
        <x:v>true</x:v>
      </x:c>
      <x:c r="V495" s="17" t="str">
        <x:v>false</x:v>
      </x:c>
    </x:row>
    <x:row r="496" ht="80" customHeight="1">
      <x:c r="A496" s="25" t="str">
        <x:v>JacksonDatabind</x:v>
      </x:c>
      <x:c r="B496" s="25" t="n">
        <x:v>92</x:v>
      </x:c>
      <x:c r="C496" s="25" t="str">
        <x:v>Round1</x:v>
      </x:c>
      <x:c r="D496" s="25" t="str">
        <x:v>NOT_AVAILABLE</x:v>
      </x:c>
      <x:c r="E496" s="25" t="str">
        <x:v>N/A</x:v>
      </x:c>
      <x:c r="F496" s="26" t="str">
        <x:v>Tests exist but current coverage did not complete</x:v>
      </x:c>
      <x:c r="G496" s="25" t="str">
        <x:v>true</x:v>
      </x:c>
      <x:c r="H496" s="25" t="str">
        <x:v>NOT_AVAILABLE</x:v>
      </x:c>
      <x:c r="I496" s="25" t="str">
        <x:v>NOT_RUN</x:v>
      </x:c>
      <x:c r="J496" s="25" t="str">
        <x:v>NOT_RUN</x:v>
      </x:c>
      <x:c r="K496" s="25" t="n">
        <x:v>1</x:v>
      </x:c>
      <x:c r="L496" s="27" t="b">
        <x:v>0</x:v>
      </x:c>
      <x:c r="M496" s="25" t="str">
        <x:v>Deepseek-flash-v4/state/Round1/shards/JacksonDatabind.json</x:v>
      </x:c>
      <x:c r="N496" s="25" t="str">
        <x:v>Deepseek-flash-v4/Result/JacksonDatabind_92/result.json</x:v>
      </x:c>
      <x:c r="O496" s="25" t="str">
        <x:v>Deepseek-flash-v4/Result/JacksonDatabind_92/result.json</x:v>
      </x:c>
      <x:c r="P496" t="str">
        <x:v>BOTH_NOT_RUN</x:v>
      </x:c>
      <x:c r="Q496" s="21" t="str"/>
      <x:c r="R496" s="21" t="str"/>
      <x:c r="S496" s="21" t="str"/>
      <x:c r="T496" s="17" t="str">
        <x:v>false</x:v>
      </x:c>
      <x:c r="U496" s="17" t="str">
        <x:v>true</x:v>
      </x:c>
      <x:c r="V496" s="17" t="str">
        <x:v>false</x:v>
      </x:c>
    </x:row>
    <x:row r="497" ht="80" customHeight="1">
      <x:c r="A497" s="25" t="str">
        <x:v>JacksonDatabind</x:v>
      </x:c>
      <x:c r="B497" s="25" t="n">
        <x:v>93</x:v>
      </x:c>
      <x:c r="C497" s="25" t="str">
        <x:v>Round1</x:v>
      </x:c>
      <x:c r="D497" s="25" t="str">
        <x:v>NOT_AVAILABLE</x:v>
      </x:c>
      <x:c r="E497" s="25" t="str">
        <x:v>N/A</x:v>
      </x:c>
      <x:c r="F497" s="26" t="str">
        <x:v>Tests exist but current coverage did not complete</x:v>
      </x:c>
      <x:c r="G497" s="25" t="str">
        <x:v>true</x:v>
      </x:c>
      <x:c r="H497" s="25" t="str">
        <x:v>NOT_AVAILABLE</x:v>
      </x:c>
      <x:c r="I497" s="25" t="str">
        <x:v>NOT_RUN</x:v>
      </x:c>
      <x:c r="J497" s="25" t="str">
        <x:v>NOT_RUN</x:v>
      </x:c>
      <x:c r="K497" s="25" t="n">
        <x:v>1</x:v>
      </x:c>
      <x:c r="L497" s="27" t="b">
        <x:v>0</x:v>
      </x:c>
      <x:c r="M497" s="25" t="str">
        <x:v>Deepseek-flash-v4/state/Round1/shards/JacksonDatabind.json</x:v>
      </x:c>
      <x:c r="N497" s="25" t="str">
        <x:v>Deepseek-flash-v4/Result/JacksonDatabind_93/result.json</x:v>
      </x:c>
      <x:c r="O497" s="25" t="str">
        <x:v>Deepseek-flash-v4/Result/JacksonDatabind_93/result.json</x:v>
      </x:c>
      <x:c r="P497" t="str">
        <x:v>BOTH_NOT_RUN</x:v>
      </x:c>
      <x:c r="Q497" s="21" t="str"/>
      <x:c r="R497" s="21" t="str"/>
      <x:c r="S497" s="21" t="str"/>
      <x:c r="T497" s="17" t="str">
        <x:v>false</x:v>
      </x:c>
      <x:c r="U497" s="17" t="str">
        <x:v>true</x:v>
      </x:c>
      <x:c r="V497" s="17" t="str">
        <x:v>false</x:v>
      </x:c>
    </x:row>
    <x:row r="498" ht="80" customHeight="1">
      <x:c r="A498" s="25" t="str">
        <x:v>JacksonDatabind</x:v>
      </x:c>
      <x:c r="B498" s="25" t="n">
        <x:v>94</x:v>
      </x:c>
      <x:c r="C498" s="25" t="str">
        <x:v>Round1</x:v>
      </x:c>
      <x:c r="D498" s="25" t="str">
        <x:v>INCONCLUSIVE</x:v>
      </x:c>
      <x:c r="E498" s="25" t="str">
        <x:v>N/A</x:v>
      </x:c>
      <x:c r="F498" s="26" t="str">
        <x:v>Fixed also failed; assertion failure cannot be attributed to this bug</x:v>
      </x:c>
      <x:c r="G498" s="25" t="str">
        <x:v>true</x:v>
      </x:c>
      <x:c r="H498" s="25" t="str">
        <x:v>INCONCLUSIVE</x:v>
      </x:c>
      <x:c r="I498" s="25" t="str">
        <x:v>FAIL</x:v>
      </x:c>
      <x:c r="J498" s="25" t="str">
        <x:v>FAIL</x:v>
      </x:c>
      <x:c r="K498" s="25" t="n">
        <x:v>1</x:v>
      </x:c>
      <x:c r="L498" s="27" t="b">
        <x:v>0</x:v>
      </x:c>
      <x:c r="M498" s="25" t="str">
        <x:v>Deepseek-flash-v4/state/Round1/shards/JacksonDatabind.json</x:v>
      </x:c>
      <x:c r="N498" s="25" t="str">
        <x:v>Deepseek-flash-v4/Result/JacksonDatabind_94/result.json</x:v>
      </x:c>
      <x:c r="O498" s="25" t="str">
        <x:v>Deepseek-flash-v4/Result/JacksonDatabind_94/result.json</x:v>
      </x:c>
      <x:c r="P498"/>
      <x:c r="Q498" s="21" t="str"/>
      <x:c r="R498" s="21" t="str"/>
      <x:c r="S498" s="21" t="str"/>
      <x:c r="T498" s="17" t="str">
        <x:v>false</x:v>
      </x:c>
      <x:c r="U498" s="17" t="str">
        <x:v>true</x:v>
      </x:c>
      <x:c r="V498" s="17" t="str">
        <x:v>false</x:v>
      </x:c>
    </x:row>
    <x:row r="499" ht="80" customHeight="1">
      <x:c r="A499" s="25" t="str">
        <x:v>JacksonDatabind</x:v>
      </x:c>
      <x:c r="B499" s="25" t="n">
        <x:v>95</x:v>
      </x:c>
      <x:c r="C499" s="25" t="str">
        <x:v>Round1</x:v>
      </x:c>
      <x:c r="D499" s="25" t="str">
        <x:v>NOT_AVAILABLE</x:v>
      </x:c>
      <x:c r="E499" s="25" t="str">
        <x:v>N/A</x:v>
      </x:c>
      <x:c r="F499" s="26" t="str">
        <x:v>Tests exist but current coverage did not complete</x:v>
      </x:c>
      <x:c r="G499" s="25" t="str">
        <x:v>true</x:v>
      </x:c>
      <x:c r="H499" s="25" t="str">
        <x:v>NOT_AVAILABLE</x:v>
      </x:c>
      <x:c r="I499" s="25" t="str">
        <x:v>NOT_RUN</x:v>
      </x:c>
      <x:c r="J499" s="25" t="str">
        <x:v>NOT_RUN</x:v>
      </x:c>
      <x:c r="K499" s="25" t="n">
        <x:v>2</x:v>
      </x:c>
      <x:c r="L499" s="27" t="b">
        <x:v>0</x:v>
      </x:c>
      <x:c r="M499" s="25" t="str">
        <x:v>Deepseek-flash-v4/state/Round1/shards/JacksonDatabind.json</x:v>
      </x:c>
      <x:c r="N499" s="25" t="str">
        <x:v>Deepseek-flash-v4/Result/JacksonDatabind_95/result.json</x:v>
      </x:c>
      <x:c r="O499" s="25" t="str">
        <x:v>Deepseek-flash-v4/Result/JacksonDatabind_95/result.json</x:v>
      </x:c>
      <x:c r="P499" t="str">
        <x:v>BOTH_NOT_RUN</x:v>
      </x:c>
      <x:c r="Q499" s="21" t="str"/>
      <x:c r="R499" s="21" t="str"/>
      <x:c r="S499" s="21" t="str"/>
      <x:c r="T499" s="17" t="str">
        <x:v>false</x:v>
      </x:c>
      <x:c r="U499" s="17" t="str">
        <x:v>true</x:v>
      </x:c>
      <x:c r="V499" s="17" t="str">
        <x:v>false</x:v>
      </x:c>
    </x:row>
    <x:row r="500" ht="80" customHeight="1">
      <x:c r="A500" s="25" t="str">
        <x:v>JacksonDatabind</x:v>
      </x:c>
      <x:c r="B500" s="25" t="n">
        <x:v>96</x:v>
      </x:c>
      <x:c r="C500" s="25" t="str">
        <x:v>Round1</x:v>
      </x:c>
      <x:c r="D500" s="25" t="str">
        <x:v>NOT_AVAILABLE</x:v>
      </x:c>
      <x:c r="E500" s="25" t="str">
        <x:v>N/A</x:v>
      </x:c>
      <x:c r="F500" s="26" t="str">
        <x:v>Tests exist but current coverage did not complete</x:v>
      </x:c>
      <x:c r="G500" s="25" t="str">
        <x:v>true</x:v>
      </x:c>
      <x:c r="H500" s="25" t="str">
        <x:v>NOT_AVAILABLE</x:v>
      </x:c>
      <x:c r="I500" s="25" t="str">
        <x:v>NOT_RUN</x:v>
      </x:c>
      <x:c r="J500" s="25" t="str">
        <x:v>NOT_RUN</x:v>
      </x:c>
      <x:c r="K500" s="25" t="n">
        <x:v>1</x:v>
      </x:c>
      <x:c r="L500" s="27" t="b">
        <x:v>0</x:v>
      </x:c>
      <x:c r="M500" s="25" t="str">
        <x:v>Deepseek-flash-v4/state/Round1/shards/JacksonDatabind.json</x:v>
      </x:c>
      <x:c r="N500" s="25" t="str">
        <x:v>Deepseek-flash-v4/Result/JacksonDatabind_96/result.json</x:v>
      </x:c>
      <x:c r="O500" s="25" t="str">
        <x:v>Deepseek-flash-v4/Result/JacksonDatabind_96/result.json</x:v>
      </x:c>
      <x:c r="P500" t="str">
        <x:v>BOTH_NOT_RUN</x:v>
      </x:c>
      <x:c r="Q500" s="21" t="str"/>
      <x:c r="R500" s="21" t="str"/>
      <x:c r="S500" s="21" t="str"/>
      <x:c r="T500" s="17" t="str">
        <x:v>false</x:v>
      </x:c>
      <x:c r="U500" s="17" t="str">
        <x:v>true</x:v>
      </x:c>
      <x:c r="V500" s="17" t="str">
        <x:v>false</x:v>
      </x:c>
    </x:row>
    <x:row r="501" ht="80" customHeight="1">
      <x:c r="A501" s="25" t="str">
        <x:v>JacksonDatabind</x:v>
      </x:c>
      <x:c r="B501" s="25" t="n">
        <x:v>97</x:v>
      </x:c>
      <x:c r="C501" s="25" t="str">
        <x:v>Round1</x:v>
      </x:c>
      <x:c r="D501" s="25" t="str">
        <x:v>NOT_AVAILABLE</x:v>
      </x:c>
      <x:c r="E501" s="25" t="str">
        <x:v>N/A</x:v>
      </x:c>
      <x:c r="F501" s="26" t="str">
        <x:v>Tests exist but current coverage did not complete</x:v>
      </x:c>
      <x:c r="G501" s="25" t="str">
        <x:v>true</x:v>
      </x:c>
      <x:c r="H501" s="25" t="str">
        <x:v>NOT_AVAILABLE</x:v>
      </x:c>
      <x:c r="I501" s="25" t="str">
        <x:v>NOT_RUN</x:v>
      </x:c>
      <x:c r="J501" s="25" t="str">
        <x:v>NOT_RUN</x:v>
      </x:c>
      <x:c r="K501" s="25" t="n">
        <x:v>1</x:v>
      </x:c>
      <x:c r="L501" s="27" t="b">
        <x:v>0</x:v>
      </x:c>
      <x:c r="M501" s="25" t="str">
        <x:v>Deepseek-flash-v4/state/Round1/shards/JacksonDatabind.json</x:v>
      </x:c>
      <x:c r="N501" s="25" t="str">
        <x:v>Deepseek-flash-v4/Result/JacksonDatabind_97/result.json</x:v>
      </x:c>
      <x:c r="O501" s="25" t="str">
        <x:v>Deepseek-flash-v4/Result/JacksonDatabind_97/result.json</x:v>
      </x:c>
      <x:c r="P501" t="str">
        <x:v>BOTH_NOT_RUN</x:v>
      </x:c>
      <x:c r="Q501" s="21" t="str"/>
      <x:c r="R501" s="21" t="str"/>
      <x:c r="S501" s="21" t="str"/>
      <x:c r="T501" s="17" t="str">
        <x:v>false</x:v>
      </x:c>
      <x:c r="U501" s="17" t="str">
        <x:v>true</x:v>
      </x:c>
      <x:c r="V501" s="17" t="str">
        <x:v>false</x:v>
      </x:c>
    </x:row>
    <x:row r="502" ht="80" customHeight="1">
      <x:c r="A502" s="25" t="str">
        <x:v>JacksonDatabind</x:v>
      </x:c>
      <x:c r="B502" s="25" t="n">
        <x:v>98</x:v>
      </x:c>
      <x:c r="C502" s="25" t="str">
        <x:v>Round1</x:v>
      </x:c>
      <x:c r="D502" s="25" t="str">
        <x:v>NOT_AVAILABLE</x:v>
      </x:c>
      <x:c r="E502" s="25" t="str">
        <x:v>N/A</x:v>
      </x:c>
      <x:c r="F502" s="26" t="str">
        <x:v>Tests exist but current coverage did not complete</x:v>
      </x:c>
      <x:c r="G502" s="25" t="str">
        <x:v>true</x:v>
      </x:c>
      <x:c r="H502" s="25" t="str">
        <x:v>NOT_AVAILABLE</x:v>
      </x:c>
      <x:c r="I502" s="25" t="str">
        <x:v>NOT_RUN</x:v>
      </x:c>
      <x:c r="J502" s="25" t="str">
        <x:v>NOT_RUN</x:v>
      </x:c>
      <x:c r="K502" s="25" t="n">
        <x:v>1</x:v>
      </x:c>
      <x:c r="L502" s="27" t="b">
        <x:v>0</x:v>
      </x:c>
      <x:c r="M502" s="25" t="str">
        <x:v>Deepseek-flash-v4/state/Round1/shards/JacksonDatabind.json</x:v>
      </x:c>
      <x:c r="N502" s="25" t="str">
        <x:v>Deepseek-flash-v4/Result/JacksonDatabind_98/result.json</x:v>
      </x:c>
      <x:c r="O502" s="25" t="str">
        <x:v>Deepseek-flash-v4/Result/JacksonDatabind_98/result.json</x:v>
      </x:c>
      <x:c r="P502" t="str">
        <x:v>BOTH_NOT_RUN</x:v>
      </x:c>
      <x:c r="Q502" s="21" t="str"/>
      <x:c r="R502" s="21" t="str"/>
      <x:c r="S502" s="21" t="str"/>
      <x:c r="T502" s="17" t="str">
        <x:v>false</x:v>
      </x:c>
      <x:c r="U502" s="17" t="str">
        <x:v>true</x:v>
      </x:c>
      <x:c r="V502" s="17" t="str">
        <x:v>false</x:v>
      </x:c>
    </x:row>
    <x:row r="503" ht="80" customHeight="1">
      <x:c r="A503" s="25" t="str">
        <x:v>JacksonDatabind</x:v>
      </x:c>
      <x:c r="B503" s="25" t="n">
        <x:v>99</x:v>
      </x:c>
      <x:c r="C503" s="25" t="str">
        <x:v>Round1</x:v>
      </x:c>
      <x:c r="D503" s="25" t="str">
        <x:v>NOT_AVAILABLE</x:v>
      </x:c>
      <x:c r="E503" s="25" t="str">
        <x:v>N/A</x:v>
      </x:c>
      <x:c r="F503" s="26" t="str">
        <x:v>Tests exist but current coverage did not complete</x:v>
      </x:c>
      <x:c r="G503" s="25" t="str">
        <x:v>true</x:v>
      </x:c>
      <x:c r="H503" s="25" t="str">
        <x:v>NOT_AVAILABLE</x:v>
      </x:c>
      <x:c r="I503" s="25" t="str">
        <x:v>NOT_RUN</x:v>
      </x:c>
      <x:c r="J503" s="25" t="str">
        <x:v>NOT_RUN</x:v>
      </x:c>
      <x:c r="K503" s="25" t="n">
        <x:v>1</x:v>
      </x:c>
      <x:c r="L503" s="27" t="b">
        <x:v>0</x:v>
      </x:c>
      <x:c r="M503" s="25" t="str">
        <x:v>Deepseek-flash-v4/state/Round1/shards/JacksonDatabind.json</x:v>
      </x:c>
      <x:c r="N503" s="25" t="str">
        <x:v>Deepseek-flash-v4/Result/JacksonDatabind_99/result.json</x:v>
      </x:c>
      <x:c r="O503" s="25" t="str">
        <x:v>Deepseek-flash-v4/Result/JacksonDatabind_99/result.json</x:v>
      </x:c>
      <x:c r="P503" t="str">
        <x:v>BOTH_NOT_RUN</x:v>
      </x:c>
      <x:c r="Q503" s="21" t="str"/>
      <x:c r="R503" s="21" t="str"/>
      <x:c r="S503" s="21" t="str"/>
      <x:c r="T503" s="17" t="str">
        <x:v>false</x:v>
      </x:c>
      <x:c r="U503" s="17" t="str">
        <x:v>true</x:v>
      </x:c>
      <x:c r="V503" s="17" t="str">
        <x:v>false</x:v>
      </x:c>
    </x:row>
    <x:row r="504" ht="80" customHeight="1">
      <x:c r="A504" s="25" t="str">
        <x:v>JacksonXml</x:v>
      </x:c>
      <x:c r="B504" s="25" t="n">
        <x:v>1</x:v>
      </x:c>
      <x:c r="C504" s="25" t="str">
        <x:v>Round1</x:v>
      </x:c>
      <x:c r="D504" s="25" t="str">
        <x:v>NOT_AVAILABLE</x:v>
      </x:c>
      <x:c r="E504" s="25" t="str">
        <x:v>N/A</x:v>
      </x:c>
      <x:c r="F504" s="26" t="str">
        <x:v>Tests exist but current coverage did not complete</x:v>
      </x:c>
      <x:c r="G504" s="25" t="str">
        <x:v>true</x:v>
      </x:c>
      <x:c r="H504" s="25" t="str">
        <x:v>NOT_AVAILABLE</x:v>
      </x:c>
      <x:c r="I504" s="25" t="str">
        <x:v>NOT_RUN</x:v>
      </x:c>
      <x:c r="J504" s="25" t="str">
        <x:v>NOT_RUN</x:v>
      </x:c>
      <x:c r="K504" s="25" t="n">
        <x:v>1</x:v>
      </x:c>
      <x:c r="L504" s="27" t="b">
        <x:v>0</x:v>
      </x:c>
      <x:c r="M504" s="25" t="str">
        <x:v>Deepseek-flash-v4/state/Round1/shards/JacksonXml.json</x:v>
      </x:c>
      <x:c r="N504" s="25" t="str">
        <x:v>Deepseek-flash-v4/Result/JacksonXml_1/result.json</x:v>
      </x:c>
      <x:c r="O504" s="25" t="str">
        <x:v>Deepseek-flash-v4/Result/JacksonXml_1/result.json</x:v>
      </x:c>
      <x:c r="P504" t="str">
        <x:v>BOTH_NOT_RUN</x:v>
      </x:c>
      <x:c r="Q504" s="21" t="str"/>
      <x:c r="R504" s="21" t="str"/>
      <x:c r="S504" s="21" t="str"/>
      <x:c r="T504" s="17" t="str">
        <x:v>false</x:v>
      </x:c>
      <x:c r="U504" s="17" t="str">
        <x:v>true</x:v>
      </x:c>
      <x:c r="V504" s="17" t="str">
        <x:v>false</x:v>
      </x:c>
    </x:row>
    <x:row r="505" ht="80" customHeight="1">
      <x:c r="A505" s="25" t="str">
        <x:v>JacksonXml</x:v>
      </x:c>
      <x:c r="B505" s="25" t="n">
        <x:v>2</x:v>
      </x:c>
      <x:c r="C505" s="25" t="str">
        <x:v>Round1</x:v>
      </x:c>
      <x:c r="D505" s="25" t="str">
        <x:v>NOT_AVAILABLE</x:v>
      </x:c>
      <x:c r="E505" s="25" t="str">
        <x:v>N/A</x:v>
      </x:c>
      <x:c r="F505" s="26" t="str">
        <x:v>Tests exist but current coverage did not complete</x:v>
      </x:c>
      <x:c r="G505" s="25" t="str">
        <x:v>true</x:v>
      </x:c>
      <x:c r="H505" s="25" t="str">
        <x:v>NOT_AVAILABLE</x:v>
      </x:c>
      <x:c r="I505" s="25" t="str">
        <x:v>NOT_RUN</x:v>
      </x:c>
      <x:c r="J505" s="25" t="str">
        <x:v>NOT_RUN</x:v>
      </x:c>
      <x:c r="K505" s="25" t="n">
        <x:v>1</x:v>
      </x:c>
      <x:c r="L505" s="27" t="b">
        <x:v>0</x:v>
      </x:c>
      <x:c r="M505" s="25" t="str">
        <x:v>Deepseek-flash-v4/state/Round1/shards/JacksonXml.json</x:v>
      </x:c>
      <x:c r="N505" s="25" t="str">
        <x:v>Deepseek-flash-v4/Result/JacksonXml_2/result.json</x:v>
      </x:c>
      <x:c r="O505" s="25" t="str">
        <x:v>Deepseek-flash-v4/Result/JacksonXml_2/result.json</x:v>
      </x:c>
      <x:c r="P505" t="str">
        <x:v>BOTH_NOT_RUN</x:v>
      </x:c>
      <x:c r="Q505" s="21" t="str"/>
      <x:c r="R505" s="21" t="str"/>
      <x:c r="S505" s="21" t="str"/>
      <x:c r="T505" s="17" t="str">
        <x:v>false</x:v>
      </x:c>
      <x:c r="U505" s="17" t="str">
        <x:v>true</x:v>
      </x:c>
      <x:c r="V505" s="17" t="str">
        <x:v>false</x:v>
      </x:c>
    </x:row>
    <x:row r="506" ht="80" customHeight="1">
      <x:c r="A506" s="25" t="str">
        <x:v>JacksonXml</x:v>
      </x:c>
      <x:c r="B506" s="25" t="n">
        <x:v>3</x:v>
      </x:c>
      <x:c r="C506" s="25" t="str">
        <x:v>Round1</x:v>
      </x:c>
      <x:c r="D506" s="25" t="str">
        <x:v>NOT_AVAILABLE</x:v>
      </x:c>
      <x:c r="E506" s="25" t="str">
        <x:v>N/A</x:v>
      </x:c>
      <x:c r="F506" s="26" t="str">
        <x:v>Tests exist but current coverage did not complete</x:v>
      </x:c>
      <x:c r="G506" s="25" t="str">
        <x:v>true</x:v>
      </x:c>
      <x:c r="H506" s="25" t="str">
        <x:v>NOT_AVAILABLE</x:v>
      </x:c>
      <x:c r="I506" s="25" t="str">
        <x:v>NOT_RUN</x:v>
      </x:c>
      <x:c r="J506" s="25" t="str">
        <x:v>NOT_RUN</x:v>
      </x:c>
      <x:c r="K506" s="25" t="n">
        <x:v>1</x:v>
      </x:c>
      <x:c r="L506" s="27" t="b">
        <x:v>0</x:v>
      </x:c>
      <x:c r="M506" s="25" t="str">
        <x:v>Deepseek-flash-v4/state/Round1/shards/JacksonXml.json</x:v>
      </x:c>
      <x:c r="N506" s="25" t="str">
        <x:v>Deepseek-flash-v4/Result/JacksonXml_3/result.json</x:v>
      </x:c>
      <x:c r="O506" s="25" t="str">
        <x:v>Deepseek-flash-v4/Result/JacksonXml_3/result.json</x:v>
      </x:c>
      <x:c r="P506" t="str">
        <x:v>BOTH_NOT_RUN</x:v>
      </x:c>
      <x:c r="Q506" s="21" t="str"/>
      <x:c r="R506" s="21" t="str"/>
      <x:c r="S506" s="21" t="str"/>
      <x:c r="T506" s="17" t="str">
        <x:v>false</x:v>
      </x:c>
      <x:c r="U506" s="17" t="str">
        <x:v>true</x:v>
      </x:c>
      <x:c r="V506" s="17" t="str">
        <x:v>false</x:v>
      </x:c>
    </x:row>
    <x:row r="507" ht="80" customHeight="1">
      <x:c r="A507" s="25" t="str">
        <x:v>JacksonXml</x:v>
      </x:c>
      <x:c r="B507" s="25" t="n">
        <x:v>4</x:v>
      </x:c>
      <x:c r="C507" s="25" t="str">
        <x:v>Round1</x:v>
      </x:c>
      <x:c r="D507" s="25" t="str">
        <x:v>NOT_AVAILABLE</x:v>
      </x:c>
      <x:c r="E507" s="25" t="str">
        <x:v>N/A</x:v>
      </x:c>
      <x:c r="F507" s="26" t="str">
        <x:v>Tests exist but current coverage did not complete</x:v>
      </x:c>
      <x:c r="G507" s="25" t="str">
        <x:v>true</x:v>
      </x:c>
      <x:c r="H507" s="25" t="str">
        <x:v>NOT_AVAILABLE</x:v>
      </x:c>
      <x:c r="I507" s="25" t="str">
        <x:v>NOT_RUN</x:v>
      </x:c>
      <x:c r="J507" s="25" t="str">
        <x:v>NOT_RUN</x:v>
      </x:c>
      <x:c r="K507" s="25" t="n">
        <x:v>1</x:v>
      </x:c>
      <x:c r="L507" s="27" t="b">
        <x:v>0</x:v>
      </x:c>
      <x:c r="M507" s="25" t="str">
        <x:v>Deepseek-flash-v4/state/Round1/shards/JacksonXml.json</x:v>
      </x:c>
      <x:c r="N507" s="25" t="str">
        <x:v>Deepseek-flash-v4/Result/JacksonXml_4/result.json</x:v>
      </x:c>
      <x:c r="O507" s="25" t="str">
        <x:v>Deepseek-flash-v4/Result/JacksonXml_4/result.json</x:v>
      </x:c>
      <x:c r="P507" t="str">
        <x:v>BOTH_NOT_RUN</x:v>
      </x:c>
      <x:c r="Q507" s="21" t="str"/>
      <x:c r="R507" s="21" t="str"/>
      <x:c r="S507" s="21" t="str"/>
      <x:c r="T507" s="17" t="str">
        <x:v>false</x:v>
      </x:c>
      <x:c r="U507" s="17" t="str">
        <x:v>true</x:v>
      </x:c>
      <x:c r="V507" s="17" t="str">
        <x:v>false</x:v>
      </x:c>
    </x:row>
    <x:row r="508" ht="80" customHeight="1">
      <x:c r="A508" s="25" t="str">
        <x:v>JacksonXml</x:v>
      </x:c>
      <x:c r="B508" s="25" t="n">
        <x:v>5</x:v>
      </x:c>
      <x:c r="C508" s="25" t="str">
        <x:v>Round1</x:v>
      </x:c>
      <x:c r="D508" s="25" t="str">
        <x:v>NOT_AVAILABLE</x:v>
      </x:c>
      <x:c r="E508" s="25" t="str">
        <x:v>N/A</x:v>
      </x:c>
      <x:c r="F508" s="26" t="str">
        <x:v>Tests exist but current coverage did not complete</x:v>
      </x:c>
      <x:c r="G508" s="25" t="str">
        <x:v>true</x:v>
      </x:c>
      <x:c r="H508" s="25" t="str">
        <x:v>NOT_AVAILABLE</x:v>
      </x:c>
      <x:c r="I508" s="25" t="str">
        <x:v>NOT_RUN</x:v>
      </x:c>
      <x:c r="J508" s="25" t="str">
        <x:v>NOT_RUN</x:v>
      </x:c>
      <x:c r="K508" s="25" t="n">
        <x:v>1</x:v>
      </x:c>
      <x:c r="L508" s="27" t="b">
        <x:v>0</x:v>
      </x:c>
      <x:c r="M508" s="25" t="str">
        <x:v>Deepseek-flash-v4/state/Round1/shards/JacksonXml.json</x:v>
      </x:c>
      <x:c r="N508" s="25" t="str">
        <x:v>Deepseek-flash-v4/Result/JacksonXml_5/result.json</x:v>
      </x:c>
      <x:c r="O508" s="25" t="str">
        <x:v>Deepseek-flash-v4/Result/JacksonXml_5/result.json</x:v>
      </x:c>
      <x:c r="P508" t="str">
        <x:v>BOTH_NOT_RUN</x:v>
      </x:c>
      <x:c r="Q508" s="21" t="str"/>
      <x:c r="R508" s="21" t="str"/>
      <x:c r="S508" s="21" t="str"/>
      <x:c r="T508" s="17" t="str">
        <x:v>false</x:v>
      </x:c>
      <x:c r="U508" s="17" t="str">
        <x:v>true</x:v>
      </x:c>
      <x:c r="V508" s="17" t="str">
        <x:v>false</x:v>
      </x:c>
    </x:row>
    <x:row r="509" ht="80" customHeight="1">
      <x:c r="A509" s="25" t="str">
        <x:v>JacksonXml</x:v>
      </x:c>
      <x:c r="B509" s="25" t="n">
        <x:v>6</x:v>
      </x:c>
      <x:c r="C509" s="25" t="str">
        <x:v>Round1</x:v>
      </x:c>
      <x:c r="D509" s="25" t="str">
        <x:v>NOT_AVAILABLE</x:v>
      </x:c>
      <x:c r="E509" s="25" t="str">
        <x:v>N/A</x:v>
      </x:c>
      <x:c r="F509" s="26" t="str">
        <x:v>Tests exist but current coverage did not complete</x:v>
      </x:c>
      <x:c r="G509" s="25" t="str">
        <x:v>true</x:v>
      </x:c>
      <x:c r="H509" s="25" t="str">
        <x:v>NOT_AVAILABLE</x:v>
      </x:c>
      <x:c r="I509" s="25" t="str">
        <x:v>NOT_RUN</x:v>
      </x:c>
      <x:c r="J509" s="25" t="str">
        <x:v>NOT_RUN</x:v>
      </x:c>
      <x:c r="K509" s="25" t="n">
        <x:v>1</x:v>
      </x:c>
      <x:c r="L509" s="27" t="b">
        <x:v>0</x:v>
      </x:c>
      <x:c r="M509" s="25" t="str">
        <x:v>Deepseek-flash-v4/state/Round1/shards/JacksonXml.json</x:v>
      </x:c>
      <x:c r="N509" s="25" t="str">
        <x:v>Deepseek-flash-v4/Result/JacksonXml_6/result.json</x:v>
      </x:c>
      <x:c r="O509" s="25" t="str">
        <x:v>Deepseek-flash-v4/Result/JacksonXml_6/result.json</x:v>
      </x:c>
      <x:c r="P509" t="str">
        <x:v>BOTH_NOT_RUN</x:v>
      </x:c>
      <x:c r="Q509" s="21" t="str"/>
      <x:c r="R509" s="21" t="str"/>
      <x:c r="S509" s="21" t="str"/>
      <x:c r="T509" s="17" t="str">
        <x:v>false</x:v>
      </x:c>
      <x:c r="U509" s="17" t="str">
        <x:v>true</x:v>
      </x:c>
      <x:c r="V509" s="17" t="str">
        <x:v>false</x:v>
      </x:c>
    </x:row>
    <x:row r="510" ht="80" customHeight="1">
      <x:c r="A510" s="25" t="str">
        <x:v>Jsoup</x:v>
      </x:c>
      <x:c r="B510" s="25" t="n">
        <x:v>1</x:v>
      </x:c>
      <x:c r="C510" s="25" t="str">
        <x:v>Round1</x:v>
      </x:c>
      <x:c r="D510" s="25" t="str">
        <x:v>INCONCLUSIVE</x:v>
      </x:c>
      <x:c r="E510" s="25" t="str">
        <x:v>N/A</x:v>
      </x:c>
      <x:c r="F510" s="26" t="str">
        <x:v>Fixed also failed; assertion failure cannot be attributed to this bug</x:v>
      </x:c>
      <x:c r="G510" s="25" t="str">
        <x:v>true</x:v>
      </x:c>
      <x:c r="H510" s="25" t="str">
        <x:v>INCONCLUSIVE</x:v>
      </x:c>
      <x:c r="I510" s="25" t="str">
        <x:v>FAIL</x:v>
      </x:c>
      <x:c r="J510" s="25" t="str">
        <x:v>FAIL</x:v>
      </x:c>
      <x:c r="K510" s="25" t="n">
        <x:v>1</x:v>
      </x:c>
      <x:c r="L510" s="27" t="b">
        <x:v>0</x:v>
      </x:c>
      <x:c r="M510" s="25" t="str">
        <x:v>Deepseek-flash-v4/state/Round1/shards/Jsoup.json</x:v>
      </x:c>
      <x:c r="N510" s="25" t="str">
        <x:v>Deepseek-flash-v4/Result/Jsoup_1/result.json</x:v>
      </x:c>
      <x:c r="O510" s="25" t="str">
        <x:v>Deepseek-flash-v4/Result/Jsoup_1/result.json</x:v>
      </x:c>
      <x:c r="P510"/>
      <x:c r="Q510" s="21" t="str"/>
      <x:c r="R510" s="21" t="str"/>
      <x:c r="S510" s="21" t="str"/>
      <x:c r="T510" s="17" t="str">
        <x:v>false</x:v>
      </x:c>
      <x:c r="U510" s="17" t="str">
        <x:v>true</x:v>
      </x:c>
      <x:c r="V510" s="17" t="str">
        <x:v>false</x:v>
      </x:c>
    </x:row>
    <x:row r="511" ht="80" customHeight="1">
      <x:c r="A511" s="25" t="str">
        <x:v>Jsoup</x:v>
      </x:c>
      <x:c r="B511" s="25" t="n">
        <x:v>10</x:v>
      </x:c>
      <x:c r="C511" s="25" t="str">
        <x:v>Round1</x:v>
      </x:c>
      <x:c r="D511" s="25" t="str">
        <x:v>NOT_AVAILABLE</x:v>
      </x:c>
      <x:c r="E511" s="25" t="str">
        <x:v>N/A</x:v>
      </x:c>
      <x:c r="F511" s="26" t="str">
        <x:v>Tests exist but current coverage did not complete</x:v>
      </x:c>
      <x:c r="G511" s="25" t="str">
        <x:v>true</x:v>
      </x:c>
      <x:c r="H511" s="25" t="str">
        <x:v>NOT_AVAILABLE</x:v>
      </x:c>
      <x:c r="I511" s="25" t="str">
        <x:v>NOT_RUN</x:v>
      </x:c>
      <x:c r="J511" s="25" t="str">
        <x:v>NOT_RUN</x:v>
      </x:c>
      <x:c r="K511" s="25" t="n">
        <x:v>1</x:v>
      </x:c>
      <x:c r="L511" s="27" t="b">
        <x:v>0</x:v>
      </x:c>
      <x:c r="M511" s="25" t="str">
        <x:v>Deepseek-flash-v4/state/Round1/shards/Jsoup.json</x:v>
      </x:c>
      <x:c r="N511" s="25" t="str">
        <x:v>Deepseek-flash-v4/Result/Jsoup_10/result.json</x:v>
      </x:c>
      <x:c r="O511" s="25" t="str">
        <x:v>Deepseek-flash-v4/Result/Jsoup_10/result.json</x:v>
      </x:c>
      <x:c r="P511" t="str">
        <x:v>BOTH_NOT_RUN</x:v>
      </x:c>
      <x:c r="Q511" s="21" t="str"/>
      <x:c r="R511" s="21" t="str"/>
      <x:c r="S511" s="21" t="str"/>
      <x:c r="T511" s="17" t="str">
        <x:v>false</x:v>
      </x:c>
      <x:c r="U511" s="17" t="str">
        <x:v>true</x:v>
      </x:c>
      <x:c r="V511" s="17" t="str">
        <x:v>false</x:v>
      </x:c>
    </x:row>
    <x:row r="512" ht="80" customHeight="1">
      <x:c r="A512" s="25" t="str">
        <x:v>Jsoup</x:v>
      </x:c>
      <x:c r="B512" s="25" t="n">
        <x:v>11</x:v>
      </x:c>
      <x:c r="C512" s="25" t="str">
        <x:v>Round1</x:v>
      </x:c>
      <x:c r="D512" s="25" t="str">
        <x:v>INCONCLUSIVE</x:v>
      </x:c>
      <x:c r="E512" s="25" t="str">
        <x:v>N/A</x:v>
      </x:c>
      <x:c r="F512" s="26" t="str">
        <x:v>Fixed also failed; assertion failure cannot be attributed to this bug</x:v>
      </x:c>
      <x:c r="G512" s="25" t="str">
        <x:v>true</x:v>
      </x:c>
      <x:c r="H512" s="25" t="str">
        <x:v>INCONCLUSIVE</x:v>
      </x:c>
      <x:c r="I512" s="25" t="str">
        <x:v>FAIL</x:v>
      </x:c>
      <x:c r="J512" s="25" t="str">
        <x:v>FAIL</x:v>
      </x:c>
      <x:c r="K512" s="25" t="n">
        <x:v>1</x:v>
      </x:c>
      <x:c r="L512" s="27" t="b">
        <x:v>0</x:v>
      </x:c>
      <x:c r="M512" s="25" t="str">
        <x:v>Deepseek-flash-v4/state/Round1/shards/Jsoup.json</x:v>
      </x:c>
      <x:c r="N512" s="25" t="str">
        <x:v>Deepseek-flash-v4/Result/Jsoup_11/result.json</x:v>
      </x:c>
      <x:c r="O512" s="25" t="str">
        <x:v>Deepseek-flash-v4/Result/Jsoup_11/result.json</x:v>
      </x:c>
      <x:c r="P512"/>
      <x:c r="Q512" s="21" t="str"/>
      <x:c r="R512" s="21" t="str"/>
      <x:c r="S512" s="21" t="str"/>
      <x:c r="T512" s="17" t="str">
        <x:v>false</x:v>
      </x:c>
      <x:c r="U512" s="17" t="str">
        <x:v>true</x:v>
      </x:c>
      <x:c r="V512" s="17" t="str">
        <x:v>false</x:v>
      </x:c>
    </x:row>
    <x:row r="513" ht="80" customHeight="1">
      <x:c r="A513" s="25" t="str">
        <x:v>Jsoup</x:v>
      </x:c>
      <x:c r="B513" s="25" t="n">
        <x:v>12</x:v>
      </x:c>
      <x:c r="C513" s="25" t="str">
        <x:v>Round1</x:v>
      </x:c>
      <x:c r="D513" s="25" t="str">
        <x:v>INCONCLUSIVE</x:v>
      </x:c>
      <x:c r="E513" s="25" t="str">
        <x:v>N/A</x:v>
      </x:c>
      <x:c r="F513" s="26" t="str">
        <x:v>Fixed also failed; assertion failure cannot be attributed to this bug</x:v>
      </x:c>
      <x:c r="G513" s="25" t="str">
        <x:v>true</x:v>
      </x:c>
      <x:c r="H513" s="25" t="str">
        <x:v>INCONCLUSIVE</x:v>
      </x:c>
      <x:c r="I513" s="25" t="str">
        <x:v>FAIL</x:v>
      </x:c>
      <x:c r="J513" s="25" t="str">
        <x:v>FAIL</x:v>
      </x:c>
      <x:c r="K513" s="25" t="n">
        <x:v>1</x:v>
      </x:c>
      <x:c r="L513" s="27" t="b">
        <x:v>0</x:v>
      </x:c>
      <x:c r="M513" s="25" t="str">
        <x:v>Deepseek-flash-v4/state/Round1/shards/Jsoup.json</x:v>
      </x:c>
      <x:c r="N513" s="25" t="str">
        <x:v>Deepseek-flash-v4/Result/Jsoup_12/result.json</x:v>
      </x:c>
      <x:c r="O513" s="25" t="str">
        <x:v>Deepseek-flash-v4/Result/Jsoup_12/result.json</x:v>
      </x:c>
      <x:c r="P513"/>
      <x:c r="Q513" s="21" t="str"/>
      <x:c r="R513" s="21" t="str"/>
      <x:c r="S513" s="21" t="str"/>
      <x:c r="T513" s="17" t="str">
        <x:v>false</x:v>
      </x:c>
      <x:c r="U513" s="17" t="str">
        <x:v>true</x:v>
      </x:c>
      <x:c r="V513" s="17" t="str">
        <x:v>false</x:v>
      </x:c>
    </x:row>
    <x:row r="514" ht="80" customHeight="1">
      <x:c r="A514" s="25" t="str">
        <x:v>Jsoup</x:v>
      </x:c>
      <x:c r="B514" s="25" t="n">
        <x:v>13</x:v>
      </x:c>
      <x:c r="C514" s="25" t="str">
        <x:v>Round1</x:v>
      </x:c>
      <x:c r="D514" s="25" t="str">
        <x:v>NOT_AVAILABLE</x:v>
      </x:c>
      <x:c r="E514" s="25" t="str">
        <x:v>N/A</x:v>
      </x:c>
      <x:c r="F514" s="26" t="str">
        <x:v>Tests exist but current coverage did not complete</x:v>
      </x:c>
      <x:c r="G514" s="25" t="str">
        <x:v>true</x:v>
      </x:c>
      <x:c r="H514" s="25" t="str">
        <x:v>NOT_AVAILABLE</x:v>
      </x:c>
      <x:c r="I514" s="25" t="str">
        <x:v>NOT_RUN</x:v>
      </x:c>
      <x:c r="J514" s="25" t="str">
        <x:v>NOT_RUN</x:v>
      </x:c>
      <x:c r="K514" s="25" t="n">
        <x:v>1</x:v>
      </x:c>
      <x:c r="L514" s="27" t="b">
        <x:v>0</x:v>
      </x:c>
      <x:c r="M514" s="25" t="str">
        <x:v>Deepseek-flash-v4/state/Round1/shards/Jsoup.json</x:v>
      </x:c>
      <x:c r="N514" s="25" t="str">
        <x:v>Deepseek-flash-v4/Result/Jsoup_13/result.json</x:v>
      </x:c>
      <x:c r="O514" s="25" t="str">
        <x:v>Deepseek-flash-v4/Result/Jsoup_13/result.json</x:v>
      </x:c>
      <x:c r="P514" t="str">
        <x:v>BOTH_NOT_RUN</x:v>
      </x:c>
      <x:c r="Q514" s="21" t="str"/>
      <x:c r="R514" s="21" t="str"/>
      <x:c r="S514" s="21" t="str"/>
      <x:c r="T514" s="17" t="str">
        <x:v>false</x:v>
      </x:c>
      <x:c r="U514" s="17" t="str">
        <x:v>true</x:v>
      </x:c>
      <x:c r="V514" s="17" t="str">
        <x:v>false</x:v>
      </x:c>
    </x:row>
    <x:row r="515" ht="80" customHeight="1">
      <x:c r="A515" s="25" t="str">
        <x:v>Jsoup</x:v>
      </x:c>
      <x:c r="B515" s="25" t="n">
        <x:v>14</x:v>
      </x:c>
      <x:c r="C515" s="25" t="str">
        <x:v>Round1</x:v>
      </x:c>
      <x:c r="D515" s="25" t="str">
        <x:v>NOT_AVAILABLE</x:v>
      </x:c>
      <x:c r="E515" s="25" t="str">
        <x:v>N/A</x:v>
      </x:c>
      <x:c r="F515" s="26" t="str">
        <x:v>Tests exist but current coverage did not complete</x:v>
      </x:c>
      <x:c r="G515" s="25" t="str">
        <x:v>true</x:v>
      </x:c>
      <x:c r="H515" s="25" t="str">
        <x:v>NOT_AVAILABLE</x:v>
      </x:c>
      <x:c r="I515" s="25" t="str">
        <x:v>NOT_RUN</x:v>
      </x:c>
      <x:c r="J515" s="25" t="str">
        <x:v>NOT_RUN</x:v>
      </x:c>
      <x:c r="K515" s="25" t="n">
        <x:v>2</x:v>
      </x:c>
      <x:c r="L515" s="27" t="b">
        <x:v>0</x:v>
      </x:c>
      <x:c r="M515" s="25" t="str">
        <x:v>Deepseek-flash-v4/state/Round1/shards/Jsoup.json</x:v>
      </x:c>
      <x:c r="N515" s="25" t="str">
        <x:v>Deepseek-flash-v4/Result/Jsoup_14/result.json</x:v>
      </x:c>
      <x:c r="O515" s="25" t="str">
        <x:v>Deepseek-flash-v4/Result/Jsoup_14/result.json</x:v>
      </x:c>
      <x:c r="P515" t="str">
        <x:v>BOTH_NOT_RUN</x:v>
      </x:c>
      <x:c r="Q515" s="21" t="str"/>
      <x:c r="R515" s="21" t="str"/>
      <x:c r="S515" s="21" t="str"/>
      <x:c r="T515" s="17" t="str">
        <x:v>false</x:v>
      </x:c>
      <x:c r="U515" s="17" t="str">
        <x:v>true</x:v>
      </x:c>
      <x:c r="V515" s="17" t="str">
        <x:v>false</x:v>
      </x:c>
    </x:row>
    <x:row r="516" ht="80" customHeight="1">
      <x:c r="A516" s="25" t="str">
        <x:v>Jsoup</x:v>
      </x:c>
      <x:c r="B516" s="25" t="n">
        <x:v>15</x:v>
      </x:c>
      <x:c r="C516" s="25" t="str">
        <x:v>Round1</x:v>
      </x:c>
      <x:c r="D516" s="25" t="str">
        <x:v>NOT_AVAILABLE</x:v>
      </x:c>
      <x:c r="E516" s="25" t="str">
        <x:v>N/A</x:v>
      </x:c>
      <x:c r="F516" s="26" t="str">
        <x:v>Tests exist but current coverage did not complete</x:v>
      </x:c>
      <x:c r="G516" s="25" t="str">
        <x:v>true</x:v>
      </x:c>
      <x:c r="H516" s="25" t="str">
        <x:v>NOT_AVAILABLE</x:v>
      </x:c>
      <x:c r="I516" s="25" t="str">
        <x:v>NOT_RUN</x:v>
      </x:c>
      <x:c r="J516" s="25" t="str">
        <x:v>NOT_RUN</x:v>
      </x:c>
      <x:c r="K516" s="25" t="n">
        <x:v>1</x:v>
      </x:c>
      <x:c r="L516" s="27" t="b">
        <x:v>0</x:v>
      </x:c>
      <x:c r="M516" s="25" t="str">
        <x:v>Deepseek-flash-v4/state/Round1/shards/Jsoup.json</x:v>
      </x:c>
      <x:c r="N516" s="25" t="str">
        <x:v>Deepseek-flash-v4/Result/Jsoup_15/result.json</x:v>
      </x:c>
      <x:c r="O516" s="25" t="str">
        <x:v>Deepseek-flash-v4/Result/Jsoup_15/result.json</x:v>
      </x:c>
      <x:c r="P516" t="str">
        <x:v>BOTH_NOT_RUN</x:v>
      </x:c>
      <x:c r="Q516" s="21" t="str"/>
      <x:c r="R516" s="21" t="str"/>
      <x:c r="S516" s="21" t="str"/>
      <x:c r="T516" s="17" t="str">
        <x:v>false</x:v>
      </x:c>
      <x:c r="U516" s="17" t="str">
        <x:v>true</x:v>
      </x:c>
      <x:c r="V516" s="17" t="str">
        <x:v>false</x:v>
      </x:c>
    </x:row>
    <x:row r="517" ht="80" customHeight="1">
      <x:c r="A517" s="25" t="str">
        <x:v>Jsoup</x:v>
      </x:c>
      <x:c r="B517" s="25" t="n">
        <x:v>16</x:v>
      </x:c>
      <x:c r="C517" s="25" t="str">
        <x:v>Round1</x:v>
      </x:c>
      <x:c r="D517" s="25" t="str">
        <x:v>INCONCLUSIVE</x:v>
      </x:c>
      <x:c r="E517" s="25" t="str">
        <x:v>N/A</x:v>
      </x:c>
      <x:c r="F517" s="26" t="str">
        <x:v>Fixed also failed; assertion failure cannot be attributed to this bug</x:v>
      </x:c>
      <x:c r="G517" s="25" t="str">
        <x:v>true</x:v>
      </x:c>
      <x:c r="H517" s="25" t="str">
        <x:v>INCONCLUSIVE</x:v>
      </x:c>
      <x:c r="I517" s="25" t="str">
        <x:v>FAIL</x:v>
      </x:c>
      <x:c r="J517" s="25" t="str">
        <x:v>FAIL</x:v>
      </x:c>
      <x:c r="K517" s="25" t="n">
        <x:v>1</x:v>
      </x:c>
      <x:c r="L517" s="27" t="b">
        <x:v>0</x:v>
      </x:c>
      <x:c r="M517" s="25" t="str">
        <x:v>Deepseek-flash-v4/state/Round1/shards/Jsoup.json</x:v>
      </x:c>
      <x:c r="N517" s="25" t="str">
        <x:v>Deepseek-flash-v4/Result/Jsoup_16/result.json</x:v>
      </x:c>
      <x:c r="O517" s="25" t="str">
        <x:v>Deepseek-flash-v4/Result/Jsoup_16/result.json</x:v>
      </x:c>
      <x:c r="P517"/>
      <x:c r="Q517" s="21" t="str"/>
      <x:c r="R517" s="21" t="str"/>
      <x:c r="S517" s="21" t="str"/>
      <x:c r="T517" s="17" t="str">
        <x:v>false</x:v>
      </x:c>
      <x:c r="U517" s="17" t="str">
        <x:v>true</x:v>
      </x:c>
      <x:c r="V517" s="17" t="str">
        <x:v>false</x:v>
      </x:c>
    </x:row>
    <x:row r="518" ht="80" customHeight="1">
      <x:c r="A518" s="25" t="str">
        <x:v>Jsoup</x:v>
      </x:c>
      <x:c r="B518" s="25" t="n">
        <x:v>17</x:v>
      </x:c>
      <x:c r="C518" s="25" t="str">
        <x:v>Round1</x:v>
      </x:c>
      <x:c r="D518" s="25" t="str">
        <x:v>NOT_AVAILABLE</x:v>
      </x:c>
      <x:c r="E518" s="25" t="str">
        <x:v>N/A</x:v>
      </x:c>
      <x:c r="F518" s="26" t="str">
        <x:v>Tests exist but current coverage did not complete</x:v>
      </x:c>
      <x:c r="G518" s="25" t="str">
        <x:v>true</x:v>
      </x:c>
      <x:c r="H518" s="25" t="str">
        <x:v>NOT_AVAILABLE</x:v>
      </x:c>
      <x:c r="I518" s="25" t="str">
        <x:v>NOT_RUN</x:v>
      </x:c>
      <x:c r="J518" s="25" t="str">
        <x:v>NOT_RUN</x:v>
      </x:c>
      <x:c r="K518" s="25" t="n">
        <x:v>1</x:v>
      </x:c>
      <x:c r="L518" s="27" t="b">
        <x:v>0</x:v>
      </x:c>
      <x:c r="M518" s="25" t="str">
        <x:v>Deepseek-flash-v4/state/Round1/shards/Jsoup.json</x:v>
      </x:c>
      <x:c r="N518" s="25" t="str">
        <x:v>Deepseek-flash-v4/Result/Jsoup_17/result.json</x:v>
      </x:c>
      <x:c r="O518" s="25" t="str">
        <x:v>Deepseek-flash-v4/Result/Jsoup_17/result.json</x:v>
      </x:c>
      <x:c r="P518" t="str">
        <x:v>BOTH_NOT_RUN</x:v>
      </x:c>
      <x:c r="Q518" s="21" t="str"/>
      <x:c r="R518" s="21" t="str"/>
      <x:c r="S518" s="21" t="str"/>
      <x:c r="T518" s="17" t="str">
        <x:v>false</x:v>
      </x:c>
      <x:c r="U518" s="17" t="str">
        <x:v>true</x:v>
      </x:c>
      <x:c r="V518" s="17" t="str">
        <x:v>false</x:v>
      </x:c>
    </x:row>
    <x:row r="519" ht="80" customHeight="1">
      <x:c r="A519" s="25" t="str">
        <x:v>Jsoup</x:v>
      </x:c>
      <x:c r="B519" s="25" t="n">
        <x:v>18</x:v>
      </x:c>
      <x:c r="C519" s="25" t="str">
        <x:v>Round1</x:v>
      </x:c>
      <x:c r="D519" s="25" t="str">
        <x:v>INCONCLUSIVE</x:v>
      </x:c>
      <x:c r="E519" s="25" t="str">
        <x:v>N/A</x:v>
      </x:c>
      <x:c r="F519" s="26" t="str">
        <x:v>Fixed also failed; assertion failure cannot be attributed to this bug</x:v>
      </x:c>
      <x:c r="G519" s="25" t="str">
        <x:v>true</x:v>
      </x:c>
      <x:c r="H519" s="25" t="str">
        <x:v>INCONCLUSIVE</x:v>
      </x:c>
      <x:c r="I519" s="25" t="str">
        <x:v>FAIL</x:v>
      </x:c>
      <x:c r="J519" s="25" t="str">
        <x:v>FAIL</x:v>
      </x:c>
      <x:c r="K519" s="25" t="n">
        <x:v>1</x:v>
      </x:c>
      <x:c r="L519" s="27" t="b">
        <x:v>0</x:v>
      </x:c>
      <x:c r="M519" s="25" t="str">
        <x:v>Deepseek-flash-v4/state/Round1/shards/Jsoup.json</x:v>
      </x:c>
      <x:c r="N519" s="25" t="str">
        <x:v>Deepseek-flash-v4/Result/Jsoup_18/result.json</x:v>
      </x:c>
      <x:c r="O519" s="25" t="str">
        <x:v>Deepseek-flash-v4/Result/Jsoup_18/result.json</x:v>
      </x:c>
      <x:c r="P519"/>
      <x:c r="Q519" s="21" t="str"/>
      <x:c r="R519" s="21" t="str"/>
      <x:c r="S519" s="21" t="str"/>
      <x:c r="T519" s="17" t="str">
        <x:v>false</x:v>
      </x:c>
      <x:c r="U519" s="17" t="str">
        <x:v>true</x:v>
      </x:c>
      <x:c r="V519" s="17" t="str">
        <x:v>false</x:v>
      </x:c>
    </x:row>
    <x:row r="520" ht="80" customHeight="1">
      <x:c r="A520" s="25" t="str">
        <x:v>Jsoup</x:v>
      </x:c>
      <x:c r="B520" s="25" t="n">
        <x:v>19</x:v>
      </x:c>
      <x:c r="C520" s="25" t="str">
        <x:v>Round1</x:v>
      </x:c>
      <x:c r="D520" s="25" t="str">
        <x:v>NOT_AVAILABLE</x:v>
      </x:c>
      <x:c r="E520" s="25" t="str">
        <x:v>N/A</x:v>
      </x:c>
      <x:c r="F520" s="26" t="str">
        <x:v>Tests exist but current coverage did not complete</x:v>
      </x:c>
      <x:c r="G520" s="25" t="str">
        <x:v>true</x:v>
      </x:c>
      <x:c r="H520" s="25" t="str">
        <x:v>NOT_AVAILABLE</x:v>
      </x:c>
      <x:c r="I520" s="25" t="str">
        <x:v>NOT_RUN</x:v>
      </x:c>
      <x:c r="J520" s="25" t="str">
        <x:v>NOT_RUN</x:v>
      </x:c>
      <x:c r="K520" s="25" t="n">
        <x:v>1</x:v>
      </x:c>
      <x:c r="L520" s="27" t="b">
        <x:v>0</x:v>
      </x:c>
      <x:c r="M520" s="25" t="str">
        <x:v>Deepseek-flash-v4/state/Round1/shards/Jsoup.json</x:v>
      </x:c>
      <x:c r="N520" s="25" t="str">
        <x:v>Deepseek-flash-v4/Result/Jsoup_19/result.json</x:v>
      </x:c>
      <x:c r="O520" s="25" t="str">
        <x:v>Deepseek-flash-v4/Result/Jsoup_19/result.json</x:v>
      </x:c>
      <x:c r="P520" t="str">
        <x:v>BOTH_NOT_RUN</x:v>
      </x:c>
      <x:c r="Q520" s="21" t="str"/>
      <x:c r="R520" s="21" t="str"/>
      <x:c r="S520" s="21" t="str"/>
      <x:c r="T520" s="17" t="str">
        <x:v>false</x:v>
      </x:c>
      <x:c r="U520" s="17" t="str">
        <x:v>true</x:v>
      </x:c>
      <x:c r="V520" s="17" t="str">
        <x:v>false</x:v>
      </x:c>
    </x:row>
    <x:row r="521" ht="80" customHeight="1">
      <x:c r="A521" s="25" t="str">
        <x:v>Jsoup</x:v>
      </x:c>
      <x:c r="B521" s="25" t="n">
        <x:v>2</x:v>
      </x:c>
      <x:c r="C521" s="25" t="str">
        <x:v>Round1</x:v>
      </x:c>
      <x:c r="D521" s="25" t="str">
        <x:v>NOT_AVAILABLE</x:v>
      </x:c>
      <x:c r="E521" s="25" t="str">
        <x:v>N/A</x:v>
      </x:c>
      <x:c r="F521" s="26" t="str">
        <x:v>Tests exist but current coverage did not complete</x:v>
      </x:c>
      <x:c r="G521" s="25" t="str">
        <x:v>true</x:v>
      </x:c>
      <x:c r="H521" s="25" t="str">
        <x:v>NOT_AVAILABLE</x:v>
      </x:c>
      <x:c r="I521" s="25" t="str">
        <x:v>NOT_RUN</x:v>
      </x:c>
      <x:c r="J521" s="25" t="str">
        <x:v>NOT_RUN</x:v>
      </x:c>
      <x:c r="K521" s="25" t="n">
        <x:v>1</x:v>
      </x:c>
      <x:c r="L521" s="27" t="b">
        <x:v>0</x:v>
      </x:c>
      <x:c r="M521" s="25" t="str">
        <x:v>Deepseek-flash-v4/state/Round1/shards/Jsoup.json</x:v>
      </x:c>
      <x:c r="N521" s="25" t="str">
        <x:v>Deepseek-flash-v4/Result/Jsoup_2/result.json</x:v>
      </x:c>
      <x:c r="O521" s="25" t="str">
        <x:v>Deepseek-flash-v4/Result/Jsoup_2/result.json</x:v>
      </x:c>
      <x:c r="P521" t="str">
        <x:v>BOTH_NOT_RUN</x:v>
      </x:c>
      <x:c r="Q521" s="21" t="str"/>
      <x:c r="R521" s="21" t="str"/>
      <x:c r="S521" s="21" t="str"/>
      <x:c r="T521" s="17" t="str">
        <x:v>false</x:v>
      </x:c>
      <x:c r="U521" s="17" t="str">
        <x:v>true</x:v>
      </x:c>
      <x:c r="V521" s="17" t="str">
        <x:v>false</x:v>
      </x:c>
    </x:row>
    <x:row r="522" ht="80" customHeight="1">
      <x:c r="A522" s="25" t="str">
        <x:v>Jsoup</x:v>
      </x:c>
      <x:c r="B522" s="25" t="n">
        <x:v>20</x:v>
      </x:c>
      <x:c r="C522" s="25" t="str">
        <x:v>Round1</x:v>
      </x:c>
      <x:c r="D522" s="25" t="str">
        <x:v>INCONCLUSIVE</x:v>
      </x:c>
      <x:c r="E522" s="25" t="str">
        <x:v>N/A</x:v>
      </x:c>
      <x:c r="F522" s="26" t="str">
        <x:v>Fixed also failed; assertion failure cannot be attributed to this bug</x:v>
      </x:c>
      <x:c r="G522" s="25" t="str">
        <x:v>true</x:v>
      </x:c>
      <x:c r="H522" s="25" t="str">
        <x:v>INCONCLUSIVE</x:v>
      </x:c>
      <x:c r="I522" s="25" t="str">
        <x:v>FAIL</x:v>
      </x:c>
      <x:c r="J522" s="25" t="str">
        <x:v>FAIL</x:v>
      </x:c>
      <x:c r="K522" s="25" t="n">
        <x:v>1</x:v>
      </x:c>
      <x:c r="L522" s="27" t="b">
        <x:v>0</x:v>
      </x:c>
      <x:c r="M522" s="25" t="str">
        <x:v>Deepseek-flash-v4/state/Round1/shards/Jsoup.json</x:v>
      </x:c>
      <x:c r="N522" s="25" t="str">
        <x:v>Deepseek-flash-v4/Result/Jsoup_20/result.json</x:v>
      </x:c>
      <x:c r="O522" s="25" t="str">
        <x:v>Deepseek-flash-v4/Result/Jsoup_20/result.json</x:v>
      </x:c>
      <x:c r="P522"/>
      <x:c r="Q522" s="21" t="str"/>
      <x:c r="R522" s="21" t="str"/>
      <x:c r="S522" s="21" t="str"/>
      <x:c r="T522" s="17" t="str">
        <x:v>false</x:v>
      </x:c>
      <x:c r="U522" s="17" t="str">
        <x:v>true</x:v>
      </x:c>
      <x:c r="V522" s="17" t="str">
        <x:v>false</x:v>
      </x:c>
    </x:row>
    <x:row r="523" ht="80" customHeight="1">
      <x:c r="A523" s="25" t="str">
        <x:v>Jsoup</x:v>
      </x:c>
      <x:c r="B523" s="25" t="n">
        <x:v>21</x:v>
      </x:c>
      <x:c r="C523" s="25" t="str">
        <x:v>Round1</x:v>
      </x:c>
      <x:c r="D523" s="25" t="str">
        <x:v>NOT_AVAILABLE</x:v>
      </x:c>
      <x:c r="E523" s="25" t="str">
        <x:v>N/A</x:v>
      </x:c>
      <x:c r="F523" s="26" t="str">
        <x:v>Tests exist but current coverage did not complete</x:v>
      </x:c>
      <x:c r="G523" s="25" t="str">
        <x:v>true</x:v>
      </x:c>
      <x:c r="H523" s="25" t="str">
        <x:v>NOT_AVAILABLE</x:v>
      </x:c>
      <x:c r="I523" s="25" t="str">
        <x:v>NOT_RUN</x:v>
      </x:c>
      <x:c r="J523" s="25" t="str">
        <x:v>NOT_RUN</x:v>
      </x:c>
      <x:c r="K523" s="25" t="n">
        <x:v>2</x:v>
      </x:c>
      <x:c r="L523" s="27" t="b">
        <x:v>0</x:v>
      </x:c>
      <x:c r="M523" s="25" t="str">
        <x:v>Deepseek-flash-v4/state/Round1/shards/Jsoup.json</x:v>
      </x:c>
      <x:c r="N523" s="25" t="str">
        <x:v>Deepseek-flash-v4/Result/Jsoup_21/result.json</x:v>
      </x:c>
      <x:c r="O523" s="25" t="str">
        <x:v>Deepseek-flash-v4/Result/Jsoup_21/result.json</x:v>
      </x:c>
      <x:c r="P523" t="str">
        <x:v>BOTH_NOT_RUN</x:v>
      </x:c>
      <x:c r="Q523" s="21" t="str"/>
      <x:c r="R523" s="21" t="str"/>
      <x:c r="S523" s="21" t="str"/>
      <x:c r="T523" s="17" t="str">
        <x:v>false</x:v>
      </x:c>
      <x:c r="U523" s="17" t="str">
        <x:v>true</x:v>
      </x:c>
      <x:c r="V523" s="17" t="str">
        <x:v>false</x:v>
      </x:c>
    </x:row>
    <x:row r="524" ht="80" customHeight="1">
      <x:c r="A524" s="25" t="str">
        <x:v>Jsoup</x:v>
      </x:c>
      <x:c r="B524" s="25" t="n">
        <x:v>22</x:v>
      </x:c>
      <x:c r="C524" s="25" t="str">
        <x:v>Round1</x:v>
      </x:c>
      <x:c r="D524" s="25" t="str">
        <x:v>NOT_AVAILABLE</x:v>
      </x:c>
      <x:c r="E524" s="25" t="str">
        <x:v>N/A</x:v>
      </x:c>
      <x:c r="F524" s="26" t="str">
        <x:v>Tests exist but current coverage did not complete</x:v>
      </x:c>
      <x:c r="G524" s="25" t="str">
        <x:v>true</x:v>
      </x:c>
      <x:c r="H524" s="25" t="str">
        <x:v>NOT_AVAILABLE</x:v>
      </x:c>
      <x:c r="I524" s="25" t="str">
        <x:v>NOT_RUN</x:v>
      </x:c>
      <x:c r="J524" s="25" t="str">
        <x:v>NOT_RUN</x:v>
      </x:c>
      <x:c r="K524" s="25" t="n">
        <x:v>3</x:v>
      </x:c>
      <x:c r="L524" s="27" t="b">
        <x:v>0</x:v>
      </x:c>
      <x:c r="M524" s="25" t="str">
        <x:v>Deepseek-flash-v4/state/Round1/shards/Jsoup.json</x:v>
      </x:c>
      <x:c r="N524" s="25" t="str">
        <x:v>Deepseek-flash-v4/Result/Jsoup_22/result.json</x:v>
      </x:c>
      <x:c r="O524" s="25" t="str">
        <x:v>Deepseek-flash-v4/Result/Jsoup_22/result.json</x:v>
      </x:c>
      <x:c r="P524" t="str">
        <x:v>BOTH_NOT_RUN</x:v>
      </x:c>
      <x:c r="Q524" s="21" t="str"/>
      <x:c r="R524" s="21" t="str"/>
      <x:c r="S524" s="21" t="str"/>
      <x:c r="T524" s="17" t="str">
        <x:v>false</x:v>
      </x:c>
      <x:c r="U524" s="17" t="str">
        <x:v>true</x:v>
      </x:c>
      <x:c r="V524" s="17" t="str">
        <x:v>false</x:v>
      </x:c>
    </x:row>
    <x:row r="525" ht="80" customHeight="1">
      <x:c r="A525" s="25" t="str">
        <x:v>Jsoup</x:v>
      </x:c>
      <x:c r="B525" s="25" t="n">
        <x:v>23</x:v>
      </x:c>
      <x:c r="C525" s="25" t="str">
        <x:v>Round1</x:v>
      </x:c>
      <x:c r="D525" s="25" t="str">
        <x:v>NOT_AVAILABLE</x:v>
      </x:c>
      <x:c r="E525" s="25" t="str">
        <x:v>N/A</x:v>
      </x:c>
      <x:c r="F525" s="26" t="str">
        <x:v>Tests exist but current coverage did not complete</x:v>
      </x:c>
      <x:c r="G525" s="25" t="str">
        <x:v>true</x:v>
      </x:c>
      <x:c r="H525" s="25" t="str">
        <x:v>NOT_AVAILABLE</x:v>
      </x:c>
      <x:c r="I525" s="25" t="str">
        <x:v>NOT_RUN</x:v>
      </x:c>
      <x:c r="J525" s="25" t="str">
        <x:v>NOT_RUN</x:v>
      </x:c>
      <x:c r="K525" s="25" t="n">
        <x:v>2</x:v>
      </x:c>
      <x:c r="L525" s="27" t="b">
        <x:v>0</x:v>
      </x:c>
      <x:c r="M525" s="25" t="str">
        <x:v>Deepseek-flash-v4/state/Round1/shards/Jsoup.json</x:v>
      </x:c>
      <x:c r="N525" s="25" t="str">
        <x:v>Deepseek-flash-v4/Result/Jsoup_23/result.json</x:v>
      </x:c>
      <x:c r="O525" s="25" t="str">
        <x:v>Deepseek-flash-v4/Result/Jsoup_23/result.json</x:v>
      </x:c>
      <x:c r="P525" t="str">
        <x:v>BOTH_NOT_RUN</x:v>
      </x:c>
      <x:c r="Q525" s="21" t="str"/>
      <x:c r="R525" s="21" t="str"/>
      <x:c r="S525" s="21" t="str"/>
      <x:c r="T525" s="17" t="str">
        <x:v>false</x:v>
      </x:c>
      <x:c r="U525" s="17" t="str">
        <x:v>true</x:v>
      </x:c>
      <x:c r="V525" s="17" t="str">
        <x:v>false</x:v>
      </x:c>
    </x:row>
    <x:row r="526" ht="80" customHeight="1">
      <x:c r="A526" s="25" t="str">
        <x:v>Jsoup</x:v>
      </x:c>
      <x:c r="B526" s="25" t="n">
        <x:v>24</x:v>
      </x:c>
      <x:c r="C526" s="25" t="str">
        <x:v>Round1</x:v>
      </x:c>
      <x:c r="D526" s="25" t="str">
        <x:v>NOT_AVAILABLE</x:v>
      </x:c>
      <x:c r="E526" s="25" t="str">
        <x:v>N/A</x:v>
      </x:c>
      <x:c r="F526" s="26" t="str">
        <x:v>Tests exist but current coverage did not complete</x:v>
      </x:c>
      <x:c r="G526" s="25" t="str">
        <x:v>true</x:v>
      </x:c>
      <x:c r="H526" s="25" t="str">
        <x:v>NOT_AVAILABLE</x:v>
      </x:c>
      <x:c r="I526" s="25" t="str">
        <x:v>NOT_RUN</x:v>
      </x:c>
      <x:c r="J526" s="25" t="str">
        <x:v>NOT_RUN</x:v>
      </x:c>
      <x:c r="K526" s="25" t="n">
        <x:v>1</x:v>
      </x:c>
      <x:c r="L526" s="27" t="b">
        <x:v>0</x:v>
      </x:c>
      <x:c r="M526" s="25" t="str">
        <x:v>Deepseek-flash-v4/state/Round1/shards/Jsoup.json</x:v>
      </x:c>
      <x:c r="N526" s="25" t="str">
        <x:v>Deepseek-flash-v4/Result/Jsoup_24/result.json</x:v>
      </x:c>
      <x:c r="O526" s="25" t="str">
        <x:v>Deepseek-flash-v4/Result/Jsoup_24/result.json</x:v>
      </x:c>
      <x:c r="P526" t="str">
        <x:v>BOTH_NOT_RUN</x:v>
      </x:c>
      <x:c r="Q526" s="21" t="str"/>
      <x:c r="R526" s="21" t="str"/>
      <x:c r="S526" s="21" t="str"/>
      <x:c r="T526" s="17" t="str">
        <x:v>false</x:v>
      </x:c>
      <x:c r="U526" s="17" t="str">
        <x:v>true</x:v>
      </x:c>
      <x:c r="V526" s="17" t="str">
        <x:v>false</x:v>
      </x:c>
    </x:row>
    <x:row r="527" ht="80" customHeight="1">
      <x:c r="A527" s="25" t="str">
        <x:v>Jsoup</x:v>
      </x:c>
      <x:c r="B527" s="25" t="n">
        <x:v>25</x:v>
      </x:c>
      <x:c r="C527" s="25" t="str">
        <x:v>Round1</x:v>
      </x:c>
      <x:c r="D527" s="25" t="str">
        <x:v>NOT_AVAILABLE</x:v>
      </x:c>
      <x:c r="E527" s="25" t="str">
        <x:v>N/A</x:v>
      </x:c>
      <x:c r="F527" s="26" t="str">
        <x:v>Tests exist but current coverage did not complete</x:v>
      </x:c>
      <x:c r="G527" s="25" t="str">
        <x:v>true</x:v>
      </x:c>
      <x:c r="H527" s="25" t="str">
        <x:v>NOT_AVAILABLE</x:v>
      </x:c>
      <x:c r="I527" s="25" t="str">
        <x:v>NOT_RUN</x:v>
      </x:c>
      <x:c r="J527" s="25" t="str">
        <x:v>NOT_RUN</x:v>
      </x:c>
      <x:c r="K527" s="25" t="n">
        <x:v>1</x:v>
      </x:c>
      <x:c r="L527" s="27" t="b">
        <x:v>0</x:v>
      </x:c>
      <x:c r="M527" s="25" t="str">
        <x:v>Deepseek-flash-v4/state/Round1/shards/Jsoup.json</x:v>
      </x:c>
      <x:c r="N527" s="25" t="str">
        <x:v>Deepseek-flash-v4/Result/Jsoup_25/result.json</x:v>
      </x:c>
      <x:c r="O527" s="25" t="str">
        <x:v>Deepseek-flash-v4/Result/Jsoup_25/result.json</x:v>
      </x:c>
      <x:c r="P527" t="str">
        <x:v>BOTH_NOT_RUN</x:v>
      </x:c>
      <x:c r="Q527" s="21" t="str"/>
      <x:c r="R527" s="21" t="str"/>
      <x:c r="S527" s="21" t="str"/>
      <x:c r="T527" s="17" t="str">
        <x:v>false</x:v>
      </x:c>
      <x:c r="U527" s="17" t="str">
        <x:v>true</x:v>
      </x:c>
      <x:c r="V527" s="17" t="str">
        <x:v>false</x:v>
      </x:c>
    </x:row>
    <x:row r="528" ht="80" customHeight="1">
      <x:c r="A528" s="25" t="str">
        <x:v>Jsoup</x:v>
      </x:c>
      <x:c r="B528" s="25" t="n">
        <x:v>26</x:v>
      </x:c>
      <x:c r="C528" s="25" t="str">
        <x:v>Round1</x:v>
      </x:c>
      <x:c r="D528" s="25" t="str">
        <x:v>NOT_AVAILABLE</x:v>
      </x:c>
      <x:c r="E528" s="25" t="str">
        <x:v>N/A</x:v>
      </x:c>
      <x:c r="F528" s="26" t="str">
        <x:v>Tests exist but current coverage did not complete</x:v>
      </x:c>
      <x:c r="G528" s="25" t="str">
        <x:v>true</x:v>
      </x:c>
      <x:c r="H528" s="25" t="str">
        <x:v>NOT_AVAILABLE</x:v>
      </x:c>
      <x:c r="I528" s="25" t="str">
        <x:v>NOT_RUN</x:v>
      </x:c>
      <x:c r="J528" s="25" t="str">
        <x:v>NOT_RUN</x:v>
      </x:c>
      <x:c r="K528" s="25" t="n">
        <x:v>1</x:v>
      </x:c>
      <x:c r="L528" s="27" t="b">
        <x:v>0</x:v>
      </x:c>
      <x:c r="M528" s="25" t="str">
        <x:v>Deepseek-flash-v4/state/Round1/shards/Jsoup.json</x:v>
      </x:c>
      <x:c r="N528" s="25" t="str">
        <x:v>Deepseek-flash-v4/Result/Jsoup_26/result.json</x:v>
      </x:c>
      <x:c r="O528" s="25" t="str">
        <x:v>Deepseek-flash-v4/Result/Jsoup_26/result.json</x:v>
      </x:c>
      <x:c r="P528" t="str">
        <x:v>BOTH_NOT_RUN</x:v>
      </x:c>
      <x:c r="Q528" s="21" t="str"/>
      <x:c r="R528" s="21" t="str"/>
      <x:c r="S528" s="21" t="str"/>
      <x:c r="T528" s="17" t="str">
        <x:v>false</x:v>
      </x:c>
      <x:c r="U528" s="17" t="str">
        <x:v>true</x:v>
      </x:c>
      <x:c r="V528" s="17" t="str">
        <x:v>false</x:v>
      </x:c>
    </x:row>
    <x:row r="529" ht="80" customHeight="1">
      <x:c r="A529" s="25" t="str">
        <x:v>Jsoup</x:v>
      </x:c>
      <x:c r="B529" s="25" t="n">
        <x:v>27</x:v>
      </x:c>
      <x:c r="C529" s="25" t="str">
        <x:v>Round1</x:v>
      </x:c>
      <x:c r="D529" s="25" t="str">
        <x:v>NOT_AVAILABLE</x:v>
      </x:c>
      <x:c r="E529" s="25" t="str">
        <x:v>N/A</x:v>
      </x:c>
      <x:c r="F529" s="26" t="str">
        <x:v>Tests exist but current coverage did not complete</x:v>
      </x:c>
      <x:c r="G529" s="25" t="str">
        <x:v>true</x:v>
      </x:c>
      <x:c r="H529" s="25" t="str">
        <x:v>NOT_AVAILABLE</x:v>
      </x:c>
      <x:c r="I529" s="25" t="str">
        <x:v>NOT_RUN</x:v>
      </x:c>
      <x:c r="J529" s="25" t="str">
        <x:v>NOT_RUN</x:v>
      </x:c>
      <x:c r="K529" s="25" t="n">
        <x:v>1</x:v>
      </x:c>
      <x:c r="L529" s="27" t="b">
        <x:v>0</x:v>
      </x:c>
      <x:c r="M529" s="25" t="str">
        <x:v>Deepseek-flash-v4/state/Round1/shards/Jsoup.json</x:v>
      </x:c>
      <x:c r="N529" s="25" t="str">
        <x:v>Deepseek-flash-v4/Result/Jsoup_27/result.json</x:v>
      </x:c>
      <x:c r="O529" s="25" t="str">
        <x:v>Deepseek-flash-v4/Result/Jsoup_27/result.json</x:v>
      </x:c>
      <x:c r="P529" t="str">
        <x:v>BOTH_NOT_RUN</x:v>
      </x:c>
      <x:c r="Q529" s="21" t="str"/>
      <x:c r="R529" s="21" t="str"/>
      <x:c r="S529" s="21" t="str"/>
      <x:c r="T529" s="17" t="str">
        <x:v>false</x:v>
      </x:c>
      <x:c r="U529" s="17" t="str">
        <x:v>true</x:v>
      </x:c>
      <x:c r="V529" s="17" t="str">
        <x:v>false</x:v>
      </x:c>
    </x:row>
    <x:row r="530" ht="80" customHeight="1">
      <x:c r="A530" s="25" t="str">
        <x:v>Jsoup</x:v>
      </x:c>
      <x:c r="B530" s="25" t="n">
        <x:v>28</x:v>
      </x:c>
      <x:c r="C530" s="25" t="str">
        <x:v>Round1</x:v>
      </x:c>
      <x:c r="D530" s="25" t="str">
        <x:v>NOT_AVAILABLE</x:v>
      </x:c>
      <x:c r="E530" s="25" t="str">
        <x:v>N/A</x:v>
      </x:c>
      <x:c r="F530" s="26" t="str">
        <x:v>Tests exist but current coverage did not complete</x:v>
      </x:c>
      <x:c r="G530" s="25" t="str">
        <x:v>true</x:v>
      </x:c>
      <x:c r="H530" s="25" t="str">
        <x:v>NOT_AVAILABLE</x:v>
      </x:c>
      <x:c r="I530" s="25" t="str">
        <x:v>NOT_RUN</x:v>
      </x:c>
      <x:c r="J530" s="25" t="str">
        <x:v>NOT_RUN</x:v>
      </x:c>
      <x:c r="K530" s="25" t="n">
        <x:v>3</x:v>
      </x:c>
      <x:c r="L530" s="27" t="b">
        <x:v>0</x:v>
      </x:c>
      <x:c r="M530" s="25" t="str">
        <x:v>Deepseek-flash-v4/state/Round1/shards/Jsoup.json</x:v>
      </x:c>
      <x:c r="N530" s="25" t="str">
        <x:v>Deepseek-flash-v4/Result/Jsoup_28/result.json</x:v>
      </x:c>
      <x:c r="O530" s="25" t="str">
        <x:v>Deepseek-flash-v4/Result/Jsoup_28/result.json</x:v>
      </x:c>
      <x:c r="P530" t="str">
        <x:v>BOTH_NOT_RUN</x:v>
      </x:c>
      <x:c r="Q530" s="21" t="str"/>
      <x:c r="R530" s="21" t="str"/>
      <x:c r="S530" s="21" t="str"/>
      <x:c r="T530" s="17" t="str">
        <x:v>false</x:v>
      </x:c>
      <x:c r="U530" s="17" t="str">
        <x:v>true</x:v>
      </x:c>
      <x:c r="V530" s="17" t="str">
        <x:v>false</x:v>
      </x:c>
    </x:row>
    <x:row r="531" ht="80" customHeight="1">
      <x:c r="A531" s="25" t="str">
        <x:v>Jsoup</x:v>
      </x:c>
      <x:c r="B531" s="25" t="n">
        <x:v>29</x:v>
      </x:c>
      <x:c r="C531" s="25" t="str">
        <x:v>Round1</x:v>
      </x:c>
      <x:c r="D531" s="25" t="str">
        <x:v>NOT_AVAILABLE</x:v>
      </x:c>
      <x:c r="E531" s="25" t="str">
        <x:v>N/A</x:v>
      </x:c>
      <x:c r="F531" s="26" t="str">
        <x:v>Tests exist but current coverage did not complete</x:v>
      </x:c>
      <x:c r="G531" s="25" t="str">
        <x:v>true</x:v>
      </x:c>
      <x:c r="H531" s="25" t="str">
        <x:v>NOT_AVAILABLE</x:v>
      </x:c>
      <x:c r="I531" s="25" t="str">
        <x:v>NOT_RUN</x:v>
      </x:c>
      <x:c r="J531" s="25" t="str">
        <x:v>NOT_RUN</x:v>
      </x:c>
      <x:c r="K531" s="25" t="n">
        <x:v>1</x:v>
      </x:c>
      <x:c r="L531" s="27" t="b">
        <x:v>0</x:v>
      </x:c>
      <x:c r="M531" s="25" t="str">
        <x:v>Deepseek-flash-v4/state/Round1/shards/Jsoup.json</x:v>
      </x:c>
      <x:c r="N531" s="25" t="str">
        <x:v>Deepseek-flash-v4/Result/Jsoup_29/result.json</x:v>
      </x:c>
      <x:c r="O531" s="25" t="str">
        <x:v>Deepseek-flash-v4/Result/Jsoup_29/result.json</x:v>
      </x:c>
      <x:c r="P531" t="str">
        <x:v>BOTH_NOT_RUN</x:v>
      </x:c>
      <x:c r="Q531" s="21" t="str"/>
      <x:c r="R531" s="21" t="str"/>
      <x:c r="S531" s="21" t="str"/>
      <x:c r="T531" s="17" t="str">
        <x:v>false</x:v>
      </x:c>
      <x:c r="U531" s="17" t="str">
        <x:v>true</x:v>
      </x:c>
      <x:c r="V531" s="17" t="str">
        <x:v>false</x:v>
      </x:c>
    </x:row>
    <x:row r="532" ht="80" customHeight="1">
      <x:c r="A532" s="25" t="str">
        <x:v>Jsoup</x:v>
      </x:c>
      <x:c r="B532" s="25" t="n">
        <x:v>3</x:v>
      </x:c>
      <x:c r="C532" s="25" t="str">
        <x:v>Round1</x:v>
      </x:c>
      <x:c r="D532" s="25" t="str">
        <x:v>NOT_AVAILABLE</x:v>
      </x:c>
      <x:c r="E532" s="25" t="str">
        <x:v>N/A</x:v>
      </x:c>
      <x:c r="F532" s="26" t="str">
        <x:v>Tests exist but current coverage did not complete</x:v>
      </x:c>
      <x:c r="G532" s="25" t="str">
        <x:v>true</x:v>
      </x:c>
      <x:c r="H532" s="25" t="str">
        <x:v>NOT_AVAILABLE</x:v>
      </x:c>
      <x:c r="I532" s="25" t="str">
        <x:v>NOT_RUN</x:v>
      </x:c>
      <x:c r="J532" s="25" t="str">
        <x:v>NOT_RUN</x:v>
      </x:c>
      <x:c r="K532" s="25" t="n">
        <x:v>3</x:v>
      </x:c>
      <x:c r="L532" s="27" t="b">
        <x:v>0</x:v>
      </x:c>
      <x:c r="M532" s="25" t="str">
        <x:v>Deepseek-flash-v4/state/Round1/shards/Jsoup.json</x:v>
      </x:c>
      <x:c r="N532" s="25" t="str">
        <x:v>Deepseek-flash-v4/Result/Jsoup_3/result.json</x:v>
      </x:c>
      <x:c r="O532" s="25" t="str">
        <x:v>Deepseek-flash-v4/Result/Jsoup_3/result.json</x:v>
      </x:c>
      <x:c r="P532" t="str">
        <x:v>BOTH_NOT_RUN</x:v>
      </x:c>
      <x:c r="Q532" s="21" t="str"/>
      <x:c r="R532" s="21" t="str"/>
      <x:c r="S532" s="21" t="str"/>
      <x:c r="T532" s="17" t="str">
        <x:v>false</x:v>
      </x:c>
      <x:c r="U532" s="17" t="str">
        <x:v>true</x:v>
      </x:c>
      <x:c r="V532" s="17" t="str">
        <x:v>false</x:v>
      </x:c>
    </x:row>
    <x:row r="533" ht="80" customHeight="1">
      <x:c r="A533" s="25" t="str">
        <x:v>Jsoup</x:v>
      </x:c>
      <x:c r="B533" s="25" t="n">
        <x:v>30</x:v>
      </x:c>
      <x:c r="C533" s="25" t="str">
        <x:v>Round1</x:v>
      </x:c>
      <x:c r="D533" s="25" t="str">
        <x:v>NOT_AVAILABLE</x:v>
      </x:c>
      <x:c r="E533" s="25" t="str">
        <x:v>N/A</x:v>
      </x:c>
      <x:c r="F533" s="26" t="str">
        <x:v>Tests exist but current coverage did not complete</x:v>
      </x:c>
      <x:c r="G533" s="25" t="str">
        <x:v>true</x:v>
      </x:c>
      <x:c r="H533" s="25" t="str">
        <x:v>NOT_AVAILABLE</x:v>
      </x:c>
      <x:c r="I533" s="25" t="str">
        <x:v>NOT_RUN</x:v>
      </x:c>
      <x:c r="J533" s="25" t="str">
        <x:v>NOT_RUN</x:v>
      </x:c>
      <x:c r="K533" s="25" t="n">
        <x:v>1</x:v>
      </x:c>
      <x:c r="L533" s="27" t="b">
        <x:v>0</x:v>
      </x:c>
      <x:c r="M533" s="25" t="str">
        <x:v>Deepseek-flash-v4/state/Round1/shards/Jsoup.json</x:v>
      </x:c>
      <x:c r="N533" s="25" t="str">
        <x:v>Deepseek-flash-v4/Result/Jsoup_30/result.json</x:v>
      </x:c>
      <x:c r="O533" s="25" t="str">
        <x:v>Deepseek-flash-v4/Result/Jsoup_30/result.json</x:v>
      </x:c>
      <x:c r="P533" t="str">
        <x:v>BOTH_NOT_RUN</x:v>
      </x:c>
      <x:c r="Q533" s="21" t="str"/>
      <x:c r="R533" s="21" t="str"/>
      <x:c r="S533" s="21" t="str"/>
      <x:c r="T533" s="17" t="str">
        <x:v>false</x:v>
      </x:c>
      <x:c r="U533" s="17" t="str">
        <x:v>true</x:v>
      </x:c>
      <x:c r="V533" s="17" t="str">
        <x:v>false</x:v>
      </x:c>
    </x:row>
    <x:row r="534" ht="80" customHeight="1">
      <x:c r="A534" s="25" t="str">
        <x:v>Jsoup</x:v>
      </x:c>
      <x:c r="B534" s="25" t="n">
        <x:v>31</x:v>
      </x:c>
      <x:c r="C534" s="25" t="str">
        <x:v>Round1</x:v>
      </x:c>
      <x:c r="D534" s="25" t="str">
        <x:v>NOT_AVAILABLE</x:v>
      </x:c>
      <x:c r="E534" s="25" t="str">
        <x:v>N/A</x:v>
      </x:c>
      <x:c r="F534" s="26" t="str">
        <x:v>Tests exist but current coverage did not complete</x:v>
      </x:c>
      <x:c r="G534" s="25" t="str">
        <x:v>true</x:v>
      </x:c>
      <x:c r="H534" s="25" t="str">
        <x:v>NOT_AVAILABLE</x:v>
      </x:c>
      <x:c r="I534" s="25" t="str">
        <x:v>NOT_RUN</x:v>
      </x:c>
      <x:c r="J534" s="25" t="str">
        <x:v>NOT_RUN</x:v>
      </x:c>
      <x:c r="K534" s="25" t="n">
        <x:v>3</x:v>
      </x:c>
      <x:c r="L534" s="27" t="b">
        <x:v>0</x:v>
      </x:c>
      <x:c r="M534" s="25" t="str">
        <x:v>Deepseek-flash-v4/state/Round1/shards/Jsoup.json</x:v>
      </x:c>
      <x:c r="N534" s="25" t="str">
        <x:v>Deepseek-flash-v4/Result/Jsoup_31/result.json</x:v>
      </x:c>
      <x:c r="O534" s="25" t="str">
        <x:v>Deepseek-flash-v4/Result/Jsoup_31/result.json</x:v>
      </x:c>
      <x:c r="P534" t="str">
        <x:v>BOTH_NOT_RUN</x:v>
      </x:c>
      <x:c r="Q534" s="21" t="str"/>
      <x:c r="R534" s="21" t="str"/>
      <x:c r="S534" s="21" t="str"/>
      <x:c r="T534" s="17" t="str">
        <x:v>false</x:v>
      </x:c>
      <x:c r="U534" s="17" t="str">
        <x:v>true</x:v>
      </x:c>
      <x:c r="V534" s="17" t="str">
        <x:v>false</x:v>
      </x:c>
    </x:row>
    <x:row r="535" ht="80" customHeight="1">
      <x:c r="A535" s="25" t="str">
        <x:v>Jsoup</x:v>
      </x:c>
      <x:c r="B535" s="25" t="n">
        <x:v>32</x:v>
      </x:c>
      <x:c r="C535" s="25" t="str">
        <x:v>Round1</x:v>
      </x:c>
      <x:c r="D535" s="25" t="str">
        <x:v>NOT_AVAILABLE</x:v>
      </x:c>
      <x:c r="E535" s="25" t="str">
        <x:v>N/A</x:v>
      </x:c>
      <x:c r="F535" s="26" t="str">
        <x:v>Tests exist but current coverage did not complete</x:v>
      </x:c>
      <x:c r="G535" s="25" t="str">
        <x:v>true</x:v>
      </x:c>
      <x:c r="H535" s="25" t="str">
        <x:v>NOT_AVAILABLE</x:v>
      </x:c>
      <x:c r="I535" s="25" t="str">
        <x:v>NOT_RUN</x:v>
      </x:c>
      <x:c r="J535" s="25" t="str">
        <x:v>NOT_RUN</x:v>
      </x:c>
      <x:c r="K535" s="25" t="n">
        <x:v>1</x:v>
      </x:c>
      <x:c r="L535" s="27" t="b">
        <x:v>0</x:v>
      </x:c>
      <x:c r="M535" s="25" t="str">
        <x:v>Deepseek-flash-v4/state/Round1/shards/Jsoup.json</x:v>
      </x:c>
      <x:c r="N535" s="25" t="str">
        <x:v>Deepseek-flash-v4/Result/Jsoup_32/result.json</x:v>
      </x:c>
      <x:c r="O535" s="25" t="str">
        <x:v>Deepseek-flash-v4/Result/Jsoup_32/result.json</x:v>
      </x:c>
      <x:c r="P535" t="str">
        <x:v>BOTH_NOT_RUN</x:v>
      </x:c>
      <x:c r="Q535" s="21" t="str"/>
      <x:c r="R535" s="21" t="str"/>
      <x:c r="S535" s="21" t="str"/>
      <x:c r="T535" s="17" t="str">
        <x:v>false</x:v>
      </x:c>
      <x:c r="U535" s="17" t="str">
        <x:v>true</x:v>
      </x:c>
      <x:c r="V535" s="17" t="str">
        <x:v>false</x:v>
      </x:c>
    </x:row>
    <x:row r="536" ht="80" customHeight="1">
      <x:c r="A536" s="25" t="str">
        <x:v>Jsoup</x:v>
      </x:c>
      <x:c r="B536" s="25" t="n">
        <x:v>33</x:v>
      </x:c>
      <x:c r="C536" s="25" t="str">
        <x:v>Round1</x:v>
      </x:c>
      <x:c r="D536" s="25" t="str">
        <x:v>INCONCLUSIVE</x:v>
      </x:c>
      <x:c r="E536" s="25" t="str">
        <x:v>N/A</x:v>
      </x:c>
      <x:c r="F536" s="26" t="str">
        <x:v>Fixed also failed; assertion failure cannot be attributed to this bug</x:v>
      </x:c>
      <x:c r="G536" s="25" t="str">
        <x:v>true</x:v>
      </x:c>
      <x:c r="H536" s="25" t="str">
        <x:v>INCONCLUSIVE</x:v>
      </x:c>
      <x:c r="I536" s="25" t="str">
        <x:v>FAIL</x:v>
      </x:c>
      <x:c r="J536" s="25" t="str">
        <x:v>FAIL</x:v>
      </x:c>
      <x:c r="K536" s="25" t="n">
        <x:v>1</x:v>
      </x:c>
      <x:c r="L536" s="27" t="b">
        <x:v>0</x:v>
      </x:c>
      <x:c r="M536" s="25" t="str">
        <x:v>Deepseek-flash-v4/state/Round1/shards/Jsoup.json</x:v>
      </x:c>
      <x:c r="N536" s="25" t="str">
        <x:v>Deepseek-flash-v4/Result/Jsoup_33/result.json</x:v>
      </x:c>
      <x:c r="O536" s="25" t="str">
        <x:v>Deepseek-flash-v4/Result/Jsoup_33/result.json</x:v>
      </x:c>
      <x:c r="P536"/>
      <x:c r="Q536" s="21" t="str"/>
      <x:c r="R536" s="21" t="str"/>
      <x:c r="S536" s="21" t="str"/>
      <x:c r="T536" s="17" t="str">
        <x:v>false</x:v>
      </x:c>
      <x:c r="U536" s="17" t="str">
        <x:v>true</x:v>
      </x:c>
      <x:c r="V536" s="17" t="str">
        <x:v>false</x:v>
      </x:c>
    </x:row>
    <x:row r="537" ht="80" customHeight="1">
      <x:c r="A537" s="25" t="str">
        <x:v>Jsoup</x:v>
      </x:c>
      <x:c r="B537" s="25" t="n">
        <x:v>34</x:v>
      </x:c>
      <x:c r="C537" s="25" t="str">
        <x:v>Round1</x:v>
      </x:c>
      <x:c r="D537" s="25" t="str">
        <x:v>INCONCLUSIVE</x:v>
      </x:c>
      <x:c r="E537" s="25" t="str">
        <x:v>N/A</x:v>
      </x:c>
      <x:c r="F537" s="26" t="str">
        <x:v>Fixed also failed; assertion failure cannot be attributed to this bug</x:v>
      </x:c>
      <x:c r="G537" s="25" t="str">
        <x:v>true</x:v>
      </x:c>
      <x:c r="H537" s="25" t="str">
        <x:v>INCONCLUSIVE</x:v>
      </x:c>
      <x:c r="I537" s="25" t="str">
        <x:v>FAIL</x:v>
      </x:c>
      <x:c r="J537" s="25" t="str">
        <x:v>FAIL</x:v>
      </x:c>
      <x:c r="K537" s="25" t="n">
        <x:v>1</x:v>
      </x:c>
      <x:c r="L537" s="27" t="b">
        <x:v>0</x:v>
      </x:c>
      <x:c r="M537" s="25" t="str">
        <x:v>Deepseek-flash-v4/state/Round1/shards/Jsoup.json</x:v>
      </x:c>
      <x:c r="N537" s="25" t="str">
        <x:v>Deepseek-flash-v4/Result/Jsoup_34/result.json</x:v>
      </x:c>
      <x:c r="O537" s="25" t="str">
        <x:v>Deepseek-flash-v4/Result/Jsoup_34/result.json</x:v>
      </x:c>
      <x:c r="P537"/>
      <x:c r="Q537" s="21" t="str"/>
      <x:c r="R537" s="21" t="str"/>
      <x:c r="S537" s="21" t="str"/>
      <x:c r="T537" s="17" t="str">
        <x:v>false</x:v>
      </x:c>
      <x:c r="U537" s="17" t="str">
        <x:v>true</x:v>
      </x:c>
      <x:c r="V537" s="17" t="str">
        <x:v>false</x:v>
      </x:c>
    </x:row>
    <x:row r="538" ht="80" customHeight="1">
      <x:c r="A538" s="25" t="str">
        <x:v>Jsoup</x:v>
      </x:c>
      <x:c r="B538" s="25" t="n">
        <x:v>35</x:v>
      </x:c>
      <x:c r="C538" s="25" t="str">
        <x:v>Round1</x:v>
      </x:c>
      <x:c r="D538" s="25" t="str">
        <x:v>NOT_AVAILABLE</x:v>
      </x:c>
      <x:c r="E538" s="25" t="str">
        <x:v>N/A</x:v>
      </x:c>
      <x:c r="F538" s="26" t="str">
        <x:v>Tests exist but current coverage did not complete</x:v>
      </x:c>
      <x:c r="G538" s="25" t="str">
        <x:v>true</x:v>
      </x:c>
      <x:c r="H538" s="25" t="str">
        <x:v>NOT_AVAILABLE</x:v>
      </x:c>
      <x:c r="I538" s="25" t="str">
        <x:v>NOT_RUN</x:v>
      </x:c>
      <x:c r="J538" s="25" t="str">
        <x:v>NOT_RUN</x:v>
      </x:c>
      <x:c r="K538" s="25" t="n">
        <x:v>1</x:v>
      </x:c>
      <x:c r="L538" s="27" t="b">
        <x:v>0</x:v>
      </x:c>
      <x:c r="M538" s="25" t="str">
        <x:v>Deepseek-flash-v4/state/Round1/shards/Jsoup.json</x:v>
      </x:c>
      <x:c r="N538" s="25" t="str">
        <x:v>Deepseek-flash-v4/Result/Jsoup_35/result.json</x:v>
      </x:c>
      <x:c r="O538" s="25" t="str">
        <x:v>Deepseek-flash-v4/Result/Jsoup_35/result.json</x:v>
      </x:c>
      <x:c r="P538" t="str">
        <x:v>BOTH_NOT_RUN</x:v>
      </x:c>
      <x:c r="Q538" s="21" t="str"/>
      <x:c r="R538" s="21" t="str"/>
      <x:c r="S538" s="21" t="str"/>
      <x:c r="T538" s="17" t="str">
        <x:v>false</x:v>
      </x:c>
      <x:c r="U538" s="17" t="str">
        <x:v>true</x:v>
      </x:c>
      <x:c r="V538" s="17" t="str">
        <x:v>false</x:v>
      </x:c>
    </x:row>
    <x:row r="539" ht="80" customHeight="1">
      <x:c r="A539" s="25" t="str">
        <x:v>Jsoup</x:v>
      </x:c>
      <x:c r="B539" s="25" t="n">
        <x:v>36</x:v>
      </x:c>
      <x:c r="C539" s="25" t="str">
        <x:v>Round1</x:v>
      </x:c>
      <x:c r="D539" s="25" t="str">
        <x:v>NOT_AVAILABLE</x:v>
      </x:c>
      <x:c r="E539" s="25" t="str">
        <x:v>N/A</x:v>
      </x:c>
      <x:c r="F539" s="26" t="str">
        <x:v>Tests exist but current coverage did not complete</x:v>
      </x:c>
      <x:c r="G539" s="25" t="str">
        <x:v>true</x:v>
      </x:c>
      <x:c r="H539" s="25" t="str">
        <x:v>NOT_AVAILABLE</x:v>
      </x:c>
      <x:c r="I539" s="25" t="str">
        <x:v>NOT_RUN</x:v>
      </x:c>
      <x:c r="J539" s="25" t="str">
        <x:v>NOT_RUN</x:v>
      </x:c>
      <x:c r="K539" s="25" t="n">
        <x:v>1</x:v>
      </x:c>
      <x:c r="L539" s="27" t="b">
        <x:v>0</x:v>
      </x:c>
      <x:c r="M539" s="25" t="str">
        <x:v>Deepseek-flash-v4/state/Round1/shards/Jsoup.json</x:v>
      </x:c>
      <x:c r="N539" s="25" t="str">
        <x:v>Deepseek-flash-v4/Result/Jsoup_36/result.json</x:v>
      </x:c>
      <x:c r="O539" s="25" t="str">
        <x:v>Deepseek-flash-v4/Result/Jsoup_36/result.json</x:v>
      </x:c>
      <x:c r="P539" t="str">
        <x:v>BOTH_NOT_RUN</x:v>
      </x:c>
      <x:c r="Q539" s="21" t="str"/>
      <x:c r="R539" s="21" t="str"/>
      <x:c r="S539" s="21" t="str"/>
      <x:c r="T539" s="17" t="str">
        <x:v>false</x:v>
      </x:c>
      <x:c r="U539" s="17" t="str">
        <x:v>true</x:v>
      </x:c>
      <x:c r="V539" s="17" t="str">
        <x:v>false</x:v>
      </x:c>
    </x:row>
    <x:row r="540" ht="80" customHeight="1">
      <x:c r="A540" s="25" t="str">
        <x:v>Jsoup</x:v>
      </x:c>
      <x:c r="B540" s="25" t="n">
        <x:v>37</x:v>
      </x:c>
      <x:c r="C540" s="25" t="str">
        <x:v>Round1</x:v>
      </x:c>
      <x:c r="D540" s="25" t="str">
        <x:v>NOT_AVAILABLE</x:v>
      </x:c>
      <x:c r="E540" s="25" t="str">
        <x:v>N/A</x:v>
      </x:c>
      <x:c r="F540" s="26" t="str">
        <x:v>Tests exist but current coverage did not complete</x:v>
      </x:c>
      <x:c r="G540" s="25" t="str">
        <x:v>true</x:v>
      </x:c>
      <x:c r="H540" s="25" t="str">
        <x:v>NOT_AVAILABLE</x:v>
      </x:c>
      <x:c r="I540" s="25" t="str">
        <x:v>NOT_RUN</x:v>
      </x:c>
      <x:c r="J540" s="25" t="str">
        <x:v>NOT_RUN</x:v>
      </x:c>
      <x:c r="K540" s="25" t="n">
        <x:v>1</x:v>
      </x:c>
      <x:c r="L540" s="27" t="b">
        <x:v>0</x:v>
      </x:c>
      <x:c r="M540" s="25" t="str">
        <x:v>Deepseek-flash-v4/state/Round1/shards/Jsoup.json</x:v>
      </x:c>
      <x:c r="N540" s="25" t="str">
        <x:v>Deepseek-flash-v4/Result/Jsoup_37/result.json</x:v>
      </x:c>
      <x:c r="O540" s="25" t="str">
        <x:v>Deepseek-flash-v4/Result/Jsoup_37/result.json</x:v>
      </x:c>
      <x:c r="P540" t="str">
        <x:v>BOTH_NOT_RUN</x:v>
      </x:c>
      <x:c r="Q540" s="21" t="str"/>
      <x:c r="R540" s="21" t="str"/>
      <x:c r="S540" s="21" t="str"/>
      <x:c r="T540" s="17" t="str">
        <x:v>false</x:v>
      </x:c>
      <x:c r="U540" s="17" t="str">
        <x:v>true</x:v>
      </x:c>
      <x:c r="V540" s="17" t="str">
        <x:v>false</x:v>
      </x:c>
    </x:row>
    <x:row r="541" ht="80" customHeight="1">
      <x:c r="A541" s="25" t="str">
        <x:v>Jsoup</x:v>
      </x:c>
      <x:c r="B541" s="25" t="n">
        <x:v>38</x:v>
      </x:c>
      <x:c r="C541" s="25" t="str">
        <x:v>Round1</x:v>
      </x:c>
      <x:c r="D541" s="25" t="str">
        <x:v>NOT_AVAILABLE</x:v>
      </x:c>
      <x:c r="E541" s="25" t="str">
        <x:v>N/A</x:v>
      </x:c>
      <x:c r="F541" s="26" t="str">
        <x:v>Tests exist but current coverage did not complete</x:v>
      </x:c>
      <x:c r="G541" s="25" t="str">
        <x:v>true</x:v>
      </x:c>
      <x:c r="H541" s="25" t="str">
        <x:v>NOT_AVAILABLE</x:v>
      </x:c>
      <x:c r="I541" s="25" t="str">
        <x:v>NOT_RUN</x:v>
      </x:c>
      <x:c r="J541" s="25" t="str">
        <x:v>NOT_RUN</x:v>
      </x:c>
      <x:c r="K541" s="25" t="n">
        <x:v>1</x:v>
      </x:c>
      <x:c r="L541" s="27" t="b">
        <x:v>0</x:v>
      </x:c>
      <x:c r="M541" s="25" t="str">
        <x:v>Deepseek-flash-v4/state/Round1/shards/Jsoup.json</x:v>
      </x:c>
      <x:c r="N541" s="25" t="str">
        <x:v>Deepseek-flash-v4/Result/Jsoup_38/result.json</x:v>
      </x:c>
      <x:c r="O541" s="25" t="str">
        <x:v>Deepseek-flash-v4/Result/Jsoup_38/result.json</x:v>
      </x:c>
      <x:c r="P541" t="str">
        <x:v>BOTH_NOT_RUN</x:v>
      </x:c>
      <x:c r="Q541" s="21" t="str"/>
      <x:c r="R541" s="21" t="str"/>
      <x:c r="S541" s="21" t="str"/>
      <x:c r="T541" s="17" t="str">
        <x:v>false</x:v>
      </x:c>
      <x:c r="U541" s="17" t="str">
        <x:v>true</x:v>
      </x:c>
      <x:c r="V541" s="17" t="str">
        <x:v>false</x:v>
      </x:c>
    </x:row>
    <x:row r="542" ht="80" customHeight="1">
      <x:c r="A542" s="25" t="str">
        <x:v>Jsoup</x:v>
      </x:c>
      <x:c r="B542" s="25" t="n">
        <x:v>39</x:v>
      </x:c>
      <x:c r="C542" s="25" t="str">
        <x:v>Round1</x:v>
      </x:c>
      <x:c r="D542" s="25" t="str">
        <x:v>INCONCLUSIVE</x:v>
      </x:c>
      <x:c r="E542" s="25" t="str">
        <x:v>N/A</x:v>
      </x:c>
      <x:c r="F542" s="26" t="str">
        <x:v>Fixed also failed; assertion failure cannot be attributed to this bug</x:v>
      </x:c>
      <x:c r="G542" s="25" t="str">
        <x:v>true</x:v>
      </x:c>
      <x:c r="H542" s="25" t="str">
        <x:v>INCONCLUSIVE</x:v>
      </x:c>
      <x:c r="I542" s="25" t="str">
        <x:v>FAIL</x:v>
      </x:c>
      <x:c r="J542" s="25" t="str">
        <x:v>FAIL</x:v>
      </x:c>
      <x:c r="K542" s="25" t="n">
        <x:v>1</x:v>
      </x:c>
      <x:c r="L542" s="27" t="b">
        <x:v>0</x:v>
      </x:c>
      <x:c r="M542" s="25" t="str">
        <x:v>Deepseek-flash-v4/state/Round1/shards/Jsoup.json</x:v>
      </x:c>
      <x:c r="N542" s="25" t="str">
        <x:v>Deepseek-flash-v4/Result/Jsoup_39/result.json</x:v>
      </x:c>
      <x:c r="O542" s="25" t="str">
        <x:v>Deepseek-flash-v4/Result/Jsoup_39/result.json</x:v>
      </x:c>
      <x:c r="P542"/>
      <x:c r="Q542" s="21" t="str"/>
      <x:c r="R542" s="21" t="str"/>
      <x:c r="S542" s="21" t="str"/>
      <x:c r="T542" s="17" t="str">
        <x:v>false</x:v>
      </x:c>
      <x:c r="U542" s="17" t="str">
        <x:v>true</x:v>
      </x:c>
      <x:c r="V542" s="17" t="str">
        <x:v>false</x:v>
      </x:c>
    </x:row>
    <x:row r="543" ht="80" customHeight="1">
      <x:c r="A543" s="25" t="str">
        <x:v>Jsoup</x:v>
      </x:c>
      <x:c r="B543" s="25" t="n">
        <x:v>4</x:v>
      </x:c>
      <x:c r="C543" s="25" t="str">
        <x:v>Round1</x:v>
      </x:c>
      <x:c r="D543" s="25" t="str">
        <x:v>NOT_AVAILABLE</x:v>
      </x:c>
      <x:c r="E543" s="25" t="str">
        <x:v>N/A</x:v>
      </x:c>
      <x:c r="F543" s="26" t="str">
        <x:v>Tests exist but current coverage did not complete</x:v>
      </x:c>
      <x:c r="G543" s="25" t="str">
        <x:v>true</x:v>
      </x:c>
      <x:c r="H543" s="25" t="str">
        <x:v>NOT_AVAILABLE</x:v>
      </x:c>
      <x:c r="I543" s="25" t="str">
        <x:v>NOT_RUN</x:v>
      </x:c>
      <x:c r="J543" s="25" t="str">
        <x:v>NOT_RUN</x:v>
      </x:c>
      <x:c r="K543" s="25" t="n">
        <x:v>1</x:v>
      </x:c>
      <x:c r="L543" s="27" t="b">
        <x:v>0</x:v>
      </x:c>
      <x:c r="M543" s="25" t="str">
        <x:v>Deepseek-flash-v4/state/Round1/shards/Jsoup.json</x:v>
      </x:c>
      <x:c r="N543" s="25" t="str">
        <x:v>Deepseek-flash-v4/Result/Jsoup_4/result.json</x:v>
      </x:c>
      <x:c r="O543" s="25" t="str">
        <x:v>Deepseek-flash-v4/Result/Jsoup_4/result.json</x:v>
      </x:c>
      <x:c r="P543" t="str">
        <x:v>BOTH_NOT_RUN</x:v>
      </x:c>
      <x:c r="Q543" s="21" t="str"/>
      <x:c r="R543" s="21" t="str"/>
      <x:c r="S543" s="21" t="str"/>
      <x:c r="T543" s="17" t="str">
        <x:v>false</x:v>
      </x:c>
      <x:c r="U543" s="17" t="str">
        <x:v>true</x:v>
      </x:c>
      <x:c r="V543" s="17" t="str">
        <x:v>false</x:v>
      </x:c>
    </x:row>
    <x:row r="544" ht="80" customHeight="1">
      <x:c r="A544" s="25" t="str">
        <x:v>Jsoup</x:v>
      </x:c>
      <x:c r="B544" s="25" t="n">
        <x:v>40</x:v>
      </x:c>
      <x:c r="C544" s="25" t="str">
        <x:v>Round1</x:v>
      </x:c>
      <x:c r="D544" s="25" t="str">
        <x:v>INCONCLUSIVE</x:v>
      </x:c>
      <x:c r="E544" s="25" t="str">
        <x:v>N/A</x:v>
      </x:c>
      <x:c r="F544" s="26" t="str">
        <x:v>Fixed also failed; assertion failure cannot be attributed to this bug</x:v>
      </x:c>
      <x:c r="G544" s="25" t="str">
        <x:v>true</x:v>
      </x:c>
      <x:c r="H544" s="25" t="str">
        <x:v>INCONCLUSIVE</x:v>
      </x:c>
      <x:c r="I544" s="25" t="str">
        <x:v>FAIL</x:v>
      </x:c>
      <x:c r="J544" s="25" t="str">
        <x:v>FAIL</x:v>
      </x:c>
      <x:c r="K544" s="25" t="n">
        <x:v>1</x:v>
      </x:c>
      <x:c r="L544" s="27" t="b">
        <x:v>0</x:v>
      </x:c>
      <x:c r="M544" s="25" t="str">
        <x:v>Deepseek-flash-v4/state/Round1/shards/Jsoup.json</x:v>
      </x:c>
      <x:c r="N544" s="25" t="str">
        <x:v>Deepseek-flash-v4/Result/Jsoup_40/result.json</x:v>
      </x:c>
      <x:c r="O544" s="25" t="str">
        <x:v>Deepseek-flash-v4/Result/Jsoup_40/result.json</x:v>
      </x:c>
      <x:c r="P544"/>
      <x:c r="Q544" s="21" t="str"/>
      <x:c r="R544" s="21" t="str"/>
      <x:c r="S544" s="21" t="str"/>
      <x:c r="T544" s="17" t="str">
        <x:v>false</x:v>
      </x:c>
      <x:c r="U544" s="17" t="str">
        <x:v>true</x:v>
      </x:c>
      <x:c r="V544" s="17" t="str">
        <x:v>false</x:v>
      </x:c>
    </x:row>
    <x:row r="545" ht="80" customHeight="1">
      <x:c r="A545" s="25" t="str">
        <x:v>Jsoup</x:v>
      </x:c>
      <x:c r="B545" s="25" t="n">
        <x:v>41</x:v>
      </x:c>
      <x:c r="C545" s="25" t="str">
        <x:v>Round1</x:v>
      </x:c>
      <x:c r="D545" s="25" t="str">
        <x:v>NOT_AVAILABLE</x:v>
      </x:c>
      <x:c r="E545" s="25" t="str">
        <x:v>N/A</x:v>
      </x:c>
      <x:c r="F545" s="26" t="str">
        <x:v>Tests exist but current coverage did not complete</x:v>
      </x:c>
      <x:c r="G545" s="25" t="str">
        <x:v>true</x:v>
      </x:c>
      <x:c r="H545" s="25" t="str">
        <x:v>NOT_AVAILABLE</x:v>
      </x:c>
      <x:c r="I545" s="25" t="str">
        <x:v>NOT_RUN</x:v>
      </x:c>
      <x:c r="J545" s="25" t="str">
        <x:v>NOT_RUN</x:v>
      </x:c>
      <x:c r="K545" s="25" t="n">
        <x:v>1</x:v>
      </x:c>
      <x:c r="L545" s="27" t="b">
        <x:v>0</x:v>
      </x:c>
      <x:c r="M545" s="25" t="str">
        <x:v>Deepseek-flash-v4/state/Round1/shards/Jsoup.json</x:v>
      </x:c>
      <x:c r="N545" s="25" t="str">
        <x:v>Deepseek-flash-v4/Result/Jsoup_41/result.json</x:v>
      </x:c>
      <x:c r="O545" s="25" t="str">
        <x:v>Deepseek-flash-v4/Result/Jsoup_41/result.json</x:v>
      </x:c>
      <x:c r="P545" t="str">
        <x:v>BOTH_NOT_RUN</x:v>
      </x:c>
      <x:c r="Q545" s="21" t="str"/>
      <x:c r="R545" s="21" t="str"/>
      <x:c r="S545" s="21" t="str"/>
      <x:c r="T545" s="17" t="str">
        <x:v>false</x:v>
      </x:c>
      <x:c r="U545" s="17" t="str">
        <x:v>true</x:v>
      </x:c>
      <x:c r="V545" s="17" t="str">
        <x:v>false</x:v>
      </x:c>
    </x:row>
    <x:row r="546" ht="80" customHeight="1">
      <x:c r="A546" s="25" t="str">
        <x:v>Jsoup</x:v>
      </x:c>
      <x:c r="B546" s="25" t="n">
        <x:v>42</x:v>
      </x:c>
      <x:c r="C546" s="25" t="str">
        <x:v>Round1</x:v>
      </x:c>
      <x:c r="D546" s="25" t="str">
        <x:v>NOT_AVAILABLE</x:v>
      </x:c>
      <x:c r="E546" s="25" t="str">
        <x:v>N/A</x:v>
      </x:c>
      <x:c r="F546" s="26" t="str">
        <x:v>Tests exist but current coverage did not complete</x:v>
      </x:c>
      <x:c r="G546" s="25" t="str">
        <x:v>true</x:v>
      </x:c>
      <x:c r="H546" s="25" t="str">
        <x:v>NOT_AVAILABLE</x:v>
      </x:c>
      <x:c r="I546" s="25" t="str">
        <x:v>NOT_RUN</x:v>
      </x:c>
      <x:c r="J546" s="25" t="str">
        <x:v>NOT_RUN</x:v>
      </x:c>
      <x:c r="K546" s="25" t="n">
        <x:v>1</x:v>
      </x:c>
      <x:c r="L546" s="27" t="b">
        <x:v>0</x:v>
      </x:c>
      <x:c r="M546" s="25" t="str">
        <x:v>Deepseek-flash-v4/state/Round1/shards/Jsoup.json</x:v>
      </x:c>
      <x:c r="N546" s="25" t="str">
        <x:v>Deepseek-flash-v4/Result/Jsoup_42/result.json</x:v>
      </x:c>
      <x:c r="O546" s="25" t="str">
        <x:v>Deepseek-flash-v4/Result/Jsoup_42/result.json</x:v>
      </x:c>
      <x:c r="P546" t="str">
        <x:v>BOTH_NOT_RUN</x:v>
      </x:c>
      <x:c r="Q546" s="21" t="str"/>
      <x:c r="R546" s="21" t="str"/>
      <x:c r="S546" s="21" t="str"/>
      <x:c r="T546" s="17" t="str">
        <x:v>false</x:v>
      </x:c>
      <x:c r="U546" s="17" t="str">
        <x:v>true</x:v>
      </x:c>
      <x:c r="V546" s="17" t="str">
        <x:v>false</x:v>
      </x:c>
    </x:row>
    <x:row r="547" ht="80" customHeight="1">
      <x:c r="A547" s="25" t="str">
        <x:v>Jsoup</x:v>
      </x:c>
      <x:c r="B547" s="25" t="n">
        <x:v>43</x:v>
      </x:c>
      <x:c r="C547" s="25" t="str">
        <x:v>Round1</x:v>
      </x:c>
      <x:c r="D547" s="25" t="str">
        <x:v>NOT_AVAILABLE</x:v>
      </x:c>
      <x:c r="E547" s="25" t="str">
        <x:v>N/A</x:v>
      </x:c>
      <x:c r="F547" s="26" t="str">
        <x:v>Tests exist but current coverage did not complete</x:v>
      </x:c>
      <x:c r="G547" s="25" t="str">
        <x:v>true</x:v>
      </x:c>
      <x:c r="H547" s="25" t="str">
        <x:v>NOT_AVAILABLE</x:v>
      </x:c>
      <x:c r="I547" s="25" t="str">
        <x:v>NOT_RUN</x:v>
      </x:c>
      <x:c r="J547" s="25" t="str">
        <x:v>NOT_RUN</x:v>
      </x:c>
      <x:c r="K547" s="25" t="n">
        <x:v>1</x:v>
      </x:c>
      <x:c r="L547" s="27" t="b">
        <x:v>0</x:v>
      </x:c>
      <x:c r="M547" s="25" t="str">
        <x:v>Deepseek-flash-v4/state/Round1/shards/Jsoup.json</x:v>
      </x:c>
      <x:c r="N547" s="25" t="str">
        <x:v>Deepseek-flash-v4/Result/Jsoup_43/result.json</x:v>
      </x:c>
      <x:c r="O547" s="25" t="str">
        <x:v>Deepseek-flash-v4/Result/Jsoup_43/result.json</x:v>
      </x:c>
      <x:c r="P547" t="str">
        <x:v>BOTH_NOT_RUN</x:v>
      </x:c>
      <x:c r="Q547" s="21" t="str"/>
      <x:c r="R547" s="21" t="str"/>
      <x:c r="S547" s="21" t="str"/>
      <x:c r="T547" s="17" t="str">
        <x:v>false</x:v>
      </x:c>
      <x:c r="U547" s="17" t="str">
        <x:v>true</x:v>
      </x:c>
      <x:c r="V547" s="17" t="str">
        <x:v>false</x:v>
      </x:c>
    </x:row>
    <x:row r="548" ht="80" customHeight="1">
      <x:c r="A548" s="25" t="str">
        <x:v>Jsoup</x:v>
      </x:c>
      <x:c r="B548" s="25" t="n">
        <x:v>44</x:v>
      </x:c>
      <x:c r="C548" s="25" t="str">
        <x:v>Round1</x:v>
      </x:c>
      <x:c r="D548" s="25" t="str">
        <x:v>NOT_AVAILABLE</x:v>
      </x:c>
      <x:c r="E548" s="25" t="str">
        <x:v>N/A</x:v>
      </x:c>
      <x:c r="F548" s="26" t="str">
        <x:v>Tests exist but current coverage did not complete</x:v>
      </x:c>
      <x:c r="G548" s="25" t="str">
        <x:v>true</x:v>
      </x:c>
      <x:c r="H548" s="25" t="str">
        <x:v>NOT_AVAILABLE</x:v>
      </x:c>
      <x:c r="I548" s="25" t="str">
        <x:v>NOT_RUN</x:v>
      </x:c>
      <x:c r="J548" s="25" t="str">
        <x:v>NOT_RUN</x:v>
      </x:c>
      <x:c r="K548" s="25" t="n">
        <x:v>1</x:v>
      </x:c>
      <x:c r="L548" s="27" t="b">
        <x:v>0</x:v>
      </x:c>
      <x:c r="M548" s="25" t="str">
        <x:v>Deepseek-flash-v4/state/Round1/shards/Jsoup.json</x:v>
      </x:c>
      <x:c r="N548" s="25" t="str">
        <x:v>Deepseek-flash-v4/Result/Jsoup_44/result.json</x:v>
      </x:c>
      <x:c r="O548" s="25" t="str">
        <x:v>Deepseek-flash-v4/Result/Jsoup_44/result.json</x:v>
      </x:c>
      <x:c r="P548" t="str">
        <x:v>BOTH_NOT_RUN</x:v>
      </x:c>
      <x:c r="Q548" s="21" t="str"/>
      <x:c r="R548" s="21" t="str"/>
      <x:c r="S548" s="21" t="str"/>
      <x:c r="T548" s="17" t="str">
        <x:v>false</x:v>
      </x:c>
      <x:c r="U548" s="17" t="str">
        <x:v>true</x:v>
      </x:c>
      <x:c r="V548" s="17" t="str">
        <x:v>false</x:v>
      </x:c>
    </x:row>
    <x:row r="549" ht="80" customHeight="1">
      <x:c r="A549" s="25" t="str">
        <x:v>Jsoup</x:v>
      </x:c>
      <x:c r="B549" s="25" t="n">
        <x:v>45</x:v>
      </x:c>
      <x:c r="C549" s="25" t="str">
        <x:v>Round1</x:v>
      </x:c>
      <x:c r="D549" s="25" t="str">
        <x:v>NOT_AVAILABLE</x:v>
      </x:c>
      <x:c r="E549" s="25" t="str">
        <x:v>N/A</x:v>
      </x:c>
      <x:c r="F549" s="26" t="str">
        <x:v>Tests exist but current coverage did not complete</x:v>
      </x:c>
      <x:c r="G549" s="25" t="str">
        <x:v>true</x:v>
      </x:c>
      <x:c r="H549" s="25" t="str">
        <x:v>NOT_AVAILABLE</x:v>
      </x:c>
      <x:c r="I549" s="25" t="str">
        <x:v>NOT_RUN</x:v>
      </x:c>
      <x:c r="J549" s="25" t="str">
        <x:v>NOT_RUN</x:v>
      </x:c>
      <x:c r="K549" s="25" t="n">
        <x:v>1</x:v>
      </x:c>
      <x:c r="L549" s="27" t="b">
        <x:v>0</x:v>
      </x:c>
      <x:c r="M549" s="25" t="str">
        <x:v>Deepseek-flash-v4/state/Round1/shards/Jsoup.json</x:v>
      </x:c>
      <x:c r="N549" s="25" t="str">
        <x:v>Deepseek-flash-v4/Result/Jsoup_45/result.json</x:v>
      </x:c>
      <x:c r="O549" s="25" t="str">
        <x:v>Deepseek-flash-v4/Result/Jsoup_45/result.json</x:v>
      </x:c>
      <x:c r="P549" t="str">
        <x:v>BOTH_NOT_RUN</x:v>
      </x:c>
      <x:c r="Q549" s="21" t="str"/>
      <x:c r="R549" s="21" t="str"/>
      <x:c r="S549" s="21" t="str"/>
      <x:c r="T549" s="17" t="str">
        <x:v>false</x:v>
      </x:c>
      <x:c r="U549" s="17" t="str">
        <x:v>true</x:v>
      </x:c>
      <x:c r="V549" s="17" t="str">
        <x:v>false</x:v>
      </x:c>
    </x:row>
    <x:row r="550" ht="80" customHeight="1">
      <x:c r="A550" s="25" t="str">
        <x:v>Jsoup</x:v>
      </x:c>
      <x:c r="B550" s="25" t="n">
        <x:v>46</x:v>
      </x:c>
      <x:c r="C550" s="25" t="str">
        <x:v>Round1</x:v>
      </x:c>
      <x:c r="D550" s="25" t="str">
        <x:v>INCONCLUSIVE</x:v>
      </x:c>
      <x:c r="E550" s="25" t="str">
        <x:v>N/A</x:v>
      </x:c>
      <x:c r="F550" s="26" t="str">
        <x:v>Fixed also failed; assertion failure cannot be attributed to this bug</x:v>
      </x:c>
      <x:c r="G550" s="25" t="str">
        <x:v>true</x:v>
      </x:c>
      <x:c r="H550" s="25" t="str">
        <x:v>INCONCLUSIVE</x:v>
      </x:c>
      <x:c r="I550" s="25" t="str">
        <x:v>FAIL</x:v>
      </x:c>
      <x:c r="J550" s="25" t="str">
        <x:v>FAIL</x:v>
      </x:c>
      <x:c r="K550" s="25" t="n">
        <x:v>1</x:v>
      </x:c>
      <x:c r="L550" s="27" t="b">
        <x:v>0</x:v>
      </x:c>
      <x:c r="M550" s="25" t="str">
        <x:v>Deepseek-flash-v4/state/Round1/shards/Jsoup.json</x:v>
      </x:c>
      <x:c r="N550" s="25" t="str">
        <x:v>Deepseek-flash-v4/Result/Jsoup_46/result.json</x:v>
      </x:c>
      <x:c r="O550" s="25" t="str">
        <x:v>Deepseek-flash-v4/Result/Jsoup_46/result.json</x:v>
      </x:c>
      <x:c r="P550"/>
      <x:c r="Q550" s="21" t="str"/>
      <x:c r="R550" s="21" t="str"/>
      <x:c r="S550" s="21" t="str"/>
      <x:c r="T550" s="17" t="str">
        <x:v>false</x:v>
      </x:c>
      <x:c r="U550" s="17" t="str">
        <x:v>true</x:v>
      </x:c>
      <x:c r="V550" s="17" t="str">
        <x:v>false</x:v>
      </x:c>
    </x:row>
    <x:row r="551" ht="80" customHeight="1">
      <x:c r="A551" s="25" t="str">
        <x:v>Jsoup</x:v>
      </x:c>
      <x:c r="B551" s="25" t="n">
        <x:v>47</x:v>
      </x:c>
      <x:c r="C551" s="25" t="str">
        <x:v>Round1</x:v>
      </x:c>
      <x:c r="D551" s="25" t="str">
        <x:v>NOT_AVAILABLE</x:v>
      </x:c>
      <x:c r="E551" s="25" t="str">
        <x:v>N/A</x:v>
      </x:c>
      <x:c r="F551" s="26" t="str">
        <x:v>Tests exist but current coverage did not complete</x:v>
      </x:c>
      <x:c r="G551" s="25" t="str">
        <x:v>true</x:v>
      </x:c>
      <x:c r="H551" s="25" t="str">
        <x:v>NOT_AVAILABLE</x:v>
      </x:c>
      <x:c r="I551" s="25" t="str">
        <x:v>NOT_RUN</x:v>
      </x:c>
      <x:c r="J551" s="25" t="str">
        <x:v>NOT_RUN</x:v>
      </x:c>
      <x:c r="K551" s="25" t="n">
        <x:v>1</x:v>
      </x:c>
      <x:c r="L551" s="27" t="b">
        <x:v>0</x:v>
      </x:c>
      <x:c r="M551" s="25" t="str">
        <x:v>Deepseek-flash-v4/state/Round1/shards/Jsoup.json</x:v>
      </x:c>
      <x:c r="N551" s="25" t="str">
        <x:v>Deepseek-flash-v4/Result/Jsoup_47/result.json</x:v>
      </x:c>
      <x:c r="O551" s="25" t="str">
        <x:v>Deepseek-flash-v4/Result/Jsoup_47/result.json</x:v>
      </x:c>
      <x:c r="P551" t="str">
        <x:v>BOTH_NOT_RUN</x:v>
      </x:c>
      <x:c r="Q551" s="21" t="str"/>
      <x:c r="R551" s="21" t="str"/>
      <x:c r="S551" s="21" t="str"/>
      <x:c r="T551" s="17" t="str">
        <x:v>false</x:v>
      </x:c>
      <x:c r="U551" s="17" t="str">
        <x:v>true</x:v>
      </x:c>
      <x:c r="V551" s="17" t="str">
        <x:v>false</x:v>
      </x:c>
    </x:row>
    <x:row r="552" ht="80" customHeight="1">
      <x:c r="A552" s="25" t="str">
        <x:v>Jsoup</x:v>
      </x:c>
      <x:c r="B552" s="25" t="n">
        <x:v>48</x:v>
      </x:c>
      <x:c r="C552" s="25" t="str">
        <x:v>Round1</x:v>
      </x:c>
      <x:c r="D552" s="25" t="str">
        <x:v>NOT_AVAILABLE</x:v>
      </x:c>
      <x:c r="E552" s="25" t="str">
        <x:v>N/A</x:v>
      </x:c>
      <x:c r="F552" s="26" t="str">
        <x:v>Tests exist but current coverage did not complete</x:v>
      </x:c>
      <x:c r="G552" s="25" t="str">
        <x:v>true</x:v>
      </x:c>
      <x:c r="H552" s="25" t="str">
        <x:v>NOT_AVAILABLE</x:v>
      </x:c>
      <x:c r="I552" s="25" t="str">
        <x:v>NOT_RUN</x:v>
      </x:c>
      <x:c r="J552" s="25" t="str">
        <x:v>NOT_RUN</x:v>
      </x:c>
      <x:c r="K552" s="25" t="n">
        <x:v>1</x:v>
      </x:c>
      <x:c r="L552" s="27" t="b">
        <x:v>0</x:v>
      </x:c>
      <x:c r="M552" s="25" t="str">
        <x:v>Deepseek-flash-v4/state/Round1/shards/Jsoup.json</x:v>
      </x:c>
      <x:c r="N552" s="25" t="str">
        <x:v>Deepseek-flash-v4/Result/Jsoup_48/result.json</x:v>
      </x:c>
      <x:c r="O552" s="25" t="str">
        <x:v>Deepseek-flash-v4/Result/Jsoup_48/result.json</x:v>
      </x:c>
      <x:c r="P552" t="str">
        <x:v>BOTH_NOT_RUN</x:v>
      </x:c>
      <x:c r="Q552" s="21" t="str"/>
      <x:c r="R552" s="21" t="str"/>
      <x:c r="S552" s="21" t="str"/>
      <x:c r="T552" s="17" t="str">
        <x:v>false</x:v>
      </x:c>
      <x:c r="U552" s="17" t="str">
        <x:v>true</x:v>
      </x:c>
      <x:c r="V552" s="17" t="str">
        <x:v>false</x:v>
      </x:c>
    </x:row>
    <x:row r="553" ht="80" customHeight="1">
      <x:c r="A553" s="25" t="str">
        <x:v>Jsoup</x:v>
      </x:c>
      <x:c r="B553" s="25" t="n">
        <x:v>49</x:v>
      </x:c>
      <x:c r="C553" s="25" t="str">
        <x:v>Round1</x:v>
      </x:c>
      <x:c r="D553" s="25" t="str">
        <x:v>NOT_AVAILABLE</x:v>
      </x:c>
      <x:c r="E553" s="25" t="str">
        <x:v>N/A</x:v>
      </x:c>
      <x:c r="F553" s="26" t="str">
        <x:v>Tests exist but current coverage did not complete</x:v>
      </x:c>
      <x:c r="G553" s="25" t="str">
        <x:v>true</x:v>
      </x:c>
      <x:c r="H553" s="25" t="str">
        <x:v>NOT_AVAILABLE</x:v>
      </x:c>
      <x:c r="I553" s="25" t="str">
        <x:v>NOT_RUN</x:v>
      </x:c>
      <x:c r="J553" s="25" t="str">
        <x:v>NOT_RUN</x:v>
      </x:c>
      <x:c r="K553" s="25" t="n">
        <x:v>1</x:v>
      </x:c>
      <x:c r="L553" s="27" t="b">
        <x:v>0</x:v>
      </x:c>
      <x:c r="M553" s="25" t="str">
        <x:v>Deepseek-flash-v4/state/Round1/shards/Jsoup.json</x:v>
      </x:c>
      <x:c r="N553" s="25" t="str">
        <x:v>Deepseek-flash-v4/Result/Jsoup_49/result.json</x:v>
      </x:c>
      <x:c r="O553" s="25" t="str">
        <x:v>Deepseek-flash-v4/Result/Jsoup_49/result.json</x:v>
      </x:c>
      <x:c r="P553" t="str">
        <x:v>BOTH_NOT_RUN</x:v>
      </x:c>
      <x:c r="Q553" s="21" t="str"/>
      <x:c r="R553" s="21" t="str"/>
      <x:c r="S553" s="21" t="str"/>
      <x:c r="T553" s="17" t="str">
        <x:v>false</x:v>
      </x:c>
      <x:c r="U553" s="17" t="str">
        <x:v>true</x:v>
      </x:c>
      <x:c r="V553" s="17" t="str">
        <x:v>false</x:v>
      </x:c>
    </x:row>
    <x:row r="554" ht="80" customHeight="1">
      <x:c r="A554" s="25" t="str">
        <x:v>Jsoup</x:v>
      </x:c>
      <x:c r="B554" s="25" t="n">
        <x:v>5</x:v>
      </x:c>
      <x:c r="C554" s="25" t="str">
        <x:v>Round1</x:v>
      </x:c>
      <x:c r="D554" s="25" t="str">
        <x:v>NOT_REVEALING</x:v>
      </x:c>
      <x:c r="E554" s="25" t="str">
        <x:v>N/A</x:v>
      </x:c>
      <x:c r="F554" s="26" t="str">
        <x:v>Same saved validation suite passed on buggy and fixed</x:v>
      </x:c>
      <x:c r="G554" s="25" t="str">
        <x:v>true</x:v>
      </x:c>
      <x:c r="H554" s="25" t="str">
        <x:v>NOT_REVEALING</x:v>
      </x:c>
      <x:c r="I554" s="25" t="str">
        <x:v>PASS</x:v>
      </x:c>
      <x:c r="J554" s="25" t="str">
        <x:v>PASS</x:v>
      </x:c>
      <x:c r="K554" s="25" t="n">
        <x:v>1</x:v>
      </x:c>
      <x:c r="L554" s="27" t="b">
        <x:v>0</x:v>
      </x:c>
      <x:c r="M554" s="25" t="str">
        <x:v>Deepseek-flash-v4/state/Round1/shards/Jsoup.json</x:v>
      </x:c>
      <x:c r="N554" s="25" t="str">
        <x:v>Deepseek-flash-v4/Result/Jsoup_5/result.json</x:v>
      </x:c>
      <x:c r="O554" s="25" t="str">
        <x:v>Deepseek-flash-v4/Result/Jsoup_5/result.json</x:v>
      </x:c>
      <x:c r="P554"/>
      <x:c r="Q554" s="21" t="str"/>
      <x:c r="R554" s="21" t="str"/>
      <x:c r="S554" s="21" t="str"/>
      <x:c r="T554" s="17" t="str">
        <x:v>false</x:v>
      </x:c>
      <x:c r="U554" s="17" t="str">
        <x:v>true</x:v>
      </x:c>
      <x:c r="V554" s="17" t="str">
        <x:v>false</x:v>
      </x:c>
    </x:row>
    <x:row r="555" ht="80" customHeight="1">
      <x:c r="A555" s="25" t="str">
        <x:v>Jsoup</x:v>
      </x:c>
      <x:c r="B555" s="25" t="n">
        <x:v>50</x:v>
      </x:c>
      <x:c r="C555" s="25" t="str">
        <x:v>Round1</x:v>
      </x:c>
      <x:c r="D555" s="25" t="str">
        <x:v>NOT_AVAILABLE</x:v>
      </x:c>
      <x:c r="E555" s="25" t="str">
        <x:v>N/A</x:v>
      </x:c>
      <x:c r="F555" s="26" t="str">
        <x:v>Tests exist but current coverage did not complete</x:v>
      </x:c>
      <x:c r="G555" s="25" t="str">
        <x:v>true</x:v>
      </x:c>
      <x:c r="H555" s="25" t="str">
        <x:v>NOT_AVAILABLE</x:v>
      </x:c>
      <x:c r="I555" s="25" t="str">
        <x:v>NOT_RUN</x:v>
      </x:c>
      <x:c r="J555" s="25" t="str">
        <x:v>NOT_RUN</x:v>
      </x:c>
      <x:c r="K555" s="25" t="n">
        <x:v>1</x:v>
      </x:c>
      <x:c r="L555" s="27" t="b">
        <x:v>0</x:v>
      </x:c>
      <x:c r="M555" s="25" t="str">
        <x:v>Deepseek-flash-v4/state/Round1/shards/Jsoup.json</x:v>
      </x:c>
      <x:c r="N555" s="25" t="str">
        <x:v>Deepseek-flash-v4/Result/Jsoup_50/result.json</x:v>
      </x:c>
      <x:c r="O555" s="25" t="str">
        <x:v>Deepseek-flash-v4/Result/Jsoup_50/result.json</x:v>
      </x:c>
      <x:c r="P555" t="str">
        <x:v>BOTH_NOT_RUN</x:v>
      </x:c>
      <x:c r="Q555" s="21" t="str"/>
      <x:c r="R555" s="21" t="str"/>
      <x:c r="S555" s="21" t="str"/>
      <x:c r="T555" s="17" t="str">
        <x:v>false</x:v>
      </x:c>
      <x:c r="U555" s="17" t="str">
        <x:v>true</x:v>
      </x:c>
      <x:c r="V555" s="17" t="str">
        <x:v>false</x:v>
      </x:c>
    </x:row>
    <x:row r="556" ht="80" customHeight="1">
      <x:c r="A556" s="25" t="str">
        <x:v>Jsoup</x:v>
      </x:c>
      <x:c r="B556" s="25" t="n">
        <x:v>51</x:v>
      </x:c>
      <x:c r="C556" s="25" t="str">
        <x:v>Round1</x:v>
      </x:c>
      <x:c r="D556" s="25" t="str">
        <x:v>INCONCLUSIVE</x:v>
      </x:c>
      <x:c r="E556" s="25" t="str">
        <x:v>N/A</x:v>
      </x:c>
      <x:c r="F556" s="26" t="str">
        <x:v>Fixed also failed; assertion failure cannot be attributed to this bug</x:v>
      </x:c>
      <x:c r="G556" s="25" t="str">
        <x:v>true</x:v>
      </x:c>
      <x:c r="H556" s="25" t="str">
        <x:v>INCONCLUSIVE</x:v>
      </x:c>
      <x:c r="I556" s="25" t="str">
        <x:v>FAIL</x:v>
      </x:c>
      <x:c r="J556" s="25" t="str">
        <x:v>FAIL</x:v>
      </x:c>
      <x:c r="K556" s="25" t="n">
        <x:v>1</x:v>
      </x:c>
      <x:c r="L556" s="27" t="b">
        <x:v>0</x:v>
      </x:c>
      <x:c r="M556" s="25" t="str">
        <x:v>Deepseek-flash-v4/state/Round1/shards/Jsoup.json</x:v>
      </x:c>
      <x:c r="N556" s="25" t="str">
        <x:v>Deepseek-flash-v4/Result/Jsoup_51/result.json</x:v>
      </x:c>
      <x:c r="O556" s="25" t="str">
        <x:v>Deepseek-flash-v4/Result/Jsoup_51/result.json</x:v>
      </x:c>
      <x:c r="P556"/>
      <x:c r="Q556" s="21" t="str"/>
      <x:c r="R556" s="21" t="str"/>
      <x:c r="S556" s="21" t="str"/>
      <x:c r="T556" s="17" t="str">
        <x:v>false</x:v>
      </x:c>
      <x:c r="U556" s="17" t="str">
        <x:v>true</x:v>
      </x:c>
      <x:c r="V556" s="17" t="str">
        <x:v>false</x:v>
      </x:c>
    </x:row>
    <x:row r="557" ht="80" customHeight="1">
      <x:c r="A557" s="25" t="str">
        <x:v>Jsoup</x:v>
      </x:c>
      <x:c r="B557" s="25" t="n">
        <x:v>52</x:v>
      </x:c>
      <x:c r="C557" s="25" t="str">
        <x:v>Round1</x:v>
      </x:c>
      <x:c r="D557" s="25" t="str">
        <x:v>NOT_AVAILABLE</x:v>
      </x:c>
      <x:c r="E557" s="25" t="str">
        <x:v>N/A</x:v>
      </x:c>
      <x:c r="F557" s="26" t="str">
        <x:v>Tests exist but current coverage did not complete</x:v>
      </x:c>
      <x:c r="G557" s="25" t="str">
        <x:v>true</x:v>
      </x:c>
      <x:c r="H557" s="25" t="str">
        <x:v>NOT_AVAILABLE</x:v>
      </x:c>
      <x:c r="I557" s="25" t="str">
        <x:v>NOT_RUN</x:v>
      </x:c>
      <x:c r="J557" s="25" t="str">
        <x:v>NOT_RUN</x:v>
      </x:c>
      <x:c r="K557" s="25" t="n">
        <x:v>3</x:v>
      </x:c>
      <x:c r="L557" s="27" t="b">
        <x:v>0</x:v>
      </x:c>
      <x:c r="M557" s="25" t="str">
        <x:v>Deepseek-flash-v4/state/Round1/shards/Jsoup.json</x:v>
      </x:c>
      <x:c r="N557" s="25" t="str">
        <x:v>Deepseek-flash-v4/Result/Jsoup_52/result.json</x:v>
      </x:c>
      <x:c r="O557" s="25" t="str">
        <x:v>Deepseek-flash-v4/Result/Jsoup_52/result.json</x:v>
      </x:c>
      <x:c r="P557" t="str">
        <x:v>BOTH_NOT_RUN</x:v>
      </x:c>
      <x:c r="Q557" s="21" t="str"/>
      <x:c r="R557" s="21" t="str"/>
      <x:c r="S557" s="21" t="str"/>
      <x:c r="T557" s="17" t="str">
        <x:v>false</x:v>
      </x:c>
      <x:c r="U557" s="17" t="str">
        <x:v>true</x:v>
      </x:c>
      <x:c r="V557" s="17" t="str">
        <x:v>false</x:v>
      </x:c>
    </x:row>
    <x:row r="558" ht="80" customHeight="1">
      <x:c r="A558" s="25" t="str">
        <x:v>Jsoup</x:v>
      </x:c>
      <x:c r="B558" s="25" t="n">
        <x:v>53</x:v>
      </x:c>
      <x:c r="C558" s="25" t="str">
        <x:v>Round1</x:v>
      </x:c>
      <x:c r="D558" s="25" t="str">
        <x:v>INCONCLUSIVE</x:v>
      </x:c>
      <x:c r="E558" s="25" t="str">
        <x:v>N/A</x:v>
      </x:c>
      <x:c r="F558" s="26" t="str">
        <x:v>Fixed also failed; assertion failure cannot be attributed to this bug</x:v>
      </x:c>
      <x:c r="G558" s="25" t="str">
        <x:v>true</x:v>
      </x:c>
      <x:c r="H558" s="25" t="str">
        <x:v>INCONCLUSIVE</x:v>
      </x:c>
      <x:c r="I558" s="25" t="str">
        <x:v>FAIL</x:v>
      </x:c>
      <x:c r="J558" s="25" t="str">
        <x:v>FAIL</x:v>
      </x:c>
      <x:c r="K558" s="25" t="n">
        <x:v>1</x:v>
      </x:c>
      <x:c r="L558" s="27" t="b">
        <x:v>0</x:v>
      </x:c>
      <x:c r="M558" s="25" t="str">
        <x:v>Deepseek-flash-v4/state/Round1/shards/Jsoup.json</x:v>
      </x:c>
      <x:c r="N558" s="25" t="str">
        <x:v>Deepseek-flash-v4/Result/Jsoup_53/result.json</x:v>
      </x:c>
      <x:c r="O558" s="25" t="str">
        <x:v>Deepseek-flash-v4/Result/Jsoup_53/result.json</x:v>
      </x:c>
      <x:c r="P558"/>
      <x:c r="Q558" s="21" t="str"/>
      <x:c r="R558" s="21" t="str"/>
      <x:c r="S558" s="21" t="str"/>
      <x:c r="T558" s="17" t="str">
        <x:v>false</x:v>
      </x:c>
      <x:c r="U558" s="17" t="str">
        <x:v>true</x:v>
      </x:c>
      <x:c r="V558" s="17" t="str">
        <x:v>false</x:v>
      </x:c>
    </x:row>
    <x:row r="559" ht="80" customHeight="1">
      <x:c r="A559" s="25" t="str">
        <x:v>Jsoup</x:v>
      </x:c>
      <x:c r="B559" s="25" t="n">
        <x:v>54</x:v>
      </x:c>
      <x:c r="C559" s="25" t="str">
        <x:v>Round1</x:v>
      </x:c>
      <x:c r="D559" s="25" t="str">
        <x:v>NOT_AVAILABLE</x:v>
      </x:c>
      <x:c r="E559" s="25" t="str">
        <x:v>N/A</x:v>
      </x:c>
      <x:c r="F559" s="26" t="str">
        <x:v>Tests exist but current coverage did not complete</x:v>
      </x:c>
      <x:c r="G559" s="25" t="str">
        <x:v>true</x:v>
      </x:c>
      <x:c r="H559" s="25" t="str">
        <x:v>NOT_AVAILABLE</x:v>
      </x:c>
      <x:c r="I559" s="25" t="str">
        <x:v>NOT_RUN</x:v>
      </x:c>
      <x:c r="J559" s="25" t="str">
        <x:v>NOT_RUN</x:v>
      </x:c>
      <x:c r="K559" s="25" t="n">
        <x:v>1</x:v>
      </x:c>
      <x:c r="L559" s="27" t="b">
        <x:v>0</x:v>
      </x:c>
      <x:c r="M559" s="25" t="str">
        <x:v>Deepseek-flash-v4/state/Round1/shards/Jsoup.json</x:v>
      </x:c>
      <x:c r="N559" s="25" t="str">
        <x:v>Deepseek-flash-v4/Result/Jsoup_54/result.json</x:v>
      </x:c>
      <x:c r="O559" s="25" t="str">
        <x:v>Deepseek-flash-v4/Result/Jsoup_54/result.json</x:v>
      </x:c>
      <x:c r="P559" t="str">
        <x:v>BOTH_NOT_RUN</x:v>
      </x:c>
      <x:c r="Q559" s="21" t="str"/>
      <x:c r="R559" s="21" t="str"/>
      <x:c r="S559" s="21" t="str"/>
      <x:c r="T559" s="17" t="str">
        <x:v>false</x:v>
      </x:c>
      <x:c r="U559" s="17" t="str">
        <x:v>true</x:v>
      </x:c>
      <x:c r="V559" s="17" t="str">
        <x:v>false</x:v>
      </x:c>
    </x:row>
    <x:row r="560" ht="80" customHeight="1">
      <x:c r="A560" s="25" t="str">
        <x:v>Jsoup</x:v>
      </x:c>
      <x:c r="B560" s="25" t="n">
        <x:v>55</x:v>
      </x:c>
      <x:c r="C560" s="25" t="str">
        <x:v>Round1</x:v>
      </x:c>
      <x:c r="D560" s="25" t="str">
        <x:v>NOT_AVAILABLE</x:v>
      </x:c>
      <x:c r="E560" s="25" t="str">
        <x:v>N/A</x:v>
      </x:c>
      <x:c r="F560" s="26" t="str">
        <x:v>Tests exist but current coverage did not complete</x:v>
      </x:c>
      <x:c r="G560" s="25" t="str">
        <x:v>true</x:v>
      </x:c>
      <x:c r="H560" s="25" t="str">
        <x:v>NOT_AVAILABLE</x:v>
      </x:c>
      <x:c r="I560" s="25" t="str">
        <x:v>NOT_RUN</x:v>
      </x:c>
      <x:c r="J560" s="25" t="str">
        <x:v>NOT_RUN</x:v>
      </x:c>
      <x:c r="K560" s="25" t="n">
        <x:v>1</x:v>
      </x:c>
      <x:c r="L560" s="27" t="b">
        <x:v>0</x:v>
      </x:c>
      <x:c r="M560" s="25" t="str">
        <x:v>Deepseek-flash-v4/state/Round1/shards/Jsoup.json</x:v>
      </x:c>
      <x:c r="N560" s="25" t="str">
        <x:v>Deepseek-flash-v4/Result/Jsoup_55/result.json</x:v>
      </x:c>
      <x:c r="O560" s="25" t="str">
        <x:v>Deepseek-flash-v4/Result/Jsoup_55/result.json</x:v>
      </x:c>
      <x:c r="P560" t="str">
        <x:v>BOTH_NOT_RUN</x:v>
      </x:c>
      <x:c r="Q560" s="21" t="str"/>
      <x:c r="R560" s="21" t="str"/>
      <x:c r="S560" s="21" t="str"/>
      <x:c r="T560" s="17" t="str">
        <x:v>false</x:v>
      </x:c>
      <x:c r="U560" s="17" t="str">
        <x:v>true</x:v>
      </x:c>
      <x:c r="V560" s="17" t="str">
        <x:v>false</x:v>
      </x:c>
    </x:row>
    <x:row r="561" ht="80" customHeight="1">
      <x:c r="A561" s="25" t="str">
        <x:v>Jsoup</x:v>
      </x:c>
      <x:c r="B561" s="25" t="n">
        <x:v>56</x:v>
      </x:c>
      <x:c r="C561" s="25" t="str">
        <x:v>Round1</x:v>
      </x:c>
      <x:c r="D561" s="25" t="str">
        <x:v>NOT_AVAILABLE</x:v>
      </x:c>
      <x:c r="E561" s="25" t="str">
        <x:v>N/A</x:v>
      </x:c>
      <x:c r="F561" s="26" t="str">
        <x:v>Tests exist but current coverage did not complete</x:v>
      </x:c>
      <x:c r="G561" s="25" t="str">
        <x:v>true</x:v>
      </x:c>
      <x:c r="H561" s="25" t="str">
        <x:v>NOT_AVAILABLE</x:v>
      </x:c>
      <x:c r="I561" s="25" t="str">
        <x:v>NOT_RUN</x:v>
      </x:c>
      <x:c r="J561" s="25" t="str">
        <x:v>NOT_RUN</x:v>
      </x:c>
      <x:c r="K561" s="25" t="n">
        <x:v>5</x:v>
      </x:c>
      <x:c r="L561" s="27" t="b">
        <x:v>0</x:v>
      </x:c>
      <x:c r="M561" s="25" t="str">
        <x:v>Deepseek-flash-v4/state/Round1/shards/Jsoup.json</x:v>
      </x:c>
      <x:c r="N561" s="25" t="str">
        <x:v>Deepseek-flash-v4/Result/Jsoup_56/result.json</x:v>
      </x:c>
      <x:c r="O561" s="25" t="str">
        <x:v>Deepseek-flash-v4/Result/Jsoup_56/result.json</x:v>
      </x:c>
      <x:c r="P561" t="str">
        <x:v>BOTH_NOT_RUN</x:v>
      </x:c>
      <x:c r="Q561" s="21" t="str"/>
      <x:c r="R561" s="21" t="str"/>
      <x:c r="S561" s="21" t="str"/>
      <x:c r="T561" s="17" t="str">
        <x:v>false</x:v>
      </x:c>
      <x:c r="U561" s="17" t="str">
        <x:v>true</x:v>
      </x:c>
      <x:c r="V561" s="17" t="str">
        <x:v>false</x:v>
      </x:c>
    </x:row>
    <x:row r="562" ht="80" customHeight="1">
      <x:c r="A562" s="25" t="str">
        <x:v>Jsoup</x:v>
      </x:c>
      <x:c r="B562" s="25" t="n">
        <x:v>57</x:v>
      </x:c>
      <x:c r="C562" s="25" t="str">
        <x:v>Round1</x:v>
      </x:c>
      <x:c r="D562" s="25" t="str">
        <x:v>NOT_REVEALING</x:v>
      </x:c>
      <x:c r="E562" s="25" t="str">
        <x:v>N/A</x:v>
      </x:c>
      <x:c r="F562" s="26" t="str">
        <x:v>Same saved validation suite passed on buggy and fixed</x:v>
      </x:c>
      <x:c r="G562" s="25" t="str">
        <x:v>true</x:v>
      </x:c>
      <x:c r="H562" s="25" t="str">
        <x:v>NOT_REVEALING</x:v>
      </x:c>
      <x:c r="I562" s="25" t="str">
        <x:v>PASS</x:v>
      </x:c>
      <x:c r="J562" s="25" t="str">
        <x:v>PASS</x:v>
      </x:c>
      <x:c r="K562" s="25" t="n">
        <x:v>1</x:v>
      </x:c>
      <x:c r="L562" s="27" t="b">
        <x:v>0</x:v>
      </x:c>
      <x:c r="M562" s="25" t="str">
        <x:v>Deepseek-flash-v4/state/Round1/shards/Jsoup.json</x:v>
      </x:c>
      <x:c r="N562" s="25" t="str">
        <x:v>Deepseek-flash-v4/Result/Jsoup_57/result.json</x:v>
      </x:c>
      <x:c r="O562" s="25" t="str">
        <x:v>Deepseek-flash-v4/Result/Jsoup_57/result.json</x:v>
      </x:c>
      <x:c r="P562"/>
      <x:c r="Q562" s="21" t="str"/>
      <x:c r="R562" s="21" t="str"/>
      <x:c r="S562" s="21" t="str"/>
      <x:c r="T562" s="17" t="str">
        <x:v>false</x:v>
      </x:c>
      <x:c r="U562" s="17" t="str">
        <x:v>true</x:v>
      </x:c>
      <x:c r="V562" s="17" t="str">
        <x:v>false</x:v>
      </x:c>
    </x:row>
    <x:row r="563" ht="80" customHeight="1">
      <x:c r="A563" s="25" t="str">
        <x:v>Jsoup</x:v>
      </x:c>
      <x:c r="B563" s="25" t="n">
        <x:v>58</x:v>
      </x:c>
      <x:c r="C563" s="25" t="str">
        <x:v>Round1</x:v>
      </x:c>
      <x:c r="D563" s="25" t="str">
        <x:v>INCONCLUSIVE</x:v>
      </x:c>
      <x:c r="E563" s="25" t="str">
        <x:v>N/A</x:v>
      </x:c>
      <x:c r="F563" s="26" t="str">
        <x:v>Fixed also failed; assertion failure cannot be attributed to this bug</x:v>
      </x:c>
      <x:c r="G563" s="25" t="str">
        <x:v>true</x:v>
      </x:c>
      <x:c r="H563" s="25" t="str">
        <x:v>INCONCLUSIVE</x:v>
      </x:c>
      <x:c r="I563" s="25" t="str">
        <x:v>FAIL</x:v>
      </x:c>
      <x:c r="J563" s="25" t="str">
        <x:v>FAIL</x:v>
      </x:c>
      <x:c r="K563" s="25" t="n">
        <x:v>3</x:v>
      </x:c>
      <x:c r="L563" s="27" t="b">
        <x:v>0</x:v>
      </x:c>
      <x:c r="M563" s="25" t="str">
        <x:v>Deepseek-flash-v4/state/Round1/shards/Jsoup.json</x:v>
      </x:c>
      <x:c r="N563" s="25" t="str">
        <x:v>Deepseek-flash-v4/Result/Jsoup_58/result.json</x:v>
      </x:c>
      <x:c r="O563" s="25" t="str">
        <x:v>Deepseek-flash-v4/Result/Jsoup_58/result.json</x:v>
      </x:c>
      <x:c r="P563"/>
      <x:c r="Q563" s="21" t="str"/>
      <x:c r="R563" s="21" t="str"/>
      <x:c r="S563" s="21" t="str"/>
      <x:c r="T563" s="17" t="str">
        <x:v>false</x:v>
      </x:c>
      <x:c r="U563" s="17" t="str">
        <x:v>true</x:v>
      </x:c>
      <x:c r="V563" s="17" t="str">
        <x:v>false</x:v>
      </x:c>
    </x:row>
    <x:row r="564" ht="80" customHeight="1">
      <x:c r="A564" s="25" t="str">
        <x:v>Jsoup</x:v>
      </x:c>
      <x:c r="B564" s="25" t="n">
        <x:v>59</x:v>
      </x:c>
      <x:c r="C564" s="25" t="str">
        <x:v>Round1</x:v>
      </x:c>
      <x:c r="D564" s="25" t="str">
        <x:v>NOT_AVAILABLE</x:v>
      </x:c>
      <x:c r="E564" s="25" t="str">
        <x:v>N/A</x:v>
      </x:c>
      <x:c r="F564" s="26" t="str">
        <x:v>Tests exist but current coverage did not complete</x:v>
      </x:c>
      <x:c r="G564" s="25" t="str">
        <x:v>true</x:v>
      </x:c>
      <x:c r="H564" s="25" t="str">
        <x:v>NOT_AVAILABLE</x:v>
      </x:c>
      <x:c r="I564" s="25" t="str">
        <x:v>NOT_RUN</x:v>
      </x:c>
      <x:c r="J564" s="25" t="str">
        <x:v>NOT_RUN</x:v>
      </x:c>
      <x:c r="K564" s="25" t="n">
        <x:v>1</x:v>
      </x:c>
      <x:c r="L564" s="27" t="b">
        <x:v>0</x:v>
      </x:c>
      <x:c r="M564" s="25" t="str">
        <x:v>Deepseek-flash-v4/state/Round1/shards/Jsoup.json</x:v>
      </x:c>
      <x:c r="N564" s="25" t="str">
        <x:v>Deepseek-flash-v4/Result/Jsoup_59/result.json</x:v>
      </x:c>
      <x:c r="O564" s="25" t="str">
        <x:v>Deepseek-flash-v4/Result/Jsoup_59/result.json</x:v>
      </x:c>
      <x:c r="P564" t="str">
        <x:v>BOTH_NOT_RUN</x:v>
      </x:c>
      <x:c r="Q564" s="21" t="str"/>
      <x:c r="R564" s="21" t="str"/>
      <x:c r="S564" s="21" t="str"/>
      <x:c r="T564" s="17" t="str">
        <x:v>false</x:v>
      </x:c>
      <x:c r="U564" s="17" t="str">
        <x:v>true</x:v>
      </x:c>
      <x:c r="V564" s="17" t="str">
        <x:v>false</x:v>
      </x:c>
    </x:row>
    <x:row r="565" ht="80" customHeight="1">
      <x:c r="A565" s="25" t="str">
        <x:v>Jsoup</x:v>
      </x:c>
      <x:c r="B565" s="25" t="n">
        <x:v>6</x:v>
      </x:c>
      <x:c r="C565" s="25" t="str">
        <x:v>Round1</x:v>
      </x:c>
      <x:c r="D565" s="25" t="str">
        <x:v>NOT_AVAILABLE</x:v>
      </x:c>
      <x:c r="E565" s="25" t="str">
        <x:v>N/A</x:v>
      </x:c>
      <x:c r="F565" s="26" t="str">
        <x:v>Tests exist but current coverage did not complete</x:v>
      </x:c>
      <x:c r="G565" s="25" t="str">
        <x:v>true</x:v>
      </x:c>
      <x:c r="H565" s="25" t="str">
        <x:v>NOT_AVAILABLE</x:v>
      </x:c>
      <x:c r="I565" s="25" t="str">
        <x:v>NOT_RUN</x:v>
      </x:c>
      <x:c r="J565" s="25" t="str">
        <x:v>NOT_RUN</x:v>
      </x:c>
      <x:c r="K565" s="25" t="n">
        <x:v>1</x:v>
      </x:c>
      <x:c r="L565" s="27" t="b">
        <x:v>0</x:v>
      </x:c>
      <x:c r="M565" s="25" t="str">
        <x:v>Deepseek-flash-v4/state/Round1/shards/Jsoup.json</x:v>
      </x:c>
      <x:c r="N565" s="25" t="str">
        <x:v>Deepseek-flash-v4/Result/Jsoup_6/result.json</x:v>
      </x:c>
      <x:c r="O565" s="25" t="str">
        <x:v>Deepseek-flash-v4/Result/Jsoup_6/result.json</x:v>
      </x:c>
      <x:c r="P565" t="str">
        <x:v>BOTH_NOT_RUN</x:v>
      </x:c>
      <x:c r="Q565" s="21" t="str"/>
      <x:c r="R565" s="21" t="str"/>
      <x:c r="S565" s="21" t="str"/>
      <x:c r="T565" s="17" t="str">
        <x:v>false</x:v>
      </x:c>
      <x:c r="U565" s="17" t="str">
        <x:v>true</x:v>
      </x:c>
      <x:c r="V565" s="17" t="str">
        <x:v>false</x:v>
      </x:c>
    </x:row>
    <x:row r="566" ht="80" customHeight="1">
      <x:c r="A566" s="25" t="str">
        <x:v>Jsoup</x:v>
      </x:c>
      <x:c r="B566" s="25" t="n">
        <x:v>60</x:v>
      </x:c>
      <x:c r="C566" s="25" t="str">
        <x:v>Round1</x:v>
      </x:c>
      <x:c r="D566" s="25" t="str">
        <x:v>NOT_AVAILABLE</x:v>
      </x:c>
      <x:c r="E566" s="25" t="str">
        <x:v>N/A</x:v>
      </x:c>
      <x:c r="F566" s="26" t="str">
        <x:v>Tests exist but current coverage did not complete</x:v>
      </x:c>
      <x:c r="G566" s="25" t="str">
        <x:v>true</x:v>
      </x:c>
      <x:c r="H566" s="25" t="str">
        <x:v>NOT_AVAILABLE</x:v>
      </x:c>
      <x:c r="I566" s="25" t="str">
        <x:v>NOT_RUN</x:v>
      </x:c>
      <x:c r="J566" s="25" t="str">
        <x:v>NOT_RUN</x:v>
      </x:c>
      <x:c r="K566" s="25" t="n">
        <x:v>2</x:v>
      </x:c>
      <x:c r="L566" s="27" t="b">
        <x:v>0</x:v>
      </x:c>
      <x:c r="M566" s="25" t="str">
        <x:v>Deepseek-flash-v4/state/Round1/shards/Jsoup.json</x:v>
      </x:c>
      <x:c r="N566" s="25" t="str">
        <x:v>Deepseek-flash-v4/Result/Jsoup_60/result.json</x:v>
      </x:c>
      <x:c r="O566" s="25" t="str">
        <x:v>Deepseek-flash-v4/Result/Jsoup_60/result.json</x:v>
      </x:c>
      <x:c r="P566" t="str">
        <x:v>BOTH_NOT_RUN</x:v>
      </x:c>
      <x:c r="Q566" s="21" t="str"/>
      <x:c r="R566" s="21" t="str"/>
      <x:c r="S566" s="21" t="str"/>
      <x:c r="T566" s="17" t="str">
        <x:v>false</x:v>
      </x:c>
      <x:c r="U566" s="17" t="str">
        <x:v>true</x:v>
      </x:c>
      <x:c r="V566" s="17" t="str">
        <x:v>false</x:v>
      </x:c>
    </x:row>
    <x:row r="567" ht="80" customHeight="1">
      <x:c r="A567" s="25" t="str">
        <x:v>Jsoup</x:v>
      </x:c>
      <x:c r="B567" s="25" t="n">
        <x:v>61</x:v>
      </x:c>
      <x:c r="C567" s="25" t="str">
        <x:v>Round1</x:v>
      </x:c>
      <x:c r="D567" s="25" t="str">
        <x:v>NOT_AVAILABLE</x:v>
      </x:c>
      <x:c r="E567" s="25" t="str">
        <x:v>N/A</x:v>
      </x:c>
      <x:c r="F567" s="26" t="str">
        <x:v>Tests exist but current coverage did not complete</x:v>
      </x:c>
      <x:c r="G567" s="25" t="str">
        <x:v>true</x:v>
      </x:c>
      <x:c r="H567" s="25" t="str">
        <x:v>NOT_AVAILABLE</x:v>
      </x:c>
      <x:c r="I567" s="25" t="str">
        <x:v>NOT_RUN</x:v>
      </x:c>
      <x:c r="J567" s="25" t="str">
        <x:v>NOT_RUN</x:v>
      </x:c>
      <x:c r="K567" s="25" t="n">
        <x:v>1</x:v>
      </x:c>
      <x:c r="L567" s="27" t="b">
        <x:v>0</x:v>
      </x:c>
      <x:c r="M567" s="25" t="str">
        <x:v>Deepseek-flash-v4/state/Round1/shards/Jsoup.json</x:v>
      </x:c>
      <x:c r="N567" s="25" t="str">
        <x:v>Deepseek-flash-v4/Result/Jsoup_61/result.json</x:v>
      </x:c>
      <x:c r="O567" s="25" t="str">
        <x:v>Deepseek-flash-v4/Result/Jsoup_61/result.json</x:v>
      </x:c>
      <x:c r="P567" t="str">
        <x:v>BOTH_NOT_RUN</x:v>
      </x:c>
      <x:c r="Q567" s="21" t="str"/>
      <x:c r="R567" s="21" t="str"/>
      <x:c r="S567" s="21" t="str"/>
      <x:c r="T567" s="17" t="str">
        <x:v>false</x:v>
      </x:c>
      <x:c r="U567" s="17" t="str">
        <x:v>true</x:v>
      </x:c>
      <x:c r="V567" s="17" t="str">
        <x:v>false</x:v>
      </x:c>
    </x:row>
    <x:row r="568" ht="80" customHeight="1">
      <x:c r="A568" s="25" t="str">
        <x:v>Jsoup</x:v>
      </x:c>
      <x:c r="B568" s="25" t="n">
        <x:v>62</x:v>
      </x:c>
      <x:c r="C568" s="25" t="str">
        <x:v>Round1</x:v>
      </x:c>
      <x:c r="D568" s="25" t="str">
        <x:v>NOT_AVAILABLE</x:v>
      </x:c>
      <x:c r="E568" s="25" t="str">
        <x:v>N/A</x:v>
      </x:c>
      <x:c r="F568" s="26" t="str">
        <x:v>Tests exist but current coverage did not complete</x:v>
      </x:c>
      <x:c r="G568" s="25" t="str">
        <x:v>true</x:v>
      </x:c>
      <x:c r="H568" s="25" t="str">
        <x:v>NOT_AVAILABLE</x:v>
      </x:c>
      <x:c r="I568" s="25" t="str">
        <x:v>NOT_RUN</x:v>
      </x:c>
      <x:c r="J568" s="25" t="str">
        <x:v>NOT_RUN</x:v>
      </x:c>
      <x:c r="K568" s="25" t="n">
        <x:v>1</x:v>
      </x:c>
      <x:c r="L568" s="27" t="b">
        <x:v>0</x:v>
      </x:c>
      <x:c r="M568" s="25" t="str">
        <x:v>Deepseek-flash-v4/state/Round1/shards/Jsoup.json</x:v>
      </x:c>
      <x:c r="N568" s="25" t="str">
        <x:v>Deepseek-flash-v4/Result/Jsoup_62/result.json</x:v>
      </x:c>
      <x:c r="O568" s="25" t="str">
        <x:v>Deepseek-flash-v4/Result/Jsoup_62/result.json</x:v>
      </x:c>
      <x:c r="P568" t="str">
        <x:v>BOTH_NOT_RUN</x:v>
      </x:c>
      <x:c r="Q568" s="21" t="str"/>
      <x:c r="R568" s="21" t="str"/>
      <x:c r="S568" s="21" t="str"/>
      <x:c r="T568" s="17" t="str">
        <x:v>false</x:v>
      </x:c>
      <x:c r="U568" s="17" t="str">
        <x:v>true</x:v>
      </x:c>
      <x:c r="V568" s="17" t="str">
        <x:v>false</x:v>
      </x:c>
    </x:row>
    <x:row r="569" ht="80" customHeight="1">
      <x:c r="A569" s="25" t="str">
        <x:v>Jsoup</x:v>
      </x:c>
      <x:c r="B569" s="25" t="n">
        <x:v>63</x:v>
      </x:c>
      <x:c r="C569" s="25" t="str">
        <x:v>Round1</x:v>
      </x:c>
      <x:c r="D569" s="25" t="str">
        <x:v>NOT_AVAILABLE</x:v>
      </x:c>
      <x:c r="E569" s="25" t="str">
        <x:v>N/A</x:v>
      </x:c>
      <x:c r="F569" s="26" t="str">
        <x:v>Tests exist but current coverage did not complete</x:v>
      </x:c>
      <x:c r="G569" s="25" t="str">
        <x:v>true</x:v>
      </x:c>
      <x:c r="H569" s="25" t="str">
        <x:v>NOT_AVAILABLE</x:v>
      </x:c>
      <x:c r="I569" s="25" t="str">
        <x:v>NOT_RUN</x:v>
      </x:c>
      <x:c r="J569" s="25" t="str">
        <x:v>NOT_RUN</x:v>
      </x:c>
      <x:c r="K569" s="25" t="n">
        <x:v>2</x:v>
      </x:c>
      <x:c r="L569" s="27" t="b">
        <x:v>0</x:v>
      </x:c>
      <x:c r="M569" s="25" t="str">
        <x:v>Deepseek-flash-v4/state/Round1/shards/Jsoup.json</x:v>
      </x:c>
      <x:c r="N569" s="25" t="str">
        <x:v>Deepseek-flash-v4/Result/Jsoup_63/result.json</x:v>
      </x:c>
      <x:c r="O569" s="25" t="str">
        <x:v>Deepseek-flash-v4/Result/Jsoup_63/result.json</x:v>
      </x:c>
      <x:c r="P569" t="str">
        <x:v>BOTH_NOT_RUN</x:v>
      </x:c>
      <x:c r="Q569" s="21" t="str"/>
      <x:c r="R569" s="21" t="str"/>
      <x:c r="S569" s="21" t="str"/>
      <x:c r="T569" s="17" t="str">
        <x:v>false</x:v>
      </x:c>
      <x:c r="U569" s="17" t="str">
        <x:v>true</x:v>
      </x:c>
      <x:c r="V569" s="17" t="str">
        <x:v>false</x:v>
      </x:c>
    </x:row>
    <x:row r="570" ht="80" customHeight="1">
      <x:c r="A570" s="25" t="str">
        <x:v>Jsoup</x:v>
      </x:c>
      <x:c r="B570" s="25" t="n">
        <x:v>64</x:v>
      </x:c>
      <x:c r="C570" s="25" t="str">
        <x:v>Round1</x:v>
      </x:c>
      <x:c r="D570" s="25" t="str">
        <x:v>NOT_AVAILABLE</x:v>
      </x:c>
      <x:c r="E570" s="25" t="str">
        <x:v>N/A</x:v>
      </x:c>
      <x:c r="F570" s="26" t="str">
        <x:v>Tests exist but current coverage did not complete</x:v>
      </x:c>
      <x:c r="G570" s="25" t="str">
        <x:v>true</x:v>
      </x:c>
      <x:c r="H570" s="25" t="str">
        <x:v>NOT_AVAILABLE</x:v>
      </x:c>
      <x:c r="I570" s="25" t="str">
        <x:v>NOT_RUN</x:v>
      </x:c>
      <x:c r="J570" s="25" t="str">
        <x:v>NOT_RUN</x:v>
      </x:c>
      <x:c r="K570" s="25" t="n">
        <x:v>1</x:v>
      </x:c>
      <x:c r="L570" s="27" t="b">
        <x:v>0</x:v>
      </x:c>
      <x:c r="M570" s="25" t="str">
        <x:v>Deepseek-flash-v4/state/Round1/shards/Jsoup.json</x:v>
      </x:c>
      <x:c r="N570" s="25" t="str">
        <x:v>Deepseek-flash-v4/Result/Jsoup_64/result.json</x:v>
      </x:c>
      <x:c r="O570" s="25" t="str">
        <x:v>Deepseek-flash-v4/Result/Jsoup_64/result.json</x:v>
      </x:c>
      <x:c r="P570" t="str">
        <x:v>BOTH_NOT_RUN</x:v>
      </x:c>
      <x:c r="Q570" s="21" t="str"/>
      <x:c r="R570" s="21" t="str"/>
      <x:c r="S570" s="21" t="str"/>
      <x:c r="T570" s="17" t="str">
        <x:v>false</x:v>
      </x:c>
      <x:c r="U570" s="17" t="str">
        <x:v>true</x:v>
      </x:c>
      <x:c r="V570" s="17" t="str">
        <x:v>false</x:v>
      </x:c>
    </x:row>
    <x:row r="571" ht="80" customHeight="1">
      <x:c r="A571" s="25" t="str">
        <x:v>Jsoup</x:v>
      </x:c>
      <x:c r="B571" s="25" t="n">
        <x:v>65</x:v>
      </x:c>
      <x:c r="C571" s="25" t="str">
        <x:v>Round1</x:v>
      </x:c>
      <x:c r="D571" s="25" t="str">
        <x:v>NOT_AVAILABLE</x:v>
      </x:c>
      <x:c r="E571" s="25" t="str">
        <x:v>N/A</x:v>
      </x:c>
      <x:c r="F571" s="26" t="str">
        <x:v>Tests exist but current coverage did not complete</x:v>
      </x:c>
      <x:c r="G571" s="25" t="str">
        <x:v>true</x:v>
      </x:c>
      <x:c r="H571" s="25" t="str">
        <x:v>NOT_AVAILABLE</x:v>
      </x:c>
      <x:c r="I571" s="25" t="str">
        <x:v>NOT_RUN</x:v>
      </x:c>
      <x:c r="J571" s="25" t="str">
        <x:v>NOT_RUN</x:v>
      </x:c>
      <x:c r="K571" s="25" t="n">
        <x:v>2</x:v>
      </x:c>
      <x:c r="L571" s="27" t="b">
        <x:v>0</x:v>
      </x:c>
      <x:c r="M571" s="25" t="str">
        <x:v>Deepseek-flash-v4/state/Round1/shards/Jsoup.json</x:v>
      </x:c>
      <x:c r="N571" s="25" t="str">
        <x:v>Deepseek-flash-v4/Result/Jsoup_65/result.json</x:v>
      </x:c>
      <x:c r="O571" s="25" t="str">
        <x:v>Deepseek-flash-v4/Result/Jsoup_65/result.json</x:v>
      </x:c>
      <x:c r="P571" t="str">
        <x:v>BOTH_NOT_RUN</x:v>
      </x:c>
      <x:c r="Q571" s="21" t="str"/>
      <x:c r="R571" s="21" t="str"/>
      <x:c r="S571" s="21" t="str"/>
      <x:c r="T571" s="17" t="str">
        <x:v>false</x:v>
      </x:c>
      <x:c r="U571" s="17" t="str">
        <x:v>true</x:v>
      </x:c>
      <x:c r="V571" s="17" t="str">
        <x:v>false</x:v>
      </x:c>
    </x:row>
    <x:row r="572" ht="80" customHeight="1">
      <x:c r="A572" s="25" t="str">
        <x:v>Jsoup</x:v>
      </x:c>
      <x:c r="B572" s="25" t="n">
        <x:v>66</x:v>
      </x:c>
      <x:c r="C572" s="25" t="str">
        <x:v>Round1</x:v>
      </x:c>
      <x:c r="D572" s="25" t="str">
        <x:v>NOT_AVAILABLE</x:v>
      </x:c>
      <x:c r="E572" s="25" t="str">
        <x:v>N/A</x:v>
      </x:c>
      <x:c r="F572" s="26" t="str">
        <x:v>Tests exist but current coverage did not complete</x:v>
      </x:c>
      <x:c r="G572" s="25" t="str">
        <x:v>true</x:v>
      </x:c>
      <x:c r="H572" s="25" t="str">
        <x:v>NOT_AVAILABLE</x:v>
      </x:c>
      <x:c r="I572" s="25" t="str">
        <x:v>NOT_RUN</x:v>
      </x:c>
      <x:c r="J572" s="25" t="str">
        <x:v>NOT_RUN</x:v>
      </x:c>
      <x:c r="K572" s="25" t="n">
        <x:v>1</x:v>
      </x:c>
      <x:c r="L572" s="27" t="b">
        <x:v>0</x:v>
      </x:c>
      <x:c r="M572" s="25" t="str">
        <x:v>Deepseek-flash-v4/state/Round1/shards/Jsoup.json</x:v>
      </x:c>
      <x:c r="N572" s="25" t="str">
        <x:v>Deepseek-flash-v4/Result/Jsoup_66/result.json</x:v>
      </x:c>
      <x:c r="O572" s="25" t="str">
        <x:v>Deepseek-flash-v4/Result/Jsoup_66/result.json</x:v>
      </x:c>
      <x:c r="P572" t="str">
        <x:v>BOTH_NOT_RUN</x:v>
      </x:c>
      <x:c r="Q572" s="21" t="str"/>
      <x:c r="R572" s="21" t="str"/>
      <x:c r="S572" s="21" t="str"/>
      <x:c r="T572" s="17" t="str">
        <x:v>false</x:v>
      </x:c>
      <x:c r="U572" s="17" t="str">
        <x:v>true</x:v>
      </x:c>
      <x:c r="V572" s="17" t="str">
        <x:v>false</x:v>
      </x:c>
    </x:row>
    <x:row r="573" ht="80" customHeight="1">
      <x:c r="A573" s="25" t="str">
        <x:v>Jsoup</x:v>
      </x:c>
      <x:c r="B573" s="25" t="n">
        <x:v>67</x:v>
      </x:c>
      <x:c r="C573" s="25" t="str">
        <x:v>Round1</x:v>
      </x:c>
      <x:c r="D573" s="25" t="str">
        <x:v>NOT_AVAILABLE</x:v>
      </x:c>
      <x:c r="E573" s="25" t="str">
        <x:v>N/A</x:v>
      </x:c>
      <x:c r="F573" s="26" t="str">
        <x:v>Tests exist but current coverage did not complete</x:v>
      </x:c>
      <x:c r="G573" s="25" t="str">
        <x:v>true</x:v>
      </x:c>
      <x:c r="H573" s="25" t="str">
        <x:v>NOT_AVAILABLE</x:v>
      </x:c>
      <x:c r="I573" s="25" t="str">
        <x:v>NOT_RUN</x:v>
      </x:c>
      <x:c r="J573" s="25" t="str">
        <x:v>NOT_RUN</x:v>
      </x:c>
      <x:c r="K573" s="25" t="n">
        <x:v>1</x:v>
      </x:c>
      <x:c r="L573" s="27" t="b">
        <x:v>0</x:v>
      </x:c>
      <x:c r="M573" s="25" t="str">
        <x:v>Deepseek-flash-v4/state/Round1/shards/Jsoup.json</x:v>
      </x:c>
      <x:c r="N573" s="25" t="str">
        <x:v>Deepseek-flash-v4/Result/Jsoup_67/result.json</x:v>
      </x:c>
      <x:c r="O573" s="25" t="str">
        <x:v>Deepseek-flash-v4/Result/Jsoup_67/result.json</x:v>
      </x:c>
      <x:c r="P573" t="str">
        <x:v>BOTH_NOT_RUN</x:v>
      </x:c>
      <x:c r="Q573" s="21" t="str"/>
      <x:c r="R573" s="21" t="str"/>
      <x:c r="S573" s="21" t="str"/>
      <x:c r="T573" s="17" t="str">
        <x:v>false</x:v>
      </x:c>
      <x:c r="U573" s="17" t="str">
        <x:v>true</x:v>
      </x:c>
      <x:c r="V573" s="17" t="str">
        <x:v>false</x:v>
      </x:c>
    </x:row>
    <x:row r="574" ht="80" customHeight="1">
      <x:c r="A574" s="25" t="str">
        <x:v>Jsoup</x:v>
      </x:c>
      <x:c r="B574" s="25" t="n">
        <x:v>68</x:v>
      </x:c>
      <x:c r="C574" s="25" t="str">
        <x:v>Round1</x:v>
      </x:c>
      <x:c r="D574" s="25" t="str">
        <x:v>NOT_AVAILABLE</x:v>
      </x:c>
      <x:c r="E574" s="25" t="str">
        <x:v>N/A</x:v>
      </x:c>
      <x:c r="F574" s="26" t="str">
        <x:v>Tests exist but current coverage did not complete</x:v>
      </x:c>
      <x:c r="G574" s="25" t="str">
        <x:v>true</x:v>
      </x:c>
      <x:c r="H574" s="25" t="str">
        <x:v>NOT_AVAILABLE</x:v>
      </x:c>
      <x:c r="I574" s="25" t="str">
        <x:v>NOT_RUN</x:v>
      </x:c>
      <x:c r="J574" s="25" t="str">
        <x:v>NOT_RUN</x:v>
      </x:c>
      <x:c r="K574" s="25" t="n">
        <x:v>1</x:v>
      </x:c>
      <x:c r="L574" s="27" t="b">
        <x:v>0</x:v>
      </x:c>
      <x:c r="M574" s="25" t="str">
        <x:v>Deepseek-flash-v4/state/Round1/shards/Jsoup.json</x:v>
      </x:c>
      <x:c r="N574" s="25" t="str">
        <x:v>Deepseek-flash-v4/Result/Jsoup_68/result.json</x:v>
      </x:c>
      <x:c r="O574" s="25" t="str">
        <x:v>Deepseek-flash-v4/Result/Jsoup_68/result.json</x:v>
      </x:c>
      <x:c r="P574" t="str">
        <x:v>BOTH_NOT_RUN</x:v>
      </x:c>
      <x:c r="Q574" s="21" t="str"/>
      <x:c r="R574" s="21" t="str"/>
      <x:c r="S574" s="21" t="str"/>
      <x:c r="T574" s="17" t="str">
        <x:v>false</x:v>
      </x:c>
      <x:c r="U574" s="17" t="str">
        <x:v>true</x:v>
      </x:c>
      <x:c r="V574" s="17" t="str">
        <x:v>false</x:v>
      </x:c>
    </x:row>
    <x:row r="575" ht="80" customHeight="1">
      <x:c r="A575" s="25" t="str">
        <x:v>Jsoup</x:v>
      </x:c>
      <x:c r="B575" s="25" t="n">
        <x:v>69</x:v>
      </x:c>
      <x:c r="C575" s="25" t="str">
        <x:v>Round1</x:v>
      </x:c>
      <x:c r="D575" s="25" t="str">
        <x:v>INCONCLUSIVE</x:v>
      </x:c>
      <x:c r="E575" s="25" t="str">
        <x:v>N/A</x:v>
      </x:c>
      <x:c r="F575" s="26" t="str">
        <x:v>Fixed also failed; assertion failure cannot be attributed to this bug</x:v>
      </x:c>
      <x:c r="G575" s="25" t="str">
        <x:v>true</x:v>
      </x:c>
      <x:c r="H575" s="25" t="str">
        <x:v>INCONCLUSIVE</x:v>
      </x:c>
      <x:c r="I575" s="25" t="str">
        <x:v>FAIL</x:v>
      </x:c>
      <x:c r="J575" s="25" t="str">
        <x:v>FAIL</x:v>
      </x:c>
      <x:c r="K575" s="25" t="n">
        <x:v>1</x:v>
      </x:c>
      <x:c r="L575" s="27" t="b">
        <x:v>0</x:v>
      </x:c>
      <x:c r="M575" s="25" t="str">
        <x:v>Deepseek-flash-v4/state/Round1/shards/Jsoup.json</x:v>
      </x:c>
      <x:c r="N575" s="25" t="str">
        <x:v>Deepseek-flash-v4/Result/Jsoup_69/result.json</x:v>
      </x:c>
      <x:c r="O575" s="25" t="str">
        <x:v>Deepseek-flash-v4/Result/Jsoup_69/result.json</x:v>
      </x:c>
      <x:c r="P575"/>
      <x:c r="Q575" s="21" t="str"/>
      <x:c r="R575" s="21" t="str"/>
      <x:c r="S575" s="21" t="str"/>
      <x:c r="T575" s="17" t="str">
        <x:v>false</x:v>
      </x:c>
      <x:c r="U575" s="17" t="str">
        <x:v>true</x:v>
      </x:c>
      <x:c r="V575" s="17" t="str">
        <x:v>false</x:v>
      </x:c>
    </x:row>
    <x:row r="576" ht="80" customHeight="1">
      <x:c r="A576" s="25" t="str">
        <x:v>Jsoup</x:v>
      </x:c>
      <x:c r="B576" s="25" t="n">
        <x:v>7</x:v>
      </x:c>
      <x:c r="C576" s="25" t="str">
        <x:v>Round1</x:v>
      </x:c>
      <x:c r="D576" s="25" t="str">
        <x:v>NOT_AVAILABLE</x:v>
      </x:c>
      <x:c r="E576" s="25" t="str">
        <x:v>N/A</x:v>
      </x:c>
      <x:c r="F576" s="26" t="str">
        <x:v>Tests exist but current coverage did not complete</x:v>
      </x:c>
      <x:c r="G576" s="25" t="str">
        <x:v>true</x:v>
      </x:c>
      <x:c r="H576" s="25" t="str">
        <x:v>NOT_AVAILABLE</x:v>
      </x:c>
      <x:c r="I576" s="25" t="str">
        <x:v>NOT_RUN</x:v>
      </x:c>
      <x:c r="J576" s="25" t="str">
        <x:v>NOT_RUN</x:v>
      </x:c>
      <x:c r="K576" s="25" t="n">
        <x:v>1</x:v>
      </x:c>
      <x:c r="L576" s="27" t="b">
        <x:v>0</x:v>
      </x:c>
      <x:c r="M576" s="25" t="str">
        <x:v>Deepseek-flash-v4/state/Round1/shards/Jsoup.json</x:v>
      </x:c>
      <x:c r="N576" s="25" t="str">
        <x:v>Deepseek-flash-v4/Result/Jsoup_7/result.json</x:v>
      </x:c>
      <x:c r="O576" s="25" t="str">
        <x:v>Deepseek-flash-v4/Result/Jsoup_7/result.json</x:v>
      </x:c>
      <x:c r="P576" t="str">
        <x:v>BOTH_NOT_RUN</x:v>
      </x:c>
      <x:c r="Q576" s="21" t="str"/>
      <x:c r="R576" s="21" t="str"/>
      <x:c r="S576" s="21" t="str"/>
      <x:c r="T576" s="17" t="str">
        <x:v>false</x:v>
      </x:c>
      <x:c r="U576" s="17" t="str">
        <x:v>true</x:v>
      </x:c>
      <x:c r="V576" s="17" t="str">
        <x:v>false</x:v>
      </x:c>
    </x:row>
    <x:row r="577" ht="80" customHeight="1">
      <x:c r="A577" s="25" t="str">
        <x:v>Jsoup</x:v>
      </x:c>
      <x:c r="B577" s="25" t="n">
        <x:v>70</x:v>
      </x:c>
      <x:c r="C577" s="25" t="str">
        <x:v>Round1</x:v>
      </x:c>
      <x:c r="D577" s="25" t="str">
        <x:v>NOT_AVAILABLE</x:v>
      </x:c>
      <x:c r="E577" s="25" t="str">
        <x:v>N/A</x:v>
      </x:c>
      <x:c r="F577" s="26" t="str">
        <x:v>Tests exist but current coverage did not complete</x:v>
      </x:c>
      <x:c r="G577" s="25" t="str">
        <x:v>true</x:v>
      </x:c>
      <x:c r="H577" s="25" t="str">
        <x:v>NOT_AVAILABLE</x:v>
      </x:c>
      <x:c r="I577" s="25" t="str">
        <x:v>NOT_RUN</x:v>
      </x:c>
      <x:c r="J577" s="25" t="str">
        <x:v>NOT_RUN</x:v>
      </x:c>
      <x:c r="K577" s="25" t="n">
        <x:v>1</x:v>
      </x:c>
      <x:c r="L577" s="27" t="b">
        <x:v>0</x:v>
      </x:c>
      <x:c r="M577" s="25" t="str">
        <x:v>Deepseek-flash-v4/state/Round1/shards/Jsoup.json</x:v>
      </x:c>
      <x:c r="N577" s="25" t="str">
        <x:v>Deepseek-flash-v4/Result/Jsoup_70/result.json</x:v>
      </x:c>
      <x:c r="O577" s="25" t="str">
        <x:v>Deepseek-flash-v4/Result/Jsoup_70/result.json</x:v>
      </x:c>
      <x:c r="P577" t="str">
        <x:v>BOTH_NOT_RUN</x:v>
      </x:c>
      <x:c r="Q577" s="21" t="str"/>
      <x:c r="R577" s="21" t="str"/>
      <x:c r="S577" s="21" t="str"/>
      <x:c r="T577" s="17" t="str">
        <x:v>false</x:v>
      </x:c>
      <x:c r="U577" s="17" t="str">
        <x:v>true</x:v>
      </x:c>
      <x:c r="V577" s="17" t="str">
        <x:v>false</x:v>
      </x:c>
    </x:row>
    <x:row r="578" ht="80" customHeight="1">
      <x:c r="A578" s="25" t="str">
        <x:v>Jsoup</x:v>
      </x:c>
      <x:c r="B578" s="25" t="n">
        <x:v>71</x:v>
      </x:c>
      <x:c r="C578" s="25" t="str">
        <x:v>Round1</x:v>
      </x:c>
      <x:c r="D578" s="25" t="str">
        <x:v>NOT_AVAILABLE</x:v>
      </x:c>
      <x:c r="E578" s="25" t="str">
        <x:v>N/A</x:v>
      </x:c>
      <x:c r="F578" s="26" t="str">
        <x:v>Tests exist but current coverage did not complete</x:v>
      </x:c>
      <x:c r="G578" s="25" t="str">
        <x:v>true</x:v>
      </x:c>
      <x:c r="H578" s="25" t="str">
        <x:v>NOT_AVAILABLE</x:v>
      </x:c>
      <x:c r="I578" s="25" t="str">
        <x:v>NOT_RUN</x:v>
      </x:c>
      <x:c r="J578" s="25" t="str">
        <x:v>NOT_RUN</x:v>
      </x:c>
      <x:c r="K578" s="25" t="n">
        <x:v>2</x:v>
      </x:c>
      <x:c r="L578" s="27" t="b">
        <x:v>0</x:v>
      </x:c>
      <x:c r="M578" s="25" t="str">
        <x:v>Deepseek-flash-v4/state/Round1/shards/Jsoup.json</x:v>
      </x:c>
      <x:c r="N578" s="25" t="str">
        <x:v>Deepseek-flash-v4/Result/Jsoup_71/result.json</x:v>
      </x:c>
      <x:c r="O578" s="25" t="str">
        <x:v>Deepseek-flash-v4/Result/Jsoup_71/result.json</x:v>
      </x:c>
      <x:c r="P578" t="str">
        <x:v>BOTH_NOT_RUN</x:v>
      </x:c>
      <x:c r="Q578" s="21" t="str"/>
      <x:c r="R578" s="21" t="str"/>
      <x:c r="S578" s="21" t="str"/>
      <x:c r="T578" s="17" t="str">
        <x:v>false</x:v>
      </x:c>
      <x:c r="U578" s="17" t="str">
        <x:v>true</x:v>
      </x:c>
      <x:c r="V578" s="17" t="str">
        <x:v>false</x:v>
      </x:c>
    </x:row>
    <x:row r="579" ht="80" customHeight="1">
      <x:c r="A579" s="25" t="str">
        <x:v>Jsoup</x:v>
      </x:c>
      <x:c r="B579" s="25" t="n">
        <x:v>72</x:v>
      </x:c>
      <x:c r="C579" s="25" t="str">
        <x:v>Round1</x:v>
      </x:c>
      <x:c r="D579" s="25" t="str">
        <x:v>INCONCLUSIVE</x:v>
      </x:c>
      <x:c r="E579" s="25" t="str">
        <x:v>N/A</x:v>
      </x:c>
      <x:c r="F579" s="26" t="str">
        <x:v>Fixed also failed; assertion failure cannot be attributed to this bug</x:v>
      </x:c>
      <x:c r="G579" s="25" t="str">
        <x:v>true</x:v>
      </x:c>
      <x:c r="H579" s="25" t="str">
        <x:v>INCONCLUSIVE</x:v>
      </x:c>
      <x:c r="I579" s="25" t="str">
        <x:v>FAIL</x:v>
      </x:c>
      <x:c r="J579" s="25" t="str">
        <x:v>FAIL</x:v>
      </x:c>
      <x:c r="K579" s="25" t="n">
        <x:v>1</x:v>
      </x:c>
      <x:c r="L579" s="27" t="b">
        <x:v>0</x:v>
      </x:c>
      <x:c r="M579" s="25" t="str">
        <x:v>Deepseek-flash-v4/state/Round1/shards/Jsoup.json</x:v>
      </x:c>
      <x:c r="N579" s="25" t="str">
        <x:v>Deepseek-flash-v4/Result/Jsoup_72/result.json</x:v>
      </x:c>
      <x:c r="O579" s="25" t="str">
        <x:v>Deepseek-flash-v4/Result/Jsoup_72/result.json</x:v>
      </x:c>
      <x:c r="P579"/>
      <x:c r="Q579" s="21" t="str"/>
      <x:c r="R579" s="21" t="str"/>
      <x:c r="S579" s="21" t="str"/>
      <x:c r="T579" s="17" t="str">
        <x:v>false</x:v>
      </x:c>
      <x:c r="U579" s="17" t="str">
        <x:v>true</x:v>
      </x:c>
      <x:c r="V579" s="17" t="str">
        <x:v>false</x:v>
      </x:c>
    </x:row>
    <x:row r="580" ht="80" customHeight="1">
      <x:c r="A580" s="25" t="str">
        <x:v>Jsoup</x:v>
      </x:c>
      <x:c r="B580" s="25" t="n">
        <x:v>73</x:v>
      </x:c>
      <x:c r="C580" s="25" t="str">
        <x:v>Round1</x:v>
      </x:c>
      <x:c r="D580" s="25" t="str">
        <x:v>NOT_AVAILABLE</x:v>
      </x:c>
      <x:c r="E580" s="25" t="str">
        <x:v>N/A</x:v>
      </x:c>
      <x:c r="F580" s="26" t="str">
        <x:v>Tests exist but current coverage did not complete</x:v>
      </x:c>
      <x:c r="G580" s="25" t="str">
        <x:v>true</x:v>
      </x:c>
      <x:c r="H580" s="25" t="str">
        <x:v>NOT_AVAILABLE</x:v>
      </x:c>
      <x:c r="I580" s="25" t="str">
        <x:v>NOT_RUN</x:v>
      </x:c>
      <x:c r="J580" s="25" t="str">
        <x:v>NOT_RUN</x:v>
      </x:c>
      <x:c r="K580" s="25" t="n">
        <x:v>1</x:v>
      </x:c>
      <x:c r="L580" s="27" t="b">
        <x:v>0</x:v>
      </x:c>
      <x:c r="M580" s="25" t="str">
        <x:v>Deepseek-flash-v4/state/Round1/shards/Jsoup.json</x:v>
      </x:c>
      <x:c r="N580" s="25" t="str">
        <x:v>Deepseek-flash-v4/Result/Jsoup_73/result.json</x:v>
      </x:c>
      <x:c r="O580" s="25" t="str">
        <x:v>Deepseek-flash-v4/Result/Jsoup_73/result.json</x:v>
      </x:c>
      <x:c r="P580" t="str">
        <x:v>BOTH_NOT_RUN</x:v>
      </x:c>
      <x:c r="Q580" s="21" t="str"/>
      <x:c r="R580" s="21" t="str"/>
      <x:c r="S580" s="21" t="str"/>
      <x:c r="T580" s="17" t="str">
        <x:v>false</x:v>
      </x:c>
      <x:c r="U580" s="17" t="str">
        <x:v>true</x:v>
      </x:c>
      <x:c r="V580" s="17" t="str">
        <x:v>false</x:v>
      </x:c>
    </x:row>
    <x:row r="581" ht="80" customHeight="1">
      <x:c r="A581" s="25" t="str">
        <x:v>Jsoup</x:v>
      </x:c>
      <x:c r="B581" s="25" t="n">
        <x:v>74</x:v>
      </x:c>
      <x:c r="C581" s="25" t="str">
        <x:v>Round1</x:v>
      </x:c>
      <x:c r="D581" s="25" t="str">
        <x:v>INCONCLUSIVE</x:v>
      </x:c>
      <x:c r="E581" s="25" t="str">
        <x:v>N/A</x:v>
      </x:c>
      <x:c r="F581" s="26" t="str">
        <x:v>Fixed also failed; assertion failure cannot be attributed to this bug</x:v>
      </x:c>
      <x:c r="G581" s="25" t="str">
        <x:v>true</x:v>
      </x:c>
      <x:c r="H581" s="25" t="str">
        <x:v>INCONCLUSIVE</x:v>
      </x:c>
      <x:c r="I581" s="25" t="str">
        <x:v>FAIL</x:v>
      </x:c>
      <x:c r="J581" s="25" t="str">
        <x:v>FAIL</x:v>
      </x:c>
      <x:c r="K581" s="25" t="n">
        <x:v>1</x:v>
      </x:c>
      <x:c r="L581" s="27" t="b">
        <x:v>0</x:v>
      </x:c>
      <x:c r="M581" s="25" t="str">
        <x:v>Deepseek-flash-v4/state/Round1/shards/Jsoup.json</x:v>
      </x:c>
      <x:c r="N581" s="25" t="str">
        <x:v>Deepseek-flash-v4/Result/Jsoup_74/result.json</x:v>
      </x:c>
      <x:c r="O581" s="25" t="str">
        <x:v>Deepseek-flash-v4/Result/Jsoup_74/result.json</x:v>
      </x:c>
      <x:c r="P581"/>
      <x:c r="Q581" s="21" t="str"/>
      <x:c r="R581" s="21" t="str"/>
      <x:c r="S581" s="21" t="str"/>
      <x:c r="T581" s="17" t="str">
        <x:v>false</x:v>
      </x:c>
      <x:c r="U581" s="17" t="str">
        <x:v>true</x:v>
      </x:c>
      <x:c r="V581" s="17" t="str">
        <x:v>false</x:v>
      </x:c>
    </x:row>
    <x:row r="582" ht="80" customHeight="1">
      <x:c r="A582" s="25" t="str">
        <x:v>Jsoup</x:v>
      </x:c>
      <x:c r="B582" s="25" t="n">
        <x:v>75</x:v>
      </x:c>
      <x:c r="C582" s="25" t="str">
        <x:v>Round1</x:v>
      </x:c>
      <x:c r="D582" s="25" t="str">
        <x:v>INCONCLUSIVE</x:v>
      </x:c>
      <x:c r="E582" s="25" t="str">
        <x:v>N/A</x:v>
      </x:c>
      <x:c r="F582" s="26" t="str">
        <x:v>Fixed also failed; assertion failure cannot be attributed to this bug</x:v>
      </x:c>
      <x:c r="G582" s="25" t="str">
        <x:v>true</x:v>
      </x:c>
      <x:c r="H582" s="25" t="str">
        <x:v>INCONCLUSIVE</x:v>
      </x:c>
      <x:c r="I582" s="25" t="str">
        <x:v>FAIL</x:v>
      </x:c>
      <x:c r="J582" s="25" t="str">
        <x:v>FAIL</x:v>
      </x:c>
      <x:c r="K582" s="25" t="n">
        <x:v>1</x:v>
      </x:c>
      <x:c r="L582" s="27" t="b">
        <x:v>0</x:v>
      </x:c>
      <x:c r="M582" s="25" t="str">
        <x:v>Deepseek-flash-v4/state/Round1/shards/Jsoup.json</x:v>
      </x:c>
      <x:c r="N582" s="25" t="str">
        <x:v>Deepseek-flash-v4/Result/Jsoup_75/result.json</x:v>
      </x:c>
      <x:c r="O582" s="25" t="str">
        <x:v>Deepseek-flash-v4/Result/Jsoup_75/result.json</x:v>
      </x:c>
      <x:c r="P582"/>
      <x:c r="Q582" s="21" t="str"/>
      <x:c r="R582" s="21" t="str"/>
      <x:c r="S582" s="21" t="str"/>
      <x:c r="T582" s="17" t="str">
        <x:v>false</x:v>
      </x:c>
      <x:c r="U582" s="17" t="str">
        <x:v>true</x:v>
      </x:c>
      <x:c r="V582" s="17" t="str">
        <x:v>false</x:v>
      </x:c>
    </x:row>
    <x:row r="583" ht="80" customHeight="1">
      <x:c r="A583" s="25" t="str">
        <x:v>Jsoup</x:v>
      </x:c>
      <x:c r="B583" s="25" t="n">
        <x:v>76</x:v>
      </x:c>
      <x:c r="C583" s="25" t="str">
        <x:v>Round1</x:v>
      </x:c>
      <x:c r="D583" s="25" t="str">
        <x:v>NOT_AVAILABLE</x:v>
      </x:c>
      <x:c r="E583" s="25" t="str">
        <x:v>N/A</x:v>
      </x:c>
      <x:c r="F583" s="26" t="str">
        <x:v>Tests exist but current coverage did not complete</x:v>
      </x:c>
      <x:c r="G583" s="25" t="str">
        <x:v>true</x:v>
      </x:c>
      <x:c r="H583" s="25" t="str">
        <x:v>NOT_AVAILABLE</x:v>
      </x:c>
      <x:c r="I583" s="25" t="str">
        <x:v>NOT_RUN</x:v>
      </x:c>
      <x:c r="J583" s="25" t="str">
        <x:v>NOT_RUN</x:v>
      </x:c>
      <x:c r="K583" s="25" t="n">
        <x:v>1</x:v>
      </x:c>
      <x:c r="L583" s="27" t="b">
        <x:v>0</x:v>
      </x:c>
      <x:c r="M583" s="25" t="str">
        <x:v>Deepseek-flash-v4/state/Round1/shards/Jsoup.json</x:v>
      </x:c>
      <x:c r="N583" s="25" t="str">
        <x:v>Deepseek-flash-v4/Result/Jsoup_76/result.json</x:v>
      </x:c>
      <x:c r="O583" s="25" t="str">
        <x:v>Deepseek-flash-v4/Result/Jsoup_76/result.json</x:v>
      </x:c>
      <x:c r="P583" t="str">
        <x:v>BOTH_NOT_RUN</x:v>
      </x:c>
      <x:c r="Q583" s="21" t="str"/>
      <x:c r="R583" s="21" t="str"/>
      <x:c r="S583" s="21" t="str"/>
      <x:c r="T583" s="17" t="str">
        <x:v>false</x:v>
      </x:c>
      <x:c r="U583" s="17" t="str">
        <x:v>true</x:v>
      </x:c>
      <x:c r="V583" s="17" t="str">
        <x:v>false</x:v>
      </x:c>
    </x:row>
    <x:row r="584" ht="80" customHeight="1">
      <x:c r="A584" s="25" t="str">
        <x:v>Jsoup</x:v>
      </x:c>
      <x:c r="B584" s="25" t="n">
        <x:v>77</x:v>
      </x:c>
      <x:c r="C584" s="25" t="str">
        <x:v>Round1</x:v>
      </x:c>
      <x:c r="D584" s="25" t="str">
        <x:v>NOT_AVAILABLE</x:v>
      </x:c>
      <x:c r="E584" s="25" t="str">
        <x:v>N/A</x:v>
      </x:c>
      <x:c r="F584" s="26" t="str">
        <x:v>Tests exist but current coverage did not complete</x:v>
      </x:c>
      <x:c r="G584" s="25" t="str">
        <x:v>true</x:v>
      </x:c>
      <x:c r="H584" s="25" t="str">
        <x:v>NOT_AVAILABLE</x:v>
      </x:c>
      <x:c r="I584" s="25" t="str">
        <x:v>NOT_RUN</x:v>
      </x:c>
      <x:c r="J584" s="25" t="str">
        <x:v>NOT_RUN</x:v>
      </x:c>
      <x:c r="K584" s="25" t="n">
        <x:v>1</x:v>
      </x:c>
      <x:c r="L584" s="27" t="b">
        <x:v>0</x:v>
      </x:c>
      <x:c r="M584" s="25" t="str">
        <x:v>Deepseek-flash-v4/state/Round1/shards/Jsoup.json</x:v>
      </x:c>
      <x:c r="N584" s="25" t="str">
        <x:v>Deepseek-flash-v4/Result/Jsoup_77/result.json</x:v>
      </x:c>
      <x:c r="O584" s="25" t="str">
        <x:v>Deepseek-flash-v4/Result/Jsoup_77/result.json</x:v>
      </x:c>
      <x:c r="P584" t="str">
        <x:v>BOTH_NOT_RUN</x:v>
      </x:c>
      <x:c r="Q584" s="21" t="str"/>
      <x:c r="R584" s="21" t="str"/>
      <x:c r="S584" s="21" t="str"/>
      <x:c r="T584" s="17" t="str">
        <x:v>false</x:v>
      </x:c>
      <x:c r="U584" s="17" t="str">
        <x:v>true</x:v>
      </x:c>
      <x:c r="V584" s="17" t="str">
        <x:v>false</x:v>
      </x:c>
    </x:row>
    <x:row r="585" ht="80" customHeight="1">
      <x:c r="A585" s="25" t="str">
        <x:v>Jsoup</x:v>
      </x:c>
      <x:c r="B585" s="25" t="n">
        <x:v>78</x:v>
      </x:c>
      <x:c r="C585" s="25" t="str">
        <x:v>Round1</x:v>
      </x:c>
      <x:c r="D585" s="25" t="str">
        <x:v>INCONCLUSIVE</x:v>
      </x:c>
      <x:c r="E585" s="25" t="str">
        <x:v>N/A</x:v>
      </x:c>
      <x:c r="F585" s="26" t="str">
        <x:v>Fixed also failed; assertion failure cannot be attributed to this bug</x:v>
      </x:c>
      <x:c r="G585" s="25" t="str">
        <x:v>true</x:v>
      </x:c>
      <x:c r="H585" s="25" t="str">
        <x:v>INCONCLUSIVE</x:v>
      </x:c>
      <x:c r="I585" s="25" t="str">
        <x:v>FAIL</x:v>
      </x:c>
      <x:c r="J585" s="25" t="str">
        <x:v>FAIL</x:v>
      </x:c>
      <x:c r="K585" s="25" t="n">
        <x:v>1</x:v>
      </x:c>
      <x:c r="L585" s="27" t="b">
        <x:v>0</x:v>
      </x:c>
      <x:c r="M585" s="25" t="str">
        <x:v>Deepseek-flash-v4/state/Round1/shards/Jsoup.json</x:v>
      </x:c>
      <x:c r="N585" s="25" t="str">
        <x:v>Deepseek-flash-v4/Result/Jsoup_78/result.json</x:v>
      </x:c>
      <x:c r="O585" s="25" t="str">
        <x:v>Deepseek-flash-v4/Result/Jsoup_78/result.json</x:v>
      </x:c>
      <x:c r="P585"/>
      <x:c r="Q585" s="21" t="str"/>
      <x:c r="R585" s="21" t="str"/>
      <x:c r="S585" s="21" t="str"/>
      <x:c r="T585" s="17" t="str">
        <x:v>false</x:v>
      </x:c>
      <x:c r="U585" s="17" t="str">
        <x:v>true</x:v>
      </x:c>
      <x:c r="V585" s="17" t="str">
        <x:v>false</x:v>
      </x:c>
    </x:row>
    <x:row r="586" ht="80" customHeight="1">
      <x:c r="A586" s="25" t="str">
        <x:v>Jsoup</x:v>
      </x:c>
      <x:c r="B586" s="25" t="n">
        <x:v>79</x:v>
      </x:c>
      <x:c r="C586" s="25" t="str">
        <x:v>Round1</x:v>
      </x:c>
      <x:c r="D586" s="25" t="str">
        <x:v>NOT_AVAILABLE</x:v>
      </x:c>
      <x:c r="E586" s="25" t="str">
        <x:v>N/A</x:v>
      </x:c>
      <x:c r="F586" s="26" t="str">
        <x:v>Tests exist but current coverage did not complete</x:v>
      </x:c>
      <x:c r="G586" s="25" t="str">
        <x:v>true</x:v>
      </x:c>
      <x:c r="H586" s="25" t="str">
        <x:v>NOT_AVAILABLE</x:v>
      </x:c>
      <x:c r="I586" s="25" t="str">
        <x:v>NOT_RUN</x:v>
      </x:c>
      <x:c r="J586" s="25" t="str">
        <x:v>NOT_RUN</x:v>
      </x:c>
      <x:c r="K586" s="25" t="n">
        <x:v>1</x:v>
      </x:c>
      <x:c r="L586" s="27" t="b">
        <x:v>0</x:v>
      </x:c>
      <x:c r="M586" s="25" t="str">
        <x:v>Deepseek-flash-v4/state/Round1/shards/Jsoup.json</x:v>
      </x:c>
      <x:c r="N586" s="25" t="str">
        <x:v>Deepseek-flash-v4/Result/Jsoup_79/result.json</x:v>
      </x:c>
      <x:c r="O586" s="25" t="str">
        <x:v>Deepseek-flash-v4/Result/Jsoup_79/result.json</x:v>
      </x:c>
      <x:c r="P586" t="str">
        <x:v>BOTH_NOT_RUN</x:v>
      </x:c>
      <x:c r="Q586" s="21" t="str"/>
      <x:c r="R586" s="21" t="str"/>
      <x:c r="S586" s="21" t="str"/>
      <x:c r="T586" s="17" t="str">
        <x:v>false</x:v>
      </x:c>
      <x:c r="U586" s="17" t="str">
        <x:v>true</x:v>
      </x:c>
      <x:c r="V586" s="17" t="str">
        <x:v>false</x:v>
      </x:c>
    </x:row>
    <x:row r="587" ht="80" customHeight="1">
      <x:c r="A587" s="25" t="str">
        <x:v>Jsoup</x:v>
      </x:c>
      <x:c r="B587" s="25" t="n">
        <x:v>8</x:v>
      </x:c>
      <x:c r="C587" s="25" t="str">
        <x:v>Round1</x:v>
      </x:c>
      <x:c r="D587" s="25" t="str">
        <x:v>NOT_AVAILABLE</x:v>
      </x:c>
      <x:c r="E587" s="25" t="str">
        <x:v>N/A</x:v>
      </x:c>
      <x:c r="F587" s="26" t="str">
        <x:v>Tests exist but current coverage did not complete</x:v>
      </x:c>
      <x:c r="G587" s="25" t="str">
        <x:v>true</x:v>
      </x:c>
      <x:c r="H587" s="25" t="str">
        <x:v>NOT_AVAILABLE</x:v>
      </x:c>
      <x:c r="I587" s="25" t="str">
        <x:v>NOT_RUN</x:v>
      </x:c>
      <x:c r="J587" s="25" t="str">
        <x:v>NOT_RUN</x:v>
      </x:c>
      <x:c r="K587" s="25" t="n">
        <x:v>1</x:v>
      </x:c>
      <x:c r="L587" s="27" t="b">
        <x:v>0</x:v>
      </x:c>
      <x:c r="M587" s="25" t="str">
        <x:v>Deepseek-flash-v4/state/Round1/shards/Jsoup.json</x:v>
      </x:c>
      <x:c r="N587" s="25" t="str">
        <x:v>Deepseek-flash-v4/Result/Jsoup_8/result.json</x:v>
      </x:c>
      <x:c r="O587" s="25" t="str">
        <x:v>Deepseek-flash-v4/Result/Jsoup_8/result.json</x:v>
      </x:c>
      <x:c r="P587" t="str">
        <x:v>BOTH_NOT_RUN</x:v>
      </x:c>
      <x:c r="Q587" s="21" t="str"/>
      <x:c r="R587" s="21" t="str"/>
      <x:c r="S587" s="21" t="str"/>
      <x:c r="T587" s="17" t="str">
        <x:v>false</x:v>
      </x:c>
      <x:c r="U587" s="17" t="str">
        <x:v>true</x:v>
      </x:c>
      <x:c r="V587" s="17" t="str">
        <x:v>false</x:v>
      </x:c>
    </x:row>
    <x:row r="588" ht="80" customHeight="1">
      <x:c r="A588" s="25" t="str">
        <x:v>Jsoup</x:v>
      </x:c>
      <x:c r="B588" s="25" t="n">
        <x:v>80</x:v>
      </x:c>
      <x:c r="C588" s="25" t="str">
        <x:v>Round1</x:v>
      </x:c>
      <x:c r="D588" s="25" t="str">
        <x:v>NOT_AVAILABLE</x:v>
      </x:c>
      <x:c r="E588" s="25" t="str">
        <x:v>N/A</x:v>
      </x:c>
      <x:c r="F588" s="26" t="str">
        <x:v>Tests exist but current coverage did not complete</x:v>
      </x:c>
      <x:c r="G588" s="25" t="str">
        <x:v>true</x:v>
      </x:c>
      <x:c r="H588" s="25" t="str">
        <x:v>NOT_AVAILABLE</x:v>
      </x:c>
      <x:c r="I588" s="25" t="str">
        <x:v>NOT_RUN</x:v>
      </x:c>
      <x:c r="J588" s="25" t="str">
        <x:v>NOT_RUN</x:v>
      </x:c>
      <x:c r="K588" s="25" t="n">
        <x:v>1</x:v>
      </x:c>
      <x:c r="L588" s="27" t="b">
        <x:v>0</x:v>
      </x:c>
      <x:c r="M588" s="25" t="str">
        <x:v>Deepseek-flash-v4/state/Round1/shards/Jsoup.json</x:v>
      </x:c>
      <x:c r="N588" s="25" t="str">
        <x:v>Deepseek-flash-v4/Result/Jsoup_80/result.json</x:v>
      </x:c>
      <x:c r="O588" s="25" t="str">
        <x:v>Deepseek-flash-v4/Result/Jsoup_80/result.json</x:v>
      </x:c>
      <x:c r="P588" t="str">
        <x:v>BOTH_NOT_RUN</x:v>
      </x:c>
      <x:c r="Q588" s="21" t="str"/>
      <x:c r="R588" s="21" t="str"/>
      <x:c r="S588" s="21" t="str"/>
      <x:c r="T588" s="17" t="str">
        <x:v>false</x:v>
      </x:c>
      <x:c r="U588" s="17" t="str">
        <x:v>true</x:v>
      </x:c>
      <x:c r="V588" s="17" t="str">
        <x:v>false</x:v>
      </x:c>
    </x:row>
    <x:row r="589" ht="80" customHeight="1">
      <x:c r="A589" s="25" t="str">
        <x:v>Jsoup</x:v>
      </x:c>
      <x:c r="B589" s="25" t="n">
        <x:v>81</x:v>
      </x:c>
      <x:c r="C589" s="25" t="str">
        <x:v>Round1</x:v>
      </x:c>
      <x:c r="D589" s="25" t="str">
        <x:v>NOT_AVAILABLE</x:v>
      </x:c>
      <x:c r="E589" s="25" t="str">
        <x:v>N/A</x:v>
      </x:c>
      <x:c r="F589" s="26" t="str">
        <x:v>Tests exist but current coverage did not complete</x:v>
      </x:c>
      <x:c r="G589" s="25" t="str">
        <x:v>true</x:v>
      </x:c>
      <x:c r="H589" s="25" t="str">
        <x:v>NOT_AVAILABLE</x:v>
      </x:c>
      <x:c r="I589" s="25" t="str">
        <x:v>NOT_RUN</x:v>
      </x:c>
      <x:c r="J589" s="25" t="str">
        <x:v>NOT_RUN</x:v>
      </x:c>
      <x:c r="K589" s="25" t="n">
        <x:v>1</x:v>
      </x:c>
      <x:c r="L589" s="27" t="b">
        <x:v>0</x:v>
      </x:c>
      <x:c r="M589" s="25" t="str">
        <x:v>Deepseek-flash-v4/state/Round1/shards/Jsoup.json</x:v>
      </x:c>
      <x:c r="N589" s="25" t="str">
        <x:v>Deepseek-flash-v4/Result/Jsoup_81/result.json</x:v>
      </x:c>
      <x:c r="O589" s="25" t="str">
        <x:v>Deepseek-flash-v4/Result/Jsoup_81/result.json</x:v>
      </x:c>
      <x:c r="P589" t="str">
        <x:v>BOTH_NOT_RUN</x:v>
      </x:c>
      <x:c r="Q589" s="21" t="str"/>
      <x:c r="R589" s="21" t="str"/>
      <x:c r="S589" s="21" t="str"/>
      <x:c r="T589" s="17" t="str">
        <x:v>false</x:v>
      </x:c>
      <x:c r="U589" s="17" t="str">
        <x:v>true</x:v>
      </x:c>
      <x:c r="V589" s="17" t="str">
        <x:v>false</x:v>
      </x:c>
    </x:row>
    <x:row r="590" ht="80" customHeight="1">
      <x:c r="A590" s="25" t="str">
        <x:v>Jsoup</x:v>
      </x:c>
      <x:c r="B590" s="25" t="n">
        <x:v>82</x:v>
      </x:c>
      <x:c r="C590" s="25" t="str">
        <x:v>Round1</x:v>
      </x:c>
      <x:c r="D590" s="25" t="str">
        <x:v>INCONCLUSIVE</x:v>
      </x:c>
      <x:c r="E590" s="25" t="str">
        <x:v>N/A</x:v>
      </x:c>
      <x:c r="F590" s="26" t="str">
        <x:v>Fixed also failed; assertion failure cannot be attributed to this bug</x:v>
      </x:c>
      <x:c r="G590" s="25" t="str">
        <x:v>true</x:v>
      </x:c>
      <x:c r="H590" s="25" t="str">
        <x:v>INCONCLUSIVE</x:v>
      </x:c>
      <x:c r="I590" s="25" t="str">
        <x:v>FAIL</x:v>
      </x:c>
      <x:c r="J590" s="25" t="str">
        <x:v>FAIL</x:v>
      </x:c>
      <x:c r="K590" s="25" t="n">
        <x:v>1</x:v>
      </x:c>
      <x:c r="L590" s="27" t="b">
        <x:v>0</x:v>
      </x:c>
      <x:c r="M590" s="25" t="str">
        <x:v>Deepseek-flash-v4/state/Round1/shards/Jsoup.json</x:v>
      </x:c>
      <x:c r="N590" s="25" t="str">
        <x:v>Deepseek-flash-v4/Result/Jsoup_82/result.json</x:v>
      </x:c>
      <x:c r="O590" s="25" t="str">
        <x:v>Deepseek-flash-v4/Result/Jsoup_82/result.json</x:v>
      </x:c>
      <x:c r="P590"/>
      <x:c r="Q590" s="21" t="str"/>
      <x:c r="R590" s="21" t="str"/>
      <x:c r="S590" s="21" t="str"/>
      <x:c r="T590" s="17" t="str">
        <x:v>false</x:v>
      </x:c>
      <x:c r="U590" s="17" t="str">
        <x:v>true</x:v>
      </x:c>
      <x:c r="V590" s="17" t="str">
        <x:v>false</x:v>
      </x:c>
    </x:row>
    <x:row r="591" ht="80" customHeight="1">
      <x:c r="A591" s="25" t="str">
        <x:v>Jsoup</x:v>
      </x:c>
      <x:c r="B591" s="25" t="n">
        <x:v>83</x:v>
      </x:c>
      <x:c r="C591" s="25" t="str">
        <x:v>Round1</x:v>
      </x:c>
      <x:c r="D591" s="25" t="str">
        <x:v>NOT_AVAILABLE</x:v>
      </x:c>
      <x:c r="E591" s="25" t="str">
        <x:v>N/A</x:v>
      </x:c>
      <x:c r="F591" s="26" t="str">
        <x:v>Tests exist but current coverage did not complete</x:v>
      </x:c>
      <x:c r="G591" s="25" t="str">
        <x:v>true</x:v>
      </x:c>
      <x:c r="H591" s="25" t="str">
        <x:v>NOT_AVAILABLE</x:v>
      </x:c>
      <x:c r="I591" s="25" t="str">
        <x:v>NOT_RUN</x:v>
      </x:c>
      <x:c r="J591" s="25" t="str">
        <x:v>NOT_RUN</x:v>
      </x:c>
      <x:c r="K591" s="25" t="n">
        <x:v>2</x:v>
      </x:c>
      <x:c r="L591" s="27" t="b">
        <x:v>0</x:v>
      </x:c>
      <x:c r="M591" s="25" t="str">
        <x:v>Deepseek-flash-v4/state/Round1/shards/Jsoup.json</x:v>
      </x:c>
      <x:c r="N591" s="25" t="str">
        <x:v>Deepseek-flash-v4/Result/Jsoup_83/result.json</x:v>
      </x:c>
      <x:c r="O591" s="25" t="str">
        <x:v>Deepseek-flash-v4/Result/Jsoup_83/result.json</x:v>
      </x:c>
      <x:c r="P591" t="str">
        <x:v>BOTH_NOT_RUN</x:v>
      </x:c>
      <x:c r="Q591" s="21" t="str"/>
      <x:c r="R591" s="21" t="str"/>
      <x:c r="S591" s="21" t="str"/>
      <x:c r="T591" s="17" t="str">
        <x:v>false</x:v>
      </x:c>
      <x:c r="U591" s="17" t="str">
        <x:v>true</x:v>
      </x:c>
      <x:c r="V591" s="17" t="str">
        <x:v>false</x:v>
      </x:c>
    </x:row>
    <x:row r="592" ht="80" customHeight="1">
      <x:c r="A592" s="25" t="str">
        <x:v>Jsoup</x:v>
      </x:c>
      <x:c r="B592" s="25" t="n">
        <x:v>84</x:v>
      </x:c>
      <x:c r="C592" s="25" t="str">
        <x:v>Round1</x:v>
      </x:c>
      <x:c r="D592" s="25" t="str">
        <x:v>NOT_AVAILABLE</x:v>
      </x:c>
      <x:c r="E592" s="25" t="str">
        <x:v>N/A</x:v>
      </x:c>
      <x:c r="F592" s="26" t="str">
        <x:v>Tests exist but current coverage did not complete</x:v>
      </x:c>
      <x:c r="G592" s="25" t="str">
        <x:v>true</x:v>
      </x:c>
      <x:c r="H592" s="25" t="str">
        <x:v>NOT_AVAILABLE</x:v>
      </x:c>
      <x:c r="I592" s="25" t="str">
        <x:v>NOT_RUN</x:v>
      </x:c>
      <x:c r="J592" s="25" t="str">
        <x:v>NOT_RUN</x:v>
      </x:c>
      <x:c r="K592" s="25" t="n">
        <x:v>1</x:v>
      </x:c>
      <x:c r="L592" s="27" t="b">
        <x:v>0</x:v>
      </x:c>
      <x:c r="M592" s="25" t="str">
        <x:v>Deepseek-flash-v4/state/Round1/shards/Jsoup.json</x:v>
      </x:c>
      <x:c r="N592" s="25" t="str">
        <x:v>Deepseek-flash-v4/Result/Jsoup_84/result.json</x:v>
      </x:c>
      <x:c r="O592" s="25" t="str">
        <x:v>Deepseek-flash-v4/Result/Jsoup_84/result.json</x:v>
      </x:c>
      <x:c r="P592" t="str">
        <x:v>BOTH_NOT_RUN</x:v>
      </x:c>
      <x:c r="Q592" s="21" t="str"/>
      <x:c r="R592" s="21" t="str"/>
      <x:c r="S592" s="21" t="str"/>
      <x:c r="T592" s="17" t="str">
        <x:v>false</x:v>
      </x:c>
      <x:c r="U592" s="17" t="str">
        <x:v>true</x:v>
      </x:c>
      <x:c r="V592" s="17" t="str">
        <x:v>false</x:v>
      </x:c>
    </x:row>
    <x:row r="593" ht="80" customHeight="1">
      <x:c r="A593" s="25" t="str">
        <x:v>Jsoup</x:v>
      </x:c>
      <x:c r="B593" s="25" t="n">
        <x:v>85</x:v>
      </x:c>
      <x:c r="C593" s="25" t="str">
        <x:v>Round1</x:v>
      </x:c>
      <x:c r="D593" s="25" t="str">
        <x:v>INCONCLUSIVE</x:v>
      </x:c>
      <x:c r="E593" s="25" t="str">
        <x:v>N/A</x:v>
      </x:c>
      <x:c r="F593" s="26" t="str">
        <x:v>Fixed also failed; assertion failure cannot be attributed to this bug</x:v>
      </x:c>
      <x:c r="G593" s="25" t="str">
        <x:v>true</x:v>
      </x:c>
      <x:c r="H593" s="25" t="str">
        <x:v>INCONCLUSIVE</x:v>
      </x:c>
      <x:c r="I593" s="25" t="str">
        <x:v>FAIL</x:v>
      </x:c>
      <x:c r="J593" s="25" t="str">
        <x:v>FAIL</x:v>
      </x:c>
      <x:c r="K593" s="25" t="n">
        <x:v>1</x:v>
      </x:c>
      <x:c r="L593" s="27" t="b">
        <x:v>0</x:v>
      </x:c>
      <x:c r="M593" s="25" t="str">
        <x:v>Deepseek-flash-v4/state/Round1/shards/Jsoup.json</x:v>
      </x:c>
      <x:c r="N593" s="25" t="str">
        <x:v>Deepseek-flash-v4/Result/Jsoup_85/result.json</x:v>
      </x:c>
      <x:c r="O593" s="25" t="str">
        <x:v>Deepseek-flash-v4/Result/Jsoup_85/result.json</x:v>
      </x:c>
      <x:c r="P593"/>
      <x:c r="Q593" s="21" t="str"/>
      <x:c r="R593" s="21" t="str"/>
      <x:c r="S593" s="21" t="str"/>
      <x:c r="T593" s="17" t="str">
        <x:v>false</x:v>
      </x:c>
      <x:c r="U593" s="17" t="str">
        <x:v>true</x:v>
      </x:c>
      <x:c r="V593" s="17" t="str">
        <x:v>false</x:v>
      </x:c>
    </x:row>
    <x:row r="594" ht="80" customHeight="1">
      <x:c r="A594" s="25" t="str">
        <x:v>Jsoup</x:v>
      </x:c>
      <x:c r="B594" s="25" t="n">
        <x:v>86</x:v>
      </x:c>
      <x:c r="C594" s="25" t="str">
        <x:v>Round1</x:v>
      </x:c>
      <x:c r="D594" s="25" t="str">
        <x:v>INCONCLUSIVE</x:v>
      </x:c>
      <x:c r="E594" s="25" t="str">
        <x:v>N/A</x:v>
      </x:c>
      <x:c r="F594" s="26" t="str">
        <x:v>Fixed also failed; assertion failure cannot be attributed to this bug</x:v>
      </x:c>
      <x:c r="G594" s="25" t="str">
        <x:v>true</x:v>
      </x:c>
      <x:c r="H594" s="25" t="str">
        <x:v>INCONCLUSIVE</x:v>
      </x:c>
      <x:c r="I594" s="25" t="str">
        <x:v>FAIL</x:v>
      </x:c>
      <x:c r="J594" s="25" t="str">
        <x:v>FAIL</x:v>
      </x:c>
      <x:c r="K594" s="25" t="n">
        <x:v>1</x:v>
      </x:c>
      <x:c r="L594" s="27" t="b">
        <x:v>0</x:v>
      </x:c>
      <x:c r="M594" s="25" t="str">
        <x:v>Deepseek-flash-v4/state/Round1/shards/Jsoup.json</x:v>
      </x:c>
      <x:c r="N594" s="25" t="str">
        <x:v>Deepseek-flash-v4/Result/Jsoup_86/result.json</x:v>
      </x:c>
      <x:c r="O594" s="25" t="str">
        <x:v>Deepseek-flash-v4/Result/Jsoup_86/result.json</x:v>
      </x:c>
      <x:c r="P594"/>
      <x:c r="Q594" s="21" t="str"/>
      <x:c r="R594" s="21" t="str"/>
      <x:c r="S594" s="21" t="str"/>
      <x:c r="T594" s="17" t="str">
        <x:v>false</x:v>
      </x:c>
      <x:c r="U594" s="17" t="str">
        <x:v>true</x:v>
      </x:c>
      <x:c r="V594" s="17" t="str">
        <x:v>false</x:v>
      </x:c>
    </x:row>
    <x:row r="595" ht="80" customHeight="1">
      <x:c r="A595" s="25" t="str">
        <x:v>Jsoup</x:v>
      </x:c>
      <x:c r="B595" s="25" t="n">
        <x:v>87</x:v>
      </x:c>
      <x:c r="C595" s="25" t="str">
        <x:v>Round1</x:v>
      </x:c>
      <x:c r="D595" s="25" t="str">
        <x:v>NOT_AVAILABLE</x:v>
      </x:c>
      <x:c r="E595" s="25" t="str">
        <x:v>N/A</x:v>
      </x:c>
      <x:c r="F595" s="26" t="str">
        <x:v>Tests exist but current coverage did not complete</x:v>
      </x:c>
      <x:c r="G595" s="25" t="str">
        <x:v>true</x:v>
      </x:c>
      <x:c r="H595" s="25" t="str">
        <x:v>NOT_AVAILABLE</x:v>
      </x:c>
      <x:c r="I595" s="25" t="str">
        <x:v>NOT_RUN</x:v>
      </x:c>
      <x:c r="J595" s="25" t="str">
        <x:v>NOT_RUN</x:v>
      </x:c>
      <x:c r="K595" s="25" t="n">
        <x:v>4</x:v>
      </x:c>
      <x:c r="L595" s="27" t="b">
        <x:v>0</x:v>
      </x:c>
      <x:c r="M595" s="25" t="str">
        <x:v>Deepseek-flash-v4/state/Round1/shards/Jsoup.json</x:v>
      </x:c>
      <x:c r="N595" s="25" t="str">
        <x:v>Deepseek-flash-v4/Result/Jsoup_87/result.json</x:v>
      </x:c>
      <x:c r="O595" s="25" t="str">
        <x:v>Deepseek-flash-v4/Result/Jsoup_87/result.json</x:v>
      </x:c>
      <x:c r="P595" t="str">
        <x:v>BOTH_NOT_RUN</x:v>
      </x:c>
      <x:c r="Q595" s="21" t="str"/>
      <x:c r="R595" s="21" t="str"/>
      <x:c r="S595" s="21" t="str"/>
      <x:c r="T595" s="17" t="str">
        <x:v>false</x:v>
      </x:c>
      <x:c r="U595" s="17" t="str">
        <x:v>true</x:v>
      </x:c>
      <x:c r="V595" s="17" t="str">
        <x:v>false</x:v>
      </x:c>
    </x:row>
    <x:row r="596" ht="80" customHeight="1">
      <x:c r="A596" s="25" t="str">
        <x:v>Jsoup</x:v>
      </x:c>
      <x:c r="B596" s="25" t="n">
        <x:v>88</x:v>
      </x:c>
      <x:c r="C596" s="25" t="str">
        <x:v>Round1</x:v>
      </x:c>
      <x:c r="D596" s="25" t="str">
        <x:v>NOT_REVEALING</x:v>
      </x:c>
      <x:c r="E596" s="25" t="str">
        <x:v>N/A</x:v>
      </x:c>
      <x:c r="F596" s="26" t="str">
        <x:v>Same saved validation suite passed on buggy and fixed</x:v>
      </x:c>
      <x:c r="G596" s="25" t="str">
        <x:v>true</x:v>
      </x:c>
      <x:c r="H596" s="25" t="str">
        <x:v>NOT_REVEALING</x:v>
      </x:c>
      <x:c r="I596" s="25" t="str">
        <x:v>PASS</x:v>
      </x:c>
      <x:c r="J596" s="25" t="str">
        <x:v>PASS</x:v>
      </x:c>
      <x:c r="K596" s="25" t="n">
        <x:v>1</x:v>
      </x:c>
      <x:c r="L596" s="27" t="b">
        <x:v>0</x:v>
      </x:c>
      <x:c r="M596" s="25" t="str">
        <x:v>Deepseek-flash-v4/state/Round1/shards/Jsoup.json</x:v>
      </x:c>
      <x:c r="N596" s="25" t="str">
        <x:v>Deepseek-flash-v4/Result/Jsoup_88/result.json</x:v>
      </x:c>
      <x:c r="O596" s="25" t="str">
        <x:v>Deepseek-flash-v4/Result/Jsoup_88/result.json</x:v>
      </x:c>
      <x:c r="P596"/>
      <x:c r="Q596" s="21" t="str"/>
      <x:c r="R596" s="21" t="str"/>
      <x:c r="S596" s="21" t="str"/>
      <x:c r="T596" s="17" t="str">
        <x:v>false</x:v>
      </x:c>
      <x:c r="U596" s="17" t="str">
        <x:v>true</x:v>
      </x:c>
      <x:c r="V596" s="17" t="str">
        <x:v>false</x:v>
      </x:c>
    </x:row>
    <x:row r="597" ht="80" customHeight="1">
      <x:c r="A597" s="25" t="str">
        <x:v>Jsoup</x:v>
      </x:c>
      <x:c r="B597" s="25" t="n">
        <x:v>89</x:v>
      </x:c>
      <x:c r="C597" s="25" t="str">
        <x:v>Round1</x:v>
      </x:c>
      <x:c r="D597" s="25" t="str">
        <x:v>INCONCLUSIVE</x:v>
      </x:c>
      <x:c r="E597" s="25" t="str">
        <x:v>N/A</x:v>
      </x:c>
      <x:c r="F597" s="26" t="str">
        <x:v>Fixed also failed; assertion failure cannot be attributed to this bug</x:v>
      </x:c>
      <x:c r="G597" s="25" t="str">
        <x:v>true</x:v>
      </x:c>
      <x:c r="H597" s="25" t="str">
        <x:v>INCONCLUSIVE</x:v>
      </x:c>
      <x:c r="I597" s="25" t="str">
        <x:v>FAIL</x:v>
      </x:c>
      <x:c r="J597" s="25" t="str">
        <x:v>FAIL</x:v>
      </x:c>
      <x:c r="K597" s="25" t="n">
        <x:v>1</x:v>
      </x:c>
      <x:c r="L597" s="27" t="b">
        <x:v>0</x:v>
      </x:c>
      <x:c r="M597" s="25" t="str">
        <x:v>Deepseek-flash-v4/state/Round1/shards/Jsoup.json</x:v>
      </x:c>
      <x:c r="N597" s="25" t="str">
        <x:v>Deepseek-flash-v4/Result/Jsoup_89/result.json</x:v>
      </x:c>
      <x:c r="O597" s="25" t="str">
        <x:v>Deepseek-flash-v4/Result/Jsoup_89/result.json</x:v>
      </x:c>
      <x:c r="P597"/>
      <x:c r="Q597" s="21" t="str"/>
      <x:c r="R597" s="21" t="str"/>
      <x:c r="S597" s="21" t="str"/>
      <x:c r="T597" s="17" t="str">
        <x:v>false</x:v>
      </x:c>
      <x:c r="U597" s="17" t="str">
        <x:v>true</x:v>
      </x:c>
      <x:c r="V597" s="17" t="str">
        <x:v>false</x:v>
      </x:c>
    </x:row>
    <x:row r="598" ht="80" customHeight="1">
      <x:c r="A598" s="25" t="str">
        <x:v>Jsoup</x:v>
      </x:c>
      <x:c r="B598" s="25" t="n">
        <x:v>9</x:v>
      </x:c>
      <x:c r="C598" s="25" t="str">
        <x:v>Round1</x:v>
      </x:c>
      <x:c r="D598" s="25" t="str">
        <x:v>NOT_AVAILABLE</x:v>
      </x:c>
      <x:c r="E598" s="25" t="str">
        <x:v>N/A</x:v>
      </x:c>
      <x:c r="F598" s="26" t="str">
        <x:v>Tests exist but current coverage did not complete</x:v>
      </x:c>
      <x:c r="G598" s="25" t="str">
        <x:v>true</x:v>
      </x:c>
      <x:c r="H598" s="25" t="str">
        <x:v>NOT_REVEALING</x:v>
      </x:c>
      <x:c r="I598" s="25" t="str">
        <x:v>PASS</x:v>
      </x:c>
      <x:c r="J598" s="25" t="str">
        <x:v>PASS</x:v>
      </x:c>
      <x:c r="K598" s="25" t="n">
        <x:v>1</x:v>
      </x:c>
      <x:c r="L598" s="27" t="b">
        <x:v>0</x:v>
      </x:c>
      <x:c r="M598" s="25" t="str">
        <x:v>Deepseek-flash-v4/state/Round1/shards/Jsoup.json</x:v>
      </x:c>
      <x:c r="N598" s="25" t="str">
        <x:v>Deepseek-flash-v4/Result/Jsoup_9/result.json</x:v>
      </x:c>
      <x:c r="O598" s="25" t="str">
        <x:v>Deepseek-flash-v4/Result/Jsoup_9/result.json</x:v>
      </x:c>
      <x:c r="P598" t="str">
        <x:v>COVERAGE_UNAVAILABLE</x:v>
      </x:c>
      <x:c r="Q598" s="21" t="str"/>
      <x:c r="R598" s="21" t="str"/>
      <x:c r="S598" s="21" t="str"/>
      <x:c r="T598" s="17" t="str">
        <x:v>false</x:v>
      </x:c>
      <x:c r="U598" s="17" t="str">
        <x:v>true</x:v>
      </x:c>
      <x:c r="V598" s="17" t="str">
        <x:v>true</x:v>
      </x:c>
    </x:row>
    <x:row r="599" ht="80" customHeight="1">
      <x:c r="A599" s="25" t="str">
        <x:v>Jsoup</x:v>
      </x:c>
      <x:c r="B599" s="25" t="n">
        <x:v>90</x:v>
      </x:c>
      <x:c r="C599" s="25" t="str">
        <x:v>Round1</x:v>
      </x:c>
      <x:c r="D599" s="25" t="str">
        <x:v>NOT_AVAILABLE</x:v>
      </x:c>
      <x:c r="E599" s="25" t="str">
        <x:v>N/A</x:v>
      </x:c>
      <x:c r="F599" s="26" t="str">
        <x:v>Tests exist but current coverage did not complete</x:v>
      </x:c>
      <x:c r="G599" s="25" t="str">
        <x:v>true</x:v>
      </x:c>
      <x:c r="H599" s="25" t="str">
        <x:v>NOT_AVAILABLE</x:v>
      </x:c>
      <x:c r="I599" s="25" t="str">
        <x:v>NOT_RUN</x:v>
      </x:c>
      <x:c r="J599" s="25" t="str">
        <x:v>NOT_RUN</x:v>
      </x:c>
      <x:c r="K599" s="25" t="n">
        <x:v>1</x:v>
      </x:c>
      <x:c r="L599" s="27" t="b">
        <x:v>0</x:v>
      </x:c>
      <x:c r="M599" s="25" t="str">
        <x:v>Deepseek-flash-v4/state/Round1/shards/Jsoup.json</x:v>
      </x:c>
      <x:c r="N599" s="25" t="str">
        <x:v>Deepseek-flash-v4/Result/Jsoup_90/result.json</x:v>
      </x:c>
      <x:c r="O599" s="25" t="str">
        <x:v>Deepseek-flash-v4/Result/Jsoup_90/result.json</x:v>
      </x:c>
      <x:c r="P599" t="str">
        <x:v>BOTH_NOT_RUN</x:v>
      </x:c>
      <x:c r="Q599" s="21" t="str"/>
      <x:c r="R599" s="21" t="str"/>
      <x:c r="S599" s="21" t="str"/>
      <x:c r="T599" s="17" t="str">
        <x:v>false</x:v>
      </x:c>
      <x:c r="U599" s="17" t="str">
        <x:v>true</x:v>
      </x:c>
      <x:c r="V599" s="17" t="str">
        <x:v>false</x:v>
      </x:c>
    </x:row>
    <x:row r="600" ht="80" customHeight="1">
      <x:c r="A600" s="25" t="str">
        <x:v>Jsoup</x:v>
      </x:c>
      <x:c r="B600" s="25" t="n">
        <x:v>91</x:v>
      </x:c>
      <x:c r="C600" s="25" t="str">
        <x:v>Round1</x:v>
      </x:c>
      <x:c r="D600" s="25" t="str">
        <x:v>NOT_AVAILABLE</x:v>
      </x:c>
      <x:c r="E600" s="25" t="str">
        <x:v>N/A</x:v>
      </x:c>
      <x:c r="F600" s="26" t="str">
        <x:v>fixed test_compile=FAIL</x:v>
      </x:c>
      <x:c r="G600" s="25" t="str">
        <x:v>true</x:v>
      </x:c>
      <x:c r="H600" s="25" t="str">
        <x:v>NOT_AVAILABLE</x:v>
      </x:c>
      <x:c r="I600" s="25" t="str">
        <x:v>PASS</x:v>
      </x:c>
      <x:c r="J600" s="25" t="str">
        <x:v>NOT_RUN</x:v>
      </x:c>
      <x:c r="K600" s="25" t="n">
        <x:v>2</x:v>
      </x:c>
      <x:c r="L600" s="27" t="b">
        <x:v>0</x:v>
      </x:c>
      <x:c r="M600" s="25" t="str">
        <x:v>Deepseek-flash-v4/state/Round1/shards/Jsoup.json</x:v>
      </x:c>
      <x:c r="N600" s="25" t="str">
        <x:v>Deepseek-flash-v4/Result/Jsoup_91/result.json</x:v>
      </x:c>
      <x:c r="O600" s="25" t="str">
        <x:v>Deepseek-flash-v4/Result/Jsoup_91/result.json</x:v>
      </x:c>
      <x:c r="P600" t="str">
        <x:v>FIXED_NOT_RUN</x:v>
      </x:c>
      <x:c r="Q600" s="21" t="str"/>
      <x:c r="R600" s="21" t="str"/>
      <x:c r="S600" s="21" t="str"/>
      <x:c r="T600" s="17" t="str">
        <x:v>false</x:v>
      </x:c>
      <x:c r="U600" s="17" t="str">
        <x:v>true</x:v>
      </x:c>
      <x:c r="V600" s="17" t="str">
        <x:v>false</x:v>
      </x:c>
    </x:row>
    <x:row r="601" ht="80" customHeight="1">
      <x:c r="A601" s="25" t="str">
        <x:v>Jsoup</x:v>
      </x:c>
      <x:c r="B601" s="25" t="n">
        <x:v>92</x:v>
      </x:c>
      <x:c r="C601" s="25" t="str">
        <x:v>Round1</x:v>
      </x:c>
      <x:c r="D601" s="25" t="str">
        <x:v>NOT_AVAILABLE</x:v>
      </x:c>
      <x:c r="E601" s="25" t="str">
        <x:v>N/A</x:v>
      </x:c>
      <x:c r="F601" s="26" t="str">
        <x:v>Tests exist but current coverage did not complete</x:v>
      </x:c>
      <x:c r="G601" s="25" t="str">
        <x:v>true</x:v>
      </x:c>
      <x:c r="H601" s="25" t="str">
        <x:v>NOT_AVAILABLE</x:v>
      </x:c>
      <x:c r="I601" s="25" t="str">
        <x:v>NOT_RUN</x:v>
      </x:c>
      <x:c r="J601" s="25" t="str">
        <x:v>NOT_RUN</x:v>
      </x:c>
      <x:c r="K601" s="25" t="n">
        <x:v>5</x:v>
      </x:c>
      <x:c r="L601" s="27" t="b">
        <x:v>0</x:v>
      </x:c>
      <x:c r="M601" s="25" t="str">
        <x:v>Deepseek-flash-v4/state/Round1/shards/Jsoup.json</x:v>
      </x:c>
      <x:c r="N601" s="25" t="str">
        <x:v>Deepseek-flash-v4/Result/Jsoup_92/result.json</x:v>
      </x:c>
      <x:c r="O601" s="25" t="str">
        <x:v>Deepseek-flash-v4/Result/Jsoup_92/result.json</x:v>
      </x:c>
      <x:c r="P601" t="str">
        <x:v>BOTH_NOT_RUN</x:v>
      </x:c>
      <x:c r="Q601" s="21" t="str"/>
      <x:c r="R601" s="21" t="str"/>
      <x:c r="S601" s="21" t="str"/>
      <x:c r="T601" s="17" t="str">
        <x:v>false</x:v>
      </x:c>
      <x:c r="U601" s="17" t="str">
        <x:v>true</x:v>
      </x:c>
      <x:c r="V601" s="17" t="str">
        <x:v>false</x:v>
      </x:c>
    </x:row>
    <x:row r="602" ht="80" customHeight="1">
      <x:c r="A602" s="25" t="str">
        <x:v>Jsoup</x:v>
      </x:c>
      <x:c r="B602" s="25" t="n">
        <x:v>93</x:v>
      </x:c>
      <x:c r="C602" s="25" t="str">
        <x:v>Round1</x:v>
      </x:c>
      <x:c r="D602" s="25" t="str">
        <x:v>NOT_AVAILABLE</x:v>
      </x:c>
      <x:c r="E602" s="25" t="str">
        <x:v>N/A</x:v>
      </x:c>
      <x:c r="F602" s="26" t="str">
        <x:v>Tests exist but current coverage did not complete</x:v>
      </x:c>
      <x:c r="G602" s="25" t="str">
        <x:v>true</x:v>
      </x:c>
      <x:c r="H602" s="25" t="str">
        <x:v>NOT_AVAILABLE</x:v>
      </x:c>
      <x:c r="I602" s="25" t="str">
        <x:v>NOT_RUN</x:v>
      </x:c>
      <x:c r="J602" s="25" t="str">
        <x:v>NOT_RUN</x:v>
      </x:c>
      <x:c r="K602" s="25" t="n">
        <x:v>1</x:v>
      </x:c>
      <x:c r="L602" s="27" t="b">
        <x:v>0</x:v>
      </x:c>
      <x:c r="M602" s="25" t="str">
        <x:v>Deepseek-flash-v4/state/Round1/shards/Jsoup.json</x:v>
      </x:c>
      <x:c r="N602" s="25" t="str">
        <x:v>Deepseek-flash-v4/Result/Jsoup_93/result.json</x:v>
      </x:c>
      <x:c r="O602" s="25" t="str">
        <x:v>Deepseek-flash-v4/Result/Jsoup_93/result.json</x:v>
      </x:c>
      <x:c r="P602" t="str">
        <x:v>BOTH_NOT_RUN</x:v>
      </x:c>
      <x:c r="Q602" s="21" t="str"/>
      <x:c r="R602" s="21" t="str"/>
      <x:c r="S602" s="21" t="str"/>
      <x:c r="T602" s="17" t="str">
        <x:v>false</x:v>
      </x:c>
      <x:c r="U602" s="17" t="str">
        <x:v>true</x:v>
      </x:c>
      <x:c r="V602" s="17" t="str">
        <x:v>false</x:v>
      </x:c>
    </x:row>
    <x:row r="603" ht="80" customHeight="1">
      <x:c r="A603" s="25" t="str">
        <x:v>JxPath</x:v>
      </x:c>
      <x:c r="B603" s="25" t="n">
        <x:v>1</x:v>
      </x:c>
      <x:c r="C603" s="25" t="str">
        <x:v>Round1</x:v>
      </x:c>
      <x:c r="D603" s="25" t="str">
        <x:v>NOT_AVAILABLE</x:v>
      </x:c>
      <x:c r="E603" s="25" t="str">
        <x:v>N/A</x:v>
      </x:c>
      <x:c r="F603" s="26" t="str">
        <x:v>Tests exist but current coverage did not complete</x:v>
      </x:c>
      <x:c r="G603" s="25" t="str">
        <x:v>true</x:v>
      </x:c>
      <x:c r="H603" s="25" t="str">
        <x:v>NOT_AVAILABLE</x:v>
      </x:c>
      <x:c r="I603" s="25" t="str">
        <x:v>NOT_RUN</x:v>
      </x:c>
      <x:c r="J603" s="25" t="str">
        <x:v>NOT_RUN</x:v>
      </x:c>
      <x:c r="K603" s="25" t="n">
        <x:v>2</x:v>
      </x:c>
      <x:c r="L603" s="27" t="b">
        <x:v>0</x:v>
      </x:c>
      <x:c r="M603" s="25" t="str">
        <x:v>Deepseek-flash-v4/state/Round1/shards/JxPath.json</x:v>
      </x:c>
      <x:c r="N603" s="25" t="str">
        <x:v>Deepseek-flash-v4/Result/JxPath_1/result.json</x:v>
      </x:c>
      <x:c r="O603" s="25" t="str">
        <x:v>Deepseek-flash-v4/Result/JxPath_1/result.json</x:v>
      </x:c>
      <x:c r="P603" t="str">
        <x:v>BOTH_NOT_RUN</x:v>
      </x:c>
      <x:c r="Q603" s="21" t="str"/>
      <x:c r="R603" s="21" t="str"/>
      <x:c r="S603" s="21" t="str"/>
      <x:c r="T603" s="17" t="str">
        <x:v>false</x:v>
      </x:c>
      <x:c r="U603" s="17" t="str">
        <x:v>true</x:v>
      </x:c>
      <x:c r="V603" s="17" t="str">
        <x:v>false</x:v>
      </x:c>
    </x:row>
    <x:row r="604" ht="80" customHeight="1">
      <x:c r="A604" s="25" t="str">
        <x:v>JxPath</x:v>
      </x:c>
      <x:c r="B604" s="25" t="n">
        <x:v>10</x:v>
      </x:c>
      <x:c r="C604" s="25" t="str">
        <x:v>Round1</x:v>
      </x:c>
      <x:c r="D604" s="25" t="str">
        <x:v>NOT_AVAILABLE</x:v>
      </x:c>
      <x:c r="E604" s="25" t="str">
        <x:v>N/A</x:v>
      </x:c>
      <x:c r="F604" s="26" t="str">
        <x:v>Tests exist but current coverage did not complete</x:v>
      </x:c>
      <x:c r="G604" s="25" t="str">
        <x:v>true</x:v>
      </x:c>
      <x:c r="H604" s="25" t="str">
        <x:v>NOT_AVAILABLE</x:v>
      </x:c>
      <x:c r="I604" s="25" t="str">
        <x:v>NOT_RUN</x:v>
      </x:c>
      <x:c r="J604" s="25" t="str">
        <x:v>NOT_RUN</x:v>
      </x:c>
      <x:c r="K604" s="25" t="n">
        <x:v>1</x:v>
      </x:c>
      <x:c r="L604" s="27" t="b">
        <x:v>0</x:v>
      </x:c>
      <x:c r="M604" s="25" t="str">
        <x:v>Deepseek-flash-v4/state/Round1/shards/JxPath.json</x:v>
      </x:c>
      <x:c r="N604" s="25" t="str">
        <x:v>Deepseek-flash-v4/Result/JxPath_10/result.json</x:v>
      </x:c>
      <x:c r="O604" s="25" t="str">
        <x:v>Deepseek-flash-v4/Result/JxPath_10/result.json</x:v>
      </x:c>
      <x:c r="P604" t="str">
        <x:v>BOTH_NOT_RUN</x:v>
      </x:c>
      <x:c r="Q604" s="21" t="str"/>
      <x:c r="R604" s="21" t="str"/>
      <x:c r="S604" s="21" t="str"/>
      <x:c r="T604" s="17" t="str">
        <x:v>false</x:v>
      </x:c>
      <x:c r="U604" s="17" t="str">
        <x:v>true</x:v>
      </x:c>
      <x:c r="V604" s="17" t="str">
        <x:v>false</x:v>
      </x:c>
    </x:row>
    <x:row r="605" ht="80" customHeight="1">
      <x:c r="A605" s="25" t="str">
        <x:v>JxPath</x:v>
      </x:c>
      <x:c r="B605" s="25" t="n">
        <x:v>11</x:v>
      </x:c>
      <x:c r="C605" s="25" t="str">
        <x:v>Round1</x:v>
      </x:c>
      <x:c r="D605" s="25" t="str">
        <x:v>NOT_AVAILABLE</x:v>
      </x:c>
      <x:c r="E605" s="25" t="str">
        <x:v>N/A</x:v>
      </x:c>
      <x:c r="F605" s="26" t="str">
        <x:v>Tests exist but current coverage did not complete</x:v>
      </x:c>
      <x:c r="G605" s="25" t="str">
        <x:v>true</x:v>
      </x:c>
      <x:c r="H605" s="25" t="str">
        <x:v>NOT_AVAILABLE</x:v>
      </x:c>
      <x:c r="I605" s="25" t="str">
        <x:v>NOT_RUN</x:v>
      </x:c>
      <x:c r="J605" s="25" t="str">
        <x:v>NOT_RUN</x:v>
      </x:c>
      <x:c r="K605" s="25" t="n">
        <x:v>2</x:v>
      </x:c>
      <x:c r="L605" s="27" t="b">
        <x:v>0</x:v>
      </x:c>
      <x:c r="M605" s="25" t="str">
        <x:v>Deepseek-flash-v4/state/Round1/shards/JxPath.json</x:v>
      </x:c>
      <x:c r="N605" s="25" t="str">
        <x:v>Deepseek-flash-v4/Result/JxPath_11/result.json</x:v>
      </x:c>
      <x:c r="O605" s="25" t="str">
        <x:v>Deepseek-flash-v4/Result/JxPath_11/result.json</x:v>
      </x:c>
      <x:c r="P605" t="str">
        <x:v>BOTH_NOT_RUN</x:v>
      </x:c>
      <x:c r="Q605" s="21" t="str"/>
      <x:c r="R605" s="21" t="str"/>
      <x:c r="S605" s="21" t="str"/>
      <x:c r="T605" s="17" t="str">
        <x:v>false</x:v>
      </x:c>
      <x:c r="U605" s="17" t="str">
        <x:v>true</x:v>
      </x:c>
      <x:c r="V605" s="17" t="str">
        <x:v>false</x:v>
      </x:c>
    </x:row>
    <x:row r="606" ht="80" customHeight="1">
      <x:c r="A606" s="25" t="str">
        <x:v>JxPath</x:v>
      </x:c>
      <x:c r="B606" s="25" t="n">
        <x:v>12</x:v>
      </x:c>
      <x:c r="C606" s="25" t="str">
        <x:v>Round1</x:v>
      </x:c>
      <x:c r="D606" s="25" t="str">
        <x:v>NOT_AVAILABLE</x:v>
      </x:c>
      <x:c r="E606" s="25" t="str">
        <x:v>N/A</x:v>
      </x:c>
      <x:c r="F606" s="26" t="str">
        <x:v>Tests exist but current coverage did not complete</x:v>
      </x:c>
      <x:c r="G606" s="25" t="str">
        <x:v>true</x:v>
      </x:c>
      <x:c r="H606" s="25" t="str">
        <x:v>NOT_AVAILABLE</x:v>
      </x:c>
      <x:c r="I606" s="25" t="str">
        <x:v>NOT_RUN</x:v>
      </x:c>
      <x:c r="J606" s="25" t="str">
        <x:v>NOT_RUN</x:v>
      </x:c>
      <x:c r="K606" s="25" t="n">
        <x:v>1</x:v>
      </x:c>
      <x:c r="L606" s="27" t="b">
        <x:v>0</x:v>
      </x:c>
      <x:c r="M606" s="25" t="str">
        <x:v>Deepseek-flash-v4/state/Round1/shards/JxPath.json</x:v>
      </x:c>
      <x:c r="N606" s="25" t="str">
        <x:v>Deepseek-flash-v4/Result/JxPath_12/result.json</x:v>
      </x:c>
      <x:c r="O606" s="25" t="str">
        <x:v>Deepseek-flash-v4/Result/JxPath_12/result.json</x:v>
      </x:c>
      <x:c r="P606" t="str">
        <x:v>BOTH_NOT_RUN</x:v>
      </x:c>
      <x:c r="Q606" s="21" t="str"/>
      <x:c r="R606" s="21" t="str"/>
      <x:c r="S606" s="21" t="str"/>
      <x:c r="T606" s="17" t="str">
        <x:v>false</x:v>
      </x:c>
      <x:c r="U606" s="17" t="str">
        <x:v>true</x:v>
      </x:c>
      <x:c r="V606" s="17" t="str">
        <x:v>false</x:v>
      </x:c>
    </x:row>
    <x:row r="607" ht="80" customHeight="1">
      <x:c r="A607" s="25" t="str">
        <x:v>JxPath</x:v>
      </x:c>
      <x:c r="B607" s="25" t="n">
        <x:v>13</x:v>
      </x:c>
      <x:c r="C607" s="25" t="str">
        <x:v>Round1</x:v>
      </x:c>
      <x:c r="D607" s="25" t="str">
        <x:v>NOT_AVAILABLE</x:v>
      </x:c>
      <x:c r="E607" s="25" t="str">
        <x:v>N/A</x:v>
      </x:c>
      <x:c r="F607" s="26" t="str">
        <x:v>Tests exist but current coverage did not complete</x:v>
      </x:c>
      <x:c r="G607" s="25" t="str">
        <x:v>true</x:v>
      </x:c>
      <x:c r="H607" s="25" t="str">
        <x:v>NOT_AVAILABLE</x:v>
      </x:c>
      <x:c r="I607" s="25" t="str">
        <x:v>NOT_RUN</x:v>
      </x:c>
      <x:c r="J607" s="25" t="str">
        <x:v>NOT_RUN</x:v>
      </x:c>
      <x:c r="K607" s="25" t="n">
        <x:v>2</x:v>
      </x:c>
      <x:c r="L607" s="27" t="b">
        <x:v>0</x:v>
      </x:c>
      <x:c r="M607" s="25" t="str">
        <x:v>Deepseek-flash-v4/state/Round1/shards/JxPath.json</x:v>
      </x:c>
      <x:c r="N607" s="25" t="str">
        <x:v>Deepseek-flash-v4/Result/JxPath_13/result.json</x:v>
      </x:c>
      <x:c r="O607" s="25" t="str">
        <x:v>Deepseek-flash-v4/Result/JxPath_13/result.json</x:v>
      </x:c>
      <x:c r="P607" t="str">
        <x:v>BOTH_NOT_RUN</x:v>
      </x:c>
      <x:c r="Q607" s="21" t="str"/>
      <x:c r="R607" s="21" t="str"/>
      <x:c r="S607" s="21" t="str"/>
      <x:c r="T607" s="17" t="str">
        <x:v>false</x:v>
      </x:c>
      <x:c r="U607" s="17" t="str">
        <x:v>true</x:v>
      </x:c>
      <x:c r="V607" s="17" t="str">
        <x:v>false</x:v>
      </x:c>
    </x:row>
    <x:row r="608" ht="80" customHeight="1">
      <x:c r="A608" s="25" t="str">
        <x:v>JxPath</x:v>
      </x:c>
      <x:c r="B608" s="25" t="n">
        <x:v>14</x:v>
      </x:c>
      <x:c r="C608" s="25" t="str">
        <x:v>Round1</x:v>
      </x:c>
      <x:c r="D608" s="25" t="str">
        <x:v>NOT_AVAILABLE</x:v>
      </x:c>
      <x:c r="E608" s="25" t="str">
        <x:v>N/A</x:v>
      </x:c>
      <x:c r="F608" s="26" t="str">
        <x:v>Tests exist but current coverage did not complete</x:v>
      </x:c>
      <x:c r="G608" s="25" t="str">
        <x:v>true</x:v>
      </x:c>
      <x:c r="H608" s="25" t="str">
        <x:v>NOT_AVAILABLE</x:v>
      </x:c>
      <x:c r="I608" s="25" t="str">
        <x:v>NOT_RUN</x:v>
      </x:c>
      <x:c r="J608" s="25" t="str">
        <x:v>NOT_RUN</x:v>
      </x:c>
      <x:c r="K608" s="25" t="n">
        <x:v>1</x:v>
      </x:c>
      <x:c r="L608" s="27" t="b">
        <x:v>0</x:v>
      </x:c>
      <x:c r="M608" s="25" t="str">
        <x:v>Deepseek-flash-v4/state/Round1/shards/JxPath.json</x:v>
      </x:c>
      <x:c r="N608" s="25" t="str">
        <x:v>Deepseek-flash-v4/Result/JxPath_14/result.json</x:v>
      </x:c>
      <x:c r="O608" s="25" t="str">
        <x:v>Deepseek-flash-v4/Result/JxPath_14/result.json</x:v>
      </x:c>
      <x:c r="P608" t="str">
        <x:v>BOTH_NOT_RUN</x:v>
      </x:c>
      <x:c r="Q608" s="21" t="str"/>
      <x:c r="R608" s="21" t="str"/>
      <x:c r="S608" s="21" t="str"/>
      <x:c r="T608" s="17" t="str">
        <x:v>false</x:v>
      </x:c>
      <x:c r="U608" s="17" t="str">
        <x:v>true</x:v>
      </x:c>
      <x:c r="V608" s="17" t="str">
        <x:v>false</x:v>
      </x:c>
    </x:row>
    <x:row r="609" ht="80" customHeight="1">
      <x:c r="A609" s="25" t="str">
        <x:v>JxPath</x:v>
      </x:c>
      <x:c r="B609" s="25" t="n">
        <x:v>15</x:v>
      </x:c>
      <x:c r="C609" s="25" t="str">
        <x:v>Round1</x:v>
      </x:c>
      <x:c r="D609" s="25" t="str">
        <x:v>NOT_AVAILABLE</x:v>
      </x:c>
      <x:c r="E609" s="25" t="str">
        <x:v>N/A</x:v>
      </x:c>
      <x:c r="F609" s="26" t="str">
        <x:v>Tests exist but current coverage did not complete</x:v>
      </x:c>
      <x:c r="G609" s="25" t="str">
        <x:v>true</x:v>
      </x:c>
      <x:c r="H609" s="25" t="str">
        <x:v>NOT_AVAILABLE</x:v>
      </x:c>
      <x:c r="I609" s="25" t="str">
        <x:v>NOT_RUN</x:v>
      </x:c>
      <x:c r="J609" s="25" t="str">
        <x:v>NOT_RUN</x:v>
      </x:c>
      <x:c r="K609" s="25" t="n">
        <x:v>1</x:v>
      </x:c>
      <x:c r="L609" s="27" t="b">
        <x:v>0</x:v>
      </x:c>
      <x:c r="M609" s="25" t="str">
        <x:v>Deepseek-flash-v4/state/Round1/shards/JxPath.json</x:v>
      </x:c>
      <x:c r="N609" s="25" t="str">
        <x:v>Deepseek-flash-v4/Result/JxPath_15/result.json</x:v>
      </x:c>
      <x:c r="O609" s="25" t="str">
        <x:v>Deepseek-flash-v4/Result/JxPath_15/result.json</x:v>
      </x:c>
      <x:c r="P609" t="str">
        <x:v>BOTH_NOT_RUN</x:v>
      </x:c>
      <x:c r="Q609" s="21" t="str"/>
      <x:c r="R609" s="21" t="str"/>
      <x:c r="S609" s="21" t="str"/>
      <x:c r="T609" s="17" t="str">
        <x:v>false</x:v>
      </x:c>
      <x:c r="U609" s="17" t="str">
        <x:v>true</x:v>
      </x:c>
      <x:c r="V609" s="17" t="str">
        <x:v>false</x:v>
      </x:c>
    </x:row>
    <x:row r="610" ht="80" customHeight="1">
      <x:c r="A610" s="25" t="str">
        <x:v>JxPath</x:v>
      </x:c>
      <x:c r="B610" s="25" t="n">
        <x:v>16</x:v>
      </x:c>
      <x:c r="C610" s="25" t="str">
        <x:v>Round1</x:v>
      </x:c>
      <x:c r="D610" s="25" t="str">
        <x:v>NOT_AVAILABLE</x:v>
      </x:c>
      <x:c r="E610" s="25" t="str">
        <x:v>N/A</x:v>
      </x:c>
      <x:c r="F610" s="26" t="str">
        <x:v>Tests exist but current coverage did not complete</x:v>
      </x:c>
      <x:c r="G610" s="25" t="str">
        <x:v>true</x:v>
      </x:c>
      <x:c r="H610" s="25" t="str">
        <x:v>NOT_AVAILABLE</x:v>
      </x:c>
      <x:c r="I610" s="25" t="str">
        <x:v>NOT_RUN</x:v>
      </x:c>
      <x:c r="J610" s="25" t="str">
        <x:v>NOT_RUN</x:v>
      </x:c>
      <x:c r="K610" s="25" t="n">
        <x:v>2</x:v>
      </x:c>
      <x:c r="L610" s="27" t="b">
        <x:v>0</x:v>
      </x:c>
      <x:c r="M610" s="25" t="str">
        <x:v>Deepseek-flash-v4/state/Round1/shards/JxPath.json</x:v>
      </x:c>
      <x:c r="N610" s="25" t="str">
        <x:v>Deepseek-flash-v4/Result/JxPath_16/result.json</x:v>
      </x:c>
      <x:c r="O610" s="25" t="str">
        <x:v>Deepseek-flash-v4/Result/JxPath_16/result.json</x:v>
      </x:c>
      <x:c r="P610" t="str">
        <x:v>BOTH_NOT_RUN</x:v>
      </x:c>
      <x:c r="Q610" s="21" t="str"/>
      <x:c r="R610" s="21" t="str"/>
      <x:c r="S610" s="21" t="str"/>
      <x:c r="T610" s="17" t="str">
        <x:v>false</x:v>
      </x:c>
      <x:c r="U610" s="17" t="str">
        <x:v>true</x:v>
      </x:c>
      <x:c r="V610" s="17" t="str">
        <x:v>false</x:v>
      </x:c>
    </x:row>
    <x:row r="611" ht="80" customHeight="1">
      <x:c r="A611" s="25" t="str">
        <x:v>JxPath</x:v>
      </x:c>
      <x:c r="B611" s="25" t="n">
        <x:v>17</x:v>
      </x:c>
      <x:c r="C611" s="25" t="str">
        <x:v>Round1</x:v>
      </x:c>
      <x:c r="D611" s="25" t="str">
        <x:v>NOT_AVAILABLE</x:v>
      </x:c>
      <x:c r="E611" s="25" t="str">
        <x:v>N/A</x:v>
      </x:c>
      <x:c r="F611" s="26" t="str">
        <x:v>Tests exist but current coverage did not complete</x:v>
      </x:c>
      <x:c r="G611" s="25" t="str">
        <x:v>true</x:v>
      </x:c>
      <x:c r="H611" s="25" t="str">
        <x:v>NOT_AVAILABLE</x:v>
      </x:c>
      <x:c r="I611" s="25" t="str">
        <x:v>NOT_RUN</x:v>
      </x:c>
      <x:c r="J611" s="25" t="str">
        <x:v>NOT_RUN</x:v>
      </x:c>
      <x:c r="K611" s="25" t="n">
        <x:v>2</x:v>
      </x:c>
      <x:c r="L611" s="27" t="b">
        <x:v>0</x:v>
      </x:c>
      <x:c r="M611" s="25" t="str">
        <x:v>Deepseek-flash-v4/state/Round1/shards/JxPath.json</x:v>
      </x:c>
      <x:c r="N611" s="25" t="str">
        <x:v>Deepseek-flash-v4/Result/JxPath_17/result.json</x:v>
      </x:c>
      <x:c r="O611" s="25" t="str">
        <x:v>Deepseek-flash-v4/Result/JxPath_17/result.json</x:v>
      </x:c>
      <x:c r="P611" t="str">
        <x:v>BOTH_NOT_RUN</x:v>
      </x:c>
      <x:c r="Q611" s="21" t="str"/>
      <x:c r="R611" s="21" t="str"/>
      <x:c r="S611" s="21" t="str"/>
      <x:c r="T611" s="17" t="str">
        <x:v>false</x:v>
      </x:c>
      <x:c r="U611" s="17" t="str">
        <x:v>true</x:v>
      </x:c>
      <x:c r="V611" s="17" t="str">
        <x:v>false</x:v>
      </x:c>
    </x:row>
    <x:row r="612" ht="80" customHeight="1">
      <x:c r="A612" s="25" t="str">
        <x:v>JxPath</x:v>
      </x:c>
      <x:c r="B612" s="25" t="n">
        <x:v>18</x:v>
      </x:c>
      <x:c r="C612" s="25" t="str">
        <x:v>Round1</x:v>
      </x:c>
      <x:c r="D612" s="25" t="str">
        <x:v>NOT_AVAILABLE</x:v>
      </x:c>
      <x:c r="E612" s="25" t="str">
        <x:v>N/A</x:v>
      </x:c>
      <x:c r="F612" s="26" t="str">
        <x:v>Tests exist but current coverage did not complete</x:v>
      </x:c>
      <x:c r="G612" s="25" t="str">
        <x:v>true</x:v>
      </x:c>
      <x:c r="H612" s="25" t="str">
        <x:v>NOT_AVAILABLE</x:v>
      </x:c>
      <x:c r="I612" s="25" t="str">
        <x:v>NOT_RUN</x:v>
      </x:c>
      <x:c r="J612" s="25" t="str">
        <x:v>NOT_RUN</x:v>
      </x:c>
      <x:c r="K612" s="25" t="n">
        <x:v>1</x:v>
      </x:c>
      <x:c r="L612" s="27" t="b">
        <x:v>0</x:v>
      </x:c>
      <x:c r="M612" s="25" t="str">
        <x:v>Deepseek-flash-v4/state/Round1/shards/JxPath.json</x:v>
      </x:c>
      <x:c r="N612" s="25" t="str">
        <x:v>Deepseek-flash-v4/Result/JxPath_18/result.json</x:v>
      </x:c>
      <x:c r="O612" s="25" t="str">
        <x:v>Deepseek-flash-v4/Result/JxPath_18/result.json</x:v>
      </x:c>
      <x:c r="P612" t="str">
        <x:v>BOTH_NOT_RUN</x:v>
      </x:c>
      <x:c r="Q612" s="21" t="str"/>
      <x:c r="R612" s="21" t="str"/>
      <x:c r="S612" s="21" t="str"/>
      <x:c r="T612" s="17" t="str">
        <x:v>false</x:v>
      </x:c>
      <x:c r="U612" s="17" t="str">
        <x:v>true</x:v>
      </x:c>
      <x:c r="V612" s="17" t="str">
        <x:v>false</x:v>
      </x:c>
    </x:row>
    <x:row r="613" ht="80" customHeight="1">
      <x:c r="A613" s="25" t="str">
        <x:v>JxPath</x:v>
      </x:c>
      <x:c r="B613" s="25" t="n">
        <x:v>19</x:v>
      </x:c>
      <x:c r="C613" s="25" t="str">
        <x:v>Round1</x:v>
      </x:c>
      <x:c r="D613" s="25" t="str">
        <x:v>NOT_AVAILABLE</x:v>
      </x:c>
      <x:c r="E613" s="25" t="str">
        <x:v>N/A</x:v>
      </x:c>
      <x:c r="F613" s="26" t="str">
        <x:v>Tests exist but current coverage did not complete</x:v>
      </x:c>
      <x:c r="G613" s="25" t="str">
        <x:v>true</x:v>
      </x:c>
      <x:c r="H613" s="25" t="str">
        <x:v>NOT_AVAILABLE</x:v>
      </x:c>
      <x:c r="I613" s="25" t="str">
        <x:v>NOT_RUN</x:v>
      </x:c>
      <x:c r="J613" s="25" t="str">
        <x:v>NOT_RUN</x:v>
      </x:c>
      <x:c r="K613" s="25" t="n">
        <x:v>2</x:v>
      </x:c>
      <x:c r="L613" s="27" t="b">
        <x:v>0</x:v>
      </x:c>
      <x:c r="M613" s="25" t="str">
        <x:v>Deepseek-flash-v4/state/Round1/shards/JxPath.json</x:v>
      </x:c>
      <x:c r="N613" s="25" t="str">
        <x:v>Deepseek-flash-v4/Result/JxPath_19/result.json</x:v>
      </x:c>
      <x:c r="O613" s="25" t="str">
        <x:v>Deepseek-flash-v4/Result/JxPath_19/result.json</x:v>
      </x:c>
      <x:c r="P613" t="str">
        <x:v>BOTH_NOT_RUN</x:v>
      </x:c>
      <x:c r="Q613" s="21" t="str"/>
      <x:c r="R613" s="21" t="str"/>
      <x:c r="S613" s="21" t="str"/>
      <x:c r="T613" s="17" t="str">
        <x:v>false</x:v>
      </x:c>
      <x:c r="U613" s="17" t="str">
        <x:v>true</x:v>
      </x:c>
      <x:c r="V613" s="17" t="str">
        <x:v>false</x:v>
      </x:c>
    </x:row>
    <x:row r="614" ht="80" customHeight="1">
      <x:c r="A614" s="25" t="str">
        <x:v>JxPath</x:v>
      </x:c>
      <x:c r="B614" s="25" t="n">
        <x:v>2</x:v>
      </x:c>
      <x:c r="C614" s="25" t="str">
        <x:v>Round1</x:v>
      </x:c>
      <x:c r="D614" s="25" t="str">
        <x:v>NOT_AVAILABLE</x:v>
      </x:c>
      <x:c r="E614" s="25" t="str">
        <x:v>N/A</x:v>
      </x:c>
      <x:c r="F614" s="26" t="str">
        <x:v>Tests exist but current coverage did not complete</x:v>
      </x:c>
      <x:c r="G614" s="25" t="str">
        <x:v>true</x:v>
      </x:c>
      <x:c r="H614" s="25" t="str">
        <x:v>NOT_AVAILABLE</x:v>
      </x:c>
      <x:c r="I614" s="25" t="str">
        <x:v>NOT_RUN</x:v>
      </x:c>
      <x:c r="J614" s="25" t="str">
        <x:v>NOT_RUN</x:v>
      </x:c>
      <x:c r="K614" s="25" t="n">
        <x:v>1</x:v>
      </x:c>
      <x:c r="L614" s="27" t="b">
        <x:v>0</x:v>
      </x:c>
      <x:c r="M614" s="25" t="str">
        <x:v>Deepseek-flash-v4/state/Round1/shards/JxPath.json</x:v>
      </x:c>
      <x:c r="N614" s="25" t="str">
        <x:v>Deepseek-flash-v4/Result/JxPath_2/result.json</x:v>
      </x:c>
      <x:c r="O614" s="25" t="str">
        <x:v>Deepseek-flash-v4/Result/JxPath_2/result.json</x:v>
      </x:c>
      <x:c r="P614" t="str">
        <x:v>BOTH_NOT_RUN</x:v>
      </x:c>
      <x:c r="Q614" s="21" t="str"/>
      <x:c r="R614" s="21" t="str"/>
      <x:c r="S614" s="21" t="str"/>
      <x:c r="T614" s="17" t="str">
        <x:v>false</x:v>
      </x:c>
      <x:c r="U614" s="17" t="str">
        <x:v>true</x:v>
      </x:c>
      <x:c r="V614" s="17" t="str">
        <x:v>false</x:v>
      </x:c>
    </x:row>
    <x:row r="615" ht="80" customHeight="1">
      <x:c r="A615" s="25" t="str">
        <x:v>JxPath</x:v>
      </x:c>
      <x:c r="B615" s="25" t="n">
        <x:v>20</x:v>
      </x:c>
      <x:c r="C615" s="25" t="str">
        <x:v>Round1</x:v>
      </x:c>
      <x:c r="D615" s="25" t="str">
        <x:v>NOT_AVAILABLE</x:v>
      </x:c>
      <x:c r="E615" s="25" t="str">
        <x:v>N/A</x:v>
      </x:c>
      <x:c r="F615" s="26" t="str">
        <x:v>Tests exist but current coverage did not complete</x:v>
      </x:c>
      <x:c r="G615" s="25" t="str">
        <x:v>true</x:v>
      </x:c>
      <x:c r="H615" s="25" t="str">
        <x:v>NOT_AVAILABLE</x:v>
      </x:c>
      <x:c r="I615" s="25" t="str">
        <x:v>NOT_RUN</x:v>
      </x:c>
      <x:c r="J615" s="25" t="str">
        <x:v>NOT_RUN</x:v>
      </x:c>
      <x:c r="K615" s="25" t="n">
        <x:v>1</x:v>
      </x:c>
      <x:c r="L615" s="27" t="b">
        <x:v>0</x:v>
      </x:c>
      <x:c r="M615" s="25" t="str">
        <x:v>Deepseek-flash-v4/state/Round1/shards/JxPath.json</x:v>
      </x:c>
      <x:c r="N615" s="25" t="str">
        <x:v>Deepseek-flash-v4/Result/JxPath_20/result.json</x:v>
      </x:c>
      <x:c r="O615" s="25" t="str">
        <x:v>Deepseek-flash-v4/Result/JxPath_20/result.json</x:v>
      </x:c>
      <x:c r="P615" t="str">
        <x:v>BOTH_NOT_RUN</x:v>
      </x:c>
      <x:c r="Q615" s="21" t="str"/>
      <x:c r="R615" s="21" t="str"/>
      <x:c r="S615" s="21" t="str"/>
      <x:c r="T615" s="17" t="str">
        <x:v>false</x:v>
      </x:c>
      <x:c r="U615" s="17" t="str">
        <x:v>true</x:v>
      </x:c>
      <x:c r="V615" s="17" t="str">
        <x:v>false</x:v>
      </x:c>
    </x:row>
    <x:row r="616" ht="80" customHeight="1">
      <x:c r="A616" s="25" t="str">
        <x:v>JxPath</x:v>
      </x:c>
      <x:c r="B616" s="25" t="n">
        <x:v>21</x:v>
      </x:c>
      <x:c r="C616" s="25" t="str">
        <x:v>Round1</x:v>
      </x:c>
      <x:c r="D616" s="25" t="str">
        <x:v>NOT_AVAILABLE</x:v>
      </x:c>
      <x:c r="E616" s="25" t="str">
        <x:v>N/A</x:v>
      </x:c>
      <x:c r="F616" s="26" t="str">
        <x:v>Tests exist but current coverage did not complete</x:v>
      </x:c>
      <x:c r="G616" s="25" t="str">
        <x:v>true</x:v>
      </x:c>
      <x:c r="H616" s="25" t="str">
        <x:v>NOT_AVAILABLE</x:v>
      </x:c>
      <x:c r="I616" s="25" t="str">
        <x:v>NOT_RUN</x:v>
      </x:c>
      <x:c r="J616" s="25" t="str">
        <x:v>NOT_RUN</x:v>
      </x:c>
      <x:c r="K616" s="25" t="n">
        <x:v>1</x:v>
      </x:c>
      <x:c r="L616" s="27" t="b">
        <x:v>0</x:v>
      </x:c>
      <x:c r="M616" s="25" t="str">
        <x:v>Deepseek-flash-v4/state/Round1/shards/JxPath.json</x:v>
      </x:c>
      <x:c r="N616" s="25" t="str">
        <x:v>Deepseek-flash-v4/Result/JxPath_21/result.json</x:v>
      </x:c>
      <x:c r="O616" s="25" t="str">
        <x:v>Deepseek-flash-v4/Result/JxPath_21/result.json</x:v>
      </x:c>
      <x:c r="P616" t="str">
        <x:v>BOTH_NOT_RUN</x:v>
      </x:c>
      <x:c r="Q616" s="21" t="str"/>
      <x:c r="R616" s="21" t="str"/>
      <x:c r="S616" s="21" t="str"/>
      <x:c r="T616" s="17" t="str">
        <x:v>false</x:v>
      </x:c>
      <x:c r="U616" s="17" t="str">
        <x:v>true</x:v>
      </x:c>
      <x:c r="V616" s="17" t="str">
        <x:v>false</x:v>
      </x:c>
    </x:row>
    <x:row r="617" ht="80" customHeight="1">
      <x:c r="A617" s="25" t="str">
        <x:v>JxPath</x:v>
      </x:c>
      <x:c r="B617" s="25" t="n">
        <x:v>22</x:v>
      </x:c>
      <x:c r="C617" s="25" t="str">
        <x:v>Round1</x:v>
      </x:c>
      <x:c r="D617" s="25" t="str">
        <x:v>NOT_AVAILABLE</x:v>
      </x:c>
      <x:c r="E617" s="25" t="str">
        <x:v>N/A</x:v>
      </x:c>
      <x:c r="F617" s="26" t="str">
        <x:v>Tests exist but current coverage did not complete</x:v>
      </x:c>
      <x:c r="G617" s="25" t="str">
        <x:v>true</x:v>
      </x:c>
      <x:c r="H617" s="25" t="str">
        <x:v>NOT_AVAILABLE</x:v>
      </x:c>
      <x:c r="I617" s="25" t="str">
        <x:v>NOT_RUN</x:v>
      </x:c>
      <x:c r="J617" s="25" t="str">
        <x:v>NOT_RUN</x:v>
      </x:c>
      <x:c r="K617" s="25" t="n">
        <x:v>1</x:v>
      </x:c>
      <x:c r="L617" s="27" t="b">
        <x:v>0</x:v>
      </x:c>
      <x:c r="M617" s="25" t="str">
        <x:v>Deepseek-flash-v4/state/Round1/shards/JxPath.json</x:v>
      </x:c>
      <x:c r="N617" s="25" t="str">
        <x:v>Deepseek-flash-v4/Result/JxPath_22/result.json</x:v>
      </x:c>
      <x:c r="O617" s="25" t="str">
        <x:v>Deepseek-flash-v4/Result/JxPath_22/result.json</x:v>
      </x:c>
      <x:c r="P617" t="str">
        <x:v>BOTH_NOT_RUN</x:v>
      </x:c>
      <x:c r="Q617" s="21" t="str"/>
      <x:c r="R617" s="21" t="str"/>
      <x:c r="S617" s="21" t="str"/>
      <x:c r="T617" s="17" t="str">
        <x:v>false</x:v>
      </x:c>
      <x:c r="U617" s="17" t="str">
        <x:v>true</x:v>
      </x:c>
      <x:c r="V617" s="17" t="str">
        <x:v>false</x:v>
      </x:c>
    </x:row>
    <x:row r="618" ht="80" customHeight="1">
      <x:c r="A618" s="25" t="str">
        <x:v>JxPath</x:v>
      </x:c>
      <x:c r="B618" s="25" t="n">
        <x:v>3</x:v>
      </x:c>
      <x:c r="C618" s="25" t="str">
        <x:v>Round1</x:v>
      </x:c>
      <x:c r="D618" s="25" t="str">
        <x:v>NOT_AVAILABLE</x:v>
      </x:c>
      <x:c r="E618" s="25" t="str">
        <x:v>N/A</x:v>
      </x:c>
      <x:c r="F618" s="26" t="str">
        <x:v>Tests exist but current coverage did not complete</x:v>
      </x:c>
      <x:c r="G618" s="25" t="str">
        <x:v>true</x:v>
      </x:c>
      <x:c r="H618" s="25" t="str">
        <x:v>NOT_AVAILABLE</x:v>
      </x:c>
      <x:c r="I618" s="25" t="str">
        <x:v>NOT_RUN</x:v>
      </x:c>
      <x:c r="J618" s="25" t="str">
        <x:v>NOT_RUN</x:v>
      </x:c>
      <x:c r="K618" s="25" t="n">
        <x:v>1</x:v>
      </x:c>
      <x:c r="L618" s="27" t="b">
        <x:v>0</x:v>
      </x:c>
      <x:c r="M618" s="25" t="str">
        <x:v>Deepseek-flash-v4/state/Round1/shards/JxPath.json</x:v>
      </x:c>
      <x:c r="N618" s="25" t="str">
        <x:v>Deepseek-flash-v4/Result/JxPath_3/result.json</x:v>
      </x:c>
      <x:c r="O618" s="25" t="str">
        <x:v>Deepseek-flash-v4/Result/JxPath_3/result.json</x:v>
      </x:c>
      <x:c r="P618" t="str">
        <x:v>BOTH_NOT_RUN</x:v>
      </x:c>
      <x:c r="Q618" s="21" t="str"/>
      <x:c r="R618" s="21" t="str"/>
      <x:c r="S618" s="21" t="str"/>
      <x:c r="T618" s="17" t="str">
        <x:v>false</x:v>
      </x:c>
      <x:c r="U618" s="17" t="str">
        <x:v>true</x:v>
      </x:c>
      <x:c r="V618" s="17" t="str">
        <x:v>false</x:v>
      </x:c>
    </x:row>
    <x:row r="619" ht="80" customHeight="1">
      <x:c r="A619" s="25" t="str">
        <x:v>JxPath</x:v>
      </x:c>
      <x:c r="B619" s="25" t="n">
        <x:v>4</x:v>
      </x:c>
      <x:c r="C619" s="25" t="str">
        <x:v>Round1</x:v>
      </x:c>
      <x:c r="D619" s="25" t="str">
        <x:v>NOT_AVAILABLE</x:v>
      </x:c>
      <x:c r="E619" s="25" t="str">
        <x:v>N/A</x:v>
      </x:c>
      <x:c r="F619" s="26" t="str">
        <x:v>Tests exist but current coverage did not complete</x:v>
      </x:c>
      <x:c r="G619" s="25" t="str">
        <x:v>true</x:v>
      </x:c>
      <x:c r="H619" s="25" t="str">
        <x:v>NOT_AVAILABLE</x:v>
      </x:c>
      <x:c r="I619" s="25" t="str">
        <x:v>NOT_RUN</x:v>
      </x:c>
      <x:c r="J619" s="25" t="str">
        <x:v>NOT_RUN</x:v>
      </x:c>
      <x:c r="K619" s="25" t="n">
        <x:v>2</x:v>
      </x:c>
      <x:c r="L619" s="27" t="b">
        <x:v>0</x:v>
      </x:c>
      <x:c r="M619" s="25" t="str">
        <x:v>Deepseek-flash-v4/state/Round1/shards/JxPath.json</x:v>
      </x:c>
      <x:c r="N619" s="25" t="str">
        <x:v>Deepseek-flash-v4/Result/JxPath_4/result.json</x:v>
      </x:c>
      <x:c r="O619" s="25" t="str">
        <x:v>Deepseek-flash-v4/Result/JxPath_4/result.json</x:v>
      </x:c>
      <x:c r="P619" t="str">
        <x:v>BOTH_NOT_RUN</x:v>
      </x:c>
      <x:c r="Q619" s="21" t="str"/>
      <x:c r="R619" s="21" t="str"/>
      <x:c r="S619" s="21" t="str"/>
      <x:c r="T619" s="17" t="str">
        <x:v>false</x:v>
      </x:c>
      <x:c r="U619" s="17" t="str">
        <x:v>true</x:v>
      </x:c>
      <x:c r="V619" s="17" t="str">
        <x:v>false</x:v>
      </x:c>
    </x:row>
    <x:row r="620" ht="80" customHeight="1">
      <x:c r="A620" s="25" t="str">
        <x:v>JxPath</x:v>
      </x:c>
      <x:c r="B620" s="25" t="n">
        <x:v>5</x:v>
      </x:c>
      <x:c r="C620" s="25" t="str">
        <x:v>Round1</x:v>
      </x:c>
      <x:c r="D620" s="25" t="str">
        <x:v>NOT_AVAILABLE</x:v>
      </x:c>
      <x:c r="E620" s="25" t="str">
        <x:v>N/A</x:v>
      </x:c>
      <x:c r="F620" s="26" t="str">
        <x:v>Tests exist but current coverage did not complete</x:v>
      </x:c>
      <x:c r="G620" s="25" t="str">
        <x:v>true</x:v>
      </x:c>
      <x:c r="H620" s="25" t="str">
        <x:v>NOT_AVAILABLE</x:v>
      </x:c>
      <x:c r="I620" s="25" t="str">
        <x:v>NOT_RUN</x:v>
      </x:c>
      <x:c r="J620" s="25" t="str">
        <x:v>NOT_RUN</x:v>
      </x:c>
      <x:c r="K620" s="25" t="n">
        <x:v>1</x:v>
      </x:c>
      <x:c r="L620" s="27" t="b">
        <x:v>0</x:v>
      </x:c>
      <x:c r="M620" s="25" t="str">
        <x:v>Deepseek-flash-v4/state/Round1/shards/JxPath.json</x:v>
      </x:c>
      <x:c r="N620" s="25" t="str">
        <x:v>Deepseek-flash-v4/Result/JxPath_5/result.json</x:v>
      </x:c>
      <x:c r="O620" s="25" t="str">
        <x:v>Deepseek-flash-v4/Result/JxPath_5/result.json</x:v>
      </x:c>
      <x:c r="P620" t="str">
        <x:v>BOTH_NOT_RUN</x:v>
      </x:c>
      <x:c r="Q620" s="21" t="str"/>
      <x:c r="R620" s="21" t="str"/>
      <x:c r="S620" s="21" t="str"/>
      <x:c r="T620" s="17" t="str">
        <x:v>false</x:v>
      </x:c>
      <x:c r="U620" s="17" t="str">
        <x:v>true</x:v>
      </x:c>
      <x:c r="V620" s="17" t="str">
        <x:v>false</x:v>
      </x:c>
    </x:row>
    <x:row r="621" ht="80" customHeight="1">
      <x:c r="A621" s="25" t="str">
        <x:v>JxPath</x:v>
      </x:c>
      <x:c r="B621" s="25" t="n">
        <x:v>6</x:v>
      </x:c>
      <x:c r="C621" s="25" t="str">
        <x:v>Round1</x:v>
      </x:c>
      <x:c r="D621" s="25" t="str">
        <x:v>NOT_AVAILABLE</x:v>
      </x:c>
      <x:c r="E621" s="25" t="str">
        <x:v>N/A</x:v>
      </x:c>
      <x:c r="F621" s="26" t="str">
        <x:v>Tests exist but current coverage did not complete</x:v>
      </x:c>
      <x:c r="G621" s="25" t="str">
        <x:v>true</x:v>
      </x:c>
      <x:c r="H621" s="25" t="str">
        <x:v>NOT_AVAILABLE</x:v>
      </x:c>
      <x:c r="I621" s="25" t="str">
        <x:v>NOT_RUN</x:v>
      </x:c>
      <x:c r="J621" s="25" t="str">
        <x:v>NOT_RUN</x:v>
      </x:c>
      <x:c r="K621" s="25" t="n">
        <x:v>1</x:v>
      </x:c>
      <x:c r="L621" s="27" t="b">
        <x:v>0</x:v>
      </x:c>
      <x:c r="M621" s="25" t="str">
        <x:v>Deepseek-flash-v4/state/Round1/shards/JxPath.json</x:v>
      </x:c>
      <x:c r="N621" s="25" t="str">
        <x:v>Deepseek-flash-v4/Result/JxPath_6/result.json</x:v>
      </x:c>
      <x:c r="O621" s="25" t="str">
        <x:v>Deepseek-flash-v4/Result/JxPath_6/result.json</x:v>
      </x:c>
      <x:c r="P621" t="str">
        <x:v>BOTH_NOT_RUN</x:v>
      </x:c>
      <x:c r="Q621" s="21" t="str"/>
      <x:c r="R621" s="21" t="str"/>
      <x:c r="S621" s="21" t="str"/>
      <x:c r="T621" s="17" t="str">
        <x:v>false</x:v>
      </x:c>
      <x:c r="U621" s="17" t="str">
        <x:v>true</x:v>
      </x:c>
      <x:c r="V621" s="17" t="str">
        <x:v>false</x:v>
      </x:c>
    </x:row>
    <x:row r="622" ht="80" customHeight="1">
      <x:c r="A622" s="25" t="str">
        <x:v>JxPath</x:v>
      </x:c>
      <x:c r="B622" s="25" t="n">
        <x:v>7</x:v>
      </x:c>
      <x:c r="C622" s="25" t="str">
        <x:v>Round1</x:v>
      </x:c>
      <x:c r="D622" s="25" t="str">
        <x:v>NOT_AVAILABLE</x:v>
      </x:c>
      <x:c r="E622" s="25" t="str">
        <x:v>N/A</x:v>
      </x:c>
      <x:c r="F622" s="26" t="str">
        <x:v>Tests exist but current coverage did not complete</x:v>
      </x:c>
      <x:c r="G622" s="25" t="str">
        <x:v>true</x:v>
      </x:c>
      <x:c r="H622" s="25" t="str">
        <x:v>NOT_AVAILABLE</x:v>
      </x:c>
      <x:c r="I622" s="25" t="str">
        <x:v>NOT_RUN</x:v>
      </x:c>
      <x:c r="J622" s="25" t="str">
        <x:v>NOT_RUN</x:v>
      </x:c>
      <x:c r="K622" s="25" t="n">
        <x:v>5</x:v>
      </x:c>
      <x:c r="L622" s="27" t="b">
        <x:v>0</x:v>
      </x:c>
      <x:c r="M622" s="25" t="str">
        <x:v>Deepseek-flash-v4/state/Round1/shards/JxPath.json</x:v>
      </x:c>
      <x:c r="N622" s="25" t="str">
        <x:v>Deepseek-flash-v4/Result/JxPath_7/result.json</x:v>
      </x:c>
      <x:c r="O622" s="25" t="str">
        <x:v>Deepseek-flash-v4/Result/JxPath_7/result.json</x:v>
      </x:c>
      <x:c r="P622" t="str">
        <x:v>BOTH_NOT_RUN</x:v>
      </x:c>
      <x:c r="Q622" s="21" t="str"/>
      <x:c r="R622" s="21" t="str"/>
      <x:c r="S622" s="21" t="str"/>
      <x:c r="T622" s="17" t="str">
        <x:v>false</x:v>
      </x:c>
      <x:c r="U622" s="17" t="str">
        <x:v>true</x:v>
      </x:c>
      <x:c r="V622" s="17" t="str">
        <x:v>false</x:v>
      </x:c>
    </x:row>
    <x:row r="623" ht="80" customHeight="1">
      <x:c r="A623" s="25" t="str">
        <x:v>JxPath</x:v>
      </x:c>
      <x:c r="B623" s="25" t="n">
        <x:v>8</x:v>
      </x:c>
      <x:c r="C623" s="25" t="str">
        <x:v>Round1</x:v>
      </x:c>
      <x:c r="D623" s="25" t="str">
        <x:v>NOT_AVAILABLE</x:v>
      </x:c>
      <x:c r="E623" s="25" t="str">
        <x:v>N/A</x:v>
      </x:c>
      <x:c r="F623" s="26" t="str">
        <x:v>Tests exist but current coverage did not complete</x:v>
      </x:c>
      <x:c r="G623" s="25" t="str">
        <x:v>true</x:v>
      </x:c>
      <x:c r="H623" s="25" t="str">
        <x:v>NOT_AVAILABLE</x:v>
      </x:c>
      <x:c r="I623" s="25" t="str">
        <x:v>NOT_RUN</x:v>
      </x:c>
      <x:c r="J623" s="25" t="str">
        <x:v>NOT_RUN</x:v>
      </x:c>
      <x:c r="K623" s="25" t="n">
        <x:v>1</x:v>
      </x:c>
      <x:c r="L623" s="27" t="b">
        <x:v>0</x:v>
      </x:c>
      <x:c r="M623" s="25" t="str">
        <x:v>Deepseek-flash-v4/state/Round1/shards/JxPath.json</x:v>
      </x:c>
      <x:c r="N623" s="25" t="str">
        <x:v>Deepseek-flash-v4/Result/JxPath_8/result.json</x:v>
      </x:c>
      <x:c r="O623" s="25" t="str">
        <x:v>Deepseek-flash-v4/Result/JxPath_8/result.json</x:v>
      </x:c>
      <x:c r="P623" t="str">
        <x:v>BOTH_NOT_RUN</x:v>
      </x:c>
      <x:c r="Q623" s="21" t="str"/>
      <x:c r="R623" s="21" t="str"/>
      <x:c r="S623" s="21" t="str"/>
      <x:c r="T623" s="17" t="str">
        <x:v>false</x:v>
      </x:c>
      <x:c r="U623" s="17" t="str">
        <x:v>true</x:v>
      </x:c>
      <x:c r="V623" s="17" t="str">
        <x:v>false</x:v>
      </x:c>
    </x:row>
    <x:row r="624" ht="80" customHeight="1">
      <x:c r="A624" s="25" t="str">
        <x:v>JxPath</x:v>
      </x:c>
      <x:c r="B624" s="25" t="n">
        <x:v>9</x:v>
      </x:c>
      <x:c r="C624" s="25" t="str">
        <x:v>Round1</x:v>
      </x:c>
      <x:c r="D624" s="25" t="str">
        <x:v>NOT_AVAILABLE</x:v>
      </x:c>
      <x:c r="E624" s="25" t="str">
        <x:v>N/A</x:v>
      </x:c>
      <x:c r="F624" s="26" t="str">
        <x:v>Tests exist but current coverage did not complete</x:v>
      </x:c>
      <x:c r="G624" s="25" t="str">
        <x:v>true</x:v>
      </x:c>
      <x:c r="H624" s="25" t="str">
        <x:v>NOT_AVAILABLE</x:v>
      </x:c>
      <x:c r="I624" s="25" t="str">
        <x:v>NOT_RUN</x:v>
      </x:c>
      <x:c r="J624" s="25" t="str">
        <x:v>NOT_RUN</x:v>
      </x:c>
      <x:c r="K624" s="25" t="n">
        <x:v>3</x:v>
      </x:c>
      <x:c r="L624" s="27" t="b">
        <x:v>0</x:v>
      </x:c>
      <x:c r="M624" s="25" t="str">
        <x:v>Deepseek-flash-v4/state/Round1/shards/JxPath.json</x:v>
      </x:c>
      <x:c r="N624" s="25" t="str">
        <x:v>Deepseek-flash-v4/Result/JxPath_9/result.json</x:v>
      </x:c>
      <x:c r="O624" s="25" t="str">
        <x:v>Deepseek-flash-v4/Result/JxPath_9/result.json</x:v>
      </x:c>
      <x:c r="P624" t="str">
        <x:v>BOTH_NOT_RUN</x:v>
      </x:c>
      <x:c r="Q624" s="21" t="str"/>
      <x:c r="R624" s="21" t="str"/>
      <x:c r="S624" s="21" t="str"/>
      <x:c r="T624" s="17" t="str">
        <x:v>false</x:v>
      </x:c>
      <x:c r="U624" s="17" t="str">
        <x:v>true</x:v>
      </x:c>
      <x:c r="V624" s="17" t="str">
        <x:v>false</x:v>
      </x:c>
    </x:row>
    <x:row r="625" ht="80" customHeight="1">
      <x:c r="A625" s="25" t="str">
        <x:v>Lang</x:v>
      </x:c>
      <x:c r="B625" s="25" t="n">
        <x:v>1</x:v>
      </x:c>
      <x:c r="C625" s="25" t="str">
        <x:v>Round1</x:v>
      </x:c>
      <x:c r="D625" s="25" t="str">
        <x:v>NOT_AVAILABLE</x:v>
      </x:c>
      <x:c r="E625" s="25" t="str">
        <x:v>N/A</x:v>
      </x:c>
      <x:c r="F625" s="26" t="str">
        <x:v>Tests exist but current coverage did not complete</x:v>
      </x:c>
      <x:c r="G625" s="25" t="str">
        <x:v>true</x:v>
      </x:c>
      <x:c r="H625" s="25" t="str">
        <x:v>NOT_AVAILABLE</x:v>
      </x:c>
      <x:c r="I625" s="25" t="str">
        <x:v>NOT_RUN</x:v>
      </x:c>
      <x:c r="J625" s="25" t="str">
        <x:v>NOT_RUN</x:v>
      </x:c>
      <x:c r="K625" s="25" t="n">
        <x:v>1</x:v>
      </x:c>
      <x:c r="L625" s="27" t="b">
        <x:v>0</x:v>
      </x:c>
      <x:c r="M625" s="25" t="str">
        <x:v>Deepseek-flash-v4/state/Round1/shards/Lang.json</x:v>
      </x:c>
      <x:c r="N625" s="25" t="str">
        <x:v>Deepseek-flash-v4/Result/Lang_1/result.json</x:v>
      </x:c>
      <x:c r="O625" s="25" t="str">
        <x:v>Deepseek-flash-v4/Result/Lang_1/result.json</x:v>
      </x:c>
      <x:c r="P625" t="str">
        <x:v>BOTH_NOT_RUN</x:v>
      </x:c>
      <x:c r="Q625" s="21" t="str"/>
      <x:c r="R625" s="21" t="str"/>
      <x:c r="S625" s="21" t="str"/>
      <x:c r="T625" s="17" t="str">
        <x:v>false</x:v>
      </x:c>
      <x:c r="U625" s="17" t="str">
        <x:v>true</x:v>
      </x:c>
      <x:c r="V625" s="17" t="str">
        <x:v>false</x:v>
      </x:c>
    </x:row>
    <x:row r="626" ht="80" customHeight="1">
      <x:c r="A626" s="25" t="str">
        <x:v>Lang</x:v>
      </x:c>
      <x:c r="B626" s="25" t="n">
        <x:v>10</x:v>
      </x:c>
      <x:c r="C626" s="25" t="str">
        <x:v>Round1</x:v>
      </x:c>
      <x:c r="D626" s="25" t="str">
        <x:v>NOT_REVEALING</x:v>
      </x:c>
      <x:c r="E626" s="25" t="str">
        <x:v>N/A</x:v>
      </x:c>
      <x:c r="F626" s="26" t="str">
        <x:v>Same saved validation suite passed on buggy and fixed</x:v>
      </x:c>
      <x:c r="G626" s="25" t="str">
        <x:v>true</x:v>
      </x:c>
      <x:c r="H626" s="25" t="str">
        <x:v>NOT_REVEALING</x:v>
      </x:c>
      <x:c r="I626" s="25" t="str">
        <x:v>PASS</x:v>
      </x:c>
      <x:c r="J626" s="25" t="str">
        <x:v>PASS</x:v>
      </x:c>
      <x:c r="K626" s="25" t="n">
        <x:v>1</x:v>
      </x:c>
      <x:c r="L626" s="27" t="b">
        <x:v>0</x:v>
      </x:c>
      <x:c r="M626" s="25" t="str">
        <x:v>Deepseek-flash-v4/state/Round1/shards/Lang.json</x:v>
      </x:c>
      <x:c r="N626" s="25" t="str">
        <x:v>Deepseek-flash-v4/Result/Lang_10/result.json</x:v>
      </x:c>
      <x:c r="O626" s="25" t="str">
        <x:v>Deepseek-flash-v4/Result/Lang_10/result.json</x:v>
      </x:c>
      <x:c r="P626"/>
      <x:c r="Q626" s="21" t="str"/>
      <x:c r="R626" s="21" t="str"/>
      <x:c r="S626" s="21" t="str"/>
      <x:c r="T626" s="17" t="str">
        <x:v>false</x:v>
      </x:c>
      <x:c r="U626" s="17" t="str">
        <x:v>true</x:v>
      </x:c>
      <x:c r="V626" s="17" t="str">
        <x:v>false</x:v>
      </x:c>
    </x:row>
    <x:row r="627" ht="80" customHeight="1">
      <x:c r="A627" s="25" t="str">
        <x:v>Lang</x:v>
      </x:c>
      <x:c r="B627" s="25" t="n">
        <x:v>11</x:v>
      </x:c>
      <x:c r="C627" s="25" t="str">
        <x:v>Round1</x:v>
      </x:c>
      <x:c r="D627" s="25" t="str">
        <x:v>NOT_AVAILABLE</x:v>
      </x:c>
      <x:c r="E627" s="25" t="str">
        <x:v>N/A</x:v>
      </x:c>
      <x:c r="F627" s="26" t="str">
        <x:v>Tests exist but current coverage did not complete</x:v>
      </x:c>
      <x:c r="G627" s="25" t="str">
        <x:v>true</x:v>
      </x:c>
      <x:c r="H627" s="25" t="str">
        <x:v>NOT_AVAILABLE</x:v>
      </x:c>
      <x:c r="I627" s="25" t="str">
        <x:v>NOT_RUN</x:v>
      </x:c>
      <x:c r="J627" s="25" t="str">
        <x:v>NOT_RUN</x:v>
      </x:c>
      <x:c r="K627" s="25" t="n">
        <x:v>1</x:v>
      </x:c>
      <x:c r="L627" s="27" t="b">
        <x:v>0</x:v>
      </x:c>
      <x:c r="M627" s="25" t="str">
        <x:v>Deepseek-flash-v4/state/Round1/shards/Lang.json</x:v>
      </x:c>
      <x:c r="N627" s="25" t="str">
        <x:v>Deepseek-flash-v4/Result/Lang_11/result.json</x:v>
      </x:c>
      <x:c r="O627" s="25" t="str">
        <x:v>Deepseek-flash-v4/Result/Lang_11/result.json</x:v>
      </x:c>
      <x:c r="P627" t="str">
        <x:v>BOTH_NOT_RUN</x:v>
      </x:c>
      <x:c r="Q627" s="21" t="str"/>
      <x:c r="R627" s="21" t="str"/>
      <x:c r="S627" s="21" t="str"/>
      <x:c r="T627" s="17" t="str">
        <x:v>false</x:v>
      </x:c>
      <x:c r="U627" s="17" t="str">
        <x:v>true</x:v>
      </x:c>
      <x:c r="V627" s="17" t="str">
        <x:v>false</x:v>
      </x:c>
    </x:row>
    <x:row r="628" ht="80" customHeight="1">
      <x:c r="A628" s="25" t="str">
        <x:v>Lang</x:v>
      </x:c>
      <x:c r="B628" s="25" t="n">
        <x:v>12</x:v>
      </x:c>
      <x:c r="C628" s="25" t="str">
        <x:v>Round1</x:v>
      </x:c>
      <x:c r="D628" s="25" t="str">
        <x:v>NOT_AVAILABLE</x:v>
      </x:c>
      <x:c r="E628" s="25" t="str">
        <x:v>N/A</x:v>
      </x:c>
      <x:c r="F628" s="26" t="str">
        <x:v>Tests exist but current coverage did not complete</x:v>
      </x:c>
      <x:c r="G628" s="25" t="str">
        <x:v>true</x:v>
      </x:c>
      <x:c r="H628" s="25" t="str">
        <x:v>NOT_AVAILABLE</x:v>
      </x:c>
      <x:c r="I628" s="25" t="str">
        <x:v>NOT_RUN</x:v>
      </x:c>
      <x:c r="J628" s="25" t="str">
        <x:v>NOT_RUN</x:v>
      </x:c>
      <x:c r="K628" s="25" t="n">
        <x:v>1</x:v>
      </x:c>
      <x:c r="L628" s="27" t="b">
        <x:v>0</x:v>
      </x:c>
      <x:c r="M628" s="25" t="str">
        <x:v>Deepseek-flash-v4/state/Round1/shards/Lang.json</x:v>
      </x:c>
      <x:c r="N628" s="25" t="str">
        <x:v>Deepseek-flash-v4/Result/Lang_12/result.json</x:v>
      </x:c>
      <x:c r="O628" s="25" t="str">
        <x:v>Deepseek-flash-v4/Result/Lang_12/result.json</x:v>
      </x:c>
      <x:c r="P628" t="str">
        <x:v>BOTH_NOT_RUN</x:v>
      </x:c>
      <x:c r="Q628" s="21" t="str"/>
      <x:c r="R628" s="21" t="str"/>
      <x:c r="S628" s="21" t="str"/>
      <x:c r="T628" s="17" t="str">
        <x:v>false</x:v>
      </x:c>
      <x:c r="U628" s="17" t="str">
        <x:v>true</x:v>
      </x:c>
      <x:c r="V628" s="17" t="str">
        <x:v>false</x:v>
      </x:c>
    </x:row>
    <x:row r="629" ht="80" customHeight="1">
      <x:c r="A629" s="25" t="str">
        <x:v>Lang</x:v>
      </x:c>
      <x:c r="B629" s="25" t="n">
        <x:v>13</x:v>
      </x:c>
      <x:c r="C629" s="25" t="str">
        <x:v>Round1</x:v>
      </x:c>
      <x:c r="D629" s="25" t="str">
        <x:v>INCONCLUSIVE</x:v>
      </x:c>
      <x:c r="E629" s="25" t="str">
        <x:v>N/A</x:v>
      </x:c>
      <x:c r="F629" s="26" t="str">
        <x:v>Fixed also failed; assertion failure cannot be attributed to this bug</x:v>
      </x:c>
      <x:c r="G629" s="25" t="str">
        <x:v>true</x:v>
      </x:c>
      <x:c r="H629" s="25" t="str">
        <x:v>INCONCLUSIVE</x:v>
      </x:c>
      <x:c r="I629" s="25" t="str">
        <x:v>FAIL</x:v>
      </x:c>
      <x:c r="J629" s="25" t="str">
        <x:v>FAIL</x:v>
      </x:c>
      <x:c r="K629" s="25" t="n">
        <x:v>1</x:v>
      </x:c>
      <x:c r="L629" s="27" t="b">
        <x:v>0</x:v>
      </x:c>
      <x:c r="M629" s="25" t="str">
        <x:v>Deepseek-flash-v4/state/Round1/shards/Lang.json</x:v>
      </x:c>
      <x:c r="N629" s="25" t="str">
        <x:v>Deepseek-flash-v4/Result/Lang_13/result.json</x:v>
      </x:c>
      <x:c r="O629" s="25" t="str">
        <x:v>Deepseek-flash-v4/Result/Lang_13/result.json</x:v>
      </x:c>
      <x:c r="P629"/>
      <x:c r="Q629" s="21" t="str"/>
      <x:c r="R629" s="21" t="str"/>
      <x:c r="S629" s="21" t="str"/>
      <x:c r="T629" s="17" t="str">
        <x:v>false</x:v>
      </x:c>
      <x:c r="U629" s="17" t="str">
        <x:v>true</x:v>
      </x:c>
      <x:c r="V629" s="17" t="str">
        <x:v>false</x:v>
      </x:c>
    </x:row>
    <x:row r="630" ht="80" customHeight="1">
      <x:c r="A630" s="25" t="str">
        <x:v>Lang</x:v>
      </x:c>
      <x:c r="B630" s="25" t="n">
        <x:v>14</x:v>
      </x:c>
      <x:c r="C630" s="25" t="str">
        <x:v>Round1</x:v>
      </x:c>
      <x:c r="D630" s="25" t="str">
        <x:v>NOT_AVAILABLE</x:v>
      </x:c>
      <x:c r="E630" s="25" t="str">
        <x:v>N/A</x:v>
      </x:c>
      <x:c r="F630" s="26" t="str">
        <x:v>Tests exist but current coverage did not complete</x:v>
      </x:c>
      <x:c r="G630" s="25" t="str">
        <x:v>true</x:v>
      </x:c>
      <x:c r="H630" s="25" t="str">
        <x:v>NOT_AVAILABLE</x:v>
      </x:c>
      <x:c r="I630" s="25" t="str">
        <x:v>NOT_RUN</x:v>
      </x:c>
      <x:c r="J630" s="25" t="str">
        <x:v>NOT_RUN</x:v>
      </x:c>
      <x:c r="K630" s="25" t="n">
        <x:v>1</x:v>
      </x:c>
      <x:c r="L630" s="27" t="b">
        <x:v>0</x:v>
      </x:c>
      <x:c r="M630" s="25" t="str">
        <x:v>Deepseek-flash-v4/state/Round1/shards/Lang.json</x:v>
      </x:c>
      <x:c r="N630" s="25" t="str">
        <x:v>Deepseek-flash-v4/Result/Lang_14/result.json</x:v>
      </x:c>
      <x:c r="O630" s="25" t="str">
        <x:v>Deepseek-flash-v4/Result/Lang_14/result.json</x:v>
      </x:c>
      <x:c r="P630" t="str">
        <x:v>BOTH_NOT_RUN</x:v>
      </x:c>
      <x:c r="Q630" s="21" t="str"/>
      <x:c r="R630" s="21" t="str"/>
      <x:c r="S630" s="21" t="str"/>
      <x:c r="T630" s="17" t="str">
        <x:v>false</x:v>
      </x:c>
      <x:c r="U630" s="17" t="str">
        <x:v>true</x:v>
      </x:c>
      <x:c r="V630" s="17" t="str">
        <x:v>false</x:v>
      </x:c>
    </x:row>
    <x:row r="631" ht="80" customHeight="1">
      <x:c r="A631" s="25" t="str">
        <x:v>Lang</x:v>
      </x:c>
      <x:c r="B631" s="25" t="n">
        <x:v>15</x:v>
      </x:c>
      <x:c r="C631" s="25" t="str">
        <x:v>Round1</x:v>
      </x:c>
      <x:c r="D631" s="25" t="str">
        <x:v>NOT_AVAILABLE</x:v>
      </x:c>
      <x:c r="E631" s="25" t="str">
        <x:v>N/A</x:v>
      </x:c>
      <x:c r="F631" s="26" t="str">
        <x:v>Tests exist but current coverage did not complete</x:v>
      </x:c>
      <x:c r="G631" s="25" t="str">
        <x:v>true</x:v>
      </x:c>
      <x:c r="H631" s="25" t="str">
        <x:v>NOT_AVAILABLE</x:v>
      </x:c>
      <x:c r="I631" s="25" t="str">
        <x:v>NOT_RUN</x:v>
      </x:c>
      <x:c r="J631" s="25" t="str">
        <x:v>NOT_RUN</x:v>
      </x:c>
      <x:c r="K631" s="25" t="n">
        <x:v>1</x:v>
      </x:c>
      <x:c r="L631" s="27" t="b">
        <x:v>0</x:v>
      </x:c>
      <x:c r="M631" s="25" t="str">
        <x:v>Deepseek-flash-v4/state/Round1/shards/Lang.json</x:v>
      </x:c>
      <x:c r="N631" s="25" t="str">
        <x:v>Deepseek-flash-v4/Result/Lang_15/result.json</x:v>
      </x:c>
      <x:c r="O631" s="25" t="str">
        <x:v>Deepseek-flash-v4/Result/Lang_15/result.json</x:v>
      </x:c>
      <x:c r="P631" t="str">
        <x:v>BOTH_NOT_RUN</x:v>
      </x:c>
      <x:c r="Q631" s="21" t="str"/>
      <x:c r="R631" s="21" t="str"/>
      <x:c r="S631" s="21" t="str"/>
      <x:c r="T631" s="17" t="str">
        <x:v>false</x:v>
      </x:c>
      <x:c r="U631" s="17" t="str">
        <x:v>true</x:v>
      </x:c>
      <x:c r="V631" s="17" t="str">
        <x:v>false</x:v>
      </x:c>
    </x:row>
    <x:row r="632" ht="80" customHeight="1">
      <x:c r="A632" s="25" t="str">
        <x:v>Lang</x:v>
      </x:c>
      <x:c r="B632" s="25" t="n">
        <x:v>16</x:v>
      </x:c>
      <x:c r="C632" s="25" t="str">
        <x:v>Round1</x:v>
      </x:c>
      <x:c r="D632" s="25" t="str">
        <x:v>INCONCLUSIVE</x:v>
      </x:c>
      <x:c r="E632" s="25" t="str">
        <x:v>N/A</x:v>
      </x:c>
      <x:c r="F632" s="26" t="str">
        <x:v>Fixed also failed; assertion failure cannot be attributed to this bug</x:v>
      </x:c>
      <x:c r="G632" s="25" t="str">
        <x:v>true</x:v>
      </x:c>
      <x:c r="H632" s="25" t="str">
        <x:v>INCONCLUSIVE</x:v>
      </x:c>
      <x:c r="I632" s="25" t="str">
        <x:v>FAIL</x:v>
      </x:c>
      <x:c r="J632" s="25" t="str">
        <x:v>FAIL</x:v>
      </x:c>
      <x:c r="K632" s="25" t="n">
        <x:v>1</x:v>
      </x:c>
      <x:c r="L632" s="27" t="b">
        <x:v>0</x:v>
      </x:c>
      <x:c r="M632" s="25" t="str">
        <x:v>Deepseek-flash-v4/state/Round1/shards/Lang.json</x:v>
      </x:c>
      <x:c r="N632" s="25" t="str">
        <x:v>Deepseek-flash-v4/Result/Lang_16/result.json</x:v>
      </x:c>
      <x:c r="O632" s="25" t="str">
        <x:v>Deepseek-flash-v4/Result/Lang_16/result.json</x:v>
      </x:c>
      <x:c r="P632"/>
      <x:c r="Q632" s="21" t="str"/>
      <x:c r="R632" s="21" t="str"/>
      <x:c r="S632" s="21" t="str"/>
      <x:c r="T632" s="17" t="str">
        <x:v>false</x:v>
      </x:c>
      <x:c r="U632" s="17" t="str">
        <x:v>true</x:v>
      </x:c>
      <x:c r="V632" s="17" t="str">
        <x:v>false</x:v>
      </x:c>
    </x:row>
    <x:row r="633" ht="80" customHeight="1">
      <x:c r="A633" s="25" t="str">
        <x:v>Lang</x:v>
      </x:c>
      <x:c r="B633" s="25" t="n">
        <x:v>17</x:v>
      </x:c>
      <x:c r="C633" s="25" t="str">
        <x:v>Round1</x:v>
      </x:c>
      <x:c r="D633" s="25" t="str">
        <x:v>NOT_AVAILABLE</x:v>
      </x:c>
      <x:c r="E633" s="25" t="str">
        <x:v>N/A</x:v>
      </x:c>
      <x:c r="F633" s="26" t="str">
        <x:v>Tests exist but current coverage did not complete</x:v>
      </x:c>
      <x:c r="G633" s="25" t="str">
        <x:v>true</x:v>
      </x:c>
      <x:c r="H633" s="25" t="str">
        <x:v>NOT_AVAILABLE</x:v>
      </x:c>
      <x:c r="I633" s="25" t="str">
        <x:v>NOT_RUN</x:v>
      </x:c>
      <x:c r="J633" s="25" t="str">
        <x:v>NOT_RUN</x:v>
      </x:c>
      <x:c r="K633" s="25" t="n">
        <x:v>1</x:v>
      </x:c>
      <x:c r="L633" s="27" t="b">
        <x:v>0</x:v>
      </x:c>
      <x:c r="M633" s="25" t="str">
        <x:v>Deepseek-flash-v4/state/Round1/shards/Lang.json</x:v>
      </x:c>
      <x:c r="N633" s="25" t="str">
        <x:v>Deepseek-flash-v4/Result/Lang_17/result.json</x:v>
      </x:c>
      <x:c r="O633" s="25" t="str">
        <x:v>Deepseek-flash-v4/Result/Lang_17/result.json</x:v>
      </x:c>
      <x:c r="P633" t="str">
        <x:v>BOTH_NOT_RUN</x:v>
      </x:c>
      <x:c r="Q633" s="21" t="str"/>
      <x:c r="R633" s="21" t="str"/>
      <x:c r="S633" s="21" t="str"/>
      <x:c r="T633" s="17" t="str">
        <x:v>false</x:v>
      </x:c>
      <x:c r="U633" s="17" t="str">
        <x:v>true</x:v>
      </x:c>
      <x:c r="V633" s="17" t="str">
        <x:v>false</x:v>
      </x:c>
    </x:row>
    <x:row r="634" ht="80" customHeight="1">
      <x:c r="A634" s="25" t="str">
        <x:v>Lang</x:v>
      </x:c>
      <x:c r="B634" s="25" t="n">
        <x:v>19</x:v>
      </x:c>
      <x:c r="C634" s="25" t="str">
        <x:v>Round1</x:v>
      </x:c>
      <x:c r="D634" s="25" t="str">
        <x:v>INCONCLUSIVE</x:v>
      </x:c>
      <x:c r="E634" s="25" t="str">
        <x:v>N/A</x:v>
      </x:c>
      <x:c r="F634" s="26" t="str">
        <x:v>Fixed also failed; assertion failure cannot be attributed to this bug</x:v>
      </x:c>
      <x:c r="G634" s="25" t="str">
        <x:v>true</x:v>
      </x:c>
      <x:c r="H634" s="25" t="str">
        <x:v>INCONCLUSIVE</x:v>
      </x:c>
      <x:c r="I634" s="25" t="str">
        <x:v>FAIL</x:v>
      </x:c>
      <x:c r="J634" s="25" t="str">
        <x:v>FAIL</x:v>
      </x:c>
      <x:c r="K634" s="25" t="n">
        <x:v>1</x:v>
      </x:c>
      <x:c r="L634" s="27" t="b">
        <x:v>0</x:v>
      </x:c>
      <x:c r="M634" s="25" t="str">
        <x:v>Deepseek-flash-v4/state/Round1/shards/Lang.json</x:v>
      </x:c>
      <x:c r="N634" s="25" t="str">
        <x:v>Deepseek-flash-v4/Result/Lang_19/result.json</x:v>
      </x:c>
      <x:c r="O634" s="25" t="str">
        <x:v>Deepseek-flash-v4/Result/Lang_19/result.json</x:v>
      </x:c>
      <x:c r="P634"/>
      <x:c r="Q634" s="21" t="str"/>
      <x:c r="R634" s="21" t="str"/>
      <x:c r="S634" s="21" t="str"/>
      <x:c r="T634" s="17" t="str">
        <x:v>false</x:v>
      </x:c>
      <x:c r="U634" s="17" t="str">
        <x:v>true</x:v>
      </x:c>
      <x:c r="V634" s="17" t="str">
        <x:v>false</x:v>
      </x:c>
    </x:row>
    <x:row r="635" ht="80" customHeight="1">
      <x:c r="A635" s="25" t="str">
        <x:v>Lang</x:v>
      </x:c>
      <x:c r="B635" s="25" t="n">
        <x:v>20</x:v>
      </x:c>
      <x:c r="C635" s="25" t="str">
        <x:v>Round1</x:v>
      </x:c>
      <x:c r="D635" s="25" t="str">
        <x:v>NOT_AVAILABLE</x:v>
      </x:c>
      <x:c r="E635" s="25" t="str">
        <x:v>N/A</x:v>
      </x:c>
      <x:c r="F635" s="26" t="str">
        <x:v>Tests exist but current coverage did not complete</x:v>
      </x:c>
      <x:c r="G635" s="25" t="str">
        <x:v>true</x:v>
      </x:c>
      <x:c r="H635" s="25" t="str">
        <x:v>NOT_AVAILABLE</x:v>
      </x:c>
      <x:c r="I635" s="25" t="str">
        <x:v>NOT_RUN</x:v>
      </x:c>
      <x:c r="J635" s="25" t="str">
        <x:v>NOT_RUN</x:v>
      </x:c>
      <x:c r="K635" s="25" t="n">
        <x:v>1</x:v>
      </x:c>
      <x:c r="L635" s="27" t="b">
        <x:v>0</x:v>
      </x:c>
      <x:c r="M635" s="25" t="str">
        <x:v>Deepseek-flash-v4/state/Round1/shards/Lang.json</x:v>
      </x:c>
      <x:c r="N635" s="25" t="str">
        <x:v>Deepseek-flash-v4/Result/Lang_20/result.json</x:v>
      </x:c>
      <x:c r="O635" s="25" t="str">
        <x:v>Deepseek-flash-v4/Result/Lang_20/result.json</x:v>
      </x:c>
      <x:c r="P635" t="str">
        <x:v>BOTH_NOT_RUN</x:v>
      </x:c>
      <x:c r="Q635" s="21" t="str"/>
      <x:c r="R635" s="21" t="str"/>
      <x:c r="S635" s="21" t="str"/>
      <x:c r="T635" s="17" t="str">
        <x:v>false</x:v>
      </x:c>
      <x:c r="U635" s="17" t="str">
        <x:v>true</x:v>
      </x:c>
      <x:c r="V635" s="17" t="str">
        <x:v>false</x:v>
      </x:c>
    </x:row>
    <x:row r="636" ht="80" customHeight="1">
      <x:c r="A636" s="25" t="str">
        <x:v>Lang</x:v>
      </x:c>
      <x:c r="B636" s="25" t="n">
        <x:v>21</x:v>
      </x:c>
      <x:c r="C636" s="25" t="str">
        <x:v>Round1</x:v>
      </x:c>
      <x:c r="D636" s="25" t="str">
        <x:v>NOT_AVAILABLE</x:v>
      </x:c>
      <x:c r="E636" s="25" t="str">
        <x:v>N/A</x:v>
      </x:c>
      <x:c r="F636" s="26" t="str">
        <x:v>Tests exist but current coverage did not complete</x:v>
      </x:c>
      <x:c r="G636" s="25" t="str">
        <x:v>true</x:v>
      </x:c>
      <x:c r="H636" s="25" t="str">
        <x:v>NOT_AVAILABLE</x:v>
      </x:c>
      <x:c r="I636" s="25" t="str">
        <x:v>NOT_RUN</x:v>
      </x:c>
      <x:c r="J636" s="25" t="str">
        <x:v>NOT_RUN</x:v>
      </x:c>
      <x:c r="K636" s="25" t="n">
        <x:v>1</x:v>
      </x:c>
      <x:c r="L636" s="27" t="b">
        <x:v>0</x:v>
      </x:c>
      <x:c r="M636" s="25" t="str">
        <x:v>Deepseek-flash-v4/state/Round1/shards/Lang.json</x:v>
      </x:c>
      <x:c r="N636" s="25" t="str">
        <x:v>Deepseek-flash-v4/Result/Lang_21/result.json</x:v>
      </x:c>
      <x:c r="O636" s="25" t="str">
        <x:v>Deepseek-flash-v4/Result/Lang_21/result.json</x:v>
      </x:c>
      <x:c r="P636" t="str">
        <x:v>BOTH_NOT_RUN</x:v>
      </x:c>
      <x:c r="Q636" s="21" t="str"/>
      <x:c r="R636" s="21" t="str"/>
      <x:c r="S636" s="21" t="str"/>
      <x:c r="T636" s="17" t="str">
        <x:v>false</x:v>
      </x:c>
      <x:c r="U636" s="17" t="str">
        <x:v>true</x:v>
      </x:c>
      <x:c r="V636" s="17" t="str">
        <x:v>false</x:v>
      </x:c>
    </x:row>
    <x:row r="637" ht="80" customHeight="1">
      <x:c r="A637" s="25" t="str">
        <x:v>Lang</x:v>
      </x:c>
      <x:c r="B637" s="25" t="n">
        <x:v>22</x:v>
      </x:c>
      <x:c r="C637" s="25" t="str">
        <x:v>Round1</x:v>
      </x:c>
      <x:c r="D637" s="25" t="str">
        <x:v>NOT_AVAILABLE</x:v>
      </x:c>
      <x:c r="E637" s="25" t="str">
        <x:v>N/A</x:v>
      </x:c>
      <x:c r="F637" s="26" t="str">
        <x:v>Tests exist but current coverage did not complete</x:v>
      </x:c>
      <x:c r="G637" s="25" t="str">
        <x:v>true</x:v>
      </x:c>
      <x:c r="H637" s="25" t="str">
        <x:v>NOT_AVAILABLE</x:v>
      </x:c>
      <x:c r="I637" s="25" t="str">
        <x:v>NOT_RUN</x:v>
      </x:c>
      <x:c r="J637" s="25" t="str">
        <x:v>NOT_RUN</x:v>
      </x:c>
      <x:c r="K637" s="25" t="n">
        <x:v>1</x:v>
      </x:c>
      <x:c r="L637" s="27" t="b">
        <x:v>0</x:v>
      </x:c>
      <x:c r="M637" s="25" t="str">
        <x:v>Deepseek-flash-v4/state/Round1/shards/Lang.json</x:v>
      </x:c>
      <x:c r="N637" s="25" t="str">
        <x:v>Deepseek-flash-v4/Result/Lang_22/result.json</x:v>
      </x:c>
      <x:c r="O637" s="25" t="str">
        <x:v>Deepseek-flash-v4/Result/Lang_22/result.json</x:v>
      </x:c>
      <x:c r="P637" t="str">
        <x:v>BOTH_NOT_RUN</x:v>
      </x:c>
      <x:c r="Q637" s="21" t="str"/>
      <x:c r="R637" s="21" t="str"/>
      <x:c r="S637" s="21" t="str"/>
      <x:c r="T637" s="17" t="str">
        <x:v>false</x:v>
      </x:c>
      <x:c r="U637" s="17" t="str">
        <x:v>true</x:v>
      </x:c>
      <x:c r="V637" s="17" t="str">
        <x:v>false</x:v>
      </x:c>
    </x:row>
    <x:row r="638" ht="80" customHeight="1">
      <x:c r="A638" s="25" t="str">
        <x:v>Lang</x:v>
      </x:c>
      <x:c r="B638" s="25" t="n">
        <x:v>23</x:v>
      </x:c>
      <x:c r="C638" s="25" t="str">
        <x:v>Round1</x:v>
      </x:c>
      <x:c r="D638" s="25" t="str">
        <x:v>INCONCLUSIVE</x:v>
      </x:c>
      <x:c r="E638" s="25" t="str">
        <x:v>N/A</x:v>
      </x:c>
      <x:c r="F638" s="26" t="str">
        <x:v>Fixed also failed; assertion failure cannot be attributed to this bug</x:v>
      </x:c>
      <x:c r="G638" s="25" t="str">
        <x:v>true</x:v>
      </x:c>
      <x:c r="H638" s="25" t="str">
        <x:v>INCONCLUSIVE</x:v>
      </x:c>
      <x:c r="I638" s="25" t="str">
        <x:v>FAIL</x:v>
      </x:c>
      <x:c r="J638" s="25" t="str">
        <x:v>FAIL</x:v>
      </x:c>
      <x:c r="K638" s="25" t="n">
        <x:v>1</x:v>
      </x:c>
      <x:c r="L638" s="27" t="b">
        <x:v>0</x:v>
      </x:c>
      <x:c r="M638" s="25" t="str">
        <x:v>Deepseek-flash-v4/state/Round1/shards/Lang.json</x:v>
      </x:c>
      <x:c r="N638" s="25" t="str">
        <x:v>Deepseek-flash-v4/Result/Lang_23/result.json</x:v>
      </x:c>
      <x:c r="O638" s="25" t="str">
        <x:v>Deepseek-flash-v4/Result/Lang_23/result.json</x:v>
      </x:c>
      <x:c r="P638"/>
      <x:c r="Q638" s="21" t="str"/>
      <x:c r="R638" s="21" t="str"/>
      <x:c r="S638" s="21" t="str"/>
      <x:c r="T638" s="17" t="str">
        <x:v>false</x:v>
      </x:c>
      <x:c r="U638" s="17" t="str">
        <x:v>true</x:v>
      </x:c>
      <x:c r="V638" s="17" t="str">
        <x:v>false</x:v>
      </x:c>
    </x:row>
    <x:row r="639" ht="80" customHeight="1">
      <x:c r="A639" s="25" t="str">
        <x:v>Lang</x:v>
      </x:c>
      <x:c r="B639" s="25" t="n">
        <x:v>24</x:v>
      </x:c>
      <x:c r="C639" s="25" t="str">
        <x:v>Round1</x:v>
      </x:c>
      <x:c r="D639" s="25" t="str">
        <x:v>INCONCLUSIVE</x:v>
      </x:c>
      <x:c r="E639" s="25" t="str">
        <x:v>N/A</x:v>
      </x:c>
      <x:c r="F639" s="26" t="str">
        <x:v>Fixed also failed; assertion failure cannot be attributed to this bug</x:v>
      </x:c>
      <x:c r="G639" s="25" t="str">
        <x:v>true</x:v>
      </x:c>
      <x:c r="H639" s="25" t="str">
        <x:v>INCONCLUSIVE</x:v>
      </x:c>
      <x:c r="I639" s="25" t="str">
        <x:v>FAIL</x:v>
      </x:c>
      <x:c r="J639" s="25" t="str">
        <x:v>FAIL</x:v>
      </x:c>
      <x:c r="K639" s="25" t="n">
        <x:v>1</x:v>
      </x:c>
      <x:c r="L639" s="27" t="b">
        <x:v>0</x:v>
      </x:c>
      <x:c r="M639" s="25" t="str">
        <x:v>Deepseek-flash-v4/state/Round1/shards/Lang.json</x:v>
      </x:c>
      <x:c r="N639" s="25" t="str">
        <x:v>Deepseek-flash-v4/Result/Lang_24/result.json</x:v>
      </x:c>
      <x:c r="O639" s="25" t="str">
        <x:v>Deepseek-flash-v4/Result/Lang_24/result.json</x:v>
      </x:c>
      <x:c r="P639"/>
      <x:c r="Q639" s="21" t="str"/>
      <x:c r="R639" s="21" t="str"/>
      <x:c r="S639" s="21" t="str"/>
      <x:c r="T639" s="17" t="str">
        <x:v>false</x:v>
      </x:c>
      <x:c r="U639" s="17" t="str">
        <x:v>true</x:v>
      </x:c>
      <x:c r="V639" s="17" t="str">
        <x:v>false</x:v>
      </x:c>
    </x:row>
    <x:row r="640" ht="80" customHeight="1">
      <x:c r="A640" s="25" t="str">
        <x:v>Lang</x:v>
      </x:c>
      <x:c r="B640" s="25" t="n">
        <x:v>26</x:v>
      </x:c>
      <x:c r="C640" s="25" t="str">
        <x:v>Round1</x:v>
      </x:c>
      <x:c r="D640" s="25" t="str">
        <x:v>INCONCLUSIVE</x:v>
      </x:c>
      <x:c r="E640" s="25" t="str">
        <x:v>N/A</x:v>
      </x:c>
      <x:c r="F640" s="26" t="str">
        <x:v>Fixed also failed; assertion failure cannot be attributed to this bug</x:v>
      </x:c>
      <x:c r="G640" s="25" t="str">
        <x:v>true</x:v>
      </x:c>
      <x:c r="H640" s="25" t="str">
        <x:v>INCONCLUSIVE</x:v>
      </x:c>
      <x:c r="I640" s="25" t="str">
        <x:v>FAIL</x:v>
      </x:c>
      <x:c r="J640" s="25" t="str">
        <x:v>FAIL</x:v>
      </x:c>
      <x:c r="K640" s="25" t="n">
        <x:v>1</x:v>
      </x:c>
      <x:c r="L640" s="27" t="b">
        <x:v>0</x:v>
      </x:c>
      <x:c r="M640" s="25" t="str">
        <x:v>Deepseek-flash-v4/state/Round1/shards/Lang.json</x:v>
      </x:c>
      <x:c r="N640" s="25" t="str">
        <x:v>Deepseek-flash-v4/Result/Lang_26/result.json</x:v>
      </x:c>
      <x:c r="O640" s="25" t="str">
        <x:v>Deepseek-flash-v4/Result/Lang_26/result.json</x:v>
      </x:c>
      <x:c r="P640"/>
      <x:c r="Q640" s="21" t="str"/>
      <x:c r="R640" s="21" t="str"/>
      <x:c r="S640" s="21" t="str"/>
      <x:c r="T640" s="17" t="str">
        <x:v>false</x:v>
      </x:c>
      <x:c r="U640" s="17" t="str">
        <x:v>true</x:v>
      </x:c>
      <x:c r="V640" s="17" t="str">
        <x:v>false</x:v>
      </x:c>
    </x:row>
    <x:row r="641" ht="80" customHeight="1">
      <x:c r="A641" s="25" t="str">
        <x:v>Lang</x:v>
      </x:c>
      <x:c r="B641" s="25" t="n">
        <x:v>27</x:v>
      </x:c>
      <x:c r="C641" s="25" t="str">
        <x:v>Round1</x:v>
      </x:c>
      <x:c r="D641" s="25" t="str">
        <x:v>INCONCLUSIVE</x:v>
      </x:c>
      <x:c r="E641" s="25" t="str">
        <x:v>N/A</x:v>
      </x:c>
      <x:c r="F641" s="26" t="str">
        <x:v>Fixed also failed; assertion failure cannot be attributed to this bug</x:v>
      </x:c>
      <x:c r="G641" s="25" t="str">
        <x:v>true</x:v>
      </x:c>
      <x:c r="H641" s="25" t="str">
        <x:v>INCONCLUSIVE</x:v>
      </x:c>
      <x:c r="I641" s="25" t="str">
        <x:v>FAIL</x:v>
      </x:c>
      <x:c r="J641" s="25" t="str">
        <x:v>FAIL</x:v>
      </x:c>
      <x:c r="K641" s="25" t="n">
        <x:v>1</x:v>
      </x:c>
      <x:c r="L641" s="27" t="b">
        <x:v>0</x:v>
      </x:c>
      <x:c r="M641" s="25" t="str">
        <x:v>Deepseek-flash-v4/state/Round1/shards/Lang.json</x:v>
      </x:c>
      <x:c r="N641" s="25" t="str">
        <x:v>Deepseek-flash-v4/Result/Lang_27/result.json</x:v>
      </x:c>
      <x:c r="O641" s="25" t="str">
        <x:v>Deepseek-flash-v4/Result/Lang_27/result.json</x:v>
      </x:c>
      <x:c r="P641"/>
      <x:c r="Q641" s="21" t="str"/>
      <x:c r="R641" s="21" t="str"/>
      <x:c r="S641" s="21" t="str"/>
      <x:c r="T641" s="17" t="str">
        <x:v>false</x:v>
      </x:c>
      <x:c r="U641" s="17" t="str">
        <x:v>true</x:v>
      </x:c>
      <x:c r="V641" s="17" t="str">
        <x:v>false</x:v>
      </x:c>
    </x:row>
    <x:row r="642" ht="80" customHeight="1">
      <x:c r="A642" s="25" t="str">
        <x:v>Lang</x:v>
      </x:c>
      <x:c r="B642" s="25" t="n">
        <x:v>28</x:v>
      </x:c>
      <x:c r="C642" s="25" t="str">
        <x:v>Round1</x:v>
      </x:c>
      <x:c r="D642" s="25" t="str">
        <x:v>INCONCLUSIVE</x:v>
      </x:c>
      <x:c r="E642" s="25" t="str">
        <x:v>N/A</x:v>
      </x:c>
      <x:c r="F642" s="26" t="str">
        <x:v>Fixed also failed; assertion failure cannot be attributed to this bug</x:v>
      </x:c>
      <x:c r="G642" s="25" t="str">
        <x:v>true</x:v>
      </x:c>
      <x:c r="H642" s="25" t="str">
        <x:v>INCONCLUSIVE</x:v>
      </x:c>
      <x:c r="I642" s="25" t="str">
        <x:v>FAIL</x:v>
      </x:c>
      <x:c r="J642" s="25" t="str">
        <x:v>FAIL</x:v>
      </x:c>
      <x:c r="K642" s="25" t="n">
        <x:v>1</x:v>
      </x:c>
      <x:c r="L642" s="27" t="b">
        <x:v>0</x:v>
      </x:c>
      <x:c r="M642" s="25" t="str">
        <x:v>Deepseek-flash-v4/state/Round1/shards/Lang.json</x:v>
      </x:c>
      <x:c r="N642" s="25" t="str">
        <x:v>Deepseek-flash-v4/Result/Lang_28/result.json</x:v>
      </x:c>
      <x:c r="O642" s="25" t="str">
        <x:v>Deepseek-flash-v4/Result/Lang_28/result.json</x:v>
      </x:c>
      <x:c r="P642"/>
      <x:c r="Q642" s="21" t="str"/>
      <x:c r="R642" s="21" t="str"/>
      <x:c r="S642" s="21" t="str"/>
      <x:c r="T642" s="17" t="str">
        <x:v>false</x:v>
      </x:c>
      <x:c r="U642" s="17" t="str">
        <x:v>true</x:v>
      </x:c>
      <x:c r="V642" s="17" t="str">
        <x:v>false</x:v>
      </x:c>
    </x:row>
    <x:row r="643" ht="80" customHeight="1">
      <x:c r="A643" s="25" t="str">
        <x:v>Lang</x:v>
      </x:c>
      <x:c r="B643" s="25" t="n">
        <x:v>29</x:v>
      </x:c>
      <x:c r="C643" s="25" t="str">
        <x:v>Round1</x:v>
      </x:c>
      <x:c r="D643" s="25" t="str">
        <x:v>NOT_AVAILABLE</x:v>
      </x:c>
      <x:c r="E643" s="25" t="str">
        <x:v>N/A</x:v>
      </x:c>
      <x:c r="F643" s="26" t="str">
        <x:v>Tests exist but current coverage did not complete</x:v>
      </x:c>
      <x:c r="G643" s="25" t="str">
        <x:v>true</x:v>
      </x:c>
      <x:c r="H643" s="25" t="str">
        <x:v>NOT_AVAILABLE</x:v>
      </x:c>
      <x:c r="I643" s="25" t="str">
        <x:v>NOT_RUN</x:v>
      </x:c>
      <x:c r="J643" s="25" t="str">
        <x:v>NOT_RUN</x:v>
      </x:c>
      <x:c r="K643" s="25" t="n">
        <x:v>1</x:v>
      </x:c>
      <x:c r="L643" s="27" t="b">
        <x:v>0</x:v>
      </x:c>
      <x:c r="M643" s="25" t="str">
        <x:v>Deepseek-flash-v4/state/Round1/shards/Lang.json</x:v>
      </x:c>
      <x:c r="N643" s="25" t="str">
        <x:v>Deepseek-flash-v4/Result/Lang_29/result.json</x:v>
      </x:c>
      <x:c r="O643" s="25" t="str">
        <x:v>Deepseek-flash-v4/Result/Lang_29/result.json</x:v>
      </x:c>
      <x:c r="P643" t="str">
        <x:v>BOTH_NOT_RUN</x:v>
      </x:c>
      <x:c r="Q643" s="21" t="str"/>
      <x:c r="R643" s="21" t="str"/>
      <x:c r="S643" s="21" t="str"/>
      <x:c r="T643" s="17" t="str">
        <x:v>false</x:v>
      </x:c>
      <x:c r="U643" s="17" t="str">
        <x:v>true</x:v>
      </x:c>
      <x:c r="V643" s="17" t="str">
        <x:v>false</x:v>
      </x:c>
    </x:row>
    <x:row r="644" ht="80" customHeight="1">
      <x:c r="A644" s="25" t="str">
        <x:v>Lang</x:v>
      </x:c>
      <x:c r="B644" s="25" t="n">
        <x:v>3</x:v>
      </x:c>
      <x:c r="C644" s="25" t="str">
        <x:v>Round1</x:v>
      </x:c>
      <x:c r="D644" s="25" t="str">
        <x:v>NOT_AVAILABLE</x:v>
      </x:c>
      <x:c r="E644" s="25" t="str">
        <x:v>N/A</x:v>
      </x:c>
      <x:c r="F644" s="26" t="str">
        <x:v>Tests exist but current coverage did not complete</x:v>
      </x:c>
      <x:c r="G644" s="25" t="str">
        <x:v>true</x:v>
      </x:c>
      <x:c r="H644" s="25" t="str">
        <x:v>NOT_AVAILABLE</x:v>
      </x:c>
      <x:c r="I644" s="25" t="str">
        <x:v>NOT_RUN</x:v>
      </x:c>
      <x:c r="J644" s="25" t="str">
        <x:v>NOT_RUN</x:v>
      </x:c>
      <x:c r="K644" s="25" t="n">
        <x:v>1</x:v>
      </x:c>
      <x:c r="L644" s="27" t="b">
        <x:v>0</x:v>
      </x:c>
      <x:c r="M644" s="25" t="str">
        <x:v>Deepseek-flash-v4/state/Round1/shards/Lang.json</x:v>
      </x:c>
      <x:c r="N644" s="25" t="str">
        <x:v>Deepseek-flash-v4/Result/Lang_3/result.json</x:v>
      </x:c>
      <x:c r="O644" s="25" t="str">
        <x:v>Deepseek-flash-v4/Result/Lang_3/result.json</x:v>
      </x:c>
      <x:c r="P644" t="str">
        <x:v>BOTH_NOT_RUN</x:v>
      </x:c>
      <x:c r="Q644" s="21" t="str"/>
      <x:c r="R644" s="21" t="str"/>
      <x:c r="S644" s="21" t="str"/>
      <x:c r="T644" s="17" t="str">
        <x:v>false</x:v>
      </x:c>
      <x:c r="U644" s="17" t="str">
        <x:v>true</x:v>
      </x:c>
      <x:c r="V644" s="17" t="str">
        <x:v>false</x:v>
      </x:c>
    </x:row>
    <x:row r="645" ht="80" customHeight="1">
      <x:c r="A645" s="25" t="str">
        <x:v>Lang</x:v>
      </x:c>
      <x:c r="B645" s="25" t="n">
        <x:v>30</x:v>
      </x:c>
      <x:c r="C645" s="25" t="str">
        <x:v>Round1</x:v>
      </x:c>
      <x:c r="D645" s="25" t="str">
        <x:v>NOT_AVAILABLE</x:v>
      </x:c>
      <x:c r="E645" s="25" t="str">
        <x:v>N/A</x:v>
      </x:c>
      <x:c r="F645" s="26" t="str">
        <x:v>Tests exist but current coverage did not complete</x:v>
      </x:c>
      <x:c r="G645" s="25" t="str">
        <x:v>true</x:v>
      </x:c>
      <x:c r="H645" s="25" t="str">
        <x:v>NOT_AVAILABLE</x:v>
      </x:c>
      <x:c r="I645" s="25" t="str">
        <x:v>NOT_RUN</x:v>
      </x:c>
      <x:c r="J645" s="25" t="str">
        <x:v>NOT_RUN</x:v>
      </x:c>
      <x:c r="K645" s="25" t="n">
        <x:v>1</x:v>
      </x:c>
      <x:c r="L645" s="27" t="b">
        <x:v>0</x:v>
      </x:c>
      <x:c r="M645" s="25" t="str">
        <x:v>Deepseek-flash-v4/state/Round1/shards/Lang.json</x:v>
      </x:c>
      <x:c r="N645" s="25" t="str">
        <x:v>Deepseek-flash-v4/Result/Lang_30/result.json</x:v>
      </x:c>
      <x:c r="O645" s="25" t="str">
        <x:v>Deepseek-flash-v4/Result/Lang_30/result.json</x:v>
      </x:c>
      <x:c r="P645" t="str">
        <x:v>BOTH_NOT_RUN</x:v>
      </x:c>
      <x:c r="Q645" s="21" t="str"/>
      <x:c r="R645" s="21" t="str"/>
      <x:c r="S645" s="21" t="str"/>
      <x:c r="T645" s="17" t="str">
        <x:v>false</x:v>
      </x:c>
      <x:c r="U645" s="17" t="str">
        <x:v>true</x:v>
      </x:c>
      <x:c r="V645" s="17" t="str">
        <x:v>false</x:v>
      </x:c>
    </x:row>
    <x:row r="646" ht="80" customHeight="1">
      <x:c r="A646" s="25" t="str">
        <x:v>Lang</x:v>
      </x:c>
      <x:c r="B646" s="25" t="n">
        <x:v>31</x:v>
      </x:c>
      <x:c r="C646" s="25" t="str">
        <x:v>Round1</x:v>
      </x:c>
      <x:c r="D646" s="25" t="str">
        <x:v>NOT_AVAILABLE</x:v>
      </x:c>
      <x:c r="E646" s="25" t="str">
        <x:v>N/A</x:v>
      </x:c>
      <x:c r="F646" s="26" t="str">
        <x:v>Tests exist but current coverage did not complete</x:v>
      </x:c>
      <x:c r="G646" s="25" t="str">
        <x:v>true</x:v>
      </x:c>
      <x:c r="H646" s="25" t="str">
        <x:v>NOT_AVAILABLE</x:v>
      </x:c>
      <x:c r="I646" s="25" t="str">
        <x:v>NOT_RUN</x:v>
      </x:c>
      <x:c r="J646" s="25" t="str">
        <x:v>NOT_RUN</x:v>
      </x:c>
      <x:c r="K646" s="25" t="n">
        <x:v>1</x:v>
      </x:c>
      <x:c r="L646" s="27" t="b">
        <x:v>0</x:v>
      </x:c>
      <x:c r="M646" s="25" t="str">
        <x:v>Deepseek-flash-v4/state/Round1/shards/Lang.json</x:v>
      </x:c>
      <x:c r="N646" s="25" t="str">
        <x:v>Deepseek-flash-v4/Result/Lang_31/result.json</x:v>
      </x:c>
      <x:c r="O646" s="25" t="str">
        <x:v>Deepseek-flash-v4/Result/Lang_31/result.json</x:v>
      </x:c>
      <x:c r="P646" t="str">
        <x:v>BOTH_NOT_RUN</x:v>
      </x:c>
      <x:c r="Q646" s="21" t="str"/>
      <x:c r="R646" s="21" t="str"/>
      <x:c r="S646" s="21" t="str"/>
      <x:c r="T646" s="17" t="str">
        <x:v>false</x:v>
      </x:c>
      <x:c r="U646" s="17" t="str">
        <x:v>true</x:v>
      </x:c>
      <x:c r="V646" s="17" t="str">
        <x:v>false</x:v>
      </x:c>
    </x:row>
    <x:row r="647" ht="80" customHeight="1">
      <x:c r="A647" s="25" t="str">
        <x:v>Lang</x:v>
      </x:c>
      <x:c r="B647" s="25" t="n">
        <x:v>32</x:v>
      </x:c>
      <x:c r="C647" s="25" t="str">
        <x:v>Round1</x:v>
      </x:c>
      <x:c r="D647" s="25" t="str">
        <x:v>NOT_AVAILABLE</x:v>
      </x:c>
      <x:c r="E647" s="25" t="str">
        <x:v>N/A</x:v>
      </x:c>
      <x:c r="F647" s="26" t="str">
        <x:v>Tests exist but current coverage did not complete</x:v>
      </x:c>
      <x:c r="G647" s="25" t="str">
        <x:v>true</x:v>
      </x:c>
      <x:c r="H647" s="25" t="str">
        <x:v>NOT_AVAILABLE</x:v>
      </x:c>
      <x:c r="I647" s="25" t="str">
        <x:v>NOT_RUN</x:v>
      </x:c>
      <x:c r="J647" s="25" t="str">
        <x:v>NOT_RUN</x:v>
      </x:c>
      <x:c r="K647" s="25" t="n">
        <x:v>1</x:v>
      </x:c>
      <x:c r="L647" s="27" t="b">
        <x:v>0</x:v>
      </x:c>
      <x:c r="M647" s="25" t="str">
        <x:v>Deepseek-flash-v4/state/Round1/shards/Lang.json</x:v>
      </x:c>
      <x:c r="N647" s="25" t="str">
        <x:v>Deepseek-flash-v4/Result/Lang_32/result.json</x:v>
      </x:c>
      <x:c r="O647" s="25" t="str">
        <x:v>Deepseek-flash-v4/Result/Lang_32/result.json</x:v>
      </x:c>
      <x:c r="P647" t="str">
        <x:v>BOTH_NOT_RUN</x:v>
      </x:c>
      <x:c r="Q647" s="21" t="str"/>
      <x:c r="R647" s="21" t="str"/>
      <x:c r="S647" s="21" t="str"/>
      <x:c r="T647" s="17" t="str">
        <x:v>false</x:v>
      </x:c>
      <x:c r="U647" s="17" t="str">
        <x:v>true</x:v>
      </x:c>
      <x:c r="V647" s="17" t="str">
        <x:v>false</x:v>
      </x:c>
    </x:row>
    <x:row r="648" ht="80" customHeight="1">
      <x:c r="A648" s="25" t="str">
        <x:v>Lang</x:v>
      </x:c>
      <x:c r="B648" s="25" t="n">
        <x:v>33</x:v>
      </x:c>
      <x:c r="C648" s="25" t="str">
        <x:v>Round1</x:v>
      </x:c>
      <x:c r="D648" s="25" t="str">
        <x:v>NOT_AVAILABLE</x:v>
      </x:c>
      <x:c r="E648" s="25" t="str">
        <x:v>N/A</x:v>
      </x:c>
      <x:c r="F648" s="26" t="str">
        <x:v>Tests exist but current coverage did not complete</x:v>
      </x:c>
      <x:c r="G648" s="25" t="str">
        <x:v>true</x:v>
      </x:c>
      <x:c r="H648" s="25" t="str">
        <x:v>NOT_AVAILABLE</x:v>
      </x:c>
      <x:c r="I648" s="25" t="str">
        <x:v>NOT_RUN</x:v>
      </x:c>
      <x:c r="J648" s="25" t="str">
        <x:v>NOT_RUN</x:v>
      </x:c>
      <x:c r="K648" s="25" t="n">
        <x:v>1</x:v>
      </x:c>
      <x:c r="L648" s="27" t="b">
        <x:v>0</x:v>
      </x:c>
      <x:c r="M648" s="25" t="str">
        <x:v>Deepseek-flash-v4/state/Round1/shards/Lang.json</x:v>
      </x:c>
      <x:c r="N648" s="25" t="str">
        <x:v>Deepseek-flash-v4/Result/Lang_33/result.json</x:v>
      </x:c>
      <x:c r="O648" s="25" t="str">
        <x:v>Deepseek-flash-v4/Result/Lang_33/result.json</x:v>
      </x:c>
      <x:c r="P648" t="str">
        <x:v>BOTH_NOT_RUN</x:v>
      </x:c>
      <x:c r="Q648" s="21" t="str"/>
      <x:c r="R648" s="21" t="str"/>
      <x:c r="S648" s="21" t="str"/>
      <x:c r="T648" s="17" t="str">
        <x:v>false</x:v>
      </x:c>
      <x:c r="U648" s="17" t="str">
        <x:v>true</x:v>
      </x:c>
      <x:c r="V648" s="17" t="str">
        <x:v>false</x:v>
      </x:c>
    </x:row>
    <x:row r="649" ht="80" customHeight="1">
      <x:c r="A649" s="25" t="str">
        <x:v>Lang</x:v>
      </x:c>
      <x:c r="B649" s="25" t="n">
        <x:v>34</x:v>
      </x:c>
      <x:c r="C649" s="25" t="str">
        <x:v>Round1</x:v>
      </x:c>
      <x:c r="D649" s="25" t="str">
        <x:v>NOT_AVAILABLE</x:v>
      </x:c>
      <x:c r="E649" s="25" t="str">
        <x:v>N/A</x:v>
      </x:c>
      <x:c r="F649" s="26" t="str">
        <x:v>Tests exist but current coverage did not complete</x:v>
      </x:c>
      <x:c r="G649" s="25" t="str">
        <x:v>true</x:v>
      </x:c>
      <x:c r="H649" s="25" t="str">
        <x:v>NOT_AVAILABLE</x:v>
      </x:c>
      <x:c r="I649" s="25" t="str">
        <x:v>NOT_RUN</x:v>
      </x:c>
      <x:c r="J649" s="25" t="str">
        <x:v>NOT_RUN</x:v>
      </x:c>
      <x:c r="K649" s="25" t="n">
        <x:v>1</x:v>
      </x:c>
      <x:c r="L649" s="27" t="b">
        <x:v>0</x:v>
      </x:c>
      <x:c r="M649" s="25" t="str">
        <x:v>Deepseek-flash-v4/state/Round1/shards/Lang.json</x:v>
      </x:c>
      <x:c r="N649" s="25" t="str">
        <x:v>Deepseek-flash-v4/Result/Lang_34/result.json</x:v>
      </x:c>
      <x:c r="O649" s="25" t="str">
        <x:v>Deepseek-flash-v4/Result/Lang_34/result.json</x:v>
      </x:c>
      <x:c r="P649" t="str">
        <x:v>BOTH_NOT_RUN</x:v>
      </x:c>
      <x:c r="Q649" s="21" t="str"/>
      <x:c r="R649" s="21" t="str"/>
      <x:c r="S649" s="21" t="str"/>
      <x:c r="T649" s="17" t="str">
        <x:v>false</x:v>
      </x:c>
      <x:c r="U649" s="17" t="str">
        <x:v>true</x:v>
      </x:c>
      <x:c r="V649" s="17" t="str">
        <x:v>false</x:v>
      </x:c>
    </x:row>
    <x:row r="650" ht="80" customHeight="1">
      <x:c r="A650" s="25" t="str">
        <x:v>Lang</x:v>
      </x:c>
      <x:c r="B650" s="25" t="n">
        <x:v>35</x:v>
      </x:c>
      <x:c r="C650" s="25" t="str">
        <x:v>Round1</x:v>
      </x:c>
      <x:c r="D650" s="25" t="str">
        <x:v>NOT_AVAILABLE</x:v>
      </x:c>
      <x:c r="E650" s="25" t="str">
        <x:v>N/A</x:v>
      </x:c>
      <x:c r="F650" s="26" t="str">
        <x:v>Tests exist but current coverage did not complete</x:v>
      </x:c>
      <x:c r="G650" s="25" t="str">
        <x:v>true</x:v>
      </x:c>
      <x:c r="H650" s="25" t="str">
        <x:v>NOT_AVAILABLE</x:v>
      </x:c>
      <x:c r="I650" s="25" t="str">
        <x:v>NOT_RUN</x:v>
      </x:c>
      <x:c r="J650" s="25" t="str">
        <x:v>NOT_RUN</x:v>
      </x:c>
      <x:c r="K650" s="25" t="n">
        <x:v>1</x:v>
      </x:c>
      <x:c r="L650" s="27" t="b">
        <x:v>0</x:v>
      </x:c>
      <x:c r="M650" s="25" t="str">
        <x:v>Deepseek-flash-v4/state/Round1/shards/Lang.json</x:v>
      </x:c>
      <x:c r="N650" s="25" t="str">
        <x:v>Deepseek-flash-v4/Result/Lang_35/result.json</x:v>
      </x:c>
      <x:c r="O650" s="25" t="str">
        <x:v>Deepseek-flash-v4/Result/Lang_35/result.json</x:v>
      </x:c>
      <x:c r="P650" t="str">
        <x:v>BOTH_NOT_RUN</x:v>
      </x:c>
      <x:c r="Q650" s="21" t="str"/>
      <x:c r="R650" s="21" t="str"/>
      <x:c r="S650" s="21" t="str"/>
      <x:c r="T650" s="17" t="str">
        <x:v>false</x:v>
      </x:c>
      <x:c r="U650" s="17" t="str">
        <x:v>true</x:v>
      </x:c>
      <x:c r="V650" s="17" t="str">
        <x:v>false</x:v>
      </x:c>
    </x:row>
    <x:row r="651" ht="80" customHeight="1">
      <x:c r="A651" s="25" t="str">
        <x:v>Lang</x:v>
      </x:c>
      <x:c r="B651" s="25" t="n">
        <x:v>36</x:v>
      </x:c>
      <x:c r="C651" s="25" t="str">
        <x:v>Round1</x:v>
      </x:c>
      <x:c r="D651" s="25" t="str">
        <x:v>NOT_AVAILABLE</x:v>
      </x:c>
      <x:c r="E651" s="25" t="str">
        <x:v>N/A</x:v>
      </x:c>
      <x:c r="F651" s="26" t="str">
        <x:v>Tests exist but current coverage did not complete</x:v>
      </x:c>
      <x:c r="G651" s="25" t="str">
        <x:v>true</x:v>
      </x:c>
      <x:c r="H651" s="25" t="str">
        <x:v>NOT_AVAILABLE</x:v>
      </x:c>
      <x:c r="I651" s="25" t="str">
        <x:v>NOT_RUN</x:v>
      </x:c>
      <x:c r="J651" s="25" t="str">
        <x:v>NOT_RUN</x:v>
      </x:c>
      <x:c r="K651" s="25" t="n">
        <x:v>1</x:v>
      </x:c>
      <x:c r="L651" s="27" t="b">
        <x:v>0</x:v>
      </x:c>
      <x:c r="M651" s="25" t="str">
        <x:v>Deepseek-flash-v4/state/Round1/shards/Lang.json</x:v>
      </x:c>
      <x:c r="N651" s="25" t="str">
        <x:v>Deepseek-flash-v4/Result/Lang_36/result.json</x:v>
      </x:c>
      <x:c r="O651" s="25" t="str">
        <x:v>Deepseek-flash-v4/Result/Lang_36/result.json</x:v>
      </x:c>
      <x:c r="P651" t="str">
        <x:v>BOTH_NOT_RUN</x:v>
      </x:c>
      <x:c r="Q651" s="21" t="str"/>
      <x:c r="R651" s="21" t="str"/>
      <x:c r="S651" s="21" t="str"/>
      <x:c r="T651" s="17" t="str">
        <x:v>false</x:v>
      </x:c>
      <x:c r="U651" s="17" t="str">
        <x:v>true</x:v>
      </x:c>
      <x:c r="V651" s="17" t="str">
        <x:v>false</x:v>
      </x:c>
    </x:row>
    <x:row r="652" ht="80" customHeight="1">
      <x:c r="A652" s="25" t="str">
        <x:v>Lang</x:v>
      </x:c>
      <x:c r="B652" s="25" t="n">
        <x:v>37</x:v>
      </x:c>
      <x:c r="C652" s="25" t="str">
        <x:v>Round1</x:v>
      </x:c>
      <x:c r="D652" s="25" t="str">
        <x:v>NOT_AVAILABLE</x:v>
      </x:c>
      <x:c r="E652" s="25" t="str">
        <x:v>N/A</x:v>
      </x:c>
      <x:c r="F652" s="26" t="str">
        <x:v>Tests exist but current coverage did not complete</x:v>
      </x:c>
      <x:c r="G652" s="25" t="str">
        <x:v>true</x:v>
      </x:c>
      <x:c r="H652" s="25" t="str">
        <x:v>NOT_AVAILABLE</x:v>
      </x:c>
      <x:c r="I652" s="25" t="str">
        <x:v>NOT_RUN</x:v>
      </x:c>
      <x:c r="J652" s="25" t="str">
        <x:v>NOT_RUN</x:v>
      </x:c>
      <x:c r="K652" s="25" t="n">
        <x:v>1</x:v>
      </x:c>
      <x:c r="L652" s="27" t="b">
        <x:v>0</x:v>
      </x:c>
      <x:c r="M652" s="25" t="str">
        <x:v>Deepseek-flash-v4/state/Round1/shards/Lang.json</x:v>
      </x:c>
      <x:c r="N652" s="25" t="str">
        <x:v>Deepseek-flash-v4/Result/Lang_37/result.json</x:v>
      </x:c>
      <x:c r="O652" s="25" t="str">
        <x:v>Deepseek-flash-v4/Result/Lang_37/result.json</x:v>
      </x:c>
      <x:c r="P652" t="str">
        <x:v>BOTH_NOT_RUN</x:v>
      </x:c>
      <x:c r="Q652" s="21" t="str"/>
      <x:c r="R652" s="21" t="str"/>
      <x:c r="S652" s="21" t="str"/>
      <x:c r="T652" s="17" t="str">
        <x:v>false</x:v>
      </x:c>
      <x:c r="U652" s="17" t="str">
        <x:v>true</x:v>
      </x:c>
      <x:c r="V652" s="17" t="str">
        <x:v>false</x:v>
      </x:c>
    </x:row>
    <x:row r="653" ht="80" customHeight="1">
      <x:c r="A653" s="25" t="str">
        <x:v>Lang</x:v>
      </x:c>
      <x:c r="B653" s="25" t="n">
        <x:v>38</x:v>
      </x:c>
      <x:c r="C653" s="25" t="str">
        <x:v>Round1</x:v>
      </x:c>
      <x:c r="D653" s="25" t="str">
        <x:v>REVEALING</x:v>
      </x:c>
      <x:c r="E653" s="25" t="str">
        <x:v>N/A</x:v>
      </x:c>
      <x:c r="F653" s="26" t="str">
        <x:v>Same saved validation suite failed on buggy and passed on fixed</x:v>
      </x:c>
      <x:c r="G653" s="25" t="str">
        <x:v>true</x:v>
      </x:c>
      <x:c r="H653" s="25" t="str">
        <x:v>REVEALING</x:v>
      </x:c>
      <x:c r="I653" s="25" t="str">
        <x:v>FAIL</x:v>
      </x:c>
      <x:c r="J653" s="25" t="str">
        <x:v>PASS</x:v>
      </x:c>
      <x:c r="K653" s="25" t="n">
        <x:v>1</x:v>
      </x:c>
      <x:c r="L653" s="27" t="b">
        <x:v>0</x:v>
      </x:c>
      <x:c r="M653" s="25" t="str">
        <x:v>Deepseek-flash-v4/state/Round1/shards/Lang.json</x:v>
      </x:c>
      <x:c r="N653" s="25" t="str">
        <x:v>Deepseek-flash-v4/Result/Lang_38/result.json</x:v>
      </x:c>
      <x:c r="O653" s="25" t="str">
        <x:v>Deepseek-flash-v4/Result/Lang_38/result.json</x:v>
      </x:c>
      <x:c r="P653"/>
      <x:c r="Q653" s="21" t="str"/>
      <x:c r="R653" s="21" t="str"/>
      <x:c r="S653" s="21" t="str"/>
      <x:c r="T653" s="17" t="str">
        <x:v>false</x:v>
      </x:c>
      <x:c r="U653" s="17" t="str">
        <x:v>true</x:v>
      </x:c>
      <x:c r="V653" s="17" t="str">
        <x:v>false</x:v>
      </x:c>
    </x:row>
    <x:row r="654" ht="80" customHeight="1">
      <x:c r="A654" s="25" t="str">
        <x:v>Lang</x:v>
      </x:c>
      <x:c r="B654" s="25" t="n">
        <x:v>39</x:v>
      </x:c>
      <x:c r="C654" s="25" t="str">
        <x:v>Round1</x:v>
      </x:c>
      <x:c r="D654" s="25" t="str">
        <x:v>NOT_AVAILABLE</x:v>
      </x:c>
      <x:c r="E654" s="25" t="str">
        <x:v>N/A</x:v>
      </x:c>
      <x:c r="F654" s="26" t="str">
        <x:v>Tests exist but current coverage did not complete</x:v>
      </x:c>
      <x:c r="G654" s="25" t="str">
        <x:v>true</x:v>
      </x:c>
      <x:c r="H654" s="25" t="str">
        <x:v>NOT_AVAILABLE</x:v>
      </x:c>
      <x:c r="I654" s="25" t="str">
        <x:v>NOT_RUN</x:v>
      </x:c>
      <x:c r="J654" s="25" t="str">
        <x:v>NOT_RUN</x:v>
      </x:c>
      <x:c r="K654" s="25" t="n">
        <x:v>1</x:v>
      </x:c>
      <x:c r="L654" s="27" t="b">
        <x:v>0</x:v>
      </x:c>
      <x:c r="M654" s="25" t="str">
        <x:v>Deepseek-flash-v4/state/Round1/shards/Lang.json</x:v>
      </x:c>
      <x:c r="N654" s="25" t="str">
        <x:v>Deepseek-flash-v4/Result/Lang_39/result.json</x:v>
      </x:c>
      <x:c r="O654" s="25" t="str">
        <x:v>Deepseek-flash-v4/Result/Lang_39/result.json</x:v>
      </x:c>
      <x:c r="P654" t="str">
        <x:v>BOTH_NOT_RUN</x:v>
      </x:c>
      <x:c r="Q654" s="21" t="str"/>
      <x:c r="R654" s="21" t="str"/>
      <x:c r="S654" s="21" t="str"/>
      <x:c r="T654" s="17" t="str">
        <x:v>false</x:v>
      </x:c>
      <x:c r="U654" s="17" t="str">
        <x:v>true</x:v>
      </x:c>
      <x:c r="V654" s="17" t="str">
        <x:v>false</x:v>
      </x:c>
    </x:row>
    <x:row r="655" ht="80" customHeight="1">
      <x:c r="A655" s="25" t="str">
        <x:v>Lang</x:v>
      </x:c>
      <x:c r="B655" s="25" t="n">
        <x:v>4</x:v>
      </x:c>
      <x:c r="C655" s="25" t="str">
        <x:v>Round1</x:v>
      </x:c>
      <x:c r="D655" s="25" t="str">
        <x:v>INCONCLUSIVE</x:v>
      </x:c>
      <x:c r="E655" s="25" t="str">
        <x:v>N/A</x:v>
      </x:c>
      <x:c r="F655" s="26" t="str">
        <x:v>Fixed also failed; assertion failure cannot be attributed to this bug</x:v>
      </x:c>
      <x:c r="G655" s="25" t="str">
        <x:v>true</x:v>
      </x:c>
      <x:c r="H655" s="25" t="str">
        <x:v>INCONCLUSIVE</x:v>
      </x:c>
      <x:c r="I655" s="25" t="str">
        <x:v>FAIL</x:v>
      </x:c>
      <x:c r="J655" s="25" t="str">
        <x:v>FAIL</x:v>
      </x:c>
      <x:c r="K655" s="25" t="n">
        <x:v>1</x:v>
      </x:c>
      <x:c r="L655" s="27" t="b">
        <x:v>0</x:v>
      </x:c>
      <x:c r="M655" s="25" t="str">
        <x:v>Deepseek-flash-v4/state/Round1/shards/Lang.json</x:v>
      </x:c>
      <x:c r="N655" s="25" t="str">
        <x:v>Deepseek-flash-v4/Result/Lang_4/result.json</x:v>
      </x:c>
      <x:c r="O655" s="25" t="str">
        <x:v>Deepseek-flash-v4/Result/Lang_4/result.json</x:v>
      </x:c>
      <x:c r="P655"/>
      <x:c r="Q655" s="21" t="str"/>
      <x:c r="R655" s="21" t="str"/>
      <x:c r="S655" s="21" t="str"/>
      <x:c r="T655" s="17" t="str">
        <x:v>false</x:v>
      </x:c>
      <x:c r="U655" s="17" t="str">
        <x:v>true</x:v>
      </x:c>
      <x:c r="V655" s="17" t="str">
        <x:v>false</x:v>
      </x:c>
    </x:row>
    <x:row r="656" ht="80" customHeight="1">
      <x:c r="A656" s="25" t="str">
        <x:v>Lang</x:v>
      </x:c>
      <x:c r="B656" s="25" t="n">
        <x:v>40</x:v>
      </x:c>
      <x:c r="C656" s="25" t="str">
        <x:v>Round1</x:v>
      </x:c>
      <x:c r="D656" s="25" t="str">
        <x:v>NOT_AVAILABLE</x:v>
      </x:c>
      <x:c r="E656" s="25" t="str">
        <x:v>N/A</x:v>
      </x:c>
      <x:c r="F656" s="26" t="str">
        <x:v>Tests exist but current coverage did not complete</x:v>
      </x:c>
      <x:c r="G656" s="25" t="str">
        <x:v>true</x:v>
      </x:c>
      <x:c r="H656" s="25" t="str">
        <x:v>NOT_AVAILABLE</x:v>
      </x:c>
      <x:c r="I656" s="25" t="str">
        <x:v>NOT_RUN</x:v>
      </x:c>
      <x:c r="J656" s="25" t="str">
        <x:v>NOT_RUN</x:v>
      </x:c>
      <x:c r="K656" s="25" t="n">
        <x:v>1</x:v>
      </x:c>
      <x:c r="L656" s="27" t="b">
        <x:v>0</x:v>
      </x:c>
      <x:c r="M656" s="25" t="str">
        <x:v>Deepseek-flash-v4/state/Round1/shards/Lang.json</x:v>
      </x:c>
      <x:c r="N656" s="25" t="str">
        <x:v>Deepseek-flash-v4/Result/Lang_40/result.json</x:v>
      </x:c>
      <x:c r="O656" s="25" t="str">
        <x:v>Deepseek-flash-v4/Result/Lang_40/result.json</x:v>
      </x:c>
      <x:c r="P656" t="str">
        <x:v>BOTH_NOT_RUN</x:v>
      </x:c>
      <x:c r="Q656" s="21" t="str"/>
      <x:c r="R656" s="21" t="str"/>
      <x:c r="S656" s="21" t="str"/>
      <x:c r="T656" s="17" t="str">
        <x:v>false</x:v>
      </x:c>
      <x:c r="U656" s="17" t="str">
        <x:v>true</x:v>
      </x:c>
      <x:c r="V656" s="17" t="str">
        <x:v>false</x:v>
      </x:c>
    </x:row>
    <x:row r="657" ht="80" customHeight="1">
      <x:c r="A657" s="25" t="str">
        <x:v>Lang</x:v>
      </x:c>
      <x:c r="B657" s="25" t="n">
        <x:v>41</x:v>
      </x:c>
      <x:c r="C657" s="25" t="str">
        <x:v>Round1</x:v>
      </x:c>
      <x:c r="D657" s="25" t="str">
        <x:v>NOT_AVAILABLE</x:v>
      </x:c>
      <x:c r="E657" s="25" t="str">
        <x:v>N/A</x:v>
      </x:c>
      <x:c r="F657" s="26" t="str">
        <x:v>Tests exist but current coverage did not complete</x:v>
      </x:c>
      <x:c r="G657" s="25" t="str">
        <x:v>true</x:v>
      </x:c>
      <x:c r="H657" s="25" t="str">
        <x:v>NOT_AVAILABLE</x:v>
      </x:c>
      <x:c r="I657" s="25" t="str">
        <x:v>NOT_RUN</x:v>
      </x:c>
      <x:c r="J657" s="25" t="str">
        <x:v>NOT_RUN</x:v>
      </x:c>
      <x:c r="K657" s="25" t="n">
        <x:v>1</x:v>
      </x:c>
      <x:c r="L657" s="27" t="b">
        <x:v>0</x:v>
      </x:c>
      <x:c r="M657" s="25" t="str">
        <x:v>Deepseek-flash-v4/state/Round1/shards/Lang.json</x:v>
      </x:c>
      <x:c r="N657" s="25" t="str">
        <x:v>Deepseek-flash-v4/Result/Lang_41/result.json</x:v>
      </x:c>
      <x:c r="O657" s="25" t="str">
        <x:v>Deepseek-flash-v4/Result/Lang_41/result.json</x:v>
      </x:c>
      <x:c r="P657" t="str">
        <x:v>BOTH_NOT_RUN</x:v>
      </x:c>
      <x:c r="Q657" s="21" t="str"/>
      <x:c r="R657" s="21" t="str"/>
      <x:c r="S657" s="21" t="str"/>
      <x:c r="T657" s="17" t="str">
        <x:v>false</x:v>
      </x:c>
      <x:c r="U657" s="17" t="str">
        <x:v>true</x:v>
      </x:c>
      <x:c r="V657" s="17" t="str">
        <x:v>false</x:v>
      </x:c>
    </x:row>
    <x:row r="658" ht="80" customHeight="1">
      <x:c r="A658" s="25" t="str">
        <x:v>Lang</x:v>
      </x:c>
      <x:c r="B658" s="25" t="n">
        <x:v>42</x:v>
      </x:c>
      <x:c r="C658" s="25" t="str">
        <x:v>Round1</x:v>
      </x:c>
      <x:c r="D658" s="25" t="str">
        <x:v>NOT_AVAILABLE</x:v>
      </x:c>
      <x:c r="E658" s="25" t="str">
        <x:v>N/A</x:v>
      </x:c>
      <x:c r="F658" s="26" t="str">
        <x:v>Tests exist but current coverage did not complete</x:v>
      </x:c>
      <x:c r="G658" s="25" t="str">
        <x:v>true</x:v>
      </x:c>
      <x:c r="H658" s="25" t="str">
        <x:v>NOT_AVAILABLE</x:v>
      </x:c>
      <x:c r="I658" s="25" t="str">
        <x:v>NOT_RUN</x:v>
      </x:c>
      <x:c r="J658" s="25" t="str">
        <x:v>NOT_RUN</x:v>
      </x:c>
      <x:c r="K658" s="25" t="n">
        <x:v>1</x:v>
      </x:c>
      <x:c r="L658" s="27" t="b">
        <x:v>0</x:v>
      </x:c>
      <x:c r="M658" s="25" t="str">
        <x:v>Deepseek-flash-v4/state/Round1/shards/Lang.json</x:v>
      </x:c>
      <x:c r="N658" s="25" t="str">
        <x:v>Deepseek-flash-v4/Result/Lang_42/result.json</x:v>
      </x:c>
      <x:c r="O658" s="25" t="str">
        <x:v>Deepseek-flash-v4/Result/Lang_42/result.json</x:v>
      </x:c>
      <x:c r="P658" t="str">
        <x:v>BOTH_NOT_RUN</x:v>
      </x:c>
      <x:c r="Q658" s="21" t="str"/>
      <x:c r="R658" s="21" t="str"/>
      <x:c r="S658" s="21" t="str"/>
      <x:c r="T658" s="17" t="str">
        <x:v>false</x:v>
      </x:c>
      <x:c r="U658" s="17" t="str">
        <x:v>true</x:v>
      </x:c>
      <x:c r="V658" s="17" t="str">
        <x:v>false</x:v>
      </x:c>
    </x:row>
    <x:row r="659" ht="80" customHeight="1">
      <x:c r="A659" s="25" t="str">
        <x:v>Lang</x:v>
      </x:c>
      <x:c r="B659" s="25" t="n">
        <x:v>43</x:v>
      </x:c>
      <x:c r="C659" s="25" t="str">
        <x:v>Round1</x:v>
      </x:c>
      <x:c r="D659" s="25" t="str">
        <x:v>NOT_AVAILABLE</x:v>
      </x:c>
      <x:c r="E659" s="25" t="str">
        <x:v>N/A</x:v>
      </x:c>
      <x:c r="F659" s="26" t="str">
        <x:v>Tests exist but current coverage did not complete</x:v>
      </x:c>
      <x:c r="G659" s="25" t="str">
        <x:v>true</x:v>
      </x:c>
      <x:c r="H659" s="25" t="str">
        <x:v>NOT_AVAILABLE</x:v>
      </x:c>
      <x:c r="I659" s="25" t="str">
        <x:v>NOT_RUN</x:v>
      </x:c>
      <x:c r="J659" s="25" t="str">
        <x:v>NOT_RUN</x:v>
      </x:c>
      <x:c r="K659" s="25" t="n">
        <x:v>1</x:v>
      </x:c>
      <x:c r="L659" s="27" t="b">
        <x:v>0</x:v>
      </x:c>
      <x:c r="M659" s="25" t="str">
        <x:v>Deepseek-flash-v4/state/Round1/shards/Lang.json</x:v>
      </x:c>
      <x:c r="N659" s="25" t="str">
        <x:v>Deepseek-flash-v4/Result/Lang_43/result.json</x:v>
      </x:c>
      <x:c r="O659" s="25" t="str">
        <x:v>Deepseek-flash-v4/Result/Lang_43/result.json</x:v>
      </x:c>
      <x:c r="P659" t="str">
        <x:v>BOTH_NOT_RUN</x:v>
      </x:c>
      <x:c r="Q659" s="21" t="str"/>
      <x:c r="R659" s="21" t="str"/>
      <x:c r="S659" s="21" t="str"/>
      <x:c r="T659" s="17" t="str">
        <x:v>false</x:v>
      </x:c>
      <x:c r="U659" s="17" t="str">
        <x:v>true</x:v>
      </x:c>
      <x:c r="V659" s="17" t="str">
        <x:v>false</x:v>
      </x:c>
    </x:row>
    <x:row r="660" ht="80" customHeight="1">
      <x:c r="A660" s="25" t="str">
        <x:v>Lang</x:v>
      </x:c>
      <x:c r="B660" s="25" t="n">
        <x:v>44</x:v>
      </x:c>
      <x:c r="C660" s="25" t="str">
        <x:v>Round1</x:v>
      </x:c>
      <x:c r="D660" s="25" t="str">
        <x:v>INCONCLUSIVE</x:v>
      </x:c>
      <x:c r="E660" s="25" t="str">
        <x:v>N/A</x:v>
      </x:c>
      <x:c r="F660" s="26" t="str">
        <x:v>Fixed also failed; assertion failure cannot be attributed to this bug</x:v>
      </x:c>
      <x:c r="G660" s="25" t="str">
        <x:v>true</x:v>
      </x:c>
      <x:c r="H660" s="25" t="str">
        <x:v>INCONCLUSIVE</x:v>
      </x:c>
      <x:c r="I660" s="25" t="str">
        <x:v>FAIL</x:v>
      </x:c>
      <x:c r="J660" s="25" t="str">
        <x:v>FAIL</x:v>
      </x:c>
      <x:c r="K660" s="25" t="n">
        <x:v>1</x:v>
      </x:c>
      <x:c r="L660" s="27" t="b">
        <x:v>0</x:v>
      </x:c>
      <x:c r="M660" s="25" t="str">
        <x:v>Deepseek-flash-v4/state/Round1/shards/Lang.json</x:v>
      </x:c>
      <x:c r="N660" s="25" t="str">
        <x:v>Deepseek-flash-v4/Result/Lang_44/result.json</x:v>
      </x:c>
      <x:c r="O660" s="25" t="str">
        <x:v>Deepseek-flash-v4/Result/Lang_44/result.json</x:v>
      </x:c>
      <x:c r="P660"/>
      <x:c r="Q660" s="21" t="str"/>
      <x:c r="R660" s="21" t="str"/>
      <x:c r="S660" s="21" t="str"/>
      <x:c r="T660" s="17" t="str">
        <x:v>false</x:v>
      </x:c>
      <x:c r="U660" s="17" t="str">
        <x:v>true</x:v>
      </x:c>
      <x:c r="V660" s="17" t="str">
        <x:v>false</x:v>
      </x:c>
    </x:row>
    <x:row r="661" ht="80" customHeight="1">
      <x:c r="A661" s="25" t="str">
        <x:v>Lang</x:v>
      </x:c>
      <x:c r="B661" s="25" t="n">
        <x:v>45</x:v>
      </x:c>
      <x:c r="C661" s="25" t="str">
        <x:v>Round1</x:v>
      </x:c>
      <x:c r="D661" s="25" t="str">
        <x:v>INCONCLUSIVE</x:v>
      </x:c>
      <x:c r="E661" s="25" t="str">
        <x:v>N/A</x:v>
      </x:c>
      <x:c r="F661" s="26" t="str">
        <x:v>Fixed also failed; assertion failure cannot be attributed to this bug</x:v>
      </x:c>
      <x:c r="G661" s="25" t="str">
        <x:v>true</x:v>
      </x:c>
      <x:c r="H661" s="25" t="str">
        <x:v>INCONCLUSIVE</x:v>
      </x:c>
      <x:c r="I661" s="25" t="str">
        <x:v>FAIL</x:v>
      </x:c>
      <x:c r="J661" s="25" t="str">
        <x:v>FAIL</x:v>
      </x:c>
      <x:c r="K661" s="25" t="n">
        <x:v>1</x:v>
      </x:c>
      <x:c r="L661" s="27" t="b">
        <x:v>0</x:v>
      </x:c>
      <x:c r="M661" s="25" t="str">
        <x:v>Deepseek-flash-v4/state/Round1/shards/Lang.json</x:v>
      </x:c>
      <x:c r="N661" s="25" t="str">
        <x:v>Deepseek-flash-v4/Result/Lang_45/result.json</x:v>
      </x:c>
      <x:c r="O661" s="25" t="str">
        <x:v>Deepseek-flash-v4/Result/Lang_45/result.json</x:v>
      </x:c>
      <x:c r="P661"/>
      <x:c r="Q661" s="21" t="str"/>
      <x:c r="R661" s="21" t="str"/>
      <x:c r="S661" s="21" t="str"/>
      <x:c r="T661" s="17" t="str">
        <x:v>false</x:v>
      </x:c>
      <x:c r="U661" s="17" t="str">
        <x:v>true</x:v>
      </x:c>
      <x:c r="V661" s="17" t="str">
        <x:v>false</x:v>
      </x:c>
    </x:row>
    <x:row r="662" ht="80" customHeight="1">
      <x:c r="A662" s="25" t="str">
        <x:v>Lang</x:v>
      </x:c>
      <x:c r="B662" s="25" t="n">
        <x:v>46</x:v>
      </x:c>
      <x:c r="C662" s="25" t="str">
        <x:v>Round1</x:v>
      </x:c>
      <x:c r="D662" s="25" t="str">
        <x:v>NOT_AVAILABLE</x:v>
      </x:c>
      <x:c r="E662" s="25" t="str">
        <x:v>N/A</x:v>
      </x:c>
      <x:c r="F662" s="26" t="str">
        <x:v>Tests exist but current coverage did not complete</x:v>
      </x:c>
      <x:c r="G662" s="25" t="str">
        <x:v>true</x:v>
      </x:c>
      <x:c r="H662" s="25" t="str">
        <x:v>NOT_AVAILABLE</x:v>
      </x:c>
      <x:c r="I662" s="25" t="str">
        <x:v>NOT_RUN</x:v>
      </x:c>
      <x:c r="J662" s="25" t="str">
        <x:v>NOT_RUN</x:v>
      </x:c>
      <x:c r="K662" s="25" t="n">
        <x:v>1</x:v>
      </x:c>
      <x:c r="L662" s="27" t="b">
        <x:v>0</x:v>
      </x:c>
      <x:c r="M662" s="25" t="str">
        <x:v>Deepseek-flash-v4/state/Round1/shards/Lang.json</x:v>
      </x:c>
      <x:c r="N662" s="25" t="str">
        <x:v>Deepseek-flash-v4/Result/Lang_46/result.json</x:v>
      </x:c>
      <x:c r="O662" s="25" t="str">
        <x:v>Deepseek-flash-v4/Result/Lang_46/result.json</x:v>
      </x:c>
      <x:c r="P662" t="str">
        <x:v>BOTH_NOT_RUN</x:v>
      </x:c>
      <x:c r="Q662" s="21" t="str"/>
      <x:c r="R662" s="21" t="str"/>
      <x:c r="S662" s="21" t="str"/>
      <x:c r="T662" s="17" t="str">
        <x:v>false</x:v>
      </x:c>
      <x:c r="U662" s="17" t="str">
        <x:v>true</x:v>
      </x:c>
      <x:c r="V662" s="17" t="str">
        <x:v>false</x:v>
      </x:c>
    </x:row>
    <x:row r="663" ht="80" customHeight="1">
      <x:c r="A663" s="25" t="str">
        <x:v>Lang</x:v>
      </x:c>
      <x:c r="B663" s="25" t="n">
        <x:v>47</x:v>
      </x:c>
      <x:c r="C663" s="25" t="str">
        <x:v>Round1</x:v>
      </x:c>
      <x:c r="D663" s="25" t="str">
        <x:v>NOT_AVAILABLE</x:v>
      </x:c>
      <x:c r="E663" s="25" t="str">
        <x:v>N/A</x:v>
      </x:c>
      <x:c r="F663" s="26" t="str">
        <x:v>Tests exist but current coverage did not complete</x:v>
      </x:c>
      <x:c r="G663" s="25" t="str">
        <x:v>true</x:v>
      </x:c>
      <x:c r="H663" s="25" t="str">
        <x:v>NOT_AVAILABLE</x:v>
      </x:c>
      <x:c r="I663" s="25" t="str">
        <x:v>NOT_RUN</x:v>
      </x:c>
      <x:c r="J663" s="25" t="str">
        <x:v>NOT_RUN</x:v>
      </x:c>
      <x:c r="K663" s="25" t="n">
        <x:v>1</x:v>
      </x:c>
      <x:c r="L663" s="27" t="b">
        <x:v>0</x:v>
      </x:c>
      <x:c r="M663" s="25" t="str">
        <x:v>Deepseek-flash-v4/state/Round1/shards/Lang.json</x:v>
      </x:c>
      <x:c r="N663" s="25" t="str">
        <x:v>Deepseek-flash-v4/Result/Lang_47/result.json</x:v>
      </x:c>
      <x:c r="O663" s="25" t="str">
        <x:v>Deepseek-flash-v4/Result/Lang_47/result.json</x:v>
      </x:c>
      <x:c r="P663" t="str">
        <x:v>BOTH_NOT_RUN</x:v>
      </x:c>
      <x:c r="Q663" s="21" t="str"/>
      <x:c r="R663" s="21" t="str"/>
      <x:c r="S663" s="21" t="str"/>
      <x:c r="T663" s="17" t="str">
        <x:v>false</x:v>
      </x:c>
      <x:c r="U663" s="17" t="str">
        <x:v>true</x:v>
      </x:c>
      <x:c r="V663" s="17" t="str">
        <x:v>false</x:v>
      </x:c>
    </x:row>
    <x:row r="664" ht="80" customHeight="1">
      <x:c r="A664" s="25" t="str">
        <x:v>Lang</x:v>
      </x:c>
      <x:c r="B664" s="25" t="n">
        <x:v>49</x:v>
      </x:c>
      <x:c r="C664" s="25" t="str">
        <x:v>Round1</x:v>
      </x:c>
      <x:c r="D664" s="25" t="str">
        <x:v>INCONCLUSIVE</x:v>
      </x:c>
      <x:c r="E664" s="25" t="str">
        <x:v>N/A</x:v>
      </x:c>
      <x:c r="F664" s="26" t="str">
        <x:v>Fixed also failed; assertion failure cannot be attributed to this bug</x:v>
      </x:c>
      <x:c r="G664" s="25" t="str">
        <x:v>true</x:v>
      </x:c>
      <x:c r="H664" s="25" t="str">
        <x:v>INCONCLUSIVE</x:v>
      </x:c>
      <x:c r="I664" s="25" t="str">
        <x:v>FAIL</x:v>
      </x:c>
      <x:c r="J664" s="25" t="str">
        <x:v>FAIL</x:v>
      </x:c>
      <x:c r="K664" s="25" t="n">
        <x:v>1</x:v>
      </x:c>
      <x:c r="L664" s="27" t="b">
        <x:v>0</x:v>
      </x:c>
      <x:c r="M664" s="25" t="str">
        <x:v>Deepseek-flash-v4/state/Round1/shards/Lang.json</x:v>
      </x:c>
      <x:c r="N664" s="25" t="str">
        <x:v>Deepseek-flash-v4/Result/Lang_49/result.json</x:v>
      </x:c>
      <x:c r="O664" s="25" t="str">
        <x:v>Deepseek-flash-v4/Result/Lang_49/result.json</x:v>
      </x:c>
      <x:c r="P664"/>
      <x:c r="Q664" s="21" t="str"/>
      <x:c r="R664" s="21" t="str"/>
      <x:c r="S664" s="21" t="str"/>
      <x:c r="T664" s="17" t="str">
        <x:v>false</x:v>
      </x:c>
      <x:c r="U664" s="17" t="str">
        <x:v>true</x:v>
      </x:c>
      <x:c r="V664" s="17" t="str">
        <x:v>false</x:v>
      </x:c>
    </x:row>
    <x:row r="665" ht="80" customHeight="1">
      <x:c r="A665" s="25" t="str">
        <x:v>Lang</x:v>
      </x:c>
      <x:c r="B665" s="25" t="n">
        <x:v>5</x:v>
      </x:c>
      <x:c r="C665" s="25" t="str">
        <x:v>Round1</x:v>
      </x:c>
      <x:c r="D665" s="25" t="str">
        <x:v>INCONCLUSIVE</x:v>
      </x:c>
      <x:c r="E665" s="25" t="str">
        <x:v>N/A</x:v>
      </x:c>
      <x:c r="F665" s="26" t="str">
        <x:v>Fixed also failed; assertion failure cannot be attributed to this bug</x:v>
      </x:c>
      <x:c r="G665" s="25" t="str">
        <x:v>true</x:v>
      </x:c>
      <x:c r="H665" s="25" t="str">
        <x:v>INCONCLUSIVE</x:v>
      </x:c>
      <x:c r="I665" s="25" t="str">
        <x:v>FAIL</x:v>
      </x:c>
      <x:c r="J665" s="25" t="str">
        <x:v>FAIL</x:v>
      </x:c>
      <x:c r="K665" s="25" t="n">
        <x:v>1</x:v>
      </x:c>
      <x:c r="L665" s="27" t="b">
        <x:v>0</x:v>
      </x:c>
      <x:c r="M665" s="25" t="str">
        <x:v>Deepseek-flash-v4/state/Round1/shards/Lang.json</x:v>
      </x:c>
      <x:c r="N665" s="25" t="str">
        <x:v>Deepseek-flash-v4/Result/Lang_5/result.json</x:v>
      </x:c>
      <x:c r="O665" s="25" t="str">
        <x:v>Deepseek-flash-v4/Result/Lang_5/result.json</x:v>
      </x:c>
      <x:c r="P665"/>
      <x:c r="Q665" s="21" t="str"/>
      <x:c r="R665" s="21" t="str"/>
      <x:c r="S665" s="21" t="str"/>
      <x:c r="T665" s="17" t="str">
        <x:v>false</x:v>
      </x:c>
      <x:c r="U665" s="17" t="str">
        <x:v>true</x:v>
      </x:c>
      <x:c r="V665" s="17" t="str">
        <x:v>false</x:v>
      </x:c>
    </x:row>
    <x:row r="666" ht="80" customHeight="1">
      <x:c r="A666" s="25" t="str">
        <x:v>Lang</x:v>
      </x:c>
      <x:c r="B666" s="25" t="n">
        <x:v>50</x:v>
      </x:c>
      <x:c r="C666" s="25" t="str">
        <x:v>Round1</x:v>
      </x:c>
      <x:c r="D666" s="25" t="str">
        <x:v>NOT_AVAILABLE</x:v>
      </x:c>
      <x:c r="E666" s="25" t="str">
        <x:v>N/A</x:v>
      </x:c>
      <x:c r="F666" s="26" t="str">
        <x:v>Tests exist but current coverage did not complete</x:v>
      </x:c>
      <x:c r="G666" s="25" t="str">
        <x:v>true</x:v>
      </x:c>
      <x:c r="H666" s="25" t="str">
        <x:v>NOT_AVAILABLE</x:v>
      </x:c>
      <x:c r="I666" s="25" t="str">
        <x:v>NOT_RUN</x:v>
      </x:c>
      <x:c r="J666" s="25" t="str">
        <x:v>NOT_RUN</x:v>
      </x:c>
      <x:c r="K666" s="25" t="n">
        <x:v>1</x:v>
      </x:c>
      <x:c r="L666" s="27" t="b">
        <x:v>0</x:v>
      </x:c>
      <x:c r="M666" s="25" t="str">
        <x:v>Deepseek-flash-v4/state/Round1/shards/Lang.json</x:v>
      </x:c>
      <x:c r="N666" s="25" t="str">
        <x:v>Deepseek-flash-v4/Result/Lang_50/result.json</x:v>
      </x:c>
      <x:c r="O666" s="25" t="str">
        <x:v>Deepseek-flash-v4/Result/Lang_50/result.json</x:v>
      </x:c>
      <x:c r="P666" t="str">
        <x:v>BOTH_NOT_RUN</x:v>
      </x:c>
      <x:c r="Q666" s="21" t="str"/>
      <x:c r="R666" s="21" t="str"/>
      <x:c r="S666" s="21" t="str"/>
      <x:c r="T666" s="17" t="str">
        <x:v>false</x:v>
      </x:c>
      <x:c r="U666" s="17" t="str">
        <x:v>true</x:v>
      </x:c>
      <x:c r="V666" s="17" t="str">
        <x:v>false</x:v>
      </x:c>
    </x:row>
    <x:row r="667" ht="80" customHeight="1">
      <x:c r="A667" s="25" t="str">
        <x:v>Lang</x:v>
      </x:c>
      <x:c r="B667" s="25" t="n">
        <x:v>51</x:v>
      </x:c>
      <x:c r="C667" s="25" t="str">
        <x:v>Round1</x:v>
      </x:c>
      <x:c r="D667" s="25" t="str">
        <x:v>INCONCLUSIVE</x:v>
      </x:c>
      <x:c r="E667" s="25" t="str">
        <x:v>N/A</x:v>
      </x:c>
      <x:c r="F667" s="26" t="str">
        <x:v>Fixed also failed; assertion failure cannot be attributed to this bug</x:v>
      </x:c>
      <x:c r="G667" s="25" t="str">
        <x:v>true</x:v>
      </x:c>
      <x:c r="H667" s="25" t="str">
        <x:v>INCONCLUSIVE</x:v>
      </x:c>
      <x:c r="I667" s="25" t="str">
        <x:v>FAIL</x:v>
      </x:c>
      <x:c r="J667" s="25" t="str">
        <x:v>FAIL</x:v>
      </x:c>
      <x:c r="K667" s="25" t="n">
        <x:v>1</x:v>
      </x:c>
      <x:c r="L667" s="27" t="b">
        <x:v>0</x:v>
      </x:c>
      <x:c r="M667" s="25" t="str">
        <x:v>Deepseek-flash-v4/state/Round1/shards/Lang.json</x:v>
      </x:c>
      <x:c r="N667" s="25" t="str">
        <x:v>Deepseek-flash-v4/Result/Lang_51/result.json</x:v>
      </x:c>
      <x:c r="O667" s="25" t="str">
        <x:v>Deepseek-flash-v4/Result/Lang_51/result.json</x:v>
      </x:c>
      <x:c r="P667"/>
      <x:c r="Q667" s="21" t="str"/>
      <x:c r="R667" s="21" t="str"/>
      <x:c r="S667" s="21" t="str"/>
      <x:c r="T667" s="17" t="str">
        <x:v>false</x:v>
      </x:c>
      <x:c r="U667" s="17" t="str">
        <x:v>true</x:v>
      </x:c>
      <x:c r="V667" s="17" t="str">
        <x:v>false</x:v>
      </x:c>
    </x:row>
    <x:row r="668" ht="80" customHeight="1">
      <x:c r="A668" s="25" t="str">
        <x:v>Lang</x:v>
      </x:c>
      <x:c r="B668" s="25" t="n">
        <x:v>52</x:v>
      </x:c>
      <x:c r="C668" s="25" t="str">
        <x:v>Round1</x:v>
      </x:c>
      <x:c r="D668" s="25" t="str">
        <x:v>NOT_AVAILABLE</x:v>
      </x:c>
      <x:c r="E668" s="25" t="str">
        <x:v>N/A</x:v>
      </x:c>
      <x:c r="F668" s="26" t="str">
        <x:v>Tests exist but current coverage did not complete</x:v>
      </x:c>
      <x:c r="G668" s="25" t="str">
        <x:v>true</x:v>
      </x:c>
      <x:c r="H668" s="25" t="str">
        <x:v>NOT_AVAILABLE</x:v>
      </x:c>
      <x:c r="I668" s="25" t="str">
        <x:v>NOT_RUN</x:v>
      </x:c>
      <x:c r="J668" s="25" t="str">
        <x:v>NOT_RUN</x:v>
      </x:c>
      <x:c r="K668" s="25" t="n">
        <x:v>1</x:v>
      </x:c>
      <x:c r="L668" s="27" t="b">
        <x:v>0</x:v>
      </x:c>
      <x:c r="M668" s="25" t="str">
        <x:v>Deepseek-flash-v4/state/Round1/shards/Lang.json</x:v>
      </x:c>
      <x:c r="N668" s="25" t="str">
        <x:v>Deepseek-flash-v4/Result/Lang_52/result.json</x:v>
      </x:c>
      <x:c r="O668" s="25" t="str">
        <x:v>Deepseek-flash-v4/Result/Lang_52/result.json</x:v>
      </x:c>
      <x:c r="P668" t="str">
        <x:v>BOTH_NOT_RUN</x:v>
      </x:c>
      <x:c r="Q668" s="21" t="str"/>
      <x:c r="R668" s="21" t="str"/>
      <x:c r="S668" s="21" t="str"/>
      <x:c r="T668" s="17" t="str">
        <x:v>false</x:v>
      </x:c>
      <x:c r="U668" s="17" t="str">
        <x:v>true</x:v>
      </x:c>
      <x:c r="V668" s="17" t="str">
        <x:v>false</x:v>
      </x:c>
    </x:row>
    <x:row r="669" ht="80" customHeight="1">
      <x:c r="A669" s="25" t="str">
        <x:v>Lang</x:v>
      </x:c>
      <x:c r="B669" s="25" t="n">
        <x:v>53</x:v>
      </x:c>
      <x:c r="C669" s="25" t="str">
        <x:v>Round1</x:v>
      </x:c>
      <x:c r="D669" s="25" t="str">
        <x:v>NOT_AVAILABLE</x:v>
      </x:c>
      <x:c r="E669" s="25" t="str">
        <x:v>N/A</x:v>
      </x:c>
      <x:c r="F669" s="26" t="str">
        <x:v>Tests exist but current coverage did not complete</x:v>
      </x:c>
      <x:c r="G669" s="25" t="str">
        <x:v>true</x:v>
      </x:c>
      <x:c r="H669" s="25" t="str">
        <x:v>NOT_AVAILABLE</x:v>
      </x:c>
      <x:c r="I669" s="25" t="str">
        <x:v>NOT_RUN</x:v>
      </x:c>
      <x:c r="J669" s="25" t="str">
        <x:v>NOT_RUN</x:v>
      </x:c>
      <x:c r="K669" s="25" t="n">
        <x:v>1</x:v>
      </x:c>
      <x:c r="L669" s="27" t="b">
        <x:v>0</x:v>
      </x:c>
      <x:c r="M669" s="25" t="str">
        <x:v>Deepseek-flash-v4/state/Round1/shards/Lang.json</x:v>
      </x:c>
      <x:c r="N669" s="25" t="str">
        <x:v>Deepseek-flash-v4/Result/Lang_53/result.json</x:v>
      </x:c>
      <x:c r="O669" s="25" t="str">
        <x:v>Deepseek-flash-v4/Result/Lang_53/result.json</x:v>
      </x:c>
      <x:c r="P669" t="str">
        <x:v>BOTH_NOT_RUN</x:v>
      </x:c>
      <x:c r="Q669" s="21" t="str"/>
      <x:c r="R669" s="21" t="str"/>
      <x:c r="S669" s="21" t="str"/>
      <x:c r="T669" s="17" t="str">
        <x:v>false</x:v>
      </x:c>
      <x:c r="U669" s="17" t="str">
        <x:v>true</x:v>
      </x:c>
      <x:c r="V669" s="17" t="str">
        <x:v>false</x:v>
      </x:c>
    </x:row>
    <x:row r="670" ht="80" customHeight="1">
      <x:c r="A670" s="25" t="str">
        <x:v>Lang</x:v>
      </x:c>
      <x:c r="B670" s="25" t="n">
        <x:v>54</x:v>
      </x:c>
      <x:c r="C670" s="25" t="str">
        <x:v>Round1</x:v>
      </x:c>
      <x:c r="D670" s="25" t="str">
        <x:v>INCONCLUSIVE</x:v>
      </x:c>
      <x:c r="E670" s="25" t="str">
        <x:v>N/A</x:v>
      </x:c>
      <x:c r="F670" s="26" t="str">
        <x:v>Fixed also failed; assertion failure cannot be attributed to this bug</x:v>
      </x:c>
      <x:c r="G670" s="25" t="str">
        <x:v>true</x:v>
      </x:c>
      <x:c r="H670" s="25" t="str">
        <x:v>INCONCLUSIVE</x:v>
      </x:c>
      <x:c r="I670" s="25" t="str">
        <x:v>FAIL</x:v>
      </x:c>
      <x:c r="J670" s="25" t="str">
        <x:v>FAIL</x:v>
      </x:c>
      <x:c r="K670" s="25" t="n">
        <x:v>1</x:v>
      </x:c>
      <x:c r="L670" s="27" t="b">
        <x:v>0</x:v>
      </x:c>
      <x:c r="M670" s="25" t="str">
        <x:v>Deepseek-flash-v4/state/Round1/shards/Lang.json</x:v>
      </x:c>
      <x:c r="N670" s="25" t="str">
        <x:v>Deepseek-flash-v4/Result/Lang_54/result.json</x:v>
      </x:c>
      <x:c r="O670" s="25" t="str">
        <x:v>Deepseek-flash-v4/Result/Lang_54/result.json</x:v>
      </x:c>
      <x:c r="P670"/>
      <x:c r="Q670" s="21" t="str"/>
      <x:c r="R670" s="21" t="str"/>
      <x:c r="S670" s="21" t="str"/>
      <x:c r="T670" s="17" t="str">
        <x:v>false</x:v>
      </x:c>
      <x:c r="U670" s="17" t="str">
        <x:v>true</x:v>
      </x:c>
      <x:c r="V670" s="17" t="str">
        <x:v>false</x:v>
      </x:c>
    </x:row>
    <x:row r="671" ht="80" customHeight="1">
      <x:c r="A671" s="25" t="str">
        <x:v>Lang</x:v>
      </x:c>
      <x:c r="B671" s="25" t="n">
        <x:v>55</x:v>
      </x:c>
      <x:c r="C671" s="25" t="str">
        <x:v>Round1</x:v>
      </x:c>
      <x:c r="D671" s="25" t="str">
        <x:v>INCONCLUSIVE</x:v>
      </x:c>
      <x:c r="E671" s="25" t="str">
        <x:v>N/A</x:v>
      </x:c>
      <x:c r="F671" s="26" t="str">
        <x:v>Fixed also failed; assertion failure cannot be attributed to this bug</x:v>
      </x:c>
      <x:c r="G671" s="25" t="str">
        <x:v>true</x:v>
      </x:c>
      <x:c r="H671" s="25" t="str">
        <x:v>INCONCLUSIVE</x:v>
      </x:c>
      <x:c r="I671" s="25" t="str">
        <x:v>FAIL</x:v>
      </x:c>
      <x:c r="J671" s="25" t="str">
        <x:v>FAIL</x:v>
      </x:c>
      <x:c r="K671" s="25" t="n">
        <x:v>1</x:v>
      </x:c>
      <x:c r="L671" s="27" t="b">
        <x:v>0</x:v>
      </x:c>
      <x:c r="M671" s="25" t="str">
        <x:v>Deepseek-flash-v4/state/Round1/shards/Lang.json</x:v>
      </x:c>
      <x:c r="N671" s="25" t="str">
        <x:v>Deepseek-flash-v4/Result/Lang_55/result.json</x:v>
      </x:c>
      <x:c r="O671" s="25" t="str">
        <x:v>Deepseek-flash-v4/Result/Lang_55/result.json</x:v>
      </x:c>
      <x:c r="P671"/>
      <x:c r="Q671" s="21" t="str"/>
      <x:c r="R671" s="21" t="str"/>
      <x:c r="S671" s="21" t="str"/>
      <x:c r="T671" s="17" t="str">
        <x:v>false</x:v>
      </x:c>
      <x:c r="U671" s="17" t="str">
        <x:v>true</x:v>
      </x:c>
      <x:c r="V671" s="17" t="str">
        <x:v>false</x:v>
      </x:c>
    </x:row>
    <x:row r="672" ht="80" customHeight="1">
      <x:c r="A672" s="25" t="str">
        <x:v>Lang</x:v>
      </x:c>
      <x:c r="B672" s="25" t="n">
        <x:v>56</x:v>
      </x:c>
      <x:c r="C672" s="25" t="str">
        <x:v>Round1</x:v>
      </x:c>
      <x:c r="D672" s="25" t="str">
        <x:v>NOT_AVAILABLE</x:v>
      </x:c>
      <x:c r="E672" s="25" t="str">
        <x:v>N/A</x:v>
      </x:c>
      <x:c r="F672" s="26" t="str">
        <x:v>Tests exist but current coverage did not complete</x:v>
      </x:c>
      <x:c r="G672" s="25" t="str">
        <x:v>true</x:v>
      </x:c>
      <x:c r="H672" s="25" t="str">
        <x:v>NOT_AVAILABLE</x:v>
      </x:c>
      <x:c r="I672" s="25" t="str">
        <x:v>NOT_RUN</x:v>
      </x:c>
      <x:c r="J672" s="25" t="str">
        <x:v>NOT_RUN</x:v>
      </x:c>
      <x:c r="K672" s="25" t="n">
        <x:v>1</x:v>
      </x:c>
      <x:c r="L672" s="27" t="b">
        <x:v>0</x:v>
      </x:c>
      <x:c r="M672" s="25" t="str">
        <x:v>Deepseek-flash-v4/state/Round1/shards/Lang.json</x:v>
      </x:c>
      <x:c r="N672" s="25" t="str">
        <x:v>Deepseek-flash-v4/Result/Lang_56/result.json</x:v>
      </x:c>
      <x:c r="O672" s="25" t="str">
        <x:v>Deepseek-flash-v4/Result/Lang_56/result.json</x:v>
      </x:c>
      <x:c r="P672" t="str">
        <x:v>BOTH_NOT_RUN</x:v>
      </x:c>
      <x:c r="Q672" s="21" t="str"/>
      <x:c r="R672" s="21" t="str"/>
      <x:c r="S672" s="21" t="str"/>
      <x:c r="T672" s="17" t="str">
        <x:v>false</x:v>
      </x:c>
      <x:c r="U672" s="17" t="str">
        <x:v>true</x:v>
      </x:c>
      <x:c r="V672" s="17" t="str">
        <x:v>false</x:v>
      </x:c>
    </x:row>
    <x:row r="673" ht="80" customHeight="1">
      <x:c r="A673" s="25" t="str">
        <x:v>Lang</x:v>
      </x:c>
      <x:c r="B673" s="25" t="n">
        <x:v>57</x:v>
      </x:c>
      <x:c r="C673" s="25" t="str">
        <x:v>Round1</x:v>
      </x:c>
      <x:c r="D673" s="25" t="str">
        <x:v>INCONCLUSIVE</x:v>
      </x:c>
      <x:c r="E673" s="25" t="str">
        <x:v>N/A</x:v>
      </x:c>
      <x:c r="F673" s="26" t="str">
        <x:v>Fixed also failed; assertion failure cannot be attributed to this bug</x:v>
      </x:c>
      <x:c r="G673" s="25" t="str">
        <x:v>true</x:v>
      </x:c>
      <x:c r="H673" s="25" t="str">
        <x:v>INCONCLUSIVE</x:v>
      </x:c>
      <x:c r="I673" s="25" t="str">
        <x:v>FAIL</x:v>
      </x:c>
      <x:c r="J673" s="25" t="str">
        <x:v>FAIL</x:v>
      </x:c>
      <x:c r="K673" s="25" t="n">
        <x:v>1</x:v>
      </x:c>
      <x:c r="L673" s="27" t="b">
        <x:v>0</x:v>
      </x:c>
      <x:c r="M673" s="25" t="str">
        <x:v>Deepseek-flash-v4/state/Round1/shards/Lang.json</x:v>
      </x:c>
      <x:c r="N673" s="25" t="str">
        <x:v>Deepseek-flash-v4/Result/Lang_57/result.json</x:v>
      </x:c>
      <x:c r="O673" s="25" t="str">
        <x:v>Deepseek-flash-v4/Result/Lang_57/result.json</x:v>
      </x:c>
      <x:c r="P673"/>
      <x:c r="Q673" s="21" t="str"/>
      <x:c r="R673" s="21" t="str"/>
      <x:c r="S673" s="21" t="str"/>
      <x:c r="T673" s="17" t="str">
        <x:v>false</x:v>
      </x:c>
      <x:c r="U673" s="17" t="str">
        <x:v>true</x:v>
      </x:c>
      <x:c r="V673" s="17" t="str">
        <x:v>false</x:v>
      </x:c>
    </x:row>
    <x:row r="674" ht="80" customHeight="1">
      <x:c r="A674" s="25" t="str">
        <x:v>Lang</x:v>
      </x:c>
      <x:c r="B674" s="25" t="n">
        <x:v>58</x:v>
      </x:c>
      <x:c r="C674" s="25" t="str">
        <x:v>Round1</x:v>
      </x:c>
      <x:c r="D674" s="25" t="str">
        <x:v>INCONCLUSIVE</x:v>
      </x:c>
      <x:c r="E674" s="25" t="str">
        <x:v>N/A</x:v>
      </x:c>
      <x:c r="F674" s="26" t="str">
        <x:v>Fixed also failed; assertion failure cannot be attributed to this bug</x:v>
      </x:c>
      <x:c r="G674" s="25" t="str">
        <x:v>true</x:v>
      </x:c>
      <x:c r="H674" s="25" t="str">
        <x:v>INCONCLUSIVE</x:v>
      </x:c>
      <x:c r="I674" s="25" t="str">
        <x:v>FAIL</x:v>
      </x:c>
      <x:c r="J674" s="25" t="str">
        <x:v>FAIL</x:v>
      </x:c>
      <x:c r="K674" s="25" t="n">
        <x:v>1</x:v>
      </x:c>
      <x:c r="L674" s="27" t="b">
        <x:v>0</x:v>
      </x:c>
      <x:c r="M674" s="25" t="str">
        <x:v>Deepseek-flash-v4/state/Round1/shards/Lang.json</x:v>
      </x:c>
      <x:c r="N674" s="25" t="str">
        <x:v>Deepseek-flash-v4/Result/Lang_58/result.json</x:v>
      </x:c>
      <x:c r="O674" s="25" t="str">
        <x:v>Deepseek-flash-v4/Result/Lang_58/result.json</x:v>
      </x:c>
      <x:c r="P674"/>
      <x:c r="Q674" s="21" t="str"/>
      <x:c r="R674" s="21" t="str"/>
      <x:c r="S674" s="21" t="str"/>
      <x:c r="T674" s="17" t="str">
        <x:v>false</x:v>
      </x:c>
      <x:c r="U674" s="17" t="str">
        <x:v>true</x:v>
      </x:c>
      <x:c r="V674" s="17" t="str">
        <x:v>false</x:v>
      </x:c>
    </x:row>
    <x:row r="675" ht="80" customHeight="1">
      <x:c r="A675" s="25" t="str">
        <x:v>Lang</x:v>
      </x:c>
      <x:c r="B675" s="25" t="n">
        <x:v>59</x:v>
      </x:c>
      <x:c r="C675" s="25" t="str">
        <x:v>Round1</x:v>
      </x:c>
      <x:c r="D675" s="25" t="str">
        <x:v>NOT_AVAILABLE</x:v>
      </x:c>
      <x:c r="E675" s="25" t="str">
        <x:v>N/A</x:v>
      </x:c>
      <x:c r="F675" s="26" t="str">
        <x:v>Tests exist but current coverage did not complete</x:v>
      </x:c>
      <x:c r="G675" s="25" t="str">
        <x:v>true</x:v>
      </x:c>
      <x:c r="H675" s="25" t="str">
        <x:v>NOT_AVAILABLE</x:v>
      </x:c>
      <x:c r="I675" s="25" t="str">
        <x:v>NOT_RUN</x:v>
      </x:c>
      <x:c r="J675" s="25" t="str">
        <x:v>NOT_RUN</x:v>
      </x:c>
      <x:c r="K675" s="25" t="n">
        <x:v>1</x:v>
      </x:c>
      <x:c r="L675" s="27" t="b">
        <x:v>0</x:v>
      </x:c>
      <x:c r="M675" s="25" t="str">
        <x:v>Deepseek-flash-v4/state/Round1/shards/Lang.json</x:v>
      </x:c>
      <x:c r="N675" s="25" t="str">
        <x:v>Deepseek-flash-v4/Result/Lang_59/result.json</x:v>
      </x:c>
      <x:c r="O675" s="25" t="str">
        <x:v>Deepseek-flash-v4/Result/Lang_59/result.json</x:v>
      </x:c>
      <x:c r="P675" t="str">
        <x:v>BOTH_NOT_RUN</x:v>
      </x:c>
      <x:c r="Q675" s="21" t="str"/>
      <x:c r="R675" s="21" t="str"/>
      <x:c r="S675" s="21" t="str"/>
      <x:c r="T675" s="17" t="str">
        <x:v>false</x:v>
      </x:c>
      <x:c r="U675" s="17" t="str">
        <x:v>true</x:v>
      </x:c>
      <x:c r="V675" s="17" t="str">
        <x:v>false</x:v>
      </x:c>
    </x:row>
    <x:row r="676" ht="80" customHeight="1">
      <x:c r="A676" s="25" t="str">
        <x:v>Lang</x:v>
      </x:c>
      <x:c r="B676" s="25" t="n">
        <x:v>6</x:v>
      </x:c>
      <x:c r="C676" s="25" t="str">
        <x:v>Round1</x:v>
      </x:c>
      <x:c r="D676" s="25" t="str">
        <x:v>INCONCLUSIVE</x:v>
      </x:c>
      <x:c r="E676" s="25" t="str">
        <x:v>N/A</x:v>
      </x:c>
      <x:c r="F676" s="26" t="str">
        <x:v>Fixed also failed; assertion failure cannot be attributed to this bug</x:v>
      </x:c>
      <x:c r="G676" s="25" t="str">
        <x:v>true</x:v>
      </x:c>
      <x:c r="H676" s="25" t="str">
        <x:v>INCONCLUSIVE</x:v>
      </x:c>
      <x:c r="I676" s="25" t="str">
        <x:v>FAIL</x:v>
      </x:c>
      <x:c r="J676" s="25" t="str">
        <x:v>FAIL</x:v>
      </x:c>
      <x:c r="K676" s="25" t="n">
        <x:v>1</x:v>
      </x:c>
      <x:c r="L676" s="27" t="b">
        <x:v>0</x:v>
      </x:c>
      <x:c r="M676" s="25" t="str">
        <x:v>Deepseek-flash-v4/state/Round1/shards/Lang.json</x:v>
      </x:c>
      <x:c r="N676" s="25" t="str">
        <x:v>Deepseek-flash-v4/Result/Lang_6/result.json</x:v>
      </x:c>
      <x:c r="O676" s="25" t="str">
        <x:v>Deepseek-flash-v4/Result/Lang_6/result.json</x:v>
      </x:c>
      <x:c r="P676"/>
      <x:c r="Q676" s="21" t="str"/>
      <x:c r="R676" s="21" t="str"/>
      <x:c r="S676" s="21" t="str"/>
      <x:c r="T676" s="17" t="str">
        <x:v>false</x:v>
      </x:c>
      <x:c r="U676" s="17" t="str">
        <x:v>true</x:v>
      </x:c>
      <x:c r="V676" s="17" t="str">
        <x:v>false</x:v>
      </x:c>
    </x:row>
    <x:row r="677" ht="80" customHeight="1">
      <x:c r="A677" s="25" t="str">
        <x:v>Lang</x:v>
      </x:c>
      <x:c r="B677" s="25" t="n">
        <x:v>60</x:v>
      </x:c>
      <x:c r="C677" s="25" t="str">
        <x:v>Round1</x:v>
      </x:c>
      <x:c r="D677" s="25" t="str">
        <x:v>NOT_AVAILABLE</x:v>
      </x:c>
      <x:c r="E677" s="25" t="str">
        <x:v>N/A</x:v>
      </x:c>
      <x:c r="F677" s="26" t="str">
        <x:v>Tests exist but current coverage did not complete</x:v>
      </x:c>
      <x:c r="G677" s="25" t="str">
        <x:v>true</x:v>
      </x:c>
      <x:c r="H677" s="25" t="str">
        <x:v>NOT_AVAILABLE</x:v>
      </x:c>
      <x:c r="I677" s="25" t="str">
        <x:v>NOT_RUN</x:v>
      </x:c>
      <x:c r="J677" s="25" t="str">
        <x:v>NOT_RUN</x:v>
      </x:c>
      <x:c r="K677" s="25" t="n">
        <x:v>1</x:v>
      </x:c>
      <x:c r="L677" s="27" t="b">
        <x:v>0</x:v>
      </x:c>
      <x:c r="M677" s="25" t="str">
        <x:v>Deepseek-flash-v4/state/Round1/shards/Lang.json</x:v>
      </x:c>
      <x:c r="N677" s="25" t="str">
        <x:v>Deepseek-flash-v4/Result/Lang_60/result.json</x:v>
      </x:c>
      <x:c r="O677" s="25" t="str">
        <x:v>Deepseek-flash-v4/Result/Lang_60/result.json</x:v>
      </x:c>
      <x:c r="P677" t="str">
        <x:v>BOTH_NOT_RUN</x:v>
      </x:c>
      <x:c r="Q677" s="21" t="str"/>
      <x:c r="R677" s="21" t="str"/>
      <x:c r="S677" s="21" t="str"/>
      <x:c r="T677" s="17" t="str">
        <x:v>false</x:v>
      </x:c>
      <x:c r="U677" s="17" t="str">
        <x:v>true</x:v>
      </x:c>
      <x:c r="V677" s="17" t="str">
        <x:v>false</x:v>
      </x:c>
    </x:row>
    <x:row r="678" ht="80" customHeight="1">
      <x:c r="A678" s="25" t="str">
        <x:v>Lang</x:v>
      </x:c>
      <x:c r="B678" s="25" t="n">
        <x:v>61</x:v>
      </x:c>
      <x:c r="C678" s="25" t="str">
        <x:v>Round1</x:v>
      </x:c>
      <x:c r="D678" s="25" t="str">
        <x:v>NOT_AVAILABLE</x:v>
      </x:c>
      <x:c r="E678" s="25" t="str">
        <x:v>N/A</x:v>
      </x:c>
      <x:c r="F678" s="26" t="str">
        <x:v>Tests exist but current coverage did not complete</x:v>
      </x:c>
      <x:c r="G678" s="25" t="str">
        <x:v>true</x:v>
      </x:c>
      <x:c r="H678" s="25" t="str">
        <x:v>NOT_AVAILABLE</x:v>
      </x:c>
      <x:c r="I678" s="25" t="str">
        <x:v>NOT_RUN</x:v>
      </x:c>
      <x:c r="J678" s="25" t="str">
        <x:v>NOT_RUN</x:v>
      </x:c>
      <x:c r="K678" s="25" t="n">
        <x:v>1</x:v>
      </x:c>
      <x:c r="L678" s="27" t="b">
        <x:v>0</x:v>
      </x:c>
      <x:c r="M678" s="25" t="str">
        <x:v>Deepseek-flash-v4/state/Round1/shards/Lang.json</x:v>
      </x:c>
      <x:c r="N678" s="25" t="str">
        <x:v>Deepseek-flash-v4/Result/Lang_61/result.json</x:v>
      </x:c>
      <x:c r="O678" s="25" t="str">
        <x:v>Deepseek-flash-v4/Result/Lang_61/result.json</x:v>
      </x:c>
      <x:c r="P678" t="str">
        <x:v>BOTH_NOT_RUN</x:v>
      </x:c>
      <x:c r="Q678" s="21" t="str"/>
      <x:c r="R678" s="21" t="str"/>
      <x:c r="S678" s="21" t="str"/>
      <x:c r="T678" s="17" t="str">
        <x:v>false</x:v>
      </x:c>
      <x:c r="U678" s="17" t="str">
        <x:v>true</x:v>
      </x:c>
      <x:c r="V678" s="17" t="str">
        <x:v>false</x:v>
      </x:c>
    </x:row>
    <x:row r="679" ht="80" customHeight="1">
      <x:c r="A679" s="25" t="str">
        <x:v>Lang</x:v>
      </x:c>
      <x:c r="B679" s="25" t="n">
        <x:v>62</x:v>
      </x:c>
      <x:c r="C679" s="25" t="str">
        <x:v>Round1</x:v>
      </x:c>
      <x:c r="D679" s="25" t="str">
        <x:v>NOT_AVAILABLE</x:v>
      </x:c>
      <x:c r="E679" s="25" t="str">
        <x:v>N/A</x:v>
      </x:c>
      <x:c r="F679" s="26" t="str">
        <x:v>Tests exist but current coverage did not complete</x:v>
      </x:c>
      <x:c r="G679" s="25" t="str">
        <x:v>true</x:v>
      </x:c>
      <x:c r="H679" s="25" t="str">
        <x:v>NOT_AVAILABLE</x:v>
      </x:c>
      <x:c r="I679" s="25" t="str">
        <x:v>NOT_RUN</x:v>
      </x:c>
      <x:c r="J679" s="25" t="str">
        <x:v>NOT_RUN</x:v>
      </x:c>
      <x:c r="K679" s="25" t="n">
        <x:v>1</x:v>
      </x:c>
      <x:c r="L679" s="27" t="b">
        <x:v>0</x:v>
      </x:c>
      <x:c r="M679" s="25" t="str">
        <x:v>Deepseek-flash-v4/state/Round1/shards/Lang.json</x:v>
      </x:c>
      <x:c r="N679" s="25" t="str">
        <x:v>Deepseek-flash-v4/Result/Lang_62/result.json</x:v>
      </x:c>
      <x:c r="O679" s="25" t="str">
        <x:v>Deepseek-flash-v4/Result/Lang_62/result.json</x:v>
      </x:c>
      <x:c r="P679" t="str">
        <x:v>BOTH_NOT_RUN</x:v>
      </x:c>
      <x:c r="Q679" s="21" t="str"/>
      <x:c r="R679" s="21" t="str"/>
      <x:c r="S679" s="21" t="str"/>
      <x:c r="T679" s="17" t="str">
        <x:v>false</x:v>
      </x:c>
      <x:c r="U679" s="17" t="str">
        <x:v>true</x:v>
      </x:c>
      <x:c r="V679" s="17" t="str">
        <x:v>false</x:v>
      </x:c>
    </x:row>
    <x:row r="680" ht="80" customHeight="1">
      <x:c r="A680" s="25" t="str">
        <x:v>Lang</x:v>
      </x:c>
      <x:c r="B680" s="25" t="n">
        <x:v>63</x:v>
      </x:c>
      <x:c r="C680" s="25" t="str">
        <x:v>Round1</x:v>
      </x:c>
      <x:c r="D680" s="25" t="str">
        <x:v>INCONCLUSIVE</x:v>
      </x:c>
      <x:c r="E680" s="25" t="str">
        <x:v>N/A</x:v>
      </x:c>
      <x:c r="F680" s="26" t="str">
        <x:v>Fixed also failed; assertion failure cannot be attributed to this bug</x:v>
      </x:c>
      <x:c r="G680" s="25" t="str">
        <x:v>true</x:v>
      </x:c>
      <x:c r="H680" s="25" t="str">
        <x:v>INCONCLUSIVE</x:v>
      </x:c>
      <x:c r="I680" s="25" t="str">
        <x:v>FAIL</x:v>
      </x:c>
      <x:c r="J680" s="25" t="str">
        <x:v>FAIL</x:v>
      </x:c>
      <x:c r="K680" s="25" t="n">
        <x:v>1</x:v>
      </x:c>
      <x:c r="L680" s="27" t="b">
        <x:v>0</x:v>
      </x:c>
      <x:c r="M680" s="25" t="str">
        <x:v>Deepseek-flash-v4/state/Round1/shards/Lang.json</x:v>
      </x:c>
      <x:c r="N680" s="25" t="str">
        <x:v>Deepseek-flash-v4/Result/Lang_63/result.json</x:v>
      </x:c>
      <x:c r="O680" s="25" t="str">
        <x:v>Deepseek-flash-v4/Result/Lang_63/result.json</x:v>
      </x:c>
      <x:c r="P680"/>
      <x:c r="Q680" s="21" t="str"/>
      <x:c r="R680" s="21" t="str"/>
      <x:c r="S680" s="21" t="str"/>
      <x:c r="T680" s="17" t="str">
        <x:v>false</x:v>
      </x:c>
      <x:c r="U680" s="17" t="str">
        <x:v>true</x:v>
      </x:c>
      <x:c r="V680" s="17" t="str">
        <x:v>false</x:v>
      </x:c>
    </x:row>
    <x:row r="681" ht="80" customHeight="1">
      <x:c r="A681" s="25" t="str">
        <x:v>Lang</x:v>
      </x:c>
      <x:c r="B681" s="25" t="n">
        <x:v>64</x:v>
      </x:c>
      <x:c r="C681" s="25" t="str">
        <x:v>Round1</x:v>
      </x:c>
      <x:c r="D681" s="25" t="str">
        <x:v>INCONCLUSIVE</x:v>
      </x:c>
      <x:c r="E681" s="25" t="str">
        <x:v>N/A</x:v>
      </x:c>
      <x:c r="F681" s="26" t="str">
        <x:v>Fixed also failed; assertion failure cannot be attributed to this bug</x:v>
      </x:c>
      <x:c r="G681" s="25" t="str">
        <x:v>true</x:v>
      </x:c>
      <x:c r="H681" s="25" t="str">
        <x:v>INCONCLUSIVE</x:v>
      </x:c>
      <x:c r="I681" s="25" t="str">
        <x:v>FAIL</x:v>
      </x:c>
      <x:c r="J681" s="25" t="str">
        <x:v>FAIL</x:v>
      </x:c>
      <x:c r="K681" s="25" t="n">
        <x:v>1</x:v>
      </x:c>
      <x:c r="L681" s="27" t="b">
        <x:v>0</x:v>
      </x:c>
      <x:c r="M681" s="25" t="str">
        <x:v>Deepseek-flash-v4/state/Round1/shards/Lang.json</x:v>
      </x:c>
      <x:c r="N681" s="25" t="str">
        <x:v>Deepseek-flash-v4/Result/Lang_64/result.json</x:v>
      </x:c>
      <x:c r="O681" s="25" t="str">
        <x:v>Deepseek-flash-v4/Result/Lang_64/result.json</x:v>
      </x:c>
      <x:c r="P681"/>
      <x:c r="Q681" s="21" t="str"/>
      <x:c r="R681" s="21" t="str"/>
      <x:c r="S681" s="21" t="str"/>
      <x:c r="T681" s="17" t="str">
        <x:v>false</x:v>
      </x:c>
      <x:c r="U681" s="17" t="str">
        <x:v>true</x:v>
      </x:c>
      <x:c r="V681" s="17" t="str">
        <x:v>false</x:v>
      </x:c>
    </x:row>
    <x:row r="682" ht="80" customHeight="1">
      <x:c r="A682" s="25" t="str">
        <x:v>Lang</x:v>
      </x:c>
      <x:c r="B682" s="25" t="n">
        <x:v>65</x:v>
      </x:c>
      <x:c r="C682" s="25" t="str">
        <x:v>Round1</x:v>
      </x:c>
      <x:c r="D682" s="25" t="str">
        <x:v>NOT_AVAILABLE</x:v>
      </x:c>
      <x:c r="E682" s="25" t="str">
        <x:v>N/A</x:v>
      </x:c>
      <x:c r="F682" s="26" t="str">
        <x:v>Tests exist but current coverage did not complete</x:v>
      </x:c>
      <x:c r="G682" s="25" t="str">
        <x:v>true</x:v>
      </x:c>
      <x:c r="H682" s="25" t="str">
        <x:v>NOT_AVAILABLE</x:v>
      </x:c>
      <x:c r="I682" s="25" t="str">
        <x:v>NOT_RUN</x:v>
      </x:c>
      <x:c r="J682" s="25" t="str">
        <x:v>NOT_RUN</x:v>
      </x:c>
      <x:c r="K682" s="25" t="n">
        <x:v>1</x:v>
      </x:c>
      <x:c r="L682" s="27" t="b">
        <x:v>0</x:v>
      </x:c>
      <x:c r="M682" s="25" t="str">
        <x:v>Deepseek-flash-v4/state/Round1/shards/Lang.json</x:v>
      </x:c>
      <x:c r="N682" s="25" t="str">
        <x:v>Deepseek-flash-v4/Result/Lang_65/result.json</x:v>
      </x:c>
      <x:c r="O682" s="25" t="str">
        <x:v>Deepseek-flash-v4/Result/Lang_65/result.json</x:v>
      </x:c>
      <x:c r="P682" t="str">
        <x:v>BOTH_NOT_RUN</x:v>
      </x:c>
      <x:c r="Q682" s="21" t="str"/>
      <x:c r="R682" s="21" t="str"/>
      <x:c r="S682" s="21" t="str"/>
      <x:c r="T682" s="17" t="str">
        <x:v>false</x:v>
      </x:c>
      <x:c r="U682" s="17" t="str">
        <x:v>true</x:v>
      </x:c>
      <x:c r="V682" s="17" t="str">
        <x:v>false</x:v>
      </x:c>
    </x:row>
    <x:row r="683" ht="80" customHeight="1">
      <x:c r="A683" s="25" t="str">
        <x:v>Lang</x:v>
      </x:c>
      <x:c r="B683" s="25" t="n">
        <x:v>7</x:v>
      </x:c>
      <x:c r="C683" s="25" t="str">
        <x:v>Round1</x:v>
      </x:c>
      <x:c r="D683" s="25" t="str">
        <x:v>INCONCLUSIVE</x:v>
      </x:c>
      <x:c r="E683" s="25" t="str">
        <x:v>N/A</x:v>
      </x:c>
      <x:c r="F683" s="26" t="str">
        <x:v>Fixed also failed; assertion failure cannot be attributed to this bug</x:v>
      </x:c>
      <x:c r="G683" s="25" t="str">
        <x:v>true</x:v>
      </x:c>
      <x:c r="H683" s="25" t="str">
        <x:v>INCONCLUSIVE</x:v>
      </x:c>
      <x:c r="I683" s="25" t="str">
        <x:v>FAIL</x:v>
      </x:c>
      <x:c r="J683" s="25" t="str">
        <x:v>FAIL</x:v>
      </x:c>
      <x:c r="K683" s="25" t="n">
        <x:v>1</x:v>
      </x:c>
      <x:c r="L683" s="27" t="b">
        <x:v>0</x:v>
      </x:c>
      <x:c r="M683" s="25" t="str">
        <x:v>Deepseek-flash-v4/state/Round1/shards/Lang.json</x:v>
      </x:c>
      <x:c r="N683" s="25" t="str">
        <x:v>Deepseek-flash-v4/Result/Lang_7/result.json</x:v>
      </x:c>
      <x:c r="O683" s="25" t="str">
        <x:v>Deepseek-flash-v4/Result/Lang_7/result.json</x:v>
      </x:c>
      <x:c r="P683"/>
      <x:c r="Q683" s="21" t="str"/>
      <x:c r="R683" s="21" t="str"/>
      <x:c r="S683" s="21" t="str"/>
      <x:c r="T683" s="17" t="str">
        <x:v>false</x:v>
      </x:c>
      <x:c r="U683" s="17" t="str">
        <x:v>true</x:v>
      </x:c>
      <x:c r="V683" s="17" t="str">
        <x:v>false</x:v>
      </x:c>
    </x:row>
    <x:row r="684" ht="80" customHeight="1">
      <x:c r="A684" s="25" t="str">
        <x:v>Lang</x:v>
      </x:c>
      <x:c r="B684" s="25" t="n">
        <x:v>8</x:v>
      </x:c>
      <x:c r="C684" s="25" t="str">
        <x:v>Round1</x:v>
      </x:c>
      <x:c r="D684" s="25" t="str">
        <x:v>NOT_REVEALING</x:v>
      </x:c>
      <x:c r="E684" s="25" t="str">
        <x:v>N/A</x:v>
      </x:c>
      <x:c r="F684" s="26" t="str">
        <x:v>Same saved validation suite passed on buggy and fixed</x:v>
      </x:c>
      <x:c r="G684" s="25" t="str">
        <x:v>true</x:v>
      </x:c>
      <x:c r="H684" s="25" t="str">
        <x:v>NOT_REVEALING</x:v>
      </x:c>
      <x:c r="I684" s="25" t="str">
        <x:v>PASS</x:v>
      </x:c>
      <x:c r="J684" s="25" t="str">
        <x:v>PASS</x:v>
      </x:c>
      <x:c r="K684" s="25" t="n">
        <x:v>1</x:v>
      </x:c>
      <x:c r="L684" s="27" t="b">
        <x:v>0</x:v>
      </x:c>
      <x:c r="M684" s="25" t="str">
        <x:v>Deepseek-flash-v4/state/Round1/shards/Lang.json</x:v>
      </x:c>
      <x:c r="N684" s="25" t="str">
        <x:v>Deepseek-flash-v4/Result/Lang_8/result.json</x:v>
      </x:c>
      <x:c r="O684" s="25" t="str">
        <x:v>Deepseek-flash-v4/Result/Lang_8/result.json</x:v>
      </x:c>
      <x:c r="P684"/>
      <x:c r="Q684" s="21" t="str"/>
      <x:c r="R684" s="21" t="str"/>
      <x:c r="S684" s="21" t="str"/>
      <x:c r="T684" s="17" t="str">
        <x:v>false</x:v>
      </x:c>
      <x:c r="U684" s="17" t="str">
        <x:v>true</x:v>
      </x:c>
      <x:c r="V684" s="17" t="str">
        <x:v>false</x:v>
      </x:c>
    </x:row>
    <x:row r="685" ht="80" customHeight="1">
      <x:c r="A685" s="25" t="str">
        <x:v>Lang</x:v>
      </x:c>
      <x:c r="B685" s="25" t="n">
        <x:v>9</x:v>
      </x:c>
      <x:c r="C685" s="25" t="str">
        <x:v>Round1</x:v>
      </x:c>
      <x:c r="D685" s="25" t="str">
        <x:v>NOT_AVAILABLE</x:v>
      </x:c>
      <x:c r="E685" s="25" t="str">
        <x:v>N/A</x:v>
      </x:c>
      <x:c r="F685" s="26" t="str">
        <x:v>Tests exist but current coverage did not complete</x:v>
      </x:c>
      <x:c r="G685" s="25" t="str">
        <x:v>true</x:v>
      </x:c>
      <x:c r="H685" s="25" t="str">
        <x:v>NOT_AVAILABLE</x:v>
      </x:c>
      <x:c r="I685" s="25" t="str">
        <x:v>NOT_RUN</x:v>
      </x:c>
      <x:c r="J685" s="25" t="str">
        <x:v>NOT_RUN</x:v>
      </x:c>
      <x:c r="K685" s="25" t="n">
        <x:v>1</x:v>
      </x:c>
      <x:c r="L685" s="27" t="b">
        <x:v>0</x:v>
      </x:c>
      <x:c r="M685" s="25" t="str">
        <x:v>Deepseek-flash-v4/state/Round1/shards/Lang.json</x:v>
      </x:c>
      <x:c r="N685" s="25" t="str">
        <x:v>Deepseek-flash-v4/Result/Lang_9/result.json</x:v>
      </x:c>
      <x:c r="O685" s="25" t="str">
        <x:v>Deepseek-flash-v4/Result/Lang_9/result.json</x:v>
      </x:c>
      <x:c r="P685" t="str">
        <x:v>BOTH_NOT_RUN</x:v>
      </x:c>
      <x:c r="Q685" s="21" t="str"/>
      <x:c r="R685" s="21" t="str"/>
      <x:c r="S685" s="21" t="str"/>
      <x:c r="T685" s="17" t="str">
        <x:v>false</x:v>
      </x:c>
      <x:c r="U685" s="17" t="str">
        <x:v>true</x:v>
      </x:c>
      <x:c r="V685" s="17" t="str">
        <x:v>false</x:v>
      </x:c>
    </x:row>
    <x:row r="686" ht="80" customHeight="1">
      <x:c r="A686" s="25" t="str">
        <x:v>Math</x:v>
      </x:c>
      <x:c r="B686" s="25" t="n">
        <x:v>1</x:v>
      </x:c>
      <x:c r="C686" s="25" t="str">
        <x:v>Round1</x:v>
      </x:c>
      <x:c r="D686" s="25" t="str">
        <x:v>INCONCLUSIVE</x:v>
      </x:c>
      <x:c r="E686" s="25" t="str">
        <x:v>N/A</x:v>
      </x:c>
      <x:c r="F686" s="26" t="str">
        <x:v>Fixed also failed; assertion failure cannot be attributed to this bug</x:v>
      </x:c>
      <x:c r="G686" s="25" t="str">
        <x:v>true</x:v>
      </x:c>
      <x:c r="H686" s="25" t="str">
        <x:v>INCONCLUSIVE</x:v>
      </x:c>
      <x:c r="I686" s="25" t="str">
        <x:v>FAIL</x:v>
      </x:c>
      <x:c r="J686" s="25" t="str">
        <x:v>FAIL</x:v>
      </x:c>
      <x:c r="K686" s="25" t="n">
        <x:v>2</x:v>
      </x:c>
      <x:c r="L686" s="27" t="b">
        <x:v>0</x:v>
      </x:c>
      <x:c r="M686" s="25" t="str">
        <x:v>Deepseek-flash-v4/state/Round1/shards/Math.json</x:v>
      </x:c>
      <x:c r="N686" s="25" t="str">
        <x:v>Deepseek-flash-v4/Result/Math_1/result.json</x:v>
      </x:c>
      <x:c r="O686" s="25" t="str">
        <x:v>Deepseek-flash-v4/Result/Math_1/result.json</x:v>
      </x:c>
      <x:c r="P686"/>
      <x:c r="Q686" s="21" t="str"/>
      <x:c r="R686" s="21" t="str"/>
      <x:c r="S686" s="21" t="str"/>
      <x:c r="T686" s="17" t="str">
        <x:v>false</x:v>
      </x:c>
      <x:c r="U686" s="17" t="str">
        <x:v>true</x:v>
      </x:c>
      <x:c r="V686" s="17" t="str">
        <x:v>false</x:v>
      </x:c>
    </x:row>
    <x:row r="687" ht="80" customHeight="1">
      <x:c r="A687" s="25" t="str">
        <x:v>Math</x:v>
      </x:c>
      <x:c r="B687" s="25" t="n">
        <x:v>10</x:v>
      </x:c>
      <x:c r="C687" s="25" t="str">
        <x:v>Round1</x:v>
      </x:c>
      <x:c r="D687" s="25" t="str">
        <x:v>INCONCLUSIVE</x:v>
      </x:c>
      <x:c r="E687" s="25" t="str">
        <x:v>N/A</x:v>
      </x:c>
      <x:c r="F687" s="26" t="str">
        <x:v>Fixed also failed; assertion failure cannot be attributed to this bug</x:v>
      </x:c>
      <x:c r="G687" s="25" t="str">
        <x:v>true</x:v>
      </x:c>
      <x:c r="H687" s="25" t="str">
        <x:v>INCONCLUSIVE</x:v>
      </x:c>
      <x:c r="I687" s="25" t="str">
        <x:v>FAIL</x:v>
      </x:c>
      <x:c r="J687" s="25" t="str">
        <x:v>FAIL</x:v>
      </x:c>
      <x:c r="K687" s="25" t="n">
        <x:v>1</x:v>
      </x:c>
      <x:c r="L687" s="27" t="b">
        <x:v>0</x:v>
      </x:c>
      <x:c r="M687" s="25" t="str">
        <x:v>Deepseek-flash-v4/state/Round1/shards/Math.json</x:v>
      </x:c>
      <x:c r="N687" s="25" t="str">
        <x:v>Deepseek-flash-v4/Result/Math_10/result.json</x:v>
      </x:c>
      <x:c r="O687" s="25" t="str">
        <x:v>Deepseek-flash-v4/Result/Math_10/result.json</x:v>
      </x:c>
      <x:c r="P687"/>
      <x:c r="Q687" s="21" t="str"/>
      <x:c r="R687" s="21" t="str"/>
      <x:c r="S687" s="21" t="str"/>
      <x:c r="T687" s="17" t="str">
        <x:v>false</x:v>
      </x:c>
      <x:c r="U687" s="17" t="str">
        <x:v>true</x:v>
      </x:c>
      <x:c r="V687" s="17" t="str">
        <x:v>false</x:v>
      </x:c>
    </x:row>
    <x:row r="688" ht="80" customHeight="1">
      <x:c r="A688" s="25" t="str">
        <x:v>Math</x:v>
      </x:c>
      <x:c r="B688" s="25" t="n">
        <x:v>100</x:v>
      </x:c>
      <x:c r="C688" s="25" t="str">
        <x:v>Round1</x:v>
      </x:c>
      <x:c r="D688" s="25" t="str">
        <x:v>NOT_AVAILABLE</x:v>
      </x:c>
      <x:c r="E688" s="25" t="str">
        <x:v>N/A</x:v>
      </x:c>
      <x:c r="F688" s="26" t="str">
        <x:v>Tests exist but current coverage did not complete</x:v>
      </x:c>
      <x:c r="G688" s="25" t="str">
        <x:v>true</x:v>
      </x:c>
      <x:c r="H688" s="25" t="str">
        <x:v>NOT_AVAILABLE</x:v>
      </x:c>
      <x:c r="I688" s="25" t="str">
        <x:v>NOT_RUN</x:v>
      </x:c>
      <x:c r="J688" s="25" t="str">
        <x:v>NOT_RUN</x:v>
      </x:c>
      <x:c r="K688" s="25" t="n">
        <x:v>1</x:v>
      </x:c>
      <x:c r="L688" s="27" t="b">
        <x:v>0</x:v>
      </x:c>
      <x:c r="M688" s="25" t="str">
        <x:v>Deepseek-flash-v4/state/Round1/shards/Math.json</x:v>
      </x:c>
      <x:c r="N688" s="25" t="str">
        <x:v>Deepseek-flash-v4/Result/Math_100/result.json</x:v>
      </x:c>
      <x:c r="O688" s="25" t="str">
        <x:v>Deepseek-flash-v4/Result/Math_100/result.json</x:v>
      </x:c>
      <x:c r="P688" t="str">
        <x:v>BOTH_NOT_RUN</x:v>
      </x:c>
      <x:c r="Q688" s="21" t="str"/>
      <x:c r="R688" s="21" t="str"/>
      <x:c r="S688" s="21" t="str"/>
      <x:c r="T688" s="17" t="str">
        <x:v>false</x:v>
      </x:c>
      <x:c r="U688" s="17" t="str">
        <x:v>true</x:v>
      </x:c>
      <x:c r="V688" s="17" t="str">
        <x:v>false</x:v>
      </x:c>
    </x:row>
    <x:row r="689" ht="80" customHeight="1">
      <x:c r="A689" s="25" t="str">
        <x:v>Math</x:v>
      </x:c>
      <x:c r="B689" s="25" t="n">
        <x:v>101</x:v>
      </x:c>
      <x:c r="C689" s="25" t="str">
        <x:v>Round1</x:v>
      </x:c>
      <x:c r="D689" s="25" t="str">
        <x:v>NOT_REVEALING</x:v>
      </x:c>
      <x:c r="E689" s="25" t="str">
        <x:v>N/A</x:v>
      </x:c>
      <x:c r="F689" s="26" t="str">
        <x:v>Same saved validation suite passed on buggy and fixed</x:v>
      </x:c>
      <x:c r="G689" s="25" t="str">
        <x:v>true</x:v>
      </x:c>
      <x:c r="H689" s="25" t="str">
        <x:v>NOT_REVEALING</x:v>
      </x:c>
      <x:c r="I689" s="25" t="str">
        <x:v>PASS</x:v>
      </x:c>
      <x:c r="J689" s="25" t="str">
        <x:v>PASS</x:v>
      </x:c>
      <x:c r="K689" s="25" t="n">
        <x:v>1</x:v>
      </x:c>
      <x:c r="L689" s="27" t="b">
        <x:v>0</x:v>
      </x:c>
      <x:c r="M689" s="25" t="str">
        <x:v>Deepseek-flash-v4/state/Round1/shards/Math.json</x:v>
      </x:c>
      <x:c r="N689" s="25" t="str">
        <x:v>Deepseek-flash-v4/Result/Math_101/result.json</x:v>
      </x:c>
      <x:c r="O689" s="25" t="str">
        <x:v>Deepseek-flash-v4/Result/Math_101/result.json</x:v>
      </x:c>
      <x:c r="P689"/>
      <x:c r="Q689" s="21" t="str"/>
      <x:c r="R689" s="21" t="str"/>
      <x:c r="S689" s="21" t="str"/>
      <x:c r="T689" s="17" t="str">
        <x:v>false</x:v>
      </x:c>
      <x:c r="U689" s="17" t="str">
        <x:v>true</x:v>
      </x:c>
      <x:c r="V689" s="17" t="str">
        <x:v>false</x:v>
      </x:c>
    </x:row>
    <x:row r="690" ht="80" customHeight="1">
      <x:c r="A690" s="25" t="str">
        <x:v>Math</x:v>
      </x:c>
      <x:c r="B690" s="25" t="n">
        <x:v>102</x:v>
      </x:c>
      <x:c r="C690" s="25" t="str">
        <x:v>Round1</x:v>
      </x:c>
      <x:c r="D690" s="25" t="str">
        <x:v>NOT_AVAILABLE</x:v>
      </x:c>
      <x:c r="E690" s="25" t="str">
        <x:v>N/A</x:v>
      </x:c>
      <x:c r="F690" s="26" t="str">
        <x:v>Tests exist but current coverage did not complete</x:v>
      </x:c>
      <x:c r="G690" s="25" t="str">
        <x:v>true</x:v>
      </x:c>
      <x:c r="H690" s="25" t="str">
        <x:v>NOT_AVAILABLE</x:v>
      </x:c>
      <x:c r="I690" s="25" t="str">
        <x:v>NOT_RUN</x:v>
      </x:c>
      <x:c r="J690" s="25" t="str">
        <x:v>NOT_RUN</x:v>
      </x:c>
      <x:c r="K690" s="25" t="n">
        <x:v>1</x:v>
      </x:c>
      <x:c r="L690" s="27" t="b">
        <x:v>0</x:v>
      </x:c>
      <x:c r="M690" s="25" t="str">
        <x:v>Deepseek-flash-v4/state/Round1/shards/Math.json</x:v>
      </x:c>
      <x:c r="N690" s="25" t="str">
        <x:v>Deepseek-flash-v4/Result/Math_102/result.json</x:v>
      </x:c>
      <x:c r="O690" s="25" t="str">
        <x:v>Deepseek-flash-v4/Result/Math_102/result.json</x:v>
      </x:c>
      <x:c r="P690" t="str">
        <x:v>BOTH_NOT_RUN</x:v>
      </x:c>
      <x:c r="Q690" s="21" t="str"/>
      <x:c r="R690" s="21" t="str"/>
      <x:c r="S690" s="21" t="str"/>
      <x:c r="T690" s="17" t="str">
        <x:v>false</x:v>
      </x:c>
      <x:c r="U690" s="17" t="str">
        <x:v>true</x:v>
      </x:c>
      <x:c r="V690" s="17" t="str">
        <x:v>false</x:v>
      </x:c>
    </x:row>
    <x:row r="691" ht="80" customHeight="1">
      <x:c r="A691" s="25" t="str">
        <x:v>Math</x:v>
      </x:c>
      <x:c r="B691" s="25" t="n">
        <x:v>103</x:v>
      </x:c>
      <x:c r="C691" s="25" t="str">
        <x:v>Round1</x:v>
      </x:c>
      <x:c r="D691" s="25" t="str">
        <x:v>INCONCLUSIVE</x:v>
      </x:c>
      <x:c r="E691" s="25" t="str">
        <x:v>N/A</x:v>
      </x:c>
      <x:c r="F691" s="26" t="str">
        <x:v>Fixed also failed; assertion failure cannot be attributed to this bug</x:v>
      </x:c>
      <x:c r="G691" s="25" t="str">
        <x:v>true</x:v>
      </x:c>
      <x:c r="H691" s="25" t="str">
        <x:v>INCONCLUSIVE</x:v>
      </x:c>
      <x:c r="I691" s="25" t="str">
        <x:v>FAIL</x:v>
      </x:c>
      <x:c r="J691" s="25" t="str">
        <x:v>FAIL</x:v>
      </x:c>
      <x:c r="K691" s="25" t="n">
        <x:v>1</x:v>
      </x:c>
      <x:c r="L691" s="27" t="b">
        <x:v>0</x:v>
      </x:c>
      <x:c r="M691" s="25" t="str">
        <x:v>Deepseek-flash-v4/state/Round1/shards/Math.json</x:v>
      </x:c>
      <x:c r="N691" s="25" t="str">
        <x:v>Deepseek-flash-v4/Result/Math_103/result.json</x:v>
      </x:c>
      <x:c r="O691" s="25" t="str">
        <x:v>Deepseek-flash-v4/Result/Math_103/result.json</x:v>
      </x:c>
      <x:c r="P691"/>
      <x:c r="Q691" s="21" t="str"/>
      <x:c r="R691" s="21" t="str"/>
      <x:c r="S691" s="21" t="str"/>
      <x:c r="T691" s="17" t="str">
        <x:v>false</x:v>
      </x:c>
      <x:c r="U691" s="17" t="str">
        <x:v>true</x:v>
      </x:c>
      <x:c r="V691" s="17" t="str">
        <x:v>false</x:v>
      </x:c>
    </x:row>
    <x:row r="692" ht="80" customHeight="1">
      <x:c r="A692" s="25" t="str">
        <x:v>Math</x:v>
      </x:c>
      <x:c r="B692" s="25" t="n">
        <x:v>104</x:v>
      </x:c>
      <x:c r="C692" s="25" t="str">
        <x:v>Round1</x:v>
      </x:c>
      <x:c r="D692" s="25" t="str">
        <x:v>INCONCLUSIVE</x:v>
      </x:c>
      <x:c r="E692" s="25" t="str">
        <x:v>N/A</x:v>
      </x:c>
      <x:c r="F692" s="26" t="str">
        <x:v>Fixed also failed; assertion failure cannot be attributed to this bug</x:v>
      </x:c>
      <x:c r="G692" s="25" t="str">
        <x:v>true</x:v>
      </x:c>
      <x:c r="H692" s="25" t="str">
        <x:v>INCONCLUSIVE</x:v>
      </x:c>
      <x:c r="I692" s="25" t="str">
        <x:v>FAIL</x:v>
      </x:c>
      <x:c r="J692" s="25" t="str">
        <x:v>FAIL</x:v>
      </x:c>
      <x:c r="K692" s="25" t="n">
        <x:v>1</x:v>
      </x:c>
      <x:c r="L692" s="27" t="b">
        <x:v>0</x:v>
      </x:c>
      <x:c r="M692" s="25" t="str">
        <x:v>Deepseek-flash-v4/state/Round1/shards/Math.json</x:v>
      </x:c>
      <x:c r="N692" s="25" t="str">
        <x:v>Deepseek-flash-v4/Result/Math_104/result.json</x:v>
      </x:c>
      <x:c r="O692" s="25" t="str">
        <x:v>Deepseek-flash-v4/Result/Math_104/result.json</x:v>
      </x:c>
      <x:c r="P692"/>
      <x:c r="Q692" s="21" t="str"/>
      <x:c r="R692" s="21" t="str"/>
      <x:c r="S692" s="21" t="str"/>
      <x:c r="T692" s="17" t="str">
        <x:v>false</x:v>
      </x:c>
      <x:c r="U692" s="17" t="str">
        <x:v>true</x:v>
      </x:c>
      <x:c r="V692" s="17" t="str">
        <x:v>false</x:v>
      </x:c>
    </x:row>
    <x:row r="693" ht="80" customHeight="1">
      <x:c r="A693" s="25" t="str">
        <x:v>Math</x:v>
      </x:c>
      <x:c r="B693" s="25" t="n">
        <x:v>105</x:v>
      </x:c>
      <x:c r="C693" s="25" t="str">
        <x:v>Round1</x:v>
      </x:c>
      <x:c r="D693" s="25" t="str">
        <x:v>INCONCLUSIVE</x:v>
      </x:c>
      <x:c r="E693" s="25" t="str">
        <x:v>N/A</x:v>
      </x:c>
      <x:c r="F693" s="26" t="str">
        <x:v>Fixed also failed; assertion failure cannot be attributed to this bug</x:v>
      </x:c>
      <x:c r="G693" s="25" t="str">
        <x:v>true</x:v>
      </x:c>
      <x:c r="H693" s="25" t="str">
        <x:v>INCONCLUSIVE</x:v>
      </x:c>
      <x:c r="I693" s="25" t="str">
        <x:v>FAIL</x:v>
      </x:c>
      <x:c r="J693" s="25" t="str">
        <x:v>FAIL</x:v>
      </x:c>
      <x:c r="K693" s="25" t="n">
        <x:v>1</x:v>
      </x:c>
      <x:c r="L693" s="27" t="b">
        <x:v>0</x:v>
      </x:c>
      <x:c r="M693" s="25" t="str">
        <x:v>Deepseek-flash-v4/state/Round1/shards/Math.json</x:v>
      </x:c>
      <x:c r="N693" s="25" t="str">
        <x:v>Deepseek-flash-v4/Result/Math_105/result.json</x:v>
      </x:c>
      <x:c r="O693" s="25" t="str">
        <x:v>Deepseek-flash-v4/Result/Math_105/result.json</x:v>
      </x:c>
      <x:c r="P693"/>
      <x:c r="Q693" s="21" t="str"/>
      <x:c r="R693" s="21" t="str"/>
      <x:c r="S693" s="21" t="str"/>
      <x:c r="T693" s="17" t="str">
        <x:v>false</x:v>
      </x:c>
      <x:c r="U693" s="17" t="str">
        <x:v>true</x:v>
      </x:c>
      <x:c r="V693" s="17" t="str">
        <x:v>false</x:v>
      </x:c>
    </x:row>
    <x:row r="694" ht="80" customHeight="1">
      <x:c r="A694" s="25" t="str">
        <x:v>Math</x:v>
      </x:c>
      <x:c r="B694" s="25" t="n">
        <x:v>106</x:v>
      </x:c>
      <x:c r="C694" s="25" t="str">
        <x:v>Round1</x:v>
      </x:c>
      <x:c r="D694" s="25" t="str">
        <x:v>INCONCLUSIVE</x:v>
      </x:c>
      <x:c r="E694" s="25" t="str">
        <x:v>N/A</x:v>
      </x:c>
      <x:c r="F694" s="26" t="str">
        <x:v>Fixed also failed; assertion failure cannot be attributed to this bug</x:v>
      </x:c>
      <x:c r="G694" s="25" t="str">
        <x:v>true</x:v>
      </x:c>
      <x:c r="H694" s="25" t="str">
        <x:v>INCONCLUSIVE</x:v>
      </x:c>
      <x:c r="I694" s="25" t="str">
        <x:v>FAIL</x:v>
      </x:c>
      <x:c r="J694" s="25" t="str">
        <x:v>FAIL</x:v>
      </x:c>
      <x:c r="K694" s="25" t="n">
        <x:v>1</x:v>
      </x:c>
      <x:c r="L694" s="27" t="b">
        <x:v>0</x:v>
      </x:c>
      <x:c r="M694" s="25" t="str">
        <x:v>Deepseek-flash-v4/state/Round1/shards/Math.json</x:v>
      </x:c>
      <x:c r="N694" s="25" t="str">
        <x:v>Deepseek-flash-v4/Result/Math_106/result.json</x:v>
      </x:c>
      <x:c r="O694" s="25" t="str">
        <x:v>Deepseek-flash-v4/Result/Math_106/result.json</x:v>
      </x:c>
      <x:c r="P694"/>
      <x:c r="Q694" s="21" t="str"/>
      <x:c r="R694" s="21" t="str"/>
      <x:c r="S694" s="21" t="str"/>
      <x:c r="T694" s="17" t="str">
        <x:v>false</x:v>
      </x:c>
      <x:c r="U694" s="17" t="str">
        <x:v>true</x:v>
      </x:c>
      <x:c r="V694" s="17" t="str">
        <x:v>false</x:v>
      </x:c>
    </x:row>
    <x:row r="695" ht="80" customHeight="1">
      <x:c r="A695" s="25" t="str">
        <x:v>Math</x:v>
      </x:c>
      <x:c r="B695" s="25" t="n">
        <x:v>11</x:v>
      </x:c>
      <x:c r="C695" s="25" t="str">
        <x:v>Round1</x:v>
      </x:c>
      <x:c r="D695" s="25" t="str">
        <x:v>NOT_AVAILABLE</x:v>
      </x:c>
      <x:c r="E695" s="25" t="str">
        <x:v>N/A</x:v>
      </x:c>
      <x:c r="F695" s="26" t="str">
        <x:v>Tests exist but current coverage did not complete</x:v>
      </x:c>
      <x:c r="G695" s="25" t="str">
        <x:v>true</x:v>
      </x:c>
      <x:c r="H695" s="25" t="str">
        <x:v>NOT_AVAILABLE</x:v>
      </x:c>
      <x:c r="I695" s="25" t="str">
        <x:v>NOT_RUN</x:v>
      </x:c>
      <x:c r="J695" s="25" t="str">
        <x:v>NOT_RUN</x:v>
      </x:c>
      <x:c r="K695" s="25" t="n">
        <x:v>1</x:v>
      </x:c>
      <x:c r="L695" s="27" t="b">
        <x:v>0</x:v>
      </x:c>
      <x:c r="M695" s="25" t="str">
        <x:v>Deepseek-flash-v4/state/Round1/shards/Math.json</x:v>
      </x:c>
      <x:c r="N695" s="25" t="str">
        <x:v>Deepseek-flash-v4/Result/Math_11/result.json</x:v>
      </x:c>
      <x:c r="O695" s="25" t="str">
        <x:v>Deepseek-flash-v4/Result/Math_11/result.json</x:v>
      </x:c>
      <x:c r="P695" t="str">
        <x:v>BOTH_NOT_RUN</x:v>
      </x:c>
      <x:c r="Q695" s="21" t="str"/>
      <x:c r="R695" s="21" t="str"/>
      <x:c r="S695" s="21" t="str"/>
      <x:c r="T695" s="17" t="str">
        <x:v>false</x:v>
      </x:c>
      <x:c r="U695" s="17" t="str">
        <x:v>true</x:v>
      </x:c>
      <x:c r="V695" s="17" t="str">
        <x:v>false</x:v>
      </x:c>
    </x:row>
    <x:row r="696" ht="80" customHeight="1">
      <x:c r="A696" s="25" t="str">
        <x:v>Math</x:v>
      </x:c>
      <x:c r="B696" s="25" t="n">
        <x:v>12</x:v>
      </x:c>
      <x:c r="C696" s="25" t="str">
        <x:v>Round1</x:v>
      </x:c>
      <x:c r="D696" s="25" t="str">
        <x:v>INCONCLUSIVE</x:v>
      </x:c>
      <x:c r="E696" s="25" t="str">
        <x:v>N/A</x:v>
      </x:c>
      <x:c r="F696" s="26" t="str">
        <x:v>Fixed also failed; assertion failure cannot be attributed to this bug</x:v>
      </x:c>
      <x:c r="G696" s="25" t="str">
        <x:v>true</x:v>
      </x:c>
      <x:c r="H696" s="25" t="str">
        <x:v>INCONCLUSIVE</x:v>
      </x:c>
      <x:c r="I696" s="25" t="str">
        <x:v>FAIL</x:v>
      </x:c>
      <x:c r="J696" s="25" t="str">
        <x:v>FAIL</x:v>
      </x:c>
      <x:c r="K696" s="25" t="n">
        <x:v>1</x:v>
      </x:c>
      <x:c r="L696" s="27" t="b">
        <x:v>0</x:v>
      </x:c>
      <x:c r="M696" s="25" t="str">
        <x:v>Deepseek-flash-v4/state/Round1/shards/Math.json</x:v>
      </x:c>
      <x:c r="N696" s="25" t="str">
        <x:v>Deepseek-flash-v4/Result/Math_12/result.json</x:v>
      </x:c>
      <x:c r="O696" s="25" t="str">
        <x:v>Deepseek-flash-v4/Result/Math_12/result.json</x:v>
      </x:c>
      <x:c r="P696"/>
      <x:c r="Q696" s="21" t="str"/>
      <x:c r="R696" s="21" t="str"/>
      <x:c r="S696" s="21" t="str"/>
      <x:c r="T696" s="17" t="str">
        <x:v>false</x:v>
      </x:c>
      <x:c r="U696" s="17" t="str">
        <x:v>true</x:v>
      </x:c>
      <x:c r="V696" s="17" t="str">
        <x:v>false</x:v>
      </x:c>
    </x:row>
    <x:row r="697" ht="80" customHeight="1">
      <x:c r="A697" s="25" t="str">
        <x:v>Math</x:v>
      </x:c>
      <x:c r="B697" s="25" t="n">
        <x:v>13</x:v>
      </x:c>
      <x:c r="C697" s="25" t="str">
        <x:v>Round1</x:v>
      </x:c>
      <x:c r="D697" s="25" t="str">
        <x:v>NOT_AVAILABLE</x:v>
      </x:c>
      <x:c r="E697" s="25" t="str">
        <x:v>N/A</x:v>
      </x:c>
      <x:c r="F697" s="26" t="str">
        <x:v>Tests exist but current coverage did not complete</x:v>
      </x:c>
      <x:c r="G697" s="25" t="str">
        <x:v>true</x:v>
      </x:c>
      <x:c r="H697" s="25" t="str">
        <x:v>NOT_AVAILABLE</x:v>
      </x:c>
      <x:c r="I697" s="25" t="str">
        <x:v>NOT_RUN</x:v>
      </x:c>
      <x:c r="J697" s="25" t="str">
        <x:v>NOT_RUN</x:v>
      </x:c>
      <x:c r="K697" s="25" t="n">
        <x:v>1</x:v>
      </x:c>
      <x:c r="L697" s="27" t="b">
        <x:v>0</x:v>
      </x:c>
      <x:c r="M697" s="25" t="str">
        <x:v>Deepseek-flash-v4/state/Round1/shards/Math.json</x:v>
      </x:c>
      <x:c r="N697" s="25" t="str">
        <x:v>Deepseek-flash-v4/Result/Math_13/result.json</x:v>
      </x:c>
      <x:c r="O697" s="25" t="str">
        <x:v>Deepseek-flash-v4/Result/Math_13/result.json</x:v>
      </x:c>
      <x:c r="P697" t="str">
        <x:v>BOTH_NOT_RUN</x:v>
      </x:c>
      <x:c r="Q697" s="21" t="str"/>
      <x:c r="R697" s="21" t="str"/>
      <x:c r="S697" s="21" t="str"/>
      <x:c r="T697" s="17" t="str">
        <x:v>false</x:v>
      </x:c>
      <x:c r="U697" s="17" t="str">
        <x:v>true</x:v>
      </x:c>
      <x:c r="V697" s="17" t="str">
        <x:v>false</x:v>
      </x:c>
    </x:row>
    <x:row r="698" ht="80" customHeight="1">
      <x:c r="A698" s="25" t="str">
        <x:v>Math</x:v>
      </x:c>
      <x:c r="B698" s="25" t="n">
        <x:v>14</x:v>
      </x:c>
      <x:c r="C698" s="25" t="str">
        <x:v>Round1</x:v>
      </x:c>
      <x:c r="D698" s="25" t="str">
        <x:v>NOT_AVAILABLE</x:v>
      </x:c>
      <x:c r="E698" s="25" t="str">
        <x:v>N/A</x:v>
      </x:c>
      <x:c r="F698" s="26" t="str">
        <x:v>Tests exist but current coverage did not complete</x:v>
      </x:c>
      <x:c r="G698" s="25" t="str">
        <x:v>true</x:v>
      </x:c>
      <x:c r="H698" s="25" t="str">
        <x:v>NOT_AVAILABLE</x:v>
      </x:c>
      <x:c r="I698" s="25" t="str">
        <x:v>NOT_RUN</x:v>
      </x:c>
      <x:c r="J698" s="25" t="str">
        <x:v>NOT_RUN</x:v>
      </x:c>
      <x:c r="K698" s="25" t="n">
        <x:v>2</x:v>
      </x:c>
      <x:c r="L698" s="27" t="b">
        <x:v>0</x:v>
      </x:c>
      <x:c r="M698" s="25" t="str">
        <x:v>Deepseek-flash-v4/state/Round1/shards/Math.json</x:v>
      </x:c>
      <x:c r="N698" s="25" t="str">
        <x:v>Deepseek-flash-v4/Result/Math_14/result.json</x:v>
      </x:c>
      <x:c r="O698" s="25" t="str">
        <x:v>Deepseek-flash-v4/Result/Math_14/result.json</x:v>
      </x:c>
      <x:c r="P698" t="str">
        <x:v>BOTH_NOT_RUN</x:v>
      </x:c>
      <x:c r="Q698" s="21" t="str"/>
      <x:c r="R698" s="21" t="str"/>
      <x:c r="S698" s="21" t="str"/>
      <x:c r="T698" s="17" t="str">
        <x:v>false</x:v>
      </x:c>
      <x:c r="U698" s="17" t="str">
        <x:v>true</x:v>
      </x:c>
      <x:c r="V698" s="17" t="str">
        <x:v>false</x:v>
      </x:c>
    </x:row>
    <x:row r="699" ht="80" customHeight="1">
      <x:c r="A699" s="25" t="str">
        <x:v>Math</x:v>
      </x:c>
      <x:c r="B699" s="25" t="n">
        <x:v>15</x:v>
      </x:c>
      <x:c r="C699" s="25" t="str">
        <x:v>Round1</x:v>
      </x:c>
      <x:c r="D699" s="25" t="str">
        <x:v>INCONCLUSIVE</x:v>
      </x:c>
      <x:c r="E699" s="25" t="str">
        <x:v>N/A</x:v>
      </x:c>
      <x:c r="F699" s="26" t="str">
        <x:v>Fixed also failed; assertion failure cannot be attributed to this bug</x:v>
      </x:c>
      <x:c r="G699" s="25" t="str">
        <x:v>true</x:v>
      </x:c>
      <x:c r="H699" s="25" t="str">
        <x:v>INCONCLUSIVE</x:v>
      </x:c>
      <x:c r="I699" s="25" t="str">
        <x:v>FAIL</x:v>
      </x:c>
      <x:c r="J699" s="25" t="str">
        <x:v>FAIL</x:v>
      </x:c>
      <x:c r="K699" s="25" t="n">
        <x:v>1</x:v>
      </x:c>
      <x:c r="L699" s="27" t="b">
        <x:v>0</x:v>
      </x:c>
      <x:c r="M699" s="25" t="str">
        <x:v>Deepseek-flash-v4/state/Round1/shards/Math.json</x:v>
      </x:c>
      <x:c r="N699" s="25" t="str">
        <x:v>Deepseek-flash-v4/Result/Math_15/result.json</x:v>
      </x:c>
      <x:c r="O699" s="25" t="str">
        <x:v>Deepseek-flash-v4/Result/Math_15/result.json</x:v>
      </x:c>
      <x:c r="P699"/>
      <x:c r="Q699" s="21" t="str"/>
      <x:c r="R699" s="21" t="str"/>
      <x:c r="S699" s="21" t="str"/>
      <x:c r="T699" s="17" t="str">
        <x:v>false</x:v>
      </x:c>
      <x:c r="U699" s="17" t="str">
        <x:v>true</x:v>
      </x:c>
      <x:c r="V699" s="17" t="str">
        <x:v>false</x:v>
      </x:c>
    </x:row>
    <x:row r="700" ht="80" customHeight="1">
      <x:c r="A700" s="25" t="str">
        <x:v>Math</x:v>
      </x:c>
      <x:c r="B700" s="25" t="n">
        <x:v>16</x:v>
      </x:c>
      <x:c r="C700" s="25" t="str">
        <x:v>Round1</x:v>
      </x:c>
      <x:c r="D700" s="25" t="str">
        <x:v>INCONCLUSIVE</x:v>
      </x:c>
      <x:c r="E700" s="25" t="str">
        <x:v>N/A</x:v>
      </x:c>
      <x:c r="F700" s="26" t="str">
        <x:v>Fixed also failed; assertion failure cannot be attributed to this bug</x:v>
      </x:c>
      <x:c r="G700" s="25" t="str">
        <x:v>true</x:v>
      </x:c>
      <x:c r="H700" s="25" t="str">
        <x:v>INCONCLUSIVE</x:v>
      </x:c>
      <x:c r="I700" s="25" t="str">
        <x:v>FAIL</x:v>
      </x:c>
      <x:c r="J700" s="25" t="str">
        <x:v>FAIL</x:v>
      </x:c>
      <x:c r="K700" s="25" t="n">
        <x:v>1</x:v>
      </x:c>
      <x:c r="L700" s="27" t="b">
        <x:v>0</x:v>
      </x:c>
      <x:c r="M700" s="25" t="str">
        <x:v>Deepseek-flash-v4/state/Round1/shards/Math.json</x:v>
      </x:c>
      <x:c r="N700" s="25" t="str">
        <x:v>Deepseek-flash-v4/Result/Math_16/result.json</x:v>
      </x:c>
      <x:c r="O700" s="25" t="str">
        <x:v>Deepseek-flash-v4/Result/Math_16/result.json</x:v>
      </x:c>
      <x:c r="P700"/>
      <x:c r="Q700" s="21" t="str"/>
      <x:c r="R700" s="21" t="str"/>
      <x:c r="S700" s="21" t="str"/>
      <x:c r="T700" s="17" t="str">
        <x:v>false</x:v>
      </x:c>
      <x:c r="U700" s="17" t="str">
        <x:v>true</x:v>
      </x:c>
      <x:c r="V700" s="17" t="str">
        <x:v>false</x:v>
      </x:c>
    </x:row>
    <x:row r="701" ht="80" customHeight="1">
      <x:c r="A701" s="25" t="str">
        <x:v>Math</x:v>
      </x:c>
      <x:c r="B701" s="25" t="n">
        <x:v>17</x:v>
      </x:c>
      <x:c r="C701" s="25" t="str">
        <x:v>Round1</x:v>
      </x:c>
      <x:c r="D701" s="25" t="str">
        <x:v>NOT_AVAILABLE</x:v>
      </x:c>
      <x:c r="E701" s="25" t="str">
        <x:v>N/A</x:v>
      </x:c>
      <x:c r="F701" s="26" t="str">
        <x:v>Tests exist but current coverage did not complete</x:v>
      </x:c>
      <x:c r="G701" s="25" t="str">
        <x:v>true</x:v>
      </x:c>
      <x:c r="H701" s="25" t="str">
        <x:v>NOT_AVAILABLE</x:v>
      </x:c>
      <x:c r="I701" s="25" t="str">
        <x:v>NOT_RUN</x:v>
      </x:c>
      <x:c r="J701" s="25" t="str">
        <x:v>NOT_RUN</x:v>
      </x:c>
      <x:c r="K701" s="25" t="n">
        <x:v>1</x:v>
      </x:c>
      <x:c r="L701" s="27" t="b">
        <x:v>0</x:v>
      </x:c>
      <x:c r="M701" s="25" t="str">
        <x:v>Deepseek-flash-v4/state/Round1/shards/Math.json</x:v>
      </x:c>
      <x:c r="N701" s="25" t="str">
        <x:v>Deepseek-flash-v4/Result/Math_17/result.json</x:v>
      </x:c>
      <x:c r="O701" s="25" t="str">
        <x:v>Deepseek-flash-v4/Result/Math_17/result.json</x:v>
      </x:c>
      <x:c r="P701" t="str">
        <x:v>BOTH_NOT_RUN</x:v>
      </x:c>
      <x:c r="Q701" s="21" t="str"/>
      <x:c r="R701" s="21" t="str"/>
      <x:c r="S701" s="21" t="str"/>
      <x:c r="T701" s="17" t="str">
        <x:v>false</x:v>
      </x:c>
      <x:c r="U701" s="17" t="str">
        <x:v>true</x:v>
      </x:c>
      <x:c r="V701" s="17" t="str">
        <x:v>false</x:v>
      </x:c>
    </x:row>
    <x:row r="702" ht="80" customHeight="1">
      <x:c r="A702" s="25" t="str">
        <x:v>Math</x:v>
      </x:c>
      <x:c r="B702" s="25" t="n">
        <x:v>18</x:v>
      </x:c>
      <x:c r="C702" s="25" t="str">
        <x:v>Round1</x:v>
      </x:c>
      <x:c r="D702" s="25" t="str">
        <x:v>NOT_AVAILABLE</x:v>
      </x:c>
      <x:c r="E702" s="25" t="str">
        <x:v>N/A</x:v>
      </x:c>
      <x:c r="F702" s="26" t="str">
        <x:v>Tests exist but current coverage did not complete</x:v>
      </x:c>
      <x:c r="G702" s="25" t="str">
        <x:v>true</x:v>
      </x:c>
      <x:c r="H702" s="25" t="str">
        <x:v>NOT_AVAILABLE</x:v>
      </x:c>
      <x:c r="I702" s="25" t="str">
        <x:v>NOT_RUN</x:v>
      </x:c>
      <x:c r="J702" s="25" t="str">
        <x:v>NOT_RUN</x:v>
      </x:c>
      <x:c r="K702" s="25" t="n">
        <x:v>1</x:v>
      </x:c>
      <x:c r="L702" s="27" t="b">
        <x:v>0</x:v>
      </x:c>
      <x:c r="M702" s="25" t="str">
        <x:v>Deepseek-flash-v4/state/Round1/shards/Math.json</x:v>
      </x:c>
      <x:c r="N702" s="25" t="str">
        <x:v>Deepseek-flash-v4/Result/Math_18/result.json</x:v>
      </x:c>
      <x:c r="O702" s="25" t="str">
        <x:v>Deepseek-flash-v4/Result/Math_18/result.json</x:v>
      </x:c>
      <x:c r="P702" t="str">
        <x:v>BOTH_NOT_RUN</x:v>
      </x:c>
      <x:c r="Q702" s="21" t="str"/>
      <x:c r="R702" s="21" t="str"/>
      <x:c r="S702" s="21" t="str"/>
      <x:c r="T702" s="17" t="str">
        <x:v>false</x:v>
      </x:c>
      <x:c r="U702" s="17" t="str">
        <x:v>true</x:v>
      </x:c>
      <x:c r="V702" s="17" t="str">
        <x:v>false</x:v>
      </x:c>
    </x:row>
    <x:row r="703" ht="80" customHeight="1">
      <x:c r="A703" s="25" t="str">
        <x:v>Math</x:v>
      </x:c>
      <x:c r="B703" s="25" t="n">
        <x:v>19</x:v>
      </x:c>
      <x:c r="C703" s="25" t="str">
        <x:v>Round1</x:v>
      </x:c>
      <x:c r="D703" s="25" t="str">
        <x:v>NOT_AVAILABLE</x:v>
      </x:c>
      <x:c r="E703" s="25" t="str">
        <x:v>N/A</x:v>
      </x:c>
      <x:c r="F703" s="26" t="str">
        <x:v>Tests exist but current coverage did not complete</x:v>
      </x:c>
      <x:c r="G703" s="25" t="str">
        <x:v>true</x:v>
      </x:c>
      <x:c r="H703" s="25" t="str">
        <x:v>NOT_AVAILABLE</x:v>
      </x:c>
      <x:c r="I703" s="25" t="str">
        <x:v>NOT_RUN</x:v>
      </x:c>
      <x:c r="J703" s="25" t="str">
        <x:v>NOT_RUN</x:v>
      </x:c>
      <x:c r="K703" s="25" t="n">
        <x:v>1</x:v>
      </x:c>
      <x:c r="L703" s="27" t="b">
        <x:v>0</x:v>
      </x:c>
      <x:c r="M703" s="25" t="str">
        <x:v>Deepseek-flash-v4/state/Round1/shards/Math.json</x:v>
      </x:c>
      <x:c r="N703" s="25" t="str">
        <x:v>Deepseek-flash-v4/Result/Math_19/result.json</x:v>
      </x:c>
      <x:c r="O703" s="25" t="str">
        <x:v>Deepseek-flash-v4/Result/Math_19/result.json</x:v>
      </x:c>
      <x:c r="P703" t="str">
        <x:v>BOTH_NOT_RUN</x:v>
      </x:c>
      <x:c r="Q703" s="21" t="str"/>
      <x:c r="R703" s="21" t="str"/>
      <x:c r="S703" s="21" t="str"/>
      <x:c r="T703" s="17" t="str">
        <x:v>false</x:v>
      </x:c>
      <x:c r="U703" s="17" t="str">
        <x:v>true</x:v>
      </x:c>
      <x:c r="V703" s="17" t="str">
        <x:v>false</x:v>
      </x:c>
    </x:row>
    <x:row r="704" ht="80" customHeight="1">
      <x:c r="A704" s="25" t="str">
        <x:v>Math</x:v>
      </x:c>
      <x:c r="B704" s="25" t="n">
        <x:v>2</x:v>
      </x:c>
      <x:c r="C704" s="25" t="str">
        <x:v>Round1</x:v>
      </x:c>
      <x:c r="D704" s="25" t="str">
        <x:v>INCONCLUSIVE</x:v>
      </x:c>
      <x:c r="E704" s="25" t="str">
        <x:v>N/A</x:v>
      </x:c>
      <x:c r="F704" s="26" t="str">
        <x:v>Fixed also failed; assertion failure cannot be attributed to this bug</x:v>
      </x:c>
      <x:c r="G704" s="25" t="str">
        <x:v>true</x:v>
      </x:c>
      <x:c r="H704" s="25" t="str">
        <x:v>INCONCLUSIVE</x:v>
      </x:c>
      <x:c r="I704" s="25" t="str">
        <x:v>FAIL</x:v>
      </x:c>
      <x:c r="J704" s="25" t="str">
        <x:v>FAIL</x:v>
      </x:c>
      <x:c r="K704" s="25" t="n">
        <x:v>1</x:v>
      </x:c>
      <x:c r="L704" s="27" t="b">
        <x:v>0</x:v>
      </x:c>
      <x:c r="M704" s="25" t="str">
        <x:v>Deepseek-flash-v4/state/Round1/shards/Math.json</x:v>
      </x:c>
      <x:c r="N704" s="25" t="str">
        <x:v>Deepseek-flash-v4/Result/Math_2/result.json</x:v>
      </x:c>
      <x:c r="O704" s="25" t="str">
        <x:v>Deepseek-flash-v4/Result/Math_2/result.json</x:v>
      </x:c>
      <x:c r="P704"/>
      <x:c r="Q704" s="21" t="str"/>
      <x:c r="R704" s="21" t="str"/>
      <x:c r="S704" s="21" t="str"/>
      <x:c r="T704" s="17" t="str">
        <x:v>false</x:v>
      </x:c>
      <x:c r="U704" s="17" t="str">
        <x:v>true</x:v>
      </x:c>
      <x:c r="V704" s="17" t="str">
        <x:v>false</x:v>
      </x:c>
    </x:row>
    <x:row r="705" ht="80" customHeight="1">
      <x:c r="A705" s="25" t="str">
        <x:v>Math</x:v>
      </x:c>
      <x:c r="B705" s="25" t="n">
        <x:v>20</x:v>
      </x:c>
      <x:c r="C705" s="25" t="str">
        <x:v>Round1</x:v>
      </x:c>
      <x:c r="D705" s="25" t="str">
        <x:v>NOT_AVAILABLE</x:v>
      </x:c>
      <x:c r="E705" s="25" t="str">
        <x:v>N/A</x:v>
      </x:c>
      <x:c r="F705" s="26" t="str">
        <x:v>Tests exist but current coverage did not complete</x:v>
      </x:c>
      <x:c r="G705" s="25" t="str">
        <x:v>true</x:v>
      </x:c>
      <x:c r="H705" s="25" t="str">
        <x:v>NOT_AVAILABLE</x:v>
      </x:c>
      <x:c r="I705" s="25" t="str">
        <x:v>NOT_RUN</x:v>
      </x:c>
      <x:c r="J705" s="25" t="str">
        <x:v>NOT_RUN</x:v>
      </x:c>
      <x:c r="K705" s="25" t="n">
        <x:v>1</x:v>
      </x:c>
      <x:c r="L705" s="27" t="b">
        <x:v>0</x:v>
      </x:c>
      <x:c r="M705" s="25" t="str">
        <x:v>Deepseek-flash-v4/state/Round1/shards/Math.json</x:v>
      </x:c>
      <x:c r="N705" s="25" t="str">
        <x:v>Deepseek-flash-v4/Result/Math_20/result.json</x:v>
      </x:c>
      <x:c r="O705" s="25" t="str">
        <x:v>Deepseek-flash-v4/Result/Math_20/result.json</x:v>
      </x:c>
      <x:c r="P705" t="str">
        <x:v>BOTH_NOT_RUN</x:v>
      </x:c>
      <x:c r="Q705" s="21" t="str"/>
      <x:c r="R705" s="21" t="str"/>
      <x:c r="S705" s="21" t="str"/>
      <x:c r="T705" s="17" t="str">
        <x:v>false</x:v>
      </x:c>
      <x:c r="U705" s="17" t="str">
        <x:v>true</x:v>
      </x:c>
      <x:c r="V705" s="17" t="str">
        <x:v>false</x:v>
      </x:c>
    </x:row>
    <x:row r="706" ht="80" customHeight="1">
      <x:c r="A706" s="25" t="str">
        <x:v>Math</x:v>
      </x:c>
      <x:c r="B706" s="25" t="n">
        <x:v>21</x:v>
      </x:c>
      <x:c r="C706" s="25" t="str">
        <x:v>Round1</x:v>
      </x:c>
      <x:c r="D706" s="25" t="str">
        <x:v>INCONCLUSIVE</x:v>
      </x:c>
      <x:c r="E706" s="25" t="str">
        <x:v>N/A</x:v>
      </x:c>
      <x:c r="F706" s="26" t="str">
        <x:v>Fixed also failed; assertion failure cannot be attributed to this bug</x:v>
      </x:c>
      <x:c r="G706" s="25" t="str">
        <x:v>true</x:v>
      </x:c>
      <x:c r="H706" s="25" t="str">
        <x:v>INCONCLUSIVE</x:v>
      </x:c>
      <x:c r="I706" s="25" t="str">
        <x:v>FAIL</x:v>
      </x:c>
      <x:c r="J706" s="25" t="str">
        <x:v>FAIL</x:v>
      </x:c>
      <x:c r="K706" s="25" t="n">
        <x:v>1</x:v>
      </x:c>
      <x:c r="L706" s="27" t="b">
        <x:v>0</x:v>
      </x:c>
      <x:c r="M706" s="25" t="str">
        <x:v>Deepseek-flash-v4/state/Round1/shards/Math.json</x:v>
      </x:c>
      <x:c r="N706" s="25" t="str">
        <x:v>Deepseek-flash-v4/Result/Math_21/result.json</x:v>
      </x:c>
      <x:c r="O706" s="25" t="str">
        <x:v>Deepseek-flash-v4/Result/Math_21/result.json</x:v>
      </x:c>
      <x:c r="P706"/>
      <x:c r="Q706" s="21" t="str"/>
      <x:c r="R706" s="21" t="str"/>
      <x:c r="S706" s="21" t="str"/>
      <x:c r="T706" s="17" t="str">
        <x:v>false</x:v>
      </x:c>
      <x:c r="U706" s="17" t="str">
        <x:v>true</x:v>
      </x:c>
      <x:c r="V706" s="17" t="str">
        <x:v>false</x:v>
      </x:c>
    </x:row>
    <x:row r="707" ht="80" customHeight="1">
      <x:c r="A707" s="25" t="str">
        <x:v>Math</x:v>
      </x:c>
      <x:c r="B707" s="25" t="n">
        <x:v>22</x:v>
      </x:c>
      <x:c r="C707" s="25" t="str">
        <x:v>Round1</x:v>
      </x:c>
      <x:c r="D707" s="25" t="str">
        <x:v>NOT_AVAILABLE</x:v>
      </x:c>
      <x:c r="E707" s="25" t="str">
        <x:v>N/A</x:v>
      </x:c>
      <x:c r="F707" s="26" t="str">
        <x:v>Tests exist but current coverage did not complete</x:v>
      </x:c>
      <x:c r="G707" s="25" t="str">
        <x:v>true</x:v>
      </x:c>
      <x:c r="H707" s="25" t="str">
        <x:v>NOT_AVAILABLE</x:v>
      </x:c>
      <x:c r="I707" s="25" t="str">
        <x:v>NOT_RUN</x:v>
      </x:c>
      <x:c r="J707" s="25" t="str">
        <x:v>NOT_RUN</x:v>
      </x:c>
      <x:c r="K707" s="25" t="n">
        <x:v>2</x:v>
      </x:c>
      <x:c r="L707" s="27" t="b">
        <x:v>0</x:v>
      </x:c>
      <x:c r="M707" s="25" t="str">
        <x:v>Deepseek-flash-v4/state/Round1/shards/Math.json</x:v>
      </x:c>
      <x:c r="N707" s="25" t="str">
        <x:v>Deepseek-flash-v4/Result/Math_22/result.json</x:v>
      </x:c>
      <x:c r="O707" s="25" t="str">
        <x:v>Deepseek-flash-v4/Result/Math_22/result.json</x:v>
      </x:c>
      <x:c r="P707" t="str">
        <x:v>BOTH_NOT_RUN</x:v>
      </x:c>
      <x:c r="Q707" s="21" t="str"/>
      <x:c r="R707" s="21" t="str"/>
      <x:c r="S707" s="21" t="str"/>
      <x:c r="T707" s="17" t="str">
        <x:v>false</x:v>
      </x:c>
      <x:c r="U707" s="17" t="str">
        <x:v>true</x:v>
      </x:c>
      <x:c r="V707" s="17" t="str">
        <x:v>false</x:v>
      </x:c>
    </x:row>
    <x:row r="708" ht="80" customHeight="1">
      <x:c r="A708" s="25" t="str">
        <x:v>Math</x:v>
      </x:c>
      <x:c r="B708" s="25" t="n">
        <x:v>23</x:v>
      </x:c>
      <x:c r="C708" s="25" t="str">
        <x:v>Round1</x:v>
      </x:c>
      <x:c r="D708" s="25" t="str">
        <x:v>NOT_AVAILABLE</x:v>
      </x:c>
      <x:c r="E708" s="25" t="str">
        <x:v>N/A</x:v>
      </x:c>
      <x:c r="F708" s="26" t="str">
        <x:v>Tests exist but current coverage did not complete</x:v>
      </x:c>
      <x:c r="G708" s="25" t="str">
        <x:v>true</x:v>
      </x:c>
      <x:c r="H708" s="25" t="str">
        <x:v>NOT_AVAILABLE</x:v>
      </x:c>
      <x:c r="I708" s="25" t="str">
        <x:v>NOT_RUN</x:v>
      </x:c>
      <x:c r="J708" s="25" t="str">
        <x:v>NOT_RUN</x:v>
      </x:c>
      <x:c r="K708" s="25" t="n">
        <x:v>1</x:v>
      </x:c>
      <x:c r="L708" s="27" t="b">
        <x:v>0</x:v>
      </x:c>
      <x:c r="M708" s="25" t="str">
        <x:v>Deepseek-flash-v4/state/Round1/shards/Math.json</x:v>
      </x:c>
      <x:c r="N708" s="25" t="str">
        <x:v>Deepseek-flash-v4/Result/Math_23/result.json</x:v>
      </x:c>
      <x:c r="O708" s="25" t="str">
        <x:v>Deepseek-flash-v4/Result/Math_23/result.json</x:v>
      </x:c>
      <x:c r="P708" t="str">
        <x:v>BOTH_NOT_RUN</x:v>
      </x:c>
      <x:c r="Q708" s="21" t="str"/>
      <x:c r="R708" s="21" t="str"/>
      <x:c r="S708" s="21" t="str"/>
      <x:c r="T708" s="17" t="str">
        <x:v>false</x:v>
      </x:c>
      <x:c r="U708" s="17" t="str">
        <x:v>true</x:v>
      </x:c>
      <x:c r="V708" s="17" t="str">
        <x:v>false</x:v>
      </x:c>
    </x:row>
    <x:row r="709" ht="80" customHeight="1">
      <x:c r="A709" s="25" t="str">
        <x:v>Math</x:v>
      </x:c>
      <x:c r="B709" s="25" t="n">
        <x:v>24</x:v>
      </x:c>
      <x:c r="C709" s="25" t="str">
        <x:v>Round1</x:v>
      </x:c>
      <x:c r="D709" s="25" t="str">
        <x:v>NOT_AVAILABLE</x:v>
      </x:c>
      <x:c r="E709" s="25" t="str">
        <x:v>N/A</x:v>
      </x:c>
      <x:c r="F709" s="26" t="str">
        <x:v>Tests exist but current coverage did not complete</x:v>
      </x:c>
      <x:c r="G709" s="25" t="str">
        <x:v>true</x:v>
      </x:c>
      <x:c r="H709" s="25" t="str">
        <x:v>NOT_AVAILABLE</x:v>
      </x:c>
      <x:c r="I709" s="25" t="str">
        <x:v>NOT_RUN</x:v>
      </x:c>
      <x:c r="J709" s="25" t="str">
        <x:v>NOT_RUN</x:v>
      </x:c>
      <x:c r="K709" s="25" t="n">
        <x:v>1</x:v>
      </x:c>
      <x:c r="L709" s="27" t="b">
        <x:v>0</x:v>
      </x:c>
      <x:c r="M709" s="25" t="str">
        <x:v>Deepseek-flash-v4/state/Round1/shards/Math.json</x:v>
      </x:c>
      <x:c r="N709" s="25" t="str">
        <x:v>Deepseek-flash-v4/Result/Math_24/result.json</x:v>
      </x:c>
      <x:c r="O709" s="25" t="str">
        <x:v>Deepseek-flash-v4/Result/Math_24/result.json</x:v>
      </x:c>
      <x:c r="P709" t="str">
        <x:v>BOTH_NOT_RUN</x:v>
      </x:c>
      <x:c r="Q709" s="21" t="str"/>
      <x:c r="R709" s="21" t="str"/>
      <x:c r="S709" s="21" t="str"/>
      <x:c r="T709" s="17" t="str">
        <x:v>false</x:v>
      </x:c>
      <x:c r="U709" s="17" t="str">
        <x:v>true</x:v>
      </x:c>
      <x:c r="V709" s="17" t="str">
        <x:v>false</x:v>
      </x:c>
    </x:row>
    <x:row r="710" ht="80" customHeight="1">
      <x:c r="A710" s="25" t="str">
        <x:v>Math</x:v>
      </x:c>
      <x:c r="B710" s="25" t="n">
        <x:v>25</x:v>
      </x:c>
      <x:c r="C710" s="25" t="str">
        <x:v>Round1</x:v>
      </x:c>
      <x:c r="D710" s="25" t="str">
        <x:v>INCONCLUSIVE</x:v>
      </x:c>
      <x:c r="E710" s="25" t="str">
        <x:v>N/A</x:v>
      </x:c>
      <x:c r="F710" s="26" t="str">
        <x:v>Fixed also failed; assertion failure cannot be attributed to this bug</x:v>
      </x:c>
      <x:c r="G710" s="25" t="str">
        <x:v>true</x:v>
      </x:c>
      <x:c r="H710" s="25" t="str">
        <x:v>INCONCLUSIVE</x:v>
      </x:c>
      <x:c r="I710" s="25" t="str">
        <x:v>FAIL</x:v>
      </x:c>
      <x:c r="J710" s="25" t="str">
        <x:v>FAIL</x:v>
      </x:c>
      <x:c r="K710" s="25" t="n">
        <x:v>1</x:v>
      </x:c>
      <x:c r="L710" s="27" t="b">
        <x:v>0</x:v>
      </x:c>
      <x:c r="M710" s="25" t="str">
        <x:v>Deepseek-flash-v4/state/Round1/shards/Math.json</x:v>
      </x:c>
      <x:c r="N710" s="25" t="str">
        <x:v>Deepseek-flash-v4/Result/Math_25/result.json</x:v>
      </x:c>
      <x:c r="O710" s="25" t="str">
        <x:v>Deepseek-flash-v4/Result/Math_25/result.json</x:v>
      </x:c>
      <x:c r="P710"/>
      <x:c r="Q710" s="21" t="str"/>
      <x:c r="R710" s="21" t="str"/>
      <x:c r="S710" s="21" t="str"/>
      <x:c r="T710" s="17" t="str">
        <x:v>false</x:v>
      </x:c>
      <x:c r="U710" s="17" t="str">
        <x:v>true</x:v>
      </x:c>
      <x:c r="V710" s="17" t="str">
        <x:v>false</x:v>
      </x:c>
    </x:row>
    <x:row r="711" ht="80" customHeight="1">
      <x:c r="A711" s="25" t="str">
        <x:v>Math</x:v>
      </x:c>
      <x:c r="B711" s="25" t="n">
        <x:v>26</x:v>
      </x:c>
      <x:c r="C711" s="25" t="str">
        <x:v>Round1</x:v>
      </x:c>
      <x:c r="D711" s="25" t="str">
        <x:v>NOT_AVAILABLE</x:v>
      </x:c>
      <x:c r="E711" s="25" t="str">
        <x:v>N/A</x:v>
      </x:c>
      <x:c r="F711" s="26" t="str">
        <x:v>Tests exist but current coverage did not complete</x:v>
      </x:c>
      <x:c r="G711" s="25" t="str">
        <x:v>true</x:v>
      </x:c>
      <x:c r="H711" s="25" t="str">
        <x:v>NOT_AVAILABLE</x:v>
      </x:c>
      <x:c r="I711" s="25" t="str">
        <x:v>NOT_RUN</x:v>
      </x:c>
      <x:c r="J711" s="25" t="str">
        <x:v>NOT_RUN</x:v>
      </x:c>
      <x:c r="K711" s="25" t="n">
        <x:v>1</x:v>
      </x:c>
      <x:c r="L711" s="27" t="b">
        <x:v>0</x:v>
      </x:c>
      <x:c r="M711" s="25" t="str">
        <x:v>Deepseek-flash-v4/state/Round1/shards/Math.json</x:v>
      </x:c>
      <x:c r="N711" s="25" t="str">
        <x:v>Deepseek-flash-v4/Result/Math_26/result.json</x:v>
      </x:c>
      <x:c r="O711" s="25" t="str">
        <x:v>Deepseek-flash-v4/Result/Math_26/result.json</x:v>
      </x:c>
      <x:c r="P711" t="str">
        <x:v>BOTH_NOT_RUN</x:v>
      </x:c>
      <x:c r="Q711" s="21" t="str"/>
      <x:c r="R711" s="21" t="str"/>
      <x:c r="S711" s="21" t="str"/>
      <x:c r="T711" s="17" t="str">
        <x:v>false</x:v>
      </x:c>
      <x:c r="U711" s="17" t="str">
        <x:v>true</x:v>
      </x:c>
      <x:c r="V711" s="17" t="str">
        <x:v>false</x:v>
      </x:c>
    </x:row>
    <x:row r="712" ht="80" customHeight="1">
      <x:c r="A712" s="25" t="str">
        <x:v>Math</x:v>
      </x:c>
      <x:c r="B712" s="25" t="n">
        <x:v>27</x:v>
      </x:c>
      <x:c r="C712" s="25" t="str">
        <x:v>Round1</x:v>
      </x:c>
      <x:c r="D712" s="25" t="str">
        <x:v>INCONCLUSIVE</x:v>
      </x:c>
      <x:c r="E712" s="25" t="str">
        <x:v>N/A</x:v>
      </x:c>
      <x:c r="F712" s="26" t="str">
        <x:v>Fixed also failed; assertion failure cannot be attributed to this bug</x:v>
      </x:c>
      <x:c r="G712" s="25" t="str">
        <x:v>true</x:v>
      </x:c>
      <x:c r="H712" s="25" t="str">
        <x:v>INCONCLUSIVE</x:v>
      </x:c>
      <x:c r="I712" s="25" t="str">
        <x:v>FAIL</x:v>
      </x:c>
      <x:c r="J712" s="25" t="str">
        <x:v>FAIL</x:v>
      </x:c>
      <x:c r="K712" s="25" t="n">
        <x:v>1</x:v>
      </x:c>
      <x:c r="L712" s="27" t="b">
        <x:v>0</x:v>
      </x:c>
      <x:c r="M712" s="25" t="str">
        <x:v>Deepseek-flash-v4/state/Round1/shards/Math.json</x:v>
      </x:c>
      <x:c r="N712" s="25" t="str">
        <x:v>Deepseek-flash-v4/Result/Math_27/result.json</x:v>
      </x:c>
      <x:c r="O712" s="25" t="str">
        <x:v>Deepseek-flash-v4/Result/Math_27/result.json</x:v>
      </x:c>
      <x:c r="P712"/>
      <x:c r="Q712" s="21" t="str"/>
      <x:c r="R712" s="21" t="str"/>
      <x:c r="S712" s="21" t="str"/>
      <x:c r="T712" s="17" t="str">
        <x:v>false</x:v>
      </x:c>
      <x:c r="U712" s="17" t="str">
        <x:v>true</x:v>
      </x:c>
      <x:c r="V712" s="17" t="str">
        <x:v>false</x:v>
      </x:c>
    </x:row>
    <x:row r="713" ht="80" customHeight="1">
      <x:c r="A713" s="25" t="str">
        <x:v>Math</x:v>
      </x:c>
      <x:c r="B713" s="25" t="n">
        <x:v>28</x:v>
      </x:c>
      <x:c r="C713" s="25" t="str">
        <x:v>Round1</x:v>
      </x:c>
      <x:c r="D713" s="25" t="str">
        <x:v>NOT_AVAILABLE</x:v>
      </x:c>
      <x:c r="E713" s="25" t="str">
        <x:v>N/A</x:v>
      </x:c>
      <x:c r="F713" s="26" t="str">
        <x:v>Tests exist but current coverage did not complete</x:v>
      </x:c>
      <x:c r="G713" s="25" t="str">
        <x:v>true</x:v>
      </x:c>
      <x:c r="H713" s="25" t="str">
        <x:v>NOT_AVAILABLE</x:v>
      </x:c>
      <x:c r="I713" s="25" t="str">
        <x:v>NOT_RUN</x:v>
      </x:c>
      <x:c r="J713" s="25" t="str">
        <x:v>NOT_RUN</x:v>
      </x:c>
      <x:c r="K713" s="25" t="n">
        <x:v>1</x:v>
      </x:c>
      <x:c r="L713" s="27" t="b">
        <x:v>0</x:v>
      </x:c>
      <x:c r="M713" s="25" t="str">
        <x:v>Deepseek-flash-v4/state/Round1/shards/Math.json</x:v>
      </x:c>
      <x:c r="N713" s="25" t="str">
        <x:v>Deepseek-flash-v4/Result/Math_28/result.json</x:v>
      </x:c>
      <x:c r="O713" s="25" t="str">
        <x:v>Deepseek-flash-v4/Result/Math_28/result.json</x:v>
      </x:c>
      <x:c r="P713" t="str">
        <x:v>BOTH_NOT_RUN</x:v>
      </x:c>
      <x:c r="Q713" s="21" t="str"/>
      <x:c r="R713" s="21" t="str"/>
      <x:c r="S713" s="21" t="str"/>
      <x:c r="T713" s="17" t="str">
        <x:v>false</x:v>
      </x:c>
      <x:c r="U713" s="17" t="str">
        <x:v>true</x:v>
      </x:c>
      <x:c r="V713" s="17" t="str">
        <x:v>false</x:v>
      </x:c>
    </x:row>
    <x:row r="714" ht="80" customHeight="1">
      <x:c r="A714" s="25" t="str">
        <x:v>Math</x:v>
      </x:c>
      <x:c r="B714" s="25" t="n">
        <x:v>29</x:v>
      </x:c>
      <x:c r="C714" s="25" t="str">
        <x:v>Round1</x:v>
      </x:c>
      <x:c r="D714" s="25" t="str">
        <x:v>INCONCLUSIVE</x:v>
      </x:c>
      <x:c r="E714" s="25" t="str">
        <x:v>N/A</x:v>
      </x:c>
      <x:c r="F714" s="26" t="str">
        <x:v>Fixed also failed; assertion failure cannot be attributed to this bug</x:v>
      </x:c>
      <x:c r="G714" s="25" t="str">
        <x:v>true</x:v>
      </x:c>
      <x:c r="H714" s="25" t="str">
        <x:v>INCONCLUSIVE</x:v>
      </x:c>
      <x:c r="I714" s="25" t="str">
        <x:v>FAIL</x:v>
      </x:c>
      <x:c r="J714" s="25" t="str">
        <x:v>FAIL</x:v>
      </x:c>
      <x:c r="K714" s="25" t="n">
        <x:v>1</x:v>
      </x:c>
      <x:c r="L714" s="27" t="b">
        <x:v>0</x:v>
      </x:c>
      <x:c r="M714" s="25" t="str">
        <x:v>Deepseek-flash-v4/state/Round1/shards/Math.json</x:v>
      </x:c>
      <x:c r="N714" s="25" t="str">
        <x:v>Deepseek-flash-v4/Result/Math_29/result.json</x:v>
      </x:c>
      <x:c r="O714" s="25" t="str">
        <x:v>Deepseek-flash-v4/Result/Math_29/result.json</x:v>
      </x:c>
      <x:c r="P714"/>
      <x:c r="Q714" s="21" t="str"/>
      <x:c r="R714" s="21" t="str"/>
      <x:c r="S714" s="21" t="str"/>
      <x:c r="T714" s="17" t="str">
        <x:v>false</x:v>
      </x:c>
      <x:c r="U714" s="17" t="str">
        <x:v>true</x:v>
      </x:c>
      <x:c r="V714" s="17" t="str">
        <x:v>false</x:v>
      </x:c>
    </x:row>
    <x:row r="715" ht="80" customHeight="1">
      <x:c r="A715" s="25" t="str">
        <x:v>Math</x:v>
      </x:c>
      <x:c r="B715" s="25" t="n">
        <x:v>3</x:v>
      </x:c>
      <x:c r="C715" s="25" t="str">
        <x:v>Round1</x:v>
      </x:c>
      <x:c r="D715" s="25" t="str">
        <x:v>INCONCLUSIVE</x:v>
      </x:c>
      <x:c r="E715" s="25" t="str">
        <x:v>N/A</x:v>
      </x:c>
      <x:c r="F715" s="26" t="str">
        <x:v>Fixed also failed; assertion failure cannot be attributed to this bug</x:v>
      </x:c>
      <x:c r="G715" s="25" t="str">
        <x:v>true</x:v>
      </x:c>
      <x:c r="H715" s="25" t="str">
        <x:v>INCONCLUSIVE</x:v>
      </x:c>
      <x:c r="I715" s="25" t="str">
        <x:v>FAIL</x:v>
      </x:c>
      <x:c r="J715" s="25" t="str">
        <x:v>FAIL</x:v>
      </x:c>
      <x:c r="K715" s="25" t="n">
        <x:v>1</x:v>
      </x:c>
      <x:c r="L715" s="27" t="b">
        <x:v>0</x:v>
      </x:c>
      <x:c r="M715" s="25" t="str">
        <x:v>Deepseek-flash-v4/state/Round1/shards/Math.json</x:v>
      </x:c>
      <x:c r="N715" s="25" t="str">
        <x:v>Deepseek-flash-v4/Result/Math_3/result.json</x:v>
      </x:c>
      <x:c r="O715" s="25" t="str">
        <x:v>Deepseek-flash-v4/Result/Math_3/result.json</x:v>
      </x:c>
      <x:c r="P715"/>
      <x:c r="Q715" s="21" t="str"/>
      <x:c r="R715" s="21" t="str"/>
      <x:c r="S715" s="21" t="str"/>
      <x:c r="T715" s="17" t="str">
        <x:v>false</x:v>
      </x:c>
      <x:c r="U715" s="17" t="str">
        <x:v>true</x:v>
      </x:c>
      <x:c r="V715" s="17" t="str">
        <x:v>false</x:v>
      </x:c>
    </x:row>
    <x:row r="716" ht="80" customHeight="1">
      <x:c r="A716" s="25" t="str">
        <x:v>Math</x:v>
      </x:c>
      <x:c r="B716" s="25" t="n">
        <x:v>30</x:v>
      </x:c>
      <x:c r="C716" s="25" t="str">
        <x:v>Round1</x:v>
      </x:c>
      <x:c r="D716" s="25" t="str">
        <x:v>INCONCLUSIVE</x:v>
      </x:c>
      <x:c r="E716" s="25" t="str">
        <x:v>N/A</x:v>
      </x:c>
      <x:c r="F716" s="26" t="str">
        <x:v>Fixed also failed; assertion failure cannot be attributed to this bug</x:v>
      </x:c>
      <x:c r="G716" s="25" t="str">
        <x:v>true</x:v>
      </x:c>
      <x:c r="H716" s="25" t="str">
        <x:v>INCONCLUSIVE</x:v>
      </x:c>
      <x:c r="I716" s="25" t="str">
        <x:v>FAIL</x:v>
      </x:c>
      <x:c r="J716" s="25" t="str">
        <x:v>FAIL</x:v>
      </x:c>
      <x:c r="K716" s="25" t="n">
        <x:v>1</x:v>
      </x:c>
      <x:c r="L716" s="27" t="b">
        <x:v>0</x:v>
      </x:c>
      <x:c r="M716" s="25" t="str">
        <x:v>Deepseek-flash-v4/state/Round1/shards/Math.json</x:v>
      </x:c>
      <x:c r="N716" s="25" t="str">
        <x:v>Deepseek-flash-v4/Result/Math_30/result.json</x:v>
      </x:c>
      <x:c r="O716" s="25" t="str">
        <x:v>Deepseek-flash-v4/Result/Math_30/result.json</x:v>
      </x:c>
      <x:c r="P716"/>
      <x:c r="Q716" s="21" t="str"/>
      <x:c r="R716" s="21" t="str"/>
      <x:c r="S716" s="21" t="str"/>
      <x:c r="T716" s="17" t="str">
        <x:v>false</x:v>
      </x:c>
      <x:c r="U716" s="17" t="str">
        <x:v>true</x:v>
      </x:c>
      <x:c r="V716" s="17" t="str">
        <x:v>false</x:v>
      </x:c>
    </x:row>
    <x:row r="717" ht="80" customHeight="1">
      <x:c r="A717" s="25" t="str">
        <x:v>Math</x:v>
      </x:c>
      <x:c r="B717" s="25" t="n">
        <x:v>31</x:v>
      </x:c>
      <x:c r="C717" s="25" t="str">
        <x:v>Round1</x:v>
      </x:c>
      <x:c r="D717" s="25" t="str">
        <x:v>INCONCLUSIVE</x:v>
      </x:c>
      <x:c r="E717" s="25" t="str">
        <x:v>N/A</x:v>
      </x:c>
      <x:c r="F717" s="26" t="str">
        <x:v>Fixed also failed; assertion failure cannot be attributed to this bug</x:v>
      </x:c>
      <x:c r="G717" s="25" t="str">
        <x:v>true</x:v>
      </x:c>
      <x:c r="H717" s="25" t="str">
        <x:v>INCONCLUSIVE</x:v>
      </x:c>
      <x:c r="I717" s="25" t="str">
        <x:v>FAIL</x:v>
      </x:c>
      <x:c r="J717" s="25" t="str">
        <x:v>FAIL</x:v>
      </x:c>
      <x:c r="K717" s="25" t="n">
        <x:v>1</x:v>
      </x:c>
      <x:c r="L717" s="27" t="b">
        <x:v>0</x:v>
      </x:c>
      <x:c r="M717" s="25" t="str">
        <x:v>Deepseek-flash-v4/state/Round1/shards/Math.json</x:v>
      </x:c>
      <x:c r="N717" s="25" t="str">
        <x:v>Deepseek-flash-v4/Result/Math_31/result.json</x:v>
      </x:c>
      <x:c r="O717" s="25" t="str">
        <x:v>Deepseek-flash-v4/Result/Math_31/result.json</x:v>
      </x:c>
      <x:c r="P717"/>
      <x:c r="Q717" s="21" t="str"/>
      <x:c r="R717" s="21" t="str"/>
      <x:c r="S717" s="21" t="str"/>
      <x:c r="T717" s="17" t="str">
        <x:v>false</x:v>
      </x:c>
      <x:c r="U717" s="17" t="str">
        <x:v>true</x:v>
      </x:c>
      <x:c r="V717" s="17" t="str">
        <x:v>false</x:v>
      </x:c>
    </x:row>
    <x:row r="718" ht="80" customHeight="1">
      <x:c r="A718" s="25" t="str">
        <x:v>Math</x:v>
      </x:c>
      <x:c r="B718" s="25" t="n">
        <x:v>32</x:v>
      </x:c>
      <x:c r="C718" s="25" t="str">
        <x:v>Round1</x:v>
      </x:c>
      <x:c r="D718" s="25" t="str">
        <x:v>NOT_AVAILABLE</x:v>
      </x:c>
      <x:c r="E718" s="25" t="str">
        <x:v>N/A</x:v>
      </x:c>
      <x:c r="F718" s="26" t="str">
        <x:v>Tests exist but current coverage did not complete</x:v>
      </x:c>
      <x:c r="G718" s="25" t="str">
        <x:v>true</x:v>
      </x:c>
      <x:c r="H718" s="25" t="str">
        <x:v>NOT_AVAILABLE</x:v>
      </x:c>
      <x:c r="I718" s="25" t="str">
        <x:v>NOT_RUN</x:v>
      </x:c>
      <x:c r="J718" s="25" t="str">
        <x:v>NOT_RUN</x:v>
      </x:c>
      <x:c r="K718" s="25" t="n">
        <x:v>1</x:v>
      </x:c>
      <x:c r="L718" s="27" t="b">
        <x:v>0</x:v>
      </x:c>
      <x:c r="M718" s="25" t="str">
        <x:v>Deepseek-flash-v4/state/Round1/shards/Math.json</x:v>
      </x:c>
      <x:c r="N718" s="25" t="str">
        <x:v>Deepseek-flash-v4/Result/Math_32/result.json</x:v>
      </x:c>
      <x:c r="O718" s="25" t="str">
        <x:v>Deepseek-flash-v4/Result/Math_32/result.json</x:v>
      </x:c>
      <x:c r="P718" t="str">
        <x:v>BOTH_NOT_RUN</x:v>
      </x:c>
      <x:c r="Q718" s="21" t="str"/>
      <x:c r="R718" s="21" t="str"/>
      <x:c r="S718" s="21" t="str"/>
      <x:c r="T718" s="17" t="str">
        <x:v>false</x:v>
      </x:c>
      <x:c r="U718" s="17" t="str">
        <x:v>true</x:v>
      </x:c>
      <x:c r="V718" s="17" t="str">
        <x:v>false</x:v>
      </x:c>
    </x:row>
    <x:row r="719" ht="80" customHeight="1">
      <x:c r="A719" s="25" t="str">
        <x:v>Math</x:v>
      </x:c>
      <x:c r="B719" s="25" t="n">
        <x:v>33</x:v>
      </x:c>
      <x:c r="C719" s="25" t="str">
        <x:v>Round1</x:v>
      </x:c>
      <x:c r="D719" s="25" t="str">
        <x:v>NOT_AVAILABLE</x:v>
      </x:c>
      <x:c r="E719" s="25" t="str">
        <x:v>N/A</x:v>
      </x:c>
      <x:c r="F719" s="26" t="str">
        <x:v>Tests exist but current coverage did not complete</x:v>
      </x:c>
      <x:c r="G719" s="25" t="str">
        <x:v>true</x:v>
      </x:c>
      <x:c r="H719" s="25" t="str">
        <x:v>NOT_AVAILABLE</x:v>
      </x:c>
      <x:c r="I719" s="25" t="str">
        <x:v>NOT_RUN</x:v>
      </x:c>
      <x:c r="J719" s="25" t="str">
        <x:v>NOT_RUN</x:v>
      </x:c>
      <x:c r="K719" s="25" t="n">
        <x:v>1</x:v>
      </x:c>
      <x:c r="L719" s="27" t="b">
        <x:v>0</x:v>
      </x:c>
      <x:c r="M719" s="25" t="str">
        <x:v>Deepseek-flash-v4/state/Round1/shards/Math.json</x:v>
      </x:c>
      <x:c r="N719" s="25" t="str">
        <x:v>Deepseek-flash-v4/Result/Math_33/result.json</x:v>
      </x:c>
      <x:c r="O719" s="25" t="str">
        <x:v>Deepseek-flash-v4/Result/Math_33/result.json</x:v>
      </x:c>
      <x:c r="P719" t="str">
        <x:v>BOTH_NOT_RUN</x:v>
      </x:c>
      <x:c r="Q719" s="21" t="str"/>
      <x:c r="R719" s="21" t="str"/>
      <x:c r="S719" s="21" t="str"/>
      <x:c r="T719" s="17" t="str">
        <x:v>false</x:v>
      </x:c>
      <x:c r="U719" s="17" t="str">
        <x:v>true</x:v>
      </x:c>
      <x:c r="V719" s="17" t="str">
        <x:v>false</x:v>
      </x:c>
    </x:row>
    <x:row r="720" ht="80" customHeight="1">
      <x:c r="A720" s="25" t="str">
        <x:v>Math</x:v>
      </x:c>
      <x:c r="B720" s="25" t="n">
        <x:v>34</x:v>
      </x:c>
      <x:c r="C720" s="25" t="str">
        <x:v>Round1</x:v>
      </x:c>
      <x:c r="D720" s="25" t="str">
        <x:v>NOT_AVAILABLE</x:v>
      </x:c>
      <x:c r="E720" s="25" t="str">
        <x:v>N/A</x:v>
      </x:c>
      <x:c r="F720" s="26" t="str">
        <x:v>Tests exist but current coverage did not complete</x:v>
      </x:c>
      <x:c r="G720" s="25" t="str">
        <x:v>true</x:v>
      </x:c>
      <x:c r="H720" s="25" t="str">
        <x:v>NOT_AVAILABLE</x:v>
      </x:c>
      <x:c r="I720" s="25" t="str">
        <x:v>NOT_RUN</x:v>
      </x:c>
      <x:c r="J720" s="25" t="str">
        <x:v>NOT_RUN</x:v>
      </x:c>
      <x:c r="K720" s="25" t="n">
        <x:v>1</x:v>
      </x:c>
      <x:c r="L720" s="27" t="b">
        <x:v>0</x:v>
      </x:c>
      <x:c r="M720" s="25" t="str">
        <x:v>Deepseek-flash-v4/state/Round1/shards/Math.json</x:v>
      </x:c>
      <x:c r="N720" s="25" t="str">
        <x:v>Deepseek-flash-v4/Result/Math_34/result.json</x:v>
      </x:c>
      <x:c r="O720" s="25" t="str">
        <x:v>Deepseek-flash-v4/Result/Math_34/result.json</x:v>
      </x:c>
      <x:c r="P720" t="str">
        <x:v>BOTH_NOT_RUN</x:v>
      </x:c>
      <x:c r="Q720" s="21" t="str"/>
      <x:c r="R720" s="21" t="str"/>
      <x:c r="S720" s="21" t="str"/>
      <x:c r="T720" s="17" t="str">
        <x:v>false</x:v>
      </x:c>
      <x:c r="U720" s="17" t="str">
        <x:v>true</x:v>
      </x:c>
      <x:c r="V720" s="17" t="str">
        <x:v>false</x:v>
      </x:c>
    </x:row>
    <x:row r="721" ht="80" customHeight="1">
      <x:c r="A721" s="25" t="str">
        <x:v>Math</x:v>
      </x:c>
      <x:c r="B721" s="25" t="n">
        <x:v>35</x:v>
      </x:c>
      <x:c r="C721" s="25" t="str">
        <x:v>Round1</x:v>
      </x:c>
      <x:c r="D721" s="25" t="str">
        <x:v>NOT_AVAILABLE</x:v>
      </x:c>
      <x:c r="E721" s="25" t="str">
        <x:v>N/A</x:v>
      </x:c>
      <x:c r="F721" s="26" t="str">
        <x:v>Tests exist but current coverage did not complete</x:v>
      </x:c>
      <x:c r="G721" s="25" t="str">
        <x:v>true</x:v>
      </x:c>
      <x:c r="H721" s="25" t="str">
        <x:v>NOT_AVAILABLE</x:v>
      </x:c>
      <x:c r="I721" s="25" t="str">
        <x:v>NOT_RUN</x:v>
      </x:c>
      <x:c r="J721" s="25" t="str">
        <x:v>NOT_RUN</x:v>
      </x:c>
      <x:c r="K721" s="25" t="n">
        <x:v>1</x:v>
      </x:c>
      <x:c r="L721" s="27" t="b">
        <x:v>0</x:v>
      </x:c>
      <x:c r="M721" s="25" t="str">
        <x:v>Deepseek-flash-v4/state/Round1/shards/Math.json</x:v>
      </x:c>
      <x:c r="N721" s="25" t="str">
        <x:v>Deepseek-flash-v4/Result/Math_35/result.json</x:v>
      </x:c>
      <x:c r="O721" s="25" t="str">
        <x:v>Deepseek-flash-v4/Result/Math_35/result.json</x:v>
      </x:c>
      <x:c r="P721" t="str">
        <x:v>BOTH_NOT_RUN</x:v>
      </x:c>
      <x:c r="Q721" s="21" t="str"/>
      <x:c r="R721" s="21" t="str"/>
      <x:c r="S721" s="21" t="str"/>
      <x:c r="T721" s="17" t="str">
        <x:v>false</x:v>
      </x:c>
      <x:c r="U721" s="17" t="str">
        <x:v>true</x:v>
      </x:c>
      <x:c r="V721" s="17" t="str">
        <x:v>false</x:v>
      </x:c>
    </x:row>
    <x:row r="722" ht="80" customHeight="1">
      <x:c r="A722" s="25" t="str">
        <x:v>Math</x:v>
      </x:c>
      <x:c r="B722" s="25" t="n">
        <x:v>36</x:v>
      </x:c>
      <x:c r="C722" s="25" t="str">
        <x:v>Round1</x:v>
      </x:c>
      <x:c r="D722" s="25" t="str">
        <x:v>NOT_AVAILABLE</x:v>
      </x:c>
      <x:c r="E722" s="25" t="str">
        <x:v>N/A</x:v>
      </x:c>
      <x:c r="F722" s="26" t="str">
        <x:v>Tests exist but current coverage did not complete</x:v>
      </x:c>
      <x:c r="G722" s="25" t="str">
        <x:v>true</x:v>
      </x:c>
      <x:c r="H722" s="25" t="str">
        <x:v>NOT_AVAILABLE</x:v>
      </x:c>
      <x:c r="I722" s="25" t="str">
        <x:v>NOT_RUN</x:v>
      </x:c>
      <x:c r="J722" s="25" t="str">
        <x:v>NOT_RUN</x:v>
      </x:c>
      <x:c r="K722" s="25" t="n">
        <x:v>1</x:v>
      </x:c>
      <x:c r="L722" s="27" t="b">
        <x:v>0</x:v>
      </x:c>
      <x:c r="M722" s="25" t="str">
        <x:v>Deepseek-flash-v4/state/Round1/shards/Math.json</x:v>
      </x:c>
      <x:c r="N722" s="25" t="str">
        <x:v>Deepseek-flash-v4/Result/Math_36/result.json</x:v>
      </x:c>
      <x:c r="O722" s="25" t="str">
        <x:v>Deepseek-flash-v4/Result/Math_36/result.json</x:v>
      </x:c>
      <x:c r="P722" t="str">
        <x:v>BOTH_NOT_RUN</x:v>
      </x:c>
      <x:c r="Q722" s="21" t="str"/>
      <x:c r="R722" s="21" t="str"/>
      <x:c r="S722" s="21" t="str"/>
      <x:c r="T722" s="17" t="str">
        <x:v>false</x:v>
      </x:c>
      <x:c r="U722" s="17" t="str">
        <x:v>true</x:v>
      </x:c>
      <x:c r="V722" s="17" t="str">
        <x:v>false</x:v>
      </x:c>
    </x:row>
    <x:row r="723" ht="80" customHeight="1">
      <x:c r="A723" s="25" t="str">
        <x:v>Math</x:v>
      </x:c>
      <x:c r="B723" s="25" t="n">
        <x:v>37</x:v>
      </x:c>
      <x:c r="C723" s="25" t="str">
        <x:v>Round1</x:v>
      </x:c>
      <x:c r="D723" s="25" t="str">
        <x:v>NOT_AVAILABLE</x:v>
      </x:c>
      <x:c r="E723" s="25" t="str">
        <x:v>N/A</x:v>
      </x:c>
      <x:c r="F723" s="26" t="str">
        <x:v>Tests exist but current coverage did not complete</x:v>
      </x:c>
      <x:c r="G723" s="25" t="str">
        <x:v>true</x:v>
      </x:c>
      <x:c r="H723" s="25" t="str">
        <x:v>NOT_AVAILABLE</x:v>
      </x:c>
      <x:c r="I723" s="25" t="str">
        <x:v>NOT_RUN</x:v>
      </x:c>
      <x:c r="J723" s="25" t="str">
        <x:v>NOT_RUN</x:v>
      </x:c>
      <x:c r="K723" s="25" t="n">
        <x:v>1</x:v>
      </x:c>
      <x:c r="L723" s="27" t="b">
        <x:v>0</x:v>
      </x:c>
      <x:c r="M723" s="25" t="str">
        <x:v>Deepseek-flash-v4/state/Round1/shards/Math.json</x:v>
      </x:c>
      <x:c r="N723" s="25" t="str">
        <x:v>Deepseek-flash-v4/Result/Math_37/result.json</x:v>
      </x:c>
      <x:c r="O723" s="25" t="str">
        <x:v>Deepseek-flash-v4/Result/Math_37/result.json</x:v>
      </x:c>
      <x:c r="P723" t="str">
        <x:v>BOTH_NOT_RUN</x:v>
      </x:c>
      <x:c r="Q723" s="21" t="str"/>
      <x:c r="R723" s="21" t="str"/>
      <x:c r="S723" s="21" t="str"/>
      <x:c r="T723" s="17" t="str">
        <x:v>false</x:v>
      </x:c>
      <x:c r="U723" s="17" t="str">
        <x:v>true</x:v>
      </x:c>
      <x:c r="V723" s="17" t="str">
        <x:v>false</x:v>
      </x:c>
    </x:row>
    <x:row r="724" ht="80" customHeight="1">
      <x:c r="A724" s="25" t="str">
        <x:v>Math</x:v>
      </x:c>
      <x:c r="B724" s="25" t="n">
        <x:v>38</x:v>
      </x:c>
      <x:c r="C724" s="25" t="str">
        <x:v>Round1</x:v>
      </x:c>
      <x:c r="D724" s="25" t="str">
        <x:v>NOT_AVAILABLE</x:v>
      </x:c>
      <x:c r="E724" s="25" t="str">
        <x:v>N/A</x:v>
      </x:c>
      <x:c r="F724" s="26" t="str">
        <x:v>Tests exist but current coverage did not complete</x:v>
      </x:c>
      <x:c r="G724" s="25" t="str">
        <x:v>true</x:v>
      </x:c>
      <x:c r="H724" s="25" t="str">
        <x:v>NOT_AVAILABLE</x:v>
      </x:c>
      <x:c r="I724" s="25" t="str">
        <x:v>NOT_RUN</x:v>
      </x:c>
      <x:c r="J724" s="25" t="str">
        <x:v>NOT_RUN</x:v>
      </x:c>
      <x:c r="K724" s="25" t="n">
        <x:v>1</x:v>
      </x:c>
      <x:c r="L724" s="27" t="b">
        <x:v>0</x:v>
      </x:c>
      <x:c r="M724" s="25" t="str">
        <x:v>Deepseek-flash-v4/state/Round1/shards/Math.json</x:v>
      </x:c>
      <x:c r="N724" s="25" t="str">
        <x:v>Deepseek-flash-v4/Result/Math_38/result.json</x:v>
      </x:c>
      <x:c r="O724" s="25" t="str">
        <x:v>Deepseek-flash-v4/Result/Math_38/result.json</x:v>
      </x:c>
      <x:c r="P724" t="str">
        <x:v>BOTH_NOT_RUN</x:v>
      </x:c>
      <x:c r="Q724" s="21" t="str"/>
      <x:c r="R724" s="21" t="str"/>
      <x:c r="S724" s="21" t="str"/>
      <x:c r="T724" s="17" t="str">
        <x:v>false</x:v>
      </x:c>
      <x:c r="U724" s="17" t="str">
        <x:v>true</x:v>
      </x:c>
      <x:c r="V724" s="17" t="str">
        <x:v>false</x:v>
      </x:c>
    </x:row>
    <x:row r="725" ht="80" customHeight="1">
      <x:c r="A725" s="25" t="str">
        <x:v>Math</x:v>
      </x:c>
      <x:c r="B725" s="25" t="n">
        <x:v>39</x:v>
      </x:c>
      <x:c r="C725" s="25" t="str">
        <x:v>Round1</x:v>
      </x:c>
      <x:c r="D725" s="25" t="str">
        <x:v>NOT_AVAILABLE</x:v>
      </x:c>
      <x:c r="E725" s="25" t="str">
        <x:v>N/A</x:v>
      </x:c>
      <x:c r="F725" s="26" t="str">
        <x:v>Tests exist but current coverage did not complete</x:v>
      </x:c>
      <x:c r="G725" s="25" t="str">
        <x:v>true</x:v>
      </x:c>
      <x:c r="H725" s="25" t="str">
        <x:v>NOT_AVAILABLE</x:v>
      </x:c>
      <x:c r="I725" s="25" t="str">
        <x:v>NOT_RUN</x:v>
      </x:c>
      <x:c r="J725" s="25" t="str">
        <x:v>NOT_RUN</x:v>
      </x:c>
      <x:c r="K725" s="25" t="n">
        <x:v>1</x:v>
      </x:c>
      <x:c r="L725" s="27" t="b">
        <x:v>0</x:v>
      </x:c>
      <x:c r="M725" s="25" t="str">
        <x:v>Deepseek-flash-v4/state/Round1/shards/Math.json</x:v>
      </x:c>
      <x:c r="N725" s="25" t="str">
        <x:v>Deepseek-flash-v4/Result/Math_39/result.json</x:v>
      </x:c>
      <x:c r="O725" s="25" t="str">
        <x:v>Deepseek-flash-v4/Result/Math_39/result.json</x:v>
      </x:c>
      <x:c r="P725" t="str">
        <x:v>BOTH_NOT_RUN</x:v>
      </x:c>
      <x:c r="Q725" s="21" t="str"/>
      <x:c r="R725" s="21" t="str"/>
      <x:c r="S725" s="21" t="str"/>
      <x:c r="T725" s="17" t="str">
        <x:v>false</x:v>
      </x:c>
      <x:c r="U725" s="17" t="str">
        <x:v>true</x:v>
      </x:c>
      <x:c r="V725" s="17" t="str">
        <x:v>false</x:v>
      </x:c>
    </x:row>
    <x:row r="726" ht="80" customHeight="1">
      <x:c r="A726" s="25" t="str">
        <x:v>Math</x:v>
      </x:c>
      <x:c r="B726" s="25" t="n">
        <x:v>4</x:v>
      </x:c>
      <x:c r="C726" s="25" t="str">
        <x:v>Round1</x:v>
      </x:c>
      <x:c r="D726" s="25" t="str">
        <x:v>NOT_AVAILABLE</x:v>
      </x:c>
      <x:c r="E726" s="25" t="str">
        <x:v>N/A</x:v>
      </x:c>
      <x:c r="F726" s="26" t="str">
        <x:v>Tests exist but current coverage did not complete</x:v>
      </x:c>
      <x:c r="G726" s="25" t="str">
        <x:v>true</x:v>
      </x:c>
      <x:c r="H726" s="25" t="str">
        <x:v>NOT_AVAILABLE</x:v>
      </x:c>
      <x:c r="I726" s="25" t="str">
        <x:v>NOT_RUN</x:v>
      </x:c>
      <x:c r="J726" s="25" t="str">
        <x:v>NOT_RUN</x:v>
      </x:c>
      <x:c r="K726" s="25" t="n">
        <x:v>1</x:v>
      </x:c>
      <x:c r="L726" s="27" t="b">
        <x:v>0</x:v>
      </x:c>
      <x:c r="M726" s="25" t="str">
        <x:v>Deepseek-flash-v4/state/Round1/shards/Math.json</x:v>
      </x:c>
      <x:c r="N726" s="25" t="str">
        <x:v>Deepseek-flash-v4/Result/Math_4/result.json</x:v>
      </x:c>
      <x:c r="O726" s="25" t="str">
        <x:v>Deepseek-flash-v4/Result/Math_4/result.json</x:v>
      </x:c>
      <x:c r="P726" t="str">
        <x:v>BOTH_NOT_RUN</x:v>
      </x:c>
      <x:c r="Q726" s="21" t="str"/>
      <x:c r="R726" s="21" t="str"/>
      <x:c r="S726" s="21" t="str"/>
      <x:c r="T726" s="17" t="str">
        <x:v>false</x:v>
      </x:c>
      <x:c r="U726" s="17" t="str">
        <x:v>true</x:v>
      </x:c>
      <x:c r="V726" s="17" t="str">
        <x:v>false</x:v>
      </x:c>
    </x:row>
    <x:row r="727" ht="80" customHeight="1">
      <x:c r="A727" s="25" t="str">
        <x:v>Math</x:v>
      </x:c>
      <x:c r="B727" s="25" t="n">
        <x:v>40</x:v>
      </x:c>
      <x:c r="C727" s="25" t="str">
        <x:v>Round1</x:v>
      </x:c>
      <x:c r="D727" s="25" t="str">
        <x:v>INCONCLUSIVE</x:v>
      </x:c>
      <x:c r="E727" s="25" t="str">
        <x:v>N/A</x:v>
      </x:c>
      <x:c r="F727" s="26" t="str">
        <x:v>Fixed also failed; assertion failure cannot be attributed to this bug</x:v>
      </x:c>
      <x:c r="G727" s="25" t="str">
        <x:v>true</x:v>
      </x:c>
      <x:c r="H727" s="25" t="str">
        <x:v>INCONCLUSIVE</x:v>
      </x:c>
      <x:c r="I727" s="25" t="str">
        <x:v>FAIL</x:v>
      </x:c>
      <x:c r="J727" s="25" t="str">
        <x:v>FAIL</x:v>
      </x:c>
      <x:c r="K727" s="25" t="n">
        <x:v>1</x:v>
      </x:c>
      <x:c r="L727" s="27" t="b">
        <x:v>0</x:v>
      </x:c>
      <x:c r="M727" s="25" t="str">
        <x:v>Deepseek-flash-v4/state/Round1/shards/Math.json</x:v>
      </x:c>
      <x:c r="N727" s="25" t="str">
        <x:v>Deepseek-flash-v4/Result/Math_40/result.json</x:v>
      </x:c>
      <x:c r="O727" s="25" t="str">
        <x:v>Deepseek-flash-v4/Result/Math_40/result.json</x:v>
      </x:c>
      <x:c r="P727"/>
      <x:c r="Q727" s="21" t="str"/>
      <x:c r="R727" s="21" t="str"/>
      <x:c r="S727" s="21" t="str"/>
      <x:c r="T727" s="17" t="str">
        <x:v>false</x:v>
      </x:c>
      <x:c r="U727" s="17" t="str">
        <x:v>true</x:v>
      </x:c>
      <x:c r="V727" s="17" t="str">
        <x:v>false</x:v>
      </x:c>
    </x:row>
    <x:row r="728" ht="80" customHeight="1">
      <x:c r="A728" s="25" t="str">
        <x:v>Math</x:v>
      </x:c>
      <x:c r="B728" s="25" t="n">
        <x:v>41</x:v>
      </x:c>
      <x:c r="C728" s="25" t="str">
        <x:v>Round1</x:v>
      </x:c>
      <x:c r="D728" s="25" t="str">
        <x:v>INCONCLUSIVE</x:v>
      </x:c>
      <x:c r="E728" s="25" t="str">
        <x:v>N/A</x:v>
      </x:c>
      <x:c r="F728" s="26" t="str">
        <x:v>Fixed also failed; assertion failure cannot be attributed to this bug</x:v>
      </x:c>
      <x:c r="G728" s="25" t="str">
        <x:v>true</x:v>
      </x:c>
      <x:c r="H728" s="25" t="str">
        <x:v>INCONCLUSIVE</x:v>
      </x:c>
      <x:c r="I728" s="25" t="str">
        <x:v>FAIL</x:v>
      </x:c>
      <x:c r="J728" s="25" t="str">
        <x:v>FAIL</x:v>
      </x:c>
      <x:c r="K728" s="25" t="n">
        <x:v>1</x:v>
      </x:c>
      <x:c r="L728" s="27" t="b">
        <x:v>0</x:v>
      </x:c>
      <x:c r="M728" s="25" t="str">
        <x:v>Deepseek-flash-v4/state/Round1/shards/Math.json</x:v>
      </x:c>
      <x:c r="N728" s="25" t="str">
        <x:v>Deepseek-flash-v4/Result/Math_41/result.json</x:v>
      </x:c>
      <x:c r="O728" s="25" t="str">
        <x:v>Deepseek-flash-v4/Result/Math_41/result.json</x:v>
      </x:c>
      <x:c r="P728"/>
      <x:c r="Q728" s="21" t="str"/>
      <x:c r="R728" s="21" t="str"/>
      <x:c r="S728" s="21" t="str"/>
      <x:c r="T728" s="17" t="str">
        <x:v>false</x:v>
      </x:c>
      <x:c r="U728" s="17" t="str">
        <x:v>true</x:v>
      </x:c>
      <x:c r="V728" s="17" t="str">
        <x:v>false</x:v>
      </x:c>
    </x:row>
    <x:row r="729" ht="80" customHeight="1">
      <x:c r="A729" s="25" t="str">
        <x:v>Math</x:v>
      </x:c>
      <x:c r="B729" s="25" t="n">
        <x:v>42</x:v>
      </x:c>
      <x:c r="C729" s="25" t="str">
        <x:v>Round1</x:v>
      </x:c>
      <x:c r="D729" s="25" t="str">
        <x:v>INCONCLUSIVE</x:v>
      </x:c>
      <x:c r="E729" s="25" t="str">
        <x:v>N/A</x:v>
      </x:c>
      <x:c r="F729" s="26" t="str">
        <x:v>Fixed also failed; assertion failure cannot be attributed to this bug</x:v>
      </x:c>
      <x:c r="G729" s="25" t="str">
        <x:v>true</x:v>
      </x:c>
      <x:c r="H729" s="25" t="str">
        <x:v>INCONCLUSIVE</x:v>
      </x:c>
      <x:c r="I729" s="25" t="str">
        <x:v>FAIL</x:v>
      </x:c>
      <x:c r="J729" s="25" t="str">
        <x:v>FAIL</x:v>
      </x:c>
      <x:c r="K729" s="25" t="n">
        <x:v>1</x:v>
      </x:c>
      <x:c r="L729" s="27" t="b">
        <x:v>0</x:v>
      </x:c>
      <x:c r="M729" s="25" t="str">
        <x:v>Deepseek-flash-v4/state/Round1/shards/Math.json</x:v>
      </x:c>
      <x:c r="N729" s="25" t="str">
        <x:v>Deepseek-flash-v4/Result/Math_42/result.json</x:v>
      </x:c>
      <x:c r="O729" s="25" t="str">
        <x:v>Deepseek-flash-v4/Result/Math_42/result.json</x:v>
      </x:c>
      <x:c r="P729"/>
      <x:c r="Q729" s="21" t="str"/>
      <x:c r="R729" s="21" t="str"/>
      <x:c r="S729" s="21" t="str"/>
      <x:c r="T729" s="17" t="str">
        <x:v>false</x:v>
      </x:c>
      <x:c r="U729" s="17" t="str">
        <x:v>true</x:v>
      </x:c>
      <x:c r="V729" s="17" t="str">
        <x:v>false</x:v>
      </x:c>
    </x:row>
    <x:row r="730" ht="80" customHeight="1">
      <x:c r="A730" s="25" t="str">
        <x:v>Math</x:v>
      </x:c>
      <x:c r="B730" s="25" t="n">
        <x:v>43</x:v>
      </x:c>
      <x:c r="C730" s="25" t="str">
        <x:v>Round1</x:v>
      </x:c>
      <x:c r="D730" s="25" t="str">
        <x:v>INCONCLUSIVE</x:v>
      </x:c>
      <x:c r="E730" s="25" t="str">
        <x:v>N/A</x:v>
      </x:c>
      <x:c r="F730" s="26" t="str">
        <x:v>Fixed also failed; assertion failure cannot be attributed to this bug</x:v>
      </x:c>
      <x:c r="G730" s="25" t="str">
        <x:v>true</x:v>
      </x:c>
      <x:c r="H730" s="25" t="str">
        <x:v>INCONCLUSIVE</x:v>
      </x:c>
      <x:c r="I730" s="25" t="str">
        <x:v>FAIL</x:v>
      </x:c>
      <x:c r="J730" s="25" t="str">
        <x:v>FAIL</x:v>
      </x:c>
      <x:c r="K730" s="25" t="n">
        <x:v>1</x:v>
      </x:c>
      <x:c r="L730" s="27" t="b">
        <x:v>0</x:v>
      </x:c>
      <x:c r="M730" s="25" t="str">
        <x:v>Deepseek-flash-v4/state/Round1/shards/Math.json</x:v>
      </x:c>
      <x:c r="N730" s="25" t="str">
        <x:v>Deepseek-flash-v4/Result/Math_43/result.json</x:v>
      </x:c>
      <x:c r="O730" s="25" t="str">
        <x:v>Deepseek-flash-v4/Result/Math_43/result.json</x:v>
      </x:c>
      <x:c r="P730"/>
      <x:c r="Q730" s="21" t="str"/>
      <x:c r="R730" s="21" t="str"/>
      <x:c r="S730" s="21" t="str"/>
      <x:c r="T730" s="17" t="str">
        <x:v>false</x:v>
      </x:c>
      <x:c r="U730" s="17" t="str">
        <x:v>true</x:v>
      </x:c>
      <x:c r="V730" s="17" t="str">
        <x:v>false</x:v>
      </x:c>
    </x:row>
    <x:row r="731" ht="80" customHeight="1">
      <x:c r="A731" s="25" t="str">
        <x:v>Math</x:v>
      </x:c>
      <x:c r="B731" s="25" t="n">
        <x:v>44</x:v>
      </x:c>
      <x:c r="C731" s="25" t="str">
        <x:v>Round1</x:v>
      </x:c>
      <x:c r="D731" s="25" t="str">
        <x:v>NOT_AVAILABLE</x:v>
      </x:c>
      <x:c r="E731" s="25" t="str">
        <x:v>N/A</x:v>
      </x:c>
      <x:c r="F731" s="26" t="str">
        <x:v>Tests exist but current coverage did not complete</x:v>
      </x:c>
      <x:c r="G731" s="25" t="str">
        <x:v>true</x:v>
      </x:c>
      <x:c r="H731" s="25" t="str">
        <x:v>NOT_AVAILABLE</x:v>
      </x:c>
      <x:c r="I731" s="25" t="str">
        <x:v>NOT_RUN</x:v>
      </x:c>
      <x:c r="J731" s="25" t="str">
        <x:v>NOT_RUN</x:v>
      </x:c>
      <x:c r="K731" s="25" t="n">
        <x:v>1</x:v>
      </x:c>
      <x:c r="L731" s="27" t="b">
        <x:v>0</x:v>
      </x:c>
      <x:c r="M731" s="25" t="str">
        <x:v>Deepseek-flash-v4/state/Round1/shards/Math.json</x:v>
      </x:c>
      <x:c r="N731" s="25" t="str">
        <x:v>Deepseek-flash-v4/Result/Math_44/result.json</x:v>
      </x:c>
      <x:c r="O731" s="25" t="str">
        <x:v>Deepseek-flash-v4/Result/Math_44/result.json</x:v>
      </x:c>
      <x:c r="P731" t="str">
        <x:v>BOTH_NOT_RUN</x:v>
      </x:c>
      <x:c r="Q731" s="21" t="str"/>
      <x:c r="R731" s="21" t="str"/>
      <x:c r="S731" s="21" t="str"/>
      <x:c r="T731" s="17" t="str">
        <x:v>false</x:v>
      </x:c>
      <x:c r="U731" s="17" t="str">
        <x:v>true</x:v>
      </x:c>
      <x:c r="V731" s="17" t="str">
        <x:v>false</x:v>
      </x:c>
    </x:row>
    <x:row r="732" ht="80" customHeight="1">
      <x:c r="A732" s="25" t="str">
        <x:v>Math</x:v>
      </x:c>
      <x:c r="B732" s="25" t="n">
        <x:v>45</x:v>
      </x:c>
      <x:c r="C732" s="25" t="str">
        <x:v>Round1</x:v>
      </x:c>
      <x:c r="D732" s="25" t="str">
        <x:v>INCONCLUSIVE</x:v>
      </x:c>
      <x:c r="E732" s="25" t="str">
        <x:v>N/A</x:v>
      </x:c>
      <x:c r="F732" s="26" t="str">
        <x:v>Fixed also failed; assertion failure cannot be attributed to this bug</x:v>
      </x:c>
      <x:c r="G732" s="25" t="str">
        <x:v>true</x:v>
      </x:c>
      <x:c r="H732" s="25" t="str">
        <x:v>INCONCLUSIVE</x:v>
      </x:c>
      <x:c r="I732" s="25" t="str">
        <x:v>FAIL</x:v>
      </x:c>
      <x:c r="J732" s="25" t="str">
        <x:v>FAIL</x:v>
      </x:c>
      <x:c r="K732" s="25" t="n">
        <x:v>1</x:v>
      </x:c>
      <x:c r="L732" s="27" t="b">
        <x:v>0</x:v>
      </x:c>
      <x:c r="M732" s="25" t="str">
        <x:v>Deepseek-flash-v4/state/Round1/shards/Math.json</x:v>
      </x:c>
      <x:c r="N732" s="25" t="str">
        <x:v>Deepseek-flash-v4/Result/Math_45/result.json</x:v>
      </x:c>
      <x:c r="O732" s="25" t="str">
        <x:v>Deepseek-flash-v4/Result/Math_45/result.json</x:v>
      </x:c>
      <x:c r="P732"/>
      <x:c r="Q732" s="21" t="str"/>
      <x:c r="R732" s="21" t="str"/>
      <x:c r="S732" s="21" t="str"/>
      <x:c r="T732" s="17" t="str">
        <x:v>false</x:v>
      </x:c>
      <x:c r="U732" s="17" t="str">
        <x:v>true</x:v>
      </x:c>
      <x:c r="V732" s="17" t="str">
        <x:v>false</x:v>
      </x:c>
    </x:row>
    <x:row r="733" ht="80" customHeight="1">
      <x:c r="A733" s="25" t="str">
        <x:v>Math</x:v>
      </x:c>
      <x:c r="B733" s="25" t="n">
        <x:v>46</x:v>
      </x:c>
      <x:c r="C733" s="25" t="str">
        <x:v>Round1</x:v>
      </x:c>
      <x:c r="D733" s="25" t="str">
        <x:v>NOT_AVAILABLE</x:v>
      </x:c>
      <x:c r="E733" s="25" t="str">
        <x:v>N/A</x:v>
      </x:c>
      <x:c r="F733" s="26" t="str">
        <x:v>Tests exist but current coverage did not complete</x:v>
      </x:c>
      <x:c r="G733" s="25" t="str">
        <x:v>true</x:v>
      </x:c>
      <x:c r="H733" s="25" t="str">
        <x:v>NOT_AVAILABLE</x:v>
      </x:c>
      <x:c r="I733" s="25" t="str">
        <x:v>NOT_RUN</x:v>
      </x:c>
      <x:c r="J733" s="25" t="str">
        <x:v>NOT_RUN</x:v>
      </x:c>
      <x:c r="K733" s="25" t="n">
        <x:v>1</x:v>
      </x:c>
      <x:c r="L733" s="27" t="b">
        <x:v>0</x:v>
      </x:c>
      <x:c r="M733" s="25" t="str">
        <x:v>Deepseek-flash-v4/state/Round1/shards/Math.json</x:v>
      </x:c>
      <x:c r="N733" s="25" t="str">
        <x:v>Deepseek-flash-v4/Result/Math_46/result.json</x:v>
      </x:c>
      <x:c r="O733" s="25" t="str">
        <x:v>Deepseek-flash-v4/Result/Math_46/result.json</x:v>
      </x:c>
      <x:c r="P733" t="str">
        <x:v>BOTH_NOT_RUN</x:v>
      </x:c>
      <x:c r="Q733" s="21" t="str"/>
      <x:c r="R733" s="21" t="str"/>
      <x:c r="S733" s="21" t="str"/>
      <x:c r="T733" s="17" t="str">
        <x:v>false</x:v>
      </x:c>
      <x:c r="U733" s="17" t="str">
        <x:v>true</x:v>
      </x:c>
      <x:c r="V733" s="17" t="str">
        <x:v>false</x:v>
      </x:c>
    </x:row>
    <x:row r="734" ht="80" customHeight="1">
      <x:c r="A734" s="25" t="str">
        <x:v>Math</x:v>
      </x:c>
      <x:c r="B734" s="25" t="n">
        <x:v>47</x:v>
      </x:c>
      <x:c r="C734" s="25" t="str">
        <x:v>Round1</x:v>
      </x:c>
      <x:c r="D734" s="25" t="str">
        <x:v>NOT_AVAILABLE</x:v>
      </x:c>
      <x:c r="E734" s="25" t="str">
        <x:v>N/A</x:v>
      </x:c>
      <x:c r="F734" s="26" t="str">
        <x:v>Tests exist but current coverage did not complete</x:v>
      </x:c>
      <x:c r="G734" s="25" t="str">
        <x:v>true</x:v>
      </x:c>
      <x:c r="H734" s="25" t="str">
        <x:v>NOT_AVAILABLE</x:v>
      </x:c>
      <x:c r="I734" s="25" t="str">
        <x:v>NOT_RUN</x:v>
      </x:c>
      <x:c r="J734" s="25" t="str">
        <x:v>NOT_RUN</x:v>
      </x:c>
      <x:c r="K734" s="25" t="n">
        <x:v>1</x:v>
      </x:c>
      <x:c r="L734" s="27" t="b">
        <x:v>0</x:v>
      </x:c>
      <x:c r="M734" s="25" t="str">
        <x:v>Deepseek-flash-v4/state/Round1/shards/Math.json</x:v>
      </x:c>
      <x:c r="N734" s="25" t="str">
        <x:v>Deepseek-flash-v4/Result/Math_47/result.json</x:v>
      </x:c>
      <x:c r="O734" s="25" t="str">
        <x:v>Deepseek-flash-v4/Result/Math_47/result.json</x:v>
      </x:c>
      <x:c r="P734" t="str">
        <x:v>BOTH_NOT_RUN</x:v>
      </x:c>
      <x:c r="Q734" s="21" t="str"/>
      <x:c r="R734" s="21" t="str"/>
      <x:c r="S734" s="21" t="str"/>
      <x:c r="T734" s="17" t="str">
        <x:v>false</x:v>
      </x:c>
      <x:c r="U734" s="17" t="str">
        <x:v>true</x:v>
      </x:c>
      <x:c r="V734" s="17" t="str">
        <x:v>false</x:v>
      </x:c>
    </x:row>
    <x:row r="735" ht="80" customHeight="1">
      <x:c r="A735" s="25" t="str">
        <x:v>Math</x:v>
      </x:c>
      <x:c r="B735" s="25" t="n">
        <x:v>48</x:v>
      </x:c>
      <x:c r="C735" s="25" t="str">
        <x:v>Round1</x:v>
      </x:c>
      <x:c r="D735" s="25" t="str">
        <x:v>NOT_AVAILABLE</x:v>
      </x:c>
      <x:c r="E735" s="25" t="str">
        <x:v>N/A</x:v>
      </x:c>
      <x:c r="F735" s="26" t="str">
        <x:v>Tests exist but current coverage did not complete</x:v>
      </x:c>
      <x:c r="G735" s="25" t="str">
        <x:v>true</x:v>
      </x:c>
      <x:c r="H735" s="25" t="str">
        <x:v>NOT_AVAILABLE</x:v>
      </x:c>
      <x:c r="I735" s="25" t="str">
        <x:v>NOT_RUN</x:v>
      </x:c>
      <x:c r="J735" s="25" t="str">
        <x:v>NOT_RUN</x:v>
      </x:c>
      <x:c r="K735" s="25" t="n">
        <x:v>1</x:v>
      </x:c>
      <x:c r="L735" s="27" t="b">
        <x:v>0</x:v>
      </x:c>
      <x:c r="M735" s="25" t="str">
        <x:v>Deepseek-flash-v4/state/Round1/shards/Math.json</x:v>
      </x:c>
      <x:c r="N735" s="25" t="str">
        <x:v>Deepseek-flash-v4/Result/Math_48/result.json</x:v>
      </x:c>
      <x:c r="O735" s="25" t="str">
        <x:v>Deepseek-flash-v4/Result/Math_48/result.json</x:v>
      </x:c>
      <x:c r="P735" t="str">
        <x:v>BOTH_NOT_RUN</x:v>
      </x:c>
      <x:c r="Q735" s="21" t="str"/>
      <x:c r="R735" s="21" t="str"/>
      <x:c r="S735" s="21" t="str"/>
      <x:c r="T735" s="17" t="str">
        <x:v>false</x:v>
      </x:c>
      <x:c r="U735" s="17" t="str">
        <x:v>true</x:v>
      </x:c>
      <x:c r="V735" s="17" t="str">
        <x:v>false</x:v>
      </x:c>
    </x:row>
    <x:row r="736" ht="80" customHeight="1">
      <x:c r="A736" s="25" t="str">
        <x:v>Math</x:v>
      </x:c>
      <x:c r="B736" s="25" t="n">
        <x:v>49</x:v>
      </x:c>
      <x:c r="C736" s="25" t="str">
        <x:v>Round1</x:v>
      </x:c>
      <x:c r="D736" s="25" t="str">
        <x:v>NOT_AVAILABLE</x:v>
      </x:c>
      <x:c r="E736" s="25" t="str">
        <x:v>N/A</x:v>
      </x:c>
      <x:c r="F736" s="26" t="str">
        <x:v>Tests exist but current coverage did not complete</x:v>
      </x:c>
      <x:c r="G736" s="25" t="str">
        <x:v>true</x:v>
      </x:c>
      <x:c r="H736" s="25" t="str">
        <x:v>NOT_AVAILABLE</x:v>
      </x:c>
      <x:c r="I736" s="25" t="str">
        <x:v>NOT_RUN</x:v>
      </x:c>
      <x:c r="J736" s="25" t="str">
        <x:v>NOT_RUN</x:v>
      </x:c>
      <x:c r="K736" s="25" t="n">
        <x:v>1</x:v>
      </x:c>
      <x:c r="L736" s="27" t="b">
        <x:v>0</x:v>
      </x:c>
      <x:c r="M736" s="25" t="str">
        <x:v>Deepseek-flash-v4/state/Round1/shards/Math.json</x:v>
      </x:c>
      <x:c r="N736" s="25" t="str">
        <x:v>Deepseek-flash-v4/Result/Math_49/result.json</x:v>
      </x:c>
      <x:c r="O736" s="25" t="str">
        <x:v>Deepseek-flash-v4/Result/Math_49/result.json</x:v>
      </x:c>
      <x:c r="P736" t="str">
        <x:v>BOTH_NOT_RUN</x:v>
      </x:c>
      <x:c r="Q736" s="21" t="str"/>
      <x:c r="R736" s="21" t="str"/>
      <x:c r="S736" s="21" t="str"/>
      <x:c r="T736" s="17" t="str">
        <x:v>false</x:v>
      </x:c>
      <x:c r="U736" s="17" t="str">
        <x:v>true</x:v>
      </x:c>
      <x:c r="V736" s="17" t="str">
        <x:v>false</x:v>
      </x:c>
    </x:row>
    <x:row r="737" ht="80" customHeight="1">
      <x:c r="A737" s="25" t="str">
        <x:v>Math</x:v>
      </x:c>
      <x:c r="B737" s="25" t="n">
        <x:v>5</x:v>
      </x:c>
      <x:c r="C737" s="25" t="str">
        <x:v>Round1</x:v>
      </x:c>
      <x:c r="D737" s="25" t="str">
        <x:v>NOT_AVAILABLE</x:v>
      </x:c>
      <x:c r="E737" s="25" t="str">
        <x:v>N/A</x:v>
      </x:c>
      <x:c r="F737" s="26" t="str">
        <x:v>Tests exist but current coverage did not complete</x:v>
      </x:c>
      <x:c r="G737" s="25" t="str">
        <x:v>true</x:v>
      </x:c>
      <x:c r="H737" s="25" t="str">
        <x:v>NOT_AVAILABLE</x:v>
      </x:c>
      <x:c r="I737" s="25" t="str">
        <x:v>NOT_RUN</x:v>
      </x:c>
      <x:c r="J737" s="25" t="str">
        <x:v>NOT_RUN</x:v>
      </x:c>
      <x:c r="K737" s="25" t="n">
        <x:v>1</x:v>
      </x:c>
      <x:c r="L737" s="27" t="b">
        <x:v>0</x:v>
      </x:c>
      <x:c r="M737" s="25" t="str">
        <x:v>Deepseek-flash-v4/state/Round1/shards/Math.json</x:v>
      </x:c>
      <x:c r="N737" s="25" t="str">
        <x:v>Deepseek-flash-v4/Result/Math_5/result.json</x:v>
      </x:c>
      <x:c r="O737" s="25" t="str">
        <x:v>Deepseek-flash-v4/Result/Math_5/result.json</x:v>
      </x:c>
      <x:c r="P737" t="str">
        <x:v>BOTH_NOT_RUN</x:v>
      </x:c>
      <x:c r="Q737" s="21" t="str"/>
      <x:c r="R737" s="21" t="str"/>
      <x:c r="S737" s="21" t="str"/>
      <x:c r="T737" s="17" t="str">
        <x:v>false</x:v>
      </x:c>
      <x:c r="U737" s="17" t="str">
        <x:v>true</x:v>
      </x:c>
      <x:c r="V737" s="17" t="str">
        <x:v>false</x:v>
      </x:c>
    </x:row>
    <x:row r="738" ht="80" customHeight="1">
      <x:c r="A738" s="25" t="str">
        <x:v>Math</x:v>
      </x:c>
      <x:c r="B738" s="25" t="n">
        <x:v>50</x:v>
      </x:c>
      <x:c r="C738" s="25" t="str">
        <x:v>Round1</x:v>
      </x:c>
      <x:c r="D738" s="25" t="str">
        <x:v>NOT_AVAILABLE</x:v>
      </x:c>
      <x:c r="E738" s="25" t="str">
        <x:v>N/A</x:v>
      </x:c>
      <x:c r="F738" s="26" t="str">
        <x:v>Tests exist but current coverage did not complete</x:v>
      </x:c>
      <x:c r="G738" s="25" t="str">
        <x:v>true</x:v>
      </x:c>
      <x:c r="H738" s="25" t="str">
        <x:v>NOT_AVAILABLE</x:v>
      </x:c>
      <x:c r="I738" s="25" t="str">
        <x:v>NOT_RUN</x:v>
      </x:c>
      <x:c r="J738" s="25" t="str">
        <x:v>NOT_RUN</x:v>
      </x:c>
      <x:c r="K738" s="25" t="n">
        <x:v>1</x:v>
      </x:c>
      <x:c r="L738" s="27" t="b">
        <x:v>0</x:v>
      </x:c>
      <x:c r="M738" s="25" t="str">
        <x:v>Deepseek-flash-v4/state/Round1/shards/Math.json</x:v>
      </x:c>
      <x:c r="N738" s="25" t="str">
        <x:v>Deepseek-flash-v4/Result/Math_50/result.json</x:v>
      </x:c>
      <x:c r="O738" s="25" t="str">
        <x:v>Deepseek-flash-v4/Result/Math_50/result.json</x:v>
      </x:c>
      <x:c r="P738" t="str">
        <x:v>BOTH_NOT_RUN</x:v>
      </x:c>
      <x:c r="Q738" s="21" t="str"/>
      <x:c r="R738" s="21" t="str"/>
      <x:c r="S738" s="21" t="str"/>
      <x:c r="T738" s="17" t="str">
        <x:v>false</x:v>
      </x:c>
      <x:c r="U738" s="17" t="str">
        <x:v>true</x:v>
      </x:c>
      <x:c r="V738" s="17" t="str">
        <x:v>false</x:v>
      </x:c>
    </x:row>
    <x:row r="739" ht="80" customHeight="1">
      <x:c r="A739" s="25" t="str">
        <x:v>Math</x:v>
      </x:c>
      <x:c r="B739" s="25" t="n">
        <x:v>51</x:v>
      </x:c>
      <x:c r="C739" s="25" t="str">
        <x:v>Round1</x:v>
      </x:c>
      <x:c r="D739" s="25" t="str">
        <x:v>NOT_AVAILABLE</x:v>
      </x:c>
      <x:c r="E739" s="25" t="str">
        <x:v>N/A</x:v>
      </x:c>
      <x:c r="F739" s="26" t="str">
        <x:v>Tests exist but current coverage did not complete</x:v>
      </x:c>
      <x:c r="G739" s="25" t="str">
        <x:v>true</x:v>
      </x:c>
      <x:c r="H739" s="25" t="str">
        <x:v>NOT_AVAILABLE</x:v>
      </x:c>
      <x:c r="I739" s="25" t="str">
        <x:v>NOT_RUN</x:v>
      </x:c>
      <x:c r="J739" s="25" t="str">
        <x:v>NOT_RUN</x:v>
      </x:c>
      <x:c r="K739" s="25" t="n">
        <x:v>1</x:v>
      </x:c>
      <x:c r="L739" s="27" t="b">
        <x:v>0</x:v>
      </x:c>
      <x:c r="M739" s="25" t="str">
        <x:v>Deepseek-flash-v4/state/Round1/shards/Math.json</x:v>
      </x:c>
      <x:c r="N739" s="25" t="str">
        <x:v>Deepseek-flash-v4/Result/Math_51/result.json</x:v>
      </x:c>
      <x:c r="O739" s="25" t="str">
        <x:v>Deepseek-flash-v4/Result/Math_51/result.json</x:v>
      </x:c>
      <x:c r="P739" t="str">
        <x:v>BOTH_NOT_RUN</x:v>
      </x:c>
      <x:c r="Q739" s="21" t="str"/>
      <x:c r="R739" s="21" t="str"/>
      <x:c r="S739" s="21" t="str"/>
      <x:c r="T739" s="17" t="str">
        <x:v>false</x:v>
      </x:c>
      <x:c r="U739" s="17" t="str">
        <x:v>true</x:v>
      </x:c>
      <x:c r="V739" s="17" t="str">
        <x:v>false</x:v>
      </x:c>
    </x:row>
    <x:row r="740" ht="80" customHeight="1">
      <x:c r="A740" s="25" t="str">
        <x:v>Math</x:v>
      </x:c>
      <x:c r="B740" s="25" t="n">
        <x:v>52</x:v>
      </x:c>
      <x:c r="C740" s="25" t="str">
        <x:v>Round1</x:v>
      </x:c>
      <x:c r="D740" s="25" t="str">
        <x:v>NOT_AVAILABLE</x:v>
      </x:c>
      <x:c r="E740" s="25" t="str">
        <x:v>N/A</x:v>
      </x:c>
      <x:c r="F740" s="26" t="str">
        <x:v>Tests exist but current coverage did not complete</x:v>
      </x:c>
      <x:c r="G740" s="25" t="str">
        <x:v>true</x:v>
      </x:c>
      <x:c r="H740" s="25" t="str">
        <x:v>NOT_AVAILABLE</x:v>
      </x:c>
      <x:c r="I740" s="25" t="str">
        <x:v>NOT_RUN</x:v>
      </x:c>
      <x:c r="J740" s="25" t="str">
        <x:v>NOT_RUN</x:v>
      </x:c>
      <x:c r="K740" s="25" t="n">
        <x:v>1</x:v>
      </x:c>
      <x:c r="L740" s="27" t="b">
        <x:v>0</x:v>
      </x:c>
      <x:c r="M740" s="25" t="str">
        <x:v>Deepseek-flash-v4/state/Round1/shards/Math.json</x:v>
      </x:c>
      <x:c r="N740" s="25" t="str">
        <x:v>Deepseek-flash-v4/Result/Math_52/result.json</x:v>
      </x:c>
      <x:c r="O740" s="25" t="str">
        <x:v>Deepseek-flash-v4/Result/Math_52/result.json</x:v>
      </x:c>
      <x:c r="P740" t="str">
        <x:v>BOTH_NOT_RUN</x:v>
      </x:c>
      <x:c r="Q740" s="21" t="str"/>
      <x:c r="R740" s="21" t="str"/>
      <x:c r="S740" s="21" t="str"/>
      <x:c r="T740" s="17" t="str">
        <x:v>false</x:v>
      </x:c>
      <x:c r="U740" s="17" t="str">
        <x:v>true</x:v>
      </x:c>
      <x:c r="V740" s="17" t="str">
        <x:v>false</x:v>
      </x:c>
    </x:row>
    <x:row r="741" ht="80" customHeight="1">
      <x:c r="A741" s="25" t="str">
        <x:v>Math</x:v>
      </x:c>
      <x:c r="B741" s="25" t="n">
        <x:v>53</x:v>
      </x:c>
      <x:c r="C741" s="25" t="str">
        <x:v>Round1</x:v>
      </x:c>
      <x:c r="D741" s="25" t="str">
        <x:v>NOT_AVAILABLE</x:v>
      </x:c>
      <x:c r="E741" s="25" t="str">
        <x:v>N/A</x:v>
      </x:c>
      <x:c r="F741" s="26" t="str">
        <x:v>Tests exist but current coverage did not complete</x:v>
      </x:c>
      <x:c r="G741" s="25" t="str">
        <x:v>true</x:v>
      </x:c>
      <x:c r="H741" s="25" t="str">
        <x:v>NOT_AVAILABLE</x:v>
      </x:c>
      <x:c r="I741" s="25" t="str">
        <x:v>NOT_RUN</x:v>
      </x:c>
      <x:c r="J741" s="25" t="str">
        <x:v>NOT_RUN</x:v>
      </x:c>
      <x:c r="K741" s="25" t="n">
        <x:v>1</x:v>
      </x:c>
      <x:c r="L741" s="27" t="b">
        <x:v>0</x:v>
      </x:c>
      <x:c r="M741" s="25" t="str">
        <x:v>Deepseek-flash-v4/state/Round1/shards/Math.json</x:v>
      </x:c>
      <x:c r="N741" s="25" t="str">
        <x:v>Deepseek-flash-v4/Result/Math_53/result.json</x:v>
      </x:c>
      <x:c r="O741" s="25" t="str">
        <x:v>Deepseek-flash-v4/Result/Math_53/result.json</x:v>
      </x:c>
      <x:c r="P741" t="str">
        <x:v>BOTH_NOT_RUN</x:v>
      </x:c>
      <x:c r="Q741" s="21" t="str"/>
      <x:c r="R741" s="21" t="str"/>
      <x:c r="S741" s="21" t="str"/>
      <x:c r="T741" s="17" t="str">
        <x:v>false</x:v>
      </x:c>
      <x:c r="U741" s="17" t="str">
        <x:v>true</x:v>
      </x:c>
      <x:c r="V741" s="17" t="str">
        <x:v>false</x:v>
      </x:c>
    </x:row>
    <x:row r="742" ht="80" customHeight="1">
      <x:c r="A742" s="25" t="str">
        <x:v>Math</x:v>
      </x:c>
      <x:c r="B742" s="25" t="n">
        <x:v>54</x:v>
      </x:c>
      <x:c r="C742" s="25" t="str">
        <x:v>Round1</x:v>
      </x:c>
      <x:c r="D742" s="25" t="str">
        <x:v>NOT_AVAILABLE</x:v>
      </x:c>
      <x:c r="E742" s="25" t="str">
        <x:v>N/A</x:v>
      </x:c>
      <x:c r="F742" s="26" t="str">
        <x:v>Tests exist but current coverage did not complete</x:v>
      </x:c>
      <x:c r="G742" s="25" t="str">
        <x:v>true</x:v>
      </x:c>
      <x:c r="H742" s="25" t="str">
        <x:v>NOT_AVAILABLE</x:v>
      </x:c>
      <x:c r="I742" s="25" t="str">
        <x:v>NOT_RUN</x:v>
      </x:c>
      <x:c r="J742" s="25" t="str">
        <x:v>NOT_RUN</x:v>
      </x:c>
      <x:c r="K742" s="25" t="n">
        <x:v>1</x:v>
      </x:c>
      <x:c r="L742" s="27" t="b">
        <x:v>0</x:v>
      </x:c>
      <x:c r="M742" s="25" t="str">
        <x:v>Deepseek-flash-v4/state/Round1/shards/Math.json</x:v>
      </x:c>
      <x:c r="N742" s="25" t="str">
        <x:v>Deepseek-flash-v4/Result/Math_54/result.json</x:v>
      </x:c>
      <x:c r="O742" s="25" t="str">
        <x:v>Deepseek-flash-v4/Result/Math_54/result.json</x:v>
      </x:c>
      <x:c r="P742" t="str">
        <x:v>BOTH_NOT_RUN</x:v>
      </x:c>
      <x:c r="Q742" s="21" t="str"/>
      <x:c r="R742" s="21" t="str"/>
      <x:c r="S742" s="21" t="str"/>
      <x:c r="T742" s="17" t="str">
        <x:v>false</x:v>
      </x:c>
      <x:c r="U742" s="17" t="str">
        <x:v>true</x:v>
      </x:c>
      <x:c r="V742" s="17" t="str">
        <x:v>false</x:v>
      </x:c>
    </x:row>
    <x:row r="743" ht="80" customHeight="1">
      <x:c r="A743" s="25" t="str">
        <x:v>Math</x:v>
      </x:c>
      <x:c r="B743" s="25" t="n">
        <x:v>55</x:v>
      </x:c>
      <x:c r="C743" s="25" t="str">
        <x:v>Round1</x:v>
      </x:c>
      <x:c r="D743" s="25" t="str">
        <x:v>NOT_AVAILABLE</x:v>
      </x:c>
      <x:c r="E743" s="25" t="str">
        <x:v>N/A</x:v>
      </x:c>
      <x:c r="F743" s="26" t="str">
        <x:v>Tests exist but current coverage did not complete</x:v>
      </x:c>
      <x:c r="G743" s="25" t="str">
        <x:v>true</x:v>
      </x:c>
      <x:c r="H743" s="25" t="str">
        <x:v>NOT_AVAILABLE</x:v>
      </x:c>
      <x:c r="I743" s="25" t="str">
        <x:v>NOT_RUN</x:v>
      </x:c>
      <x:c r="J743" s="25" t="str">
        <x:v>NOT_RUN</x:v>
      </x:c>
      <x:c r="K743" s="25" t="n">
        <x:v>1</x:v>
      </x:c>
      <x:c r="L743" s="27" t="b">
        <x:v>0</x:v>
      </x:c>
      <x:c r="M743" s="25" t="str">
        <x:v>Deepseek-flash-v4/state/Round1/shards/Math.json</x:v>
      </x:c>
      <x:c r="N743" s="25" t="str">
        <x:v>Deepseek-flash-v4/Result/Math_55/result.json</x:v>
      </x:c>
      <x:c r="O743" s="25" t="str">
        <x:v>Deepseek-flash-v4/Result/Math_55/result.json</x:v>
      </x:c>
      <x:c r="P743" t="str">
        <x:v>BOTH_NOT_RUN</x:v>
      </x:c>
      <x:c r="Q743" s="21" t="str"/>
      <x:c r="R743" s="21" t="str"/>
      <x:c r="S743" s="21" t="str"/>
      <x:c r="T743" s="17" t="str">
        <x:v>false</x:v>
      </x:c>
      <x:c r="U743" s="17" t="str">
        <x:v>true</x:v>
      </x:c>
      <x:c r="V743" s="17" t="str">
        <x:v>false</x:v>
      </x:c>
    </x:row>
    <x:row r="744" ht="80" customHeight="1">
      <x:c r="A744" s="25" t="str">
        <x:v>Math</x:v>
      </x:c>
      <x:c r="B744" s="25" t="n">
        <x:v>56</x:v>
      </x:c>
      <x:c r="C744" s="25" t="str">
        <x:v>Round1</x:v>
      </x:c>
      <x:c r="D744" s="25" t="str">
        <x:v>INCONCLUSIVE</x:v>
      </x:c>
      <x:c r="E744" s="25" t="str">
        <x:v>N/A</x:v>
      </x:c>
      <x:c r="F744" s="26" t="str">
        <x:v>Fixed also failed; assertion failure cannot be attributed to this bug</x:v>
      </x:c>
      <x:c r="G744" s="25" t="str">
        <x:v>true</x:v>
      </x:c>
      <x:c r="H744" s="25" t="str">
        <x:v>INCONCLUSIVE</x:v>
      </x:c>
      <x:c r="I744" s="25" t="str">
        <x:v>FAIL</x:v>
      </x:c>
      <x:c r="J744" s="25" t="str">
        <x:v>FAIL</x:v>
      </x:c>
      <x:c r="K744" s="25" t="n">
        <x:v>1</x:v>
      </x:c>
      <x:c r="L744" s="27" t="b">
        <x:v>0</x:v>
      </x:c>
      <x:c r="M744" s="25" t="str">
        <x:v>Deepseek-flash-v4/state/Round1/shards/Math.json</x:v>
      </x:c>
      <x:c r="N744" s="25" t="str">
        <x:v>Deepseek-flash-v4/Result/Math_56/result.json</x:v>
      </x:c>
      <x:c r="O744" s="25" t="str">
        <x:v>Deepseek-flash-v4/Result/Math_56/result.json</x:v>
      </x:c>
      <x:c r="P744"/>
      <x:c r="Q744" s="21" t="str"/>
      <x:c r="R744" s="21" t="str"/>
      <x:c r="S744" s="21" t="str"/>
      <x:c r="T744" s="17" t="str">
        <x:v>false</x:v>
      </x:c>
      <x:c r="U744" s="17" t="str">
        <x:v>true</x:v>
      </x:c>
      <x:c r="V744" s="17" t="str">
        <x:v>false</x:v>
      </x:c>
    </x:row>
    <x:row r="745" ht="80" customHeight="1">
      <x:c r="A745" s="25" t="str">
        <x:v>Math</x:v>
      </x:c>
      <x:c r="B745" s="25" t="n">
        <x:v>57</x:v>
      </x:c>
      <x:c r="C745" s="25" t="str">
        <x:v>Round1</x:v>
      </x:c>
      <x:c r="D745" s="25" t="str">
        <x:v>NOT_AVAILABLE</x:v>
      </x:c>
      <x:c r="E745" s="25" t="str">
        <x:v>N/A</x:v>
      </x:c>
      <x:c r="F745" s="26" t="str">
        <x:v>Tests exist but current coverage did not complete</x:v>
      </x:c>
      <x:c r="G745" s="25" t="str">
        <x:v>true</x:v>
      </x:c>
      <x:c r="H745" s="25" t="str">
        <x:v>NOT_AVAILABLE</x:v>
      </x:c>
      <x:c r="I745" s="25" t="str">
        <x:v>NOT_RUN</x:v>
      </x:c>
      <x:c r="J745" s="25" t="str">
        <x:v>NOT_RUN</x:v>
      </x:c>
      <x:c r="K745" s="25" t="n">
        <x:v>1</x:v>
      </x:c>
      <x:c r="L745" s="27" t="b">
        <x:v>0</x:v>
      </x:c>
      <x:c r="M745" s="25" t="str">
        <x:v>Deepseek-flash-v4/state/Round1/shards/Math.json</x:v>
      </x:c>
      <x:c r="N745" s="25" t="str">
        <x:v>Deepseek-flash-v4/Result/Math_57/result.json</x:v>
      </x:c>
      <x:c r="O745" s="25" t="str">
        <x:v>Deepseek-flash-v4/Result/Math_57/result.json</x:v>
      </x:c>
      <x:c r="P745" t="str">
        <x:v>BOTH_NOT_RUN</x:v>
      </x:c>
      <x:c r="Q745" s="21" t="str"/>
      <x:c r="R745" s="21" t="str"/>
      <x:c r="S745" s="21" t="str"/>
      <x:c r="T745" s="17" t="str">
        <x:v>false</x:v>
      </x:c>
      <x:c r="U745" s="17" t="str">
        <x:v>true</x:v>
      </x:c>
      <x:c r="V745" s="17" t="str">
        <x:v>false</x:v>
      </x:c>
    </x:row>
    <x:row r="746" ht="80" customHeight="1">
      <x:c r="A746" s="25" t="str">
        <x:v>Math</x:v>
      </x:c>
      <x:c r="B746" s="25" t="n">
        <x:v>58</x:v>
      </x:c>
      <x:c r="C746" s="25" t="str">
        <x:v>Round1</x:v>
      </x:c>
      <x:c r="D746" s="25" t="str">
        <x:v>NOT_AVAILABLE</x:v>
      </x:c>
      <x:c r="E746" s="25" t="str">
        <x:v>N/A</x:v>
      </x:c>
      <x:c r="F746" s="26" t="str">
        <x:v>Tests exist but current coverage did not complete</x:v>
      </x:c>
      <x:c r="G746" s="25" t="str">
        <x:v>true</x:v>
      </x:c>
      <x:c r="H746" s="25" t="str">
        <x:v>NOT_AVAILABLE</x:v>
      </x:c>
      <x:c r="I746" s="25" t="str">
        <x:v>NOT_RUN</x:v>
      </x:c>
      <x:c r="J746" s="25" t="str">
        <x:v>NOT_RUN</x:v>
      </x:c>
      <x:c r="K746" s="25" t="n">
        <x:v>1</x:v>
      </x:c>
      <x:c r="L746" s="27" t="b">
        <x:v>0</x:v>
      </x:c>
      <x:c r="M746" s="25" t="str">
        <x:v>Deepseek-flash-v4/state/Round1/shards/Math.json</x:v>
      </x:c>
      <x:c r="N746" s="25" t="str">
        <x:v>Deepseek-flash-v4/Result/Math_58/result.json</x:v>
      </x:c>
      <x:c r="O746" s="25" t="str">
        <x:v>Deepseek-flash-v4/Result/Math_58/result.json</x:v>
      </x:c>
      <x:c r="P746" t="str">
        <x:v>BOTH_NOT_RUN</x:v>
      </x:c>
      <x:c r="Q746" s="21" t="str"/>
      <x:c r="R746" s="21" t="str"/>
      <x:c r="S746" s="21" t="str"/>
      <x:c r="T746" s="17" t="str">
        <x:v>false</x:v>
      </x:c>
      <x:c r="U746" s="17" t="str">
        <x:v>true</x:v>
      </x:c>
      <x:c r="V746" s="17" t="str">
        <x:v>false</x:v>
      </x:c>
    </x:row>
    <x:row r="747" ht="80" customHeight="1">
      <x:c r="A747" s="25" t="str">
        <x:v>Math</x:v>
      </x:c>
      <x:c r="B747" s="25" t="n">
        <x:v>59</x:v>
      </x:c>
      <x:c r="C747" s="25" t="str">
        <x:v>Round1</x:v>
      </x:c>
      <x:c r="D747" s="25" t="str">
        <x:v>INCONCLUSIVE</x:v>
      </x:c>
      <x:c r="E747" s="25" t="str">
        <x:v>N/A</x:v>
      </x:c>
      <x:c r="F747" s="26" t="str">
        <x:v>Fixed also failed; assertion failure cannot be attributed to this bug</x:v>
      </x:c>
      <x:c r="G747" s="25" t="str">
        <x:v>true</x:v>
      </x:c>
      <x:c r="H747" s="25" t="str">
        <x:v>INCONCLUSIVE</x:v>
      </x:c>
      <x:c r="I747" s="25" t="str">
        <x:v>FAIL</x:v>
      </x:c>
      <x:c r="J747" s="25" t="str">
        <x:v>FAIL</x:v>
      </x:c>
      <x:c r="K747" s="25" t="n">
        <x:v>1</x:v>
      </x:c>
      <x:c r="L747" s="27" t="b">
        <x:v>0</x:v>
      </x:c>
      <x:c r="M747" s="25" t="str">
        <x:v>Deepseek-flash-v4/state/Round1/shards/Math.json</x:v>
      </x:c>
      <x:c r="N747" s="25" t="str">
        <x:v>Deepseek-flash-v4/Result/Math_59/result.json</x:v>
      </x:c>
      <x:c r="O747" s="25" t="str">
        <x:v>Deepseek-flash-v4/Result/Math_59/result.json</x:v>
      </x:c>
      <x:c r="P747"/>
      <x:c r="Q747" s="21" t="str"/>
      <x:c r="R747" s="21" t="str"/>
      <x:c r="S747" s="21" t="str"/>
      <x:c r="T747" s="17" t="str">
        <x:v>false</x:v>
      </x:c>
      <x:c r="U747" s="17" t="str">
        <x:v>true</x:v>
      </x:c>
      <x:c r="V747" s="17" t="str">
        <x:v>false</x:v>
      </x:c>
    </x:row>
    <x:row r="748" ht="80" customHeight="1">
      <x:c r="A748" s="25" t="str">
        <x:v>Math</x:v>
      </x:c>
      <x:c r="B748" s="25" t="n">
        <x:v>6</x:v>
      </x:c>
      <x:c r="C748" s="25" t="str">
        <x:v>Round1</x:v>
      </x:c>
      <x:c r="D748" s="25" t="str">
        <x:v>NOT_AVAILABLE</x:v>
      </x:c>
      <x:c r="E748" s="25" t="str">
        <x:v>N/A</x:v>
      </x:c>
      <x:c r="F748" s="26" t="str">
        <x:v>Tests exist but current coverage did not complete</x:v>
      </x:c>
      <x:c r="G748" s="25" t="str">
        <x:v>true</x:v>
      </x:c>
      <x:c r="H748" s="25" t="str">
        <x:v>NOT_AVAILABLE</x:v>
      </x:c>
      <x:c r="I748" s="25" t="str">
        <x:v>NOT_RUN</x:v>
      </x:c>
      <x:c r="J748" s="25" t="str">
        <x:v>NOT_RUN</x:v>
      </x:c>
      <x:c r="K748" s="25" t="n">
        <x:v>7</x:v>
      </x:c>
      <x:c r="L748" s="27" t="b">
        <x:v>0</x:v>
      </x:c>
      <x:c r="M748" s="25" t="str">
        <x:v>Deepseek-flash-v4/state/Round1/shards/Math.json</x:v>
      </x:c>
      <x:c r="N748" s="25" t="str">
        <x:v>Deepseek-flash-v4/Result/Math_6/result.json</x:v>
      </x:c>
      <x:c r="O748" s="25" t="str">
        <x:v>Deepseek-flash-v4/Result/Math_6/result.json</x:v>
      </x:c>
      <x:c r="P748" t="str">
        <x:v>BOTH_NOT_RUN</x:v>
      </x:c>
      <x:c r="Q748" s="21" t="str"/>
      <x:c r="R748" s="21" t="str"/>
      <x:c r="S748" s="21" t="str"/>
      <x:c r="T748" s="17" t="str">
        <x:v>false</x:v>
      </x:c>
      <x:c r="U748" s="17" t="str">
        <x:v>true</x:v>
      </x:c>
      <x:c r="V748" s="17" t="str">
        <x:v>false</x:v>
      </x:c>
    </x:row>
    <x:row r="749" ht="80" customHeight="1">
      <x:c r="A749" s="25" t="str">
        <x:v>Math</x:v>
      </x:c>
      <x:c r="B749" s="25" t="n">
        <x:v>60</x:v>
      </x:c>
      <x:c r="C749" s="25" t="str">
        <x:v>Round1</x:v>
      </x:c>
      <x:c r="D749" s="25" t="str">
        <x:v>NOT_REVEALING</x:v>
      </x:c>
      <x:c r="E749" s="25" t="str">
        <x:v>N/A</x:v>
      </x:c>
      <x:c r="F749" s="26" t="str">
        <x:v>Same saved validation suite passed on buggy and fixed</x:v>
      </x:c>
      <x:c r="G749" s="25" t="str">
        <x:v>true</x:v>
      </x:c>
      <x:c r="H749" s="25" t="str">
        <x:v>NOT_REVEALING</x:v>
      </x:c>
      <x:c r="I749" s="25" t="str">
        <x:v>PASS</x:v>
      </x:c>
      <x:c r="J749" s="25" t="str">
        <x:v>PASS</x:v>
      </x:c>
      <x:c r="K749" s="25" t="n">
        <x:v>1</x:v>
      </x:c>
      <x:c r="L749" s="27" t="b">
        <x:v>0</x:v>
      </x:c>
      <x:c r="M749" s="25" t="str">
        <x:v>Deepseek-flash-v4/state/Round1/shards/Math.json</x:v>
      </x:c>
      <x:c r="N749" s="25" t="str">
        <x:v>Deepseek-flash-v4/Result/Math_60/result.json</x:v>
      </x:c>
      <x:c r="O749" s="25" t="str">
        <x:v>Deepseek-flash-v4/Result/Math_60/result.json</x:v>
      </x:c>
      <x:c r="P749"/>
      <x:c r="Q749" s="21" t="str"/>
      <x:c r="R749" s="21" t="str"/>
      <x:c r="S749" s="21" t="str"/>
      <x:c r="T749" s="17" t="str">
        <x:v>false</x:v>
      </x:c>
      <x:c r="U749" s="17" t="str">
        <x:v>true</x:v>
      </x:c>
      <x:c r="V749" s="17" t="str">
        <x:v>false</x:v>
      </x:c>
    </x:row>
    <x:row r="750" ht="80" customHeight="1">
      <x:c r="A750" s="25" t="str">
        <x:v>Math</x:v>
      </x:c>
      <x:c r="B750" s="25" t="n">
        <x:v>61</x:v>
      </x:c>
      <x:c r="C750" s="25" t="str">
        <x:v>Round1</x:v>
      </x:c>
      <x:c r="D750" s="25" t="str">
        <x:v>NOT_REVEALING</x:v>
      </x:c>
      <x:c r="E750" s="25" t="str">
        <x:v>N/A</x:v>
      </x:c>
      <x:c r="F750" s="26" t="str">
        <x:v>Same saved validation suite passed on buggy and fixed</x:v>
      </x:c>
      <x:c r="G750" s="25" t="str">
        <x:v>true</x:v>
      </x:c>
      <x:c r="H750" s="25" t="str">
        <x:v>NOT_REVEALING</x:v>
      </x:c>
      <x:c r="I750" s="25" t="str">
        <x:v>PASS</x:v>
      </x:c>
      <x:c r="J750" s="25" t="str">
        <x:v>PASS</x:v>
      </x:c>
      <x:c r="K750" s="25" t="n">
        <x:v>1</x:v>
      </x:c>
      <x:c r="L750" s="27" t="b">
        <x:v>0</x:v>
      </x:c>
      <x:c r="M750" s="25" t="str">
        <x:v>Deepseek-flash-v4/state/Round1/shards/Math.json</x:v>
      </x:c>
      <x:c r="N750" s="25" t="str">
        <x:v>Deepseek-flash-v4/Result/Math_61/result.json</x:v>
      </x:c>
      <x:c r="O750" s="25" t="str">
        <x:v>Deepseek-flash-v4/Result/Math_61/result.json</x:v>
      </x:c>
      <x:c r="P750"/>
      <x:c r="Q750" s="21" t="str"/>
      <x:c r="R750" s="21" t="str"/>
      <x:c r="S750" s="21" t="str"/>
      <x:c r="T750" s="17" t="str">
        <x:v>false</x:v>
      </x:c>
      <x:c r="U750" s="17" t="str">
        <x:v>true</x:v>
      </x:c>
      <x:c r="V750" s="17" t="str">
        <x:v>false</x:v>
      </x:c>
    </x:row>
    <x:row r="751" ht="80" customHeight="1">
      <x:c r="A751" s="25" t="str">
        <x:v>Math</x:v>
      </x:c>
      <x:c r="B751" s="25" t="n">
        <x:v>62</x:v>
      </x:c>
      <x:c r="C751" s="25" t="str">
        <x:v>Round1</x:v>
      </x:c>
      <x:c r="D751" s="25" t="str">
        <x:v>NOT_AVAILABLE</x:v>
      </x:c>
      <x:c r="E751" s="25" t="str">
        <x:v>N/A</x:v>
      </x:c>
      <x:c r="F751" s="26" t="str">
        <x:v>Tests exist but current coverage did not complete</x:v>
      </x:c>
      <x:c r="G751" s="25" t="str">
        <x:v>true</x:v>
      </x:c>
      <x:c r="H751" s="25" t="str">
        <x:v>NOT_AVAILABLE</x:v>
      </x:c>
      <x:c r="I751" s="25" t="str">
        <x:v>NOT_RUN</x:v>
      </x:c>
      <x:c r="J751" s="25" t="str">
        <x:v>NOT_RUN</x:v>
      </x:c>
      <x:c r="K751" s="25" t="n">
        <x:v>1</x:v>
      </x:c>
      <x:c r="L751" s="27" t="b">
        <x:v>0</x:v>
      </x:c>
      <x:c r="M751" s="25" t="str">
        <x:v>Deepseek-flash-v4/state/Round1/shards/Math.json</x:v>
      </x:c>
      <x:c r="N751" s="25" t="str">
        <x:v>Deepseek-flash-v4/Result/Math_62/result.json</x:v>
      </x:c>
      <x:c r="O751" s="25" t="str">
        <x:v>Deepseek-flash-v4/Result/Math_62/result.json</x:v>
      </x:c>
      <x:c r="P751" t="str">
        <x:v>BOTH_NOT_RUN</x:v>
      </x:c>
      <x:c r="Q751" s="21" t="str"/>
      <x:c r="R751" s="21" t="str"/>
      <x:c r="S751" s="21" t="str"/>
      <x:c r="T751" s="17" t="str">
        <x:v>false</x:v>
      </x:c>
      <x:c r="U751" s="17" t="str">
        <x:v>true</x:v>
      </x:c>
      <x:c r="V751" s="17" t="str">
        <x:v>false</x:v>
      </x:c>
    </x:row>
    <x:row r="752" ht="80" customHeight="1">
      <x:c r="A752" s="25" t="str">
        <x:v>Math</x:v>
      </x:c>
      <x:c r="B752" s="25" t="n">
        <x:v>63</x:v>
      </x:c>
      <x:c r="C752" s="25" t="str">
        <x:v>Round1</x:v>
      </x:c>
      <x:c r="D752" s="25" t="str">
        <x:v>INCONCLUSIVE</x:v>
      </x:c>
      <x:c r="E752" s="25" t="str">
        <x:v>N/A</x:v>
      </x:c>
      <x:c r="F752" s="26" t="str">
        <x:v>Fixed also failed; assertion failure cannot be attributed to this bug</x:v>
      </x:c>
      <x:c r="G752" s="25" t="str">
        <x:v>true</x:v>
      </x:c>
      <x:c r="H752" s="25" t="str">
        <x:v>INCONCLUSIVE</x:v>
      </x:c>
      <x:c r="I752" s="25" t="str">
        <x:v>FAIL</x:v>
      </x:c>
      <x:c r="J752" s="25" t="str">
        <x:v>FAIL</x:v>
      </x:c>
      <x:c r="K752" s="25" t="n">
        <x:v>1</x:v>
      </x:c>
      <x:c r="L752" s="27" t="b">
        <x:v>0</x:v>
      </x:c>
      <x:c r="M752" s="25" t="str">
        <x:v>Deepseek-flash-v4/state/Round1/shards/Math.json</x:v>
      </x:c>
      <x:c r="N752" s="25" t="str">
        <x:v>Deepseek-flash-v4/Result/Math_63/result.json</x:v>
      </x:c>
      <x:c r="O752" s="25" t="str">
        <x:v>Deepseek-flash-v4/Result/Math_63/result.json</x:v>
      </x:c>
      <x:c r="P752"/>
      <x:c r="Q752" s="21" t="str"/>
      <x:c r="R752" s="21" t="str"/>
      <x:c r="S752" s="21" t="str"/>
      <x:c r="T752" s="17" t="str">
        <x:v>false</x:v>
      </x:c>
      <x:c r="U752" s="17" t="str">
        <x:v>true</x:v>
      </x:c>
      <x:c r="V752" s="17" t="str">
        <x:v>false</x:v>
      </x:c>
    </x:row>
    <x:row r="753" ht="80" customHeight="1">
      <x:c r="A753" s="25" t="str">
        <x:v>Math</x:v>
      </x:c>
      <x:c r="B753" s="25" t="n">
        <x:v>64</x:v>
      </x:c>
      <x:c r="C753" s="25" t="str">
        <x:v>Round1</x:v>
      </x:c>
      <x:c r="D753" s="25" t="str">
        <x:v>NOT_AVAILABLE</x:v>
      </x:c>
      <x:c r="E753" s="25" t="str">
        <x:v>N/A</x:v>
      </x:c>
      <x:c r="F753" s="26" t="str">
        <x:v>Tests exist but current coverage did not complete</x:v>
      </x:c>
      <x:c r="G753" s="25" t="str">
        <x:v>true</x:v>
      </x:c>
      <x:c r="H753" s="25" t="str">
        <x:v>NOT_AVAILABLE</x:v>
      </x:c>
      <x:c r="I753" s="25" t="str">
        <x:v>NOT_RUN</x:v>
      </x:c>
      <x:c r="J753" s="25" t="str">
        <x:v>NOT_RUN</x:v>
      </x:c>
      <x:c r="K753" s="25" t="n">
        <x:v>1</x:v>
      </x:c>
      <x:c r="L753" s="27" t="b">
        <x:v>0</x:v>
      </x:c>
      <x:c r="M753" s="25" t="str">
        <x:v>Deepseek-flash-v4/state/Round1/shards/Math.json</x:v>
      </x:c>
      <x:c r="N753" s="25" t="str">
        <x:v>Deepseek-flash-v4/Result/Math_64/result.json</x:v>
      </x:c>
      <x:c r="O753" s="25" t="str">
        <x:v>Deepseek-flash-v4/Result/Math_64/result.json</x:v>
      </x:c>
      <x:c r="P753" t="str">
        <x:v>BOTH_NOT_RUN</x:v>
      </x:c>
      <x:c r="Q753" s="21" t="str"/>
      <x:c r="R753" s="21" t="str"/>
      <x:c r="S753" s="21" t="str"/>
      <x:c r="T753" s="17" t="str">
        <x:v>false</x:v>
      </x:c>
      <x:c r="U753" s="17" t="str">
        <x:v>true</x:v>
      </x:c>
      <x:c r="V753" s="17" t="str">
        <x:v>false</x:v>
      </x:c>
    </x:row>
    <x:row r="754" ht="80" customHeight="1">
      <x:c r="A754" s="25" t="str">
        <x:v>Math</x:v>
      </x:c>
      <x:c r="B754" s="25" t="n">
        <x:v>65</x:v>
      </x:c>
      <x:c r="C754" s="25" t="str">
        <x:v>Round1</x:v>
      </x:c>
      <x:c r="D754" s="25" t="str">
        <x:v>NOT_AVAILABLE</x:v>
      </x:c>
      <x:c r="E754" s="25" t="str">
        <x:v>N/A</x:v>
      </x:c>
      <x:c r="F754" s="26" t="str">
        <x:v>Tests exist but current coverage did not complete</x:v>
      </x:c>
      <x:c r="G754" s="25" t="str">
        <x:v>true</x:v>
      </x:c>
      <x:c r="H754" s="25" t="str">
        <x:v>NOT_AVAILABLE</x:v>
      </x:c>
      <x:c r="I754" s="25" t="str">
        <x:v>NOT_RUN</x:v>
      </x:c>
      <x:c r="J754" s="25" t="str">
        <x:v>NOT_RUN</x:v>
      </x:c>
      <x:c r="K754" s="25" t="n">
        <x:v>1</x:v>
      </x:c>
      <x:c r="L754" s="27" t="b">
        <x:v>0</x:v>
      </x:c>
      <x:c r="M754" s="25" t="str">
        <x:v>Deepseek-flash-v4/state/Round1/shards/Math.json</x:v>
      </x:c>
      <x:c r="N754" s="25" t="str">
        <x:v>Deepseek-flash-v4/Result/Math_65/result.json</x:v>
      </x:c>
      <x:c r="O754" s="25" t="str">
        <x:v>Deepseek-flash-v4/Result/Math_65/result.json</x:v>
      </x:c>
      <x:c r="P754" t="str">
        <x:v>BOTH_NOT_RUN</x:v>
      </x:c>
      <x:c r="Q754" s="21" t="str"/>
      <x:c r="R754" s="21" t="str"/>
      <x:c r="S754" s="21" t="str"/>
      <x:c r="T754" s="17" t="str">
        <x:v>false</x:v>
      </x:c>
      <x:c r="U754" s="17" t="str">
        <x:v>true</x:v>
      </x:c>
      <x:c r="V754" s="17" t="str">
        <x:v>false</x:v>
      </x:c>
    </x:row>
    <x:row r="755" ht="80" customHeight="1">
      <x:c r="A755" s="25" t="str">
        <x:v>Math</x:v>
      </x:c>
      <x:c r="B755" s="25" t="n">
        <x:v>66</x:v>
      </x:c>
      <x:c r="C755" s="25" t="str">
        <x:v>Round1</x:v>
      </x:c>
      <x:c r="D755" s="25" t="str">
        <x:v>INCONCLUSIVE</x:v>
      </x:c>
      <x:c r="E755" s="25" t="str">
        <x:v>N/A</x:v>
      </x:c>
      <x:c r="F755" s="26" t="str">
        <x:v>Fixed also failed; assertion failure cannot be attributed to this bug</x:v>
      </x:c>
      <x:c r="G755" s="25" t="str">
        <x:v>true</x:v>
      </x:c>
      <x:c r="H755" s="25" t="str">
        <x:v>INCONCLUSIVE</x:v>
      </x:c>
      <x:c r="I755" s="25" t="str">
        <x:v>PASS</x:v>
      </x:c>
      <x:c r="J755" s="25" t="str">
        <x:v>FAIL</x:v>
      </x:c>
      <x:c r="K755" s="25" t="n">
        <x:v>1</x:v>
      </x:c>
      <x:c r="L755" s="27" t="b">
        <x:v>0</x:v>
      </x:c>
      <x:c r="M755" s="25" t="str">
        <x:v>Deepseek-flash-v4/state/Round1/shards/Math.json</x:v>
      </x:c>
      <x:c r="N755" s="25" t="str">
        <x:v>Deepseek-flash-v4/Result/Math_66/result.json</x:v>
      </x:c>
      <x:c r="O755" s="25" t="str">
        <x:v>Deepseek-flash-v4/Result/Math_66/result.json</x:v>
      </x:c>
      <x:c r="P755"/>
      <x:c r="Q755" s="21" t="str"/>
      <x:c r="R755" s="21" t="str"/>
      <x:c r="S755" s="21" t="str"/>
      <x:c r="T755" s="17" t="str">
        <x:v>false</x:v>
      </x:c>
      <x:c r="U755" s="17" t="str">
        <x:v>true</x:v>
      </x:c>
      <x:c r="V755" s="17" t="str">
        <x:v>false</x:v>
      </x:c>
    </x:row>
    <x:row r="756" ht="80" customHeight="1">
      <x:c r="A756" s="25" t="str">
        <x:v>Math</x:v>
      </x:c>
      <x:c r="B756" s="25" t="n">
        <x:v>67</x:v>
      </x:c>
      <x:c r="C756" s="25" t="str">
        <x:v>Round1</x:v>
      </x:c>
      <x:c r="D756" s="25" t="str">
        <x:v>INCONCLUSIVE</x:v>
      </x:c>
      <x:c r="E756" s="25" t="str">
        <x:v>N/A</x:v>
      </x:c>
      <x:c r="F756" s="26" t="str">
        <x:v>Fixed also failed; assertion failure cannot be attributed to this bug</x:v>
      </x:c>
      <x:c r="G756" s="25" t="str">
        <x:v>true</x:v>
      </x:c>
      <x:c r="H756" s="25" t="str">
        <x:v>INCONCLUSIVE</x:v>
      </x:c>
      <x:c r="I756" s="25" t="str">
        <x:v>FAIL</x:v>
      </x:c>
      <x:c r="J756" s="25" t="str">
        <x:v>FAIL</x:v>
      </x:c>
      <x:c r="K756" s="25" t="n">
        <x:v>1</x:v>
      </x:c>
      <x:c r="L756" s="27" t="b">
        <x:v>0</x:v>
      </x:c>
      <x:c r="M756" s="25" t="str">
        <x:v>Deepseek-flash-v4/state/Round1/shards/Math.json</x:v>
      </x:c>
      <x:c r="N756" s="25" t="str">
        <x:v>Deepseek-flash-v4/Result/Math_67/result.json</x:v>
      </x:c>
      <x:c r="O756" s="25" t="str">
        <x:v>Deepseek-flash-v4/Result/Math_67/result.json</x:v>
      </x:c>
      <x:c r="P756"/>
      <x:c r="Q756" s="21" t="str"/>
      <x:c r="R756" s="21" t="str"/>
      <x:c r="S756" s="21" t="str"/>
      <x:c r="T756" s="17" t="str">
        <x:v>false</x:v>
      </x:c>
      <x:c r="U756" s="17" t="str">
        <x:v>true</x:v>
      </x:c>
      <x:c r="V756" s="17" t="str">
        <x:v>false</x:v>
      </x:c>
    </x:row>
    <x:row r="757" ht="80" customHeight="1">
      <x:c r="A757" s="25" t="str">
        <x:v>Math</x:v>
      </x:c>
      <x:c r="B757" s="25" t="n">
        <x:v>68</x:v>
      </x:c>
      <x:c r="C757" s="25" t="str">
        <x:v>Round1</x:v>
      </x:c>
      <x:c r="D757" s="25" t="str">
        <x:v>NOT_AVAILABLE</x:v>
      </x:c>
      <x:c r="E757" s="25" t="str">
        <x:v>N/A</x:v>
      </x:c>
      <x:c r="F757" s="26" t="str">
        <x:v>Tests exist but current coverage did not complete</x:v>
      </x:c>
      <x:c r="G757" s="25" t="str">
        <x:v>true</x:v>
      </x:c>
      <x:c r="H757" s="25" t="str">
        <x:v>NOT_AVAILABLE</x:v>
      </x:c>
      <x:c r="I757" s="25" t="str">
        <x:v>NOT_RUN</x:v>
      </x:c>
      <x:c r="J757" s="25" t="str">
        <x:v>NOT_RUN</x:v>
      </x:c>
      <x:c r="K757" s="25" t="n">
        <x:v>1</x:v>
      </x:c>
      <x:c r="L757" s="27" t="b">
        <x:v>0</x:v>
      </x:c>
      <x:c r="M757" s="25" t="str">
        <x:v>Deepseek-flash-v4/state/Round1/shards/Math.json</x:v>
      </x:c>
      <x:c r="N757" s="25" t="str">
        <x:v>Deepseek-flash-v4/Result/Math_68/result.json</x:v>
      </x:c>
      <x:c r="O757" s="25" t="str">
        <x:v>Deepseek-flash-v4/Result/Math_68/result.json</x:v>
      </x:c>
      <x:c r="P757" t="str">
        <x:v>BOTH_NOT_RUN</x:v>
      </x:c>
      <x:c r="Q757" s="21" t="str"/>
      <x:c r="R757" s="21" t="str"/>
      <x:c r="S757" s="21" t="str"/>
      <x:c r="T757" s="17" t="str">
        <x:v>false</x:v>
      </x:c>
      <x:c r="U757" s="17" t="str">
        <x:v>true</x:v>
      </x:c>
      <x:c r="V757" s="17" t="str">
        <x:v>false</x:v>
      </x:c>
    </x:row>
    <x:row r="758" ht="80" customHeight="1">
      <x:c r="A758" s="25" t="str">
        <x:v>Math</x:v>
      </x:c>
      <x:c r="B758" s="25" t="n">
        <x:v>69</x:v>
      </x:c>
      <x:c r="C758" s="25" t="str">
        <x:v>Round1</x:v>
      </x:c>
      <x:c r="D758" s="25" t="str">
        <x:v>NOT_REVEALING</x:v>
      </x:c>
      <x:c r="E758" s="25" t="str">
        <x:v>N/A</x:v>
      </x:c>
      <x:c r="F758" s="26" t="str">
        <x:v>Same saved validation suite passed on buggy and fixed</x:v>
      </x:c>
      <x:c r="G758" s="25" t="str">
        <x:v>true</x:v>
      </x:c>
      <x:c r="H758" s="25" t="str">
        <x:v>NOT_REVEALING</x:v>
      </x:c>
      <x:c r="I758" s="25" t="str">
        <x:v>PASS</x:v>
      </x:c>
      <x:c r="J758" s="25" t="str">
        <x:v>PASS</x:v>
      </x:c>
      <x:c r="K758" s="25" t="n">
        <x:v>1</x:v>
      </x:c>
      <x:c r="L758" s="27" t="b">
        <x:v>0</x:v>
      </x:c>
      <x:c r="M758" s="25" t="str">
        <x:v>Deepseek-flash-v4/state/Round1/shards/Math.json</x:v>
      </x:c>
      <x:c r="N758" s="25" t="str">
        <x:v>Deepseek-flash-v4/Result/Math_69/result.json</x:v>
      </x:c>
      <x:c r="O758" s="25" t="str">
        <x:v>Deepseek-flash-v4/Result/Math_69/result.json</x:v>
      </x:c>
      <x:c r="P758"/>
      <x:c r="Q758" s="21" t="str"/>
      <x:c r="R758" s="21" t="str"/>
      <x:c r="S758" s="21" t="str"/>
      <x:c r="T758" s="17" t="str">
        <x:v>false</x:v>
      </x:c>
      <x:c r="U758" s="17" t="str">
        <x:v>true</x:v>
      </x:c>
      <x:c r="V758" s="17" t="str">
        <x:v>false</x:v>
      </x:c>
    </x:row>
    <x:row r="759" ht="80" customHeight="1">
      <x:c r="A759" s="25" t="str">
        <x:v>Math</x:v>
      </x:c>
      <x:c r="B759" s="25" t="n">
        <x:v>7</x:v>
      </x:c>
      <x:c r="C759" s="25" t="str">
        <x:v>Round1</x:v>
      </x:c>
      <x:c r="D759" s="25" t="str">
        <x:v>NOT_AVAILABLE</x:v>
      </x:c>
      <x:c r="E759" s="25" t="str">
        <x:v>N/A</x:v>
      </x:c>
      <x:c r="F759" s="26" t="str">
        <x:v>Tests exist but current coverage did not complete</x:v>
      </x:c>
      <x:c r="G759" s="25" t="str">
        <x:v>true</x:v>
      </x:c>
      <x:c r="H759" s="25" t="str">
        <x:v>NOT_AVAILABLE</x:v>
      </x:c>
      <x:c r="I759" s="25" t="str">
        <x:v>NOT_RUN</x:v>
      </x:c>
      <x:c r="J759" s="25" t="str">
        <x:v>NOT_RUN</x:v>
      </x:c>
      <x:c r="K759" s="25" t="n">
        <x:v>1</x:v>
      </x:c>
      <x:c r="L759" s="27" t="b">
        <x:v>0</x:v>
      </x:c>
      <x:c r="M759" s="25" t="str">
        <x:v>Deepseek-flash-v4/state/Round1/shards/Math.json</x:v>
      </x:c>
      <x:c r="N759" s="25" t="str">
        <x:v>Deepseek-flash-v4/Result/Math_7/result.json</x:v>
      </x:c>
      <x:c r="O759" s="25" t="str">
        <x:v>Deepseek-flash-v4/Result/Math_7/result.json</x:v>
      </x:c>
      <x:c r="P759" t="str">
        <x:v>BOTH_NOT_RUN</x:v>
      </x:c>
      <x:c r="Q759" s="21" t="str"/>
      <x:c r="R759" s="21" t="str"/>
      <x:c r="S759" s="21" t="str"/>
      <x:c r="T759" s="17" t="str">
        <x:v>false</x:v>
      </x:c>
      <x:c r="U759" s="17" t="str">
        <x:v>true</x:v>
      </x:c>
      <x:c r="V759" s="17" t="str">
        <x:v>false</x:v>
      </x:c>
    </x:row>
    <x:row r="760" ht="80" customHeight="1">
      <x:c r="A760" s="25" t="str">
        <x:v>Math</x:v>
      </x:c>
      <x:c r="B760" s="25" t="n">
        <x:v>70</x:v>
      </x:c>
      <x:c r="C760" s="25" t="str">
        <x:v>Round1</x:v>
      </x:c>
      <x:c r="D760" s="25" t="str">
        <x:v>INCONCLUSIVE</x:v>
      </x:c>
      <x:c r="E760" s="25" t="str">
        <x:v>N/A</x:v>
      </x:c>
      <x:c r="F760" s="26" t="str">
        <x:v>Fixed also failed; assertion failure cannot be attributed to this bug</x:v>
      </x:c>
      <x:c r="G760" s="25" t="str">
        <x:v>true</x:v>
      </x:c>
      <x:c r="H760" s="25" t="str">
        <x:v>INCONCLUSIVE</x:v>
      </x:c>
      <x:c r="I760" s="25" t="str">
        <x:v>FAIL</x:v>
      </x:c>
      <x:c r="J760" s="25" t="str">
        <x:v>FAIL</x:v>
      </x:c>
      <x:c r="K760" s="25" t="n">
        <x:v>1</x:v>
      </x:c>
      <x:c r="L760" s="27" t="b">
        <x:v>0</x:v>
      </x:c>
      <x:c r="M760" s="25" t="str">
        <x:v>Deepseek-flash-v4/state/Round1/shards/Math.json</x:v>
      </x:c>
      <x:c r="N760" s="25" t="str">
        <x:v>Deepseek-flash-v4/Result/Math_70/result.json</x:v>
      </x:c>
      <x:c r="O760" s="25" t="str">
        <x:v>Deepseek-flash-v4/Result/Math_70/result.json</x:v>
      </x:c>
      <x:c r="P760"/>
      <x:c r="Q760" s="21" t="str"/>
      <x:c r="R760" s="21" t="str"/>
      <x:c r="S760" s="21" t="str"/>
      <x:c r="T760" s="17" t="str">
        <x:v>false</x:v>
      </x:c>
      <x:c r="U760" s="17" t="str">
        <x:v>true</x:v>
      </x:c>
      <x:c r="V760" s="17" t="str">
        <x:v>false</x:v>
      </x:c>
    </x:row>
    <x:row r="761" ht="80" customHeight="1">
      <x:c r="A761" s="25" t="str">
        <x:v>Math</x:v>
      </x:c>
      <x:c r="B761" s="25" t="n">
        <x:v>71</x:v>
      </x:c>
      <x:c r="C761" s="25" t="str">
        <x:v>Round1</x:v>
      </x:c>
      <x:c r="D761" s="25" t="str">
        <x:v>NOT_AVAILABLE</x:v>
      </x:c>
      <x:c r="E761" s="25" t="str">
        <x:v>N/A</x:v>
      </x:c>
      <x:c r="F761" s="26" t="str">
        <x:v>Tests exist but current coverage did not complete</x:v>
      </x:c>
      <x:c r="G761" s="25" t="str">
        <x:v>true</x:v>
      </x:c>
      <x:c r="H761" s="25" t="str">
        <x:v>NOT_AVAILABLE</x:v>
      </x:c>
      <x:c r="I761" s="25" t="str">
        <x:v>NOT_RUN</x:v>
      </x:c>
      <x:c r="J761" s="25" t="str">
        <x:v>NOT_RUN</x:v>
      </x:c>
      <x:c r="K761" s="25" t="n">
        <x:v>2</x:v>
      </x:c>
      <x:c r="L761" s="27" t="b">
        <x:v>0</x:v>
      </x:c>
      <x:c r="M761" s="25" t="str">
        <x:v>Deepseek-flash-v4/state/Round1/shards/Math.json</x:v>
      </x:c>
      <x:c r="N761" s="25" t="str">
        <x:v>Deepseek-flash-v4/Result/Math_71/result.json</x:v>
      </x:c>
      <x:c r="O761" s="25" t="str">
        <x:v>Deepseek-flash-v4/Result/Math_71/result.json</x:v>
      </x:c>
      <x:c r="P761" t="str">
        <x:v>BOTH_NOT_RUN</x:v>
      </x:c>
      <x:c r="Q761" s="21" t="str"/>
      <x:c r="R761" s="21" t="str"/>
      <x:c r="S761" s="21" t="str"/>
      <x:c r="T761" s="17" t="str">
        <x:v>false</x:v>
      </x:c>
      <x:c r="U761" s="17" t="str">
        <x:v>true</x:v>
      </x:c>
      <x:c r="V761" s="17" t="str">
        <x:v>false</x:v>
      </x:c>
    </x:row>
    <x:row r="762" ht="80" customHeight="1">
      <x:c r="A762" s="25" t="str">
        <x:v>Math</x:v>
      </x:c>
      <x:c r="B762" s="25" t="n">
        <x:v>72</x:v>
      </x:c>
      <x:c r="C762" s="25" t="str">
        <x:v>Round1</x:v>
      </x:c>
      <x:c r="D762" s="25" t="str">
        <x:v>INCONCLUSIVE</x:v>
      </x:c>
      <x:c r="E762" s="25" t="str">
        <x:v>N/A</x:v>
      </x:c>
      <x:c r="F762" s="26" t="str">
        <x:v>Fixed also failed; assertion failure cannot be attributed to this bug</x:v>
      </x:c>
      <x:c r="G762" s="25" t="str">
        <x:v>true</x:v>
      </x:c>
      <x:c r="H762" s="25" t="str">
        <x:v>INCONCLUSIVE</x:v>
      </x:c>
      <x:c r="I762" s="25" t="str">
        <x:v>FAIL</x:v>
      </x:c>
      <x:c r="J762" s="25" t="str">
        <x:v>FAIL</x:v>
      </x:c>
      <x:c r="K762" s="25" t="n">
        <x:v>1</x:v>
      </x:c>
      <x:c r="L762" s="27" t="b">
        <x:v>0</x:v>
      </x:c>
      <x:c r="M762" s="25" t="str">
        <x:v>Deepseek-flash-v4/state/Round1/shards/Math.json</x:v>
      </x:c>
      <x:c r="N762" s="25" t="str">
        <x:v>Deepseek-flash-v4/Result/Math_72/result.json</x:v>
      </x:c>
      <x:c r="O762" s="25" t="str">
        <x:v>Deepseek-flash-v4/Result/Math_72/result.json</x:v>
      </x:c>
      <x:c r="P762"/>
      <x:c r="Q762" s="21" t="str"/>
      <x:c r="R762" s="21" t="str"/>
      <x:c r="S762" s="21" t="str"/>
      <x:c r="T762" s="17" t="str">
        <x:v>false</x:v>
      </x:c>
      <x:c r="U762" s="17" t="str">
        <x:v>true</x:v>
      </x:c>
      <x:c r="V762" s="17" t="str">
        <x:v>false</x:v>
      </x:c>
    </x:row>
    <x:row r="763" ht="80" customHeight="1">
      <x:c r="A763" s="25" t="str">
        <x:v>Math</x:v>
      </x:c>
      <x:c r="B763" s="25" t="n">
        <x:v>73</x:v>
      </x:c>
      <x:c r="C763" s="25" t="str">
        <x:v>Round1</x:v>
      </x:c>
      <x:c r="D763" s="25" t="str">
        <x:v>NOT_REVEALING</x:v>
      </x:c>
      <x:c r="E763" s="25" t="str">
        <x:v>N/A</x:v>
      </x:c>
      <x:c r="F763" s="26" t="str">
        <x:v>Same saved validation suite passed on buggy and fixed</x:v>
      </x:c>
      <x:c r="G763" s="25" t="str">
        <x:v>true</x:v>
      </x:c>
      <x:c r="H763" s="25" t="str">
        <x:v>NOT_REVEALING</x:v>
      </x:c>
      <x:c r="I763" s="25" t="str">
        <x:v>PASS</x:v>
      </x:c>
      <x:c r="J763" s="25" t="str">
        <x:v>PASS</x:v>
      </x:c>
      <x:c r="K763" s="25" t="n">
        <x:v>1</x:v>
      </x:c>
      <x:c r="L763" s="27" t="b">
        <x:v>0</x:v>
      </x:c>
      <x:c r="M763" s="25" t="str">
        <x:v>Deepseek-flash-v4/state/Round1/shards/Math.json</x:v>
      </x:c>
      <x:c r="N763" s="25" t="str">
        <x:v>Deepseek-flash-v4/Result/Math_73/result.json</x:v>
      </x:c>
      <x:c r="O763" s="25" t="str">
        <x:v>Deepseek-flash-v4/Result/Math_73/result.json</x:v>
      </x:c>
      <x:c r="P763"/>
      <x:c r="Q763" s="21" t="str"/>
      <x:c r="R763" s="21" t="str"/>
      <x:c r="S763" s="21" t="str"/>
      <x:c r="T763" s="17" t="str">
        <x:v>false</x:v>
      </x:c>
      <x:c r="U763" s="17" t="str">
        <x:v>true</x:v>
      </x:c>
      <x:c r="V763" s="17" t="str">
        <x:v>false</x:v>
      </x:c>
    </x:row>
    <x:row r="764" ht="80" customHeight="1">
      <x:c r="A764" s="25" t="str">
        <x:v>Math</x:v>
      </x:c>
      <x:c r="B764" s="25" t="n">
        <x:v>74</x:v>
      </x:c>
      <x:c r="C764" s="25" t="str">
        <x:v>Round1</x:v>
      </x:c>
      <x:c r="D764" s="25" t="str">
        <x:v>NOT_AVAILABLE</x:v>
      </x:c>
      <x:c r="E764" s="25" t="str">
        <x:v>N/A</x:v>
      </x:c>
      <x:c r="F764" s="26" t="str">
        <x:v>Tests exist but current coverage did not complete</x:v>
      </x:c>
      <x:c r="G764" s="25" t="str">
        <x:v>true</x:v>
      </x:c>
      <x:c r="H764" s="25" t="str">
        <x:v>NOT_AVAILABLE</x:v>
      </x:c>
      <x:c r="I764" s="25" t="str">
        <x:v>NOT_RUN</x:v>
      </x:c>
      <x:c r="J764" s="25" t="str">
        <x:v>NOT_RUN</x:v>
      </x:c>
      <x:c r="K764" s="25" t="n">
        <x:v>1</x:v>
      </x:c>
      <x:c r="L764" s="27" t="b">
        <x:v>0</x:v>
      </x:c>
      <x:c r="M764" s="25" t="str">
        <x:v>Deepseek-flash-v4/state/Round1/shards/Math.json</x:v>
      </x:c>
      <x:c r="N764" s="25" t="str">
        <x:v>Deepseek-flash-v4/Result/Math_74/result.json</x:v>
      </x:c>
      <x:c r="O764" s="25" t="str">
        <x:v>Deepseek-flash-v4/Result/Math_74/result.json</x:v>
      </x:c>
      <x:c r="P764" t="str">
        <x:v>BOTH_NOT_RUN</x:v>
      </x:c>
      <x:c r="Q764" s="21" t="str"/>
      <x:c r="R764" s="21" t="str"/>
      <x:c r="S764" s="21" t="str"/>
      <x:c r="T764" s="17" t="str">
        <x:v>false</x:v>
      </x:c>
      <x:c r="U764" s="17" t="str">
        <x:v>true</x:v>
      </x:c>
      <x:c r="V764" s="17" t="str">
        <x:v>false</x:v>
      </x:c>
    </x:row>
    <x:row r="765" ht="80" customHeight="1">
      <x:c r="A765" s="25" t="str">
        <x:v>Math</x:v>
      </x:c>
      <x:c r="B765" s="25" t="n">
        <x:v>75</x:v>
      </x:c>
      <x:c r="C765" s="25" t="str">
        <x:v>Round1</x:v>
      </x:c>
      <x:c r="D765" s="25" t="str">
        <x:v>INCONCLUSIVE</x:v>
      </x:c>
      <x:c r="E765" s="25" t="str">
        <x:v>N/A</x:v>
      </x:c>
      <x:c r="F765" s="26" t="str">
        <x:v>Fixed also failed; assertion failure cannot be attributed to this bug</x:v>
      </x:c>
      <x:c r="G765" s="25" t="str">
        <x:v>true</x:v>
      </x:c>
      <x:c r="H765" s="25" t="str">
        <x:v>INCONCLUSIVE</x:v>
      </x:c>
      <x:c r="I765" s="25" t="str">
        <x:v>FAIL</x:v>
      </x:c>
      <x:c r="J765" s="25" t="str">
        <x:v>FAIL</x:v>
      </x:c>
      <x:c r="K765" s="25" t="n">
        <x:v>1</x:v>
      </x:c>
      <x:c r="L765" s="27" t="b">
        <x:v>0</x:v>
      </x:c>
      <x:c r="M765" s="25" t="str">
        <x:v>Deepseek-flash-v4/state/Round1/shards/Math.json</x:v>
      </x:c>
      <x:c r="N765" s="25" t="str">
        <x:v>Deepseek-flash-v4/Result/Math_75/result.json</x:v>
      </x:c>
      <x:c r="O765" s="25" t="str">
        <x:v>Deepseek-flash-v4/Result/Math_75/result.json</x:v>
      </x:c>
      <x:c r="P765"/>
      <x:c r="Q765" s="21" t="str"/>
      <x:c r="R765" s="21" t="str"/>
      <x:c r="S765" s="21" t="str"/>
      <x:c r="T765" s="17" t="str">
        <x:v>false</x:v>
      </x:c>
      <x:c r="U765" s="17" t="str">
        <x:v>true</x:v>
      </x:c>
      <x:c r="V765" s="17" t="str">
        <x:v>false</x:v>
      </x:c>
    </x:row>
    <x:row r="766" ht="80" customHeight="1">
      <x:c r="A766" s="25" t="str">
        <x:v>Math</x:v>
      </x:c>
      <x:c r="B766" s="25" t="n">
        <x:v>76</x:v>
      </x:c>
      <x:c r="C766" s="25" t="str">
        <x:v>Round1</x:v>
      </x:c>
      <x:c r="D766" s="25" t="str">
        <x:v>INCONCLUSIVE</x:v>
      </x:c>
      <x:c r="E766" s="25" t="str">
        <x:v>N/A</x:v>
      </x:c>
      <x:c r="F766" s="26" t="str">
        <x:v>Fixed also failed; assertion failure cannot be attributed to this bug</x:v>
      </x:c>
      <x:c r="G766" s="25" t="str">
        <x:v>true</x:v>
      </x:c>
      <x:c r="H766" s="25" t="str">
        <x:v>INCONCLUSIVE</x:v>
      </x:c>
      <x:c r="I766" s="25" t="str">
        <x:v>FAIL</x:v>
      </x:c>
      <x:c r="J766" s="25" t="str">
        <x:v>FAIL</x:v>
      </x:c>
      <x:c r="K766" s="25" t="n">
        <x:v>1</x:v>
      </x:c>
      <x:c r="L766" s="27" t="b">
        <x:v>0</x:v>
      </x:c>
      <x:c r="M766" s="25" t="str">
        <x:v>Deepseek-flash-v4/state/Round1/shards/Math.json</x:v>
      </x:c>
      <x:c r="N766" s="25" t="str">
        <x:v>Deepseek-flash-v4/Result/Math_76/result.json</x:v>
      </x:c>
      <x:c r="O766" s="25" t="str">
        <x:v>Deepseek-flash-v4/Result/Math_76/result.json</x:v>
      </x:c>
      <x:c r="P766"/>
      <x:c r="Q766" s="21" t="str"/>
      <x:c r="R766" s="21" t="str"/>
      <x:c r="S766" s="21" t="str"/>
      <x:c r="T766" s="17" t="str">
        <x:v>false</x:v>
      </x:c>
      <x:c r="U766" s="17" t="str">
        <x:v>true</x:v>
      </x:c>
      <x:c r="V766" s="17" t="str">
        <x:v>false</x:v>
      </x:c>
    </x:row>
    <x:row r="767" ht="80" customHeight="1">
      <x:c r="A767" s="25" t="str">
        <x:v>Math</x:v>
      </x:c>
      <x:c r="B767" s="25" t="n">
        <x:v>77</x:v>
      </x:c>
      <x:c r="C767" s="25" t="str">
        <x:v>Round1</x:v>
      </x:c>
      <x:c r="D767" s="25" t="str">
        <x:v>NOT_AVAILABLE</x:v>
      </x:c>
      <x:c r="E767" s="25" t="str">
        <x:v>N/A</x:v>
      </x:c>
      <x:c r="F767" s="26" t="str">
        <x:v>Tests exist but current coverage did not complete</x:v>
      </x:c>
      <x:c r="G767" s="25" t="str">
        <x:v>true</x:v>
      </x:c>
      <x:c r="H767" s="25" t="str">
        <x:v>NOT_AVAILABLE</x:v>
      </x:c>
      <x:c r="I767" s="25" t="str">
        <x:v>NOT_RUN</x:v>
      </x:c>
      <x:c r="J767" s="25" t="str">
        <x:v>NOT_RUN</x:v>
      </x:c>
      <x:c r="K767" s="25" t="n">
        <x:v>2</x:v>
      </x:c>
      <x:c r="L767" s="27" t="b">
        <x:v>0</x:v>
      </x:c>
      <x:c r="M767" s="25" t="str">
        <x:v>Deepseek-flash-v4/state/Round1/shards/Math.json</x:v>
      </x:c>
      <x:c r="N767" s="25" t="str">
        <x:v>Deepseek-flash-v4/Result/Math_77/result.json</x:v>
      </x:c>
      <x:c r="O767" s="25" t="str">
        <x:v>Deepseek-flash-v4/Result/Math_77/result.json</x:v>
      </x:c>
      <x:c r="P767" t="str">
        <x:v>BOTH_NOT_RUN</x:v>
      </x:c>
      <x:c r="Q767" s="21" t="str"/>
      <x:c r="R767" s="21" t="str"/>
      <x:c r="S767" s="21" t="str"/>
      <x:c r="T767" s="17" t="str">
        <x:v>false</x:v>
      </x:c>
      <x:c r="U767" s="17" t="str">
        <x:v>true</x:v>
      </x:c>
      <x:c r="V767" s="17" t="str">
        <x:v>false</x:v>
      </x:c>
    </x:row>
    <x:row r="768" ht="80" customHeight="1">
      <x:c r="A768" s="25" t="str">
        <x:v>Math</x:v>
      </x:c>
      <x:c r="B768" s="25" t="n">
        <x:v>78</x:v>
      </x:c>
      <x:c r="C768" s="25" t="str">
        <x:v>Round1</x:v>
      </x:c>
      <x:c r="D768" s="25" t="str">
        <x:v>NOT_AVAILABLE</x:v>
      </x:c>
      <x:c r="E768" s="25" t="str">
        <x:v>N/A</x:v>
      </x:c>
      <x:c r="F768" s="26" t="str">
        <x:v>Tests exist but current coverage did not complete</x:v>
      </x:c>
      <x:c r="G768" s="25" t="str">
        <x:v>true</x:v>
      </x:c>
      <x:c r="H768" s="25" t="str">
        <x:v>NOT_AVAILABLE</x:v>
      </x:c>
      <x:c r="I768" s="25" t="str">
        <x:v>NOT_RUN</x:v>
      </x:c>
      <x:c r="J768" s="25" t="str">
        <x:v>NOT_RUN</x:v>
      </x:c>
      <x:c r="K768" s="25" t="n">
        <x:v>1</x:v>
      </x:c>
      <x:c r="L768" s="27" t="b">
        <x:v>0</x:v>
      </x:c>
      <x:c r="M768" s="25" t="str">
        <x:v>Deepseek-flash-v4/state/Round1/shards/Math.json</x:v>
      </x:c>
      <x:c r="N768" s="25" t="str">
        <x:v>Deepseek-flash-v4/Result/Math_78/result.json</x:v>
      </x:c>
      <x:c r="O768" s="25" t="str">
        <x:v>Deepseek-flash-v4/Result/Math_78/result.json</x:v>
      </x:c>
      <x:c r="P768" t="str">
        <x:v>BOTH_NOT_RUN</x:v>
      </x:c>
      <x:c r="Q768" s="21" t="str"/>
      <x:c r="R768" s="21" t="str"/>
      <x:c r="S768" s="21" t="str"/>
      <x:c r="T768" s="17" t="str">
        <x:v>false</x:v>
      </x:c>
      <x:c r="U768" s="17" t="str">
        <x:v>true</x:v>
      </x:c>
      <x:c r="V768" s="17" t="str">
        <x:v>false</x:v>
      </x:c>
    </x:row>
    <x:row r="769" ht="80" customHeight="1">
      <x:c r="A769" s="25" t="str">
        <x:v>Math</x:v>
      </x:c>
      <x:c r="B769" s="25" t="n">
        <x:v>79</x:v>
      </x:c>
      <x:c r="C769" s="25" t="str">
        <x:v>Round1</x:v>
      </x:c>
      <x:c r="D769" s="25" t="str">
        <x:v>INCONCLUSIVE</x:v>
      </x:c>
      <x:c r="E769" s="25" t="str">
        <x:v>N/A</x:v>
      </x:c>
      <x:c r="F769" s="26" t="str">
        <x:v>Fixed also failed; assertion failure cannot be attributed to this bug</x:v>
      </x:c>
      <x:c r="G769" s="25" t="str">
        <x:v>true</x:v>
      </x:c>
      <x:c r="H769" s="25" t="str">
        <x:v>INCONCLUSIVE</x:v>
      </x:c>
      <x:c r="I769" s="25" t="str">
        <x:v>FAIL</x:v>
      </x:c>
      <x:c r="J769" s="25" t="str">
        <x:v>FAIL</x:v>
      </x:c>
      <x:c r="K769" s="25" t="n">
        <x:v>1</x:v>
      </x:c>
      <x:c r="L769" s="27" t="b">
        <x:v>0</x:v>
      </x:c>
      <x:c r="M769" s="25" t="str">
        <x:v>Deepseek-flash-v4/state/Round1/shards/Math.json</x:v>
      </x:c>
      <x:c r="N769" s="25" t="str">
        <x:v>Deepseek-flash-v4/Result/Math_79/result.json</x:v>
      </x:c>
      <x:c r="O769" s="25" t="str">
        <x:v>Deepseek-flash-v4/Result/Math_79/result.json</x:v>
      </x:c>
      <x:c r="P769"/>
      <x:c r="Q769" s="21" t="str"/>
      <x:c r="R769" s="21" t="str"/>
      <x:c r="S769" s="21" t="str"/>
      <x:c r="T769" s="17" t="str">
        <x:v>false</x:v>
      </x:c>
      <x:c r="U769" s="17" t="str">
        <x:v>true</x:v>
      </x:c>
      <x:c r="V769" s="17" t="str">
        <x:v>false</x:v>
      </x:c>
    </x:row>
    <x:row r="770" ht="80" customHeight="1">
      <x:c r="A770" s="25" t="str">
        <x:v>Math</x:v>
      </x:c>
      <x:c r="B770" s="25" t="n">
        <x:v>8</x:v>
      </x:c>
      <x:c r="C770" s="25" t="str">
        <x:v>Round1</x:v>
      </x:c>
      <x:c r="D770" s="25" t="str">
        <x:v>NOT_AVAILABLE</x:v>
      </x:c>
      <x:c r="E770" s="25" t="str">
        <x:v>N/A</x:v>
      </x:c>
      <x:c r="F770" s="26" t="str">
        <x:v>fixed test_compile=FAIL</x:v>
      </x:c>
      <x:c r="G770" s="25" t="str">
        <x:v>true</x:v>
      </x:c>
      <x:c r="H770" s="25" t="str">
        <x:v>NOT_AVAILABLE</x:v>
      </x:c>
      <x:c r="I770" s="25" t="str">
        <x:v>PASS</x:v>
      </x:c>
      <x:c r="J770" s="25" t="str">
        <x:v>NOT_RUN</x:v>
      </x:c>
      <x:c r="K770" s="25" t="n">
        <x:v>1</x:v>
      </x:c>
      <x:c r="L770" s="27" t="b">
        <x:v>0</x:v>
      </x:c>
      <x:c r="M770" s="25" t="str">
        <x:v>Deepseek-flash-v4/state/Round1/shards/Math.json</x:v>
      </x:c>
      <x:c r="N770" s="25" t="str">
        <x:v>Deepseek-flash-v4/Result/Math_8/result.json</x:v>
      </x:c>
      <x:c r="O770" s="25" t="str">
        <x:v>Deepseek-flash-v4/Result/Math_8/result.json</x:v>
      </x:c>
      <x:c r="P770" t="str">
        <x:v>FIXED_NOT_RUN</x:v>
      </x:c>
      <x:c r="Q770" s="21" t="str"/>
      <x:c r="R770" s="21" t="str"/>
      <x:c r="S770" s="21" t="str"/>
      <x:c r="T770" s="17" t="str">
        <x:v>false</x:v>
      </x:c>
      <x:c r="U770" s="17" t="str">
        <x:v>true</x:v>
      </x:c>
      <x:c r="V770" s="17" t="str">
        <x:v>false</x:v>
      </x:c>
    </x:row>
    <x:row r="771" ht="80" customHeight="1">
      <x:c r="A771" s="25" t="str">
        <x:v>Math</x:v>
      </x:c>
      <x:c r="B771" s="25" t="n">
        <x:v>80</x:v>
      </x:c>
      <x:c r="C771" s="25" t="str">
        <x:v>Round1</x:v>
      </x:c>
      <x:c r="D771" s="25" t="str">
        <x:v>INCONCLUSIVE</x:v>
      </x:c>
      <x:c r="E771" s="25" t="str">
        <x:v>N/A</x:v>
      </x:c>
      <x:c r="F771" s="26" t="str">
        <x:v>Fixed also failed; assertion failure cannot be attributed to this bug</x:v>
      </x:c>
      <x:c r="G771" s="25" t="str">
        <x:v>true</x:v>
      </x:c>
      <x:c r="H771" s="25" t="str">
        <x:v>INCONCLUSIVE</x:v>
      </x:c>
      <x:c r="I771" s="25" t="str">
        <x:v>FAIL</x:v>
      </x:c>
      <x:c r="J771" s="25" t="str">
        <x:v>FAIL</x:v>
      </x:c>
      <x:c r="K771" s="25" t="n">
        <x:v>1</x:v>
      </x:c>
      <x:c r="L771" s="27" t="b">
        <x:v>0</x:v>
      </x:c>
      <x:c r="M771" s="25" t="str">
        <x:v>Deepseek-flash-v4/state/Round1/shards/Math.json</x:v>
      </x:c>
      <x:c r="N771" s="25" t="str">
        <x:v>Deepseek-flash-v4/Result/Math_80/result.json</x:v>
      </x:c>
      <x:c r="O771" s="25" t="str">
        <x:v>Deepseek-flash-v4/Result/Math_80/result.json</x:v>
      </x:c>
      <x:c r="P771"/>
      <x:c r="Q771" s="21" t="str"/>
      <x:c r="R771" s="21" t="str"/>
      <x:c r="S771" s="21" t="str"/>
      <x:c r="T771" s="17" t="str">
        <x:v>false</x:v>
      </x:c>
      <x:c r="U771" s="17" t="str">
        <x:v>true</x:v>
      </x:c>
      <x:c r="V771" s="17" t="str">
        <x:v>false</x:v>
      </x:c>
    </x:row>
    <x:row r="772" ht="80" customHeight="1">
      <x:c r="A772" s="25" t="str">
        <x:v>Math</x:v>
      </x:c>
      <x:c r="B772" s="25" t="n">
        <x:v>81</x:v>
      </x:c>
      <x:c r="C772" s="25" t="str">
        <x:v>Round1</x:v>
      </x:c>
      <x:c r="D772" s="25" t="str">
        <x:v>NOT_REVEALING</x:v>
      </x:c>
      <x:c r="E772" s="25" t="str">
        <x:v>N/A</x:v>
      </x:c>
      <x:c r="F772" s="26" t="str">
        <x:v>Same saved validation suite passed on buggy and fixed</x:v>
      </x:c>
      <x:c r="G772" s="25" t="str">
        <x:v>true</x:v>
      </x:c>
      <x:c r="H772" s="25" t="str">
        <x:v>NOT_REVEALING</x:v>
      </x:c>
      <x:c r="I772" s="25" t="str">
        <x:v>PASS</x:v>
      </x:c>
      <x:c r="J772" s="25" t="str">
        <x:v>PASS</x:v>
      </x:c>
      <x:c r="K772" s="25" t="n">
        <x:v>1</x:v>
      </x:c>
      <x:c r="L772" s="27" t="b">
        <x:v>0</x:v>
      </x:c>
      <x:c r="M772" s="25" t="str">
        <x:v>Deepseek-flash-v4/state/Round1/shards/Math.json</x:v>
      </x:c>
      <x:c r="N772" s="25" t="str">
        <x:v>Deepseek-flash-v4/Result/Math_81/result.json</x:v>
      </x:c>
      <x:c r="O772" s="25" t="str">
        <x:v>Deepseek-flash-v4/Result/Math_81/result.json</x:v>
      </x:c>
      <x:c r="P772"/>
      <x:c r="Q772" s="21" t="str"/>
      <x:c r="R772" s="21" t="str"/>
      <x:c r="S772" s="21" t="str"/>
      <x:c r="T772" s="17" t="str">
        <x:v>false</x:v>
      </x:c>
      <x:c r="U772" s="17" t="str">
        <x:v>true</x:v>
      </x:c>
      <x:c r="V772" s="17" t="str">
        <x:v>false</x:v>
      </x:c>
    </x:row>
    <x:row r="773" ht="80" customHeight="1">
      <x:c r="A773" s="25" t="str">
        <x:v>Math</x:v>
      </x:c>
      <x:c r="B773" s="25" t="n">
        <x:v>82</x:v>
      </x:c>
      <x:c r="C773" s="25" t="str">
        <x:v>Round1</x:v>
      </x:c>
      <x:c r="D773" s="25" t="str">
        <x:v>NOT_AVAILABLE</x:v>
      </x:c>
      <x:c r="E773" s="25" t="str">
        <x:v>N/A</x:v>
      </x:c>
      <x:c r="F773" s="26" t="str">
        <x:v>Tests exist but current coverage did not complete</x:v>
      </x:c>
      <x:c r="G773" s="25" t="str">
        <x:v>true</x:v>
      </x:c>
      <x:c r="H773" s="25" t="str">
        <x:v>NOT_AVAILABLE</x:v>
      </x:c>
      <x:c r="I773" s="25" t="str">
        <x:v>NOT_RUN</x:v>
      </x:c>
      <x:c r="J773" s="25" t="str">
        <x:v>NOT_RUN</x:v>
      </x:c>
      <x:c r="K773" s="25" t="n">
        <x:v>1</x:v>
      </x:c>
      <x:c r="L773" s="27" t="b">
        <x:v>0</x:v>
      </x:c>
      <x:c r="M773" s="25" t="str">
        <x:v>Deepseek-flash-v4/state/Round1/shards/Math.json</x:v>
      </x:c>
      <x:c r="N773" s="25" t="str">
        <x:v>Deepseek-flash-v4/Result/Math_82/result.json</x:v>
      </x:c>
      <x:c r="O773" s="25" t="str">
        <x:v>Deepseek-flash-v4/Result/Math_82/result.json</x:v>
      </x:c>
      <x:c r="P773" t="str">
        <x:v>BOTH_NOT_RUN</x:v>
      </x:c>
      <x:c r="Q773" s="21" t="str"/>
      <x:c r="R773" s="21" t="str"/>
      <x:c r="S773" s="21" t="str"/>
      <x:c r="T773" s="17" t="str">
        <x:v>false</x:v>
      </x:c>
      <x:c r="U773" s="17" t="str">
        <x:v>true</x:v>
      </x:c>
      <x:c r="V773" s="17" t="str">
        <x:v>false</x:v>
      </x:c>
    </x:row>
    <x:row r="774" ht="80" customHeight="1">
      <x:c r="A774" s="25" t="str">
        <x:v>Math</x:v>
      </x:c>
      <x:c r="B774" s="25" t="n">
        <x:v>83</x:v>
      </x:c>
      <x:c r="C774" s="25" t="str">
        <x:v>Round1</x:v>
      </x:c>
      <x:c r="D774" s="25" t="str">
        <x:v>NOT_AVAILABLE</x:v>
      </x:c>
      <x:c r="E774" s="25" t="str">
        <x:v>N/A</x:v>
      </x:c>
      <x:c r="F774" s="26" t="str">
        <x:v>Tests exist but current coverage did not complete</x:v>
      </x:c>
      <x:c r="G774" s="25" t="str">
        <x:v>true</x:v>
      </x:c>
      <x:c r="H774" s="25" t="str">
        <x:v>NOT_AVAILABLE</x:v>
      </x:c>
      <x:c r="I774" s="25" t="str">
        <x:v>NOT_RUN</x:v>
      </x:c>
      <x:c r="J774" s="25" t="str">
        <x:v>NOT_RUN</x:v>
      </x:c>
      <x:c r="K774" s="25" t="n">
        <x:v>1</x:v>
      </x:c>
      <x:c r="L774" s="27" t="b">
        <x:v>0</x:v>
      </x:c>
      <x:c r="M774" s="25" t="str">
        <x:v>Deepseek-flash-v4/state/Round1/shards/Math.json</x:v>
      </x:c>
      <x:c r="N774" s="25" t="str">
        <x:v>Deepseek-flash-v4/Result/Math_83/result.json</x:v>
      </x:c>
      <x:c r="O774" s="25" t="str">
        <x:v>Deepseek-flash-v4/Result/Math_83/result.json</x:v>
      </x:c>
      <x:c r="P774" t="str">
        <x:v>BOTH_NOT_RUN</x:v>
      </x:c>
      <x:c r="Q774" s="21" t="str"/>
      <x:c r="R774" s="21" t="str"/>
      <x:c r="S774" s="21" t="str"/>
      <x:c r="T774" s="17" t="str">
        <x:v>false</x:v>
      </x:c>
      <x:c r="U774" s="17" t="str">
        <x:v>true</x:v>
      </x:c>
      <x:c r="V774" s="17" t="str">
        <x:v>false</x:v>
      </x:c>
    </x:row>
    <x:row r="775" ht="80" customHeight="1">
      <x:c r="A775" s="25" t="str">
        <x:v>Math</x:v>
      </x:c>
      <x:c r="B775" s="25" t="n">
        <x:v>84</x:v>
      </x:c>
      <x:c r="C775" s="25" t="str">
        <x:v>Round1</x:v>
      </x:c>
      <x:c r="D775" s="25" t="str">
        <x:v>NOT_AVAILABLE</x:v>
      </x:c>
      <x:c r="E775" s="25" t="str">
        <x:v>N/A</x:v>
      </x:c>
      <x:c r="F775" s="26" t="str">
        <x:v>Tests exist but current coverage did not complete</x:v>
      </x:c>
      <x:c r="G775" s="25" t="str">
        <x:v>true</x:v>
      </x:c>
      <x:c r="H775" s="25" t="str">
        <x:v>NOT_AVAILABLE</x:v>
      </x:c>
      <x:c r="I775" s="25" t="str">
        <x:v>NOT_RUN</x:v>
      </x:c>
      <x:c r="J775" s="25" t="str">
        <x:v>NOT_RUN</x:v>
      </x:c>
      <x:c r="K775" s="25" t="n">
        <x:v>1</x:v>
      </x:c>
      <x:c r="L775" s="27" t="b">
        <x:v>0</x:v>
      </x:c>
      <x:c r="M775" s="25" t="str">
        <x:v>Deepseek-flash-v4/state/Round1/shards/Math.json</x:v>
      </x:c>
      <x:c r="N775" s="25" t="str">
        <x:v>Deepseek-flash-v4/Result/Math_84/result.json</x:v>
      </x:c>
      <x:c r="O775" s="25" t="str">
        <x:v>Deepseek-flash-v4/Result/Math_84/result.json</x:v>
      </x:c>
      <x:c r="P775" t="str">
        <x:v>BOTH_NOT_RUN</x:v>
      </x:c>
      <x:c r="Q775" s="21" t="str"/>
      <x:c r="R775" s="21" t="str"/>
      <x:c r="S775" s="21" t="str"/>
      <x:c r="T775" s="17" t="str">
        <x:v>false</x:v>
      </x:c>
      <x:c r="U775" s="17" t="str">
        <x:v>true</x:v>
      </x:c>
      <x:c r="V775" s="17" t="str">
        <x:v>false</x:v>
      </x:c>
    </x:row>
    <x:row r="776" ht="80" customHeight="1">
      <x:c r="A776" s="25" t="str">
        <x:v>Math</x:v>
      </x:c>
      <x:c r="B776" s="25" t="n">
        <x:v>85</x:v>
      </x:c>
      <x:c r="C776" s="25" t="str">
        <x:v>Round1</x:v>
      </x:c>
      <x:c r="D776" s="25" t="str">
        <x:v>REVEALING</x:v>
      </x:c>
      <x:c r="E776" s="25" t="str">
        <x:v>N/A</x:v>
      </x:c>
      <x:c r="F776" s="26" t="str">
        <x:v>Same saved validation suite failed on buggy and passed on fixed</x:v>
      </x:c>
      <x:c r="G776" s="25" t="str">
        <x:v>true</x:v>
      </x:c>
      <x:c r="H776" s="25" t="str">
        <x:v>REVEALING</x:v>
      </x:c>
      <x:c r="I776" s="25" t="str">
        <x:v>FAIL</x:v>
      </x:c>
      <x:c r="J776" s="25" t="str">
        <x:v>PASS</x:v>
      </x:c>
      <x:c r="K776" s="25" t="n">
        <x:v>1</x:v>
      </x:c>
      <x:c r="L776" s="27" t="b">
        <x:v>0</x:v>
      </x:c>
      <x:c r="M776" s="25" t="str">
        <x:v>Deepseek-flash-v4/state/Round1/shards/Math.json</x:v>
      </x:c>
      <x:c r="N776" s="25" t="str">
        <x:v>Deepseek-flash-v4/Result/Math_85/result.json</x:v>
      </x:c>
      <x:c r="O776" s="25" t="str">
        <x:v>Deepseek-flash-v4/Result/Math_85/result.json</x:v>
      </x:c>
      <x:c r="P776"/>
      <x:c r="Q776" s="21" t="str"/>
      <x:c r="R776" s="21" t="str"/>
      <x:c r="S776" s="21" t="str"/>
      <x:c r="T776" s="17" t="str">
        <x:v>false</x:v>
      </x:c>
      <x:c r="U776" s="17" t="str">
        <x:v>true</x:v>
      </x:c>
      <x:c r="V776" s="17" t="str">
        <x:v>false</x:v>
      </x:c>
    </x:row>
    <x:row r="777" ht="80" customHeight="1">
      <x:c r="A777" s="25" t="str">
        <x:v>Math</x:v>
      </x:c>
      <x:c r="B777" s="25" t="n">
        <x:v>86</x:v>
      </x:c>
      <x:c r="C777" s="25" t="str">
        <x:v>Round1</x:v>
      </x:c>
      <x:c r="D777" s="25" t="str">
        <x:v>NOT_AVAILABLE</x:v>
      </x:c>
      <x:c r="E777" s="25" t="str">
        <x:v>N/A</x:v>
      </x:c>
      <x:c r="F777" s="26" t="str">
        <x:v>Tests exist but current coverage did not complete</x:v>
      </x:c>
      <x:c r="G777" s="25" t="str">
        <x:v>true</x:v>
      </x:c>
      <x:c r="H777" s="25" t="str">
        <x:v>NOT_AVAILABLE</x:v>
      </x:c>
      <x:c r="I777" s="25" t="str">
        <x:v>NOT_RUN</x:v>
      </x:c>
      <x:c r="J777" s="25" t="str">
        <x:v>NOT_RUN</x:v>
      </x:c>
      <x:c r="K777" s="25" t="n">
        <x:v>1</x:v>
      </x:c>
      <x:c r="L777" s="27" t="b">
        <x:v>0</x:v>
      </x:c>
      <x:c r="M777" s="25" t="str">
        <x:v>Deepseek-flash-v4/state/Round1/shards/Math.json</x:v>
      </x:c>
      <x:c r="N777" s="25" t="str">
        <x:v>Deepseek-flash-v4/Result/Math_86/result.json</x:v>
      </x:c>
      <x:c r="O777" s="25" t="str">
        <x:v>Deepseek-flash-v4/Result/Math_86/result.json</x:v>
      </x:c>
      <x:c r="P777" t="str">
        <x:v>BOTH_NOT_RUN</x:v>
      </x:c>
      <x:c r="Q777" s="21" t="str"/>
      <x:c r="R777" s="21" t="str"/>
      <x:c r="S777" s="21" t="str"/>
      <x:c r="T777" s="17" t="str">
        <x:v>false</x:v>
      </x:c>
      <x:c r="U777" s="17" t="str">
        <x:v>true</x:v>
      </x:c>
      <x:c r="V777" s="17" t="str">
        <x:v>false</x:v>
      </x:c>
    </x:row>
    <x:row r="778" ht="80" customHeight="1">
      <x:c r="A778" s="25" t="str">
        <x:v>Math</x:v>
      </x:c>
      <x:c r="B778" s="25" t="n">
        <x:v>87</x:v>
      </x:c>
      <x:c r="C778" s="25" t="str">
        <x:v>Round1</x:v>
      </x:c>
      <x:c r="D778" s="25" t="str">
        <x:v>NOT_REVEALING</x:v>
      </x:c>
      <x:c r="E778" s="25" t="str">
        <x:v>N/A</x:v>
      </x:c>
      <x:c r="F778" s="26" t="str">
        <x:v>Same saved validation suite passed on buggy and fixed</x:v>
      </x:c>
      <x:c r="G778" s="25" t="str">
        <x:v>true</x:v>
      </x:c>
      <x:c r="H778" s="25" t="str">
        <x:v>NOT_REVEALING</x:v>
      </x:c>
      <x:c r="I778" s="25" t="str">
        <x:v>PASS</x:v>
      </x:c>
      <x:c r="J778" s="25" t="str">
        <x:v>PASS</x:v>
      </x:c>
      <x:c r="K778" s="25" t="n">
        <x:v>1</x:v>
      </x:c>
      <x:c r="L778" s="27" t="b">
        <x:v>0</x:v>
      </x:c>
      <x:c r="M778" s="25" t="str">
        <x:v>Deepseek-flash-v4/state/Round1/shards/Math.json</x:v>
      </x:c>
      <x:c r="N778" s="25" t="str">
        <x:v>Deepseek-flash-v4/Result/Math_87/result.json</x:v>
      </x:c>
      <x:c r="O778" s="25" t="str">
        <x:v>Deepseek-flash-v4/Result/Math_87/result.json</x:v>
      </x:c>
      <x:c r="P778"/>
      <x:c r="Q778" s="21" t="str"/>
      <x:c r="R778" s="21" t="str"/>
      <x:c r="S778" s="21" t="str"/>
      <x:c r="T778" s="17" t="str">
        <x:v>false</x:v>
      </x:c>
      <x:c r="U778" s="17" t="str">
        <x:v>true</x:v>
      </x:c>
      <x:c r="V778" s="17" t="str">
        <x:v>false</x:v>
      </x:c>
    </x:row>
    <x:row r="779" ht="80" customHeight="1">
      <x:c r="A779" s="25" t="str">
        <x:v>Math</x:v>
      </x:c>
      <x:c r="B779" s="25" t="n">
        <x:v>88</x:v>
      </x:c>
      <x:c r="C779" s="25" t="str">
        <x:v>Round1</x:v>
      </x:c>
      <x:c r="D779" s="25" t="str">
        <x:v>NOT_AVAILABLE</x:v>
      </x:c>
      <x:c r="E779" s="25" t="str">
        <x:v>N/A</x:v>
      </x:c>
      <x:c r="F779" s="26" t="str">
        <x:v>Tests exist but current coverage did not complete</x:v>
      </x:c>
      <x:c r="G779" s="25" t="str">
        <x:v>true</x:v>
      </x:c>
      <x:c r="H779" s="25" t="str">
        <x:v>NOT_AVAILABLE</x:v>
      </x:c>
      <x:c r="I779" s="25" t="str">
        <x:v>NOT_RUN</x:v>
      </x:c>
      <x:c r="J779" s="25" t="str">
        <x:v>NOT_RUN</x:v>
      </x:c>
      <x:c r="K779" s="25" t="n">
        <x:v>1</x:v>
      </x:c>
      <x:c r="L779" s="27" t="b">
        <x:v>0</x:v>
      </x:c>
      <x:c r="M779" s="25" t="str">
        <x:v>Deepseek-flash-v4/state/Round1/shards/Math.json</x:v>
      </x:c>
      <x:c r="N779" s="25" t="str">
        <x:v>Deepseek-flash-v4/Result/Math_88/result.json</x:v>
      </x:c>
      <x:c r="O779" s="25" t="str">
        <x:v>Deepseek-flash-v4/Result/Math_88/result.json</x:v>
      </x:c>
      <x:c r="P779" t="str">
        <x:v>BOTH_NOT_RUN</x:v>
      </x:c>
      <x:c r="Q779" s="21" t="str"/>
      <x:c r="R779" s="21" t="str"/>
      <x:c r="S779" s="21" t="str"/>
      <x:c r="T779" s="17" t="str">
        <x:v>false</x:v>
      </x:c>
      <x:c r="U779" s="17" t="str">
        <x:v>true</x:v>
      </x:c>
      <x:c r="V779" s="17" t="str">
        <x:v>false</x:v>
      </x:c>
    </x:row>
    <x:row r="780" ht="80" customHeight="1">
      <x:c r="A780" s="25" t="str">
        <x:v>Math</x:v>
      </x:c>
      <x:c r="B780" s="25" t="n">
        <x:v>89</x:v>
      </x:c>
      <x:c r="C780" s="25" t="str">
        <x:v>Round1</x:v>
      </x:c>
      <x:c r="D780" s="25" t="str">
        <x:v>NOT_REVEALING</x:v>
      </x:c>
      <x:c r="E780" s="25" t="str">
        <x:v>N/A</x:v>
      </x:c>
      <x:c r="F780" s="26" t="str">
        <x:v>Same saved validation suite passed on buggy and fixed</x:v>
      </x:c>
      <x:c r="G780" s="25" t="str">
        <x:v>true</x:v>
      </x:c>
      <x:c r="H780" s="25" t="str">
        <x:v>NOT_REVEALING</x:v>
      </x:c>
      <x:c r="I780" s="25" t="str">
        <x:v>PASS</x:v>
      </x:c>
      <x:c r="J780" s="25" t="str">
        <x:v>PASS</x:v>
      </x:c>
      <x:c r="K780" s="25" t="n">
        <x:v>1</x:v>
      </x:c>
      <x:c r="L780" s="27" t="b">
        <x:v>0</x:v>
      </x:c>
      <x:c r="M780" s="25" t="str">
        <x:v>Deepseek-flash-v4/state/Round1/shards/Math.json</x:v>
      </x:c>
      <x:c r="N780" s="25" t="str">
        <x:v>Deepseek-flash-v4/Result/Math_89/result.json</x:v>
      </x:c>
      <x:c r="O780" s="25" t="str">
        <x:v>Deepseek-flash-v4/Result/Math_89/result.json</x:v>
      </x:c>
      <x:c r="P780"/>
      <x:c r="Q780" s="21" t="str"/>
      <x:c r="R780" s="21" t="str"/>
      <x:c r="S780" s="21" t="str"/>
      <x:c r="T780" s="17" t="str">
        <x:v>false</x:v>
      </x:c>
      <x:c r="U780" s="17" t="str">
        <x:v>true</x:v>
      </x:c>
      <x:c r="V780" s="17" t="str">
        <x:v>false</x:v>
      </x:c>
    </x:row>
    <x:row r="781" ht="80" customHeight="1">
      <x:c r="A781" s="25" t="str">
        <x:v>Math</x:v>
      </x:c>
      <x:c r="B781" s="25" t="n">
        <x:v>9</x:v>
      </x:c>
      <x:c r="C781" s="25" t="str">
        <x:v>Round1</x:v>
      </x:c>
      <x:c r="D781" s="25" t="str">
        <x:v>NOT_AVAILABLE</x:v>
      </x:c>
      <x:c r="E781" s="25" t="str">
        <x:v>N/A</x:v>
      </x:c>
      <x:c r="F781" s="26" t="str">
        <x:v>Tests exist but current coverage did not complete</x:v>
      </x:c>
      <x:c r="G781" s="25" t="str">
        <x:v>true</x:v>
      </x:c>
      <x:c r="H781" s="25" t="str">
        <x:v>NOT_AVAILABLE</x:v>
      </x:c>
      <x:c r="I781" s="25" t="str">
        <x:v>NOT_RUN</x:v>
      </x:c>
      <x:c r="J781" s="25" t="str">
        <x:v>NOT_RUN</x:v>
      </x:c>
      <x:c r="K781" s="25" t="n">
        <x:v>1</x:v>
      </x:c>
      <x:c r="L781" s="27" t="b">
        <x:v>0</x:v>
      </x:c>
      <x:c r="M781" s="25" t="str">
        <x:v>Deepseek-flash-v4/state/Round1/shards/Math.json</x:v>
      </x:c>
      <x:c r="N781" s="25" t="str">
        <x:v>Deepseek-flash-v4/Result/Math_9/result.json</x:v>
      </x:c>
      <x:c r="O781" s="25" t="str">
        <x:v>Deepseek-flash-v4/Result/Math_9/result.json</x:v>
      </x:c>
      <x:c r="P781" t="str">
        <x:v>BOTH_NOT_RUN</x:v>
      </x:c>
      <x:c r="Q781" s="21" t="str"/>
      <x:c r="R781" s="21" t="str"/>
      <x:c r="S781" s="21" t="str"/>
      <x:c r="T781" s="17" t="str">
        <x:v>false</x:v>
      </x:c>
      <x:c r="U781" s="17" t="str">
        <x:v>true</x:v>
      </x:c>
      <x:c r="V781" s="17" t="str">
        <x:v>false</x:v>
      </x:c>
    </x:row>
    <x:row r="782" ht="80" customHeight="1">
      <x:c r="A782" s="25" t="str">
        <x:v>Math</x:v>
      </x:c>
      <x:c r="B782" s="25" t="n">
        <x:v>90</x:v>
      </x:c>
      <x:c r="C782" s="25" t="str">
        <x:v>Round1</x:v>
      </x:c>
      <x:c r="D782" s="25" t="str">
        <x:v>INCONCLUSIVE</x:v>
      </x:c>
      <x:c r="E782" s="25" t="str">
        <x:v>N/A</x:v>
      </x:c>
      <x:c r="F782" s="26" t="str">
        <x:v>Fixed also failed; assertion failure cannot be attributed to this bug</x:v>
      </x:c>
      <x:c r="G782" s="25" t="str">
        <x:v>true</x:v>
      </x:c>
      <x:c r="H782" s="25" t="str">
        <x:v>INCONCLUSIVE</x:v>
      </x:c>
      <x:c r="I782" s="25" t="str">
        <x:v>FAIL</x:v>
      </x:c>
      <x:c r="J782" s="25" t="str">
        <x:v>FAIL</x:v>
      </x:c>
      <x:c r="K782" s="25" t="n">
        <x:v>1</x:v>
      </x:c>
      <x:c r="L782" s="27" t="b">
        <x:v>0</x:v>
      </x:c>
      <x:c r="M782" s="25" t="str">
        <x:v>Deepseek-flash-v4/state/Round1/shards/Math.json</x:v>
      </x:c>
      <x:c r="N782" s="25" t="str">
        <x:v>Deepseek-flash-v4/Result/Math_90/result.json</x:v>
      </x:c>
      <x:c r="O782" s="25" t="str">
        <x:v>Deepseek-flash-v4/Result/Math_90/result.json</x:v>
      </x:c>
      <x:c r="P782"/>
      <x:c r="Q782" s="21" t="str"/>
      <x:c r="R782" s="21" t="str"/>
      <x:c r="S782" s="21" t="str"/>
      <x:c r="T782" s="17" t="str">
        <x:v>false</x:v>
      </x:c>
      <x:c r="U782" s="17" t="str">
        <x:v>true</x:v>
      </x:c>
      <x:c r="V782" s="17" t="str">
        <x:v>false</x:v>
      </x:c>
    </x:row>
    <x:row r="783" ht="80" customHeight="1">
      <x:c r="A783" s="25" t="str">
        <x:v>Math</x:v>
      </x:c>
      <x:c r="B783" s="25" t="n">
        <x:v>91</x:v>
      </x:c>
      <x:c r="C783" s="25" t="str">
        <x:v>Round1</x:v>
      </x:c>
      <x:c r="D783" s="25" t="str">
        <x:v>NOT_REVEALING</x:v>
      </x:c>
      <x:c r="E783" s="25" t="str">
        <x:v>N/A</x:v>
      </x:c>
      <x:c r="F783" s="26" t="str">
        <x:v>Same saved validation suite passed on buggy and fixed</x:v>
      </x:c>
      <x:c r="G783" s="25" t="str">
        <x:v>true</x:v>
      </x:c>
      <x:c r="H783" s="25" t="str">
        <x:v>NOT_REVEALING</x:v>
      </x:c>
      <x:c r="I783" s="25" t="str">
        <x:v>PASS</x:v>
      </x:c>
      <x:c r="J783" s="25" t="str">
        <x:v>PASS</x:v>
      </x:c>
      <x:c r="K783" s="25" t="n">
        <x:v>1</x:v>
      </x:c>
      <x:c r="L783" s="27" t="b">
        <x:v>0</x:v>
      </x:c>
      <x:c r="M783" s="25" t="str">
        <x:v>Deepseek-flash-v4/state/Round1/shards/Math.json</x:v>
      </x:c>
      <x:c r="N783" s="25" t="str">
        <x:v>Deepseek-flash-v4/Result/Math_91/result.json</x:v>
      </x:c>
      <x:c r="O783" s="25" t="str">
        <x:v>Deepseek-flash-v4/Result/Math_91/result.json</x:v>
      </x:c>
      <x:c r="P783"/>
      <x:c r="Q783" s="21" t="str"/>
      <x:c r="R783" s="21" t="str"/>
      <x:c r="S783" s="21" t="str"/>
      <x:c r="T783" s="17" t="str">
        <x:v>false</x:v>
      </x:c>
      <x:c r="U783" s="17" t="str">
        <x:v>true</x:v>
      </x:c>
      <x:c r="V783" s="17" t="str">
        <x:v>false</x:v>
      </x:c>
    </x:row>
    <x:row r="784" ht="80" customHeight="1">
      <x:c r="A784" s="25" t="str">
        <x:v>Math</x:v>
      </x:c>
      <x:c r="B784" s="25" t="n">
        <x:v>92</x:v>
      </x:c>
      <x:c r="C784" s="25" t="str">
        <x:v>Round1</x:v>
      </x:c>
      <x:c r="D784" s="25" t="str">
        <x:v>INCONCLUSIVE</x:v>
      </x:c>
      <x:c r="E784" s="25" t="str">
        <x:v>N/A</x:v>
      </x:c>
      <x:c r="F784" s="26" t="str">
        <x:v>Fixed also failed; assertion failure cannot be attributed to this bug</x:v>
      </x:c>
      <x:c r="G784" s="25" t="str">
        <x:v>true</x:v>
      </x:c>
      <x:c r="H784" s="25" t="str">
        <x:v>INCONCLUSIVE</x:v>
      </x:c>
      <x:c r="I784" s="25" t="str">
        <x:v>FAIL</x:v>
      </x:c>
      <x:c r="J784" s="25" t="str">
        <x:v>FAIL</x:v>
      </x:c>
      <x:c r="K784" s="25" t="n">
        <x:v>1</x:v>
      </x:c>
      <x:c r="L784" s="27" t="b">
        <x:v>0</x:v>
      </x:c>
      <x:c r="M784" s="25" t="str">
        <x:v>Deepseek-flash-v4/state/Round1/shards/Math.json</x:v>
      </x:c>
      <x:c r="N784" s="25" t="str">
        <x:v>Deepseek-flash-v4/Result/Math_92/result.json</x:v>
      </x:c>
      <x:c r="O784" s="25" t="str">
        <x:v>Deepseek-flash-v4/Result/Math_92/result.json</x:v>
      </x:c>
      <x:c r="P784"/>
      <x:c r="Q784" s="21" t="str"/>
      <x:c r="R784" s="21" t="str"/>
      <x:c r="S784" s="21" t="str"/>
      <x:c r="T784" s="17" t="str">
        <x:v>false</x:v>
      </x:c>
      <x:c r="U784" s="17" t="str">
        <x:v>true</x:v>
      </x:c>
      <x:c r="V784" s="17" t="str">
        <x:v>false</x:v>
      </x:c>
    </x:row>
    <x:row r="785" ht="80" customHeight="1">
      <x:c r="A785" s="25" t="str">
        <x:v>Math</x:v>
      </x:c>
      <x:c r="B785" s="25" t="n">
        <x:v>93</x:v>
      </x:c>
      <x:c r="C785" s="25" t="str">
        <x:v>Round1</x:v>
      </x:c>
      <x:c r="D785" s="25" t="str">
        <x:v>NOT_REVEALING</x:v>
      </x:c>
      <x:c r="E785" s="25" t="str">
        <x:v>N/A</x:v>
      </x:c>
      <x:c r="F785" s="26" t="str">
        <x:v>Same saved validation suite passed on buggy and fixed</x:v>
      </x:c>
      <x:c r="G785" s="25" t="str">
        <x:v>true</x:v>
      </x:c>
      <x:c r="H785" s="25" t="str">
        <x:v>NOT_REVEALING</x:v>
      </x:c>
      <x:c r="I785" s="25" t="str">
        <x:v>PASS</x:v>
      </x:c>
      <x:c r="J785" s="25" t="str">
        <x:v>PASS</x:v>
      </x:c>
      <x:c r="K785" s="25" t="n">
        <x:v>1</x:v>
      </x:c>
      <x:c r="L785" s="27" t="b">
        <x:v>0</x:v>
      </x:c>
      <x:c r="M785" s="25" t="str">
        <x:v>Deepseek-flash-v4/state/Round1/shards/Math.json</x:v>
      </x:c>
      <x:c r="N785" s="25" t="str">
        <x:v>Deepseek-flash-v4/Result/Math_93/result.json</x:v>
      </x:c>
      <x:c r="O785" s="25" t="str">
        <x:v>Deepseek-flash-v4/Result/Math_93/result.json</x:v>
      </x:c>
      <x:c r="P785"/>
      <x:c r="Q785" s="21" t="str"/>
      <x:c r="R785" s="21" t="str"/>
      <x:c r="S785" s="21" t="str"/>
      <x:c r="T785" s="17" t="str">
        <x:v>false</x:v>
      </x:c>
      <x:c r="U785" s="17" t="str">
        <x:v>true</x:v>
      </x:c>
      <x:c r="V785" s="17" t="str">
        <x:v>false</x:v>
      </x:c>
    </x:row>
    <x:row r="786" ht="80" customHeight="1">
      <x:c r="A786" s="25" t="str">
        <x:v>Math</x:v>
      </x:c>
      <x:c r="B786" s="25" t="n">
        <x:v>94</x:v>
      </x:c>
      <x:c r="C786" s="25" t="str">
        <x:v>Round1</x:v>
      </x:c>
      <x:c r="D786" s="25" t="str">
        <x:v>NOT_REVEALING</x:v>
      </x:c>
      <x:c r="E786" s="25" t="str">
        <x:v>N/A</x:v>
      </x:c>
      <x:c r="F786" s="26" t="str">
        <x:v>Same saved validation suite passed on buggy and fixed</x:v>
      </x:c>
      <x:c r="G786" s="25" t="str">
        <x:v>true</x:v>
      </x:c>
      <x:c r="H786" s="25" t="str">
        <x:v>NOT_REVEALING</x:v>
      </x:c>
      <x:c r="I786" s="25" t="str">
        <x:v>PASS</x:v>
      </x:c>
      <x:c r="J786" s="25" t="str">
        <x:v>PASS</x:v>
      </x:c>
      <x:c r="K786" s="25" t="n">
        <x:v>1</x:v>
      </x:c>
      <x:c r="L786" s="27" t="b">
        <x:v>0</x:v>
      </x:c>
      <x:c r="M786" s="25" t="str">
        <x:v>Deepseek-flash-v4/state/Round1/shards/Math.json</x:v>
      </x:c>
      <x:c r="N786" s="25" t="str">
        <x:v>Deepseek-flash-v4/Result/Math_94/result.json</x:v>
      </x:c>
      <x:c r="O786" s="25" t="str">
        <x:v>Deepseek-flash-v4/Result/Math_94/result.json</x:v>
      </x:c>
      <x:c r="P786"/>
      <x:c r="Q786" s="21" t="str"/>
      <x:c r="R786" s="21" t="str"/>
      <x:c r="S786" s="21" t="str"/>
      <x:c r="T786" s="17" t="str">
        <x:v>false</x:v>
      </x:c>
      <x:c r="U786" s="17" t="str">
        <x:v>true</x:v>
      </x:c>
      <x:c r="V786" s="17" t="str">
        <x:v>false</x:v>
      </x:c>
    </x:row>
    <x:row r="787" ht="80" customHeight="1">
      <x:c r="A787" s="25" t="str">
        <x:v>Math</x:v>
      </x:c>
      <x:c r="B787" s="25" t="n">
        <x:v>95</x:v>
      </x:c>
      <x:c r="C787" s="25" t="str">
        <x:v>Round1</x:v>
      </x:c>
      <x:c r="D787" s="25" t="str">
        <x:v>NOT_REVEALING</x:v>
      </x:c>
      <x:c r="E787" s="25" t="str">
        <x:v>N/A</x:v>
      </x:c>
      <x:c r="F787" s="26" t="str">
        <x:v>Same saved validation suite passed on buggy and fixed</x:v>
      </x:c>
      <x:c r="G787" s="25" t="str">
        <x:v>true</x:v>
      </x:c>
      <x:c r="H787" s="25" t="str">
        <x:v>NOT_REVEALING</x:v>
      </x:c>
      <x:c r="I787" s="25" t="str">
        <x:v>PASS</x:v>
      </x:c>
      <x:c r="J787" s="25" t="str">
        <x:v>PASS</x:v>
      </x:c>
      <x:c r="K787" s="25" t="n">
        <x:v>1</x:v>
      </x:c>
      <x:c r="L787" s="27" t="b">
        <x:v>0</x:v>
      </x:c>
      <x:c r="M787" s="25" t="str">
        <x:v>Deepseek-flash-v4/state/Round1/shards/Math.json</x:v>
      </x:c>
      <x:c r="N787" s="25" t="str">
        <x:v>Deepseek-flash-v4/Result/Math_95/result.json</x:v>
      </x:c>
      <x:c r="O787" s="25" t="str">
        <x:v>Deepseek-flash-v4/Result/Math_95/result.json</x:v>
      </x:c>
      <x:c r="P787"/>
      <x:c r="Q787" s="21" t="str"/>
      <x:c r="R787" s="21" t="str"/>
      <x:c r="S787" s="21" t="str"/>
      <x:c r="T787" s="17" t="str">
        <x:v>false</x:v>
      </x:c>
      <x:c r="U787" s="17" t="str">
        <x:v>true</x:v>
      </x:c>
      <x:c r="V787" s="17" t="str">
        <x:v>false</x:v>
      </x:c>
    </x:row>
    <x:row r="788" ht="80" customHeight="1">
      <x:c r="A788" s="25" t="str">
        <x:v>Math</x:v>
      </x:c>
      <x:c r="B788" s="25" t="n">
        <x:v>96</x:v>
      </x:c>
      <x:c r="C788" s="25" t="str">
        <x:v>Round1</x:v>
      </x:c>
      <x:c r="D788" s="25" t="str">
        <x:v>INCONCLUSIVE</x:v>
      </x:c>
      <x:c r="E788" s="25" t="str">
        <x:v>N/A</x:v>
      </x:c>
      <x:c r="F788" s="26" t="str">
        <x:v>Fixed also failed; assertion failure cannot be attributed to this bug</x:v>
      </x:c>
      <x:c r="G788" s="25" t="str">
        <x:v>true</x:v>
      </x:c>
      <x:c r="H788" s="25" t="str">
        <x:v>INCONCLUSIVE</x:v>
      </x:c>
      <x:c r="I788" s="25" t="str">
        <x:v>PASS</x:v>
      </x:c>
      <x:c r="J788" s="25" t="str">
        <x:v>FAIL</x:v>
      </x:c>
      <x:c r="K788" s="25" t="n">
        <x:v>1</x:v>
      </x:c>
      <x:c r="L788" s="27" t="b">
        <x:v>0</x:v>
      </x:c>
      <x:c r="M788" s="25" t="str">
        <x:v>Deepseek-flash-v4/state/Round1/shards/Math.json</x:v>
      </x:c>
      <x:c r="N788" s="25" t="str">
        <x:v>Deepseek-flash-v4/Result/Math_96/result.json</x:v>
      </x:c>
      <x:c r="O788" s="25" t="str">
        <x:v>Deepseek-flash-v4/Result/Math_96/result.json</x:v>
      </x:c>
      <x:c r="P788"/>
      <x:c r="Q788" s="21" t="str"/>
      <x:c r="R788" s="21" t="str"/>
      <x:c r="S788" s="21" t="str"/>
      <x:c r="T788" s="17" t="str">
        <x:v>false</x:v>
      </x:c>
      <x:c r="U788" s="17" t="str">
        <x:v>true</x:v>
      </x:c>
      <x:c r="V788" s="17" t="str">
        <x:v>false</x:v>
      </x:c>
    </x:row>
    <x:row r="789" ht="80" customHeight="1">
      <x:c r="A789" s="25" t="str">
        <x:v>Math</x:v>
      </x:c>
      <x:c r="B789" s="25" t="n">
        <x:v>97</x:v>
      </x:c>
      <x:c r="C789" s="25" t="str">
        <x:v>Round1</x:v>
      </x:c>
      <x:c r="D789" s="25" t="str">
        <x:v>NOT_REVEALING</x:v>
      </x:c>
      <x:c r="E789" s="25" t="str">
        <x:v>N/A</x:v>
      </x:c>
      <x:c r="F789" s="26" t="str">
        <x:v>Same saved validation suite passed on buggy and fixed</x:v>
      </x:c>
      <x:c r="G789" s="25" t="str">
        <x:v>true</x:v>
      </x:c>
      <x:c r="H789" s="25" t="str">
        <x:v>NOT_REVEALING</x:v>
      </x:c>
      <x:c r="I789" s="25" t="str">
        <x:v>PASS</x:v>
      </x:c>
      <x:c r="J789" s="25" t="str">
        <x:v>PASS</x:v>
      </x:c>
      <x:c r="K789" s="25" t="n">
        <x:v>1</x:v>
      </x:c>
      <x:c r="L789" s="27" t="b">
        <x:v>0</x:v>
      </x:c>
      <x:c r="M789" s="25" t="str">
        <x:v>Deepseek-flash-v4/state/Round1/shards/Math.json</x:v>
      </x:c>
      <x:c r="N789" s="25" t="str">
        <x:v>Deepseek-flash-v4/Result/Math_97/result.json</x:v>
      </x:c>
      <x:c r="O789" s="25" t="str">
        <x:v>Deepseek-flash-v4/Result/Math_97/result.json</x:v>
      </x:c>
      <x:c r="P789"/>
      <x:c r="Q789" s="21" t="str"/>
      <x:c r="R789" s="21" t="str"/>
      <x:c r="S789" s="21" t="str"/>
      <x:c r="T789" s="17" t="str">
        <x:v>false</x:v>
      </x:c>
      <x:c r="U789" s="17" t="str">
        <x:v>true</x:v>
      </x:c>
      <x:c r="V789" s="17" t="str">
        <x:v>false</x:v>
      </x:c>
    </x:row>
    <x:row r="790" ht="80" customHeight="1">
      <x:c r="A790" s="25" t="str">
        <x:v>Math</x:v>
      </x:c>
      <x:c r="B790" s="25" t="n">
        <x:v>98</x:v>
      </x:c>
      <x:c r="C790" s="25" t="str">
        <x:v>Round1</x:v>
      </x:c>
      <x:c r="D790" s="25" t="str">
        <x:v>INCONCLUSIVE</x:v>
      </x:c>
      <x:c r="E790" s="25" t="str">
        <x:v>N/A</x:v>
      </x:c>
      <x:c r="F790" s="26" t="str">
        <x:v>Fixed also failed; assertion failure cannot be attributed to this bug</x:v>
      </x:c>
      <x:c r="G790" s="25" t="str">
        <x:v>true</x:v>
      </x:c>
      <x:c r="H790" s="25" t="str">
        <x:v>INCONCLUSIVE</x:v>
      </x:c>
      <x:c r="I790" s="25" t="str">
        <x:v>FAIL</x:v>
      </x:c>
      <x:c r="J790" s="25" t="str">
        <x:v>FAIL</x:v>
      </x:c>
      <x:c r="K790" s="25" t="n">
        <x:v>2</x:v>
      </x:c>
      <x:c r="L790" s="27" t="b">
        <x:v>0</x:v>
      </x:c>
      <x:c r="M790" s="25" t="str">
        <x:v>Deepseek-flash-v4/state/Round1/shards/Math.json</x:v>
      </x:c>
      <x:c r="N790" s="25" t="str">
        <x:v>Deepseek-flash-v4/Result/Math_98/result.json</x:v>
      </x:c>
      <x:c r="O790" s="25" t="str">
        <x:v>Deepseek-flash-v4/Result/Math_98/result.json</x:v>
      </x:c>
      <x:c r="P790"/>
      <x:c r="Q790" s="21" t="str"/>
      <x:c r="R790" s="21" t="str"/>
      <x:c r="S790" s="21" t="str"/>
      <x:c r="T790" s="17" t="str">
        <x:v>false</x:v>
      </x:c>
      <x:c r="U790" s="17" t="str">
        <x:v>true</x:v>
      </x:c>
      <x:c r="V790" s="17" t="str">
        <x:v>false</x:v>
      </x:c>
    </x:row>
    <x:row r="791" ht="80" customHeight="1">
      <x:c r="A791" s="25" t="str">
        <x:v>Math</x:v>
      </x:c>
      <x:c r="B791" s="25" t="n">
        <x:v>99</x:v>
      </x:c>
      <x:c r="C791" s="25" t="str">
        <x:v>Round1</x:v>
      </x:c>
      <x:c r="D791" s="25" t="str">
        <x:v>NOT_REVEALING</x:v>
      </x:c>
      <x:c r="E791" s="25" t="str">
        <x:v>N/A</x:v>
      </x:c>
      <x:c r="F791" s="26" t="str">
        <x:v>Same saved validation suite passed on buggy and fixed</x:v>
      </x:c>
      <x:c r="G791" s="25" t="str">
        <x:v>true</x:v>
      </x:c>
      <x:c r="H791" s="25" t="str">
        <x:v>NOT_REVEALING</x:v>
      </x:c>
      <x:c r="I791" s="25" t="str">
        <x:v>PASS</x:v>
      </x:c>
      <x:c r="J791" s="25" t="str">
        <x:v>PASS</x:v>
      </x:c>
      <x:c r="K791" s="25" t="n">
        <x:v>1</x:v>
      </x:c>
      <x:c r="L791" s="27" t="b">
        <x:v>0</x:v>
      </x:c>
      <x:c r="M791" s="25" t="str">
        <x:v>Deepseek-flash-v4/state/Round1/shards/Math.json</x:v>
      </x:c>
      <x:c r="N791" s="25" t="str">
        <x:v>Deepseek-flash-v4/Result/Math_99/result.json</x:v>
      </x:c>
      <x:c r="O791" s="25" t="str">
        <x:v>Deepseek-flash-v4/Result/Math_99/result.json</x:v>
      </x:c>
      <x:c r="P791"/>
      <x:c r="Q791" s="21" t="str"/>
      <x:c r="R791" s="21" t="str"/>
      <x:c r="S791" s="21" t="str"/>
      <x:c r="T791" s="17" t="str">
        <x:v>false</x:v>
      </x:c>
      <x:c r="U791" s="17" t="str">
        <x:v>true</x:v>
      </x:c>
      <x:c r="V791" s="17" t="str">
        <x:v>false</x:v>
      </x:c>
    </x:row>
    <x:row r="792" ht="80" customHeight="1">
      <x:c r="A792" s="25" t="str">
        <x:v>Mockito</x:v>
      </x:c>
      <x:c r="B792" s="25" t="n">
        <x:v>1</x:v>
      </x:c>
      <x:c r="C792" s="25" t="str">
        <x:v>Round1</x:v>
      </x:c>
      <x:c r="D792" s="25" t="str">
        <x:v>NOT_AVAILABLE</x:v>
      </x:c>
      <x:c r="E792" s="25" t="str">
        <x:v>N/A</x:v>
      </x:c>
      <x:c r="F792" s="26" t="str">
        <x:v>Tests exist but current coverage did not complete</x:v>
      </x:c>
      <x:c r="G792" s="25" t="str">
        <x:v>true</x:v>
      </x:c>
      <x:c r="H792" s="25" t="str">
        <x:v>NOT_AVAILABLE</x:v>
      </x:c>
      <x:c r="I792" s="25" t="str">
        <x:v>NOT_RUN</x:v>
      </x:c>
      <x:c r="J792" s="25" t="str">
        <x:v>NOT_RUN</x:v>
      </x:c>
      <x:c r="K792" s="25" t="n">
        <x:v>1</x:v>
      </x:c>
      <x:c r="L792" s="27" t="b">
        <x:v>0</x:v>
      </x:c>
      <x:c r="M792" s="25" t="str">
        <x:v>Deepseek-flash-v4/state/Round1/shards/Mockito.json</x:v>
      </x:c>
      <x:c r="N792" s="25" t="str">
        <x:v>Deepseek-flash-v4/Result/Mockito_1/result.json</x:v>
      </x:c>
      <x:c r="O792" s="25" t="str">
        <x:v>Deepseek-flash-v4/Result/Mockito_1/result.json</x:v>
      </x:c>
      <x:c r="P792" t="str">
        <x:v>BOTH_NOT_RUN</x:v>
      </x:c>
      <x:c r="Q792" s="21" t="str"/>
      <x:c r="R792" s="21" t="str"/>
      <x:c r="S792" s="21" t="str"/>
      <x:c r="T792" s="17" t="str">
        <x:v>false</x:v>
      </x:c>
      <x:c r="U792" s="17" t="str">
        <x:v>true</x:v>
      </x:c>
      <x:c r="V792" s="17" t="str">
        <x:v>false</x:v>
      </x:c>
    </x:row>
    <x:row r="793" ht="80" customHeight="1">
      <x:c r="A793" s="25" t="str">
        <x:v>Mockito</x:v>
      </x:c>
      <x:c r="B793" s="25" t="n">
        <x:v>10</x:v>
      </x:c>
      <x:c r="C793" s="25" t="str">
        <x:v>Round1</x:v>
      </x:c>
      <x:c r="D793" s="25" t="str">
        <x:v>NOT_AVAILABLE</x:v>
      </x:c>
      <x:c r="E793" s="25" t="str">
        <x:v>N/A</x:v>
      </x:c>
      <x:c r="F793" s="26" t="str">
        <x:v>Tests exist but current coverage did not complete</x:v>
      </x:c>
      <x:c r="G793" s="25" t="str">
        <x:v>true</x:v>
      </x:c>
      <x:c r="H793" s="25" t="str">
        <x:v>NOT_AVAILABLE</x:v>
      </x:c>
      <x:c r="I793" s="25" t="str">
        <x:v>NOT_RUN</x:v>
      </x:c>
      <x:c r="J793" s="25" t="str">
        <x:v>NOT_RUN</x:v>
      </x:c>
      <x:c r="K793" s="25" t="n">
        <x:v>1</x:v>
      </x:c>
      <x:c r="L793" s="27" t="b">
        <x:v>0</x:v>
      </x:c>
      <x:c r="M793" s="25" t="str">
        <x:v>Deepseek-flash-v4/state/Round1/shards/Mockito.json</x:v>
      </x:c>
      <x:c r="N793" s="25" t="str">
        <x:v>Deepseek-flash-v4/Result/Mockito_10/result.json</x:v>
      </x:c>
      <x:c r="O793" s="25" t="str">
        <x:v>Deepseek-flash-v4/Result/Mockito_10/result.json</x:v>
      </x:c>
      <x:c r="P793" t="str">
        <x:v>BOTH_NOT_RUN</x:v>
      </x:c>
      <x:c r="Q793" s="21" t="str"/>
      <x:c r="R793" s="21" t="str"/>
      <x:c r="S793" s="21" t="str"/>
      <x:c r="T793" s="17" t="str">
        <x:v>false</x:v>
      </x:c>
      <x:c r="U793" s="17" t="str">
        <x:v>true</x:v>
      </x:c>
      <x:c r="V793" s="17" t="str">
        <x:v>false</x:v>
      </x:c>
    </x:row>
    <x:row r="794" ht="80" customHeight="1">
      <x:c r="A794" s="25" t="str">
        <x:v>Mockito</x:v>
      </x:c>
      <x:c r="B794" s="25" t="n">
        <x:v>11</x:v>
      </x:c>
      <x:c r="C794" s="25" t="str">
        <x:v>Round1</x:v>
      </x:c>
      <x:c r="D794" s="25" t="str">
        <x:v>INCONCLUSIVE</x:v>
      </x:c>
      <x:c r="E794" s="25" t="str">
        <x:v>N/A</x:v>
      </x:c>
      <x:c r="F794" s="26" t="str">
        <x:v>Fixed also failed; assertion failure cannot be attributed to this bug</x:v>
      </x:c>
      <x:c r="G794" s="25" t="str">
        <x:v>true</x:v>
      </x:c>
      <x:c r="H794" s="25" t="str">
        <x:v>INCONCLUSIVE</x:v>
      </x:c>
      <x:c r="I794" s="25" t="str">
        <x:v>FAIL</x:v>
      </x:c>
      <x:c r="J794" s="25" t="str">
        <x:v>FAIL</x:v>
      </x:c>
      <x:c r="K794" s="25" t="n">
        <x:v>1</x:v>
      </x:c>
      <x:c r="L794" s="27" t="b">
        <x:v>0</x:v>
      </x:c>
      <x:c r="M794" s="25" t="str">
        <x:v>Deepseek-flash-v4/state/Round1/shards/Mockito.json</x:v>
      </x:c>
      <x:c r="N794" s="25" t="str">
        <x:v>Deepseek-flash-v4/Result/Mockito_11/result.json</x:v>
      </x:c>
      <x:c r="O794" s="25" t="str">
        <x:v>Deepseek-flash-v4/Result/Mockito_11/result.json</x:v>
      </x:c>
      <x:c r="P794"/>
      <x:c r="Q794" s="21" t="str"/>
      <x:c r="R794" s="21" t="str"/>
      <x:c r="S794" s="21" t="str"/>
      <x:c r="T794" s="17" t="str">
        <x:v>false</x:v>
      </x:c>
      <x:c r="U794" s="17" t="str">
        <x:v>true</x:v>
      </x:c>
      <x:c r="V794" s="17" t="str">
        <x:v>false</x:v>
      </x:c>
    </x:row>
    <x:row r="795" ht="80" customHeight="1">
      <x:c r="A795" s="25" t="str">
        <x:v>Mockito</x:v>
      </x:c>
      <x:c r="B795" s="25" t="n">
        <x:v>12</x:v>
      </x:c>
      <x:c r="C795" s="25" t="str">
        <x:v>Round1</x:v>
      </x:c>
      <x:c r="D795" s="25" t="str">
        <x:v>INCONCLUSIVE</x:v>
      </x:c>
      <x:c r="E795" s="25" t="str">
        <x:v>N/A</x:v>
      </x:c>
      <x:c r="F795" s="26" t="str">
        <x:v>Fixed also failed; assertion failure cannot be attributed to this bug</x:v>
      </x:c>
      <x:c r="G795" s="25" t="str">
        <x:v>true</x:v>
      </x:c>
      <x:c r="H795" s="25" t="str">
        <x:v>INCONCLUSIVE</x:v>
      </x:c>
      <x:c r="I795" s="25" t="str">
        <x:v>FAIL</x:v>
      </x:c>
      <x:c r="J795" s="25" t="str">
        <x:v>FAIL</x:v>
      </x:c>
      <x:c r="K795" s="25" t="n">
        <x:v>1</x:v>
      </x:c>
      <x:c r="L795" s="27" t="b">
        <x:v>0</x:v>
      </x:c>
      <x:c r="M795" s="25" t="str">
        <x:v>Deepseek-flash-v4/state/Round1/shards/Mockito.json</x:v>
      </x:c>
      <x:c r="N795" s="25" t="str">
        <x:v>Deepseek-flash-v4/Result/Mockito_12/result.json</x:v>
      </x:c>
      <x:c r="O795" s="25" t="str">
        <x:v>Deepseek-flash-v4/Result/Mockito_12/result.json</x:v>
      </x:c>
      <x:c r="P795"/>
      <x:c r="Q795" s="21" t="str"/>
      <x:c r="R795" s="21" t="str"/>
      <x:c r="S795" s="21" t="str"/>
      <x:c r="T795" s="17" t="str">
        <x:v>false</x:v>
      </x:c>
      <x:c r="U795" s="17" t="str">
        <x:v>true</x:v>
      </x:c>
      <x:c r="V795" s="17" t="str">
        <x:v>false</x:v>
      </x:c>
    </x:row>
    <x:row r="796" ht="80" customHeight="1">
      <x:c r="A796" s="25" t="str">
        <x:v>Mockito</x:v>
      </x:c>
      <x:c r="B796" s="25" t="n">
        <x:v>13</x:v>
      </x:c>
      <x:c r="C796" s="25" t="str">
        <x:v>Round1</x:v>
      </x:c>
      <x:c r="D796" s="25" t="str">
        <x:v>NOT_AVAILABLE</x:v>
      </x:c>
      <x:c r="E796" s="25" t="str">
        <x:v>N/A</x:v>
      </x:c>
      <x:c r="F796" s="26" t="str">
        <x:v>Tests exist but current coverage did not complete</x:v>
      </x:c>
      <x:c r="G796" s="25" t="str">
        <x:v>true</x:v>
      </x:c>
      <x:c r="H796" s="25" t="str">
        <x:v>NOT_AVAILABLE</x:v>
      </x:c>
      <x:c r="I796" s="25" t="str">
        <x:v>NOT_RUN</x:v>
      </x:c>
      <x:c r="J796" s="25" t="str">
        <x:v>NOT_RUN</x:v>
      </x:c>
      <x:c r="K796" s="25" t="n">
        <x:v>1</x:v>
      </x:c>
      <x:c r="L796" s="27" t="b">
        <x:v>0</x:v>
      </x:c>
      <x:c r="M796" s="25" t="str">
        <x:v>Deepseek-flash-v4/state/Round1/shards/Mockito.json</x:v>
      </x:c>
      <x:c r="N796" s="25" t="str">
        <x:v>Deepseek-flash-v4/Result/Mockito_13/result.json</x:v>
      </x:c>
      <x:c r="O796" s="25" t="str">
        <x:v>Deepseek-flash-v4/Result/Mockito_13/result.json</x:v>
      </x:c>
      <x:c r="P796" t="str">
        <x:v>BOTH_NOT_RUN</x:v>
      </x:c>
      <x:c r="Q796" s="21" t="str"/>
      <x:c r="R796" s="21" t="str"/>
      <x:c r="S796" s="21" t="str"/>
      <x:c r="T796" s="17" t="str">
        <x:v>false</x:v>
      </x:c>
      <x:c r="U796" s="17" t="str">
        <x:v>true</x:v>
      </x:c>
      <x:c r="V796" s="17" t="str">
        <x:v>false</x:v>
      </x:c>
    </x:row>
    <x:row r="797" ht="80" customHeight="1">
      <x:c r="A797" s="25" t="str">
        <x:v>Mockito</x:v>
      </x:c>
      <x:c r="B797" s="25" t="n">
        <x:v>14</x:v>
      </x:c>
      <x:c r="C797" s="25" t="str">
        <x:v>Round1</x:v>
      </x:c>
      <x:c r="D797" s="25" t="str">
        <x:v>NOT_AVAILABLE</x:v>
      </x:c>
      <x:c r="E797" s="25" t="str">
        <x:v>N/A</x:v>
      </x:c>
      <x:c r="F797" s="26" t="str">
        <x:v>Tests exist but current coverage did not complete</x:v>
      </x:c>
      <x:c r="G797" s="25" t="str">
        <x:v>true</x:v>
      </x:c>
      <x:c r="H797" s="25" t="str">
        <x:v>NOT_AVAILABLE</x:v>
      </x:c>
      <x:c r="I797" s="25" t="str">
        <x:v>NOT_RUN</x:v>
      </x:c>
      <x:c r="J797" s="25" t="str">
        <x:v>NOT_RUN</x:v>
      </x:c>
      <x:c r="K797" s="25" t="n">
        <x:v>2</x:v>
      </x:c>
      <x:c r="L797" s="27" t="b">
        <x:v>0</x:v>
      </x:c>
      <x:c r="M797" s="25" t="str">
        <x:v>Deepseek-flash-v4/state/Round1/shards/Mockito.json</x:v>
      </x:c>
      <x:c r="N797" s="25" t="str">
        <x:v>Deepseek-flash-v4/Result/Mockito_14/result.json</x:v>
      </x:c>
      <x:c r="O797" s="25" t="str">
        <x:v>Deepseek-flash-v4/Result/Mockito_14/result.json</x:v>
      </x:c>
      <x:c r="P797" t="str">
        <x:v>BOTH_NOT_RUN</x:v>
      </x:c>
      <x:c r="Q797" s="21" t="str"/>
      <x:c r="R797" s="21" t="str"/>
      <x:c r="S797" s="21" t="str"/>
      <x:c r="T797" s="17" t="str">
        <x:v>false</x:v>
      </x:c>
      <x:c r="U797" s="17" t="str">
        <x:v>true</x:v>
      </x:c>
      <x:c r="V797" s="17" t="str">
        <x:v>false</x:v>
      </x:c>
    </x:row>
    <x:row r="798" ht="80" customHeight="1">
      <x:c r="A798" s="25" t="str">
        <x:v>Mockito</x:v>
      </x:c>
      <x:c r="B798" s="25" t="n">
        <x:v>15</x:v>
      </x:c>
      <x:c r="C798" s="25" t="str">
        <x:v>Round1</x:v>
      </x:c>
      <x:c r="D798" s="25" t="str">
        <x:v>NOT_REVEALING</x:v>
      </x:c>
      <x:c r="E798" s="25" t="str">
        <x:v>N/A</x:v>
      </x:c>
      <x:c r="F798" s="26" t="str">
        <x:v>Same saved validation suite passed on buggy and fixed</x:v>
      </x:c>
      <x:c r="G798" s="25" t="str">
        <x:v>true</x:v>
      </x:c>
      <x:c r="H798" s="25" t="str">
        <x:v>NOT_REVEALING</x:v>
      </x:c>
      <x:c r="I798" s="25" t="str">
        <x:v>PASS</x:v>
      </x:c>
      <x:c r="J798" s="25" t="str">
        <x:v>PASS</x:v>
      </x:c>
      <x:c r="K798" s="25" t="n">
        <x:v>1</x:v>
      </x:c>
      <x:c r="L798" s="27" t="b">
        <x:v>0</x:v>
      </x:c>
      <x:c r="M798" s="25" t="str">
        <x:v>Deepseek-flash-v4/state/Round1/shards/Mockito.json</x:v>
      </x:c>
      <x:c r="N798" s="25" t="str">
        <x:v>Deepseek-flash-v4/Result/Mockito_15/result.json</x:v>
      </x:c>
      <x:c r="O798" s="25" t="str">
        <x:v>Deepseek-flash-v4/Result/Mockito_15/result.json</x:v>
      </x:c>
      <x:c r="P798"/>
      <x:c r="Q798" s="21" t="str"/>
      <x:c r="R798" s="21" t="str"/>
      <x:c r="S798" s="21" t="str"/>
      <x:c r="T798" s="17" t="str">
        <x:v>false</x:v>
      </x:c>
      <x:c r="U798" s="17" t="str">
        <x:v>true</x:v>
      </x:c>
      <x:c r="V798" s="17" t="str">
        <x:v>false</x:v>
      </x:c>
    </x:row>
    <x:row r="799" ht="80" customHeight="1">
      <x:c r="A799" s="25" t="str">
        <x:v>Mockito</x:v>
      </x:c>
      <x:c r="B799" s="25" t="n">
        <x:v>16</x:v>
      </x:c>
      <x:c r="C799" s="25" t="str">
        <x:v>Round1</x:v>
      </x:c>
      <x:c r="D799" s="25" t="str">
        <x:v>NOT_AVAILABLE</x:v>
      </x:c>
      <x:c r="E799" s="25" t="str">
        <x:v>N/A</x:v>
      </x:c>
      <x:c r="F799" s="26" t="str">
        <x:v>Tests exist but current coverage did not complete</x:v>
      </x:c>
      <x:c r="G799" s="25" t="str">
        <x:v>true</x:v>
      </x:c>
      <x:c r="H799" s="25" t="str">
        <x:v>NOT_AVAILABLE</x:v>
      </x:c>
      <x:c r="I799" s="25" t="str">
        <x:v>NOT_RUN</x:v>
      </x:c>
      <x:c r="J799" s="25" t="str">
        <x:v>NOT_RUN</x:v>
      </x:c>
      <x:c r="K799" s="25" t="n">
        <x:v>2</x:v>
      </x:c>
      <x:c r="L799" s="27" t="b">
        <x:v>0</x:v>
      </x:c>
      <x:c r="M799" s="25" t="str">
        <x:v>Deepseek-flash-v4/state/Round1/shards/Mockito.json</x:v>
      </x:c>
      <x:c r="N799" s="25" t="str">
        <x:v>Deepseek-flash-v4/Result/Mockito_16/result.json</x:v>
      </x:c>
      <x:c r="O799" s="25" t="str">
        <x:v>Deepseek-flash-v4/Result/Mockito_16/result.json</x:v>
      </x:c>
      <x:c r="P799" t="str">
        <x:v>BOTH_NOT_RUN</x:v>
      </x:c>
      <x:c r="Q799" s="21" t="str"/>
      <x:c r="R799" s="21" t="str"/>
      <x:c r="S799" s="21" t="str"/>
      <x:c r="T799" s="17" t="str">
        <x:v>false</x:v>
      </x:c>
      <x:c r="U799" s="17" t="str">
        <x:v>true</x:v>
      </x:c>
      <x:c r="V799" s="17" t="str">
        <x:v>false</x:v>
      </x:c>
    </x:row>
    <x:row r="800" ht="80" customHeight="1">
      <x:c r="A800" s="25" t="str">
        <x:v>Mockito</x:v>
      </x:c>
      <x:c r="B800" s="25" t="n">
        <x:v>17</x:v>
      </x:c>
      <x:c r="C800" s="25" t="str">
        <x:v>Round1</x:v>
      </x:c>
      <x:c r="D800" s="25" t="str">
        <x:v>NOT_AVAILABLE</x:v>
      </x:c>
      <x:c r="E800" s="25" t="str">
        <x:v>N/A</x:v>
      </x:c>
      <x:c r="F800" s="26" t="str">
        <x:v>Tests exist but current coverage did not complete</x:v>
      </x:c>
      <x:c r="G800" s="25" t="str">
        <x:v>true</x:v>
      </x:c>
      <x:c r="H800" s="25" t="str">
        <x:v>NOT_AVAILABLE</x:v>
      </x:c>
      <x:c r="I800" s="25" t="str">
        <x:v>NOT_RUN</x:v>
      </x:c>
      <x:c r="J800" s="25" t="str">
        <x:v>NOT_RUN</x:v>
      </x:c>
      <x:c r="K800" s="25" t="n">
        <x:v>2</x:v>
      </x:c>
      <x:c r="L800" s="27" t="b">
        <x:v>0</x:v>
      </x:c>
      <x:c r="M800" s="25" t="str">
        <x:v>Deepseek-flash-v4/state/Round1/shards/Mockito.json</x:v>
      </x:c>
      <x:c r="N800" s="25" t="str">
        <x:v>Deepseek-flash-v4/Result/Mockito_17/result.json</x:v>
      </x:c>
      <x:c r="O800" s="25" t="str">
        <x:v>Deepseek-flash-v4/Result/Mockito_17/result.json</x:v>
      </x:c>
      <x:c r="P800" t="str">
        <x:v>BOTH_NOT_RUN</x:v>
      </x:c>
      <x:c r="Q800" s="21" t="str"/>
      <x:c r="R800" s="21" t="str"/>
      <x:c r="S800" s="21" t="str"/>
      <x:c r="T800" s="17" t="str">
        <x:v>false</x:v>
      </x:c>
      <x:c r="U800" s="17" t="str">
        <x:v>true</x:v>
      </x:c>
      <x:c r="V800" s="17" t="str">
        <x:v>false</x:v>
      </x:c>
    </x:row>
    <x:row r="801" ht="80" customHeight="1">
      <x:c r="A801" s="25" t="str">
        <x:v>Mockito</x:v>
      </x:c>
      <x:c r="B801" s="25" t="n">
        <x:v>18</x:v>
      </x:c>
      <x:c r="C801" s="25" t="str">
        <x:v>Round1</x:v>
      </x:c>
      <x:c r="D801" s="25" t="str">
        <x:v>NOT_AVAILABLE</x:v>
      </x:c>
      <x:c r="E801" s="25" t="str">
        <x:v>N/A</x:v>
      </x:c>
      <x:c r="F801" s="26" t="str">
        <x:v>Tests exist but current coverage did not complete</x:v>
      </x:c>
      <x:c r="G801" s="25" t="str">
        <x:v>true</x:v>
      </x:c>
      <x:c r="H801" s="25" t="str">
        <x:v>NOT_AVAILABLE</x:v>
      </x:c>
      <x:c r="I801" s="25" t="str">
        <x:v>NOT_RUN</x:v>
      </x:c>
      <x:c r="J801" s="25" t="str">
        <x:v>NOT_RUN</x:v>
      </x:c>
      <x:c r="K801" s="25" t="n">
        <x:v>1</x:v>
      </x:c>
      <x:c r="L801" s="27" t="b">
        <x:v>0</x:v>
      </x:c>
      <x:c r="M801" s="25" t="str">
        <x:v>Deepseek-flash-v4/state/Round1/shards/Mockito.json</x:v>
      </x:c>
      <x:c r="N801" s="25" t="str">
        <x:v>Deepseek-flash-v4/Result/Mockito_18/result.json</x:v>
      </x:c>
      <x:c r="O801" s="25" t="str">
        <x:v>Deepseek-flash-v4/Result/Mockito_18/result.json</x:v>
      </x:c>
      <x:c r="P801" t="str">
        <x:v>BOTH_NOT_RUN</x:v>
      </x:c>
      <x:c r="Q801" s="21" t="str"/>
      <x:c r="R801" s="21" t="str"/>
      <x:c r="S801" s="21" t="str"/>
      <x:c r="T801" s="17" t="str">
        <x:v>false</x:v>
      </x:c>
      <x:c r="U801" s="17" t="str">
        <x:v>true</x:v>
      </x:c>
      <x:c r="V801" s="17" t="str">
        <x:v>false</x:v>
      </x:c>
    </x:row>
    <x:row r="802" ht="80" customHeight="1">
      <x:c r="A802" s="25" t="str">
        <x:v>Mockito</x:v>
      </x:c>
      <x:c r="B802" s="25" t="n">
        <x:v>19</x:v>
      </x:c>
      <x:c r="C802" s="25" t="str">
        <x:v>Round1</x:v>
      </x:c>
      <x:c r="D802" s="25" t="str">
        <x:v>NOT_AVAILABLE</x:v>
      </x:c>
      <x:c r="E802" s="25" t="str">
        <x:v>N/A</x:v>
      </x:c>
      <x:c r="F802" s="26" t="str">
        <x:v>Tests exist but current coverage did not complete</x:v>
      </x:c>
      <x:c r="G802" s="25" t="str">
        <x:v>true</x:v>
      </x:c>
      <x:c r="H802" s="25" t="str">
        <x:v>NOT_AVAILABLE</x:v>
      </x:c>
      <x:c r="I802" s="25" t="str">
        <x:v>NOT_RUN</x:v>
      </x:c>
      <x:c r="J802" s="25" t="str">
        <x:v>NOT_RUN</x:v>
      </x:c>
      <x:c r="K802" s="25" t="n">
        <x:v>5</x:v>
      </x:c>
      <x:c r="L802" s="27" t="b">
        <x:v>0</x:v>
      </x:c>
      <x:c r="M802" s="25" t="str">
        <x:v>Deepseek-flash-v4/state/Round1/shards/Mockito.json</x:v>
      </x:c>
      <x:c r="N802" s="25" t="str">
        <x:v>Deepseek-flash-v4/Result/Mockito_19/result.json</x:v>
      </x:c>
      <x:c r="O802" s="25" t="str">
        <x:v>Deepseek-flash-v4/Result/Mockito_19/result.json</x:v>
      </x:c>
      <x:c r="P802" t="str">
        <x:v>BOTH_NOT_RUN</x:v>
      </x:c>
      <x:c r="Q802" s="21" t="str"/>
      <x:c r="R802" s="21" t="str"/>
      <x:c r="S802" s="21" t="str"/>
      <x:c r="T802" s="17" t="str">
        <x:v>false</x:v>
      </x:c>
      <x:c r="U802" s="17" t="str">
        <x:v>true</x:v>
      </x:c>
      <x:c r="V802" s="17" t="str">
        <x:v>false</x:v>
      </x:c>
    </x:row>
    <x:row r="803" ht="80" customHeight="1">
      <x:c r="A803" s="25" t="str">
        <x:v>Mockito</x:v>
      </x:c>
      <x:c r="B803" s="25" t="n">
        <x:v>2</x:v>
      </x:c>
      <x:c r="C803" s="25" t="str">
        <x:v>Round1</x:v>
      </x:c>
      <x:c r="D803" s="25" t="str">
        <x:v>INCONCLUSIVE</x:v>
      </x:c>
      <x:c r="E803" s="25" t="str">
        <x:v>N/A</x:v>
      </x:c>
      <x:c r="F803" s="26" t="str">
        <x:v>Fixed also failed; assertion failure cannot be attributed to this bug</x:v>
      </x:c>
      <x:c r="G803" s="25" t="str">
        <x:v>true</x:v>
      </x:c>
      <x:c r="H803" s="25" t="str">
        <x:v>INCONCLUSIVE</x:v>
      </x:c>
      <x:c r="I803" s="25" t="str">
        <x:v>FAIL</x:v>
      </x:c>
      <x:c r="J803" s="25" t="str">
        <x:v>FAIL</x:v>
      </x:c>
      <x:c r="K803" s="25" t="n">
        <x:v>1</x:v>
      </x:c>
      <x:c r="L803" s="27" t="b">
        <x:v>0</x:v>
      </x:c>
      <x:c r="M803" s="25" t="str">
        <x:v>Deepseek-flash-v4/state/Round1/shards/Mockito.json</x:v>
      </x:c>
      <x:c r="N803" s="25" t="str">
        <x:v>Deepseek-flash-v4/Result/Mockito_2/result.json</x:v>
      </x:c>
      <x:c r="O803" s="25" t="str">
        <x:v>Deepseek-flash-v4/Result/Mockito_2/result.json</x:v>
      </x:c>
      <x:c r="P803"/>
      <x:c r="Q803" s="21" t="str"/>
      <x:c r="R803" s="21" t="str"/>
      <x:c r="S803" s="21" t="str"/>
      <x:c r="T803" s="17" t="str">
        <x:v>false</x:v>
      </x:c>
      <x:c r="U803" s="17" t="str">
        <x:v>true</x:v>
      </x:c>
      <x:c r="V803" s="17" t="str">
        <x:v>false</x:v>
      </x:c>
    </x:row>
    <x:row r="804" ht="80" customHeight="1">
      <x:c r="A804" s="25" t="str">
        <x:v>Mockito</x:v>
      </x:c>
      <x:c r="B804" s="25" t="n">
        <x:v>20</x:v>
      </x:c>
      <x:c r="C804" s="25" t="str">
        <x:v>Round1</x:v>
      </x:c>
      <x:c r="D804" s="25" t="str">
        <x:v>NOT_AVAILABLE</x:v>
      </x:c>
      <x:c r="E804" s="25" t="str">
        <x:v>N/A</x:v>
      </x:c>
      <x:c r="F804" s="26" t="str">
        <x:v>Tests exist but current coverage did not complete</x:v>
      </x:c>
      <x:c r="G804" s="25" t="str">
        <x:v>true</x:v>
      </x:c>
      <x:c r="H804" s="25" t="str">
        <x:v>NOT_AVAILABLE</x:v>
      </x:c>
      <x:c r="I804" s="25" t="str">
        <x:v>NOT_RUN</x:v>
      </x:c>
      <x:c r="J804" s="25" t="str">
        <x:v>NOT_RUN</x:v>
      </x:c>
      <x:c r="K804" s="25" t="n">
        <x:v>1</x:v>
      </x:c>
      <x:c r="L804" s="27" t="b">
        <x:v>0</x:v>
      </x:c>
      <x:c r="M804" s="25" t="str">
        <x:v>Deepseek-flash-v4/state/Round1/shards/Mockito.json</x:v>
      </x:c>
      <x:c r="N804" s="25" t="str">
        <x:v>Deepseek-flash-v4/Result/Mockito_20/result.json</x:v>
      </x:c>
      <x:c r="O804" s="25" t="str">
        <x:v>Deepseek-flash-v4/Result/Mockito_20/result.json</x:v>
      </x:c>
      <x:c r="P804" t="str">
        <x:v>BOTH_NOT_RUN</x:v>
      </x:c>
      <x:c r="Q804" s="21" t="str"/>
      <x:c r="R804" s="21" t="str"/>
      <x:c r="S804" s="21" t="str"/>
      <x:c r="T804" s="17" t="str">
        <x:v>false</x:v>
      </x:c>
      <x:c r="U804" s="17" t="str">
        <x:v>true</x:v>
      </x:c>
      <x:c r="V804" s="17" t="str">
        <x:v>false</x:v>
      </x:c>
    </x:row>
    <x:row r="805" ht="80" customHeight="1">
      <x:c r="A805" s="25" t="str">
        <x:v>Mockito</x:v>
      </x:c>
      <x:c r="B805" s="25" t="n">
        <x:v>21</x:v>
      </x:c>
      <x:c r="C805" s="25" t="str">
        <x:v>Round1</x:v>
      </x:c>
      <x:c r="D805" s="25" t="str">
        <x:v>INCONCLUSIVE</x:v>
      </x:c>
      <x:c r="E805" s="25" t="str">
        <x:v>N/A</x:v>
      </x:c>
      <x:c r="F805" s="26" t="str">
        <x:v>Fixed also failed; assertion failure cannot be attributed to this bug</x:v>
      </x:c>
      <x:c r="G805" s="25" t="str">
        <x:v>true</x:v>
      </x:c>
      <x:c r="H805" s="25" t="str">
        <x:v>INCONCLUSIVE</x:v>
      </x:c>
      <x:c r="I805" s="25" t="str">
        <x:v>FAIL</x:v>
      </x:c>
      <x:c r="J805" s="25" t="str">
        <x:v>FAIL</x:v>
      </x:c>
      <x:c r="K805" s="25" t="n">
        <x:v>1</x:v>
      </x:c>
      <x:c r="L805" s="27" t="b">
        <x:v>0</x:v>
      </x:c>
      <x:c r="M805" s="25" t="str">
        <x:v>Deepseek-flash-v4/state/Round1/shards/Mockito.json</x:v>
      </x:c>
      <x:c r="N805" s="25" t="str">
        <x:v>Deepseek-flash-v4/Result/Mockito_21/result.json</x:v>
      </x:c>
      <x:c r="O805" s="25" t="str">
        <x:v>Deepseek-flash-v4/Result/Mockito_21/result.json</x:v>
      </x:c>
      <x:c r="P805"/>
      <x:c r="Q805" s="21" t="str"/>
      <x:c r="R805" s="21" t="str"/>
      <x:c r="S805" s="21" t="str"/>
      <x:c r="T805" s="17" t="str">
        <x:v>false</x:v>
      </x:c>
      <x:c r="U805" s="17" t="str">
        <x:v>true</x:v>
      </x:c>
      <x:c r="V805" s="17" t="str">
        <x:v>false</x:v>
      </x:c>
    </x:row>
    <x:row r="806" ht="80" customHeight="1">
      <x:c r="A806" s="25" t="str">
        <x:v>Mockito</x:v>
      </x:c>
      <x:c r="B806" s="25" t="n">
        <x:v>22</x:v>
      </x:c>
      <x:c r="C806" s="25" t="str">
        <x:v>Round1</x:v>
      </x:c>
      <x:c r="D806" s="25" t="str">
        <x:v>NOT_REVEALING</x:v>
      </x:c>
      <x:c r="E806" s="25" t="str">
        <x:v>N/A</x:v>
      </x:c>
      <x:c r="F806" s="26" t="str">
        <x:v>Same saved validation suite passed on buggy and fixed</x:v>
      </x:c>
      <x:c r="G806" s="25" t="str">
        <x:v>true</x:v>
      </x:c>
      <x:c r="H806" s="25" t="str">
        <x:v>NOT_REVEALING</x:v>
      </x:c>
      <x:c r="I806" s="25" t="str">
        <x:v>PASS</x:v>
      </x:c>
      <x:c r="J806" s="25" t="str">
        <x:v>PASS</x:v>
      </x:c>
      <x:c r="K806" s="25" t="n">
        <x:v>1</x:v>
      </x:c>
      <x:c r="L806" s="27" t="b">
        <x:v>0</x:v>
      </x:c>
      <x:c r="M806" s="25" t="str">
        <x:v>Deepseek-flash-v4/state/Round1/shards/Mockito.json</x:v>
      </x:c>
      <x:c r="N806" s="25" t="str">
        <x:v>Deepseek-flash-v4/Result/Mockito_22/result.json</x:v>
      </x:c>
      <x:c r="O806" s="25" t="str">
        <x:v>Deepseek-flash-v4/Result/Mockito_22/result.json</x:v>
      </x:c>
      <x:c r="P806"/>
      <x:c r="Q806" s="21" t="str"/>
      <x:c r="R806" s="21" t="str"/>
      <x:c r="S806" s="21" t="str"/>
      <x:c r="T806" s="17" t="str">
        <x:v>false</x:v>
      </x:c>
      <x:c r="U806" s="17" t="str">
        <x:v>true</x:v>
      </x:c>
      <x:c r="V806" s="17" t="str">
        <x:v>false</x:v>
      </x:c>
    </x:row>
    <x:row r="807" ht="80" customHeight="1">
      <x:c r="A807" s="25" t="str">
        <x:v>Mockito</x:v>
      </x:c>
      <x:c r="B807" s="25" t="n">
        <x:v>23</x:v>
      </x:c>
      <x:c r="C807" s="25" t="str">
        <x:v>Round1</x:v>
      </x:c>
      <x:c r="D807" s="25" t="str">
        <x:v>NOT_AVAILABLE</x:v>
      </x:c>
      <x:c r="E807" s="25" t="str">
        <x:v>N/A</x:v>
      </x:c>
      <x:c r="F807" s="26" t="str">
        <x:v>Tests exist but current coverage did not complete</x:v>
      </x:c>
      <x:c r="G807" s="25" t="str">
        <x:v>true</x:v>
      </x:c>
      <x:c r="H807" s="25" t="str">
        <x:v>NOT_AVAILABLE</x:v>
      </x:c>
      <x:c r="I807" s="25" t="str">
        <x:v>NOT_RUN</x:v>
      </x:c>
      <x:c r="J807" s="25" t="str">
        <x:v>NOT_RUN</x:v>
      </x:c>
      <x:c r="K807" s="25" t="n">
        <x:v>1</x:v>
      </x:c>
      <x:c r="L807" s="27" t="b">
        <x:v>0</x:v>
      </x:c>
      <x:c r="M807" s="25" t="str">
        <x:v>Deepseek-flash-v4/state/Round1/shards/Mockito.json</x:v>
      </x:c>
      <x:c r="N807" s="25" t="str">
        <x:v>Deepseek-flash-v4/Result/Mockito_23/result.json</x:v>
      </x:c>
      <x:c r="O807" s="25" t="str">
        <x:v>Deepseek-flash-v4/Result/Mockito_23/result.json</x:v>
      </x:c>
      <x:c r="P807" t="str">
        <x:v>BOTH_NOT_RUN</x:v>
      </x:c>
      <x:c r="Q807" s="21" t="str"/>
      <x:c r="R807" s="21" t="str"/>
      <x:c r="S807" s="21" t="str"/>
      <x:c r="T807" s="17" t="str">
        <x:v>false</x:v>
      </x:c>
      <x:c r="U807" s="17" t="str">
        <x:v>true</x:v>
      </x:c>
      <x:c r="V807" s="17" t="str">
        <x:v>false</x:v>
      </x:c>
    </x:row>
    <x:row r="808" ht="80" customHeight="1">
      <x:c r="A808" s="25" t="str">
        <x:v>Mockito</x:v>
      </x:c>
      <x:c r="B808" s="25" t="n">
        <x:v>24</x:v>
      </x:c>
      <x:c r="C808" s="25" t="str">
        <x:v>Round1</x:v>
      </x:c>
      <x:c r="D808" s="25" t="str">
        <x:v>NOT_AVAILABLE</x:v>
      </x:c>
      <x:c r="E808" s="25" t="str">
        <x:v>N/A</x:v>
      </x:c>
      <x:c r="F808" s="26" t="str">
        <x:v>Tests exist but current coverage did not complete</x:v>
      </x:c>
      <x:c r="G808" s="25" t="str">
        <x:v>true</x:v>
      </x:c>
      <x:c r="H808" s="25" t="str">
        <x:v>NOT_AVAILABLE</x:v>
      </x:c>
      <x:c r="I808" s="25" t="str">
        <x:v>NOT_RUN</x:v>
      </x:c>
      <x:c r="J808" s="25" t="str">
        <x:v>NOT_RUN</x:v>
      </x:c>
      <x:c r="K808" s="25" t="n">
        <x:v>1</x:v>
      </x:c>
      <x:c r="L808" s="27" t="b">
        <x:v>0</x:v>
      </x:c>
      <x:c r="M808" s="25" t="str">
        <x:v>Deepseek-flash-v4/state/Round1/shards/Mockito.json</x:v>
      </x:c>
      <x:c r="N808" s="25" t="str">
        <x:v>Deepseek-flash-v4/Result/Mockito_24/result.json</x:v>
      </x:c>
      <x:c r="O808" s="25" t="str">
        <x:v>Deepseek-flash-v4/Result/Mockito_24/result.json</x:v>
      </x:c>
      <x:c r="P808" t="str">
        <x:v>BOTH_NOT_RUN</x:v>
      </x:c>
      <x:c r="Q808" s="21" t="str"/>
      <x:c r="R808" s="21" t="str"/>
      <x:c r="S808" s="21" t="str"/>
      <x:c r="T808" s="17" t="str">
        <x:v>false</x:v>
      </x:c>
      <x:c r="U808" s="17" t="str">
        <x:v>true</x:v>
      </x:c>
      <x:c r="V808" s="17" t="str">
        <x:v>false</x:v>
      </x:c>
    </x:row>
    <x:row r="809" ht="80" customHeight="1">
      <x:c r="A809" s="25" t="str">
        <x:v>Mockito</x:v>
      </x:c>
      <x:c r="B809" s="25" t="n">
        <x:v>25</x:v>
      </x:c>
      <x:c r="C809" s="25" t="str">
        <x:v>Round1</x:v>
      </x:c>
      <x:c r="D809" s="25" t="str">
        <x:v>NOT_AVAILABLE</x:v>
      </x:c>
      <x:c r="E809" s="25" t="str">
        <x:v>N/A</x:v>
      </x:c>
      <x:c r="F809" s="26" t="str">
        <x:v>Tests exist but current coverage did not complete</x:v>
      </x:c>
      <x:c r="G809" s="25" t="str">
        <x:v>true</x:v>
      </x:c>
      <x:c r="H809" s="25" t="str">
        <x:v>NOT_AVAILABLE</x:v>
      </x:c>
      <x:c r="I809" s="25" t="str">
        <x:v>NOT_RUN</x:v>
      </x:c>
      <x:c r="J809" s="25" t="str">
        <x:v>NOT_RUN</x:v>
      </x:c>
      <x:c r="K809" s="25" t="n">
        <x:v>1</x:v>
      </x:c>
      <x:c r="L809" s="27" t="b">
        <x:v>0</x:v>
      </x:c>
      <x:c r="M809" s="25" t="str">
        <x:v>Deepseek-flash-v4/state/Round1/shards/Mockito.json</x:v>
      </x:c>
      <x:c r="N809" s="25" t="str">
        <x:v>Deepseek-flash-v4/Result/Mockito_25/result.json</x:v>
      </x:c>
      <x:c r="O809" s="25" t="str">
        <x:v>Deepseek-flash-v4/Result/Mockito_25/result.json</x:v>
      </x:c>
      <x:c r="P809" t="str">
        <x:v>BOTH_NOT_RUN</x:v>
      </x:c>
      <x:c r="Q809" s="21" t="str"/>
      <x:c r="R809" s="21" t="str"/>
      <x:c r="S809" s="21" t="str"/>
      <x:c r="T809" s="17" t="str">
        <x:v>false</x:v>
      </x:c>
      <x:c r="U809" s="17" t="str">
        <x:v>true</x:v>
      </x:c>
      <x:c r="V809" s="17" t="str">
        <x:v>false</x:v>
      </x:c>
    </x:row>
    <x:row r="810" ht="80" customHeight="1">
      <x:c r="A810" s="25" t="str">
        <x:v>Mockito</x:v>
      </x:c>
      <x:c r="B810" s="25" t="n">
        <x:v>26</x:v>
      </x:c>
      <x:c r="C810" s="25" t="str">
        <x:v>Round1</x:v>
      </x:c>
      <x:c r="D810" s="25" t="str">
        <x:v>NOT_AVAILABLE</x:v>
      </x:c>
      <x:c r="E810" s="25" t="str">
        <x:v>N/A</x:v>
      </x:c>
      <x:c r="F810" s="26" t="str">
        <x:v>Tests exist but current coverage did not complete</x:v>
      </x:c>
      <x:c r="G810" s="25" t="str">
        <x:v>true</x:v>
      </x:c>
      <x:c r="H810" s="25" t="str">
        <x:v>NOT_AVAILABLE</x:v>
      </x:c>
      <x:c r="I810" s="25" t="str">
        <x:v>NOT_RUN</x:v>
      </x:c>
      <x:c r="J810" s="25" t="str">
        <x:v>NOT_RUN</x:v>
      </x:c>
      <x:c r="K810" s="25" t="n">
        <x:v>1</x:v>
      </x:c>
      <x:c r="L810" s="27" t="b">
        <x:v>0</x:v>
      </x:c>
      <x:c r="M810" s="25" t="str">
        <x:v>Deepseek-flash-v4/state/Round1/shards/Mockito.json</x:v>
      </x:c>
      <x:c r="N810" s="25" t="str">
        <x:v>Deepseek-flash-v4/Result/Mockito_26/result.json</x:v>
      </x:c>
      <x:c r="O810" s="25" t="str">
        <x:v>Deepseek-flash-v4/Result/Mockito_26/result.json</x:v>
      </x:c>
      <x:c r="P810" t="str">
        <x:v>BOTH_NOT_RUN</x:v>
      </x:c>
      <x:c r="Q810" s="21" t="str"/>
      <x:c r="R810" s="21" t="str"/>
      <x:c r="S810" s="21" t="str"/>
      <x:c r="T810" s="17" t="str">
        <x:v>false</x:v>
      </x:c>
      <x:c r="U810" s="17" t="str">
        <x:v>true</x:v>
      </x:c>
      <x:c r="V810" s="17" t="str">
        <x:v>false</x:v>
      </x:c>
    </x:row>
    <x:row r="811" ht="80" customHeight="1">
      <x:c r="A811" s="25" t="str">
        <x:v>Mockito</x:v>
      </x:c>
      <x:c r="B811" s="25" t="n">
        <x:v>27</x:v>
      </x:c>
      <x:c r="C811" s="25" t="str">
        <x:v>Round1</x:v>
      </x:c>
      <x:c r="D811" s="25" t="str">
        <x:v>NOT_AVAILABLE</x:v>
      </x:c>
      <x:c r="E811" s="25" t="str">
        <x:v>N/A</x:v>
      </x:c>
      <x:c r="F811" s="26" t="str">
        <x:v>Tests exist but current coverage did not complete</x:v>
      </x:c>
      <x:c r="G811" s="25" t="str">
        <x:v>true</x:v>
      </x:c>
      <x:c r="H811" s="25" t="str">
        <x:v>NOT_AVAILABLE</x:v>
      </x:c>
      <x:c r="I811" s="25" t="str">
        <x:v>NOT_RUN</x:v>
      </x:c>
      <x:c r="J811" s="25" t="str">
        <x:v>NOT_RUN</x:v>
      </x:c>
      <x:c r="K811" s="25" t="n">
        <x:v>1</x:v>
      </x:c>
      <x:c r="L811" s="27" t="b">
        <x:v>0</x:v>
      </x:c>
      <x:c r="M811" s="25" t="str">
        <x:v>Deepseek-flash-v4/state/Round1/shards/Mockito.json</x:v>
      </x:c>
      <x:c r="N811" s="25" t="str">
        <x:v>Deepseek-flash-v4/Result/Mockito_27/result.json</x:v>
      </x:c>
      <x:c r="O811" s="25" t="str">
        <x:v>Deepseek-flash-v4/Result/Mockito_27/result.json</x:v>
      </x:c>
      <x:c r="P811" t="str">
        <x:v>BOTH_NOT_RUN</x:v>
      </x:c>
      <x:c r="Q811" s="21" t="str"/>
      <x:c r="R811" s="21" t="str"/>
      <x:c r="S811" s="21" t="str"/>
      <x:c r="T811" s="17" t="str">
        <x:v>false</x:v>
      </x:c>
      <x:c r="U811" s="17" t="str">
        <x:v>true</x:v>
      </x:c>
      <x:c r="V811" s="17" t="str">
        <x:v>false</x:v>
      </x:c>
    </x:row>
    <x:row r="812" ht="80" customHeight="1">
      <x:c r="A812" s="25" t="str">
        <x:v>Mockito</x:v>
      </x:c>
      <x:c r="B812" s="25" t="n">
        <x:v>28</x:v>
      </x:c>
      <x:c r="C812" s="25" t="str">
        <x:v>Round1</x:v>
      </x:c>
      <x:c r="D812" s="25" t="str">
        <x:v>NOT_AVAILABLE</x:v>
      </x:c>
      <x:c r="E812" s="25" t="str">
        <x:v>N/A</x:v>
      </x:c>
      <x:c r="F812" s="26" t="str">
        <x:v>Tests exist but current coverage did not complete</x:v>
      </x:c>
      <x:c r="G812" s="25" t="str">
        <x:v>true</x:v>
      </x:c>
      <x:c r="H812" s="25" t="str">
        <x:v>NOT_AVAILABLE</x:v>
      </x:c>
      <x:c r="I812" s="25" t="str">
        <x:v>NOT_RUN</x:v>
      </x:c>
      <x:c r="J812" s="25" t="str">
        <x:v>NOT_RUN</x:v>
      </x:c>
      <x:c r="K812" s="25" t="n">
        <x:v>1</x:v>
      </x:c>
      <x:c r="L812" s="27" t="b">
        <x:v>0</x:v>
      </x:c>
      <x:c r="M812" s="25" t="str">
        <x:v>Deepseek-flash-v4/state/Round1/shards/Mockito.json</x:v>
      </x:c>
      <x:c r="N812" s="25" t="str">
        <x:v>Deepseek-flash-v4/Result/Mockito_28/result.json</x:v>
      </x:c>
      <x:c r="O812" s="25" t="str">
        <x:v>Deepseek-flash-v4/Result/Mockito_28/result.json</x:v>
      </x:c>
      <x:c r="P812" t="str">
        <x:v>BOTH_NOT_RUN</x:v>
      </x:c>
      <x:c r="Q812" s="21" t="str"/>
      <x:c r="R812" s="21" t="str"/>
      <x:c r="S812" s="21" t="str"/>
      <x:c r="T812" s="17" t="str">
        <x:v>false</x:v>
      </x:c>
      <x:c r="U812" s="17" t="str">
        <x:v>true</x:v>
      </x:c>
      <x:c r="V812" s="17" t="str">
        <x:v>false</x:v>
      </x:c>
    </x:row>
    <x:row r="813" ht="80" customHeight="1">
      <x:c r="A813" s="25" t="str">
        <x:v>Mockito</x:v>
      </x:c>
      <x:c r="B813" s="25" t="n">
        <x:v>29</x:v>
      </x:c>
      <x:c r="C813" s="25" t="str">
        <x:v>Round1</x:v>
      </x:c>
      <x:c r="D813" s="25" t="str">
        <x:v>NOT_AVAILABLE</x:v>
      </x:c>
      <x:c r="E813" s="25" t="str">
        <x:v>N/A</x:v>
      </x:c>
      <x:c r="F813" s="26" t="str">
        <x:v>Tests exist but current coverage did not complete</x:v>
      </x:c>
      <x:c r="G813" s="25" t="str">
        <x:v>true</x:v>
      </x:c>
      <x:c r="H813" s="25" t="str">
        <x:v>NOT_AVAILABLE</x:v>
      </x:c>
      <x:c r="I813" s="25" t="str">
        <x:v>NOT_RUN</x:v>
      </x:c>
      <x:c r="J813" s="25" t="str">
        <x:v>NOT_RUN</x:v>
      </x:c>
      <x:c r="K813" s="25" t="n">
        <x:v>1</x:v>
      </x:c>
      <x:c r="L813" s="27" t="b">
        <x:v>0</x:v>
      </x:c>
      <x:c r="M813" s="25" t="str">
        <x:v>Deepseek-flash-v4/state/Round1/shards/Mockito.json</x:v>
      </x:c>
      <x:c r="N813" s="25" t="str">
        <x:v>Deepseek-flash-v4/Result/Mockito_29/result.json</x:v>
      </x:c>
      <x:c r="O813" s="25" t="str">
        <x:v>Deepseek-flash-v4/Result/Mockito_29/result.json</x:v>
      </x:c>
      <x:c r="P813" t="str">
        <x:v>BOTH_NOT_RUN</x:v>
      </x:c>
      <x:c r="Q813" s="21" t="str"/>
      <x:c r="R813" s="21" t="str"/>
      <x:c r="S813" s="21" t="str"/>
      <x:c r="T813" s="17" t="str">
        <x:v>false</x:v>
      </x:c>
      <x:c r="U813" s="17" t="str">
        <x:v>true</x:v>
      </x:c>
      <x:c r="V813" s="17" t="str">
        <x:v>false</x:v>
      </x:c>
    </x:row>
    <x:row r="814" ht="80" customHeight="1">
      <x:c r="A814" s="25" t="str">
        <x:v>Mockito</x:v>
      </x:c>
      <x:c r="B814" s="25" t="n">
        <x:v>3</x:v>
      </x:c>
      <x:c r="C814" s="25" t="str">
        <x:v>Round1</x:v>
      </x:c>
      <x:c r="D814" s="25" t="str">
        <x:v>NOT_AVAILABLE</x:v>
      </x:c>
      <x:c r="E814" s="25" t="str">
        <x:v>N/A</x:v>
      </x:c>
      <x:c r="F814" s="26" t="str">
        <x:v>Tests exist but current coverage did not complete</x:v>
      </x:c>
      <x:c r="G814" s="25" t="str">
        <x:v>true</x:v>
      </x:c>
      <x:c r="H814" s="25" t="str">
        <x:v>NOT_AVAILABLE</x:v>
      </x:c>
      <x:c r="I814" s="25" t="str">
        <x:v>NOT_RUN</x:v>
      </x:c>
      <x:c r="J814" s="25" t="str">
        <x:v>NOT_RUN</x:v>
      </x:c>
      <x:c r="K814" s="25" t="n">
        <x:v>1</x:v>
      </x:c>
      <x:c r="L814" s="27" t="b">
        <x:v>0</x:v>
      </x:c>
      <x:c r="M814" s="25" t="str">
        <x:v>Deepseek-flash-v4/state/Round1/shards/Mockito.json</x:v>
      </x:c>
      <x:c r="N814" s="25" t="str">
        <x:v>Deepseek-flash-v4/Result/Mockito_3/result.json</x:v>
      </x:c>
      <x:c r="O814" s="25" t="str">
        <x:v>Deepseek-flash-v4/Result/Mockito_3/result.json</x:v>
      </x:c>
      <x:c r="P814" t="str">
        <x:v>BOTH_NOT_RUN</x:v>
      </x:c>
      <x:c r="Q814" s="21" t="str"/>
      <x:c r="R814" s="21" t="str"/>
      <x:c r="S814" s="21" t="str"/>
      <x:c r="T814" s="17" t="str">
        <x:v>false</x:v>
      </x:c>
      <x:c r="U814" s="17" t="str">
        <x:v>true</x:v>
      </x:c>
      <x:c r="V814" s="17" t="str">
        <x:v>false</x:v>
      </x:c>
    </x:row>
    <x:row r="815" ht="80" customHeight="1">
      <x:c r="A815" s="25" t="str">
        <x:v>Mockito</x:v>
      </x:c>
      <x:c r="B815" s="25" t="n">
        <x:v>30</x:v>
      </x:c>
      <x:c r="C815" s="25" t="str">
        <x:v>Round1</x:v>
      </x:c>
      <x:c r="D815" s="25" t="str">
        <x:v>NOT_AVAILABLE</x:v>
      </x:c>
      <x:c r="E815" s="25" t="str">
        <x:v>N/A</x:v>
      </x:c>
      <x:c r="F815" s="26" t="str">
        <x:v>Tests exist but current coverage did not complete</x:v>
      </x:c>
      <x:c r="G815" s="25" t="str">
        <x:v>true</x:v>
      </x:c>
      <x:c r="H815" s="25" t="str">
        <x:v>NOT_AVAILABLE</x:v>
      </x:c>
      <x:c r="I815" s="25" t="str">
        <x:v>NOT_RUN</x:v>
      </x:c>
      <x:c r="J815" s="25" t="str">
        <x:v>NOT_RUN</x:v>
      </x:c>
      <x:c r="K815" s="25" t="n">
        <x:v>2</x:v>
      </x:c>
      <x:c r="L815" s="27" t="b">
        <x:v>0</x:v>
      </x:c>
      <x:c r="M815" s="25" t="str">
        <x:v>Deepseek-flash-v4/state/Round1/shards/Mockito.json</x:v>
      </x:c>
      <x:c r="N815" s="25" t="str">
        <x:v>Deepseek-flash-v4/Result/Mockito_30/result.json</x:v>
      </x:c>
      <x:c r="O815" s="25" t="str">
        <x:v>Deepseek-flash-v4/Result/Mockito_30/result.json</x:v>
      </x:c>
      <x:c r="P815" t="str">
        <x:v>BOTH_NOT_RUN</x:v>
      </x:c>
      <x:c r="Q815" s="21" t="str"/>
      <x:c r="R815" s="21" t="str"/>
      <x:c r="S815" s="21" t="str"/>
      <x:c r="T815" s="17" t="str">
        <x:v>false</x:v>
      </x:c>
      <x:c r="U815" s="17" t="str">
        <x:v>true</x:v>
      </x:c>
      <x:c r="V815" s="17" t="str">
        <x:v>false</x:v>
      </x:c>
    </x:row>
    <x:row r="816" ht="80" customHeight="1">
      <x:c r="A816" s="25" t="str">
        <x:v>Mockito</x:v>
      </x:c>
      <x:c r="B816" s="25" t="n">
        <x:v>31</x:v>
      </x:c>
      <x:c r="C816" s="25" t="str">
        <x:v>Round1</x:v>
      </x:c>
      <x:c r="D816" s="25" t="str">
        <x:v>NOT_AVAILABLE</x:v>
      </x:c>
      <x:c r="E816" s="25" t="str">
        <x:v>N/A</x:v>
      </x:c>
      <x:c r="F816" s="26" t="str">
        <x:v>Tests exist but current coverage did not complete</x:v>
      </x:c>
      <x:c r="G816" s="25" t="str">
        <x:v>true</x:v>
      </x:c>
      <x:c r="H816" s="25" t="str">
        <x:v>NOT_AVAILABLE</x:v>
      </x:c>
      <x:c r="I816" s="25" t="str">
        <x:v>NOT_RUN</x:v>
      </x:c>
      <x:c r="J816" s="25" t="str">
        <x:v>NOT_RUN</x:v>
      </x:c>
      <x:c r="K816" s="25" t="n">
        <x:v>1</x:v>
      </x:c>
      <x:c r="L816" s="27" t="b">
        <x:v>0</x:v>
      </x:c>
      <x:c r="M816" s="25" t="str">
        <x:v>Deepseek-flash-v4/state/Round1/shards/Mockito.json</x:v>
      </x:c>
      <x:c r="N816" s="25" t="str">
        <x:v>Deepseek-flash-v4/Result/Mockito_31/result.json</x:v>
      </x:c>
      <x:c r="O816" s="25" t="str">
        <x:v>Deepseek-flash-v4/Result/Mockito_31/result.json</x:v>
      </x:c>
      <x:c r="P816" t="str">
        <x:v>BOTH_NOT_RUN</x:v>
      </x:c>
      <x:c r="Q816" s="21" t="str"/>
      <x:c r="R816" s="21" t="str"/>
      <x:c r="S816" s="21" t="str"/>
      <x:c r="T816" s="17" t="str">
        <x:v>false</x:v>
      </x:c>
      <x:c r="U816" s="17" t="str">
        <x:v>true</x:v>
      </x:c>
      <x:c r="V816" s="17" t="str">
        <x:v>false</x:v>
      </x:c>
    </x:row>
    <x:row r="817" ht="80" customHeight="1">
      <x:c r="A817" s="25" t="str">
        <x:v>Mockito</x:v>
      </x:c>
      <x:c r="B817" s="25" t="n">
        <x:v>32</x:v>
      </x:c>
      <x:c r="C817" s="25" t="str">
        <x:v>Round1</x:v>
      </x:c>
      <x:c r="D817" s="25" t="str">
        <x:v>NOT_AVAILABLE</x:v>
      </x:c>
      <x:c r="E817" s="25" t="str">
        <x:v>N/A</x:v>
      </x:c>
      <x:c r="F817" s="26" t="str">
        <x:v>Tests exist but current coverage did not complete</x:v>
      </x:c>
      <x:c r="G817" s="25" t="str">
        <x:v>true</x:v>
      </x:c>
      <x:c r="H817" s="25" t="str">
        <x:v>NOT_AVAILABLE</x:v>
      </x:c>
      <x:c r="I817" s="25" t="str">
        <x:v>NOT_RUN</x:v>
      </x:c>
      <x:c r="J817" s="25" t="str">
        <x:v>NOT_RUN</x:v>
      </x:c>
      <x:c r="K817" s="25" t="n">
        <x:v>1</x:v>
      </x:c>
      <x:c r="L817" s="27" t="b">
        <x:v>0</x:v>
      </x:c>
      <x:c r="M817" s="25" t="str">
        <x:v>Deepseek-flash-v4/state/Round1/shards/Mockito.json</x:v>
      </x:c>
      <x:c r="N817" s="25" t="str">
        <x:v>Deepseek-flash-v4/Result/Mockito_32/result.json</x:v>
      </x:c>
      <x:c r="O817" s="25" t="str">
        <x:v>Deepseek-flash-v4/Result/Mockito_32/result.json</x:v>
      </x:c>
      <x:c r="P817" t="str">
        <x:v>BOTH_NOT_RUN</x:v>
      </x:c>
      <x:c r="Q817" s="21" t="str"/>
      <x:c r="R817" s="21" t="str"/>
      <x:c r="S817" s="21" t="str"/>
      <x:c r="T817" s="17" t="str">
        <x:v>false</x:v>
      </x:c>
      <x:c r="U817" s="17" t="str">
        <x:v>true</x:v>
      </x:c>
      <x:c r="V817" s="17" t="str">
        <x:v>false</x:v>
      </x:c>
    </x:row>
    <x:row r="818" ht="80" customHeight="1">
      <x:c r="A818" s="25" t="str">
        <x:v>Mockito</x:v>
      </x:c>
      <x:c r="B818" s="25" t="n">
        <x:v>33</x:v>
      </x:c>
      <x:c r="C818" s="25" t="str">
        <x:v>Round1</x:v>
      </x:c>
      <x:c r="D818" s="25" t="str">
        <x:v>NOT_AVAILABLE</x:v>
      </x:c>
      <x:c r="E818" s="25" t="str">
        <x:v>N/A</x:v>
      </x:c>
      <x:c r="F818" s="26" t="str">
        <x:v>Tests exist but current coverage did not complete</x:v>
      </x:c>
      <x:c r="G818" s="25" t="str">
        <x:v>true</x:v>
      </x:c>
      <x:c r="H818" s="25" t="str">
        <x:v>NOT_AVAILABLE</x:v>
      </x:c>
      <x:c r="I818" s="25" t="str">
        <x:v>NOT_RUN</x:v>
      </x:c>
      <x:c r="J818" s="25" t="str">
        <x:v>NOT_RUN</x:v>
      </x:c>
      <x:c r="K818" s="25" t="n">
        <x:v>1</x:v>
      </x:c>
      <x:c r="L818" s="27" t="b">
        <x:v>0</x:v>
      </x:c>
      <x:c r="M818" s="25" t="str">
        <x:v>Deepseek-flash-v4/state/Round1/shards/Mockito.json</x:v>
      </x:c>
      <x:c r="N818" s="25" t="str">
        <x:v>Deepseek-flash-v4/Result/Mockito_33/result.json</x:v>
      </x:c>
      <x:c r="O818" s="25" t="str">
        <x:v>Deepseek-flash-v4/Result/Mockito_33/result.json</x:v>
      </x:c>
      <x:c r="P818" t="str">
        <x:v>BOTH_NOT_RUN</x:v>
      </x:c>
      <x:c r="Q818" s="21" t="str"/>
      <x:c r="R818" s="21" t="str"/>
      <x:c r="S818" s="21" t="str"/>
      <x:c r="T818" s="17" t="str">
        <x:v>false</x:v>
      </x:c>
      <x:c r="U818" s="17" t="str">
        <x:v>true</x:v>
      </x:c>
      <x:c r="V818" s="17" t="str">
        <x:v>false</x:v>
      </x:c>
    </x:row>
    <x:row r="819" ht="80" customHeight="1">
      <x:c r="A819" s="25" t="str">
        <x:v>Mockito</x:v>
      </x:c>
      <x:c r="B819" s="25" t="n">
        <x:v>34</x:v>
      </x:c>
      <x:c r="C819" s="25" t="str">
        <x:v>Round1</x:v>
      </x:c>
      <x:c r="D819" s="25" t="str">
        <x:v>NOT_AVAILABLE</x:v>
      </x:c>
      <x:c r="E819" s="25" t="str">
        <x:v>N/A</x:v>
      </x:c>
      <x:c r="F819" s="26" t="str">
        <x:v>Tests exist but current coverage did not complete</x:v>
      </x:c>
      <x:c r="G819" s="25" t="str">
        <x:v>true</x:v>
      </x:c>
      <x:c r="H819" s="25" t="str">
        <x:v>NOT_AVAILABLE</x:v>
      </x:c>
      <x:c r="I819" s="25" t="str">
        <x:v>NOT_RUN</x:v>
      </x:c>
      <x:c r="J819" s="25" t="str">
        <x:v>NOT_RUN</x:v>
      </x:c>
      <x:c r="K819" s="25" t="n">
        <x:v>1</x:v>
      </x:c>
      <x:c r="L819" s="27" t="b">
        <x:v>0</x:v>
      </x:c>
      <x:c r="M819" s="25" t="str">
        <x:v>Deepseek-flash-v4/state/Round1/shards/Mockito.json</x:v>
      </x:c>
      <x:c r="N819" s="25" t="str">
        <x:v>Deepseek-flash-v4/Result/Mockito_34/result.json</x:v>
      </x:c>
      <x:c r="O819" s="25" t="str">
        <x:v>Deepseek-flash-v4/Result/Mockito_34/result.json</x:v>
      </x:c>
      <x:c r="P819" t="str">
        <x:v>BOTH_NOT_RUN</x:v>
      </x:c>
      <x:c r="Q819" s="21" t="str"/>
      <x:c r="R819" s="21" t="str"/>
      <x:c r="S819" s="21" t="str"/>
      <x:c r="T819" s="17" t="str">
        <x:v>false</x:v>
      </x:c>
      <x:c r="U819" s="17" t="str">
        <x:v>true</x:v>
      </x:c>
      <x:c r="V819" s="17" t="str">
        <x:v>false</x:v>
      </x:c>
    </x:row>
    <x:row r="820" ht="80" customHeight="1">
      <x:c r="A820" s="25" t="str">
        <x:v>Mockito</x:v>
      </x:c>
      <x:c r="B820" s="25" t="n">
        <x:v>35</x:v>
      </x:c>
      <x:c r="C820" s="25" t="str">
        <x:v>Round1</x:v>
      </x:c>
      <x:c r="D820" s="25" t="str">
        <x:v>NOT_AVAILABLE</x:v>
      </x:c>
      <x:c r="E820" s="25" t="str">
        <x:v>N/A</x:v>
      </x:c>
      <x:c r="F820" s="26" t="str">
        <x:v>Tests exist but current coverage did not complete</x:v>
      </x:c>
      <x:c r="G820" s="25" t="str">
        <x:v>true</x:v>
      </x:c>
      <x:c r="H820" s="25" t="str">
        <x:v>NOT_AVAILABLE</x:v>
      </x:c>
      <x:c r="I820" s="25" t="str">
        <x:v>NOT_RUN</x:v>
      </x:c>
      <x:c r="J820" s="25" t="str">
        <x:v>NOT_RUN</x:v>
      </x:c>
      <x:c r="K820" s="25" t="n">
        <x:v>1</x:v>
      </x:c>
      <x:c r="L820" s="27" t="b">
        <x:v>0</x:v>
      </x:c>
      <x:c r="M820" s="25" t="str">
        <x:v>Deepseek-flash-v4/state/Round1/shards/Mockito.json</x:v>
      </x:c>
      <x:c r="N820" s="25" t="str">
        <x:v>Deepseek-flash-v4/Result/Mockito_35/result.json</x:v>
      </x:c>
      <x:c r="O820" s="25" t="str">
        <x:v>Deepseek-flash-v4/Result/Mockito_35/result.json</x:v>
      </x:c>
      <x:c r="P820" t="str">
        <x:v>BOTH_NOT_RUN</x:v>
      </x:c>
      <x:c r="Q820" s="21" t="str"/>
      <x:c r="R820" s="21" t="str"/>
      <x:c r="S820" s="21" t="str"/>
      <x:c r="T820" s="17" t="str">
        <x:v>false</x:v>
      </x:c>
      <x:c r="U820" s="17" t="str">
        <x:v>true</x:v>
      </x:c>
      <x:c r="V820" s="17" t="str">
        <x:v>false</x:v>
      </x:c>
    </x:row>
    <x:row r="821" ht="80" customHeight="1">
      <x:c r="A821" s="25" t="str">
        <x:v>Mockito</x:v>
      </x:c>
      <x:c r="B821" s="25" t="n">
        <x:v>36</x:v>
      </x:c>
      <x:c r="C821" s="25" t="str">
        <x:v>Round1</x:v>
      </x:c>
      <x:c r="D821" s="25" t="str">
        <x:v>NOT_AVAILABLE</x:v>
      </x:c>
      <x:c r="E821" s="25" t="str">
        <x:v>N/A</x:v>
      </x:c>
      <x:c r="F821" s="26" t="str">
        <x:v>Tests exist but current coverage did not complete</x:v>
      </x:c>
      <x:c r="G821" s="25" t="str">
        <x:v>true</x:v>
      </x:c>
      <x:c r="H821" s="25" t="str">
        <x:v>NOT_AVAILABLE</x:v>
      </x:c>
      <x:c r="I821" s="25" t="str">
        <x:v>NOT_RUN</x:v>
      </x:c>
      <x:c r="J821" s="25" t="str">
        <x:v>NOT_RUN</x:v>
      </x:c>
      <x:c r="K821" s="25" t="n">
        <x:v>1</x:v>
      </x:c>
      <x:c r="L821" s="27" t="b">
        <x:v>0</x:v>
      </x:c>
      <x:c r="M821" s="25" t="str">
        <x:v>Deepseek-flash-v4/state/Round1/shards/Mockito.json</x:v>
      </x:c>
      <x:c r="N821" s="25" t="str">
        <x:v>Deepseek-flash-v4/Result/Mockito_36/result.json</x:v>
      </x:c>
      <x:c r="O821" s="25" t="str">
        <x:v>Deepseek-flash-v4/Result/Mockito_36/result.json</x:v>
      </x:c>
      <x:c r="P821" t="str">
        <x:v>BOTH_NOT_RUN</x:v>
      </x:c>
      <x:c r="Q821" s="21" t="str"/>
      <x:c r="R821" s="21" t="str"/>
      <x:c r="S821" s="21" t="str"/>
      <x:c r="T821" s="17" t="str">
        <x:v>false</x:v>
      </x:c>
      <x:c r="U821" s="17" t="str">
        <x:v>true</x:v>
      </x:c>
      <x:c r="V821" s="17" t="str">
        <x:v>false</x:v>
      </x:c>
    </x:row>
    <x:row r="822" ht="80" customHeight="1">
      <x:c r="A822" s="25" t="str">
        <x:v>Mockito</x:v>
      </x:c>
      <x:c r="B822" s="25" t="n">
        <x:v>37</x:v>
      </x:c>
      <x:c r="C822" s="25" t="str">
        <x:v>Round1</x:v>
      </x:c>
      <x:c r="D822" s="25" t="str">
        <x:v>INCONCLUSIVE</x:v>
      </x:c>
      <x:c r="E822" s="25" t="str">
        <x:v>N/A</x:v>
      </x:c>
      <x:c r="F822" s="26" t="str">
        <x:v>Fixed also failed; assertion failure cannot be attributed to this bug</x:v>
      </x:c>
      <x:c r="G822" s="25" t="str">
        <x:v>true</x:v>
      </x:c>
      <x:c r="H822" s="25" t="str">
        <x:v>INCONCLUSIVE</x:v>
      </x:c>
      <x:c r="I822" s="25" t="str">
        <x:v>FAIL</x:v>
      </x:c>
      <x:c r="J822" s="25" t="str">
        <x:v>FAIL</x:v>
      </x:c>
      <x:c r="K822" s="25" t="n">
        <x:v>1</x:v>
      </x:c>
      <x:c r="L822" s="27" t="b">
        <x:v>0</x:v>
      </x:c>
      <x:c r="M822" s="25" t="str">
        <x:v>Deepseek-flash-v4/state/Round1/shards/Mockito.json</x:v>
      </x:c>
      <x:c r="N822" s="25" t="str">
        <x:v>Deepseek-flash-v4/Result/Mockito_37/result.json</x:v>
      </x:c>
      <x:c r="O822" s="25" t="str">
        <x:v>Deepseek-flash-v4/Result/Mockito_37/result.json</x:v>
      </x:c>
      <x:c r="P822"/>
      <x:c r="Q822" s="21" t="str"/>
      <x:c r="R822" s="21" t="str"/>
      <x:c r="S822" s="21" t="str"/>
      <x:c r="T822" s="17" t="str">
        <x:v>false</x:v>
      </x:c>
      <x:c r="U822" s="17" t="str">
        <x:v>true</x:v>
      </x:c>
      <x:c r="V822" s="17" t="str">
        <x:v>false</x:v>
      </x:c>
    </x:row>
    <x:row r="823" ht="80" customHeight="1">
      <x:c r="A823" s="25" t="str">
        <x:v>Mockito</x:v>
      </x:c>
      <x:c r="B823" s="25" t="n">
        <x:v>38</x:v>
      </x:c>
      <x:c r="C823" s="25" t="str">
        <x:v>Round1</x:v>
      </x:c>
      <x:c r="D823" s="25" t="str">
        <x:v>NOT_AVAILABLE</x:v>
      </x:c>
      <x:c r="E823" s="25" t="str">
        <x:v>N/A</x:v>
      </x:c>
      <x:c r="F823" s="26" t="str">
        <x:v>Tests exist but current coverage did not complete</x:v>
      </x:c>
      <x:c r="G823" s="25" t="str">
        <x:v>true</x:v>
      </x:c>
      <x:c r="H823" s="25" t="str">
        <x:v>NOT_AVAILABLE</x:v>
      </x:c>
      <x:c r="I823" s="25" t="str">
        <x:v>NOT_RUN</x:v>
      </x:c>
      <x:c r="J823" s="25" t="str">
        <x:v>NOT_RUN</x:v>
      </x:c>
      <x:c r="K823" s="25" t="n">
        <x:v>1</x:v>
      </x:c>
      <x:c r="L823" s="27" t="b">
        <x:v>0</x:v>
      </x:c>
      <x:c r="M823" s="25" t="str">
        <x:v>Deepseek-flash-v4/state/Round1/shards/Mockito.json</x:v>
      </x:c>
      <x:c r="N823" s="25" t="str">
        <x:v>Deepseek-flash-v4/Result/Mockito_38/result.json</x:v>
      </x:c>
      <x:c r="O823" s="25" t="str">
        <x:v>Deepseek-flash-v4/Result/Mockito_38/result.json</x:v>
      </x:c>
      <x:c r="P823" t="str">
        <x:v>BOTH_NOT_RUN</x:v>
      </x:c>
      <x:c r="Q823" s="21" t="str"/>
      <x:c r="R823" s="21" t="str"/>
      <x:c r="S823" s="21" t="str"/>
      <x:c r="T823" s="17" t="str">
        <x:v>false</x:v>
      </x:c>
      <x:c r="U823" s="17" t="str">
        <x:v>true</x:v>
      </x:c>
      <x:c r="V823" s="17" t="str">
        <x:v>false</x:v>
      </x:c>
    </x:row>
    <x:row r="824" ht="80" customHeight="1">
      <x:c r="A824" s="25" t="str">
        <x:v>Mockito</x:v>
      </x:c>
      <x:c r="B824" s="25" t="n">
        <x:v>4</x:v>
      </x:c>
      <x:c r="C824" s="25" t="str">
        <x:v>Round1</x:v>
      </x:c>
      <x:c r="D824" s="25" t="str">
        <x:v>NOT_AVAILABLE</x:v>
      </x:c>
      <x:c r="E824" s="25" t="str">
        <x:v>N/A</x:v>
      </x:c>
      <x:c r="F824" s="26" t="str">
        <x:v>Tests exist but current coverage did not complete</x:v>
      </x:c>
      <x:c r="G824" s="25" t="str">
        <x:v>true</x:v>
      </x:c>
      <x:c r="H824" s="25" t="str">
        <x:v>NOT_AVAILABLE</x:v>
      </x:c>
      <x:c r="I824" s="25" t="str">
        <x:v>NOT_RUN</x:v>
      </x:c>
      <x:c r="J824" s="25" t="str">
        <x:v>NOT_RUN</x:v>
      </x:c>
      <x:c r="K824" s="25" t="n">
        <x:v>1</x:v>
      </x:c>
      <x:c r="L824" s="27" t="b">
        <x:v>0</x:v>
      </x:c>
      <x:c r="M824" s="25" t="str">
        <x:v>Deepseek-flash-v4/state/Round1/shards/Mockito.json</x:v>
      </x:c>
      <x:c r="N824" s="25" t="str">
        <x:v>Deepseek-flash-v4/Result/Mockito_4/result.json</x:v>
      </x:c>
      <x:c r="O824" s="25" t="str">
        <x:v>Deepseek-flash-v4/Result/Mockito_4/result.json</x:v>
      </x:c>
      <x:c r="P824" t="str">
        <x:v>BOTH_NOT_RUN</x:v>
      </x:c>
      <x:c r="Q824" s="21" t="str"/>
      <x:c r="R824" s="21" t="str"/>
      <x:c r="S824" s="21" t="str"/>
      <x:c r="T824" s="17" t="str">
        <x:v>false</x:v>
      </x:c>
      <x:c r="U824" s="17" t="str">
        <x:v>true</x:v>
      </x:c>
      <x:c r="V824" s="17" t="str">
        <x:v>false</x:v>
      </x:c>
    </x:row>
    <x:row r="825" ht="80" customHeight="1">
      <x:c r="A825" s="25" t="str">
        <x:v>Mockito</x:v>
      </x:c>
      <x:c r="B825" s="25" t="n">
        <x:v>5</x:v>
      </x:c>
      <x:c r="C825" s="25" t="str">
        <x:v>Round1</x:v>
      </x:c>
      <x:c r="D825" s="25" t="str">
        <x:v>NOT_AVAILABLE</x:v>
      </x:c>
      <x:c r="E825" s="25" t="str">
        <x:v>N/A</x:v>
      </x:c>
      <x:c r="F825" s="26" t="str">
        <x:v>Tests exist but current coverage did not complete</x:v>
      </x:c>
      <x:c r="G825" s="25" t="str">
        <x:v>true</x:v>
      </x:c>
      <x:c r="H825" s="25" t="str">
        <x:v>NOT_AVAILABLE</x:v>
      </x:c>
      <x:c r="I825" s="25" t="str">
        <x:v>NOT_RUN</x:v>
      </x:c>
      <x:c r="J825" s="25" t="str">
        <x:v>NOT_RUN</x:v>
      </x:c>
      <x:c r="K825" s="25" t="n">
        <x:v>1</x:v>
      </x:c>
      <x:c r="L825" s="27" t="b">
        <x:v>0</x:v>
      </x:c>
      <x:c r="M825" s="25" t="str">
        <x:v>Deepseek-flash-v4/state/Round1/shards/Mockito.json</x:v>
      </x:c>
      <x:c r="N825" s="25" t="str">
        <x:v>Deepseek-flash-v4/Result/Mockito_5/result.json</x:v>
      </x:c>
      <x:c r="O825" s="25" t="str">
        <x:v>Deepseek-flash-v4/Result/Mockito_5/result.json</x:v>
      </x:c>
      <x:c r="P825" t="str">
        <x:v>BOTH_NOT_RUN</x:v>
      </x:c>
      <x:c r="Q825" s="21" t="str"/>
      <x:c r="R825" s="21" t="str"/>
      <x:c r="S825" s="21" t="str"/>
      <x:c r="T825" s="17" t="str">
        <x:v>false</x:v>
      </x:c>
      <x:c r="U825" s="17" t="str">
        <x:v>true</x:v>
      </x:c>
      <x:c r="V825" s="17" t="str">
        <x:v>false</x:v>
      </x:c>
    </x:row>
    <x:row r="826" ht="80" customHeight="1">
      <x:c r="A826" s="25" t="str">
        <x:v>Mockito</x:v>
      </x:c>
      <x:c r="B826" s="25" t="n">
        <x:v>6</x:v>
      </x:c>
      <x:c r="C826" s="25" t="str">
        <x:v>Round1</x:v>
      </x:c>
      <x:c r="D826" s="25" t="str">
        <x:v>INCONCLUSIVE</x:v>
      </x:c>
      <x:c r="E826" s="25" t="str">
        <x:v>N/A</x:v>
      </x:c>
      <x:c r="F826" s="26" t="str">
        <x:v>Fixed also failed; assertion failure cannot be attributed to this bug</x:v>
      </x:c>
      <x:c r="G826" s="25" t="str">
        <x:v>true</x:v>
      </x:c>
      <x:c r="H826" s="25" t="str">
        <x:v>INCONCLUSIVE</x:v>
      </x:c>
      <x:c r="I826" s="25" t="str">
        <x:v>FAIL</x:v>
      </x:c>
      <x:c r="J826" s="25" t="str">
        <x:v>FAIL</x:v>
      </x:c>
      <x:c r="K826" s="25" t="n">
        <x:v>1</x:v>
      </x:c>
      <x:c r="L826" s="27" t="b">
        <x:v>0</x:v>
      </x:c>
      <x:c r="M826" s="25" t="str">
        <x:v>Deepseek-flash-v4/state/Round1/shards/Mockito.json</x:v>
      </x:c>
      <x:c r="N826" s="25" t="str">
        <x:v>Deepseek-flash-v4/Result/Mockito_6/result.json</x:v>
      </x:c>
      <x:c r="O826" s="25" t="str">
        <x:v>Deepseek-flash-v4/Result/Mockito_6/result.json</x:v>
      </x:c>
      <x:c r="P826"/>
      <x:c r="Q826" s="21" t="str"/>
      <x:c r="R826" s="21" t="str"/>
      <x:c r="S826" s="21" t="str"/>
      <x:c r="T826" s="17" t="str">
        <x:v>false</x:v>
      </x:c>
      <x:c r="U826" s="17" t="str">
        <x:v>true</x:v>
      </x:c>
      <x:c r="V826" s="17" t="str">
        <x:v>false</x:v>
      </x:c>
    </x:row>
    <x:row r="827" ht="80" customHeight="1">
      <x:c r="A827" s="25" t="str">
        <x:v>Mockito</x:v>
      </x:c>
      <x:c r="B827" s="25" t="n">
        <x:v>7</x:v>
      </x:c>
      <x:c r="C827" s="25" t="str">
        <x:v>Round1</x:v>
      </x:c>
      <x:c r="D827" s="25" t="str">
        <x:v>INCONCLUSIVE</x:v>
      </x:c>
      <x:c r="E827" s="25" t="str">
        <x:v>N/A</x:v>
      </x:c>
      <x:c r="F827" s="26" t="str">
        <x:v>Fixed also failed; assertion failure cannot be attributed to this bug</x:v>
      </x:c>
      <x:c r="G827" s="25" t="str">
        <x:v>true</x:v>
      </x:c>
      <x:c r="H827" s="25" t="str">
        <x:v>INCONCLUSIVE</x:v>
      </x:c>
      <x:c r="I827" s="25" t="str">
        <x:v>FAIL</x:v>
      </x:c>
      <x:c r="J827" s="25" t="str">
        <x:v>FAIL</x:v>
      </x:c>
      <x:c r="K827" s="25" t="n">
        <x:v>1</x:v>
      </x:c>
      <x:c r="L827" s="27" t="b">
        <x:v>0</x:v>
      </x:c>
      <x:c r="M827" s="25" t="str">
        <x:v>Deepseek-flash-v4/state/Round1/shards/Mockito.json</x:v>
      </x:c>
      <x:c r="N827" s="25" t="str">
        <x:v>Deepseek-flash-v4/Result/Mockito_7/result.json</x:v>
      </x:c>
      <x:c r="O827" s="25" t="str">
        <x:v>Deepseek-flash-v4/Result/Mockito_7/result.json</x:v>
      </x:c>
      <x:c r="P827"/>
      <x:c r="Q827" s="21" t="str"/>
      <x:c r="R827" s="21" t="str"/>
      <x:c r="S827" s="21" t="str"/>
      <x:c r="T827" s="17" t="str">
        <x:v>false</x:v>
      </x:c>
      <x:c r="U827" s="17" t="str">
        <x:v>true</x:v>
      </x:c>
      <x:c r="V827" s="17" t="str">
        <x:v>false</x:v>
      </x:c>
    </x:row>
    <x:row r="828" ht="80" customHeight="1">
      <x:c r="A828" s="25" t="str">
        <x:v>Mockito</x:v>
      </x:c>
      <x:c r="B828" s="25" t="n">
        <x:v>8</x:v>
      </x:c>
      <x:c r="C828" s="25" t="str">
        <x:v>Round1</x:v>
      </x:c>
      <x:c r="D828" s="25" t="str">
        <x:v>INCONCLUSIVE</x:v>
      </x:c>
      <x:c r="E828" s="25" t="str">
        <x:v>N/A</x:v>
      </x:c>
      <x:c r="F828" s="26" t="str">
        <x:v>Fixed also failed; assertion failure cannot be attributed to this bug</x:v>
      </x:c>
      <x:c r="G828" s="25" t="str">
        <x:v>true</x:v>
      </x:c>
      <x:c r="H828" s="25" t="str">
        <x:v>INCONCLUSIVE</x:v>
      </x:c>
      <x:c r="I828" s="25" t="str">
        <x:v>FAIL</x:v>
      </x:c>
      <x:c r="J828" s="25" t="str">
        <x:v>FAIL</x:v>
      </x:c>
      <x:c r="K828" s="25" t="n">
        <x:v>1</x:v>
      </x:c>
      <x:c r="L828" s="27" t="b">
        <x:v>0</x:v>
      </x:c>
      <x:c r="M828" s="25" t="str">
        <x:v>Deepseek-flash-v4/state/Round1/shards/Mockito.json</x:v>
      </x:c>
      <x:c r="N828" s="25" t="str">
        <x:v>Deepseek-flash-v4/Result/Mockito_8/result.json</x:v>
      </x:c>
      <x:c r="O828" s="25" t="str">
        <x:v>Deepseek-flash-v4/Result/Mockito_8/result.json</x:v>
      </x:c>
      <x:c r="P828"/>
      <x:c r="Q828" s="21" t="str"/>
      <x:c r="R828" s="21" t="str"/>
      <x:c r="S828" s="21" t="str"/>
      <x:c r="T828" s="17" t="str">
        <x:v>false</x:v>
      </x:c>
      <x:c r="U828" s="17" t="str">
        <x:v>true</x:v>
      </x:c>
      <x:c r="V828" s="17" t="str">
        <x:v>false</x:v>
      </x:c>
    </x:row>
    <x:row r="829" ht="80" customHeight="1">
      <x:c r="A829" s="25" t="str">
        <x:v>Mockito</x:v>
      </x:c>
      <x:c r="B829" s="25" t="n">
        <x:v>9</x:v>
      </x:c>
      <x:c r="C829" s="25" t="str">
        <x:v>Round1</x:v>
      </x:c>
      <x:c r="D829" s="25" t="str">
        <x:v>INCONCLUSIVE</x:v>
      </x:c>
      <x:c r="E829" s="25" t="str">
        <x:v>N/A</x:v>
      </x:c>
      <x:c r="F829" s="26" t="str">
        <x:v>Fixed also failed; assertion failure cannot be attributed to this bug</x:v>
      </x:c>
      <x:c r="G829" s="25" t="str">
        <x:v>true</x:v>
      </x:c>
      <x:c r="H829" s="25" t="str">
        <x:v>INCONCLUSIVE</x:v>
      </x:c>
      <x:c r="I829" s="25" t="str">
        <x:v>PASS</x:v>
      </x:c>
      <x:c r="J829" s="25" t="str">
        <x:v>FAIL</x:v>
      </x:c>
      <x:c r="K829" s="25" t="n">
        <x:v>1</x:v>
      </x:c>
      <x:c r="L829" s="27" t="b">
        <x:v>0</x:v>
      </x:c>
      <x:c r="M829" s="25" t="str">
        <x:v>Deepseek-flash-v4/state/Round1/shards/Mockito.json</x:v>
      </x:c>
      <x:c r="N829" s="25" t="str">
        <x:v>Deepseek-flash-v4/Result/Mockito_9/result.json</x:v>
      </x:c>
      <x:c r="O829" s="25" t="str">
        <x:v>Deepseek-flash-v4/Result/Mockito_9/result.json</x:v>
      </x:c>
      <x:c r="P829"/>
      <x:c r="Q829" s="21" t="str"/>
      <x:c r="R829" s="21" t="str"/>
      <x:c r="S829" s="21" t="str"/>
      <x:c r="T829" s="17" t="str">
        <x:v>false</x:v>
      </x:c>
      <x:c r="U829" s="17" t="str">
        <x:v>true</x:v>
      </x:c>
      <x:c r="V829" s="17" t="str">
        <x:v>false</x:v>
      </x:c>
    </x:row>
    <x:row r="830" ht="80" customHeight="1">
      <x:c r="A830" s="25" t="str">
        <x:v>Time</x:v>
      </x:c>
      <x:c r="B830" s="25" t="n">
        <x:v>1</x:v>
      </x:c>
      <x:c r="C830" s="25" t="str">
        <x:v>Round1</x:v>
      </x:c>
      <x:c r="D830" s="25" t="str">
        <x:v>NOT_AVAILABLE</x:v>
      </x:c>
      <x:c r="E830" s="25" t="str">
        <x:v>N/A</x:v>
      </x:c>
      <x:c r="F830" s="26" t="str">
        <x:v>Tests exist but current coverage did not complete</x:v>
      </x:c>
      <x:c r="G830" s="25" t="str">
        <x:v>true</x:v>
      </x:c>
      <x:c r="H830" s="25" t="str">
        <x:v>NOT_AVAILABLE</x:v>
      </x:c>
      <x:c r="I830" s="25" t="str">
        <x:v>NOT_RUN</x:v>
      </x:c>
      <x:c r="J830" s="25" t="str">
        <x:v>NOT_RUN</x:v>
      </x:c>
      <x:c r="K830" s="25" t="n">
        <x:v>2</x:v>
      </x:c>
      <x:c r="L830" s="27" t="b">
        <x:v>0</x:v>
      </x:c>
      <x:c r="M830" s="25" t="str">
        <x:v>Deepseek-flash-v4/state/Round1/shards/Time.json</x:v>
      </x:c>
      <x:c r="N830" s="25" t="str">
        <x:v>Deepseek-flash-v4/Result/Time_1/result.json</x:v>
      </x:c>
      <x:c r="O830" s="25" t="str">
        <x:v>Deepseek-flash-v4/Result/Time_1/result.json</x:v>
      </x:c>
      <x:c r="P830" t="str">
        <x:v>BOTH_NOT_RUN</x:v>
      </x:c>
      <x:c r="Q830" s="21" t="str"/>
      <x:c r="R830" s="21" t="str"/>
      <x:c r="S830" s="21" t="str"/>
      <x:c r="T830" s="17" t="str">
        <x:v>false</x:v>
      </x:c>
      <x:c r="U830" s="17" t="str">
        <x:v>true</x:v>
      </x:c>
      <x:c r="V830" s="17" t="str">
        <x:v>false</x:v>
      </x:c>
    </x:row>
    <x:row r="831" ht="80" customHeight="1">
      <x:c r="A831" s="25" t="str">
        <x:v>Time</x:v>
      </x:c>
      <x:c r="B831" s="25" t="n">
        <x:v>10</x:v>
      </x:c>
      <x:c r="C831" s="25" t="str">
        <x:v>Round1</x:v>
      </x:c>
      <x:c r="D831" s="25" t="str">
        <x:v>NOT_AVAILABLE</x:v>
      </x:c>
      <x:c r="E831" s="25" t="str">
        <x:v>N/A</x:v>
      </x:c>
      <x:c r="F831" s="26" t="str">
        <x:v>Tests exist but current coverage did not complete</x:v>
      </x:c>
      <x:c r="G831" s="25" t="str">
        <x:v>true</x:v>
      </x:c>
      <x:c r="H831" s="25" t="str">
        <x:v>NOT_AVAILABLE</x:v>
      </x:c>
      <x:c r="I831" s="25" t="str">
        <x:v>NOT_RUN</x:v>
      </x:c>
      <x:c r="J831" s="25" t="str">
        <x:v>NOT_RUN</x:v>
      </x:c>
      <x:c r="K831" s="25" t="n">
        <x:v>1</x:v>
      </x:c>
      <x:c r="L831" s="27" t="b">
        <x:v>0</x:v>
      </x:c>
      <x:c r="M831" s="25" t="str">
        <x:v>Deepseek-flash-v4/state/Round1/shards/Time.json</x:v>
      </x:c>
      <x:c r="N831" s="25" t="str">
        <x:v>Deepseek-flash-v4/Result/Time_10/result.json</x:v>
      </x:c>
      <x:c r="O831" s="25" t="str">
        <x:v>Deepseek-flash-v4/Result/Time_10/result.json</x:v>
      </x:c>
      <x:c r="P831" t="str">
        <x:v>BOTH_NOT_RUN</x:v>
      </x:c>
      <x:c r="Q831" s="21" t="str"/>
      <x:c r="R831" s="21" t="str"/>
      <x:c r="S831" s="21" t="str"/>
      <x:c r="T831" s="17" t="str">
        <x:v>false</x:v>
      </x:c>
      <x:c r="U831" s="17" t="str">
        <x:v>true</x:v>
      </x:c>
      <x:c r="V831" s="17" t="str">
        <x:v>false</x:v>
      </x:c>
    </x:row>
    <x:row r="832" ht="80" customHeight="1">
      <x:c r="A832" s="25" t="str">
        <x:v>Time</x:v>
      </x:c>
      <x:c r="B832" s="25" t="n">
        <x:v>11</x:v>
      </x:c>
      <x:c r="C832" s="25" t="str">
        <x:v>Round1</x:v>
      </x:c>
      <x:c r="D832" s="25" t="str">
        <x:v>NOT_AVAILABLE</x:v>
      </x:c>
      <x:c r="E832" s="25" t="str">
        <x:v>N/A</x:v>
      </x:c>
      <x:c r="F832" s="26" t="str">
        <x:v>Tests exist but current coverage did not complete</x:v>
      </x:c>
      <x:c r="G832" s="25" t="str">
        <x:v>true</x:v>
      </x:c>
      <x:c r="H832" s="25" t="str">
        <x:v>NOT_AVAILABLE</x:v>
      </x:c>
      <x:c r="I832" s="25" t="str">
        <x:v>NOT_RUN</x:v>
      </x:c>
      <x:c r="J832" s="25" t="str">
        <x:v>NOT_RUN</x:v>
      </x:c>
      <x:c r="K832" s="25" t="n">
        <x:v>1</x:v>
      </x:c>
      <x:c r="L832" s="27" t="b">
        <x:v>0</x:v>
      </x:c>
      <x:c r="M832" s="25" t="str">
        <x:v>Deepseek-flash-v4/state/Round1/shards/Time.json</x:v>
      </x:c>
      <x:c r="N832" s="25" t="str">
        <x:v>Deepseek-flash-v4/Result/Time_11/result.json</x:v>
      </x:c>
      <x:c r="O832" s="25" t="str">
        <x:v>Deepseek-flash-v4/Result/Time_11/result.json</x:v>
      </x:c>
      <x:c r="P832" t="str">
        <x:v>BOTH_NOT_RUN</x:v>
      </x:c>
      <x:c r="Q832" s="21" t="str"/>
      <x:c r="R832" s="21" t="str"/>
      <x:c r="S832" s="21" t="str"/>
      <x:c r="T832" s="17" t="str">
        <x:v>false</x:v>
      </x:c>
      <x:c r="U832" s="17" t="str">
        <x:v>true</x:v>
      </x:c>
      <x:c r="V832" s="17" t="str">
        <x:v>false</x:v>
      </x:c>
    </x:row>
    <x:row r="833" ht="80" customHeight="1">
      <x:c r="A833" s="25" t="str">
        <x:v>Time</x:v>
      </x:c>
      <x:c r="B833" s="25" t="n">
        <x:v>12</x:v>
      </x:c>
      <x:c r="C833" s="25" t="str">
        <x:v>Round1</x:v>
      </x:c>
      <x:c r="D833" s="25" t="str">
        <x:v>NOT_AVAILABLE</x:v>
      </x:c>
      <x:c r="E833" s="25" t="str">
        <x:v>N/A</x:v>
      </x:c>
      <x:c r="F833" s="26" t="str">
        <x:v>Tests exist but current coverage did not complete</x:v>
      </x:c>
      <x:c r="G833" s="25" t="str">
        <x:v>true</x:v>
      </x:c>
      <x:c r="H833" s="25" t="str">
        <x:v>NOT_AVAILABLE</x:v>
      </x:c>
      <x:c r="I833" s="25" t="str">
        <x:v>NOT_RUN</x:v>
      </x:c>
      <x:c r="J833" s="25" t="str">
        <x:v>NOT_RUN</x:v>
      </x:c>
      <x:c r="K833" s="25" t="n">
        <x:v>2</x:v>
      </x:c>
      <x:c r="L833" s="27" t="b">
        <x:v>0</x:v>
      </x:c>
      <x:c r="M833" s="25" t="str">
        <x:v>Deepseek-flash-v4/state/Round1/shards/Time.json</x:v>
      </x:c>
      <x:c r="N833" s="25" t="str">
        <x:v>Deepseek-flash-v4/Result/Time_12/result.json</x:v>
      </x:c>
      <x:c r="O833" s="25" t="str">
        <x:v>Deepseek-flash-v4/Result/Time_12/result.json</x:v>
      </x:c>
      <x:c r="P833" t="str">
        <x:v>BOTH_NOT_RUN</x:v>
      </x:c>
      <x:c r="Q833" s="21" t="str"/>
      <x:c r="R833" s="21" t="str"/>
      <x:c r="S833" s="21" t="str"/>
      <x:c r="T833" s="17" t="str">
        <x:v>false</x:v>
      </x:c>
      <x:c r="U833" s="17" t="str">
        <x:v>true</x:v>
      </x:c>
      <x:c r="V833" s="17" t="str">
        <x:v>false</x:v>
      </x:c>
    </x:row>
    <x:row r="834" ht="80" customHeight="1">
      <x:c r="A834" s="25" t="str">
        <x:v>Time</x:v>
      </x:c>
      <x:c r="B834" s="25" t="n">
        <x:v>13</x:v>
      </x:c>
      <x:c r="C834" s="25" t="str">
        <x:v>Round1</x:v>
      </x:c>
      <x:c r="D834" s="25" t="str">
        <x:v>INCONCLUSIVE</x:v>
      </x:c>
      <x:c r="E834" s="25" t="str">
        <x:v>N/A</x:v>
      </x:c>
      <x:c r="F834" s="26" t="str">
        <x:v>Fixed also failed; assertion failure cannot be attributed to this bug</x:v>
      </x:c>
      <x:c r="G834" s="25" t="str">
        <x:v>true</x:v>
      </x:c>
      <x:c r="H834" s="25" t="str">
        <x:v>INCONCLUSIVE</x:v>
      </x:c>
      <x:c r="I834" s="25" t="str">
        <x:v>FAIL</x:v>
      </x:c>
      <x:c r="J834" s="25" t="str">
        <x:v>FAIL</x:v>
      </x:c>
      <x:c r="K834" s="25" t="n">
        <x:v>1</x:v>
      </x:c>
      <x:c r="L834" s="27" t="b">
        <x:v>0</x:v>
      </x:c>
      <x:c r="M834" s="25" t="str">
        <x:v>Deepseek-flash-v4/state/Round1/shards/Time.json</x:v>
      </x:c>
      <x:c r="N834" s="25" t="str">
        <x:v>Deepseek-flash-v4/Result/Time_13/result.json</x:v>
      </x:c>
      <x:c r="O834" s="25" t="str">
        <x:v>Deepseek-flash-v4/Result/Time_13/result.json</x:v>
      </x:c>
      <x:c r="P834"/>
      <x:c r="Q834" s="21" t="str"/>
      <x:c r="R834" s="21" t="str"/>
      <x:c r="S834" s="21" t="str"/>
      <x:c r="T834" s="17" t="str">
        <x:v>false</x:v>
      </x:c>
      <x:c r="U834" s="17" t="str">
        <x:v>true</x:v>
      </x:c>
      <x:c r="V834" s="17" t="str">
        <x:v>false</x:v>
      </x:c>
    </x:row>
    <x:row r="835" ht="80" customHeight="1">
      <x:c r="A835" s="25" t="str">
        <x:v>Time</x:v>
      </x:c>
      <x:c r="B835" s="25" t="n">
        <x:v>14</x:v>
      </x:c>
      <x:c r="C835" s="25" t="str">
        <x:v>Round1</x:v>
      </x:c>
      <x:c r="D835" s="25" t="str">
        <x:v>NOT_AVAILABLE</x:v>
      </x:c>
      <x:c r="E835" s="25" t="str">
        <x:v>N/A</x:v>
      </x:c>
      <x:c r="F835" s="26" t="str">
        <x:v>Tests exist but current coverage did not complete</x:v>
      </x:c>
      <x:c r="G835" s="25" t="str">
        <x:v>true</x:v>
      </x:c>
      <x:c r="H835" s="25" t="str">
        <x:v>NOT_AVAILABLE</x:v>
      </x:c>
      <x:c r="I835" s="25" t="str">
        <x:v>NOT_RUN</x:v>
      </x:c>
      <x:c r="J835" s="25" t="str">
        <x:v>NOT_RUN</x:v>
      </x:c>
      <x:c r="K835" s="25" t="n">
        <x:v>1</x:v>
      </x:c>
      <x:c r="L835" s="27" t="b">
        <x:v>0</x:v>
      </x:c>
      <x:c r="M835" s="25" t="str">
        <x:v>Deepseek-flash-v4/state/Round1/shards/Time.json</x:v>
      </x:c>
      <x:c r="N835" s="25" t="str">
        <x:v>Deepseek-flash-v4/Result/Time_14/result.json</x:v>
      </x:c>
      <x:c r="O835" s="25" t="str">
        <x:v>Deepseek-flash-v4/Result/Time_14/result.json</x:v>
      </x:c>
      <x:c r="P835" t="str">
        <x:v>BOTH_NOT_RUN</x:v>
      </x:c>
      <x:c r="Q835" s="21" t="str"/>
      <x:c r="R835" s="21" t="str"/>
      <x:c r="S835" s="21" t="str"/>
      <x:c r="T835" s="17" t="str">
        <x:v>false</x:v>
      </x:c>
      <x:c r="U835" s="17" t="str">
        <x:v>true</x:v>
      </x:c>
      <x:c r="V835" s="17" t="str">
        <x:v>false</x:v>
      </x:c>
    </x:row>
    <x:row r="836" ht="80" customHeight="1">
      <x:c r="A836" s="25" t="str">
        <x:v>Time</x:v>
      </x:c>
      <x:c r="B836" s="25" t="n">
        <x:v>15</x:v>
      </x:c>
      <x:c r="C836" s="25" t="str">
        <x:v>Round1</x:v>
      </x:c>
      <x:c r="D836" s="25" t="str">
        <x:v>NOT_AVAILABLE</x:v>
      </x:c>
      <x:c r="E836" s="25" t="str">
        <x:v>N/A</x:v>
      </x:c>
      <x:c r="F836" s="26" t="str">
        <x:v>Tests exist but current coverage did not complete</x:v>
      </x:c>
      <x:c r="G836" s="25" t="str">
        <x:v>true</x:v>
      </x:c>
      <x:c r="H836" s="25" t="str">
        <x:v>NOT_AVAILABLE</x:v>
      </x:c>
      <x:c r="I836" s="25" t="str">
        <x:v>NOT_RUN</x:v>
      </x:c>
      <x:c r="J836" s="25" t="str">
        <x:v>NOT_RUN</x:v>
      </x:c>
      <x:c r="K836" s="25" t="n">
        <x:v>1</x:v>
      </x:c>
      <x:c r="L836" s="27" t="b">
        <x:v>0</x:v>
      </x:c>
      <x:c r="M836" s="25" t="str">
        <x:v>Deepseek-flash-v4/state/Round1/shards/Time.json</x:v>
      </x:c>
      <x:c r="N836" s="25" t="str">
        <x:v>Deepseek-flash-v4/Result/Time_15/result.json</x:v>
      </x:c>
      <x:c r="O836" s="25" t="str">
        <x:v>Deepseek-flash-v4/Result/Time_15/result.json</x:v>
      </x:c>
      <x:c r="P836" t="str">
        <x:v>BOTH_NOT_RUN</x:v>
      </x:c>
      <x:c r="Q836" s="21" t="str"/>
      <x:c r="R836" s="21" t="str"/>
      <x:c r="S836" s="21" t="str"/>
      <x:c r="T836" s="17" t="str">
        <x:v>false</x:v>
      </x:c>
      <x:c r="U836" s="17" t="str">
        <x:v>true</x:v>
      </x:c>
      <x:c r="V836" s="17" t="str">
        <x:v>false</x:v>
      </x:c>
    </x:row>
    <x:row r="837" ht="80" customHeight="1">
      <x:c r="A837" s="25" t="str">
        <x:v>Time</x:v>
      </x:c>
      <x:c r="B837" s="25" t="n">
        <x:v>16</x:v>
      </x:c>
      <x:c r="C837" s="25" t="str">
        <x:v>Round1</x:v>
      </x:c>
      <x:c r="D837" s="25" t="str">
        <x:v>NOT_AVAILABLE</x:v>
      </x:c>
      <x:c r="E837" s="25" t="str">
        <x:v>N/A</x:v>
      </x:c>
      <x:c r="F837" s="26" t="str">
        <x:v>Tests exist but current coverage did not complete</x:v>
      </x:c>
      <x:c r="G837" s="25" t="str">
        <x:v>true</x:v>
      </x:c>
      <x:c r="H837" s="25" t="str">
        <x:v>NOT_AVAILABLE</x:v>
      </x:c>
      <x:c r="I837" s="25" t="str">
        <x:v>NOT_RUN</x:v>
      </x:c>
      <x:c r="J837" s="25" t="str">
        <x:v>NOT_RUN</x:v>
      </x:c>
      <x:c r="K837" s="25" t="n">
        <x:v>1</x:v>
      </x:c>
      <x:c r="L837" s="27" t="b">
        <x:v>0</x:v>
      </x:c>
      <x:c r="M837" s="25" t="str">
        <x:v>Deepseek-flash-v4/state/Round1/shards/Time.json</x:v>
      </x:c>
      <x:c r="N837" s="25" t="str">
        <x:v>Deepseek-flash-v4/Result/Time_16/result.json</x:v>
      </x:c>
      <x:c r="O837" s="25" t="str">
        <x:v>Deepseek-flash-v4/Result/Time_16/result.json</x:v>
      </x:c>
      <x:c r="P837" t="str">
        <x:v>BOTH_NOT_RUN</x:v>
      </x:c>
      <x:c r="Q837" s="21" t="str"/>
      <x:c r="R837" s="21" t="str"/>
      <x:c r="S837" s="21" t="str"/>
      <x:c r="T837" s="17" t="str">
        <x:v>false</x:v>
      </x:c>
      <x:c r="U837" s="17" t="str">
        <x:v>true</x:v>
      </x:c>
      <x:c r="V837" s="17" t="str">
        <x:v>false</x:v>
      </x:c>
    </x:row>
    <x:row r="838" ht="80" customHeight="1">
      <x:c r="A838" s="25" t="str">
        <x:v>Time</x:v>
      </x:c>
      <x:c r="B838" s="25" t="n">
        <x:v>17</x:v>
      </x:c>
      <x:c r="C838" s="25" t="str">
        <x:v>Round1</x:v>
      </x:c>
      <x:c r="D838" s="25" t="str">
        <x:v>NOT_AVAILABLE</x:v>
      </x:c>
      <x:c r="E838" s="25" t="str">
        <x:v>N/A</x:v>
      </x:c>
      <x:c r="F838" s="26" t="str">
        <x:v>Tests exist but current coverage did not complete</x:v>
      </x:c>
      <x:c r="G838" s="25" t="str">
        <x:v>true</x:v>
      </x:c>
      <x:c r="H838" s="25" t="str">
        <x:v>NOT_AVAILABLE</x:v>
      </x:c>
      <x:c r="I838" s="25" t="str">
        <x:v>NOT_RUN</x:v>
      </x:c>
      <x:c r="J838" s="25" t="str">
        <x:v>NOT_RUN</x:v>
      </x:c>
      <x:c r="K838" s="25" t="n">
        <x:v>1</x:v>
      </x:c>
      <x:c r="L838" s="27" t="b">
        <x:v>0</x:v>
      </x:c>
      <x:c r="M838" s="25" t="str">
        <x:v>Deepseek-flash-v4/state/Round1/shards/Time.json</x:v>
      </x:c>
      <x:c r="N838" s="25" t="str">
        <x:v>Deepseek-flash-v4/Result/Time_17/result.json</x:v>
      </x:c>
      <x:c r="O838" s="25" t="str">
        <x:v>Deepseek-flash-v4/Result/Time_17/result.json</x:v>
      </x:c>
      <x:c r="P838" t="str">
        <x:v>BOTH_NOT_RUN</x:v>
      </x:c>
      <x:c r="Q838" s="21" t="str"/>
      <x:c r="R838" s="21" t="str"/>
      <x:c r="S838" s="21" t="str"/>
      <x:c r="T838" s="17" t="str">
        <x:v>false</x:v>
      </x:c>
      <x:c r="U838" s="17" t="str">
        <x:v>true</x:v>
      </x:c>
      <x:c r="V838" s="17" t="str">
        <x:v>false</x:v>
      </x:c>
    </x:row>
    <x:row r="839" ht="80" customHeight="1">
      <x:c r="A839" s="25" t="str">
        <x:v>Time</x:v>
      </x:c>
      <x:c r="B839" s="25" t="n">
        <x:v>18</x:v>
      </x:c>
      <x:c r="C839" s="25" t="str">
        <x:v>Round1</x:v>
      </x:c>
      <x:c r="D839" s="25" t="str">
        <x:v>NOT_AVAILABLE</x:v>
      </x:c>
      <x:c r="E839" s="25" t="str">
        <x:v>N/A</x:v>
      </x:c>
      <x:c r="F839" s="26" t="str">
        <x:v>Tests exist but current coverage did not complete</x:v>
      </x:c>
      <x:c r="G839" s="25" t="str">
        <x:v>true</x:v>
      </x:c>
      <x:c r="H839" s="25" t="str">
        <x:v>NOT_AVAILABLE</x:v>
      </x:c>
      <x:c r="I839" s="25" t="str">
        <x:v>NOT_RUN</x:v>
      </x:c>
      <x:c r="J839" s="25" t="str">
        <x:v>NOT_RUN</x:v>
      </x:c>
      <x:c r="K839" s="25" t="n">
        <x:v>1</x:v>
      </x:c>
      <x:c r="L839" s="27" t="b">
        <x:v>0</x:v>
      </x:c>
      <x:c r="M839" s="25" t="str">
        <x:v>Deepseek-flash-v4/state/Round1/shards/Time.json</x:v>
      </x:c>
      <x:c r="N839" s="25" t="str">
        <x:v>Deepseek-flash-v4/Result/Time_18/result.json</x:v>
      </x:c>
      <x:c r="O839" s="25" t="str">
        <x:v>Deepseek-flash-v4/Result/Time_18/result.json</x:v>
      </x:c>
      <x:c r="P839" t="str">
        <x:v>BOTH_NOT_RUN</x:v>
      </x:c>
      <x:c r="Q839" s="21" t="str"/>
      <x:c r="R839" s="21" t="str"/>
      <x:c r="S839" s="21" t="str"/>
      <x:c r="T839" s="17" t="str">
        <x:v>false</x:v>
      </x:c>
      <x:c r="U839" s="17" t="str">
        <x:v>true</x:v>
      </x:c>
      <x:c r="V839" s="17" t="str">
        <x:v>false</x:v>
      </x:c>
    </x:row>
    <x:row r="840" ht="80" customHeight="1">
      <x:c r="A840" s="25" t="str">
        <x:v>Time</x:v>
      </x:c>
      <x:c r="B840" s="25" t="n">
        <x:v>19</x:v>
      </x:c>
      <x:c r="C840" s="25" t="str">
        <x:v>Round1</x:v>
      </x:c>
      <x:c r="D840" s="25" t="str">
        <x:v>NOT_AVAILABLE</x:v>
      </x:c>
      <x:c r="E840" s="25" t="str">
        <x:v>N/A</x:v>
      </x:c>
      <x:c r="F840" s="26" t="str">
        <x:v>Tests exist but current coverage did not complete</x:v>
      </x:c>
      <x:c r="G840" s="25" t="str">
        <x:v>true</x:v>
      </x:c>
      <x:c r="H840" s="25" t="str">
        <x:v>NOT_AVAILABLE</x:v>
      </x:c>
      <x:c r="I840" s="25" t="str">
        <x:v>NOT_RUN</x:v>
      </x:c>
      <x:c r="J840" s="25" t="str">
        <x:v>NOT_RUN</x:v>
      </x:c>
      <x:c r="K840" s="25" t="n">
        <x:v>1</x:v>
      </x:c>
      <x:c r="L840" s="27" t="b">
        <x:v>0</x:v>
      </x:c>
      <x:c r="M840" s="25" t="str">
        <x:v>Deepseek-flash-v4/state/Round1/shards/Time.json</x:v>
      </x:c>
      <x:c r="N840" s="25" t="str">
        <x:v>Deepseek-flash-v4/Result/Time_19/result.json</x:v>
      </x:c>
      <x:c r="O840" s="25" t="str">
        <x:v>Deepseek-flash-v4/Result/Time_19/result.json</x:v>
      </x:c>
      <x:c r="P840" t="str">
        <x:v>BOTH_NOT_RUN</x:v>
      </x:c>
      <x:c r="Q840" s="21" t="str"/>
      <x:c r="R840" s="21" t="str"/>
      <x:c r="S840" s="21" t="str"/>
      <x:c r="T840" s="17" t="str">
        <x:v>false</x:v>
      </x:c>
      <x:c r="U840" s="17" t="str">
        <x:v>true</x:v>
      </x:c>
      <x:c r="V840" s="17" t="str">
        <x:v>false</x:v>
      </x:c>
    </x:row>
    <x:row r="841" ht="80" customHeight="1">
      <x:c r="A841" s="25" t="str">
        <x:v>Time</x:v>
      </x:c>
      <x:c r="B841" s="25" t="n">
        <x:v>2</x:v>
      </x:c>
      <x:c r="C841" s="25" t="str">
        <x:v>Round1</x:v>
      </x:c>
      <x:c r="D841" s="25" t="str">
        <x:v>NOT_AVAILABLE</x:v>
      </x:c>
      <x:c r="E841" s="25" t="str">
        <x:v>N/A</x:v>
      </x:c>
      <x:c r="F841" s="26" t="str">
        <x:v>Tests exist but current coverage did not complete</x:v>
      </x:c>
      <x:c r="G841" s="25" t="str">
        <x:v>true</x:v>
      </x:c>
      <x:c r="H841" s="25" t="str">
        <x:v>NOT_AVAILABLE</x:v>
      </x:c>
      <x:c r="I841" s="25" t="str">
        <x:v>NOT_RUN</x:v>
      </x:c>
      <x:c r="J841" s="25" t="str">
        <x:v>NOT_RUN</x:v>
      </x:c>
      <x:c r="K841" s="25" t="n">
        <x:v>2</x:v>
      </x:c>
      <x:c r="L841" s="27" t="b">
        <x:v>0</x:v>
      </x:c>
      <x:c r="M841" s="25" t="str">
        <x:v>Deepseek-flash-v4/state/Round1/shards/Time.json</x:v>
      </x:c>
      <x:c r="N841" s="25" t="str">
        <x:v>Deepseek-flash-v4/Result/Time_2/result.json</x:v>
      </x:c>
      <x:c r="O841" s="25" t="str">
        <x:v>Deepseek-flash-v4/Result/Time_2/result.json</x:v>
      </x:c>
      <x:c r="P841" t="str">
        <x:v>BOTH_NOT_RUN</x:v>
      </x:c>
      <x:c r="Q841" s="21" t="str"/>
      <x:c r="R841" s="21" t="str"/>
      <x:c r="S841" s="21" t="str"/>
      <x:c r="T841" s="17" t="str">
        <x:v>false</x:v>
      </x:c>
      <x:c r="U841" s="17" t="str">
        <x:v>true</x:v>
      </x:c>
      <x:c r="V841" s="17" t="str">
        <x:v>false</x:v>
      </x:c>
    </x:row>
    <x:row r="842" ht="80" customHeight="1">
      <x:c r="A842" s="25" t="str">
        <x:v>Time</x:v>
      </x:c>
      <x:c r="B842" s="25" t="n">
        <x:v>20</x:v>
      </x:c>
      <x:c r="C842" s="25" t="str">
        <x:v>Round1</x:v>
      </x:c>
      <x:c r="D842" s="25" t="str">
        <x:v>NOT_AVAILABLE</x:v>
      </x:c>
      <x:c r="E842" s="25" t="str">
        <x:v>N/A</x:v>
      </x:c>
      <x:c r="F842" s="26" t="str">
        <x:v>Tests exist but current coverage did not complete</x:v>
      </x:c>
      <x:c r="G842" s="25" t="str">
        <x:v>true</x:v>
      </x:c>
      <x:c r="H842" s="25" t="str">
        <x:v>NOT_AVAILABLE</x:v>
      </x:c>
      <x:c r="I842" s="25" t="str">
        <x:v>NOT_RUN</x:v>
      </x:c>
      <x:c r="J842" s="25" t="str">
        <x:v>NOT_RUN</x:v>
      </x:c>
      <x:c r="K842" s="25" t="n">
        <x:v>1</x:v>
      </x:c>
      <x:c r="L842" s="27" t="b">
        <x:v>0</x:v>
      </x:c>
      <x:c r="M842" s="25" t="str">
        <x:v>Deepseek-flash-v4/state/Round1/shards/Time.json</x:v>
      </x:c>
      <x:c r="N842" s="25" t="str">
        <x:v>Deepseek-flash-v4/Result/Time_20/result.json</x:v>
      </x:c>
      <x:c r="O842" s="25" t="str">
        <x:v>Deepseek-flash-v4/Result/Time_20/result.json</x:v>
      </x:c>
      <x:c r="P842" t="str">
        <x:v>BOTH_NOT_RUN</x:v>
      </x:c>
      <x:c r="Q842" s="21" t="str"/>
      <x:c r="R842" s="21" t="str"/>
      <x:c r="S842" s="21" t="str"/>
      <x:c r="T842" s="17" t="str">
        <x:v>false</x:v>
      </x:c>
      <x:c r="U842" s="17" t="str">
        <x:v>true</x:v>
      </x:c>
      <x:c r="V842" s="17" t="str">
        <x:v>false</x:v>
      </x:c>
    </x:row>
    <x:row r="843" ht="80" customHeight="1">
      <x:c r="A843" s="25" t="str">
        <x:v>Time</x:v>
      </x:c>
      <x:c r="B843" s="25" t="n">
        <x:v>22</x:v>
      </x:c>
      <x:c r="C843" s="25" t="str">
        <x:v>Round1</x:v>
      </x:c>
      <x:c r="D843" s="25" t="str">
        <x:v>NOT_AVAILABLE</x:v>
      </x:c>
      <x:c r="E843" s="25" t="str">
        <x:v>N/A</x:v>
      </x:c>
      <x:c r="F843" s="26" t="str">
        <x:v>Tests exist but current coverage did not complete</x:v>
      </x:c>
      <x:c r="G843" s="25" t="str">
        <x:v>true</x:v>
      </x:c>
      <x:c r="H843" s="25" t="str">
        <x:v>NOT_AVAILABLE</x:v>
      </x:c>
      <x:c r="I843" s="25" t="str">
        <x:v>NOT_RUN</x:v>
      </x:c>
      <x:c r="J843" s="25" t="str">
        <x:v>NOT_RUN</x:v>
      </x:c>
      <x:c r="K843" s="25" t="n">
        <x:v>1</x:v>
      </x:c>
      <x:c r="L843" s="27" t="b">
        <x:v>0</x:v>
      </x:c>
      <x:c r="M843" s="25" t="str">
        <x:v>Deepseek-flash-v4/state/Round1/shards/Time.json</x:v>
      </x:c>
      <x:c r="N843" s="25" t="str">
        <x:v>Deepseek-flash-v4/Result/Time_22/result.json</x:v>
      </x:c>
      <x:c r="O843" s="25" t="str">
        <x:v>Deepseek-flash-v4/Result/Time_22/result.json</x:v>
      </x:c>
      <x:c r="P843" t="str">
        <x:v>BOTH_NOT_RUN</x:v>
      </x:c>
      <x:c r="Q843" s="21" t="str"/>
      <x:c r="R843" s="21" t="str"/>
      <x:c r="S843" s="21" t="str"/>
      <x:c r="T843" s="17" t="str">
        <x:v>false</x:v>
      </x:c>
      <x:c r="U843" s="17" t="str">
        <x:v>true</x:v>
      </x:c>
      <x:c r="V843" s="17" t="str">
        <x:v>false</x:v>
      </x:c>
    </x:row>
    <x:row r="844" ht="80" customHeight="1">
      <x:c r="A844" s="25" t="str">
        <x:v>Time</x:v>
      </x:c>
      <x:c r="B844" s="25" t="n">
        <x:v>23</x:v>
      </x:c>
      <x:c r="C844" s="25" t="str">
        <x:v>Round1</x:v>
      </x:c>
      <x:c r="D844" s="25" t="str">
        <x:v>NOT_AVAILABLE</x:v>
      </x:c>
      <x:c r="E844" s="25" t="str">
        <x:v>N/A</x:v>
      </x:c>
      <x:c r="F844" s="26" t="str">
        <x:v>Tests exist but current coverage did not complete</x:v>
      </x:c>
      <x:c r="G844" s="25" t="str">
        <x:v>true</x:v>
      </x:c>
      <x:c r="H844" s="25" t="str">
        <x:v>NOT_AVAILABLE</x:v>
      </x:c>
      <x:c r="I844" s="25" t="str">
        <x:v>NOT_RUN</x:v>
      </x:c>
      <x:c r="J844" s="25" t="str">
        <x:v>NOT_RUN</x:v>
      </x:c>
      <x:c r="K844" s="25" t="n">
        <x:v>1</x:v>
      </x:c>
      <x:c r="L844" s="27" t="b">
        <x:v>0</x:v>
      </x:c>
      <x:c r="M844" s="25" t="str">
        <x:v>Deepseek-flash-v4/state/Round1/shards/Time.json</x:v>
      </x:c>
      <x:c r="N844" s="25" t="str">
        <x:v>Deepseek-flash-v4/Result/Time_23/result.json</x:v>
      </x:c>
      <x:c r="O844" s="25" t="str">
        <x:v>Deepseek-flash-v4/Result/Time_23/result.json</x:v>
      </x:c>
      <x:c r="P844" t="str">
        <x:v>BOTH_NOT_RUN</x:v>
      </x:c>
      <x:c r="Q844" s="21" t="str"/>
      <x:c r="R844" s="21" t="str"/>
      <x:c r="S844" s="21" t="str"/>
      <x:c r="T844" s="17" t="str">
        <x:v>false</x:v>
      </x:c>
      <x:c r="U844" s="17" t="str">
        <x:v>true</x:v>
      </x:c>
      <x:c r="V844" s="17" t="str">
        <x:v>false</x:v>
      </x:c>
    </x:row>
    <x:row r="845" ht="80" customHeight="1">
      <x:c r="A845" s="25" t="str">
        <x:v>Time</x:v>
      </x:c>
      <x:c r="B845" s="25" t="n">
        <x:v>24</x:v>
      </x:c>
      <x:c r="C845" s="25" t="str">
        <x:v>Round1</x:v>
      </x:c>
      <x:c r="D845" s="25" t="str">
        <x:v>NOT_AVAILABLE</x:v>
      </x:c>
      <x:c r="E845" s="25" t="str">
        <x:v>N/A</x:v>
      </x:c>
      <x:c r="F845" s="26" t="str">
        <x:v>Tests exist but current coverage did not complete</x:v>
      </x:c>
      <x:c r="G845" s="25" t="str">
        <x:v>true</x:v>
      </x:c>
      <x:c r="H845" s="25" t="str">
        <x:v>NOT_AVAILABLE</x:v>
      </x:c>
      <x:c r="I845" s="25" t="str">
        <x:v>NOT_RUN</x:v>
      </x:c>
      <x:c r="J845" s="25" t="str">
        <x:v>NOT_RUN</x:v>
      </x:c>
      <x:c r="K845" s="25" t="n">
        <x:v>1</x:v>
      </x:c>
      <x:c r="L845" s="27" t="b">
        <x:v>0</x:v>
      </x:c>
      <x:c r="M845" s="25" t="str">
        <x:v>Deepseek-flash-v4/state/Round1/shards/Time.json</x:v>
      </x:c>
      <x:c r="N845" s="25" t="str">
        <x:v>Deepseek-flash-v4/Result/Time_24/result.json</x:v>
      </x:c>
      <x:c r="O845" s="25" t="str">
        <x:v>Deepseek-flash-v4/Result/Time_24/result.json</x:v>
      </x:c>
      <x:c r="P845" t="str">
        <x:v>BOTH_NOT_RUN</x:v>
      </x:c>
      <x:c r="Q845" s="21" t="str"/>
      <x:c r="R845" s="21" t="str"/>
      <x:c r="S845" s="21" t="str"/>
      <x:c r="T845" s="17" t="str">
        <x:v>false</x:v>
      </x:c>
      <x:c r="U845" s="17" t="str">
        <x:v>true</x:v>
      </x:c>
      <x:c r="V845" s="17" t="str">
        <x:v>false</x:v>
      </x:c>
    </x:row>
    <x:row r="846" ht="80" customHeight="1">
      <x:c r="A846" s="25" t="str">
        <x:v>Time</x:v>
      </x:c>
      <x:c r="B846" s="25" t="n">
        <x:v>25</x:v>
      </x:c>
      <x:c r="C846" s="25" t="str">
        <x:v>Round1</x:v>
      </x:c>
      <x:c r="D846" s="25" t="str">
        <x:v>INCONCLUSIVE</x:v>
      </x:c>
      <x:c r="E846" s="25" t="str">
        <x:v>N/A</x:v>
      </x:c>
      <x:c r="F846" s="26" t="str">
        <x:v>Fixed also failed; assertion failure cannot be attributed to this bug</x:v>
      </x:c>
      <x:c r="G846" s="25" t="str">
        <x:v>true</x:v>
      </x:c>
      <x:c r="H846" s="25" t="str">
        <x:v>INCONCLUSIVE</x:v>
      </x:c>
      <x:c r="I846" s="25" t="str">
        <x:v>FAIL</x:v>
      </x:c>
      <x:c r="J846" s="25" t="str">
        <x:v>FAIL</x:v>
      </x:c>
      <x:c r="K846" s="25" t="n">
        <x:v>1</x:v>
      </x:c>
      <x:c r="L846" s="27" t="b">
        <x:v>0</x:v>
      </x:c>
      <x:c r="M846" s="25" t="str">
        <x:v>Deepseek-flash-v4/state/Round1/shards/Time.json</x:v>
      </x:c>
      <x:c r="N846" s="25" t="str">
        <x:v>Deepseek-flash-v4/Result/Time_25/result.json</x:v>
      </x:c>
      <x:c r="O846" s="25" t="str">
        <x:v>Deepseek-flash-v4/Result/Time_25/result.json</x:v>
      </x:c>
      <x:c r="P846"/>
      <x:c r="Q846" s="21" t="str"/>
      <x:c r="R846" s="21" t="str"/>
      <x:c r="S846" s="21" t="str"/>
      <x:c r="T846" s="17" t="str">
        <x:v>false</x:v>
      </x:c>
      <x:c r="U846" s="17" t="str">
        <x:v>true</x:v>
      </x:c>
      <x:c r="V846" s="17" t="str">
        <x:v>false</x:v>
      </x:c>
    </x:row>
    <x:row r="847" ht="80" customHeight="1">
      <x:c r="A847" s="25" t="str">
        <x:v>Time</x:v>
      </x:c>
      <x:c r="B847" s="25" t="n">
        <x:v>26</x:v>
      </x:c>
      <x:c r="C847" s="25" t="str">
        <x:v>Round1</x:v>
      </x:c>
      <x:c r="D847" s="25" t="str">
        <x:v>NOT_AVAILABLE</x:v>
      </x:c>
      <x:c r="E847" s="25" t="str">
        <x:v>N/A</x:v>
      </x:c>
      <x:c r="F847" s="26" t="str">
        <x:v>Tests exist but current coverage did not complete</x:v>
      </x:c>
      <x:c r="G847" s="25" t="str">
        <x:v>true</x:v>
      </x:c>
      <x:c r="H847" s="25" t="str">
        <x:v>NOT_AVAILABLE</x:v>
      </x:c>
      <x:c r="I847" s="25" t="str">
        <x:v>NOT_RUN</x:v>
      </x:c>
      <x:c r="J847" s="25" t="str">
        <x:v>NOT_RUN</x:v>
      </x:c>
      <x:c r="K847" s="25" t="n">
        <x:v>3</x:v>
      </x:c>
      <x:c r="L847" s="27" t="b">
        <x:v>0</x:v>
      </x:c>
      <x:c r="M847" s="25" t="str">
        <x:v>Deepseek-flash-v4/state/Round1/shards/Time.json</x:v>
      </x:c>
      <x:c r="N847" s="25" t="str">
        <x:v>Deepseek-flash-v4/Result/Time_26/result.json</x:v>
      </x:c>
      <x:c r="O847" s="25" t="str">
        <x:v>Deepseek-flash-v4/Result/Time_26/result.json</x:v>
      </x:c>
      <x:c r="P847" t="str">
        <x:v>BOTH_NOT_RUN</x:v>
      </x:c>
      <x:c r="Q847" s="21" t="str"/>
      <x:c r="R847" s="21" t="str"/>
      <x:c r="S847" s="21" t="str"/>
      <x:c r="T847" s="17" t="str">
        <x:v>false</x:v>
      </x:c>
      <x:c r="U847" s="17" t="str">
        <x:v>true</x:v>
      </x:c>
      <x:c r="V847" s="17" t="str">
        <x:v>false</x:v>
      </x:c>
    </x:row>
    <x:row r="848" ht="80" customHeight="1">
      <x:c r="A848" s="25" t="str">
        <x:v>Time</x:v>
      </x:c>
      <x:c r="B848" s="25" t="n">
        <x:v>27</x:v>
      </x:c>
      <x:c r="C848" s="25" t="str">
        <x:v>Round1</x:v>
      </x:c>
      <x:c r="D848" s="25" t="str">
        <x:v>INCONCLUSIVE</x:v>
      </x:c>
      <x:c r="E848" s="25" t="str">
        <x:v>N/A</x:v>
      </x:c>
      <x:c r="F848" s="26" t="str">
        <x:v>Fixed also failed; assertion failure cannot be attributed to this bug</x:v>
      </x:c>
      <x:c r="G848" s="25" t="str">
        <x:v>true</x:v>
      </x:c>
      <x:c r="H848" s="25" t="str">
        <x:v>INCONCLUSIVE</x:v>
      </x:c>
      <x:c r="I848" s="25" t="str">
        <x:v>FAIL</x:v>
      </x:c>
      <x:c r="J848" s="25" t="str">
        <x:v>FAIL</x:v>
      </x:c>
      <x:c r="K848" s="25" t="n">
        <x:v>1</x:v>
      </x:c>
      <x:c r="L848" s="27" t="b">
        <x:v>0</x:v>
      </x:c>
      <x:c r="M848" s="25" t="str">
        <x:v>Deepseek-flash-v4/state/Round1/shards/Time.json</x:v>
      </x:c>
      <x:c r="N848" s="25" t="str">
        <x:v>Deepseek-flash-v4/Result/Time_27/result.json</x:v>
      </x:c>
      <x:c r="O848" s="25" t="str">
        <x:v>Deepseek-flash-v4/Result/Time_27/result.json</x:v>
      </x:c>
      <x:c r="P848"/>
      <x:c r="Q848" s="21" t="str"/>
      <x:c r="R848" s="21" t="str"/>
      <x:c r="S848" s="21" t="str"/>
      <x:c r="T848" s="17" t="str">
        <x:v>false</x:v>
      </x:c>
      <x:c r="U848" s="17" t="str">
        <x:v>true</x:v>
      </x:c>
      <x:c r="V848" s="17" t="str">
        <x:v>false</x:v>
      </x:c>
    </x:row>
    <x:row r="849" ht="80" customHeight="1">
      <x:c r="A849" s="25" t="str">
        <x:v>Time</x:v>
      </x:c>
      <x:c r="B849" s="25" t="n">
        <x:v>3</x:v>
      </x:c>
      <x:c r="C849" s="25" t="str">
        <x:v>Round1</x:v>
      </x:c>
      <x:c r="D849" s="25" t="str">
        <x:v>NOT_AVAILABLE</x:v>
      </x:c>
      <x:c r="E849" s="25" t="str">
        <x:v>N/A</x:v>
      </x:c>
      <x:c r="F849" s="26" t="str">
        <x:v>Tests exist but current coverage did not complete</x:v>
      </x:c>
      <x:c r="G849" s="25" t="str">
        <x:v>true</x:v>
      </x:c>
      <x:c r="H849" s="25" t="str">
        <x:v>NOT_AVAILABLE</x:v>
      </x:c>
      <x:c r="I849" s="25" t="str">
        <x:v>NOT_RUN</x:v>
      </x:c>
      <x:c r="J849" s="25" t="str">
        <x:v>NOT_RUN</x:v>
      </x:c>
      <x:c r="K849" s="25" t="n">
        <x:v>1</x:v>
      </x:c>
      <x:c r="L849" s="27" t="b">
        <x:v>0</x:v>
      </x:c>
      <x:c r="M849" s="25" t="str">
        <x:v>Deepseek-flash-v4/state/Round1/shards/Time.json</x:v>
      </x:c>
      <x:c r="N849" s="25" t="str">
        <x:v>Deepseek-flash-v4/Result/Time_3/result.json</x:v>
      </x:c>
      <x:c r="O849" s="25" t="str">
        <x:v>Deepseek-flash-v4/Result/Time_3/result.json</x:v>
      </x:c>
      <x:c r="P849" t="str">
        <x:v>BOTH_NOT_RUN</x:v>
      </x:c>
      <x:c r="Q849" s="21" t="str"/>
      <x:c r="R849" s="21" t="str"/>
      <x:c r="S849" s="21" t="str"/>
      <x:c r="T849" s="17" t="str">
        <x:v>false</x:v>
      </x:c>
      <x:c r="U849" s="17" t="str">
        <x:v>true</x:v>
      </x:c>
      <x:c r="V849" s="17" t="str">
        <x:v>false</x:v>
      </x:c>
    </x:row>
    <x:row r="850" ht="80" customHeight="1">
      <x:c r="A850" s="25" t="str">
        <x:v>Time</x:v>
      </x:c>
      <x:c r="B850" s="25" t="n">
        <x:v>4</x:v>
      </x:c>
      <x:c r="C850" s="25" t="str">
        <x:v>Round1</x:v>
      </x:c>
      <x:c r="D850" s="25" t="str">
        <x:v>NOT_REVEALING</x:v>
      </x:c>
      <x:c r="E850" s="25" t="str">
        <x:v>N/A</x:v>
      </x:c>
      <x:c r="F850" s="26" t="str">
        <x:v>Same saved validation suite passed on buggy and fixed</x:v>
      </x:c>
      <x:c r="G850" s="25" t="str">
        <x:v>true</x:v>
      </x:c>
      <x:c r="H850" s="25" t="str">
        <x:v>NOT_REVEALING</x:v>
      </x:c>
      <x:c r="I850" s="25" t="str">
        <x:v>PASS</x:v>
      </x:c>
      <x:c r="J850" s="25" t="str">
        <x:v>PASS</x:v>
      </x:c>
      <x:c r="K850" s="25" t="n">
        <x:v>1</x:v>
      </x:c>
      <x:c r="L850" s="27" t="b">
        <x:v>0</x:v>
      </x:c>
      <x:c r="M850" s="25" t="str">
        <x:v>Deepseek-flash-v4/state/Round1/shards/Time.json</x:v>
      </x:c>
      <x:c r="N850" s="25" t="str">
        <x:v>Deepseek-flash-v4/Result/Time_4/result.json</x:v>
      </x:c>
      <x:c r="O850" s="25" t="str">
        <x:v>Deepseek-flash-v4/Result/Time_4/result.json</x:v>
      </x:c>
      <x:c r="P850"/>
      <x:c r="Q850" s="21" t="str"/>
      <x:c r="R850" s="21" t="str"/>
      <x:c r="S850" s="21" t="str"/>
      <x:c r="T850" s="17" t="str">
        <x:v>false</x:v>
      </x:c>
      <x:c r="U850" s="17" t="str">
        <x:v>true</x:v>
      </x:c>
      <x:c r="V850" s="17" t="str">
        <x:v>false</x:v>
      </x:c>
    </x:row>
    <x:row r="851" ht="80" customHeight="1">
      <x:c r="A851" s="25" t="str">
        <x:v>Time</x:v>
      </x:c>
      <x:c r="B851" s="25" t="n">
        <x:v>5</x:v>
      </x:c>
      <x:c r="C851" s="25" t="str">
        <x:v>Round1</x:v>
      </x:c>
      <x:c r="D851" s="25" t="str">
        <x:v>NOT_AVAILABLE</x:v>
      </x:c>
      <x:c r="E851" s="25" t="str">
        <x:v>N/A</x:v>
      </x:c>
      <x:c r="F851" s="26" t="str">
        <x:v>Tests exist but current coverage did not complete</x:v>
      </x:c>
      <x:c r="G851" s="25" t="str">
        <x:v>true</x:v>
      </x:c>
      <x:c r="H851" s="25" t="str">
        <x:v>NOT_AVAILABLE</x:v>
      </x:c>
      <x:c r="I851" s="25" t="str">
        <x:v>NOT_RUN</x:v>
      </x:c>
      <x:c r="J851" s="25" t="str">
        <x:v>NOT_RUN</x:v>
      </x:c>
      <x:c r="K851" s="25" t="n">
        <x:v>1</x:v>
      </x:c>
      <x:c r="L851" s="27" t="b">
        <x:v>0</x:v>
      </x:c>
      <x:c r="M851" s="25" t="str">
        <x:v>Deepseek-flash-v4/state/Round1/shards/Time.json</x:v>
      </x:c>
      <x:c r="N851" s="25" t="str">
        <x:v>Deepseek-flash-v4/Result/Time_5/result.json</x:v>
      </x:c>
      <x:c r="O851" s="25" t="str">
        <x:v>Deepseek-flash-v4/Result/Time_5/result.json</x:v>
      </x:c>
      <x:c r="P851" t="str">
        <x:v>BOTH_NOT_RUN</x:v>
      </x:c>
      <x:c r="Q851" s="21" t="str"/>
      <x:c r="R851" s="21" t="str"/>
      <x:c r="S851" s="21" t="str"/>
      <x:c r="T851" s="17" t="str">
        <x:v>false</x:v>
      </x:c>
      <x:c r="U851" s="17" t="str">
        <x:v>true</x:v>
      </x:c>
      <x:c r="V851" s="17" t="str">
        <x:v>false</x:v>
      </x:c>
    </x:row>
    <x:row r="852" ht="80" customHeight="1">
      <x:c r="A852" s="25" t="str">
        <x:v>Time</x:v>
      </x:c>
      <x:c r="B852" s="25" t="n">
        <x:v>6</x:v>
      </x:c>
      <x:c r="C852" s="25" t="str">
        <x:v>Round1</x:v>
      </x:c>
      <x:c r="D852" s="25" t="str">
        <x:v>NOT_REVEALING</x:v>
      </x:c>
      <x:c r="E852" s="25" t="str">
        <x:v>N/A</x:v>
      </x:c>
      <x:c r="F852" s="26" t="str">
        <x:v>Same saved validation suite passed on buggy and fixed</x:v>
      </x:c>
      <x:c r="G852" s="25" t="str">
        <x:v>true</x:v>
      </x:c>
      <x:c r="H852" s="25" t="str">
        <x:v>NOT_REVEALING</x:v>
      </x:c>
      <x:c r="I852" s="25" t="str">
        <x:v>PASS</x:v>
      </x:c>
      <x:c r="J852" s="25" t="str">
        <x:v>PASS</x:v>
      </x:c>
      <x:c r="K852" s="25" t="n">
        <x:v>1</x:v>
      </x:c>
      <x:c r="L852" s="27" t="b">
        <x:v>0</x:v>
      </x:c>
      <x:c r="M852" s="25" t="str">
        <x:v>Deepseek-flash-v4/state/Round1/shards/Time.json</x:v>
      </x:c>
      <x:c r="N852" s="25" t="str">
        <x:v>Deepseek-flash-v4/Result/Time_6/result.json</x:v>
      </x:c>
      <x:c r="O852" s="25" t="str">
        <x:v>Deepseek-flash-v4/Result/Time_6/result.json</x:v>
      </x:c>
      <x:c r="P852"/>
      <x:c r="Q852" s="21" t="str"/>
      <x:c r="R852" s="21" t="str"/>
      <x:c r="S852" s="21" t="str"/>
      <x:c r="T852" s="17" t="str">
        <x:v>false</x:v>
      </x:c>
      <x:c r="U852" s="17" t="str">
        <x:v>true</x:v>
      </x:c>
      <x:c r="V852" s="17" t="str">
        <x:v>false</x:v>
      </x:c>
    </x:row>
    <x:row r="853" ht="80" customHeight="1">
      <x:c r="A853" s="25" t="str">
        <x:v>Time</x:v>
      </x:c>
      <x:c r="B853" s="25" t="n">
        <x:v>7</x:v>
      </x:c>
      <x:c r="C853" s="25" t="str">
        <x:v>Round1</x:v>
      </x:c>
      <x:c r="D853" s="25" t="str">
        <x:v>NOT_AVAILABLE</x:v>
      </x:c>
      <x:c r="E853" s="25" t="str">
        <x:v>N/A</x:v>
      </x:c>
      <x:c r="F853" s="26" t="str">
        <x:v>Tests exist but current coverage did not complete</x:v>
      </x:c>
      <x:c r="G853" s="25" t="str">
        <x:v>true</x:v>
      </x:c>
      <x:c r="H853" s="25" t="str">
        <x:v>NOT_AVAILABLE</x:v>
      </x:c>
      <x:c r="I853" s="25" t="str">
        <x:v>NOT_RUN</x:v>
      </x:c>
      <x:c r="J853" s="25" t="str">
        <x:v>NOT_RUN</x:v>
      </x:c>
      <x:c r="K853" s="25" t="n">
        <x:v>1</x:v>
      </x:c>
      <x:c r="L853" s="27" t="b">
        <x:v>0</x:v>
      </x:c>
      <x:c r="M853" s="25" t="str">
        <x:v>Deepseek-flash-v4/state/Round1/shards/Time.json</x:v>
      </x:c>
      <x:c r="N853" s="25" t="str">
        <x:v>Deepseek-flash-v4/Result/Time_7/result.json</x:v>
      </x:c>
      <x:c r="O853" s="25" t="str">
        <x:v>Deepseek-flash-v4/Result/Time_7/result.json</x:v>
      </x:c>
      <x:c r="P853" t="str">
        <x:v>BOTH_NOT_RUN</x:v>
      </x:c>
      <x:c r="Q853" s="21" t="str"/>
      <x:c r="R853" s="21" t="str"/>
      <x:c r="S853" s="21" t="str"/>
      <x:c r="T853" s="17" t="str">
        <x:v>false</x:v>
      </x:c>
      <x:c r="U853" s="17" t="str">
        <x:v>true</x:v>
      </x:c>
      <x:c r="V853" s="17" t="str">
        <x:v>false</x:v>
      </x:c>
    </x:row>
    <x:row r="854" ht="80" customHeight="1">
      <x:c r="A854" s="25" t="str">
        <x:v>Time</x:v>
      </x:c>
      <x:c r="B854" s="25" t="n">
        <x:v>8</x:v>
      </x:c>
      <x:c r="C854" s="25" t="str">
        <x:v>Round1</x:v>
      </x:c>
      <x:c r="D854" s="25" t="str">
        <x:v>NOT_REVEALING</x:v>
      </x:c>
      <x:c r="E854" s="25" t="str">
        <x:v>N/A</x:v>
      </x:c>
      <x:c r="F854" s="26" t="str">
        <x:v>Same saved validation suite passed on buggy and fixed</x:v>
      </x:c>
      <x:c r="G854" s="25" t="str">
        <x:v>true</x:v>
      </x:c>
      <x:c r="H854" s="25" t="str">
        <x:v>NOT_REVEALING</x:v>
      </x:c>
      <x:c r="I854" s="25" t="str">
        <x:v>PASS</x:v>
      </x:c>
      <x:c r="J854" s="25" t="str">
        <x:v>PASS</x:v>
      </x:c>
      <x:c r="K854" s="25" t="n">
        <x:v>1</x:v>
      </x:c>
      <x:c r="L854" s="27" t="b">
        <x:v>0</x:v>
      </x:c>
      <x:c r="M854" s="25" t="str">
        <x:v>Deepseek-flash-v4/state/Round1/shards/Time.json</x:v>
      </x:c>
      <x:c r="N854" s="25" t="str">
        <x:v>Deepseek-flash-v4/Result/Time_8/result.json</x:v>
      </x:c>
      <x:c r="O854" s="25" t="str">
        <x:v>Deepseek-flash-v4/Result/Time_8/result.json</x:v>
      </x:c>
      <x:c r="P854"/>
      <x:c r="Q854" s="21" t="str"/>
      <x:c r="R854" s="21" t="str"/>
      <x:c r="S854" s="21" t="str"/>
      <x:c r="T854" s="17" t="str">
        <x:v>false</x:v>
      </x:c>
      <x:c r="U854" s="17" t="str">
        <x:v>true</x:v>
      </x:c>
      <x:c r="V854" s="17" t="str">
        <x:v>false</x:v>
      </x:c>
    </x:row>
    <x:row r="855" ht="80" customHeight="1">
      <x:c r="A855" s="25" t="str">
        <x:v>Time</x:v>
      </x:c>
      <x:c r="B855" s="25" t="n">
        <x:v>9</x:v>
      </x:c>
      <x:c r="C855" s="25" t="str">
        <x:v>Round1</x:v>
      </x:c>
      <x:c r="D855" s="25" t="str">
        <x:v>NOT_AVAILABLE</x:v>
      </x:c>
      <x:c r="E855" s="25" t="str">
        <x:v>N/A</x:v>
      </x:c>
      <x:c r="F855" s="26" t="str">
        <x:v>Tests exist but current coverage did not complete</x:v>
      </x:c>
      <x:c r="G855" s="25" t="str">
        <x:v>true</x:v>
      </x:c>
      <x:c r="H855" s="25" t="str">
        <x:v>NOT_AVAILABLE</x:v>
      </x:c>
      <x:c r="I855" s="25" t="str">
        <x:v>NOT_RUN</x:v>
      </x:c>
      <x:c r="J855" s="25" t="str">
        <x:v>NOT_RUN</x:v>
      </x:c>
      <x:c r="K855" s="25" t="n">
        <x:v>1</x:v>
      </x:c>
      <x:c r="L855" s="27" t="b">
        <x:v>0</x:v>
      </x:c>
      <x:c r="M855" s="25" t="str">
        <x:v>Deepseek-flash-v4/state/Round1/shards/Time.json</x:v>
      </x:c>
      <x:c r="N855" s="25" t="str">
        <x:v>Deepseek-flash-v4/Result/Time_9/result.json</x:v>
      </x:c>
      <x:c r="O855" s="25" t="str">
        <x:v>Deepseek-flash-v4/Result/Time_9/result.json</x:v>
      </x:c>
      <x:c r="P855" t="str">
        <x:v>BOTH_NOT_RUN</x:v>
      </x:c>
      <x:c r="Q855" s="21" t="str"/>
      <x:c r="R855" s="21" t="str"/>
      <x:c r="S855" s="21" t="str"/>
      <x:c r="T855" s="17" t="str">
        <x:v>false</x:v>
      </x:c>
      <x:c r="U855" s="17" t="str">
        <x:v>true</x:v>
      </x:c>
      <x:c r="V855" s="17" t="str">
        <x:v>false</x:v>
      </x:c>
    </x:row>
    <x:row r="856" ht="80" customHeight="1">
      <x:c r="A856" s="25" t="str">
        <x:v>Chart</x:v>
      </x:c>
      <x:c r="B856" s="25" t="n">
        <x:v>1</x:v>
      </x:c>
      <x:c r="C856" s="25" t="str">
        <x:v>Round2</x:v>
      </x:c>
      <x:c r="D856" s="25" t="str">
        <x:v>NOT_AVAILABLE</x:v>
      </x:c>
      <x:c r="E856" s="25" t="str">
        <x:v>N/A</x:v>
      </x:c>
      <x:c r="F856" s="26" t="str">
        <x:v>Tests exist but current coverage did not complete</x:v>
      </x:c>
      <x:c r="G856" s="25" t="str">
        <x:v>true</x:v>
      </x:c>
      <x:c r="H856" s="25" t="str">
        <x:v>NOT_AVAILABLE</x:v>
      </x:c>
      <x:c r="I856" s="25" t="str">
        <x:v>NOT_RUN</x:v>
      </x:c>
      <x:c r="J856" s="25" t="str">
        <x:v>NOT_RUN</x:v>
      </x:c>
      <x:c r="K856" s="25" t="n">
        <x:v>1</x:v>
      </x:c>
      <x:c r="L856" s="27" t="b">
        <x:v>0</x:v>
      </x:c>
      <x:c r="M856" s="25" t="str">
        <x:v>Deepseek-flash-v4/state/Round2/status/Chart_1.json; Deepseek-flash-v4/state/Round2/shards/Chart_1.json</x:v>
      </x:c>
      <x:c r="N856" s="25" t="str">
        <x:v>Deepseek-flash-v4/Result2/Chart_1/result.json</x:v>
      </x:c>
      <x:c r="O856" s="25" t="str">
        <x:v>Deepseek-flash-v4/Result2/Chart_1/result.json</x:v>
      </x:c>
      <x:c r="P856" t="str">
        <x:v>BOTH_NOT_RUN</x:v>
      </x:c>
      <x:c r="Q856" s="21" t="str"/>
      <x:c r="R856" s="21" t="str"/>
      <x:c r="S856" s="21" t="str"/>
      <x:c r="T856" s="17" t="str">
        <x:v>false</x:v>
      </x:c>
      <x:c r="U856" s="17" t="str">
        <x:v>true</x:v>
      </x:c>
      <x:c r="V856" s="17" t="str">
        <x:v>false</x:v>
      </x:c>
    </x:row>
    <x:row r="857" ht="80" customHeight="1">
      <x:c r="A857" s="25" t="str">
        <x:v>Chart</x:v>
      </x:c>
      <x:c r="B857" s="25" t="n">
        <x:v>10</x:v>
      </x:c>
      <x:c r="C857" s="25" t="str">
        <x:v>Round2</x:v>
      </x:c>
      <x:c r="D857" s="25" t="str">
        <x:v>INCONCLUSIVE</x:v>
      </x:c>
      <x:c r="E857" s="25" t="str">
        <x:v>N/A</x:v>
      </x:c>
      <x:c r="F857" s="26" t="str">
        <x:v>Fixed also failed; assertion failure cannot be attributed to this bug; Same-round generation metadata missing; use saved tests and execution evidence, no failure inferred</x:v>
      </x:c>
      <x:c r="G857" s="25" t="str">
        <x:v>true</x:v>
      </x:c>
      <x:c r="H857" s="25" t="str">
        <x:v>INCONCLUSIVE</x:v>
      </x:c>
      <x:c r="I857" s="25" t="str">
        <x:v>FAIL</x:v>
      </x:c>
      <x:c r="J857" s="25" t="str">
        <x:v>FAIL</x:v>
      </x:c>
      <x:c r="K857" s="25" t="n">
        <x:v>1</x:v>
      </x:c>
      <x:c r="L857" s="27" t="b">
        <x:v>0</x:v>
      </x:c>
      <x:c r="M857" s="25"/>
      <x:c r="N857" s="25" t="str">
        <x:v>Deepseek-flash-v4/Result2/Chart_10/result.json</x:v>
      </x:c>
      <x:c r="O857" s="25" t="str">
        <x:v>Deepseek-flash-v4/Result2/Chart_10/result.json</x:v>
      </x:c>
      <x:c r="P857"/>
      <x:c r="Q857" s="21" t="str"/>
      <x:c r="R857" s="21" t="str"/>
      <x:c r="S857" s="21" t="str"/>
      <x:c r="T857" s="17" t="str">
        <x:v>false</x:v>
      </x:c>
      <x:c r="U857" s="17" t="str">
        <x:v>true</x:v>
      </x:c>
      <x:c r="V857" s="17" t="str">
        <x:v>false</x:v>
      </x:c>
    </x:row>
    <x:row r="858" ht="80" customHeight="1">
      <x:c r="A858" s="25" t="str">
        <x:v>Chart</x:v>
      </x:c>
      <x:c r="B858" s="25" t="n">
        <x:v>11</x:v>
      </x:c>
      <x:c r="C858" s="25" t="str">
        <x:v>Round2</x:v>
      </x:c>
      <x:c r="D858" s="25" t="str">
        <x:v>NOT_AVAILABLE</x:v>
      </x:c>
      <x:c r="E858" s="25" t="str">
        <x:v>N/A</x:v>
      </x:c>
      <x:c r="F858" s="26" t="str">
        <x:v>Tests exist but current coverage did not complete</x:v>
      </x:c>
      <x:c r="G858" s="25" t="str">
        <x:v>true</x:v>
      </x:c>
      <x:c r="H858" s="25" t="str">
        <x:v>NOT_AVAILABLE</x:v>
      </x:c>
      <x:c r="I858" s="25" t="str">
        <x:v>NOT_RUN</x:v>
      </x:c>
      <x:c r="J858" s="25" t="str">
        <x:v>NOT_RUN</x:v>
      </x:c>
      <x:c r="K858" s="25" t="n">
        <x:v>1</x:v>
      </x:c>
      <x:c r="L858" s="27" t="b">
        <x:v>0</x:v>
      </x:c>
      <x:c r="M858" s="25" t="str">
        <x:v>Deepseek-flash-v4/state/Round2/status/Chart_11.json; Deepseek-flash-v4/state/Round2/shards/Chart_11.json</x:v>
      </x:c>
      <x:c r="N858" s="25" t="str">
        <x:v>Deepseek-flash-v4/Result2/Chart_11/result.json</x:v>
      </x:c>
      <x:c r="O858" s="25" t="str">
        <x:v>Deepseek-flash-v4/Result2/Chart_11/result.json</x:v>
      </x:c>
      <x:c r="P858" t="str">
        <x:v>BOTH_NOT_RUN</x:v>
      </x:c>
      <x:c r="Q858" s="21" t="str"/>
      <x:c r="R858" s="21" t="str"/>
      <x:c r="S858" s="21" t="str"/>
      <x:c r="T858" s="17" t="str">
        <x:v>false</x:v>
      </x:c>
      <x:c r="U858" s="17" t="str">
        <x:v>true</x:v>
      </x:c>
      <x:c r="V858" s="17" t="str">
        <x:v>false</x:v>
      </x:c>
    </x:row>
    <x:row r="859" ht="80" customHeight="1">
      <x:c r="A859" s="25" t="str">
        <x:v>Chart</x:v>
      </x:c>
      <x:c r="B859" s="25" t="n">
        <x:v>12</x:v>
      </x:c>
      <x:c r="C859" s="25" t="str">
        <x:v>Round2</x:v>
      </x:c>
      <x:c r="D859" s="25" t="str">
        <x:v>NOT_AVAILABLE</x:v>
      </x:c>
      <x:c r="E859" s="25" t="str">
        <x:v>N/A</x:v>
      </x:c>
      <x:c r="F859" s="26" t="str">
        <x:v>Tests exist but current coverage did not complete</x:v>
      </x:c>
      <x:c r="G859" s="25" t="str">
        <x:v>true</x:v>
      </x:c>
      <x:c r="H859" s="25" t="str">
        <x:v>NOT_AVAILABLE</x:v>
      </x:c>
      <x:c r="I859" s="25" t="str">
        <x:v>NOT_RUN</x:v>
      </x:c>
      <x:c r="J859" s="25" t="str">
        <x:v>NOT_RUN</x:v>
      </x:c>
      <x:c r="K859" s="25" t="n">
        <x:v>1</x:v>
      </x:c>
      <x:c r="L859" s="27" t="b">
        <x:v>0</x:v>
      </x:c>
      <x:c r="M859" s="25" t="str">
        <x:v>Deepseek-flash-v4/state/Round2/status/Chart_12.json; Deepseek-flash-v4/state/Round2/shards/Chart_12.json</x:v>
      </x:c>
      <x:c r="N859" s="25" t="str">
        <x:v>Deepseek-flash-v4/Result2/Chart_12/result.json</x:v>
      </x:c>
      <x:c r="O859" s="25" t="str">
        <x:v>Deepseek-flash-v4/Result2/Chart_12/result.json</x:v>
      </x:c>
      <x:c r="P859" t="str">
        <x:v>BOTH_NOT_RUN</x:v>
      </x:c>
      <x:c r="Q859" s="21" t="str"/>
      <x:c r="R859" s="21" t="str"/>
      <x:c r="S859" s="21" t="str"/>
      <x:c r="T859" s="17" t="str">
        <x:v>false</x:v>
      </x:c>
      <x:c r="U859" s="17" t="str">
        <x:v>true</x:v>
      </x:c>
      <x:c r="V859" s="17" t="str">
        <x:v>false</x:v>
      </x:c>
    </x:row>
    <x:row r="860" ht="80" customHeight="1">
      <x:c r="A860" s="25" t="str">
        <x:v>Chart</x:v>
      </x:c>
      <x:c r="B860" s="25" t="n">
        <x:v>13</x:v>
      </x:c>
      <x:c r="C860" s="25" t="str">
        <x:v>Round2</x:v>
      </x:c>
      <x:c r="D860" s="25" t="str">
        <x:v>NOT_AVAILABLE</x:v>
      </x:c>
      <x:c r="E860" s="25" t="str">
        <x:v>N/A</x:v>
      </x:c>
      <x:c r="F860" s="26" t="str">
        <x:v>Tests exist but current coverage did not complete</x:v>
      </x:c>
      <x:c r="G860" s="25" t="str">
        <x:v>true</x:v>
      </x:c>
      <x:c r="H860" s="25" t="str">
        <x:v>NOT_AVAILABLE</x:v>
      </x:c>
      <x:c r="I860" s="25" t="str">
        <x:v>NOT_RUN</x:v>
      </x:c>
      <x:c r="J860" s="25" t="str">
        <x:v>NOT_RUN</x:v>
      </x:c>
      <x:c r="K860" s="25" t="n">
        <x:v>1</x:v>
      </x:c>
      <x:c r="L860" s="27" t="b">
        <x:v>0</x:v>
      </x:c>
      <x:c r="M860" s="25" t="str">
        <x:v>Deepseek-flash-v4/state/Round2/status/Chart_13.json; Deepseek-flash-v4/state/Round2/shards/Chart_13.json</x:v>
      </x:c>
      <x:c r="N860" s="25" t="str">
        <x:v>Deepseek-flash-v4/Result2/Chart_13/result.json</x:v>
      </x:c>
      <x:c r="O860" s="25" t="str">
        <x:v>Deepseek-flash-v4/Result2/Chart_13/result.json</x:v>
      </x:c>
      <x:c r="P860" t="str">
        <x:v>BOTH_NOT_RUN</x:v>
      </x:c>
      <x:c r="Q860" s="21" t="str"/>
      <x:c r="R860" s="21" t="str"/>
      <x:c r="S860" s="21" t="str"/>
      <x:c r="T860" s="17" t="str">
        <x:v>false</x:v>
      </x:c>
      <x:c r="U860" s="17" t="str">
        <x:v>true</x:v>
      </x:c>
      <x:c r="V860" s="17" t="str">
        <x:v>false</x:v>
      </x:c>
    </x:row>
    <x:row r="861" ht="80" customHeight="1">
      <x:c r="A861" s="25" t="str">
        <x:v>Chart</x:v>
      </x:c>
      <x:c r="B861" s="25" t="n">
        <x:v>14</x:v>
      </x:c>
      <x:c r="C861" s="25" t="str">
        <x:v>Round2</x:v>
      </x:c>
      <x:c r="D861" s="25" t="str">
        <x:v>NOT_AVAILABLE</x:v>
      </x:c>
      <x:c r="E861" s="25" t="str">
        <x:v>N/A</x:v>
      </x:c>
      <x:c r="F861" s="26" t="str">
        <x:v>Tests exist but current coverage did not complete</x:v>
      </x:c>
      <x:c r="G861" s="25" t="str">
        <x:v>true</x:v>
      </x:c>
      <x:c r="H861" s="25" t="str">
        <x:v>NOT_AVAILABLE</x:v>
      </x:c>
      <x:c r="I861" s="25" t="str">
        <x:v>NOT_RUN</x:v>
      </x:c>
      <x:c r="J861" s="25" t="str">
        <x:v>NOT_RUN</x:v>
      </x:c>
      <x:c r="K861" s="25" t="n">
        <x:v>2</x:v>
      </x:c>
      <x:c r="L861" s="27" t="b">
        <x:v>0</x:v>
      </x:c>
      <x:c r="M861" s="25" t="str">
        <x:v>Deepseek-flash-v4/state/Round2/status/Chart_14.json; Deepseek-flash-v4/state/Round2/shards/Chart_14.json</x:v>
      </x:c>
      <x:c r="N861" s="25" t="str">
        <x:v>Deepseek-flash-v4/Result2/Chart_14/result.json</x:v>
      </x:c>
      <x:c r="O861" s="25" t="str">
        <x:v>Deepseek-flash-v4/Result2/Chart_14/result.json</x:v>
      </x:c>
      <x:c r="P861" t="str">
        <x:v>BOTH_NOT_RUN</x:v>
      </x:c>
      <x:c r="Q861" s="21" t="str"/>
      <x:c r="R861" s="21" t="str"/>
      <x:c r="S861" s="21" t="str"/>
      <x:c r="T861" s="17" t="str">
        <x:v>false</x:v>
      </x:c>
      <x:c r="U861" s="17" t="str">
        <x:v>true</x:v>
      </x:c>
      <x:c r="V861" s="17" t="str">
        <x:v>false</x:v>
      </x:c>
    </x:row>
    <x:row r="862" ht="80" customHeight="1">
      <x:c r="A862" s="25" t="str">
        <x:v>Chart</x:v>
      </x:c>
      <x:c r="B862" s="25" t="n">
        <x:v>15</x:v>
      </x:c>
      <x:c r="C862" s="25" t="str">
        <x:v>Round2</x:v>
      </x:c>
      <x:c r="D862" s="25" t="str">
        <x:v>INCONCLUSIVE</x:v>
      </x:c>
      <x:c r="E862" s="25" t="str">
        <x:v>N/A</x:v>
      </x:c>
      <x:c r="F862" s="26" t="str">
        <x:v>Fixed also failed; assertion failure cannot be attributed to this bug; Same-round generation metadata missing; use saved tests and execution evidence, no failure inferred</x:v>
      </x:c>
      <x:c r="G862" s="25" t="str">
        <x:v>true</x:v>
      </x:c>
      <x:c r="H862" s="25" t="str">
        <x:v>INCONCLUSIVE</x:v>
      </x:c>
      <x:c r="I862" s="25" t="str">
        <x:v>FAIL</x:v>
      </x:c>
      <x:c r="J862" s="25" t="str">
        <x:v>FAIL</x:v>
      </x:c>
      <x:c r="K862" s="25" t="n">
        <x:v>1</x:v>
      </x:c>
      <x:c r="L862" s="27" t="b">
        <x:v>0</x:v>
      </x:c>
      <x:c r="M862" s="25"/>
      <x:c r="N862" s="25" t="str">
        <x:v>Deepseek-flash-v4/Result2/Chart_15/result.json</x:v>
      </x:c>
      <x:c r="O862" s="25" t="str">
        <x:v>Deepseek-flash-v4/Result2/Chart_15/result.json</x:v>
      </x:c>
      <x:c r="P862"/>
      <x:c r="Q862" s="21" t="str"/>
      <x:c r="R862" s="21" t="str"/>
      <x:c r="S862" s="21" t="str"/>
      <x:c r="T862" s="17" t="str">
        <x:v>false</x:v>
      </x:c>
      <x:c r="U862" s="17" t="str">
        <x:v>true</x:v>
      </x:c>
      <x:c r="V862" s="17" t="str">
        <x:v>false</x:v>
      </x:c>
    </x:row>
    <x:row r="863" ht="80" customHeight="1">
      <x:c r="A863" s="25" t="str">
        <x:v>Chart</x:v>
      </x:c>
      <x:c r="B863" s="25" t="n">
        <x:v>16</x:v>
      </x:c>
      <x:c r="C863" s="25" t="str">
        <x:v>Round2</x:v>
      </x:c>
      <x:c r="D863" s="25" t="str">
        <x:v>NOT_REVEALING</x:v>
      </x:c>
      <x:c r="E863" s="25" t="str">
        <x:v>N/A</x:v>
      </x:c>
      <x:c r="F863" s="26" t="str">
        <x:v>Same saved validation suite passed on buggy and fixed</x:v>
      </x:c>
      <x:c r="G863" s="25" t="str">
        <x:v>true</x:v>
      </x:c>
      <x:c r="H863" s="25" t="str">
        <x:v>NOT_REVEALING</x:v>
      </x:c>
      <x:c r="I863" s="25" t="str">
        <x:v>PASS</x:v>
      </x:c>
      <x:c r="J863" s="25" t="str">
        <x:v>PASS</x:v>
      </x:c>
      <x:c r="K863" s="25" t="n">
        <x:v>1</x:v>
      </x:c>
      <x:c r="L863" s="27" t="b">
        <x:v>0</x:v>
      </x:c>
      <x:c r="M863" s="25" t="str">
        <x:v>Deepseek-flash-v4/state/Round2/status/Chart_16.json; Deepseek-flash-v4/state/Round2/shards/Chart_16.json</x:v>
      </x:c>
      <x:c r="N863" s="25" t="str">
        <x:v>Deepseek-flash-v4/Result2/Chart_16/result.json</x:v>
      </x:c>
      <x:c r="O863" s="25" t="str">
        <x:v>Deepseek-flash-v4/Result2/Chart_16/result.json</x:v>
      </x:c>
      <x:c r="P863"/>
      <x:c r="Q863" s="21" t="str"/>
      <x:c r="R863" s="21" t="str"/>
      <x:c r="S863" s="21" t="str"/>
      <x:c r="T863" s="17" t="str">
        <x:v>false</x:v>
      </x:c>
      <x:c r="U863" s="17" t="str">
        <x:v>true</x:v>
      </x:c>
      <x:c r="V863" s="17" t="str">
        <x:v>false</x:v>
      </x:c>
    </x:row>
    <x:row r="864" ht="80" customHeight="1">
      <x:c r="A864" s="25" t="str">
        <x:v>Chart</x:v>
      </x:c>
      <x:c r="B864" s="25" t="n">
        <x:v>17</x:v>
      </x:c>
      <x:c r="C864" s="25" t="str">
        <x:v>Round2</x:v>
      </x:c>
      <x:c r="D864" s="25" t="str">
        <x:v>NOT_REVEALING</x:v>
      </x:c>
      <x:c r="E864" s="25" t="str">
        <x:v>N/A</x:v>
      </x:c>
      <x:c r="F864" s="26" t="str">
        <x:v>Same saved validation suite passed on buggy and fixed</x:v>
      </x:c>
      <x:c r="G864" s="25" t="str">
        <x:v>true</x:v>
      </x:c>
      <x:c r="H864" s="25" t="str">
        <x:v>NOT_REVEALING</x:v>
      </x:c>
      <x:c r="I864" s="25" t="str">
        <x:v>PASS</x:v>
      </x:c>
      <x:c r="J864" s="25" t="str">
        <x:v>PASS</x:v>
      </x:c>
      <x:c r="K864" s="25" t="n">
        <x:v>1</x:v>
      </x:c>
      <x:c r="L864" s="27" t="b">
        <x:v>0</x:v>
      </x:c>
      <x:c r="M864" s="25" t="str">
        <x:v>Deepseek-flash-v4/state/Round2/status/Chart_17.json; Deepseek-flash-v4/state/Round2/shards/Chart_17.json</x:v>
      </x:c>
      <x:c r="N864" s="25" t="str">
        <x:v>Deepseek-flash-v4/Result2/Chart_17/result.json</x:v>
      </x:c>
      <x:c r="O864" s="25" t="str">
        <x:v>Deepseek-flash-v4/Result2/Chart_17/result.json</x:v>
      </x:c>
      <x:c r="P864"/>
      <x:c r="Q864" s="21" t="str"/>
      <x:c r="R864" s="21" t="str"/>
      <x:c r="S864" s="21" t="str"/>
      <x:c r="T864" s="17" t="str">
        <x:v>false</x:v>
      </x:c>
      <x:c r="U864" s="17" t="str">
        <x:v>true</x:v>
      </x:c>
      <x:c r="V864" s="17" t="str">
        <x:v>false</x:v>
      </x:c>
    </x:row>
    <x:row r="865" ht="80" customHeight="1">
      <x:c r="A865" s="25" t="str">
        <x:v>Chart</x:v>
      </x:c>
      <x:c r="B865" s="25" t="n">
        <x:v>18</x:v>
      </x:c>
      <x:c r="C865" s="25" t="str">
        <x:v>Round2</x:v>
      </x:c>
      <x:c r="D865" s="25" t="str">
        <x:v>INCONCLUSIVE</x:v>
      </x:c>
      <x:c r="E865" s="25" t="str">
        <x:v>N/A</x:v>
      </x:c>
      <x:c r="F865" s="26" t="str">
        <x:v>Fixed also failed; assertion failure cannot be attributed to this bug; Same-round generation metadata missing; use saved tests and execution evidence, no failure inferred</x:v>
      </x:c>
      <x:c r="G865" s="25" t="str">
        <x:v>true</x:v>
      </x:c>
      <x:c r="H865" s="25" t="str">
        <x:v>INCONCLUSIVE</x:v>
      </x:c>
      <x:c r="I865" s="25" t="str">
        <x:v>FAIL</x:v>
      </x:c>
      <x:c r="J865" s="25" t="str">
        <x:v>FAIL</x:v>
      </x:c>
      <x:c r="K865" s="25" t="n">
        <x:v>2</x:v>
      </x:c>
      <x:c r="L865" s="27" t="b">
        <x:v>0</x:v>
      </x:c>
      <x:c r="M865" s="25"/>
      <x:c r="N865" s="25" t="str">
        <x:v>Deepseek-flash-v4/Result2/Chart_18/result.json</x:v>
      </x:c>
      <x:c r="O865" s="25" t="str">
        <x:v>Deepseek-flash-v4/Result2/Chart_18/result.json</x:v>
      </x:c>
      <x:c r="P865"/>
      <x:c r="Q865" s="21" t="str"/>
      <x:c r="R865" s="21" t="str"/>
      <x:c r="S865" s="21" t="str"/>
      <x:c r="T865" s="17" t="str">
        <x:v>false</x:v>
      </x:c>
      <x:c r="U865" s="17" t="str">
        <x:v>true</x:v>
      </x:c>
      <x:c r="V865" s="17" t="str">
        <x:v>false</x:v>
      </x:c>
    </x:row>
    <x:row r="866" ht="80" customHeight="1">
      <x:c r="A866" s="25" t="str">
        <x:v>Chart</x:v>
      </x:c>
      <x:c r="B866" s="25" t="n">
        <x:v>19</x:v>
      </x:c>
      <x:c r="C866" s="25" t="str">
        <x:v>Round2</x:v>
      </x:c>
      <x:c r="D866" s="25" t="str">
        <x:v>NOT_AVAILABLE</x:v>
      </x:c>
      <x:c r="E866" s="25" t="str">
        <x:v>N/A</x:v>
      </x:c>
      <x:c r="F866" s="26" t="str">
        <x:v>Tests exist but current coverage did not complete</x:v>
      </x:c>
      <x:c r="G866" s="25" t="str">
        <x:v>true</x:v>
      </x:c>
      <x:c r="H866" s="25" t="str">
        <x:v>NOT_AVAILABLE</x:v>
      </x:c>
      <x:c r="I866" s="25" t="str">
        <x:v>NOT_RUN</x:v>
      </x:c>
      <x:c r="J866" s="25" t="str">
        <x:v>NOT_RUN</x:v>
      </x:c>
      <x:c r="K866" s="25" t="n">
        <x:v>1</x:v>
      </x:c>
      <x:c r="L866" s="27" t="b">
        <x:v>0</x:v>
      </x:c>
      <x:c r="M866" s="25" t="str">
        <x:v>Deepseek-flash-v4/state/Round2/status/Chart_19.json; Deepseek-flash-v4/state/Round2/shards/Chart_19.json</x:v>
      </x:c>
      <x:c r="N866" s="25" t="str">
        <x:v>Deepseek-flash-v4/Result2/Chart_19/result.json</x:v>
      </x:c>
      <x:c r="O866" s="25" t="str">
        <x:v>Deepseek-flash-v4/Result2/Chart_19/result.json</x:v>
      </x:c>
      <x:c r="P866" t="str">
        <x:v>BOTH_NOT_RUN</x:v>
      </x:c>
      <x:c r="Q866" s="21" t="str"/>
      <x:c r="R866" s="21" t="str"/>
      <x:c r="S866" s="21" t="str"/>
      <x:c r="T866" s="17" t="str">
        <x:v>false</x:v>
      </x:c>
      <x:c r="U866" s="17" t="str">
        <x:v>true</x:v>
      </x:c>
      <x:c r="V866" s="17" t="str">
        <x:v>false</x:v>
      </x:c>
    </x:row>
    <x:row r="867" ht="80" customHeight="1">
      <x:c r="A867" s="25" t="str">
        <x:v>Chart</x:v>
      </x:c>
      <x:c r="B867" s="25" t="n">
        <x:v>2</x:v>
      </x:c>
      <x:c r="C867" s="25" t="str">
        <x:v>Round2</x:v>
      </x:c>
      <x:c r="D867" s="25" t="str">
        <x:v>NOT_AVAILABLE</x:v>
      </x:c>
      <x:c r="E867" s="25" t="str">
        <x:v>N/A</x:v>
      </x:c>
      <x:c r="F867" s="26" t="str">
        <x:v>Tests exist but current coverage did not complete</x:v>
      </x:c>
      <x:c r="G867" s="25" t="str">
        <x:v>true</x:v>
      </x:c>
      <x:c r="H867" s="25" t="str">
        <x:v>NOT_AVAILABLE</x:v>
      </x:c>
      <x:c r="I867" s="25" t="str">
        <x:v>NOT_RUN</x:v>
      </x:c>
      <x:c r="J867" s="25" t="str">
        <x:v>NOT_RUN</x:v>
      </x:c>
      <x:c r="K867" s="25" t="n">
        <x:v>1</x:v>
      </x:c>
      <x:c r="L867" s="27" t="b">
        <x:v>0</x:v>
      </x:c>
      <x:c r="M867" s="25" t="str">
        <x:v>Deepseek-flash-v4/state/Round2/status/Chart_2.json; Deepseek-flash-v4/state/Round2/shards/Chart_2.json</x:v>
      </x:c>
      <x:c r="N867" s="25" t="str">
        <x:v>Deepseek-flash-v4/Result2/Chart_2/result.json</x:v>
      </x:c>
      <x:c r="O867" s="25" t="str">
        <x:v>Deepseek-flash-v4/Result2/Chart_2/result.json</x:v>
      </x:c>
      <x:c r="P867" t="str">
        <x:v>BOTH_NOT_RUN</x:v>
      </x:c>
      <x:c r="Q867" s="21" t="str"/>
      <x:c r="R867" s="21" t="str"/>
      <x:c r="S867" s="21" t="str"/>
      <x:c r="T867" s="17" t="str">
        <x:v>false</x:v>
      </x:c>
      <x:c r="U867" s="17" t="str">
        <x:v>true</x:v>
      </x:c>
      <x:c r="V867" s="17" t="str">
        <x:v>false</x:v>
      </x:c>
    </x:row>
    <x:row r="868" ht="80" customHeight="1">
      <x:c r="A868" s="25" t="str">
        <x:v>Chart</x:v>
      </x:c>
      <x:c r="B868" s="25" t="n">
        <x:v>20</x:v>
      </x:c>
      <x:c r="C868" s="25" t="str">
        <x:v>Round2</x:v>
      </x:c>
      <x:c r="D868" s="25" t="str">
        <x:v>REVEALING</x:v>
      </x:c>
      <x:c r="E868" s="25" t="str">
        <x:v>N/A</x:v>
      </x:c>
      <x:c r="F868" s="26" t="str">
        <x:v>Same saved validation suite failed on buggy and passed on fixed</x:v>
      </x:c>
      <x:c r="G868" s="25" t="str">
        <x:v>true</x:v>
      </x:c>
      <x:c r="H868" s="25" t="str">
        <x:v>REVEALING</x:v>
      </x:c>
      <x:c r="I868" s="25" t="str">
        <x:v>FAIL</x:v>
      </x:c>
      <x:c r="J868" s="25" t="str">
        <x:v>PASS</x:v>
      </x:c>
      <x:c r="K868" s="25" t="n">
        <x:v>1</x:v>
      </x:c>
      <x:c r="L868" s="27" t="b">
        <x:v>0</x:v>
      </x:c>
      <x:c r="M868" s="25" t="str">
        <x:v>Deepseek-flash-v4/state/Round2/status/Chart_20.json; Deepseek-flash-v4/state/Round2/shards/Chart_20.json</x:v>
      </x:c>
      <x:c r="N868" s="25" t="str">
        <x:v>Deepseek-flash-v4/Result2/Chart_20/result.json</x:v>
      </x:c>
      <x:c r="O868" s="25" t="str">
        <x:v>Deepseek-flash-v4/Result2/Chart_20/result.json</x:v>
      </x:c>
      <x:c r="P868"/>
      <x:c r="Q868" s="21" t="str"/>
      <x:c r="R868" s="21" t="str"/>
      <x:c r="S868" s="21" t="str"/>
      <x:c r="T868" s="17" t="str">
        <x:v>false</x:v>
      </x:c>
      <x:c r="U868" s="17" t="str">
        <x:v>true</x:v>
      </x:c>
      <x:c r="V868" s="17" t="str">
        <x:v>false</x:v>
      </x:c>
    </x:row>
    <x:row r="869" ht="80" customHeight="1">
      <x:c r="A869" s="25" t="str">
        <x:v>Chart</x:v>
      </x:c>
      <x:c r="B869" s="25" t="n">
        <x:v>21</x:v>
      </x:c>
      <x:c r="C869" s="25" t="str">
        <x:v>Round2</x:v>
      </x:c>
      <x:c r="D869" s="25" t="str">
        <x:v>INCONCLUSIVE</x:v>
      </x:c>
      <x:c r="E869" s="25" t="str">
        <x:v>N/A</x:v>
      </x:c>
      <x:c r="F869" s="26" t="str">
        <x:v>Fixed also failed; assertion failure cannot be attributed to this bug; Same-round generation metadata missing; use saved tests and execution evidence, no failure inferred</x:v>
      </x:c>
      <x:c r="G869" s="25" t="str">
        <x:v>true</x:v>
      </x:c>
      <x:c r="H869" s="25" t="str">
        <x:v>INCONCLUSIVE</x:v>
      </x:c>
      <x:c r="I869" s="25" t="str">
        <x:v>FAIL</x:v>
      </x:c>
      <x:c r="J869" s="25" t="str">
        <x:v>FAIL</x:v>
      </x:c>
      <x:c r="K869" s="25" t="n">
        <x:v>1</x:v>
      </x:c>
      <x:c r="L869" s="27" t="b">
        <x:v>0</x:v>
      </x:c>
      <x:c r="M869" s="25"/>
      <x:c r="N869" s="25" t="str">
        <x:v>Deepseek-flash-v4/Result2/Chart_21/result.json</x:v>
      </x:c>
      <x:c r="O869" s="25" t="str">
        <x:v>Deepseek-flash-v4/Result2/Chart_21/result.json</x:v>
      </x:c>
      <x:c r="P869"/>
      <x:c r="Q869" s="21" t="str"/>
      <x:c r="R869" s="21" t="str"/>
      <x:c r="S869" s="21" t="str"/>
      <x:c r="T869" s="17" t="str">
        <x:v>false</x:v>
      </x:c>
      <x:c r="U869" s="17" t="str">
        <x:v>true</x:v>
      </x:c>
      <x:c r="V869" s="17" t="str">
        <x:v>false</x:v>
      </x:c>
    </x:row>
    <x:row r="870" ht="80" customHeight="1">
      <x:c r="A870" s="25" t="str">
        <x:v>Chart</x:v>
      </x:c>
      <x:c r="B870" s="25" t="n">
        <x:v>22</x:v>
      </x:c>
      <x:c r="C870" s="25" t="str">
        <x:v>Round2</x:v>
      </x:c>
      <x:c r="D870" s="25" t="str">
        <x:v>INCONCLUSIVE</x:v>
      </x:c>
      <x:c r="E870" s="25" t="str">
        <x:v>N/A</x:v>
      </x:c>
      <x:c r="F870" s="26" t="str">
        <x:v>Fixed also failed; assertion failure cannot be attributed to this bug; Same-round generation metadata missing; use saved tests and execution evidence, no failure inferred</x:v>
      </x:c>
      <x:c r="G870" s="25" t="str">
        <x:v>true</x:v>
      </x:c>
      <x:c r="H870" s="25" t="str">
        <x:v>INCONCLUSIVE</x:v>
      </x:c>
      <x:c r="I870" s="25" t="str">
        <x:v>FAIL</x:v>
      </x:c>
      <x:c r="J870" s="25" t="str">
        <x:v>FAIL</x:v>
      </x:c>
      <x:c r="K870" s="25" t="n">
        <x:v>1</x:v>
      </x:c>
      <x:c r="L870" s="27" t="b">
        <x:v>0</x:v>
      </x:c>
      <x:c r="M870" s="25"/>
      <x:c r="N870" s="25" t="str">
        <x:v>Deepseek-flash-v4/Result2/Chart_22/result.json</x:v>
      </x:c>
      <x:c r="O870" s="25" t="str">
        <x:v>Deepseek-flash-v4/Result2/Chart_22/result.json</x:v>
      </x:c>
      <x:c r="P870"/>
      <x:c r="Q870" s="21" t="str"/>
      <x:c r="R870" s="21" t="str"/>
      <x:c r="S870" s="21" t="str"/>
      <x:c r="T870" s="17" t="str">
        <x:v>false</x:v>
      </x:c>
      <x:c r="U870" s="17" t="str">
        <x:v>true</x:v>
      </x:c>
      <x:c r="V870" s="17" t="str">
        <x:v>false</x:v>
      </x:c>
    </x:row>
    <x:row r="871" ht="80" customHeight="1">
      <x:c r="A871" s="25" t="str">
        <x:v>Chart</x:v>
      </x:c>
      <x:c r="B871" s="25" t="n">
        <x:v>23</x:v>
      </x:c>
      <x:c r="C871" s="25" t="str">
        <x:v>Round2</x:v>
      </x:c>
      <x:c r="D871" s="25" t="str">
        <x:v>REVEALING</x:v>
      </x:c>
      <x:c r="E871" s="25" t="str">
        <x:v>N/A</x:v>
      </x:c>
      <x:c r="F871" s="26" t="str">
        <x:v>Same saved validation suite failed on buggy and passed on fixed</x:v>
      </x:c>
      <x:c r="G871" s="25" t="str">
        <x:v>true</x:v>
      </x:c>
      <x:c r="H871" s="25" t="str">
        <x:v>REVEALING</x:v>
      </x:c>
      <x:c r="I871" s="25" t="str">
        <x:v>FAIL</x:v>
      </x:c>
      <x:c r="J871" s="25" t="str">
        <x:v>PASS</x:v>
      </x:c>
      <x:c r="K871" s="25" t="n">
        <x:v>1</x:v>
      </x:c>
      <x:c r="L871" s="27" t="b">
        <x:v>0</x:v>
      </x:c>
      <x:c r="M871" s="25" t="str">
        <x:v>Deepseek-flash-v4/state/Round2/status/Chart_23.json; Deepseek-flash-v4/state/Round2/shards/Chart_23.json</x:v>
      </x:c>
      <x:c r="N871" s="25" t="str">
        <x:v>Deepseek-flash-v4/Result2/Chart_23/result.json</x:v>
      </x:c>
      <x:c r="O871" s="25" t="str">
        <x:v>Deepseek-flash-v4/Result2/Chart_23/result.json</x:v>
      </x:c>
      <x:c r="P871"/>
      <x:c r="Q871" s="21" t="str"/>
      <x:c r="R871" s="21" t="str"/>
      <x:c r="S871" s="21" t="str"/>
      <x:c r="T871" s="17" t="str">
        <x:v>false</x:v>
      </x:c>
      <x:c r="U871" s="17" t="str">
        <x:v>true</x:v>
      </x:c>
      <x:c r="V871" s="17" t="str">
        <x:v>false</x:v>
      </x:c>
    </x:row>
    <x:row r="872" ht="80" customHeight="1">
      <x:c r="A872" s="25" t="str">
        <x:v>Chart</x:v>
      </x:c>
      <x:c r="B872" s="25" t="n">
        <x:v>24</x:v>
      </x:c>
      <x:c r="C872" s="25" t="str">
        <x:v>Round2</x:v>
      </x:c>
      <x:c r="D872" s="25" t="str">
        <x:v>INCONCLUSIVE</x:v>
      </x:c>
      <x:c r="E872" s="25" t="str">
        <x:v>N/A</x:v>
      </x:c>
      <x:c r="F872" s="26" t="str">
        <x:v>Fixed also failed; assertion failure cannot be attributed to this bug; Same-round generation metadata missing; use saved tests and execution evidence, no failure inferred</x:v>
      </x:c>
      <x:c r="G872" s="25" t="str">
        <x:v>true</x:v>
      </x:c>
      <x:c r="H872" s="25" t="str">
        <x:v>INCONCLUSIVE</x:v>
      </x:c>
      <x:c r="I872" s="25" t="str">
        <x:v>FAIL</x:v>
      </x:c>
      <x:c r="J872" s="25" t="str">
        <x:v>FAIL</x:v>
      </x:c>
      <x:c r="K872" s="25" t="n">
        <x:v>1</x:v>
      </x:c>
      <x:c r="L872" s="27" t="b">
        <x:v>0</x:v>
      </x:c>
      <x:c r="M872" s="25"/>
      <x:c r="N872" s="25" t="str">
        <x:v>Deepseek-flash-v4/Result2/Chart_24/result.json</x:v>
      </x:c>
      <x:c r="O872" s="25" t="str">
        <x:v>Deepseek-flash-v4/Result2/Chart_24/result.json</x:v>
      </x:c>
      <x:c r="P872"/>
      <x:c r="Q872" s="21" t="str"/>
      <x:c r="R872" s="21" t="str"/>
      <x:c r="S872" s="21" t="str"/>
      <x:c r="T872" s="17" t="str">
        <x:v>false</x:v>
      </x:c>
      <x:c r="U872" s="17" t="str">
        <x:v>true</x:v>
      </x:c>
      <x:c r="V872" s="17" t="str">
        <x:v>false</x:v>
      </x:c>
    </x:row>
    <x:row r="873" ht="80" customHeight="1">
      <x:c r="A873" s="25" t="str">
        <x:v>Chart</x:v>
      </x:c>
      <x:c r="B873" s="25" t="n">
        <x:v>25</x:v>
      </x:c>
      <x:c r="C873" s="25" t="str">
        <x:v>Round2</x:v>
      </x:c>
      <x:c r="D873" s="25" t="str">
        <x:v>NOT_AVAILABLE</x:v>
      </x:c>
      <x:c r="E873" s="25" t="str">
        <x:v>N/A</x:v>
      </x:c>
      <x:c r="F873" s="26" t="str">
        <x:v>Tests exist but current coverage did not complete</x:v>
      </x:c>
      <x:c r="G873" s="25" t="str">
        <x:v>true</x:v>
      </x:c>
      <x:c r="H873" s="25" t="str">
        <x:v>NOT_AVAILABLE</x:v>
      </x:c>
      <x:c r="I873" s="25" t="str">
        <x:v>NOT_RUN</x:v>
      </x:c>
      <x:c r="J873" s="25" t="str">
        <x:v>NOT_RUN</x:v>
      </x:c>
      <x:c r="K873" s="25" t="n">
        <x:v>1</x:v>
      </x:c>
      <x:c r="L873" s="27" t="b">
        <x:v>0</x:v>
      </x:c>
      <x:c r="M873" s="25" t="str">
        <x:v>Deepseek-flash-v4/state/Round2/status/Chart_25.json; Deepseek-flash-v4/state/Round2/shards/Chart_25.json</x:v>
      </x:c>
      <x:c r="N873" s="25" t="str">
        <x:v>Deepseek-flash-v4/Result2/Chart_25/result.json</x:v>
      </x:c>
      <x:c r="O873" s="25" t="str">
        <x:v>Deepseek-flash-v4/Result2/Chart_25/result.json</x:v>
      </x:c>
      <x:c r="P873" t="str">
        <x:v>BOTH_NOT_RUN</x:v>
      </x:c>
      <x:c r="Q873" s="21" t="str"/>
      <x:c r="R873" s="21" t="str"/>
      <x:c r="S873" s="21" t="str"/>
      <x:c r="T873" s="17" t="str">
        <x:v>false</x:v>
      </x:c>
      <x:c r="U873" s="17" t="str">
        <x:v>true</x:v>
      </x:c>
      <x:c r="V873" s="17" t="str">
        <x:v>false</x:v>
      </x:c>
    </x:row>
    <x:row r="874" ht="80" customHeight="1">
      <x:c r="A874" s="25" t="str">
        <x:v>Chart</x:v>
      </x:c>
      <x:c r="B874" s="25" t="n">
        <x:v>26</x:v>
      </x:c>
      <x:c r="C874" s="25" t="str">
        <x:v>Round2</x:v>
      </x:c>
      <x:c r="D874" s="25" t="str">
        <x:v>NOT_REVEALING</x:v>
      </x:c>
      <x:c r="E874" s="25" t="str">
        <x:v>N/A</x:v>
      </x:c>
      <x:c r="F874" s="26" t="str">
        <x:v>Same saved validation suite passed on buggy and fixed</x:v>
      </x:c>
      <x:c r="G874" s="25" t="str">
        <x:v>true</x:v>
      </x:c>
      <x:c r="H874" s="25" t="str">
        <x:v>NOT_REVEALING</x:v>
      </x:c>
      <x:c r="I874" s="25" t="str">
        <x:v>PASS</x:v>
      </x:c>
      <x:c r="J874" s="25" t="str">
        <x:v>PASS</x:v>
      </x:c>
      <x:c r="K874" s="25" t="n">
        <x:v>1</x:v>
      </x:c>
      <x:c r="L874" s="27" t="b">
        <x:v>0</x:v>
      </x:c>
      <x:c r="M874" s="25" t="str">
        <x:v>Deepseek-flash-v4/state/Round2/status/Chart_26.json; Deepseek-flash-v4/state/Round2/shards/Chart_26.json</x:v>
      </x:c>
      <x:c r="N874" s="25" t="str">
        <x:v>Deepseek-flash-v4/Result2/Chart_26/result.json</x:v>
      </x:c>
      <x:c r="O874" s="25" t="str">
        <x:v>Deepseek-flash-v4/Result2/Chart_26/result.json</x:v>
      </x:c>
      <x:c r="P874"/>
      <x:c r="Q874" s="21" t="str"/>
      <x:c r="R874" s="21" t="str"/>
      <x:c r="S874" s="21" t="str"/>
      <x:c r="T874" s="17" t="str">
        <x:v>false</x:v>
      </x:c>
      <x:c r="U874" s="17" t="str">
        <x:v>true</x:v>
      </x:c>
      <x:c r="V874" s="17" t="str">
        <x:v>false</x:v>
      </x:c>
    </x:row>
    <x:row r="875" ht="80" customHeight="1">
      <x:c r="A875" s="25" t="str">
        <x:v>Chart</x:v>
      </x:c>
      <x:c r="B875" s="25" t="n">
        <x:v>3</x:v>
      </x:c>
      <x:c r="C875" s="25" t="str">
        <x:v>Round2</x:v>
      </x:c>
      <x:c r="D875" s="25" t="str">
        <x:v>NOT_AVAILABLE</x:v>
      </x:c>
      <x:c r="E875" s="25" t="str">
        <x:v>N/A</x:v>
      </x:c>
      <x:c r="F875" s="26" t="str">
        <x:v>Tests exist but current coverage did not complete</x:v>
      </x:c>
      <x:c r="G875" s="25" t="str">
        <x:v>true</x:v>
      </x:c>
      <x:c r="H875" s="25" t="str">
        <x:v>NOT_AVAILABLE</x:v>
      </x:c>
      <x:c r="I875" s="25" t="str">
        <x:v>NOT_RUN</x:v>
      </x:c>
      <x:c r="J875" s="25" t="str">
        <x:v>NOT_RUN</x:v>
      </x:c>
      <x:c r="K875" s="25" t="n">
        <x:v>1</x:v>
      </x:c>
      <x:c r="L875" s="27" t="b">
        <x:v>0</x:v>
      </x:c>
      <x:c r="M875" s="25" t="str">
        <x:v>Deepseek-flash-v4/state/Round2/status/Chart_3.json; Deepseek-flash-v4/state/Round2/shards/Chart_3.json</x:v>
      </x:c>
      <x:c r="N875" s="25" t="str">
        <x:v>Deepseek-flash-v4/Result2/Chart_3/result.json</x:v>
      </x:c>
      <x:c r="O875" s="25" t="str">
        <x:v>Deepseek-flash-v4/Result2/Chart_3/result.json</x:v>
      </x:c>
      <x:c r="P875" t="str">
        <x:v>BOTH_NOT_RUN</x:v>
      </x:c>
      <x:c r="Q875" s="21" t="str"/>
      <x:c r="R875" s="21" t="str"/>
      <x:c r="S875" s="21" t="str"/>
      <x:c r="T875" s="17" t="str">
        <x:v>false</x:v>
      </x:c>
      <x:c r="U875" s="17" t="str">
        <x:v>true</x:v>
      </x:c>
      <x:c r="V875" s="17" t="str">
        <x:v>false</x:v>
      </x:c>
    </x:row>
    <x:row r="876" ht="80" customHeight="1">
      <x:c r="A876" s="25" t="str">
        <x:v>Chart</x:v>
      </x:c>
      <x:c r="B876" s="25" t="n">
        <x:v>4</x:v>
      </x:c>
      <x:c r="C876" s="25" t="str">
        <x:v>Round2</x:v>
      </x:c>
      <x:c r="D876" s="25" t="str">
        <x:v>NOT_AVAILABLE</x:v>
      </x:c>
      <x:c r="E876" s="25" t="str">
        <x:v>N/A</x:v>
      </x:c>
      <x:c r="F876" s="26" t="str">
        <x:v>Tests exist but current coverage did not complete</x:v>
      </x:c>
      <x:c r="G876" s="25" t="str">
        <x:v>true</x:v>
      </x:c>
      <x:c r="H876" s="25" t="str">
        <x:v>NOT_AVAILABLE</x:v>
      </x:c>
      <x:c r="I876" s="25" t="str">
        <x:v>NOT_RUN</x:v>
      </x:c>
      <x:c r="J876" s="25" t="str">
        <x:v>NOT_RUN</x:v>
      </x:c>
      <x:c r="K876" s="25" t="n">
        <x:v>1</x:v>
      </x:c>
      <x:c r="L876" s="27" t="b">
        <x:v>0</x:v>
      </x:c>
      <x:c r="M876" s="25" t="str">
        <x:v>Deepseek-flash-v4/state/Round2/status/Chart_4.json; Deepseek-flash-v4/state/Round2/shards/Chart_4.json</x:v>
      </x:c>
      <x:c r="N876" s="25" t="str">
        <x:v>Deepseek-flash-v4/Result2/Chart_4/result.json</x:v>
      </x:c>
      <x:c r="O876" s="25" t="str">
        <x:v>Deepseek-flash-v4/Result2/Chart_4/result.json</x:v>
      </x:c>
      <x:c r="P876" t="str">
        <x:v>BOTH_NOT_RUN</x:v>
      </x:c>
      <x:c r="Q876" s="21" t="str"/>
      <x:c r="R876" s="21" t="str"/>
      <x:c r="S876" s="21" t="str"/>
      <x:c r="T876" s="17" t="str">
        <x:v>false</x:v>
      </x:c>
      <x:c r="U876" s="17" t="str">
        <x:v>true</x:v>
      </x:c>
      <x:c r="V876" s="17" t="str">
        <x:v>false</x:v>
      </x:c>
    </x:row>
    <x:row r="877" ht="80" customHeight="1">
      <x:c r="A877" s="25" t="str">
        <x:v>Chart</x:v>
      </x:c>
      <x:c r="B877" s="25" t="n">
        <x:v>5</x:v>
      </x:c>
      <x:c r="C877" s="25" t="str">
        <x:v>Round2</x:v>
      </x:c>
      <x:c r="D877" s="25" t="str">
        <x:v>INCONCLUSIVE</x:v>
      </x:c>
      <x:c r="E877" s="25" t="str">
        <x:v>N/A</x:v>
      </x:c>
      <x:c r="F877" s="26" t="str">
        <x:v>Fixed also failed; assertion failure cannot be attributed to this bug</x:v>
      </x:c>
      <x:c r="G877" s="25" t="str">
        <x:v>true</x:v>
      </x:c>
      <x:c r="H877" s="25" t="str">
        <x:v>INCONCLUSIVE</x:v>
      </x:c>
      <x:c r="I877" s="25" t="str">
        <x:v>FAIL</x:v>
      </x:c>
      <x:c r="J877" s="25" t="str">
        <x:v>FAIL</x:v>
      </x:c>
      <x:c r="K877" s="25" t="n">
        <x:v>1</x:v>
      </x:c>
      <x:c r="L877" s="27" t="b">
        <x:v>0</x:v>
      </x:c>
      <x:c r="M877" s="25" t="str">
        <x:v>Deepseek-flash-v4/state/Round2/status/Chart_5.json; Deepseek-flash-v4/state/Round2/shards/Chart_5.json</x:v>
      </x:c>
      <x:c r="N877" s="25" t="str">
        <x:v>Deepseek-flash-v4/Result2/Chart_5/result.json</x:v>
      </x:c>
      <x:c r="O877" s="25" t="str">
        <x:v>Deepseek-flash-v4/Result2/Chart_5/result.json</x:v>
      </x:c>
      <x:c r="P877"/>
      <x:c r="Q877" s="21" t="str"/>
      <x:c r="R877" s="21" t="str"/>
      <x:c r="S877" s="21" t="str"/>
      <x:c r="T877" s="17" t="str">
        <x:v>false</x:v>
      </x:c>
      <x:c r="U877" s="17" t="str">
        <x:v>true</x:v>
      </x:c>
      <x:c r="V877" s="17" t="str">
        <x:v>false</x:v>
      </x:c>
    </x:row>
    <x:row r="878" ht="80" customHeight="1">
      <x:c r="A878" s="25" t="str">
        <x:v>Chart</x:v>
      </x:c>
      <x:c r="B878" s="25" t="n">
        <x:v>6</x:v>
      </x:c>
      <x:c r="C878" s="25" t="str">
        <x:v>Round2</x:v>
      </x:c>
      <x:c r="D878" s="25" t="str">
        <x:v>NOT_AVAILABLE</x:v>
      </x:c>
      <x:c r="E878" s="25" t="str">
        <x:v>N/A</x:v>
      </x:c>
      <x:c r="F878" s="26" t="str">
        <x:v>Tests exist but current coverage did not complete</x:v>
      </x:c>
      <x:c r="G878" s="25" t="str">
        <x:v>true</x:v>
      </x:c>
      <x:c r="H878" s="25" t="str">
        <x:v>NOT_AVAILABLE</x:v>
      </x:c>
      <x:c r="I878" s="25" t="str">
        <x:v>NOT_RUN</x:v>
      </x:c>
      <x:c r="J878" s="25" t="str">
        <x:v>NOT_RUN</x:v>
      </x:c>
      <x:c r="K878" s="25" t="n">
        <x:v>1</x:v>
      </x:c>
      <x:c r="L878" s="27" t="b">
        <x:v>0</x:v>
      </x:c>
      <x:c r="M878" s="25" t="str">
        <x:v>Deepseek-flash-v4/state/Round2/status/Chart_6.json; Deepseek-flash-v4/state/Round2/shards/Chart_6.json</x:v>
      </x:c>
      <x:c r="N878" s="25" t="str">
        <x:v>Deepseek-flash-v4/Result2/Chart_6/result.json</x:v>
      </x:c>
      <x:c r="O878" s="25" t="str">
        <x:v>Deepseek-flash-v4/Result2/Chart_6/result.json</x:v>
      </x:c>
      <x:c r="P878" t="str">
        <x:v>BOTH_NOT_RUN</x:v>
      </x:c>
      <x:c r="Q878" s="21" t="str"/>
      <x:c r="R878" s="21" t="str"/>
      <x:c r="S878" s="21" t="str"/>
      <x:c r="T878" s="17" t="str">
        <x:v>false</x:v>
      </x:c>
      <x:c r="U878" s="17" t="str">
        <x:v>true</x:v>
      </x:c>
      <x:c r="V878" s="17" t="str">
        <x:v>false</x:v>
      </x:c>
    </x:row>
    <x:row r="879" ht="80" customHeight="1">
      <x:c r="A879" s="25" t="str">
        <x:v>Chart</x:v>
      </x:c>
      <x:c r="B879" s="25" t="n">
        <x:v>7</x:v>
      </x:c>
      <x:c r="C879" s="25" t="str">
        <x:v>Round2</x:v>
      </x:c>
      <x:c r="D879" s="25" t="str">
        <x:v>NOT_AVAILABLE</x:v>
      </x:c>
      <x:c r="E879" s="25" t="str">
        <x:v>N/A</x:v>
      </x:c>
      <x:c r="F879" s="26" t="str">
        <x:v>Tests exist but current coverage did not complete</x:v>
      </x:c>
      <x:c r="G879" s="25" t="str">
        <x:v>true</x:v>
      </x:c>
      <x:c r="H879" s="25" t="str">
        <x:v>NOT_AVAILABLE</x:v>
      </x:c>
      <x:c r="I879" s="25" t="str">
        <x:v>NOT_RUN</x:v>
      </x:c>
      <x:c r="J879" s="25" t="str">
        <x:v>NOT_RUN</x:v>
      </x:c>
      <x:c r="K879" s="25" t="n">
        <x:v>1</x:v>
      </x:c>
      <x:c r="L879" s="27" t="b">
        <x:v>0</x:v>
      </x:c>
      <x:c r="M879" s="25" t="str">
        <x:v>Deepseek-flash-v4/state/Round2/status/Chart_7.json; Deepseek-flash-v4/state/Round2/shards/Chart_7.json</x:v>
      </x:c>
      <x:c r="N879" s="25" t="str">
        <x:v>Deepseek-flash-v4/Result2/Chart_7/result.json</x:v>
      </x:c>
      <x:c r="O879" s="25" t="str">
        <x:v>Deepseek-flash-v4/Result2/Chart_7/result.json</x:v>
      </x:c>
      <x:c r="P879" t="str">
        <x:v>BOTH_NOT_RUN</x:v>
      </x:c>
      <x:c r="Q879" s="21" t="str"/>
      <x:c r="R879" s="21" t="str"/>
      <x:c r="S879" s="21" t="str"/>
      <x:c r="T879" s="17" t="str">
        <x:v>false</x:v>
      </x:c>
      <x:c r="U879" s="17" t="str">
        <x:v>true</x:v>
      </x:c>
      <x:c r="V879" s="17" t="str">
        <x:v>false</x:v>
      </x:c>
    </x:row>
    <x:row r="880" ht="80" customHeight="1">
      <x:c r="A880" s="25" t="str">
        <x:v>Chart</x:v>
      </x:c>
      <x:c r="B880" s="25" t="n">
        <x:v>8</x:v>
      </x:c>
      <x:c r="C880" s="25" t="str">
        <x:v>Round2</x:v>
      </x:c>
      <x:c r="D880" s="25" t="str">
        <x:v>INCONCLUSIVE</x:v>
      </x:c>
      <x:c r="E880" s="25" t="str">
        <x:v>N/A</x:v>
      </x:c>
      <x:c r="F880" s="26" t="str">
        <x:v>Fixed also failed; assertion failure cannot be attributed to this bug; Same-round generation metadata missing; use saved tests and execution evidence, no failure inferred</x:v>
      </x:c>
      <x:c r="G880" s="25" t="str">
        <x:v>true</x:v>
      </x:c>
      <x:c r="H880" s="25" t="str">
        <x:v>INCONCLUSIVE</x:v>
      </x:c>
      <x:c r="I880" s="25" t="str">
        <x:v>FAIL</x:v>
      </x:c>
      <x:c r="J880" s="25" t="str">
        <x:v>FAIL</x:v>
      </x:c>
      <x:c r="K880" s="25" t="n">
        <x:v>1</x:v>
      </x:c>
      <x:c r="L880" s="27" t="b">
        <x:v>0</x:v>
      </x:c>
      <x:c r="M880" s="25"/>
      <x:c r="N880" s="25" t="str">
        <x:v>Deepseek-flash-v4/Result2/Chart_8/result.json</x:v>
      </x:c>
      <x:c r="O880" s="25" t="str">
        <x:v>Deepseek-flash-v4/Result2/Chart_8/result.json</x:v>
      </x:c>
      <x:c r="P880"/>
      <x:c r="Q880" s="21" t="str"/>
      <x:c r="R880" s="21" t="str"/>
      <x:c r="S880" s="21" t="str"/>
      <x:c r="T880" s="17" t="str">
        <x:v>false</x:v>
      </x:c>
      <x:c r="U880" s="17" t="str">
        <x:v>true</x:v>
      </x:c>
      <x:c r="V880" s="17" t="str">
        <x:v>false</x:v>
      </x:c>
    </x:row>
    <x:row r="881" ht="80" customHeight="1">
      <x:c r="A881" s="25" t="str">
        <x:v>Chart</x:v>
      </x:c>
      <x:c r="B881" s="25" t="n">
        <x:v>9</x:v>
      </x:c>
      <x:c r="C881" s="25" t="str">
        <x:v>Round2</x:v>
      </x:c>
      <x:c r="D881" s="25" t="str">
        <x:v>NOT_REVEALING</x:v>
      </x:c>
      <x:c r="E881" s="25" t="str">
        <x:v>N/A</x:v>
      </x:c>
      <x:c r="F881" s="26" t="str">
        <x:v>Same saved validation suite passed on buggy and fixed</x:v>
      </x:c>
      <x:c r="G881" s="25" t="str">
        <x:v>true</x:v>
      </x:c>
      <x:c r="H881" s="25" t="str">
        <x:v>NOT_REVEALING</x:v>
      </x:c>
      <x:c r="I881" s="25" t="str">
        <x:v>PASS</x:v>
      </x:c>
      <x:c r="J881" s="25" t="str">
        <x:v>PASS</x:v>
      </x:c>
      <x:c r="K881" s="25" t="n">
        <x:v>1</x:v>
      </x:c>
      <x:c r="L881" s="27" t="b">
        <x:v>0</x:v>
      </x:c>
      <x:c r="M881" s="25" t="str">
        <x:v>Deepseek-flash-v4/state/Round2/status/Chart_9.json; Deepseek-flash-v4/state/Round2/shards/Chart_9.json</x:v>
      </x:c>
      <x:c r="N881" s="25" t="str">
        <x:v>Deepseek-flash-v4/Result2/Chart_9/result.json</x:v>
      </x:c>
      <x:c r="O881" s="25" t="str">
        <x:v>Deepseek-flash-v4/Result2/Chart_9/result.json</x:v>
      </x:c>
      <x:c r="P881"/>
      <x:c r="Q881" s="21" t="str"/>
      <x:c r="R881" s="21" t="str"/>
      <x:c r="S881" s="21" t="str"/>
      <x:c r="T881" s="17" t="str">
        <x:v>false</x:v>
      </x:c>
      <x:c r="U881" s="17" t="str">
        <x:v>true</x:v>
      </x:c>
      <x:c r="V881" s="17" t="str">
        <x:v>false</x:v>
      </x:c>
    </x:row>
    <x:row r="882" ht="80" customHeight="1">
      <x:c r="A882" s="25" t="str">
        <x:v>Cli</x:v>
      </x:c>
      <x:c r="B882" s="25" t="n">
        <x:v>1</x:v>
      </x:c>
      <x:c r="C882" s="25" t="str">
        <x:v>Round2</x:v>
      </x:c>
      <x:c r="D882" s="25" t="str">
        <x:v>INCONCLUSIVE</x:v>
      </x:c>
      <x:c r="E882" s="25" t="str">
        <x:v>N/A</x:v>
      </x:c>
      <x:c r="F882" s="26" t="str">
        <x:v>Fixed also failed; assertion failure cannot be attributed to this bug</x:v>
      </x:c>
      <x:c r="G882" s="25" t="str">
        <x:v>true</x:v>
      </x:c>
      <x:c r="H882" s="25" t="str">
        <x:v>INCONCLUSIVE</x:v>
      </x:c>
      <x:c r="I882" s="25" t="str">
        <x:v>FAIL</x:v>
      </x:c>
      <x:c r="J882" s="25" t="str">
        <x:v>FAIL</x:v>
      </x:c>
      <x:c r="K882" s="25" t="n">
        <x:v>1</x:v>
      </x:c>
      <x:c r="L882" s="27" t="b">
        <x:v>0</x:v>
      </x:c>
      <x:c r="M882" s="25" t="str">
        <x:v>Deepseek-flash-v4/state/Round2/status/Cli_1.json; Deepseek-flash-v4/state/Round2/shards/Cli_1.json</x:v>
      </x:c>
      <x:c r="N882" s="25" t="str">
        <x:v>Deepseek-flash-v4/Result2/Cli_1/result.json</x:v>
      </x:c>
      <x:c r="O882" s="25" t="str">
        <x:v>Deepseek-flash-v4/Result2/Cli_1/result.json</x:v>
      </x:c>
      <x:c r="P882"/>
      <x:c r="Q882" s="21" t="str"/>
      <x:c r="R882" s="21" t="str"/>
      <x:c r="S882" s="21" t="str"/>
      <x:c r="T882" s="17" t="str">
        <x:v>false</x:v>
      </x:c>
      <x:c r="U882" s="17" t="str">
        <x:v>true</x:v>
      </x:c>
      <x:c r="V882" s="17" t="str">
        <x:v>false</x:v>
      </x:c>
    </x:row>
    <x:row r="883" ht="80" customHeight="1">
      <x:c r="A883" s="25" t="str">
        <x:v>Cli</x:v>
      </x:c>
      <x:c r="B883" s="25" t="n">
        <x:v>10</x:v>
      </x:c>
      <x:c r="C883" s="25" t="str">
        <x:v>Round2</x:v>
      </x:c>
      <x:c r="D883" s="25" t="str">
        <x:v>INCONCLUSIVE</x:v>
      </x:c>
      <x:c r="E883" s="25" t="str">
        <x:v>N/A</x:v>
      </x:c>
      <x:c r="F883" s="26" t="str">
        <x:v>Fixed also failed; assertion failure cannot be attributed to this bug</x:v>
      </x:c>
      <x:c r="G883" s="25" t="str">
        <x:v>true</x:v>
      </x:c>
      <x:c r="H883" s="25" t="str">
        <x:v>INCONCLUSIVE</x:v>
      </x:c>
      <x:c r="I883" s="25" t="str">
        <x:v>FAIL</x:v>
      </x:c>
      <x:c r="J883" s="25" t="str">
        <x:v>FAIL</x:v>
      </x:c>
      <x:c r="K883" s="25" t="n">
        <x:v>1</x:v>
      </x:c>
      <x:c r="L883" s="27" t="b">
        <x:v>0</x:v>
      </x:c>
      <x:c r="M883" s="25" t="str">
        <x:v>Deepseek-flash-v4/state/Round2/status/Cli_10.json; Deepseek-flash-v4/state/Round2/shards/Cli_10.json</x:v>
      </x:c>
      <x:c r="N883" s="25" t="str">
        <x:v>Deepseek-flash-v4/Result2/Cli_10/result.json</x:v>
      </x:c>
      <x:c r="O883" s="25" t="str">
        <x:v>Deepseek-flash-v4/Result2/Cli_10/result.json</x:v>
      </x:c>
      <x:c r="P883"/>
      <x:c r="Q883" s="21" t="str"/>
      <x:c r="R883" s="21" t="str"/>
      <x:c r="S883" s="21" t="str"/>
      <x:c r="T883" s="17" t="str">
        <x:v>false</x:v>
      </x:c>
      <x:c r="U883" s="17" t="str">
        <x:v>true</x:v>
      </x:c>
      <x:c r="V883" s="17" t="str">
        <x:v>false</x:v>
      </x:c>
    </x:row>
    <x:row r="884" ht="80" customHeight="1">
      <x:c r="A884" s="25" t="str">
        <x:v>Cli</x:v>
      </x:c>
      <x:c r="B884" s="25" t="n">
        <x:v>11</x:v>
      </x:c>
      <x:c r="C884" s="25" t="str">
        <x:v>Round2</x:v>
      </x:c>
      <x:c r="D884" s="25" t="str">
        <x:v>INCONCLUSIVE</x:v>
      </x:c>
      <x:c r="E884" s="25" t="str">
        <x:v>N/A</x:v>
      </x:c>
      <x:c r="F884" s="26" t="str">
        <x:v>Fixed also failed; assertion failure cannot be attributed to this bug</x:v>
      </x:c>
      <x:c r="G884" s="25" t="str">
        <x:v>true</x:v>
      </x:c>
      <x:c r="H884" s="25" t="str">
        <x:v>INCONCLUSIVE</x:v>
      </x:c>
      <x:c r="I884" s="25" t="str">
        <x:v>FAIL</x:v>
      </x:c>
      <x:c r="J884" s="25" t="str">
        <x:v>FAIL</x:v>
      </x:c>
      <x:c r="K884" s="25" t="n">
        <x:v>1</x:v>
      </x:c>
      <x:c r="L884" s="27" t="b">
        <x:v>0</x:v>
      </x:c>
      <x:c r="M884" s="25" t="str">
        <x:v>Deepseek-flash-v4/state/Round2/status/Cli_11.json; Deepseek-flash-v4/state/Round2/shards/Cli_11.json</x:v>
      </x:c>
      <x:c r="N884" s="25" t="str">
        <x:v>Deepseek-flash-v4/Result2/Cli_11/result.json</x:v>
      </x:c>
      <x:c r="O884" s="25" t="str">
        <x:v>Deepseek-flash-v4/Result2/Cli_11/result.json</x:v>
      </x:c>
      <x:c r="P884"/>
      <x:c r="Q884" s="21" t="str"/>
      <x:c r="R884" s="21" t="str"/>
      <x:c r="S884" s="21" t="str"/>
      <x:c r="T884" s="17" t="str">
        <x:v>false</x:v>
      </x:c>
      <x:c r="U884" s="17" t="str">
        <x:v>true</x:v>
      </x:c>
      <x:c r="V884" s="17" t="str">
        <x:v>false</x:v>
      </x:c>
    </x:row>
    <x:row r="885" ht="80" customHeight="1">
      <x:c r="A885" s="25" t="str">
        <x:v>Cli</x:v>
      </x:c>
      <x:c r="B885" s="25" t="n">
        <x:v>12</x:v>
      </x:c>
      <x:c r="C885" s="25" t="str">
        <x:v>Round2</x:v>
      </x:c>
      <x:c r="D885" s="25" t="str">
        <x:v>INCONCLUSIVE</x:v>
      </x:c>
      <x:c r="E885" s="25" t="str">
        <x:v>N/A</x:v>
      </x:c>
      <x:c r="F885" s="26" t="str">
        <x:v>Fixed also failed; assertion failure cannot be attributed to this bug; Same-round generation metadata missing; use saved tests and execution evidence, no failure inferred</x:v>
      </x:c>
      <x:c r="G885" s="25" t="str">
        <x:v>true</x:v>
      </x:c>
      <x:c r="H885" s="25" t="str">
        <x:v>INCONCLUSIVE</x:v>
      </x:c>
      <x:c r="I885" s="25" t="str">
        <x:v>FAIL</x:v>
      </x:c>
      <x:c r="J885" s="25" t="str">
        <x:v>FAIL</x:v>
      </x:c>
      <x:c r="K885" s="25" t="n">
        <x:v>1</x:v>
      </x:c>
      <x:c r="L885" s="27" t="b">
        <x:v>0</x:v>
      </x:c>
      <x:c r="M885" s="25"/>
      <x:c r="N885" s="25" t="str">
        <x:v>Deepseek-flash-v4/Result2/Cli_12/result.json</x:v>
      </x:c>
      <x:c r="O885" s="25" t="str">
        <x:v>Deepseek-flash-v4/Result2/Cli_12/result.json</x:v>
      </x:c>
      <x:c r="P885"/>
      <x:c r="Q885" s="21" t="str"/>
      <x:c r="R885" s="21" t="str"/>
      <x:c r="S885" s="21" t="str"/>
      <x:c r="T885" s="17" t="str">
        <x:v>false</x:v>
      </x:c>
      <x:c r="U885" s="17" t="str">
        <x:v>true</x:v>
      </x:c>
      <x:c r="V885" s="17" t="str">
        <x:v>false</x:v>
      </x:c>
    </x:row>
    <x:row r="886" ht="80" customHeight="1">
      <x:c r="A886" s="25" t="str">
        <x:v>Cli</x:v>
      </x:c>
      <x:c r="B886" s="25" t="n">
        <x:v>13</x:v>
      </x:c>
      <x:c r="C886" s="25" t="str">
        <x:v>Round2</x:v>
      </x:c>
      <x:c r="D886" s="25" t="str">
        <x:v>NOT_AVAILABLE</x:v>
      </x:c>
      <x:c r="E886" s="25" t="str">
        <x:v>N/A</x:v>
      </x:c>
      <x:c r="F886" s="26" t="str">
        <x:v>Tests exist but current coverage did not complete</x:v>
      </x:c>
      <x:c r="G886" s="25" t="str">
        <x:v>true</x:v>
      </x:c>
      <x:c r="H886" s="25" t="str">
        <x:v>NOT_AVAILABLE</x:v>
      </x:c>
      <x:c r="I886" s="25" t="str">
        <x:v>NOT_RUN</x:v>
      </x:c>
      <x:c r="J886" s="25" t="str">
        <x:v>NOT_RUN</x:v>
      </x:c>
      <x:c r="K886" s="25" t="n">
        <x:v>3</x:v>
      </x:c>
      <x:c r="L886" s="27" t="b">
        <x:v>0</x:v>
      </x:c>
      <x:c r="M886" s="25" t="str">
        <x:v>Deepseek-flash-v4/state/Round2/status/Cli_13.json; Deepseek-flash-v4/state/Round2/shards/Cli_13.json</x:v>
      </x:c>
      <x:c r="N886" s="25" t="str">
        <x:v>Deepseek-flash-v4/Result2/Cli_13/result.json</x:v>
      </x:c>
      <x:c r="O886" s="25" t="str">
        <x:v>Deepseek-flash-v4/Result2/Cli_13/result.json</x:v>
      </x:c>
      <x:c r="P886" t="str">
        <x:v>BOTH_NOT_RUN</x:v>
      </x:c>
      <x:c r="Q886" s="21" t="str"/>
      <x:c r="R886" s="21" t="str"/>
      <x:c r="S886" s="21" t="str"/>
      <x:c r="T886" s="17" t="str">
        <x:v>false</x:v>
      </x:c>
      <x:c r="U886" s="17" t="str">
        <x:v>true</x:v>
      </x:c>
      <x:c r="V886" s="17" t="str">
        <x:v>false</x:v>
      </x:c>
    </x:row>
    <x:row r="887" ht="80" customHeight="1">
      <x:c r="A887" s="25" t="str">
        <x:v>Cli</x:v>
      </x:c>
      <x:c r="B887" s="25" t="n">
        <x:v>14</x:v>
      </x:c>
      <x:c r="C887" s="25" t="str">
        <x:v>Round2</x:v>
      </x:c>
      <x:c r="D887" s="25" t="str">
        <x:v>NOT_AVAILABLE</x:v>
      </x:c>
      <x:c r="E887" s="25" t="str">
        <x:v>N/A</x:v>
      </x:c>
      <x:c r="F887" s="26" t="str">
        <x:v>Tests exist but current coverage did not complete</x:v>
      </x:c>
      <x:c r="G887" s="25" t="str">
        <x:v>true</x:v>
      </x:c>
      <x:c r="H887" s="25" t="str">
        <x:v>NOT_AVAILABLE</x:v>
      </x:c>
      <x:c r="I887" s="25" t="str">
        <x:v>NOT_RUN</x:v>
      </x:c>
      <x:c r="J887" s="25" t="str">
        <x:v>NOT_RUN</x:v>
      </x:c>
      <x:c r="K887" s="25" t="n">
        <x:v>1</x:v>
      </x:c>
      <x:c r="L887" s="27" t="b">
        <x:v>0</x:v>
      </x:c>
      <x:c r="M887" s="25" t="str">
        <x:v>Deepseek-flash-v4/state/Round2/status/Cli_14.json; Deepseek-flash-v4/state/Round2/shards/Cli_14.json</x:v>
      </x:c>
      <x:c r="N887" s="25" t="str">
        <x:v>Deepseek-flash-v4/Result2/Cli_14/result.json</x:v>
      </x:c>
      <x:c r="O887" s="25" t="str">
        <x:v>Deepseek-flash-v4/Result2/Cli_14/result.json</x:v>
      </x:c>
      <x:c r="P887" t="str">
        <x:v>BOTH_NOT_RUN</x:v>
      </x:c>
      <x:c r="Q887" s="21" t="str"/>
      <x:c r="R887" s="21" t="str"/>
      <x:c r="S887" s="21" t="str"/>
      <x:c r="T887" s="17" t="str">
        <x:v>false</x:v>
      </x:c>
      <x:c r="U887" s="17" t="str">
        <x:v>true</x:v>
      </x:c>
      <x:c r="V887" s="17" t="str">
        <x:v>false</x:v>
      </x:c>
    </x:row>
    <x:row r="888" ht="80" customHeight="1">
      <x:c r="A888" s="25" t="str">
        <x:v>Cli</x:v>
      </x:c>
      <x:c r="B888" s="25" t="n">
        <x:v>15</x:v>
      </x:c>
      <x:c r="C888" s="25" t="str">
        <x:v>Round2</x:v>
      </x:c>
      <x:c r="D888" s="25" t="str">
        <x:v>NOT_AVAILABLE</x:v>
      </x:c>
      <x:c r="E888" s="25" t="str">
        <x:v>N/A</x:v>
      </x:c>
      <x:c r="F888" s="26" t="str">
        <x:v>Tests exist but current coverage did not complete</x:v>
      </x:c>
      <x:c r="G888" s="25" t="str">
        <x:v>true</x:v>
      </x:c>
      <x:c r="H888" s="25" t="str">
        <x:v>NOT_AVAILABLE</x:v>
      </x:c>
      <x:c r="I888" s="25" t="str">
        <x:v>NOT_RUN</x:v>
      </x:c>
      <x:c r="J888" s="25" t="str">
        <x:v>NOT_RUN</x:v>
      </x:c>
      <x:c r="K888" s="25" t="n">
        <x:v>1</x:v>
      </x:c>
      <x:c r="L888" s="27" t="b">
        <x:v>0</x:v>
      </x:c>
      <x:c r="M888" s="25" t="str">
        <x:v>Deepseek-flash-v4/state/Round2/status/Cli_15.json; Deepseek-flash-v4/state/Round2/shards/Cli_15.json</x:v>
      </x:c>
      <x:c r="N888" s="25" t="str">
        <x:v>Deepseek-flash-v4/Result2/Cli_15/result.json</x:v>
      </x:c>
      <x:c r="O888" s="25" t="str">
        <x:v>Deepseek-flash-v4/Result2/Cli_15/result.json</x:v>
      </x:c>
      <x:c r="P888" t="str">
        <x:v>BOTH_NOT_RUN</x:v>
      </x:c>
      <x:c r="Q888" s="21" t="str"/>
      <x:c r="R888" s="21" t="str"/>
      <x:c r="S888" s="21" t="str"/>
      <x:c r="T888" s="17" t="str">
        <x:v>false</x:v>
      </x:c>
      <x:c r="U888" s="17" t="str">
        <x:v>true</x:v>
      </x:c>
      <x:c r="V888" s="17" t="str">
        <x:v>false</x:v>
      </x:c>
    </x:row>
    <x:row r="889" ht="80" customHeight="1">
      <x:c r="A889" s="25" t="str">
        <x:v>Cli</x:v>
      </x:c>
      <x:c r="B889" s="25" t="n">
        <x:v>16</x:v>
      </x:c>
      <x:c r="C889" s="25" t="str">
        <x:v>Round2</x:v>
      </x:c>
      <x:c r="D889" s="25" t="str">
        <x:v>NOT_AVAILABLE</x:v>
      </x:c>
      <x:c r="E889" s="25" t="str">
        <x:v>N/A</x:v>
      </x:c>
      <x:c r="F889" s="26" t="str">
        <x:v>Tests exist but current coverage did not complete</x:v>
      </x:c>
      <x:c r="G889" s="25" t="str">
        <x:v>true</x:v>
      </x:c>
      <x:c r="H889" s="25" t="str">
        <x:v>NOT_AVAILABLE</x:v>
      </x:c>
      <x:c r="I889" s="25" t="str">
        <x:v>NOT_RUN</x:v>
      </x:c>
      <x:c r="J889" s="25" t="str">
        <x:v>NOT_RUN</x:v>
      </x:c>
      <x:c r="K889" s="25" t="n">
        <x:v>4</x:v>
      </x:c>
      <x:c r="L889" s="27" t="b">
        <x:v>0</x:v>
      </x:c>
      <x:c r="M889" s="25" t="str">
        <x:v>Deepseek-flash-v4/state/Round2/status/Cli_16.json; Deepseek-flash-v4/state/Round2/shards/Cli_16.json</x:v>
      </x:c>
      <x:c r="N889" s="25" t="str">
        <x:v>Deepseek-flash-v4/Result2/Cli_16/result.json</x:v>
      </x:c>
      <x:c r="O889" s="25" t="str">
        <x:v>Deepseek-flash-v4/Result2/Cli_16/result.json</x:v>
      </x:c>
      <x:c r="P889" t="str">
        <x:v>BOTH_NOT_RUN</x:v>
      </x:c>
      <x:c r="Q889" s="21" t="str"/>
      <x:c r="R889" s="21" t="str"/>
      <x:c r="S889" s="21" t="str"/>
      <x:c r="T889" s="17" t="str">
        <x:v>false</x:v>
      </x:c>
      <x:c r="U889" s="17" t="str">
        <x:v>true</x:v>
      </x:c>
      <x:c r="V889" s="17" t="str">
        <x:v>false</x:v>
      </x:c>
    </x:row>
    <x:row r="890" ht="80" customHeight="1">
      <x:c r="A890" s="25" t="str">
        <x:v>Cli</x:v>
      </x:c>
      <x:c r="B890" s="25" t="n">
        <x:v>17</x:v>
      </x:c>
      <x:c r="C890" s="25" t="str">
        <x:v>Round2</x:v>
      </x:c>
      <x:c r="D890" s="25" t="str">
        <x:v>INCONCLUSIVE</x:v>
      </x:c>
      <x:c r="E890" s="25" t="str">
        <x:v>N/A</x:v>
      </x:c>
      <x:c r="F890" s="26" t="str">
        <x:v>Fixed also failed; assertion failure cannot be attributed to this bug</x:v>
      </x:c>
      <x:c r="G890" s="25" t="str">
        <x:v>true</x:v>
      </x:c>
      <x:c r="H890" s="25" t="str">
        <x:v>INCONCLUSIVE</x:v>
      </x:c>
      <x:c r="I890" s="25" t="str">
        <x:v>FAIL</x:v>
      </x:c>
      <x:c r="J890" s="25" t="str">
        <x:v>FAIL</x:v>
      </x:c>
      <x:c r="K890" s="25" t="n">
        <x:v>1</x:v>
      </x:c>
      <x:c r="L890" s="27" t="b">
        <x:v>0</x:v>
      </x:c>
      <x:c r="M890" s="25" t="str">
        <x:v>Deepseek-flash-v4/state/Round2/status/Cli_17.json; Deepseek-flash-v4/state/Round2/shards/Cli_17.json</x:v>
      </x:c>
      <x:c r="N890" s="25" t="str">
        <x:v>Deepseek-flash-v4/Result2/Cli_17/result.json</x:v>
      </x:c>
      <x:c r="O890" s="25" t="str">
        <x:v>Deepseek-flash-v4/Result2/Cli_17/result.json</x:v>
      </x:c>
      <x:c r="P890"/>
      <x:c r="Q890" s="21" t="str"/>
      <x:c r="R890" s="21" t="str"/>
      <x:c r="S890" s="21" t="str"/>
      <x:c r="T890" s="17" t="str">
        <x:v>false</x:v>
      </x:c>
      <x:c r="U890" s="17" t="str">
        <x:v>true</x:v>
      </x:c>
      <x:c r="V890" s="17" t="str">
        <x:v>false</x:v>
      </x:c>
    </x:row>
    <x:row r="891" ht="80" customHeight="1">
      <x:c r="A891" s="25" t="str">
        <x:v>Cli</x:v>
      </x:c>
      <x:c r="B891" s="25" t="n">
        <x:v>18</x:v>
      </x:c>
      <x:c r="C891" s="25" t="str">
        <x:v>Round2</x:v>
      </x:c>
      <x:c r="D891" s="25" t="str">
        <x:v>INCONCLUSIVE</x:v>
      </x:c>
      <x:c r="E891" s="25" t="str">
        <x:v>N/A</x:v>
      </x:c>
      <x:c r="F891" s="26" t="str">
        <x:v>Fixed also failed; assertion failure cannot be attributed to this bug; Same-round generation metadata missing; use saved tests and execution evidence, no failure inferred</x:v>
      </x:c>
      <x:c r="G891" s="25" t="str">
        <x:v>true</x:v>
      </x:c>
      <x:c r="H891" s="25" t="str">
        <x:v>INCONCLUSIVE</x:v>
      </x:c>
      <x:c r="I891" s="25" t="str">
        <x:v>FAIL</x:v>
      </x:c>
      <x:c r="J891" s="25" t="str">
        <x:v>FAIL</x:v>
      </x:c>
      <x:c r="K891" s="25" t="n">
        <x:v>1</x:v>
      </x:c>
      <x:c r="L891" s="27" t="b">
        <x:v>0</x:v>
      </x:c>
      <x:c r="M891" s="25"/>
      <x:c r="N891" s="25" t="str">
        <x:v>Deepseek-flash-v4/Result2/Cli_18/result.json</x:v>
      </x:c>
      <x:c r="O891" s="25" t="str">
        <x:v>Deepseek-flash-v4/Result2/Cli_18/result.json</x:v>
      </x:c>
      <x:c r="P891"/>
      <x:c r="Q891" s="21" t="str"/>
      <x:c r="R891" s="21" t="str"/>
      <x:c r="S891" s="21" t="str"/>
      <x:c r="T891" s="17" t="str">
        <x:v>false</x:v>
      </x:c>
      <x:c r="U891" s="17" t="str">
        <x:v>true</x:v>
      </x:c>
      <x:c r="V891" s="17" t="str">
        <x:v>false</x:v>
      </x:c>
    </x:row>
    <x:row r="892" ht="80" customHeight="1">
      <x:c r="A892" s="25" t="str">
        <x:v>Cli</x:v>
      </x:c>
      <x:c r="B892" s="25" t="n">
        <x:v>19</x:v>
      </x:c>
      <x:c r="C892" s="25" t="str">
        <x:v>Round2</x:v>
      </x:c>
      <x:c r="D892" s="25" t="str">
        <x:v>INCONCLUSIVE</x:v>
      </x:c>
      <x:c r="E892" s="25" t="str">
        <x:v>N/A</x:v>
      </x:c>
      <x:c r="F892" s="26" t="str">
        <x:v>Fixed also failed; assertion failure cannot be attributed to this bug; Same-round generation metadata missing; use saved tests and execution evidence, no failure inferred</x:v>
      </x:c>
      <x:c r="G892" s="25" t="str">
        <x:v>true</x:v>
      </x:c>
      <x:c r="H892" s="25" t="str">
        <x:v>INCONCLUSIVE</x:v>
      </x:c>
      <x:c r="I892" s="25" t="str">
        <x:v>FAIL</x:v>
      </x:c>
      <x:c r="J892" s="25" t="str">
        <x:v>FAIL</x:v>
      </x:c>
      <x:c r="K892" s="25" t="n">
        <x:v>1</x:v>
      </x:c>
      <x:c r="L892" s="27" t="b">
        <x:v>0</x:v>
      </x:c>
      <x:c r="M892" s="25"/>
      <x:c r="N892" s="25" t="str">
        <x:v>Deepseek-flash-v4/Result2/Cli_19/result.json</x:v>
      </x:c>
      <x:c r="O892" s="25" t="str">
        <x:v>Deepseek-flash-v4/Result2/Cli_19/result.json</x:v>
      </x:c>
      <x:c r="P892"/>
      <x:c r="Q892" s="21" t="str"/>
      <x:c r="R892" s="21" t="str"/>
      <x:c r="S892" s="21" t="str"/>
      <x:c r="T892" s="17" t="str">
        <x:v>false</x:v>
      </x:c>
      <x:c r="U892" s="17" t="str">
        <x:v>true</x:v>
      </x:c>
      <x:c r="V892" s="17" t="str">
        <x:v>false</x:v>
      </x:c>
    </x:row>
    <x:row r="893" ht="80" customHeight="1">
      <x:c r="A893" s="25" t="str">
        <x:v>Cli</x:v>
      </x:c>
      <x:c r="B893" s="25" t="n">
        <x:v>2</x:v>
      </x:c>
      <x:c r="C893" s="25" t="str">
        <x:v>Round2</x:v>
      </x:c>
      <x:c r="D893" s="25" t="str">
        <x:v>INCONCLUSIVE</x:v>
      </x:c>
      <x:c r="E893" s="25" t="str">
        <x:v>N/A</x:v>
      </x:c>
      <x:c r="F893" s="26" t="str">
        <x:v>Fixed also failed; assertion failure cannot be attributed to this bug; Same-round generation metadata missing; use saved tests and execution evidence, no failure inferred</x:v>
      </x:c>
      <x:c r="G893" s="25" t="str">
        <x:v>true</x:v>
      </x:c>
      <x:c r="H893" s="25" t="str">
        <x:v>INCONCLUSIVE</x:v>
      </x:c>
      <x:c r="I893" s="25" t="str">
        <x:v>FAIL</x:v>
      </x:c>
      <x:c r="J893" s="25" t="str">
        <x:v>FAIL</x:v>
      </x:c>
      <x:c r="K893" s="25" t="n">
        <x:v>1</x:v>
      </x:c>
      <x:c r="L893" s="27" t="b">
        <x:v>0</x:v>
      </x:c>
      <x:c r="M893" s="25"/>
      <x:c r="N893" s="25" t="str">
        <x:v>Deepseek-flash-v4/Result2/Cli_2/result.json</x:v>
      </x:c>
      <x:c r="O893" s="25" t="str">
        <x:v>Deepseek-flash-v4/Result2/Cli_2/result.json</x:v>
      </x:c>
      <x:c r="P893"/>
      <x:c r="Q893" s="21" t="str"/>
      <x:c r="R893" s="21" t="str"/>
      <x:c r="S893" s="21" t="str"/>
      <x:c r="T893" s="17" t="str">
        <x:v>false</x:v>
      </x:c>
      <x:c r="U893" s="17" t="str">
        <x:v>true</x:v>
      </x:c>
      <x:c r="V893" s="17" t="str">
        <x:v>false</x:v>
      </x:c>
    </x:row>
    <x:row r="894" ht="80" customHeight="1">
      <x:c r="A894" s="25" t="str">
        <x:v>Cli</x:v>
      </x:c>
      <x:c r="B894" s="25" t="n">
        <x:v>20</x:v>
      </x:c>
      <x:c r="C894" s="25" t="str">
        <x:v>Round2</x:v>
      </x:c>
      <x:c r="D894" s="25" t="str">
        <x:v>INCONCLUSIVE</x:v>
      </x:c>
      <x:c r="E894" s="25" t="str">
        <x:v>N/A</x:v>
      </x:c>
      <x:c r="F894" s="26" t="str">
        <x:v>Fixed also failed; assertion failure cannot be attributed to this bug</x:v>
      </x:c>
      <x:c r="G894" s="25" t="str">
        <x:v>true</x:v>
      </x:c>
      <x:c r="H894" s="25" t="str">
        <x:v>INCONCLUSIVE</x:v>
      </x:c>
      <x:c r="I894" s="25" t="str">
        <x:v>FAIL</x:v>
      </x:c>
      <x:c r="J894" s="25" t="str">
        <x:v>FAIL</x:v>
      </x:c>
      <x:c r="K894" s="25" t="n">
        <x:v>1</x:v>
      </x:c>
      <x:c r="L894" s="27" t="b">
        <x:v>0</x:v>
      </x:c>
      <x:c r="M894" s="25" t="str">
        <x:v>Deepseek-flash-v4/state/Round2/status/Cli_20.json; Deepseek-flash-v4/state/Round2/shards/Cli_20.json</x:v>
      </x:c>
      <x:c r="N894" s="25" t="str">
        <x:v>Deepseek-flash-v4/Result2/Cli_20/result.json</x:v>
      </x:c>
      <x:c r="O894" s="25" t="str">
        <x:v>Deepseek-flash-v4/Result2/Cli_20/result.json</x:v>
      </x:c>
      <x:c r="P894"/>
      <x:c r="Q894" s="21" t="str"/>
      <x:c r="R894" s="21" t="str"/>
      <x:c r="S894" s="21" t="str"/>
      <x:c r="T894" s="17" t="str">
        <x:v>false</x:v>
      </x:c>
      <x:c r="U894" s="17" t="str">
        <x:v>true</x:v>
      </x:c>
      <x:c r="V894" s="17" t="str">
        <x:v>false</x:v>
      </x:c>
    </x:row>
    <x:row r="895" ht="80" customHeight="1">
      <x:c r="A895" s="25" t="str">
        <x:v>Cli</x:v>
      </x:c>
      <x:c r="B895" s="25" t="n">
        <x:v>21</x:v>
      </x:c>
      <x:c r="C895" s="25" t="str">
        <x:v>Round2</x:v>
      </x:c>
      <x:c r="D895" s="25" t="str">
        <x:v>NOT_AVAILABLE</x:v>
      </x:c>
      <x:c r="E895" s="25" t="str">
        <x:v>N/A</x:v>
      </x:c>
      <x:c r="F895" s="26" t="str">
        <x:v>Tests exist but current coverage did not complete</x:v>
      </x:c>
      <x:c r="G895" s="25" t="str">
        <x:v>true</x:v>
      </x:c>
      <x:c r="H895" s="25" t="str">
        <x:v>NOT_AVAILABLE</x:v>
      </x:c>
      <x:c r="I895" s="25" t="str">
        <x:v>NOT_RUN</x:v>
      </x:c>
      <x:c r="J895" s="25" t="str">
        <x:v>NOT_RUN</x:v>
      </x:c>
      <x:c r="K895" s="25" t="n">
        <x:v>3</x:v>
      </x:c>
      <x:c r="L895" s="27" t="b">
        <x:v>0</x:v>
      </x:c>
      <x:c r="M895" s="25" t="str">
        <x:v>Deepseek-flash-v4/state/Round2/status/Cli_21.json; Deepseek-flash-v4/state/Round2/shards/Cli_21.json</x:v>
      </x:c>
      <x:c r="N895" s="25" t="str">
        <x:v>Deepseek-flash-v4/Result2/Cli_21/result.json</x:v>
      </x:c>
      <x:c r="O895" s="25" t="str">
        <x:v>Deepseek-flash-v4/Result2/Cli_21/result.json</x:v>
      </x:c>
      <x:c r="P895" t="str">
        <x:v>BOTH_NOT_RUN</x:v>
      </x:c>
      <x:c r="Q895" s="21" t="str"/>
      <x:c r="R895" s="21" t="str"/>
      <x:c r="S895" s="21" t="str"/>
      <x:c r="T895" s="17" t="str">
        <x:v>false</x:v>
      </x:c>
      <x:c r="U895" s="17" t="str">
        <x:v>true</x:v>
      </x:c>
      <x:c r="V895" s="17" t="str">
        <x:v>false</x:v>
      </x:c>
    </x:row>
    <x:row r="896" ht="80" customHeight="1">
      <x:c r="A896" s="25" t="str">
        <x:v>Cli</x:v>
      </x:c>
      <x:c r="B896" s="25" t="n">
        <x:v>22</x:v>
      </x:c>
      <x:c r="C896" s="25" t="str">
        <x:v>Round2</x:v>
      </x:c>
      <x:c r="D896" s="25" t="str">
        <x:v>INCONCLUSIVE</x:v>
      </x:c>
      <x:c r="E896" s="25" t="str">
        <x:v>N/A</x:v>
      </x:c>
      <x:c r="F896" s="26" t="str">
        <x:v>Fixed also failed; assertion failure cannot be attributed to this bug; Same-round generation metadata missing; use saved tests and execution evidence, no failure inferred</x:v>
      </x:c>
      <x:c r="G896" s="25" t="str">
        <x:v>true</x:v>
      </x:c>
      <x:c r="H896" s="25" t="str">
        <x:v>INCONCLUSIVE</x:v>
      </x:c>
      <x:c r="I896" s="25" t="str">
        <x:v>FAIL</x:v>
      </x:c>
      <x:c r="J896" s="25" t="str">
        <x:v>FAIL</x:v>
      </x:c>
      <x:c r="K896" s="25" t="n">
        <x:v>1</x:v>
      </x:c>
      <x:c r="L896" s="27" t="b">
        <x:v>0</x:v>
      </x:c>
      <x:c r="M896" s="25"/>
      <x:c r="N896" s="25" t="str">
        <x:v>Deepseek-flash-v4/Result2/Cli_22/result.json</x:v>
      </x:c>
      <x:c r="O896" s="25" t="str">
        <x:v>Deepseek-flash-v4/Result2/Cli_22/result.json</x:v>
      </x:c>
      <x:c r="P896"/>
      <x:c r="Q896" s="21" t="str"/>
      <x:c r="R896" s="21" t="str"/>
      <x:c r="S896" s="21" t="str"/>
      <x:c r="T896" s="17" t="str">
        <x:v>false</x:v>
      </x:c>
      <x:c r="U896" s="17" t="str">
        <x:v>true</x:v>
      </x:c>
      <x:c r="V896" s="17" t="str">
        <x:v>false</x:v>
      </x:c>
    </x:row>
    <x:row r="897" ht="80" customHeight="1">
      <x:c r="A897" s="25" t="str">
        <x:v>Cli</x:v>
      </x:c>
      <x:c r="B897" s="25" t="n">
        <x:v>23</x:v>
      </x:c>
      <x:c r="C897" s="25" t="str">
        <x:v>Round2</x:v>
      </x:c>
      <x:c r="D897" s="25" t="str">
        <x:v>INCONCLUSIVE</x:v>
      </x:c>
      <x:c r="E897" s="25" t="str">
        <x:v>N/A</x:v>
      </x:c>
      <x:c r="F897" s="26" t="str">
        <x:v>Fixed also failed; assertion failure cannot be attributed to this bug</x:v>
      </x:c>
      <x:c r="G897" s="25" t="str">
        <x:v>true</x:v>
      </x:c>
      <x:c r="H897" s="25" t="str">
        <x:v>INCONCLUSIVE</x:v>
      </x:c>
      <x:c r="I897" s="25" t="str">
        <x:v>FAIL</x:v>
      </x:c>
      <x:c r="J897" s="25" t="str">
        <x:v>FAIL</x:v>
      </x:c>
      <x:c r="K897" s="25" t="n">
        <x:v>1</x:v>
      </x:c>
      <x:c r="L897" s="27" t="b">
        <x:v>0</x:v>
      </x:c>
      <x:c r="M897" s="25" t="str">
        <x:v>Deepseek-flash-v4/state/Round2/status/Cli_23.json; Deepseek-flash-v4/state/Round2/shards/Cli_23.json</x:v>
      </x:c>
      <x:c r="N897" s="25" t="str">
        <x:v>Deepseek-flash-v4/Result2/Cli_23/result.json</x:v>
      </x:c>
      <x:c r="O897" s="25" t="str">
        <x:v>Deepseek-flash-v4/Result2/Cli_23/result.json</x:v>
      </x:c>
      <x:c r="P897"/>
      <x:c r="Q897" s="21" t="str"/>
      <x:c r="R897" s="21" t="str"/>
      <x:c r="S897" s="21" t="str"/>
      <x:c r="T897" s="17" t="str">
        <x:v>false</x:v>
      </x:c>
      <x:c r="U897" s="17" t="str">
        <x:v>true</x:v>
      </x:c>
      <x:c r="V897" s="17" t="str">
        <x:v>false</x:v>
      </x:c>
    </x:row>
    <x:row r="898" ht="80" customHeight="1">
      <x:c r="A898" s="25" t="str">
        <x:v>Cli</x:v>
      </x:c>
      <x:c r="B898" s="25" t="n">
        <x:v>24</x:v>
      </x:c>
      <x:c r="C898" s="25" t="str">
        <x:v>Round2</x:v>
      </x:c>
      <x:c r="D898" s="25" t="str">
        <x:v>INCONCLUSIVE</x:v>
      </x:c>
      <x:c r="E898" s="25" t="str">
        <x:v>N/A</x:v>
      </x:c>
      <x:c r="F898" s="26" t="str">
        <x:v>Fixed also failed; assertion failure cannot be attributed to this bug; Same-round generation metadata missing; use saved tests and execution evidence, no failure inferred</x:v>
      </x:c>
      <x:c r="G898" s="25" t="str">
        <x:v>true</x:v>
      </x:c>
      <x:c r="H898" s="25" t="str">
        <x:v>INCONCLUSIVE</x:v>
      </x:c>
      <x:c r="I898" s="25" t="str">
        <x:v>FAIL</x:v>
      </x:c>
      <x:c r="J898" s="25" t="str">
        <x:v>FAIL</x:v>
      </x:c>
      <x:c r="K898" s="25" t="n">
        <x:v>1</x:v>
      </x:c>
      <x:c r="L898" s="27" t="b">
        <x:v>0</x:v>
      </x:c>
      <x:c r="M898" s="25"/>
      <x:c r="N898" s="25" t="str">
        <x:v>Deepseek-flash-v4/Result2/Cli_24/result.json</x:v>
      </x:c>
      <x:c r="O898" s="25" t="str">
        <x:v>Deepseek-flash-v4/Result2/Cli_24/result.json</x:v>
      </x:c>
      <x:c r="P898"/>
      <x:c r="Q898" s="21" t="str"/>
      <x:c r="R898" s="21" t="str"/>
      <x:c r="S898" s="21" t="str"/>
      <x:c r="T898" s="17" t="str">
        <x:v>false</x:v>
      </x:c>
      <x:c r="U898" s="17" t="str">
        <x:v>true</x:v>
      </x:c>
      <x:c r="V898" s="17" t="str">
        <x:v>false</x:v>
      </x:c>
    </x:row>
    <x:row r="899" ht="80" customHeight="1">
      <x:c r="A899" s="25" t="str">
        <x:v>Cli</x:v>
      </x:c>
      <x:c r="B899" s="25" t="n">
        <x:v>25</x:v>
      </x:c>
      <x:c r="C899" s="25" t="str">
        <x:v>Round2</x:v>
      </x:c>
      <x:c r="D899" s="25" t="str">
        <x:v>INCONCLUSIVE</x:v>
      </x:c>
      <x:c r="E899" s="25" t="str">
        <x:v>N/A</x:v>
      </x:c>
      <x:c r="F899" s="26" t="str">
        <x:v>Fixed also failed; assertion failure cannot be attributed to this bug</x:v>
      </x:c>
      <x:c r="G899" s="25" t="str">
        <x:v>true</x:v>
      </x:c>
      <x:c r="H899" s="25" t="str">
        <x:v>INCONCLUSIVE</x:v>
      </x:c>
      <x:c r="I899" s="25" t="str">
        <x:v>FAIL</x:v>
      </x:c>
      <x:c r="J899" s="25" t="str">
        <x:v>FAIL</x:v>
      </x:c>
      <x:c r="K899" s="25" t="n">
        <x:v>1</x:v>
      </x:c>
      <x:c r="L899" s="27" t="b">
        <x:v>0</x:v>
      </x:c>
      <x:c r="M899" s="25" t="str">
        <x:v>Deepseek-flash-v4/state/Round2/status/Cli_25.json; Deepseek-flash-v4/state/Round2/shards/Cli_25.json</x:v>
      </x:c>
      <x:c r="N899" s="25" t="str">
        <x:v>Deepseek-flash-v4/Result2/Cli_25/result.json</x:v>
      </x:c>
      <x:c r="O899" s="25" t="str">
        <x:v>Deepseek-flash-v4/Result2/Cli_25/result.json</x:v>
      </x:c>
      <x:c r="P899"/>
      <x:c r="Q899" s="21" t="str"/>
      <x:c r="R899" s="21" t="str"/>
      <x:c r="S899" s="21" t="str"/>
      <x:c r="T899" s="17" t="str">
        <x:v>false</x:v>
      </x:c>
      <x:c r="U899" s="17" t="str">
        <x:v>true</x:v>
      </x:c>
      <x:c r="V899" s="17" t="str">
        <x:v>false</x:v>
      </x:c>
    </x:row>
    <x:row r="900" ht="80" customHeight="1">
      <x:c r="A900" s="25" t="str">
        <x:v>Cli</x:v>
      </x:c>
      <x:c r="B900" s="25" t="n">
        <x:v>26</x:v>
      </x:c>
      <x:c r="C900" s="25" t="str">
        <x:v>Round2</x:v>
      </x:c>
      <x:c r="D900" s="25" t="str">
        <x:v>NOT_AVAILABLE</x:v>
      </x:c>
      <x:c r="E900" s="25" t="str">
        <x:v>N/A</x:v>
      </x:c>
      <x:c r="F900" s="26" t="str">
        <x:v>Tests exist but current coverage did not complete</x:v>
      </x:c>
      <x:c r="G900" s="25" t="str">
        <x:v>true</x:v>
      </x:c>
      <x:c r="H900" s="25" t="str">
        <x:v>NOT_AVAILABLE</x:v>
      </x:c>
      <x:c r="I900" s="25" t="str">
        <x:v>NOT_RUN</x:v>
      </x:c>
      <x:c r="J900" s="25" t="str">
        <x:v>NOT_RUN</x:v>
      </x:c>
      <x:c r="K900" s="25" t="n">
        <x:v>1</x:v>
      </x:c>
      <x:c r="L900" s="27" t="b">
        <x:v>0</x:v>
      </x:c>
      <x:c r="M900" s="25" t="str">
        <x:v>Deepseek-flash-v4/state/Round2/status/Cli_26.json; Deepseek-flash-v4/state/Round2/shards/Cli_26.json</x:v>
      </x:c>
      <x:c r="N900" s="25" t="str">
        <x:v>Deepseek-flash-v4/Result2/Cli_26/result.json</x:v>
      </x:c>
      <x:c r="O900" s="25" t="str">
        <x:v>Deepseek-flash-v4/Result2/Cli_26/result.json</x:v>
      </x:c>
      <x:c r="P900" t="str">
        <x:v>BOTH_NOT_RUN</x:v>
      </x:c>
      <x:c r="Q900" s="21" t="str"/>
      <x:c r="R900" s="21" t="str"/>
      <x:c r="S900" s="21" t="str"/>
      <x:c r="T900" s="17" t="str">
        <x:v>false</x:v>
      </x:c>
      <x:c r="U900" s="17" t="str">
        <x:v>true</x:v>
      </x:c>
      <x:c r="V900" s="17" t="str">
        <x:v>false</x:v>
      </x:c>
    </x:row>
    <x:row r="901" ht="80" customHeight="1">
      <x:c r="A901" s="25" t="str">
        <x:v>Cli</x:v>
      </x:c>
      <x:c r="B901" s="25" t="n">
        <x:v>27</x:v>
      </x:c>
      <x:c r="C901" s="25" t="str">
        <x:v>Round2</x:v>
      </x:c>
      <x:c r="D901" s="25" t="str">
        <x:v>INCONCLUSIVE</x:v>
      </x:c>
      <x:c r="E901" s="25" t="str">
        <x:v>N/A</x:v>
      </x:c>
      <x:c r="F901" s="26" t="str">
        <x:v>Fixed also failed; assertion failure cannot be attributed to this bug; Same-round generation metadata missing; use saved tests and execution evidence, no failure inferred</x:v>
      </x:c>
      <x:c r="G901" s="25" t="str">
        <x:v>true</x:v>
      </x:c>
      <x:c r="H901" s="25" t="str">
        <x:v>INCONCLUSIVE</x:v>
      </x:c>
      <x:c r="I901" s="25" t="str">
        <x:v>FAIL</x:v>
      </x:c>
      <x:c r="J901" s="25" t="str">
        <x:v>FAIL</x:v>
      </x:c>
      <x:c r="K901" s="25" t="n">
        <x:v>1</x:v>
      </x:c>
      <x:c r="L901" s="27" t="b">
        <x:v>0</x:v>
      </x:c>
      <x:c r="M901" s="25"/>
      <x:c r="N901" s="25" t="str">
        <x:v>Deepseek-flash-v4/Result2/Cli_27/result.json</x:v>
      </x:c>
      <x:c r="O901" s="25" t="str">
        <x:v>Deepseek-flash-v4/Result2/Cli_27/result.json</x:v>
      </x:c>
      <x:c r="P901"/>
      <x:c r="Q901" s="21" t="str"/>
      <x:c r="R901" s="21" t="str"/>
      <x:c r="S901" s="21" t="str"/>
      <x:c r="T901" s="17" t="str">
        <x:v>false</x:v>
      </x:c>
      <x:c r="U901" s="17" t="str">
        <x:v>true</x:v>
      </x:c>
      <x:c r="V901" s="17" t="str">
        <x:v>false</x:v>
      </x:c>
    </x:row>
    <x:row r="902" ht="80" customHeight="1">
      <x:c r="A902" s="25" t="str">
        <x:v>Cli</x:v>
      </x:c>
      <x:c r="B902" s="25" t="n">
        <x:v>28</x:v>
      </x:c>
      <x:c r="C902" s="25" t="str">
        <x:v>Round2</x:v>
      </x:c>
      <x:c r="D902" s="25" t="str">
        <x:v>INCONCLUSIVE</x:v>
      </x:c>
      <x:c r="E902" s="25" t="str">
        <x:v>N/A</x:v>
      </x:c>
      <x:c r="F902" s="26" t="str">
        <x:v>Fixed also failed; assertion failure cannot be attributed to this bug</x:v>
      </x:c>
      <x:c r="G902" s="25" t="str">
        <x:v>true</x:v>
      </x:c>
      <x:c r="H902" s="25" t="str">
        <x:v>INCONCLUSIVE</x:v>
      </x:c>
      <x:c r="I902" s="25" t="str">
        <x:v>FAIL</x:v>
      </x:c>
      <x:c r="J902" s="25" t="str">
        <x:v>FAIL</x:v>
      </x:c>
      <x:c r="K902" s="25" t="n">
        <x:v>1</x:v>
      </x:c>
      <x:c r="L902" s="27" t="b">
        <x:v>0</x:v>
      </x:c>
      <x:c r="M902" s="25" t="str">
        <x:v>Deepseek-flash-v4/state/Round2/status/Cli_28.json; Deepseek-flash-v4/state/Round2/shards/Cli_28.json</x:v>
      </x:c>
      <x:c r="N902" s="25" t="str">
        <x:v>Deepseek-flash-v4/Result2/Cli_28/result.json</x:v>
      </x:c>
      <x:c r="O902" s="25" t="str">
        <x:v>Deepseek-flash-v4/Result2/Cli_28/result.json</x:v>
      </x:c>
      <x:c r="P902"/>
      <x:c r="Q902" s="21" t="str"/>
      <x:c r="R902" s="21" t="str"/>
      <x:c r="S902" s="21" t="str"/>
      <x:c r="T902" s="17" t="str">
        <x:v>false</x:v>
      </x:c>
      <x:c r="U902" s="17" t="str">
        <x:v>true</x:v>
      </x:c>
      <x:c r="V902" s="17" t="str">
        <x:v>false</x:v>
      </x:c>
    </x:row>
    <x:row r="903" ht="80" customHeight="1">
      <x:c r="A903" s="25" t="str">
        <x:v>Cli</x:v>
      </x:c>
      <x:c r="B903" s="25" t="n">
        <x:v>29</x:v>
      </x:c>
      <x:c r="C903" s="25" t="str">
        <x:v>Round2</x:v>
      </x:c>
      <x:c r="D903" s="25" t="str">
        <x:v>INCONCLUSIVE</x:v>
      </x:c>
      <x:c r="E903" s="25" t="str">
        <x:v>N/A</x:v>
      </x:c>
      <x:c r="F903" s="26" t="str">
        <x:v>Fixed also failed; assertion failure cannot be attributed to this bug; Same-round generation metadata missing; use saved tests and execution evidence, no failure inferred</x:v>
      </x:c>
      <x:c r="G903" s="25" t="str">
        <x:v>true</x:v>
      </x:c>
      <x:c r="H903" s="25" t="str">
        <x:v>INCONCLUSIVE</x:v>
      </x:c>
      <x:c r="I903" s="25" t="str">
        <x:v>FAIL</x:v>
      </x:c>
      <x:c r="J903" s="25" t="str">
        <x:v>FAIL</x:v>
      </x:c>
      <x:c r="K903" s="25" t="n">
        <x:v>1</x:v>
      </x:c>
      <x:c r="L903" s="27" t="b">
        <x:v>0</x:v>
      </x:c>
      <x:c r="M903" s="25"/>
      <x:c r="N903" s="25" t="str">
        <x:v>Deepseek-flash-v4/Result2/Cli_29/result.json</x:v>
      </x:c>
      <x:c r="O903" s="25" t="str">
        <x:v>Deepseek-flash-v4/Result2/Cli_29/result.json</x:v>
      </x:c>
      <x:c r="P903"/>
      <x:c r="Q903" s="21" t="str"/>
      <x:c r="R903" s="21" t="str"/>
      <x:c r="S903" s="21" t="str"/>
      <x:c r="T903" s="17" t="str">
        <x:v>false</x:v>
      </x:c>
      <x:c r="U903" s="17" t="str">
        <x:v>true</x:v>
      </x:c>
      <x:c r="V903" s="17" t="str">
        <x:v>false</x:v>
      </x:c>
    </x:row>
    <x:row r="904" ht="80" customHeight="1">
      <x:c r="A904" s="25" t="str">
        <x:v>Cli</x:v>
      </x:c>
      <x:c r="B904" s="25" t="n">
        <x:v>3</x:v>
      </x:c>
      <x:c r="C904" s="25" t="str">
        <x:v>Round2</x:v>
      </x:c>
      <x:c r="D904" s="25" t="str">
        <x:v>INCONCLUSIVE</x:v>
      </x:c>
      <x:c r="E904" s="25" t="str">
        <x:v>N/A</x:v>
      </x:c>
      <x:c r="F904" s="26" t="str">
        <x:v>Fixed also failed; assertion failure cannot be attributed to this bug; Same-round generation metadata missing; use saved tests and execution evidence, no failure inferred</x:v>
      </x:c>
      <x:c r="G904" s="25" t="str">
        <x:v>true</x:v>
      </x:c>
      <x:c r="H904" s="25" t="str">
        <x:v>INCONCLUSIVE</x:v>
      </x:c>
      <x:c r="I904" s="25" t="str">
        <x:v>FAIL</x:v>
      </x:c>
      <x:c r="J904" s="25" t="str">
        <x:v>FAIL</x:v>
      </x:c>
      <x:c r="K904" s="25" t="n">
        <x:v>1</x:v>
      </x:c>
      <x:c r="L904" s="27" t="b">
        <x:v>0</x:v>
      </x:c>
      <x:c r="M904" s="25"/>
      <x:c r="N904" s="25" t="str">
        <x:v>Deepseek-flash-v4/Result2/Cli_3/result.json</x:v>
      </x:c>
      <x:c r="O904" s="25" t="str">
        <x:v>Deepseek-flash-v4/Result2/Cli_3/result.json</x:v>
      </x:c>
      <x:c r="P904"/>
      <x:c r="Q904" s="21" t="str"/>
      <x:c r="R904" s="21" t="str"/>
      <x:c r="S904" s="21" t="str"/>
      <x:c r="T904" s="17" t="str">
        <x:v>false</x:v>
      </x:c>
      <x:c r="U904" s="17" t="str">
        <x:v>true</x:v>
      </x:c>
      <x:c r="V904" s="17" t="str">
        <x:v>false</x:v>
      </x:c>
    </x:row>
    <x:row r="905" ht="80" customHeight="1">
      <x:c r="A905" s="25" t="str">
        <x:v>Cli</x:v>
      </x:c>
      <x:c r="B905" s="25" t="n">
        <x:v>30</x:v>
      </x:c>
      <x:c r="C905" s="25" t="str">
        <x:v>Round2</x:v>
      </x:c>
      <x:c r="D905" s="25" t="str">
        <x:v>INCONCLUSIVE</x:v>
      </x:c>
      <x:c r="E905" s="25" t="str">
        <x:v>N/A</x:v>
      </x:c>
      <x:c r="F905" s="26" t="str">
        <x:v>Fixed also failed; assertion failure cannot be attributed to this bug</x:v>
      </x:c>
      <x:c r="G905" s="25" t="str">
        <x:v>true</x:v>
      </x:c>
      <x:c r="H905" s="25" t="str">
        <x:v>INCONCLUSIVE</x:v>
      </x:c>
      <x:c r="I905" s="25" t="str">
        <x:v>FAIL</x:v>
      </x:c>
      <x:c r="J905" s="25" t="str">
        <x:v>FAIL</x:v>
      </x:c>
      <x:c r="K905" s="25" t="n">
        <x:v>2</x:v>
      </x:c>
      <x:c r="L905" s="27" t="b">
        <x:v>0</x:v>
      </x:c>
      <x:c r="M905" s="25" t="str">
        <x:v>Deepseek-flash-v4/state/Round2/status/Cli_30.json; Deepseek-flash-v4/state/Round2/shards/Cli_30.json</x:v>
      </x:c>
      <x:c r="N905" s="25" t="str">
        <x:v>Deepseek-flash-v4/Result2/Cli_30/result.json</x:v>
      </x:c>
      <x:c r="O905" s="25" t="str">
        <x:v>Deepseek-flash-v4/Result2/Cli_30/result.json</x:v>
      </x:c>
      <x:c r="P905"/>
      <x:c r="Q905" s="21" t="str"/>
      <x:c r="R905" s="21" t="str"/>
      <x:c r="S905" s="21" t="str"/>
      <x:c r="T905" s="17" t="str">
        <x:v>false</x:v>
      </x:c>
      <x:c r="U905" s="17" t="str">
        <x:v>true</x:v>
      </x:c>
      <x:c r="V905" s="17" t="str">
        <x:v>false</x:v>
      </x:c>
    </x:row>
    <x:row r="906" ht="80" customHeight="1">
      <x:c r="A906" s="25" t="str">
        <x:v>Cli</x:v>
      </x:c>
      <x:c r="B906" s="25" t="n">
        <x:v>31</x:v>
      </x:c>
      <x:c r="C906" s="25" t="str">
        <x:v>Round2</x:v>
      </x:c>
      <x:c r="D906" s="25" t="str">
        <x:v>NOT_AVAILABLE</x:v>
      </x:c>
      <x:c r="E906" s="25" t="str">
        <x:v>N/A</x:v>
      </x:c>
      <x:c r="F906" s="26" t="str">
        <x:v>Tests exist but current coverage did not complete</x:v>
      </x:c>
      <x:c r="G906" s="25" t="str">
        <x:v>true</x:v>
      </x:c>
      <x:c r="H906" s="25" t="str">
        <x:v>NOT_AVAILABLE</x:v>
      </x:c>
      <x:c r="I906" s="25" t="str">
        <x:v>NOT_RUN</x:v>
      </x:c>
      <x:c r="J906" s="25" t="str">
        <x:v>NOT_RUN</x:v>
      </x:c>
      <x:c r="K906" s="25" t="n">
        <x:v>3</x:v>
      </x:c>
      <x:c r="L906" s="27" t="b">
        <x:v>0</x:v>
      </x:c>
      <x:c r="M906" s="25" t="str">
        <x:v>Deepseek-flash-v4/state/Round2/status/Cli_31.json; Deepseek-flash-v4/state/Round2/shards/Cli_31.json</x:v>
      </x:c>
      <x:c r="N906" s="25" t="str">
        <x:v>Deepseek-flash-v4/Result2/Cli_31/result.json</x:v>
      </x:c>
      <x:c r="O906" s="25" t="str">
        <x:v>Deepseek-flash-v4/Result2/Cli_31/result.json</x:v>
      </x:c>
      <x:c r="P906" t="str">
        <x:v>BOTH_NOT_RUN</x:v>
      </x:c>
      <x:c r="Q906" s="21" t="str"/>
      <x:c r="R906" s="21" t="str"/>
      <x:c r="S906" s="21" t="str"/>
      <x:c r="T906" s="17" t="str">
        <x:v>false</x:v>
      </x:c>
      <x:c r="U906" s="17" t="str">
        <x:v>true</x:v>
      </x:c>
      <x:c r="V906" s="17" t="str">
        <x:v>false</x:v>
      </x:c>
    </x:row>
    <x:row r="907" ht="80" customHeight="1">
      <x:c r="A907" s="25" t="str">
        <x:v>Cli</x:v>
      </x:c>
      <x:c r="B907" s="25" t="n">
        <x:v>32</x:v>
      </x:c>
      <x:c r="C907" s="25" t="str">
        <x:v>Round2</x:v>
      </x:c>
      <x:c r="D907" s="25" t="str">
        <x:v>INCONCLUSIVE</x:v>
      </x:c>
      <x:c r="E907" s="25" t="str">
        <x:v>N/A</x:v>
      </x:c>
      <x:c r="F907" s="26" t="str">
        <x:v>Fixed also failed; assertion failure cannot be attributed to this bug</x:v>
      </x:c>
      <x:c r="G907" s="25" t="str">
        <x:v>true</x:v>
      </x:c>
      <x:c r="H907" s="25" t="str">
        <x:v>INCONCLUSIVE</x:v>
      </x:c>
      <x:c r="I907" s="25" t="str">
        <x:v>FAIL</x:v>
      </x:c>
      <x:c r="J907" s="25" t="str">
        <x:v>FAIL</x:v>
      </x:c>
      <x:c r="K907" s="25" t="n">
        <x:v>1</x:v>
      </x:c>
      <x:c r="L907" s="27" t="b">
        <x:v>0</x:v>
      </x:c>
      <x:c r="M907" s="25" t="str">
        <x:v>Deepseek-flash-v4/state/Round2/status/Cli_32.json; Deepseek-flash-v4/state/Round2/shards/Cli_32.json</x:v>
      </x:c>
      <x:c r="N907" s="25" t="str">
        <x:v>Deepseek-flash-v4/Result2/Cli_32/result.json</x:v>
      </x:c>
      <x:c r="O907" s="25" t="str">
        <x:v>Deepseek-flash-v4/Result2/Cli_32/result.json</x:v>
      </x:c>
      <x:c r="P907"/>
      <x:c r="Q907" s="21" t="str"/>
      <x:c r="R907" s="21" t="str"/>
      <x:c r="S907" s="21" t="str"/>
      <x:c r="T907" s="17" t="str">
        <x:v>false</x:v>
      </x:c>
      <x:c r="U907" s="17" t="str">
        <x:v>true</x:v>
      </x:c>
      <x:c r="V907" s="17" t="str">
        <x:v>false</x:v>
      </x:c>
    </x:row>
    <x:row r="908" ht="80" customHeight="1">
      <x:c r="A908" s="25" t="str">
        <x:v>Cli</x:v>
      </x:c>
      <x:c r="B908" s="25" t="n">
        <x:v>33</x:v>
      </x:c>
      <x:c r="C908" s="25" t="str">
        <x:v>Round2</x:v>
      </x:c>
      <x:c r="D908" s="25" t="str">
        <x:v>INCONCLUSIVE</x:v>
      </x:c>
      <x:c r="E908" s="25" t="str">
        <x:v>N/A</x:v>
      </x:c>
      <x:c r="F908" s="26" t="str">
        <x:v>Fixed also failed; assertion failure cannot be attributed to this bug; Same-round generation metadata missing; use saved tests and execution evidence, no failure inferred</x:v>
      </x:c>
      <x:c r="G908" s="25" t="str">
        <x:v>true</x:v>
      </x:c>
      <x:c r="H908" s="25" t="str">
        <x:v>INCONCLUSIVE</x:v>
      </x:c>
      <x:c r="I908" s="25" t="str">
        <x:v>FAIL</x:v>
      </x:c>
      <x:c r="J908" s="25" t="str">
        <x:v>FAIL</x:v>
      </x:c>
      <x:c r="K908" s="25" t="n">
        <x:v>1</x:v>
      </x:c>
      <x:c r="L908" s="27" t="b">
        <x:v>0</x:v>
      </x:c>
      <x:c r="M908" s="25"/>
      <x:c r="N908" s="25" t="str">
        <x:v>Deepseek-flash-v4/Result2/Cli_33/result.json</x:v>
      </x:c>
      <x:c r="O908" s="25" t="str">
        <x:v>Deepseek-flash-v4/Result2/Cli_33/result.json</x:v>
      </x:c>
      <x:c r="P908"/>
      <x:c r="Q908" s="21" t="str"/>
      <x:c r="R908" s="21" t="str"/>
      <x:c r="S908" s="21" t="str"/>
      <x:c r="T908" s="17" t="str">
        <x:v>false</x:v>
      </x:c>
      <x:c r="U908" s="17" t="str">
        <x:v>true</x:v>
      </x:c>
      <x:c r="V908" s="17" t="str">
        <x:v>false</x:v>
      </x:c>
    </x:row>
    <x:row r="909" ht="80" customHeight="1">
      <x:c r="A909" s="25" t="str">
        <x:v>Cli</x:v>
      </x:c>
      <x:c r="B909" s="25" t="n">
        <x:v>34</x:v>
      </x:c>
      <x:c r="C909" s="25" t="str">
        <x:v>Round2</x:v>
      </x:c>
      <x:c r="D909" s="25" t="str">
        <x:v>NOT_AVAILABLE</x:v>
      </x:c>
      <x:c r="E909" s="25" t="str">
        <x:v>N/A</x:v>
      </x:c>
      <x:c r="F909" s="26" t="str">
        <x:v>Tests exist but current coverage did not complete</x:v>
      </x:c>
      <x:c r="G909" s="25" t="str">
        <x:v>true</x:v>
      </x:c>
      <x:c r="H909" s="25" t="str">
        <x:v>NOT_AVAILABLE</x:v>
      </x:c>
      <x:c r="I909" s="25" t="str">
        <x:v>NOT_RUN</x:v>
      </x:c>
      <x:c r="J909" s="25" t="str">
        <x:v>NOT_RUN</x:v>
      </x:c>
      <x:c r="K909" s="25" t="n">
        <x:v>2</x:v>
      </x:c>
      <x:c r="L909" s="27" t="b">
        <x:v>0</x:v>
      </x:c>
      <x:c r="M909" s="25" t="str">
        <x:v>Deepseek-flash-v4/state/Round2/status/Cli_34.json; Deepseek-flash-v4/state/Round2/shards/Cli_34.json</x:v>
      </x:c>
      <x:c r="N909" s="25" t="str">
        <x:v>Deepseek-flash-v4/Result2/Cli_34/result.json</x:v>
      </x:c>
      <x:c r="O909" s="25" t="str">
        <x:v>Deepseek-flash-v4/Result2/Cli_34/result.json</x:v>
      </x:c>
      <x:c r="P909" t="str">
        <x:v>BOTH_NOT_RUN</x:v>
      </x:c>
      <x:c r="Q909" s="21" t="str"/>
      <x:c r="R909" s="21" t="str"/>
      <x:c r="S909" s="21" t="str"/>
      <x:c r="T909" s="17" t="str">
        <x:v>false</x:v>
      </x:c>
      <x:c r="U909" s="17" t="str">
        <x:v>true</x:v>
      </x:c>
      <x:c r="V909" s="17" t="str">
        <x:v>false</x:v>
      </x:c>
    </x:row>
    <x:row r="910" ht="80" customHeight="1">
      <x:c r="A910" s="25" t="str">
        <x:v>Cli</x:v>
      </x:c>
      <x:c r="B910" s="25" t="n">
        <x:v>35</x:v>
      </x:c>
      <x:c r="C910" s="25" t="str">
        <x:v>Round2</x:v>
      </x:c>
      <x:c r="D910" s="25" t="str">
        <x:v>INCONCLUSIVE</x:v>
      </x:c>
      <x:c r="E910" s="25" t="str">
        <x:v>N/A</x:v>
      </x:c>
      <x:c r="F910" s="26" t="str">
        <x:v>Fixed also failed; assertion failure cannot be attributed to this bug; Same-round generation metadata missing; use saved tests and execution evidence, no failure inferred</x:v>
      </x:c>
      <x:c r="G910" s="25" t="str">
        <x:v>true</x:v>
      </x:c>
      <x:c r="H910" s="25" t="str">
        <x:v>INCONCLUSIVE</x:v>
      </x:c>
      <x:c r="I910" s="25" t="str">
        <x:v>FAIL</x:v>
      </x:c>
      <x:c r="J910" s="25" t="str">
        <x:v>FAIL</x:v>
      </x:c>
      <x:c r="K910" s="25" t="n">
        <x:v>1</x:v>
      </x:c>
      <x:c r="L910" s="27" t="b">
        <x:v>0</x:v>
      </x:c>
      <x:c r="M910" s="25"/>
      <x:c r="N910" s="25" t="str">
        <x:v>Deepseek-flash-v4/Result2/Cli_35/result.json</x:v>
      </x:c>
      <x:c r="O910" s="25" t="str">
        <x:v>Deepseek-flash-v4/Result2/Cli_35/result.json</x:v>
      </x:c>
      <x:c r="P910"/>
      <x:c r="Q910" s="21" t="str"/>
      <x:c r="R910" s="21" t="str"/>
      <x:c r="S910" s="21" t="str"/>
      <x:c r="T910" s="17" t="str">
        <x:v>false</x:v>
      </x:c>
      <x:c r="U910" s="17" t="str">
        <x:v>true</x:v>
      </x:c>
      <x:c r="V910" s="17" t="str">
        <x:v>false</x:v>
      </x:c>
    </x:row>
    <x:row r="911" ht="80" customHeight="1">
      <x:c r="A911" s="25" t="str">
        <x:v>Cli</x:v>
      </x:c>
      <x:c r="B911" s="25" t="n">
        <x:v>36</x:v>
      </x:c>
      <x:c r="C911" s="25" t="str">
        <x:v>Round2</x:v>
      </x:c>
      <x:c r="D911" s="25" t="str">
        <x:v>NOT_AVAILABLE</x:v>
      </x:c>
      <x:c r="E911" s="25" t="str">
        <x:v>N/A</x:v>
      </x:c>
      <x:c r="F911" s="26" t="str">
        <x:v>Tests exist but current coverage did not complete</x:v>
      </x:c>
      <x:c r="G911" s="25" t="str">
        <x:v>true</x:v>
      </x:c>
      <x:c r="H911" s="25" t="str">
        <x:v>NOT_AVAILABLE</x:v>
      </x:c>
      <x:c r="I911" s="25" t="str">
        <x:v>NOT_RUN</x:v>
      </x:c>
      <x:c r="J911" s="25" t="str">
        <x:v>NOT_RUN</x:v>
      </x:c>
      <x:c r="K911" s="25" t="n">
        <x:v>2</x:v>
      </x:c>
      <x:c r="L911" s="27" t="b">
        <x:v>0</x:v>
      </x:c>
      <x:c r="M911" s="25" t="str">
        <x:v>Deepseek-flash-v4/state/Round2/status/Cli_36.json; Deepseek-flash-v4/state/Round2/shards/Cli_36.json</x:v>
      </x:c>
      <x:c r="N911" s="25" t="str">
        <x:v>Deepseek-flash-v4/Result2/Cli_36/result.json</x:v>
      </x:c>
      <x:c r="O911" s="25" t="str">
        <x:v>Deepseek-flash-v4/Result2/Cli_36/result.json</x:v>
      </x:c>
      <x:c r="P911" t="str">
        <x:v>BOTH_NOT_RUN</x:v>
      </x:c>
      <x:c r="Q911" s="21" t="str"/>
      <x:c r="R911" s="21" t="str"/>
      <x:c r="S911" s="21" t="str"/>
      <x:c r="T911" s="17" t="str">
        <x:v>false</x:v>
      </x:c>
      <x:c r="U911" s="17" t="str">
        <x:v>true</x:v>
      </x:c>
      <x:c r="V911" s="17" t="str">
        <x:v>false</x:v>
      </x:c>
    </x:row>
    <x:row r="912" ht="80" customHeight="1">
      <x:c r="A912" s="25" t="str">
        <x:v>Cli</x:v>
      </x:c>
      <x:c r="B912" s="25" t="n">
        <x:v>37</x:v>
      </x:c>
      <x:c r="C912" s="25" t="str">
        <x:v>Round2</x:v>
      </x:c>
      <x:c r="D912" s="25" t="str">
        <x:v>NOT_REVEALING</x:v>
      </x:c>
      <x:c r="E912" s="25" t="str">
        <x:v>N/A</x:v>
      </x:c>
      <x:c r="F912" s="26" t="str">
        <x:v>Same saved validation suite passed on buggy and fixed</x:v>
      </x:c>
      <x:c r="G912" s="25" t="str">
        <x:v>true</x:v>
      </x:c>
      <x:c r="H912" s="25" t="str">
        <x:v>NOT_REVEALING</x:v>
      </x:c>
      <x:c r="I912" s="25" t="str">
        <x:v>PASS</x:v>
      </x:c>
      <x:c r="J912" s="25" t="str">
        <x:v>PASS</x:v>
      </x:c>
      <x:c r="K912" s="25" t="n">
        <x:v>1</x:v>
      </x:c>
      <x:c r="L912" s="27" t="b">
        <x:v>0</x:v>
      </x:c>
      <x:c r="M912" s="25" t="str">
        <x:v>Deepseek-flash-v4/state/Round2/status/Cli_37.json; Deepseek-flash-v4/state/Round2/shards/Cli_37.json</x:v>
      </x:c>
      <x:c r="N912" s="25" t="str">
        <x:v>Deepseek-flash-v4/Result2/Cli_37/result.json</x:v>
      </x:c>
      <x:c r="O912" s="25" t="str">
        <x:v>Deepseek-flash-v4/Result2/Cli_37/result.json</x:v>
      </x:c>
      <x:c r="P912"/>
      <x:c r="Q912" s="21" t="str"/>
      <x:c r="R912" s="21" t="str"/>
      <x:c r="S912" s="21" t="str"/>
      <x:c r="T912" s="17" t="str">
        <x:v>false</x:v>
      </x:c>
      <x:c r="U912" s="17" t="str">
        <x:v>true</x:v>
      </x:c>
      <x:c r="V912" s="17" t="str">
        <x:v>false</x:v>
      </x:c>
    </x:row>
    <x:row r="913" ht="80" customHeight="1">
      <x:c r="A913" s="25" t="str">
        <x:v>Cli</x:v>
      </x:c>
      <x:c r="B913" s="25" t="n">
        <x:v>38</x:v>
      </x:c>
      <x:c r="C913" s="25" t="str">
        <x:v>Round2</x:v>
      </x:c>
      <x:c r="D913" s="25" t="str">
        <x:v>NOT_REVEALING</x:v>
      </x:c>
      <x:c r="E913" s="25" t="str">
        <x:v>N/A</x:v>
      </x:c>
      <x:c r="F913" s="26" t="str">
        <x:v>Same saved validation suite passed on buggy and fixed</x:v>
      </x:c>
      <x:c r="G913" s="25" t="str">
        <x:v>true</x:v>
      </x:c>
      <x:c r="H913" s="25" t="str">
        <x:v>NOT_REVEALING</x:v>
      </x:c>
      <x:c r="I913" s="25" t="str">
        <x:v>PASS</x:v>
      </x:c>
      <x:c r="J913" s="25" t="str">
        <x:v>PASS</x:v>
      </x:c>
      <x:c r="K913" s="25" t="n">
        <x:v>1</x:v>
      </x:c>
      <x:c r="L913" s="27" t="b">
        <x:v>0</x:v>
      </x:c>
      <x:c r="M913" s="25" t="str">
        <x:v>Deepseek-flash-v4/state/Round2/status/Cli_38.json; Deepseek-flash-v4/state/Round2/shards/Cli_38.json</x:v>
      </x:c>
      <x:c r="N913" s="25" t="str">
        <x:v>Deepseek-flash-v4/Result2/Cli_38/result.json</x:v>
      </x:c>
      <x:c r="O913" s="25" t="str">
        <x:v>Deepseek-flash-v4/Result2/Cli_38/result.json</x:v>
      </x:c>
      <x:c r="P913"/>
      <x:c r="Q913" s="21" t="str"/>
      <x:c r="R913" s="21" t="str"/>
      <x:c r="S913" s="21" t="str"/>
      <x:c r="T913" s="17" t="str">
        <x:v>false</x:v>
      </x:c>
      <x:c r="U913" s="17" t="str">
        <x:v>true</x:v>
      </x:c>
      <x:c r="V913" s="17" t="str">
        <x:v>false</x:v>
      </x:c>
    </x:row>
    <x:row r="914" ht="80" customHeight="1">
      <x:c r="A914" s="25" t="str">
        <x:v>Cli</x:v>
      </x:c>
      <x:c r="B914" s="25" t="n">
        <x:v>39</x:v>
      </x:c>
      <x:c r="C914" s="25" t="str">
        <x:v>Round2</x:v>
      </x:c>
      <x:c r="D914" s="25" t="str">
        <x:v>INCONCLUSIVE</x:v>
      </x:c>
      <x:c r="E914" s="25" t="str">
        <x:v>N/A</x:v>
      </x:c>
      <x:c r="F914" s="26" t="str">
        <x:v>Fixed also failed; assertion failure cannot be attributed to this bug; Same-round generation metadata missing; use saved tests and execution evidence, no failure inferred</x:v>
      </x:c>
      <x:c r="G914" s="25" t="str">
        <x:v>true</x:v>
      </x:c>
      <x:c r="H914" s="25" t="str">
        <x:v>INCONCLUSIVE</x:v>
      </x:c>
      <x:c r="I914" s="25" t="str">
        <x:v>FAIL</x:v>
      </x:c>
      <x:c r="J914" s="25" t="str">
        <x:v>FAIL</x:v>
      </x:c>
      <x:c r="K914" s="25" t="n">
        <x:v>1</x:v>
      </x:c>
      <x:c r="L914" s="27" t="b">
        <x:v>0</x:v>
      </x:c>
      <x:c r="M914" s="25"/>
      <x:c r="N914" s="25" t="str">
        <x:v>Deepseek-flash-v4/Result2/Cli_39/result.json</x:v>
      </x:c>
      <x:c r="O914" s="25" t="str">
        <x:v>Deepseek-flash-v4/Result2/Cli_39/result.json</x:v>
      </x:c>
      <x:c r="P914"/>
      <x:c r="Q914" s="21" t="str"/>
      <x:c r="R914" s="21" t="str"/>
      <x:c r="S914" s="21" t="str"/>
      <x:c r="T914" s="17" t="str">
        <x:v>false</x:v>
      </x:c>
      <x:c r="U914" s="17" t="str">
        <x:v>true</x:v>
      </x:c>
      <x:c r="V914" s="17" t="str">
        <x:v>false</x:v>
      </x:c>
    </x:row>
    <x:row r="915" ht="80" customHeight="1">
      <x:c r="A915" s="25" t="str">
        <x:v>Cli</x:v>
      </x:c>
      <x:c r="B915" s="25" t="n">
        <x:v>4</x:v>
      </x:c>
      <x:c r="C915" s="25" t="str">
        <x:v>Round2</x:v>
      </x:c>
      <x:c r="D915" s="25" t="str">
        <x:v>INCONCLUSIVE</x:v>
      </x:c>
      <x:c r="E915" s="25" t="str">
        <x:v>N/A</x:v>
      </x:c>
      <x:c r="F915" s="26" t="str">
        <x:v>Fixed also failed; assertion failure cannot be attributed to this bug; Same-round generation metadata missing; use saved tests and execution evidence, no failure inferred</x:v>
      </x:c>
      <x:c r="G915" s="25" t="str">
        <x:v>true</x:v>
      </x:c>
      <x:c r="H915" s="25" t="str">
        <x:v>INCONCLUSIVE</x:v>
      </x:c>
      <x:c r="I915" s="25" t="str">
        <x:v>FAIL</x:v>
      </x:c>
      <x:c r="J915" s="25" t="str">
        <x:v>FAIL</x:v>
      </x:c>
      <x:c r="K915" s="25" t="n">
        <x:v>1</x:v>
      </x:c>
      <x:c r="L915" s="27" t="b">
        <x:v>0</x:v>
      </x:c>
      <x:c r="M915" s="25"/>
      <x:c r="N915" s="25" t="str">
        <x:v>Deepseek-flash-v4/Result2/Cli_4/result.json</x:v>
      </x:c>
      <x:c r="O915" s="25" t="str">
        <x:v>Deepseek-flash-v4/Result2/Cli_4/result.json</x:v>
      </x:c>
      <x:c r="P915"/>
      <x:c r="Q915" s="21" t="str"/>
      <x:c r="R915" s="21" t="str"/>
      <x:c r="S915" s="21" t="str"/>
      <x:c r="T915" s="17" t="str">
        <x:v>false</x:v>
      </x:c>
      <x:c r="U915" s="17" t="str">
        <x:v>true</x:v>
      </x:c>
      <x:c r="V915" s="17" t="str">
        <x:v>false</x:v>
      </x:c>
    </x:row>
    <x:row r="916" ht="80" customHeight="1">
      <x:c r="A916" s="25" t="str">
        <x:v>Cli</x:v>
      </x:c>
      <x:c r="B916" s="25" t="n">
        <x:v>40</x:v>
      </x:c>
      <x:c r="C916" s="25" t="str">
        <x:v>Round2</x:v>
      </x:c>
      <x:c r="D916" s="25" t="str">
        <x:v>NOT_AVAILABLE</x:v>
      </x:c>
      <x:c r="E916" s="25" t="str">
        <x:v>N/A</x:v>
      </x:c>
      <x:c r="F916" s="26" t="str">
        <x:v>Tests exist but current coverage did not complete</x:v>
      </x:c>
      <x:c r="G916" s="25" t="str">
        <x:v>true</x:v>
      </x:c>
      <x:c r="H916" s="25" t="str">
        <x:v>NOT_AVAILABLE</x:v>
      </x:c>
      <x:c r="I916" s="25" t="str">
        <x:v>NOT_RUN</x:v>
      </x:c>
      <x:c r="J916" s="25" t="str">
        <x:v>NOT_RUN</x:v>
      </x:c>
      <x:c r="K916" s="25" t="n">
        <x:v>1</x:v>
      </x:c>
      <x:c r="L916" s="27" t="b">
        <x:v>0</x:v>
      </x:c>
      <x:c r="M916" s="25" t="str">
        <x:v>Deepseek-flash-v4/state/Round2/status/Cli_40.json; Deepseek-flash-v4/state/Round2/shards/Cli_40.json</x:v>
      </x:c>
      <x:c r="N916" s="25" t="str">
        <x:v>Deepseek-flash-v4/Result2/Cli_40/result.json</x:v>
      </x:c>
      <x:c r="O916" s="25" t="str">
        <x:v>Deepseek-flash-v4/Result2/Cli_40/result.json</x:v>
      </x:c>
      <x:c r="P916" t="str">
        <x:v>BOTH_NOT_RUN</x:v>
      </x:c>
      <x:c r="Q916" s="21" t="str"/>
      <x:c r="R916" s="21" t="str"/>
      <x:c r="S916" s="21" t="str"/>
      <x:c r="T916" s="17" t="str">
        <x:v>false</x:v>
      </x:c>
      <x:c r="U916" s="17" t="str">
        <x:v>true</x:v>
      </x:c>
      <x:c r="V916" s="17" t="str">
        <x:v>false</x:v>
      </x:c>
    </x:row>
    <x:row r="917" ht="80" customHeight="1">
      <x:c r="A917" s="25" t="str">
        <x:v>Cli</x:v>
      </x:c>
      <x:c r="B917" s="25" t="n">
        <x:v>5</x:v>
      </x:c>
      <x:c r="C917" s="25" t="str">
        <x:v>Round2</x:v>
      </x:c>
      <x:c r="D917" s="25" t="str">
        <x:v>INCONCLUSIVE</x:v>
      </x:c>
      <x:c r="E917" s="25" t="str">
        <x:v>N/A</x:v>
      </x:c>
      <x:c r="F917" s="26" t="str">
        <x:v>Fixed also failed; assertion failure cannot be attributed to this bug; Same-round generation metadata missing; use saved tests and execution evidence, no failure inferred</x:v>
      </x:c>
      <x:c r="G917" s="25" t="str">
        <x:v>true</x:v>
      </x:c>
      <x:c r="H917" s="25" t="str">
        <x:v>INCONCLUSIVE</x:v>
      </x:c>
      <x:c r="I917" s="25" t="str">
        <x:v>FAIL</x:v>
      </x:c>
      <x:c r="J917" s="25" t="str">
        <x:v>FAIL</x:v>
      </x:c>
      <x:c r="K917" s="25" t="n">
        <x:v>1</x:v>
      </x:c>
      <x:c r="L917" s="27" t="b">
        <x:v>0</x:v>
      </x:c>
      <x:c r="M917" s="25"/>
      <x:c r="N917" s="25" t="str">
        <x:v>Deepseek-flash-v4/Result2/Cli_5/result.json</x:v>
      </x:c>
      <x:c r="O917" s="25" t="str">
        <x:v>Deepseek-flash-v4/Result2/Cli_5/result.json</x:v>
      </x:c>
      <x:c r="P917"/>
      <x:c r="Q917" s="21" t="str"/>
      <x:c r="R917" s="21" t="str"/>
      <x:c r="S917" s="21" t="str"/>
      <x:c r="T917" s="17" t="str">
        <x:v>false</x:v>
      </x:c>
      <x:c r="U917" s="17" t="str">
        <x:v>true</x:v>
      </x:c>
      <x:c r="V917" s="17" t="str">
        <x:v>false</x:v>
      </x:c>
    </x:row>
    <x:row r="918" ht="80" customHeight="1">
      <x:c r="A918" s="25" t="str">
        <x:v>Cli</x:v>
      </x:c>
      <x:c r="B918" s="25" t="n">
        <x:v>7</x:v>
      </x:c>
      <x:c r="C918" s="25" t="str">
        <x:v>Round2</x:v>
      </x:c>
      <x:c r="D918" s="25" t="str">
        <x:v>NOT_AVAILABLE</x:v>
      </x:c>
      <x:c r="E918" s="25" t="str">
        <x:v>N/A</x:v>
      </x:c>
      <x:c r="F918" s="26" t="str">
        <x:v>Tests exist but current coverage did not complete</x:v>
      </x:c>
      <x:c r="G918" s="25" t="str">
        <x:v>true</x:v>
      </x:c>
      <x:c r="H918" s="25" t="str">
        <x:v>NOT_AVAILABLE</x:v>
      </x:c>
      <x:c r="I918" s="25" t="str">
        <x:v>NOT_RUN</x:v>
      </x:c>
      <x:c r="J918" s="25" t="str">
        <x:v>NOT_RUN</x:v>
      </x:c>
      <x:c r="K918" s="25" t="n">
        <x:v>1</x:v>
      </x:c>
      <x:c r="L918" s="27" t="b">
        <x:v>0</x:v>
      </x:c>
      <x:c r="M918" s="25" t="str">
        <x:v>Deepseek-flash-v4/state/Round2/status/Cli_7.json; Deepseek-flash-v4/state/Round2/shards/Cli_7.json</x:v>
      </x:c>
      <x:c r="N918" s="25" t="str">
        <x:v>Deepseek-flash-v4/Result2/Cli_7/result.json</x:v>
      </x:c>
      <x:c r="O918" s="25" t="str">
        <x:v>Deepseek-flash-v4/Result2/Cli_7/result.json</x:v>
      </x:c>
      <x:c r="P918" t="str">
        <x:v>BOTH_NOT_RUN</x:v>
      </x:c>
      <x:c r="Q918" s="21" t="str"/>
      <x:c r="R918" s="21" t="str"/>
      <x:c r="S918" s="21" t="str"/>
      <x:c r="T918" s="17" t="str">
        <x:v>false</x:v>
      </x:c>
      <x:c r="U918" s="17" t="str">
        <x:v>true</x:v>
      </x:c>
      <x:c r="V918" s="17" t="str">
        <x:v>false</x:v>
      </x:c>
    </x:row>
    <x:row r="919" ht="80" customHeight="1">
      <x:c r="A919" s="25" t="str">
        <x:v>Cli</x:v>
      </x:c>
      <x:c r="B919" s="25" t="n">
        <x:v>8</x:v>
      </x:c>
      <x:c r="C919" s="25" t="str">
        <x:v>Round2</x:v>
      </x:c>
      <x:c r="D919" s="25" t="str">
        <x:v>INCONCLUSIVE</x:v>
      </x:c>
      <x:c r="E919" s="25" t="str">
        <x:v>N/A</x:v>
      </x:c>
      <x:c r="F919" s="26" t="str">
        <x:v>Fixed also failed; assertion failure cannot be attributed to this bug; Same-round generation metadata missing; use saved tests and execution evidence, no failure inferred</x:v>
      </x:c>
      <x:c r="G919" s="25" t="str">
        <x:v>true</x:v>
      </x:c>
      <x:c r="H919" s="25" t="str">
        <x:v>INCONCLUSIVE</x:v>
      </x:c>
      <x:c r="I919" s="25" t="str">
        <x:v>FAIL</x:v>
      </x:c>
      <x:c r="J919" s="25" t="str">
        <x:v>FAIL</x:v>
      </x:c>
      <x:c r="K919" s="25" t="n">
        <x:v>1</x:v>
      </x:c>
      <x:c r="L919" s="27" t="b">
        <x:v>0</x:v>
      </x:c>
      <x:c r="M919" s="25"/>
      <x:c r="N919" s="25" t="str">
        <x:v>Deepseek-flash-v4/Result2/Cli_8/result.json</x:v>
      </x:c>
      <x:c r="O919" s="25" t="str">
        <x:v>Deepseek-flash-v4/Result2/Cli_8/result.json</x:v>
      </x:c>
      <x:c r="P919"/>
      <x:c r="Q919" s="21" t="str"/>
      <x:c r="R919" s="21" t="str"/>
      <x:c r="S919" s="21" t="str"/>
      <x:c r="T919" s="17" t="str">
        <x:v>false</x:v>
      </x:c>
      <x:c r="U919" s="17" t="str">
        <x:v>true</x:v>
      </x:c>
      <x:c r="V919" s="17" t="str">
        <x:v>false</x:v>
      </x:c>
    </x:row>
    <x:row r="920" ht="80" customHeight="1">
      <x:c r="A920" s="25" t="str">
        <x:v>Cli</x:v>
      </x:c>
      <x:c r="B920" s="25" t="n">
        <x:v>9</x:v>
      </x:c>
      <x:c r="C920" s="25" t="str">
        <x:v>Round2</x:v>
      </x:c>
      <x:c r="D920" s="25" t="str">
        <x:v>NOT_AVAILABLE</x:v>
      </x:c>
      <x:c r="E920" s="25" t="str">
        <x:v>N/A</x:v>
      </x:c>
      <x:c r="F920" s="26" t="str">
        <x:v>Tests exist but current coverage did not complete</x:v>
      </x:c>
      <x:c r="G920" s="25" t="str">
        <x:v>true</x:v>
      </x:c>
      <x:c r="H920" s="25" t="str">
        <x:v>NOT_AVAILABLE</x:v>
      </x:c>
      <x:c r="I920" s="25" t="str">
        <x:v>NOT_RUN</x:v>
      </x:c>
      <x:c r="J920" s="25" t="str">
        <x:v>NOT_RUN</x:v>
      </x:c>
      <x:c r="K920" s="25" t="n">
        <x:v>1</x:v>
      </x:c>
      <x:c r="L920" s="27" t="b">
        <x:v>0</x:v>
      </x:c>
      <x:c r="M920" s="25" t="str">
        <x:v>Deepseek-flash-v4/state/Round2/status/Cli_9.json; Deepseek-flash-v4/state/Round2/shards/Cli_9.json</x:v>
      </x:c>
      <x:c r="N920" s="25" t="str">
        <x:v>Deepseek-flash-v4/Result2/Cli_9/result.json</x:v>
      </x:c>
      <x:c r="O920" s="25" t="str">
        <x:v>Deepseek-flash-v4/Result2/Cli_9/result.json</x:v>
      </x:c>
      <x:c r="P920" t="str">
        <x:v>BOTH_NOT_RUN</x:v>
      </x:c>
      <x:c r="Q920" s="21" t="str"/>
      <x:c r="R920" s="21" t="str"/>
      <x:c r="S920" s="21" t="str"/>
      <x:c r="T920" s="17" t="str">
        <x:v>false</x:v>
      </x:c>
      <x:c r="U920" s="17" t="str">
        <x:v>true</x:v>
      </x:c>
      <x:c r="V920" s="17" t="str">
        <x:v>false</x:v>
      </x:c>
    </x:row>
    <x:row r="921" ht="80" customHeight="1">
      <x:c r="A921" s="25" t="str">
        <x:v>Closure</x:v>
      </x:c>
      <x:c r="B921" s="25" t="n">
        <x:v>1</x:v>
      </x:c>
      <x:c r="C921" s="25" t="str">
        <x:v>Round2</x:v>
      </x:c>
      <x:c r="D921" s="25" t="str">
        <x:v>NOT_AVAILABLE</x:v>
      </x:c>
      <x:c r="E921" s="25" t="str">
        <x:v>N/A</x:v>
      </x:c>
      <x:c r="F921" s="26" t="str">
        <x:v>Tests exist but current coverage did not complete</x:v>
      </x:c>
      <x:c r="G921" s="25" t="str">
        <x:v>true</x:v>
      </x:c>
      <x:c r="H921" s="25" t="str">
        <x:v>NOT_AVAILABLE</x:v>
      </x:c>
      <x:c r="I921" s="25" t="str">
        <x:v>NOT_RUN</x:v>
      </x:c>
      <x:c r="J921" s="25" t="str">
        <x:v>NOT_RUN</x:v>
      </x:c>
      <x:c r="K921" s="25" t="n">
        <x:v>1</x:v>
      </x:c>
      <x:c r="L921" s="27" t="b">
        <x:v>0</x:v>
      </x:c>
      <x:c r="M921" s="25" t="str">
        <x:v>Deepseek-flash-v4/state/Round2/status/Closure_1.json; Deepseek-flash-v4/state/Round2/shards/Closure_1.json</x:v>
      </x:c>
      <x:c r="N921" s="25" t="str">
        <x:v>Deepseek-flash-v4/Result2/Closure_1/result.json</x:v>
      </x:c>
      <x:c r="O921" s="25" t="str">
        <x:v>Deepseek-flash-v4/Result2/Closure_1/result.json</x:v>
      </x:c>
      <x:c r="P921" t="str">
        <x:v>BOTH_NOT_RUN</x:v>
      </x:c>
      <x:c r="Q921" s="21" t="str"/>
      <x:c r="R921" s="21" t="str"/>
      <x:c r="S921" s="21" t="str"/>
      <x:c r="T921" s="17" t="str">
        <x:v>false</x:v>
      </x:c>
      <x:c r="U921" s="17" t="str">
        <x:v>true</x:v>
      </x:c>
      <x:c r="V921" s="17" t="str">
        <x:v>false</x:v>
      </x:c>
    </x:row>
    <x:row r="922" ht="80" customHeight="1">
      <x:c r="A922" s="25" t="str">
        <x:v>Closure</x:v>
      </x:c>
      <x:c r="B922" s="25" t="n">
        <x:v>10</x:v>
      </x:c>
      <x:c r="C922" s="25" t="str">
        <x:v>Round2</x:v>
      </x:c>
      <x:c r="D922" s="25" t="str">
        <x:v>INCONCLUSIVE</x:v>
      </x:c>
      <x:c r="E922" s="25" t="str">
        <x:v>N/A</x:v>
      </x:c>
      <x:c r="F922" s="26" t="str">
        <x:v>Fixed also failed; assertion failure cannot be attributed to this bug</x:v>
      </x:c>
      <x:c r="G922" s="25" t="str">
        <x:v>true</x:v>
      </x:c>
      <x:c r="H922" s="25" t="str">
        <x:v>INCONCLUSIVE</x:v>
      </x:c>
      <x:c r="I922" s="25" t="str">
        <x:v>FAIL</x:v>
      </x:c>
      <x:c r="J922" s="25" t="str">
        <x:v>FAIL</x:v>
      </x:c>
      <x:c r="K922" s="25" t="n">
        <x:v>1</x:v>
      </x:c>
      <x:c r="L922" s="27" t="b">
        <x:v>0</x:v>
      </x:c>
      <x:c r="M922" s="25" t="str">
        <x:v>Deepseek-flash-v4/state/Round2/status/Closure_10.json; Deepseek-flash-v4/state/Round2/shards/Closure_10.json</x:v>
      </x:c>
      <x:c r="N922" s="25" t="str">
        <x:v>Deepseek-flash-v4/Result2/Closure_10/result.json</x:v>
      </x:c>
      <x:c r="O922" s="25" t="str">
        <x:v>Deepseek-flash-v4/Result2/Closure_10/result.json</x:v>
      </x:c>
      <x:c r="P922"/>
      <x:c r="Q922" s="21" t="str"/>
      <x:c r="R922" s="21" t="str"/>
      <x:c r="S922" s="21" t="str"/>
      <x:c r="T922" s="17" t="str">
        <x:v>false</x:v>
      </x:c>
      <x:c r="U922" s="17" t="str">
        <x:v>true</x:v>
      </x:c>
      <x:c r="V922" s="17" t="str">
        <x:v>false</x:v>
      </x:c>
    </x:row>
    <x:row r="923" ht="80" customHeight="1">
      <x:c r="A923" s="25" t="str">
        <x:v>Closure</x:v>
      </x:c>
      <x:c r="B923" s="25" t="n">
        <x:v>100</x:v>
      </x:c>
      <x:c r="C923" s="25" t="str">
        <x:v>Round2</x:v>
      </x:c>
      <x:c r="D923" s="25" t="str">
        <x:v>NOT_AVAILABLE</x:v>
      </x:c>
      <x:c r="E923" s="25" t="str">
        <x:v>N/A</x:v>
      </x:c>
      <x:c r="F923" s="26" t="str">
        <x:v>Tests exist but current coverage did not complete</x:v>
      </x:c>
      <x:c r="G923" s="25" t="str">
        <x:v>true</x:v>
      </x:c>
      <x:c r="H923" s="25" t="str">
        <x:v>NOT_AVAILABLE</x:v>
      </x:c>
      <x:c r="I923" s="25" t="str">
        <x:v>NOT_RUN</x:v>
      </x:c>
      <x:c r="J923" s="25" t="str">
        <x:v>NOT_RUN</x:v>
      </x:c>
      <x:c r="K923" s="25" t="n">
        <x:v>1</x:v>
      </x:c>
      <x:c r="L923" s="27" t="b">
        <x:v>0</x:v>
      </x:c>
      <x:c r="M923" s="25" t="str">
        <x:v>Deepseek-flash-v4/state/Round2/status/Closure_100.json; Deepseek-flash-v4/state/Round2/shards/Closure_100.json</x:v>
      </x:c>
      <x:c r="N923" s="25" t="str">
        <x:v>Deepseek-flash-v4/Result2/Closure_100/result.json</x:v>
      </x:c>
      <x:c r="O923" s="25" t="str">
        <x:v>Deepseek-flash-v4/Result2/Closure_100/result.json</x:v>
      </x:c>
      <x:c r="P923" t="str">
        <x:v>BOTH_NOT_RUN</x:v>
      </x:c>
      <x:c r="Q923" s="21" t="str"/>
      <x:c r="R923" s="21" t="str"/>
      <x:c r="S923" s="21" t="str"/>
      <x:c r="T923" s="17" t="str">
        <x:v>false</x:v>
      </x:c>
      <x:c r="U923" s="17" t="str">
        <x:v>true</x:v>
      </x:c>
      <x:c r="V923" s="17" t="str">
        <x:v>false</x:v>
      </x:c>
    </x:row>
    <x:row r="924" ht="80" customHeight="1">
      <x:c r="A924" s="25" t="str">
        <x:v>Closure</x:v>
      </x:c>
      <x:c r="B924" s="25" t="n">
        <x:v>101</x:v>
      </x:c>
      <x:c r="C924" s="25" t="str">
        <x:v>Round2</x:v>
      </x:c>
      <x:c r="D924" s="25" t="str">
        <x:v>NOT_AVAILABLE</x:v>
      </x:c>
      <x:c r="E924" s="25" t="str">
        <x:v>N/A</x:v>
      </x:c>
      <x:c r="F924" s="26" t="str">
        <x:v>Tests exist but current coverage did not complete</x:v>
      </x:c>
      <x:c r="G924" s="25" t="str">
        <x:v>true</x:v>
      </x:c>
      <x:c r="H924" s="25" t="str">
        <x:v>NOT_AVAILABLE</x:v>
      </x:c>
      <x:c r="I924" s="25" t="str">
        <x:v>NOT_RUN</x:v>
      </x:c>
      <x:c r="J924" s="25" t="str">
        <x:v>NOT_RUN</x:v>
      </x:c>
      <x:c r="K924" s="25" t="n">
        <x:v>1</x:v>
      </x:c>
      <x:c r="L924" s="27" t="b">
        <x:v>0</x:v>
      </x:c>
      <x:c r="M924" s="25" t="str">
        <x:v>Deepseek-flash-v4/state/Round2/status/Closure_101.json; Deepseek-flash-v4/state/Round2/shards/Closure_101.json</x:v>
      </x:c>
      <x:c r="N924" s="25" t="str">
        <x:v>Deepseek-flash-v4/Result2/Closure_101/result.json</x:v>
      </x:c>
      <x:c r="O924" s="25" t="str">
        <x:v>Deepseek-flash-v4/Result2/Closure_101/result.json</x:v>
      </x:c>
      <x:c r="P924" t="str">
        <x:v>BOTH_NOT_RUN</x:v>
      </x:c>
      <x:c r="Q924" s="21" t="str"/>
      <x:c r="R924" s="21" t="str"/>
      <x:c r="S924" s="21" t="str"/>
      <x:c r="T924" s="17" t="str">
        <x:v>false</x:v>
      </x:c>
      <x:c r="U924" s="17" t="str">
        <x:v>true</x:v>
      </x:c>
      <x:c r="V924" s="17" t="str">
        <x:v>false</x:v>
      </x:c>
    </x:row>
    <x:row r="925" ht="80" customHeight="1">
      <x:c r="A925" s="25" t="str">
        <x:v>Closure</x:v>
      </x:c>
      <x:c r="B925" s="25" t="n">
        <x:v>102</x:v>
      </x:c>
      <x:c r="C925" s="25" t="str">
        <x:v>Round2</x:v>
      </x:c>
      <x:c r="D925" s="25" t="str">
        <x:v>INCONCLUSIVE</x:v>
      </x:c>
      <x:c r="E925" s="25" t="str">
        <x:v>N/A</x:v>
      </x:c>
      <x:c r="F925" s="26" t="str">
        <x:v>Fixed also failed; assertion failure cannot be attributed to this bug</x:v>
      </x:c>
      <x:c r="G925" s="25" t="str">
        <x:v>true</x:v>
      </x:c>
      <x:c r="H925" s="25" t="str">
        <x:v>INCONCLUSIVE</x:v>
      </x:c>
      <x:c r="I925" s="25" t="str">
        <x:v>FAIL</x:v>
      </x:c>
      <x:c r="J925" s="25" t="str">
        <x:v>FAIL</x:v>
      </x:c>
      <x:c r="K925" s="25" t="n">
        <x:v>1</x:v>
      </x:c>
      <x:c r="L925" s="27" t="b">
        <x:v>0</x:v>
      </x:c>
      <x:c r="M925" s="25" t="str">
        <x:v>Deepseek-flash-v4/state/Round2/status/Closure_102.json; Deepseek-flash-v4/state/Round2/shards/Closure_102.json</x:v>
      </x:c>
      <x:c r="N925" s="25" t="str">
        <x:v>Deepseek-flash-v4/Result2/Closure_102/result.json</x:v>
      </x:c>
      <x:c r="O925" s="25" t="str">
        <x:v>Deepseek-flash-v4/Result2/Closure_102/result.json</x:v>
      </x:c>
      <x:c r="P925"/>
      <x:c r="Q925" s="21" t="str"/>
      <x:c r="R925" s="21" t="str"/>
      <x:c r="S925" s="21" t="str"/>
      <x:c r="T925" s="17" t="str">
        <x:v>false</x:v>
      </x:c>
      <x:c r="U925" s="17" t="str">
        <x:v>true</x:v>
      </x:c>
      <x:c r="V925" s="17" t="str">
        <x:v>false</x:v>
      </x:c>
    </x:row>
    <x:row r="926" ht="80" customHeight="1">
      <x:c r="A926" s="25" t="str">
        <x:v>Closure</x:v>
      </x:c>
      <x:c r="B926" s="25" t="n">
        <x:v>103</x:v>
      </x:c>
      <x:c r="C926" s="25" t="str">
        <x:v>Round2</x:v>
      </x:c>
      <x:c r="D926" s="25" t="str">
        <x:v>NOT_AVAILABLE</x:v>
      </x:c>
      <x:c r="E926" s="25" t="str">
        <x:v>N/A</x:v>
      </x:c>
      <x:c r="F926" s="26" t="str">
        <x:v>Tests exist but current coverage did not complete</x:v>
      </x:c>
      <x:c r="G926" s="25" t="str">
        <x:v>true</x:v>
      </x:c>
      <x:c r="H926" s="25" t="str">
        <x:v>NOT_AVAILABLE</x:v>
      </x:c>
      <x:c r="I926" s="25" t="str">
        <x:v>NOT_RUN</x:v>
      </x:c>
      <x:c r="J926" s="25" t="str">
        <x:v>NOT_RUN</x:v>
      </x:c>
      <x:c r="K926" s="25" t="n">
        <x:v>2</x:v>
      </x:c>
      <x:c r="L926" s="27" t="b">
        <x:v>0</x:v>
      </x:c>
      <x:c r="M926" s="25" t="str">
        <x:v>Deepseek-flash-v4/state/Round2/status/Closure_103.json; Deepseek-flash-v4/state/Round2/shards/Closure_103.json</x:v>
      </x:c>
      <x:c r="N926" s="25" t="str">
        <x:v>Deepseek-flash-v4/Result2/Closure_103/result.json</x:v>
      </x:c>
      <x:c r="O926" s="25" t="str">
        <x:v>Deepseek-flash-v4/Result2/Closure_103/result.json</x:v>
      </x:c>
      <x:c r="P926" t="str">
        <x:v>BOTH_NOT_RUN</x:v>
      </x:c>
      <x:c r="Q926" s="21" t="str"/>
      <x:c r="R926" s="21" t="str"/>
      <x:c r="S926" s="21" t="str"/>
      <x:c r="T926" s="17" t="str">
        <x:v>false</x:v>
      </x:c>
      <x:c r="U926" s="17" t="str">
        <x:v>true</x:v>
      </x:c>
      <x:c r="V926" s="17" t="str">
        <x:v>false</x:v>
      </x:c>
    </x:row>
    <x:row r="927" ht="80" customHeight="1">
      <x:c r="A927" s="25" t="str">
        <x:v>Closure</x:v>
      </x:c>
      <x:c r="B927" s="25" t="n">
        <x:v>104</x:v>
      </x:c>
      <x:c r="C927" s="25" t="str">
        <x:v>Round2</x:v>
      </x:c>
      <x:c r="D927" s="25" t="str">
        <x:v>NOT_AVAILABLE</x:v>
      </x:c>
      <x:c r="E927" s="25" t="str">
        <x:v>N/A</x:v>
      </x:c>
      <x:c r="F927" s="26" t="str">
        <x:v>Tests exist but current coverage did not complete</x:v>
      </x:c>
      <x:c r="G927" s="25" t="str">
        <x:v>true</x:v>
      </x:c>
      <x:c r="H927" s="25" t="str">
        <x:v>NOT_AVAILABLE</x:v>
      </x:c>
      <x:c r="I927" s="25" t="str">
        <x:v>NOT_RUN</x:v>
      </x:c>
      <x:c r="J927" s="25" t="str">
        <x:v>NOT_RUN</x:v>
      </x:c>
      <x:c r="K927" s="25" t="n">
        <x:v>1</x:v>
      </x:c>
      <x:c r="L927" s="27" t="b">
        <x:v>0</x:v>
      </x:c>
      <x:c r="M927" s="25" t="str">
        <x:v>Deepseek-flash-v4/state/Round2/status/Closure_104.json; Deepseek-flash-v4/state/Round2/shards/Closure_104.json</x:v>
      </x:c>
      <x:c r="N927" s="25" t="str">
        <x:v>Deepseek-flash-v4/Result2/Closure_104/result.json</x:v>
      </x:c>
      <x:c r="O927" s="25" t="str">
        <x:v>Deepseek-flash-v4/Result2/Closure_104/result.json</x:v>
      </x:c>
      <x:c r="P927" t="str">
        <x:v>BOTH_NOT_RUN</x:v>
      </x:c>
      <x:c r="Q927" s="21" t="str"/>
      <x:c r="R927" s="21" t="str"/>
      <x:c r="S927" s="21" t="str"/>
      <x:c r="T927" s="17" t="str">
        <x:v>false</x:v>
      </x:c>
      <x:c r="U927" s="17" t="str">
        <x:v>true</x:v>
      </x:c>
      <x:c r="V927" s="17" t="str">
        <x:v>false</x:v>
      </x:c>
    </x:row>
    <x:row r="928" ht="80" customHeight="1">
      <x:c r="A928" s="25" t="str">
        <x:v>Closure</x:v>
      </x:c>
      <x:c r="B928" s="25" t="n">
        <x:v>105</x:v>
      </x:c>
      <x:c r="C928" s="25" t="str">
        <x:v>Round2</x:v>
      </x:c>
      <x:c r="D928" s="25" t="str">
        <x:v>NOT_AVAILABLE</x:v>
      </x:c>
      <x:c r="E928" s="25" t="str">
        <x:v>N/A</x:v>
      </x:c>
      <x:c r="F928" s="26" t="str">
        <x:v>Tests exist but current coverage did not complete</x:v>
      </x:c>
      <x:c r="G928" s="25" t="str">
        <x:v>true</x:v>
      </x:c>
      <x:c r="H928" s="25" t="str">
        <x:v>NOT_AVAILABLE</x:v>
      </x:c>
      <x:c r="I928" s="25" t="str">
        <x:v>NOT_RUN</x:v>
      </x:c>
      <x:c r="J928" s="25" t="str">
        <x:v>NOT_RUN</x:v>
      </x:c>
      <x:c r="K928" s="25" t="n">
        <x:v>1</x:v>
      </x:c>
      <x:c r="L928" s="27" t="b">
        <x:v>0</x:v>
      </x:c>
      <x:c r="M928" s="25" t="str">
        <x:v>Deepseek-flash-v4/state/Round2/status/Closure_105.json; Deepseek-flash-v4/state/Round2/shards/Closure_105.json</x:v>
      </x:c>
      <x:c r="N928" s="25" t="str">
        <x:v>Deepseek-flash-v4/Result2/Closure_105/result.json</x:v>
      </x:c>
      <x:c r="O928" s="25" t="str">
        <x:v>Deepseek-flash-v4/Result2/Closure_105/result.json</x:v>
      </x:c>
      <x:c r="P928" t="str">
        <x:v>BOTH_NOT_RUN</x:v>
      </x:c>
      <x:c r="Q928" s="21" t="str"/>
      <x:c r="R928" s="21" t="str"/>
      <x:c r="S928" s="21" t="str"/>
      <x:c r="T928" s="17" t="str">
        <x:v>false</x:v>
      </x:c>
      <x:c r="U928" s="17" t="str">
        <x:v>true</x:v>
      </x:c>
      <x:c r="V928" s="17" t="str">
        <x:v>false</x:v>
      </x:c>
    </x:row>
    <x:row r="929" ht="80" customHeight="1">
      <x:c r="A929" s="25" t="str">
        <x:v>Closure</x:v>
      </x:c>
      <x:c r="B929" s="25" t="n">
        <x:v>106</x:v>
      </x:c>
      <x:c r="C929" s="25" t="str">
        <x:v>Round2</x:v>
      </x:c>
      <x:c r="D929" s="25" t="str">
        <x:v>NOT_AVAILABLE</x:v>
      </x:c>
      <x:c r="E929" s="25" t="str">
        <x:v>N/A</x:v>
      </x:c>
      <x:c r="F929" s="26" t="str">
        <x:v>Tests exist but current coverage did not complete</x:v>
      </x:c>
      <x:c r="G929" s="25" t="str">
        <x:v>true</x:v>
      </x:c>
      <x:c r="H929" s="25" t="str">
        <x:v>NOT_AVAILABLE</x:v>
      </x:c>
      <x:c r="I929" s="25" t="str">
        <x:v>NOT_RUN</x:v>
      </x:c>
      <x:c r="J929" s="25" t="str">
        <x:v>NOT_RUN</x:v>
      </x:c>
      <x:c r="K929" s="25" t="n">
        <x:v>2</x:v>
      </x:c>
      <x:c r="L929" s="27" t="b">
        <x:v>0</x:v>
      </x:c>
      <x:c r="M929" s="25" t="str">
        <x:v>Deepseek-flash-v4/state/Round2/status/Closure_106.json; Deepseek-flash-v4/state/Round2/shards/Closure_106.json</x:v>
      </x:c>
      <x:c r="N929" s="25" t="str">
        <x:v>Deepseek-flash-v4/Result2/Closure_106/result.json</x:v>
      </x:c>
      <x:c r="O929" s="25" t="str">
        <x:v>Deepseek-flash-v4/Result2/Closure_106/result.json</x:v>
      </x:c>
      <x:c r="P929" t="str">
        <x:v>BOTH_NOT_RUN</x:v>
      </x:c>
      <x:c r="Q929" s="21" t="str"/>
      <x:c r="R929" s="21" t="str"/>
      <x:c r="S929" s="21" t="str"/>
      <x:c r="T929" s="17" t="str">
        <x:v>false</x:v>
      </x:c>
      <x:c r="U929" s="17" t="str">
        <x:v>true</x:v>
      </x:c>
      <x:c r="V929" s="17" t="str">
        <x:v>false</x:v>
      </x:c>
    </x:row>
    <x:row r="930" ht="80" customHeight="1">
      <x:c r="A930" s="25" t="str">
        <x:v>Closure</x:v>
      </x:c>
      <x:c r="B930" s="25" t="n">
        <x:v>107</x:v>
      </x:c>
      <x:c r="C930" s="25" t="str">
        <x:v>Round2</x:v>
      </x:c>
      <x:c r="D930" s="25" t="str">
        <x:v>NOT_AVAILABLE</x:v>
      </x:c>
      <x:c r="E930" s="25" t="str">
        <x:v>N/A</x:v>
      </x:c>
      <x:c r="F930" s="26" t="str">
        <x:v>Tests exist but current coverage did not complete</x:v>
      </x:c>
      <x:c r="G930" s="25" t="str">
        <x:v>true</x:v>
      </x:c>
      <x:c r="H930" s="25" t="str">
        <x:v>NOT_AVAILABLE</x:v>
      </x:c>
      <x:c r="I930" s="25" t="str">
        <x:v>NOT_RUN</x:v>
      </x:c>
      <x:c r="J930" s="25" t="str">
        <x:v>NOT_RUN</x:v>
      </x:c>
      <x:c r="K930" s="25" t="n">
        <x:v>1</x:v>
      </x:c>
      <x:c r="L930" s="27" t="b">
        <x:v>0</x:v>
      </x:c>
      <x:c r="M930" s="25" t="str">
        <x:v>Deepseek-flash-v4/state/Round2/status/Closure_107.json; Deepseek-flash-v4/state/Round2/shards/Closure_107.json</x:v>
      </x:c>
      <x:c r="N930" s="25" t="str">
        <x:v>Deepseek-flash-v4/Result2/Closure_107/result.json</x:v>
      </x:c>
      <x:c r="O930" s="25" t="str">
        <x:v>Deepseek-flash-v4/Result2/Closure_107/result.json</x:v>
      </x:c>
      <x:c r="P930" t="str">
        <x:v>BOTH_NOT_RUN</x:v>
      </x:c>
      <x:c r="Q930" s="21" t="str"/>
      <x:c r="R930" s="21" t="str"/>
      <x:c r="S930" s="21" t="str"/>
      <x:c r="T930" s="17" t="str">
        <x:v>false</x:v>
      </x:c>
      <x:c r="U930" s="17" t="str">
        <x:v>true</x:v>
      </x:c>
      <x:c r="V930" s="17" t="str">
        <x:v>false</x:v>
      </x:c>
    </x:row>
    <x:row r="931" ht="80" customHeight="1">
      <x:c r="A931" s="25" t="str">
        <x:v>Closure</x:v>
      </x:c>
      <x:c r="B931" s="25" t="n">
        <x:v>108</x:v>
      </x:c>
      <x:c r="C931" s="25" t="str">
        <x:v>Round2</x:v>
      </x:c>
      <x:c r="D931" s="25" t="str">
        <x:v>NOT_AVAILABLE</x:v>
      </x:c>
      <x:c r="E931" s="25" t="str">
        <x:v>N/A</x:v>
      </x:c>
      <x:c r="F931" s="26" t="str">
        <x:v>Tests exist but current coverage did not complete</x:v>
      </x:c>
      <x:c r="G931" s="25" t="str">
        <x:v>true</x:v>
      </x:c>
      <x:c r="H931" s="25" t="str">
        <x:v>NOT_AVAILABLE</x:v>
      </x:c>
      <x:c r="I931" s="25" t="str">
        <x:v>NOT_RUN</x:v>
      </x:c>
      <x:c r="J931" s="25" t="str">
        <x:v>NOT_RUN</x:v>
      </x:c>
      <x:c r="K931" s="25" t="n">
        <x:v>1</x:v>
      </x:c>
      <x:c r="L931" s="27" t="b">
        <x:v>0</x:v>
      </x:c>
      <x:c r="M931" s="25" t="str">
        <x:v>Deepseek-flash-v4/state/Round2/status/Closure_108.json; Deepseek-flash-v4/state/Round2/shards/Closure_108.json</x:v>
      </x:c>
      <x:c r="N931" s="25" t="str">
        <x:v>Deepseek-flash-v4/Result2/Closure_108/result.json</x:v>
      </x:c>
      <x:c r="O931" s="25" t="str">
        <x:v>Deepseek-flash-v4/Result2/Closure_108/result.json</x:v>
      </x:c>
      <x:c r="P931" t="str">
        <x:v>BOTH_NOT_RUN</x:v>
      </x:c>
      <x:c r="Q931" s="21" t="str"/>
      <x:c r="R931" s="21" t="str"/>
      <x:c r="S931" s="21" t="str"/>
      <x:c r="T931" s="17" t="str">
        <x:v>false</x:v>
      </x:c>
      <x:c r="U931" s="17" t="str">
        <x:v>true</x:v>
      </x:c>
      <x:c r="V931" s="17" t="str">
        <x:v>false</x:v>
      </x:c>
    </x:row>
    <x:row r="932" ht="80" customHeight="1">
      <x:c r="A932" s="25" t="str">
        <x:v>Closure</x:v>
      </x:c>
      <x:c r="B932" s="25" t="n">
        <x:v>109</x:v>
      </x:c>
      <x:c r="C932" s="25" t="str">
        <x:v>Round2</x:v>
      </x:c>
      <x:c r="D932" s="25" t="str">
        <x:v>NOT_AVAILABLE</x:v>
      </x:c>
      <x:c r="E932" s="25" t="str">
        <x:v>N/A</x:v>
      </x:c>
      <x:c r="F932" s="26" t="str">
        <x:v>Tests exist but current coverage did not complete</x:v>
      </x:c>
      <x:c r="G932" s="25" t="str">
        <x:v>true</x:v>
      </x:c>
      <x:c r="H932" s="25" t="str">
        <x:v>NOT_AVAILABLE</x:v>
      </x:c>
      <x:c r="I932" s="25" t="str">
        <x:v>NOT_RUN</x:v>
      </x:c>
      <x:c r="J932" s="25" t="str">
        <x:v>NOT_RUN</x:v>
      </x:c>
      <x:c r="K932" s="25" t="n">
        <x:v>1</x:v>
      </x:c>
      <x:c r="L932" s="27" t="b">
        <x:v>0</x:v>
      </x:c>
      <x:c r="M932" s="25" t="str">
        <x:v>Deepseek-flash-v4/state/Round2/status/Closure_109.json; Deepseek-flash-v4/state/Round2/shards/Closure_109.json</x:v>
      </x:c>
      <x:c r="N932" s="25" t="str">
        <x:v>Deepseek-flash-v4/Result2/Closure_109/result.json</x:v>
      </x:c>
      <x:c r="O932" s="25" t="str">
        <x:v>Deepseek-flash-v4/Result2/Closure_109/result.json</x:v>
      </x:c>
      <x:c r="P932" t="str">
        <x:v>BOTH_NOT_RUN</x:v>
      </x:c>
      <x:c r="Q932" s="21" t="str"/>
      <x:c r="R932" s="21" t="str"/>
      <x:c r="S932" s="21" t="str"/>
      <x:c r="T932" s="17" t="str">
        <x:v>false</x:v>
      </x:c>
      <x:c r="U932" s="17" t="str">
        <x:v>true</x:v>
      </x:c>
      <x:c r="V932" s="17" t="str">
        <x:v>false</x:v>
      </x:c>
    </x:row>
    <x:row r="933" ht="80" customHeight="1">
      <x:c r="A933" s="25" t="str">
        <x:v>Closure</x:v>
      </x:c>
      <x:c r="B933" s="25" t="n">
        <x:v>11</x:v>
      </x:c>
      <x:c r="C933" s="25" t="str">
        <x:v>Round2</x:v>
      </x:c>
      <x:c r="D933" s="25" t="str">
        <x:v>NOT_AVAILABLE</x:v>
      </x:c>
      <x:c r="E933" s="25" t="str">
        <x:v>N/A</x:v>
      </x:c>
      <x:c r="F933" s="26" t="str">
        <x:v>Tests exist but current coverage did not complete</x:v>
      </x:c>
      <x:c r="G933" s="25" t="str">
        <x:v>true</x:v>
      </x:c>
      <x:c r="H933" s="25" t="str">
        <x:v>NOT_AVAILABLE</x:v>
      </x:c>
      <x:c r="I933" s="25" t="str">
        <x:v>NOT_RUN</x:v>
      </x:c>
      <x:c r="J933" s="25" t="str">
        <x:v>NOT_RUN</x:v>
      </x:c>
      <x:c r="K933" s="25" t="n">
        <x:v>1</x:v>
      </x:c>
      <x:c r="L933" s="27" t="b">
        <x:v>0</x:v>
      </x:c>
      <x:c r="M933" s="25" t="str">
        <x:v>Deepseek-flash-v4/state/Round2/status/Closure_11.json; Deepseek-flash-v4/state/Round2/shards/Closure_11.json</x:v>
      </x:c>
      <x:c r="N933" s="25" t="str">
        <x:v>Deepseek-flash-v4/Result2/Closure_11/result.json</x:v>
      </x:c>
      <x:c r="O933" s="25" t="str">
        <x:v>Deepseek-flash-v4/Result2/Closure_11/result.json</x:v>
      </x:c>
      <x:c r="P933" t="str">
        <x:v>BOTH_NOT_RUN</x:v>
      </x:c>
      <x:c r="Q933" s="21" t="str"/>
      <x:c r="R933" s="21" t="str"/>
      <x:c r="S933" s="21" t="str"/>
      <x:c r="T933" s="17" t="str">
        <x:v>false</x:v>
      </x:c>
      <x:c r="U933" s="17" t="str">
        <x:v>true</x:v>
      </x:c>
      <x:c r="V933" s="17" t="str">
        <x:v>false</x:v>
      </x:c>
    </x:row>
    <x:row r="934" ht="80" customHeight="1">
      <x:c r="A934" s="25" t="str">
        <x:v>Closure</x:v>
      </x:c>
      <x:c r="B934" s="25" t="n">
        <x:v>110</x:v>
      </x:c>
      <x:c r="C934" s="25" t="str">
        <x:v>Round2</x:v>
      </x:c>
      <x:c r="D934" s="25" t="str">
        <x:v>NOT_AVAILABLE</x:v>
      </x:c>
      <x:c r="E934" s="25" t="str">
        <x:v>N/A</x:v>
      </x:c>
      <x:c r="F934" s="26" t="str">
        <x:v>Tests exist but current coverage did not complete</x:v>
      </x:c>
      <x:c r="G934" s="25" t="str">
        <x:v>true</x:v>
      </x:c>
      <x:c r="H934" s="25" t="str">
        <x:v>NOT_AVAILABLE</x:v>
      </x:c>
      <x:c r="I934" s="25" t="str">
        <x:v>NOT_RUN</x:v>
      </x:c>
      <x:c r="J934" s="25" t="str">
        <x:v>NOT_RUN</x:v>
      </x:c>
      <x:c r="K934" s="25" t="n">
        <x:v>2</x:v>
      </x:c>
      <x:c r="L934" s="27" t="b">
        <x:v>0</x:v>
      </x:c>
      <x:c r="M934" s="25" t="str">
        <x:v>Deepseek-flash-v4/state/Round2/status/Closure_110.json; Deepseek-flash-v4/state/Round2/shards/Closure_110.json</x:v>
      </x:c>
      <x:c r="N934" s="25" t="str">
        <x:v>Deepseek-flash-v4/Result2/Closure_110/result.json</x:v>
      </x:c>
      <x:c r="O934" s="25" t="str">
        <x:v>Deepseek-flash-v4/Result2/Closure_110/result.json</x:v>
      </x:c>
      <x:c r="P934" t="str">
        <x:v>BOTH_NOT_RUN</x:v>
      </x:c>
      <x:c r="Q934" s="21" t="str"/>
      <x:c r="R934" s="21" t="str"/>
      <x:c r="S934" s="21" t="str"/>
      <x:c r="T934" s="17" t="str">
        <x:v>false</x:v>
      </x:c>
      <x:c r="U934" s="17" t="str">
        <x:v>true</x:v>
      </x:c>
      <x:c r="V934" s="17" t="str">
        <x:v>false</x:v>
      </x:c>
    </x:row>
    <x:row r="935" ht="80" customHeight="1">
      <x:c r="A935" s="25" t="str">
        <x:v>Closure</x:v>
      </x:c>
      <x:c r="B935" s="25" t="n">
        <x:v>111</x:v>
      </x:c>
      <x:c r="C935" s="25" t="str">
        <x:v>Round2</x:v>
      </x:c>
      <x:c r="D935" s="25" t="str">
        <x:v>NOT_AVAILABLE</x:v>
      </x:c>
      <x:c r="E935" s="25" t="str">
        <x:v>N/A</x:v>
      </x:c>
      <x:c r="F935" s="26" t="str">
        <x:v>Tests exist but current coverage did not complete</x:v>
      </x:c>
      <x:c r="G935" s="25" t="str">
        <x:v>true</x:v>
      </x:c>
      <x:c r="H935" s="25" t="str">
        <x:v>NOT_AVAILABLE</x:v>
      </x:c>
      <x:c r="I935" s="25" t="str">
        <x:v>NOT_RUN</x:v>
      </x:c>
      <x:c r="J935" s="25" t="str">
        <x:v>NOT_RUN</x:v>
      </x:c>
      <x:c r="K935" s="25" t="n">
        <x:v>1</x:v>
      </x:c>
      <x:c r="L935" s="27" t="b">
        <x:v>0</x:v>
      </x:c>
      <x:c r="M935" s="25" t="str">
        <x:v>Deepseek-flash-v4/state/Round2/status/Closure_111.json; Deepseek-flash-v4/state/Round2/shards/Closure_111.json</x:v>
      </x:c>
      <x:c r="N935" s="25" t="str">
        <x:v>Deepseek-flash-v4/Result2/Closure_111/result.json</x:v>
      </x:c>
      <x:c r="O935" s="25" t="str">
        <x:v>Deepseek-flash-v4/Result2/Closure_111/result.json</x:v>
      </x:c>
      <x:c r="P935" t="str">
        <x:v>BOTH_NOT_RUN</x:v>
      </x:c>
      <x:c r="Q935" s="21" t="str"/>
      <x:c r="R935" s="21" t="str"/>
      <x:c r="S935" s="21" t="str"/>
      <x:c r="T935" s="17" t="str">
        <x:v>false</x:v>
      </x:c>
      <x:c r="U935" s="17" t="str">
        <x:v>true</x:v>
      </x:c>
      <x:c r="V935" s="17" t="str">
        <x:v>false</x:v>
      </x:c>
    </x:row>
    <x:row r="936" ht="80" customHeight="1">
      <x:c r="A936" s="25" t="str">
        <x:v>Closure</x:v>
      </x:c>
      <x:c r="B936" s="25" t="n">
        <x:v>112</x:v>
      </x:c>
      <x:c r="C936" s="25" t="str">
        <x:v>Round2</x:v>
      </x:c>
      <x:c r="D936" s="25" t="str">
        <x:v>NOT_AVAILABLE</x:v>
      </x:c>
      <x:c r="E936" s="25" t="str">
        <x:v>N/A</x:v>
      </x:c>
      <x:c r="F936" s="26" t="str">
        <x:v>Tests exist but current coverage did not complete</x:v>
      </x:c>
      <x:c r="G936" s="25" t="str">
        <x:v>true</x:v>
      </x:c>
      <x:c r="H936" s="25" t="str">
        <x:v>NOT_AVAILABLE</x:v>
      </x:c>
      <x:c r="I936" s="25" t="str">
        <x:v>NOT_RUN</x:v>
      </x:c>
      <x:c r="J936" s="25" t="str">
        <x:v>NOT_RUN</x:v>
      </x:c>
      <x:c r="K936" s="25" t="n">
        <x:v>1</x:v>
      </x:c>
      <x:c r="L936" s="27" t="b">
        <x:v>0</x:v>
      </x:c>
      <x:c r="M936" s="25" t="str">
        <x:v>Deepseek-flash-v4/state/Round2/status/Closure_112.json; Deepseek-flash-v4/state/Round2/shards/Closure_112.json</x:v>
      </x:c>
      <x:c r="N936" s="25" t="str">
        <x:v>Deepseek-flash-v4/Result2/Closure_112/result.json</x:v>
      </x:c>
      <x:c r="O936" s="25" t="str">
        <x:v>Deepseek-flash-v4/Result2/Closure_112/result.json</x:v>
      </x:c>
      <x:c r="P936" t="str">
        <x:v>BOTH_NOT_RUN</x:v>
      </x:c>
      <x:c r="Q936" s="21" t="str"/>
      <x:c r="R936" s="21" t="str"/>
      <x:c r="S936" s="21" t="str"/>
      <x:c r="T936" s="17" t="str">
        <x:v>false</x:v>
      </x:c>
      <x:c r="U936" s="17" t="str">
        <x:v>true</x:v>
      </x:c>
      <x:c r="V936" s="17" t="str">
        <x:v>false</x:v>
      </x:c>
    </x:row>
    <x:row r="937" ht="80" customHeight="1">
      <x:c r="A937" s="25" t="str">
        <x:v>Closure</x:v>
      </x:c>
      <x:c r="B937" s="25" t="n">
        <x:v>113</x:v>
      </x:c>
      <x:c r="C937" s="25" t="str">
        <x:v>Round2</x:v>
      </x:c>
      <x:c r="D937" s="25" t="str">
        <x:v>NOT_AVAILABLE</x:v>
      </x:c>
      <x:c r="E937" s="25" t="str">
        <x:v>N/A</x:v>
      </x:c>
      <x:c r="F937" s="26" t="str">
        <x:v>Tests exist but current coverage did not complete</x:v>
      </x:c>
      <x:c r="G937" s="25" t="str">
        <x:v>true</x:v>
      </x:c>
      <x:c r="H937" s="25" t="str">
        <x:v>NOT_AVAILABLE</x:v>
      </x:c>
      <x:c r="I937" s="25" t="str">
        <x:v>NOT_RUN</x:v>
      </x:c>
      <x:c r="J937" s="25" t="str">
        <x:v>NOT_RUN</x:v>
      </x:c>
      <x:c r="K937" s="25" t="n">
        <x:v>1</x:v>
      </x:c>
      <x:c r="L937" s="27" t="b">
        <x:v>0</x:v>
      </x:c>
      <x:c r="M937" s="25" t="str">
        <x:v>Deepseek-flash-v4/state/Round2/status/Closure_113.json; Deepseek-flash-v4/state/Round2/shards/Closure_113.json</x:v>
      </x:c>
      <x:c r="N937" s="25" t="str">
        <x:v>Deepseek-flash-v4/Result2/Closure_113/result.json</x:v>
      </x:c>
      <x:c r="O937" s="25" t="str">
        <x:v>Deepseek-flash-v4/Result2/Closure_113/result.json</x:v>
      </x:c>
      <x:c r="P937" t="str">
        <x:v>BOTH_NOT_RUN</x:v>
      </x:c>
      <x:c r="Q937" s="21" t="str"/>
      <x:c r="R937" s="21" t="str"/>
      <x:c r="S937" s="21" t="str"/>
      <x:c r="T937" s="17" t="str">
        <x:v>false</x:v>
      </x:c>
      <x:c r="U937" s="17" t="str">
        <x:v>true</x:v>
      </x:c>
      <x:c r="V937" s="17" t="str">
        <x:v>false</x:v>
      </x:c>
    </x:row>
    <x:row r="938" ht="80" customHeight="1">
      <x:c r="A938" s="25" t="str">
        <x:v>Closure</x:v>
      </x:c>
      <x:c r="B938" s="25" t="n">
        <x:v>114</x:v>
      </x:c>
      <x:c r="C938" s="25" t="str">
        <x:v>Round2</x:v>
      </x:c>
      <x:c r="D938" s="25" t="str">
        <x:v>NOT_AVAILABLE</x:v>
      </x:c>
      <x:c r="E938" s="25" t="str">
        <x:v>N/A</x:v>
      </x:c>
      <x:c r="F938" s="26" t="str">
        <x:v>Tests exist but current coverage did not complete</x:v>
      </x:c>
      <x:c r="G938" s="25" t="str">
        <x:v>true</x:v>
      </x:c>
      <x:c r="H938" s="25" t="str">
        <x:v>NOT_AVAILABLE</x:v>
      </x:c>
      <x:c r="I938" s="25" t="str">
        <x:v>NOT_RUN</x:v>
      </x:c>
      <x:c r="J938" s="25" t="str">
        <x:v>NOT_RUN</x:v>
      </x:c>
      <x:c r="K938" s="25" t="n">
        <x:v>1</x:v>
      </x:c>
      <x:c r="L938" s="27" t="b">
        <x:v>0</x:v>
      </x:c>
      <x:c r="M938" s="25" t="str">
        <x:v>Deepseek-flash-v4/state/Round2/status/Closure_114.json; Deepseek-flash-v4/state/Round2/shards/Closure_114.json</x:v>
      </x:c>
      <x:c r="N938" s="25" t="str">
        <x:v>Deepseek-flash-v4/Result2/Closure_114/result.json</x:v>
      </x:c>
      <x:c r="O938" s="25" t="str">
        <x:v>Deepseek-flash-v4/Result2/Closure_114/result.json</x:v>
      </x:c>
      <x:c r="P938" t="str">
        <x:v>BOTH_NOT_RUN</x:v>
      </x:c>
      <x:c r="Q938" s="21" t="str"/>
      <x:c r="R938" s="21" t="str"/>
      <x:c r="S938" s="21" t="str"/>
      <x:c r="T938" s="17" t="str">
        <x:v>false</x:v>
      </x:c>
      <x:c r="U938" s="17" t="str">
        <x:v>true</x:v>
      </x:c>
      <x:c r="V938" s="17" t="str">
        <x:v>false</x:v>
      </x:c>
    </x:row>
    <x:row r="939" ht="80" customHeight="1">
      <x:c r="A939" s="25" t="str">
        <x:v>Closure</x:v>
      </x:c>
      <x:c r="B939" s="25" t="n">
        <x:v>115</x:v>
      </x:c>
      <x:c r="C939" s="25" t="str">
        <x:v>Round2</x:v>
      </x:c>
      <x:c r="D939" s="25" t="str">
        <x:v>NOT_AVAILABLE</x:v>
      </x:c>
      <x:c r="E939" s="25" t="str">
        <x:v>N/A</x:v>
      </x:c>
      <x:c r="F939" s="26" t="str">
        <x:v>Tests exist but current coverage did not complete</x:v>
      </x:c>
      <x:c r="G939" s="25" t="str">
        <x:v>true</x:v>
      </x:c>
      <x:c r="H939" s="25" t="str">
        <x:v>NOT_AVAILABLE</x:v>
      </x:c>
      <x:c r="I939" s="25" t="str">
        <x:v>NOT_RUN</x:v>
      </x:c>
      <x:c r="J939" s="25" t="str">
        <x:v>NOT_RUN</x:v>
      </x:c>
      <x:c r="K939" s="25" t="n">
        <x:v>1</x:v>
      </x:c>
      <x:c r="L939" s="27" t="b">
        <x:v>0</x:v>
      </x:c>
      <x:c r="M939" s="25" t="str">
        <x:v>Deepseek-flash-v4/state/Round2/status/Closure_115.json; Deepseek-flash-v4/state/Round2/shards/Closure_115.json</x:v>
      </x:c>
      <x:c r="N939" s="25" t="str">
        <x:v>Deepseek-flash-v4/Result2/Closure_115/result.json</x:v>
      </x:c>
      <x:c r="O939" s="25" t="str">
        <x:v>Deepseek-flash-v4/Result2/Closure_115/result.json</x:v>
      </x:c>
      <x:c r="P939" t="str">
        <x:v>BOTH_NOT_RUN</x:v>
      </x:c>
      <x:c r="Q939" s="21" t="str"/>
      <x:c r="R939" s="21" t="str"/>
      <x:c r="S939" s="21" t="str"/>
      <x:c r="T939" s="17" t="str">
        <x:v>false</x:v>
      </x:c>
      <x:c r="U939" s="17" t="str">
        <x:v>true</x:v>
      </x:c>
      <x:c r="V939" s="17" t="str">
        <x:v>false</x:v>
      </x:c>
    </x:row>
    <x:row r="940" ht="80" customHeight="1">
      <x:c r="A940" s="25" t="str">
        <x:v>Closure</x:v>
      </x:c>
      <x:c r="B940" s="25" t="n">
        <x:v>116</x:v>
      </x:c>
      <x:c r="C940" s="25" t="str">
        <x:v>Round2</x:v>
      </x:c>
      <x:c r="D940" s="25" t="str">
        <x:v>NOT_AVAILABLE</x:v>
      </x:c>
      <x:c r="E940" s="25" t="str">
        <x:v>N/A</x:v>
      </x:c>
      <x:c r="F940" s="26" t="str">
        <x:v>Tests exist but current coverage did not complete</x:v>
      </x:c>
      <x:c r="G940" s="25" t="str">
        <x:v>true</x:v>
      </x:c>
      <x:c r="H940" s="25" t="str">
        <x:v>NOT_AVAILABLE</x:v>
      </x:c>
      <x:c r="I940" s="25" t="str">
        <x:v>NOT_RUN</x:v>
      </x:c>
      <x:c r="J940" s="25" t="str">
        <x:v>NOT_RUN</x:v>
      </x:c>
      <x:c r="K940" s="25" t="n">
        <x:v>1</x:v>
      </x:c>
      <x:c r="L940" s="27" t="b">
        <x:v>0</x:v>
      </x:c>
      <x:c r="M940" s="25" t="str">
        <x:v>Deepseek-flash-v4/state/Round2/status/Closure_116.json; Deepseek-flash-v4/state/Round2/shards/Closure_116.json</x:v>
      </x:c>
      <x:c r="N940" s="25" t="str">
        <x:v>Deepseek-flash-v4/Result2/Closure_116/result.json</x:v>
      </x:c>
      <x:c r="O940" s="25" t="str">
        <x:v>Deepseek-flash-v4/Result2/Closure_116/result.json</x:v>
      </x:c>
      <x:c r="P940" t="str">
        <x:v>BOTH_NOT_RUN</x:v>
      </x:c>
      <x:c r="Q940" s="21" t="str"/>
      <x:c r="R940" s="21" t="str"/>
      <x:c r="S940" s="21" t="str"/>
      <x:c r="T940" s="17" t="str">
        <x:v>false</x:v>
      </x:c>
      <x:c r="U940" s="17" t="str">
        <x:v>true</x:v>
      </x:c>
      <x:c r="V940" s="17" t="str">
        <x:v>false</x:v>
      </x:c>
    </x:row>
    <x:row r="941" ht="80" customHeight="1">
      <x:c r="A941" s="25" t="str">
        <x:v>Closure</x:v>
      </x:c>
      <x:c r="B941" s="25" t="n">
        <x:v>117</x:v>
      </x:c>
      <x:c r="C941" s="25" t="str">
        <x:v>Round2</x:v>
      </x:c>
      <x:c r="D941" s="25" t="str">
        <x:v>NOT_AVAILABLE</x:v>
      </x:c>
      <x:c r="E941" s="25" t="str">
        <x:v>N/A</x:v>
      </x:c>
      <x:c r="F941" s="26" t="str">
        <x:v>Tests exist but current coverage did not complete</x:v>
      </x:c>
      <x:c r="G941" s="25" t="str">
        <x:v>true</x:v>
      </x:c>
      <x:c r="H941" s="25" t="str">
        <x:v>NOT_AVAILABLE</x:v>
      </x:c>
      <x:c r="I941" s="25" t="str">
        <x:v>NOT_RUN</x:v>
      </x:c>
      <x:c r="J941" s="25" t="str">
        <x:v>NOT_RUN</x:v>
      </x:c>
      <x:c r="K941" s="25" t="n">
        <x:v>1</x:v>
      </x:c>
      <x:c r="L941" s="27" t="b">
        <x:v>0</x:v>
      </x:c>
      <x:c r="M941" s="25" t="str">
        <x:v>Deepseek-flash-v4/state/Round2/status/Closure_117.json; Deepseek-flash-v4/state/Round2/shards/Closure_117.json</x:v>
      </x:c>
      <x:c r="N941" s="25" t="str">
        <x:v>Deepseek-flash-v4/Result2/Closure_117/result.json</x:v>
      </x:c>
      <x:c r="O941" s="25" t="str">
        <x:v>Deepseek-flash-v4/Result2/Closure_117/result.json</x:v>
      </x:c>
      <x:c r="P941" t="str">
        <x:v>BOTH_NOT_RUN</x:v>
      </x:c>
      <x:c r="Q941" s="21" t="str"/>
      <x:c r="R941" s="21" t="str"/>
      <x:c r="S941" s="21" t="str"/>
      <x:c r="T941" s="17" t="str">
        <x:v>false</x:v>
      </x:c>
      <x:c r="U941" s="17" t="str">
        <x:v>true</x:v>
      </x:c>
      <x:c r="V941" s="17" t="str">
        <x:v>false</x:v>
      </x:c>
    </x:row>
    <x:row r="942" ht="80" customHeight="1">
      <x:c r="A942" s="25" t="str">
        <x:v>Closure</x:v>
      </x:c>
      <x:c r="B942" s="25" t="n">
        <x:v>118</x:v>
      </x:c>
      <x:c r="C942" s="25" t="str">
        <x:v>Round2</x:v>
      </x:c>
      <x:c r="D942" s="25" t="str">
        <x:v>NOT_AVAILABLE</x:v>
      </x:c>
      <x:c r="E942" s="25" t="str">
        <x:v>N/A</x:v>
      </x:c>
      <x:c r="F942" s="26" t="str">
        <x:v>Tests exist but current coverage did not complete</x:v>
      </x:c>
      <x:c r="G942" s="25" t="str">
        <x:v>true</x:v>
      </x:c>
      <x:c r="H942" s="25" t="str">
        <x:v>NOT_AVAILABLE</x:v>
      </x:c>
      <x:c r="I942" s="25" t="str">
        <x:v>NOT_RUN</x:v>
      </x:c>
      <x:c r="J942" s="25" t="str">
        <x:v>NOT_RUN</x:v>
      </x:c>
      <x:c r="K942" s="25" t="n">
        <x:v>1</x:v>
      </x:c>
      <x:c r="L942" s="27" t="b">
        <x:v>0</x:v>
      </x:c>
      <x:c r="M942" s="25" t="str">
        <x:v>Deepseek-flash-v4/state/Round2/status/Closure_118.json; Deepseek-flash-v4/state/Round2/shards/Closure_118.json</x:v>
      </x:c>
      <x:c r="N942" s="25" t="str">
        <x:v>Deepseek-flash-v4/Result2/Closure_118/result.json</x:v>
      </x:c>
      <x:c r="O942" s="25" t="str">
        <x:v>Deepseek-flash-v4/Result2/Closure_118/result.json</x:v>
      </x:c>
      <x:c r="P942" t="str">
        <x:v>BOTH_NOT_RUN</x:v>
      </x:c>
      <x:c r="Q942" s="21" t="str"/>
      <x:c r="R942" s="21" t="str"/>
      <x:c r="S942" s="21" t="str"/>
      <x:c r="T942" s="17" t="str">
        <x:v>false</x:v>
      </x:c>
      <x:c r="U942" s="17" t="str">
        <x:v>true</x:v>
      </x:c>
      <x:c r="V942" s="17" t="str">
        <x:v>false</x:v>
      </x:c>
    </x:row>
    <x:row r="943" ht="80" customHeight="1">
      <x:c r="A943" s="25" t="str">
        <x:v>Closure</x:v>
      </x:c>
      <x:c r="B943" s="25" t="n">
        <x:v>119</x:v>
      </x:c>
      <x:c r="C943" s="25" t="str">
        <x:v>Round2</x:v>
      </x:c>
      <x:c r="D943" s="25" t="str">
        <x:v>NOT_AVAILABLE</x:v>
      </x:c>
      <x:c r="E943" s="25" t="str">
        <x:v>N/A</x:v>
      </x:c>
      <x:c r="F943" s="26" t="str">
        <x:v>Tests exist but current coverage did not complete</x:v>
      </x:c>
      <x:c r="G943" s="25" t="str">
        <x:v>true</x:v>
      </x:c>
      <x:c r="H943" s="25" t="str">
        <x:v>NOT_AVAILABLE</x:v>
      </x:c>
      <x:c r="I943" s="25" t="str">
        <x:v>NOT_RUN</x:v>
      </x:c>
      <x:c r="J943" s="25" t="str">
        <x:v>NOT_RUN</x:v>
      </x:c>
      <x:c r="K943" s="25" t="n">
        <x:v>1</x:v>
      </x:c>
      <x:c r="L943" s="27" t="b">
        <x:v>0</x:v>
      </x:c>
      <x:c r="M943" s="25" t="str">
        <x:v>Deepseek-flash-v4/state/Round2/status/Closure_119.json; Deepseek-flash-v4/state/Round2/shards/Closure_119.json</x:v>
      </x:c>
      <x:c r="N943" s="25" t="str">
        <x:v>Deepseek-flash-v4/Result2/Closure_119/result.json</x:v>
      </x:c>
      <x:c r="O943" s="25" t="str">
        <x:v>Deepseek-flash-v4/Result2/Closure_119/result.json</x:v>
      </x:c>
      <x:c r="P943" t="str">
        <x:v>BOTH_NOT_RUN</x:v>
      </x:c>
      <x:c r="Q943" s="21" t="str"/>
      <x:c r="R943" s="21" t="str"/>
      <x:c r="S943" s="21" t="str"/>
      <x:c r="T943" s="17" t="str">
        <x:v>false</x:v>
      </x:c>
      <x:c r="U943" s="17" t="str">
        <x:v>true</x:v>
      </x:c>
      <x:c r="V943" s="17" t="str">
        <x:v>false</x:v>
      </x:c>
    </x:row>
    <x:row r="944" ht="80" customHeight="1">
      <x:c r="A944" s="25" t="str">
        <x:v>Closure</x:v>
      </x:c>
      <x:c r="B944" s="25" t="n">
        <x:v>12</x:v>
      </x:c>
      <x:c r="C944" s="25" t="str">
        <x:v>Round2</x:v>
      </x:c>
      <x:c r="D944" s="25" t="str">
        <x:v>NOT_AVAILABLE</x:v>
      </x:c>
      <x:c r="E944" s="25" t="str">
        <x:v>N/A</x:v>
      </x:c>
      <x:c r="F944" s="26" t="str">
        <x:v>Tests exist but current coverage did not complete</x:v>
      </x:c>
      <x:c r="G944" s="25" t="str">
        <x:v>true</x:v>
      </x:c>
      <x:c r="H944" s="25" t="str">
        <x:v>NOT_AVAILABLE</x:v>
      </x:c>
      <x:c r="I944" s="25" t="str">
        <x:v>NOT_RUN</x:v>
      </x:c>
      <x:c r="J944" s="25" t="str">
        <x:v>NOT_RUN</x:v>
      </x:c>
      <x:c r="K944" s="25" t="n">
        <x:v>1</x:v>
      </x:c>
      <x:c r="L944" s="27" t="b">
        <x:v>0</x:v>
      </x:c>
      <x:c r="M944" s="25" t="str">
        <x:v>Deepseek-flash-v4/state/Round2/status/Closure_12.json; Deepseek-flash-v4/state/Round2/shards/Closure_12.json</x:v>
      </x:c>
      <x:c r="N944" s="25" t="str">
        <x:v>Deepseek-flash-v4/Result2/Closure_12/result.json</x:v>
      </x:c>
      <x:c r="O944" s="25" t="str">
        <x:v>Deepseek-flash-v4/Result2/Closure_12/result.json</x:v>
      </x:c>
      <x:c r="P944" t="str">
        <x:v>BOTH_NOT_RUN</x:v>
      </x:c>
      <x:c r="Q944" s="21" t="str"/>
      <x:c r="R944" s="21" t="str"/>
      <x:c r="S944" s="21" t="str"/>
      <x:c r="T944" s="17" t="str">
        <x:v>false</x:v>
      </x:c>
      <x:c r="U944" s="17" t="str">
        <x:v>true</x:v>
      </x:c>
      <x:c r="V944" s="17" t="str">
        <x:v>false</x:v>
      </x:c>
    </x:row>
    <x:row r="945" ht="80" customHeight="1">
      <x:c r="A945" s="25" t="str">
        <x:v>Closure</x:v>
      </x:c>
      <x:c r="B945" s="25" t="n">
        <x:v>120</x:v>
      </x:c>
      <x:c r="C945" s="25" t="str">
        <x:v>Round2</x:v>
      </x:c>
      <x:c r="D945" s="25" t="str">
        <x:v>NOT_AVAILABLE</x:v>
      </x:c>
      <x:c r="E945" s="25" t="str">
        <x:v>N/A</x:v>
      </x:c>
      <x:c r="F945" s="26" t="str">
        <x:v>Tests exist but current coverage did not complete</x:v>
      </x:c>
      <x:c r="G945" s="25" t="str">
        <x:v>true</x:v>
      </x:c>
      <x:c r="H945" s="25" t="str">
        <x:v>NOT_AVAILABLE</x:v>
      </x:c>
      <x:c r="I945" s="25" t="str">
        <x:v>NOT_RUN</x:v>
      </x:c>
      <x:c r="J945" s="25" t="str">
        <x:v>NOT_RUN</x:v>
      </x:c>
      <x:c r="K945" s="25" t="n">
        <x:v>1</x:v>
      </x:c>
      <x:c r="L945" s="27" t="b">
        <x:v>0</x:v>
      </x:c>
      <x:c r="M945" s="25" t="str">
        <x:v>Deepseek-flash-v4/state/Round2/status/Closure_120.json; Deepseek-flash-v4/state/Round2/shards/Closure_120.json</x:v>
      </x:c>
      <x:c r="N945" s="25" t="str">
        <x:v>Deepseek-flash-v4/Result2/Closure_120/result.json</x:v>
      </x:c>
      <x:c r="O945" s="25" t="str">
        <x:v>Deepseek-flash-v4/Result2/Closure_120/result.json</x:v>
      </x:c>
      <x:c r="P945" t="str">
        <x:v>BOTH_NOT_RUN</x:v>
      </x:c>
      <x:c r="Q945" s="21" t="str"/>
      <x:c r="R945" s="21" t="str"/>
      <x:c r="S945" s="21" t="str"/>
      <x:c r="T945" s="17" t="str">
        <x:v>false</x:v>
      </x:c>
      <x:c r="U945" s="17" t="str">
        <x:v>true</x:v>
      </x:c>
      <x:c r="V945" s="17" t="str">
        <x:v>false</x:v>
      </x:c>
    </x:row>
    <x:row r="946" ht="80" customHeight="1">
      <x:c r="A946" s="25" t="str">
        <x:v>Closure</x:v>
      </x:c>
      <x:c r="B946" s="25" t="n">
        <x:v>121</x:v>
      </x:c>
      <x:c r="C946" s="25" t="str">
        <x:v>Round2</x:v>
      </x:c>
      <x:c r="D946" s="25" t="str">
        <x:v>INCONCLUSIVE</x:v>
      </x:c>
      <x:c r="E946" s="25" t="str">
        <x:v>N/A</x:v>
      </x:c>
      <x:c r="F946" s="26" t="str">
        <x:v>Fixed also failed; assertion failure cannot be attributed to this bug</x:v>
      </x:c>
      <x:c r="G946" s="25" t="str">
        <x:v>true</x:v>
      </x:c>
      <x:c r="H946" s="25" t="str">
        <x:v>INCONCLUSIVE</x:v>
      </x:c>
      <x:c r="I946" s="25" t="str">
        <x:v>FAIL</x:v>
      </x:c>
      <x:c r="J946" s="25" t="str">
        <x:v>FAIL</x:v>
      </x:c>
      <x:c r="K946" s="25" t="n">
        <x:v>1</x:v>
      </x:c>
      <x:c r="L946" s="27" t="b">
        <x:v>0</x:v>
      </x:c>
      <x:c r="M946" s="25" t="str">
        <x:v>Deepseek-flash-v4/state/Round2/status/Closure_121.json; Deepseek-flash-v4/state/Round2/shards/Closure_121.json</x:v>
      </x:c>
      <x:c r="N946" s="25" t="str">
        <x:v>Deepseek-flash-v4/Result2/Closure_121/result.json</x:v>
      </x:c>
      <x:c r="O946" s="25" t="str">
        <x:v>Deepseek-flash-v4/Result2/Closure_121/result.json</x:v>
      </x:c>
      <x:c r="P946"/>
      <x:c r="Q946" s="21" t="str"/>
      <x:c r="R946" s="21" t="str"/>
      <x:c r="S946" s="21" t="str"/>
      <x:c r="T946" s="17" t="str">
        <x:v>false</x:v>
      </x:c>
      <x:c r="U946" s="17" t="str">
        <x:v>true</x:v>
      </x:c>
      <x:c r="V946" s="17" t="str">
        <x:v>false</x:v>
      </x:c>
    </x:row>
    <x:row r="947" ht="80" customHeight="1">
      <x:c r="A947" s="25" t="str">
        <x:v>Closure</x:v>
      </x:c>
      <x:c r="B947" s="25" t="n">
        <x:v>122</x:v>
      </x:c>
      <x:c r="C947" s="25" t="str">
        <x:v>Round2</x:v>
      </x:c>
      <x:c r="D947" s="25" t="str">
        <x:v>NOT_AVAILABLE</x:v>
      </x:c>
      <x:c r="E947" s="25" t="str">
        <x:v>N/A</x:v>
      </x:c>
      <x:c r="F947" s="26" t="str">
        <x:v>Tests exist but current coverage did not complete</x:v>
      </x:c>
      <x:c r="G947" s="25" t="str">
        <x:v>true</x:v>
      </x:c>
      <x:c r="H947" s="25" t="str">
        <x:v>NOT_AVAILABLE</x:v>
      </x:c>
      <x:c r="I947" s="25" t="str">
        <x:v>NOT_RUN</x:v>
      </x:c>
      <x:c r="J947" s="25" t="str">
        <x:v>NOT_RUN</x:v>
      </x:c>
      <x:c r="K947" s="25" t="n">
        <x:v>1</x:v>
      </x:c>
      <x:c r="L947" s="27" t="b">
        <x:v>0</x:v>
      </x:c>
      <x:c r="M947" s="25" t="str">
        <x:v>Deepseek-flash-v4/state/Round2/status/Closure_122.json; Deepseek-flash-v4/state/Round2/shards/Closure_122.json</x:v>
      </x:c>
      <x:c r="N947" s="25" t="str">
        <x:v>Deepseek-flash-v4/Result2/Closure_122/result.json</x:v>
      </x:c>
      <x:c r="O947" s="25" t="str">
        <x:v>Deepseek-flash-v4/Result2/Closure_122/result.json</x:v>
      </x:c>
      <x:c r="P947" t="str">
        <x:v>BOTH_NOT_RUN</x:v>
      </x:c>
      <x:c r="Q947" s="21" t="str"/>
      <x:c r="R947" s="21" t="str"/>
      <x:c r="S947" s="21" t="str"/>
      <x:c r="T947" s="17" t="str">
        <x:v>false</x:v>
      </x:c>
      <x:c r="U947" s="17" t="str">
        <x:v>true</x:v>
      </x:c>
      <x:c r="V947" s="17" t="str">
        <x:v>false</x:v>
      </x:c>
    </x:row>
    <x:row r="948" ht="80" customHeight="1">
      <x:c r="A948" s="25" t="str">
        <x:v>Closure</x:v>
      </x:c>
      <x:c r="B948" s="25" t="n">
        <x:v>123</x:v>
      </x:c>
      <x:c r="C948" s="25" t="str">
        <x:v>Round2</x:v>
      </x:c>
      <x:c r="D948" s="25" t="str">
        <x:v>NOT_AVAILABLE</x:v>
      </x:c>
      <x:c r="E948" s="25" t="str">
        <x:v>N/A</x:v>
      </x:c>
      <x:c r="F948" s="26" t="str">
        <x:v>Tests exist but current coverage did not complete</x:v>
      </x:c>
      <x:c r="G948" s="25" t="str">
        <x:v>true</x:v>
      </x:c>
      <x:c r="H948" s="25" t="str">
        <x:v>NOT_AVAILABLE</x:v>
      </x:c>
      <x:c r="I948" s="25" t="str">
        <x:v>NOT_RUN</x:v>
      </x:c>
      <x:c r="J948" s="25" t="str">
        <x:v>NOT_RUN</x:v>
      </x:c>
      <x:c r="K948" s="25" t="n">
        <x:v>1</x:v>
      </x:c>
      <x:c r="L948" s="27" t="b">
        <x:v>0</x:v>
      </x:c>
      <x:c r="M948" s="25" t="str">
        <x:v>Deepseek-flash-v4/state/Round2/status/Closure_123.json; Deepseek-flash-v4/state/Round2/shards/Closure_123.json</x:v>
      </x:c>
      <x:c r="N948" s="25" t="str">
        <x:v>Deepseek-flash-v4/Result2/Closure_123/result.json</x:v>
      </x:c>
      <x:c r="O948" s="25" t="str">
        <x:v>Deepseek-flash-v4/Result2/Closure_123/result.json</x:v>
      </x:c>
      <x:c r="P948" t="str">
        <x:v>BOTH_NOT_RUN</x:v>
      </x:c>
      <x:c r="Q948" s="21" t="str"/>
      <x:c r="R948" s="21" t="str"/>
      <x:c r="S948" s="21" t="str"/>
      <x:c r="T948" s="17" t="str">
        <x:v>false</x:v>
      </x:c>
      <x:c r="U948" s="17" t="str">
        <x:v>true</x:v>
      </x:c>
      <x:c r="V948" s="17" t="str">
        <x:v>false</x:v>
      </x:c>
    </x:row>
    <x:row r="949" ht="80" customHeight="1">
      <x:c r="A949" s="25" t="str">
        <x:v>Closure</x:v>
      </x:c>
      <x:c r="B949" s="25" t="n">
        <x:v>124</x:v>
      </x:c>
      <x:c r="C949" s="25" t="str">
        <x:v>Round2</x:v>
      </x:c>
      <x:c r="D949" s="25" t="str">
        <x:v>NOT_AVAILABLE</x:v>
      </x:c>
      <x:c r="E949" s="25" t="str">
        <x:v>N/A</x:v>
      </x:c>
      <x:c r="F949" s="26" t="str">
        <x:v>Tests exist but current coverage did not complete</x:v>
      </x:c>
      <x:c r="G949" s="25" t="str">
        <x:v>true</x:v>
      </x:c>
      <x:c r="H949" s="25" t="str">
        <x:v>NOT_AVAILABLE</x:v>
      </x:c>
      <x:c r="I949" s="25" t="str">
        <x:v>NOT_RUN</x:v>
      </x:c>
      <x:c r="J949" s="25" t="str">
        <x:v>NOT_RUN</x:v>
      </x:c>
      <x:c r="K949" s="25" t="n">
        <x:v>1</x:v>
      </x:c>
      <x:c r="L949" s="27" t="b">
        <x:v>0</x:v>
      </x:c>
      <x:c r="M949" s="25" t="str">
        <x:v>Deepseek-flash-v4/state/Round2/status/Closure_124.json; Deepseek-flash-v4/state/Round2/shards/Closure_124.json</x:v>
      </x:c>
      <x:c r="N949" s="25" t="str">
        <x:v>Deepseek-flash-v4/Result2/Closure_124/result.json</x:v>
      </x:c>
      <x:c r="O949" s="25" t="str">
        <x:v>Deepseek-flash-v4/Result2/Closure_124/result.json</x:v>
      </x:c>
      <x:c r="P949" t="str">
        <x:v>BOTH_NOT_RUN</x:v>
      </x:c>
      <x:c r="Q949" s="21" t="str"/>
      <x:c r="R949" s="21" t="str"/>
      <x:c r="S949" s="21" t="str"/>
      <x:c r="T949" s="17" t="str">
        <x:v>false</x:v>
      </x:c>
      <x:c r="U949" s="17" t="str">
        <x:v>true</x:v>
      </x:c>
      <x:c r="V949" s="17" t="str">
        <x:v>false</x:v>
      </x:c>
    </x:row>
    <x:row r="950" ht="80" customHeight="1">
      <x:c r="A950" s="25" t="str">
        <x:v>Closure</x:v>
      </x:c>
      <x:c r="B950" s="25" t="n">
        <x:v>125</x:v>
      </x:c>
      <x:c r="C950" s="25" t="str">
        <x:v>Round2</x:v>
      </x:c>
      <x:c r="D950" s="25" t="str">
        <x:v>NOT_AVAILABLE</x:v>
      </x:c>
      <x:c r="E950" s="25" t="str">
        <x:v>N/A</x:v>
      </x:c>
      <x:c r="F950" s="26" t="str">
        <x:v>Tests exist but current coverage did not complete</x:v>
      </x:c>
      <x:c r="G950" s="25" t="str">
        <x:v>true</x:v>
      </x:c>
      <x:c r="H950" s="25" t="str">
        <x:v>NOT_AVAILABLE</x:v>
      </x:c>
      <x:c r="I950" s="25" t="str">
        <x:v>NOT_RUN</x:v>
      </x:c>
      <x:c r="J950" s="25" t="str">
        <x:v>NOT_RUN</x:v>
      </x:c>
      <x:c r="K950" s="25" t="n">
        <x:v>1</x:v>
      </x:c>
      <x:c r="L950" s="27" t="b">
        <x:v>0</x:v>
      </x:c>
      <x:c r="M950" s="25" t="str">
        <x:v>Deepseek-flash-v4/state/Round2/status/Closure_125.json; Deepseek-flash-v4/state/Round2/shards/Closure_125.json</x:v>
      </x:c>
      <x:c r="N950" s="25" t="str">
        <x:v>Deepseek-flash-v4/Result2/Closure_125/result.json</x:v>
      </x:c>
      <x:c r="O950" s="25" t="str">
        <x:v>Deepseek-flash-v4/Result2/Closure_125/result.json</x:v>
      </x:c>
      <x:c r="P950" t="str">
        <x:v>BOTH_NOT_RUN</x:v>
      </x:c>
      <x:c r="Q950" s="21" t="str"/>
      <x:c r="R950" s="21" t="str"/>
      <x:c r="S950" s="21" t="str"/>
      <x:c r="T950" s="17" t="str">
        <x:v>false</x:v>
      </x:c>
      <x:c r="U950" s="17" t="str">
        <x:v>true</x:v>
      </x:c>
      <x:c r="V950" s="17" t="str">
        <x:v>false</x:v>
      </x:c>
    </x:row>
    <x:row r="951" ht="80" customHeight="1">
      <x:c r="A951" s="25" t="str">
        <x:v>Closure</x:v>
      </x:c>
      <x:c r="B951" s="25" t="n">
        <x:v>126</x:v>
      </x:c>
      <x:c r="C951" s="25" t="str">
        <x:v>Round2</x:v>
      </x:c>
      <x:c r="D951" s="25" t="str">
        <x:v>NOT_AVAILABLE</x:v>
      </x:c>
      <x:c r="E951" s="25" t="str">
        <x:v>N/A</x:v>
      </x:c>
      <x:c r="F951" s="26" t="str">
        <x:v>Tests exist but current coverage did not complete</x:v>
      </x:c>
      <x:c r="G951" s="25" t="str">
        <x:v>true</x:v>
      </x:c>
      <x:c r="H951" s="25" t="str">
        <x:v>NOT_AVAILABLE</x:v>
      </x:c>
      <x:c r="I951" s="25" t="str">
        <x:v>NOT_RUN</x:v>
      </x:c>
      <x:c r="J951" s="25" t="str">
        <x:v>NOT_RUN</x:v>
      </x:c>
      <x:c r="K951" s="25" t="n">
        <x:v>1</x:v>
      </x:c>
      <x:c r="L951" s="27" t="b">
        <x:v>0</x:v>
      </x:c>
      <x:c r="M951" s="25" t="str">
        <x:v>Deepseek-flash-v4/state/Round2/status/Closure_126.json; Deepseek-flash-v4/state/Round2/shards/Closure_126.json</x:v>
      </x:c>
      <x:c r="N951" s="25" t="str">
        <x:v>Deepseek-flash-v4/Result2/Closure_126/result.json</x:v>
      </x:c>
      <x:c r="O951" s="25" t="str">
        <x:v>Deepseek-flash-v4/Result2/Closure_126/result.json</x:v>
      </x:c>
      <x:c r="P951" t="str">
        <x:v>BOTH_NOT_RUN</x:v>
      </x:c>
      <x:c r="Q951" s="21" t="str"/>
      <x:c r="R951" s="21" t="str"/>
      <x:c r="S951" s="21" t="str"/>
      <x:c r="T951" s="17" t="str">
        <x:v>false</x:v>
      </x:c>
      <x:c r="U951" s="17" t="str">
        <x:v>true</x:v>
      </x:c>
      <x:c r="V951" s="17" t="str">
        <x:v>false</x:v>
      </x:c>
    </x:row>
    <x:row r="952" ht="80" customHeight="1">
      <x:c r="A952" s="25" t="str">
        <x:v>Closure</x:v>
      </x:c>
      <x:c r="B952" s="25" t="n">
        <x:v>127</x:v>
      </x:c>
      <x:c r="C952" s="25" t="str">
        <x:v>Round2</x:v>
      </x:c>
      <x:c r="D952" s="25" t="str">
        <x:v>NOT_AVAILABLE</x:v>
      </x:c>
      <x:c r="E952" s="25" t="str">
        <x:v>N/A</x:v>
      </x:c>
      <x:c r="F952" s="26" t="str">
        <x:v>Tests exist but current coverage did not complete</x:v>
      </x:c>
      <x:c r="G952" s="25" t="str">
        <x:v>true</x:v>
      </x:c>
      <x:c r="H952" s="25" t="str">
        <x:v>NOT_AVAILABLE</x:v>
      </x:c>
      <x:c r="I952" s="25" t="str">
        <x:v>NOT_RUN</x:v>
      </x:c>
      <x:c r="J952" s="25" t="str">
        <x:v>NOT_RUN</x:v>
      </x:c>
      <x:c r="K952" s="25" t="n">
        <x:v>1</x:v>
      </x:c>
      <x:c r="L952" s="27" t="b">
        <x:v>0</x:v>
      </x:c>
      <x:c r="M952" s="25" t="str">
        <x:v>Deepseek-flash-v4/state/Round2/status/Closure_127.json; Deepseek-flash-v4/state/Round2/shards/Closure_127.json</x:v>
      </x:c>
      <x:c r="N952" s="25" t="str">
        <x:v>Deepseek-flash-v4/Result2/Closure_127/result.json</x:v>
      </x:c>
      <x:c r="O952" s="25" t="str">
        <x:v>Deepseek-flash-v4/Result2/Closure_127/result.json</x:v>
      </x:c>
      <x:c r="P952" t="str">
        <x:v>BOTH_NOT_RUN</x:v>
      </x:c>
      <x:c r="Q952" s="21" t="str"/>
      <x:c r="R952" s="21" t="str"/>
      <x:c r="S952" s="21" t="str"/>
      <x:c r="T952" s="17" t="str">
        <x:v>false</x:v>
      </x:c>
      <x:c r="U952" s="17" t="str">
        <x:v>true</x:v>
      </x:c>
      <x:c r="V952" s="17" t="str">
        <x:v>false</x:v>
      </x:c>
    </x:row>
    <x:row r="953" ht="80" customHeight="1">
      <x:c r="A953" s="25" t="str">
        <x:v>Closure</x:v>
      </x:c>
      <x:c r="B953" s="25" t="n">
        <x:v>128</x:v>
      </x:c>
      <x:c r="C953" s="25" t="str">
        <x:v>Round2</x:v>
      </x:c>
      <x:c r="D953" s="25" t="str">
        <x:v>NOT_AVAILABLE</x:v>
      </x:c>
      <x:c r="E953" s="25" t="str">
        <x:v>N/A</x:v>
      </x:c>
      <x:c r="F953" s="26" t="str">
        <x:v>Tests exist but current coverage did not complete</x:v>
      </x:c>
      <x:c r="G953" s="25" t="str">
        <x:v>true</x:v>
      </x:c>
      <x:c r="H953" s="25" t="str">
        <x:v>NOT_AVAILABLE</x:v>
      </x:c>
      <x:c r="I953" s="25" t="str">
        <x:v>NOT_RUN</x:v>
      </x:c>
      <x:c r="J953" s="25" t="str">
        <x:v>NOT_RUN</x:v>
      </x:c>
      <x:c r="K953" s="25" t="n">
        <x:v>1</x:v>
      </x:c>
      <x:c r="L953" s="27" t="b">
        <x:v>0</x:v>
      </x:c>
      <x:c r="M953" s="25" t="str">
        <x:v>Deepseek-flash-v4/state/Round2/status/Closure_128.json; Deepseek-flash-v4/state/Round2/shards/Closure_128.json</x:v>
      </x:c>
      <x:c r="N953" s="25" t="str">
        <x:v>Deepseek-flash-v4/Result2/Closure_128/result.json</x:v>
      </x:c>
      <x:c r="O953" s="25" t="str">
        <x:v>Deepseek-flash-v4/Result2/Closure_128/result.json</x:v>
      </x:c>
      <x:c r="P953" t="str">
        <x:v>BOTH_NOT_RUN</x:v>
      </x:c>
      <x:c r="Q953" s="21" t="str"/>
      <x:c r="R953" s="21" t="str"/>
      <x:c r="S953" s="21" t="str"/>
      <x:c r="T953" s="17" t="str">
        <x:v>false</x:v>
      </x:c>
      <x:c r="U953" s="17" t="str">
        <x:v>true</x:v>
      </x:c>
      <x:c r="V953" s="17" t="str">
        <x:v>false</x:v>
      </x:c>
    </x:row>
    <x:row r="954" ht="80" customHeight="1">
      <x:c r="A954" s="25" t="str">
        <x:v>Closure</x:v>
      </x:c>
      <x:c r="B954" s="25" t="n">
        <x:v>129</x:v>
      </x:c>
      <x:c r="C954" s="25" t="str">
        <x:v>Round2</x:v>
      </x:c>
      <x:c r="D954" s="25" t="str">
        <x:v>NOT_AVAILABLE</x:v>
      </x:c>
      <x:c r="E954" s="25" t="str">
        <x:v>N/A</x:v>
      </x:c>
      <x:c r="F954" s="26" t="str">
        <x:v>Tests exist but current coverage did not complete</x:v>
      </x:c>
      <x:c r="G954" s="25" t="str">
        <x:v>true</x:v>
      </x:c>
      <x:c r="H954" s="25" t="str">
        <x:v>NOT_AVAILABLE</x:v>
      </x:c>
      <x:c r="I954" s="25" t="str">
        <x:v>NOT_RUN</x:v>
      </x:c>
      <x:c r="J954" s="25" t="str">
        <x:v>NOT_RUN</x:v>
      </x:c>
      <x:c r="K954" s="25" t="n">
        <x:v>1</x:v>
      </x:c>
      <x:c r="L954" s="27" t="b">
        <x:v>0</x:v>
      </x:c>
      <x:c r="M954" s="25" t="str">
        <x:v>Deepseek-flash-v4/state/Round2/status/Closure_129.json; Deepseek-flash-v4/state/Round2/shards/Closure_129.json</x:v>
      </x:c>
      <x:c r="N954" s="25" t="str">
        <x:v>Deepseek-flash-v4/Result2/Closure_129/result.json</x:v>
      </x:c>
      <x:c r="O954" s="25" t="str">
        <x:v>Deepseek-flash-v4/Result2/Closure_129/result.json</x:v>
      </x:c>
      <x:c r="P954" t="str">
        <x:v>BOTH_NOT_RUN</x:v>
      </x:c>
      <x:c r="Q954" s="21" t="str"/>
      <x:c r="R954" s="21" t="str"/>
      <x:c r="S954" s="21" t="str"/>
      <x:c r="T954" s="17" t="str">
        <x:v>false</x:v>
      </x:c>
      <x:c r="U954" s="17" t="str">
        <x:v>true</x:v>
      </x:c>
      <x:c r="V954" s="17" t="str">
        <x:v>false</x:v>
      </x:c>
    </x:row>
    <x:row r="955" ht="80" customHeight="1">
      <x:c r="A955" s="25" t="str">
        <x:v>Closure</x:v>
      </x:c>
      <x:c r="B955" s="25" t="n">
        <x:v>13</x:v>
      </x:c>
      <x:c r="C955" s="25" t="str">
        <x:v>Round2</x:v>
      </x:c>
      <x:c r="D955" s="25" t="str">
        <x:v>NOT_AVAILABLE</x:v>
      </x:c>
      <x:c r="E955" s="25" t="str">
        <x:v>N/A</x:v>
      </x:c>
      <x:c r="F955" s="26" t="str">
        <x:v>Tests exist but current coverage did not complete</x:v>
      </x:c>
      <x:c r="G955" s="25" t="str">
        <x:v>true</x:v>
      </x:c>
      <x:c r="H955" s="25" t="str">
        <x:v>NOT_AVAILABLE</x:v>
      </x:c>
      <x:c r="I955" s="25" t="str">
        <x:v>NOT_RUN</x:v>
      </x:c>
      <x:c r="J955" s="25" t="str">
        <x:v>NOT_RUN</x:v>
      </x:c>
      <x:c r="K955" s="25" t="n">
        <x:v>1</x:v>
      </x:c>
      <x:c r="L955" s="27" t="b">
        <x:v>0</x:v>
      </x:c>
      <x:c r="M955" s="25" t="str">
        <x:v>Deepseek-flash-v4/state/Round2/status/Closure_13.json; Deepseek-flash-v4/state/Round2/shards/Closure_13.json</x:v>
      </x:c>
      <x:c r="N955" s="25" t="str">
        <x:v>Deepseek-flash-v4/Result2/Closure_13/result.json</x:v>
      </x:c>
      <x:c r="O955" s="25" t="str">
        <x:v>Deepseek-flash-v4/Result2/Closure_13/result.json</x:v>
      </x:c>
      <x:c r="P955" t="str">
        <x:v>BOTH_NOT_RUN</x:v>
      </x:c>
      <x:c r="Q955" s="21" t="str"/>
      <x:c r="R955" s="21" t="str"/>
      <x:c r="S955" s="21" t="str"/>
      <x:c r="T955" s="17" t="str">
        <x:v>false</x:v>
      </x:c>
      <x:c r="U955" s="17" t="str">
        <x:v>true</x:v>
      </x:c>
      <x:c r="V955" s="17" t="str">
        <x:v>false</x:v>
      </x:c>
    </x:row>
    <x:row r="956" ht="80" customHeight="1">
      <x:c r="A956" s="25" t="str">
        <x:v>Closure</x:v>
      </x:c>
      <x:c r="B956" s="25" t="n">
        <x:v>130</x:v>
      </x:c>
      <x:c r="C956" s="25" t="str">
        <x:v>Round2</x:v>
      </x:c>
      <x:c r="D956" s="25" t="str">
        <x:v>NOT_AVAILABLE</x:v>
      </x:c>
      <x:c r="E956" s="25" t="str">
        <x:v>N/A</x:v>
      </x:c>
      <x:c r="F956" s="26" t="str">
        <x:v>Tests exist but current coverage did not complete</x:v>
      </x:c>
      <x:c r="G956" s="25" t="str">
        <x:v>true</x:v>
      </x:c>
      <x:c r="H956" s="25" t="str">
        <x:v>NOT_AVAILABLE</x:v>
      </x:c>
      <x:c r="I956" s="25" t="str">
        <x:v>NOT_RUN</x:v>
      </x:c>
      <x:c r="J956" s="25" t="str">
        <x:v>NOT_RUN</x:v>
      </x:c>
      <x:c r="K956" s="25" t="n">
        <x:v>1</x:v>
      </x:c>
      <x:c r="L956" s="27" t="b">
        <x:v>0</x:v>
      </x:c>
      <x:c r="M956" s="25" t="str">
        <x:v>Deepseek-flash-v4/state/Round2/status/Closure_130.json; Deepseek-flash-v4/state/Round2/shards/Closure_130.json</x:v>
      </x:c>
      <x:c r="N956" s="25" t="str">
        <x:v>Deepseek-flash-v4/Result2/Closure_130/result.json</x:v>
      </x:c>
      <x:c r="O956" s="25" t="str">
        <x:v>Deepseek-flash-v4/Result2/Closure_130/result.json</x:v>
      </x:c>
      <x:c r="P956" t="str">
        <x:v>BOTH_NOT_RUN</x:v>
      </x:c>
      <x:c r="Q956" s="21" t="str"/>
      <x:c r="R956" s="21" t="str"/>
      <x:c r="S956" s="21" t="str"/>
      <x:c r="T956" s="17" t="str">
        <x:v>false</x:v>
      </x:c>
      <x:c r="U956" s="17" t="str">
        <x:v>true</x:v>
      </x:c>
      <x:c r="V956" s="17" t="str">
        <x:v>false</x:v>
      </x:c>
    </x:row>
    <x:row r="957" ht="80" customHeight="1">
      <x:c r="A957" s="25" t="str">
        <x:v>Closure</x:v>
      </x:c>
      <x:c r="B957" s="25" t="n">
        <x:v>131</x:v>
      </x:c>
      <x:c r="C957" s="25" t="str">
        <x:v>Round2</x:v>
      </x:c>
      <x:c r="D957" s="25" t="str">
        <x:v>REVEALING</x:v>
      </x:c>
      <x:c r="E957" s="25" t="str">
        <x:v>N/A</x:v>
      </x:c>
      <x:c r="F957" s="26" t="str">
        <x:v>Same saved validation suite failed on buggy and passed on fixed; Same-round generation metadata missing; use saved tests and execution evidence, no failure inferred</x:v>
      </x:c>
      <x:c r="G957" s="25" t="str">
        <x:v>true</x:v>
      </x:c>
      <x:c r="H957" s="25" t="str">
        <x:v>REVEALING</x:v>
      </x:c>
      <x:c r="I957" s="25" t="str">
        <x:v>FAIL</x:v>
      </x:c>
      <x:c r="J957" s="25" t="str">
        <x:v>PASS</x:v>
      </x:c>
      <x:c r="K957" s="25" t="n">
        <x:v>1</x:v>
      </x:c>
      <x:c r="L957" s="27" t="b">
        <x:v>0</x:v>
      </x:c>
      <x:c r="M957" s="25"/>
      <x:c r="N957" s="25" t="str">
        <x:v>Deepseek-flash-v4/Result2/Closure_131/result.json</x:v>
      </x:c>
      <x:c r="O957" s="25" t="str">
        <x:v>Deepseek-flash-v4/Result2/Closure_131/result.json</x:v>
      </x:c>
      <x:c r="P957"/>
      <x:c r="Q957" s="21" t="str"/>
      <x:c r="R957" s="21" t="str"/>
      <x:c r="S957" s="21" t="str"/>
      <x:c r="T957" s="17" t="str">
        <x:v>false</x:v>
      </x:c>
      <x:c r="U957" s="17" t="str">
        <x:v>true</x:v>
      </x:c>
      <x:c r="V957" s="17" t="str">
        <x:v>false</x:v>
      </x:c>
    </x:row>
    <x:row r="958" ht="80" customHeight="1">
      <x:c r="A958" s="25" t="str">
        <x:v>Closure</x:v>
      </x:c>
      <x:c r="B958" s="25" t="n">
        <x:v>132</x:v>
      </x:c>
      <x:c r="C958" s="25" t="str">
        <x:v>Round2</x:v>
      </x:c>
      <x:c r="D958" s="25" t="str">
        <x:v>NOT_AVAILABLE</x:v>
      </x:c>
      <x:c r="E958" s="25" t="str">
        <x:v>N/A</x:v>
      </x:c>
      <x:c r="F958" s="26" t="str">
        <x:v>Tests exist but current coverage did not complete</x:v>
      </x:c>
      <x:c r="G958" s="25" t="str">
        <x:v>true</x:v>
      </x:c>
      <x:c r="H958" s="25" t="str">
        <x:v>NOT_AVAILABLE</x:v>
      </x:c>
      <x:c r="I958" s="25" t="str">
        <x:v>NOT_RUN</x:v>
      </x:c>
      <x:c r="J958" s="25" t="str">
        <x:v>NOT_RUN</x:v>
      </x:c>
      <x:c r="K958" s="25" t="n">
        <x:v>1</x:v>
      </x:c>
      <x:c r="L958" s="27" t="b">
        <x:v>0</x:v>
      </x:c>
      <x:c r="M958" s="25" t="str">
        <x:v>Deepseek-flash-v4/state/Round2/status/Closure_132.json; Deepseek-flash-v4/state/Round2/shards/Closure_132.json</x:v>
      </x:c>
      <x:c r="N958" s="25" t="str">
        <x:v>Deepseek-flash-v4/Result2/Closure_132/result.json</x:v>
      </x:c>
      <x:c r="O958" s="25" t="str">
        <x:v>Deepseek-flash-v4/Result2/Closure_132/result.json</x:v>
      </x:c>
      <x:c r="P958" t="str">
        <x:v>BOTH_NOT_RUN</x:v>
      </x:c>
      <x:c r="Q958" s="21" t="str"/>
      <x:c r="R958" s="21" t="str"/>
      <x:c r="S958" s="21" t="str"/>
      <x:c r="T958" s="17" t="str">
        <x:v>false</x:v>
      </x:c>
      <x:c r="U958" s="17" t="str">
        <x:v>true</x:v>
      </x:c>
      <x:c r="V958" s="17" t="str">
        <x:v>false</x:v>
      </x:c>
    </x:row>
    <x:row r="959" ht="80" customHeight="1">
      <x:c r="A959" s="25" t="str">
        <x:v>Closure</x:v>
      </x:c>
      <x:c r="B959" s="25" t="n">
        <x:v>133</x:v>
      </x:c>
      <x:c r="C959" s="25" t="str">
        <x:v>Round2</x:v>
      </x:c>
      <x:c r="D959" s="25" t="str">
        <x:v>NOT_AVAILABLE</x:v>
      </x:c>
      <x:c r="E959" s="25" t="str">
        <x:v>N/A</x:v>
      </x:c>
      <x:c r="F959" s="26" t="str">
        <x:v>Tests exist but current coverage did not complete</x:v>
      </x:c>
      <x:c r="G959" s="25" t="str">
        <x:v>true</x:v>
      </x:c>
      <x:c r="H959" s="25" t="str">
        <x:v>NOT_AVAILABLE</x:v>
      </x:c>
      <x:c r="I959" s="25" t="str">
        <x:v>NOT_RUN</x:v>
      </x:c>
      <x:c r="J959" s="25" t="str">
        <x:v>NOT_RUN</x:v>
      </x:c>
      <x:c r="K959" s="25" t="n">
        <x:v>1</x:v>
      </x:c>
      <x:c r="L959" s="27" t="b">
        <x:v>0</x:v>
      </x:c>
      <x:c r="M959" s="25" t="str">
        <x:v>Deepseek-flash-v4/state/Round2/status/Closure_133.json; Deepseek-flash-v4/state/Round2/shards/Closure_133.json</x:v>
      </x:c>
      <x:c r="N959" s="25" t="str">
        <x:v>Deepseek-flash-v4/Result2/Closure_133/result.json</x:v>
      </x:c>
      <x:c r="O959" s="25" t="str">
        <x:v>Deepseek-flash-v4/Result2/Closure_133/result.json</x:v>
      </x:c>
      <x:c r="P959" t="str">
        <x:v>BOTH_NOT_RUN</x:v>
      </x:c>
      <x:c r="Q959" s="21" t="str"/>
      <x:c r="R959" s="21" t="str"/>
      <x:c r="S959" s="21" t="str"/>
      <x:c r="T959" s="17" t="str">
        <x:v>false</x:v>
      </x:c>
      <x:c r="U959" s="17" t="str">
        <x:v>true</x:v>
      </x:c>
      <x:c r="V959" s="17" t="str">
        <x:v>false</x:v>
      </x:c>
    </x:row>
    <x:row r="960" ht="80" customHeight="1">
      <x:c r="A960" s="25" t="str">
        <x:v>Closure</x:v>
      </x:c>
      <x:c r="B960" s="25" t="n">
        <x:v>134</x:v>
      </x:c>
      <x:c r="C960" s="25" t="str">
        <x:v>Round2</x:v>
      </x:c>
      <x:c r="D960" s="25" t="str">
        <x:v>NOT_AVAILABLE</x:v>
      </x:c>
      <x:c r="E960" s="25" t="str">
        <x:v>N/A</x:v>
      </x:c>
      <x:c r="F960" s="26" t="str">
        <x:v>Tests exist but current coverage did not complete</x:v>
      </x:c>
      <x:c r="G960" s="25" t="str">
        <x:v>true</x:v>
      </x:c>
      <x:c r="H960" s="25" t="str">
        <x:v>NOT_AVAILABLE</x:v>
      </x:c>
      <x:c r="I960" s="25" t="str">
        <x:v>NOT_RUN</x:v>
      </x:c>
      <x:c r="J960" s="25" t="str">
        <x:v>NOT_RUN</x:v>
      </x:c>
      <x:c r="K960" s="25" t="n">
        <x:v>2</x:v>
      </x:c>
      <x:c r="L960" s="27" t="b">
        <x:v>0</x:v>
      </x:c>
      <x:c r="M960" s="25" t="str">
        <x:v>Deepseek-flash-v4/state/Round2/status/Closure_134.json; Deepseek-flash-v4/state/Round2/shards/Closure_134.json</x:v>
      </x:c>
      <x:c r="N960" s="25" t="str">
        <x:v>Deepseek-flash-v4/Result2/Closure_134/result.json</x:v>
      </x:c>
      <x:c r="O960" s="25" t="str">
        <x:v>Deepseek-flash-v4/Result2/Closure_134/result.json</x:v>
      </x:c>
      <x:c r="P960" t="str">
        <x:v>BOTH_NOT_RUN</x:v>
      </x:c>
      <x:c r="Q960" s="21" t="str"/>
      <x:c r="R960" s="21" t="str"/>
      <x:c r="S960" s="21" t="str"/>
      <x:c r="T960" s="17" t="str">
        <x:v>false</x:v>
      </x:c>
      <x:c r="U960" s="17" t="str">
        <x:v>true</x:v>
      </x:c>
      <x:c r="V960" s="17" t="str">
        <x:v>false</x:v>
      </x:c>
    </x:row>
    <x:row r="961" ht="80" customHeight="1">
      <x:c r="A961" s="25" t="str">
        <x:v>Closure</x:v>
      </x:c>
      <x:c r="B961" s="25" t="n">
        <x:v>135</x:v>
      </x:c>
      <x:c r="C961" s="25" t="str">
        <x:v>Round2</x:v>
      </x:c>
      <x:c r="D961" s="25" t="str">
        <x:v>NOT_AVAILABLE</x:v>
      </x:c>
      <x:c r="E961" s="25" t="str">
        <x:v>N/A</x:v>
      </x:c>
      <x:c r="F961" s="26" t="str">
        <x:v>Tests exist but current coverage did not complete</x:v>
      </x:c>
      <x:c r="G961" s="25" t="str">
        <x:v>true</x:v>
      </x:c>
      <x:c r="H961" s="25" t="str">
        <x:v>NOT_AVAILABLE</x:v>
      </x:c>
      <x:c r="I961" s="25" t="str">
        <x:v>NOT_RUN</x:v>
      </x:c>
      <x:c r="J961" s="25" t="str">
        <x:v>NOT_RUN</x:v>
      </x:c>
      <x:c r="K961" s="25" t="n">
        <x:v>2</x:v>
      </x:c>
      <x:c r="L961" s="27" t="b">
        <x:v>0</x:v>
      </x:c>
      <x:c r="M961" s="25" t="str">
        <x:v>Deepseek-flash-v4/state/Round2/status/Closure_135.json; Deepseek-flash-v4/state/Round2/shards/Closure_135.json</x:v>
      </x:c>
      <x:c r="N961" s="25" t="str">
        <x:v>Deepseek-flash-v4/Result2/Closure_135/result.json</x:v>
      </x:c>
      <x:c r="O961" s="25" t="str">
        <x:v>Deepseek-flash-v4/Result2/Closure_135/result.json</x:v>
      </x:c>
      <x:c r="P961" t="str">
        <x:v>BOTH_NOT_RUN</x:v>
      </x:c>
      <x:c r="Q961" s="21" t="str"/>
      <x:c r="R961" s="21" t="str"/>
      <x:c r="S961" s="21" t="str"/>
      <x:c r="T961" s="17" t="str">
        <x:v>false</x:v>
      </x:c>
      <x:c r="U961" s="17" t="str">
        <x:v>true</x:v>
      </x:c>
      <x:c r="V961" s="17" t="str">
        <x:v>false</x:v>
      </x:c>
    </x:row>
    <x:row r="962" ht="80" customHeight="1">
      <x:c r="A962" s="25" t="str">
        <x:v>Closure</x:v>
      </x:c>
      <x:c r="B962" s="25" t="n">
        <x:v>136</x:v>
      </x:c>
      <x:c r="C962" s="25" t="str">
        <x:v>Round2</x:v>
      </x:c>
      <x:c r="D962" s="25" t="str">
        <x:v>NOT_AVAILABLE</x:v>
      </x:c>
      <x:c r="E962" s="25" t="str">
        <x:v>N/A</x:v>
      </x:c>
      <x:c r="F962" s="26" t="str">
        <x:v>Tests exist but current coverage did not complete</x:v>
      </x:c>
      <x:c r="G962" s="25" t="str">
        <x:v>true</x:v>
      </x:c>
      <x:c r="H962" s="25" t="str">
        <x:v>NOT_AVAILABLE</x:v>
      </x:c>
      <x:c r="I962" s="25" t="str">
        <x:v>NOT_RUN</x:v>
      </x:c>
      <x:c r="J962" s="25" t="str">
        <x:v>NOT_RUN</x:v>
      </x:c>
      <x:c r="K962" s="25" t="n">
        <x:v>2</x:v>
      </x:c>
      <x:c r="L962" s="27" t="b">
        <x:v>0</x:v>
      </x:c>
      <x:c r="M962" s="25" t="str">
        <x:v>Deepseek-flash-v4/state/Round2/status/Closure_136.json; Deepseek-flash-v4/state/Round2/shards/Closure_136.json</x:v>
      </x:c>
      <x:c r="N962" s="25" t="str">
        <x:v>Deepseek-flash-v4/Result2/Closure_136/result.json</x:v>
      </x:c>
      <x:c r="O962" s="25" t="str">
        <x:v>Deepseek-flash-v4/Result2/Closure_136/result.json</x:v>
      </x:c>
      <x:c r="P962" t="str">
        <x:v>BOTH_NOT_RUN</x:v>
      </x:c>
      <x:c r="Q962" s="21" t="str"/>
      <x:c r="R962" s="21" t="str"/>
      <x:c r="S962" s="21" t="str"/>
      <x:c r="T962" s="17" t="str">
        <x:v>false</x:v>
      </x:c>
      <x:c r="U962" s="17" t="str">
        <x:v>true</x:v>
      </x:c>
      <x:c r="V962" s="17" t="str">
        <x:v>false</x:v>
      </x:c>
    </x:row>
    <x:row r="963" ht="80" customHeight="1">
      <x:c r="A963" s="25" t="str">
        <x:v>Closure</x:v>
      </x:c>
      <x:c r="B963" s="25" t="n">
        <x:v>137</x:v>
      </x:c>
      <x:c r="C963" s="25" t="str">
        <x:v>Round2</x:v>
      </x:c>
      <x:c r="D963" s="25" t="str">
        <x:v>NOT_AVAILABLE</x:v>
      </x:c>
      <x:c r="E963" s="25" t="str">
        <x:v>N/A</x:v>
      </x:c>
      <x:c r="F963" s="26" t="str">
        <x:v>Tests exist but current coverage did not complete</x:v>
      </x:c>
      <x:c r="G963" s="25" t="str">
        <x:v>true</x:v>
      </x:c>
      <x:c r="H963" s="25" t="str">
        <x:v>NOT_AVAILABLE</x:v>
      </x:c>
      <x:c r="I963" s="25" t="str">
        <x:v>NOT_RUN</x:v>
      </x:c>
      <x:c r="J963" s="25" t="str">
        <x:v>NOT_RUN</x:v>
      </x:c>
      <x:c r="K963" s="25" t="n">
        <x:v>3</x:v>
      </x:c>
      <x:c r="L963" s="27" t="b">
        <x:v>0</x:v>
      </x:c>
      <x:c r="M963" s="25" t="str">
        <x:v>Deepseek-flash-v4/state/Round2/status/Closure_137.json; Deepseek-flash-v4/state/Round2/shards/Closure_137.json</x:v>
      </x:c>
      <x:c r="N963" s="25" t="str">
        <x:v>Deepseek-flash-v4/Result2/Closure_137/result.json</x:v>
      </x:c>
      <x:c r="O963" s="25" t="str">
        <x:v>Deepseek-flash-v4/Result2/Closure_137/result.json</x:v>
      </x:c>
      <x:c r="P963" t="str">
        <x:v>BOTH_NOT_RUN</x:v>
      </x:c>
      <x:c r="Q963" s="21" t="str"/>
      <x:c r="R963" s="21" t="str"/>
      <x:c r="S963" s="21" t="str"/>
      <x:c r="T963" s="17" t="str">
        <x:v>false</x:v>
      </x:c>
      <x:c r="U963" s="17" t="str">
        <x:v>true</x:v>
      </x:c>
      <x:c r="V963" s="17" t="str">
        <x:v>false</x:v>
      </x:c>
    </x:row>
    <x:row r="964" ht="80" customHeight="1">
      <x:c r="A964" s="25" t="str">
        <x:v>Closure</x:v>
      </x:c>
      <x:c r="B964" s="25" t="n">
        <x:v>138</x:v>
      </x:c>
      <x:c r="C964" s="25" t="str">
        <x:v>Round2</x:v>
      </x:c>
      <x:c r="D964" s="25" t="str">
        <x:v>NOT_AVAILABLE</x:v>
      </x:c>
      <x:c r="E964" s="25" t="str">
        <x:v>N/A</x:v>
      </x:c>
      <x:c r="F964" s="26" t="str">
        <x:v>Tests exist but current coverage did not complete</x:v>
      </x:c>
      <x:c r="G964" s="25" t="str">
        <x:v>true</x:v>
      </x:c>
      <x:c r="H964" s="25" t="str">
        <x:v>NOT_AVAILABLE</x:v>
      </x:c>
      <x:c r="I964" s="25" t="str">
        <x:v>NOT_RUN</x:v>
      </x:c>
      <x:c r="J964" s="25" t="str">
        <x:v>NOT_RUN</x:v>
      </x:c>
      <x:c r="K964" s="25" t="n">
        <x:v>2</x:v>
      </x:c>
      <x:c r="L964" s="27" t="b">
        <x:v>0</x:v>
      </x:c>
      <x:c r="M964" s="25" t="str">
        <x:v>Deepseek-flash-v4/state/Round2/status/Closure_138.json; Deepseek-flash-v4/state/Round2/shards/Closure_138.json</x:v>
      </x:c>
      <x:c r="N964" s="25" t="str">
        <x:v>Deepseek-flash-v4/Result2/Closure_138/result.json</x:v>
      </x:c>
      <x:c r="O964" s="25" t="str">
        <x:v>Deepseek-flash-v4/Result2/Closure_138/result.json</x:v>
      </x:c>
      <x:c r="P964" t="str">
        <x:v>BOTH_NOT_RUN</x:v>
      </x:c>
      <x:c r="Q964" s="21" t="str"/>
      <x:c r="R964" s="21" t="str"/>
      <x:c r="S964" s="21" t="str"/>
      <x:c r="T964" s="17" t="str">
        <x:v>false</x:v>
      </x:c>
      <x:c r="U964" s="17" t="str">
        <x:v>true</x:v>
      </x:c>
      <x:c r="V964" s="17" t="str">
        <x:v>false</x:v>
      </x:c>
    </x:row>
    <x:row r="965" ht="80" customHeight="1">
      <x:c r="A965" s="25" t="str">
        <x:v>Closure</x:v>
      </x:c>
      <x:c r="B965" s="25" t="n">
        <x:v>139</x:v>
      </x:c>
      <x:c r="C965" s="25" t="str">
        <x:v>Round2</x:v>
      </x:c>
      <x:c r="D965" s="25" t="str">
        <x:v>NOT_AVAILABLE</x:v>
      </x:c>
      <x:c r="E965" s="25" t="str">
        <x:v>N/A</x:v>
      </x:c>
      <x:c r="F965" s="26" t="str">
        <x:v>Tests exist but current coverage did not complete</x:v>
      </x:c>
      <x:c r="G965" s="25" t="str">
        <x:v>true</x:v>
      </x:c>
      <x:c r="H965" s="25" t="str">
        <x:v>NOT_AVAILABLE</x:v>
      </x:c>
      <x:c r="I965" s="25" t="str">
        <x:v>NOT_RUN</x:v>
      </x:c>
      <x:c r="J965" s="25" t="str">
        <x:v>NOT_RUN</x:v>
      </x:c>
      <x:c r="K965" s="25" t="n">
        <x:v>1</x:v>
      </x:c>
      <x:c r="L965" s="27" t="b">
        <x:v>0</x:v>
      </x:c>
      <x:c r="M965" s="25" t="str">
        <x:v>Deepseek-flash-v4/state/Round2/status/Closure_139.json; Deepseek-flash-v4/state/Round2/shards/Closure_139.json</x:v>
      </x:c>
      <x:c r="N965" s="25" t="str">
        <x:v>Deepseek-flash-v4/Result2/Closure_139/result.json</x:v>
      </x:c>
      <x:c r="O965" s="25" t="str">
        <x:v>Deepseek-flash-v4/Result2/Closure_139/result.json</x:v>
      </x:c>
      <x:c r="P965" t="str">
        <x:v>BOTH_NOT_RUN</x:v>
      </x:c>
      <x:c r="Q965" s="21" t="str"/>
      <x:c r="R965" s="21" t="str"/>
      <x:c r="S965" s="21" t="str"/>
      <x:c r="T965" s="17" t="str">
        <x:v>false</x:v>
      </x:c>
      <x:c r="U965" s="17" t="str">
        <x:v>true</x:v>
      </x:c>
      <x:c r="V965" s="17" t="str">
        <x:v>false</x:v>
      </x:c>
    </x:row>
    <x:row r="966" ht="80" customHeight="1">
      <x:c r="A966" s="25" t="str">
        <x:v>Closure</x:v>
      </x:c>
      <x:c r="B966" s="25" t="n">
        <x:v>14</x:v>
      </x:c>
      <x:c r="C966" s="25" t="str">
        <x:v>Round2</x:v>
      </x:c>
      <x:c r="D966" s="25" t="str">
        <x:v>NOT_AVAILABLE</x:v>
      </x:c>
      <x:c r="E966" s="25" t="str">
        <x:v>N/A</x:v>
      </x:c>
      <x:c r="F966" s="26" t="str">
        <x:v>Tests exist but current coverage did not complete</x:v>
      </x:c>
      <x:c r="G966" s="25" t="str">
        <x:v>true</x:v>
      </x:c>
      <x:c r="H966" s="25" t="str">
        <x:v>NOT_AVAILABLE</x:v>
      </x:c>
      <x:c r="I966" s="25" t="str">
        <x:v>NOT_RUN</x:v>
      </x:c>
      <x:c r="J966" s="25" t="str">
        <x:v>NOT_RUN</x:v>
      </x:c>
      <x:c r="K966" s="25" t="n">
        <x:v>1</x:v>
      </x:c>
      <x:c r="L966" s="27" t="b">
        <x:v>0</x:v>
      </x:c>
      <x:c r="M966" s="25" t="str">
        <x:v>Deepseek-flash-v4/state/Round2/status/Closure_14.json; Deepseek-flash-v4/state/Round2/shards/Closure_14.json</x:v>
      </x:c>
      <x:c r="N966" s="25" t="str">
        <x:v>Deepseek-flash-v4/Result2/Closure_14/result.json</x:v>
      </x:c>
      <x:c r="O966" s="25" t="str">
        <x:v>Deepseek-flash-v4/Result2/Closure_14/result.json</x:v>
      </x:c>
      <x:c r="P966" t="str">
        <x:v>BOTH_NOT_RUN</x:v>
      </x:c>
      <x:c r="Q966" s="21" t="str"/>
      <x:c r="R966" s="21" t="str"/>
      <x:c r="S966" s="21" t="str"/>
      <x:c r="T966" s="17" t="str">
        <x:v>false</x:v>
      </x:c>
      <x:c r="U966" s="17" t="str">
        <x:v>true</x:v>
      </x:c>
      <x:c r="V966" s="17" t="str">
        <x:v>false</x:v>
      </x:c>
    </x:row>
    <x:row r="967" ht="80" customHeight="1">
      <x:c r="A967" s="25" t="str">
        <x:v>Closure</x:v>
      </x:c>
      <x:c r="B967" s="25" t="n">
        <x:v>140</x:v>
      </x:c>
      <x:c r="C967" s="25" t="str">
        <x:v>Round2</x:v>
      </x:c>
      <x:c r="D967" s="25" t="str">
        <x:v>NOT_AVAILABLE</x:v>
      </x:c>
      <x:c r="E967" s="25" t="str">
        <x:v>N/A</x:v>
      </x:c>
      <x:c r="F967" s="26" t="str">
        <x:v>Tests exist but current coverage did not complete</x:v>
      </x:c>
      <x:c r="G967" s="25" t="str">
        <x:v>true</x:v>
      </x:c>
      <x:c r="H967" s="25" t="str">
        <x:v>NOT_AVAILABLE</x:v>
      </x:c>
      <x:c r="I967" s="25" t="str">
        <x:v>NOT_RUN</x:v>
      </x:c>
      <x:c r="J967" s="25" t="str">
        <x:v>NOT_RUN</x:v>
      </x:c>
      <x:c r="K967" s="25" t="n">
        <x:v>1</x:v>
      </x:c>
      <x:c r="L967" s="27" t="b">
        <x:v>0</x:v>
      </x:c>
      <x:c r="M967" s="25" t="str">
        <x:v>Deepseek-flash-v4/state/Round2/status/Closure_140.json; Deepseek-flash-v4/state/Round2/shards/Closure_140.json</x:v>
      </x:c>
      <x:c r="N967" s="25" t="str">
        <x:v>Deepseek-flash-v4/Result2/Closure_140/result.json</x:v>
      </x:c>
      <x:c r="O967" s="25" t="str">
        <x:v>Deepseek-flash-v4/Result2/Closure_140/result.json</x:v>
      </x:c>
      <x:c r="P967" t="str">
        <x:v>BOTH_NOT_RUN</x:v>
      </x:c>
      <x:c r="Q967" s="21" t="str"/>
      <x:c r="R967" s="21" t="str"/>
      <x:c r="S967" s="21" t="str"/>
      <x:c r="T967" s="17" t="str">
        <x:v>false</x:v>
      </x:c>
      <x:c r="U967" s="17" t="str">
        <x:v>true</x:v>
      </x:c>
      <x:c r="V967" s="17" t="str">
        <x:v>false</x:v>
      </x:c>
    </x:row>
    <x:row r="968" ht="80" customHeight="1">
      <x:c r="A968" s="25" t="str">
        <x:v>Closure</x:v>
      </x:c>
      <x:c r="B968" s="25" t="n">
        <x:v>141</x:v>
      </x:c>
      <x:c r="C968" s="25" t="str">
        <x:v>Round2</x:v>
      </x:c>
      <x:c r="D968" s="25" t="str">
        <x:v>NOT_AVAILABLE</x:v>
      </x:c>
      <x:c r="E968" s="25" t="str">
        <x:v>N/A</x:v>
      </x:c>
      <x:c r="F968" s="26" t="str">
        <x:v>Tests exist but current coverage did not complete</x:v>
      </x:c>
      <x:c r="G968" s="25" t="str">
        <x:v>true</x:v>
      </x:c>
      <x:c r="H968" s="25" t="str">
        <x:v>NOT_AVAILABLE</x:v>
      </x:c>
      <x:c r="I968" s="25" t="str">
        <x:v>NOT_RUN</x:v>
      </x:c>
      <x:c r="J968" s="25" t="str">
        <x:v>NOT_RUN</x:v>
      </x:c>
      <x:c r="K968" s="25" t="n">
        <x:v>2</x:v>
      </x:c>
      <x:c r="L968" s="27" t="b">
        <x:v>0</x:v>
      </x:c>
      <x:c r="M968" s="25" t="str">
        <x:v>Deepseek-flash-v4/state/Round2/status/Closure_141.json; Deepseek-flash-v4/state/Round2/shards/Closure_141.json</x:v>
      </x:c>
      <x:c r="N968" s="25" t="str">
        <x:v>Deepseek-flash-v4/Result2/Closure_141/result.json</x:v>
      </x:c>
      <x:c r="O968" s="25" t="str">
        <x:v>Deepseek-flash-v4/Result2/Closure_141/result.json</x:v>
      </x:c>
      <x:c r="P968" t="str">
        <x:v>BOTH_NOT_RUN</x:v>
      </x:c>
      <x:c r="Q968" s="21" t="str"/>
      <x:c r="R968" s="21" t="str"/>
      <x:c r="S968" s="21" t="str"/>
      <x:c r="T968" s="17" t="str">
        <x:v>false</x:v>
      </x:c>
      <x:c r="U968" s="17" t="str">
        <x:v>true</x:v>
      </x:c>
      <x:c r="V968" s="17" t="str">
        <x:v>false</x:v>
      </x:c>
    </x:row>
    <x:row r="969" ht="80" customHeight="1">
      <x:c r="A969" s="25" t="str">
        <x:v>Closure</x:v>
      </x:c>
      <x:c r="B969" s="25" t="n">
        <x:v>142</x:v>
      </x:c>
      <x:c r="C969" s="25" t="str">
        <x:v>Round2</x:v>
      </x:c>
      <x:c r="D969" s="25" t="str">
        <x:v>NOT_AVAILABLE</x:v>
      </x:c>
      <x:c r="E969" s="25" t="str">
        <x:v>N/A</x:v>
      </x:c>
      <x:c r="F969" s="26" t="str">
        <x:v>Tests exist but current coverage did not complete</x:v>
      </x:c>
      <x:c r="G969" s="25" t="str">
        <x:v>true</x:v>
      </x:c>
      <x:c r="H969" s="25" t="str">
        <x:v>NOT_AVAILABLE</x:v>
      </x:c>
      <x:c r="I969" s="25" t="str">
        <x:v>NOT_RUN</x:v>
      </x:c>
      <x:c r="J969" s="25" t="str">
        <x:v>NOT_RUN</x:v>
      </x:c>
      <x:c r="K969" s="25" t="n">
        <x:v>2</x:v>
      </x:c>
      <x:c r="L969" s="27" t="b">
        <x:v>0</x:v>
      </x:c>
      <x:c r="M969" s="25" t="str">
        <x:v>Deepseek-flash-v4/state/Round2/status/Closure_142.json; Deepseek-flash-v4/state/Round2/shards/Closure_142.json</x:v>
      </x:c>
      <x:c r="N969" s="25" t="str">
        <x:v>Deepseek-flash-v4/Result2/Closure_142/result.json</x:v>
      </x:c>
      <x:c r="O969" s="25" t="str">
        <x:v>Deepseek-flash-v4/Result2/Closure_142/result.json</x:v>
      </x:c>
      <x:c r="P969" t="str">
        <x:v>BOTH_NOT_RUN</x:v>
      </x:c>
      <x:c r="Q969" s="21" t="str"/>
      <x:c r="R969" s="21" t="str"/>
      <x:c r="S969" s="21" t="str"/>
      <x:c r="T969" s="17" t="str">
        <x:v>false</x:v>
      </x:c>
      <x:c r="U969" s="17" t="str">
        <x:v>true</x:v>
      </x:c>
      <x:c r="V969" s="17" t="str">
        <x:v>false</x:v>
      </x:c>
    </x:row>
    <x:row r="970" ht="80" customHeight="1">
      <x:c r="A970" s="25" t="str">
        <x:v>Closure</x:v>
      </x:c>
      <x:c r="B970" s="25" t="n">
        <x:v>143</x:v>
      </x:c>
      <x:c r="C970" s="25" t="str">
        <x:v>Round2</x:v>
      </x:c>
      <x:c r="D970" s="25" t="str">
        <x:v>NOT_AVAILABLE</x:v>
      </x:c>
      <x:c r="E970" s="25" t="str">
        <x:v>N/A</x:v>
      </x:c>
      <x:c r="F970" s="26" t="str">
        <x:v>Tests exist but current coverage did not complete</x:v>
      </x:c>
      <x:c r="G970" s="25" t="str">
        <x:v>true</x:v>
      </x:c>
      <x:c r="H970" s="25" t="str">
        <x:v>NOT_AVAILABLE</x:v>
      </x:c>
      <x:c r="I970" s="25" t="str">
        <x:v>NOT_RUN</x:v>
      </x:c>
      <x:c r="J970" s="25" t="str">
        <x:v>NOT_RUN</x:v>
      </x:c>
      <x:c r="K970" s="25" t="n">
        <x:v>2</x:v>
      </x:c>
      <x:c r="L970" s="27" t="b">
        <x:v>0</x:v>
      </x:c>
      <x:c r="M970" s="25" t="str">
        <x:v>Deepseek-flash-v4/state/Round2/status/Closure_143.json; Deepseek-flash-v4/state/Round2/shards/Closure_143.json</x:v>
      </x:c>
      <x:c r="N970" s="25" t="str">
        <x:v>Deepseek-flash-v4/Result2/Closure_143/result.json</x:v>
      </x:c>
      <x:c r="O970" s="25" t="str">
        <x:v>Deepseek-flash-v4/Result2/Closure_143/result.json</x:v>
      </x:c>
      <x:c r="P970" t="str">
        <x:v>BOTH_NOT_RUN</x:v>
      </x:c>
      <x:c r="Q970" s="21" t="str"/>
      <x:c r="R970" s="21" t="str"/>
      <x:c r="S970" s="21" t="str"/>
      <x:c r="T970" s="17" t="str">
        <x:v>false</x:v>
      </x:c>
      <x:c r="U970" s="17" t="str">
        <x:v>true</x:v>
      </x:c>
      <x:c r="V970" s="17" t="str">
        <x:v>false</x:v>
      </x:c>
    </x:row>
    <x:row r="971" ht="80" customHeight="1">
      <x:c r="A971" s="25" t="str">
        <x:v>Closure</x:v>
      </x:c>
      <x:c r="B971" s="25" t="n">
        <x:v>144</x:v>
      </x:c>
      <x:c r="C971" s="25" t="str">
        <x:v>Round2</x:v>
      </x:c>
      <x:c r="D971" s="25" t="str">
        <x:v>NOT_AVAILABLE</x:v>
      </x:c>
      <x:c r="E971" s="25" t="str">
        <x:v>N/A</x:v>
      </x:c>
      <x:c r="F971" s="26" t="str">
        <x:v>Tests exist but current coverage did not complete</x:v>
      </x:c>
      <x:c r="G971" s="25" t="str">
        <x:v>true</x:v>
      </x:c>
      <x:c r="H971" s="25" t="str">
        <x:v>NOT_AVAILABLE</x:v>
      </x:c>
      <x:c r="I971" s="25" t="str">
        <x:v>NOT_RUN</x:v>
      </x:c>
      <x:c r="J971" s="25" t="str">
        <x:v>NOT_RUN</x:v>
      </x:c>
      <x:c r="K971" s="25" t="n">
        <x:v>4</x:v>
      </x:c>
      <x:c r="L971" s="27" t="b">
        <x:v>0</x:v>
      </x:c>
      <x:c r="M971" s="25" t="str">
        <x:v>Deepseek-flash-v4/state/Round2/status/Closure_144.json; Deepseek-flash-v4/state/Round2/shards/Closure_144.json</x:v>
      </x:c>
      <x:c r="N971" s="25" t="str">
        <x:v>Deepseek-flash-v4/Result2/Closure_144/result.json</x:v>
      </x:c>
      <x:c r="O971" s="25" t="str">
        <x:v>Deepseek-flash-v4/Result2/Closure_144/result.json</x:v>
      </x:c>
      <x:c r="P971" t="str">
        <x:v>BOTH_NOT_RUN</x:v>
      </x:c>
      <x:c r="Q971" s="21" t="str"/>
      <x:c r="R971" s="21" t="str"/>
      <x:c r="S971" s="21" t="str"/>
      <x:c r="T971" s="17" t="str">
        <x:v>false</x:v>
      </x:c>
      <x:c r="U971" s="17" t="str">
        <x:v>true</x:v>
      </x:c>
      <x:c r="V971" s="17" t="str">
        <x:v>false</x:v>
      </x:c>
    </x:row>
    <x:row r="972" ht="80" customHeight="1">
      <x:c r="A972" s="25" t="str">
        <x:v>Closure</x:v>
      </x:c>
      <x:c r="B972" s="25" t="n">
        <x:v>145</x:v>
      </x:c>
      <x:c r="C972" s="25" t="str">
        <x:v>Round2</x:v>
      </x:c>
      <x:c r="D972" s="25" t="str">
        <x:v>NOT_AVAILABLE</x:v>
      </x:c>
      <x:c r="E972" s="25" t="str">
        <x:v>N/A</x:v>
      </x:c>
      <x:c r="F972" s="26" t="str">
        <x:v>Tests exist but current coverage did not complete</x:v>
      </x:c>
      <x:c r="G972" s="25" t="str">
        <x:v>true</x:v>
      </x:c>
      <x:c r="H972" s="25" t="str">
        <x:v>NOT_AVAILABLE</x:v>
      </x:c>
      <x:c r="I972" s="25" t="str">
        <x:v>NOT_RUN</x:v>
      </x:c>
      <x:c r="J972" s="25" t="str">
        <x:v>NOT_RUN</x:v>
      </x:c>
      <x:c r="K972" s="25" t="n">
        <x:v>1</x:v>
      </x:c>
      <x:c r="L972" s="27" t="b">
        <x:v>0</x:v>
      </x:c>
      <x:c r="M972" s="25" t="str">
        <x:v>Deepseek-flash-v4/state/Round2/status/Closure_145.json; Deepseek-flash-v4/state/Round2/shards/Closure_145.json</x:v>
      </x:c>
      <x:c r="N972" s="25" t="str">
        <x:v>Deepseek-flash-v4/Result2/Closure_145/result.json</x:v>
      </x:c>
      <x:c r="O972" s="25" t="str">
        <x:v>Deepseek-flash-v4/Result2/Closure_145/result.json</x:v>
      </x:c>
      <x:c r="P972" t="str">
        <x:v>BOTH_NOT_RUN</x:v>
      </x:c>
      <x:c r="Q972" s="21" t="str"/>
      <x:c r="R972" s="21" t="str"/>
      <x:c r="S972" s="21" t="str"/>
      <x:c r="T972" s="17" t="str">
        <x:v>false</x:v>
      </x:c>
      <x:c r="U972" s="17" t="str">
        <x:v>true</x:v>
      </x:c>
      <x:c r="V972" s="17" t="str">
        <x:v>false</x:v>
      </x:c>
    </x:row>
    <x:row r="973" ht="80" customHeight="1">
      <x:c r="A973" s="25" t="str">
        <x:v>Closure</x:v>
      </x:c>
      <x:c r="B973" s="25" t="n">
        <x:v>146</x:v>
      </x:c>
      <x:c r="C973" s="25" t="str">
        <x:v>Round2</x:v>
      </x:c>
      <x:c r="D973" s="25" t="str">
        <x:v>NOT_AVAILABLE</x:v>
      </x:c>
      <x:c r="E973" s="25" t="str">
        <x:v>N/A</x:v>
      </x:c>
      <x:c r="F973" s="26" t="str">
        <x:v>Tests exist but current coverage did not complete</x:v>
      </x:c>
      <x:c r="G973" s="25" t="str">
        <x:v>true</x:v>
      </x:c>
      <x:c r="H973" s="25" t="str">
        <x:v>NOT_AVAILABLE</x:v>
      </x:c>
      <x:c r="I973" s="25" t="str">
        <x:v>NOT_RUN</x:v>
      </x:c>
      <x:c r="J973" s="25" t="str">
        <x:v>NOT_RUN</x:v>
      </x:c>
      <x:c r="K973" s="25" t="n">
        <x:v>1</x:v>
      </x:c>
      <x:c r="L973" s="27" t="b">
        <x:v>0</x:v>
      </x:c>
      <x:c r="M973" s="25" t="str">
        <x:v>Deepseek-flash-v4/state/Round2/status/Closure_146.json; Deepseek-flash-v4/state/Round2/shards/Closure_146.json</x:v>
      </x:c>
      <x:c r="N973" s="25" t="str">
        <x:v>Deepseek-flash-v4/Result2/Closure_146/result.json</x:v>
      </x:c>
      <x:c r="O973" s="25" t="str">
        <x:v>Deepseek-flash-v4/Result2/Closure_146/result.json</x:v>
      </x:c>
      <x:c r="P973" t="str">
        <x:v>BOTH_NOT_RUN</x:v>
      </x:c>
      <x:c r="Q973" s="21" t="str"/>
      <x:c r="R973" s="21" t="str"/>
      <x:c r="S973" s="21" t="str"/>
      <x:c r="T973" s="17" t="str">
        <x:v>false</x:v>
      </x:c>
      <x:c r="U973" s="17" t="str">
        <x:v>true</x:v>
      </x:c>
      <x:c r="V973" s="17" t="str">
        <x:v>false</x:v>
      </x:c>
    </x:row>
    <x:row r="974" ht="80" customHeight="1">
      <x:c r="A974" s="25" t="str">
        <x:v>Closure</x:v>
      </x:c>
      <x:c r="B974" s="25" t="n">
        <x:v>147</x:v>
      </x:c>
      <x:c r="C974" s="25" t="str">
        <x:v>Round2</x:v>
      </x:c>
      <x:c r="D974" s="25" t="str">
        <x:v>NOT_AVAILABLE</x:v>
      </x:c>
      <x:c r="E974" s="25" t="str">
        <x:v>N/A</x:v>
      </x:c>
      <x:c r="F974" s="26" t="str">
        <x:v>Tests exist but current coverage did not complete</x:v>
      </x:c>
      <x:c r="G974" s="25" t="str">
        <x:v>true</x:v>
      </x:c>
      <x:c r="H974" s="25" t="str">
        <x:v>NOT_AVAILABLE</x:v>
      </x:c>
      <x:c r="I974" s="25" t="str">
        <x:v>NOT_RUN</x:v>
      </x:c>
      <x:c r="J974" s="25" t="str">
        <x:v>NOT_RUN</x:v>
      </x:c>
      <x:c r="K974" s="25" t="n">
        <x:v>2</x:v>
      </x:c>
      <x:c r="L974" s="27" t="b">
        <x:v>0</x:v>
      </x:c>
      <x:c r="M974" s="25" t="str">
        <x:v>Deepseek-flash-v4/state/Round2/status/Closure_147.json; Deepseek-flash-v4/state/Round2/shards/Closure_147.json</x:v>
      </x:c>
      <x:c r="N974" s="25" t="str">
        <x:v>Deepseek-flash-v4/Result2/Closure_147/result.json</x:v>
      </x:c>
      <x:c r="O974" s="25" t="str">
        <x:v>Deepseek-flash-v4/Result2/Closure_147/result.json</x:v>
      </x:c>
      <x:c r="P974" t="str">
        <x:v>BOTH_NOT_RUN</x:v>
      </x:c>
      <x:c r="Q974" s="21" t="str"/>
      <x:c r="R974" s="21" t="str"/>
      <x:c r="S974" s="21" t="str"/>
      <x:c r="T974" s="17" t="str">
        <x:v>false</x:v>
      </x:c>
      <x:c r="U974" s="17" t="str">
        <x:v>true</x:v>
      </x:c>
      <x:c r="V974" s="17" t="str">
        <x:v>false</x:v>
      </x:c>
    </x:row>
    <x:row r="975" ht="80" customHeight="1">
      <x:c r="A975" s="25" t="str">
        <x:v>Closure</x:v>
      </x:c>
      <x:c r="B975" s="25" t="n">
        <x:v>148</x:v>
      </x:c>
      <x:c r="C975" s="25" t="str">
        <x:v>Round2</x:v>
      </x:c>
      <x:c r="D975" s="25" t="str">
        <x:v>NOT_AVAILABLE</x:v>
      </x:c>
      <x:c r="E975" s="25" t="str">
        <x:v>N/A</x:v>
      </x:c>
      <x:c r="F975" s="26" t="str">
        <x:v>Tests exist but current coverage did not complete</x:v>
      </x:c>
      <x:c r="G975" s="25" t="str">
        <x:v>true</x:v>
      </x:c>
      <x:c r="H975" s="25" t="str">
        <x:v>NOT_AVAILABLE</x:v>
      </x:c>
      <x:c r="I975" s="25" t="str">
        <x:v>NOT_RUN</x:v>
      </x:c>
      <x:c r="J975" s="25" t="str">
        <x:v>NOT_RUN</x:v>
      </x:c>
      <x:c r="K975" s="25" t="n">
        <x:v>2</x:v>
      </x:c>
      <x:c r="L975" s="27" t="b">
        <x:v>0</x:v>
      </x:c>
      <x:c r="M975" s="25" t="str">
        <x:v>Deepseek-flash-v4/state/Round2/status/Closure_148.json; Deepseek-flash-v4/state/Round2/shards/Closure_148.json</x:v>
      </x:c>
      <x:c r="N975" s="25" t="str">
        <x:v>Deepseek-flash-v4/Result2/Closure_148/result.json</x:v>
      </x:c>
      <x:c r="O975" s="25" t="str">
        <x:v>Deepseek-flash-v4/Result2/Closure_148/result.json</x:v>
      </x:c>
      <x:c r="P975" t="str">
        <x:v>BOTH_NOT_RUN</x:v>
      </x:c>
      <x:c r="Q975" s="21" t="str"/>
      <x:c r="R975" s="21" t="str"/>
      <x:c r="S975" s="21" t="str"/>
      <x:c r="T975" s="17" t="str">
        <x:v>false</x:v>
      </x:c>
      <x:c r="U975" s="17" t="str">
        <x:v>true</x:v>
      </x:c>
      <x:c r="V975" s="17" t="str">
        <x:v>false</x:v>
      </x:c>
    </x:row>
    <x:row r="976" ht="80" customHeight="1">
      <x:c r="A976" s="25" t="str">
        <x:v>Closure</x:v>
      </x:c>
      <x:c r="B976" s="25" t="n">
        <x:v>149</x:v>
      </x:c>
      <x:c r="C976" s="25" t="str">
        <x:v>Round2</x:v>
      </x:c>
      <x:c r="D976" s="25" t="str">
        <x:v>NOT_AVAILABLE</x:v>
      </x:c>
      <x:c r="E976" s="25" t="str">
        <x:v>N/A</x:v>
      </x:c>
      <x:c r="F976" s="26" t="str">
        <x:v>Tests exist but current coverage did not complete</x:v>
      </x:c>
      <x:c r="G976" s="25" t="str">
        <x:v>true</x:v>
      </x:c>
      <x:c r="H976" s="25" t="str">
        <x:v>NOT_AVAILABLE</x:v>
      </x:c>
      <x:c r="I976" s="25" t="str">
        <x:v>NOT_RUN</x:v>
      </x:c>
      <x:c r="J976" s="25" t="str">
        <x:v>NOT_RUN</x:v>
      </x:c>
      <x:c r="K976" s="25" t="n">
        <x:v>4</x:v>
      </x:c>
      <x:c r="L976" s="27" t="b">
        <x:v>0</x:v>
      </x:c>
      <x:c r="M976" s="25" t="str">
        <x:v>Deepseek-flash-v4/state/Round2/status/Closure_149.json; Deepseek-flash-v4/state/Round2/shards/Closure_149.json</x:v>
      </x:c>
      <x:c r="N976" s="25" t="str">
        <x:v>Deepseek-flash-v4/Result2/Closure_149/result.json</x:v>
      </x:c>
      <x:c r="O976" s="25" t="str">
        <x:v>Deepseek-flash-v4/Result2/Closure_149/result.json</x:v>
      </x:c>
      <x:c r="P976" t="str">
        <x:v>BOTH_NOT_RUN</x:v>
      </x:c>
      <x:c r="Q976" s="21" t="str"/>
      <x:c r="R976" s="21" t="str"/>
      <x:c r="S976" s="21" t="str"/>
      <x:c r="T976" s="17" t="str">
        <x:v>false</x:v>
      </x:c>
      <x:c r="U976" s="17" t="str">
        <x:v>true</x:v>
      </x:c>
      <x:c r="V976" s="17" t="str">
        <x:v>false</x:v>
      </x:c>
    </x:row>
    <x:row r="977" ht="80" customHeight="1">
      <x:c r="A977" s="25" t="str">
        <x:v>Closure</x:v>
      </x:c>
      <x:c r="B977" s="25" t="n">
        <x:v>15</x:v>
      </x:c>
      <x:c r="C977" s="25" t="str">
        <x:v>Round2</x:v>
      </x:c>
      <x:c r="D977" s="25" t="str">
        <x:v>NOT_AVAILABLE</x:v>
      </x:c>
      <x:c r="E977" s="25" t="str">
        <x:v>N/A</x:v>
      </x:c>
      <x:c r="F977" s="26" t="str">
        <x:v>Tests exist but current coverage did not complete</x:v>
      </x:c>
      <x:c r="G977" s="25" t="str">
        <x:v>true</x:v>
      </x:c>
      <x:c r="H977" s="25" t="str">
        <x:v>NOT_AVAILABLE</x:v>
      </x:c>
      <x:c r="I977" s="25" t="str">
        <x:v>NOT_RUN</x:v>
      </x:c>
      <x:c r="J977" s="25" t="str">
        <x:v>NOT_RUN</x:v>
      </x:c>
      <x:c r="K977" s="25" t="n">
        <x:v>1</x:v>
      </x:c>
      <x:c r="L977" s="27" t="b">
        <x:v>0</x:v>
      </x:c>
      <x:c r="M977" s="25" t="str">
        <x:v>Deepseek-flash-v4/state/Round2/status/Closure_15.json; Deepseek-flash-v4/state/Round2/shards/Closure_15.json</x:v>
      </x:c>
      <x:c r="N977" s="25" t="str">
        <x:v>Deepseek-flash-v4/Result2/Closure_15/result.json</x:v>
      </x:c>
      <x:c r="O977" s="25" t="str">
        <x:v>Deepseek-flash-v4/Result2/Closure_15/result.json</x:v>
      </x:c>
      <x:c r="P977" t="str">
        <x:v>BOTH_NOT_RUN</x:v>
      </x:c>
      <x:c r="Q977" s="21" t="str"/>
      <x:c r="R977" s="21" t="str"/>
      <x:c r="S977" s="21" t="str"/>
      <x:c r="T977" s="17" t="str">
        <x:v>false</x:v>
      </x:c>
      <x:c r="U977" s="17" t="str">
        <x:v>true</x:v>
      </x:c>
      <x:c r="V977" s="17" t="str">
        <x:v>false</x:v>
      </x:c>
    </x:row>
    <x:row r="978" ht="80" customHeight="1">
      <x:c r="A978" s="25" t="str">
        <x:v>Closure</x:v>
      </x:c>
      <x:c r="B978" s="25" t="n">
        <x:v>150</x:v>
      </x:c>
      <x:c r="C978" s="25" t="str">
        <x:v>Round2</x:v>
      </x:c>
      <x:c r="D978" s="25" t="str">
        <x:v>NOT_AVAILABLE</x:v>
      </x:c>
      <x:c r="E978" s="25" t="str">
        <x:v>N/A</x:v>
      </x:c>
      <x:c r="F978" s="26" t="str">
        <x:v>Tests exist but current coverage did not complete</x:v>
      </x:c>
      <x:c r="G978" s="25" t="str">
        <x:v>true</x:v>
      </x:c>
      <x:c r="H978" s="25" t="str">
        <x:v>NOT_AVAILABLE</x:v>
      </x:c>
      <x:c r="I978" s="25" t="str">
        <x:v>NOT_RUN</x:v>
      </x:c>
      <x:c r="J978" s="25" t="str">
        <x:v>NOT_RUN</x:v>
      </x:c>
      <x:c r="K978" s="25" t="n">
        <x:v>1</x:v>
      </x:c>
      <x:c r="L978" s="27" t="b">
        <x:v>0</x:v>
      </x:c>
      <x:c r="M978" s="25" t="str">
        <x:v>Deepseek-flash-v4/state/Round2/status/Closure_150.json; Deepseek-flash-v4/state/Round2/shards/Closure_150.json</x:v>
      </x:c>
      <x:c r="N978" s="25" t="str">
        <x:v>Deepseek-flash-v4/Result2/Closure_150/result.json</x:v>
      </x:c>
      <x:c r="O978" s="25" t="str">
        <x:v>Deepseek-flash-v4/Result2/Closure_150/result.json</x:v>
      </x:c>
      <x:c r="P978" t="str">
        <x:v>BOTH_NOT_RUN</x:v>
      </x:c>
      <x:c r="Q978" s="21" t="str"/>
      <x:c r="R978" s="21" t="str"/>
      <x:c r="S978" s="21" t="str"/>
      <x:c r="T978" s="17" t="str">
        <x:v>false</x:v>
      </x:c>
      <x:c r="U978" s="17" t="str">
        <x:v>true</x:v>
      </x:c>
      <x:c r="V978" s="17" t="str">
        <x:v>false</x:v>
      </x:c>
    </x:row>
    <x:row r="979" ht="80" customHeight="1">
      <x:c r="A979" s="25" t="str">
        <x:v>Closure</x:v>
      </x:c>
      <x:c r="B979" s="25" t="n">
        <x:v>151</x:v>
      </x:c>
      <x:c r="C979" s="25" t="str">
        <x:v>Round2</x:v>
      </x:c>
      <x:c r="D979" s="25" t="str">
        <x:v>INCONCLUSIVE</x:v>
      </x:c>
      <x:c r="E979" s="25" t="str">
        <x:v>N/A</x:v>
      </x:c>
      <x:c r="F979" s="26" t="str">
        <x:v>Fixed also failed; assertion failure cannot be attributed to this bug</x:v>
      </x:c>
      <x:c r="G979" s="25" t="str">
        <x:v>true</x:v>
      </x:c>
      <x:c r="H979" s="25" t="str">
        <x:v>INCONCLUSIVE</x:v>
      </x:c>
      <x:c r="I979" s="25" t="str">
        <x:v>FAIL</x:v>
      </x:c>
      <x:c r="J979" s="25" t="str">
        <x:v>FAIL</x:v>
      </x:c>
      <x:c r="K979" s="25" t="n">
        <x:v>1</x:v>
      </x:c>
      <x:c r="L979" s="27" t="b">
        <x:v>0</x:v>
      </x:c>
      <x:c r="M979" s="25" t="str">
        <x:v>Deepseek-flash-v4/state/Round2/status/Closure_151.json; Deepseek-flash-v4/state/Round2/shards/Closure_151.json</x:v>
      </x:c>
      <x:c r="N979" s="25" t="str">
        <x:v>Deepseek-flash-v4/Result2/Closure_151/result.json</x:v>
      </x:c>
      <x:c r="O979" s="25" t="str">
        <x:v>Deepseek-flash-v4/Result2/Closure_151/result.json</x:v>
      </x:c>
      <x:c r="P979"/>
      <x:c r="Q979" s="21" t="str"/>
      <x:c r="R979" s="21" t="str"/>
      <x:c r="S979" s="21" t="str"/>
      <x:c r="T979" s="17" t="str">
        <x:v>false</x:v>
      </x:c>
      <x:c r="U979" s="17" t="str">
        <x:v>true</x:v>
      </x:c>
      <x:c r="V979" s="17" t="str">
        <x:v>false</x:v>
      </x:c>
    </x:row>
    <x:row r="980" ht="80" customHeight="1">
      <x:c r="A980" s="25" t="str">
        <x:v>Closure</x:v>
      </x:c>
      <x:c r="B980" s="25" t="n">
        <x:v>152</x:v>
      </x:c>
      <x:c r="C980" s="25" t="str">
        <x:v>Round2</x:v>
      </x:c>
      <x:c r="D980" s="25" t="str">
        <x:v>NOT_AVAILABLE</x:v>
      </x:c>
      <x:c r="E980" s="25" t="str">
        <x:v>N/A</x:v>
      </x:c>
      <x:c r="F980" s="26" t="str">
        <x:v>Tests exist but current coverage did not complete</x:v>
      </x:c>
      <x:c r="G980" s="25" t="str">
        <x:v>true</x:v>
      </x:c>
      <x:c r="H980" s="25" t="str">
        <x:v>NOT_AVAILABLE</x:v>
      </x:c>
      <x:c r="I980" s="25" t="str">
        <x:v>NOT_RUN</x:v>
      </x:c>
      <x:c r="J980" s="25" t="str">
        <x:v>NOT_RUN</x:v>
      </x:c>
      <x:c r="K980" s="25" t="n">
        <x:v>1</x:v>
      </x:c>
      <x:c r="L980" s="27" t="b">
        <x:v>0</x:v>
      </x:c>
      <x:c r="M980" s="25" t="str">
        <x:v>Deepseek-flash-v4/state/Round2/status/Closure_152.json; Deepseek-flash-v4/state/Round2/shards/Closure_152.json</x:v>
      </x:c>
      <x:c r="N980" s="25" t="str">
        <x:v>Deepseek-flash-v4/Result2/Closure_152/result.json</x:v>
      </x:c>
      <x:c r="O980" s="25" t="str">
        <x:v>Deepseek-flash-v4/Result2/Closure_152/result.json</x:v>
      </x:c>
      <x:c r="P980" t="str">
        <x:v>BOTH_NOT_RUN</x:v>
      </x:c>
      <x:c r="Q980" s="21" t="str"/>
      <x:c r="R980" s="21" t="str"/>
      <x:c r="S980" s="21" t="str"/>
      <x:c r="T980" s="17" t="str">
        <x:v>false</x:v>
      </x:c>
      <x:c r="U980" s="17" t="str">
        <x:v>true</x:v>
      </x:c>
      <x:c r="V980" s="17" t="str">
        <x:v>false</x:v>
      </x:c>
    </x:row>
    <x:row r="981" ht="80" customHeight="1">
      <x:c r="A981" s="25" t="str">
        <x:v>Closure</x:v>
      </x:c>
      <x:c r="B981" s="25" t="n">
        <x:v>153</x:v>
      </x:c>
      <x:c r="C981" s="25" t="str">
        <x:v>Round2</x:v>
      </x:c>
      <x:c r="D981" s="25" t="str">
        <x:v>NOT_AVAILABLE</x:v>
      </x:c>
      <x:c r="E981" s="25" t="str">
        <x:v>N/A</x:v>
      </x:c>
      <x:c r="F981" s="26" t="str">
        <x:v>Tests exist but current coverage did not complete</x:v>
      </x:c>
      <x:c r="G981" s="25" t="str">
        <x:v>true</x:v>
      </x:c>
      <x:c r="H981" s="25" t="str">
        <x:v>NOT_AVAILABLE</x:v>
      </x:c>
      <x:c r="I981" s="25" t="str">
        <x:v>NOT_RUN</x:v>
      </x:c>
      <x:c r="J981" s="25" t="str">
        <x:v>NOT_RUN</x:v>
      </x:c>
      <x:c r="K981" s="25" t="n">
        <x:v>2</x:v>
      </x:c>
      <x:c r="L981" s="27" t="b">
        <x:v>0</x:v>
      </x:c>
      <x:c r="M981" s="25" t="str">
        <x:v>Deepseek-flash-v4/state/Round2/status/Closure_153.json; Deepseek-flash-v4/state/Round2/shards/Closure_153.json</x:v>
      </x:c>
      <x:c r="N981" s="25" t="str">
        <x:v>Deepseek-flash-v4/Result2/Closure_153/result.json</x:v>
      </x:c>
      <x:c r="O981" s="25" t="str">
        <x:v>Deepseek-flash-v4/Result2/Closure_153/result.json</x:v>
      </x:c>
      <x:c r="P981" t="str">
        <x:v>BOTH_NOT_RUN</x:v>
      </x:c>
      <x:c r="Q981" s="21" t="str"/>
      <x:c r="R981" s="21" t="str"/>
      <x:c r="S981" s="21" t="str"/>
      <x:c r="T981" s="17" t="str">
        <x:v>false</x:v>
      </x:c>
      <x:c r="U981" s="17" t="str">
        <x:v>true</x:v>
      </x:c>
      <x:c r="V981" s="17" t="str">
        <x:v>false</x:v>
      </x:c>
    </x:row>
    <x:row r="982" ht="80" customHeight="1">
      <x:c r="A982" s="25" t="str">
        <x:v>Closure</x:v>
      </x:c>
      <x:c r="B982" s="25" t="n">
        <x:v>154</x:v>
      </x:c>
      <x:c r="C982" s="25" t="str">
        <x:v>Round2</x:v>
      </x:c>
      <x:c r="D982" s="25" t="str">
        <x:v>NOT_AVAILABLE</x:v>
      </x:c>
      <x:c r="E982" s="25" t="str">
        <x:v>N/A</x:v>
      </x:c>
      <x:c r="F982" s="26" t="str">
        <x:v>Tests exist but current coverage did not complete</x:v>
      </x:c>
      <x:c r="G982" s="25" t="str">
        <x:v>true</x:v>
      </x:c>
      <x:c r="H982" s="25" t="str">
        <x:v>NOT_AVAILABLE</x:v>
      </x:c>
      <x:c r="I982" s="25" t="str">
        <x:v>NOT_RUN</x:v>
      </x:c>
      <x:c r="J982" s="25" t="str">
        <x:v>NOT_RUN</x:v>
      </x:c>
      <x:c r="K982" s="25" t="n">
        <x:v>2</x:v>
      </x:c>
      <x:c r="L982" s="27" t="b">
        <x:v>0</x:v>
      </x:c>
      <x:c r="M982" s="25" t="str">
        <x:v>Deepseek-flash-v4/state/Round2/status/Closure_154.json; Deepseek-flash-v4/state/Round2/shards/Closure_154.json</x:v>
      </x:c>
      <x:c r="N982" s="25" t="str">
        <x:v>Deepseek-flash-v4/Result2/Closure_154/result.json</x:v>
      </x:c>
      <x:c r="O982" s="25" t="str">
        <x:v>Deepseek-flash-v4/Result2/Closure_154/result.json</x:v>
      </x:c>
      <x:c r="P982" t="str">
        <x:v>BOTH_NOT_RUN</x:v>
      </x:c>
      <x:c r="Q982" s="21" t="str"/>
      <x:c r="R982" s="21" t="str"/>
      <x:c r="S982" s="21" t="str"/>
      <x:c r="T982" s="17" t="str">
        <x:v>false</x:v>
      </x:c>
      <x:c r="U982" s="17" t="str">
        <x:v>true</x:v>
      </x:c>
      <x:c r="V982" s="17" t="str">
        <x:v>false</x:v>
      </x:c>
    </x:row>
    <x:row r="983" ht="80" customHeight="1">
      <x:c r="A983" s="25" t="str">
        <x:v>Closure</x:v>
      </x:c>
      <x:c r="B983" s="25" t="n">
        <x:v>155</x:v>
      </x:c>
      <x:c r="C983" s="25" t="str">
        <x:v>Round2</x:v>
      </x:c>
      <x:c r="D983" s="25" t="str">
        <x:v>NOT_AVAILABLE</x:v>
      </x:c>
      <x:c r="E983" s="25" t="str">
        <x:v>N/A</x:v>
      </x:c>
      <x:c r="F983" s="26" t="str">
        <x:v>Tests exist but current coverage did not complete</x:v>
      </x:c>
      <x:c r="G983" s="25" t="str">
        <x:v>true</x:v>
      </x:c>
      <x:c r="H983" s="25" t="str">
        <x:v>NOT_AVAILABLE</x:v>
      </x:c>
      <x:c r="I983" s="25" t="str">
        <x:v>NOT_RUN</x:v>
      </x:c>
      <x:c r="J983" s="25" t="str">
        <x:v>NOT_RUN</x:v>
      </x:c>
      <x:c r="K983" s="25" t="n">
        <x:v>3</x:v>
      </x:c>
      <x:c r="L983" s="27" t="b">
        <x:v>0</x:v>
      </x:c>
      <x:c r="M983" s="25" t="str">
        <x:v>Deepseek-flash-v4/state/Round2/status/Closure_155.json; Deepseek-flash-v4/state/Round2/shards/Closure_155.json</x:v>
      </x:c>
      <x:c r="N983" s="25" t="str">
        <x:v>Deepseek-flash-v4/Result2/Closure_155/result.json</x:v>
      </x:c>
      <x:c r="O983" s="25" t="str">
        <x:v>Deepseek-flash-v4/Result2/Closure_155/result.json</x:v>
      </x:c>
      <x:c r="P983" t="str">
        <x:v>BOTH_NOT_RUN</x:v>
      </x:c>
      <x:c r="Q983" s="21" t="str"/>
      <x:c r="R983" s="21" t="str"/>
      <x:c r="S983" s="21" t="str"/>
      <x:c r="T983" s="17" t="str">
        <x:v>false</x:v>
      </x:c>
      <x:c r="U983" s="17" t="str">
        <x:v>true</x:v>
      </x:c>
      <x:c r="V983" s="17" t="str">
        <x:v>false</x:v>
      </x:c>
    </x:row>
    <x:row r="984" ht="80" customHeight="1">
      <x:c r="A984" s="25" t="str">
        <x:v>Closure</x:v>
      </x:c>
      <x:c r="B984" s="25" t="n">
        <x:v>156</x:v>
      </x:c>
      <x:c r="C984" s="25" t="str">
        <x:v>Round2</x:v>
      </x:c>
      <x:c r="D984" s="25" t="str">
        <x:v>NOT_AVAILABLE</x:v>
      </x:c>
      <x:c r="E984" s="25" t="str">
        <x:v>N/A</x:v>
      </x:c>
      <x:c r="F984" s="26" t="str">
        <x:v>Tests exist but current coverage did not complete</x:v>
      </x:c>
      <x:c r="G984" s="25" t="str">
        <x:v>true</x:v>
      </x:c>
      <x:c r="H984" s="25" t="str">
        <x:v>NOT_AVAILABLE</x:v>
      </x:c>
      <x:c r="I984" s="25" t="str">
        <x:v>NOT_RUN</x:v>
      </x:c>
      <x:c r="J984" s="25" t="str">
        <x:v>NOT_RUN</x:v>
      </x:c>
      <x:c r="K984" s="25" t="n">
        <x:v>1</x:v>
      </x:c>
      <x:c r="L984" s="27" t="b">
        <x:v>0</x:v>
      </x:c>
      <x:c r="M984" s="25" t="str">
        <x:v>Deepseek-flash-v4/state/Round2/status/Closure_156.json; Deepseek-flash-v4/state/Round2/shards/Closure_156.json</x:v>
      </x:c>
      <x:c r="N984" s="25" t="str">
        <x:v>Deepseek-flash-v4/Result2/Closure_156/result.json</x:v>
      </x:c>
      <x:c r="O984" s="25" t="str">
        <x:v>Deepseek-flash-v4/Result2/Closure_156/result.json</x:v>
      </x:c>
      <x:c r="P984" t="str">
        <x:v>BOTH_NOT_RUN</x:v>
      </x:c>
      <x:c r="Q984" s="21" t="str"/>
      <x:c r="R984" s="21" t="str"/>
      <x:c r="S984" s="21" t="str"/>
      <x:c r="T984" s="17" t="str">
        <x:v>false</x:v>
      </x:c>
      <x:c r="U984" s="17" t="str">
        <x:v>true</x:v>
      </x:c>
      <x:c r="V984" s="17" t="str">
        <x:v>false</x:v>
      </x:c>
    </x:row>
    <x:row r="985" ht="80" customHeight="1">
      <x:c r="A985" s="25" t="str">
        <x:v>Closure</x:v>
      </x:c>
      <x:c r="B985" s="25" t="n">
        <x:v>157</x:v>
      </x:c>
      <x:c r="C985" s="25" t="str">
        <x:v>Round2</x:v>
      </x:c>
      <x:c r="D985" s="25" t="str">
        <x:v>NOT_AVAILABLE</x:v>
      </x:c>
      <x:c r="E985" s="25" t="str">
        <x:v>N/A</x:v>
      </x:c>
      <x:c r="F985" s="26" t="str">
        <x:v>Tests exist but current coverage did not complete</x:v>
      </x:c>
      <x:c r="G985" s="25" t="str">
        <x:v>true</x:v>
      </x:c>
      <x:c r="H985" s="25" t="str">
        <x:v>NOT_AVAILABLE</x:v>
      </x:c>
      <x:c r="I985" s="25" t="str">
        <x:v>NOT_RUN</x:v>
      </x:c>
      <x:c r="J985" s="25" t="str">
        <x:v>NOT_RUN</x:v>
      </x:c>
      <x:c r="K985" s="25" t="n">
        <x:v>3</x:v>
      </x:c>
      <x:c r="L985" s="27" t="b">
        <x:v>0</x:v>
      </x:c>
      <x:c r="M985" s="25" t="str">
        <x:v>Deepseek-flash-v4/state/Round2/status/Closure_157.json; Deepseek-flash-v4/state/Round2/shards/Closure_157.json</x:v>
      </x:c>
      <x:c r="N985" s="25" t="str">
        <x:v>Deepseek-flash-v4/Result2/Closure_157/result.json</x:v>
      </x:c>
      <x:c r="O985" s="25" t="str">
        <x:v>Deepseek-flash-v4/Result2/Closure_157/result.json</x:v>
      </x:c>
      <x:c r="P985" t="str">
        <x:v>BOTH_NOT_RUN</x:v>
      </x:c>
      <x:c r="Q985" s="21" t="str"/>
      <x:c r="R985" s="21" t="str"/>
      <x:c r="S985" s="21" t="str"/>
      <x:c r="T985" s="17" t="str">
        <x:v>false</x:v>
      </x:c>
      <x:c r="U985" s="17" t="str">
        <x:v>true</x:v>
      </x:c>
      <x:c r="V985" s="17" t="str">
        <x:v>false</x:v>
      </x:c>
    </x:row>
    <x:row r="986" ht="80" customHeight="1">
      <x:c r="A986" s="25" t="str">
        <x:v>Closure</x:v>
      </x:c>
      <x:c r="B986" s="25" t="n">
        <x:v>158</x:v>
      </x:c>
      <x:c r="C986" s="25" t="str">
        <x:v>Round2</x:v>
      </x:c>
      <x:c r="D986" s="25" t="str">
        <x:v>NOT_AVAILABLE</x:v>
      </x:c>
      <x:c r="E986" s="25" t="str">
        <x:v>N/A</x:v>
      </x:c>
      <x:c r="F986" s="26" t="str">
        <x:v>Tests exist but current coverage did not complete</x:v>
      </x:c>
      <x:c r="G986" s="25" t="str">
        <x:v>true</x:v>
      </x:c>
      <x:c r="H986" s="25" t="str">
        <x:v>NOT_AVAILABLE</x:v>
      </x:c>
      <x:c r="I986" s="25" t="str">
        <x:v>NOT_RUN</x:v>
      </x:c>
      <x:c r="J986" s="25" t="str">
        <x:v>NOT_RUN</x:v>
      </x:c>
      <x:c r="K986" s="25" t="n">
        <x:v>3</x:v>
      </x:c>
      <x:c r="L986" s="27" t="b">
        <x:v>0</x:v>
      </x:c>
      <x:c r="M986" s="25" t="str">
        <x:v>Deepseek-flash-v4/state/Round2/status/Closure_158.json; Deepseek-flash-v4/state/Round2/shards/Closure_158.json</x:v>
      </x:c>
      <x:c r="N986" s="25" t="str">
        <x:v>Deepseek-flash-v4/Result2/Closure_158/result.json</x:v>
      </x:c>
      <x:c r="O986" s="25" t="str">
        <x:v>Deepseek-flash-v4/Result2/Closure_158/result.json</x:v>
      </x:c>
      <x:c r="P986" t="str">
        <x:v>BOTH_NOT_RUN</x:v>
      </x:c>
      <x:c r="Q986" s="21" t="str"/>
      <x:c r="R986" s="21" t="str"/>
      <x:c r="S986" s="21" t="str"/>
      <x:c r="T986" s="17" t="str">
        <x:v>false</x:v>
      </x:c>
      <x:c r="U986" s="17" t="str">
        <x:v>true</x:v>
      </x:c>
      <x:c r="V986" s="17" t="str">
        <x:v>false</x:v>
      </x:c>
    </x:row>
    <x:row r="987" ht="80" customHeight="1">
      <x:c r="A987" s="25" t="str">
        <x:v>Closure</x:v>
      </x:c>
      <x:c r="B987" s="25" t="n">
        <x:v>159</x:v>
      </x:c>
      <x:c r="C987" s="25" t="str">
        <x:v>Round2</x:v>
      </x:c>
      <x:c r="D987" s="25" t="str">
        <x:v>NOT_AVAILABLE</x:v>
      </x:c>
      <x:c r="E987" s="25" t="str">
        <x:v>N/A</x:v>
      </x:c>
      <x:c r="F987" s="26" t="str">
        <x:v>Tests exist but current coverage did not complete</x:v>
      </x:c>
      <x:c r="G987" s="25" t="str">
        <x:v>true</x:v>
      </x:c>
      <x:c r="H987" s="25" t="str">
        <x:v>NOT_AVAILABLE</x:v>
      </x:c>
      <x:c r="I987" s="25" t="str">
        <x:v>NOT_RUN</x:v>
      </x:c>
      <x:c r="J987" s="25" t="str">
        <x:v>NOT_RUN</x:v>
      </x:c>
      <x:c r="K987" s="25" t="n">
        <x:v>1</x:v>
      </x:c>
      <x:c r="L987" s="27" t="b">
        <x:v>0</x:v>
      </x:c>
      <x:c r="M987" s="25" t="str">
        <x:v>Deepseek-flash-v4/state/Round2/status/Closure_159.json; Deepseek-flash-v4/state/Round2/shards/Closure_159.json</x:v>
      </x:c>
      <x:c r="N987" s="25" t="str">
        <x:v>Deepseek-flash-v4/Result2/Closure_159/result.json</x:v>
      </x:c>
      <x:c r="O987" s="25" t="str">
        <x:v>Deepseek-flash-v4/Result2/Closure_159/result.json</x:v>
      </x:c>
      <x:c r="P987" t="str">
        <x:v>BOTH_NOT_RUN</x:v>
      </x:c>
      <x:c r="Q987" s="21" t="str"/>
      <x:c r="R987" s="21" t="str"/>
      <x:c r="S987" s="21" t="str"/>
      <x:c r="T987" s="17" t="str">
        <x:v>false</x:v>
      </x:c>
      <x:c r="U987" s="17" t="str">
        <x:v>true</x:v>
      </x:c>
      <x:c r="V987" s="17" t="str">
        <x:v>false</x:v>
      </x:c>
    </x:row>
    <x:row r="988" ht="80" customHeight="1">
      <x:c r="A988" s="25" t="str">
        <x:v>Closure</x:v>
      </x:c>
      <x:c r="B988" s="25" t="n">
        <x:v>16</x:v>
      </x:c>
      <x:c r="C988" s="25" t="str">
        <x:v>Round2</x:v>
      </x:c>
      <x:c r="D988" s="25" t="str">
        <x:v>NOT_AVAILABLE</x:v>
      </x:c>
      <x:c r="E988" s="25" t="str">
        <x:v>N/A</x:v>
      </x:c>
      <x:c r="F988" s="26" t="str">
        <x:v>Tests exist but current coverage did not complete</x:v>
      </x:c>
      <x:c r="G988" s="25" t="str">
        <x:v>true</x:v>
      </x:c>
      <x:c r="H988" s="25" t="str">
        <x:v>NOT_AVAILABLE</x:v>
      </x:c>
      <x:c r="I988" s="25" t="str">
        <x:v>NOT_RUN</x:v>
      </x:c>
      <x:c r="J988" s="25" t="str">
        <x:v>NOT_RUN</x:v>
      </x:c>
      <x:c r="K988" s="25" t="n">
        <x:v>1</x:v>
      </x:c>
      <x:c r="L988" s="27" t="b">
        <x:v>0</x:v>
      </x:c>
      <x:c r="M988" s="25" t="str">
        <x:v>Deepseek-flash-v4/state/Round2/status/Closure_16.json; Deepseek-flash-v4/state/Round2/shards/Closure_16.json</x:v>
      </x:c>
      <x:c r="N988" s="25" t="str">
        <x:v>Deepseek-flash-v4/Result2/Closure_16/result.json</x:v>
      </x:c>
      <x:c r="O988" s="25" t="str">
        <x:v>Deepseek-flash-v4/Result2/Closure_16/result.json</x:v>
      </x:c>
      <x:c r="P988" t="str">
        <x:v>BOTH_NOT_RUN</x:v>
      </x:c>
      <x:c r="Q988" s="21" t="str"/>
      <x:c r="R988" s="21" t="str"/>
      <x:c r="S988" s="21" t="str"/>
      <x:c r="T988" s="17" t="str">
        <x:v>false</x:v>
      </x:c>
      <x:c r="U988" s="17" t="str">
        <x:v>true</x:v>
      </x:c>
      <x:c r="V988" s="17" t="str">
        <x:v>false</x:v>
      </x:c>
    </x:row>
    <x:row r="989" ht="80" customHeight="1">
      <x:c r="A989" s="25" t="str">
        <x:v>Closure</x:v>
      </x:c>
      <x:c r="B989" s="25" t="n">
        <x:v>160</x:v>
      </x:c>
      <x:c r="C989" s="25" t="str">
        <x:v>Round2</x:v>
      </x:c>
      <x:c r="D989" s="25" t="str">
        <x:v>NOT_AVAILABLE</x:v>
      </x:c>
      <x:c r="E989" s="25" t="str">
        <x:v>N/A</x:v>
      </x:c>
      <x:c r="F989" s="26" t="str">
        <x:v>Tests exist but current coverage did not complete</x:v>
      </x:c>
      <x:c r="G989" s="25" t="str">
        <x:v>true</x:v>
      </x:c>
      <x:c r="H989" s="25" t="str">
        <x:v>NOT_AVAILABLE</x:v>
      </x:c>
      <x:c r="I989" s="25" t="str">
        <x:v>NOT_RUN</x:v>
      </x:c>
      <x:c r="J989" s="25" t="str">
        <x:v>NOT_RUN</x:v>
      </x:c>
      <x:c r="K989" s="25" t="n">
        <x:v>1</x:v>
      </x:c>
      <x:c r="L989" s="27" t="b">
        <x:v>0</x:v>
      </x:c>
      <x:c r="M989" s="25" t="str">
        <x:v>Deepseek-flash-v4/state/Round2/status/Closure_160.json; Deepseek-flash-v4/state/Round2/shards/Closure_160.json</x:v>
      </x:c>
      <x:c r="N989" s="25" t="str">
        <x:v>Deepseek-flash-v4/Result2/Closure_160/result.json</x:v>
      </x:c>
      <x:c r="O989" s="25" t="str">
        <x:v>Deepseek-flash-v4/Result2/Closure_160/result.json</x:v>
      </x:c>
      <x:c r="P989" t="str">
        <x:v>BOTH_NOT_RUN</x:v>
      </x:c>
      <x:c r="Q989" s="21" t="str"/>
      <x:c r="R989" s="21" t="str"/>
      <x:c r="S989" s="21" t="str"/>
      <x:c r="T989" s="17" t="str">
        <x:v>false</x:v>
      </x:c>
      <x:c r="U989" s="17" t="str">
        <x:v>true</x:v>
      </x:c>
      <x:c r="V989" s="17" t="str">
        <x:v>false</x:v>
      </x:c>
    </x:row>
    <x:row r="990" ht="80" customHeight="1">
      <x:c r="A990" s="25" t="str">
        <x:v>Closure</x:v>
      </x:c>
      <x:c r="B990" s="25" t="n">
        <x:v>161</x:v>
      </x:c>
      <x:c r="C990" s="25" t="str">
        <x:v>Round2</x:v>
      </x:c>
      <x:c r="D990" s="25" t="str">
        <x:v>INCONCLUSIVE</x:v>
      </x:c>
      <x:c r="E990" s="25" t="str">
        <x:v>N/A</x:v>
      </x:c>
      <x:c r="F990" s="26" t="str">
        <x:v>Fixed also failed; assertion failure cannot be attributed to this bug; Same-round generation metadata missing; use saved tests and execution evidence, no failure inferred</x:v>
      </x:c>
      <x:c r="G990" s="25" t="str">
        <x:v>true</x:v>
      </x:c>
      <x:c r="H990" s="25" t="str">
        <x:v>INCONCLUSIVE</x:v>
      </x:c>
      <x:c r="I990" s="25" t="str">
        <x:v>FAIL</x:v>
      </x:c>
      <x:c r="J990" s="25" t="str">
        <x:v>FAIL</x:v>
      </x:c>
      <x:c r="K990" s="25" t="n">
        <x:v>1</x:v>
      </x:c>
      <x:c r="L990" s="27" t="b">
        <x:v>0</x:v>
      </x:c>
      <x:c r="M990" s="25"/>
      <x:c r="N990" s="25" t="str">
        <x:v>Deepseek-flash-v4/Result2/Closure_161/result.json</x:v>
      </x:c>
      <x:c r="O990" s="25" t="str">
        <x:v>Deepseek-flash-v4/Result2/Closure_161/result.json</x:v>
      </x:c>
      <x:c r="P990"/>
      <x:c r="Q990" s="21" t="str"/>
      <x:c r="R990" s="21" t="str"/>
      <x:c r="S990" s="21" t="str"/>
      <x:c r="T990" s="17" t="str">
        <x:v>false</x:v>
      </x:c>
      <x:c r="U990" s="17" t="str">
        <x:v>true</x:v>
      </x:c>
      <x:c r="V990" s="17" t="str">
        <x:v>false</x:v>
      </x:c>
    </x:row>
    <x:row r="991" ht="80" customHeight="1">
      <x:c r="A991" s="25" t="str">
        <x:v>Closure</x:v>
      </x:c>
      <x:c r="B991" s="25" t="n">
        <x:v>162</x:v>
      </x:c>
      <x:c r="C991" s="25" t="str">
        <x:v>Round2</x:v>
      </x:c>
      <x:c r="D991" s="25" t="str">
        <x:v>NOT_AVAILABLE</x:v>
      </x:c>
      <x:c r="E991" s="25" t="str">
        <x:v>N/A</x:v>
      </x:c>
      <x:c r="F991" s="26" t="str">
        <x:v>Tests exist but current coverage did not complete</x:v>
      </x:c>
      <x:c r="G991" s="25" t="str">
        <x:v>true</x:v>
      </x:c>
      <x:c r="H991" s="25" t="str">
        <x:v>NOT_AVAILABLE</x:v>
      </x:c>
      <x:c r="I991" s="25" t="str">
        <x:v>NOT_RUN</x:v>
      </x:c>
      <x:c r="J991" s="25" t="str">
        <x:v>NOT_RUN</x:v>
      </x:c>
      <x:c r="K991" s="25" t="n">
        <x:v>2</x:v>
      </x:c>
      <x:c r="L991" s="27" t="b">
        <x:v>0</x:v>
      </x:c>
      <x:c r="M991" s="25" t="str">
        <x:v>Deepseek-flash-v4/state/Round2/status/Closure_162.json; Deepseek-flash-v4/state/Round2/shards/Closure_162.json</x:v>
      </x:c>
      <x:c r="N991" s="25" t="str">
        <x:v>Deepseek-flash-v4/Result2/Closure_162/result.json</x:v>
      </x:c>
      <x:c r="O991" s="25" t="str">
        <x:v>Deepseek-flash-v4/Result2/Closure_162/result.json</x:v>
      </x:c>
      <x:c r="P991" t="str">
        <x:v>BOTH_NOT_RUN</x:v>
      </x:c>
      <x:c r="Q991" s="21" t="str"/>
      <x:c r="R991" s="21" t="str"/>
      <x:c r="S991" s="21" t="str"/>
      <x:c r="T991" s="17" t="str">
        <x:v>false</x:v>
      </x:c>
      <x:c r="U991" s="17" t="str">
        <x:v>true</x:v>
      </x:c>
      <x:c r="V991" s="17" t="str">
        <x:v>false</x:v>
      </x:c>
    </x:row>
    <x:row r="992" ht="80" customHeight="1">
      <x:c r="A992" s="25" t="str">
        <x:v>Closure</x:v>
      </x:c>
      <x:c r="B992" s="25" t="n">
        <x:v>163</x:v>
      </x:c>
      <x:c r="C992" s="25" t="str">
        <x:v>Round2</x:v>
      </x:c>
      <x:c r="D992" s="25" t="str">
        <x:v>NOT_AVAILABLE</x:v>
      </x:c>
      <x:c r="E992" s="25" t="str">
        <x:v>N/A</x:v>
      </x:c>
      <x:c r="F992" s="26" t="str">
        <x:v>Tests exist but current coverage did not complete</x:v>
      </x:c>
      <x:c r="G992" s="25" t="str">
        <x:v>true</x:v>
      </x:c>
      <x:c r="H992" s="25" t="str">
        <x:v>NOT_AVAILABLE</x:v>
      </x:c>
      <x:c r="I992" s="25" t="str">
        <x:v>NOT_RUN</x:v>
      </x:c>
      <x:c r="J992" s="25" t="str">
        <x:v>NOT_RUN</x:v>
      </x:c>
      <x:c r="K992" s="25" t="n">
        <x:v>2</x:v>
      </x:c>
      <x:c r="L992" s="27" t="b">
        <x:v>0</x:v>
      </x:c>
      <x:c r="M992" s="25" t="str">
        <x:v>Deepseek-flash-v4/state/Round2/status/Closure_163.json; Deepseek-flash-v4/state/Round2/shards/Closure_163.json</x:v>
      </x:c>
      <x:c r="N992" s="25" t="str">
        <x:v>Deepseek-flash-v4/Result2/Closure_163/result.json</x:v>
      </x:c>
      <x:c r="O992" s="25" t="str">
        <x:v>Deepseek-flash-v4/Result2/Closure_163/result.json</x:v>
      </x:c>
      <x:c r="P992" t="str">
        <x:v>BOTH_NOT_RUN</x:v>
      </x:c>
      <x:c r="Q992" s="21" t="str"/>
      <x:c r="R992" s="21" t="str"/>
      <x:c r="S992" s="21" t="str"/>
      <x:c r="T992" s="17" t="str">
        <x:v>false</x:v>
      </x:c>
      <x:c r="U992" s="17" t="str">
        <x:v>true</x:v>
      </x:c>
      <x:c r="V992" s="17" t="str">
        <x:v>false</x:v>
      </x:c>
    </x:row>
    <x:row r="993" ht="80" customHeight="1">
      <x:c r="A993" s="25" t="str">
        <x:v>Closure</x:v>
      </x:c>
      <x:c r="B993" s="25" t="n">
        <x:v>164</x:v>
      </x:c>
      <x:c r="C993" s="25" t="str">
        <x:v>Round2</x:v>
      </x:c>
      <x:c r="D993" s="25" t="str">
        <x:v>NOT_AVAILABLE</x:v>
      </x:c>
      <x:c r="E993" s="25" t="str">
        <x:v>N/A</x:v>
      </x:c>
      <x:c r="F993" s="26" t="str">
        <x:v>Tests exist but current coverage did not complete</x:v>
      </x:c>
      <x:c r="G993" s="25" t="str">
        <x:v>true</x:v>
      </x:c>
      <x:c r="H993" s="25" t="str">
        <x:v>NOT_AVAILABLE</x:v>
      </x:c>
      <x:c r="I993" s="25" t="str">
        <x:v>NOT_RUN</x:v>
      </x:c>
      <x:c r="J993" s="25" t="str">
        <x:v>NOT_RUN</x:v>
      </x:c>
      <x:c r="K993" s="25" t="n">
        <x:v>1</x:v>
      </x:c>
      <x:c r="L993" s="27" t="b">
        <x:v>0</x:v>
      </x:c>
      <x:c r="M993" s="25" t="str">
        <x:v>Deepseek-flash-v4/state/Round2/status/Closure_164.json; Deepseek-flash-v4/state/Round2/shards/Closure_164.json</x:v>
      </x:c>
      <x:c r="N993" s="25" t="str">
        <x:v>Deepseek-flash-v4/Result2/Closure_164/result.json</x:v>
      </x:c>
      <x:c r="O993" s="25" t="str">
        <x:v>Deepseek-flash-v4/Result2/Closure_164/result.json</x:v>
      </x:c>
      <x:c r="P993" t="str">
        <x:v>BOTH_NOT_RUN</x:v>
      </x:c>
      <x:c r="Q993" s="21" t="str"/>
      <x:c r="R993" s="21" t="str"/>
      <x:c r="S993" s="21" t="str"/>
      <x:c r="T993" s="17" t="str">
        <x:v>false</x:v>
      </x:c>
      <x:c r="U993" s="17" t="str">
        <x:v>true</x:v>
      </x:c>
      <x:c r="V993" s="17" t="str">
        <x:v>false</x:v>
      </x:c>
    </x:row>
    <x:row r="994" ht="80" customHeight="1">
      <x:c r="A994" s="25" t="str">
        <x:v>Closure</x:v>
      </x:c>
      <x:c r="B994" s="25" t="n">
        <x:v>165</x:v>
      </x:c>
      <x:c r="C994" s="25" t="str">
        <x:v>Round2</x:v>
      </x:c>
      <x:c r="D994" s="25" t="str">
        <x:v>NOT_AVAILABLE</x:v>
      </x:c>
      <x:c r="E994" s="25" t="str">
        <x:v>N/A</x:v>
      </x:c>
      <x:c r="F994" s="26" t="str">
        <x:v>Tests exist but current coverage did not complete</x:v>
      </x:c>
      <x:c r="G994" s="25" t="str">
        <x:v>true</x:v>
      </x:c>
      <x:c r="H994" s="25" t="str">
        <x:v>NOT_AVAILABLE</x:v>
      </x:c>
      <x:c r="I994" s="25" t="str">
        <x:v>NOT_RUN</x:v>
      </x:c>
      <x:c r="J994" s="25" t="str">
        <x:v>NOT_RUN</x:v>
      </x:c>
      <x:c r="K994" s="25" t="n">
        <x:v>4</x:v>
      </x:c>
      <x:c r="L994" s="27" t="b">
        <x:v>0</x:v>
      </x:c>
      <x:c r="M994" s="25" t="str">
        <x:v>Deepseek-flash-v4/state/Round2/status/Closure_165.json; Deepseek-flash-v4/state/Round2/shards/Closure_165.json</x:v>
      </x:c>
      <x:c r="N994" s="25" t="str">
        <x:v>Deepseek-flash-v4/Result2/Closure_165/result.json</x:v>
      </x:c>
      <x:c r="O994" s="25" t="str">
        <x:v>Deepseek-flash-v4/Result2/Closure_165/result.json</x:v>
      </x:c>
      <x:c r="P994" t="str">
        <x:v>BOTH_NOT_RUN</x:v>
      </x:c>
      <x:c r="Q994" s="21" t="str"/>
      <x:c r="R994" s="21" t="str"/>
      <x:c r="S994" s="21" t="str"/>
      <x:c r="T994" s="17" t="str">
        <x:v>false</x:v>
      </x:c>
      <x:c r="U994" s="17" t="str">
        <x:v>true</x:v>
      </x:c>
      <x:c r="V994" s="17" t="str">
        <x:v>false</x:v>
      </x:c>
    </x:row>
    <x:row r="995" ht="80" customHeight="1">
      <x:c r="A995" s="25" t="str">
        <x:v>Closure</x:v>
      </x:c>
      <x:c r="B995" s="25" t="n">
        <x:v>166</x:v>
      </x:c>
      <x:c r="C995" s="25" t="str">
        <x:v>Round2</x:v>
      </x:c>
      <x:c r="D995" s="25" t="str">
        <x:v>NOT_AVAILABLE</x:v>
      </x:c>
      <x:c r="E995" s="25" t="str">
        <x:v>N/A</x:v>
      </x:c>
      <x:c r="F995" s="26" t="str">
        <x:v>Tests exist but current coverage did not complete</x:v>
      </x:c>
      <x:c r="G995" s="25" t="str">
        <x:v>true</x:v>
      </x:c>
      <x:c r="H995" s="25" t="str">
        <x:v>NOT_AVAILABLE</x:v>
      </x:c>
      <x:c r="I995" s="25" t="str">
        <x:v>NOT_RUN</x:v>
      </x:c>
      <x:c r="J995" s="25" t="str">
        <x:v>NOT_RUN</x:v>
      </x:c>
      <x:c r="K995" s="25" t="n">
        <x:v>1</x:v>
      </x:c>
      <x:c r="L995" s="27" t="b">
        <x:v>0</x:v>
      </x:c>
      <x:c r="M995" s="25" t="str">
        <x:v>Deepseek-flash-v4/state/Round2/status/Closure_166.json; Deepseek-flash-v4/state/Round2/shards/Closure_166.json</x:v>
      </x:c>
      <x:c r="N995" s="25" t="str">
        <x:v>Deepseek-flash-v4/Result2/Closure_166/result.json</x:v>
      </x:c>
      <x:c r="O995" s="25" t="str">
        <x:v>Deepseek-flash-v4/Result2/Closure_166/result.json</x:v>
      </x:c>
      <x:c r="P995" t="str">
        <x:v>BOTH_NOT_RUN</x:v>
      </x:c>
      <x:c r="Q995" s="21" t="str"/>
      <x:c r="R995" s="21" t="str"/>
      <x:c r="S995" s="21" t="str"/>
      <x:c r="T995" s="17" t="str">
        <x:v>false</x:v>
      </x:c>
      <x:c r="U995" s="17" t="str">
        <x:v>true</x:v>
      </x:c>
      <x:c r="V995" s="17" t="str">
        <x:v>false</x:v>
      </x:c>
    </x:row>
    <x:row r="996" ht="80" customHeight="1">
      <x:c r="A996" s="25" t="str">
        <x:v>Closure</x:v>
      </x:c>
      <x:c r="B996" s="25" t="n">
        <x:v>167</x:v>
      </x:c>
      <x:c r="C996" s="25" t="str">
        <x:v>Round2</x:v>
      </x:c>
      <x:c r="D996" s="25" t="str">
        <x:v>NOT_AVAILABLE</x:v>
      </x:c>
      <x:c r="E996" s="25" t="str">
        <x:v>N/A</x:v>
      </x:c>
      <x:c r="F996" s="26" t="str">
        <x:v>Tests exist but current coverage did not complete</x:v>
      </x:c>
      <x:c r="G996" s="25" t="str">
        <x:v>true</x:v>
      </x:c>
      <x:c r="H996" s="25" t="str">
        <x:v>NOT_AVAILABLE</x:v>
      </x:c>
      <x:c r="I996" s="25" t="str">
        <x:v>NOT_RUN</x:v>
      </x:c>
      <x:c r="J996" s="25" t="str">
        <x:v>NOT_RUN</x:v>
      </x:c>
      <x:c r="K996" s="25" t="n">
        <x:v>2</x:v>
      </x:c>
      <x:c r="L996" s="27" t="b">
        <x:v>0</x:v>
      </x:c>
      <x:c r="M996" s="25" t="str">
        <x:v>Deepseek-flash-v4/state/Round2/status/Closure_167.json; Deepseek-flash-v4/state/Round2/shards/Closure_167.json</x:v>
      </x:c>
      <x:c r="N996" s="25" t="str">
        <x:v>Deepseek-flash-v4/Result2/Closure_167/result.json</x:v>
      </x:c>
      <x:c r="O996" s="25" t="str">
        <x:v>Deepseek-flash-v4/Result2/Closure_167/result.json</x:v>
      </x:c>
      <x:c r="P996" t="str">
        <x:v>BOTH_NOT_RUN</x:v>
      </x:c>
      <x:c r="Q996" s="21" t="str"/>
      <x:c r="R996" s="21" t="str"/>
      <x:c r="S996" s="21" t="str"/>
      <x:c r="T996" s="17" t="str">
        <x:v>false</x:v>
      </x:c>
      <x:c r="U996" s="17" t="str">
        <x:v>true</x:v>
      </x:c>
      <x:c r="V996" s="17" t="str">
        <x:v>false</x:v>
      </x:c>
    </x:row>
    <x:row r="997" ht="80" customHeight="1">
      <x:c r="A997" s="25" t="str">
        <x:v>Closure</x:v>
      </x:c>
      <x:c r="B997" s="25" t="n">
        <x:v>168</x:v>
      </x:c>
      <x:c r="C997" s="25" t="str">
        <x:v>Round2</x:v>
      </x:c>
      <x:c r="D997" s="25" t="str">
        <x:v>NOT_AVAILABLE</x:v>
      </x:c>
      <x:c r="E997" s="25" t="str">
        <x:v>N/A</x:v>
      </x:c>
      <x:c r="F997" s="26" t="str">
        <x:v>Tests exist but current coverage did not complete</x:v>
      </x:c>
      <x:c r="G997" s="25" t="str">
        <x:v>true</x:v>
      </x:c>
      <x:c r="H997" s="25" t="str">
        <x:v>NOT_AVAILABLE</x:v>
      </x:c>
      <x:c r="I997" s="25" t="str">
        <x:v>NOT_RUN</x:v>
      </x:c>
      <x:c r="J997" s="25" t="str">
        <x:v>NOT_RUN</x:v>
      </x:c>
      <x:c r="K997" s="25" t="n">
        <x:v>1</x:v>
      </x:c>
      <x:c r="L997" s="27" t="b">
        <x:v>0</x:v>
      </x:c>
      <x:c r="M997" s="25" t="str">
        <x:v>Deepseek-flash-v4/state/Round2/status/Closure_168.json; Deepseek-flash-v4/state/Round2/shards/Closure_168.json</x:v>
      </x:c>
      <x:c r="N997" s="25" t="str">
        <x:v>Deepseek-flash-v4/Result2/Closure_168/result.json</x:v>
      </x:c>
      <x:c r="O997" s="25" t="str">
        <x:v>Deepseek-flash-v4/Result2/Closure_168/result.json</x:v>
      </x:c>
      <x:c r="P997" t="str">
        <x:v>BOTH_NOT_RUN</x:v>
      </x:c>
      <x:c r="Q997" s="21" t="str"/>
      <x:c r="R997" s="21" t="str"/>
      <x:c r="S997" s="21" t="str"/>
      <x:c r="T997" s="17" t="str">
        <x:v>false</x:v>
      </x:c>
      <x:c r="U997" s="17" t="str">
        <x:v>true</x:v>
      </x:c>
      <x:c r="V997" s="17" t="str">
        <x:v>false</x:v>
      </x:c>
    </x:row>
    <x:row r="998" ht="80" customHeight="1">
      <x:c r="A998" s="25" t="str">
        <x:v>Closure</x:v>
      </x:c>
      <x:c r="B998" s="25" t="n">
        <x:v>169</x:v>
      </x:c>
      <x:c r="C998" s="25" t="str">
        <x:v>Round2</x:v>
      </x:c>
      <x:c r="D998" s="25" t="str">
        <x:v>NOT_AVAILABLE</x:v>
      </x:c>
      <x:c r="E998" s="25" t="str">
        <x:v>N/A</x:v>
      </x:c>
      <x:c r="F998" s="26" t="str">
        <x:v>Tests exist but current coverage did not complete</x:v>
      </x:c>
      <x:c r="G998" s="25" t="str">
        <x:v>true</x:v>
      </x:c>
      <x:c r="H998" s="25" t="str">
        <x:v>NOT_AVAILABLE</x:v>
      </x:c>
      <x:c r="I998" s="25" t="str">
        <x:v>NOT_RUN</x:v>
      </x:c>
      <x:c r="J998" s="25" t="str">
        <x:v>NOT_RUN</x:v>
      </x:c>
      <x:c r="K998" s="25" t="n">
        <x:v>5</x:v>
      </x:c>
      <x:c r="L998" s="27" t="b">
        <x:v>0</x:v>
      </x:c>
      <x:c r="M998" s="25" t="str">
        <x:v>Deepseek-flash-v4/state/Round2/status/Closure_169.json; Deepseek-flash-v4/state/Round2/shards/Closure_169.json</x:v>
      </x:c>
      <x:c r="N998" s="25" t="str">
        <x:v>Deepseek-flash-v4/Result2/Closure_169/result.json</x:v>
      </x:c>
      <x:c r="O998" s="25" t="str">
        <x:v>Deepseek-flash-v4/Result2/Closure_169/result.json</x:v>
      </x:c>
      <x:c r="P998" t="str">
        <x:v>BOTH_NOT_RUN</x:v>
      </x:c>
      <x:c r="Q998" s="21" t="str"/>
      <x:c r="R998" s="21" t="str"/>
      <x:c r="S998" s="21" t="str"/>
      <x:c r="T998" s="17" t="str">
        <x:v>false</x:v>
      </x:c>
      <x:c r="U998" s="17" t="str">
        <x:v>true</x:v>
      </x:c>
      <x:c r="V998" s="17" t="str">
        <x:v>false</x:v>
      </x:c>
    </x:row>
    <x:row r="999" ht="80" customHeight="1">
      <x:c r="A999" s="25" t="str">
        <x:v>Closure</x:v>
      </x:c>
      <x:c r="B999" s="25" t="n">
        <x:v>17</x:v>
      </x:c>
      <x:c r="C999" s="25" t="str">
        <x:v>Round2</x:v>
      </x:c>
      <x:c r="D999" s="25" t="str">
        <x:v>NOT_AVAILABLE</x:v>
      </x:c>
      <x:c r="E999" s="25" t="str">
        <x:v>N/A</x:v>
      </x:c>
      <x:c r="F999" s="26" t="str">
        <x:v>Tests exist but current coverage did not complete</x:v>
      </x:c>
      <x:c r="G999" s="25" t="str">
        <x:v>true</x:v>
      </x:c>
      <x:c r="H999" s="25" t="str">
        <x:v>NOT_AVAILABLE</x:v>
      </x:c>
      <x:c r="I999" s="25" t="str">
        <x:v>NOT_RUN</x:v>
      </x:c>
      <x:c r="J999" s="25" t="str">
        <x:v>NOT_RUN</x:v>
      </x:c>
      <x:c r="K999" s="25" t="n">
        <x:v>1</x:v>
      </x:c>
      <x:c r="L999" s="27" t="b">
        <x:v>0</x:v>
      </x:c>
      <x:c r="M999" s="25" t="str">
        <x:v>Deepseek-flash-v4/state/Round2/status/Closure_17.json; Deepseek-flash-v4/state/Round2/shards/Closure_17.json</x:v>
      </x:c>
      <x:c r="N999" s="25" t="str">
        <x:v>Deepseek-flash-v4/Result2/Closure_17/result.json</x:v>
      </x:c>
      <x:c r="O999" s="25" t="str">
        <x:v>Deepseek-flash-v4/Result2/Closure_17/result.json</x:v>
      </x:c>
      <x:c r="P999" t="str">
        <x:v>BOTH_NOT_RUN</x:v>
      </x:c>
      <x:c r="Q999" s="21" t="str"/>
      <x:c r="R999" s="21" t="str"/>
      <x:c r="S999" s="21" t="str"/>
      <x:c r="T999" s="17" t="str">
        <x:v>false</x:v>
      </x:c>
      <x:c r="U999" s="17" t="str">
        <x:v>true</x:v>
      </x:c>
      <x:c r="V999" s="17" t="str">
        <x:v>false</x:v>
      </x:c>
    </x:row>
    <x:row r="1000" ht="80" customHeight="1">
      <x:c r="A1000" s="25" t="str">
        <x:v>Closure</x:v>
      </x:c>
      <x:c r="B1000" s="25" t="n">
        <x:v>170</x:v>
      </x:c>
      <x:c r="C1000" s="25" t="str">
        <x:v>Round2</x:v>
      </x:c>
      <x:c r="D1000" s="25" t="str">
        <x:v>INCONCLUSIVE</x:v>
      </x:c>
      <x:c r="E1000" s="25" t="str">
        <x:v>N/A</x:v>
      </x:c>
      <x:c r="F1000" s="26" t="str">
        <x:v>Fixed also failed; assertion failure cannot be attributed to this bug</x:v>
      </x:c>
      <x:c r="G1000" s="25" t="str">
        <x:v>true</x:v>
      </x:c>
      <x:c r="H1000" s="25" t="str">
        <x:v>INCONCLUSIVE</x:v>
      </x:c>
      <x:c r="I1000" s="25" t="str">
        <x:v>FAIL</x:v>
      </x:c>
      <x:c r="J1000" s="25" t="str">
        <x:v>FAIL</x:v>
      </x:c>
      <x:c r="K1000" s="25" t="n">
        <x:v>1</x:v>
      </x:c>
      <x:c r="L1000" s="27" t="b">
        <x:v>0</x:v>
      </x:c>
      <x:c r="M1000" s="25" t="str">
        <x:v>Deepseek-flash-v4/state/Round2/status/Closure_170.json; Deepseek-flash-v4/state/Round2/shards/Closure_170.json</x:v>
      </x:c>
      <x:c r="N1000" s="25" t="str">
        <x:v>Deepseek-flash-v4/Result2/Closure_170/result.json</x:v>
      </x:c>
      <x:c r="O1000" s="25" t="str">
        <x:v>Deepseek-flash-v4/Result2/Closure_170/result.json</x:v>
      </x:c>
      <x:c r="P1000"/>
      <x:c r="Q1000" s="21" t="str"/>
      <x:c r="R1000" s="21" t="str"/>
      <x:c r="S1000" s="21" t="str"/>
      <x:c r="T1000" s="17" t="str">
        <x:v>false</x:v>
      </x:c>
      <x:c r="U1000" s="17" t="str">
        <x:v>true</x:v>
      </x:c>
      <x:c r="V1000" s="17" t="str">
        <x:v>false</x:v>
      </x:c>
    </x:row>
    <x:row r="1001" ht="80" customHeight="1">
      <x:c r="A1001" s="25" t="str">
        <x:v>Closure</x:v>
      </x:c>
      <x:c r="B1001" s="25" t="n">
        <x:v>171</x:v>
      </x:c>
      <x:c r="C1001" s="25" t="str">
        <x:v>Round2</x:v>
      </x:c>
      <x:c r="D1001" s="25" t="str">
        <x:v>NOT_AVAILABLE</x:v>
      </x:c>
      <x:c r="E1001" s="25" t="str">
        <x:v>N/A</x:v>
      </x:c>
      <x:c r="F1001" s="26" t="str">
        <x:v>Tests exist but current coverage did not complete</x:v>
      </x:c>
      <x:c r="G1001" s="25" t="str">
        <x:v>true</x:v>
      </x:c>
      <x:c r="H1001" s="25" t="str">
        <x:v>NOT_AVAILABLE</x:v>
      </x:c>
      <x:c r="I1001" s="25" t="str">
        <x:v>NOT_RUN</x:v>
      </x:c>
      <x:c r="J1001" s="25" t="str">
        <x:v>NOT_RUN</x:v>
      </x:c>
      <x:c r="K1001" s="25" t="n">
        <x:v>2</x:v>
      </x:c>
      <x:c r="L1001" s="27" t="b">
        <x:v>0</x:v>
      </x:c>
      <x:c r="M1001" s="25" t="str">
        <x:v>Deepseek-flash-v4/state/Round2/status/Closure_171.json; Deepseek-flash-v4/state/Round2/shards/Closure_171.json</x:v>
      </x:c>
      <x:c r="N1001" s="25" t="str">
        <x:v>Deepseek-flash-v4/Result2/Closure_171/result.json</x:v>
      </x:c>
      <x:c r="O1001" s="25" t="str">
        <x:v>Deepseek-flash-v4/Result2/Closure_171/result.json</x:v>
      </x:c>
      <x:c r="P1001" t="str">
        <x:v>BOTH_NOT_RUN</x:v>
      </x:c>
      <x:c r="Q1001" s="21" t="str"/>
      <x:c r="R1001" s="21" t="str"/>
      <x:c r="S1001" s="21" t="str"/>
      <x:c r="T1001" s="17" t="str">
        <x:v>false</x:v>
      </x:c>
      <x:c r="U1001" s="17" t="str">
        <x:v>true</x:v>
      </x:c>
      <x:c r="V1001" s="17" t="str">
        <x:v>false</x:v>
      </x:c>
    </x:row>
    <x:row r="1002" ht="80" customHeight="1">
      <x:c r="A1002" s="25" t="str">
        <x:v>Closure</x:v>
      </x:c>
      <x:c r="B1002" s="25" t="n">
        <x:v>172</x:v>
      </x:c>
      <x:c r="C1002" s="25" t="str">
        <x:v>Round2</x:v>
      </x:c>
      <x:c r="D1002" s="25" t="str">
        <x:v>INCONCLUSIVE</x:v>
      </x:c>
      <x:c r="E1002" s="25" t="str">
        <x:v>N/A</x:v>
      </x:c>
      <x:c r="F1002" s="26" t="str">
        <x:v>Fixed also failed; assertion failure cannot be attributed to this bug; Same-round generation metadata missing; use saved tests and execution evidence, no failure inferred</x:v>
      </x:c>
      <x:c r="G1002" s="25" t="str">
        <x:v>true</x:v>
      </x:c>
      <x:c r="H1002" s="25" t="str">
        <x:v>INCONCLUSIVE</x:v>
      </x:c>
      <x:c r="I1002" s="25" t="str">
        <x:v>FAIL</x:v>
      </x:c>
      <x:c r="J1002" s="25" t="str">
        <x:v>FAIL</x:v>
      </x:c>
      <x:c r="K1002" s="25" t="n">
        <x:v>1</x:v>
      </x:c>
      <x:c r="L1002" s="27" t="b">
        <x:v>0</x:v>
      </x:c>
      <x:c r="M1002" s="25"/>
      <x:c r="N1002" s="25" t="str">
        <x:v>Deepseek-flash-v4/Result2/Closure_172/result.json</x:v>
      </x:c>
      <x:c r="O1002" s="25" t="str">
        <x:v>Deepseek-flash-v4/Result2/Closure_172/result.json</x:v>
      </x:c>
      <x:c r="P1002"/>
      <x:c r="Q1002" s="21" t="str"/>
      <x:c r="R1002" s="21" t="str"/>
      <x:c r="S1002" s="21" t="str"/>
      <x:c r="T1002" s="17" t="str">
        <x:v>false</x:v>
      </x:c>
      <x:c r="U1002" s="17" t="str">
        <x:v>true</x:v>
      </x:c>
      <x:c r="V1002" s="17" t="str">
        <x:v>false</x:v>
      </x:c>
    </x:row>
    <x:row r="1003" ht="80" customHeight="1">
      <x:c r="A1003" s="25" t="str">
        <x:v>Closure</x:v>
      </x:c>
      <x:c r="B1003" s="25" t="n">
        <x:v>173</x:v>
      </x:c>
      <x:c r="C1003" s="25" t="str">
        <x:v>Round2</x:v>
      </x:c>
      <x:c r="D1003" s="25" t="str">
        <x:v>INCONCLUSIVE</x:v>
      </x:c>
      <x:c r="E1003" s="25" t="str">
        <x:v>N/A</x:v>
      </x:c>
      <x:c r="F1003" s="26" t="str">
        <x:v>Fixed also failed; assertion failure cannot be attributed to this bug</x:v>
      </x:c>
      <x:c r="G1003" s="25" t="str">
        <x:v>true</x:v>
      </x:c>
      <x:c r="H1003" s="25" t="str">
        <x:v>INCONCLUSIVE</x:v>
      </x:c>
      <x:c r="I1003" s="25" t="str">
        <x:v>FAIL</x:v>
      </x:c>
      <x:c r="J1003" s="25" t="str">
        <x:v>FAIL</x:v>
      </x:c>
      <x:c r="K1003" s="25" t="n">
        <x:v>2</x:v>
      </x:c>
      <x:c r="L1003" s="27" t="b">
        <x:v>0</x:v>
      </x:c>
      <x:c r="M1003" s="25" t="str">
        <x:v>Deepseek-flash-v4/state/Round2/status/Closure_173.json; Deepseek-flash-v4/state/Round2/shards/Closure_173.json</x:v>
      </x:c>
      <x:c r="N1003" s="25" t="str">
        <x:v>Deepseek-flash-v4/Result2/Closure_173/result.json</x:v>
      </x:c>
      <x:c r="O1003" s="25" t="str">
        <x:v>Deepseek-flash-v4/Result2/Closure_173/result.json</x:v>
      </x:c>
      <x:c r="P1003"/>
      <x:c r="Q1003" s="21" t="str"/>
      <x:c r="R1003" s="21" t="str"/>
      <x:c r="S1003" s="21" t="str"/>
      <x:c r="T1003" s="17" t="str">
        <x:v>false</x:v>
      </x:c>
      <x:c r="U1003" s="17" t="str">
        <x:v>true</x:v>
      </x:c>
      <x:c r="V1003" s="17" t="str">
        <x:v>false</x:v>
      </x:c>
    </x:row>
    <x:row r="1004" ht="80" customHeight="1">
      <x:c r="A1004" s="25" t="str">
        <x:v>Closure</x:v>
      </x:c>
      <x:c r="B1004" s="25" t="n">
        <x:v>174</x:v>
      </x:c>
      <x:c r="C1004" s="25" t="str">
        <x:v>Round2</x:v>
      </x:c>
      <x:c r="D1004" s="25" t="str">
        <x:v>NOT_AVAILABLE</x:v>
      </x:c>
      <x:c r="E1004" s="25" t="str">
        <x:v>N/A</x:v>
      </x:c>
      <x:c r="F1004" s="26" t="str">
        <x:v>Tests exist but current coverage did not complete</x:v>
      </x:c>
      <x:c r="G1004" s="25" t="str">
        <x:v>true</x:v>
      </x:c>
      <x:c r="H1004" s="25" t="str">
        <x:v>NOT_AVAILABLE</x:v>
      </x:c>
      <x:c r="I1004" s="25" t="str">
        <x:v>NOT_RUN</x:v>
      </x:c>
      <x:c r="J1004" s="25" t="str">
        <x:v>NOT_RUN</x:v>
      </x:c>
      <x:c r="K1004" s="25" t="n">
        <x:v>3</x:v>
      </x:c>
      <x:c r="L1004" s="27" t="b">
        <x:v>0</x:v>
      </x:c>
      <x:c r="M1004" s="25" t="str">
        <x:v>Deepseek-flash-v4/state/Round2/status/Closure_174.json; Deepseek-flash-v4/state/Round2/shards/Closure_174.json</x:v>
      </x:c>
      <x:c r="N1004" s="25" t="str">
        <x:v>Deepseek-flash-v4/Result2/Closure_174/result.json</x:v>
      </x:c>
      <x:c r="O1004" s="25" t="str">
        <x:v>Deepseek-flash-v4/Result2/Closure_174/result.json</x:v>
      </x:c>
      <x:c r="P1004" t="str">
        <x:v>BOTH_NOT_RUN</x:v>
      </x:c>
      <x:c r="Q1004" s="21" t="str"/>
      <x:c r="R1004" s="21" t="str"/>
      <x:c r="S1004" s="21" t="str"/>
      <x:c r="T1004" s="17" t="str">
        <x:v>false</x:v>
      </x:c>
      <x:c r="U1004" s="17" t="str">
        <x:v>true</x:v>
      </x:c>
      <x:c r="V1004" s="17" t="str">
        <x:v>false</x:v>
      </x:c>
    </x:row>
    <x:row r="1005" ht="80" customHeight="1">
      <x:c r="A1005" s="25" t="str">
        <x:v>Closure</x:v>
      </x:c>
      <x:c r="B1005" s="25" t="n">
        <x:v>175</x:v>
      </x:c>
      <x:c r="C1005" s="25" t="str">
        <x:v>Round2</x:v>
      </x:c>
      <x:c r="D1005" s="25" t="str">
        <x:v>NOT_AVAILABLE</x:v>
      </x:c>
      <x:c r="E1005" s="25" t="str">
        <x:v>N/A</x:v>
      </x:c>
      <x:c r="F1005" s="26" t="str">
        <x:v>Tests exist but current coverage did not complete</x:v>
      </x:c>
      <x:c r="G1005" s="25" t="str">
        <x:v>true</x:v>
      </x:c>
      <x:c r="H1005" s="25" t="str">
        <x:v>NOT_AVAILABLE</x:v>
      </x:c>
      <x:c r="I1005" s="25" t="str">
        <x:v>NOT_RUN</x:v>
      </x:c>
      <x:c r="J1005" s="25" t="str">
        <x:v>NOT_RUN</x:v>
      </x:c>
      <x:c r="K1005" s="25" t="n">
        <x:v>1</x:v>
      </x:c>
      <x:c r="L1005" s="27" t="b">
        <x:v>0</x:v>
      </x:c>
      <x:c r="M1005" s="25" t="str">
        <x:v>Deepseek-flash-v4/state/Round2/shards/Closure_175.json</x:v>
      </x:c>
      <x:c r="N1005" s="25" t="str">
        <x:v>Deepseek-flash-v4/Result2/Closure_175/result.json</x:v>
      </x:c>
      <x:c r="O1005" s="25" t="str">
        <x:v>Deepseek-flash-v4/Result2/Closure_175/result.json</x:v>
      </x:c>
      <x:c r="P1005" t="str">
        <x:v>BOTH_NOT_RUN</x:v>
      </x:c>
      <x:c r="Q1005" s="21" t="str"/>
      <x:c r="R1005" s="21" t="str"/>
      <x:c r="S1005" s="21" t="str"/>
      <x:c r="T1005" s="17" t="str">
        <x:v>false</x:v>
      </x:c>
      <x:c r="U1005" s="17" t="str">
        <x:v>true</x:v>
      </x:c>
      <x:c r="V1005" s="17" t="str">
        <x:v>false</x:v>
      </x:c>
    </x:row>
    <x:row r="1006" ht="80" customHeight="1">
      <x:c r="A1006" s="25" t="str">
        <x:v>Closure</x:v>
      </x:c>
      <x:c r="B1006" s="25" t="n">
        <x:v>176</x:v>
      </x:c>
      <x:c r="C1006" s="25" t="str">
        <x:v>Round2</x:v>
      </x:c>
      <x:c r="D1006" s="25" t="str">
        <x:v>NOT_AVAILABLE</x:v>
      </x:c>
      <x:c r="E1006" s="25" t="str">
        <x:v>N/A</x:v>
      </x:c>
      <x:c r="F1006" s="26" t="str">
        <x:v>Tests exist but current coverage did not complete</x:v>
      </x:c>
      <x:c r="G1006" s="25" t="str">
        <x:v>true</x:v>
      </x:c>
      <x:c r="H1006" s="25" t="str">
        <x:v>NOT_AVAILABLE</x:v>
      </x:c>
      <x:c r="I1006" s="25" t="str">
        <x:v>NOT_RUN</x:v>
      </x:c>
      <x:c r="J1006" s="25" t="str">
        <x:v>NOT_RUN</x:v>
      </x:c>
      <x:c r="K1006" s="25" t="n">
        <x:v>1</x:v>
      </x:c>
      <x:c r="L1006" s="27" t="b">
        <x:v>0</x:v>
      </x:c>
      <x:c r="M1006" s="25" t="str">
        <x:v>Deepseek-flash-v4/state/Round2/shards/Closure_176.json</x:v>
      </x:c>
      <x:c r="N1006" s="25" t="str">
        <x:v>Deepseek-flash-v4/Result2/Closure_176/result.json</x:v>
      </x:c>
      <x:c r="O1006" s="25" t="str">
        <x:v>Deepseek-flash-v4/Result2/Closure_176/result.json</x:v>
      </x:c>
      <x:c r="P1006" t="str">
        <x:v>BOTH_NOT_RUN</x:v>
      </x:c>
      <x:c r="Q1006" s="21" t="str"/>
      <x:c r="R1006" s="21" t="str"/>
      <x:c r="S1006" s="21" t="str"/>
      <x:c r="T1006" s="17" t="str">
        <x:v>false</x:v>
      </x:c>
      <x:c r="U1006" s="17" t="str">
        <x:v>true</x:v>
      </x:c>
      <x:c r="V1006" s="17" t="str">
        <x:v>false</x:v>
      </x:c>
    </x:row>
    <x:row r="1007" ht="80" customHeight="1">
      <x:c r="A1007" s="25" t="str">
        <x:v>Closure</x:v>
      </x:c>
      <x:c r="B1007" s="25" t="n">
        <x:v>18</x:v>
      </x:c>
      <x:c r="C1007" s="25" t="str">
        <x:v>Round2</x:v>
      </x:c>
      <x:c r="D1007" s="25" t="str">
        <x:v>NOT_AVAILABLE</x:v>
      </x:c>
      <x:c r="E1007" s="25" t="str">
        <x:v>N/A</x:v>
      </x:c>
      <x:c r="F1007" s="26" t="str">
        <x:v>Tests exist but current coverage did not complete</x:v>
      </x:c>
      <x:c r="G1007" s="25" t="str">
        <x:v>true</x:v>
      </x:c>
      <x:c r="H1007" s="25" t="str">
        <x:v>NOT_AVAILABLE</x:v>
      </x:c>
      <x:c r="I1007" s="25" t="str">
        <x:v>NOT_RUN</x:v>
      </x:c>
      <x:c r="J1007" s="25" t="str">
        <x:v>NOT_RUN</x:v>
      </x:c>
      <x:c r="K1007" s="25" t="n">
        <x:v>1</x:v>
      </x:c>
      <x:c r="L1007" s="27" t="b">
        <x:v>0</x:v>
      </x:c>
      <x:c r="M1007" s="25" t="str">
        <x:v>Deepseek-flash-v4/state/Round2/status/Closure_18.json; Deepseek-flash-v4/state/Round2/shards/Closure_18.json</x:v>
      </x:c>
      <x:c r="N1007" s="25" t="str">
        <x:v>Deepseek-flash-v4/Result2/Closure_18/result.json</x:v>
      </x:c>
      <x:c r="O1007" s="25" t="str">
        <x:v>Deepseek-flash-v4/Result2/Closure_18/result.json</x:v>
      </x:c>
      <x:c r="P1007" t="str">
        <x:v>BOTH_NOT_RUN</x:v>
      </x:c>
      <x:c r="Q1007" s="21" t="str"/>
      <x:c r="R1007" s="21" t="str"/>
      <x:c r="S1007" s="21" t="str"/>
      <x:c r="T1007" s="17" t="str">
        <x:v>false</x:v>
      </x:c>
      <x:c r="U1007" s="17" t="str">
        <x:v>true</x:v>
      </x:c>
      <x:c r="V1007" s="17" t="str">
        <x:v>false</x:v>
      </x:c>
    </x:row>
    <x:row r="1008" ht="80" customHeight="1">
      <x:c r="A1008" s="25" t="str">
        <x:v>Closure</x:v>
      </x:c>
      <x:c r="B1008" s="25" t="n">
        <x:v>19</x:v>
      </x:c>
      <x:c r="C1008" s="25" t="str">
        <x:v>Round2</x:v>
      </x:c>
      <x:c r="D1008" s="25" t="str">
        <x:v>NOT_AVAILABLE</x:v>
      </x:c>
      <x:c r="E1008" s="25" t="str">
        <x:v>N/A</x:v>
      </x:c>
      <x:c r="F1008" s="26" t="str">
        <x:v>Tests exist but current coverage did not complete</x:v>
      </x:c>
      <x:c r="G1008" s="25" t="str">
        <x:v>true</x:v>
      </x:c>
      <x:c r="H1008" s="25" t="str">
        <x:v>NOT_AVAILABLE</x:v>
      </x:c>
      <x:c r="I1008" s="25" t="str">
        <x:v>NOT_RUN</x:v>
      </x:c>
      <x:c r="J1008" s="25" t="str">
        <x:v>NOT_RUN</x:v>
      </x:c>
      <x:c r="K1008" s="25" t="n">
        <x:v>1</x:v>
      </x:c>
      <x:c r="L1008" s="27" t="b">
        <x:v>0</x:v>
      </x:c>
      <x:c r="M1008" s="25" t="str">
        <x:v>Deepseek-flash-v4/state/Round2/status/Closure_19.json; Deepseek-flash-v4/state/Round2/shards/Closure_19.json</x:v>
      </x:c>
      <x:c r="N1008" s="25" t="str">
        <x:v>Deepseek-flash-v4/Result2/Closure_19/result.json</x:v>
      </x:c>
      <x:c r="O1008" s="25" t="str">
        <x:v>Deepseek-flash-v4/Result2/Closure_19/result.json</x:v>
      </x:c>
      <x:c r="P1008" t="str">
        <x:v>BOTH_NOT_RUN</x:v>
      </x:c>
      <x:c r="Q1008" s="21" t="str"/>
      <x:c r="R1008" s="21" t="str"/>
      <x:c r="S1008" s="21" t="str"/>
      <x:c r="T1008" s="17" t="str">
        <x:v>false</x:v>
      </x:c>
      <x:c r="U1008" s="17" t="str">
        <x:v>true</x:v>
      </x:c>
      <x:c r="V1008" s="17" t="str">
        <x:v>false</x:v>
      </x:c>
    </x:row>
    <x:row r="1009" ht="80" customHeight="1">
      <x:c r="A1009" s="25" t="str">
        <x:v>Closure</x:v>
      </x:c>
      <x:c r="B1009" s="25" t="n">
        <x:v>2</x:v>
      </x:c>
      <x:c r="C1009" s="25" t="str">
        <x:v>Round2</x:v>
      </x:c>
      <x:c r="D1009" s="25" t="str">
        <x:v>NOT_AVAILABLE</x:v>
      </x:c>
      <x:c r="E1009" s="25" t="str">
        <x:v>N/A</x:v>
      </x:c>
      <x:c r="F1009" s="26" t="str">
        <x:v>Tests exist but current coverage did not complete</x:v>
      </x:c>
      <x:c r="G1009" s="25" t="str">
        <x:v>true</x:v>
      </x:c>
      <x:c r="H1009" s="25" t="str">
        <x:v>NOT_AVAILABLE</x:v>
      </x:c>
      <x:c r="I1009" s="25" t="str">
        <x:v>NOT_RUN</x:v>
      </x:c>
      <x:c r="J1009" s="25" t="str">
        <x:v>NOT_RUN</x:v>
      </x:c>
      <x:c r="K1009" s="25" t="n">
        <x:v>1</x:v>
      </x:c>
      <x:c r="L1009" s="27" t="b">
        <x:v>0</x:v>
      </x:c>
      <x:c r="M1009" s="25" t="str">
        <x:v>Deepseek-flash-v4/state/Round2/status/Closure_2.json; Deepseek-flash-v4/state/Round2/shards/Closure_2.json</x:v>
      </x:c>
      <x:c r="N1009" s="25" t="str">
        <x:v>Deepseek-flash-v4/Result2/Closure_2/result.json</x:v>
      </x:c>
      <x:c r="O1009" s="25" t="str">
        <x:v>Deepseek-flash-v4/Result2/Closure_2/result.json</x:v>
      </x:c>
      <x:c r="P1009" t="str">
        <x:v>BOTH_NOT_RUN</x:v>
      </x:c>
      <x:c r="Q1009" s="21" t="str"/>
      <x:c r="R1009" s="21" t="str"/>
      <x:c r="S1009" s="21" t="str"/>
      <x:c r="T1009" s="17" t="str">
        <x:v>false</x:v>
      </x:c>
      <x:c r="U1009" s="17" t="str">
        <x:v>true</x:v>
      </x:c>
      <x:c r="V1009" s="17" t="str">
        <x:v>false</x:v>
      </x:c>
    </x:row>
    <x:row r="1010" ht="80" customHeight="1">
      <x:c r="A1010" s="25" t="str">
        <x:v>Closure</x:v>
      </x:c>
      <x:c r="B1010" s="25" t="n">
        <x:v>20</x:v>
      </x:c>
      <x:c r="C1010" s="25" t="str">
        <x:v>Round2</x:v>
      </x:c>
      <x:c r="D1010" s="25" t="str">
        <x:v>INCONCLUSIVE</x:v>
      </x:c>
      <x:c r="E1010" s="25" t="str">
        <x:v>N/A</x:v>
      </x:c>
      <x:c r="F1010" s="26" t="str">
        <x:v>Fixed also failed; assertion failure cannot be attributed to this bug; Same-round generation metadata missing; use saved tests and execution evidence, no failure inferred</x:v>
      </x:c>
      <x:c r="G1010" s="25" t="str">
        <x:v>true</x:v>
      </x:c>
      <x:c r="H1010" s="25" t="str">
        <x:v>INCONCLUSIVE</x:v>
      </x:c>
      <x:c r="I1010" s="25" t="str">
        <x:v>FAIL</x:v>
      </x:c>
      <x:c r="J1010" s="25" t="str">
        <x:v>FAIL</x:v>
      </x:c>
      <x:c r="K1010" s="25" t="n">
        <x:v>1</x:v>
      </x:c>
      <x:c r="L1010" s="27" t="b">
        <x:v>0</x:v>
      </x:c>
      <x:c r="M1010" s="25"/>
      <x:c r="N1010" s="25" t="str">
        <x:v>Deepseek-flash-v4/Result2/Closure_20/result.json</x:v>
      </x:c>
      <x:c r="O1010" s="25" t="str">
        <x:v>Deepseek-flash-v4/Result2/Closure_20/result.json</x:v>
      </x:c>
      <x:c r="P1010"/>
      <x:c r="Q1010" s="21" t="str"/>
      <x:c r="R1010" s="21" t="str"/>
      <x:c r="S1010" s="21" t="str"/>
      <x:c r="T1010" s="17" t="str">
        <x:v>false</x:v>
      </x:c>
      <x:c r="U1010" s="17" t="str">
        <x:v>true</x:v>
      </x:c>
      <x:c r="V1010" s="17" t="str">
        <x:v>false</x:v>
      </x:c>
    </x:row>
    <x:row r="1011" ht="80" customHeight="1">
      <x:c r="A1011" s="25" t="str">
        <x:v>Closure</x:v>
      </x:c>
      <x:c r="B1011" s="25" t="n">
        <x:v>21</x:v>
      </x:c>
      <x:c r="C1011" s="25" t="str">
        <x:v>Round2</x:v>
      </x:c>
      <x:c r="D1011" s="25" t="str">
        <x:v>NOT_AVAILABLE</x:v>
      </x:c>
      <x:c r="E1011" s="25" t="str">
        <x:v>N/A</x:v>
      </x:c>
      <x:c r="F1011" s="26" t="str">
        <x:v>Tests exist but current coverage did not complete</x:v>
      </x:c>
      <x:c r="G1011" s="25" t="str">
        <x:v>true</x:v>
      </x:c>
      <x:c r="H1011" s="25" t="str">
        <x:v>NOT_AVAILABLE</x:v>
      </x:c>
      <x:c r="I1011" s="25" t="str">
        <x:v>NOT_RUN</x:v>
      </x:c>
      <x:c r="J1011" s="25" t="str">
        <x:v>NOT_RUN</x:v>
      </x:c>
      <x:c r="K1011" s="25" t="n">
        <x:v>1</x:v>
      </x:c>
      <x:c r="L1011" s="27" t="b">
        <x:v>0</x:v>
      </x:c>
      <x:c r="M1011" s="25" t="str">
        <x:v>Deepseek-flash-v4/state/Round2/status/Closure_21.json; Deepseek-flash-v4/state/Round2/shards/Closure_21.json</x:v>
      </x:c>
      <x:c r="N1011" s="25" t="str">
        <x:v>Deepseek-flash-v4/Result2/Closure_21/result.json</x:v>
      </x:c>
      <x:c r="O1011" s="25" t="str">
        <x:v>Deepseek-flash-v4/Result2/Closure_21/result.json</x:v>
      </x:c>
      <x:c r="P1011" t="str">
        <x:v>BOTH_NOT_RUN</x:v>
      </x:c>
      <x:c r="Q1011" s="21" t="str"/>
      <x:c r="R1011" s="21" t="str"/>
      <x:c r="S1011" s="21" t="str"/>
      <x:c r="T1011" s="17" t="str">
        <x:v>false</x:v>
      </x:c>
      <x:c r="U1011" s="17" t="str">
        <x:v>true</x:v>
      </x:c>
      <x:c r="V1011" s="17" t="str">
        <x:v>false</x:v>
      </x:c>
    </x:row>
    <x:row r="1012" ht="80" customHeight="1">
      <x:c r="A1012" s="25" t="str">
        <x:v>Closure</x:v>
      </x:c>
      <x:c r="B1012" s="25" t="n">
        <x:v>22</x:v>
      </x:c>
      <x:c r="C1012" s="25" t="str">
        <x:v>Round2</x:v>
      </x:c>
      <x:c r="D1012" s="25" t="str">
        <x:v>NOT_AVAILABLE</x:v>
      </x:c>
      <x:c r="E1012" s="25" t="str">
        <x:v>N/A</x:v>
      </x:c>
      <x:c r="F1012" s="26" t="str">
        <x:v>Tests exist but current coverage did not complete</x:v>
      </x:c>
      <x:c r="G1012" s="25" t="str">
        <x:v>true</x:v>
      </x:c>
      <x:c r="H1012" s="25" t="str">
        <x:v>NOT_AVAILABLE</x:v>
      </x:c>
      <x:c r="I1012" s="25" t="str">
        <x:v>NOT_RUN</x:v>
      </x:c>
      <x:c r="J1012" s="25" t="str">
        <x:v>NOT_RUN</x:v>
      </x:c>
      <x:c r="K1012" s="25" t="n">
        <x:v>1</x:v>
      </x:c>
      <x:c r="L1012" s="27" t="b">
        <x:v>0</x:v>
      </x:c>
      <x:c r="M1012" s="25" t="str">
        <x:v>Deepseek-flash-v4/state/Round2/status/Closure_22.json; Deepseek-flash-v4/state/Round2/shards/Closure_22.json</x:v>
      </x:c>
      <x:c r="N1012" s="25" t="str">
        <x:v>Deepseek-flash-v4/Result2/Closure_22/result.json</x:v>
      </x:c>
      <x:c r="O1012" s="25" t="str">
        <x:v>Deepseek-flash-v4/Result2/Closure_22/result.json</x:v>
      </x:c>
      <x:c r="P1012" t="str">
        <x:v>BOTH_NOT_RUN</x:v>
      </x:c>
      <x:c r="Q1012" s="21" t="str"/>
      <x:c r="R1012" s="21" t="str"/>
      <x:c r="S1012" s="21" t="str"/>
      <x:c r="T1012" s="17" t="str">
        <x:v>false</x:v>
      </x:c>
      <x:c r="U1012" s="17" t="str">
        <x:v>true</x:v>
      </x:c>
      <x:c r="V1012" s="17" t="str">
        <x:v>false</x:v>
      </x:c>
    </x:row>
    <x:row r="1013" ht="80" customHeight="1">
      <x:c r="A1013" s="25" t="str">
        <x:v>Closure</x:v>
      </x:c>
      <x:c r="B1013" s="25" t="n">
        <x:v>23</x:v>
      </x:c>
      <x:c r="C1013" s="25" t="str">
        <x:v>Round2</x:v>
      </x:c>
      <x:c r="D1013" s="25" t="str">
        <x:v>NOT_AVAILABLE</x:v>
      </x:c>
      <x:c r="E1013" s="25" t="str">
        <x:v>N/A</x:v>
      </x:c>
      <x:c r="F1013" s="26" t="str">
        <x:v>Tests exist but current coverage did not complete</x:v>
      </x:c>
      <x:c r="G1013" s="25" t="str">
        <x:v>true</x:v>
      </x:c>
      <x:c r="H1013" s="25" t="str">
        <x:v>NOT_AVAILABLE</x:v>
      </x:c>
      <x:c r="I1013" s="25" t="str">
        <x:v>NOT_RUN</x:v>
      </x:c>
      <x:c r="J1013" s="25" t="str">
        <x:v>NOT_RUN</x:v>
      </x:c>
      <x:c r="K1013" s="25" t="n">
        <x:v>1</x:v>
      </x:c>
      <x:c r="L1013" s="27" t="b">
        <x:v>0</x:v>
      </x:c>
      <x:c r="M1013" s="25" t="str">
        <x:v>Deepseek-flash-v4/state/Round2/status/Closure_23.json; Deepseek-flash-v4/state/Round2/shards/Closure_23.json</x:v>
      </x:c>
      <x:c r="N1013" s="25" t="str">
        <x:v>Deepseek-flash-v4/Result2/Closure_23/result.json</x:v>
      </x:c>
      <x:c r="O1013" s="25" t="str">
        <x:v>Deepseek-flash-v4/Result2/Closure_23/result.json</x:v>
      </x:c>
      <x:c r="P1013" t="str">
        <x:v>BOTH_NOT_RUN</x:v>
      </x:c>
      <x:c r="Q1013" s="21" t="str"/>
      <x:c r="R1013" s="21" t="str"/>
      <x:c r="S1013" s="21" t="str"/>
      <x:c r="T1013" s="17" t="str">
        <x:v>false</x:v>
      </x:c>
      <x:c r="U1013" s="17" t="str">
        <x:v>true</x:v>
      </x:c>
      <x:c r="V1013" s="17" t="str">
        <x:v>false</x:v>
      </x:c>
    </x:row>
    <x:row r="1014" ht="80" customHeight="1">
      <x:c r="A1014" s="25" t="str">
        <x:v>Closure</x:v>
      </x:c>
      <x:c r="B1014" s="25" t="n">
        <x:v>24</x:v>
      </x:c>
      <x:c r="C1014" s="25" t="str">
        <x:v>Round2</x:v>
      </x:c>
      <x:c r="D1014" s="25" t="str">
        <x:v>NOT_AVAILABLE</x:v>
      </x:c>
      <x:c r="E1014" s="25" t="str">
        <x:v>N/A</x:v>
      </x:c>
      <x:c r="F1014" s="26" t="str">
        <x:v>Tests exist but current coverage did not complete</x:v>
      </x:c>
      <x:c r="G1014" s="25" t="str">
        <x:v>true</x:v>
      </x:c>
      <x:c r="H1014" s="25" t="str">
        <x:v>NOT_AVAILABLE</x:v>
      </x:c>
      <x:c r="I1014" s="25" t="str">
        <x:v>NOT_RUN</x:v>
      </x:c>
      <x:c r="J1014" s="25" t="str">
        <x:v>NOT_RUN</x:v>
      </x:c>
      <x:c r="K1014" s="25" t="n">
        <x:v>1</x:v>
      </x:c>
      <x:c r="L1014" s="27" t="b">
        <x:v>0</x:v>
      </x:c>
      <x:c r="M1014" s="25" t="str">
        <x:v>Deepseek-flash-v4/state/Round2/status/Closure_24.json; Deepseek-flash-v4/state/Round2/shards/Closure_24.json</x:v>
      </x:c>
      <x:c r="N1014" s="25" t="str">
        <x:v>Deepseek-flash-v4/Result2/Closure_24/result.json</x:v>
      </x:c>
      <x:c r="O1014" s="25" t="str">
        <x:v>Deepseek-flash-v4/Result2/Closure_24/result.json</x:v>
      </x:c>
      <x:c r="P1014" t="str">
        <x:v>BOTH_NOT_RUN</x:v>
      </x:c>
      <x:c r="Q1014" s="21" t="str"/>
      <x:c r="R1014" s="21" t="str"/>
      <x:c r="S1014" s="21" t="str"/>
      <x:c r="T1014" s="17" t="str">
        <x:v>false</x:v>
      </x:c>
      <x:c r="U1014" s="17" t="str">
        <x:v>true</x:v>
      </x:c>
      <x:c r="V1014" s="17" t="str">
        <x:v>false</x:v>
      </x:c>
    </x:row>
    <x:row r="1015" ht="80" customHeight="1">
      <x:c r="A1015" s="25" t="str">
        <x:v>Closure</x:v>
      </x:c>
      <x:c r="B1015" s="25" t="n">
        <x:v>25</x:v>
      </x:c>
      <x:c r="C1015" s="25" t="str">
        <x:v>Round2</x:v>
      </x:c>
      <x:c r="D1015" s="25" t="str">
        <x:v>NOT_AVAILABLE</x:v>
      </x:c>
      <x:c r="E1015" s="25" t="str">
        <x:v>N/A</x:v>
      </x:c>
      <x:c r="F1015" s="26" t="str">
        <x:v>Tests exist but current coverage did not complete</x:v>
      </x:c>
      <x:c r="G1015" s="25" t="str">
        <x:v>true</x:v>
      </x:c>
      <x:c r="H1015" s="25" t="str">
        <x:v>NOT_AVAILABLE</x:v>
      </x:c>
      <x:c r="I1015" s="25" t="str">
        <x:v>NOT_RUN</x:v>
      </x:c>
      <x:c r="J1015" s="25" t="str">
        <x:v>NOT_RUN</x:v>
      </x:c>
      <x:c r="K1015" s="25" t="n">
        <x:v>1</x:v>
      </x:c>
      <x:c r="L1015" s="27" t="b">
        <x:v>0</x:v>
      </x:c>
      <x:c r="M1015" s="25" t="str">
        <x:v>Deepseek-flash-v4/state/Round2/status/Closure_25.json; Deepseek-flash-v4/state/Round2/shards/Closure_25.json</x:v>
      </x:c>
      <x:c r="N1015" s="25" t="str">
        <x:v>Deepseek-flash-v4/Result2/Closure_25/result.json</x:v>
      </x:c>
      <x:c r="O1015" s="25" t="str">
        <x:v>Deepseek-flash-v4/Result2/Closure_25/result.json</x:v>
      </x:c>
      <x:c r="P1015" t="str">
        <x:v>BOTH_NOT_RUN</x:v>
      </x:c>
      <x:c r="Q1015" s="21" t="str"/>
      <x:c r="R1015" s="21" t="str"/>
      <x:c r="S1015" s="21" t="str"/>
      <x:c r="T1015" s="17" t="str">
        <x:v>false</x:v>
      </x:c>
      <x:c r="U1015" s="17" t="str">
        <x:v>true</x:v>
      </x:c>
      <x:c r="V1015" s="17" t="str">
        <x:v>false</x:v>
      </x:c>
    </x:row>
    <x:row r="1016" ht="80" customHeight="1">
      <x:c r="A1016" s="25" t="str">
        <x:v>Closure</x:v>
      </x:c>
      <x:c r="B1016" s="25" t="n">
        <x:v>26</x:v>
      </x:c>
      <x:c r="C1016" s="25" t="str">
        <x:v>Round2</x:v>
      </x:c>
      <x:c r="D1016" s="25" t="str">
        <x:v>INCONCLUSIVE</x:v>
      </x:c>
      <x:c r="E1016" s="25" t="str">
        <x:v>N/A</x:v>
      </x:c>
      <x:c r="F1016" s="26" t="str">
        <x:v>Fixed also failed; assertion failure cannot be attributed to this bug</x:v>
      </x:c>
      <x:c r="G1016" s="25" t="str">
        <x:v>true</x:v>
      </x:c>
      <x:c r="H1016" s="25" t="str">
        <x:v>INCONCLUSIVE</x:v>
      </x:c>
      <x:c r="I1016" s="25" t="str">
        <x:v>FAIL</x:v>
      </x:c>
      <x:c r="J1016" s="25" t="str">
        <x:v>FAIL</x:v>
      </x:c>
      <x:c r="K1016" s="25" t="n">
        <x:v>1</x:v>
      </x:c>
      <x:c r="L1016" s="27" t="b">
        <x:v>0</x:v>
      </x:c>
      <x:c r="M1016" s="25" t="str">
        <x:v>Deepseek-flash-v4/state/Round2/status/Closure_26.json; Deepseek-flash-v4/state/Round2/shards/Closure_26.json</x:v>
      </x:c>
      <x:c r="N1016" s="25" t="str">
        <x:v>Deepseek-flash-v4/Result2/Closure_26/result.json</x:v>
      </x:c>
      <x:c r="O1016" s="25" t="str">
        <x:v>Deepseek-flash-v4/Result2/Closure_26/result.json</x:v>
      </x:c>
      <x:c r="P1016"/>
      <x:c r="Q1016" s="21" t="str"/>
      <x:c r="R1016" s="21" t="str"/>
      <x:c r="S1016" s="21" t="str"/>
      <x:c r="T1016" s="17" t="str">
        <x:v>false</x:v>
      </x:c>
      <x:c r="U1016" s="17" t="str">
        <x:v>true</x:v>
      </x:c>
      <x:c r="V1016" s="17" t="str">
        <x:v>false</x:v>
      </x:c>
    </x:row>
    <x:row r="1017" ht="80" customHeight="1">
      <x:c r="A1017" s="25" t="str">
        <x:v>Closure</x:v>
      </x:c>
      <x:c r="B1017" s="25" t="n">
        <x:v>27</x:v>
      </x:c>
      <x:c r="C1017" s="25" t="str">
        <x:v>Round2</x:v>
      </x:c>
      <x:c r="D1017" s="25" t="str">
        <x:v>INCONCLUSIVE</x:v>
      </x:c>
      <x:c r="E1017" s="25" t="str">
        <x:v>N/A</x:v>
      </x:c>
      <x:c r="F1017" s="26" t="str">
        <x:v>Fixed also failed; assertion failure cannot be attributed to this bug</x:v>
      </x:c>
      <x:c r="G1017" s="25" t="str">
        <x:v>true</x:v>
      </x:c>
      <x:c r="H1017" s="25" t="str">
        <x:v>INCONCLUSIVE</x:v>
      </x:c>
      <x:c r="I1017" s="25" t="str">
        <x:v>FAIL</x:v>
      </x:c>
      <x:c r="J1017" s="25" t="str">
        <x:v>FAIL</x:v>
      </x:c>
      <x:c r="K1017" s="25" t="n">
        <x:v>1</x:v>
      </x:c>
      <x:c r="L1017" s="27" t="b">
        <x:v>0</x:v>
      </x:c>
      <x:c r="M1017" s="25" t="str">
        <x:v>Deepseek-flash-v4/state/Round2/status/Closure_27.json; Deepseek-flash-v4/state/Round2/shards/Closure_27.json</x:v>
      </x:c>
      <x:c r="N1017" s="25" t="str">
        <x:v>Deepseek-flash-v4/Result2/Closure_27/result.json</x:v>
      </x:c>
      <x:c r="O1017" s="25" t="str">
        <x:v>Deepseek-flash-v4/Result2/Closure_27/result.json</x:v>
      </x:c>
      <x:c r="P1017"/>
      <x:c r="Q1017" s="21" t="str"/>
      <x:c r="R1017" s="21" t="str"/>
      <x:c r="S1017" s="21" t="str"/>
      <x:c r="T1017" s="17" t="str">
        <x:v>false</x:v>
      </x:c>
      <x:c r="U1017" s="17" t="str">
        <x:v>true</x:v>
      </x:c>
      <x:c r="V1017" s="17" t="str">
        <x:v>false</x:v>
      </x:c>
    </x:row>
    <x:row r="1018" ht="80" customHeight="1">
      <x:c r="A1018" s="25" t="str">
        <x:v>Closure</x:v>
      </x:c>
      <x:c r="B1018" s="25" t="n">
        <x:v>28</x:v>
      </x:c>
      <x:c r="C1018" s="25" t="str">
        <x:v>Round2</x:v>
      </x:c>
      <x:c r="D1018" s="25" t="str">
        <x:v>NOT_AVAILABLE</x:v>
      </x:c>
      <x:c r="E1018" s="25" t="str">
        <x:v>N/A</x:v>
      </x:c>
      <x:c r="F1018" s="26" t="str">
        <x:v>Tests exist but current coverage did not complete</x:v>
      </x:c>
      <x:c r="G1018" s="25" t="str">
        <x:v>true</x:v>
      </x:c>
      <x:c r="H1018" s="25" t="str">
        <x:v>NOT_AVAILABLE</x:v>
      </x:c>
      <x:c r="I1018" s="25" t="str">
        <x:v>NOT_RUN</x:v>
      </x:c>
      <x:c r="J1018" s="25" t="str">
        <x:v>NOT_RUN</x:v>
      </x:c>
      <x:c r="K1018" s="25" t="n">
        <x:v>1</x:v>
      </x:c>
      <x:c r="L1018" s="27" t="b">
        <x:v>0</x:v>
      </x:c>
      <x:c r="M1018" s="25" t="str">
        <x:v>Deepseek-flash-v4/state/Round2/status/Closure_28.json; Deepseek-flash-v4/state/Round2/shards/Closure_28.json</x:v>
      </x:c>
      <x:c r="N1018" s="25" t="str">
        <x:v>Deepseek-flash-v4/Result2/Closure_28/result.json</x:v>
      </x:c>
      <x:c r="O1018" s="25" t="str">
        <x:v>Deepseek-flash-v4/Result2/Closure_28/result.json</x:v>
      </x:c>
      <x:c r="P1018" t="str">
        <x:v>BOTH_NOT_RUN</x:v>
      </x:c>
      <x:c r="Q1018" s="21" t="str"/>
      <x:c r="R1018" s="21" t="str"/>
      <x:c r="S1018" s="21" t="str"/>
      <x:c r="T1018" s="17" t="str">
        <x:v>false</x:v>
      </x:c>
      <x:c r="U1018" s="17" t="str">
        <x:v>true</x:v>
      </x:c>
      <x:c r="V1018" s="17" t="str">
        <x:v>false</x:v>
      </x:c>
    </x:row>
    <x:row r="1019" ht="80" customHeight="1">
      <x:c r="A1019" s="25" t="str">
        <x:v>Closure</x:v>
      </x:c>
      <x:c r="B1019" s="25" t="n">
        <x:v>29</x:v>
      </x:c>
      <x:c r="C1019" s="25" t="str">
        <x:v>Round2</x:v>
      </x:c>
      <x:c r="D1019" s="25" t="str">
        <x:v>INCONCLUSIVE</x:v>
      </x:c>
      <x:c r="E1019" s="25" t="str">
        <x:v>N/A</x:v>
      </x:c>
      <x:c r="F1019" s="26" t="str">
        <x:v>Fixed also failed; assertion failure cannot be attributed to this bug</x:v>
      </x:c>
      <x:c r="G1019" s="25" t="str">
        <x:v>true</x:v>
      </x:c>
      <x:c r="H1019" s="25" t="str">
        <x:v>INCONCLUSIVE</x:v>
      </x:c>
      <x:c r="I1019" s="25" t="str">
        <x:v>FAIL</x:v>
      </x:c>
      <x:c r="J1019" s="25" t="str">
        <x:v>FAIL</x:v>
      </x:c>
      <x:c r="K1019" s="25" t="n">
        <x:v>1</x:v>
      </x:c>
      <x:c r="L1019" s="27" t="b">
        <x:v>0</x:v>
      </x:c>
      <x:c r="M1019" s="25" t="str">
        <x:v>Deepseek-flash-v4/state/Round2/status/Closure_29.json; Deepseek-flash-v4/state/Round2/shards/Closure_29.json</x:v>
      </x:c>
      <x:c r="N1019" s="25" t="str">
        <x:v>Deepseek-flash-v4/Result2/Closure_29/result.json</x:v>
      </x:c>
      <x:c r="O1019" s="25" t="str">
        <x:v>Deepseek-flash-v4/Result2/Closure_29/result.json</x:v>
      </x:c>
      <x:c r="P1019"/>
      <x:c r="Q1019" s="21" t="str"/>
      <x:c r="R1019" s="21" t="str"/>
      <x:c r="S1019" s="21" t="str"/>
      <x:c r="T1019" s="17" t="str">
        <x:v>false</x:v>
      </x:c>
      <x:c r="U1019" s="17" t="str">
        <x:v>true</x:v>
      </x:c>
      <x:c r="V1019" s="17" t="str">
        <x:v>false</x:v>
      </x:c>
    </x:row>
    <x:row r="1020" ht="80" customHeight="1">
      <x:c r="A1020" s="25" t="str">
        <x:v>Closure</x:v>
      </x:c>
      <x:c r="B1020" s="25" t="n">
        <x:v>3</x:v>
      </x:c>
      <x:c r="C1020" s="25" t="str">
        <x:v>Round2</x:v>
      </x:c>
      <x:c r="D1020" s="25" t="str">
        <x:v>NOT_REVEALING</x:v>
      </x:c>
      <x:c r="E1020" s="25" t="str">
        <x:v>N/A</x:v>
      </x:c>
      <x:c r="F1020" s="26" t="str">
        <x:v>Same saved validation suite passed on buggy and fixed</x:v>
      </x:c>
      <x:c r="G1020" s="25" t="str">
        <x:v>true</x:v>
      </x:c>
      <x:c r="H1020" s="25" t="str">
        <x:v>NOT_REVEALING</x:v>
      </x:c>
      <x:c r="I1020" s="25" t="str">
        <x:v>PASS</x:v>
      </x:c>
      <x:c r="J1020" s="25" t="str">
        <x:v>PASS</x:v>
      </x:c>
      <x:c r="K1020" s="25" t="n">
        <x:v>1</x:v>
      </x:c>
      <x:c r="L1020" s="27" t="b">
        <x:v>0</x:v>
      </x:c>
      <x:c r="M1020" s="25" t="str">
        <x:v>Deepseek-flash-v4/state/Round2/status/Closure_3.json; Deepseek-flash-v4/state/Round2/shards/Closure_3.json</x:v>
      </x:c>
      <x:c r="N1020" s="25" t="str">
        <x:v>Deepseek-flash-v4/Result2/Closure_3/result.json</x:v>
      </x:c>
      <x:c r="O1020" s="25" t="str">
        <x:v>Deepseek-flash-v4/Result2/Closure_3/result.json</x:v>
      </x:c>
      <x:c r="P1020"/>
      <x:c r="Q1020" s="21" t="str"/>
      <x:c r="R1020" s="21" t="str"/>
      <x:c r="S1020" s="21" t="str"/>
      <x:c r="T1020" s="17" t="str">
        <x:v>false</x:v>
      </x:c>
      <x:c r="U1020" s="17" t="str">
        <x:v>true</x:v>
      </x:c>
      <x:c r="V1020" s="17" t="str">
        <x:v>false</x:v>
      </x:c>
    </x:row>
    <x:row r="1021" ht="80" customHeight="1">
      <x:c r="A1021" s="25" t="str">
        <x:v>Closure</x:v>
      </x:c>
      <x:c r="B1021" s="25" t="n">
        <x:v>30</x:v>
      </x:c>
      <x:c r="C1021" s="25" t="str">
        <x:v>Round2</x:v>
      </x:c>
      <x:c r="D1021" s="25" t="str">
        <x:v>INCONCLUSIVE</x:v>
      </x:c>
      <x:c r="E1021" s="25" t="str">
        <x:v>N/A</x:v>
      </x:c>
      <x:c r="F1021" s="26" t="str">
        <x:v>Fixed also failed; assertion failure cannot be attributed to this bug</x:v>
      </x:c>
      <x:c r="G1021" s="25" t="str">
        <x:v>true</x:v>
      </x:c>
      <x:c r="H1021" s="25" t="str">
        <x:v>INCONCLUSIVE</x:v>
      </x:c>
      <x:c r="I1021" s="25" t="str">
        <x:v>FAIL</x:v>
      </x:c>
      <x:c r="J1021" s="25" t="str">
        <x:v>FAIL</x:v>
      </x:c>
      <x:c r="K1021" s="25" t="n">
        <x:v>2</x:v>
      </x:c>
      <x:c r="L1021" s="27" t="b">
        <x:v>0</x:v>
      </x:c>
      <x:c r="M1021" s="25" t="str">
        <x:v>Deepseek-flash-v4/state/Round2/status/Closure_30.json; Deepseek-flash-v4/state/Round2/shards/Closure_30.json</x:v>
      </x:c>
      <x:c r="N1021" s="25" t="str">
        <x:v>Deepseek-flash-v4/Result2/Closure_30/result.json</x:v>
      </x:c>
      <x:c r="O1021" s="25" t="str">
        <x:v>Deepseek-flash-v4/Result2/Closure_30/result.json</x:v>
      </x:c>
      <x:c r="P1021"/>
      <x:c r="Q1021" s="21" t="str"/>
      <x:c r="R1021" s="21" t="str"/>
      <x:c r="S1021" s="21" t="str"/>
      <x:c r="T1021" s="17" t="str">
        <x:v>false</x:v>
      </x:c>
      <x:c r="U1021" s="17" t="str">
        <x:v>true</x:v>
      </x:c>
      <x:c r="V1021" s="17" t="str">
        <x:v>false</x:v>
      </x:c>
    </x:row>
    <x:row r="1022" ht="80" customHeight="1">
      <x:c r="A1022" s="25" t="str">
        <x:v>Closure</x:v>
      </x:c>
      <x:c r="B1022" s="25" t="n">
        <x:v>31</x:v>
      </x:c>
      <x:c r="C1022" s="25" t="str">
        <x:v>Round2</x:v>
      </x:c>
      <x:c r="D1022" s="25" t="str">
        <x:v>INCONCLUSIVE</x:v>
      </x:c>
      <x:c r="E1022" s="25" t="str">
        <x:v>N/A</x:v>
      </x:c>
      <x:c r="F1022" s="26" t="str">
        <x:v>Fixed also failed; assertion failure cannot be attributed to this bug</x:v>
      </x:c>
      <x:c r="G1022" s="25" t="str">
        <x:v>true</x:v>
      </x:c>
      <x:c r="H1022" s="25" t="str">
        <x:v>INCONCLUSIVE</x:v>
      </x:c>
      <x:c r="I1022" s="25" t="str">
        <x:v>FAIL</x:v>
      </x:c>
      <x:c r="J1022" s="25" t="str">
        <x:v>FAIL</x:v>
      </x:c>
      <x:c r="K1022" s="25" t="n">
        <x:v>1</x:v>
      </x:c>
      <x:c r="L1022" s="27" t="b">
        <x:v>0</x:v>
      </x:c>
      <x:c r="M1022" s="25" t="str">
        <x:v>Deepseek-flash-v4/state/Round2/status/Closure_31.json; Deepseek-flash-v4/state/Round2/shards/Closure_31.json</x:v>
      </x:c>
      <x:c r="N1022" s="25" t="str">
        <x:v>Deepseek-flash-v4/Result2/Closure_31/result.json</x:v>
      </x:c>
      <x:c r="O1022" s="25" t="str">
        <x:v>Deepseek-flash-v4/Result2/Closure_31/result.json</x:v>
      </x:c>
      <x:c r="P1022"/>
      <x:c r="Q1022" s="21" t="str"/>
      <x:c r="R1022" s="21" t="str"/>
      <x:c r="S1022" s="21" t="str"/>
      <x:c r="T1022" s="17" t="str">
        <x:v>false</x:v>
      </x:c>
      <x:c r="U1022" s="17" t="str">
        <x:v>true</x:v>
      </x:c>
      <x:c r="V1022" s="17" t="str">
        <x:v>false</x:v>
      </x:c>
    </x:row>
    <x:row r="1023" ht="80" customHeight="1">
      <x:c r="A1023" s="25" t="str">
        <x:v>Closure</x:v>
      </x:c>
      <x:c r="B1023" s="25" t="n">
        <x:v>32</x:v>
      </x:c>
      <x:c r="C1023" s="25" t="str">
        <x:v>Round2</x:v>
      </x:c>
      <x:c r="D1023" s="25" t="str">
        <x:v>NOT_AVAILABLE</x:v>
      </x:c>
      <x:c r="E1023" s="25" t="str">
        <x:v>N/A</x:v>
      </x:c>
      <x:c r="F1023" s="26" t="str">
        <x:v>Tests exist but current coverage did not complete</x:v>
      </x:c>
      <x:c r="G1023" s="25" t="str">
        <x:v>true</x:v>
      </x:c>
      <x:c r="H1023" s="25" t="str">
        <x:v>NOT_AVAILABLE</x:v>
      </x:c>
      <x:c r="I1023" s="25" t="str">
        <x:v>NOT_RUN</x:v>
      </x:c>
      <x:c r="J1023" s="25" t="str">
        <x:v>NOT_RUN</x:v>
      </x:c>
      <x:c r="K1023" s="25" t="n">
        <x:v>1</x:v>
      </x:c>
      <x:c r="L1023" s="27" t="b">
        <x:v>0</x:v>
      </x:c>
      <x:c r="M1023" s="25" t="str">
        <x:v>Deepseek-flash-v4/state/Round2/status/Closure_32.json; Deepseek-flash-v4/state/Round2/shards/Closure_32.json</x:v>
      </x:c>
      <x:c r="N1023" s="25" t="str">
        <x:v>Deepseek-flash-v4/Result2/Closure_32/result.json</x:v>
      </x:c>
      <x:c r="O1023" s="25" t="str">
        <x:v>Deepseek-flash-v4/Result2/Closure_32/result.json</x:v>
      </x:c>
      <x:c r="P1023" t="str">
        <x:v>BOTH_NOT_RUN</x:v>
      </x:c>
      <x:c r="Q1023" s="21" t="str"/>
      <x:c r="R1023" s="21" t="str"/>
      <x:c r="S1023" s="21" t="str"/>
      <x:c r="T1023" s="17" t="str">
        <x:v>false</x:v>
      </x:c>
      <x:c r="U1023" s="17" t="str">
        <x:v>true</x:v>
      </x:c>
      <x:c r="V1023" s="17" t="str">
        <x:v>false</x:v>
      </x:c>
    </x:row>
    <x:row r="1024" ht="80" customHeight="1">
      <x:c r="A1024" s="25" t="str">
        <x:v>Closure</x:v>
      </x:c>
      <x:c r="B1024" s="25" t="n">
        <x:v>33</x:v>
      </x:c>
      <x:c r="C1024" s="25" t="str">
        <x:v>Round2</x:v>
      </x:c>
      <x:c r="D1024" s="25" t="str">
        <x:v>NOT_AVAILABLE</x:v>
      </x:c>
      <x:c r="E1024" s="25" t="str">
        <x:v>N/A</x:v>
      </x:c>
      <x:c r="F1024" s="26" t="str">
        <x:v>Tests exist but current coverage did not complete</x:v>
      </x:c>
      <x:c r="G1024" s="25" t="str">
        <x:v>true</x:v>
      </x:c>
      <x:c r="H1024" s="25" t="str">
        <x:v>NOT_AVAILABLE</x:v>
      </x:c>
      <x:c r="I1024" s="25" t="str">
        <x:v>NOT_RUN</x:v>
      </x:c>
      <x:c r="J1024" s="25" t="str">
        <x:v>NOT_RUN</x:v>
      </x:c>
      <x:c r="K1024" s="25" t="n">
        <x:v>1</x:v>
      </x:c>
      <x:c r="L1024" s="27" t="b">
        <x:v>0</x:v>
      </x:c>
      <x:c r="M1024" s="25" t="str">
        <x:v>Deepseek-flash-v4/state/Round2/status/Closure_33.json; Deepseek-flash-v4/state/Round2/shards/Closure_33.json</x:v>
      </x:c>
      <x:c r="N1024" s="25" t="str">
        <x:v>Deepseek-flash-v4/Result2/Closure_33/result.json</x:v>
      </x:c>
      <x:c r="O1024" s="25" t="str">
        <x:v>Deepseek-flash-v4/Result2/Closure_33/result.json</x:v>
      </x:c>
      <x:c r="P1024" t="str">
        <x:v>BOTH_NOT_RUN</x:v>
      </x:c>
      <x:c r="Q1024" s="21" t="str"/>
      <x:c r="R1024" s="21" t="str"/>
      <x:c r="S1024" s="21" t="str"/>
      <x:c r="T1024" s="17" t="str">
        <x:v>false</x:v>
      </x:c>
      <x:c r="U1024" s="17" t="str">
        <x:v>true</x:v>
      </x:c>
      <x:c r="V1024" s="17" t="str">
        <x:v>false</x:v>
      </x:c>
    </x:row>
    <x:row r="1025" ht="80" customHeight="1">
      <x:c r="A1025" s="25" t="str">
        <x:v>Closure</x:v>
      </x:c>
      <x:c r="B1025" s="25" t="n">
        <x:v>34</x:v>
      </x:c>
      <x:c r="C1025" s="25" t="str">
        <x:v>Round2</x:v>
      </x:c>
      <x:c r="D1025" s="25" t="str">
        <x:v>NOT_AVAILABLE</x:v>
      </x:c>
      <x:c r="E1025" s="25" t="str">
        <x:v>N/A</x:v>
      </x:c>
      <x:c r="F1025" s="26" t="str">
        <x:v>Tests exist but current coverage did not complete</x:v>
      </x:c>
      <x:c r="G1025" s="25" t="str">
        <x:v>true</x:v>
      </x:c>
      <x:c r="H1025" s="25" t="str">
        <x:v>NOT_AVAILABLE</x:v>
      </x:c>
      <x:c r="I1025" s="25" t="str">
        <x:v>NOT_RUN</x:v>
      </x:c>
      <x:c r="J1025" s="25" t="str">
        <x:v>NOT_RUN</x:v>
      </x:c>
      <x:c r="K1025" s="25" t="n">
        <x:v>2</x:v>
      </x:c>
      <x:c r="L1025" s="27" t="b">
        <x:v>0</x:v>
      </x:c>
      <x:c r="M1025" s="25" t="str">
        <x:v>Deepseek-flash-v4/state/Round2/status/Closure_34.json; Deepseek-flash-v4/state/Round2/shards/Closure_34.json</x:v>
      </x:c>
      <x:c r="N1025" s="25" t="str">
        <x:v>Deepseek-flash-v4/Result2/Closure_34/result.json</x:v>
      </x:c>
      <x:c r="O1025" s="25" t="str">
        <x:v>Deepseek-flash-v4/Result2/Closure_34/result.json</x:v>
      </x:c>
      <x:c r="P1025" t="str">
        <x:v>BOTH_NOT_RUN</x:v>
      </x:c>
      <x:c r="Q1025" s="21" t="str"/>
      <x:c r="R1025" s="21" t="str"/>
      <x:c r="S1025" s="21" t="str"/>
      <x:c r="T1025" s="17" t="str">
        <x:v>false</x:v>
      </x:c>
      <x:c r="U1025" s="17" t="str">
        <x:v>true</x:v>
      </x:c>
      <x:c r="V1025" s="17" t="str">
        <x:v>false</x:v>
      </x:c>
    </x:row>
    <x:row r="1026" ht="80" customHeight="1">
      <x:c r="A1026" s="25" t="str">
        <x:v>Closure</x:v>
      </x:c>
      <x:c r="B1026" s="25" t="n">
        <x:v>35</x:v>
      </x:c>
      <x:c r="C1026" s="25" t="str">
        <x:v>Round2</x:v>
      </x:c>
      <x:c r="D1026" s="25" t="str">
        <x:v>INCONCLUSIVE</x:v>
      </x:c>
      <x:c r="E1026" s="25" t="str">
        <x:v>N/A</x:v>
      </x:c>
      <x:c r="F1026" s="26" t="str">
        <x:v>Fixed also failed; assertion failure cannot be attributed to this bug</x:v>
      </x:c>
      <x:c r="G1026" s="25" t="str">
        <x:v>true</x:v>
      </x:c>
      <x:c r="H1026" s="25" t="str">
        <x:v>INCONCLUSIVE</x:v>
      </x:c>
      <x:c r="I1026" s="25" t="str">
        <x:v>FAIL</x:v>
      </x:c>
      <x:c r="J1026" s="25" t="str">
        <x:v>FAIL</x:v>
      </x:c>
      <x:c r="K1026" s="25" t="n">
        <x:v>1</x:v>
      </x:c>
      <x:c r="L1026" s="27" t="b">
        <x:v>0</x:v>
      </x:c>
      <x:c r="M1026" s="25" t="str">
        <x:v>Deepseek-flash-v4/state/Round2/status/Closure_35.json; Deepseek-flash-v4/state/Round2/shards/Closure_35.json</x:v>
      </x:c>
      <x:c r="N1026" s="25" t="str">
        <x:v>Deepseek-flash-v4/Result2/Closure_35/result.json</x:v>
      </x:c>
      <x:c r="O1026" s="25" t="str">
        <x:v>Deepseek-flash-v4/Result2/Closure_35/result.json</x:v>
      </x:c>
      <x:c r="P1026"/>
      <x:c r="Q1026" s="21" t="str"/>
      <x:c r="R1026" s="21" t="str"/>
      <x:c r="S1026" s="21" t="str"/>
      <x:c r="T1026" s="17" t="str">
        <x:v>false</x:v>
      </x:c>
      <x:c r="U1026" s="17" t="str">
        <x:v>true</x:v>
      </x:c>
      <x:c r="V1026" s="17" t="str">
        <x:v>false</x:v>
      </x:c>
    </x:row>
    <x:row r="1027" ht="80" customHeight="1">
      <x:c r="A1027" s="25" t="str">
        <x:v>Closure</x:v>
      </x:c>
      <x:c r="B1027" s="25" t="n">
        <x:v>36</x:v>
      </x:c>
      <x:c r="C1027" s="25" t="str">
        <x:v>Round2</x:v>
      </x:c>
      <x:c r="D1027" s="25" t="str">
        <x:v>NOT_AVAILABLE</x:v>
      </x:c>
      <x:c r="E1027" s="25" t="str">
        <x:v>N/A</x:v>
      </x:c>
      <x:c r="F1027" s="26" t="str">
        <x:v>Tests exist but current coverage did not complete</x:v>
      </x:c>
      <x:c r="G1027" s="25" t="str">
        <x:v>true</x:v>
      </x:c>
      <x:c r="H1027" s="25" t="str">
        <x:v>NOT_AVAILABLE</x:v>
      </x:c>
      <x:c r="I1027" s="25" t="str">
        <x:v>NOT_RUN</x:v>
      </x:c>
      <x:c r="J1027" s="25" t="str">
        <x:v>NOT_RUN</x:v>
      </x:c>
      <x:c r="K1027" s="25" t="n">
        <x:v>1</x:v>
      </x:c>
      <x:c r="L1027" s="27" t="b">
        <x:v>0</x:v>
      </x:c>
      <x:c r="M1027" s="25" t="str">
        <x:v>Deepseek-flash-v4/state/Round2/status/Closure_36.json; Deepseek-flash-v4/state/Round2/shards/Closure_36.json</x:v>
      </x:c>
      <x:c r="N1027" s="25" t="str">
        <x:v>Deepseek-flash-v4/Result2/Closure_36/result.json</x:v>
      </x:c>
      <x:c r="O1027" s="25" t="str">
        <x:v>Deepseek-flash-v4/Result2/Closure_36/result.json</x:v>
      </x:c>
      <x:c r="P1027" t="str">
        <x:v>BOTH_NOT_RUN</x:v>
      </x:c>
      <x:c r="Q1027" s="21" t="str"/>
      <x:c r="R1027" s="21" t="str"/>
      <x:c r="S1027" s="21" t="str"/>
      <x:c r="T1027" s="17" t="str">
        <x:v>false</x:v>
      </x:c>
      <x:c r="U1027" s="17" t="str">
        <x:v>true</x:v>
      </x:c>
      <x:c r="V1027" s="17" t="str">
        <x:v>false</x:v>
      </x:c>
    </x:row>
    <x:row r="1028" ht="80" customHeight="1">
      <x:c r="A1028" s="25" t="str">
        <x:v>Closure</x:v>
      </x:c>
      <x:c r="B1028" s="25" t="n">
        <x:v>37</x:v>
      </x:c>
      <x:c r="C1028" s="25" t="str">
        <x:v>Round2</x:v>
      </x:c>
      <x:c r="D1028" s="25" t="str">
        <x:v>NOT_AVAILABLE</x:v>
      </x:c>
      <x:c r="E1028" s="25" t="str">
        <x:v>N/A</x:v>
      </x:c>
      <x:c r="F1028" s="26" t="str">
        <x:v>Tests exist but current coverage did not complete</x:v>
      </x:c>
      <x:c r="G1028" s="25" t="str">
        <x:v>true</x:v>
      </x:c>
      <x:c r="H1028" s="25" t="str">
        <x:v>NOT_AVAILABLE</x:v>
      </x:c>
      <x:c r="I1028" s="25" t="str">
        <x:v>NOT_RUN</x:v>
      </x:c>
      <x:c r="J1028" s="25" t="str">
        <x:v>NOT_RUN</x:v>
      </x:c>
      <x:c r="K1028" s="25" t="n">
        <x:v>2</x:v>
      </x:c>
      <x:c r="L1028" s="27" t="b">
        <x:v>0</x:v>
      </x:c>
      <x:c r="M1028" s="25" t="str">
        <x:v>Deepseek-flash-v4/state/Round2/status/Closure_37.json; Deepseek-flash-v4/state/Round2/shards/Closure_37.json</x:v>
      </x:c>
      <x:c r="N1028" s="25" t="str">
        <x:v>Deepseek-flash-v4/Result2/Closure_37/result.json</x:v>
      </x:c>
      <x:c r="O1028" s="25" t="str">
        <x:v>Deepseek-flash-v4/Result2/Closure_37/result.json</x:v>
      </x:c>
      <x:c r="P1028" t="str">
        <x:v>BOTH_NOT_RUN</x:v>
      </x:c>
      <x:c r="Q1028" s="21" t="str"/>
      <x:c r="R1028" s="21" t="str"/>
      <x:c r="S1028" s="21" t="str"/>
      <x:c r="T1028" s="17" t="str">
        <x:v>false</x:v>
      </x:c>
      <x:c r="U1028" s="17" t="str">
        <x:v>true</x:v>
      </x:c>
      <x:c r="V1028" s="17" t="str">
        <x:v>false</x:v>
      </x:c>
    </x:row>
    <x:row r="1029" ht="80" customHeight="1">
      <x:c r="A1029" s="25" t="str">
        <x:v>Closure</x:v>
      </x:c>
      <x:c r="B1029" s="25" t="n">
        <x:v>38</x:v>
      </x:c>
      <x:c r="C1029" s="25" t="str">
        <x:v>Round2</x:v>
      </x:c>
      <x:c r="D1029" s="25" t="str">
        <x:v>INCONCLUSIVE</x:v>
      </x:c>
      <x:c r="E1029" s="25" t="str">
        <x:v>N/A</x:v>
      </x:c>
      <x:c r="F1029" s="26" t="str">
        <x:v>Fixed also failed; assertion failure cannot be attributed to this bug; Same-round generation metadata missing; use saved tests and execution evidence, no failure inferred</x:v>
      </x:c>
      <x:c r="G1029" s="25" t="str">
        <x:v>true</x:v>
      </x:c>
      <x:c r="H1029" s="25" t="str">
        <x:v>INCONCLUSIVE</x:v>
      </x:c>
      <x:c r="I1029" s="25" t="str">
        <x:v>FAIL</x:v>
      </x:c>
      <x:c r="J1029" s="25" t="str">
        <x:v>FAIL</x:v>
      </x:c>
      <x:c r="K1029" s="25" t="n">
        <x:v>1</x:v>
      </x:c>
      <x:c r="L1029" s="27" t="b">
        <x:v>0</x:v>
      </x:c>
      <x:c r="M1029" s="25"/>
      <x:c r="N1029" s="25" t="str">
        <x:v>Deepseek-flash-v4/Result2/Closure_38/result.json</x:v>
      </x:c>
      <x:c r="O1029" s="25" t="str">
        <x:v>Deepseek-flash-v4/Result2/Closure_38/result.json</x:v>
      </x:c>
      <x:c r="P1029"/>
      <x:c r="Q1029" s="21" t="str"/>
      <x:c r="R1029" s="21" t="str"/>
      <x:c r="S1029" s="21" t="str"/>
      <x:c r="T1029" s="17" t="str">
        <x:v>false</x:v>
      </x:c>
      <x:c r="U1029" s="17" t="str">
        <x:v>true</x:v>
      </x:c>
      <x:c r="V1029" s="17" t="str">
        <x:v>false</x:v>
      </x:c>
    </x:row>
    <x:row r="1030" ht="80" customHeight="1">
      <x:c r="A1030" s="25" t="str">
        <x:v>Closure</x:v>
      </x:c>
      <x:c r="B1030" s="25" t="n">
        <x:v>39</x:v>
      </x:c>
      <x:c r="C1030" s="25" t="str">
        <x:v>Round2</x:v>
      </x:c>
      <x:c r="D1030" s="25" t="str">
        <x:v>NOT_AVAILABLE</x:v>
      </x:c>
      <x:c r="E1030" s="25" t="str">
        <x:v>N/A</x:v>
      </x:c>
      <x:c r="F1030" s="26" t="str">
        <x:v>Tests exist but current coverage did not complete</x:v>
      </x:c>
      <x:c r="G1030" s="25" t="str">
        <x:v>true</x:v>
      </x:c>
      <x:c r="H1030" s="25" t="str">
        <x:v>NOT_AVAILABLE</x:v>
      </x:c>
      <x:c r="I1030" s="25" t="str">
        <x:v>NOT_RUN</x:v>
      </x:c>
      <x:c r="J1030" s="25" t="str">
        <x:v>NOT_RUN</x:v>
      </x:c>
      <x:c r="K1030" s="25" t="n">
        <x:v>1</x:v>
      </x:c>
      <x:c r="L1030" s="27" t="b">
        <x:v>0</x:v>
      </x:c>
      <x:c r="M1030" s="25" t="str">
        <x:v>Deepseek-flash-v4/state/Round2/status/Closure_39.json; Deepseek-flash-v4/state/Round2/shards/Closure_39.json</x:v>
      </x:c>
      <x:c r="N1030" s="25" t="str">
        <x:v>Deepseek-flash-v4/Result2/Closure_39/result.json</x:v>
      </x:c>
      <x:c r="O1030" s="25" t="str">
        <x:v>Deepseek-flash-v4/Result2/Closure_39/result.json</x:v>
      </x:c>
      <x:c r="P1030" t="str">
        <x:v>BOTH_NOT_RUN</x:v>
      </x:c>
      <x:c r="Q1030" s="21" t="str"/>
      <x:c r="R1030" s="21" t="str"/>
      <x:c r="S1030" s="21" t="str"/>
      <x:c r="T1030" s="17" t="str">
        <x:v>false</x:v>
      </x:c>
      <x:c r="U1030" s="17" t="str">
        <x:v>true</x:v>
      </x:c>
      <x:c r="V1030" s="17" t="str">
        <x:v>false</x:v>
      </x:c>
    </x:row>
    <x:row r="1031" ht="80" customHeight="1">
      <x:c r="A1031" s="25" t="str">
        <x:v>Closure</x:v>
      </x:c>
      <x:c r="B1031" s="25" t="n">
        <x:v>4</x:v>
      </x:c>
      <x:c r="C1031" s="25" t="str">
        <x:v>Round2</x:v>
      </x:c>
      <x:c r="D1031" s="25" t="str">
        <x:v>NOT_REVEALING</x:v>
      </x:c>
      <x:c r="E1031" s="25" t="str">
        <x:v>N/A</x:v>
      </x:c>
      <x:c r="F1031" s="26" t="str">
        <x:v>Same saved validation suite passed on buggy and fixed</x:v>
      </x:c>
      <x:c r="G1031" s="25" t="str">
        <x:v>true</x:v>
      </x:c>
      <x:c r="H1031" s="25" t="str">
        <x:v>NOT_REVEALING</x:v>
      </x:c>
      <x:c r="I1031" s="25" t="str">
        <x:v>PASS</x:v>
      </x:c>
      <x:c r="J1031" s="25" t="str">
        <x:v>PASS</x:v>
      </x:c>
      <x:c r="K1031" s="25" t="n">
        <x:v>1</x:v>
      </x:c>
      <x:c r="L1031" s="27" t="b">
        <x:v>0</x:v>
      </x:c>
      <x:c r="M1031" s="25" t="str">
        <x:v>Deepseek-flash-v4/state/Round2/status/Closure_4.json; Deepseek-flash-v4/state/Round2/shards/Closure_4.json</x:v>
      </x:c>
      <x:c r="N1031" s="25" t="str">
        <x:v>Deepseek-flash-v4/Result2/Closure_4/result.json</x:v>
      </x:c>
      <x:c r="O1031" s="25" t="str">
        <x:v>Deepseek-flash-v4/Result2/Closure_4/result.json</x:v>
      </x:c>
      <x:c r="P1031"/>
      <x:c r="Q1031" s="21" t="str"/>
      <x:c r="R1031" s="21" t="str"/>
      <x:c r="S1031" s="21" t="str"/>
      <x:c r="T1031" s="17" t="str">
        <x:v>false</x:v>
      </x:c>
      <x:c r="U1031" s="17" t="str">
        <x:v>true</x:v>
      </x:c>
      <x:c r="V1031" s="17" t="str">
        <x:v>false</x:v>
      </x:c>
    </x:row>
    <x:row r="1032" ht="80" customHeight="1">
      <x:c r="A1032" s="25" t="str">
        <x:v>Closure</x:v>
      </x:c>
      <x:c r="B1032" s="25" t="n">
        <x:v>40</x:v>
      </x:c>
      <x:c r="C1032" s="25" t="str">
        <x:v>Round2</x:v>
      </x:c>
      <x:c r="D1032" s="25" t="str">
        <x:v>NOT_AVAILABLE</x:v>
      </x:c>
      <x:c r="E1032" s="25" t="str">
        <x:v>N/A</x:v>
      </x:c>
      <x:c r="F1032" s="26" t="str">
        <x:v>Tests exist but current coverage did not complete</x:v>
      </x:c>
      <x:c r="G1032" s="25" t="str">
        <x:v>true</x:v>
      </x:c>
      <x:c r="H1032" s="25" t="str">
        <x:v>NOT_AVAILABLE</x:v>
      </x:c>
      <x:c r="I1032" s="25" t="str">
        <x:v>NOT_RUN</x:v>
      </x:c>
      <x:c r="J1032" s="25" t="str">
        <x:v>NOT_RUN</x:v>
      </x:c>
      <x:c r="K1032" s="25" t="n">
        <x:v>1</x:v>
      </x:c>
      <x:c r="L1032" s="27" t="b">
        <x:v>0</x:v>
      </x:c>
      <x:c r="M1032" s="25" t="str">
        <x:v>Deepseek-flash-v4/state/Round2/status/Closure_40.json; Deepseek-flash-v4/state/Round2/shards/Closure_40.json</x:v>
      </x:c>
      <x:c r="N1032" s="25" t="str">
        <x:v>Deepseek-flash-v4/Result2/Closure_40/result.json</x:v>
      </x:c>
      <x:c r="O1032" s="25" t="str">
        <x:v>Deepseek-flash-v4/Result2/Closure_40/result.json</x:v>
      </x:c>
      <x:c r="P1032" t="str">
        <x:v>BOTH_NOT_RUN</x:v>
      </x:c>
      <x:c r="Q1032" s="21" t="str"/>
      <x:c r="R1032" s="21" t="str"/>
      <x:c r="S1032" s="21" t="str"/>
      <x:c r="T1032" s="17" t="str">
        <x:v>false</x:v>
      </x:c>
      <x:c r="U1032" s="17" t="str">
        <x:v>true</x:v>
      </x:c>
      <x:c r="V1032" s="17" t="str">
        <x:v>false</x:v>
      </x:c>
    </x:row>
    <x:row r="1033" ht="80" customHeight="1">
      <x:c r="A1033" s="25" t="str">
        <x:v>Closure</x:v>
      </x:c>
      <x:c r="B1033" s="25" t="n">
        <x:v>41</x:v>
      </x:c>
      <x:c r="C1033" s="25" t="str">
        <x:v>Round2</x:v>
      </x:c>
      <x:c r="D1033" s="25" t="str">
        <x:v>NOT_AVAILABLE</x:v>
      </x:c>
      <x:c r="E1033" s="25" t="str">
        <x:v>N/A</x:v>
      </x:c>
      <x:c r="F1033" s="26" t="str">
        <x:v>Tests exist but current coverage did not complete</x:v>
      </x:c>
      <x:c r="G1033" s="25" t="str">
        <x:v>true</x:v>
      </x:c>
      <x:c r="H1033" s="25" t="str">
        <x:v>NOT_AVAILABLE</x:v>
      </x:c>
      <x:c r="I1033" s="25" t="str">
        <x:v>NOT_RUN</x:v>
      </x:c>
      <x:c r="J1033" s="25" t="str">
        <x:v>NOT_RUN</x:v>
      </x:c>
      <x:c r="K1033" s="25" t="n">
        <x:v>1</x:v>
      </x:c>
      <x:c r="L1033" s="27" t="b">
        <x:v>0</x:v>
      </x:c>
      <x:c r="M1033" s="25" t="str">
        <x:v>Deepseek-flash-v4/state/Round2/status/Closure_41.json; Deepseek-flash-v4/state/Round2/shards/Closure_41.json</x:v>
      </x:c>
      <x:c r="N1033" s="25" t="str">
        <x:v>Deepseek-flash-v4/Result2/Closure_41/result.json</x:v>
      </x:c>
      <x:c r="O1033" s="25" t="str">
        <x:v>Deepseek-flash-v4/Result2/Closure_41/result.json</x:v>
      </x:c>
      <x:c r="P1033" t="str">
        <x:v>BOTH_NOT_RUN</x:v>
      </x:c>
      <x:c r="Q1033" s="21" t="str"/>
      <x:c r="R1033" s="21" t="str"/>
      <x:c r="S1033" s="21" t="str"/>
      <x:c r="T1033" s="17" t="str">
        <x:v>false</x:v>
      </x:c>
      <x:c r="U1033" s="17" t="str">
        <x:v>true</x:v>
      </x:c>
      <x:c r="V1033" s="17" t="str">
        <x:v>false</x:v>
      </x:c>
    </x:row>
    <x:row r="1034" ht="80" customHeight="1">
      <x:c r="A1034" s="25" t="str">
        <x:v>Closure</x:v>
      </x:c>
      <x:c r="B1034" s="25" t="n">
        <x:v>42</x:v>
      </x:c>
      <x:c r="C1034" s="25" t="str">
        <x:v>Round2</x:v>
      </x:c>
      <x:c r="D1034" s="25" t="str">
        <x:v>NOT_AVAILABLE</x:v>
      </x:c>
      <x:c r="E1034" s="25" t="str">
        <x:v>N/A</x:v>
      </x:c>
      <x:c r="F1034" s="26" t="str">
        <x:v>Tests exist but current coverage did not complete</x:v>
      </x:c>
      <x:c r="G1034" s="25" t="str">
        <x:v>true</x:v>
      </x:c>
      <x:c r="H1034" s="25" t="str">
        <x:v>NOT_AVAILABLE</x:v>
      </x:c>
      <x:c r="I1034" s="25" t="str">
        <x:v>NOT_RUN</x:v>
      </x:c>
      <x:c r="J1034" s="25" t="str">
        <x:v>NOT_RUN</x:v>
      </x:c>
      <x:c r="K1034" s="25" t="n">
        <x:v>1</x:v>
      </x:c>
      <x:c r="L1034" s="27" t="b">
        <x:v>0</x:v>
      </x:c>
      <x:c r="M1034" s="25" t="str">
        <x:v>Deepseek-flash-v4/state/Round2/status/Closure_42.json; Deepseek-flash-v4/state/Round2/shards/Closure_42.json</x:v>
      </x:c>
      <x:c r="N1034" s="25" t="str">
        <x:v>Deepseek-flash-v4/Result2/Closure_42/result.json</x:v>
      </x:c>
      <x:c r="O1034" s="25" t="str">
        <x:v>Deepseek-flash-v4/Result2/Closure_42/result.json</x:v>
      </x:c>
      <x:c r="P1034" t="str">
        <x:v>BOTH_NOT_RUN</x:v>
      </x:c>
      <x:c r="Q1034" s="21" t="str"/>
      <x:c r="R1034" s="21" t="str"/>
      <x:c r="S1034" s="21" t="str"/>
      <x:c r="T1034" s="17" t="str">
        <x:v>false</x:v>
      </x:c>
      <x:c r="U1034" s="17" t="str">
        <x:v>true</x:v>
      </x:c>
      <x:c r="V1034" s="17" t="str">
        <x:v>false</x:v>
      </x:c>
    </x:row>
    <x:row r="1035" ht="80" customHeight="1">
      <x:c r="A1035" s="25" t="str">
        <x:v>Closure</x:v>
      </x:c>
      <x:c r="B1035" s="25" t="n">
        <x:v>43</x:v>
      </x:c>
      <x:c r="C1035" s="25" t="str">
        <x:v>Round2</x:v>
      </x:c>
      <x:c r="D1035" s="25" t="str">
        <x:v>NOT_AVAILABLE</x:v>
      </x:c>
      <x:c r="E1035" s="25" t="str">
        <x:v>N/A</x:v>
      </x:c>
      <x:c r="F1035" s="26" t="str">
        <x:v>Tests exist but current coverage did not complete</x:v>
      </x:c>
      <x:c r="G1035" s="25" t="str">
        <x:v>true</x:v>
      </x:c>
      <x:c r="H1035" s="25" t="str">
        <x:v>NOT_AVAILABLE</x:v>
      </x:c>
      <x:c r="I1035" s="25" t="str">
        <x:v>NOT_RUN</x:v>
      </x:c>
      <x:c r="J1035" s="25" t="str">
        <x:v>NOT_RUN</x:v>
      </x:c>
      <x:c r="K1035" s="25" t="n">
        <x:v>1</x:v>
      </x:c>
      <x:c r="L1035" s="27" t="b">
        <x:v>0</x:v>
      </x:c>
      <x:c r="M1035" s="25" t="str">
        <x:v>Deepseek-flash-v4/state/Round2/status/Closure_43.json; Deepseek-flash-v4/state/Round2/shards/Closure_43.json</x:v>
      </x:c>
      <x:c r="N1035" s="25" t="str">
        <x:v>Deepseek-flash-v4/Result2/Closure_43/result.json</x:v>
      </x:c>
      <x:c r="O1035" s="25" t="str">
        <x:v>Deepseek-flash-v4/Result2/Closure_43/result.json</x:v>
      </x:c>
      <x:c r="P1035" t="str">
        <x:v>BOTH_NOT_RUN</x:v>
      </x:c>
      <x:c r="Q1035" s="21" t="str"/>
      <x:c r="R1035" s="21" t="str"/>
      <x:c r="S1035" s="21" t="str"/>
      <x:c r="T1035" s="17" t="str">
        <x:v>false</x:v>
      </x:c>
      <x:c r="U1035" s="17" t="str">
        <x:v>true</x:v>
      </x:c>
      <x:c r="V1035" s="17" t="str">
        <x:v>false</x:v>
      </x:c>
    </x:row>
    <x:row r="1036" ht="80" customHeight="1">
      <x:c r="A1036" s="25" t="str">
        <x:v>Closure</x:v>
      </x:c>
      <x:c r="B1036" s="25" t="n">
        <x:v>44</x:v>
      </x:c>
      <x:c r="C1036" s="25" t="str">
        <x:v>Round2</x:v>
      </x:c>
      <x:c r="D1036" s="25" t="str">
        <x:v>INCONCLUSIVE</x:v>
      </x:c>
      <x:c r="E1036" s="25" t="str">
        <x:v>N/A</x:v>
      </x:c>
      <x:c r="F1036" s="26" t="str">
        <x:v>Fixed also failed; assertion failure cannot be attributed to this bug; Same-round generation metadata missing; use saved tests and execution evidence, no failure inferred</x:v>
      </x:c>
      <x:c r="G1036" s="25" t="str">
        <x:v>true</x:v>
      </x:c>
      <x:c r="H1036" s="25" t="str">
        <x:v>INCONCLUSIVE</x:v>
      </x:c>
      <x:c r="I1036" s="25" t="str">
        <x:v>FAIL</x:v>
      </x:c>
      <x:c r="J1036" s="25" t="str">
        <x:v>FAIL</x:v>
      </x:c>
      <x:c r="K1036" s="25" t="n">
        <x:v>1</x:v>
      </x:c>
      <x:c r="L1036" s="27" t="b">
        <x:v>0</x:v>
      </x:c>
      <x:c r="M1036" s="25"/>
      <x:c r="N1036" s="25" t="str">
        <x:v>Deepseek-flash-v4/Result2/Closure_44/result.json</x:v>
      </x:c>
      <x:c r="O1036" s="25" t="str">
        <x:v>Deepseek-flash-v4/Result2/Closure_44/result.json</x:v>
      </x:c>
      <x:c r="P1036"/>
      <x:c r="Q1036" s="21" t="str"/>
      <x:c r="R1036" s="21" t="str"/>
      <x:c r="S1036" s="21" t="str"/>
      <x:c r="T1036" s="17" t="str">
        <x:v>false</x:v>
      </x:c>
      <x:c r="U1036" s="17" t="str">
        <x:v>true</x:v>
      </x:c>
      <x:c r="V1036" s="17" t="str">
        <x:v>false</x:v>
      </x:c>
    </x:row>
    <x:row r="1037" ht="80" customHeight="1">
      <x:c r="A1037" s="25" t="str">
        <x:v>Closure</x:v>
      </x:c>
      <x:c r="B1037" s="25" t="n">
        <x:v>45</x:v>
      </x:c>
      <x:c r="C1037" s="25" t="str">
        <x:v>Round2</x:v>
      </x:c>
      <x:c r="D1037" s="25" t="str">
        <x:v>NOT_AVAILABLE</x:v>
      </x:c>
      <x:c r="E1037" s="25" t="str">
        <x:v>N/A</x:v>
      </x:c>
      <x:c r="F1037" s="26" t="str">
        <x:v>Tests exist but current coverage did not complete</x:v>
      </x:c>
      <x:c r="G1037" s="25" t="str">
        <x:v>true</x:v>
      </x:c>
      <x:c r="H1037" s="25" t="str">
        <x:v>NOT_AVAILABLE</x:v>
      </x:c>
      <x:c r="I1037" s="25" t="str">
        <x:v>NOT_RUN</x:v>
      </x:c>
      <x:c r="J1037" s="25" t="str">
        <x:v>NOT_RUN</x:v>
      </x:c>
      <x:c r="K1037" s="25" t="n">
        <x:v>1</x:v>
      </x:c>
      <x:c r="L1037" s="27" t="b">
        <x:v>0</x:v>
      </x:c>
      <x:c r="M1037" s="25" t="str">
        <x:v>Deepseek-flash-v4/state/Round2/status/Closure_45.json; Deepseek-flash-v4/state/Round2/shards/Closure_45.json</x:v>
      </x:c>
      <x:c r="N1037" s="25" t="str">
        <x:v>Deepseek-flash-v4/Result2/Closure_45/result.json</x:v>
      </x:c>
      <x:c r="O1037" s="25" t="str">
        <x:v>Deepseek-flash-v4/Result2/Closure_45/result.json</x:v>
      </x:c>
      <x:c r="P1037" t="str">
        <x:v>BOTH_NOT_RUN</x:v>
      </x:c>
      <x:c r="Q1037" s="21" t="str"/>
      <x:c r="R1037" s="21" t="str"/>
      <x:c r="S1037" s="21" t="str"/>
      <x:c r="T1037" s="17" t="str">
        <x:v>false</x:v>
      </x:c>
      <x:c r="U1037" s="17" t="str">
        <x:v>true</x:v>
      </x:c>
      <x:c r="V1037" s="17" t="str">
        <x:v>false</x:v>
      </x:c>
    </x:row>
    <x:row r="1038" ht="80" customHeight="1">
      <x:c r="A1038" s="25" t="str">
        <x:v>Closure</x:v>
      </x:c>
      <x:c r="B1038" s="25" t="n">
        <x:v>46</x:v>
      </x:c>
      <x:c r="C1038" s="25" t="str">
        <x:v>Round2</x:v>
      </x:c>
      <x:c r="D1038" s="25" t="str">
        <x:v>NOT_AVAILABLE</x:v>
      </x:c>
      <x:c r="E1038" s="25" t="str">
        <x:v>N/A</x:v>
      </x:c>
      <x:c r="F1038" s="26" t="str">
        <x:v>Tests exist but current coverage did not complete</x:v>
      </x:c>
      <x:c r="G1038" s="25" t="str">
        <x:v>true</x:v>
      </x:c>
      <x:c r="H1038" s="25" t="str">
        <x:v>NOT_AVAILABLE</x:v>
      </x:c>
      <x:c r="I1038" s="25" t="str">
        <x:v>NOT_RUN</x:v>
      </x:c>
      <x:c r="J1038" s="25" t="str">
        <x:v>NOT_RUN</x:v>
      </x:c>
      <x:c r="K1038" s="25" t="n">
        <x:v>1</x:v>
      </x:c>
      <x:c r="L1038" s="27" t="b">
        <x:v>0</x:v>
      </x:c>
      <x:c r="M1038" s="25" t="str">
        <x:v>Deepseek-flash-v4/state/Round2/status/Closure_46.json; Deepseek-flash-v4/state/Round2/shards/Closure_46.json</x:v>
      </x:c>
      <x:c r="N1038" s="25" t="str">
        <x:v>Deepseek-flash-v4/Result2/Closure_46/result.json</x:v>
      </x:c>
      <x:c r="O1038" s="25" t="str">
        <x:v>Deepseek-flash-v4/Result2/Closure_46/result.json</x:v>
      </x:c>
      <x:c r="P1038" t="str">
        <x:v>BOTH_NOT_RUN</x:v>
      </x:c>
      <x:c r="Q1038" s="21" t="str"/>
      <x:c r="R1038" s="21" t="str"/>
      <x:c r="S1038" s="21" t="str"/>
      <x:c r="T1038" s="17" t="str">
        <x:v>false</x:v>
      </x:c>
      <x:c r="U1038" s="17" t="str">
        <x:v>true</x:v>
      </x:c>
      <x:c r="V1038" s="17" t="str">
        <x:v>false</x:v>
      </x:c>
    </x:row>
    <x:row r="1039" ht="80" customHeight="1">
      <x:c r="A1039" s="25" t="str">
        <x:v>Closure</x:v>
      </x:c>
      <x:c r="B1039" s="25" t="n">
        <x:v>47</x:v>
      </x:c>
      <x:c r="C1039" s="25" t="str">
        <x:v>Round2</x:v>
      </x:c>
      <x:c r="D1039" s="25" t="str">
        <x:v>NOT_AVAILABLE</x:v>
      </x:c>
      <x:c r="E1039" s="25" t="str">
        <x:v>N/A</x:v>
      </x:c>
      <x:c r="F1039" s="26" t="str">
        <x:v>Tests exist but current coverage did not complete</x:v>
      </x:c>
      <x:c r="G1039" s="25" t="str">
        <x:v>true</x:v>
      </x:c>
      <x:c r="H1039" s="25" t="str">
        <x:v>NOT_AVAILABLE</x:v>
      </x:c>
      <x:c r="I1039" s="25" t="str">
        <x:v>NOT_RUN</x:v>
      </x:c>
      <x:c r="J1039" s="25" t="str">
        <x:v>NOT_RUN</x:v>
      </x:c>
      <x:c r="K1039" s="25" t="n">
        <x:v>2</x:v>
      </x:c>
      <x:c r="L1039" s="27" t="b">
        <x:v>0</x:v>
      </x:c>
      <x:c r="M1039" s="25" t="str">
        <x:v>Deepseek-flash-v4/state/Round2/status/Closure_47.json; Deepseek-flash-v4/state/Round2/shards/Closure_47.json</x:v>
      </x:c>
      <x:c r="N1039" s="25" t="str">
        <x:v>Deepseek-flash-v4/Result2/Closure_47/result.json</x:v>
      </x:c>
      <x:c r="O1039" s="25" t="str">
        <x:v>Deepseek-flash-v4/Result2/Closure_47/result.json</x:v>
      </x:c>
      <x:c r="P1039" t="str">
        <x:v>BOTH_NOT_RUN</x:v>
      </x:c>
      <x:c r="Q1039" s="21" t="str"/>
      <x:c r="R1039" s="21" t="str"/>
      <x:c r="S1039" s="21" t="str"/>
      <x:c r="T1039" s="17" t="str">
        <x:v>false</x:v>
      </x:c>
      <x:c r="U1039" s="17" t="str">
        <x:v>true</x:v>
      </x:c>
      <x:c r="V1039" s="17" t="str">
        <x:v>false</x:v>
      </x:c>
    </x:row>
    <x:row r="1040" ht="80" customHeight="1">
      <x:c r="A1040" s="25" t="str">
        <x:v>Closure</x:v>
      </x:c>
      <x:c r="B1040" s="25" t="n">
        <x:v>48</x:v>
      </x:c>
      <x:c r="C1040" s="25" t="str">
        <x:v>Round2</x:v>
      </x:c>
      <x:c r="D1040" s="25" t="str">
        <x:v>INCONCLUSIVE</x:v>
      </x:c>
      <x:c r="E1040" s="25" t="str">
        <x:v>N/A</x:v>
      </x:c>
      <x:c r="F1040" s="26" t="str">
        <x:v>Fixed also failed; assertion failure cannot be attributed to this bug</x:v>
      </x:c>
      <x:c r="G1040" s="25" t="str">
        <x:v>true</x:v>
      </x:c>
      <x:c r="H1040" s="25" t="str">
        <x:v>INCONCLUSIVE</x:v>
      </x:c>
      <x:c r="I1040" s="25" t="str">
        <x:v>FAIL</x:v>
      </x:c>
      <x:c r="J1040" s="25" t="str">
        <x:v>FAIL</x:v>
      </x:c>
      <x:c r="K1040" s="25" t="n">
        <x:v>1</x:v>
      </x:c>
      <x:c r="L1040" s="27" t="b">
        <x:v>0</x:v>
      </x:c>
      <x:c r="M1040" s="25" t="str">
        <x:v>Deepseek-flash-v4/state/Round2/status/Closure_48.json; Deepseek-flash-v4/state/Round2/shards/Closure_48.json</x:v>
      </x:c>
      <x:c r="N1040" s="25" t="str">
        <x:v>Deepseek-flash-v4/Result2/Closure_48/result.json</x:v>
      </x:c>
      <x:c r="O1040" s="25" t="str">
        <x:v>Deepseek-flash-v4/Result2/Closure_48/result.json</x:v>
      </x:c>
      <x:c r="P1040"/>
      <x:c r="Q1040" s="21" t="str"/>
      <x:c r="R1040" s="21" t="str"/>
      <x:c r="S1040" s="21" t="str"/>
      <x:c r="T1040" s="17" t="str">
        <x:v>false</x:v>
      </x:c>
      <x:c r="U1040" s="17" t="str">
        <x:v>true</x:v>
      </x:c>
      <x:c r="V1040" s="17" t="str">
        <x:v>false</x:v>
      </x:c>
    </x:row>
    <x:row r="1041" ht="80" customHeight="1">
      <x:c r="A1041" s="25" t="str">
        <x:v>Closure</x:v>
      </x:c>
      <x:c r="B1041" s="25" t="n">
        <x:v>49</x:v>
      </x:c>
      <x:c r="C1041" s="25" t="str">
        <x:v>Round2</x:v>
      </x:c>
      <x:c r="D1041" s="25" t="str">
        <x:v>NOT_AVAILABLE</x:v>
      </x:c>
      <x:c r="E1041" s="25" t="str">
        <x:v>N/A</x:v>
      </x:c>
      <x:c r="F1041" s="26" t="str">
        <x:v>Tests exist but current coverage did not complete</x:v>
      </x:c>
      <x:c r="G1041" s="25" t="str">
        <x:v>true</x:v>
      </x:c>
      <x:c r="H1041" s="25" t="str">
        <x:v>NOT_AVAILABLE</x:v>
      </x:c>
      <x:c r="I1041" s="25" t="str">
        <x:v>NOT_RUN</x:v>
      </x:c>
      <x:c r="J1041" s="25" t="str">
        <x:v>NOT_RUN</x:v>
      </x:c>
      <x:c r="K1041" s="25" t="n">
        <x:v>1</x:v>
      </x:c>
      <x:c r="L1041" s="27" t="b">
        <x:v>0</x:v>
      </x:c>
      <x:c r="M1041" s="25" t="str">
        <x:v>Deepseek-flash-v4/state/Round2/status/Closure_49.json; Deepseek-flash-v4/state/Round2/shards/Closure_49.json</x:v>
      </x:c>
      <x:c r="N1041" s="25" t="str">
        <x:v>Deepseek-flash-v4/Result2/Closure_49/result.json</x:v>
      </x:c>
      <x:c r="O1041" s="25" t="str">
        <x:v>Deepseek-flash-v4/Result2/Closure_49/result.json</x:v>
      </x:c>
      <x:c r="P1041" t="str">
        <x:v>BOTH_NOT_RUN</x:v>
      </x:c>
      <x:c r="Q1041" s="21" t="str"/>
      <x:c r="R1041" s="21" t="str"/>
      <x:c r="S1041" s="21" t="str"/>
      <x:c r="T1041" s="17" t="str">
        <x:v>false</x:v>
      </x:c>
      <x:c r="U1041" s="17" t="str">
        <x:v>true</x:v>
      </x:c>
      <x:c r="V1041" s="17" t="str">
        <x:v>false</x:v>
      </x:c>
    </x:row>
    <x:row r="1042" ht="80" customHeight="1">
      <x:c r="A1042" s="25" t="str">
        <x:v>Closure</x:v>
      </x:c>
      <x:c r="B1042" s="25" t="n">
        <x:v>5</x:v>
      </x:c>
      <x:c r="C1042" s="25" t="str">
        <x:v>Round2</x:v>
      </x:c>
      <x:c r="D1042" s="25" t="str">
        <x:v>INCONCLUSIVE</x:v>
      </x:c>
      <x:c r="E1042" s="25" t="str">
        <x:v>N/A</x:v>
      </x:c>
      <x:c r="F1042" s="26" t="str">
        <x:v>Fixed also failed; assertion failure cannot be attributed to this bug</x:v>
      </x:c>
      <x:c r="G1042" s="25" t="str">
        <x:v>true</x:v>
      </x:c>
      <x:c r="H1042" s="25" t="str">
        <x:v>INCONCLUSIVE</x:v>
      </x:c>
      <x:c r="I1042" s="25" t="str">
        <x:v>FAIL</x:v>
      </x:c>
      <x:c r="J1042" s="25" t="str">
        <x:v>FAIL</x:v>
      </x:c>
      <x:c r="K1042" s="25" t="n">
        <x:v>1</x:v>
      </x:c>
      <x:c r="L1042" s="27" t="b">
        <x:v>0</x:v>
      </x:c>
      <x:c r="M1042" s="25" t="str">
        <x:v>Deepseek-flash-v4/state/Round2/status/Closure_5.json; Deepseek-flash-v4/state/Round2/shards/Closure_5.json</x:v>
      </x:c>
      <x:c r="N1042" s="25" t="str">
        <x:v>Deepseek-flash-v4/Result2/Closure_5/result.json</x:v>
      </x:c>
      <x:c r="O1042" s="25" t="str">
        <x:v>Deepseek-flash-v4/Result2/Closure_5/result.json</x:v>
      </x:c>
      <x:c r="P1042"/>
      <x:c r="Q1042" s="21" t="str"/>
      <x:c r="R1042" s="21" t="str"/>
      <x:c r="S1042" s="21" t="str"/>
      <x:c r="T1042" s="17" t="str">
        <x:v>false</x:v>
      </x:c>
      <x:c r="U1042" s="17" t="str">
        <x:v>true</x:v>
      </x:c>
      <x:c r="V1042" s="17" t="str">
        <x:v>false</x:v>
      </x:c>
    </x:row>
    <x:row r="1043" ht="80" customHeight="1">
      <x:c r="A1043" s="25" t="str">
        <x:v>Closure</x:v>
      </x:c>
      <x:c r="B1043" s="25" t="n">
        <x:v>50</x:v>
      </x:c>
      <x:c r="C1043" s="25" t="str">
        <x:v>Round2</x:v>
      </x:c>
      <x:c r="D1043" s="25" t="str">
        <x:v>INCONCLUSIVE</x:v>
      </x:c>
      <x:c r="E1043" s="25" t="str">
        <x:v>N/A</x:v>
      </x:c>
      <x:c r="F1043" s="26" t="str">
        <x:v>Fixed also failed; assertion failure cannot be attributed to this bug; Same-round generation metadata missing; use saved tests and execution evidence, no failure inferred</x:v>
      </x:c>
      <x:c r="G1043" s="25" t="str">
        <x:v>true</x:v>
      </x:c>
      <x:c r="H1043" s="25" t="str">
        <x:v>INCONCLUSIVE</x:v>
      </x:c>
      <x:c r="I1043" s="25" t="str">
        <x:v>FAIL</x:v>
      </x:c>
      <x:c r="J1043" s="25" t="str">
        <x:v>FAIL</x:v>
      </x:c>
      <x:c r="K1043" s="25" t="n">
        <x:v>1</x:v>
      </x:c>
      <x:c r="L1043" s="27" t="b">
        <x:v>0</x:v>
      </x:c>
      <x:c r="M1043" s="25"/>
      <x:c r="N1043" s="25" t="str">
        <x:v>Deepseek-flash-v4/Result2/Closure_50/result.json</x:v>
      </x:c>
      <x:c r="O1043" s="25" t="str">
        <x:v>Deepseek-flash-v4/Result2/Closure_50/result.json</x:v>
      </x:c>
      <x:c r="P1043"/>
      <x:c r="Q1043" s="21" t="str"/>
      <x:c r="R1043" s="21" t="str"/>
      <x:c r="S1043" s="21" t="str"/>
      <x:c r="T1043" s="17" t="str">
        <x:v>false</x:v>
      </x:c>
      <x:c r="U1043" s="17" t="str">
        <x:v>true</x:v>
      </x:c>
      <x:c r="V1043" s="17" t="str">
        <x:v>false</x:v>
      </x:c>
    </x:row>
    <x:row r="1044" ht="80" customHeight="1">
      <x:c r="A1044" s="25" t="str">
        <x:v>Closure</x:v>
      </x:c>
      <x:c r="B1044" s="25" t="n">
        <x:v>51</x:v>
      </x:c>
      <x:c r="C1044" s="25" t="str">
        <x:v>Round2</x:v>
      </x:c>
      <x:c r="D1044" s="25" t="str">
        <x:v>INCONCLUSIVE</x:v>
      </x:c>
      <x:c r="E1044" s="25" t="str">
        <x:v>N/A</x:v>
      </x:c>
      <x:c r="F1044" s="26" t="str">
        <x:v>Fixed also failed; assertion failure cannot be attributed to this bug</x:v>
      </x:c>
      <x:c r="G1044" s="25" t="str">
        <x:v>true</x:v>
      </x:c>
      <x:c r="H1044" s="25" t="str">
        <x:v>INCONCLUSIVE</x:v>
      </x:c>
      <x:c r="I1044" s="25" t="str">
        <x:v>FAIL</x:v>
      </x:c>
      <x:c r="J1044" s="25" t="str">
        <x:v>FAIL</x:v>
      </x:c>
      <x:c r="K1044" s="25" t="n">
        <x:v>1</x:v>
      </x:c>
      <x:c r="L1044" s="27" t="b">
        <x:v>0</x:v>
      </x:c>
      <x:c r="M1044" s="25" t="str">
        <x:v>Deepseek-flash-v4/state/Round2/status/Closure_51.json; Deepseek-flash-v4/state/Round2/shards/Closure_51.json</x:v>
      </x:c>
      <x:c r="N1044" s="25" t="str">
        <x:v>Deepseek-flash-v4/Result2/Closure_51/result.json</x:v>
      </x:c>
      <x:c r="O1044" s="25" t="str">
        <x:v>Deepseek-flash-v4/Result2/Closure_51/result.json</x:v>
      </x:c>
      <x:c r="P1044"/>
      <x:c r="Q1044" s="21" t="str"/>
      <x:c r="R1044" s="21" t="str"/>
      <x:c r="S1044" s="21" t="str"/>
      <x:c r="T1044" s="17" t="str">
        <x:v>false</x:v>
      </x:c>
      <x:c r="U1044" s="17" t="str">
        <x:v>true</x:v>
      </x:c>
      <x:c r="V1044" s="17" t="str">
        <x:v>false</x:v>
      </x:c>
    </x:row>
    <x:row r="1045" ht="80" customHeight="1">
      <x:c r="A1045" s="25" t="str">
        <x:v>Closure</x:v>
      </x:c>
      <x:c r="B1045" s="25" t="n">
        <x:v>52</x:v>
      </x:c>
      <x:c r="C1045" s="25" t="str">
        <x:v>Round2</x:v>
      </x:c>
      <x:c r="D1045" s="25" t="str">
        <x:v>NOT_AVAILABLE</x:v>
      </x:c>
      <x:c r="E1045" s="25" t="str">
        <x:v>N/A</x:v>
      </x:c>
      <x:c r="F1045" s="26" t="str">
        <x:v>Tests exist but current coverage did not complete</x:v>
      </x:c>
      <x:c r="G1045" s="25" t="str">
        <x:v>true</x:v>
      </x:c>
      <x:c r="H1045" s="25" t="str">
        <x:v>NOT_AVAILABLE</x:v>
      </x:c>
      <x:c r="I1045" s="25" t="str">
        <x:v>NOT_RUN</x:v>
      </x:c>
      <x:c r="J1045" s="25" t="str">
        <x:v>NOT_RUN</x:v>
      </x:c>
      <x:c r="K1045" s="25" t="n">
        <x:v>1</x:v>
      </x:c>
      <x:c r="L1045" s="27" t="b">
        <x:v>0</x:v>
      </x:c>
      <x:c r="M1045" s="25" t="str">
        <x:v>Deepseek-flash-v4/state/Round2/status/Closure_52.json; Deepseek-flash-v4/state/Round2/shards/Closure_52.json</x:v>
      </x:c>
      <x:c r="N1045" s="25" t="str">
        <x:v>Deepseek-flash-v4/Result2/Closure_52/result.json</x:v>
      </x:c>
      <x:c r="O1045" s="25" t="str">
        <x:v>Deepseek-flash-v4/Result2/Closure_52/result.json</x:v>
      </x:c>
      <x:c r="P1045" t="str">
        <x:v>BOTH_NOT_RUN</x:v>
      </x:c>
      <x:c r="Q1045" s="21" t="str"/>
      <x:c r="R1045" s="21" t="str"/>
      <x:c r="S1045" s="21" t="str"/>
      <x:c r="T1045" s="17" t="str">
        <x:v>false</x:v>
      </x:c>
      <x:c r="U1045" s="17" t="str">
        <x:v>true</x:v>
      </x:c>
      <x:c r="V1045" s="17" t="str">
        <x:v>false</x:v>
      </x:c>
    </x:row>
    <x:row r="1046" ht="80" customHeight="1">
      <x:c r="A1046" s="25" t="str">
        <x:v>Closure</x:v>
      </x:c>
      <x:c r="B1046" s="25" t="n">
        <x:v>53</x:v>
      </x:c>
      <x:c r="C1046" s="25" t="str">
        <x:v>Round2</x:v>
      </x:c>
      <x:c r="D1046" s="25" t="str">
        <x:v>NOT_AVAILABLE</x:v>
      </x:c>
      <x:c r="E1046" s="25" t="str">
        <x:v>N/A</x:v>
      </x:c>
      <x:c r="F1046" s="26" t="str">
        <x:v>Tests exist but current coverage did not complete</x:v>
      </x:c>
      <x:c r="G1046" s="25" t="str">
        <x:v>true</x:v>
      </x:c>
      <x:c r="H1046" s="25" t="str">
        <x:v>NOT_AVAILABLE</x:v>
      </x:c>
      <x:c r="I1046" s="25" t="str">
        <x:v>NOT_RUN</x:v>
      </x:c>
      <x:c r="J1046" s="25" t="str">
        <x:v>NOT_RUN</x:v>
      </x:c>
      <x:c r="K1046" s="25" t="n">
        <x:v>1</x:v>
      </x:c>
      <x:c r="L1046" s="27" t="b">
        <x:v>0</x:v>
      </x:c>
      <x:c r="M1046" s="25" t="str">
        <x:v>Deepseek-flash-v4/state/Round2/status/Closure_53.json; Deepseek-flash-v4/state/Round2/shards/Closure_53.json</x:v>
      </x:c>
      <x:c r="N1046" s="25" t="str">
        <x:v>Deepseek-flash-v4/Result2/Closure_53/result.json</x:v>
      </x:c>
      <x:c r="O1046" s="25" t="str">
        <x:v>Deepseek-flash-v4/Result2/Closure_53/result.json</x:v>
      </x:c>
      <x:c r="P1046" t="str">
        <x:v>BOTH_NOT_RUN</x:v>
      </x:c>
      <x:c r="Q1046" s="21" t="str"/>
      <x:c r="R1046" s="21" t="str"/>
      <x:c r="S1046" s="21" t="str"/>
      <x:c r="T1046" s="17" t="str">
        <x:v>false</x:v>
      </x:c>
      <x:c r="U1046" s="17" t="str">
        <x:v>true</x:v>
      </x:c>
      <x:c r="V1046" s="17" t="str">
        <x:v>false</x:v>
      </x:c>
    </x:row>
    <x:row r="1047" ht="80" customHeight="1">
      <x:c r="A1047" s="25" t="str">
        <x:v>Closure</x:v>
      </x:c>
      <x:c r="B1047" s="25" t="n">
        <x:v>54</x:v>
      </x:c>
      <x:c r="C1047" s="25" t="str">
        <x:v>Round2</x:v>
      </x:c>
      <x:c r="D1047" s="25" t="str">
        <x:v>NOT_AVAILABLE</x:v>
      </x:c>
      <x:c r="E1047" s="25" t="str">
        <x:v>N/A</x:v>
      </x:c>
      <x:c r="F1047" s="26" t="str">
        <x:v>Tests exist but current coverage did not complete</x:v>
      </x:c>
      <x:c r="G1047" s="25" t="str">
        <x:v>true</x:v>
      </x:c>
      <x:c r="H1047" s="25" t="str">
        <x:v>NOT_AVAILABLE</x:v>
      </x:c>
      <x:c r="I1047" s="25" t="str">
        <x:v>NOT_RUN</x:v>
      </x:c>
      <x:c r="J1047" s="25" t="str">
        <x:v>NOT_RUN</x:v>
      </x:c>
      <x:c r="K1047" s="25" t="n">
        <x:v>2</x:v>
      </x:c>
      <x:c r="L1047" s="27" t="b">
        <x:v>0</x:v>
      </x:c>
      <x:c r="M1047" s="25" t="str">
        <x:v>Deepseek-flash-v4/state/Round2/status/Closure_54.json; Deepseek-flash-v4/state/Round2/shards/Closure_54.json</x:v>
      </x:c>
      <x:c r="N1047" s="25" t="str">
        <x:v>Deepseek-flash-v4/Result2/Closure_54/result.json</x:v>
      </x:c>
      <x:c r="O1047" s="25" t="str">
        <x:v>Deepseek-flash-v4/Result2/Closure_54/result.json</x:v>
      </x:c>
      <x:c r="P1047" t="str">
        <x:v>BOTH_NOT_RUN</x:v>
      </x:c>
      <x:c r="Q1047" s="21" t="str"/>
      <x:c r="R1047" s="21" t="str"/>
      <x:c r="S1047" s="21" t="str"/>
      <x:c r="T1047" s="17" t="str">
        <x:v>false</x:v>
      </x:c>
      <x:c r="U1047" s="17" t="str">
        <x:v>true</x:v>
      </x:c>
      <x:c r="V1047" s="17" t="str">
        <x:v>false</x:v>
      </x:c>
    </x:row>
    <x:row r="1048" ht="80" customHeight="1">
      <x:c r="A1048" s="25" t="str">
        <x:v>Closure</x:v>
      </x:c>
      <x:c r="B1048" s="25" t="n">
        <x:v>55</x:v>
      </x:c>
      <x:c r="C1048" s="25" t="str">
        <x:v>Round2</x:v>
      </x:c>
      <x:c r="D1048" s="25" t="str">
        <x:v>NOT_AVAILABLE</x:v>
      </x:c>
      <x:c r="E1048" s="25" t="str">
        <x:v>N/A</x:v>
      </x:c>
      <x:c r="F1048" s="26" t="str">
        <x:v>Tests exist but current coverage did not complete</x:v>
      </x:c>
      <x:c r="G1048" s="25" t="str">
        <x:v>true</x:v>
      </x:c>
      <x:c r="H1048" s="25" t="str">
        <x:v>NOT_AVAILABLE</x:v>
      </x:c>
      <x:c r="I1048" s="25" t="str">
        <x:v>NOT_RUN</x:v>
      </x:c>
      <x:c r="J1048" s="25" t="str">
        <x:v>NOT_RUN</x:v>
      </x:c>
      <x:c r="K1048" s="25" t="n">
        <x:v>1</x:v>
      </x:c>
      <x:c r="L1048" s="27" t="b">
        <x:v>0</x:v>
      </x:c>
      <x:c r="M1048" s="25" t="str">
        <x:v>Deepseek-flash-v4/state/Round2/status/Closure_55.json; Deepseek-flash-v4/state/Round2/shards/Closure_55.json</x:v>
      </x:c>
      <x:c r="N1048" s="25" t="str">
        <x:v>Deepseek-flash-v4/Result2/Closure_55/result.json</x:v>
      </x:c>
      <x:c r="O1048" s="25" t="str">
        <x:v>Deepseek-flash-v4/Result2/Closure_55/result.json</x:v>
      </x:c>
      <x:c r="P1048" t="str">
        <x:v>BOTH_NOT_RUN</x:v>
      </x:c>
      <x:c r="Q1048" s="21" t="str"/>
      <x:c r="R1048" s="21" t="str"/>
      <x:c r="S1048" s="21" t="str"/>
      <x:c r="T1048" s="17" t="str">
        <x:v>false</x:v>
      </x:c>
      <x:c r="U1048" s="17" t="str">
        <x:v>true</x:v>
      </x:c>
      <x:c r="V1048" s="17" t="str">
        <x:v>false</x:v>
      </x:c>
    </x:row>
    <x:row r="1049" ht="80" customHeight="1">
      <x:c r="A1049" s="25" t="str">
        <x:v>Closure</x:v>
      </x:c>
      <x:c r="B1049" s="25" t="n">
        <x:v>56</x:v>
      </x:c>
      <x:c r="C1049" s="25" t="str">
        <x:v>Round2</x:v>
      </x:c>
      <x:c r="D1049" s="25" t="str">
        <x:v>NOT_AVAILABLE</x:v>
      </x:c>
      <x:c r="E1049" s="25" t="str">
        <x:v>N/A</x:v>
      </x:c>
      <x:c r="F1049" s="26" t="str">
        <x:v>Tests exist but current coverage did not complete</x:v>
      </x:c>
      <x:c r="G1049" s="25" t="str">
        <x:v>true</x:v>
      </x:c>
      <x:c r="H1049" s="25" t="str">
        <x:v>NOT_AVAILABLE</x:v>
      </x:c>
      <x:c r="I1049" s="25" t="str">
        <x:v>NOT_RUN</x:v>
      </x:c>
      <x:c r="J1049" s="25" t="str">
        <x:v>NOT_RUN</x:v>
      </x:c>
      <x:c r="K1049" s="25" t="n">
        <x:v>1</x:v>
      </x:c>
      <x:c r="L1049" s="27" t="b">
        <x:v>0</x:v>
      </x:c>
      <x:c r="M1049" s="25" t="str">
        <x:v>Deepseek-flash-v4/state/Round2/status/Closure_56.json; Deepseek-flash-v4/state/Round2/shards/Closure_56.json</x:v>
      </x:c>
      <x:c r="N1049" s="25" t="str">
        <x:v>Deepseek-flash-v4/Result2/Closure_56/result.json</x:v>
      </x:c>
      <x:c r="O1049" s="25" t="str">
        <x:v>Deepseek-flash-v4/Result2/Closure_56/result.json</x:v>
      </x:c>
      <x:c r="P1049" t="str">
        <x:v>BOTH_NOT_RUN</x:v>
      </x:c>
      <x:c r="Q1049" s="21" t="str"/>
      <x:c r="R1049" s="21" t="str"/>
      <x:c r="S1049" s="21" t="str"/>
      <x:c r="T1049" s="17" t="str">
        <x:v>false</x:v>
      </x:c>
      <x:c r="U1049" s="17" t="str">
        <x:v>true</x:v>
      </x:c>
      <x:c r="V1049" s="17" t="str">
        <x:v>false</x:v>
      </x:c>
    </x:row>
    <x:row r="1050" ht="80" customHeight="1">
      <x:c r="A1050" s="25" t="str">
        <x:v>Closure</x:v>
      </x:c>
      <x:c r="B1050" s="25" t="n">
        <x:v>57</x:v>
      </x:c>
      <x:c r="C1050" s="25" t="str">
        <x:v>Round2</x:v>
      </x:c>
      <x:c r="D1050" s="25" t="str">
        <x:v>NOT_AVAILABLE</x:v>
      </x:c>
      <x:c r="E1050" s="25" t="str">
        <x:v>N/A</x:v>
      </x:c>
      <x:c r="F1050" s="26" t="str">
        <x:v>Tests exist but current coverage did not complete</x:v>
      </x:c>
      <x:c r="G1050" s="25" t="str">
        <x:v>true</x:v>
      </x:c>
      <x:c r="H1050" s="25" t="str">
        <x:v>NOT_AVAILABLE</x:v>
      </x:c>
      <x:c r="I1050" s="25" t="str">
        <x:v>NOT_RUN</x:v>
      </x:c>
      <x:c r="J1050" s="25" t="str">
        <x:v>NOT_RUN</x:v>
      </x:c>
      <x:c r="K1050" s="25" t="n">
        <x:v>1</x:v>
      </x:c>
      <x:c r="L1050" s="27" t="b">
        <x:v>0</x:v>
      </x:c>
      <x:c r="M1050" s="25" t="str">
        <x:v>Deepseek-flash-v4/state/Round2/status/Closure_57.json; Deepseek-flash-v4/state/Round2/shards/Closure_57.json</x:v>
      </x:c>
      <x:c r="N1050" s="25" t="str">
        <x:v>Deepseek-flash-v4/Result2/Closure_57/result.json</x:v>
      </x:c>
      <x:c r="O1050" s="25" t="str">
        <x:v>Deepseek-flash-v4/Result2/Closure_57/result.json</x:v>
      </x:c>
      <x:c r="P1050" t="str">
        <x:v>BOTH_NOT_RUN</x:v>
      </x:c>
      <x:c r="Q1050" s="21" t="str"/>
      <x:c r="R1050" s="21" t="str"/>
      <x:c r="S1050" s="21" t="str"/>
      <x:c r="T1050" s="17" t="str">
        <x:v>false</x:v>
      </x:c>
      <x:c r="U1050" s="17" t="str">
        <x:v>true</x:v>
      </x:c>
      <x:c r="V1050" s="17" t="str">
        <x:v>false</x:v>
      </x:c>
    </x:row>
    <x:row r="1051" ht="80" customHeight="1">
      <x:c r="A1051" s="25" t="str">
        <x:v>Closure</x:v>
      </x:c>
      <x:c r="B1051" s="25" t="n">
        <x:v>58</x:v>
      </x:c>
      <x:c r="C1051" s="25" t="str">
        <x:v>Round2</x:v>
      </x:c>
      <x:c r="D1051" s="25" t="str">
        <x:v>NOT_AVAILABLE</x:v>
      </x:c>
      <x:c r="E1051" s="25" t="str">
        <x:v>N/A</x:v>
      </x:c>
      <x:c r="F1051" s="26" t="str">
        <x:v>Tests exist but current coverage did not complete</x:v>
      </x:c>
      <x:c r="G1051" s="25" t="str">
        <x:v>true</x:v>
      </x:c>
      <x:c r="H1051" s="25" t="str">
        <x:v>NOT_AVAILABLE</x:v>
      </x:c>
      <x:c r="I1051" s="25" t="str">
        <x:v>NOT_RUN</x:v>
      </x:c>
      <x:c r="J1051" s="25" t="str">
        <x:v>NOT_RUN</x:v>
      </x:c>
      <x:c r="K1051" s="25" t="n">
        <x:v>1</x:v>
      </x:c>
      <x:c r="L1051" s="27" t="b">
        <x:v>0</x:v>
      </x:c>
      <x:c r="M1051" s="25" t="str">
        <x:v>Deepseek-flash-v4/state/Round2/status/Closure_58.json; Deepseek-flash-v4/state/Round2/shards/Closure_58.json</x:v>
      </x:c>
      <x:c r="N1051" s="25" t="str">
        <x:v>Deepseek-flash-v4/Result2/Closure_58/result.json</x:v>
      </x:c>
      <x:c r="O1051" s="25" t="str">
        <x:v>Deepseek-flash-v4/Result2/Closure_58/result.json</x:v>
      </x:c>
      <x:c r="P1051" t="str">
        <x:v>BOTH_NOT_RUN</x:v>
      </x:c>
      <x:c r="Q1051" s="21" t="str"/>
      <x:c r="R1051" s="21" t="str"/>
      <x:c r="S1051" s="21" t="str"/>
      <x:c r="T1051" s="17" t="str">
        <x:v>false</x:v>
      </x:c>
      <x:c r="U1051" s="17" t="str">
        <x:v>true</x:v>
      </x:c>
      <x:c r="V1051" s="17" t="str">
        <x:v>false</x:v>
      </x:c>
    </x:row>
    <x:row r="1052" ht="80" customHeight="1">
      <x:c r="A1052" s="25" t="str">
        <x:v>Closure</x:v>
      </x:c>
      <x:c r="B1052" s="25" t="n">
        <x:v>59</x:v>
      </x:c>
      <x:c r="C1052" s="25" t="str">
        <x:v>Round2</x:v>
      </x:c>
      <x:c r="D1052" s="25" t="str">
        <x:v>NOT_AVAILABLE</x:v>
      </x:c>
      <x:c r="E1052" s="25" t="str">
        <x:v>N/A</x:v>
      </x:c>
      <x:c r="F1052" s="26" t="str">
        <x:v>Tests exist but current coverage did not complete</x:v>
      </x:c>
      <x:c r="G1052" s="25" t="str">
        <x:v>true</x:v>
      </x:c>
      <x:c r="H1052" s="25" t="str">
        <x:v>NOT_AVAILABLE</x:v>
      </x:c>
      <x:c r="I1052" s="25" t="str">
        <x:v>NOT_RUN</x:v>
      </x:c>
      <x:c r="J1052" s="25" t="str">
        <x:v>NOT_RUN</x:v>
      </x:c>
      <x:c r="K1052" s="25" t="n">
        <x:v>1</x:v>
      </x:c>
      <x:c r="L1052" s="27" t="b">
        <x:v>0</x:v>
      </x:c>
      <x:c r="M1052" s="25" t="str">
        <x:v>Deepseek-flash-v4/state/Round2/status/Closure_59.json; Deepseek-flash-v4/state/Round2/shards/Closure_59.json</x:v>
      </x:c>
      <x:c r="N1052" s="25" t="str">
        <x:v>Deepseek-flash-v4/Result2/Closure_59/result.json</x:v>
      </x:c>
      <x:c r="O1052" s="25" t="str">
        <x:v>Deepseek-flash-v4/Result2/Closure_59/result.json</x:v>
      </x:c>
      <x:c r="P1052" t="str">
        <x:v>BOTH_NOT_RUN</x:v>
      </x:c>
      <x:c r="Q1052" s="21" t="str"/>
      <x:c r="R1052" s="21" t="str"/>
      <x:c r="S1052" s="21" t="str"/>
      <x:c r="T1052" s="17" t="str">
        <x:v>false</x:v>
      </x:c>
      <x:c r="U1052" s="17" t="str">
        <x:v>true</x:v>
      </x:c>
      <x:c r="V1052" s="17" t="str">
        <x:v>false</x:v>
      </x:c>
    </x:row>
    <x:row r="1053" ht="80" customHeight="1">
      <x:c r="A1053" s="25" t="str">
        <x:v>Closure</x:v>
      </x:c>
      <x:c r="B1053" s="25" t="n">
        <x:v>6</x:v>
      </x:c>
      <x:c r="C1053" s="25" t="str">
        <x:v>Round2</x:v>
      </x:c>
      <x:c r="D1053" s="25" t="str">
        <x:v>NOT_AVAILABLE</x:v>
      </x:c>
      <x:c r="E1053" s="25" t="str">
        <x:v>N/A</x:v>
      </x:c>
      <x:c r="F1053" s="26" t="str">
        <x:v>Tests exist but current coverage did not complete</x:v>
      </x:c>
      <x:c r="G1053" s="25" t="str">
        <x:v>true</x:v>
      </x:c>
      <x:c r="H1053" s="25" t="str">
        <x:v>NOT_AVAILABLE</x:v>
      </x:c>
      <x:c r="I1053" s="25" t="str">
        <x:v>NOT_RUN</x:v>
      </x:c>
      <x:c r="J1053" s="25" t="str">
        <x:v>NOT_RUN</x:v>
      </x:c>
      <x:c r="K1053" s="25" t="n">
        <x:v>1</x:v>
      </x:c>
      <x:c r="L1053" s="27" t="b">
        <x:v>0</x:v>
      </x:c>
      <x:c r="M1053" s="25" t="str">
        <x:v>Deepseek-flash-v4/state/Round2/status/Closure_6.json; Deepseek-flash-v4/state/Round2/shards/Closure_6.json</x:v>
      </x:c>
      <x:c r="N1053" s="25" t="str">
        <x:v>Deepseek-flash-v4/Result2/Closure_6/result.json</x:v>
      </x:c>
      <x:c r="O1053" s="25" t="str">
        <x:v>Deepseek-flash-v4/Result2/Closure_6/result.json</x:v>
      </x:c>
      <x:c r="P1053" t="str">
        <x:v>BOTH_NOT_RUN</x:v>
      </x:c>
      <x:c r="Q1053" s="21" t="str"/>
      <x:c r="R1053" s="21" t="str"/>
      <x:c r="S1053" s="21" t="str"/>
      <x:c r="T1053" s="17" t="str">
        <x:v>false</x:v>
      </x:c>
      <x:c r="U1053" s="17" t="str">
        <x:v>true</x:v>
      </x:c>
      <x:c r="V1053" s="17" t="str">
        <x:v>false</x:v>
      </x:c>
    </x:row>
    <x:row r="1054" ht="80" customHeight="1">
      <x:c r="A1054" s="25" t="str">
        <x:v>Closure</x:v>
      </x:c>
      <x:c r="B1054" s="25" t="n">
        <x:v>60</x:v>
      </x:c>
      <x:c r="C1054" s="25" t="str">
        <x:v>Round2</x:v>
      </x:c>
      <x:c r="D1054" s="25" t="str">
        <x:v>NOT_AVAILABLE</x:v>
      </x:c>
      <x:c r="E1054" s="25" t="str">
        <x:v>N/A</x:v>
      </x:c>
      <x:c r="F1054" s="26" t="str">
        <x:v>Tests exist but current coverage did not complete</x:v>
      </x:c>
      <x:c r="G1054" s="25" t="str">
        <x:v>true</x:v>
      </x:c>
      <x:c r="H1054" s="25" t="str">
        <x:v>NOT_AVAILABLE</x:v>
      </x:c>
      <x:c r="I1054" s="25" t="str">
        <x:v>NOT_RUN</x:v>
      </x:c>
      <x:c r="J1054" s="25" t="str">
        <x:v>NOT_RUN</x:v>
      </x:c>
      <x:c r="K1054" s="25" t="n">
        <x:v>1</x:v>
      </x:c>
      <x:c r="L1054" s="27" t="b">
        <x:v>0</x:v>
      </x:c>
      <x:c r="M1054" s="25" t="str">
        <x:v>Deepseek-flash-v4/state/Round2/status/Closure_60.json; Deepseek-flash-v4/state/Round2/shards/Closure_60.json</x:v>
      </x:c>
      <x:c r="N1054" s="25" t="str">
        <x:v>Deepseek-flash-v4/Result2/Closure_60/result.json</x:v>
      </x:c>
      <x:c r="O1054" s="25" t="str">
        <x:v>Deepseek-flash-v4/Result2/Closure_60/result.json</x:v>
      </x:c>
      <x:c r="P1054" t="str">
        <x:v>BOTH_NOT_RUN</x:v>
      </x:c>
      <x:c r="Q1054" s="21" t="str"/>
      <x:c r="R1054" s="21" t="str"/>
      <x:c r="S1054" s="21" t="str"/>
      <x:c r="T1054" s="17" t="str">
        <x:v>false</x:v>
      </x:c>
      <x:c r="U1054" s="17" t="str">
        <x:v>true</x:v>
      </x:c>
      <x:c r="V1054" s="17" t="str">
        <x:v>false</x:v>
      </x:c>
    </x:row>
    <x:row r="1055" ht="80" customHeight="1">
      <x:c r="A1055" s="25" t="str">
        <x:v>Closure</x:v>
      </x:c>
      <x:c r="B1055" s="25" t="n">
        <x:v>61</x:v>
      </x:c>
      <x:c r="C1055" s="25" t="str">
        <x:v>Round2</x:v>
      </x:c>
      <x:c r="D1055" s="25" t="str">
        <x:v>NOT_AVAILABLE</x:v>
      </x:c>
      <x:c r="E1055" s="25" t="str">
        <x:v>N/A</x:v>
      </x:c>
      <x:c r="F1055" s="26" t="str">
        <x:v>Tests exist but current coverage did not complete</x:v>
      </x:c>
      <x:c r="G1055" s="25" t="str">
        <x:v>true</x:v>
      </x:c>
      <x:c r="H1055" s="25" t="str">
        <x:v>NOT_AVAILABLE</x:v>
      </x:c>
      <x:c r="I1055" s="25" t="str">
        <x:v>NOT_RUN</x:v>
      </x:c>
      <x:c r="J1055" s="25" t="str">
        <x:v>NOT_RUN</x:v>
      </x:c>
      <x:c r="K1055" s="25" t="n">
        <x:v>1</x:v>
      </x:c>
      <x:c r="L1055" s="27" t="b">
        <x:v>0</x:v>
      </x:c>
      <x:c r="M1055" s="25" t="str">
        <x:v>Deepseek-flash-v4/state/Round2/status/Closure_61.json; Deepseek-flash-v4/state/Round2/shards/Closure_61.json</x:v>
      </x:c>
      <x:c r="N1055" s="25" t="str">
        <x:v>Deepseek-flash-v4/Result2/Closure_61/result.json</x:v>
      </x:c>
      <x:c r="O1055" s="25" t="str">
        <x:v>Deepseek-flash-v4/Result2/Closure_61/result.json</x:v>
      </x:c>
      <x:c r="P1055" t="str">
        <x:v>BOTH_NOT_RUN</x:v>
      </x:c>
      <x:c r="Q1055" s="21" t="str"/>
      <x:c r="R1055" s="21" t="str"/>
      <x:c r="S1055" s="21" t="str"/>
      <x:c r="T1055" s="17" t="str">
        <x:v>false</x:v>
      </x:c>
      <x:c r="U1055" s="17" t="str">
        <x:v>true</x:v>
      </x:c>
      <x:c r="V1055" s="17" t="str">
        <x:v>false</x:v>
      </x:c>
    </x:row>
    <x:row r="1056" ht="80" customHeight="1">
      <x:c r="A1056" s="25" t="str">
        <x:v>Closure</x:v>
      </x:c>
      <x:c r="B1056" s="25" t="n">
        <x:v>62</x:v>
      </x:c>
      <x:c r="C1056" s="25" t="str">
        <x:v>Round2</x:v>
      </x:c>
      <x:c r="D1056" s="25" t="str">
        <x:v>NOT_AVAILABLE</x:v>
      </x:c>
      <x:c r="E1056" s="25" t="str">
        <x:v>N/A</x:v>
      </x:c>
      <x:c r="F1056" s="26" t="str">
        <x:v>Tests exist but current coverage did not complete</x:v>
      </x:c>
      <x:c r="G1056" s="25" t="str">
        <x:v>true</x:v>
      </x:c>
      <x:c r="H1056" s="25" t="str">
        <x:v>NOT_AVAILABLE</x:v>
      </x:c>
      <x:c r="I1056" s="25" t="str">
        <x:v>NOT_RUN</x:v>
      </x:c>
      <x:c r="J1056" s="25" t="str">
        <x:v>NOT_RUN</x:v>
      </x:c>
      <x:c r="K1056" s="25" t="n">
        <x:v>1</x:v>
      </x:c>
      <x:c r="L1056" s="27" t="b">
        <x:v>0</x:v>
      </x:c>
      <x:c r="M1056" s="25" t="str">
        <x:v>Deepseek-flash-v4/state/Round2/status/Closure_62.json; Deepseek-flash-v4/state/Round2/shards/Closure_62.json</x:v>
      </x:c>
      <x:c r="N1056" s="25" t="str">
        <x:v>Deepseek-flash-v4/Result2/Closure_62/result.json</x:v>
      </x:c>
      <x:c r="O1056" s="25" t="str">
        <x:v>Deepseek-flash-v4/Result2/Closure_62/result.json</x:v>
      </x:c>
      <x:c r="P1056" t="str">
        <x:v>BOTH_NOT_RUN</x:v>
      </x:c>
      <x:c r="Q1056" s="21" t="str"/>
      <x:c r="R1056" s="21" t="str"/>
      <x:c r="S1056" s="21" t="str"/>
      <x:c r="T1056" s="17" t="str">
        <x:v>false</x:v>
      </x:c>
      <x:c r="U1056" s="17" t="str">
        <x:v>true</x:v>
      </x:c>
      <x:c r="V1056" s="17" t="str">
        <x:v>false</x:v>
      </x:c>
    </x:row>
    <x:row r="1057" ht="80" customHeight="1">
      <x:c r="A1057" s="25" t="str">
        <x:v>Closure</x:v>
      </x:c>
      <x:c r="B1057" s="25" t="n">
        <x:v>64</x:v>
      </x:c>
      <x:c r="C1057" s="25" t="str">
        <x:v>Round2</x:v>
      </x:c>
      <x:c r="D1057" s="25" t="str">
        <x:v>NOT_AVAILABLE</x:v>
      </x:c>
      <x:c r="E1057" s="25" t="str">
        <x:v>N/A</x:v>
      </x:c>
      <x:c r="F1057" s="26" t="str">
        <x:v>Tests exist but current coverage did not complete</x:v>
      </x:c>
      <x:c r="G1057" s="25" t="str">
        <x:v>true</x:v>
      </x:c>
      <x:c r="H1057" s="25" t="str">
        <x:v>NOT_AVAILABLE</x:v>
      </x:c>
      <x:c r="I1057" s="25" t="str">
        <x:v>NOT_RUN</x:v>
      </x:c>
      <x:c r="J1057" s="25" t="str">
        <x:v>NOT_RUN</x:v>
      </x:c>
      <x:c r="K1057" s="25" t="n">
        <x:v>1</x:v>
      </x:c>
      <x:c r="L1057" s="27" t="b">
        <x:v>0</x:v>
      </x:c>
      <x:c r="M1057" s="25" t="str">
        <x:v>Deepseek-flash-v4/state/Round2/status/Closure_64.json; Deepseek-flash-v4/state/Round2/shards/Closure_64.json</x:v>
      </x:c>
      <x:c r="N1057" s="25" t="str">
        <x:v>Deepseek-flash-v4/Result2/Closure_64/result.json</x:v>
      </x:c>
      <x:c r="O1057" s="25" t="str">
        <x:v>Deepseek-flash-v4/Result2/Closure_64/result.json</x:v>
      </x:c>
      <x:c r="P1057" t="str">
        <x:v>BOTH_NOT_RUN</x:v>
      </x:c>
      <x:c r="Q1057" s="21" t="str"/>
      <x:c r="R1057" s="21" t="str"/>
      <x:c r="S1057" s="21" t="str"/>
      <x:c r="T1057" s="17" t="str">
        <x:v>false</x:v>
      </x:c>
      <x:c r="U1057" s="17" t="str">
        <x:v>true</x:v>
      </x:c>
      <x:c r="V1057" s="17" t="str">
        <x:v>false</x:v>
      </x:c>
    </x:row>
    <x:row r="1058" ht="80" customHeight="1">
      <x:c r="A1058" s="25" t="str">
        <x:v>Closure</x:v>
      </x:c>
      <x:c r="B1058" s="25" t="n">
        <x:v>65</x:v>
      </x:c>
      <x:c r="C1058" s="25" t="str">
        <x:v>Round2</x:v>
      </x:c>
      <x:c r="D1058" s="25" t="str">
        <x:v>NOT_AVAILABLE</x:v>
      </x:c>
      <x:c r="E1058" s="25" t="str">
        <x:v>N/A</x:v>
      </x:c>
      <x:c r="F1058" s="26" t="str">
        <x:v>Tests exist but current coverage did not complete</x:v>
      </x:c>
      <x:c r="G1058" s="25" t="str">
        <x:v>true</x:v>
      </x:c>
      <x:c r="H1058" s="25" t="str">
        <x:v>NOT_AVAILABLE</x:v>
      </x:c>
      <x:c r="I1058" s="25" t="str">
        <x:v>NOT_RUN</x:v>
      </x:c>
      <x:c r="J1058" s="25" t="str">
        <x:v>NOT_RUN</x:v>
      </x:c>
      <x:c r="K1058" s="25" t="n">
        <x:v>1</x:v>
      </x:c>
      <x:c r="L1058" s="27" t="b">
        <x:v>0</x:v>
      </x:c>
      <x:c r="M1058" s="25" t="str">
        <x:v>Deepseek-flash-v4/state/Round2/status/Closure_65.json; Deepseek-flash-v4/state/Round2/shards/Closure_65.json</x:v>
      </x:c>
      <x:c r="N1058" s="25" t="str">
        <x:v>Deepseek-flash-v4/Result2/Closure_65/result.json</x:v>
      </x:c>
      <x:c r="O1058" s="25" t="str">
        <x:v>Deepseek-flash-v4/Result2/Closure_65/result.json</x:v>
      </x:c>
      <x:c r="P1058" t="str">
        <x:v>BOTH_NOT_RUN</x:v>
      </x:c>
      <x:c r="Q1058" s="21" t="str"/>
      <x:c r="R1058" s="21" t="str"/>
      <x:c r="S1058" s="21" t="str"/>
      <x:c r="T1058" s="17" t="str">
        <x:v>false</x:v>
      </x:c>
      <x:c r="U1058" s="17" t="str">
        <x:v>true</x:v>
      </x:c>
      <x:c r="V1058" s="17" t="str">
        <x:v>false</x:v>
      </x:c>
    </x:row>
    <x:row r="1059" ht="80" customHeight="1">
      <x:c r="A1059" s="25" t="str">
        <x:v>Closure</x:v>
      </x:c>
      <x:c r="B1059" s="25" t="n">
        <x:v>66</x:v>
      </x:c>
      <x:c r="C1059" s="25" t="str">
        <x:v>Round2</x:v>
      </x:c>
      <x:c r="D1059" s="25" t="str">
        <x:v>NOT_AVAILABLE</x:v>
      </x:c>
      <x:c r="E1059" s="25" t="str">
        <x:v>N/A</x:v>
      </x:c>
      <x:c r="F1059" s="26" t="str">
        <x:v>Tests exist but current coverage did not complete</x:v>
      </x:c>
      <x:c r="G1059" s="25" t="str">
        <x:v>true</x:v>
      </x:c>
      <x:c r="H1059" s="25" t="str">
        <x:v>NOT_AVAILABLE</x:v>
      </x:c>
      <x:c r="I1059" s="25" t="str">
        <x:v>NOT_RUN</x:v>
      </x:c>
      <x:c r="J1059" s="25" t="str">
        <x:v>NOT_RUN</x:v>
      </x:c>
      <x:c r="K1059" s="25" t="n">
        <x:v>1</x:v>
      </x:c>
      <x:c r="L1059" s="27" t="b">
        <x:v>0</x:v>
      </x:c>
      <x:c r="M1059" s="25" t="str">
        <x:v>Deepseek-flash-v4/state/Round2/status/Closure_66.json; Deepseek-flash-v4/state/Round2/shards/Closure_66.json</x:v>
      </x:c>
      <x:c r="N1059" s="25" t="str">
        <x:v>Deepseek-flash-v4/Result2/Closure_66/result.json</x:v>
      </x:c>
      <x:c r="O1059" s="25" t="str">
        <x:v>Deepseek-flash-v4/Result2/Closure_66/result.json</x:v>
      </x:c>
      <x:c r="P1059" t="str">
        <x:v>BOTH_NOT_RUN</x:v>
      </x:c>
      <x:c r="Q1059" s="21" t="str"/>
      <x:c r="R1059" s="21" t="str"/>
      <x:c r="S1059" s="21" t="str"/>
      <x:c r="T1059" s="17" t="str">
        <x:v>false</x:v>
      </x:c>
      <x:c r="U1059" s="17" t="str">
        <x:v>true</x:v>
      </x:c>
      <x:c r="V1059" s="17" t="str">
        <x:v>false</x:v>
      </x:c>
    </x:row>
    <x:row r="1060" ht="80" customHeight="1">
      <x:c r="A1060" s="25" t="str">
        <x:v>Closure</x:v>
      </x:c>
      <x:c r="B1060" s="25" t="n">
        <x:v>67</x:v>
      </x:c>
      <x:c r="C1060" s="25" t="str">
        <x:v>Round2</x:v>
      </x:c>
      <x:c r="D1060" s="25" t="str">
        <x:v>NOT_AVAILABLE</x:v>
      </x:c>
      <x:c r="E1060" s="25" t="str">
        <x:v>N/A</x:v>
      </x:c>
      <x:c r="F1060" s="26" t="str">
        <x:v>Tests exist but current coverage did not complete</x:v>
      </x:c>
      <x:c r="G1060" s="25" t="str">
        <x:v>true</x:v>
      </x:c>
      <x:c r="H1060" s="25" t="str">
        <x:v>NOT_AVAILABLE</x:v>
      </x:c>
      <x:c r="I1060" s="25" t="str">
        <x:v>NOT_RUN</x:v>
      </x:c>
      <x:c r="J1060" s="25" t="str">
        <x:v>NOT_RUN</x:v>
      </x:c>
      <x:c r="K1060" s="25" t="n">
        <x:v>1</x:v>
      </x:c>
      <x:c r="L1060" s="27" t="b">
        <x:v>0</x:v>
      </x:c>
      <x:c r="M1060" s="25" t="str">
        <x:v>Deepseek-flash-v4/state/Round2/status/Closure_67.json; Deepseek-flash-v4/state/Round2/shards/Closure_67.json</x:v>
      </x:c>
      <x:c r="N1060" s="25" t="str">
        <x:v>Deepseek-flash-v4/Result2/Closure_67/result.json</x:v>
      </x:c>
      <x:c r="O1060" s="25" t="str">
        <x:v>Deepseek-flash-v4/Result2/Closure_67/result.json</x:v>
      </x:c>
      <x:c r="P1060" t="str">
        <x:v>BOTH_NOT_RUN</x:v>
      </x:c>
      <x:c r="Q1060" s="21" t="str"/>
      <x:c r="R1060" s="21" t="str"/>
      <x:c r="S1060" s="21" t="str"/>
      <x:c r="T1060" s="17" t="str">
        <x:v>false</x:v>
      </x:c>
      <x:c r="U1060" s="17" t="str">
        <x:v>true</x:v>
      </x:c>
      <x:c r="V1060" s="17" t="str">
        <x:v>false</x:v>
      </x:c>
    </x:row>
    <x:row r="1061" ht="80" customHeight="1">
      <x:c r="A1061" s="25" t="str">
        <x:v>Closure</x:v>
      </x:c>
      <x:c r="B1061" s="25" t="n">
        <x:v>68</x:v>
      </x:c>
      <x:c r="C1061" s="25" t="str">
        <x:v>Round2</x:v>
      </x:c>
      <x:c r="D1061" s="25" t="str">
        <x:v>NOT_AVAILABLE</x:v>
      </x:c>
      <x:c r="E1061" s="25" t="str">
        <x:v>N/A</x:v>
      </x:c>
      <x:c r="F1061" s="26" t="str">
        <x:v>Tests exist but current coverage did not complete</x:v>
      </x:c>
      <x:c r="G1061" s="25" t="str">
        <x:v>true</x:v>
      </x:c>
      <x:c r="H1061" s="25" t="str">
        <x:v>NOT_AVAILABLE</x:v>
      </x:c>
      <x:c r="I1061" s="25" t="str">
        <x:v>NOT_RUN</x:v>
      </x:c>
      <x:c r="J1061" s="25" t="str">
        <x:v>NOT_RUN</x:v>
      </x:c>
      <x:c r="K1061" s="25" t="n">
        <x:v>1</x:v>
      </x:c>
      <x:c r="L1061" s="27" t="b">
        <x:v>0</x:v>
      </x:c>
      <x:c r="M1061" s="25" t="str">
        <x:v>Deepseek-flash-v4/state/Round2/status/Closure_68.json; Deepseek-flash-v4/state/Round2/shards/Closure_68.json</x:v>
      </x:c>
      <x:c r="N1061" s="25" t="str">
        <x:v>Deepseek-flash-v4/Result2/Closure_68/result.json</x:v>
      </x:c>
      <x:c r="O1061" s="25" t="str">
        <x:v>Deepseek-flash-v4/Result2/Closure_68/result.json</x:v>
      </x:c>
      <x:c r="P1061" t="str">
        <x:v>BOTH_NOT_RUN</x:v>
      </x:c>
      <x:c r="Q1061" s="21" t="str"/>
      <x:c r="R1061" s="21" t="str"/>
      <x:c r="S1061" s="21" t="str"/>
      <x:c r="T1061" s="17" t="str">
        <x:v>false</x:v>
      </x:c>
      <x:c r="U1061" s="17" t="str">
        <x:v>true</x:v>
      </x:c>
      <x:c r="V1061" s="17" t="str">
        <x:v>false</x:v>
      </x:c>
    </x:row>
    <x:row r="1062" ht="80" customHeight="1">
      <x:c r="A1062" s="25" t="str">
        <x:v>Closure</x:v>
      </x:c>
      <x:c r="B1062" s="25" t="n">
        <x:v>69</x:v>
      </x:c>
      <x:c r="C1062" s="25" t="str">
        <x:v>Round2</x:v>
      </x:c>
      <x:c r="D1062" s="25" t="str">
        <x:v>NOT_AVAILABLE</x:v>
      </x:c>
      <x:c r="E1062" s="25" t="str">
        <x:v>N/A</x:v>
      </x:c>
      <x:c r="F1062" s="26" t="str">
        <x:v>Tests exist but current coverage did not complete</x:v>
      </x:c>
      <x:c r="G1062" s="25" t="str">
        <x:v>true</x:v>
      </x:c>
      <x:c r="H1062" s="25" t="str">
        <x:v>NOT_AVAILABLE</x:v>
      </x:c>
      <x:c r="I1062" s="25" t="str">
        <x:v>NOT_RUN</x:v>
      </x:c>
      <x:c r="J1062" s="25" t="str">
        <x:v>NOT_RUN</x:v>
      </x:c>
      <x:c r="K1062" s="25" t="n">
        <x:v>1</x:v>
      </x:c>
      <x:c r="L1062" s="27" t="b">
        <x:v>0</x:v>
      </x:c>
      <x:c r="M1062" s="25" t="str">
        <x:v>Deepseek-flash-v4/state/Round2/status/Closure_69.json; Deepseek-flash-v4/state/Round2/shards/Closure_69.json</x:v>
      </x:c>
      <x:c r="N1062" s="25" t="str">
        <x:v>Deepseek-flash-v4/Result2/Closure_69/result.json</x:v>
      </x:c>
      <x:c r="O1062" s="25" t="str">
        <x:v>Deepseek-flash-v4/Result2/Closure_69/result.json</x:v>
      </x:c>
      <x:c r="P1062" t="str">
        <x:v>BOTH_NOT_RUN</x:v>
      </x:c>
      <x:c r="Q1062" s="21" t="str"/>
      <x:c r="R1062" s="21" t="str"/>
      <x:c r="S1062" s="21" t="str"/>
      <x:c r="T1062" s="17" t="str">
        <x:v>false</x:v>
      </x:c>
      <x:c r="U1062" s="17" t="str">
        <x:v>true</x:v>
      </x:c>
      <x:c r="V1062" s="17" t="str">
        <x:v>false</x:v>
      </x:c>
    </x:row>
    <x:row r="1063" ht="80" customHeight="1">
      <x:c r="A1063" s="25" t="str">
        <x:v>Closure</x:v>
      </x:c>
      <x:c r="B1063" s="25" t="n">
        <x:v>7</x:v>
      </x:c>
      <x:c r="C1063" s="25" t="str">
        <x:v>Round2</x:v>
      </x:c>
      <x:c r="D1063" s="25" t="str">
        <x:v>NOT_AVAILABLE</x:v>
      </x:c>
      <x:c r="E1063" s="25" t="str">
        <x:v>N/A</x:v>
      </x:c>
      <x:c r="F1063" s="26" t="str">
        <x:v>Tests exist but current coverage did not complete</x:v>
      </x:c>
      <x:c r="G1063" s="25" t="str">
        <x:v>true</x:v>
      </x:c>
      <x:c r="H1063" s="25" t="str">
        <x:v>NOT_AVAILABLE</x:v>
      </x:c>
      <x:c r="I1063" s="25" t="str">
        <x:v>NOT_RUN</x:v>
      </x:c>
      <x:c r="J1063" s="25" t="str">
        <x:v>NOT_RUN</x:v>
      </x:c>
      <x:c r="K1063" s="25" t="n">
        <x:v>1</x:v>
      </x:c>
      <x:c r="L1063" s="27" t="b">
        <x:v>0</x:v>
      </x:c>
      <x:c r="M1063" s="25" t="str">
        <x:v>Deepseek-flash-v4/state/Round2/status/Closure_7.json; Deepseek-flash-v4/state/Round2/shards/Closure_7.json</x:v>
      </x:c>
      <x:c r="N1063" s="25" t="str">
        <x:v>Deepseek-flash-v4/Result2/Closure_7/result.json</x:v>
      </x:c>
      <x:c r="O1063" s="25" t="str">
        <x:v>Deepseek-flash-v4/Result2/Closure_7/result.json</x:v>
      </x:c>
      <x:c r="P1063" t="str">
        <x:v>BOTH_NOT_RUN</x:v>
      </x:c>
      <x:c r="Q1063" s="21" t="str"/>
      <x:c r="R1063" s="21" t="str"/>
      <x:c r="S1063" s="21" t="str"/>
      <x:c r="T1063" s="17" t="str">
        <x:v>false</x:v>
      </x:c>
      <x:c r="U1063" s="17" t="str">
        <x:v>true</x:v>
      </x:c>
      <x:c r="V1063" s="17" t="str">
        <x:v>false</x:v>
      </x:c>
    </x:row>
    <x:row r="1064" ht="80" customHeight="1">
      <x:c r="A1064" s="25" t="str">
        <x:v>Closure</x:v>
      </x:c>
      <x:c r="B1064" s="25" t="n">
        <x:v>70</x:v>
      </x:c>
      <x:c r="C1064" s="25" t="str">
        <x:v>Round2</x:v>
      </x:c>
      <x:c r="D1064" s="25" t="str">
        <x:v>NOT_AVAILABLE</x:v>
      </x:c>
      <x:c r="E1064" s="25" t="str">
        <x:v>N/A</x:v>
      </x:c>
      <x:c r="F1064" s="26" t="str">
        <x:v>Tests exist but current coverage did not complete</x:v>
      </x:c>
      <x:c r="G1064" s="25" t="str">
        <x:v>true</x:v>
      </x:c>
      <x:c r="H1064" s="25" t="str">
        <x:v>NOT_AVAILABLE</x:v>
      </x:c>
      <x:c r="I1064" s="25" t="str">
        <x:v>NOT_RUN</x:v>
      </x:c>
      <x:c r="J1064" s="25" t="str">
        <x:v>NOT_RUN</x:v>
      </x:c>
      <x:c r="K1064" s="25" t="n">
        <x:v>1</x:v>
      </x:c>
      <x:c r="L1064" s="27" t="b">
        <x:v>0</x:v>
      </x:c>
      <x:c r="M1064" s="25" t="str">
        <x:v>Deepseek-flash-v4/state/Round2/status/Closure_70.json; Deepseek-flash-v4/state/Round2/shards/Closure_70.json</x:v>
      </x:c>
      <x:c r="N1064" s="25" t="str">
        <x:v>Deepseek-flash-v4/Result2/Closure_70/result.json</x:v>
      </x:c>
      <x:c r="O1064" s="25" t="str">
        <x:v>Deepseek-flash-v4/Result2/Closure_70/result.json</x:v>
      </x:c>
      <x:c r="P1064" t="str">
        <x:v>BOTH_NOT_RUN</x:v>
      </x:c>
      <x:c r="Q1064" s="21" t="str"/>
      <x:c r="R1064" s="21" t="str"/>
      <x:c r="S1064" s="21" t="str"/>
      <x:c r="T1064" s="17" t="str">
        <x:v>false</x:v>
      </x:c>
      <x:c r="U1064" s="17" t="str">
        <x:v>true</x:v>
      </x:c>
      <x:c r="V1064" s="17" t="str">
        <x:v>false</x:v>
      </x:c>
    </x:row>
    <x:row r="1065" ht="80" customHeight="1">
      <x:c r="A1065" s="25" t="str">
        <x:v>Closure</x:v>
      </x:c>
      <x:c r="B1065" s="25" t="n">
        <x:v>71</x:v>
      </x:c>
      <x:c r="C1065" s="25" t="str">
        <x:v>Round2</x:v>
      </x:c>
      <x:c r="D1065" s="25" t="str">
        <x:v>NOT_AVAILABLE</x:v>
      </x:c>
      <x:c r="E1065" s="25" t="str">
        <x:v>N/A</x:v>
      </x:c>
      <x:c r="F1065" s="26" t="str">
        <x:v>Tests exist but current coverage did not complete</x:v>
      </x:c>
      <x:c r="G1065" s="25" t="str">
        <x:v>true</x:v>
      </x:c>
      <x:c r="H1065" s="25" t="str">
        <x:v>NOT_AVAILABLE</x:v>
      </x:c>
      <x:c r="I1065" s="25" t="str">
        <x:v>NOT_RUN</x:v>
      </x:c>
      <x:c r="J1065" s="25" t="str">
        <x:v>NOT_RUN</x:v>
      </x:c>
      <x:c r="K1065" s="25" t="n">
        <x:v>1</x:v>
      </x:c>
      <x:c r="L1065" s="27" t="b">
        <x:v>0</x:v>
      </x:c>
      <x:c r="M1065" s="25" t="str">
        <x:v>Deepseek-flash-v4/state/Round2/status/Closure_71.json; Deepseek-flash-v4/state/Round2/shards/Closure_71.json</x:v>
      </x:c>
      <x:c r="N1065" s="25" t="str">
        <x:v>Deepseek-flash-v4/Result2/Closure_71/result.json</x:v>
      </x:c>
      <x:c r="O1065" s="25" t="str">
        <x:v>Deepseek-flash-v4/Result2/Closure_71/result.json</x:v>
      </x:c>
      <x:c r="P1065" t="str">
        <x:v>BOTH_NOT_RUN</x:v>
      </x:c>
      <x:c r="Q1065" s="21" t="str"/>
      <x:c r="R1065" s="21" t="str"/>
      <x:c r="S1065" s="21" t="str"/>
      <x:c r="T1065" s="17" t="str">
        <x:v>false</x:v>
      </x:c>
      <x:c r="U1065" s="17" t="str">
        <x:v>true</x:v>
      </x:c>
      <x:c r="V1065" s="17" t="str">
        <x:v>false</x:v>
      </x:c>
    </x:row>
    <x:row r="1066" ht="80" customHeight="1">
      <x:c r="A1066" s="25" t="str">
        <x:v>Closure</x:v>
      </x:c>
      <x:c r="B1066" s="25" t="n">
        <x:v>72</x:v>
      </x:c>
      <x:c r="C1066" s="25" t="str">
        <x:v>Round2</x:v>
      </x:c>
      <x:c r="D1066" s="25" t="str">
        <x:v>NOT_AVAILABLE</x:v>
      </x:c>
      <x:c r="E1066" s="25" t="str">
        <x:v>N/A</x:v>
      </x:c>
      <x:c r="F1066" s="26" t="str">
        <x:v>Tests exist but current coverage did not complete</x:v>
      </x:c>
      <x:c r="G1066" s="25" t="str">
        <x:v>true</x:v>
      </x:c>
      <x:c r="H1066" s="25" t="str">
        <x:v>NOT_AVAILABLE</x:v>
      </x:c>
      <x:c r="I1066" s="25" t="str">
        <x:v>NOT_RUN</x:v>
      </x:c>
      <x:c r="J1066" s="25" t="str">
        <x:v>NOT_RUN</x:v>
      </x:c>
      <x:c r="K1066" s="25" t="n">
        <x:v>2</x:v>
      </x:c>
      <x:c r="L1066" s="27" t="b">
        <x:v>0</x:v>
      </x:c>
      <x:c r="M1066" s="25" t="str">
        <x:v>Deepseek-flash-v4/state/Round2/status/Closure_72.json; Deepseek-flash-v4/state/Round2/shards/Closure_72.json</x:v>
      </x:c>
      <x:c r="N1066" s="25" t="str">
        <x:v>Deepseek-flash-v4/Result2/Closure_72/result.json</x:v>
      </x:c>
      <x:c r="O1066" s="25" t="str">
        <x:v>Deepseek-flash-v4/Result2/Closure_72/result.json</x:v>
      </x:c>
      <x:c r="P1066" t="str">
        <x:v>BOTH_NOT_RUN</x:v>
      </x:c>
      <x:c r="Q1066" s="21" t="str"/>
      <x:c r="R1066" s="21" t="str"/>
      <x:c r="S1066" s="21" t="str"/>
      <x:c r="T1066" s="17" t="str">
        <x:v>false</x:v>
      </x:c>
      <x:c r="U1066" s="17" t="str">
        <x:v>true</x:v>
      </x:c>
      <x:c r="V1066" s="17" t="str">
        <x:v>false</x:v>
      </x:c>
    </x:row>
    <x:row r="1067" ht="80" customHeight="1">
      <x:c r="A1067" s="25" t="str">
        <x:v>Closure</x:v>
      </x:c>
      <x:c r="B1067" s="25" t="n">
        <x:v>73</x:v>
      </x:c>
      <x:c r="C1067" s="25" t="str">
        <x:v>Round2</x:v>
      </x:c>
      <x:c r="D1067" s="25" t="str">
        <x:v>NOT_AVAILABLE</x:v>
      </x:c>
      <x:c r="E1067" s="25" t="str">
        <x:v>N/A</x:v>
      </x:c>
      <x:c r="F1067" s="26" t="str">
        <x:v>Tests exist but current coverage did not complete</x:v>
      </x:c>
      <x:c r="G1067" s="25" t="str">
        <x:v>true</x:v>
      </x:c>
      <x:c r="H1067" s="25" t="str">
        <x:v>NOT_AVAILABLE</x:v>
      </x:c>
      <x:c r="I1067" s="25" t="str">
        <x:v>NOT_RUN</x:v>
      </x:c>
      <x:c r="J1067" s="25" t="str">
        <x:v>NOT_RUN</x:v>
      </x:c>
      <x:c r="K1067" s="25" t="n">
        <x:v>1</x:v>
      </x:c>
      <x:c r="L1067" s="27" t="b">
        <x:v>0</x:v>
      </x:c>
      <x:c r="M1067" s="25" t="str">
        <x:v>Deepseek-flash-v4/state/Round2/status/Closure_73.json; Deepseek-flash-v4/state/Round2/shards/Closure_73.json</x:v>
      </x:c>
      <x:c r="N1067" s="25" t="str">
        <x:v>Deepseek-flash-v4/Result2/Closure_73/result.json</x:v>
      </x:c>
      <x:c r="O1067" s="25" t="str">
        <x:v>Deepseek-flash-v4/Result2/Closure_73/result.json</x:v>
      </x:c>
      <x:c r="P1067" t="str">
        <x:v>BOTH_NOT_RUN</x:v>
      </x:c>
      <x:c r="Q1067" s="21" t="str"/>
      <x:c r="R1067" s="21" t="str"/>
      <x:c r="S1067" s="21" t="str"/>
      <x:c r="T1067" s="17" t="str">
        <x:v>false</x:v>
      </x:c>
      <x:c r="U1067" s="17" t="str">
        <x:v>true</x:v>
      </x:c>
      <x:c r="V1067" s="17" t="str">
        <x:v>false</x:v>
      </x:c>
    </x:row>
    <x:row r="1068" ht="80" customHeight="1">
      <x:c r="A1068" s="25" t="str">
        <x:v>Closure</x:v>
      </x:c>
      <x:c r="B1068" s="25" t="n">
        <x:v>74</x:v>
      </x:c>
      <x:c r="C1068" s="25" t="str">
        <x:v>Round2</x:v>
      </x:c>
      <x:c r="D1068" s="25" t="str">
        <x:v>INCONCLUSIVE</x:v>
      </x:c>
      <x:c r="E1068" s="25" t="str">
        <x:v>N/A</x:v>
      </x:c>
      <x:c r="F1068" s="26" t="str">
        <x:v>Fixed also failed; assertion failure cannot be attributed to this bug</x:v>
      </x:c>
      <x:c r="G1068" s="25" t="str">
        <x:v>true</x:v>
      </x:c>
      <x:c r="H1068" s="25" t="str">
        <x:v>INCONCLUSIVE</x:v>
      </x:c>
      <x:c r="I1068" s="25" t="str">
        <x:v>FAIL</x:v>
      </x:c>
      <x:c r="J1068" s="25" t="str">
        <x:v>FAIL</x:v>
      </x:c>
      <x:c r="K1068" s="25" t="n">
        <x:v>1</x:v>
      </x:c>
      <x:c r="L1068" s="27" t="b">
        <x:v>0</x:v>
      </x:c>
      <x:c r="M1068" s="25" t="str">
        <x:v>Deepseek-flash-v4/state/Round2/status/Closure_74.json; Deepseek-flash-v4/state/Round2/shards/Closure_74.json</x:v>
      </x:c>
      <x:c r="N1068" s="25" t="str">
        <x:v>Deepseek-flash-v4/Result2/Closure_74/result.json</x:v>
      </x:c>
      <x:c r="O1068" s="25" t="str">
        <x:v>Deepseek-flash-v4/Result2/Closure_74/result.json</x:v>
      </x:c>
      <x:c r="P1068"/>
      <x:c r="Q1068" s="21" t="str"/>
      <x:c r="R1068" s="21" t="str"/>
      <x:c r="S1068" s="21" t="str"/>
      <x:c r="T1068" s="17" t="str">
        <x:v>false</x:v>
      </x:c>
      <x:c r="U1068" s="17" t="str">
        <x:v>true</x:v>
      </x:c>
      <x:c r="V1068" s="17" t="str">
        <x:v>false</x:v>
      </x:c>
    </x:row>
    <x:row r="1069" ht="80" customHeight="1">
      <x:c r="A1069" s="25" t="str">
        <x:v>Closure</x:v>
      </x:c>
      <x:c r="B1069" s="25" t="n">
        <x:v>75</x:v>
      </x:c>
      <x:c r="C1069" s="25" t="str">
        <x:v>Round2</x:v>
      </x:c>
      <x:c r="D1069" s="25" t="str">
        <x:v>NOT_AVAILABLE</x:v>
      </x:c>
      <x:c r="E1069" s="25" t="str">
        <x:v>N/A</x:v>
      </x:c>
      <x:c r="F1069" s="26" t="str">
        <x:v>Tests exist but current coverage did not complete</x:v>
      </x:c>
      <x:c r="G1069" s="25" t="str">
        <x:v>true</x:v>
      </x:c>
      <x:c r="H1069" s="25" t="str">
        <x:v>NOT_AVAILABLE</x:v>
      </x:c>
      <x:c r="I1069" s="25" t="str">
        <x:v>NOT_RUN</x:v>
      </x:c>
      <x:c r="J1069" s="25" t="str">
        <x:v>NOT_RUN</x:v>
      </x:c>
      <x:c r="K1069" s="25" t="n">
        <x:v>1</x:v>
      </x:c>
      <x:c r="L1069" s="27" t="b">
        <x:v>0</x:v>
      </x:c>
      <x:c r="M1069" s="25" t="str">
        <x:v>Deepseek-flash-v4/state/Round2/status/Closure_75.json; Deepseek-flash-v4/state/Round2/shards/Closure_75.json</x:v>
      </x:c>
      <x:c r="N1069" s="25" t="str">
        <x:v>Deepseek-flash-v4/Result2/Closure_75/result.json</x:v>
      </x:c>
      <x:c r="O1069" s="25" t="str">
        <x:v>Deepseek-flash-v4/Result2/Closure_75/result.json</x:v>
      </x:c>
      <x:c r="P1069" t="str">
        <x:v>BOTH_NOT_RUN</x:v>
      </x:c>
      <x:c r="Q1069" s="21" t="str"/>
      <x:c r="R1069" s="21" t="str"/>
      <x:c r="S1069" s="21" t="str"/>
      <x:c r="T1069" s="17" t="str">
        <x:v>false</x:v>
      </x:c>
      <x:c r="U1069" s="17" t="str">
        <x:v>true</x:v>
      </x:c>
      <x:c r="V1069" s="17" t="str">
        <x:v>false</x:v>
      </x:c>
    </x:row>
    <x:row r="1070" ht="80" customHeight="1">
      <x:c r="A1070" s="25" t="str">
        <x:v>Closure</x:v>
      </x:c>
      <x:c r="B1070" s="25" t="n">
        <x:v>76</x:v>
      </x:c>
      <x:c r="C1070" s="25" t="str">
        <x:v>Round2</x:v>
      </x:c>
      <x:c r="D1070" s="25" t="str">
        <x:v>NOT_AVAILABLE</x:v>
      </x:c>
      <x:c r="E1070" s="25" t="str">
        <x:v>N/A</x:v>
      </x:c>
      <x:c r="F1070" s="26" t="str">
        <x:v>Tests exist but current coverage did not complete</x:v>
      </x:c>
      <x:c r="G1070" s="25" t="str">
        <x:v>true</x:v>
      </x:c>
      <x:c r="H1070" s="25" t="str">
        <x:v>NOT_AVAILABLE</x:v>
      </x:c>
      <x:c r="I1070" s="25" t="str">
        <x:v>NOT_RUN</x:v>
      </x:c>
      <x:c r="J1070" s="25" t="str">
        <x:v>NOT_RUN</x:v>
      </x:c>
      <x:c r="K1070" s="25" t="n">
        <x:v>1</x:v>
      </x:c>
      <x:c r="L1070" s="27" t="b">
        <x:v>0</x:v>
      </x:c>
      <x:c r="M1070" s="25" t="str">
        <x:v>Deepseek-flash-v4/state/Round2/status/Closure_76.json; Deepseek-flash-v4/state/Round2/shards/Closure_76.json</x:v>
      </x:c>
      <x:c r="N1070" s="25" t="str">
        <x:v>Deepseek-flash-v4/Result2/Closure_76/result.json</x:v>
      </x:c>
      <x:c r="O1070" s="25" t="str">
        <x:v>Deepseek-flash-v4/Result2/Closure_76/result.json</x:v>
      </x:c>
      <x:c r="P1070" t="str">
        <x:v>BOTH_NOT_RUN</x:v>
      </x:c>
      <x:c r="Q1070" s="21" t="str"/>
      <x:c r="R1070" s="21" t="str"/>
      <x:c r="S1070" s="21" t="str"/>
      <x:c r="T1070" s="17" t="str">
        <x:v>false</x:v>
      </x:c>
      <x:c r="U1070" s="17" t="str">
        <x:v>true</x:v>
      </x:c>
      <x:c r="V1070" s="17" t="str">
        <x:v>false</x:v>
      </x:c>
    </x:row>
    <x:row r="1071" ht="80" customHeight="1">
      <x:c r="A1071" s="25" t="str">
        <x:v>Closure</x:v>
      </x:c>
      <x:c r="B1071" s="25" t="n">
        <x:v>77</x:v>
      </x:c>
      <x:c r="C1071" s="25" t="str">
        <x:v>Round2</x:v>
      </x:c>
      <x:c r="D1071" s="25" t="str">
        <x:v>NOT_AVAILABLE</x:v>
      </x:c>
      <x:c r="E1071" s="25" t="str">
        <x:v>N/A</x:v>
      </x:c>
      <x:c r="F1071" s="26" t="str">
        <x:v>Tests exist but current coverage did not complete</x:v>
      </x:c>
      <x:c r="G1071" s="25" t="str">
        <x:v>true</x:v>
      </x:c>
      <x:c r="H1071" s="25" t="str">
        <x:v>NOT_AVAILABLE</x:v>
      </x:c>
      <x:c r="I1071" s="25" t="str">
        <x:v>NOT_RUN</x:v>
      </x:c>
      <x:c r="J1071" s="25" t="str">
        <x:v>NOT_RUN</x:v>
      </x:c>
      <x:c r="K1071" s="25" t="n">
        <x:v>1</x:v>
      </x:c>
      <x:c r="L1071" s="27" t="b">
        <x:v>0</x:v>
      </x:c>
      <x:c r="M1071" s="25" t="str">
        <x:v>Deepseek-flash-v4/state/Round2/status/Closure_77.json; Deepseek-flash-v4/state/Round2/shards/Closure_77.json</x:v>
      </x:c>
      <x:c r="N1071" s="25" t="str">
        <x:v>Deepseek-flash-v4/Result2/Closure_77/result.json</x:v>
      </x:c>
      <x:c r="O1071" s="25" t="str">
        <x:v>Deepseek-flash-v4/Result2/Closure_77/result.json</x:v>
      </x:c>
      <x:c r="P1071" t="str">
        <x:v>BOTH_NOT_RUN</x:v>
      </x:c>
      <x:c r="Q1071" s="21" t="str"/>
      <x:c r="R1071" s="21" t="str"/>
      <x:c r="S1071" s="21" t="str"/>
      <x:c r="T1071" s="17" t="str">
        <x:v>false</x:v>
      </x:c>
      <x:c r="U1071" s="17" t="str">
        <x:v>true</x:v>
      </x:c>
      <x:c r="V1071" s="17" t="str">
        <x:v>false</x:v>
      </x:c>
    </x:row>
    <x:row r="1072" ht="80" customHeight="1">
      <x:c r="A1072" s="25" t="str">
        <x:v>Closure</x:v>
      </x:c>
      <x:c r="B1072" s="25" t="n">
        <x:v>78</x:v>
      </x:c>
      <x:c r="C1072" s="25" t="str">
        <x:v>Round2</x:v>
      </x:c>
      <x:c r="D1072" s="25" t="str">
        <x:v>NOT_AVAILABLE</x:v>
      </x:c>
      <x:c r="E1072" s="25" t="str">
        <x:v>N/A</x:v>
      </x:c>
      <x:c r="F1072" s="26" t="str">
        <x:v>Tests exist but current coverage did not complete</x:v>
      </x:c>
      <x:c r="G1072" s="25" t="str">
        <x:v>true</x:v>
      </x:c>
      <x:c r="H1072" s="25" t="str">
        <x:v>NOT_AVAILABLE</x:v>
      </x:c>
      <x:c r="I1072" s="25" t="str">
        <x:v>NOT_RUN</x:v>
      </x:c>
      <x:c r="J1072" s="25" t="str">
        <x:v>NOT_RUN</x:v>
      </x:c>
      <x:c r="K1072" s="25" t="n">
        <x:v>1</x:v>
      </x:c>
      <x:c r="L1072" s="27" t="b">
        <x:v>0</x:v>
      </x:c>
      <x:c r="M1072" s="25" t="str">
        <x:v>Deepseek-flash-v4/state/Round2/status/Closure_78.json; Deepseek-flash-v4/state/Round2/shards/Closure_78.json</x:v>
      </x:c>
      <x:c r="N1072" s="25" t="str">
        <x:v>Deepseek-flash-v4/Result2/Closure_78/result.json</x:v>
      </x:c>
      <x:c r="O1072" s="25" t="str">
        <x:v>Deepseek-flash-v4/Result2/Closure_78/result.json</x:v>
      </x:c>
      <x:c r="P1072" t="str">
        <x:v>BOTH_NOT_RUN</x:v>
      </x:c>
      <x:c r="Q1072" s="21" t="str"/>
      <x:c r="R1072" s="21" t="str"/>
      <x:c r="S1072" s="21" t="str"/>
      <x:c r="T1072" s="17" t="str">
        <x:v>false</x:v>
      </x:c>
      <x:c r="U1072" s="17" t="str">
        <x:v>true</x:v>
      </x:c>
      <x:c r="V1072" s="17" t="str">
        <x:v>false</x:v>
      </x:c>
    </x:row>
    <x:row r="1073" ht="80" customHeight="1">
      <x:c r="A1073" s="25" t="str">
        <x:v>Closure</x:v>
      </x:c>
      <x:c r="B1073" s="25" t="n">
        <x:v>79</x:v>
      </x:c>
      <x:c r="C1073" s="25" t="str">
        <x:v>Round2</x:v>
      </x:c>
      <x:c r="D1073" s="25" t="str">
        <x:v>NOT_AVAILABLE</x:v>
      </x:c>
      <x:c r="E1073" s="25" t="str">
        <x:v>N/A</x:v>
      </x:c>
      <x:c r="F1073" s="26" t="str">
        <x:v>Tests exist but current coverage did not complete</x:v>
      </x:c>
      <x:c r="G1073" s="25" t="str">
        <x:v>true</x:v>
      </x:c>
      <x:c r="H1073" s="25" t="str">
        <x:v>NOT_AVAILABLE</x:v>
      </x:c>
      <x:c r="I1073" s="25" t="str">
        <x:v>NOT_RUN</x:v>
      </x:c>
      <x:c r="J1073" s="25" t="str">
        <x:v>NOT_RUN</x:v>
      </x:c>
      <x:c r="K1073" s="25" t="n">
        <x:v>2</x:v>
      </x:c>
      <x:c r="L1073" s="27" t="b">
        <x:v>0</x:v>
      </x:c>
      <x:c r="M1073" s="25" t="str">
        <x:v>Deepseek-flash-v4/state/Round2/status/Closure_79.json; Deepseek-flash-v4/state/Round2/shards/Closure_79.json</x:v>
      </x:c>
      <x:c r="N1073" s="25" t="str">
        <x:v>Deepseek-flash-v4/Result2/Closure_79/result.json</x:v>
      </x:c>
      <x:c r="O1073" s="25" t="str">
        <x:v>Deepseek-flash-v4/Result2/Closure_79/result.json</x:v>
      </x:c>
      <x:c r="P1073" t="str">
        <x:v>BOTH_NOT_RUN</x:v>
      </x:c>
      <x:c r="Q1073" s="21" t="str"/>
      <x:c r="R1073" s="21" t="str"/>
      <x:c r="S1073" s="21" t="str"/>
      <x:c r="T1073" s="17" t="str">
        <x:v>false</x:v>
      </x:c>
      <x:c r="U1073" s="17" t="str">
        <x:v>true</x:v>
      </x:c>
      <x:c r="V1073" s="17" t="str">
        <x:v>false</x:v>
      </x:c>
    </x:row>
    <x:row r="1074" ht="80" customHeight="1">
      <x:c r="A1074" s="25" t="str">
        <x:v>Closure</x:v>
      </x:c>
      <x:c r="B1074" s="25" t="n">
        <x:v>8</x:v>
      </x:c>
      <x:c r="C1074" s="25" t="str">
        <x:v>Round2</x:v>
      </x:c>
      <x:c r="D1074" s="25" t="str">
        <x:v>NOT_AVAILABLE</x:v>
      </x:c>
      <x:c r="E1074" s="25" t="str">
        <x:v>N/A</x:v>
      </x:c>
      <x:c r="F1074" s="26" t="str">
        <x:v>Tests exist but current coverage did not complete</x:v>
      </x:c>
      <x:c r="G1074" s="25" t="str">
        <x:v>true</x:v>
      </x:c>
      <x:c r="H1074" s="25" t="str">
        <x:v>NOT_AVAILABLE</x:v>
      </x:c>
      <x:c r="I1074" s="25" t="str">
        <x:v>NOT_RUN</x:v>
      </x:c>
      <x:c r="J1074" s="25" t="str">
        <x:v>NOT_RUN</x:v>
      </x:c>
      <x:c r="K1074" s="25" t="n">
        <x:v>1</x:v>
      </x:c>
      <x:c r="L1074" s="27" t="b">
        <x:v>0</x:v>
      </x:c>
      <x:c r="M1074" s="25" t="str">
        <x:v>Deepseek-flash-v4/state/Round2/status/Closure_8.json; Deepseek-flash-v4/state/Round2/shards/Closure_8.json</x:v>
      </x:c>
      <x:c r="N1074" s="25" t="str">
        <x:v>Deepseek-flash-v4/Result2/Closure_8/result.json</x:v>
      </x:c>
      <x:c r="O1074" s="25" t="str">
        <x:v>Deepseek-flash-v4/Result2/Closure_8/result.json</x:v>
      </x:c>
      <x:c r="P1074" t="str">
        <x:v>BOTH_NOT_RUN</x:v>
      </x:c>
      <x:c r="Q1074" s="21" t="str"/>
      <x:c r="R1074" s="21" t="str"/>
      <x:c r="S1074" s="21" t="str"/>
      <x:c r="T1074" s="17" t="str">
        <x:v>false</x:v>
      </x:c>
      <x:c r="U1074" s="17" t="str">
        <x:v>true</x:v>
      </x:c>
      <x:c r="V1074" s="17" t="str">
        <x:v>false</x:v>
      </x:c>
    </x:row>
    <x:row r="1075" ht="80" customHeight="1">
      <x:c r="A1075" s="25" t="str">
        <x:v>Closure</x:v>
      </x:c>
      <x:c r="B1075" s="25" t="n">
        <x:v>80</x:v>
      </x:c>
      <x:c r="C1075" s="25" t="str">
        <x:v>Round2</x:v>
      </x:c>
      <x:c r="D1075" s="25" t="str">
        <x:v>NOT_AVAILABLE</x:v>
      </x:c>
      <x:c r="E1075" s="25" t="str">
        <x:v>N/A</x:v>
      </x:c>
      <x:c r="F1075" s="26" t="str">
        <x:v>Tests exist but current coverage did not complete</x:v>
      </x:c>
      <x:c r="G1075" s="25" t="str">
        <x:v>true</x:v>
      </x:c>
      <x:c r="H1075" s="25" t="str">
        <x:v>NOT_AVAILABLE</x:v>
      </x:c>
      <x:c r="I1075" s="25" t="str">
        <x:v>NOT_RUN</x:v>
      </x:c>
      <x:c r="J1075" s="25" t="str">
        <x:v>NOT_RUN</x:v>
      </x:c>
      <x:c r="K1075" s="25" t="n">
        <x:v>1</x:v>
      </x:c>
      <x:c r="L1075" s="27" t="b">
        <x:v>0</x:v>
      </x:c>
      <x:c r="M1075" s="25" t="str">
        <x:v>Deepseek-flash-v4/state/Round2/status/Closure_80.json; Deepseek-flash-v4/state/Round2/shards/Closure_80.json</x:v>
      </x:c>
      <x:c r="N1075" s="25" t="str">
        <x:v>Deepseek-flash-v4/Result2/Closure_80/result.json</x:v>
      </x:c>
      <x:c r="O1075" s="25" t="str">
        <x:v>Deepseek-flash-v4/Result2/Closure_80/result.json</x:v>
      </x:c>
      <x:c r="P1075" t="str">
        <x:v>BOTH_NOT_RUN</x:v>
      </x:c>
      <x:c r="Q1075" s="21" t="str"/>
      <x:c r="R1075" s="21" t="str"/>
      <x:c r="S1075" s="21" t="str"/>
      <x:c r="T1075" s="17" t="str">
        <x:v>false</x:v>
      </x:c>
      <x:c r="U1075" s="17" t="str">
        <x:v>true</x:v>
      </x:c>
      <x:c r="V1075" s="17" t="str">
        <x:v>false</x:v>
      </x:c>
    </x:row>
    <x:row r="1076" ht="80" customHeight="1">
      <x:c r="A1076" s="25" t="str">
        <x:v>Closure</x:v>
      </x:c>
      <x:c r="B1076" s="25" t="n">
        <x:v>81</x:v>
      </x:c>
      <x:c r="C1076" s="25" t="str">
        <x:v>Round2</x:v>
      </x:c>
      <x:c r="D1076" s="25" t="str">
        <x:v>NOT_AVAILABLE</x:v>
      </x:c>
      <x:c r="E1076" s="25" t="str">
        <x:v>N/A</x:v>
      </x:c>
      <x:c r="F1076" s="26" t="str">
        <x:v>Tests exist but current coverage did not complete</x:v>
      </x:c>
      <x:c r="G1076" s="25" t="str">
        <x:v>true</x:v>
      </x:c>
      <x:c r="H1076" s="25" t="str">
        <x:v>NOT_AVAILABLE</x:v>
      </x:c>
      <x:c r="I1076" s="25" t="str">
        <x:v>NOT_RUN</x:v>
      </x:c>
      <x:c r="J1076" s="25" t="str">
        <x:v>NOT_RUN</x:v>
      </x:c>
      <x:c r="K1076" s="25" t="n">
        <x:v>1</x:v>
      </x:c>
      <x:c r="L1076" s="27" t="b">
        <x:v>0</x:v>
      </x:c>
      <x:c r="M1076" s="25" t="str">
        <x:v>Deepseek-flash-v4/state/Round2/status/Closure_81.json; Deepseek-flash-v4/state/Round2/shards/Closure_81.json</x:v>
      </x:c>
      <x:c r="N1076" s="25" t="str">
        <x:v>Deepseek-flash-v4/Result2/Closure_81/result.json</x:v>
      </x:c>
      <x:c r="O1076" s="25" t="str">
        <x:v>Deepseek-flash-v4/Result2/Closure_81/result.json</x:v>
      </x:c>
      <x:c r="P1076" t="str">
        <x:v>BOTH_NOT_RUN</x:v>
      </x:c>
      <x:c r="Q1076" s="21" t="str"/>
      <x:c r="R1076" s="21" t="str"/>
      <x:c r="S1076" s="21" t="str"/>
      <x:c r="T1076" s="17" t="str">
        <x:v>false</x:v>
      </x:c>
      <x:c r="U1076" s="17" t="str">
        <x:v>true</x:v>
      </x:c>
      <x:c r="V1076" s="17" t="str">
        <x:v>false</x:v>
      </x:c>
    </x:row>
    <x:row r="1077" ht="80" customHeight="1">
      <x:c r="A1077" s="25" t="str">
        <x:v>Closure</x:v>
      </x:c>
      <x:c r="B1077" s="25" t="n">
        <x:v>82</x:v>
      </x:c>
      <x:c r="C1077" s="25" t="str">
        <x:v>Round2</x:v>
      </x:c>
      <x:c r="D1077" s="25" t="str">
        <x:v>NOT_AVAILABLE</x:v>
      </x:c>
      <x:c r="E1077" s="25" t="str">
        <x:v>N/A</x:v>
      </x:c>
      <x:c r="F1077" s="26" t="str">
        <x:v>Tests exist but current coverage did not complete</x:v>
      </x:c>
      <x:c r="G1077" s="25" t="str">
        <x:v>true</x:v>
      </x:c>
      <x:c r="H1077" s="25" t="str">
        <x:v>NOT_AVAILABLE</x:v>
      </x:c>
      <x:c r="I1077" s="25" t="str">
        <x:v>NOT_RUN</x:v>
      </x:c>
      <x:c r="J1077" s="25" t="str">
        <x:v>NOT_RUN</x:v>
      </x:c>
      <x:c r="K1077" s="25" t="n">
        <x:v>1</x:v>
      </x:c>
      <x:c r="L1077" s="27" t="b">
        <x:v>0</x:v>
      </x:c>
      <x:c r="M1077" s="25" t="str">
        <x:v>Deepseek-flash-v4/state/Round2/status/Closure_82.json; Deepseek-flash-v4/state/Round2/shards/Closure_82.json</x:v>
      </x:c>
      <x:c r="N1077" s="25" t="str">
        <x:v>Deepseek-flash-v4/Result2/Closure_82/result.json</x:v>
      </x:c>
      <x:c r="O1077" s="25" t="str">
        <x:v>Deepseek-flash-v4/Result2/Closure_82/result.json</x:v>
      </x:c>
      <x:c r="P1077" t="str">
        <x:v>BOTH_NOT_RUN</x:v>
      </x:c>
      <x:c r="Q1077" s="21" t="str"/>
      <x:c r="R1077" s="21" t="str"/>
      <x:c r="S1077" s="21" t="str"/>
      <x:c r="T1077" s="17" t="str">
        <x:v>false</x:v>
      </x:c>
      <x:c r="U1077" s="17" t="str">
        <x:v>true</x:v>
      </x:c>
      <x:c r="V1077" s="17" t="str">
        <x:v>false</x:v>
      </x:c>
    </x:row>
    <x:row r="1078" ht="80" customHeight="1">
      <x:c r="A1078" s="25" t="str">
        <x:v>Closure</x:v>
      </x:c>
      <x:c r="B1078" s="25" t="n">
        <x:v>83</x:v>
      </x:c>
      <x:c r="C1078" s="25" t="str">
        <x:v>Round2</x:v>
      </x:c>
      <x:c r="D1078" s="25" t="str">
        <x:v>INCONCLUSIVE</x:v>
      </x:c>
      <x:c r="E1078" s="25" t="str">
        <x:v>N/A</x:v>
      </x:c>
      <x:c r="F1078" s="26" t="str">
        <x:v>Fixed also failed; assertion failure cannot be attributed to this bug</x:v>
      </x:c>
      <x:c r="G1078" s="25" t="str">
        <x:v>true</x:v>
      </x:c>
      <x:c r="H1078" s="25" t="str">
        <x:v>INCONCLUSIVE</x:v>
      </x:c>
      <x:c r="I1078" s="25" t="str">
        <x:v>FAIL</x:v>
      </x:c>
      <x:c r="J1078" s="25" t="str">
        <x:v>FAIL</x:v>
      </x:c>
      <x:c r="K1078" s="25" t="n">
        <x:v>1</x:v>
      </x:c>
      <x:c r="L1078" s="27" t="b">
        <x:v>0</x:v>
      </x:c>
      <x:c r="M1078" s="25" t="str">
        <x:v>Deepseek-flash-v4/state/Round2/status/Closure_83.json; Deepseek-flash-v4/state/Round2/shards/Closure_83.json</x:v>
      </x:c>
      <x:c r="N1078" s="25" t="str">
        <x:v>Deepseek-flash-v4/Result2/Closure_83/result.json</x:v>
      </x:c>
      <x:c r="O1078" s="25" t="str">
        <x:v>Deepseek-flash-v4/Result2/Closure_83/result.json</x:v>
      </x:c>
      <x:c r="P1078"/>
      <x:c r="Q1078" s="21" t="str"/>
      <x:c r="R1078" s="21" t="str"/>
      <x:c r="S1078" s="21" t="str"/>
      <x:c r="T1078" s="17" t="str">
        <x:v>false</x:v>
      </x:c>
      <x:c r="U1078" s="17" t="str">
        <x:v>true</x:v>
      </x:c>
      <x:c r="V1078" s="17" t="str">
        <x:v>false</x:v>
      </x:c>
    </x:row>
    <x:row r="1079" ht="80" customHeight="1">
      <x:c r="A1079" s="25" t="str">
        <x:v>Closure</x:v>
      </x:c>
      <x:c r="B1079" s="25" t="n">
        <x:v>84</x:v>
      </x:c>
      <x:c r="C1079" s="25" t="str">
        <x:v>Round2</x:v>
      </x:c>
      <x:c r="D1079" s="25" t="str">
        <x:v>NOT_AVAILABLE</x:v>
      </x:c>
      <x:c r="E1079" s="25" t="str">
        <x:v>N/A</x:v>
      </x:c>
      <x:c r="F1079" s="26" t="str">
        <x:v>Tests exist but current coverage did not complete</x:v>
      </x:c>
      <x:c r="G1079" s="25" t="str">
        <x:v>true</x:v>
      </x:c>
      <x:c r="H1079" s="25" t="str">
        <x:v>NOT_AVAILABLE</x:v>
      </x:c>
      <x:c r="I1079" s="25" t="str">
        <x:v>NOT_RUN</x:v>
      </x:c>
      <x:c r="J1079" s="25" t="str">
        <x:v>NOT_RUN</x:v>
      </x:c>
      <x:c r="K1079" s="25" t="n">
        <x:v>1</x:v>
      </x:c>
      <x:c r="L1079" s="27" t="b">
        <x:v>0</x:v>
      </x:c>
      <x:c r="M1079" s="25" t="str">
        <x:v>Deepseek-flash-v4/state/Round2/status/Closure_84.json; Deepseek-flash-v4/state/Round2/shards/Closure_84.json</x:v>
      </x:c>
      <x:c r="N1079" s="25" t="str">
        <x:v>Deepseek-flash-v4/Result2/Closure_84/result.json</x:v>
      </x:c>
      <x:c r="O1079" s="25" t="str">
        <x:v>Deepseek-flash-v4/Result2/Closure_84/result.json</x:v>
      </x:c>
      <x:c r="P1079" t="str">
        <x:v>BOTH_NOT_RUN</x:v>
      </x:c>
      <x:c r="Q1079" s="21" t="str"/>
      <x:c r="R1079" s="21" t="str"/>
      <x:c r="S1079" s="21" t="str"/>
      <x:c r="T1079" s="17" t="str">
        <x:v>false</x:v>
      </x:c>
      <x:c r="U1079" s="17" t="str">
        <x:v>true</x:v>
      </x:c>
      <x:c r="V1079" s="17" t="str">
        <x:v>false</x:v>
      </x:c>
    </x:row>
    <x:row r="1080" ht="80" customHeight="1">
      <x:c r="A1080" s="25" t="str">
        <x:v>Closure</x:v>
      </x:c>
      <x:c r="B1080" s="25" t="n">
        <x:v>85</x:v>
      </x:c>
      <x:c r="C1080" s="25" t="str">
        <x:v>Round2</x:v>
      </x:c>
      <x:c r="D1080" s="25" t="str">
        <x:v>NOT_AVAILABLE</x:v>
      </x:c>
      <x:c r="E1080" s="25" t="str">
        <x:v>N/A</x:v>
      </x:c>
      <x:c r="F1080" s="26" t="str">
        <x:v>Tests exist but current coverage did not complete</x:v>
      </x:c>
      <x:c r="G1080" s="25" t="str">
        <x:v>true</x:v>
      </x:c>
      <x:c r="H1080" s="25" t="str">
        <x:v>NOT_AVAILABLE</x:v>
      </x:c>
      <x:c r="I1080" s="25" t="str">
        <x:v>NOT_RUN</x:v>
      </x:c>
      <x:c r="J1080" s="25" t="str">
        <x:v>NOT_RUN</x:v>
      </x:c>
      <x:c r="K1080" s="25" t="n">
        <x:v>1</x:v>
      </x:c>
      <x:c r="L1080" s="27" t="b">
        <x:v>0</x:v>
      </x:c>
      <x:c r="M1080" s="25" t="str">
        <x:v>Deepseek-flash-v4/state/Round2/status/Closure_85.json; Deepseek-flash-v4/state/Round2/shards/Closure_85.json</x:v>
      </x:c>
      <x:c r="N1080" s="25" t="str">
        <x:v>Deepseek-flash-v4/Result2/Closure_85/result.json</x:v>
      </x:c>
      <x:c r="O1080" s="25" t="str">
        <x:v>Deepseek-flash-v4/Result2/Closure_85/result.json</x:v>
      </x:c>
      <x:c r="P1080" t="str">
        <x:v>BOTH_NOT_RUN</x:v>
      </x:c>
      <x:c r="Q1080" s="21" t="str"/>
      <x:c r="R1080" s="21" t="str"/>
      <x:c r="S1080" s="21" t="str"/>
      <x:c r="T1080" s="17" t="str">
        <x:v>false</x:v>
      </x:c>
      <x:c r="U1080" s="17" t="str">
        <x:v>true</x:v>
      </x:c>
      <x:c r="V1080" s="17" t="str">
        <x:v>false</x:v>
      </x:c>
    </x:row>
    <x:row r="1081" ht="80" customHeight="1">
      <x:c r="A1081" s="25" t="str">
        <x:v>Closure</x:v>
      </x:c>
      <x:c r="B1081" s="25" t="n">
        <x:v>86</x:v>
      </x:c>
      <x:c r="C1081" s="25" t="str">
        <x:v>Round2</x:v>
      </x:c>
      <x:c r="D1081" s="25" t="str">
        <x:v>NOT_AVAILABLE</x:v>
      </x:c>
      <x:c r="E1081" s="25" t="str">
        <x:v>N/A</x:v>
      </x:c>
      <x:c r="F1081" s="26" t="str">
        <x:v>Tests exist but current coverage did not complete</x:v>
      </x:c>
      <x:c r="G1081" s="25" t="str">
        <x:v>true</x:v>
      </x:c>
      <x:c r="H1081" s="25" t="str">
        <x:v>NOT_AVAILABLE</x:v>
      </x:c>
      <x:c r="I1081" s="25" t="str">
        <x:v>NOT_RUN</x:v>
      </x:c>
      <x:c r="J1081" s="25" t="str">
        <x:v>NOT_RUN</x:v>
      </x:c>
      <x:c r="K1081" s="25" t="n">
        <x:v>1</x:v>
      </x:c>
      <x:c r="L1081" s="27" t="b">
        <x:v>0</x:v>
      </x:c>
      <x:c r="M1081" s="25" t="str">
        <x:v>Deepseek-flash-v4/state/Round2/status/Closure_86.json; Deepseek-flash-v4/state/Round2/shards/Closure_86.json</x:v>
      </x:c>
      <x:c r="N1081" s="25" t="str">
        <x:v>Deepseek-flash-v4/Result2/Closure_86/result.json</x:v>
      </x:c>
      <x:c r="O1081" s="25" t="str">
        <x:v>Deepseek-flash-v4/Result2/Closure_86/result.json</x:v>
      </x:c>
      <x:c r="P1081" t="str">
        <x:v>BOTH_NOT_RUN</x:v>
      </x:c>
      <x:c r="Q1081" s="21" t="str"/>
      <x:c r="R1081" s="21" t="str"/>
      <x:c r="S1081" s="21" t="str"/>
      <x:c r="T1081" s="17" t="str">
        <x:v>false</x:v>
      </x:c>
      <x:c r="U1081" s="17" t="str">
        <x:v>true</x:v>
      </x:c>
      <x:c r="V1081" s="17" t="str">
        <x:v>false</x:v>
      </x:c>
    </x:row>
    <x:row r="1082" ht="80" customHeight="1">
      <x:c r="A1082" s="25" t="str">
        <x:v>Closure</x:v>
      </x:c>
      <x:c r="B1082" s="25" t="n">
        <x:v>87</x:v>
      </x:c>
      <x:c r="C1082" s="25" t="str">
        <x:v>Round2</x:v>
      </x:c>
      <x:c r="D1082" s="25" t="str">
        <x:v>NOT_AVAILABLE</x:v>
      </x:c>
      <x:c r="E1082" s="25" t="str">
        <x:v>N/A</x:v>
      </x:c>
      <x:c r="F1082" s="26" t="str">
        <x:v>Tests exist but current coverage did not complete</x:v>
      </x:c>
      <x:c r="G1082" s="25" t="str">
        <x:v>true</x:v>
      </x:c>
      <x:c r="H1082" s="25" t="str">
        <x:v>NOT_AVAILABLE</x:v>
      </x:c>
      <x:c r="I1082" s="25" t="str">
        <x:v>NOT_RUN</x:v>
      </x:c>
      <x:c r="J1082" s="25" t="str">
        <x:v>NOT_RUN</x:v>
      </x:c>
      <x:c r="K1082" s="25" t="n">
        <x:v>1</x:v>
      </x:c>
      <x:c r="L1082" s="27" t="b">
        <x:v>0</x:v>
      </x:c>
      <x:c r="M1082" s="25" t="str">
        <x:v>Deepseek-flash-v4/state/Round2/status/Closure_87.json; Deepseek-flash-v4/state/Round2/shards/Closure_87.json</x:v>
      </x:c>
      <x:c r="N1082" s="25" t="str">
        <x:v>Deepseek-flash-v4/Result2/Closure_87/result.json</x:v>
      </x:c>
      <x:c r="O1082" s="25" t="str">
        <x:v>Deepseek-flash-v4/Result2/Closure_87/result.json</x:v>
      </x:c>
      <x:c r="P1082" t="str">
        <x:v>BOTH_NOT_RUN</x:v>
      </x:c>
      <x:c r="Q1082" s="21" t="str"/>
      <x:c r="R1082" s="21" t="str"/>
      <x:c r="S1082" s="21" t="str"/>
      <x:c r="T1082" s="17" t="str">
        <x:v>false</x:v>
      </x:c>
      <x:c r="U1082" s="17" t="str">
        <x:v>true</x:v>
      </x:c>
      <x:c r="V1082" s="17" t="str">
        <x:v>false</x:v>
      </x:c>
    </x:row>
    <x:row r="1083" ht="80" customHeight="1">
      <x:c r="A1083" s="25" t="str">
        <x:v>Closure</x:v>
      </x:c>
      <x:c r="B1083" s="25" t="n">
        <x:v>88</x:v>
      </x:c>
      <x:c r="C1083" s="25" t="str">
        <x:v>Round2</x:v>
      </x:c>
      <x:c r="D1083" s="25" t="str">
        <x:v>NOT_AVAILABLE</x:v>
      </x:c>
      <x:c r="E1083" s="25" t="str">
        <x:v>N/A</x:v>
      </x:c>
      <x:c r="F1083" s="26" t="str">
        <x:v>Tests exist but current coverage did not complete</x:v>
      </x:c>
      <x:c r="G1083" s="25" t="str">
        <x:v>true</x:v>
      </x:c>
      <x:c r="H1083" s="25" t="str">
        <x:v>NOT_AVAILABLE</x:v>
      </x:c>
      <x:c r="I1083" s="25" t="str">
        <x:v>NOT_RUN</x:v>
      </x:c>
      <x:c r="J1083" s="25" t="str">
        <x:v>NOT_RUN</x:v>
      </x:c>
      <x:c r="K1083" s="25" t="n">
        <x:v>1</x:v>
      </x:c>
      <x:c r="L1083" s="27" t="b">
        <x:v>0</x:v>
      </x:c>
      <x:c r="M1083" s="25" t="str">
        <x:v>Deepseek-flash-v4/state/Round2/status/Closure_88.json; Deepseek-flash-v4/state/Round2/shards/Closure_88.json</x:v>
      </x:c>
      <x:c r="N1083" s="25" t="str">
        <x:v>Deepseek-flash-v4/Result2/Closure_88/result.json</x:v>
      </x:c>
      <x:c r="O1083" s="25" t="str">
        <x:v>Deepseek-flash-v4/Result2/Closure_88/result.json</x:v>
      </x:c>
      <x:c r="P1083" t="str">
        <x:v>BOTH_NOT_RUN</x:v>
      </x:c>
      <x:c r="Q1083" s="21" t="str"/>
      <x:c r="R1083" s="21" t="str"/>
      <x:c r="S1083" s="21" t="str"/>
      <x:c r="T1083" s="17" t="str">
        <x:v>false</x:v>
      </x:c>
      <x:c r="U1083" s="17" t="str">
        <x:v>true</x:v>
      </x:c>
      <x:c r="V1083" s="17" t="str">
        <x:v>false</x:v>
      </x:c>
    </x:row>
    <x:row r="1084" ht="80" customHeight="1">
      <x:c r="A1084" s="25" t="str">
        <x:v>Closure</x:v>
      </x:c>
      <x:c r="B1084" s="25" t="n">
        <x:v>89</x:v>
      </x:c>
      <x:c r="C1084" s="25" t="str">
        <x:v>Round2</x:v>
      </x:c>
      <x:c r="D1084" s="25" t="str">
        <x:v>NOT_AVAILABLE</x:v>
      </x:c>
      <x:c r="E1084" s="25" t="str">
        <x:v>N/A</x:v>
      </x:c>
      <x:c r="F1084" s="26" t="str">
        <x:v>Tests exist but current coverage did not complete</x:v>
      </x:c>
      <x:c r="G1084" s="25" t="str">
        <x:v>true</x:v>
      </x:c>
      <x:c r="H1084" s="25" t="str">
        <x:v>NOT_AVAILABLE</x:v>
      </x:c>
      <x:c r="I1084" s="25" t="str">
        <x:v>NOT_RUN</x:v>
      </x:c>
      <x:c r="J1084" s="25" t="str">
        <x:v>NOT_RUN</x:v>
      </x:c>
      <x:c r="K1084" s="25" t="n">
        <x:v>2</x:v>
      </x:c>
      <x:c r="L1084" s="27" t="b">
        <x:v>0</x:v>
      </x:c>
      <x:c r="M1084" s="25" t="str">
        <x:v>Deepseek-flash-v4/state/Round2/status/Closure_89.json; Deepseek-flash-v4/state/Round2/shards/Closure_89.json</x:v>
      </x:c>
      <x:c r="N1084" s="25" t="str">
        <x:v>Deepseek-flash-v4/Result2/Closure_89/result.json</x:v>
      </x:c>
      <x:c r="O1084" s="25" t="str">
        <x:v>Deepseek-flash-v4/Result2/Closure_89/result.json</x:v>
      </x:c>
      <x:c r="P1084" t="str">
        <x:v>BOTH_NOT_RUN</x:v>
      </x:c>
      <x:c r="Q1084" s="21" t="str"/>
      <x:c r="R1084" s="21" t="str"/>
      <x:c r="S1084" s="21" t="str"/>
      <x:c r="T1084" s="17" t="str">
        <x:v>false</x:v>
      </x:c>
      <x:c r="U1084" s="17" t="str">
        <x:v>true</x:v>
      </x:c>
      <x:c r="V1084" s="17" t="str">
        <x:v>false</x:v>
      </x:c>
    </x:row>
    <x:row r="1085" ht="80" customHeight="1">
      <x:c r="A1085" s="25" t="str">
        <x:v>Closure</x:v>
      </x:c>
      <x:c r="B1085" s="25" t="n">
        <x:v>9</x:v>
      </x:c>
      <x:c r="C1085" s="25" t="str">
        <x:v>Round2</x:v>
      </x:c>
      <x:c r="D1085" s="25" t="str">
        <x:v>NOT_AVAILABLE</x:v>
      </x:c>
      <x:c r="E1085" s="25" t="str">
        <x:v>N/A</x:v>
      </x:c>
      <x:c r="F1085" s="26" t="str">
        <x:v>Tests exist but current coverage did not complete</x:v>
      </x:c>
      <x:c r="G1085" s="25" t="str">
        <x:v>true</x:v>
      </x:c>
      <x:c r="H1085" s="25" t="str">
        <x:v>NOT_AVAILABLE</x:v>
      </x:c>
      <x:c r="I1085" s="25" t="str">
        <x:v>NOT_RUN</x:v>
      </x:c>
      <x:c r="J1085" s="25" t="str">
        <x:v>NOT_RUN</x:v>
      </x:c>
      <x:c r="K1085" s="25" t="n">
        <x:v>1</x:v>
      </x:c>
      <x:c r="L1085" s="27" t="b">
        <x:v>0</x:v>
      </x:c>
      <x:c r="M1085" s="25" t="str">
        <x:v>Deepseek-flash-v4/state/Round2/status/Closure_9.json; Deepseek-flash-v4/state/Round2/shards/Closure_9.json</x:v>
      </x:c>
      <x:c r="N1085" s="25" t="str">
        <x:v>Deepseek-flash-v4/Result2/Closure_9/result.json</x:v>
      </x:c>
      <x:c r="O1085" s="25" t="str">
        <x:v>Deepseek-flash-v4/Result2/Closure_9/result.json</x:v>
      </x:c>
      <x:c r="P1085" t="str">
        <x:v>BOTH_NOT_RUN</x:v>
      </x:c>
      <x:c r="Q1085" s="21" t="str"/>
      <x:c r="R1085" s="21" t="str"/>
      <x:c r="S1085" s="21" t="str"/>
      <x:c r="T1085" s="17" t="str">
        <x:v>false</x:v>
      </x:c>
      <x:c r="U1085" s="17" t="str">
        <x:v>true</x:v>
      </x:c>
      <x:c r="V1085" s="17" t="str">
        <x:v>false</x:v>
      </x:c>
    </x:row>
    <x:row r="1086" ht="80" customHeight="1">
      <x:c r="A1086" s="25" t="str">
        <x:v>Closure</x:v>
      </x:c>
      <x:c r="B1086" s="25" t="n">
        <x:v>90</x:v>
      </x:c>
      <x:c r="C1086" s="25" t="str">
        <x:v>Round2</x:v>
      </x:c>
      <x:c r="D1086" s="25" t="str">
        <x:v>NOT_AVAILABLE</x:v>
      </x:c>
      <x:c r="E1086" s="25" t="str">
        <x:v>N/A</x:v>
      </x:c>
      <x:c r="F1086" s="26" t="str">
        <x:v>Tests exist but current coverage did not complete</x:v>
      </x:c>
      <x:c r="G1086" s="25" t="str">
        <x:v>true</x:v>
      </x:c>
      <x:c r="H1086" s="25" t="str">
        <x:v>NOT_AVAILABLE</x:v>
      </x:c>
      <x:c r="I1086" s="25" t="str">
        <x:v>NOT_RUN</x:v>
      </x:c>
      <x:c r="J1086" s="25" t="str">
        <x:v>NOT_RUN</x:v>
      </x:c>
      <x:c r="K1086" s="25" t="n">
        <x:v>2</x:v>
      </x:c>
      <x:c r="L1086" s="27" t="b">
        <x:v>0</x:v>
      </x:c>
      <x:c r="M1086" s="25" t="str">
        <x:v>Deepseek-flash-v4/state/Round2/status/Closure_90.json; Deepseek-flash-v4/state/Round2/shards/Closure_90.json</x:v>
      </x:c>
      <x:c r="N1086" s="25" t="str">
        <x:v>Deepseek-flash-v4/Result2/Closure_90/result.json</x:v>
      </x:c>
      <x:c r="O1086" s="25" t="str">
        <x:v>Deepseek-flash-v4/Result2/Closure_90/result.json</x:v>
      </x:c>
      <x:c r="P1086" t="str">
        <x:v>BOTH_NOT_RUN</x:v>
      </x:c>
      <x:c r="Q1086" s="21" t="str"/>
      <x:c r="R1086" s="21" t="str"/>
      <x:c r="S1086" s="21" t="str"/>
      <x:c r="T1086" s="17" t="str">
        <x:v>false</x:v>
      </x:c>
      <x:c r="U1086" s="17" t="str">
        <x:v>true</x:v>
      </x:c>
      <x:c r="V1086" s="17" t="str">
        <x:v>false</x:v>
      </x:c>
    </x:row>
    <x:row r="1087" ht="80" customHeight="1">
      <x:c r="A1087" s="25" t="str">
        <x:v>Closure</x:v>
      </x:c>
      <x:c r="B1087" s="25" t="n">
        <x:v>91</x:v>
      </x:c>
      <x:c r="C1087" s="25" t="str">
        <x:v>Round2</x:v>
      </x:c>
      <x:c r="D1087" s="25" t="str">
        <x:v>NOT_AVAILABLE</x:v>
      </x:c>
      <x:c r="E1087" s="25" t="str">
        <x:v>N/A</x:v>
      </x:c>
      <x:c r="F1087" s="26" t="str">
        <x:v>Tests exist but current coverage did not complete</x:v>
      </x:c>
      <x:c r="G1087" s="25" t="str">
        <x:v>true</x:v>
      </x:c>
      <x:c r="H1087" s="25" t="str">
        <x:v>NOT_AVAILABLE</x:v>
      </x:c>
      <x:c r="I1087" s="25" t="str">
        <x:v>NOT_RUN</x:v>
      </x:c>
      <x:c r="J1087" s="25" t="str">
        <x:v>NOT_RUN</x:v>
      </x:c>
      <x:c r="K1087" s="25" t="n">
        <x:v>1</x:v>
      </x:c>
      <x:c r="L1087" s="27" t="b">
        <x:v>0</x:v>
      </x:c>
      <x:c r="M1087" s="25" t="str">
        <x:v>Deepseek-flash-v4/state/Round2/status/Closure_91.json; Deepseek-flash-v4/state/Round2/shards/Closure_91.json</x:v>
      </x:c>
      <x:c r="N1087" s="25" t="str">
        <x:v>Deepseek-flash-v4/Result2/Closure_91/result.json</x:v>
      </x:c>
      <x:c r="O1087" s="25" t="str">
        <x:v>Deepseek-flash-v4/Result2/Closure_91/result.json</x:v>
      </x:c>
      <x:c r="P1087" t="str">
        <x:v>BOTH_NOT_RUN</x:v>
      </x:c>
      <x:c r="Q1087" s="21" t="str"/>
      <x:c r="R1087" s="21" t="str"/>
      <x:c r="S1087" s="21" t="str"/>
      <x:c r="T1087" s="17" t="str">
        <x:v>false</x:v>
      </x:c>
      <x:c r="U1087" s="17" t="str">
        <x:v>true</x:v>
      </x:c>
      <x:c r="V1087" s="17" t="str">
        <x:v>false</x:v>
      </x:c>
    </x:row>
    <x:row r="1088" ht="80" customHeight="1">
      <x:c r="A1088" s="25" t="str">
        <x:v>Closure</x:v>
      </x:c>
      <x:c r="B1088" s="25" t="n">
        <x:v>92</x:v>
      </x:c>
      <x:c r="C1088" s="25" t="str">
        <x:v>Round2</x:v>
      </x:c>
      <x:c r="D1088" s="25" t="str">
        <x:v>NOT_AVAILABLE</x:v>
      </x:c>
      <x:c r="E1088" s="25" t="str">
        <x:v>N/A</x:v>
      </x:c>
      <x:c r="F1088" s="26" t="str">
        <x:v>Tests exist but current coverage did not complete</x:v>
      </x:c>
      <x:c r="G1088" s="25" t="str">
        <x:v>true</x:v>
      </x:c>
      <x:c r="H1088" s="25" t="str">
        <x:v>NOT_AVAILABLE</x:v>
      </x:c>
      <x:c r="I1088" s="25" t="str">
        <x:v>NOT_RUN</x:v>
      </x:c>
      <x:c r="J1088" s="25" t="str">
        <x:v>NOT_RUN</x:v>
      </x:c>
      <x:c r="K1088" s="25" t="n">
        <x:v>1</x:v>
      </x:c>
      <x:c r="L1088" s="27" t="b">
        <x:v>0</x:v>
      </x:c>
      <x:c r="M1088" s="25" t="str">
        <x:v>Deepseek-flash-v4/state/Round2/status/Closure_92.json; Deepseek-flash-v4/state/Round2/shards/Closure_92.json</x:v>
      </x:c>
      <x:c r="N1088" s="25" t="str">
        <x:v>Deepseek-flash-v4/Result2/Closure_92/result.json</x:v>
      </x:c>
      <x:c r="O1088" s="25" t="str">
        <x:v>Deepseek-flash-v4/Result2/Closure_92/result.json</x:v>
      </x:c>
      <x:c r="P1088" t="str">
        <x:v>BOTH_NOT_RUN</x:v>
      </x:c>
      <x:c r="Q1088" s="21" t="str"/>
      <x:c r="R1088" s="21" t="str"/>
      <x:c r="S1088" s="21" t="str"/>
      <x:c r="T1088" s="17" t="str">
        <x:v>false</x:v>
      </x:c>
      <x:c r="U1088" s="17" t="str">
        <x:v>true</x:v>
      </x:c>
      <x:c r="V1088" s="17" t="str">
        <x:v>false</x:v>
      </x:c>
    </x:row>
    <x:row r="1089" ht="80" customHeight="1">
      <x:c r="A1089" s="25" t="str">
        <x:v>Closure</x:v>
      </x:c>
      <x:c r="B1089" s="25" t="n">
        <x:v>94</x:v>
      </x:c>
      <x:c r="C1089" s="25" t="str">
        <x:v>Round2</x:v>
      </x:c>
      <x:c r="D1089" s="25" t="str">
        <x:v>NOT_AVAILABLE</x:v>
      </x:c>
      <x:c r="E1089" s="25" t="str">
        <x:v>N/A</x:v>
      </x:c>
      <x:c r="F1089" s="26" t="str">
        <x:v>Tests exist but current coverage did not complete</x:v>
      </x:c>
      <x:c r="G1089" s="25" t="str">
        <x:v>true</x:v>
      </x:c>
      <x:c r="H1089" s="25" t="str">
        <x:v>NOT_AVAILABLE</x:v>
      </x:c>
      <x:c r="I1089" s="25" t="str">
        <x:v>NOT_RUN</x:v>
      </x:c>
      <x:c r="J1089" s="25" t="str">
        <x:v>NOT_RUN</x:v>
      </x:c>
      <x:c r="K1089" s="25" t="n">
        <x:v>1</x:v>
      </x:c>
      <x:c r="L1089" s="27" t="b">
        <x:v>0</x:v>
      </x:c>
      <x:c r="M1089" s="25" t="str">
        <x:v>Deepseek-flash-v4/state/Round2/status/Closure_94.json; Deepseek-flash-v4/state/Round2/shards/Closure_94.json</x:v>
      </x:c>
      <x:c r="N1089" s="25" t="str">
        <x:v>Deepseek-flash-v4/Result2/Closure_94/result.json</x:v>
      </x:c>
      <x:c r="O1089" s="25" t="str">
        <x:v>Deepseek-flash-v4/Result2/Closure_94/result.json</x:v>
      </x:c>
      <x:c r="P1089" t="str">
        <x:v>BOTH_NOT_RUN</x:v>
      </x:c>
      <x:c r="Q1089" s="21" t="str"/>
      <x:c r="R1089" s="21" t="str"/>
      <x:c r="S1089" s="21" t="str"/>
      <x:c r="T1089" s="17" t="str">
        <x:v>false</x:v>
      </x:c>
      <x:c r="U1089" s="17" t="str">
        <x:v>true</x:v>
      </x:c>
      <x:c r="V1089" s="17" t="str">
        <x:v>false</x:v>
      </x:c>
    </x:row>
    <x:row r="1090" ht="80" customHeight="1">
      <x:c r="A1090" s="25" t="str">
        <x:v>Closure</x:v>
      </x:c>
      <x:c r="B1090" s="25" t="n">
        <x:v>95</x:v>
      </x:c>
      <x:c r="C1090" s="25" t="str">
        <x:v>Round2</x:v>
      </x:c>
      <x:c r="D1090" s="25" t="str">
        <x:v>NOT_AVAILABLE</x:v>
      </x:c>
      <x:c r="E1090" s="25" t="str">
        <x:v>N/A</x:v>
      </x:c>
      <x:c r="F1090" s="26" t="str">
        <x:v>Tests exist but current coverage did not complete</x:v>
      </x:c>
      <x:c r="G1090" s="25" t="str">
        <x:v>true</x:v>
      </x:c>
      <x:c r="H1090" s="25" t="str">
        <x:v>NOT_AVAILABLE</x:v>
      </x:c>
      <x:c r="I1090" s="25" t="str">
        <x:v>NOT_RUN</x:v>
      </x:c>
      <x:c r="J1090" s="25" t="str">
        <x:v>NOT_RUN</x:v>
      </x:c>
      <x:c r="K1090" s="25" t="n">
        <x:v>1</x:v>
      </x:c>
      <x:c r="L1090" s="27" t="b">
        <x:v>0</x:v>
      </x:c>
      <x:c r="M1090" s="25" t="str">
        <x:v>Deepseek-flash-v4/state/Round2/status/Closure_95.json; Deepseek-flash-v4/state/Round2/shards/Closure_95.json</x:v>
      </x:c>
      <x:c r="N1090" s="25" t="str">
        <x:v>Deepseek-flash-v4/Result2/Closure_95/result.json</x:v>
      </x:c>
      <x:c r="O1090" s="25" t="str">
        <x:v>Deepseek-flash-v4/Result2/Closure_95/result.json</x:v>
      </x:c>
      <x:c r="P1090" t="str">
        <x:v>BOTH_NOT_RUN</x:v>
      </x:c>
      <x:c r="Q1090" s="21" t="str"/>
      <x:c r="R1090" s="21" t="str"/>
      <x:c r="S1090" s="21" t="str"/>
      <x:c r="T1090" s="17" t="str">
        <x:v>false</x:v>
      </x:c>
      <x:c r="U1090" s="17" t="str">
        <x:v>true</x:v>
      </x:c>
      <x:c r="V1090" s="17" t="str">
        <x:v>false</x:v>
      </x:c>
    </x:row>
    <x:row r="1091" ht="80" customHeight="1">
      <x:c r="A1091" s="25" t="str">
        <x:v>Closure</x:v>
      </x:c>
      <x:c r="B1091" s="25" t="n">
        <x:v>96</x:v>
      </x:c>
      <x:c r="C1091" s="25" t="str">
        <x:v>Round2</x:v>
      </x:c>
      <x:c r="D1091" s="25" t="str">
        <x:v>NOT_AVAILABLE</x:v>
      </x:c>
      <x:c r="E1091" s="25" t="str">
        <x:v>N/A</x:v>
      </x:c>
      <x:c r="F1091" s="26" t="str">
        <x:v>Tests exist but current coverage did not complete</x:v>
      </x:c>
      <x:c r="G1091" s="25" t="str">
        <x:v>true</x:v>
      </x:c>
      <x:c r="H1091" s="25" t="str">
        <x:v>NOT_AVAILABLE</x:v>
      </x:c>
      <x:c r="I1091" s="25" t="str">
        <x:v>NOT_RUN</x:v>
      </x:c>
      <x:c r="J1091" s="25" t="str">
        <x:v>NOT_RUN</x:v>
      </x:c>
      <x:c r="K1091" s="25" t="n">
        <x:v>1</x:v>
      </x:c>
      <x:c r="L1091" s="27" t="b">
        <x:v>0</x:v>
      </x:c>
      <x:c r="M1091" s="25" t="str">
        <x:v>Deepseek-flash-v4/state/Round2/status/Closure_96.json; Deepseek-flash-v4/state/Round2/shards/Closure_96.json</x:v>
      </x:c>
      <x:c r="N1091" s="25" t="str">
        <x:v>Deepseek-flash-v4/Result2/Closure_96/result.json</x:v>
      </x:c>
      <x:c r="O1091" s="25" t="str">
        <x:v>Deepseek-flash-v4/Result2/Closure_96/result.json</x:v>
      </x:c>
      <x:c r="P1091" t="str">
        <x:v>BOTH_NOT_RUN</x:v>
      </x:c>
      <x:c r="Q1091" s="21" t="str"/>
      <x:c r="R1091" s="21" t="str"/>
      <x:c r="S1091" s="21" t="str"/>
      <x:c r="T1091" s="17" t="str">
        <x:v>false</x:v>
      </x:c>
      <x:c r="U1091" s="17" t="str">
        <x:v>true</x:v>
      </x:c>
      <x:c r="V1091" s="17" t="str">
        <x:v>false</x:v>
      </x:c>
    </x:row>
    <x:row r="1092" ht="80" customHeight="1">
      <x:c r="A1092" s="25" t="str">
        <x:v>Closure</x:v>
      </x:c>
      <x:c r="B1092" s="25" t="n">
        <x:v>97</x:v>
      </x:c>
      <x:c r="C1092" s="25" t="str">
        <x:v>Round2</x:v>
      </x:c>
      <x:c r="D1092" s="25" t="str">
        <x:v>NOT_AVAILABLE</x:v>
      </x:c>
      <x:c r="E1092" s="25" t="str">
        <x:v>N/A</x:v>
      </x:c>
      <x:c r="F1092" s="26" t="str">
        <x:v>Tests exist but current coverage did not complete</x:v>
      </x:c>
      <x:c r="G1092" s="25" t="str">
        <x:v>true</x:v>
      </x:c>
      <x:c r="H1092" s="25" t="str">
        <x:v>NOT_AVAILABLE</x:v>
      </x:c>
      <x:c r="I1092" s="25" t="str">
        <x:v>NOT_RUN</x:v>
      </x:c>
      <x:c r="J1092" s="25" t="str">
        <x:v>NOT_RUN</x:v>
      </x:c>
      <x:c r="K1092" s="25" t="n">
        <x:v>1</x:v>
      </x:c>
      <x:c r="L1092" s="27" t="b">
        <x:v>0</x:v>
      </x:c>
      <x:c r="M1092" s="25" t="str">
        <x:v>Deepseek-flash-v4/state/Round2/status/Closure_97.json; Deepseek-flash-v4/state/Round2/shards/Closure_97.json</x:v>
      </x:c>
      <x:c r="N1092" s="25" t="str">
        <x:v>Deepseek-flash-v4/Result2/Closure_97/result.json</x:v>
      </x:c>
      <x:c r="O1092" s="25" t="str">
        <x:v>Deepseek-flash-v4/Result2/Closure_97/result.json</x:v>
      </x:c>
      <x:c r="P1092" t="str">
        <x:v>BOTH_NOT_RUN</x:v>
      </x:c>
      <x:c r="Q1092" s="21" t="str"/>
      <x:c r="R1092" s="21" t="str"/>
      <x:c r="S1092" s="21" t="str"/>
      <x:c r="T1092" s="17" t="str">
        <x:v>false</x:v>
      </x:c>
      <x:c r="U1092" s="17" t="str">
        <x:v>true</x:v>
      </x:c>
      <x:c r="V1092" s="17" t="str">
        <x:v>false</x:v>
      </x:c>
    </x:row>
    <x:row r="1093" ht="80" customHeight="1">
      <x:c r="A1093" s="25" t="str">
        <x:v>Closure</x:v>
      </x:c>
      <x:c r="B1093" s="25" t="n">
        <x:v>98</x:v>
      </x:c>
      <x:c r="C1093" s="25" t="str">
        <x:v>Round2</x:v>
      </x:c>
      <x:c r="D1093" s="25" t="str">
        <x:v>NOT_AVAILABLE</x:v>
      </x:c>
      <x:c r="E1093" s="25" t="str">
        <x:v>N/A</x:v>
      </x:c>
      <x:c r="F1093" s="26" t="str">
        <x:v>Tests exist but current coverage did not complete</x:v>
      </x:c>
      <x:c r="G1093" s="25" t="str">
        <x:v>true</x:v>
      </x:c>
      <x:c r="H1093" s="25" t="str">
        <x:v>NOT_AVAILABLE</x:v>
      </x:c>
      <x:c r="I1093" s="25" t="str">
        <x:v>NOT_RUN</x:v>
      </x:c>
      <x:c r="J1093" s="25" t="str">
        <x:v>NOT_RUN</x:v>
      </x:c>
      <x:c r="K1093" s="25" t="n">
        <x:v>1</x:v>
      </x:c>
      <x:c r="L1093" s="27" t="b">
        <x:v>0</x:v>
      </x:c>
      <x:c r="M1093" s="25" t="str">
        <x:v>Deepseek-flash-v4/state/Round2/status/Closure_98.json; Deepseek-flash-v4/state/Round2/shards/Closure_98.json</x:v>
      </x:c>
      <x:c r="N1093" s="25" t="str">
        <x:v>Deepseek-flash-v4/Result2/Closure_98/result.json</x:v>
      </x:c>
      <x:c r="O1093" s="25" t="str">
        <x:v>Deepseek-flash-v4/Result2/Closure_98/result.json</x:v>
      </x:c>
      <x:c r="P1093" t="str">
        <x:v>BOTH_NOT_RUN</x:v>
      </x:c>
      <x:c r="Q1093" s="21" t="str"/>
      <x:c r="R1093" s="21" t="str"/>
      <x:c r="S1093" s="21" t="str"/>
      <x:c r="T1093" s="17" t="str">
        <x:v>false</x:v>
      </x:c>
      <x:c r="U1093" s="17" t="str">
        <x:v>true</x:v>
      </x:c>
      <x:c r="V1093" s="17" t="str">
        <x:v>false</x:v>
      </x:c>
    </x:row>
    <x:row r="1094" ht="80" customHeight="1">
      <x:c r="A1094" s="25" t="str">
        <x:v>Closure</x:v>
      </x:c>
      <x:c r="B1094" s="25" t="n">
        <x:v>99</x:v>
      </x:c>
      <x:c r="C1094" s="25" t="str">
        <x:v>Round2</x:v>
      </x:c>
      <x:c r="D1094" s="25" t="str">
        <x:v>NOT_AVAILABLE</x:v>
      </x:c>
      <x:c r="E1094" s="25" t="str">
        <x:v>N/A</x:v>
      </x:c>
      <x:c r="F1094" s="26" t="str">
        <x:v>Tests exist but current coverage did not complete</x:v>
      </x:c>
      <x:c r="G1094" s="25" t="str">
        <x:v>true</x:v>
      </x:c>
      <x:c r="H1094" s="25" t="str">
        <x:v>NOT_AVAILABLE</x:v>
      </x:c>
      <x:c r="I1094" s="25" t="str">
        <x:v>NOT_RUN</x:v>
      </x:c>
      <x:c r="J1094" s="25" t="str">
        <x:v>NOT_RUN</x:v>
      </x:c>
      <x:c r="K1094" s="25" t="n">
        <x:v>1</x:v>
      </x:c>
      <x:c r="L1094" s="27" t="b">
        <x:v>0</x:v>
      </x:c>
      <x:c r="M1094" s="25" t="str">
        <x:v>Deepseek-flash-v4/state/Round2/status/Closure_99.json; Deepseek-flash-v4/state/Round2/shards/Closure_99.json</x:v>
      </x:c>
      <x:c r="N1094" s="25" t="str">
        <x:v>Deepseek-flash-v4/Result2/Closure_99/result.json</x:v>
      </x:c>
      <x:c r="O1094" s="25" t="str">
        <x:v>Deepseek-flash-v4/Result2/Closure_99/result.json</x:v>
      </x:c>
      <x:c r="P1094" t="str">
        <x:v>BOTH_NOT_RUN</x:v>
      </x:c>
      <x:c r="Q1094" s="21" t="str"/>
      <x:c r="R1094" s="21" t="str"/>
      <x:c r="S1094" s="21" t="str"/>
      <x:c r="T1094" s="17" t="str">
        <x:v>false</x:v>
      </x:c>
      <x:c r="U1094" s="17" t="str">
        <x:v>true</x:v>
      </x:c>
      <x:c r="V1094" s="17" t="str">
        <x:v>false</x:v>
      </x:c>
    </x:row>
    <x:row r="1095" ht="80" customHeight="1">
      <x:c r="A1095" s="25" t="str">
        <x:v>Codec</x:v>
      </x:c>
      <x:c r="B1095" s="25" t="n">
        <x:v>1</x:v>
      </x:c>
      <x:c r="C1095" s="25" t="str">
        <x:v>Round2</x:v>
      </x:c>
      <x:c r="D1095" s="25" t="str">
        <x:v>INCONCLUSIVE</x:v>
      </x:c>
      <x:c r="E1095" s="25" t="str">
        <x:v>N/A</x:v>
      </x:c>
      <x:c r="F1095" s="26" t="str">
        <x:v>Fixed also failed; assertion failure cannot be attributed to this bug</x:v>
      </x:c>
      <x:c r="G1095" s="25" t="str">
        <x:v>true</x:v>
      </x:c>
      <x:c r="H1095" s="25" t="str">
        <x:v>INCONCLUSIVE</x:v>
      </x:c>
      <x:c r="I1095" s="25" t="str">
        <x:v>FAIL</x:v>
      </x:c>
      <x:c r="J1095" s="25" t="str">
        <x:v>FAIL</x:v>
      </x:c>
      <x:c r="K1095" s="25" t="n">
        <x:v>4</x:v>
      </x:c>
      <x:c r="L1095" s="27" t="b">
        <x:v>0</x:v>
      </x:c>
      <x:c r="M1095" s="25" t="str">
        <x:v>Deepseek-flash-v4/state/Round2/status/Codec_1.json; Deepseek-flash-v4/state/Round2/shards/Codec_1.json</x:v>
      </x:c>
      <x:c r="N1095" s="25" t="str">
        <x:v>Deepseek-flash-v4/Result2/Codec_1/result.json</x:v>
      </x:c>
      <x:c r="O1095" s="25" t="str">
        <x:v>Deepseek-flash-v4/Result2/Codec_1/result.json</x:v>
      </x:c>
      <x:c r="P1095"/>
      <x:c r="Q1095" s="21" t="str"/>
      <x:c r="R1095" s="21" t="str"/>
      <x:c r="S1095" s="21" t="str"/>
      <x:c r="T1095" s="17" t="str">
        <x:v>false</x:v>
      </x:c>
      <x:c r="U1095" s="17" t="str">
        <x:v>true</x:v>
      </x:c>
      <x:c r="V1095" s="17" t="str">
        <x:v>false</x:v>
      </x:c>
    </x:row>
    <x:row r="1096" ht="80" customHeight="1">
      <x:c r="A1096" s="25" t="str">
        <x:v>Codec</x:v>
      </x:c>
      <x:c r="B1096" s="25" t="n">
        <x:v>10</x:v>
      </x:c>
      <x:c r="C1096" s="25" t="str">
        <x:v>Round2</x:v>
      </x:c>
      <x:c r="D1096" s="25" t="str">
        <x:v>NOT_REVEALING</x:v>
      </x:c>
      <x:c r="E1096" s="25" t="str">
        <x:v>N/A</x:v>
      </x:c>
      <x:c r="F1096" s="26" t="str">
        <x:v>Same saved validation suite passed on buggy and fixed</x:v>
      </x:c>
      <x:c r="G1096" s="25" t="str">
        <x:v>true</x:v>
      </x:c>
      <x:c r="H1096" s="25" t="str">
        <x:v>NOT_REVEALING</x:v>
      </x:c>
      <x:c r="I1096" s="25" t="str">
        <x:v>PASS</x:v>
      </x:c>
      <x:c r="J1096" s="25" t="str">
        <x:v>PASS</x:v>
      </x:c>
      <x:c r="K1096" s="25" t="n">
        <x:v>1</x:v>
      </x:c>
      <x:c r="L1096" s="27" t="b">
        <x:v>0</x:v>
      </x:c>
      <x:c r="M1096" s="25" t="str">
        <x:v>Deepseek-flash-v4/state/Round2/status/Codec_10.json; Deepseek-flash-v4/state/Round2/shards/Codec_10.json</x:v>
      </x:c>
      <x:c r="N1096" s="25" t="str">
        <x:v>Deepseek-flash-v4/Result2/Codec_10/result.json</x:v>
      </x:c>
      <x:c r="O1096" s="25" t="str">
        <x:v>Deepseek-flash-v4/Result2/Codec_10/result.json</x:v>
      </x:c>
      <x:c r="P1096"/>
      <x:c r="Q1096" s="21" t="str"/>
      <x:c r="R1096" s="21" t="str"/>
      <x:c r="S1096" s="21" t="str"/>
      <x:c r="T1096" s="17" t="str">
        <x:v>false</x:v>
      </x:c>
      <x:c r="U1096" s="17" t="str">
        <x:v>true</x:v>
      </x:c>
      <x:c r="V1096" s="17" t="str">
        <x:v>false</x:v>
      </x:c>
    </x:row>
    <x:row r="1097" ht="80" customHeight="1">
      <x:c r="A1097" s="25" t="str">
        <x:v>Codec</x:v>
      </x:c>
      <x:c r="B1097" s="25" t="n">
        <x:v>11</x:v>
      </x:c>
      <x:c r="C1097" s="25" t="str">
        <x:v>Round2</x:v>
      </x:c>
      <x:c r="D1097" s="25" t="str">
        <x:v>INCONCLUSIVE</x:v>
      </x:c>
      <x:c r="E1097" s="25" t="str">
        <x:v>N/A</x:v>
      </x:c>
      <x:c r="F1097" s="26" t="str">
        <x:v>Fixed also failed; assertion failure cannot be attributed to this bug</x:v>
      </x:c>
      <x:c r="G1097" s="25" t="str">
        <x:v>true</x:v>
      </x:c>
      <x:c r="H1097" s="25" t="str">
        <x:v>INCONCLUSIVE</x:v>
      </x:c>
      <x:c r="I1097" s="25" t="str">
        <x:v>PASS</x:v>
      </x:c>
      <x:c r="J1097" s="25" t="str">
        <x:v>FAIL</x:v>
      </x:c>
      <x:c r="K1097" s="25" t="n">
        <x:v>1</x:v>
      </x:c>
      <x:c r="L1097" s="27" t="b">
        <x:v>0</x:v>
      </x:c>
      <x:c r="M1097" s="25" t="str">
        <x:v>Deepseek-flash-v4/state/Round2/status/Codec_11.json; Deepseek-flash-v4/state/Round2/shards/Codec_11.json</x:v>
      </x:c>
      <x:c r="N1097" s="25" t="str">
        <x:v>Deepseek-flash-v4/Result2/Codec_11/result.json</x:v>
      </x:c>
      <x:c r="O1097" s="25" t="str">
        <x:v>Deepseek-flash-v4/Result2/Codec_11/result.json</x:v>
      </x:c>
      <x:c r="P1097"/>
      <x:c r="Q1097" s="21" t="str"/>
      <x:c r="R1097" s="21" t="str"/>
      <x:c r="S1097" s="21" t="str"/>
      <x:c r="T1097" s="17" t="str">
        <x:v>false</x:v>
      </x:c>
      <x:c r="U1097" s="17" t="str">
        <x:v>true</x:v>
      </x:c>
      <x:c r="V1097" s="17" t="str">
        <x:v>false</x:v>
      </x:c>
    </x:row>
    <x:row r="1098" ht="80" customHeight="1">
      <x:c r="A1098" s="25" t="str">
        <x:v>Codec</x:v>
      </x:c>
      <x:c r="B1098" s="25" t="n">
        <x:v>12</x:v>
      </x:c>
      <x:c r="C1098" s="25" t="str">
        <x:v>Round2</x:v>
      </x:c>
      <x:c r="D1098" s="25" t="str">
        <x:v>INCONCLUSIVE</x:v>
      </x:c>
      <x:c r="E1098" s="25" t="str">
        <x:v>N/A</x:v>
      </x:c>
      <x:c r="F1098" s="26" t="str">
        <x:v>Fixed also failed; assertion failure cannot be attributed to this bug</x:v>
      </x:c>
      <x:c r="G1098" s="25" t="str">
        <x:v>true</x:v>
      </x:c>
      <x:c r="H1098" s="25" t="str">
        <x:v>INCONCLUSIVE</x:v>
      </x:c>
      <x:c r="I1098" s="25" t="str">
        <x:v>FAIL</x:v>
      </x:c>
      <x:c r="J1098" s="25" t="str">
        <x:v>FAIL</x:v>
      </x:c>
      <x:c r="K1098" s="25" t="n">
        <x:v>1</x:v>
      </x:c>
      <x:c r="L1098" s="27" t="b">
        <x:v>0</x:v>
      </x:c>
      <x:c r="M1098" s="25" t="str">
        <x:v>Deepseek-flash-v4/state/Round2/status/Codec_12.json; Deepseek-flash-v4/state/Round2/shards/Codec_12.json</x:v>
      </x:c>
      <x:c r="N1098" s="25" t="str">
        <x:v>Deepseek-flash-v4/Result2/Codec_12/result.json</x:v>
      </x:c>
      <x:c r="O1098" s="25" t="str">
        <x:v>Deepseek-flash-v4/Result2/Codec_12/result.json</x:v>
      </x:c>
      <x:c r="P1098"/>
      <x:c r="Q1098" s="21" t="str"/>
      <x:c r="R1098" s="21" t="str"/>
      <x:c r="S1098" s="21" t="str"/>
      <x:c r="T1098" s="17" t="str">
        <x:v>false</x:v>
      </x:c>
      <x:c r="U1098" s="17" t="str">
        <x:v>true</x:v>
      </x:c>
      <x:c r="V1098" s="17" t="str">
        <x:v>false</x:v>
      </x:c>
    </x:row>
    <x:row r="1099" ht="80" customHeight="1">
      <x:c r="A1099" s="25" t="str">
        <x:v>Codec</x:v>
      </x:c>
      <x:c r="B1099" s="25" t="n">
        <x:v>13</x:v>
      </x:c>
      <x:c r="C1099" s="25" t="str">
        <x:v>Round2</x:v>
      </x:c>
      <x:c r="D1099" s="25" t="str">
        <x:v>NOT_AVAILABLE</x:v>
      </x:c>
      <x:c r="E1099" s="25" t="str">
        <x:v>N/A</x:v>
      </x:c>
      <x:c r="F1099" s="26" t="str">
        <x:v>Tests exist but current coverage did not complete</x:v>
      </x:c>
      <x:c r="G1099" s="25" t="str">
        <x:v>true</x:v>
      </x:c>
      <x:c r="H1099" s="25" t="str">
        <x:v>NOT_AVAILABLE</x:v>
      </x:c>
      <x:c r="I1099" s="25" t="str">
        <x:v>NOT_RUN</x:v>
      </x:c>
      <x:c r="J1099" s="25" t="str">
        <x:v>NOT_RUN</x:v>
      </x:c>
      <x:c r="K1099" s="25" t="n">
        <x:v>2</x:v>
      </x:c>
      <x:c r="L1099" s="27" t="b">
        <x:v>0</x:v>
      </x:c>
      <x:c r="M1099" s="25" t="str">
        <x:v>Deepseek-flash-v4/state/Round2/status/Codec_13.json; Deepseek-flash-v4/state/Round2/shards/Codec_13.json</x:v>
      </x:c>
      <x:c r="N1099" s="25" t="str">
        <x:v>Deepseek-flash-v4/Result2/Codec_13/result.json</x:v>
      </x:c>
      <x:c r="O1099" s="25" t="str">
        <x:v>Deepseek-flash-v4/Result2/Codec_13/result.json</x:v>
      </x:c>
      <x:c r="P1099" t="str">
        <x:v>BOTH_NOT_RUN</x:v>
      </x:c>
      <x:c r="Q1099" s="21" t="str"/>
      <x:c r="R1099" s="21" t="str"/>
      <x:c r="S1099" s="21" t="str"/>
      <x:c r="T1099" s="17" t="str">
        <x:v>false</x:v>
      </x:c>
      <x:c r="U1099" s="17" t="str">
        <x:v>true</x:v>
      </x:c>
      <x:c r="V1099" s="17" t="str">
        <x:v>false</x:v>
      </x:c>
    </x:row>
    <x:row r="1100" ht="80" customHeight="1">
      <x:c r="A1100" s="25" t="str">
        <x:v>Codec</x:v>
      </x:c>
      <x:c r="B1100" s="25" t="n">
        <x:v>14</x:v>
      </x:c>
      <x:c r="C1100" s="25" t="str">
        <x:v>Round2</x:v>
      </x:c>
      <x:c r="D1100" s="25" t="str">
        <x:v>NOT_AVAILABLE</x:v>
      </x:c>
      <x:c r="E1100" s="25" t="str">
        <x:v>N/A</x:v>
      </x:c>
      <x:c r="F1100" s="26" t="str">
        <x:v>Tests exist but current coverage did not complete</x:v>
      </x:c>
      <x:c r="G1100" s="25" t="str">
        <x:v>true</x:v>
      </x:c>
      <x:c r="H1100" s="25" t="str">
        <x:v>NOT_AVAILABLE</x:v>
      </x:c>
      <x:c r="I1100" s="25" t="str">
        <x:v>NOT_RUN</x:v>
      </x:c>
      <x:c r="J1100" s="25" t="str">
        <x:v>NOT_RUN</x:v>
      </x:c>
      <x:c r="K1100" s="25" t="n">
        <x:v>3</x:v>
      </x:c>
      <x:c r="L1100" s="27" t="b">
        <x:v>0</x:v>
      </x:c>
      <x:c r="M1100" s="25" t="str">
        <x:v>Deepseek-flash-v4/state/Round2/status/Codec_14.json; Deepseek-flash-v4/state/Round2/shards/Codec_14.json</x:v>
      </x:c>
      <x:c r="N1100" s="25" t="str">
        <x:v>Deepseek-flash-v4/Result2/Codec_14/result.json</x:v>
      </x:c>
      <x:c r="O1100" s="25" t="str">
        <x:v>Deepseek-flash-v4/Result2/Codec_14/result.json</x:v>
      </x:c>
      <x:c r="P1100" t="str">
        <x:v>BOTH_NOT_RUN</x:v>
      </x:c>
      <x:c r="Q1100" s="21" t="str"/>
      <x:c r="R1100" s="21" t="str"/>
      <x:c r="S1100" s="21" t="str"/>
      <x:c r="T1100" s="17" t="str">
        <x:v>false</x:v>
      </x:c>
      <x:c r="U1100" s="17" t="str">
        <x:v>true</x:v>
      </x:c>
      <x:c r="V1100" s="17" t="str">
        <x:v>false</x:v>
      </x:c>
    </x:row>
    <x:row r="1101" ht="80" customHeight="1">
      <x:c r="A1101" s="25" t="str">
        <x:v>Codec</x:v>
      </x:c>
      <x:c r="B1101" s="25" t="n">
        <x:v>15</x:v>
      </x:c>
      <x:c r="C1101" s="25" t="str">
        <x:v>Round2</x:v>
      </x:c>
      <x:c r="D1101" s="25" t="str">
        <x:v>INCONCLUSIVE</x:v>
      </x:c>
      <x:c r="E1101" s="25" t="str">
        <x:v>N/A</x:v>
      </x:c>
      <x:c r="F1101" s="26" t="str">
        <x:v>Fixed also failed; assertion failure cannot be attributed to this bug</x:v>
      </x:c>
      <x:c r="G1101" s="25" t="str">
        <x:v>true</x:v>
      </x:c>
      <x:c r="H1101" s="25" t="str">
        <x:v>INCONCLUSIVE</x:v>
      </x:c>
      <x:c r="I1101" s="25" t="str">
        <x:v>FAIL</x:v>
      </x:c>
      <x:c r="J1101" s="25" t="str">
        <x:v>FAIL</x:v>
      </x:c>
      <x:c r="K1101" s="25" t="n">
        <x:v>1</x:v>
      </x:c>
      <x:c r="L1101" s="27" t="b">
        <x:v>0</x:v>
      </x:c>
      <x:c r="M1101" s="25" t="str">
        <x:v>Deepseek-flash-v4/state/Round2/status/Codec_15.json; Deepseek-flash-v4/state/Round2/shards/Codec_15.json</x:v>
      </x:c>
      <x:c r="N1101" s="25" t="str">
        <x:v>Deepseek-flash-v4/Result2/Codec_15/result.json</x:v>
      </x:c>
      <x:c r="O1101" s="25" t="str">
        <x:v>Deepseek-flash-v4/Result2/Codec_15/result.json</x:v>
      </x:c>
      <x:c r="P1101"/>
      <x:c r="Q1101" s="21" t="str"/>
      <x:c r="R1101" s="21" t="str"/>
      <x:c r="S1101" s="21" t="str"/>
      <x:c r="T1101" s="17" t="str">
        <x:v>false</x:v>
      </x:c>
      <x:c r="U1101" s="17" t="str">
        <x:v>true</x:v>
      </x:c>
      <x:c r="V1101" s="17" t="str">
        <x:v>false</x:v>
      </x:c>
    </x:row>
    <x:row r="1102" ht="80" customHeight="1">
      <x:c r="A1102" s="25" t="str">
        <x:v>Codec</x:v>
      </x:c>
      <x:c r="B1102" s="25" t="n">
        <x:v>16</x:v>
      </x:c>
      <x:c r="C1102" s="25" t="str">
        <x:v>Round2</x:v>
      </x:c>
      <x:c r="D1102" s="25" t="str">
        <x:v>INCONCLUSIVE</x:v>
      </x:c>
      <x:c r="E1102" s="25" t="str">
        <x:v>N/A</x:v>
      </x:c>
      <x:c r="F1102" s="26" t="str">
        <x:v>Fixed also failed; assertion failure cannot be attributed to this bug</x:v>
      </x:c>
      <x:c r="G1102" s="25" t="str">
        <x:v>true</x:v>
      </x:c>
      <x:c r="H1102" s="25" t="str">
        <x:v>INCONCLUSIVE</x:v>
      </x:c>
      <x:c r="I1102" s="25" t="str">
        <x:v>FAIL</x:v>
      </x:c>
      <x:c r="J1102" s="25" t="str">
        <x:v>FAIL</x:v>
      </x:c>
      <x:c r="K1102" s="25" t="n">
        <x:v>1</x:v>
      </x:c>
      <x:c r="L1102" s="27" t="b">
        <x:v>0</x:v>
      </x:c>
      <x:c r="M1102" s="25" t="str">
        <x:v>Deepseek-flash-v4/state/Round2/status/Codec_16.json; Deepseek-flash-v4/state/Round2/shards/Codec_16.json</x:v>
      </x:c>
      <x:c r="N1102" s="25" t="str">
        <x:v>Deepseek-flash-v4/Result2/Codec_16/result.json</x:v>
      </x:c>
      <x:c r="O1102" s="25" t="str">
        <x:v>Deepseek-flash-v4/Result2/Codec_16/result.json</x:v>
      </x:c>
      <x:c r="P1102"/>
      <x:c r="Q1102" s="21" t="str"/>
      <x:c r="R1102" s="21" t="str"/>
      <x:c r="S1102" s="21" t="str"/>
      <x:c r="T1102" s="17" t="str">
        <x:v>false</x:v>
      </x:c>
      <x:c r="U1102" s="17" t="str">
        <x:v>true</x:v>
      </x:c>
      <x:c r="V1102" s="17" t="str">
        <x:v>false</x:v>
      </x:c>
    </x:row>
    <x:row r="1103" ht="80" customHeight="1">
      <x:c r="A1103" s="25" t="str">
        <x:v>Codec</x:v>
      </x:c>
      <x:c r="B1103" s="25" t="n">
        <x:v>17</x:v>
      </x:c>
      <x:c r="C1103" s="25" t="str">
        <x:v>Round2</x:v>
      </x:c>
      <x:c r="D1103" s="25" t="str">
        <x:v>NOT_AVAILABLE</x:v>
      </x:c>
      <x:c r="E1103" s="25" t="str">
        <x:v>N/A</x:v>
      </x:c>
      <x:c r="F1103" s="26" t="str">
        <x:v>Tests exist but current coverage did not complete</x:v>
      </x:c>
      <x:c r="G1103" s="25" t="str">
        <x:v>true</x:v>
      </x:c>
      <x:c r="H1103" s="25" t="str">
        <x:v>NOT_AVAILABLE</x:v>
      </x:c>
      <x:c r="I1103" s="25" t="str">
        <x:v>NOT_RUN</x:v>
      </x:c>
      <x:c r="J1103" s="25" t="str">
        <x:v>NOT_RUN</x:v>
      </x:c>
      <x:c r="K1103" s="25" t="n">
        <x:v>1</x:v>
      </x:c>
      <x:c r="L1103" s="27" t="b">
        <x:v>0</x:v>
      </x:c>
      <x:c r="M1103" s="25" t="str">
        <x:v>Deepseek-flash-v4/state/Round2/status/Codec_17.json; Deepseek-flash-v4/state/Round2/shards/Codec_17.json</x:v>
      </x:c>
      <x:c r="N1103" s="25" t="str">
        <x:v>Deepseek-flash-v4/Result2/Codec_17/result.json</x:v>
      </x:c>
      <x:c r="O1103" s="25" t="str">
        <x:v>Deepseek-flash-v4/Result2/Codec_17/result.json</x:v>
      </x:c>
      <x:c r="P1103" t="str">
        <x:v>BOTH_NOT_RUN</x:v>
      </x:c>
      <x:c r="Q1103" s="21" t="str"/>
      <x:c r="R1103" s="21" t="str"/>
      <x:c r="S1103" s="21" t="str"/>
      <x:c r="T1103" s="17" t="str">
        <x:v>false</x:v>
      </x:c>
      <x:c r="U1103" s="17" t="str">
        <x:v>true</x:v>
      </x:c>
      <x:c r="V1103" s="17" t="str">
        <x:v>false</x:v>
      </x:c>
    </x:row>
    <x:row r="1104" ht="80" customHeight="1">
      <x:c r="A1104" s="25" t="str">
        <x:v>Codec</x:v>
      </x:c>
      <x:c r="B1104" s="25" t="n">
        <x:v>18</x:v>
      </x:c>
      <x:c r="C1104" s="25" t="str">
        <x:v>Round2</x:v>
      </x:c>
      <x:c r="D1104" s="25" t="str">
        <x:v>NOT_REVEALING</x:v>
      </x:c>
      <x:c r="E1104" s="25" t="str">
        <x:v>N/A</x:v>
      </x:c>
      <x:c r="F1104" s="26" t="str">
        <x:v>Same saved validation suite passed on buggy and fixed</x:v>
      </x:c>
      <x:c r="G1104" s="25" t="str">
        <x:v>true</x:v>
      </x:c>
      <x:c r="H1104" s="25" t="str">
        <x:v>NOT_REVEALING</x:v>
      </x:c>
      <x:c r="I1104" s="25" t="str">
        <x:v>PASS</x:v>
      </x:c>
      <x:c r="J1104" s="25" t="str">
        <x:v>PASS</x:v>
      </x:c>
      <x:c r="K1104" s="25" t="n">
        <x:v>1</x:v>
      </x:c>
      <x:c r="L1104" s="27" t="b">
        <x:v>0</x:v>
      </x:c>
      <x:c r="M1104" s="25" t="str">
        <x:v>Deepseek-flash-v4/state/Round2/status/Codec_18.json; Deepseek-flash-v4/state/Round2/shards/Codec_18.json</x:v>
      </x:c>
      <x:c r="N1104" s="25" t="str">
        <x:v>Deepseek-flash-v4/Result2/Codec_18/result.json</x:v>
      </x:c>
      <x:c r="O1104" s="25" t="str">
        <x:v>Deepseek-flash-v4/Result2/Codec_18/result.json</x:v>
      </x:c>
      <x:c r="P1104"/>
      <x:c r="Q1104" s="21" t="str"/>
      <x:c r="R1104" s="21" t="str"/>
      <x:c r="S1104" s="21" t="str"/>
      <x:c r="T1104" s="17" t="str">
        <x:v>false</x:v>
      </x:c>
      <x:c r="U1104" s="17" t="str">
        <x:v>true</x:v>
      </x:c>
      <x:c r="V1104" s="17" t="str">
        <x:v>false</x:v>
      </x:c>
    </x:row>
    <x:row r="1105" ht="80" customHeight="1">
      <x:c r="A1105" s="25" t="str">
        <x:v>Codec</x:v>
      </x:c>
      <x:c r="B1105" s="25" t="n">
        <x:v>2</x:v>
      </x:c>
      <x:c r="C1105" s="25" t="str">
        <x:v>Round2</x:v>
      </x:c>
      <x:c r="D1105" s="25" t="str">
        <x:v>INCONCLUSIVE</x:v>
      </x:c>
      <x:c r="E1105" s="25" t="str">
        <x:v>N/A</x:v>
      </x:c>
      <x:c r="F1105" s="26" t="str">
        <x:v>Fixed also failed; assertion failure cannot be attributed to this bug; Same-round generation metadata missing; use saved tests and execution evidence, no failure inferred</x:v>
      </x:c>
      <x:c r="G1105" s="25" t="str">
        <x:v>true</x:v>
      </x:c>
      <x:c r="H1105" s="25" t="str">
        <x:v>INCONCLUSIVE</x:v>
      </x:c>
      <x:c r="I1105" s="25" t="str">
        <x:v>FAIL</x:v>
      </x:c>
      <x:c r="J1105" s="25" t="str">
        <x:v>FAIL</x:v>
      </x:c>
      <x:c r="K1105" s="25" t="n">
        <x:v>1</x:v>
      </x:c>
      <x:c r="L1105" s="27" t="b">
        <x:v>0</x:v>
      </x:c>
      <x:c r="M1105" s="25"/>
      <x:c r="N1105" s="25" t="str">
        <x:v>Deepseek-flash-v4/Result2/Codec_2/result.json</x:v>
      </x:c>
      <x:c r="O1105" s="25" t="str">
        <x:v>Deepseek-flash-v4/Result2/Codec_2/result.json</x:v>
      </x:c>
      <x:c r="P1105"/>
      <x:c r="Q1105" s="21" t="str"/>
      <x:c r="R1105" s="21" t="str"/>
      <x:c r="S1105" s="21" t="str"/>
      <x:c r="T1105" s="17" t="str">
        <x:v>false</x:v>
      </x:c>
      <x:c r="U1105" s="17" t="str">
        <x:v>true</x:v>
      </x:c>
      <x:c r="V1105" s="17" t="str">
        <x:v>false</x:v>
      </x:c>
    </x:row>
    <x:row r="1106" ht="80" customHeight="1">
      <x:c r="A1106" s="25" t="str">
        <x:v>Codec</x:v>
      </x:c>
      <x:c r="B1106" s="25" t="n">
        <x:v>3</x:v>
      </x:c>
      <x:c r="C1106" s="25" t="str">
        <x:v>Round2</x:v>
      </x:c>
      <x:c r="D1106" s="25" t="str">
        <x:v>INCONCLUSIVE</x:v>
      </x:c>
      <x:c r="E1106" s="25" t="str">
        <x:v>N/A</x:v>
      </x:c>
      <x:c r="F1106" s="26" t="str">
        <x:v>Fixed also failed; assertion failure cannot be attributed to this bug</x:v>
      </x:c>
      <x:c r="G1106" s="25" t="str">
        <x:v>true</x:v>
      </x:c>
      <x:c r="H1106" s="25" t="str">
        <x:v>INCONCLUSIVE</x:v>
      </x:c>
      <x:c r="I1106" s="25" t="str">
        <x:v>FAIL</x:v>
      </x:c>
      <x:c r="J1106" s="25" t="str">
        <x:v>FAIL</x:v>
      </x:c>
      <x:c r="K1106" s="25" t="n">
        <x:v>1</x:v>
      </x:c>
      <x:c r="L1106" s="27" t="b">
        <x:v>0</x:v>
      </x:c>
      <x:c r="M1106" s="25" t="str">
        <x:v>Deepseek-flash-v4/state/Round2/status/Codec_3.json; Deepseek-flash-v4/state/Round2/shards/Codec_3.json</x:v>
      </x:c>
      <x:c r="N1106" s="25" t="str">
        <x:v>Deepseek-flash-v4/Result2/Codec_3/result.json</x:v>
      </x:c>
      <x:c r="O1106" s="25" t="str">
        <x:v>Deepseek-flash-v4/Result2/Codec_3/result.json</x:v>
      </x:c>
      <x:c r="P1106"/>
      <x:c r="Q1106" s="21" t="str"/>
      <x:c r="R1106" s="21" t="str"/>
      <x:c r="S1106" s="21" t="str"/>
      <x:c r="T1106" s="17" t="str">
        <x:v>false</x:v>
      </x:c>
      <x:c r="U1106" s="17" t="str">
        <x:v>true</x:v>
      </x:c>
      <x:c r="V1106" s="17" t="str">
        <x:v>false</x:v>
      </x:c>
    </x:row>
    <x:row r="1107" ht="80" customHeight="1">
      <x:c r="A1107" s="25" t="str">
        <x:v>Codec</x:v>
      </x:c>
      <x:c r="B1107" s="25" t="n">
        <x:v>4</x:v>
      </x:c>
      <x:c r="C1107" s="25" t="str">
        <x:v>Round2</x:v>
      </x:c>
      <x:c r="D1107" s="25" t="str">
        <x:v>INCONCLUSIVE</x:v>
      </x:c>
      <x:c r="E1107" s="25" t="str">
        <x:v>N/A</x:v>
      </x:c>
      <x:c r="F1107" s="26" t="str">
        <x:v>Fixed also failed; assertion failure cannot be attributed to this bug</x:v>
      </x:c>
      <x:c r="G1107" s="25" t="str">
        <x:v>true</x:v>
      </x:c>
      <x:c r="H1107" s="25" t="str">
        <x:v>INCONCLUSIVE</x:v>
      </x:c>
      <x:c r="I1107" s="25" t="str">
        <x:v>FAIL</x:v>
      </x:c>
      <x:c r="J1107" s="25" t="str">
        <x:v>FAIL</x:v>
      </x:c>
      <x:c r="K1107" s="25" t="n">
        <x:v>1</x:v>
      </x:c>
      <x:c r="L1107" s="27" t="b">
        <x:v>0</x:v>
      </x:c>
      <x:c r="M1107" s="25" t="str">
        <x:v>Deepseek-flash-v4/state/Round2/status/Codec_4.json; Deepseek-flash-v4/state/Round2/shards/Codec_4.json</x:v>
      </x:c>
      <x:c r="N1107" s="25" t="str">
        <x:v>Deepseek-flash-v4/Result2/Codec_4/result.json</x:v>
      </x:c>
      <x:c r="O1107" s="25" t="str">
        <x:v>Deepseek-flash-v4/Result2/Codec_4/result.json</x:v>
      </x:c>
      <x:c r="P1107"/>
      <x:c r="Q1107" s="21" t="str"/>
      <x:c r="R1107" s="21" t="str"/>
      <x:c r="S1107" s="21" t="str"/>
      <x:c r="T1107" s="17" t="str">
        <x:v>false</x:v>
      </x:c>
      <x:c r="U1107" s="17" t="str">
        <x:v>true</x:v>
      </x:c>
      <x:c r="V1107" s="17" t="str">
        <x:v>false</x:v>
      </x:c>
    </x:row>
    <x:row r="1108" ht="80" customHeight="1">
      <x:c r="A1108" s="25" t="str">
        <x:v>Codec</x:v>
      </x:c>
      <x:c r="B1108" s="25" t="n">
        <x:v>5</x:v>
      </x:c>
      <x:c r="C1108" s="25" t="str">
        <x:v>Round2</x:v>
      </x:c>
      <x:c r="D1108" s="25" t="str">
        <x:v>INCONCLUSIVE</x:v>
      </x:c>
      <x:c r="E1108" s="25" t="str">
        <x:v>N/A</x:v>
      </x:c>
      <x:c r="F1108" s="26" t="str">
        <x:v>Fixed also failed; assertion failure cannot be attributed to this bug; Same-round generation metadata missing; use saved tests and execution evidence, no failure inferred</x:v>
      </x:c>
      <x:c r="G1108" s="25" t="str">
        <x:v>true</x:v>
      </x:c>
      <x:c r="H1108" s="25" t="str">
        <x:v>INCONCLUSIVE</x:v>
      </x:c>
      <x:c r="I1108" s="25" t="str">
        <x:v>FAIL</x:v>
      </x:c>
      <x:c r="J1108" s="25" t="str">
        <x:v>FAIL</x:v>
      </x:c>
      <x:c r="K1108" s="25" t="n">
        <x:v>1</x:v>
      </x:c>
      <x:c r="L1108" s="27" t="b">
        <x:v>0</x:v>
      </x:c>
      <x:c r="M1108" s="25"/>
      <x:c r="N1108" s="25" t="str">
        <x:v>Deepseek-flash-v4/Result2/Codec_5/result.json</x:v>
      </x:c>
      <x:c r="O1108" s="25" t="str">
        <x:v>Deepseek-flash-v4/Result2/Codec_5/result.json</x:v>
      </x:c>
      <x:c r="P1108"/>
      <x:c r="Q1108" s="21" t="str"/>
      <x:c r="R1108" s="21" t="str"/>
      <x:c r="S1108" s="21" t="str"/>
      <x:c r="T1108" s="17" t="str">
        <x:v>false</x:v>
      </x:c>
      <x:c r="U1108" s="17" t="str">
        <x:v>true</x:v>
      </x:c>
      <x:c r="V1108" s="17" t="str">
        <x:v>false</x:v>
      </x:c>
    </x:row>
    <x:row r="1109" ht="80" customHeight="1">
      <x:c r="A1109" s="25" t="str">
        <x:v>Codec</x:v>
      </x:c>
      <x:c r="B1109" s="25" t="n">
        <x:v>6</x:v>
      </x:c>
      <x:c r="C1109" s="25" t="str">
        <x:v>Round2</x:v>
      </x:c>
      <x:c r="D1109" s="25" t="str">
        <x:v>INCONCLUSIVE</x:v>
      </x:c>
      <x:c r="E1109" s="25" t="str">
        <x:v>N/A</x:v>
      </x:c>
      <x:c r="F1109" s="26" t="str">
        <x:v>Fixed also failed; assertion failure cannot be attributed to this bug</x:v>
      </x:c>
      <x:c r="G1109" s="25" t="str">
        <x:v>true</x:v>
      </x:c>
      <x:c r="H1109" s="25" t="str">
        <x:v>INCONCLUSIVE</x:v>
      </x:c>
      <x:c r="I1109" s="25" t="str">
        <x:v>FAIL</x:v>
      </x:c>
      <x:c r="J1109" s="25" t="str">
        <x:v>FAIL</x:v>
      </x:c>
      <x:c r="K1109" s="25" t="n">
        <x:v>1</x:v>
      </x:c>
      <x:c r="L1109" s="27" t="b">
        <x:v>0</x:v>
      </x:c>
      <x:c r="M1109" s="25" t="str">
        <x:v>Deepseek-flash-v4/state/Round2/status/Codec_6.json; Deepseek-flash-v4/state/Round2/shards/Codec_6.json</x:v>
      </x:c>
      <x:c r="N1109" s="25" t="str">
        <x:v>Deepseek-flash-v4/Result2/Codec_6/result.json</x:v>
      </x:c>
      <x:c r="O1109" s="25" t="str">
        <x:v>Deepseek-flash-v4/Result2/Codec_6/result.json</x:v>
      </x:c>
      <x:c r="P1109"/>
      <x:c r="Q1109" s="21" t="str"/>
      <x:c r="R1109" s="21" t="str"/>
      <x:c r="S1109" s="21" t="str"/>
      <x:c r="T1109" s="17" t="str">
        <x:v>false</x:v>
      </x:c>
      <x:c r="U1109" s="17" t="str">
        <x:v>true</x:v>
      </x:c>
      <x:c r="V1109" s="17" t="str">
        <x:v>false</x:v>
      </x:c>
    </x:row>
    <x:row r="1110" ht="80" customHeight="1">
      <x:c r="A1110" s="25" t="str">
        <x:v>Codec</x:v>
      </x:c>
      <x:c r="B1110" s="25" t="n">
        <x:v>7</x:v>
      </x:c>
      <x:c r="C1110" s="25" t="str">
        <x:v>Round2</x:v>
      </x:c>
      <x:c r="D1110" s="25" t="str">
        <x:v>INCONCLUSIVE</x:v>
      </x:c>
      <x:c r="E1110" s="25" t="str">
        <x:v>N/A</x:v>
      </x:c>
      <x:c r="F1110" s="26" t="str">
        <x:v>Fixed also failed; assertion failure cannot be attributed to this bug; Same-round generation metadata missing; use saved tests and execution evidence, no failure inferred</x:v>
      </x:c>
      <x:c r="G1110" s="25" t="str">
        <x:v>true</x:v>
      </x:c>
      <x:c r="H1110" s="25" t="str">
        <x:v>INCONCLUSIVE</x:v>
      </x:c>
      <x:c r="I1110" s="25" t="str">
        <x:v>FAIL</x:v>
      </x:c>
      <x:c r="J1110" s="25" t="str">
        <x:v>FAIL</x:v>
      </x:c>
      <x:c r="K1110" s="25" t="n">
        <x:v>1</x:v>
      </x:c>
      <x:c r="L1110" s="27" t="b">
        <x:v>0</x:v>
      </x:c>
      <x:c r="M1110" s="25"/>
      <x:c r="N1110" s="25" t="str">
        <x:v>Deepseek-flash-v4/Result2/Codec_7/result.json</x:v>
      </x:c>
      <x:c r="O1110" s="25" t="str">
        <x:v>Deepseek-flash-v4/Result2/Codec_7/result.json</x:v>
      </x:c>
      <x:c r="P1110"/>
      <x:c r="Q1110" s="21" t="str"/>
      <x:c r="R1110" s="21" t="str"/>
      <x:c r="S1110" s="21" t="str"/>
      <x:c r="T1110" s="17" t="str">
        <x:v>false</x:v>
      </x:c>
      <x:c r="U1110" s="17" t="str">
        <x:v>true</x:v>
      </x:c>
      <x:c r="V1110" s="17" t="str">
        <x:v>false</x:v>
      </x:c>
    </x:row>
    <x:row r="1111" ht="80" customHeight="1">
      <x:c r="A1111" s="25" t="str">
        <x:v>Codec</x:v>
      </x:c>
      <x:c r="B1111" s="25" t="n">
        <x:v>8</x:v>
      </x:c>
      <x:c r="C1111" s="25" t="str">
        <x:v>Round2</x:v>
      </x:c>
      <x:c r="D1111" s="25" t="str">
        <x:v>INCONCLUSIVE</x:v>
      </x:c>
      <x:c r="E1111" s="25" t="str">
        <x:v>N/A</x:v>
      </x:c>
      <x:c r="F1111" s="26" t="str">
        <x:v>Fixed also failed; assertion failure cannot be attributed to this bug; Same-round generation metadata missing; use saved tests and execution evidence, no failure inferred</x:v>
      </x:c>
      <x:c r="G1111" s="25" t="str">
        <x:v>true</x:v>
      </x:c>
      <x:c r="H1111" s="25" t="str">
        <x:v>INCONCLUSIVE</x:v>
      </x:c>
      <x:c r="I1111" s="25" t="str">
        <x:v>FAIL</x:v>
      </x:c>
      <x:c r="J1111" s="25" t="str">
        <x:v>FAIL</x:v>
      </x:c>
      <x:c r="K1111" s="25" t="n">
        <x:v>2</x:v>
      </x:c>
      <x:c r="L1111" s="27" t="b">
        <x:v>0</x:v>
      </x:c>
      <x:c r="M1111" s="25"/>
      <x:c r="N1111" s="25" t="str">
        <x:v>Deepseek-flash-v4/Result2/Codec_8/result.json</x:v>
      </x:c>
      <x:c r="O1111" s="25" t="str">
        <x:v>Deepseek-flash-v4/Result2/Codec_8/result.json</x:v>
      </x:c>
      <x:c r="P1111"/>
      <x:c r="Q1111" s="21" t="str"/>
      <x:c r="R1111" s="21" t="str"/>
      <x:c r="S1111" s="21" t="str"/>
      <x:c r="T1111" s="17" t="str">
        <x:v>false</x:v>
      </x:c>
      <x:c r="U1111" s="17" t="str">
        <x:v>true</x:v>
      </x:c>
      <x:c r="V1111" s="17" t="str">
        <x:v>false</x:v>
      </x:c>
    </x:row>
    <x:row r="1112" ht="80" customHeight="1">
      <x:c r="A1112" s="25" t="str">
        <x:v>Codec</x:v>
      </x:c>
      <x:c r="B1112" s="25" t="n">
        <x:v>9</x:v>
      </x:c>
      <x:c r="C1112" s="25" t="str">
        <x:v>Round2</x:v>
      </x:c>
      <x:c r="D1112" s="25" t="str">
        <x:v>NOT_AVAILABLE</x:v>
      </x:c>
      <x:c r="E1112" s="25" t="str">
        <x:v>N/A</x:v>
      </x:c>
      <x:c r="F1112" s="26" t="str">
        <x:v>Tests exist but current coverage did not complete</x:v>
      </x:c>
      <x:c r="G1112" s="25" t="str">
        <x:v>true</x:v>
      </x:c>
      <x:c r="H1112" s="25" t="str">
        <x:v>NOT_AVAILABLE</x:v>
      </x:c>
      <x:c r="I1112" s="25" t="str">
        <x:v>NOT_RUN</x:v>
      </x:c>
      <x:c r="J1112" s="25" t="str">
        <x:v>NOT_RUN</x:v>
      </x:c>
      <x:c r="K1112" s="25" t="n">
        <x:v>1</x:v>
      </x:c>
      <x:c r="L1112" s="27" t="b">
        <x:v>0</x:v>
      </x:c>
      <x:c r="M1112" s="25" t="str">
        <x:v>Deepseek-flash-v4/state/Round2/status/Codec_9.json; Deepseek-flash-v4/state/Round2/shards/Codec_9.json</x:v>
      </x:c>
      <x:c r="N1112" s="25" t="str">
        <x:v>Deepseek-flash-v4/Result2/Codec_9/result.json</x:v>
      </x:c>
      <x:c r="O1112" s="25" t="str">
        <x:v>Deepseek-flash-v4/Result2/Codec_9/result.json</x:v>
      </x:c>
      <x:c r="P1112" t="str">
        <x:v>BOTH_NOT_RUN</x:v>
      </x:c>
      <x:c r="Q1112" s="21" t="str"/>
      <x:c r="R1112" s="21" t="str"/>
      <x:c r="S1112" s="21" t="str"/>
      <x:c r="T1112" s="17" t="str">
        <x:v>false</x:v>
      </x:c>
      <x:c r="U1112" s="17" t="str">
        <x:v>true</x:v>
      </x:c>
      <x:c r="V1112" s="17" t="str">
        <x:v>false</x:v>
      </x:c>
    </x:row>
    <x:row r="1113" ht="80" customHeight="1">
      <x:c r="A1113" s="25" t="str">
        <x:v>Collections</x:v>
      </x:c>
      <x:c r="B1113" s="25" t="n">
        <x:v>1</x:v>
      </x:c>
      <x:c r="C1113" s="25" t="str">
        <x:v>Round2</x:v>
      </x:c>
      <x:c r="D1113" s="25" t="str">
        <x:v>INCONCLUSIVE</x:v>
      </x:c>
      <x:c r="E1113" s="25" t="str">
        <x:v>N/A</x:v>
      </x:c>
      <x:c r="F1113" s="26" t="str">
        <x:v>Fixed also failed; assertion failure cannot be attributed to this bug</x:v>
      </x:c>
      <x:c r="G1113" s="25" t="str">
        <x:v>true</x:v>
      </x:c>
      <x:c r="H1113" s="25" t="str">
        <x:v>INCONCLUSIVE</x:v>
      </x:c>
      <x:c r="I1113" s="25" t="str">
        <x:v>FAIL</x:v>
      </x:c>
      <x:c r="J1113" s="25" t="str">
        <x:v>FAIL</x:v>
      </x:c>
      <x:c r="K1113" s="25" t="n">
        <x:v>1</x:v>
      </x:c>
      <x:c r="L1113" s="27" t="b">
        <x:v>0</x:v>
      </x:c>
      <x:c r="M1113" s="25" t="str">
        <x:v>Deepseek-flash-v4/state/Round2/status/Collections_1.json; Deepseek-flash-v4/state/Round2/shards/Collections_1.json</x:v>
      </x:c>
      <x:c r="N1113" s="25" t="str">
        <x:v>Deepseek-flash-v4/Result2/Collections_1/result.json</x:v>
      </x:c>
      <x:c r="O1113" s="25" t="str">
        <x:v>Deepseek-flash-v4/Result2/Collections_1/result.json</x:v>
      </x:c>
      <x:c r="P1113"/>
      <x:c r="Q1113" s="21" t="str"/>
      <x:c r="R1113" s="21" t="str"/>
      <x:c r="S1113" s="21" t="str"/>
      <x:c r="T1113" s="17" t="str">
        <x:v>false</x:v>
      </x:c>
      <x:c r="U1113" s="17" t="str">
        <x:v>true</x:v>
      </x:c>
      <x:c r="V1113" s="17" t="str">
        <x:v>false</x:v>
      </x:c>
    </x:row>
    <x:row r="1114" ht="80" customHeight="1">
      <x:c r="A1114" s="25" t="str">
        <x:v>Collections</x:v>
      </x:c>
      <x:c r="B1114" s="25" t="n">
        <x:v>10</x:v>
      </x:c>
      <x:c r="C1114" s="25" t="str">
        <x:v>Round2</x:v>
      </x:c>
      <x:c r="D1114" s="25" t="str">
        <x:v>NOT_REVEALING</x:v>
      </x:c>
      <x:c r="E1114" s="25" t="str">
        <x:v>N/A</x:v>
      </x:c>
      <x:c r="F1114" s="26" t="str">
        <x:v>Same saved validation suite passed on buggy and fixed; Same-round generation metadata missing; use saved tests and execution evidence, no failure inferred</x:v>
      </x:c>
      <x:c r="G1114" s="25" t="str">
        <x:v>true</x:v>
      </x:c>
      <x:c r="H1114" s="25" t="str">
        <x:v>NOT_REVEALING</x:v>
      </x:c>
      <x:c r="I1114" s="25" t="str">
        <x:v>PASS</x:v>
      </x:c>
      <x:c r="J1114" s="25" t="str">
        <x:v>PASS</x:v>
      </x:c>
      <x:c r="K1114" s="25" t="n">
        <x:v>1</x:v>
      </x:c>
      <x:c r="L1114" s="27" t="b">
        <x:v>0</x:v>
      </x:c>
      <x:c r="M1114" s="25"/>
      <x:c r="N1114" s="25" t="str">
        <x:v>Deepseek-flash-v4/Result2/Collections_10/result.json</x:v>
      </x:c>
      <x:c r="O1114" s="25" t="str">
        <x:v>Deepseek-flash-v4/Result2/Collections_10/result.json</x:v>
      </x:c>
      <x:c r="P1114"/>
      <x:c r="Q1114" s="21" t="str"/>
      <x:c r="R1114" s="21" t="str"/>
      <x:c r="S1114" s="21" t="str"/>
      <x:c r="T1114" s="17" t="str">
        <x:v>false</x:v>
      </x:c>
      <x:c r="U1114" s="17" t="str">
        <x:v>true</x:v>
      </x:c>
      <x:c r="V1114" s="17" t="str">
        <x:v>false</x:v>
      </x:c>
    </x:row>
    <x:row r="1115" ht="80" customHeight="1">
      <x:c r="A1115" s="25" t="str">
        <x:v>Collections</x:v>
      </x:c>
      <x:c r="B1115" s="25" t="n">
        <x:v>11</x:v>
      </x:c>
      <x:c r="C1115" s="25" t="str">
        <x:v>Round2</x:v>
      </x:c>
      <x:c r="D1115" s="25" t="str">
        <x:v>INCONCLUSIVE</x:v>
      </x:c>
      <x:c r="E1115" s="25" t="str">
        <x:v>N/A</x:v>
      </x:c>
      <x:c r="F1115" s="26" t="str">
        <x:v>Fixed also failed; assertion failure cannot be attributed to this bug; Same-round generation metadata missing; use saved tests and execution evidence, no failure inferred</x:v>
      </x:c>
      <x:c r="G1115" s="25" t="str">
        <x:v>true</x:v>
      </x:c>
      <x:c r="H1115" s="25" t="str">
        <x:v>INCONCLUSIVE</x:v>
      </x:c>
      <x:c r="I1115" s="25" t="str">
        <x:v>FAIL</x:v>
      </x:c>
      <x:c r="J1115" s="25" t="str">
        <x:v>FAIL</x:v>
      </x:c>
      <x:c r="K1115" s="25" t="n">
        <x:v>1</x:v>
      </x:c>
      <x:c r="L1115" s="27" t="b">
        <x:v>0</x:v>
      </x:c>
      <x:c r="M1115" s="25"/>
      <x:c r="N1115" s="25" t="str">
        <x:v>Deepseek-flash-v4/Result2/Collections_11/result.json</x:v>
      </x:c>
      <x:c r="O1115" s="25" t="str">
        <x:v>Deepseek-flash-v4/Result2/Collections_11/result.json</x:v>
      </x:c>
      <x:c r="P1115"/>
      <x:c r="Q1115" s="21" t="str"/>
      <x:c r="R1115" s="21" t="str"/>
      <x:c r="S1115" s="21" t="str"/>
      <x:c r="T1115" s="17" t="str">
        <x:v>false</x:v>
      </x:c>
      <x:c r="U1115" s="17" t="str">
        <x:v>true</x:v>
      </x:c>
      <x:c r="V1115" s="17" t="str">
        <x:v>false</x:v>
      </x:c>
    </x:row>
    <x:row r="1116" ht="80" customHeight="1">
      <x:c r="A1116" s="25" t="str">
        <x:v>Collections</x:v>
      </x:c>
      <x:c r="B1116" s="25" t="n">
        <x:v>12</x:v>
      </x:c>
      <x:c r="C1116" s="25" t="str">
        <x:v>Round2</x:v>
      </x:c>
      <x:c r="D1116" s="25" t="str">
        <x:v>NOT_AVAILABLE</x:v>
      </x:c>
      <x:c r="E1116" s="25" t="str">
        <x:v>N/A</x:v>
      </x:c>
      <x:c r="F1116" s="26" t="str">
        <x:v>Tests exist but current coverage did not complete</x:v>
      </x:c>
      <x:c r="G1116" s="25" t="str">
        <x:v>true</x:v>
      </x:c>
      <x:c r="H1116" s="25" t="str">
        <x:v>NOT_AVAILABLE</x:v>
      </x:c>
      <x:c r="I1116" s="25" t="str">
        <x:v>NOT_RUN</x:v>
      </x:c>
      <x:c r="J1116" s="25" t="str">
        <x:v>NOT_RUN</x:v>
      </x:c>
      <x:c r="K1116" s="25" t="n">
        <x:v>1</x:v>
      </x:c>
      <x:c r="L1116" s="27" t="b">
        <x:v>0</x:v>
      </x:c>
      <x:c r="M1116" s="25" t="str">
        <x:v>Deepseek-flash-v4/state/Round2/status/Collections_12.json; Deepseek-flash-v4/state/Round2/shards/Collections_12.json</x:v>
      </x:c>
      <x:c r="N1116" s="25" t="str">
        <x:v>Deepseek-flash-v4/Result2/Collections_12/result.json</x:v>
      </x:c>
      <x:c r="O1116" s="25" t="str">
        <x:v>Deepseek-flash-v4/Result2/Collections_12/result.json</x:v>
      </x:c>
      <x:c r="P1116" t="str">
        <x:v>BOTH_NOT_RUN</x:v>
      </x:c>
      <x:c r="Q1116" s="21" t="str"/>
      <x:c r="R1116" s="21" t="str"/>
      <x:c r="S1116" s="21" t="str"/>
      <x:c r="T1116" s="17" t="str">
        <x:v>false</x:v>
      </x:c>
      <x:c r="U1116" s="17" t="str">
        <x:v>true</x:v>
      </x:c>
      <x:c r="V1116" s="17" t="str">
        <x:v>false</x:v>
      </x:c>
    </x:row>
    <x:row r="1117" ht="80" customHeight="1">
      <x:c r="A1117" s="25" t="str">
        <x:v>Collections</x:v>
      </x:c>
      <x:c r="B1117" s="25" t="n">
        <x:v>13</x:v>
      </x:c>
      <x:c r="C1117" s="25" t="str">
        <x:v>Round2</x:v>
      </x:c>
      <x:c r="D1117" s="25" t="str">
        <x:v>NOT_AVAILABLE</x:v>
      </x:c>
      <x:c r="E1117" s="25" t="str">
        <x:v>N/A</x:v>
      </x:c>
      <x:c r="F1117" s="26" t="str">
        <x:v>Tests exist but current coverage did not complete</x:v>
      </x:c>
      <x:c r="G1117" s="25" t="str">
        <x:v>true</x:v>
      </x:c>
      <x:c r="H1117" s="25" t="str">
        <x:v>NOT_AVAILABLE</x:v>
      </x:c>
      <x:c r="I1117" s="25" t="str">
        <x:v>NOT_RUN</x:v>
      </x:c>
      <x:c r="J1117" s="25" t="str">
        <x:v>NOT_RUN</x:v>
      </x:c>
      <x:c r="K1117" s="25" t="n">
        <x:v>1</x:v>
      </x:c>
      <x:c r="L1117" s="27" t="b">
        <x:v>0</x:v>
      </x:c>
      <x:c r="M1117" s="25" t="str">
        <x:v>Deepseek-flash-v4/state/Round2/status/Collections_13.json; Deepseek-flash-v4/state/Round2/shards/Collections_13.json</x:v>
      </x:c>
      <x:c r="N1117" s="25" t="str">
        <x:v>Deepseek-flash-v4/Result2/Collections_13/result.json</x:v>
      </x:c>
      <x:c r="O1117" s="25" t="str">
        <x:v>Deepseek-flash-v4/Result2/Collections_13/result.json</x:v>
      </x:c>
      <x:c r="P1117" t="str">
        <x:v>BOTH_NOT_RUN</x:v>
      </x:c>
      <x:c r="Q1117" s="21" t="str"/>
      <x:c r="R1117" s="21" t="str"/>
      <x:c r="S1117" s="21" t="str"/>
      <x:c r="T1117" s="17" t="str">
        <x:v>false</x:v>
      </x:c>
      <x:c r="U1117" s="17" t="str">
        <x:v>true</x:v>
      </x:c>
      <x:c r="V1117" s="17" t="str">
        <x:v>false</x:v>
      </x:c>
    </x:row>
    <x:row r="1118" ht="80" customHeight="1">
      <x:c r="A1118" s="25" t="str">
        <x:v>Collections</x:v>
      </x:c>
      <x:c r="B1118" s="25" t="n">
        <x:v>14</x:v>
      </x:c>
      <x:c r="C1118" s="25" t="str">
        <x:v>Round2</x:v>
      </x:c>
      <x:c r="D1118" s="25" t="str">
        <x:v>NOT_REVEALING</x:v>
      </x:c>
      <x:c r="E1118" s="25" t="str">
        <x:v>N/A</x:v>
      </x:c>
      <x:c r="F1118" s="26" t="str">
        <x:v>Same saved validation suite passed on buggy and fixed</x:v>
      </x:c>
      <x:c r="G1118" s="25" t="str">
        <x:v>true</x:v>
      </x:c>
      <x:c r="H1118" s="25" t="str">
        <x:v>NOT_REVEALING</x:v>
      </x:c>
      <x:c r="I1118" s="25" t="str">
        <x:v>PASS</x:v>
      </x:c>
      <x:c r="J1118" s="25" t="str">
        <x:v>PASS</x:v>
      </x:c>
      <x:c r="K1118" s="25" t="n">
        <x:v>1</x:v>
      </x:c>
      <x:c r="L1118" s="27" t="b">
        <x:v>0</x:v>
      </x:c>
      <x:c r="M1118" s="25" t="str">
        <x:v>Deepseek-flash-v4/state/Round2/status/Collections_14.json; Deepseek-flash-v4/state/Round2/shards/Collections_14.json</x:v>
      </x:c>
      <x:c r="N1118" s="25" t="str">
        <x:v>Deepseek-flash-v4/Result2/Collections_14/result.json</x:v>
      </x:c>
      <x:c r="O1118" s="25" t="str">
        <x:v>Deepseek-flash-v4/Result2/Collections_14/result.json</x:v>
      </x:c>
      <x:c r="P1118"/>
      <x:c r="Q1118" s="21" t="str"/>
      <x:c r="R1118" s="21" t="str"/>
      <x:c r="S1118" s="21" t="str"/>
      <x:c r="T1118" s="17" t="str">
        <x:v>false</x:v>
      </x:c>
      <x:c r="U1118" s="17" t="str">
        <x:v>true</x:v>
      </x:c>
      <x:c r="V1118" s="17" t="str">
        <x:v>false</x:v>
      </x:c>
    </x:row>
    <x:row r="1119" ht="80" customHeight="1">
      <x:c r="A1119" s="25" t="str">
        <x:v>Collections</x:v>
      </x:c>
      <x:c r="B1119" s="25" t="n">
        <x:v>15</x:v>
      </x:c>
      <x:c r="C1119" s="25" t="str">
        <x:v>Round2</x:v>
      </x:c>
      <x:c r="D1119" s="25" t="str">
        <x:v>NOT_REVEALING</x:v>
      </x:c>
      <x:c r="E1119" s="25" t="str">
        <x:v>N/A</x:v>
      </x:c>
      <x:c r="F1119" s="26" t="str">
        <x:v>Same saved validation suite passed on buggy and fixed</x:v>
      </x:c>
      <x:c r="G1119" s="25" t="str">
        <x:v>true</x:v>
      </x:c>
      <x:c r="H1119" s="25" t="str">
        <x:v>NOT_REVEALING</x:v>
      </x:c>
      <x:c r="I1119" s="25" t="str">
        <x:v>PASS</x:v>
      </x:c>
      <x:c r="J1119" s="25" t="str">
        <x:v>PASS</x:v>
      </x:c>
      <x:c r="K1119" s="25" t="n">
        <x:v>1</x:v>
      </x:c>
      <x:c r="L1119" s="27" t="b">
        <x:v>0</x:v>
      </x:c>
      <x:c r="M1119" s="25" t="str">
        <x:v>Deepseek-flash-v4/state/Round2/status/Collections_15.json; Deepseek-flash-v4/state/Round2/shards/Collections_15.json</x:v>
      </x:c>
      <x:c r="N1119" s="25" t="str">
        <x:v>Deepseek-flash-v4/Result2/Collections_15/result.json</x:v>
      </x:c>
      <x:c r="O1119" s="25" t="str">
        <x:v>Deepseek-flash-v4/Result2/Collections_15/result.json</x:v>
      </x:c>
      <x:c r="P1119"/>
      <x:c r="Q1119" s="21" t="str"/>
      <x:c r="R1119" s="21" t="str"/>
      <x:c r="S1119" s="21" t="str"/>
      <x:c r="T1119" s="17" t="str">
        <x:v>false</x:v>
      </x:c>
      <x:c r="U1119" s="17" t="str">
        <x:v>true</x:v>
      </x:c>
      <x:c r="V1119" s="17" t="str">
        <x:v>false</x:v>
      </x:c>
    </x:row>
    <x:row r="1120" ht="80" customHeight="1">
      <x:c r="A1120" s="25" t="str">
        <x:v>Collections</x:v>
      </x:c>
      <x:c r="B1120" s="25" t="n">
        <x:v>16</x:v>
      </x:c>
      <x:c r="C1120" s="25" t="str">
        <x:v>Round2</x:v>
      </x:c>
      <x:c r="D1120" s="25" t="str">
        <x:v>NOT_AVAILABLE</x:v>
      </x:c>
      <x:c r="E1120" s="25" t="str">
        <x:v>N/A</x:v>
      </x:c>
      <x:c r="F1120" s="26" t="str">
        <x:v>Tests exist but current coverage did not complete</x:v>
      </x:c>
      <x:c r="G1120" s="25" t="str">
        <x:v>true</x:v>
      </x:c>
      <x:c r="H1120" s="25" t="str">
        <x:v>NOT_AVAILABLE</x:v>
      </x:c>
      <x:c r="I1120" s="25" t="str">
        <x:v>NOT_RUN</x:v>
      </x:c>
      <x:c r="J1120" s="25" t="str">
        <x:v>NOT_RUN</x:v>
      </x:c>
      <x:c r="K1120" s="25" t="n">
        <x:v>1</x:v>
      </x:c>
      <x:c r="L1120" s="27" t="b">
        <x:v>0</x:v>
      </x:c>
      <x:c r="M1120" s="25" t="str">
        <x:v>Deepseek-flash-v4/state/Round2/status/Collections_16.json; Deepseek-flash-v4/state/Round2/shards/Collections_16.json</x:v>
      </x:c>
      <x:c r="N1120" s="25" t="str">
        <x:v>Deepseek-flash-v4/Result2/Collections_16/result.json</x:v>
      </x:c>
      <x:c r="O1120" s="25" t="str">
        <x:v>Deepseek-flash-v4/Result2/Collections_16/result.json</x:v>
      </x:c>
      <x:c r="P1120" t="str">
        <x:v>BOTH_NOT_RUN</x:v>
      </x:c>
      <x:c r="Q1120" s="21" t="str"/>
      <x:c r="R1120" s="21" t="str"/>
      <x:c r="S1120" s="21" t="str"/>
      <x:c r="T1120" s="17" t="str">
        <x:v>false</x:v>
      </x:c>
      <x:c r="U1120" s="17" t="str">
        <x:v>true</x:v>
      </x:c>
      <x:c r="V1120" s="17" t="str">
        <x:v>false</x:v>
      </x:c>
    </x:row>
    <x:row r="1121" ht="80" customHeight="1">
      <x:c r="A1121" s="25" t="str">
        <x:v>Collections</x:v>
      </x:c>
      <x:c r="B1121" s="25" t="n">
        <x:v>17</x:v>
      </x:c>
      <x:c r="C1121" s="25" t="str">
        <x:v>Round2</x:v>
      </x:c>
      <x:c r="D1121" s="25" t="str">
        <x:v>NOT_AVAILABLE</x:v>
      </x:c>
      <x:c r="E1121" s="25" t="str">
        <x:v>N/A</x:v>
      </x:c>
      <x:c r="F1121" s="26" t="str">
        <x:v>Tests exist but current coverage did not complete</x:v>
      </x:c>
      <x:c r="G1121" s="25" t="str">
        <x:v>true</x:v>
      </x:c>
      <x:c r="H1121" s="25" t="str">
        <x:v>NOT_AVAILABLE</x:v>
      </x:c>
      <x:c r="I1121" s="25" t="str">
        <x:v>NOT_RUN</x:v>
      </x:c>
      <x:c r="J1121" s="25" t="str">
        <x:v>NOT_RUN</x:v>
      </x:c>
      <x:c r="K1121" s="25" t="n">
        <x:v>1</x:v>
      </x:c>
      <x:c r="L1121" s="27" t="b">
        <x:v>0</x:v>
      </x:c>
      <x:c r="M1121" s="25" t="str">
        <x:v>Deepseek-flash-v4/state/Round2/status/Collections_17.json; Deepseek-flash-v4/state/Round2/shards/Collections_17.json</x:v>
      </x:c>
      <x:c r="N1121" s="25" t="str">
        <x:v>Deepseek-flash-v4/Result2/Collections_17/result.json</x:v>
      </x:c>
      <x:c r="O1121" s="25" t="str">
        <x:v>Deepseek-flash-v4/Result2/Collections_17/result.json</x:v>
      </x:c>
      <x:c r="P1121" t="str">
        <x:v>BOTH_NOT_RUN</x:v>
      </x:c>
      <x:c r="Q1121" s="21" t="str"/>
      <x:c r="R1121" s="21" t="str"/>
      <x:c r="S1121" s="21" t="str"/>
      <x:c r="T1121" s="17" t="str">
        <x:v>false</x:v>
      </x:c>
      <x:c r="U1121" s="17" t="str">
        <x:v>true</x:v>
      </x:c>
      <x:c r="V1121" s="17" t="str">
        <x:v>false</x:v>
      </x:c>
    </x:row>
    <x:row r="1122" ht="80" customHeight="1">
      <x:c r="A1122" s="25" t="str">
        <x:v>Collections</x:v>
      </x:c>
      <x:c r="B1122" s="25" t="n">
        <x:v>18</x:v>
      </x:c>
      <x:c r="C1122" s="25" t="str">
        <x:v>Round2</x:v>
      </x:c>
      <x:c r="D1122" s="25" t="str">
        <x:v>INCONCLUSIVE</x:v>
      </x:c>
      <x:c r="E1122" s="25" t="str">
        <x:v>N/A</x:v>
      </x:c>
      <x:c r="F1122" s="26" t="str">
        <x:v>Fixed also failed; assertion failure cannot be attributed to this bug</x:v>
      </x:c>
      <x:c r="G1122" s="25" t="str">
        <x:v>true</x:v>
      </x:c>
      <x:c r="H1122" s="25" t="str">
        <x:v>INCONCLUSIVE</x:v>
      </x:c>
      <x:c r="I1122" s="25" t="str">
        <x:v>FAIL</x:v>
      </x:c>
      <x:c r="J1122" s="25" t="str">
        <x:v>FAIL</x:v>
      </x:c>
      <x:c r="K1122" s="25" t="n">
        <x:v>1</x:v>
      </x:c>
      <x:c r="L1122" s="27" t="b">
        <x:v>0</x:v>
      </x:c>
      <x:c r="M1122" s="25" t="str">
        <x:v>Deepseek-flash-v4/state/Round2/status/Collections_18.json; Deepseek-flash-v4/state/Round2/shards/Collections_18.json</x:v>
      </x:c>
      <x:c r="N1122" s="25" t="str">
        <x:v>Deepseek-flash-v4/Result2/Collections_18/result.json</x:v>
      </x:c>
      <x:c r="O1122" s="25" t="str">
        <x:v>Deepseek-flash-v4/Result2/Collections_18/result.json</x:v>
      </x:c>
      <x:c r="P1122"/>
      <x:c r="Q1122" s="21" t="str"/>
      <x:c r="R1122" s="21" t="str"/>
      <x:c r="S1122" s="21" t="str"/>
      <x:c r="T1122" s="17" t="str">
        <x:v>false</x:v>
      </x:c>
      <x:c r="U1122" s="17" t="str">
        <x:v>true</x:v>
      </x:c>
      <x:c r="V1122" s="17" t="str">
        <x:v>false</x:v>
      </x:c>
    </x:row>
    <x:row r="1123" ht="80" customHeight="1">
      <x:c r="A1123" s="25" t="str">
        <x:v>Collections</x:v>
      </x:c>
      <x:c r="B1123" s="25" t="n">
        <x:v>19</x:v>
      </x:c>
      <x:c r="C1123" s="25" t="str">
        <x:v>Round2</x:v>
      </x:c>
      <x:c r="D1123" s="25" t="str">
        <x:v>NOT_REVEALING</x:v>
      </x:c>
      <x:c r="E1123" s="25" t="str">
        <x:v>N/A</x:v>
      </x:c>
      <x:c r="F1123" s="26" t="str">
        <x:v>Same saved validation suite passed on buggy and fixed</x:v>
      </x:c>
      <x:c r="G1123" s="25" t="str">
        <x:v>true</x:v>
      </x:c>
      <x:c r="H1123" s="25" t="str">
        <x:v>NOT_REVEALING</x:v>
      </x:c>
      <x:c r="I1123" s="25" t="str">
        <x:v>PASS</x:v>
      </x:c>
      <x:c r="J1123" s="25" t="str">
        <x:v>PASS</x:v>
      </x:c>
      <x:c r="K1123" s="25" t="n">
        <x:v>1</x:v>
      </x:c>
      <x:c r="L1123" s="27" t="b">
        <x:v>0</x:v>
      </x:c>
      <x:c r="M1123" s="25" t="str">
        <x:v>Deepseek-flash-v4/state/Round2/status/Collections_19.json; Deepseek-flash-v4/state/Round2/shards/Collections_19.json</x:v>
      </x:c>
      <x:c r="N1123" s="25" t="str">
        <x:v>Deepseek-flash-v4/Result2/Collections_19/result.json</x:v>
      </x:c>
      <x:c r="O1123" s="25" t="str">
        <x:v>Deepseek-flash-v4/Result2/Collections_19/result.json</x:v>
      </x:c>
      <x:c r="P1123"/>
      <x:c r="Q1123" s="21" t="str"/>
      <x:c r="R1123" s="21" t="str"/>
      <x:c r="S1123" s="21" t="str"/>
      <x:c r="T1123" s="17" t="str">
        <x:v>false</x:v>
      </x:c>
      <x:c r="U1123" s="17" t="str">
        <x:v>true</x:v>
      </x:c>
      <x:c r="V1123" s="17" t="str">
        <x:v>false</x:v>
      </x:c>
    </x:row>
    <x:row r="1124" ht="80" customHeight="1">
      <x:c r="A1124" s="25" t="str">
        <x:v>Collections</x:v>
      </x:c>
      <x:c r="B1124" s="25" t="n">
        <x:v>2</x:v>
      </x:c>
      <x:c r="C1124" s="25" t="str">
        <x:v>Round2</x:v>
      </x:c>
      <x:c r="D1124" s="25" t="str">
        <x:v>NOT_AVAILABLE</x:v>
      </x:c>
      <x:c r="E1124" s="25" t="str">
        <x:v>N/A</x:v>
      </x:c>
      <x:c r="F1124" s="26" t="str">
        <x:v>Tests exist but current coverage did not complete</x:v>
      </x:c>
      <x:c r="G1124" s="25" t="str">
        <x:v>true</x:v>
      </x:c>
      <x:c r="H1124" s="25" t="str">
        <x:v>NOT_AVAILABLE</x:v>
      </x:c>
      <x:c r="I1124" s="25" t="str">
        <x:v>NOT_RUN</x:v>
      </x:c>
      <x:c r="J1124" s="25" t="str">
        <x:v>NOT_RUN</x:v>
      </x:c>
      <x:c r="K1124" s="25" t="n">
        <x:v>1</x:v>
      </x:c>
      <x:c r="L1124" s="27" t="b">
        <x:v>0</x:v>
      </x:c>
      <x:c r="M1124" s="25" t="str">
        <x:v>Deepseek-flash-v4/state/Round2/status/Collections_2.json; Deepseek-flash-v4/state/Round2/shards/Collections_2.json</x:v>
      </x:c>
      <x:c r="N1124" s="25" t="str">
        <x:v>Deepseek-flash-v4/Result2/Collections_2/result.json</x:v>
      </x:c>
      <x:c r="O1124" s="25" t="str">
        <x:v>Deepseek-flash-v4/Result2/Collections_2/result.json</x:v>
      </x:c>
      <x:c r="P1124" t="str">
        <x:v>BOTH_NOT_RUN</x:v>
      </x:c>
      <x:c r="Q1124" s="21" t="str"/>
      <x:c r="R1124" s="21" t="str"/>
      <x:c r="S1124" s="21" t="str"/>
      <x:c r="T1124" s="17" t="str">
        <x:v>false</x:v>
      </x:c>
      <x:c r="U1124" s="17" t="str">
        <x:v>true</x:v>
      </x:c>
      <x:c r="V1124" s="17" t="str">
        <x:v>false</x:v>
      </x:c>
    </x:row>
    <x:row r="1125" ht="80" customHeight="1">
      <x:c r="A1125" s="25" t="str">
        <x:v>Collections</x:v>
      </x:c>
      <x:c r="B1125" s="25" t="n">
        <x:v>20</x:v>
      </x:c>
      <x:c r="C1125" s="25" t="str">
        <x:v>Round2</x:v>
      </x:c>
      <x:c r="D1125" s="25" t="str">
        <x:v>INCONCLUSIVE</x:v>
      </x:c>
      <x:c r="E1125" s="25" t="str">
        <x:v>N/A</x:v>
      </x:c>
      <x:c r="F1125" s="26" t="str">
        <x:v>Fixed also failed; assertion failure cannot be attributed to this bug; Same-round generation metadata missing; use saved tests and execution evidence, no failure inferred</x:v>
      </x:c>
      <x:c r="G1125" s="25" t="str">
        <x:v>true</x:v>
      </x:c>
      <x:c r="H1125" s="25" t="str">
        <x:v>INCONCLUSIVE</x:v>
      </x:c>
      <x:c r="I1125" s="25" t="str">
        <x:v>FAIL</x:v>
      </x:c>
      <x:c r="J1125" s="25" t="str">
        <x:v>FAIL</x:v>
      </x:c>
      <x:c r="K1125" s="25" t="n">
        <x:v>1</x:v>
      </x:c>
      <x:c r="L1125" s="27" t="b">
        <x:v>0</x:v>
      </x:c>
      <x:c r="M1125" s="25"/>
      <x:c r="N1125" s="25" t="str">
        <x:v>Deepseek-flash-v4/Result2/Collections_20/result.json</x:v>
      </x:c>
      <x:c r="O1125" s="25" t="str">
        <x:v>Deepseek-flash-v4/Result2/Collections_20/result.json</x:v>
      </x:c>
      <x:c r="P1125"/>
      <x:c r="Q1125" s="21" t="str"/>
      <x:c r="R1125" s="21" t="str"/>
      <x:c r="S1125" s="21" t="str"/>
      <x:c r="T1125" s="17" t="str">
        <x:v>false</x:v>
      </x:c>
      <x:c r="U1125" s="17" t="str">
        <x:v>true</x:v>
      </x:c>
      <x:c r="V1125" s="17" t="str">
        <x:v>false</x:v>
      </x:c>
    </x:row>
    <x:row r="1126" ht="80" customHeight="1">
      <x:c r="A1126" s="25" t="str">
        <x:v>Collections</x:v>
      </x:c>
      <x:c r="B1126" s="25" t="n">
        <x:v>21</x:v>
      </x:c>
      <x:c r="C1126" s="25" t="str">
        <x:v>Round2</x:v>
      </x:c>
      <x:c r="D1126" s="25" t="str">
        <x:v>NOT_REVEALING</x:v>
      </x:c>
      <x:c r="E1126" s="25" t="str">
        <x:v>N/A</x:v>
      </x:c>
      <x:c r="F1126" s="26" t="str">
        <x:v>Same saved validation suite passed on buggy and fixed; Same-round generation metadata missing; use saved tests and execution evidence, no failure inferred</x:v>
      </x:c>
      <x:c r="G1126" s="25" t="str">
        <x:v>true</x:v>
      </x:c>
      <x:c r="H1126" s="25" t="str">
        <x:v>NOT_REVEALING</x:v>
      </x:c>
      <x:c r="I1126" s="25" t="str">
        <x:v>PASS</x:v>
      </x:c>
      <x:c r="J1126" s="25" t="str">
        <x:v>PASS</x:v>
      </x:c>
      <x:c r="K1126" s="25" t="n">
        <x:v>1</x:v>
      </x:c>
      <x:c r="L1126" s="27" t="b">
        <x:v>0</x:v>
      </x:c>
      <x:c r="M1126" s="25"/>
      <x:c r="N1126" s="25" t="str">
        <x:v>Deepseek-flash-v4/Result2/Collections_21/result.json</x:v>
      </x:c>
      <x:c r="O1126" s="25" t="str">
        <x:v>Deepseek-flash-v4/Result2/Collections_21/result.json</x:v>
      </x:c>
      <x:c r="P1126"/>
      <x:c r="Q1126" s="21" t="str"/>
      <x:c r="R1126" s="21" t="str"/>
      <x:c r="S1126" s="21" t="str"/>
      <x:c r="T1126" s="17" t="str">
        <x:v>false</x:v>
      </x:c>
      <x:c r="U1126" s="17" t="str">
        <x:v>true</x:v>
      </x:c>
      <x:c r="V1126" s="17" t="str">
        <x:v>false</x:v>
      </x:c>
    </x:row>
    <x:row r="1127" ht="80" customHeight="1">
      <x:c r="A1127" s="25" t="str">
        <x:v>Collections</x:v>
      </x:c>
      <x:c r="B1127" s="25" t="n">
        <x:v>22</x:v>
      </x:c>
      <x:c r="C1127" s="25" t="str">
        <x:v>Round2</x:v>
      </x:c>
      <x:c r="D1127" s="25" t="str">
        <x:v>NOT_REVEALING</x:v>
      </x:c>
      <x:c r="E1127" s="25" t="str">
        <x:v>N/A</x:v>
      </x:c>
      <x:c r="F1127" s="26" t="str">
        <x:v>Same saved validation suite passed on buggy and fixed</x:v>
      </x:c>
      <x:c r="G1127" s="25" t="str">
        <x:v>true</x:v>
      </x:c>
      <x:c r="H1127" s="25" t="str">
        <x:v>NOT_REVEALING</x:v>
      </x:c>
      <x:c r="I1127" s="25" t="str">
        <x:v>PASS</x:v>
      </x:c>
      <x:c r="J1127" s="25" t="str">
        <x:v>PASS</x:v>
      </x:c>
      <x:c r="K1127" s="25" t="n">
        <x:v>1</x:v>
      </x:c>
      <x:c r="L1127" s="27" t="b">
        <x:v>0</x:v>
      </x:c>
      <x:c r="M1127" s="25" t="str">
        <x:v>Deepseek-flash-v4/state/Round2/status/Collections_22.json; Deepseek-flash-v4/state/Round2/shards/Collections_22.json</x:v>
      </x:c>
      <x:c r="N1127" s="25" t="str">
        <x:v>Deepseek-flash-v4/Result2/Collections_22/result.json</x:v>
      </x:c>
      <x:c r="O1127" s="25" t="str">
        <x:v>Deepseek-flash-v4/Result2/Collections_22/result.json</x:v>
      </x:c>
      <x:c r="P1127"/>
      <x:c r="Q1127" s="21" t="str"/>
      <x:c r="R1127" s="21" t="str"/>
      <x:c r="S1127" s="21" t="str"/>
      <x:c r="T1127" s="17" t="str">
        <x:v>false</x:v>
      </x:c>
      <x:c r="U1127" s="17" t="str">
        <x:v>true</x:v>
      </x:c>
      <x:c r="V1127" s="17" t="str">
        <x:v>false</x:v>
      </x:c>
    </x:row>
    <x:row r="1128" ht="80" customHeight="1">
      <x:c r="A1128" s="25" t="str">
        <x:v>Collections</x:v>
      </x:c>
      <x:c r="B1128" s="25" t="n">
        <x:v>23</x:v>
      </x:c>
      <x:c r="C1128" s="25" t="str">
        <x:v>Round2</x:v>
      </x:c>
      <x:c r="D1128" s="25" t="str">
        <x:v>NOT_AVAILABLE</x:v>
      </x:c>
      <x:c r="E1128" s="25" t="str">
        <x:v>N/A</x:v>
      </x:c>
      <x:c r="F1128" s="26" t="str">
        <x:v>Tests exist but current coverage did not complete</x:v>
      </x:c>
      <x:c r="G1128" s="25" t="str">
        <x:v>true</x:v>
      </x:c>
      <x:c r="H1128" s="25" t="str">
        <x:v>NOT_AVAILABLE</x:v>
      </x:c>
      <x:c r="I1128" s="25" t="str">
        <x:v>NOT_RUN</x:v>
      </x:c>
      <x:c r="J1128" s="25" t="str">
        <x:v>NOT_RUN</x:v>
      </x:c>
      <x:c r="K1128" s="25" t="n">
        <x:v>1</x:v>
      </x:c>
      <x:c r="L1128" s="27" t="b">
        <x:v>0</x:v>
      </x:c>
      <x:c r="M1128" s="25" t="str">
        <x:v>Deepseek-flash-v4/state/Round2/status/Collections_23.json; Deepseek-flash-v4/state/Round2/shards/Collections_23.json</x:v>
      </x:c>
      <x:c r="N1128" s="25" t="str">
        <x:v>Deepseek-flash-v4/Result2/Collections_23/result.json</x:v>
      </x:c>
      <x:c r="O1128" s="25" t="str">
        <x:v>Deepseek-flash-v4/Result2/Collections_23/result.json</x:v>
      </x:c>
      <x:c r="P1128" t="str">
        <x:v>BOTH_NOT_RUN</x:v>
      </x:c>
      <x:c r="Q1128" s="21" t="str"/>
      <x:c r="R1128" s="21" t="str"/>
      <x:c r="S1128" s="21" t="str"/>
      <x:c r="T1128" s="17" t="str">
        <x:v>false</x:v>
      </x:c>
      <x:c r="U1128" s="17" t="str">
        <x:v>true</x:v>
      </x:c>
      <x:c r="V1128" s="17" t="str">
        <x:v>false</x:v>
      </x:c>
    </x:row>
    <x:row r="1129" ht="80" customHeight="1">
      <x:c r="A1129" s="25" t="str">
        <x:v>Collections</x:v>
      </x:c>
      <x:c r="B1129" s="25" t="n">
        <x:v>24</x:v>
      </x:c>
      <x:c r="C1129" s="25" t="str">
        <x:v>Round2</x:v>
      </x:c>
      <x:c r="D1129" s="25" t="str">
        <x:v>NOT_REVEALING</x:v>
      </x:c>
      <x:c r="E1129" s="25" t="str">
        <x:v>N/A</x:v>
      </x:c>
      <x:c r="F1129" s="26" t="str">
        <x:v>Same saved validation suite passed on buggy and fixed; Same-round generation metadata missing; use saved tests and execution evidence, no failure inferred</x:v>
      </x:c>
      <x:c r="G1129" s="25" t="str">
        <x:v>true</x:v>
      </x:c>
      <x:c r="H1129" s="25" t="str">
        <x:v>NOT_REVEALING</x:v>
      </x:c>
      <x:c r="I1129" s="25" t="str">
        <x:v>PASS</x:v>
      </x:c>
      <x:c r="J1129" s="25" t="str">
        <x:v>PASS</x:v>
      </x:c>
      <x:c r="K1129" s="25" t="n">
        <x:v>1</x:v>
      </x:c>
      <x:c r="L1129" s="27" t="b">
        <x:v>0</x:v>
      </x:c>
      <x:c r="M1129" s="25"/>
      <x:c r="N1129" s="25" t="str">
        <x:v>Deepseek-flash-v4/Result2/Collections_24/result.json</x:v>
      </x:c>
      <x:c r="O1129" s="25" t="str">
        <x:v>Deepseek-flash-v4/Result2/Collections_24/result.json</x:v>
      </x:c>
      <x:c r="P1129"/>
      <x:c r="Q1129" s="21" t="str"/>
      <x:c r="R1129" s="21" t="str"/>
      <x:c r="S1129" s="21" t="str"/>
      <x:c r="T1129" s="17" t="str">
        <x:v>false</x:v>
      </x:c>
      <x:c r="U1129" s="17" t="str">
        <x:v>true</x:v>
      </x:c>
      <x:c r="V1129" s="17" t="str">
        <x:v>false</x:v>
      </x:c>
    </x:row>
    <x:row r="1130" ht="80" customHeight="1">
      <x:c r="A1130" s="25" t="str">
        <x:v>Collections</x:v>
      </x:c>
      <x:c r="B1130" s="25" t="n">
        <x:v>25</x:v>
      </x:c>
      <x:c r="C1130" s="25" t="str">
        <x:v>Round2</x:v>
      </x:c>
      <x:c r="D1130" s="25" t="str">
        <x:v>NOT_AVAILABLE</x:v>
      </x:c>
      <x:c r="E1130" s="25" t="str">
        <x:v>N/A</x:v>
      </x:c>
      <x:c r="F1130" s="26" t="str">
        <x:v>Tests exist but current coverage did not complete</x:v>
      </x:c>
      <x:c r="G1130" s="25" t="str">
        <x:v>true</x:v>
      </x:c>
      <x:c r="H1130" s="25" t="str">
        <x:v>NOT_AVAILABLE</x:v>
      </x:c>
      <x:c r="I1130" s="25" t="str">
        <x:v>NOT_RUN</x:v>
      </x:c>
      <x:c r="J1130" s="25" t="str">
        <x:v>NOT_RUN</x:v>
      </x:c>
      <x:c r="K1130" s="25" t="n">
        <x:v>1</x:v>
      </x:c>
      <x:c r="L1130" s="27" t="b">
        <x:v>0</x:v>
      </x:c>
      <x:c r="M1130" s="25" t="str">
        <x:v>Deepseek-flash-v4/state/Round2/status/Collections_25.json; Deepseek-flash-v4/state/Round2/shards/Collections_25.json</x:v>
      </x:c>
      <x:c r="N1130" s="25" t="str">
        <x:v>Deepseek-flash-v4/Result2/Collections_25/result.json</x:v>
      </x:c>
      <x:c r="O1130" s="25" t="str">
        <x:v>Deepseek-flash-v4/Result2/Collections_25/result.json</x:v>
      </x:c>
      <x:c r="P1130" t="str">
        <x:v>BOTH_NOT_RUN</x:v>
      </x:c>
      <x:c r="Q1130" s="21" t="str"/>
      <x:c r="R1130" s="21" t="str"/>
      <x:c r="S1130" s="21" t="str"/>
      <x:c r="T1130" s="17" t="str">
        <x:v>false</x:v>
      </x:c>
      <x:c r="U1130" s="17" t="str">
        <x:v>true</x:v>
      </x:c>
      <x:c r="V1130" s="17" t="str">
        <x:v>false</x:v>
      </x:c>
    </x:row>
    <x:row r="1131" ht="80" customHeight="1">
      <x:c r="A1131" s="25" t="str">
        <x:v>Collections</x:v>
      </x:c>
      <x:c r="B1131" s="25" t="n">
        <x:v>26</x:v>
      </x:c>
      <x:c r="C1131" s="25" t="str">
        <x:v>Round2</x:v>
      </x:c>
      <x:c r="D1131" s="25" t="str">
        <x:v>NOT_REVEALING</x:v>
      </x:c>
      <x:c r="E1131" s="25" t="str">
        <x:v>N/A</x:v>
      </x:c>
      <x:c r="F1131" s="26" t="str">
        <x:v>Same saved validation suite passed on buggy and fixed; Same-round generation metadata missing; use saved tests and execution evidence, no failure inferred</x:v>
      </x:c>
      <x:c r="G1131" s="25" t="str">
        <x:v>true</x:v>
      </x:c>
      <x:c r="H1131" s="25" t="str">
        <x:v>NOT_REVEALING</x:v>
      </x:c>
      <x:c r="I1131" s="25" t="str">
        <x:v>PASS</x:v>
      </x:c>
      <x:c r="J1131" s="25" t="str">
        <x:v>PASS</x:v>
      </x:c>
      <x:c r="K1131" s="25" t="n">
        <x:v>1</x:v>
      </x:c>
      <x:c r="L1131" s="27" t="b">
        <x:v>0</x:v>
      </x:c>
      <x:c r="M1131" s="25"/>
      <x:c r="N1131" s="25" t="str">
        <x:v>Deepseek-flash-v4/Result2/Collections_26/result.json</x:v>
      </x:c>
      <x:c r="O1131" s="25" t="str">
        <x:v>Deepseek-flash-v4/Result2/Collections_26/result.json</x:v>
      </x:c>
      <x:c r="P1131"/>
      <x:c r="Q1131" s="21" t="str"/>
      <x:c r="R1131" s="21" t="str"/>
      <x:c r="S1131" s="21" t="str"/>
      <x:c r="T1131" s="17" t="str">
        <x:v>false</x:v>
      </x:c>
      <x:c r="U1131" s="17" t="str">
        <x:v>true</x:v>
      </x:c>
      <x:c r="V1131" s="17" t="str">
        <x:v>false</x:v>
      </x:c>
    </x:row>
    <x:row r="1132" ht="80" customHeight="1">
      <x:c r="A1132" s="25" t="str">
        <x:v>Collections</x:v>
      </x:c>
      <x:c r="B1132" s="25" t="n">
        <x:v>27</x:v>
      </x:c>
      <x:c r="C1132" s="25" t="str">
        <x:v>Round2</x:v>
      </x:c>
      <x:c r="D1132" s="25" t="str">
        <x:v>INCONCLUSIVE</x:v>
      </x:c>
      <x:c r="E1132" s="25" t="str">
        <x:v>N/A</x:v>
      </x:c>
      <x:c r="F1132" s="26" t="str">
        <x:v>Fixed also failed; assertion failure cannot be attributed to this bug; Same-round generation metadata missing; use saved tests and execution evidence, no failure inferred</x:v>
      </x:c>
      <x:c r="G1132" s="25" t="str">
        <x:v>true</x:v>
      </x:c>
      <x:c r="H1132" s="25" t="str">
        <x:v>INCONCLUSIVE</x:v>
      </x:c>
      <x:c r="I1132" s="25" t="str">
        <x:v>FAIL</x:v>
      </x:c>
      <x:c r="J1132" s="25" t="str">
        <x:v>FAIL</x:v>
      </x:c>
      <x:c r="K1132" s="25" t="n">
        <x:v>1</x:v>
      </x:c>
      <x:c r="L1132" s="27" t="b">
        <x:v>0</x:v>
      </x:c>
      <x:c r="M1132" s="25"/>
      <x:c r="N1132" s="25" t="str">
        <x:v>Deepseek-flash-v4/Result2/Collections_27/result.json</x:v>
      </x:c>
      <x:c r="O1132" s="25" t="str">
        <x:v>Deepseek-flash-v4/Result2/Collections_27/result.json</x:v>
      </x:c>
      <x:c r="P1132"/>
      <x:c r="Q1132" s="21" t="str"/>
      <x:c r="R1132" s="21" t="str"/>
      <x:c r="S1132" s="21" t="str"/>
      <x:c r="T1132" s="17" t="str">
        <x:v>false</x:v>
      </x:c>
      <x:c r="U1132" s="17" t="str">
        <x:v>true</x:v>
      </x:c>
      <x:c r="V1132" s="17" t="str">
        <x:v>false</x:v>
      </x:c>
    </x:row>
    <x:row r="1133" ht="80" customHeight="1">
      <x:c r="A1133" s="25" t="str">
        <x:v>Collections</x:v>
      </x:c>
      <x:c r="B1133" s="25" t="n">
        <x:v>28</x:v>
      </x:c>
      <x:c r="C1133" s="25" t="str">
        <x:v>Round2</x:v>
      </x:c>
      <x:c r="D1133" s="25" t="str">
        <x:v>NOT_AVAILABLE</x:v>
      </x:c>
      <x:c r="E1133" s="25" t="str">
        <x:v>N/A</x:v>
      </x:c>
      <x:c r="F1133" s="26" t="str">
        <x:v>Tests exist but current coverage did not complete</x:v>
      </x:c>
      <x:c r="G1133" s="25" t="str">
        <x:v>true</x:v>
      </x:c>
      <x:c r="H1133" s="25" t="str">
        <x:v>NOT_AVAILABLE</x:v>
      </x:c>
      <x:c r="I1133" s="25" t="str">
        <x:v>NOT_RUN</x:v>
      </x:c>
      <x:c r="J1133" s="25" t="str">
        <x:v>NOT_RUN</x:v>
      </x:c>
      <x:c r="K1133" s="25" t="n">
        <x:v>1</x:v>
      </x:c>
      <x:c r="L1133" s="27" t="b">
        <x:v>0</x:v>
      </x:c>
      <x:c r="M1133" s="25" t="str">
        <x:v>Deepseek-flash-v4/state/Round2/status/Collections_28.json; Deepseek-flash-v4/state/Round2/shards/Collections_28.json</x:v>
      </x:c>
      <x:c r="N1133" s="25" t="str">
        <x:v>Deepseek-flash-v4/Result2/Collections_28/result.json</x:v>
      </x:c>
      <x:c r="O1133" s="25" t="str">
        <x:v>Deepseek-flash-v4/Result2/Collections_28/result.json</x:v>
      </x:c>
      <x:c r="P1133" t="str">
        <x:v>BOTH_NOT_RUN</x:v>
      </x:c>
      <x:c r="Q1133" s="21" t="str"/>
      <x:c r="R1133" s="21" t="str"/>
      <x:c r="S1133" s="21" t="str"/>
      <x:c r="T1133" s="17" t="str">
        <x:v>false</x:v>
      </x:c>
      <x:c r="U1133" s="17" t="str">
        <x:v>true</x:v>
      </x:c>
      <x:c r="V1133" s="17" t="str">
        <x:v>false</x:v>
      </x:c>
    </x:row>
    <x:row r="1134" ht="80" customHeight="1">
      <x:c r="A1134" s="25" t="str">
        <x:v>Collections</x:v>
      </x:c>
      <x:c r="B1134" s="25" t="n">
        <x:v>3</x:v>
      </x:c>
      <x:c r="C1134" s="25" t="str">
        <x:v>Round2</x:v>
      </x:c>
      <x:c r="D1134" s="25" t="str">
        <x:v>NOT_AVAILABLE</x:v>
      </x:c>
      <x:c r="E1134" s="25" t="str">
        <x:v>N/A</x:v>
      </x:c>
      <x:c r="F1134" s="26" t="str">
        <x:v>Tests exist but current coverage did not complete</x:v>
      </x:c>
      <x:c r="G1134" s="25" t="str">
        <x:v>true</x:v>
      </x:c>
      <x:c r="H1134" s="25" t="str">
        <x:v>NOT_AVAILABLE</x:v>
      </x:c>
      <x:c r="I1134" s="25" t="str">
        <x:v>NOT_RUN</x:v>
      </x:c>
      <x:c r="J1134" s="25" t="str">
        <x:v>NOT_RUN</x:v>
      </x:c>
      <x:c r="K1134" s="25" t="n">
        <x:v>1</x:v>
      </x:c>
      <x:c r="L1134" s="27" t="b">
        <x:v>0</x:v>
      </x:c>
      <x:c r="M1134" s="25" t="str">
        <x:v>Deepseek-flash-v4/state/Round2/status/Collections_3.json; Deepseek-flash-v4/state/Round2/shards/Collections_3.json</x:v>
      </x:c>
      <x:c r="N1134" s="25" t="str">
        <x:v>Deepseek-flash-v4/Result2/Collections_3/result.json</x:v>
      </x:c>
      <x:c r="O1134" s="25" t="str">
        <x:v>Deepseek-flash-v4/Result2/Collections_3/result.json</x:v>
      </x:c>
      <x:c r="P1134" t="str">
        <x:v>BOTH_NOT_RUN</x:v>
      </x:c>
      <x:c r="Q1134" s="21" t="str"/>
      <x:c r="R1134" s="21" t="str"/>
      <x:c r="S1134" s="21" t="str"/>
      <x:c r="T1134" s="17" t="str">
        <x:v>false</x:v>
      </x:c>
      <x:c r="U1134" s="17" t="str">
        <x:v>true</x:v>
      </x:c>
      <x:c r="V1134" s="17" t="str">
        <x:v>false</x:v>
      </x:c>
    </x:row>
    <x:row r="1135" ht="80" customHeight="1">
      <x:c r="A1135" s="25" t="str">
        <x:v>Collections</x:v>
      </x:c>
      <x:c r="B1135" s="25" t="n">
        <x:v>4</x:v>
      </x:c>
      <x:c r="C1135" s="25" t="str">
        <x:v>Round2</x:v>
      </x:c>
      <x:c r="D1135" s="25" t="str">
        <x:v>INCONCLUSIVE</x:v>
      </x:c>
      <x:c r="E1135" s="25" t="str">
        <x:v>N/A</x:v>
      </x:c>
      <x:c r="F1135" s="26" t="str">
        <x:v>Fixed also failed; assertion failure cannot be attributed to this bug</x:v>
      </x:c>
      <x:c r="G1135" s="25" t="str">
        <x:v>true</x:v>
      </x:c>
      <x:c r="H1135" s="25" t="str">
        <x:v>INCONCLUSIVE</x:v>
      </x:c>
      <x:c r="I1135" s="25" t="str">
        <x:v>FAIL</x:v>
      </x:c>
      <x:c r="J1135" s="25" t="str">
        <x:v>FAIL</x:v>
      </x:c>
      <x:c r="K1135" s="25" t="n">
        <x:v>1</x:v>
      </x:c>
      <x:c r="L1135" s="27" t="b">
        <x:v>0</x:v>
      </x:c>
      <x:c r="M1135" s="25" t="str">
        <x:v>Deepseek-flash-v4/state/Round2/status/Collections_4.json; Deepseek-flash-v4/state/Round2/shards/Collections_4.json</x:v>
      </x:c>
      <x:c r="N1135" s="25" t="str">
        <x:v>Deepseek-flash-v4/Result2/Collections_4/result.json</x:v>
      </x:c>
      <x:c r="O1135" s="25" t="str">
        <x:v>Deepseek-flash-v4/Result2/Collections_4/result.json</x:v>
      </x:c>
      <x:c r="P1135"/>
      <x:c r="Q1135" s="21" t="str"/>
      <x:c r="R1135" s="21" t="str"/>
      <x:c r="S1135" s="21" t="str"/>
      <x:c r="T1135" s="17" t="str">
        <x:v>false</x:v>
      </x:c>
      <x:c r="U1135" s="17" t="str">
        <x:v>true</x:v>
      </x:c>
      <x:c r="V1135" s="17" t="str">
        <x:v>false</x:v>
      </x:c>
    </x:row>
    <x:row r="1136" ht="80" customHeight="1">
      <x:c r="A1136" s="25" t="str">
        <x:v>Collections</x:v>
      </x:c>
      <x:c r="B1136" s="25" t="n">
        <x:v>5</x:v>
      </x:c>
      <x:c r="C1136" s="25" t="str">
        <x:v>Round2</x:v>
      </x:c>
      <x:c r="D1136" s="25" t="str">
        <x:v>INCONCLUSIVE</x:v>
      </x:c>
      <x:c r="E1136" s="25" t="str">
        <x:v>N/A</x:v>
      </x:c>
      <x:c r="F1136" s="26" t="str">
        <x:v>Fixed also failed; assertion failure cannot be attributed to this bug; Same-round generation metadata missing; use saved tests and execution evidence, no failure inferred</x:v>
      </x:c>
      <x:c r="G1136" s="25" t="str">
        <x:v>true</x:v>
      </x:c>
      <x:c r="H1136" s="25" t="str">
        <x:v>INCONCLUSIVE</x:v>
      </x:c>
      <x:c r="I1136" s="25" t="str">
        <x:v>FAIL</x:v>
      </x:c>
      <x:c r="J1136" s="25" t="str">
        <x:v>FAIL</x:v>
      </x:c>
      <x:c r="K1136" s="25" t="n">
        <x:v>1</x:v>
      </x:c>
      <x:c r="L1136" s="27" t="b">
        <x:v>0</x:v>
      </x:c>
      <x:c r="M1136" s="25"/>
      <x:c r="N1136" s="25" t="str">
        <x:v>Deepseek-flash-v4/Result2/Collections_5/result.json</x:v>
      </x:c>
      <x:c r="O1136" s="25" t="str">
        <x:v>Deepseek-flash-v4/Result2/Collections_5/result.json</x:v>
      </x:c>
      <x:c r="P1136"/>
      <x:c r="Q1136" s="21" t="str"/>
      <x:c r="R1136" s="21" t="str"/>
      <x:c r="S1136" s="21" t="str"/>
      <x:c r="T1136" s="17" t="str">
        <x:v>false</x:v>
      </x:c>
      <x:c r="U1136" s="17" t="str">
        <x:v>true</x:v>
      </x:c>
      <x:c r="V1136" s="17" t="str">
        <x:v>false</x:v>
      </x:c>
    </x:row>
    <x:row r="1137" ht="80" customHeight="1">
      <x:c r="A1137" s="25" t="str">
        <x:v>Collections</x:v>
      </x:c>
      <x:c r="B1137" s="25" t="n">
        <x:v>6</x:v>
      </x:c>
      <x:c r="C1137" s="25" t="str">
        <x:v>Round2</x:v>
      </x:c>
      <x:c r="D1137" s="25" t="str">
        <x:v>REVEALING</x:v>
      </x:c>
      <x:c r="E1137" s="25" t="str">
        <x:v>N/A</x:v>
      </x:c>
      <x:c r="F1137" s="26" t="str">
        <x:v>Same saved validation suite failed on buggy and passed on fixed; Same-round generation metadata missing; use saved tests and execution evidence, no failure inferred</x:v>
      </x:c>
      <x:c r="G1137" s="25" t="str">
        <x:v>true</x:v>
      </x:c>
      <x:c r="H1137" s="25" t="str">
        <x:v>REVEALING</x:v>
      </x:c>
      <x:c r="I1137" s="25" t="str">
        <x:v>FAIL</x:v>
      </x:c>
      <x:c r="J1137" s="25" t="str">
        <x:v>PASS</x:v>
      </x:c>
      <x:c r="K1137" s="25" t="n">
        <x:v>1</x:v>
      </x:c>
      <x:c r="L1137" s="27" t="b">
        <x:v>0</x:v>
      </x:c>
      <x:c r="M1137" s="25"/>
      <x:c r="N1137" s="25" t="str">
        <x:v>Deepseek-flash-v4/Result2/Collections_6/result.json</x:v>
      </x:c>
      <x:c r="O1137" s="25" t="str">
        <x:v>Deepseek-flash-v4/Result2/Collections_6/result.json</x:v>
      </x:c>
      <x:c r="P1137"/>
      <x:c r="Q1137" s="21" t="str"/>
      <x:c r="R1137" s="21" t="str"/>
      <x:c r="S1137" s="21" t="str"/>
      <x:c r="T1137" s="17" t="str">
        <x:v>false</x:v>
      </x:c>
      <x:c r="U1137" s="17" t="str">
        <x:v>true</x:v>
      </x:c>
      <x:c r="V1137" s="17" t="str">
        <x:v>false</x:v>
      </x:c>
    </x:row>
    <x:row r="1138" ht="80" customHeight="1">
      <x:c r="A1138" s="25" t="str">
        <x:v>Collections</x:v>
      </x:c>
      <x:c r="B1138" s="25" t="n">
        <x:v>7</x:v>
      </x:c>
      <x:c r="C1138" s="25" t="str">
        <x:v>Round2</x:v>
      </x:c>
      <x:c r="D1138" s="25" t="str">
        <x:v>NOT_AVAILABLE</x:v>
      </x:c>
      <x:c r="E1138" s="25" t="str">
        <x:v>N/A</x:v>
      </x:c>
      <x:c r="F1138" s="26" t="str">
        <x:v>Tests exist but current coverage did not complete</x:v>
      </x:c>
      <x:c r="G1138" s="25" t="str">
        <x:v>true</x:v>
      </x:c>
      <x:c r="H1138" s="25" t="str">
        <x:v>NOT_AVAILABLE</x:v>
      </x:c>
      <x:c r="I1138" s="25" t="str">
        <x:v>NOT_RUN</x:v>
      </x:c>
      <x:c r="J1138" s="25" t="str">
        <x:v>NOT_RUN</x:v>
      </x:c>
      <x:c r="K1138" s="25" t="n">
        <x:v>1</x:v>
      </x:c>
      <x:c r="L1138" s="27" t="b">
        <x:v>0</x:v>
      </x:c>
      <x:c r="M1138" s="25" t="str">
        <x:v>Deepseek-flash-v4/state/Round2/status/Collections_7.json; Deepseek-flash-v4/state/Round2/shards/Collections_7.json</x:v>
      </x:c>
      <x:c r="N1138" s="25" t="str">
        <x:v>Deepseek-flash-v4/Result2/Collections_7/result.json</x:v>
      </x:c>
      <x:c r="O1138" s="25" t="str">
        <x:v>Deepseek-flash-v4/Result2/Collections_7/result.json</x:v>
      </x:c>
      <x:c r="P1138" t="str">
        <x:v>BOTH_NOT_RUN</x:v>
      </x:c>
      <x:c r="Q1138" s="21" t="str"/>
      <x:c r="R1138" s="21" t="str"/>
      <x:c r="S1138" s="21" t="str"/>
      <x:c r="T1138" s="17" t="str">
        <x:v>false</x:v>
      </x:c>
      <x:c r="U1138" s="17" t="str">
        <x:v>true</x:v>
      </x:c>
      <x:c r="V1138" s="17" t="str">
        <x:v>false</x:v>
      </x:c>
    </x:row>
    <x:row r="1139" ht="80" customHeight="1">
      <x:c r="A1139" s="25" t="str">
        <x:v>Collections</x:v>
      </x:c>
      <x:c r="B1139" s="25" t="n">
        <x:v>8</x:v>
      </x:c>
      <x:c r="C1139" s="25" t="str">
        <x:v>Round2</x:v>
      </x:c>
      <x:c r="D1139" s="25" t="str">
        <x:v>NOT_REVEALING</x:v>
      </x:c>
      <x:c r="E1139" s="25" t="str">
        <x:v>N/A</x:v>
      </x:c>
      <x:c r="F1139" s="26" t="str">
        <x:v>Same saved validation suite passed on buggy and fixed</x:v>
      </x:c>
      <x:c r="G1139" s="25" t="str">
        <x:v>true</x:v>
      </x:c>
      <x:c r="H1139" s="25" t="str">
        <x:v>NOT_REVEALING</x:v>
      </x:c>
      <x:c r="I1139" s="25" t="str">
        <x:v>PASS</x:v>
      </x:c>
      <x:c r="J1139" s="25" t="str">
        <x:v>PASS</x:v>
      </x:c>
      <x:c r="K1139" s="25" t="n">
        <x:v>1</x:v>
      </x:c>
      <x:c r="L1139" s="27" t="b">
        <x:v>0</x:v>
      </x:c>
      <x:c r="M1139" s="25" t="str">
        <x:v>Deepseek-flash-v4/state/Round2/status/Collections_8.json; Deepseek-flash-v4/state/Round2/shards/Collections_8.json</x:v>
      </x:c>
      <x:c r="N1139" s="25" t="str">
        <x:v>Deepseek-flash-v4/Result2/Collections_8/result.json</x:v>
      </x:c>
      <x:c r="O1139" s="25" t="str">
        <x:v>Deepseek-flash-v4/Result2/Collections_8/result.json</x:v>
      </x:c>
      <x:c r="P1139"/>
      <x:c r="Q1139" s="21" t="str"/>
      <x:c r="R1139" s="21" t="str"/>
      <x:c r="S1139" s="21" t="str"/>
      <x:c r="T1139" s="17" t="str">
        <x:v>false</x:v>
      </x:c>
      <x:c r="U1139" s="17" t="str">
        <x:v>true</x:v>
      </x:c>
      <x:c r="V1139" s="17" t="str">
        <x:v>false</x:v>
      </x:c>
    </x:row>
    <x:row r="1140" ht="80" customHeight="1">
      <x:c r="A1140" s="25" t="str">
        <x:v>Collections</x:v>
      </x:c>
      <x:c r="B1140" s="25" t="n">
        <x:v>9</x:v>
      </x:c>
      <x:c r="C1140" s="25" t="str">
        <x:v>Round2</x:v>
      </x:c>
      <x:c r="D1140" s="25" t="str">
        <x:v>NOT_AVAILABLE</x:v>
      </x:c>
      <x:c r="E1140" s="25" t="str">
        <x:v>N/A</x:v>
      </x:c>
      <x:c r="F1140" s="26" t="str">
        <x:v>Tests exist but current coverage did not complete</x:v>
      </x:c>
      <x:c r="G1140" s="25" t="str">
        <x:v>true</x:v>
      </x:c>
      <x:c r="H1140" s="25" t="str">
        <x:v>NOT_AVAILABLE</x:v>
      </x:c>
      <x:c r="I1140" s="25" t="str">
        <x:v>NOT_RUN</x:v>
      </x:c>
      <x:c r="J1140" s="25" t="str">
        <x:v>NOT_RUN</x:v>
      </x:c>
      <x:c r="K1140" s="25" t="n">
        <x:v>1</x:v>
      </x:c>
      <x:c r="L1140" s="27" t="b">
        <x:v>0</x:v>
      </x:c>
      <x:c r="M1140" s="25" t="str">
        <x:v>Deepseek-flash-v4/state/Round2/status/Collections_9.json; Deepseek-flash-v4/state/Round2/shards/Collections_9.json</x:v>
      </x:c>
      <x:c r="N1140" s="25" t="str">
        <x:v>Deepseek-flash-v4/Result2/Collections_9/result.json</x:v>
      </x:c>
      <x:c r="O1140" s="25" t="str">
        <x:v>Deepseek-flash-v4/Result2/Collections_9/result.json</x:v>
      </x:c>
      <x:c r="P1140" t="str">
        <x:v>BOTH_NOT_RUN</x:v>
      </x:c>
      <x:c r="Q1140" s="21" t="str"/>
      <x:c r="R1140" s="21" t="str"/>
      <x:c r="S1140" s="21" t="str"/>
      <x:c r="T1140" s="17" t="str">
        <x:v>false</x:v>
      </x:c>
      <x:c r="U1140" s="17" t="str">
        <x:v>true</x:v>
      </x:c>
      <x:c r="V1140" s="17" t="str">
        <x:v>false</x:v>
      </x:c>
    </x:row>
    <x:row r="1141" ht="80" customHeight="1">
      <x:c r="A1141" s="25" t="str">
        <x:v>Compress</x:v>
      </x:c>
      <x:c r="B1141" s="25" t="n">
        <x:v>1</x:v>
      </x:c>
      <x:c r="C1141" s="25" t="str">
        <x:v>Round2</x:v>
      </x:c>
      <x:c r="D1141" s="25" t="str">
        <x:v>NOT_AVAILABLE</x:v>
      </x:c>
      <x:c r="E1141" s="25" t="str">
        <x:v>N/A</x:v>
      </x:c>
      <x:c r="F1141" s="26" t="str">
        <x:v>Tests exist but current coverage did not complete</x:v>
      </x:c>
      <x:c r="G1141" s="25" t="str">
        <x:v>true</x:v>
      </x:c>
      <x:c r="H1141" s="25" t="str">
        <x:v>NOT_AVAILABLE</x:v>
      </x:c>
      <x:c r="I1141" s="25" t="str">
        <x:v>NOT_RUN</x:v>
      </x:c>
      <x:c r="J1141" s="25" t="str">
        <x:v>NOT_RUN</x:v>
      </x:c>
      <x:c r="K1141" s="25" t="n">
        <x:v>1</x:v>
      </x:c>
      <x:c r="L1141" s="27" t="b">
        <x:v>0</x:v>
      </x:c>
      <x:c r="M1141" s="25" t="str">
        <x:v>Deepseek-flash-v4/state/Round2/status/Compress_1.json; Deepseek-flash-v4/state/Round2/shards/Compress_1.json</x:v>
      </x:c>
      <x:c r="N1141" s="25" t="str">
        <x:v>Deepseek-flash-v4/Result2/Compress_1/result.json</x:v>
      </x:c>
      <x:c r="O1141" s="25" t="str">
        <x:v>Deepseek-flash-v4/Result2/Compress_1/result.json</x:v>
      </x:c>
      <x:c r="P1141" t="str">
        <x:v>BOTH_NOT_RUN</x:v>
      </x:c>
      <x:c r="Q1141" s="21" t="str"/>
      <x:c r="R1141" s="21" t="str"/>
      <x:c r="S1141" s="21" t="str"/>
      <x:c r="T1141" s="17" t="str">
        <x:v>false</x:v>
      </x:c>
      <x:c r="U1141" s="17" t="str">
        <x:v>true</x:v>
      </x:c>
      <x:c r="V1141" s="17" t="str">
        <x:v>false</x:v>
      </x:c>
    </x:row>
    <x:row r="1142" ht="80" customHeight="1">
      <x:c r="A1142" s="25" t="str">
        <x:v>Compress</x:v>
      </x:c>
      <x:c r="B1142" s="25" t="n">
        <x:v>10</x:v>
      </x:c>
      <x:c r="C1142" s="25" t="str">
        <x:v>Round2</x:v>
      </x:c>
      <x:c r="D1142" s="25" t="str">
        <x:v>INCONCLUSIVE</x:v>
      </x:c>
      <x:c r="E1142" s="25" t="str">
        <x:v>N/A</x:v>
      </x:c>
      <x:c r="F1142" s="26" t="str">
        <x:v>Fixed also failed; assertion failure cannot be attributed to this bug</x:v>
      </x:c>
      <x:c r="G1142" s="25" t="str">
        <x:v>true</x:v>
      </x:c>
      <x:c r="H1142" s="25" t="str">
        <x:v>INCONCLUSIVE</x:v>
      </x:c>
      <x:c r="I1142" s="25" t="str">
        <x:v>FAIL</x:v>
      </x:c>
      <x:c r="J1142" s="25" t="str">
        <x:v>FAIL</x:v>
      </x:c>
      <x:c r="K1142" s="25" t="n">
        <x:v>1</x:v>
      </x:c>
      <x:c r="L1142" s="27" t="b">
        <x:v>0</x:v>
      </x:c>
      <x:c r="M1142" s="25" t="str">
        <x:v>Deepseek-flash-v4/state/Round2/status/Compress_10.json; Deepseek-flash-v4/state/Round2/shards/Compress_10.json</x:v>
      </x:c>
      <x:c r="N1142" s="25" t="str">
        <x:v>Deepseek-flash-v4/Result2/Compress_10/result.json</x:v>
      </x:c>
      <x:c r="O1142" s="25" t="str">
        <x:v>Deepseek-flash-v4/Result2/Compress_10/result.json</x:v>
      </x:c>
      <x:c r="P1142"/>
      <x:c r="Q1142" s="21" t="str"/>
      <x:c r="R1142" s="21" t="str"/>
      <x:c r="S1142" s="21" t="str"/>
      <x:c r="T1142" s="17" t="str">
        <x:v>false</x:v>
      </x:c>
      <x:c r="U1142" s="17" t="str">
        <x:v>true</x:v>
      </x:c>
      <x:c r="V1142" s="17" t="str">
        <x:v>false</x:v>
      </x:c>
    </x:row>
    <x:row r="1143" ht="80" customHeight="1">
      <x:c r="A1143" s="25" t="str">
        <x:v>Compress</x:v>
      </x:c>
      <x:c r="B1143" s="25" t="n">
        <x:v>11</x:v>
      </x:c>
      <x:c r="C1143" s="25" t="str">
        <x:v>Round2</x:v>
      </x:c>
      <x:c r="D1143" s="25" t="str">
        <x:v>INCONCLUSIVE</x:v>
      </x:c>
      <x:c r="E1143" s="25" t="str">
        <x:v>N/A</x:v>
      </x:c>
      <x:c r="F1143" s="26" t="str">
        <x:v>Fixed also failed; assertion failure cannot be attributed to this bug</x:v>
      </x:c>
      <x:c r="G1143" s="25" t="str">
        <x:v>true</x:v>
      </x:c>
      <x:c r="H1143" s="25" t="str">
        <x:v>INCONCLUSIVE</x:v>
      </x:c>
      <x:c r="I1143" s="25" t="str">
        <x:v>FAIL</x:v>
      </x:c>
      <x:c r="J1143" s="25" t="str">
        <x:v>FAIL</x:v>
      </x:c>
      <x:c r="K1143" s="25" t="n">
        <x:v>1</x:v>
      </x:c>
      <x:c r="L1143" s="27" t="b">
        <x:v>0</x:v>
      </x:c>
      <x:c r="M1143" s="25" t="str">
        <x:v>Deepseek-flash-v4/state/Round2/status/Compress_11.json; Deepseek-flash-v4/state/Round2/shards/Compress_11.json</x:v>
      </x:c>
      <x:c r="N1143" s="25" t="str">
        <x:v>Deepseek-flash-v4/Result2/Compress_11/result.json</x:v>
      </x:c>
      <x:c r="O1143" s="25" t="str">
        <x:v>Deepseek-flash-v4/Result2/Compress_11/result.json</x:v>
      </x:c>
      <x:c r="P1143"/>
      <x:c r="Q1143" s="21" t="str"/>
      <x:c r="R1143" s="21" t="str"/>
      <x:c r="S1143" s="21" t="str"/>
      <x:c r="T1143" s="17" t="str">
        <x:v>false</x:v>
      </x:c>
      <x:c r="U1143" s="17" t="str">
        <x:v>true</x:v>
      </x:c>
      <x:c r="V1143" s="17" t="str">
        <x:v>false</x:v>
      </x:c>
    </x:row>
    <x:row r="1144" ht="80" customHeight="1">
      <x:c r="A1144" s="25" t="str">
        <x:v>Compress</x:v>
      </x:c>
      <x:c r="B1144" s="25" t="n">
        <x:v>12</x:v>
      </x:c>
      <x:c r="C1144" s="25" t="str">
        <x:v>Round2</x:v>
      </x:c>
      <x:c r="D1144" s="25" t="str">
        <x:v>NOT_AVAILABLE</x:v>
      </x:c>
      <x:c r="E1144" s="25" t="str">
        <x:v>N/A</x:v>
      </x:c>
      <x:c r="F1144" s="26" t="str">
        <x:v>Tests exist but current coverage did not complete</x:v>
      </x:c>
      <x:c r="G1144" s="25" t="str">
        <x:v>true</x:v>
      </x:c>
      <x:c r="H1144" s="25" t="str">
        <x:v>NOT_AVAILABLE</x:v>
      </x:c>
      <x:c r="I1144" s="25" t="str">
        <x:v>NOT_RUN</x:v>
      </x:c>
      <x:c r="J1144" s="25" t="str">
        <x:v>NOT_RUN</x:v>
      </x:c>
      <x:c r="K1144" s="25" t="n">
        <x:v>1</x:v>
      </x:c>
      <x:c r="L1144" s="27" t="b">
        <x:v>0</x:v>
      </x:c>
      <x:c r="M1144" s="25" t="str">
        <x:v>Deepseek-flash-v4/state/Round2/status/Compress_12.json; Deepseek-flash-v4/state/Round2/shards/Compress_12.json</x:v>
      </x:c>
      <x:c r="N1144" s="25" t="str">
        <x:v>Deepseek-flash-v4/Result2/Compress_12/result.json</x:v>
      </x:c>
      <x:c r="O1144" s="25" t="str">
        <x:v>Deepseek-flash-v4/Result2/Compress_12/result.json</x:v>
      </x:c>
      <x:c r="P1144" t="str">
        <x:v>BOTH_NOT_RUN</x:v>
      </x:c>
      <x:c r="Q1144" s="21" t="str"/>
      <x:c r="R1144" s="21" t="str"/>
      <x:c r="S1144" s="21" t="str"/>
      <x:c r="T1144" s="17" t="str">
        <x:v>false</x:v>
      </x:c>
      <x:c r="U1144" s="17" t="str">
        <x:v>true</x:v>
      </x:c>
      <x:c r="V1144" s="17" t="str">
        <x:v>false</x:v>
      </x:c>
    </x:row>
    <x:row r="1145" ht="80" customHeight="1">
      <x:c r="A1145" s="25" t="str">
        <x:v>Compress</x:v>
      </x:c>
      <x:c r="B1145" s="25" t="n">
        <x:v>13</x:v>
      </x:c>
      <x:c r="C1145" s="25" t="str">
        <x:v>Round2</x:v>
      </x:c>
      <x:c r="D1145" s="25" t="str">
        <x:v>NOT_AVAILABLE</x:v>
      </x:c>
      <x:c r="E1145" s="25" t="str">
        <x:v>N/A</x:v>
      </x:c>
      <x:c r="F1145" s="26" t="str">
        <x:v>Tests exist but current coverage did not complete</x:v>
      </x:c>
      <x:c r="G1145" s="25" t="str">
        <x:v>true</x:v>
      </x:c>
      <x:c r="H1145" s="25" t="str">
        <x:v>NOT_AVAILABLE</x:v>
      </x:c>
      <x:c r="I1145" s="25" t="str">
        <x:v>NOT_RUN</x:v>
      </x:c>
      <x:c r="J1145" s="25" t="str">
        <x:v>NOT_RUN</x:v>
      </x:c>
      <x:c r="K1145" s="25" t="n">
        <x:v>1</x:v>
      </x:c>
      <x:c r="L1145" s="27" t="b">
        <x:v>0</x:v>
      </x:c>
      <x:c r="M1145" s="25" t="str">
        <x:v>Deepseek-flash-v4/state/Round2/status/Compress_13.json; Deepseek-flash-v4/state/Round2/shards/Compress_13.json</x:v>
      </x:c>
      <x:c r="N1145" s="25" t="str">
        <x:v>Deepseek-flash-v4/Result2/Compress_13/result.json</x:v>
      </x:c>
      <x:c r="O1145" s="25" t="str">
        <x:v>Deepseek-flash-v4/Result2/Compress_13/result.json</x:v>
      </x:c>
      <x:c r="P1145" t="str">
        <x:v>BOTH_NOT_RUN</x:v>
      </x:c>
      <x:c r="Q1145" s="21" t="str"/>
      <x:c r="R1145" s="21" t="str"/>
      <x:c r="S1145" s="21" t="str"/>
      <x:c r="T1145" s="17" t="str">
        <x:v>false</x:v>
      </x:c>
      <x:c r="U1145" s="17" t="str">
        <x:v>true</x:v>
      </x:c>
      <x:c r="V1145" s="17" t="str">
        <x:v>false</x:v>
      </x:c>
    </x:row>
    <x:row r="1146" ht="80" customHeight="1">
      <x:c r="A1146" s="25" t="str">
        <x:v>Compress</x:v>
      </x:c>
      <x:c r="B1146" s="25" t="n">
        <x:v>14</x:v>
      </x:c>
      <x:c r="C1146" s="25" t="str">
        <x:v>Round2</x:v>
      </x:c>
      <x:c r="D1146" s="25" t="str">
        <x:v>INCONCLUSIVE</x:v>
      </x:c>
      <x:c r="E1146" s="25" t="str">
        <x:v>N/A</x:v>
      </x:c>
      <x:c r="F1146" s="26" t="str">
        <x:v>Fixed also failed; assertion failure cannot be attributed to this bug; Same-round generation metadata missing; use saved tests and execution evidence, no failure inferred</x:v>
      </x:c>
      <x:c r="G1146" s="25" t="str">
        <x:v>true</x:v>
      </x:c>
      <x:c r="H1146" s="25" t="str">
        <x:v>INCONCLUSIVE</x:v>
      </x:c>
      <x:c r="I1146" s="25" t="str">
        <x:v>FAIL</x:v>
      </x:c>
      <x:c r="J1146" s="25" t="str">
        <x:v>FAIL</x:v>
      </x:c>
      <x:c r="K1146" s="25" t="n">
        <x:v>1</x:v>
      </x:c>
      <x:c r="L1146" s="27" t="b">
        <x:v>0</x:v>
      </x:c>
      <x:c r="M1146" s="25"/>
      <x:c r="N1146" s="25" t="str">
        <x:v>Deepseek-flash-v4/Result2/Compress_14/result.json</x:v>
      </x:c>
      <x:c r="O1146" s="25" t="str">
        <x:v>Deepseek-flash-v4/Result2/Compress_14/result.json</x:v>
      </x:c>
      <x:c r="P1146"/>
      <x:c r="Q1146" s="21" t="str"/>
      <x:c r="R1146" s="21" t="str"/>
      <x:c r="S1146" s="21" t="str"/>
      <x:c r="T1146" s="17" t="str">
        <x:v>false</x:v>
      </x:c>
      <x:c r="U1146" s="17" t="str">
        <x:v>true</x:v>
      </x:c>
      <x:c r="V1146" s="17" t="str">
        <x:v>false</x:v>
      </x:c>
    </x:row>
    <x:row r="1147" ht="80" customHeight="1">
      <x:c r="A1147" s="25" t="str">
        <x:v>Compress</x:v>
      </x:c>
      <x:c r="B1147" s="25" t="n">
        <x:v>15</x:v>
      </x:c>
      <x:c r="C1147" s="25" t="str">
        <x:v>Round2</x:v>
      </x:c>
      <x:c r="D1147" s="25" t="str">
        <x:v>NOT_AVAILABLE</x:v>
      </x:c>
      <x:c r="E1147" s="25" t="str">
        <x:v>N/A</x:v>
      </x:c>
      <x:c r="F1147" s="26" t="str">
        <x:v>Tests exist but current coverage did not complete</x:v>
      </x:c>
      <x:c r="G1147" s="25" t="str">
        <x:v>true</x:v>
      </x:c>
      <x:c r="H1147" s="25" t="str">
        <x:v>NOT_AVAILABLE</x:v>
      </x:c>
      <x:c r="I1147" s="25" t="str">
        <x:v>NOT_RUN</x:v>
      </x:c>
      <x:c r="J1147" s="25" t="str">
        <x:v>NOT_RUN</x:v>
      </x:c>
      <x:c r="K1147" s="25" t="n">
        <x:v>1</x:v>
      </x:c>
      <x:c r="L1147" s="27" t="b">
        <x:v>0</x:v>
      </x:c>
      <x:c r="M1147" s="25" t="str">
        <x:v>Deepseek-flash-v4/state/Round2/status/Compress_15.json; Deepseek-flash-v4/state/Round2/shards/Compress_15.json</x:v>
      </x:c>
      <x:c r="N1147" s="25" t="str">
        <x:v>Deepseek-flash-v4/Result2/Compress_15/result.json</x:v>
      </x:c>
      <x:c r="O1147" s="25" t="str">
        <x:v>Deepseek-flash-v4/Result2/Compress_15/result.json</x:v>
      </x:c>
      <x:c r="P1147" t="str">
        <x:v>BOTH_NOT_RUN</x:v>
      </x:c>
      <x:c r="Q1147" s="21" t="str"/>
      <x:c r="R1147" s="21" t="str"/>
      <x:c r="S1147" s="21" t="str"/>
      <x:c r="T1147" s="17" t="str">
        <x:v>false</x:v>
      </x:c>
      <x:c r="U1147" s="17" t="str">
        <x:v>true</x:v>
      </x:c>
      <x:c r="V1147" s="17" t="str">
        <x:v>false</x:v>
      </x:c>
    </x:row>
    <x:row r="1148" ht="80" customHeight="1">
      <x:c r="A1148" s="25" t="str">
        <x:v>Compress</x:v>
      </x:c>
      <x:c r="B1148" s="25" t="n">
        <x:v>16</x:v>
      </x:c>
      <x:c r="C1148" s="25" t="str">
        <x:v>Round2</x:v>
      </x:c>
      <x:c r="D1148" s="25" t="str">
        <x:v>NOT_AVAILABLE</x:v>
      </x:c>
      <x:c r="E1148" s="25" t="str">
        <x:v>N/A</x:v>
      </x:c>
      <x:c r="F1148" s="26" t="str">
        <x:v>Tests exist but current coverage did not complete</x:v>
      </x:c>
      <x:c r="G1148" s="25" t="str">
        <x:v>true</x:v>
      </x:c>
      <x:c r="H1148" s="25" t="str">
        <x:v>NOT_AVAILABLE</x:v>
      </x:c>
      <x:c r="I1148" s="25" t="str">
        <x:v>NOT_RUN</x:v>
      </x:c>
      <x:c r="J1148" s="25" t="str">
        <x:v>NOT_RUN</x:v>
      </x:c>
      <x:c r="K1148" s="25" t="n">
        <x:v>1</x:v>
      </x:c>
      <x:c r="L1148" s="27" t="b">
        <x:v>0</x:v>
      </x:c>
      <x:c r="M1148" s="25" t="str">
        <x:v>Deepseek-flash-v4/state/Round2/status/Compress_16.json; Deepseek-flash-v4/state/Round2/shards/Compress_16.json</x:v>
      </x:c>
      <x:c r="N1148" s="25" t="str">
        <x:v>Deepseek-flash-v4/Result2/Compress_16/result.json</x:v>
      </x:c>
      <x:c r="O1148" s="25" t="str">
        <x:v>Deepseek-flash-v4/Result2/Compress_16/result.json</x:v>
      </x:c>
      <x:c r="P1148" t="str">
        <x:v>BOTH_NOT_RUN</x:v>
      </x:c>
      <x:c r="Q1148" s="21" t="str"/>
      <x:c r="R1148" s="21" t="str"/>
      <x:c r="S1148" s="21" t="str"/>
      <x:c r="T1148" s="17" t="str">
        <x:v>false</x:v>
      </x:c>
      <x:c r="U1148" s="17" t="str">
        <x:v>true</x:v>
      </x:c>
      <x:c r="V1148" s="17" t="str">
        <x:v>false</x:v>
      </x:c>
    </x:row>
    <x:row r="1149" ht="80" customHeight="1">
      <x:c r="A1149" s="25" t="str">
        <x:v>Compress</x:v>
      </x:c>
      <x:c r="B1149" s="25" t="n">
        <x:v>17</x:v>
      </x:c>
      <x:c r="C1149" s="25" t="str">
        <x:v>Round2</x:v>
      </x:c>
      <x:c r="D1149" s="25" t="str">
        <x:v>INCONCLUSIVE</x:v>
      </x:c>
      <x:c r="E1149" s="25" t="str">
        <x:v>N/A</x:v>
      </x:c>
      <x:c r="F1149" s="26" t="str">
        <x:v>Fixed also failed; assertion failure cannot be attributed to this bug; Same-round generation metadata missing; use saved tests and execution evidence, no failure inferred</x:v>
      </x:c>
      <x:c r="G1149" s="25" t="str">
        <x:v>true</x:v>
      </x:c>
      <x:c r="H1149" s="25" t="str">
        <x:v>INCONCLUSIVE</x:v>
      </x:c>
      <x:c r="I1149" s="25" t="str">
        <x:v>FAIL</x:v>
      </x:c>
      <x:c r="J1149" s="25" t="str">
        <x:v>FAIL</x:v>
      </x:c>
      <x:c r="K1149" s="25" t="n">
        <x:v>1</x:v>
      </x:c>
      <x:c r="L1149" s="27" t="b">
        <x:v>0</x:v>
      </x:c>
      <x:c r="M1149" s="25"/>
      <x:c r="N1149" s="25" t="str">
        <x:v>Deepseek-flash-v4/Result2/Compress_17/result.json</x:v>
      </x:c>
      <x:c r="O1149" s="25" t="str">
        <x:v>Deepseek-flash-v4/Result2/Compress_17/result.json</x:v>
      </x:c>
      <x:c r="P1149"/>
      <x:c r="Q1149" s="21" t="str"/>
      <x:c r="R1149" s="21" t="str"/>
      <x:c r="S1149" s="21" t="str"/>
      <x:c r="T1149" s="17" t="str">
        <x:v>false</x:v>
      </x:c>
      <x:c r="U1149" s="17" t="str">
        <x:v>true</x:v>
      </x:c>
      <x:c r="V1149" s="17" t="str">
        <x:v>false</x:v>
      </x:c>
    </x:row>
    <x:row r="1150" ht="80" customHeight="1">
      <x:c r="A1150" s="25" t="str">
        <x:v>Compress</x:v>
      </x:c>
      <x:c r="B1150" s="25" t="n">
        <x:v>18</x:v>
      </x:c>
      <x:c r="C1150" s="25" t="str">
        <x:v>Round2</x:v>
      </x:c>
      <x:c r="D1150" s="25" t="str">
        <x:v>NOT_AVAILABLE</x:v>
      </x:c>
      <x:c r="E1150" s="25" t="str">
        <x:v>N/A</x:v>
      </x:c>
      <x:c r="F1150" s="26" t="str">
        <x:v>Tests exist but current coverage did not complete</x:v>
      </x:c>
      <x:c r="G1150" s="25" t="str">
        <x:v>true</x:v>
      </x:c>
      <x:c r="H1150" s="25" t="str">
        <x:v>NOT_AVAILABLE</x:v>
      </x:c>
      <x:c r="I1150" s="25" t="str">
        <x:v>NOT_RUN</x:v>
      </x:c>
      <x:c r="J1150" s="25" t="str">
        <x:v>NOT_RUN</x:v>
      </x:c>
      <x:c r="K1150" s="25" t="n">
        <x:v>1</x:v>
      </x:c>
      <x:c r="L1150" s="27" t="b">
        <x:v>0</x:v>
      </x:c>
      <x:c r="M1150" s="25" t="str">
        <x:v>Deepseek-flash-v4/state/Round2/status/Compress_18.json; Deepseek-flash-v4/state/Round2/shards/Compress_18.json</x:v>
      </x:c>
      <x:c r="N1150" s="25" t="str">
        <x:v>Deepseek-flash-v4/Result2/Compress_18/result.json</x:v>
      </x:c>
      <x:c r="O1150" s="25" t="str">
        <x:v>Deepseek-flash-v4/Result2/Compress_18/result.json</x:v>
      </x:c>
      <x:c r="P1150" t="str">
        <x:v>BOTH_NOT_RUN</x:v>
      </x:c>
      <x:c r="Q1150" s="21" t="str"/>
      <x:c r="R1150" s="21" t="str"/>
      <x:c r="S1150" s="21" t="str"/>
      <x:c r="T1150" s="17" t="str">
        <x:v>false</x:v>
      </x:c>
      <x:c r="U1150" s="17" t="str">
        <x:v>true</x:v>
      </x:c>
      <x:c r="V1150" s="17" t="str">
        <x:v>false</x:v>
      </x:c>
    </x:row>
    <x:row r="1151" ht="80" customHeight="1">
      <x:c r="A1151" s="25" t="str">
        <x:v>Compress</x:v>
      </x:c>
      <x:c r="B1151" s="25" t="n">
        <x:v>19</x:v>
      </x:c>
      <x:c r="C1151" s="25" t="str">
        <x:v>Round2</x:v>
      </x:c>
      <x:c r="D1151" s="25" t="str">
        <x:v>INCONCLUSIVE</x:v>
      </x:c>
      <x:c r="E1151" s="25" t="str">
        <x:v>N/A</x:v>
      </x:c>
      <x:c r="F1151" s="26" t="str">
        <x:v>Fixed also failed; assertion failure cannot be attributed to this bug</x:v>
      </x:c>
      <x:c r="G1151" s="25" t="str">
        <x:v>true</x:v>
      </x:c>
      <x:c r="H1151" s="25" t="str">
        <x:v>INCONCLUSIVE</x:v>
      </x:c>
      <x:c r="I1151" s="25" t="str">
        <x:v>FAIL</x:v>
      </x:c>
      <x:c r="J1151" s="25" t="str">
        <x:v>FAIL</x:v>
      </x:c>
      <x:c r="K1151" s="25" t="n">
        <x:v>1</x:v>
      </x:c>
      <x:c r="L1151" s="27" t="b">
        <x:v>0</x:v>
      </x:c>
      <x:c r="M1151" s="25" t="str">
        <x:v>Deepseek-flash-v4/state/Round2/status/Compress_19.json; Deepseek-flash-v4/state/Round2/shards/Compress_19.json</x:v>
      </x:c>
      <x:c r="N1151" s="25" t="str">
        <x:v>Deepseek-flash-v4/Result2/Compress_19/result.json</x:v>
      </x:c>
      <x:c r="O1151" s="25" t="str">
        <x:v>Deepseek-flash-v4/Result2/Compress_19/result.json</x:v>
      </x:c>
      <x:c r="P1151"/>
      <x:c r="Q1151" s="21" t="str"/>
      <x:c r="R1151" s="21" t="str"/>
      <x:c r="S1151" s="21" t="str"/>
      <x:c r="T1151" s="17" t="str">
        <x:v>false</x:v>
      </x:c>
      <x:c r="U1151" s="17" t="str">
        <x:v>true</x:v>
      </x:c>
      <x:c r="V1151" s="17" t="str">
        <x:v>false</x:v>
      </x:c>
    </x:row>
    <x:row r="1152" ht="80" customHeight="1">
      <x:c r="A1152" s="25" t="str">
        <x:v>Compress</x:v>
      </x:c>
      <x:c r="B1152" s="25" t="n">
        <x:v>2</x:v>
      </x:c>
      <x:c r="C1152" s="25" t="str">
        <x:v>Round2</x:v>
      </x:c>
      <x:c r="D1152" s="25" t="str">
        <x:v>NOT_AVAILABLE</x:v>
      </x:c>
      <x:c r="E1152" s="25" t="str">
        <x:v>N/A</x:v>
      </x:c>
      <x:c r="F1152" s="26" t="str">
        <x:v>Tests exist but current coverage did not complete</x:v>
      </x:c>
      <x:c r="G1152" s="25" t="str">
        <x:v>true</x:v>
      </x:c>
      <x:c r="H1152" s="25" t="str">
        <x:v>NOT_AVAILABLE</x:v>
      </x:c>
      <x:c r="I1152" s="25" t="str">
        <x:v>NOT_RUN</x:v>
      </x:c>
      <x:c r="J1152" s="25" t="str">
        <x:v>NOT_RUN</x:v>
      </x:c>
      <x:c r="K1152" s="25" t="n">
        <x:v>1</x:v>
      </x:c>
      <x:c r="L1152" s="27" t="b">
        <x:v>0</x:v>
      </x:c>
      <x:c r="M1152" s="25" t="str">
        <x:v>Deepseek-flash-v4/state/Round2/status/Compress_2.json; Deepseek-flash-v4/state/Round2/shards/Compress_2.json</x:v>
      </x:c>
      <x:c r="N1152" s="25" t="str">
        <x:v>Deepseek-flash-v4/Result2/Compress_2/result.json</x:v>
      </x:c>
      <x:c r="O1152" s="25" t="str">
        <x:v>Deepseek-flash-v4/Result2/Compress_2/result.json</x:v>
      </x:c>
      <x:c r="P1152" t="str">
        <x:v>BOTH_NOT_RUN</x:v>
      </x:c>
      <x:c r="Q1152" s="21" t="str"/>
      <x:c r="R1152" s="21" t="str"/>
      <x:c r="S1152" s="21" t="str"/>
      <x:c r="T1152" s="17" t="str">
        <x:v>false</x:v>
      </x:c>
      <x:c r="U1152" s="17" t="str">
        <x:v>true</x:v>
      </x:c>
      <x:c r="V1152" s="17" t="str">
        <x:v>false</x:v>
      </x:c>
    </x:row>
    <x:row r="1153" ht="80" customHeight="1">
      <x:c r="A1153" s="25" t="str">
        <x:v>Compress</x:v>
      </x:c>
      <x:c r="B1153" s="25" t="n">
        <x:v>20</x:v>
      </x:c>
      <x:c r="C1153" s="25" t="str">
        <x:v>Round2</x:v>
      </x:c>
      <x:c r="D1153" s="25" t="str">
        <x:v>INCONCLUSIVE</x:v>
      </x:c>
      <x:c r="E1153" s="25" t="str">
        <x:v>N/A</x:v>
      </x:c>
      <x:c r="F1153" s="26" t="str">
        <x:v>Fixed also failed; assertion failure cannot be attributed to this bug; Same-round generation metadata missing; use saved tests and execution evidence, no failure inferred</x:v>
      </x:c>
      <x:c r="G1153" s="25" t="str">
        <x:v>true</x:v>
      </x:c>
      <x:c r="H1153" s="25" t="str">
        <x:v>INCONCLUSIVE</x:v>
      </x:c>
      <x:c r="I1153" s="25" t="str">
        <x:v>FAIL</x:v>
      </x:c>
      <x:c r="J1153" s="25" t="str">
        <x:v>FAIL</x:v>
      </x:c>
      <x:c r="K1153" s="25" t="n">
        <x:v>1</x:v>
      </x:c>
      <x:c r="L1153" s="27" t="b">
        <x:v>0</x:v>
      </x:c>
      <x:c r="M1153" s="25"/>
      <x:c r="N1153" s="25" t="str">
        <x:v>Deepseek-flash-v4/Result2/Compress_20/result.json</x:v>
      </x:c>
      <x:c r="O1153" s="25" t="str">
        <x:v>Deepseek-flash-v4/Result2/Compress_20/result.json</x:v>
      </x:c>
      <x:c r="P1153"/>
      <x:c r="Q1153" s="21" t="str"/>
      <x:c r="R1153" s="21" t="str"/>
      <x:c r="S1153" s="21" t="str"/>
      <x:c r="T1153" s="17" t="str">
        <x:v>false</x:v>
      </x:c>
      <x:c r="U1153" s="17" t="str">
        <x:v>true</x:v>
      </x:c>
      <x:c r="V1153" s="17" t="str">
        <x:v>false</x:v>
      </x:c>
    </x:row>
    <x:row r="1154" ht="80" customHeight="1">
      <x:c r="A1154" s="25" t="str">
        <x:v>Compress</x:v>
      </x:c>
      <x:c r="B1154" s="25" t="n">
        <x:v>21</x:v>
      </x:c>
      <x:c r="C1154" s="25" t="str">
        <x:v>Round2</x:v>
      </x:c>
      <x:c r="D1154" s="25" t="str">
        <x:v>INCONCLUSIVE</x:v>
      </x:c>
      <x:c r="E1154" s="25" t="str">
        <x:v>N/A</x:v>
      </x:c>
      <x:c r="F1154" s="26" t="str">
        <x:v>Fixed also failed; assertion failure cannot be attributed to this bug; Same-round generation metadata missing; use saved tests and execution evidence, no failure inferred</x:v>
      </x:c>
      <x:c r="G1154" s="25" t="str">
        <x:v>true</x:v>
      </x:c>
      <x:c r="H1154" s="25" t="str">
        <x:v>INCONCLUSIVE</x:v>
      </x:c>
      <x:c r="I1154" s="25" t="str">
        <x:v>FAIL</x:v>
      </x:c>
      <x:c r="J1154" s="25" t="str">
        <x:v>FAIL</x:v>
      </x:c>
      <x:c r="K1154" s="25" t="n">
        <x:v>1</x:v>
      </x:c>
      <x:c r="L1154" s="27" t="b">
        <x:v>0</x:v>
      </x:c>
      <x:c r="M1154" s="25"/>
      <x:c r="N1154" s="25" t="str">
        <x:v>Deepseek-flash-v4/Result2/Compress_21/result.json</x:v>
      </x:c>
      <x:c r="O1154" s="25" t="str">
        <x:v>Deepseek-flash-v4/Result2/Compress_21/result.json</x:v>
      </x:c>
      <x:c r="P1154"/>
      <x:c r="Q1154" s="21" t="str"/>
      <x:c r="R1154" s="21" t="str"/>
      <x:c r="S1154" s="21" t="str"/>
      <x:c r="T1154" s="17" t="str">
        <x:v>false</x:v>
      </x:c>
      <x:c r="U1154" s="17" t="str">
        <x:v>true</x:v>
      </x:c>
      <x:c r="V1154" s="17" t="str">
        <x:v>false</x:v>
      </x:c>
    </x:row>
    <x:row r="1155" ht="80" customHeight="1">
      <x:c r="A1155" s="25" t="str">
        <x:v>Compress</x:v>
      </x:c>
      <x:c r="B1155" s="25" t="n">
        <x:v>22</x:v>
      </x:c>
      <x:c r="C1155" s="25" t="str">
        <x:v>Round2</x:v>
      </x:c>
      <x:c r="D1155" s="25" t="str">
        <x:v>INCONCLUSIVE</x:v>
      </x:c>
      <x:c r="E1155" s="25" t="str">
        <x:v>N/A</x:v>
      </x:c>
      <x:c r="F1155" s="26" t="str">
        <x:v>Fixed also failed; assertion failure cannot be attributed to this bug</x:v>
      </x:c>
      <x:c r="G1155" s="25" t="str">
        <x:v>true</x:v>
      </x:c>
      <x:c r="H1155" s="25" t="str">
        <x:v>INCONCLUSIVE</x:v>
      </x:c>
      <x:c r="I1155" s="25" t="str">
        <x:v>FAIL</x:v>
      </x:c>
      <x:c r="J1155" s="25" t="str">
        <x:v>FAIL</x:v>
      </x:c>
      <x:c r="K1155" s="25" t="n">
        <x:v>1</x:v>
      </x:c>
      <x:c r="L1155" s="27" t="b">
        <x:v>0</x:v>
      </x:c>
      <x:c r="M1155" s="25" t="str">
        <x:v>Deepseek-flash-v4/state/Round2/status/Compress_22.json; Deepseek-flash-v4/state/Round2/shards/Compress_22.json</x:v>
      </x:c>
      <x:c r="N1155" s="25" t="str">
        <x:v>Deepseek-flash-v4/Result2/Compress_22/result.json</x:v>
      </x:c>
      <x:c r="O1155" s="25" t="str">
        <x:v>Deepseek-flash-v4/Result2/Compress_22/result.json</x:v>
      </x:c>
      <x:c r="P1155"/>
      <x:c r="Q1155" s="21" t="str"/>
      <x:c r="R1155" s="21" t="str"/>
      <x:c r="S1155" s="21" t="str"/>
      <x:c r="T1155" s="17" t="str">
        <x:v>false</x:v>
      </x:c>
      <x:c r="U1155" s="17" t="str">
        <x:v>true</x:v>
      </x:c>
      <x:c r="V1155" s="17" t="str">
        <x:v>false</x:v>
      </x:c>
    </x:row>
    <x:row r="1156" ht="80" customHeight="1">
      <x:c r="A1156" s="25" t="str">
        <x:v>Compress</x:v>
      </x:c>
      <x:c r="B1156" s="25" t="n">
        <x:v>23</x:v>
      </x:c>
      <x:c r="C1156" s="25" t="str">
        <x:v>Round2</x:v>
      </x:c>
      <x:c r="D1156" s="25" t="str">
        <x:v>NOT_AVAILABLE</x:v>
      </x:c>
      <x:c r="E1156" s="25" t="str">
        <x:v>N/A</x:v>
      </x:c>
      <x:c r="F1156" s="26" t="str">
        <x:v>Tests exist but current coverage did not complete</x:v>
      </x:c>
      <x:c r="G1156" s="25" t="str">
        <x:v>true</x:v>
      </x:c>
      <x:c r="H1156" s="25" t="str">
        <x:v>NOT_AVAILABLE</x:v>
      </x:c>
      <x:c r="I1156" s="25" t="str">
        <x:v>NOT_RUN</x:v>
      </x:c>
      <x:c r="J1156" s="25" t="str">
        <x:v>NOT_RUN</x:v>
      </x:c>
      <x:c r="K1156" s="25" t="n">
        <x:v>1</x:v>
      </x:c>
      <x:c r="L1156" s="27" t="b">
        <x:v>0</x:v>
      </x:c>
      <x:c r="M1156" s="25" t="str">
        <x:v>Deepseek-flash-v4/state/Round2/status/Compress_23.json; Deepseek-flash-v4/state/Round2/shards/Compress_23.json</x:v>
      </x:c>
      <x:c r="N1156" s="25" t="str">
        <x:v>Deepseek-flash-v4/Result2/Compress_23/result.json</x:v>
      </x:c>
      <x:c r="O1156" s="25" t="str">
        <x:v>Deepseek-flash-v4/Result2/Compress_23/result.json</x:v>
      </x:c>
      <x:c r="P1156" t="str">
        <x:v>BOTH_NOT_RUN</x:v>
      </x:c>
      <x:c r="Q1156" s="21" t="str"/>
      <x:c r="R1156" s="21" t="str"/>
      <x:c r="S1156" s="21" t="str"/>
      <x:c r="T1156" s="17" t="str">
        <x:v>false</x:v>
      </x:c>
      <x:c r="U1156" s="17" t="str">
        <x:v>true</x:v>
      </x:c>
      <x:c r="V1156" s="17" t="str">
        <x:v>false</x:v>
      </x:c>
    </x:row>
    <x:row r="1157" ht="80" customHeight="1">
      <x:c r="A1157" s="25" t="str">
        <x:v>Compress</x:v>
      </x:c>
      <x:c r="B1157" s="25" t="n">
        <x:v>24</x:v>
      </x:c>
      <x:c r="C1157" s="25" t="str">
        <x:v>Round2</x:v>
      </x:c>
      <x:c r="D1157" s="25" t="str">
        <x:v>INCONCLUSIVE</x:v>
      </x:c>
      <x:c r="E1157" s="25" t="str">
        <x:v>N/A</x:v>
      </x:c>
      <x:c r="F1157" s="26" t="str">
        <x:v>Fixed also failed; assertion failure cannot be attributed to this bug; Same-round generation metadata missing; use saved tests and execution evidence, no failure inferred</x:v>
      </x:c>
      <x:c r="G1157" s="25" t="str">
        <x:v>true</x:v>
      </x:c>
      <x:c r="H1157" s="25" t="str">
        <x:v>INCONCLUSIVE</x:v>
      </x:c>
      <x:c r="I1157" s="25" t="str">
        <x:v>FAIL</x:v>
      </x:c>
      <x:c r="J1157" s="25" t="str">
        <x:v>FAIL</x:v>
      </x:c>
      <x:c r="K1157" s="25" t="n">
        <x:v>1</x:v>
      </x:c>
      <x:c r="L1157" s="27" t="b">
        <x:v>0</x:v>
      </x:c>
      <x:c r="M1157" s="25"/>
      <x:c r="N1157" s="25" t="str">
        <x:v>Deepseek-flash-v4/Result2/Compress_24/result.json</x:v>
      </x:c>
      <x:c r="O1157" s="25" t="str">
        <x:v>Deepseek-flash-v4/Result2/Compress_24/result.json</x:v>
      </x:c>
      <x:c r="P1157"/>
      <x:c r="Q1157" s="21" t="str"/>
      <x:c r="R1157" s="21" t="str"/>
      <x:c r="S1157" s="21" t="str"/>
      <x:c r="T1157" s="17" t="str">
        <x:v>false</x:v>
      </x:c>
      <x:c r="U1157" s="17" t="str">
        <x:v>true</x:v>
      </x:c>
      <x:c r="V1157" s="17" t="str">
        <x:v>false</x:v>
      </x:c>
    </x:row>
    <x:row r="1158" ht="80" customHeight="1">
      <x:c r="A1158" s="25" t="str">
        <x:v>Compress</x:v>
      </x:c>
      <x:c r="B1158" s="25" t="n">
        <x:v>25</x:v>
      </x:c>
      <x:c r="C1158" s="25" t="str">
        <x:v>Round2</x:v>
      </x:c>
      <x:c r="D1158" s="25" t="str">
        <x:v>INCONCLUSIVE</x:v>
      </x:c>
      <x:c r="E1158" s="25" t="str">
        <x:v>N/A</x:v>
      </x:c>
      <x:c r="F1158" s="26" t="str">
        <x:v>Fixed also failed; assertion failure cannot be attributed to this bug</x:v>
      </x:c>
      <x:c r="G1158" s="25" t="str">
        <x:v>true</x:v>
      </x:c>
      <x:c r="H1158" s="25" t="str">
        <x:v>INCONCLUSIVE</x:v>
      </x:c>
      <x:c r="I1158" s="25" t="str">
        <x:v>FAIL</x:v>
      </x:c>
      <x:c r="J1158" s="25" t="str">
        <x:v>FAIL</x:v>
      </x:c>
      <x:c r="K1158" s="25" t="n">
        <x:v>1</x:v>
      </x:c>
      <x:c r="L1158" s="27" t="b">
        <x:v>0</x:v>
      </x:c>
      <x:c r="M1158" s="25" t="str">
        <x:v>Deepseek-flash-v4/state/Round2/status/Compress_25.json; Deepseek-flash-v4/state/Round2/shards/Compress_25.json</x:v>
      </x:c>
      <x:c r="N1158" s="25" t="str">
        <x:v>Deepseek-flash-v4/Result2/Compress_25/result.json</x:v>
      </x:c>
      <x:c r="O1158" s="25" t="str">
        <x:v>Deepseek-flash-v4/Result2/Compress_25/result.json</x:v>
      </x:c>
      <x:c r="P1158"/>
      <x:c r="Q1158" s="21" t="str"/>
      <x:c r="R1158" s="21" t="str"/>
      <x:c r="S1158" s="21" t="str"/>
      <x:c r="T1158" s="17" t="str">
        <x:v>false</x:v>
      </x:c>
      <x:c r="U1158" s="17" t="str">
        <x:v>true</x:v>
      </x:c>
      <x:c r="V1158" s="17" t="str">
        <x:v>false</x:v>
      </x:c>
    </x:row>
    <x:row r="1159" ht="80" customHeight="1">
      <x:c r="A1159" s="25" t="str">
        <x:v>Compress</x:v>
      </x:c>
      <x:c r="B1159" s="25" t="n">
        <x:v>26</x:v>
      </x:c>
      <x:c r="C1159" s="25" t="str">
        <x:v>Round2</x:v>
      </x:c>
      <x:c r="D1159" s="25" t="str">
        <x:v>NOT_REVEALING</x:v>
      </x:c>
      <x:c r="E1159" s="25" t="str">
        <x:v>N/A</x:v>
      </x:c>
      <x:c r="F1159" s="26" t="str">
        <x:v>Same saved validation suite passed on buggy and fixed</x:v>
      </x:c>
      <x:c r="G1159" s="25" t="str">
        <x:v>true</x:v>
      </x:c>
      <x:c r="H1159" s="25" t="str">
        <x:v>NOT_REVEALING</x:v>
      </x:c>
      <x:c r="I1159" s="25" t="str">
        <x:v>PASS</x:v>
      </x:c>
      <x:c r="J1159" s="25" t="str">
        <x:v>PASS</x:v>
      </x:c>
      <x:c r="K1159" s="25" t="n">
        <x:v>1</x:v>
      </x:c>
      <x:c r="L1159" s="27" t="b">
        <x:v>0</x:v>
      </x:c>
      <x:c r="M1159" s="25" t="str">
        <x:v>Deepseek-flash-v4/state/Round2/status/Compress_26.json; Deepseek-flash-v4/state/Round2/shards/Compress_26.json</x:v>
      </x:c>
      <x:c r="N1159" s="25" t="str">
        <x:v>Deepseek-flash-v4/Result2/Compress_26/result.json</x:v>
      </x:c>
      <x:c r="O1159" s="25" t="str">
        <x:v>Deepseek-flash-v4/Result2/Compress_26/result.json</x:v>
      </x:c>
      <x:c r="P1159"/>
      <x:c r="Q1159" s="21" t="str"/>
      <x:c r="R1159" s="21" t="str"/>
      <x:c r="S1159" s="21" t="str"/>
      <x:c r="T1159" s="17" t="str">
        <x:v>false</x:v>
      </x:c>
      <x:c r="U1159" s="17" t="str">
        <x:v>true</x:v>
      </x:c>
      <x:c r="V1159" s="17" t="str">
        <x:v>false</x:v>
      </x:c>
    </x:row>
    <x:row r="1160" ht="80" customHeight="1">
      <x:c r="A1160" s="25" t="str">
        <x:v>Compress</x:v>
      </x:c>
      <x:c r="B1160" s="25" t="n">
        <x:v>27</x:v>
      </x:c>
      <x:c r="C1160" s="25" t="str">
        <x:v>Round2</x:v>
      </x:c>
      <x:c r="D1160" s="25" t="str">
        <x:v>NOT_AVAILABLE</x:v>
      </x:c>
      <x:c r="E1160" s="25" t="str">
        <x:v>N/A</x:v>
      </x:c>
      <x:c r="F1160" s="26" t="str">
        <x:v>Tests exist but current coverage did not complete</x:v>
      </x:c>
      <x:c r="G1160" s="25" t="str">
        <x:v>true</x:v>
      </x:c>
      <x:c r="H1160" s="25" t="str">
        <x:v>NOT_AVAILABLE</x:v>
      </x:c>
      <x:c r="I1160" s="25" t="str">
        <x:v>NOT_RUN</x:v>
      </x:c>
      <x:c r="J1160" s="25" t="str">
        <x:v>NOT_RUN</x:v>
      </x:c>
      <x:c r="K1160" s="25" t="n">
        <x:v>1</x:v>
      </x:c>
      <x:c r="L1160" s="27" t="b">
        <x:v>0</x:v>
      </x:c>
      <x:c r="M1160" s="25" t="str">
        <x:v>Deepseek-flash-v4/state/Round2/status/Compress_27.json; Deepseek-flash-v4/state/Round2/shards/Compress_27.json</x:v>
      </x:c>
      <x:c r="N1160" s="25" t="str">
        <x:v>Deepseek-flash-v4/Result2/Compress_27/result.json</x:v>
      </x:c>
      <x:c r="O1160" s="25" t="str">
        <x:v>Deepseek-flash-v4/Result2/Compress_27/result.json</x:v>
      </x:c>
      <x:c r="P1160" t="str">
        <x:v>BOTH_NOT_RUN</x:v>
      </x:c>
      <x:c r="Q1160" s="21" t="str"/>
      <x:c r="R1160" s="21" t="str"/>
      <x:c r="S1160" s="21" t="str"/>
      <x:c r="T1160" s="17" t="str">
        <x:v>false</x:v>
      </x:c>
      <x:c r="U1160" s="17" t="str">
        <x:v>true</x:v>
      </x:c>
      <x:c r="V1160" s="17" t="str">
        <x:v>false</x:v>
      </x:c>
    </x:row>
    <x:row r="1161" ht="80" customHeight="1">
      <x:c r="A1161" s="25" t="str">
        <x:v>Compress</x:v>
      </x:c>
      <x:c r="B1161" s="25" t="n">
        <x:v>28</x:v>
      </x:c>
      <x:c r="C1161" s="25" t="str">
        <x:v>Round2</x:v>
      </x:c>
      <x:c r="D1161" s="25" t="str">
        <x:v>NOT_AVAILABLE</x:v>
      </x:c>
      <x:c r="E1161" s="25" t="str">
        <x:v>N/A</x:v>
      </x:c>
      <x:c r="F1161" s="26" t="str">
        <x:v>Tests exist but current coverage did not complete</x:v>
      </x:c>
      <x:c r="G1161" s="25" t="str">
        <x:v>true</x:v>
      </x:c>
      <x:c r="H1161" s="25" t="str">
        <x:v>NOT_AVAILABLE</x:v>
      </x:c>
      <x:c r="I1161" s="25" t="str">
        <x:v>NOT_RUN</x:v>
      </x:c>
      <x:c r="J1161" s="25" t="str">
        <x:v>NOT_RUN</x:v>
      </x:c>
      <x:c r="K1161" s="25" t="n">
        <x:v>1</x:v>
      </x:c>
      <x:c r="L1161" s="27" t="b">
        <x:v>0</x:v>
      </x:c>
      <x:c r="M1161" s="25" t="str">
        <x:v>Deepseek-flash-v4/state/Round2/status/Compress_28.json; Deepseek-flash-v4/state/Round2/shards/Compress_28.json</x:v>
      </x:c>
      <x:c r="N1161" s="25" t="str">
        <x:v>Deepseek-flash-v4/Result2/Compress_28/result.json</x:v>
      </x:c>
      <x:c r="O1161" s="25" t="str">
        <x:v>Deepseek-flash-v4/Result2/Compress_28/result.json</x:v>
      </x:c>
      <x:c r="P1161" t="str">
        <x:v>BOTH_NOT_RUN</x:v>
      </x:c>
      <x:c r="Q1161" s="21" t="str"/>
      <x:c r="R1161" s="21" t="str"/>
      <x:c r="S1161" s="21" t="str"/>
      <x:c r="T1161" s="17" t="str">
        <x:v>false</x:v>
      </x:c>
      <x:c r="U1161" s="17" t="str">
        <x:v>true</x:v>
      </x:c>
      <x:c r="V1161" s="17" t="str">
        <x:v>false</x:v>
      </x:c>
    </x:row>
    <x:row r="1162" ht="80" customHeight="1">
      <x:c r="A1162" s="25" t="str">
        <x:v>Compress</x:v>
      </x:c>
      <x:c r="B1162" s="25" t="n">
        <x:v>29</x:v>
      </x:c>
      <x:c r="C1162" s="25" t="str">
        <x:v>Round2</x:v>
      </x:c>
      <x:c r="D1162" s="25" t="str">
        <x:v>NOT_AVAILABLE</x:v>
      </x:c>
      <x:c r="E1162" s="25" t="str">
        <x:v>N/A</x:v>
      </x:c>
      <x:c r="F1162" s="26" t="str">
        <x:v>Tests exist but current coverage did not complete</x:v>
      </x:c>
      <x:c r="G1162" s="25" t="str">
        <x:v>true</x:v>
      </x:c>
      <x:c r="H1162" s="25" t="str">
        <x:v>NOT_AVAILABLE</x:v>
      </x:c>
      <x:c r="I1162" s="25" t="str">
        <x:v>NOT_RUN</x:v>
      </x:c>
      <x:c r="J1162" s="25" t="str">
        <x:v>NOT_RUN</x:v>
      </x:c>
      <x:c r="K1162" s="25" t="n">
        <x:v>7</x:v>
      </x:c>
      <x:c r="L1162" s="27" t="b">
        <x:v>0</x:v>
      </x:c>
      <x:c r="M1162" s="25" t="str">
        <x:v>Deepseek-flash-v4/state/Round2/status/Compress_29.json; Deepseek-flash-v4/state/Round2/shards/Compress_29.json</x:v>
      </x:c>
      <x:c r="N1162" s="25" t="str">
        <x:v>Deepseek-flash-v4/Result2/Compress_29/result.json</x:v>
      </x:c>
      <x:c r="O1162" s="25" t="str">
        <x:v>Deepseek-flash-v4/Result2/Compress_29/result.json</x:v>
      </x:c>
      <x:c r="P1162" t="str">
        <x:v>BOTH_NOT_RUN</x:v>
      </x:c>
      <x:c r="Q1162" s="21" t="str"/>
      <x:c r="R1162" s="21" t="str"/>
      <x:c r="S1162" s="21" t="str"/>
      <x:c r="T1162" s="17" t="str">
        <x:v>false</x:v>
      </x:c>
      <x:c r="U1162" s="17" t="str">
        <x:v>true</x:v>
      </x:c>
      <x:c r="V1162" s="17" t="str">
        <x:v>false</x:v>
      </x:c>
    </x:row>
    <x:row r="1163" ht="80" customHeight="1">
      <x:c r="A1163" s="25" t="str">
        <x:v>Compress</x:v>
      </x:c>
      <x:c r="B1163" s="25" t="n">
        <x:v>3</x:v>
      </x:c>
      <x:c r="C1163" s="25" t="str">
        <x:v>Round2</x:v>
      </x:c>
      <x:c r="D1163" s="25" t="str">
        <x:v>INCONCLUSIVE</x:v>
      </x:c>
      <x:c r="E1163" s="25" t="str">
        <x:v>N/A</x:v>
      </x:c>
      <x:c r="F1163" s="26" t="str">
        <x:v>Fixed also failed; assertion failure cannot be attributed to this bug</x:v>
      </x:c>
      <x:c r="G1163" s="25" t="str">
        <x:v>true</x:v>
      </x:c>
      <x:c r="H1163" s="25" t="str">
        <x:v>INCONCLUSIVE</x:v>
      </x:c>
      <x:c r="I1163" s="25" t="str">
        <x:v>PASS</x:v>
      </x:c>
      <x:c r="J1163" s="25" t="str">
        <x:v>FAIL</x:v>
      </x:c>
      <x:c r="K1163" s="25" t="n">
        <x:v>1</x:v>
      </x:c>
      <x:c r="L1163" s="27" t="b">
        <x:v>0</x:v>
      </x:c>
      <x:c r="M1163" s="25" t="str">
        <x:v>Deepseek-flash-v4/state/Round2/status/Compress_3.json; Deepseek-flash-v4/state/Round2/shards/Compress_3.json</x:v>
      </x:c>
      <x:c r="N1163" s="25" t="str">
        <x:v>Deepseek-flash-v4/Result2/Compress_3/result.json</x:v>
      </x:c>
      <x:c r="O1163" s="25" t="str">
        <x:v>Deepseek-flash-v4/Result2/Compress_3/result.json</x:v>
      </x:c>
      <x:c r="P1163"/>
      <x:c r="Q1163" s="21" t="str"/>
      <x:c r="R1163" s="21" t="str"/>
      <x:c r="S1163" s="21" t="str"/>
      <x:c r="T1163" s="17" t="str">
        <x:v>false</x:v>
      </x:c>
      <x:c r="U1163" s="17" t="str">
        <x:v>true</x:v>
      </x:c>
      <x:c r="V1163" s="17" t="str">
        <x:v>false</x:v>
      </x:c>
    </x:row>
    <x:row r="1164" ht="80" customHeight="1">
      <x:c r="A1164" s="25" t="str">
        <x:v>Compress</x:v>
      </x:c>
      <x:c r="B1164" s="25" t="n">
        <x:v>30</x:v>
      </x:c>
      <x:c r="C1164" s="25" t="str">
        <x:v>Round2</x:v>
      </x:c>
      <x:c r="D1164" s="25" t="str">
        <x:v>INCONCLUSIVE</x:v>
      </x:c>
      <x:c r="E1164" s="25" t="str">
        <x:v>N/A</x:v>
      </x:c>
      <x:c r="F1164" s="26" t="str">
        <x:v>Fixed also failed; assertion failure cannot be attributed to this bug; Same-round generation metadata missing; use saved tests and execution evidence, no failure inferred</x:v>
      </x:c>
      <x:c r="G1164" s="25" t="str">
        <x:v>true</x:v>
      </x:c>
      <x:c r="H1164" s="25" t="str">
        <x:v>INCONCLUSIVE</x:v>
      </x:c>
      <x:c r="I1164" s="25" t="str">
        <x:v>FAIL</x:v>
      </x:c>
      <x:c r="J1164" s="25" t="str">
        <x:v>FAIL</x:v>
      </x:c>
      <x:c r="K1164" s="25" t="n">
        <x:v>1</x:v>
      </x:c>
      <x:c r="L1164" s="27" t="b">
        <x:v>0</x:v>
      </x:c>
      <x:c r="M1164" s="25"/>
      <x:c r="N1164" s="25" t="str">
        <x:v>Deepseek-flash-v4/Result2/Compress_30/result.json</x:v>
      </x:c>
      <x:c r="O1164" s="25" t="str">
        <x:v>Deepseek-flash-v4/Result2/Compress_30/result.json</x:v>
      </x:c>
      <x:c r="P1164"/>
      <x:c r="Q1164" s="21" t="str"/>
      <x:c r="R1164" s="21" t="str"/>
      <x:c r="S1164" s="21" t="str"/>
      <x:c r="T1164" s="17" t="str">
        <x:v>false</x:v>
      </x:c>
      <x:c r="U1164" s="17" t="str">
        <x:v>true</x:v>
      </x:c>
      <x:c r="V1164" s="17" t="str">
        <x:v>false</x:v>
      </x:c>
    </x:row>
    <x:row r="1165" ht="80" customHeight="1">
      <x:c r="A1165" s="25" t="str">
        <x:v>Compress</x:v>
      </x:c>
      <x:c r="B1165" s="25" t="n">
        <x:v>31</x:v>
      </x:c>
      <x:c r="C1165" s="25" t="str">
        <x:v>Round2</x:v>
      </x:c>
      <x:c r="D1165" s="25" t="str">
        <x:v>INCONCLUSIVE</x:v>
      </x:c>
      <x:c r="E1165" s="25" t="str">
        <x:v>N/A</x:v>
      </x:c>
      <x:c r="F1165" s="26" t="str">
        <x:v>Fixed also failed; assertion failure cannot be attributed to this bug; Same-round generation metadata missing; use saved tests and execution evidence, no failure inferred</x:v>
      </x:c>
      <x:c r="G1165" s="25" t="str">
        <x:v>true</x:v>
      </x:c>
      <x:c r="H1165" s="25" t="str">
        <x:v>INCONCLUSIVE</x:v>
      </x:c>
      <x:c r="I1165" s="25" t="str">
        <x:v>FAIL</x:v>
      </x:c>
      <x:c r="J1165" s="25" t="str">
        <x:v>FAIL</x:v>
      </x:c>
      <x:c r="K1165" s="25" t="n">
        <x:v>1</x:v>
      </x:c>
      <x:c r="L1165" s="27" t="b">
        <x:v>0</x:v>
      </x:c>
      <x:c r="M1165" s="25"/>
      <x:c r="N1165" s="25" t="str">
        <x:v>Deepseek-flash-v4/Result2/Compress_31/result.json</x:v>
      </x:c>
      <x:c r="O1165" s="25" t="str">
        <x:v>Deepseek-flash-v4/Result2/Compress_31/result.json</x:v>
      </x:c>
      <x:c r="P1165"/>
      <x:c r="Q1165" s="21" t="str"/>
      <x:c r="R1165" s="21" t="str"/>
      <x:c r="S1165" s="21" t="str"/>
      <x:c r="T1165" s="17" t="str">
        <x:v>false</x:v>
      </x:c>
      <x:c r="U1165" s="17" t="str">
        <x:v>true</x:v>
      </x:c>
      <x:c r="V1165" s="17" t="str">
        <x:v>false</x:v>
      </x:c>
    </x:row>
    <x:row r="1166" ht="80" customHeight="1">
      <x:c r="A1166" s="25" t="str">
        <x:v>Compress</x:v>
      </x:c>
      <x:c r="B1166" s="25" t="n">
        <x:v>32</x:v>
      </x:c>
      <x:c r="C1166" s="25" t="str">
        <x:v>Round2</x:v>
      </x:c>
      <x:c r="D1166" s="25" t="str">
        <x:v>INCONCLUSIVE</x:v>
      </x:c>
      <x:c r="E1166" s="25" t="str">
        <x:v>N/A</x:v>
      </x:c>
      <x:c r="F1166" s="26" t="str">
        <x:v>Fixed also failed; assertion failure cannot be attributed to this bug; Same-round generation metadata missing; use saved tests and execution evidence, no failure inferred</x:v>
      </x:c>
      <x:c r="G1166" s="25" t="str">
        <x:v>true</x:v>
      </x:c>
      <x:c r="H1166" s="25" t="str">
        <x:v>INCONCLUSIVE</x:v>
      </x:c>
      <x:c r="I1166" s="25" t="str">
        <x:v>FAIL</x:v>
      </x:c>
      <x:c r="J1166" s="25" t="str">
        <x:v>FAIL</x:v>
      </x:c>
      <x:c r="K1166" s="25" t="n">
        <x:v>1</x:v>
      </x:c>
      <x:c r="L1166" s="27" t="b">
        <x:v>0</x:v>
      </x:c>
      <x:c r="M1166" s="25"/>
      <x:c r="N1166" s="25" t="str">
        <x:v>Deepseek-flash-v4/Result2/Compress_32/result.json</x:v>
      </x:c>
      <x:c r="O1166" s="25" t="str">
        <x:v>Deepseek-flash-v4/Result2/Compress_32/result.json</x:v>
      </x:c>
      <x:c r="P1166"/>
      <x:c r="Q1166" s="21" t="str"/>
      <x:c r="R1166" s="21" t="str"/>
      <x:c r="S1166" s="21" t="str"/>
      <x:c r="T1166" s="17" t="str">
        <x:v>false</x:v>
      </x:c>
      <x:c r="U1166" s="17" t="str">
        <x:v>true</x:v>
      </x:c>
      <x:c r="V1166" s="17" t="str">
        <x:v>false</x:v>
      </x:c>
    </x:row>
    <x:row r="1167" ht="80" customHeight="1">
      <x:c r="A1167" s="25" t="str">
        <x:v>Compress</x:v>
      </x:c>
      <x:c r="B1167" s="25" t="n">
        <x:v>33</x:v>
      </x:c>
      <x:c r="C1167" s="25" t="str">
        <x:v>Round2</x:v>
      </x:c>
      <x:c r="D1167" s="25" t="str">
        <x:v>NOT_AVAILABLE</x:v>
      </x:c>
      <x:c r="E1167" s="25" t="str">
        <x:v>N/A</x:v>
      </x:c>
      <x:c r="F1167" s="26" t="str">
        <x:v>Tests exist but current coverage did not complete</x:v>
      </x:c>
      <x:c r="G1167" s="25" t="str">
        <x:v>true</x:v>
      </x:c>
      <x:c r="H1167" s="25" t="str">
        <x:v>NOT_AVAILABLE</x:v>
      </x:c>
      <x:c r="I1167" s="25" t="str">
        <x:v>NOT_RUN</x:v>
      </x:c>
      <x:c r="J1167" s="25" t="str">
        <x:v>NOT_RUN</x:v>
      </x:c>
      <x:c r="K1167" s="25" t="n">
        <x:v>2</x:v>
      </x:c>
      <x:c r="L1167" s="27" t="b">
        <x:v>0</x:v>
      </x:c>
      <x:c r="M1167" s="25" t="str">
        <x:v>Deepseek-flash-v4/state/Round2/status/Compress_33.json; Deepseek-flash-v4/state/Round2/shards/Compress_33.json</x:v>
      </x:c>
      <x:c r="N1167" s="25" t="str">
        <x:v>Deepseek-flash-v4/Result2/Compress_33/result.json</x:v>
      </x:c>
      <x:c r="O1167" s="25" t="str">
        <x:v>Deepseek-flash-v4/Result2/Compress_33/result.json</x:v>
      </x:c>
      <x:c r="P1167" t="str">
        <x:v>BOTH_NOT_RUN</x:v>
      </x:c>
      <x:c r="Q1167" s="21" t="str"/>
      <x:c r="R1167" s="21" t="str"/>
      <x:c r="S1167" s="21" t="str"/>
      <x:c r="T1167" s="17" t="str">
        <x:v>false</x:v>
      </x:c>
      <x:c r="U1167" s="17" t="str">
        <x:v>true</x:v>
      </x:c>
      <x:c r="V1167" s="17" t="str">
        <x:v>false</x:v>
      </x:c>
    </x:row>
    <x:row r="1168" ht="80" customHeight="1">
      <x:c r="A1168" s="25" t="str">
        <x:v>Compress</x:v>
      </x:c>
      <x:c r="B1168" s="25" t="n">
        <x:v>34</x:v>
      </x:c>
      <x:c r="C1168" s="25" t="str">
        <x:v>Round2</x:v>
      </x:c>
      <x:c r="D1168" s="25" t="str">
        <x:v>INCONCLUSIVE</x:v>
      </x:c>
      <x:c r="E1168" s="25" t="str">
        <x:v>N/A</x:v>
      </x:c>
      <x:c r="F1168" s="26" t="str">
        <x:v>Fixed also failed; assertion failure cannot be attributed to this bug</x:v>
      </x:c>
      <x:c r="G1168" s="25" t="str">
        <x:v>true</x:v>
      </x:c>
      <x:c r="H1168" s="25" t="str">
        <x:v>INCONCLUSIVE</x:v>
      </x:c>
      <x:c r="I1168" s="25" t="str">
        <x:v>FAIL</x:v>
      </x:c>
      <x:c r="J1168" s="25" t="str">
        <x:v>FAIL</x:v>
      </x:c>
      <x:c r="K1168" s="25" t="n">
        <x:v>1</x:v>
      </x:c>
      <x:c r="L1168" s="27" t="b">
        <x:v>0</x:v>
      </x:c>
      <x:c r="M1168" s="25" t="str">
        <x:v>Deepseek-flash-v4/state/Round2/status/Compress_34.json; Deepseek-flash-v4/state/Round2/shards/Compress_34.json</x:v>
      </x:c>
      <x:c r="N1168" s="25" t="str">
        <x:v>Deepseek-flash-v4/Result2/Compress_34/result.json</x:v>
      </x:c>
      <x:c r="O1168" s="25" t="str">
        <x:v>Deepseek-flash-v4/Result2/Compress_34/result.json</x:v>
      </x:c>
      <x:c r="P1168"/>
      <x:c r="Q1168" s="21" t="str"/>
      <x:c r="R1168" s="21" t="str"/>
      <x:c r="S1168" s="21" t="str"/>
      <x:c r="T1168" s="17" t="str">
        <x:v>false</x:v>
      </x:c>
      <x:c r="U1168" s="17" t="str">
        <x:v>true</x:v>
      </x:c>
      <x:c r="V1168" s="17" t="str">
        <x:v>false</x:v>
      </x:c>
    </x:row>
    <x:row r="1169" ht="80" customHeight="1">
      <x:c r="A1169" s="25" t="str">
        <x:v>Compress</x:v>
      </x:c>
      <x:c r="B1169" s="25" t="n">
        <x:v>35</x:v>
      </x:c>
      <x:c r="C1169" s="25" t="str">
        <x:v>Round2</x:v>
      </x:c>
      <x:c r="D1169" s="25" t="str">
        <x:v>INCONCLUSIVE</x:v>
      </x:c>
      <x:c r="E1169" s="25" t="str">
        <x:v>N/A</x:v>
      </x:c>
      <x:c r="F1169" s="26" t="str">
        <x:v>Fixed also failed; assertion failure cannot be attributed to this bug</x:v>
      </x:c>
      <x:c r="G1169" s="25" t="str">
        <x:v>true</x:v>
      </x:c>
      <x:c r="H1169" s="25" t="str">
        <x:v>INCONCLUSIVE</x:v>
      </x:c>
      <x:c r="I1169" s="25" t="str">
        <x:v>FAIL</x:v>
      </x:c>
      <x:c r="J1169" s="25" t="str">
        <x:v>FAIL</x:v>
      </x:c>
      <x:c r="K1169" s="25" t="n">
        <x:v>1</x:v>
      </x:c>
      <x:c r="L1169" s="27" t="b">
        <x:v>0</x:v>
      </x:c>
      <x:c r="M1169" s="25" t="str">
        <x:v>Deepseek-flash-v4/state/Round2/status/Compress_35.json; Deepseek-flash-v4/state/Round2/shards/Compress_35.json</x:v>
      </x:c>
      <x:c r="N1169" s="25" t="str">
        <x:v>Deepseek-flash-v4/Result2/Compress_35/result.json</x:v>
      </x:c>
      <x:c r="O1169" s="25" t="str">
        <x:v>Deepseek-flash-v4/Result2/Compress_35/result.json</x:v>
      </x:c>
      <x:c r="P1169"/>
      <x:c r="Q1169" s="21" t="str"/>
      <x:c r="R1169" s="21" t="str"/>
      <x:c r="S1169" s="21" t="str"/>
      <x:c r="T1169" s="17" t="str">
        <x:v>false</x:v>
      </x:c>
      <x:c r="U1169" s="17" t="str">
        <x:v>true</x:v>
      </x:c>
      <x:c r="V1169" s="17" t="str">
        <x:v>false</x:v>
      </x:c>
    </x:row>
    <x:row r="1170" ht="80" customHeight="1">
      <x:c r="A1170" s="25" t="str">
        <x:v>Compress</x:v>
      </x:c>
      <x:c r="B1170" s="25" t="n">
        <x:v>36</x:v>
      </x:c>
      <x:c r="C1170" s="25" t="str">
        <x:v>Round2</x:v>
      </x:c>
      <x:c r="D1170" s="25" t="str">
        <x:v>INCONCLUSIVE</x:v>
      </x:c>
      <x:c r="E1170" s="25" t="str">
        <x:v>N/A</x:v>
      </x:c>
      <x:c r="F1170" s="26" t="str">
        <x:v>Fixed also failed; assertion failure cannot be attributed to this bug; Same-round generation metadata missing; use saved tests and execution evidence, no failure inferred</x:v>
      </x:c>
      <x:c r="G1170" s="25" t="str">
        <x:v>true</x:v>
      </x:c>
      <x:c r="H1170" s="25" t="str">
        <x:v>INCONCLUSIVE</x:v>
      </x:c>
      <x:c r="I1170" s="25" t="str">
        <x:v>FAIL</x:v>
      </x:c>
      <x:c r="J1170" s="25" t="str">
        <x:v>FAIL</x:v>
      </x:c>
      <x:c r="K1170" s="25" t="n">
        <x:v>1</x:v>
      </x:c>
      <x:c r="L1170" s="27" t="b">
        <x:v>0</x:v>
      </x:c>
      <x:c r="M1170" s="25"/>
      <x:c r="N1170" s="25" t="str">
        <x:v>Deepseek-flash-v4/Result2/Compress_36/result.json</x:v>
      </x:c>
      <x:c r="O1170" s="25" t="str">
        <x:v>Deepseek-flash-v4/Result2/Compress_36/result.json</x:v>
      </x:c>
      <x:c r="P1170"/>
      <x:c r="Q1170" s="21" t="str"/>
      <x:c r="R1170" s="21" t="str"/>
      <x:c r="S1170" s="21" t="str"/>
      <x:c r="T1170" s="17" t="str">
        <x:v>false</x:v>
      </x:c>
      <x:c r="U1170" s="17" t="str">
        <x:v>true</x:v>
      </x:c>
      <x:c r="V1170" s="17" t="str">
        <x:v>false</x:v>
      </x:c>
    </x:row>
    <x:row r="1171" ht="80" customHeight="1">
      <x:c r="A1171" s="25" t="str">
        <x:v>Compress</x:v>
      </x:c>
      <x:c r="B1171" s="25" t="n">
        <x:v>37</x:v>
      </x:c>
      <x:c r="C1171" s="25" t="str">
        <x:v>Round2</x:v>
      </x:c>
      <x:c r="D1171" s="25" t="str">
        <x:v>NOT_AVAILABLE</x:v>
      </x:c>
      <x:c r="E1171" s="25" t="str">
        <x:v>N/A</x:v>
      </x:c>
      <x:c r="F1171" s="26" t="str">
        <x:v>Tests exist but current coverage did not complete</x:v>
      </x:c>
      <x:c r="G1171" s="25" t="str">
        <x:v>true</x:v>
      </x:c>
      <x:c r="H1171" s="25" t="str">
        <x:v>NOT_AVAILABLE</x:v>
      </x:c>
      <x:c r="I1171" s="25" t="str">
        <x:v>NOT_RUN</x:v>
      </x:c>
      <x:c r="J1171" s="25" t="str">
        <x:v>NOT_RUN</x:v>
      </x:c>
      <x:c r="K1171" s="25" t="n">
        <x:v>1</x:v>
      </x:c>
      <x:c r="L1171" s="27" t="b">
        <x:v>0</x:v>
      </x:c>
      <x:c r="M1171" s="25" t="str">
        <x:v>Deepseek-flash-v4/state/Round2/status/Compress_37.json; Deepseek-flash-v4/state/Round2/shards/Compress_37.json</x:v>
      </x:c>
      <x:c r="N1171" s="25" t="str">
        <x:v>Deepseek-flash-v4/Result2/Compress_37/result.json</x:v>
      </x:c>
      <x:c r="O1171" s="25" t="str">
        <x:v>Deepseek-flash-v4/Result2/Compress_37/result.json</x:v>
      </x:c>
      <x:c r="P1171" t="str">
        <x:v>BOTH_NOT_RUN</x:v>
      </x:c>
      <x:c r="Q1171" s="21" t="str"/>
      <x:c r="R1171" s="21" t="str"/>
      <x:c r="S1171" s="21" t="str"/>
      <x:c r="T1171" s="17" t="str">
        <x:v>false</x:v>
      </x:c>
      <x:c r="U1171" s="17" t="str">
        <x:v>true</x:v>
      </x:c>
      <x:c r="V1171" s="17" t="str">
        <x:v>false</x:v>
      </x:c>
    </x:row>
    <x:row r="1172" ht="80" customHeight="1">
      <x:c r="A1172" s="25" t="str">
        <x:v>Compress</x:v>
      </x:c>
      <x:c r="B1172" s="25" t="n">
        <x:v>38</x:v>
      </x:c>
      <x:c r="C1172" s="25" t="str">
        <x:v>Round2</x:v>
      </x:c>
      <x:c r="D1172" s="25" t="str">
        <x:v>NOT_AVAILABLE</x:v>
      </x:c>
      <x:c r="E1172" s="25" t="str">
        <x:v>N/A</x:v>
      </x:c>
      <x:c r="F1172" s="26" t="str">
        <x:v>Tests exist but current coverage did not complete</x:v>
      </x:c>
      <x:c r="G1172" s="25" t="str">
        <x:v>true</x:v>
      </x:c>
      <x:c r="H1172" s="25" t="str">
        <x:v>NOT_AVAILABLE</x:v>
      </x:c>
      <x:c r="I1172" s="25" t="str">
        <x:v>NOT_RUN</x:v>
      </x:c>
      <x:c r="J1172" s="25" t="str">
        <x:v>NOT_RUN</x:v>
      </x:c>
      <x:c r="K1172" s="25" t="n">
        <x:v>1</x:v>
      </x:c>
      <x:c r="L1172" s="27" t="b">
        <x:v>0</x:v>
      </x:c>
      <x:c r="M1172" s="25" t="str">
        <x:v>Deepseek-flash-v4/state/Round2/status/Compress_38.json; Deepseek-flash-v4/state/Round2/shards/Compress_38.json</x:v>
      </x:c>
      <x:c r="N1172" s="25" t="str">
        <x:v>Deepseek-flash-v4/Result2/Compress_38/result.json</x:v>
      </x:c>
      <x:c r="O1172" s="25" t="str">
        <x:v>Deepseek-flash-v4/Result2/Compress_38/result.json</x:v>
      </x:c>
      <x:c r="P1172" t="str">
        <x:v>BOTH_NOT_RUN</x:v>
      </x:c>
      <x:c r="Q1172" s="21" t="str"/>
      <x:c r="R1172" s="21" t="str"/>
      <x:c r="S1172" s="21" t="str"/>
      <x:c r="T1172" s="17" t="str">
        <x:v>false</x:v>
      </x:c>
      <x:c r="U1172" s="17" t="str">
        <x:v>true</x:v>
      </x:c>
      <x:c r="V1172" s="17" t="str">
        <x:v>false</x:v>
      </x:c>
    </x:row>
    <x:row r="1173" ht="80" customHeight="1">
      <x:c r="A1173" s="25" t="str">
        <x:v>Compress</x:v>
      </x:c>
      <x:c r="B1173" s="25" t="n">
        <x:v>39</x:v>
      </x:c>
      <x:c r="C1173" s="25" t="str">
        <x:v>Round2</x:v>
      </x:c>
      <x:c r="D1173" s="25" t="str">
        <x:v>NOT_AVAILABLE</x:v>
      </x:c>
      <x:c r="E1173" s="25" t="str">
        <x:v>N/A</x:v>
      </x:c>
      <x:c r="F1173" s="26" t="str">
        <x:v>Tests exist but current coverage did not complete</x:v>
      </x:c>
      <x:c r="G1173" s="25" t="str">
        <x:v>true</x:v>
      </x:c>
      <x:c r="H1173" s="25" t="str">
        <x:v>NOT_AVAILABLE</x:v>
      </x:c>
      <x:c r="I1173" s="25" t="str">
        <x:v>NOT_RUN</x:v>
      </x:c>
      <x:c r="J1173" s="25" t="str">
        <x:v>NOT_RUN</x:v>
      </x:c>
      <x:c r="K1173" s="25" t="n">
        <x:v>1</x:v>
      </x:c>
      <x:c r="L1173" s="27" t="b">
        <x:v>0</x:v>
      </x:c>
      <x:c r="M1173" s="25" t="str">
        <x:v>Deepseek-flash-v4/state/Round2/status/Compress_39.json; Deepseek-flash-v4/state/Round2/shards/Compress_39.json</x:v>
      </x:c>
      <x:c r="N1173" s="25" t="str">
        <x:v>Deepseek-flash-v4/Result2/Compress_39/result.json</x:v>
      </x:c>
      <x:c r="O1173" s="25" t="str">
        <x:v>Deepseek-flash-v4/Result2/Compress_39/result.json</x:v>
      </x:c>
      <x:c r="P1173" t="str">
        <x:v>BOTH_NOT_RUN</x:v>
      </x:c>
      <x:c r="Q1173" s="21" t="str"/>
      <x:c r="R1173" s="21" t="str"/>
      <x:c r="S1173" s="21" t="str"/>
      <x:c r="T1173" s="17" t="str">
        <x:v>false</x:v>
      </x:c>
      <x:c r="U1173" s="17" t="str">
        <x:v>true</x:v>
      </x:c>
      <x:c r="V1173" s="17" t="str">
        <x:v>false</x:v>
      </x:c>
    </x:row>
    <x:row r="1174" ht="80" customHeight="1">
      <x:c r="A1174" s="25" t="str">
        <x:v>Compress</x:v>
      </x:c>
      <x:c r="B1174" s="25" t="n">
        <x:v>4</x:v>
      </x:c>
      <x:c r="C1174" s="25" t="str">
        <x:v>Round2</x:v>
      </x:c>
      <x:c r="D1174" s="25" t="str">
        <x:v>NOT_AVAILABLE</x:v>
      </x:c>
      <x:c r="E1174" s="25" t="str">
        <x:v>N/A</x:v>
      </x:c>
      <x:c r="F1174" s="26" t="str">
        <x:v>Tests exist but current coverage did not complete</x:v>
      </x:c>
      <x:c r="G1174" s="25" t="str">
        <x:v>true</x:v>
      </x:c>
      <x:c r="H1174" s="25" t="str">
        <x:v>NOT_AVAILABLE</x:v>
      </x:c>
      <x:c r="I1174" s="25" t="str">
        <x:v>NOT_RUN</x:v>
      </x:c>
      <x:c r="J1174" s="25" t="str">
        <x:v>NOT_RUN</x:v>
      </x:c>
      <x:c r="K1174" s="25" t="n">
        <x:v>4</x:v>
      </x:c>
      <x:c r="L1174" s="27" t="b">
        <x:v>0</x:v>
      </x:c>
      <x:c r="M1174" s="25" t="str">
        <x:v>Deepseek-flash-v4/state/Round2/status/Compress_4.json; Deepseek-flash-v4/state/Round2/shards/Compress_4.json</x:v>
      </x:c>
      <x:c r="N1174" s="25" t="str">
        <x:v>Deepseek-flash-v4/Result2/Compress_4/result.json</x:v>
      </x:c>
      <x:c r="O1174" s="25" t="str">
        <x:v>Deepseek-flash-v4/Result2/Compress_4/result.json</x:v>
      </x:c>
      <x:c r="P1174" t="str">
        <x:v>BOTH_NOT_RUN</x:v>
      </x:c>
      <x:c r="Q1174" s="21" t="str"/>
      <x:c r="R1174" s="21" t="str"/>
      <x:c r="S1174" s="21" t="str"/>
      <x:c r="T1174" s="17" t="str">
        <x:v>false</x:v>
      </x:c>
      <x:c r="U1174" s="17" t="str">
        <x:v>true</x:v>
      </x:c>
      <x:c r="V1174" s="17" t="str">
        <x:v>false</x:v>
      </x:c>
    </x:row>
    <x:row r="1175" ht="80" customHeight="1">
      <x:c r="A1175" s="25" t="str">
        <x:v>Compress</x:v>
      </x:c>
      <x:c r="B1175" s="25" t="n">
        <x:v>40</x:v>
      </x:c>
      <x:c r="C1175" s="25" t="str">
        <x:v>Round2</x:v>
      </x:c>
      <x:c r="D1175" s="25" t="str">
        <x:v>NOT_REVEALING</x:v>
      </x:c>
      <x:c r="E1175" s="25" t="str">
        <x:v>N/A</x:v>
      </x:c>
      <x:c r="F1175" s="26" t="str">
        <x:v>Same saved validation suite passed on buggy and fixed</x:v>
      </x:c>
      <x:c r="G1175" s="25" t="str">
        <x:v>true</x:v>
      </x:c>
      <x:c r="H1175" s="25" t="str">
        <x:v>NOT_REVEALING</x:v>
      </x:c>
      <x:c r="I1175" s="25" t="str">
        <x:v>PASS</x:v>
      </x:c>
      <x:c r="J1175" s="25" t="str">
        <x:v>PASS</x:v>
      </x:c>
      <x:c r="K1175" s="25" t="n">
        <x:v>1</x:v>
      </x:c>
      <x:c r="L1175" s="27" t="b">
        <x:v>0</x:v>
      </x:c>
      <x:c r="M1175" s="25" t="str">
        <x:v>Deepseek-flash-v4/state/Round2/status/Compress_40.json; Deepseek-flash-v4/state/Round2/shards/Compress_40.json</x:v>
      </x:c>
      <x:c r="N1175" s="25" t="str">
        <x:v>Deepseek-flash-v4/Result2/Compress_40/result.json</x:v>
      </x:c>
      <x:c r="O1175" s="25" t="str">
        <x:v>Deepseek-flash-v4/Result2/Compress_40/result.json</x:v>
      </x:c>
      <x:c r="P1175"/>
      <x:c r="Q1175" s="21" t="str"/>
      <x:c r="R1175" s="21" t="str"/>
      <x:c r="S1175" s="21" t="str"/>
      <x:c r="T1175" s="17" t="str">
        <x:v>false</x:v>
      </x:c>
      <x:c r="U1175" s="17" t="str">
        <x:v>true</x:v>
      </x:c>
      <x:c r="V1175" s="17" t="str">
        <x:v>false</x:v>
      </x:c>
    </x:row>
    <x:row r="1176" ht="80" customHeight="1">
      <x:c r="A1176" s="25" t="str">
        <x:v>Compress</x:v>
      </x:c>
      <x:c r="B1176" s="25" t="n">
        <x:v>41</x:v>
      </x:c>
      <x:c r="C1176" s="25" t="str">
        <x:v>Round2</x:v>
      </x:c>
      <x:c r="D1176" s="25" t="str">
        <x:v>NOT_AVAILABLE</x:v>
      </x:c>
      <x:c r="E1176" s="25" t="str">
        <x:v>N/A</x:v>
      </x:c>
      <x:c r="F1176" s="26" t="str">
        <x:v>Tests exist but current coverage did not complete</x:v>
      </x:c>
      <x:c r="G1176" s="25" t="str">
        <x:v>true</x:v>
      </x:c>
      <x:c r="H1176" s="25" t="str">
        <x:v>NOT_AVAILABLE</x:v>
      </x:c>
      <x:c r="I1176" s="25" t="str">
        <x:v>NOT_RUN</x:v>
      </x:c>
      <x:c r="J1176" s="25" t="str">
        <x:v>NOT_RUN</x:v>
      </x:c>
      <x:c r="K1176" s="25" t="n">
        <x:v>1</x:v>
      </x:c>
      <x:c r="L1176" s="27" t="b">
        <x:v>0</x:v>
      </x:c>
      <x:c r="M1176" s="25" t="str">
        <x:v>Deepseek-flash-v4/state/Round2/status/Compress_41.json; Deepseek-flash-v4/state/Round2/shards/Compress_41.json</x:v>
      </x:c>
      <x:c r="N1176" s="25" t="str">
        <x:v>Deepseek-flash-v4/Result2/Compress_41/result.json</x:v>
      </x:c>
      <x:c r="O1176" s="25" t="str">
        <x:v>Deepseek-flash-v4/Result2/Compress_41/result.json</x:v>
      </x:c>
      <x:c r="P1176" t="str">
        <x:v>BOTH_NOT_RUN</x:v>
      </x:c>
      <x:c r="Q1176" s="21" t="str"/>
      <x:c r="R1176" s="21" t="str"/>
      <x:c r="S1176" s="21" t="str"/>
      <x:c r="T1176" s="17" t="str">
        <x:v>false</x:v>
      </x:c>
      <x:c r="U1176" s="17" t="str">
        <x:v>true</x:v>
      </x:c>
      <x:c r="V1176" s="17" t="str">
        <x:v>false</x:v>
      </x:c>
    </x:row>
    <x:row r="1177" ht="80" customHeight="1">
      <x:c r="A1177" s="25" t="str">
        <x:v>Compress</x:v>
      </x:c>
      <x:c r="B1177" s="25" t="n">
        <x:v>42</x:v>
      </x:c>
      <x:c r="C1177" s="25" t="str">
        <x:v>Round2</x:v>
      </x:c>
      <x:c r="D1177" s="25" t="str">
        <x:v>INCONCLUSIVE</x:v>
      </x:c>
      <x:c r="E1177" s="25" t="str">
        <x:v>N/A</x:v>
      </x:c>
      <x:c r="F1177" s="26" t="str">
        <x:v>Fixed also failed; assertion failure cannot be attributed to this bug</x:v>
      </x:c>
      <x:c r="G1177" s="25" t="str">
        <x:v>true</x:v>
      </x:c>
      <x:c r="H1177" s="25" t="str">
        <x:v>INCONCLUSIVE</x:v>
      </x:c>
      <x:c r="I1177" s="25" t="str">
        <x:v>FAIL</x:v>
      </x:c>
      <x:c r="J1177" s="25" t="str">
        <x:v>FAIL</x:v>
      </x:c>
      <x:c r="K1177" s="25" t="n">
        <x:v>2</x:v>
      </x:c>
      <x:c r="L1177" s="27" t="b">
        <x:v>0</x:v>
      </x:c>
      <x:c r="M1177" s="25" t="str">
        <x:v>Deepseek-flash-v4/state/Round2/status/Compress_42.json; Deepseek-flash-v4/state/Round2/shards/Compress_42.json</x:v>
      </x:c>
      <x:c r="N1177" s="25" t="str">
        <x:v>Deepseek-flash-v4/Result2/Compress_42/result.json</x:v>
      </x:c>
      <x:c r="O1177" s="25" t="str">
        <x:v>Deepseek-flash-v4/Result2/Compress_42/result.json</x:v>
      </x:c>
      <x:c r="P1177"/>
      <x:c r="Q1177" s="21" t="str"/>
      <x:c r="R1177" s="21" t="str"/>
      <x:c r="S1177" s="21" t="str"/>
      <x:c r="T1177" s="17" t="str">
        <x:v>false</x:v>
      </x:c>
      <x:c r="U1177" s="17" t="str">
        <x:v>true</x:v>
      </x:c>
      <x:c r="V1177" s="17" t="str">
        <x:v>false</x:v>
      </x:c>
    </x:row>
    <x:row r="1178" ht="80" customHeight="1">
      <x:c r="A1178" s="25" t="str">
        <x:v>Compress</x:v>
      </x:c>
      <x:c r="B1178" s="25" t="n">
        <x:v>43</x:v>
      </x:c>
      <x:c r="C1178" s="25" t="str">
        <x:v>Round2</x:v>
      </x:c>
      <x:c r="D1178" s="25" t="str">
        <x:v>NOT_AVAILABLE</x:v>
      </x:c>
      <x:c r="E1178" s="25" t="str">
        <x:v>N/A</x:v>
      </x:c>
      <x:c r="F1178" s="26" t="str">
        <x:v>Tests exist but current coverage did not complete</x:v>
      </x:c>
      <x:c r="G1178" s="25" t="str">
        <x:v>true</x:v>
      </x:c>
      <x:c r="H1178" s="25" t="str">
        <x:v>NOT_AVAILABLE</x:v>
      </x:c>
      <x:c r="I1178" s="25" t="str">
        <x:v>NOT_RUN</x:v>
      </x:c>
      <x:c r="J1178" s="25" t="str">
        <x:v>NOT_RUN</x:v>
      </x:c>
      <x:c r="K1178" s="25" t="n">
        <x:v>1</x:v>
      </x:c>
      <x:c r="L1178" s="27" t="b">
        <x:v>0</x:v>
      </x:c>
      <x:c r="M1178" s="25" t="str">
        <x:v>Deepseek-flash-v4/state/Round2/status/Compress_43.json; Deepseek-flash-v4/state/Round2/shards/Compress_43.json</x:v>
      </x:c>
      <x:c r="N1178" s="25" t="str">
        <x:v>Deepseek-flash-v4/Result2/Compress_43/result.json</x:v>
      </x:c>
      <x:c r="O1178" s="25" t="str">
        <x:v>Deepseek-flash-v4/Result2/Compress_43/result.json</x:v>
      </x:c>
      <x:c r="P1178" t="str">
        <x:v>BOTH_NOT_RUN</x:v>
      </x:c>
      <x:c r="Q1178" s="21" t="str"/>
      <x:c r="R1178" s="21" t="str"/>
      <x:c r="S1178" s="21" t="str"/>
      <x:c r="T1178" s="17" t="str">
        <x:v>false</x:v>
      </x:c>
      <x:c r="U1178" s="17" t="str">
        <x:v>true</x:v>
      </x:c>
      <x:c r="V1178" s="17" t="str">
        <x:v>false</x:v>
      </x:c>
    </x:row>
    <x:row r="1179" ht="80" customHeight="1">
      <x:c r="A1179" s="25" t="str">
        <x:v>Compress</x:v>
      </x:c>
      <x:c r="B1179" s="25" t="n">
        <x:v>44</x:v>
      </x:c>
      <x:c r="C1179" s="25" t="str">
        <x:v>Round2</x:v>
      </x:c>
      <x:c r="D1179" s="25" t="str">
        <x:v>INCONCLUSIVE</x:v>
      </x:c>
      <x:c r="E1179" s="25" t="str">
        <x:v>N/A</x:v>
      </x:c>
      <x:c r="F1179" s="26" t="str">
        <x:v>Fixed also failed; assertion failure cannot be attributed to this bug</x:v>
      </x:c>
      <x:c r="G1179" s="25" t="str">
        <x:v>true</x:v>
      </x:c>
      <x:c r="H1179" s="25" t="str">
        <x:v>INCONCLUSIVE</x:v>
      </x:c>
      <x:c r="I1179" s="25" t="str">
        <x:v>FAIL</x:v>
      </x:c>
      <x:c r="J1179" s="25" t="str">
        <x:v>FAIL</x:v>
      </x:c>
      <x:c r="K1179" s="25" t="n">
        <x:v>1</x:v>
      </x:c>
      <x:c r="L1179" s="27" t="b">
        <x:v>0</x:v>
      </x:c>
      <x:c r="M1179" s="25" t="str">
        <x:v>Deepseek-flash-v4/state/Round2/status/Compress_44.json; Deepseek-flash-v4/state/Round2/shards/Compress_44.json</x:v>
      </x:c>
      <x:c r="N1179" s="25" t="str">
        <x:v>Deepseek-flash-v4/Result2/Compress_44/result.json</x:v>
      </x:c>
      <x:c r="O1179" s="25" t="str">
        <x:v>Deepseek-flash-v4/Result2/Compress_44/result.json</x:v>
      </x:c>
      <x:c r="P1179"/>
      <x:c r="Q1179" s="21" t="str"/>
      <x:c r="R1179" s="21" t="str"/>
      <x:c r="S1179" s="21" t="str"/>
      <x:c r="T1179" s="17" t="str">
        <x:v>false</x:v>
      </x:c>
      <x:c r="U1179" s="17" t="str">
        <x:v>true</x:v>
      </x:c>
      <x:c r="V1179" s="17" t="str">
        <x:v>false</x:v>
      </x:c>
    </x:row>
    <x:row r="1180" ht="80" customHeight="1">
      <x:c r="A1180" s="25" t="str">
        <x:v>Compress</x:v>
      </x:c>
      <x:c r="B1180" s="25" t="n">
        <x:v>45</x:v>
      </x:c>
      <x:c r="C1180" s="25" t="str">
        <x:v>Round2</x:v>
      </x:c>
      <x:c r="D1180" s="25" t="str">
        <x:v>INCONCLUSIVE</x:v>
      </x:c>
      <x:c r="E1180" s="25" t="str">
        <x:v>N/A</x:v>
      </x:c>
      <x:c r="F1180" s="26" t="str">
        <x:v>Fixed also failed; assertion failure cannot be attributed to this bug; Same-round generation metadata missing; use saved tests and execution evidence, no failure inferred</x:v>
      </x:c>
      <x:c r="G1180" s="25" t="str">
        <x:v>true</x:v>
      </x:c>
      <x:c r="H1180" s="25" t="str">
        <x:v>INCONCLUSIVE</x:v>
      </x:c>
      <x:c r="I1180" s="25" t="str">
        <x:v>FAIL</x:v>
      </x:c>
      <x:c r="J1180" s="25" t="str">
        <x:v>FAIL</x:v>
      </x:c>
      <x:c r="K1180" s="25" t="n">
        <x:v>1</x:v>
      </x:c>
      <x:c r="L1180" s="27" t="b">
        <x:v>0</x:v>
      </x:c>
      <x:c r="M1180" s="25"/>
      <x:c r="N1180" s="25" t="str">
        <x:v>Deepseek-flash-v4/Result2/Compress_45/result.json</x:v>
      </x:c>
      <x:c r="O1180" s="25" t="str">
        <x:v>Deepseek-flash-v4/Result2/Compress_45/result.json</x:v>
      </x:c>
      <x:c r="P1180"/>
      <x:c r="Q1180" s="21" t="str"/>
      <x:c r="R1180" s="21" t="str"/>
      <x:c r="S1180" s="21" t="str"/>
      <x:c r="T1180" s="17" t="str">
        <x:v>false</x:v>
      </x:c>
      <x:c r="U1180" s="17" t="str">
        <x:v>true</x:v>
      </x:c>
      <x:c r="V1180" s="17" t="str">
        <x:v>false</x:v>
      </x:c>
    </x:row>
    <x:row r="1181" ht="80" customHeight="1">
      <x:c r="A1181" s="25" t="str">
        <x:v>Compress</x:v>
      </x:c>
      <x:c r="B1181" s="25" t="n">
        <x:v>46</x:v>
      </x:c>
      <x:c r="C1181" s="25" t="str">
        <x:v>Round2</x:v>
      </x:c>
      <x:c r="D1181" s="25" t="str">
        <x:v>INCONCLUSIVE</x:v>
      </x:c>
      <x:c r="E1181" s="25" t="str">
        <x:v>N/A</x:v>
      </x:c>
      <x:c r="F1181" s="26" t="str">
        <x:v>Fixed also failed; assertion failure cannot be attributed to this bug</x:v>
      </x:c>
      <x:c r="G1181" s="25" t="str">
        <x:v>true</x:v>
      </x:c>
      <x:c r="H1181" s="25" t="str">
        <x:v>INCONCLUSIVE</x:v>
      </x:c>
      <x:c r="I1181" s="25" t="str">
        <x:v>FAIL</x:v>
      </x:c>
      <x:c r="J1181" s="25" t="str">
        <x:v>FAIL</x:v>
      </x:c>
      <x:c r="K1181" s="25" t="n">
        <x:v>1</x:v>
      </x:c>
      <x:c r="L1181" s="27" t="b">
        <x:v>0</x:v>
      </x:c>
      <x:c r="M1181" s="25" t="str">
        <x:v>Deepseek-flash-v4/state/Round2/status/Compress_46.json; Deepseek-flash-v4/state/Round2/shards/Compress_46.json</x:v>
      </x:c>
      <x:c r="N1181" s="25" t="str">
        <x:v>Deepseek-flash-v4/Result2/Compress_46/result.json</x:v>
      </x:c>
      <x:c r="O1181" s="25" t="str">
        <x:v>Deepseek-flash-v4/Result2/Compress_46/result.json</x:v>
      </x:c>
      <x:c r="P1181"/>
      <x:c r="Q1181" s="21" t="str"/>
      <x:c r="R1181" s="21" t="str"/>
      <x:c r="S1181" s="21" t="str"/>
      <x:c r="T1181" s="17" t="str">
        <x:v>false</x:v>
      </x:c>
      <x:c r="U1181" s="17" t="str">
        <x:v>true</x:v>
      </x:c>
      <x:c r="V1181" s="17" t="str">
        <x:v>false</x:v>
      </x:c>
    </x:row>
    <x:row r="1182" ht="80" customHeight="1">
      <x:c r="A1182" s="25" t="str">
        <x:v>Compress</x:v>
      </x:c>
      <x:c r="B1182" s="25" t="n">
        <x:v>47</x:v>
      </x:c>
      <x:c r="C1182" s="25" t="str">
        <x:v>Round2</x:v>
      </x:c>
      <x:c r="D1182" s="25" t="str">
        <x:v>INCONCLUSIVE</x:v>
      </x:c>
      <x:c r="E1182" s="25" t="str">
        <x:v>N/A</x:v>
      </x:c>
      <x:c r="F1182" s="26" t="str">
        <x:v>Fixed also failed; assertion failure cannot be attributed to this bug; Same-round generation metadata missing; use saved tests and execution evidence, no failure inferred</x:v>
      </x:c>
      <x:c r="G1182" s="25" t="str">
        <x:v>true</x:v>
      </x:c>
      <x:c r="H1182" s="25" t="str">
        <x:v>INCONCLUSIVE</x:v>
      </x:c>
      <x:c r="I1182" s="25" t="str">
        <x:v>FAIL</x:v>
      </x:c>
      <x:c r="J1182" s="25" t="str">
        <x:v>FAIL</x:v>
      </x:c>
      <x:c r="K1182" s="25" t="n">
        <x:v>1</x:v>
      </x:c>
      <x:c r="L1182" s="27" t="b">
        <x:v>0</x:v>
      </x:c>
      <x:c r="M1182" s="25"/>
      <x:c r="N1182" s="25" t="str">
        <x:v>Deepseek-flash-v4/Result2/Compress_47/result.json</x:v>
      </x:c>
      <x:c r="O1182" s="25" t="str">
        <x:v>Deepseek-flash-v4/Result2/Compress_47/result.json</x:v>
      </x:c>
      <x:c r="P1182"/>
      <x:c r="Q1182" s="21" t="str"/>
      <x:c r="R1182" s="21" t="str"/>
      <x:c r="S1182" s="21" t="str"/>
      <x:c r="T1182" s="17" t="str">
        <x:v>false</x:v>
      </x:c>
      <x:c r="U1182" s="17" t="str">
        <x:v>true</x:v>
      </x:c>
      <x:c r="V1182" s="17" t="str">
        <x:v>false</x:v>
      </x:c>
    </x:row>
    <x:row r="1183" ht="80" customHeight="1">
      <x:c r="A1183" s="25" t="str">
        <x:v>Compress</x:v>
      </x:c>
      <x:c r="B1183" s="25" t="n">
        <x:v>5</x:v>
      </x:c>
      <x:c r="C1183" s="25" t="str">
        <x:v>Round2</x:v>
      </x:c>
      <x:c r="D1183" s="25" t="str">
        <x:v>INCONCLUSIVE</x:v>
      </x:c>
      <x:c r="E1183" s="25" t="str">
        <x:v>N/A</x:v>
      </x:c>
      <x:c r="F1183" s="26" t="str">
        <x:v>Fixed also failed; assertion failure cannot be attributed to this bug</x:v>
      </x:c>
      <x:c r="G1183" s="25" t="str">
        <x:v>true</x:v>
      </x:c>
      <x:c r="H1183" s="25" t="str">
        <x:v>INCONCLUSIVE</x:v>
      </x:c>
      <x:c r="I1183" s="25" t="str">
        <x:v>FAIL</x:v>
      </x:c>
      <x:c r="J1183" s="25" t="str">
        <x:v>FAIL</x:v>
      </x:c>
      <x:c r="K1183" s="25" t="n">
        <x:v>1</x:v>
      </x:c>
      <x:c r="L1183" s="27" t="b">
        <x:v>0</x:v>
      </x:c>
      <x:c r="M1183" s="25" t="str">
        <x:v>Deepseek-flash-v4/state/Round2/status/Compress_5.json; Deepseek-flash-v4/state/Round2/shards/Compress_5.json</x:v>
      </x:c>
      <x:c r="N1183" s="25" t="str">
        <x:v>Deepseek-flash-v4/Result2/Compress_5/result.json</x:v>
      </x:c>
      <x:c r="O1183" s="25" t="str">
        <x:v>Deepseek-flash-v4/Result2/Compress_5/result.json</x:v>
      </x:c>
      <x:c r="P1183"/>
      <x:c r="Q1183" s="21" t="str"/>
      <x:c r="R1183" s="21" t="str"/>
      <x:c r="S1183" s="21" t="str"/>
      <x:c r="T1183" s="17" t="str">
        <x:v>false</x:v>
      </x:c>
      <x:c r="U1183" s="17" t="str">
        <x:v>true</x:v>
      </x:c>
      <x:c r="V1183" s="17" t="str">
        <x:v>false</x:v>
      </x:c>
    </x:row>
    <x:row r="1184" ht="80" customHeight="1">
      <x:c r="A1184" s="25" t="str">
        <x:v>Compress</x:v>
      </x:c>
      <x:c r="B1184" s="25" t="n">
        <x:v>6</x:v>
      </x:c>
      <x:c r="C1184" s="25" t="str">
        <x:v>Round2</x:v>
      </x:c>
      <x:c r="D1184" s="25" t="str">
        <x:v>NOT_AVAILABLE</x:v>
      </x:c>
      <x:c r="E1184" s="25" t="str">
        <x:v>N/A</x:v>
      </x:c>
      <x:c r="F1184" s="26" t="str">
        <x:v>Tests exist but current coverage did not complete</x:v>
      </x:c>
      <x:c r="G1184" s="25" t="str">
        <x:v>true</x:v>
      </x:c>
      <x:c r="H1184" s="25" t="str">
        <x:v>NOT_AVAILABLE</x:v>
      </x:c>
      <x:c r="I1184" s="25" t="str">
        <x:v>NOT_RUN</x:v>
      </x:c>
      <x:c r="J1184" s="25" t="str">
        <x:v>NOT_RUN</x:v>
      </x:c>
      <x:c r="K1184" s="25" t="n">
        <x:v>1</x:v>
      </x:c>
      <x:c r="L1184" s="27" t="b">
        <x:v>0</x:v>
      </x:c>
      <x:c r="M1184" s="25" t="str">
        <x:v>Deepseek-flash-v4/state/Round2/status/Compress_6.json; Deepseek-flash-v4/state/Round2/shards/Compress_6.json</x:v>
      </x:c>
      <x:c r="N1184" s="25" t="str">
        <x:v>Deepseek-flash-v4/Result2/Compress_6/result.json</x:v>
      </x:c>
      <x:c r="O1184" s="25" t="str">
        <x:v>Deepseek-flash-v4/Result2/Compress_6/result.json</x:v>
      </x:c>
      <x:c r="P1184" t="str">
        <x:v>BOTH_NOT_RUN</x:v>
      </x:c>
      <x:c r="Q1184" s="21" t="str"/>
      <x:c r="R1184" s="21" t="str"/>
      <x:c r="S1184" s="21" t="str"/>
      <x:c r="T1184" s="17" t="str">
        <x:v>false</x:v>
      </x:c>
      <x:c r="U1184" s="17" t="str">
        <x:v>true</x:v>
      </x:c>
      <x:c r="V1184" s="17" t="str">
        <x:v>false</x:v>
      </x:c>
    </x:row>
    <x:row r="1185" ht="80" customHeight="1">
      <x:c r="A1185" s="25" t="str">
        <x:v>Compress</x:v>
      </x:c>
      <x:c r="B1185" s="25" t="n">
        <x:v>7</x:v>
      </x:c>
      <x:c r="C1185" s="25" t="str">
        <x:v>Round2</x:v>
      </x:c>
      <x:c r="D1185" s="25" t="str">
        <x:v>INCONCLUSIVE</x:v>
      </x:c>
      <x:c r="E1185" s="25" t="str">
        <x:v>N/A</x:v>
      </x:c>
      <x:c r="F1185" s="26" t="str">
        <x:v>Fixed also failed; assertion failure cannot be attributed to this bug</x:v>
      </x:c>
      <x:c r="G1185" s="25" t="str">
        <x:v>true</x:v>
      </x:c>
      <x:c r="H1185" s="25" t="str">
        <x:v>INCONCLUSIVE</x:v>
      </x:c>
      <x:c r="I1185" s="25" t="str">
        <x:v>FAIL</x:v>
      </x:c>
      <x:c r="J1185" s="25" t="str">
        <x:v>FAIL</x:v>
      </x:c>
      <x:c r="K1185" s="25" t="n">
        <x:v>1</x:v>
      </x:c>
      <x:c r="L1185" s="27" t="b">
        <x:v>0</x:v>
      </x:c>
      <x:c r="M1185" s="25" t="str">
        <x:v>Deepseek-flash-v4/state/Round2/status/Compress_7.json; Deepseek-flash-v4/state/Round2/shards/Compress_7.json</x:v>
      </x:c>
      <x:c r="N1185" s="25" t="str">
        <x:v>Deepseek-flash-v4/Result2/Compress_7/result.json</x:v>
      </x:c>
      <x:c r="O1185" s="25" t="str">
        <x:v>Deepseek-flash-v4/Result2/Compress_7/result.json</x:v>
      </x:c>
      <x:c r="P1185"/>
      <x:c r="Q1185" s="21" t="str"/>
      <x:c r="R1185" s="21" t="str"/>
      <x:c r="S1185" s="21" t="str"/>
      <x:c r="T1185" s="17" t="str">
        <x:v>false</x:v>
      </x:c>
      <x:c r="U1185" s="17" t="str">
        <x:v>true</x:v>
      </x:c>
      <x:c r="V1185" s="17" t="str">
        <x:v>false</x:v>
      </x:c>
    </x:row>
    <x:row r="1186" ht="80" customHeight="1">
      <x:c r="A1186" s="25" t="str">
        <x:v>Compress</x:v>
      </x:c>
      <x:c r="B1186" s="25" t="n">
        <x:v>8</x:v>
      </x:c>
      <x:c r="C1186" s="25" t="str">
        <x:v>Round2</x:v>
      </x:c>
      <x:c r="D1186" s="25" t="str">
        <x:v>INCONCLUSIVE</x:v>
      </x:c>
      <x:c r="E1186" s="25" t="str">
        <x:v>N/A</x:v>
      </x:c>
      <x:c r="F1186" s="26" t="str">
        <x:v>Fixed also failed; assertion failure cannot be attributed to this bug; Same-round generation metadata missing; use saved tests and execution evidence, no failure inferred</x:v>
      </x:c>
      <x:c r="G1186" s="25" t="str">
        <x:v>true</x:v>
      </x:c>
      <x:c r="H1186" s="25" t="str">
        <x:v>INCONCLUSIVE</x:v>
      </x:c>
      <x:c r="I1186" s="25" t="str">
        <x:v>FAIL</x:v>
      </x:c>
      <x:c r="J1186" s="25" t="str">
        <x:v>FAIL</x:v>
      </x:c>
      <x:c r="K1186" s="25" t="n">
        <x:v>1</x:v>
      </x:c>
      <x:c r="L1186" s="27" t="b">
        <x:v>0</x:v>
      </x:c>
      <x:c r="M1186" s="25"/>
      <x:c r="N1186" s="25" t="str">
        <x:v>Deepseek-flash-v4/Result2/Compress_8/result.json</x:v>
      </x:c>
      <x:c r="O1186" s="25" t="str">
        <x:v>Deepseek-flash-v4/Result2/Compress_8/result.json</x:v>
      </x:c>
      <x:c r="P1186"/>
      <x:c r="Q1186" s="21" t="str"/>
      <x:c r="R1186" s="21" t="str"/>
      <x:c r="S1186" s="21" t="str"/>
      <x:c r="T1186" s="17" t="str">
        <x:v>false</x:v>
      </x:c>
      <x:c r="U1186" s="17" t="str">
        <x:v>true</x:v>
      </x:c>
      <x:c r="V1186" s="17" t="str">
        <x:v>false</x:v>
      </x:c>
    </x:row>
    <x:row r="1187" ht="80" customHeight="1">
      <x:c r="A1187" s="25" t="str">
        <x:v>Compress</x:v>
      </x:c>
      <x:c r="B1187" s="25" t="n">
        <x:v>9</x:v>
      </x:c>
      <x:c r="C1187" s="25" t="str">
        <x:v>Round2</x:v>
      </x:c>
      <x:c r="D1187" s="25" t="str">
        <x:v>INCONCLUSIVE</x:v>
      </x:c>
      <x:c r="E1187" s="25" t="str">
        <x:v>N/A</x:v>
      </x:c>
      <x:c r="F1187" s="26" t="str">
        <x:v>Fixed also failed; assertion failure cannot be attributed to this bug; Same-round generation metadata missing; use saved tests and execution evidence, no failure inferred</x:v>
      </x:c>
      <x:c r="G1187" s="25" t="str">
        <x:v>true</x:v>
      </x:c>
      <x:c r="H1187" s="25" t="str">
        <x:v>INCONCLUSIVE</x:v>
      </x:c>
      <x:c r="I1187" s="25" t="str">
        <x:v>FAIL</x:v>
      </x:c>
      <x:c r="J1187" s="25" t="str">
        <x:v>FAIL</x:v>
      </x:c>
      <x:c r="K1187" s="25" t="n">
        <x:v>1</x:v>
      </x:c>
      <x:c r="L1187" s="27" t="b">
        <x:v>0</x:v>
      </x:c>
      <x:c r="M1187" s="25"/>
      <x:c r="N1187" s="25" t="str">
        <x:v>Deepseek-flash-v4/Result2/Compress_9/result.json</x:v>
      </x:c>
      <x:c r="O1187" s="25" t="str">
        <x:v>Deepseek-flash-v4/Result2/Compress_9/result.json</x:v>
      </x:c>
      <x:c r="P1187"/>
      <x:c r="Q1187" s="21" t="str"/>
      <x:c r="R1187" s="21" t="str"/>
      <x:c r="S1187" s="21" t="str"/>
      <x:c r="T1187" s="17" t="str">
        <x:v>false</x:v>
      </x:c>
      <x:c r="U1187" s="17" t="str">
        <x:v>true</x:v>
      </x:c>
      <x:c r="V1187" s="17" t="str">
        <x:v>false</x:v>
      </x:c>
    </x:row>
    <x:row r="1188" ht="80" customHeight="1">
      <x:c r="A1188" s="25" t="str">
        <x:v>Csv</x:v>
      </x:c>
      <x:c r="B1188" s="25" t="n">
        <x:v>1</x:v>
      </x:c>
      <x:c r="C1188" s="25" t="str">
        <x:v>Round2</x:v>
      </x:c>
      <x:c r="D1188" s="25" t="str">
        <x:v>INCONCLUSIVE</x:v>
      </x:c>
      <x:c r="E1188" s="25" t="str">
        <x:v>N/A</x:v>
      </x:c>
      <x:c r="F1188" s="26" t="str">
        <x:v>Fixed also failed; assertion failure cannot be attributed to this bug; Same-round generation metadata missing; use saved tests and execution evidence, no failure inferred</x:v>
      </x:c>
      <x:c r="G1188" s="25" t="str">
        <x:v>true</x:v>
      </x:c>
      <x:c r="H1188" s="25" t="str">
        <x:v>INCONCLUSIVE</x:v>
      </x:c>
      <x:c r="I1188" s="25" t="str">
        <x:v>FAIL</x:v>
      </x:c>
      <x:c r="J1188" s="25" t="str">
        <x:v>FAIL</x:v>
      </x:c>
      <x:c r="K1188" s="25" t="n">
        <x:v>1</x:v>
      </x:c>
      <x:c r="L1188" s="27" t="b">
        <x:v>0</x:v>
      </x:c>
      <x:c r="M1188" s="25"/>
      <x:c r="N1188" s="25" t="str">
        <x:v>Deepseek-flash-v4/Result2/Csv_1/result.json</x:v>
      </x:c>
      <x:c r="O1188" s="25" t="str">
        <x:v>Deepseek-flash-v4/Result2/Csv_1/result.json</x:v>
      </x:c>
      <x:c r="P1188"/>
      <x:c r="Q1188" s="21" t="str"/>
      <x:c r="R1188" s="21" t="str"/>
      <x:c r="S1188" s="21" t="str"/>
      <x:c r="T1188" s="17" t="str">
        <x:v>false</x:v>
      </x:c>
      <x:c r="U1188" s="17" t="str">
        <x:v>true</x:v>
      </x:c>
      <x:c r="V1188" s="17" t="str">
        <x:v>false</x:v>
      </x:c>
    </x:row>
    <x:row r="1189" ht="80" customHeight="1">
      <x:c r="A1189" s="25" t="str">
        <x:v>Csv</x:v>
      </x:c>
      <x:c r="B1189" s="25" t="n">
        <x:v>10</x:v>
      </x:c>
      <x:c r="C1189" s="25" t="str">
        <x:v>Round2</x:v>
      </x:c>
      <x:c r="D1189" s="25" t="str">
        <x:v>NOT_AVAILABLE</x:v>
      </x:c>
      <x:c r="E1189" s="25" t="str">
        <x:v>N/A</x:v>
      </x:c>
      <x:c r="F1189" s="26" t="str">
        <x:v>Tests exist but current coverage did not complete</x:v>
      </x:c>
      <x:c r="G1189" s="25" t="str">
        <x:v>true</x:v>
      </x:c>
      <x:c r="H1189" s="25" t="str">
        <x:v>NOT_AVAILABLE</x:v>
      </x:c>
      <x:c r="I1189" s="25" t="str">
        <x:v>NOT_RUN</x:v>
      </x:c>
      <x:c r="J1189" s="25" t="str">
        <x:v>NOT_RUN</x:v>
      </x:c>
      <x:c r="K1189" s="25" t="n">
        <x:v>1</x:v>
      </x:c>
      <x:c r="L1189" s="27" t="b">
        <x:v>0</x:v>
      </x:c>
      <x:c r="M1189" s="25" t="str">
        <x:v>Deepseek-flash-v4/state/Round2/status/Csv_10.json; Deepseek-flash-v4/state/Round2/shards/Csv_10.json</x:v>
      </x:c>
      <x:c r="N1189" s="25" t="str">
        <x:v>Deepseek-flash-v4/Result2/Csv_10/result.json</x:v>
      </x:c>
      <x:c r="O1189" s="25" t="str">
        <x:v>Deepseek-flash-v4/Result2/Csv_10/result.json</x:v>
      </x:c>
      <x:c r="P1189" t="str">
        <x:v>BOTH_NOT_RUN</x:v>
      </x:c>
      <x:c r="Q1189" s="21" t="str"/>
      <x:c r="R1189" s="21" t="str"/>
      <x:c r="S1189" s="21" t="str"/>
      <x:c r="T1189" s="17" t="str">
        <x:v>false</x:v>
      </x:c>
      <x:c r="U1189" s="17" t="str">
        <x:v>true</x:v>
      </x:c>
      <x:c r="V1189" s="17" t="str">
        <x:v>false</x:v>
      </x:c>
    </x:row>
    <x:row r="1190" ht="80" customHeight="1">
      <x:c r="A1190" s="25" t="str">
        <x:v>Csv</x:v>
      </x:c>
      <x:c r="B1190" s="25" t="n">
        <x:v>11</x:v>
      </x:c>
      <x:c r="C1190" s="25" t="str">
        <x:v>Round2</x:v>
      </x:c>
      <x:c r="D1190" s="25" t="str">
        <x:v>NOT_AVAILABLE</x:v>
      </x:c>
      <x:c r="E1190" s="25" t="str">
        <x:v>N/A</x:v>
      </x:c>
      <x:c r="F1190" s="26" t="str">
        <x:v>Tests exist but current coverage did not complete</x:v>
      </x:c>
      <x:c r="G1190" s="25" t="str">
        <x:v>true</x:v>
      </x:c>
      <x:c r="H1190" s="25" t="str">
        <x:v>NOT_AVAILABLE</x:v>
      </x:c>
      <x:c r="I1190" s="25" t="str">
        <x:v>NOT_RUN</x:v>
      </x:c>
      <x:c r="J1190" s="25" t="str">
        <x:v>NOT_RUN</x:v>
      </x:c>
      <x:c r="K1190" s="25" t="n">
        <x:v>1</x:v>
      </x:c>
      <x:c r="L1190" s="27" t="b">
        <x:v>0</x:v>
      </x:c>
      <x:c r="M1190" s="25" t="str">
        <x:v>Deepseek-flash-v4/state/Round2/status/Csv_11.json; Deepseek-flash-v4/state/Round2/shards/Csv_11.json</x:v>
      </x:c>
      <x:c r="N1190" s="25" t="str">
        <x:v>Deepseek-flash-v4/Result2/Csv_11/result.json</x:v>
      </x:c>
      <x:c r="O1190" s="25" t="str">
        <x:v>Deepseek-flash-v4/Result2/Csv_11/result.json</x:v>
      </x:c>
      <x:c r="P1190" t="str">
        <x:v>BOTH_NOT_RUN</x:v>
      </x:c>
      <x:c r="Q1190" s="21" t="str"/>
      <x:c r="R1190" s="21" t="str"/>
      <x:c r="S1190" s="21" t="str"/>
      <x:c r="T1190" s="17" t="str">
        <x:v>false</x:v>
      </x:c>
      <x:c r="U1190" s="17" t="str">
        <x:v>true</x:v>
      </x:c>
      <x:c r="V1190" s="17" t="str">
        <x:v>false</x:v>
      </x:c>
    </x:row>
    <x:row r="1191" ht="80" customHeight="1">
      <x:c r="A1191" s="25" t="str">
        <x:v>Csv</x:v>
      </x:c>
      <x:c r="B1191" s="25" t="n">
        <x:v>12</x:v>
      </x:c>
      <x:c r="C1191" s="25" t="str">
        <x:v>Round2</x:v>
      </x:c>
      <x:c r="D1191" s="25" t="str">
        <x:v>INCONCLUSIVE</x:v>
      </x:c>
      <x:c r="E1191" s="25" t="str">
        <x:v>N/A</x:v>
      </x:c>
      <x:c r="F1191" s="26" t="str">
        <x:v>Fixed also failed; assertion failure cannot be attributed to this bug; Same-round generation metadata missing; use saved tests and execution evidence, no failure inferred</x:v>
      </x:c>
      <x:c r="G1191" s="25" t="str">
        <x:v>true</x:v>
      </x:c>
      <x:c r="H1191" s="25" t="str">
        <x:v>INCONCLUSIVE</x:v>
      </x:c>
      <x:c r="I1191" s="25" t="str">
        <x:v>FAIL</x:v>
      </x:c>
      <x:c r="J1191" s="25" t="str">
        <x:v>FAIL</x:v>
      </x:c>
      <x:c r="K1191" s="25" t="n">
        <x:v>1</x:v>
      </x:c>
      <x:c r="L1191" s="27" t="b">
        <x:v>0</x:v>
      </x:c>
      <x:c r="M1191" s="25"/>
      <x:c r="N1191" s="25" t="str">
        <x:v>Deepseek-flash-v4/Result2/Csv_12/result.json</x:v>
      </x:c>
      <x:c r="O1191" s="25" t="str">
        <x:v>Deepseek-flash-v4/Result2/Csv_12/result.json</x:v>
      </x:c>
      <x:c r="P1191"/>
      <x:c r="Q1191" s="21" t="str"/>
      <x:c r="R1191" s="21" t="str"/>
      <x:c r="S1191" s="21" t="str"/>
      <x:c r="T1191" s="17" t="str">
        <x:v>false</x:v>
      </x:c>
      <x:c r="U1191" s="17" t="str">
        <x:v>true</x:v>
      </x:c>
      <x:c r="V1191" s="17" t="str">
        <x:v>false</x:v>
      </x:c>
    </x:row>
    <x:row r="1192" ht="80" customHeight="1">
      <x:c r="A1192" s="25" t="str">
        <x:v>Csv</x:v>
      </x:c>
      <x:c r="B1192" s="25" t="n">
        <x:v>13</x:v>
      </x:c>
      <x:c r="C1192" s="25" t="str">
        <x:v>Round2</x:v>
      </x:c>
      <x:c r="D1192" s="25" t="str">
        <x:v>NOT_AVAILABLE</x:v>
      </x:c>
      <x:c r="E1192" s="25" t="str">
        <x:v>N/A</x:v>
      </x:c>
      <x:c r="F1192" s="26" t="str">
        <x:v>Tests exist but current coverage did not complete</x:v>
      </x:c>
      <x:c r="G1192" s="25" t="str">
        <x:v>true</x:v>
      </x:c>
      <x:c r="H1192" s="25" t="str">
        <x:v>NOT_AVAILABLE</x:v>
      </x:c>
      <x:c r="I1192" s="25" t="str">
        <x:v>NOT_RUN</x:v>
      </x:c>
      <x:c r="J1192" s="25" t="str">
        <x:v>NOT_RUN</x:v>
      </x:c>
      <x:c r="K1192" s="25" t="n">
        <x:v>2</x:v>
      </x:c>
      <x:c r="L1192" s="27" t="b">
        <x:v>0</x:v>
      </x:c>
      <x:c r="M1192" s="25" t="str">
        <x:v>Deepseek-flash-v4/state/Round2/status/Csv_13.json; Deepseek-flash-v4/state/Round2/shards/Csv_13.json</x:v>
      </x:c>
      <x:c r="N1192" s="25" t="str">
        <x:v>Deepseek-flash-v4/Result2/Csv_13/result.json</x:v>
      </x:c>
      <x:c r="O1192" s="25" t="str">
        <x:v>Deepseek-flash-v4/Result2/Csv_13/result.json</x:v>
      </x:c>
      <x:c r="P1192" t="str">
        <x:v>BOTH_NOT_RUN</x:v>
      </x:c>
      <x:c r="Q1192" s="21" t="str"/>
      <x:c r="R1192" s="21" t="str"/>
      <x:c r="S1192" s="21" t="str"/>
      <x:c r="T1192" s="17" t="str">
        <x:v>false</x:v>
      </x:c>
      <x:c r="U1192" s="17" t="str">
        <x:v>true</x:v>
      </x:c>
      <x:c r="V1192" s="17" t="str">
        <x:v>false</x:v>
      </x:c>
    </x:row>
    <x:row r="1193" ht="80" customHeight="1">
      <x:c r="A1193" s="25" t="str">
        <x:v>Csv</x:v>
      </x:c>
      <x:c r="B1193" s="25" t="n">
        <x:v>14</x:v>
      </x:c>
      <x:c r="C1193" s="25" t="str">
        <x:v>Round2</x:v>
      </x:c>
      <x:c r="D1193" s="25" t="str">
        <x:v>NOT_AVAILABLE</x:v>
      </x:c>
      <x:c r="E1193" s="25" t="str">
        <x:v>N/A</x:v>
      </x:c>
      <x:c r="F1193" s="26" t="str">
        <x:v>Tests exist but current coverage did not complete</x:v>
      </x:c>
      <x:c r="G1193" s="25" t="str">
        <x:v>true</x:v>
      </x:c>
      <x:c r="H1193" s="25" t="str">
        <x:v>NOT_AVAILABLE</x:v>
      </x:c>
      <x:c r="I1193" s="25" t="str">
        <x:v>NOT_RUN</x:v>
      </x:c>
      <x:c r="J1193" s="25" t="str">
        <x:v>NOT_RUN</x:v>
      </x:c>
      <x:c r="K1193" s="25" t="n">
        <x:v>1</x:v>
      </x:c>
      <x:c r="L1193" s="27" t="b">
        <x:v>0</x:v>
      </x:c>
      <x:c r="M1193" s="25" t="str">
        <x:v>Deepseek-flash-v4/state/Round2/status/Csv_14.json; Deepseek-flash-v4/state/Round2/shards/Csv_14.json</x:v>
      </x:c>
      <x:c r="N1193" s="25" t="str">
        <x:v>Deepseek-flash-v4/Result2/Csv_14/result.json</x:v>
      </x:c>
      <x:c r="O1193" s="25" t="str">
        <x:v>Deepseek-flash-v4/Result2/Csv_14/result.json</x:v>
      </x:c>
      <x:c r="P1193" t="str">
        <x:v>BOTH_NOT_RUN</x:v>
      </x:c>
      <x:c r="Q1193" s="21" t="str"/>
      <x:c r="R1193" s="21" t="str"/>
      <x:c r="S1193" s="21" t="str"/>
      <x:c r="T1193" s="17" t="str">
        <x:v>false</x:v>
      </x:c>
      <x:c r="U1193" s="17" t="str">
        <x:v>true</x:v>
      </x:c>
      <x:c r="V1193" s="17" t="str">
        <x:v>false</x:v>
      </x:c>
    </x:row>
    <x:row r="1194" ht="80" customHeight="1">
      <x:c r="A1194" s="25" t="str">
        <x:v>Csv</x:v>
      </x:c>
      <x:c r="B1194" s="25" t="n">
        <x:v>15</x:v>
      </x:c>
      <x:c r="C1194" s="25" t="str">
        <x:v>Round2</x:v>
      </x:c>
      <x:c r="D1194" s="25" t="str">
        <x:v>INCONCLUSIVE</x:v>
      </x:c>
      <x:c r="E1194" s="25" t="str">
        <x:v>N/A</x:v>
      </x:c>
      <x:c r="F1194" s="26" t="str">
        <x:v>Fixed also failed; assertion failure cannot be attributed to this bug</x:v>
      </x:c>
      <x:c r="G1194" s="25" t="str">
        <x:v>true</x:v>
      </x:c>
      <x:c r="H1194" s="25" t="str">
        <x:v>INCONCLUSIVE</x:v>
      </x:c>
      <x:c r="I1194" s="25" t="str">
        <x:v>FAIL</x:v>
      </x:c>
      <x:c r="J1194" s="25" t="str">
        <x:v>FAIL</x:v>
      </x:c>
      <x:c r="K1194" s="25" t="n">
        <x:v>1</x:v>
      </x:c>
      <x:c r="L1194" s="27" t="b">
        <x:v>0</x:v>
      </x:c>
      <x:c r="M1194" s="25" t="str">
        <x:v>Deepseek-flash-v4/state/Round2/status/Csv_15.json; Deepseek-flash-v4/state/Round2/shards/Csv_15.json</x:v>
      </x:c>
      <x:c r="N1194" s="25" t="str">
        <x:v>Deepseek-flash-v4/Result2/Csv_15/result.json</x:v>
      </x:c>
      <x:c r="O1194" s="25" t="str">
        <x:v>Deepseek-flash-v4/Result2/Csv_15/result.json</x:v>
      </x:c>
      <x:c r="P1194"/>
      <x:c r="Q1194" s="21" t="str"/>
      <x:c r="R1194" s="21" t="str"/>
      <x:c r="S1194" s="21" t="str"/>
      <x:c r="T1194" s="17" t="str">
        <x:v>false</x:v>
      </x:c>
      <x:c r="U1194" s="17" t="str">
        <x:v>true</x:v>
      </x:c>
      <x:c r="V1194" s="17" t="str">
        <x:v>false</x:v>
      </x:c>
    </x:row>
    <x:row r="1195" ht="80" customHeight="1">
      <x:c r="A1195" s="25" t="str">
        <x:v>Csv</x:v>
      </x:c>
      <x:c r="B1195" s="25" t="n">
        <x:v>16</x:v>
      </x:c>
      <x:c r="C1195" s="25" t="str">
        <x:v>Round2</x:v>
      </x:c>
      <x:c r="D1195" s="25" t="str">
        <x:v>INCONCLUSIVE</x:v>
      </x:c>
      <x:c r="E1195" s="25" t="str">
        <x:v>N/A</x:v>
      </x:c>
      <x:c r="F1195" s="26" t="str">
        <x:v>Fixed also failed; assertion failure cannot be attributed to this bug</x:v>
      </x:c>
      <x:c r="G1195" s="25" t="str">
        <x:v>true</x:v>
      </x:c>
      <x:c r="H1195" s="25" t="str">
        <x:v>INCONCLUSIVE</x:v>
      </x:c>
      <x:c r="I1195" s="25" t="str">
        <x:v>FAIL</x:v>
      </x:c>
      <x:c r="J1195" s="25" t="str">
        <x:v>FAIL</x:v>
      </x:c>
      <x:c r="K1195" s="25" t="n">
        <x:v>1</x:v>
      </x:c>
      <x:c r="L1195" s="27" t="b">
        <x:v>0</x:v>
      </x:c>
      <x:c r="M1195" s="25" t="str">
        <x:v>Deepseek-flash-v4/state/Round2/status/Csv_16.json; Deepseek-flash-v4/state/Round2/shards/Csv_16.json</x:v>
      </x:c>
      <x:c r="N1195" s="25" t="str">
        <x:v>Deepseek-flash-v4/Result2/Csv_16/result.json</x:v>
      </x:c>
      <x:c r="O1195" s="25" t="str">
        <x:v>Deepseek-flash-v4/Result2/Csv_16/result.json</x:v>
      </x:c>
      <x:c r="P1195"/>
      <x:c r="Q1195" s="21" t="str"/>
      <x:c r="R1195" s="21" t="str"/>
      <x:c r="S1195" s="21" t="str"/>
      <x:c r="T1195" s="17" t="str">
        <x:v>false</x:v>
      </x:c>
      <x:c r="U1195" s="17" t="str">
        <x:v>true</x:v>
      </x:c>
      <x:c r="V1195" s="17" t="str">
        <x:v>false</x:v>
      </x:c>
    </x:row>
    <x:row r="1196" ht="80" customHeight="1">
      <x:c r="A1196" s="25" t="str">
        <x:v>Csv</x:v>
      </x:c>
      <x:c r="B1196" s="25" t="n">
        <x:v>2</x:v>
      </x:c>
      <x:c r="C1196" s="25" t="str">
        <x:v>Round2</x:v>
      </x:c>
      <x:c r="D1196" s="25" t="str">
        <x:v>NOT_REVEALING</x:v>
      </x:c>
      <x:c r="E1196" s="25" t="str">
        <x:v>N/A</x:v>
      </x:c>
      <x:c r="F1196" s="26" t="str">
        <x:v>Same saved validation suite passed on buggy and fixed; Same-round generation metadata missing; use saved tests and execution evidence, no failure inferred</x:v>
      </x:c>
      <x:c r="G1196" s="25" t="str">
        <x:v>true</x:v>
      </x:c>
      <x:c r="H1196" s="25" t="str">
        <x:v>NOT_REVEALING</x:v>
      </x:c>
      <x:c r="I1196" s="25" t="str">
        <x:v>PASS</x:v>
      </x:c>
      <x:c r="J1196" s="25" t="str">
        <x:v>PASS</x:v>
      </x:c>
      <x:c r="K1196" s="25" t="n">
        <x:v>1</x:v>
      </x:c>
      <x:c r="L1196" s="27" t="b">
        <x:v>0</x:v>
      </x:c>
      <x:c r="M1196" s="25"/>
      <x:c r="N1196" s="25" t="str">
        <x:v>Deepseek-flash-v4/Result2/Csv_2/result.json</x:v>
      </x:c>
      <x:c r="O1196" s="25" t="str">
        <x:v>Deepseek-flash-v4/Result2/Csv_2/result.json</x:v>
      </x:c>
      <x:c r="P1196"/>
      <x:c r="Q1196" s="21" t="str"/>
      <x:c r="R1196" s="21" t="str"/>
      <x:c r="S1196" s="21" t="str"/>
      <x:c r="T1196" s="17" t="str">
        <x:v>false</x:v>
      </x:c>
      <x:c r="U1196" s="17" t="str">
        <x:v>true</x:v>
      </x:c>
      <x:c r="V1196" s="17" t="str">
        <x:v>false</x:v>
      </x:c>
    </x:row>
    <x:row r="1197" ht="80" customHeight="1">
      <x:c r="A1197" s="25" t="str">
        <x:v>Csv</x:v>
      </x:c>
      <x:c r="B1197" s="25" t="n">
        <x:v>3</x:v>
      </x:c>
      <x:c r="C1197" s="25" t="str">
        <x:v>Round2</x:v>
      </x:c>
      <x:c r="D1197" s="25" t="str">
        <x:v>NOT_AVAILABLE</x:v>
      </x:c>
      <x:c r="E1197" s="25" t="str">
        <x:v>N/A</x:v>
      </x:c>
      <x:c r="F1197" s="26" t="str">
        <x:v>Tests exist but current coverage did not complete</x:v>
      </x:c>
      <x:c r="G1197" s="25" t="str">
        <x:v>true</x:v>
      </x:c>
      <x:c r="H1197" s="25" t="str">
        <x:v>NOT_AVAILABLE</x:v>
      </x:c>
      <x:c r="I1197" s="25" t="str">
        <x:v>NOT_RUN</x:v>
      </x:c>
      <x:c r="J1197" s="25" t="str">
        <x:v>NOT_RUN</x:v>
      </x:c>
      <x:c r="K1197" s="25" t="n">
        <x:v>1</x:v>
      </x:c>
      <x:c r="L1197" s="27" t="b">
        <x:v>0</x:v>
      </x:c>
      <x:c r="M1197" s="25" t="str">
        <x:v>Deepseek-flash-v4/state/Round2/status/Csv_3.json; Deepseek-flash-v4/state/Round2/shards/Csv_3.json</x:v>
      </x:c>
      <x:c r="N1197" s="25" t="str">
        <x:v>Deepseek-flash-v4/Result2/Csv_3/result.json</x:v>
      </x:c>
      <x:c r="O1197" s="25" t="str">
        <x:v>Deepseek-flash-v4/Result2/Csv_3/result.json</x:v>
      </x:c>
      <x:c r="P1197" t="str">
        <x:v>BOTH_NOT_RUN</x:v>
      </x:c>
      <x:c r="Q1197" s="21" t="str"/>
      <x:c r="R1197" s="21" t="str"/>
      <x:c r="S1197" s="21" t="str"/>
      <x:c r="T1197" s="17" t="str">
        <x:v>false</x:v>
      </x:c>
      <x:c r="U1197" s="17" t="str">
        <x:v>true</x:v>
      </x:c>
      <x:c r="V1197" s="17" t="str">
        <x:v>false</x:v>
      </x:c>
    </x:row>
    <x:row r="1198" ht="80" customHeight="1">
      <x:c r="A1198" s="25" t="str">
        <x:v>Csv</x:v>
      </x:c>
      <x:c r="B1198" s="25" t="n">
        <x:v>4</x:v>
      </x:c>
      <x:c r="C1198" s="25" t="str">
        <x:v>Round2</x:v>
      </x:c>
      <x:c r="D1198" s="25" t="str">
        <x:v>NOT_AVAILABLE</x:v>
      </x:c>
      <x:c r="E1198" s="25" t="str">
        <x:v>N/A</x:v>
      </x:c>
      <x:c r="F1198" s="26" t="str">
        <x:v>Tests exist but current coverage did not complete</x:v>
      </x:c>
      <x:c r="G1198" s="25" t="str">
        <x:v>true</x:v>
      </x:c>
      <x:c r="H1198" s="25" t="str">
        <x:v>NOT_AVAILABLE</x:v>
      </x:c>
      <x:c r="I1198" s="25" t="str">
        <x:v>NOT_RUN</x:v>
      </x:c>
      <x:c r="J1198" s="25" t="str">
        <x:v>NOT_RUN</x:v>
      </x:c>
      <x:c r="K1198" s="25" t="n">
        <x:v>1</x:v>
      </x:c>
      <x:c r="L1198" s="27" t="b">
        <x:v>0</x:v>
      </x:c>
      <x:c r="M1198" s="25" t="str">
        <x:v>Deepseek-flash-v4/state/Round2/status/Csv_4.json; Deepseek-flash-v4/state/Round2/shards/Csv_4.json</x:v>
      </x:c>
      <x:c r="N1198" s="25" t="str">
        <x:v>Deepseek-flash-v4/Result2/Csv_4/result.json</x:v>
      </x:c>
      <x:c r="O1198" s="25" t="str">
        <x:v>Deepseek-flash-v4/Result2/Csv_4/result.json</x:v>
      </x:c>
      <x:c r="P1198" t="str">
        <x:v>BOTH_NOT_RUN</x:v>
      </x:c>
      <x:c r="Q1198" s="21" t="str"/>
      <x:c r="R1198" s="21" t="str"/>
      <x:c r="S1198" s="21" t="str"/>
      <x:c r="T1198" s="17" t="str">
        <x:v>false</x:v>
      </x:c>
      <x:c r="U1198" s="17" t="str">
        <x:v>true</x:v>
      </x:c>
      <x:c r="V1198" s="17" t="str">
        <x:v>false</x:v>
      </x:c>
    </x:row>
    <x:row r="1199" ht="80" customHeight="1">
      <x:c r="A1199" s="25" t="str">
        <x:v>Csv</x:v>
      </x:c>
      <x:c r="B1199" s="25" t="n">
        <x:v>5</x:v>
      </x:c>
      <x:c r="C1199" s="25" t="str">
        <x:v>Round2</x:v>
      </x:c>
      <x:c r="D1199" s="25" t="str">
        <x:v>NOT_AVAILABLE</x:v>
      </x:c>
      <x:c r="E1199" s="25" t="str">
        <x:v>N/A</x:v>
      </x:c>
      <x:c r="F1199" s="26" t="str">
        <x:v>Tests exist but current coverage did not complete</x:v>
      </x:c>
      <x:c r="G1199" s="25" t="str">
        <x:v>true</x:v>
      </x:c>
      <x:c r="H1199" s="25" t="str">
        <x:v>NOT_AVAILABLE</x:v>
      </x:c>
      <x:c r="I1199" s="25" t="str">
        <x:v>NOT_RUN</x:v>
      </x:c>
      <x:c r="J1199" s="25" t="str">
        <x:v>NOT_RUN</x:v>
      </x:c>
      <x:c r="K1199" s="25" t="n">
        <x:v>1</x:v>
      </x:c>
      <x:c r="L1199" s="27" t="b">
        <x:v>0</x:v>
      </x:c>
      <x:c r="M1199" s="25" t="str">
        <x:v>Deepseek-flash-v4/state/Round2/status/Csv_5.json; Deepseek-flash-v4/state/Round2/shards/Csv_5.json</x:v>
      </x:c>
      <x:c r="N1199" s="25" t="str">
        <x:v>Deepseek-flash-v4/Result2/Csv_5/result.json</x:v>
      </x:c>
      <x:c r="O1199" s="25" t="str">
        <x:v>Deepseek-flash-v4/Result2/Csv_5/result.json</x:v>
      </x:c>
      <x:c r="P1199" t="str">
        <x:v>BOTH_NOT_RUN</x:v>
      </x:c>
      <x:c r="Q1199" s="21" t="str"/>
      <x:c r="R1199" s="21" t="str"/>
      <x:c r="S1199" s="21" t="str"/>
      <x:c r="T1199" s="17" t="str">
        <x:v>false</x:v>
      </x:c>
      <x:c r="U1199" s="17" t="str">
        <x:v>true</x:v>
      </x:c>
      <x:c r="V1199" s="17" t="str">
        <x:v>false</x:v>
      </x:c>
    </x:row>
    <x:row r="1200" ht="80" customHeight="1">
      <x:c r="A1200" s="25" t="str">
        <x:v>Csv</x:v>
      </x:c>
      <x:c r="B1200" s="25" t="n">
        <x:v>6</x:v>
      </x:c>
      <x:c r="C1200" s="25" t="str">
        <x:v>Round2</x:v>
      </x:c>
      <x:c r="D1200" s="25" t="str">
        <x:v>INCONCLUSIVE</x:v>
      </x:c>
      <x:c r="E1200" s="25" t="str">
        <x:v>N/A</x:v>
      </x:c>
      <x:c r="F1200" s="26" t="str">
        <x:v>Fixed also failed; assertion failure cannot be attributed to this bug; Same-round generation metadata missing; use saved tests and execution evidence, no failure inferred</x:v>
      </x:c>
      <x:c r="G1200" s="25" t="str">
        <x:v>true</x:v>
      </x:c>
      <x:c r="H1200" s="25" t="str">
        <x:v>INCONCLUSIVE</x:v>
      </x:c>
      <x:c r="I1200" s="25" t="str">
        <x:v>FAIL</x:v>
      </x:c>
      <x:c r="J1200" s="25" t="str">
        <x:v>FAIL</x:v>
      </x:c>
      <x:c r="K1200" s="25" t="n">
        <x:v>1</x:v>
      </x:c>
      <x:c r="L1200" s="27" t="b">
        <x:v>0</x:v>
      </x:c>
      <x:c r="M1200" s="25"/>
      <x:c r="N1200" s="25" t="str">
        <x:v>Deepseek-flash-v4/Result2/Csv_6/result.json</x:v>
      </x:c>
      <x:c r="O1200" s="25" t="str">
        <x:v>Deepseek-flash-v4/Result2/Csv_6/result.json</x:v>
      </x:c>
      <x:c r="P1200"/>
      <x:c r="Q1200" s="21" t="str"/>
      <x:c r="R1200" s="21" t="str"/>
      <x:c r="S1200" s="21" t="str"/>
      <x:c r="T1200" s="17" t="str">
        <x:v>false</x:v>
      </x:c>
      <x:c r="U1200" s="17" t="str">
        <x:v>true</x:v>
      </x:c>
      <x:c r="V1200" s="17" t="str">
        <x:v>false</x:v>
      </x:c>
    </x:row>
    <x:row r="1201" ht="80" customHeight="1">
      <x:c r="A1201" s="25" t="str">
        <x:v>Csv</x:v>
      </x:c>
      <x:c r="B1201" s="25" t="n">
        <x:v>7</x:v>
      </x:c>
      <x:c r="C1201" s="25" t="str">
        <x:v>Round2</x:v>
      </x:c>
      <x:c r="D1201" s="25" t="str">
        <x:v>INCONCLUSIVE</x:v>
      </x:c>
      <x:c r="E1201" s="25" t="str">
        <x:v>N/A</x:v>
      </x:c>
      <x:c r="F1201" s="26" t="str">
        <x:v>Fixed also failed; assertion failure cannot be attributed to this bug; Same-round generation metadata missing; use saved tests and execution evidence, no failure inferred</x:v>
      </x:c>
      <x:c r="G1201" s="25" t="str">
        <x:v>true</x:v>
      </x:c>
      <x:c r="H1201" s="25" t="str">
        <x:v>INCONCLUSIVE</x:v>
      </x:c>
      <x:c r="I1201" s="25" t="str">
        <x:v>FAIL</x:v>
      </x:c>
      <x:c r="J1201" s="25" t="str">
        <x:v>FAIL</x:v>
      </x:c>
      <x:c r="K1201" s="25" t="n">
        <x:v>1</x:v>
      </x:c>
      <x:c r="L1201" s="27" t="b">
        <x:v>0</x:v>
      </x:c>
      <x:c r="M1201" s="25"/>
      <x:c r="N1201" s="25" t="str">
        <x:v>Deepseek-flash-v4/Result2/Csv_7/result.json</x:v>
      </x:c>
      <x:c r="O1201" s="25" t="str">
        <x:v>Deepseek-flash-v4/Result2/Csv_7/result.json</x:v>
      </x:c>
      <x:c r="P1201"/>
      <x:c r="Q1201" s="21" t="str"/>
      <x:c r="R1201" s="21" t="str"/>
      <x:c r="S1201" s="21" t="str"/>
      <x:c r="T1201" s="17" t="str">
        <x:v>false</x:v>
      </x:c>
      <x:c r="U1201" s="17" t="str">
        <x:v>true</x:v>
      </x:c>
      <x:c r="V1201" s="17" t="str">
        <x:v>false</x:v>
      </x:c>
    </x:row>
    <x:row r="1202" ht="80" customHeight="1">
      <x:c r="A1202" s="25" t="str">
        <x:v>Csv</x:v>
      </x:c>
      <x:c r="B1202" s="25" t="n">
        <x:v>8</x:v>
      </x:c>
      <x:c r="C1202" s="25" t="str">
        <x:v>Round2</x:v>
      </x:c>
      <x:c r="D1202" s="25" t="str">
        <x:v>INCONCLUSIVE</x:v>
      </x:c>
      <x:c r="E1202" s="25" t="str">
        <x:v>N/A</x:v>
      </x:c>
      <x:c r="F1202" s="26" t="str">
        <x:v>Fixed also failed; assertion failure cannot be attributed to this bug</x:v>
      </x:c>
      <x:c r="G1202" s="25" t="str">
        <x:v>true</x:v>
      </x:c>
      <x:c r="H1202" s="25" t="str">
        <x:v>INCONCLUSIVE</x:v>
      </x:c>
      <x:c r="I1202" s="25" t="str">
        <x:v>PASS</x:v>
      </x:c>
      <x:c r="J1202" s="25" t="str">
        <x:v>FAIL</x:v>
      </x:c>
      <x:c r="K1202" s="25" t="n">
        <x:v>1</x:v>
      </x:c>
      <x:c r="L1202" s="27" t="b">
        <x:v>0</x:v>
      </x:c>
      <x:c r="M1202" s="25" t="str">
        <x:v>Deepseek-flash-v4/state/Round2/status/Csv_8.json; Deepseek-flash-v4/state/Round2/shards/Csv_8.json</x:v>
      </x:c>
      <x:c r="N1202" s="25" t="str">
        <x:v>Deepseek-flash-v4/Result2/Csv_8/result.json</x:v>
      </x:c>
      <x:c r="O1202" s="25" t="str">
        <x:v>Deepseek-flash-v4/Result2/Csv_8/result.json</x:v>
      </x:c>
      <x:c r="P1202"/>
      <x:c r="Q1202" s="21" t="str"/>
      <x:c r="R1202" s="21" t="str"/>
      <x:c r="S1202" s="21" t="str"/>
      <x:c r="T1202" s="17" t="str">
        <x:v>false</x:v>
      </x:c>
      <x:c r="U1202" s="17" t="str">
        <x:v>true</x:v>
      </x:c>
      <x:c r="V1202" s="17" t="str">
        <x:v>false</x:v>
      </x:c>
    </x:row>
    <x:row r="1203" ht="80" customHeight="1">
      <x:c r="A1203" s="25" t="str">
        <x:v>Csv</x:v>
      </x:c>
      <x:c r="B1203" s="25" t="n">
        <x:v>9</x:v>
      </x:c>
      <x:c r="C1203" s="25" t="str">
        <x:v>Round2</x:v>
      </x:c>
      <x:c r="D1203" s="25" t="str">
        <x:v>INCONCLUSIVE</x:v>
      </x:c>
      <x:c r="E1203" s="25" t="str">
        <x:v>N/A</x:v>
      </x:c>
      <x:c r="F1203" s="26" t="str">
        <x:v>Fixed also failed; assertion failure cannot be attributed to this bug; Same-round generation metadata missing; use saved tests and execution evidence, no failure inferred</x:v>
      </x:c>
      <x:c r="G1203" s="25" t="str">
        <x:v>true</x:v>
      </x:c>
      <x:c r="H1203" s="25" t="str">
        <x:v>INCONCLUSIVE</x:v>
      </x:c>
      <x:c r="I1203" s="25" t="str">
        <x:v>FAIL</x:v>
      </x:c>
      <x:c r="J1203" s="25" t="str">
        <x:v>FAIL</x:v>
      </x:c>
      <x:c r="K1203" s="25" t="n">
        <x:v>1</x:v>
      </x:c>
      <x:c r="L1203" s="27" t="b">
        <x:v>0</x:v>
      </x:c>
      <x:c r="M1203" s="25"/>
      <x:c r="N1203" s="25" t="str">
        <x:v>Deepseek-flash-v4/Result2/Csv_9/result.json</x:v>
      </x:c>
      <x:c r="O1203" s="25" t="str">
        <x:v>Deepseek-flash-v4/Result2/Csv_9/result.json</x:v>
      </x:c>
      <x:c r="P1203"/>
      <x:c r="Q1203" s="21" t="str"/>
      <x:c r="R1203" s="21" t="str"/>
      <x:c r="S1203" s="21" t="str"/>
      <x:c r="T1203" s="17" t="str">
        <x:v>false</x:v>
      </x:c>
      <x:c r="U1203" s="17" t="str">
        <x:v>true</x:v>
      </x:c>
      <x:c r="V1203" s="17" t="str">
        <x:v>false</x:v>
      </x:c>
    </x:row>
    <x:row r="1204" ht="80" customHeight="1">
      <x:c r="A1204" s="25" t="str">
        <x:v>Gson</x:v>
      </x:c>
      <x:c r="B1204" s="25" t="n">
        <x:v>1</x:v>
      </x:c>
      <x:c r="C1204" s="25" t="str">
        <x:v>Round2</x:v>
      </x:c>
      <x:c r="D1204" s="25" t="str">
        <x:v>INCONCLUSIVE</x:v>
      </x:c>
      <x:c r="E1204" s="25" t="str">
        <x:v>N/A</x:v>
      </x:c>
      <x:c r="F1204" s="26" t="str">
        <x:v>Fixed also failed; assertion failure cannot be attributed to this bug; Same-round generation metadata missing; use saved tests and execution evidence, no failure inferred</x:v>
      </x:c>
      <x:c r="G1204" s="25" t="str">
        <x:v>true</x:v>
      </x:c>
      <x:c r="H1204" s="25" t="str">
        <x:v>INCONCLUSIVE</x:v>
      </x:c>
      <x:c r="I1204" s="25" t="str">
        <x:v>FAIL</x:v>
      </x:c>
      <x:c r="J1204" s="25" t="str">
        <x:v>FAIL</x:v>
      </x:c>
      <x:c r="K1204" s="25" t="n">
        <x:v>1</x:v>
      </x:c>
      <x:c r="L1204" s="27" t="b">
        <x:v>0</x:v>
      </x:c>
      <x:c r="M1204" s="25"/>
      <x:c r="N1204" s="25" t="str">
        <x:v>Deepseek-flash-v4/Result2/Gson_1/result.json</x:v>
      </x:c>
      <x:c r="O1204" s="25" t="str">
        <x:v>Deepseek-flash-v4/Result2/Gson_1/result.json</x:v>
      </x:c>
      <x:c r="P1204"/>
      <x:c r="Q1204" s="21" t="str"/>
      <x:c r="R1204" s="21" t="str"/>
      <x:c r="S1204" s="21" t="str"/>
      <x:c r="T1204" s="17" t="str">
        <x:v>false</x:v>
      </x:c>
      <x:c r="U1204" s="17" t="str">
        <x:v>true</x:v>
      </x:c>
      <x:c r="V1204" s="17" t="str">
        <x:v>false</x:v>
      </x:c>
    </x:row>
    <x:row r="1205" ht="80" customHeight="1">
      <x:c r="A1205" s="25" t="str">
        <x:v>Gson</x:v>
      </x:c>
      <x:c r="B1205" s="25" t="n">
        <x:v>10</x:v>
      </x:c>
      <x:c r="C1205" s="25" t="str">
        <x:v>Round2</x:v>
      </x:c>
      <x:c r="D1205" s="25" t="str">
        <x:v>NOT_AVAILABLE</x:v>
      </x:c>
      <x:c r="E1205" s="25" t="str">
        <x:v>N/A</x:v>
      </x:c>
      <x:c r="F1205" s="26" t="str">
        <x:v>Tests exist but current coverage did not complete</x:v>
      </x:c>
      <x:c r="G1205" s="25" t="str">
        <x:v>true</x:v>
      </x:c>
      <x:c r="H1205" s="25" t="str">
        <x:v>NOT_AVAILABLE</x:v>
      </x:c>
      <x:c r="I1205" s="25" t="str">
        <x:v>NOT_RUN</x:v>
      </x:c>
      <x:c r="J1205" s="25" t="str">
        <x:v>NOT_RUN</x:v>
      </x:c>
      <x:c r="K1205" s="25" t="n">
        <x:v>1</x:v>
      </x:c>
      <x:c r="L1205" s="27" t="b">
        <x:v>0</x:v>
      </x:c>
      <x:c r="M1205" s="25" t="str">
        <x:v>Deepseek-flash-v4/state/Round2/status/Gson_10.json; Deepseek-flash-v4/state/Round2/shards/Gson_10.json</x:v>
      </x:c>
      <x:c r="N1205" s="25" t="str">
        <x:v>Deepseek-flash-v4/Result2/Gson_10/result.json</x:v>
      </x:c>
      <x:c r="O1205" s="25" t="str">
        <x:v>Deepseek-flash-v4/Result2/Gson_10/result.json</x:v>
      </x:c>
      <x:c r="P1205" t="str">
        <x:v>BOTH_NOT_RUN</x:v>
      </x:c>
      <x:c r="Q1205" s="21" t="str"/>
      <x:c r="R1205" s="21" t="str"/>
      <x:c r="S1205" s="21" t="str"/>
      <x:c r="T1205" s="17" t="str">
        <x:v>false</x:v>
      </x:c>
      <x:c r="U1205" s="17" t="str">
        <x:v>true</x:v>
      </x:c>
      <x:c r="V1205" s="17" t="str">
        <x:v>false</x:v>
      </x:c>
    </x:row>
    <x:row r="1206" ht="80" customHeight="1">
      <x:c r="A1206" s="25" t="str">
        <x:v>Gson</x:v>
      </x:c>
      <x:c r="B1206" s="25" t="n">
        <x:v>11</x:v>
      </x:c>
      <x:c r="C1206" s="25" t="str">
        <x:v>Round2</x:v>
      </x:c>
      <x:c r="D1206" s="25" t="str">
        <x:v>INCONCLUSIVE</x:v>
      </x:c>
      <x:c r="E1206" s="25" t="str">
        <x:v>N/A</x:v>
      </x:c>
      <x:c r="F1206" s="26" t="str">
        <x:v>Fixed also failed; assertion failure cannot be attributed to this bug</x:v>
      </x:c>
      <x:c r="G1206" s="25" t="str">
        <x:v>true</x:v>
      </x:c>
      <x:c r="H1206" s="25" t="str">
        <x:v>INCONCLUSIVE</x:v>
      </x:c>
      <x:c r="I1206" s="25" t="str">
        <x:v>PASS</x:v>
      </x:c>
      <x:c r="J1206" s="25" t="str">
        <x:v>FAIL</x:v>
      </x:c>
      <x:c r="K1206" s="25" t="n">
        <x:v>1</x:v>
      </x:c>
      <x:c r="L1206" s="27" t="b">
        <x:v>0</x:v>
      </x:c>
      <x:c r="M1206" s="25" t="str">
        <x:v>Deepseek-flash-v4/state/Round2/status/Gson_11.json; Deepseek-flash-v4/state/Round2/shards/Gson_11.json</x:v>
      </x:c>
      <x:c r="N1206" s="25" t="str">
        <x:v>Deepseek-flash-v4/Result2/Gson_11/result.json</x:v>
      </x:c>
      <x:c r="O1206" s="25" t="str">
        <x:v>Deepseek-flash-v4/Result2/Gson_11/result.json</x:v>
      </x:c>
      <x:c r="P1206"/>
      <x:c r="Q1206" s="21" t="str"/>
      <x:c r="R1206" s="21" t="str"/>
      <x:c r="S1206" s="21" t="str"/>
      <x:c r="T1206" s="17" t="str">
        <x:v>false</x:v>
      </x:c>
      <x:c r="U1206" s="17" t="str">
        <x:v>true</x:v>
      </x:c>
      <x:c r="V1206" s="17" t="str">
        <x:v>false</x:v>
      </x:c>
    </x:row>
    <x:row r="1207" ht="80" customHeight="1">
      <x:c r="A1207" s="25" t="str">
        <x:v>Gson</x:v>
      </x:c>
      <x:c r="B1207" s="25" t="n">
        <x:v>12</x:v>
      </x:c>
      <x:c r="C1207" s="25" t="str">
        <x:v>Round2</x:v>
      </x:c>
      <x:c r="D1207" s="25" t="str">
        <x:v>NOT_REVEALING</x:v>
      </x:c>
      <x:c r="E1207" s="25" t="str">
        <x:v>N/A</x:v>
      </x:c>
      <x:c r="F1207" s="26" t="str">
        <x:v>Same saved validation suite passed on buggy and fixed</x:v>
      </x:c>
      <x:c r="G1207" s="25" t="str">
        <x:v>true</x:v>
      </x:c>
      <x:c r="H1207" s="25" t="str">
        <x:v>NOT_REVEALING</x:v>
      </x:c>
      <x:c r="I1207" s="25" t="str">
        <x:v>PASS</x:v>
      </x:c>
      <x:c r="J1207" s="25" t="str">
        <x:v>PASS</x:v>
      </x:c>
      <x:c r="K1207" s="25" t="n">
        <x:v>1</x:v>
      </x:c>
      <x:c r="L1207" s="27" t="b">
        <x:v>0</x:v>
      </x:c>
      <x:c r="M1207" s="25" t="str">
        <x:v>Deepseek-flash-v4/state/Round2/status/Gson_12.json; Deepseek-flash-v4/state/Round2/shards/Gson_12.json</x:v>
      </x:c>
      <x:c r="N1207" s="25" t="str">
        <x:v>Deepseek-flash-v4/Result2/Gson_12/result.json</x:v>
      </x:c>
      <x:c r="O1207" s="25" t="str">
        <x:v>Deepseek-flash-v4/Result2/Gson_12/result.json</x:v>
      </x:c>
      <x:c r="P1207"/>
      <x:c r="Q1207" s="21" t="str"/>
      <x:c r="R1207" s="21" t="str"/>
      <x:c r="S1207" s="21" t="str"/>
      <x:c r="T1207" s="17" t="str">
        <x:v>false</x:v>
      </x:c>
      <x:c r="U1207" s="17" t="str">
        <x:v>true</x:v>
      </x:c>
      <x:c r="V1207" s="17" t="str">
        <x:v>false</x:v>
      </x:c>
    </x:row>
    <x:row r="1208" ht="80" customHeight="1">
      <x:c r="A1208" s="25" t="str">
        <x:v>Gson</x:v>
      </x:c>
      <x:c r="B1208" s="25" t="n">
        <x:v>13</x:v>
      </x:c>
      <x:c r="C1208" s="25" t="str">
        <x:v>Round2</x:v>
      </x:c>
      <x:c r="D1208" s="25" t="str">
        <x:v>INCONCLUSIVE</x:v>
      </x:c>
      <x:c r="E1208" s="25" t="str">
        <x:v>N/A</x:v>
      </x:c>
      <x:c r="F1208" s="26" t="str">
        <x:v>Fixed also failed; assertion failure cannot be attributed to this bug</x:v>
      </x:c>
      <x:c r="G1208" s="25" t="str">
        <x:v>true</x:v>
      </x:c>
      <x:c r="H1208" s="25" t="str">
        <x:v>INCONCLUSIVE</x:v>
      </x:c>
      <x:c r="I1208" s="25" t="str">
        <x:v>FAIL</x:v>
      </x:c>
      <x:c r="J1208" s="25" t="str">
        <x:v>FAIL</x:v>
      </x:c>
      <x:c r="K1208" s="25" t="n">
        <x:v>1</x:v>
      </x:c>
      <x:c r="L1208" s="27" t="b">
        <x:v>0</x:v>
      </x:c>
      <x:c r="M1208" s="25" t="str">
        <x:v>Deepseek-flash-v4/state/Round2/status/Gson_13.json; Deepseek-flash-v4/state/Round2/shards/Gson_13.json</x:v>
      </x:c>
      <x:c r="N1208" s="25" t="str">
        <x:v>Deepseek-flash-v4/Result2/Gson_13/result.json</x:v>
      </x:c>
      <x:c r="O1208" s="25" t="str">
        <x:v>Deepseek-flash-v4/Result2/Gson_13/result.json</x:v>
      </x:c>
      <x:c r="P1208"/>
      <x:c r="Q1208" s="21" t="str"/>
      <x:c r="R1208" s="21" t="str"/>
      <x:c r="S1208" s="21" t="str"/>
      <x:c r="T1208" s="17" t="str">
        <x:v>false</x:v>
      </x:c>
      <x:c r="U1208" s="17" t="str">
        <x:v>true</x:v>
      </x:c>
      <x:c r="V1208" s="17" t="str">
        <x:v>false</x:v>
      </x:c>
    </x:row>
    <x:row r="1209" ht="80" customHeight="1">
      <x:c r="A1209" s="25" t="str">
        <x:v>Gson</x:v>
      </x:c>
      <x:c r="B1209" s="25" t="n">
        <x:v>14</x:v>
      </x:c>
      <x:c r="C1209" s="25" t="str">
        <x:v>Round2</x:v>
      </x:c>
      <x:c r="D1209" s="25" t="str">
        <x:v>INCONCLUSIVE</x:v>
      </x:c>
      <x:c r="E1209" s="25" t="str">
        <x:v>N/A</x:v>
      </x:c>
      <x:c r="F1209" s="26" t="str">
        <x:v>Fixed also failed; assertion failure cannot be attributed to this bug</x:v>
      </x:c>
      <x:c r="G1209" s="25" t="str">
        <x:v>true</x:v>
      </x:c>
      <x:c r="H1209" s="25" t="str">
        <x:v>INCONCLUSIVE</x:v>
      </x:c>
      <x:c r="I1209" s="25" t="str">
        <x:v>FAIL</x:v>
      </x:c>
      <x:c r="J1209" s="25" t="str">
        <x:v>FAIL</x:v>
      </x:c>
      <x:c r="K1209" s="25" t="n">
        <x:v>1</x:v>
      </x:c>
      <x:c r="L1209" s="27" t="b">
        <x:v>0</x:v>
      </x:c>
      <x:c r="M1209" s="25" t="str">
        <x:v>Deepseek-flash-v4/state/Round2/status/Gson_14.json; Deepseek-flash-v4/state/Round2/shards/Gson_14.json</x:v>
      </x:c>
      <x:c r="N1209" s="25" t="str">
        <x:v>Deepseek-flash-v4/Result2/Gson_14/result.json</x:v>
      </x:c>
      <x:c r="O1209" s="25" t="str">
        <x:v>Deepseek-flash-v4/Result2/Gson_14/result.json</x:v>
      </x:c>
      <x:c r="P1209"/>
      <x:c r="Q1209" s="21" t="str"/>
      <x:c r="R1209" s="21" t="str"/>
      <x:c r="S1209" s="21" t="str"/>
      <x:c r="T1209" s="17" t="str">
        <x:v>false</x:v>
      </x:c>
      <x:c r="U1209" s="17" t="str">
        <x:v>true</x:v>
      </x:c>
      <x:c r="V1209" s="17" t="str">
        <x:v>false</x:v>
      </x:c>
    </x:row>
    <x:row r="1210" ht="80" customHeight="1">
      <x:c r="A1210" s="25" t="str">
        <x:v>Gson</x:v>
      </x:c>
      <x:c r="B1210" s="25" t="n">
        <x:v>15</x:v>
      </x:c>
      <x:c r="C1210" s="25" t="str">
        <x:v>Round2</x:v>
      </x:c>
      <x:c r="D1210" s="25" t="str">
        <x:v>INCONCLUSIVE</x:v>
      </x:c>
      <x:c r="E1210" s="25" t="str">
        <x:v>N/A</x:v>
      </x:c>
      <x:c r="F1210" s="26" t="str">
        <x:v>Fixed also failed; assertion failure cannot be attributed to this bug</x:v>
      </x:c>
      <x:c r="G1210" s="25" t="str">
        <x:v>true</x:v>
      </x:c>
      <x:c r="H1210" s="25" t="str">
        <x:v>INCONCLUSIVE</x:v>
      </x:c>
      <x:c r="I1210" s="25" t="str">
        <x:v>FAIL</x:v>
      </x:c>
      <x:c r="J1210" s="25" t="str">
        <x:v>FAIL</x:v>
      </x:c>
      <x:c r="K1210" s="25" t="n">
        <x:v>1</x:v>
      </x:c>
      <x:c r="L1210" s="27" t="b">
        <x:v>0</x:v>
      </x:c>
      <x:c r="M1210" s="25" t="str">
        <x:v>Deepseek-flash-v4/state/Round2/status/Gson_15.json; Deepseek-flash-v4/state/Round2/shards/Gson_15.json</x:v>
      </x:c>
      <x:c r="N1210" s="25" t="str">
        <x:v>Deepseek-flash-v4/Result2/Gson_15/result.json</x:v>
      </x:c>
      <x:c r="O1210" s="25" t="str">
        <x:v>Deepseek-flash-v4/Result2/Gson_15/result.json</x:v>
      </x:c>
      <x:c r="P1210"/>
      <x:c r="Q1210" s="21" t="str"/>
      <x:c r="R1210" s="21" t="str"/>
      <x:c r="S1210" s="21" t="str"/>
      <x:c r="T1210" s="17" t="str">
        <x:v>false</x:v>
      </x:c>
      <x:c r="U1210" s="17" t="str">
        <x:v>true</x:v>
      </x:c>
      <x:c r="V1210" s="17" t="str">
        <x:v>false</x:v>
      </x:c>
    </x:row>
    <x:row r="1211" ht="80" customHeight="1">
      <x:c r="A1211" s="25" t="str">
        <x:v>Gson</x:v>
      </x:c>
      <x:c r="B1211" s="25" t="n">
        <x:v>16</x:v>
      </x:c>
      <x:c r="C1211" s="25" t="str">
        <x:v>Round2</x:v>
      </x:c>
      <x:c r="D1211" s="25" t="str">
        <x:v>NOT_REVEALING</x:v>
      </x:c>
      <x:c r="E1211" s="25" t="str">
        <x:v>N/A</x:v>
      </x:c>
      <x:c r="F1211" s="26" t="str">
        <x:v>Same saved validation suite passed on buggy and fixed</x:v>
      </x:c>
      <x:c r="G1211" s="25" t="str">
        <x:v>true</x:v>
      </x:c>
      <x:c r="H1211" s="25" t="str">
        <x:v>NOT_REVEALING</x:v>
      </x:c>
      <x:c r="I1211" s="25" t="str">
        <x:v>PASS</x:v>
      </x:c>
      <x:c r="J1211" s="25" t="str">
        <x:v>PASS</x:v>
      </x:c>
      <x:c r="K1211" s="25" t="n">
        <x:v>1</x:v>
      </x:c>
      <x:c r="L1211" s="27" t="b">
        <x:v>0</x:v>
      </x:c>
      <x:c r="M1211" s="25" t="str">
        <x:v>Deepseek-flash-v4/state/Round2/status/Gson_16.json; Deepseek-flash-v4/state/Round2/shards/Gson_16.json</x:v>
      </x:c>
      <x:c r="N1211" s="25" t="str">
        <x:v>Deepseek-flash-v4/Result2/Gson_16/result.json</x:v>
      </x:c>
      <x:c r="O1211" s="25" t="str">
        <x:v>Deepseek-flash-v4/Result2/Gson_16/result.json</x:v>
      </x:c>
      <x:c r="P1211"/>
      <x:c r="Q1211" s="21" t="str"/>
      <x:c r="R1211" s="21" t="str"/>
      <x:c r="S1211" s="21" t="str"/>
      <x:c r="T1211" s="17" t="str">
        <x:v>false</x:v>
      </x:c>
      <x:c r="U1211" s="17" t="str">
        <x:v>true</x:v>
      </x:c>
      <x:c r="V1211" s="17" t="str">
        <x:v>false</x:v>
      </x:c>
    </x:row>
    <x:row r="1212" ht="80" customHeight="1">
      <x:c r="A1212" s="25" t="str">
        <x:v>Gson</x:v>
      </x:c>
      <x:c r="B1212" s="25" t="n">
        <x:v>17</x:v>
      </x:c>
      <x:c r="C1212" s="25" t="str">
        <x:v>Round2</x:v>
      </x:c>
      <x:c r="D1212" s="25" t="str">
        <x:v>NOT_AVAILABLE</x:v>
      </x:c>
      <x:c r="E1212" s="25" t="str">
        <x:v>N/A</x:v>
      </x:c>
      <x:c r="F1212" s="26" t="str">
        <x:v>Tests exist but current coverage did not complete</x:v>
      </x:c>
      <x:c r="G1212" s="25" t="str">
        <x:v>true</x:v>
      </x:c>
      <x:c r="H1212" s="25" t="str">
        <x:v>NOT_AVAILABLE</x:v>
      </x:c>
      <x:c r="I1212" s="25" t="str">
        <x:v>NOT_RUN</x:v>
      </x:c>
      <x:c r="J1212" s="25" t="str">
        <x:v>NOT_RUN</x:v>
      </x:c>
      <x:c r="K1212" s="25" t="n">
        <x:v>1</x:v>
      </x:c>
      <x:c r="L1212" s="27" t="b">
        <x:v>0</x:v>
      </x:c>
      <x:c r="M1212" s="25" t="str">
        <x:v>Deepseek-flash-v4/state/Round2/status/Gson_17.json; Deepseek-flash-v4/state/Round2/shards/Gson_17.json</x:v>
      </x:c>
      <x:c r="N1212" s="25" t="str">
        <x:v>Deepseek-flash-v4/Result2/Gson_17/result.json</x:v>
      </x:c>
      <x:c r="O1212" s="25" t="str">
        <x:v>Deepseek-flash-v4/Result2/Gson_17/result.json</x:v>
      </x:c>
      <x:c r="P1212" t="str">
        <x:v>BOTH_NOT_RUN</x:v>
      </x:c>
      <x:c r="Q1212" s="21" t="str"/>
      <x:c r="R1212" s="21" t="str"/>
      <x:c r="S1212" s="21" t="str"/>
      <x:c r="T1212" s="17" t="str">
        <x:v>false</x:v>
      </x:c>
      <x:c r="U1212" s="17" t="str">
        <x:v>true</x:v>
      </x:c>
      <x:c r="V1212" s="17" t="str">
        <x:v>false</x:v>
      </x:c>
    </x:row>
    <x:row r="1213" ht="80" customHeight="1">
      <x:c r="A1213" s="25" t="str">
        <x:v>Gson</x:v>
      </x:c>
      <x:c r="B1213" s="25" t="n">
        <x:v>18</x:v>
      </x:c>
      <x:c r="C1213" s="25" t="str">
        <x:v>Round2</x:v>
      </x:c>
      <x:c r="D1213" s="25" t="str">
        <x:v>NOT_AVAILABLE</x:v>
      </x:c>
      <x:c r="E1213" s="25" t="str">
        <x:v>N/A</x:v>
      </x:c>
      <x:c r="F1213" s="26" t="str">
        <x:v>Tests exist but current coverage did not complete</x:v>
      </x:c>
      <x:c r="G1213" s="25" t="str">
        <x:v>true</x:v>
      </x:c>
      <x:c r="H1213" s="25" t="str">
        <x:v>NOT_AVAILABLE</x:v>
      </x:c>
      <x:c r="I1213" s="25" t="str">
        <x:v>NOT_RUN</x:v>
      </x:c>
      <x:c r="J1213" s="25" t="str">
        <x:v>NOT_RUN</x:v>
      </x:c>
      <x:c r="K1213" s="25" t="n">
        <x:v>1</x:v>
      </x:c>
      <x:c r="L1213" s="27" t="b">
        <x:v>0</x:v>
      </x:c>
      <x:c r="M1213" s="25" t="str">
        <x:v>Deepseek-flash-v4/state/Round2/status/Gson_18.json; Deepseek-flash-v4/state/Round2/shards/Gson_18.json</x:v>
      </x:c>
      <x:c r="N1213" s="25" t="str">
        <x:v>Deepseek-flash-v4/Result2/Gson_18/result.json</x:v>
      </x:c>
      <x:c r="O1213" s="25" t="str">
        <x:v>Deepseek-flash-v4/Result2/Gson_18/result.json</x:v>
      </x:c>
      <x:c r="P1213" t="str">
        <x:v>BOTH_NOT_RUN</x:v>
      </x:c>
      <x:c r="Q1213" s="21" t="str"/>
      <x:c r="R1213" s="21" t="str"/>
      <x:c r="S1213" s="21" t="str"/>
      <x:c r="T1213" s="17" t="str">
        <x:v>false</x:v>
      </x:c>
      <x:c r="U1213" s="17" t="str">
        <x:v>true</x:v>
      </x:c>
      <x:c r="V1213" s="17" t="str">
        <x:v>false</x:v>
      </x:c>
    </x:row>
    <x:row r="1214" ht="80" customHeight="1">
      <x:c r="A1214" s="25" t="str">
        <x:v>Gson</x:v>
      </x:c>
      <x:c r="B1214" s="25" t="n">
        <x:v>2</x:v>
      </x:c>
      <x:c r="C1214" s="25" t="str">
        <x:v>Round2</x:v>
      </x:c>
      <x:c r="D1214" s="25" t="str">
        <x:v>NOT_AVAILABLE</x:v>
      </x:c>
      <x:c r="E1214" s="25" t="str">
        <x:v>N/A</x:v>
      </x:c>
      <x:c r="F1214" s="26" t="str">
        <x:v>Tests exist but current coverage did not complete</x:v>
      </x:c>
      <x:c r="G1214" s="25" t="str">
        <x:v>true</x:v>
      </x:c>
      <x:c r="H1214" s="25" t="str">
        <x:v>NOT_AVAILABLE</x:v>
      </x:c>
      <x:c r="I1214" s="25" t="str">
        <x:v>NOT_RUN</x:v>
      </x:c>
      <x:c r="J1214" s="25" t="str">
        <x:v>NOT_RUN</x:v>
      </x:c>
      <x:c r="K1214" s="25" t="n">
        <x:v>1</x:v>
      </x:c>
      <x:c r="L1214" s="27" t="b">
        <x:v>0</x:v>
      </x:c>
      <x:c r="M1214" s="25" t="str">
        <x:v>Deepseek-flash-v4/state/Round2/status/Gson_2.json; Deepseek-flash-v4/state/Round2/shards/Gson_2.json</x:v>
      </x:c>
      <x:c r="N1214" s="25" t="str">
        <x:v>Deepseek-flash-v4/Result2/Gson_2/result.json</x:v>
      </x:c>
      <x:c r="O1214" s="25" t="str">
        <x:v>Deepseek-flash-v4/Result2/Gson_2/result.json</x:v>
      </x:c>
      <x:c r="P1214" t="str">
        <x:v>BOTH_NOT_RUN</x:v>
      </x:c>
      <x:c r="Q1214" s="21" t="str"/>
      <x:c r="R1214" s="21" t="str"/>
      <x:c r="S1214" s="21" t="str"/>
      <x:c r="T1214" s="17" t="str">
        <x:v>false</x:v>
      </x:c>
      <x:c r="U1214" s="17" t="str">
        <x:v>true</x:v>
      </x:c>
      <x:c r="V1214" s="17" t="str">
        <x:v>false</x:v>
      </x:c>
    </x:row>
    <x:row r="1215" ht="80" customHeight="1">
      <x:c r="A1215" s="25" t="str">
        <x:v>Gson</x:v>
      </x:c>
      <x:c r="B1215" s="25" t="n">
        <x:v>3</x:v>
      </x:c>
      <x:c r="C1215" s="25" t="str">
        <x:v>Round2</x:v>
      </x:c>
      <x:c r="D1215" s="25" t="str">
        <x:v>INCONCLUSIVE</x:v>
      </x:c>
      <x:c r="E1215" s="25" t="str">
        <x:v>N/A</x:v>
      </x:c>
      <x:c r="F1215" s="26" t="str">
        <x:v>Fixed also failed; assertion failure cannot be attributed to this bug; Same-round generation metadata missing; use saved tests and execution evidence, no failure inferred</x:v>
      </x:c>
      <x:c r="G1215" s="25" t="str">
        <x:v>true</x:v>
      </x:c>
      <x:c r="H1215" s="25" t="str">
        <x:v>INCONCLUSIVE</x:v>
      </x:c>
      <x:c r="I1215" s="25" t="str">
        <x:v>FAIL</x:v>
      </x:c>
      <x:c r="J1215" s="25" t="str">
        <x:v>FAIL</x:v>
      </x:c>
      <x:c r="K1215" s="25" t="n">
        <x:v>1</x:v>
      </x:c>
      <x:c r="L1215" s="27" t="b">
        <x:v>0</x:v>
      </x:c>
      <x:c r="M1215" s="25"/>
      <x:c r="N1215" s="25" t="str">
        <x:v>Deepseek-flash-v4/Result2/Gson_3/result.json</x:v>
      </x:c>
      <x:c r="O1215" s="25" t="str">
        <x:v>Deepseek-flash-v4/Result2/Gson_3/result.json</x:v>
      </x:c>
      <x:c r="P1215"/>
      <x:c r="Q1215" s="21" t="str"/>
      <x:c r="R1215" s="21" t="str"/>
      <x:c r="S1215" s="21" t="str"/>
      <x:c r="T1215" s="17" t="str">
        <x:v>false</x:v>
      </x:c>
      <x:c r="U1215" s="17" t="str">
        <x:v>true</x:v>
      </x:c>
      <x:c r="V1215" s="17" t="str">
        <x:v>false</x:v>
      </x:c>
    </x:row>
    <x:row r="1216" ht="80" customHeight="1">
      <x:c r="A1216" s="25" t="str">
        <x:v>Gson</x:v>
      </x:c>
      <x:c r="B1216" s="25" t="n">
        <x:v>4</x:v>
      </x:c>
      <x:c r="C1216" s="25" t="str">
        <x:v>Round2</x:v>
      </x:c>
      <x:c r="D1216" s="25" t="str">
        <x:v>INCONCLUSIVE</x:v>
      </x:c>
      <x:c r="E1216" s="25" t="str">
        <x:v>N/A</x:v>
      </x:c>
      <x:c r="F1216" s="26" t="str">
        <x:v>Fixed also failed; assertion failure cannot be attributed to this bug</x:v>
      </x:c>
      <x:c r="G1216" s="25" t="str">
        <x:v>true</x:v>
      </x:c>
      <x:c r="H1216" s="25" t="str">
        <x:v>INCONCLUSIVE</x:v>
      </x:c>
      <x:c r="I1216" s="25" t="str">
        <x:v>FAIL</x:v>
      </x:c>
      <x:c r="J1216" s="25" t="str">
        <x:v>FAIL</x:v>
      </x:c>
      <x:c r="K1216" s="25" t="n">
        <x:v>2</x:v>
      </x:c>
      <x:c r="L1216" s="27" t="b">
        <x:v>0</x:v>
      </x:c>
      <x:c r="M1216" s="25" t="str">
        <x:v>Deepseek-flash-v4/state/Round2/status/Gson_4.json; Deepseek-flash-v4/state/Round2/shards/Gson_4.json</x:v>
      </x:c>
      <x:c r="N1216" s="25" t="str">
        <x:v>Deepseek-flash-v4/Result2/Gson_4/result.json</x:v>
      </x:c>
      <x:c r="O1216" s="25" t="str">
        <x:v>Deepseek-flash-v4/Result2/Gson_4/result.json</x:v>
      </x:c>
      <x:c r="P1216"/>
      <x:c r="Q1216" s="21" t="str"/>
      <x:c r="R1216" s="21" t="str"/>
      <x:c r="S1216" s="21" t="str"/>
      <x:c r="T1216" s="17" t="str">
        <x:v>false</x:v>
      </x:c>
      <x:c r="U1216" s="17" t="str">
        <x:v>true</x:v>
      </x:c>
      <x:c r="V1216" s="17" t="str">
        <x:v>false</x:v>
      </x:c>
    </x:row>
    <x:row r="1217" ht="80" customHeight="1">
      <x:c r="A1217" s="25" t="str">
        <x:v>Gson</x:v>
      </x:c>
      <x:c r="B1217" s="25" t="n">
        <x:v>5</x:v>
      </x:c>
      <x:c r="C1217" s="25" t="str">
        <x:v>Round2</x:v>
      </x:c>
      <x:c r="D1217" s="25" t="str">
        <x:v>INCONCLUSIVE</x:v>
      </x:c>
      <x:c r="E1217" s="25" t="str">
        <x:v>N/A</x:v>
      </x:c>
      <x:c r="F1217" s="26" t="str">
        <x:v>Fixed also failed; assertion failure cannot be attributed to this bug; Same-round generation metadata missing; use saved tests and execution evidence, no failure inferred</x:v>
      </x:c>
      <x:c r="G1217" s="25" t="str">
        <x:v>true</x:v>
      </x:c>
      <x:c r="H1217" s="25" t="str">
        <x:v>INCONCLUSIVE</x:v>
      </x:c>
      <x:c r="I1217" s="25" t="str">
        <x:v>FAIL</x:v>
      </x:c>
      <x:c r="J1217" s="25" t="str">
        <x:v>FAIL</x:v>
      </x:c>
      <x:c r="K1217" s="25" t="n">
        <x:v>1</x:v>
      </x:c>
      <x:c r="L1217" s="27" t="b">
        <x:v>0</x:v>
      </x:c>
      <x:c r="M1217" s="25"/>
      <x:c r="N1217" s="25" t="str">
        <x:v>Deepseek-flash-v4/Result2/Gson_5/result.json</x:v>
      </x:c>
      <x:c r="O1217" s="25" t="str">
        <x:v>Deepseek-flash-v4/Result2/Gson_5/result.json</x:v>
      </x:c>
      <x:c r="P1217"/>
      <x:c r="Q1217" s="21" t="str"/>
      <x:c r="R1217" s="21" t="str"/>
      <x:c r="S1217" s="21" t="str"/>
      <x:c r="T1217" s="17" t="str">
        <x:v>false</x:v>
      </x:c>
      <x:c r="U1217" s="17" t="str">
        <x:v>true</x:v>
      </x:c>
      <x:c r="V1217" s="17" t="str">
        <x:v>false</x:v>
      </x:c>
    </x:row>
    <x:row r="1218" ht="80" customHeight="1">
      <x:c r="A1218" s="25" t="str">
        <x:v>Gson</x:v>
      </x:c>
      <x:c r="B1218" s="25" t="n">
        <x:v>6</x:v>
      </x:c>
      <x:c r="C1218" s="25" t="str">
        <x:v>Round2</x:v>
      </x:c>
      <x:c r="D1218" s="25" t="str">
        <x:v>NOT_AVAILABLE</x:v>
      </x:c>
      <x:c r="E1218" s="25" t="str">
        <x:v>N/A</x:v>
      </x:c>
      <x:c r="F1218" s="26" t="str">
        <x:v>Tests exist but current coverage did not complete</x:v>
      </x:c>
      <x:c r="G1218" s="25" t="str">
        <x:v>true</x:v>
      </x:c>
      <x:c r="H1218" s="25" t="str">
        <x:v>NOT_AVAILABLE</x:v>
      </x:c>
      <x:c r="I1218" s="25" t="str">
        <x:v>NOT_RUN</x:v>
      </x:c>
      <x:c r="J1218" s="25" t="str">
        <x:v>NOT_RUN</x:v>
      </x:c>
      <x:c r="K1218" s="25" t="n">
        <x:v>1</x:v>
      </x:c>
      <x:c r="L1218" s="27" t="b">
        <x:v>0</x:v>
      </x:c>
      <x:c r="M1218" s="25" t="str">
        <x:v>Deepseek-flash-v4/state/Round2/status/Gson_6.json; Deepseek-flash-v4/state/Round2/shards/Gson_6.json</x:v>
      </x:c>
      <x:c r="N1218" s="25" t="str">
        <x:v>Deepseek-flash-v4/Result2/Gson_6/result.json</x:v>
      </x:c>
      <x:c r="O1218" s="25" t="str">
        <x:v>Deepseek-flash-v4/Result2/Gson_6/result.json</x:v>
      </x:c>
      <x:c r="P1218" t="str">
        <x:v>BOTH_NOT_RUN</x:v>
      </x:c>
      <x:c r="Q1218" s="21" t="str"/>
      <x:c r="R1218" s="21" t="str"/>
      <x:c r="S1218" s="21" t="str"/>
      <x:c r="T1218" s="17" t="str">
        <x:v>false</x:v>
      </x:c>
      <x:c r="U1218" s="17" t="str">
        <x:v>true</x:v>
      </x:c>
      <x:c r="V1218" s="17" t="str">
        <x:v>false</x:v>
      </x:c>
    </x:row>
    <x:row r="1219" ht="80" customHeight="1">
      <x:c r="A1219" s="25" t="str">
        <x:v>Gson</x:v>
      </x:c>
      <x:c r="B1219" s="25" t="n">
        <x:v>7</x:v>
      </x:c>
      <x:c r="C1219" s="25" t="str">
        <x:v>Round2</x:v>
      </x:c>
      <x:c r="D1219" s="25" t="str">
        <x:v>NOT_REVEALING</x:v>
      </x:c>
      <x:c r="E1219" s="25" t="str">
        <x:v>N/A</x:v>
      </x:c>
      <x:c r="F1219" s="26" t="str">
        <x:v>Same saved validation suite passed on buggy and fixed</x:v>
      </x:c>
      <x:c r="G1219" s="25" t="str">
        <x:v>true</x:v>
      </x:c>
      <x:c r="H1219" s="25" t="str">
        <x:v>NOT_REVEALING</x:v>
      </x:c>
      <x:c r="I1219" s="25" t="str">
        <x:v>PASS</x:v>
      </x:c>
      <x:c r="J1219" s="25" t="str">
        <x:v>PASS</x:v>
      </x:c>
      <x:c r="K1219" s="25" t="n">
        <x:v>1</x:v>
      </x:c>
      <x:c r="L1219" s="27" t="b">
        <x:v>0</x:v>
      </x:c>
      <x:c r="M1219" s="25" t="str">
        <x:v>Deepseek-flash-v4/state/Round2/status/Gson_7.json; Deepseek-flash-v4/state/Round2/shards/Gson_7.json</x:v>
      </x:c>
      <x:c r="N1219" s="25" t="str">
        <x:v>Deepseek-flash-v4/Result2/Gson_7/result.json</x:v>
      </x:c>
      <x:c r="O1219" s="25" t="str">
        <x:v>Deepseek-flash-v4/Result2/Gson_7/result.json</x:v>
      </x:c>
      <x:c r="P1219"/>
      <x:c r="Q1219" s="21" t="str"/>
      <x:c r="R1219" s="21" t="str"/>
      <x:c r="S1219" s="21" t="str"/>
      <x:c r="T1219" s="17" t="str">
        <x:v>false</x:v>
      </x:c>
      <x:c r="U1219" s="17" t="str">
        <x:v>true</x:v>
      </x:c>
      <x:c r="V1219" s="17" t="str">
        <x:v>false</x:v>
      </x:c>
    </x:row>
    <x:row r="1220" ht="80" customHeight="1">
      <x:c r="A1220" s="25" t="str">
        <x:v>Gson</x:v>
      </x:c>
      <x:c r="B1220" s="25" t="n">
        <x:v>8</x:v>
      </x:c>
      <x:c r="C1220" s="25" t="str">
        <x:v>Round2</x:v>
      </x:c>
      <x:c r="D1220" s="25" t="str">
        <x:v>NOT_REVEALING</x:v>
      </x:c>
      <x:c r="E1220" s="25" t="str">
        <x:v>N/A</x:v>
      </x:c>
      <x:c r="F1220" s="26" t="str">
        <x:v>Same saved validation suite passed on buggy and fixed; Same-round generation metadata missing; use saved tests and execution evidence, no failure inferred</x:v>
      </x:c>
      <x:c r="G1220" s="25" t="str">
        <x:v>true</x:v>
      </x:c>
      <x:c r="H1220" s="25" t="str">
        <x:v>NOT_REVEALING</x:v>
      </x:c>
      <x:c r="I1220" s="25" t="str">
        <x:v>PASS</x:v>
      </x:c>
      <x:c r="J1220" s="25" t="str">
        <x:v>PASS</x:v>
      </x:c>
      <x:c r="K1220" s="25" t="n">
        <x:v>1</x:v>
      </x:c>
      <x:c r="L1220" s="27" t="b">
        <x:v>0</x:v>
      </x:c>
      <x:c r="M1220" s="25"/>
      <x:c r="N1220" s="25" t="str">
        <x:v>Deepseek-flash-v4/Result2/Gson_8/result.json</x:v>
      </x:c>
      <x:c r="O1220" s="25" t="str">
        <x:v>Deepseek-flash-v4/Result2/Gson_8/result.json</x:v>
      </x:c>
      <x:c r="P1220"/>
      <x:c r="Q1220" s="21" t="str"/>
      <x:c r="R1220" s="21" t="str"/>
      <x:c r="S1220" s="21" t="str"/>
      <x:c r="T1220" s="17" t="str">
        <x:v>false</x:v>
      </x:c>
      <x:c r="U1220" s="17" t="str">
        <x:v>true</x:v>
      </x:c>
      <x:c r="V1220" s="17" t="str">
        <x:v>false</x:v>
      </x:c>
    </x:row>
    <x:row r="1221" ht="80" customHeight="1">
      <x:c r="A1221" s="25" t="str">
        <x:v>Gson</x:v>
      </x:c>
      <x:c r="B1221" s="25" t="n">
        <x:v>9</x:v>
      </x:c>
      <x:c r="C1221" s="25" t="str">
        <x:v>Round2</x:v>
      </x:c>
      <x:c r="D1221" s="25" t="str">
        <x:v>NOT_AVAILABLE</x:v>
      </x:c>
      <x:c r="E1221" s="25" t="str">
        <x:v>N/A</x:v>
      </x:c>
      <x:c r="F1221" s="26" t="str">
        <x:v>Tests exist but current coverage did not complete</x:v>
      </x:c>
      <x:c r="G1221" s="25" t="str">
        <x:v>true</x:v>
      </x:c>
      <x:c r="H1221" s="25" t="str">
        <x:v>NOT_AVAILABLE</x:v>
      </x:c>
      <x:c r="I1221" s="25" t="str">
        <x:v>NOT_RUN</x:v>
      </x:c>
      <x:c r="J1221" s="25" t="str">
        <x:v>NOT_RUN</x:v>
      </x:c>
      <x:c r="K1221" s="25" t="n">
        <x:v>3</x:v>
      </x:c>
      <x:c r="L1221" s="27" t="b">
        <x:v>0</x:v>
      </x:c>
      <x:c r="M1221" s="25" t="str">
        <x:v>Deepseek-flash-v4/state/Round2/status/Gson_9.json; Deepseek-flash-v4/state/Round2/shards/Gson_9.json</x:v>
      </x:c>
      <x:c r="N1221" s="25" t="str">
        <x:v>Deepseek-flash-v4/Result2/Gson_9/result.json</x:v>
      </x:c>
      <x:c r="O1221" s="25" t="str">
        <x:v>Deepseek-flash-v4/Result2/Gson_9/result.json</x:v>
      </x:c>
      <x:c r="P1221" t="str">
        <x:v>BOTH_NOT_RUN</x:v>
      </x:c>
      <x:c r="Q1221" s="21" t="str"/>
      <x:c r="R1221" s="21" t="str"/>
      <x:c r="S1221" s="21" t="str"/>
      <x:c r="T1221" s="17" t="str">
        <x:v>false</x:v>
      </x:c>
      <x:c r="U1221" s="17" t="str">
        <x:v>true</x:v>
      </x:c>
      <x:c r="V1221" s="17" t="str">
        <x:v>false</x:v>
      </x:c>
    </x:row>
    <x:row r="1222" ht="80" customHeight="1">
      <x:c r="A1222" s="25" t="str">
        <x:v>JacksonCore</x:v>
      </x:c>
      <x:c r="B1222" s="25" t="n">
        <x:v>1</x:v>
      </x:c>
      <x:c r="C1222" s="25" t="str">
        <x:v>Round2</x:v>
      </x:c>
      <x:c r="D1222" s="25" t="str">
        <x:v>NOT_AVAILABLE</x:v>
      </x:c>
      <x:c r="E1222" s="25" t="str">
        <x:v>N/A</x:v>
      </x:c>
      <x:c r="F1222" s="26" t="str">
        <x:v>Tests exist but current coverage did not complete</x:v>
      </x:c>
      <x:c r="G1222" s="25" t="str">
        <x:v>true</x:v>
      </x:c>
      <x:c r="H1222" s="25" t="str">
        <x:v>NOT_AVAILABLE</x:v>
      </x:c>
      <x:c r="I1222" s="25" t="str">
        <x:v>NOT_RUN</x:v>
      </x:c>
      <x:c r="J1222" s="25" t="str">
        <x:v>NOT_RUN</x:v>
      </x:c>
      <x:c r="K1222" s="25" t="n">
        <x:v>2</x:v>
      </x:c>
      <x:c r="L1222" s="27" t="b">
        <x:v>0</x:v>
      </x:c>
      <x:c r="M1222" s="25" t="str">
        <x:v>Deepseek-flash-v4/state/Round2/status/JacksonCore_1.json; Deepseek-flash-v4/state/Round2/shards/JacksonCore_1.json</x:v>
      </x:c>
      <x:c r="N1222" s="25" t="str">
        <x:v>Deepseek-flash-v4/Result2/JacksonCore_1/result.json</x:v>
      </x:c>
      <x:c r="O1222" s="25" t="str">
        <x:v>Deepseek-flash-v4/Result2/JacksonCore_1/result.json</x:v>
      </x:c>
      <x:c r="P1222" t="str">
        <x:v>BOTH_NOT_RUN</x:v>
      </x:c>
      <x:c r="Q1222" s="21" t="str"/>
      <x:c r="R1222" s="21" t="str"/>
      <x:c r="S1222" s="21" t="str"/>
      <x:c r="T1222" s="17" t="str">
        <x:v>false</x:v>
      </x:c>
      <x:c r="U1222" s="17" t="str">
        <x:v>true</x:v>
      </x:c>
      <x:c r="V1222" s="17" t="str">
        <x:v>false</x:v>
      </x:c>
    </x:row>
    <x:row r="1223" ht="80" customHeight="1">
      <x:c r="A1223" s="25" t="str">
        <x:v>JacksonCore</x:v>
      </x:c>
      <x:c r="B1223" s="25" t="n">
        <x:v>10</x:v>
      </x:c>
      <x:c r="C1223" s="25" t="str">
        <x:v>Round2</x:v>
      </x:c>
      <x:c r="D1223" s="25" t="str">
        <x:v>INCONCLUSIVE</x:v>
      </x:c>
      <x:c r="E1223" s="25" t="str">
        <x:v>N/A</x:v>
      </x:c>
      <x:c r="F1223" s="26" t="str">
        <x:v>Fixed also failed; assertion failure cannot be attributed to this bug</x:v>
      </x:c>
      <x:c r="G1223" s="25" t="str">
        <x:v>true</x:v>
      </x:c>
      <x:c r="H1223" s="25" t="str">
        <x:v>INCONCLUSIVE</x:v>
      </x:c>
      <x:c r="I1223" s="25" t="str">
        <x:v>FAIL</x:v>
      </x:c>
      <x:c r="J1223" s="25" t="str">
        <x:v>FAIL</x:v>
      </x:c>
      <x:c r="K1223" s="25" t="n">
        <x:v>1</x:v>
      </x:c>
      <x:c r="L1223" s="27" t="b">
        <x:v>0</x:v>
      </x:c>
      <x:c r="M1223" s="25" t="str">
        <x:v>Deepseek-flash-v4/state/Round2/status/JacksonCore_10.json; Deepseek-flash-v4/state/Round2/shards/JacksonCore_10.json</x:v>
      </x:c>
      <x:c r="N1223" s="25" t="str">
        <x:v>Deepseek-flash-v4/Result2/JacksonCore_10/result.json</x:v>
      </x:c>
      <x:c r="O1223" s="25" t="str">
        <x:v>Deepseek-flash-v4/Result2/JacksonCore_10/result.json</x:v>
      </x:c>
      <x:c r="P1223"/>
      <x:c r="Q1223" s="21" t="str"/>
      <x:c r="R1223" s="21" t="str"/>
      <x:c r="S1223" s="21" t="str"/>
      <x:c r="T1223" s="17" t="str">
        <x:v>false</x:v>
      </x:c>
      <x:c r="U1223" s="17" t="str">
        <x:v>true</x:v>
      </x:c>
      <x:c r="V1223" s="17" t="str">
        <x:v>false</x:v>
      </x:c>
    </x:row>
    <x:row r="1224" ht="80" customHeight="1">
      <x:c r="A1224" s="25" t="str">
        <x:v>JacksonCore</x:v>
      </x:c>
      <x:c r="B1224" s="25" t="n">
        <x:v>11</x:v>
      </x:c>
      <x:c r="C1224" s="25" t="str">
        <x:v>Round2</x:v>
      </x:c>
      <x:c r="D1224" s="25" t="str">
        <x:v>INCONCLUSIVE</x:v>
      </x:c>
      <x:c r="E1224" s="25" t="str">
        <x:v>N/A</x:v>
      </x:c>
      <x:c r="F1224" s="26" t="str">
        <x:v>Fixed also failed; assertion failure cannot be attributed to this bug; Same-round generation metadata missing; use saved tests and execution evidence, no failure inferred</x:v>
      </x:c>
      <x:c r="G1224" s="25" t="str">
        <x:v>true</x:v>
      </x:c>
      <x:c r="H1224" s="25" t="str">
        <x:v>INCONCLUSIVE</x:v>
      </x:c>
      <x:c r="I1224" s="25" t="str">
        <x:v>FAIL</x:v>
      </x:c>
      <x:c r="J1224" s="25" t="str">
        <x:v>FAIL</x:v>
      </x:c>
      <x:c r="K1224" s="25" t="n">
        <x:v>1</x:v>
      </x:c>
      <x:c r="L1224" s="27" t="b">
        <x:v>0</x:v>
      </x:c>
      <x:c r="M1224" s="25"/>
      <x:c r="N1224" s="25" t="str">
        <x:v>Deepseek-flash-v4/Result2/JacksonCore_11/result.json</x:v>
      </x:c>
      <x:c r="O1224" s="25" t="str">
        <x:v>Deepseek-flash-v4/Result2/JacksonCore_11/result.json</x:v>
      </x:c>
      <x:c r="P1224"/>
      <x:c r="Q1224" s="21" t="str"/>
      <x:c r="R1224" s="21" t="str"/>
      <x:c r="S1224" s="21" t="str"/>
      <x:c r="T1224" s="17" t="str">
        <x:v>false</x:v>
      </x:c>
      <x:c r="U1224" s="17" t="str">
        <x:v>true</x:v>
      </x:c>
      <x:c r="V1224" s="17" t="str">
        <x:v>false</x:v>
      </x:c>
    </x:row>
    <x:row r="1225" ht="80" customHeight="1">
      <x:c r="A1225" s="25" t="str">
        <x:v>JacksonCore</x:v>
      </x:c>
      <x:c r="B1225" s="25" t="n">
        <x:v>12</x:v>
      </x:c>
      <x:c r="C1225" s="25" t="str">
        <x:v>Round2</x:v>
      </x:c>
      <x:c r="D1225" s="25" t="str">
        <x:v>NOT_AVAILABLE</x:v>
      </x:c>
      <x:c r="E1225" s="25" t="str">
        <x:v>N/A</x:v>
      </x:c>
      <x:c r="F1225" s="26" t="str">
        <x:v>Tests exist but current coverage did not complete</x:v>
      </x:c>
      <x:c r="G1225" s="25" t="str">
        <x:v>true</x:v>
      </x:c>
      <x:c r="H1225" s="25" t="str">
        <x:v>NOT_AVAILABLE</x:v>
      </x:c>
      <x:c r="I1225" s="25" t="str">
        <x:v>NOT_RUN</x:v>
      </x:c>
      <x:c r="J1225" s="25" t="str">
        <x:v>NOT_RUN</x:v>
      </x:c>
      <x:c r="K1225" s="25" t="n">
        <x:v>2</x:v>
      </x:c>
      <x:c r="L1225" s="27" t="b">
        <x:v>0</x:v>
      </x:c>
      <x:c r="M1225" s="25" t="str">
        <x:v>Deepseek-flash-v4/state/Round2/status/JacksonCore_12.json; Deepseek-flash-v4/state/Round2/shards/JacksonCore_12.json</x:v>
      </x:c>
      <x:c r="N1225" s="25" t="str">
        <x:v>Deepseek-flash-v4/Result2/JacksonCore_12/result.json</x:v>
      </x:c>
      <x:c r="O1225" s="25" t="str">
        <x:v>Deepseek-flash-v4/Result2/JacksonCore_12/result.json</x:v>
      </x:c>
      <x:c r="P1225" t="str">
        <x:v>BOTH_NOT_RUN</x:v>
      </x:c>
      <x:c r="Q1225" s="21" t="str"/>
      <x:c r="R1225" s="21" t="str"/>
      <x:c r="S1225" s="21" t="str"/>
      <x:c r="T1225" s="17" t="str">
        <x:v>false</x:v>
      </x:c>
      <x:c r="U1225" s="17" t="str">
        <x:v>true</x:v>
      </x:c>
      <x:c r="V1225" s="17" t="str">
        <x:v>false</x:v>
      </x:c>
    </x:row>
    <x:row r="1226" ht="80" customHeight="1">
      <x:c r="A1226" s="25" t="str">
        <x:v>JacksonCore</x:v>
      </x:c>
      <x:c r="B1226" s="25" t="n">
        <x:v>13</x:v>
      </x:c>
      <x:c r="C1226" s="25" t="str">
        <x:v>Round2</x:v>
      </x:c>
      <x:c r="D1226" s="25" t="str">
        <x:v>NOT_AVAILABLE</x:v>
      </x:c>
      <x:c r="E1226" s="25" t="str">
        <x:v>N/A</x:v>
      </x:c>
      <x:c r="F1226" s="26" t="str">
        <x:v>Tests exist but current coverage did not complete</x:v>
      </x:c>
      <x:c r="G1226" s="25" t="str">
        <x:v>true</x:v>
      </x:c>
      <x:c r="H1226" s="25" t="str">
        <x:v>NOT_AVAILABLE</x:v>
      </x:c>
      <x:c r="I1226" s="25" t="str">
        <x:v>NOT_RUN</x:v>
      </x:c>
      <x:c r="J1226" s="25" t="str">
        <x:v>NOT_RUN</x:v>
      </x:c>
      <x:c r="K1226" s="25" t="n">
        <x:v>1</x:v>
      </x:c>
      <x:c r="L1226" s="27" t="b">
        <x:v>0</x:v>
      </x:c>
      <x:c r="M1226" s="25" t="str">
        <x:v>Deepseek-flash-v4/state/Round2/status/JacksonCore_13.json; Deepseek-flash-v4/state/Round2/shards/JacksonCore_13.json</x:v>
      </x:c>
      <x:c r="N1226" s="25" t="str">
        <x:v>Deepseek-flash-v4/Result2/JacksonCore_13/result.json</x:v>
      </x:c>
      <x:c r="O1226" s="25" t="str">
        <x:v>Deepseek-flash-v4/Result2/JacksonCore_13/result.json</x:v>
      </x:c>
      <x:c r="P1226" t="str">
        <x:v>BOTH_NOT_RUN</x:v>
      </x:c>
      <x:c r="Q1226" s="21" t="str"/>
      <x:c r="R1226" s="21" t="str"/>
      <x:c r="S1226" s="21" t="str"/>
      <x:c r="T1226" s="17" t="str">
        <x:v>false</x:v>
      </x:c>
      <x:c r="U1226" s="17" t="str">
        <x:v>true</x:v>
      </x:c>
      <x:c r="V1226" s="17" t="str">
        <x:v>false</x:v>
      </x:c>
    </x:row>
    <x:row r="1227" ht="80" customHeight="1">
      <x:c r="A1227" s="25" t="str">
        <x:v>JacksonCore</x:v>
      </x:c>
      <x:c r="B1227" s="25" t="n">
        <x:v>14</x:v>
      </x:c>
      <x:c r="C1227" s="25" t="str">
        <x:v>Round2</x:v>
      </x:c>
      <x:c r="D1227" s="25" t="str">
        <x:v>NOT_AVAILABLE</x:v>
      </x:c>
      <x:c r="E1227" s="25" t="str">
        <x:v>N/A</x:v>
      </x:c>
      <x:c r="F1227" s="26" t="str">
        <x:v>Tests exist but current coverage did not complete</x:v>
      </x:c>
      <x:c r="G1227" s="25" t="str">
        <x:v>true</x:v>
      </x:c>
      <x:c r="H1227" s="25" t="str">
        <x:v>NOT_AVAILABLE</x:v>
      </x:c>
      <x:c r="I1227" s="25" t="str">
        <x:v>NOT_RUN</x:v>
      </x:c>
      <x:c r="J1227" s="25" t="str">
        <x:v>NOT_RUN</x:v>
      </x:c>
      <x:c r="K1227" s="25" t="n">
        <x:v>1</x:v>
      </x:c>
      <x:c r="L1227" s="27" t="b">
        <x:v>0</x:v>
      </x:c>
      <x:c r="M1227" s="25" t="str">
        <x:v>Deepseek-flash-v4/state/Round2/status/JacksonCore_14.json; Deepseek-flash-v4/state/Round2/shards/JacksonCore_14.json</x:v>
      </x:c>
      <x:c r="N1227" s="25" t="str">
        <x:v>Deepseek-flash-v4/Result2/JacksonCore_14/result.json</x:v>
      </x:c>
      <x:c r="O1227" s="25" t="str">
        <x:v>Deepseek-flash-v4/Result2/JacksonCore_14/result.json</x:v>
      </x:c>
      <x:c r="P1227" t="str">
        <x:v>BOTH_NOT_RUN</x:v>
      </x:c>
      <x:c r="Q1227" s="21" t="str"/>
      <x:c r="R1227" s="21" t="str"/>
      <x:c r="S1227" s="21" t="str"/>
      <x:c r="T1227" s="17" t="str">
        <x:v>false</x:v>
      </x:c>
      <x:c r="U1227" s="17" t="str">
        <x:v>true</x:v>
      </x:c>
      <x:c r="V1227" s="17" t="str">
        <x:v>false</x:v>
      </x:c>
    </x:row>
    <x:row r="1228" ht="80" customHeight="1">
      <x:c r="A1228" s="25" t="str">
        <x:v>JacksonCore</x:v>
      </x:c>
      <x:c r="B1228" s="25" t="n">
        <x:v>15</x:v>
      </x:c>
      <x:c r="C1228" s="25" t="str">
        <x:v>Round2</x:v>
      </x:c>
      <x:c r="D1228" s="25" t="str">
        <x:v>NOT_AVAILABLE</x:v>
      </x:c>
      <x:c r="E1228" s="25" t="str">
        <x:v>N/A</x:v>
      </x:c>
      <x:c r="F1228" s="26" t="str">
        <x:v>Tests exist but current coverage did not complete</x:v>
      </x:c>
      <x:c r="G1228" s="25" t="str">
        <x:v>true</x:v>
      </x:c>
      <x:c r="H1228" s="25" t="str">
        <x:v>NOT_AVAILABLE</x:v>
      </x:c>
      <x:c r="I1228" s="25" t="str">
        <x:v>NOT_RUN</x:v>
      </x:c>
      <x:c r="J1228" s="25" t="str">
        <x:v>NOT_RUN</x:v>
      </x:c>
      <x:c r="K1228" s="25" t="n">
        <x:v>1</x:v>
      </x:c>
      <x:c r="L1228" s="27" t="b">
        <x:v>0</x:v>
      </x:c>
      <x:c r="M1228" s="25" t="str">
        <x:v>Deepseek-flash-v4/state/Round2/status/JacksonCore_15.json; Deepseek-flash-v4/state/Round2/shards/JacksonCore_15.json</x:v>
      </x:c>
      <x:c r="N1228" s="25" t="str">
        <x:v>Deepseek-flash-v4/Result2/JacksonCore_15/result.json</x:v>
      </x:c>
      <x:c r="O1228" s="25" t="str">
        <x:v>Deepseek-flash-v4/Result2/JacksonCore_15/result.json</x:v>
      </x:c>
      <x:c r="P1228" t="str">
        <x:v>BOTH_NOT_RUN</x:v>
      </x:c>
      <x:c r="Q1228" s="21" t="str"/>
      <x:c r="R1228" s="21" t="str"/>
      <x:c r="S1228" s="21" t="str"/>
      <x:c r="T1228" s="17" t="str">
        <x:v>false</x:v>
      </x:c>
      <x:c r="U1228" s="17" t="str">
        <x:v>true</x:v>
      </x:c>
      <x:c r="V1228" s="17" t="str">
        <x:v>false</x:v>
      </x:c>
    </x:row>
    <x:row r="1229" ht="80" customHeight="1">
      <x:c r="A1229" s="25" t="str">
        <x:v>JacksonCore</x:v>
      </x:c>
      <x:c r="B1229" s="25" t="n">
        <x:v>16</x:v>
      </x:c>
      <x:c r="C1229" s="25" t="str">
        <x:v>Round2</x:v>
      </x:c>
      <x:c r="D1229" s="25" t="str">
        <x:v>NOT_AVAILABLE</x:v>
      </x:c>
      <x:c r="E1229" s="25" t="str">
        <x:v>N/A</x:v>
      </x:c>
      <x:c r="F1229" s="26" t="str">
        <x:v>Tests exist but current coverage did not complete</x:v>
      </x:c>
      <x:c r="G1229" s="25" t="str">
        <x:v>true</x:v>
      </x:c>
      <x:c r="H1229" s="25" t="str">
        <x:v>NOT_AVAILABLE</x:v>
      </x:c>
      <x:c r="I1229" s="25" t="str">
        <x:v>NOT_RUN</x:v>
      </x:c>
      <x:c r="J1229" s="25" t="str">
        <x:v>NOT_RUN</x:v>
      </x:c>
      <x:c r="K1229" s="25" t="n">
        <x:v>1</x:v>
      </x:c>
      <x:c r="L1229" s="27" t="b">
        <x:v>0</x:v>
      </x:c>
      <x:c r="M1229" s="25" t="str">
        <x:v>Deepseek-flash-v4/state/Round2/status/JacksonCore_16.json; Deepseek-flash-v4/state/Round2/shards/JacksonCore_16.json</x:v>
      </x:c>
      <x:c r="N1229" s="25" t="str">
        <x:v>Deepseek-flash-v4/Result2/JacksonCore_16/result.json</x:v>
      </x:c>
      <x:c r="O1229" s="25" t="str">
        <x:v>Deepseek-flash-v4/Result2/JacksonCore_16/result.json</x:v>
      </x:c>
      <x:c r="P1229" t="str">
        <x:v>BOTH_NOT_RUN</x:v>
      </x:c>
      <x:c r="Q1229" s="21" t="str"/>
      <x:c r="R1229" s="21" t="str"/>
      <x:c r="S1229" s="21" t="str"/>
      <x:c r="T1229" s="17" t="str">
        <x:v>false</x:v>
      </x:c>
      <x:c r="U1229" s="17" t="str">
        <x:v>true</x:v>
      </x:c>
      <x:c r="V1229" s="17" t="str">
        <x:v>false</x:v>
      </x:c>
    </x:row>
    <x:row r="1230" ht="80" customHeight="1">
      <x:c r="A1230" s="25" t="str">
        <x:v>JacksonCore</x:v>
      </x:c>
      <x:c r="B1230" s="25" t="n">
        <x:v>17</x:v>
      </x:c>
      <x:c r="C1230" s="25" t="str">
        <x:v>Round2</x:v>
      </x:c>
      <x:c r="D1230" s="25" t="str">
        <x:v>NOT_AVAILABLE</x:v>
      </x:c>
      <x:c r="E1230" s="25" t="str">
        <x:v>N/A</x:v>
      </x:c>
      <x:c r="F1230" s="26" t="str">
        <x:v>Tests exist but current coverage did not complete</x:v>
      </x:c>
      <x:c r="G1230" s="25" t="str">
        <x:v>true</x:v>
      </x:c>
      <x:c r="H1230" s="25" t="str">
        <x:v>NOT_AVAILABLE</x:v>
      </x:c>
      <x:c r="I1230" s="25" t="str">
        <x:v>NOT_RUN</x:v>
      </x:c>
      <x:c r="J1230" s="25" t="str">
        <x:v>NOT_RUN</x:v>
      </x:c>
      <x:c r="K1230" s="25" t="n">
        <x:v>1</x:v>
      </x:c>
      <x:c r="L1230" s="27" t="b">
        <x:v>0</x:v>
      </x:c>
      <x:c r="M1230" s="25" t="str">
        <x:v>Deepseek-flash-v4/state/Round2/status/JacksonCore_17.json; Deepseek-flash-v4/state/Round2/shards/JacksonCore_17.json</x:v>
      </x:c>
      <x:c r="N1230" s="25" t="str">
        <x:v>Deepseek-flash-v4/Result2/JacksonCore_17/result.json</x:v>
      </x:c>
      <x:c r="O1230" s="25" t="str">
        <x:v>Deepseek-flash-v4/Result2/JacksonCore_17/result.json</x:v>
      </x:c>
      <x:c r="P1230" t="str">
        <x:v>BOTH_NOT_RUN</x:v>
      </x:c>
      <x:c r="Q1230" s="21" t="str"/>
      <x:c r="R1230" s="21" t="str"/>
      <x:c r="S1230" s="21" t="str"/>
      <x:c r="T1230" s="17" t="str">
        <x:v>false</x:v>
      </x:c>
      <x:c r="U1230" s="17" t="str">
        <x:v>true</x:v>
      </x:c>
      <x:c r="V1230" s="17" t="str">
        <x:v>false</x:v>
      </x:c>
    </x:row>
    <x:row r="1231" ht="80" customHeight="1">
      <x:c r="A1231" s="25" t="str">
        <x:v>JacksonCore</x:v>
      </x:c>
      <x:c r="B1231" s="25" t="n">
        <x:v>18</x:v>
      </x:c>
      <x:c r="C1231" s="25" t="str">
        <x:v>Round2</x:v>
      </x:c>
      <x:c r="D1231" s="25" t="str">
        <x:v>NOT_AVAILABLE</x:v>
      </x:c>
      <x:c r="E1231" s="25" t="str">
        <x:v>N/A</x:v>
      </x:c>
      <x:c r="F1231" s="26" t="str">
        <x:v>Tests exist but current coverage did not complete</x:v>
      </x:c>
      <x:c r="G1231" s="25" t="str">
        <x:v>true</x:v>
      </x:c>
      <x:c r="H1231" s="25" t="str">
        <x:v>NOT_AVAILABLE</x:v>
      </x:c>
      <x:c r="I1231" s="25" t="str">
        <x:v>NOT_RUN</x:v>
      </x:c>
      <x:c r="J1231" s="25" t="str">
        <x:v>NOT_RUN</x:v>
      </x:c>
      <x:c r="K1231" s="25" t="n">
        <x:v>3</x:v>
      </x:c>
      <x:c r="L1231" s="27" t="b">
        <x:v>0</x:v>
      </x:c>
      <x:c r="M1231" s="25" t="str">
        <x:v>Deepseek-flash-v4/state/Round2/status/JacksonCore_18.json; Deepseek-flash-v4/state/Round2/shards/JacksonCore_18.json</x:v>
      </x:c>
      <x:c r="N1231" s="25" t="str">
        <x:v>Deepseek-flash-v4/Result2/JacksonCore_18/result.json</x:v>
      </x:c>
      <x:c r="O1231" s="25" t="str">
        <x:v>Deepseek-flash-v4/Result2/JacksonCore_18/result.json</x:v>
      </x:c>
      <x:c r="P1231" t="str">
        <x:v>BOTH_NOT_RUN</x:v>
      </x:c>
      <x:c r="Q1231" s="21" t="str"/>
      <x:c r="R1231" s="21" t="str"/>
      <x:c r="S1231" s="21" t="str"/>
      <x:c r="T1231" s="17" t="str">
        <x:v>false</x:v>
      </x:c>
      <x:c r="U1231" s="17" t="str">
        <x:v>true</x:v>
      </x:c>
      <x:c r="V1231" s="17" t="str">
        <x:v>false</x:v>
      </x:c>
    </x:row>
    <x:row r="1232" ht="80" customHeight="1">
      <x:c r="A1232" s="25" t="str">
        <x:v>JacksonCore</x:v>
      </x:c>
      <x:c r="B1232" s="25" t="n">
        <x:v>19</x:v>
      </x:c>
      <x:c r="C1232" s="25" t="str">
        <x:v>Round2</x:v>
      </x:c>
      <x:c r="D1232" s="25" t="str">
        <x:v>NOT_AVAILABLE</x:v>
      </x:c>
      <x:c r="E1232" s="25" t="str">
        <x:v>N/A</x:v>
      </x:c>
      <x:c r="F1232" s="26" t="str">
        <x:v>Tests exist but current coverage did not complete</x:v>
      </x:c>
      <x:c r="G1232" s="25" t="str">
        <x:v>true</x:v>
      </x:c>
      <x:c r="H1232" s="25" t="str">
        <x:v>NOT_AVAILABLE</x:v>
      </x:c>
      <x:c r="I1232" s="25" t="str">
        <x:v>NOT_RUN</x:v>
      </x:c>
      <x:c r="J1232" s="25" t="str">
        <x:v>NOT_RUN</x:v>
      </x:c>
      <x:c r="K1232" s="25" t="n">
        <x:v>2</x:v>
      </x:c>
      <x:c r="L1232" s="27" t="b">
        <x:v>0</x:v>
      </x:c>
      <x:c r="M1232" s="25" t="str">
        <x:v>Deepseek-flash-v4/state/Round2/status/JacksonCore_19.json; Deepseek-flash-v4/state/Round2/shards/JacksonCore_19.json</x:v>
      </x:c>
      <x:c r="N1232" s="25" t="str">
        <x:v>Deepseek-flash-v4/Result2/JacksonCore_19/result.json</x:v>
      </x:c>
      <x:c r="O1232" s="25" t="str">
        <x:v>Deepseek-flash-v4/Result2/JacksonCore_19/result.json</x:v>
      </x:c>
      <x:c r="P1232" t="str">
        <x:v>BOTH_NOT_RUN</x:v>
      </x:c>
      <x:c r="Q1232" s="21" t="str"/>
      <x:c r="R1232" s="21" t="str"/>
      <x:c r="S1232" s="21" t="str"/>
      <x:c r="T1232" s="17" t="str">
        <x:v>false</x:v>
      </x:c>
      <x:c r="U1232" s="17" t="str">
        <x:v>true</x:v>
      </x:c>
      <x:c r="V1232" s="17" t="str">
        <x:v>false</x:v>
      </x:c>
    </x:row>
    <x:row r="1233" ht="80" customHeight="1">
      <x:c r="A1233" s="25" t="str">
        <x:v>JacksonCore</x:v>
      </x:c>
      <x:c r="B1233" s="25" t="n">
        <x:v>2</x:v>
      </x:c>
      <x:c r="C1233" s="25" t="str">
        <x:v>Round2</x:v>
      </x:c>
      <x:c r="D1233" s="25" t="str">
        <x:v>INCONCLUSIVE</x:v>
      </x:c>
      <x:c r="E1233" s="25" t="str">
        <x:v>N/A</x:v>
      </x:c>
      <x:c r="F1233" s="26" t="str">
        <x:v>Fixed also failed; assertion failure cannot be attributed to this bug</x:v>
      </x:c>
      <x:c r="G1233" s="25" t="str">
        <x:v>true</x:v>
      </x:c>
      <x:c r="H1233" s="25" t="str">
        <x:v>INCONCLUSIVE</x:v>
      </x:c>
      <x:c r="I1233" s="25" t="str">
        <x:v>FAIL</x:v>
      </x:c>
      <x:c r="J1233" s="25" t="str">
        <x:v>FAIL</x:v>
      </x:c>
      <x:c r="K1233" s="25" t="n">
        <x:v>2</x:v>
      </x:c>
      <x:c r="L1233" s="27" t="b">
        <x:v>0</x:v>
      </x:c>
      <x:c r="M1233" s="25" t="str">
        <x:v>Deepseek-flash-v4/state/Round2/status/JacksonCore_2.json; Deepseek-flash-v4/state/Round2/shards/JacksonCore_2.json</x:v>
      </x:c>
      <x:c r="N1233" s="25" t="str">
        <x:v>Deepseek-flash-v4/Result2/JacksonCore_2/result.json</x:v>
      </x:c>
      <x:c r="O1233" s="25" t="str">
        <x:v>Deepseek-flash-v4/Result2/JacksonCore_2/result.json</x:v>
      </x:c>
      <x:c r="P1233"/>
      <x:c r="Q1233" s="21" t="str"/>
      <x:c r="R1233" s="21" t="str"/>
      <x:c r="S1233" s="21" t="str"/>
      <x:c r="T1233" s="17" t="str">
        <x:v>false</x:v>
      </x:c>
      <x:c r="U1233" s="17" t="str">
        <x:v>true</x:v>
      </x:c>
      <x:c r="V1233" s="17" t="str">
        <x:v>false</x:v>
      </x:c>
    </x:row>
    <x:row r="1234" ht="80" customHeight="1">
      <x:c r="A1234" s="25" t="str">
        <x:v>JacksonCore</x:v>
      </x:c>
      <x:c r="B1234" s="25" t="n">
        <x:v>20</x:v>
      </x:c>
      <x:c r="C1234" s="25" t="str">
        <x:v>Round2</x:v>
      </x:c>
      <x:c r="D1234" s="25" t="str">
        <x:v>NOT_AVAILABLE</x:v>
      </x:c>
      <x:c r="E1234" s="25" t="str">
        <x:v>N/A</x:v>
      </x:c>
      <x:c r="F1234" s="26" t="str">
        <x:v>Tests exist but current coverage did not complete</x:v>
      </x:c>
      <x:c r="G1234" s="25" t="str">
        <x:v>true</x:v>
      </x:c>
      <x:c r="H1234" s="25" t="str">
        <x:v>NOT_AVAILABLE</x:v>
      </x:c>
      <x:c r="I1234" s="25" t="str">
        <x:v>NOT_RUN</x:v>
      </x:c>
      <x:c r="J1234" s="25" t="str">
        <x:v>NOT_RUN</x:v>
      </x:c>
      <x:c r="K1234" s="25" t="n">
        <x:v>1</x:v>
      </x:c>
      <x:c r="L1234" s="27" t="b">
        <x:v>0</x:v>
      </x:c>
      <x:c r="M1234" s="25" t="str">
        <x:v>Deepseek-flash-v4/state/Round2/status/JacksonCore_20.json; Deepseek-flash-v4/state/Round2/shards/JacksonCore_20.json</x:v>
      </x:c>
      <x:c r="N1234" s="25" t="str">
        <x:v>Deepseek-flash-v4/Result2/JacksonCore_20/result.json</x:v>
      </x:c>
      <x:c r="O1234" s="25" t="str">
        <x:v>Deepseek-flash-v4/Result2/JacksonCore_20/result.json</x:v>
      </x:c>
      <x:c r="P1234" t="str">
        <x:v>BOTH_NOT_RUN</x:v>
      </x:c>
      <x:c r="Q1234" s="21" t="str"/>
      <x:c r="R1234" s="21" t="str"/>
      <x:c r="S1234" s="21" t="str"/>
      <x:c r="T1234" s="17" t="str">
        <x:v>false</x:v>
      </x:c>
      <x:c r="U1234" s="17" t="str">
        <x:v>true</x:v>
      </x:c>
      <x:c r="V1234" s="17" t="str">
        <x:v>false</x:v>
      </x:c>
    </x:row>
    <x:row r="1235" ht="80" customHeight="1">
      <x:c r="A1235" s="25" t="str">
        <x:v>JacksonCore</x:v>
      </x:c>
      <x:c r="B1235" s="25" t="n">
        <x:v>21</x:v>
      </x:c>
      <x:c r="C1235" s="25" t="str">
        <x:v>Round2</x:v>
      </x:c>
      <x:c r="D1235" s="25" t="str">
        <x:v>INCONCLUSIVE</x:v>
      </x:c>
      <x:c r="E1235" s="25" t="str">
        <x:v>N/A</x:v>
      </x:c>
      <x:c r="F1235" s="26" t="str">
        <x:v>Fixed also failed; assertion failure cannot be attributed to this bug</x:v>
      </x:c>
      <x:c r="G1235" s="25" t="str">
        <x:v>true</x:v>
      </x:c>
      <x:c r="H1235" s="25" t="str">
        <x:v>INCONCLUSIVE</x:v>
      </x:c>
      <x:c r="I1235" s="25" t="str">
        <x:v>FAIL</x:v>
      </x:c>
      <x:c r="J1235" s="25" t="str">
        <x:v>FAIL</x:v>
      </x:c>
      <x:c r="K1235" s="25" t="n">
        <x:v>1</x:v>
      </x:c>
      <x:c r="L1235" s="27" t="b">
        <x:v>0</x:v>
      </x:c>
      <x:c r="M1235" s="25" t="str">
        <x:v>Deepseek-flash-v4/state/Round2/status/JacksonCore_21.json; Deepseek-flash-v4/state/Round2/shards/JacksonCore_21.json</x:v>
      </x:c>
      <x:c r="N1235" s="25" t="str">
        <x:v>Deepseek-flash-v4/Result2/JacksonCore_21/result.json</x:v>
      </x:c>
      <x:c r="O1235" s="25" t="str">
        <x:v>Deepseek-flash-v4/Result2/JacksonCore_21/result.json</x:v>
      </x:c>
      <x:c r="P1235"/>
      <x:c r="Q1235" s="21" t="str"/>
      <x:c r="R1235" s="21" t="str"/>
      <x:c r="S1235" s="21" t="str"/>
      <x:c r="T1235" s="17" t="str">
        <x:v>false</x:v>
      </x:c>
      <x:c r="U1235" s="17" t="str">
        <x:v>true</x:v>
      </x:c>
      <x:c r="V1235" s="17" t="str">
        <x:v>false</x:v>
      </x:c>
    </x:row>
    <x:row r="1236" ht="80" customHeight="1">
      <x:c r="A1236" s="25" t="str">
        <x:v>JacksonCore</x:v>
      </x:c>
      <x:c r="B1236" s="25" t="n">
        <x:v>22</x:v>
      </x:c>
      <x:c r="C1236" s="25" t="str">
        <x:v>Round2</x:v>
      </x:c>
      <x:c r="D1236" s="25" t="str">
        <x:v>INCONCLUSIVE</x:v>
      </x:c>
      <x:c r="E1236" s="25" t="str">
        <x:v>N/A</x:v>
      </x:c>
      <x:c r="F1236" s="26" t="str">
        <x:v>Fixed also failed; assertion failure cannot be attributed to this bug</x:v>
      </x:c>
      <x:c r="G1236" s="25" t="str">
        <x:v>true</x:v>
      </x:c>
      <x:c r="H1236" s="25" t="str">
        <x:v>INCONCLUSIVE</x:v>
      </x:c>
      <x:c r="I1236" s="25" t="str">
        <x:v>FAIL</x:v>
      </x:c>
      <x:c r="J1236" s="25" t="str">
        <x:v>FAIL</x:v>
      </x:c>
      <x:c r="K1236" s="25" t="n">
        <x:v>1</x:v>
      </x:c>
      <x:c r="L1236" s="27" t="b">
        <x:v>0</x:v>
      </x:c>
      <x:c r="M1236" s="25" t="str">
        <x:v>Deepseek-flash-v4/state/Round2/status/JacksonCore_22.json; Deepseek-flash-v4/state/Round2/shards/JacksonCore_22.json</x:v>
      </x:c>
      <x:c r="N1236" s="25" t="str">
        <x:v>Deepseek-flash-v4/Result2/JacksonCore_22/result.json</x:v>
      </x:c>
      <x:c r="O1236" s="25" t="str">
        <x:v>Deepseek-flash-v4/Result2/JacksonCore_22/result.json</x:v>
      </x:c>
      <x:c r="P1236"/>
      <x:c r="Q1236" s="21" t="str"/>
      <x:c r="R1236" s="21" t="str"/>
      <x:c r="S1236" s="21" t="str"/>
      <x:c r="T1236" s="17" t="str">
        <x:v>false</x:v>
      </x:c>
      <x:c r="U1236" s="17" t="str">
        <x:v>true</x:v>
      </x:c>
      <x:c r="V1236" s="17" t="str">
        <x:v>false</x:v>
      </x:c>
    </x:row>
    <x:row r="1237" ht="80" customHeight="1">
      <x:c r="A1237" s="25" t="str">
        <x:v>JacksonCore</x:v>
      </x:c>
      <x:c r="B1237" s="25" t="n">
        <x:v>23</x:v>
      </x:c>
      <x:c r="C1237" s="25" t="str">
        <x:v>Round2</x:v>
      </x:c>
      <x:c r="D1237" s="25" t="str">
        <x:v>NOT_AVAILABLE</x:v>
      </x:c>
      <x:c r="E1237" s="25" t="str">
        <x:v>N/A</x:v>
      </x:c>
      <x:c r="F1237" s="26" t="str">
        <x:v>Tests exist but current coverage did not complete</x:v>
      </x:c>
      <x:c r="G1237" s="25" t="str">
        <x:v>true</x:v>
      </x:c>
      <x:c r="H1237" s="25" t="str">
        <x:v>NOT_AVAILABLE</x:v>
      </x:c>
      <x:c r="I1237" s="25" t="str">
        <x:v>NOT_RUN</x:v>
      </x:c>
      <x:c r="J1237" s="25" t="str">
        <x:v>NOT_RUN</x:v>
      </x:c>
      <x:c r="K1237" s="25" t="n">
        <x:v>1</x:v>
      </x:c>
      <x:c r="L1237" s="27" t="b">
        <x:v>0</x:v>
      </x:c>
      <x:c r="M1237" s="25" t="str">
        <x:v>Deepseek-flash-v4/state/Round2/status/JacksonCore_23.json; Deepseek-flash-v4/state/Round2/shards/JacksonCore_23.json</x:v>
      </x:c>
      <x:c r="N1237" s="25" t="str">
        <x:v>Deepseek-flash-v4/Result2/JacksonCore_23/result.json</x:v>
      </x:c>
      <x:c r="O1237" s="25" t="str">
        <x:v>Deepseek-flash-v4/Result2/JacksonCore_23/result.json</x:v>
      </x:c>
      <x:c r="P1237" t="str">
        <x:v>BOTH_NOT_RUN</x:v>
      </x:c>
      <x:c r="Q1237" s="21" t="str"/>
      <x:c r="R1237" s="21" t="str"/>
      <x:c r="S1237" s="21" t="str"/>
      <x:c r="T1237" s="17" t="str">
        <x:v>false</x:v>
      </x:c>
      <x:c r="U1237" s="17" t="str">
        <x:v>true</x:v>
      </x:c>
      <x:c r="V1237" s="17" t="str">
        <x:v>false</x:v>
      </x:c>
    </x:row>
    <x:row r="1238" ht="80" customHeight="1">
      <x:c r="A1238" s="25" t="str">
        <x:v>JacksonCore</x:v>
      </x:c>
      <x:c r="B1238" s="25" t="n">
        <x:v>24</x:v>
      </x:c>
      <x:c r="C1238" s="25" t="str">
        <x:v>Round2</x:v>
      </x:c>
      <x:c r="D1238" s="25" t="str">
        <x:v>NOT_AVAILABLE</x:v>
      </x:c>
      <x:c r="E1238" s="25" t="str">
        <x:v>N/A</x:v>
      </x:c>
      <x:c r="F1238" s="26" t="str">
        <x:v>Tests exist but current coverage did not complete</x:v>
      </x:c>
      <x:c r="G1238" s="25" t="str">
        <x:v>true</x:v>
      </x:c>
      <x:c r="H1238" s="25" t="str">
        <x:v>NOT_AVAILABLE</x:v>
      </x:c>
      <x:c r="I1238" s="25" t="str">
        <x:v>NOT_RUN</x:v>
      </x:c>
      <x:c r="J1238" s="25" t="str">
        <x:v>NOT_RUN</x:v>
      </x:c>
      <x:c r="K1238" s="25" t="n">
        <x:v>2</x:v>
      </x:c>
      <x:c r="L1238" s="27" t="b">
        <x:v>0</x:v>
      </x:c>
      <x:c r="M1238" s="25" t="str">
        <x:v>Deepseek-flash-v4/state/Round2/status/JacksonCore_24.json; Deepseek-flash-v4/state/Round2/shards/JacksonCore_24.json</x:v>
      </x:c>
      <x:c r="N1238" s="25" t="str">
        <x:v>Deepseek-flash-v4/Result2/JacksonCore_24/result.json</x:v>
      </x:c>
      <x:c r="O1238" s="25" t="str">
        <x:v>Deepseek-flash-v4/Result2/JacksonCore_24/result.json</x:v>
      </x:c>
      <x:c r="P1238" t="str">
        <x:v>BOTH_NOT_RUN</x:v>
      </x:c>
      <x:c r="Q1238" s="21" t="str"/>
      <x:c r="R1238" s="21" t="str"/>
      <x:c r="S1238" s="21" t="str"/>
      <x:c r="T1238" s="17" t="str">
        <x:v>false</x:v>
      </x:c>
      <x:c r="U1238" s="17" t="str">
        <x:v>true</x:v>
      </x:c>
      <x:c r="V1238" s="17" t="str">
        <x:v>false</x:v>
      </x:c>
    </x:row>
    <x:row r="1239" ht="80" customHeight="1">
      <x:c r="A1239" s="25" t="str">
        <x:v>JacksonCore</x:v>
      </x:c>
      <x:c r="B1239" s="25" t="n">
        <x:v>25</x:v>
      </x:c>
      <x:c r="C1239" s="25" t="str">
        <x:v>Round2</x:v>
      </x:c>
      <x:c r="D1239" s="25" t="str">
        <x:v>NOT_AVAILABLE</x:v>
      </x:c>
      <x:c r="E1239" s="25" t="str">
        <x:v>N/A</x:v>
      </x:c>
      <x:c r="F1239" s="26" t="str">
        <x:v>Tests exist but current coverage did not complete</x:v>
      </x:c>
      <x:c r="G1239" s="25" t="str">
        <x:v>true</x:v>
      </x:c>
      <x:c r="H1239" s="25" t="str">
        <x:v>NOT_AVAILABLE</x:v>
      </x:c>
      <x:c r="I1239" s="25" t="str">
        <x:v>NOT_RUN</x:v>
      </x:c>
      <x:c r="J1239" s="25" t="str">
        <x:v>NOT_RUN</x:v>
      </x:c>
      <x:c r="K1239" s="25" t="n">
        <x:v>1</x:v>
      </x:c>
      <x:c r="L1239" s="27" t="b">
        <x:v>0</x:v>
      </x:c>
      <x:c r="M1239" s="25" t="str">
        <x:v>Deepseek-flash-v4/state/Round2/status/JacksonCore_25.json; Deepseek-flash-v4/state/Round2/shards/JacksonCore_25.json</x:v>
      </x:c>
      <x:c r="N1239" s="25" t="str">
        <x:v>Deepseek-flash-v4/Result2/JacksonCore_25/result.json</x:v>
      </x:c>
      <x:c r="O1239" s="25" t="str">
        <x:v>Deepseek-flash-v4/Result2/JacksonCore_25/result.json</x:v>
      </x:c>
      <x:c r="P1239" t="str">
        <x:v>BOTH_NOT_RUN</x:v>
      </x:c>
      <x:c r="Q1239" s="21" t="str"/>
      <x:c r="R1239" s="21" t="str"/>
      <x:c r="S1239" s="21" t="str"/>
      <x:c r="T1239" s="17" t="str">
        <x:v>false</x:v>
      </x:c>
      <x:c r="U1239" s="17" t="str">
        <x:v>true</x:v>
      </x:c>
      <x:c r="V1239" s="17" t="str">
        <x:v>false</x:v>
      </x:c>
    </x:row>
    <x:row r="1240" ht="80" customHeight="1">
      <x:c r="A1240" s="25" t="str">
        <x:v>JacksonCore</x:v>
      </x:c>
      <x:c r="B1240" s="25" t="n">
        <x:v>26</x:v>
      </x:c>
      <x:c r="C1240" s="25" t="str">
        <x:v>Round2</x:v>
      </x:c>
      <x:c r="D1240" s="25" t="str">
        <x:v>INCONCLUSIVE</x:v>
      </x:c>
      <x:c r="E1240" s="25" t="str">
        <x:v>N/A</x:v>
      </x:c>
      <x:c r="F1240" s="26" t="str">
        <x:v>Fixed also failed; assertion failure cannot be attributed to this bug; Same-round generation metadata missing; use saved tests and execution evidence, no failure inferred</x:v>
      </x:c>
      <x:c r="G1240" s="25" t="str">
        <x:v>true</x:v>
      </x:c>
      <x:c r="H1240" s="25" t="str">
        <x:v>INCONCLUSIVE</x:v>
      </x:c>
      <x:c r="I1240" s="25" t="str">
        <x:v>FAIL</x:v>
      </x:c>
      <x:c r="J1240" s="25" t="str">
        <x:v>FAIL</x:v>
      </x:c>
      <x:c r="K1240" s="25" t="n">
        <x:v>1</x:v>
      </x:c>
      <x:c r="L1240" s="27" t="b">
        <x:v>0</x:v>
      </x:c>
      <x:c r="M1240" s="25"/>
      <x:c r="N1240" s="25" t="str">
        <x:v>Deepseek-flash-v4/Result2/JacksonCore_26/result.json</x:v>
      </x:c>
      <x:c r="O1240" s="25" t="str">
        <x:v>Deepseek-flash-v4/Result2/JacksonCore_26/result.json</x:v>
      </x:c>
      <x:c r="P1240"/>
      <x:c r="Q1240" s="21" t="str"/>
      <x:c r="R1240" s="21" t="str"/>
      <x:c r="S1240" s="21" t="str"/>
      <x:c r="T1240" s="17" t="str">
        <x:v>false</x:v>
      </x:c>
      <x:c r="U1240" s="17" t="str">
        <x:v>true</x:v>
      </x:c>
      <x:c r="V1240" s="17" t="str">
        <x:v>false</x:v>
      </x:c>
    </x:row>
    <x:row r="1241" ht="80" customHeight="1">
      <x:c r="A1241" s="25" t="str">
        <x:v>JacksonCore</x:v>
      </x:c>
      <x:c r="B1241" s="25" t="n">
        <x:v>3</x:v>
      </x:c>
      <x:c r="C1241" s="25" t="str">
        <x:v>Round2</x:v>
      </x:c>
      <x:c r="D1241" s="25" t="str">
        <x:v>NOT_AVAILABLE</x:v>
      </x:c>
      <x:c r="E1241" s="25" t="str">
        <x:v>N/A</x:v>
      </x:c>
      <x:c r="F1241" s="26" t="str">
        <x:v>Tests exist but current coverage did not complete</x:v>
      </x:c>
      <x:c r="G1241" s="25" t="str">
        <x:v>true</x:v>
      </x:c>
      <x:c r="H1241" s="25" t="str">
        <x:v>NOT_AVAILABLE</x:v>
      </x:c>
      <x:c r="I1241" s="25" t="str">
        <x:v>NOT_RUN</x:v>
      </x:c>
      <x:c r="J1241" s="25" t="str">
        <x:v>NOT_RUN</x:v>
      </x:c>
      <x:c r="K1241" s="25" t="n">
        <x:v>1</x:v>
      </x:c>
      <x:c r="L1241" s="27" t="b">
        <x:v>0</x:v>
      </x:c>
      <x:c r="M1241" s="25" t="str">
        <x:v>Deepseek-flash-v4/state/Round2/status/JacksonCore_3.json; Deepseek-flash-v4/state/Round2/shards/JacksonCore_3.json</x:v>
      </x:c>
      <x:c r="N1241" s="25" t="str">
        <x:v>Deepseek-flash-v4/Result2/JacksonCore_3/result.json</x:v>
      </x:c>
      <x:c r="O1241" s="25" t="str">
        <x:v>Deepseek-flash-v4/Result2/JacksonCore_3/result.json</x:v>
      </x:c>
      <x:c r="P1241" t="str">
        <x:v>BOTH_NOT_RUN</x:v>
      </x:c>
      <x:c r="Q1241" s="21" t="str"/>
      <x:c r="R1241" s="21" t="str"/>
      <x:c r="S1241" s="21" t="str"/>
      <x:c r="T1241" s="17" t="str">
        <x:v>false</x:v>
      </x:c>
      <x:c r="U1241" s="17" t="str">
        <x:v>true</x:v>
      </x:c>
      <x:c r="V1241" s="17" t="str">
        <x:v>false</x:v>
      </x:c>
    </x:row>
    <x:row r="1242" ht="80" customHeight="1">
      <x:c r="A1242" s="25" t="str">
        <x:v>JacksonCore</x:v>
      </x:c>
      <x:c r="B1242" s="25" t="n">
        <x:v>4</x:v>
      </x:c>
      <x:c r="C1242" s="25" t="str">
        <x:v>Round2</x:v>
      </x:c>
      <x:c r="D1242" s="25" t="str">
        <x:v>NOT_AVAILABLE</x:v>
      </x:c>
      <x:c r="E1242" s="25" t="str">
        <x:v>N/A</x:v>
      </x:c>
      <x:c r="F1242" s="26" t="str">
        <x:v>Tests exist but current coverage did not complete</x:v>
      </x:c>
      <x:c r="G1242" s="25" t="str">
        <x:v>true</x:v>
      </x:c>
      <x:c r="H1242" s="25" t="str">
        <x:v>NOT_AVAILABLE</x:v>
      </x:c>
      <x:c r="I1242" s="25" t="str">
        <x:v>NOT_RUN</x:v>
      </x:c>
      <x:c r="J1242" s="25" t="str">
        <x:v>NOT_RUN</x:v>
      </x:c>
      <x:c r="K1242" s="25" t="n">
        <x:v>1</x:v>
      </x:c>
      <x:c r="L1242" s="27" t="b">
        <x:v>0</x:v>
      </x:c>
      <x:c r="M1242" s="25" t="str">
        <x:v>Deepseek-flash-v4/state/Round2/status/JacksonCore_4.json; Deepseek-flash-v4/state/Round2/shards/JacksonCore_4.json</x:v>
      </x:c>
      <x:c r="N1242" s="25" t="str">
        <x:v>Deepseek-flash-v4/Result2/JacksonCore_4/result.json</x:v>
      </x:c>
      <x:c r="O1242" s="25" t="str">
        <x:v>Deepseek-flash-v4/Result2/JacksonCore_4/result.json</x:v>
      </x:c>
      <x:c r="P1242" t="str">
        <x:v>BOTH_NOT_RUN</x:v>
      </x:c>
      <x:c r="Q1242" s="21" t="str"/>
      <x:c r="R1242" s="21" t="str"/>
      <x:c r="S1242" s="21" t="str"/>
      <x:c r="T1242" s="17" t="str">
        <x:v>false</x:v>
      </x:c>
      <x:c r="U1242" s="17" t="str">
        <x:v>true</x:v>
      </x:c>
      <x:c r="V1242" s="17" t="str">
        <x:v>false</x:v>
      </x:c>
    </x:row>
    <x:row r="1243" ht="80" customHeight="1">
      <x:c r="A1243" s="25" t="str">
        <x:v>JacksonCore</x:v>
      </x:c>
      <x:c r="B1243" s="25" t="n">
        <x:v>5</x:v>
      </x:c>
      <x:c r="C1243" s="25" t="str">
        <x:v>Round2</x:v>
      </x:c>
      <x:c r="D1243" s="25" t="str">
        <x:v>NOT_REVEALING</x:v>
      </x:c>
      <x:c r="E1243" s="25" t="str">
        <x:v>N/A</x:v>
      </x:c>
      <x:c r="F1243" s="26" t="str">
        <x:v>Same saved validation suite passed on buggy and fixed</x:v>
      </x:c>
      <x:c r="G1243" s="25" t="str">
        <x:v>true</x:v>
      </x:c>
      <x:c r="H1243" s="25" t="str">
        <x:v>NOT_REVEALING</x:v>
      </x:c>
      <x:c r="I1243" s="25" t="str">
        <x:v>PASS</x:v>
      </x:c>
      <x:c r="J1243" s="25" t="str">
        <x:v>PASS</x:v>
      </x:c>
      <x:c r="K1243" s="25" t="n">
        <x:v>1</x:v>
      </x:c>
      <x:c r="L1243" s="27" t="b">
        <x:v>0</x:v>
      </x:c>
      <x:c r="M1243" s="25" t="str">
        <x:v>Deepseek-flash-v4/state/Round2/status/JacksonCore_5.json; Deepseek-flash-v4/state/Round2/shards/JacksonCore_5.json</x:v>
      </x:c>
      <x:c r="N1243" s="25" t="str">
        <x:v>Deepseek-flash-v4/Result2/JacksonCore_5/result.json</x:v>
      </x:c>
      <x:c r="O1243" s="25" t="str">
        <x:v>Deepseek-flash-v4/Result2/JacksonCore_5/result.json</x:v>
      </x:c>
      <x:c r="P1243"/>
      <x:c r="Q1243" s="21" t="str"/>
      <x:c r="R1243" s="21" t="str"/>
      <x:c r="S1243" s="21" t="str"/>
      <x:c r="T1243" s="17" t="str">
        <x:v>false</x:v>
      </x:c>
      <x:c r="U1243" s="17" t="str">
        <x:v>true</x:v>
      </x:c>
      <x:c r="V1243" s="17" t="str">
        <x:v>false</x:v>
      </x:c>
    </x:row>
    <x:row r="1244" ht="80" customHeight="1">
      <x:c r="A1244" s="25" t="str">
        <x:v>JacksonCore</x:v>
      </x:c>
      <x:c r="B1244" s="25" t="n">
        <x:v>6</x:v>
      </x:c>
      <x:c r="C1244" s="25" t="str">
        <x:v>Round2</x:v>
      </x:c>
      <x:c r="D1244" s="25" t="str">
        <x:v>INCONCLUSIVE</x:v>
      </x:c>
      <x:c r="E1244" s="25" t="str">
        <x:v>N/A</x:v>
      </x:c>
      <x:c r="F1244" s="26" t="str">
        <x:v>Fixed also failed; assertion failure cannot be attributed to this bug; Same-round generation metadata missing; use saved tests and execution evidence, no failure inferred</x:v>
      </x:c>
      <x:c r="G1244" s="25" t="str">
        <x:v>true</x:v>
      </x:c>
      <x:c r="H1244" s="25" t="str">
        <x:v>INCONCLUSIVE</x:v>
      </x:c>
      <x:c r="I1244" s="25" t="str">
        <x:v>FAIL</x:v>
      </x:c>
      <x:c r="J1244" s="25" t="str">
        <x:v>FAIL</x:v>
      </x:c>
      <x:c r="K1244" s="25" t="n">
        <x:v>1</x:v>
      </x:c>
      <x:c r="L1244" s="27" t="b">
        <x:v>0</x:v>
      </x:c>
      <x:c r="M1244" s="25"/>
      <x:c r="N1244" s="25" t="str">
        <x:v>Deepseek-flash-v4/Result2/JacksonCore_6/result.json</x:v>
      </x:c>
      <x:c r="O1244" s="25" t="str">
        <x:v>Deepseek-flash-v4/Result2/JacksonCore_6/result.json</x:v>
      </x:c>
      <x:c r="P1244"/>
      <x:c r="Q1244" s="21" t="str"/>
      <x:c r="R1244" s="21" t="str"/>
      <x:c r="S1244" s="21" t="str"/>
      <x:c r="T1244" s="17" t="str">
        <x:v>false</x:v>
      </x:c>
      <x:c r="U1244" s="17" t="str">
        <x:v>true</x:v>
      </x:c>
      <x:c r="V1244" s="17" t="str">
        <x:v>false</x:v>
      </x:c>
    </x:row>
    <x:row r="1245" ht="80" customHeight="1">
      <x:c r="A1245" s="25" t="str">
        <x:v>JacksonCore</x:v>
      </x:c>
      <x:c r="B1245" s="25" t="n">
        <x:v>7</x:v>
      </x:c>
      <x:c r="C1245" s="25" t="str">
        <x:v>Round2</x:v>
      </x:c>
      <x:c r="D1245" s="25" t="str">
        <x:v>NOT_AVAILABLE</x:v>
      </x:c>
      <x:c r="E1245" s="25" t="str">
        <x:v>N/A</x:v>
      </x:c>
      <x:c r="F1245" s="26" t="str">
        <x:v>Tests exist but current coverage did not complete</x:v>
      </x:c>
      <x:c r="G1245" s="25" t="str">
        <x:v>true</x:v>
      </x:c>
      <x:c r="H1245" s="25" t="str">
        <x:v>NOT_AVAILABLE</x:v>
      </x:c>
      <x:c r="I1245" s="25" t="str">
        <x:v>NOT_RUN</x:v>
      </x:c>
      <x:c r="J1245" s="25" t="str">
        <x:v>NOT_RUN</x:v>
      </x:c>
      <x:c r="K1245" s="25" t="n">
        <x:v>1</x:v>
      </x:c>
      <x:c r="L1245" s="27" t="b">
        <x:v>0</x:v>
      </x:c>
      <x:c r="M1245" s="25" t="str">
        <x:v>Deepseek-flash-v4/state/Round2/status/JacksonCore_7.json; Deepseek-flash-v4/state/Round2/shards/JacksonCore_7.json</x:v>
      </x:c>
      <x:c r="N1245" s="25" t="str">
        <x:v>Deepseek-flash-v4/Result2/JacksonCore_7/result.json</x:v>
      </x:c>
      <x:c r="O1245" s="25" t="str">
        <x:v>Deepseek-flash-v4/Result2/JacksonCore_7/result.json</x:v>
      </x:c>
      <x:c r="P1245" t="str">
        <x:v>BOTH_NOT_RUN</x:v>
      </x:c>
      <x:c r="Q1245" s="21" t="str"/>
      <x:c r="R1245" s="21" t="str"/>
      <x:c r="S1245" s="21" t="str"/>
      <x:c r="T1245" s="17" t="str">
        <x:v>false</x:v>
      </x:c>
      <x:c r="U1245" s="17" t="str">
        <x:v>true</x:v>
      </x:c>
      <x:c r="V1245" s="17" t="str">
        <x:v>false</x:v>
      </x:c>
    </x:row>
    <x:row r="1246" ht="80" customHeight="1">
      <x:c r="A1246" s="25" t="str">
        <x:v>JacksonCore</x:v>
      </x:c>
      <x:c r="B1246" s="25" t="n">
        <x:v>8</x:v>
      </x:c>
      <x:c r="C1246" s="25" t="str">
        <x:v>Round2</x:v>
      </x:c>
      <x:c r="D1246" s="25" t="str">
        <x:v>INCONCLUSIVE</x:v>
      </x:c>
      <x:c r="E1246" s="25" t="str">
        <x:v>N/A</x:v>
      </x:c>
      <x:c r="F1246" s="26" t="str">
        <x:v>Fixed also failed; assertion failure cannot be attributed to this bug; Same-round generation metadata missing; use saved tests and execution evidence, no failure inferred</x:v>
      </x:c>
      <x:c r="G1246" s="25" t="str">
        <x:v>true</x:v>
      </x:c>
      <x:c r="H1246" s="25" t="str">
        <x:v>INCONCLUSIVE</x:v>
      </x:c>
      <x:c r="I1246" s="25" t="str">
        <x:v>FAIL</x:v>
      </x:c>
      <x:c r="J1246" s="25" t="str">
        <x:v>FAIL</x:v>
      </x:c>
      <x:c r="K1246" s="25" t="n">
        <x:v>1</x:v>
      </x:c>
      <x:c r="L1246" s="27" t="b">
        <x:v>0</x:v>
      </x:c>
      <x:c r="M1246" s="25"/>
      <x:c r="N1246" s="25" t="str">
        <x:v>Deepseek-flash-v4/Result2/JacksonCore_8/result.json</x:v>
      </x:c>
      <x:c r="O1246" s="25" t="str">
        <x:v>Deepseek-flash-v4/Result2/JacksonCore_8/result.json</x:v>
      </x:c>
      <x:c r="P1246"/>
      <x:c r="Q1246" s="21" t="str"/>
      <x:c r="R1246" s="21" t="str"/>
      <x:c r="S1246" s="21" t="str"/>
      <x:c r="T1246" s="17" t="str">
        <x:v>false</x:v>
      </x:c>
      <x:c r="U1246" s="17" t="str">
        <x:v>true</x:v>
      </x:c>
      <x:c r="V1246" s="17" t="str">
        <x:v>false</x:v>
      </x:c>
    </x:row>
    <x:row r="1247" ht="80" customHeight="1">
      <x:c r="A1247" s="25" t="str">
        <x:v>JacksonCore</x:v>
      </x:c>
      <x:c r="B1247" s="25" t="n">
        <x:v>9</x:v>
      </x:c>
      <x:c r="C1247" s="25" t="str">
        <x:v>Round2</x:v>
      </x:c>
      <x:c r="D1247" s="25" t="str">
        <x:v>NOT_AVAILABLE</x:v>
      </x:c>
      <x:c r="E1247" s="25" t="str">
        <x:v>N/A</x:v>
      </x:c>
      <x:c r="F1247" s="26" t="str">
        <x:v>Tests exist but current coverage did not complete</x:v>
      </x:c>
      <x:c r="G1247" s="25" t="str">
        <x:v>true</x:v>
      </x:c>
      <x:c r="H1247" s="25" t="str">
        <x:v>NOT_AVAILABLE</x:v>
      </x:c>
      <x:c r="I1247" s="25" t="str">
        <x:v>NOT_RUN</x:v>
      </x:c>
      <x:c r="J1247" s="25" t="str">
        <x:v>NOT_RUN</x:v>
      </x:c>
      <x:c r="K1247" s="25" t="n">
        <x:v>3</x:v>
      </x:c>
      <x:c r="L1247" s="27" t="b">
        <x:v>0</x:v>
      </x:c>
      <x:c r="M1247" s="25" t="str">
        <x:v>Deepseek-flash-v4/state/Round2/status/JacksonCore_9.json; Deepseek-flash-v4/state/Round2/shards/JacksonCore_9.json</x:v>
      </x:c>
      <x:c r="N1247" s="25" t="str">
        <x:v>Deepseek-flash-v4/Result2/JacksonCore_9/result.json</x:v>
      </x:c>
      <x:c r="O1247" s="25" t="str">
        <x:v>Deepseek-flash-v4/Result2/JacksonCore_9/result.json</x:v>
      </x:c>
      <x:c r="P1247" t="str">
        <x:v>BOTH_NOT_RUN</x:v>
      </x:c>
      <x:c r="Q1247" s="21" t="str"/>
      <x:c r="R1247" s="21" t="str"/>
      <x:c r="S1247" s="21" t="str"/>
      <x:c r="T1247" s="17" t="str">
        <x:v>false</x:v>
      </x:c>
      <x:c r="U1247" s="17" t="str">
        <x:v>true</x:v>
      </x:c>
      <x:c r="V1247" s="17" t="str">
        <x:v>false</x:v>
      </x:c>
    </x:row>
    <x:row r="1248" ht="80" customHeight="1">
      <x:c r="A1248" s="25" t="str">
        <x:v>JacksonDatabind</x:v>
      </x:c>
      <x:c r="B1248" s="25" t="n">
        <x:v>1</x:v>
      </x:c>
      <x:c r="C1248" s="25" t="str">
        <x:v>Round2</x:v>
      </x:c>
      <x:c r="D1248" s="25" t="str">
        <x:v>NOT_AVAILABLE</x:v>
      </x:c>
      <x:c r="E1248" s="25" t="str">
        <x:v>N/A</x:v>
      </x:c>
      <x:c r="F1248" s="26" t="str">
        <x:v>Tests exist but current coverage did not complete</x:v>
      </x:c>
      <x:c r="G1248" s="25" t="str">
        <x:v>true</x:v>
      </x:c>
      <x:c r="H1248" s="25" t="str">
        <x:v>NOT_AVAILABLE</x:v>
      </x:c>
      <x:c r="I1248" s="25" t="str">
        <x:v>NOT_RUN</x:v>
      </x:c>
      <x:c r="J1248" s="25" t="str">
        <x:v>NOT_RUN</x:v>
      </x:c>
      <x:c r="K1248" s="25" t="n">
        <x:v>1</x:v>
      </x:c>
      <x:c r="L1248" s="27" t="b">
        <x:v>0</x:v>
      </x:c>
      <x:c r="M1248" s="25" t="str">
        <x:v>Deepseek-flash-v4/state/Round2/status/JacksonDatabind_1.json; Deepseek-flash-v4/state/Round2/shards/JacksonDatabind_1.json</x:v>
      </x:c>
      <x:c r="N1248" s="25" t="str">
        <x:v>Deepseek-flash-v4/Result2/JacksonDatabind_1/result.json</x:v>
      </x:c>
      <x:c r="O1248" s="25" t="str">
        <x:v>Deepseek-flash-v4/Result2/JacksonDatabind_1/result.json</x:v>
      </x:c>
      <x:c r="P1248" t="str">
        <x:v>BOTH_NOT_RUN</x:v>
      </x:c>
      <x:c r="Q1248" s="21" t="str"/>
      <x:c r="R1248" s="21" t="str"/>
      <x:c r="S1248" s="21" t="str"/>
      <x:c r="T1248" s="17" t="str">
        <x:v>false</x:v>
      </x:c>
      <x:c r="U1248" s="17" t="str">
        <x:v>true</x:v>
      </x:c>
      <x:c r="V1248" s="17" t="str">
        <x:v>false</x:v>
      </x:c>
    </x:row>
    <x:row r="1249" ht="80" customHeight="1">
      <x:c r="A1249" s="25" t="str">
        <x:v>JacksonDatabind</x:v>
      </x:c>
      <x:c r="B1249" s="25" t="n">
        <x:v>10</x:v>
      </x:c>
      <x:c r="C1249" s="25" t="str">
        <x:v>Round2</x:v>
      </x:c>
      <x:c r="D1249" s="25" t="str">
        <x:v>NOT_AVAILABLE</x:v>
      </x:c>
      <x:c r="E1249" s="25" t="str">
        <x:v>N/A</x:v>
      </x:c>
      <x:c r="F1249" s="26" t="str">
        <x:v>Tests exist but current coverage did not complete</x:v>
      </x:c>
      <x:c r="G1249" s="25" t="str">
        <x:v>true</x:v>
      </x:c>
      <x:c r="H1249" s="25" t="str">
        <x:v>NOT_AVAILABLE</x:v>
      </x:c>
      <x:c r="I1249" s="25" t="str">
        <x:v>NOT_RUN</x:v>
      </x:c>
      <x:c r="J1249" s="25" t="str">
        <x:v>NOT_RUN</x:v>
      </x:c>
      <x:c r="K1249" s="25" t="n">
        <x:v>2</x:v>
      </x:c>
      <x:c r="L1249" s="27" t="b">
        <x:v>0</x:v>
      </x:c>
      <x:c r="M1249" s="25" t="str">
        <x:v>Deepseek-flash-v4/state/Round2/status/JacksonDatabind_10.json; Deepseek-flash-v4/state/Round2/shards/JacksonDatabind_10.json</x:v>
      </x:c>
      <x:c r="N1249" s="25" t="str">
        <x:v>Deepseek-flash-v4/Result2/JacksonDatabind_10/result.json</x:v>
      </x:c>
      <x:c r="O1249" s="25" t="str">
        <x:v>Deepseek-flash-v4/Result2/JacksonDatabind_10/result.json</x:v>
      </x:c>
      <x:c r="P1249" t="str">
        <x:v>BOTH_NOT_RUN</x:v>
      </x:c>
      <x:c r="Q1249" s="21" t="str"/>
      <x:c r="R1249" s="21" t="str"/>
      <x:c r="S1249" s="21" t="str"/>
      <x:c r="T1249" s="17" t="str">
        <x:v>false</x:v>
      </x:c>
      <x:c r="U1249" s="17" t="str">
        <x:v>true</x:v>
      </x:c>
      <x:c r="V1249" s="17" t="str">
        <x:v>false</x:v>
      </x:c>
    </x:row>
    <x:row r="1250" ht="80" customHeight="1">
      <x:c r="A1250" s="25" t="str">
        <x:v>JacksonDatabind</x:v>
      </x:c>
      <x:c r="B1250" s="25" t="n">
        <x:v>100</x:v>
      </x:c>
      <x:c r="C1250" s="25" t="str">
        <x:v>Round2</x:v>
      </x:c>
      <x:c r="D1250" s="25" t="str">
        <x:v>NOT_AVAILABLE</x:v>
      </x:c>
      <x:c r="E1250" s="25" t="str">
        <x:v>N/A</x:v>
      </x:c>
      <x:c r="F1250" s="26" t="str">
        <x:v>Tests exist but current coverage did not complete</x:v>
      </x:c>
      <x:c r="G1250" s="25" t="str">
        <x:v>true</x:v>
      </x:c>
      <x:c r="H1250" s="25" t="str">
        <x:v>NOT_AVAILABLE</x:v>
      </x:c>
      <x:c r="I1250" s="25" t="str">
        <x:v>NOT_RUN</x:v>
      </x:c>
      <x:c r="J1250" s="25" t="str">
        <x:v>NOT_RUN</x:v>
      </x:c>
      <x:c r="K1250" s="25" t="n">
        <x:v>1</x:v>
      </x:c>
      <x:c r="L1250" s="27" t="b">
        <x:v>0</x:v>
      </x:c>
      <x:c r="M1250" s="25" t="str">
        <x:v>Deepseek-flash-v4/state/Round2/status/JacksonDatabind_100.json; Deepseek-flash-v4/state/Round2/shards/JacksonDatabind_100.json</x:v>
      </x:c>
      <x:c r="N1250" s="25" t="str">
        <x:v>Deepseek-flash-v4/Result2/JacksonDatabind_100/result.json</x:v>
      </x:c>
      <x:c r="O1250" s="25" t="str">
        <x:v>Deepseek-flash-v4/Result2/JacksonDatabind_100/result.json</x:v>
      </x:c>
      <x:c r="P1250" t="str">
        <x:v>BOTH_NOT_RUN</x:v>
      </x:c>
      <x:c r="Q1250" s="21" t="str"/>
      <x:c r="R1250" s="21" t="str"/>
      <x:c r="S1250" s="21" t="str"/>
      <x:c r="T1250" s="17" t="str">
        <x:v>false</x:v>
      </x:c>
      <x:c r="U1250" s="17" t="str">
        <x:v>true</x:v>
      </x:c>
      <x:c r="V1250" s="17" t="str">
        <x:v>false</x:v>
      </x:c>
    </x:row>
    <x:row r="1251" ht="80" customHeight="1">
      <x:c r="A1251" s="25" t="str">
        <x:v>JacksonDatabind</x:v>
      </x:c>
      <x:c r="B1251" s="25" t="n">
        <x:v>101</x:v>
      </x:c>
      <x:c r="C1251" s="25" t="str">
        <x:v>Round2</x:v>
      </x:c>
      <x:c r="D1251" s="25" t="str">
        <x:v>NOT_AVAILABLE</x:v>
      </x:c>
      <x:c r="E1251" s="25" t="str">
        <x:v>N/A</x:v>
      </x:c>
      <x:c r="F1251" s="26" t="str">
        <x:v>Tests exist but current coverage did not complete</x:v>
      </x:c>
      <x:c r="G1251" s="25" t="str">
        <x:v>true</x:v>
      </x:c>
      <x:c r="H1251" s="25" t="str">
        <x:v>NOT_AVAILABLE</x:v>
      </x:c>
      <x:c r="I1251" s="25" t="str">
        <x:v>NOT_RUN</x:v>
      </x:c>
      <x:c r="J1251" s="25" t="str">
        <x:v>NOT_RUN</x:v>
      </x:c>
      <x:c r="K1251" s="25" t="n">
        <x:v>1</x:v>
      </x:c>
      <x:c r="L1251" s="27" t="b">
        <x:v>0</x:v>
      </x:c>
      <x:c r="M1251" s="25" t="str">
        <x:v>Deepseek-flash-v4/state/Round2/status/JacksonDatabind_101.json; Deepseek-flash-v4/state/Round2/shards/JacksonDatabind_101.json</x:v>
      </x:c>
      <x:c r="N1251" s="25" t="str">
        <x:v>Deepseek-flash-v4/Result2/JacksonDatabind_101/result.json</x:v>
      </x:c>
      <x:c r="O1251" s="25" t="str">
        <x:v>Deepseek-flash-v4/Result2/JacksonDatabind_101/result.json</x:v>
      </x:c>
      <x:c r="P1251" t="str">
        <x:v>BOTH_NOT_RUN</x:v>
      </x:c>
      <x:c r="Q1251" s="21" t="str"/>
      <x:c r="R1251" s="21" t="str"/>
      <x:c r="S1251" s="21" t="str"/>
      <x:c r="T1251" s="17" t="str">
        <x:v>false</x:v>
      </x:c>
      <x:c r="U1251" s="17" t="str">
        <x:v>true</x:v>
      </x:c>
      <x:c r="V1251" s="17" t="str">
        <x:v>false</x:v>
      </x:c>
    </x:row>
    <x:row r="1252" ht="80" customHeight="1">
      <x:c r="A1252" s="25" t="str">
        <x:v>JacksonDatabind</x:v>
      </x:c>
      <x:c r="B1252" s="25" t="n">
        <x:v>102</x:v>
      </x:c>
      <x:c r="C1252" s="25" t="str">
        <x:v>Round2</x:v>
      </x:c>
      <x:c r="D1252" s="25" t="str">
        <x:v>NOT_AVAILABLE</x:v>
      </x:c>
      <x:c r="E1252" s="25" t="str">
        <x:v>N/A</x:v>
      </x:c>
      <x:c r="F1252" s="26" t="str">
        <x:v>Tests exist but current coverage did not complete</x:v>
      </x:c>
      <x:c r="G1252" s="25" t="str">
        <x:v>true</x:v>
      </x:c>
      <x:c r="H1252" s="25" t="str">
        <x:v>NOT_AVAILABLE</x:v>
      </x:c>
      <x:c r="I1252" s="25" t="str">
        <x:v>NOT_RUN</x:v>
      </x:c>
      <x:c r="J1252" s="25" t="str">
        <x:v>NOT_RUN</x:v>
      </x:c>
      <x:c r="K1252" s="25" t="n">
        <x:v>1</x:v>
      </x:c>
      <x:c r="L1252" s="27" t="b">
        <x:v>0</x:v>
      </x:c>
      <x:c r="M1252" s="25" t="str">
        <x:v>Deepseek-flash-v4/state/Round2/status/JacksonDatabind_102.json; Deepseek-flash-v4/state/Round2/shards/JacksonDatabind_102.json</x:v>
      </x:c>
      <x:c r="N1252" s="25" t="str">
        <x:v>Deepseek-flash-v4/Result2/JacksonDatabind_102/result.json</x:v>
      </x:c>
      <x:c r="O1252" s="25" t="str">
        <x:v>Deepseek-flash-v4/Result2/JacksonDatabind_102/result.json</x:v>
      </x:c>
      <x:c r="P1252" t="str">
        <x:v>BOTH_NOT_RUN</x:v>
      </x:c>
      <x:c r="Q1252" s="21" t="str"/>
      <x:c r="R1252" s="21" t="str"/>
      <x:c r="S1252" s="21" t="str"/>
      <x:c r="T1252" s="17" t="str">
        <x:v>false</x:v>
      </x:c>
      <x:c r="U1252" s="17" t="str">
        <x:v>true</x:v>
      </x:c>
      <x:c r="V1252" s="17" t="str">
        <x:v>false</x:v>
      </x:c>
    </x:row>
    <x:row r="1253" ht="80" customHeight="1">
      <x:c r="A1253" s="25" t="str">
        <x:v>JacksonDatabind</x:v>
      </x:c>
      <x:c r="B1253" s="25" t="n">
        <x:v>103</x:v>
      </x:c>
      <x:c r="C1253" s="25" t="str">
        <x:v>Round2</x:v>
      </x:c>
      <x:c r="D1253" s="25" t="str">
        <x:v>NOT_AVAILABLE</x:v>
      </x:c>
      <x:c r="E1253" s="25" t="str">
        <x:v>N/A</x:v>
      </x:c>
      <x:c r="F1253" s="26" t="str">
        <x:v>Tests exist but current coverage did not complete</x:v>
      </x:c>
      <x:c r="G1253" s="25" t="str">
        <x:v>true</x:v>
      </x:c>
      <x:c r="H1253" s="25" t="str">
        <x:v>NOT_AVAILABLE</x:v>
      </x:c>
      <x:c r="I1253" s="25" t="str">
        <x:v>NOT_RUN</x:v>
      </x:c>
      <x:c r="J1253" s="25" t="str">
        <x:v>NOT_RUN</x:v>
      </x:c>
      <x:c r="K1253" s="25" t="n">
        <x:v>16</x:v>
      </x:c>
      <x:c r="L1253" s="27" t="b">
        <x:v>0</x:v>
      </x:c>
      <x:c r="M1253" s="25" t="str">
        <x:v>Deepseek-flash-v4/state/Round2/status/JacksonDatabind_103.json; Deepseek-flash-v4/state/Round2/shards/JacksonDatabind_103.json</x:v>
      </x:c>
      <x:c r="N1253" s="25" t="str">
        <x:v>Deepseek-flash-v4/Result2/JacksonDatabind_103/result.json</x:v>
      </x:c>
      <x:c r="O1253" s="25" t="str">
        <x:v>Deepseek-flash-v4/Result2/JacksonDatabind_103/result.json</x:v>
      </x:c>
      <x:c r="P1253" t="str">
        <x:v>BOTH_NOT_RUN</x:v>
      </x:c>
      <x:c r="Q1253" s="21" t="str"/>
      <x:c r="R1253" s="21" t="str"/>
      <x:c r="S1253" s="21" t="str"/>
      <x:c r="T1253" s="17" t="str">
        <x:v>false</x:v>
      </x:c>
      <x:c r="U1253" s="17" t="str">
        <x:v>true</x:v>
      </x:c>
      <x:c r="V1253" s="17" t="str">
        <x:v>false</x:v>
      </x:c>
    </x:row>
    <x:row r="1254" ht="80" customHeight="1">
      <x:c r="A1254" s="25" t="str">
        <x:v>JacksonDatabind</x:v>
      </x:c>
      <x:c r="B1254" s="25" t="n">
        <x:v>104</x:v>
      </x:c>
      <x:c r="C1254" s="25" t="str">
        <x:v>Round2</x:v>
      </x:c>
      <x:c r="D1254" s="25" t="str">
        <x:v>NOT_AVAILABLE</x:v>
      </x:c>
      <x:c r="E1254" s="25" t="str">
        <x:v>N/A</x:v>
      </x:c>
      <x:c r="F1254" s="26" t="str">
        <x:v>Tests exist but current coverage did not complete</x:v>
      </x:c>
      <x:c r="G1254" s="25" t="str">
        <x:v>true</x:v>
      </x:c>
      <x:c r="H1254" s="25" t="str">
        <x:v>NOT_AVAILABLE</x:v>
      </x:c>
      <x:c r="I1254" s="25" t="str">
        <x:v>NOT_RUN</x:v>
      </x:c>
      <x:c r="J1254" s="25" t="str">
        <x:v>NOT_RUN</x:v>
      </x:c>
      <x:c r="K1254" s="25" t="n">
        <x:v>1</x:v>
      </x:c>
      <x:c r="L1254" s="27" t="b">
        <x:v>0</x:v>
      </x:c>
      <x:c r="M1254" s="25" t="str">
        <x:v>Deepseek-flash-v4/state/Round2/status/JacksonDatabind_104.json; Deepseek-flash-v4/state/Round2/shards/JacksonDatabind_104.json</x:v>
      </x:c>
      <x:c r="N1254" s="25" t="str">
        <x:v>Deepseek-flash-v4/Result2/JacksonDatabind_104/result.json</x:v>
      </x:c>
      <x:c r="O1254" s="25" t="str">
        <x:v>Deepseek-flash-v4/Result2/JacksonDatabind_104/result.json</x:v>
      </x:c>
      <x:c r="P1254" t="str">
        <x:v>BOTH_NOT_RUN</x:v>
      </x:c>
      <x:c r="Q1254" s="21" t="str"/>
      <x:c r="R1254" s="21" t="str"/>
      <x:c r="S1254" s="21" t="str"/>
      <x:c r="T1254" s="17" t="str">
        <x:v>false</x:v>
      </x:c>
      <x:c r="U1254" s="17" t="str">
        <x:v>true</x:v>
      </x:c>
      <x:c r="V1254" s="17" t="str">
        <x:v>false</x:v>
      </x:c>
    </x:row>
    <x:row r="1255" ht="80" customHeight="1">
      <x:c r="A1255" s="25" t="str">
        <x:v>JacksonDatabind</x:v>
      </x:c>
      <x:c r="B1255" s="25" t="n">
        <x:v>105</x:v>
      </x:c>
      <x:c r="C1255" s="25" t="str">
        <x:v>Round2</x:v>
      </x:c>
      <x:c r="D1255" s="25" t="str">
        <x:v>INCONCLUSIVE</x:v>
      </x:c>
      <x:c r="E1255" s="25" t="str">
        <x:v>N/A</x:v>
      </x:c>
      <x:c r="F1255" s="26" t="str">
        <x:v>Fixed also failed; assertion failure cannot be attributed to this bug; Same-round generation metadata missing; use saved tests and execution evidence, no failure inferred</x:v>
      </x:c>
      <x:c r="G1255" s="25" t="str">
        <x:v>true</x:v>
      </x:c>
      <x:c r="H1255" s="25" t="str">
        <x:v>INCONCLUSIVE</x:v>
      </x:c>
      <x:c r="I1255" s="25" t="str">
        <x:v>FAIL</x:v>
      </x:c>
      <x:c r="J1255" s="25" t="str">
        <x:v>FAIL</x:v>
      </x:c>
      <x:c r="K1255" s="25" t="n">
        <x:v>1</x:v>
      </x:c>
      <x:c r="L1255" s="27" t="b">
        <x:v>0</x:v>
      </x:c>
      <x:c r="M1255" s="25"/>
      <x:c r="N1255" s="25" t="str">
        <x:v>Deepseek-flash-v4/Result2/JacksonDatabind_105/result.json</x:v>
      </x:c>
      <x:c r="O1255" s="25" t="str">
        <x:v>Deepseek-flash-v4/Result2/JacksonDatabind_105/result.json</x:v>
      </x:c>
      <x:c r="P1255"/>
      <x:c r="Q1255" s="21" t="str"/>
      <x:c r="R1255" s="21" t="str"/>
      <x:c r="S1255" s="21" t="str"/>
      <x:c r="T1255" s="17" t="str">
        <x:v>false</x:v>
      </x:c>
      <x:c r="U1255" s="17" t="str">
        <x:v>true</x:v>
      </x:c>
      <x:c r="V1255" s="17" t="str">
        <x:v>false</x:v>
      </x:c>
    </x:row>
    <x:row r="1256" ht="80" customHeight="1">
      <x:c r="A1256" s="25" t="str">
        <x:v>JacksonDatabind</x:v>
      </x:c>
      <x:c r="B1256" s="25" t="n">
        <x:v>106</x:v>
      </x:c>
      <x:c r="C1256" s="25" t="str">
        <x:v>Round2</x:v>
      </x:c>
      <x:c r="D1256" s="25" t="str">
        <x:v>NOT_AVAILABLE</x:v>
      </x:c>
      <x:c r="E1256" s="25" t="str">
        <x:v>N/A</x:v>
      </x:c>
      <x:c r="F1256" s="26" t="str">
        <x:v>Tests exist but current coverage did not complete</x:v>
      </x:c>
      <x:c r="G1256" s="25" t="str">
        <x:v>true</x:v>
      </x:c>
      <x:c r="H1256" s="25" t="str">
        <x:v>NOT_AVAILABLE</x:v>
      </x:c>
      <x:c r="I1256" s="25" t="str">
        <x:v>NOT_RUN</x:v>
      </x:c>
      <x:c r="J1256" s="25" t="str">
        <x:v>NOT_RUN</x:v>
      </x:c>
      <x:c r="K1256" s="25" t="n">
        <x:v>1</x:v>
      </x:c>
      <x:c r="L1256" s="27" t="b">
        <x:v>0</x:v>
      </x:c>
      <x:c r="M1256" s="25" t="str">
        <x:v>Deepseek-flash-v4/state/Round2/status/JacksonDatabind_106.json; Deepseek-flash-v4/state/Round2/shards/JacksonDatabind_106.json</x:v>
      </x:c>
      <x:c r="N1256" s="25" t="str">
        <x:v>Deepseek-flash-v4/Result2/JacksonDatabind_106/result.json</x:v>
      </x:c>
      <x:c r="O1256" s="25" t="str">
        <x:v>Deepseek-flash-v4/Result2/JacksonDatabind_106/result.json</x:v>
      </x:c>
      <x:c r="P1256" t="str">
        <x:v>BOTH_NOT_RUN</x:v>
      </x:c>
      <x:c r="Q1256" s="21" t="str"/>
      <x:c r="R1256" s="21" t="str"/>
      <x:c r="S1256" s="21" t="str"/>
      <x:c r="T1256" s="17" t="str">
        <x:v>false</x:v>
      </x:c>
      <x:c r="U1256" s="17" t="str">
        <x:v>true</x:v>
      </x:c>
      <x:c r="V1256" s="17" t="str">
        <x:v>false</x:v>
      </x:c>
    </x:row>
    <x:row r="1257" ht="80" customHeight="1">
      <x:c r="A1257" s="25" t="str">
        <x:v>JacksonDatabind</x:v>
      </x:c>
      <x:c r="B1257" s="25" t="n">
        <x:v>107</x:v>
      </x:c>
      <x:c r="C1257" s="25" t="str">
        <x:v>Round2</x:v>
      </x:c>
      <x:c r="D1257" s="25" t="str">
        <x:v>NOT_AVAILABLE</x:v>
      </x:c>
      <x:c r="E1257" s="25" t="str">
        <x:v>N/A</x:v>
      </x:c>
      <x:c r="F1257" s="26" t="str">
        <x:v>Tests exist but current coverage did not complete</x:v>
      </x:c>
      <x:c r="G1257" s="25" t="str">
        <x:v>true</x:v>
      </x:c>
      <x:c r="H1257" s="25" t="str">
        <x:v>NOT_AVAILABLE</x:v>
      </x:c>
      <x:c r="I1257" s="25" t="str">
        <x:v>NOT_RUN</x:v>
      </x:c>
      <x:c r="J1257" s="25" t="str">
        <x:v>NOT_RUN</x:v>
      </x:c>
      <x:c r="K1257" s="25" t="n">
        <x:v>1</x:v>
      </x:c>
      <x:c r="L1257" s="27" t="b">
        <x:v>0</x:v>
      </x:c>
      <x:c r="M1257" s="25" t="str">
        <x:v>Deepseek-flash-v4/state/Round2/status/JacksonDatabind_107.json; Deepseek-flash-v4/state/Round2/shards/JacksonDatabind_107.json</x:v>
      </x:c>
      <x:c r="N1257" s="25" t="str">
        <x:v>Deepseek-flash-v4/Result2/JacksonDatabind_107/result.json</x:v>
      </x:c>
      <x:c r="O1257" s="25" t="str">
        <x:v>Deepseek-flash-v4/Result2/JacksonDatabind_107/result.json</x:v>
      </x:c>
      <x:c r="P1257" t="str">
        <x:v>BOTH_NOT_RUN</x:v>
      </x:c>
      <x:c r="Q1257" s="21" t="str"/>
      <x:c r="R1257" s="21" t="str"/>
      <x:c r="S1257" s="21" t="str"/>
      <x:c r="T1257" s="17" t="str">
        <x:v>false</x:v>
      </x:c>
      <x:c r="U1257" s="17" t="str">
        <x:v>true</x:v>
      </x:c>
      <x:c r="V1257" s="17" t="str">
        <x:v>false</x:v>
      </x:c>
    </x:row>
    <x:row r="1258" ht="80" customHeight="1">
      <x:c r="A1258" s="25" t="str">
        <x:v>JacksonDatabind</x:v>
      </x:c>
      <x:c r="B1258" s="25" t="n">
        <x:v>108</x:v>
      </x:c>
      <x:c r="C1258" s="25" t="str">
        <x:v>Round2</x:v>
      </x:c>
      <x:c r="D1258" s="25" t="str">
        <x:v>INCONCLUSIVE</x:v>
      </x:c>
      <x:c r="E1258" s="25" t="str">
        <x:v>N/A</x:v>
      </x:c>
      <x:c r="F1258" s="26" t="str">
        <x:v>Fixed also failed; assertion failure cannot be attributed to this bug</x:v>
      </x:c>
      <x:c r="G1258" s="25" t="str">
        <x:v>true</x:v>
      </x:c>
      <x:c r="H1258" s="25" t="str">
        <x:v>INCONCLUSIVE</x:v>
      </x:c>
      <x:c r="I1258" s="25" t="str">
        <x:v>FAIL</x:v>
      </x:c>
      <x:c r="J1258" s="25" t="str">
        <x:v>FAIL</x:v>
      </x:c>
      <x:c r="K1258" s="25" t="n">
        <x:v>1</x:v>
      </x:c>
      <x:c r="L1258" s="27" t="b">
        <x:v>0</x:v>
      </x:c>
      <x:c r="M1258" s="25" t="str">
        <x:v>Deepseek-flash-v4/state/Round2/status/JacksonDatabind_108.json; Deepseek-flash-v4/state/Round2/shards/JacksonDatabind_108.json</x:v>
      </x:c>
      <x:c r="N1258" s="25" t="str">
        <x:v>Deepseek-flash-v4/Result2/JacksonDatabind_108/result.json</x:v>
      </x:c>
      <x:c r="O1258" s="25" t="str">
        <x:v>Deepseek-flash-v4/Result2/JacksonDatabind_108/result.json</x:v>
      </x:c>
      <x:c r="P1258"/>
      <x:c r="Q1258" s="21" t="str"/>
      <x:c r="R1258" s="21" t="str"/>
      <x:c r="S1258" s="21" t="str"/>
      <x:c r="T1258" s="17" t="str">
        <x:v>false</x:v>
      </x:c>
      <x:c r="U1258" s="17" t="str">
        <x:v>true</x:v>
      </x:c>
      <x:c r="V1258" s="17" t="str">
        <x:v>false</x:v>
      </x:c>
    </x:row>
    <x:row r="1259" ht="80" customHeight="1">
      <x:c r="A1259" s="25" t="str">
        <x:v>JacksonDatabind</x:v>
      </x:c>
      <x:c r="B1259" s="25" t="n">
        <x:v>109</x:v>
      </x:c>
      <x:c r="C1259" s="25" t="str">
        <x:v>Round2</x:v>
      </x:c>
      <x:c r="D1259" s="25" t="str">
        <x:v>NOT_AVAILABLE</x:v>
      </x:c>
      <x:c r="E1259" s="25" t="str">
        <x:v>N/A</x:v>
      </x:c>
      <x:c r="F1259" s="26" t="str">
        <x:v>Tests exist but current coverage did not complete</x:v>
      </x:c>
      <x:c r="G1259" s="25" t="str">
        <x:v>true</x:v>
      </x:c>
      <x:c r="H1259" s="25" t="str">
        <x:v>NOT_AVAILABLE</x:v>
      </x:c>
      <x:c r="I1259" s="25" t="str">
        <x:v>NOT_RUN</x:v>
      </x:c>
      <x:c r="J1259" s="25" t="str">
        <x:v>NOT_RUN</x:v>
      </x:c>
      <x:c r="K1259" s="25" t="n">
        <x:v>2</x:v>
      </x:c>
      <x:c r="L1259" s="27" t="b">
        <x:v>0</x:v>
      </x:c>
      <x:c r="M1259" s="25" t="str">
        <x:v>Deepseek-flash-v4/state/Round2/status/JacksonDatabind_109.json; Deepseek-flash-v4/state/Round2/shards/JacksonDatabind_109.json</x:v>
      </x:c>
      <x:c r="N1259" s="25" t="str">
        <x:v>Deepseek-flash-v4/Result2/JacksonDatabind_109/result.json</x:v>
      </x:c>
      <x:c r="O1259" s="25" t="str">
        <x:v>Deepseek-flash-v4/Result2/JacksonDatabind_109/result.json</x:v>
      </x:c>
      <x:c r="P1259" t="str">
        <x:v>BOTH_NOT_RUN</x:v>
      </x:c>
      <x:c r="Q1259" s="21" t="str"/>
      <x:c r="R1259" s="21" t="str"/>
      <x:c r="S1259" s="21" t="str"/>
      <x:c r="T1259" s="17" t="str">
        <x:v>false</x:v>
      </x:c>
      <x:c r="U1259" s="17" t="str">
        <x:v>true</x:v>
      </x:c>
      <x:c r="V1259" s="17" t="str">
        <x:v>false</x:v>
      </x:c>
    </x:row>
    <x:row r="1260" ht="80" customHeight="1">
      <x:c r="A1260" s="25" t="str">
        <x:v>JacksonDatabind</x:v>
      </x:c>
      <x:c r="B1260" s="25" t="n">
        <x:v>11</x:v>
      </x:c>
      <x:c r="C1260" s="25" t="str">
        <x:v>Round2</x:v>
      </x:c>
      <x:c r="D1260" s="25" t="str">
        <x:v>NOT_REVEALING</x:v>
      </x:c>
      <x:c r="E1260" s="25" t="str">
        <x:v>N/A</x:v>
      </x:c>
      <x:c r="F1260" s="26" t="str">
        <x:v>Same saved validation suite passed on buggy and fixed</x:v>
      </x:c>
      <x:c r="G1260" s="25" t="str">
        <x:v>true</x:v>
      </x:c>
      <x:c r="H1260" s="25" t="str">
        <x:v>NOT_REVEALING</x:v>
      </x:c>
      <x:c r="I1260" s="25" t="str">
        <x:v>PASS</x:v>
      </x:c>
      <x:c r="J1260" s="25" t="str">
        <x:v>PASS</x:v>
      </x:c>
      <x:c r="K1260" s="25" t="n">
        <x:v>1</x:v>
      </x:c>
      <x:c r="L1260" s="27" t="b">
        <x:v>0</x:v>
      </x:c>
      <x:c r="M1260" s="25" t="str">
        <x:v>Deepseek-flash-v4/state/Round2/status/JacksonDatabind_11.json; Deepseek-flash-v4/state/Round2/shards/JacksonDatabind_11.json</x:v>
      </x:c>
      <x:c r="N1260" s="25" t="str">
        <x:v>Deepseek-flash-v4/Result2/JacksonDatabind_11/result.json</x:v>
      </x:c>
      <x:c r="O1260" s="25" t="str">
        <x:v>Deepseek-flash-v4/Result2/JacksonDatabind_11/result.json</x:v>
      </x:c>
      <x:c r="P1260"/>
      <x:c r="Q1260" s="21" t="str"/>
      <x:c r="R1260" s="21" t="str"/>
      <x:c r="S1260" s="21" t="str"/>
      <x:c r="T1260" s="17" t="str">
        <x:v>false</x:v>
      </x:c>
      <x:c r="U1260" s="17" t="str">
        <x:v>true</x:v>
      </x:c>
      <x:c r="V1260" s="17" t="str">
        <x:v>false</x:v>
      </x:c>
    </x:row>
    <x:row r="1261" ht="80" customHeight="1">
      <x:c r="A1261" s="25" t="str">
        <x:v>JacksonDatabind</x:v>
      </x:c>
      <x:c r="B1261" s="25" t="n">
        <x:v>110</x:v>
      </x:c>
      <x:c r="C1261" s="25" t="str">
        <x:v>Round2</x:v>
      </x:c>
      <x:c r="D1261" s="25" t="str">
        <x:v>NOT_AVAILABLE</x:v>
      </x:c>
      <x:c r="E1261" s="25" t="str">
        <x:v>N/A</x:v>
      </x:c>
      <x:c r="F1261" s="26" t="str">
        <x:v>Tests exist but current coverage did not complete</x:v>
      </x:c>
      <x:c r="G1261" s="25" t="str">
        <x:v>true</x:v>
      </x:c>
      <x:c r="H1261" s="25" t="str">
        <x:v>NOT_AVAILABLE</x:v>
      </x:c>
      <x:c r="I1261" s="25" t="str">
        <x:v>NOT_RUN</x:v>
      </x:c>
      <x:c r="J1261" s="25" t="str">
        <x:v>NOT_RUN</x:v>
      </x:c>
      <x:c r="K1261" s="25" t="n">
        <x:v>1</x:v>
      </x:c>
      <x:c r="L1261" s="27" t="b">
        <x:v>0</x:v>
      </x:c>
      <x:c r="M1261" s="25" t="str">
        <x:v>Deepseek-flash-v4/state/Round2/status/JacksonDatabind_110.json; Deepseek-flash-v4/state/Round2/shards/JacksonDatabind_110.json</x:v>
      </x:c>
      <x:c r="N1261" s="25" t="str">
        <x:v>Deepseek-flash-v4/Result2/JacksonDatabind_110/result.json</x:v>
      </x:c>
      <x:c r="O1261" s="25" t="str">
        <x:v>Deepseek-flash-v4/Result2/JacksonDatabind_110/result.json</x:v>
      </x:c>
      <x:c r="P1261" t="str">
        <x:v>BOTH_NOT_RUN</x:v>
      </x:c>
      <x:c r="Q1261" s="21" t="str"/>
      <x:c r="R1261" s="21" t="str"/>
      <x:c r="S1261" s="21" t="str"/>
      <x:c r="T1261" s="17" t="str">
        <x:v>false</x:v>
      </x:c>
      <x:c r="U1261" s="17" t="str">
        <x:v>true</x:v>
      </x:c>
      <x:c r="V1261" s="17" t="str">
        <x:v>false</x:v>
      </x:c>
    </x:row>
    <x:row r="1262" ht="80" customHeight="1">
      <x:c r="A1262" s="25" t="str">
        <x:v>JacksonDatabind</x:v>
      </x:c>
      <x:c r="B1262" s="25" t="n">
        <x:v>111</x:v>
      </x:c>
      <x:c r="C1262" s="25" t="str">
        <x:v>Round2</x:v>
      </x:c>
      <x:c r="D1262" s="25" t="str">
        <x:v>NOT_AVAILABLE</x:v>
      </x:c>
      <x:c r="E1262" s="25" t="str">
        <x:v>N/A</x:v>
      </x:c>
      <x:c r="F1262" s="26" t="str">
        <x:v>Tests exist but current coverage did not complete</x:v>
      </x:c>
      <x:c r="G1262" s="25" t="str">
        <x:v>true</x:v>
      </x:c>
      <x:c r="H1262" s="25" t="str">
        <x:v>NOT_AVAILABLE</x:v>
      </x:c>
      <x:c r="I1262" s="25" t="str">
        <x:v>NOT_RUN</x:v>
      </x:c>
      <x:c r="J1262" s="25" t="str">
        <x:v>NOT_RUN</x:v>
      </x:c>
      <x:c r="K1262" s="25" t="n">
        <x:v>7</x:v>
      </x:c>
      <x:c r="L1262" s="27" t="b">
        <x:v>0</x:v>
      </x:c>
      <x:c r="M1262" s="25" t="str">
        <x:v>Deepseek-flash-v4/state/Round2/status/JacksonDatabind_111.json; Deepseek-flash-v4/state/Round2/shards/JacksonDatabind_111.json</x:v>
      </x:c>
      <x:c r="N1262" s="25" t="str">
        <x:v>Deepseek-flash-v4/Result2/JacksonDatabind_111/result.json</x:v>
      </x:c>
      <x:c r="O1262" s="25" t="str">
        <x:v>Deepseek-flash-v4/Result2/JacksonDatabind_111/result.json</x:v>
      </x:c>
      <x:c r="P1262" t="str">
        <x:v>BOTH_NOT_RUN</x:v>
      </x:c>
      <x:c r="Q1262" s="21" t="str"/>
      <x:c r="R1262" s="21" t="str"/>
      <x:c r="S1262" s="21" t="str"/>
      <x:c r="T1262" s="17" t="str">
        <x:v>false</x:v>
      </x:c>
      <x:c r="U1262" s="17" t="str">
        <x:v>true</x:v>
      </x:c>
      <x:c r="V1262" s="17" t="str">
        <x:v>false</x:v>
      </x:c>
    </x:row>
    <x:row r="1263" ht="80" customHeight="1">
      <x:c r="A1263" s="25" t="str">
        <x:v>JacksonDatabind</x:v>
      </x:c>
      <x:c r="B1263" s="25" t="n">
        <x:v>112</x:v>
      </x:c>
      <x:c r="C1263" s="25" t="str">
        <x:v>Round2</x:v>
      </x:c>
      <x:c r="D1263" s="25" t="str">
        <x:v>NOT_AVAILABLE</x:v>
      </x:c>
      <x:c r="E1263" s="25" t="str">
        <x:v>N/A</x:v>
      </x:c>
      <x:c r="F1263" s="26" t="str">
        <x:v>Tests exist but current coverage did not complete</x:v>
      </x:c>
      <x:c r="G1263" s="25" t="str">
        <x:v>true</x:v>
      </x:c>
      <x:c r="H1263" s="25" t="str">
        <x:v>NOT_AVAILABLE</x:v>
      </x:c>
      <x:c r="I1263" s="25" t="str">
        <x:v>NOT_RUN</x:v>
      </x:c>
      <x:c r="J1263" s="25" t="str">
        <x:v>NOT_RUN</x:v>
      </x:c>
      <x:c r="K1263" s="25" t="n">
        <x:v>1</x:v>
      </x:c>
      <x:c r="L1263" s="27" t="b">
        <x:v>0</x:v>
      </x:c>
      <x:c r="M1263" s="25" t="str">
        <x:v>Deepseek-flash-v4/state/Round2/status/JacksonDatabind_112.json; Deepseek-flash-v4/state/Round2/shards/JacksonDatabind_112.json</x:v>
      </x:c>
      <x:c r="N1263" s="25" t="str">
        <x:v>Deepseek-flash-v4/Result2/JacksonDatabind_112/result.json</x:v>
      </x:c>
      <x:c r="O1263" s="25" t="str">
        <x:v>Deepseek-flash-v4/Result2/JacksonDatabind_112/result.json</x:v>
      </x:c>
      <x:c r="P1263" t="str">
        <x:v>BOTH_NOT_RUN</x:v>
      </x:c>
      <x:c r="Q1263" s="21" t="str"/>
      <x:c r="R1263" s="21" t="str"/>
      <x:c r="S1263" s="21" t="str"/>
      <x:c r="T1263" s="17" t="str">
        <x:v>false</x:v>
      </x:c>
      <x:c r="U1263" s="17" t="str">
        <x:v>true</x:v>
      </x:c>
      <x:c r="V1263" s="17" t="str">
        <x:v>false</x:v>
      </x:c>
    </x:row>
    <x:row r="1264" ht="80" customHeight="1">
      <x:c r="A1264" s="25" t="str">
        <x:v>JacksonDatabind</x:v>
      </x:c>
      <x:c r="B1264" s="25" t="n">
        <x:v>12</x:v>
      </x:c>
      <x:c r="C1264" s="25" t="str">
        <x:v>Round2</x:v>
      </x:c>
      <x:c r="D1264" s="25" t="str">
        <x:v>NOT_AVAILABLE</x:v>
      </x:c>
      <x:c r="E1264" s="25" t="str">
        <x:v>N/A</x:v>
      </x:c>
      <x:c r="F1264" s="26" t="str">
        <x:v>Tests exist but current coverage did not complete</x:v>
      </x:c>
      <x:c r="G1264" s="25" t="str">
        <x:v>true</x:v>
      </x:c>
      <x:c r="H1264" s="25" t="str">
        <x:v>NOT_AVAILABLE</x:v>
      </x:c>
      <x:c r="I1264" s="25" t="str">
        <x:v>NOT_RUN</x:v>
      </x:c>
      <x:c r="J1264" s="25" t="str">
        <x:v>NOT_RUN</x:v>
      </x:c>
      <x:c r="K1264" s="25" t="n">
        <x:v>1</x:v>
      </x:c>
      <x:c r="L1264" s="27" t="b">
        <x:v>0</x:v>
      </x:c>
      <x:c r="M1264" s="25" t="str">
        <x:v>Deepseek-flash-v4/state/Round2/status/JacksonDatabind_12.json; Deepseek-flash-v4/state/Round2/shards/JacksonDatabind_12.json</x:v>
      </x:c>
      <x:c r="N1264" s="25" t="str">
        <x:v>Deepseek-flash-v4/Result2/JacksonDatabind_12/result.json</x:v>
      </x:c>
      <x:c r="O1264" s="25" t="str">
        <x:v>Deepseek-flash-v4/Result2/JacksonDatabind_12/result.json</x:v>
      </x:c>
      <x:c r="P1264" t="str">
        <x:v>BOTH_NOT_RUN</x:v>
      </x:c>
      <x:c r="Q1264" s="21" t="str"/>
      <x:c r="R1264" s="21" t="str"/>
      <x:c r="S1264" s="21" t="str"/>
      <x:c r="T1264" s="17" t="str">
        <x:v>false</x:v>
      </x:c>
      <x:c r="U1264" s="17" t="str">
        <x:v>true</x:v>
      </x:c>
      <x:c r="V1264" s="17" t="str">
        <x:v>false</x:v>
      </x:c>
    </x:row>
    <x:row r="1265" ht="80" customHeight="1">
      <x:c r="A1265" s="25" t="str">
        <x:v>JacksonDatabind</x:v>
      </x:c>
      <x:c r="B1265" s="25" t="n">
        <x:v>13</x:v>
      </x:c>
      <x:c r="C1265" s="25" t="str">
        <x:v>Round2</x:v>
      </x:c>
      <x:c r="D1265" s="25" t="str">
        <x:v>NOT_AVAILABLE</x:v>
      </x:c>
      <x:c r="E1265" s="25" t="str">
        <x:v>N/A</x:v>
      </x:c>
      <x:c r="F1265" s="26" t="str">
        <x:v>Tests exist but current coverage did not complete</x:v>
      </x:c>
      <x:c r="G1265" s="25" t="str">
        <x:v>true</x:v>
      </x:c>
      <x:c r="H1265" s="25" t="str">
        <x:v>NOT_AVAILABLE</x:v>
      </x:c>
      <x:c r="I1265" s="25" t="str">
        <x:v>NOT_RUN</x:v>
      </x:c>
      <x:c r="J1265" s="25" t="str">
        <x:v>NOT_RUN</x:v>
      </x:c>
      <x:c r="K1265" s="25" t="n">
        <x:v>2</x:v>
      </x:c>
      <x:c r="L1265" s="27" t="b">
        <x:v>0</x:v>
      </x:c>
      <x:c r="M1265" s="25" t="str">
        <x:v>Deepseek-flash-v4/state/Round2/status/JacksonDatabind_13.json; Deepseek-flash-v4/state/Round2/shards/JacksonDatabind_13.json</x:v>
      </x:c>
      <x:c r="N1265" s="25" t="str">
        <x:v>Deepseek-flash-v4/Result2/JacksonDatabind_13/result.json</x:v>
      </x:c>
      <x:c r="O1265" s="25" t="str">
        <x:v>Deepseek-flash-v4/Result2/JacksonDatabind_13/result.json</x:v>
      </x:c>
      <x:c r="P1265" t="str">
        <x:v>BOTH_NOT_RUN</x:v>
      </x:c>
      <x:c r="Q1265" s="21" t="str"/>
      <x:c r="R1265" s="21" t="str"/>
      <x:c r="S1265" s="21" t="str"/>
      <x:c r="T1265" s="17" t="str">
        <x:v>false</x:v>
      </x:c>
      <x:c r="U1265" s="17" t="str">
        <x:v>true</x:v>
      </x:c>
      <x:c r="V1265" s="17" t="str">
        <x:v>false</x:v>
      </x:c>
    </x:row>
    <x:row r="1266" ht="80" customHeight="1">
      <x:c r="A1266" s="25" t="str">
        <x:v>JacksonDatabind</x:v>
      </x:c>
      <x:c r="B1266" s="25" t="n">
        <x:v>14</x:v>
      </x:c>
      <x:c r="C1266" s="25" t="str">
        <x:v>Round2</x:v>
      </x:c>
      <x:c r="D1266" s="25" t="str">
        <x:v>NOT_AVAILABLE</x:v>
      </x:c>
      <x:c r="E1266" s="25" t="str">
        <x:v>N/A</x:v>
      </x:c>
      <x:c r="F1266" s="26" t="str">
        <x:v>Tests exist but current coverage did not complete</x:v>
      </x:c>
      <x:c r="G1266" s="25" t="str">
        <x:v>true</x:v>
      </x:c>
      <x:c r="H1266" s="25" t="str">
        <x:v>NOT_AVAILABLE</x:v>
      </x:c>
      <x:c r="I1266" s="25" t="str">
        <x:v>NOT_RUN</x:v>
      </x:c>
      <x:c r="J1266" s="25" t="str">
        <x:v>NOT_RUN</x:v>
      </x:c>
      <x:c r="K1266" s="25" t="n">
        <x:v>1</x:v>
      </x:c>
      <x:c r="L1266" s="27" t="b">
        <x:v>0</x:v>
      </x:c>
      <x:c r="M1266" s="25" t="str">
        <x:v>Deepseek-flash-v4/state/Round2/status/JacksonDatabind_14.json; Deepseek-flash-v4/state/Round2/shards/JacksonDatabind_14.json</x:v>
      </x:c>
      <x:c r="N1266" s="25" t="str">
        <x:v>Deepseek-flash-v4/Result2/JacksonDatabind_14/result.json</x:v>
      </x:c>
      <x:c r="O1266" s="25" t="str">
        <x:v>Deepseek-flash-v4/Result2/JacksonDatabind_14/result.json</x:v>
      </x:c>
      <x:c r="P1266" t="str">
        <x:v>BOTH_NOT_RUN</x:v>
      </x:c>
      <x:c r="Q1266" s="21" t="str"/>
      <x:c r="R1266" s="21" t="str"/>
      <x:c r="S1266" s="21" t="str"/>
      <x:c r="T1266" s="17" t="str">
        <x:v>false</x:v>
      </x:c>
      <x:c r="U1266" s="17" t="str">
        <x:v>true</x:v>
      </x:c>
      <x:c r="V1266" s="17" t="str">
        <x:v>false</x:v>
      </x:c>
    </x:row>
    <x:row r="1267" ht="80" customHeight="1">
      <x:c r="A1267" s="25" t="str">
        <x:v>JacksonDatabind</x:v>
      </x:c>
      <x:c r="B1267" s="25" t="n">
        <x:v>15</x:v>
      </x:c>
      <x:c r="C1267" s="25" t="str">
        <x:v>Round2</x:v>
      </x:c>
      <x:c r="D1267" s="25" t="str">
        <x:v>NOT_AVAILABLE</x:v>
      </x:c>
      <x:c r="E1267" s="25" t="str">
        <x:v>N/A</x:v>
      </x:c>
      <x:c r="F1267" s="26" t="str">
        <x:v>Tests exist but current coverage did not complete</x:v>
      </x:c>
      <x:c r="G1267" s="25" t="str">
        <x:v>true</x:v>
      </x:c>
      <x:c r="H1267" s="25" t="str">
        <x:v>NOT_AVAILABLE</x:v>
      </x:c>
      <x:c r="I1267" s="25" t="str">
        <x:v>NOT_RUN</x:v>
      </x:c>
      <x:c r="J1267" s="25" t="str">
        <x:v>NOT_RUN</x:v>
      </x:c>
      <x:c r="K1267" s="25" t="n">
        <x:v>5</x:v>
      </x:c>
      <x:c r="L1267" s="27" t="b">
        <x:v>0</x:v>
      </x:c>
      <x:c r="M1267" s="25" t="str">
        <x:v>Deepseek-flash-v4/state/Round2/status/JacksonDatabind_15.json; Deepseek-flash-v4/state/Round2/shards/JacksonDatabind_15.json</x:v>
      </x:c>
      <x:c r="N1267" s="25" t="str">
        <x:v>Deepseek-flash-v4/Result2/JacksonDatabind_15/result.json</x:v>
      </x:c>
      <x:c r="O1267" s="25" t="str">
        <x:v>Deepseek-flash-v4/Result2/JacksonDatabind_15/result.json</x:v>
      </x:c>
      <x:c r="P1267" t="str">
        <x:v>BOTH_NOT_RUN</x:v>
      </x:c>
      <x:c r="Q1267" s="21" t="str"/>
      <x:c r="R1267" s="21" t="str"/>
      <x:c r="S1267" s="21" t="str"/>
      <x:c r="T1267" s="17" t="str">
        <x:v>false</x:v>
      </x:c>
      <x:c r="U1267" s="17" t="str">
        <x:v>true</x:v>
      </x:c>
      <x:c r="V1267" s="17" t="str">
        <x:v>false</x:v>
      </x:c>
    </x:row>
    <x:row r="1268" ht="80" customHeight="1">
      <x:c r="A1268" s="25" t="str">
        <x:v>JacksonDatabind</x:v>
      </x:c>
      <x:c r="B1268" s="25" t="n">
        <x:v>16</x:v>
      </x:c>
      <x:c r="C1268" s="25" t="str">
        <x:v>Round2</x:v>
      </x:c>
      <x:c r="D1268" s="25" t="str">
        <x:v>INCONCLUSIVE</x:v>
      </x:c>
      <x:c r="E1268" s="25" t="str">
        <x:v>N/A</x:v>
      </x:c>
      <x:c r="F1268" s="26" t="str">
        <x:v>Fixed also failed; assertion failure cannot be attributed to this bug; Same-round generation metadata missing; use saved tests and execution evidence, no failure inferred</x:v>
      </x:c>
      <x:c r="G1268" s="25" t="str">
        <x:v>true</x:v>
      </x:c>
      <x:c r="H1268" s="25" t="str">
        <x:v>INCONCLUSIVE</x:v>
      </x:c>
      <x:c r="I1268" s="25" t="str">
        <x:v>FAIL</x:v>
      </x:c>
      <x:c r="J1268" s="25" t="str">
        <x:v>FAIL</x:v>
      </x:c>
      <x:c r="K1268" s="25" t="n">
        <x:v>1</x:v>
      </x:c>
      <x:c r="L1268" s="27" t="b">
        <x:v>0</x:v>
      </x:c>
      <x:c r="M1268" s="25"/>
      <x:c r="N1268" s="25" t="str">
        <x:v>Deepseek-flash-v4/Result2/JacksonDatabind_16/result.json</x:v>
      </x:c>
      <x:c r="O1268" s="25" t="str">
        <x:v>Deepseek-flash-v4/Result2/JacksonDatabind_16/result.json</x:v>
      </x:c>
      <x:c r="P1268"/>
      <x:c r="Q1268" s="21" t="str"/>
      <x:c r="R1268" s="21" t="str"/>
      <x:c r="S1268" s="21" t="str"/>
      <x:c r="T1268" s="17" t="str">
        <x:v>false</x:v>
      </x:c>
      <x:c r="U1268" s="17" t="str">
        <x:v>true</x:v>
      </x:c>
      <x:c r="V1268" s="17" t="str">
        <x:v>false</x:v>
      </x:c>
    </x:row>
    <x:row r="1269" ht="80" customHeight="1">
      <x:c r="A1269" s="25" t="str">
        <x:v>JacksonDatabind</x:v>
      </x:c>
      <x:c r="B1269" s="25" t="n">
        <x:v>17</x:v>
      </x:c>
      <x:c r="C1269" s="25" t="str">
        <x:v>Round2</x:v>
      </x:c>
      <x:c r="D1269" s="25" t="str">
        <x:v>NOT_AVAILABLE</x:v>
      </x:c>
      <x:c r="E1269" s="25" t="str">
        <x:v>N/A</x:v>
      </x:c>
      <x:c r="F1269" s="26" t="str">
        <x:v>Tests exist but current coverage did not complete</x:v>
      </x:c>
      <x:c r="G1269" s="25" t="str">
        <x:v>true</x:v>
      </x:c>
      <x:c r="H1269" s="25" t="str">
        <x:v>NOT_AVAILABLE</x:v>
      </x:c>
      <x:c r="I1269" s="25" t="str">
        <x:v>NOT_RUN</x:v>
      </x:c>
      <x:c r="J1269" s="25" t="str">
        <x:v>NOT_RUN</x:v>
      </x:c>
      <x:c r="K1269" s="25" t="n">
        <x:v>1</x:v>
      </x:c>
      <x:c r="L1269" s="27" t="b">
        <x:v>0</x:v>
      </x:c>
      <x:c r="M1269" s="25" t="str">
        <x:v>Deepseek-flash-v4/state/Round2/status/JacksonDatabind_17.json; Deepseek-flash-v4/state/Round2/shards/JacksonDatabind_17.json</x:v>
      </x:c>
      <x:c r="N1269" s="25" t="str">
        <x:v>Deepseek-flash-v4/Result2/JacksonDatabind_17/result.json</x:v>
      </x:c>
      <x:c r="O1269" s="25" t="str">
        <x:v>Deepseek-flash-v4/Result2/JacksonDatabind_17/result.json</x:v>
      </x:c>
      <x:c r="P1269" t="str">
        <x:v>BOTH_NOT_RUN</x:v>
      </x:c>
      <x:c r="Q1269" s="21" t="str"/>
      <x:c r="R1269" s="21" t="str"/>
      <x:c r="S1269" s="21" t="str"/>
      <x:c r="T1269" s="17" t="str">
        <x:v>false</x:v>
      </x:c>
      <x:c r="U1269" s="17" t="str">
        <x:v>true</x:v>
      </x:c>
      <x:c r="V1269" s="17" t="str">
        <x:v>false</x:v>
      </x:c>
    </x:row>
    <x:row r="1270" ht="80" customHeight="1">
      <x:c r="A1270" s="25" t="str">
        <x:v>JacksonDatabind</x:v>
      </x:c>
      <x:c r="B1270" s="25" t="n">
        <x:v>18</x:v>
      </x:c>
      <x:c r="C1270" s="25" t="str">
        <x:v>Round2</x:v>
      </x:c>
      <x:c r="D1270" s="25" t="str">
        <x:v>NOT_AVAILABLE</x:v>
      </x:c>
      <x:c r="E1270" s="25" t="str">
        <x:v>N/A</x:v>
      </x:c>
      <x:c r="F1270" s="26" t="str">
        <x:v>Tests exist but current coverage did not complete</x:v>
      </x:c>
      <x:c r="G1270" s="25" t="str">
        <x:v>true</x:v>
      </x:c>
      <x:c r="H1270" s="25" t="str">
        <x:v>NOT_AVAILABLE</x:v>
      </x:c>
      <x:c r="I1270" s="25" t="str">
        <x:v>NOT_RUN</x:v>
      </x:c>
      <x:c r="J1270" s="25" t="str">
        <x:v>NOT_RUN</x:v>
      </x:c>
      <x:c r="K1270" s="25" t="n">
        <x:v>1</x:v>
      </x:c>
      <x:c r="L1270" s="27" t="b">
        <x:v>0</x:v>
      </x:c>
      <x:c r="M1270" s="25" t="str">
        <x:v>Deepseek-flash-v4/state/Round2/status/JacksonDatabind_18.json; Deepseek-flash-v4/state/Round2/shards/JacksonDatabind_18.json</x:v>
      </x:c>
      <x:c r="N1270" s="25" t="str">
        <x:v>Deepseek-flash-v4/Result2/JacksonDatabind_18/result.json</x:v>
      </x:c>
      <x:c r="O1270" s="25" t="str">
        <x:v>Deepseek-flash-v4/Result2/JacksonDatabind_18/result.json</x:v>
      </x:c>
      <x:c r="P1270" t="str">
        <x:v>BOTH_NOT_RUN</x:v>
      </x:c>
      <x:c r="Q1270" s="21" t="str"/>
      <x:c r="R1270" s="21" t="str"/>
      <x:c r="S1270" s="21" t="str"/>
      <x:c r="T1270" s="17" t="str">
        <x:v>false</x:v>
      </x:c>
      <x:c r="U1270" s="17" t="str">
        <x:v>true</x:v>
      </x:c>
      <x:c r="V1270" s="17" t="str">
        <x:v>false</x:v>
      </x:c>
    </x:row>
    <x:row r="1271" ht="80" customHeight="1">
      <x:c r="A1271" s="25" t="str">
        <x:v>JacksonDatabind</x:v>
      </x:c>
      <x:c r="B1271" s="25" t="n">
        <x:v>19</x:v>
      </x:c>
      <x:c r="C1271" s="25" t="str">
        <x:v>Round2</x:v>
      </x:c>
      <x:c r="D1271" s="25" t="str">
        <x:v>NOT_AVAILABLE</x:v>
      </x:c>
      <x:c r="E1271" s="25" t="str">
        <x:v>N/A</x:v>
      </x:c>
      <x:c r="F1271" s="26" t="str">
        <x:v>Tests exist but current coverage did not complete</x:v>
      </x:c>
      <x:c r="G1271" s="25" t="str">
        <x:v>true</x:v>
      </x:c>
      <x:c r="H1271" s="25" t="str">
        <x:v>NOT_AVAILABLE</x:v>
      </x:c>
      <x:c r="I1271" s="25" t="str">
        <x:v>NOT_RUN</x:v>
      </x:c>
      <x:c r="J1271" s="25" t="str">
        <x:v>NOT_RUN</x:v>
      </x:c>
      <x:c r="K1271" s="25" t="n">
        <x:v>1</x:v>
      </x:c>
      <x:c r="L1271" s="27" t="b">
        <x:v>0</x:v>
      </x:c>
      <x:c r="M1271" s="25" t="str">
        <x:v>Deepseek-flash-v4/state/Round2/status/JacksonDatabind_19.json; Deepseek-flash-v4/state/Round2/shards/JacksonDatabind_19.json</x:v>
      </x:c>
      <x:c r="N1271" s="25" t="str">
        <x:v>Deepseek-flash-v4/Result2/JacksonDatabind_19/result.json</x:v>
      </x:c>
      <x:c r="O1271" s="25" t="str">
        <x:v>Deepseek-flash-v4/Result2/JacksonDatabind_19/result.json</x:v>
      </x:c>
      <x:c r="P1271" t="str">
        <x:v>BOTH_NOT_RUN</x:v>
      </x:c>
      <x:c r="Q1271" s="21" t="str"/>
      <x:c r="R1271" s="21" t="str"/>
      <x:c r="S1271" s="21" t="str"/>
      <x:c r="T1271" s="17" t="str">
        <x:v>false</x:v>
      </x:c>
      <x:c r="U1271" s="17" t="str">
        <x:v>true</x:v>
      </x:c>
      <x:c r="V1271" s="17" t="str">
        <x:v>false</x:v>
      </x:c>
    </x:row>
    <x:row r="1272" ht="80" customHeight="1">
      <x:c r="A1272" s="25" t="str">
        <x:v>JacksonDatabind</x:v>
      </x:c>
      <x:c r="B1272" s="25" t="n">
        <x:v>2</x:v>
      </x:c>
      <x:c r="C1272" s="25" t="str">
        <x:v>Round2</x:v>
      </x:c>
      <x:c r="D1272" s="25" t="str">
        <x:v>NOT_AVAILABLE</x:v>
      </x:c>
      <x:c r="E1272" s="25" t="str">
        <x:v>N/A</x:v>
      </x:c>
      <x:c r="F1272" s="26" t="str">
        <x:v>Tests exist but current coverage did not complete</x:v>
      </x:c>
      <x:c r="G1272" s="25" t="str">
        <x:v>true</x:v>
      </x:c>
      <x:c r="H1272" s="25" t="str">
        <x:v>NOT_AVAILABLE</x:v>
      </x:c>
      <x:c r="I1272" s="25" t="str">
        <x:v>NOT_RUN</x:v>
      </x:c>
      <x:c r="J1272" s="25" t="str">
        <x:v>NOT_RUN</x:v>
      </x:c>
      <x:c r="K1272" s="25" t="n">
        <x:v>1</x:v>
      </x:c>
      <x:c r="L1272" s="27" t="b">
        <x:v>0</x:v>
      </x:c>
      <x:c r="M1272" s="25" t="str">
        <x:v>Deepseek-flash-v4/state/Round2/status/JacksonDatabind_2.json; Deepseek-flash-v4/state/Round2/shards/JacksonDatabind_2.json</x:v>
      </x:c>
      <x:c r="N1272" s="25" t="str">
        <x:v>Deepseek-flash-v4/Result2/JacksonDatabind_2/result.json</x:v>
      </x:c>
      <x:c r="O1272" s="25" t="str">
        <x:v>Deepseek-flash-v4/Result2/JacksonDatabind_2/result.json</x:v>
      </x:c>
      <x:c r="P1272" t="str">
        <x:v>BOTH_NOT_RUN</x:v>
      </x:c>
      <x:c r="Q1272" s="21" t="str"/>
      <x:c r="R1272" s="21" t="str"/>
      <x:c r="S1272" s="21" t="str"/>
      <x:c r="T1272" s="17" t="str">
        <x:v>false</x:v>
      </x:c>
      <x:c r="U1272" s="17" t="str">
        <x:v>true</x:v>
      </x:c>
      <x:c r="V1272" s="17" t="str">
        <x:v>false</x:v>
      </x:c>
    </x:row>
    <x:row r="1273" ht="80" customHeight="1">
      <x:c r="A1273" s="25" t="str">
        <x:v>JacksonDatabind</x:v>
      </x:c>
      <x:c r="B1273" s="25" t="n">
        <x:v>20</x:v>
      </x:c>
      <x:c r="C1273" s="25" t="str">
        <x:v>Round2</x:v>
      </x:c>
      <x:c r="D1273" s="25" t="str">
        <x:v>NOT_AVAILABLE</x:v>
      </x:c>
      <x:c r="E1273" s="25" t="str">
        <x:v>N/A</x:v>
      </x:c>
      <x:c r="F1273" s="26" t="str">
        <x:v>Tests exist but current coverage did not complete</x:v>
      </x:c>
      <x:c r="G1273" s="25" t="str">
        <x:v>true</x:v>
      </x:c>
      <x:c r="H1273" s="25" t="str">
        <x:v>NOT_AVAILABLE</x:v>
      </x:c>
      <x:c r="I1273" s="25" t="str">
        <x:v>NOT_RUN</x:v>
      </x:c>
      <x:c r="J1273" s="25" t="str">
        <x:v>NOT_RUN</x:v>
      </x:c>
      <x:c r="K1273" s="25" t="n">
        <x:v>1</x:v>
      </x:c>
      <x:c r="L1273" s="27" t="b">
        <x:v>0</x:v>
      </x:c>
      <x:c r="M1273" s="25" t="str">
        <x:v>Deepseek-flash-v4/state/Round2/status/JacksonDatabind_20.json; Deepseek-flash-v4/state/Round2/shards/JacksonDatabind_20.json</x:v>
      </x:c>
      <x:c r="N1273" s="25" t="str">
        <x:v>Deepseek-flash-v4/Result2/JacksonDatabind_20/result.json</x:v>
      </x:c>
      <x:c r="O1273" s="25" t="str">
        <x:v>Deepseek-flash-v4/Result2/JacksonDatabind_20/result.json</x:v>
      </x:c>
      <x:c r="P1273" t="str">
        <x:v>BOTH_NOT_RUN</x:v>
      </x:c>
      <x:c r="Q1273" s="21" t="str"/>
      <x:c r="R1273" s="21" t="str"/>
      <x:c r="S1273" s="21" t="str"/>
      <x:c r="T1273" s="17" t="str">
        <x:v>false</x:v>
      </x:c>
      <x:c r="U1273" s="17" t="str">
        <x:v>true</x:v>
      </x:c>
      <x:c r="V1273" s="17" t="str">
        <x:v>false</x:v>
      </x:c>
    </x:row>
    <x:row r="1274" ht="80" customHeight="1">
      <x:c r="A1274" s="25" t="str">
        <x:v>JacksonDatabind</x:v>
      </x:c>
      <x:c r="B1274" s="25" t="n">
        <x:v>21</x:v>
      </x:c>
      <x:c r="C1274" s="25" t="str">
        <x:v>Round2</x:v>
      </x:c>
      <x:c r="D1274" s="25" t="str">
        <x:v>NOT_AVAILABLE</x:v>
      </x:c>
      <x:c r="E1274" s="25" t="str">
        <x:v>N/A</x:v>
      </x:c>
      <x:c r="F1274" s="26" t="str">
        <x:v>Tests exist but current coverage did not complete</x:v>
      </x:c>
      <x:c r="G1274" s="25" t="str">
        <x:v>true</x:v>
      </x:c>
      <x:c r="H1274" s="25" t="str">
        <x:v>NOT_AVAILABLE</x:v>
      </x:c>
      <x:c r="I1274" s="25" t="str">
        <x:v>NOT_RUN</x:v>
      </x:c>
      <x:c r="J1274" s="25" t="str">
        <x:v>NOT_RUN</x:v>
      </x:c>
      <x:c r="K1274" s="25" t="n">
        <x:v>1</x:v>
      </x:c>
      <x:c r="L1274" s="27" t="b">
        <x:v>0</x:v>
      </x:c>
      <x:c r="M1274" s="25" t="str">
        <x:v>Deepseek-flash-v4/state/Round2/status/JacksonDatabind_21.json; Deepseek-flash-v4/state/Round2/shards/JacksonDatabind_21.json</x:v>
      </x:c>
      <x:c r="N1274" s="25" t="str">
        <x:v>Deepseek-flash-v4/Result2/JacksonDatabind_21/result.json</x:v>
      </x:c>
      <x:c r="O1274" s="25" t="str">
        <x:v>Deepseek-flash-v4/Result2/JacksonDatabind_21/result.json</x:v>
      </x:c>
      <x:c r="P1274" t="str">
        <x:v>BOTH_NOT_RUN</x:v>
      </x:c>
      <x:c r="Q1274" s="21" t="str"/>
      <x:c r="R1274" s="21" t="str"/>
      <x:c r="S1274" s="21" t="str"/>
      <x:c r="T1274" s="17" t="str">
        <x:v>false</x:v>
      </x:c>
      <x:c r="U1274" s="17" t="str">
        <x:v>true</x:v>
      </x:c>
      <x:c r="V1274" s="17" t="str">
        <x:v>false</x:v>
      </x:c>
    </x:row>
    <x:row r="1275" ht="80" customHeight="1">
      <x:c r="A1275" s="25" t="str">
        <x:v>JacksonDatabind</x:v>
      </x:c>
      <x:c r="B1275" s="25" t="n">
        <x:v>22</x:v>
      </x:c>
      <x:c r="C1275" s="25" t="str">
        <x:v>Round2</x:v>
      </x:c>
      <x:c r="D1275" s="25" t="str">
        <x:v>NOT_AVAILABLE</x:v>
      </x:c>
      <x:c r="E1275" s="25" t="str">
        <x:v>N/A</x:v>
      </x:c>
      <x:c r="F1275" s="26" t="str">
        <x:v>Tests exist but current coverage did not complete</x:v>
      </x:c>
      <x:c r="G1275" s="25" t="str">
        <x:v>true</x:v>
      </x:c>
      <x:c r="H1275" s="25" t="str">
        <x:v>NOT_AVAILABLE</x:v>
      </x:c>
      <x:c r="I1275" s="25" t="str">
        <x:v>NOT_RUN</x:v>
      </x:c>
      <x:c r="J1275" s="25" t="str">
        <x:v>NOT_RUN</x:v>
      </x:c>
      <x:c r="K1275" s="25" t="n">
        <x:v>2</x:v>
      </x:c>
      <x:c r="L1275" s="27" t="b">
        <x:v>0</x:v>
      </x:c>
      <x:c r="M1275" s="25" t="str">
        <x:v>Deepseek-flash-v4/state/Round2/status/JacksonDatabind_22.json; Deepseek-flash-v4/state/Round2/shards/JacksonDatabind_22.json</x:v>
      </x:c>
      <x:c r="N1275" s="25" t="str">
        <x:v>Deepseek-flash-v4/Result2/JacksonDatabind_22/result.json</x:v>
      </x:c>
      <x:c r="O1275" s="25" t="str">
        <x:v>Deepseek-flash-v4/Result2/JacksonDatabind_22/result.json</x:v>
      </x:c>
      <x:c r="P1275" t="str">
        <x:v>BOTH_NOT_RUN</x:v>
      </x:c>
      <x:c r="Q1275" s="21" t="str"/>
      <x:c r="R1275" s="21" t="str"/>
      <x:c r="S1275" s="21" t="str"/>
      <x:c r="T1275" s="17" t="str">
        <x:v>false</x:v>
      </x:c>
      <x:c r="U1275" s="17" t="str">
        <x:v>true</x:v>
      </x:c>
      <x:c r="V1275" s="17" t="str">
        <x:v>false</x:v>
      </x:c>
    </x:row>
    <x:row r="1276" ht="80" customHeight="1">
      <x:c r="A1276" s="25" t="str">
        <x:v>JacksonDatabind</x:v>
      </x:c>
      <x:c r="B1276" s="25" t="n">
        <x:v>23</x:v>
      </x:c>
      <x:c r="C1276" s="25" t="str">
        <x:v>Round2</x:v>
      </x:c>
      <x:c r="D1276" s="25" t="str">
        <x:v>NOT_AVAILABLE</x:v>
      </x:c>
      <x:c r="E1276" s="25" t="str">
        <x:v>N/A</x:v>
      </x:c>
      <x:c r="F1276" s="26" t="str">
        <x:v>Tests exist but current coverage did not complete</x:v>
      </x:c>
      <x:c r="G1276" s="25" t="str">
        <x:v>true</x:v>
      </x:c>
      <x:c r="H1276" s="25" t="str">
        <x:v>NOT_AVAILABLE</x:v>
      </x:c>
      <x:c r="I1276" s="25" t="str">
        <x:v>NOT_RUN</x:v>
      </x:c>
      <x:c r="J1276" s="25" t="str">
        <x:v>NOT_RUN</x:v>
      </x:c>
      <x:c r="K1276" s="25" t="n">
        <x:v>1</x:v>
      </x:c>
      <x:c r="L1276" s="27" t="b">
        <x:v>0</x:v>
      </x:c>
      <x:c r="M1276" s="25" t="str">
        <x:v>Deepseek-flash-v4/state/Round2/status/JacksonDatabind_23.json; Deepseek-flash-v4/state/Round2/shards/JacksonDatabind_23.json</x:v>
      </x:c>
      <x:c r="N1276" s="25" t="str">
        <x:v>Deepseek-flash-v4/Result2/JacksonDatabind_23/result.json</x:v>
      </x:c>
      <x:c r="O1276" s="25" t="str">
        <x:v>Deepseek-flash-v4/Result2/JacksonDatabind_23/result.json</x:v>
      </x:c>
      <x:c r="P1276" t="str">
        <x:v>BOTH_NOT_RUN</x:v>
      </x:c>
      <x:c r="Q1276" s="21" t="str"/>
      <x:c r="R1276" s="21" t="str"/>
      <x:c r="S1276" s="21" t="str"/>
      <x:c r="T1276" s="17" t="str">
        <x:v>false</x:v>
      </x:c>
      <x:c r="U1276" s="17" t="str">
        <x:v>true</x:v>
      </x:c>
      <x:c r="V1276" s="17" t="str">
        <x:v>false</x:v>
      </x:c>
    </x:row>
    <x:row r="1277" ht="80" customHeight="1">
      <x:c r="A1277" s="25" t="str">
        <x:v>JacksonDatabind</x:v>
      </x:c>
      <x:c r="B1277" s="25" t="n">
        <x:v>24</x:v>
      </x:c>
      <x:c r="C1277" s="25" t="str">
        <x:v>Round2</x:v>
      </x:c>
      <x:c r="D1277" s="25" t="str">
        <x:v>NOT_AVAILABLE</x:v>
      </x:c>
      <x:c r="E1277" s="25" t="str">
        <x:v>N/A</x:v>
      </x:c>
      <x:c r="F1277" s="26" t="str">
        <x:v>Tests exist but current coverage did not complete</x:v>
      </x:c>
      <x:c r="G1277" s="25" t="str">
        <x:v>true</x:v>
      </x:c>
      <x:c r="H1277" s="25" t="str">
        <x:v>NOT_AVAILABLE</x:v>
      </x:c>
      <x:c r="I1277" s="25" t="str">
        <x:v>NOT_RUN</x:v>
      </x:c>
      <x:c r="J1277" s="25" t="str">
        <x:v>NOT_RUN</x:v>
      </x:c>
      <x:c r="K1277" s="25" t="n">
        <x:v>1</x:v>
      </x:c>
      <x:c r="L1277" s="27" t="b">
        <x:v>0</x:v>
      </x:c>
      <x:c r="M1277" s="25" t="str">
        <x:v>Deepseek-flash-v4/state/Round2/status/JacksonDatabind_24.json; Deepseek-flash-v4/state/Round2/shards/JacksonDatabind_24.json</x:v>
      </x:c>
      <x:c r="N1277" s="25" t="str">
        <x:v>Deepseek-flash-v4/Result2/JacksonDatabind_24/result.json</x:v>
      </x:c>
      <x:c r="O1277" s="25" t="str">
        <x:v>Deepseek-flash-v4/Result2/JacksonDatabind_24/result.json</x:v>
      </x:c>
      <x:c r="P1277" t="str">
        <x:v>BOTH_NOT_RUN</x:v>
      </x:c>
      <x:c r="Q1277" s="21" t="str"/>
      <x:c r="R1277" s="21" t="str"/>
      <x:c r="S1277" s="21" t="str"/>
      <x:c r="T1277" s="17" t="str">
        <x:v>false</x:v>
      </x:c>
      <x:c r="U1277" s="17" t="str">
        <x:v>true</x:v>
      </x:c>
      <x:c r="V1277" s="17" t="str">
        <x:v>false</x:v>
      </x:c>
    </x:row>
    <x:row r="1278" ht="80" customHeight="1">
      <x:c r="A1278" s="25" t="str">
        <x:v>JacksonDatabind</x:v>
      </x:c>
      <x:c r="B1278" s="25" t="n">
        <x:v>25</x:v>
      </x:c>
      <x:c r="C1278" s="25" t="str">
        <x:v>Round2</x:v>
      </x:c>
      <x:c r="D1278" s="25" t="str">
        <x:v>NOT_AVAILABLE</x:v>
      </x:c>
      <x:c r="E1278" s="25" t="str">
        <x:v>N/A</x:v>
      </x:c>
      <x:c r="F1278" s="26" t="str">
        <x:v>Tests exist but current coverage did not complete</x:v>
      </x:c>
      <x:c r="G1278" s="25" t="str">
        <x:v>true</x:v>
      </x:c>
      <x:c r="H1278" s="25" t="str">
        <x:v>NOT_AVAILABLE</x:v>
      </x:c>
      <x:c r="I1278" s="25" t="str">
        <x:v>NOT_RUN</x:v>
      </x:c>
      <x:c r="J1278" s="25" t="str">
        <x:v>NOT_RUN</x:v>
      </x:c>
      <x:c r="K1278" s="25" t="n">
        <x:v>4</x:v>
      </x:c>
      <x:c r="L1278" s="27" t="b">
        <x:v>0</x:v>
      </x:c>
      <x:c r="M1278" s="25" t="str">
        <x:v>Deepseek-flash-v4/state/Round2/status/JacksonDatabind_25.json; Deepseek-flash-v4/state/Round2/shards/JacksonDatabind_25.json</x:v>
      </x:c>
      <x:c r="N1278" s="25" t="str">
        <x:v>Deepseek-flash-v4/Result2/JacksonDatabind_25/result.json</x:v>
      </x:c>
      <x:c r="O1278" s="25" t="str">
        <x:v>Deepseek-flash-v4/Result2/JacksonDatabind_25/result.json</x:v>
      </x:c>
      <x:c r="P1278" t="str">
        <x:v>BOTH_NOT_RUN</x:v>
      </x:c>
      <x:c r="Q1278" s="21" t="str"/>
      <x:c r="R1278" s="21" t="str"/>
      <x:c r="S1278" s="21" t="str"/>
      <x:c r="T1278" s="17" t="str">
        <x:v>false</x:v>
      </x:c>
      <x:c r="U1278" s="17" t="str">
        <x:v>true</x:v>
      </x:c>
      <x:c r="V1278" s="17" t="str">
        <x:v>false</x:v>
      </x:c>
    </x:row>
    <x:row r="1279" ht="80" customHeight="1">
      <x:c r="A1279" s="25" t="str">
        <x:v>JacksonDatabind</x:v>
      </x:c>
      <x:c r="B1279" s="25" t="n">
        <x:v>26</x:v>
      </x:c>
      <x:c r="C1279" s="25" t="str">
        <x:v>Round2</x:v>
      </x:c>
      <x:c r="D1279" s="25" t="str">
        <x:v>NOT_AVAILABLE</x:v>
      </x:c>
      <x:c r="E1279" s="25" t="str">
        <x:v>N/A</x:v>
      </x:c>
      <x:c r="F1279" s="26" t="str">
        <x:v>Tests exist but current coverage did not complete</x:v>
      </x:c>
      <x:c r="G1279" s="25" t="str">
        <x:v>true</x:v>
      </x:c>
      <x:c r="H1279" s="25" t="str">
        <x:v>NOT_AVAILABLE</x:v>
      </x:c>
      <x:c r="I1279" s="25" t="str">
        <x:v>NOT_RUN</x:v>
      </x:c>
      <x:c r="J1279" s="25" t="str">
        <x:v>NOT_RUN</x:v>
      </x:c>
      <x:c r="K1279" s="25" t="n">
        <x:v>1</x:v>
      </x:c>
      <x:c r="L1279" s="27" t="b">
        <x:v>0</x:v>
      </x:c>
      <x:c r="M1279" s="25" t="str">
        <x:v>Deepseek-flash-v4/state/Round2/status/JacksonDatabind_26.json; Deepseek-flash-v4/state/Round2/shards/JacksonDatabind_26.json</x:v>
      </x:c>
      <x:c r="N1279" s="25" t="str">
        <x:v>Deepseek-flash-v4/Result2/JacksonDatabind_26/result.json</x:v>
      </x:c>
      <x:c r="O1279" s="25" t="str">
        <x:v>Deepseek-flash-v4/Result2/JacksonDatabind_26/result.json</x:v>
      </x:c>
      <x:c r="P1279" t="str">
        <x:v>BOTH_NOT_RUN</x:v>
      </x:c>
      <x:c r="Q1279" s="21" t="str"/>
      <x:c r="R1279" s="21" t="str"/>
      <x:c r="S1279" s="21" t="str"/>
      <x:c r="T1279" s="17" t="str">
        <x:v>false</x:v>
      </x:c>
      <x:c r="U1279" s="17" t="str">
        <x:v>true</x:v>
      </x:c>
      <x:c r="V1279" s="17" t="str">
        <x:v>false</x:v>
      </x:c>
    </x:row>
    <x:row r="1280" ht="80" customHeight="1">
      <x:c r="A1280" s="25" t="str">
        <x:v>JacksonDatabind</x:v>
      </x:c>
      <x:c r="B1280" s="25" t="n">
        <x:v>27</x:v>
      </x:c>
      <x:c r="C1280" s="25" t="str">
        <x:v>Round2</x:v>
      </x:c>
      <x:c r="D1280" s="25" t="str">
        <x:v>NOT_AVAILABLE</x:v>
      </x:c>
      <x:c r="E1280" s="25" t="str">
        <x:v>N/A</x:v>
      </x:c>
      <x:c r="F1280" s="26" t="str">
        <x:v>Tests exist but current coverage did not complete</x:v>
      </x:c>
      <x:c r="G1280" s="25" t="str">
        <x:v>true</x:v>
      </x:c>
      <x:c r="H1280" s="25" t="str">
        <x:v>NOT_AVAILABLE</x:v>
      </x:c>
      <x:c r="I1280" s="25" t="str">
        <x:v>NOT_RUN</x:v>
      </x:c>
      <x:c r="J1280" s="25" t="str">
        <x:v>NOT_RUN</x:v>
      </x:c>
      <x:c r="K1280" s="25" t="n">
        <x:v>1</x:v>
      </x:c>
      <x:c r="L1280" s="27" t="b">
        <x:v>0</x:v>
      </x:c>
      <x:c r="M1280" s="25" t="str">
        <x:v>Deepseek-flash-v4/state/Round2/status/JacksonDatabind_27.json; Deepseek-flash-v4/state/Round2/shards/JacksonDatabind_27.json</x:v>
      </x:c>
      <x:c r="N1280" s="25" t="str">
        <x:v>Deepseek-flash-v4/Result2/JacksonDatabind_27/result.json</x:v>
      </x:c>
      <x:c r="O1280" s="25" t="str">
        <x:v>Deepseek-flash-v4/Result2/JacksonDatabind_27/result.json</x:v>
      </x:c>
      <x:c r="P1280" t="str">
        <x:v>BOTH_NOT_RUN</x:v>
      </x:c>
      <x:c r="Q1280" s="21" t="str"/>
      <x:c r="R1280" s="21" t="str"/>
      <x:c r="S1280" s="21" t="str"/>
      <x:c r="T1280" s="17" t="str">
        <x:v>false</x:v>
      </x:c>
      <x:c r="U1280" s="17" t="str">
        <x:v>true</x:v>
      </x:c>
      <x:c r="V1280" s="17" t="str">
        <x:v>false</x:v>
      </x:c>
    </x:row>
    <x:row r="1281" ht="80" customHeight="1">
      <x:c r="A1281" s="25" t="str">
        <x:v>JacksonDatabind</x:v>
      </x:c>
      <x:c r="B1281" s="25" t="n">
        <x:v>28</x:v>
      </x:c>
      <x:c r="C1281" s="25" t="str">
        <x:v>Round2</x:v>
      </x:c>
      <x:c r="D1281" s="25" t="str">
        <x:v>NOT_AVAILABLE</x:v>
      </x:c>
      <x:c r="E1281" s="25" t="str">
        <x:v>N/A</x:v>
      </x:c>
      <x:c r="F1281" s="26" t="str">
        <x:v>Tests exist but current coverage did not complete</x:v>
      </x:c>
      <x:c r="G1281" s="25" t="str">
        <x:v>true</x:v>
      </x:c>
      <x:c r="H1281" s="25" t="str">
        <x:v>NOT_AVAILABLE</x:v>
      </x:c>
      <x:c r="I1281" s="25" t="str">
        <x:v>NOT_RUN</x:v>
      </x:c>
      <x:c r="J1281" s="25" t="str">
        <x:v>NOT_RUN</x:v>
      </x:c>
      <x:c r="K1281" s="25" t="n">
        <x:v>1</x:v>
      </x:c>
      <x:c r="L1281" s="27" t="b">
        <x:v>0</x:v>
      </x:c>
      <x:c r="M1281" s="25" t="str">
        <x:v>Deepseek-flash-v4/state/Round2/status/JacksonDatabind_28.json; Deepseek-flash-v4/state/Round2/shards/JacksonDatabind_28.json</x:v>
      </x:c>
      <x:c r="N1281" s="25" t="str">
        <x:v>Deepseek-flash-v4/Result2/JacksonDatabind_28/result.json</x:v>
      </x:c>
      <x:c r="O1281" s="25" t="str">
        <x:v>Deepseek-flash-v4/Result2/JacksonDatabind_28/result.json</x:v>
      </x:c>
      <x:c r="P1281" t="str">
        <x:v>BOTH_NOT_RUN</x:v>
      </x:c>
      <x:c r="Q1281" s="21" t="str"/>
      <x:c r="R1281" s="21" t="str"/>
      <x:c r="S1281" s="21" t="str"/>
      <x:c r="T1281" s="17" t="str">
        <x:v>false</x:v>
      </x:c>
      <x:c r="U1281" s="17" t="str">
        <x:v>true</x:v>
      </x:c>
      <x:c r="V1281" s="17" t="str">
        <x:v>false</x:v>
      </x:c>
    </x:row>
    <x:row r="1282" ht="80" customHeight="1">
      <x:c r="A1282" s="25" t="str">
        <x:v>JacksonDatabind</x:v>
      </x:c>
      <x:c r="B1282" s="25" t="n">
        <x:v>29</x:v>
      </x:c>
      <x:c r="C1282" s="25" t="str">
        <x:v>Round2</x:v>
      </x:c>
      <x:c r="D1282" s="25" t="str">
        <x:v>NOT_AVAILABLE</x:v>
      </x:c>
      <x:c r="E1282" s="25" t="str">
        <x:v>N/A</x:v>
      </x:c>
      <x:c r="F1282" s="26" t="str">
        <x:v>Tests exist but current coverage did not complete</x:v>
      </x:c>
      <x:c r="G1282" s="25" t="str">
        <x:v>true</x:v>
      </x:c>
      <x:c r="H1282" s="25" t="str">
        <x:v>NOT_AVAILABLE</x:v>
      </x:c>
      <x:c r="I1282" s="25" t="str">
        <x:v>NOT_RUN</x:v>
      </x:c>
      <x:c r="J1282" s="25" t="str">
        <x:v>NOT_RUN</x:v>
      </x:c>
      <x:c r="K1282" s="25" t="n">
        <x:v>1</x:v>
      </x:c>
      <x:c r="L1282" s="27" t="b">
        <x:v>0</x:v>
      </x:c>
      <x:c r="M1282" s="25" t="str">
        <x:v>Deepseek-flash-v4/state/Round2/status/JacksonDatabind_29.json; Deepseek-flash-v4/state/Round2/shards/JacksonDatabind_29.json</x:v>
      </x:c>
      <x:c r="N1282" s="25" t="str">
        <x:v>Deepseek-flash-v4/Result2/JacksonDatabind_29/result.json</x:v>
      </x:c>
      <x:c r="O1282" s="25" t="str">
        <x:v>Deepseek-flash-v4/Result2/JacksonDatabind_29/result.json</x:v>
      </x:c>
      <x:c r="P1282" t="str">
        <x:v>BOTH_NOT_RUN</x:v>
      </x:c>
      <x:c r="Q1282" s="21" t="str"/>
      <x:c r="R1282" s="21" t="str"/>
      <x:c r="S1282" s="21" t="str"/>
      <x:c r="T1282" s="17" t="str">
        <x:v>false</x:v>
      </x:c>
      <x:c r="U1282" s="17" t="str">
        <x:v>true</x:v>
      </x:c>
      <x:c r="V1282" s="17" t="str">
        <x:v>false</x:v>
      </x:c>
    </x:row>
    <x:row r="1283" ht="80" customHeight="1">
      <x:c r="A1283" s="25" t="str">
        <x:v>JacksonDatabind</x:v>
      </x:c>
      <x:c r="B1283" s="25" t="n">
        <x:v>3</x:v>
      </x:c>
      <x:c r="C1283" s="25" t="str">
        <x:v>Round2</x:v>
      </x:c>
      <x:c r="D1283" s="25" t="str">
        <x:v>NOT_AVAILABLE</x:v>
      </x:c>
      <x:c r="E1283" s="25" t="str">
        <x:v>N/A</x:v>
      </x:c>
      <x:c r="F1283" s="26" t="str">
        <x:v>Tests exist but current coverage did not complete</x:v>
      </x:c>
      <x:c r="G1283" s="25" t="str">
        <x:v>true</x:v>
      </x:c>
      <x:c r="H1283" s="25" t="str">
        <x:v>NOT_AVAILABLE</x:v>
      </x:c>
      <x:c r="I1283" s="25" t="str">
        <x:v>NOT_RUN</x:v>
      </x:c>
      <x:c r="J1283" s="25" t="str">
        <x:v>NOT_RUN</x:v>
      </x:c>
      <x:c r="K1283" s="25" t="n">
        <x:v>1</x:v>
      </x:c>
      <x:c r="L1283" s="27" t="b">
        <x:v>0</x:v>
      </x:c>
      <x:c r="M1283" s="25" t="str">
        <x:v>Deepseek-flash-v4/state/Round2/status/JacksonDatabind_3.json; Deepseek-flash-v4/state/Round2/shards/JacksonDatabind_3.json</x:v>
      </x:c>
      <x:c r="N1283" s="25" t="str">
        <x:v>Deepseek-flash-v4/Result2/JacksonDatabind_3/result.json</x:v>
      </x:c>
      <x:c r="O1283" s="25" t="str">
        <x:v>Deepseek-flash-v4/Result2/JacksonDatabind_3/result.json</x:v>
      </x:c>
      <x:c r="P1283" t="str">
        <x:v>BOTH_NOT_RUN</x:v>
      </x:c>
      <x:c r="Q1283" s="21" t="str"/>
      <x:c r="R1283" s="21" t="str"/>
      <x:c r="S1283" s="21" t="str"/>
      <x:c r="T1283" s="17" t="str">
        <x:v>false</x:v>
      </x:c>
      <x:c r="U1283" s="17" t="str">
        <x:v>true</x:v>
      </x:c>
      <x:c r="V1283" s="17" t="str">
        <x:v>false</x:v>
      </x:c>
    </x:row>
    <x:row r="1284" ht="80" customHeight="1">
      <x:c r="A1284" s="25" t="str">
        <x:v>JacksonDatabind</x:v>
      </x:c>
      <x:c r="B1284" s="25" t="n">
        <x:v>30</x:v>
      </x:c>
      <x:c r="C1284" s="25" t="str">
        <x:v>Round2</x:v>
      </x:c>
      <x:c r="D1284" s="25" t="str">
        <x:v>NOT_AVAILABLE</x:v>
      </x:c>
      <x:c r="E1284" s="25" t="str">
        <x:v>N/A</x:v>
      </x:c>
      <x:c r="F1284" s="26" t="str">
        <x:v>Tests exist but current coverage did not complete</x:v>
      </x:c>
      <x:c r="G1284" s="25" t="str">
        <x:v>true</x:v>
      </x:c>
      <x:c r="H1284" s="25" t="str">
        <x:v>NOT_AVAILABLE</x:v>
      </x:c>
      <x:c r="I1284" s="25" t="str">
        <x:v>NOT_RUN</x:v>
      </x:c>
      <x:c r="J1284" s="25" t="str">
        <x:v>NOT_RUN</x:v>
      </x:c>
      <x:c r="K1284" s="25" t="n">
        <x:v>2</x:v>
      </x:c>
      <x:c r="L1284" s="27" t="b">
        <x:v>0</x:v>
      </x:c>
      <x:c r="M1284" s="25" t="str">
        <x:v>Deepseek-flash-v4/state/Round2/status/JacksonDatabind_30.json; Deepseek-flash-v4/state/Round2/shards/JacksonDatabind_30.json</x:v>
      </x:c>
      <x:c r="N1284" s="25" t="str">
        <x:v>Deepseek-flash-v4/Result2/JacksonDatabind_30/result.json</x:v>
      </x:c>
      <x:c r="O1284" s="25" t="str">
        <x:v>Deepseek-flash-v4/Result2/JacksonDatabind_30/result.json</x:v>
      </x:c>
      <x:c r="P1284" t="str">
        <x:v>BOTH_NOT_RUN</x:v>
      </x:c>
      <x:c r="Q1284" s="21" t="str"/>
      <x:c r="R1284" s="21" t="str"/>
      <x:c r="S1284" s="21" t="str"/>
      <x:c r="T1284" s="17" t="str">
        <x:v>false</x:v>
      </x:c>
      <x:c r="U1284" s="17" t="str">
        <x:v>true</x:v>
      </x:c>
      <x:c r="V1284" s="17" t="str">
        <x:v>false</x:v>
      </x:c>
    </x:row>
    <x:row r="1285" ht="80" customHeight="1">
      <x:c r="A1285" s="25" t="str">
        <x:v>JacksonDatabind</x:v>
      </x:c>
      <x:c r="B1285" s="25" t="n">
        <x:v>31</x:v>
      </x:c>
      <x:c r="C1285" s="25" t="str">
        <x:v>Round2</x:v>
      </x:c>
      <x:c r="D1285" s="25" t="str">
        <x:v>NOT_AVAILABLE</x:v>
      </x:c>
      <x:c r="E1285" s="25" t="str">
        <x:v>N/A</x:v>
      </x:c>
      <x:c r="F1285" s="26" t="str">
        <x:v>Tests exist but current coverage did not complete</x:v>
      </x:c>
      <x:c r="G1285" s="25" t="str">
        <x:v>true</x:v>
      </x:c>
      <x:c r="H1285" s="25" t="str">
        <x:v>NOT_AVAILABLE</x:v>
      </x:c>
      <x:c r="I1285" s="25" t="str">
        <x:v>NOT_RUN</x:v>
      </x:c>
      <x:c r="J1285" s="25" t="str">
        <x:v>NOT_RUN</x:v>
      </x:c>
      <x:c r="K1285" s="25" t="n">
        <x:v>1</x:v>
      </x:c>
      <x:c r="L1285" s="27" t="b">
        <x:v>0</x:v>
      </x:c>
      <x:c r="M1285" s="25" t="str">
        <x:v>Deepseek-flash-v4/state/Round2/status/JacksonDatabind_31.json; Deepseek-flash-v4/state/Round2/shards/JacksonDatabind_31.json</x:v>
      </x:c>
      <x:c r="N1285" s="25" t="str">
        <x:v>Deepseek-flash-v4/Result2/JacksonDatabind_31/result.json</x:v>
      </x:c>
      <x:c r="O1285" s="25" t="str">
        <x:v>Deepseek-flash-v4/Result2/JacksonDatabind_31/result.json</x:v>
      </x:c>
      <x:c r="P1285" t="str">
        <x:v>BOTH_NOT_RUN</x:v>
      </x:c>
      <x:c r="Q1285" s="21" t="str"/>
      <x:c r="R1285" s="21" t="str"/>
      <x:c r="S1285" s="21" t="str"/>
      <x:c r="T1285" s="17" t="str">
        <x:v>false</x:v>
      </x:c>
      <x:c r="U1285" s="17" t="str">
        <x:v>true</x:v>
      </x:c>
      <x:c r="V1285" s="17" t="str">
        <x:v>false</x:v>
      </x:c>
    </x:row>
    <x:row r="1286" ht="80" customHeight="1">
      <x:c r="A1286" s="25" t="str">
        <x:v>JacksonDatabind</x:v>
      </x:c>
      <x:c r="B1286" s="25" t="n">
        <x:v>32</x:v>
      </x:c>
      <x:c r="C1286" s="25" t="str">
        <x:v>Round2</x:v>
      </x:c>
      <x:c r="D1286" s="25" t="str">
        <x:v>NOT_AVAILABLE</x:v>
      </x:c>
      <x:c r="E1286" s="25" t="str">
        <x:v>N/A</x:v>
      </x:c>
      <x:c r="F1286" s="26" t="str">
        <x:v>Tests exist but current coverage did not complete</x:v>
      </x:c>
      <x:c r="G1286" s="25" t="str">
        <x:v>true</x:v>
      </x:c>
      <x:c r="H1286" s="25" t="str">
        <x:v>NOT_AVAILABLE</x:v>
      </x:c>
      <x:c r="I1286" s="25" t="str">
        <x:v>NOT_RUN</x:v>
      </x:c>
      <x:c r="J1286" s="25" t="str">
        <x:v>NOT_RUN</x:v>
      </x:c>
      <x:c r="K1286" s="25" t="n">
        <x:v>1</x:v>
      </x:c>
      <x:c r="L1286" s="27" t="b">
        <x:v>0</x:v>
      </x:c>
      <x:c r="M1286" s="25" t="str">
        <x:v>Deepseek-flash-v4/state/Round2/status/JacksonDatabind_32.json; Deepseek-flash-v4/state/Round2/shards/JacksonDatabind_32.json</x:v>
      </x:c>
      <x:c r="N1286" s="25" t="str">
        <x:v>Deepseek-flash-v4/Result2/JacksonDatabind_32/result.json</x:v>
      </x:c>
      <x:c r="O1286" s="25" t="str">
        <x:v>Deepseek-flash-v4/Result2/JacksonDatabind_32/result.json</x:v>
      </x:c>
      <x:c r="P1286" t="str">
        <x:v>BOTH_NOT_RUN</x:v>
      </x:c>
      <x:c r="Q1286" s="21" t="str"/>
      <x:c r="R1286" s="21" t="str"/>
      <x:c r="S1286" s="21" t="str"/>
      <x:c r="T1286" s="17" t="str">
        <x:v>false</x:v>
      </x:c>
      <x:c r="U1286" s="17" t="str">
        <x:v>true</x:v>
      </x:c>
      <x:c r="V1286" s="17" t="str">
        <x:v>false</x:v>
      </x:c>
    </x:row>
    <x:row r="1287" ht="80" customHeight="1">
      <x:c r="A1287" s="25" t="str">
        <x:v>JacksonDatabind</x:v>
      </x:c>
      <x:c r="B1287" s="25" t="n">
        <x:v>33</x:v>
      </x:c>
      <x:c r="C1287" s="25" t="str">
        <x:v>Round2</x:v>
      </x:c>
      <x:c r="D1287" s="25" t="str">
        <x:v>NOT_AVAILABLE</x:v>
      </x:c>
      <x:c r="E1287" s="25" t="str">
        <x:v>N/A</x:v>
      </x:c>
      <x:c r="F1287" s="26" t="str">
        <x:v>Tests exist but current coverage did not complete</x:v>
      </x:c>
      <x:c r="G1287" s="25" t="str">
        <x:v>true</x:v>
      </x:c>
      <x:c r="H1287" s="25" t="str">
        <x:v>NOT_AVAILABLE</x:v>
      </x:c>
      <x:c r="I1287" s="25" t="str">
        <x:v>NOT_RUN</x:v>
      </x:c>
      <x:c r="J1287" s="25" t="str">
        <x:v>NOT_RUN</x:v>
      </x:c>
      <x:c r="K1287" s="25" t="n">
        <x:v>1</x:v>
      </x:c>
      <x:c r="L1287" s="27" t="b">
        <x:v>0</x:v>
      </x:c>
      <x:c r="M1287" s="25" t="str">
        <x:v>Deepseek-flash-v4/state/Round2/status/JacksonDatabind_33.json; Deepseek-flash-v4/state/Round2/shards/JacksonDatabind_33.json</x:v>
      </x:c>
      <x:c r="N1287" s="25" t="str">
        <x:v>Deepseek-flash-v4/Result2/JacksonDatabind_33/result.json</x:v>
      </x:c>
      <x:c r="O1287" s="25" t="str">
        <x:v>Deepseek-flash-v4/Result2/JacksonDatabind_33/result.json</x:v>
      </x:c>
      <x:c r="P1287" t="str">
        <x:v>BOTH_NOT_RUN</x:v>
      </x:c>
      <x:c r="Q1287" s="21" t="str"/>
      <x:c r="R1287" s="21" t="str"/>
      <x:c r="S1287" s="21" t="str"/>
      <x:c r="T1287" s="17" t="str">
        <x:v>false</x:v>
      </x:c>
      <x:c r="U1287" s="17" t="str">
        <x:v>true</x:v>
      </x:c>
      <x:c r="V1287" s="17" t="str">
        <x:v>false</x:v>
      </x:c>
    </x:row>
    <x:row r="1288" ht="80" customHeight="1">
      <x:c r="A1288" s="25" t="str">
        <x:v>JacksonDatabind</x:v>
      </x:c>
      <x:c r="B1288" s="25" t="n">
        <x:v>34</x:v>
      </x:c>
      <x:c r="C1288" s="25" t="str">
        <x:v>Round2</x:v>
      </x:c>
      <x:c r="D1288" s="25" t="str">
        <x:v>NOT_AVAILABLE</x:v>
      </x:c>
      <x:c r="E1288" s="25" t="str">
        <x:v>N/A</x:v>
      </x:c>
      <x:c r="F1288" s="26" t="str">
        <x:v>Tests exist but current coverage did not complete</x:v>
      </x:c>
      <x:c r="G1288" s="25" t="str">
        <x:v>true</x:v>
      </x:c>
      <x:c r="H1288" s="25" t="str">
        <x:v>NOT_AVAILABLE</x:v>
      </x:c>
      <x:c r="I1288" s="25" t="str">
        <x:v>NOT_RUN</x:v>
      </x:c>
      <x:c r="J1288" s="25" t="str">
        <x:v>NOT_RUN</x:v>
      </x:c>
      <x:c r="K1288" s="25" t="n">
        <x:v>1</x:v>
      </x:c>
      <x:c r="L1288" s="27" t="b">
        <x:v>0</x:v>
      </x:c>
      <x:c r="M1288" s="25" t="str">
        <x:v>Deepseek-flash-v4/state/Round2/status/JacksonDatabind_34.json; Deepseek-flash-v4/state/Round2/shards/JacksonDatabind_34.json</x:v>
      </x:c>
      <x:c r="N1288" s="25" t="str">
        <x:v>Deepseek-flash-v4/Result2/JacksonDatabind_34/result.json</x:v>
      </x:c>
      <x:c r="O1288" s="25" t="str">
        <x:v>Deepseek-flash-v4/Result2/JacksonDatabind_34/result.json</x:v>
      </x:c>
      <x:c r="P1288" t="str">
        <x:v>BOTH_NOT_RUN</x:v>
      </x:c>
      <x:c r="Q1288" s="21" t="str"/>
      <x:c r="R1288" s="21" t="str"/>
      <x:c r="S1288" s="21" t="str"/>
      <x:c r="T1288" s="17" t="str">
        <x:v>false</x:v>
      </x:c>
      <x:c r="U1288" s="17" t="str">
        <x:v>true</x:v>
      </x:c>
      <x:c r="V1288" s="17" t="str">
        <x:v>false</x:v>
      </x:c>
    </x:row>
    <x:row r="1289" ht="80" customHeight="1">
      <x:c r="A1289" s="25" t="str">
        <x:v>JacksonDatabind</x:v>
      </x:c>
      <x:c r="B1289" s="25" t="n">
        <x:v>35</x:v>
      </x:c>
      <x:c r="C1289" s="25" t="str">
        <x:v>Round2</x:v>
      </x:c>
      <x:c r="D1289" s="25" t="str">
        <x:v>NOT_AVAILABLE</x:v>
      </x:c>
      <x:c r="E1289" s="25" t="str">
        <x:v>N/A</x:v>
      </x:c>
      <x:c r="F1289" s="26" t="str">
        <x:v>Tests exist but current coverage did not complete</x:v>
      </x:c>
      <x:c r="G1289" s="25" t="str">
        <x:v>true</x:v>
      </x:c>
      <x:c r="H1289" s="25" t="str">
        <x:v>NOT_AVAILABLE</x:v>
      </x:c>
      <x:c r="I1289" s="25" t="str">
        <x:v>NOT_RUN</x:v>
      </x:c>
      <x:c r="J1289" s="25" t="str">
        <x:v>NOT_RUN</x:v>
      </x:c>
      <x:c r="K1289" s="25" t="n">
        <x:v>1</x:v>
      </x:c>
      <x:c r="L1289" s="27" t="b">
        <x:v>0</x:v>
      </x:c>
      <x:c r="M1289" s="25" t="str">
        <x:v>Deepseek-flash-v4/state/Round2/status/JacksonDatabind_35.json; Deepseek-flash-v4/state/Round2/shards/JacksonDatabind_35.json</x:v>
      </x:c>
      <x:c r="N1289" s="25" t="str">
        <x:v>Deepseek-flash-v4/Result2/JacksonDatabind_35/result.json</x:v>
      </x:c>
      <x:c r="O1289" s="25" t="str">
        <x:v>Deepseek-flash-v4/Result2/JacksonDatabind_35/result.json</x:v>
      </x:c>
      <x:c r="P1289" t="str">
        <x:v>BOTH_NOT_RUN</x:v>
      </x:c>
      <x:c r="Q1289" s="21" t="str"/>
      <x:c r="R1289" s="21" t="str"/>
      <x:c r="S1289" s="21" t="str"/>
      <x:c r="T1289" s="17" t="str">
        <x:v>false</x:v>
      </x:c>
      <x:c r="U1289" s="17" t="str">
        <x:v>true</x:v>
      </x:c>
      <x:c r="V1289" s="17" t="str">
        <x:v>false</x:v>
      </x:c>
    </x:row>
    <x:row r="1290" ht="80" customHeight="1">
      <x:c r="A1290" s="25" t="str">
        <x:v>JacksonDatabind</x:v>
      </x:c>
      <x:c r="B1290" s="25" t="n">
        <x:v>36</x:v>
      </x:c>
      <x:c r="C1290" s="25" t="str">
        <x:v>Round2</x:v>
      </x:c>
      <x:c r="D1290" s="25" t="str">
        <x:v>INCONCLUSIVE</x:v>
      </x:c>
      <x:c r="E1290" s="25" t="str">
        <x:v>N/A</x:v>
      </x:c>
      <x:c r="F1290" s="26" t="str">
        <x:v>Fixed also failed; assertion failure cannot be attributed to this bug; Same-round generation metadata missing; use saved tests and execution evidence, no failure inferred</x:v>
      </x:c>
      <x:c r="G1290" s="25" t="str">
        <x:v>true</x:v>
      </x:c>
      <x:c r="H1290" s="25" t="str">
        <x:v>INCONCLUSIVE</x:v>
      </x:c>
      <x:c r="I1290" s="25" t="str">
        <x:v>FAIL</x:v>
      </x:c>
      <x:c r="J1290" s="25" t="str">
        <x:v>FAIL</x:v>
      </x:c>
      <x:c r="K1290" s="25" t="n">
        <x:v>1</x:v>
      </x:c>
      <x:c r="L1290" s="27" t="b">
        <x:v>0</x:v>
      </x:c>
      <x:c r="M1290" s="25"/>
      <x:c r="N1290" s="25" t="str">
        <x:v>Deepseek-flash-v4/Result2/JacksonDatabind_36/result.json</x:v>
      </x:c>
      <x:c r="O1290" s="25" t="str">
        <x:v>Deepseek-flash-v4/Result2/JacksonDatabind_36/result.json</x:v>
      </x:c>
      <x:c r="P1290"/>
      <x:c r="Q1290" s="21" t="str"/>
      <x:c r="R1290" s="21" t="str"/>
      <x:c r="S1290" s="21" t="str"/>
      <x:c r="T1290" s="17" t="str">
        <x:v>false</x:v>
      </x:c>
      <x:c r="U1290" s="17" t="str">
        <x:v>true</x:v>
      </x:c>
      <x:c r="V1290" s="17" t="str">
        <x:v>false</x:v>
      </x:c>
    </x:row>
    <x:row r="1291" ht="80" customHeight="1">
      <x:c r="A1291" s="25" t="str">
        <x:v>JacksonDatabind</x:v>
      </x:c>
      <x:c r="B1291" s="25" t="n">
        <x:v>37</x:v>
      </x:c>
      <x:c r="C1291" s="25" t="str">
        <x:v>Round2</x:v>
      </x:c>
      <x:c r="D1291" s="25" t="str">
        <x:v>NOT_REVEALING</x:v>
      </x:c>
      <x:c r="E1291" s="25" t="str">
        <x:v>N/A</x:v>
      </x:c>
      <x:c r="F1291" s="26" t="str">
        <x:v>Same saved validation suite passed on buggy and fixed</x:v>
      </x:c>
      <x:c r="G1291" s="25" t="str">
        <x:v>true</x:v>
      </x:c>
      <x:c r="H1291" s="25" t="str">
        <x:v>NOT_REVEALING</x:v>
      </x:c>
      <x:c r="I1291" s="25" t="str">
        <x:v>PASS</x:v>
      </x:c>
      <x:c r="J1291" s="25" t="str">
        <x:v>PASS</x:v>
      </x:c>
      <x:c r="K1291" s="25" t="n">
        <x:v>1</x:v>
      </x:c>
      <x:c r="L1291" s="27" t="b">
        <x:v>0</x:v>
      </x:c>
      <x:c r="M1291" s="25" t="str">
        <x:v>Deepseek-flash-v4/state/Round2/status/JacksonDatabind_37.json; Deepseek-flash-v4/state/Round2/shards/JacksonDatabind_37.json</x:v>
      </x:c>
      <x:c r="N1291" s="25" t="str">
        <x:v>Deepseek-flash-v4/Result2/JacksonDatabind_37/result.json</x:v>
      </x:c>
      <x:c r="O1291" s="25" t="str">
        <x:v>Deepseek-flash-v4/Result2/JacksonDatabind_37/result.json</x:v>
      </x:c>
      <x:c r="P1291"/>
      <x:c r="Q1291" s="21" t="str"/>
      <x:c r="R1291" s="21" t="str"/>
      <x:c r="S1291" s="21" t="str"/>
      <x:c r="T1291" s="17" t="str">
        <x:v>false</x:v>
      </x:c>
      <x:c r="U1291" s="17" t="str">
        <x:v>true</x:v>
      </x:c>
      <x:c r="V1291" s="17" t="str">
        <x:v>false</x:v>
      </x:c>
    </x:row>
    <x:row r="1292" ht="80" customHeight="1">
      <x:c r="A1292" s="25" t="str">
        <x:v>JacksonDatabind</x:v>
      </x:c>
      <x:c r="B1292" s="25" t="n">
        <x:v>38</x:v>
      </x:c>
      <x:c r="C1292" s="25" t="str">
        <x:v>Round2</x:v>
      </x:c>
      <x:c r="D1292" s="25" t="str">
        <x:v>NOT_AVAILABLE</x:v>
      </x:c>
      <x:c r="E1292" s="25" t="str">
        <x:v>N/A</x:v>
      </x:c>
      <x:c r="F1292" s="26" t="str">
        <x:v>Tests exist but current coverage did not complete</x:v>
      </x:c>
      <x:c r="G1292" s="25" t="str">
        <x:v>true</x:v>
      </x:c>
      <x:c r="H1292" s="25" t="str">
        <x:v>NOT_AVAILABLE</x:v>
      </x:c>
      <x:c r="I1292" s="25" t="str">
        <x:v>NOT_RUN</x:v>
      </x:c>
      <x:c r="J1292" s="25" t="str">
        <x:v>NOT_RUN</x:v>
      </x:c>
      <x:c r="K1292" s="25" t="n">
        <x:v>3</x:v>
      </x:c>
      <x:c r="L1292" s="27" t="b">
        <x:v>0</x:v>
      </x:c>
      <x:c r="M1292" s="25" t="str">
        <x:v>Deepseek-flash-v4/state/Round2/status/JacksonDatabind_38.json; Deepseek-flash-v4/state/Round2/shards/JacksonDatabind_38.json</x:v>
      </x:c>
      <x:c r="N1292" s="25" t="str">
        <x:v>Deepseek-flash-v4/Result2/JacksonDatabind_38/result.json</x:v>
      </x:c>
      <x:c r="O1292" s="25" t="str">
        <x:v>Deepseek-flash-v4/Result2/JacksonDatabind_38/result.json</x:v>
      </x:c>
      <x:c r="P1292" t="str">
        <x:v>BOTH_NOT_RUN</x:v>
      </x:c>
      <x:c r="Q1292" s="21" t="str"/>
      <x:c r="R1292" s="21" t="str"/>
      <x:c r="S1292" s="21" t="str"/>
      <x:c r="T1292" s="17" t="str">
        <x:v>false</x:v>
      </x:c>
      <x:c r="U1292" s="17" t="str">
        <x:v>true</x:v>
      </x:c>
      <x:c r="V1292" s="17" t="str">
        <x:v>false</x:v>
      </x:c>
    </x:row>
    <x:row r="1293" ht="80" customHeight="1">
      <x:c r="A1293" s="25" t="str">
        <x:v>JacksonDatabind</x:v>
      </x:c>
      <x:c r="B1293" s="25" t="n">
        <x:v>39</x:v>
      </x:c>
      <x:c r="C1293" s="25" t="str">
        <x:v>Round2</x:v>
      </x:c>
      <x:c r="D1293" s="25" t="str">
        <x:v>INCONCLUSIVE</x:v>
      </x:c>
      <x:c r="E1293" s="25" t="str">
        <x:v>N/A</x:v>
      </x:c>
      <x:c r="F1293" s="26" t="str">
        <x:v>Fixed also failed; assertion failure cannot be attributed to this bug; Same-round generation metadata missing; use saved tests and execution evidence, no failure inferred</x:v>
      </x:c>
      <x:c r="G1293" s="25" t="str">
        <x:v>true</x:v>
      </x:c>
      <x:c r="H1293" s="25" t="str">
        <x:v>INCONCLUSIVE</x:v>
      </x:c>
      <x:c r="I1293" s="25" t="str">
        <x:v>FAIL</x:v>
      </x:c>
      <x:c r="J1293" s="25" t="str">
        <x:v>FAIL</x:v>
      </x:c>
      <x:c r="K1293" s="25" t="n">
        <x:v>1</x:v>
      </x:c>
      <x:c r="L1293" s="27" t="b">
        <x:v>0</x:v>
      </x:c>
      <x:c r="M1293" s="25"/>
      <x:c r="N1293" s="25" t="str">
        <x:v>Deepseek-flash-v4/Result2/JacksonDatabind_39/result.json</x:v>
      </x:c>
      <x:c r="O1293" s="25" t="str">
        <x:v>Deepseek-flash-v4/Result2/JacksonDatabind_39/result.json</x:v>
      </x:c>
      <x:c r="P1293"/>
      <x:c r="Q1293" s="21" t="str"/>
      <x:c r="R1293" s="21" t="str"/>
      <x:c r="S1293" s="21" t="str"/>
      <x:c r="T1293" s="17" t="str">
        <x:v>false</x:v>
      </x:c>
      <x:c r="U1293" s="17" t="str">
        <x:v>true</x:v>
      </x:c>
      <x:c r="V1293" s="17" t="str">
        <x:v>false</x:v>
      </x:c>
    </x:row>
    <x:row r="1294" ht="80" customHeight="1">
      <x:c r="A1294" s="25" t="str">
        <x:v>JacksonDatabind</x:v>
      </x:c>
      <x:c r="B1294" s="25" t="n">
        <x:v>4</x:v>
      </x:c>
      <x:c r="C1294" s="25" t="str">
        <x:v>Round2</x:v>
      </x:c>
      <x:c r="D1294" s="25" t="str">
        <x:v>NOT_AVAILABLE</x:v>
      </x:c>
      <x:c r="E1294" s="25" t="str">
        <x:v>N/A</x:v>
      </x:c>
      <x:c r="F1294" s="26" t="str">
        <x:v>Tests exist but current coverage did not complete</x:v>
      </x:c>
      <x:c r="G1294" s="25" t="str">
        <x:v>true</x:v>
      </x:c>
      <x:c r="H1294" s="25" t="str">
        <x:v>NOT_AVAILABLE</x:v>
      </x:c>
      <x:c r="I1294" s="25" t="str">
        <x:v>NOT_RUN</x:v>
      </x:c>
      <x:c r="J1294" s="25" t="str">
        <x:v>NOT_RUN</x:v>
      </x:c>
      <x:c r="K1294" s="25" t="n">
        <x:v>1</x:v>
      </x:c>
      <x:c r="L1294" s="27" t="b">
        <x:v>0</x:v>
      </x:c>
      <x:c r="M1294" s="25" t="str">
        <x:v>Deepseek-flash-v4/state/Round2/status/JacksonDatabind_4.json; Deepseek-flash-v4/state/Round2/shards/JacksonDatabind_4.json</x:v>
      </x:c>
      <x:c r="N1294" s="25" t="str">
        <x:v>Deepseek-flash-v4/Result2/JacksonDatabind_4/result.json</x:v>
      </x:c>
      <x:c r="O1294" s="25" t="str">
        <x:v>Deepseek-flash-v4/Result2/JacksonDatabind_4/result.json</x:v>
      </x:c>
      <x:c r="P1294" t="str">
        <x:v>BOTH_NOT_RUN</x:v>
      </x:c>
      <x:c r="Q1294" s="21" t="str"/>
      <x:c r="R1294" s="21" t="str"/>
      <x:c r="S1294" s="21" t="str"/>
      <x:c r="T1294" s="17" t="str">
        <x:v>false</x:v>
      </x:c>
      <x:c r="U1294" s="17" t="str">
        <x:v>true</x:v>
      </x:c>
      <x:c r="V1294" s="17" t="str">
        <x:v>false</x:v>
      </x:c>
    </x:row>
    <x:row r="1295" ht="80" customHeight="1">
      <x:c r="A1295" s="25" t="str">
        <x:v>JacksonDatabind</x:v>
      </x:c>
      <x:c r="B1295" s="25" t="n">
        <x:v>40</x:v>
      </x:c>
      <x:c r="C1295" s="25" t="str">
        <x:v>Round2</x:v>
      </x:c>
      <x:c r="D1295" s="25" t="str">
        <x:v>INCONCLUSIVE</x:v>
      </x:c>
      <x:c r="E1295" s="25" t="str">
        <x:v>N/A</x:v>
      </x:c>
      <x:c r="F1295" s="26" t="str">
        <x:v>Fixed also failed; assertion failure cannot be attributed to this bug; Same-round generation metadata missing; use saved tests and execution evidence, no failure inferred</x:v>
      </x:c>
      <x:c r="G1295" s="25" t="str">
        <x:v>true</x:v>
      </x:c>
      <x:c r="H1295" s="25" t="str">
        <x:v>INCONCLUSIVE</x:v>
      </x:c>
      <x:c r="I1295" s="25" t="str">
        <x:v>FAIL</x:v>
      </x:c>
      <x:c r="J1295" s="25" t="str">
        <x:v>FAIL</x:v>
      </x:c>
      <x:c r="K1295" s="25" t="n">
        <x:v>1</x:v>
      </x:c>
      <x:c r="L1295" s="27" t="b">
        <x:v>0</x:v>
      </x:c>
      <x:c r="M1295" s="25"/>
      <x:c r="N1295" s="25" t="str">
        <x:v>Deepseek-flash-v4/Result2/JacksonDatabind_40/result.json</x:v>
      </x:c>
      <x:c r="O1295" s="25" t="str">
        <x:v>Deepseek-flash-v4/Result2/JacksonDatabind_40/result.json</x:v>
      </x:c>
      <x:c r="P1295"/>
      <x:c r="Q1295" s="21" t="str"/>
      <x:c r="R1295" s="21" t="str"/>
      <x:c r="S1295" s="21" t="str"/>
      <x:c r="T1295" s="17" t="str">
        <x:v>false</x:v>
      </x:c>
      <x:c r="U1295" s="17" t="str">
        <x:v>true</x:v>
      </x:c>
      <x:c r="V1295" s="17" t="str">
        <x:v>false</x:v>
      </x:c>
    </x:row>
    <x:row r="1296" ht="80" customHeight="1">
      <x:c r="A1296" s="25" t="str">
        <x:v>JacksonDatabind</x:v>
      </x:c>
      <x:c r="B1296" s="25" t="n">
        <x:v>41</x:v>
      </x:c>
      <x:c r="C1296" s="25" t="str">
        <x:v>Round2</x:v>
      </x:c>
      <x:c r="D1296" s="25" t="str">
        <x:v>NOT_AVAILABLE</x:v>
      </x:c>
      <x:c r="E1296" s="25" t="str">
        <x:v>N/A</x:v>
      </x:c>
      <x:c r="F1296" s="26" t="str">
        <x:v>Tests exist but current coverage did not complete</x:v>
      </x:c>
      <x:c r="G1296" s="25" t="str">
        <x:v>true</x:v>
      </x:c>
      <x:c r="H1296" s="25" t="str">
        <x:v>NOT_AVAILABLE</x:v>
      </x:c>
      <x:c r="I1296" s="25" t="str">
        <x:v>NOT_RUN</x:v>
      </x:c>
      <x:c r="J1296" s="25" t="str">
        <x:v>NOT_RUN</x:v>
      </x:c>
      <x:c r="K1296" s="25" t="n">
        <x:v>1</x:v>
      </x:c>
      <x:c r="L1296" s="27" t="b">
        <x:v>0</x:v>
      </x:c>
      <x:c r="M1296" s="25" t="str">
        <x:v>Deepseek-flash-v4/state/Round2/status/JacksonDatabind_41.json; Deepseek-flash-v4/state/Round2/shards/JacksonDatabind_41.json</x:v>
      </x:c>
      <x:c r="N1296" s="25" t="str">
        <x:v>Deepseek-flash-v4/Result2/JacksonDatabind_41/result.json</x:v>
      </x:c>
      <x:c r="O1296" s="25" t="str">
        <x:v>Deepseek-flash-v4/Result2/JacksonDatabind_41/result.json</x:v>
      </x:c>
      <x:c r="P1296" t="str">
        <x:v>BOTH_NOT_RUN</x:v>
      </x:c>
      <x:c r="Q1296" s="21" t="str"/>
      <x:c r="R1296" s="21" t="str"/>
      <x:c r="S1296" s="21" t="str"/>
      <x:c r="T1296" s="17" t="str">
        <x:v>false</x:v>
      </x:c>
      <x:c r="U1296" s="17" t="str">
        <x:v>true</x:v>
      </x:c>
      <x:c r="V1296" s="17" t="str">
        <x:v>false</x:v>
      </x:c>
    </x:row>
    <x:row r="1297" ht="80" customHeight="1">
      <x:c r="A1297" s="25" t="str">
        <x:v>JacksonDatabind</x:v>
      </x:c>
      <x:c r="B1297" s="25" t="n">
        <x:v>42</x:v>
      </x:c>
      <x:c r="C1297" s="25" t="str">
        <x:v>Round2</x:v>
      </x:c>
      <x:c r="D1297" s="25" t="str">
        <x:v>INCONCLUSIVE</x:v>
      </x:c>
      <x:c r="E1297" s="25" t="str">
        <x:v>N/A</x:v>
      </x:c>
      <x:c r="F1297" s="26" t="str">
        <x:v>Fixed also failed; assertion failure cannot be attributed to this bug</x:v>
      </x:c>
      <x:c r="G1297" s="25" t="str">
        <x:v>true</x:v>
      </x:c>
      <x:c r="H1297" s="25" t="str">
        <x:v>INCONCLUSIVE</x:v>
      </x:c>
      <x:c r="I1297" s="25" t="str">
        <x:v>FAIL</x:v>
      </x:c>
      <x:c r="J1297" s="25" t="str">
        <x:v>FAIL</x:v>
      </x:c>
      <x:c r="K1297" s="25" t="n">
        <x:v>1</x:v>
      </x:c>
      <x:c r="L1297" s="27" t="b">
        <x:v>0</x:v>
      </x:c>
      <x:c r="M1297" s="25" t="str">
        <x:v>Deepseek-flash-v4/state/Round2/status/JacksonDatabind_42.json; Deepseek-flash-v4/state/Round2/shards/JacksonDatabind_42.json</x:v>
      </x:c>
      <x:c r="N1297" s="25" t="str">
        <x:v>Deepseek-flash-v4/Result2/JacksonDatabind_42/result.json</x:v>
      </x:c>
      <x:c r="O1297" s="25" t="str">
        <x:v>Deepseek-flash-v4/Result2/JacksonDatabind_42/result.json</x:v>
      </x:c>
      <x:c r="P1297"/>
      <x:c r="Q1297" s="21" t="str"/>
      <x:c r="R1297" s="21" t="str"/>
      <x:c r="S1297" s="21" t="str"/>
      <x:c r="T1297" s="17" t="str">
        <x:v>false</x:v>
      </x:c>
      <x:c r="U1297" s="17" t="str">
        <x:v>true</x:v>
      </x:c>
      <x:c r="V1297" s="17" t="str">
        <x:v>false</x:v>
      </x:c>
    </x:row>
    <x:row r="1298" ht="80" customHeight="1">
      <x:c r="A1298" s="25" t="str">
        <x:v>JacksonDatabind</x:v>
      </x:c>
      <x:c r="B1298" s="25" t="n">
        <x:v>43</x:v>
      </x:c>
      <x:c r="C1298" s="25" t="str">
        <x:v>Round2</x:v>
      </x:c>
      <x:c r="D1298" s="25" t="str">
        <x:v>NOT_AVAILABLE</x:v>
      </x:c>
      <x:c r="E1298" s="25" t="str">
        <x:v>N/A</x:v>
      </x:c>
      <x:c r="F1298" s="26" t="str">
        <x:v>Tests exist but current coverage did not complete</x:v>
      </x:c>
      <x:c r="G1298" s="25" t="str">
        <x:v>true</x:v>
      </x:c>
      <x:c r="H1298" s="25" t="str">
        <x:v>NOT_AVAILABLE</x:v>
      </x:c>
      <x:c r="I1298" s="25" t="str">
        <x:v>NOT_RUN</x:v>
      </x:c>
      <x:c r="J1298" s="25" t="str">
        <x:v>NOT_RUN</x:v>
      </x:c>
      <x:c r="K1298" s="25" t="n">
        <x:v>1</x:v>
      </x:c>
      <x:c r="L1298" s="27" t="b">
        <x:v>0</x:v>
      </x:c>
      <x:c r="M1298" s="25" t="str">
        <x:v>Deepseek-flash-v4/state/Round2/status/JacksonDatabind_43.json; Deepseek-flash-v4/state/Round2/shards/JacksonDatabind_43.json</x:v>
      </x:c>
      <x:c r="N1298" s="25" t="str">
        <x:v>Deepseek-flash-v4/Result2/JacksonDatabind_43/result.json</x:v>
      </x:c>
      <x:c r="O1298" s="25" t="str">
        <x:v>Deepseek-flash-v4/Result2/JacksonDatabind_43/result.json</x:v>
      </x:c>
      <x:c r="P1298" t="str">
        <x:v>BOTH_NOT_RUN</x:v>
      </x:c>
      <x:c r="Q1298" s="21" t="str"/>
      <x:c r="R1298" s="21" t="str"/>
      <x:c r="S1298" s="21" t="str"/>
      <x:c r="T1298" s="17" t="str">
        <x:v>false</x:v>
      </x:c>
      <x:c r="U1298" s="17" t="str">
        <x:v>true</x:v>
      </x:c>
      <x:c r="V1298" s="17" t="str">
        <x:v>false</x:v>
      </x:c>
    </x:row>
    <x:row r="1299" ht="80" customHeight="1">
      <x:c r="A1299" s="25" t="str">
        <x:v>JacksonDatabind</x:v>
      </x:c>
      <x:c r="B1299" s="25" t="n">
        <x:v>44</x:v>
      </x:c>
      <x:c r="C1299" s="25" t="str">
        <x:v>Round2</x:v>
      </x:c>
      <x:c r="D1299" s="25" t="str">
        <x:v>NOT_REVEALING</x:v>
      </x:c>
      <x:c r="E1299" s="25" t="str">
        <x:v>N/A</x:v>
      </x:c>
      <x:c r="F1299" s="26" t="str">
        <x:v>Same saved validation suite passed on buggy and fixed; Same-round generation metadata missing; use saved tests and execution evidence, no failure inferred</x:v>
      </x:c>
      <x:c r="G1299" s="25" t="str">
        <x:v>true</x:v>
      </x:c>
      <x:c r="H1299" s="25" t="str">
        <x:v>NOT_REVEALING</x:v>
      </x:c>
      <x:c r="I1299" s="25" t="str">
        <x:v>PASS</x:v>
      </x:c>
      <x:c r="J1299" s="25" t="str">
        <x:v>PASS</x:v>
      </x:c>
      <x:c r="K1299" s="25" t="n">
        <x:v>1</x:v>
      </x:c>
      <x:c r="L1299" s="27" t="b">
        <x:v>0</x:v>
      </x:c>
      <x:c r="M1299" s="25"/>
      <x:c r="N1299" s="25" t="str">
        <x:v>Deepseek-flash-v4/Result2/JacksonDatabind_44/result.json</x:v>
      </x:c>
      <x:c r="O1299" s="25" t="str">
        <x:v>Deepseek-flash-v4/Result2/JacksonDatabind_44/result.json</x:v>
      </x:c>
      <x:c r="P1299"/>
      <x:c r="Q1299" s="21" t="str"/>
      <x:c r="R1299" s="21" t="str"/>
      <x:c r="S1299" s="21" t="str"/>
      <x:c r="T1299" s="17" t="str">
        <x:v>false</x:v>
      </x:c>
      <x:c r="U1299" s="17" t="str">
        <x:v>true</x:v>
      </x:c>
      <x:c r="V1299" s="17" t="str">
        <x:v>false</x:v>
      </x:c>
    </x:row>
    <x:row r="1300" ht="80" customHeight="1">
      <x:c r="A1300" s="25" t="str">
        <x:v>JacksonDatabind</x:v>
      </x:c>
      <x:c r="B1300" s="25" t="n">
        <x:v>45</x:v>
      </x:c>
      <x:c r="C1300" s="25" t="str">
        <x:v>Round2</x:v>
      </x:c>
      <x:c r="D1300" s="25" t="str">
        <x:v>NOT_AVAILABLE</x:v>
      </x:c>
      <x:c r="E1300" s="25" t="str">
        <x:v>N/A</x:v>
      </x:c>
      <x:c r="F1300" s="26" t="str">
        <x:v>Tests exist but current coverage did not complete</x:v>
      </x:c>
      <x:c r="G1300" s="25" t="str">
        <x:v>true</x:v>
      </x:c>
      <x:c r="H1300" s="25" t="str">
        <x:v>NOT_AVAILABLE</x:v>
      </x:c>
      <x:c r="I1300" s="25" t="str">
        <x:v>NOT_RUN</x:v>
      </x:c>
      <x:c r="J1300" s="25" t="str">
        <x:v>NOT_RUN</x:v>
      </x:c>
      <x:c r="K1300" s="25" t="n">
        <x:v>1</x:v>
      </x:c>
      <x:c r="L1300" s="27" t="b">
        <x:v>0</x:v>
      </x:c>
      <x:c r="M1300" s="25" t="str">
        <x:v>Deepseek-flash-v4/state/Round2/status/JacksonDatabind_45.json; Deepseek-flash-v4/state/Round2/shards/JacksonDatabind_45.json</x:v>
      </x:c>
      <x:c r="N1300" s="25" t="str">
        <x:v>Deepseek-flash-v4/Result2/JacksonDatabind_45/result.json</x:v>
      </x:c>
      <x:c r="O1300" s="25" t="str">
        <x:v>Deepseek-flash-v4/Result2/JacksonDatabind_45/result.json</x:v>
      </x:c>
      <x:c r="P1300" t="str">
        <x:v>BOTH_NOT_RUN</x:v>
      </x:c>
      <x:c r="Q1300" s="21" t="str"/>
      <x:c r="R1300" s="21" t="str"/>
      <x:c r="S1300" s="21" t="str"/>
      <x:c r="T1300" s="17" t="str">
        <x:v>false</x:v>
      </x:c>
      <x:c r="U1300" s="17" t="str">
        <x:v>true</x:v>
      </x:c>
      <x:c r="V1300" s="17" t="str">
        <x:v>false</x:v>
      </x:c>
    </x:row>
    <x:row r="1301" ht="80" customHeight="1">
      <x:c r="A1301" s="25" t="str">
        <x:v>JacksonDatabind</x:v>
      </x:c>
      <x:c r="B1301" s="25" t="n">
        <x:v>46</x:v>
      </x:c>
      <x:c r="C1301" s="25" t="str">
        <x:v>Round2</x:v>
      </x:c>
      <x:c r="D1301" s="25" t="str">
        <x:v>NOT_AVAILABLE</x:v>
      </x:c>
      <x:c r="E1301" s="25" t="str">
        <x:v>N/A</x:v>
      </x:c>
      <x:c r="F1301" s="26" t="str">
        <x:v>Tests exist but current coverage did not complete</x:v>
      </x:c>
      <x:c r="G1301" s="25" t="str">
        <x:v>true</x:v>
      </x:c>
      <x:c r="H1301" s="25" t="str">
        <x:v>NOT_AVAILABLE</x:v>
      </x:c>
      <x:c r="I1301" s="25" t="str">
        <x:v>NOT_RUN</x:v>
      </x:c>
      <x:c r="J1301" s="25" t="str">
        <x:v>NOT_RUN</x:v>
      </x:c>
      <x:c r="K1301" s="25" t="n">
        <x:v>1</x:v>
      </x:c>
      <x:c r="L1301" s="27" t="b">
        <x:v>0</x:v>
      </x:c>
      <x:c r="M1301" s="25" t="str">
        <x:v>Deepseek-flash-v4/state/Round2/status/JacksonDatabind_46.json; Deepseek-flash-v4/state/Round2/shards/JacksonDatabind_46.json</x:v>
      </x:c>
      <x:c r="N1301" s="25" t="str">
        <x:v>Deepseek-flash-v4/Result2/JacksonDatabind_46/result.json</x:v>
      </x:c>
      <x:c r="O1301" s="25" t="str">
        <x:v>Deepseek-flash-v4/Result2/JacksonDatabind_46/result.json</x:v>
      </x:c>
      <x:c r="P1301" t="str">
        <x:v>BOTH_NOT_RUN</x:v>
      </x:c>
      <x:c r="Q1301" s="21" t="str"/>
      <x:c r="R1301" s="21" t="str"/>
      <x:c r="S1301" s="21" t="str"/>
      <x:c r="T1301" s="17" t="str">
        <x:v>false</x:v>
      </x:c>
      <x:c r="U1301" s="17" t="str">
        <x:v>true</x:v>
      </x:c>
      <x:c r="V1301" s="17" t="str">
        <x:v>false</x:v>
      </x:c>
    </x:row>
    <x:row r="1302" ht="80" customHeight="1">
      <x:c r="A1302" s="25" t="str">
        <x:v>JacksonDatabind</x:v>
      </x:c>
      <x:c r="B1302" s="25" t="n">
        <x:v>47</x:v>
      </x:c>
      <x:c r="C1302" s="25" t="str">
        <x:v>Round2</x:v>
      </x:c>
      <x:c r="D1302" s="25" t="str">
        <x:v>INCONCLUSIVE</x:v>
      </x:c>
      <x:c r="E1302" s="25" t="str">
        <x:v>N/A</x:v>
      </x:c>
      <x:c r="F1302" s="26" t="str">
        <x:v>Fixed also failed; assertion failure cannot be attributed to this bug; Same-round generation metadata missing; use saved tests and execution evidence, no failure inferred</x:v>
      </x:c>
      <x:c r="G1302" s="25" t="str">
        <x:v>true</x:v>
      </x:c>
      <x:c r="H1302" s="25" t="str">
        <x:v>INCONCLUSIVE</x:v>
      </x:c>
      <x:c r="I1302" s="25" t="str">
        <x:v>FAIL</x:v>
      </x:c>
      <x:c r="J1302" s="25" t="str">
        <x:v>FAIL</x:v>
      </x:c>
      <x:c r="K1302" s="25" t="n">
        <x:v>1</x:v>
      </x:c>
      <x:c r="L1302" s="27" t="b">
        <x:v>0</x:v>
      </x:c>
      <x:c r="M1302" s="25"/>
      <x:c r="N1302" s="25" t="str">
        <x:v>Deepseek-flash-v4/Result2/JacksonDatabind_47/result.json</x:v>
      </x:c>
      <x:c r="O1302" s="25" t="str">
        <x:v>Deepseek-flash-v4/Result2/JacksonDatabind_47/result.json</x:v>
      </x:c>
      <x:c r="P1302"/>
      <x:c r="Q1302" s="21" t="str"/>
      <x:c r="R1302" s="21" t="str"/>
      <x:c r="S1302" s="21" t="str"/>
      <x:c r="T1302" s="17" t="str">
        <x:v>false</x:v>
      </x:c>
      <x:c r="U1302" s="17" t="str">
        <x:v>true</x:v>
      </x:c>
      <x:c r="V1302" s="17" t="str">
        <x:v>false</x:v>
      </x:c>
    </x:row>
    <x:row r="1303" ht="80" customHeight="1">
      <x:c r="A1303" s="25" t="str">
        <x:v>JacksonDatabind</x:v>
      </x:c>
      <x:c r="B1303" s="25" t="n">
        <x:v>48</x:v>
      </x:c>
      <x:c r="C1303" s="25" t="str">
        <x:v>Round2</x:v>
      </x:c>
      <x:c r="D1303" s="25" t="str">
        <x:v>NOT_AVAILABLE</x:v>
      </x:c>
      <x:c r="E1303" s="25" t="str">
        <x:v>N/A</x:v>
      </x:c>
      <x:c r="F1303" s="26" t="str">
        <x:v>Tests exist but current coverage did not complete</x:v>
      </x:c>
      <x:c r="G1303" s="25" t="str">
        <x:v>true</x:v>
      </x:c>
      <x:c r="H1303" s="25" t="str">
        <x:v>NOT_AVAILABLE</x:v>
      </x:c>
      <x:c r="I1303" s="25" t="str">
        <x:v>NOT_RUN</x:v>
      </x:c>
      <x:c r="J1303" s="25" t="str">
        <x:v>NOT_RUN</x:v>
      </x:c>
      <x:c r="K1303" s="25" t="n">
        <x:v>2</x:v>
      </x:c>
      <x:c r="L1303" s="27" t="b">
        <x:v>0</x:v>
      </x:c>
      <x:c r="M1303" s="25" t="str">
        <x:v>Deepseek-flash-v4/state/Round2/status/JacksonDatabind_48.json; Deepseek-flash-v4/state/Round2/shards/JacksonDatabind_48.json</x:v>
      </x:c>
      <x:c r="N1303" s="25" t="str">
        <x:v>Deepseek-flash-v4/Result2/JacksonDatabind_48/result.json</x:v>
      </x:c>
      <x:c r="O1303" s="25" t="str">
        <x:v>Deepseek-flash-v4/Result2/JacksonDatabind_48/result.json</x:v>
      </x:c>
      <x:c r="P1303" t="str">
        <x:v>BOTH_NOT_RUN</x:v>
      </x:c>
      <x:c r="Q1303" s="21" t="str"/>
      <x:c r="R1303" s="21" t="str"/>
      <x:c r="S1303" s="21" t="str"/>
      <x:c r="T1303" s="17" t="str">
        <x:v>false</x:v>
      </x:c>
      <x:c r="U1303" s="17" t="str">
        <x:v>true</x:v>
      </x:c>
      <x:c r="V1303" s="17" t="str">
        <x:v>false</x:v>
      </x:c>
    </x:row>
    <x:row r="1304" ht="80" customHeight="1">
      <x:c r="A1304" s="25" t="str">
        <x:v>JacksonDatabind</x:v>
      </x:c>
      <x:c r="B1304" s="25" t="n">
        <x:v>49</x:v>
      </x:c>
      <x:c r="C1304" s="25" t="str">
        <x:v>Round2</x:v>
      </x:c>
      <x:c r="D1304" s="25" t="str">
        <x:v>NOT_AVAILABLE</x:v>
      </x:c>
      <x:c r="E1304" s="25" t="str">
        <x:v>N/A</x:v>
      </x:c>
      <x:c r="F1304" s="26" t="str">
        <x:v>Tests exist but current coverage did not complete</x:v>
      </x:c>
      <x:c r="G1304" s="25" t="str">
        <x:v>true</x:v>
      </x:c>
      <x:c r="H1304" s="25" t="str">
        <x:v>NOT_AVAILABLE</x:v>
      </x:c>
      <x:c r="I1304" s="25" t="str">
        <x:v>NOT_RUN</x:v>
      </x:c>
      <x:c r="J1304" s="25" t="str">
        <x:v>NOT_RUN</x:v>
      </x:c>
      <x:c r="K1304" s="25" t="n">
        <x:v>1</x:v>
      </x:c>
      <x:c r="L1304" s="27" t="b">
        <x:v>0</x:v>
      </x:c>
      <x:c r="M1304" s="25" t="str">
        <x:v>Deepseek-flash-v4/state/Round2/status/JacksonDatabind_49.json; Deepseek-flash-v4/state/Round2/shards/JacksonDatabind_49.json</x:v>
      </x:c>
      <x:c r="N1304" s="25" t="str">
        <x:v>Deepseek-flash-v4/Result2/JacksonDatabind_49/result.json</x:v>
      </x:c>
      <x:c r="O1304" s="25" t="str">
        <x:v>Deepseek-flash-v4/Result2/JacksonDatabind_49/result.json</x:v>
      </x:c>
      <x:c r="P1304" t="str">
        <x:v>BOTH_NOT_RUN</x:v>
      </x:c>
      <x:c r="Q1304" s="21" t="str"/>
      <x:c r="R1304" s="21" t="str"/>
      <x:c r="S1304" s="21" t="str"/>
      <x:c r="T1304" s="17" t="str">
        <x:v>false</x:v>
      </x:c>
      <x:c r="U1304" s="17" t="str">
        <x:v>true</x:v>
      </x:c>
      <x:c r="V1304" s="17" t="str">
        <x:v>false</x:v>
      </x:c>
    </x:row>
    <x:row r="1305" ht="80" customHeight="1">
      <x:c r="A1305" s="25" t="str">
        <x:v>JacksonDatabind</x:v>
      </x:c>
      <x:c r="B1305" s="25" t="n">
        <x:v>5</x:v>
      </x:c>
      <x:c r="C1305" s="25" t="str">
        <x:v>Round2</x:v>
      </x:c>
      <x:c r="D1305" s="25" t="str">
        <x:v>INCONCLUSIVE</x:v>
      </x:c>
      <x:c r="E1305" s="25" t="str">
        <x:v>N/A</x:v>
      </x:c>
      <x:c r="F1305" s="26" t="str">
        <x:v>Fixed also failed; assertion failure cannot be attributed to this bug; Same-round generation metadata missing; use saved tests and execution evidence, no failure inferred</x:v>
      </x:c>
      <x:c r="G1305" s="25" t="str">
        <x:v>true</x:v>
      </x:c>
      <x:c r="H1305" s="25" t="str">
        <x:v>INCONCLUSIVE</x:v>
      </x:c>
      <x:c r="I1305" s="25" t="str">
        <x:v>FAIL</x:v>
      </x:c>
      <x:c r="J1305" s="25" t="str">
        <x:v>FAIL</x:v>
      </x:c>
      <x:c r="K1305" s="25" t="n">
        <x:v>1</x:v>
      </x:c>
      <x:c r="L1305" s="27" t="b">
        <x:v>0</x:v>
      </x:c>
      <x:c r="M1305" s="25"/>
      <x:c r="N1305" s="25" t="str">
        <x:v>Deepseek-flash-v4/Result2/JacksonDatabind_5/result.json</x:v>
      </x:c>
      <x:c r="O1305" s="25" t="str">
        <x:v>Deepseek-flash-v4/Result2/JacksonDatabind_5/result.json</x:v>
      </x:c>
      <x:c r="P1305"/>
      <x:c r="Q1305" s="21" t="str"/>
      <x:c r="R1305" s="21" t="str"/>
      <x:c r="S1305" s="21" t="str"/>
      <x:c r="T1305" s="17" t="str">
        <x:v>false</x:v>
      </x:c>
      <x:c r="U1305" s="17" t="str">
        <x:v>true</x:v>
      </x:c>
      <x:c r="V1305" s="17" t="str">
        <x:v>false</x:v>
      </x:c>
    </x:row>
    <x:row r="1306" ht="80" customHeight="1">
      <x:c r="A1306" s="25" t="str">
        <x:v>JacksonDatabind</x:v>
      </x:c>
      <x:c r="B1306" s="25" t="n">
        <x:v>50</x:v>
      </x:c>
      <x:c r="C1306" s="25" t="str">
        <x:v>Round2</x:v>
      </x:c>
      <x:c r="D1306" s="25" t="str">
        <x:v>NOT_AVAILABLE</x:v>
      </x:c>
      <x:c r="E1306" s="25" t="str">
        <x:v>N/A</x:v>
      </x:c>
      <x:c r="F1306" s="26" t="str">
        <x:v>Tests exist but current coverage did not complete</x:v>
      </x:c>
      <x:c r="G1306" s="25" t="str">
        <x:v>true</x:v>
      </x:c>
      <x:c r="H1306" s="25" t="str">
        <x:v>NOT_AVAILABLE</x:v>
      </x:c>
      <x:c r="I1306" s="25" t="str">
        <x:v>NOT_RUN</x:v>
      </x:c>
      <x:c r="J1306" s="25" t="str">
        <x:v>NOT_RUN</x:v>
      </x:c>
      <x:c r="K1306" s="25" t="n">
        <x:v>1</x:v>
      </x:c>
      <x:c r="L1306" s="27" t="b">
        <x:v>0</x:v>
      </x:c>
      <x:c r="M1306" s="25" t="str">
        <x:v>Deepseek-flash-v4/state/Round2/status/JacksonDatabind_50.json; Deepseek-flash-v4/state/Round2/shards/JacksonDatabind_50.json</x:v>
      </x:c>
      <x:c r="N1306" s="25" t="str">
        <x:v>Deepseek-flash-v4/Result2/JacksonDatabind_50/result.json</x:v>
      </x:c>
      <x:c r="O1306" s="25" t="str">
        <x:v>Deepseek-flash-v4/Result2/JacksonDatabind_50/result.json</x:v>
      </x:c>
      <x:c r="P1306" t="str">
        <x:v>BOTH_NOT_RUN</x:v>
      </x:c>
      <x:c r="Q1306" s="21" t="str"/>
      <x:c r="R1306" s="21" t="str"/>
      <x:c r="S1306" s="21" t="str"/>
      <x:c r="T1306" s="17" t="str">
        <x:v>false</x:v>
      </x:c>
      <x:c r="U1306" s="17" t="str">
        <x:v>true</x:v>
      </x:c>
      <x:c r="V1306" s="17" t="str">
        <x:v>false</x:v>
      </x:c>
    </x:row>
    <x:row r="1307" ht="80" customHeight="1">
      <x:c r="A1307" s="25" t="str">
        <x:v>JacksonDatabind</x:v>
      </x:c>
      <x:c r="B1307" s="25" t="n">
        <x:v>51</x:v>
      </x:c>
      <x:c r="C1307" s="25" t="str">
        <x:v>Round2</x:v>
      </x:c>
      <x:c r="D1307" s="25" t="str">
        <x:v>NOT_AVAILABLE</x:v>
      </x:c>
      <x:c r="E1307" s="25" t="str">
        <x:v>N/A</x:v>
      </x:c>
      <x:c r="F1307" s="26" t="str">
        <x:v>Tests exist but current coverage did not complete</x:v>
      </x:c>
      <x:c r="G1307" s="25" t="str">
        <x:v>true</x:v>
      </x:c>
      <x:c r="H1307" s="25" t="str">
        <x:v>NOT_AVAILABLE</x:v>
      </x:c>
      <x:c r="I1307" s="25" t="str">
        <x:v>NOT_RUN</x:v>
      </x:c>
      <x:c r="J1307" s="25" t="str">
        <x:v>NOT_RUN</x:v>
      </x:c>
      <x:c r="K1307" s="25" t="n">
        <x:v>1</x:v>
      </x:c>
      <x:c r="L1307" s="27" t="b">
        <x:v>0</x:v>
      </x:c>
      <x:c r="M1307" s="25" t="str">
        <x:v>Deepseek-flash-v4/state/Round2/status/JacksonDatabind_51.json; Deepseek-flash-v4/state/Round2/shards/JacksonDatabind_51.json</x:v>
      </x:c>
      <x:c r="N1307" s="25" t="str">
        <x:v>Deepseek-flash-v4/Result2/JacksonDatabind_51/result.json</x:v>
      </x:c>
      <x:c r="O1307" s="25" t="str">
        <x:v>Deepseek-flash-v4/Result2/JacksonDatabind_51/result.json</x:v>
      </x:c>
      <x:c r="P1307" t="str">
        <x:v>BOTH_NOT_RUN</x:v>
      </x:c>
      <x:c r="Q1307" s="21" t="str"/>
      <x:c r="R1307" s="21" t="str"/>
      <x:c r="S1307" s="21" t="str"/>
      <x:c r="T1307" s="17" t="str">
        <x:v>false</x:v>
      </x:c>
      <x:c r="U1307" s="17" t="str">
        <x:v>true</x:v>
      </x:c>
      <x:c r="V1307" s="17" t="str">
        <x:v>false</x:v>
      </x:c>
    </x:row>
    <x:row r="1308" ht="80" customHeight="1">
      <x:c r="A1308" s="25" t="str">
        <x:v>JacksonDatabind</x:v>
      </x:c>
      <x:c r="B1308" s="25" t="n">
        <x:v>52</x:v>
      </x:c>
      <x:c r="C1308" s="25" t="str">
        <x:v>Round2</x:v>
      </x:c>
      <x:c r="D1308" s="25" t="str">
        <x:v>NOT_AVAILABLE</x:v>
      </x:c>
      <x:c r="E1308" s="25" t="str">
        <x:v>N/A</x:v>
      </x:c>
      <x:c r="F1308" s="26" t="str">
        <x:v>Tests exist but current coverage did not complete</x:v>
      </x:c>
      <x:c r="G1308" s="25" t="str">
        <x:v>true</x:v>
      </x:c>
      <x:c r="H1308" s="25" t="str">
        <x:v>NOT_AVAILABLE</x:v>
      </x:c>
      <x:c r="I1308" s="25" t="str">
        <x:v>NOT_RUN</x:v>
      </x:c>
      <x:c r="J1308" s="25" t="str">
        <x:v>NOT_RUN</x:v>
      </x:c>
      <x:c r="K1308" s="25" t="n">
        <x:v>2</x:v>
      </x:c>
      <x:c r="L1308" s="27" t="b">
        <x:v>0</x:v>
      </x:c>
      <x:c r="M1308" s="25" t="str">
        <x:v>Deepseek-flash-v4/state/Round2/status/JacksonDatabind_52.json; Deepseek-flash-v4/state/Round2/shards/JacksonDatabind_52.json</x:v>
      </x:c>
      <x:c r="N1308" s="25" t="str">
        <x:v>Deepseek-flash-v4/Result2/JacksonDatabind_52/result.json</x:v>
      </x:c>
      <x:c r="O1308" s="25" t="str">
        <x:v>Deepseek-flash-v4/Result2/JacksonDatabind_52/result.json</x:v>
      </x:c>
      <x:c r="P1308" t="str">
        <x:v>BOTH_NOT_RUN</x:v>
      </x:c>
      <x:c r="Q1308" s="21" t="str"/>
      <x:c r="R1308" s="21" t="str"/>
      <x:c r="S1308" s="21" t="str"/>
      <x:c r="T1308" s="17" t="str">
        <x:v>false</x:v>
      </x:c>
      <x:c r="U1308" s="17" t="str">
        <x:v>true</x:v>
      </x:c>
      <x:c r="V1308" s="17" t="str">
        <x:v>false</x:v>
      </x:c>
    </x:row>
    <x:row r="1309" ht="80" customHeight="1">
      <x:c r="A1309" s="25" t="str">
        <x:v>JacksonDatabind</x:v>
      </x:c>
      <x:c r="B1309" s="25" t="n">
        <x:v>53</x:v>
      </x:c>
      <x:c r="C1309" s="25" t="str">
        <x:v>Round2</x:v>
      </x:c>
      <x:c r="D1309" s="25" t="str">
        <x:v>INCONCLUSIVE</x:v>
      </x:c>
      <x:c r="E1309" s="25" t="str">
        <x:v>N/A</x:v>
      </x:c>
      <x:c r="F1309" s="26" t="str">
        <x:v>Fixed also failed; assertion failure cannot be attributed to this bug; Same-round generation metadata missing; use saved tests and execution evidence, no failure inferred</x:v>
      </x:c>
      <x:c r="G1309" s="25" t="str">
        <x:v>true</x:v>
      </x:c>
      <x:c r="H1309" s="25" t="str">
        <x:v>INCONCLUSIVE</x:v>
      </x:c>
      <x:c r="I1309" s="25" t="str">
        <x:v>FAIL</x:v>
      </x:c>
      <x:c r="J1309" s="25" t="str">
        <x:v>FAIL</x:v>
      </x:c>
      <x:c r="K1309" s="25" t="n">
        <x:v>2</x:v>
      </x:c>
      <x:c r="L1309" s="27" t="b">
        <x:v>0</x:v>
      </x:c>
      <x:c r="M1309" s="25"/>
      <x:c r="N1309" s="25" t="str">
        <x:v>Deepseek-flash-v4/Result2/JacksonDatabind_53/result.json</x:v>
      </x:c>
      <x:c r="O1309" s="25" t="str">
        <x:v>Deepseek-flash-v4/Result2/JacksonDatabind_53/result.json</x:v>
      </x:c>
      <x:c r="P1309"/>
      <x:c r="Q1309" s="21" t="str"/>
      <x:c r="R1309" s="21" t="str"/>
      <x:c r="S1309" s="21" t="str"/>
      <x:c r="T1309" s="17" t="str">
        <x:v>false</x:v>
      </x:c>
      <x:c r="U1309" s="17" t="str">
        <x:v>true</x:v>
      </x:c>
      <x:c r="V1309" s="17" t="str">
        <x:v>false</x:v>
      </x:c>
    </x:row>
    <x:row r="1310" ht="80" customHeight="1">
      <x:c r="A1310" s="25" t="str">
        <x:v>JacksonDatabind</x:v>
      </x:c>
      <x:c r="B1310" s="25" t="n">
        <x:v>54</x:v>
      </x:c>
      <x:c r="C1310" s="25" t="str">
        <x:v>Round2</x:v>
      </x:c>
      <x:c r="D1310" s="25" t="str">
        <x:v>NOT_AVAILABLE</x:v>
      </x:c>
      <x:c r="E1310" s="25" t="str">
        <x:v>N/A</x:v>
      </x:c>
      <x:c r="F1310" s="26" t="str">
        <x:v>Tests exist but current coverage did not complete</x:v>
      </x:c>
      <x:c r="G1310" s="25" t="str">
        <x:v>true</x:v>
      </x:c>
      <x:c r="H1310" s="25" t="str">
        <x:v>NOT_AVAILABLE</x:v>
      </x:c>
      <x:c r="I1310" s="25" t="str">
        <x:v>NOT_RUN</x:v>
      </x:c>
      <x:c r="J1310" s="25" t="str">
        <x:v>NOT_RUN</x:v>
      </x:c>
      <x:c r="K1310" s="25" t="n">
        <x:v>1</x:v>
      </x:c>
      <x:c r="L1310" s="27" t="b">
        <x:v>0</x:v>
      </x:c>
      <x:c r="M1310" s="25" t="str">
        <x:v>Deepseek-flash-v4/state/Round2/status/JacksonDatabind_54.json; Deepseek-flash-v4/state/Round2/shards/JacksonDatabind_54.json</x:v>
      </x:c>
      <x:c r="N1310" s="25" t="str">
        <x:v>Deepseek-flash-v4/Result2/JacksonDatabind_54/result.json</x:v>
      </x:c>
      <x:c r="O1310" s="25" t="str">
        <x:v>Deepseek-flash-v4/Result2/JacksonDatabind_54/result.json</x:v>
      </x:c>
      <x:c r="P1310" t="str">
        <x:v>BOTH_NOT_RUN</x:v>
      </x:c>
      <x:c r="Q1310" s="21" t="str"/>
      <x:c r="R1310" s="21" t="str"/>
      <x:c r="S1310" s="21" t="str"/>
      <x:c r="T1310" s="17" t="str">
        <x:v>false</x:v>
      </x:c>
      <x:c r="U1310" s="17" t="str">
        <x:v>true</x:v>
      </x:c>
      <x:c r="V1310" s="17" t="str">
        <x:v>false</x:v>
      </x:c>
    </x:row>
    <x:row r="1311" ht="80" customHeight="1">
      <x:c r="A1311" s="25" t="str">
        <x:v>JacksonDatabind</x:v>
      </x:c>
      <x:c r="B1311" s="25" t="n">
        <x:v>55</x:v>
      </x:c>
      <x:c r="C1311" s="25" t="str">
        <x:v>Round2</x:v>
      </x:c>
      <x:c r="D1311" s="25" t="str">
        <x:v>INCONCLUSIVE</x:v>
      </x:c>
      <x:c r="E1311" s="25" t="str">
        <x:v>N/A</x:v>
      </x:c>
      <x:c r="F1311" s="26" t="str">
        <x:v>Fixed also failed; assertion failure cannot be attributed to this bug; Same-round generation metadata missing; use saved tests and execution evidence, no failure inferred</x:v>
      </x:c>
      <x:c r="G1311" s="25" t="str">
        <x:v>true</x:v>
      </x:c>
      <x:c r="H1311" s="25" t="str">
        <x:v>INCONCLUSIVE</x:v>
      </x:c>
      <x:c r="I1311" s="25" t="str">
        <x:v>FAIL</x:v>
      </x:c>
      <x:c r="J1311" s="25" t="str">
        <x:v>FAIL</x:v>
      </x:c>
      <x:c r="K1311" s="25" t="n">
        <x:v>1</x:v>
      </x:c>
      <x:c r="L1311" s="27" t="b">
        <x:v>0</x:v>
      </x:c>
      <x:c r="M1311" s="25"/>
      <x:c r="N1311" s="25" t="str">
        <x:v>Deepseek-flash-v4/Result2/JacksonDatabind_55/result.json</x:v>
      </x:c>
      <x:c r="O1311" s="25" t="str">
        <x:v>Deepseek-flash-v4/Result2/JacksonDatabind_55/result.json</x:v>
      </x:c>
      <x:c r="P1311"/>
      <x:c r="Q1311" s="21" t="str"/>
      <x:c r="R1311" s="21" t="str"/>
      <x:c r="S1311" s="21" t="str"/>
      <x:c r="T1311" s="17" t="str">
        <x:v>false</x:v>
      </x:c>
      <x:c r="U1311" s="17" t="str">
        <x:v>true</x:v>
      </x:c>
      <x:c r="V1311" s="17" t="str">
        <x:v>false</x:v>
      </x:c>
    </x:row>
    <x:row r="1312" ht="80" customHeight="1">
      <x:c r="A1312" s="25" t="str">
        <x:v>JacksonDatabind</x:v>
      </x:c>
      <x:c r="B1312" s="25" t="n">
        <x:v>56</x:v>
      </x:c>
      <x:c r="C1312" s="25" t="str">
        <x:v>Round2</x:v>
      </x:c>
      <x:c r="D1312" s="25" t="str">
        <x:v>INCONCLUSIVE</x:v>
      </x:c>
      <x:c r="E1312" s="25" t="str">
        <x:v>N/A</x:v>
      </x:c>
      <x:c r="F1312" s="26" t="str">
        <x:v>Fixed also failed; assertion failure cannot be attributed to this bug</x:v>
      </x:c>
      <x:c r="G1312" s="25" t="str">
        <x:v>true</x:v>
      </x:c>
      <x:c r="H1312" s="25" t="str">
        <x:v>INCONCLUSIVE</x:v>
      </x:c>
      <x:c r="I1312" s="25" t="str">
        <x:v>FAIL</x:v>
      </x:c>
      <x:c r="J1312" s="25" t="str">
        <x:v>FAIL</x:v>
      </x:c>
      <x:c r="K1312" s="25" t="n">
        <x:v>1</x:v>
      </x:c>
      <x:c r="L1312" s="27" t="b">
        <x:v>0</x:v>
      </x:c>
      <x:c r="M1312" s="25" t="str">
        <x:v>Deepseek-flash-v4/state/Round2/status/JacksonDatabind_56.json; Deepseek-flash-v4/state/Round2/shards/JacksonDatabind_56.json</x:v>
      </x:c>
      <x:c r="N1312" s="25" t="str">
        <x:v>Deepseek-flash-v4/Result2/JacksonDatabind_56/result.json</x:v>
      </x:c>
      <x:c r="O1312" s="25" t="str">
        <x:v>Deepseek-flash-v4/Result2/JacksonDatabind_56/result.json</x:v>
      </x:c>
      <x:c r="P1312"/>
      <x:c r="Q1312" s="21" t="str"/>
      <x:c r="R1312" s="21" t="str"/>
      <x:c r="S1312" s="21" t="str"/>
      <x:c r="T1312" s="17" t="str">
        <x:v>false</x:v>
      </x:c>
      <x:c r="U1312" s="17" t="str">
        <x:v>true</x:v>
      </x:c>
      <x:c r="V1312" s="17" t="str">
        <x:v>false</x:v>
      </x:c>
    </x:row>
    <x:row r="1313" ht="80" customHeight="1">
      <x:c r="A1313" s="25" t="str">
        <x:v>JacksonDatabind</x:v>
      </x:c>
      <x:c r="B1313" s="25" t="n">
        <x:v>57</x:v>
      </x:c>
      <x:c r="C1313" s="25" t="str">
        <x:v>Round2</x:v>
      </x:c>
      <x:c r="D1313" s="25" t="str">
        <x:v>INCONCLUSIVE</x:v>
      </x:c>
      <x:c r="E1313" s="25" t="str">
        <x:v>N/A</x:v>
      </x:c>
      <x:c r="F1313" s="26" t="str">
        <x:v>Fixed also failed; assertion failure cannot be attributed to this bug; Same-round generation metadata missing; use saved tests and execution evidence, no failure inferred</x:v>
      </x:c>
      <x:c r="G1313" s="25" t="str">
        <x:v>true</x:v>
      </x:c>
      <x:c r="H1313" s="25" t="str">
        <x:v>INCONCLUSIVE</x:v>
      </x:c>
      <x:c r="I1313" s="25" t="str">
        <x:v>FAIL</x:v>
      </x:c>
      <x:c r="J1313" s="25" t="str">
        <x:v>FAIL</x:v>
      </x:c>
      <x:c r="K1313" s="25" t="n">
        <x:v>1</x:v>
      </x:c>
      <x:c r="L1313" s="27" t="b">
        <x:v>0</x:v>
      </x:c>
      <x:c r="M1313" s="25"/>
      <x:c r="N1313" s="25" t="str">
        <x:v>Deepseek-flash-v4/Result2/JacksonDatabind_57/result.json</x:v>
      </x:c>
      <x:c r="O1313" s="25" t="str">
        <x:v>Deepseek-flash-v4/Result2/JacksonDatabind_57/result.json</x:v>
      </x:c>
      <x:c r="P1313"/>
      <x:c r="Q1313" s="21" t="str"/>
      <x:c r="R1313" s="21" t="str"/>
      <x:c r="S1313" s="21" t="str"/>
      <x:c r="T1313" s="17" t="str">
        <x:v>false</x:v>
      </x:c>
      <x:c r="U1313" s="17" t="str">
        <x:v>true</x:v>
      </x:c>
      <x:c r="V1313" s="17" t="str">
        <x:v>false</x:v>
      </x:c>
    </x:row>
    <x:row r="1314" ht="80" customHeight="1">
      <x:c r="A1314" s="25" t="str">
        <x:v>JacksonDatabind</x:v>
      </x:c>
      <x:c r="B1314" s="25" t="n">
        <x:v>58</x:v>
      </x:c>
      <x:c r="C1314" s="25" t="str">
        <x:v>Round2</x:v>
      </x:c>
      <x:c r="D1314" s="25" t="str">
        <x:v>NOT_AVAILABLE</x:v>
      </x:c>
      <x:c r="E1314" s="25" t="str">
        <x:v>N/A</x:v>
      </x:c>
      <x:c r="F1314" s="26" t="str">
        <x:v>Tests exist but current coverage did not complete</x:v>
      </x:c>
      <x:c r="G1314" s="25" t="str">
        <x:v>true</x:v>
      </x:c>
      <x:c r="H1314" s="25" t="str">
        <x:v>NOT_AVAILABLE</x:v>
      </x:c>
      <x:c r="I1314" s="25" t="str">
        <x:v>NOT_RUN</x:v>
      </x:c>
      <x:c r="J1314" s="25" t="str">
        <x:v>NOT_RUN</x:v>
      </x:c>
      <x:c r="K1314" s="25" t="n">
        <x:v>1</x:v>
      </x:c>
      <x:c r="L1314" s="27" t="b">
        <x:v>0</x:v>
      </x:c>
      <x:c r="M1314" s="25" t="str">
        <x:v>Deepseek-flash-v4/state/Round2/status/JacksonDatabind_58.json; Deepseek-flash-v4/state/Round2/shards/JacksonDatabind_58.json</x:v>
      </x:c>
      <x:c r="N1314" s="25" t="str">
        <x:v>Deepseek-flash-v4/Result2/JacksonDatabind_58/result.json</x:v>
      </x:c>
      <x:c r="O1314" s="25" t="str">
        <x:v>Deepseek-flash-v4/Result2/JacksonDatabind_58/result.json</x:v>
      </x:c>
      <x:c r="P1314" t="str">
        <x:v>BOTH_NOT_RUN</x:v>
      </x:c>
      <x:c r="Q1314" s="21" t="str"/>
      <x:c r="R1314" s="21" t="str"/>
      <x:c r="S1314" s="21" t="str"/>
      <x:c r="T1314" s="17" t="str">
        <x:v>false</x:v>
      </x:c>
      <x:c r="U1314" s="17" t="str">
        <x:v>true</x:v>
      </x:c>
      <x:c r="V1314" s="17" t="str">
        <x:v>false</x:v>
      </x:c>
    </x:row>
    <x:row r="1315" ht="80" customHeight="1">
      <x:c r="A1315" s="25" t="str">
        <x:v>JacksonDatabind</x:v>
      </x:c>
      <x:c r="B1315" s="25" t="n">
        <x:v>59</x:v>
      </x:c>
      <x:c r="C1315" s="25" t="str">
        <x:v>Round2</x:v>
      </x:c>
      <x:c r="D1315" s="25" t="str">
        <x:v>NOT_AVAILABLE</x:v>
      </x:c>
      <x:c r="E1315" s="25" t="str">
        <x:v>N/A</x:v>
      </x:c>
      <x:c r="F1315" s="26" t="str">
        <x:v>Tests exist but current coverage did not complete</x:v>
      </x:c>
      <x:c r="G1315" s="25" t="str">
        <x:v>true</x:v>
      </x:c>
      <x:c r="H1315" s="25" t="str">
        <x:v>NOT_AVAILABLE</x:v>
      </x:c>
      <x:c r="I1315" s="25" t="str">
        <x:v>NOT_RUN</x:v>
      </x:c>
      <x:c r="J1315" s="25" t="str">
        <x:v>NOT_RUN</x:v>
      </x:c>
      <x:c r="K1315" s="25" t="n">
        <x:v>4</x:v>
      </x:c>
      <x:c r="L1315" s="27" t="b">
        <x:v>0</x:v>
      </x:c>
      <x:c r="M1315" s="25" t="str">
        <x:v>Deepseek-flash-v4/state/Round2/status/JacksonDatabind_59.json; Deepseek-flash-v4/state/Round2/shards/JacksonDatabind_59.json</x:v>
      </x:c>
      <x:c r="N1315" s="25" t="str">
        <x:v>Deepseek-flash-v4/Result2/JacksonDatabind_59/result.json</x:v>
      </x:c>
      <x:c r="O1315" s="25" t="str">
        <x:v>Deepseek-flash-v4/Result2/JacksonDatabind_59/result.json</x:v>
      </x:c>
      <x:c r="P1315" t="str">
        <x:v>BOTH_NOT_RUN</x:v>
      </x:c>
      <x:c r="Q1315" s="21" t="str"/>
      <x:c r="R1315" s="21" t="str"/>
      <x:c r="S1315" s="21" t="str"/>
      <x:c r="T1315" s="17" t="str">
        <x:v>false</x:v>
      </x:c>
      <x:c r="U1315" s="17" t="str">
        <x:v>true</x:v>
      </x:c>
      <x:c r="V1315" s="17" t="str">
        <x:v>false</x:v>
      </x:c>
    </x:row>
    <x:row r="1316" ht="80" customHeight="1">
      <x:c r="A1316" s="25" t="str">
        <x:v>JacksonDatabind</x:v>
      </x:c>
      <x:c r="B1316" s="25" t="n">
        <x:v>6</x:v>
      </x:c>
      <x:c r="C1316" s="25" t="str">
        <x:v>Round2</x:v>
      </x:c>
      <x:c r="D1316" s="25" t="str">
        <x:v>NOT_REVEALING</x:v>
      </x:c>
      <x:c r="E1316" s="25" t="str">
        <x:v>N/A</x:v>
      </x:c>
      <x:c r="F1316" s="26" t="str">
        <x:v>Same saved validation suite passed on buggy and fixed; Same-round generation metadata missing; use saved tests and execution evidence, no failure inferred</x:v>
      </x:c>
      <x:c r="G1316" s="25" t="str">
        <x:v>true</x:v>
      </x:c>
      <x:c r="H1316" s="25" t="str">
        <x:v>NOT_REVEALING</x:v>
      </x:c>
      <x:c r="I1316" s="25" t="str">
        <x:v>PASS</x:v>
      </x:c>
      <x:c r="J1316" s="25" t="str">
        <x:v>PASS</x:v>
      </x:c>
      <x:c r="K1316" s="25" t="n">
        <x:v>1</x:v>
      </x:c>
      <x:c r="L1316" s="27" t="b">
        <x:v>0</x:v>
      </x:c>
      <x:c r="M1316" s="25"/>
      <x:c r="N1316" s="25" t="str">
        <x:v>Deepseek-flash-v4/Result2/JacksonDatabind_6/result.json</x:v>
      </x:c>
      <x:c r="O1316" s="25" t="str">
        <x:v>Deepseek-flash-v4/Result2/JacksonDatabind_6/result.json</x:v>
      </x:c>
      <x:c r="P1316"/>
      <x:c r="Q1316" s="21" t="str"/>
      <x:c r="R1316" s="21" t="str"/>
      <x:c r="S1316" s="21" t="str"/>
      <x:c r="T1316" s="17" t="str">
        <x:v>false</x:v>
      </x:c>
      <x:c r="U1316" s="17" t="str">
        <x:v>true</x:v>
      </x:c>
      <x:c r="V1316" s="17" t="str">
        <x:v>false</x:v>
      </x:c>
    </x:row>
    <x:row r="1317" ht="80" customHeight="1">
      <x:c r="A1317" s="25" t="str">
        <x:v>JacksonDatabind</x:v>
      </x:c>
      <x:c r="B1317" s="25" t="n">
        <x:v>60</x:v>
      </x:c>
      <x:c r="C1317" s="25" t="str">
        <x:v>Round2</x:v>
      </x:c>
      <x:c r="D1317" s="25" t="str">
        <x:v>NOT_AVAILABLE</x:v>
      </x:c>
      <x:c r="E1317" s="25" t="str">
        <x:v>N/A</x:v>
      </x:c>
      <x:c r="F1317" s="26" t="str">
        <x:v>Tests exist but current coverage did not complete</x:v>
      </x:c>
      <x:c r="G1317" s="25" t="str">
        <x:v>true</x:v>
      </x:c>
      <x:c r="H1317" s="25" t="str">
        <x:v>NOT_AVAILABLE</x:v>
      </x:c>
      <x:c r="I1317" s="25" t="str">
        <x:v>NOT_RUN</x:v>
      </x:c>
      <x:c r="J1317" s="25" t="str">
        <x:v>NOT_RUN</x:v>
      </x:c>
      <x:c r="K1317" s="25" t="n">
        <x:v>1</x:v>
      </x:c>
      <x:c r="L1317" s="27" t="b">
        <x:v>0</x:v>
      </x:c>
      <x:c r="M1317" s="25" t="str">
        <x:v>Deepseek-flash-v4/state/Round2/status/JacksonDatabind_60.json; Deepseek-flash-v4/state/Round2/shards/JacksonDatabind_60.json</x:v>
      </x:c>
      <x:c r="N1317" s="25" t="str">
        <x:v>Deepseek-flash-v4/Result2/JacksonDatabind_60/result.json</x:v>
      </x:c>
      <x:c r="O1317" s="25" t="str">
        <x:v>Deepseek-flash-v4/Result2/JacksonDatabind_60/result.json</x:v>
      </x:c>
      <x:c r="P1317" t="str">
        <x:v>BOTH_NOT_RUN</x:v>
      </x:c>
      <x:c r="Q1317" s="21" t="str"/>
      <x:c r="R1317" s="21" t="str"/>
      <x:c r="S1317" s="21" t="str"/>
      <x:c r="T1317" s="17" t="str">
        <x:v>false</x:v>
      </x:c>
      <x:c r="U1317" s="17" t="str">
        <x:v>true</x:v>
      </x:c>
      <x:c r="V1317" s="17" t="str">
        <x:v>false</x:v>
      </x:c>
    </x:row>
    <x:row r="1318" ht="80" customHeight="1">
      <x:c r="A1318" s="25" t="str">
        <x:v>JacksonDatabind</x:v>
      </x:c>
      <x:c r="B1318" s="25" t="n">
        <x:v>61</x:v>
      </x:c>
      <x:c r="C1318" s="25" t="str">
        <x:v>Round2</x:v>
      </x:c>
      <x:c r="D1318" s="25" t="str">
        <x:v>NOT_AVAILABLE</x:v>
      </x:c>
      <x:c r="E1318" s="25" t="str">
        <x:v>N/A</x:v>
      </x:c>
      <x:c r="F1318" s="26" t="str">
        <x:v>Tests exist but current coverage did not complete</x:v>
      </x:c>
      <x:c r="G1318" s="25" t="str">
        <x:v>true</x:v>
      </x:c>
      <x:c r="H1318" s="25" t="str">
        <x:v>NOT_AVAILABLE</x:v>
      </x:c>
      <x:c r="I1318" s="25" t="str">
        <x:v>NOT_RUN</x:v>
      </x:c>
      <x:c r="J1318" s="25" t="str">
        <x:v>NOT_RUN</x:v>
      </x:c>
      <x:c r="K1318" s="25" t="n">
        <x:v>2</x:v>
      </x:c>
      <x:c r="L1318" s="27" t="b">
        <x:v>0</x:v>
      </x:c>
      <x:c r="M1318" s="25" t="str">
        <x:v>Deepseek-flash-v4/state/Round2/status/JacksonDatabind_61.json; Deepseek-flash-v4/state/Round2/shards/JacksonDatabind_61.json</x:v>
      </x:c>
      <x:c r="N1318" s="25" t="str">
        <x:v>Deepseek-flash-v4/Result2/JacksonDatabind_61/result.json</x:v>
      </x:c>
      <x:c r="O1318" s="25" t="str">
        <x:v>Deepseek-flash-v4/Result2/JacksonDatabind_61/result.json</x:v>
      </x:c>
      <x:c r="P1318" t="str">
        <x:v>BOTH_NOT_RUN</x:v>
      </x:c>
      <x:c r="Q1318" s="21" t="str"/>
      <x:c r="R1318" s="21" t="str"/>
      <x:c r="S1318" s="21" t="str"/>
      <x:c r="T1318" s="17" t="str">
        <x:v>false</x:v>
      </x:c>
      <x:c r="U1318" s="17" t="str">
        <x:v>true</x:v>
      </x:c>
      <x:c r="V1318" s="17" t="str">
        <x:v>false</x:v>
      </x:c>
    </x:row>
    <x:row r="1319" ht="80" customHeight="1">
      <x:c r="A1319" s="25" t="str">
        <x:v>JacksonDatabind</x:v>
      </x:c>
      <x:c r="B1319" s="25" t="n">
        <x:v>62</x:v>
      </x:c>
      <x:c r="C1319" s="25" t="str">
        <x:v>Round2</x:v>
      </x:c>
      <x:c r="D1319" s="25" t="str">
        <x:v>NOT_AVAILABLE</x:v>
      </x:c>
      <x:c r="E1319" s="25" t="str">
        <x:v>N/A</x:v>
      </x:c>
      <x:c r="F1319" s="26" t="str">
        <x:v>Tests exist but current coverage did not complete</x:v>
      </x:c>
      <x:c r="G1319" s="25" t="str">
        <x:v>true</x:v>
      </x:c>
      <x:c r="H1319" s="25" t="str">
        <x:v>NOT_AVAILABLE</x:v>
      </x:c>
      <x:c r="I1319" s="25" t="str">
        <x:v>NOT_RUN</x:v>
      </x:c>
      <x:c r="J1319" s="25" t="str">
        <x:v>NOT_RUN</x:v>
      </x:c>
      <x:c r="K1319" s="25" t="n">
        <x:v>1</x:v>
      </x:c>
      <x:c r="L1319" s="27" t="b">
        <x:v>0</x:v>
      </x:c>
      <x:c r="M1319" s="25" t="str">
        <x:v>Deepseek-flash-v4/state/Round2/status/JacksonDatabind_62.json; Deepseek-flash-v4/state/Round2/shards/JacksonDatabind_62.json</x:v>
      </x:c>
      <x:c r="N1319" s="25" t="str">
        <x:v>Deepseek-flash-v4/Result2/JacksonDatabind_62/result.json</x:v>
      </x:c>
      <x:c r="O1319" s="25" t="str">
        <x:v>Deepseek-flash-v4/Result2/JacksonDatabind_62/result.json</x:v>
      </x:c>
      <x:c r="P1319" t="str">
        <x:v>BOTH_NOT_RUN</x:v>
      </x:c>
      <x:c r="Q1319" s="21" t="str"/>
      <x:c r="R1319" s="21" t="str"/>
      <x:c r="S1319" s="21" t="str"/>
      <x:c r="T1319" s="17" t="str">
        <x:v>false</x:v>
      </x:c>
      <x:c r="U1319" s="17" t="str">
        <x:v>true</x:v>
      </x:c>
      <x:c r="V1319" s="17" t="str">
        <x:v>false</x:v>
      </x:c>
    </x:row>
    <x:row r="1320" ht="80" customHeight="1">
      <x:c r="A1320" s="25" t="str">
        <x:v>JacksonDatabind</x:v>
      </x:c>
      <x:c r="B1320" s="25" t="n">
        <x:v>63</x:v>
      </x:c>
      <x:c r="C1320" s="25" t="str">
        <x:v>Round2</x:v>
      </x:c>
      <x:c r="D1320" s="25" t="str">
        <x:v>INCONCLUSIVE</x:v>
      </x:c>
      <x:c r="E1320" s="25" t="str">
        <x:v>N/A</x:v>
      </x:c>
      <x:c r="F1320" s="26" t="str">
        <x:v>Fixed also failed; assertion failure cannot be attributed to this bug; Same-round generation metadata missing; use saved tests and execution evidence, no failure inferred</x:v>
      </x:c>
      <x:c r="G1320" s="25" t="str">
        <x:v>true</x:v>
      </x:c>
      <x:c r="H1320" s="25" t="str">
        <x:v>INCONCLUSIVE</x:v>
      </x:c>
      <x:c r="I1320" s="25" t="str">
        <x:v>FAIL</x:v>
      </x:c>
      <x:c r="J1320" s="25" t="str">
        <x:v>FAIL</x:v>
      </x:c>
      <x:c r="K1320" s="25" t="n">
        <x:v>1</x:v>
      </x:c>
      <x:c r="L1320" s="27" t="b">
        <x:v>0</x:v>
      </x:c>
      <x:c r="M1320" s="25"/>
      <x:c r="N1320" s="25" t="str">
        <x:v>Deepseek-flash-v4/Result2/JacksonDatabind_63/result.json</x:v>
      </x:c>
      <x:c r="O1320" s="25" t="str">
        <x:v>Deepseek-flash-v4/Result2/JacksonDatabind_63/result.json</x:v>
      </x:c>
      <x:c r="P1320"/>
      <x:c r="Q1320" s="21" t="str"/>
      <x:c r="R1320" s="21" t="str"/>
      <x:c r="S1320" s="21" t="str"/>
      <x:c r="T1320" s="17" t="str">
        <x:v>false</x:v>
      </x:c>
      <x:c r="U1320" s="17" t="str">
        <x:v>true</x:v>
      </x:c>
      <x:c r="V1320" s="17" t="str">
        <x:v>false</x:v>
      </x:c>
    </x:row>
    <x:row r="1321" ht="80" customHeight="1">
      <x:c r="A1321" s="25" t="str">
        <x:v>JacksonDatabind</x:v>
      </x:c>
      <x:c r="B1321" s="25" t="n">
        <x:v>64</x:v>
      </x:c>
      <x:c r="C1321" s="25" t="str">
        <x:v>Round2</x:v>
      </x:c>
      <x:c r="D1321" s="25" t="str">
        <x:v>NOT_AVAILABLE</x:v>
      </x:c>
      <x:c r="E1321" s="25" t="str">
        <x:v>N/A</x:v>
      </x:c>
      <x:c r="F1321" s="26" t="str">
        <x:v>Tests exist but current coverage did not complete</x:v>
      </x:c>
      <x:c r="G1321" s="25" t="str">
        <x:v>true</x:v>
      </x:c>
      <x:c r="H1321" s="25" t="str">
        <x:v>NOT_AVAILABLE</x:v>
      </x:c>
      <x:c r="I1321" s="25" t="str">
        <x:v>NOT_RUN</x:v>
      </x:c>
      <x:c r="J1321" s="25" t="str">
        <x:v>NOT_RUN</x:v>
      </x:c>
      <x:c r="K1321" s="25" t="n">
        <x:v>1</x:v>
      </x:c>
      <x:c r="L1321" s="27" t="b">
        <x:v>0</x:v>
      </x:c>
      <x:c r="M1321" s="25" t="str">
        <x:v>Deepseek-flash-v4/state/Round2/status/JacksonDatabind_64.json; Deepseek-flash-v4/state/Round2/shards/JacksonDatabind_64.json</x:v>
      </x:c>
      <x:c r="N1321" s="25" t="str">
        <x:v>Deepseek-flash-v4/Result2/JacksonDatabind_64/result.json</x:v>
      </x:c>
      <x:c r="O1321" s="25" t="str">
        <x:v>Deepseek-flash-v4/Result2/JacksonDatabind_64/result.json</x:v>
      </x:c>
      <x:c r="P1321" t="str">
        <x:v>BOTH_NOT_RUN</x:v>
      </x:c>
      <x:c r="Q1321" s="21" t="str"/>
      <x:c r="R1321" s="21" t="str"/>
      <x:c r="S1321" s="21" t="str"/>
      <x:c r="T1321" s="17" t="str">
        <x:v>false</x:v>
      </x:c>
      <x:c r="U1321" s="17" t="str">
        <x:v>true</x:v>
      </x:c>
      <x:c r="V1321" s="17" t="str">
        <x:v>false</x:v>
      </x:c>
    </x:row>
    <x:row r="1322" ht="80" customHeight="1">
      <x:c r="A1322" s="25" t="str">
        <x:v>JacksonDatabind</x:v>
      </x:c>
      <x:c r="B1322" s="25" t="n">
        <x:v>66</x:v>
      </x:c>
      <x:c r="C1322" s="25" t="str">
        <x:v>Round2</x:v>
      </x:c>
      <x:c r="D1322" s="25" t="str">
        <x:v>NOT_REVEALING</x:v>
      </x:c>
      <x:c r="E1322" s="25" t="str">
        <x:v>N/A</x:v>
      </x:c>
      <x:c r="F1322" s="26" t="str">
        <x:v>Same saved validation suite passed on buggy and fixed; Same-round generation metadata missing; use saved tests and execution evidence, no failure inferred</x:v>
      </x:c>
      <x:c r="G1322" s="25" t="str">
        <x:v>true</x:v>
      </x:c>
      <x:c r="H1322" s="25" t="str">
        <x:v>NOT_REVEALING</x:v>
      </x:c>
      <x:c r="I1322" s="25" t="str">
        <x:v>PASS</x:v>
      </x:c>
      <x:c r="J1322" s="25" t="str">
        <x:v>PASS</x:v>
      </x:c>
      <x:c r="K1322" s="25" t="n">
        <x:v>1</x:v>
      </x:c>
      <x:c r="L1322" s="27" t="b">
        <x:v>0</x:v>
      </x:c>
      <x:c r="M1322" s="25"/>
      <x:c r="N1322" s="25" t="str">
        <x:v>Deepseek-flash-v4/Result2/JacksonDatabind_66/result.json</x:v>
      </x:c>
      <x:c r="O1322" s="25" t="str">
        <x:v>Deepseek-flash-v4/Result2/JacksonDatabind_66/result.json</x:v>
      </x:c>
      <x:c r="P1322"/>
      <x:c r="Q1322" s="21" t="str"/>
      <x:c r="R1322" s="21" t="str"/>
      <x:c r="S1322" s="21" t="str"/>
      <x:c r="T1322" s="17" t="str">
        <x:v>false</x:v>
      </x:c>
      <x:c r="U1322" s="17" t="str">
        <x:v>true</x:v>
      </x:c>
      <x:c r="V1322" s="17" t="str">
        <x:v>false</x:v>
      </x:c>
    </x:row>
    <x:row r="1323" ht="80" customHeight="1">
      <x:c r="A1323" s="25" t="str">
        <x:v>JacksonDatabind</x:v>
      </x:c>
      <x:c r="B1323" s="25" t="n">
        <x:v>67</x:v>
      </x:c>
      <x:c r="C1323" s="25" t="str">
        <x:v>Round2</x:v>
      </x:c>
      <x:c r="D1323" s="25" t="str">
        <x:v>NOT_AVAILABLE</x:v>
      </x:c>
      <x:c r="E1323" s="25" t="str">
        <x:v>N/A</x:v>
      </x:c>
      <x:c r="F1323" s="26" t="str">
        <x:v>Tests exist but current coverage did not complete</x:v>
      </x:c>
      <x:c r="G1323" s="25" t="str">
        <x:v>true</x:v>
      </x:c>
      <x:c r="H1323" s="25" t="str">
        <x:v>NOT_AVAILABLE</x:v>
      </x:c>
      <x:c r="I1323" s="25" t="str">
        <x:v>NOT_RUN</x:v>
      </x:c>
      <x:c r="J1323" s="25" t="str">
        <x:v>NOT_RUN</x:v>
      </x:c>
      <x:c r="K1323" s="25" t="n">
        <x:v>1</x:v>
      </x:c>
      <x:c r="L1323" s="27" t="b">
        <x:v>0</x:v>
      </x:c>
      <x:c r="M1323" s="25" t="str">
        <x:v>Deepseek-flash-v4/state/Round2/status/JacksonDatabind_67.json; Deepseek-flash-v4/state/Round2/shards/JacksonDatabind_67.json</x:v>
      </x:c>
      <x:c r="N1323" s="25" t="str">
        <x:v>Deepseek-flash-v4/Result2/JacksonDatabind_67/result.json</x:v>
      </x:c>
      <x:c r="O1323" s="25" t="str">
        <x:v>Deepseek-flash-v4/Result2/JacksonDatabind_67/result.json</x:v>
      </x:c>
      <x:c r="P1323" t="str">
        <x:v>BOTH_NOT_RUN</x:v>
      </x:c>
      <x:c r="Q1323" s="21" t="str"/>
      <x:c r="R1323" s="21" t="str"/>
      <x:c r="S1323" s="21" t="str"/>
      <x:c r="T1323" s="17" t="str">
        <x:v>false</x:v>
      </x:c>
      <x:c r="U1323" s="17" t="str">
        <x:v>true</x:v>
      </x:c>
      <x:c r="V1323" s="17" t="str">
        <x:v>false</x:v>
      </x:c>
    </x:row>
    <x:row r="1324" ht="80" customHeight="1">
      <x:c r="A1324" s="25" t="str">
        <x:v>JacksonDatabind</x:v>
      </x:c>
      <x:c r="B1324" s="25" t="n">
        <x:v>68</x:v>
      </x:c>
      <x:c r="C1324" s="25" t="str">
        <x:v>Round2</x:v>
      </x:c>
      <x:c r="D1324" s="25" t="str">
        <x:v>INCONCLUSIVE</x:v>
      </x:c>
      <x:c r="E1324" s="25" t="str">
        <x:v>N/A</x:v>
      </x:c>
      <x:c r="F1324" s="26" t="str">
        <x:v>Fixed also failed; assertion failure cannot be attributed to this bug; Same-round generation metadata missing; use saved tests and execution evidence, no failure inferred</x:v>
      </x:c>
      <x:c r="G1324" s="25" t="str">
        <x:v>true</x:v>
      </x:c>
      <x:c r="H1324" s="25" t="str">
        <x:v>INCONCLUSIVE</x:v>
      </x:c>
      <x:c r="I1324" s="25" t="str">
        <x:v>FAIL</x:v>
      </x:c>
      <x:c r="J1324" s="25" t="str">
        <x:v>FAIL</x:v>
      </x:c>
      <x:c r="K1324" s="25" t="n">
        <x:v>1</x:v>
      </x:c>
      <x:c r="L1324" s="27" t="b">
        <x:v>0</x:v>
      </x:c>
      <x:c r="M1324" s="25"/>
      <x:c r="N1324" s="25" t="str">
        <x:v>Deepseek-flash-v4/Result2/JacksonDatabind_68/result.json</x:v>
      </x:c>
      <x:c r="O1324" s="25" t="str">
        <x:v>Deepseek-flash-v4/Result2/JacksonDatabind_68/result.json</x:v>
      </x:c>
      <x:c r="P1324"/>
      <x:c r="Q1324" s="21" t="str"/>
      <x:c r="R1324" s="21" t="str"/>
      <x:c r="S1324" s="21" t="str"/>
      <x:c r="T1324" s="17" t="str">
        <x:v>false</x:v>
      </x:c>
      <x:c r="U1324" s="17" t="str">
        <x:v>true</x:v>
      </x:c>
      <x:c r="V1324" s="17" t="str">
        <x:v>false</x:v>
      </x:c>
    </x:row>
    <x:row r="1325" ht="80" customHeight="1">
      <x:c r="A1325" s="25" t="str">
        <x:v>JacksonDatabind</x:v>
      </x:c>
      <x:c r="B1325" s="25" t="n">
        <x:v>69</x:v>
      </x:c>
      <x:c r="C1325" s="25" t="str">
        <x:v>Round2</x:v>
      </x:c>
      <x:c r="D1325" s="25" t="str">
        <x:v>NOT_AVAILABLE</x:v>
      </x:c>
      <x:c r="E1325" s="25" t="str">
        <x:v>N/A</x:v>
      </x:c>
      <x:c r="F1325" s="26" t="str">
        <x:v>Tests exist but current coverage did not complete</x:v>
      </x:c>
      <x:c r="G1325" s="25" t="str">
        <x:v>true</x:v>
      </x:c>
      <x:c r="H1325" s="25" t="str">
        <x:v>NOT_AVAILABLE</x:v>
      </x:c>
      <x:c r="I1325" s="25" t="str">
        <x:v>NOT_RUN</x:v>
      </x:c>
      <x:c r="J1325" s="25" t="str">
        <x:v>NOT_RUN</x:v>
      </x:c>
      <x:c r="K1325" s="25" t="n">
        <x:v>1</x:v>
      </x:c>
      <x:c r="L1325" s="27" t="b">
        <x:v>0</x:v>
      </x:c>
      <x:c r="M1325" s="25" t="str">
        <x:v>Deepseek-flash-v4/state/Round2/status/JacksonDatabind_69.json; Deepseek-flash-v4/state/Round2/shards/JacksonDatabind_69.json</x:v>
      </x:c>
      <x:c r="N1325" s="25" t="str">
        <x:v>Deepseek-flash-v4/Result2/JacksonDatabind_69/result.json</x:v>
      </x:c>
      <x:c r="O1325" s="25" t="str">
        <x:v>Deepseek-flash-v4/Result2/JacksonDatabind_69/result.json</x:v>
      </x:c>
      <x:c r="P1325" t="str">
        <x:v>BOTH_NOT_RUN</x:v>
      </x:c>
      <x:c r="Q1325" s="21" t="str"/>
      <x:c r="R1325" s="21" t="str"/>
      <x:c r="S1325" s="21" t="str"/>
      <x:c r="T1325" s="17" t="str">
        <x:v>false</x:v>
      </x:c>
      <x:c r="U1325" s="17" t="str">
        <x:v>true</x:v>
      </x:c>
      <x:c r="V1325" s="17" t="str">
        <x:v>false</x:v>
      </x:c>
    </x:row>
    <x:row r="1326" ht="80" customHeight="1">
      <x:c r="A1326" s="25" t="str">
        <x:v>JacksonDatabind</x:v>
      </x:c>
      <x:c r="B1326" s="25" t="n">
        <x:v>7</x:v>
      </x:c>
      <x:c r="C1326" s="25" t="str">
        <x:v>Round2</x:v>
      </x:c>
      <x:c r="D1326" s="25" t="str">
        <x:v>NOT_AVAILABLE</x:v>
      </x:c>
      <x:c r="E1326" s="25" t="str">
        <x:v>N/A</x:v>
      </x:c>
      <x:c r="F1326" s="26" t="str">
        <x:v>Tests exist but current coverage did not complete</x:v>
      </x:c>
      <x:c r="G1326" s="25" t="str">
        <x:v>true</x:v>
      </x:c>
      <x:c r="H1326" s="25" t="str">
        <x:v>NOT_AVAILABLE</x:v>
      </x:c>
      <x:c r="I1326" s="25" t="str">
        <x:v>NOT_RUN</x:v>
      </x:c>
      <x:c r="J1326" s="25" t="str">
        <x:v>NOT_RUN</x:v>
      </x:c>
      <x:c r="K1326" s="25" t="n">
        <x:v>1</x:v>
      </x:c>
      <x:c r="L1326" s="27" t="b">
        <x:v>0</x:v>
      </x:c>
      <x:c r="M1326" s="25" t="str">
        <x:v>Deepseek-flash-v4/state/Round2/status/JacksonDatabind_7.json; Deepseek-flash-v4/state/Round2/shards/JacksonDatabind_7.json</x:v>
      </x:c>
      <x:c r="N1326" s="25" t="str">
        <x:v>Deepseek-flash-v4/Result2/JacksonDatabind_7/result.json</x:v>
      </x:c>
      <x:c r="O1326" s="25" t="str">
        <x:v>Deepseek-flash-v4/Result2/JacksonDatabind_7/result.json</x:v>
      </x:c>
      <x:c r="P1326" t="str">
        <x:v>BOTH_NOT_RUN</x:v>
      </x:c>
      <x:c r="Q1326" s="21" t="str"/>
      <x:c r="R1326" s="21" t="str"/>
      <x:c r="S1326" s="21" t="str"/>
      <x:c r="T1326" s="17" t="str">
        <x:v>false</x:v>
      </x:c>
      <x:c r="U1326" s="17" t="str">
        <x:v>true</x:v>
      </x:c>
      <x:c r="V1326" s="17" t="str">
        <x:v>false</x:v>
      </x:c>
    </x:row>
    <x:row r="1327" ht="80" customHeight="1">
      <x:c r="A1327" s="25" t="str">
        <x:v>JacksonDatabind</x:v>
      </x:c>
      <x:c r="B1327" s="25" t="n">
        <x:v>70</x:v>
      </x:c>
      <x:c r="C1327" s="25" t="str">
        <x:v>Round2</x:v>
      </x:c>
      <x:c r="D1327" s="25" t="str">
        <x:v>NOT_AVAILABLE</x:v>
      </x:c>
      <x:c r="E1327" s="25" t="str">
        <x:v>N/A</x:v>
      </x:c>
      <x:c r="F1327" s="26" t="str">
        <x:v>Tests exist but current coverage did not complete</x:v>
      </x:c>
      <x:c r="G1327" s="25" t="str">
        <x:v>true</x:v>
      </x:c>
      <x:c r="H1327" s="25" t="str">
        <x:v>NOT_AVAILABLE</x:v>
      </x:c>
      <x:c r="I1327" s="25" t="str">
        <x:v>NOT_RUN</x:v>
      </x:c>
      <x:c r="J1327" s="25" t="str">
        <x:v>NOT_RUN</x:v>
      </x:c>
      <x:c r="K1327" s="25" t="n">
        <x:v>1</x:v>
      </x:c>
      <x:c r="L1327" s="27" t="b">
        <x:v>0</x:v>
      </x:c>
      <x:c r="M1327" s="25" t="str">
        <x:v>Deepseek-flash-v4/state/Round2/status/JacksonDatabind_70.json; Deepseek-flash-v4/state/Round2/shards/JacksonDatabind_70.json</x:v>
      </x:c>
      <x:c r="N1327" s="25" t="str">
        <x:v>Deepseek-flash-v4/Result2/JacksonDatabind_70/result.json</x:v>
      </x:c>
      <x:c r="O1327" s="25" t="str">
        <x:v>Deepseek-flash-v4/Result2/JacksonDatabind_70/result.json</x:v>
      </x:c>
      <x:c r="P1327" t="str">
        <x:v>BOTH_NOT_RUN</x:v>
      </x:c>
      <x:c r="Q1327" s="21" t="str"/>
      <x:c r="R1327" s="21" t="str"/>
      <x:c r="S1327" s="21" t="str"/>
      <x:c r="T1327" s="17" t="str">
        <x:v>false</x:v>
      </x:c>
      <x:c r="U1327" s="17" t="str">
        <x:v>true</x:v>
      </x:c>
      <x:c r="V1327" s="17" t="str">
        <x:v>false</x:v>
      </x:c>
    </x:row>
    <x:row r="1328" ht="80" customHeight="1">
      <x:c r="A1328" s="25" t="str">
        <x:v>JacksonDatabind</x:v>
      </x:c>
      <x:c r="B1328" s="25" t="n">
        <x:v>71</x:v>
      </x:c>
      <x:c r="C1328" s="25" t="str">
        <x:v>Round2</x:v>
      </x:c>
      <x:c r="D1328" s="25" t="str">
        <x:v>INCONCLUSIVE</x:v>
      </x:c>
      <x:c r="E1328" s="25" t="str">
        <x:v>N/A</x:v>
      </x:c>
      <x:c r="F1328" s="26" t="str">
        <x:v>Fixed also failed; assertion failure cannot be attributed to this bug; Same-round generation metadata missing; use saved tests and execution evidence, no failure inferred</x:v>
      </x:c>
      <x:c r="G1328" s="25" t="str">
        <x:v>true</x:v>
      </x:c>
      <x:c r="H1328" s="25" t="str">
        <x:v>INCONCLUSIVE</x:v>
      </x:c>
      <x:c r="I1328" s="25" t="str">
        <x:v>FAIL</x:v>
      </x:c>
      <x:c r="J1328" s="25" t="str">
        <x:v>FAIL</x:v>
      </x:c>
      <x:c r="K1328" s="25" t="n">
        <x:v>1</x:v>
      </x:c>
      <x:c r="L1328" s="27" t="b">
        <x:v>0</x:v>
      </x:c>
      <x:c r="M1328" s="25"/>
      <x:c r="N1328" s="25" t="str">
        <x:v>Deepseek-flash-v4/Result2/JacksonDatabind_71/result.json</x:v>
      </x:c>
      <x:c r="O1328" s="25" t="str">
        <x:v>Deepseek-flash-v4/Result2/JacksonDatabind_71/result.json</x:v>
      </x:c>
      <x:c r="P1328"/>
      <x:c r="Q1328" s="21" t="str"/>
      <x:c r="R1328" s="21" t="str"/>
      <x:c r="S1328" s="21" t="str"/>
      <x:c r="T1328" s="17" t="str">
        <x:v>false</x:v>
      </x:c>
      <x:c r="U1328" s="17" t="str">
        <x:v>true</x:v>
      </x:c>
      <x:c r="V1328" s="17" t="str">
        <x:v>false</x:v>
      </x:c>
    </x:row>
    <x:row r="1329" ht="80" customHeight="1">
      <x:c r="A1329" s="25" t="str">
        <x:v>JacksonDatabind</x:v>
      </x:c>
      <x:c r="B1329" s="25" t="n">
        <x:v>72</x:v>
      </x:c>
      <x:c r="C1329" s="25" t="str">
        <x:v>Round2</x:v>
      </x:c>
      <x:c r="D1329" s="25" t="str">
        <x:v>NOT_AVAILABLE</x:v>
      </x:c>
      <x:c r="E1329" s="25" t="str">
        <x:v>N/A</x:v>
      </x:c>
      <x:c r="F1329" s="26" t="str">
        <x:v>Tests exist but current coverage did not complete</x:v>
      </x:c>
      <x:c r="G1329" s="25" t="str">
        <x:v>true</x:v>
      </x:c>
      <x:c r="H1329" s="25" t="str">
        <x:v>NOT_AVAILABLE</x:v>
      </x:c>
      <x:c r="I1329" s="25" t="str">
        <x:v>NOT_RUN</x:v>
      </x:c>
      <x:c r="J1329" s="25" t="str">
        <x:v>NOT_RUN</x:v>
      </x:c>
      <x:c r="K1329" s="25" t="n">
        <x:v>1</x:v>
      </x:c>
      <x:c r="L1329" s="27" t="b">
        <x:v>0</x:v>
      </x:c>
      <x:c r="M1329" s="25" t="str">
        <x:v>Deepseek-flash-v4/state/Round2/status/JacksonDatabind_72.json; Deepseek-flash-v4/state/Round2/shards/JacksonDatabind_72.json</x:v>
      </x:c>
      <x:c r="N1329" s="25" t="str">
        <x:v>Deepseek-flash-v4/Result2/JacksonDatabind_72/result.json</x:v>
      </x:c>
      <x:c r="O1329" s="25" t="str">
        <x:v>Deepseek-flash-v4/Result2/JacksonDatabind_72/result.json</x:v>
      </x:c>
      <x:c r="P1329" t="str">
        <x:v>BOTH_NOT_RUN</x:v>
      </x:c>
      <x:c r="Q1329" s="21" t="str"/>
      <x:c r="R1329" s="21" t="str"/>
      <x:c r="S1329" s="21" t="str"/>
      <x:c r="T1329" s="17" t="str">
        <x:v>false</x:v>
      </x:c>
      <x:c r="U1329" s="17" t="str">
        <x:v>true</x:v>
      </x:c>
      <x:c r="V1329" s="17" t="str">
        <x:v>false</x:v>
      </x:c>
    </x:row>
    <x:row r="1330" ht="80" customHeight="1">
      <x:c r="A1330" s="25" t="str">
        <x:v>JacksonDatabind</x:v>
      </x:c>
      <x:c r="B1330" s="25" t="n">
        <x:v>73</x:v>
      </x:c>
      <x:c r="C1330" s="25" t="str">
        <x:v>Round2</x:v>
      </x:c>
      <x:c r="D1330" s="25" t="str">
        <x:v>NOT_REVEALING</x:v>
      </x:c>
      <x:c r="E1330" s="25" t="str">
        <x:v>N/A</x:v>
      </x:c>
      <x:c r="F1330" s="26" t="str">
        <x:v>Same saved validation suite passed on buggy and fixed; Same-round generation metadata missing; use saved tests and execution evidence, no failure inferred</x:v>
      </x:c>
      <x:c r="G1330" s="25" t="str">
        <x:v>true</x:v>
      </x:c>
      <x:c r="H1330" s="25" t="str">
        <x:v>NOT_REVEALING</x:v>
      </x:c>
      <x:c r="I1330" s="25" t="str">
        <x:v>PASS</x:v>
      </x:c>
      <x:c r="J1330" s="25" t="str">
        <x:v>PASS</x:v>
      </x:c>
      <x:c r="K1330" s="25" t="n">
        <x:v>2</x:v>
      </x:c>
      <x:c r="L1330" s="27" t="b">
        <x:v>0</x:v>
      </x:c>
      <x:c r="M1330" s="25"/>
      <x:c r="N1330" s="25" t="str">
        <x:v>Deepseek-flash-v4/Result2/JacksonDatabind_73/result.json</x:v>
      </x:c>
      <x:c r="O1330" s="25" t="str">
        <x:v>Deepseek-flash-v4/Result2/JacksonDatabind_73/result.json</x:v>
      </x:c>
      <x:c r="P1330"/>
      <x:c r="Q1330" s="21" t="str"/>
      <x:c r="R1330" s="21" t="str"/>
      <x:c r="S1330" s="21" t="str"/>
      <x:c r="T1330" s="17" t="str">
        <x:v>false</x:v>
      </x:c>
      <x:c r="U1330" s="17" t="str">
        <x:v>true</x:v>
      </x:c>
      <x:c r="V1330" s="17" t="str">
        <x:v>false</x:v>
      </x:c>
    </x:row>
    <x:row r="1331" ht="80" customHeight="1">
      <x:c r="A1331" s="25" t="str">
        <x:v>JacksonDatabind</x:v>
      </x:c>
      <x:c r="B1331" s="25" t="n">
        <x:v>74</x:v>
      </x:c>
      <x:c r="C1331" s="25" t="str">
        <x:v>Round2</x:v>
      </x:c>
      <x:c r="D1331" s="25" t="str">
        <x:v>NOT_AVAILABLE</x:v>
      </x:c>
      <x:c r="E1331" s="25" t="str">
        <x:v>N/A</x:v>
      </x:c>
      <x:c r="F1331" s="26" t="str">
        <x:v>Tests exist but current coverage did not complete</x:v>
      </x:c>
      <x:c r="G1331" s="25" t="str">
        <x:v>true</x:v>
      </x:c>
      <x:c r="H1331" s="25" t="str">
        <x:v>NOT_AVAILABLE</x:v>
      </x:c>
      <x:c r="I1331" s="25" t="str">
        <x:v>NOT_RUN</x:v>
      </x:c>
      <x:c r="J1331" s="25" t="str">
        <x:v>NOT_RUN</x:v>
      </x:c>
      <x:c r="K1331" s="25" t="n">
        <x:v>1</x:v>
      </x:c>
      <x:c r="L1331" s="27" t="b">
        <x:v>0</x:v>
      </x:c>
      <x:c r="M1331" s="25" t="str">
        <x:v>Deepseek-flash-v4/state/Round2/status/JacksonDatabind_74.json; Deepseek-flash-v4/state/Round2/shards/JacksonDatabind_74.json</x:v>
      </x:c>
      <x:c r="N1331" s="25" t="str">
        <x:v>Deepseek-flash-v4/Result2/JacksonDatabind_74/result.json</x:v>
      </x:c>
      <x:c r="O1331" s="25" t="str">
        <x:v>Deepseek-flash-v4/Result2/JacksonDatabind_74/result.json</x:v>
      </x:c>
      <x:c r="P1331" t="str">
        <x:v>BOTH_NOT_RUN</x:v>
      </x:c>
      <x:c r="Q1331" s="21" t="str"/>
      <x:c r="R1331" s="21" t="str"/>
      <x:c r="S1331" s="21" t="str"/>
      <x:c r="T1331" s="17" t="str">
        <x:v>false</x:v>
      </x:c>
      <x:c r="U1331" s="17" t="str">
        <x:v>true</x:v>
      </x:c>
      <x:c r="V1331" s="17" t="str">
        <x:v>false</x:v>
      </x:c>
    </x:row>
    <x:row r="1332" ht="80" customHeight="1">
      <x:c r="A1332" s="25" t="str">
        <x:v>JacksonDatabind</x:v>
      </x:c>
      <x:c r="B1332" s="25" t="n">
        <x:v>75</x:v>
      </x:c>
      <x:c r="C1332" s="25" t="str">
        <x:v>Round2</x:v>
      </x:c>
      <x:c r="D1332" s="25" t="str">
        <x:v>NOT_AVAILABLE</x:v>
      </x:c>
      <x:c r="E1332" s="25" t="str">
        <x:v>N/A</x:v>
      </x:c>
      <x:c r="F1332" s="26" t="str">
        <x:v>Tests exist but current coverage did not complete</x:v>
      </x:c>
      <x:c r="G1332" s="25" t="str">
        <x:v>true</x:v>
      </x:c>
      <x:c r="H1332" s="25" t="str">
        <x:v>NOT_AVAILABLE</x:v>
      </x:c>
      <x:c r="I1332" s="25" t="str">
        <x:v>NOT_RUN</x:v>
      </x:c>
      <x:c r="J1332" s="25" t="str">
        <x:v>NOT_RUN</x:v>
      </x:c>
      <x:c r="K1332" s="25" t="n">
        <x:v>1</x:v>
      </x:c>
      <x:c r="L1332" s="27" t="b">
        <x:v>0</x:v>
      </x:c>
      <x:c r="M1332" s="25" t="str">
        <x:v>Deepseek-flash-v4/state/Round2/status/JacksonDatabind_75.json; Deepseek-flash-v4/state/Round2/shards/JacksonDatabind_75.json</x:v>
      </x:c>
      <x:c r="N1332" s="25" t="str">
        <x:v>Deepseek-flash-v4/Result2/JacksonDatabind_75/result.json</x:v>
      </x:c>
      <x:c r="O1332" s="25" t="str">
        <x:v>Deepseek-flash-v4/Result2/JacksonDatabind_75/result.json</x:v>
      </x:c>
      <x:c r="P1332" t="str">
        <x:v>BOTH_NOT_RUN</x:v>
      </x:c>
      <x:c r="Q1332" s="21" t="str"/>
      <x:c r="R1332" s="21" t="str"/>
      <x:c r="S1332" s="21" t="str"/>
      <x:c r="T1332" s="17" t="str">
        <x:v>false</x:v>
      </x:c>
      <x:c r="U1332" s="17" t="str">
        <x:v>true</x:v>
      </x:c>
      <x:c r="V1332" s="17" t="str">
        <x:v>false</x:v>
      </x:c>
    </x:row>
    <x:row r="1333" ht="80" customHeight="1">
      <x:c r="A1333" s="25" t="str">
        <x:v>JacksonDatabind</x:v>
      </x:c>
      <x:c r="B1333" s="25" t="n">
        <x:v>76</x:v>
      </x:c>
      <x:c r="C1333" s="25" t="str">
        <x:v>Round2</x:v>
      </x:c>
      <x:c r="D1333" s="25" t="str">
        <x:v>NOT_AVAILABLE</x:v>
      </x:c>
      <x:c r="E1333" s="25" t="str">
        <x:v>N/A</x:v>
      </x:c>
      <x:c r="F1333" s="26" t="str">
        <x:v>Tests exist but current coverage did not complete</x:v>
      </x:c>
      <x:c r="G1333" s="25" t="str">
        <x:v>true</x:v>
      </x:c>
      <x:c r="H1333" s="25" t="str">
        <x:v>NOT_AVAILABLE</x:v>
      </x:c>
      <x:c r="I1333" s="25" t="str">
        <x:v>NOT_RUN</x:v>
      </x:c>
      <x:c r="J1333" s="25" t="str">
        <x:v>NOT_RUN</x:v>
      </x:c>
      <x:c r="K1333" s="25" t="n">
        <x:v>1</x:v>
      </x:c>
      <x:c r="L1333" s="27" t="b">
        <x:v>0</x:v>
      </x:c>
      <x:c r="M1333" s="25" t="str">
        <x:v>Deepseek-flash-v4/state/Round2/status/JacksonDatabind_76.json; Deepseek-flash-v4/state/Round2/shards/JacksonDatabind_76.json</x:v>
      </x:c>
      <x:c r="N1333" s="25" t="str">
        <x:v>Deepseek-flash-v4/Result2/JacksonDatabind_76/result.json</x:v>
      </x:c>
      <x:c r="O1333" s="25" t="str">
        <x:v>Deepseek-flash-v4/Result2/JacksonDatabind_76/result.json</x:v>
      </x:c>
      <x:c r="P1333" t="str">
        <x:v>BOTH_NOT_RUN</x:v>
      </x:c>
      <x:c r="Q1333" s="21" t="str"/>
      <x:c r="R1333" s="21" t="str"/>
      <x:c r="S1333" s="21" t="str"/>
      <x:c r="T1333" s="17" t="str">
        <x:v>false</x:v>
      </x:c>
      <x:c r="U1333" s="17" t="str">
        <x:v>true</x:v>
      </x:c>
      <x:c r="V1333" s="17" t="str">
        <x:v>false</x:v>
      </x:c>
    </x:row>
    <x:row r="1334" ht="80" customHeight="1">
      <x:c r="A1334" s="25" t="str">
        <x:v>JacksonDatabind</x:v>
      </x:c>
      <x:c r="B1334" s="25" t="n">
        <x:v>77</x:v>
      </x:c>
      <x:c r="C1334" s="25" t="str">
        <x:v>Round2</x:v>
      </x:c>
      <x:c r="D1334" s="25" t="str">
        <x:v>NOT_AVAILABLE</x:v>
      </x:c>
      <x:c r="E1334" s="25" t="str">
        <x:v>N/A</x:v>
      </x:c>
      <x:c r="F1334" s="26" t="str">
        <x:v>Tests exist but current coverage did not complete</x:v>
      </x:c>
      <x:c r="G1334" s="25" t="str">
        <x:v>true</x:v>
      </x:c>
      <x:c r="H1334" s="25" t="str">
        <x:v>NOT_AVAILABLE</x:v>
      </x:c>
      <x:c r="I1334" s="25" t="str">
        <x:v>NOT_RUN</x:v>
      </x:c>
      <x:c r="J1334" s="25" t="str">
        <x:v>NOT_RUN</x:v>
      </x:c>
      <x:c r="K1334" s="25" t="n">
        <x:v>1</x:v>
      </x:c>
      <x:c r="L1334" s="27" t="b">
        <x:v>0</x:v>
      </x:c>
      <x:c r="M1334" s="25" t="str">
        <x:v>Deepseek-flash-v4/state/Round2/status/JacksonDatabind_77.json; Deepseek-flash-v4/state/Round2/shards/JacksonDatabind_77.json</x:v>
      </x:c>
      <x:c r="N1334" s="25" t="str">
        <x:v>Deepseek-flash-v4/Result2/JacksonDatabind_77/result.json</x:v>
      </x:c>
      <x:c r="O1334" s="25" t="str">
        <x:v>Deepseek-flash-v4/Result2/JacksonDatabind_77/result.json</x:v>
      </x:c>
      <x:c r="P1334" t="str">
        <x:v>BOTH_NOT_RUN</x:v>
      </x:c>
      <x:c r="Q1334" s="21" t="str"/>
      <x:c r="R1334" s="21" t="str"/>
      <x:c r="S1334" s="21" t="str"/>
      <x:c r="T1334" s="17" t="str">
        <x:v>false</x:v>
      </x:c>
      <x:c r="U1334" s="17" t="str">
        <x:v>true</x:v>
      </x:c>
      <x:c r="V1334" s="17" t="str">
        <x:v>false</x:v>
      </x:c>
    </x:row>
    <x:row r="1335" ht="80" customHeight="1">
      <x:c r="A1335" s="25" t="str">
        <x:v>JacksonDatabind</x:v>
      </x:c>
      <x:c r="B1335" s="25" t="n">
        <x:v>78</x:v>
      </x:c>
      <x:c r="C1335" s="25" t="str">
        <x:v>Round2</x:v>
      </x:c>
      <x:c r="D1335" s="25" t="str">
        <x:v>NOT_REVEALING</x:v>
      </x:c>
      <x:c r="E1335" s="25" t="str">
        <x:v>N/A</x:v>
      </x:c>
      <x:c r="F1335" s="26" t="str">
        <x:v>Same saved validation suite passed on buggy and fixed; Same-round generation metadata missing; use saved tests and execution evidence, no failure inferred</x:v>
      </x:c>
      <x:c r="G1335" s="25" t="str">
        <x:v>true</x:v>
      </x:c>
      <x:c r="H1335" s="25" t="str">
        <x:v>NOT_REVEALING</x:v>
      </x:c>
      <x:c r="I1335" s="25" t="str">
        <x:v>PASS</x:v>
      </x:c>
      <x:c r="J1335" s="25" t="str">
        <x:v>PASS</x:v>
      </x:c>
      <x:c r="K1335" s="25" t="n">
        <x:v>1</x:v>
      </x:c>
      <x:c r="L1335" s="27" t="b">
        <x:v>0</x:v>
      </x:c>
      <x:c r="M1335" s="25"/>
      <x:c r="N1335" s="25" t="str">
        <x:v>Deepseek-flash-v4/Result2/JacksonDatabind_78/result.json</x:v>
      </x:c>
      <x:c r="O1335" s="25" t="str">
        <x:v>Deepseek-flash-v4/Result2/JacksonDatabind_78/result.json</x:v>
      </x:c>
      <x:c r="P1335"/>
      <x:c r="Q1335" s="21" t="str"/>
      <x:c r="R1335" s="21" t="str"/>
      <x:c r="S1335" s="21" t="str"/>
      <x:c r="T1335" s="17" t="str">
        <x:v>false</x:v>
      </x:c>
      <x:c r="U1335" s="17" t="str">
        <x:v>true</x:v>
      </x:c>
      <x:c r="V1335" s="17" t="str">
        <x:v>false</x:v>
      </x:c>
    </x:row>
    <x:row r="1336" ht="80" customHeight="1">
      <x:c r="A1336" s="25" t="str">
        <x:v>JacksonDatabind</x:v>
      </x:c>
      <x:c r="B1336" s="25" t="n">
        <x:v>79</x:v>
      </x:c>
      <x:c r="C1336" s="25" t="str">
        <x:v>Round2</x:v>
      </x:c>
      <x:c r="D1336" s="25" t="str">
        <x:v>NOT_AVAILABLE</x:v>
      </x:c>
      <x:c r="E1336" s="25" t="str">
        <x:v>N/A</x:v>
      </x:c>
      <x:c r="F1336" s="26" t="str">
        <x:v>Tests exist but current coverage did not complete</x:v>
      </x:c>
      <x:c r="G1336" s="25" t="str">
        <x:v>true</x:v>
      </x:c>
      <x:c r="H1336" s="25" t="str">
        <x:v>NOT_AVAILABLE</x:v>
      </x:c>
      <x:c r="I1336" s="25" t="str">
        <x:v>NOT_RUN</x:v>
      </x:c>
      <x:c r="J1336" s="25" t="str">
        <x:v>NOT_RUN</x:v>
      </x:c>
      <x:c r="K1336" s="25" t="n">
        <x:v>3</x:v>
      </x:c>
      <x:c r="L1336" s="27" t="b">
        <x:v>0</x:v>
      </x:c>
      <x:c r="M1336" s="25" t="str">
        <x:v>Deepseek-flash-v4/state/Round2/status/JacksonDatabind_79.json; Deepseek-flash-v4/state/Round2/shards/JacksonDatabind_79.json</x:v>
      </x:c>
      <x:c r="N1336" s="25" t="str">
        <x:v>Deepseek-flash-v4/Result2/JacksonDatabind_79/result.json</x:v>
      </x:c>
      <x:c r="O1336" s="25" t="str">
        <x:v>Deepseek-flash-v4/Result2/JacksonDatabind_79/result.json</x:v>
      </x:c>
      <x:c r="P1336" t="str">
        <x:v>BOTH_NOT_RUN</x:v>
      </x:c>
      <x:c r="Q1336" s="21" t="str"/>
      <x:c r="R1336" s="21" t="str"/>
      <x:c r="S1336" s="21" t="str"/>
      <x:c r="T1336" s="17" t="str">
        <x:v>false</x:v>
      </x:c>
      <x:c r="U1336" s="17" t="str">
        <x:v>true</x:v>
      </x:c>
      <x:c r="V1336" s="17" t="str">
        <x:v>false</x:v>
      </x:c>
    </x:row>
    <x:row r="1337" ht="80" customHeight="1">
      <x:c r="A1337" s="25" t="str">
        <x:v>JacksonDatabind</x:v>
      </x:c>
      <x:c r="B1337" s="25" t="n">
        <x:v>8</x:v>
      </x:c>
      <x:c r="C1337" s="25" t="str">
        <x:v>Round2</x:v>
      </x:c>
      <x:c r="D1337" s="25" t="str">
        <x:v>NOT_AVAILABLE</x:v>
      </x:c>
      <x:c r="E1337" s="25" t="str">
        <x:v>N/A</x:v>
      </x:c>
      <x:c r="F1337" s="26" t="str">
        <x:v>Tests exist but current coverage did not complete</x:v>
      </x:c>
      <x:c r="G1337" s="25" t="str">
        <x:v>true</x:v>
      </x:c>
      <x:c r="H1337" s="25" t="str">
        <x:v>NOT_AVAILABLE</x:v>
      </x:c>
      <x:c r="I1337" s="25" t="str">
        <x:v>NOT_RUN</x:v>
      </x:c>
      <x:c r="J1337" s="25" t="str">
        <x:v>NOT_RUN</x:v>
      </x:c>
      <x:c r="K1337" s="25" t="n">
        <x:v>1</x:v>
      </x:c>
      <x:c r="L1337" s="27" t="b">
        <x:v>0</x:v>
      </x:c>
      <x:c r="M1337" s="25" t="str">
        <x:v>Deepseek-flash-v4/state/Round2/status/JacksonDatabind_8.json; Deepseek-flash-v4/state/Round2/shards/JacksonDatabind_8.json</x:v>
      </x:c>
      <x:c r="N1337" s="25" t="str">
        <x:v>Deepseek-flash-v4/Result2/JacksonDatabind_8/result.json</x:v>
      </x:c>
      <x:c r="O1337" s="25" t="str">
        <x:v>Deepseek-flash-v4/Result2/JacksonDatabind_8/result.json</x:v>
      </x:c>
      <x:c r="P1337" t="str">
        <x:v>BOTH_NOT_RUN</x:v>
      </x:c>
      <x:c r="Q1337" s="21" t="str"/>
      <x:c r="R1337" s="21" t="str"/>
      <x:c r="S1337" s="21" t="str"/>
      <x:c r="T1337" s="17" t="str">
        <x:v>false</x:v>
      </x:c>
      <x:c r="U1337" s="17" t="str">
        <x:v>true</x:v>
      </x:c>
      <x:c r="V1337" s="17" t="str">
        <x:v>false</x:v>
      </x:c>
    </x:row>
    <x:row r="1338" ht="80" customHeight="1">
      <x:c r="A1338" s="25" t="str">
        <x:v>JacksonDatabind</x:v>
      </x:c>
      <x:c r="B1338" s="25" t="n">
        <x:v>80</x:v>
      </x:c>
      <x:c r="C1338" s="25" t="str">
        <x:v>Round2</x:v>
      </x:c>
      <x:c r="D1338" s="25" t="str">
        <x:v>NOT_AVAILABLE</x:v>
      </x:c>
      <x:c r="E1338" s="25" t="str">
        <x:v>N/A</x:v>
      </x:c>
      <x:c r="F1338" s="26" t="str">
        <x:v>Tests exist but current coverage did not complete</x:v>
      </x:c>
      <x:c r="G1338" s="25" t="str">
        <x:v>true</x:v>
      </x:c>
      <x:c r="H1338" s="25" t="str">
        <x:v>NOT_AVAILABLE</x:v>
      </x:c>
      <x:c r="I1338" s="25" t="str">
        <x:v>NOT_RUN</x:v>
      </x:c>
      <x:c r="J1338" s="25" t="str">
        <x:v>NOT_RUN</x:v>
      </x:c>
      <x:c r="K1338" s="25" t="n">
        <x:v>1</x:v>
      </x:c>
      <x:c r="L1338" s="27" t="b">
        <x:v>0</x:v>
      </x:c>
      <x:c r="M1338" s="25" t="str">
        <x:v>Deepseek-flash-v4/state/Round2/status/JacksonDatabind_80.json; Deepseek-flash-v4/state/Round2/shards/JacksonDatabind_80.json</x:v>
      </x:c>
      <x:c r="N1338" s="25" t="str">
        <x:v>Deepseek-flash-v4/Result2/JacksonDatabind_80/result.json</x:v>
      </x:c>
      <x:c r="O1338" s="25" t="str">
        <x:v>Deepseek-flash-v4/Result2/JacksonDatabind_80/result.json</x:v>
      </x:c>
      <x:c r="P1338" t="str">
        <x:v>BOTH_NOT_RUN</x:v>
      </x:c>
      <x:c r="Q1338" s="21" t="str"/>
      <x:c r="R1338" s="21" t="str"/>
      <x:c r="S1338" s="21" t="str"/>
      <x:c r="T1338" s="17" t="str">
        <x:v>false</x:v>
      </x:c>
      <x:c r="U1338" s="17" t="str">
        <x:v>true</x:v>
      </x:c>
      <x:c r="V1338" s="17" t="str">
        <x:v>false</x:v>
      </x:c>
    </x:row>
    <x:row r="1339" ht="80" customHeight="1">
      <x:c r="A1339" s="25" t="str">
        <x:v>JacksonDatabind</x:v>
      </x:c>
      <x:c r="B1339" s="25" t="n">
        <x:v>81</x:v>
      </x:c>
      <x:c r="C1339" s="25" t="str">
        <x:v>Round2</x:v>
      </x:c>
      <x:c r="D1339" s="25" t="str">
        <x:v>NOT_AVAILABLE</x:v>
      </x:c>
      <x:c r="E1339" s="25" t="str">
        <x:v>N/A</x:v>
      </x:c>
      <x:c r="F1339" s="26" t="str">
        <x:v>Tests exist but current coverage did not complete</x:v>
      </x:c>
      <x:c r="G1339" s="25" t="str">
        <x:v>true</x:v>
      </x:c>
      <x:c r="H1339" s="25" t="str">
        <x:v>NOT_AVAILABLE</x:v>
      </x:c>
      <x:c r="I1339" s="25" t="str">
        <x:v>NOT_RUN</x:v>
      </x:c>
      <x:c r="J1339" s="25" t="str">
        <x:v>NOT_RUN</x:v>
      </x:c>
      <x:c r="K1339" s="25" t="n">
        <x:v>1</x:v>
      </x:c>
      <x:c r="L1339" s="27" t="b">
        <x:v>0</x:v>
      </x:c>
      <x:c r="M1339" s="25" t="str">
        <x:v>Deepseek-flash-v4/state/Round2/status/JacksonDatabind_81.json; Deepseek-flash-v4/state/Round2/shards/JacksonDatabind_81.json</x:v>
      </x:c>
      <x:c r="N1339" s="25" t="str">
        <x:v>Deepseek-flash-v4/Result2/JacksonDatabind_81/result.json</x:v>
      </x:c>
      <x:c r="O1339" s="25" t="str">
        <x:v>Deepseek-flash-v4/Result2/JacksonDatabind_81/result.json</x:v>
      </x:c>
      <x:c r="P1339" t="str">
        <x:v>BOTH_NOT_RUN</x:v>
      </x:c>
      <x:c r="Q1339" s="21" t="str"/>
      <x:c r="R1339" s="21" t="str"/>
      <x:c r="S1339" s="21" t="str"/>
      <x:c r="T1339" s="17" t="str">
        <x:v>false</x:v>
      </x:c>
      <x:c r="U1339" s="17" t="str">
        <x:v>true</x:v>
      </x:c>
      <x:c r="V1339" s="17" t="str">
        <x:v>false</x:v>
      </x:c>
    </x:row>
    <x:row r="1340" ht="80" customHeight="1">
      <x:c r="A1340" s="25" t="str">
        <x:v>JacksonDatabind</x:v>
      </x:c>
      <x:c r="B1340" s="25" t="n">
        <x:v>82</x:v>
      </x:c>
      <x:c r="C1340" s="25" t="str">
        <x:v>Round2</x:v>
      </x:c>
      <x:c r="D1340" s="25" t="str">
        <x:v>INCONCLUSIVE</x:v>
      </x:c>
      <x:c r="E1340" s="25" t="str">
        <x:v>N/A</x:v>
      </x:c>
      <x:c r="F1340" s="26" t="str">
        <x:v>Fixed also failed; assertion failure cannot be attributed to this bug</x:v>
      </x:c>
      <x:c r="G1340" s="25" t="str">
        <x:v>true</x:v>
      </x:c>
      <x:c r="H1340" s="25" t="str">
        <x:v>INCONCLUSIVE</x:v>
      </x:c>
      <x:c r="I1340" s="25" t="str">
        <x:v>FAIL</x:v>
      </x:c>
      <x:c r="J1340" s="25" t="str">
        <x:v>FAIL</x:v>
      </x:c>
      <x:c r="K1340" s="25" t="n">
        <x:v>1</x:v>
      </x:c>
      <x:c r="L1340" s="27" t="b">
        <x:v>0</x:v>
      </x:c>
      <x:c r="M1340" s="25" t="str">
        <x:v>Deepseek-flash-v4/state/Round2/status/JacksonDatabind_82.json; Deepseek-flash-v4/state/Round2/shards/JacksonDatabind_82.json</x:v>
      </x:c>
      <x:c r="N1340" s="25" t="str">
        <x:v>Deepseek-flash-v4/Result2/JacksonDatabind_82/result.json</x:v>
      </x:c>
      <x:c r="O1340" s="25" t="str">
        <x:v>Deepseek-flash-v4/Result2/JacksonDatabind_82/result.json</x:v>
      </x:c>
      <x:c r="P1340"/>
      <x:c r="Q1340" s="21" t="str"/>
      <x:c r="R1340" s="21" t="str"/>
      <x:c r="S1340" s="21" t="str"/>
      <x:c r="T1340" s="17" t="str">
        <x:v>false</x:v>
      </x:c>
      <x:c r="U1340" s="17" t="str">
        <x:v>true</x:v>
      </x:c>
      <x:c r="V1340" s="17" t="str">
        <x:v>false</x:v>
      </x:c>
    </x:row>
    <x:row r="1341" ht="80" customHeight="1">
      <x:c r="A1341" s="25" t="str">
        <x:v>JacksonDatabind</x:v>
      </x:c>
      <x:c r="B1341" s="25" t="n">
        <x:v>83</x:v>
      </x:c>
      <x:c r="C1341" s="25" t="str">
        <x:v>Round2</x:v>
      </x:c>
      <x:c r="D1341" s="25" t="str">
        <x:v>INCONCLUSIVE</x:v>
      </x:c>
      <x:c r="E1341" s="25" t="str">
        <x:v>N/A</x:v>
      </x:c>
      <x:c r="F1341" s="26" t="str">
        <x:v>Fixed also failed; assertion failure cannot be attributed to this bug; Same-round generation metadata missing; use saved tests and execution evidence, no failure inferred</x:v>
      </x:c>
      <x:c r="G1341" s="25" t="str">
        <x:v>true</x:v>
      </x:c>
      <x:c r="H1341" s="25" t="str">
        <x:v>INCONCLUSIVE</x:v>
      </x:c>
      <x:c r="I1341" s="25" t="str">
        <x:v>FAIL</x:v>
      </x:c>
      <x:c r="J1341" s="25" t="str">
        <x:v>FAIL</x:v>
      </x:c>
      <x:c r="K1341" s="25" t="n">
        <x:v>1</x:v>
      </x:c>
      <x:c r="L1341" s="27" t="b">
        <x:v>0</x:v>
      </x:c>
      <x:c r="M1341" s="25"/>
      <x:c r="N1341" s="25" t="str">
        <x:v>Deepseek-flash-v4/Result2/JacksonDatabind_83/result.json</x:v>
      </x:c>
      <x:c r="O1341" s="25" t="str">
        <x:v>Deepseek-flash-v4/Result2/JacksonDatabind_83/result.json</x:v>
      </x:c>
      <x:c r="P1341"/>
      <x:c r="Q1341" s="21" t="str"/>
      <x:c r="R1341" s="21" t="str"/>
      <x:c r="S1341" s="21" t="str"/>
      <x:c r="T1341" s="17" t="str">
        <x:v>false</x:v>
      </x:c>
      <x:c r="U1341" s="17" t="str">
        <x:v>true</x:v>
      </x:c>
      <x:c r="V1341" s="17" t="str">
        <x:v>false</x:v>
      </x:c>
    </x:row>
    <x:row r="1342" ht="80" customHeight="1">
      <x:c r="A1342" s="25" t="str">
        <x:v>JacksonDatabind</x:v>
      </x:c>
      <x:c r="B1342" s="25" t="n">
        <x:v>84</x:v>
      </x:c>
      <x:c r="C1342" s="25" t="str">
        <x:v>Round2</x:v>
      </x:c>
      <x:c r="D1342" s="25" t="str">
        <x:v>INCONCLUSIVE</x:v>
      </x:c>
      <x:c r="E1342" s="25" t="str">
        <x:v>N/A</x:v>
      </x:c>
      <x:c r="F1342" s="26" t="str">
        <x:v>Fixed also failed; assertion failure cannot be attributed to this bug; Same-round generation metadata missing; use saved tests and execution evidence, no failure inferred</x:v>
      </x:c>
      <x:c r="G1342" s="25" t="str">
        <x:v>true</x:v>
      </x:c>
      <x:c r="H1342" s="25" t="str">
        <x:v>INCONCLUSIVE</x:v>
      </x:c>
      <x:c r="I1342" s="25" t="str">
        <x:v>FAIL</x:v>
      </x:c>
      <x:c r="J1342" s="25" t="str">
        <x:v>FAIL</x:v>
      </x:c>
      <x:c r="K1342" s="25" t="n">
        <x:v>1</x:v>
      </x:c>
      <x:c r="L1342" s="27" t="b">
        <x:v>0</x:v>
      </x:c>
      <x:c r="M1342" s="25"/>
      <x:c r="N1342" s="25" t="str">
        <x:v>Deepseek-flash-v4/Result2/JacksonDatabind_84/result.json</x:v>
      </x:c>
      <x:c r="O1342" s="25" t="str">
        <x:v>Deepseek-flash-v4/Result2/JacksonDatabind_84/result.json</x:v>
      </x:c>
      <x:c r="P1342"/>
      <x:c r="Q1342" s="21" t="str"/>
      <x:c r="R1342" s="21" t="str"/>
      <x:c r="S1342" s="21" t="str"/>
      <x:c r="T1342" s="17" t="str">
        <x:v>false</x:v>
      </x:c>
      <x:c r="U1342" s="17" t="str">
        <x:v>true</x:v>
      </x:c>
      <x:c r="V1342" s="17" t="str">
        <x:v>false</x:v>
      </x:c>
    </x:row>
    <x:row r="1343" ht="80" customHeight="1">
      <x:c r="A1343" s="25" t="str">
        <x:v>JacksonDatabind</x:v>
      </x:c>
      <x:c r="B1343" s="25" t="n">
        <x:v>85</x:v>
      </x:c>
      <x:c r="C1343" s="25" t="str">
        <x:v>Round2</x:v>
      </x:c>
      <x:c r="D1343" s="25" t="str">
        <x:v>NOT_AVAILABLE</x:v>
      </x:c>
      <x:c r="E1343" s="25" t="str">
        <x:v>N/A</x:v>
      </x:c>
      <x:c r="F1343" s="26" t="str">
        <x:v>Tests exist but current coverage did not complete</x:v>
      </x:c>
      <x:c r="G1343" s="25" t="str">
        <x:v>true</x:v>
      </x:c>
      <x:c r="H1343" s="25" t="str">
        <x:v>NOT_AVAILABLE</x:v>
      </x:c>
      <x:c r="I1343" s="25" t="str">
        <x:v>NOT_RUN</x:v>
      </x:c>
      <x:c r="J1343" s="25" t="str">
        <x:v>NOT_RUN</x:v>
      </x:c>
      <x:c r="K1343" s="25" t="n">
        <x:v>1</x:v>
      </x:c>
      <x:c r="L1343" s="27" t="b">
        <x:v>0</x:v>
      </x:c>
      <x:c r="M1343" s="25" t="str">
        <x:v>Deepseek-flash-v4/state/Round2/status/JacksonDatabind_85.json; Deepseek-flash-v4/state/Round2/shards/JacksonDatabind_85.json</x:v>
      </x:c>
      <x:c r="N1343" s="25" t="str">
        <x:v>Deepseek-flash-v4/Result2/JacksonDatabind_85/result.json</x:v>
      </x:c>
      <x:c r="O1343" s="25" t="str">
        <x:v>Deepseek-flash-v4/Result2/JacksonDatabind_85/result.json</x:v>
      </x:c>
      <x:c r="P1343" t="str">
        <x:v>BOTH_NOT_RUN</x:v>
      </x:c>
      <x:c r="Q1343" s="21" t="str"/>
      <x:c r="R1343" s="21" t="str"/>
      <x:c r="S1343" s="21" t="str"/>
      <x:c r="T1343" s="17" t="str">
        <x:v>false</x:v>
      </x:c>
      <x:c r="U1343" s="17" t="str">
        <x:v>true</x:v>
      </x:c>
      <x:c r="V1343" s="17" t="str">
        <x:v>false</x:v>
      </x:c>
    </x:row>
    <x:row r="1344" ht="80" customHeight="1">
      <x:c r="A1344" s="25" t="str">
        <x:v>JacksonDatabind</x:v>
      </x:c>
      <x:c r="B1344" s="25" t="n">
        <x:v>86</x:v>
      </x:c>
      <x:c r="C1344" s="25" t="str">
        <x:v>Round2</x:v>
      </x:c>
      <x:c r="D1344" s="25" t="str">
        <x:v>NOT_REVEALING</x:v>
      </x:c>
      <x:c r="E1344" s="25" t="str">
        <x:v>N/A</x:v>
      </x:c>
      <x:c r="F1344" s="26" t="str">
        <x:v>Same saved validation suite passed on buggy and fixed; Same-round generation metadata missing; use saved tests and execution evidence, no failure inferred</x:v>
      </x:c>
      <x:c r="G1344" s="25" t="str">
        <x:v>true</x:v>
      </x:c>
      <x:c r="H1344" s="25" t="str">
        <x:v>NOT_REVEALING</x:v>
      </x:c>
      <x:c r="I1344" s="25" t="str">
        <x:v>PASS</x:v>
      </x:c>
      <x:c r="J1344" s="25" t="str">
        <x:v>PASS</x:v>
      </x:c>
      <x:c r="K1344" s="25" t="n">
        <x:v>1</x:v>
      </x:c>
      <x:c r="L1344" s="27" t="b">
        <x:v>0</x:v>
      </x:c>
      <x:c r="M1344" s="25"/>
      <x:c r="N1344" s="25" t="str">
        <x:v>Deepseek-flash-v4/Result2/JacksonDatabind_86/result.json</x:v>
      </x:c>
      <x:c r="O1344" s="25" t="str">
        <x:v>Deepseek-flash-v4/Result2/JacksonDatabind_86/result.json</x:v>
      </x:c>
      <x:c r="P1344"/>
      <x:c r="Q1344" s="21" t="str"/>
      <x:c r="R1344" s="21" t="str"/>
      <x:c r="S1344" s="21" t="str"/>
      <x:c r="T1344" s="17" t="str">
        <x:v>false</x:v>
      </x:c>
      <x:c r="U1344" s="17" t="str">
        <x:v>true</x:v>
      </x:c>
      <x:c r="V1344" s="17" t="str">
        <x:v>false</x:v>
      </x:c>
    </x:row>
    <x:row r="1345" ht="80" customHeight="1">
      <x:c r="A1345" s="25" t="str">
        <x:v>JacksonDatabind</x:v>
      </x:c>
      <x:c r="B1345" s="25" t="n">
        <x:v>87</x:v>
      </x:c>
      <x:c r="C1345" s="25" t="str">
        <x:v>Round2</x:v>
      </x:c>
      <x:c r="D1345" s="25" t="str">
        <x:v>NOT_REVEALING</x:v>
      </x:c>
      <x:c r="E1345" s="25" t="str">
        <x:v>N/A</x:v>
      </x:c>
      <x:c r="F1345" s="26" t="str">
        <x:v>Same saved validation suite passed on buggy and fixed; Same-round generation metadata missing; use saved tests and execution evidence, no failure inferred</x:v>
      </x:c>
      <x:c r="G1345" s="25" t="str">
        <x:v>true</x:v>
      </x:c>
      <x:c r="H1345" s="25" t="str">
        <x:v>NOT_REVEALING</x:v>
      </x:c>
      <x:c r="I1345" s="25" t="str">
        <x:v>PASS</x:v>
      </x:c>
      <x:c r="J1345" s="25" t="str">
        <x:v>PASS</x:v>
      </x:c>
      <x:c r="K1345" s="25" t="n">
        <x:v>1</x:v>
      </x:c>
      <x:c r="L1345" s="27" t="b">
        <x:v>0</x:v>
      </x:c>
      <x:c r="M1345" s="25"/>
      <x:c r="N1345" s="25" t="str">
        <x:v>Deepseek-flash-v4/Result2/JacksonDatabind_87/result.json</x:v>
      </x:c>
      <x:c r="O1345" s="25" t="str">
        <x:v>Deepseek-flash-v4/Result2/JacksonDatabind_87/result.json</x:v>
      </x:c>
      <x:c r="P1345"/>
      <x:c r="Q1345" s="21" t="str"/>
      <x:c r="R1345" s="21" t="str"/>
      <x:c r="S1345" s="21" t="str"/>
      <x:c r="T1345" s="17" t="str">
        <x:v>false</x:v>
      </x:c>
      <x:c r="U1345" s="17" t="str">
        <x:v>true</x:v>
      </x:c>
      <x:c r="V1345" s="17" t="str">
        <x:v>false</x:v>
      </x:c>
    </x:row>
    <x:row r="1346" ht="80" customHeight="1">
      <x:c r="A1346" s="25" t="str">
        <x:v>JacksonDatabind</x:v>
      </x:c>
      <x:c r="B1346" s="25" t="n">
        <x:v>88</x:v>
      </x:c>
      <x:c r="C1346" s="25" t="str">
        <x:v>Round2</x:v>
      </x:c>
      <x:c r="D1346" s="25" t="str">
        <x:v>NOT_AVAILABLE</x:v>
      </x:c>
      <x:c r="E1346" s="25" t="str">
        <x:v>N/A</x:v>
      </x:c>
      <x:c r="F1346" s="26" t="str">
        <x:v>Tests exist but current coverage did not complete</x:v>
      </x:c>
      <x:c r="G1346" s="25" t="str">
        <x:v>true</x:v>
      </x:c>
      <x:c r="H1346" s="25" t="str">
        <x:v>NOT_AVAILABLE</x:v>
      </x:c>
      <x:c r="I1346" s="25" t="str">
        <x:v>NOT_RUN</x:v>
      </x:c>
      <x:c r="J1346" s="25" t="str">
        <x:v>NOT_RUN</x:v>
      </x:c>
      <x:c r="K1346" s="25" t="n">
        <x:v>1</x:v>
      </x:c>
      <x:c r="L1346" s="27" t="b">
        <x:v>0</x:v>
      </x:c>
      <x:c r="M1346" s="25" t="str">
        <x:v>Deepseek-flash-v4/state/Round2/status/JacksonDatabind_88.json; Deepseek-flash-v4/state/Round2/shards/JacksonDatabind_88.json</x:v>
      </x:c>
      <x:c r="N1346" s="25" t="str">
        <x:v>Deepseek-flash-v4/Result2/JacksonDatabind_88/result.json</x:v>
      </x:c>
      <x:c r="O1346" s="25" t="str">
        <x:v>Deepseek-flash-v4/Result2/JacksonDatabind_88/result.json</x:v>
      </x:c>
      <x:c r="P1346" t="str">
        <x:v>BOTH_NOT_RUN</x:v>
      </x:c>
      <x:c r="Q1346" s="21" t="str"/>
      <x:c r="R1346" s="21" t="str"/>
      <x:c r="S1346" s="21" t="str"/>
      <x:c r="T1346" s="17" t="str">
        <x:v>false</x:v>
      </x:c>
      <x:c r="U1346" s="17" t="str">
        <x:v>true</x:v>
      </x:c>
      <x:c r="V1346" s="17" t="str">
        <x:v>false</x:v>
      </x:c>
    </x:row>
    <x:row r="1347" ht="80" customHeight="1">
      <x:c r="A1347" s="25" t="str">
        <x:v>JacksonDatabind</x:v>
      </x:c>
      <x:c r="B1347" s="25" t="n">
        <x:v>9</x:v>
      </x:c>
      <x:c r="C1347" s="25" t="str">
        <x:v>Round2</x:v>
      </x:c>
      <x:c r="D1347" s="25" t="str">
        <x:v>INCONCLUSIVE</x:v>
      </x:c>
      <x:c r="E1347" s="25" t="str">
        <x:v>N/A</x:v>
      </x:c>
      <x:c r="F1347" s="26" t="str">
        <x:v>Fixed also failed; assertion failure cannot be attributed to this bug; Same-round generation metadata missing; use saved tests and execution evidence, no failure inferred</x:v>
      </x:c>
      <x:c r="G1347" s="25" t="str">
        <x:v>true</x:v>
      </x:c>
      <x:c r="H1347" s="25" t="str">
        <x:v>INCONCLUSIVE</x:v>
      </x:c>
      <x:c r="I1347" s="25" t="str">
        <x:v>FAIL</x:v>
      </x:c>
      <x:c r="J1347" s="25" t="str">
        <x:v>FAIL</x:v>
      </x:c>
      <x:c r="K1347" s="25" t="n">
        <x:v>1</x:v>
      </x:c>
      <x:c r="L1347" s="27" t="b">
        <x:v>0</x:v>
      </x:c>
      <x:c r="M1347" s="25"/>
      <x:c r="N1347" s="25" t="str">
        <x:v>Deepseek-flash-v4/Result2/JacksonDatabind_9/result.json</x:v>
      </x:c>
      <x:c r="O1347" s="25" t="str">
        <x:v>Deepseek-flash-v4/Result2/JacksonDatabind_9/result.json</x:v>
      </x:c>
      <x:c r="P1347"/>
      <x:c r="Q1347" s="21" t="str"/>
      <x:c r="R1347" s="21" t="str"/>
      <x:c r="S1347" s="21" t="str"/>
      <x:c r="T1347" s="17" t="str">
        <x:v>false</x:v>
      </x:c>
      <x:c r="U1347" s="17" t="str">
        <x:v>true</x:v>
      </x:c>
      <x:c r="V1347" s="17" t="str">
        <x:v>false</x:v>
      </x:c>
    </x:row>
    <x:row r="1348" ht="80" customHeight="1">
      <x:c r="A1348" s="25" t="str">
        <x:v>JacksonDatabind</x:v>
      </x:c>
      <x:c r="B1348" s="25" t="n">
        <x:v>90</x:v>
      </x:c>
      <x:c r="C1348" s="25" t="str">
        <x:v>Round2</x:v>
      </x:c>
      <x:c r="D1348" s="25" t="str">
        <x:v>NOT_AVAILABLE</x:v>
      </x:c>
      <x:c r="E1348" s="25" t="str">
        <x:v>N/A</x:v>
      </x:c>
      <x:c r="F1348" s="26" t="str">
        <x:v>Tests exist but current coverage did not complete</x:v>
      </x:c>
      <x:c r="G1348" s="25" t="str">
        <x:v>true</x:v>
      </x:c>
      <x:c r="H1348" s="25" t="str">
        <x:v>NOT_AVAILABLE</x:v>
      </x:c>
      <x:c r="I1348" s="25" t="str">
        <x:v>NOT_RUN</x:v>
      </x:c>
      <x:c r="J1348" s="25" t="str">
        <x:v>NOT_RUN</x:v>
      </x:c>
      <x:c r="K1348" s="25" t="n">
        <x:v>2</x:v>
      </x:c>
      <x:c r="L1348" s="27" t="b">
        <x:v>0</x:v>
      </x:c>
      <x:c r="M1348" s="25" t="str">
        <x:v>Deepseek-flash-v4/state/Round2/status/JacksonDatabind_90.json; Deepseek-flash-v4/state/Round2/shards/JacksonDatabind_90.json</x:v>
      </x:c>
      <x:c r="N1348" s="25" t="str">
        <x:v>Deepseek-flash-v4/Result2/JacksonDatabind_90/result.json</x:v>
      </x:c>
      <x:c r="O1348" s="25" t="str">
        <x:v>Deepseek-flash-v4/Result2/JacksonDatabind_90/result.json</x:v>
      </x:c>
      <x:c r="P1348" t="str">
        <x:v>BOTH_NOT_RUN</x:v>
      </x:c>
      <x:c r="Q1348" s="21" t="str"/>
      <x:c r="R1348" s="21" t="str"/>
      <x:c r="S1348" s="21" t="str"/>
      <x:c r="T1348" s="17" t="str">
        <x:v>false</x:v>
      </x:c>
      <x:c r="U1348" s="17" t="str">
        <x:v>true</x:v>
      </x:c>
      <x:c r="V1348" s="17" t="str">
        <x:v>false</x:v>
      </x:c>
    </x:row>
    <x:row r="1349" ht="80" customHeight="1">
      <x:c r="A1349" s="25" t="str">
        <x:v>JacksonDatabind</x:v>
      </x:c>
      <x:c r="B1349" s="25" t="n">
        <x:v>91</x:v>
      </x:c>
      <x:c r="C1349" s="25" t="str">
        <x:v>Round2</x:v>
      </x:c>
      <x:c r="D1349" s="25" t="str">
        <x:v>NOT_AVAILABLE</x:v>
      </x:c>
      <x:c r="E1349" s="25" t="str">
        <x:v>N/A</x:v>
      </x:c>
      <x:c r="F1349" s="26" t="str">
        <x:v>Tests exist but current coverage did not complete</x:v>
      </x:c>
      <x:c r="G1349" s="25" t="str">
        <x:v>true</x:v>
      </x:c>
      <x:c r="H1349" s="25" t="str">
        <x:v>NOT_AVAILABLE</x:v>
      </x:c>
      <x:c r="I1349" s="25" t="str">
        <x:v>NOT_RUN</x:v>
      </x:c>
      <x:c r="J1349" s="25" t="str">
        <x:v>NOT_RUN</x:v>
      </x:c>
      <x:c r="K1349" s="25" t="n">
        <x:v>1</x:v>
      </x:c>
      <x:c r="L1349" s="27" t="b">
        <x:v>0</x:v>
      </x:c>
      <x:c r="M1349" s="25" t="str">
        <x:v>Deepseek-flash-v4/state/Round2/status/JacksonDatabind_91.json; Deepseek-flash-v4/state/Round2/shards/JacksonDatabind_91.json</x:v>
      </x:c>
      <x:c r="N1349" s="25" t="str">
        <x:v>Deepseek-flash-v4/Result2/JacksonDatabind_91/result.json</x:v>
      </x:c>
      <x:c r="O1349" s="25" t="str">
        <x:v>Deepseek-flash-v4/Result2/JacksonDatabind_91/result.json</x:v>
      </x:c>
      <x:c r="P1349" t="str">
        <x:v>BOTH_NOT_RUN</x:v>
      </x:c>
      <x:c r="Q1349" s="21" t="str"/>
      <x:c r="R1349" s="21" t="str"/>
      <x:c r="S1349" s="21" t="str"/>
      <x:c r="T1349" s="17" t="str">
        <x:v>false</x:v>
      </x:c>
      <x:c r="U1349" s="17" t="str">
        <x:v>true</x:v>
      </x:c>
      <x:c r="V1349" s="17" t="str">
        <x:v>false</x:v>
      </x:c>
    </x:row>
    <x:row r="1350" ht="80" customHeight="1">
      <x:c r="A1350" s="25" t="str">
        <x:v>JacksonDatabind</x:v>
      </x:c>
      <x:c r="B1350" s="25" t="n">
        <x:v>92</x:v>
      </x:c>
      <x:c r="C1350" s="25" t="str">
        <x:v>Round2</x:v>
      </x:c>
      <x:c r="D1350" s="25" t="str">
        <x:v>INCONCLUSIVE</x:v>
      </x:c>
      <x:c r="E1350" s="25" t="str">
        <x:v>N/A</x:v>
      </x:c>
      <x:c r="F1350" s="26" t="str">
        <x:v>Fixed also failed; assertion failure cannot be attributed to this bug</x:v>
      </x:c>
      <x:c r="G1350" s="25" t="str">
        <x:v>true</x:v>
      </x:c>
      <x:c r="H1350" s="25" t="str">
        <x:v>INCONCLUSIVE</x:v>
      </x:c>
      <x:c r="I1350" s="25" t="str">
        <x:v>FAIL</x:v>
      </x:c>
      <x:c r="J1350" s="25" t="str">
        <x:v>FAIL</x:v>
      </x:c>
      <x:c r="K1350" s="25" t="n">
        <x:v>1</x:v>
      </x:c>
      <x:c r="L1350" s="27" t="b">
        <x:v>0</x:v>
      </x:c>
      <x:c r="M1350" s="25" t="str">
        <x:v>Deepseek-flash-v4/state/Round2/status/JacksonDatabind_92.json; Deepseek-flash-v4/state/Round2/shards/JacksonDatabind_92.json</x:v>
      </x:c>
      <x:c r="N1350" s="25" t="str">
        <x:v>Deepseek-flash-v4/Result2/JacksonDatabind_92/result.json</x:v>
      </x:c>
      <x:c r="O1350" s="25" t="str">
        <x:v>Deepseek-flash-v4/Result2/JacksonDatabind_92/result.json</x:v>
      </x:c>
      <x:c r="P1350"/>
      <x:c r="Q1350" s="21" t="str"/>
      <x:c r="R1350" s="21" t="str"/>
      <x:c r="S1350" s="21" t="str"/>
      <x:c r="T1350" s="17" t="str">
        <x:v>false</x:v>
      </x:c>
      <x:c r="U1350" s="17" t="str">
        <x:v>true</x:v>
      </x:c>
      <x:c r="V1350" s="17" t="str">
        <x:v>false</x:v>
      </x:c>
    </x:row>
    <x:row r="1351" ht="80" customHeight="1">
      <x:c r="A1351" s="25" t="str">
        <x:v>JacksonDatabind</x:v>
      </x:c>
      <x:c r="B1351" s="25" t="n">
        <x:v>93</x:v>
      </x:c>
      <x:c r="C1351" s="25" t="str">
        <x:v>Round2</x:v>
      </x:c>
      <x:c r="D1351" s="25" t="str">
        <x:v>INCONCLUSIVE</x:v>
      </x:c>
      <x:c r="E1351" s="25" t="str">
        <x:v>N/A</x:v>
      </x:c>
      <x:c r="F1351" s="26" t="str">
        <x:v>Fixed also failed; assertion failure cannot be attributed to this bug</x:v>
      </x:c>
      <x:c r="G1351" s="25" t="str">
        <x:v>true</x:v>
      </x:c>
      <x:c r="H1351" s="25" t="str">
        <x:v>INCONCLUSIVE</x:v>
      </x:c>
      <x:c r="I1351" s="25" t="str">
        <x:v>FAIL</x:v>
      </x:c>
      <x:c r="J1351" s="25" t="str">
        <x:v>FAIL</x:v>
      </x:c>
      <x:c r="K1351" s="25" t="n">
        <x:v>1</x:v>
      </x:c>
      <x:c r="L1351" s="27" t="b">
        <x:v>0</x:v>
      </x:c>
      <x:c r="M1351" s="25" t="str">
        <x:v>Deepseek-flash-v4/state/Round2/status/JacksonDatabind_93.json; Deepseek-flash-v4/state/Round2/shards/JacksonDatabind_93.json</x:v>
      </x:c>
      <x:c r="N1351" s="25" t="str">
        <x:v>Deepseek-flash-v4/Result2/JacksonDatabind_93/result.json</x:v>
      </x:c>
      <x:c r="O1351" s="25" t="str">
        <x:v>Deepseek-flash-v4/Result2/JacksonDatabind_93/result.json</x:v>
      </x:c>
      <x:c r="P1351"/>
      <x:c r="Q1351" s="21" t="str"/>
      <x:c r="R1351" s="21" t="str"/>
      <x:c r="S1351" s="21" t="str"/>
      <x:c r="T1351" s="17" t="str">
        <x:v>false</x:v>
      </x:c>
      <x:c r="U1351" s="17" t="str">
        <x:v>true</x:v>
      </x:c>
      <x:c r="V1351" s="17" t="str">
        <x:v>false</x:v>
      </x:c>
    </x:row>
    <x:row r="1352" ht="80" customHeight="1">
      <x:c r="A1352" s="25" t="str">
        <x:v>JacksonDatabind</x:v>
      </x:c>
      <x:c r="B1352" s="25" t="n">
        <x:v>94</x:v>
      </x:c>
      <x:c r="C1352" s="25" t="str">
        <x:v>Round2</x:v>
      </x:c>
      <x:c r="D1352" s="25" t="str">
        <x:v>INCONCLUSIVE</x:v>
      </x:c>
      <x:c r="E1352" s="25" t="str">
        <x:v>N/A</x:v>
      </x:c>
      <x:c r="F1352" s="26" t="str">
        <x:v>Fixed also failed; assertion failure cannot be attributed to this bug; Same-round generation metadata missing; use saved tests and execution evidence, no failure inferred</x:v>
      </x:c>
      <x:c r="G1352" s="25" t="str">
        <x:v>true</x:v>
      </x:c>
      <x:c r="H1352" s="25" t="str">
        <x:v>INCONCLUSIVE</x:v>
      </x:c>
      <x:c r="I1352" s="25" t="str">
        <x:v>FAIL</x:v>
      </x:c>
      <x:c r="J1352" s="25" t="str">
        <x:v>FAIL</x:v>
      </x:c>
      <x:c r="K1352" s="25" t="n">
        <x:v>1</x:v>
      </x:c>
      <x:c r="L1352" s="27" t="b">
        <x:v>0</x:v>
      </x:c>
      <x:c r="M1352" s="25"/>
      <x:c r="N1352" s="25" t="str">
        <x:v>Deepseek-flash-v4/Result2/JacksonDatabind_94/result.json</x:v>
      </x:c>
      <x:c r="O1352" s="25" t="str">
        <x:v>Deepseek-flash-v4/Result2/JacksonDatabind_94/result.json</x:v>
      </x:c>
      <x:c r="P1352"/>
      <x:c r="Q1352" s="21" t="str"/>
      <x:c r="R1352" s="21" t="str"/>
      <x:c r="S1352" s="21" t="str"/>
      <x:c r="T1352" s="17" t="str">
        <x:v>false</x:v>
      </x:c>
      <x:c r="U1352" s="17" t="str">
        <x:v>true</x:v>
      </x:c>
      <x:c r="V1352" s="17" t="str">
        <x:v>false</x:v>
      </x:c>
    </x:row>
    <x:row r="1353" ht="80" customHeight="1">
      <x:c r="A1353" s="25" t="str">
        <x:v>JacksonDatabind</x:v>
      </x:c>
      <x:c r="B1353" s="25" t="n">
        <x:v>95</x:v>
      </x:c>
      <x:c r="C1353" s="25" t="str">
        <x:v>Round2</x:v>
      </x:c>
      <x:c r="D1353" s="25" t="str">
        <x:v>NOT_AVAILABLE</x:v>
      </x:c>
      <x:c r="E1353" s="25" t="str">
        <x:v>N/A</x:v>
      </x:c>
      <x:c r="F1353" s="26" t="str">
        <x:v>Tests exist but current coverage did not complete</x:v>
      </x:c>
      <x:c r="G1353" s="25" t="str">
        <x:v>true</x:v>
      </x:c>
      <x:c r="H1353" s="25" t="str">
        <x:v>NOT_AVAILABLE</x:v>
      </x:c>
      <x:c r="I1353" s="25" t="str">
        <x:v>NOT_RUN</x:v>
      </x:c>
      <x:c r="J1353" s="25" t="str">
        <x:v>NOT_RUN</x:v>
      </x:c>
      <x:c r="K1353" s="25" t="n">
        <x:v>2</x:v>
      </x:c>
      <x:c r="L1353" s="27" t="b">
        <x:v>0</x:v>
      </x:c>
      <x:c r="M1353" s="25" t="str">
        <x:v>Deepseek-flash-v4/state/Round2/status/JacksonDatabind_95.json; Deepseek-flash-v4/state/Round2/shards/JacksonDatabind_95.json</x:v>
      </x:c>
      <x:c r="N1353" s="25" t="str">
        <x:v>Deepseek-flash-v4/Result2/JacksonDatabind_95/result.json</x:v>
      </x:c>
      <x:c r="O1353" s="25" t="str">
        <x:v>Deepseek-flash-v4/Result2/JacksonDatabind_95/result.json</x:v>
      </x:c>
      <x:c r="P1353" t="str">
        <x:v>BOTH_NOT_RUN</x:v>
      </x:c>
      <x:c r="Q1353" s="21" t="str"/>
      <x:c r="R1353" s="21" t="str"/>
      <x:c r="S1353" s="21" t="str"/>
      <x:c r="T1353" s="17" t="str">
        <x:v>false</x:v>
      </x:c>
      <x:c r="U1353" s="17" t="str">
        <x:v>true</x:v>
      </x:c>
      <x:c r="V1353" s="17" t="str">
        <x:v>false</x:v>
      </x:c>
    </x:row>
    <x:row r="1354" ht="80" customHeight="1">
      <x:c r="A1354" s="25" t="str">
        <x:v>JacksonDatabind</x:v>
      </x:c>
      <x:c r="B1354" s="25" t="n">
        <x:v>96</x:v>
      </x:c>
      <x:c r="C1354" s="25" t="str">
        <x:v>Round2</x:v>
      </x:c>
      <x:c r="D1354" s="25" t="str">
        <x:v>NOT_AVAILABLE</x:v>
      </x:c>
      <x:c r="E1354" s="25" t="str">
        <x:v>N/A</x:v>
      </x:c>
      <x:c r="F1354" s="26" t="str">
        <x:v>Tests exist but current coverage did not complete</x:v>
      </x:c>
      <x:c r="G1354" s="25" t="str">
        <x:v>true</x:v>
      </x:c>
      <x:c r="H1354" s="25" t="str">
        <x:v>NOT_AVAILABLE</x:v>
      </x:c>
      <x:c r="I1354" s="25" t="str">
        <x:v>NOT_RUN</x:v>
      </x:c>
      <x:c r="J1354" s="25" t="str">
        <x:v>NOT_RUN</x:v>
      </x:c>
      <x:c r="K1354" s="25" t="n">
        <x:v>1</x:v>
      </x:c>
      <x:c r="L1354" s="27" t="b">
        <x:v>0</x:v>
      </x:c>
      <x:c r="M1354" s="25" t="str">
        <x:v>Deepseek-flash-v4/state/Round2/status/JacksonDatabind_96.json; Deepseek-flash-v4/state/Round2/shards/JacksonDatabind_96.json</x:v>
      </x:c>
      <x:c r="N1354" s="25" t="str">
        <x:v>Deepseek-flash-v4/Result2/JacksonDatabind_96/result.json</x:v>
      </x:c>
      <x:c r="O1354" s="25" t="str">
        <x:v>Deepseek-flash-v4/Result2/JacksonDatabind_96/result.json</x:v>
      </x:c>
      <x:c r="P1354" t="str">
        <x:v>BOTH_NOT_RUN</x:v>
      </x:c>
      <x:c r="Q1354" s="21" t="str"/>
      <x:c r="R1354" s="21" t="str"/>
      <x:c r="S1354" s="21" t="str"/>
      <x:c r="T1354" s="17" t="str">
        <x:v>false</x:v>
      </x:c>
      <x:c r="U1354" s="17" t="str">
        <x:v>true</x:v>
      </x:c>
      <x:c r="V1354" s="17" t="str">
        <x:v>false</x:v>
      </x:c>
    </x:row>
    <x:row r="1355" ht="80" customHeight="1">
      <x:c r="A1355" s="25" t="str">
        <x:v>JacksonDatabind</x:v>
      </x:c>
      <x:c r="B1355" s="25" t="n">
        <x:v>97</x:v>
      </x:c>
      <x:c r="C1355" s="25" t="str">
        <x:v>Round2</x:v>
      </x:c>
      <x:c r="D1355" s="25" t="str">
        <x:v>NOT_AVAILABLE</x:v>
      </x:c>
      <x:c r="E1355" s="25" t="str">
        <x:v>N/A</x:v>
      </x:c>
      <x:c r="F1355" s="26" t="str">
        <x:v>Tests exist but current coverage did not complete</x:v>
      </x:c>
      <x:c r="G1355" s="25" t="str">
        <x:v>true</x:v>
      </x:c>
      <x:c r="H1355" s="25" t="str">
        <x:v>NOT_AVAILABLE</x:v>
      </x:c>
      <x:c r="I1355" s="25" t="str">
        <x:v>NOT_RUN</x:v>
      </x:c>
      <x:c r="J1355" s="25" t="str">
        <x:v>NOT_RUN</x:v>
      </x:c>
      <x:c r="K1355" s="25" t="n">
        <x:v>1</x:v>
      </x:c>
      <x:c r="L1355" s="27" t="b">
        <x:v>0</x:v>
      </x:c>
      <x:c r="M1355" s="25" t="str">
        <x:v>Deepseek-flash-v4/state/Round2/status/JacksonDatabind_97.json; Deepseek-flash-v4/state/Round2/shards/JacksonDatabind_97.json</x:v>
      </x:c>
      <x:c r="N1355" s="25" t="str">
        <x:v>Deepseek-flash-v4/Result2/JacksonDatabind_97/result.json</x:v>
      </x:c>
      <x:c r="O1355" s="25" t="str">
        <x:v>Deepseek-flash-v4/Result2/JacksonDatabind_97/result.json</x:v>
      </x:c>
      <x:c r="P1355" t="str">
        <x:v>BOTH_NOT_RUN</x:v>
      </x:c>
      <x:c r="Q1355" s="21" t="str"/>
      <x:c r="R1355" s="21" t="str"/>
      <x:c r="S1355" s="21" t="str"/>
      <x:c r="T1355" s="17" t="str">
        <x:v>false</x:v>
      </x:c>
      <x:c r="U1355" s="17" t="str">
        <x:v>true</x:v>
      </x:c>
      <x:c r="V1355" s="17" t="str">
        <x:v>false</x:v>
      </x:c>
    </x:row>
    <x:row r="1356" ht="80" customHeight="1">
      <x:c r="A1356" s="25" t="str">
        <x:v>JacksonDatabind</x:v>
      </x:c>
      <x:c r="B1356" s="25" t="n">
        <x:v>98</x:v>
      </x:c>
      <x:c r="C1356" s="25" t="str">
        <x:v>Round2</x:v>
      </x:c>
      <x:c r="D1356" s="25" t="str">
        <x:v>INCONCLUSIVE</x:v>
      </x:c>
      <x:c r="E1356" s="25" t="str">
        <x:v>N/A</x:v>
      </x:c>
      <x:c r="F1356" s="26" t="str">
        <x:v>Fixed also failed; assertion failure cannot be attributed to this bug</x:v>
      </x:c>
      <x:c r="G1356" s="25" t="str">
        <x:v>true</x:v>
      </x:c>
      <x:c r="H1356" s="25" t="str">
        <x:v>INCONCLUSIVE</x:v>
      </x:c>
      <x:c r="I1356" s="25" t="str">
        <x:v>FAIL</x:v>
      </x:c>
      <x:c r="J1356" s="25" t="str">
        <x:v>FAIL</x:v>
      </x:c>
      <x:c r="K1356" s="25" t="n">
        <x:v>1</x:v>
      </x:c>
      <x:c r="L1356" s="27" t="b">
        <x:v>0</x:v>
      </x:c>
      <x:c r="M1356" s="25" t="str">
        <x:v>Deepseek-flash-v4/state/Round2/status/JacksonDatabind_98.json; Deepseek-flash-v4/state/Round2/shards/JacksonDatabind_98.json</x:v>
      </x:c>
      <x:c r="N1356" s="25" t="str">
        <x:v>Deepseek-flash-v4/Result2/JacksonDatabind_98/result.json</x:v>
      </x:c>
      <x:c r="O1356" s="25" t="str">
        <x:v>Deepseek-flash-v4/Result2/JacksonDatabind_98/result.json</x:v>
      </x:c>
      <x:c r="P1356"/>
      <x:c r="Q1356" s="21" t="str"/>
      <x:c r="R1356" s="21" t="str"/>
      <x:c r="S1356" s="21" t="str"/>
      <x:c r="T1356" s="17" t="str">
        <x:v>false</x:v>
      </x:c>
      <x:c r="U1356" s="17" t="str">
        <x:v>true</x:v>
      </x:c>
      <x:c r="V1356" s="17" t="str">
        <x:v>false</x:v>
      </x:c>
    </x:row>
    <x:row r="1357" ht="80" customHeight="1">
      <x:c r="A1357" s="25" t="str">
        <x:v>JacksonDatabind</x:v>
      </x:c>
      <x:c r="B1357" s="25" t="n">
        <x:v>99</x:v>
      </x:c>
      <x:c r="C1357" s="25" t="str">
        <x:v>Round2</x:v>
      </x:c>
      <x:c r="D1357" s="25" t="str">
        <x:v>NOT_AVAILABLE</x:v>
      </x:c>
      <x:c r="E1357" s="25" t="str">
        <x:v>N/A</x:v>
      </x:c>
      <x:c r="F1357" s="26" t="str">
        <x:v>Tests exist but current coverage did not complete</x:v>
      </x:c>
      <x:c r="G1357" s="25" t="str">
        <x:v>true</x:v>
      </x:c>
      <x:c r="H1357" s="25" t="str">
        <x:v>NOT_AVAILABLE</x:v>
      </x:c>
      <x:c r="I1357" s="25" t="str">
        <x:v>NOT_RUN</x:v>
      </x:c>
      <x:c r="J1357" s="25" t="str">
        <x:v>NOT_RUN</x:v>
      </x:c>
      <x:c r="K1357" s="25" t="n">
        <x:v>1</x:v>
      </x:c>
      <x:c r="L1357" s="27" t="b">
        <x:v>0</x:v>
      </x:c>
      <x:c r="M1357" s="25" t="str">
        <x:v>Deepseek-flash-v4/state/Round2/status/JacksonDatabind_99.json; Deepseek-flash-v4/state/Round2/shards/JacksonDatabind_99.json</x:v>
      </x:c>
      <x:c r="N1357" s="25" t="str">
        <x:v>Deepseek-flash-v4/Result2/JacksonDatabind_99/result.json</x:v>
      </x:c>
      <x:c r="O1357" s="25" t="str">
        <x:v>Deepseek-flash-v4/Result2/JacksonDatabind_99/result.json</x:v>
      </x:c>
      <x:c r="P1357" t="str">
        <x:v>BOTH_NOT_RUN</x:v>
      </x:c>
      <x:c r="Q1357" s="21" t="str"/>
      <x:c r="R1357" s="21" t="str"/>
      <x:c r="S1357" s="21" t="str"/>
      <x:c r="T1357" s="17" t="str">
        <x:v>false</x:v>
      </x:c>
      <x:c r="U1357" s="17" t="str">
        <x:v>true</x:v>
      </x:c>
      <x:c r="V1357" s="17" t="str">
        <x:v>false</x:v>
      </x:c>
    </x:row>
    <x:row r="1358" ht="80" customHeight="1">
      <x:c r="A1358" s="25" t="str">
        <x:v>JacksonXml</x:v>
      </x:c>
      <x:c r="B1358" s="25" t="n">
        <x:v>1</x:v>
      </x:c>
      <x:c r="C1358" s="25" t="str">
        <x:v>Round2</x:v>
      </x:c>
      <x:c r="D1358" s="25" t="str">
        <x:v>NOT_AVAILABLE</x:v>
      </x:c>
      <x:c r="E1358" s="25" t="str">
        <x:v>N/A</x:v>
      </x:c>
      <x:c r="F1358" s="26" t="str">
        <x:v>Tests exist but current coverage did not complete</x:v>
      </x:c>
      <x:c r="G1358" s="25" t="str">
        <x:v>true</x:v>
      </x:c>
      <x:c r="H1358" s="25" t="str">
        <x:v>NOT_AVAILABLE</x:v>
      </x:c>
      <x:c r="I1358" s="25" t="str">
        <x:v>NOT_RUN</x:v>
      </x:c>
      <x:c r="J1358" s="25" t="str">
        <x:v>NOT_RUN</x:v>
      </x:c>
      <x:c r="K1358" s="25" t="n">
        <x:v>1</x:v>
      </x:c>
      <x:c r="L1358" s="27" t="b">
        <x:v>0</x:v>
      </x:c>
      <x:c r="M1358" s="25" t="str">
        <x:v>Deepseek-flash-v4/state/Round2/status/JacksonXml_1.json; Deepseek-flash-v4/state/Round2/shards/JacksonXml_1.json</x:v>
      </x:c>
      <x:c r="N1358" s="25" t="str">
        <x:v>Deepseek-flash-v4/Result2/JacksonXml_1/result.json</x:v>
      </x:c>
      <x:c r="O1358" s="25" t="str">
        <x:v>Deepseek-flash-v4/Result2/JacksonXml_1/result.json</x:v>
      </x:c>
      <x:c r="P1358" t="str">
        <x:v>BOTH_NOT_RUN</x:v>
      </x:c>
      <x:c r="Q1358" s="21" t="str"/>
      <x:c r="R1358" s="21" t="str"/>
      <x:c r="S1358" s="21" t="str"/>
      <x:c r="T1358" s="17" t="str">
        <x:v>false</x:v>
      </x:c>
      <x:c r="U1358" s="17" t="str">
        <x:v>true</x:v>
      </x:c>
      <x:c r="V1358" s="17" t="str">
        <x:v>false</x:v>
      </x:c>
    </x:row>
    <x:row r="1359" ht="80" customHeight="1">
      <x:c r="A1359" s="25" t="str">
        <x:v>JacksonXml</x:v>
      </x:c>
      <x:c r="B1359" s="25" t="n">
        <x:v>2</x:v>
      </x:c>
      <x:c r="C1359" s="25" t="str">
        <x:v>Round2</x:v>
      </x:c>
      <x:c r="D1359" s="25" t="str">
        <x:v>NOT_AVAILABLE</x:v>
      </x:c>
      <x:c r="E1359" s="25" t="str">
        <x:v>N/A</x:v>
      </x:c>
      <x:c r="F1359" s="26" t="str">
        <x:v>Tests exist but current coverage did not complete</x:v>
      </x:c>
      <x:c r="G1359" s="25" t="str">
        <x:v>true</x:v>
      </x:c>
      <x:c r="H1359" s="25" t="str">
        <x:v>NOT_AVAILABLE</x:v>
      </x:c>
      <x:c r="I1359" s="25" t="str">
        <x:v>NOT_RUN</x:v>
      </x:c>
      <x:c r="J1359" s="25" t="str">
        <x:v>NOT_RUN</x:v>
      </x:c>
      <x:c r="K1359" s="25" t="n">
        <x:v>1</x:v>
      </x:c>
      <x:c r="L1359" s="27" t="b">
        <x:v>0</x:v>
      </x:c>
      <x:c r="M1359" s="25" t="str">
        <x:v>Deepseek-flash-v4/state/Round2/status/JacksonXml_2.json; Deepseek-flash-v4/state/Round2/shards/JacksonXml_2.json</x:v>
      </x:c>
      <x:c r="N1359" s="25" t="str">
        <x:v>Deepseek-flash-v4/Result2/JacksonXml_2/result.json</x:v>
      </x:c>
      <x:c r="O1359" s="25" t="str">
        <x:v>Deepseek-flash-v4/Result2/JacksonXml_2/result.json</x:v>
      </x:c>
      <x:c r="P1359" t="str">
        <x:v>BOTH_NOT_RUN</x:v>
      </x:c>
      <x:c r="Q1359" s="21" t="str"/>
      <x:c r="R1359" s="21" t="str"/>
      <x:c r="S1359" s="21" t="str"/>
      <x:c r="T1359" s="17" t="str">
        <x:v>false</x:v>
      </x:c>
      <x:c r="U1359" s="17" t="str">
        <x:v>true</x:v>
      </x:c>
      <x:c r="V1359" s="17" t="str">
        <x:v>false</x:v>
      </x:c>
    </x:row>
    <x:row r="1360" ht="80" customHeight="1">
      <x:c r="A1360" s="25" t="str">
        <x:v>JacksonXml</x:v>
      </x:c>
      <x:c r="B1360" s="25" t="n">
        <x:v>3</x:v>
      </x:c>
      <x:c r="C1360" s="25" t="str">
        <x:v>Round2</x:v>
      </x:c>
      <x:c r="D1360" s="25" t="str">
        <x:v>NOT_AVAILABLE</x:v>
      </x:c>
      <x:c r="E1360" s="25" t="str">
        <x:v>N/A</x:v>
      </x:c>
      <x:c r="F1360" s="26" t="str">
        <x:v>Tests exist but current coverage did not complete</x:v>
      </x:c>
      <x:c r="G1360" s="25" t="str">
        <x:v>true</x:v>
      </x:c>
      <x:c r="H1360" s="25" t="str">
        <x:v>NOT_AVAILABLE</x:v>
      </x:c>
      <x:c r="I1360" s="25" t="str">
        <x:v>NOT_RUN</x:v>
      </x:c>
      <x:c r="J1360" s="25" t="str">
        <x:v>NOT_RUN</x:v>
      </x:c>
      <x:c r="K1360" s="25" t="n">
        <x:v>1</x:v>
      </x:c>
      <x:c r="L1360" s="27" t="b">
        <x:v>0</x:v>
      </x:c>
      <x:c r="M1360" s="25" t="str">
        <x:v>Deepseek-flash-v4/state/Round2/status/JacksonXml_3.json; Deepseek-flash-v4/state/Round2/shards/JacksonXml_3.json</x:v>
      </x:c>
      <x:c r="N1360" s="25" t="str">
        <x:v>Deepseek-flash-v4/Result2/JacksonXml_3/result.json</x:v>
      </x:c>
      <x:c r="O1360" s="25" t="str">
        <x:v>Deepseek-flash-v4/Result2/JacksonXml_3/result.json</x:v>
      </x:c>
      <x:c r="P1360" t="str">
        <x:v>BOTH_NOT_RUN</x:v>
      </x:c>
      <x:c r="Q1360" s="21" t="str"/>
      <x:c r="R1360" s="21" t="str"/>
      <x:c r="S1360" s="21" t="str"/>
      <x:c r="T1360" s="17" t="str">
        <x:v>false</x:v>
      </x:c>
      <x:c r="U1360" s="17" t="str">
        <x:v>true</x:v>
      </x:c>
      <x:c r="V1360" s="17" t="str">
        <x:v>false</x:v>
      </x:c>
    </x:row>
    <x:row r="1361" ht="80" customHeight="1">
      <x:c r="A1361" s="25" t="str">
        <x:v>JacksonXml</x:v>
      </x:c>
      <x:c r="B1361" s="25" t="n">
        <x:v>4</x:v>
      </x:c>
      <x:c r="C1361" s="25" t="str">
        <x:v>Round2</x:v>
      </x:c>
      <x:c r="D1361" s="25" t="str">
        <x:v>NOT_AVAILABLE</x:v>
      </x:c>
      <x:c r="E1361" s="25" t="str">
        <x:v>N/A</x:v>
      </x:c>
      <x:c r="F1361" s="26" t="str">
        <x:v>Tests exist but current coverage did not complete</x:v>
      </x:c>
      <x:c r="G1361" s="25" t="str">
        <x:v>true</x:v>
      </x:c>
      <x:c r="H1361" s="25" t="str">
        <x:v>NOT_AVAILABLE</x:v>
      </x:c>
      <x:c r="I1361" s="25" t="str">
        <x:v>NOT_RUN</x:v>
      </x:c>
      <x:c r="J1361" s="25" t="str">
        <x:v>NOT_RUN</x:v>
      </x:c>
      <x:c r="K1361" s="25" t="n">
        <x:v>1</x:v>
      </x:c>
      <x:c r="L1361" s="27" t="b">
        <x:v>0</x:v>
      </x:c>
      <x:c r="M1361" s="25" t="str">
        <x:v>Deepseek-flash-v4/state/Round2/status/JacksonXml_4.json; Deepseek-flash-v4/state/Round2/shards/JacksonXml_4.json</x:v>
      </x:c>
      <x:c r="N1361" s="25" t="str">
        <x:v>Deepseek-flash-v4/Result2/JacksonXml_4/result.json</x:v>
      </x:c>
      <x:c r="O1361" s="25" t="str">
        <x:v>Deepseek-flash-v4/Result2/JacksonXml_4/result.json</x:v>
      </x:c>
      <x:c r="P1361" t="str">
        <x:v>BOTH_NOT_RUN</x:v>
      </x:c>
      <x:c r="Q1361" s="21" t="str"/>
      <x:c r="R1361" s="21" t="str"/>
      <x:c r="S1361" s="21" t="str"/>
      <x:c r="T1361" s="17" t="str">
        <x:v>false</x:v>
      </x:c>
      <x:c r="U1361" s="17" t="str">
        <x:v>true</x:v>
      </x:c>
      <x:c r="V1361" s="17" t="str">
        <x:v>false</x:v>
      </x:c>
    </x:row>
    <x:row r="1362" ht="80" customHeight="1">
      <x:c r="A1362" s="25" t="str">
        <x:v>JacksonXml</x:v>
      </x:c>
      <x:c r="B1362" s="25" t="n">
        <x:v>5</x:v>
      </x:c>
      <x:c r="C1362" s="25" t="str">
        <x:v>Round2</x:v>
      </x:c>
      <x:c r="D1362" s="25" t="str">
        <x:v>NOT_AVAILABLE</x:v>
      </x:c>
      <x:c r="E1362" s="25" t="str">
        <x:v>N/A</x:v>
      </x:c>
      <x:c r="F1362" s="26" t="str">
        <x:v>Tests exist but current coverage did not complete</x:v>
      </x:c>
      <x:c r="G1362" s="25" t="str">
        <x:v>true</x:v>
      </x:c>
      <x:c r="H1362" s="25" t="str">
        <x:v>NOT_AVAILABLE</x:v>
      </x:c>
      <x:c r="I1362" s="25" t="str">
        <x:v>NOT_RUN</x:v>
      </x:c>
      <x:c r="J1362" s="25" t="str">
        <x:v>NOT_RUN</x:v>
      </x:c>
      <x:c r="K1362" s="25" t="n">
        <x:v>1</x:v>
      </x:c>
      <x:c r="L1362" s="27" t="b">
        <x:v>0</x:v>
      </x:c>
      <x:c r="M1362" s="25" t="str">
        <x:v>Deepseek-flash-v4/state/Round2/status/JacksonXml_5.json; Deepseek-flash-v4/state/Round2/shards/JacksonXml_5.json</x:v>
      </x:c>
      <x:c r="N1362" s="25" t="str">
        <x:v>Deepseek-flash-v4/Result2/JacksonXml_5/result.json</x:v>
      </x:c>
      <x:c r="O1362" s="25" t="str">
        <x:v>Deepseek-flash-v4/Result2/JacksonXml_5/result.json</x:v>
      </x:c>
      <x:c r="P1362" t="str">
        <x:v>BOTH_NOT_RUN</x:v>
      </x:c>
      <x:c r="Q1362" s="21" t="str"/>
      <x:c r="R1362" s="21" t="str"/>
      <x:c r="S1362" s="21" t="str"/>
      <x:c r="T1362" s="17" t="str">
        <x:v>false</x:v>
      </x:c>
      <x:c r="U1362" s="17" t="str">
        <x:v>true</x:v>
      </x:c>
      <x:c r="V1362" s="17" t="str">
        <x:v>false</x:v>
      </x:c>
    </x:row>
    <x:row r="1363" ht="80" customHeight="1">
      <x:c r="A1363" s="25" t="str">
        <x:v>JacksonXml</x:v>
      </x:c>
      <x:c r="B1363" s="25" t="n">
        <x:v>6</x:v>
      </x:c>
      <x:c r="C1363" s="25" t="str">
        <x:v>Round2</x:v>
      </x:c>
      <x:c r="D1363" s="25" t="str">
        <x:v>NOT_AVAILABLE</x:v>
      </x:c>
      <x:c r="E1363" s="25" t="str">
        <x:v>N/A</x:v>
      </x:c>
      <x:c r="F1363" s="26" t="str">
        <x:v>Tests exist but current coverage did not complete</x:v>
      </x:c>
      <x:c r="G1363" s="25" t="str">
        <x:v>true</x:v>
      </x:c>
      <x:c r="H1363" s="25" t="str">
        <x:v>NOT_AVAILABLE</x:v>
      </x:c>
      <x:c r="I1363" s="25" t="str">
        <x:v>NOT_RUN</x:v>
      </x:c>
      <x:c r="J1363" s="25" t="str">
        <x:v>NOT_RUN</x:v>
      </x:c>
      <x:c r="K1363" s="25" t="n">
        <x:v>1</x:v>
      </x:c>
      <x:c r="L1363" s="27" t="b">
        <x:v>0</x:v>
      </x:c>
      <x:c r="M1363" s="25" t="str">
        <x:v>Deepseek-flash-v4/state/Round2/status/JacksonXml_6.json; Deepseek-flash-v4/state/Round2/shards/JacksonXml_6.json</x:v>
      </x:c>
      <x:c r="N1363" s="25" t="str">
        <x:v>Deepseek-flash-v4/Result2/JacksonXml_6/result.json</x:v>
      </x:c>
      <x:c r="O1363" s="25" t="str">
        <x:v>Deepseek-flash-v4/Result2/JacksonXml_6/result.json</x:v>
      </x:c>
      <x:c r="P1363" t="str">
        <x:v>BOTH_NOT_RUN</x:v>
      </x:c>
      <x:c r="Q1363" s="21" t="str"/>
      <x:c r="R1363" s="21" t="str"/>
      <x:c r="S1363" s="21" t="str"/>
      <x:c r="T1363" s="17" t="str">
        <x:v>false</x:v>
      </x:c>
      <x:c r="U1363" s="17" t="str">
        <x:v>true</x:v>
      </x:c>
      <x:c r="V1363" s="17" t="str">
        <x:v>false</x:v>
      </x:c>
    </x:row>
    <x:row r="1364" ht="80" customHeight="1">
      <x:c r="A1364" s="25" t="str">
        <x:v>Jsoup</x:v>
      </x:c>
      <x:c r="B1364" s="25" t="n">
        <x:v>1</x:v>
      </x:c>
      <x:c r="C1364" s="25" t="str">
        <x:v>Round2</x:v>
      </x:c>
      <x:c r="D1364" s="25" t="str">
        <x:v>INCONCLUSIVE</x:v>
      </x:c>
      <x:c r="E1364" s="25" t="str">
        <x:v>N/A</x:v>
      </x:c>
      <x:c r="F1364" s="26" t="str">
        <x:v>Fixed also failed; assertion failure cannot be attributed to this bug; Same-round generation metadata missing; use saved tests and execution evidence, no failure inferred</x:v>
      </x:c>
      <x:c r="G1364" s="25" t="str">
        <x:v>true</x:v>
      </x:c>
      <x:c r="H1364" s="25" t="str">
        <x:v>INCONCLUSIVE</x:v>
      </x:c>
      <x:c r="I1364" s="25" t="str">
        <x:v>FAIL</x:v>
      </x:c>
      <x:c r="J1364" s="25" t="str">
        <x:v>FAIL</x:v>
      </x:c>
      <x:c r="K1364" s="25" t="n">
        <x:v>1</x:v>
      </x:c>
      <x:c r="L1364" s="27" t="b">
        <x:v>0</x:v>
      </x:c>
      <x:c r="M1364" s="25"/>
      <x:c r="N1364" s="25" t="str">
        <x:v>Deepseek-flash-v4/Result2/Jsoup_1/result.json</x:v>
      </x:c>
      <x:c r="O1364" s="25" t="str">
        <x:v>Deepseek-flash-v4/Result2/Jsoup_1/result.json</x:v>
      </x:c>
      <x:c r="P1364"/>
      <x:c r="Q1364" s="21" t="str"/>
      <x:c r="R1364" s="21" t="str"/>
      <x:c r="S1364" s="21" t="str"/>
      <x:c r="T1364" s="17" t="str">
        <x:v>false</x:v>
      </x:c>
      <x:c r="U1364" s="17" t="str">
        <x:v>true</x:v>
      </x:c>
      <x:c r="V1364" s="17" t="str">
        <x:v>false</x:v>
      </x:c>
    </x:row>
    <x:row r="1365" ht="80" customHeight="1">
      <x:c r="A1365" s="25" t="str">
        <x:v>Jsoup</x:v>
      </x:c>
      <x:c r="B1365" s="25" t="n">
        <x:v>10</x:v>
      </x:c>
      <x:c r="C1365" s="25" t="str">
        <x:v>Round2</x:v>
      </x:c>
      <x:c r="D1365" s="25" t="str">
        <x:v>NOT_AVAILABLE</x:v>
      </x:c>
      <x:c r="E1365" s="25" t="str">
        <x:v>N/A</x:v>
      </x:c>
      <x:c r="F1365" s="26" t="str">
        <x:v>Tests exist but current coverage did not complete</x:v>
      </x:c>
      <x:c r="G1365" s="25" t="str">
        <x:v>true</x:v>
      </x:c>
      <x:c r="H1365" s="25" t="str">
        <x:v>NOT_AVAILABLE</x:v>
      </x:c>
      <x:c r="I1365" s="25" t="str">
        <x:v>NOT_RUN</x:v>
      </x:c>
      <x:c r="J1365" s="25" t="str">
        <x:v>NOT_RUN</x:v>
      </x:c>
      <x:c r="K1365" s="25" t="n">
        <x:v>1</x:v>
      </x:c>
      <x:c r="L1365" s="27" t="b">
        <x:v>0</x:v>
      </x:c>
      <x:c r="M1365" s="25" t="str">
        <x:v>Deepseek-flash-v4/state/Round2/status/Jsoup_10.json; Deepseek-flash-v4/state/Round2/shards/Jsoup_10.json</x:v>
      </x:c>
      <x:c r="N1365" s="25" t="str">
        <x:v>Deepseek-flash-v4/Result2/Jsoup_10/result.json</x:v>
      </x:c>
      <x:c r="O1365" s="25" t="str">
        <x:v>Deepseek-flash-v4/Result2/Jsoup_10/result.json</x:v>
      </x:c>
      <x:c r="P1365" t="str">
        <x:v>BOTH_NOT_RUN</x:v>
      </x:c>
      <x:c r="Q1365" s="21" t="str"/>
      <x:c r="R1365" s="21" t="str"/>
      <x:c r="S1365" s="21" t="str"/>
      <x:c r="T1365" s="17" t="str">
        <x:v>false</x:v>
      </x:c>
      <x:c r="U1365" s="17" t="str">
        <x:v>true</x:v>
      </x:c>
      <x:c r="V1365" s="17" t="str">
        <x:v>false</x:v>
      </x:c>
    </x:row>
    <x:row r="1366" ht="80" customHeight="1">
      <x:c r="A1366" s="25" t="str">
        <x:v>Jsoup</x:v>
      </x:c>
      <x:c r="B1366" s="25" t="n">
        <x:v>11</x:v>
      </x:c>
      <x:c r="C1366" s="25" t="str">
        <x:v>Round2</x:v>
      </x:c>
      <x:c r="D1366" s="25" t="str">
        <x:v>INCONCLUSIVE</x:v>
      </x:c>
      <x:c r="E1366" s="25" t="str">
        <x:v>N/A</x:v>
      </x:c>
      <x:c r="F1366" s="26" t="str">
        <x:v>Fixed also failed; assertion failure cannot be attributed to this bug; Same-round generation metadata missing; use saved tests and execution evidence, no failure inferred</x:v>
      </x:c>
      <x:c r="G1366" s="25" t="str">
        <x:v>true</x:v>
      </x:c>
      <x:c r="H1366" s="25" t="str">
        <x:v>INCONCLUSIVE</x:v>
      </x:c>
      <x:c r="I1366" s="25" t="str">
        <x:v>FAIL</x:v>
      </x:c>
      <x:c r="J1366" s="25" t="str">
        <x:v>FAIL</x:v>
      </x:c>
      <x:c r="K1366" s="25" t="n">
        <x:v>1</x:v>
      </x:c>
      <x:c r="L1366" s="27" t="b">
        <x:v>0</x:v>
      </x:c>
      <x:c r="M1366" s="25"/>
      <x:c r="N1366" s="25" t="str">
        <x:v>Deepseek-flash-v4/Result2/Jsoup_11/result.json</x:v>
      </x:c>
      <x:c r="O1366" s="25" t="str">
        <x:v>Deepseek-flash-v4/Result2/Jsoup_11/result.json</x:v>
      </x:c>
      <x:c r="P1366"/>
      <x:c r="Q1366" s="21" t="str"/>
      <x:c r="R1366" s="21" t="str"/>
      <x:c r="S1366" s="21" t="str"/>
      <x:c r="T1366" s="17" t="str">
        <x:v>false</x:v>
      </x:c>
      <x:c r="U1366" s="17" t="str">
        <x:v>true</x:v>
      </x:c>
      <x:c r="V1366" s="17" t="str">
        <x:v>false</x:v>
      </x:c>
    </x:row>
    <x:row r="1367" ht="80" customHeight="1">
      <x:c r="A1367" s="25" t="str">
        <x:v>Jsoup</x:v>
      </x:c>
      <x:c r="B1367" s="25" t="n">
        <x:v>12</x:v>
      </x:c>
      <x:c r="C1367" s="25" t="str">
        <x:v>Round2</x:v>
      </x:c>
      <x:c r="D1367" s="25" t="str">
        <x:v>INCONCLUSIVE</x:v>
      </x:c>
      <x:c r="E1367" s="25" t="str">
        <x:v>N/A</x:v>
      </x:c>
      <x:c r="F1367" s="26" t="str">
        <x:v>Fixed also failed; assertion failure cannot be attributed to this bug; Same-round generation metadata missing; use saved tests and execution evidence, no failure inferred</x:v>
      </x:c>
      <x:c r="G1367" s="25" t="str">
        <x:v>true</x:v>
      </x:c>
      <x:c r="H1367" s="25" t="str">
        <x:v>INCONCLUSIVE</x:v>
      </x:c>
      <x:c r="I1367" s="25" t="str">
        <x:v>FAIL</x:v>
      </x:c>
      <x:c r="J1367" s="25" t="str">
        <x:v>FAIL</x:v>
      </x:c>
      <x:c r="K1367" s="25" t="n">
        <x:v>1</x:v>
      </x:c>
      <x:c r="L1367" s="27" t="b">
        <x:v>0</x:v>
      </x:c>
      <x:c r="M1367" s="25"/>
      <x:c r="N1367" s="25" t="str">
        <x:v>Deepseek-flash-v4/Result2/Jsoup_12/result.json</x:v>
      </x:c>
      <x:c r="O1367" s="25" t="str">
        <x:v>Deepseek-flash-v4/Result2/Jsoup_12/result.json</x:v>
      </x:c>
      <x:c r="P1367"/>
      <x:c r="Q1367" s="21" t="str"/>
      <x:c r="R1367" s="21" t="str"/>
      <x:c r="S1367" s="21" t="str"/>
      <x:c r="T1367" s="17" t="str">
        <x:v>false</x:v>
      </x:c>
      <x:c r="U1367" s="17" t="str">
        <x:v>true</x:v>
      </x:c>
      <x:c r="V1367" s="17" t="str">
        <x:v>false</x:v>
      </x:c>
    </x:row>
    <x:row r="1368" ht="80" customHeight="1">
      <x:c r="A1368" s="25" t="str">
        <x:v>Jsoup</x:v>
      </x:c>
      <x:c r="B1368" s="25" t="n">
        <x:v>13</x:v>
      </x:c>
      <x:c r="C1368" s="25" t="str">
        <x:v>Round2</x:v>
      </x:c>
      <x:c r="D1368" s="25" t="str">
        <x:v>NOT_AVAILABLE</x:v>
      </x:c>
      <x:c r="E1368" s="25" t="str">
        <x:v>N/A</x:v>
      </x:c>
      <x:c r="F1368" s="26" t="str">
        <x:v>Tests exist but current coverage did not complete</x:v>
      </x:c>
      <x:c r="G1368" s="25" t="str">
        <x:v>true</x:v>
      </x:c>
      <x:c r="H1368" s="25" t="str">
        <x:v>NOT_AVAILABLE</x:v>
      </x:c>
      <x:c r="I1368" s="25" t="str">
        <x:v>NOT_RUN</x:v>
      </x:c>
      <x:c r="J1368" s="25" t="str">
        <x:v>NOT_RUN</x:v>
      </x:c>
      <x:c r="K1368" s="25" t="n">
        <x:v>1</x:v>
      </x:c>
      <x:c r="L1368" s="27" t="b">
        <x:v>0</x:v>
      </x:c>
      <x:c r="M1368" s="25" t="str">
        <x:v>Deepseek-flash-v4/state/Round2/status/Jsoup_13.json; Deepseek-flash-v4/state/Round2/shards/Jsoup_13.json</x:v>
      </x:c>
      <x:c r="N1368" s="25" t="str">
        <x:v>Deepseek-flash-v4/Result2/Jsoup_13/result.json</x:v>
      </x:c>
      <x:c r="O1368" s="25" t="str">
        <x:v>Deepseek-flash-v4/Result2/Jsoup_13/result.json</x:v>
      </x:c>
      <x:c r="P1368" t="str">
        <x:v>BOTH_NOT_RUN</x:v>
      </x:c>
      <x:c r="Q1368" s="21" t="str"/>
      <x:c r="R1368" s="21" t="str"/>
      <x:c r="S1368" s="21" t="str"/>
      <x:c r="T1368" s="17" t="str">
        <x:v>false</x:v>
      </x:c>
      <x:c r="U1368" s="17" t="str">
        <x:v>true</x:v>
      </x:c>
      <x:c r="V1368" s="17" t="str">
        <x:v>false</x:v>
      </x:c>
    </x:row>
    <x:row r="1369" ht="80" customHeight="1">
      <x:c r="A1369" s="25" t="str">
        <x:v>Jsoup</x:v>
      </x:c>
      <x:c r="B1369" s="25" t="n">
        <x:v>14</x:v>
      </x:c>
      <x:c r="C1369" s="25" t="str">
        <x:v>Round2</x:v>
      </x:c>
      <x:c r="D1369" s="25" t="str">
        <x:v>NOT_AVAILABLE</x:v>
      </x:c>
      <x:c r="E1369" s="25" t="str">
        <x:v>N/A</x:v>
      </x:c>
      <x:c r="F1369" s="26" t="str">
        <x:v>Tests exist but current coverage did not complete</x:v>
      </x:c>
      <x:c r="G1369" s="25" t="str">
        <x:v>true</x:v>
      </x:c>
      <x:c r="H1369" s="25" t="str">
        <x:v>NOT_AVAILABLE</x:v>
      </x:c>
      <x:c r="I1369" s="25" t="str">
        <x:v>NOT_RUN</x:v>
      </x:c>
      <x:c r="J1369" s="25" t="str">
        <x:v>NOT_RUN</x:v>
      </x:c>
      <x:c r="K1369" s="25" t="n">
        <x:v>2</x:v>
      </x:c>
      <x:c r="L1369" s="27" t="b">
        <x:v>0</x:v>
      </x:c>
      <x:c r="M1369" s="25" t="str">
        <x:v>Deepseek-flash-v4/state/Round2/status/Jsoup_14.json; Deepseek-flash-v4/state/Round2/shards/Jsoup_14.json</x:v>
      </x:c>
      <x:c r="N1369" s="25" t="str">
        <x:v>Deepseek-flash-v4/Result2/Jsoup_14/result.json</x:v>
      </x:c>
      <x:c r="O1369" s="25" t="str">
        <x:v>Deepseek-flash-v4/Result2/Jsoup_14/result.json</x:v>
      </x:c>
      <x:c r="P1369" t="str">
        <x:v>BOTH_NOT_RUN</x:v>
      </x:c>
      <x:c r="Q1369" s="21" t="str"/>
      <x:c r="R1369" s="21" t="str"/>
      <x:c r="S1369" s="21" t="str"/>
      <x:c r="T1369" s="17" t="str">
        <x:v>false</x:v>
      </x:c>
      <x:c r="U1369" s="17" t="str">
        <x:v>true</x:v>
      </x:c>
      <x:c r="V1369" s="17" t="str">
        <x:v>false</x:v>
      </x:c>
    </x:row>
    <x:row r="1370" ht="80" customHeight="1">
      <x:c r="A1370" s="25" t="str">
        <x:v>Jsoup</x:v>
      </x:c>
      <x:c r="B1370" s="25" t="n">
        <x:v>15</x:v>
      </x:c>
      <x:c r="C1370" s="25" t="str">
        <x:v>Round2</x:v>
      </x:c>
      <x:c r="D1370" s="25" t="str">
        <x:v>NOT_AVAILABLE</x:v>
      </x:c>
      <x:c r="E1370" s="25" t="str">
        <x:v>N/A</x:v>
      </x:c>
      <x:c r="F1370" s="26" t="str">
        <x:v>Tests exist but current coverage did not complete</x:v>
      </x:c>
      <x:c r="G1370" s="25" t="str">
        <x:v>true</x:v>
      </x:c>
      <x:c r="H1370" s="25" t="str">
        <x:v>NOT_AVAILABLE</x:v>
      </x:c>
      <x:c r="I1370" s="25" t="str">
        <x:v>NOT_RUN</x:v>
      </x:c>
      <x:c r="J1370" s="25" t="str">
        <x:v>NOT_RUN</x:v>
      </x:c>
      <x:c r="K1370" s="25" t="n">
        <x:v>1</x:v>
      </x:c>
      <x:c r="L1370" s="27" t="b">
        <x:v>0</x:v>
      </x:c>
      <x:c r="M1370" s="25" t="str">
        <x:v>Deepseek-flash-v4/state/Round2/status/Jsoup_15.json; Deepseek-flash-v4/state/Round2/shards/Jsoup_15.json</x:v>
      </x:c>
      <x:c r="N1370" s="25" t="str">
        <x:v>Deepseek-flash-v4/Result2/Jsoup_15/result.json</x:v>
      </x:c>
      <x:c r="O1370" s="25" t="str">
        <x:v>Deepseek-flash-v4/Result2/Jsoup_15/result.json</x:v>
      </x:c>
      <x:c r="P1370" t="str">
        <x:v>BOTH_NOT_RUN</x:v>
      </x:c>
      <x:c r="Q1370" s="21" t="str"/>
      <x:c r="R1370" s="21" t="str"/>
      <x:c r="S1370" s="21" t="str"/>
      <x:c r="T1370" s="17" t="str">
        <x:v>false</x:v>
      </x:c>
      <x:c r="U1370" s="17" t="str">
        <x:v>true</x:v>
      </x:c>
      <x:c r="V1370" s="17" t="str">
        <x:v>false</x:v>
      </x:c>
    </x:row>
    <x:row r="1371" ht="80" customHeight="1">
      <x:c r="A1371" s="25" t="str">
        <x:v>Jsoup</x:v>
      </x:c>
      <x:c r="B1371" s="25" t="n">
        <x:v>16</x:v>
      </x:c>
      <x:c r="C1371" s="25" t="str">
        <x:v>Round2</x:v>
      </x:c>
      <x:c r="D1371" s="25" t="str">
        <x:v>INCONCLUSIVE</x:v>
      </x:c>
      <x:c r="E1371" s="25" t="str">
        <x:v>N/A</x:v>
      </x:c>
      <x:c r="F1371" s="26" t="str">
        <x:v>Fixed also failed; assertion failure cannot be attributed to this bug; Same-round generation metadata missing; use saved tests and execution evidence, no failure inferred</x:v>
      </x:c>
      <x:c r="G1371" s="25" t="str">
        <x:v>true</x:v>
      </x:c>
      <x:c r="H1371" s="25" t="str">
        <x:v>INCONCLUSIVE</x:v>
      </x:c>
      <x:c r="I1371" s="25" t="str">
        <x:v>FAIL</x:v>
      </x:c>
      <x:c r="J1371" s="25" t="str">
        <x:v>FAIL</x:v>
      </x:c>
      <x:c r="K1371" s="25" t="n">
        <x:v>1</x:v>
      </x:c>
      <x:c r="L1371" s="27" t="b">
        <x:v>0</x:v>
      </x:c>
      <x:c r="M1371" s="25"/>
      <x:c r="N1371" s="25" t="str">
        <x:v>Deepseek-flash-v4/Result2/Jsoup_16/result.json</x:v>
      </x:c>
      <x:c r="O1371" s="25" t="str">
        <x:v>Deepseek-flash-v4/Result2/Jsoup_16/result.json</x:v>
      </x:c>
      <x:c r="P1371"/>
      <x:c r="Q1371" s="21" t="str"/>
      <x:c r="R1371" s="21" t="str"/>
      <x:c r="S1371" s="21" t="str"/>
      <x:c r="T1371" s="17" t="str">
        <x:v>false</x:v>
      </x:c>
      <x:c r="U1371" s="17" t="str">
        <x:v>true</x:v>
      </x:c>
      <x:c r="V1371" s="17" t="str">
        <x:v>false</x:v>
      </x:c>
    </x:row>
    <x:row r="1372" ht="80" customHeight="1">
      <x:c r="A1372" s="25" t="str">
        <x:v>Jsoup</x:v>
      </x:c>
      <x:c r="B1372" s="25" t="n">
        <x:v>17</x:v>
      </x:c>
      <x:c r="C1372" s="25" t="str">
        <x:v>Round2</x:v>
      </x:c>
      <x:c r="D1372" s="25" t="str">
        <x:v>NOT_AVAILABLE</x:v>
      </x:c>
      <x:c r="E1372" s="25" t="str">
        <x:v>N/A</x:v>
      </x:c>
      <x:c r="F1372" s="26" t="str">
        <x:v>Tests exist but current coverage did not complete</x:v>
      </x:c>
      <x:c r="G1372" s="25" t="str">
        <x:v>true</x:v>
      </x:c>
      <x:c r="H1372" s="25" t="str">
        <x:v>NOT_AVAILABLE</x:v>
      </x:c>
      <x:c r="I1372" s="25" t="str">
        <x:v>NOT_RUN</x:v>
      </x:c>
      <x:c r="J1372" s="25" t="str">
        <x:v>NOT_RUN</x:v>
      </x:c>
      <x:c r="K1372" s="25" t="n">
        <x:v>1</x:v>
      </x:c>
      <x:c r="L1372" s="27" t="b">
        <x:v>0</x:v>
      </x:c>
      <x:c r="M1372" s="25" t="str">
        <x:v>Deepseek-flash-v4/state/Round2/status/Jsoup_17.json; Deepseek-flash-v4/state/Round2/shards/Jsoup_17.json</x:v>
      </x:c>
      <x:c r="N1372" s="25" t="str">
        <x:v>Deepseek-flash-v4/Result2/Jsoup_17/result.json</x:v>
      </x:c>
      <x:c r="O1372" s="25" t="str">
        <x:v>Deepseek-flash-v4/Result2/Jsoup_17/result.json</x:v>
      </x:c>
      <x:c r="P1372" t="str">
        <x:v>BOTH_NOT_RUN</x:v>
      </x:c>
      <x:c r="Q1372" s="21" t="str"/>
      <x:c r="R1372" s="21" t="str"/>
      <x:c r="S1372" s="21" t="str"/>
      <x:c r="T1372" s="17" t="str">
        <x:v>false</x:v>
      </x:c>
      <x:c r="U1372" s="17" t="str">
        <x:v>true</x:v>
      </x:c>
      <x:c r="V1372" s="17" t="str">
        <x:v>false</x:v>
      </x:c>
    </x:row>
    <x:row r="1373" ht="80" customHeight="1">
      <x:c r="A1373" s="25" t="str">
        <x:v>Jsoup</x:v>
      </x:c>
      <x:c r="B1373" s="25" t="n">
        <x:v>18</x:v>
      </x:c>
      <x:c r="C1373" s="25" t="str">
        <x:v>Round2</x:v>
      </x:c>
      <x:c r="D1373" s="25" t="str">
        <x:v>INCONCLUSIVE</x:v>
      </x:c>
      <x:c r="E1373" s="25" t="str">
        <x:v>N/A</x:v>
      </x:c>
      <x:c r="F1373" s="26" t="str">
        <x:v>Fixed also failed; assertion failure cannot be attributed to this bug; Same-round generation metadata missing; use saved tests and execution evidence, no failure inferred</x:v>
      </x:c>
      <x:c r="G1373" s="25" t="str">
        <x:v>true</x:v>
      </x:c>
      <x:c r="H1373" s="25" t="str">
        <x:v>INCONCLUSIVE</x:v>
      </x:c>
      <x:c r="I1373" s="25" t="str">
        <x:v>FAIL</x:v>
      </x:c>
      <x:c r="J1373" s="25" t="str">
        <x:v>FAIL</x:v>
      </x:c>
      <x:c r="K1373" s="25" t="n">
        <x:v>1</x:v>
      </x:c>
      <x:c r="L1373" s="27" t="b">
        <x:v>0</x:v>
      </x:c>
      <x:c r="M1373" s="25"/>
      <x:c r="N1373" s="25" t="str">
        <x:v>Deepseek-flash-v4/Result2/Jsoup_18/result.json</x:v>
      </x:c>
      <x:c r="O1373" s="25" t="str">
        <x:v>Deepseek-flash-v4/Result2/Jsoup_18/result.json</x:v>
      </x:c>
      <x:c r="P1373"/>
      <x:c r="Q1373" s="21" t="str"/>
      <x:c r="R1373" s="21" t="str"/>
      <x:c r="S1373" s="21" t="str"/>
      <x:c r="T1373" s="17" t="str">
        <x:v>false</x:v>
      </x:c>
      <x:c r="U1373" s="17" t="str">
        <x:v>true</x:v>
      </x:c>
      <x:c r="V1373" s="17" t="str">
        <x:v>false</x:v>
      </x:c>
    </x:row>
    <x:row r="1374" ht="80" customHeight="1">
      <x:c r="A1374" s="25" t="str">
        <x:v>Jsoup</x:v>
      </x:c>
      <x:c r="B1374" s="25" t="n">
        <x:v>19</x:v>
      </x:c>
      <x:c r="C1374" s="25" t="str">
        <x:v>Round2</x:v>
      </x:c>
      <x:c r="D1374" s="25" t="str">
        <x:v>NOT_AVAILABLE</x:v>
      </x:c>
      <x:c r="E1374" s="25" t="str">
        <x:v>N/A</x:v>
      </x:c>
      <x:c r="F1374" s="26" t="str">
        <x:v>Tests exist but current coverage did not complete</x:v>
      </x:c>
      <x:c r="G1374" s="25" t="str">
        <x:v>true</x:v>
      </x:c>
      <x:c r="H1374" s="25" t="str">
        <x:v>NOT_AVAILABLE</x:v>
      </x:c>
      <x:c r="I1374" s="25" t="str">
        <x:v>NOT_RUN</x:v>
      </x:c>
      <x:c r="J1374" s="25" t="str">
        <x:v>NOT_RUN</x:v>
      </x:c>
      <x:c r="K1374" s="25" t="n">
        <x:v>1</x:v>
      </x:c>
      <x:c r="L1374" s="27" t="b">
        <x:v>0</x:v>
      </x:c>
      <x:c r="M1374" s="25" t="str">
        <x:v>Deepseek-flash-v4/state/Round2/status/Jsoup_19.json; Deepseek-flash-v4/state/Round2/shards/Jsoup_19.json</x:v>
      </x:c>
      <x:c r="N1374" s="25" t="str">
        <x:v>Deepseek-flash-v4/Result2/Jsoup_19/result.json</x:v>
      </x:c>
      <x:c r="O1374" s="25" t="str">
        <x:v>Deepseek-flash-v4/Result2/Jsoup_19/result.json</x:v>
      </x:c>
      <x:c r="P1374" t="str">
        <x:v>BOTH_NOT_RUN</x:v>
      </x:c>
      <x:c r="Q1374" s="21" t="str"/>
      <x:c r="R1374" s="21" t="str"/>
      <x:c r="S1374" s="21" t="str"/>
      <x:c r="T1374" s="17" t="str">
        <x:v>false</x:v>
      </x:c>
      <x:c r="U1374" s="17" t="str">
        <x:v>true</x:v>
      </x:c>
      <x:c r="V1374" s="17" t="str">
        <x:v>false</x:v>
      </x:c>
    </x:row>
    <x:row r="1375" ht="80" customHeight="1">
      <x:c r="A1375" s="25" t="str">
        <x:v>Jsoup</x:v>
      </x:c>
      <x:c r="B1375" s="25" t="n">
        <x:v>2</x:v>
      </x:c>
      <x:c r="C1375" s="25" t="str">
        <x:v>Round2</x:v>
      </x:c>
      <x:c r="D1375" s="25" t="str">
        <x:v>NOT_AVAILABLE</x:v>
      </x:c>
      <x:c r="E1375" s="25" t="str">
        <x:v>N/A</x:v>
      </x:c>
      <x:c r="F1375" s="26" t="str">
        <x:v>Tests exist but current coverage did not complete</x:v>
      </x:c>
      <x:c r="G1375" s="25" t="str">
        <x:v>true</x:v>
      </x:c>
      <x:c r="H1375" s="25" t="str">
        <x:v>NOT_AVAILABLE</x:v>
      </x:c>
      <x:c r="I1375" s="25" t="str">
        <x:v>NOT_RUN</x:v>
      </x:c>
      <x:c r="J1375" s="25" t="str">
        <x:v>NOT_RUN</x:v>
      </x:c>
      <x:c r="K1375" s="25" t="n">
        <x:v>1</x:v>
      </x:c>
      <x:c r="L1375" s="27" t="b">
        <x:v>0</x:v>
      </x:c>
      <x:c r="M1375" s="25" t="str">
        <x:v>Deepseek-flash-v4/state/Round2/status/Jsoup_2.json; Deepseek-flash-v4/state/Round2/shards/Jsoup_2.json</x:v>
      </x:c>
      <x:c r="N1375" s="25" t="str">
        <x:v>Deepseek-flash-v4/Result2/Jsoup_2/result.json</x:v>
      </x:c>
      <x:c r="O1375" s="25" t="str">
        <x:v>Deepseek-flash-v4/Result2/Jsoup_2/result.json</x:v>
      </x:c>
      <x:c r="P1375" t="str">
        <x:v>BOTH_NOT_RUN</x:v>
      </x:c>
      <x:c r="Q1375" s="21" t="str"/>
      <x:c r="R1375" s="21" t="str"/>
      <x:c r="S1375" s="21" t="str"/>
      <x:c r="T1375" s="17" t="str">
        <x:v>false</x:v>
      </x:c>
      <x:c r="U1375" s="17" t="str">
        <x:v>true</x:v>
      </x:c>
      <x:c r="V1375" s="17" t="str">
        <x:v>false</x:v>
      </x:c>
    </x:row>
    <x:row r="1376" ht="80" customHeight="1">
      <x:c r="A1376" s="25" t="str">
        <x:v>Jsoup</x:v>
      </x:c>
      <x:c r="B1376" s="25" t="n">
        <x:v>20</x:v>
      </x:c>
      <x:c r="C1376" s="25" t="str">
        <x:v>Round2</x:v>
      </x:c>
      <x:c r="D1376" s="25" t="str">
        <x:v>INCONCLUSIVE</x:v>
      </x:c>
      <x:c r="E1376" s="25" t="str">
        <x:v>N/A</x:v>
      </x:c>
      <x:c r="F1376" s="26" t="str">
        <x:v>Fixed also failed; assertion failure cannot be attributed to this bug; Same-round generation metadata missing; use saved tests and execution evidence, no failure inferred</x:v>
      </x:c>
      <x:c r="G1376" s="25" t="str">
        <x:v>true</x:v>
      </x:c>
      <x:c r="H1376" s="25" t="str">
        <x:v>INCONCLUSIVE</x:v>
      </x:c>
      <x:c r="I1376" s="25" t="str">
        <x:v>FAIL</x:v>
      </x:c>
      <x:c r="J1376" s="25" t="str">
        <x:v>FAIL</x:v>
      </x:c>
      <x:c r="K1376" s="25" t="n">
        <x:v>1</x:v>
      </x:c>
      <x:c r="L1376" s="27" t="b">
        <x:v>0</x:v>
      </x:c>
      <x:c r="M1376" s="25"/>
      <x:c r="N1376" s="25" t="str">
        <x:v>Deepseek-flash-v4/Result2/Jsoup_20/result.json</x:v>
      </x:c>
      <x:c r="O1376" s="25" t="str">
        <x:v>Deepseek-flash-v4/Result2/Jsoup_20/result.json</x:v>
      </x:c>
      <x:c r="P1376"/>
      <x:c r="Q1376" s="21" t="str"/>
      <x:c r="R1376" s="21" t="str"/>
      <x:c r="S1376" s="21" t="str"/>
      <x:c r="T1376" s="17" t="str">
        <x:v>false</x:v>
      </x:c>
      <x:c r="U1376" s="17" t="str">
        <x:v>true</x:v>
      </x:c>
      <x:c r="V1376" s="17" t="str">
        <x:v>false</x:v>
      </x:c>
    </x:row>
    <x:row r="1377" ht="80" customHeight="1">
      <x:c r="A1377" s="25" t="str">
        <x:v>Jsoup</x:v>
      </x:c>
      <x:c r="B1377" s="25" t="n">
        <x:v>21</x:v>
      </x:c>
      <x:c r="C1377" s="25" t="str">
        <x:v>Round2</x:v>
      </x:c>
      <x:c r="D1377" s="25" t="str">
        <x:v>INCONCLUSIVE</x:v>
      </x:c>
      <x:c r="E1377" s="25" t="str">
        <x:v>N/A</x:v>
      </x:c>
      <x:c r="F1377" s="26" t="str">
        <x:v>Fixed also failed; assertion failure cannot be attributed to this bug</x:v>
      </x:c>
      <x:c r="G1377" s="25" t="str">
        <x:v>true</x:v>
      </x:c>
      <x:c r="H1377" s="25" t="str">
        <x:v>INCONCLUSIVE</x:v>
      </x:c>
      <x:c r="I1377" s="25" t="str">
        <x:v>PASS</x:v>
      </x:c>
      <x:c r="J1377" s="25" t="str">
        <x:v>FAIL</x:v>
      </x:c>
      <x:c r="K1377" s="25" t="n">
        <x:v>2</x:v>
      </x:c>
      <x:c r="L1377" s="27" t="b">
        <x:v>0</x:v>
      </x:c>
      <x:c r="M1377" s="25" t="str">
        <x:v>Deepseek-flash-v4/state/Round2/status/Jsoup_21.json; Deepseek-flash-v4/state/Round2/shards/Jsoup_21.json</x:v>
      </x:c>
      <x:c r="N1377" s="25" t="str">
        <x:v>Deepseek-flash-v4/Result2/Jsoup_21/result.json</x:v>
      </x:c>
      <x:c r="O1377" s="25" t="str">
        <x:v>Deepseek-flash-v4/Result2/Jsoup_21/result.json</x:v>
      </x:c>
      <x:c r="P1377"/>
      <x:c r="Q1377" s="21" t="str"/>
      <x:c r="R1377" s="21" t="str"/>
      <x:c r="S1377" s="21" t="str"/>
      <x:c r="T1377" s="17" t="str">
        <x:v>false</x:v>
      </x:c>
      <x:c r="U1377" s="17" t="str">
        <x:v>true</x:v>
      </x:c>
      <x:c r="V1377" s="17" t="str">
        <x:v>false</x:v>
      </x:c>
    </x:row>
    <x:row r="1378" ht="80" customHeight="1">
      <x:c r="A1378" s="25" t="str">
        <x:v>Jsoup</x:v>
      </x:c>
      <x:c r="B1378" s="25" t="n">
        <x:v>22</x:v>
      </x:c>
      <x:c r="C1378" s="25" t="str">
        <x:v>Round2</x:v>
      </x:c>
      <x:c r="D1378" s="25" t="str">
        <x:v>NOT_AVAILABLE</x:v>
      </x:c>
      <x:c r="E1378" s="25" t="str">
        <x:v>N/A</x:v>
      </x:c>
      <x:c r="F1378" s="26" t="str">
        <x:v>Tests exist but current coverage did not complete</x:v>
      </x:c>
      <x:c r="G1378" s="25" t="str">
        <x:v>true</x:v>
      </x:c>
      <x:c r="H1378" s="25" t="str">
        <x:v>NOT_AVAILABLE</x:v>
      </x:c>
      <x:c r="I1378" s="25" t="str">
        <x:v>NOT_RUN</x:v>
      </x:c>
      <x:c r="J1378" s="25" t="str">
        <x:v>NOT_RUN</x:v>
      </x:c>
      <x:c r="K1378" s="25" t="n">
        <x:v>3</x:v>
      </x:c>
      <x:c r="L1378" s="27" t="b">
        <x:v>0</x:v>
      </x:c>
      <x:c r="M1378" s="25" t="str">
        <x:v>Deepseek-flash-v4/state/Round2/status/Jsoup_22.json; Deepseek-flash-v4/state/Round2/shards/Jsoup_22.json</x:v>
      </x:c>
      <x:c r="N1378" s="25" t="str">
        <x:v>Deepseek-flash-v4/Result2/Jsoup_22/result.json</x:v>
      </x:c>
      <x:c r="O1378" s="25" t="str">
        <x:v>Deepseek-flash-v4/Result2/Jsoup_22/result.json</x:v>
      </x:c>
      <x:c r="P1378" t="str">
        <x:v>BOTH_NOT_RUN</x:v>
      </x:c>
      <x:c r="Q1378" s="21" t="str"/>
      <x:c r="R1378" s="21" t="str"/>
      <x:c r="S1378" s="21" t="str"/>
      <x:c r="T1378" s="17" t="str">
        <x:v>false</x:v>
      </x:c>
      <x:c r="U1378" s="17" t="str">
        <x:v>true</x:v>
      </x:c>
      <x:c r="V1378" s="17" t="str">
        <x:v>false</x:v>
      </x:c>
    </x:row>
    <x:row r="1379" ht="80" customHeight="1">
      <x:c r="A1379" s="25" t="str">
        <x:v>Jsoup</x:v>
      </x:c>
      <x:c r="B1379" s="25" t="n">
        <x:v>23</x:v>
      </x:c>
      <x:c r="C1379" s="25" t="str">
        <x:v>Round2</x:v>
      </x:c>
      <x:c r="D1379" s="25" t="str">
        <x:v>NOT_AVAILABLE</x:v>
      </x:c>
      <x:c r="E1379" s="25" t="str">
        <x:v>N/A</x:v>
      </x:c>
      <x:c r="F1379" s="26" t="str">
        <x:v>Tests exist but current coverage did not complete</x:v>
      </x:c>
      <x:c r="G1379" s="25" t="str">
        <x:v>true</x:v>
      </x:c>
      <x:c r="H1379" s="25" t="str">
        <x:v>NOT_AVAILABLE</x:v>
      </x:c>
      <x:c r="I1379" s="25" t="str">
        <x:v>NOT_RUN</x:v>
      </x:c>
      <x:c r="J1379" s="25" t="str">
        <x:v>NOT_RUN</x:v>
      </x:c>
      <x:c r="K1379" s="25" t="n">
        <x:v>2</x:v>
      </x:c>
      <x:c r="L1379" s="27" t="b">
        <x:v>0</x:v>
      </x:c>
      <x:c r="M1379" s="25" t="str">
        <x:v>Deepseek-flash-v4/state/Round2/status/Jsoup_23.json; Deepseek-flash-v4/state/Round2/shards/Jsoup_23.json</x:v>
      </x:c>
      <x:c r="N1379" s="25" t="str">
        <x:v>Deepseek-flash-v4/Result2/Jsoup_23/result.json</x:v>
      </x:c>
      <x:c r="O1379" s="25" t="str">
        <x:v>Deepseek-flash-v4/Result2/Jsoup_23/result.json</x:v>
      </x:c>
      <x:c r="P1379" t="str">
        <x:v>BOTH_NOT_RUN</x:v>
      </x:c>
      <x:c r="Q1379" s="21" t="str"/>
      <x:c r="R1379" s="21" t="str"/>
      <x:c r="S1379" s="21" t="str"/>
      <x:c r="T1379" s="17" t="str">
        <x:v>false</x:v>
      </x:c>
      <x:c r="U1379" s="17" t="str">
        <x:v>true</x:v>
      </x:c>
      <x:c r="V1379" s="17" t="str">
        <x:v>false</x:v>
      </x:c>
    </x:row>
    <x:row r="1380" ht="80" customHeight="1">
      <x:c r="A1380" s="25" t="str">
        <x:v>Jsoup</x:v>
      </x:c>
      <x:c r="B1380" s="25" t="n">
        <x:v>24</x:v>
      </x:c>
      <x:c r="C1380" s="25" t="str">
        <x:v>Round2</x:v>
      </x:c>
      <x:c r="D1380" s="25" t="str">
        <x:v>NOT_AVAILABLE</x:v>
      </x:c>
      <x:c r="E1380" s="25" t="str">
        <x:v>N/A</x:v>
      </x:c>
      <x:c r="F1380" s="26" t="str">
        <x:v>Tests exist but current coverage did not complete</x:v>
      </x:c>
      <x:c r="G1380" s="25" t="str">
        <x:v>true</x:v>
      </x:c>
      <x:c r="H1380" s="25" t="str">
        <x:v>NOT_AVAILABLE</x:v>
      </x:c>
      <x:c r="I1380" s="25" t="str">
        <x:v>NOT_RUN</x:v>
      </x:c>
      <x:c r="J1380" s="25" t="str">
        <x:v>NOT_RUN</x:v>
      </x:c>
      <x:c r="K1380" s="25" t="n">
        <x:v>1</x:v>
      </x:c>
      <x:c r="L1380" s="27" t="b">
        <x:v>0</x:v>
      </x:c>
      <x:c r="M1380" s="25" t="str">
        <x:v>Deepseek-flash-v4/state/Round2/status/Jsoup_24.json; Deepseek-flash-v4/state/Round2/shards/Jsoup_24.json</x:v>
      </x:c>
      <x:c r="N1380" s="25" t="str">
        <x:v>Deepseek-flash-v4/Result2/Jsoup_24/result.json</x:v>
      </x:c>
      <x:c r="O1380" s="25" t="str">
        <x:v>Deepseek-flash-v4/Result2/Jsoup_24/result.json</x:v>
      </x:c>
      <x:c r="P1380" t="str">
        <x:v>BOTH_NOT_RUN</x:v>
      </x:c>
      <x:c r="Q1380" s="21" t="str"/>
      <x:c r="R1380" s="21" t="str"/>
      <x:c r="S1380" s="21" t="str"/>
      <x:c r="T1380" s="17" t="str">
        <x:v>false</x:v>
      </x:c>
      <x:c r="U1380" s="17" t="str">
        <x:v>true</x:v>
      </x:c>
      <x:c r="V1380" s="17" t="str">
        <x:v>false</x:v>
      </x:c>
    </x:row>
    <x:row r="1381" ht="80" customHeight="1">
      <x:c r="A1381" s="25" t="str">
        <x:v>Jsoup</x:v>
      </x:c>
      <x:c r="B1381" s="25" t="n">
        <x:v>25</x:v>
      </x:c>
      <x:c r="C1381" s="25" t="str">
        <x:v>Round2</x:v>
      </x:c>
      <x:c r="D1381" s="25" t="str">
        <x:v>NOT_AVAILABLE</x:v>
      </x:c>
      <x:c r="E1381" s="25" t="str">
        <x:v>N/A</x:v>
      </x:c>
      <x:c r="F1381" s="26" t="str">
        <x:v>Tests exist but current coverage did not complete</x:v>
      </x:c>
      <x:c r="G1381" s="25" t="str">
        <x:v>true</x:v>
      </x:c>
      <x:c r="H1381" s="25" t="str">
        <x:v>NOT_AVAILABLE</x:v>
      </x:c>
      <x:c r="I1381" s="25" t="str">
        <x:v>NOT_RUN</x:v>
      </x:c>
      <x:c r="J1381" s="25" t="str">
        <x:v>NOT_RUN</x:v>
      </x:c>
      <x:c r="K1381" s="25" t="n">
        <x:v>1</x:v>
      </x:c>
      <x:c r="L1381" s="27" t="b">
        <x:v>0</x:v>
      </x:c>
      <x:c r="M1381" s="25" t="str">
        <x:v>Deepseek-flash-v4/state/Round2/status/Jsoup_25.json; Deepseek-flash-v4/state/Round2/shards/Jsoup_25.json</x:v>
      </x:c>
      <x:c r="N1381" s="25" t="str">
        <x:v>Deepseek-flash-v4/Result2/Jsoup_25/result.json</x:v>
      </x:c>
      <x:c r="O1381" s="25" t="str">
        <x:v>Deepseek-flash-v4/Result2/Jsoup_25/result.json</x:v>
      </x:c>
      <x:c r="P1381" t="str">
        <x:v>BOTH_NOT_RUN</x:v>
      </x:c>
      <x:c r="Q1381" s="21" t="str"/>
      <x:c r="R1381" s="21" t="str"/>
      <x:c r="S1381" s="21" t="str"/>
      <x:c r="T1381" s="17" t="str">
        <x:v>false</x:v>
      </x:c>
      <x:c r="U1381" s="17" t="str">
        <x:v>true</x:v>
      </x:c>
      <x:c r="V1381" s="17" t="str">
        <x:v>false</x:v>
      </x:c>
    </x:row>
    <x:row r="1382" ht="80" customHeight="1">
      <x:c r="A1382" s="25" t="str">
        <x:v>Jsoup</x:v>
      </x:c>
      <x:c r="B1382" s="25" t="n">
        <x:v>26</x:v>
      </x:c>
      <x:c r="C1382" s="25" t="str">
        <x:v>Round2</x:v>
      </x:c>
      <x:c r="D1382" s="25" t="str">
        <x:v>NOT_AVAILABLE</x:v>
      </x:c>
      <x:c r="E1382" s="25" t="str">
        <x:v>N/A</x:v>
      </x:c>
      <x:c r="F1382" s="26" t="str">
        <x:v>Tests exist but current coverage did not complete</x:v>
      </x:c>
      <x:c r="G1382" s="25" t="str">
        <x:v>true</x:v>
      </x:c>
      <x:c r="H1382" s="25" t="str">
        <x:v>NOT_AVAILABLE</x:v>
      </x:c>
      <x:c r="I1382" s="25" t="str">
        <x:v>NOT_RUN</x:v>
      </x:c>
      <x:c r="J1382" s="25" t="str">
        <x:v>NOT_RUN</x:v>
      </x:c>
      <x:c r="K1382" s="25" t="n">
        <x:v>1</x:v>
      </x:c>
      <x:c r="L1382" s="27" t="b">
        <x:v>0</x:v>
      </x:c>
      <x:c r="M1382" s="25" t="str">
        <x:v>Deepseek-flash-v4/state/Round2/status/Jsoup_26.json; Deepseek-flash-v4/state/Round2/shards/Jsoup_26.json</x:v>
      </x:c>
      <x:c r="N1382" s="25" t="str">
        <x:v>Deepseek-flash-v4/Result2/Jsoup_26/result.json</x:v>
      </x:c>
      <x:c r="O1382" s="25" t="str">
        <x:v>Deepseek-flash-v4/Result2/Jsoup_26/result.json</x:v>
      </x:c>
      <x:c r="P1382" t="str">
        <x:v>BOTH_NOT_RUN</x:v>
      </x:c>
      <x:c r="Q1382" s="21" t="str"/>
      <x:c r="R1382" s="21" t="str"/>
      <x:c r="S1382" s="21" t="str"/>
      <x:c r="T1382" s="17" t="str">
        <x:v>false</x:v>
      </x:c>
      <x:c r="U1382" s="17" t="str">
        <x:v>true</x:v>
      </x:c>
      <x:c r="V1382" s="17" t="str">
        <x:v>false</x:v>
      </x:c>
    </x:row>
    <x:row r="1383" ht="80" customHeight="1">
      <x:c r="A1383" s="25" t="str">
        <x:v>Jsoup</x:v>
      </x:c>
      <x:c r="B1383" s="25" t="n">
        <x:v>27</x:v>
      </x:c>
      <x:c r="C1383" s="25" t="str">
        <x:v>Round2</x:v>
      </x:c>
      <x:c r="D1383" s="25" t="str">
        <x:v>NOT_AVAILABLE</x:v>
      </x:c>
      <x:c r="E1383" s="25" t="str">
        <x:v>N/A</x:v>
      </x:c>
      <x:c r="F1383" s="26" t="str">
        <x:v>Tests exist but current coverage did not complete</x:v>
      </x:c>
      <x:c r="G1383" s="25" t="str">
        <x:v>true</x:v>
      </x:c>
      <x:c r="H1383" s="25" t="str">
        <x:v>NOT_AVAILABLE</x:v>
      </x:c>
      <x:c r="I1383" s="25" t="str">
        <x:v>NOT_RUN</x:v>
      </x:c>
      <x:c r="J1383" s="25" t="str">
        <x:v>NOT_RUN</x:v>
      </x:c>
      <x:c r="K1383" s="25" t="n">
        <x:v>1</x:v>
      </x:c>
      <x:c r="L1383" s="27" t="b">
        <x:v>0</x:v>
      </x:c>
      <x:c r="M1383" s="25" t="str">
        <x:v>Deepseek-flash-v4/state/Round2/status/Jsoup_27.json; Deepseek-flash-v4/state/Round2/shards/Jsoup_27.json</x:v>
      </x:c>
      <x:c r="N1383" s="25" t="str">
        <x:v>Deepseek-flash-v4/Result2/Jsoup_27/result.json</x:v>
      </x:c>
      <x:c r="O1383" s="25" t="str">
        <x:v>Deepseek-flash-v4/Result2/Jsoup_27/result.json</x:v>
      </x:c>
      <x:c r="P1383" t="str">
        <x:v>BOTH_NOT_RUN</x:v>
      </x:c>
      <x:c r="Q1383" s="21" t="str"/>
      <x:c r="R1383" s="21" t="str"/>
      <x:c r="S1383" s="21" t="str"/>
      <x:c r="T1383" s="17" t="str">
        <x:v>false</x:v>
      </x:c>
      <x:c r="U1383" s="17" t="str">
        <x:v>true</x:v>
      </x:c>
      <x:c r="V1383" s="17" t="str">
        <x:v>false</x:v>
      </x:c>
    </x:row>
    <x:row r="1384" ht="80" customHeight="1">
      <x:c r="A1384" s="25" t="str">
        <x:v>Jsoup</x:v>
      </x:c>
      <x:c r="B1384" s="25" t="n">
        <x:v>28</x:v>
      </x:c>
      <x:c r="C1384" s="25" t="str">
        <x:v>Round2</x:v>
      </x:c>
      <x:c r="D1384" s="25" t="str">
        <x:v>NOT_AVAILABLE</x:v>
      </x:c>
      <x:c r="E1384" s="25" t="str">
        <x:v>N/A</x:v>
      </x:c>
      <x:c r="F1384" s="26" t="str">
        <x:v>Tests exist but current coverage did not complete</x:v>
      </x:c>
      <x:c r="G1384" s="25" t="str">
        <x:v>true</x:v>
      </x:c>
      <x:c r="H1384" s="25" t="str">
        <x:v>NOT_AVAILABLE</x:v>
      </x:c>
      <x:c r="I1384" s="25" t="str">
        <x:v>NOT_RUN</x:v>
      </x:c>
      <x:c r="J1384" s="25" t="str">
        <x:v>NOT_RUN</x:v>
      </x:c>
      <x:c r="K1384" s="25" t="n">
        <x:v>3</x:v>
      </x:c>
      <x:c r="L1384" s="27" t="b">
        <x:v>0</x:v>
      </x:c>
      <x:c r="M1384" s="25" t="str">
        <x:v>Deepseek-flash-v4/state/Round2/status/Jsoup_28.json; Deepseek-flash-v4/state/Round2/shards/Jsoup_28.json</x:v>
      </x:c>
      <x:c r="N1384" s="25" t="str">
        <x:v>Deepseek-flash-v4/Result2/Jsoup_28/result.json</x:v>
      </x:c>
      <x:c r="O1384" s="25" t="str">
        <x:v>Deepseek-flash-v4/Result2/Jsoup_28/result.json</x:v>
      </x:c>
      <x:c r="P1384" t="str">
        <x:v>BOTH_NOT_RUN</x:v>
      </x:c>
      <x:c r="Q1384" s="21" t="str"/>
      <x:c r="R1384" s="21" t="str"/>
      <x:c r="S1384" s="21" t="str"/>
      <x:c r="T1384" s="17" t="str">
        <x:v>false</x:v>
      </x:c>
      <x:c r="U1384" s="17" t="str">
        <x:v>true</x:v>
      </x:c>
      <x:c r="V1384" s="17" t="str">
        <x:v>false</x:v>
      </x:c>
    </x:row>
    <x:row r="1385" ht="80" customHeight="1">
      <x:c r="A1385" s="25" t="str">
        <x:v>Jsoup</x:v>
      </x:c>
      <x:c r="B1385" s="25" t="n">
        <x:v>29</x:v>
      </x:c>
      <x:c r="C1385" s="25" t="str">
        <x:v>Round2</x:v>
      </x:c>
      <x:c r="D1385" s="25" t="str">
        <x:v>NOT_AVAILABLE</x:v>
      </x:c>
      <x:c r="E1385" s="25" t="str">
        <x:v>N/A</x:v>
      </x:c>
      <x:c r="F1385" s="26" t="str">
        <x:v>Tests exist but current coverage did not complete</x:v>
      </x:c>
      <x:c r="G1385" s="25" t="str">
        <x:v>true</x:v>
      </x:c>
      <x:c r="H1385" s="25" t="str">
        <x:v>NOT_AVAILABLE</x:v>
      </x:c>
      <x:c r="I1385" s="25" t="str">
        <x:v>NOT_RUN</x:v>
      </x:c>
      <x:c r="J1385" s="25" t="str">
        <x:v>NOT_RUN</x:v>
      </x:c>
      <x:c r="K1385" s="25" t="n">
        <x:v>1</x:v>
      </x:c>
      <x:c r="L1385" s="27" t="b">
        <x:v>0</x:v>
      </x:c>
      <x:c r="M1385" s="25" t="str">
        <x:v>Deepseek-flash-v4/state/Round2/status/Jsoup_29.json; Deepseek-flash-v4/state/Round2/shards/Jsoup_29.json</x:v>
      </x:c>
      <x:c r="N1385" s="25" t="str">
        <x:v>Deepseek-flash-v4/Result2/Jsoup_29/result.json</x:v>
      </x:c>
      <x:c r="O1385" s="25" t="str">
        <x:v>Deepseek-flash-v4/Result2/Jsoup_29/result.json</x:v>
      </x:c>
      <x:c r="P1385" t="str">
        <x:v>BOTH_NOT_RUN</x:v>
      </x:c>
      <x:c r="Q1385" s="21" t="str"/>
      <x:c r="R1385" s="21" t="str"/>
      <x:c r="S1385" s="21" t="str"/>
      <x:c r="T1385" s="17" t="str">
        <x:v>false</x:v>
      </x:c>
      <x:c r="U1385" s="17" t="str">
        <x:v>true</x:v>
      </x:c>
      <x:c r="V1385" s="17" t="str">
        <x:v>false</x:v>
      </x:c>
    </x:row>
    <x:row r="1386" ht="80" customHeight="1">
      <x:c r="A1386" s="25" t="str">
        <x:v>Jsoup</x:v>
      </x:c>
      <x:c r="B1386" s="25" t="n">
        <x:v>3</x:v>
      </x:c>
      <x:c r="C1386" s="25" t="str">
        <x:v>Round2</x:v>
      </x:c>
      <x:c r="D1386" s="25" t="str">
        <x:v>NOT_AVAILABLE</x:v>
      </x:c>
      <x:c r="E1386" s="25" t="str">
        <x:v>N/A</x:v>
      </x:c>
      <x:c r="F1386" s="26" t="str">
        <x:v>Tests exist but current coverage did not complete</x:v>
      </x:c>
      <x:c r="G1386" s="25" t="str">
        <x:v>true</x:v>
      </x:c>
      <x:c r="H1386" s="25" t="str">
        <x:v>NOT_AVAILABLE</x:v>
      </x:c>
      <x:c r="I1386" s="25" t="str">
        <x:v>NOT_RUN</x:v>
      </x:c>
      <x:c r="J1386" s="25" t="str">
        <x:v>NOT_RUN</x:v>
      </x:c>
      <x:c r="K1386" s="25" t="n">
        <x:v>3</x:v>
      </x:c>
      <x:c r="L1386" s="27" t="b">
        <x:v>0</x:v>
      </x:c>
      <x:c r="M1386" s="25" t="str">
        <x:v>Deepseek-flash-v4/state/Round2/status/Jsoup_3.json; Deepseek-flash-v4/state/Round2/shards/Jsoup_3.json</x:v>
      </x:c>
      <x:c r="N1386" s="25" t="str">
        <x:v>Deepseek-flash-v4/Result2/Jsoup_3/result.json</x:v>
      </x:c>
      <x:c r="O1386" s="25" t="str">
        <x:v>Deepseek-flash-v4/Result2/Jsoup_3/result.json</x:v>
      </x:c>
      <x:c r="P1386" t="str">
        <x:v>BOTH_NOT_RUN</x:v>
      </x:c>
      <x:c r="Q1386" s="21" t="str"/>
      <x:c r="R1386" s="21" t="str"/>
      <x:c r="S1386" s="21" t="str"/>
      <x:c r="T1386" s="17" t="str">
        <x:v>false</x:v>
      </x:c>
      <x:c r="U1386" s="17" t="str">
        <x:v>true</x:v>
      </x:c>
      <x:c r="V1386" s="17" t="str">
        <x:v>false</x:v>
      </x:c>
    </x:row>
    <x:row r="1387" ht="80" customHeight="1">
      <x:c r="A1387" s="25" t="str">
        <x:v>Jsoup</x:v>
      </x:c>
      <x:c r="B1387" s="25" t="n">
        <x:v>30</x:v>
      </x:c>
      <x:c r="C1387" s="25" t="str">
        <x:v>Round2</x:v>
      </x:c>
      <x:c r="D1387" s="25" t="str">
        <x:v>INCONCLUSIVE</x:v>
      </x:c>
      <x:c r="E1387" s="25" t="str">
        <x:v>N/A</x:v>
      </x:c>
      <x:c r="F1387" s="26" t="str">
        <x:v>Fixed also failed; assertion failure cannot be attributed to this bug</x:v>
      </x:c>
      <x:c r="G1387" s="25" t="str">
        <x:v>true</x:v>
      </x:c>
      <x:c r="H1387" s="25" t="str">
        <x:v>INCONCLUSIVE</x:v>
      </x:c>
      <x:c r="I1387" s="25" t="str">
        <x:v>FAIL</x:v>
      </x:c>
      <x:c r="J1387" s="25" t="str">
        <x:v>FAIL</x:v>
      </x:c>
      <x:c r="K1387" s="25" t="n">
        <x:v>1</x:v>
      </x:c>
      <x:c r="L1387" s="27" t="b">
        <x:v>0</x:v>
      </x:c>
      <x:c r="M1387" s="25" t="str">
        <x:v>Deepseek-flash-v4/state/Round2/status/Jsoup_30.json; Deepseek-flash-v4/state/Round2/shards/Jsoup_30.json</x:v>
      </x:c>
      <x:c r="N1387" s="25" t="str">
        <x:v>Deepseek-flash-v4/Result2/Jsoup_30/result.json</x:v>
      </x:c>
      <x:c r="O1387" s="25" t="str">
        <x:v>Deepseek-flash-v4/Result2/Jsoup_30/result.json</x:v>
      </x:c>
      <x:c r="P1387"/>
      <x:c r="Q1387" s="21" t="str"/>
      <x:c r="R1387" s="21" t="str"/>
      <x:c r="S1387" s="21" t="str"/>
      <x:c r="T1387" s="17" t="str">
        <x:v>false</x:v>
      </x:c>
      <x:c r="U1387" s="17" t="str">
        <x:v>true</x:v>
      </x:c>
      <x:c r="V1387" s="17" t="str">
        <x:v>false</x:v>
      </x:c>
    </x:row>
    <x:row r="1388" ht="80" customHeight="1">
      <x:c r="A1388" s="25" t="str">
        <x:v>Jsoup</x:v>
      </x:c>
      <x:c r="B1388" s="25" t="n">
        <x:v>31</x:v>
      </x:c>
      <x:c r="C1388" s="25" t="str">
        <x:v>Round2</x:v>
      </x:c>
      <x:c r="D1388" s="25" t="str">
        <x:v>NOT_AVAILABLE</x:v>
      </x:c>
      <x:c r="E1388" s="25" t="str">
        <x:v>N/A</x:v>
      </x:c>
      <x:c r="F1388" s="26" t="str">
        <x:v>Tests exist but current coverage did not complete</x:v>
      </x:c>
      <x:c r="G1388" s="25" t="str">
        <x:v>true</x:v>
      </x:c>
      <x:c r="H1388" s="25" t="str">
        <x:v>NOT_AVAILABLE</x:v>
      </x:c>
      <x:c r="I1388" s="25" t="str">
        <x:v>NOT_RUN</x:v>
      </x:c>
      <x:c r="J1388" s="25" t="str">
        <x:v>NOT_RUN</x:v>
      </x:c>
      <x:c r="K1388" s="25" t="n">
        <x:v>3</x:v>
      </x:c>
      <x:c r="L1388" s="27" t="b">
        <x:v>0</x:v>
      </x:c>
      <x:c r="M1388" s="25" t="str">
        <x:v>Deepseek-flash-v4/state/Round2/status/Jsoup_31.json; Deepseek-flash-v4/state/Round2/shards/Jsoup_31.json</x:v>
      </x:c>
      <x:c r="N1388" s="25" t="str">
        <x:v>Deepseek-flash-v4/Result2/Jsoup_31/result.json</x:v>
      </x:c>
      <x:c r="O1388" s="25" t="str">
        <x:v>Deepseek-flash-v4/Result2/Jsoup_31/result.json</x:v>
      </x:c>
      <x:c r="P1388" t="str">
        <x:v>BOTH_NOT_RUN</x:v>
      </x:c>
      <x:c r="Q1388" s="21" t="str"/>
      <x:c r="R1388" s="21" t="str"/>
      <x:c r="S1388" s="21" t="str"/>
      <x:c r="T1388" s="17" t="str">
        <x:v>false</x:v>
      </x:c>
      <x:c r="U1388" s="17" t="str">
        <x:v>true</x:v>
      </x:c>
      <x:c r="V1388" s="17" t="str">
        <x:v>false</x:v>
      </x:c>
    </x:row>
    <x:row r="1389" ht="80" customHeight="1">
      <x:c r="A1389" s="25" t="str">
        <x:v>Jsoup</x:v>
      </x:c>
      <x:c r="B1389" s="25" t="n">
        <x:v>32</x:v>
      </x:c>
      <x:c r="C1389" s="25" t="str">
        <x:v>Round2</x:v>
      </x:c>
      <x:c r="D1389" s="25" t="str">
        <x:v>INCONCLUSIVE</x:v>
      </x:c>
      <x:c r="E1389" s="25" t="str">
        <x:v>N/A</x:v>
      </x:c>
      <x:c r="F1389" s="26" t="str">
        <x:v>Fixed also failed; assertion failure cannot be attributed to this bug</x:v>
      </x:c>
      <x:c r="G1389" s="25" t="str">
        <x:v>true</x:v>
      </x:c>
      <x:c r="H1389" s="25" t="str">
        <x:v>INCONCLUSIVE</x:v>
      </x:c>
      <x:c r="I1389" s="25" t="str">
        <x:v>FAIL</x:v>
      </x:c>
      <x:c r="J1389" s="25" t="str">
        <x:v>FAIL</x:v>
      </x:c>
      <x:c r="K1389" s="25" t="n">
        <x:v>1</x:v>
      </x:c>
      <x:c r="L1389" s="27" t="b">
        <x:v>0</x:v>
      </x:c>
      <x:c r="M1389" s="25" t="str">
        <x:v>Deepseek-flash-v4/state/Round2/status/Jsoup_32.json; Deepseek-flash-v4/state/Round2/shards/Jsoup_32.json</x:v>
      </x:c>
      <x:c r="N1389" s="25" t="str">
        <x:v>Deepseek-flash-v4/Result2/Jsoup_32/result.json</x:v>
      </x:c>
      <x:c r="O1389" s="25" t="str">
        <x:v>Deepseek-flash-v4/Result2/Jsoup_32/result.json</x:v>
      </x:c>
      <x:c r="P1389"/>
      <x:c r="Q1389" s="21" t="str"/>
      <x:c r="R1389" s="21" t="str"/>
      <x:c r="S1389" s="21" t="str"/>
      <x:c r="T1389" s="17" t="str">
        <x:v>false</x:v>
      </x:c>
      <x:c r="U1389" s="17" t="str">
        <x:v>true</x:v>
      </x:c>
      <x:c r="V1389" s="17" t="str">
        <x:v>false</x:v>
      </x:c>
    </x:row>
    <x:row r="1390" ht="80" customHeight="1">
      <x:c r="A1390" s="25" t="str">
        <x:v>Jsoup</x:v>
      </x:c>
      <x:c r="B1390" s="25" t="n">
        <x:v>33</x:v>
      </x:c>
      <x:c r="C1390" s="25" t="str">
        <x:v>Round2</x:v>
      </x:c>
      <x:c r="D1390" s="25" t="str">
        <x:v>INCONCLUSIVE</x:v>
      </x:c>
      <x:c r="E1390" s="25" t="str">
        <x:v>N/A</x:v>
      </x:c>
      <x:c r="F1390" s="26" t="str">
        <x:v>Fixed also failed; assertion failure cannot be attributed to this bug; Same-round generation metadata missing; use saved tests and execution evidence, no failure inferred</x:v>
      </x:c>
      <x:c r="G1390" s="25" t="str">
        <x:v>true</x:v>
      </x:c>
      <x:c r="H1390" s="25" t="str">
        <x:v>INCONCLUSIVE</x:v>
      </x:c>
      <x:c r="I1390" s="25" t="str">
        <x:v>FAIL</x:v>
      </x:c>
      <x:c r="J1390" s="25" t="str">
        <x:v>FAIL</x:v>
      </x:c>
      <x:c r="K1390" s="25" t="n">
        <x:v>1</x:v>
      </x:c>
      <x:c r="L1390" s="27" t="b">
        <x:v>0</x:v>
      </x:c>
      <x:c r="M1390" s="25"/>
      <x:c r="N1390" s="25" t="str">
        <x:v>Deepseek-flash-v4/Result2/Jsoup_33/result.json</x:v>
      </x:c>
      <x:c r="O1390" s="25" t="str">
        <x:v>Deepseek-flash-v4/Result2/Jsoup_33/result.json</x:v>
      </x:c>
      <x:c r="P1390"/>
      <x:c r="Q1390" s="21" t="str"/>
      <x:c r="R1390" s="21" t="str"/>
      <x:c r="S1390" s="21" t="str"/>
      <x:c r="T1390" s="17" t="str">
        <x:v>false</x:v>
      </x:c>
      <x:c r="U1390" s="17" t="str">
        <x:v>true</x:v>
      </x:c>
      <x:c r="V1390" s="17" t="str">
        <x:v>false</x:v>
      </x:c>
    </x:row>
    <x:row r="1391" ht="80" customHeight="1">
      <x:c r="A1391" s="25" t="str">
        <x:v>Jsoup</x:v>
      </x:c>
      <x:c r="B1391" s="25" t="n">
        <x:v>34</x:v>
      </x:c>
      <x:c r="C1391" s="25" t="str">
        <x:v>Round2</x:v>
      </x:c>
      <x:c r="D1391" s="25" t="str">
        <x:v>INCONCLUSIVE</x:v>
      </x:c>
      <x:c r="E1391" s="25" t="str">
        <x:v>N/A</x:v>
      </x:c>
      <x:c r="F1391" s="26" t="str">
        <x:v>Fixed also failed; assertion failure cannot be attributed to this bug; Same-round generation metadata missing; use saved tests and execution evidence, no failure inferred</x:v>
      </x:c>
      <x:c r="G1391" s="25" t="str">
        <x:v>true</x:v>
      </x:c>
      <x:c r="H1391" s="25" t="str">
        <x:v>INCONCLUSIVE</x:v>
      </x:c>
      <x:c r="I1391" s="25" t="str">
        <x:v>FAIL</x:v>
      </x:c>
      <x:c r="J1391" s="25" t="str">
        <x:v>FAIL</x:v>
      </x:c>
      <x:c r="K1391" s="25" t="n">
        <x:v>1</x:v>
      </x:c>
      <x:c r="L1391" s="27" t="b">
        <x:v>0</x:v>
      </x:c>
      <x:c r="M1391" s="25"/>
      <x:c r="N1391" s="25" t="str">
        <x:v>Deepseek-flash-v4/Result2/Jsoup_34/result.json</x:v>
      </x:c>
      <x:c r="O1391" s="25" t="str">
        <x:v>Deepseek-flash-v4/Result2/Jsoup_34/result.json</x:v>
      </x:c>
      <x:c r="P1391"/>
      <x:c r="Q1391" s="21" t="str"/>
      <x:c r="R1391" s="21" t="str"/>
      <x:c r="S1391" s="21" t="str"/>
      <x:c r="T1391" s="17" t="str">
        <x:v>false</x:v>
      </x:c>
      <x:c r="U1391" s="17" t="str">
        <x:v>true</x:v>
      </x:c>
      <x:c r="V1391" s="17" t="str">
        <x:v>false</x:v>
      </x:c>
    </x:row>
    <x:row r="1392" ht="80" customHeight="1">
      <x:c r="A1392" s="25" t="str">
        <x:v>Jsoup</x:v>
      </x:c>
      <x:c r="B1392" s="25" t="n">
        <x:v>35</x:v>
      </x:c>
      <x:c r="C1392" s="25" t="str">
        <x:v>Round2</x:v>
      </x:c>
      <x:c r="D1392" s="25" t="str">
        <x:v>NOT_AVAILABLE</x:v>
      </x:c>
      <x:c r="E1392" s="25" t="str">
        <x:v>N/A</x:v>
      </x:c>
      <x:c r="F1392" s="26" t="str">
        <x:v>Tests exist but current coverage did not complete</x:v>
      </x:c>
      <x:c r="G1392" s="25" t="str">
        <x:v>true</x:v>
      </x:c>
      <x:c r="H1392" s="25" t="str">
        <x:v>NOT_AVAILABLE</x:v>
      </x:c>
      <x:c r="I1392" s="25" t="str">
        <x:v>NOT_RUN</x:v>
      </x:c>
      <x:c r="J1392" s="25" t="str">
        <x:v>NOT_RUN</x:v>
      </x:c>
      <x:c r="K1392" s="25" t="n">
        <x:v>1</x:v>
      </x:c>
      <x:c r="L1392" s="27" t="b">
        <x:v>0</x:v>
      </x:c>
      <x:c r="M1392" s="25" t="str">
        <x:v>Deepseek-flash-v4/state/Round2/status/Jsoup_35.json; Deepseek-flash-v4/state/Round2/shards/Jsoup_35.json</x:v>
      </x:c>
      <x:c r="N1392" s="25" t="str">
        <x:v>Deepseek-flash-v4/Result2/Jsoup_35/result.json</x:v>
      </x:c>
      <x:c r="O1392" s="25" t="str">
        <x:v>Deepseek-flash-v4/Result2/Jsoup_35/result.json</x:v>
      </x:c>
      <x:c r="P1392" t="str">
        <x:v>BOTH_NOT_RUN</x:v>
      </x:c>
      <x:c r="Q1392" s="21" t="str"/>
      <x:c r="R1392" s="21" t="str"/>
      <x:c r="S1392" s="21" t="str"/>
      <x:c r="T1392" s="17" t="str">
        <x:v>false</x:v>
      </x:c>
      <x:c r="U1392" s="17" t="str">
        <x:v>true</x:v>
      </x:c>
      <x:c r="V1392" s="17" t="str">
        <x:v>false</x:v>
      </x:c>
    </x:row>
    <x:row r="1393" ht="80" customHeight="1">
      <x:c r="A1393" s="25" t="str">
        <x:v>Jsoup</x:v>
      </x:c>
      <x:c r="B1393" s="25" t="n">
        <x:v>36</x:v>
      </x:c>
      <x:c r="C1393" s="25" t="str">
        <x:v>Round2</x:v>
      </x:c>
      <x:c r="D1393" s="25" t="str">
        <x:v>INCONCLUSIVE</x:v>
      </x:c>
      <x:c r="E1393" s="25" t="str">
        <x:v>N/A</x:v>
      </x:c>
      <x:c r="F1393" s="26" t="str">
        <x:v>Fixed also failed; assertion failure cannot be attributed to this bug</x:v>
      </x:c>
      <x:c r="G1393" s="25" t="str">
        <x:v>true</x:v>
      </x:c>
      <x:c r="H1393" s="25" t="str">
        <x:v>INCONCLUSIVE</x:v>
      </x:c>
      <x:c r="I1393" s="25" t="str">
        <x:v>FAIL</x:v>
      </x:c>
      <x:c r="J1393" s="25" t="str">
        <x:v>FAIL</x:v>
      </x:c>
      <x:c r="K1393" s="25" t="n">
        <x:v>1</x:v>
      </x:c>
      <x:c r="L1393" s="27" t="b">
        <x:v>0</x:v>
      </x:c>
      <x:c r="M1393" s="25" t="str">
        <x:v>Deepseek-flash-v4/state/Round2/status/Jsoup_36.json; Deepseek-flash-v4/state/Round2/shards/Jsoup_36.json</x:v>
      </x:c>
      <x:c r="N1393" s="25" t="str">
        <x:v>Deepseek-flash-v4/Result2/Jsoup_36/result.json</x:v>
      </x:c>
      <x:c r="O1393" s="25" t="str">
        <x:v>Deepseek-flash-v4/Result2/Jsoup_36/result.json</x:v>
      </x:c>
      <x:c r="P1393"/>
      <x:c r="Q1393" s="21" t="str"/>
      <x:c r="R1393" s="21" t="str"/>
      <x:c r="S1393" s="21" t="str"/>
      <x:c r="T1393" s="17" t="str">
        <x:v>false</x:v>
      </x:c>
      <x:c r="U1393" s="17" t="str">
        <x:v>true</x:v>
      </x:c>
      <x:c r="V1393" s="17" t="str">
        <x:v>false</x:v>
      </x:c>
    </x:row>
    <x:row r="1394" ht="80" customHeight="1">
      <x:c r="A1394" s="25" t="str">
        <x:v>Jsoup</x:v>
      </x:c>
      <x:c r="B1394" s="25" t="n">
        <x:v>37</x:v>
      </x:c>
      <x:c r="C1394" s="25" t="str">
        <x:v>Round2</x:v>
      </x:c>
      <x:c r="D1394" s="25" t="str">
        <x:v>INCONCLUSIVE</x:v>
      </x:c>
      <x:c r="E1394" s="25" t="str">
        <x:v>N/A</x:v>
      </x:c>
      <x:c r="F1394" s="26" t="str">
        <x:v>Fixed also failed; assertion failure cannot be attributed to this bug</x:v>
      </x:c>
      <x:c r="G1394" s="25" t="str">
        <x:v>true</x:v>
      </x:c>
      <x:c r="H1394" s="25" t="str">
        <x:v>INCONCLUSIVE</x:v>
      </x:c>
      <x:c r="I1394" s="25" t="str">
        <x:v>FAIL</x:v>
      </x:c>
      <x:c r="J1394" s="25" t="str">
        <x:v>FAIL</x:v>
      </x:c>
      <x:c r="K1394" s="25" t="n">
        <x:v>1</x:v>
      </x:c>
      <x:c r="L1394" s="27" t="b">
        <x:v>0</x:v>
      </x:c>
      <x:c r="M1394" s="25" t="str">
        <x:v>Deepseek-flash-v4/state/Round2/status/Jsoup_37.json; Deepseek-flash-v4/state/Round2/shards/Jsoup_37.json</x:v>
      </x:c>
      <x:c r="N1394" s="25" t="str">
        <x:v>Deepseek-flash-v4/Result2/Jsoup_37/result.json</x:v>
      </x:c>
      <x:c r="O1394" s="25" t="str">
        <x:v>Deepseek-flash-v4/Result2/Jsoup_37/result.json</x:v>
      </x:c>
      <x:c r="P1394"/>
      <x:c r="Q1394" s="21" t="str"/>
      <x:c r="R1394" s="21" t="str"/>
      <x:c r="S1394" s="21" t="str"/>
      <x:c r="T1394" s="17" t="str">
        <x:v>false</x:v>
      </x:c>
      <x:c r="U1394" s="17" t="str">
        <x:v>true</x:v>
      </x:c>
      <x:c r="V1394" s="17" t="str">
        <x:v>false</x:v>
      </x:c>
    </x:row>
    <x:row r="1395" ht="80" customHeight="1">
      <x:c r="A1395" s="25" t="str">
        <x:v>Jsoup</x:v>
      </x:c>
      <x:c r="B1395" s="25" t="n">
        <x:v>38</x:v>
      </x:c>
      <x:c r="C1395" s="25" t="str">
        <x:v>Round2</x:v>
      </x:c>
      <x:c r="D1395" s="25" t="str">
        <x:v>NOT_AVAILABLE</x:v>
      </x:c>
      <x:c r="E1395" s="25" t="str">
        <x:v>N/A</x:v>
      </x:c>
      <x:c r="F1395" s="26" t="str">
        <x:v>Tests exist but current coverage did not complete</x:v>
      </x:c>
      <x:c r="G1395" s="25" t="str">
        <x:v>true</x:v>
      </x:c>
      <x:c r="H1395" s="25" t="str">
        <x:v>NOT_AVAILABLE</x:v>
      </x:c>
      <x:c r="I1395" s="25" t="str">
        <x:v>NOT_RUN</x:v>
      </x:c>
      <x:c r="J1395" s="25" t="str">
        <x:v>NOT_RUN</x:v>
      </x:c>
      <x:c r="K1395" s="25" t="n">
        <x:v>1</x:v>
      </x:c>
      <x:c r="L1395" s="27" t="b">
        <x:v>0</x:v>
      </x:c>
      <x:c r="M1395" s="25" t="str">
        <x:v>Deepseek-flash-v4/state/Round2/status/Jsoup_38.json; Deepseek-flash-v4/state/Round2/shards/Jsoup_38.json</x:v>
      </x:c>
      <x:c r="N1395" s="25" t="str">
        <x:v>Deepseek-flash-v4/Result2/Jsoup_38/result.json</x:v>
      </x:c>
      <x:c r="O1395" s="25" t="str">
        <x:v>Deepseek-flash-v4/Result2/Jsoup_38/result.json</x:v>
      </x:c>
      <x:c r="P1395" t="str">
        <x:v>BOTH_NOT_RUN</x:v>
      </x:c>
      <x:c r="Q1395" s="21" t="str"/>
      <x:c r="R1395" s="21" t="str"/>
      <x:c r="S1395" s="21" t="str"/>
      <x:c r="T1395" s="17" t="str">
        <x:v>false</x:v>
      </x:c>
      <x:c r="U1395" s="17" t="str">
        <x:v>true</x:v>
      </x:c>
      <x:c r="V1395" s="17" t="str">
        <x:v>false</x:v>
      </x:c>
    </x:row>
    <x:row r="1396" ht="80" customHeight="1">
      <x:c r="A1396" s="25" t="str">
        <x:v>Jsoup</x:v>
      </x:c>
      <x:c r="B1396" s="25" t="n">
        <x:v>39</x:v>
      </x:c>
      <x:c r="C1396" s="25" t="str">
        <x:v>Round2</x:v>
      </x:c>
      <x:c r="D1396" s="25" t="str">
        <x:v>INCONCLUSIVE</x:v>
      </x:c>
      <x:c r="E1396" s="25" t="str">
        <x:v>N/A</x:v>
      </x:c>
      <x:c r="F1396" s="26" t="str">
        <x:v>Fixed also failed; assertion failure cannot be attributed to this bug; Same-round generation metadata missing; use saved tests and execution evidence, no failure inferred</x:v>
      </x:c>
      <x:c r="G1396" s="25" t="str">
        <x:v>true</x:v>
      </x:c>
      <x:c r="H1396" s="25" t="str">
        <x:v>INCONCLUSIVE</x:v>
      </x:c>
      <x:c r="I1396" s="25" t="str">
        <x:v>FAIL</x:v>
      </x:c>
      <x:c r="J1396" s="25" t="str">
        <x:v>FAIL</x:v>
      </x:c>
      <x:c r="K1396" s="25" t="n">
        <x:v>1</x:v>
      </x:c>
      <x:c r="L1396" s="27" t="b">
        <x:v>0</x:v>
      </x:c>
      <x:c r="M1396" s="25"/>
      <x:c r="N1396" s="25" t="str">
        <x:v>Deepseek-flash-v4/Result2/Jsoup_39/result.json</x:v>
      </x:c>
      <x:c r="O1396" s="25" t="str">
        <x:v>Deepseek-flash-v4/Result2/Jsoup_39/result.json</x:v>
      </x:c>
      <x:c r="P1396"/>
      <x:c r="Q1396" s="21" t="str"/>
      <x:c r="R1396" s="21" t="str"/>
      <x:c r="S1396" s="21" t="str"/>
      <x:c r="T1396" s="17" t="str">
        <x:v>false</x:v>
      </x:c>
      <x:c r="U1396" s="17" t="str">
        <x:v>true</x:v>
      </x:c>
      <x:c r="V1396" s="17" t="str">
        <x:v>false</x:v>
      </x:c>
    </x:row>
    <x:row r="1397" ht="80" customHeight="1">
      <x:c r="A1397" s="25" t="str">
        <x:v>Jsoup</x:v>
      </x:c>
      <x:c r="B1397" s="25" t="n">
        <x:v>4</x:v>
      </x:c>
      <x:c r="C1397" s="25" t="str">
        <x:v>Round2</x:v>
      </x:c>
      <x:c r="D1397" s="25" t="str">
        <x:v>NOT_AVAILABLE</x:v>
      </x:c>
      <x:c r="E1397" s="25" t="str">
        <x:v>N/A</x:v>
      </x:c>
      <x:c r="F1397" s="26" t="str">
        <x:v>Tests exist but current coverage did not complete</x:v>
      </x:c>
      <x:c r="G1397" s="25" t="str">
        <x:v>true</x:v>
      </x:c>
      <x:c r="H1397" s="25" t="str">
        <x:v>INCONCLUSIVE</x:v>
      </x:c>
      <x:c r="I1397" s="25" t="str">
        <x:v>PASS</x:v>
      </x:c>
      <x:c r="J1397" s="25" t="str">
        <x:v>FAIL</x:v>
      </x:c>
      <x:c r="K1397" s="25" t="n">
        <x:v>1</x:v>
      </x:c>
      <x:c r="L1397" s="27" t="b">
        <x:v>0</x:v>
      </x:c>
      <x:c r="M1397" s="25" t="str">
        <x:v>Deepseek-flash-v4/state/Round2/status/Jsoup_4.json; Deepseek-flash-v4/state/Round2/shards/Jsoup_4.json</x:v>
      </x:c>
      <x:c r="N1397" s="25" t="str">
        <x:v>Deepseek-flash-v4/Result2/Jsoup_4/result.json</x:v>
      </x:c>
      <x:c r="O1397" s="25" t="str">
        <x:v>Deepseek-flash-v4/Result2/Jsoup_4/result.json</x:v>
      </x:c>
      <x:c r="P1397" t="str">
        <x:v>COVERAGE_UNAVAILABLE</x:v>
      </x:c>
      <x:c r="Q1397" s="21" t="str"/>
      <x:c r="R1397" s="21" t="str"/>
      <x:c r="S1397" s="21" t="str"/>
      <x:c r="T1397" s="17" t="str">
        <x:v>false</x:v>
      </x:c>
      <x:c r="U1397" s="17" t="str">
        <x:v>true</x:v>
      </x:c>
      <x:c r="V1397" s="17" t="str">
        <x:v>true</x:v>
      </x:c>
    </x:row>
    <x:row r="1398" ht="80" customHeight="1">
      <x:c r="A1398" s="25" t="str">
        <x:v>Jsoup</x:v>
      </x:c>
      <x:c r="B1398" s="25" t="n">
        <x:v>40</x:v>
      </x:c>
      <x:c r="C1398" s="25" t="str">
        <x:v>Round2</x:v>
      </x:c>
      <x:c r="D1398" s="25" t="str">
        <x:v>INCONCLUSIVE</x:v>
      </x:c>
      <x:c r="E1398" s="25" t="str">
        <x:v>N/A</x:v>
      </x:c>
      <x:c r="F1398" s="26" t="str">
        <x:v>Fixed also failed; assertion failure cannot be attributed to this bug; Same-round generation metadata missing; use saved tests and execution evidence, no failure inferred</x:v>
      </x:c>
      <x:c r="G1398" s="25" t="str">
        <x:v>true</x:v>
      </x:c>
      <x:c r="H1398" s="25" t="str">
        <x:v>INCONCLUSIVE</x:v>
      </x:c>
      <x:c r="I1398" s="25" t="str">
        <x:v>FAIL</x:v>
      </x:c>
      <x:c r="J1398" s="25" t="str">
        <x:v>FAIL</x:v>
      </x:c>
      <x:c r="K1398" s="25" t="n">
        <x:v>1</x:v>
      </x:c>
      <x:c r="L1398" s="27" t="b">
        <x:v>0</x:v>
      </x:c>
      <x:c r="M1398" s="25"/>
      <x:c r="N1398" s="25" t="str">
        <x:v>Deepseek-flash-v4/Result2/Jsoup_40/result.json</x:v>
      </x:c>
      <x:c r="O1398" s="25" t="str">
        <x:v>Deepseek-flash-v4/Result2/Jsoup_40/result.json</x:v>
      </x:c>
      <x:c r="P1398"/>
      <x:c r="Q1398" s="21" t="str"/>
      <x:c r="R1398" s="21" t="str"/>
      <x:c r="S1398" s="21" t="str"/>
      <x:c r="T1398" s="17" t="str">
        <x:v>false</x:v>
      </x:c>
      <x:c r="U1398" s="17" t="str">
        <x:v>true</x:v>
      </x:c>
      <x:c r="V1398" s="17" t="str">
        <x:v>false</x:v>
      </x:c>
    </x:row>
    <x:row r="1399" ht="80" customHeight="1">
      <x:c r="A1399" s="25" t="str">
        <x:v>Jsoup</x:v>
      </x:c>
      <x:c r="B1399" s="25" t="n">
        <x:v>41</x:v>
      </x:c>
      <x:c r="C1399" s="25" t="str">
        <x:v>Round2</x:v>
      </x:c>
      <x:c r="D1399" s="25" t="str">
        <x:v>INCONCLUSIVE</x:v>
      </x:c>
      <x:c r="E1399" s="25" t="str">
        <x:v>N/A</x:v>
      </x:c>
      <x:c r="F1399" s="26" t="str">
        <x:v>Fixed also failed; assertion failure cannot be attributed to this bug</x:v>
      </x:c>
      <x:c r="G1399" s="25" t="str">
        <x:v>true</x:v>
      </x:c>
      <x:c r="H1399" s="25" t="str">
        <x:v>INCONCLUSIVE</x:v>
      </x:c>
      <x:c r="I1399" s="25" t="str">
        <x:v>FAIL</x:v>
      </x:c>
      <x:c r="J1399" s="25" t="str">
        <x:v>FAIL</x:v>
      </x:c>
      <x:c r="K1399" s="25" t="n">
        <x:v>1</x:v>
      </x:c>
      <x:c r="L1399" s="27" t="b">
        <x:v>0</x:v>
      </x:c>
      <x:c r="M1399" s="25" t="str">
        <x:v>Deepseek-flash-v4/state/Round2/status/Jsoup_41.json; Deepseek-flash-v4/state/Round2/shards/Jsoup_41.json</x:v>
      </x:c>
      <x:c r="N1399" s="25" t="str">
        <x:v>Deepseek-flash-v4/Result2/Jsoup_41/result.json</x:v>
      </x:c>
      <x:c r="O1399" s="25" t="str">
        <x:v>Deepseek-flash-v4/Result2/Jsoup_41/result.json</x:v>
      </x:c>
      <x:c r="P1399"/>
      <x:c r="Q1399" s="21" t="str"/>
      <x:c r="R1399" s="21" t="str"/>
      <x:c r="S1399" s="21" t="str"/>
      <x:c r="T1399" s="17" t="str">
        <x:v>false</x:v>
      </x:c>
      <x:c r="U1399" s="17" t="str">
        <x:v>true</x:v>
      </x:c>
      <x:c r="V1399" s="17" t="str">
        <x:v>false</x:v>
      </x:c>
    </x:row>
    <x:row r="1400" ht="80" customHeight="1">
      <x:c r="A1400" s="25" t="str">
        <x:v>Jsoup</x:v>
      </x:c>
      <x:c r="B1400" s="25" t="n">
        <x:v>42</x:v>
      </x:c>
      <x:c r="C1400" s="25" t="str">
        <x:v>Round2</x:v>
      </x:c>
      <x:c r="D1400" s="25" t="str">
        <x:v>NOT_AVAILABLE</x:v>
      </x:c>
      <x:c r="E1400" s="25" t="str">
        <x:v>N/A</x:v>
      </x:c>
      <x:c r="F1400" s="26" t="str">
        <x:v>Tests exist but current coverage did not complete</x:v>
      </x:c>
      <x:c r="G1400" s="25" t="str">
        <x:v>true</x:v>
      </x:c>
      <x:c r="H1400" s="25" t="str">
        <x:v>NOT_AVAILABLE</x:v>
      </x:c>
      <x:c r="I1400" s="25" t="str">
        <x:v>NOT_RUN</x:v>
      </x:c>
      <x:c r="J1400" s="25" t="str">
        <x:v>NOT_RUN</x:v>
      </x:c>
      <x:c r="K1400" s="25" t="n">
        <x:v>1</x:v>
      </x:c>
      <x:c r="L1400" s="27" t="b">
        <x:v>0</x:v>
      </x:c>
      <x:c r="M1400" s="25" t="str">
        <x:v>Deepseek-flash-v4/state/Round2/status/Jsoup_42.json; Deepseek-flash-v4/state/Round2/shards/Jsoup_42.json</x:v>
      </x:c>
      <x:c r="N1400" s="25" t="str">
        <x:v>Deepseek-flash-v4/Result2/Jsoup_42/result.json</x:v>
      </x:c>
      <x:c r="O1400" s="25" t="str">
        <x:v>Deepseek-flash-v4/Result2/Jsoup_42/result.json</x:v>
      </x:c>
      <x:c r="P1400" t="str">
        <x:v>BOTH_NOT_RUN</x:v>
      </x:c>
      <x:c r="Q1400" s="21" t="str"/>
      <x:c r="R1400" s="21" t="str"/>
      <x:c r="S1400" s="21" t="str"/>
      <x:c r="T1400" s="17" t="str">
        <x:v>false</x:v>
      </x:c>
      <x:c r="U1400" s="17" t="str">
        <x:v>true</x:v>
      </x:c>
      <x:c r="V1400" s="17" t="str">
        <x:v>false</x:v>
      </x:c>
    </x:row>
    <x:row r="1401" ht="80" customHeight="1">
      <x:c r="A1401" s="25" t="str">
        <x:v>Jsoup</x:v>
      </x:c>
      <x:c r="B1401" s="25" t="n">
        <x:v>43</x:v>
      </x:c>
      <x:c r="C1401" s="25" t="str">
        <x:v>Round2</x:v>
      </x:c>
      <x:c r="D1401" s="25" t="str">
        <x:v>NOT_AVAILABLE</x:v>
      </x:c>
      <x:c r="E1401" s="25" t="str">
        <x:v>N/A</x:v>
      </x:c>
      <x:c r="F1401" s="26" t="str">
        <x:v>Tests exist but current coverage did not complete</x:v>
      </x:c>
      <x:c r="G1401" s="25" t="str">
        <x:v>true</x:v>
      </x:c>
      <x:c r="H1401" s="25" t="str">
        <x:v>NOT_AVAILABLE</x:v>
      </x:c>
      <x:c r="I1401" s="25" t="str">
        <x:v>NOT_RUN</x:v>
      </x:c>
      <x:c r="J1401" s="25" t="str">
        <x:v>NOT_RUN</x:v>
      </x:c>
      <x:c r="K1401" s="25" t="n">
        <x:v>1</x:v>
      </x:c>
      <x:c r="L1401" s="27" t="b">
        <x:v>0</x:v>
      </x:c>
      <x:c r="M1401" s="25" t="str">
        <x:v>Deepseek-flash-v4/state/Round2/status/Jsoup_43.json; Deepseek-flash-v4/state/Round2/shards/Jsoup_43.json</x:v>
      </x:c>
      <x:c r="N1401" s="25" t="str">
        <x:v>Deepseek-flash-v4/Result2/Jsoup_43/result.json</x:v>
      </x:c>
      <x:c r="O1401" s="25" t="str">
        <x:v>Deepseek-flash-v4/Result2/Jsoup_43/result.json</x:v>
      </x:c>
      <x:c r="P1401" t="str">
        <x:v>BOTH_NOT_RUN</x:v>
      </x:c>
      <x:c r="Q1401" s="21" t="str"/>
      <x:c r="R1401" s="21" t="str"/>
      <x:c r="S1401" s="21" t="str"/>
      <x:c r="T1401" s="17" t="str">
        <x:v>false</x:v>
      </x:c>
      <x:c r="U1401" s="17" t="str">
        <x:v>true</x:v>
      </x:c>
      <x:c r="V1401" s="17" t="str">
        <x:v>false</x:v>
      </x:c>
    </x:row>
    <x:row r="1402" ht="80" customHeight="1">
      <x:c r="A1402" s="25" t="str">
        <x:v>Jsoup</x:v>
      </x:c>
      <x:c r="B1402" s="25" t="n">
        <x:v>44</x:v>
      </x:c>
      <x:c r="C1402" s="25" t="str">
        <x:v>Round2</x:v>
      </x:c>
      <x:c r="D1402" s="25" t="str">
        <x:v>NOT_AVAILABLE</x:v>
      </x:c>
      <x:c r="E1402" s="25" t="str">
        <x:v>N/A</x:v>
      </x:c>
      <x:c r="F1402" s="26" t="str">
        <x:v>Tests exist but current coverage did not complete</x:v>
      </x:c>
      <x:c r="G1402" s="25" t="str">
        <x:v>true</x:v>
      </x:c>
      <x:c r="H1402" s="25" t="str">
        <x:v>NOT_AVAILABLE</x:v>
      </x:c>
      <x:c r="I1402" s="25" t="str">
        <x:v>NOT_RUN</x:v>
      </x:c>
      <x:c r="J1402" s="25" t="str">
        <x:v>NOT_RUN</x:v>
      </x:c>
      <x:c r="K1402" s="25" t="n">
        <x:v>1</x:v>
      </x:c>
      <x:c r="L1402" s="27" t="b">
        <x:v>0</x:v>
      </x:c>
      <x:c r="M1402" s="25" t="str">
        <x:v>Deepseek-flash-v4/state/Round2/status/Jsoup_44.json; Deepseek-flash-v4/state/Round2/shards/Jsoup_44.json</x:v>
      </x:c>
      <x:c r="N1402" s="25" t="str">
        <x:v>Deepseek-flash-v4/Result2/Jsoup_44/result.json</x:v>
      </x:c>
      <x:c r="O1402" s="25" t="str">
        <x:v>Deepseek-flash-v4/Result2/Jsoup_44/result.json</x:v>
      </x:c>
      <x:c r="P1402" t="str">
        <x:v>BOTH_NOT_RUN</x:v>
      </x:c>
      <x:c r="Q1402" s="21" t="str"/>
      <x:c r="R1402" s="21" t="str"/>
      <x:c r="S1402" s="21" t="str"/>
      <x:c r="T1402" s="17" t="str">
        <x:v>false</x:v>
      </x:c>
      <x:c r="U1402" s="17" t="str">
        <x:v>true</x:v>
      </x:c>
      <x:c r="V1402" s="17" t="str">
        <x:v>false</x:v>
      </x:c>
    </x:row>
    <x:row r="1403" ht="80" customHeight="1">
      <x:c r="A1403" s="25" t="str">
        <x:v>Jsoup</x:v>
      </x:c>
      <x:c r="B1403" s="25" t="n">
        <x:v>45</x:v>
      </x:c>
      <x:c r="C1403" s="25" t="str">
        <x:v>Round2</x:v>
      </x:c>
      <x:c r="D1403" s="25" t="str">
        <x:v>NOT_AVAILABLE</x:v>
      </x:c>
      <x:c r="E1403" s="25" t="str">
        <x:v>N/A</x:v>
      </x:c>
      <x:c r="F1403" s="26" t="str">
        <x:v>Tests exist but current coverage did not complete</x:v>
      </x:c>
      <x:c r="G1403" s="25" t="str">
        <x:v>true</x:v>
      </x:c>
      <x:c r="H1403" s="25" t="str">
        <x:v>NOT_AVAILABLE</x:v>
      </x:c>
      <x:c r="I1403" s="25" t="str">
        <x:v>NOT_RUN</x:v>
      </x:c>
      <x:c r="J1403" s="25" t="str">
        <x:v>NOT_RUN</x:v>
      </x:c>
      <x:c r="K1403" s="25" t="n">
        <x:v>1</x:v>
      </x:c>
      <x:c r="L1403" s="27" t="b">
        <x:v>0</x:v>
      </x:c>
      <x:c r="M1403" s="25" t="str">
        <x:v>Deepseek-flash-v4/state/Round2/status/Jsoup_45.json; Deepseek-flash-v4/state/Round2/shards/Jsoup_45.json</x:v>
      </x:c>
      <x:c r="N1403" s="25" t="str">
        <x:v>Deepseek-flash-v4/Result2/Jsoup_45/result.json</x:v>
      </x:c>
      <x:c r="O1403" s="25" t="str">
        <x:v>Deepseek-flash-v4/Result2/Jsoup_45/result.json</x:v>
      </x:c>
      <x:c r="P1403" t="str">
        <x:v>BOTH_NOT_RUN</x:v>
      </x:c>
      <x:c r="Q1403" s="21" t="str"/>
      <x:c r="R1403" s="21" t="str"/>
      <x:c r="S1403" s="21" t="str"/>
      <x:c r="T1403" s="17" t="str">
        <x:v>false</x:v>
      </x:c>
      <x:c r="U1403" s="17" t="str">
        <x:v>true</x:v>
      </x:c>
      <x:c r="V1403" s="17" t="str">
        <x:v>false</x:v>
      </x:c>
    </x:row>
    <x:row r="1404" ht="80" customHeight="1">
      <x:c r="A1404" s="25" t="str">
        <x:v>Jsoup</x:v>
      </x:c>
      <x:c r="B1404" s="25" t="n">
        <x:v>46</x:v>
      </x:c>
      <x:c r="C1404" s="25" t="str">
        <x:v>Round2</x:v>
      </x:c>
      <x:c r="D1404" s="25" t="str">
        <x:v>INCONCLUSIVE</x:v>
      </x:c>
      <x:c r="E1404" s="25" t="str">
        <x:v>N/A</x:v>
      </x:c>
      <x:c r="F1404" s="26" t="str">
        <x:v>Fixed also failed; assertion failure cannot be attributed to this bug; Same-round generation metadata missing; use saved tests and execution evidence, no failure inferred</x:v>
      </x:c>
      <x:c r="G1404" s="25" t="str">
        <x:v>true</x:v>
      </x:c>
      <x:c r="H1404" s="25" t="str">
        <x:v>INCONCLUSIVE</x:v>
      </x:c>
      <x:c r="I1404" s="25" t="str">
        <x:v>FAIL</x:v>
      </x:c>
      <x:c r="J1404" s="25" t="str">
        <x:v>FAIL</x:v>
      </x:c>
      <x:c r="K1404" s="25" t="n">
        <x:v>1</x:v>
      </x:c>
      <x:c r="L1404" s="27" t="b">
        <x:v>0</x:v>
      </x:c>
      <x:c r="M1404" s="25"/>
      <x:c r="N1404" s="25" t="str">
        <x:v>Deepseek-flash-v4/Result2/Jsoup_46/result.json</x:v>
      </x:c>
      <x:c r="O1404" s="25" t="str">
        <x:v>Deepseek-flash-v4/Result2/Jsoup_46/result.json</x:v>
      </x:c>
      <x:c r="P1404"/>
      <x:c r="Q1404" s="21" t="str"/>
      <x:c r="R1404" s="21" t="str"/>
      <x:c r="S1404" s="21" t="str"/>
      <x:c r="T1404" s="17" t="str">
        <x:v>false</x:v>
      </x:c>
      <x:c r="U1404" s="17" t="str">
        <x:v>true</x:v>
      </x:c>
      <x:c r="V1404" s="17" t="str">
        <x:v>false</x:v>
      </x:c>
    </x:row>
    <x:row r="1405" ht="80" customHeight="1">
      <x:c r="A1405" s="25" t="str">
        <x:v>Jsoup</x:v>
      </x:c>
      <x:c r="B1405" s="25" t="n">
        <x:v>47</x:v>
      </x:c>
      <x:c r="C1405" s="25" t="str">
        <x:v>Round2</x:v>
      </x:c>
      <x:c r="D1405" s="25" t="str">
        <x:v>NOT_REVEALING</x:v>
      </x:c>
      <x:c r="E1405" s="25" t="str">
        <x:v>N/A</x:v>
      </x:c>
      <x:c r="F1405" s="26" t="str">
        <x:v>Same saved validation suite passed on buggy and fixed</x:v>
      </x:c>
      <x:c r="G1405" s="25" t="str">
        <x:v>true</x:v>
      </x:c>
      <x:c r="H1405" s="25" t="str">
        <x:v>NOT_REVEALING</x:v>
      </x:c>
      <x:c r="I1405" s="25" t="str">
        <x:v>PASS</x:v>
      </x:c>
      <x:c r="J1405" s="25" t="str">
        <x:v>PASS</x:v>
      </x:c>
      <x:c r="K1405" s="25" t="n">
        <x:v>1</x:v>
      </x:c>
      <x:c r="L1405" s="27" t="b">
        <x:v>0</x:v>
      </x:c>
      <x:c r="M1405" s="25" t="str">
        <x:v>Deepseek-flash-v4/state/Round2/status/Jsoup_47.json; Deepseek-flash-v4/state/Round2/shards/Jsoup_47.json</x:v>
      </x:c>
      <x:c r="N1405" s="25" t="str">
        <x:v>Deepseek-flash-v4/Result2/Jsoup_47/result.json</x:v>
      </x:c>
      <x:c r="O1405" s="25" t="str">
        <x:v>Deepseek-flash-v4/Result2/Jsoup_47/result.json</x:v>
      </x:c>
      <x:c r="P1405"/>
      <x:c r="Q1405" s="21" t="str"/>
      <x:c r="R1405" s="21" t="str"/>
      <x:c r="S1405" s="21" t="str"/>
      <x:c r="T1405" s="17" t="str">
        <x:v>false</x:v>
      </x:c>
      <x:c r="U1405" s="17" t="str">
        <x:v>true</x:v>
      </x:c>
      <x:c r="V1405" s="17" t="str">
        <x:v>false</x:v>
      </x:c>
    </x:row>
    <x:row r="1406" ht="80" customHeight="1">
      <x:c r="A1406" s="25" t="str">
        <x:v>Jsoup</x:v>
      </x:c>
      <x:c r="B1406" s="25" t="n">
        <x:v>48</x:v>
      </x:c>
      <x:c r="C1406" s="25" t="str">
        <x:v>Round2</x:v>
      </x:c>
      <x:c r="D1406" s="25" t="str">
        <x:v>NOT_AVAILABLE</x:v>
      </x:c>
      <x:c r="E1406" s="25" t="str">
        <x:v>N/A</x:v>
      </x:c>
      <x:c r="F1406" s="26" t="str">
        <x:v>Tests exist but current coverage did not complete</x:v>
      </x:c>
      <x:c r="G1406" s="25" t="str">
        <x:v>true</x:v>
      </x:c>
      <x:c r="H1406" s="25" t="str">
        <x:v>NOT_AVAILABLE</x:v>
      </x:c>
      <x:c r="I1406" s="25" t="str">
        <x:v>NOT_RUN</x:v>
      </x:c>
      <x:c r="J1406" s="25" t="str">
        <x:v>NOT_RUN</x:v>
      </x:c>
      <x:c r="K1406" s="25" t="n">
        <x:v>1</x:v>
      </x:c>
      <x:c r="L1406" s="27" t="b">
        <x:v>0</x:v>
      </x:c>
      <x:c r="M1406" s="25" t="str">
        <x:v>Deepseek-flash-v4/state/Round2/status/Jsoup_48.json; Deepseek-flash-v4/state/Round2/shards/Jsoup_48.json</x:v>
      </x:c>
      <x:c r="N1406" s="25" t="str">
        <x:v>Deepseek-flash-v4/Result2/Jsoup_48/result.json</x:v>
      </x:c>
      <x:c r="O1406" s="25" t="str">
        <x:v>Deepseek-flash-v4/Result2/Jsoup_48/result.json</x:v>
      </x:c>
      <x:c r="P1406" t="str">
        <x:v>BOTH_NOT_RUN</x:v>
      </x:c>
      <x:c r="Q1406" s="21" t="str"/>
      <x:c r="R1406" s="21" t="str"/>
      <x:c r="S1406" s="21" t="str"/>
      <x:c r="T1406" s="17" t="str">
        <x:v>false</x:v>
      </x:c>
      <x:c r="U1406" s="17" t="str">
        <x:v>true</x:v>
      </x:c>
      <x:c r="V1406" s="17" t="str">
        <x:v>false</x:v>
      </x:c>
    </x:row>
    <x:row r="1407" ht="80" customHeight="1">
      <x:c r="A1407" s="25" t="str">
        <x:v>Jsoup</x:v>
      </x:c>
      <x:c r="B1407" s="25" t="n">
        <x:v>49</x:v>
      </x:c>
      <x:c r="C1407" s="25" t="str">
        <x:v>Round2</x:v>
      </x:c>
      <x:c r="D1407" s="25" t="str">
        <x:v>NOT_AVAILABLE</x:v>
      </x:c>
      <x:c r="E1407" s="25" t="str">
        <x:v>N/A</x:v>
      </x:c>
      <x:c r="F1407" s="26" t="str">
        <x:v>Tests exist but current coverage did not complete</x:v>
      </x:c>
      <x:c r="G1407" s="25" t="str">
        <x:v>true</x:v>
      </x:c>
      <x:c r="H1407" s="25" t="str">
        <x:v>NOT_AVAILABLE</x:v>
      </x:c>
      <x:c r="I1407" s="25" t="str">
        <x:v>NOT_RUN</x:v>
      </x:c>
      <x:c r="J1407" s="25" t="str">
        <x:v>NOT_RUN</x:v>
      </x:c>
      <x:c r="K1407" s="25" t="n">
        <x:v>1</x:v>
      </x:c>
      <x:c r="L1407" s="27" t="b">
        <x:v>0</x:v>
      </x:c>
      <x:c r="M1407" s="25" t="str">
        <x:v>Deepseek-flash-v4/state/Round2/status/Jsoup_49.json; Deepseek-flash-v4/state/Round2/shards/Jsoup_49.json</x:v>
      </x:c>
      <x:c r="N1407" s="25" t="str">
        <x:v>Deepseek-flash-v4/Result2/Jsoup_49/result.json</x:v>
      </x:c>
      <x:c r="O1407" s="25" t="str">
        <x:v>Deepseek-flash-v4/Result2/Jsoup_49/result.json</x:v>
      </x:c>
      <x:c r="P1407" t="str">
        <x:v>BOTH_NOT_RUN</x:v>
      </x:c>
      <x:c r="Q1407" s="21" t="str"/>
      <x:c r="R1407" s="21" t="str"/>
      <x:c r="S1407" s="21" t="str"/>
      <x:c r="T1407" s="17" t="str">
        <x:v>false</x:v>
      </x:c>
      <x:c r="U1407" s="17" t="str">
        <x:v>true</x:v>
      </x:c>
      <x:c r="V1407" s="17" t="str">
        <x:v>false</x:v>
      </x:c>
    </x:row>
    <x:row r="1408" ht="80" customHeight="1">
      <x:c r="A1408" s="25" t="str">
        <x:v>Jsoup</x:v>
      </x:c>
      <x:c r="B1408" s="25" t="n">
        <x:v>5</x:v>
      </x:c>
      <x:c r="C1408" s="25" t="str">
        <x:v>Round2</x:v>
      </x:c>
      <x:c r="D1408" s="25" t="str">
        <x:v>NOT_REVEALING</x:v>
      </x:c>
      <x:c r="E1408" s="25" t="str">
        <x:v>N/A</x:v>
      </x:c>
      <x:c r="F1408" s="26" t="str">
        <x:v>Same saved validation suite passed on buggy and fixed; Same-round generation metadata missing; use saved tests and execution evidence, no failure inferred</x:v>
      </x:c>
      <x:c r="G1408" s="25" t="str">
        <x:v>true</x:v>
      </x:c>
      <x:c r="H1408" s="25" t="str">
        <x:v>NOT_REVEALING</x:v>
      </x:c>
      <x:c r="I1408" s="25" t="str">
        <x:v>PASS</x:v>
      </x:c>
      <x:c r="J1408" s="25" t="str">
        <x:v>PASS</x:v>
      </x:c>
      <x:c r="K1408" s="25" t="n">
        <x:v>1</x:v>
      </x:c>
      <x:c r="L1408" s="27" t="b">
        <x:v>0</x:v>
      </x:c>
      <x:c r="M1408" s="25"/>
      <x:c r="N1408" s="25" t="str">
        <x:v>Deepseek-flash-v4/Result2/Jsoup_5/result.json</x:v>
      </x:c>
      <x:c r="O1408" s="25" t="str">
        <x:v>Deepseek-flash-v4/Result2/Jsoup_5/result.json</x:v>
      </x:c>
      <x:c r="P1408"/>
      <x:c r="Q1408" s="21" t="str"/>
      <x:c r="R1408" s="21" t="str"/>
      <x:c r="S1408" s="21" t="str"/>
      <x:c r="T1408" s="17" t="str">
        <x:v>false</x:v>
      </x:c>
      <x:c r="U1408" s="17" t="str">
        <x:v>true</x:v>
      </x:c>
      <x:c r="V1408" s="17" t="str">
        <x:v>false</x:v>
      </x:c>
    </x:row>
    <x:row r="1409" ht="80" customHeight="1">
      <x:c r="A1409" s="25" t="str">
        <x:v>Jsoup</x:v>
      </x:c>
      <x:c r="B1409" s="25" t="n">
        <x:v>50</x:v>
      </x:c>
      <x:c r="C1409" s="25" t="str">
        <x:v>Round2</x:v>
      </x:c>
      <x:c r="D1409" s="25" t="str">
        <x:v>INCONCLUSIVE</x:v>
      </x:c>
      <x:c r="E1409" s="25" t="str">
        <x:v>N/A</x:v>
      </x:c>
      <x:c r="F1409" s="26" t="str">
        <x:v>Fixed also failed; assertion failure cannot be attributed to this bug</x:v>
      </x:c>
      <x:c r="G1409" s="25" t="str">
        <x:v>true</x:v>
      </x:c>
      <x:c r="H1409" s="25" t="str">
        <x:v>INCONCLUSIVE</x:v>
      </x:c>
      <x:c r="I1409" s="25" t="str">
        <x:v>FAIL</x:v>
      </x:c>
      <x:c r="J1409" s="25" t="str">
        <x:v>FAIL</x:v>
      </x:c>
      <x:c r="K1409" s="25" t="n">
        <x:v>1</x:v>
      </x:c>
      <x:c r="L1409" s="27" t="b">
        <x:v>0</x:v>
      </x:c>
      <x:c r="M1409" s="25" t="str">
        <x:v>Deepseek-flash-v4/state/Round2/status/Jsoup_50.json; Deepseek-flash-v4/state/Round2/shards/Jsoup_50.json</x:v>
      </x:c>
      <x:c r="N1409" s="25" t="str">
        <x:v>Deepseek-flash-v4/Result2/Jsoup_50/result.json</x:v>
      </x:c>
      <x:c r="O1409" s="25" t="str">
        <x:v>Deepseek-flash-v4/Result2/Jsoup_50/result.json</x:v>
      </x:c>
      <x:c r="P1409"/>
      <x:c r="Q1409" s="21" t="str"/>
      <x:c r="R1409" s="21" t="str"/>
      <x:c r="S1409" s="21" t="str"/>
      <x:c r="T1409" s="17" t="str">
        <x:v>false</x:v>
      </x:c>
      <x:c r="U1409" s="17" t="str">
        <x:v>true</x:v>
      </x:c>
      <x:c r="V1409" s="17" t="str">
        <x:v>false</x:v>
      </x:c>
    </x:row>
    <x:row r="1410" ht="80" customHeight="1">
      <x:c r="A1410" s="25" t="str">
        <x:v>Jsoup</x:v>
      </x:c>
      <x:c r="B1410" s="25" t="n">
        <x:v>51</x:v>
      </x:c>
      <x:c r="C1410" s="25" t="str">
        <x:v>Round2</x:v>
      </x:c>
      <x:c r="D1410" s="25" t="str">
        <x:v>INCONCLUSIVE</x:v>
      </x:c>
      <x:c r="E1410" s="25" t="str">
        <x:v>N/A</x:v>
      </x:c>
      <x:c r="F1410" s="26" t="str">
        <x:v>Fixed also failed; assertion failure cannot be attributed to this bug; Same-round generation metadata missing; use saved tests and execution evidence, no failure inferred</x:v>
      </x:c>
      <x:c r="G1410" s="25" t="str">
        <x:v>true</x:v>
      </x:c>
      <x:c r="H1410" s="25" t="str">
        <x:v>INCONCLUSIVE</x:v>
      </x:c>
      <x:c r="I1410" s="25" t="str">
        <x:v>FAIL</x:v>
      </x:c>
      <x:c r="J1410" s="25" t="str">
        <x:v>FAIL</x:v>
      </x:c>
      <x:c r="K1410" s="25" t="n">
        <x:v>1</x:v>
      </x:c>
      <x:c r="L1410" s="27" t="b">
        <x:v>0</x:v>
      </x:c>
      <x:c r="M1410" s="25"/>
      <x:c r="N1410" s="25" t="str">
        <x:v>Deepseek-flash-v4/Result2/Jsoup_51/result.json</x:v>
      </x:c>
      <x:c r="O1410" s="25" t="str">
        <x:v>Deepseek-flash-v4/Result2/Jsoup_51/result.json</x:v>
      </x:c>
      <x:c r="P1410"/>
      <x:c r="Q1410" s="21" t="str"/>
      <x:c r="R1410" s="21" t="str"/>
      <x:c r="S1410" s="21" t="str"/>
      <x:c r="T1410" s="17" t="str">
        <x:v>false</x:v>
      </x:c>
      <x:c r="U1410" s="17" t="str">
        <x:v>true</x:v>
      </x:c>
      <x:c r="V1410" s="17" t="str">
        <x:v>false</x:v>
      </x:c>
    </x:row>
    <x:row r="1411" ht="80" customHeight="1">
      <x:c r="A1411" s="25" t="str">
        <x:v>Jsoup</x:v>
      </x:c>
      <x:c r="B1411" s="25" t="n">
        <x:v>52</x:v>
      </x:c>
      <x:c r="C1411" s="25" t="str">
        <x:v>Round2</x:v>
      </x:c>
      <x:c r="D1411" s="25" t="str">
        <x:v>NOT_AVAILABLE</x:v>
      </x:c>
      <x:c r="E1411" s="25" t="str">
        <x:v>N/A</x:v>
      </x:c>
      <x:c r="F1411" s="26" t="str">
        <x:v>Tests exist but current coverage did not complete</x:v>
      </x:c>
      <x:c r="G1411" s="25" t="str">
        <x:v>true</x:v>
      </x:c>
      <x:c r="H1411" s="25" t="str">
        <x:v>NOT_AVAILABLE</x:v>
      </x:c>
      <x:c r="I1411" s="25" t="str">
        <x:v>NOT_RUN</x:v>
      </x:c>
      <x:c r="J1411" s="25" t="str">
        <x:v>NOT_RUN</x:v>
      </x:c>
      <x:c r="K1411" s="25" t="n">
        <x:v>3</x:v>
      </x:c>
      <x:c r="L1411" s="27" t="b">
        <x:v>0</x:v>
      </x:c>
      <x:c r="M1411" s="25" t="str">
        <x:v>Deepseek-flash-v4/state/Round2/status/Jsoup_52.json; Deepseek-flash-v4/state/Round2/shards/Jsoup_52.json</x:v>
      </x:c>
      <x:c r="N1411" s="25" t="str">
        <x:v>Deepseek-flash-v4/Result2/Jsoup_52/result.json</x:v>
      </x:c>
      <x:c r="O1411" s="25" t="str">
        <x:v>Deepseek-flash-v4/Result2/Jsoup_52/result.json</x:v>
      </x:c>
      <x:c r="P1411" t="str">
        <x:v>BOTH_NOT_RUN</x:v>
      </x:c>
      <x:c r="Q1411" s="21" t="str"/>
      <x:c r="R1411" s="21" t="str"/>
      <x:c r="S1411" s="21" t="str"/>
      <x:c r="T1411" s="17" t="str">
        <x:v>false</x:v>
      </x:c>
      <x:c r="U1411" s="17" t="str">
        <x:v>true</x:v>
      </x:c>
      <x:c r="V1411" s="17" t="str">
        <x:v>false</x:v>
      </x:c>
    </x:row>
    <x:row r="1412" ht="80" customHeight="1">
      <x:c r="A1412" s="25" t="str">
        <x:v>Jsoup</x:v>
      </x:c>
      <x:c r="B1412" s="25" t="n">
        <x:v>53</x:v>
      </x:c>
      <x:c r="C1412" s="25" t="str">
        <x:v>Round2</x:v>
      </x:c>
      <x:c r="D1412" s="25" t="str">
        <x:v>INCONCLUSIVE</x:v>
      </x:c>
      <x:c r="E1412" s="25" t="str">
        <x:v>N/A</x:v>
      </x:c>
      <x:c r="F1412" s="26" t="str">
        <x:v>Fixed also failed; assertion failure cannot be attributed to this bug; Same-round generation metadata missing; use saved tests and execution evidence, no failure inferred</x:v>
      </x:c>
      <x:c r="G1412" s="25" t="str">
        <x:v>true</x:v>
      </x:c>
      <x:c r="H1412" s="25" t="str">
        <x:v>INCONCLUSIVE</x:v>
      </x:c>
      <x:c r="I1412" s="25" t="str">
        <x:v>FAIL</x:v>
      </x:c>
      <x:c r="J1412" s="25" t="str">
        <x:v>FAIL</x:v>
      </x:c>
      <x:c r="K1412" s="25" t="n">
        <x:v>1</x:v>
      </x:c>
      <x:c r="L1412" s="27" t="b">
        <x:v>0</x:v>
      </x:c>
      <x:c r="M1412" s="25"/>
      <x:c r="N1412" s="25" t="str">
        <x:v>Deepseek-flash-v4/Result2/Jsoup_53/result.json</x:v>
      </x:c>
      <x:c r="O1412" s="25" t="str">
        <x:v>Deepseek-flash-v4/Result2/Jsoup_53/result.json</x:v>
      </x:c>
      <x:c r="P1412"/>
      <x:c r="Q1412" s="21" t="str"/>
      <x:c r="R1412" s="21" t="str"/>
      <x:c r="S1412" s="21" t="str"/>
      <x:c r="T1412" s="17" t="str">
        <x:v>false</x:v>
      </x:c>
      <x:c r="U1412" s="17" t="str">
        <x:v>true</x:v>
      </x:c>
      <x:c r="V1412" s="17" t="str">
        <x:v>false</x:v>
      </x:c>
    </x:row>
    <x:row r="1413" ht="80" customHeight="1">
      <x:c r="A1413" s="25" t="str">
        <x:v>Jsoup</x:v>
      </x:c>
      <x:c r="B1413" s="25" t="n">
        <x:v>54</x:v>
      </x:c>
      <x:c r="C1413" s="25" t="str">
        <x:v>Round2</x:v>
      </x:c>
      <x:c r="D1413" s="25" t="str">
        <x:v>NOT_AVAILABLE</x:v>
      </x:c>
      <x:c r="E1413" s="25" t="str">
        <x:v>N/A</x:v>
      </x:c>
      <x:c r="F1413" s="26" t="str">
        <x:v>Tests exist but current coverage did not complete</x:v>
      </x:c>
      <x:c r="G1413" s="25" t="str">
        <x:v>true</x:v>
      </x:c>
      <x:c r="H1413" s="25" t="str">
        <x:v>NOT_AVAILABLE</x:v>
      </x:c>
      <x:c r="I1413" s="25" t="str">
        <x:v>NOT_RUN</x:v>
      </x:c>
      <x:c r="J1413" s="25" t="str">
        <x:v>NOT_RUN</x:v>
      </x:c>
      <x:c r="K1413" s="25" t="n">
        <x:v>1</x:v>
      </x:c>
      <x:c r="L1413" s="27" t="b">
        <x:v>0</x:v>
      </x:c>
      <x:c r="M1413" s="25" t="str">
        <x:v>Deepseek-flash-v4/state/Round2/status/Jsoup_54.json; Deepseek-flash-v4/state/Round2/shards/Jsoup_54.json</x:v>
      </x:c>
      <x:c r="N1413" s="25" t="str">
        <x:v>Deepseek-flash-v4/Result2/Jsoup_54/result.json</x:v>
      </x:c>
      <x:c r="O1413" s="25" t="str">
        <x:v>Deepseek-flash-v4/Result2/Jsoup_54/result.json</x:v>
      </x:c>
      <x:c r="P1413" t="str">
        <x:v>BOTH_NOT_RUN</x:v>
      </x:c>
      <x:c r="Q1413" s="21" t="str"/>
      <x:c r="R1413" s="21" t="str"/>
      <x:c r="S1413" s="21" t="str"/>
      <x:c r="T1413" s="17" t="str">
        <x:v>false</x:v>
      </x:c>
      <x:c r="U1413" s="17" t="str">
        <x:v>true</x:v>
      </x:c>
      <x:c r="V1413" s="17" t="str">
        <x:v>false</x:v>
      </x:c>
    </x:row>
    <x:row r="1414" ht="80" customHeight="1">
      <x:c r="A1414" s="25" t="str">
        <x:v>Jsoup</x:v>
      </x:c>
      <x:c r="B1414" s="25" t="n">
        <x:v>55</x:v>
      </x:c>
      <x:c r="C1414" s="25" t="str">
        <x:v>Round2</x:v>
      </x:c>
      <x:c r="D1414" s="25" t="str">
        <x:v>NOT_AVAILABLE</x:v>
      </x:c>
      <x:c r="E1414" s="25" t="str">
        <x:v>N/A</x:v>
      </x:c>
      <x:c r="F1414" s="26" t="str">
        <x:v>Tests exist but current coverage did not complete</x:v>
      </x:c>
      <x:c r="G1414" s="25" t="str">
        <x:v>true</x:v>
      </x:c>
      <x:c r="H1414" s="25" t="str">
        <x:v>NOT_AVAILABLE</x:v>
      </x:c>
      <x:c r="I1414" s="25" t="str">
        <x:v>NOT_RUN</x:v>
      </x:c>
      <x:c r="J1414" s="25" t="str">
        <x:v>NOT_RUN</x:v>
      </x:c>
      <x:c r="K1414" s="25" t="n">
        <x:v>1</x:v>
      </x:c>
      <x:c r="L1414" s="27" t="b">
        <x:v>0</x:v>
      </x:c>
      <x:c r="M1414" s="25" t="str">
        <x:v>Deepseek-flash-v4/state/Round2/status/Jsoup_55.json; Deepseek-flash-v4/state/Round2/shards/Jsoup_55.json</x:v>
      </x:c>
      <x:c r="N1414" s="25" t="str">
        <x:v>Deepseek-flash-v4/Result2/Jsoup_55/result.json</x:v>
      </x:c>
      <x:c r="O1414" s="25" t="str">
        <x:v>Deepseek-flash-v4/Result2/Jsoup_55/result.json</x:v>
      </x:c>
      <x:c r="P1414" t="str">
        <x:v>BOTH_NOT_RUN</x:v>
      </x:c>
      <x:c r="Q1414" s="21" t="str"/>
      <x:c r="R1414" s="21" t="str"/>
      <x:c r="S1414" s="21" t="str"/>
      <x:c r="T1414" s="17" t="str">
        <x:v>false</x:v>
      </x:c>
      <x:c r="U1414" s="17" t="str">
        <x:v>true</x:v>
      </x:c>
      <x:c r="V1414" s="17" t="str">
        <x:v>false</x:v>
      </x:c>
    </x:row>
    <x:row r="1415" ht="80" customHeight="1">
      <x:c r="A1415" s="25" t="str">
        <x:v>Jsoup</x:v>
      </x:c>
      <x:c r="B1415" s="25" t="n">
        <x:v>56</x:v>
      </x:c>
      <x:c r="C1415" s="25" t="str">
        <x:v>Round2</x:v>
      </x:c>
      <x:c r="D1415" s="25" t="str">
        <x:v>NOT_AVAILABLE</x:v>
      </x:c>
      <x:c r="E1415" s="25" t="str">
        <x:v>N/A</x:v>
      </x:c>
      <x:c r="F1415" s="26" t="str">
        <x:v>Tests exist but current coverage did not complete</x:v>
      </x:c>
      <x:c r="G1415" s="25" t="str">
        <x:v>true</x:v>
      </x:c>
      <x:c r="H1415" s="25" t="str">
        <x:v>NOT_AVAILABLE</x:v>
      </x:c>
      <x:c r="I1415" s="25" t="str">
        <x:v>NOT_RUN</x:v>
      </x:c>
      <x:c r="J1415" s="25" t="str">
        <x:v>NOT_RUN</x:v>
      </x:c>
      <x:c r="K1415" s="25" t="n">
        <x:v>5</x:v>
      </x:c>
      <x:c r="L1415" s="27" t="b">
        <x:v>0</x:v>
      </x:c>
      <x:c r="M1415" s="25" t="str">
        <x:v>Deepseek-flash-v4/state/Round2/status/Jsoup_56.json; Deepseek-flash-v4/state/Round2/shards/Jsoup_56.json</x:v>
      </x:c>
      <x:c r="N1415" s="25" t="str">
        <x:v>Deepseek-flash-v4/Result2/Jsoup_56/result.json</x:v>
      </x:c>
      <x:c r="O1415" s="25" t="str">
        <x:v>Deepseek-flash-v4/Result2/Jsoup_56/result.json</x:v>
      </x:c>
      <x:c r="P1415" t="str">
        <x:v>BOTH_NOT_RUN</x:v>
      </x:c>
      <x:c r="Q1415" s="21" t="str"/>
      <x:c r="R1415" s="21" t="str"/>
      <x:c r="S1415" s="21" t="str"/>
      <x:c r="T1415" s="17" t="str">
        <x:v>false</x:v>
      </x:c>
      <x:c r="U1415" s="17" t="str">
        <x:v>true</x:v>
      </x:c>
      <x:c r="V1415" s="17" t="str">
        <x:v>false</x:v>
      </x:c>
    </x:row>
    <x:row r="1416" ht="80" customHeight="1">
      <x:c r="A1416" s="25" t="str">
        <x:v>Jsoup</x:v>
      </x:c>
      <x:c r="B1416" s="25" t="n">
        <x:v>57</x:v>
      </x:c>
      <x:c r="C1416" s="25" t="str">
        <x:v>Round2</x:v>
      </x:c>
      <x:c r="D1416" s="25" t="str">
        <x:v>NOT_REVEALING</x:v>
      </x:c>
      <x:c r="E1416" s="25" t="str">
        <x:v>N/A</x:v>
      </x:c>
      <x:c r="F1416" s="26" t="str">
        <x:v>Same saved validation suite passed on buggy and fixed; Same-round generation metadata missing; use saved tests and execution evidence, no failure inferred</x:v>
      </x:c>
      <x:c r="G1416" s="25" t="str">
        <x:v>true</x:v>
      </x:c>
      <x:c r="H1416" s="25" t="str">
        <x:v>NOT_REVEALING</x:v>
      </x:c>
      <x:c r="I1416" s="25" t="str">
        <x:v>PASS</x:v>
      </x:c>
      <x:c r="J1416" s="25" t="str">
        <x:v>PASS</x:v>
      </x:c>
      <x:c r="K1416" s="25" t="n">
        <x:v>1</x:v>
      </x:c>
      <x:c r="L1416" s="27" t="b">
        <x:v>0</x:v>
      </x:c>
      <x:c r="M1416" s="25"/>
      <x:c r="N1416" s="25" t="str">
        <x:v>Deepseek-flash-v4/Result2/Jsoup_57/result.json</x:v>
      </x:c>
      <x:c r="O1416" s="25" t="str">
        <x:v>Deepseek-flash-v4/Result2/Jsoup_57/result.json</x:v>
      </x:c>
      <x:c r="P1416"/>
      <x:c r="Q1416" s="21" t="str"/>
      <x:c r="R1416" s="21" t="str"/>
      <x:c r="S1416" s="21" t="str"/>
      <x:c r="T1416" s="17" t="str">
        <x:v>false</x:v>
      </x:c>
      <x:c r="U1416" s="17" t="str">
        <x:v>true</x:v>
      </x:c>
      <x:c r="V1416" s="17" t="str">
        <x:v>false</x:v>
      </x:c>
    </x:row>
    <x:row r="1417" ht="80" customHeight="1">
      <x:c r="A1417" s="25" t="str">
        <x:v>Jsoup</x:v>
      </x:c>
      <x:c r="B1417" s="25" t="n">
        <x:v>58</x:v>
      </x:c>
      <x:c r="C1417" s="25" t="str">
        <x:v>Round2</x:v>
      </x:c>
      <x:c r="D1417" s="25" t="str">
        <x:v>INCONCLUSIVE</x:v>
      </x:c>
      <x:c r="E1417" s="25" t="str">
        <x:v>N/A</x:v>
      </x:c>
      <x:c r="F1417" s="26" t="str">
        <x:v>Fixed also failed; assertion failure cannot be attributed to this bug; Same-round generation metadata missing; use saved tests and execution evidence, no failure inferred</x:v>
      </x:c>
      <x:c r="G1417" s="25" t="str">
        <x:v>true</x:v>
      </x:c>
      <x:c r="H1417" s="25" t="str">
        <x:v>INCONCLUSIVE</x:v>
      </x:c>
      <x:c r="I1417" s="25" t="str">
        <x:v>FAIL</x:v>
      </x:c>
      <x:c r="J1417" s="25" t="str">
        <x:v>FAIL</x:v>
      </x:c>
      <x:c r="K1417" s="25" t="n">
        <x:v>3</x:v>
      </x:c>
      <x:c r="L1417" s="27" t="b">
        <x:v>0</x:v>
      </x:c>
      <x:c r="M1417" s="25"/>
      <x:c r="N1417" s="25" t="str">
        <x:v>Deepseek-flash-v4/Result2/Jsoup_58/result.json</x:v>
      </x:c>
      <x:c r="O1417" s="25" t="str">
        <x:v>Deepseek-flash-v4/Result2/Jsoup_58/result.json</x:v>
      </x:c>
      <x:c r="P1417"/>
      <x:c r="Q1417" s="21" t="str"/>
      <x:c r="R1417" s="21" t="str"/>
      <x:c r="S1417" s="21" t="str"/>
      <x:c r="T1417" s="17" t="str">
        <x:v>false</x:v>
      </x:c>
      <x:c r="U1417" s="17" t="str">
        <x:v>true</x:v>
      </x:c>
      <x:c r="V1417" s="17" t="str">
        <x:v>false</x:v>
      </x:c>
    </x:row>
    <x:row r="1418" ht="80" customHeight="1">
      <x:c r="A1418" s="25" t="str">
        <x:v>Jsoup</x:v>
      </x:c>
      <x:c r="B1418" s="25" t="n">
        <x:v>59</x:v>
      </x:c>
      <x:c r="C1418" s="25" t="str">
        <x:v>Round2</x:v>
      </x:c>
      <x:c r="D1418" s="25" t="str">
        <x:v>NOT_REVEALING</x:v>
      </x:c>
      <x:c r="E1418" s="25" t="str">
        <x:v>N/A</x:v>
      </x:c>
      <x:c r="F1418" s="26" t="str">
        <x:v>Same saved validation suite passed on buggy and fixed</x:v>
      </x:c>
      <x:c r="G1418" s="25" t="str">
        <x:v>true</x:v>
      </x:c>
      <x:c r="H1418" s="25" t="str">
        <x:v>NOT_REVEALING</x:v>
      </x:c>
      <x:c r="I1418" s="25" t="str">
        <x:v>PASS</x:v>
      </x:c>
      <x:c r="J1418" s="25" t="str">
        <x:v>PASS</x:v>
      </x:c>
      <x:c r="K1418" s="25" t="n">
        <x:v>1</x:v>
      </x:c>
      <x:c r="L1418" s="27" t="b">
        <x:v>0</x:v>
      </x:c>
      <x:c r="M1418" s="25" t="str">
        <x:v>Deepseek-flash-v4/state/Round2/status/Jsoup_59.json; Deepseek-flash-v4/state/Round2/shards/Jsoup_59.json</x:v>
      </x:c>
      <x:c r="N1418" s="25" t="str">
        <x:v>Deepseek-flash-v4/Result2/Jsoup_59/result.json</x:v>
      </x:c>
      <x:c r="O1418" s="25" t="str">
        <x:v>Deepseek-flash-v4/Result2/Jsoup_59/result.json</x:v>
      </x:c>
      <x:c r="P1418"/>
      <x:c r="Q1418" s="21" t="str"/>
      <x:c r="R1418" s="21" t="str"/>
      <x:c r="S1418" s="21" t="str"/>
      <x:c r="T1418" s="17" t="str">
        <x:v>false</x:v>
      </x:c>
      <x:c r="U1418" s="17" t="str">
        <x:v>true</x:v>
      </x:c>
      <x:c r="V1418" s="17" t="str">
        <x:v>false</x:v>
      </x:c>
    </x:row>
    <x:row r="1419" ht="80" customHeight="1">
      <x:c r="A1419" s="25" t="str">
        <x:v>Jsoup</x:v>
      </x:c>
      <x:c r="B1419" s="25" t="n">
        <x:v>6</x:v>
      </x:c>
      <x:c r="C1419" s="25" t="str">
        <x:v>Round2</x:v>
      </x:c>
      <x:c r="D1419" s="25" t="str">
        <x:v>NOT_AVAILABLE</x:v>
      </x:c>
      <x:c r="E1419" s="25" t="str">
        <x:v>N/A</x:v>
      </x:c>
      <x:c r="F1419" s="26" t="str">
        <x:v>Tests exist but current coverage did not complete</x:v>
      </x:c>
      <x:c r="G1419" s="25" t="str">
        <x:v>true</x:v>
      </x:c>
      <x:c r="H1419" s="25" t="str">
        <x:v>NOT_REVEALING</x:v>
      </x:c>
      <x:c r="I1419" s="25" t="str">
        <x:v>PASS</x:v>
      </x:c>
      <x:c r="J1419" s="25" t="str">
        <x:v>PASS</x:v>
      </x:c>
      <x:c r="K1419" s="25" t="n">
        <x:v>1</x:v>
      </x:c>
      <x:c r="L1419" s="27" t="b">
        <x:v>0</x:v>
      </x:c>
      <x:c r="M1419" s="25" t="str">
        <x:v>Deepseek-flash-v4/state/Round2/status/Jsoup_6.json; Deepseek-flash-v4/state/Round2/shards/Jsoup_6.json</x:v>
      </x:c>
      <x:c r="N1419" s="25" t="str">
        <x:v>Deepseek-flash-v4/Result2/Jsoup_6/result.json</x:v>
      </x:c>
      <x:c r="O1419" s="25" t="str">
        <x:v>Deepseek-flash-v4/Result2/Jsoup_6/result.json</x:v>
      </x:c>
      <x:c r="P1419" t="str">
        <x:v>COVERAGE_UNAVAILABLE</x:v>
      </x:c>
      <x:c r="Q1419" s="21" t="str"/>
      <x:c r="R1419" s="21" t="str"/>
      <x:c r="S1419" s="21" t="str"/>
      <x:c r="T1419" s="17" t="str">
        <x:v>false</x:v>
      </x:c>
      <x:c r="U1419" s="17" t="str">
        <x:v>true</x:v>
      </x:c>
      <x:c r="V1419" s="17" t="str">
        <x:v>true</x:v>
      </x:c>
    </x:row>
    <x:row r="1420" ht="80" customHeight="1">
      <x:c r="A1420" s="25" t="str">
        <x:v>Jsoup</x:v>
      </x:c>
      <x:c r="B1420" s="25" t="n">
        <x:v>60</x:v>
      </x:c>
      <x:c r="C1420" s="25" t="str">
        <x:v>Round2</x:v>
      </x:c>
      <x:c r="D1420" s="25" t="str">
        <x:v>INCONCLUSIVE</x:v>
      </x:c>
      <x:c r="E1420" s="25" t="str">
        <x:v>N/A</x:v>
      </x:c>
      <x:c r="F1420" s="26" t="str">
        <x:v>Fixed also failed; assertion failure cannot be attributed to this bug</x:v>
      </x:c>
      <x:c r="G1420" s="25" t="str">
        <x:v>true</x:v>
      </x:c>
      <x:c r="H1420" s="25" t="str">
        <x:v>INCONCLUSIVE</x:v>
      </x:c>
      <x:c r="I1420" s="25" t="str">
        <x:v>FAIL</x:v>
      </x:c>
      <x:c r="J1420" s="25" t="str">
        <x:v>FAIL</x:v>
      </x:c>
      <x:c r="K1420" s="25" t="n">
        <x:v>2</x:v>
      </x:c>
      <x:c r="L1420" s="27" t="b">
        <x:v>0</x:v>
      </x:c>
      <x:c r="M1420" s="25" t="str">
        <x:v>Deepseek-flash-v4/state/Round2/status/Jsoup_60.json; Deepseek-flash-v4/state/Round2/shards/Jsoup_60.json</x:v>
      </x:c>
      <x:c r="N1420" s="25" t="str">
        <x:v>Deepseek-flash-v4/Result2/Jsoup_60/result.json</x:v>
      </x:c>
      <x:c r="O1420" s="25" t="str">
        <x:v>Deepseek-flash-v4/Result2/Jsoup_60/result.json</x:v>
      </x:c>
      <x:c r="P1420"/>
      <x:c r="Q1420" s="21" t="str"/>
      <x:c r="R1420" s="21" t="str"/>
      <x:c r="S1420" s="21" t="str"/>
      <x:c r="T1420" s="17" t="str">
        <x:v>false</x:v>
      </x:c>
      <x:c r="U1420" s="17" t="str">
        <x:v>true</x:v>
      </x:c>
      <x:c r="V1420" s="17" t="str">
        <x:v>false</x:v>
      </x:c>
    </x:row>
    <x:row r="1421" ht="80" customHeight="1">
      <x:c r="A1421" s="25" t="str">
        <x:v>Jsoup</x:v>
      </x:c>
      <x:c r="B1421" s="25" t="n">
        <x:v>61</x:v>
      </x:c>
      <x:c r="C1421" s="25" t="str">
        <x:v>Round2</x:v>
      </x:c>
      <x:c r="D1421" s="25" t="str">
        <x:v>NOT_AVAILABLE</x:v>
      </x:c>
      <x:c r="E1421" s="25" t="str">
        <x:v>N/A</x:v>
      </x:c>
      <x:c r="F1421" s="26" t="str">
        <x:v>Tests exist but current coverage did not complete</x:v>
      </x:c>
      <x:c r="G1421" s="25" t="str">
        <x:v>true</x:v>
      </x:c>
      <x:c r="H1421" s="25" t="str">
        <x:v>NOT_AVAILABLE</x:v>
      </x:c>
      <x:c r="I1421" s="25" t="str">
        <x:v>NOT_RUN</x:v>
      </x:c>
      <x:c r="J1421" s="25" t="str">
        <x:v>NOT_RUN</x:v>
      </x:c>
      <x:c r="K1421" s="25" t="n">
        <x:v>1</x:v>
      </x:c>
      <x:c r="L1421" s="27" t="b">
        <x:v>0</x:v>
      </x:c>
      <x:c r="M1421" s="25" t="str">
        <x:v>Deepseek-flash-v4/state/Round2/status/Jsoup_61.json; Deepseek-flash-v4/state/Round2/shards/Jsoup_61.json</x:v>
      </x:c>
      <x:c r="N1421" s="25" t="str">
        <x:v>Deepseek-flash-v4/Result2/Jsoup_61/result.json</x:v>
      </x:c>
      <x:c r="O1421" s="25" t="str">
        <x:v>Deepseek-flash-v4/Result2/Jsoup_61/result.json</x:v>
      </x:c>
      <x:c r="P1421" t="str">
        <x:v>BOTH_NOT_RUN</x:v>
      </x:c>
      <x:c r="Q1421" s="21" t="str"/>
      <x:c r="R1421" s="21" t="str"/>
      <x:c r="S1421" s="21" t="str"/>
      <x:c r="T1421" s="17" t="str">
        <x:v>false</x:v>
      </x:c>
      <x:c r="U1421" s="17" t="str">
        <x:v>true</x:v>
      </x:c>
      <x:c r="V1421" s="17" t="str">
        <x:v>false</x:v>
      </x:c>
    </x:row>
    <x:row r="1422" ht="80" customHeight="1">
      <x:c r="A1422" s="25" t="str">
        <x:v>Jsoup</x:v>
      </x:c>
      <x:c r="B1422" s="25" t="n">
        <x:v>62</x:v>
      </x:c>
      <x:c r="C1422" s="25" t="str">
        <x:v>Round2</x:v>
      </x:c>
      <x:c r="D1422" s="25" t="str">
        <x:v>NOT_AVAILABLE</x:v>
      </x:c>
      <x:c r="E1422" s="25" t="str">
        <x:v>N/A</x:v>
      </x:c>
      <x:c r="F1422" s="26" t="str">
        <x:v>Tests exist but current coverage did not complete</x:v>
      </x:c>
      <x:c r="G1422" s="25" t="str">
        <x:v>true</x:v>
      </x:c>
      <x:c r="H1422" s="25" t="str">
        <x:v>NOT_AVAILABLE</x:v>
      </x:c>
      <x:c r="I1422" s="25" t="str">
        <x:v>NOT_RUN</x:v>
      </x:c>
      <x:c r="J1422" s="25" t="str">
        <x:v>NOT_RUN</x:v>
      </x:c>
      <x:c r="K1422" s="25" t="n">
        <x:v>1</x:v>
      </x:c>
      <x:c r="L1422" s="27" t="b">
        <x:v>0</x:v>
      </x:c>
      <x:c r="M1422" s="25" t="str">
        <x:v>Deepseek-flash-v4/state/Round2/status/Jsoup_62.json; Deepseek-flash-v4/state/Round2/shards/Jsoup_62.json</x:v>
      </x:c>
      <x:c r="N1422" s="25" t="str">
        <x:v>Deepseek-flash-v4/Result2/Jsoup_62/result.json</x:v>
      </x:c>
      <x:c r="O1422" s="25" t="str">
        <x:v>Deepseek-flash-v4/Result2/Jsoup_62/result.json</x:v>
      </x:c>
      <x:c r="P1422" t="str">
        <x:v>BOTH_NOT_RUN</x:v>
      </x:c>
      <x:c r="Q1422" s="21" t="str"/>
      <x:c r="R1422" s="21" t="str"/>
      <x:c r="S1422" s="21" t="str"/>
      <x:c r="T1422" s="17" t="str">
        <x:v>false</x:v>
      </x:c>
      <x:c r="U1422" s="17" t="str">
        <x:v>true</x:v>
      </x:c>
      <x:c r="V1422" s="17" t="str">
        <x:v>false</x:v>
      </x:c>
    </x:row>
    <x:row r="1423" ht="80" customHeight="1">
      <x:c r="A1423" s="25" t="str">
        <x:v>Jsoup</x:v>
      </x:c>
      <x:c r="B1423" s="25" t="n">
        <x:v>63</x:v>
      </x:c>
      <x:c r="C1423" s="25" t="str">
        <x:v>Round2</x:v>
      </x:c>
      <x:c r="D1423" s="25" t="str">
        <x:v>NOT_AVAILABLE</x:v>
      </x:c>
      <x:c r="E1423" s="25" t="str">
        <x:v>N/A</x:v>
      </x:c>
      <x:c r="F1423" s="26" t="str">
        <x:v>Tests exist but current coverage did not complete</x:v>
      </x:c>
      <x:c r="G1423" s="25" t="str">
        <x:v>true</x:v>
      </x:c>
      <x:c r="H1423" s="25" t="str">
        <x:v>NOT_AVAILABLE</x:v>
      </x:c>
      <x:c r="I1423" s="25" t="str">
        <x:v>NOT_RUN</x:v>
      </x:c>
      <x:c r="J1423" s="25" t="str">
        <x:v>NOT_RUN</x:v>
      </x:c>
      <x:c r="K1423" s="25" t="n">
        <x:v>2</x:v>
      </x:c>
      <x:c r="L1423" s="27" t="b">
        <x:v>0</x:v>
      </x:c>
      <x:c r="M1423" s="25" t="str">
        <x:v>Deepseek-flash-v4/state/Round2/status/Jsoup_63.json; Deepseek-flash-v4/state/Round2/shards/Jsoup_63.json</x:v>
      </x:c>
      <x:c r="N1423" s="25" t="str">
        <x:v>Deepseek-flash-v4/Result2/Jsoup_63/result.json</x:v>
      </x:c>
      <x:c r="O1423" s="25" t="str">
        <x:v>Deepseek-flash-v4/Result2/Jsoup_63/result.json</x:v>
      </x:c>
      <x:c r="P1423" t="str">
        <x:v>BOTH_NOT_RUN</x:v>
      </x:c>
      <x:c r="Q1423" s="21" t="str"/>
      <x:c r="R1423" s="21" t="str"/>
      <x:c r="S1423" s="21" t="str"/>
      <x:c r="T1423" s="17" t="str">
        <x:v>false</x:v>
      </x:c>
      <x:c r="U1423" s="17" t="str">
        <x:v>true</x:v>
      </x:c>
      <x:c r="V1423" s="17" t="str">
        <x:v>false</x:v>
      </x:c>
    </x:row>
    <x:row r="1424" ht="80" customHeight="1">
      <x:c r="A1424" s="25" t="str">
        <x:v>Jsoup</x:v>
      </x:c>
      <x:c r="B1424" s="25" t="n">
        <x:v>64</x:v>
      </x:c>
      <x:c r="C1424" s="25" t="str">
        <x:v>Round2</x:v>
      </x:c>
      <x:c r="D1424" s="25" t="str">
        <x:v>NOT_AVAILABLE</x:v>
      </x:c>
      <x:c r="E1424" s="25" t="str">
        <x:v>N/A</x:v>
      </x:c>
      <x:c r="F1424" s="26" t="str">
        <x:v>Tests exist but current coverage did not complete</x:v>
      </x:c>
      <x:c r="G1424" s="25" t="str">
        <x:v>true</x:v>
      </x:c>
      <x:c r="H1424" s="25" t="str">
        <x:v>NOT_AVAILABLE</x:v>
      </x:c>
      <x:c r="I1424" s="25" t="str">
        <x:v>NOT_RUN</x:v>
      </x:c>
      <x:c r="J1424" s="25" t="str">
        <x:v>NOT_RUN</x:v>
      </x:c>
      <x:c r="K1424" s="25" t="n">
        <x:v>1</x:v>
      </x:c>
      <x:c r="L1424" s="27" t="b">
        <x:v>0</x:v>
      </x:c>
      <x:c r="M1424" s="25" t="str">
        <x:v>Deepseek-flash-v4/state/Round2/status/Jsoup_64.json; Deepseek-flash-v4/state/Round2/shards/Jsoup_64.json</x:v>
      </x:c>
      <x:c r="N1424" s="25" t="str">
        <x:v>Deepseek-flash-v4/Result2/Jsoup_64/result.json</x:v>
      </x:c>
      <x:c r="O1424" s="25" t="str">
        <x:v>Deepseek-flash-v4/Result2/Jsoup_64/result.json</x:v>
      </x:c>
      <x:c r="P1424" t="str">
        <x:v>BOTH_NOT_RUN</x:v>
      </x:c>
      <x:c r="Q1424" s="21" t="str"/>
      <x:c r="R1424" s="21" t="str"/>
      <x:c r="S1424" s="21" t="str"/>
      <x:c r="T1424" s="17" t="str">
        <x:v>false</x:v>
      </x:c>
      <x:c r="U1424" s="17" t="str">
        <x:v>true</x:v>
      </x:c>
      <x:c r="V1424" s="17" t="str">
        <x:v>false</x:v>
      </x:c>
    </x:row>
    <x:row r="1425" ht="80" customHeight="1">
      <x:c r="A1425" s="25" t="str">
        <x:v>Jsoup</x:v>
      </x:c>
      <x:c r="B1425" s="25" t="n">
        <x:v>65</x:v>
      </x:c>
      <x:c r="C1425" s="25" t="str">
        <x:v>Round2</x:v>
      </x:c>
      <x:c r="D1425" s="25" t="str">
        <x:v>NOT_AVAILABLE</x:v>
      </x:c>
      <x:c r="E1425" s="25" t="str">
        <x:v>N/A</x:v>
      </x:c>
      <x:c r="F1425" s="26" t="str">
        <x:v>Tests exist but current coverage did not complete</x:v>
      </x:c>
      <x:c r="G1425" s="25" t="str">
        <x:v>true</x:v>
      </x:c>
      <x:c r="H1425" s="25" t="str">
        <x:v>NOT_AVAILABLE</x:v>
      </x:c>
      <x:c r="I1425" s="25" t="str">
        <x:v>NOT_RUN</x:v>
      </x:c>
      <x:c r="J1425" s="25" t="str">
        <x:v>NOT_RUN</x:v>
      </x:c>
      <x:c r="K1425" s="25" t="n">
        <x:v>2</x:v>
      </x:c>
      <x:c r="L1425" s="27" t="b">
        <x:v>0</x:v>
      </x:c>
      <x:c r="M1425" s="25" t="str">
        <x:v>Deepseek-flash-v4/state/Round2/status/Jsoup_65.json; Deepseek-flash-v4/state/Round2/shards/Jsoup_65.json</x:v>
      </x:c>
      <x:c r="N1425" s="25" t="str">
        <x:v>Deepseek-flash-v4/Result2/Jsoup_65/result.json</x:v>
      </x:c>
      <x:c r="O1425" s="25" t="str">
        <x:v>Deepseek-flash-v4/Result2/Jsoup_65/result.json</x:v>
      </x:c>
      <x:c r="P1425" t="str">
        <x:v>BOTH_NOT_RUN</x:v>
      </x:c>
      <x:c r="Q1425" s="21" t="str"/>
      <x:c r="R1425" s="21" t="str"/>
      <x:c r="S1425" s="21" t="str"/>
      <x:c r="T1425" s="17" t="str">
        <x:v>false</x:v>
      </x:c>
      <x:c r="U1425" s="17" t="str">
        <x:v>true</x:v>
      </x:c>
      <x:c r="V1425" s="17" t="str">
        <x:v>false</x:v>
      </x:c>
    </x:row>
    <x:row r="1426" ht="80" customHeight="1">
      <x:c r="A1426" s="25" t="str">
        <x:v>Jsoup</x:v>
      </x:c>
      <x:c r="B1426" s="25" t="n">
        <x:v>66</x:v>
      </x:c>
      <x:c r="C1426" s="25" t="str">
        <x:v>Round2</x:v>
      </x:c>
      <x:c r="D1426" s="25" t="str">
        <x:v>NOT_AVAILABLE</x:v>
      </x:c>
      <x:c r="E1426" s="25" t="str">
        <x:v>N/A</x:v>
      </x:c>
      <x:c r="F1426" s="26" t="str">
        <x:v>Tests exist but current coverage did not complete</x:v>
      </x:c>
      <x:c r="G1426" s="25" t="str">
        <x:v>true</x:v>
      </x:c>
      <x:c r="H1426" s="25" t="str">
        <x:v>NOT_AVAILABLE</x:v>
      </x:c>
      <x:c r="I1426" s="25" t="str">
        <x:v>NOT_RUN</x:v>
      </x:c>
      <x:c r="J1426" s="25" t="str">
        <x:v>NOT_RUN</x:v>
      </x:c>
      <x:c r="K1426" s="25" t="n">
        <x:v>1</x:v>
      </x:c>
      <x:c r="L1426" s="27" t="b">
        <x:v>0</x:v>
      </x:c>
      <x:c r="M1426" s="25" t="str">
        <x:v>Deepseek-flash-v4/state/Round2/status/Jsoup_66.json; Deepseek-flash-v4/state/Round2/shards/Jsoup_66.json</x:v>
      </x:c>
      <x:c r="N1426" s="25" t="str">
        <x:v>Deepseek-flash-v4/Result2/Jsoup_66/result.json</x:v>
      </x:c>
      <x:c r="O1426" s="25" t="str">
        <x:v>Deepseek-flash-v4/Result2/Jsoup_66/result.json</x:v>
      </x:c>
      <x:c r="P1426" t="str">
        <x:v>BOTH_NOT_RUN</x:v>
      </x:c>
      <x:c r="Q1426" s="21" t="str"/>
      <x:c r="R1426" s="21" t="str"/>
      <x:c r="S1426" s="21" t="str"/>
      <x:c r="T1426" s="17" t="str">
        <x:v>false</x:v>
      </x:c>
      <x:c r="U1426" s="17" t="str">
        <x:v>true</x:v>
      </x:c>
      <x:c r="V1426" s="17" t="str">
        <x:v>false</x:v>
      </x:c>
    </x:row>
    <x:row r="1427" ht="80" customHeight="1">
      <x:c r="A1427" s="25" t="str">
        <x:v>Jsoup</x:v>
      </x:c>
      <x:c r="B1427" s="25" t="n">
        <x:v>67</x:v>
      </x:c>
      <x:c r="C1427" s="25" t="str">
        <x:v>Round2</x:v>
      </x:c>
      <x:c r="D1427" s="25" t="str">
        <x:v>INCONCLUSIVE</x:v>
      </x:c>
      <x:c r="E1427" s="25" t="str">
        <x:v>N/A</x:v>
      </x:c>
      <x:c r="F1427" s="26" t="str">
        <x:v>Fixed also failed; assertion failure cannot be attributed to this bug</x:v>
      </x:c>
      <x:c r="G1427" s="25" t="str">
        <x:v>true</x:v>
      </x:c>
      <x:c r="H1427" s="25" t="str">
        <x:v>INCONCLUSIVE</x:v>
      </x:c>
      <x:c r="I1427" s="25" t="str">
        <x:v>FAIL</x:v>
      </x:c>
      <x:c r="J1427" s="25" t="str">
        <x:v>FAIL</x:v>
      </x:c>
      <x:c r="K1427" s="25" t="n">
        <x:v>1</x:v>
      </x:c>
      <x:c r="L1427" s="27" t="b">
        <x:v>0</x:v>
      </x:c>
      <x:c r="M1427" s="25" t="str">
        <x:v>Deepseek-flash-v4/state/Round2/status/Jsoup_67.json; Deepseek-flash-v4/state/Round2/shards/Jsoup_67.json</x:v>
      </x:c>
      <x:c r="N1427" s="25" t="str">
        <x:v>Deepseek-flash-v4/Result2/Jsoup_67/result.json</x:v>
      </x:c>
      <x:c r="O1427" s="25" t="str">
        <x:v>Deepseek-flash-v4/Result2/Jsoup_67/result.json</x:v>
      </x:c>
      <x:c r="P1427"/>
      <x:c r="Q1427" s="21" t="str"/>
      <x:c r="R1427" s="21" t="str"/>
      <x:c r="S1427" s="21" t="str"/>
      <x:c r="T1427" s="17" t="str">
        <x:v>false</x:v>
      </x:c>
      <x:c r="U1427" s="17" t="str">
        <x:v>true</x:v>
      </x:c>
      <x:c r="V1427" s="17" t="str">
        <x:v>false</x:v>
      </x:c>
    </x:row>
    <x:row r="1428" ht="80" customHeight="1">
      <x:c r="A1428" s="25" t="str">
        <x:v>Jsoup</x:v>
      </x:c>
      <x:c r="B1428" s="25" t="n">
        <x:v>68</x:v>
      </x:c>
      <x:c r="C1428" s="25" t="str">
        <x:v>Round2</x:v>
      </x:c>
      <x:c r="D1428" s="25" t="str">
        <x:v>NOT_AVAILABLE</x:v>
      </x:c>
      <x:c r="E1428" s="25" t="str">
        <x:v>N/A</x:v>
      </x:c>
      <x:c r="F1428" s="26" t="str">
        <x:v>Tests exist but current coverage did not complete</x:v>
      </x:c>
      <x:c r="G1428" s="25" t="str">
        <x:v>true</x:v>
      </x:c>
      <x:c r="H1428" s="25" t="str">
        <x:v>NOT_AVAILABLE</x:v>
      </x:c>
      <x:c r="I1428" s="25" t="str">
        <x:v>NOT_RUN</x:v>
      </x:c>
      <x:c r="J1428" s="25" t="str">
        <x:v>NOT_RUN</x:v>
      </x:c>
      <x:c r="K1428" s="25" t="n">
        <x:v>1</x:v>
      </x:c>
      <x:c r="L1428" s="27" t="b">
        <x:v>0</x:v>
      </x:c>
      <x:c r="M1428" s="25" t="str">
        <x:v>Deepseek-flash-v4/state/Round2/status/Jsoup_68.json; Deepseek-flash-v4/state/Round2/shards/Jsoup_68.json</x:v>
      </x:c>
      <x:c r="N1428" s="25" t="str">
        <x:v>Deepseek-flash-v4/Result2/Jsoup_68/result.json</x:v>
      </x:c>
      <x:c r="O1428" s="25" t="str">
        <x:v>Deepseek-flash-v4/Result2/Jsoup_68/result.json</x:v>
      </x:c>
      <x:c r="P1428" t="str">
        <x:v>BOTH_NOT_RUN</x:v>
      </x:c>
      <x:c r="Q1428" s="21" t="str"/>
      <x:c r="R1428" s="21" t="str"/>
      <x:c r="S1428" s="21" t="str"/>
      <x:c r="T1428" s="17" t="str">
        <x:v>false</x:v>
      </x:c>
      <x:c r="U1428" s="17" t="str">
        <x:v>true</x:v>
      </x:c>
      <x:c r="V1428" s="17" t="str">
        <x:v>false</x:v>
      </x:c>
    </x:row>
    <x:row r="1429" ht="80" customHeight="1">
      <x:c r="A1429" s="25" t="str">
        <x:v>Jsoup</x:v>
      </x:c>
      <x:c r="B1429" s="25" t="n">
        <x:v>69</x:v>
      </x:c>
      <x:c r="C1429" s="25" t="str">
        <x:v>Round2</x:v>
      </x:c>
      <x:c r="D1429" s="25" t="str">
        <x:v>INCONCLUSIVE</x:v>
      </x:c>
      <x:c r="E1429" s="25" t="str">
        <x:v>N/A</x:v>
      </x:c>
      <x:c r="F1429" s="26" t="str">
        <x:v>Fixed also failed; assertion failure cannot be attributed to this bug; Same-round generation metadata missing; use saved tests and execution evidence, no failure inferred</x:v>
      </x:c>
      <x:c r="G1429" s="25" t="str">
        <x:v>true</x:v>
      </x:c>
      <x:c r="H1429" s="25" t="str">
        <x:v>INCONCLUSIVE</x:v>
      </x:c>
      <x:c r="I1429" s="25" t="str">
        <x:v>FAIL</x:v>
      </x:c>
      <x:c r="J1429" s="25" t="str">
        <x:v>FAIL</x:v>
      </x:c>
      <x:c r="K1429" s="25" t="n">
        <x:v>1</x:v>
      </x:c>
      <x:c r="L1429" s="27" t="b">
        <x:v>0</x:v>
      </x:c>
      <x:c r="M1429" s="25"/>
      <x:c r="N1429" s="25" t="str">
        <x:v>Deepseek-flash-v4/Result2/Jsoup_69/result.json</x:v>
      </x:c>
      <x:c r="O1429" s="25" t="str">
        <x:v>Deepseek-flash-v4/Result2/Jsoup_69/result.json</x:v>
      </x:c>
      <x:c r="P1429"/>
      <x:c r="Q1429" s="21" t="str"/>
      <x:c r="R1429" s="21" t="str"/>
      <x:c r="S1429" s="21" t="str"/>
      <x:c r="T1429" s="17" t="str">
        <x:v>false</x:v>
      </x:c>
      <x:c r="U1429" s="17" t="str">
        <x:v>true</x:v>
      </x:c>
      <x:c r="V1429" s="17" t="str">
        <x:v>false</x:v>
      </x:c>
    </x:row>
    <x:row r="1430" ht="80" customHeight="1">
      <x:c r="A1430" s="25" t="str">
        <x:v>Jsoup</x:v>
      </x:c>
      <x:c r="B1430" s="25" t="n">
        <x:v>7</x:v>
      </x:c>
      <x:c r="C1430" s="25" t="str">
        <x:v>Round2</x:v>
      </x:c>
      <x:c r="D1430" s="25" t="str">
        <x:v>NOT_REVEALING</x:v>
      </x:c>
      <x:c r="E1430" s="25" t="str">
        <x:v>N/A</x:v>
      </x:c>
      <x:c r="F1430" s="26" t="str">
        <x:v>Same saved validation suite passed on buggy and fixed</x:v>
      </x:c>
      <x:c r="G1430" s="25" t="str">
        <x:v>true</x:v>
      </x:c>
      <x:c r="H1430" s="25" t="str">
        <x:v>NOT_REVEALING</x:v>
      </x:c>
      <x:c r="I1430" s="25" t="str">
        <x:v>PASS</x:v>
      </x:c>
      <x:c r="J1430" s="25" t="str">
        <x:v>PASS</x:v>
      </x:c>
      <x:c r="K1430" s="25" t="n">
        <x:v>1</x:v>
      </x:c>
      <x:c r="L1430" s="27" t="b">
        <x:v>0</x:v>
      </x:c>
      <x:c r="M1430" s="25" t="str">
        <x:v>Deepseek-flash-v4/state/Round2/status/Jsoup_7.json; Deepseek-flash-v4/state/Round2/shards/Jsoup_7.json</x:v>
      </x:c>
      <x:c r="N1430" s="25" t="str">
        <x:v>Deepseek-flash-v4/Result2/Jsoup_7/result.json</x:v>
      </x:c>
      <x:c r="O1430" s="25" t="str">
        <x:v>Deepseek-flash-v4/Result2/Jsoup_7/result.json</x:v>
      </x:c>
      <x:c r="P1430"/>
      <x:c r="Q1430" s="21" t="str"/>
      <x:c r="R1430" s="21" t="str"/>
      <x:c r="S1430" s="21" t="str"/>
      <x:c r="T1430" s="17" t="str">
        <x:v>false</x:v>
      </x:c>
      <x:c r="U1430" s="17" t="str">
        <x:v>true</x:v>
      </x:c>
      <x:c r="V1430" s="17" t="str">
        <x:v>false</x:v>
      </x:c>
    </x:row>
    <x:row r="1431" ht="80" customHeight="1">
      <x:c r="A1431" s="25" t="str">
        <x:v>Jsoup</x:v>
      </x:c>
      <x:c r="B1431" s="25" t="n">
        <x:v>70</x:v>
      </x:c>
      <x:c r="C1431" s="25" t="str">
        <x:v>Round2</x:v>
      </x:c>
      <x:c r="D1431" s="25" t="str">
        <x:v>NOT_AVAILABLE</x:v>
      </x:c>
      <x:c r="E1431" s="25" t="str">
        <x:v>N/A</x:v>
      </x:c>
      <x:c r="F1431" s="26" t="str">
        <x:v>Tests exist but current coverage did not complete</x:v>
      </x:c>
      <x:c r="G1431" s="25" t="str">
        <x:v>true</x:v>
      </x:c>
      <x:c r="H1431" s="25" t="str">
        <x:v>NOT_AVAILABLE</x:v>
      </x:c>
      <x:c r="I1431" s="25" t="str">
        <x:v>NOT_RUN</x:v>
      </x:c>
      <x:c r="J1431" s="25" t="str">
        <x:v>NOT_RUN</x:v>
      </x:c>
      <x:c r="K1431" s="25" t="n">
        <x:v>1</x:v>
      </x:c>
      <x:c r="L1431" s="27" t="b">
        <x:v>0</x:v>
      </x:c>
      <x:c r="M1431" s="25" t="str">
        <x:v>Deepseek-flash-v4/state/Round2/status/Jsoup_70.json; Deepseek-flash-v4/state/Round2/shards/Jsoup_70.json</x:v>
      </x:c>
      <x:c r="N1431" s="25" t="str">
        <x:v>Deepseek-flash-v4/Result2/Jsoup_70/result.json</x:v>
      </x:c>
      <x:c r="O1431" s="25" t="str">
        <x:v>Deepseek-flash-v4/Result2/Jsoup_70/result.json</x:v>
      </x:c>
      <x:c r="P1431" t="str">
        <x:v>BOTH_NOT_RUN</x:v>
      </x:c>
      <x:c r="Q1431" s="21" t="str"/>
      <x:c r="R1431" s="21" t="str"/>
      <x:c r="S1431" s="21" t="str"/>
      <x:c r="T1431" s="17" t="str">
        <x:v>false</x:v>
      </x:c>
      <x:c r="U1431" s="17" t="str">
        <x:v>true</x:v>
      </x:c>
      <x:c r="V1431" s="17" t="str">
        <x:v>false</x:v>
      </x:c>
    </x:row>
    <x:row r="1432" ht="80" customHeight="1">
      <x:c r="A1432" s="25" t="str">
        <x:v>Jsoup</x:v>
      </x:c>
      <x:c r="B1432" s="25" t="n">
        <x:v>71</x:v>
      </x:c>
      <x:c r="C1432" s="25" t="str">
        <x:v>Round2</x:v>
      </x:c>
      <x:c r="D1432" s="25" t="str">
        <x:v>INCONCLUSIVE</x:v>
      </x:c>
      <x:c r="E1432" s="25" t="str">
        <x:v>N/A</x:v>
      </x:c>
      <x:c r="F1432" s="26" t="str">
        <x:v>Fixed also failed; assertion failure cannot be attributed to this bug</x:v>
      </x:c>
      <x:c r="G1432" s="25" t="str">
        <x:v>true</x:v>
      </x:c>
      <x:c r="H1432" s="25" t="str">
        <x:v>INCONCLUSIVE</x:v>
      </x:c>
      <x:c r="I1432" s="25" t="str">
        <x:v>FAIL</x:v>
      </x:c>
      <x:c r="J1432" s="25" t="str">
        <x:v>FAIL</x:v>
      </x:c>
      <x:c r="K1432" s="25" t="n">
        <x:v>2</x:v>
      </x:c>
      <x:c r="L1432" s="27" t="b">
        <x:v>0</x:v>
      </x:c>
      <x:c r="M1432" s="25" t="str">
        <x:v>Deepseek-flash-v4/state/Round2/status/Jsoup_71.json; Deepseek-flash-v4/state/Round2/shards/Jsoup_71.json</x:v>
      </x:c>
      <x:c r="N1432" s="25" t="str">
        <x:v>Deepseek-flash-v4/Result2/Jsoup_71/result.json</x:v>
      </x:c>
      <x:c r="O1432" s="25" t="str">
        <x:v>Deepseek-flash-v4/Result2/Jsoup_71/result.json</x:v>
      </x:c>
      <x:c r="P1432"/>
      <x:c r="Q1432" s="21" t="str"/>
      <x:c r="R1432" s="21" t="str"/>
      <x:c r="S1432" s="21" t="str"/>
      <x:c r="T1432" s="17" t="str">
        <x:v>false</x:v>
      </x:c>
      <x:c r="U1432" s="17" t="str">
        <x:v>true</x:v>
      </x:c>
      <x:c r="V1432" s="17" t="str">
        <x:v>false</x:v>
      </x:c>
    </x:row>
    <x:row r="1433" ht="80" customHeight="1">
      <x:c r="A1433" s="25" t="str">
        <x:v>Jsoup</x:v>
      </x:c>
      <x:c r="B1433" s="25" t="n">
        <x:v>72</x:v>
      </x:c>
      <x:c r="C1433" s="25" t="str">
        <x:v>Round2</x:v>
      </x:c>
      <x:c r="D1433" s="25" t="str">
        <x:v>INCONCLUSIVE</x:v>
      </x:c>
      <x:c r="E1433" s="25" t="str">
        <x:v>N/A</x:v>
      </x:c>
      <x:c r="F1433" s="26" t="str">
        <x:v>Fixed also failed; assertion failure cannot be attributed to this bug; Same-round generation metadata missing; use saved tests and execution evidence, no failure inferred</x:v>
      </x:c>
      <x:c r="G1433" s="25" t="str">
        <x:v>true</x:v>
      </x:c>
      <x:c r="H1433" s="25" t="str">
        <x:v>INCONCLUSIVE</x:v>
      </x:c>
      <x:c r="I1433" s="25" t="str">
        <x:v>FAIL</x:v>
      </x:c>
      <x:c r="J1433" s="25" t="str">
        <x:v>FAIL</x:v>
      </x:c>
      <x:c r="K1433" s="25" t="n">
        <x:v>1</x:v>
      </x:c>
      <x:c r="L1433" s="27" t="b">
        <x:v>0</x:v>
      </x:c>
      <x:c r="M1433" s="25"/>
      <x:c r="N1433" s="25" t="str">
        <x:v>Deepseek-flash-v4/Result2/Jsoup_72/result.json</x:v>
      </x:c>
      <x:c r="O1433" s="25" t="str">
        <x:v>Deepseek-flash-v4/Result2/Jsoup_72/result.json</x:v>
      </x:c>
      <x:c r="P1433"/>
      <x:c r="Q1433" s="21" t="str"/>
      <x:c r="R1433" s="21" t="str"/>
      <x:c r="S1433" s="21" t="str"/>
      <x:c r="T1433" s="17" t="str">
        <x:v>false</x:v>
      </x:c>
      <x:c r="U1433" s="17" t="str">
        <x:v>true</x:v>
      </x:c>
      <x:c r="V1433" s="17" t="str">
        <x:v>false</x:v>
      </x:c>
    </x:row>
    <x:row r="1434" ht="80" customHeight="1">
      <x:c r="A1434" s="25" t="str">
        <x:v>Jsoup</x:v>
      </x:c>
      <x:c r="B1434" s="25" t="n">
        <x:v>73</x:v>
      </x:c>
      <x:c r="C1434" s="25" t="str">
        <x:v>Round2</x:v>
      </x:c>
      <x:c r="D1434" s="25" t="str">
        <x:v>NOT_REVEALING</x:v>
      </x:c>
      <x:c r="E1434" s="25" t="str">
        <x:v>N/A</x:v>
      </x:c>
      <x:c r="F1434" s="26" t="str">
        <x:v>Same saved validation suite passed on buggy and fixed</x:v>
      </x:c>
      <x:c r="G1434" s="25" t="str">
        <x:v>true</x:v>
      </x:c>
      <x:c r="H1434" s="25" t="str">
        <x:v>NOT_REVEALING</x:v>
      </x:c>
      <x:c r="I1434" s="25" t="str">
        <x:v>PASS</x:v>
      </x:c>
      <x:c r="J1434" s="25" t="str">
        <x:v>PASS</x:v>
      </x:c>
      <x:c r="K1434" s="25" t="n">
        <x:v>1</x:v>
      </x:c>
      <x:c r="L1434" s="27" t="b">
        <x:v>0</x:v>
      </x:c>
      <x:c r="M1434" s="25" t="str">
        <x:v>Deepseek-flash-v4/state/Round2/status/Jsoup_73.json; Deepseek-flash-v4/state/Round2/shards/Jsoup_73.json</x:v>
      </x:c>
      <x:c r="N1434" s="25" t="str">
        <x:v>Deepseek-flash-v4/Result2/Jsoup_73/result.json</x:v>
      </x:c>
      <x:c r="O1434" s="25" t="str">
        <x:v>Deepseek-flash-v4/Result2/Jsoup_73/result.json</x:v>
      </x:c>
      <x:c r="P1434"/>
      <x:c r="Q1434" s="21" t="str"/>
      <x:c r="R1434" s="21" t="str"/>
      <x:c r="S1434" s="21" t="str"/>
      <x:c r="T1434" s="17" t="str">
        <x:v>false</x:v>
      </x:c>
      <x:c r="U1434" s="17" t="str">
        <x:v>true</x:v>
      </x:c>
      <x:c r="V1434" s="17" t="str">
        <x:v>false</x:v>
      </x:c>
    </x:row>
    <x:row r="1435" ht="80" customHeight="1">
      <x:c r="A1435" s="25" t="str">
        <x:v>Jsoup</x:v>
      </x:c>
      <x:c r="B1435" s="25" t="n">
        <x:v>74</x:v>
      </x:c>
      <x:c r="C1435" s="25" t="str">
        <x:v>Round2</x:v>
      </x:c>
      <x:c r="D1435" s="25" t="str">
        <x:v>INCONCLUSIVE</x:v>
      </x:c>
      <x:c r="E1435" s="25" t="str">
        <x:v>N/A</x:v>
      </x:c>
      <x:c r="F1435" s="26" t="str">
        <x:v>Fixed also failed; assertion failure cannot be attributed to this bug; Same-round generation metadata missing; use saved tests and execution evidence, no failure inferred</x:v>
      </x:c>
      <x:c r="G1435" s="25" t="str">
        <x:v>true</x:v>
      </x:c>
      <x:c r="H1435" s="25" t="str">
        <x:v>INCONCLUSIVE</x:v>
      </x:c>
      <x:c r="I1435" s="25" t="str">
        <x:v>FAIL</x:v>
      </x:c>
      <x:c r="J1435" s="25" t="str">
        <x:v>FAIL</x:v>
      </x:c>
      <x:c r="K1435" s="25" t="n">
        <x:v>1</x:v>
      </x:c>
      <x:c r="L1435" s="27" t="b">
        <x:v>0</x:v>
      </x:c>
      <x:c r="M1435" s="25"/>
      <x:c r="N1435" s="25" t="str">
        <x:v>Deepseek-flash-v4/Result2/Jsoup_74/result.json</x:v>
      </x:c>
      <x:c r="O1435" s="25" t="str">
        <x:v>Deepseek-flash-v4/Result2/Jsoup_74/result.json</x:v>
      </x:c>
      <x:c r="P1435"/>
      <x:c r="Q1435" s="21" t="str"/>
      <x:c r="R1435" s="21" t="str"/>
      <x:c r="S1435" s="21" t="str"/>
      <x:c r="T1435" s="17" t="str">
        <x:v>false</x:v>
      </x:c>
      <x:c r="U1435" s="17" t="str">
        <x:v>true</x:v>
      </x:c>
      <x:c r="V1435" s="17" t="str">
        <x:v>false</x:v>
      </x:c>
    </x:row>
    <x:row r="1436" ht="80" customHeight="1">
      <x:c r="A1436" s="25" t="str">
        <x:v>Jsoup</x:v>
      </x:c>
      <x:c r="B1436" s="25" t="n">
        <x:v>75</x:v>
      </x:c>
      <x:c r="C1436" s="25" t="str">
        <x:v>Round2</x:v>
      </x:c>
      <x:c r="D1436" s="25" t="str">
        <x:v>INCONCLUSIVE</x:v>
      </x:c>
      <x:c r="E1436" s="25" t="str">
        <x:v>N/A</x:v>
      </x:c>
      <x:c r="F1436" s="26" t="str">
        <x:v>Fixed also failed; assertion failure cannot be attributed to this bug; Same-round generation metadata missing; use saved tests and execution evidence, no failure inferred</x:v>
      </x:c>
      <x:c r="G1436" s="25" t="str">
        <x:v>true</x:v>
      </x:c>
      <x:c r="H1436" s="25" t="str">
        <x:v>INCONCLUSIVE</x:v>
      </x:c>
      <x:c r="I1436" s="25" t="str">
        <x:v>FAIL</x:v>
      </x:c>
      <x:c r="J1436" s="25" t="str">
        <x:v>FAIL</x:v>
      </x:c>
      <x:c r="K1436" s="25" t="n">
        <x:v>1</x:v>
      </x:c>
      <x:c r="L1436" s="27" t="b">
        <x:v>0</x:v>
      </x:c>
      <x:c r="M1436" s="25"/>
      <x:c r="N1436" s="25" t="str">
        <x:v>Deepseek-flash-v4/Result2/Jsoup_75/result.json</x:v>
      </x:c>
      <x:c r="O1436" s="25" t="str">
        <x:v>Deepseek-flash-v4/Result2/Jsoup_75/result.json</x:v>
      </x:c>
      <x:c r="P1436"/>
      <x:c r="Q1436" s="21" t="str"/>
      <x:c r="R1436" s="21" t="str"/>
      <x:c r="S1436" s="21" t="str"/>
      <x:c r="T1436" s="17" t="str">
        <x:v>false</x:v>
      </x:c>
      <x:c r="U1436" s="17" t="str">
        <x:v>true</x:v>
      </x:c>
      <x:c r="V1436" s="17" t="str">
        <x:v>false</x:v>
      </x:c>
    </x:row>
    <x:row r="1437" ht="80" customHeight="1">
      <x:c r="A1437" s="25" t="str">
        <x:v>Jsoup</x:v>
      </x:c>
      <x:c r="B1437" s="25" t="n">
        <x:v>76</x:v>
      </x:c>
      <x:c r="C1437" s="25" t="str">
        <x:v>Round2</x:v>
      </x:c>
      <x:c r="D1437" s="25" t="str">
        <x:v>NOT_AVAILABLE</x:v>
      </x:c>
      <x:c r="E1437" s="25" t="str">
        <x:v>N/A</x:v>
      </x:c>
      <x:c r="F1437" s="26" t="str">
        <x:v>Tests exist but current coverage did not complete</x:v>
      </x:c>
      <x:c r="G1437" s="25" t="str">
        <x:v>true</x:v>
      </x:c>
      <x:c r="H1437" s="25" t="str">
        <x:v>NOT_AVAILABLE</x:v>
      </x:c>
      <x:c r="I1437" s="25" t="str">
        <x:v>NOT_RUN</x:v>
      </x:c>
      <x:c r="J1437" s="25" t="str">
        <x:v>NOT_RUN</x:v>
      </x:c>
      <x:c r="K1437" s="25" t="n">
        <x:v>1</x:v>
      </x:c>
      <x:c r="L1437" s="27" t="b">
        <x:v>0</x:v>
      </x:c>
      <x:c r="M1437" s="25" t="str">
        <x:v>Deepseek-flash-v4/state/Round2/status/Jsoup_76.json; Deepseek-flash-v4/state/Round2/shards/Jsoup_76.json</x:v>
      </x:c>
      <x:c r="N1437" s="25" t="str">
        <x:v>Deepseek-flash-v4/Result2/Jsoup_76/result.json</x:v>
      </x:c>
      <x:c r="O1437" s="25" t="str">
        <x:v>Deepseek-flash-v4/Result2/Jsoup_76/result.json</x:v>
      </x:c>
      <x:c r="P1437" t="str">
        <x:v>BOTH_NOT_RUN</x:v>
      </x:c>
      <x:c r="Q1437" s="21" t="str"/>
      <x:c r="R1437" s="21" t="str"/>
      <x:c r="S1437" s="21" t="str"/>
      <x:c r="T1437" s="17" t="str">
        <x:v>false</x:v>
      </x:c>
      <x:c r="U1437" s="17" t="str">
        <x:v>true</x:v>
      </x:c>
      <x:c r="V1437" s="17" t="str">
        <x:v>false</x:v>
      </x:c>
    </x:row>
    <x:row r="1438" ht="80" customHeight="1">
      <x:c r="A1438" s="25" t="str">
        <x:v>Jsoup</x:v>
      </x:c>
      <x:c r="B1438" s="25" t="n">
        <x:v>77</x:v>
      </x:c>
      <x:c r="C1438" s="25" t="str">
        <x:v>Round2</x:v>
      </x:c>
      <x:c r="D1438" s="25" t="str">
        <x:v>NOT_REVEALING</x:v>
      </x:c>
      <x:c r="E1438" s="25" t="str">
        <x:v>N/A</x:v>
      </x:c>
      <x:c r="F1438" s="26" t="str">
        <x:v>Same saved validation suite passed on buggy and fixed</x:v>
      </x:c>
      <x:c r="G1438" s="25" t="str">
        <x:v>true</x:v>
      </x:c>
      <x:c r="H1438" s="25" t="str">
        <x:v>NOT_REVEALING</x:v>
      </x:c>
      <x:c r="I1438" s="25" t="str">
        <x:v>PASS</x:v>
      </x:c>
      <x:c r="J1438" s="25" t="str">
        <x:v>PASS</x:v>
      </x:c>
      <x:c r="K1438" s="25" t="n">
        <x:v>1</x:v>
      </x:c>
      <x:c r="L1438" s="27" t="b">
        <x:v>0</x:v>
      </x:c>
      <x:c r="M1438" s="25" t="str">
        <x:v>Deepseek-flash-v4/state/Round2/status/Jsoup_77.json; Deepseek-flash-v4/state/Round2/shards/Jsoup_77.json</x:v>
      </x:c>
      <x:c r="N1438" s="25" t="str">
        <x:v>Deepseek-flash-v4/Result2/Jsoup_77/result.json</x:v>
      </x:c>
      <x:c r="O1438" s="25" t="str">
        <x:v>Deepseek-flash-v4/Result2/Jsoup_77/result.json</x:v>
      </x:c>
      <x:c r="P1438"/>
      <x:c r="Q1438" s="21" t="str"/>
      <x:c r="R1438" s="21" t="str"/>
      <x:c r="S1438" s="21" t="str"/>
      <x:c r="T1438" s="17" t="str">
        <x:v>false</x:v>
      </x:c>
      <x:c r="U1438" s="17" t="str">
        <x:v>true</x:v>
      </x:c>
      <x:c r="V1438" s="17" t="str">
        <x:v>false</x:v>
      </x:c>
    </x:row>
    <x:row r="1439" ht="80" customHeight="1">
      <x:c r="A1439" s="25" t="str">
        <x:v>Jsoup</x:v>
      </x:c>
      <x:c r="B1439" s="25" t="n">
        <x:v>78</x:v>
      </x:c>
      <x:c r="C1439" s="25" t="str">
        <x:v>Round2</x:v>
      </x:c>
      <x:c r="D1439" s="25" t="str">
        <x:v>INCONCLUSIVE</x:v>
      </x:c>
      <x:c r="E1439" s="25" t="str">
        <x:v>N/A</x:v>
      </x:c>
      <x:c r="F1439" s="26" t="str">
        <x:v>Fixed also failed; assertion failure cannot be attributed to this bug; Same-round generation metadata missing; use saved tests and execution evidence, no failure inferred</x:v>
      </x:c>
      <x:c r="G1439" s="25" t="str">
        <x:v>true</x:v>
      </x:c>
      <x:c r="H1439" s="25" t="str">
        <x:v>INCONCLUSIVE</x:v>
      </x:c>
      <x:c r="I1439" s="25" t="str">
        <x:v>FAIL</x:v>
      </x:c>
      <x:c r="J1439" s="25" t="str">
        <x:v>FAIL</x:v>
      </x:c>
      <x:c r="K1439" s="25" t="n">
        <x:v>1</x:v>
      </x:c>
      <x:c r="L1439" s="27" t="b">
        <x:v>0</x:v>
      </x:c>
      <x:c r="M1439" s="25"/>
      <x:c r="N1439" s="25" t="str">
        <x:v>Deepseek-flash-v4/Result2/Jsoup_78/result.json</x:v>
      </x:c>
      <x:c r="O1439" s="25" t="str">
        <x:v>Deepseek-flash-v4/Result2/Jsoup_78/result.json</x:v>
      </x:c>
      <x:c r="P1439"/>
      <x:c r="Q1439" s="21" t="str"/>
      <x:c r="R1439" s="21" t="str"/>
      <x:c r="S1439" s="21" t="str"/>
      <x:c r="T1439" s="17" t="str">
        <x:v>false</x:v>
      </x:c>
      <x:c r="U1439" s="17" t="str">
        <x:v>true</x:v>
      </x:c>
      <x:c r="V1439" s="17" t="str">
        <x:v>false</x:v>
      </x:c>
    </x:row>
    <x:row r="1440" ht="80" customHeight="1">
      <x:c r="A1440" s="25" t="str">
        <x:v>Jsoup</x:v>
      </x:c>
      <x:c r="B1440" s="25" t="n">
        <x:v>79</x:v>
      </x:c>
      <x:c r="C1440" s="25" t="str">
        <x:v>Round2</x:v>
      </x:c>
      <x:c r="D1440" s="25" t="str">
        <x:v>NOT_AVAILABLE</x:v>
      </x:c>
      <x:c r="E1440" s="25" t="str">
        <x:v>N/A</x:v>
      </x:c>
      <x:c r="F1440" s="26" t="str">
        <x:v>Tests exist but current coverage did not complete</x:v>
      </x:c>
      <x:c r="G1440" s="25" t="str">
        <x:v>true</x:v>
      </x:c>
      <x:c r="H1440" s="25" t="str">
        <x:v>NOT_AVAILABLE</x:v>
      </x:c>
      <x:c r="I1440" s="25" t="str">
        <x:v>NOT_RUN</x:v>
      </x:c>
      <x:c r="J1440" s="25" t="str">
        <x:v>NOT_RUN</x:v>
      </x:c>
      <x:c r="K1440" s="25" t="n">
        <x:v>1</x:v>
      </x:c>
      <x:c r="L1440" s="27" t="b">
        <x:v>0</x:v>
      </x:c>
      <x:c r="M1440" s="25" t="str">
        <x:v>Deepseek-flash-v4/state/Round2/status/Jsoup_79.json; Deepseek-flash-v4/state/Round2/shards/Jsoup_79.json</x:v>
      </x:c>
      <x:c r="N1440" s="25" t="str">
        <x:v>Deepseek-flash-v4/Result2/Jsoup_79/result.json</x:v>
      </x:c>
      <x:c r="O1440" s="25" t="str">
        <x:v>Deepseek-flash-v4/Result2/Jsoup_79/result.json</x:v>
      </x:c>
      <x:c r="P1440" t="str">
        <x:v>BOTH_NOT_RUN</x:v>
      </x:c>
      <x:c r="Q1440" s="21" t="str"/>
      <x:c r="R1440" s="21" t="str"/>
      <x:c r="S1440" s="21" t="str"/>
      <x:c r="T1440" s="17" t="str">
        <x:v>false</x:v>
      </x:c>
      <x:c r="U1440" s="17" t="str">
        <x:v>true</x:v>
      </x:c>
      <x:c r="V1440" s="17" t="str">
        <x:v>false</x:v>
      </x:c>
    </x:row>
    <x:row r="1441" ht="80" customHeight="1">
      <x:c r="A1441" s="25" t="str">
        <x:v>Jsoup</x:v>
      </x:c>
      <x:c r="B1441" s="25" t="n">
        <x:v>8</x:v>
      </x:c>
      <x:c r="C1441" s="25" t="str">
        <x:v>Round2</x:v>
      </x:c>
      <x:c r="D1441" s="25" t="str">
        <x:v>INCONCLUSIVE</x:v>
      </x:c>
      <x:c r="E1441" s="25" t="str">
        <x:v>N/A</x:v>
      </x:c>
      <x:c r="F1441" s="26" t="str">
        <x:v>Fixed also failed; assertion failure cannot be attributed to this bug</x:v>
      </x:c>
      <x:c r="G1441" s="25" t="str">
        <x:v>true</x:v>
      </x:c>
      <x:c r="H1441" s="25" t="str">
        <x:v>INCONCLUSIVE</x:v>
      </x:c>
      <x:c r="I1441" s="25" t="str">
        <x:v>FAIL</x:v>
      </x:c>
      <x:c r="J1441" s="25" t="str">
        <x:v>FAIL</x:v>
      </x:c>
      <x:c r="K1441" s="25" t="n">
        <x:v>1</x:v>
      </x:c>
      <x:c r="L1441" s="27" t="b">
        <x:v>0</x:v>
      </x:c>
      <x:c r="M1441" s="25" t="str">
        <x:v>Deepseek-flash-v4/state/Round2/status/Jsoup_8.json; Deepseek-flash-v4/state/Round2/shards/Jsoup_8.json</x:v>
      </x:c>
      <x:c r="N1441" s="25" t="str">
        <x:v>Deepseek-flash-v4/Result2/Jsoup_8/result.json</x:v>
      </x:c>
      <x:c r="O1441" s="25" t="str">
        <x:v>Deepseek-flash-v4/Result2/Jsoup_8/result.json</x:v>
      </x:c>
      <x:c r="P1441"/>
      <x:c r="Q1441" s="21" t="str"/>
      <x:c r="R1441" s="21" t="str"/>
      <x:c r="S1441" s="21" t="str"/>
      <x:c r="T1441" s="17" t="str">
        <x:v>false</x:v>
      </x:c>
      <x:c r="U1441" s="17" t="str">
        <x:v>true</x:v>
      </x:c>
      <x:c r="V1441" s="17" t="str">
        <x:v>false</x:v>
      </x:c>
    </x:row>
    <x:row r="1442" ht="80" customHeight="1">
      <x:c r="A1442" s="25" t="str">
        <x:v>Jsoup</x:v>
      </x:c>
      <x:c r="B1442" s="25" t="n">
        <x:v>80</x:v>
      </x:c>
      <x:c r="C1442" s="25" t="str">
        <x:v>Round2</x:v>
      </x:c>
      <x:c r="D1442" s="25" t="str">
        <x:v>NOT_AVAILABLE</x:v>
      </x:c>
      <x:c r="E1442" s="25" t="str">
        <x:v>N/A</x:v>
      </x:c>
      <x:c r="F1442" s="26" t="str">
        <x:v>Tests exist but current coverage did not complete</x:v>
      </x:c>
      <x:c r="G1442" s="25" t="str">
        <x:v>true</x:v>
      </x:c>
      <x:c r="H1442" s="25" t="str">
        <x:v>NOT_AVAILABLE</x:v>
      </x:c>
      <x:c r="I1442" s="25" t="str">
        <x:v>NOT_RUN</x:v>
      </x:c>
      <x:c r="J1442" s="25" t="str">
        <x:v>NOT_RUN</x:v>
      </x:c>
      <x:c r="K1442" s="25" t="n">
        <x:v>1</x:v>
      </x:c>
      <x:c r="L1442" s="27" t="b">
        <x:v>0</x:v>
      </x:c>
      <x:c r="M1442" s="25" t="str">
        <x:v>Deepseek-flash-v4/state/Round2/status/Jsoup_80.json; Deepseek-flash-v4/state/Round2/shards/Jsoup_80.json</x:v>
      </x:c>
      <x:c r="N1442" s="25" t="str">
        <x:v>Deepseek-flash-v4/Result2/Jsoup_80/result.json</x:v>
      </x:c>
      <x:c r="O1442" s="25" t="str">
        <x:v>Deepseek-flash-v4/Result2/Jsoup_80/result.json</x:v>
      </x:c>
      <x:c r="P1442" t="str">
        <x:v>BOTH_NOT_RUN</x:v>
      </x:c>
      <x:c r="Q1442" s="21" t="str"/>
      <x:c r="R1442" s="21" t="str"/>
      <x:c r="S1442" s="21" t="str"/>
      <x:c r="T1442" s="17" t="str">
        <x:v>false</x:v>
      </x:c>
      <x:c r="U1442" s="17" t="str">
        <x:v>true</x:v>
      </x:c>
      <x:c r="V1442" s="17" t="str">
        <x:v>false</x:v>
      </x:c>
    </x:row>
    <x:row r="1443" ht="80" customHeight="1">
      <x:c r="A1443" s="25" t="str">
        <x:v>Jsoup</x:v>
      </x:c>
      <x:c r="B1443" s="25" t="n">
        <x:v>81</x:v>
      </x:c>
      <x:c r="C1443" s="25" t="str">
        <x:v>Round2</x:v>
      </x:c>
      <x:c r="D1443" s="25" t="str">
        <x:v>NOT_REVEALING</x:v>
      </x:c>
      <x:c r="E1443" s="25" t="str">
        <x:v>N/A</x:v>
      </x:c>
      <x:c r="F1443" s="26" t="str">
        <x:v>Same saved validation suite passed on buggy and fixed</x:v>
      </x:c>
      <x:c r="G1443" s="25" t="str">
        <x:v>true</x:v>
      </x:c>
      <x:c r="H1443" s="25" t="str">
        <x:v>NOT_REVEALING</x:v>
      </x:c>
      <x:c r="I1443" s="25" t="str">
        <x:v>PASS</x:v>
      </x:c>
      <x:c r="J1443" s="25" t="str">
        <x:v>PASS</x:v>
      </x:c>
      <x:c r="K1443" s="25" t="n">
        <x:v>1</x:v>
      </x:c>
      <x:c r="L1443" s="27" t="b">
        <x:v>0</x:v>
      </x:c>
      <x:c r="M1443" s="25" t="str">
        <x:v>Deepseek-flash-v4/state/Round2/status/Jsoup_81.json; Deepseek-flash-v4/state/Round2/shards/Jsoup_81.json</x:v>
      </x:c>
      <x:c r="N1443" s="25" t="str">
        <x:v>Deepseek-flash-v4/Result2/Jsoup_81/result.json</x:v>
      </x:c>
      <x:c r="O1443" s="25" t="str">
        <x:v>Deepseek-flash-v4/Result2/Jsoup_81/result.json</x:v>
      </x:c>
      <x:c r="P1443"/>
      <x:c r="Q1443" s="21" t="str"/>
      <x:c r="R1443" s="21" t="str"/>
      <x:c r="S1443" s="21" t="str"/>
      <x:c r="T1443" s="17" t="str">
        <x:v>false</x:v>
      </x:c>
      <x:c r="U1443" s="17" t="str">
        <x:v>true</x:v>
      </x:c>
      <x:c r="V1443" s="17" t="str">
        <x:v>false</x:v>
      </x:c>
    </x:row>
    <x:row r="1444" ht="80" customHeight="1">
      <x:c r="A1444" s="25" t="str">
        <x:v>Jsoup</x:v>
      </x:c>
      <x:c r="B1444" s="25" t="n">
        <x:v>82</x:v>
      </x:c>
      <x:c r="C1444" s="25" t="str">
        <x:v>Round2</x:v>
      </x:c>
      <x:c r="D1444" s="25" t="str">
        <x:v>INCONCLUSIVE</x:v>
      </x:c>
      <x:c r="E1444" s="25" t="str">
        <x:v>N/A</x:v>
      </x:c>
      <x:c r="F1444" s="26" t="str">
        <x:v>Fixed also failed; assertion failure cannot be attributed to this bug; Same-round generation metadata missing; use saved tests and execution evidence, no failure inferred</x:v>
      </x:c>
      <x:c r="G1444" s="25" t="str">
        <x:v>true</x:v>
      </x:c>
      <x:c r="H1444" s="25" t="str">
        <x:v>INCONCLUSIVE</x:v>
      </x:c>
      <x:c r="I1444" s="25" t="str">
        <x:v>FAIL</x:v>
      </x:c>
      <x:c r="J1444" s="25" t="str">
        <x:v>FAIL</x:v>
      </x:c>
      <x:c r="K1444" s="25" t="n">
        <x:v>1</x:v>
      </x:c>
      <x:c r="L1444" s="27" t="b">
        <x:v>0</x:v>
      </x:c>
      <x:c r="M1444" s="25"/>
      <x:c r="N1444" s="25" t="str">
        <x:v>Deepseek-flash-v4/Result2/Jsoup_82/result.json</x:v>
      </x:c>
      <x:c r="O1444" s="25" t="str">
        <x:v>Deepseek-flash-v4/Result2/Jsoup_82/result.json</x:v>
      </x:c>
      <x:c r="P1444"/>
      <x:c r="Q1444" s="21" t="str"/>
      <x:c r="R1444" s="21" t="str"/>
      <x:c r="S1444" s="21" t="str"/>
      <x:c r="T1444" s="17" t="str">
        <x:v>false</x:v>
      </x:c>
      <x:c r="U1444" s="17" t="str">
        <x:v>true</x:v>
      </x:c>
      <x:c r="V1444" s="17" t="str">
        <x:v>false</x:v>
      </x:c>
    </x:row>
    <x:row r="1445" ht="80" customHeight="1">
      <x:c r="A1445" s="25" t="str">
        <x:v>Jsoup</x:v>
      </x:c>
      <x:c r="B1445" s="25" t="n">
        <x:v>83</x:v>
      </x:c>
      <x:c r="C1445" s="25" t="str">
        <x:v>Round2</x:v>
      </x:c>
      <x:c r="D1445" s="25" t="str">
        <x:v>NOT_AVAILABLE</x:v>
      </x:c>
      <x:c r="E1445" s="25" t="str">
        <x:v>N/A</x:v>
      </x:c>
      <x:c r="F1445" s="26" t="str">
        <x:v>Tests exist but current coverage did not complete</x:v>
      </x:c>
      <x:c r="G1445" s="25" t="str">
        <x:v>true</x:v>
      </x:c>
      <x:c r="H1445" s="25" t="str">
        <x:v>NOT_AVAILABLE</x:v>
      </x:c>
      <x:c r="I1445" s="25" t="str">
        <x:v>NOT_RUN</x:v>
      </x:c>
      <x:c r="J1445" s="25" t="str">
        <x:v>NOT_RUN</x:v>
      </x:c>
      <x:c r="K1445" s="25" t="n">
        <x:v>2</x:v>
      </x:c>
      <x:c r="L1445" s="27" t="b">
        <x:v>0</x:v>
      </x:c>
      <x:c r="M1445" s="25" t="str">
        <x:v>Deepseek-flash-v4/state/Round2/status/Jsoup_83.json; Deepseek-flash-v4/state/Round2/shards/Jsoup_83.json</x:v>
      </x:c>
      <x:c r="N1445" s="25" t="str">
        <x:v>Deepseek-flash-v4/Result2/Jsoup_83/result.json</x:v>
      </x:c>
      <x:c r="O1445" s="25" t="str">
        <x:v>Deepseek-flash-v4/Result2/Jsoup_83/result.json</x:v>
      </x:c>
      <x:c r="P1445" t="str">
        <x:v>BOTH_NOT_RUN</x:v>
      </x:c>
      <x:c r="Q1445" s="21" t="str"/>
      <x:c r="R1445" s="21" t="str"/>
      <x:c r="S1445" s="21" t="str"/>
      <x:c r="T1445" s="17" t="str">
        <x:v>false</x:v>
      </x:c>
      <x:c r="U1445" s="17" t="str">
        <x:v>true</x:v>
      </x:c>
      <x:c r="V1445" s="17" t="str">
        <x:v>false</x:v>
      </x:c>
    </x:row>
    <x:row r="1446" ht="80" customHeight="1">
      <x:c r="A1446" s="25" t="str">
        <x:v>Jsoup</x:v>
      </x:c>
      <x:c r="B1446" s="25" t="n">
        <x:v>84</x:v>
      </x:c>
      <x:c r="C1446" s="25" t="str">
        <x:v>Round2</x:v>
      </x:c>
      <x:c r="D1446" s="25" t="str">
        <x:v>NOT_REVEALING</x:v>
      </x:c>
      <x:c r="E1446" s="25" t="str">
        <x:v>N/A</x:v>
      </x:c>
      <x:c r="F1446" s="26" t="str">
        <x:v>Same saved validation suite passed on buggy and fixed</x:v>
      </x:c>
      <x:c r="G1446" s="25" t="str">
        <x:v>true</x:v>
      </x:c>
      <x:c r="H1446" s="25" t="str">
        <x:v>NOT_REVEALING</x:v>
      </x:c>
      <x:c r="I1446" s="25" t="str">
        <x:v>PASS</x:v>
      </x:c>
      <x:c r="J1446" s="25" t="str">
        <x:v>PASS</x:v>
      </x:c>
      <x:c r="K1446" s="25" t="n">
        <x:v>1</x:v>
      </x:c>
      <x:c r="L1446" s="27" t="b">
        <x:v>0</x:v>
      </x:c>
      <x:c r="M1446" s="25" t="str">
        <x:v>Deepseek-flash-v4/state/Round2/status/Jsoup_84.json; Deepseek-flash-v4/state/Round2/shards/Jsoup_84.json</x:v>
      </x:c>
      <x:c r="N1446" s="25" t="str">
        <x:v>Deepseek-flash-v4/Result2/Jsoup_84/result.json</x:v>
      </x:c>
      <x:c r="O1446" s="25" t="str">
        <x:v>Deepseek-flash-v4/Result2/Jsoup_84/result.json</x:v>
      </x:c>
      <x:c r="P1446"/>
      <x:c r="Q1446" s="21" t="str"/>
      <x:c r="R1446" s="21" t="str"/>
      <x:c r="S1446" s="21" t="str"/>
      <x:c r="T1446" s="17" t="str">
        <x:v>false</x:v>
      </x:c>
      <x:c r="U1446" s="17" t="str">
        <x:v>true</x:v>
      </x:c>
      <x:c r="V1446" s="17" t="str">
        <x:v>false</x:v>
      </x:c>
    </x:row>
    <x:row r="1447" ht="80" customHeight="1">
      <x:c r="A1447" s="25" t="str">
        <x:v>Jsoup</x:v>
      </x:c>
      <x:c r="B1447" s="25" t="n">
        <x:v>85</x:v>
      </x:c>
      <x:c r="C1447" s="25" t="str">
        <x:v>Round2</x:v>
      </x:c>
      <x:c r="D1447" s="25" t="str">
        <x:v>INCONCLUSIVE</x:v>
      </x:c>
      <x:c r="E1447" s="25" t="str">
        <x:v>N/A</x:v>
      </x:c>
      <x:c r="F1447" s="26" t="str">
        <x:v>Fixed also failed; assertion failure cannot be attributed to this bug; Same-round generation metadata missing; use saved tests and execution evidence, no failure inferred</x:v>
      </x:c>
      <x:c r="G1447" s="25" t="str">
        <x:v>true</x:v>
      </x:c>
      <x:c r="H1447" s="25" t="str">
        <x:v>INCONCLUSIVE</x:v>
      </x:c>
      <x:c r="I1447" s="25" t="str">
        <x:v>FAIL</x:v>
      </x:c>
      <x:c r="J1447" s="25" t="str">
        <x:v>FAIL</x:v>
      </x:c>
      <x:c r="K1447" s="25" t="n">
        <x:v>1</x:v>
      </x:c>
      <x:c r="L1447" s="27" t="b">
        <x:v>0</x:v>
      </x:c>
      <x:c r="M1447" s="25"/>
      <x:c r="N1447" s="25" t="str">
        <x:v>Deepseek-flash-v4/Result2/Jsoup_85/result.json</x:v>
      </x:c>
      <x:c r="O1447" s="25" t="str">
        <x:v>Deepseek-flash-v4/Result2/Jsoup_85/result.json</x:v>
      </x:c>
      <x:c r="P1447"/>
      <x:c r="Q1447" s="21" t="str"/>
      <x:c r="R1447" s="21" t="str"/>
      <x:c r="S1447" s="21" t="str"/>
      <x:c r="T1447" s="17" t="str">
        <x:v>false</x:v>
      </x:c>
      <x:c r="U1447" s="17" t="str">
        <x:v>true</x:v>
      </x:c>
      <x:c r="V1447" s="17" t="str">
        <x:v>false</x:v>
      </x:c>
    </x:row>
    <x:row r="1448" ht="80" customHeight="1">
      <x:c r="A1448" s="25" t="str">
        <x:v>Jsoup</x:v>
      </x:c>
      <x:c r="B1448" s="25" t="n">
        <x:v>86</x:v>
      </x:c>
      <x:c r="C1448" s="25" t="str">
        <x:v>Round2</x:v>
      </x:c>
      <x:c r="D1448" s="25" t="str">
        <x:v>INCONCLUSIVE</x:v>
      </x:c>
      <x:c r="E1448" s="25" t="str">
        <x:v>N/A</x:v>
      </x:c>
      <x:c r="F1448" s="26" t="str">
        <x:v>Fixed also failed; assertion failure cannot be attributed to this bug; Same-round generation metadata missing; use saved tests and execution evidence, no failure inferred</x:v>
      </x:c>
      <x:c r="G1448" s="25" t="str">
        <x:v>true</x:v>
      </x:c>
      <x:c r="H1448" s="25" t="str">
        <x:v>INCONCLUSIVE</x:v>
      </x:c>
      <x:c r="I1448" s="25" t="str">
        <x:v>FAIL</x:v>
      </x:c>
      <x:c r="J1448" s="25" t="str">
        <x:v>FAIL</x:v>
      </x:c>
      <x:c r="K1448" s="25" t="n">
        <x:v>1</x:v>
      </x:c>
      <x:c r="L1448" s="27" t="b">
        <x:v>0</x:v>
      </x:c>
      <x:c r="M1448" s="25"/>
      <x:c r="N1448" s="25" t="str">
        <x:v>Deepseek-flash-v4/Result2/Jsoup_86/result.json</x:v>
      </x:c>
      <x:c r="O1448" s="25" t="str">
        <x:v>Deepseek-flash-v4/Result2/Jsoup_86/result.json</x:v>
      </x:c>
      <x:c r="P1448"/>
      <x:c r="Q1448" s="21" t="str"/>
      <x:c r="R1448" s="21" t="str"/>
      <x:c r="S1448" s="21" t="str"/>
      <x:c r="T1448" s="17" t="str">
        <x:v>false</x:v>
      </x:c>
      <x:c r="U1448" s="17" t="str">
        <x:v>true</x:v>
      </x:c>
      <x:c r="V1448" s="17" t="str">
        <x:v>false</x:v>
      </x:c>
    </x:row>
    <x:row r="1449" ht="80" customHeight="1">
      <x:c r="A1449" s="25" t="str">
        <x:v>Jsoup</x:v>
      </x:c>
      <x:c r="B1449" s="25" t="n">
        <x:v>87</x:v>
      </x:c>
      <x:c r="C1449" s="25" t="str">
        <x:v>Round2</x:v>
      </x:c>
      <x:c r="D1449" s="25" t="str">
        <x:v>NOT_AVAILABLE</x:v>
      </x:c>
      <x:c r="E1449" s="25" t="str">
        <x:v>N/A</x:v>
      </x:c>
      <x:c r="F1449" s="26" t="str">
        <x:v>Tests exist but current coverage did not complete</x:v>
      </x:c>
      <x:c r="G1449" s="25" t="str">
        <x:v>true</x:v>
      </x:c>
      <x:c r="H1449" s="25" t="str">
        <x:v>NOT_AVAILABLE</x:v>
      </x:c>
      <x:c r="I1449" s="25" t="str">
        <x:v>NOT_RUN</x:v>
      </x:c>
      <x:c r="J1449" s="25" t="str">
        <x:v>NOT_RUN</x:v>
      </x:c>
      <x:c r="K1449" s="25" t="n">
        <x:v>4</x:v>
      </x:c>
      <x:c r="L1449" s="27" t="b">
        <x:v>0</x:v>
      </x:c>
      <x:c r="M1449" s="25" t="str">
        <x:v>Deepseek-flash-v4/state/Round2/status/Jsoup_87.json; Deepseek-flash-v4/state/Round2/shards/Jsoup_87.json</x:v>
      </x:c>
      <x:c r="N1449" s="25" t="str">
        <x:v>Deepseek-flash-v4/Result2/Jsoup_87/result.json</x:v>
      </x:c>
      <x:c r="O1449" s="25" t="str">
        <x:v>Deepseek-flash-v4/Result2/Jsoup_87/result.json</x:v>
      </x:c>
      <x:c r="P1449" t="str">
        <x:v>BOTH_NOT_RUN</x:v>
      </x:c>
      <x:c r="Q1449" s="21" t="str"/>
      <x:c r="R1449" s="21" t="str"/>
      <x:c r="S1449" s="21" t="str"/>
      <x:c r="T1449" s="17" t="str">
        <x:v>false</x:v>
      </x:c>
      <x:c r="U1449" s="17" t="str">
        <x:v>true</x:v>
      </x:c>
      <x:c r="V1449" s="17" t="str">
        <x:v>false</x:v>
      </x:c>
    </x:row>
    <x:row r="1450" ht="80" customHeight="1">
      <x:c r="A1450" s="25" t="str">
        <x:v>Jsoup</x:v>
      </x:c>
      <x:c r="B1450" s="25" t="n">
        <x:v>88</x:v>
      </x:c>
      <x:c r="C1450" s="25" t="str">
        <x:v>Round2</x:v>
      </x:c>
      <x:c r="D1450" s="25" t="str">
        <x:v>NOT_REVEALING</x:v>
      </x:c>
      <x:c r="E1450" s="25" t="str">
        <x:v>N/A</x:v>
      </x:c>
      <x:c r="F1450" s="26" t="str">
        <x:v>Same saved validation suite passed on buggy and fixed; Same-round generation metadata missing; use saved tests and execution evidence, no failure inferred</x:v>
      </x:c>
      <x:c r="G1450" s="25" t="str">
        <x:v>true</x:v>
      </x:c>
      <x:c r="H1450" s="25" t="str">
        <x:v>NOT_REVEALING</x:v>
      </x:c>
      <x:c r="I1450" s="25" t="str">
        <x:v>PASS</x:v>
      </x:c>
      <x:c r="J1450" s="25" t="str">
        <x:v>PASS</x:v>
      </x:c>
      <x:c r="K1450" s="25" t="n">
        <x:v>1</x:v>
      </x:c>
      <x:c r="L1450" s="27" t="b">
        <x:v>0</x:v>
      </x:c>
      <x:c r="M1450" s="25"/>
      <x:c r="N1450" s="25" t="str">
        <x:v>Deepseek-flash-v4/Result2/Jsoup_88/result.json</x:v>
      </x:c>
      <x:c r="O1450" s="25" t="str">
        <x:v>Deepseek-flash-v4/Result2/Jsoup_88/result.json</x:v>
      </x:c>
      <x:c r="P1450"/>
      <x:c r="Q1450" s="21" t="str"/>
      <x:c r="R1450" s="21" t="str"/>
      <x:c r="S1450" s="21" t="str"/>
      <x:c r="T1450" s="17" t="str">
        <x:v>false</x:v>
      </x:c>
      <x:c r="U1450" s="17" t="str">
        <x:v>true</x:v>
      </x:c>
      <x:c r="V1450" s="17" t="str">
        <x:v>false</x:v>
      </x:c>
    </x:row>
    <x:row r="1451" ht="80" customHeight="1">
      <x:c r="A1451" s="25" t="str">
        <x:v>Jsoup</x:v>
      </x:c>
      <x:c r="B1451" s="25" t="n">
        <x:v>89</x:v>
      </x:c>
      <x:c r="C1451" s="25" t="str">
        <x:v>Round2</x:v>
      </x:c>
      <x:c r="D1451" s="25" t="str">
        <x:v>INCONCLUSIVE</x:v>
      </x:c>
      <x:c r="E1451" s="25" t="str">
        <x:v>N/A</x:v>
      </x:c>
      <x:c r="F1451" s="26" t="str">
        <x:v>Fixed also failed; assertion failure cannot be attributed to this bug; Same-round generation metadata missing; use saved tests and execution evidence, no failure inferred</x:v>
      </x:c>
      <x:c r="G1451" s="25" t="str">
        <x:v>true</x:v>
      </x:c>
      <x:c r="H1451" s="25" t="str">
        <x:v>INCONCLUSIVE</x:v>
      </x:c>
      <x:c r="I1451" s="25" t="str">
        <x:v>FAIL</x:v>
      </x:c>
      <x:c r="J1451" s="25" t="str">
        <x:v>FAIL</x:v>
      </x:c>
      <x:c r="K1451" s="25" t="n">
        <x:v>1</x:v>
      </x:c>
      <x:c r="L1451" s="27" t="b">
        <x:v>0</x:v>
      </x:c>
      <x:c r="M1451" s="25"/>
      <x:c r="N1451" s="25" t="str">
        <x:v>Deepseek-flash-v4/Result2/Jsoup_89/result.json</x:v>
      </x:c>
      <x:c r="O1451" s="25" t="str">
        <x:v>Deepseek-flash-v4/Result2/Jsoup_89/result.json</x:v>
      </x:c>
      <x:c r="P1451"/>
      <x:c r="Q1451" s="21" t="str"/>
      <x:c r="R1451" s="21" t="str"/>
      <x:c r="S1451" s="21" t="str"/>
      <x:c r="T1451" s="17" t="str">
        <x:v>false</x:v>
      </x:c>
      <x:c r="U1451" s="17" t="str">
        <x:v>true</x:v>
      </x:c>
      <x:c r="V1451" s="17" t="str">
        <x:v>false</x:v>
      </x:c>
    </x:row>
    <x:row r="1452" ht="80" customHeight="1">
      <x:c r="A1452" s="25" t="str">
        <x:v>Jsoup</x:v>
      </x:c>
      <x:c r="B1452" s="25" t="n">
        <x:v>9</x:v>
      </x:c>
      <x:c r="C1452" s="25" t="str">
        <x:v>Round2</x:v>
      </x:c>
      <x:c r="D1452" s="25" t="str">
        <x:v>NOT_AVAILABLE</x:v>
      </x:c>
      <x:c r="E1452" s="25" t="str">
        <x:v>N/A</x:v>
      </x:c>
      <x:c r="F1452" s="26" t="str">
        <x:v>Tests exist but current coverage did not complete; Same-round generation metadata missing; use saved tests and execution evidence, no failure inferred</x:v>
      </x:c>
      <x:c r="G1452" s="25" t="str">
        <x:v>true</x:v>
      </x:c>
      <x:c r="H1452" s="25" t="str">
        <x:v>NOT_REVEALING</x:v>
      </x:c>
      <x:c r="I1452" s="25" t="str">
        <x:v>PASS</x:v>
      </x:c>
      <x:c r="J1452" s="25" t="str">
        <x:v>PASS</x:v>
      </x:c>
      <x:c r="K1452" s="25" t="n">
        <x:v>1</x:v>
      </x:c>
      <x:c r="L1452" s="27" t="b">
        <x:v>0</x:v>
      </x:c>
      <x:c r="M1452" s="25"/>
      <x:c r="N1452" s="25" t="str">
        <x:v>Deepseek-flash-v4/Result2/Jsoup_9/result.json</x:v>
      </x:c>
      <x:c r="O1452" s="25" t="str">
        <x:v>Deepseek-flash-v4/Result2/Jsoup_9/result.json</x:v>
      </x:c>
      <x:c r="P1452" t="str">
        <x:v>COVERAGE_UNAVAILABLE</x:v>
      </x:c>
      <x:c r="Q1452" s="21" t="str"/>
      <x:c r="R1452" s="21" t="str"/>
      <x:c r="S1452" s="21" t="str"/>
      <x:c r="T1452" s="17" t="str">
        <x:v>false</x:v>
      </x:c>
      <x:c r="U1452" s="17" t="str">
        <x:v>true</x:v>
      </x:c>
      <x:c r="V1452" s="17" t="str">
        <x:v>true</x:v>
      </x:c>
    </x:row>
    <x:row r="1453" ht="80" customHeight="1">
      <x:c r="A1453" s="25" t="str">
        <x:v>Jsoup</x:v>
      </x:c>
      <x:c r="B1453" s="25" t="n">
        <x:v>90</x:v>
      </x:c>
      <x:c r="C1453" s="25" t="str">
        <x:v>Round2</x:v>
      </x:c>
      <x:c r="D1453" s="25" t="str">
        <x:v>NOT_AVAILABLE</x:v>
      </x:c>
      <x:c r="E1453" s="25" t="str">
        <x:v>N/A</x:v>
      </x:c>
      <x:c r="F1453" s="26" t="str">
        <x:v>Tests exist but current coverage did not complete</x:v>
      </x:c>
      <x:c r="G1453" s="25" t="str">
        <x:v>true</x:v>
      </x:c>
      <x:c r="H1453" s="25" t="str">
        <x:v>NOT_AVAILABLE</x:v>
      </x:c>
      <x:c r="I1453" s="25" t="str">
        <x:v>NOT_RUN</x:v>
      </x:c>
      <x:c r="J1453" s="25" t="str">
        <x:v>NOT_RUN</x:v>
      </x:c>
      <x:c r="K1453" s="25" t="n">
        <x:v>1</x:v>
      </x:c>
      <x:c r="L1453" s="27" t="b">
        <x:v>0</x:v>
      </x:c>
      <x:c r="M1453" s="25" t="str">
        <x:v>Deepseek-flash-v4/state/Round2/status/Jsoup_90.json; Deepseek-flash-v4/state/Round2/shards/Jsoup_90.json</x:v>
      </x:c>
      <x:c r="N1453" s="25" t="str">
        <x:v>Deepseek-flash-v4/Result2/Jsoup_90/result.json</x:v>
      </x:c>
      <x:c r="O1453" s="25" t="str">
        <x:v>Deepseek-flash-v4/Result2/Jsoup_90/result.json</x:v>
      </x:c>
      <x:c r="P1453" t="str">
        <x:v>BOTH_NOT_RUN</x:v>
      </x:c>
      <x:c r="Q1453" s="21" t="str"/>
      <x:c r="R1453" s="21" t="str"/>
      <x:c r="S1453" s="21" t="str"/>
      <x:c r="T1453" s="17" t="str">
        <x:v>false</x:v>
      </x:c>
      <x:c r="U1453" s="17" t="str">
        <x:v>true</x:v>
      </x:c>
      <x:c r="V1453" s="17" t="str">
        <x:v>false</x:v>
      </x:c>
    </x:row>
    <x:row r="1454" ht="80" customHeight="1">
      <x:c r="A1454" s="25" t="str">
        <x:v>Jsoup</x:v>
      </x:c>
      <x:c r="B1454" s="25" t="n">
        <x:v>91</x:v>
      </x:c>
      <x:c r="C1454" s="25" t="str">
        <x:v>Round2</x:v>
      </x:c>
      <x:c r="D1454" s="25" t="str">
        <x:v>NOT_AVAILABLE</x:v>
      </x:c>
      <x:c r="E1454" s="25" t="str">
        <x:v>N/A</x:v>
      </x:c>
      <x:c r="F1454" s="26" t="str">
        <x:v>Tests exist but current coverage did not complete</x:v>
      </x:c>
      <x:c r="G1454" s="25" t="str">
        <x:v>true</x:v>
      </x:c>
      <x:c r="H1454" s="25" t="str">
        <x:v>NOT_AVAILABLE</x:v>
      </x:c>
      <x:c r="I1454" s="25" t="str">
        <x:v>NOT_RUN</x:v>
      </x:c>
      <x:c r="J1454" s="25" t="str">
        <x:v>NOT_RUN</x:v>
      </x:c>
      <x:c r="K1454" s="25" t="n">
        <x:v>2</x:v>
      </x:c>
      <x:c r="L1454" s="27" t="b">
        <x:v>0</x:v>
      </x:c>
      <x:c r="M1454" s="25" t="str">
        <x:v>Deepseek-flash-v4/state/Round2/status/Jsoup_91.json; Deepseek-flash-v4/state/Round2/shards/Jsoup_91.json</x:v>
      </x:c>
      <x:c r="N1454" s="25" t="str">
        <x:v>Deepseek-flash-v4/Result2/Jsoup_91/result.json</x:v>
      </x:c>
      <x:c r="O1454" s="25" t="str">
        <x:v>Deepseek-flash-v4/Result2/Jsoup_91/result.json</x:v>
      </x:c>
      <x:c r="P1454" t="str">
        <x:v>BOTH_NOT_RUN</x:v>
      </x:c>
      <x:c r="Q1454" s="21" t="str"/>
      <x:c r="R1454" s="21" t="str"/>
      <x:c r="S1454" s="21" t="str"/>
      <x:c r="T1454" s="17" t="str">
        <x:v>false</x:v>
      </x:c>
      <x:c r="U1454" s="17" t="str">
        <x:v>true</x:v>
      </x:c>
      <x:c r="V1454" s="17" t="str">
        <x:v>false</x:v>
      </x:c>
    </x:row>
    <x:row r="1455" ht="80" customHeight="1">
      <x:c r="A1455" s="25" t="str">
        <x:v>Jsoup</x:v>
      </x:c>
      <x:c r="B1455" s="25" t="n">
        <x:v>92</x:v>
      </x:c>
      <x:c r="C1455" s="25" t="str">
        <x:v>Round2</x:v>
      </x:c>
      <x:c r="D1455" s="25" t="str">
        <x:v>NOT_AVAILABLE</x:v>
      </x:c>
      <x:c r="E1455" s="25" t="str">
        <x:v>N/A</x:v>
      </x:c>
      <x:c r="F1455" s="26" t="str">
        <x:v>Tests exist but current coverage did not complete</x:v>
      </x:c>
      <x:c r="G1455" s="25" t="str">
        <x:v>true</x:v>
      </x:c>
      <x:c r="H1455" s="25" t="str">
        <x:v>NOT_AVAILABLE</x:v>
      </x:c>
      <x:c r="I1455" s="25" t="str">
        <x:v>NOT_RUN</x:v>
      </x:c>
      <x:c r="J1455" s="25" t="str">
        <x:v>NOT_RUN</x:v>
      </x:c>
      <x:c r="K1455" s="25" t="n">
        <x:v>5</x:v>
      </x:c>
      <x:c r="L1455" s="27" t="b">
        <x:v>0</x:v>
      </x:c>
      <x:c r="M1455" s="25" t="str">
        <x:v>Deepseek-flash-v4/state/Round2/status/Jsoup_92.json; Deepseek-flash-v4/state/Round2/shards/Jsoup_92.json</x:v>
      </x:c>
      <x:c r="N1455" s="25" t="str">
        <x:v>Deepseek-flash-v4/Result2/Jsoup_92/result.json</x:v>
      </x:c>
      <x:c r="O1455" s="25" t="str">
        <x:v>Deepseek-flash-v4/Result2/Jsoup_92/result.json</x:v>
      </x:c>
      <x:c r="P1455" t="str">
        <x:v>BOTH_NOT_RUN</x:v>
      </x:c>
      <x:c r="Q1455" s="21" t="str"/>
      <x:c r="R1455" s="21" t="str"/>
      <x:c r="S1455" s="21" t="str"/>
      <x:c r="T1455" s="17" t="str">
        <x:v>false</x:v>
      </x:c>
      <x:c r="U1455" s="17" t="str">
        <x:v>true</x:v>
      </x:c>
      <x:c r="V1455" s="17" t="str">
        <x:v>false</x:v>
      </x:c>
    </x:row>
    <x:row r="1456" ht="80" customHeight="1">
      <x:c r="A1456" s="25" t="str">
        <x:v>Jsoup</x:v>
      </x:c>
      <x:c r="B1456" s="25" t="n">
        <x:v>93</x:v>
      </x:c>
      <x:c r="C1456" s="25" t="str">
        <x:v>Round2</x:v>
      </x:c>
      <x:c r="D1456" s="25" t="str">
        <x:v>NOT_REVEALING</x:v>
      </x:c>
      <x:c r="E1456" s="25" t="str">
        <x:v>N/A</x:v>
      </x:c>
      <x:c r="F1456" s="26" t="str">
        <x:v>Same saved validation suite passed on buggy and fixed</x:v>
      </x:c>
      <x:c r="G1456" s="25" t="str">
        <x:v>true</x:v>
      </x:c>
      <x:c r="H1456" s="25" t="str">
        <x:v>NOT_REVEALING</x:v>
      </x:c>
      <x:c r="I1456" s="25" t="str">
        <x:v>PASS</x:v>
      </x:c>
      <x:c r="J1456" s="25" t="str">
        <x:v>PASS</x:v>
      </x:c>
      <x:c r="K1456" s="25" t="n">
        <x:v>1</x:v>
      </x:c>
      <x:c r="L1456" s="27" t="b">
        <x:v>0</x:v>
      </x:c>
      <x:c r="M1456" s="25" t="str">
        <x:v>Deepseek-flash-v4/state/Round2/status/Jsoup_93.json; Deepseek-flash-v4/state/Round2/shards/Jsoup_93.json</x:v>
      </x:c>
      <x:c r="N1456" s="25" t="str">
        <x:v>Deepseek-flash-v4/Result2/Jsoup_93/result.json</x:v>
      </x:c>
      <x:c r="O1456" s="25" t="str">
        <x:v>Deepseek-flash-v4/Result2/Jsoup_93/result.json</x:v>
      </x:c>
      <x:c r="P1456"/>
      <x:c r="Q1456" s="21" t="str"/>
      <x:c r="R1456" s="21" t="str"/>
      <x:c r="S1456" s="21" t="str"/>
      <x:c r="T1456" s="17" t="str">
        <x:v>false</x:v>
      </x:c>
      <x:c r="U1456" s="17" t="str">
        <x:v>true</x:v>
      </x:c>
      <x:c r="V1456" s="17" t="str">
        <x:v>false</x:v>
      </x:c>
    </x:row>
    <x:row r="1457" ht="80" customHeight="1">
      <x:c r="A1457" s="25" t="str">
        <x:v>JxPath</x:v>
      </x:c>
      <x:c r="B1457" s="25" t="n">
        <x:v>1</x:v>
      </x:c>
      <x:c r="C1457" s="25" t="str">
        <x:v>Round2</x:v>
      </x:c>
      <x:c r="D1457" s="25" t="str">
        <x:v>NOT_AVAILABLE</x:v>
      </x:c>
      <x:c r="E1457" s="25" t="str">
        <x:v>N/A</x:v>
      </x:c>
      <x:c r="F1457" s="26" t="str">
        <x:v>Tests exist but current coverage did not complete</x:v>
      </x:c>
      <x:c r="G1457" s="25" t="str">
        <x:v>true</x:v>
      </x:c>
      <x:c r="H1457" s="25" t="str">
        <x:v>NOT_AVAILABLE</x:v>
      </x:c>
      <x:c r="I1457" s="25" t="str">
        <x:v>NOT_RUN</x:v>
      </x:c>
      <x:c r="J1457" s="25" t="str">
        <x:v>NOT_RUN</x:v>
      </x:c>
      <x:c r="K1457" s="25" t="n">
        <x:v>2</x:v>
      </x:c>
      <x:c r="L1457" s="27" t="b">
        <x:v>0</x:v>
      </x:c>
      <x:c r="M1457" s="25" t="str">
        <x:v>Deepseek-flash-v4/state/Round2/status/JxPath_1.json; Deepseek-flash-v4/state/Round2/shards/JxPath_1.json</x:v>
      </x:c>
      <x:c r="N1457" s="25" t="str">
        <x:v>Deepseek-flash-v4/Result2/JxPath_1/result.json</x:v>
      </x:c>
      <x:c r="O1457" s="25" t="str">
        <x:v>Deepseek-flash-v4/Result2/JxPath_1/result.json</x:v>
      </x:c>
      <x:c r="P1457" t="str">
        <x:v>BOTH_NOT_RUN</x:v>
      </x:c>
      <x:c r="Q1457" s="21" t="str"/>
      <x:c r="R1457" s="21" t="str"/>
      <x:c r="S1457" s="21" t="str"/>
      <x:c r="T1457" s="17" t="str">
        <x:v>false</x:v>
      </x:c>
      <x:c r="U1457" s="17" t="str">
        <x:v>true</x:v>
      </x:c>
      <x:c r="V1457" s="17" t="str">
        <x:v>false</x:v>
      </x:c>
    </x:row>
    <x:row r="1458" ht="80" customHeight="1">
      <x:c r="A1458" s="25" t="str">
        <x:v>JxPath</x:v>
      </x:c>
      <x:c r="B1458" s="25" t="n">
        <x:v>10</x:v>
      </x:c>
      <x:c r="C1458" s="25" t="str">
        <x:v>Round2</x:v>
      </x:c>
      <x:c r="D1458" s="25" t="str">
        <x:v>NOT_AVAILABLE</x:v>
      </x:c>
      <x:c r="E1458" s="25" t="str">
        <x:v>N/A</x:v>
      </x:c>
      <x:c r="F1458" s="26" t="str">
        <x:v>Tests exist but current coverage did not complete</x:v>
      </x:c>
      <x:c r="G1458" s="25" t="str">
        <x:v>true</x:v>
      </x:c>
      <x:c r="H1458" s="25" t="str">
        <x:v>NOT_AVAILABLE</x:v>
      </x:c>
      <x:c r="I1458" s="25" t="str">
        <x:v>NOT_RUN</x:v>
      </x:c>
      <x:c r="J1458" s="25" t="str">
        <x:v>NOT_RUN</x:v>
      </x:c>
      <x:c r="K1458" s="25" t="n">
        <x:v>1</x:v>
      </x:c>
      <x:c r="L1458" s="27" t="b">
        <x:v>0</x:v>
      </x:c>
      <x:c r="M1458" s="25" t="str">
        <x:v>Deepseek-flash-v4/state/Round2/status/JxPath_10.json; Deepseek-flash-v4/state/Round2/shards/JxPath_10.json</x:v>
      </x:c>
      <x:c r="N1458" s="25" t="str">
        <x:v>Deepseek-flash-v4/Result2/JxPath_10/result.json</x:v>
      </x:c>
      <x:c r="O1458" s="25" t="str">
        <x:v>Deepseek-flash-v4/Result2/JxPath_10/result.json</x:v>
      </x:c>
      <x:c r="P1458" t="str">
        <x:v>BOTH_NOT_RUN</x:v>
      </x:c>
      <x:c r="Q1458" s="21" t="str"/>
      <x:c r="R1458" s="21" t="str"/>
      <x:c r="S1458" s="21" t="str"/>
      <x:c r="T1458" s="17" t="str">
        <x:v>false</x:v>
      </x:c>
      <x:c r="U1458" s="17" t="str">
        <x:v>true</x:v>
      </x:c>
      <x:c r="V1458" s="17" t="str">
        <x:v>false</x:v>
      </x:c>
    </x:row>
    <x:row r="1459" ht="80" customHeight="1">
      <x:c r="A1459" s="25" t="str">
        <x:v>JxPath</x:v>
      </x:c>
      <x:c r="B1459" s="25" t="n">
        <x:v>11</x:v>
      </x:c>
      <x:c r="C1459" s="25" t="str">
        <x:v>Round2</x:v>
      </x:c>
      <x:c r="D1459" s="25" t="str">
        <x:v>NOT_AVAILABLE</x:v>
      </x:c>
      <x:c r="E1459" s="25" t="str">
        <x:v>N/A</x:v>
      </x:c>
      <x:c r="F1459" s="26" t="str">
        <x:v>Tests exist but current coverage did not complete</x:v>
      </x:c>
      <x:c r="G1459" s="25" t="str">
        <x:v>true</x:v>
      </x:c>
      <x:c r="H1459" s="25" t="str">
        <x:v>NOT_AVAILABLE</x:v>
      </x:c>
      <x:c r="I1459" s="25" t="str">
        <x:v>NOT_RUN</x:v>
      </x:c>
      <x:c r="J1459" s="25" t="str">
        <x:v>NOT_RUN</x:v>
      </x:c>
      <x:c r="K1459" s="25" t="n">
        <x:v>2</x:v>
      </x:c>
      <x:c r="L1459" s="27" t="b">
        <x:v>0</x:v>
      </x:c>
      <x:c r="M1459" s="25" t="str">
        <x:v>Deepseek-flash-v4/state/Round2/status/JxPath_11.json; Deepseek-flash-v4/state/Round2/shards/JxPath_11.json</x:v>
      </x:c>
      <x:c r="N1459" s="25" t="str">
        <x:v>Deepseek-flash-v4/Result2/JxPath_11/result.json</x:v>
      </x:c>
      <x:c r="O1459" s="25" t="str">
        <x:v>Deepseek-flash-v4/Result2/JxPath_11/result.json</x:v>
      </x:c>
      <x:c r="P1459" t="str">
        <x:v>BOTH_NOT_RUN</x:v>
      </x:c>
      <x:c r="Q1459" s="21" t="str"/>
      <x:c r="R1459" s="21" t="str"/>
      <x:c r="S1459" s="21" t="str"/>
      <x:c r="T1459" s="17" t="str">
        <x:v>false</x:v>
      </x:c>
      <x:c r="U1459" s="17" t="str">
        <x:v>true</x:v>
      </x:c>
      <x:c r="V1459" s="17" t="str">
        <x:v>false</x:v>
      </x:c>
    </x:row>
    <x:row r="1460" ht="80" customHeight="1">
      <x:c r="A1460" s="25" t="str">
        <x:v>JxPath</x:v>
      </x:c>
      <x:c r="B1460" s="25" t="n">
        <x:v>12</x:v>
      </x:c>
      <x:c r="C1460" s="25" t="str">
        <x:v>Round2</x:v>
      </x:c>
      <x:c r="D1460" s="25" t="str">
        <x:v>NOT_AVAILABLE</x:v>
      </x:c>
      <x:c r="E1460" s="25" t="str">
        <x:v>N/A</x:v>
      </x:c>
      <x:c r="F1460" s="26" t="str">
        <x:v>Tests exist but current coverage did not complete</x:v>
      </x:c>
      <x:c r="G1460" s="25" t="str">
        <x:v>true</x:v>
      </x:c>
      <x:c r="H1460" s="25" t="str">
        <x:v>NOT_AVAILABLE</x:v>
      </x:c>
      <x:c r="I1460" s="25" t="str">
        <x:v>NOT_RUN</x:v>
      </x:c>
      <x:c r="J1460" s="25" t="str">
        <x:v>NOT_RUN</x:v>
      </x:c>
      <x:c r="K1460" s="25" t="n">
        <x:v>1</x:v>
      </x:c>
      <x:c r="L1460" s="27" t="b">
        <x:v>0</x:v>
      </x:c>
      <x:c r="M1460" s="25" t="str">
        <x:v>Deepseek-flash-v4/state/Round2/status/JxPath_12.json; Deepseek-flash-v4/state/Round2/shards/JxPath_12.json</x:v>
      </x:c>
      <x:c r="N1460" s="25" t="str">
        <x:v>Deepseek-flash-v4/Result2/JxPath_12/result.json</x:v>
      </x:c>
      <x:c r="O1460" s="25" t="str">
        <x:v>Deepseek-flash-v4/Result2/JxPath_12/result.json</x:v>
      </x:c>
      <x:c r="P1460" t="str">
        <x:v>BOTH_NOT_RUN</x:v>
      </x:c>
      <x:c r="Q1460" s="21" t="str"/>
      <x:c r="R1460" s="21" t="str"/>
      <x:c r="S1460" s="21" t="str"/>
      <x:c r="T1460" s="17" t="str">
        <x:v>false</x:v>
      </x:c>
      <x:c r="U1460" s="17" t="str">
        <x:v>true</x:v>
      </x:c>
      <x:c r="V1460" s="17" t="str">
        <x:v>false</x:v>
      </x:c>
    </x:row>
    <x:row r="1461" ht="80" customHeight="1">
      <x:c r="A1461" s="25" t="str">
        <x:v>JxPath</x:v>
      </x:c>
      <x:c r="B1461" s="25" t="n">
        <x:v>13</x:v>
      </x:c>
      <x:c r="C1461" s="25" t="str">
        <x:v>Round2</x:v>
      </x:c>
      <x:c r="D1461" s="25" t="str">
        <x:v>NOT_AVAILABLE</x:v>
      </x:c>
      <x:c r="E1461" s="25" t="str">
        <x:v>N/A</x:v>
      </x:c>
      <x:c r="F1461" s="26" t="str">
        <x:v>Tests exist but current coverage did not complete</x:v>
      </x:c>
      <x:c r="G1461" s="25" t="str">
        <x:v>true</x:v>
      </x:c>
      <x:c r="H1461" s="25" t="str">
        <x:v>NOT_AVAILABLE</x:v>
      </x:c>
      <x:c r="I1461" s="25" t="str">
        <x:v>NOT_RUN</x:v>
      </x:c>
      <x:c r="J1461" s="25" t="str">
        <x:v>NOT_RUN</x:v>
      </x:c>
      <x:c r="K1461" s="25" t="n">
        <x:v>2</x:v>
      </x:c>
      <x:c r="L1461" s="27" t="b">
        <x:v>0</x:v>
      </x:c>
      <x:c r="M1461" s="25" t="str">
        <x:v>Deepseek-flash-v4/state/Round2/status/JxPath_13.json; Deepseek-flash-v4/state/Round2/shards/JxPath_13.json</x:v>
      </x:c>
      <x:c r="N1461" s="25" t="str">
        <x:v>Deepseek-flash-v4/Result2/JxPath_13/result.json</x:v>
      </x:c>
      <x:c r="O1461" s="25" t="str">
        <x:v>Deepseek-flash-v4/Result2/JxPath_13/result.json</x:v>
      </x:c>
      <x:c r="P1461" t="str">
        <x:v>BOTH_NOT_RUN</x:v>
      </x:c>
      <x:c r="Q1461" s="21" t="str"/>
      <x:c r="R1461" s="21" t="str"/>
      <x:c r="S1461" s="21" t="str"/>
      <x:c r="T1461" s="17" t="str">
        <x:v>false</x:v>
      </x:c>
      <x:c r="U1461" s="17" t="str">
        <x:v>true</x:v>
      </x:c>
      <x:c r="V1461" s="17" t="str">
        <x:v>false</x:v>
      </x:c>
    </x:row>
    <x:row r="1462" ht="80" customHeight="1">
      <x:c r="A1462" s="25" t="str">
        <x:v>JxPath</x:v>
      </x:c>
      <x:c r="B1462" s="25" t="n">
        <x:v>14</x:v>
      </x:c>
      <x:c r="C1462" s="25" t="str">
        <x:v>Round2</x:v>
      </x:c>
      <x:c r="D1462" s="25" t="str">
        <x:v>NOT_AVAILABLE</x:v>
      </x:c>
      <x:c r="E1462" s="25" t="str">
        <x:v>N/A</x:v>
      </x:c>
      <x:c r="F1462" s="26" t="str">
        <x:v>Tests exist but current coverage did not complete</x:v>
      </x:c>
      <x:c r="G1462" s="25" t="str">
        <x:v>true</x:v>
      </x:c>
      <x:c r="H1462" s="25" t="str">
        <x:v>NOT_AVAILABLE</x:v>
      </x:c>
      <x:c r="I1462" s="25" t="str">
        <x:v>NOT_RUN</x:v>
      </x:c>
      <x:c r="J1462" s="25" t="str">
        <x:v>NOT_RUN</x:v>
      </x:c>
      <x:c r="K1462" s="25" t="n">
        <x:v>1</x:v>
      </x:c>
      <x:c r="L1462" s="27" t="b">
        <x:v>0</x:v>
      </x:c>
      <x:c r="M1462" s="25" t="str">
        <x:v>Deepseek-flash-v4/state/Round2/status/JxPath_14.json; Deepseek-flash-v4/state/Round2/shards/JxPath_14.json</x:v>
      </x:c>
      <x:c r="N1462" s="25" t="str">
        <x:v>Deepseek-flash-v4/Result2/JxPath_14/result.json</x:v>
      </x:c>
      <x:c r="O1462" s="25" t="str">
        <x:v>Deepseek-flash-v4/Result2/JxPath_14/result.json</x:v>
      </x:c>
      <x:c r="P1462" t="str">
        <x:v>BOTH_NOT_RUN</x:v>
      </x:c>
      <x:c r="Q1462" s="21" t="str"/>
      <x:c r="R1462" s="21" t="str"/>
      <x:c r="S1462" s="21" t="str"/>
      <x:c r="T1462" s="17" t="str">
        <x:v>false</x:v>
      </x:c>
      <x:c r="U1462" s="17" t="str">
        <x:v>true</x:v>
      </x:c>
      <x:c r="V1462" s="17" t="str">
        <x:v>false</x:v>
      </x:c>
    </x:row>
    <x:row r="1463" ht="80" customHeight="1">
      <x:c r="A1463" s="25" t="str">
        <x:v>JxPath</x:v>
      </x:c>
      <x:c r="B1463" s="25" t="n">
        <x:v>15</x:v>
      </x:c>
      <x:c r="C1463" s="25" t="str">
        <x:v>Round2</x:v>
      </x:c>
      <x:c r="D1463" s="25" t="str">
        <x:v>NOT_AVAILABLE</x:v>
      </x:c>
      <x:c r="E1463" s="25" t="str">
        <x:v>N/A</x:v>
      </x:c>
      <x:c r="F1463" s="26" t="str">
        <x:v>Tests exist but current coverage did not complete</x:v>
      </x:c>
      <x:c r="G1463" s="25" t="str">
        <x:v>true</x:v>
      </x:c>
      <x:c r="H1463" s="25" t="str">
        <x:v>NOT_AVAILABLE</x:v>
      </x:c>
      <x:c r="I1463" s="25" t="str">
        <x:v>NOT_RUN</x:v>
      </x:c>
      <x:c r="J1463" s="25" t="str">
        <x:v>NOT_RUN</x:v>
      </x:c>
      <x:c r="K1463" s="25" t="n">
        <x:v>1</x:v>
      </x:c>
      <x:c r="L1463" s="27" t="b">
        <x:v>0</x:v>
      </x:c>
      <x:c r="M1463" s="25" t="str">
        <x:v>Deepseek-flash-v4/state/Round2/status/JxPath_15.json; Deepseek-flash-v4/state/Round2/shards/JxPath_15.json</x:v>
      </x:c>
      <x:c r="N1463" s="25" t="str">
        <x:v>Deepseek-flash-v4/Result2/JxPath_15/result.json</x:v>
      </x:c>
      <x:c r="O1463" s="25" t="str">
        <x:v>Deepseek-flash-v4/Result2/JxPath_15/result.json</x:v>
      </x:c>
      <x:c r="P1463" t="str">
        <x:v>BOTH_NOT_RUN</x:v>
      </x:c>
      <x:c r="Q1463" s="21" t="str"/>
      <x:c r="R1463" s="21" t="str"/>
      <x:c r="S1463" s="21" t="str"/>
      <x:c r="T1463" s="17" t="str">
        <x:v>false</x:v>
      </x:c>
      <x:c r="U1463" s="17" t="str">
        <x:v>true</x:v>
      </x:c>
      <x:c r="V1463" s="17" t="str">
        <x:v>false</x:v>
      </x:c>
    </x:row>
    <x:row r="1464" ht="80" customHeight="1">
      <x:c r="A1464" s="25" t="str">
        <x:v>JxPath</x:v>
      </x:c>
      <x:c r="B1464" s="25" t="n">
        <x:v>16</x:v>
      </x:c>
      <x:c r="C1464" s="25" t="str">
        <x:v>Round2</x:v>
      </x:c>
      <x:c r="D1464" s="25" t="str">
        <x:v>NOT_AVAILABLE</x:v>
      </x:c>
      <x:c r="E1464" s="25" t="str">
        <x:v>N/A</x:v>
      </x:c>
      <x:c r="F1464" s="26" t="str">
        <x:v>Tests exist but current coverage did not complete</x:v>
      </x:c>
      <x:c r="G1464" s="25" t="str">
        <x:v>true</x:v>
      </x:c>
      <x:c r="H1464" s="25" t="str">
        <x:v>NOT_AVAILABLE</x:v>
      </x:c>
      <x:c r="I1464" s="25" t="str">
        <x:v>NOT_RUN</x:v>
      </x:c>
      <x:c r="J1464" s="25" t="str">
        <x:v>NOT_RUN</x:v>
      </x:c>
      <x:c r="K1464" s="25" t="n">
        <x:v>2</x:v>
      </x:c>
      <x:c r="L1464" s="27" t="b">
        <x:v>0</x:v>
      </x:c>
      <x:c r="M1464" s="25" t="str">
        <x:v>Deepseek-flash-v4/state/Round2/status/JxPath_16.json; Deepseek-flash-v4/state/Round2/shards/JxPath_16.json</x:v>
      </x:c>
      <x:c r="N1464" s="25" t="str">
        <x:v>Deepseek-flash-v4/Result2/JxPath_16/result.json</x:v>
      </x:c>
      <x:c r="O1464" s="25" t="str">
        <x:v>Deepseek-flash-v4/Result2/JxPath_16/result.json</x:v>
      </x:c>
      <x:c r="P1464" t="str">
        <x:v>BOTH_NOT_RUN</x:v>
      </x:c>
      <x:c r="Q1464" s="21" t="str"/>
      <x:c r="R1464" s="21" t="str"/>
      <x:c r="S1464" s="21" t="str"/>
      <x:c r="T1464" s="17" t="str">
        <x:v>false</x:v>
      </x:c>
      <x:c r="U1464" s="17" t="str">
        <x:v>true</x:v>
      </x:c>
      <x:c r="V1464" s="17" t="str">
        <x:v>false</x:v>
      </x:c>
    </x:row>
    <x:row r="1465" ht="80" customHeight="1">
      <x:c r="A1465" s="25" t="str">
        <x:v>JxPath</x:v>
      </x:c>
      <x:c r="B1465" s="25" t="n">
        <x:v>17</x:v>
      </x:c>
      <x:c r="C1465" s="25" t="str">
        <x:v>Round2</x:v>
      </x:c>
      <x:c r="D1465" s="25" t="str">
        <x:v>NOT_AVAILABLE</x:v>
      </x:c>
      <x:c r="E1465" s="25" t="str">
        <x:v>N/A</x:v>
      </x:c>
      <x:c r="F1465" s="26" t="str">
        <x:v>Tests exist but current coverage did not complete</x:v>
      </x:c>
      <x:c r="G1465" s="25" t="str">
        <x:v>true</x:v>
      </x:c>
      <x:c r="H1465" s="25" t="str">
        <x:v>NOT_AVAILABLE</x:v>
      </x:c>
      <x:c r="I1465" s="25" t="str">
        <x:v>NOT_RUN</x:v>
      </x:c>
      <x:c r="J1465" s="25" t="str">
        <x:v>NOT_RUN</x:v>
      </x:c>
      <x:c r="K1465" s="25" t="n">
        <x:v>2</x:v>
      </x:c>
      <x:c r="L1465" s="27" t="b">
        <x:v>0</x:v>
      </x:c>
      <x:c r="M1465" s="25" t="str">
        <x:v>Deepseek-flash-v4/state/Round2/status/JxPath_17.json; Deepseek-flash-v4/state/Round2/shards/JxPath_17.json</x:v>
      </x:c>
      <x:c r="N1465" s="25" t="str">
        <x:v>Deepseek-flash-v4/Result2/JxPath_17/result.json</x:v>
      </x:c>
      <x:c r="O1465" s="25" t="str">
        <x:v>Deepseek-flash-v4/Result2/JxPath_17/result.json</x:v>
      </x:c>
      <x:c r="P1465" t="str">
        <x:v>BOTH_NOT_RUN</x:v>
      </x:c>
      <x:c r="Q1465" s="21" t="str"/>
      <x:c r="R1465" s="21" t="str"/>
      <x:c r="S1465" s="21" t="str"/>
      <x:c r="T1465" s="17" t="str">
        <x:v>false</x:v>
      </x:c>
      <x:c r="U1465" s="17" t="str">
        <x:v>true</x:v>
      </x:c>
      <x:c r="V1465" s="17" t="str">
        <x:v>false</x:v>
      </x:c>
    </x:row>
    <x:row r="1466" ht="80" customHeight="1">
      <x:c r="A1466" s="25" t="str">
        <x:v>JxPath</x:v>
      </x:c>
      <x:c r="B1466" s="25" t="n">
        <x:v>18</x:v>
      </x:c>
      <x:c r="C1466" s="25" t="str">
        <x:v>Round2</x:v>
      </x:c>
      <x:c r="D1466" s="25" t="str">
        <x:v>NOT_AVAILABLE</x:v>
      </x:c>
      <x:c r="E1466" s="25" t="str">
        <x:v>N/A</x:v>
      </x:c>
      <x:c r="F1466" s="26" t="str">
        <x:v>Tests exist but current coverage did not complete</x:v>
      </x:c>
      <x:c r="G1466" s="25" t="str">
        <x:v>true</x:v>
      </x:c>
      <x:c r="H1466" s="25" t="str">
        <x:v>NOT_AVAILABLE</x:v>
      </x:c>
      <x:c r="I1466" s="25" t="str">
        <x:v>NOT_RUN</x:v>
      </x:c>
      <x:c r="J1466" s="25" t="str">
        <x:v>NOT_RUN</x:v>
      </x:c>
      <x:c r="K1466" s="25" t="n">
        <x:v>1</x:v>
      </x:c>
      <x:c r="L1466" s="27" t="b">
        <x:v>0</x:v>
      </x:c>
      <x:c r="M1466" s="25" t="str">
        <x:v>Deepseek-flash-v4/state/Round2/status/JxPath_18.json; Deepseek-flash-v4/state/Round2/shards/JxPath_18.json</x:v>
      </x:c>
      <x:c r="N1466" s="25" t="str">
        <x:v>Deepseek-flash-v4/Result2/JxPath_18/result.json</x:v>
      </x:c>
      <x:c r="O1466" s="25" t="str">
        <x:v>Deepseek-flash-v4/Result2/JxPath_18/result.json</x:v>
      </x:c>
      <x:c r="P1466" t="str">
        <x:v>BOTH_NOT_RUN</x:v>
      </x:c>
      <x:c r="Q1466" s="21" t="str"/>
      <x:c r="R1466" s="21" t="str"/>
      <x:c r="S1466" s="21" t="str"/>
      <x:c r="T1466" s="17" t="str">
        <x:v>false</x:v>
      </x:c>
      <x:c r="U1466" s="17" t="str">
        <x:v>true</x:v>
      </x:c>
      <x:c r="V1466" s="17" t="str">
        <x:v>false</x:v>
      </x:c>
    </x:row>
    <x:row r="1467" ht="80" customHeight="1">
      <x:c r="A1467" s="25" t="str">
        <x:v>JxPath</x:v>
      </x:c>
      <x:c r="B1467" s="25" t="n">
        <x:v>19</x:v>
      </x:c>
      <x:c r="C1467" s="25" t="str">
        <x:v>Round2</x:v>
      </x:c>
      <x:c r="D1467" s="25" t="str">
        <x:v>NOT_AVAILABLE</x:v>
      </x:c>
      <x:c r="E1467" s="25" t="str">
        <x:v>N/A</x:v>
      </x:c>
      <x:c r="F1467" s="26" t="str">
        <x:v>Tests exist but current coverage did not complete</x:v>
      </x:c>
      <x:c r="G1467" s="25" t="str">
        <x:v>true</x:v>
      </x:c>
      <x:c r="H1467" s="25" t="str">
        <x:v>NOT_AVAILABLE</x:v>
      </x:c>
      <x:c r="I1467" s="25" t="str">
        <x:v>NOT_RUN</x:v>
      </x:c>
      <x:c r="J1467" s="25" t="str">
        <x:v>NOT_RUN</x:v>
      </x:c>
      <x:c r="K1467" s="25" t="n">
        <x:v>2</x:v>
      </x:c>
      <x:c r="L1467" s="27" t="b">
        <x:v>0</x:v>
      </x:c>
      <x:c r="M1467" s="25" t="str">
        <x:v>Deepseek-flash-v4/state/Round2/status/JxPath_19.json; Deepseek-flash-v4/state/Round2/shards/JxPath_19.json</x:v>
      </x:c>
      <x:c r="N1467" s="25" t="str">
        <x:v>Deepseek-flash-v4/Result2/JxPath_19/result.json</x:v>
      </x:c>
      <x:c r="O1467" s="25" t="str">
        <x:v>Deepseek-flash-v4/Result2/JxPath_19/result.json</x:v>
      </x:c>
      <x:c r="P1467" t="str">
        <x:v>BOTH_NOT_RUN</x:v>
      </x:c>
      <x:c r="Q1467" s="21" t="str"/>
      <x:c r="R1467" s="21" t="str"/>
      <x:c r="S1467" s="21" t="str"/>
      <x:c r="T1467" s="17" t="str">
        <x:v>false</x:v>
      </x:c>
      <x:c r="U1467" s="17" t="str">
        <x:v>true</x:v>
      </x:c>
      <x:c r="V1467" s="17" t="str">
        <x:v>false</x:v>
      </x:c>
    </x:row>
    <x:row r="1468" ht="80" customHeight="1">
      <x:c r="A1468" s="25" t="str">
        <x:v>JxPath</x:v>
      </x:c>
      <x:c r="B1468" s="25" t="n">
        <x:v>2</x:v>
      </x:c>
      <x:c r="C1468" s="25" t="str">
        <x:v>Round2</x:v>
      </x:c>
      <x:c r="D1468" s="25" t="str">
        <x:v>NOT_AVAILABLE</x:v>
      </x:c>
      <x:c r="E1468" s="25" t="str">
        <x:v>N/A</x:v>
      </x:c>
      <x:c r="F1468" s="26" t="str">
        <x:v>Tests exist but current coverage did not complete</x:v>
      </x:c>
      <x:c r="G1468" s="25" t="str">
        <x:v>true</x:v>
      </x:c>
      <x:c r="H1468" s="25" t="str">
        <x:v>NOT_AVAILABLE</x:v>
      </x:c>
      <x:c r="I1468" s="25" t="str">
        <x:v>NOT_RUN</x:v>
      </x:c>
      <x:c r="J1468" s="25" t="str">
        <x:v>NOT_RUN</x:v>
      </x:c>
      <x:c r="K1468" s="25" t="n">
        <x:v>1</x:v>
      </x:c>
      <x:c r="L1468" s="27" t="b">
        <x:v>0</x:v>
      </x:c>
      <x:c r="M1468" s="25" t="str">
        <x:v>Deepseek-flash-v4/state/Round2/status/JxPath_2.json; Deepseek-flash-v4/state/Round2/shards/JxPath_2.json</x:v>
      </x:c>
      <x:c r="N1468" s="25" t="str">
        <x:v>Deepseek-flash-v4/Result2/JxPath_2/result.json</x:v>
      </x:c>
      <x:c r="O1468" s="25" t="str">
        <x:v>Deepseek-flash-v4/Result2/JxPath_2/result.json</x:v>
      </x:c>
      <x:c r="P1468" t="str">
        <x:v>BOTH_NOT_RUN</x:v>
      </x:c>
      <x:c r="Q1468" s="21" t="str"/>
      <x:c r="R1468" s="21" t="str"/>
      <x:c r="S1468" s="21" t="str"/>
      <x:c r="T1468" s="17" t="str">
        <x:v>false</x:v>
      </x:c>
      <x:c r="U1468" s="17" t="str">
        <x:v>true</x:v>
      </x:c>
      <x:c r="V1468" s="17" t="str">
        <x:v>false</x:v>
      </x:c>
    </x:row>
    <x:row r="1469" ht="80" customHeight="1">
      <x:c r="A1469" s="25" t="str">
        <x:v>JxPath</x:v>
      </x:c>
      <x:c r="B1469" s="25" t="n">
        <x:v>20</x:v>
      </x:c>
      <x:c r="C1469" s="25" t="str">
        <x:v>Round2</x:v>
      </x:c>
      <x:c r="D1469" s="25" t="str">
        <x:v>NOT_AVAILABLE</x:v>
      </x:c>
      <x:c r="E1469" s="25" t="str">
        <x:v>N/A</x:v>
      </x:c>
      <x:c r="F1469" s="26" t="str">
        <x:v>Tests exist but current coverage did not complete</x:v>
      </x:c>
      <x:c r="G1469" s="25" t="str">
        <x:v>true</x:v>
      </x:c>
      <x:c r="H1469" s="25" t="str">
        <x:v>NOT_AVAILABLE</x:v>
      </x:c>
      <x:c r="I1469" s="25" t="str">
        <x:v>NOT_RUN</x:v>
      </x:c>
      <x:c r="J1469" s="25" t="str">
        <x:v>NOT_RUN</x:v>
      </x:c>
      <x:c r="K1469" s="25" t="n">
        <x:v>1</x:v>
      </x:c>
      <x:c r="L1469" s="27" t="b">
        <x:v>0</x:v>
      </x:c>
      <x:c r="M1469" s="25" t="str">
        <x:v>Deepseek-flash-v4/state/Round2/status/JxPath_20.json; Deepseek-flash-v4/state/Round2/shards/JxPath_20.json</x:v>
      </x:c>
      <x:c r="N1469" s="25" t="str">
        <x:v>Deepseek-flash-v4/Result2/JxPath_20/result.json</x:v>
      </x:c>
      <x:c r="O1469" s="25" t="str">
        <x:v>Deepseek-flash-v4/Result2/JxPath_20/result.json</x:v>
      </x:c>
      <x:c r="P1469" t="str">
        <x:v>BOTH_NOT_RUN</x:v>
      </x:c>
      <x:c r="Q1469" s="21" t="str"/>
      <x:c r="R1469" s="21" t="str"/>
      <x:c r="S1469" s="21" t="str"/>
      <x:c r="T1469" s="17" t="str">
        <x:v>false</x:v>
      </x:c>
      <x:c r="U1469" s="17" t="str">
        <x:v>true</x:v>
      </x:c>
      <x:c r="V1469" s="17" t="str">
        <x:v>false</x:v>
      </x:c>
    </x:row>
    <x:row r="1470" ht="80" customHeight="1">
      <x:c r="A1470" s="25" t="str">
        <x:v>JxPath</x:v>
      </x:c>
      <x:c r="B1470" s="25" t="n">
        <x:v>21</x:v>
      </x:c>
      <x:c r="C1470" s="25" t="str">
        <x:v>Round2</x:v>
      </x:c>
      <x:c r="D1470" s="25" t="str">
        <x:v>NOT_AVAILABLE</x:v>
      </x:c>
      <x:c r="E1470" s="25" t="str">
        <x:v>N/A</x:v>
      </x:c>
      <x:c r="F1470" s="26" t="str">
        <x:v>Tests exist but current coverage did not complete</x:v>
      </x:c>
      <x:c r="G1470" s="25" t="str">
        <x:v>true</x:v>
      </x:c>
      <x:c r="H1470" s="25" t="str">
        <x:v>NOT_AVAILABLE</x:v>
      </x:c>
      <x:c r="I1470" s="25" t="str">
        <x:v>NOT_RUN</x:v>
      </x:c>
      <x:c r="J1470" s="25" t="str">
        <x:v>NOT_RUN</x:v>
      </x:c>
      <x:c r="K1470" s="25" t="n">
        <x:v>1</x:v>
      </x:c>
      <x:c r="L1470" s="27" t="b">
        <x:v>0</x:v>
      </x:c>
      <x:c r="M1470" s="25" t="str">
        <x:v>Deepseek-flash-v4/state/Round2/status/JxPath_21.json; Deepseek-flash-v4/state/Round2/shards/JxPath_21.json</x:v>
      </x:c>
      <x:c r="N1470" s="25" t="str">
        <x:v>Deepseek-flash-v4/Result2/JxPath_21/result.json</x:v>
      </x:c>
      <x:c r="O1470" s="25" t="str">
        <x:v>Deepseek-flash-v4/Result2/JxPath_21/result.json</x:v>
      </x:c>
      <x:c r="P1470" t="str">
        <x:v>BOTH_NOT_RUN</x:v>
      </x:c>
      <x:c r="Q1470" s="21" t="str"/>
      <x:c r="R1470" s="21" t="str"/>
      <x:c r="S1470" s="21" t="str"/>
      <x:c r="T1470" s="17" t="str">
        <x:v>false</x:v>
      </x:c>
      <x:c r="U1470" s="17" t="str">
        <x:v>true</x:v>
      </x:c>
      <x:c r="V1470" s="17" t="str">
        <x:v>false</x:v>
      </x:c>
    </x:row>
    <x:row r="1471" ht="80" customHeight="1">
      <x:c r="A1471" s="25" t="str">
        <x:v>JxPath</x:v>
      </x:c>
      <x:c r="B1471" s="25" t="n">
        <x:v>22</x:v>
      </x:c>
      <x:c r="C1471" s="25" t="str">
        <x:v>Round2</x:v>
      </x:c>
      <x:c r="D1471" s="25" t="str">
        <x:v>NOT_AVAILABLE</x:v>
      </x:c>
      <x:c r="E1471" s="25" t="str">
        <x:v>N/A</x:v>
      </x:c>
      <x:c r="F1471" s="26" t="str">
        <x:v>Tests exist but current coverage did not complete</x:v>
      </x:c>
      <x:c r="G1471" s="25" t="str">
        <x:v>true</x:v>
      </x:c>
      <x:c r="H1471" s="25" t="str">
        <x:v>NOT_AVAILABLE</x:v>
      </x:c>
      <x:c r="I1471" s="25" t="str">
        <x:v>NOT_RUN</x:v>
      </x:c>
      <x:c r="J1471" s="25" t="str">
        <x:v>NOT_RUN</x:v>
      </x:c>
      <x:c r="K1471" s="25" t="n">
        <x:v>1</x:v>
      </x:c>
      <x:c r="L1471" s="27" t="b">
        <x:v>0</x:v>
      </x:c>
      <x:c r="M1471" s="25" t="str">
        <x:v>Deepseek-flash-v4/state/Round2/status/JxPath_22.json; Deepseek-flash-v4/state/Round2/shards/JxPath_22.json</x:v>
      </x:c>
      <x:c r="N1471" s="25" t="str">
        <x:v>Deepseek-flash-v4/Result2/JxPath_22/result.json</x:v>
      </x:c>
      <x:c r="O1471" s="25" t="str">
        <x:v>Deepseek-flash-v4/Result2/JxPath_22/result.json</x:v>
      </x:c>
      <x:c r="P1471" t="str">
        <x:v>BOTH_NOT_RUN</x:v>
      </x:c>
      <x:c r="Q1471" s="21" t="str"/>
      <x:c r="R1471" s="21" t="str"/>
      <x:c r="S1471" s="21" t="str"/>
      <x:c r="T1471" s="17" t="str">
        <x:v>false</x:v>
      </x:c>
      <x:c r="U1471" s="17" t="str">
        <x:v>true</x:v>
      </x:c>
      <x:c r="V1471" s="17" t="str">
        <x:v>false</x:v>
      </x:c>
    </x:row>
    <x:row r="1472" ht="80" customHeight="1">
      <x:c r="A1472" s="25" t="str">
        <x:v>JxPath</x:v>
      </x:c>
      <x:c r="B1472" s="25" t="n">
        <x:v>3</x:v>
      </x:c>
      <x:c r="C1472" s="25" t="str">
        <x:v>Round2</x:v>
      </x:c>
      <x:c r="D1472" s="25" t="str">
        <x:v>INCONCLUSIVE</x:v>
      </x:c>
      <x:c r="E1472" s="25" t="str">
        <x:v>N/A</x:v>
      </x:c>
      <x:c r="F1472" s="26" t="str">
        <x:v>Fixed also failed; assertion failure cannot be attributed to this bug</x:v>
      </x:c>
      <x:c r="G1472" s="25" t="str">
        <x:v>true</x:v>
      </x:c>
      <x:c r="H1472" s="25" t="str">
        <x:v>INCONCLUSIVE</x:v>
      </x:c>
      <x:c r="I1472" s="25" t="str">
        <x:v>FAIL</x:v>
      </x:c>
      <x:c r="J1472" s="25" t="str">
        <x:v>FAIL</x:v>
      </x:c>
      <x:c r="K1472" s="25" t="n">
        <x:v>1</x:v>
      </x:c>
      <x:c r="L1472" s="27" t="b">
        <x:v>0</x:v>
      </x:c>
      <x:c r="M1472" s="25" t="str">
        <x:v>Deepseek-flash-v4/state/Round2/status/JxPath_3.json; Deepseek-flash-v4/state/Round2/shards/JxPath_3.json</x:v>
      </x:c>
      <x:c r="N1472" s="25" t="str">
        <x:v>Deepseek-flash-v4/Result2/JxPath_3/result.json</x:v>
      </x:c>
      <x:c r="O1472" s="25" t="str">
        <x:v>Deepseek-flash-v4/Result2/JxPath_3/result.json</x:v>
      </x:c>
      <x:c r="P1472"/>
      <x:c r="Q1472" s="21" t="str"/>
      <x:c r="R1472" s="21" t="str"/>
      <x:c r="S1472" s="21" t="str"/>
      <x:c r="T1472" s="17" t="str">
        <x:v>false</x:v>
      </x:c>
      <x:c r="U1472" s="17" t="str">
        <x:v>true</x:v>
      </x:c>
      <x:c r="V1472" s="17" t="str">
        <x:v>false</x:v>
      </x:c>
    </x:row>
    <x:row r="1473" ht="80" customHeight="1">
      <x:c r="A1473" s="25" t="str">
        <x:v>JxPath</x:v>
      </x:c>
      <x:c r="B1473" s="25" t="n">
        <x:v>4</x:v>
      </x:c>
      <x:c r="C1473" s="25" t="str">
        <x:v>Round2</x:v>
      </x:c>
      <x:c r="D1473" s="25" t="str">
        <x:v>NOT_AVAILABLE</x:v>
      </x:c>
      <x:c r="E1473" s="25" t="str">
        <x:v>N/A</x:v>
      </x:c>
      <x:c r="F1473" s="26" t="str">
        <x:v>Tests exist but current coverage did not complete</x:v>
      </x:c>
      <x:c r="G1473" s="25" t="str">
        <x:v>true</x:v>
      </x:c>
      <x:c r="H1473" s="25" t="str">
        <x:v>NOT_AVAILABLE</x:v>
      </x:c>
      <x:c r="I1473" s="25" t="str">
        <x:v>NOT_RUN</x:v>
      </x:c>
      <x:c r="J1473" s="25" t="str">
        <x:v>NOT_RUN</x:v>
      </x:c>
      <x:c r="K1473" s="25" t="n">
        <x:v>2</x:v>
      </x:c>
      <x:c r="L1473" s="27" t="b">
        <x:v>0</x:v>
      </x:c>
      <x:c r="M1473" s="25" t="str">
        <x:v>Deepseek-flash-v4/state/Round2/status/JxPath_4.json; Deepseek-flash-v4/state/Round2/shards/JxPath_4.json</x:v>
      </x:c>
      <x:c r="N1473" s="25" t="str">
        <x:v>Deepseek-flash-v4/Result2/JxPath_4/result.json</x:v>
      </x:c>
      <x:c r="O1473" s="25" t="str">
        <x:v>Deepseek-flash-v4/Result2/JxPath_4/result.json</x:v>
      </x:c>
      <x:c r="P1473" t="str">
        <x:v>BOTH_NOT_RUN</x:v>
      </x:c>
      <x:c r="Q1473" s="21" t="str"/>
      <x:c r="R1473" s="21" t="str"/>
      <x:c r="S1473" s="21" t="str"/>
      <x:c r="T1473" s="17" t="str">
        <x:v>false</x:v>
      </x:c>
      <x:c r="U1473" s="17" t="str">
        <x:v>true</x:v>
      </x:c>
      <x:c r="V1473" s="17" t="str">
        <x:v>false</x:v>
      </x:c>
    </x:row>
    <x:row r="1474" ht="80" customHeight="1">
      <x:c r="A1474" s="25" t="str">
        <x:v>JxPath</x:v>
      </x:c>
      <x:c r="B1474" s="25" t="n">
        <x:v>5</x:v>
      </x:c>
      <x:c r="C1474" s="25" t="str">
        <x:v>Round2</x:v>
      </x:c>
      <x:c r="D1474" s="25" t="str">
        <x:v>NOT_AVAILABLE</x:v>
      </x:c>
      <x:c r="E1474" s="25" t="str">
        <x:v>N/A</x:v>
      </x:c>
      <x:c r="F1474" s="26" t="str">
        <x:v>Tests exist but current coverage did not complete</x:v>
      </x:c>
      <x:c r="G1474" s="25" t="str">
        <x:v>true</x:v>
      </x:c>
      <x:c r="H1474" s="25" t="str">
        <x:v>NOT_AVAILABLE</x:v>
      </x:c>
      <x:c r="I1474" s="25" t="str">
        <x:v>NOT_RUN</x:v>
      </x:c>
      <x:c r="J1474" s="25" t="str">
        <x:v>NOT_RUN</x:v>
      </x:c>
      <x:c r="K1474" s="25" t="n">
        <x:v>1</x:v>
      </x:c>
      <x:c r="L1474" s="27" t="b">
        <x:v>0</x:v>
      </x:c>
      <x:c r="M1474" s="25" t="str">
        <x:v>Deepseek-flash-v4/state/Round2/status/JxPath_5.json; Deepseek-flash-v4/state/Round2/shards/JxPath_5.json</x:v>
      </x:c>
      <x:c r="N1474" s="25" t="str">
        <x:v>Deepseek-flash-v4/Result2/JxPath_5/result.json</x:v>
      </x:c>
      <x:c r="O1474" s="25" t="str">
        <x:v>Deepseek-flash-v4/Result2/JxPath_5/result.json</x:v>
      </x:c>
      <x:c r="P1474" t="str">
        <x:v>BOTH_NOT_RUN</x:v>
      </x:c>
      <x:c r="Q1474" s="21" t="str"/>
      <x:c r="R1474" s="21" t="str"/>
      <x:c r="S1474" s="21" t="str"/>
      <x:c r="T1474" s="17" t="str">
        <x:v>false</x:v>
      </x:c>
      <x:c r="U1474" s="17" t="str">
        <x:v>true</x:v>
      </x:c>
      <x:c r="V1474" s="17" t="str">
        <x:v>false</x:v>
      </x:c>
    </x:row>
    <x:row r="1475" ht="80" customHeight="1">
      <x:c r="A1475" s="25" t="str">
        <x:v>JxPath</x:v>
      </x:c>
      <x:c r="B1475" s="25" t="n">
        <x:v>6</x:v>
      </x:c>
      <x:c r="C1475" s="25" t="str">
        <x:v>Round2</x:v>
      </x:c>
      <x:c r="D1475" s="25" t="str">
        <x:v>NOT_AVAILABLE</x:v>
      </x:c>
      <x:c r="E1475" s="25" t="str">
        <x:v>N/A</x:v>
      </x:c>
      <x:c r="F1475" s="26" t="str">
        <x:v>Tests exist but current coverage did not complete</x:v>
      </x:c>
      <x:c r="G1475" s="25" t="str">
        <x:v>true</x:v>
      </x:c>
      <x:c r="H1475" s="25" t="str">
        <x:v>NOT_AVAILABLE</x:v>
      </x:c>
      <x:c r="I1475" s="25" t="str">
        <x:v>NOT_RUN</x:v>
      </x:c>
      <x:c r="J1475" s="25" t="str">
        <x:v>NOT_RUN</x:v>
      </x:c>
      <x:c r="K1475" s="25" t="n">
        <x:v>1</x:v>
      </x:c>
      <x:c r="L1475" s="27" t="b">
        <x:v>0</x:v>
      </x:c>
      <x:c r="M1475" s="25" t="str">
        <x:v>Deepseek-flash-v4/state/Round2/status/JxPath_6.json; Deepseek-flash-v4/state/Round2/shards/JxPath_6.json</x:v>
      </x:c>
      <x:c r="N1475" s="25" t="str">
        <x:v>Deepseek-flash-v4/Result2/JxPath_6/result.json</x:v>
      </x:c>
      <x:c r="O1475" s="25" t="str">
        <x:v>Deepseek-flash-v4/Result2/JxPath_6/result.json</x:v>
      </x:c>
      <x:c r="P1475" t="str">
        <x:v>BOTH_NOT_RUN</x:v>
      </x:c>
      <x:c r="Q1475" s="21" t="str"/>
      <x:c r="R1475" s="21" t="str"/>
      <x:c r="S1475" s="21" t="str"/>
      <x:c r="T1475" s="17" t="str">
        <x:v>false</x:v>
      </x:c>
      <x:c r="U1475" s="17" t="str">
        <x:v>true</x:v>
      </x:c>
      <x:c r="V1475" s="17" t="str">
        <x:v>false</x:v>
      </x:c>
    </x:row>
    <x:row r="1476" ht="80" customHeight="1">
      <x:c r="A1476" s="25" t="str">
        <x:v>JxPath</x:v>
      </x:c>
      <x:c r="B1476" s="25" t="n">
        <x:v>7</x:v>
      </x:c>
      <x:c r="C1476" s="25" t="str">
        <x:v>Round2</x:v>
      </x:c>
      <x:c r="D1476" s="25" t="str">
        <x:v>NOT_AVAILABLE</x:v>
      </x:c>
      <x:c r="E1476" s="25" t="str">
        <x:v>N/A</x:v>
      </x:c>
      <x:c r="F1476" s="26" t="str">
        <x:v>Tests exist but current coverage did not complete</x:v>
      </x:c>
      <x:c r="G1476" s="25" t="str">
        <x:v>true</x:v>
      </x:c>
      <x:c r="H1476" s="25" t="str">
        <x:v>NOT_AVAILABLE</x:v>
      </x:c>
      <x:c r="I1476" s="25" t="str">
        <x:v>NOT_RUN</x:v>
      </x:c>
      <x:c r="J1476" s="25" t="str">
        <x:v>NOT_RUN</x:v>
      </x:c>
      <x:c r="K1476" s="25" t="n">
        <x:v>5</x:v>
      </x:c>
      <x:c r="L1476" s="27" t="b">
        <x:v>0</x:v>
      </x:c>
      <x:c r="M1476" s="25" t="str">
        <x:v>Deepseek-flash-v4/state/Round2/status/JxPath_7.json; Deepseek-flash-v4/state/Round2/shards/JxPath_7.json</x:v>
      </x:c>
      <x:c r="N1476" s="25" t="str">
        <x:v>Deepseek-flash-v4/Result2/JxPath_7/result.json</x:v>
      </x:c>
      <x:c r="O1476" s="25" t="str">
        <x:v>Deepseek-flash-v4/Result2/JxPath_7/result.json</x:v>
      </x:c>
      <x:c r="P1476" t="str">
        <x:v>BOTH_NOT_RUN</x:v>
      </x:c>
      <x:c r="Q1476" s="21" t="str"/>
      <x:c r="R1476" s="21" t="str"/>
      <x:c r="S1476" s="21" t="str"/>
      <x:c r="T1476" s="17" t="str">
        <x:v>false</x:v>
      </x:c>
      <x:c r="U1476" s="17" t="str">
        <x:v>true</x:v>
      </x:c>
      <x:c r="V1476" s="17" t="str">
        <x:v>false</x:v>
      </x:c>
    </x:row>
    <x:row r="1477" ht="80" customHeight="1">
      <x:c r="A1477" s="25" t="str">
        <x:v>JxPath</x:v>
      </x:c>
      <x:c r="B1477" s="25" t="n">
        <x:v>8</x:v>
      </x:c>
      <x:c r="C1477" s="25" t="str">
        <x:v>Round2</x:v>
      </x:c>
      <x:c r="D1477" s="25" t="str">
        <x:v>NOT_AVAILABLE</x:v>
      </x:c>
      <x:c r="E1477" s="25" t="str">
        <x:v>N/A</x:v>
      </x:c>
      <x:c r="F1477" s="26" t="str">
        <x:v>Tests exist but current coverage did not complete</x:v>
      </x:c>
      <x:c r="G1477" s="25" t="str">
        <x:v>true</x:v>
      </x:c>
      <x:c r="H1477" s="25" t="str">
        <x:v>NOT_AVAILABLE</x:v>
      </x:c>
      <x:c r="I1477" s="25" t="str">
        <x:v>NOT_RUN</x:v>
      </x:c>
      <x:c r="J1477" s="25" t="str">
        <x:v>NOT_RUN</x:v>
      </x:c>
      <x:c r="K1477" s="25" t="n">
        <x:v>1</x:v>
      </x:c>
      <x:c r="L1477" s="27" t="b">
        <x:v>0</x:v>
      </x:c>
      <x:c r="M1477" s="25" t="str">
        <x:v>Deepseek-flash-v4/state/Round2/status/JxPath_8.json; Deepseek-flash-v4/state/Round2/shards/JxPath_8.json</x:v>
      </x:c>
      <x:c r="N1477" s="25" t="str">
        <x:v>Deepseek-flash-v4/Result2/JxPath_8/result.json</x:v>
      </x:c>
      <x:c r="O1477" s="25" t="str">
        <x:v>Deepseek-flash-v4/Result2/JxPath_8/result.json</x:v>
      </x:c>
      <x:c r="P1477" t="str">
        <x:v>BOTH_NOT_RUN</x:v>
      </x:c>
      <x:c r="Q1477" s="21" t="str"/>
      <x:c r="R1477" s="21" t="str"/>
      <x:c r="S1477" s="21" t="str"/>
      <x:c r="T1477" s="17" t="str">
        <x:v>false</x:v>
      </x:c>
      <x:c r="U1477" s="17" t="str">
        <x:v>true</x:v>
      </x:c>
      <x:c r="V1477" s="17" t="str">
        <x:v>false</x:v>
      </x:c>
    </x:row>
    <x:row r="1478" ht="80" customHeight="1">
      <x:c r="A1478" s="25" t="str">
        <x:v>JxPath</x:v>
      </x:c>
      <x:c r="B1478" s="25" t="n">
        <x:v>9</x:v>
      </x:c>
      <x:c r="C1478" s="25" t="str">
        <x:v>Round2</x:v>
      </x:c>
      <x:c r="D1478" s="25" t="str">
        <x:v>NOT_AVAILABLE</x:v>
      </x:c>
      <x:c r="E1478" s="25" t="str">
        <x:v>N/A</x:v>
      </x:c>
      <x:c r="F1478" s="26" t="str">
        <x:v>Tests exist but current coverage did not complete</x:v>
      </x:c>
      <x:c r="G1478" s="25" t="str">
        <x:v>true</x:v>
      </x:c>
      <x:c r="H1478" s="25" t="str">
        <x:v>NOT_AVAILABLE</x:v>
      </x:c>
      <x:c r="I1478" s="25" t="str">
        <x:v>NOT_RUN</x:v>
      </x:c>
      <x:c r="J1478" s="25" t="str">
        <x:v>NOT_RUN</x:v>
      </x:c>
      <x:c r="K1478" s="25" t="n">
        <x:v>3</x:v>
      </x:c>
      <x:c r="L1478" s="27" t="b">
        <x:v>0</x:v>
      </x:c>
      <x:c r="M1478" s="25" t="str">
        <x:v>Deepseek-flash-v4/state/Round2/status/JxPath_9.json; Deepseek-flash-v4/state/Round2/shards/JxPath_9.json</x:v>
      </x:c>
      <x:c r="N1478" s="25" t="str">
        <x:v>Deepseek-flash-v4/Result2/JxPath_9/result.json</x:v>
      </x:c>
      <x:c r="O1478" s="25" t="str">
        <x:v>Deepseek-flash-v4/Result2/JxPath_9/result.json</x:v>
      </x:c>
      <x:c r="P1478" t="str">
        <x:v>BOTH_NOT_RUN</x:v>
      </x:c>
      <x:c r="Q1478" s="21" t="str"/>
      <x:c r="R1478" s="21" t="str"/>
      <x:c r="S1478" s="21" t="str"/>
      <x:c r="T1478" s="17" t="str">
        <x:v>false</x:v>
      </x:c>
      <x:c r="U1478" s="17" t="str">
        <x:v>true</x:v>
      </x:c>
      <x:c r="V1478" s="17" t="str">
        <x:v>false</x:v>
      </x:c>
    </x:row>
    <x:row r="1479" ht="80" customHeight="1">
      <x:c r="A1479" s="25" t="str">
        <x:v>Lang</x:v>
      </x:c>
      <x:c r="B1479" s="25" t="n">
        <x:v>1</x:v>
      </x:c>
      <x:c r="C1479" s="25" t="str">
        <x:v>Round2</x:v>
      </x:c>
      <x:c r="D1479" s="25" t="str">
        <x:v>NOT_REVEALING</x:v>
      </x:c>
      <x:c r="E1479" s="25" t="str">
        <x:v>N/A</x:v>
      </x:c>
      <x:c r="F1479" s="26" t="str">
        <x:v>Same saved validation suite passed on buggy and fixed</x:v>
      </x:c>
      <x:c r="G1479" s="25" t="str">
        <x:v>true</x:v>
      </x:c>
      <x:c r="H1479" s="25" t="str">
        <x:v>NOT_REVEALING</x:v>
      </x:c>
      <x:c r="I1479" s="25" t="str">
        <x:v>PASS</x:v>
      </x:c>
      <x:c r="J1479" s="25" t="str">
        <x:v>PASS</x:v>
      </x:c>
      <x:c r="K1479" s="25" t="n">
        <x:v>1</x:v>
      </x:c>
      <x:c r="L1479" s="27" t="b">
        <x:v>0</x:v>
      </x:c>
      <x:c r="M1479" s="25" t="str">
        <x:v>Deepseek-flash-v4/state/Round2/status/Lang_1.json; Deepseek-flash-v4/state/Round2/shards/Lang_1.json</x:v>
      </x:c>
      <x:c r="N1479" s="25" t="str">
        <x:v>Deepseek-flash-v4/Result2/Lang_1/result.json</x:v>
      </x:c>
      <x:c r="O1479" s="25" t="str">
        <x:v>Deepseek-flash-v4/Result2/Lang_1/result.json</x:v>
      </x:c>
      <x:c r="P1479"/>
      <x:c r="Q1479" s="21" t="str"/>
      <x:c r="R1479" s="21" t="str"/>
      <x:c r="S1479" s="21" t="str"/>
      <x:c r="T1479" s="17" t="str">
        <x:v>false</x:v>
      </x:c>
      <x:c r="U1479" s="17" t="str">
        <x:v>true</x:v>
      </x:c>
      <x:c r="V1479" s="17" t="str">
        <x:v>false</x:v>
      </x:c>
    </x:row>
    <x:row r="1480" ht="80" customHeight="1">
      <x:c r="A1480" s="25" t="str">
        <x:v>Lang</x:v>
      </x:c>
      <x:c r="B1480" s="25" t="n">
        <x:v>10</x:v>
      </x:c>
      <x:c r="C1480" s="25" t="str">
        <x:v>Round2</x:v>
      </x:c>
      <x:c r="D1480" s="25" t="str">
        <x:v>NOT_REVEALING</x:v>
      </x:c>
      <x:c r="E1480" s="25" t="str">
        <x:v>N/A</x:v>
      </x:c>
      <x:c r="F1480" s="26" t="str">
        <x:v>Same saved validation suite passed on buggy and fixed; Same-round generation metadata missing; use saved tests and execution evidence, no failure inferred</x:v>
      </x:c>
      <x:c r="G1480" s="25" t="str">
        <x:v>true</x:v>
      </x:c>
      <x:c r="H1480" s="25" t="str">
        <x:v>NOT_REVEALING</x:v>
      </x:c>
      <x:c r="I1480" s="25" t="str">
        <x:v>PASS</x:v>
      </x:c>
      <x:c r="J1480" s="25" t="str">
        <x:v>PASS</x:v>
      </x:c>
      <x:c r="K1480" s="25" t="n">
        <x:v>1</x:v>
      </x:c>
      <x:c r="L1480" s="27" t="b">
        <x:v>0</x:v>
      </x:c>
      <x:c r="M1480" s="25"/>
      <x:c r="N1480" s="25" t="str">
        <x:v>Deepseek-flash-v4/Result2/Lang_10/result.json</x:v>
      </x:c>
      <x:c r="O1480" s="25" t="str">
        <x:v>Deepseek-flash-v4/Result2/Lang_10/result.json</x:v>
      </x:c>
      <x:c r="P1480"/>
      <x:c r="Q1480" s="21" t="str"/>
      <x:c r="R1480" s="21" t="str"/>
      <x:c r="S1480" s="21" t="str"/>
      <x:c r="T1480" s="17" t="str">
        <x:v>false</x:v>
      </x:c>
      <x:c r="U1480" s="17" t="str">
        <x:v>true</x:v>
      </x:c>
      <x:c r="V1480" s="17" t="str">
        <x:v>false</x:v>
      </x:c>
    </x:row>
    <x:row r="1481" ht="80" customHeight="1">
      <x:c r="A1481" s="25" t="str">
        <x:v>Lang</x:v>
      </x:c>
      <x:c r="B1481" s="25" t="n">
        <x:v>11</x:v>
      </x:c>
      <x:c r="C1481" s="25" t="str">
        <x:v>Round2</x:v>
      </x:c>
      <x:c r="D1481" s="25" t="str">
        <x:v>NOT_REVEALING</x:v>
      </x:c>
      <x:c r="E1481" s="25" t="str">
        <x:v>N/A</x:v>
      </x:c>
      <x:c r="F1481" s="26" t="str">
        <x:v>Same saved validation suite passed on buggy and fixed</x:v>
      </x:c>
      <x:c r="G1481" s="25" t="str">
        <x:v>true</x:v>
      </x:c>
      <x:c r="H1481" s="25" t="str">
        <x:v>NOT_REVEALING</x:v>
      </x:c>
      <x:c r="I1481" s="25" t="str">
        <x:v>PASS</x:v>
      </x:c>
      <x:c r="J1481" s="25" t="str">
        <x:v>PASS</x:v>
      </x:c>
      <x:c r="K1481" s="25" t="n">
        <x:v>1</x:v>
      </x:c>
      <x:c r="L1481" s="27" t="b">
        <x:v>0</x:v>
      </x:c>
      <x:c r="M1481" s="25" t="str">
        <x:v>Deepseek-flash-v4/state/Round2/status/Lang_11.json; Deepseek-flash-v4/state/Round2/shards/Lang_11.json</x:v>
      </x:c>
      <x:c r="N1481" s="25" t="str">
        <x:v>Deepseek-flash-v4/Result2/Lang_11/result.json</x:v>
      </x:c>
      <x:c r="O1481" s="25" t="str">
        <x:v>Deepseek-flash-v4/Result2/Lang_11/result.json</x:v>
      </x:c>
      <x:c r="P1481"/>
      <x:c r="Q1481" s="21" t="str"/>
      <x:c r="R1481" s="21" t="str"/>
      <x:c r="S1481" s="21" t="str"/>
      <x:c r="T1481" s="17" t="str">
        <x:v>false</x:v>
      </x:c>
      <x:c r="U1481" s="17" t="str">
        <x:v>true</x:v>
      </x:c>
      <x:c r="V1481" s="17" t="str">
        <x:v>false</x:v>
      </x:c>
    </x:row>
    <x:row r="1482" ht="80" customHeight="1">
      <x:c r="A1482" s="25" t="str">
        <x:v>Lang</x:v>
      </x:c>
      <x:c r="B1482" s="25" t="n">
        <x:v>12</x:v>
      </x:c>
      <x:c r="C1482" s="25" t="str">
        <x:v>Round2</x:v>
      </x:c>
      <x:c r="D1482" s="25" t="str">
        <x:v>NOT_AVAILABLE</x:v>
      </x:c>
      <x:c r="E1482" s="25" t="str">
        <x:v>N/A</x:v>
      </x:c>
      <x:c r="F1482" s="26" t="str">
        <x:v>Tests exist but current coverage did not complete</x:v>
      </x:c>
      <x:c r="G1482" s="25" t="str">
        <x:v>true</x:v>
      </x:c>
      <x:c r="H1482" s="25" t="str">
        <x:v>NOT_AVAILABLE</x:v>
      </x:c>
      <x:c r="I1482" s="25" t="str">
        <x:v>NOT_RUN</x:v>
      </x:c>
      <x:c r="J1482" s="25" t="str">
        <x:v>NOT_RUN</x:v>
      </x:c>
      <x:c r="K1482" s="25" t="n">
        <x:v>1</x:v>
      </x:c>
      <x:c r="L1482" s="27" t="b">
        <x:v>0</x:v>
      </x:c>
      <x:c r="M1482" s="25" t="str">
        <x:v>Deepseek-flash-v4/state/Round2/status/Lang_12.json; Deepseek-flash-v4/state/Round2/shards/Lang_12.json</x:v>
      </x:c>
      <x:c r="N1482" s="25" t="str">
        <x:v>Deepseek-flash-v4/Result2/Lang_12/result.json</x:v>
      </x:c>
      <x:c r="O1482" s="25" t="str">
        <x:v>Deepseek-flash-v4/Result2/Lang_12/result.json</x:v>
      </x:c>
      <x:c r="P1482" t="str">
        <x:v>BOTH_NOT_RUN</x:v>
      </x:c>
      <x:c r="Q1482" s="21" t="str"/>
      <x:c r="R1482" s="21" t="str"/>
      <x:c r="S1482" s="21" t="str"/>
      <x:c r="T1482" s="17" t="str">
        <x:v>false</x:v>
      </x:c>
      <x:c r="U1482" s="17" t="str">
        <x:v>true</x:v>
      </x:c>
      <x:c r="V1482" s="17" t="str">
        <x:v>false</x:v>
      </x:c>
    </x:row>
    <x:row r="1483" ht="80" customHeight="1">
      <x:c r="A1483" s="25" t="str">
        <x:v>Lang</x:v>
      </x:c>
      <x:c r="B1483" s="25" t="n">
        <x:v>13</x:v>
      </x:c>
      <x:c r="C1483" s="25" t="str">
        <x:v>Round2</x:v>
      </x:c>
      <x:c r="D1483" s="25" t="str">
        <x:v>INCONCLUSIVE</x:v>
      </x:c>
      <x:c r="E1483" s="25" t="str">
        <x:v>N/A</x:v>
      </x:c>
      <x:c r="F1483" s="26" t="str">
        <x:v>Fixed also failed; assertion failure cannot be attributed to this bug; Same-round generation metadata missing; use saved tests and execution evidence, no failure inferred</x:v>
      </x:c>
      <x:c r="G1483" s="25" t="str">
        <x:v>true</x:v>
      </x:c>
      <x:c r="H1483" s="25" t="str">
        <x:v>INCONCLUSIVE</x:v>
      </x:c>
      <x:c r="I1483" s="25" t="str">
        <x:v>FAIL</x:v>
      </x:c>
      <x:c r="J1483" s="25" t="str">
        <x:v>FAIL</x:v>
      </x:c>
      <x:c r="K1483" s="25" t="n">
        <x:v>1</x:v>
      </x:c>
      <x:c r="L1483" s="27" t="b">
        <x:v>0</x:v>
      </x:c>
      <x:c r="M1483" s="25"/>
      <x:c r="N1483" s="25" t="str">
        <x:v>Deepseek-flash-v4/Result2/Lang_13/result.json</x:v>
      </x:c>
      <x:c r="O1483" s="25" t="str">
        <x:v>Deepseek-flash-v4/Result2/Lang_13/result.json</x:v>
      </x:c>
      <x:c r="P1483"/>
      <x:c r="Q1483" s="21" t="str"/>
      <x:c r="R1483" s="21" t="str"/>
      <x:c r="S1483" s="21" t="str"/>
      <x:c r="T1483" s="17" t="str">
        <x:v>false</x:v>
      </x:c>
      <x:c r="U1483" s="17" t="str">
        <x:v>true</x:v>
      </x:c>
      <x:c r="V1483" s="17" t="str">
        <x:v>false</x:v>
      </x:c>
    </x:row>
    <x:row r="1484" ht="80" customHeight="1">
      <x:c r="A1484" s="25" t="str">
        <x:v>Lang</x:v>
      </x:c>
      <x:c r="B1484" s="25" t="n">
        <x:v>14</x:v>
      </x:c>
      <x:c r="C1484" s="25" t="str">
        <x:v>Round2</x:v>
      </x:c>
      <x:c r="D1484" s="25" t="str">
        <x:v>INCONCLUSIVE</x:v>
      </x:c>
      <x:c r="E1484" s="25" t="str">
        <x:v>N/A</x:v>
      </x:c>
      <x:c r="F1484" s="26" t="str">
        <x:v>Fixed also failed; assertion failure cannot be attributed to this bug</x:v>
      </x:c>
      <x:c r="G1484" s="25" t="str">
        <x:v>true</x:v>
      </x:c>
      <x:c r="H1484" s="25" t="str">
        <x:v>INCONCLUSIVE</x:v>
      </x:c>
      <x:c r="I1484" s="25" t="str">
        <x:v>FAIL</x:v>
      </x:c>
      <x:c r="J1484" s="25" t="str">
        <x:v>FAIL</x:v>
      </x:c>
      <x:c r="K1484" s="25" t="n">
        <x:v>1</x:v>
      </x:c>
      <x:c r="L1484" s="27" t="b">
        <x:v>0</x:v>
      </x:c>
      <x:c r="M1484" s="25" t="str">
        <x:v>Deepseek-flash-v4/state/Round2/status/Lang_14.json; Deepseek-flash-v4/state/Round2/shards/Lang_14.json</x:v>
      </x:c>
      <x:c r="N1484" s="25" t="str">
        <x:v>Deepseek-flash-v4/Result2/Lang_14/result.json</x:v>
      </x:c>
      <x:c r="O1484" s="25" t="str">
        <x:v>Deepseek-flash-v4/Result2/Lang_14/result.json</x:v>
      </x:c>
      <x:c r="P1484"/>
      <x:c r="Q1484" s="21" t="str"/>
      <x:c r="R1484" s="21" t="str"/>
      <x:c r="S1484" s="21" t="str"/>
      <x:c r="T1484" s="17" t="str">
        <x:v>false</x:v>
      </x:c>
      <x:c r="U1484" s="17" t="str">
        <x:v>true</x:v>
      </x:c>
      <x:c r="V1484" s="17" t="str">
        <x:v>false</x:v>
      </x:c>
    </x:row>
    <x:row r="1485" ht="80" customHeight="1">
      <x:c r="A1485" s="25" t="str">
        <x:v>Lang</x:v>
      </x:c>
      <x:c r="B1485" s="25" t="n">
        <x:v>15</x:v>
      </x:c>
      <x:c r="C1485" s="25" t="str">
        <x:v>Round2</x:v>
      </x:c>
      <x:c r="D1485" s="25" t="str">
        <x:v>INCONCLUSIVE</x:v>
      </x:c>
      <x:c r="E1485" s="25" t="str">
        <x:v>N/A</x:v>
      </x:c>
      <x:c r="F1485" s="26" t="str">
        <x:v>Fixed also failed; assertion failure cannot be attributed to this bug</x:v>
      </x:c>
      <x:c r="G1485" s="25" t="str">
        <x:v>true</x:v>
      </x:c>
      <x:c r="H1485" s="25" t="str">
        <x:v>INCONCLUSIVE</x:v>
      </x:c>
      <x:c r="I1485" s="25" t="str">
        <x:v>FAIL</x:v>
      </x:c>
      <x:c r="J1485" s="25" t="str">
        <x:v>FAIL</x:v>
      </x:c>
      <x:c r="K1485" s="25" t="n">
        <x:v>1</x:v>
      </x:c>
      <x:c r="L1485" s="27" t="b">
        <x:v>0</x:v>
      </x:c>
      <x:c r="M1485" s="25" t="str">
        <x:v>Deepseek-flash-v4/state/Round2/status/Lang_15.json; Deepseek-flash-v4/state/Round2/shards/Lang_15.json</x:v>
      </x:c>
      <x:c r="N1485" s="25" t="str">
        <x:v>Deepseek-flash-v4/Result2/Lang_15/result.json</x:v>
      </x:c>
      <x:c r="O1485" s="25" t="str">
        <x:v>Deepseek-flash-v4/Result2/Lang_15/result.json</x:v>
      </x:c>
      <x:c r="P1485"/>
      <x:c r="Q1485" s="21" t="str"/>
      <x:c r="R1485" s="21" t="str"/>
      <x:c r="S1485" s="21" t="str"/>
      <x:c r="T1485" s="17" t="str">
        <x:v>false</x:v>
      </x:c>
      <x:c r="U1485" s="17" t="str">
        <x:v>true</x:v>
      </x:c>
      <x:c r="V1485" s="17" t="str">
        <x:v>false</x:v>
      </x:c>
    </x:row>
    <x:row r="1486" ht="80" customHeight="1">
      <x:c r="A1486" s="25" t="str">
        <x:v>Lang</x:v>
      </x:c>
      <x:c r="B1486" s="25" t="n">
        <x:v>16</x:v>
      </x:c>
      <x:c r="C1486" s="25" t="str">
        <x:v>Round2</x:v>
      </x:c>
      <x:c r="D1486" s="25" t="str">
        <x:v>INCONCLUSIVE</x:v>
      </x:c>
      <x:c r="E1486" s="25" t="str">
        <x:v>N/A</x:v>
      </x:c>
      <x:c r="F1486" s="26" t="str">
        <x:v>Fixed also failed; assertion failure cannot be attributed to this bug; Same-round generation metadata missing; use saved tests and execution evidence, no failure inferred</x:v>
      </x:c>
      <x:c r="G1486" s="25" t="str">
        <x:v>true</x:v>
      </x:c>
      <x:c r="H1486" s="25" t="str">
        <x:v>INCONCLUSIVE</x:v>
      </x:c>
      <x:c r="I1486" s="25" t="str">
        <x:v>FAIL</x:v>
      </x:c>
      <x:c r="J1486" s="25" t="str">
        <x:v>FAIL</x:v>
      </x:c>
      <x:c r="K1486" s="25" t="n">
        <x:v>1</x:v>
      </x:c>
      <x:c r="L1486" s="27" t="b">
        <x:v>0</x:v>
      </x:c>
      <x:c r="M1486" s="25"/>
      <x:c r="N1486" s="25" t="str">
        <x:v>Deepseek-flash-v4/Result2/Lang_16/result.json</x:v>
      </x:c>
      <x:c r="O1486" s="25" t="str">
        <x:v>Deepseek-flash-v4/Result2/Lang_16/result.json</x:v>
      </x:c>
      <x:c r="P1486"/>
      <x:c r="Q1486" s="21" t="str"/>
      <x:c r="R1486" s="21" t="str"/>
      <x:c r="S1486" s="21" t="str"/>
      <x:c r="T1486" s="17" t="str">
        <x:v>false</x:v>
      </x:c>
      <x:c r="U1486" s="17" t="str">
        <x:v>true</x:v>
      </x:c>
      <x:c r="V1486" s="17" t="str">
        <x:v>false</x:v>
      </x:c>
    </x:row>
    <x:row r="1487" ht="80" customHeight="1">
      <x:c r="A1487" s="25" t="str">
        <x:v>Lang</x:v>
      </x:c>
      <x:c r="B1487" s="25" t="n">
        <x:v>17</x:v>
      </x:c>
      <x:c r="C1487" s="25" t="str">
        <x:v>Round2</x:v>
      </x:c>
      <x:c r="D1487" s="25" t="str">
        <x:v>NOT_AVAILABLE</x:v>
      </x:c>
      <x:c r="E1487" s="25" t="str">
        <x:v>N/A</x:v>
      </x:c>
      <x:c r="F1487" s="26" t="str">
        <x:v>Tests exist but current coverage did not complete</x:v>
      </x:c>
      <x:c r="G1487" s="25" t="str">
        <x:v>true</x:v>
      </x:c>
      <x:c r="H1487" s="25" t="str">
        <x:v>NOT_AVAILABLE</x:v>
      </x:c>
      <x:c r="I1487" s="25" t="str">
        <x:v>NOT_RUN</x:v>
      </x:c>
      <x:c r="J1487" s="25" t="str">
        <x:v>NOT_RUN</x:v>
      </x:c>
      <x:c r="K1487" s="25" t="n">
        <x:v>1</x:v>
      </x:c>
      <x:c r="L1487" s="27" t="b">
        <x:v>0</x:v>
      </x:c>
      <x:c r="M1487" s="25" t="str">
        <x:v>Deepseek-flash-v4/state/Round2/status/Lang_17.json; Deepseek-flash-v4/state/Round2/shards/Lang_17.json</x:v>
      </x:c>
      <x:c r="N1487" s="25" t="str">
        <x:v>Deepseek-flash-v4/Result2/Lang_17/result.json</x:v>
      </x:c>
      <x:c r="O1487" s="25" t="str">
        <x:v>Deepseek-flash-v4/Result2/Lang_17/result.json</x:v>
      </x:c>
      <x:c r="P1487" t="str">
        <x:v>BOTH_NOT_RUN</x:v>
      </x:c>
      <x:c r="Q1487" s="21" t="str"/>
      <x:c r="R1487" s="21" t="str"/>
      <x:c r="S1487" s="21" t="str"/>
      <x:c r="T1487" s="17" t="str">
        <x:v>false</x:v>
      </x:c>
      <x:c r="U1487" s="17" t="str">
        <x:v>true</x:v>
      </x:c>
      <x:c r="V1487" s="17" t="str">
        <x:v>false</x:v>
      </x:c>
    </x:row>
    <x:row r="1488" ht="80" customHeight="1">
      <x:c r="A1488" s="25" t="str">
        <x:v>Lang</x:v>
      </x:c>
      <x:c r="B1488" s="25" t="n">
        <x:v>19</x:v>
      </x:c>
      <x:c r="C1488" s="25" t="str">
        <x:v>Round2</x:v>
      </x:c>
      <x:c r="D1488" s="25" t="str">
        <x:v>INCONCLUSIVE</x:v>
      </x:c>
      <x:c r="E1488" s="25" t="str">
        <x:v>N/A</x:v>
      </x:c>
      <x:c r="F1488" s="26" t="str">
        <x:v>Fixed also failed; assertion failure cannot be attributed to this bug; Same-round generation metadata missing; use saved tests and execution evidence, no failure inferred</x:v>
      </x:c>
      <x:c r="G1488" s="25" t="str">
        <x:v>true</x:v>
      </x:c>
      <x:c r="H1488" s="25" t="str">
        <x:v>INCONCLUSIVE</x:v>
      </x:c>
      <x:c r="I1488" s="25" t="str">
        <x:v>FAIL</x:v>
      </x:c>
      <x:c r="J1488" s="25" t="str">
        <x:v>FAIL</x:v>
      </x:c>
      <x:c r="K1488" s="25" t="n">
        <x:v>1</x:v>
      </x:c>
      <x:c r="L1488" s="27" t="b">
        <x:v>0</x:v>
      </x:c>
      <x:c r="M1488" s="25"/>
      <x:c r="N1488" s="25" t="str">
        <x:v>Deepseek-flash-v4/Result2/Lang_19/result.json</x:v>
      </x:c>
      <x:c r="O1488" s="25" t="str">
        <x:v>Deepseek-flash-v4/Result2/Lang_19/result.json</x:v>
      </x:c>
      <x:c r="P1488"/>
      <x:c r="Q1488" s="21" t="str"/>
      <x:c r="R1488" s="21" t="str"/>
      <x:c r="S1488" s="21" t="str"/>
      <x:c r="T1488" s="17" t="str">
        <x:v>false</x:v>
      </x:c>
      <x:c r="U1488" s="17" t="str">
        <x:v>true</x:v>
      </x:c>
      <x:c r="V1488" s="17" t="str">
        <x:v>false</x:v>
      </x:c>
    </x:row>
    <x:row r="1489" ht="80" customHeight="1">
      <x:c r="A1489" s="25" t="str">
        <x:v>Lang</x:v>
      </x:c>
      <x:c r="B1489" s="25" t="n">
        <x:v>20</x:v>
      </x:c>
      <x:c r="C1489" s="25" t="str">
        <x:v>Round2</x:v>
      </x:c>
      <x:c r="D1489" s="25" t="str">
        <x:v>NOT_REVEALING</x:v>
      </x:c>
      <x:c r="E1489" s="25" t="str">
        <x:v>N/A</x:v>
      </x:c>
      <x:c r="F1489" s="26" t="str">
        <x:v>Same saved validation suite passed on buggy and fixed</x:v>
      </x:c>
      <x:c r="G1489" s="25" t="str">
        <x:v>true</x:v>
      </x:c>
      <x:c r="H1489" s="25" t="str">
        <x:v>NOT_REVEALING</x:v>
      </x:c>
      <x:c r="I1489" s="25" t="str">
        <x:v>PASS</x:v>
      </x:c>
      <x:c r="J1489" s="25" t="str">
        <x:v>PASS</x:v>
      </x:c>
      <x:c r="K1489" s="25" t="n">
        <x:v>1</x:v>
      </x:c>
      <x:c r="L1489" s="27" t="b">
        <x:v>0</x:v>
      </x:c>
      <x:c r="M1489" s="25" t="str">
        <x:v>Deepseek-flash-v4/state/Round2/status/Lang_20.json; Deepseek-flash-v4/state/Round2/shards/Lang_20.json</x:v>
      </x:c>
      <x:c r="N1489" s="25" t="str">
        <x:v>Deepseek-flash-v4/Result2/Lang_20/result.json</x:v>
      </x:c>
      <x:c r="O1489" s="25" t="str">
        <x:v>Deepseek-flash-v4/Result2/Lang_20/result.json</x:v>
      </x:c>
      <x:c r="P1489"/>
      <x:c r="Q1489" s="21" t="str"/>
      <x:c r="R1489" s="21" t="str"/>
      <x:c r="S1489" s="21" t="str"/>
      <x:c r="T1489" s="17" t="str">
        <x:v>false</x:v>
      </x:c>
      <x:c r="U1489" s="17" t="str">
        <x:v>true</x:v>
      </x:c>
      <x:c r="V1489" s="17" t="str">
        <x:v>false</x:v>
      </x:c>
    </x:row>
    <x:row r="1490" ht="80" customHeight="1">
      <x:c r="A1490" s="25" t="str">
        <x:v>Lang</x:v>
      </x:c>
      <x:c r="B1490" s="25" t="n">
        <x:v>21</x:v>
      </x:c>
      <x:c r="C1490" s="25" t="str">
        <x:v>Round2</x:v>
      </x:c>
      <x:c r="D1490" s="25" t="str">
        <x:v>NOT_AVAILABLE</x:v>
      </x:c>
      <x:c r="E1490" s="25" t="str">
        <x:v>N/A</x:v>
      </x:c>
      <x:c r="F1490" s="26" t="str">
        <x:v>Tests exist but current coverage did not complete</x:v>
      </x:c>
      <x:c r="G1490" s="25" t="str">
        <x:v>true</x:v>
      </x:c>
      <x:c r="H1490" s="25" t="str">
        <x:v>NOT_AVAILABLE</x:v>
      </x:c>
      <x:c r="I1490" s="25" t="str">
        <x:v>NOT_RUN</x:v>
      </x:c>
      <x:c r="J1490" s="25" t="str">
        <x:v>NOT_RUN</x:v>
      </x:c>
      <x:c r="K1490" s="25" t="n">
        <x:v>1</x:v>
      </x:c>
      <x:c r="L1490" s="27" t="b">
        <x:v>0</x:v>
      </x:c>
      <x:c r="M1490" s="25" t="str">
        <x:v>Deepseek-flash-v4/state/Round2/status/Lang_21.json; Deepseek-flash-v4/state/Round2/shards/Lang_21.json</x:v>
      </x:c>
      <x:c r="N1490" s="25" t="str">
        <x:v>Deepseek-flash-v4/Result2/Lang_21/result.json</x:v>
      </x:c>
      <x:c r="O1490" s="25" t="str">
        <x:v>Deepseek-flash-v4/Result2/Lang_21/result.json</x:v>
      </x:c>
      <x:c r="P1490" t="str">
        <x:v>BOTH_NOT_RUN</x:v>
      </x:c>
      <x:c r="Q1490" s="21" t="str"/>
      <x:c r="R1490" s="21" t="str"/>
      <x:c r="S1490" s="21" t="str"/>
      <x:c r="T1490" s="17" t="str">
        <x:v>false</x:v>
      </x:c>
      <x:c r="U1490" s="17" t="str">
        <x:v>true</x:v>
      </x:c>
      <x:c r="V1490" s="17" t="str">
        <x:v>false</x:v>
      </x:c>
    </x:row>
    <x:row r="1491" ht="80" customHeight="1">
      <x:c r="A1491" s="25" t="str">
        <x:v>Lang</x:v>
      </x:c>
      <x:c r="B1491" s="25" t="n">
        <x:v>22</x:v>
      </x:c>
      <x:c r="C1491" s="25" t="str">
        <x:v>Round2</x:v>
      </x:c>
      <x:c r="D1491" s="25" t="str">
        <x:v>NOT_AVAILABLE</x:v>
      </x:c>
      <x:c r="E1491" s="25" t="str">
        <x:v>N/A</x:v>
      </x:c>
      <x:c r="F1491" s="26" t="str">
        <x:v>Tests exist but current coverage did not complete</x:v>
      </x:c>
      <x:c r="G1491" s="25" t="str">
        <x:v>true</x:v>
      </x:c>
      <x:c r="H1491" s="25" t="str">
        <x:v>NOT_AVAILABLE</x:v>
      </x:c>
      <x:c r="I1491" s="25" t="str">
        <x:v>NOT_RUN</x:v>
      </x:c>
      <x:c r="J1491" s="25" t="str">
        <x:v>NOT_RUN</x:v>
      </x:c>
      <x:c r="K1491" s="25" t="n">
        <x:v>1</x:v>
      </x:c>
      <x:c r="L1491" s="27" t="b">
        <x:v>0</x:v>
      </x:c>
      <x:c r="M1491" s="25" t="str">
        <x:v>Deepseek-flash-v4/state/Round2/status/Lang_22.json; Deepseek-flash-v4/state/Round2/shards/Lang_22.json</x:v>
      </x:c>
      <x:c r="N1491" s="25" t="str">
        <x:v>Deepseek-flash-v4/Result2/Lang_22/result.json</x:v>
      </x:c>
      <x:c r="O1491" s="25" t="str">
        <x:v>Deepseek-flash-v4/Result2/Lang_22/result.json</x:v>
      </x:c>
      <x:c r="P1491" t="str">
        <x:v>BOTH_NOT_RUN</x:v>
      </x:c>
      <x:c r="Q1491" s="21" t="str"/>
      <x:c r="R1491" s="21" t="str"/>
      <x:c r="S1491" s="21" t="str"/>
      <x:c r="T1491" s="17" t="str">
        <x:v>false</x:v>
      </x:c>
      <x:c r="U1491" s="17" t="str">
        <x:v>true</x:v>
      </x:c>
      <x:c r="V1491" s="17" t="str">
        <x:v>false</x:v>
      </x:c>
    </x:row>
    <x:row r="1492" ht="80" customHeight="1">
      <x:c r="A1492" s="25" t="str">
        <x:v>Lang</x:v>
      </x:c>
      <x:c r="B1492" s="25" t="n">
        <x:v>23</x:v>
      </x:c>
      <x:c r="C1492" s="25" t="str">
        <x:v>Round2</x:v>
      </x:c>
      <x:c r="D1492" s="25" t="str">
        <x:v>INCONCLUSIVE</x:v>
      </x:c>
      <x:c r="E1492" s="25" t="str">
        <x:v>N/A</x:v>
      </x:c>
      <x:c r="F1492" s="26" t="str">
        <x:v>Fixed also failed; assertion failure cannot be attributed to this bug; Same-round generation metadata missing; use saved tests and execution evidence, no failure inferred</x:v>
      </x:c>
      <x:c r="G1492" s="25" t="str">
        <x:v>true</x:v>
      </x:c>
      <x:c r="H1492" s="25" t="str">
        <x:v>INCONCLUSIVE</x:v>
      </x:c>
      <x:c r="I1492" s="25" t="str">
        <x:v>FAIL</x:v>
      </x:c>
      <x:c r="J1492" s="25" t="str">
        <x:v>FAIL</x:v>
      </x:c>
      <x:c r="K1492" s="25" t="n">
        <x:v>1</x:v>
      </x:c>
      <x:c r="L1492" s="27" t="b">
        <x:v>0</x:v>
      </x:c>
      <x:c r="M1492" s="25"/>
      <x:c r="N1492" s="25" t="str">
        <x:v>Deepseek-flash-v4/Result2/Lang_23/result.json</x:v>
      </x:c>
      <x:c r="O1492" s="25" t="str">
        <x:v>Deepseek-flash-v4/Result2/Lang_23/result.json</x:v>
      </x:c>
      <x:c r="P1492"/>
      <x:c r="Q1492" s="21" t="str"/>
      <x:c r="R1492" s="21" t="str"/>
      <x:c r="S1492" s="21" t="str"/>
      <x:c r="T1492" s="17" t="str">
        <x:v>false</x:v>
      </x:c>
      <x:c r="U1492" s="17" t="str">
        <x:v>true</x:v>
      </x:c>
      <x:c r="V1492" s="17" t="str">
        <x:v>false</x:v>
      </x:c>
    </x:row>
    <x:row r="1493" ht="80" customHeight="1">
      <x:c r="A1493" s="25" t="str">
        <x:v>Lang</x:v>
      </x:c>
      <x:c r="B1493" s="25" t="n">
        <x:v>24</x:v>
      </x:c>
      <x:c r="C1493" s="25" t="str">
        <x:v>Round2</x:v>
      </x:c>
      <x:c r="D1493" s="25" t="str">
        <x:v>INCONCLUSIVE</x:v>
      </x:c>
      <x:c r="E1493" s="25" t="str">
        <x:v>N/A</x:v>
      </x:c>
      <x:c r="F1493" s="26" t="str">
        <x:v>Fixed also failed; assertion failure cannot be attributed to this bug; Same-round generation metadata missing; use saved tests and execution evidence, no failure inferred</x:v>
      </x:c>
      <x:c r="G1493" s="25" t="str">
        <x:v>true</x:v>
      </x:c>
      <x:c r="H1493" s="25" t="str">
        <x:v>INCONCLUSIVE</x:v>
      </x:c>
      <x:c r="I1493" s="25" t="str">
        <x:v>FAIL</x:v>
      </x:c>
      <x:c r="J1493" s="25" t="str">
        <x:v>FAIL</x:v>
      </x:c>
      <x:c r="K1493" s="25" t="n">
        <x:v>1</x:v>
      </x:c>
      <x:c r="L1493" s="27" t="b">
        <x:v>0</x:v>
      </x:c>
      <x:c r="M1493" s="25"/>
      <x:c r="N1493" s="25" t="str">
        <x:v>Deepseek-flash-v4/Result2/Lang_24/result.json</x:v>
      </x:c>
      <x:c r="O1493" s="25" t="str">
        <x:v>Deepseek-flash-v4/Result2/Lang_24/result.json</x:v>
      </x:c>
      <x:c r="P1493"/>
      <x:c r="Q1493" s="21" t="str"/>
      <x:c r="R1493" s="21" t="str"/>
      <x:c r="S1493" s="21" t="str"/>
      <x:c r="T1493" s="17" t="str">
        <x:v>false</x:v>
      </x:c>
      <x:c r="U1493" s="17" t="str">
        <x:v>true</x:v>
      </x:c>
      <x:c r="V1493" s="17" t="str">
        <x:v>false</x:v>
      </x:c>
    </x:row>
    <x:row r="1494" ht="80" customHeight="1">
      <x:c r="A1494" s="25" t="str">
        <x:v>Lang</x:v>
      </x:c>
      <x:c r="B1494" s="25" t="n">
        <x:v>26</x:v>
      </x:c>
      <x:c r="C1494" s="25" t="str">
        <x:v>Round2</x:v>
      </x:c>
      <x:c r="D1494" s="25" t="str">
        <x:v>INCONCLUSIVE</x:v>
      </x:c>
      <x:c r="E1494" s="25" t="str">
        <x:v>N/A</x:v>
      </x:c>
      <x:c r="F1494" s="26" t="str">
        <x:v>Fixed also failed; assertion failure cannot be attributed to this bug; Same-round generation metadata missing; use saved tests and execution evidence, no failure inferred</x:v>
      </x:c>
      <x:c r="G1494" s="25" t="str">
        <x:v>true</x:v>
      </x:c>
      <x:c r="H1494" s="25" t="str">
        <x:v>INCONCLUSIVE</x:v>
      </x:c>
      <x:c r="I1494" s="25" t="str">
        <x:v>FAIL</x:v>
      </x:c>
      <x:c r="J1494" s="25" t="str">
        <x:v>FAIL</x:v>
      </x:c>
      <x:c r="K1494" s="25" t="n">
        <x:v>1</x:v>
      </x:c>
      <x:c r="L1494" s="27" t="b">
        <x:v>0</x:v>
      </x:c>
      <x:c r="M1494" s="25"/>
      <x:c r="N1494" s="25" t="str">
        <x:v>Deepseek-flash-v4/Result2/Lang_26/result.json</x:v>
      </x:c>
      <x:c r="O1494" s="25" t="str">
        <x:v>Deepseek-flash-v4/Result2/Lang_26/result.json</x:v>
      </x:c>
      <x:c r="P1494"/>
      <x:c r="Q1494" s="21" t="str"/>
      <x:c r="R1494" s="21" t="str"/>
      <x:c r="S1494" s="21" t="str"/>
      <x:c r="T1494" s="17" t="str">
        <x:v>false</x:v>
      </x:c>
      <x:c r="U1494" s="17" t="str">
        <x:v>true</x:v>
      </x:c>
      <x:c r="V1494" s="17" t="str">
        <x:v>false</x:v>
      </x:c>
    </x:row>
    <x:row r="1495" ht="80" customHeight="1">
      <x:c r="A1495" s="25" t="str">
        <x:v>Lang</x:v>
      </x:c>
      <x:c r="B1495" s="25" t="n">
        <x:v>27</x:v>
      </x:c>
      <x:c r="C1495" s="25" t="str">
        <x:v>Round2</x:v>
      </x:c>
      <x:c r="D1495" s="25" t="str">
        <x:v>INCONCLUSIVE</x:v>
      </x:c>
      <x:c r="E1495" s="25" t="str">
        <x:v>N/A</x:v>
      </x:c>
      <x:c r="F1495" s="26" t="str">
        <x:v>Fixed also failed; assertion failure cannot be attributed to this bug; Same-round generation metadata missing; use saved tests and execution evidence, no failure inferred</x:v>
      </x:c>
      <x:c r="G1495" s="25" t="str">
        <x:v>true</x:v>
      </x:c>
      <x:c r="H1495" s="25" t="str">
        <x:v>INCONCLUSIVE</x:v>
      </x:c>
      <x:c r="I1495" s="25" t="str">
        <x:v>FAIL</x:v>
      </x:c>
      <x:c r="J1495" s="25" t="str">
        <x:v>FAIL</x:v>
      </x:c>
      <x:c r="K1495" s="25" t="n">
        <x:v>1</x:v>
      </x:c>
      <x:c r="L1495" s="27" t="b">
        <x:v>0</x:v>
      </x:c>
      <x:c r="M1495" s="25"/>
      <x:c r="N1495" s="25" t="str">
        <x:v>Deepseek-flash-v4/Result2/Lang_27/result.json</x:v>
      </x:c>
      <x:c r="O1495" s="25" t="str">
        <x:v>Deepseek-flash-v4/Result2/Lang_27/result.json</x:v>
      </x:c>
      <x:c r="P1495"/>
      <x:c r="Q1495" s="21" t="str"/>
      <x:c r="R1495" s="21" t="str"/>
      <x:c r="S1495" s="21" t="str"/>
      <x:c r="T1495" s="17" t="str">
        <x:v>false</x:v>
      </x:c>
      <x:c r="U1495" s="17" t="str">
        <x:v>true</x:v>
      </x:c>
      <x:c r="V1495" s="17" t="str">
        <x:v>false</x:v>
      </x:c>
    </x:row>
    <x:row r="1496" ht="80" customHeight="1">
      <x:c r="A1496" s="25" t="str">
        <x:v>Lang</x:v>
      </x:c>
      <x:c r="B1496" s="25" t="n">
        <x:v>28</x:v>
      </x:c>
      <x:c r="C1496" s="25" t="str">
        <x:v>Round2</x:v>
      </x:c>
      <x:c r="D1496" s="25" t="str">
        <x:v>INCONCLUSIVE</x:v>
      </x:c>
      <x:c r="E1496" s="25" t="str">
        <x:v>N/A</x:v>
      </x:c>
      <x:c r="F1496" s="26" t="str">
        <x:v>Fixed also failed; assertion failure cannot be attributed to this bug; Same-round generation metadata missing; use saved tests and execution evidence, no failure inferred</x:v>
      </x:c>
      <x:c r="G1496" s="25" t="str">
        <x:v>true</x:v>
      </x:c>
      <x:c r="H1496" s="25" t="str">
        <x:v>INCONCLUSIVE</x:v>
      </x:c>
      <x:c r="I1496" s="25" t="str">
        <x:v>FAIL</x:v>
      </x:c>
      <x:c r="J1496" s="25" t="str">
        <x:v>FAIL</x:v>
      </x:c>
      <x:c r="K1496" s="25" t="n">
        <x:v>1</x:v>
      </x:c>
      <x:c r="L1496" s="27" t="b">
        <x:v>0</x:v>
      </x:c>
      <x:c r="M1496" s="25"/>
      <x:c r="N1496" s="25" t="str">
        <x:v>Deepseek-flash-v4/Result2/Lang_28/result.json</x:v>
      </x:c>
      <x:c r="O1496" s="25" t="str">
        <x:v>Deepseek-flash-v4/Result2/Lang_28/result.json</x:v>
      </x:c>
      <x:c r="P1496"/>
      <x:c r="Q1496" s="21" t="str"/>
      <x:c r="R1496" s="21" t="str"/>
      <x:c r="S1496" s="21" t="str"/>
      <x:c r="T1496" s="17" t="str">
        <x:v>false</x:v>
      </x:c>
      <x:c r="U1496" s="17" t="str">
        <x:v>true</x:v>
      </x:c>
      <x:c r="V1496" s="17" t="str">
        <x:v>false</x:v>
      </x:c>
    </x:row>
    <x:row r="1497" ht="80" customHeight="1">
      <x:c r="A1497" s="25" t="str">
        <x:v>Lang</x:v>
      </x:c>
      <x:c r="B1497" s="25" t="n">
        <x:v>29</x:v>
      </x:c>
      <x:c r="C1497" s="25" t="str">
        <x:v>Round2</x:v>
      </x:c>
      <x:c r="D1497" s="25" t="str">
        <x:v>NOT_REVEALING</x:v>
      </x:c>
      <x:c r="E1497" s="25" t="str">
        <x:v>N/A</x:v>
      </x:c>
      <x:c r="F1497" s="26" t="str">
        <x:v>Same saved validation suite passed on buggy and fixed</x:v>
      </x:c>
      <x:c r="G1497" s="25" t="str">
        <x:v>true</x:v>
      </x:c>
      <x:c r="H1497" s="25" t="str">
        <x:v>NOT_REVEALING</x:v>
      </x:c>
      <x:c r="I1497" s="25" t="str">
        <x:v>PASS</x:v>
      </x:c>
      <x:c r="J1497" s="25" t="str">
        <x:v>PASS</x:v>
      </x:c>
      <x:c r="K1497" s="25" t="n">
        <x:v>1</x:v>
      </x:c>
      <x:c r="L1497" s="27" t="b">
        <x:v>0</x:v>
      </x:c>
      <x:c r="M1497" s="25" t="str">
        <x:v>Deepseek-flash-v4/state/Round2/status/Lang_29.json; Deepseek-flash-v4/state/Round2/shards/Lang_29.json</x:v>
      </x:c>
      <x:c r="N1497" s="25" t="str">
        <x:v>Deepseek-flash-v4/Result2/Lang_29/result.json</x:v>
      </x:c>
      <x:c r="O1497" s="25" t="str">
        <x:v>Deepseek-flash-v4/Result2/Lang_29/result.json</x:v>
      </x:c>
      <x:c r="P1497"/>
      <x:c r="Q1497" s="21" t="str"/>
      <x:c r="R1497" s="21" t="str"/>
      <x:c r="S1497" s="21" t="str"/>
      <x:c r="T1497" s="17" t="str">
        <x:v>false</x:v>
      </x:c>
      <x:c r="U1497" s="17" t="str">
        <x:v>true</x:v>
      </x:c>
      <x:c r="V1497" s="17" t="str">
        <x:v>false</x:v>
      </x:c>
    </x:row>
    <x:row r="1498" ht="80" customHeight="1">
      <x:c r="A1498" s="25" t="str">
        <x:v>Lang</x:v>
      </x:c>
      <x:c r="B1498" s="25" t="n">
        <x:v>3</x:v>
      </x:c>
      <x:c r="C1498" s="25" t="str">
        <x:v>Round2</x:v>
      </x:c>
      <x:c r="D1498" s="25" t="str">
        <x:v>INCONCLUSIVE</x:v>
      </x:c>
      <x:c r="E1498" s="25" t="str">
        <x:v>N/A</x:v>
      </x:c>
      <x:c r="F1498" s="26" t="str">
        <x:v>Fixed also failed; assertion failure cannot be attributed to this bug</x:v>
      </x:c>
      <x:c r="G1498" s="25" t="str">
        <x:v>true</x:v>
      </x:c>
      <x:c r="H1498" s="25" t="str">
        <x:v>INCONCLUSIVE</x:v>
      </x:c>
      <x:c r="I1498" s="25" t="str">
        <x:v>FAIL</x:v>
      </x:c>
      <x:c r="J1498" s="25" t="str">
        <x:v>FAIL</x:v>
      </x:c>
      <x:c r="K1498" s="25" t="n">
        <x:v>1</x:v>
      </x:c>
      <x:c r="L1498" s="27" t="b">
        <x:v>0</x:v>
      </x:c>
      <x:c r="M1498" s="25" t="str">
        <x:v>Deepseek-flash-v4/state/Round2/status/Lang_3.json; Deepseek-flash-v4/state/Round2/shards/Lang_3.json</x:v>
      </x:c>
      <x:c r="N1498" s="25" t="str">
        <x:v>Deepseek-flash-v4/Result2/Lang_3/result.json</x:v>
      </x:c>
      <x:c r="O1498" s="25" t="str">
        <x:v>Deepseek-flash-v4/Result2/Lang_3/result.json</x:v>
      </x:c>
      <x:c r="P1498"/>
      <x:c r="Q1498" s="21" t="str"/>
      <x:c r="R1498" s="21" t="str"/>
      <x:c r="S1498" s="21" t="str"/>
      <x:c r="T1498" s="17" t="str">
        <x:v>false</x:v>
      </x:c>
      <x:c r="U1498" s="17" t="str">
        <x:v>true</x:v>
      </x:c>
      <x:c r="V1498" s="17" t="str">
        <x:v>false</x:v>
      </x:c>
    </x:row>
    <x:row r="1499" ht="80" customHeight="1">
      <x:c r="A1499" s="25" t="str">
        <x:v>Lang</x:v>
      </x:c>
      <x:c r="B1499" s="25" t="n">
        <x:v>30</x:v>
      </x:c>
      <x:c r="C1499" s="25" t="str">
        <x:v>Round2</x:v>
      </x:c>
      <x:c r="D1499" s="25" t="str">
        <x:v>NOT_AVAILABLE</x:v>
      </x:c>
      <x:c r="E1499" s="25" t="str">
        <x:v>N/A</x:v>
      </x:c>
      <x:c r="F1499" s="26" t="str">
        <x:v>Tests exist but current coverage did not complete</x:v>
      </x:c>
      <x:c r="G1499" s="25" t="str">
        <x:v>true</x:v>
      </x:c>
      <x:c r="H1499" s="25" t="str">
        <x:v>NOT_AVAILABLE</x:v>
      </x:c>
      <x:c r="I1499" s="25" t="str">
        <x:v>NOT_RUN</x:v>
      </x:c>
      <x:c r="J1499" s="25" t="str">
        <x:v>NOT_RUN</x:v>
      </x:c>
      <x:c r="K1499" s="25" t="n">
        <x:v>1</x:v>
      </x:c>
      <x:c r="L1499" s="27" t="b">
        <x:v>0</x:v>
      </x:c>
      <x:c r="M1499" s="25" t="str">
        <x:v>Deepseek-flash-v4/state/Round2/status/Lang_30.json; Deepseek-flash-v4/state/Round2/shards/Lang_30.json</x:v>
      </x:c>
      <x:c r="N1499" s="25" t="str">
        <x:v>Deepseek-flash-v4/Result2/Lang_30/result.json</x:v>
      </x:c>
      <x:c r="O1499" s="25" t="str">
        <x:v>Deepseek-flash-v4/Result2/Lang_30/result.json</x:v>
      </x:c>
      <x:c r="P1499" t="str">
        <x:v>BOTH_NOT_RUN</x:v>
      </x:c>
      <x:c r="Q1499" s="21" t="str"/>
      <x:c r="R1499" s="21" t="str"/>
      <x:c r="S1499" s="21" t="str"/>
      <x:c r="T1499" s="17" t="str">
        <x:v>false</x:v>
      </x:c>
      <x:c r="U1499" s="17" t="str">
        <x:v>true</x:v>
      </x:c>
      <x:c r="V1499" s="17" t="str">
        <x:v>false</x:v>
      </x:c>
    </x:row>
    <x:row r="1500" ht="80" customHeight="1">
      <x:c r="A1500" s="25" t="str">
        <x:v>Lang</x:v>
      </x:c>
      <x:c r="B1500" s="25" t="n">
        <x:v>31</x:v>
      </x:c>
      <x:c r="C1500" s="25" t="str">
        <x:v>Round2</x:v>
      </x:c>
      <x:c r="D1500" s="25" t="str">
        <x:v>INCONCLUSIVE</x:v>
      </x:c>
      <x:c r="E1500" s="25" t="str">
        <x:v>N/A</x:v>
      </x:c>
      <x:c r="F1500" s="26" t="str">
        <x:v>Fixed also failed; assertion failure cannot be attributed to this bug</x:v>
      </x:c>
      <x:c r="G1500" s="25" t="str">
        <x:v>true</x:v>
      </x:c>
      <x:c r="H1500" s="25" t="str">
        <x:v>INCONCLUSIVE</x:v>
      </x:c>
      <x:c r="I1500" s="25" t="str">
        <x:v>FAIL</x:v>
      </x:c>
      <x:c r="J1500" s="25" t="str">
        <x:v>FAIL</x:v>
      </x:c>
      <x:c r="K1500" s="25" t="n">
        <x:v>1</x:v>
      </x:c>
      <x:c r="L1500" s="27" t="b">
        <x:v>0</x:v>
      </x:c>
      <x:c r="M1500" s="25" t="str">
        <x:v>Deepseek-flash-v4/state/Round2/status/Lang_31.json; Deepseek-flash-v4/state/Round2/shards/Lang_31.json</x:v>
      </x:c>
      <x:c r="N1500" s="25" t="str">
        <x:v>Deepseek-flash-v4/Result2/Lang_31/result.json</x:v>
      </x:c>
      <x:c r="O1500" s="25" t="str">
        <x:v>Deepseek-flash-v4/Result2/Lang_31/result.json</x:v>
      </x:c>
      <x:c r="P1500"/>
      <x:c r="Q1500" s="21" t="str"/>
      <x:c r="R1500" s="21" t="str"/>
      <x:c r="S1500" s="21" t="str"/>
      <x:c r="T1500" s="17" t="str">
        <x:v>false</x:v>
      </x:c>
      <x:c r="U1500" s="17" t="str">
        <x:v>true</x:v>
      </x:c>
      <x:c r="V1500" s="17" t="str">
        <x:v>false</x:v>
      </x:c>
    </x:row>
    <x:row r="1501" ht="80" customHeight="1">
      <x:c r="A1501" s="25" t="str">
        <x:v>Lang</x:v>
      </x:c>
      <x:c r="B1501" s="25" t="n">
        <x:v>32</x:v>
      </x:c>
      <x:c r="C1501" s="25" t="str">
        <x:v>Round2</x:v>
      </x:c>
      <x:c r="D1501" s="25" t="str">
        <x:v>INCONCLUSIVE</x:v>
      </x:c>
      <x:c r="E1501" s="25" t="str">
        <x:v>N/A</x:v>
      </x:c>
      <x:c r="F1501" s="26" t="str">
        <x:v>Fixed also failed; assertion failure cannot be attributed to this bug</x:v>
      </x:c>
      <x:c r="G1501" s="25" t="str">
        <x:v>true</x:v>
      </x:c>
      <x:c r="H1501" s="25" t="str">
        <x:v>INCONCLUSIVE</x:v>
      </x:c>
      <x:c r="I1501" s="25" t="str">
        <x:v>FAIL</x:v>
      </x:c>
      <x:c r="J1501" s="25" t="str">
        <x:v>FAIL</x:v>
      </x:c>
      <x:c r="K1501" s="25" t="n">
        <x:v>1</x:v>
      </x:c>
      <x:c r="L1501" s="27" t="b">
        <x:v>0</x:v>
      </x:c>
      <x:c r="M1501" s="25" t="str">
        <x:v>Deepseek-flash-v4/state/Round2/status/Lang_32.json; Deepseek-flash-v4/state/Round2/shards/Lang_32.json</x:v>
      </x:c>
      <x:c r="N1501" s="25" t="str">
        <x:v>Deepseek-flash-v4/Result2/Lang_32/result.json</x:v>
      </x:c>
      <x:c r="O1501" s="25" t="str">
        <x:v>Deepseek-flash-v4/Result2/Lang_32/result.json</x:v>
      </x:c>
      <x:c r="P1501"/>
      <x:c r="Q1501" s="21" t="str"/>
      <x:c r="R1501" s="21" t="str"/>
      <x:c r="S1501" s="21" t="str"/>
      <x:c r="T1501" s="17" t="str">
        <x:v>false</x:v>
      </x:c>
      <x:c r="U1501" s="17" t="str">
        <x:v>true</x:v>
      </x:c>
      <x:c r="V1501" s="17" t="str">
        <x:v>false</x:v>
      </x:c>
    </x:row>
    <x:row r="1502" ht="80" customHeight="1">
      <x:c r="A1502" s="25" t="str">
        <x:v>Lang</x:v>
      </x:c>
      <x:c r="B1502" s="25" t="n">
        <x:v>33</x:v>
      </x:c>
      <x:c r="C1502" s="25" t="str">
        <x:v>Round2</x:v>
      </x:c>
      <x:c r="D1502" s="25" t="str">
        <x:v>NOT_AVAILABLE</x:v>
      </x:c>
      <x:c r="E1502" s="25" t="str">
        <x:v>N/A</x:v>
      </x:c>
      <x:c r="F1502" s="26" t="str">
        <x:v>Tests exist but current coverage did not complete</x:v>
      </x:c>
      <x:c r="G1502" s="25" t="str">
        <x:v>true</x:v>
      </x:c>
      <x:c r="H1502" s="25" t="str">
        <x:v>NOT_AVAILABLE</x:v>
      </x:c>
      <x:c r="I1502" s="25" t="str">
        <x:v>NOT_RUN</x:v>
      </x:c>
      <x:c r="J1502" s="25" t="str">
        <x:v>NOT_RUN</x:v>
      </x:c>
      <x:c r="K1502" s="25" t="n">
        <x:v>1</x:v>
      </x:c>
      <x:c r="L1502" s="27" t="b">
        <x:v>0</x:v>
      </x:c>
      <x:c r="M1502" s="25" t="str">
        <x:v>Deepseek-flash-v4/state/Round2/status/Lang_33.json; Deepseek-flash-v4/state/Round2/shards/Lang_33.json</x:v>
      </x:c>
      <x:c r="N1502" s="25" t="str">
        <x:v>Deepseek-flash-v4/Result2/Lang_33/result.json</x:v>
      </x:c>
      <x:c r="O1502" s="25" t="str">
        <x:v>Deepseek-flash-v4/Result2/Lang_33/result.json</x:v>
      </x:c>
      <x:c r="P1502" t="str">
        <x:v>BOTH_NOT_RUN</x:v>
      </x:c>
      <x:c r="Q1502" s="21" t="str"/>
      <x:c r="R1502" s="21" t="str"/>
      <x:c r="S1502" s="21" t="str"/>
      <x:c r="T1502" s="17" t="str">
        <x:v>false</x:v>
      </x:c>
      <x:c r="U1502" s="17" t="str">
        <x:v>true</x:v>
      </x:c>
      <x:c r="V1502" s="17" t="str">
        <x:v>false</x:v>
      </x:c>
    </x:row>
    <x:row r="1503" ht="80" customHeight="1">
      <x:c r="A1503" s="25" t="str">
        <x:v>Lang</x:v>
      </x:c>
      <x:c r="B1503" s="25" t="n">
        <x:v>34</x:v>
      </x:c>
      <x:c r="C1503" s="25" t="str">
        <x:v>Round2</x:v>
      </x:c>
      <x:c r="D1503" s="25" t="str">
        <x:v>INCONCLUSIVE</x:v>
      </x:c>
      <x:c r="E1503" s="25" t="str">
        <x:v>N/A</x:v>
      </x:c>
      <x:c r="F1503" s="26" t="str">
        <x:v>Fixed also failed; assertion failure cannot be attributed to this bug</x:v>
      </x:c>
      <x:c r="G1503" s="25" t="str">
        <x:v>true</x:v>
      </x:c>
      <x:c r="H1503" s="25" t="str">
        <x:v>INCONCLUSIVE</x:v>
      </x:c>
      <x:c r="I1503" s="25" t="str">
        <x:v>FAIL</x:v>
      </x:c>
      <x:c r="J1503" s="25" t="str">
        <x:v>FAIL</x:v>
      </x:c>
      <x:c r="K1503" s="25" t="n">
        <x:v>1</x:v>
      </x:c>
      <x:c r="L1503" s="27" t="b">
        <x:v>0</x:v>
      </x:c>
      <x:c r="M1503" s="25" t="str">
        <x:v>Deepseek-flash-v4/state/Round2/status/Lang_34.json; Deepseek-flash-v4/state/Round2/shards/Lang_34.json</x:v>
      </x:c>
      <x:c r="N1503" s="25" t="str">
        <x:v>Deepseek-flash-v4/Result2/Lang_34/result.json</x:v>
      </x:c>
      <x:c r="O1503" s="25" t="str">
        <x:v>Deepseek-flash-v4/Result2/Lang_34/result.json</x:v>
      </x:c>
      <x:c r="P1503"/>
      <x:c r="Q1503" s="21" t="str"/>
      <x:c r="R1503" s="21" t="str"/>
      <x:c r="S1503" s="21" t="str"/>
      <x:c r="T1503" s="17" t="str">
        <x:v>false</x:v>
      </x:c>
      <x:c r="U1503" s="17" t="str">
        <x:v>true</x:v>
      </x:c>
      <x:c r="V1503" s="17" t="str">
        <x:v>false</x:v>
      </x:c>
    </x:row>
    <x:row r="1504" ht="80" customHeight="1">
      <x:c r="A1504" s="25" t="str">
        <x:v>Lang</x:v>
      </x:c>
      <x:c r="B1504" s="25" t="n">
        <x:v>35</x:v>
      </x:c>
      <x:c r="C1504" s="25" t="str">
        <x:v>Round2</x:v>
      </x:c>
      <x:c r="D1504" s="25" t="str">
        <x:v>INCONCLUSIVE</x:v>
      </x:c>
      <x:c r="E1504" s="25" t="str">
        <x:v>N/A</x:v>
      </x:c>
      <x:c r="F1504" s="26" t="str">
        <x:v>Fixed also failed; assertion failure cannot be attributed to this bug</x:v>
      </x:c>
      <x:c r="G1504" s="25" t="str">
        <x:v>true</x:v>
      </x:c>
      <x:c r="H1504" s="25" t="str">
        <x:v>INCONCLUSIVE</x:v>
      </x:c>
      <x:c r="I1504" s="25" t="str">
        <x:v>FAIL</x:v>
      </x:c>
      <x:c r="J1504" s="25" t="str">
        <x:v>FAIL</x:v>
      </x:c>
      <x:c r="K1504" s="25" t="n">
        <x:v>1</x:v>
      </x:c>
      <x:c r="L1504" s="27" t="b">
        <x:v>0</x:v>
      </x:c>
      <x:c r="M1504" s="25" t="str">
        <x:v>Deepseek-flash-v4/state/Round2/status/Lang_35.json; Deepseek-flash-v4/state/Round2/shards/Lang_35.json</x:v>
      </x:c>
      <x:c r="N1504" s="25" t="str">
        <x:v>Deepseek-flash-v4/Result2/Lang_35/result.json</x:v>
      </x:c>
      <x:c r="O1504" s="25" t="str">
        <x:v>Deepseek-flash-v4/Result2/Lang_35/result.json</x:v>
      </x:c>
      <x:c r="P1504"/>
      <x:c r="Q1504" s="21" t="str"/>
      <x:c r="R1504" s="21" t="str"/>
      <x:c r="S1504" s="21" t="str"/>
      <x:c r="T1504" s="17" t="str">
        <x:v>false</x:v>
      </x:c>
      <x:c r="U1504" s="17" t="str">
        <x:v>true</x:v>
      </x:c>
      <x:c r="V1504" s="17" t="str">
        <x:v>false</x:v>
      </x:c>
    </x:row>
    <x:row r="1505" ht="80" customHeight="1">
      <x:c r="A1505" s="25" t="str">
        <x:v>Lang</x:v>
      </x:c>
      <x:c r="B1505" s="25" t="n">
        <x:v>36</x:v>
      </x:c>
      <x:c r="C1505" s="25" t="str">
        <x:v>Round2</x:v>
      </x:c>
      <x:c r="D1505" s="25" t="str">
        <x:v>NOT_AVAILABLE</x:v>
      </x:c>
      <x:c r="E1505" s="25" t="str">
        <x:v>N/A</x:v>
      </x:c>
      <x:c r="F1505" s="26" t="str">
        <x:v>Tests exist but current coverage did not complete</x:v>
      </x:c>
      <x:c r="G1505" s="25" t="str">
        <x:v>true</x:v>
      </x:c>
      <x:c r="H1505" s="25" t="str">
        <x:v>NOT_AVAILABLE</x:v>
      </x:c>
      <x:c r="I1505" s="25" t="str">
        <x:v>NOT_RUN</x:v>
      </x:c>
      <x:c r="J1505" s="25" t="str">
        <x:v>NOT_RUN</x:v>
      </x:c>
      <x:c r="K1505" s="25" t="n">
        <x:v>1</x:v>
      </x:c>
      <x:c r="L1505" s="27" t="b">
        <x:v>0</x:v>
      </x:c>
      <x:c r="M1505" s="25" t="str">
        <x:v>Deepseek-flash-v4/state/Round2/status/Lang_36.json; Deepseek-flash-v4/state/Round2/shards/Lang_36.json</x:v>
      </x:c>
      <x:c r="N1505" s="25" t="str">
        <x:v>Deepseek-flash-v4/Result2/Lang_36/result.json</x:v>
      </x:c>
      <x:c r="O1505" s="25" t="str">
        <x:v>Deepseek-flash-v4/Result2/Lang_36/result.json</x:v>
      </x:c>
      <x:c r="P1505" t="str">
        <x:v>BOTH_NOT_RUN</x:v>
      </x:c>
      <x:c r="Q1505" s="21" t="str"/>
      <x:c r="R1505" s="21" t="str"/>
      <x:c r="S1505" s="21" t="str"/>
      <x:c r="T1505" s="17" t="str">
        <x:v>false</x:v>
      </x:c>
      <x:c r="U1505" s="17" t="str">
        <x:v>true</x:v>
      </x:c>
      <x:c r="V1505" s="17" t="str">
        <x:v>false</x:v>
      </x:c>
    </x:row>
    <x:row r="1506" ht="80" customHeight="1">
      <x:c r="A1506" s="25" t="str">
        <x:v>Lang</x:v>
      </x:c>
      <x:c r="B1506" s="25" t="n">
        <x:v>37</x:v>
      </x:c>
      <x:c r="C1506" s="25" t="str">
        <x:v>Round2</x:v>
      </x:c>
      <x:c r="D1506" s="25" t="str">
        <x:v>NOT_REVEALING</x:v>
      </x:c>
      <x:c r="E1506" s="25" t="str">
        <x:v>N/A</x:v>
      </x:c>
      <x:c r="F1506" s="26" t="str">
        <x:v>Same saved validation suite passed on buggy and fixed</x:v>
      </x:c>
      <x:c r="G1506" s="25" t="str">
        <x:v>true</x:v>
      </x:c>
      <x:c r="H1506" s="25" t="str">
        <x:v>NOT_REVEALING</x:v>
      </x:c>
      <x:c r="I1506" s="25" t="str">
        <x:v>PASS</x:v>
      </x:c>
      <x:c r="J1506" s="25" t="str">
        <x:v>PASS</x:v>
      </x:c>
      <x:c r="K1506" s="25" t="n">
        <x:v>1</x:v>
      </x:c>
      <x:c r="L1506" s="27" t="b">
        <x:v>0</x:v>
      </x:c>
      <x:c r="M1506" s="25" t="str">
        <x:v>Deepseek-flash-v4/state/Round2/status/Lang_37.json; Deepseek-flash-v4/state/Round2/shards/Lang_37.json</x:v>
      </x:c>
      <x:c r="N1506" s="25" t="str">
        <x:v>Deepseek-flash-v4/Result2/Lang_37/result.json</x:v>
      </x:c>
      <x:c r="O1506" s="25" t="str">
        <x:v>Deepseek-flash-v4/Result2/Lang_37/result.json</x:v>
      </x:c>
      <x:c r="P1506"/>
      <x:c r="Q1506" s="21" t="str"/>
      <x:c r="R1506" s="21" t="str"/>
      <x:c r="S1506" s="21" t="str"/>
      <x:c r="T1506" s="17" t="str">
        <x:v>false</x:v>
      </x:c>
      <x:c r="U1506" s="17" t="str">
        <x:v>true</x:v>
      </x:c>
      <x:c r="V1506" s="17" t="str">
        <x:v>false</x:v>
      </x:c>
    </x:row>
    <x:row r="1507" ht="80" customHeight="1">
      <x:c r="A1507" s="25" t="str">
        <x:v>Lang</x:v>
      </x:c>
      <x:c r="B1507" s="25" t="n">
        <x:v>38</x:v>
      </x:c>
      <x:c r="C1507" s="25" t="str">
        <x:v>Round2</x:v>
      </x:c>
      <x:c r="D1507" s="25" t="str">
        <x:v>REVEALING</x:v>
      </x:c>
      <x:c r="E1507" s="25" t="str">
        <x:v>N/A</x:v>
      </x:c>
      <x:c r="F1507" s="26" t="str">
        <x:v>Same saved validation suite failed on buggy and passed on fixed; Same-round generation metadata missing; use saved tests and execution evidence, no failure inferred</x:v>
      </x:c>
      <x:c r="G1507" s="25" t="str">
        <x:v>true</x:v>
      </x:c>
      <x:c r="H1507" s="25" t="str">
        <x:v>REVEALING</x:v>
      </x:c>
      <x:c r="I1507" s="25" t="str">
        <x:v>FAIL</x:v>
      </x:c>
      <x:c r="J1507" s="25" t="str">
        <x:v>PASS</x:v>
      </x:c>
      <x:c r="K1507" s="25" t="n">
        <x:v>1</x:v>
      </x:c>
      <x:c r="L1507" s="27" t="b">
        <x:v>0</x:v>
      </x:c>
      <x:c r="M1507" s="25"/>
      <x:c r="N1507" s="25" t="str">
        <x:v>Deepseek-flash-v4/Result2/Lang_38/result.json</x:v>
      </x:c>
      <x:c r="O1507" s="25" t="str">
        <x:v>Deepseek-flash-v4/Result2/Lang_38/result.json</x:v>
      </x:c>
      <x:c r="P1507"/>
      <x:c r="Q1507" s="21" t="str"/>
      <x:c r="R1507" s="21" t="str"/>
      <x:c r="S1507" s="21" t="str"/>
      <x:c r="T1507" s="17" t="str">
        <x:v>false</x:v>
      </x:c>
      <x:c r="U1507" s="17" t="str">
        <x:v>true</x:v>
      </x:c>
      <x:c r="V1507" s="17" t="str">
        <x:v>false</x:v>
      </x:c>
    </x:row>
    <x:row r="1508" ht="80" customHeight="1">
      <x:c r="A1508" s="25" t="str">
        <x:v>Lang</x:v>
      </x:c>
      <x:c r="B1508" s="25" t="n">
        <x:v>39</x:v>
      </x:c>
      <x:c r="C1508" s="25" t="str">
        <x:v>Round2</x:v>
      </x:c>
      <x:c r="D1508" s="25" t="str">
        <x:v>INCONCLUSIVE</x:v>
      </x:c>
      <x:c r="E1508" s="25" t="str">
        <x:v>N/A</x:v>
      </x:c>
      <x:c r="F1508" s="26" t="str">
        <x:v>Fixed also failed; assertion failure cannot be attributed to this bug</x:v>
      </x:c>
      <x:c r="G1508" s="25" t="str">
        <x:v>true</x:v>
      </x:c>
      <x:c r="H1508" s="25" t="str">
        <x:v>INCONCLUSIVE</x:v>
      </x:c>
      <x:c r="I1508" s="25" t="str">
        <x:v>FAIL</x:v>
      </x:c>
      <x:c r="J1508" s="25" t="str">
        <x:v>FAIL</x:v>
      </x:c>
      <x:c r="K1508" s="25" t="n">
        <x:v>1</x:v>
      </x:c>
      <x:c r="L1508" s="27" t="b">
        <x:v>0</x:v>
      </x:c>
      <x:c r="M1508" s="25" t="str">
        <x:v>Deepseek-flash-v4/state/Round2/status/Lang_39.json; Deepseek-flash-v4/state/Round2/shards/Lang_39.json</x:v>
      </x:c>
      <x:c r="N1508" s="25" t="str">
        <x:v>Deepseek-flash-v4/Result2/Lang_39/result.json</x:v>
      </x:c>
      <x:c r="O1508" s="25" t="str">
        <x:v>Deepseek-flash-v4/Result2/Lang_39/result.json</x:v>
      </x:c>
      <x:c r="P1508"/>
      <x:c r="Q1508" s="21" t="str"/>
      <x:c r="R1508" s="21" t="str"/>
      <x:c r="S1508" s="21" t="str"/>
      <x:c r="T1508" s="17" t="str">
        <x:v>false</x:v>
      </x:c>
      <x:c r="U1508" s="17" t="str">
        <x:v>true</x:v>
      </x:c>
      <x:c r="V1508" s="17" t="str">
        <x:v>false</x:v>
      </x:c>
    </x:row>
    <x:row r="1509" ht="80" customHeight="1">
      <x:c r="A1509" s="25" t="str">
        <x:v>Lang</x:v>
      </x:c>
      <x:c r="B1509" s="25" t="n">
        <x:v>4</x:v>
      </x:c>
      <x:c r="C1509" s="25" t="str">
        <x:v>Round2</x:v>
      </x:c>
      <x:c r="D1509" s="25" t="str">
        <x:v>INCONCLUSIVE</x:v>
      </x:c>
      <x:c r="E1509" s="25" t="str">
        <x:v>N/A</x:v>
      </x:c>
      <x:c r="F1509" s="26" t="str">
        <x:v>Fixed also failed; assertion failure cannot be attributed to this bug; Same-round generation metadata missing; use saved tests and execution evidence, no failure inferred</x:v>
      </x:c>
      <x:c r="G1509" s="25" t="str">
        <x:v>true</x:v>
      </x:c>
      <x:c r="H1509" s="25" t="str">
        <x:v>INCONCLUSIVE</x:v>
      </x:c>
      <x:c r="I1509" s="25" t="str">
        <x:v>FAIL</x:v>
      </x:c>
      <x:c r="J1509" s="25" t="str">
        <x:v>FAIL</x:v>
      </x:c>
      <x:c r="K1509" s="25" t="n">
        <x:v>1</x:v>
      </x:c>
      <x:c r="L1509" s="27" t="b">
        <x:v>0</x:v>
      </x:c>
      <x:c r="M1509" s="25"/>
      <x:c r="N1509" s="25" t="str">
        <x:v>Deepseek-flash-v4/Result2/Lang_4/result.json</x:v>
      </x:c>
      <x:c r="O1509" s="25" t="str">
        <x:v>Deepseek-flash-v4/Result2/Lang_4/result.json</x:v>
      </x:c>
      <x:c r="P1509"/>
      <x:c r="Q1509" s="21" t="str"/>
      <x:c r="R1509" s="21" t="str"/>
      <x:c r="S1509" s="21" t="str"/>
      <x:c r="T1509" s="17" t="str">
        <x:v>false</x:v>
      </x:c>
      <x:c r="U1509" s="17" t="str">
        <x:v>true</x:v>
      </x:c>
      <x:c r="V1509" s="17" t="str">
        <x:v>false</x:v>
      </x:c>
    </x:row>
    <x:row r="1510" ht="80" customHeight="1">
      <x:c r="A1510" s="25" t="str">
        <x:v>Lang</x:v>
      </x:c>
      <x:c r="B1510" s="25" t="n">
        <x:v>40</x:v>
      </x:c>
      <x:c r="C1510" s="25" t="str">
        <x:v>Round2</x:v>
      </x:c>
      <x:c r="D1510" s="25" t="str">
        <x:v>INCONCLUSIVE</x:v>
      </x:c>
      <x:c r="E1510" s="25" t="str">
        <x:v>N/A</x:v>
      </x:c>
      <x:c r="F1510" s="26" t="str">
        <x:v>Fixed also failed; assertion failure cannot be attributed to this bug</x:v>
      </x:c>
      <x:c r="G1510" s="25" t="str">
        <x:v>true</x:v>
      </x:c>
      <x:c r="H1510" s="25" t="str">
        <x:v>INCONCLUSIVE</x:v>
      </x:c>
      <x:c r="I1510" s="25" t="str">
        <x:v>FAIL</x:v>
      </x:c>
      <x:c r="J1510" s="25" t="str">
        <x:v>FAIL</x:v>
      </x:c>
      <x:c r="K1510" s="25" t="n">
        <x:v>1</x:v>
      </x:c>
      <x:c r="L1510" s="27" t="b">
        <x:v>0</x:v>
      </x:c>
      <x:c r="M1510" s="25" t="str">
        <x:v>Deepseek-flash-v4/state/Round2/status/Lang_40.json; Deepseek-flash-v4/state/Round2/shards/Lang_40.json</x:v>
      </x:c>
      <x:c r="N1510" s="25" t="str">
        <x:v>Deepseek-flash-v4/Result2/Lang_40/result.json</x:v>
      </x:c>
      <x:c r="O1510" s="25" t="str">
        <x:v>Deepseek-flash-v4/Result2/Lang_40/result.json</x:v>
      </x:c>
      <x:c r="P1510"/>
      <x:c r="Q1510" s="21" t="str"/>
      <x:c r="R1510" s="21" t="str"/>
      <x:c r="S1510" s="21" t="str"/>
      <x:c r="T1510" s="17" t="str">
        <x:v>false</x:v>
      </x:c>
      <x:c r="U1510" s="17" t="str">
        <x:v>true</x:v>
      </x:c>
      <x:c r="V1510" s="17" t="str">
        <x:v>false</x:v>
      </x:c>
    </x:row>
    <x:row r="1511" ht="80" customHeight="1">
      <x:c r="A1511" s="25" t="str">
        <x:v>Lang</x:v>
      </x:c>
      <x:c r="B1511" s="25" t="n">
        <x:v>41</x:v>
      </x:c>
      <x:c r="C1511" s="25" t="str">
        <x:v>Round2</x:v>
      </x:c>
      <x:c r="D1511" s="25" t="str">
        <x:v>NOT_AVAILABLE</x:v>
      </x:c>
      <x:c r="E1511" s="25" t="str">
        <x:v>N/A</x:v>
      </x:c>
      <x:c r="F1511" s="26" t="str">
        <x:v>Tests exist but current coverage did not complete</x:v>
      </x:c>
      <x:c r="G1511" s="25" t="str">
        <x:v>true</x:v>
      </x:c>
      <x:c r="H1511" s="25" t="str">
        <x:v>NOT_AVAILABLE</x:v>
      </x:c>
      <x:c r="I1511" s="25" t="str">
        <x:v>NOT_RUN</x:v>
      </x:c>
      <x:c r="J1511" s="25" t="str">
        <x:v>NOT_RUN</x:v>
      </x:c>
      <x:c r="K1511" s="25" t="n">
        <x:v>1</x:v>
      </x:c>
      <x:c r="L1511" s="27" t="b">
        <x:v>0</x:v>
      </x:c>
      <x:c r="M1511" s="25" t="str">
        <x:v>Deepseek-flash-v4/state/Round2/status/Lang_41.json; Deepseek-flash-v4/state/Round2/shards/Lang_41.json</x:v>
      </x:c>
      <x:c r="N1511" s="25" t="str">
        <x:v>Deepseek-flash-v4/Result2/Lang_41/result.json</x:v>
      </x:c>
      <x:c r="O1511" s="25" t="str">
        <x:v>Deepseek-flash-v4/Result2/Lang_41/result.json</x:v>
      </x:c>
      <x:c r="P1511" t="str">
        <x:v>BOTH_NOT_RUN</x:v>
      </x:c>
      <x:c r="Q1511" s="21" t="str"/>
      <x:c r="R1511" s="21" t="str"/>
      <x:c r="S1511" s="21" t="str"/>
      <x:c r="T1511" s="17" t="str">
        <x:v>false</x:v>
      </x:c>
      <x:c r="U1511" s="17" t="str">
        <x:v>true</x:v>
      </x:c>
      <x:c r="V1511" s="17" t="str">
        <x:v>false</x:v>
      </x:c>
    </x:row>
    <x:row r="1512" ht="80" customHeight="1">
      <x:c r="A1512" s="25" t="str">
        <x:v>Lang</x:v>
      </x:c>
      <x:c r="B1512" s="25" t="n">
        <x:v>42</x:v>
      </x:c>
      <x:c r="C1512" s="25" t="str">
        <x:v>Round2</x:v>
      </x:c>
      <x:c r="D1512" s="25" t="str">
        <x:v>INCONCLUSIVE</x:v>
      </x:c>
      <x:c r="E1512" s="25" t="str">
        <x:v>N/A</x:v>
      </x:c>
      <x:c r="F1512" s="26" t="str">
        <x:v>Fixed also failed; assertion failure cannot be attributed to this bug</x:v>
      </x:c>
      <x:c r="G1512" s="25" t="str">
        <x:v>true</x:v>
      </x:c>
      <x:c r="H1512" s="25" t="str">
        <x:v>INCONCLUSIVE</x:v>
      </x:c>
      <x:c r="I1512" s="25" t="str">
        <x:v>FAIL</x:v>
      </x:c>
      <x:c r="J1512" s="25" t="str">
        <x:v>FAIL</x:v>
      </x:c>
      <x:c r="K1512" s="25" t="n">
        <x:v>1</x:v>
      </x:c>
      <x:c r="L1512" s="27" t="b">
        <x:v>0</x:v>
      </x:c>
      <x:c r="M1512" s="25" t="str">
        <x:v>Deepseek-flash-v4/state/Round2/status/Lang_42.json; Deepseek-flash-v4/state/Round2/shards/Lang_42.json</x:v>
      </x:c>
      <x:c r="N1512" s="25" t="str">
        <x:v>Deepseek-flash-v4/Result2/Lang_42/result.json</x:v>
      </x:c>
      <x:c r="O1512" s="25" t="str">
        <x:v>Deepseek-flash-v4/Result2/Lang_42/result.json</x:v>
      </x:c>
      <x:c r="P1512"/>
      <x:c r="Q1512" s="21" t="str"/>
      <x:c r="R1512" s="21" t="str"/>
      <x:c r="S1512" s="21" t="str"/>
      <x:c r="T1512" s="17" t="str">
        <x:v>false</x:v>
      </x:c>
      <x:c r="U1512" s="17" t="str">
        <x:v>true</x:v>
      </x:c>
      <x:c r="V1512" s="17" t="str">
        <x:v>false</x:v>
      </x:c>
    </x:row>
    <x:row r="1513" ht="80" customHeight="1">
      <x:c r="A1513" s="25" t="str">
        <x:v>Lang</x:v>
      </x:c>
      <x:c r="B1513" s="25" t="n">
        <x:v>43</x:v>
      </x:c>
      <x:c r="C1513" s="25" t="str">
        <x:v>Round2</x:v>
      </x:c>
      <x:c r="D1513" s="25" t="str">
        <x:v>NOT_AVAILABLE</x:v>
      </x:c>
      <x:c r="E1513" s="25" t="str">
        <x:v>N/A</x:v>
      </x:c>
      <x:c r="F1513" s="26" t="str">
        <x:v>Tests exist but current coverage did not complete</x:v>
      </x:c>
      <x:c r="G1513" s="25" t="str">
        <x:v>true</x:v>
      </x:c>
      <x:c r="H1513" s="25" t="str">
        <x:v>NOT_AVAILABLE</x:v>
      </x:c>
      <x:c r="I1513" s="25" t="str">
        <x:v>NOT_RUN</x:v>
      </x:c>
      <x:c r="J1513" s="25" t="str">
        <x:v>NOT_RUN</x:v>
      </x:c>
      <x:c r="K1513" s="25" t="n">
        <x:v>1</x:v>
      </x:c>
      <x:c r="L1513" s="27" t="b">
        <x:v>0</x:v>
      </x:c>
      <x:c r="M1513" s="25" t="str">
        <x:v>Deepseek-flash-v4/state/Round2/status/Lang_43.json; Deepseek-flash-v4/state/Round2/shards/Lang_43.json</x:v>
      </x:c>
      <x:c r="N1513" s="25" t="str">
        <x:v>Deepseek-flash-v4/Result2/Lang_43/result.json</x:v>
      </x:c>
      <x:c r="O1513" s="25" t="str">
        <x:v>Deepseek-flash-v4/Result2/Lang_43/result.json</x:v>
      </x:c>
      <x:c r="P1513" t="str">
        <x:v>BOTH_NOT_RUN</x:v>
      </x:c>
      <x:c r="Q1513" s="21" t="str"/>
      <x:c r="R1513" s="21" t="str"/>
      <x:c r="S1513" s="21" t="str"/>
      <x:c r="T1513" s="17" t="str">
        <x:v>false</x:v>
      </x:c>
      <x:c r="U1513" s="17" t="str">
        <x:v>true</x:v>
      </x:c>
      <x:c r="V1513" s="17" t="str">
        <x:v>false</x:v>
      </x:c>
    </x:row>
    <x:row r="1514" ht="80" customHeight="1">
      <x:c r="A1514" s="25" t="str">
        <x:v>Lang</x:v>
      </x:c>
      <x:c r="B1514" s="25" t="n">
        <x:v>44</x:v>
      </x:c>
      <x:c r="C1514" s="25" t="str">
        <x:v>Round2</x:v>
      </x:c>
      <x:c r="D1514" s="25" t="str">
        <x:v>INCONCLUSIVE</x:v>
      </x:c>
      <x:c r="E1514" s="25" t="str">
        <x:v>N/A</x:v>
      </x:c>
      <x:c r="F1514" s="26" t="str">
        <x:v>Fixed also failed; assertion failure cannot be attributed to this bug; Same-round generation metadata missing; use saved tests and execution evidence, no failure inferred</x:v>
      </x:c>
      <x:c r="G1514" s="25" t="str">
        <x:v>true</x:v>
      </x:c>
      <x:c r="H1514" s="25" t="str">
        <x:v>INCONCLUSIVE</x:v>
      </x:c>
      <x:c r="I1514" s="25" t="str">
        <x:v>FAIL</x:v>
      </x:c>
      <x:c r="J1514" s="25" t="str">
        <x:v>FAIL</x:v>
      </x:c>
      <x:c r="K1514" s="25" t="n">
        <x:v>1</x:v>
      </x:c>
      <x:c r="L1514" s="27" t="b">
        <x:v>0</x:v>
      </x:c>
      <x:c r="M1514" s="25"/>
      <x:c r="N1514" s="25" t="str">
        <x:v>Deepseek-flash-v4/Result2/Lang_44/result.json</x:v>
      </x:c>
      <x:c r="O1514" s="25" t="str">
        <x:v>Deepseek-flash-v4/Result2/Lang_44/result.json</x:v>
      </x:c>
      <x:c r="P1514"/>
      <x:c r="Q1514" s="21" t="str"/>
      <x:c r="R1514" s="21" t="str"/>
      <x:c r="S1514" s="21" t="str"/>
      <x:c r="T1514" s="17" t="str">
        <x:v>false</x:v>
      </x:c>
      <x:c r="U1514" s="17" t="str">
        <x:v>true</x:v>
      </x:c>
      <x:c r="V1514" s="17" t="str">
        <x:v>false</x:v>
      </x:c>
    </x:row>
    <x:row r="1515" ht="80" customHeight="1">
      <x:c r="A1515" s="25" t="str">
        <x:v>Lang</x:v>
      </x:c>
      <x:c r="B1515" s="25" t="n">
        <x:v>45</x:v>
      </x:c>
      <x:c r="C1515" s="25" t="str">
        <x:v>Round2</x:v>
      </x:c>
      <x:c r="D1515" s="25" t="str">
        <x:v>INCONCLUSIVE</x:v>
      </x:c>
      <x:c r="E1515" s="25" t="str">
        <x:v>N/A</x:v>
      </x:c>
      <x:c r="F1515" s="26" t="str">
        <x:v>Fixed also failed; assertion failure cannot be attributed to this bug; Same-round generation metadata missing; use saved tests and execution evidence, no failure inferred</x:v>
      </x:c>
      <x:c r="G1515" s="25" t="str">
        <x:v>true</x:v>
      </x:c>
      <x:c r="H1515" s="25" t="str">
        <x:v>INCONCLUSIVE</x:v>
      </x:c>
      <x:c r="I1515" s="25" t="str">
        <x:v>FAIL</x:v>
      </x:c>
      <x:c r="J1515" s="25" t="str">
        <x:v>FAIL</x:v>
      </x:c>
      <x:c r="K1515" s="25" t="n">
        <x:v>1</x:v>
      </x:c>
      <x:c r="L1515" s="27" t="b">
        <x:v>0</x:v>
      </x:c>
      <x:c r="M1515" s="25"/>
      <x:c r="N1515" s="25" t="str">
        <x:v>Deepseek-flash-v4/Result2/Lang_45/result.json</x:v>
      </x:c>
      <x:c r="O1515" s="25" t="str">
        <x:v>Deepseek-flash-v4/Result2/Lang_45/result.json</x:v>
      </x:c>
      <x:c r="P1515"/>
      <x:c r="Q1515" s="21" t="str"/>
      <x:c r="R1515" s="21" t="str"/>
      <x:c r="S1515" s="21" t="str"/>
      <x:c r="T1515" s="17" t="str">
        <x:v>false</x:v>
      </x:c>
      <x:c r="U1515" s="17" t="str">
        <x:v>true</x:v>
      </x:c>
      <x:c r="V1515" s="17" t="str">
        <x:v>false</x:v>
      </x:c>
    </x:row>
    <x:row r="1516" ht="80" customHeight="1">
      <x:c r="A1516" s="25" t="str">
        <x:v>Lang</x:v>
      </x:c>
      <x:c r="B1516" s="25" t="n">
        <x:v>46</x:v>
      </x:c>
      <x:c r="C1516" s="25" t="str">
        <x:v>Round2</x:v>
      </x:c>
      <x:c r="D1516" s="25" t="str">
        <x:v>INCONCLUSIVE</x:v>
      </x:c>
      <x:c r="E1516" s="25" t="str">
        <x:v>N/A</x:v>
      </x:c>
      <x:c r="F1516" s="26" t="str">
        <x:v>Fixed also failed; assertion failure cannot be attributed to this bug</x:v>
      </x:c>
      <x:c r="G1516" s="25" t="str">
        <x:v>true</x:v>
      </x:c>
      <x:c r="H1516" s="25" t="str">
        <x:v>INCONCLUSIVE</x:v>
      </x:c>
      <x:c r="I1516" s="25" t="str">
        <x:v>FAIL</x:v>
      </x:c>
      <x:c r="J1516" s="25" t="str">
        <x:v>FAIL</x:v>
      </x:c>
      <x:c r="K1516" s="25" t="n">
        <x:v>1</x:v>
      </x:c>
      <x:c r="L1516" s="27" t="b">
        <x:v>0</x:v>
      </x:c>
      <x:c r="M1516" s="25" t="str">
        <x:v>Deepseek-flash-v4/state/Round2/status/Lang_46.json; Deepseek-flash-v4/state/Round2/shards/Lang_46.json</x:v>
      </x:c>
      <x:c r="N1516" s="25" t="str">
        <x:v>Deepseek-flash-v4/Result2/Lang_46/result.json</x:v>
      </x:c>
      <x:c r="O1516" s="25" t="str">
        <x:v>Deepseek-flash-v4/Result2/Lang_46/result.json</x:v>
      </x:c>
      <x:c r="P1516"/>
      <x:c r="Q1516" s="21" t="str"/>
      <x:c r="R1516" s="21" t="str"/>
      <x:c r="S1516" s="21" t="str"/>
      <x:c r="T1516" s="17" t="str">
        <x:v>false</x:v>
      </x:c>
      <x:c r="U1516" s="17" t="str">
        <x:v>true</x:v>
      </x:c>
      <x:c r="V1516" s="17" t="str">
        <x:v>false</x:v>
      </x:c>
    </x:row>
    <x:row r="1517" ht="80" customHeight="1">
      <x:c r="A1517" s="25" t="str">
        <x:v>Lang</x:v>
      </x:c>
      <x:c r="B1517" s="25" t="n">
        <x:v>47</x:v>
      </x:c>
      <x:c r="C1517" s="25" t="str">
        <x:v>Round2</x:v>
      </x:c>
      <x:c r="D1517" s="25" t="str">
        <x:v>NOT_AVAILABLE</x:v>
      </x:c>
      <x:c r="E1517" s="25" t="str">
        <x:v>N/A</x:v>
      </x:c>
      <x:c r="F1517" s="26" t="str">
        <x:v>Tests exist but current coverage did not complete</x:v>
      </x:c>
      <x:c r="G1517" s="25" t="str">
        <x:v>true</x:v>
      </x:c>
      <x:c r="H1517" s="25" t="str">
        <x:v>NOT_AVAILABLE</x:v>
      </x:c>
      <x:c r="I1517" s="25" t="str">
        <x:v>NOT_RUN</x:v>
      </x:c>
      <x:c r="J1517" s="25" t="str">
        <x:v>NOT_RUN</x:v>
      </x:c>
      <x:c r="K1517" s="25" t="n">
        <x:v>1</x:v>
      </x:c>
      <x:c r="L1517" s="27" t="b">
        <x:v>0</x:v>
      </x:c>
      <x:c r="M1517" s="25" t="str">
        <x:v>Deepseek-flash-v4/state/Round2/status/Lang_47.json; Deepseek-flash-v4/state/Round2/shards/Lang_47.json</x:v>
      </x:c>
      <x:c r="N1517" s="25" t="str">
        <x:v>Deepseek-flash-v4/Result2/Lang_47/result.json</x:v>
      </x:c>
      <x:c r="O1517" s="25" t="str">
        <x:v>Deepseek-flash-v4/Result2/Lang_47/result.json</x:v>
      </x:c>
      <x:c r="P1517" t="str">
        <x:v>BOTH_NOT_RUN</x:v>
      </x:c>
      <x:c r="Q1517" s="21" t="str"/>
      <x:c r="R1517" s="21" t="str"/>
      <x:c r="S1517" s="21" t="str"/>
      <x:c r="T1517" s="17" t="str">
        <x:v>false</x:v>
      </x:c>
      <x:c r="U1517" s="17" t="str">
        <x:v>true</x:v>
      </x:c>
      <x:c r="V1517" s="17" t="str">
        <x:v>false</x:v>
      </x:c>
    </x:row>
    <x:row r="1518" ht="80" customHeight="1">
      <x:c r="A1518" s="25" t="str">
        <x:v>Lang</x:v>
      </x:c>
      <x:c r="B1518" s="25" t="n">
        <x:v>49</x:v>
      </x:c>
      <x:c r="C1518" s="25" t="str">
        <x:v>Round2</x:v>
      </x:c>
      <x:c r="D1518" s="25" t="str">
        <x:v>INCONCLUSIVE</x:v>
      </x:c>
      <x:c r="E1518" s="25" t="str">
        <x:v>N/A</x:v>
      </x:c>
      <x:c r="F1518" s="26" t="str">
        <x:v>Fixed also failed; assertion failure cannot be attributed to this bug; Same-round generation metadata missing; use saved tests and execution evidence, no failure inferred</x:v>
      </x:c>
      <x:c r="G1518" s="25" t="str">
        <x:v>true</x:v>
      </x:c>
      <x:c r="H1518" s="25" t="str">
        <x:v>INCONCLUSIVE</x:v>
      </x:c>
      <x:c r="I1518" s="25" t="str">
        <x:v>FAIL</x:v>
      </x:c>
      <x:c r="J1518" s="25" t="str">
        <x:v>FAIL</x:v>
      </x:c>
      <x:c r="K1518" s="25" t="n">
        <x:v>1</x:v>
      </x:c>
      <x:c r="L1518" s="27" t="b">
        <x:v>0</x:v>
      </x:c>
      <x:c r="M1518" s="25"/>
      <x:c r="N1518" s="25" t="str">
        <x:v>Deepseek-flash-v4/Result2/Lang_49/result.json</x:v>
      </x:c>
      <x:c r="O1518" s="25" t="str">
        <x:v>Deepseek-flash-v4/Result2/Lang_49/result.json</x:v>
      </x:c>
      <x:c r="P1518"/>
      <x:c r="Q1518" s="21" t="str"/>
      <x:c r="R1518" s="21" t="str"/>
      <x:c r="S1518" s="21" t="str"/>
      <x:c r="T1518" s="17" t="str">
        <x:v>false</x:v>
      </x:c>
      <x:c r="U1518" s="17" t="str">
        <x:v>true</x:v>
      </x:c>
      <x:c r="V1518" s="17" t="str">
        <x:v>false</x:v>
      </x:c>
    </x:row>
    <x:row r="1519" ht="80" customHeight="1">
      <x:c r="A1519" s="25" t="str">
        <x:v>Lang</x:v>
      </x:c>
      <x:c r="B1519" s="25" t="n">
        <x:v>5</x:v>
      </x:c>
      <x:c r="C1519" s="25" t="str">
        <x:v>Round2</x:v>
      </x:c>
      <x:c r="D1519" s="25" t="str">
        <x:v>INCONCLUSIVE</x:v>
      </x:c>
      <x:c r="E1519" s="25" t="str">
        <x:v>N/A</x:v>
      </x:c>
      <x:c r="F1519" s="26" t="str">
        <x:v>Fixed also failed; assertion failure cannot be attributed to this bug; Same-round generation metadata missing; use saved tests and execution evidence, no failure inferred</x:v>
      </x:c>
      <x:c r="G1519" s="25" t="str">
        <x:v>true</x:v>
      </x:c>
      <x:c r="H1519" s="25" t="str">
        <x:v>INCONCLUSIVE</x:v>
      </x:c>
      <x:c r="I1519" s="25" t="str">
        <x:v>FAIL</x:v>
      </x:c>
      <x:c r="J1519" s="25" t="str">
        <x:v>FAIL</x:v>
      </x:c>
      <x:c r="K1519" s="25" t="n">
        <x:v>1</x:v>
      </x:c>
      <x:c r="L1519" s="27" t="b">
        <x:v>0</x:v>
      </x:c>
      <x:c r="M1519" s="25"/>
      <x:c r="N1519" s="25" t="str">
        <x:v>Deepseek-flash-v4/Result2/Lang_5/result.json</x:v>
      </x:c>
      <x:c r="O1519" s="25" t="str">
        <x:v>Deepseek-flash-v4/Result2/Lang_5/result.json</x:v>
      </x:c>
      <x:c r="P1519"/>
      <x:c r="Q1519" s="21" t="str"/>
      <x:c r="R1519" s="21" t="str"/>
      <x:c r="S1519" s="21" t="str"/>
      <x:c r="T1519" s="17" t="str">
        <x:v>false</x:v>
      </x:c>
      <x:c r="U1519" s="17" t="str">
        <x:v>true</x:v>
      </x:c>
      <x:c r="V1519" s="17" t="str">
        <x:v>false</x:v>
      </x:c>
    </x:row>
    <x:row r="1520" ht="80" customHeight="1">
      <x:c r="A1520" s="25" t="str">
        <x:v>Lang</x:v>
      </x:c>
      <x:c r="B1520" s="25" t="n">
        <x:v>50</x:v>
      </x:c>
      <x:c r="C1520" s="25" t="str">
        <x:v>Round2</x:v>
      </x:c>
      <x:c r="D1520" s="25" t="str">
        <x:v>INCONCLUSIVE</x:v>
      </x:c>
      <x:c r="E1520" s="25" t="str">
        <x:v>N/A</x:v>
      </x:c>
      <x:c r="F1520" s="26" t="str">
        <x:v>Fixed also failed; assertion failure cannot be attributed to this bug</x:v>
      </x:c>
      <x:c r="G1520" s="25" t="str">
        <x:v>true</x:v>
      </x:c>
      <x:c r="H1520" s="25" t="str">
        <x:v>INCONCLUSIVE</x:v>
      </x:c>
      <x:c r="I1520" s="25" t="str">
        <x:v>FAIL</x:v>
      </x:c>
      <x:c r="J1520" s="25" t="str">
        <x:v>FAIL</x:v>
      </x:c>
      <x:c r="K1520" s="25" t="n">
        <x:v>1</x:v>
      </x:c>
      <x:c r="L1520" s="27" t="b">
        <x:v>0</x:v>
      </x:c>
      <x:c r="M1520" s="25" t="str">
        <x:v>Deepseek-flash-v4/state/Round2/status/Lang_50.json; Deepseek-flash-v4/state/Round2/shards/Lang_50.json</x:v>
      </x:c>
      <x:c r="N1520" s="25" t="str">
        <x:v>Deepseek-flash-v4/Result2/Lang_50/result.json</x:v>
      </x:c>
      <x:c r="O1520" s="25" t="str">
        <x:v>Deepseek-flash-v4/Result2/Lang_50/result.json</x:v>
      </x:c>
      <x:c r="P1520"/>
      <x:c r="Q1520" s="21" t="str"/>
      <x:c r="R1520" s="21" t="str"/>
      <x:c r="S1520" s="21" t="str"/>
      <x:c r="T1520" s="17" t="str">
        <x:v>false</x:v>
      </x:c>
      <x:c r="U1520" s="17" t="str">
        <x:v>true</x:v>
      </x:c>
      <x:c r="V1520" s="17" t="str">
        <x:v>false</x:v>
      </x:c>
    </x:row>
    <x:row r="1521" ht="80" customHeight="1">
      <x:c r="A1521" s="25" t="str">
        <x:v>Lang</x:v>
      </x:c>
      <x:c r="B1521" s="25" t="n">
        <x:v>51</x:v>
      </x:c>
      <x:c r="C1521" s="25" t="str">
        <x:v>Round2</x:v>
      </x:c>
      <x:c r="D1521" s="25" t="str">
        <x:v>INCONCLUSIVE</x:v>
      </x:c>
      <x:c r="E1521" s="25" t="str">
        <x:v>N/A</x:v>
      </x:c>
      <x:c r="F1521" s="26" t="str">
        <x:v>Fixed also failed; assertion failure cannot be attributed to this bug; Same-round generation metadata missing; use saved tests and execution evidence, no failure inferred</x:v>
      </x:c>
      <x:c r="G1521" s="25" t="str">
        <x:v>true</x:v>
      </x:c>
      <x:c r="H1521" s="25" t="str">
        <x:v>INCONCLUSIVE</x:v>
      </x:c>
      <x:c r="I1521" s="25" t="str">
        <x:v>FAIL</x:v>
      </x:c>
      <x:c r="J1521" s="25" t="str">
        <x:v>FAIL</x:v>
      </x:c>
      <x:c r="K1521" s="25" t="n">
        <x:v>1</x:v>
      </x:c>
      <x:c r="L1521" s="27" t="b">
        <x:v>0</x:v>
      </x:c>
      <x:c r="M1521" s="25"/>
      <x:c r="N1521" s="25" t="str">
        <x:v>Deepseek-flash-v4/Result2/Lang_51/result.json</x:v>
      </x:c>
      <x:c r="O1521" s="25" t="str">
        <x:v>Deepseek-flash-v4/Result2/Lang_51/result.json</x:v>
      </x:c>
      <x:c r="P1521"/>
      <x:c r="Q1521" s="21" t="str"/>
      <x:c r="R1521" s="21" t="str"/>
      <x:c r="S1521" s="21" t="str"/>
      <x:c r="T1521" s="17" t="str">
        <x:v>false</x:v>
      </x:c>
      <x:c r="U1521" s="17" t="str">
        <x:v>true</x:v>
      </x:c>
      <x:c r="V1521" s="17" t="str">
        <x:v>false</x:v>
      </x:c>
    </x:row>
    <x:row r="1522" ht="80" customHeight="1">
      <x:c r="A1522" s="25" t="str">
        <x:v>Lang</x:v>
      </x:c>
      <x:c r="B1522" s="25" t="n">
        <x:v>52</x:v>
      </x:c>
      <x:c r="C1522" s="25" t="str">
        <x:v>Round2</x:v>
      </x:c>
      <x:c r="D1522" s="25" t="str">
        <x:v>NOT_AVAILABLE</x:v>
      </x:c>
      <x:c r="E1522" s="25" t="str">
        <x:v>N/A</x:v>
      </x:c>
      <x:c r="F1522" s="26" t="str">
        <x:v>Tests exist but current coverage did not complete</x:v>
      </x:c>
      <x:c r="G1522" s="25" t="str">
        <x:v>true</x:v>
      </x:c>
      <x:c r="H1522" s="25" t="str">
        <x:v>NOT_AVAILABLE</x:v>
      </x:c>
      <x:c r="I1522" s="25" t="str">
        <x:v>NOT_RUN</x:v>
      </x:c>
      <x:c r="J1522" s="25" t="str">
        <x:v>NOT_RUN</x:v>
      </x:c>
      <x:c r="K1522" s="25" t="n">
        <x:v>1</x:v>
      </x:c>
      <x:c r="L1522" s="27" t="b">
        <x:v>0</x:v>
      </x:c>
      <x:c r="M1522" s="25" t="str">
        <x:v>Deepseek-flash-v4/state/Round2/status/Lang_52.json; Deepseek-flash-v4/state/Round2/shards/Lang_52.json</x:v>
      </x:c>
      <x:c r="N1522" s="25" t="str">
        <x:v>Deepseek-flash-v4/Result2/Lang_52/result.json</x:v>
      </x:c>
      <x:c r="O1522" s="25" t="str">
        <x:v>Deepseek-flash-v4/Result2/Lang_52/result.json</x:v>
      </x:c>
      <x:c r="P1522" t="str">
        <x:v>BOTH_NOT_RUN</x:v>
      </x:c>
      <x:c r="Q1522" s="21" t="str"/>
      <x:c r="R1522" s="21" t="str"/>
      <x:c r="S1522" s="21" t="str"/>
      <x:c r="T1522" s="17" t="str">
        <x:v>false</x:v>
      </x:c>
      <x:c r="U1522" s="17" t="str">
        <x:v>true</x:v>
      </x:c>
      <x:c r="V1522" s="17" t="str">
        <x:v>false</x:v>
      </x:c>
    </x:row>
    <x:row r="1523" ht="80" customHeight="1">
      <x:c r="A1523" s="25" t="str">
        <x:v>Lang</x:v>
      </x:c>
      <x:c r="B1523" s="25" t="n">
        <x:v>53</x:v>
      </x:c>
      <x:c r="C1523" s="25" t="str">
        <x:v>Round2</x:v>
      </x:c>
      <x:c r="D1523" s="25" t="str">
        <x:v>NOT_AVAILABLE</x:v>
      </x:c>
      <x:c r="E1523" s="25" t="str">
        <x:v>N/A</x:v>
      </x:c>
      <x:c r="F1523" s="26" t="str">
        <x:v>Tests exist but current coverage did not complete</x:v>
      </x:c>
      <x:c r="G1523" s="25" t="str">
        <x:v>true</x:v>
      </x:c>
      <x:c r="H1523" s="25" t="str">
        <x:v>NOT_AVAILABLE</x:v>
      </x:c>
      <x:c r="I1523" s="25" t="str">
        <x:v>NOT_RUN</x:v>
      </x:c>
      <x:c r="J1523" s="25" t="str">
        <x:v>NOT_RUN</x:v>
      </x:c>
      <x:c r="K1523" s="25" t="n">
        <x:v>1</x:v>
      </x:c>
      <x:c r="L1523" s="27" t="b">
        <x:v>0</x:v>
      </x:c>
      <x:c r="M1523" s="25" t="str">
        <x:v>Deepseek-flash-v4/state/Round2/status/Lang_53.json; Deepseek-flash-v4/state/Round2/shards/Lang_53.json</x:v>
      </x:c>
      <x:c r="N1523" s="25" t="str">
        <x:v>Deepseek-flash-v4/Result2/Lang_53/result.json</x:v>
      </x:c>
      <x:c r="O1523" s="25" t="str">
        <x:v>Deepseek-flash-v4/Result2/Lang_53/result.json</x:v>
      </x:c>
      <x:c r="P1523" t="str">
        <x:v>BOTH_NOT_RUN</x:v>
      </x:c>
      <x:c r="Q1523" s="21" t="str"/>
      <x:c r="R1523" s="21" t="str"/>
      <x:c r="S1523" s="21" t="str"/>
      <x:c r="T1523" s="17" t="str">
        <x:v>false</x:v>
      </x:c>
      <x:c r="U1523" s="17" t="str">
        <x:v>true</x:v>
      </x:c>
      <x:c r="V1523" s="17" t="str">
        <x:v>false</x:v>
      </x:c>
    </x:row>
    <x:row r="1524" ht="80" customHeight="1">
      <x:c r="A1524" s="25" t="str">
        <x:v>Lang</x:v>
      </x:c>
      <x:c r="B1524" s="25" t="n">
        <x:v>54</x:v>
      </x:c>
      <x:c r="C1524" s="25" t="str">
        <x:v>Round2</x:v>
      </x:c>
      <x:c r="D1524" s="25" t="str">
        <x:v>INCONCLUSIVE</x:v>
      </x:c>
      <x:c r="E1524" s="25" t="str">
        <x:v>N/A</x:v>
      </x:c>
      <x:c r="F1524" s="26" t="str">
        <x:v>Fixed also failed; assertion failure cannot be attributed to this bug; Same-round generation metadata missing; use saved tests and execution evidence, no failure inferred</x:v>
      </x:c>
      <x:c r="G1524" s="25" t="str">
        <x:v>true</x:v>
      </x:c>
      <x:c r="H1524" s="25" t="str">
        <x:v>INCONCLUSIVE</x:v>
      </x:c>
      <x:c r="I1524" s="25" t="str">
        <x:v>FAIL</x:v>
      </x:c>
      <x:c r="J1524" s="25" t="str">
        <x:v>FAIL</x:v>
      </x:c>
      <x:c r="K1524" s="25" t="n">
        <x:v>1</x:v>
      </x:c>
      <x:c r="L1524" s="27" t="b">
        <x:v>0</x:v>
      </x:c>
      <x:c r="M1524" s="25"/>
      <x:c r="N1524" s="25" t="str">
        <x:v>Deepseek-flash-v4/Result2/Lang_54/result.json</x:v>
      </x:c>
      <x:c r="O1524" s="25" t="str">
        <x:v>Deepseek-flash-v4/Result2/Lang_54/result.json</x:v>
      </x:c>
      <x:c r="P1524"/>
      <x:c r="Q1524" s="21" t="str"/>
      <x:c r="R1524" s="21" t="str"/>
      <x:c r="S1524" s="21" t="str"/>
      <x:c r="T1524" s="17" t="str">
        <x:v>false</x:v>
      </x:c>
      <x:c r="U1524" s="17" t="str">
        <x:v>true</x:v>
      </x:c>
      <x:c r="V1524" s="17" t="str">
        <x:v>false</x:v>
      </x:c>
    </x:row>
    <x:row r="1525" ht="80" customHeight="1">
      <x:c r="A1525" s="25" t="str">
        <x:v>Lang</x:v>
      </x:c>
      <x:c r="B1525" s="25" t="n">
        <x:v>55</x:v>
      </x:c>
      <x:c r="C1525" s="25" t="str">
        <x:v>Round2</x:v>
      </x:c>
      <x:c r="D1525" s="25" t="str">
        <x:v>INCONCLUSIVE</x:v>
      </x:c>
      <x:c r="E1525" s="25" t="str">
        <x:v>N/A</x:v>
      </x:c>
      <x:c r="F1525" s="26" t="str">
        <x:v>Fixed also failed; assertion failure cannot be attributed to this bug; Same-round generation metadata missing; use saved tests and execution evidence, no failure inferred</x:v>
      </x:c>
      <x:c r="G1525" s="25" t="str">
        <x:v>true</x:v>
      </x:c>
      <x:c r="H1525" s="25" t="str">
        <x:v>INCONCLUSIVE</x:v>
      </x:c>
      <x:c r="I1525" s="25" t="str">
        <x:v>FAIL</x:v>
      </x:c>
      <x:c r="J1525" s="25" t="str">
        <x:v>FAIL</x:v>
      </x:c>
      <x:c r="K1525" s="25" t="n">
        <x:v>1</x:v>
      </x:c>
      <x:c r="L1525" s="27" t="b">
        <x:v>0</x:v>
      </x:c>
      <x:c r="M1525" s="25"/>
      <x:c r="N1525" s="25" t="str">
        <x:v>Deepseek-flash-v4/Result2/Lang_55/result.json</x:v>
      </x:c>
      <x:c r="O1525" s="25" t="str">
        <x:v>Deepseek-flash-v4/Result2/Lang_55/result.json</x:v>
      </x:c>
      <x:c r="P1525"/>
      <x:c r="Q1525" s="21" t="str"/>
      <x:c r="R1525" s="21" t="str"/>
      <x:c r="S1525" s="21" t="str"/>
      <x:c r="T1525" s="17" t="str">
        <x:v>false</x:v>
      </x:c>
      <x:c r="U1525" s="17" t="str">
        <x:v>true</x:v>
      </x:c>
      <x:c r="V1525" s="17" t="str">
        <x:v>false</x:v>
      </x:c>
    </x:row>
    <x:row r="1526" ht="80" customHeight="1">
      <x:c r="A1526" s="25" t="str">
        <x:v>Lang</x:v>
      </x:c>
      <x:c r="B1526" s="25" t="n">
        <x:v>56</x:v>
      </x:c>
      <x:c r="C1526" s="25" t="str">
        <x:v>Round2</x:v>
      </x:c>
      <x:c r="D1526" s="25" t="str">
        <x:v>NOT_REVEALING</x:v>
      </x:c>
      <x:c r="E1526" s="25" t="str">
        <x:v>N/A</x:v>
      </x:c>
      <x:c r="F1526" s="26" t="str">
        <x:v>Same saved validation suite passed on buggy and fixed</x:v>
      </x:c>
      <x:c r="G1526" s="25" t="str">
        <x:v>true</x:v>
      </x:c>
      <x:c r="H1526" s="25" t="str">
        <x:v>NOT_REVEALING</x:v>
      </x:c>
      <x:c r="I1526" s="25" t="str">
        <x:v>PASS</x:v>
      </x:c>
      <x:c r="J1526" s="25" t="str">
        <x:v>PASS</x:v>
      </x:c>
      <x:c r="K1526" s="25" t="n">
        <x:v>1</x:v>
      </x:c>
      <x:c r="L1526" s="27" t="b">
        <x:v>0</x:v>
      </x:c>
      <x:c r="M1526" s="25" t="str">
        <x:v>Deepseek-flash-v4/state/Round2/status/Lang_56.json; Deepseek-flash-v4/state/Round2/shards/Lang_56.json</x:v>
      </x:c>
      <x:c r="N1526" s="25" t="str">
        <x:v>Deepseek-flash-v4/Result2/Lang_56/result.json</x:v>
      </x:c>
      <x:c r="O1526" s="25" t="str">
        <x:v>Deepseek-flash-v4/Result2/Lang_56/result.json</x:v>
      </x:c>
      <x:c r="P1526"/>
      <x:c r="Q1526" s="21" t="str"/>
      <x:c r="R1526" s="21" t="str"/>
      <x:c r="S1526" s="21" t="str"/>
      <x:c r="T1526" s="17" t="str">
        <x:v>false</x:v>
      </x:c>
      <x:c r="U1526" s="17" t="str">
        <x:v>true</x:v>
      </x:c>
      <x:c r="V1526" s="17" t="str">
        <x:v>false</x:v>
      </x:c>
    </x:row>
    <x:row r="1527" ht="80" customHeight="1">
      <x:c r="A1527" s="25" t="str">
        <x:v>Lang</x:v>
      </x:c>
      <x:c r="B1527" s="25" t="n">
        <x:v>57</x:v>
      </x:c>
      <x:c r="C1527" s="25" t="str">
        <x:v>Round2</x:v>
      </x:c>
      <x:c r="D1527" s="25" t="str">
        <x:v>INCONCLUSIVE</x:v>
      </x:c>
      <x:c r="E1527" s="25" t="str">
        <x:v>N/A</x:v>
      </x:c>
      <x:c r="F1527" s="26" t="str">
        <x:v>Fixed also failed; assertion failure cannot be attributed to this bug; Same-round generation metadata missing; use saved tests and execution evidence, no failure inferred</x:v>
      </x:c>
      <x:c r="G1527" s="25" t="str">
        <x:v>true</x:v>
      </x:c>
      <x:c r="H1527" s="25" t="str">
        <x:v>INCONCLUSIVE</x:v>
      </x:c>
      <x:c r="I1527" s="25" t="str">
        <x:v>FAIL</x:v>
      </x:c>
      <x:c r="J1527" s="25" t="str">
        <x:v>FAIL</x:v>
      </x:c>
      <x:c r="K1527" s="25" t="n">
        <x:v>1</x:v>
      </x:c>
      <x:c r="L1527" s="27" t="b">
        <x:v>0</x:v>
      </x:c>
      <x:c r="M1527" s="25"/>
      <x:c r="N1527" s="25" t="str">
        <x:v>Deepseek-flash-v4/Result2/Lang_57/result.json</x:v>
      </x:c>
      <x:c r="O1527" s="25" t="str">
        <x:v>Deepseek-flash-v4/Result2/Lang_57/result.json</x:v>
      </x:c>
      <x:c r="P1527"/>
      <x:c r="Q1527" s="21" t="str"/>
      <x:c r="R1527" s="21" t="str"/>
      <x:c r="S1527" s="21" t="str"/>
      <x:c r="T1527" s="17" t="str">
        <x:v>false</x:v>
      </x:c>
      <x:c r="U1527" s="17" t="str">
        <x:v>true</x:v>
      </x:c>
      <x:c r="V1527" s="17" t="str">
        <x:v>false</x:v>
      </x:c>
    </x:row>
    <x:row r="1528" ht="80" customHeight="1">
      <x:c r="A1528" s="25" t="str">
        <x:v>Lang</x:v>
      </x:c>
      <x:c r="B1528" s="25" t="n">
        <x:v>58</x:v>
      </x:c>
      <x:c r="C1528" s="25" t="str">
        <x:v>Round2</x:v>
      </x:c>
      <x:c r="D1528" s="25" t="str">
        <x:v>INCONCLUSIVE</x:v>
      </x:c>
      <x:c r="E1528" s="25" t="str">
        <x:v>N/A</x:v>
      </x:c>
      <x:c r="F1528" s="26" t="str">
        <x:v>Fixed also failed; assertion failure cannot be attributed to this bug; Same-round generation metadata missing; use saved tests and execution evidence, no failure inferred</x:v>
      </x:c>
      <x:c r="G1528" s="25" t="str">
        <x:v>true</x:v>
      </x:c>
      <x:c r="H1528" s="25" t="str">
        <x:v>INCONCLUSIVE</x:v>
      </x:c>
      <x:c r="I1528" s="25" t="str">
        <x:v>FAIL</x:v>
      </x:c>
      <x:c r="J1528" s="25" t="str">
        <x:v>FAIL</x:v>
      </x:c>
      <x:c r="K1528" s="25" t="n">
        <x:v>1</x:v>
      </x:c>
      <x:c r="L1528" s="27" t="b">
        <x:v>0</x:v>
      </x:c>
      <x:c r="M1528" s="25"/>
      <x:c r="N1528" s="25" t="str">
        <x:v>Deepseek-flash-v4/Result2/Lang_58/result.json</x:v>
      </x:c>
      <x:c r="O1528" s="25" t="str">
        <x:v>Deepseek-flash-v4/Result2/Lang_58/result.json</x:v>
      </x:c>
      <x:c r="P1528"/>
      <x:c r="Q1528" s="21" t="str"/>
      <x:c r="R1528" s="21" t="str"/>
      <x:c r="S1528" s="21" t="str"/>
      <x:c r="T1528" s="17" t="str">
        <x:v>false</x:v>
      </x:c>
      <x:c r="U1528" s="17" t="str">
        <x:v>true</x:v>
      </x:c>
      <x:c r="V1528" s="17" t="str">
        <x:v>false</x:v>
      </x:c>
    </x:row>
    <x:row r="1529" ht="80" customHeight="1">
      <x:c r="A1529" s="25" t="str">
        <x:v>Lang</x:v>
      </x:c>
      <x:c r="B1529" s="25" t="n">
        <x:v>59</x:v>
      </x:c>
      <x:c r="C1529" s="25" t="str">
        <x:v>Round2</x:v>
      </x:c>
      <x:c r="D1529" s="25" t="str">
        <x:v>NOT_AVAILABLE</x:v>
      </x:c>
      <x:c r="E1529" s="25" t="str">
        <x:v>N/A</x:v>
      </x:c>
      <x:c r="F1529" s="26" t="str">
        <x:v>Tests exist but current coverage did not complete</x:v>
      </x:c>
      <x:c r="G1529" s="25" t="str">
        <x:v>true</x:v>
      </x:c>
      <x:c r="H1529" s="25" t="str">
        <x:v>NOT_AVAILABLE</x:v>
      </x:c>
      <x:c r="I1529" s="25" t="str">
        <x:v>NOT_RUN</x:v>
      </x:c>
      <x:c r="J1529" s="25" t="str">
        <x:v>NOT_RUN</x:v>
      </x:c>
      <x:c r="K1529" s="25" t="n">
        <x:v>1</x:v>
      </x:c>
      <x:c r="L1529" s="27" t="b">
        <x:v>0</x:v>
      </x:c>
      <x:c r="M1529" s="25" t="str">
        <x:v>Deepseek-flash-v4/state/Round2/status/Lang_59.json; Deepseek-flash-v4/state/Round2/shards/Lang_59.json</x:v>
      </x:c>
      <x:c r="N1529" s="25" t="str">
        <x:v>Deepseek-flash-v4/Result2/Lang_59/result.json</x:v>
      </x:c>
      <x:c r="O1529" s="25" t="str">
        <x:v>Deepseek-flash-v4/Result2/Lang_59/result.json</x:v>
      </x:c>
      <x:c r="P1529" t="str">
        <x:v>BOTH_NOT_RUN</x:v>
      </x:c>
      <x:c r="Q1529" s="21" t="str"/>
      <x:c r="R1529" s="21" t="str"/>
      <x:c r="S1529" s="21" t="str"/>
      <x:c r="T1529" s="17" t="str">
        <x:v>false</x:v>
      </x:c>
      <x:c r="U1529" s="17" t="str">
        <x:v>true</x:v>
      </x:c>
      <x:c r="V1529" s="17" t="str">
        <x:v>false</x:v>
      </x:c>
    </x:row>
    <x:row r="1530" ht="80" customHeight="1">
      <x:c r="A1530" s="25" t="str">
        <x:v>Lang</x:v>
      </x:c>
      <x:c r="B1530" s="25" t="n">
        <x:v>6</x:v>
      </x:c>
      <x:c r="C1530" s="25" t="str">
        <x:v>Round2</x:v>
      </x:c>
      <x:c r="D1530" s="25" t="str">
        <x:v>INCONCLUSIVE</x:v>
      </x:c>
      <x:c r="E1530" s="25" t="str">
        <x:v>N/A</x:v>
      </x:c>
      <x:c r="F1530" s="26" t="str">
        <x:v>Fixed also failed; assertion failure cannot be attributed to this bug; Same-round generation metadata missing; use saved tests and execution evidence, no failure inferred</x:v>
      </x:c>
      <x:c r="G1530" s="25" t="str">
        <x:v>true</x:v>
      </x:c>
      <x:c r="H1530" s="25" t="str">
        <x:v>INCONCLUSIVE</x:v>
      </x:c>
      <x:c r="I1530" s="25" t="str">
        <x:v>FAIL</x:v>
      </x:c>
      <x:c r="J1530" s="25" t="str">
        <x:v>FAIL</x:v>
      </x:c>
      <x:c r="K1530" s="25" t="n">
        <x:v>1</x:v>
      </x:c>
      <x:c r="L1530" s="27" t="b">
        <x:v>0</x:v>
      </x:c>
      <x:c r="M1530" s="25"/>
      <x:c r="N1530" s="25" t="str">
        <x:v>Deepseek-flash-v4/Result2/Lang_6/result.json</x:v>
      </x:c>
      <x:c r="O1530" s="25" t="str">
        <x:v>Deepseek-flash-v4/Result2/Lang_6/result.json</x:v>
      </x:c>
      <x:c r="P1530"/>
      <x:c r="Q1530" s="21" t="str"/>
      <x:c r="R1530" s="21" t="str"/>
      <x:c r="S1530" s="21" t="str"/>
      <x:c r="T1530" s="17" t="str">
        <x:v>false</x:v>
      </x:c>
      <x:c r="U1530" s="17" t="str">
        <x:v>true</x:v>
      </x:c>
      <x:c r="V1530" s="17" t="str">
        <x:v>false</x:v>
      </x:c>
    </x:row>
    <x:row r="1531" ht="80" customHeight="1">
      <x:c r="A1531" s="25" t="str">
        <x:v>Lang</x:v>
      </x:c>
      <x:c r="B1531" s="25" t="n">
        <x:v>60</x:v>
      </x:c>
      <x:c r="C1531" s="25" t="str">
        <x:v>Round2</x:v>
      </x:c>
      <x:c r="D1531" s="25" t="str">
        <x:v>NOT_AVAILABLE</x:v>
      </x:c>
      <x:c r="E1531" s="25" t="str">
        <x:v>N/A</x:v>
      </x:c>
      <x:c r="F1531" s="26" t="str">
        <x:v>Tests exist but current coverage did not complete</x:v>
      </x:c>
      <x:c r="G1531" s="25" t="str">
        <x:v>true</x:v>
      </x:c>
      <x:c r="H1531" s="25" t="str">
        <x:v>NOT_AVAILABLE</x:v>
      </x:c>
      <x:c r="I1531" s="25" t="str">
        <x:v>NOT_RUN</x:v>
      </x:c>
      <x:c r="J1531" s="25" t="str">
        <x:v>NOT_RUN</x:v>
      </x:c>
      <x:c r="K1531" s="25" t="n">
        <x:v>1</x:v>
      </x:c>
      <x:c r="L1531" s="27" t="b">
        <x:v>0</x:v>
      </x:c>
      <x:c r="M1531" s="25" t="str">
        <x:v>Deepseek-flash-v4/state/Round2/status/Lang_60.json; Deepseek-flash-v4/state/Round2/shards/Lang_60.json</x:v>
      </x:c>
      <x:c r="N1531" s="25" t="str">
        <x:v>Deepseek-flash-v4/Result2/Lang_60/result.json</x:v>
      </x:c>
      <x:c r="O1531" s="25" t="str">
        <x:v>Deepseek-flash-v4/Result2/Lang_60/result.json</x:v>
      </x:c>
      <x:c r="P1531" t="str">
        <x:v>BOTH_NOT_RUN</x:v>
      </x:c>
      <x:c r="Q1531" s="21" t="str"/>
      <x:c r="R1531" s="21" t="str"/>
      <x:c r="S1531" s="21" t="str"/>
      <x:c r="T1531" s="17" t="str">
        <x:v>false</x:v>
      </x:c>
      <x:c r="U1531" s="17" t="str">
        <x:v>true</x:v>
      </x:c>
      <x:c r="V1531" s="17" t="str">
        <x:v>false</x:v>
      </x:c>
    </x:row>
    <x:row r="1532" ht="80" customHeight="1">
      <x:c r="A1532" s="25" t="str">
        <x:v>Lang</x:v>
      </x:c>
      <x:c r="B1532" s="25" t="n">
        <x:v>61</x:v>
      </x:c>
      <x:c r="C1532" s="25" t="str">
        <x:v>Round2</x:v>
      </x:c>
      <x:c r="D1532" s="25" t="str">
        <x:v>NOT_AVAILABLE</x:v>
      </x:c>
      <x:c r="E1532" s="25" t="str">
        <x:v>N/A</x:v>
      </x:c>
      <x:c r="F1532" s="26" t="str">
        <x:v>Tests exist but current coverage did not complete</x:v>
      </x:c>
      <x:c r="G1532" s="25" t="str">
        <x:v>true</x:v>
      </x:c>
      <x:c r="H1532" s="25" t="str">
        <x:v>NOT_AVAILABLE</x:v>
      </x:c>
      <x:c r="I1532" s="25" t="str">
        <x:v>NOT_RUN</x:v>
      </x:c>
      <x:c r="J1532" s="25" t="str">
        <x:v>NOT_RUN</x:v>
      </x:c>
      <x:c r="K1532" s="25" t="n">
        <x:v>1</x:v>
      </x:c>
      <x:c r="L1532" s="27" t="b">
        <x:v>0</x:v>
      </x:c>
      <x:c r="M1532" s="25" t="str">
        <x:v>Deepseek-flash-v4/state/Round2/status/Lang_61.json; Deepseek-flash-v4/state/Round2/shards/Lang_61.json</x:v>
      </x:c>
      <x:c r="N1532" s="25" t="str">
        <x:v>Deepseek-flash-v4/Result2/Lang_61/result.json</x:v>
      </x:c>
      <x:c r="O1532" s="25" t="str">
        <x:v>Deepseek-flash-v4/Result2/Lang_61/result.json</x:v>
      </x:c>
      <x:c r="P1532" t="str">
        <x:v>BOTH_NOT_RUN</x:v>
      </x:c>
      <x:c r="Q1532" s="21" t="str"/>
      <x:c r="R1532" s="21" t="str"/>
      <x:c r="S1532" s="21" t="str"/>
      <x:c r="T1532" s="17" t="str">
        <x:v>false</x:v>
      </x:c>
      <x:c r="U1532" s="17" t="str">
        <x:v>true</x:v>
      </x:c>
      <x:c r="V1532" s="17" t="str">
        <x:v>false</x:v>
      </x:c>
    </x:row>
    <x:row r="1533" ht="80" customHeight="1">
      <x:c r="A1533" s="25" t="str">
        <x:v>Lang</x:v>
      </x:c>
      <x:c r="B1533" s="25" t="n">
        <x:v>62</x:v>
      </x:c>
      <x:c r="C1533" s="25" t="str">
        <x:v>Round2</x:v>
      </x:c>
      <x:c r="D1533" s="25" t="str">
        <x:v>INCONCLUSIVE</x:v>
      </x:c>
      <x:c r="E1533" s="25" t="str">
        <x:v>N/A</x:v>
      </x:c>
      <x:c r="F1533" s="26" t="str">
        <x:v>Fixed also failed; assertion failure cannot be attributed to this bug</x:v>
      </x:c>
      <x:c r="G1533" s="25" t="str">
        <x:v>true</x:v>
      </x:c>
      <x:c r="H1533" s="25" t="str">
        <x:v>INCONCLUSIVE</x:v>
      </x:c>
      <x:c r="I1533" s="25" t="str">
        <x:v>FAIL</x:v>
      </x:c>
      <x:c r="J1533" s="25" t="str">
        <x:v>FAIL</x:v>
      </x:c>
      <x:c r="K1533" s="25" t="n">
        <x:v>1</x:v>
      </x:c>
      <x:c r="L1533" s="27" t="b">
        <x:v>0</x:v>
      </x:c>
      <x:c r="M1533" s="25" t="str">
        <x:v>Deepseek-flash-v4/state/Round2/status/Lang_62.json; Deepseek-flash-v4/state/Round2/shards/Lang_62.json</x:v>
      </x:c>
      <x:c r="N1533" s="25" t="str">
        <x:v>Deepseek-flash-v4/Result2/Lang_62/result.json</x:v>
      </x:c>
      <x:c r="O1533" s="25" t="str">
        <x:v>Deepseek-flash-v4/Result2/Lang_62/result.json</x:v>
      </x:c>
      <x:c r="P1533"/>
      <x:c r="Q1533" s="21" t="str"/>
      <x:c r="R1533" s="21" t="str"/>
      <x:c r="S1533" s="21" t="str"/>
      <x:c r="T1533" s="17" t="str">
        <x:v>false</x:v>
      </x:c>
      <x:c r="U1533" s="17" t="str">
        <x:v>true</x:v>
      </x:c>
      <x:c r="V1533" s="17" t="str">
        <x:v>false</x:v>
      </x:c>
    </x:row>
    <x:row r="1534" ht="80" customHeight="1">
      <x:c r="A1534" s="25" t="str">
        <x:v>Lang</x:v>
      </x:c>
      <x:c r="B1534" s="25" t="n">
        <x:v>63</x:v>
      </x:c>
      <x:c r="C1534" s="25" t="str">
        <x:v>Round2</x:v>
      </x:c>
      <x:c r="D1534" s="25" t="str">
        <x:v>INCONCLUSIVE</x:v>
      </x:c>
      <x:c r="E1534" s="25" t="str">
        <x:v>N/A</x:v>
      </x:c>
      <x:c r="F1534" s="26" t="str">
        <x:v>Fixed also failed; assertion failure cannot be attributed to this bug; Same-round generation metadata missing; use saved tests and execution evidence, no failure inferred</x:v>
      </x:c>
      <x:c r="G1534" s="25" t="str">
        <x:v>true</x:v>
      </x:c>
      <x:c r="H1534" s="25" t="str">
        <x:v>INCONCLUSIVE</x:v>
      </x:c>
      <x:c r="I1534" s="25" t="str">
        <x:v>FAIL</x:v>
      </x:c>
      <x:c r="J1534" s="25" t="str">
        <x:v>FAIL</x:v>
      </x:c>
      <x:c r="K1534" s="25" t="n">
        <x:v>1</x:v>
      </x:c>
      <x:c r="L1534" s="27" t="b">
        <x:v>0</x:v>
      </x:c>
      <x:c r="M1534" s="25"/>
      <x:c r="N1534" s="25" t="str">
        <x:v>Deepseek-flash-v4/Result2/Lang_63/result.json</x:v>
      </x:c>
      <x:c r="O1534" s="25" t="str">
        <x:v>Deepseek-flash-v4/Result2/Lang_63/result.json</x:v>
      </x:c>
      <x:c r="P1534"/>
      <x:c r="Q1534" s="21" t="str"/>
      <x:c r="R1534" s="21" t="str"/>
      <x:c r="S1534" s="21" t="str"/>
      <x:c r="T1534" s="17" t="str">
        <x:v>false</x:v>
      </x:c>
      <x:c r="U1534" s="17" t="str">
        <x:v>true</x:v>
      </x:c>
      <x:c r="V1534" s="17" t="str">
        <x:v>false</x:v>
      </x:c>
    </x:row>
    <x:row r="1535" ht="80" customHeight="1">
      <x:c r="A1535" s="25" t="str">
        <x:v>Lang</x:v>
      </x:c>
      <x:c r="B1535" s="25" t="n">
        <x:v>64</x:v>
      </x:c>
      <x:c r="C1535" s="25" t="str">
        <x:v>Round2</x:v>
      </x:c>
      <x:c r="D1535" s="25" t="str">
        <x:v>INCONCLUSIVE</x:v>
      </x:c>
      <x:c r="E1535" s="25" t="str">
        <x:v>N/A</x:v>
      </x:c>
      <x:c r="F1535" s="26" t="str">
        <x:v>Fixed also failed; assertion failure cannot be attributed to this bug; Same-round generation metadata missing; use saved tests and execution evidence, no failure inferred</x:v>
      </x:c>
      <x:c r="G1535" s="25" t="str">
        <x:v>true</x:v>
      </x:c>
      <x:c r="H1535" s="25" t="str">
        <x:v>INCONCLUSIVE</x:v>
      </x:c>
      <x:c r="I1535" s="25" t="str">
        <x:v>FAIL</x:v>
      </x:c>
      <x:c r="J1535" s="25" t="str">
        <x:v>FAIL</x:v>
      </x:c>
      <x:c r="K1535" s="25" t="n">
        <x:v>1</x:v>
      </x:c>
      <x:c r="L1535" s="27" t="b">
        <x:v>0</x:v>
      </x:c>
      <x:c r="M1535" s="25"/>
      <x:c r="N1535" s="25" t="str">
        <x:v>Deepseek-flash-v4/Result2/Lang_64/result.json</x:v>
      </x:c>
      <x:c r="O1535" s="25" t="str">
        <x:v>Deepseek-flash-v4/Result2/Lang_64/result.json</x:v>
      </x:c>
      <x:c r="P1535"/>
      <x:c r="Q1535" s="21" t="str"/>
      <x:c r="R1535" s="21" t="str"/>
      <x:c r="S1535" s="21" t="str"/>
      <x:c r="T1535" s="17" t="str">
        <x:v>false</x:v>
      </x:c>
      <x:c r="U1535" s="17" t="str">
        <x:v>true</x:v>
      </x:c>
      <x:c r="V1535" s="17" t="str">
        <x:v>false</x:v>
      </x:c>
    </x:row>
    <x:row r="1536" ht="80" customHeight="1">
      <x:c r="A1536" s="25" t="str">
        <x:v>Lang</x:v>
      </x:c>
      <x:c r="B1536" s="25" t="n">
        <x:v>65</x:v>
      </x:c>
      <x:c r="C1536" s="25" t="str">
        <x:v>Round2</x:v>
      </x:c>
      <x:c r="D1536" s="25" t="str">
        <x:v>NOT_AVAILABLE</x:v>
      </x:c>
      <x:c r="E1536" s="25" t="str">
        <x:v>N/A</x:v>
      </x:c>
      <x:c r="F1536" s="26" t="str">
        <x:v>Tests exist but current coverage did not complete</x:v>
      </x:c>
      <x:c r="G1536" s="25" t="str">
        <x:v>true</x:v>
      </x:c>
      <x:c r="H1536" s="25" t="str">
        <x:v>NOT_AVAILABLE</x:v>
      </x:c>
      <x:c r="I1536" s="25" t="str">
        <x:v>NOT_RUN</x:v>
      </x:c>
      <x:c r="J1536" s="25" t="str">
        <x:v>NOT_RUN</x:v>
      </x:c>
      <x:c r="K1536" s="25" t="n">
        <x:v>1</x:v>
      </x:c>
      <x:c r="L1536" s="27" t="b">
        <x:v>0</x:v>
      </x:c>
      <x:c r="M1536" s="25" t="str">
        <x:v>Deepseek-flash-v4/state/Round2/status/Lang_65.json; Deepseek-flash-v4/state/Round2/shards/Lang_65.json</x:v>
      </x:c>
      <x:c r="N1536" s="25" t="str">
        <x:v>Deepseek-flash-v4/Result2/Lang_65/result.json</x:v>
      </x:c>
      <x:c r="O1536" s="25" t="str">
        <x:v>Deepseek-flash-v4/Result2/Lang_65/result.json</x:v>
      </x:c>
      <x:c r="P1536" t="str">
        <x:v>BOTH_NOT_RUN</x:v>
      </x:c>
      <x:c r="Q1536" s="21" t="str"/>
      <x:c r="R1536" s="21" t="str"/>
      <x:c r="S1536" s="21" t="str"/>
      <x:c r="T1536" s="17" t="str">
        <x:v>false</x:v>
      </x:c>
      <x:c r="U1536" s="17" t="str">
        <x:v>true</x:v>
      </x:c>
      <x:c r="V1536" s="17" t="str">
        <x:v>false</x:v>
      </x:c>
    </x:row>
    <x:row r="1537" ht="80" customHeight="1">
      <x:c r="A1537" s="25" t="str">
        <x:v>Lang</x:v>
      </x:c>
      <x:c r="B1537" s="25" t="n">
        <x:v>7</x:v>
      </x:c>
      <x:c r="C1537" s="25" t="str">
        <x:v>Round2</x:v>
      </x:c>
      <x:c r="D1537" s="25" t="str">
        <x:v>INCONCLUSIVE</x:v>
      </x:c>
      <x:c r="E1537" s="25" t="str">
        <x:v>N/A</x:v>
      </x:c>
      <x:c r="F1537" s="26" t="str">
        <x:v>Fixed also failed; assertion failure cannot be attributed to this bug; Same-round generation metadata missing; use saved tests and execution evidence, no failure inferred</x:v>
      </x:c>
      <x:c r="G1537" s="25" t="str">
        <x:v>true</x:v>
      </x:c>
      <x:c r="H1537" s="25" t="str">
        <x:v>INCONCLUSIVE</x:v>
      </x:c>
      <x:c r="I1537" s="25" t="str">
        <x:v>FAIL</x:v>
      </x:c>
      <x:c r="J1537" s="25" t="str">
        <x:v>FAIL</x:v>
      </x:c>
      <x:c r="K1537" s="25" t="n">
        <x:v>1</x:v>
      </x:c>
      <x:c r="L1537" s="27" t="b">
        <x:v>0</x:v>
      </x:c>
      <x:c r="M1537" s="25"/>
      <x:c r="N1537" s="25" t="str">
        <x:v>Deepseek-flash-v4/Result2/Lang_7/result.json</x:v>
      </x:c>
      <x:c r="O1537" s="25" t="str">
        <x:v>Deepseek-flash-v4/Result2/Lang_7/result.json</x:v>
      </x:c>
      <x:c r="P1537"/>
      <x:c r="Q1537" s="21" t="str"/>
      <x:c r="R1537" s="21" t="str"/>
      <x:c r="S1537" s="21" t="str"/>
      <x:c r="T1537" s="17" t="str">
        <x:v>false</x:v>
      </x:c>
      <x:c r="U1537" s="17" t="str">
        <x:v>true</x:v>
      </x:c>
      <x:c r="V1537" s="17" t="str">
        <x:v>false</x:v>
      </x:c>
    </x:row>
    <x:row r="1538" ht="80" customHeight="1">
      <x:c r="A1538" s="25" t="str">
        <x:v>Lang</x:v>
      </x:c>
      <x:c r="B1538" s="25" t="n">
        <x:v>8</x:v>
      </x:c>
      <x:c r="C1538" s="25" t="str">
        <x:v>Round2</x:v>
      </x:c>
      <x:c r="D1538" s="25" t="str">
        <x:v>NOT_REVEALING</x:v>
      </x:c>
      <x:c r="E1538" s="25" t="str">
        <x:v>N/A</x:v>
      </x:c>
      <x:c r="F1538" s="26" t="str">
        <x:v>Same saved validation suite passed on buggy and fixed; Same-round generation metadata missing; use saved tests and execution evidence, no failure inferred</x:v>
      </x:c>
      <x:c r="G1538" s="25" t="str">
        <x:v>true</x:v>
      </x:c>
      <x:c r="H1538" s="25" t="str">
        <x:v>NOT_REVEALING</x:v>
      </x:c>
      <x:c r="I1538" s="25" t="str">
        <x:v>PASS</x:v>
      </x:c>
      <x:c r="J1538" s="25" t="str">
        <x:v>PASS</x:v>
      </x:c>
      <x:c r="K1538" s="25" t="n">
        <x:v>1</x:v>
      </x:c>
      <x:c r="L1538" s="27" t="b">
        <x:v>0</x:v>
      </x:c>
      <x:c r="M1538" s="25"/>
      <x:c r="N1538" s="25" t="str">
        <x:v>Deepseek-flash-v4/Result2/Lang_8/result.json</x:v>
      </x:c>
      <x:c r="O1538" s="25" t="str">
        <x:v>Deepseek-flash-v4/Result2/Lang_8/result.json</x:v>
      </x:c>
      <x:c r="P1538"/>
      <x:c r="Q1538" s="21" t="str"/>
      <x:c r="R1538" s="21" t="str"/>
      <x:c r="S1538" s="21" t="str"/>
      <x:c r="T1538" s="17" t="str">
        <x:v>false</x:v>
      </x:c>
      <x:c r="U1538" s="17" t="str">
        <x:v>true</x:v>
      </x:c>
      <x:c r="V1538" s="17" t="str">
        <x:v>false</x:v>
      </x:c>
    </x:row>
    <x:row r="1539" ht="80" customHeight="1">
      <x:c r="A1539" s="25" t="str">
        <x:v>Lang</x:v>
      </x:c>
      <x:c r="B1539" s="25" t="n">
        <x:v>9</x:v>
      </x:c>
      <x:c r="C1539" s="25" t="str">
        <x:v>Round2</x:v>
      </x:c>
      <x:c r="D1539" s="25" t="str">
        <x:v>INCONCLUSIVE</x:v>
      </x:c>
      <x:c r="E1539" s="25" t="str">
        <x:v>N/A</x:v>
      </x:c>
      <x:c r="F1539" s="26" t="str">
        <x:v>Fixed also failed; assertion failure cannot be attributed to this bug</x:v>
      </x:c>
      <x:c r="G1539" s="25" t="str">
        <x:v>true</x:v>
      </x:c>
      <x:c r="H1539" s="25" t="str">
        <x:v>INCONCLUSIVE</x:v>
      </x:c>
      <x:c r="I1539" s="25" t="str">
        <x:v>FAIL</x:v>
      </x:c>
      <x:c r="J1539" s="25" t="str">
        <x:v>FAIL</x:v>
      </x:c>
      <x:c r="K1539" s="25" t="n">
        <x:v>1</x:v>
      </x:c>
      <x:c r="L1539" s="27" t="b">
        <x:v>0</x:v>
      </x:c>
      <x:c r="M1539" s="25" t="str">
        <x:v>Deepseek-flash-v4/state/Round2/status/Lang_9.json; Deepseek-flash-v4/state/Round2/shards/Lang_9.json</x:v>
      </x:c>
      <x:c r="N1539" s="25" t="str">
        <x:v>Deepseek-flash-v4/Result2/Lang_9/result.json</x:v>
      </x:c>
      <x:c r="O1539" s="25" t="str">
        <x:v>Deepseek-flash-v4/Result2/Lang_9/result.json</x:v>
      </x:c>
      <x:c r="P1539"/>
      <x:c r="Q1539" s="21" t="str"/>
      <x:c r="R1539" s="21" t="str"/>
      <x:c r="S1539" s="21" t="str"/>
      <x:c r="T1539" s="17" t="str">
        <x:v>false</x:v>
      </x:c>
      <x:c r="U1539" s="17" t="str">
        <x:v>true</x:v>
      </x:c>
      <x:c r="V1539" s="17" t="str">
        <x:v>false</x:v>
      </x:c>
    </x:row>
    <x:row r="1540" ht="80" customHeight="1">
      <x:c r="A1540" s="25" t="str">
        <x:v>Math</x:v>
      </x:c>
      <x:c r="B1540" s="25" t="n">
        <x:v>1</x:v>
      </x:c>
      <x:c r="C1540" s="25" t="str">
        <x:v>Round2</x:v>
      </x:c>
      <x:c r="D1540" s="25" t="str">
        <x:v>INCONCLUSIVE</x:v>
      </x:c>
      <x:c r="E1540" s="25" t="str">
        <x:v>N/A</x:v>
      </x:c>
      <x:c r="F1540" s="26" t="str">
        <x:v>Fixed also failed; assertion failure cannot be attributed to this bug; Same-round generation metadata missing; use saved tests and execution evidence, no failure inferred</x:v>
      </x:c>
      <x:c r="G1540" s="25" t="str">
        <x:v>true</x:v>
      </x:c>
      <x:c r="H1540" s="25" t="str">
        <x:v>INCONCLUSIVE</x:v>
      </x:c>
      <x:c r="I1540" s="25" t="str">
        <x:v>FAIL</x:v>
      </x:c>
      <x:c r="J1540" s="25" t="str">
        <x:v>FAIL</x:v>
      </x:c>
      <x:c r="K1540" s="25" t="n">
        <x:v>2</x:v>
      </x:c>
      <x:c r="L1540" s="27" t="b">
        <x:v>0</x:v>
      </x:c>
      <x:c r="M1540" s="25"/>
      <x:c r="N1540" s="25" t="str">
        <x:v>Deepseek-flash-v4/Result2/Math_1/result.json</x:v>
      </x:c>
      <x:c r="O1540" s="25" t="str">
        <x:v>Deepseek-flash-v4/Result2/Math_1/result.json</x:v>
      </x:c>
      <x:c r="P1540"/>
      <x:c r="Q1540" s="21" t="str"/>
      <x:c r="R1540" s="21" t="str"/>
      <x:c r="S1540" s="21" t="str"/>
      <x:c r="T1540" s="17" t="str">
        <x:v>false</x:v>
      </x:c>
      <x:c r="U1540" s="17" t="str">
        <x:v>true</x:v>
      </x:c>
      <x:c r="V1540" s="17" t="str">
        <x:v>false</x:v>
      </x:c>
    </x:row>
    <x:row r="1541" ht="80" customHeight="1">
      <x:c r="A1541" s="25" t="str">
        <x:v>Math</x:v>
      </x:c>
      <x:c r="B1541" s="25" t="n">
        <x:v>10</x:v>
      </x:c>
      <x:c r="C1541" s="25" t="str">
        <x:v>Round2</x:v>
      </x:c>
      <x:c r="D1541" s="25" t="str">
        <x:v>INCONCLUSIVE</x:v>
      </x:c>
      <x:c r="E1541" s="25" t="str">
        <x:v>N/A</x:v>
      </x:c>
      <x:c r="F1541" s="26" t="str">
        <x:v>Fixed also failed; assertion failure cannot be attributed to this bug; Same-round generation metadata missing; use saved tests and execution evidence, no failure inferred</x:v>
      </x:c>
      <x:c r="G1541" s="25" t="str">
        <x:v>true</x:v>
      </x:c>
      <x:c r="H1541" s="25" t="str">
        <x:v>INCONCLUSIVE</x:v>
      </x:c>
      <x:c r="I1541" s="25" t="str">
        <x:v>FAIL</x:v>
      </x:c>
      <x:c r="J1541" s="25" t="str">
        <x:v>FAIL</x:v>
      </x:c>
      <x:c r="K1541" s="25" t="n">
        <x:v>1</x:v>
      </x:c>
      <x:c r="L1541" s="27" t="b">
        <x:v>0</x:v>
      </x:c>
      <x:c r="M1541" s="25"/>
      <x:c r="N1541" s="25" t="str">
        <x:v>Deepseek-flash-v4/Result2/Math_10/result.json</x:v>
      </x:c>
      <x:c r="O1541" s="25" t="str">
        <x:v>Deepseek-flash-v4/Result2/Math_10/result.json</x:v>
      </x:c>
      <x:c r="P1541"/>
      <x:c r="Q1541" s="21" t="str"/>
      <x:c r="R1541" s="21" t="str"/>
      <x:c r="S1541" s="21" t="str"/>
      <x:c r="T1541" s="17" t="str">
        <x:v>false</x:v>
      </x:c>
      <x:c r="U1541" s="17" t="str">
        <x:v>true</x:v>
      </x:c>
      <x:c r="V1541" s="17" t="str">
        <x:v>false</x:v>
      </x:c>
    </x:row>
    <x:row r="1542" ht="80" customHeight="1">
      <x:c r="A1542" s="25" t="str">
        <x:v>Math</x:v>
      </x:c>
      <x:c r="B1542" s="25" t="n">
        <x:v>100</x:v>
      </x:c>
      <x:c r="C1542" s="25" t="str">
        <x:v>Round2</x:v>
      </x:c>
      <x:c r="D1542" s="25" t="str">
        <x:v>NOT_AVAILABLE</x:v>
      </x:c>
      <x:c r="E1542" s="25" t="str">
        <x:v>N/A</x:v>
      </x:c>
      <x:c r="F1542" s="26" t="str">
        <x:v>Tests exist but current coverage did not complete</x:v>
      </x:c>
      <x:c r="G1542" s="25" t="str">
        <x:v>true</x:v>
      </x:c>
      <x:c r="H1542" s="25" t="str">
        <x:v>NOT_AVAILABLE</x:v>
      </x:c>
      <x:c r="I1542" s="25" t="str">
        <x:v>NOT_RUN</x:v>
      </x:c>
      <x:c r="J1542" s="25" t="str">
        <x:v>NOT_RUN</x:v>
      </x:c>
      <x:c r="K1542" s="25" t="n">
        <x:v>1</x:v>
      </x:c>
      <x:c r="L1542" s="27" t="b">
        <x:v>0</x:v>
      </x:c>
      <x:c r="M1542" s="25" t="str">
        <x:v>Deepseek-flash-v4/state/Round2/status/Math_100.json; Deepseek-flash-v4/state/Round2/shards/Math_100.json</x:v>
      </x:c>
      <x:c r="N1542" s="25" t="str">
        <x:v>Deepseek-flash-v4/Result2/Math_100/result.json</x:v>
      </x:c>
      <x:c r="O1542" s="25" t="str">
        <x:v>Deepseek-flash-v4/Result2/Math_100/result.json</x:v>
      </x:c>
      <x:c r="P1542" t="str">
        <x:v>BOTH_NOT_RUN</x:v>
      </x:c>
      <x:c r="Q1542" s="21" t="str"/>
      <x:c r="R1542" s="21" t="str"/>
      <x:c r="S1542" s="21" t="str"/>
      <x:c r="T1542" s="17" t="str">
        <x:v>false</x:v>
      </x:c>
      <x:c r="U1542" s="17" t="str">
        <x:v>true</x:v>
      </x:c>
      <x:c r="V1542" s="17" t="str">
        <x:v>false</x:v>
      </x:c>
    </x:row>
    <x:row r="1543" ht="80" customHeight="1">
      <x:c r="A1543" s="25" t="str">
        <x:v>Math</x:v>
      </x:c>
      <x:c r="B1543" s="25" t="n">
        <x:v>101</x:v>
      </x:c>
      <x:c r="C1543" s="25" t="str">
        <x:v>Round2</x:v>
      </x:c>
      <x:c r="D1543" s="25" t="str">
        <x:v>NOT_REVEALING</x:v>
      </x:c>
      <x:c r="E1543" s="25" t="str">
        <x:v>N/A</x:v>
      </x:c>
      <x:c r="F1543" s="26" t="str">
        <x:v>Same saved validation suite passed on buggy and fixed; Same-round generation metadata missing; use saved tests and execution evidence, no failure inferred</x:v>
      </x:c>
      <x:c r="G1543" s="25" t="str">
        <x:v>true</x:v>
      </x:c>
      <x:c r="H1543" s="25" t="str">
        <x:v>NOT_REVEALING</x:v>
      </x:c>
      <x:c r="I1543" s="25" t="str">
        <x:v>PASS</x:v>
      </x:c>
      <x:c r="J1543" s="25" t="str">
        <x:v>PASS</x:v>
      </x:c>
      <x:c r="K1543" s="25" t="n">
        <x:v>1</x:v>
      </x:c>
      <x:c r="L1543" s="27" t="b">
        <x:v>0</x:v>
      </x:c>
      <x:c r="M1543" s="25"/>
      <x:c r="N1543" s="25" t="str">
        <x:v>Deepseek-flash-v4/Result2/Math_101/result.json</x:v>
      </x:c>
      <x:c r="O1543" s="25" t="str">
        <x:v>Deepseek-flash-v4/Result2/Math_101/result.json</x:v>
      </x:c>
      <x:c r="P1543"/>
      <x:c r="Q1543" s="21" t="str"/>
      <x:c r="R1543" s="21" t="str"/>
      <x:c r="S1543" s="21" t="str"/>
      <x:c r="T1543" s="17" t="str">
        <x:v>false</x:v>
      </x:c>
      <x:c r="U1543" s="17" t="str">
        <x:v>true</x:v>
      </x:c>
      <x:c r="V1543" s="17" t="str">
        <x:v>false</x:v>
      </x:c>
    </x:row>
    <x:row r="1544" ht="80" customHeight="1">
      <x:c r="A1544" s="25" t="str">
        <x:v>Math</x:v>
      </x:c>
      <x:c r="B1544" s="25" t="n">
        <x:v>102</x:v>
      </x:c>
      <x:c r="C1544" s="25" t="str">
        <x:v>Round2</x:v>
      </x:c>
      <x:c r="D1544" s="25" t="str">
        <x:v>INCONCLUSIVE</x:v>
      </x:c>
      <x:c r="E1544" s="25" t="str">
        <x:v>N/A</x:v>
      </x:c>
      <x:c r="F1544" s="26" t="str">
        <x:v>Fixed also failed; assertion failure cannot be attributed to this bug</x:v>
      </x:c>
      <x:c r="G1544" s="25" t="str">
        <x:v>true</x:v>
      </x:c>
      <x:c r="H1544" s="25" t="str">
        <x:v>INCONCLUSIVE</x:v>
      </x:c>
      <x:c r="I1544" s="25" t="str">
        <x:v>PASS</x:v>
      </x:c>
      <x:c r="J1544" s="25" t="str">
        <x:v>FAIL</x:v>
      </x:c>
      <x:c r="K1544" s="25" t="n">
        <x:v>1</x:v>
      </x:c>
      <x:c r="L1544" s="27" t="b">
        <x:v>0</x:v>
      </x:c>
      <x:c r="M1544" s="25" t="str">
        <x:v>Deepseek-flash-v4/state/Round2/status/Math_102.json; Deepseek-flash-v4/state/Round2/shards/Math_102.json</x:v>
      </x:c>
      <x:c r="N1544" s="25" t="str">
        <x:v>Deepseek-flash-v4/Result2/Math_102/result.json</x:v>
      </x:c>
      <x:c r="O1544" s="25" t="str">
        <x:v>Deepseek-flash-v4/Result2/Math_102/result.json</x:v>
      </x:c>
      <x:c r="P1544"/>
      <x:c r="Q1544" s="21" t="str"/>
      <x:c r="R1544" s="21" t="str"/>
      <x:c r="S1544" s="21" t="str"/>
      <x:c r="T1544" s="17" t="str">
        <x:v>false</x:v>
      </x:c>
      <x:c r="U1544" s="17" t="str">
        <x:v>true</x:v>
      </x:c>
      <x:c r="V1544" s="17" t="str">
        <x:v>false</x:v>
      </x:c>
    </x:row>
    <x:row r="1545" ht="80" customHeight="1">
      <x:c r="A1545" s="25" t="str">
        <x:v>Math</x:v>
      </x:c>
      <x:c r="B1545" s="25" t="n">
        <x:v>103</x:v>
      </x:c>
      <x:c r="C1545" s="25" t="str">
        <x:v>Round2</x:v>
      </x:c>
      <x:c r="D1545" s="25" t="str">
        <x:v>INCONCLUSIVE</x:v>
      </x:c>
      <x:c r="E1545" s="25" t="str">
        <x:v>N/A</x:v>
      </x:c>
      <x:c r="F1545" s="26" t="str">
        <x:v>Fixed also failed; assertion failure cannot be attributed to this bug; Same-round generation metadata missing; use saved tests and execution evidence, no failure inferred</x:v>
      </x:c>
      <x:c r="G1545" s="25" t="str">
        <x:v>true</x:v>
      </x:c>
      <x:c r="H1545" s="25" t="str">
        <x:v>INCONCLUSIVE</x:v>
      </x:c>
      <x:c r="I1545" s="25" t="str">
        <x:v>FAIL</x:v>
      </x:c>
      <x:c r="J1545" s="25" t="str">
        <x:v>FAIL</x:v>
      </x:c>
      <x:c r="K1545" s="25" t="n">
        <x:v>1</x:v>
      </x:c>
      <x:c r="L1545" s="27" t="b">
        <x:v>0</x:v>
      </x:c>
      <x:c r="M1545" s="25"/>
      <x:c r="N1545" s="25" t="str">
        <x:v>Deepseek-flash-v4/Result2/Math_103/result.json</x:v>
      </x:c>
      <x:c r="O1545" s="25" t="str">
        <x:v>Deepseek-flash-v4/Result2/Math_103/result.json</x:v>
      </x:c>
      <x:c r="P1545"/>
      <x:c r="Q1545" s="21" t="str"/>
      <x:c r="R1545" s="21" t="str"/>
      <x:c r="S1545" s="21" t="str"/>
      <x:c r="T1545" s="17" t="str">
        <x:v>false</x:v>
      </x:c>
      <x:c r="U1545" s="17" t="str">
        <x:v>true</x:v>
      </x:c>
      <x:c r="V1545" s="17" t="str">
        <x:v>false</x:v>
      </x:c>
    </x:row>
    <x:row r="1546" ht="80" customHeight="1">
      <x:c r="A1546" s="25" t="str">
        <x:v>Math</x:v>
      </x:c>
      <x:c r="B1546" s="25" t="n">
        <x:v>104</x:v>
      </x:c>
      <x:c r="C1546" s="25" t="str">
        <x:v>Round2</x:v>
      </x:c>
      <x:c r="D1546" s="25" t="str">
        <x:v>INCONCLUSIVE</x:v>
      </x:c>
      <x:c r="E1546" s="25" t="str">
        <x:v>N/A</x:v>
      </x:c>
      <x:c r="F1546" s="26" t="str">
        <x:v>Fixed also failed; assertion failure cannot be attributed to this bug; Same-round generation metadata missing; use saved tests and execution evidence, no failure inferred</x:v>
      </x:c>
      <x:c r="G1546" s="25" t="str">
        <x:v>true</x:v>
      </x:c>
      <x:c r="H1546" s="25" t="str">
        <x:v>INCONCLUSIVE</x:v>
      </x:c>
      <x:c r="I1546" s="25" t="str">
        <x:v>FAIL</x:v>
      </x:c>
      <x:c r="J1546" s="25" t="str">
        <x:v>FAIL</x:v>
      </x:c>
      <x:c r="K1546" s="25" t="n">
        <x:v>1</x:v>
      </x:c>
      <x:c r="L1546" s="27" t="b">
        <x:v>0</x:v>
      </x:c>
      <x:c r="M1546" s="25"/>
      <x:c r="N1546" s="25" t="str">
        <x:v>Deepseek-flash-v4/Result2/Math_104/result.json</x:v>
      </x:c>
      <x:c r="O1546" s="25" t="str">
        <x:v>Deepseek-flash-v4/Result2/Math_104/result.json</x:v>
      </x:c>
      <x:c r="P1546"/>
      <x:c r="Q1546" s="21" t="str"/>
      <x:c r="R1546" s="21" t="str"/>
      <x:c r="S1546" s="21" t="str"/>
      <x:c r="T1546" s="17" t="str">
        <x:v>false</x:v>
      </x:c>
      <x:c r="U1546" s="17" t="str">
        <x:v>true</x:v>
      </x:c>
      <x:c r="V1546" s="17" t="str">
        <x:v>false</x:v>
      </x:c>
    </x:row>
    <x:row r="1547" ht="80" customHeight="1">
      <x:c r="A1547" s="25" t="str">
        <x:v>Math</x:v>
      </x:c>
      <x:c r="B1547" s="25" t="n">
        <x:v>105</x:v>
      </x:c>
      <x:c r="C1547" s="25" t="str">
        <x:v>Round2</x:v>
      </x:c>
      <x:c r="D1547" s="25" t="str">
        <x:v>INCONCLUSIVE</x:v>
      </x:c>
      <x:c r="E1547" s="25" t="str">
        <x:v>N/A</x:v>
      </x:c>
      <x:c r="F1547" s="26" t="str">
        <x:v>Fixed also failed; assertion failure cannot be attributed to this bug; Same-round generation metadata missing; use saved tests and execution evidence, no failure inferred</x:v>
      </x:c>
      <x:c r="G1547" s="25" t="str">
        <x:v>true</x:v>
      </x:c>
      <x:c r="H1547" s="25" t="str">
        <x:v>INCONCLUSIVE</x:v>
      </x:c>
      <x:c r="I1547" s="25" t="str">
        <x:v>FAIL</x:v>
      </x:c>
      <x:c r="J1547" s="25" t="str">
        <x:v>FAIL</x:v>
      </x:c>
      <x:c r="K1547" s="25" t="n">
        <x:v>1</x:v>
      </x:c>
      <x:c r="L1547" s="27" t="b">
        <x:v>0</x:v>
      </x:c>
      <x:c r="M1547" s="25"/>
      <x:c r="N1547" s="25" t="str">
        <x:v>Deepseek-flash-v4/Result2/Math_105/result.json</x:v>
      </x:c>
      <x:c r="O1547" s="25" t="str">
        <x:v>Deepseek-flash-v4/Result2/Math_105/result.json</x:v>
      </x:c>
      <x:c r="P1547"/>
      <x:c r="Q1547" s="21" t="str"/>
      <x:c r="R1547" s="21" t="str"/>
      <x:c r="S1547" s="21" t="str"/>
      <x:c r="T1547" s="17" t="str">
        <x:v>false</x:v>
      </x:c>
      <x:c r="U1547" s="17" t="str">
        <x:v>true</x:v>
      </x:c>
      <x:c r="V1547" s="17" t="str">
        <x:v>false</x:v>
      </x:c>
    </x:row>
    <x:row r="1548" ht="80" customHeight="1">
      <x:c r="A1548" s="25" t="str">
        <x:v>Math</x:v>
      </x:c>
      <x:c r="B1548" s="25" t="n">
        <x:v>106</x:v>
      </x:c>
      <x:c r="C1548" s="25" t="str">
        <x:v>Round2</x:v>
      </x:c>
      <x:c r="D1548" s="25" t="str">
        <x:v>INCONCLUSIVE</x:v>
      </x:c>
      <x:c r="E1548" s="25" t="str">
        <x:v>N/A</x:v>
      </x:c>
      <x:c r="F1548" s="26" t="str">
        <x:v>Fixed also failed; assertion failure cannot be attributed to this bug; Same-round generation metadata missing; use saved tests and execution evidence, no failure inferred</x:v>
      </x:c>
      <x:c r="G1548" s="25" t="str">
        <x:v>true</x:v>
      </x:c>
      <x:c r="H1548" s="25" t="str">
        <x:v>INCONCLUSIVE</x:v>
      </x:c>
      <x:c r="I1548" s="25" t="str">
        <x:v>FAIL</x:v>
      </x:c>
      <x:c r="J1548" s="25" t="str">
        <x:v>FAIL</x:v>
      </x:c>
      <x:c r="K1548" s="25" t="n">
        <x:v>1</x:v>
      </x:c>
      <x:c r="L1548" s="27" t="b">
        <x:v>0</x:v>
      </x:c>
      <x:c r="M1548" s="25"/>
      <x:c r="N1548" s="25" t="str">
        <x:v>Deepseek-flash-v4/Result2/Math_106/result.json</x:v>
      </x:c>
      <x:c r="O1548" s="25" t="str">
        <x:v>Deepseek-flash-v4/Result2/Math_106/result.json</x:v>
      </x:c>
      <x:c r="P1548"/>
      <x:c r="Q1548" s="21" t="str"/>
      <x:c r="R1548" s="21" t="str"/>
      <x:c r="S1548" s="21" t="str"/>
      <x:c r="T1548" s="17" t="str">
        <x:v>false</x:v>
      </x:c>
      <x:c r="U1548" s="17" t="str">
        <x:v>true</x:v>
      </x:c>
      <x:c r="V1548" s="17" t="str">
        <x:v>false</x:v>
      </x:c>
    </x:row>
    <x:row r="1549" ht="80" customHeight="1">
      <x:c r="A1549" s="25" t="str">
        <x:v>Math</x:v>
      </x:c>
      <x:c r="B1549" s="25" t="n">
        <x:v>11</x:v>
      </x:c>
      <x:c r="C1549" s="25" t="str">
        <x:v>Round2</x:v>
      </x:c>
      <x:c r="D1549" s="25" t="str">
        <x:v>INCONCLUSIVE</x:v>
      </x:c>
      <x:c r="E1549" s="25" t="str">
        <x:v>N/A</x:v>
      </x:c>
      <x:c r="F1549" s="26" t="str">
        <x:v>Fixed also failed; assertion failure cannot be attributed to this bug</x:v>
      </x:c>
      <x:c r="G1549" s="25" t="str">
        <x:v>true</x:v>
      </x:c>
      <x:c r="H1549" s="25" t="str">
        <x:v>INCONCLUSIVE</x:v>
      </x:c>
      <x:c r="I1549" s="25" t="str">
        <x:v>FAIL</x:v>
      </x:c>
      <x:c r="J1549" s="25" t="str">
        <x:v>FAIL</x:v>
      </x:c>
      <x:c r="K1549" s="25" t="n">
        <x:v>1</x:v>
      </x:c>
      <x:c r="L1549" s="27" t="b">
        <x:v>0</x:v>
      </x:c>
      <x:c r="M1549" s="25" t="str">
        <x:v>Deepseek-flash-v4/state/Round2/status/Math_11.json; Deepseek-flash-v4/state/Round2/shards/Math_11.json</x:v>
      </x:c>
      <x:c r="N1549" s="25" t="str">
        <x:v>Deepseek-flash-v4/Result2/Math_11/result.json</x:v>
      </x:c>
      <x:c r="O1549" s="25" t="str">
        <x:v>Deepseek-flash-v4/Result2/Math_11/result.json</x:v>
      </x:c>
      <x:c r="P1549"/>
      <x:c r="Q1549" s="21" t="str"/>
      <x:c r="R1549" s="21" t="str"/>
      <x:c r="S1549" s="21" t="str"/>
      <x:c r="T1549" s="17" t="str">
        <x:v>false</x:v>
      </x:c>
      <x:c r="U1549" s="17" t="str">
        <x:v>true</x:v>
      </x:c>
      <x:c r="V1549" s="17" t="str">
        <x:v>false</x:v>
      </x:c>
    </x:row>
    <x:row r="1550" ht="80" customHeight="1">
      <x:c r="A1550" s="25" t="str">
        <x:v>Math</x:v>
      </x:c>
      <x:c r="B1550" s="25" t="n">
        <x:v>12</x:v>
      </x:c>
      <x:c r="C1550" s="25" t="str">
        <x:v>Round2</x:v>
      </x:c>
      <x:c r="D1550" s="25" t="str">
        <x:v>INCONCLUSIVE</x:v>
      </x:c>
      <x:c r="E1550" s="25" t="str">
        <x:v>N/A</x:v>
      </x:c>
      <x:c r="F1550" s="26" t="str">
        <x:v>Fixed also failed; assertion failure cannot be attributed to this bug; Same-round generation metadata missing; use saved tests and execution evidence, no failure inferred</x:v>
      </x:c>
      <x:c r="G1550" s="25" t="str">
        <x:v>true</x:v>
      </x:c>
      <x:c r="H1550" s="25" t="str">
        <x:v>INCONCLUSIVE</x:v>
      </x:c>
      <x:c r="I1550" s="25" t="str">
        <x:v>FAIL</x:v>
      </x:c>
      <x:c r="J1550" s="25" t="str">
        <x:v>FAIL</x:v>
      </x:c>
      <x:c r="K1550" s="25" t="n">
        <x:v>1</x:v>
      </x:c>
      <x:c r="L1550" s="27" t="b">
        <x:v>0</x:v>
      </x:c>
      <x:c r="M1550" s="25"/>
      <x:c r="N1550" s="25" t="str">
        <x:v>Deepseek-flash-v4/Result2/Math_12/result.json</x:v>
      </x:c>
      <x:c r="O1550" s="25" t="str">
        <x:v>Deepseek-flash-v4/Result2/Math_12/result.json</x:v>
      </x:c>
      <x:c r="P1550"/>
      <x:c r="Q1550" s="21" t="str"/>
      <x:c r="R1550" s="21" t="str"/>
      <x:c r="S1550" s="21" t="str"/>
      <x:c r="T1550" s="17" t="str">
        <x:v>false</x:v>
      </x:c>
      <x:c r="U1550" s="17" t="str">
        <x:v>true</x:v>
      </x:c>
      <x:c r="V1550" s="17" t="str">
        <x:v>false</x:v>
      </x:c>
    </x:row>
    <x:row r="1551" ht="80" customHeight="1">
      <x:c r="A1551" s="25" t="str">
        <x:v>Math</x:v>
      </x:c>
      <x:c r="B1551" s="25" t="n">
        <x:v>13</x:v>
      </x:c>
      <x:c r="C1551" s="25" t="str">
        <x:v>Round2</x:v>
      </x:c>
      <x:c r="D1551" s="25" t="str">
        <x:v>NOT_AVAILABLE</x:v>
      </x:c>
      <x:c r="E1551" s="25" t="str">
        <x:v>N/A</x:v>
      </x:c>
      <x:c r="F1551" s="26" t="str">
        <x:v>Tests exist but current coverage did not complete</x:v>
      </x:c>
      <x:c r="G1551" s="25" t="str">
        <x:v>true</x:v>
      </x:c>
      <x:c r="H1551" s="25" t="str">
        <x:v>NOT_AVAILABLE</x:v>
      </x:c>
      <x:c r="I1551" s="25" t="str">
        <x:v>NOT_RUN</x:v>
      </x:c>
      <x:c r="J1551" s="25" t="str">
        <x:v>NOT_RUN</x:v>
      </x:c>
      <x:c r="K1551" s="25" t="n">
        <x:v>1</x:v>
      </x:c>
      <x:c r="L1551" s="27" t="b">
        <x:v>0</x:v>
      </x:c>
      <x:c r="M1551" s="25" t="str">
        <x:v>Deepseek-flash-v4/state/Round2/status/Math_13.json; Deepseek-flash-v4/state/Round2/shards/Math_13.json</x:v>
      </x:c>
      <x:c r="N1551" s="25" t="str">
        <x:v>Deepseek-flash-v4/Result2/Math_13/result.json</x:v>
      </x:c>
      <x:c r="O1551" s="25" t="str">
        <x:v>Deepseek-flash-v4/Result2/Math_13/result.json</x:v>
      </x:c>
      <x:c r="P1551" t="str">
        <x:v>BOTH_NOT_RUN</x:v>
      </x:c>
      <x:c r="Q1551" s="21" t="str"/>
      <x:c r="R1551" s="21" t="str"/>
      <x:c r="S1551" s="21" t="str"/>
      <x:c r="T1551" s="17" t="str">
        <x:v>false</x:v>
      </x:c>
      <x:c r="U1551" s="17" t="str">
        <x:v>true</x:v>
      </x:c>
      <x:c r="V1551" s="17" t="str">
        <x:v>false</x:v>
      </x:c>
    </x:row>
    <x:row r="1552" ht="80" customHeight="1">
      <x:c r="A1552" s="25" t="str">
        <x:v>Math</x:v>
      </x:c>
      <x:c r="B1552" s="25" t="n">
        <x:v>14</x:v>
      </x:c>
      <x:c r="C1552" s="25" t="str">
        <x:v>Round2</x:v>
      </x:c>
      <x:c r="D1552" s="25" t="str">
        <x:v>INCONCLUSIVE</x:v>
      </x:c>
      <x:c r="E1552" s="25" t="str">
        <x:v>N/A</x:v>
      </x:c>
      <x:c r="F1552" s="26" t="str">
        <x:v>Fixed also failed; assertion failure cannot be attributed to this bug</x:v>
      </x:c>
      <x:c r="G1552" s="25" t="str">
        <x:v>true</x:v>
      </x:c>
      <x:c r="H1552" s="25" t="str">
        <x:v>INCONCLUSIVE</x:v>
      </x:c>
      <x:c r="I1552" s="25" t="str">
        <x:v>FAIL</x:v>
      </x:c>
      <x:c r="J1552" s="25" t="str">
        <x:v>FAIL</x:v>
      </x:c>
      <x:c r="K1552" s="25" t="n">
        <x:v>2</x:v>
      </x:c>
      <x:c r="L1552" s="27" t="b">
        <x:v>0</x:v>
      </x:c>
      <x:c r="M1552" s="25" t="str">
        <x:v>Deepseek-flash-v4/state/Round2/status/Math_14.json; Deepseek-flash-v4/state/Round2/shards/Math_14.json</x:v>
      </x:c>
      <x:c r="N1552" s="25" t="str">
        <x:v>Deepseek-flash-v4/Result2/Math_14/result.json</x:v>
      </x:c>
      <x:c r="O1552" s="25" t="str">
        <x:v>Deepseek-flash-v4/Result2/Math_14/result.json</x:v>
      </x:c>
      <x:c r="P1552"/>
      <x:c r="Q1552" s="21" t="str"/>
      <x:c r="R1552" s="21" t="str"/>
      <x:c r="S1552" s="21" t="str"/>
      <x:c r="T1552" s="17" t="str">
        <x:v>false</x:v>
      </x:c>
      <x:c r="U1552" s="17" t="str">
        <x:v>true</x:v>
      </x:c>
      <x:c r="V1552" s="17" t="str">
        <x:v>false</x:v>
      </x:c>
    </x:row>
    <x:row r="1553" ht="80" customHeight="1">
      <x:c r="A1553" s="25" t="str">
        <x:v>Math</x:v>
      </x:c>
      <x:c r="B1553" s="25" t="n">
        <x:v>15</x:v>
      </x:c>
      <x:c r="C1553" s="25" t="str">
        <x:v>Round2</x:v>
      </x:c>
      <x:c r="D1553" s="25" t="str">
        <x:v>INCONCLUSIVE</x:v>
      </x:c>
      <x:c r="E1553" s="25" t="str">
        <x:v>N/A</x:v>
      </x:c>
      <x:c r="F1553" s="26" t="str">
        <x:v>Fixed also failed; assertion failure cannot be attributed to this bug; Same-round generation metadata missing; use saved tests and execution evidence, no failure inferred</x:v>
      </x:c>
      <x:c r="G1553" s="25" t="str">
        <x:v>true</x:v>
      </x:c>
      <x:c r="H1553" s="25" t="str">
        <x:v>INCONCLUSIVE</x:v>
      </x:c>
      <x:c r="I1553" s="25" t="str">
        <x:v>FAIL</x:v>
      </x:c>
      <x:c r="J1553" s="25" t="str">
        <x:v>FAIL</x:v>
      </x:c>
      <x:c r="K1553" s="25" t="n">
        <x:v>1</x:v>
      </x:c>
      <x:c r="L1553" s="27" t="b">
        <x:v>0</x:v>
      </x:c>
      <x:c r="M1553" s="25"/>
      <x:c r="N1553" s="25" t="str">
        <x:v>Deepseek-flash-v4/Result2/Math_15/result.json</x:v>
      </x:c>
      <x:c r="O1553" s="25" t="str">
        <x:v>Deepseek-flash-v4/Result2/Math_15/result.json</x:v>
      </x:c>
      <x:c r="P1553"/>
      <x:c r="Q1553" s="21" t="str"/>
      <x:c r="R1553" s="21" t="str"/>
      <x:c r="S1553" s="21" t="str"/>
      <x:c r="T1553" s="17" t="str">
        <x:v>false</x:v>
      </x:c>
      <x:c r="U1553" s="17" t="str">
        <x:v>true</x:v>
      </x:c>
      <x:c r="V1553" s="17" t="str">
        <x:v>false</x:v>
      </x:c>
    </x:row>
    <x:row r="1554" ht="80" customHeight="1">
      <x:c r="A1554" s="25" t="str">
        <x:v>Math</x:v>
      </x:c>
      <x:c r="B1554" s="25" t="n">
        <x:v>16</x:v>
      </x:c>
      <x:c r="C1554" s="25" t="str">
        <x:v>Round2</x:v>
      </x:c>
      <x:c r="D1554" s="25" t="str">
        <x:v>INCONCLUSIVE</x:v>
      </x:c>
      <x:c r="E1554" s="25" t="str">
        <x:v>N/A</x:v>
      </x:c>
      <x:c r="F1554" s="26" t="str">
        <x:v>Fixed also failed; assertion failure cannot be attributed to this bug; Same-round generation metadata missing; use saved tests and execution evidence, no failure inferred</x:v>
      </x:c>
      <x:c r="G1554" s="25" t="str">
        <x:v>true</x:v>
      </x:c>
      <x:c r="H1554" s="25" t="str">
        <x:v>INCONCLUSIVE</x:v>
      </x:c>
      <x:c r="I1554" s="25" t="str">
        <x:v>FAIL</x:v>
      </x:c>
      <x:c r="J1554" s="25" t="str">
        <x:v>FAIL</x:v>
      </x:c>
      <x:c r="K1554" s="25" t="n">
        <x:v>1</x:v>
      </x:c>
      <x:c r="L1554" s="27" t="b">
        <x:v>0</x:v>
      </x:c>
      <x:c r="M1554" s="25"/>
      <x:c r="N1554" s="25" t="str">
        <x:v>Deepseek-flash-v4/Result2/Math_16/result.json</x:v>
      </x:c>
      <x:c r="O1554" s="25" t="str">
        <x:v>Deepseek-flash-v4/Result2/Math_16/result.json</x:v>
      </x:c>
      <x:c r="P1554"/>
      <x:c r="Q1554" s="21" t="str"/>
      <x:c r="R1554" s="21" t="str"/>
      <x:c r="S1554" s="21" t="str"/>
      <x:c r="T1554" s="17" t="str">
        <x:v>false</x:v>
      </x:c>
      <x:c r="U1554" s="17" t="str">
        <x:v>true</x:v>
      </x:c>
      <x:c r="V1554" s="17" t="str">
        <x:v>false</x:v>
      </x:c>
    </x:row>
    <x:row r="1555" ht="80" customHeight="1">
      <x:c r="A1555" s="25" t="str">
        <x:v>Math</x:v>
      </x:c>
      <x:c r="B1555" s="25" t="n">
        <x:v>17</x:v>
      </x:c>
      <x:c r="C1555" s="25" t="str">
        <x:v>Round2</x:v>
      </x:c>
      <x:c r="D1555" s="25" t="str">
        <x:v>INCONCLUSIVE</x:v>
      </x:c>
      <x:c r="E1555" s="25" t="str">
        <x:v>N/A</x:v>
      </x:c>
      <x:c r="F1555" s="26" t="str">
        <x:v>Fixed also failed; assertion failure cannot be attributed to this bug</x:v>
      </x:c>
      <x:c r="G1555" s="25" t="str">
        <x:v>true</x:v>
      </x:c>
      <x:c r="H1555" s="25" t="str">
        <x:v>INCONCLUSIVE</x:v>
      </x:c>
      <x:c r="I1555" s="25" t="str">
        <x:v>FAIL</x:v>
      </x:c>
      <x:c r="J1555" s="25" t="str">
        <x:v>FAIL</x:v>
      </x:c>
      <x:c r="K1555" s="25" t="n">
        <x:v>1</x:v>
      </x:c>
      <x:c r="L1555" s="27" t="b">
        <x:v>0</x:v>
      </x:c>
      <x:c r="M1555" s="25" t="str">
        <x:v>Deepseek-flash-v4/state/Round2/status/Math_17.json; Deepseek-flash-v4/state/Round2/shards/Math_17.json</x:v>
      </x:c>
      <x:c r="N1555" s="25" t="str">
        <x:v>Deepseek-flash-v4/Result2/Math_17/result.json</x:v>
      </x:c>
      <x:c r="O1555" s="25" t="str">
        <x:v>Deepseek-flash-v4/Result2/Math_17/result.json</x:v>
      </x:c>
      <x:c r="P1555"/>
      <x:c r="Q1555" s="21" t="str"/>
      <x:c r="R1555" s="21" t="str"/>
      <x:c r="S1555" s="21" t="str"/>
      <x:c r="T1555" s="17" t="str">
        <x:v>false</x:v>
      </x:c>
      <x:c r="U1555" s="17" t="str">
        <x:v>true</x:v>
      </x:c>
      <x:c r="V1555" s="17" t="str">
        <x:v>false</x:v>
      </x:c>
    </x:row>
    <x:row r="1556" ht="80" customHeight="1">
      <x:c r="A1556" s="25" t="str">
        <x:v>Math</x:v>
      </x:c>
      <x:c r="B1556" s="25" t="n">
        <x:v>18</x:v>
      </x:c>
      <x:c r="C1556" s="25" t="str">
        <x:v>Round2</x:v>
      </x:c>
      <x:c r="D1556" s="25" t="str">
        <x:v>NOT_REVEALING</x:v>
      </x:c>
      <x:c r="E1556" s="25" t="str">
        <x:v>N/A</x:v>
      </x:c>
      <x:c r="F1556" s="26" t="str">
        <x:v>Same saved validation suite passed on buggy and fixed</x:v>
      </x:c>
      <x:c r="G1556" s="25" t="str">
        <x:v>true</x:v>
      </x:c>
      <x:c r="H1556" s="25" t="str">
        <x:v>NOT_REVEALING</x:v>
      </x:c>
      <x:c r="I1556" s="25" t="str">
        <x:v>PASS</x:v>
      </x:c>
      <x:c r="J1556" s="25" t="str">
        <x:v>PASS</x:v>
      </x:c>
      <x:c r="K1556" s="25" t="n">
        <x:v>1</x:v>
      </x:c>
      <x:c r="L1556" s="27" t="b">
        <x:v>0</x:v>
      </x:c>
      <x:c r="M1556" s="25" t="str">
        <x:v>Deepseek-flash-v4/state/Round2/status/Math_18.json; Deepseek-flash-v4/state/Round2/shards/Math_18.json</x:v>
      </x:c>
      <x:c r="N1556" s="25" t="str">
        <x:v>Deepseek-flash-v4/Result2/Math_18/result.json</x:v>
      </x:c>
      <x:c r="O1556" s="25" t="str">
        <x:v>Deepseek-flash-v4/Result2/Math_18/result.json</x:v>
      </x:c>
      <x:c r="P1556"/>
      <x:c r="Q1556" s="21" t="str"/>
      <x:c r="R1556" s="21" t="str"/>
      <x:c r="S1556" s="21" t="str"/>
      <x:c r="T1556" s="17" t="str">
        <x:v>false</x:v>
      </x:c>
      <x:c r="U1556" s="17" t="str">
        <x:v>true</x:v>
      </x:c>
      <x:c r="V1556" s="17" t="str">
        <x:v>false</x:v>
      </x:c>
    </x:row>
    <x:row r="1557" ht="80" customHeight="1">
      <x:c r="A1557" s="25" t="str">
        <x:v>Math</x:v>
      </x:c>
      <x:c r="B1557" s="25" t="n">
        <x:v>19</x:v>
      </x:c>
      <x:c r="C1557" s="25" t="str">
        <x:v>Round2</x:v>
      </x:c>
      <x:c r="D1557" s="25" t="str">
        <x:v>NOT_REVEALING</x:v>
      </x:c>
      <x:c r="E1557" s="25" t="str">
        <x:v>N/A</x:v>
      </x:c>
      <x:c r="F1557" s="26" t="str">
        <x:v>Same saved validation suite passed on buggy and fixed</x:v>
      </x:c>
      <x:c r="G1557" s="25" t="str">
        <x:v>true</x:v>
      </x:c>
      <x:c r="H1557" s="25" t="str">
        <x:v>NOT_REVEALING</x:v>
      </x:c>
      <x:c r="I1557" s="25" t="str">
        <x:v>PASS</x:v>
      </x:c>
      <x:c r="J1557" s="25" t="str">
        <x:v>PASS</x:v>
      </x:c>
      <x:c r="K1557" s="25" t="n">
        <x:v>1</x:v>
      </x:c>
      <x:c r="L1557" s="27" t="b">
        <x:v>0</x:v>
      </x:c>
      <x:c r="M1557" s="25" t="str">
        <x:v>Deepseek-flash-v4/state/Round2/status/Math_19.json; Deepseek-flash-v4/state/Round2/shards/Math_19.json</x:v>
      </x:c>
      <x:c r="N1557" s="25" t="str">
        <x:v>Deepseek-flash-v4/Result2/Math_19/result.json</x:v>
      </x:c>
      <x:c r="O1557" s="25" t="str">
        <x:v>Deepseek-flash-v4/Result2/Math_19/result.json</x:v>
      </x:c>
      <x:c r="P1557"/>
      <x:c r="Q1557" s="21" t="str"/>
      <x:c r="R1557" s="21" t="str"/>
      <x:c r="S1557" s="21" t="str"/>
      <x:c r="T1557" s="17" t="str">
        <x:v>false</x:v>
      </x:c>
      <x:c r="U1557" s="17" t="str">
        <x:v>true</x:v>
      </x:c>
      <x:c r="V1557" s="17" t="str">
        <x:v>false</x:v>
      </x:c>
    </x:row>
    <x:row r="1558" ht="80" customHeight="1">
      <x:c r="A1558" s="25" t="str">
        <x:v>Math</x:v>
      </x:c>
      <x:c r="B1558" s="25" t="n">
        <x:v>2</x:v>
      </x:c>
      <x:c r="C1558" s="25" t="str">
        <x:v>Round2</x:v>
      </x:c>
      <x:c r="D1558" s="25" t="str">
        <x:v>INCONCLUSIVE</x:v>
      </x:c>
      <x:c r="E1558" s="25" t="str">
        <x:v>N/A</x:v>
      </x:c>
      <x:c r="F1558" s="26" t="str">
        <x:v>Fixed also failed; assertion failure cannot be attributed to this bug; Same-round generation metadata missing; use saved tests and execution evidence, no failure inferred</x:v>
      </x:c>
      <x:c r="G1558" s="25" t="str">
        <x:v>true</x:v>
      </x:c>
      <x:c r="H1558" s="25" t="str">
        <x:v>INCONCLUSIVE</x:v>
      </x:c>
      <x:c r="I1558" s="25" t="str">
        <x:v>FAIL</x:v>
      </x:c>
      <x:c r="J1558" s="25" t="str">
        <x:v>FAIL</x:v>
      </x:c>
      <x:c r="K1558" s="25" t="n">
        <x:v>1</x:v>
      </x:c>
      <x:c r="L1558" s="27" t="b">
        <x:v>0</x:v>
      </x:c>
      <x:c r="M1558" s="25"/>
      <x:c r="N1558" s="25" t="str">
        <x:v>Deepseek-flash-v4/Result2/Math_2/result.json</x:v>
      </x:c>
      <x:c r="O1558" s="25" t="str">
        <x:v>Deepseek-flash-v4/Result2/Math_2/result.json</x:v>
      </x:c>
      <x:c r="P1558"/>
      <x:c r="Q1558" s="21" t="str"/>
      <x:c r="R1558" s="21" t="str"/>
      <x:c r="S1558" s="21" t="str"/>
      <x:c r="T1558" s="17" t="str">
        <x:v>false</x:v>
      </x:c>
      <x:c r="U1558" s="17" t="str">
        <x:v>true</x:v>
      </x:c>
      <x:c r="V1558" s="17" t="str">
        <x:v>false</x:v>
      </x:c>
    </x:row>
    <x:row r="1559" ht="80" customHeight="1">
      <x:c r="A1559" s="25" t="str">
        <x:v>Math</x:v>
      </x:c>
      <x:c r="B1559" s="25" t="n">
        <x:v>20</x:v>
      </x:c>
      <x:c r="C1559" s="25" t="str">
        <x:v>Round2</x:v>
      </x:c>
      <x:c r="D1559" s="25" t="str">
        <x:v>NOT_REVEALING</x:v>
      </x:c>
      <x:c r="E1559" s="25" t="str">
        <x:v>N/A</x:v>
      </x:c>
      <x:c r="F1559" s="26" t="str">
        <x:v>Same saved validation suite passed on buggy and fixed</x:v>
      </x:c>
      <x:c r="G1559" s="25" t="str">
        <x:v>true</x:v>
      </x:c>
      <x:c r="H1559" s="25" t="str">
        <x:v>NOT_REVEALING</x:v>
      </x:c>
      <x:c r="I1559" s="25" t="str">
        <x:v>PASS</x:v>
      </x:c>
      <x:c r="J1559" s="25" t="str">
        <x:v>PASS</x:v>
      </x:c>
      <x:c r="K1559" s="25" t="n">
        <x:v>1</x:v>
      </x:c>
      <x:c r="L1559" s="27" t="b">
        <x:v>0</x:v>
      </x:c>
      <x:c r="M1559" s="25" t="str">
        <x:v>Deepseek-flash-v4/state/Round2/status/Math_20.json; Deepseek-flash-v4/state/Round2/shards/Math_20.json</x:v>
      </x:c>
      <x:c r="N1559" s="25" t="str">
        <x:v>Deepseek-flash-v4/Result2/Math_20/result.json</x:v>
      </x:c>
      <x:c r="O1559" s="25" t="str">
        <x:v>Deepseek-flash-v4/Result2/Math_20/result.json</x:v>
      </x:c>
      <x:c r="P1559"/>
      <x:c r="Q1559" s="21" t="str"/>
      <x:c r="R1559" s="21" t="str"/>
      <x:c r="S1559" s="21" t="str"/>
      <x:c r="T1559" s="17" t="str">
        <x:v>false</x:v>
      </x:c>
      <x:c r="U1559" s="17" t="str">
        <x:v>true</x:v>
      </x:c>
      <x:c r="V1559" s="17" t="str">
        <x:v>false</x:v>
      </x:c>
    </x:row>
    <x:row r="1560" ht="80" customHeight="1">
      <x:c r="A1560" s="25" t="str">
        <x:v>Math</x:v>
      </x:c>
      <x:c r="B1560" s="25" t="n">
        <x:v>21</x:v>
      </x:c>
      <x:c r="C1560" s="25" t="str">
        <x:v>Round2</x:v>
      </x:c>
      <x:c r="D1560" s="25" t="str">
        <x:v>INCONCLUSIVE</x:v>
      </x:c>
      <x:c r="E1560" s="25" t="str">
        <x:v>N/A</x:v>
      </x:c>
      <x:c r="F1560" s="26" t="str">
        <x:v>Fixed also failed; assertion failure cannot be attributed to this bug; Same-round generation metadata missing; use saved tests and execution evidence, no failure inferred</x:v>
      </x:c>
      <x:c r="G1560" s="25" t="str">
        <x:v>true</x:v>
      </x:c>
      <x:c r="H1560" s="25" t="str">
        <x:v>INCONCLUSIVE</x:v>
      </x:c>
      <x:c r="I1560" s="25" t="str">
        <x:v>FAIL</x:v>
      </x:c>
      <x:c r="J1560" s="25" t="str">
        <x:v>FAIL</x:v>
      </x:c>
      <x:c r="K1560" s="25" t="n">
        <x:v>1</x:v>
      </x:c>
      <x:c r="L1560" s="27" t="b">
        <x:v>0</x:v>
      </x:c>
      <x:c r="M1560" s="25"/>
      <x:c r="N1560" s="25" t="str">
        <x:v>Deepseek-flash-v4/Result2/Math_21/result.json</x:v>
      </x:c>
      <x:c r="O1560" s="25" t="str">
        <x:v>Deepseek-flash-v4/Result2/Math_21/result.json</x:v>
      </x:c>
      <x:c r="P1560"/>
      <x:c r="Q1560" s="21" t="str"/>
      <x:c r="R1560" s="21" t="str"/>
      <x:c r="S1560" s="21" t="str"/>
      <x:c r="T1560" s="17" t="str">
        <x:v>false</x:v>
      </x:c>
      <x:c r="U1560" s="17" t="str">
        <x:v>true</x:v>
      </x:c>
      <x:c r="V1560" s="17" t="str">
        <x:v>false</x:v>
      </x:c>
    </x:row>
    <x:row r="1561" ht="80" customHeight="1">
      <x:c r="A1561" s="25" t="str">
        <x:v>Math</x:v>
      </x:c>
      <x:c r="B1561" s="25" t="n">
        <x:v>22</x:v>
      </x:c>
      <x:c r="C1561" s="25" t="str">
        <x:v>Round2</x:v>
      </x:c>
      <x:c r="D1561" s="25" t="str">
        <x:v>INCONCLUSIVE</x:v>
      </x:c>
      <x:c r="E1561" s="25" t="str">
        <x:v>N/A</x:v>
      </x:c>
      <x:c r="F1561" s="26" t="str">
        <x:v>Fixed also failed; assertion failure cannot be attributed to this bug</x:v>
      </x:c>
      <x:c r="G1561" s="25" t="str">
        <x:v>true</x:v>
      </x:c>
      <x:c r="H1561" s="25" t="str">
        <x:v>INCONCLUSIVE</x:v>
      </x:c>
      <x:c r="I1561" s="25" t="str">
        <x:v>FAIL</x:v>
      </x:c>
      <x:c r="J1561" s="25" t="str">
        <x:v>FAIL</x:v>
      </x:c>
      <x:c r="K1561" s="25" t="n">
        <x:v>2</x:v>
      </x:c>
      <x:c r="L1561" s="27" t="b">
        <x:v>0</x:v>
      </x:c>
      <x:c r="M1561" s="25" t="str">
        <x:v>Deepseek-flash-v4/state/Round2/status/Math_22.json; Deepseek-flash-v4/state/Round2/shards/Math_22.json</x:v>
      </x:c>
      <x:c r="N1561" s="25" t="str">
        <x:v>Deepseek-flash-v4/Result2/Math_22/result.json</x:v>
      </x:c>
      <x:c r="O1561" s="25" t="str">
        <x:v>Deepseek-flash-v4/Result2/Math_22/result.json</x:v>
      </x:c>
      <x:c r="P1561"/>
      <x:c r="Q1561" s="21" t="str"/>
      <x:c r="R1561" s="21" t="str"/>
      <x:c r="S1561" s="21" t="str"/>
      <x:c r="T1561" s="17" t="str">
        <x:v>false</x:v>
      </x:c>
      <x:c r="U1561" s="17" t="str">
        <x:v>true</x:v>
      </x:c>
      <x:c r="V1561" s="17" t="str">
        <x:v>false</x:v>
      </x:c>
    </x:row>
    <x:row r="1562" ht="80" customHeight="1">
      <x:c r="A1562" s="25" t="str">
        <x:v>Math</x:v>
      </x:c>
      <x:c r="B1562" s="25" t="n">
        <x:v>23</x:v>
      </x:c>
      <x:c r="C1562" s="25" t="str">
        <x:v>Round2</x:v>
      </x:c>
      <x:c r="D1562" s="25" t="str">
        <x:v>NOT_REVEALING</x:v>
      </x:c>
      <x:c r="E1562" s="25" t="str">
        <x:v>N/A</x:v>
      </x:c>
      <x:c r="F1562" s="26" t="str">
        <x:v>Same saved validation suite passed on buggy and fixed</x:v>
      </x:c>
      <x:c r="G1562" s="25" t="str">
        <x:v>true</x:v>
      </x:c>
      <x:c r="H1562" s="25" t="str">
        <x:v>NOT_REVEALING</x:v>
      </x:c>
      <x:c r="I1562" s="25" t="str">
        <x:v>PASS</x:v>
      </x:c>
      <x:c r="J1562" s="25" t="str">
        <x:v>PASS</x:v>
      </x:c>
      <x:c r="K1562" s="25" t="n">
        <x:v>1</x:v>
      </x:c>
      <x:c r="L1562" s="27" t="b">
        <x:v>0</x:v>
      </x:c>
      <x:c r="M1562" s="25" t="str">
        <x:v>Deepseek-flash-v4/state/Round2/status/Math_23.json; Deepseek-flash-v4/state/Round2/shards/Math_23.json</x:v>
      </x:c>
      <x:c r="N1562" s="25" t="str">
        <x:v>Deepseek-flash-v4/Result2/Math_23/result.json</x:v>
      </x:c>
      <x:c r="O1562" s="25" t="str">
        <x:v>Deepseek-flash-v4/Result2/Math_23/result.json</x:v>
      </x:c>
      <x:c r="P1562"/>
      <x:c r="Q1562" s="21" t="str"/>
      <x:c r="R1562" s="21" t="str"/>
      <x:c r="S1562" s="21" t="str"/>
      <x:c r="T1562" s="17" t="str">
        <x:v>false</x:v>
      </x:c>
      <x:c r="U1562" s="17" t="str">
        <x:v>true</x:v>
      </x:c>
      <x:c r="V1562" s="17" t="str">
        <x:v>false</x:v>
      </x:c>
    </x:row>
    <x:row r="1563" ht="80" customHeight="1">
      <x:c r="A1563" s="25" t="str">
        <x:v>Math</x:v>
      </x:c>
      <x:c r="B1563" s="25" t="n">
        <x:v>24</x:v>
      </x:c>
      <x:c r="C1563" s="25" t="str">
        <x:v>Round2</x:v>
      </x:c>
      <x:c r="D1563" s="25" t="str">
        <x:v>REVEALING</x:v>
      </x:c>
      <x:c r="E1563" s="25" t="str">
        <x:v>N/A</x:v>
      </x:c>
      <x:c r="F1563" s="26" t="str">
        <x:v>Same saved validation suite failed on buggy and passed on fixed</x:v>
      </x:c>
      <x:c r="G1563" s="25" t="str">
        <x:v>true</x:v>
      </x:c>
      <x:c r="H1563" s="25" t="str">
        <x:v>REVEALING</x:v>
      </x:c>
      <x:c r="I1563" s="25" t="str">
        <x:v>FAIL</x:v>
      </x:c>
      <x:c r="J1563" s="25" t="str">
        <x:v>PASS</x:v>
      </x:c>
      <x:c r="K1563" s="25" t="n">
        <x:v>1</x:v>
      </x:c>
      <x:c r="L1563" s="27" t="b">
        <x:v>0</x:v>
      </x:c>
      <x:c r="M1563" s="25" t="str">
        <x:v>Deepseek-flash-v4/state/Round2/status/Math_24.json; Deepseek-flash-v4/state/Round2/shards/Math_24.json</x:v>
      </x:c>
      <x:c r="N1563" s="25" t="str">
        <x:v>Deepseek-flash-v4/Result2/Math_24/result.json</x:v>
      </x:c>
      <x:c r="O1563" s="25" t="str">
        <x:v>Deepseek-flash-v4/Result2/Math_24/result.json</x:v>
      </x:c>
      <x:c r="P1563"/>
      <x:c r="Q1563" s="21" t="str"/>
      <x:c r="R1563" s="21" t="str"/>
      <x:c r="S1563" s="21" t="str"/>
      <x:c r="T1563" s="17" t="str">
        <x:v>false</x:v>
      </x:c>
      <x:c r="U1563" s="17" t="str">
        <x:v>true</x:v>
      </x:c>
      <x:c r="V1563" s="17" t="str">
        <x:v>false</x:v>
      </x:c>
    </x:row>
    <x:row r="1564" ht="80" customHeight="1">
      <x:c r="A1564" s="25" t="str">
        <x:v>Math</x:v>
      </x:c>
      <x:c r="B1564" s="25" t="n">
        <x:v>25</x:v>
      </x:c>
      <x:c r="C1564" s="25" t="str">
        <x:v>Round2</x:v>
      </x:c>
      <x:c r="D1564" s="25" t="str">
        <x:v>INCONCLUSIVE</x:v>
      </x:c>
      <x:c r="E1564" s="25" t="str">
        <x:v>N/A</x:v>
      </x:c>
      <x:c r="F1564" s="26" t="str">
        <x:v>Fixed also failed; assertion failure cannot be attributed to this bug; Same-round generation metadata missing; use saved tests and execution evidence, no failure inferred</x:v>
      </x:c>
      <x:c r="G1564" s="25" t="str">
        <x:v>true</x:v>
      </x:c>
      <x:c r="H1564" s="25" t="str">
        <x:v>INCONCLUSIVE</x:v>
      </x:c>
      <x:c r="I1564" s="25" t="str">
        <x:v>FAIL</x:v>
      </x:c>
      <x:c r="J1564" s="25" t="str">
        <x:v>FAIL</x:v>
      </x:c>
      <x:c r="K1564" s="25" t="n">
        <x:v>1</x:v>
      </x:c>
      <x:c r="L1564" s="27" t="b">
        <x:v>0</x:v>
      </x:c>
      <x:c r="M1564" s="25"/>
      <x:c r="N1564" s="25" t="str">
        <x:v>Deepseek-flash-v4/Result2/Math_25/result.json</x:v>
      </x:c>
      <x:c r="O1564" s="25" t="str">
        <x:v>Deepseek-flash-v4/Result2/Math_25/result.json</x:v>
      </x:c>
      <x:c r="P1564"/>
      <x:c r="Q1564" s="21" t="str"/>
      <x:c r="R1564" s="21" t="str"/>
      <x:c r="S1564" s="21" t="str"/>
      <x:c r="T1564" s="17" t="str">
        <x:v>false</x:v>
      </x:c>
      <x:c r="U1564" s="17" t="str">
        <x:v>true</x:v>
      </x:c>
      <x:c r="V1564" s="17" t="str">
        <x:v>false</x:v>
      </x:c>
    </x:row>
    <x:row r="1565" ht="80" customHeight="1">
      <x:c r="A1565" s="25" t="str">
        <x:v>Math</x:v>
      </x:c>
      <x:c r="B1565" s="25" t="n">
        <x:v>26</x:v>
      </x:c>
      <x:c r="C1565" s="25" t="str">
        <x:v>Round2</x:v>
      </x:c>
      <x:c r="D1565" s="25" t="str">
        <x:v>INCONCLUSIVE</x:v>
      </x:c>
      <x:c r="E1565" s="25" t="str">
        <x:v>N/A</x:v>
      </x:c>
      <x:c r="F1565" s="26" t="str">
        <x:v>Fixed also failed; assertion failure cannot be attributed to this bug</x:v>
      </x:c>
      <x:c r="G1565" s="25" t="str">
        <x:v>true</x:v>
      </x:c>
      <x:c r="H1565" s="25" t="str">
        <x:v>INCONCLUSIVE</x:v>
      </x:c>
      <x:c r="I1565" s="25" t="str">
        <x:v>FAIL</x:v>
      </x:c>
      <x:c r="J1565" s="25" t="str">
        <x:v>FAIL</x:v>
      </x:c>
      <x:c r="K1565" s="25" t="n">
        <x:v>1</x:v>
      </x:c>
      <x:c r="L1565" s="27" t="b">
        <x:v>0</x:v>
      </x:c>
      <x:c r="M1565" s="25" t="str">
        <x:v>Deepseek-flash-v4/state/Round2/status/Math_26.json; Deepseek-flash-v4/state/Round2/shards/Math_26.json</x:v>
      </x:c>
      <x:c r="N1565" s="25" t="str">
        <x:v>Deepseek-flash-v4/Result2/Math_26/result.json</x:v>
      </x:c>
      <x:c r="O1565" s="25" t="str">
        <x:v>Deepseek-flash-v4/Result2/Math_26/result.json</x:v>
      </x:c>
      <x:c r="P1565"/>
      <x:c r="Q1565" s="21" t="str"/>
      <x:c r="R1565" s="21" t="str"/>
      <x:c r="S1565" s="21" t="str"/>
      <x:c r="T1565" s="17" t="str">
        <x:v>false</x:v>
      </x:c>
      <x:c r="U1565" s="17" t="str">
        <x:v>true</x:v>
      </x:c>
      <x:c r="V1565" s="17" t="str">
        <x:v>false</x:v>
      </x:c>
    </x:row>
    <x:row r="1566" ht="80" customHeight="1">
      <x:c r="A1566" s="25" t="str">
        <x:v>Math</x:v>
      </x:c>
      <x:c r="B1566" s="25" t="n">
        <x:v>27</x:v>
      </x:c>
      <x:c r="C1566" s="25" t="str">
        <x:v>Round2</x:v>
      </x:c>
      <x:c r="D1566" s="25" t="str">
        <x:v>INCONCLUSIVE</x:v>
      </x:c>
      <x:c r="E1566" s="25" t="str">
        <x:v>N/A</x:v>
      </x:c>
      <x:c r="F1566" s="26" t="str">
        <x:v>Fixed also failed; assertion failure cannot be attributed to this bug; Same-round generation metadata missing; use saved tests and execution evidence, no failure inferred</x:v>
      </x:c>
      <x:c r="G1566" s="25" t="str">
        <x:v>true</x:v>
      </x:c>
      <x:c r="H1566" s="25" t="str">
        <x:v>INCONCLUSIVE</x:v>
      </x:c>
      <x:c r="I1566" s="25" t="str">
        <x:v>FAIL</x:v>
      </x:c>
      <x:c r="J1566" s="25" t="str">
        <x:v>FAIL</x:v>
      </x:c>
      <x:c r="K1566" s="25" t="n">
        <x:v>1</x:v>
      </x:c>
      <x:c r="L1566" s="27" t="b">
        <x:v>0</x:v>
      </x:c>
      <x:c r="M1566" s="25"/>
      <x:c r="N1566" s="25" t="str">
        <x:v>Deepseek-flash-v4/Result2/Math_27/result.json</x:v>
      </x:c>
      <x:c r="O1566" s="25" t="str">
        <x:v>Deepseek-flash-v4/Result2/Math_27/result.json</x:v>
      </x:c>
      <x:c r="P1566"/>
      <x:c r="Q1566" s="21" t="str"/>
      <x:c r="R1566" s="21" t="str"/>
      <x:c r="S1566" s="21" t="str"/>
      <x:c r="T1566" s="17" t="str">
        <x:v>false</x:v>
      </x:c>
      <x:c r="U1566" s="17" t="str">
        <x:v>true</x:v>
      </x:c>
      <x:c r="V1566" s="17" t="str">
        <x:v>false</x:v>
      </x:c>
    </x:row>
    <x:row r="1567" ht="80" customHeight="1">
      <x:c r="A1567" s="25" t="str">
        <x:v>Math</x:v>
      </x:c>
      <x:c r="B1567" s="25" t="n">
        <x:v>28</x:v>
      </x:c>
      <x:c r="C1567" s="25" t="str">
        <x:v>Round2</x:v>
      </x:c>
      <x:c r="D1567" s="25" t="str">
        <x:v>NOT_AVAILABLE</x:v>
      </x:c>
      <x:c r="E1567" s="25" t="str">
        <x:v>N/A</x:v>
      </x:c>
      <x:c r="F1567" s="26" t="str">
        <x:v>Tests exist but current coverage did not complete</x:v>
      </x:c>
      <x:c r="G1567" s="25" t="str">
        <x:v>true</x:v>
      </x:c>
      <x:c r="H1567" s="25" t="str">
        <x:v>NOT_AVAILABLE</x:v>
      </x:c>
      <x:c r="I1567" s="25" t="str">
        <x:v>NOT_RUN</x:v>
      </x:c>
      <x:c r="J1567" s="25" t="str">
        <x:v>NOT_RUN</x:v>
      </x:c>
      <x:c r="K1567" s="25" t="n">
        <x:v>1</x:v>
      </x:c>
      <x:c r="L1567" s="27" t="b">
        <x:v>0</x:v>
      </x:c>
      <x:c r="M1567" s="25" t="str">
        <x:v>Deepseek-flash-v4/state/Round2/status/Math_28.json; Deepseek-flash-v4/state/Round2/shards/Math_28.json</x:v>
      </x:c>
      <x:c r="N1567" s="25" t="str">
        <x:v>Deepseek-flash-v4/Result2/Math_28/result.json</x:v>
      </x:c>
      <x:c r="O1567" s="25" t="str">
        <x:v>Deepseek-flash-v4/Result2/Math_28/result.json</x:v>
      </x:c>
      <x:c r="P1567" t="str">
        <x:v>BOTH_NOT_RUN</x:v>
      </x:c>
      <x:c r="Q1567" s="21" t="str"/>
      <x:c r="R1567" s="21" t="str"/>
      <x:c r="S1567" s="21" t="str"/>
      <x:c r="T1567" s="17" t="str">
        <x:v>false</x:v>
      </x:c>
      <x:c r="U1567" s="17" t="str">
        <x:v>true</x:v>
      </x:c>
      <x:c r="V1567" s="17" t="str">
        <x:v>false</x:v>
      </x:c>
    </x:row>
    <x:row r="1568" ht="80" customHeight="1">
      <x:c r="A1568" s="25" t="str">
        <x:v>Math</x:v>
      </x:c>
      <x:c r="B1568" s="25" t="n">
        <x:v>29</x:v>
      </x:c>
      <x:c r="C1568" s="25" t="str">
        <x:v>Round2</x:v>
      </x:c>
      <x:c r="D1568" s="25" t="str">
        <x:v>INCONCLUSIVE</x:v>
      </x:c>
      <x:c r="E1568" s="25" t="str">
        <x:v>N/A</x:v>
      </x:c>
      <x:c r="F1568" s="26" t="str">
        <x:v>Fixed also failed; assertion failure cannot be attributed to this bug; Same-round generation metadata missing; use saved tests and execution evidence, no failure inferred</x:v>
      </x:c>
      <x:c r="G1568" s="25" t="str">
        <x:v>true</x:v>
      </x:c>
      <x:c r="H1568" s="25" t="str">
        <x:v>INCONCLUSIVE</x:v>
      </x:c>
      <x:c r="I1568" s="25" t="str">
        <x:v>FAIL</x:v>
      </x:c>
      <x:c r="J1568" s="25" t="str">
        <x:v>FAIL</x:v>
      </x:c>
      <x:c r="K1568" s="25" t="n">
        <x:v>1</x:v>
      </x:c>
      <x:c r="L1568" s="27" t="b">
        <x:v>0</x:v>
      </x:c>
      <x:c r="M1568" s="25"/>
      <x:c r="N1568" s="25" t="str">
        <x:v>Deepseek-flash-v4/Result2/Math_29/result.json</x:v>
      </x:c>
      <x:c r="O1568" s="25" t="str">
        <x:v>Deepseek-flash-v4/Result2/Math_29/result.json</x:v>
      </x:c>
      <x:c r="P1568"/>
      <x:c r="Q1568" s="21" t="str"/>
      <x:c r="R1568" s="21" t="str"/>
      <x:c r="S1568" s="21" t="str"/>
      <x:c r="T1568" s="17" t="str">
        <x:v>false</x:v>
      </x:c>
      <x:c r="U1568" s="17" t="str">
        <x:v>true</x:v>
      </x:c>
      <x:c r="V1568" s="17" t="str">
        <x:v>false</x:v>
      </x:c>
    </x:row>
    <x:row r="1569" ht="80" customHeight="1">
      <x:c r="A1569" s="25" t="str">
        <x:v>Math</x:v>
      </x:c>
      <x:c r="B1569" s="25" t="n">
        <x:v>3</x:v>
      </x:c>
      <x:c r="C1569" s="25" t="str">
        <x:v>Round2</x:v>
      </x:c>
      <x:c r="D1569" s="25" t="str">
        <x:v>INCONCLUSIVE</x:v>
      </x:c>
      <x:c r="E1569" s="25" t="str">
        <x:v>N/A</x:v>
      </x:c>
      <x:c r="F1569" s="26" t="str">
        <x:v>Fixed also failed; assertion failure cannot be attributed to this bug; Same-round generation metadata missing; use saved tests and execution evidence, no failure inferred</x:v>
      </x:c>
      <x:c r="G1569" s="25" t="str">
        <x:v>true</x:v>
      </x:c>
      <x:c r="H1569" s="25" t="str">
        <x:v>INCONCLUSIVE</x:v>
      </x:c>
      <x:c r="I1569" s="25" t="str">
        <x:v>FAIL</x:v>
      </x:c>
      <x:c r="J1569" s="25" t="str">
        <x:v>FAIL</x:v>
      </x:c>
      <x:c r="K1569" s="25" t="n">
        <x:v>1</x:v>
      </x:c>
      <x:c r="L1569" s="27" t="b">
        <x:v>0</x:v>
      </x:c>
      <x:c r="M1569" s="25"/>
      <x:c r="N1569" s="25" t="str">
        <x:v>Deepseek-flash-v4/Result2/Math_3/result.json</x:v>
      </x:c>
      <x:c r="O1569" s="25" t="str">
        <x:v>Deepseek-flash-v4/Result2/Math_3/result.json</x:v>
      </x:c>
      <x:c r="P1569"/>
      <x:c r="Q1569" s="21" t="str"/>
      <x:c r="R1569" s="21" t="str"/>
      <x:c r="S1569" s="21" t="str"/>
      <x:c r="T1569" s="17" t="str">
        <x:v>false</x:v>
      </x:c>
      <x:c r="U1569" s="17" t="str">
        <x:v>true</x:v>
      </x:c>
      <x:c r="V1569" s="17" t="str">
        <x:v>false</x:v>
      </x:c>
    </x:row>
    <x:row r="1570" ht="80" customHeight="1">
      <x:c r="A1570" s="25" t="str">
        <x:v>Math</x:v>
      </x:c>
      <x:c r="B1570" s="25" t="n">
        <x:v>30</x:v>
      </x:c>
      <x:c r="C1570" s="25" t="str">
        <x:v>Round2</x:v>
      </x:c>
      <x:c r="D1570" s="25" t="str">
        <x:v>INCONCLUSIVE</x:v>
      </x:c>
      <x:c r="E1570" s="25" t="str">
        <x:v>N/A</x:v>
      </x:c>
      <x:c r="F1570" s="26" t="str">
        <x:v>Fixed also failed; assertion failure cannot be attributed to this bug; Same-round generation metadata missing; use saved tests and execution evidence, no failure inferred</x:v>
      </x:c>
      <x:c r="G1570" s="25" t="str">
        <x:v>true</x:v>
      </x:c>
      <x:c r="H1570" s="25" t="str">
        <x:v>INCONCLUSIVE</x:v>
      </x:c>
      <x:c r="I1570" s="25" t="str">
        <x:v>FAIL</x:v>
      </x:c>
      <x:c r="J1570" s="25" t="str">
        <x:v>FAIL</x:v>
      </x:c>
      <x:c r="K1570" s="25" t="n">
        <x:v>1</x:v>
      </x:c>
      <x:c r="L1570" s="27" t="b">
        <x:v>0</x:v>
      </x:c>
      <x:c r="M1570" s="25"/>
      <x:c r="N1570" s="25" t="str">
        <x:v>Deepseek-flash-v4/Result2/Math_30/result.json</x:v>
      </x:c>
      <x:c r="O1570" s="25" t="str">
        <x:v>Deepseek-flash-v4/Result2/Math_30/result.json</x:v>
      </x:c>
      <x:c r="P1570"/>
      <x:c r="Q1570" s="21" t="str"/>
      <x:c r="R1570" s="21" t="str"/>
      <x:c r="S1570" s="21" t="str"/>
      <x:c r="T1570" s="17" t="str">
        <x:v>false</x:v>
      </x:c>
      <x:c r="U1570" s="17" t="str">
        <x:v>true</x:v>
      </x:c>
      <x:c r="V1570" s="17" t="str">
        <x:v>false</x:v>
      </x:c>
    </x:row>
    <x:row r="1571" ht="80" customHeight="1">
      <x:c r="A1571" s="25" t="str">
        <x:v>Math</x:v>
      </x:c>
      <x:c r="B1571" s="25" t="n">
        <x:v>31</x:v>
      </x:c>
      <x:c r="C1571" s="25" t="str">
        <x:v>Round2</x:v>
      </x:c>
      <x:c r="D1571" s="25" t="str">
        <x:v>INCONCLUSIVE</x:v>
      </x:c>
      <x:c r="E1571" s="25" t="str">
        <x:v>N/A</x:v>
      </x:c>
      <x:c r="F1571" s="26" t="str">
        <x:v>Fixed also failed; assertion failure cannot be attributed to this bug; Same-round generation metadata missing; use saved tests and execution evidence, no failure inferred</x:v>
      </x:c>
      <x:c r="G1571" s="25" t="str">
        <x:v>true</x:v>
      </x:c>
      <x:c r="H1571" s="25" t="str">
        <x:v>INCONCLUSIVE</x:v>
      </x:c>
      <x:c r="I1571" s="25" t="str">
        <x:v>FAIL</x:v>
      </x:c>
      <x:c r="J1571" s="25" t="str">
        <x:v>FAIL</x:v>
      </x:c>
      <x:c r="K1571" s="25" t="n">
        <x:v>1</x:v>
      </x:c>
      <x:c r="L1571" s="27" t="b">
        <x:v>0</x:v>
      </x:c>
      <x:c r="M1571" s="25"/>
      <x:c r="N1571" s="25" t="str">
        <x:v>Deepseek-flash-v4/Result2/Math_31/result.json</x:v>
      </x:c>
      <x:c r="O1571" s="25" t="str">
        <x:v>Deepseek-flash-v4/Result2/Math_31/result.json</x:v>
      </x:c>
      <x:c r="P1571"/>
      <x:c r="Q1571" s="21" t="str"/>
      <x:c r="R1571" s="21" t="str"/>
      <x:c r="S1571" s="21" t="str"/>
      <x:c r="T1571" s="17" t="str">
        <x:v>false</x:v>
      </x:c>
      <x:c r="U1571" s="17" t="str">
        <x:v>true</x:v>
      </x:c>
      <x:c r="V1571" s="17" t="str">
        <x:v>false</x:v>
      </x:c>
    </x:row>
    <x:row r="1572" ht="80" customHeight="1">
      <x:c r="A1572" s="25" t="str">
        <x:v>Math</x:v>
      </x:c>
      <x:c r="B1572" s="25" t="n">
        <x:v>32</x:v>
      </x:c>
      <x:c r="C1572" s="25" t="str">
        <x:v>Round2</x:v>
      </x:c>
      <x:c r="D1572" s="25" t="str">
        <x:v>NOT_AVAILABLE</x:v>
      </x:c>
      <x:c r="E1572" s="25" t="str">
        <x:v>N/A</x:v>
      </x:c>
      <x:c r="F1572" s="26" t="str">
        <x:v>Tests exist but current coverage did not complete</x:v>
      </x:c>
      <x:c r="G1572" s="25" t="str">
        <x:v>true</x:v>
      </x:c>
      <x:c r="H1572" s="25" t="str">
        <x:v>NOT_AVAILABLE</x:v>
      </x:c>
      <x:c r="I1572" s="25" t="str">
        <x:v>NOT_RUN</x:v>
      </x:c>
      <x:c r="J1572" s="25" t="str">
        <x:v>NOT_RUN</x:v>
      </x:c>
      <x:c r="K1572" s="25" t="n">
        <x:v>1</x:v>
      </x:c>
      <x:c r="L1572" s="27" t="b">
        <x:v>0</x:v>
      </x:c>
      <x:c r="M1572" s="25" t="str">
        <x:v>Deepseek-flash-v4/state/Round2/status/Math_32.json; Deepseek-flash-v4/state/Round2/shards/Math_32.json</x:v>
      </x:c>
      <x:c r="N1572" s="25" t="str">
        <x:v>Deepseek-flash-v4/Result2/Math_32/result.json</x:v>
      </x:c>
      <x:c r="O1572" s="25" t="str">
        <x:v>Deepseek-flash-v4/Result2/Math_32/result.json</x:v>
      </x:c>
      <x:c r="P1572" t="str">
        <x:v>BOTH_NOT_RUN</x:v>
      </x:c>
      <x:c r="Q1572" s="21" t="str"/>
      <x:c r="R1572" s="21" t="str"/>
      <x:c r="S1572" s="21" t="str"/>
      <x:c r="T1572" s="17" t="str">
        <x:v>false</x:v>
      </x:c>
      <x:c r="U1572" s="17" t="str">
        <x:v>true</x:v>
      </x:c>
      <x:c r="V1572" s="17" t="str">
        <x:v>false</x:v>
      </x:c>
    </x:row>
    <x:row r="1573" ht="80" customHeight="1">
      <x:c r="A1573" s="25" t="str">
        <x:v>Math</x:v>
      </x:c>
      <x:c r="B1573" s="25" t="n">
        <x:v>33</x:v>
      </x:c>
      <x:c r="C1573" s="25" t="str">
        <x:v>Round2</x:v>
      </x:c>
      <x:c r="D1573" s="25" t="str">
        <x:v>NOT_AVAILABLE</x:v>
      </x:c>
      <x:c r="E1573" s="25" t="str">
        <x:v>N/A</x:v>
      </x:c>
      <x:c r="F1573" s="26" t="str">
        <x:v>Tests exist but current coverage did not complete</x:v>
      </x:c>
      <x:c r="G1573" s="25" t="str">
        <x:v>true</x:v>
      </x:c>
      <x:c r="H1573" s="25" t="str">
        <x:v>NOT_AVAILABLE</x:v>
      </x:c>
      <x:c r="I1573" s="25" t="str">
        <x:v>NOT_RUN</x:v>
      </x:c>
      <x:c r="J1573" s="25" t="str">
        <x:v>NOT_RUN</x:v>
      </x:c>
      <x:c r="K1573" s="25" t="n">
        <x:v>1</x:v>
      </x:c>
      <x:c r="L1573" s="27" t="b">
        <x:v>0</x:v>
      </x:c>
      <x:c r="M1573" s="25" t="str">
        <x:v>Deepseek-flash-v4/state/Round2/status/Math_33.json; Deepseek-flash-v4/state/Round2/shards/Math_33.json</x:v>
      </x:c>
      <x:c r="N1573" s="25" t="str">
        <x:v>Deepseek-flash-v4/Result2/Math_33/result.json</x:v>
      </x:c>
      <x:c r="O1573" s="25" t="str">
        <x:v>Deepseek-flash-v4/Result2/Math_33/result.json</x:v>
      </x:c>
      <x:c r="P1573" t="str">
        <x:v>BOTH_NOT_RUN</x:v>
      </x:c>
      <x:c r="Q1573" s="21" t="str"/>
      <x:c r="R1573" s="21" t="str"/>
      <x:c r="S1573" s="21" t="str"/>
      <x:c r="T1573" s="17" t="str">
        <x:v>false</x:v>
      </x:c>
      <x:c r="U1573" s="17" t="str">
        <x:v>true</x:v>
      </x:c>
      <x:c r="V1573" s="17" t="str">
        <x:v>false</x:v>
      </x:c>
    </x:row>
    <x:row r="1574" ht="80" customHeight="1">
      <x:c r="A1574" s="25" t="str">
        <x:v>Math</x:v>
      </x:c>
      <x:c r="B1574" s="25" t="n">
        <x:v>34</x:v>
      </x:c>
      <x:c r="C1574" s="25" t="str">
        <x:v>Round2</x:v>
      </x:c>
      <x:c r="D1574" s="25" t="str">
        <x:v>NOT_AVAILABLE</x:v>
      </x:c>
      <x:c r="E1574" s="25" t="str">
        <x:v>N/A</x:v>
      </x:c>
      <x:c r="F1574" s="26" t="str">
        <x:v>Tests exist but current coverage did not complete</x:v>
      </x:c>
      <x:c r="G1574" s="25" t="str">
        <x:v>true</x:v>
      </x:c>
      <x:c r="H1574" s="25" t="str">
        <x:v>NOT_AVAILABLE</x:v>
      </x:c>
      <x:c r="I1574" s="25" t="str">
        <x:v>NOT_RUN</x:v>
      </x:c>
      <x:c r="J1574" s="25" t="str">
        <x:v>NOT_RUN</x:v>
      </x:c>
      <x:c r="K1574" s="25" t="n">
        <x:v>1</x:v>
      </x:c>
      <x:c r="L1574" s="27" t="b">
        <x:v>0</x:v>
      </x:c>
      <x:c r="M1574" s="25" t="str">
        <x:v>Deepseek-flash-v4/state/Round2/status/Math_34.json; Deepseek-flash-v4/state/Round2/shards/Math_34.json</x:v>
      </x:c>
      <x:c r="N1574" s="25" t="str">
        <x:v>Deepseek-flash-v4/Result2/Math_34/result.json</x:v>
      </x:c>
      <x:c r="O1574" s="25" t="str">
        <x:v>Deepseek-flash-v4/Result2/Math_34/result.json</x:v>
      </x:c>
      <x:c r="P1574" t="str">
        <x:v>BOTH_NOT_RUN</x:v>
      </x:c>
      <x:c r="Q1574" s="21" t="str"/>
      <x:c r="R1574" s="21" t="str"/>
      <x:c r="S1574" s="21" t="str"/>
      <x:c r="T1574" s="17" t="str">
        <x:v>false</x:v>
      </x:c>
      <x:c r="U1574" s="17" t="str">
        <x:v>true</x:v>
      </x:c>
      <x:c r="V1574" s="17" t="str">
        <x:v>false</x:v>
      </x:c>
    </x:row>
    <x:row r="1575" ht="80" customHeight="1">
      <x:c r="A1575" s="25" t="str">
        <x:v>Math</x:v>
      </x:c>
      <x:c r="B1575" s="25" t="n">
        <x:v>35</x:v>
      </x:c>
      <x:c r="C1575" s="25" t="str">
        <x:v>Round2</x:v>
      </x:c>
      <x:c r="D1575" s="25" t="str">
        <x:v>NOT_AVAILABLE</x:v>
      </x:c>
      <x:c r="E1575" s="25" t="str">
        <x:v>N/A</x:v>
      </x:c>
      <x:c r="F1575" s="26" t="str">
        <x:v>Tests exist but current coverage did not complete</x:v>
      </x:c>
      <x:c r="G1575" s="25" t="str">
        <x:v>true</x:v>
      </x:c>
      <x:c r="H1575" s="25" t="str">
        <x:v>NOT_AVAILABLE</x:v>
      </x:c>
      <x:c r="I1575" s="25" t="str">
        <x:v>NOT_RUN</x:v>
      </x:c>
      <x:c r="J1575" s="25" t="str">
        <x:v>NOT_RUN</x:v>
      </x:c>
      <x:c r="K1575" s="25" t="n">
        <x:v>1</x:v>
      </x:c>
      <x:c r="L1575" s="27" t="b">
        <x:v>0</x:v>
      </x:c>
      <x:c r="M1575" s="25" t="str">
        <x:v>Deepseek-flash-v4/state/Round2/status/Math_35.json; Deepseek-flash-v4/state/Round2/shards/Math_35.json</x:v>
      </x:c>
      <x:c r="N1575" s="25" t="str">
        <x:v>Deepseek-flash-v4/Result2/Math_35/result.json</x:v>
      </x:c>
      <x:c r="O1575" s="25" t="str">
        <x:v>Deepseek-flash-v4/Result2/Math_35/result.json</x:v>
      </x:c>
      <x:c r="P1575" t="str">
        <x:v>BOTH_NOT_RUN</x:v>
      </x:c>
      <x:c r="Q1575" s="21" t="str"/>
      <x:c r="R1575" s="21" t="str"/>
      <x:c r="S1575" s="21" t="str"/>
      <x:c r="T1575" s="17" t="str">
        <x:v>false</x:v>
      </x:c>
      <x:c r="U1575" s="17" t="str">
        <x:v>true</x:v>
      </x:c>
      <x:c r="V1575" s="17" t="str">
        <x:v>false</x:v>
      </x:c>
    </x:row>
    <x:row r="1576" ht="80" customHeight="1">
      <x:c r="A1576" s="25" t="str">
        <x:v>Math</x:v>
      </x:c>
      <x:c r="B1576" s="25" t="n">
        <x:v>36</x:v>
      </x:c>
      <x:c r="C1576" s="25" t="str">
        <x:v>Round2</x:v>
      </x:c>
      <x:c r="D1576" s="25" t="str">
        <x:v>INCONCLUSIVE</x:v>
      </x:c>
      <x:c r="E1576" s="25" t="str">
        <x:v>N/A</x:v>
      </x:c>
      <x:c r="F1576" s="26" t="str">
        <x:v>Fixed also failed; assertion failure cannot be attributed to this bug</x:v>
      </x:c>
      <x:c r="G1576" s="25" t="str">
        <x:v>true</x:v>
      </x:c>
      <x:c r="H1576" s="25" t="str">
        <x:v>INCONCLUSIVE</x:v>
      </x:c>
      <x:c r="I1576" s="25" t="str">
        <x:v>FAIL</x:v>
      </x:c>
      <x:c r="J1576" s="25" t="str">
        <x:v>FAIL</x:v>
      </x:c>
      <x:c r="K1576" s="25" t="n">
        <x:v>1</x:v>
      </x:c>
      <x:c r="L1576" s="27" t="b">
        <x:v>0</x:v>
      </x:c>
      <x:c r="M1576" s="25" t="str">
        <x:v>Deepseek-flash-v4/state/Round2/status/Math_36.json; Deepseek-flash-v4/state/Round2/shards/Math_36.json</x:v>
      </x:c>
      <x:c r="N1576" s="25" t="str">
        <x:v>Deepseek-flash-v4/Result2/Math_36/result.json</x:v>
      </x:c>
      <x:c r="O1576" s="25" t="str">
        <x:v>Deepseek-flash-v4/Result2/Math_36/result.json</x:v>
      </x:c>
      <x:c r="P1576"/>
      <x:c r="Q1576" s="21" t="str"/>
      <x:c r="R1576" s="21" t="str"/>
      <x:c r="S1576" s="21" t="str"/>
      <x:c r="T1576" s="17" t="str">
        <x:v>false</x:v>
      </x:c>
      <x:c r="U1576" s="17" t="str">
        <x:v>true</x:v>
      </x:c>
      <x:c r="V1576" s="17" t="str">
        <x:v>false</x:v>
      </x:c>
    </x:row>
    <x:row r="1577" ht="80" customHeight="1">
      <x:c r="A1577" s="25" t="str">
        <x:v>Math</x:v>
      </x:c>
      <x:c r="B1577" s="25" t="n">
        <x:v>37</x:v>
      </x:c>
      <x:c r="C1577" s="25" t="str">
        <x:v>Round2</x:v>
      </x:c>
      <x:c r="D1577" s="25" t="str">
        <x:v>INCONCLUSIVE</x:v>
      </x:c>
      <x:c r="E1577" s="25" t="str">
        <x:v>N/A</x:v>
      </x:c>
      <x:c r="F1577" s="26" t="str">
        <x:v>Fixed also failed; assertion failure cannot be attributed to this bug</x:v>
      </x:c>
      <x:c r="G1577" s="25" t="str">
        <x:v>true</x:v>
      </x:c>
      <x:c r="H1577" s="25" t="str">
        <x:v>INCONCLUSIVE</x:v>
      </x:c>
      <x:c r="I1577" s="25" t="str">
        <x:v>FAIL</x:v>
      </x:c>
      <x:c r="J1577" s="25" t="str">
        <x:v>FAIL</x:v>
      </x:c>
      <x:c r="K1577" s="25" t="n">
        <x:v>1</x:v>
      </x:c>
      <x:c r="L1577" s="27" t="b">
        <x:v>0</x:v>
      </x:c>
      <x:c r="M1577" s="25" t="str">
        <x:v>Deepseek-flash-v4/state/Round2/status/Math_37.json; Deepseek-flash-v4/state/Round2/shards/Math_37.json</x:v>
      </x:c>
      <x:c r="N1577" s="25" t="str">
        <x:v>Deepseek-flash-v4/Result2/Math_37/result.json</x:v>
      </x:c>
      <x:c r="O1577" s="25" t="str">
        <x:v>Deepseek-flash-v4/Result2/Math_37/result.json</x:v>
      </x:c>
      <x:c r="P1577"/>
      <x:c r="Q1577" s="21" t="str"/>
      <x:c r="R1577" s="21" t="str"/>
      <x:c r="S1577" s="21" t="str"/>
      <x:c r="T1577" s="17" t="str">
        <x:v>false</x:v>
      </x:c>
      <x:c r="U1577" s="17" t="str">
        <x:v>true</x:v>
      </x:c>
      <x:c r="V1577" s="17" t="str">
        <x:v>false</x:v>
      </x:c>
    </x:row>
    <x:row r="1578" ht="80" customHeight="1">
      <x:c r="A1578" s="25" t="str">
        <x:v>Math</x:v>
      </x:c>
      <x:c r="B1578" s="25" t="n">
        <x:v>38</x:v>
      </x:c>
      <x:c r="C1578" s="25" t="str">
        <x:v>Round2</x:v>
      </x:c>
      <x:c r="D1578" s="25" t="str">
        <x:v>NOT_AVAILABLE</x:v>
      </x:c>
      <x:c r="E1578" s="25" t="str">
        <x:v>N/A</x:v>
      </x:c>
      <x:c r="F1578" s="26" t="str">
        <x:v>Tests exist but current coverage did not complete</x:v>
      </x:c>
      <x:c r="G1578" s="25" t="str">
        <x:v>true</x:v>
      </x:c>
      <x:c r="H1578" s="25" t="str">
        <x:v>NOT_AVAILABLE</x:v>
      </x:c>
      <x:c r="I1578" s="25" t="str">
        <x:v>NOT_RUN</x:v>
      </x:c>
      <x:c r="J1578" s="25" t="str">
        <x:v>NOT_RUN</x:v>
      </x:c>
      <x:c r="K1578" s="25" t="n">
        <x:v>1</x:v>
      </x:c>
      <x:c r="L1578" s="27" t="b">
        <x:v>0</x:v>
      </x:c>
      <x:c r="M1578" s="25" t="str">
        <x:v>Deepseek-flash-v4/state/Round2/status/Math_38.json; Deepseek-flash-v4/state/Round2/shards/Math_38.json</x:v>
      </x:c>
      <x:c r="N1578" s="25" t="str">
        <x:v>Deepseek-flash-v4/Result2/Math_38/result.json</x:v>
      </x:c>
      <x:c r="O1578" s="25" t="str">
        <x:v>Deepseek-flash-v4/Result2/Math_38/result.json</x:v>
      </x:c>
      <x:c r="P1578" t="str">
        <x:v>BOTH_NOT_RUN</x:v>
      </x:c>
      <x:c r="Q1578" s="21" t="str"/>
      <x:c r="R1578" s="21" t="str"/>
      <x:c r="S1578" s="21" t="str"/>
      <x:c r="T1578" s="17" t="str">
        <x:v>false</x:v>
      </x:c>
      <x:c r="U1578" s="17" t="str">
        <x:v>true</x:v>
      </x:c>
      <x:c r="V1578" s="17" t="str">
        <x:v>false</x:v>
      </x:c>
    </x:row>
    <x:row r="1579" ht="80" customHeight="1">
      <x:c r="A1579" s="25" t="str">
        <x:v>Math</x:v>
      </x:c>
      <x:c r="B1579" s="25" t="n">
        <x:v>39</x:v>
      </x:c>
      <x:c r="C1579" s="25" t="str">
        <x:v>Round2</x:v>
      </x:c>
      <x:c r="D1579" s="25" t="str">
        <x:v>NOT_REVEALING</x:v>
      </x:c>
      <x:c r="E1579" s="25" t="str">
        <x:v>N/A</x:v>
      </x:c>
      <x:c r="F1579" s="26" t="str">
        <x:v>Same saved validation suite passed on buggy and fixed</x:v>
      </x:c>
      <x:c r="G1579" s="25" t="str">
        <x:v>true</x:v>
      </x:c>
      <x:c r="H1579" s="25" t="str">
        <x:v>NOT_REVEALING</x:v>
      </x:c>
      <x:c r="I1579" s="25" t="str">
        <x:v>PASS</x:v>
      </x:c>
      <x:c r="J1579" s="25" t="str">
        <x:v>PASS</x:v>
      </x:c>
      <x:c r="K1579" s="25" t="n">
        <x:v>1</x:v>
      </x:c>
      <x:c r="L1579" s="27" t="b">
        <x:v>0</x:v>
      </x:c>
      <x:c r="M1579" s="25" t="str">
        <x:v>Deepseek-flash-v4/state/Round2/status/Math_39.json; Deepseek-flash-v4/state/Round2/shards/Math_39.json</x:v>
      </x:c>
      <x:c r="N1579" s="25" t="str">
        <x:v>Deepseek-flash-v4/Result2/Math_39/result.json</x:v>
      </x:c>
      <x:c r="O1579" s="25" t="str">
        <x:v>Deepseek-flash-v4/Result2/Math_39/result.json</x:v>
      </x:c>
      <x:c r="P1579"/>
      <x:c r="Q1579" s="21" t="str"/>
      <x:c r="R1579" s="21" t="str"/>
      <x:c r="S1579" s="21" t="str"/>
      <x:c r="T1579" s="17" t="str">
        <x:v>false</x:v>
      </x:c>
      <x:c r="U1579" s="17" t="str">
        <x:v>true</x:v>
      </x:c>
      <x:c r="V1579" s="17" t="str">
        <x:v>false</x:v>
      </x:c>
    </x:row>
    <x:row r="1580" ht="80" customHeight="1">
      <x:c r="A1580" s="25" t="str">
        <x:v>Math</x:v>
      </x:c>
      <x:c r="B1580" s="25" t="n">
        <x:v>4</x:v>
      </x:c>
      <x:c r="C1580" s="25" t="str">
        <x:v>Round2</x:v>
      </x:c>
      <x:c r="D1580" s="25" t="str">
        <x:v>NOT_AVAILABLE</x:v>
      </x:c>
      <x:c r="E1580" s="25" t="str">
        <x:v>N/A</x:v>
      </x:c>
      <x:c r="F1580" s="26" t="str">
        <x:v>Tests exist but current coverage did not complete</x:v>
      </x:c>
      <x:c r="G1580" s="25" t="str">
        <x:v>true</x:v>
      </x:c>
      <x:c r="H1580" s="25" t="str">
        <x:v>NOT_AVAILABLE</x:v>
      </x:c>
      <x:c r="I1580" s="25" t="str">
        <x:v>NOT_RUN</x:v>
      </x:c>
      <x:c r="J1580" s="25" t="str">
        <x:v>NOT_RUN</x:v>
      </x:c>
      <x:c r="K1580" s="25" t="n">
        <x:v>2</x:v>
      </x:c>
      <x:c r="L1580" s="27" t="b">
        <x:v>0</x:v>
      </x:c>
      <x:c r="M1580" s="25" t="str">
        <x:v>Deepseek-flash-v4/state/Round2/status/Math_4.json; Deepseek-flash-v4/state/Round2/shards/Math_4.json</x:v>
      </x:c>
      <x:c r="N1580" s="25" t="str">
        <x:v>Deepseek-flash-v4/Result2/Math_4/result.json</x:v>
      </x:c>
      <x:c r="O1580" s="25" t="str">
        <x:v>Deepseek-flash-v4/Result2/Math_4/result.json</x:v>
      </x:c>
      <x:c r="P1580" t="str">
        <x:v>BOTH_NOT_RUN</x:v>
      </x:c>
      <x:c r="Q1580" s="21" t="str"/>
      <x:c r="R1580" s="21" t="str"/>
      <x:c r="S1580" s="21" t="str"/>
      <x:c r="T1580" s="17" t="str">
        <x:v>false</x:v>
      </x:c>
      <x:c r="U1580" s="17" t="str">
        <x:v>true</x:v>
      </x:c>
      <x:c r="V1580" s="17" t="str">
        <x:v>false</x:v>
      </x:c>
    </x:row>
    <x:row r="1581" ht="80" customHeight="1">
      <x:c r="A1581" s="25" t="str">
        <x:v>Math</x:v>
      </x:c>
      <x:c r="B1581" s="25" t="n">
        <x:v>40</x:v>
      </x:c>
      <x:c r="C1581" s="25" t="str">
        <x:v>Round2</x:v>
      </x:c>
      <x:c r="D1581" s="25" t="str">
        <x:v>INCONCLUSIVE</x:v>
      </x:c>
      <x:c r="E1581" s="25" t="str">
        <x:v>N/A</x:v>
      </x:c>
      <x:c r="F1581" s="26" t="str">
        <x:v>Fixed also failed; assertion failure cannot be attributed to this bug; Same-round generation metadata missing; use saved tests and execution evidence, no failure inferred</x:v>
      </x:c>
      <x:c r="G1581" s="25" t="str">
        <x:v>true</x:v>
      </x:c>
      <x:c r="H1581" s="25" t="str">
        <x:v>INCONCLUSIVE</x:v>
      </x:c>
      <x:c r="I1581" s="25" t="str">
        <x:v>FAIL</x:v>
      </x:c>
      <x:c r="J1581" s="25" t="str">
        <x:v>FAIL</x:v>
      </x:c>
      <x:c r="K1581" s="25" t="n">
        <x:v>1</x:v>
      </x:c>
      <x:c r="L1581" s="27" t="b">
        <x:v>0</x:v>
      </x:c>
      <x:c r="M1581" s="25"/>
      <x:c r="N1581" s="25" t="str">
        <x:v>Deepseek-flash-v4/Result2/Math_40/result.json</x:v>
      </x:c>
      <x:c r="O1581" s="25" t="str">
        <x:v>Deepseek-flash-v4/Result2/Math_40/result.json</x:v>
      </x:c>
      <x:c r="P1581"/>
      <x:c r="Q1581" s="21" t="str"/>
      <x:c r="R1581" s="21" t="str"/>
      <x:c r="S1581" s="21" t="str"/>
      <x:c r="T1581" s="17" t="str">
        <x:v>false</x:v>
      </x:c>
      <x:c r="U1581" s="17" t="str">
        <x:v>true</x:v>
      </x:c>
      <x:c r="V1581" s="17" t="str">
        <x:v>false</x:v>
      </x:c>
    </x:row>
    <x:row r="1582" ht="80" customHeight="1">
      <x:c r="A1582" s="25" t="str">
        <x:v>Math</x:v>
      </x:c>
      <x:c r="B1582" s="25" t="n">
        <x:v>41</x:v>
      </x:c>
      <x:c r="C1582" s="25" t="str">
        <x:v>Round2</x:v>
      </x:c>
      <x:c r="D1582" s="25" t="str">
        <x:v>INCONCLUSIVE</x:v>
      </x:c>
      <x:c r="E1582" s="25" t="str">
        <x:v>N/A</x:v>
      </x:c>
      <x:c r="F1582" s="26" t="str">
        <x:v>Fixed also failed; assertion failure cannot be attributed to this bug; Same-round generation metadata missing; use saved tests and execution evidence, no failure inferred</x:v>
      </x:c>
      <x:c r="G1582" s="25" t="str">
        <x:v>true</x:v>
      </x:c>
      <x:c r="H1582" s="25" t="str">
        <x:v>INCONCLUSIVE</x:v>
      </x:c>
      <x:c r="I1582" s="25" t="str">
        <x:v>FAIL</x:v>
      </x:c>
      <x:c r="J1582" s="25" t="str">
        <x:v>FAIL</x:v>
      </x:c>
      <x:c r="K1582" s="25" t="n">
        <x:v>1</x:v>
      </x:c>
      <x:c r="L1582" s="27" t="b">
        <x:v>0</x:v>
      </x:c>
      <x:c r="M1582" s="25"/>
      <x:c r="N1582" s="25" t="str">
        <x:v>Deepseek-flash-v4/Result2/Math_41/result.json</x:v>
      </x:c>
      <x:c r="O1582" s="25" t="str">
        <x:v>Deepseek-flash-v4/Result2/Math_41/result.json</x:v>
      </x:c>
      <x:c r="P1582"/>
      <x:c r="Q1582" s="21" t="str"/>
      <x:c r="R1582" s="21" t="str"/>
      <x:c r="S1582" s="21" t="str"/>
      <x:c r="T1582" s="17" t="str">
        <x:v>false</x:v>
      </x:c>
      <x:c r="U1582" s="17" t="str">
        <x:v>true</x:v>
      </x:c>
      <x:c r="V1582" s="17" t="str">
        <x:v>false</x:v>
      </x:c>
    </x:row>
    <x:row r="1583" ht="80" customHeight="1">
      <x:c r="A1583" s="25" t="str">
        <x:v>Math</x:v>
      </x:c>
      <x:c r="B1583" s="25" t="n">
        <x:v>42</x:v>
      </x:c>
      <x:c r="C1583" s="25" t="str">
        <x:v>Round2</x:v>
      </x:c>
      <x:c r="D1583" s="25" t="str">
        <x:v>INCONCLUSIVE</x:v>
      </x:c>
      <x:c r="E1583" s="25" t="str">
        <x:v>N/A</x:v>
      </x:c>
      <x:c r="F1583" s="26" t="str">
        <x:v>Fixed also failed; assertion failure cannot be attributed to this bug; Same-round generation metadata missing; use saved tests and execution evidence, no failure inferred</x:v>
      </x:c>
      <x:c r="G1583" s="25" t="str">
        <x:v>true</x:v>
      </x:c>
      <x:c r="H1583" s="25" t="str">
        <x:v>INCONCLUSIVE</x:v>
      </x:c>
      <x:c r="I1583" s="25" t="str">
        <x:v>FAIL</x:v>
      </x:c>
      <x:c r="J1583" s="25" t="str">
        <x:v>FAIL</x:v>
      </x:c>
      <x:c r="K1583" s="25" t="n">
        <x:v>1</x:v>
      </x:c>
      <x:c r="L1583" s="27" t="b">
        <x:v>0</x:v>
      </x:c>
      <x:c r="M1583" s="25"/>
      <x:c r="N1583" s="25" t="str">
        <x:v>Deepseek-flash-v4/Result2/Math_42/result.json</x:v>
      </x:c>
      <x:c r="O1583" s="25" t="str">
        <x:v>Deepseek-flash-v4/Result2/Math_42/result.json</x:v>
      </x:c>
      <x:c r="P1583"/>
      <x:c r="Q1583" s="21" t="str"/>
      <x:c r="R1583" s="21" t="str"/>
      <x:c r="S1583" s="21" t="str"/>
      <x:c r="T1583" s="17" t="str">
        <x:v>false</x:v>
      </x:c>
      <x:c r="U1583" s="17" t="str">
        <x:v>true</x:v>
      </x:c>
      <x:c r="V1583" s="17" t="str">
        <x:v>false</x:v>
      </x:c>
    </x:row>
    <x:row r="1584" ht="80" customHeight="1">
      <x:c r="A1584" s="25" t="str">
        <x:v>Math</x:v>
      </x:c>
      <x:c r="B1584" s="25" t="n">
        <x:v>43</x:v>
      </x:c>
      <x:c r="C1584" s="25" t="str">
        <x:v>Round2</x:v>
      </x:c>
      <x:c r="D1584" s="25" t="str">
        <x:v>INCONCLUSIVE</x:v>
      </x:c>
      <x:c r="E1584" s="25" t="str">
        <x:v>N/A</x:v>
      </x:c>
      <x:c r="F1584" s="26" t="str">
        <x:v>Fixed also failed; assertion failure cannot be attributed to this bug; Same-round generation metadata missing; use saved tests and execution evidence, no failure inferred</x:v>
      </x:c>
      <x:c r="G1584" s="25" t="str">
        <x:v>true</x:v>
      </x:c>
      <x:c r="H1584" s="25" t="str">
        <x:v>INCONCLUSIVE</x:v>
      </x:c>
      <x:c r="I1584" s="25" t="str">
        <x:v>FAIL</x:v>
      </x:c>
      <x:c r="J1584" s="25" t="str">
        <x:v>FAIL</x:v>
      </x:c>
      <x:c r="K1584" s="25" t="n">
        <x:v>1</x:v>
      </x:c>
      <x:c r="L1584" s="27" t="b">
        <x:v>0</x:v>
      </x:c>
      <x:c r="M1584" s="25"/>
      <x:c r="N1584" s="25" t="str">
        <x:v>Deepseek-flash-v4/Result2/Math_43/result.json</x:v>
      </x:c>
      <x:c r="O1584" s="25" t="str">
        <x:v>Deepseek-flash-v4/Result2/Math_43/result.json</x:v>
      </x:c>
      <x:c r="P1584"/>
      <x:c r="Q1584" s="21" t="str"/>
      <x:c r="R1584" s="21" t="str"/>
      <x:c r="S1584" s="21" t="str"/>
      <x:c r="T1584" s="17" t="str">
        <x:v>false</x:v>
      </x:c>
      <x:c r="U1584" s="17" t="str">
        <x:v>true</x:v>
      </x:c>
      <x:c r="V1584" s="17" t="str">
        <x:v>false</x:v>
      </x:c>
    </x:row>
    <x:row r="1585" ht="80" customHeight="1">
      <x:c r="A1585" s="25" t="str">
        <x:v>Math</x:v>
      </x:c>
      <x:c r="B1585" s="25" t="n">
        <x:v>44</x:v>
      </x:c>
      <x:c r="C1585" s="25" t="str">
        <x:v>Round2</x:v>
      </x:c>
      <x:c r="D1585" s="25" t="str">
        <x:v>NOT_AVAILABLE</x:v>
      </x:c>
      <x:c r="E1585" s="25" t="str">
        <x:v>N/A</x:v>
      </x:c>
      <x:c r="F1585" s="26" t="str">
        <x:v>Tests exist but current coverage did not complete</x:v>
      </x:c>
      <x:c r="G1585" s="25" t="str">
        <x:v>true</x:v>
      </x:c>
      <x:c r="H1585" s="25" t="str">
        <x:v>NOT_AVAILABLE</x:v>
      </x:c>
      <x:c r="I1585" s="25" t="str">
        <x:v>NOT_RUN</x:v>
      </x:c>
      <x:c r="J1585" s="25" t="str">
        <x:v>NOT_RUN</x:v>
      </x:c>
      <x:c r="K1585" s="25" t="n">
        <x:v>1</x:v>
      </x:c>
      <x:c r="L1585" s="27" t="b">
        <x:v>0</x:v>
      </x:c>
      <x:c r="M1585" s="25" t="str">
        <x:v>Deepseek-flash-v4/state/Round2/status/Math_44.json; Deepseek-flash-v4/state/Round2/shards/Math_44.json</x:v>
      </x:c>
      <x:c r="N1585" s="25" t="str">
        <x:v>Deepseek-flash-v4/Result2/Math_44/result.json</x:v>
      </x:c>
      <x:c r="O1585" s="25" t="str">
        <x:v>Deepseek-flash-v4/Result2/Math_44/result.json</x:v>
      </x:c>
      <x:c r="P1585" t="str">
        <x:v>BOTH_NOT_RUN</x:v>
      </x:c>
      <x:c r="Q1585" s="21" t="str"/>
      <x:c r="R1585" s="21" t="str"/>
      <x:c r="S1585" s="21" t="str"/>
      <x:c r="T1585" s="17" t="str">
        <x:v>false</x:v>
      </x:c>
      <x:c r="U1585" s="17" t="str">
        <x:v>true</x:v>
      </x:c>
      <x:c r="V1585" s="17" t="str">
        <x:v>false</x:v>
      </x:c>
    </x:row>
    <x:row r="1586" ht="80" customHeight="1">
      <x:c r="A1586" s="25" t="str">
        <x:v>Math</x:v>
      </x:c>
      <x:c r="B1586" s="25" t="n">
        <x:v>45</x:v>
      </x:c>
      <x:c r="C1586" s="25" t="str">
        <x:v>Round2</x:v>
      </x:c>
      <x:c r="D1586" s="25" t="str">
        <x:v>INCONCLUSIVE</x:v>
      </x:c>
      <x:c r="E1586" s="25" t="str">
        <x:v>N/A</x:v>
      </x:c>
      <x:c r="F1586" s="26" t="str">
        <x:v>Fixed also failed; assertion failure cannot be attributed to this bug; Same-round generation metadata missing; use saved tests and execution evidence, no failure inferred</x:v>
      </x:c>
      <x:c r="G1586" s="25" t="str">
        <x:v>true</x:v>
      </x:c>
      <x:c r="H1586" s="25" t="str">
        <x:v>INCONCLUSIVE</x:v>
      </x:c>
      <x:c r="I1586" s="25" t="str">
        <x:v>FAIL</x:v>
      </x:c>
      <x:c r="J1586" s="25" t="str">
        <x:v>FAIL</x:v>
      </x:c>
      <x:c r="K1586" s="25" t="n">
        <x:v>1</x:v>
      </x:c>
      <x:c r="L1586" s="27" t="b">
        <x:v>0</x:v>
      </x:c>
      <x:c r="M1586" s="25"/>
      <x:c r="N1586" s="25" t="str">
        <x:v>Deepseek-flash-v4/Result2/Math_45/result.json</x:v>
      </x:c>
      <x:c r="O1586" s="25" t="str">
        <x:v>Deepseek-flash-v4/Result2/Math_45/result.json</x:v>
      </x:c>
      <x:c r="P1586"/>
      <x:c r="Q1586" s="21" t="str"/>
      <x:c r="R1586" s="21" t="str"/>
      <x:c r="S1586" s="21" t="str"/>
      <x:c r="T1586" s="17" t="str">
        <x:v>false</x:v>
      </x:c>
      <x:c r="U1586" s="17" t="str">
        <x:v>true</x:v>
      </x:c>
      <x:c r="V1586" s="17" t="str">
        <x:v>false</x:v>
      </x:c>
    </x:row>
    <x:row r="1587" ht="80" customHeight="1">
      <x:c r="A1587" s="25" t="str">
        <x:v>Math</x:v>
      </x:c>
      <x:c r="B1587" s="25" t="n">
        <x:v>46</x:v>
      </x:c>
      <x:c r="C1587" s="25" t="str">
        <x:v>Round2</x:v>
      </x:c>
      <x:c r="D1587" s="25" t="str">
        <x:v>INCONCLUSIVE</x:v>
      </x:c>
      <x:c r="E1587" s="25" t="str">
        <x:v>N/A</x:v>
      </x:c>
      <x:c r="F1587" s="26" t="str">
        <x:v>Fixed also failed; assertion failure cannot be attributed to this bug</x:v>
      </x:c>
      <x:c r="G1587" s="25" t="str">
        <x:v>true</x:v>
      </x:c>
      <x:c r="H1587" s="25" t="str">
        <x:v>INCONCLUSIVE</x:v>
      </x:c>
      <x:c r="I1587" s="25" t="str">
        <x:v>PASS</x:v>
      </x:c>
      <x:c r="J1587" s="25" t="str">
        <x:v>FAIL</x:v>
      </x:c>
      <x:c r="K1587" s="25" t="n">
        <x:v>1</x:v>
      </x:c>
      <x:c r="L1587" s="27" t="b">
        <x:v>0</x:v>
      </x:c>
      <x:c r="M1587" s="25" t="str">
        <x:v>Deepseek-flash-v4/state/Round2/status/Math_46.json; Deepseek-flash-v4/state/Round2/shards/Math_46.json</x:v>
      </x:c>
      <x:c r="N1587" s="25" t="str">
        <x:v>Deepseek-flash-v4/Result2/Math_46/result.json</x:v>
      </x:c>
      <x:c r="O1587" s="25" t="str">
        <x:v>Deepseek-flash-v4/Result2/Math_46/result.json</x:v>
      </x:c>
      <x:c r="P1587"/>
      <x:c r="Q1587" s="21" t="str"/>
      <x:c r="R1587" s="21" t="str"/>
      <x:c r="S1587" s="21" t="str"/>
      <x:c r="T1587" s="17" t="str">
        <x:v>false</x:v>
      </x:c>
      <x:c r="U1587" s="17" t="str">
        <x:v>true</x:v>
      </x:c>
      <x:c r="V1587" s="17" t="str">
        <x:v>false</x:v>
      </x:c>
    </x:row>
    <x:row r="1588" ht="80" customHeight="1">
      <x:c r="A1588" s="25" t="str">
        <x:v>Math</x:v>
      </x:c>
      <x:c r="B1588" s="25" t="n">
        <x:v>47</x:v>
      </x:c>
      <x:c r="C1588" s="25" t="str">
        <x:v>Round2</x:v>
      </x:c>
      <x:c r="D1588" s="25" t="str">
        <x:v>INCONCLUSIVE</x:v>
      </x:c>
      <x:c r="E1588" s="25" t="str">
        <x:v>N/A</x:v>
      </x:c>
      <x:c r="F1588" s="26" t="str">
        <x:v>Fixed also failed; assertion failure cannot be attributed to this bug</x:v>
      </x:c>
      <x:c r="G1588" s="25" t="str">
        <x:v>true</x:v>
      </x:c>
      <x:c r="H1588" s="25" t="str">
        <x:v>INCONCLUSIVE</x:v>
      </x:c>
      <x:c r="I1588" s="25" t="str">
        <x:v>PASS</x:v>
      </x:c>
      <x:c r="J1588" s="25" t="str">
        <x:v>FAIL</x:v>
      </x:c>
      <x:c r="K1588" s="25" t="n">
        <x:v>1</x:v>
      </x:c>
      <x:c r="L1588" s="27" t="b">
        <x:v>0</x:v>
      </x:c>
      <x:c r="M1588" s="25" t="str">
        <x:v>Deepseek-flash-v4/state/Round2/status/Math_47.json; Deepseek-flash-v4/state/Round2/shards/Math_47.json</x:v>
      </x:c>
      <x:c r="N1588" s="25" t="str">
        <x:v>Deepseek-flash-v4/Result2/Math_47/result.json</x:v>
      </x:c>
      <x:c r="O1588" s="25" t="str">
        <x:v>Deepseek-flash-v4/Result2/Math_47/result.json</x:v>
      </x:c>
      <x:c r="P1588"/>
      <x:c r="Q1588" s="21" t="str"/>
      <x:c r="R1588" s="21" t="str"/>
      <x:c r="S1588" s="21" t="str"/>
      <x:c r="T1588" s="17" t="str">
        <x:v>false</x:v>
      </x:c>
      <x:c r="U1588" s="17" t="str">
        <x:v>true</x:v>
      </x:c>
      <x:c r="V1588" s="17" t="str">
        <x:v>false</x:v>
      </x:c>
    </x:row>
    <x:row r="1589" ht="80" customHeight="1">
      <x:c r="A1589" s="25" t="str">
        <x:v>Math</x:v>
      </x:c>
      <x:c r="B1589" s="25" t="n">
        <x:v>48</x:v>
      </x:c>
      <x:c r="C1589" s="25" t="str">
        <x:v>Round2</x:v>
      </x:c>
      <x:c r="D1589" s="25" t="str">
        <x:v>NOT_REVEALING</x:v>
      </x:c>
      <x:c r="E1589" s="25" t="str">
        <x:v>N/A</x:v>
      </x:c>
      <x:c r="F1589" s="26" t="str">
        <x:v>Same saved validation suite passed on buggy and fixed</x:v>
      </x:c>
      <x:c r="G1589" s="25" t="str">
        <x:v>true</x:v>
      </x:c>
      <x:c r="H1589" s="25" t="str">
        <x:v>NOT_REVEALING</x:v>
      </x:c>
      <x:c r="I1589" s="25" t="str">
        <x:v>PASS</x:v>
      </x:c>
      <x:c r="J1589" s="25" t="str">
        <x:v>PASS</x:v>
      </x:c>
      <x:c r="K1589" s="25" t="n">
        <x:v>1</x:v>
      </x:c>
      <x:c r="L1589" s="27" t="b">
        <x:v>0</x:v>
      </x:c>
      <x:c r="M1589" s="25" t="str">
        <x:v>Deepseek-flash-v4/state/Round2/status/Math_48.json; Deepseek-flash-v4/state/Round2/shards/Math_48.json</x:v>
      </x:c>
      <x:c r="N1589" s="25" t="str">
        <x:v>Deepseek-flash-v4/Result2/Math_48/result.json</x:v>
      </x:c>
      <x:c r="O1589" s="25" t="str">
        <x:v>Deepseek-flash-v4/Result2/Math_48/result.json</x:v>
      </x:c>
      <x:c r="P1589"/>
      <x:c r="Q1589" s="21" t="str"/>
      <x:c r="R1589" s="21" t="str"/>
      <x:c r="S1589" s="21" t="str"/>
      <x:c r="T1589" s="17" t="str">
        <x:v>false</x:v>
      </x:c>
      <x:c r="U1589" s="17" t="str">
        <x:v>true</x:v>
      </x:c>
      <x:c r="V1589" s="17" t="str">
        <x:v>false</x:v>
      </x:c>
    </x:row>
    <x:row r="1590" ht="80" customHeight="1">
      <x:c r="A1590" s="25" t="str">
        <x:v>Math</x:v>
      </x:c>
      <x:c r="B1590" s="25" t="n">
        <x:v>49</x:v>
      </x:c>
      <x:c r="C1590" s="25" t="str">
        <x:v>Round2</x:v>
      </x:c>
      <x:c r="D1590" s="25" t="str">
        <x:v>NOT_REVEALING</x:v>
      </x:c>
      <x:c r="E1590" s="25" t="str">
        <x:v>N/A</x:v>
      </x:c>
      <x:c r="F1590" s="26" t="str">
        <x:v>Same saved validation suite passed on buggy and fixed</x:v>
      </x:c>
      <x:c r="G1590" s="25" t="str">
        <x:v>true</x:v>
      </x:c>
      <x:c r="H1590" s="25" t="str">
        <x:v>NOT_REVEALING</x:v>
      </x:c>
      <x:c r="I1590" s="25" t="str">
        <x:v>PASS</x:v>
      </x:c>
      <x:c r="J1590" s="25" t="str">
        <x:v>PASS</x:v>
      </x:c>
      <x:c r="K1590" s="25" t="n">
        <x:v>1</x:v>
      </x:c>
      <x:c r="L1590" s="27" t="b">
        <x:v>0</x:v>
      </x:c>
      <x:c r="M1590" s="25" t="str">
        <x:v>Deepseek-flash-v4/state/Round2/status/Math_49.json; Deepseek-flash-v4/state/Round2/shards/Math_49.json</x:v>
      </x:c>
      <x:c r="N1590" s="25" t="str">
        <x:v>Deepseek-flash-v4/Result2/Math_49/result.json</x:v>
      </x:c>
      <x:c r="O1590" s="25" t="str">
        <x:v>Deepseek-flash-v4/Result2/Math_49/result.json</x:v>
      </x:c>
      <x:c r="P1590"/>
      <x:c r="Q1590" s="21" t="str"/>
      <x:c r="R1590" s="21" t="str"/>
      <x:c r="S1590" s="21" t="str"/>
      <x:c r="T1590" s="17" t="str">
        <x:v>false</x:v>
      </x:c>
      <x:c r="U1590" s="17" t="str">
        <x:v>true</x:v>
      </x:c>
      <x:c r="V1590" s="17" t="str">
        <x:v>false</x:v>
      </x:c>
    </x:row>
    <x:row r="1591" ht="80" customHeight="1">
      <x:c r="A1591" s="25" t="str">
        <x:v>Math</x:v>
      </x:c>
      <x:c r="B1591" s="25" t="n">
        <x:v>5</x:v>
      </x:c>
      <x:c r="C1591" s="25" t="str">
        <x:v>Round2</x:v>
      </x:c>
      <x:c r="D1591" s="25" t="str">
        <x:v>INCONCLUSIVE</x:v>
      </x:c>
      <x:c r="E1591" s="25" t="str">
        <x:v>N/A</x:v>
      </x:c>
      <x:c r="F1591" s="26" t="str">
        <x:v>Fixed also failed; assertion failure cannot be attributed to this bug</x:v>
      </x:c>
      <x:c r="G1591" s="25" t="str">
        <x:v>true</x:v>
      </x:c>
      <x:c r="H1591" s="25" t="str">
        <x:v>INCONCLUSIVE</x:v>
      </x:c>
      <x:c r="I1591" s="25" t="str">
        <x:v>PASS</x:v>
      </x:c>
      <x:c r="J1591" s="25" t="str">
        <x:v>FAIL</x:v>
      </x:c>
      <x:c r="K1591" s="25" t="n">
        <x:v>1</x:v>
      </x:c>
      <x:c r="L1591" s="27" t="b">
        <x:v>0</x:v>
      </x:c>
      <x:c r="M1591" s="25" t="str">
        <x:v>Deepseek-flash-v4/state/Round2/status/Math_5.json; Deepseek-flash-v4/state/Round2/shards/Math_5.json</x:v>
      </x:c>
      <x:c r="N1591" s="25" t="str">
        <x:v>Deepseek-flash-v4/Result2/Math_5/result.json</x:v>
      </x:c>
      <x:c r="O1591" s="25" t="str">
        <x:v>Deepseek-flash-v4/Result2/Math_5/result.json</x:v>
      </x:c>
      <x:c r="P1591"/>
      <x:c r="Q1591" s="21" t="str"/>
      <x:c r="R1591" s="21" t="str"/>
      <x:c r="S1591" s="21" t="str"/>
      <x:c r="T1591" s="17" t="str">
        <x:v>false</x:v>
      </x:c>
      <x:c r="U1591" s="17" t="str">
        <x:v>true</x:v>
      </x:c>
      <x:c r="V1591" s="17" t="str">
        <x:v>false</x:v>
      </x:c>
    </x:row>
    <x:row r="1592" ht="80" customHeight="1">
      <x:c r="A1592" s="25" t="str">
        <x:v>Math</x:v>
      </x:c>
      <x:c r="B1592" s="25" t="n">
        <x:v>50</x:v>
      </x:c>
      <x:c r="C1592" s="25" t="str">
        <x:v>Round2</x:v>
      </x:c>
      <x:c r="D1592" s="25" t="str">
        <x:v>INCONCLUSIVE</x:v>
      </x:c>
      <x:c r="E1592" s="25" t="str">
        <x:v>N/A</x:v>
      </x:c>
      <x:c r="F1592" s="26" t="str">
        <x:v>Fixed also failed; assertion failure cannot be attributed to this bug</x:v>
      </x:c>
      <x:c r="G1592" s="25" t="str">
        <x:v>true</x:v>
      </x:c>
      <x:c r="H1592" s="25" t="str">
        <x:v>INCONCLUSIVE</x:v>
      </x:c>
      <x:c r="I1592" s="25" t="str">
        <x:v>FAIL</x:v>
      </x:c>
      <x:c r="J1592" s="25" t="str">
        <x:v>FAIL</x:v>
      </x:c>
      <x:c r="K1592" s="25" t="n">
        <x:v>1</x:v>
      </x:c>
      <x:c r="L1592" s="27" t="b">
        <x:v>0</x:v>
      </x:c>
      <x:c r="M1592" s="25" t="str">
        <x:v>Deepseek-flash-v4/state/Round2/status/Math_50.json; Deepseek-flash-v4/state/Round2/shards/Math_50.json</x:v>
      </x:c>
      <x:c r="N1592" s="25" t="str">
        <x:v>Deepseek-flash-v4/Result2/Math_50/result.json</x:v>
      </x:c>
      <x:c r="O1592" s="25" t="str">
        <x:v>Deepseek-flash-v4/Result2/Math_50/result.json</x:v>
      </x:c>
      <x:c r="P1592"/>
      <x:c r="Q1592" s="21" t="str"/>
      <x:c r="R1592" s="21" t="str"/>
      <x:c r="S1592" s="21" t="str"/>
      <x:c r="T1592" s="17" t="str">
        <x:v>false</x:v>
      </x:c>
      <x:c r="U1592" s="17" t="str">
        <x:v>true</x:v>
      </x:c>
      <x:c r="V1592" s="17" t="str">
        <x:v>false</x:v>
      </x:c>
    </x:row>
    <x:row r="1593" ht="80" customHeight="1">
      <x:c r="A1593" s="25" t="str">
        <x:v>Math</x:v>
      </x:c>
      <x:c r="B1593" s="25" t="n">
        <x:v>51</x:v>
      </x:c>
      <x:c r="C1593" s="25" t="str">
        <x:v>Round2</x:v>
      </x:c>
      <x:c r="D1593" s="25" t="str">
        <x:v>INCONCLUSIVE</x:v>
      </x:c>
      <x:c r="E1593" s="25" t="str">
        <x:v>N/A</x:v>
      </x:c>
      <x:c r="F1593" s="26" t="str">
        <x:v>Fixed also failed; assertion failure cannot be attributed to this bug</x:v>
      </x:c>
      <x:c r="G1593" s="25" t="str">
        <x:v>true</x:v>
      </x:c>
      <x:c r="H1593" s="25" t="str">
        <x:v>INCONCLUSIVE</x:v>
      </x:c>
      <x:c r="I1593" s="25" t="str">
        <x:v>FAIL</x:v>
      </x:c>
      <x:c r="J1593" s="25" t="str">
        <x:v>FAIL</x:v>
      </x:c>
      <x:c r="K1593" s="25" t="n">
        <x:v>1</x:v>
      </x:c>
      <x:c r="L1593" s="27" t="b">
        <x:v>0</x:v>
      </x:c>
      <x:c r="M1593" s="25" t="str">
        <x:v>Deepseek-flash-v4/state/Round2/status/Math_51.json; Deepseek-flash-v4/state/Round2/shards/Math_51.json</x:v>
      </x:c>
      <x:c r="N1593" s="25" t="str">
        <x:v>Deepseek-flash-v4/Result2/Math_51/result.json</x:v>
      </x:c>
      <x:c r="O1593" s="25" t="str">
        <x:v>Deepseek-flash-v4/Result2/Math_51/result.json</x:v>
      </x:c>
      <x:c r="P1593"/>
      <x:c r="Q1593" s="21" t="str"/>
      <x:c r="R1593" s="21" t="str"/>
      <x:c r="S1593" s="21" t="str"/>
      <x:c r="T1593" s="17" t="str">
        <x:v>false</x:v>
      </x:c>
      <x:c r="U1593" s="17" t="str">
        <x:v>true</x:v>
      </x:c>
      <x:c r="V1593" s="17" t="str">
        <x:v>false</x:v>
      </x:c>
    </x:row>
    <x:row r="1594" ht="80" customHeight="1">
      <x:c r="A1594" s="25" t="str">
        <x:v>Math</x:v>
      </x:c>
      <x:c r="B1594" s="25" t="n">
        <x:v>52</x:v>
      </x:c>
      <x:c r="C1594" s="25" t="str">
        <x:v>Round2</x:v>
      </x:c>
      <x:c r="D1594" s="25" t="str">
        <x:v>NOT_REVEALING</x:v>
      </x:c>
      <x:c r="E1594" s="25" t="str">
        <x:v>N/A</x:v>
      </x:c>
      <x:c r="F1594" s="26" t="str">
        <x:v>Same saved validation suite passed on buggy and fixed</x:v>
      </x:c>
      <x:c r="G1594" s="25" t="str">
        <x:v>true</x:v>
      </x:c>
      <x:c r="H1594" s="25" t="str">
        <x:v>NOT_REVEALING</x:v>
      </x:c>
      <x:c r="I1594" s="25" t="str">
        <x:v>PASS</x:v>
      </x:c>
      <x:c r="J1594" s="25" t="str">
        <x:v>PASS</x:v>
      </x:c>
      <x:c r="K1594" s="25" t="n">
        <x:v>1</x:v>
      </x:c>
      <x:c r="L1594" s="27" t="b">
        <x:v>0</x:v>
      </x:c>
      <x:c r="M1594" s="25" t="str">
        <x:v>Deepseek-flash-v4/state/Round2/status/Math_52.json; Deepseek-flash-v4/state/Round2/shards/Math_52.json</x:v>
      </x:c>
      <x:c r="N1594" s="25" t="str">
        <x:v>Deepseek-flash-v4/Result2/Math_52/result.json</x:v>
      </x:c>
      <x:c r="O1594" s="25" t="str">
        <x:v>Deepseek-flash-v4/Result2/Math_52/result.json</x:v>
      </x:c>
      <x:c r="P1594"/>
      <x:c r="Q1594" s="21" t="str"/>
      <x:c r="R1594" s="21" t="str"/>
      <x:c r="S1594" s="21" t="str"/>
      <x:c r="T1594" s="17" t="str">
        <x:v>false</x:v>
      </x:c>
      <x:c r="U1594" s="17" t="str">
        <x:v>true</x:v>
      </x:c>
      <x:c r="V1594" s="17" t="str">
        <x:v>false</x:v>
      </x:c>
    </x:row>
    <x:row r="1595" ht="80" customHeight="1">
      <x:c r="A1595" s="25" t="str">
        <x:v>Math</x:v>
      </x:c>
      <x:c r="B1595" s="25" t="n">
        <x:v>53</x:v>
      </x:c>
      <x:c r="C1595" s="25" t="str">
        <x:v>Round2</x:v>
      </x:c>
      <x:c r="D1595" s="25" t="str">
        <x:v>NOT_REVEALING</x:v>
      </x:c>
      <x:c r="E1595" s="25" t="str">
        <x:v>N/A</x:v>
      </x:c>
      <x:c r="F1595" s="26" t="str">
        <x:v>Same saved validation suite passed on buggy and fixed</x:v>
      </x:c>
      <x:c r="G1595" s="25" t="str">
        <x:v>true</x:v>
      </x:c>
      <x:c r="H1595" s="25" t="str">
        <x:v>NOT_REVEALING</x:v>
      </x:c>
      <x:c r="I1595" s="25" t="str">
        <x:v>PASS</x:v>
      </x:c>
      <x:c r="J1595" s="25" t="str">
        <x:v>PASS</x:v>
      </x:c>
      <x:c r="K1595" s="25" t="n">
        <x:v>1</x:v>
      </x:c>
      <x:c r="L1595" s="27" t="b">
        <x:v>0</x:v>
      </x:c>
      <x:c r="M1595" s="25" t="str">
        <x:v>Deepseek-flash-v4/state/Round2/status/Math_53.json; Deepseek-flash-v4/state/Round2/shards/Math_53.json</x:v>
      </x:c>
      <x:c r="N1595" s="25" t="str">
        <x:v>Deepseek-flash-v4/Result2/Math_53/result.json</x:v>
      </x:c>
      <x:c r="O1595" s="25" t="str">
        <x:v>Deepseek-flash-v4/Result2/Math_53/result.json</x:v>
      </x:c>
      <x:c r="P1595"/>
      <x:c r="Q1595" s="21" t="str"/>
      <x:c r="R1595" s="21" t="str"/>
      <x:c r="S1595" s="21" t="str"/>
      <x:c r="T1595" s="17" t="str">
        <x:v>false</x:v>
      </x:c>
      <x:c r="U1595" s="17" t="str">
        <x:v>true</x:v>
      </x:c>
      <x:c r="V1595" s="17" t="str">
        <x:v>false</x:v>
      </x:c>
    </x:row>
    <x:row r="1596" ht="80" customHeight="1">
      <x:c r="A1596" s="25" t="str">
        <x:v>Math</x:v>
      </x:c>
      <x:c r="B1596" s="25" t="n">
        <x:v>54</x:v>
      </x:c>
      <x:c r="C1596" s="25" t="str">
        <x:v>Round2</x:v>
      </x:c>
      <x:c r="D1596" s="25" t="str">
        <x:v>REVEALING</x:v>
      </x:c>
      <x:c r="E1596" s="25" t="str">
        <x:v>N/A</x:v>
      </x:c>
      <x:c r="F1596" s="26" t="str">
        <x:v>Same saved validation suite failed on buggy and passed on fixed</x:v>
      </x:c>
      <x:c r="G1596" s="25" t="str">
        <x:v>true</x:v>
      </x:c>
      <x:c r="H1596" s="25" t="str">
        <x:v>REVEALING</x:v>
      </x:c>
      <x:c r="I1596" s="25" t="str">
        <x:v>FAIL</x:v>
      </x:c>
      <x:c r="J1596" s="25" t="str">
        <x:v>PASS</x:v>
      </x:c>
      <x:c r="K1596" s="25" t="n">
        <x:v>1</x:v>
      </x:c>
      <x:c r="L1596" s="27" t="b">
        <x:v>0</x:v>
      </x:c>
      <x:c r="M1596" s="25" t="str">
        <x:v>Deepseek-flash-v4/state/Round2/status/Math_54.json; Deepseek-flash-v4/state/Round2/shards/Math_54.json</x:v>
      </x:c>
      <x:c r="N1596" s="25" t="str">
        <x:v>Deepseek-flash-v4/Result2/Math_54/result.json</x:v>
      </x:c>
      <x:c r="O1596" s="25" t="str">
        <x:v>Deepseek-flash-v4/Result2/Math_54/result.json</x:v>
      </x:c>
      <x:c r="P1596"/>
      <x:c r="Q1596" s="21" t="str"/>
      <x:c r="R1596" s="21" t="str"/>
      <x:c r="S1596" s="21" t="str"/>
      <x:c r="T1596" s="17" t="str">
        <x:v>false</x:v>
      </x:c>
      <x:c r="U1596" s="17" t="str">
        <x:v>true</x:v>
      </x:c>
      <x:c r="V1596" s="17" t="str">
        <x:v>false</x:v>
      </x:c>
    </x:row>
    <x:row r="1597" ht="80" customHeight="1">
      <x:c r="A1597" s="25" t="str">
        <x:v>Math</x:v>
      </x:c>
      <x:c r="B1597" s="25" t="n">
        <x:v>55</x:v>
      </x:c>
      <x:c r="C1597" s="25" t="str">
        <x:v>Round2</x:v>
      </x:c>
      <x:c r="D1597" s="25" t="str">
        <x:v>NOT_REVEALING</x:v>
      </x:c>
      <x:c r="E1597" s="25" t="str">
        <x:v>N/A</x:v>
      </x:c>
      <x:c r="F1597" s="26" t="str">
        <x:v>Same saved validation suite passed on buggy and fixed</x:v>
      </x:c>
      <x:c r="G1597" s="25" t="str">
        <x:v>true</x:v>
      </x:c>
      <x:c r="H1597" s="25" t="str">
        <x:v>NOT_REVEALING</x:v>
      </x:c>
      <x:c r="I1597" s="25" t="str">
        <x:v>PASS</x:v>
      </x:c>
      <x:c r="J1597" s="25" t="str">
        <x:v>PASS</x:v>
      </x:c>
      <x:c r="K1597" s="25" t="n">
        <x:v>1</x:v>
      </x:c>
      <x:c r="L1597" s="27" t="b">
        <x:v>0</x:v>
      </x:c>
      <x:c r="M1597" s="25" t="str">
        <x:v>Deepseek-flash-v4/state/Round2/status/Math_55.json; Deepseek-flash-v4/state/Round2/shards/Math_55.json</x:v>
      </x:c>
      <x:c r="N1597" s="25" t="str">
        <x:v>Deepseek-flash-v4/Result2/Math_55/result.json</x:v>
      </x:c>
      <x:c r="O1597" s="25" t="str">
        <x:v>Deepseek-flash-v4/Result2/Math_55/result.json</x:v>
      </x:c>
      <x:c r="P1597"/>
      <x:c r="Q1597" s="21" t="str"/>
      <x:c r="R1597" s="21" t="str"/>
      <x:c r="S1597" s="21" t="str"/>
      <x:c r="T1597" s="17" t="str">
        <x:v>false</x:v>
      </x:c>
      <x:c r="U1597" s="17" t="str">
        <x:v>true</x:v>
      </x:c>
      <x:c r="V1597" s="17" t="str">
        <x:v>false</x:v>
      </x:c>
    </x:row>
    <x:row r="1598" ht="80" customHeight="1">
      <x:c r="A1598" s="25" t="str">
        <x:v>Math</x:v>
      </x:c>
      <x:c r="B1598" s="25" t="n">
        <x:v>56</x:v>
      </x:c>
      <x:c r="C1598" s="25" t="str">
        <x:v>Round2</x:v>
      </x:c>
      <x:c r="D1598" s="25" t="str">
        <x:v>INCONCLUSIVE</x:v>
      </x:c>
      <x:c r="E1598" s="25" t="str">
        <x:v>N/A</x:v>
      </x:c>
      <x:c r="F1598" s="26" t="str">
        <x:v>Fixed also failed; assertion failure cannot be attributed to this bug; Same-round generation metadata missing; use saved tests and execution evidence, no failure inferred</x:v>
      </x:c>
      <x:c r="G1598" s="25" t="str">
        <x:v>true</x:v>
      </x:c>
      <x:c r="H1598" s="25" t="str">
        <x:v>INCONCLUSIVE</x:v>
      </x:c>
      <x:c r="I1598" s="25" t="str">
        <x:v>FAIL</x:v>
      </x:c>
      <x:c r="J1598" s="25" t="str">
        <x:v>FAIL</x:v>
      </x:c>
      <x:c r="K1598" s="25" t="n">
        <x:v>1</x:v>
      </x:c>
      <x:c r="L1598" s="27" t="b">
        <x:v>0</x:v>
      </x:c>
      <x:c r="M1598" s="25"/>
      <x:c r="N1598" s="25" t="str">
        <x:v>Deepseek-flash-v4/Result2/Math_56/result.json</x:v>
      </x:c>
      <x:c r="O1598" s="25" t="str">
        <x:v>Deepseek-flash-v4/Result2/Math_56/result.json</x:v>
      </x:c>
      <x:c r="P1598"/>
      <x:c r="Q1598" s="21" t="str"/>
      <x:c r="R1598" s="21" t="str"/>
      <x:c r="S1598" s="21" t="str"/>
      <x:c r="T1598" s="17" t="str">
        <x:v>false</x:v>
      </x:c>
      <x:c r="U1598" s="17" t="str">
        <x:v>true</x:v>
      </x:c>
      <x:c r="V1598" s="17" t="str">
        <x:v>false</x:v>
      </x:c>
    </x:row>
    <x:row r="1599" ht="80" customHeight="1">
      <x:c r="A1599" s="25" t="str">
        <x:v>Math</x:v>
      </x:c>
      <x:c r="B1599" s="25" t="n">
        <x:v>57</x:v>
      </x:c>
      <x:c r="C1599" s="25" t="str">
        <x:v>Round2</x:v>
      </x:c>
      <x:c r="D1599" s="25" t="str">
        <x:v>NOT_REVEALING</x:v>
      </x:c>
      <x:c r="E1599" s="25" t="str">
        <x:v>N/A</x:v>
      </x:c>
      <x:c r="F1599" s="26" t="str">
        <x:v>Same saved validation suite passed on buggy and fixed</x:v>
      </x:c>
      <x:c r="G1599" s="25" t="str">
        <x:v>true</x:v>
      </x:c>
      <x:c r="H1599" s="25" t="str">
        <x:v>NOT_REVEALING</x:v>
      </x:c>
      <x:c r="I1599" s="25" t="str">
        <x:v>PASS</x:v>
      </x:c>
      <x:c r="J1599" s="25" t="str">
        <x:v>PASS</x:v>
      </x:c>
      <x:c r="K1599" s="25" t="n">
        <x:v>1</x:v>
      </x:c>
      <x:c r="L1599" s="27" t="b">
        <x:v>0</x:v>
      </x:c>
      <x:c r="M1599" s="25" t="str">
        <x:v>Deepseek-flash-v4/state/Round2/status/Math_57.json; Deepseek-flash-v4/state/Round2/shards/Math_57.json</x:v>
      </x:c>
      <x:c r="N1599" s="25" t="str">
        <x:v>Deepseek-flash-v4/Result2/Math_57/result.json</x:v>
      </x:c>
      <x:c r="O1599" s="25" t="str">
        <x:v>Deepseek-flash-v4/Result2/Math_57/result.json</x:v>
      </x:c>
      <x:c r="P1599"/>
      <x:c r="Q1599" s="21" t="str"/>
      <x:c r="R1599" s="21" t="str"/>
      <x:c r="S1599" s="21" t="str"/>
      <x:c r="T1599" s="17" t="str">
        <x:v>false</x:v>
      </x:c>
      <x:c r="U1599" s="17" t="str">
        <x:v>true</x:v>
      </x:c>
      <x:c r="V1599" s="17" t="str">
        <x:v>false</x:v>
      </x:c>
    </x:row>
    <x:row r="1600" ht="80" customHeight="1">
      <x:c r="A1600" s="25" t="str">
        <x:v>Math</x:v>
      </x:c>
      <x:c r="B1600" s="25" t="n">
        <x:v>58</x:v>
      </x:c>
      <x:c r="C1600" s="25" t="str">
        <x:v>Round2</x:v>
      </x:c>
      <x:c r="D1600" s="25" t="str">
        <x:v>NOT_REVEALING</x:v>
      </x:c>
      <x:c r="E1600" s="25" t="str">
        <x:v>N/A</x:v>
      </x:c>
      <x:c r="F1600" s="26" t="str">
        <x:v>Same saved validation suite passed on buggy and fixed</x:v>
      </x:c>
      <x:c r="G1600" s="25" t="str">
        <x:v>true</x:v>
      </x:c>
      <x:c r="H1600" s="25" t="str">
        <x:v>NOT_REVEALING</x:v>
      </x:c>
      <x:c r="I1600" s="25" t="str">
        <x:v>PASS</x:v>
      </x:c>
      <x:c r="J1600" s="25" t="str">
        <x:v>PASS</x:v>
      </x:c>
      <x:c r="K1600" s="25" t="n">
        <x:v>1</x:v>
      </x:c>
      <x:c r="L1600" s="27" t="b">
        <x:v>0</x:v>
      </x:c>
      <x:c r="M1600" s="25" t="str">
        <x:v>Deepseek-flash-v4/state/Round2/status/Math_58.json; Deepseek-flash-v4/state/Round2/shards/Math_58.json</x:v>
      </x:c>
      <x:c r="N1600" s="25" t="str">
        <x:v>Deepseek-flash-v4/Result2/Math_58/result.json</x:v>
      </x:c>
      <x:c r="O1600" s="25" t="str">
        <x:v>Deepseek-flash-v4/Result2/Math_58/result.json</x:v>
      </x:c>
      <x:c r="P1600"/>
      <x:c r="Q1600" s="21" t="str"/>
      <x:c r="R1600" s="21" t="str"/>
      <x:c r="S1600" s="21" t="str"/>
      <x:c r="T1600" s="17" t="str">
        <x:v>false</x:v>
      </x:c>
      <x:c r="U1600" s="17" t="str">
        <x:v>true</x:v>
      </x:c>
      <x:c r="V1600" s="17" t="str">
        <x:v>false</x:v>
      </x:c>
    </x:row>
    <x:row r="1601" ht="80" customHeight="1">
      <x:c r="A1601" s="25" t="str">
        <x:v>Math</x:v>
      </x:c>
      <x:c r="B1601" s="25" t="n">
        <x:v>59</x:v>
      </x:c>
      <x:c r="C1601" s="25" t="str">
        <x:v>Round2</x:v>
      </x:c>
      <x:c r="D1601" s="25" t="str">
        <x:v>INCONCLUSIVE</x:v>
      </x:c>
      <x:c r="E1601" s="25" t="str">
        <x:v>N/A</x:v>
      </x:c>
      <x:c r="F1601" s="26" t="str">
        <x:v>Fixed also failed; assertion failure cannot be attributed to this bug; Same-round generation metadata missing; use saved tests and execution evidence, no failure inferred</x:v>
      </x:c>
      <x:c r="G1601" s="25" t="str">
        <x:v>true</x:v>
      </x:c>
      <x:c r="H1601" s="25" t="str">
        <x:v>INCONCLUSIVE</x:v>
      </x:c>
      <x:c r="I1601" s="25" t="str">
        <x:v>FAIL</x:v>
      </x:c>
      <x:c r="J1601" s="25" t="str">
        <x:v>FAIL</x:v>
      </x:c>
      <x:c r="K1601" s="25" t="n">
        <x:v>1</x:v>
      </x:c>
      <x:c r="L1601" s="27" t="b">
        <x:v>0</x:v>
      </x:c>
      <x:c r="M1601" s="25"/>
      <x:c r="N1601" s="25" t="str">
        <x:v>Deepseek-flash-v4/Result2/Math_59/result.json</x:v>
      </x:c>
      <x:c r="O1601" s="25" t="str">
        <x:v>Deepseek-flash-v4/Result2/Math_59/result.json</x:v>
      </x:c>
      <x:c r="P1601"/>
      <x:c r="Q1601" s="21" t="str"/>
      <x:c r="R1601" s="21" t="str"/>
      <x:c r="S1601" s="21" t="str"/>
      <x:c r="T1601" s="17" t="str">
        <x:v>false</x:v>
      </x:c>
      <x:c r="U1601" s="17" t="str">
        <x:v>true</x:v>
      </x:c>
      <x:c r="V1601" s="17" t="str">
        <x:v>false</x:v>
      </x:c>
    </x:row>
    <x:row r="1602" ht="80" customHeight="1">
      <x:c r="A1602" s="25" t="str">
        <x:v>Math</x:v>
      </x:c>
      <x:c r="B1602" s="25" t="n">
        <x:v>6</x:v>
      </x:c>
      <x:c r="C1602" s="25" t="str">
        <x:v>Round2</x:v>
      </x:c>
      <x:c r="D1602" s="25" t="str">
        <x:v>NOT_AVAILABLE</x:v>
      </x:c>
      <x:c r="E1602" s="25" t="str">
        <x:v>N/A</x:v>
      </x:c>
      <x:c r="F1602" s="26" t="str">
        <x:v>Tests exist but current coverage did not complete</x:v>
      </x:c>
      <x:c r="G1602" s="25" t="str">
        <x:v>true</x:v>
      </x:c>
      <x:c r="H1602" s="25" t="str">
        <x:v>NOT_AVAILABLE</x:v>
      </x:c>
      <x:c r="I1602" s="25" t="str">
        <x:v>NOT_RUN</x:v>
      </x:c>
      <x:c r="J1602" s="25" t="str">
        <x:v>NOT_RUN</x:v>
      </x:c>
      <x:c r="K1602" s="25" t="n">
        <x:v>7</x:v>
      </x:c>
      <x:c r="L1602" s="27" t="b">
        <x:v>0</x:v>
      </x:c>
      <x:c r="M1602" s="25" t="str">
        <x:v>Deepseek-flash-v4/state/Round2/status/Math_6.json; Deepseek-flash-v4/state/Round2/shards/Math_6.json</x:v>
      </x:c>
      <x:c r="N1602" s="25" t="str">
        <x:v>Deepseek-flash-v4/Result2/Math_6/result.json</x:v>
      </x:c>
      <x:c r="O1602" s="25" t="str">
        <x:v>Deepseek-flash-v4/Result2/Math_6/result.json</x:v>
      </x:c>
      <x:c r="P1602" t="str">
        <x:v>BOTH_NOT_RUN</x:v>
      </x:c>
      <x:c r="Q1602" s="21" t="str"/>
      <x:c r="R1602" s="21" t="str"/>
      <x:c r="S1602" s="21" t="str"/>
      <x:c r="T1602" s="17" t="str">
        <x:v>false</x:v>
      </x:c>
      <x:c r="U1602" s="17" t="str">
        <x:v>true</x:v>
      </x:c>
      <x:c r="V1602" s="17" t="str">
        <x:v>false</x:v>
      </x:c>
    </x:row>
    <x:row r="1603" ht="80" customHeight="1">
      <x:c r="A1603" s="25" t="str">
        <x:v>Math</x:v>
      </x:c>
      <x:c r="B1603" s="25" t="n">
        <x:v>60</x:v>
      </x:c>
      <x:c r="C1603" s="25" t="str">
        <x:v>Round2</x:v>
      </x:c>
      <x:c r="D1603" s="25" t="str">
        <x:v>NOT_REVEALING</x:v>
      </x:c>
      <x:c r="E1603" s="25" t="str">
        <x:v>N/A</x:v>
      </x:c>
      <x:c r="F1603" s="26" t="str">
        <x:v>Same saved validation suite passed on buggy and fixed; Same-round generation metadata missing; use saved tests and execution evidence, no failure inferred</x:v>
      </x:c>
      <x:c r="G1603" s="25" t="str">
        <x:v>true</x:v>
      </x:c>
      <x:c r="H1603" s="25" t="str">
        <x:v>NOT_REVEALING</x:v>
      </x:c>
      <x:c r="I1603" s="25" t="str">
        <x:v>PASS</x:v>
      </x:c>
      <x:c r="J1603" s="25" t="str">
        <x:v>PASS</x:v>
      </x:c>
      <x:c r="K1603" s="25" t="n">
        <x:v>1</x:v>
      </x:c>
      <x:c r="L1603" s="27" t="b">
        <x:v>0</x:v>
      </x:c>
      <x:c r="M1603" s="25"/>
      <x:c r="N1603" s="25" t="str">
        <x:v>Deepseek-flash-v4/Result2/Math_60/result.json</x:v>
      </x:c>
      <x:c r="O1603" s="25" t="str">
        <x:v>Deepseek-flash-v4/Result2/Math_60/result.json</x:v>
      </x:c>
      <x:c r="P1603"/>
      <x:c r="Q1603" s="21" t="str"/>
      <x:c r="R1603" s="21" t="str"/>
      <x:c r="S1603" s="21" t="str"/>
      <x:c r="T1603" s="17" t="str">
        <x:v>false</x:v>
      </x:c>
      <x:c r="U1603" s="17" t="str">
        <x:v>true</x:v>
      </x:c>
      <x:c r="V1603" s="17" t="str">
        <x:v>false</x:v>
      </x:c>
    </x:row>
    <x:row r="1604" ht="80" customHeight="1">
      <x:c r="A1604" s="25" t="str">
        <x:v>Math</x:v>
      </x:c>
      <x:c r="B1604" s="25" t="n">
        <x:v>61</x:v>
      </x:c>
      <x:c r="C1604" s="25" t="str">
        <x:v>Round2</x:v>
      </x:c>
      <x:c r="D1604" s="25" t="str">
        <x:v>NOT_REVEALING</x:v>
      </x:c>
      <x:c r="E1604" s="25" t="str">
        <x:v>N/A</x:v>
      </x:c>
      <x:c r="F1604" s="26" t="str">
        <x:v>Same saved validation suite passed on buggy and fixed; Same-round generation metadata missing; use saved tests and execution evidence, no failure inferred</x:v>
      </x:c>
      <x:c r="G1604" s="25" t="str">
        <x:v>true</x:v>
      </x:c>
      <x:c r="H1604" s="25" t="str">
        <x:v>NOT_REVEALING</x:v>
      </x:c>
      <x:c r="I1604" s="25" t="str">
        <x:v>PASS</x:v>
      </x:c>
      <x:c r="J1604" s="25" t="str">
        <x:v>PASS</x:v>
      </x:c>
      <x:c r="K1604" s="25" t="n">
        <x:v>1</x:v>
      </x:c>
      <x:c r="L1604" s="27" t="b">
        <x:v>0</x:v>
      </x:c>
      <x:c r="M1604" s="25"/>
      <x:c r="N1604" s="25" t="str">
        <x:v>Deepseek-flash-v4/Result2/Math_61/result.json</x:v>
      </x:c>
      <x:c r="O1604" s="25" t="str">
        <x:v>Deepseek-flash-v4/Result2/Math_61/result.json</x:v>
      </x:c>
      <x:c r="P1604"/>
      <x:c r="Q1604" s="21" t="str"/>
      <x:c r="R1604" s="21" t="str"/>
      <x:c r="S1604" s="21" t="str"/>
      <x:c r="T1604" s="17" t="str">
        <x:v>false</x:v>
      </x:c>
      <x:c r="U1604" s="17" t="str">
        <x:v>true</x:v>
      </x:c>
      <x:c r="V1604" s="17" t="str">
        <x:v>false</x:v>
      </x:c>
    </x:row>
    <x:row r="1605" ht="80" customHeight="1">
      <x:c r="A1605" s="25" t="str">
        <x:v>Math</x:v>
      </x:c>
      <x:c r="B1605" s="25" t="n">
        <x:v>62</x:v>
      </x:c>
      <x:c r="C1605" s="25" t="str">
        <x:v>Round2</x:v>
      </x:c>
      <x:c r="D1605" s="25" t="str">
        <x:v>NOT_REVEALING</x:v>
      </x:c>
      <x:c r="E1605" s="25" t="str">
        <x:v>N/A</x:v>
      </x:c>
      <x:c r="F1605" s="26" t="str">
        <x:v>Same saved validation suite passed on buggy and fixed</x:v>
      </x:c>
      <x:c r="G1605" s="25" t="str">
        <x:v>true</x:v>
      </x:c>
      <x:c r="H1605" s="25" t="str">
        <x:v>NOT_REVEALING</x:v>
      </x:c>
      <x:c r="I1605" s="25" t="str">
        <x:v>PASS</x:v>
      </x:c>
      <x:c r="J1605" s="25" t="str">
        <x:v>PASS</x:v>
      </x:c>
      <x:c r="K1605" s="25" t="n">
        <x:v>1</x:v>
      </x:c>
      <x:c r="L1605" s="27" t="b">
        <x:v>0</x:v>
      </x:c>
      <x:c r="M1605" s="25" t="str">
        <x:v>Deepseek-flash-v4/state/Round2/status/Math_62.json; Deepseek-flash-v4/state/Round2/shards/Math_62.json</x:v>
      </x:c>
      <x:c r="N1605" s="25" t="str">
        <x:v>Deepseek-flash-v4/Result2/Math_62/result.json</x:v>
      </x:c>
      <x:c r="O1605" s="25" t="str">
        <x:v>Deepseek-flash-v4/Result2/Math_62/result.json</x:v>
      </x:c>
      <x:c r="P1605"/>
      <x:c r="Q1605" s="21" t="str"/>
      <x:c r="R1605" s="21" t="str"/>
      <x:c r="S1605" s="21" t="str"/>
      <x:c r="T1605" s="17" t="str">
        <x:v>false</x:v>
      </x:c>
      <x:c r="U1605" s="17" t="str">
        <x:v>true</x:v>
      </x:c>
      <x:c r="V1605" s="17" t="str">
        <x:v>false</x:v>
      </x:c>
    </x:row>
    <x:row r="1606" ht="80" customHeight="1">
      <x:c r="A1606" s="25" t="str">
        <x:v>Math</x:v>
      </x:c>
      <x:c r="B1606" s="25" t="n">
        <x:v>63</x:v>
      </x:c>
      <x:c r="C1606" s="25" t="str">
        <x:v>Round2</x:v>
      </x:c>
      <x:c r="D1606" s="25" t="str">
        <x:v>INCONCLUSIVE</x:v>
      </x:c>
      <x:c r="E1606" s="25" t="str">
        <x:v>N/A</x:v>
      </x:c>
      <x:c r="F1606" s="26" t="str">
        <x:v>Fixed also failed; assertion failure cannot be attributed to this bug; Same-round generation metadata missing; use saved tests and execution evidence, no failure inferred</x:v>
      </x:c>
      <x:c r="G1606" s="25" t="str">
        <x:v>true</x:v>
      </x:c>
      <x:c r="H1606" s="25" t="str">
        <x:v>INCONCLUSIVE</x:v>
      </x:c>
      <x:c r="I1606" s="25" t="str">
        <x:v>FAIL</x:v>
      </x:c>
      <x:c r="J1606" s="25" t="str">
        <x:v>FAIL</x:v>
      </x:c>
      <x:c r="K1606" s="25" t="n">
        <x:v>1</x:v>
      </x:c>
      <x:c r="L1606" s="27" t="b">
        <x:v>0</x:v>
      </x:c>
      <x:c r="M1606" s="25"/>
      <x:c r="N1606" s="25" t="str">
        <x:v>Deepseek-flash-v4/Result2/Math_63/result.json</x:v>
      </x:c>
      <x:c r="O1606" s="25" t="str">
        <x:v>Deepseek-flash-v4/Result2/Math_63/result.json</x:v>
      </x:c>
      <x:c r="P1606"/>
      <x:c r="Q1606" s="21" t="str"/>
      <x:c r="R1606" s="21" t="str"/>
      <x:c r="S1606" s="21" t="str"/>
      <x:c r="T1606" s="17" t="str">
        <x:v>false</x:v>
      </x:c>
      <x:c r="U1606" s="17" t="str">
        <x:v>true</x:v>
      </x:c>
      <x:c r="V1606" s="17" t="str">
        <x:v>false</x:v>
      </x:c>
    </x:row>
    <x:row r="1607" ht="80" customHeight="1">
      <x:c r="A1607" s="25" t="str">
        <x:v>Math</x:v>
      </x:c>
      <x:c r="B1607" s="25" t="n">
        <x:v>64</x:v>
      </x:c>
      <x:c r="C1607" s="25" t="str">
        <x:v>Round2</x:v>
      </x:c>
      <x:c r="D1607" s="25" t="str">
        <x:v>INCONCLUSIVE</x:v>
      </x:c>
      <x:c r="E1607" s="25" t="str">
        <x:v>N/A</x:v>
      </x:c>
      <x:c r="F1607" s="26" t="str">
        <x:v>Fixed also failed; assertion failure cannot be attributed to this bug</x:v>
      </x:c>
      <x:c r="G1607" s="25" t="str">
        <x:v>true</x:v>
      </x:c>
      <x:c r="H1607" s="25" t="str">
        <x:v>INCONCLUSIVE</x:v>
      </x:c>
      <x:c r="I1607" s="25" t="str">
        <x:v>FAIL</x:v>
      </x:c>
      <x:c r="J1607" s="25" t="str">
        <x:v>FAIL</x:v>
      </x:c>
      <x:c r="K1607" s="25" t="n">
        <x:v>1</x:v>
      </x:c>
      <x:c r="L1607" s="27" t="b">
        <x:v>0</x:v>
      </x:c>
      <x:c r="M1607" s="25" t="str">
        <x:v>Deepseek-flash-v4/state/Round2/status/Math_64.json; Deepseek-flash-v4/state/Round2/shards/Math_64.json</x:v>
      </x:c>
      <x:c r="N1607" s="25" t="str">
        <x:v>Deepseek-flash-v4/Result2/Math_64/result.json</x:v>
      </x:c>
      <x:c r="O1607" s="25" t="str">
        <x:v>Deepseek-flash-v4/Result2/Math_64/result.json</x:v>
      </x:c>
      <x:c r="P1607"/>
      <x:c r="Q1607" s="21" t="str"/>
      <x:c r="R1607" s="21" t="str"/>
      <x:c r="S1607" s="21" t="str"/>
      <x:c r="T1607" s="17" t="str">
        <x:v>false</x:v>
      </x:c>
      <x:c r="U1607" s="17" t="str">
        <x:v>true</x:v>
      </x:c>
      <x:c r="V1607" s="17" t="str">
        <x:v>false</x:v>
      </x:c>
    </x:row>
    <x:row r="1608" ht="80" customHeight="1">
      <x:c r="A1608" s="25" t="str">
        <x:v>Math</x:v>
      </x:c>
      <x:c r="B1608" s="25" t="n">
        <x:v>65</x:v>
      </x:c>
      <x:c r="C1608" s="25" t="str">
        <x:v>Round2</x:v>
      </x:c>
      <x:c r="D1608" s="25" t="str">
        <x:v>NOT_AVAILABLE</x:v>
      </x:c>
      <x:c r="E1608" s="25" t="str">
        <x:v>N/A</x:v>
      </x:c>
      <x:c r="F1608" s="26" t="str">
        <x:v>Tests exist but current coverage did not complete</x:v>
      </x:c>
      <x:c r="G1608" s="25" t="str">
        <x:v>true</x:v>
      </x:c>
      <x:c r="H1608" s="25" t="str">
        <x:v>NOT_AVAILABLE</x:v>
      </x:c>
      <x:c r="I1608" s="25" t="str">
        <x:v>NOT_RUN</x:v>
      </x:c>
      <x:c r="J1608" s="25" t="str">
        <x:v>NOT_RUN</x:v>
      </x:c>
      <x:c r="K1608" s="25" t="n">
        <x:v>1</x:v>
      </x:c>
      <x:c r="L1608" s="27" t="b">
        <x:v>0</x:v>
      </x:c>
      <x:c r="M1608" s="25" t="str">
        <x:v>Deepseek-flash-v4/state/Round2/status/Math_65.json; Deepseek-flash-v4/state/Round2/shards/Math_65.json</x:v>
      </x:c>
      <x:c r="N1608" s="25" t="str">
        <x:v>Deepseek-flash-v4/Result2/Math_65/result.json</x:v>
      </x:c>
      <x:c r="O1608" s="25" t="str">
        <x:v>Deepseek-flash-v4/Result2/Math_65/result.json</x:v>
      </x:c>
      <x:c r="P1608" t="str">
        <x:v>BOTH_NOT_RUN</x:v>
      </x:c>
      <x:c r="Q1608" s="21" t="str"/>
      <x:c r="R1608" s="21" t="str"/>
      <x:c r="S1608" s="21" t="str"/>
      <x:c r="T1608" s="17" t="str">
        <x:v>false</x:v>
      </x:c>
      <x:c r="U1608" s="17" t="str">
        <x:v>true</x:v>
      </x:c>
      <x:c r="V1608" s="17" t="str">
        <x:v>false</x:v>
      </x:c>
    </x:row>
    <x:row r="1609" ht="80" customHeight="1">
      <x:c r="A1609" s="25" t="str">
        <x:v>Math</x:v>
      </x:c>
      <x:c r="B1609" s="25" t="n">
        <x:v>66</x:v>
      </x:c>
      <x:c r="C1609" s="25" t="str">
        <x:v>Round2</x:v>
      </x:c>
      <x:c r="D1609" s="25" t="str">
        <x:v>INCONCLUSIVE</x:v>
      </x:c>
      <x:c r="E1609" s="25" t="str">
        <x:v>N/A</x:v>
      </x:c>
      <x:c r="F1609" s="26" t="str">
        <x:v>Fixed also failed; assertion failure cannot be attributed to this bug; Same-round generation metadata missing; use saved tests and execution evidence, no failure inferred</x:v>
      </x:c>
      <x:c r="G1609" s="25" t="str">
        <x:v>true</x:v>
      </x:c>
      <x:c r="H1609" s="25" t="str">
        <x:v>INCONCLUSIVE</x:v>
      </x:c>
      <x:c r="I1609" s="25" t="str">
        <x:v>PASS</x:v>
      </x:c>
      <x:c r="J1609" s="25" t="str">
        <x:v>FAIL</x:v>
      </x:c>
      <x:c r="K1609" s="25" t="n">
        <x:v>1</x:v>
      </x:c>
      <x:c r="L1609" s="27" t="b">
        <x:v>0</x:v>
      </x:c>
      <x:c r="M1609" s="25"/>
      <x:c r="N1609" s="25" t="str">
        <x:v>Deepseek-flash-v4/Result2/Math_66/result.json</x:v>
      </x:c>
      <x:c r="O1609" s="25" t="str">
        <x:v>Deepseek-flash-v4/Result2/Math_66/result.json</x:v>
      </x:c>
      <x:c r="P1609"/>
      <x:c r="Q1609" s="21" t="str"/>
      <x:c r="R1609" s="21" t="str"/>
      <x:c r="S1609" s="21" t="str"/>
      <x:c r="T1609" s="17" t="str">
        <x:v>false</x:v>
      </x:c>
      <x:c r="U1609" s="17" t="str">
        <x:v>true</x:v>
      </x:c>
      <x:c r="V1609" s="17" t="str">
        <x:v>false</x:v>
      </x:c>
    </x:row>
    <x:row r="1610" ht="80" customHeight="1">
      <x:c r="A1610" s="25" t="str">
        <x:v>Math</x:v>
      </x:c>
      <x:c r="B1610" s="25" t="n">
        <x:v>67</x:v>
      </x:c>
      <x:c r="C1610" s="25" t="str">
        <x:v>Round2</x:v>
      </x:c>
      <x:c r="D1610" s="25" t="str">
        <x:v>INCONCLUSIVE</x:v>
      </x:c>
      <x:c r="E1610" s="25" t="str">
        <x:v>N/A</x:v>
      </x:c>
      <x:c r="F1610" s="26" t="str">
        <x:v>Fixed also failed; assertion failure cannot be attributed to this bug; Same-round generation metadata missing; use saved tests and execution evidence, no failure inferred</x:v>
      </x:c>
      <x:c r="G1610" s="25" t="str">
        <x:v>true</x:v>
      </x:c>
      <x:c r="H1610" s="25" t="str">
        <x:v>INCONCLUSIVE</x:v>
      </x:c>
      <x:c r="I1610" s="25" t="str">
        <x:v>FAIL</x:v>
      </x:c>
      <x:c r="J1610" s="25" t="str">
        <x:v>FAIL</x:v>
      </x:c>
      <x:c r="K1610" s="25" t="n">
        <x:v>1</x:v>
      </x:c>
      <x:c r="L1610" s="27" t="b">
        <x:v>0</x:v>
      </x:c>
      <x:c r="M1610" s="25"/>
      <x:c r="N1610" s="25" t="str">
        <x:v>Deepseek-flash-v4/Result2/Math_67/result.json</x:v>
      </x:c>
      <x:c r="O1610" s="25" t="str">
        <x:v>Deepseek-flash-v4/Result2/Math_67/result.json</x:v>
      </x:c>
      <x:c r="P1610"/>
      <x:c r="Q1610" s="21" t="str"/>
      <x:c r="R1610" s="21" t="str"/>
      <x:c r="S1610" s="21" t="str"/>
      <x:c r="T1610" s="17" t="str">
        <x:v>false</x:v>
      </x:c>
      <x:c r="U1610" s="17" t="str">
        <x:v>true</x:v>
      </x:c>
      <x:c r="V1610" s="17" t="str">
        <x:v>false</x:v>
      </x:c>
    </x:row>
    <x:row r="1611" ht="80" customHeight="1">
      <x:c r="A1611" s="25" t="str">
        <x:v>Math</x:v>
      </x:c>
      <x:c r="B1611" s="25" t="n">
        <x:v>68</x:v>
      </x:c>
      <x:c r="C1611" s="25" t="str">
        <x:v>Round2</x:v>
      </x:c>
      <x:c r="D1611" s="25" t="str">
        <x:v>NOT_REVEALING</x:v>
      </x:c>
      <x:c r="E1611" s="25" t="str">
        <x:v>N/A</x:v>
      </x:c>
      <x:c r="F1611" s="26" t="str">
        <x:v>Same saved validation suite passed on buggy and fixed</x:v>
      </x:c>
      <x:c r="G1611" s="25" t="str">
        <x:v>true</x:v>
      </x:c>
      <x:c r="H1611" s="25" t="str">
        <x:v>NOT_REVEALING</x:v>
      </x:c>
      <x:c r="I1611" s="25" t="str">
        <x:v>PASS</x:v>
      </x:c>
      <x:c r="J1611" s="25" t="str">
        <x:v>PASS</x:v>
      </x:c>
      <x:c r="K1611" s="25" t="n">
        <x:v>1</x:v>
      </x:c>
      <x:c r="L1611" s="27" t="b">
        <x:v>0</x:v>
      </x:c>
      <x:c r="M1611" s="25" t="str">
        <x:v>Deepseek-flash-v4/state/Round2/status/Math_68.json; Deepseek-flash-v4/state/Round2/shards/Math_68.json</x:v>
      </x:c>
      <x:c r="N1611" s="25" t="str">
        <x:v>Deepseek-flash-v4/Result2/Math_68/result.json</x:v>
      </x:c>
      <x:c r="O1611" s="25" t="str">
        <x:v>Deepseek-flash-v4/Result2/Math_68/result.json</x:v>
      </x:c>
      <x:c r="P1611"/>
      <x:c r="Q1611" s="21" t="str"/>
      <x:c r="R1611" s="21" t="str"/>
      <x:c r="S1611" s="21" t="str"/>
      <x:c r="T1611" s="17" t="str">
        <x:v>false</x:v>
      </x:c>
      <x:c r="U1611" s="17" t="str">
        <x:v>true</x:v>
      </x:c>
      <x:c r="V1611" s="17" t="str">
        <x:v>false</x:v>
      </x:c>
    </x:row>
    <x:row r="1612" ht="80" customHeight="1">
      <x:c r="A1612" s="25" t="str">
        <x:v>Math</x:v>
      </x:c>
      <x:c r="B1612" s="25" t="n">
        <x:v>69</x:v>
      </x:c>
      <x:c r="C1612" s="25" t="str">
        <x:v>Round2</x:v>
      </x:c>
      <x:c r="D1612" s="25" t="str">
        <x:v>NOT_REVEALING</x:v>
      </x:c>
      <x:c r="E1612" s="25" t="str">
        <x:v>N/A</x:v>
      </x:c>
      <x:c r="F1612" s="26" t="str">
        <x:v>Same saved validation suite passed on buggy and fixed; Same-round generation metadata missing; use saved tests and execution evidence, no failure inferred</x:v>
      </x:c>
      <x:c r="G1612" s="25" t="str">
        <x:v>true</x:v>
      </x:c>
      <x:c r="H1612" s="25" t="str">
        <x:v>NOT_REVEALING</x:v>
      </x:c>
      <x:c r="I1612" s="25" t="str">
        <x:v>PASS</x:v>
      </x:c>
      <x:c r="J1612" s="25" t="str">
        <x:v>PASS</x:v>
      </x:c>
      <x:c r="K1612" s="25" t="n">
        <x:v>1</x:v>
      </x:c>
      <x:c r="L1612" s="27" t="b">
        <x:v>0</x:v>
      </x:c>
      <x:c r="M1612" s="25"/>
      <x:c r="N1612" s="25" t="str">
        <x:v>Deepseek-flash-v4/Result2/Math_69/result.json</x:v>
      </x:c>
      <x:c r="O1612" s="25" t="str">
        <x:v>Deepseek-flash-v4/Result2/Math_69/result.json</x:v>
      </x:c>
      <x:c r="P1612"/>
      <x:c r="Q1612" s="21" t="str"/>
      <x:c r="R1612" s="21" t="str"/>
      <x:c r="S1612" s="21" t="str"/>
      <x:c r="T1612" s="17" t="str">
        <x:v>false</x:v>
      </x:c>
      <x:c r="U1612" s="17" t="str">
        <x:v>true</x:v>
      </x:c>
      <x:c r="V1612" s="17" t="str">
        <x:v>false</x:v>
      </x:c>
    </x:row>
    <x:row r="1613" ht="80" customHeight="1">
      <x:c r="A1613" s="25" t="str">
        <x:v>Math</x:v>
      </x:c>
      <x:c r="B1613" s="25" t="n">
        <x:v>7</x:v>
      </x:c>
      <x:c r="C1613" s="25" t="str">
        <x:v>Round2</x:v>
      </x:c>
      <x:c r="D1613" s="25" t="str">
        <x:v>NOT_REVEALING</x:v>
      </x:c>
      <x:c r="E1613" s="25" t="str">
        <x:v>N/A</x:v>
      </x:c>
      <x:c r="F1613" s="26" t="str">
        <x:v>Same saved validation suite passed on buggy and fixed</x:v>
      </x:c>
      <x:c r="G1613" s="25" t="str">
        <x:v>true</x:v>
      </x:c>
      <x:c r="H1613" s="25" t="str">
        <x:v>NOT_REVEALING</x:v>
      </x:c>
      <x:c r="I1613" s="25" t="str">
        <x:v>PASS</x:v>
      </x:c>
      <x:c r="J1613" s="25" t="str">
        <x:v>PASS</x:v>
      </x:c>
      <x:c r="K1613" s="25" t="n">
        <x:v>1</x:v>
      </x:c>
      <x:c r="L1613" s="27" t="b">
        <x:v>0</x:v>
      </x:c>
      <x:c r="M1613" s="25" t="str">
        <x:v>Deepseek-flash-v4/state/Round2/status/Math_7.json; Deepseek-flash-v4/state/Round2/shards/Math_7.json</x:v>
      </x:c>
      <x:c r="N1613" s="25" t="str">
        <x:v>Deepseek-flash-v4/Result2/Math_7/result.json</x:v>
      </x:c>
      <x:c r="O1613" s="25" t="str">
        <x:v>Deepseek-flash-v4/Result2/Math_7/result.json</x:v>
      </x:c>
      <x:c r="P1613"/>
      <x:c r="Q1613" s="21" t="str"/>
      <x:c r="R1613" s="21" t="str"/>
      <x:c r="S1613" s="21" t="str"/>
      <x:c r="T1613" s="17" t="str">
        <x:v>false</x:v>
      </x:c>
      <x:c r="U1613" s="17" t="str">
        <x:v>true</x:v>
      </x:c>
      <x:c r="V1613" s="17" t="str">
        <x:v>false</x:v>
      </x:c>
    </x:row>
    <x:row r="1614" ht="80" customHeight="1">
      <x:c r="A1614" s="25" t="str">
        <x:v>Math</x:v>
      </x:c>
      <x:c r="B1614" s="25" t="n">
        <x:v>70</x:v>
      </x:c>
      <x:c r="C1614" s="25" t="str">
        <x:v>Round2</x:v>
      </x:c>
      <x:c r="D1614" s="25" t="str">
        <x:v>INCONCLUSIVE</x:v>
      </x:c>
      <x:c r="E1614" s="25" t="str">
        <x:v>N/A</x:v>
      </x:c>
      <x:c r="F1614" s="26" t="str">
        <x:v>Fixed also failed; assertion failure cannot be attributed to this bug; Same-round generation metadata missing; use saved tests and execution evidence, no failure inferred</x:v>
      </x:c>
      <x:c r="G1614" s="25" t="str">
        <x:v>true</x:v>
      </x:c>
      <x:c r="H1614" s="25" t="str">
        <x:v>INCONCLUSIVE</x:v>
      </x:c>
      <x:c r="I1614" s="25" t="str">
        <x:v>FAIL</x:v>
      </x:c>
      <x:c r="J1614" s="25" t="str">
        <x:v>FAIL</x:v>
      </x:c>
      <x:c r="K1614" s="25" t="n">
        <x:v>1</x:v>
      </x:c>
      <x:c r="L1614" s="27" t="b">
        <x:v>0</x:v>
      </x:c>
      <x:c r="M1614" s="25"/>
      <x:c r="N1614" s="25" t="str">
        <x:v>Deepseek-flash-v4/Result2/Math_70/result.json</x:v>
      </x:c>
      <x:c r="O1614" s="25" t="str">
        <x:v>Deepseek-flash-v4/Result2/Math_70/result.json</x:v>
      </x:c>
      <x:c r="P1614"/>
      <x:c r="Q1614" s="21" t="str"/>
      <x:c r="R1614" s="21" t="str"/>
      <x:c r="S1614" s="21" t="str"/>
      <x:c r="T1614" s="17" t="str">
        <x:v>false</x:v>
      </x:c>
      <x:c r="U1614" s="17" t="str">
        <x:v>true</x:v>
      </x:c>
      <x:c r="V1614" s="17" t="str">
        <x:v>false</x:v>
      </x:c>
    </x:row>
    <x:row r="1615" ht="80" customHeight="1">
      <x:c r="A1615" s="25" t="str">
        <x:v>Math</x:v>
      </x:c>
      <x:c r="B1615" s="25" t="n">
        <x:v>71</x:v>
      </x:c>
      <x:c r="C1615" s="25" t="str">
        <x:v>Round2</x:v>
      </x:c>
      <x:c r="D1615" s="25" t="str">
        <x:v>INCONCLUSIVE</x:v>
      </x:c>
      <x:c r="E1615" s="25" t="str">
        <x:v>N/A</x:v>
      </x:c>
      <x:c r="F1615" s="26" t="str">
        <x:v>Fixed also failed; assertion failure cannot be attributed to this bug</x:v>
      </x:c>
      <x:c r="G1615" s="25" t="str">
        <x:v>true</x:v>
      </x:c>
      <x:c r="H1615" s="25" t="str">
        <x:v>INCONCLUSIVE</x:v>
      </x:c>
      <x:c r="I1615" s="25" t="str">
        <x:v>PASS</x:v>
      </x:c>
      <x:c r="J1615" s="25" t="str">
        <x:v>FAIL</x:v>
      </x:c>
      <x:c r="K1615" s="25" t="n">
        <x:v>2</x:v>
      </x:c>
      <x:c r="L1615" s="27" t="b">
        <x:v>0</x:v>
      </x:c>
      <x:c r="M1615" s="25" t="str">
        <x:v>Deepseek-flash-v4/state/Round2/status/Math_71.json; Deepseek-flash-v4/state/Round2/shards/Math_71.json</x:v>
      </x:c>
      <x:c r="N1615" s="25" t="str">
        <x:v>Deepseek-flash-v4/Result2/Math_71/result.json</x:v>
      </x:c>
      <x:c r="O1615" s="25" t="str">
        <x:v>Deepseek-flash-v4/Result2/Math_71/result.json</x:v>
      </x:c>
      <x:c r="P1615"/>
      <x:c r="Q1615" s="21" t="str"/>
      <x:c r="R1615" s="21" t="str"/>
      <x:c r="S1615" s="21" t="str"/>
      <x:c r="T1615" s="17" t="str">
        <x:v>false</x:v>
      </x:c>
      <x:c r="U1615" s="17" t="str">
        <x:v>true</x:v>
      </x:c>
      <x:c r="V1615" s="17" t="str">
        <x:v>false</x:v>
      </x:c>
    </x:row>
    <x:row r="1616" ht="80" customHeight="1">
      <x:c r="A1616" s="25" t="str">
        <x:v>Math</x:v>
      </x:c>
      <x:c r="B1616" s="25" t="n">
        <x:v>72</x:v>
      </x:c>
      <x:c r="C1616" s="25" t="str">
        <x:v>Round2</x:v>
      </x:c>
      <x:c r="D1616" s="25" t="str">
        <x:v>INCONCLUSIVE</x:v>
      </x:c>
      <x:c r="E1616" s="25" t="str">
        <x:v>N/A</x:v>
      </x:c>
      <x:c r="F1616" s="26" t="str">
        <x:v>Fixed also failed; assertion failure cannot be attributed to this bug; Same-round generation metadata missing; use saved tests and execution evidence, no failure inferred</x:v>
      </x:c>
      <x:c r="G1616" s="25" t="str">
        <x:v>true</x:v>
      </x:c>
      <x:c r="H1616" s="25" t="str">
        <x:v>INCONCLUSIVE</x:v>
      </x:c>
      <x:c r="I1616" s="25" t="str">
        <x:v>FAIL</x:v>
      </x:c>
      <x:c r="J1616" s="25" t="str">
        <x:v>FAIL</x:v>
      </x:c>
      <x:c r="K1616" s="25" t="n">
        <x:v>1</x:v>
      </x:c>
      <x:c r="L1616" s="27" t="b">
        <x:v>0</x:v>
      </x:c>
      <x:c r="M1616" s="25"/>
      <x:c r="N1616" s="25" t="str">
        <x:v>Deepseek-flash-v4/Result2/Math_72/result.json</x:v>
      </x:c>
      <x:c r="O1616" s="25" t="str">
        <x:v>Deepseek-flash-v4/Result2/Math_72/result.json</x:v>
      </x:c>
      <x:c r="P1616"/>
      <x:c r="Q1616" s="21" t="str"/>
      <x:c r="R1616" s="21" t="str"/>
      <x:c r="S1616" s="21" t="str"/>
      <x:c r="T1616" s="17" t="str">
        <x:v>false</x:v>
      </x:c>
      <x:c r="U1616" s="17" t="str">
        <x:v>true</x:v>
      </x:c>
      <x:c r="V1616" s="17" t="str">
        <x:v>false</x:v>
      </x:c>
    </x:row>
    <x:row r="1617" ht="80" customHeight="1">
      <x:c r="A1617" s="25" t="str">
        <x:v>Math</x:v>
      </x:c>
      <x:c r="B1617" s="25" t="n">
        <x:v>73</x:v>
      </x:c>
      <x:c r="C1617" s="25" t="str">
        <x:v>Round2</x:v>
      </x:c>
      <x:c r="D1617" s="25" t="str">
        <x:v>NOT_REVEALING</x:v>
      </x:c>
      <x:c r="E1617" s="25" t="str">
        <x:v>N/A</x:v>
      </x:c>
      <x:c r="F1617" s="26" t="str">
        <x:v>Same saved validation suite passed on buggy and fixed; Same-round generation metadata missing; use saved tests and execution evidence, no failure inferred</x:v>
      </x:c>
      <x:c r="G1617" s="25" t="str">
        <x:v>true</x:v>
      </x:c>
      <x:c r="H1617" s="25" t="str">
        <x:v>NOT_REVEALING</x:v>
      </x:c>
      <x:c r="I1617" s="25" t="str">
        <x:v>PASS</x:v>
      </x:c>
      <x:c r="J1617" s="25" t="str">
        <x:v>PASS</x:v>
      </x:c>
      <x:c r="K1617" s="25" t="n">
        <x:v>1</x:v>
      </x:c>
      <x:c r="L1617" s="27" t="b">
        <x:v>0</x:v>
      </x:c>
      <x:c r="M1617" s="25"/>
      <x:c r="N1617" s="25" t="str">
        <x:v>Deepseek-flash-v4/Result2/Math_73/result.json</x:v>
      </x:c>
      <x:c r="O1617" s="25" t="str">
        <x:v>Deepseek-flash-v4/Result2/Math_73/result.json</x:v>
      </x:c>
      <x:c r="P1617"/>
      <x:c r="Q1617" s="21" t="str"/>
      <x:c r="R1617" s="21" t="str"/>
      <x:c r="S1617" s="21" t="str"/>
      <x:c r="T1617" s="17" t="str">
        <x:v>false</x:v>
      </x:c>
      <x:c r="U1617" s="17" t="str">
        <x:v>true</x:v>
      </x:c>
      <x:c r="V1617" s="17" t="str">
        <x:v>false</x:v>
      </x:c>
    </x:row>
    <x:row r="1618" ht="80" customHeight="1">
      <x:c r="A1618" s="25" t="str">
        <x:v>Math</x:v>
      </x:c>
      <x:c r="B1618" s="25" t="n">
        <x:v>74</x:v>
      </x:c>
      <x:c r="C1618" s="25" t="str">
        <x:v>Round2</x:v>
      </x:c>
      <x:c r="D1618" s="25" t="str">
        <x:v>NOT_REVEALING</x:v>
      </x:c>
      <x:c r="E1618" s="25" t="str">
        <x:v>N/A</x:v>
      </x:c>
      <x:c r="F1618" s="26" t="str">
        <x:v>Same saved validation suite passed on buggy and fixed</x:v>
      </x:c>
      <x:c r="G1618" s="25" t="str">
        <x:v>true</x:v>
      </x:c>
      <x:c r="H1618" s="25" t="str">
        <x:v>NOT_REVEALING</x:v>
      </x:c>
      <x:c r="I1618" s="25" t="str">
        <x:v>PASS</x:v>
      </x:c>
      <x:c r="J1618" s="25" t="str">
        <x:v>PASS</x:v>
      </x:c>
      <x:c r="K1618" s="25" t="n">
        <x:v>1</x:v>
      </x:c>
      <x:c r="L1618" s="27" t="b">
        <x:v>0</x:v>
      </x:c>
      <x:c r="M1618" s="25" t="str">
        <x:v>Deepseek-flash-v4/state/Round2/status/Math_74.json; Deepseek-flash-v4/state/Round2/shards/Math_74.json</x:v>
      </x:c>
      <x:c r="N1618" s="25" t="str">
        <x:v>Deepseek-flash-v4/Result2/Math_74/result.json</x:v>
      </x:c>
      <x:c r="O1618" s="25" t="str">
        <x:v>Deepseek-flash-v4/Result2/Math_74/result.json</x:v>
      </x:c>
      <x:c r="P1618"/>
      <x:c r="Q1618" s="21" t="str"/>
      <x:c r="R1618" s="21" t="str"/>
      <x:c r="S1618" s="21" t="str"/>
      <x:c r="T1618" s="17" t="str">
        <x:v>false</x:v>
      </x:c>
      <x:c r="U1618" s="17" t="str">
        <x:v>true</x:v>
      </x:c>
      <x:c r="V1618" s="17" t="str">
        <x:v>false</x:v>
      </x:c>
    </x:row>
    <x:row r="1619" ht="80" customHeight="1">
      <x:c r="A1619" s="25" t="str">
        <x:v>Math</x:v>
      </x:c>
      <x:c r="B1619" s="25" t="n">
        <x:v>75</x:v>
      </x:c>
      <x:c r="C1619" s="25" t="str">
        <x:v>Round2</x:v>
      </x:c>
      <x:c r="D1619" s="25" t="str">
        <x:v>INCONCLUSIVE</x:v>
      </x:c>
      <x:c r="E1619" s="25" t="str">
        <x:v>N/A</x:v>
      </x:c>
      <x:c r="F1619" s="26" t="str">
        <x:v>Fixed also failed; assertion failure cannot be attributed to this bug; Same-round generation metadata missing; use saved tests and execution evidence, no failure inferred</x:v>
      </x:c>
      <x:c r="G1619" s="25" t="str">
        <x:v>true</x:v>
      </x:c>
      <x:c r="H1619" s="25" t="str">
        <x:v>INCONCLUSIVE</x:v>
      </x:c>
      <x:c r="I1619" s="25" t="str">
        <x:v>FAIL</x:v>
      </x:c>
      <x:c r="J1619" s="25" t="str">
        <x:v>FAIL</x:v>
      </x:c>
      <x:c r="K1619" s="25" t="n">
        <x:v>1</x:v>
      </x:c>
      <x:c r="L1619" s="27" t="b">
        <x:v>0</x:v>
      </x:c>
      <x:c r="M1619" s="25"/>
      <x:c r="N1619" s="25" t="str">
        <x:v>Deepseek-flash-v4/Result2/Math_75/result.json</x:v>
      </x:c>
      <x:c r="O1619" s="25" t="str">
        <x:v>Deepseek-flash-v4/Result2/Math_75/result.json</x:v>
      </x:c>
      <x:c r="P1619"/>
      <x:c r="Q1619" s="21" t="str"/>
      <x:c r="R1619" s="21" t="str"/>
      <x:c r="S1619" s="21" t="str"/>
      <x:c r="T1619" s="17" t="str">
        <x:v>false</x:v>
      </x:c>
      <x:c r="U1619" s="17" t="str">
        <x:v>true</x:v>
      </x:c>
      <x:c r="V1619" s="17" t="str">
        <x:v>false</x:v>
      </x:c>
    </x:row>
    <x:row r="1620" ht="80" customHeight="1">
      <x:c r="A1620" s="25" t="str">
        <x:v>Math</x:v>
      </x:c>
      <x:c r="B1620" s="25" t="n">
        <x:v>76</x:v>
      </x:c>
      <x:c r="C1620" s="25" t="str">
        <x:v>Round2</x:v>
      </x:c>
      <x:c r="D1620" s="25" t="str">
        <x:v>INCONCLUSIVE</x:v>
      </x:c>
      <x:c r="E1620" s="25" t="str">
        <x:v>N/A</x:v>
      </x:c>
      <x:c r="F1620" s="26" t="str">
        <x:v>Fixed also failed; assertion failure cannot be attributed to this bug; Same-round generation metadata missing; use saved tests and execution evidence, no failure inferred</x:v>
      </x:c>
      <x:c r="G1620" s="25" t="str">
        <x:v>true</x:v>
      </x:c>
      <x:c r="H1620" s="25" t="str">
        <x:v>INCONCLUSIVE</x:v>
      </x:c>
      <x:c r="I1620" s="25" t="str">
        <x:v>FAIL</x:v>
      </x:c>
      <x:c r="J1620" s="25" t="str">
        <x:v>FAIL</x:v>
      </x:c>
      <x:c r="K1620" s="25" t="n">
        <x:v>1</x:v>
      </x:c>
      <x:c r="L1620" s="27" t="b">
        <x:v>0</x:v>
      </x:c>
      <x:c r="M1620" s="25"/>
      <x:c r="N1620" s="25" t="str">
        <x:v>Deepseek-flash-v4/Result2/Math_76/result.json</x:v>
      </x:c>
      <x:c r="O1620" s="25" t="str">
        <x:v>Deepseek-flash-v4/Result2/Math_76/result.json</x:v>
      </x:c>
      <x:c r="P1620"/>
      <x:c r="Q1620" s="21" t="str"/>
      <x:c r="R1620" s="21" t="str"/>
      <x:c r="S1620" s="21" t="str"/>
      <x:c r="T1620" s="17" t="str">
        <x:v>false</x:v>
      </x:c>
      <x:c r="U1620" s="17" t="str">
        <x:v>true</x:v>
      </x:c>
      <x:c r="V1620" s="17" t="str">
        <x:v>false</x:v>
      </x:c>
    </x:row>
    <x:row r="1621" ht="80" customHeight="1">
      <x:c r="A1621" s="25" t="str">
        <x:v>Math</x:v>
      </x:c>
      <x:c r="B1621" s="25" t="n">
        <x:v>77</x:v>
      </x:c>
      <x:c r="C1621" s="25" t="str">
        <x:v>Round2</x:v>
      </x:c>
      <x:c r="D1621" s="25" t="str">
        <x:v>REVEALING</x:v>
      </x:c>
      <x:c r="E1621" s="25" t="str">
        <x:v>N/A</x:v>
      </x:c>
      <x:c r="F1621" s="26" t="str">
        <x:v>Same saved validation suite failed on buggy and passed on fixed</x:v>
      </x:c>
      <x:c r="G1621" s="25" t="str">
        <x:v>true</x:v>
      </x:c>
      <x:c r="H1621" s="25" t="str">
        <x:v>REVEALING</x:v>
      </x:c>
      <x:c r="I1621" s="25" t="str">
        <x:v>FAIL</x:v>
      </x:c>
      <x:c r="J1621" s="25" t="str">
        <x:v>PASS</x:v>
      </x:c>
      <x:c r="K1621" s="25" t="n">
        <x:v>2</x:v>
      </x:c>
      <x:c r="L1621" s="27" t="b">
        <x:v>0</x:v>
      </x:c>
      <x:c r="M1621" s="25" t="str">
        <x:v>Deepseek-flash-v4/state/Round2/status/Math_77.json; Deepseek-flash-v4/state/Round2/shards/Math_77.json</x:v>
      </x:c>
      <x:c r="N1621" s="25" t="str">
        <x:v>Deepseek-flash-v4/Result2/Math_77/result.json</x:v>
      </x:c>
      <x:c r="O1621" s="25" t="str">
        <x:v>Deepseek-flash-v4/Result2/Math_77/result.json</x:v>
      </x:c>
      <x:c r="P1621"/>
      <x:c r="Q1621" s="21" t="str"/>
      <x:c r="R1621" s="21" t="str"/>
      <x:c r="S1621" s="21" t="str"/>
      <x:c r="T1621" s="17" t="str">
        <x:v>false</x:v>
      </x:c>
      <x:c r="U1621" s="17" t="str">
        <x:v>true</x:v>
      </x:c>
      <x:c r="V1621" s="17" t="str">
        <x:v>false</x:v>
      </x:c>
    </x:row>
    <x:row r="1622" ht="80" customHeight="1">
      <x:c r="A1622" s="25" t="str">
        <x:v>Math</x:v>
      </x:c>
      <x:c r="B1622" s="25" t="n">
        <x:v>78</x:v>
      </x:c>
      <x:c r="C1622" s="25" t="str">
        <x:v>Round2</x:v>
      </x:c>
      <x:c r="D1622" s="25" t="str">
        <x:v>NOT_AVAILABLE</x:v>
      </x:c>
      <x:c r="E1622" s="25" t="str">
        <x:v>N/A</x:v>
      </x:c>
      <x:c r="F1622" s="26" t="str">
        <x:v>Tests exist but current coverage did not complete</x:v>
      </x:c>
      <x:c r="G1622" s="25" t="str">
        <x:v>true</x:v>
      </x:c>
      <x:c r="H1622" s="25" t="str">
        <x:v>NOT_AVAILABLE</x:v>
      </x:c>
      <x:c r="I1622" s="25" t="str">
        <x:v>NOT_RUN</x:v>
      </x:c>
      <x:c r="J1622" s="25" t="str">
        <x:v>NOT_RUN</x:v>
      </x:c>
      <x:c r="K1622" s="25" t="n">
        <x:v>1</x:v>
      </x:c>
      <x:c r="L1622" s="27" t="b">
        <x:v>0</x:v>
      </x:c>
      <x:c r="M1622" s="25" t="str">
        <x:v>Deepseek-flash-v4/state/Round2/status/Math_78.json; Deepseek-flash-v4/state/Round2/shards/Math_78.json</x:v>
      </x:c>
      <x:c r="N1622" s="25" t="str">
        <x:v>Deepseek-flash-v4/Result2/Math_78/result.json</x:v>
      </x:c>
      <x:c r="O1622" s="25" t="str">
        <x:v>Deepseek-flash-v4/Result2/Math_78/result.json</x:v>
      </x:c>
      <x:c r="P1622" t="str">
        <x:v>BOTH_NOT_RUN</x:v>
      </x:c>
      <x:c r="Q1622" s="21" t="str"/>
      <x:c r="R1622" s="21" t="str"/>
      <x:c r="S1622" s="21" t="str"/>
      <x:c r="T1622" s="17" t="str">
        <x:v>false</x:v>
      </x:c>
      <x:c r="U1622" s="17" t="str">
        <x:v>true</x:v>
      </x:c>
      <x:c r="V1622" s="17" t="str">
        <x:v>false</x:v>
      </x:c>
    </x:row>
    <x:row r="1623" ht="80" customHeight="1">
      <x:c r="A1623" s="25" t="str">
        <x:v>Math</x:v>
      </x:c>
      <x:c r="B1623" s="25" t="n">
        <x:v>79</x:v>
      </x:c>
      <x:c r="C1623" s="25" t="str">
        <x:v>Round2</x:v>
      </x:c>
      <x:c r="D1623" s="25" t="str">
        <x:v>INCONCLUSIVE</x:v>
      </x:c>
      <x:c r="E1623" s="25" t="str">
        <x:v>N/A</x:v>
      </x:c>
      <x:c r="F1623" s="26" t="str">
        <x:v>Fixed also failed; assertion failure cannot be attributed to this bug; Same-round generation metadata missing; use saved tests and execution evidence, no failure inferred</x:v>
      </x:c>
      <x:c r="G1623" s="25" t="str">
        <x:v>true</x:v>
      </x:c>
      <x:c r="H1623" s="25" t="str">
        <x:v>INCONCLUSIVE</x:v>
      </x:c>
      <x:c r="I1623" s="25" t="str">
        <x:v>FAIL</x:v>
      </x:c>
      <x:c r="J1623" s="25" t="str">
        <x:v>FAIL</x:v>
      </x:c>
      <x:c r="K1623" s="25" t="n">
        <x:v>1</x:v>
      </x:c>
      <x:c r="L1623" s="27" t="b">
        <x:v>0</x:v>
      </x:c>
      <x:c r="M1623" s="25"/>
      <x:c r="N1623" s="25" t="str">
        <x:v>Deepseek-flash-v4/Result2/Math_79/result.json</x:v>
      </x:c>
      <x:c r="O1623" s="25" t="str">
        <x:v>Deepseek-flash-v4/Result2/Math_79/result.json</x:v>
      </x:c>
      <x:c r="P1623"/>
      <x:c r="Q1623" s="21" t="str"/>
      <x:c r="R1623" s="21" t="str"/>
      <x:c r="S1623" s="21" t="str"/>
      <x:c r="T1623" s="17" t="str">
        <x:v>false</x:v>
      </x:c>
      <x:c r="U1623" s="17" t="str">
        <x:v>true</x:v>
      </x:c>
      <x:c r="V1623" s="17" t="str">
        <x:v>false</x:v>
      </x:c>
    </x:row>
    <x:row r="1624" ht="80" customHeight="1">
      <x:c r="A1624" s="25" t="str">
        <x:v>Math</x:v>
      </x:c>
      <x:c r="B1624" s="25" t="n">
        <x:v>8</x:v>
      </x:c>
      <x:c r="C1624" s="25" t="str">
        <x:v>Round2</x:v>
      </x:c>
      <x:c r="D1624" s="25" t="str">
        <x:v>NOT_AVAILABLE</x:v>
      </x:c>
      <x:c r="E1624" s="25" t="str">
        <x:v>N/A</x:v>
      </x:c>
      <x:c r="F1624" s="26" t="str">
        <x:v>fixed test_compile=FAIL</x:v>
      </x:c>
      <x:c r="G1624" s="25" t="str">
        <x:v>true</x:v>
      </x:c>
      <x:c r="H1624" s="25" t="str">
        <x:v>NOT_AVAILABLE</x:v>
      </x:c>
      <x:c r="I1624" s="25" t="str">
        <x:v>PASS</x:v>
      </x:c>
      <x:c r="J1624" s="25" t="str">
        <x:v>NOT_RUN</x:v>
      </x:c>
      <x:c r="K1624" s="25" t="n">
        <x:v>1</x:v>
      </x:c>
      <x:c r="L1624" s="27" t="b">
        <x:v>0</x:v>
      </x:c>
      <x:c r="M1624" s="25" t="str">
        <x:v>Deepseek-flash-v4/state/Round2/status/Math_8.json; Deepseek-flash-v4/state/Round2/shards/Math_8.json</x:v>
      </x:c>
      <x:c r="N1624" s="25" t="str">
        <x:v>Deepseek-flash-v4/Result2/Math_8/result.json</x:v>
      </x:c>
      <x:c r="O1624" s="25" t="str">
        <x:v>Deepseek-flash-v4/Result2/Math_8/result.json</x:v>
      </x:c>
      <x:c r="P1624" t="str">
        <x:v>FIXED_NOT_RUN</x:v>
      </x:c>
      <x:c r="Q1624" s="21" t="str"/>
      <x:c r="R1624" s="21" t="str"/>
      <x:c r="S1624" s="21" t="str"/>
      <x:c r="T1624" s="17" t="str">
        <x:v>false</x:v>
      </x:c>
      <x:c r="U1624" s="17" t="str">
        <x:v>true</x:v>
      </x:c>
      <x:c r="V1624" s="17" t="str">
        <x:v>false</x:v>
      </x:c>
    </x:row>
    <x:row r="1625" ht="80" customHeight="1">
      <x:c r="A1625" s="25" t="str">
        <x:v>Math</x:v>
      </x:c>
      <x:c r="B1625" s="25" t="n">
        <x:v>80</x:v>
      </x:c>
      <x:c r="C1625" s="25" t="str">
        <x:v>Round2</x:v>
      </x:c>
      <x:c r="D1625" s="25" t="str">
        <x:v>INCONCLUSIVE</x:v>
      </x:c>
      <x:c r="E1625" s="25" t="str">
        <x:v>N/A</x:v>
      </x:c>
      <x:c r="F1625" s="26" t="str">
        <x:v>Fixed also failed; assertion failure cannot be attributed to this bug; Same-round generation metadata missing; use saved tests and execution evidence, no failure inferred</x:v>
      </x:c>
      <x:c r="G1625" s="25" t="str">
        <x:v>true</x:v>
      </x:c>
      <x:c r="H1625" s="25" t="str">
        <x:v>INCONCLUSIVE</x:v>
      </x:c>
      <x:c r="I1625" s="25" t="str">
        <x:v>FAIL</x:v>
      </x:c>
      <x:c r="J1625" s="25" t="str">
        <x:v>FAIL</x:v>
      </x:c>
      <x:c r="K1625" s="25" t="n">
        <x:v>1</x:v>
      </x:c>
      <x:c r="L1625" s="27" t="b">
        <x:v>0</x:v>
      </x:c>
      <x:c r="M1625" s="25"/>
      <x:c r="N1625" s="25" t="str">
        <x:v>Deepseek-flash-v4/Result2/Math_80/result.json</x:v>
      </x:c>
      <x:c r="O1625" s="25" t="str">
        <x:v>Deepseek-flash-v4/Result2/Math_80/result.json</x:v>
      </x:c>
      <x:c r="P1625"/>
      <x:c r="Q1625" s="21" t="str"/>
      <x:c r="R1625" s="21" t="str"/>
      <x:c r="S1625" s="21" t="str"/>
      <x:c r="T1625" s="17" t="str">
        <x:v>false</x:v>
      </x:c>
      <x:c r="U1625" s="17" t="str">
        <x:v>true</x:v>
      </x:c>
      <x:c r="V1625" s="17" t="str">
        <x:v>false</x:v>
      </x:c>
    </x:row>
    <x:row r="1626" ht="80" customHeight="1">
      <x:c r="A1626" s="25" t="str">
        <x:v>Math</x:v>
      </x:c>
      <x:c r="B1626" s="25" t="n">
        <x:v>81</x:v>
      </x:c>
      <x:c r="C1626" s="25" t="str">
        <x:v>Round2</x:v>
      </x:c>
      <x:c r="D1626" s="25" t="str">
        <x:v>NOT_REVEALING</x:v>
      </x:c>
      <x:c r="E1626" s="25" t="str">
        <x:v>N/A</x:v>
      </x:c>
      <x:c r="F1626" s="26" t="str">
        <x:v>Same saved validation suite passed on buggy and fixed; Same-round generation metadata missing; use saved tests and execution evidence, no failure inferred</x:v>
      </x:c>
      <x:c r="G1626" s="25" t="str">
        <x:v>true</x:v>
      </x:c>
      <x:c r="H1626" s="25" t="str">
        <x:v>NOT_REVEALING</x:v>
      </x:c>
      <x:c r="I1626" s="25" t="str">
        <x:v>PASS</x:v>
      </x:c>
      <x:c r="J1626" s="25" t="str">
        <x:v>PASS</x:v>
      </x:c>
      <x:c r="K1626" s="25" t="n">
        <x:v>1</x:v>
      </x:c>
      <x:c r="L1626" s="27" t="b">
        <x:v>0</x:v>
      </x:c>
      <x:c r="M1626" s="25"/>
      <x:c r="N1626" s="25" t="str">
        <x:v>Deepseek-flash-v4/Result2/Math_81/result.json</x:v>
      </x:c>
      <x:c r="O1626" s="25" t="str">
        <x:v>Deepseek-flash-v4/Result2/Math_81/result.json</x:v>
      </x:c>
      <x:c r="P1626"/>
      <x:c r="Q1626" s="21" t="str"/>
      <x:c r="R1626" s="21" t="str"/>
      <x:c r="S1626" s="21" t="str"/>
      <x:c r="T1626" s="17" t="str">
        <x:v>false</x:v>
      </x:c>
      <x:c r="U1626" s="17" t="str">
        <x:v>true</x:v>
      </x:c>
      <x:c r="V1626" s="17" t="str">
        <x:v>false</x:v>
      </x:c>
    </x:row>
    <x:row r="1627" ht="80" customHeight="1">
      <x:c r="A1627" s="25" t="str">
        <x:v>Math</x:v>
      </x:c>
      <x:c r="B1627" s="25" t="n">
        <x:v>82</x:v>
      </x:c>
      <x:c r="C1627" s="25" t="str">
        <x:v>Round2</x:v>
      </x:c>
      <x:c r="D1627" s="25" t="str">
        <x:v>NOT_REVEALING</x:v>
      </x:c>
      <x:c r="E1627" s="25" t="str">
        <x:v>N/A</x:v>
      </x:c>
      <x:c r="F1627" s="26" t="str">
        <x:v>Same saved validation suite passed on buggy and fixed</x:v>
      </x:c>
      <x:c r="G1627" s="25" t="str">
        <x:v>true</x:v>
      </x:c>
      <x:c r="H1627" s="25" t="str">
        <x:v>NOT_REVEALING</x:v>
      </x:c>
      <x:c r="I1627" s="25" t="str">
        <x:v>PASS</x:v>
      </x:c>
      <x:c r="J1627" s="25" t="str">
        <x:v>PASS</x:v>
      </x:c>
      <x:c r="K1627" s="25" t="n">
        <x:v>1</x:v>
      </x:c>
      <x:c r="L1627" s="27" t="b">
        <x:v>0</x:v>
      </x:c>
      <x:c r="M1627" s="25" t="str">
        <x:v>Deepseek-flash-v4/state/Round2/status/Math_82.json; Deepseek-flash-v4/state/Round2/shards/Math_82.json</x:v>
      </x:c>
      <x:c r="N1627" s="25" t="str">
        <x:v>Deepseek-flash-v4/Result2/Math_82/result.json</x:v>
      </x:c>
      <x:c r="O1627" s="25" t="str">
        <x:v>Deepseek-flash-v4/Result2/Math_82/result.json</x:v>
      </x:c>
      <x:c r="P1627"/>
      <x:c r="Q1627" s="21" t="str"/>
      <x:c r="R1627" s="21" t="str"/>
      <x:c r="S1627" s="21" t="str"/>
      <x:c r="T1627" s="17" t="str">
        <x:v>false</x:v>
      </x:c>
      <x:c r="U1627" s="17" t="str">
        <x:v>true</x:v>
      </x:c>
      <x:c r="V1627" s="17" t="str">
        <x:v>false</x:v>
      </x:c>
    </x:row>
    <x:row r="1628" ht="80" customHeight="1">
      <x:c r="A1628" s="25" t="str">
        <x:v>Math</x:v>
      </x:c>
      <x:c r="B1628" s="25" t="n">
        <x:v>83</x:v>
      </x:c>
      <x:c r="C1628" s="25" t="str">
        <x:v>Round2</x:v>
      </x:c>
      <x:c r="D1628" s="25" t="str">
        <x:v>INCONCLUSIVE</x:v>
      </x:c>
      <x:c r="E1628" s="25" t="str">
        <x:v>N/A</x:v>
      </x:c>
      <x:c r="F1628" s="26" t="str">
        <x:v>Fixed also failed; assertion failure cannot be attributed to this bug</x:v>
      </x:c>
      <x:c r="G1628" s="25" t="str">
        <x:v>true</x:v>
      </x:c>
      <x:c r="H1628" s="25" t="str">
        <x:v>INCONCLUSIVE</x:v>
      </x:c>
      <x:c r="I1628" s="25" t="str">
        <x:v>PASS</x:v>
      </x:c>
      <x:c r="J1628" s="25" t="str">
        <x:v>FAIL</x:v>
      </x:c>
      <x:c r="K1628" s="25" t="n">
        <x:v>1</x:v>
      </x:c>
      <x:c r="L1628" s="27" t="b">
        <x:v>0</x:v>
      </x:c>
      <x:c r="M1628" s="25" t="str">
        <x:v>Deepseek-flash-v4/state/Round2/status/Math_83.json; Deepseek-flash-v4/state/Round2/shards/Math_83.json</x:v>
      </x:c>
      <x:c r="N1628" s="25" t="str">
        <x:v>Deepseek-flash-v4/Result2/Math_83/result.json</x:v>
      </x:c>
      <x:c r="O1628" s="25" t="str">
        <x:v>Deepseek-flash-v4/Result2/Math_83/result.json</x:v>
      </x:c>
      <x:c r="P1628"/>
      <x:c r="Q1628" s="21" t="str"/>
      <x:c r="R1628" s="21" t="str"/>
      <x:c r="S1628" s="21" t="str"/>
      <x:c r="T1628" s="17" t="str">
        <x:v>false</x:v>
      </x:c>
      <x:c r="U1628" s="17" t="str">
        <x:v>true</x:v>
      </x:c>
      <x:c r="V1628" s="17" t="str">
        <x:v>false</x:v>
      </x:c>
    </x:row>
    <x:row r="1629" ht="80" customHeight="1">
      <x:c r="A1629" s="25" t="str">
        <x:v>Math</x:v>
      </x:c>
      <x:c r="B1629" s="25" t="n">
        <x:v>84</x:v>
      </x:c>
      <x:c r="C1629" s="25" t="str">
        <x:v>Round2</x:v>
      </x:c>
      <x:c r="D1629" s="25" t="str">
        <x:v>NOT_AVAILABLE</x:v>
      </x:c>
      <x:c r="E1629" s="25" t="str">
        <x:v>N/A</x:v>
      </x:c>
      <x:c r="F1629" s="26" t="str">
        <x:v>Tests exist but current coverage did not complete</x:v>
      </x:c>
      <x:c r="G1629" s="25" t="str">
        <x:v>true</x:v>
      </x:c>
      <x:c r="H1629" s="25" t="str">
        <x:v>NOT_AVAILABLE</x:v>
      </x:c>
      <x:c r="I1629" s="25" t="str">
        <x:v>NOT_RUN</x:v>
      </x:c>
      <x:c r="J1629" s="25" t="str">
        <x:v>NOT_RUN</x:v>
      </x:c>
      <x:c r="K1629" s="25" t="n">
        <x:v>1</x:v>
      </x:c>
      <x:c r="L1629" s="27" t="b">
        <x:v>0</x:v>
      </x:c>
      <x:c r="M1629" s="25" t="str">
        <x:v>Deepseek-flash-v4/state/Round2/status/Math_84.json; Deepseek-flash-v4/state/Round2/shards/Math_84.json</x:v>
      </x:c>
      <x:c r="N1629" s="25" t="str">
        <x:v>Deepseek-flash-v4/Result2/Math_84/result.json</x:v>
      </x:c>
      <x:c r="O1629" s="25" t="str">
        <x:v>Deepseek-flash-v4/Result2/Math_84/result.json</x:v>
      </x:c>
      <x:c r="P1629" t="str">
        <x:v>BOTH_NOT_RUN</x:v>
      </x:c>
      <x:c r="Q1629" s="21" t="str"/>
      <x:c r="R1629" s="21" t="str"/>
      <x:c r="S1629" s="21" t="str"/>
      <x:c r="T1629" s="17" t="str">
        <x:v>false</x:v>
      </x:c>
      <x:c r="U1629" s="17" t="str">
        <x:v>true</x:v>
      </x:c>
      <x:c r="V1629" s="17" t="str">
        <x:v>false</x:v>
      </x:c>
    </x:row>
    <x:row r="1630" ht="80" customHeight="1">
      <x:c r="A1630" s="25" t="str">
        <x:v>Math</x:v>
      </x:c>
      <x:c r="B1630" s="25" t="n">
        <x:v>85</x:v>
      </x:c>
      <x:c r="C1630" s="25" t="str">
        <x:v>Round2</x:v>
      </x:c>
      <x:c r="D1630" s="25" t="str">
        <x:v>REVEALING</x:v>
      </x:c>
      <x:c r="E1630" s="25" t="str">
        <x:v>N/A</x:v>
      </x:c>
      <x:c r="F1630" s="26" t="str">
        <x:v>Same saved validation suite failed on buggy and passed on fixed; Same-round generation metadata missing; use saved tests and execution evidence, no failure inferred</x:v>
      </x:c>
      <x:c r="G1630" s="25" t="str">
        <x:v>true</x:v>
      </x:c>
      <x:c r="H1630" s="25" t="str">
        <x:v>REVEALING</x:v>
      </x:c>
      <x:c r="I1630" s="25" t="str">
        <x:v>FAIL</x:v>
      </x:c>
      <x:c r="J1630" s="25" t="str">
        <x:v>PASS</x:v>
      </x:c>
      <x:c r="K1630" s="25" t="n">
        <x:v>1</x:v>
      </x:c>
      <x:c r="L1630" s="27" t="b">
        <x:v>0</x:v>
      </x:c>
      <x:c r="M1630" s="25"/>
      <x:c r="N1630" s="25" t="str">
        <x:v>Deepseek-flash-v4/Result2/Math_85/result.json</x:v>
      </x:c>
      <x:c r="O1630" s="25" t="str">
        <x:v>Deepseek-flash-v4/Result2/Math_85/result.json</x:v>
      </x:c>
      <x:c r="P1630"/>
      <x:c r="Q1630" s="21" t="str"/>
      <x:c r="R1630" s="21" t="str"/>
      <x:c r="S1630" s="21" t="str"/>
      <x:c r="T1630" s="17" t="str">
        <x:v>false</x:v>
      </x:c>
      <x:c r="U1630" s="17" t="str">
        <x:v>true</x:v>
      </x:c>
      <x:c r="V1630" s="17" t="str">
        <x:v>false</x:v>
      </x:c>
    </x:row>
    <x:row r="1631" ht="80" customHeight="1">
      <x:c r="A1631" s="25" t="str">
        <x:v>Math</x:v>
      </x:c>
      <x:c r="B1631" s="25" t="n">
        <x:v>86</x:v>
      </x:c>
      <x:c r="C1631" s="25" t="str">
        <x:v>Round2</x:v>
      </x:c>
      <x:c r="D1631" s="25" t="str">
        <x:v>REVEALING</x:v>
      </x:c>
      <x:c r="E1631" s="25" t="str">
        <x:v>N/A</x:v>
      </x:c>
      <x:c r="F1631" s="26" t="str">
        <x:v>Same saved validation suite failed on buggy and passed on fixed</x:v>
      </x:c>
      <x:c r="G1631" s="25" t="str">
        <x:v>true</x:v>
      </x:c>
      <x:c r="H1631" s="25" t="str">
        <x:v>REVEALING</x:v>
      </x:c>
      <x:c r="I1631" s="25" t="str">
        <x:v>FAIL</x:v>
      </x:c>
      <x:c r="J1631" s="25" t="str">
        <x:v>PASS</x:v>
      </x:c>
      <x:c r="K1631" s="25" t="n">
        <x:v>1</x:v>
      </x:c>
      <x:c r="L1631" s="27" t="b">
        <x:v>0</x:v>
      </x:c>
      <x:c r="M1631" s="25" t="str">
        <x:v>Deepseek-flash-v4/state/Round2/status/Math_86.json; Deepseek-flash-v4/state/Round2/shards/Math_86.json</x:v>
      </x:c>
      <x:c r="N1631" s="25" t="str">
        <x:v>Deepseek-flash-v4/Result2/Math_86/result.json</x:v>
      </x:c>
      <x:c r="O1631" s="25" t="str">
        <x:v>Deepseek-flash-v4/Result2/Math_86/result.json</x:v>
      </x:c>
      <x:c r="P1631"/>
      <x:c r="Q1631" s="21" t="str"/>
      <x:c r="R1631" s="21" t="str"/>
      <x:c r="S1631" s="21" t="str"/>
      <x:c r="T1631" s="17" t="str">
        <x:v>false</x:v>
      </x:c>
      <x:c r="U1631" s="17" t="str">
        <x:v>true</x:v>
      </x:c>
      <x:c r="V1631" s="17" t="str">
        <x:v>false</x:v>
      </x:c>
    </x:row>
    <x:row r="1632" ht="80" customHeight="1">
      <x:c r="A1632" s="25" t="str">
        <x:v>Math</x:v>
      </x:c>
      <x:c r="B1632" s="25" t="n">
        <x:v>87</x:v>
      </x:c>
      <x:c r="C1632" s="25" t="str">
        <x:v>Round2</x:v>
      </x:c>
      <x:c r="D1632" s="25" t="str">
        <x:v>NOT_REVEALING</x:v>
      </x:c>
      <x:c r="E1632" s="25" t="str">
        <x:v>N/A</x:v>
      </x:c>
      <x:c r="F1632" s="26" t="str">
        <x:v>Same saved validation suite passed on buggy and fixed; Same-round generation metadata missing; use saved tests and execution evidence, no failure inferred</x:v>
      </x:c>
      <x:c r="G1632" s="25" t="str">
        <x:v>true</x:v>
      </x:c>
      <x:c r="H1632" s="25" t="str">
        <x:v>NOT_REVEALING</x:v>
      </x:c>
      <x:c r="I1632" s="25" t="str">
        <x:v>PASS</x:v>
      </x:c>
      <x:c r="J1632" s="25" t="str">
        <x:v>PASS</x:v>
      </x:c>
      <x:c r="K1632" s="25" t="n">
        <x:v>1</x:v>
      </x:c>
      <x:c r="L1632" s="27" t="b">
        <x:v>0</x:v>
      </x:c>
      <x:c r="M1632" s="25"/>
      <x:c r="N1632" s="25" t="str">
        <x:v>Deepseek-flash-v4/Result2/Math_87/result.json</x:v>
      </x:c>
      <x:c r="O1632" s="25" t="str">
        <x:v>Deepseek-flash-v4/Result2/Math_87/result.json</x:v>
      </x:c>
      <x:c r="P1632"/>
      <x:c r="Q1632" s="21" t="str"/>
      <x:c r="R1632" s="21" t="str"/>
      <x:c r="S1632" s="21" t="str"/>
      <x:c r="T1632" s="17" t="str">
        <x:v>false</x:v>
      </x:c>
      <x:c r="U1632" s="17" t="str">
        <x:v>true</x:v>
      </x:c>
      <x:c r="V1632" s="17" t="str">
        <x:v>false</x:v>
      </x:c>
    </x:row>
    <x:row r="1633" ht="80" customHeight="1">
      <x:c r="A1633" s="25" t="str">
        <x:v>Math</x:v>
      </x:c>
      <x:c r="B1633" s="25" t="n">
        <x:v>88</x:v>
      </x:c>
      <x:c r="C1633" s="25" t="str">
        <x:v>Round2</x:v>
      </x:c>
      <x:c r="D1633" s="25" t="str">
        <x:v>INCONCLUSIVE</x:v>
      </x:c>
      <x:c r="E1633" s="25" t="str">
        <x:v>N/A</x:v>
      </x:c>
      <x:c r="F1633" s="26" t="str">
        <x:v>Fixed also failed; assertion failure cannot be attributed to this bug</x:v>
      </x:c>
      <x:c r="G1633" s="25" t="str">
        <x:v>true</x:v>
      </x:c>
      <x:c r="H1633" s="25" t="str">
        <x:v>INCONCLUSIVE</x:v>
      </x:c>
      <x:c r="I1633" s="25" t="str">
        <x:v>FAIL</x:v>
      </x:c>
      <x:c r="J1633" s="25" t="str">
        <x:v>FAIL</x:v>
      </x:c>
      <x:c r="K1633" s="25" t="n">
        <x:v>1</x:v>
      </x:c>
      <x:c r="L1633" s="27" t="b">
        <x:v>0</x:v>
      </x:c>
      <x:c r="M1633" s="25" t="str">
        <x:v>Deepseek-flash-v4/state/Round2/status/Math_88.json; Deepseek-flash-v4/state/Round2/shards/Math_88.json</x:v>
      </x:c>
      <x:c r="N1633" s="25" t="str">
        <x:v>Deepseek-flash-v4/Result2/Math_88/result.json</x:v>
      </x:c>
      <x:c r="O1633" s="25" t="str">
        <x:v>Deepseek-flash-v4/Result2/Math_88/result.json</x:v>
      </x:c>
      <x:c r="P1633"/>
      <x:c r="Q1633" s="21" t="str"/>
      <x:c r="R1633" s="21" t="str"/>
      <x:c r="S1633" s="21" t="str"/>
      <x:c r="T1633" s="17" t="str">
        <x:v>false</x:v>
      </x:c>
      <x:c r="U1633" s="17" t="str">
        <x:v>true</x:v>
      </x:c>
      <x:c r="V1633" s="17" t="str">
        <x:v>false</x:v>
      </x:c>
    </x:row>
    <x:row r="1634" ht="80" customHeight="1">
      <x:c r="A1634" s="25" t="str">
        <x:v>Math</x:v>
      </x:c>
      <x:c r="B1634" s="25" t="n">
        <x:v>89</x:v>
      </x:c>
      <x:c r="C1634" s="25" t="str">
        <x:v>Round2</x:v>
      </x:c>
      <x:c r="D1634" s="25" t="str">
        <x:v>NOT_REVEALING</x:v>
      </x:c>
      <x:c r="E1634" s="25" t="str">
        <x:v>N/A</x:v>
      </x:c>
      <x:c r="F1634" s="26" t="str">
        <x:v>Same saved validation suite passed on buggy and fixed; Same-round generation metadata missing; use saved tests and execution evidence, no failure inferred</x:v>
      </x:c>
      <x:c r="G1634" s="25" t="str">
        <x:v>true</x:v>
      </x:c>
      <x:c r="H1634" s="25" t="str">
        <x:v>NOT_REVEALING</x:v>
      </x:c>
      <x:c r="I1634" s="25" t="str">
        <x:v>PASS</x:v>
      </x:c>
      <x:c r="J1634" s="25" t="str">
        <x:v>PASS</x:v>
      </x:c>
      <x:c r="K1634" s="25" t="n">
        <x:v>1</x:v>
      </x:c>
      <x:c r="L1634" s="27" t="b">
        <x:v>0</x:v>
      </x:c>
      <x:c r="M1634" s="25"/>
      <x:c r="N1634" s="25" t="str">
        <x:v>Deepseek-flash-v4/Result2/Math_89/result.json</x:v>
      </x:c>
      <x:c r="O1634" s="25" t="str">
        <x:v>Deepseek-flash-v4/Result2/Math_89/result.json</x:v>
      </x:c>
      <x:c r="P1634"/>
      <x:c r="Q1634" s="21" t="str"/>
      <x:c r="R1634" s="21" t="str"/>
      <x:c r="S1634" s="21" t="str"/>
      <x:c r="T1634" s="17" t="str">
        <x:v>false</x:v>
      </x:c>
      <x:c r="U1634" s="17" t="str">
        <x:v>true</x:v>
      </x:c>
      <x:c r="V1634" s="17" t="str">
        <x:v>false</x:v>
      </x:c>
    </x:row>
    <x:row r="1635" ht="80" customHeight="1">
      <x:c r="A1635" s="25" t="str">
        <x:v>Math</x:v>
      </x:c>
      <x:c r="B1635" s="25" t="n">
        <x:v>9</x:v>
      </x:c>
      <x:c r="C1635" s="25" t="str">
        <x:v>Round2</x:v>
      </x:c>
      <x:c r="D1635" s="25" t="str">
        <x:v>NOT_REVEALING</x:v>
      </x:c>
      <x:c r="E1635" s="25" t="str">
        <x:v>N/A</x:v>
      </x:c>
      <x:c r="F1635" s="26" t="str">
        <x:v>Same saved validation suite passed on buggy and fixed</x:v>
      </x:c>
      <x:c r="G1635" s="25" t="str">
        <x:v>true</x:v>
      </x:c>
      <x:c r="H1635" s="25" t="str">
        <x:v>NOT_REVEALING</x:v>
      </x:c>
      <x:c r="I1635" s="25" t="str">
        <x:v>PASS</x:v>
      </x:c>
      <x:c r="J1635" s="25" t="str">
        <x:v>PASS</x:v>
      </x:c>
      <x:c r="K1635" s="25" t="n">
        <x:v>1</x:v>
      </x:c>
      <x:c r="L1635" s="27" t="b">
        <x:v>0</x:v>
      </x:c>
      <x:c r="M1635" s="25" t="str">
        <x:v>Deepseek-flash-v4/state/Round2/status/Math_9.json; Deepseek-flash-v4/state/Round2/shards/Math_9.json</x:v>
      </x:c>
      <x:c r="N1635" s="25" t="str">
        <x:v>Deepseek-flash-v4/Result2/Math_9/result.json</x:v>
      </x:c>
      <x:c r="O1635" s="25" t="str">
        <x:v>Deepseek-flash-v4/Result2/Math_9/result.json</x:v>
      </x:c>
      <x:c r="P1635"/>
      <x:c r="Q1635" s="21" t="str"/>
      <x:c r="R1635" s="21" t="str"/>
      <x:c r="S1635" s="21" t="str"/>
      <x:c r="T1635" s="17" t="str">
        <x:v>false</x:v>
      </x:c>
      <x:c r="U1635" s="17" t="str">
        <x:v>true</x:v>
      </x:c>
      <x:c r="V1635" s="17" t="str">
        <x:v>false</x:v>
      </x:c>
    </x:row>
    <x:row r="1636" ht="80" customHeight="1">
      <x:c r="A1636" s="25" t="str">
        <x:v>Math</x:v>
      </x:c>
      <x:c r="B1636" s="25" t="n">
        <x:v>90</x:v>
      </x:c>
      <x:c r="C1636" s="25" t="str">
        <x:v>Round2</x:v>
      </x:c>
      <x:c r="D1636" s="25" t="str">
        <x:v>INCONCLUSIVE</x:v>
      </x:c>
      <x:c r="E1636" s="25" t="str">
        <x:v>N/A</x:v>
      </x:c>
      <x:c r="F1636" s="26" t="str">
        <x:v>Fixed also failed; assertion failure cannot be attributed to this bug; Same-round generation metadata missing; use saved tests and execution evidence, no failure inferred</x:v>
      </x:c>
      <x:c r="G1636" s="25" t="str">
        <x:v>true</x:v>
      </x:c>
      <x:c r="H1636" s="25" t="str">
        <x:v>INCONCLUSIVE</x:v>
      </x:c>
      <x:c r="I1636" s="25" t="str">
        <x:v>FAIL</x:v>
      </x:c>
      <x:c r="J1636" s="25" t="str">
        <x:v>FAIL</x:v>
      </x:c>
      <x:c r="K1636" s="25" t="n">
        <x:v>1</x:v>
      </x:c>
      <x:c r="L1636" s="27" t="b">
        <x:v>0</x:v>
      </x:c>
      <x:c r="M1636" s="25"/>
      <x:c r="N1636" s="25" t="str">
        <x:v>Deepseek-flash-v4/Result2/Math_90/result.json</x:v>
      </x:c>
      <x:c r="O1636" s="25" t="str">
        <x:v>Deepseek-flash-v4/Result2/Math_90/result.json</x:v>
      </x:c>
      <x:c r="P1636"/>
      <x:c r="Q1636" s="21" t="str"/>
      <x:c r="R1636" s="21" t="str"/>
      <x:c r="S1636" s="21" t="str"/>
      <x:c r="T1636" s="17" t="str">
        <x:v>false</x:v>
      </x:c>
      <x:c r="U1636" s="17" t="str">
        <x:v>true</x:v>
      </x:c>
      <x:c r="V1636" s="17" t="str">
        <x:v>false</x:v>
      </x:c>
    </x:row>
    <x:row r="1637" ht="80" customHeight="1">
      <x:c r="A1637" s="25" t="str">
        <x:v>Math</x:v>
      </x:c>
      <x:c r="B1637" s="25" t="n">
        <x:v>91</x:v>
      </x:c>
      <x:c r="C1637" s="25" t="str">
        <x:v>Round2</x:v>
      </x:c>
      <x:c r="D1637" s="25" t="str">
        <x:v>NOT_REVEALING</x:v>
      </x:c>
      <x:c r="E1637" s="25" t="str">
        <x:v>N/A</x:v>
      </x:c>
      <x:c r="F1637" s="26" t="str">
        <x:v>Same saved validation suite passed on buggy and fixed; Same-round generation metadata missing; use saved tests and execution evidence, no failure inferred</x:v>
      </x:c>
      <x:c r="G1637" s="25" t="str">
        <x:v>true</x:v>
      </x:c>
      <x:c r="H1637" s="25" t="str">
        <x:v>NOT_REVEALING</x:v>
      </x:c>
      <x:c r="I1637" s="25" t="str">
        <x:v>PASS</x:v>
      </x:c>
      <x:c r="J1637" s="25" t="str">
        <x:v>PASS</x:v>
      </x:c>
      <x:c r="K1637" s="25" t="n">
        <x:v>1</x:v>
      </x:c>
      <x:c r="L1637" s="27" t="b">
        <x:v>0</x:v>
      </x:c>
      <x:c r="M1637" s="25"/>
      <x:c r="N1637" s="25" t="str">
        <x:v>Deepseek-flash-v4/Result2/Math_91/result.json</x:v>
      </x:c>
      <x:c r="O1637" s="25" t="str">
        <x:v>Deepseek-flash-v4/Result2/Math_91/result.json</x:v>
      </x:c>
      <x:c r="P1637"/>
      <x:c r="Q1637" s="21" t="str"/>
      <x:c r="R1637" s="21" t="str"/>
      <x:c r="S1637" s="21" t="str"/>
      <x:c r="T1637" s="17" t="str">
        <x:v>false</x:v>
      </x:c>
      <x:c r="U1637" s="17" t="str">
        <x:v>true</x:v>
      </x:c>
      <x:c r="V1637" s="17" t="str">
        <x:v>false</x:v>
      </x:c>
    </x:row>
    <x:row r="1638" ht="80" customHeight="1">
      <x:c r="A1638" s="25" t="str">
        <x:v>Math</x:v>
      </x:c>
      <x:c r="B1638" s="25" t="n">
        <x:v>92</x:v>
      </x:c>
      <x:c r="C1638" s="25" t="str">
        <x:v>Round2</x:v>
      </x:c>
      <x:c r="D1638" s="25" t="str">
        <x:v>INCONCLUSIVE</x:v>
      </x:c>
      <x:c r="E1638" s="25" t="str">
        <x:v>N/A</x:v>
      </x:c>
      <x:c r="F1638" s="26" t="str">
        <x:v>Fixed also failed; assertion failure cannot be attributed to this bug; Same-round generation metadata missing; use saved tests and execution evidence, no failure inferred</x:v>
      </x:c>
      <x:c r="G1638" s="25" t="str">
        <x:v>true</x:v>
      </x:c>
      <x:c r="H1638" s="25" t="str">
        <x:v>INCONCLUSIVE</x:v>
      </x:c>
      <x:c r="I1638" s="25" t="str">
        <x:v>FAIL</x:v>
      </x:c>
      <x:c r="J1638" s="25" t="str">
        <x:v>FAIL</x:v>
      </x:c>
      <x:c r="K1638" s="25" t="n">
        <x:v>1</x:v>
      </x:c>
      <x:c r="L1638" s="27" t="b">
        <x:v>0</x:v>
      </x:c>
      <x:c r="M1638" s="25"/>
      <x:c r="N1638" s="25" t="str">
        <x:v>Deepseek-flash-v4/Result2/Math_92/result.json</x:v>
      </x:c>
      <x:c r="O1638" s="25" t="str">
        <x:v>Deepseek-flash-v4/Result2/Math_92/result.json</x:v>
      </x:c>
      <x:c r="P1638"/>
      <x:c r="Q1638" s="21" t="str"/>
      <x:c r="R1638" s="21" t="str"/>
      <x:c r="S1638" s="21" t="str"/>
      <x:c r="T1638" s="17" t="str">
        <x:v>false</x:v>
      </x:c>
      <x:c r="U1638" s="17" t="str">
        <x:v>true</x:v>
      </x:c>
      <x:c r="V1638" s="17" t="str">
        <x:v>false</x:v>
      </x:c>
    </x:row>
    <x:row r="1639" ht="80" customHeight="1">
      <x:c r="A1639" s="25" t="str">
        <x:v>Math</x:v>
      </x:c>
      <x:c r="B1639" s="25" t="n">
        <x:v>93</x:v>
      </x:c>
      <x:c r="C1639" s="25" t="str">
        <x:v>Round2</x:v>
      </x:c>
      <x:c r="D1639" s="25" t="str">
        <x:v>NOT_REVEALING</x:v>
      </x:c>
      <x:c r="E1639" s="25" t="str">
        <x:v>N/A</x:v>
      </x:c>
      <x:c r="F1639" s="26" t="str">
        <x:v>Same saved validation suite passed on buggy and fixed; Same-round generation metadata missing; use saved tests and execution evidence, no failure inferred</x:v>
      </x:c>
      <x:c r="G1639" s="25" t="str">
        <x:v>true</x:v>
      </x:c>
      <x:c r="H1639" s="25" t="str">
        <x:v>NOT_REVEALING</x:v>
      </x:c>
      <x:c r="I1639" s="25" t="str">
        <x:v>PASS</x:v>
      </x:c>
      <x:c r="J1639" s="25" t="str">
        <x:v>PASS</x:v>
      </x:c>
      <x:c r="K1639" s="25" t="n">
        <x:v>1</x:v>
      </x:c>
      <x:c r="L1639" s="27" t="b">
        <x:v>0</x:v>
      </x:c>
      <x:c r="M1639" s="25"/>
      <x:c r="N1639" s="25" t="str">
        <x:v>Deepseek-flash-v4/Result2/Math_93/result.json</x:v>
      </x:c>
      <x:c r="O1639" s="25" t="str">
        <x:v>Deepseek-flash-v4/Result2/Math_93/result.json</x:v>
      </x:c>
      <x:c r="P1639"/>
      <x:c r="Q1639" s="21" t="str"/>
      <x:c r="R1639" s="21" t="str"/>
      <x:c r="S1639" s="21" t="str"/>
      <x:c r="T1639" s="17" t="str">
        <x:v>false</x:v>
      </x:c>
      <x:c r="U1639" s="17" t="str">
        <x:v>true</x:v>
      </x:c>
      <x:c r="V1639" s="17" t="str">
        <x:v>false</x:v>
      </x:c>
    </x:row>
    <x:row r="1640" ht="80" customHeight="1">
      <x:c r="A1640" s="25" t="str">
        <x:v>Math</x:v>
      </x:c>
      <x:c r="B1640" s="25" t="n">
        <x:v>94</x:v>
      </x:c>
      <x:c r="C1640" s="25" t="str">
        <x:v>Round2</x:v>
      </x:c>
      <x:c r="D1640" s="25" t="str">
        <x:v>NOT_REVEALING</x:v>
      </x:c>
      <x:c r="E1640" s="25" t="str">
        <x:v>N/A</x:v>
      </x:c>
      <x:c r="F1640" s="26" t="str">
        <x:v>Same saved validation suite passed on buggy and fixed; Same-round generation metadata missing; use saved tests and execution evidence, no failure inferred</x:v>
      </x:c>
      <x:c r="G1640" s="25" t="str">
        <x:v>true</x:v>
      </x:c>
      <x:c r="H1640" s="25" t="str">
        <x:v>NOT_REVEALING</x:v>
      </x:c>
      <x:c r="I1640" s="25" t="str">
        <x:v>PASS</x:v>
      </x:c>
      <x:c r="J1640" s="25" t="str">
        <x:v>PASS</x:v>
      </x:c>
      <x:c r="K1640" s="25" t="n">
        <x:v>1</x:v>
      </x:c>
      <x:c r="L1640" s="27" t="b">
        <x:v>0</x:v>
      </x:c>
      <x:c r="M1640" s="25"/>
      <x:c r="N1640" s="25" t="str">
        <x:v>Deepseek-flash-v4/Result2/Math_94/result.json</x:v>
      </x:c>
      <x:c r="O1640" s="25" t="str">
        <x:v>Deepseek-flash-v4/Result2/Math_94/result.json</x:v>
      </x:c>
      <x:c r="P1640"/>
      <x:c r="Q1640" s="21" t="str"/>
      <x:c r="R1640" s="21" t="str"/>
      <x:c r="S1640" s="21" t="str"/>
      <x:c r="T1640" s="17" t="str">
        <x:v>false</x:v>
      </x:c>
      <x:c r="U1640" s="17" t="str">
        <x:v>true</x:v>
      </x:c>
      <x:c r="V1640" s="17" t="str">
        <x:v>false</x:v>
      </x:c>
    </x:row>
    <x:row r="1641" ht="80" customHeight="1">
      <x:c r="A1641" s="25" t="str">
        <x:v>Math</x:v>
      </x:c>
      <x:c r="B1641" s="25" t="n">
        <x:v>95</x:v>
      </x:c>
      <x:c r="C1641" s="25" t="str">
        <x:v>Round2</x:v>
      </x:c>
      <x:c r="D1641" s="25" t="str">
        <x:v>NOT_REVEALING</x:v>
      </x:c>
      <x:c r="E1641" s="25" t="str">
        <x:v>N/A</x:v>
      </x:c>
      <x:c r="F1641" s="26" t="str">
        <x:v>Same saved validation suite passed on buggy and fixed; Same-round generation metadata missing; use saved tests and execution evidence, no failure inferred</x:v>
      </x:c>
      <x:c r="G1641" s="25" t="str">
        <x:v>true</x:v>
      </x:c>
      <x:c r="H1641" s="25" t="str">
        <x:v>NOT_REVEALING</x:v>
      </x:c>
      <x:c r="I1641" s="25" t="str">
        <x:v>PASS</x:v>
      </x:c>
      <x:c r="J1641" s="25" t="str">
        <x:v>PASS</x:v>
      </x:c>
      <x:c r="K1641" s="25" t="n">
        <x:v>1</x:v>
      </x:c>
      <x:c r="L1641" s="27" t="b">
        <x:v>0</x:v>
      </x:c>
      <x:c r="M1641" s="25"/>
      <x:c r="N1641" s="25" t="str">
        <x:v>Deepseek-flash-v4/Result2/Math_95/result.json</x:v>
      </x:c>
      <x:c r="O1641" s="25" t="str">
        <x:v>Deepseek-flash-v4/Result2/Math_95/result.json</x:v>
      </x:c>
      <x:c r="P1641"/>
      <x:c r="Q1641" s="21" t="str"/>
      <x:c r="R1641" s="21" t="str"/>
      <x:c r="S1641" s="21" t="str"/>
      <x:c r="T1641" s="17" t="str">
        <x:v>false</x:v>
      </x:c>
      <x:c r="U1641" s="17" t="str">
        <x:v>true</x:v>
      </x:c>
      <x:c r="V1641" s="17" t="str">
        <x:v>false</x:v>
      </x:c>
    </x:row>
    <x:row r="1642" ht="80" customHeight="1">
      <x:c r="A1642" s="25" t="str">
        <x:v>Math</x:v>
      </x:c>
      <x:c r="B1642" s="25" t="n">
        <x:v>96</x:v>
      </x:c>
      <x:c r="C1642" s="25" t="str">
        <x:v>Round2</x:v>
      </x:c>
      <x:c r="D1642" s="25" t="str">
        <x:v>INCONCLUSIVE</x:v>
      </x:c>
      <x:c r="E1642" s="25" t="str">
        <x:v>N/A</x:v>
      </x:c>
      <x:c r="F1642" s="26" t="str">
        <x:v>Fixed also failed; assertion failure cannot be attributed to this bug; Same-round generation metadata missing; use saved tests and execution evidence, no failure inferred</x:v>
      </x:c>
      <x:c r="G1642" s="25" t="str">
        <x:v>true</x:v>
      </x:c>
      <x:c r="H1642" s="25" t="str">
        <x:v>INCONCLUSIVE</x:v>
      </x:c>
      <x:c r="I1642" s="25" t="str">
        <x:v>PASS</x:v>
      </x:c>
      <x:c r="J1642" s="25" t="str">
        <x:v>FAIL</x:v>
      </x:c>
      <x:c r="K1642" s="25" t="n">
        <x:v>1</x:v>
      </x:c>
      <x:c r="L1642" s="27" t="b">
        <x:v>0</x:v>
      </x:c>
      <x:c r="M1642" s="25"/>
      <x:c r="N1642" s="25" t="str">
        <x:v>Deepseek-flash-v4/Result2/Math_96/result.json</x:v>
      </x:c>
      <x:c r="O1642" s="25" t="str">
        <x:v>Deepseek-flash-v4/Result2/Math_96/result.json</x:v>
      </x:c>
      <x:c r="P1642"/>
      <x:c r="Q1642" s="21" t="str"/>
      <x:c r="R1642" s="21" t="str"/>
      <x:c r="S1642" s="21" t="str"/>
      <x:c r="T1642" s="17" t="str">
        <x:v>false</x:v>
      </x:c>
      <x:c r="U1642" s="17" t="str">
        <x:v>true</x:v>
      </x:c>
      <x:c r="V1642" s="17" t="str">
        <x:v>false</x:v>
      </x:c>
    </x:row>
    <x:row r="1643" ht="80" customHeight="1">
      <x:c r="A1643" s="25" t="str">
        <x:v>Math</x:v>
      </x:c>
      <x:c r="B1643" s="25" t="n">
        <x:v>97</x:v>
      </x:c>
      <x:c r="C1643" s="25" t="str">
        <x:v>Round2</x:v>
      </x:c>
      <x:c r="D1643" s="25" t="str">
        <x:v>NOT_REVEALING</x:v>
      </x:c>
      <x:c r="E1643" s="25" t="str">
        <x:v>N/A</x:v>
      </x:c>
      <x:c r="F1643" s="26" t="str">
        <x:v>Same saved validation suite passed on buggy and fixed; Same-round generation metadata missing; use saved tests and execution evidence, no failure inferred</x:v>
      </x:c>
      <x:c r="G1643" s="25" t="str">
        <x:v>true</x:v>
      </x:c>
      <x:c r="H1643" s="25" t="str">
        <x:v>NOT_REVEALING</x:v>
      </x:c>
      <x:c r="I1643" s="25" t="str">
        <x:v>PASS</x:v>
      </x:c>
      <x:c r="J1643" s="25" t="str">
        <x:v>PASS</x:v>
      </x:c>
      <x:c r="K1643" s="25" t="n">
        <x:v>1</x:v>
      </x:c>
      <x:c r="L1643" s="27" t="b">
        <x:v>0</x:v>
      </x:c>
      <x:c r="M1643" s="25"/>
      <x:c r="N1643" s="25" t="str">
        <x:v>Deepseek-flash-v4/Result2/Math_97/result.json</x:v>
      </x:c>
      <x:c r="O1643" s="25" t="str">
        <x:v>Deepseek-flash-v4/Result2/Math_97/result.json</x:v>
      </x:c>
      <x:c r="P1643"/>
      <x:c r="Q1643" s="21" t="str"/>
      <x:c r="R1643" s="21" t="str"/>
      <x:c r="S1643" s="21" t="str"/>
      <x:c r="T1643" s="17" t="str">
        <x:v>false</x:v>
      </x:c>
      <x:c r="U1643" s="17" t="str">
        <x:v>true</x:v>
      </x:c>
      <x:c r="V1643" s="17" t="str">
        <x:v>false</x:v>
      </x:c>
    </x:row>
    <x:row r="1644" ht="80" customHeight="1">
      <x:c r="A1644" s="25" t="str">
        <x:v>Math</x:v>
      </x:c>
      <x:c r="B1644" s="25" t="n">
        <x:v>98</x:v>
      </x:c>
      <x:c r="C1644" s="25" t="str">
        <x:v>Round2</x:v>
      </x:c>
      <x:c r="D1644" s="25" t="str">
        <x:v>INCONCLUSIVE</x:v>
      </x:c>
      <x:c r="E1644" s="25" t="str">
        <x:v>N/A</x:v>
      </x:c>
      <x:c r="F1644" s="26" t="str">
        <x:v>Fixed also failed; assertion failure cannot be attributed to this bug; Same-round generation metadata missing; use saved tests and execution evidence, no failure inferred</x:v>
      </x:c>
      <x:c r="G1644" s="25" t="str">
        <x:v>true</x:v>
      </x:c>
      <x:c r="H1644" s="25" t="str">
        <x:v>INCONCLUSIVE</x:v>
      </x:c>
      <x:c r="I1644" s="25" t="str">
        <x:v>FAIL</x:v>
      </x:c>
      <x:c r="J1644" s="25" t="str">
        <x:v>FAIL</x:v>
      </x:c>
      <x:c r="K1644" s="25" t="n">
        <x:v>2</x:v>
      </x:c>
      <x:c r="L1644" s="27" t="b">
        <x:v>0</x:v>
      </x:c>
      <x:c r="M1644" s="25"/>
      <x:c r="N1644" s="25" t="str">
        <x:v>Deepseek-flash-v4/Result2/Math_98/result.json</x:v>
      </x:c>
      <x:c r="O1644" s="25" t="str">
        <x:v>Deepseek-flash-v4/Result2/Math_98/result.json</x:v>
      </x:c>
      <x:c r="P1644"/>
      <x:c r="Q1644" s="21" t="str"/>
      <x:c r="R1644" s="21" t="str"/>
      <x:c r="S1644" s="21" t="str"/>
      <x:c r="T1644" s="17" t="str">
        <x:v>false</x:v>
      </x:c>
      <x:c r="U1644" s="17" t="str">
        <x:v>true</x:v>
      </x:c>
      <x:c r="V1644" s="17" t="str">
        <x:v>false</x:v>
      </x:c>
    </x:row>
    <x:row r="1645" ht="80" customHeight="1">
      <x:c r="A1645" s="25" t="str">
        <x:v>Math</x:v>
      </x:c>
      <x:c r="B1645" s="25" t="n">
        <x:v>99</x:v>
      </x:c>
      <x:c r="C1645" s="25" t="str">
        <x:v>Round2</x:v>
      </x:c>
      <x:c r="D1645" s="25" t="str">
        <x:v>NOT_REVEALING</x:v>
      </x:c>
      <x:c r="E1645" s="25" t="str">
        <x:v>N/A</x:v>
      </x:c>
      <x:c r="F1645" s="26" t="str">
        <x:v>Same saved validation suite passed on buggy and fixed; Same-round generation metadata missing; use saved tests and execution evidence, no failure inferred</x:v>
      </x:c>
      <x:c r="G1645" s="25" t="str">
        <x:v>true</x:v>
      </x:c>
      <x:c r="H1645" s="25" t="str">
        <x:v>NOT_REVEALING</x:v>
      </x:c>
      <x:c r="I1645" s="25" t="str">
        <x:v>PASS</x:v>
      </x:c>
      <x:c r="J1645" s="25" t="str">
        <x:v>PASS</x:v>
      </x:c>
      <x:c r="K1645" s="25" t="n">
        <x:v>1</x:v>
      </x:c>
      <x:c r="L1645" s="27" t="b">
        <x:v>0</x:v>
      </x:c>
      <x:c r="M1645" s="25"/>
      <x:c r="N1645" s="25" t="str">
        <x:v>Deepseek-flash-v4/Result2/Math_99/result.json</x:v>
      </x:c>
      <x:c r="O1645" s="25" t="str">
        <x:v>Deepseek-flash-v4/Result2/Math_99/result.json</x:v>
      </x:c>
      <x:c r="P1645"/>
      <x:c r="Q1645" s="21" t="str"/>
      <x:c r="R1645" s="21" t="str"/>
      <x:c r="S1645" s="21" t="str"/>
      <x:c r="T1645" s="17" t="str">
        <x:v>false</x:v>
      </x:c>
      <x:c r="U1645" s="17" t="str">
        <x:v>true</x:v>
      </x:c>
      <x:c r="V1645" s="17" t="str">
        <x:v>false</x:v>
      </x:c>
    </x:row>
    <x:row r="1646" ht="80" customHeight="1">
      <x:c r="A1646" s="25" t="str">
        <x:v>Mockito</x:v>
      </x:c>
      <x:c r="B1646" s="25" t="n">
        <x:v>1</x:v>
      </x:c>
      <x:c r="C1646" s="25" t="str">
        <x:v>Round2</x:v>
      </x:c>
      <x:c r="D1646" s="25" t="str">
        <x:v>NOT_AVAILABLE</x:v>
      </x:c>
      <x:c r="E1646" s="25" t="str">
        <x:v>N/A</x:v>
      </x:c>
      <x:c r="F1646" s="26" t="str">
        <x:v>Tests exist but current coverage did not complete</x:v>
      </x:c>
      <x:c r="G1646" s="25" t="str">
        <x:v>true</x:v>
      </x:c>
      <x:c r="H1646" s="25" t="str">
        <x:v>NOT_AVAILABLE</x:v>
      </x:c>
      <x:c r="I1646" s="25" t="str">
        <x:v>NOT_RUN</x:v>
      </x:c>
      <x:c r="J1646" s="25" t="str">
        <x:v>NOT_RUN</x:v>
      </x:c>
      <x:c r="K1646" s="25" t="n">
        <x:v>1</x:v>
      </x:c>
      <x:c r="L1646" s="27" t="b">
        <x:v>0</x:v>
      </x:c>
      <x:c r="M1646" s="25" t="str">
        <x:v>Deepseek-flash-v4/state/Round2/status/Mockito_1.json; Deepseek-flash-v4/state/Round2/shards/Mockito_1.json</x:v>
      </x:c>
      <x:c r="N1646" s="25" t="str">
        <x:v>Deepseek-flash-v4/Result2/Mockito_1/result.json</x:v>
      </x:c>
      <x:c r="O1646" s="25" t="str">
        <x:v>Deepseek-flash-v4/Result2/Mockito_1/result.json</x:v>
      </x:c>
      <x:c r="P1646" t="str">
        <x:v>BOTH_NOT_RUN</x:v>
      </x:c>
      <x:c r="Q1646" s="21" t="str"/>
      <x:c r="R1646" s="21" t="str"/>
      <x:c r="S1646" s="21" t="str"/>
      <x:c r="T1646" s="17" t="str">
        <x:v>false</x:v>
      </x:c>
      <x:c r="U1646" s="17" t="str">
        <x:v>true</x:v>
      </x:c>
      <x:c r="V1646" s="17" t="str">
        <x:v>false</x:v>
      </x:c>
    </x:row>
    <x:row r="1647" ht="80" customHeight="1">
      <x:c r="A1647" s="25" t="str">
        <x:v>Mockito</x:v>
      </x:c>
      <x:c r="B1647" s="25" t="n">
        <x:v>10</x:v>
      </x:c>
      <x:c r="C1647" s="25" t="str">
        <x:v>Round2</x:v>
      </x:c>
      <x:c r="D1647" s="25" t="str">
        <x:v>NOT_AVAILABLE</x:v>
      </x:c>
      <x:c r="E1647" s="25" t="str">
        <x:v>N/A</x:v>
      </x:c>
      <x:c r="F1647" s="26" t="str">
        <x:v>Tests exist but current coverage did not complete</x:v>
      </x:c>
      <x:c r="G1647" s="25" t="str">
        <x:v>true</x:v>
      </x:c>
      <x:c r="H1647" s="25" t="str">
        <x:v>NOT_AVAILABLE</x:v>
      </x:c>
      <x:c r="I1647" s="25" t="str">
        <x:v>NOT_RUN</x:v>
      </x:c>
      <x:c r="J1647" s="25" t="str">
        <x:v>NOT_RUN</x:v>
      </x:c>
      <x:c r="K1647" s="25" t="n">
        <x:v>1</x:v>
      </x:c>
      <x:c r="L1647" s="27" t="b">
        <x:v>0</x:v>
      </x:c>
      <x:c r="M1647" s="25" t="str">
        <x:v>Deepseek-flash-v4/state/Round2/status/Mockito_10.json; Deepseek-flash-v4/state/Round2/shards/Mockito_10.json</x:v>
      </x:c>
      <x:c r="N1647" s="25" t="str">
        <x:v>Deepseek-flash-v4/Result2/Mockito_10/result.json</x:v>
      </x:c>
      <x:c r="O1647" s="25" t="str">
        <x:v>Deepseek-flash-v4/Result2/Mockito_10/result.json</x:v>
      </x:c>
      <x:c r="P1647" t="str">
        <x:v>BOTH_NOT_RUN</x:v>
      </x:c>
      <x:c r="Q1647" s="21" t="str"/>
      <x:c r="R1647" s="21" t="str"/>
      <x:c r="S1647" s="21" t="str"/>
      <x:c r="T1647" s="17" t="str">
        <x:v>false</x:v>
      </x:c>
      <x:c r="U1647" s="17" t="str">
        <x:v>true</x:v>
      </x:c>
      <x:c r="V1647" s="17" t="str">
        <x:v>false</x:v>
      </x:c>
    </x:row>
    <x:row r="1648" ht="80" customHeight="1">
      <x:c r="A1648" s="25" t="str">
        <x:v>Mockito</x:v>
      </x:c>
      <x:c r="B1648" s="25" t="n">
        <x:v>11</x:v>
      </x:c>
      <x:c r="C1648" s="25" t="str">
        <x:v>Round2</x:v>
      </x:c>
      <x:c r="D1648" s="25" t="str">
        <x:v>INCONCLUSIVE</x:v>
      </x:c>
      <x:c r="E1648" s="25" t="str">
        <x:v>N/A</x:v>
      </x:c>
      <x:c r="F1648" s="26" t="str">
        <x:v>Fixed also failed; assertion failure cannot be attributed to this bug; Same-round generation metadata missing; use saved tests and execution evidence, no failure inferred</x:v>
      </x:c>
      <x:c r="G1648" s="25" t="str">
        <x:v>true</x:v>
      </x:c>
      <x:c r="H1648" s="25" t="str">
        <x:v>INCONCLUSIVE</x:v>
      </x:c>
      <x:c r="I1648" s="25" t="str">
        <x:v>FAIL</x:v>
      </x:c>
      <x:c r="J1648" s="25" t="str">
        <x:v>FAIL</x:v>
      </x:c>
      <x:c r="K1648" s="25" t="n">
        <x:v>1</x:v>
      </x:c>
      <x:c r="L1648" s="27" t="b">
        <x:v>0</x:v>
      </x:c>
      <x:c r="M1648" s="25"/>
      <x:c r="N1648" s="25" t="str">
        <x:v>Deepseek-flash-v4/Result2/Mockito_11/result.json</x:v>
      </x:c>
      <x:c r="O1648" s="25" t="str">
        <x:v>Deepseek-flash-v4/Result2/Mockito_11/result.json</x:v>
      </x:c>
      <x:c r="P1648"/>
      <x:c r="Q1648" s="21" t="str"/>
      <x:c r="R1648" s="21" t="str"/>
      <x:c r="S1648" s="21" t="str"/>
      <x:c r="T1648" s="17" t="str">
        <x:v>false</x:v>
      </x:c>
      <x:c r="U1648" s="17" t="str">
        <x:v>true</x:v>
      </x:c>
      <x:c r="V1648" s="17" t="str">
        <x:v>false</x:v>
      </x:c>
    </x:row>
    <x:row r="1649" ht="80" customHeight="1">
      <x:c r="A1649" s="25" t="str">
        <x:v>Mockito</x:v>
      </x:c>
      <x:c r="B1649" s="25" t="n">
        <x:v>12</x:v>
      </x:c>
      <x:c r="C1649" s="25" t="str">
        <x:v>Round2</x:v>
      </x:c>
      <x:c r="D1649" s="25" t="str">
        <x:v>INCONCLUSIVE</x:v>
      </x:c>
      <x:c r="E1649" s="25" t="str">
        <x:v>N/A</x:v>
      </x:c>
      <x:c r="F1649" s="26" t="str">
        <x:v>Fixed also failed; assertion failure cannot be attributed to this bug; Same-round generation metadata missing; use saved tests and execution evidence, no failure inferred</x:v>
      </x:c>
      <x:c r="G1649" s="25" t="str">
        <x:v>true</x:v>
      </x:c>
      <x:c r="H1649" s="25" t="str">
        <x:v>INCONCLUSIVE</x:v>
      </x:c>
      <x:c r="I1649" s="25" t="str">
        <x:v>FAIL</x:v>
      </x:c>
      <x:c r="J1649" s="25" t="str">
        <x:v>FAIL</x:v>
      </x:c>
      <x:c r="K1649" s="25" t="n">
        <x:v>1</x:v>
      </x:c>
      <x:c r="L1649" s="27" t="b">
        <x:v>0</x:v>
      </x:c>
      <x:c r="M1649" s="25"/>
      <x:c r="N1649" s="25" t="str">
        <x:v>Deepseek-flash-v4/Result2/Mockito_12/result.json</x:v>
      </x:c>
      <x:c r="O1649" s="25" t="str">
        <x:v>Deepseek-flash-v4/Result2/Mockito_12/result.json</x:v>
      </x:c>
      <x:c r="P1649"/>
      <x:c r="Q1649" s="21" t="str"/>
      <x:c r="R1649" s="21" t="str"/>
      <x:c r="S1649" s="21" t="str"/>
      <x:c r="T1649" s="17" t="str">
        <x:v>false</x:v>
      </x:c>
      <x:c r="U1649" s="17" t="str">
        <x:v>true</x:v>
      </x:c>
      <x:c r="V1649" s="17" t="str">
        <x:v>false</x:v>
      </x:c>
    </x:row>
    <x:row r="1650" ht="80" customHeight="1">
      <x:c r="A1650" s="25" t="str">
        <x:v>Mockito</x:v>
      </x:c>
      <x:c r="B1650" s="25" t="n">
        <x:v>13</x:v>
      </x:c>
      <x:c r="C1650" s="25" t="str">
        <x:v>Round2</x:v>
      </x:c>
      <x:c r="D1650" s="25" t="str">
        <x:v>NOT_AVAILABLE</x:v>
      </x:c>
      <x:c r="E1650" s="25" t="str">
        <x:v>N/A</x:v>
      </x:c>
      <x:c r="F1650" s="26" t="str">
        <x:v>Tests exist but current coverage did not complete</x:v>
      </x:c>
      <x:c r="G1650" s="25" t="str">
        <x:v>true</x:v>
      </x:c>
      <x:c r="H1650" s="25" t="str">
        <x:v>NOT_AVAILABLE</x:v>
      </x:c>
      <x:c r="I1650" s="25" t="str">
        <x:v>NOT_RUN</x:v>
      </x:c>
      <x:c r="J1650" s="25" t="str">
        <x:v>NOT_RUN</x:v>
      </x:c>
      <x:c r="K1650" s="25" t="n">
        <x:v>1</x:v>
      </x:c>
      <x:c r="L1650" s="27" t="b">
        <x:v>0</x:v>
      </x:c>
      <x:c r="M1650" s="25" t="str">
        <x:v>Deepseek-flash-v4/state/Round2/status/Mockito_13.json; Deepseek-flash-v4/state/Round2/shards/Mockito_13.json</x:v>
      </x:c>
      <x:c r="N1650" s="25" t="str">
        <x:v>Deepseek-flash-v4/Result2/Mockito_13/result.json</x:v>
      </x:c>
      <x:c r="O1650" s="25" t="str">
        <x:v>Deepseek-flash-v4/Result2/Mockito_13/result.json</x:v>
      </x:c>
      <x:c r="P1650" t="str">
        <x:v>BOTH_NOT_RUN</x:v>
      </x:c>
      <x:c r="Q1650" s="21" t="str"/>
      <x:c r="R1650" s="21" t="str"/>
      <x:c r="S1650" s="21" t="str"/>
      <x:c r="T1650" s="17" t="str">
        <x:v>false</x:v>
      </x:c>
      <x:c r="U1650" s="17" t="str">
        <x:v>true</x:v>
      </x:c>
      <x:c r="V1650" s="17" t="str">
        <x:v>false</x:v>
      </x:c>
    </x:row>
    <x:row r="1651" ht="80" customHeight="1">
      <x:c r="A1651" s="25" t="str">
        <x:v>Mockito</x:v>
      </x:c>
      <x:c r="B1651" s="25" t="n">
        <x:v>14</x:v>
      </x:c>
      <x:c r="C1651" s="25" t="str">
        <x:v>Round2</x:v>
      </x:c>
      <x:c r="D1651" s="25" t="str">
        <x:v>NOT_AVAILABLE</x:v>
      </x:c>
      <x:c r="E1651" s="25" t="str">
        <x:v>N/A</x:v>
      </x:c>
      <x:c r="F1651" s="26" t="str">
        <x:v>Tests exist but current coverage did not complete</x:v>
      </x:c>
      <x:c r="G1651" s="25" t="str">
        <x:v>true</x:v>
      </x:c>
      <x:c r="H1651" s="25" t="str">
        <x:v>NOT_AVAILABLE</x:v>
      </x:c>
      <x:c r="I1651" s="25" t="str">
        <x:v>NOT_RUN</x:v>
      </x:c>
      <x:c r="J1651" s="25" t="str">
        <x:v>NOT_RUN</x:v>
      </x:c>
      <x:c r="K1651" s="25" t="n">
        <x:v>2</x:v>
      </x:c>
      <x:c r="L1651" s="27" t="b">
        <x:v>0</x:v>
      </x:c>
      <x:c r="M1651" s="25" t="str">
        <x:v>Deepseek-flash-v4/state/Round2/status/Mockito_14.json; Deepseek-flash-v4/state/Round2/shards/Mockito_14.json</x:v>
      </x:c>
      <x:c r="N1651" s="25" t="str">
        <x:v>Deepseek-flash-v4/Result2/Mockito_14/result.json</x:v>
      </x:c>
      <x:c r="O1651" s="25" t="str">
        <x:v>Deepseek-flash-v4/Result2/Mockito_14/result.json</x:v>
      </x:c>
      <x:c r="P1651" t="str">
        <x:v>BOTH_NOT_RUN</x:v>
      </x:c>
      <x:c r="Q1651" s="21" t="str"/>
      <x:c r="R1651" s="21" t="str"/>
      <x:c r="S1651" s="21" t="str"/>
      <x:c r="T1651" s="17" t="str">
        <x:v>false</x:v>
      </x:c>
      <x:c r="U1651" s="17" t="str">
        <x:v>true</x:v>
      </x:c>
      <x:c r="V1651" s="17" t="str">
        <x:v>false</x:v>
      </x:c>
    </x:row>
    <x:row r="1652" ht="80" customHeight="1">
      <x:c r="A1652" s="25" t="str">
        <x:v>Mockito</x:v>
      </x:c>
      <x:c r="B1652" s="25" t="n">
        <x:v>15</x:v>
      </x:c>
      <x:c r="C1652" s="25" t="str">
        <x:v>Round2</x:v>
      </x:c>
      <x:c r="D1652" s="25" t="str">
        <x:v>NOT_REVEALING</x:v>
      </x:c>
      <x:c r="E1652" s="25" t="str">
        <x:v>N/A</x:v>
      </x:c>
      <x:c r="F1652" s="26" t="str">
        <x:v>Same saved validation suite passed on buggy and fixed; Same-round generation metadata missing; use saved tests and execution evidence, no failure inferred</x:v>
      </x:c>
      <x:c r="G1652" s="25" t="str">
        <x:v>true</x:v>
      </x:c>
      <x:c r="H1652" s="25" t="str">
        <x:v>NOT_REVEALING</x:v>
      </x:c>
      <x:c r="I1652" s="25" t="str">
        <x:v>PASS</x:v>
      </x:c>
      <x:c r="J1652" s="25" t="str">
        <x:v>PASS</x:v>
      </x:c>
      <x:c r="K1652" s="25" t="n">
        <x:v>1</x:v>
      </x:c>
      <x:c r="L1652" s="27" t="b">
        <x:v>0</x:v>
      </x:c>
      <x:c r="M1652" s="25"/>
      <x:c r="N1652" s="25" t="str">
        <x:v>Deepseek-flash-v4/Result2/Mockito_15/result.json</x:v>
      </x:c>
      <x:c r="O1652" s="25" t="str">
        <x:v>Deepseek-flash-v4/Result2/Mockito_15/result.json</x:v>
      </x:c>
      <x:c r="P1652"/>
      <x:c r="Q1652" s="21" t="str"/>
      <x:c r="R1652" s="21" t="str"/>
      <x:c r="S1652" s="21" t="str"/>
      <x:c r="T1652" s="17" t="str">
        <x:v>false</x:v>
      </x:c>
      <x:c r="U1652" s="17" t="str">
        <x:v>true</x:v>
      </x:c>
      <x:c r="V1652" s="17" t="str">
        <x:v>false</x:v>
      </x:c>
    </x:row>
    <x:row r="1653" ht="80" customHeight="1">
      <x:c r="A1653" s="25" t="str">
        <x:v>Mockito</x:v>
      </x:c>
      <x:c r="B1653" s="25" t="n">
        <x:v>16</x:v>
      </x:c>
      <x:c r="C1653" s="25" t="str">
        <x:v>Round2</x:v>
      </x:c>
      <x:c r="D1653" s="25" t="str">
        <x:v>NOT_AVAILABLE</x:v>
      </x:c>
      <x:c r="E1653" s="25" t="str">
        <x:v>N/A</x:v>
      </x:c>
      <x:c r="F1653" s="26" t="str">
        <x:v>Tests exist but current coverage did not complete</x:v>
      </x:c>
      <x:c r="G1653" s="25" t="str">
        <x:v>true</x:v>
      </x:c>
      <x:c r="H1653" s="25" t="str">
        <x:v>NOT_AVAILABLE</x:v>
      </x:c>
      <x:c r="I1653" s="25" t="str">
        <x:v>NOT_RUN</x:v>
      </x:c>
      <x:c r="J1653" s="25" t="str">
        <x:v>NOT_RUN</x:v>
      </x:c>
      <x:c r="K1653" s="25" t="n">
        <x:v>2</x:v>
      </x:c>
      <x:c r="L1653" s="27" t="b">
        <x:v>0</x:v>
      </x:c>
      <x:c r="M1653" s="25" t="str">
        <x:v>Deepseek-flash-v4/state/Round2/status/Mockito_16.json; Deepseek-flash-v4/state/Round2/shards/Mockito_16.json</x:v>
      </x:c>
      <x:c r="N1653" s="25" t="str">
        <x:v>Deepseek-flash-v4/Result2/Mockito_16/result.json</x:v>
      </x:c>
      <x:c r="O1653" s="25" t="str">
        <x:v>Deepseek-flash-v4/Result2/Mockito_16/result.json</x:v>
      </x:c>
      <x:c r="P1653" t="str">
        <x:v>BOTH_NOT_RUN</x:v>
      </x:c>
      <x:c r="Q1653" s="21" t="str"/>
      <x:c r="R1653" s="21" t="str"/>
      <x:c r="S1653" s="21" t="str"/>
      <x:c r="T1653" s="17" t="str">
        <x:v>false</x:v>
      </x:c>
      <x:c r="U1653" s="17" t="str">
        <x:v>true</x:v>
      </x:c>
      <x:c r="V1653" s="17" t="str">
        <x:v>false</x:v>
      </x:c>
    </x:row>
    <x:row r="1654" ht="80" customHeight="1">
      <x:c r="A1654" s="25" t="str">
        <x:v>Mockito</x:v>
      </x:c>
      <x:c r="B1654" s="25" t="n">
        <x:v>17</x:v>
      </x:c>
      <x:c r="C1654" s="25" t="str">
        <x:v>Round2</x:v>
      </x:c>
      <x:c r="D1654" s="25" t="str">
        <x:v>INCONCLUSIVE</x:v>
      </x:c>
      <x:c r="E1654" s="25" t="str">
        <x:v>N/A</x:v>
      </x:c>
      <x:c r="F1654" s="26" t="str">
        <x:v>Fixed also failed; assertion failure cannot be attributed to this bug</x:v>
      </x:c>
      <x:c r="G1654" s="25" t="str">
        <x:v>true</x:v>
      </x:c>
      <x:c r="H1654" s="25" t="str">
        <x:v>INCONCLUSIVE</x:v>
      </x:c>
      <x:c r="I1654" s="25" t="str">
        <x:v>PASS</x:v>
      </x:c>
      <x:c r="J1654" s="25" t="str">
        <x:v>FAIL</x:v>
      </x:c>
      <x:c r="K1654" s="25" t="n">
        <x:v>2</x:v>
      </x:c>
      <x:c r="L1654" s="27" t="b">
        <x:v>0</x:v>
      </x:c>
      <x:c r="M1654" s="25" t="str">
        <x:v>Deepseek-flash-v4/state/Round2/status/Mockito_17.json; Deepseek-flash-v4/state/Round2/shards/Mockito_17.json</x:v>
      </x:c>
      <x:c r="N1654" s="25" t="str">
        <x:v>Deepseek-flash-v4/Result2/Mockito_17/result.json</x:v>
      </x:c>
      <x:c r="O1654" s="25" t="str">
        <x:v>Deepseek-flash-v4/Result2/Mockito_17/result.json</x:v>
      </x:c>
      <x:c r="P1654"/>
      <x:c r="Q1654" s="21" t="str"/>
      <x:c r="R1654" s="21" t="str"/>
      <x:c r="S1654" s="21" t="str"/>
      <x:c r="T1654" s="17" t="str">
        <x:v>false</x:v>
      </x:c>
      <x:c r="U1654" s="17" t="str">
        <x:v>true</x:v>
      </x:c>
      <x:c r="V1654" s="17" t="str">
        <x:v>false</x:v>
      </x:c>
    </x:row>
    <x:row r="1655" ht="80" customHeight="1">
      <x:c r="A1655" s="25" t="str">
        <x:v>Mockito</x:v>
      </x:c>
      <x:c r="B1655" s="25" t="n">
        <x:v>18</x:v>
      </x:c>
      <x:c r="C1655" s="25" t="str">
        <x:v>Round2</x:v>
      </x:c>
      <x:c r="D1655" s="25" t="str">
        <x:v>NOT_AVAILABLE</x:v>
      </x:c>
      <x:c r="E1655" s="25" t="str">
        <x:v>N/A</x:v>
      </x:c>
      <x:c r="F1655" s="26" t="str">
        <x:v>Tests exist but current coverage did not complete</x:v>
      </x:c>
      <x:c r="G1655" s="25" t="str">
        <x:v>true</x:v>
      </x:c>
      <x:c r="H1655" s="25" t="str">
        <x:v>NOT_AVAILABLE</x:v>
      </x:c>
      <x:c r="I1655" s="25" t="str">
        <x:v>NOT_RUN</x:v>
      </x:c>
      <x:c r="J1655" s="25" t="str">
        <x:v>NOT_RUN</x:v>
      </x:c>
      <x:c r="K1655" s="25" t="n">
        <x:v>1</x:v>
      </x:c>
      <x:c r="L1655" s="27" t="b">
        <x:v>0</x:v>
      </x:c>
      <x:c r="M1655" s="25" t="str">
        <x:v>Deepseek-flash-v4/state/Round2/status/Mockito_18.json; Deepseek-flash-v4/state/Round2/shards/Mockito_18.json</x:v>
      </x:c>
      <x:c r="N1655" s="25" t="str">
        <x:v>Deepseek-flash-v4/Result2/Mockito_18/result.json</x:v>
      </x:c>
      <x:c r="O1655" s="25" t="str">
        <x:v>Deepseek-flash-v4/Result2/Mockito_18/result.json</x:v>
      </x:c>
      <x:c r="P1655" t="str">
        <x:v>BOTH_NOT_RUN</x:v>
      </x:c>
      <x:c r="Q1655" s="21" t="str"/>
      <x:c r="R1655" s="21" t="str"/>
      <x:c r="S1655" s="21" t="str"/>
      <x:c r="T1655" s="17" t="str">
        <x:v>false</x:v>
      </x:c>
      <x:c r="U1655" s="17" t="str">
        <x:v>true</x:v>
      </x:c>
      <x:c r="V1655" s="17" t="str">
        <x:v>false</x:v>
      </x:c>
    </x:row>
    <x:row r="1656" ht="80" customHeight="1">
      <x:c r="A1656" s="25" t="str">
        <x:v>Mockito</x:v>
      </x:c>
      <x:c r="B1656" s="25" t="n">
        <x:v>19</x:v>
      </x:c>
      <x:c r="C1656" s="25" t="str">
        <x:v>Round2</x:v>
      </x:c>
      <x:c r="D1656" s="25" t="str">
        <x:v>NOT_AVAILABLE</x:v>
      </x:c>
      <x:c r="E1656" s="25" t="str">
        <x:v>N/A</x:v>
      </x:c>
      <x:c r="F1656" s="26" t="str">
        <x:v>Tests exist but current coverage did not complete</x:v>
      </x:c>
      <x:c r="G1656" s="25" t="str">
        <x:v>true</x:v>
      </x:c>
      <x:c r="H1656" s="25" t="str">
        <x:v>NOT_AVAILABLE</x:v>
      </x:c>
      <x:c r="I1656" s="25" t="str">
        <x:v>NOT_RUN</x:v>
      </x:c>
      <x:c r="J1656" s="25" t="str">
        <x:v>NOT_RUN</x:v>
      </x:c>
      <x:c r="K1656" s="25" t="n">
        <x:v>5</x:v>
      </x:c>
      <x:c r="L1656" s="27" t="b">
        <x:v>0</x:v>
      </x:c>
      <x:c r="M1656" s="25" t="str">
        <x:v>Deepseek-flash-v4/state/Round2/status/Mockito_19.json; Deepseek-flash-v4/state/Round2/shards/Mockito_19.json</x:v>
      </x:c>
      <x:c r="N1656" s="25" t="str">
        <x:v>Deepseek-flash-v4/Result2/Mockito_19/result.json</x:v>
      </x:c>
      <x:c r="O1656" s="25" t="str">
        <x:v>Deepseek-flash-v4/Result2/Mockito_19/result.json</x:v>
      </x:c>
      <x:c r="P1656" t="str">
        <x:v>BOTH_NOT_RUN</x:v>
      </x:c>
      <x:c r="Q1656" s="21" t="str"/>
      <x:c r="R1656" s="21" t="str"/>
      <x:c r="S1656" s="21" t="str"/>
      <x:c r="T1656" s="17" t="str">
        <x:v>false</x:v>
      </x:c>
      <x:c r="U1656" s="17" t="str">
        <x:v>true</x:v>
      </x:c>
      <x:c r="V1656" s="17" t="str">
        <x:v>false</x:v>
      </x:c>
    </x:row>
    <x:row r="1657" ht="80" customHeight="1">
      <x:c r="A1657" s="25" t="str">
        <x:v>Mockito</x:v>
      </x:c>
      <x:c r="B1657" s="25" t="n">
        <x:v>2</x:v>
      </x:c>
      <x:c r="C1657" s="25" t="str">
        <x:v>Round2</x:v>
      </x:c>
      <x:c r="D1657" s="25" t="str">
        <x:v>INCONCLUSIVE</x:v>
      </x:c>
      <x:c r="E1657" s="25" t="str">
        <x:v>N/A</x:v>
      </x:c>
      <x:c r="F1657" s="26" t="str">
        <x:v>Fixed also failed; assertion failure cannot be attributed to this bug; Same-round generation metadata missing; use saved tests and execution evidence, no failure inferred</x:v>
      </x:c>
      <x:c r="G1657" s="25" t="str">
        <x:v>true</x:v>
      </x:c>
      <x:c r="H1657" s="25" t="str">
        <x:v>INCONCLUSIVE</x:v>
      </x:c>
      <x:c r="I1657" s="25" t="str">
        <x:v>FAIL</x:v>
      </x:c>
      <x:c r="J1657" s="25" t="str">
        <x:v>FAIL</x:v>
      </x:c>
      <x:c r="K1657" s="25" t="n">
        <x:v>1</x:v>
      </x:c>
      <x:c r="L1657" s="27" t="b">
        <x:v>0</x:v>
      </x:c>
      <x:c r="M1657" s="25"/>
      <x:c r="N1657" s="25" t="str">
        <x:v>Deepseek-flash-v4/Result2/Mockito_2/result.json</x:v>
      </x:c>
      <x:c r="O1657" s="25" t="str">
        <x:v>Deepseek-flash-v4/Result2/Mockito_2/result.json</x:v>
      </x:c>
      <x:c r="P1657"/>
      <x:c r="Q1657" s="21" t="str"/>
      <x:c r="R1657" s="21" t="str"/>
      <x:c r="S1657" s="21" t="str"/>
      <x:c r="T1657" s="17" t="str">
        <x:v>false</x:v>
      </x:c>
      <x:c r="U1657" s="17" t="str">
        <x:v>true</x:v>
      </x:c>
      <x:c r="V1657" s="17" t="str">
        <x:v>false</x:v>
      </x:c>
    </x:row>
    <x:row r="1658" ht="80" customHeight="1">
      <x:c r="A1658" s="25" t="str">
        <x:v>Mockito</x:v>
      </x:c>
      <x:c r="B1658" s="25" t="n">
        <x:v>20</x:v>
      </x:c>
      <x:c r="C1658" s="25" t="str">
        <x:v>Round2</x:v>
      </x:c>
      <x:c r="D1658" s="25" t="str">
        <x:v>NOT_AVAILABLE</x:v>
      </x:c>
      <x:c r="E1658" s="25" t="str">
        <x:v>N/A</x:v>
      </x:c>
      <x:c r="F1658" s="26" t="str">
        <x:v>Tests exist but current coverage did not complete</x:v>
      </x:c>
      <x:c r="G1658" s="25" t="str">
        <x:v>true</x:v>
      </x:c>
      <x:c r="H1658" s="25" t="str">
        <x:v>NOT_AVAILABLE</x:v>
      </x:c>
      <x:c r="I1658" s="25" t="str">
        <x:v>NOT_RUN</x:v>
      </x:c>
      <x:c r="J1658" s="25" t="str">
        <x:v>NOT_RUN</x:v>
      </x:c>
      <x:c r="K1658" s="25" t="n">
        <x:v>1</x:v>
      </x:c>
      <x:c r="L1658" s="27" t="b">
        <x:v>0</x:v>
      </x:c>
      <x:c r="M1658" s="25" t="str">
        <x:v>Deepseek-flash-v4/state/Round2/status/Mockito_20.json; Deepseek-flash-v4/state/Round2/shards/Mockito_20.json</x:v>
      </x:c>
      <x:c r="N1658" s="25" t="str">
        <x:v>Deepseek-flash-v4/Result2/Mockito_20/result.json</x:v>
      </x:c>
      <x:c r="O1658" s="25" t="str">
        <x:v>Deepseek-flash-v4/Result2/Mockito_20/result.json</x:v>
      </x:c>
      <x:c r="P1658" t="str">
        <x:v>BOTH_NOT_RUN</x:v>
      </x:c>
      <x:c r="Q1658" s="21" t="str"/>
      <x:c r="R1658" s="21" t="str"/>
      <x:c r="S1658" s="21" t="str"/>
      <x:c r="T1658" s="17" t="str">
        <x:v>false</x:v>
      </x:c>
      <x:c r="U1658" s="17" t="str">
        <x:v>true</x:v>
      </x:c>
      <x:c r="V1658" s="17" t="str">
        <x:v>false</x:v>
      </x:c>
    </x:row>
    <x:row r="1659" ht="80" customHeight="1">
      <x:c r="A1659" s="25" t="str">
        <x:v>Mockito</x:v>
      </x:c>
      <x:c r="B1659" s="25" t="n">
        <x:v>21</x:v>
      </x:c>
      <x:c r="C1659" s="25" t="str">
        <x:v>Round2</x:v>
      </x:c>
      <x:c r="D1659" s="25" t="str">
        <x:v>INCONCLUSIVE</x:v>
      </x:c>
      <x:c r="E1659" s="25" t="str">
        <x:v>N/A</x:v>
      </x:c>
      <x:c r="F1659" s="26" t="str">
        <x:v>Fixed also failed; assertion failure cannot be attributed to this bug; Same-round generation metadata missing; use saved tests and execution evidence, no failure inferred</x:v>
      </x:c>
      <x:c r="G1659" s="25" t="str">
        <x:v>true</x:v>
      </x:c>
      <x:c r="H1659" s="25" t="str">
        <x:v>INCONCLUSIVE</x:v>
      </x:c>
      <x:c r="I1659" s="25" t="str">
        <x:v>FAIL</x:v>
      </x:c>
      <x:c r="J1659" s="25" t="str">
        <x:v>FAIL</x:v>
      </x:c>
      <x:c r="K1659" s="25" t="n">
        <x:v>1</x:v>
      </x:c>
      <x:c r="L1659" s="27" t="b">
        <x:v>0</x:v>
      </x:c>
      <x:c r="M1659" s="25"/>
      <x:c r="N1659" s="25" t="str">
        <x:v>Deepseek-flash-v4/Result2/Mockito_21/result.json</x:v>
      </x:c>
      <x:c r="O1659" s="25" t="str">
        <x:v>Deepseek-flash-v4/Result2/Mockito_21/result.json</x:v>
      </x:c>
      <x:c r="P1659"/>
      <x:c r="Q1659" s="21" t="str"/>
      <x:c r="R1659" s="21" t="str"/>
      <x:c r="S1659" s="21" t="str"/>
      <x:c r="T1659" s="17" t="str">
        <x:v>false</x:v>
      </x:c>
      <x:c r="U1659" s="17" t="str">
        <x:v>true</x:v>
      </x:c>
      <x:c r="V1659" s="17" t="str">
        <x:v>false</x:v>
      </x:c>
    </x:row>
    <x:row r="1660" ht="80" customHeight="1">
      <x:c r="A1660" s="25" t="str">
        <x:v>Mockito</x:v>
      </x:c>
      <x:c r="B1660" s="25" t="n">
        <x:v>22</x:v>
      </x:c>
      <x:c r="C1660" s="25" t="str">
        <x:v>Round2</x:v>
      </x:c>
      <x:c r="D1660" s="25" t="str">
        <x:v>NOT_REVEALING</x:v>
      </x:c>
      <x:c r="E1660" s="25" t="str">
        <x:v>N/A</x:v>
      </x:c>
      <x:c r="F1660" s="26" t="str">
        <x:v>Same saved validation suite passed on buggy and fixed; Same-round generation metadata missing; use saved tests and execution evidence, no failure inferred</x:v>
      </x:c>
      <x:c r="G1660" s="25" t="str">
        <x:v>true</x:v>
      </x:c>
      <x:c r="H1660" s="25" t="str">
        <x:v>NOT_REVEALING</x:v>
      </x:c>
      <x:c r="I1660" s="25" t="str">
        <x:v>PASS</x:v>
      </x:c>
      <x:c r="J1660" s="25" t="str">
        <x:v>PASS</x:v>
      </x:c>
      <x:c r="K1660" s="25" t="n">
        <x:v>1</x:v>
      </x:c>
      <x:c r="L1660" s="27" t="b">
        <x:v>0</x:v>
      </x:c>
      <x:c r="M1660" s="25"/>
      <x:c r="N1660" s="25" t="str">
        <x:v>Deepseek-flash-v4/Result2/Mockito_22/result.json</x:v>
      </x:c>
      <x:c r="O1660" s="25" t="str">
        <x:v>Deepseek-flash-v4/Result2/Mockito_22/result.json</x:v>
      </x:c>
      <x:c r="P1660"/>
      <x:c r="Q1660" s="21" t="str"/>
      <x:c r="R1660" s="21" t="str"/>
      <x:c r="S1660" s="21" t="str"/>
      <x:c r="T1660" s="17" t="str">
        <x:v>false</x:v>
      </x:c>
      <x:c r="U1660" s="17" t="str">
        <x:v>true</x:v>
      </x:c>
      <x:c r="V1660" s="17" t="str">
        <x:v>false</x:v>
      </x:c>
    </x:row>
    <x:row r="1661" ht="80" customHeight="1">
      <x:c r="A1661" s="25" t="str">
        <x:v>Mockito</x:v>
      </x:c>
      <x:c r="B1661" s="25" t="n">
        <x:v>23</x:v>
      </x:c>
      <x:c r="C1661" s="25" t="str">
        <x:v>Round2</x:v>
      </x:c>
      <x:c r="D1661" s="25" t="str">
        <x:v>NOT_AVAILABLE</x:v>
      </x:c>
      <x:c r="E1661" s="25" t="str">
        <x:v>N/A</x:v>
      </x:c>
      <x:c r="F1661" s="26" t="str">
        <x:v>Tests exist but current coverage did not complete</x:v>
      </x:c>
      <x:c r="G1661" s="25" t="str">
        <x:v>true</x:v>
      </x:c>
      <x:c r="H1661" s="25" t="str">
        <x:v>NOT_AVAILABLE</x:v>
      </x:c>
      <x:c r="I1661" s="25" t="str">
        <x:v>NOT_RUN</x:v>
      </x:c>
      <x:c r="J1661" s="25" t="str">
        <x:v>NOT_RUN</x:v>
      </x:c>
      <x:c r="K1661" s="25" t="n">
        <x:v>1</x:v>
      </x:c>
      <x:c r="L1661" s="27" t="b">
        <x:v>0</x:v>
      </x:c>
      <x:c r="M1661" s="25" t="str">
        <x:v>Deepseek-flash-v4/state/Round2/status/Mockito_23.json; Deepseek-flash-v4/state/Round2/shards/Mockito_23.json</x:v>
      </x:c>
      <x:c r="N1661" s="25" t="str">
        <x:v>Deepseek-flash-v4/Result2/Mockito_23/result.json</x:v>
      </x:c>
      <x:c r="O1661" s="25" t="str">
        <x:v>Deepseek-flash-v4/Result2/Mockito_23/result.json</x:v>
      </x:c>
      <x:c r="P1661" t="str">
        <x:v>BOTH_NOT_RUN</x:v>
      </x:c>
      <x:c r="Q1661" s="21" t="str"/>
      <x:c r="R1661" s="21" t="str"/>
      <x:c r="S1661" s="21" t="str"/>
      <x:c r="T1661" s="17" t="str">
        <x:v>false</x:v>
      </x:c>
      <x:c r="U1661" s="17" t="str">
        <x:v>true</x:v>
      </x:c>
      <x:c r="V1661" s="17" t="str">
        <x:v>false</x:v>
      </x:c>
    </x:row>
    <x:row r="1662" ht="80" customHeight="1">
      <x:c r="A1662" s="25" t="str">
        <x:v>Mockito</x:v>
      </x:c>
      <x:c r="B1662" s="25" t="n">
        <x:v>24</x:v>
      </x:c>
      <x:c r="C1662" s="25" t="str">
        <x:v>Round2</x:v>
      </x:c>
      <x:c r="D1662" s="25" t="str">
        <x:v>NOT_AVAILABLE</x:v>
      </x:c>
      <x:c r="E1662" s="25" t="str">
        <x:v>N/A</x:v>
      </x:c>
      <x:c r="F1662" s="26" t="str">
        <x:v>Tests exist but current coverage did not complete</x:v>
      </x:c>
      <x:c r="G1662" s="25" t="str">
        <x:v>true</x:v>
      </x:c>
      <x:c r="H1662" s="25" t="str">
        <x:v>NOT_AVAILABLE</x:v>
      </x:c>
      <x:c r="I1662" s="25" t="str">
        <x:v>NOT_RUN</x:v>
      </x:c>
      <x:c r="J1662" s="25" t="str">
        <x:v>NOT_RUN</x:v>
      </x:c>
      <x:c r="K1662" s="25" t="n">
        <x:v>1</x:v>
      </x:c>
      <x:c r="L1662" s="27" t="b">
        <x:v>0</x:v>
      </x:c>
      <x:c r="M1662" s="25" t="str">
        <x:v>Deepseek-flash-v4/state/Round2/status/Mockito_24.json; Deepseek-flash-v4/state/Round2/shards/Mockito_24.json</x:v>
      </x:c>
      <x:c r="N1662" s="25" t="str">
        <x:v>Deepseek-flash-v4/Result2/Mockito_24/result.json</x:v>
      </x:c>
      <x:c r="O1662" s="25" t="str">
        <x:v>Deepseek-flash-v4/Result2/Mockito_24/result.json</x:v>
      </x:c>
      <x:c r="P1662" t="str">
        <x:v>BOTH_NOT_RUN</x:v>
      </x:c>
      <x:c r="Q1662" s="21" t="str"/>
      <x:c r="R1662" s="21" t="str"/>
      <x:c r="S1662" s="21" t="str"/>
      <x:c r="T1662" s="17" t="str">
        <x:v>false</x:v>
      </x:c>
      <x:c r="U1662" s="17" t="str">
        <x:v>true</x:v>
      </x:c>
      <x:c r="V1662" s="17" t="str">
        <x:v>false</x:v>
      </x:c>
    </x:row>
    <x:row r="1663" ht="80" customHeight="1">
      <x:c r="A1663" s="25" t="str">
        <x:v>Mockito</x:v>
      </x:c>
      <x:c r="B1663" s="25" t="n">
        <x:v>25</x:v>
      </x:c>
      <x:c r="C1663" s="25" t="str">
        <x:v>Round2</x:v>
      </x:c>
      <x:c r="D1663" s="25" t="str">
        <x:v>NOT_REVEALING</x:v>
      </x:c>
      <x:c r="E1663" s="25" t="str">
        <x:v>N/A</x:v>
      </x:c>
      <x:c r="F1663" s="26" t="str">
        <x:v>Same saved validation suite passed on buggy and fixed</x:v>
      </x:c>
      <x:c r="G1663" s="25" t="str">
        <x:v>true</x:v>
      </x:c>
      <x:c r="H1663" s="25" t="str">
        <x:v>NOT_REVEALING</x:v>
      </x:c>
      <x:c r="I1663" s="25" t="str">
        <x:v>PASS</x:v>
      </x:c>
      <x:c r="J1663" s="25" t="str">
        <x:v>PASS</x:v>
      </x:c>
      <x:c r="K1663" s="25" t="n">
        <x:v>1</x:v>
      </x:c>
      <x:c r="L1663" s="27" t="b">
        <x:v>0</x:v>
      </x:c>
      <x:c r="M1663" s="25" t="str">
        <x:v>Deepseek-flash-v4/state/Round2/status/Mockito_25.json; Deepseek-flash-v4/state/Round2/shards/Mockito_25.json</x:v>
      </x:c>
      <x:c r="N1663" s="25" t="str">
        <x:v>Deepseek-flash-v4/Result2/Mockito_25/result.json</x:v>
      </x:c>
      <x:c r="O1663" s="25" t="str">
        <x:v>Deepseek-flash-v4/Result2/Mockito_25/result.json</x:v>
      </x:c>
      <x:c r="P1663"/>
      <x:c r="Q1663" s="21" t="str"/>
      <x:c r="R1663" s="21" t="str"/>
      <x:c r="S1663" s="21" t="str"/>
      <x:c r="T1663" s="17" t="str">
        <x:v>false</x:v>
      </x:c>
      <x:c r="U1663" s="17" t="str">
        <x:v>true</x:v>
      </x:c>
      <x:c r="V1663" s="17" t="str">
        <x:v>false</x:v>
      </x:c>
    </x:row>
    <x:row r="1664" ht="80" customHeight="1">
      <x:c r="A1664" s="25" t="str">
        <x:v>Mockito</x:v>
      </x:c>
      <x:c r="B1664" s="25" t="n">
        <x:v>26</x:v>
      </x:c>
      <x:c r="C1664" s="25" t="str">
        <x:v>Round2</x:v>
      </x:c>
      <x:c r="D1664" s="25" t="str">
        <x:v>REVEALING</x:v>
      </x:c>
      <x:c r="E1664" s="25" t="str">
        <x:v>N/A</x:v>
      </x:c>
      <x:c r="F1664" s="26" t="str">
        <x:v>Same saved validation suite failed on buggy and passed on fixed</x:v>
      </x:c>
      <x:c r="G1664" s="25" t="str">
        <x:v>true</x:v>
      </x:c>
      <x:c r="H1664" s="25" t="str">
        <x:v>REVEALING</x:v>
      </x:c>
      <x:c r="I1664" s="25" t="str">
        <x:v>FAIL</x:v>
      </x:c>
      <x:c r="J1664" s="25" t="str">
        <x:v>PASS</x:v>
      </x:c>
      <x:c r="K1664" s="25" t="n">
        <x:v>1</x:v>
      </x:c>
      <x:c r="L1664" s="27" t="b">
        <x:v>0</x:v>
      </x:c>
      <x:c r="M1664" s="25" t="str">
        <x:v>Deepseek-flash-v4/state/Round2/status/Mockito_26.json; Deepseek-flash-v4/state/Round2/shards/Mockito_26.json</x:v>
      </x:c>
      <x:c r="N1664" s="25" t="str">
        <x:v>Deepseek-flash-v4/Result2/Mockito_26/result.json</x:v>
      </x:c>
      <x:c r="O1664" s="25" t="str">
        <x:v>Deepseek-flash-v4/Result2/Mockito_26/result.json</x:v>
      </x:c>
      <x:c r="P1664"/>
      <x:c r="Q1664" s="21" t="str"/>
      <x:c r="R1664" s="21" t="str"/>
      <x:c r="S1664" s="21" t="str"/>
      <x:c r="T1664" s="17" t="str">
        <x:v>false</x:v>
      </x:c>
      <x:c r="U1664" s="17" t="str">
        <x:v>true</x:v>
      </x:c>
      <x:c r="V1664" s="17" t="str">
        <x:v>false</x:v>
      </x:c>
    </x:row>
    <x:row r="1665" ht="80" customHeight="1">
      <x:c r="A1665" s="25" t="str">
        <x:v>Mockito</x:v>
      </x:c>
      <x:c r="B1665" s="25" t="n">
        <x:v>27</x:v>
      </x:c>
      <x:c r="C1665" s="25" t="str">
        <x:v>Round2</x:v>
      </x:c>
      <x:c r="D1665" s="25" t="str">
        <x:v>NOT_AVAILABLE</x:v>
      </x:c>
      <x:c r="E1665" s="25" t="str">
        <x:v>N/A</x:v>
      </x:c>
      <x:c r="F1665" s="26" t="str">
        <x:v>Tests exist but current coverage did not complete</x:v>
      </x:c>
      <x:c r="G1665" s="25" t="str">
        <x:v>true</x:v>
      </x:c>
      <x:c r="H1665" s="25" t="str">
        <x:v>NOT_AVAILABLE</x:v>
      </x:c>
      <x:c r="I1665" s="25" t="str">
        <x:v>NOT_RUN</x:v>
      </x:c>
      <x:c r="J1665" s="25" t="str">
        <x:v>NOT_RUN</x:v>
      </x:c>
      <x:c r="K1665" s="25" t="n">
        <x:v>1</x:v>
      </x:c>
      <x:c r="L1665" s="27" t="b">
        <x:v>0</x:v>
      </x:c>
      <x:c r="M1665" s="25" t="str">
        <x:v>Deepseek-flash-v4/state/Round2/status/Mockito_27.json; Deepseek-flash-v4/state/Round2/shards/Mockito_27.json</x:v>
      </x:c>
      <x:c r="N1665" s="25" t="str">
        <x:v>Deepseek-flash-v4/Result2/Mockito_27/result.json</x:v>
      </x:c>
      <x:c r="O1665" s="25" t="str">
        <x:v>Deepseek-flash-v4/Result2/Mockito_27/result.json</x:v>
      </x:c>
      <x:c r="P1665" t="str">
        <x:v>BOTH_NOT_RUN</x:v>
      </x:c>
      <x:c r="Q1665" s="21" t="str"/>
      <x:c r="R1665" s="21" t="str"/>
      <x:c r="S1665" s="21" t="str"/>
      <x:c r="T1665" s="17" t="str">
        <x:v>false</x:v>
      </x:c>
      <x:c r="U1665" s="17" t="str">
        <x:v>true</x:v>
      </x:c>
      <x:c r="V1665" s="17" t="str">
        <x:v>false</x:v>
      </x:c>
    </x:row>
    <x:row r="1666" ht="80" customHeight="1">
      <x:c r="A1666" s="25" t="str">
        <x:v>Mockito</x:v>
      </x:c>
      <x:c r="B1666" s="25" t="n">
        <x:v>28</x:v>
      </x:c>
      <x:c r="C1666" s="25" t="str">
        <x:v>Round2</x:v>
      </x:c>
      <x:c r="D1666" s="25" t="str">
        <x:v>NOT_REVEALING</x:v>
      </x:c>
      <x:c r="E1666" s="25" t="str">
        <x:v>N/A</x:v>
      </x:c>
      <x:c r="F1666" s="26" t="str">
        <x:v>Same saved validation suite passed on buggy and fixed</x:v>
      </x:c>
      <x:c r="G1666" s="25" t="str">
        <x:v>true</x:v>
      </x:c>
      <x:c r="H1666" s="25" t="str">
        <x:v>NOT_REVEALING</x:v>
      </x:c>
      <x:c r="I1666" s="25" t="str">
        <x:v>PASS</x:v>
      </x:c>
      <x:c r="J1666" s="25" t="str">
        <x:v>PASS</x:v>
      </x:c>
      <x:c r="K1666" s="25" t="n">
        <x:v>1</x:v>
      </x:c>
      <x:c r="L1666" s="27" t="b">
        <x:v>0</x:v>
      </x:c>
      <x:c r="M1666" s="25" t="str">
        <x:v>Deepseek-flash-v4/state/Round2/status/Mockito_28.json; Deepseek-flash-v4/state/Round2/shards/Mockito_28.json</x:v>
      </x:c>
      <x:c r="N1666" s="25" t="str">
        <x:v>Deepseek-flash-v4/Result2/Mockito_28/result.json</x:v>
      </x:c>
      <x:c r="O1666" s="25" t="str">
        <x:v>Deepseek-flash-v4/Result2/Mockito_28/result.json</x:v>
      </x:c>
      <x:c r="P1666"/>
      <x:c r="Q1666" s="21" t="str"/>
      <x:c r="R1666" s="21" t="str"/>
      <x:c r="S1666" s="21" t="str"/>
      <x:c r="T1666" s="17" t="str">
        <x:v>false</x:v>
      </x:c>
      <x:c r="U1666" s="17" t="str">
        <x:v>true</x:v>
      </x:c>
      <x:c r="V1666" s="17" t="str">
        <x:v>false</x:v>
      </x:c>
    </x:row>
    <x:row r="1667" ht="80" customHeight="1">
      <x:c r="A1667" s="25" t="str">
        <x:v>Mockito</x:v>
      </x:c>
      <x:c r="B1667" s="25" t="n">
        <x:v>29</x:v>
      </x:c>
      <x:c r="C1667" s="25" t="str">
        <x:v>Round2</x:v>
      </x:c>
      <x:c r="D1667" s="25" t="str">
        <x:v>NOT_AVAILABLE</x:v>
      </x:c>
      <x:c r="E1667" s="25" t="str">
        <x:v>N/A</x:v>
      </x:c>
      <x:c r="F1667" s="26" t="str">
        <x:v>Tests exist but current coverage did not complete</x:v>
      </x:c>
      <x:c r="G1667" s="25" t="str">
        <x:v>true</x:v>
      </x:c>
      <x:c r="H1667" s="25" t="str">
        <x:v>NOT_AVAILABLE</x:v>
      </x:c>
      <x:c r="I1667" s="25" t="str">
        <x:v>NOT_RUN</x:v>
      </x:c>
      <x:c r="J1667" s="25" t="str">
        <x:v>NOT_RUN</x:v>
      </x:c>
      <x:c r="K1667" s="25" t="n">
        <x:v>1</x:v>
      </x:c>
      <x:c r="L1667" s="27" t="b">
        <x:v>0</x:v>
      </x:c>
      <x:c r="M1667" s="25" t="str">
        <x:v>Deepseek-flash-v4/state/Round2/status/Mockito_29.json; Deepseek-flash-v4/state/Round2/shards/Mockito_29.json</x:v>
      </x:c>
      <x:c r="N1667" s="25" t="str">
        <x:v>Deepseek-flash-v4/Result2/Mockito_29/result.json</x:v>
      </x:c>
      <x:c r="O1667" s="25" t="str">
        <x:v>Deepseek-flash-v4/Result2/Mockito_29/result.json</x:v>
      </x:c>
      <x:c r="P1667" t="str">
        <x:v>BOTH_NOT_RUN</x:v>
      </x:c>
      <x:c r="Q1667" s="21" t="str"/>
      <x:c r="R1667" s="21" t="str"/>
      <x:c r="S1667" s="21" t="str"/>
      <x:c r="T1667" s="17" t="str">
        <x:v>false</x:v>
      </x:c>
      <x:c r="U1667" s="17" t="str">
        <x:v>true</x:v>
      </x:c>
      <x:c r="V1667" s="17" t="str">
        <x:v>false</x:v>
      </x:c>
    </x:row>
    <x:row r="1668" ht="80" customHeight="1">
      <x:c r="A1668" s="25" t="str">
        <x:v>Mockito</x:v>
      </x:c>
      <x:c r="B1668" s="25" t="n">
        <x:v>3</x:v>
      </x:c>
      <x:c r="C1668" s="25" t="str">
        <x:v>Round2</x:v>
      </x:c>
      <x:c r="D1668" s="25" t="str">
        <x:v>NOT_AVAILABLE</x:v>
      </x:c>
      <x:c r="E1668" s="25" t="str">
        <x:v>N/A</x:v>
      </x:c>
      <x:c r="F1668" s="26" t="str">
        <x:v>Tests exist but current coverage did not complete</x:v>
      </x:c>
      <x:c r="G1668" s="25" t="str">
        <x:v>true</x:v>
      </x:c>
      <x:c r="H1668" s="25" t="str">
        <x:v>NOT_AVAILABLE</x:v>
      </x:c>
      <x:c r="I1668" s="25" t="str">
        <x:v>NOT_RUN</x:v>
      </x:c>
      <x:c r="J1668" s="25" t="str">
        <x:v>NOT_RUN</x:v>
      </x:c>
      <x:c r="K1668" s="25" t="n">
        <x:v>1</x:v>
      </x:c>
      <x:c r="L1668" s="27" t="b">
        <x:v>0</x:v>
      </x:c>
      <x:c r="M1668" s="25" t="str">
        <x:v>Deepseek-flash-v4/state/Round2/status/Mockito_3.json; Deepseek-flash-v4/state/Round2/shards/Mockito_3.json</x:v>
      </x:c>
      <x:c r="N1668" s="25" t="str">
        <x:v>Deepseek-flash-v4/Result2/Mockito_3/result.json</x:v>
      </x:c>
      <x:c r="O1668" s="25" t="str">
        <x:v>Deepseek-flash-v4/Result2/Mockito_3/result.json</x:v>
      </x:c>
      <x:c r="P1668" t="str">
        <x:v>BOTH_NOT_RUN</x:v>
      </x:c>
      <x:c r="Q1668" s="21" t="str"/>
      <x:c r="R1668" s="21" t="str"/>
      <x:c r="S1668" s="21" t="str"/>
      <x:c r="T1668" s="17" t="str">
        <x:v>false</x:v>
      </x:c>
      <x:c r="U1668" s="17" t="str">
        <x:v>true</x:v>
      </x:c>
      <x:c r="V1668" s="17" t="str">
        <x:v>false</x:v>
      </x:c>
    </x:row>
    <x:row r="1669" ht="80" customHeight="1">
      <x:c r="A1669" s="25" t="str">
        <x:v>Mockito</x:v>
      </x:c>
      <x:c r="B1669" s="25" t="n">
        <x:v>30</x:v>
      </x:c>
      <x:c r="C1669" s="25" t="str">
        <x:v>Round2</x:v>
      </x:c>
      <x:c r="D1669" s="25" t="str">
        <x:v>NOT_AVAILABLE</x:v>
      </x:c>
      <x:c r="E1669" s="25" t="str">
        <x:v>N/A</x:v>
      </x:c>
      <x:c r="F1669" s="26" t="str">
        <x:v>fixed test_compile=FAIL</x:v>
      </x:c>
      <x:c r="G1669" s="25" t="str">
        <x:v>true</x:v>
      </x:c>
      <x:c r="H1669" s="25" t="str">
        <x:v>NOT_AVAILABLE</x:v>
      </x:c>
      <x:c r="I1669" s="25" t="str">
        <x:v>FAIL</x:v>
      </x:c>
      <x:c r="J1669" s="25" t="str">
        <x:v>NOT_RUN</x:v>
      </x:c>
      <x:c r="K1669" s="25" t="n">
        <x:v>2</x:v>
      </x:c>
      <x:c r="L1669" s="27" t="b">
        <x:v>0</x:v>
      </x:c>
      <x:c r="M1669" s="25" t="str">
        <x:v>Deepseek-flash-v4/state/Round2/status/Mockito_30.json; Deepseek-flash-v4/state/Round2/shards/Mockito_30.json</x:v>
      </x:c>
      <x:c r="N1669" s="25" t="str">
        <x:v>Deepseek-flash-v4/Result2/Mockito_30/result.json</x:v>
      </x:c>
      <x:c r="O1669" s="25" t="str">
        <x:v>Deepseek-flash-v4/Result2/Mockito_30/result.json</x:v>
      </x:c>
      <x:c r="P1669" t="str">
        <x:v>FIXED_NOT_RUN</x:v>
      </x:c>
      <x:c r="Q1669" s="21" t="str"/>
      <x:c r="R1669" s="21" t="str"/>
      <x:c r="S1669" s="21" t="str"/>
      <x:c r="T1669" s="17" t="str">
        <x:v>false</x:v>
      </x:c>
      <x:c r="U1669" s="17" t="str">
        <x:v>true</x:v>
      </x:c>
      <x:c r="V1669" s="17" t="str">
        <x:v>false</x:v>
      </x:c>
    </x:row>
    <x:row r="1670" ht="80" customHeight="1">
      <x:c r="A1670" s="25" t="str">
        <x:v>Mockito</x:v>
      </x:c>
      <x:c r="B1670" s="25" t="n">
        <x:v>31</x:v>
      </x:c>
      <x:c r="C1670" s="25" t="str">
        <x:v>Round2</x:v>
      </x:c>
      <x:c r="D1670" s="25" t="str">
        <x:v>NOT_REVEALING</x:v>
      </x:c>
      <x:c r="E1670" s="25" t="str">
        <x:v>N/A</x:v>
      </x:c>
      <x:c r="F1670" s="26" t="str">
        <x:v>Same saved validation suite passed on buggy and fixed</x:v>
      </x:c>
      <x:c r="G1670" s="25" t="str">
        <x:v>true</x:v>
      </x:c>
      <x:c r="H1670" s="25" t="str">
        <x:v>NOT_REVEALING</x:v>
      </x:c>
      <x:c r="I1670" s="25" t="str">
        <x:v>PASS</x:v>
      </x:c>
      <x:c r="J1670" s="25" t="str">
        <x:v>PASS</x:v>
      </x:c>
      <x:c r="K1670" s="25" t="n">
        <x:v>1</x:v>
      </x:c>
      <x:c r="L1670" s="27" t="b">
        <x:v>0</x:v>
      </x:c>
      <x:c r="M1670" s="25" t="str">
        <x:v>Deepseek-flash-v4/state/Round2/status/Mockito_31.json; Deepseek-flash-v4/state/Round2/shards/Mockito_31.json</x:v>
      </x:c>
      <x:c r="N1670" s="25" t="str">
        <x:v>Deepseek-flash-v4/Result2/Mockito_31/result.json</x:v>
      </x:c>
      <x:c r="O1670" s="25" t="str">
        <x:v>Deepseek-flash-v4/Result2/Mockito_31/result.json</x:v>
      </x:c>
      <x:c r="P1670"/>
      <x:c r="Q1670" s="21" t="str"/>
      <x:c r="R1670" s="21" t="str"/>
      <x:c r="S1670" s="21" t="str"/>
      <x:c r="T1670" s="17" t="str">
        <x:v>false</x:v>
      </x:c>
      <x:c r="U1670" s="17" t="str">
        <x:v>true</x:v>
      </x:c>
      <x:c r="V1670" s="17" t="str">
        <x:v>false</x:v>
      </x:c>
    </x:row>
    <x:row r="1671" ht="80" customHeight="1">
      <x:c r="A1671" s="25" t="str">
        <x:v>Mockito</x:v>
      </x:c>
      <x:c r="B1671" s="25" t="n">
        <x:v>32</x:v>
      </x:c>
      <x:c r="C1671" s="25" t="str">
        <x:v>Round2</x:v>
      </x:c>
      <x:c r="D1671" s="25" t="str">
        <x:v>INCONCLUSIVE</x:v>
      </x:c>
      <x:c r="E1671" s="25" t="str">
        <x:v>N/A</x:v>
      </x:c>
      <x:c r="F1671" s="26" t="str">
        <x:v>Fixed also failed; assertion failure cannot be attributed to this bug</x:v>
      </x:c>
      <x:c r="G1671" s="25" t="str">
        <x:v>true</x:v>
      </x:c>
      <x:c r="H1671" s="25" t="str">
        <x:v>INCONCLUSIVE</x:v>
      </x:c>
      <x:c r="I1671" s="25" t="str">
        <x:v>FAIL</x:v>
      </x:c>
      <x:c r="J1671" s="25" t="str">
        <x:v>FAIL</x:v>
      </x:c>
      <x:c r="K1671" s="25" t="n">
        <x:v>1</x:v>
      </x:c>
      <x:c r="L1671" s="27" t="b">
        <x:v>0</x:v>
      </x:c>
      <x:c r="M1671" s="25" t="str">
        <x:v>Deepseek-flash-v4/state/Round2/status/Mockito_32.json; Deepseek-flash-v4/state/Round2/shards/Mockito_32.json</x:v>
      </x:c>
      <x:c r="N1671" s="25" t="str">
        <x:v>Deepseek-flash-v4/Result2/Mockito_32/result.json</x:v>
      </x:c>
      <x:c r="O1671" s="25" t="str">
        <x:v>Deepseek-flash-v4/Result2/Mockito_32/result.json</x:v>
      </x:c>
      <x:c r="P1671"/>
      <x:c r="Q1671" s="21" t="str"/>
      <x:c r="R1671" s="21" t="str"/>
      <x:c r="S1671" s="21" t="str"/>
      <x:c r="T1671" s="17" t="str">
        <x:v>false</x:v>
      </x:c>
      <x:c r="U1671" s="17" t="str">
        <x:v>true</x:v>
      </x:c>
      <x:c r="V1671" s="17" t="str">
        <x:v>false</x:v>
      </x:c>
    </x:row>
    <x:row r="1672" ht="80" customHeight="1">
      <x:c r="A1672" s="25" t="str">
        <x:v>Mockito</x:v>
      </x:c>
      <x:c r="B1672" s="25" t="n">
        <x:v>33</x:v>
      </x:c>
      <x:c r="C1672" s="25" t="str">
        <x:v>Round2</x:v>
      </x:c>
      <x:c r="D1672" s="25" t="str">
        <x:v>NOT_AVAILABLE</x:v>
      </x:c>
      <x:c r="E1672" s="25" t="str">
        <x:v>N/A</x:v>
      </x:c>
      <x:c r="F1672" s="26" t="str">
        <x:v>Tests exist but current coverage did not complete</x:v>
      </x:c>
      <x:c r="G1672" s="25" t="str">
        <x:v>true</x:v>
      </x:c>
      <x:c r="H1672" s="25" t="str">
        <x:v>NOT_AVAILABLE</x:v>
      </x:c>
      <x:c r="I1672" s="25" t="str">
        <x:v>NOT_RUN</x:v>
      </x:c>
      <x:c r="J1672" s="25" t="str">
        <x:v>NOT_RUN</x:v>
      </x:c>
      <x:c r="K1672" s="25" t="n">
        <x:v>1</x:v>
      </x:c>
      <x:c r="L1672" s="27" t="b">
        <x:v>0</x:v>
      </x:c>
      <x:c r="M1672" s="25" t="str">
        <x:v>Deepseek-flash-v4/state/Round2/status/Mockito_33.json; Deepseek-flash-v4/state/Round2/shards/Mockito_33.json</x:v>
      </x:c>
      <x:c r="N1672" s="25" t="str">
        <x:v>Deepseek-flash-v4/Result2/Mockito_33/result.json</x:v>
      </x:c>
      <x:c r="O1672" s="25" t="str">
        <x:v>Deepseek-flash-v4/Result2/Mockito_33/result.json</x:v>
      </x:c>
      <x:c r="P1672" t="str">
        <x:v>BOTH_NOT_RUN</x:v>
      </x:c>
      <x:c r="Q1672" s="21" t="str"/>
      <x:c r="R1672" s="21" t="str"/>
      <x:c r="S1672" s="21" t="str"/>
      <x:c r="T1672" s="17" t="str">
        <x:v>false</x:v>
      </x:c>
      <x:c r="U1672" s="17" t="str">
        <x:v>true</x:v>
      </x:c>
      <x:c r="V1672" s="17" t="str">
        <x:v>false</x:v>
      </x:c>
    </x:row>
    <x:row r="1673" ht="80" customHeight="1">
      <x:c r="A1673" s="25" t="str">
        <x:v>Mockito</x:v>
      </x:c>
      <x:c r="B1673" s="25" t="n">
        <x:v>34</x:v>
      </x:c>
      <x:c r="C1673" s="25" t="str">
        <x:v>Round2</x:v>
      </x:c>
      <x:c r="D1673" s="25" t="str">
        <x:v>NOT_AVAILABLE</x:v>
      </x:c>
      <x:c r="E1673" s="25" t="str">
        <x:v>N/A</x:v>
      </x:c>
      <x:c r="F1673" s="26" t="str">
        <x:v>Tests exist but current coverage did not complete</x:v>
      </x:c>
      <x:c r="G1673" s="25" t="str">
        <x:v>true</x:v>
      </x:c>
      <x:c r="H1673" s="25" t="str">
        <x:v>NOT_AVAILABLE</x:v>
      </x:c>
      <x:c r="I1673" s="25" t="str">
        <x:v>NOT_RUN</x:v>
      </x:c>
      <x:c r="J1673" s="25" t="str">
        <x:v>NOT_RUN</x:v>
      </x:c>
      <x:c r="K1673" s="25" t="n">
        <x:v>1</x:v>
      </x:c>
      <x:c r="L1673" s="27" t="b">
        <x:v>0</x:v>
      </x:c>
      <x:c r="M1673" s="25" t="str">
        <x:v>Deepseek-flash-v4/state/Round2/status/Mockito_34.json; Deepseek-flash-v4/state/Round2/shards/Mockito_34.json</x:v>
      </x:c>
      <x:c r="N1673" s="25" t="str">
        <x:v>Deepseek-flash-v4/Result2/Mockito_34/result.json</x:v>
      </x:c>
      <x:c r="O1673" s="25" t="str">
        <x:v>Deepseek-flash-v4/Result2/Mockito_34/result.json</x:v>
      </x:c>
      <x:c r="P1673" t="str">
        <x:v>BOTH_NOT_RUN</x:v>
      </x:c>
      <x:c r="Q1673" s="21" t="str"/>
      <x:c r="R1673" s="21" t="str"/>
      <x:c r="S1673" s="21" t="str"/>
      <x:c r="T1673" s="17" t="str">
        <x:v>false</x:v>
      </x:c>
      <x:c r="U1673" s="17" t="str">
        <x:v>true</x:v>
      </x:c>
      <x:c r="V1673" s="17" t="str">
        <x:v>false</x:v>
      </x:c>
    </x:row>
    <x:row r="1674" ht="80" customHeight="1">
      <x:c r="A1674" s="25" t="str">
        <x:v>Mockito</x:v>
      </x:c>
      <x:c r="B1674" s="25" t="n">
        <x:v>35</x:v>
      </x:c>
      <x:c r="C1674" s="25" t="str">
        <x:v>Round2</x:v>
      </x:c>
      <x:c r="D1674" s="25" t="str">
        <x:v>INCONCLUSIVE</x:v>
      </x:c>
      <x:c r="E1674" s="25" t="str">
        <x:v>N/A</x:v>
      </x:c>
      <x:c r="F1674" s="26" t="str">
        <x:v>Fixed also failed; assertion failure cannot be attributed to this bug</x:v>
      </x:c>
      <x:c r="G1674" s="25" t="str">
        <x:v>true</x:v>
      </x:c>
      <x:c r="H1674" s="25" t="str">
        <x:v>INCONCLUSIVE</x:v>
      </x:c>
      <x:c r="I1674" s="25" t="str">
        <x:v>PASS</x:v>
      </x:c>
      <x:c r="J1674" s="25" t="str">
        <x:v>FAIL</x:v>
      </x:c>
      <x:c r="K1674" s="25" t="n">
        <x:v>1</x:v>
      </x:c>
      <x:c r="L1674" s="27" t="b">
        <x:v>0</x:v>
      </x:c>
      <x:c r="M1674" s="25" t="str">
        <x:v>Deepseek-flash-v4/state/Round2/status/Mockito_35.json; Deepseek-flash-v4/state/Round2/shards/Mockito_35.json</x:v>
      </x:c>
      <x:c r="N1674" s="25" t="str">
        <x:v>Deepseek-flash-v4/Result2/Mockito_35/result.json</x:v>
      </x:c>
      <x:c r="O1674" s="25" t="str">
        <x:v>Deepseek-flash-v4/Result2/Mockito_35/result.json</x:v>
      </x:c>
      <x:c r="P1674"/>
      <x:c r="Q1674" s="21" t="str"/>
      <x:c r="R1674" s="21" t="str"/>
      <x:c r="S1674" s="21" t="str"/>
      <x:c r="T1674" s="17" t="str">
        <x:v>false</x:v>
      </x:c>
      <x:c r="U1674" s="17" t="str">
        <x:v>true</x:v>
      </x:c>
      <x:c r="V1674" s="17" t="str">
        <x:v>false</x:v>
      </x:c>
    </x:row>
    <x:row r="1675" ht="80" customHeight="1">
      <x:c r="A1675" s="25" t="str">
        <x:v>Mockito</x:v>
      </x:c>
      <x:c r="B1675" s="25" t="n">
        <x:v>36</x:v>
      </x:c>
      <x:c r="C1675" s="25" t="str">
        <x:v>Round2</x:v>
      </x:c>
      <x:c r="D1675" s="25" t="str">
        <x:v>NOT_AVAILABLE</x:v>
      </x:c>
      <x:c r="E1675" s="25" t="str">
        <x:v>N/A</x:v>
      </x:c>
      <x:c r="F1675" s="26" t="str">
        <x:v>Tests exist but current coverage did not complete</x:v>
      </x:c>
      <x:c r="G1675" s="25" t="str">
        <x:v>true</x:v>
      </x:c>
      <x:c r="H1675" s="25" t="str">
        <x:v>NOT_AVAILABLE</x:v>
      </x:c>
      <x:c r="I1675" s="25" t="str">
        <x:v>NOT_RUN</x:v>
      </x:c>
      <x:c r="J1675" s="25" t="str">
        <x:v>NOT_RUN</x:v>
      </x:c>
      <x:c r="K1675" s="25" t="n">
        <x:v>1</x:v>
      </x:c>
      <x:c r="L1675" s="27" t="b">
        <x:v>0</x:v>
      </x:c>
      <x:c r="M1675" s="25" t="str">
        <x:v>Deepseek-flash-v4/state/Round2/status/Mockito_36.json; Deepseek-flash-v4/state/Round2/shards/Mockito_36.json</x:v>
      </x:c>
      <x:c r="N1675" s="25" t="str">
        <x:v>Deepseek-flash-v4/Result2/Mockito_36/result.json</x:v>
      </x:c>
      <x:c r="O1675" s="25" t="str">
        <x:v>Deepseek-flash-v4/Result2/Mockito_36/result.json</x:v>
      </x:c>
      <x:c r="P1675" t="str">
        <x:v>BOTH_NOT_RUN</x:v>
      </x:c>
      <x:c r="Q1675" s="21" t="str"/>
      <x:c r="R1675" s="21" t="str"/>
      <x:c r="S1675" s="21" t="str"/>
      <x:c r="T1675" s="17" t="str">
        <x:v>false</x:v>
      </x:c>
      <x:c r="U1675" s="17" t="str">
        <x:v>true</x:v>
      </x:c>
      <x:c r="V1675" s="17" t="str">
        <x:v>false</x:v>
      </x:c>
    </x:row>
    <x:row r="1676" ht="80" customHeight="1">
      <x:c r="A1676" s="25" t="str">
        <x:v>Mockito</x:v>
      </x:c>
      <x:c r="B1676" s="25" t="n">
        <x:v>37</x:v>
      </x:c>
      <x:c r="C1676" s="25" t="str">
        <x:v>Round2</x:v>
      </x:c>
      <x:c r="D1676" s="25" t="str">
        <x:v>INCONCLUSIVE</x:v>
      </x:c>
      <x:c r="E1676" s="25" t="str">
        <x:v>N/A</x:v>
      </x:c>
      <x:c r="F1676" s="26" t="str">
        <x:v>Fixed also failed; assertion failure cannot be attributed to this bug; Same-round generation metadata missing; use saved tests and execution evidence, no failure inferred</x:v>
      </x:c>
      <x:c r="G1676" s="25" t="str">
        <x:v>true</x:v>
      </x:c>
      <x:c r="H1676" s="25" t="str">
        <x:v>INCONCLUSIVE</x:v>
      </x:c>
      <x:c r="I1676" s="25" t="str">
        <x:v>FAIL</x:v>
      </x:c>
      <x:c r="J1676" s="25" t="str">
        <x:v>FAIL</x:v>
      </x:c>
      <x:c r="K1676" s="25" t="n">
        <x:v>1</x:v>
      </x:c>
      <x:c r="L1676" s="27" t="b">
        <x:v>0</x:v>
      </x:c>
      <x:c r="M1676" s="25"/>
      <x:c r="N1676" s="25" t="str">
        <x:v>Deepseek-flash-v4/Result2/Mockito_37/result.json</x:v>
      </x:c>
      <x:c r="O1676" s="25" t="str">
        <x:v>Deepseek-flash-v4/Result2/Mockito_37/result.json</x:v>
      </x:c>
      <x:c r="P1676"/>
      <x:c r="Q1676" s="21" t="str"/>
      <x:c r="R1676" s="21" t="str"/>
      <x:c r="S1676" s="21" t="str"/>
      <x:c r="T1676" s="17" t="str">
        <x:v>false</x:v>
      </x:c>
      <x:c r="U1676" s="17" t="str">
        <x:v>true</x:v>
      </x:c>
      <x:c r="V1676" s="17" t="str">
        <x:v>false</x:v>
      </x:c>
    </x:row>
    <x:row r="1677" ht="80" customHeight="1">
      <x:c r="A1677" s="25" t="str">
        <x:v>Mockito</x:v>
      </x:c>
      <x:c r="B1677" s="25" t="n">
        <x:v>38</x:v>
      </x:c>
      <x:c r="C1677" s="25" t="str">
        <x:v>Round2</x:v>
      </x:c>
      <x:c r="D1677" s="25" t="str">
        <x:v>NOT_AVAILABLE</x:v>
      </x:c>
      <x:c r="E1677" s="25" t="str">
        <x:v>N/A</x:v>
      </x:c>
      <x:c r="F1677" s="26" t="str">
        <x:v>Tests exist but current coverage did not complete</x:v>
      </x:c>
      <x:c r="G1677" s="25" t="str">
        <x:v>true</x:v>
      </x:c>
      <x:c r="H1677" s="25" t="str">
        <x:v>NOT_AVAILABLE</x:v>
      </x:c>
      <x:c r="I1677" s="25" t="str">
        <x:v>NOT_RUN</x:v>
      </x:c>
      <x:c r="J1677" s="25" t="str">
        <x:v>NOT_RUN</x:v>
      </x:c>
      <x:c r="K1677" s="25" t="n">
        <x:v>1</x:v>
      </x:c>
      <x:c r="L1677" s="27" t="b">
        <x:v>0</x:v>
      </x:c>
      <x:c r="M1677" s="25" t="str">
        <x:v>Deepseek-flash-v4/state/Round2/status/Mockito_38.json; Deepseek-flash-v4/state/Round2/shards/Mockito_38.json</x:v>
      </x:c>
      <x:c r="N1677" s="25" t="str">
        <x:v>Deepseek-flash-v4/Result2/Mockito_38/result.json</x:v>
      </x:c>
      <x:c r="O1677" s="25" t="str">
        <x:v>Deepseek-flash-v4/Result2/Mockito_38/result.json</x:v>
      </x:c>
      <x:c r="P1677" t="str">
        <x:v>BOTH_NOT_RUN</x:v>
      </x:c>
      <x:c r="Q1677" s="21" t="str"/>
      <x:c r="R1677" s="21" t="str"/>
      <x:c r="S1677" s="21" t="str"/>
      <x:c r="T1677" s="17" t="str">
        <x:v>false</x:v>
      </x:c>
      <x:c r="U1677" s="17" t="str">
        <x:v>true</x:v>
      </x:c>
      <x:c r="V1677" s="17" t="str">
        <x:v>false</x:v>
      </x:c>
    </x:row>
    <x:row r="1678" ht="80" customHeight="1">
      <x:c r="A1678" s="25" t="str">
        <x:v>Mockito</x:v>
      </x:c>
      <x:c r="B1678" s="25" t="n">
        <x:v>4</x:v>
      </x:c>
      <x:c r="C1678" s="25" t="str">
        <x:v>Round2</x:v>
      </x:c>
      <x:c r="D1678" s="25" t="str">
        <x:v>NOT_AVAILABLE</x:v>
      </x:c>
      <x:c r="E1678" s="25" t="str">
        <x:v>N/A</x:v>
      </x:c>
      <x:c r="F1678" s="26" t="str">
        <x:v>Tests exist but current coverage did not complete</x:v>
      </x:c>
      <x:c r="G1678" s="25" t="str">
        <x:v>true</x:v>
      </x:c>
      <x:c r="H1678" s="25" t="str">
        <x:v>NOT_AVAILABLE</x:v>
      </x:c>
      <x:c r="I1678" s="25" t="str">
        <x:v>NOT_RUN</x:v>
      </x:c>
      <x:c r="J1678" s="25" t="str">
        <x:v>NOT_RUN</x:v>
      </x:c>
      <x:c r="K1678" s="25" t="n">
        <x:v>1</x:v>
      </x:c>
      <x:c r="L1678" s="27" t="b">
        <x:v>0</x:v>
      </x:c>
      <x:c r="M1678" s="25" t="str">
        <x:v>Deepseek-flash-v4/state/Round2/status/Mockito_4.json; Deepseek-flash-v4/state/Round2/shards/Mockito_4.json</x:v>
      </x:c>
      <x:c r="N1678" s="25" t="str">
        <x:v>Deepseek-flash-v4/Result2/Mockito_4/result.json</x:v>
      </x:c>
      <x:c r="O1678" s="25" t="str">
        <x:v>Deepseek-flash-v4/Result2/Mockito_4/result.json</x:v>
      </x:c>
      <x:c r="P1678" t="str">
        <x:v>BOTH_NOT_RUN</x:v>
      </x:c>
      <x:c r="Q1678" s="21" t="str"/>
      <x:c r="R1678" s="21" t="str"/>
      <x:c r="S1678" s="21" t="str"/>
      <x:c r="T1678" s="17" t="str">
        <x:v>false</x:v>
      </x:c>
      <x:c r="U1678" s="17" t="str">
        <x:v>true</x:v>
      </x:c>
      <x:c r="V1678" s="17" t="str">
        <x:v>false</x:v>
      </x:c>
    </x:row>
    <x:row r="1679" ht="80" customHeight="1">
      <x:c r="A1679" s="25" t="str">
        <x:v>Mockito</x:v>
      </x:c>
      <x:c r="B1679" s="25" t="n">
        <x:v>5</x:v>
      </x:c>
      <x:c r="C1679" s="25" t="str">
        <x:v>Round2</x:v>
      </x:c>
      <x:c r="D1679" s="25" t="str">
        <x:v>NOT_AVAILABLE</x:v>
      </x:c>
      <x:c r="E1679" s="25" t="str">
        <x:v>N/A</x:v>
      </x:c>
      <x:c r="F1679" s="26" t="str">
        <x:v>Tests exist but current coverage did not complete</x:v>
      </x:c>
      <x:c r="G1679" s="25" t="str">
        <x:v>true</x:v>
      </x:c>
      <x:c r="H1679" s="25" t="str">
        <x:v>NOT_AVAILABLE</x:v>
      </x:c>
      <x:c r="I1679" s="25" t="str">
        <x:v>NOT_RUN</x:v>
      </x:c>
      <x:c r="J1679" s="25" t="str">
        <x:v>NOT_RUN</x:v>
      </x:c>
      <x:c r="K1679" s="25" t="n">
        <x:v>1</x:v>
      </x:c>
      <x:c r="L1679" s="27" t="b">
        <x:v>0</x:v>
      </x:c>
      <x:c r="M1679" s="25" t="str">
        <x:v>Deepseek-flash-v4/state/Round2/status/Mockito_5.json; Deepseek-flash-v4/state/Round2/shards/Mockito_5.json</x:v>
      </x:c>
      <x:c r="N1679" s="25" t="str">
        <x:v>Deepseek-flash-v4/Result2/Mockito_5/result.json</x:v>
      </x:c>
      <x:c r="O1679" s="25" t="str">
        <x:v>Deepseek-flash-v4/Result2/Mockito_5/result.json</x:v>
      </x:c>
      <x:c r="P1679" t="str">
        <x:v>BOTH_NOT_RUN</x:v>
      </x:c>
      <x:c r="Q1679" s="21" t="str"/>
      <x:c r="R1679" s="21" t="str"/>
      <x:c r="S1679" s="21" t="str"/>
      <x:c r="T1679" s="17" t="str">
        <x:v>false</x:v>
      </x:c>
      <x:c r="U1679" s="17" t="str">
        <x:v>true</x:v>
      </x:c>
      <x:c r="V1679" s="17" t="str">
        <x:v>false</x:v>
      </x:c>
    </x:row>
    <x:row r="1680" ht="80" customHeight="1">
      <x:c r="A1680" s="25" t="str">
        <x:v>Mockito</x:v>
      </x:c>
      <x:c r="B1680" s="25" t="n">
        <x:v>6</x:v>
      </x:c>
      <x:c r="C1680" s="25" t="str">
        <x:v>Round2</x:v>
      </x:c>
      <x:c r="D1680" s="25" t="str">
        <x:v>INCONCLUSIVE</x:v>
      </x:c>
      <x:c r="E1680" s="25" t="str">
        <x:v>N/A</x:v>
      </x:c>
      <x:c r="F1680" s="26" t="str">
        <x:v>Fixed also failed; assertion failure cannot be attributed to this bug; Same-round generation metadata missing; use saved tests and execution evidence, no failure inferred</x:v>
      </x:c>
      <x:c r="G1680" s="25" t="str">
        <x:v>true</x:v>
      </x:c>
      <x:c r="H1680" s="25" t="str">
        <x:v>INCONCLUSIVE</x:v>
      </x:c>
      <x:c r="I1680" s="25" t="str">
        <x:v>FAIL</x:v>
      </x:c>
      <x:c r="J1680" s="25" t="str">
        <x:v>FAIL</x:v>
      </x:c>
      <x:c r="K1680" s="25" t="n">
        <x:v>1</x:v>
      </x:c>
      <x:c r="L1680" s="27" t="b">
        <x:v>0</x:v>
      </x:c>
      <x:c r="M1680" s="25"/>
      <x:c r="N1680" s="25" t="str">
        <x:v>Deepseek-flash-v4/Result2/Mockito_6/result.json</x:v>
      </x:c>
      <x:c r="O1680" s="25" t="str">
        <x:v>Deepseek-flash-v4/Result2/Mockito_6/result.json</x:v>
      </x:c>
      <x:c r="P1680"/>
      <x:c r="Q1680" s="21" t="str"/>
      <x:c r="R1680" s="21" t="str"/>
      <x:c r="S1680" s="21" t="str"/>
      <x:c r="T1680" s="17" t="str">
        <x:v>false</x:v>
      </x:c>
      <x:c r="U1680" s="17" t="str">
        <x:v>true</x:v>
      </x:c>
      <x:c r="V1680" s="17" t="str">
        <x:v>false</x:v>
      </x:c>
    </x:row>
    <x:row r="1681" ht="80" customHeight="1">
      <x:c r="A1681" s="25" t="str">
        <x:v>Mockito</x:v>
      </x:c>
      <x:c r="B1681" s="25" t="n">
        <x:v>7</x:v>
      </x:c>
      <x:c r="C1681" s="25" t="str">
        <x:v>Round2</x:v>
      </x:c>
      <x:c r="D1681" s="25" t="str">
        <x:v>INCONCLUSIVE</x:v>
      </x:c>
      <x:c r="E1681" s="25" t="str">
        <x:v>N/A</x:v>
      </x:c>
      <x:c r="F1681" s="26" t="str">
        <x:v>Fixed also failed; assertion failure cannot be attributed to this bug; Same-round generation metadata missing; use saved tests and execution evidence, no failure inferred</x:v>
      </x:c>
      <x:c r="G1681" s="25" t="str">
        <x:v>true</x:v>
      </x:c>
      <x:c r="H1681" s="25" t="str">
        <x:v>INCONCLUSIVE</x:v>
      </x:c>
      <x:c r="I1681" s="25" t="str">
        <x:v>FAIL</x:v>
      </x:c>
      <x:c r="J1681" s="25" t="str">
        <x:v>FAIL</x:v>
      </x:c>
      <x:c r="K1681" s="25" t="n">
        <x:v>1</x:v>
      </x:c>
      <x:c r="L1681" s="27" t="b">
        <x:v>0</x:v>
      </x:c>
      <x:c r="M1681" s="25"/>
      <x:c r="N1681" s="25" t="str">
        <x:v>Deepseek-flash-v4/Result2/Mockito_7/result.json</x:v>
      </x:c>
      <x:c r="O1681" s="25" t="str">
        <x:v>Deepseek-flash-v4/Result2/Mockito_7/result.json</x:v>
      </x:c>
      <x:c r="P1681"/>
      <x:c r="Q1681" s="21" t="str"/>
      <x:c r="R1681" s="21" t="str"/>
      <x:c r="S1681" s="21" t="str"/>
      <x:c r="T1681" s="17" t="str">
        <x:v>false</x:v>
      </x:c>
      <x:c r="U1681" s="17" t="str">
        <x:v>true</x:v>
      </x:c>
      <x:c r="V1681" s="17" t="str">
        <x:v>false</x:v>
      </x:c>
    </x:row>
    <x:row r="1682" ht="80" customHeight="1">
      <x:c r="A1682" s="25" t="str">
        <x:v>Mockito</x:v>
      </x:c>
      <x:c r="B1682" s="25" t="n">
        <x:v>8</x:v>
      </x:c>
      <x:c r="C1682" s="25" t="str">
        <x:v>Round2</x:v>
      </x:c>
      <x:c r="D1682" s="25" t="str">
        <x:v>INCONCLUSIVE</x:v>
      </x:c>
      <x:c r="E1682" s="25" t="str">
        <x:v>N/A</x:v>
      </x:c>
      <x:c r="F1682" s="26" t="str">
        <x:v>Fixed also failed; assertion failure cannot be attributed to this bug; Same-round generation metadata missing; use saved tests and execution evidence, no failure inferred</x:v>
      </x:c>
      <x:c r="G1682" s="25" t="str">
        <x:v>true</x:v>
      </x:c>
      <x:c r="H1682" s="25" t="str">
        <x:v>INCONCLUSIVE</x:v>
      </x:c>
      <x:c r="I1682" s="25" t="str">
        <x:v>FAIL</x:v>
      </x:c>
      <x:c r="J1682" s="25" t="str">
        <x:v>FAIL</x:v>
      </x:c>
      <x:c r="K1682" s="25" t="n">
        <x:v>1</x:v>
      </x:c>
      <x:c r="L1682" s="27" t="b">
        <x:v>0</x:v>
      </x:c>
      <x:c r="M1682" s="25"/>
      <x:c r="N1682" s="25" t="str">
        <x:v>Deepseek-flash-v4/Result2/Mockito_8/result.json</x:v>
      </x:c>
      <x:c r="O1682" s="25" t="str">
        <x:v>Deepseek-flash-v4/Result2/Mockito_8/result.json</x:v>
      </x:c>
      <x:c r="P1682"/>
      <x:c r="Q1682" s="21" t="str"/>
      <x:c r="R1682" s="21" t="str"/>
      <x:c r="S1682" s="21" t="str"/>
      <x:c r="T1682" s="17" t="str">
        <x:v>false</x:v>
      </x:c>
      <x:c r="U1682" s="17" t="str">
        <x:v>true</x:v>
      </x:c>
      <x:c r="V1682" s="17" t="str">
        <x:v>false</x:v>
      </x:c>
    </x:row>
    <x:row r="1683" ht="80" customHeight="1">
      <x:c r="A1683" s="25" t="str">
        <x:v>Mockito</x:v>
      </x:c>
      <x:c r="B1683" s="25" t="n">
        <x:v>9</x:v>
      </x:c>
      <x:c r="C1683" s="25" t="str">
        <x:v>Round2</x:v>
      </x:c>
      <x:c r="D1683" s="25" t="str">
        <x:v>INCONCLUSIVE</x:v>
      </x:c>
      <x:c r="E1683" s="25" t="str">
        <x:v>N/A</x:v>
      </x:c>
      <x:c r="F1683" s="26" t="str">
        <x:v>Fixed also failed; assertion failure cannot be attributed to this bug; Same-round generation metadata missing; use saved tests and execution evidence, no failure inferred</x:v>
      </x:c>
      <x:c r="G1683" s="25" t="str">
        <x:v>true</x:v>
      </x:c>
      <x:c r="H1683" s="25" t="str">
        <x:v>INCONCLUSIVE</x:v>
      </x:c>
      <x:c r="I1683" s="25" t="str">
        <x:v>PASS</x:v>
      </x:c>
      <x:c r="J1683" s="25" t="str">
        <x:v>FAIL</x:v>
      </x:c>
      <x:c r="K1683" s="25" t="n">
        <x:v>1</x:v>
      </x:c>
      <x:c r="L1683" s="27" t="b">
        <x:v>0</x:v>
      </x:c>
      <x:c r="M1683" s="25"/>
      <x:c r="N1683" s="25" t="str">
        <x:v>Deepseek-flash-v4/Result2/Mockito_9/result.json</x:v>
      </x:c>
      <x:c r="O1683" s="25" t="str">
        <x:v>Deepseek-flash-v4/Result2/Mockito_9/result.json</x:v>
      </x:c>
      <x:c r="P1683"/>
      <x:c r="Q1683" s="21" t="str"/>
      <x:c r="R1683" s="21" t="str"/>
      <x:c r="S1683" s="21" t="str"/>
      <x:c r="T1683" s="17" t="str">
        <x:v>false</x:v>
      </x:c>
      <x:c r="U1683" s="17" t="str">
        <x:v>true</x:v>
      </x:c>
      <x:c r="V1683" s="17" t="str">
        <x:v>false</x:v>
      </x:c>
    </x:row>
    <x:row r="1684" ht="80" customHeight="1">
      <x:c r="A1684" s="25" t="str">
        <x:v>Time</x:v>
      </x:c>
      <x:c r="B1684" s="25" t="n">
        <x:v>1</x:v>
      </x:c>
      <x:c r="C1684" s="25" t="str">
        <x:v>Round2</x:v>
      </x:c>
      <x:c r="D1684" s="25" t="str">
        <x:v>NOT_AVAILABLE</x:v>
      </x:c>
      <x:c r="E1684" s="25" t="str">
        <x:v>N/A</x:v>
      </x:c>
      <x:c r="F1684" s="26" t="str">
        <x:v>Tests exist but current coverage did not complete</x:v>
      </x:c>
      <x:c r="G1684" s="25" t="str">
        <x:v>true</x:v>
      </x:c>
      <x:c r="H1684" s="25" t="str">
        <x:v>NOT_AVAILABLE</x:v>
      </x:c>
      <x:c r="I1684" s="25" t="str">
        <x:v>NOT_RUN</x:v>
      </x:c>
      <x:c r="J1684" s="25" t="str">
        <x:v>NOT_RUN</x:v>
      </x:c>
      <x:c r="K1684" s="25" t="n">
        <x:v>2</x:v>
      </x:c>
      <x:c r="L1684" s="27" t="b">
        <x:v>0</x:v>
      </x:c>
      <x:c r="M1684" s="25" t="str">
        <x:v>Deepseek-flash-v4/state/Round2/status/Time_1.json; Deepseek-flash-v4/state/Round2/shards/Time_1.json</x:v>
      </x:c>
      <x:c r="N1684" s="25" t="str">
        <x:v>Deepseek-flash-v4/Result2/Time_1/result.json</x:v>
      </x:c>
      <x:c r="O1684" s="25" t="str">
        <x:v>Deepseek-flash-v4/Result2/Time_1/result.json</x:v>
      </x:c>
      <x:c r="P1684" t="str">
        <x:v>BOTH_NOT_RUN</x:v>
      </x:c>
      <x:c r="Q1684" s="21" t="str"/>
      <x:c r="R1684" s="21" t="str"/>
      <x:c r="S1684" s="21" t="str"/>
      <x:c r="T1684" s="17" t="str">
        <x:v>false</x:v>
      </x:c>
      <x:c r="U1684" s="17" t="str">
        <x:v>true</x:v>
      </x:c>
      <x:c r="V1684" s="17" t="str">
        <x:v>false</x:v>
      </x:c>
    </x:row>
    <x:row r="1685" ht="80" customHeight="1">
      <x:c r="A1685" s="25" t="str">
        <x:v>Time</x:v>
      </x:c>
      <x:c r="B1685" s="25" t="n">
        <x:v>10</x:v>
      </x:c>
      <x:c r="C1685" s="25" t="str">
        <x:v>Round2</x:v>
      </x:c>
      <x:c r="D1685" s="25" t="str">
        <x:v>NOT_REVEALING</x:v>
      </x:c>
      <x:c r="E1685" s="25" t="str">
        <x:v>N/A</x:v>
      </x:c>
      <x:c r="F1685" s="26" t="str">
        <x:v>Same saved validation suite passed on buggy and fixed</x:v>
      </x:c>
      <x:c r="G1685" s="25" t="str">
        <x:v>true</x:v>
      </x:c>
      <x:c r="H1685" s="25" t="str">
        <x:v>NOT_REVEALING</x:v>
      </x:c>
      <x:c r="I1685" s="25" t="str">
        <x:v>PASS</x:v>
      </x:c>
      <x:c r="J1685" s="25" t="str">
        <x:v>PASS</x:v>
      </x:c>
      <x:c r="K1685" s="25" t="n">
        <x:v>1</x:v>
      </x:c>
      <x:c r="L1685" s="27" t="b">
        <x:v>0</x:v>
      </x:c>
      <x:c r="M1685" s="25" t="str">
        <x:v>Deepseek-flash-v4/state/Round2/status/Time_10.json; Deepseek-flash-v4/state/Round2/shards/Time_10.json</x:v>
      </x:c>
      <x:c r="N1685" s="25" t="str">
        <x:v>Deepseek-flash-v4/Result2/Time_10/result.json</x:v>
      </x:c>
      <x:c r="O1685" s="25" t="str">
        <x:v>Deepseek-flash-v4/Result2/Time_10/result.json</x:v>
      </x:c>
      <x:c r="P1685"/>
      <x:c r="Q1685" s="21" t="str"/>
      <x:c r="R1685" s="21" t="str"/>
      <x:c r="S1685" s="21" t="str"/>
      <x:c r="T1685" s="17" t="str">
        <x:v>false</x:v>
      </x:c>
      <x:c r="U1685" s="17" t="str">
        <x:v>true</x:v>
      </x:c>
      <x:c r="V1685" s="17" t="str">
        <x:v>false</x:v>
      </x:c>
    </x:row>
    <x:row r="1686" ht="80" customHeight="1">
      <x:c r="A1686" s="25" t="str">
        <x:v>Time</x:v>
      </x:c>
      <x:c r="B1686" s="25" t="n">
        <x:v>11</x:v>
      </x:c>
      <x:c r="C1686" s="25" t="str">
        <x:v>Round2</x:v>
      </x:c>
      <x:c r="D1686" s="25" t="str">
        <x:v>INCONCLUSIVE</x:v>
      </x:c>
      <x:c r="E1686" s="25" t="str">
        <x:v>N/A</x:v>
      </x:c>
      <x:c r="F1686" s="26" t="str">
        <x:v>Fixed also failed; assertion failure cannot be attributed to this bug</x:v>
      </x:c>
      <x:c r="G1686" s="25" t="str">
        <x:v>true</x:v>
      </x:c>
      <x:c r="H1686" s="25" t="str">
        <x:v>INCONCLUSIVE</x:v>
      </x:c>
      <x:c r="I1686" s="25" t="str">
        <x:v>FAIL</x:v>
      </x:c>
      <x:c r="J1686" s="25" t="str">
        <x:v>FAIL</x:v>
      </x:c>
      <x:c r="K1686" s="25" t="n">
        <x:v>1</x:v>
      </x:c>
      <x:c r="L1686" s="27" t="b">
        <x:v>0</x:v>
      </x:c>
      <x:c r="M1686" s="25" t="str">
        <x:v>Deepseek-flash-v4/state/Round2/status/Time_11.json; Deepseek-flash-v4/state/Round2/shards/Time_11.json</x:v>
      </x:c>
      <x:c r="N1686" s="25" t="str">
        <x:v>Deepseek-flash-v4/Result2/Time_11/result.json</x:v>
      </x:c>
      <x:c r="O1686" s="25" t="str">
        <x:v>Deepseek-flash-v4/Result2/Time_11/result.json</x:v>
      </x:c>
      <x:c r="P1686"/>
      <x:c r="Q1686" s="21" t="str"/>
      <x:c r="R1686" s="21" t="str"/>
      <x:c r="S1686" s="21" t="str"/>
      <x:c r="T1686" s="17" t="str">
        <x:v>false</x:v>
      </x:c>
      <x:c r="U1686" s="17" t="str">
        <x:v>true</x:v>
      </x:c>
      <x:c r="V1686" s="17" t="str">
        <x:v>false</x:v>
      </x:c>
    </x:row>
    <x:row r="1687" ht="80" customHeight="1">
      <x:c r="A1687" s="25" t="str">
        <x:v>Time</x:v>
      </x:c>
      <x:c r="B1687" s="25" t="n">
        <x:v>12</x:v>
      </x:c>
      <x:c r="C1687" s="25" t="str">
        <x:v>Round2</x:v>
      </x:c>
      <x:c r="D1687" s="25" t="str">
        <x:v>NOT_AVAILABLE</x:v>
      </x:c>
      <x:c r="E1687" s="25" t="str">
        <x:v>N/A</x:v>
      </x:c>
      <x:c r="F1687" s="26" t="str">
        <x:v>Tests exist but current coverage did not complete</x:v>
      </x:c>
      <x:c r="G1687" s="25" t="str">
        <x:v>true</x:v>
      </x:c>
      <x:c r="H1687" s="25" t="str">
        <x:v>NOT_AVAILABLE</x:v>
      </x:c>
      <x:c r="I1687" s="25" t="str">
        <x:v>NOT_RUN</x:v>
      </x:c>
      <x:c r="J1687" s="25" t="str">
        <x:v>NOT_RUN</x:v>
      </x:c>
      <x:c r="K1687" s="25" t="n">
        <x:v>2</x:v>
      </x:c>
      <x:c r="L1687" s="27" t="b">
        <x:v>0</x:v>
      </x:c>
      <x:c r="M1687" s="25" t="str">
        <x:v>Deepseek-flash-v4/state/Round2/status/Time_12.json; Deepseek-flash-v4/state/Round2/shards/Time_12.json</x:v>
      </x:c>
      <x:c r="N1687" s="25" t="str">
        <x:v>Deepseek-flash-v4/Result2/Time_12/result.json</x:v>
      </x:c>
      <x:c r="O1687" s="25" t="str">
        <x:v>Deepseek-flash-v4/Result2/Time_12/result.json</x:v>
      </x:c>
      <x:c r="P1687" t="str">
        <x:v>BOTH_NOT_RUN</x:v>
      </x:c>
      <x:c r="Q1687" s="21" t="str"/>
      <x:c r="R1687" s="21" t="str"/>
      <x:c r="S1687" s="21" t="str"/>
      <x:c r="T1687" s="17" t="str">
        <x:v>false</x:v>
      </x:c>
      <x:c r="U1687" s="17" t="str">
        <x:v>true</x:v>
      </x:c>
      <x:c r="V1687" s="17" t="str">
        <x:v>false</x:v>
      </x:c>
    </x:row>
    <x:row r="1688" ht="80" customHeight="1">
      <x:c r="A1688" s="25" t="str">
        <x:v>Time</x:v>
      </x:c>
      <x:c r="B1688" s="25" t="n">
        <x:v>13</x:v>
      </x:c>
      <x:c r="C1688" s="25" t="str">
        <x:v>Round2</x:v>
      </x:c>
      <x:c r="D1688" s="25" t="str">
        <x:v>INCONCLUSIVE</x:v>
      </x:c>
      <x:c r="E1688" s="25" t="str">
        <x:v>N/A</x:v>
      </x:c>
      <x:c r="F1688" s="26" t="str">
        <x:v>Fixed also failed; assertion failure cannot be attributed to this bug; Same-round generation metadata missing; use saved tests and execution evidence, no failure inferred</x:v>
      </x:c>
      <x:c r="G1688" s="25" t="str">
        <x:v>true</x:v>
      </x:c>
      <x:c r="H1688" s="25" t="str">
        <x:v>INCONCLUSIVE</x:v>
      </x:c>
      <x:c r="I1688" s="25" t="str">
        <x:v>FAIL</x:v>
      </x:c>
      <x:c r="J1688" s="25" t="str">
        <x:v>FAIL</x:v>
      </x:c>
      <x:c r="K1688" s="25" t="n">
        <x:v>1</x:v>
      </x:c>
      <x:c r="L1688" s="27" t="b">
        <x:v>0</x:v>
      </x:c>
      <x:c r="M1688" s="25"/>
      <x:c r="N1688" s="25" t="str">
        <x:v>Deepseek-flash-v4/Result2/Time_13/result.json</x:v>
      </x:c>
      <x:c r="O1688" s="25" t="str">
        <x:v>Deepseek-flash-v4/Result2/Time_13/result.json</x:v>
      </x:c>
      <x:c r="P1688"/>
      <x:c r="Q1688" s="21" t="str"/>
      <x:c r="R1688" s="21" t="str"/>
      <x:c r="S1688" s="21" t="str"/>
      <x:c r="T1688" s="17" t="str">
        <x:v>false</x:v>
      </x:c>
      <x:c r="U1688" s="17" t="str">
        <x:v>true</x:v>
      </x:c>
      <x:c r="V1688" s="17" t="str">
        <x:v>false</x:v>
      </x:c>
    </x:row>
    <x:row r="1689" ht="80" customHeight="1">
      <x:c r="A1689" s="25" t="str">
        <x:v>Time</x:v>
      </x:c>
      <x:c r="B1689" s="25" t="n">
        <x:v>14</x:v>
      </x:c>
      <x:c r="C1689" s="25" t="str">
        <x:v>Round2</x:v>
      </x:c>
      <x:c r="D1689" s="25" t="str">
        <x:v>NOT_REVEALING</x:v>
      </x:c>
      <x:c r="E1689" s="25" t="str">
        <x:v>N/A</x:v>
      </x:c>
      <x:c r="F1689" s="26" t="str">
        <x:v>Same saved validation suite passed on buggy and fixed</x:v>
      </x:c>
      <x:c r="G1689" s="25" t="str">
        <x:v>true</x:v>
      </x:c>
      <x:c r="H1689" s="25" t="str">
        <x:v>NOT_REVEALING</x:v>
      </x:c>
      <x:c r="I1689" s="25" t="str">
        <x:v>PASS</x:v>
      </x:c>
      <x:c r="J1689" s="25" t="str">
        <x:v>PASS</x:v>
      </x:c>
      <x:c r="K1689" s="25" t="n">
        <x:v>1</x:v>
      </x:c>
      <x:c r="L1689" s="27" t="b">
        <x:v>0</x:v>
      </x:c>
      <x:c r="M1689" s="25" t="str">
        <x:v>Deepseek-flash-v4/state/Round2/status/Time_14.json; Deepseek-flash-v4/state/Round2/shards/Time_14.json</x:v>
      </x:c>
      <x:c r="N1689" s="25" t="str">
        <x:v>Deepseek-flash-v4/Result2/Time_14/result.json</x:v>
      </x:c>
      <x:c r="O1689" s="25" t="str">
        <x:v>Deepseek-flash-v4/Result2/Time_14/result.json</x:v>
      </x:c>
      <x:c r="P1689"/>
      <x:c r="Q1689" s="21" t="str"/>
      <x:c r="R1689" s="21" t="str"/>
      <x:c r="S1689" s="21" t="str"/>
      <x:c r="T1689" s="17" t="str">
        <x:v>false</x:v>
      </x:c>
      <x:c r="U1689" s="17" t="str">
        <x:v>true</x:v>
      </x:c>
      <x:c r="V1689" s="17" t="str">
        <x:v>false</x:v>
      </x:c>
    </x:row>
    <x:row r="1690" ht="80" customHeight="1">
      <x:c r="A1690" s="25" t="str">
        <x:v>Time</x:v>
      </x:c>
      <x:c r="B1690" s="25" t="n">
        <x:v>15</x:v>
      </x:c>
      <x:c r="C1690" s="25" t="str">
        <x:v>Round2</x:v>
      </x:c>
      <x:c r="D1690" s="25" t="str">
        <x:v>INCONCLUSIVE</x:v>
      </x:c>
      <x:c r="E1690" s="25" t="str">
        <x:v>N/A</x:v>
      </x:c>
      <x:c r="F1690" s="26" t="str">
        <x:v>Fixed also failed; assertion failure cannot be attributed to this bug</x:v>
      </x:c>
      <x:c r="G1690" s="25" t="str">
        <x:v>true</x:v>
      </x:c>
      <x:c r="H1690" s="25" t="str">
        <x:v>INCONCLUSIVE</x:v>
      </x:c>
      <x:c r="I1690" s="25" t="str">
        <x:v>FAIL</x:v>
      </x:c>
      <x:c r="J1690" s="25" t="str">
        <x:v>FAIL</x:v>
      </x:c>
      <x:c r="K1690" s="25" t="n">
        <x:v>1</x:v>
      </x:c>
      <x:c r="L1690" s="27" t="b">
        <x:v>0</x:v>
      </x:c>
      <x:c r="M1690" s="25" t="str">
        <x:v>Deepseek-flash-v4/state/Round2/status/Time_15.json; Deepseek-flash-v4/state/Round2/shards/Time_15.json</x:v>
      </x:c>
      <x:c r="N1690" s="25" t="str">
        <x:v>Deepseek-flash-v4/Result2/Time_15/result.json</x:v>
      </x:c>
      <x:c r="O1690" s="25" t="str">
        <x:v>Deepseek-flash-v4/Result2/Time_15/result.json</x:v>
      </x:c>
      <x:c r="P1690"/>
      <x:c r="Q1690" s="21" t="str"/>
      <x:c r="R1690" s="21" t="str"/>
      <x:c r="S1690" s="21" t="str"/>
      <x:c r="T1690" s="17" t="str">
        <x:v>false</x:v>
      </x:c>
      <x:c r="U1690" s="17" t="str">
        <x:v>true</x:v>
      </x:c>
      <x:c r="V1690" s="17" t="str">
        <x:v>false</x:v>
      </x:c>
    </x:row>
    <x:row r="1691" ht="80" customHeight="1">
      <x:c r="A1691" s="25" t="str">
        <x:v>Time</x:v>
      </x:c>
      <x:c r="B1691" s="25" t="n">
        <x:v>16</x:v>
      </x:c>
      <x:c r="C1691" s="25" t="str">
        <x:v>Round2</x:v>
      </x:c>
      <x:c r="D1691" s="25" t="str">
        <x:v>INCONCLUSIVE</x:v>
      </x:c>
      <x:c r="E1691" s="25" t="str">
        <x:v>N/A</x:v>
      </x:c>
      <x:c r="F1691" s="26" t="str">
        <x:v>Fixed also failed; assertion failure cannot be attributed to this bug</x:v>
      </x:c>
      <x:c r="G1691" s="25" t="str">
        <x:v>true</x:v>
      </x:c>
      <x:c r="H1691" s="25" t="str">
        <x:v>INCONCLUSIVE</x:v>
      </x:c>
      <x:c r="I1691" s="25" t="str">
        <x:v>FAIL</x:v>
      </x:c>
      <x:c r="J1691" s="25" t="str">
        <x:v>FAIL</x:v>
      </x:c>
      <x:c r="K1691" s="25" t="n">
        <x:v>1</x:v>
      </x:c>
      <x:c r="L1691" s="27" t="b">
        <x:v>0</x:v>
      </x:c>
      <x:c r="M1691" s="25" t="str">
        <x:v>Deepseek-flash-v4/state/Round2/status/Time_16.json; Deepseek-flash-v4/state/Round2/shards/Time_16.json</x:v>
      </x:c>
      <x:c r="N1691" s="25" t="str">
        <x:v>Deepseek-flash-v4/Result2/Time_16/result.json</x:v>
      </x:c>
      <x:c r="O1691" s="25" t="str">
        <x:v>Deepseek-flash-v4/Result2/Time_16/result.json</x:v>
      </x:c>
      <x:c r="P1691"/>
      <x:c r="Q1691" s="21" t="str"/>
      <x:c r="R1691" s="21" t="str"/>
      <x:c r="S1691" s="21" t="str"/>
      <x:c r="T1691" s="17" t="str">
        <x:v>false</x:v>
      </x:c>
      <x:c r="U1691" s="17" t="str">
        <x:v>true</x:v>
      </x:c>
      <x:c r="V1691" s="17" t="str">
        <x:v>false</x:v>
      </x:c>
    </x:row>
    <x:row r="1692" ht="80" customHeight="1">
      <x:c r="A1692" s="25" t="str">
        <x:v>Time</x:v>
      </x:c>
      <x:c r="B1692" s="25" t="n">
        <x:v>17</x:v>
      </x:c>
      <x:c r="C1692" s="25" t="str">
        <x:v>Round2</x:v>
      </x:c>
      <x:c r="D1692" s="25" t="str">
        <x:v>INCONCLUSIVE</x:v>
      </x:c>
      <x:c r="E1692" s="25" t="str">
        <x:v>N/A</x:v>
      </x:c>
      <x:c r="F1692" s="26" t="str">
        <x:v>Fixed also failed; assertion failure cannot be attributed to this bug</x:v>
      </x:c>
      <x:c r="G1692" s="25" t="str">
        <x:v>true</x:v>
      </x:c>
      <x:c r="H1692" s="25" t="str">
        <x:v>INCONCLUSIVE</x:v>
      </x:c>
      <x:c r="I1692" s="25" t="str">
        <x:v>FAIL</x:v>
      </x:c>
      <x:c r="J1692" s="25" t="str">
        <x:v>FAIL</x:v>
      </x:c>
      <x:c r="K1692" s="25" t="n">
        <x:v>1</x:v>
      </x:c>
      <x:c r="L1692" s="27" t="b">
        <x:v>0</x:v>
      </x:c>
      <x:c r="M1692" s="25" t="str">
        <x:v>Deepseek-flash-v4/state/Round2/status/Time_17.json; Deepseek-flash-v4/state/Round2/shards/Time_17.json</x:v>
      </x:c>
      <x:c r="N1692" s="25" t="str">
        <x:v>Deepseek-flash-v4/Result2/Time_17/result.json</x:v>
      </x:c>
      <x:c r="O1692" s="25" t="str">
        <x:v>Deepseek-flash-v4/Result2/Time_17/result.json</x:v>
      </x:c>
      <x:c r="P1692"/>
      <x:c r="Q1692" s="21" t="str"/>
      <x:c r="R1692" s="21" t="str"/>
      <x:c r="S1692" s="21" t="str"/>
      <x:c r="T1692" s="17" t="str">
        <x:v>false</x:v>
      </x:c>
      <x:c r="U1692" s="17" t="str">
        <x:v>true</x:v>
      </x:c>
      <x:c r="V1692" s="17" t="str">
        <x:v>false</x:v>
      </x:c>
    </x:row>
    <x:row r="1693" ht="80" customHeight="1">
      <x:c r="A1693" s="25" t="str">
        <x:v>Time</x:v>
      </x:c>
      <x:c r="B1693" s="25" t="n">
        <x:v>18</x:v>
      </x:c>
      <x:c r="C1693" s="25" t="str">
        <x:v>Round2</x:v>
      </x:c>
      <x:c r="D1693" s="25" t="str">
        <x:v>INCONCLUSIVE</x:v>
      </x:c>
      <x:c r="E1693" s="25" t="str">
        <x:v>N/A</x:v>
      </x:c>
      <x:c r="F1693" s="26" t="str">
        <x:v>Fixed also failed; assertion failure cannot be attributed to this bug</x:v>
      </x:c>
      <x:c r="G1693" s="25" t="str">
        <x:v>true</x:v>
      </x:c>
      <x:c r="H1693" s="25" t="str">
        <x:v>INCONCLUSIVE</x:v>
      </x:c>
      <x:c r="I1693" s="25" t="str">
        <x:v>FAIL</x:v>
      </x:c>
      <x:c r="J1693" s="25" t="str">
        <x:v>FAIL</x:v>
      </x:c>
      <x:c r="K1693" s="25" t="n">
        <x:v>1</x:v>
      </x:c>
      <x:c r="L1693" s="27" t="b">
        <x:v>0</x:v>
      </x:c>
      <x:c r="M1693" s="25" t="str">
        <x:v>Deepseek-flash-v4/state/Round2/status/Time_18.json; Deepseek-flash-v4/state/Round2/shards/Time_18.json</x:v>
      </x:c>
      <x:c r="N1693" s="25" t="str">
        <x:v>Deepseek-flash-v4/Result2/Time_18/result.json</x:v>
      </x:c>
      <x:c r="O1693" s="25" t="str">
        <x:v>Deepseek-flash-v4/Result2/Time_18/result.json</x:v>
      </x:c>
      <x:c r="P1693"/>
      <x:c r="Q1693" s="21" t="str"/>
      <x:c r="R1693" s="21" t="str"/>
      <x:c r="S1693" s="21" t="str"/>
      <x:c r="T1693" s="17" t="str">
        <x:v>false</x:v>
      </x:c>
      <x:c r="U1693" s="17" t="str">
        <x:v>true</x:v>
      </x:c>
      <x:c r="V1693" s="17" t="str">
        <x:v>false</x:v>
      </x:c>
    </x:row>
    <x:row r="1694" ht="80" customHeight="1">
      <x:c r="A1694" s="25" t="str">
        <x:v>Time</x:v>
      </x:c>
      <x:c r="B1694" s="25" t="n">
        <x:v>19</x:v>
      </x:c>
      <x:c r="C1694" s="25" t="str">
        <x:v>Round2</x:v>
      </x:c>
      <x:c r="D1694" s="25" t="str">
        <x:v>NOT_AVAILABLE</x:v>
      </x:c>
      <x:c r="E1694" s="25" t="str">
        <x:v>N/A</x:v>
      </x:c>
      <x:c r="F1694" s="26" t="str">
        <x:v>Tests exist but current coverage did not complete</x:v>
      </x:c>
      <x:c r="G1694" s="25" t="str">
        <x:v>true</x:v>
      </x:c>
      <x:c r="H1694" s="25" t="str">
        <x:v>NOT_AVAILABLE</x:v>
      </x:c>
      <x:c r="I1694" s="25" t="str">
        <x:v>NOT_RUN</x:v>
      </x:c>
      <x:c r="J1694" s="25" t="str">
        <x:v>NOT_RUN</x:v>
      </x:c>
      <x:c r="K1694" s="25" t="n">
        <x:v>1</x:v>
      </x:c>
      <x:c r="L1694" s="27" t="b">
        <x:v>0</x:v>
      </x:c>
      <x:c r="M1694" s="25" t="str">
        <x:v>Deepseek-flash-v4/state/Round2/status/Time_19.json; Deepseek-flash-v4/state/Round2/shards/Time_19.json</x:v>
      </x:c>
      <x:c r="N1694" s="25" t="str">
        <x:v>Deepseek-flash-v4/Result2/Time_19/result.json</x:v>
      </x:c>
      <x:c r="O1694" s="25" t="str">
        <x:v>Deepseek-flash-v4/Result2/Time_19/result.json</x:v>
      </x:c>
      <x:c r="P1694" t="str">
        <x:v>BOTH_NOT_RUN</x:v>
      </x:c>
      <x:c r="Q1694" s="21" t="str"/>
      <x:c r="R1694" s="21" t="str"/>
      <x:c r="S1694" s="21" t="str"/>
      <x:c r="T1694" s="17" t="str">
        <x:v>false</x:v>
      </x:c>
      <x:c r="U1694" s="17" t="str">
        <x:v>true</x:v>
      </x:c>
      <x:c r="V1694" s="17" t="str">
        <x:v>false</x:v>
      </x:c>
    </x:row>
    <x:row r="1695" ht="80" customHeight="1">
      <x:c r="A1695" s="25" t="str">
        <x:v>Time</x:v>
      </x:c>
      <x:c r="B1695" s="25" t="n">
        <x:v>2</x:v>
      </x:c>
      <x:c r="C1695" s="25" t="str">
        <x:v>Round2</x:v>
      </x:c>
      <x:c r="D1695" s="25" t="str">
        <x:v>NOT_AVAILABLE</x:v>
      </x:c>
      <x:c r="E1695" s="25" t="str">
        <x:v>N/A</x:v>
      </x:c>
      <x:c r="F1695" s="26" t="str">
        <x:v>Tests exist but current coverage did not complete</x:v>
      </x:c>
      <x:c r="G1695" s="25" t="str">
        <x:v>true</x:v>
      </x:c>
      <x:c r="H1695" s="25" t="str">
        <x:v>NOT_AVAILABLE</x:v>
      </x:c>
      <x:c r="I1695" s="25" t="str">
        <x:v>NOT_RUN</x:v>
      </x:c>
      <x:c r="J1695" s="25" t="str">
        <x:v>NOT_RUN</x:v>
      </x:c>
      <x:c r="K1695" s="25" t="n">
        <x:v>2</x:v>
      </x:c>
      <x:c r="L1695" s="27" t="b">
        <x:v>0</x:v>
      </x:c>
      <x:c r="M1695" s="25" t="str">
        <x:v>Deepseek-flash-v4/state/Round2/status/Time_2.json; Deepseek-flash-v4/state/Round2/shards/Time_2.json</x:v>
      </x:c>
      <x:c r="N1695" s="25" t="str">
        <x:v>Deepseek-flash-v4/Result2/Time_2/result.json</x:v>
      </x:c>
      <x:c r="O1695" s="25" t="str">
        <x:v>Deepseek-flash-v4/Result2/Time_2/result.json</x:v>
      </x:c>
      <x:c r="P1695" t="str">
        <x:v>BOTH_NOT_RUN</x:v>
      </x:c>
      <x:c r="Q1695" s="21" t="str"/>
      <x:c r="R1695" s="21" t="str"/>
      <x:c r="S1695" s="21" t="str"/>
      <x:c r="T1695" s="17" t="str">
        <x:v>false</x:v>
      </x:c>
      <x:c r="U1695" s="17" t="str">
        <x:v>true</x:v>
      </x:c>
      <x:c r="V1695" s="17" t="str">
        <x:v>false</x:v>
      </x:c>
    </x:row>
    <x:row r="1696" ht="80" customHeight="1">
      <x:c r="A1696" s="25" t="str">
        <x:v>Time</x:v>
      </x:c>
      <x:c r="B1696" s="25" t="n">
        <x:v>20</x:v>
      </x:c>
      <x:c r="C1696" s="25" t="str">
        <x:v>Round2</x:v>
      </x:c>
      <x:c r="D1696" s="25" t="str">
        <x:v>INCONCLUSIVE</x:v>
      </x:c>
      <x:c r="E1696" s="25" t="str">
        <x:v>N/A</x:v>
      </x:c>
      <x:c r="F1696" s="26" t="str">
        <x:v>Fixed also failed; assertion failure cannot be attributed to this bug</x:v>
      </x:c>
      <x:c r="G1696" s="25" t="str">
        <x:v>true</x:v>
      </x:c>
      <x:c r="H1696" s="25" t="str">
        <x:v>INCONCLUSIVE</x:v>
      </x:c>
      <x:c r="I1696" s="25" t="str">
        <x:v>FAIL</x:v>
      </x:c>
      <x:c r="J1696" s="25" t="str">
        <x:v>FAIL</x:v>
      </x:c>
      <x:c r="K1696" s="25" t="n">
        <x:v>1</x:v>
      </x:c>
      <x:c r="L1696" s="27" t="b">
        <x:v>0</x:v>
      </x:c>
      <x:c r="M1696" s="25" t="str">
        <x:v>Deepseek-flash-v4/state/Round2/status/Time_20.json; Deepseek-flash-v4/state/Round2/shards/Time_20.json</x:v>
      </x:c>
      <x:c r="N1696" s="25" t="str">
        <x:v>Deepseek-flash-v4/Result2/Time_20/result.json</x:v>
      </x:c>
      <x:c r="O1696" s="25" t="str">
        <x:v>Deepseek-flash-v4/Result2/Time_20/result.json</x:v>
      </x:c>
      <x:c r="P1696"/>
      <x:c r="Q1696" s="21" t="str"/>
      <x:c r="R1696" s="21" t="str"/>
      <x:c r="S1696" s="21" t="str"/>
      <x:c r="T1696" s="17" t="str">
        <x:v>false</x:v>
      </x:c>
      <x:c r="U1696" s="17" t="str">
        <x:v>true</x:v>
      </x:c>
      <x:c r="V1696" s="17" t="str">
        <x:v>false</x:v>
      </x:c>
    </x:row>
    <x:row r="1697" ht="80" customHeight="1">
      <x:c r="A1697" s="25" t="str">
        <x:v>Time</x:v>
      </x:c>
      <x:c r="B1697" s="25" t="n">
        <x:v>22</x:v>
      </x:c>
      <x:c r="C1697" s="25" t="str">
        <x:v>Round2</x:v>
      </x:c>
      <x:c r="D1697" s="25" t="str">
        <x:v>INCONCLUSIVE</x:v>
      </x:c>
      <x:c r="E1697" s="25" t="str">
        <x:v>N/A</x:v>
      </x:c>
      <x:c r="F1697" s="26" t="str">
        <x:v>Fixed also failed; assertion failure cannot be attributed to this bug</x:v>
      </x:c>
      <x:c r="G1697" s="25" t="str">
        <x:v>true</x:v>
      </x:c>
      <x:c r="H1697" s="25" t="str">
        <x:v>INCONCLUSIVE</x:v>
      </x:c>
      <x:c r="I1697" s="25" t="str">
        <x:v>FAIL</x:v>
      </x:c>
      <x:c r="J1697" s="25" t="str">
        <x:v>FAIL</x:v>
      </x:c>
      <x:c r="K1697" s="25" t="n">
        <x:v>1</x:v>
      </x:c>
      <x:c r="L1697" s="27" t="b">
        <x:v>0</x:v>
      </x:c>
      <x:c r="M1697" s="25" t="str">
        <x:v>Deepseek-flash-v4/state/Round2/status/Time_22.json; Deepseek-flash-v4/state/Round2/shards/Time_22.json</x:v>
      </x:c>
      <x:c r="N1697" s="25" t="str">
        <x:v>Deepseek-flash-v4/Result2/Time_22/result.json</x:v>
      </x:c>
      <x:c r="O1697" s="25" t="str">
        <x:v>Deepseek-flash-v4/Result2/Time_22/result.json</x:v>
      </x:c>
      <x:c r="P1697"/>
      <x:c r="Q1697" s="21" t="str"/>
      <x:c r="R1697" s="21" t="str"/>
      <x:c r="S1697" s="21" t="str"/>
      <x:c r="T1697" s="17" t="str">
        <x:v>false</x:v>
      </x:c>
      <x:c r="U1697" s="17" t="str">
        <x:v>true</x:v>
      </x:c>
      <x:c r="V1697" s="17" t="str">
        <x:v>false</x:v>
      </x:c>
    </x:row>
    <x:row r="1698" ht="80" customHeight="1">
      <x:c r="A1698" s="25" t="str">
        <x:v>Time</x:v>
      </x:c>
      <x:c r="B1698" s="25" t="n">
        <x:v>23</x:v>
      </x:c>
      <x:c r="C1698" s="25" t="str">
        <x:v>Round2</x:v>
      </x:c>
      <x:c r="D1698" s="25" t="str">
        <x:v>INCONCLUSIVE</x:v>
      </x:c>
      <x:c r="E1698" s="25" t="str">
        <x:v>N/A</x:v>
      </x:c>
      <x:c r="F1698" s="26" t="str">
        <x:v>Fixed also failed; assertion failure cannot be attributed to this bug</x:v>
      </x:c>
      <x:c r="G1698" s="25" t="str">
        <x:v>true</x:v>
      </x:c>
      <x:c r="H1698" s="25" t="str">
        <x:v>INCONCLUSIVE</x:v>
      </x:c>
      <x:c r="I1698" s="25" t="str">
        <x:v>FAIL</x:v>
      </x:c>
      <x:c r="J1698" s="25" t="str">
        <x:v>FAIL</x:v>
      </x:c>
      <x:c r="K1698" s="25" t="n">
        <x:v>1</x:v>
      </x:c>
      <x:c r="L1698" s="27" t="b">
        <x:v>0</x:v>
      </x:c>
      <x:c r="M1698" s="25" t="str">
        <x:v>Deepseek-flash-v4/state/Round2/status/Time_23.json; Deepseek-flash-v4/state/Round2/shards/Time_23.json</x:v>
      </x:c>
      <x:c r="N1698" s="25" t="str">
        <x:v>Deepseek-flash-v4/Result2/Time_23/result.json</x:v>
      </x:c>
      <x:c r="O1698" s="25" t="str">
        <x:v>Deepseek-flash-v4/Result2/Time_23/result.json</x:v>
      </x:c>
      <x:c r="P1698"/>
      <x:c r="Q1698" s="21" t="str"/>
      <x:c r="R1698" s="21" t="str"/>
      <x:c r="S1698" s="21" t="str"/>
      <x:c r="T1698" s="17" t="str">
        <x:v>false</x:v>
      </x:c>
      <x:c r="U1698" s="17" t="str">
        <x:v>true</x:v>
      </x:c>
      <x:c r="V1698" s="17" t="str">
        <x:v>false</x:v>
      </x:c>
    </x:row>
    <x:row r="1699" ht="80" customHeight="1">
      <x:c r="A1699" s="25" t="str">
        <x:v>Time</x:v>
      </x:c>
      <x:c r="B1699" s="25" t="n">
        <x:v>24</x:v>
      </x:c>
      <x:c r="C1699" s="25" t="str">
        <x:v>Round2</x:v>
      </x:c>
      <x:c r="D1699" s="25" t="str">
        <x:v>NOT_AVAILABLE</x:v>
      </x:c>
      <x:c r="E1699" s="25" t="str">
        <x:v>N/A</x:v>
      </x:c>
      <x:c r="F1699" s="26" t="str">
        <x:v>Tests exist but current coverage did not complete</x:v>
      </x:c>
      <x:c r="G1699" s="25" t="str">
        <x:v>true</x:v>
      </x:c>
      <x:c r="H1699" s="25" t="str">
        <x:v>NOT_AVAILABLE</x:v>
      </x:c>
      <x:c r="I1699" s="25" t="str">
        <x:v>NOT_RUN</x:v>
      </x:c>
      <x:c r="J1699" s="25" t="str">
        <x:v>NOT_RUN</x:v>
      </x:c>
      <x:c r="K1699" s="25" t="n">
        <x:v>1</x:v>
      </x:c>
      <x:c r="L1699" s="27" t="b">
        <x:v>0</x:v>
      </x:c>
      <x:c r="M1699" s="25" t="str">
        <x:v>Deepseek-flash-v4/state/Round2/status/Time_24.json; Deepseek-flash-v4/state/Round2/shards/Time_24.json</x:v>
      </x:c>
      <x:c r="N1699" s="25" t="str">
        <x:v>Deepseek-flash-v4/Result2/Time_24/result.json</x:v>
      </x:c>
      <x:c r="O1699" s="25" t="str">
        <x:v>Deepseek-flash-v4/Result2/Time_24/result.json</x:v>
      </x:c>
      <x:c r="P1699" t="str">
        <x:v>BOTH_NOT_RUN</x:v>
      </x:c>
      <x:c r="Q1699" s="21" t="str"/>
      <x:c r="R1699" s="21" t="str"/>
      <x:c r="S1699" s="21" t="str"/>
      <x:c r="T1699" s="17" t="str">
        <x:v>false</x:v>
      </x:c>
      <x:c r="U1699" s="17" t="str">
        <x:v>true</x:v>
      </x:c>
      <x:c r="V1699" s="17" t="str">
        <x:v>false</x:v>
      </x:c>
    </x:row>
    <x:row r="1700" ht="80" customHeight="1">
      <x:c r="A1700" s="25" t="str">
        <x:v>Time</x:v>
      </x:c>
      <x:c r="B1700" s="25" t="n">
        <x:v>25</x:v>
      </x:c>
      <x:c r="C1700" s="25" t="str">
        <x:v>Round2</x:v>
      </x:c>
      <x:c r="D1700" s="25" t="str">
        <x:v>INCONCLUSIVE</x:v>
      </x:c>
      <x:c r="E1700" s="25" t="str">
        <x:v>N/A</x:v>
      </x:c>
      <x:c r="F1700" s="26" t="str">
        <x:v>Fixed also failed; assertion failure cannot be attributed to this bug; Same-round generation metadata missing; use saved tests and execution evidence, no failure inferred</x:v>
      </x:c>
      <x:c r="G1700" s="25" t="str">
        <x:v>true</x:v>
      </x:c>
      <x:c r="H1700" s="25" t="str">
        <x:v>INCONCLUSIVE</x:v>
      </x:c>
      <x:c r="I1700" s="25" t="str">
        <x:v>FAIL</x:v>
      </x:c>
      <x:c r="J1700" s="25" t="str">
        <x:v>FAIL</x:v>
      </x:c>
      <x:c r="K1700" s="25" t="n">
        <x:v>1</x:v>
      </x:c>
      <x:c r="L1700" s="27" t="b">
        <x:v>0</x:v>
      </x:c>
      <x:c r="M1700" s="25"/>
      <x:c r="N1700" s="25" t="str">
        <x:v>Deepseek-flash-v4/Result2/Time_25/result.json</x:v>
      </x:c>
      <x:c r="O1700" s="25" t="str">
        <x:v>Deepseek-flash-v4/Result2/Time_25/result.json</x:v>
      </x:c>
      <x:c r="P1700"/>
      <x:c r="Q1700" s="21" t="str"/>
      <x:c r="R1700" s="21" t="str"/>
      <x:c r="S1700" s="21" t="str"/>
      <x:c r="T1700" s="17" t="str">
        <x:v>false</x:v>
      </x:c>
      <x:c r="U1700" s="17" t="str">
        <x:v>true</x:v>
      </x:c>
      <x:c r="V1700" s="17" t="str">
        <x:v>false</x:v>
      </x:c>
    </x:row>
    <x:row r="1701" ht="80" customHeight="1">
      <x:c r="A1701" s="25" t="str">
        <x:v>Time</x:v>
      </x:c>
      <x:c r="B1701" s="25" t="n">
        <x:v>26</x:v>
      </x:c>
      <x:c r="C1701" s="25" t="str">
        <x:v>Round2</x:v>
      </x:c>
      <x:c r="D1701" s="25" t="str">
        <x:v>INCONCLUSIVE</x:v>
      </x:c>
      <x:c r="E1701" s="25" t="str">
        <x:v>N/A</x:v>
      </x:c>
      <x:c r="F1701" s="26" t="str">
        <x:v>Fixed also failed; assertion failure cannot be attributed to this bug</x:v>
      </x:c>
      <x:c r="G1701" s="25" t="str">
        <x:v>true</x:v>
      </x:c>
      <x:c r="H1701" s="25" t="str">
        <x:v>INCONCLUSIVE</x:v>
      </x:c>
      <x:c r="I1701" s="25" t="str">
        <x:v>FAIL</x:v>
      </x:c>
      <x:c r="J1701" s="25" t="str">
        <x:v>FAIL</x:v>
      </x:c>
      <x:c r="K1701" s="25" t="n">
        <x:v>3</x:v>
      </x:c>
      <x:c r="L1701" s="27" t="b">
        <x:v>0</x:v>
      </x:c>
      <x:c r="M1701" s="25" t="str">
        <x:v>Deepseek-flash-v4/state/Round2/status/Time_26.json; Deepseek-flash-v4/state/Round2/shards/Time_26.json</x:v>
      </x:c>
      <x:c r="N1701" s="25" t="str">
        <x:v>Deepseek-flash-v4/Result2/Time_26/result.json</x:v>
      </x:c>
      <x:c r="O1701" s="25" t="str">
        <x:v>Deepseek-flash-v4/Result2/Time_26/result.json</x:v>
      </x:c>
      <x:c r="P1701"/>
      <x:c r="Q1701" s="21" t="str"/>
      <x:c r="R1701" s="21" t="str"/>
      <x:c r="S1701" s="21" t="str"/>
      <x:c r="T1701" s="17" t="str">
        <x:v>false</x:v>
      </x:c>
      <x:c r="U1701" s="17" t="str">
        <x:v>true</x:v>
      </x:c>
      <x:c r="V1701" s="17" t="str">
        <x:v>false</x:v>
      </x:c>
    </x:row>
    <x:row r="1702" ht="80" customHeight="1">
      <x:c r="A1702" s="25" t="str">
        <x:v>Time</x:v>
      </x:c>
      <x:c r="B1702" s="25" t="n">
        <x:v>27</x:v>
      </x:c>
      <x:c r="C1702" s="25" t="str">
        <x:v>Round2</x:v>
      </x:c>
      <x:c r="D1702" s="25" t="str">
        <x:v>INCONCLUSIVE</x:v>
      </x:c>
      <x:c r="E1702" s="25" t="str">
        <x:v>N/A</x:v>
      </x:c>
      <x:c r="F1702" s="26" t="str">
        <x:v>Fixed also failed; assertion failure cannot be attributed to this bug; Same-round generation metadata missing; use saved tests and execution evidence, no failure inferred</x:v>
      </x:c>
      <x:c r="G1702" s="25" t="str">
        <x:v>true</x:v>
      </x:c>
      <x:c r="H1702" s="25" t="str">
        <x:v>INCONCLUSIVE</x:v>
      </x:c>
      <x:c r="I1702" s="25" t="str">
        <x:v>FAIL</x:v>
      </x:c>
      <x:c r="J1702" s="25" t="str">
        <x:v>FAIL</x:v>
      </x:c>
      <x:c r="K1702" s="25" t="n">
        <x:v>1</x:v>
      </x:c>
      <x:c r="L1702" s="27" t="b">
        <x:v>0</x:v>
      </x:c>
      <x:c r="M1702" s="25"/>
      <x:c r="N1702" s="25" t="str">
        <x:v>Deepseek-flash-v4/Result2/Time_27/result.json</x:v>
      </x:c>
      <x:c r="O1702" s="25" t="str">
        <x:v>Deepseek-flash-v4/Result2/Time_27/result.json</x:v>
      </x:c>
      <x:c r="P1702"/>
      <x:c r="Q1702" s="21" t="str"/>
      <x:c r="R1702" s="21" t="str"/>
      <x:c r="S1702" s="21" t="str"/>
      <x:c r="T1702" s="17" t="str">
        <x:v>false</x:v>
      </x:c>
      <x:c r="U1702" s="17" t="str">
        <x:v>true</x:v>
      </x:c>
      <x:c r="V1702" s="17" t="str">
        <x:v>false</x:v>
      </x:c>
    </x:row>
    <x:row r="1703" ht="80" customHeight="1">
      <x:c r="A1703" s="25" t="str">
        <x:v>Time</x:v>
      </x:c>
      <x:c r="B1703" s="25" t="n">
        <x:v>3</x:v>
      </x:c>
      <x:c r="C1703" s="25" t="str">
        <x:v>Round2</x:v>
      </x:c>
      <x:c r="D1703" s="25" t="str">
        <x:v>NOT_AVAILABLE</x:v>
      </x:c>
      <x:c r="E1703" s="25" t="str">
        <x:v>N/A</x:v>
      </x:c>
      <x:c r="F1703" s="26" t="str">
        <x:v>Tests exist but current coverage did not complete</x:v>
      </x:c>
      <x:c r="G1703" s="25" t="str">
        <x:v>true</x:v>
      </x:c>
      <x:c r="H1703" s="25" t="str">
        <x:v>NOT_AVAILABLE</x:v>
      </x:c>
      <x:c r="I1703" s="25" t="str">
        <x:v>NOT_RUN</x:v>
      </x:c>
      <x:c r="J1703" s="25" t="str">
        <x:v>NOT_RUN</x:v>
      </x:c>
      <x:c r="K1703" s="25" t="n">
        <x:v>1</x:v>
      </x:c>
      <x:c r="L1703" s="27" t="b">
        <x:v>0</x:v>
      </x:c>
      <x:c r="M1703" s="25" t="str">
        <x:v>Deepseek-flash-v4/state/Round2/status/Time_3.json; Deepseek-flash-v4/state/Round2/shards/Time_3.json</x:v>
      </x:c>
      <x:c r="N1703" s="25" t="str">
        <x:v>Deepseek-flash-v4/Result2/Time_3/result.json</x:v>
      </x:c>
      <x:c r="O1703" s="25" t="str">
        <x:v>Deepseek-flash-v4/Result2/Time_3/result.json</x:v>
      </x:c>
      <x:c r="P1703" t="str">
        <x:v>BOTH_NOT_RUN</x:v>
      </x:c>
      <x:c r="Q1703" s="21" t="str"/>
      <x:c r="R1703" s="21" t="str"/>
      <x:c r="S1703" s="21" t="str"/>
      <x:c r="T1703" s="17" t="str">
        <x:v>false</x:v>
      </x:c>
      <x:c r="U1703" s="17" t="str">
        <x:v>true</x:v>
      </x:c>
      <x:c r="V1703" s="17" t="str">
        <x:v>false</x:v>
      </x:c>
    </x:row>
    <x:row r="1704" ht="80" customHeight="1">
      <x:c r="A1704" s="25" t="str">
        <x:v>Time</x:v>
      </x:c>
      <x:c r="B1704" s="25" t="n">
        <x:v>4</x:v>
      </x:c>
      <x:c r="C1704" s="25" t="str">
        <x:v>Round2</x:v>
      </x:c>
      <x:c r="D1704" s="25" t="str">
        <x:v>NOT_REVEALING</x:v>
      </x:c>
      <x:c r="E1704" s="25" t="str">
        <x:v>N/A</x:v>
      </x:c>
      <x:c r="F1704" s="26" t="str">
        <x:v>Same saved validation suite passed on buggy and fixed; Same-round generation metadata missing; use saved tests and execution evidence, no failure inferred</x:v>
      </x:c>
      <x:c r="G1704" s="25" t="str">
        <x:v>true</x:v>
      </x:c>
      <x:c r="H1704" s="25" t="str">
        <x:v>NOT_REVEALING</x:v>
      </x:c>
      <x:c r="I1704" s="25" t="str">
        <x:v>PASS</x:v>
      </x:c>
      <x:c r="J1704" s="25" t="str">
        <x:v>PASS</x:v>
      </x:c>
      <x:c r="K1704" s="25" t="n">
        <x:v>1</x:v>
      </x:c>
      <x:c r="L1704" s="27" t="b">
        <x:v>0</x:v>
      </x:c>
      <x:c r="M1704" s="25"/>
      <x:c r="N1704" s="25" t="str">
        <x:v>Deepseek-flash-v4/Result2/Time_4/result.json</x:v>
      </x:c>
      <x:c r="O1704" s="25" t="str">
        <x:v>Deepseek-flash-v4/Result2/Time_4/result.json</x:v>
      </x:c>
      <x:c r="P1704"/>
      <x:c r="Q1704" s="21" t="str"/>
      <x:c r="R1704" s="21" t="str"/>
      <x:c r="S1704" s="21" t="str"/>
      <x:c r="T1704" s="17" t="str">
        <x:v>false</x:v>
      </x:c>
      <x:c r="U1704" s="17" t="str">
        <x:v>true</x:v>
      </x:c>
      <x:c r="V1704" s="17" t="str">
        <x:v>false</x:v>
      </x:c>
    </x:row>
    <x:row r="1705" ht="80" customHeight="1">
      <x:c r="A1705" s="25" t="str">
        <x:v>Time</x:v>
      </x:c>
      <x:c r="B1705" s="25" t="n">
        <x:v>5</x:v>
      </x:c>
      <x:c r="C1705" s="25" t="str">
        <x:v>Round2</x:v>
      </x:c>
      <x:c r="D1705" s="25" t="str">
        <x:v>NOT_REVEALING</x:v>
      </x:c>
      <x:c r="E1705" s="25" t="str">
        <x:v>N/A</x:v>
      </x:c>
      <x:c r="F1705" s="26" t="str">
        <x:v>Same saved validation suite passed on buggy and fixed</x:v>
      </x:c>
      <x:c r="G1705" s="25" t="str">
        <x:v>true</x:v>
      </x:c>
      <x:c r="H1705" s="25" t="str">
        <x:v>NOT_REVEALING</x:v>
      </x:c>
      <x:c r="I1705" s="25" t="str">
        <x:v>PASS</x:v>
      </x:c>
      <x:c r="J1705" s="25" t="str">
        <x:v>PASS</x:v>
      </x:c>
      <x:c r="K1705" s="25" t="n">
        <x:v>1</x:v>
      </x:c>
      <x:c r="L1705" s="27" t="b">
        <x:v>0</x:v>
      </x:c>
      <x:c r="M1705" s="25" t="str">
        <x:v>Deepseek-flash-v4/state/Round2/status/Time_5.json; Deepseek-flash-v4/state/Round2/shards/Time_5.json</x:v>
      </x:c>
      <x:c r="N1705" s="25" t="str">
        <x:v>Deepseek-flash-v4/Result2/Time_5/result.json</x:v>
      </x:c>
      <x:c r="O1705" s="25" t="str">
        <x:v>Deepseek-flash-v4/Result2/Time_5/result.json</x:v>
      </x:c>
      <x:c r="P1705"/>
      <x:c r="Q1705" s="21" t="str"/>
      <x:c r="R1705" s="21" t="str"/>
      <x:c r="S1705" s="21" t="str"/>
      <x:c r="T1705" s="17" t="str">
        <x:v>false</x:v>
      </x:c>
      <x:c r="U1705" s="17" t="str">
        <x:v>true</x:v>
      </x:c>
      <x:c r="V1705" s="17" t="str">
        <x:v>false</x:v>
      </x:c>
    </x:row>
    <x:row r="1706" ht="80" customHeight="1">
      <x:c r="A1706" s="25" t="str">
        <x:v>Time</x:v>
      </x:c>
      <x:c r="B1706" s="25" t="n">
        <x:v>6</x:v>
      </x:c>
      <x:c r="C1706" s="25" t="str">
        <x:v>Round2</x:v>
      </x:c>
      <x:c r="D1706" s="25" t="str">
        <x:v>NOT_REVEALING</x:v>
      </x:c>
      <x:c r="E1706" s="25" t="str">
        <x:v>N/A</x:v>
      </x:c>
      <x:c r="F1706" s="26" t="str">
        <x:v>Same saved validation suite passed on buggy and fixed; Same-round generation metadata missing; use saved tests and execution evidence, no failure inferred</x:v>
      </x:c>
      <x:c r="G1706" s="25" t="str">
        <x:v>true</x:v>
      </x:c>
      <x:c r="H1706" s="25" t="str">
        <x:v>NOT_REVEALING</x:v>
      </x:c>
      <x:c r="I1706" s="25" t="str">
        <x:v>PASS</x:v>
      </x:c>
      <x:c r="J1706" s="25" t="str">
        <x:v>PASS</x:v>
      </x:c>
      <x:c r="K1706" s="25" t="n">
        <x:v>1</x:v>
      </x:c>
      <x:c r="L1706" s="27" t="b">
        <x:v>0</x:v>
      </x:c>
      <x:c r="M1706" s="25"/>
      <x:c r="N1706" s="25" t="str">
        <x:v>Deepseek-flash-v4/Result2/Time_6/result.json</x:v>
      </x:c>
      <x:c r="O1706" s="25" t="str">
        <x:v>Deepseek-flash-v4/Result2/Time_6/result.json</x:v>
      </x:c>
      <x:c r="P1706"/>
      <x:c r="Q1706" s="21" t="str"/>
      <x:c r="R1706" s="21" t="str"/>
      <x:c r="S1706" s="21" t="str"/>
      <x:c r="T1706" s="17" t="str">
        <x:v>false</x:v>
      </x:c>
      <x:c r="U1706" s="17" t="str">
        <x:v>true</x:v>
      </x:c>
      <x:c r="V1706" s="17" t="str">
        <x:v>false</x:v>
      </x:c>
    </x:row>
    <x:row r="1707" ht="80" customHeight="1">
      <x:c r="A1707" s="25" t="str">
        <x:v>Time</x:v>
      </x:c>
      <x:c r="B1707" s="25" t="n">
        <x:v>7</x:v>
      </x:c>
      <x:c r="C1707" s="25" t="str">
        <x:v>Round2</x:v>
      </x:c>
      <x:c r="D1707" s="25" t="str">
        <x:v>NOT_AVAILABLE</x:v>
      </x:c>
      <x:c r="E1707" s="25" t="str">
        <x:v>N/A</x:v>
      </x:c>
      <x:c r="F1707" s="26" t="str">
        <x:v>Tests exist but current coverage did not complete</x:v>
      </x:c>
      <x:c r="G1707" s="25" t="str">
        <x:v>true</x:v>
      </x:c>
      <x:c r="H1707" s="25" t="str">
        <x:v>NOT_AVAILABLE</x:v>
      </x:c>
      <x:c r="I1707" s="25" t="str">
        <x:v>NOT_RUN</x:v>
      </x:c>
      <x:c r="J1707" s="25" t="str">
        <x:v>NOT_RUN</x:v>
      </x:c>
      <x:c r="K1707" s="25" t="n">
        <x:v>1</x:v>
      </x:c>
      <x:c r="L1707" s="27" t="b">
        <x:v>0</x:v>
      </x:c>
      <x:c r="M1707" s="25" t="str">
        <x:v>Deepseek-flash-v4/state/Round2/status/Time_7.json; Deepseek-flash-v4/state/Round2/shards/Time_7.json</x:v>
      </x:c>
      <x:c r="N1707" s="25" t="str">
        <x:v>Deepseek-flash-v4/Result2/Time_7/result.json</x:v>
      </x:c>
      <x:c r="O1707" s="25" t="str">
        <x:v>Deepseek-flash-v4/Result2/Time_7/result.json</x:v>
      </x:c>
      <x:c r="P1707" t="str">
        <x:v>BOTH_NOT_RUN</x:v>
      </x:c>
      <x:c r="Q1707" s="21" t="str"/>
      <x:c r="R1707" s="21" t="str"/>
      <x:c r="S1707" s="21" t="str"/>
      <x:c r="T1707" s="17" t="str">
        <x:v>false</x:v>
      </x:c>
      <x:c r="U1707" s="17" t="str">
        <x:v>true</x:v>
      </x:c>
      <x:c r="V1707" s="17" t="str">
        <x:v>false</x:v>
      </x:c>
    </x:row>
    <x:row r="1708" ht="80" customHeight="1">
      <x:c r="A1708" s="25" t="str">
        <x:v>Time</x:v>
      </x:c>
      <x:c r="B1708" s="25" t="n">
        <x:v>8</x:v>
      </x:c>
      <x:c r="C1708" s="25" t="str">
        <x:v>Round2</x:v>
      </x:c>
      <x:c r="D1708" s="25" t="str">
        <x:v>NOT_REVEALING</x:v>
      </x:c>
      <x:c r="E1708" s="25" t="str">
        <x:v>N/A</x:v>
      </x:c>
      <x:c r="F1708" s="26" t="str">
        <x:v>Same saved validation suite passed on buggy and fixed; Same-round generation metadata missing; use saved tests and execution evidence, no failure inferred</x:v>
      </x:c>
      <x:c r="G1708" s="25" t="str">
        <x:v>true</x:v>
      </x:c>
      <x:c r="H1708" s="25" t="str">
        <x:v>NOT_REVEALING</x:v>
      </x:c>
      <x:c r="I1708" s="25" t="str">
        <x:v>PASS</x:v>
      </x:c>
      <x:c r="J1708" s="25" t="str">
        <x:v>PASS</x:v>
      </x:c>
      <x:c r="K1708" s="25" t="n">
        <x:v>1</x:v>
      </x:c>
      <x:c r="L1708" s="27" t="b">
        <x:v>0</x:v>
      </x:c>
      <x:c r="M1708" s="25"/>
      <x:c r="N1708" s="25" t="str">
        <x:v>Deepseek-flash-v4/Result2/Time_8/result.json</x:v>
      </x:c>
      <x:c r="O1708" s="25" t="str">
        <x:v>Deepseek-flash-v4/Result2/Time_8/result.json</x:v>
      </x:c>
      <x:c r="P1708"/>
      <x:c r="Q1708" s="21" t="str"/>
      <x:c r="R1708" s="21" t="str"/>
      <x:c r="S1708" s="21" t="str"/>
      <x:c r="T1708" s="17" t="str">
        <x:v>false</x:v>
      </x:c>
      <x:c r="U1708" s="17" t="str">
        <x:v>true</x:v>
      </x:c>
      <x:c r="V1708" s="17" t="str">
        <x:v>false</x:v>
      </x:c>
    </x:row>
    <x:row r="1709" ht="80" customHeight="1">
      <x:c r="A1709" s="25" t="str">
        <x:v>Time</x:v>
      </x:c>
      <x:c r="B1709" s="25" t="n">
        <x:v>9</x:v>
      </x:c>
      <x:c r="C1709" s="25" t="str">
        <x:v>Round2</x:v>
      </x:c>
      <x:c r="D1709" s="25" t="str">
        <x:v>NOT_AVAILABLE</x:v>
      </x:c>
      <x:c r="E1709" s="25" t="str">
        <x:v>N/A</x:v>
      </x:c>
      <x:c r="F1709" s="26" t="str">
        <x:v>Tests exist but current coverage did not complete</x:v>
      </x:c>
      <x:c r="G1709" s="25" t="str">
        <x:v>true</x:v>
      </x:c>
      <x:c r="H1709" s="25" t="str">
        <x:v>NOT_AVAILABLE</x:v>
      </x:c>
      <x:c r="I1709" s="25" t="str">
        <x:v>NOT_RUN</x:v>
      </x:c>
      <x:c r="J1709" s="25" t="str">
        <x:v>NOT_RUN</x:v>
      </x:c>
      <x:c r="K1709" s="25" t="n">
        <x:v>1</x:v>
      </x:c>
      <x:c r="L1709" s="27" t="b">
        <x:v>0</x:v>
      </x:c>
      <x:c r="M1709" s="25" t="str">
        <x:v>Deepseek-flash-v4/state/Round2/status/Time_9.json; Deepseek-flash-v4/state/Round2/shards/Time_9.json</x:v>
      </x:c>
      <x:c r="N1709" s="25" t="str">
        <x:v>Deepseek-flash-v4/Result2/Time_9/result.json</x:v>
      </x:c>
      <x:c r="O1709" s="25" t="str">
        <x:v>Deepseek-flash-v4/Result2/Time_9/result.json</x:v>
      </x:c>
      <x:c r="P1709" t="str">
        <x:v>BOTH_NOT_RUN</x:v>
      </x:c>
      <x:c r="Q1709" s="21" t="str"/>
      <x:c r="R1709" s="21" t="str"/>
      <x:c r="S1709" s="21" t="str"/>
      <x:c r="T1709" s="17" t="str">
        <x:v>false</x:v>
      </x:c>
      <x:c r="U1709" s="17" t="str">
        <x:v>true</x:v>
      </x:c>
      <x:c r="V1709" s="17" t="str">
        <x:v>false</x:v>
      </x:c>
    </x:row>
  </x:sheetData>
  <x:pageMargins left="0.7" right="0.7" top="0.75" bottom="0.75" header="0.3" footer="0.3"/>
  <x:tableParts count="1">
    <x:tablePart xmlns:r="http://schemas.openxmlformats.org/officeDocument/2006/relationships" r:id="Rb2361e4a3956465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24" hidden="0" customWidth="1"/>
    <x:col min="5" max="5" width="15" hidden="0" customWidth="1"/>
    <x:col min="6" max="6" width="15" hidden="0" customWidth="1"/>
  </x:cols>
  <x:sheetData>
    <x:row r="2">
      <x:c r="B2" s="29" t="str">
        <x:v>Bug verdicts by project and round</x:v>
      </x:c>
    </x:row>
    <x:row r="3" ht="32" customHeight="1">
      <x:c r="B3" s="31" t="str">
        <x:v>One bug per round. FAIL = no usable tests or latest whole-bug generation failed. Partial class failures use execution results. NOT_AVAILABLE = compile, run, coverage or paired validation unavailable.</x:v>
      </x:c>
      <x:c r="C3" s="31"/>
      <x:c r="D3" s="31"/>
      <x:c r="E3" s="31"/>
      <x:c r="F3" s="31"/>
      <x:c r="G3" s="31"/>
      <x:c r="H3" s="31"/>
      <x:c r="I3" s="31"/>
    </x:row>
    <x:row r="4" ht="32" customHeight="1">
      <x:c r="B4" s="31" t="str">
        <x:v>All rounds pools 2 recorded round(s), 1,708 cases. See BugResults for evidence and StatusChecks for totals.</x:v>
      </x:c>
      <x:c r="C4" s="31"/>
      <x:c r="D4" s="31"/>
      <x:c r="E4" s="31"/>
      <x:c r="F4" s="31"/>
      <x:c r="G4" s="31"/>
      <x:c r="H4" s="31"/>
      <x:c r="I4" s="31"/>
    </x:row>
    <x:row r="6" ht="42" customHeight="1">
      <x:c r="B6" s="20" t="str">
        <x:v>Project</x:v>
      </x:c>
      <x:c r="C6" s="20" t="str">
        <x:v>Round</x:v>
      </x:c>
      <x:c r="D6" s="20" t="str">
        <x:v>Verdict</x:v>
      </x:c>
      <x:c r="E6" s="20" t="str">
        <x:v>Count</x:v>
      </x:c>
      <x:c r="F6" s="20" t="str">
        <x:v>Share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REVEALING</x:v>
      </x:c>
      <x:c r="E7" s="17" t="n">
        <x:f>COUNTIF('BugResults'!$D$2:$D$1709,"REVEALING")</x:f>
        <x:v>15</x:v>
      </x:c>
      <x:c r="F7" s="33" t="n">
        <x:f>E7/1708</x:f>
        <x:v>0.008782201405152224</x:v>
      </x:c>
    </x:row>
    <x:row r="8" ht="23" customHeight="1">
      <x:c r="B8" s="17" t="str">
        <x:v>All projects</x:v>
      </x:c>
      <x:c r="C8" s="17" t="str">
        <x:v>All rounds</x:v>
      </x:c>
      <x:c r="D8" s="17" t="str">
        <x:v>NOT_REVEALING</x:v>
      </x:c>
      <x:c r="E8" s="17" t="n">
        <x:f>COUNTIF('BugResults'!$D$2:$D$1709,"NOT_REVEALING")</x:f>
        <x:v>135</x:v>
      </x:c>
      <x:c r="F8" s="33" t="n">
        <x:f>E8/1708</x:f>
        <x:v>0.07903981264637003</x:v>
      </x:c>
    </x:row>
    <x:row r="9" ht="23" customHeight="1">
      <x:c r="B9" s="17" t="str">
        <x:v>All projects</x:v>
      </x:c>
      <x:c r="C9" s="17" t="str">
        <x:v>All rounds</x:v>
      </x:c>
      <x:c r="D9" s="17" t="str">
        <x:v>NOT_AVAILABLE</x:v>
      </x:c>
      <x:c r="E9" s="17" t="n">
        <x:f>COUNTIF('BugResults'!$D$2:$D$1709,"NOT_AVAILABLE")</x:f>
        <x:v>1088</x:v>
      </x:c>
      <x:c r="F9" s="33" t="n">
        <x:f>E9/1708</x:f>
        <x:v>0.6370023419203747</x:v>
      </x:c>
    </x:row>
    <x:row r="10" ht="23" customHeight="1">
      <x:c r="B10" s="17" t="str">
        <x:v>All projects</x:v>
      </x:c>
      <x:c r="C10" s="17" t="str">
        <x:v>All rounds</x:v>
      </x:c>
      <x:c r="D10" s="17" t="str">
        <x:v>INCONCLUSIVE</x:v>
      </x:c>
      <x:c r="E10" s="17" t="n">
        <x:f>COUNTIF('BugResults'!$D$2:$D$1709,"INCONCLUSIVE")</x:f>
        <x:v>470</x:v>
      </x:c>
      <x:c r="F10" s="33" t="n">
        <x:f>E10/1708</x:f>
        <x:v>0.275175644028103</x:v>
      </x:c>
    </x:row>
    <x:row r="11" ht="23" customHeight="1">
      <x:c r="B11" s="17" t="str">
        <x:v>All projects</x:v>
      </x:c>
      <x:c r="C11" s="17" t="str">
        <x:v>All rounds</x:v>
      </x:c>
      <x:c r="D11" s="17" t="str">
        <x:v>FAIL</x:v>
      </x:c>
      <x:c r="E11" s="17" t="n">
        <x:f>COUNTIF('BugResults'!$D$2:$D$1709,"FAIL")</x:f>
        <x:v>0</x:v>
      </x:c>
      <x:c r="F11" s="33" t="n">
        <x:f>E11/1708</x:f>
        <x:v>0</x:v>
      </x:c>
    </x:row>
    <x:row r="12" ht="23" customHeight="1">
      <x:c r="B12" s="17" t="str">
        <x:v>All projects</x:v>
      </x:c>
      <x:c r="C12" s="17" t="str">
        <x:v>Round1</x:v>
      </x:c>
      <x:c r="D12" s="17" t="str">
        <x:v>REVEALING</x:v>
      </x:c>
      <x:c r="E12" s="17" t="n">
        <x:f>COUNTIF('BugResults'!$D$2:$D$855,"REVEALING")</x:f>
        <x:v>4</x:v>
      </x:c>
      <x:c r="F12" s="33" t="n">
        <x:f>E12/854</x:f>
        <x:v>0.00468384074941452</x:v>
      </x:c>
    </x:row>
    <x:row r="13" ht="23" customHeight="1">
      <x:c r="B13" s="17" t="str">
        <x:v>All projects</x:v>
      </x:c>
      <x:c r="C13" s="17" t="str">
        <x:v>Round1</x:v>
      </x:c>
      <x:c r="D13" s="17" t="str">
        <x:v>NOT_REVEALING</x:v>
      </x:c>
      <x:c r="E13" s="17" t="n">
        <x:f>COUNTIF('BugResults'!$D$2:$D$855,"NOT_REVEALING")</x:f>
        <x:v>37</x:v>
      </x:c>
      <x:c r="F13" s="33" t="n">
        <x:f>E13/854</x:f>
        <x:v>0.04332552693208431</x:v>
      </x:c>
    </x:row>
    <x:row r="14" ht="23" customHeight="1">
      <x:c r="B14" s="17" t="str">
        <x:v>All projects</x:v>
      </x:c>
      <x:c r="C14" s="17" t="str">
        <x:v>Round1</x:v>
      </x:c>
      <x:c r="D14" s="17" t="str">
        <x:v>NOT_AVAILABLE</x:v>
      </x:c>
      <x:c r="E14" s="17" t="n">
        <x:f>COUNTIF('BugResults'!$D$2:$D$855,"NOT_AVAILABLE")</x:f>
        <x:v>641</x:v>
      </x:c>
      <x:c r="F14" s="33" t="n">
        <x:f>E14/854</x:f>
        <x:v>0.7505854800936768</x:v>
      </x:c>
    </x:row>
    <x:row r="15" ht="23" customHeight="1">
      <x:c r="B15" s="17" t="str">
        <x:v>All projects</x:v>
      </x:c>
      <x:c r="C15" s="17" t="str">
        <x:v>Round1</x:v>
      </x:c>
      <x:c r="D15" s="17" t="str">
        <x:v>INCONCLUSIVE</x:v>
      </x:c>
      <x:c r="E15" s="17" t="n">
        <x:f>COUNTIF('BugResults'!$D$2:$D$855,"INCONCLUSIVE")</x:f>
        <x:v>172</x:v>
      </x:c>
      <x:c r="F15" s="33" t="n">
        <x:f>E15/854</x:f>
        <x:v>0.20140515222482436</x:v>
      </x:c>
    </x:row>
    <x:row r="16" ht="23" customHeight="1">
      <x:c r="B16" s="17" t="str">
        <x:v>All projects</x:v>
      </x:c>
      <x:c r="C16" s="17" t="str">
        <x:v>Round1</x:v>
      </x:c>
      <x:c r="D16" s="17" t="str">
        <x:v>FAIL</x:v>
      </x:c>
      <x:c r="E16" s="17" t="n">
        <x:f>COUNTIF('BugResults'!$D$2:$D$855,"FAIL")</x:f>
        <x:v>0</x:v>
      </x:c>
      <x:c r="F16" s="33" t="n">
        <x:f>E16/854</x:f>
        <x:v>0</x:v>
      </x:c>
    </x:row>
    <x:row r="17" ht="23" customHeight="1">
      <x:c r="B17" s="17" t="str">
        <x:v>All projects</x:v>
      </x:c>
      <x:c r="C17" s="17" t="str">
        <x:v>Round2</x:v>
      </x:c>
      <x:c r="D17" s="17" t="str">
        <x:v>REVEALING</x:v>
      </x:c>
      <x:c r="E17" s="17" t="n">
        <x:f>COUNTIF('BugResults'!$D$856:$D$1709,"REVEALING")</x:f>
        <x:v>11</x:v>
      </x:c>
      <x:c r="F17" s="33" t="n">
        <x:f>E17/854</x:f>
        <x:v>0.01288056206088993</x:v>
      </x:c>
    </x:row>
    <x:row r="18" ht="23" customHeight="1">
      <x:c r="B18" s="17" t="str">
        <x:v>All projects</x:v>
      </x:c>
      <x:c r="C18" s="17" t="str">
        <x:v>Round2</x:v>
      </x:c>
      <x:c r="D18" s="17" t="str">
        <x:v>NOT_REVEALING</x:v>
      </x:c>
      <x:c r="E18" s="17" t="n">
        <x:f>COUNTIF('BugResults'!$D$856:$D$1709,"NOT_REVEALING")</x:f>
        <x:v>98</x:v>
      </x:c>
      <x:c r="F18" s="33" t="n">
        <x:f>E18/854</x:f>
        <x:v>0.11475409836065574</x:v>
      </x:c>
    </x:row>
    <x:row r="19" ht="23" customHeight="1">
      <x:c r="B19" s="17" t="str">
        <x:v>All projects</x:v>
      </x:c>
      <x:c r="C19" s="17" t="str">
        <x:v>Round2</x:v>
      </x:c>
      <x:c r="D19" s="17" t="str">
        <x:v>NOT_AVAILABLE</x:v>
      </x:c>
      <x:c r="E19" s="17" t="n">
        <x:f>COUNTIF('BugResults'!$D$856:$D$1709,"NOT_AVAILABLE")</x:f>
        <x:v>447</x:v>
      </x:c>
      <x:c r="F19" s="33" t="n">
        <x:f>E19/854</x:f>
        <x:v>0.5234192037470726</x:v>
      </x:c>
    </x:row>
    <x:row r="20" ht="23" customHeight="1">
      <x:c r="B20" s="17" t="str">
        <x:v>All projects</x:v>
      </x:c>
      <x:c r="C20" s="17" t="str">
        <x:v>Round2</x:v>
      </x:c>
      <x:c r="D20" s="17" t="str">
        <x:v>INCONCLUSIVE</x:v>
      </x:c>
      <x:c r="E20" s="17" t="n">
        <x:f>COUNTIF('BugResults'!$D$856:$D$1709,"INCONCLUSIVE")</x:f>
        <x:v>298</x:v>
      </x:c>
      <x:c r="F20" s="33" t="n">
        <x:f>E20/854</x:f>
        <x:v>0.34894613583138173</x:v>
      </x:c>
    </x:row>
    <x:row r="21" ht="23" customHeight="1">
      <x:c r="B21" s="17" t="str">
        <x:v>All projects</x:v>
      </x:c>
      <x:c r="C21" s="17" t="str">
        <x:v>Round2</x:v>
      </x:c>
      <x:c r="D21" s="17" t="str">
        <x:v>FAIL</x:v>
      </x:c>
      <x:c r="E21" s="17" t="n">
        <x:f>COUNTIF('BugResults'!$D$856:$D$1709,"FAIL")</x:f>
        <x:v>0</x:v>
      </x:c>
      <x:c r="F21" s="33" t="n">
        <x:f>E21/854</x:f>
        <x:v>0</x:v>
      </x:c>
    </x:row>
    <x:row r="22" ht="23" customHeight="1">
      <x:c r="B22" s="17" t="str">
        <x:v>Chart</x:v>
      </x:c>
      <x:c r="C22" s="17" t="str">
        <x:v>All rounds</x:v>
      </x:c>
      <x:c r="D22" s="17" t="str">
        <x:v>REVEALING</x:v>
      </x:c>
      <x:c r="E22" s="17" t="n">
        <x:f>COUNTIF('BugResults'!$D$2:$D$27,"REVEALING")+COUNTIF('BugResults'!$D$856:$D$881,"REVEALING")</x:f>
        <x:v>2</x:v>
      </x:c>
      <x:c r="F22" s="33" t="n">
        <x:f>E22/52</x:f>
        <x:v>0.038461538461538464</x:v>
      </x:c>
    </x:row>
    <x:row r="23" ht="23" customHeight="1">
      <x:c r="B23" s="17" t="str">
        <x:v>Chart</x:v>
      </x:c>
      <x:c r="C23" s="17" t="str">
        <x:v>All rounds</x:v>
      </x:c>
      <x:c r="D23" s="17" t="str">
        <x:v>NOT_REVEALING</x:v>
      </x:c>
      <x:c r="E23" s="17" t="n">
        <x:f>COUNTIF('BugResults'!$D$2:$D$27,"NOT_REVEALING")+COUNTIF('BugResults'!$D$856:$D$881,"NOT_REVEALING")</x:f>
        <x:v>4</x:v>
      </x:c>
      <x:c r="F23" s="33" t="n">
        <x:f>E23/52</x:f>
        <x:v>0.07692307692307693</x:v>
      </x:c>
    </x:row>
    <x:row r="24" ht="23" customHeight="1">
      <x:c r="B24" s="17" t="str">
        <x:v>Chart</x:v>
      </x:c>
      <x:c r="C24" s="17" t="str">
        <x:v>All rounds</x:v>
      </x:c>
      <x:c r="D24" s="17" t="str">
        <x:v>NOT_AVAILABLE</x:v>
      </x:c>
      <x:c r="E24" s="17" t="n">
        <x:f>COUNTIF('BugResults'!$D$2:$D$27,"NOT_AVAILABLE")+COUNTIF('BugResults'!$D$856:$D$881,"NOT_AVAILABLE")</x:f>
        <x:v>31</x:v>
      </x:c>
      <x:c r="F24" s="33" t="n">
        <x:f>E24/52</x:f>
        <x:v>0.5961538461538461</x:v>
      </x:c>
    </x:row>
    <x:row r="25" ht="23" customHeight="1">
      <x:c r="B25" s="17" t="str">
        <x:v>Chart</x:v>
      </x:c>
      <x:c r="C25" s="17" t="str">
        <x:v>All rounds</x:v>
      </x:c>
      <x:c r="D25" s="17" t="str">
        <x:v>INCONCLUSIVE</x:v>
      </x:c>
      <x:c r="E25" s="17" t="n">
        <x:f>COUNTIF('BugResults'!$D$2:$D$27,"INCONCLUSIVE")+COUNTIF('BugResults'!$D$856:$D$881,"INCONCLUSIVE")</x:f>
        <x:v>15</x:v>
      </x:c>
      <x:c r="F25" s="33" t="n">
        <x:f>E25/52</x:f>
        <x:v>0.28846153846153844</x:v>
      </x:c>
    </x:row>
    <x:row r="26" ht="23" customHeight="1">
      <x:c r="B26" s="17" t="str">
        <x:v>Chart</x:v>
      </x:c>
      <x:c r="C26" s="17" t="str">
        <x:v>All rounds</x:v>
      </x:c>
      <x:c r="D26" s="17" t="str">
        <x:v>FAIL</x:v>
      </x:c>
      <x:c r="E26" s="17" t="n">
        <x:f>COUNTIF('BugResults'!$D$2:$D$27,"FAIL")+COUNTIF('BugResults'!$D$856:$D$881,"FAIL")</x:f>
        <x:v>0</x:v>
      </x:c>
      <x:c r="F26" s="33" t="n">
        <x:f>E26/52</x:f>
        <x:v>0</x:v>
      </x:c>
    </x:row>
    <x:row r="27" ht="23" customHeight="1">
      <x:c r="B27" s="17" t="str">
        <x:v>Chart</x:v>
      </x:c>
      <x:c r="C27" s="17" t="str">
        <x:v>Round1</x:v>
      </x:c>
      <x:c r="D27" s="17" t="str">
        <x:v>REVEALING</x:v>
      </x:c>
      <x:c r="E27" s="17" t="n">
        <x:f>COUNTIF('BugResults'!$D$2:$D$27,"REVEALING")</x:f>
        <x:v>0</x:v>
      </x:c>
      <x:c r="F27" s="33" t="n">
        <x:f>E27/26</x:f>
        <x:v>0</x:v>
      </x:c>
    </x:row>
    <x:row r="28" ht="23" customHeight="1">
      <x:c r="B28" s="17" t="str">
        <x:v>Chart</x:v>
      </x:c>
      <x:c r="C28" s="17" t="str">
        <x:v>Round1</x:v>
      </x:c>
      <x:c r="D28" s="17" t="str">
        <x:v>NOT_REVEALING</x:v>
      </x:c>
      <x:c r="E28" s="17" t="n">
        <x:f>COUNTIF('BugResults'!$D$2:$D$27,"NOT_REVEALING")</x:f>
        <x:v>0</x:v>
      </x:c>
      <x:c r="F28" s="33" t="n">
        <x:f>E28/26</x:f>
        <x:v>0</x:v>
      </x:c>
    </x:row>
    <x:row r="29" ht="23" customHeight="1">
      <x:c r="B29" s="17" t="str">
        <x:v>Chart</x:v>
      </x:c>
      <x:c r="C29" s="17" t="str">
        <x:v>Round1</x:v>
      </x:c>
      <x:c r="D29" s="17" t="str">
        <x:v>NOT_AVAILABLE</x:v>
      </x:c>
      <x:c r="E29" s="17" t="n">
        <x:f>COUNTIF('BugResults'!$D$2:$D$27,"NOT_AVAILABLE")</x:f>
        <x:v>19</x:v>
      </x:c>
      <x:c r="F29" s="33" t="n">
        <x:f>E29/26</x:f>
        <x:v>0.7307692307692307</x:v>
      </x:c>
    </x:row>
    <x:row r="30" ht="23" customHeight="1">
      <x:c r="B30" s="17" t="str">
        <x:v>Chart</x:v>
      </x:c>
      <x:c r="C30" s="17" t="str">
        <x:v>Round1</x:v>
      </x:c>
      <x:c r="D30" s="17" t="str">
        <x:v>INCONCLUSIVE</x:v>
      </x:c>
      <x:c r="E30" s="17" t="n">
        <x:f>COUNTIF('BugResults'!$D$2:$D$27,"INCONCLUSIVE")</x:f>
        <x:v>7</x:v>
      </x:c>
      <x:c r="F30" s="33" t="n">
        <x:f>E30/26</x:f>
        <x:v>0.2692307692307692</x:v>
      </x:c>
    </x:row>
    <x:row r="31" ht="23" customHeight="1">
      <x:c r="B31" s="17" t="str">
        <x:v>Chart</x:v>
      </x:c>
      <x:c r="C31" s="17" t="str">
        <x:v>Round1</x:v>
      </x:c>
      <x:c r="D31" s="17" t="str">
        <x:v>FAIL</x:v>
      </x:c>
      <x:c r="E31" s="17" t="n">
        <x:f>COUNTIF('BugResults'!$D$2:$D$27,"FAIL")</x:f>
        <x:v>0</x:v>
      </x:c>
      <x:c r="F31" s="33" t="n">
        <x:f>E31/26</x:f>
        <x:v>0</x:v>
      </x:c>
    </x:row>
    <x:row r="32" ht="23" customHeight="1">
      <x:c r="B32" s="17" t="str">
        <x:v>Chart</x:v>
      </x:c>
      <x:c r="C32" s="17" t="str">
        <x:v>Round2</x:v>
      </x:c>
      <x:c r="D32" s="17" t="str">
        <x:v>REVEALING</x:v>
      </x:c>
      <x:c r="E32" s="17" t="n">
        <x:f>COUNTIF('BugResults'!$D$856:$D$881,"REVEALING")</x:f>
        <x:v>2</x:v>
      </x:c>
      <x:c r="F32" s="33" t="n">
        <x:f>E32/26</x:f>
        <x:v>0.07692307692307693</x:v>
      </x:c>
    </x:row>
    <x:row r="33" ht="23" customHeight="1">
      <x:c r="B33" s="17" t="str">
        <x:v>Chart</x:v>
      </x:c>
      <x:c r="C33" s="17" t="str">
        <x:v>Round2</x:v>
      </x:c>
      <x:c r="D33" s="17" t="str">
        <x:v>NOT_REVEALING</x:v>
      </x:c>
      <x:c r="E33" s="17" t="n">
        <x:f>COUNTIF('BugResults'!$D$856:$D$881,"NOT_REVEALING")</x:f>
        <x:v>4</x:v>
      </x:c>
      <x:c r="F33" s="33" t="n">
        <x:f>E33/26</x:f>
        <x:v>0.15384615384615385</x:v>
      </x:c>
    </x:row>
    <x:row r="34" ht="23" customHeight="1">
      <x:c r="B34" s="17" t="str">
        <x:v>Chart</x:v>
      </x:c>
      <x:c r="C34" s="17" t="str">
        <x:v>Round2</x:v>
      </x:c>
      <x:c r="D34" s="17" t="str">
        <x:v>NOT_AVAILABLE</x:v>
      </x:c>
      <x:c r="E34" s="17" t="n">
        <x:f>COUNTIF('BugResults'!$D$856:$D$881,"NOT_AVAILABLE")</x:f>
        <x:v>12</x:v>
      </x:c>
      <x:c r="F34" s="33" t="n">
        <x:f>E34/26</x:f>
        <x:v>0.46153846153846156</x:v>
      </x:c>
    </x:row>
    <x:row r="35" ht="23" customHeight="1">
      <x:c r="B35" s="17" t="str">
        <x:v>Chart</x:v>
      </x:c>
      <x:c r="C35" s="17" t="str">
        <x:v>Round2</x:v>
      </x:c>
      <x:c r="D35" s="17" t="str">
        <x:v>INCONCLUSIVE</x:v>
      </x:c>
      <x:c r="E35" s="17" t="n">
        <x:f>COUNTIF('BugResults'!$D$856:$D$881,"INCONCLUSIVE")</x:f>
        <x:v>8</x:v>
      </x:c>
      <x:c r="F35" s="33" t="n">
        <x:f>E35/26</x:f>
        <x:v>0.3076923076923077</x:v>
      </x:c>
    </x:row>
    <x:row r="36" ht="23" customHeight="1">
      <x:c r="B36" s="17" t="str">
        <x:v>Chart</x:v>
      </x:c>
      <x:c r="C36" s="17" t="str">
        <x:v>Round2</x:v>
      </x:c>
      <x:c r="D36" s="17" t="str">
        <x:v>FAIL</x:v>
      </x:c>
      <x:c r="E36" s="17" t="n">
        <x:f>COUNTIF('BugResults'!$D$856:$D$881,"FAIL")</x:f>
        <x:v>0</x:v>
      </x:c>
      <x:c r="F36" s="33" t="n">
        <x:f>E36/26</x:f>
        <x:v>0</x:v>
      </x:c>
    </x:row>
    <x:row r="37" ht="23" customHeight="1">
      <x:c r="B37" s="17" t="str">
        <x:v>Cli</x:v>
      </x:c>
      <x:c r="C37" s="17" t="str">
        <x:v>All rounds</x:v>
      </x:c>
      <x:c r="D37" s="17" t="str">
        <x:v>REVEALING</x:v>
      </x:c>
      <x:c r="E37" s="17" t="n">
        <x:f>COUNTIF('BugResults'!$D$28:$D$66,"REVEALING")+COUNTIF('BugResults'!$D$882:$D$920,"REVEALING")</x:f>
        <x:v>0</x:v>
      </x:c>
      <x:c r="F37" s="33" t="n">
        <x:f>E37/78</x:f>
        <x:v>0</x:v>
      </x:c>
    </x:row>
    <x:row r="38" ht="23" customHeight="1">
      <x:c r="B38" s="17" t="str">
        <x:v>Cli</x:v>
      </x:c>
      <x:c r="C38" s="17" t="str">
        <x:v>All rounds</x:v>
      </x:c>
      <x:c r="D38" s="17" t="str">
        <x:v>NOT_REVEALING</x:v>
      </x:c>
      <x:c r="E38" s="17" t="n">
        <x:f>COUNTIF('BugResults'!$D$28:$D$66,"NOT_REVEALING")+COUNTIF('BugResults'!$D$882:$D$920,"NOT_REVEALING")</x:f>
        <x:v>2</x:v>
      </x:c>
      <x:c r="F38" s="33" t="n">
        <x:f>E38/78</x:f>
        <x:v>0.02564102564102564</x:v>
      </x:c>
    </x:row>
    <x:row r="39" ht="23" customHeight="1">
      <x:c r="B39" s="17" t="str">
        <x:v>Cli</x:v>
      </x:c>
      <x:c r="C39" s="17" t="str">
        <x:v>All rounds</x:v>
      </x:c>
      <x:c r="D39" s="17" t="str">
        <x:v>NOT_AVAILABLE</x:v>
      </x:c>
      <x:c r="E39" s="17" t="n">
        <x:f>COUNTIF('BugResults'!$D$28:$D$66,"NOT_AVAILABLE")+COUNTIF('BugResults'!$D$882:$D$920,"NOT_AVAILABLE")</x:f>
        <x:v>36</x:v>
      </x:c>
      <x:c r="F39" s="33" t="n">
        <x:f>E39/78</x:f>
        <x:v>0.46153846153846156</x:v>
      </x:c>
    </x:row>
    <x:row r="40" ht="23" customHeight="1">
      <x:c r="B40" s="17" t="str">
        <x:v>Cli</x:v>
      </x:c>
      <x:c r="C40" s="17" t="str">
        <x:v>All rounds</x:v>
      </x:c>
      <x:c r="D40" s="17" t="str">
        <x:v>INCONCLUSIVE</x:v>
      </x:c>
      <x:c r="E40" s="17" t="n">
        <x:f>COUNTIF('BugResults'!$D$28:$D$66,"INCONCLUSIVE")+COUNTIF('BugResults'!$D$882:$D$920,"INCONCLUSIVE")</x:f>
        <x:v>40</x:v>
      </x:c>
      <x:c r="F40" s="33" t="n">
        <x:f>E40/78</x:f>
        <x:v>0.5128205128205128</x:v>
      </x:c>
    </x:row>
    <x:row r="41" ht="23" customHeight="1">
      <x:c r="B41" s="17" t="str">
        <x:v>Cli</x:v>
      </x:c>
      <x:c r="C41" s="17" t="str">
        <x:v>All rounds</x:v>
      </x:c>
      <x:c r="D41" s="17" t="str">
        <x:v>FAIL</x:v>
      </x:c>
      <x:c r="E41" s="17" t="n">
        <x:f>COUNTIF('BugResults'!$D$28:$D$66,"FAIL")+COUNTIF('BugResults'!$D$882:$D$920,"FAIL")</x:f>
        <x:v>0</x:v>
      </x:c>
      <x:c r="F41" s="33" t="n">
        <x:f>E41/78</x:f>
        <x:v>0</x:v>
      </x:c>
    </x:row>
    <x:row r="42" ht="23" customHeight="1">
      <x:c r="B42" s="17" t="str">
        <x:v>Cli</x:v>
      </x:c>
      <x:c r="C42" s="17" t="str">
        <x:v>Round1</x:v>
      </x:c>
      <x:c r="D42" s="17" t="str">
        <x:v>REVEALING</x:v>
      </x:c>
      <x:c r="E42" s="17" t="n">
        <x:f>COUNTIF('BugResults'!$D$28:$D$66,"REVEALING")</x:f>
        <x:v>0</x:v>
      </x:c>
      <x:c r="F42" s="33" t="n">
        <x:f>E42/39</x:f>
        <x:v>0</x:v>
      </x:c>
    </x:row>
    <x:row r="43" ht="23" customHeight="1">
      <x:c r="B43" s="17" t="str">
        <x:v>Cli</x:v>
      </x:c>
      <x:c r="C43" s="17" t="str">
        <x:v>Round1</x:v>
      </x:c>
      <x:c r="D43" s="17" t="str">
        <x:v>NOT_REVEALING</x:v>
      </x:c>
      <x:c r="E43" s="17" t="n">
        <x:f>COUNTIF('BugResults'!$D$28:$D$66,"NOT_REVEALING")</x:f>
        <x:v>0</x:v>
      </x:c>
      <x:c r="F43" s="33" t="n">
        <x:f>E43/39</x:f>
        <x:v>0</x:v>
      </x:c>
    </x:row>
    <x:row r="44" ht="23" customHeight="1">
      <x:c r="B44" s="17" t="str">
        <x:v>Cli</x:v>
      </x:c>
      <x:c r="C44" s="17" t="str">
        <x:v>Round1</x:v>
      </x:c>
      <x:c r="D44" s="17" t="str">
        <x:v>NOT_AVAILABLE</x:v>
      </x:c>
      <x:c r="E44" s="17" t="n">
        <x:f>COUNTIF('BugResults'!$D$28:$D$66,"NOT_AVAILABLE")</x:f>
        <x:v>24</x:v>
      </x:c>
      <x:c r="F44" s="33" t="n">
        <x:f>E44/39</x:f>
        <x:v>0.6153846153846154</x:v>
      </x:c>
    </x:row>
    <x:row r="45" ht="23" customHeight="1">
      <x:c r="B45" s="17" t="str">
        <x:v>Cli</x:v>
      </x:c>
      <x:c r="C45" s="17" t="str">
        <x:v>Round1</x:v>
      </x:c>
      <x:c r="D45" s="17" t="str">
        <x:v>INCONCLUSIVE</x:v>
      </x:c>
      <x:c r="E45" s="17" t="n">
        <x:f>COUNTIF('BugResults'!$D$28:$D$66,"INCONCLUSIVE")</x:f>
        <x:v>15</x:v>
      </x:c>
      <x:c r="F45" s="33" t="n">
        <x:f>E45/39</x:f>
        <x:v>0.38461538461538464</x:v>
      </x:c>
    </x:row>
    <x:row r="46" ht="23" customHeight="1">
      <x:c r="B46" s="17" t="str">
        <x:v>Cli</x:v>
      </x:c>
      <x:c r="C46" s="17" t="str">
        <x:v>Round1</x:v>
      </x:c>
      <x:c r="D46" s="17" t="str">
        <x:v>FAIL</x:v>
      </x:c>
      <x:c r="E46" s="17" t="n">
        <x:f>COUNTIF('BugResults'!$D$28:$D$66,"FAIL")</x:f>
        <x:v>0</x:v>
      </x:c>
      <x:c r="F46" s="33" t="n">
        <x:f>E46/39</x:f>
        <x:v>0</x:v>
      </x:c>
    </x:row>
    <x:row r="47" ht="23" customHeight="1">
      <x:c r="B47" s="17" t="str">
        <x:v>Cli</x:v>
      </x:c>
      <x:c r="C47" s="17" t="str">
        <x:v>Round2</x:v>
      </x:c>
      <x:c r="D47" s="17" t="str">
        <x:v>REVEALING</x:v>
      </x:c>
      <x:c r="E47" s="17" t="n">
        <x:f>COUNTIF('BugResults'!$D$882:$D$920,"REVEALING")</x:f>
        <x:v>0</x:v>
      </x:c>
      <x:c r="F47" s="33" t="n">
        <x:f>E47/39</x:f>
        <x:v>0</x:v>
      </x:c>
    </x:row>
    <x:row r="48" ht="23" customHeight="1">
      <x:c r="B48" s="17" t="str">
        <x:v>Cli</x:v>
      </x:c>
      <x:c r="C48" s="17" t="str">
        <x:v>Round2</x:v>
      </x:c>
      <x:c r="D48" s="17" t="str">
        <x:v>NOT_REVEALING</x:v>
      </x:c>
      <x:c r="E48" s="17" t="n">
        <x:f>COUNTIF('BugResults'!$D$882:$D$920,"NOT_REVEALING")</x:f>
        <x:v>2</x:v>
      </x:c>
      <x:c r="F48" s="33" t="n">
        <x:f>E48/39</x:f>
        <x:v>0.05128205128205128</x:v>
      </x:c>
    </x:row>
    <x:row r="49" ht="23" customHeight="1">
      <x:c r="B49" s="17" t="str">
        <x:v>Cli</x:v>
      </x:c>
      <x:c r="C49" s="17" t="str">
        <x:v>Round2</x:v>
      </x:c>
      <x:c r="D49" s="17" t="str">
        <x:v>NOT_AVAILABLE</x:v>
      </x:c>
      <x:c r="E49" s="17" t="n">
        <x:f>COUNTIF('BugResults'!$D$882:$D$920,"NOT_AVAILABLE")</x:f>
        <x:v>12</x:v>
      </x:c>
      <x:c r="F49" s="33" t="n">
        <x:f>E49/39</x:f>
        <x:v>0.3076923076923077</x:v>
      </x:c>
    </x:row>
    <x:row r="50" ht="23" customHeight="1">
      <x:c r="B50" s="17" t="str">
        <x:v>Cli</x:v>
      </x:c>
      <x:c r="C50" s="17" t="str">
        <x:v>Round2</x:v>
      </x:c>
      <x:c r="D50" s="17" t="str">
        <x:v>INCONCLUSIVE</x:v>
      </x:c>
      <x:c r="E50" s="17" t="n">
        <x:f>COUNTIF('BugResults'!$D$882:$D$920,"INCONCLUSIVE")</x:f>
        <x:v>25</x:v>
      </x:c>
      <x:c r="F50" s="33" t="n">
        <x:f>E50/39</x:f>
        <x:v>0.6410256410256411</x:v>
      </x:c>
    </x:row>
    <x:row r="51" ht="23" customHeight="1">
      <x:c r="B51" s="17" t="str">
        <x:v>Cli</x:v>
      </x:c>
      <x:c r="C51" s="17" t="str">
        <x:v>Round2</x:v>
      </x:c>
      <x:c r="D51" s="17" t="str">
        <x:v>FAIL</x:v>
      </x:c>
      <x:c r="E51" s="17" t="n">
        <x:f>COUNTIF('BugResults'!$D$882:$D$920,"FAIL")</x:f>
        <x:v>0</x:v>
      </x:c>
      <x:c r="F51" s="33" t="n">
        <x:f>E51/39</x:f>
        <x:v>0</x:v>
      </x:c>
    </x:row>
    <x:row r="52" ht="23" customHeight="1">
      <x:c r="B52" s="17" t="str">
        <x:v>Closure</x:v>
      </x:c>
      <x:c r="C52" s="17" t="str">
        <x:v>All rounds</x:v>
      </x:c>
      <x:c r="D52" s="17" t="str">
        <x:v>REVEALING</x:v>
      </x:c>
      <x:c r="E52" s="17" t="n">
        <x:f>COUNTIF('BugResults'!$D$67:$D$240,"REVEALING")+COUNTIF('BugResults'!$D$921:$D$1094,"REVEALING")</x:f>
        <x:v>2</x:v>
      </x:c>
      <x:c r="F52" s="33" t="n">
        <x:f>E52/348</x:f>
        <x:v>0.005747126436781609</x:v>
      </x:c>
    </x:row>
    <x:row r="53" ht="23" customHeight="1">
      <x:c r="B53" s="17" t="str">
        <x:v>Closure</x:v>
      </x:c>
      <x:c r="C53" s="17" t="str">
        <x:v>All rounds</x:v>
      </x:c>
      <x:c r="D53" s="17" t="str">
        <x:v>NOT_REVEALING</x:v>
      </x:c>
      <x:c r="E53" s="17" t="n">
        <x:f>COUNTIF('BugResults'!$D$67:$D$240,"NOT_REVEALING")+COUNTIF('BugResults'!$D$921:$D$1094,"NOT_REVEALING")</x:f>
        <x:v>2</x:v>
      </x:c>
      <x:c r="F53" s="33" t="n">
        <x:f>E53/348</x:f>
        <x:v>0.005747126436781609</x:v>
      </x:c>
    </x:row>
    <x:row r="54" ht="23" customHeight="1">
      <x:c r="B54" s="17" t="str">
        <x:v>Closure</x:v>
      </x:c>
      <x:c r="C54" s="17" t="str">
        <x:v>All rounds</x:v>
      </x:c>
      <x:c r="D54" s="17" t="str">
        <x:v>NOT_AVAILABLE</x:v>
      </x:c>
      <x:c r="E54" s="17" t="n">
        <x:f>COUNTIF('BugResults'!$D$67:$D$240,"NOT_AVAILABLE")+COUNTIF('BugResults'!$D$921:$D$1094,"NOT_AVAILABLE")</x:f>
        <x:v>315</x:v>
      </x:c>
      <x:c r="F54" s="33" t="n">
        <x:f>E54/348</x:f>
        <x:v>0.9051724137931034</x:v>
      </x:c>
    </x:row>
    <x:row r="55" ht="23" customHeight="1">
      <x:c r="B55" s="17" t="str">
        <x:v>Closure</x:v>
      </x:c>
      <x:c r="C55" s="17" t="str">
        <x:v>All rounds</x:v>
      </x:c>
      <x:c r="D55" s="17" t="str">
        <x:v>INCONCLUSIVE</x:v>
      </x:c>
      <x:c r="E55" s="17" t="n">
        <x:f>COUNTIF('BugResults'!$D$67:$D$240,"INCONCLUSIVE")+COUNTIF('BugResults'!$D$921:$D$1094,"INCONCLUSIVE")</x:f>
        <x:v>29</x:v>
      </x:c>
      <x:c r="F55" s="33" t="n">
        <x:f>E55/348</x:f>
        <x:v>0.08333333333333333</x:v>
      </x:c>
    </x:row>
    <x:row r="56" ht="23" customHeight="1">
      <x:c r="B56" s="17" t="str">
        <x:v>Closure</x:v>
      </x:c>
      <x:c r="C56" s="17" t="str">
        <x:v>All rounds</x:v>
      </x:c>
      <x:c r="D56" s="17" t="str">
        <x:v>FAIL</x:v>
      </x:c>
      <x:c r="E56" s="17" t="n">
        <x:f>COUNTIF('BugResults'!$D$67:$D$240,"FAIL")+COUNTIF('BugResults'!$D$921:$D$1094,"FAIL")</x:f>
        <x:v>0</x:v>
      </x:c>
      <x:c r="F56" s="33" t="n">
        <x:f>E56/348</x:f>
        <x:v>0</x:v>
      </x:c>
    </x:row>
    <x:row r="57" ht="23" customHeight="1">
      <x:c r="B57" s="17" t="str">
        <x:v>Closure</x:v>
      </x:c>
      <x:c r="C57" s="17" t="str">
        <x:v>Round1</x:v>
      </x:c>
      <x:c r="D57" s="17" t="str">
        <x:v>REVEALING</x:v>
      </x:c>
      <x:c r="E57" s="17" t="n">
        <x:f>COUNTIF('BugResults'!$D$67:$D$240,"REVEALING")</x:f>
        <x:v>1</x:v>
      </x:c>
      <x:c r="F57" s="33" t="n">
        <x:f>E57/174</x:f>
        <x:v>0.005747126436781609</x:v>
      </x:c>
    </x:row>
    <x:row r="58" ht="23" customHeight="1">
      <x:c r="B58" s="17" t="str">
        <x:v>Closure</x:v>
      </x:c>
      <x:c r="C58" s="17" t="str">
        <x:v>Round1</x:v>
      </x:c>
      <x:c r="D58" s="17" t="str">
        <x:v>NOT_REVEALING</x:v>
      </x:c>
      <x:c r="E58" s="17" t="n">
        <x:f>COUNTIF('BugResults'!$D$67:$D$240,"NOT_REVEALING")</x:f>
        <x:v>0</x:v>
      </x:c>
      <x:c r="F58" s="33" t="n">
        <x:f>E58/174</x:f>
        <x:v>0</x:v>
      </x:c>
    </x:row>
    <x:row r="59" ht="23" customHeight="1">
      <x:c r="B59" s="17" t="str">
        <x:v>Closure</x:v>
      </x:c>
      <x:c r="C59" s="17" t="str">
        <x:v>Round1</x:v>
      </x:c>
      <x:c r="D59" s="17" t="str">
        <x:v>NOT_AVAILABLE</x:v>
      </x:c>
      <x:c r="E59" s="17" t="n">
        <x:f>COUNTIF('BugResults'!$D$67:$D$240,"NOT_AVAILABLE")</x:f>
        <x:v>167</x:v>
      </x:c>
      <x:c r="F59" s="33" t="n">
        <x:f>E59/174</x:f>
        <x:v>0.9597701149425287</x:v>
      </x:c>
    </x:row>
    <x:row r="60" ht="23" customHeight="1">
      <x:c r="B60" s="17" t="str">
        <x:v>Closure</x:v>
      </x:c>
      <x:c r="C60" s="17" t="str">
        <x:v>Round1</x:v>
      </x:c>
      <x:c r="D60" s="17" t="str">
        <x:v>INCONCLUSIVE</x:v>
      </x:c>
      <x:c r="E60" s="17" t="n">
        <x:f>COUNTIF('BugResults'!$D$67:$D$240,"INCONCLUSIVE")</x:f>
        <x:v>6</x:v>
      </x:c>
      <x:c r="F60" s="33" t="n">
        <x:f>E60/174</x:f>
        <x:v>0.034482758620689655</x:v>
      </x:c>
    </x:row>
    <x:row r="61" ht="23" customHeight="1">
      <x:c r="B61" s="17" t="str">
        <x:v>Closure</x:v>
      </x:c>
      <x:c r="C61" s="17" t="str">
        <x:v>Round1</x:v>
      </x:c>
      <x:c r="D61" s="17" t="str">
        <x:v>FAIL</x:v>
      </x:c>
      <x:c r="E61" s="17" t="n">
        <x:f>COUNTIF('BugResults'!$D$67:$D$240,"FAIL")</x:f>
        <x:v>0</x:v>
      </x:c>
      <x:c r="F61" s="33" t="n">
        <x:f>E61/174</x:f>
        <x:v>0</x:v>
      </x:c>
    </x:row>
    <x:row r="62" ht="23" customHeight="1">
      <x:c r="B62" s="17" t="str">
        <x:v>Closure</x:v>
      </x:c>
      <x:c r="C62" s="17" t="str">
        <x:v>Round2</x:v>
      </x:c>
      <x:c r="D62" s="17" t="str">
        <x:v>REVEALING</x:v>
      </x:c>
      <x:c r="E62" s="17" t="n">
        <x:f>COUNTIF('BugResults'!$D$921:$D$1094,"REVEALING")</x:f>
        <x:v>1</x:v>
      </x:c>
      <x:c r="F62" s="33" t="n">
        <x:f>E62/174</x:f>
        <x:v>0.005747126436781609</x:v>
      </x:c>
    </x:row>
    <x:row r="63" ht="23" customHeight="1">
      <x:c r="B63" s="17" t="str">
        <x:v>Closure</x:v>
      </x:c>
      <x:c r="C63" s="17" t="str">
        <x:v>Round2</x:v>
      </x:c>
      <x:c r="D63" s="17" t="str">
        <x:v>NOT_REVEALING</x:v>
      </x:c>
      <x:c r="E63" s="17" t="n">
        <x:f>COUNTIF('BugResults'!$D$921:$D$1094,"NOT_REVEALING")</x:f>
        <x:v>2</x:v>
      </x:c>
      <x:c r="F63" s="33" t="n">
        <x:f>E63/174</x:f>
        <x:v>0.011494252873563218</x:v>
      </x:c>
    </x:row>
    <x:row r="64" ht="23" customHeight="1">
      <x:c r="B64" s="17" t="str">
        <x:v>Closure</x:v>
      </x:c>
      <x:c r="C64" s="17" t="str">
        <x:v>Round2</x:v>
      </x:c>
      <x:c r="D64" s="17" t="str">
        <x:v>NOT_AVAILABLE</x:v>
      </x:c>
      <x:c r="E64" s="17" t="n">
        <x:f>COUNTIF('BugResults'!$D$921:$D$1094,"NOT_AVAILABLE")</x:f>
        <x:v>148</x:v>
      </x:c>
      <x:c r="F64" s="33" t="n">
        <x:f>E64/174</x:f>
        <x:v>0.8505747126436781</x:v>
      </x:c>
    </x:row>
    <x:row r="65" ht="23" customHeight="1">
      <x:c r="B65" s="17" t="str">
        <x:v>Closure</x:v>
      </x:c>
      <x:c r="C65" s="17" t="str">
        <x:v>Round2</x:v>
      </x:c>
      <x:c r="D65" s="17" t="str">
        <x:v>INCONCLUSIVE</x:v>
      </x:c>
      <x:c r="E65" s="17" t="n">
        <x:f>COUNTIF('BugResults'!$D$921:$D$1094,"INCONCLUSIVE")</x:f>
        <x:v>23</x:v>
      </x:c>
      <x:c r="F65" s="33" t="n">
        <x:f>E65/174</x:f>
        <x:v>0.13218390804597702</x:v>
      </x:c>
    </x:row>
    <x:row r="66" ht="23" customHeight="1">
      <x:c r="B66" s="17" t="str">
        <x:v>Closure</x:v>
      </x:c>
      <x:c r="C66" s="17" t="str">
        <x:v>Round2</x:v>
      </x:c>
      <x:c r="D66" s="17" t="str">
        <x:v>FAIL</x:v>
      </x:c>
      <x:c r="E66" s="17" t="n">
        <x:f>COUNTIF('BugResults'!$D$921:$D$1094,"FAIL")</x:f>
        <x:v>0</x:v>
      </x:c>
      <x:c r="F66" s="33" t="n">
        <x:f>E66/174</x:f>
        <x:v>0</x:v>
      </x:c>
    </x:row>
    <x:row r="67" ht="23" customHeight="1">
      <x:c r="B67" s="17" t="str">
        <x:v>Codec</x:v>
      </x:c>
      <x:c r="C67" s="17" t="str">
        <x:v>All rounds</x:v>
      </x:c>
      <x:c r="D67" s="17" t="str">
        <x:v>REVEALING</x:v>
      </x:c>
      <x:c r="E67" s="17" t="n">
        <x:f>COUNTIF('BugResults'!$D$241:$D$258,"REVEALING")+COUNTIF('BugResults'!$D$1095:$D$1112,"REVEALING")</x:f>
        <x:v>0</x:v>
      </x:c>
      <x:c r="F67" s="33" t="n">
        <x:f>E67/36</x:f>
        <x:v>0</x:v>
      </x:c>
    </x:row>
    <x:row r="68" ht="23" customHeight="1">
      <x:c r="B68" s="17" t="str">
        <x:v>Codec</x:v>
      </x:c>
      <x:c r="C68" s="17" t="str">
        <x:v>All rounds</x:v>
      </x:c>
      <x:c r="D68" s="17" t="str">
        <x:v>NOT_REVEALING</x:v>
      </x:c>
      <x:c r="E68" s="17" t="n">
        <x:f>COUNTIF('BugResults'!$D$241:$D$258,"NOT_REVEALING")+COUNTIF('BugResults'!$D$1095:$D$1112,"NOT_REVEALING")</x:f>
        <x:v>2</x:v>
      </x:c>
      <x:c r="F68" s="33" t="n">
        <x:f>E68/36</x:f>
        <x:v>0.05555555555555555</x:v>
      </x:c>
    </x:row>
    <x:row r="69" ht="23" customHeight="1">
      <x:c r="B69" s="17" t="str">
        <x:v>Codec</x:v>
      </x:c>
      <x:c r="C69" s="17" t="str">
        <x:v>All rounds</x:v>
      </x:c>
      <x:c r="D69" s="17" t="str">
        <x:v>NOT_AVAILABLE</x:v>
      </x:c>
      <x:c r="E69" s="17" t="n">
        <x:f>COUNTIF('BugResults'!$D$241:$D$258,"NOT_AVAILABLE")+COUNTIF('BugResults'!$D$1095:$D$1112,"NOT_AVAILABLE")</x:f>
        <x:v>18</x:v>
      </x:c>
      <x:c r="F69" s="33" t="n">
        <x:f>E69/36</x:f>
        <x:v>0.5</x:v>
      </x:c>
    </x:row>
    <x:row r="70" ht="23" customHeight="1">
      <x:c r="B70" s="17" t="str">
        <x:v>Codec</x:v>
      </x:c>
      <x:c r="C70" s="17" t="str">
        <x:v>All rounds</x:v>
      </x:c>
      <x:c r="D70" s="17" t="str">
        <x:v>INCONCLUSIVE</x:v>
      </x:c>
      <x:c r="E70" s="17" t="n">
        <x:f>COUNTIF('BugResults'!$D$241:$D$258,"INCONCLUSIVE")+COUNTIF('BugResults'!$D$1095:$D$1112,"INCONCLUSIVE")</x:f>
        <x:v>16</x:v>
      </x:c>
      <x:c r="F70" s="33" t="n">
        <x:f>E70/36</x:f>
        <x:v>0.4444444444444444</x:v>
      </x:c>
    </x:row>
    <x:row r="71" ht="23" customHeight="1">
      <x:c r="B71" s="17" t="str">
        <x:v>Codec</x:v>
      </x:c>
      <x:c r="C71" s="17" t="str">
        <x:v>All rounds</x:v>
      </x:c>
      <x:c r="D71" s="17" t="str">
        <x:v>FAIL</x:v>
      </x:c>
      <x:c r="E71" s="17" t="n">
        <x:f>COUNTIF('BugResults'!$D$241:$D$258,"FAIL")+COUNTIF('BugResults'!$D$1095:$D$1112,"FAIL")</x:f>
        <x:v>0</x:v>
      </x:c>
      <x:c r="F71" s="33" t="n">
        <x:f>E71/36</x:f>
        <x:v>0</x:v>
      </x:c>
    </x:row>
    <x:row r="72" ht="23" customHeight="1">
      <x:c r="B72" s="17" t="str">
        <x:v>Codec</x:v>
      </x:c>
      <x:c r="C72" s="17" t="str">
        <x:v>Round1</x:v>
      </x:c>
      <x:c r="D72" s="17" t="str">
        <x:v>REVEALING</x:v>
      </x:c>
      <x:c r="E72" s="17" t="n">
        <x:f>COUNTIF('BugResults'!$D$241:$D$258,"REVEALING")</x:f>
        <x:v>0</x:v>
      </x:c>
      <x:c r="F72" s="33" t="n">
        <x:f>E72/18</x:f>
        <x:v>0</x:v>
      </x:c>
    </x:row>
    <x:row r="73" ht="23" customHeight="1">
      <x:c r="B73" s="17" t="str">
        <x:v>Codec</x:v>
      </x:c>
      <x:c r="C73" s="17" t="str">
        <x:v>Round1</x:v>
      </x:c>
      <x:c r="D73" s="17" t="str">
        <x:v>NOT_REVEALING</x:v>
      </x:c>
      <x:c r="E73" s="17" t="n">
        <x:f>COUNTIF('BugResults'!$D$241:$D$258,"NOT_REVEALING")</x:f>
        <x:v>0</x:v>
      </x:c>
      <x:c r="F73" s="33" t="n">
        <x:f>E73/18</x:f>
        <x:v>0</x:v>
      </x:c>
    </x:row>
    <x:row r="74" ht="23" customHeight="1">
      <x:c r="B74" s="17" t="str">
        <x:v>Codec</x:v>
      </x:c>
      <x:c r="C74" s="17" t="str">
        <x:v>Round1</x:v>
      </x:c>
      <x:c r="D74" s="17" t="str">
        <x:v>NOT_AVAILABLE</x:v>
      </x:c>
      <x:c r="E74" s="17" t="n">
        <x:f>COUNTIF('BugResults'!$D$241:$D$258,"NOT_AVAILABLE")</x:f>
        <x:v>14</x:v>
      </x:c>
      <x:c r="F74" s="33" t="n">
        <x:f>E74/18</x:f>
        <x:v>0.7777777777777778</x:v>
      </x:c>
    </x:row>
    <x:row r="75" ht="23" customHeight="1">
      <x:c r="B75" s="17" t="str">
        <x:v>Codec</x:v>
      </x:c>
      <x:c r="C75" s="17" t="str">
        <x:v>Round1</x:v>
      </x:c>
      <x:c r="D75" s="17" t="str">
        <x:v>INCONCLUSIVE</x:v>
      </x:c>
      <x:c r="E75" s="17" t="n">
        <x:f>COUNTIF('BugResults'!$D$241:$D$258,"INCONCLUSIVE")</x:f>
        <x:v>4</x:v>
      </x:c>
      <x:c r="F75" s="33" t="n">
        <x:f>E75/18</x:f>
        <x:v>0.2222222222222222</x:v>
      </x:c>
    </x:row>
    <x:row r="76" ht="23" customHeight="1">
      <x:c r="B76" s="17" t="str">
        <x:v>Codec</x:v>
      </x:c>
      <x:c r="C76" s="17" t="str">
        <x:v>Round1</x:v>
      </x:c>
      <x:c r="D76" s="17" t="str">
        <x:v>FAIL</x:v>
      </x:c>
      <x:c r="E76" s="17" t="n">
        <x:f>COUNTIF('BugResults'!$D$241:$D$258,"FAIL")</x:f>
        <x:v>0</x:v>
      </x:c>
      <x:c r="F76" s="33" t="n">
        <x:f>E76/18</x:f>
        <x:v>0</x:v>
      </x:c>
    </x:row>
    <x:row r="77" ht="23" customHeight="1">
      <x:c r="B77" s="17" t="str">
        <x:v>Codec</x:v>
      </x:c>
      <x:c r="C77" s="17" t="str">
        <x:v>Round2</x:v>
      </x:c>
      <x:c r="D77" s="17" t="str">
        <x:v>REVEALING</x:v>
      </x:c>
      <x:c r="E77" s="17" t="n">
        <x:f>COUNTIF('BugResults'!$D$1095:$D$1112,"REVEALING")</x:f>
        <x:v>0</x:v>
      </x:c>
      <x:c r="F77" s="33" t="n">
        <x:f>E77/18</x:f>
        <x:v>0</x:v>
      </x:c>
    </x:row>
    <x:row r="78" ht="23" customHeight="1">
      <x:c r="B78" s="17" t="str">
        <x:v>Codec</x:v>
      </x:c>
      <x:c r="C78" s="17" t="str">
        <x:v>Round2</x:v>
      </x:c>
      <x:c r="D78" s="17" t="str">
        <x:v>NOT_REVEALING</x:v>
      </x:c>
      <x:c r="E78" s="17" t="n">
        <x:f>COUNTIF('BugResults'!$D$1095:$D$1112,"NOT_REVEALING")</x:f>
        <x:v>2</x:v>
      </x:c>
      <x:c r="F78" s="33" t="n">
        <x:f>E78/18</x:f>
        <x:v>0.1111111111111111</x:v>
      </x:c>
    </x:row>
    <x:row r="79" ht="23" customHeight="1">
      <x:c r="B79" s="17" t="str">
        <x:v>Codec</x:v>
      </x:c>
      <x:c r="C79" s="17" t="str">
        <x:v>Round2</x:v>
      </x:c>
      <x:c r="D79" s="17" t="str">
        <x:v>NOT_AVAILABLE</x:v>
      </x:c>
      <x:c r="E79" s="17" t="n">
        <x:f>COUNTIF('BugResults'!$D$1095:$D$1112,"NOT_AVAILABLE")</x:f>
        <x:v>4</x:v>
      </x:c>
      <x:c r="F79" s="33" t="n">
        <x:f>E79/18</x:f>
        <x:v>0.2222222222222222</x:v>
      </x:c>
    </x:row>
    <x:row r="80" ht="23" customHeight="1">
      <x:c r="B80" s="17" t="str">
        <x:v>Codec</x:v>
      </x:c>
      <x:c r="C80" s="17" t="str">
        <x:v>Round2</x:v>
      </x:c>
      <x:c r="D80" s="17" t="str">
        <x:v>INCONCLUSIVE</x:v>
      </x:c>
      <x:c r="E80" s="17" t="n">
        <x:f>COUNTIF('BugResults'!$D$1095:$D$1112,"INCONCLUSIVE")</x:f>
        <x:v>12</x:v>
      </x:c>
      <x:c r="F80" s="33" t="n">
        <x:f>E80/18</x:f>
        <x:v>0.6666666666666666</x:v>
      </x:c>
    </x:row>
    <x:row r="81" ht="23" customHeight="1">
      <x:c r="B81" s="17" t="str">
        <x:v>Codec</x:v>
      </x:c>
      <x:c r="C81" s="17" t="str">
        <x:v>Round2</x:v>
      </x:c>
      <x:c r="D81" s="17" t="str">
        <x:v>FAIL</x:v>
      </x:c>
      <x:c r="E81" s="17" t="n">
        <x:f>COUNTIF('BugResults'!$D$1095:$D$1112,"FAIL")</x:f>
        <x:v>0</x:v>
      </x:c>
      <x:c r="F81" s="33" t="n">
        <x:f>E81/18</x:f>
        <x:v>0</x:v>
      </x:c>
    </x:row>
    <x:row r="82" ht="23" customHeight="1">
      <x:c r="B82" s="17" t="str">
        <x:v>Collections</x:v>
      </x:c>
      <x:c r="C82" s="17" t="str">
        <x:v>All rounds</x:v>
      </x:c>
      <x:c r="D82" s="17" t="str">
        <x:v>REVEALING</x:v>
      </x:c>
      <x:c r="E82" s="17" t="n">
        <x:f>COUNTIF('BugResults'!$D$259:$D$286,"REVEALING")+COUNTIF('BugResults'!$D$1113:$D$1140,"REVEALING")</x:f>
        <x:v>2</x:v>
      </x:c>
      <x:c r="F82" s="33" t="n">
        <x:f>E82/56</x:f>
        <x:v>0.03571428571428571</x:v>
      </x:c>
    </x:row>
    <x:row r="83" ht="23" customHeight="1">
      <x:c r="B83" s="17" t="str">
        <x:v>Collections</x:v>
      </x:c>
      <x:c r="C83" s="17" t="str">
        <x:v>All rounds</x:v>
      </x:c>
      <x:c r="D83" s="17" t="str">
        <x:v>NOT_REVEALING</x:v>
      </x:c>
      <x:c r="E83" s="17" t="n">
        <x:f>COUNTIF('BugResults'!$D$259:$D$286,"NOT_REVEALING")+COUNTIF('BugResults'!$D$1113:$D$1140,"NOT_REVEALING")</x:f>
        <x:v>13</x:v>
      </x:c>
      <x:c r="F83" s="33" t="n">
        <x:f>E83/56</x:f>
        <x:v>0.23214285714285715</x:v>
      </x:c>
    </x:row>
    <x:row r="84" ht="23" customHeight="1">
      <x:c r="B84" s="17" t="str">
        <x:v>Collections</x:v>
      </x:c>
      <x:c r="C84" s="17" t="str">
        <x:v>All rounds</x:v>
      </x:c>
      <x:c r="D84" s="17" t="str">
        <x:v>NOT_AVAILABLE</x:v>
      </x:c>
      <x:c r="E84" s="17" t="n">
        <x:f>COUNTIF('BugResults'!$D$259:$D$286,"NOT_AVAILABLE")+COUNTIF('BugResults'!$D$1113:$D$1140,"NOT_AVAILABLE")</x:f>
        <x:v>30</x:v>
      </x:c>
      <x:c r="F84" s="33" t="n">
        <x:f>E84/56</x:f>
        <x:v>0.5357142857142857</x:v>
      </x:c>
    </x:row>
    <x:row r="85" ht="23" customHeight="1">
      <x:c r="B85" s="17" t="str">
        <x:v>Collections</x:v>
      </x:c>
      <x:c r="C85" s="17" t="str">
        <x:v>All rounds</x:v>
      </x:c>
      <x:c r="D85" s="17" t="str">
        <x:v>INCONCLUSIVE</x:v>
      </x:c>
      <x:c r="E85" s="17" t="n">
        <x:f>COUNTIF('BugResults'!$D$259:$D$286,"INCONCLUSIVE")+COUNTIF('BugResults'!$D$1113:$D$1140,"INCONCLUSIVE")</x:f>
        <x:v>11</x:v>
      </x:c>
      <x:c r="F85" s="33" t="n">
        <x:f>E85/56</x:f>
        <x:v>0.19642857142857142</x:v>
      </x:c>
    </x:row>
    <x:row r="86" ht="23" customHeight="1">
      <x:c r="B86" s="17" t="str">
        <x:v>Collections</x:v>
      </x:c>
      <x:c r="C86" s="17" t="str">
        <x:v>All rounds</x:v>
      </x:c>
      <x:c r="D86" s="17" t="str">
        <x:v>FAIL</x:v>
      </x:c>
      <x:c r="E86" s="17" t="n">
        <x:f>COUNTIF('BugResults'!$D$259:$D$286,"FAIL")+COUNTIF('BugResults'!$D$1113:$D$1140,"FAIL")</x:f>
        <x:v>0</x:v>
      </x:c>
      <x:c r="F86" s="33" t="n">
        <x:f>E86/56</x:f>
        <x:v>0</x:v>
      </x:c>
    </x:row>
    <x:row r="87" ht="23" customHeight="1">
      <x:c r="B87" s="17" t="str">
        <x:v>Collections</x:v>
      </x:c>
      <x:c r="C87" s="17" t="str">
        <x:v>Round1</x:v>
      </x:c>
      <x:c r="D87" s="17" t="str">
        <x:v>REVEALING</x:v>
      </x:c>
      <x:c r="E87" s="17" t="n">
        <x:f>COUNTIF('BugResults'!$D$259:$D$286,"REVEALING")</x:f>
        <x:v>1</x:v>
      </x:c>
      <x:c r="F87" s="33" t="n">
        <x:f>E87/28</x:f>
        <x:v>0.03571428571428571</x:v>
      </x:c>
    </x:row>
    <x:row r="88" ht="23" customHeight="1">
      <x:c r="B88" s="17" t="str">
        <x:v>Collections</x:v>
      </x:c>
      <x:c r="C88" s="17" t="str">
        <x:v>Round1</x:v>
      </x:c>
      <x:c r="D88" s="17" t="str">
        <x:v>NOT_REVEALING</x:v>
      </x:c>
      <x:c r="E88" s="17" t="n">
        <x:f>COUNTIF('BugResults'!$D$259:$D$286,"NOT_REVEALING")</x:f>
        <x:v>4</x:v>
      </x:c>
      <x:c r="F88" s="33" t="n">
        <x:f>E88/28</x:f>
        <x:v>0.14285714285714285</x:v>
      </x:c>
    </x:row>
    <x:row r="89" ht="23" customHeight="1">
      <x:c r="B89" s="17" t="str">
        <x:v>Collections</x:v>
      </x:c>
      <x:c r="C89" s="17" t="str">
        <x:v>Round1</x:v>
      </x:c>
      <x:c r="D89" s="17" t="str">
        <x:v>NOT_AVAILABLE</x:v>
      </x:c>
      <x:c r="E89" s="17" t="n">
        <x:f>COUNTIF('BugResults'!$D$259:$D$286,"NOT_AVAILABLE")</x:f>
        <x:v>19</x:v>
      </x:c>
      <x:c r="F89" s="33" t="n">
        <x:f>E89/28</x:f>
        <x:v>0.6785714285714286</x:v>
      </x:c>
    </x:row>
    <x:row r="90" ht="23" customHeight="1">
      <x:c r="B90" s="17" t="str">
        <x:v>Collections</x:v>
      </x:c>
      <x:c r="C90" s="17" t="str">
        <x:v>Round1</x:v>
      </x:c>
      <x:c r="D90" s="17" t="str">
        <x:v>INCONCLUSIVE</x:v>
      </x:c>
      <x:c r="E90" s="17" t="n">
        <x:f>COUNTIF('BugResults'!$D$259:$D$286,"INCONCLUSIVE")</x:f>
        <x:v>4</x:v>
      </x:c>
      <x:c r="F90" s="33" t="n">
        <x:f>E90/28</x:f>
        <x:v>0.14285714285714285</x:v>
      </x:c>
    </x:row>
    <x:row r="91" ht="23" customHeight="1">
      <x:c r="B91" s="17" t="str">
        <x:v>Collections</x:v>
      </x:c>
      <x:c r="C91" s="17" t="str">
        <x:v>Round1</x:v>
      </x:c>
      <x:c r="D91" s="17" t="str">
        <x:v>FAIL</x:v>
      </x:c>
      <x:c r="E91" s="17" t="n">
        <x:f>COUNTIF('BugResults'!$D$259:$D$286,"FAIL")</x:f>
        <x:v>0</x:v>
      </x:c>
      <x:c r="F91" s="33" t="n">
        <x:f>E91/28</x:f>
        <x:v>0</x:v>
      </x:c>
    </x:row>
    <x:row r="92" ht="23" customHeight="1">
      <x:c r="B92" s="17" t="str">
        <x:v>Collections</x:v>
      </x:c>
      <x:c r="C92" s="17" t="str">
        <x:v>Round2</x:v>
      </x:c>
      <x:c r="D92" s="17" t="str">
        <x:v>REVEALING</x:v>
      </x:c>
      <x:c r="E92" s="17" t="n">
        <x:f>COUNTIF('BugResults'!$D$1113:$D$1140,"REVEALING")</x:f>
        <x:v>1</x:v>
      </x:c>
      <x:c r="F92" s="33" t="n">
        <x:f>E92/28</x:f>
        <x:v>0.03571428571428571</x:v>
      </x:c>
    </x:row>
    <x:row r="93" ht="23" customHeight="1">
      <x:c r="B93" s="17" t="str">
        <x:v>Collections</x:v>
      </x:c>
      <x:c r="C93" s="17" t="str">
        <x:v>Round2</x:v>
      </x:c>
      <x:c r="D93" s="17" t="str">
        <x:v>NOT_REVEALING</x:v>
      </x:c>
      <x:c r="E93" s="17" t="n">
        <x:f>COUNTIF('BugResults'!$D$1113:$D$1140,"NOT_REVEALING")</x:f>
        <x:v>9</x:v>
      </x:c>
      <x:c r="F93" s="33" t="n">
        <x:f>E93/28</x:f>
        <x:v>0.32142857142857145</x:v>
      </x:c>
    </x:row>
    <x:row r="94" ht="23" customHeight="1">
      <x:c r="B94" s="17" t="str">
        <x:v>Collections</x:v>
      </x:c>
      <x:c r="C94" s="17" t="str">
        <x:v>Round2</x:v>
      </x:c>
      <x:c r="D94" s="17" t="str">
        <x:v>NOT_AVAILABLE</x:v>
      </x:c>
      <x:c r="E94" s="17" t="n">
        <x:f>COUNTIF('BugResults'!$D$1113:$D$1140,"NOT_AVAILABLE")</x:f>
        <x:v>11</x:v>
      </x:c>
      <x:c r="F94" s="33" t="n">
        <x:f>E94/28</x:f>
        <x:v>0.39285714285714285</x:v>
      </x:c>
    </x:row>
    <x:row r="95" ht="23" customHeight="1">
      <x:c r="B95" s="17" t="str">
        <x:v>Collections</x:v>
      </x:c>
      <x:c r="C95" s="17" t="str">
        <x:v>Round2</x:v>
      </x:c>
      <x:c r="D95" s="17" t="str">
        <x:v>INCONCLUSIVE</x:v>
      </x:c>
      <x:c r="E95" s="17" t="n">
        <x:f>COUNTIF('BugResults'!$D$1113:$D$1140,"INCONCLUSIVE")</x:f>
        <x:v>7</x:v>
      </x:c>
      <x:c r="F95" s="33" t="n">
        <x:f>E95/28</x:f>
        <x:v>0.25</x:v>
      </x:c>
    </x:row>
    <x:row r="96" ht="23" customHeight="1">
      <x:c r="B96" s="17" t="str">
        <x:v>Collections</x:v>
      </x:c>
      <x:c r="C96" s="17" t="str">
        <x:v>Round2</x:v>
      </x:c>
      <x:c r="D96" s="17" t="str">
        <x:v>FAIL</x:v>
      </x:c>
      <x:c r="E96" s="17" t="n">
        <x:f>COUNTIF('BugResults'!$D$1113:$D$1140,"FAIL")</x:f>
        <x:v>0</x:v>
      </x:c>
      <x:c r="F96" s="33" t="n">
        <x:f>E96/28</x:f>
        <x:v>0</x:v>
      </x:c>
    </x:row>
    <x:row r="97" ht="23" customHeight="1">
      <x:c r="B97" s="17" t="str">
        <x:v>Compress</x:v>
      </x:c>
      <x:c r="C97" s="17" t="str">
        <x:v>All rounds</x:v>
      </x:c>
      <x:c r="D97" s="17" t="str">
        <x:v>REVEALING</x:v>
      </x:c>
      <x:c r="E97" s="17" t="n">
        <x:f>COUNTIF('BugResults'!$D$287:$D$333,"REVEALING")+COUNTIF('BugResults'!$D$1141:$D$1187,"REVEALING")</x:f>
        <x:v>0</x:v>
      </x:c>
      <x:c r="F97" s="33" t="n">
        <x:f>E97/94</x:f>
        <x:v>0</x:v>
      </x:c>
    </x:row>
    <x:row r="98" ht="23" customHeight="1">
      <x:c r="B98" s="17" t="str">
        <x:v>Compress</x:v>
      </x:c>
      <x:c r="C98" s="17" t="str">
        <x:v>All rounds</x:v>
      </x:c>
      <x:c r="D98" s="17" t="str">
        <x:v>NOT_REVEALING</x:v>
      </x:c>
      <x:c r="E98" s="17" t="n">
        <x:f>COUNTIF('BugResults'!$D$287:$D$333,"NOT_REVEALING")+COUNTIF('BugResults'!$D$1141:$D$1187,"NOT_REVEALING")</x:f>
        <x:v>2</x:v>
      </x:c>
      <x:c r="F98" s="33" t="n">
        <x:f>E98/94</x:f>
        <x:v>0.02127659574468085</x:v>
      </x:c>
    </x:row>
    <x:row r="99" ht="23" customHeight="1">
      <x:c r="B99" s="17" t="str">
        <x:v>Compress</x:v>
      </x:c>
      <x:c r="C99" s="17" t="str">
        <x:v>All rounds</x:v>
      </x:c>
      <x:c r="D99" s="17" t="str">
        <x:v>NOT_AVAILABLE</x:v>
      </x:c>
      <x:c r="E99" s="17" t="n">
        <x:f>COUNTIF('BugResults'!$D$287:$D$333,"NOT_AVAILABLE")+COUNTIF('BugResults'!$D$1141:$D$1187,"NOT_AVAILABLE")</x:f>
        <x:v>53</x:v>
      </x:c>
      <x:c r="F99" s="33" t="n">
        <x:f>E99/94</x:f>
        <x:v>0.5638297872340425</x:v>
      </x:c>
    </x:row>
    <x:row r="100" ht="23" customHeight="1">
      <x:c r="B100" s="17" t="str">
        <x:v>Compress</x:v>
      </x:c>
      <x:c r="C100" s="17" t="str">
        <x:v>All rounds</x:v>
      </x:c>
      <x:c r="D100" s="17" t="str">
        <x:v>INCONCLUSIVE</x:v>
      </x:c>
      <x:c r="E100" s="17" t="n">
        <x:f>COUNTIF('BugResults'!$D$287:$D$333,"INCONCLUSIVE")+COUNTIF('BugResults'!$D$1141:$D$1187,"INCONCLUSIVE")</x:f>
        <x:v>39</x:v>
      </x:c>
      <x:c r="F100" s="33" t="n">
        <x:f>E100/94</x:f>
        <x:v>0.4148936170212766</x:v>
      </x:c>
    </x:row>
    <x:row r="101" ht="23" customHeight="1">
      <x:c r="B101" s="17" t="str">
        <x:v>Compress</x:v>
      </x:c>
      <x:c r="C101" s="17" t="str">
        <x:v>All rounds</x:v>
      </x:c>
      <x:c r="D101" s="17" t="str">
        <x:v>FAIL</x:v>
      </x:c>
      <x:c r="E101" s="17" t="n">
        <x:f>COUNTIF('BugResults'!$D$287:$D$333,"FAIL")+COUNTIF('BugResults'!$D$1141:$D$1187,"FAIL")</x:f>
        <x:v>0</x:v>
      </x:c>
      <x:c r="F101" s="33" t="n">
        <x:f>E101/94</x:f>
        <x:v>0</x:v>
      </x:c>
    </x:row>
    <x:row r="102" ht="23" customHeight="1">
      <x:c r="B102" s="17" t="str">
        <x:v>Compress</x:v>
      </x:c>
      <x:c r="C102" s="17" t="str">
        <x:v>Round1</x:v>
      </x:c>
      <x:c r="D102" s="17" t="str">
        <x:v>REVEALING</x:v>
      </x:c>
      <x:c r="E102" s="17" t="n">
        <x:f>COUNTIF('BugResults'!$D$287:$D$333,"REVEALING")</x:f>
        <x:v>0</x:v>
      </x:c>
      <x:c r="F102" s="33" t="n">
        <x:f>E102/47</x:f>
        <x:v>0</x:v>
      </x:c>
    </x:row>
    <x:row r="103" ht="23" customHeight="1">
      <x:c r="B103" s="17" t="str">
        <x:v>Compress</x:v>
      </x:c>
      <x:c r="C103" s="17" t="str">
        <x:v>Round1</x:v>
      </x:c>
      <x:c r="D103" s="17" t="str">
        <x:v>NOT_REVEALING</x:v>
      </x:c>
      <x:c r="E103" s="17" t="n">
        <x:f>COUNTIF('BugResults'!$D$287:$D$333,"NOT_REVEALING")</x:f>
        <x:v>0</x:v>
      </x:c>
      <x:c r="F103" s="33" t="n">
        <x:f>E103/47</x:f>
        <x:v>0</x:v>
      </x:c>
    </x:row>
    <x:row r="104" ht="23" customHeight="1">
      <x:c r="B104" s="17" t="str">
        <x:v>Compress</x:v>
      </x:c>
      <x:c r="C104" s="17" t="str">
        <x:v>Round1</x:v>
      </x:c>
      <x:c r="D104" s="17" t="str">
        <x:v>NOT_AVAILABLE</x:v>
      </x:c>
      <x:c r="E104" s="17" t="n">
        <x:f>COUNTIF('BugResults'!$D$287:$D$333,"NOT_AVAILABLE")</x:f>
        <x:v>34</x:v>
      </x:c>
      <x:c r="F104" s="33" t="n">
        <x:f>E104/47</x:f>
        <x:v>0.723404255319149</x:v>
      </x:c>
    </x:row>
    <x:row r="105" ht="23" customHeight="1">
      <x:c r="B105" s="17" t="str">
        <x:v>Compress</x:v>
      </x:c>
      <x:c r="C105" s="17" t="str">
        <x:v>Round1</x:v>
      </x:c>
      <x:c r="D105" s="17" t="str">
        <x:v>INCONCLUSIVE</x:v>
      </x:c>
      <x:c r="E105" s="17" t="n">
        <x:f>COUNTIF('BugResults'!$D$287:$D$333,"INCONCLUSIVE")</x:f>
        <x:v>13</x:v>
      </x:c>
      <x:c r="F105" s="33" t="n">
        <x:f>E105/47</x:f>
        <x:v>0.2765957446808511</x:v>
      </x:c>
    </x:row>
    <x:row r="106" ht="23" customHeight="1">
      <x:c r="B106" s="17" t="str">
        <x:v>Compress</x:v>
      </x:c>
      <x:c r="C106" s="17" t="str">
        <x:v>Round1</x:v>
      </x:c>
      <x:c r="D106" s="17" t="str">
        <x:v>FAIL</x:v>
      </x:c>
      <x:c r="E106" s="17" t="n">
        <x:f>COUNTIF('BugResults'!$D$287:$D$333,"FAIL")</x:f>
        <x:v>0</x:v>
      </x:c>
      <x:c r="F106" s="33" t="n">
        <x:f>E106/47</x:f>
        <x:v>0</x:v>
      </x:c>
    </x:row>
    <x:row r="107" ht="23" customHeight="1">
      <x:c r="B107" s="17" t="str">
        <x:v>Compress</x:v>
      </x:c>
      <x:c r="C107" s="17" t="str">
        <x:v>Round2</x:v>
      </x:c>
      <x:c r="D107" s="17" t="str">
        <x:v>REVEALING</x:v>
      </x:c>
      <x:c r="E107" s="17" t="n">
        <x:f>COUNTIF('BugResults'!$D$1141:$D$1187,"REVEALING")</x:f>
        <x:v>0</x:v>
      </x:c>
      <x:c r="F107" s="33" t="n">
        <x:f>E107/47</x:f>
        <x:v>0</x:v>
      </x:c>
    </x:row>
    <x:row r="108" ht="23" customHeight="1">
      <x:c r="B108" s="17" t="str">
        <x:v>Compress</x:v>
      </x:c>
      <x:c r="C108" s="17" t="str">
        <x:v>Round2</x:v>
      </x:c>
      <x:c r="D108" s="17" t="str">
        <x:v>NOT_REVEALING</x:v>
      </x:c>
      <x:c r="E108" s="17" t="n">
        <x:f>COUNTIF('BugResults'!$D$1141:$D$1187,"NOT_REVEALING")</x:f>
        <x:v>2</x:v>
      </x:c>
      <x:c r="F108" s="33" t="n">
        <x:f>E108/47</x:f>
        <x:v>0.0425531914893617</x:v>
      </x:c>
    </x:row>
    <x:row r="109" ht="23" customHeight="1">
      <x:c r="B109" s="17" t="str">
        <x:v>Compress</x:v>
      </x:c>
      <x:c r="C109" s="17" t="str">
        <x:v>Round2</x:v>
      </x:c>
      <x:c r="D109" s="17" t="str">
        <x:v>NOT_AVAILABLE</x:v>
      </x:c>
      <x:c r="E109" s="17" t="n">
        <x:f>COUNTIF('BugResults'!$D$1141:$D$1187,"NOT_AVAILABLE")</x:f>
        <x:v>19</x:v>
      </x:c>
      <x:c r="F109" s="33" t="n">
        <x:f>E109/47</x:f>
        <x:v>0.40425531914893614</x:v>
      </x:c>
    </x:row>
    <x:row r="110" ht="23" customHeight="1">
      <x:c r="B110" s="17" t="str">
        <x:v>Compress</x:v>
      </x:c>
      <x:c r="C110" s="17" t="str">
        <x:v>Round2</x:v>
      </x:c>
      <x:c r="D110" s="17" t="str">
        <x:v>INCONCLUSIVE</x:v>
      </x:c>
      <x:c r="E110" s="17" t="n">
        <x:f>COUNTIF('BugResults'!$D$1141:$D$1187,"INCONCLUSIVE")</x:f>
        <x:v>26</x:v>
      </x:c>
      <x:c r="F110" s="33" t="n">
        <x:f>E110/47</x:f>
        <x:v>0.5531914893617021</x:v>
      </x:c>
    </x:row>
    <x:row r="111" ht="23" customHeight="1">
      <x:c r="B111" s="17" t="str">
        <x:v>Compress</x:v>
      </x:c>
      <x:c r="C111" s="17" t="str">
        <x:v>Round2</x:v>
      </x:c>
      <x:c r="D111" s="17" t="str">
        <x:v>FAIL</x:v>
      </x:c>
      <x:c r="E111" s="17" t="n">
        <x:f>COUNTIF('BugResults'!$D$1141:$D$1187,"FAIL")</x:f>
        <x:v>0</x:v>
      </x:c>
      <x:c r="F111" s="33" t="n">
        <x:f>E111/47</x:f>
        <x:v>0</x:v>
      </x:c>
    </x:row>
    <x:row r="112" ht="23" customHeight="1">
      <x:c r="B112" s="17" t="str">
        <x:v>Csv</x:v>
      </x:c>
      <x:c r="C112" s="17" t="str">
        <x:v>All rounds</x:v>
      </x:c>
      <x:c r="D112" s="17" t="str">
        <x:v>REVEALING</x:v>
      </x:c>
      <x:c r="E112" s="17" t="n">
        <x:f>COUNTIF('BugResults'!$D$334:$D$349,"REVEALING")+COUNTIF('BugResults'!$D$1188:$D$1203,"REVEALING")</x:f>
        <x:v>0</x:v>
      </x:c>
      <x:c r="F112" s="33" t="n">
        <x:f>E112/32</x:f>
        <x:v>0</x:v>
      </x:c>
    </x:row>
    <x:row r="113" ht="23" customHeight="1">
      <x:c r="B113" s="17" t="str">
        <x:v>Csv</x:v>
      </x:c>
      <x:c r="C113" s="17" t="str">
        <x:v>All rounds</x:v>
      </x:c>
      <x:c r="D113" s="17" t="str">
        <x:v>NOT_REVEALING</x:v>
      </x:c>
      <x:c r="E113" s="17" t="n">
        <x:f>COUNTIF('BugResults'!$D$334:$D$349,"NOT_REVEALING")+COUNTIF('BugResults'!$D$1188:$D$1203,"NOT_REVEALING")</x:f>
        <x:v>2</x:v>
      </x:c>
      <x:c r="F113" s="33" t="n">
        <x:f>E113/32</x:f>
        <x:v>0.0625</x:v>
      </x:c>
    </x:row>
    <x:row r="114" ht="23" customHeight="1">
      <x:c r="B114" s="17" t="str">
        <x:v>Csv</x:v>
      </x:c>
      <x:c r="C114" s="17" t="str">
        <x:v>All rounds</x:v>
      </x:c>
      <x:c r="D114" s="17" t="str">
        <x:v>NOT_AVAILABLE</x:v>
      </x:c>
      <x:c r="E114" s="17" t="n">
        <x:f>COUNTIF('BugResults'!$D$334:$D$349,"NOT_AVAILABLE")+COUNTIF('BugResults'!$D$1188:$D$1203,"NOT_AVAILABLE")</x:f>
        <x:v>17</x:v>
      </x:c>
      <x:c r="F114" s="33" t="n">
        <x:f>E114/32</x:f>
        <x:v>0.53125</x:v>
      </x:c>
    </x:row>
    <x:row r="115" ht="23" customHeight="1">
      <x:c r="B115" s="17" t="str">
        <x:v>Csv</x:v>
      </x:c>
      <x:c r="C115" s="17" t="str">
        <x:v>All rounds</x:v>
      </x:c>
      <x:c r="D115" s="17" t="str">
        <x:v>INCONCLUSIVE</x:v>
      </x:c>
      <x:c r="E115" s="17" t="n">
        <x:f>COUNTIF('BugResults'!$D$334:$D$349,"INCONCLUSIVE")+COUNTIF('BugResults'!$D$1188:$D$1203,"INCONCLUSIVE")</x:f>
        <x:v>13</x:v>
      </x:c>
      <x:c r="F115" s="33" t="n">
        <x:f>E115/32</x:f>
        <x:v>0.40625</x:v>
      </x:c>
    </x:row>
    <x:row r="116" ht="23" customHeight="1">
      <x:c r="B116" s="17" t="str">
        <x:v>Csv</x:v>
      </x:c>
      <x:c r="C116" s="17" t="str">
        <x:v>All rounds</x:v>
      </x:c>
      <x:c r="D116" s="17" t="str">
        <x:v>FAIL</x:v>
      </x:c>
      <x:c r="E116" s="17" t="n">
        <x:f>COUNTIF('BugResults'!$D$334:$D$349,"FAIL")+COUNTIF('BugResults'!$D$1188:$D$1203,"FAIL")</x:f>
        <x:v>0</x:v>
      </x:c>
      <x:c r="F116" s="33" t="n">
        <x:f>E116/32</x:f>
        <x:v>0</x:v>
      </x:c>
    </x:row>
    <x:row r="117" ht="23" customHeight="1">
      <x:c r="B117" s="17" t="str">
        <x:v>Csv</x:v>
      </x:c>
      <x:c r="C117" s="17" t="str">
        <x:v>Round1</x:v>
      </x:c>
      <x:c r="D117" s="17" t="str">
        <x:v>REVEALING</x:v>
      </x:c>
      <x:c r="E117" s="17" t="n">
        <x:f>COUNTIF('BugResults'!$D$334:$D$349,"REVEALING")</x:f>
        <x:v>0</x:v>
      </x:c>
      <x:c r="F117" s="33" t="n">
        <x:f>E117/16</x:f>
        <x:v>0</x:v>
      </x:c>
    </x:row>
    <x:row r="118" ht="23" customHeight="1">
      <x:c r="B118" s="17" t="str">
        <x:v>Csv</x:v>
      </x:c>
      <x:c r="C118" s="17" t="str">
        <x:v>Round1</x:v>
      </x:c>
      <x:c r="D118" s="17" t="str">
        <x:v>NOT_REVEALING</x:v>
      </x:c>
      <x:c r="E118" s="17" t="n">
        <x:f>COUNTIF('BugResults'!$D$334:$D$349,"NOT_REVEALING")</x:f>
        <x:v>1</x:v>
      </x:c>
      <x:c r="F118" s="33" t="n">
        <x:f>E118/16</x:f>
        <x:v>0.0625</x:v>
      </x:c>
    </x:row>
    <x:row r="119" ht="23" customHeight="1">
      <x:c r="B119" s="17" t="str">
        <x:v>Csv</x:v>
      </x:c>
      <x:c r="C119" s="17" t="str">
        <x:v>Round1</x:v>
      </x:c>
      <x:c r="D119" s="17" t="str">
        <x:v>NOT_AVAILABLE</x:v>
      </x:c>
      <x:c r="E119" s="17" t="n">
        <x:f>COUNTIF('BugResults'!$D$334:$D$349,"NOT_AVAILABLE")</x:f>
        <x:v>10</x:v>
      </x:c>
      <x:c r="F119" s="33" t="n">
        <x:f>E119/16</x:f>
        <x:v>0.625</x:v>
      </x:c>
    </x:row>
    <x:row r="120" ht="23" customHeight="1">
      <x:c r="B120" s="17" t="str">
        <x:v>Csv</x:v>
      </x:c>
      <x:c r="C120" s="17" t="str">
        <x:v>Round1</x:v>
      </x:c>
      <x:c r="D120" s="17" t="str">
        <x:v>INCONCLUSIVE</x:v>
      </x:c>
      <x:c r="E120" s="17" t="n">
        <x:f>COUNTIF('BugResults'!$D$334:$D$349,"INCONCLUSIVE")</x:f>
        <x:v>5</x:v>
      </x:c>
      <x:c r="F120" s="33" t="n">
        <x:f>E120/16</x:f>
        <x:v>0.3125</x:v>
      </x:c>
    </x:row>
    <x:row r="121" ht="23" customHeight="1">
      <x:c r="B121" s="17" t="str">
        <x:v>Csv</x:v>
      </x:c>
      <x:c r="C121" s="17" t="str">
        <x:v>Round1</x:v>
      </x:c>
      <x:c r="D121" s="17" t="str">
        <x:v>FAIL</x:v>
      </x:c>
      <x:c r="E121" s="17" t="n">
        <x:f>COUNTIF('BugResults'!$D$334:$D$349,"FAIL")</x:f>
        <x:v>0</x:v>
      </x:c>
      <x:c r="F121" s="33" t="n">
        <x:f>E121/16</x:f>
        <x:v>0</x:v>
      </x:c>
    </x:row>
    <x:row r="122" ht="23" customHeight="1">
      <x:c r="B122" s="17" t="str">
        <x:v>Csv</x:v>
      </x:c>
      <x:c r="C122" s="17" t="str">
        <x:v>Round2</x:v>
      </x:c>
      <x:c r="D122" s="17" t="str">
        <x:v>REVEALING</x:v>
      </x:c>
      <x:c r="E122" s="17" t="n">
        <x:f>COUNTIF('BugResults'!$D$1188:$D$1203,"REVEALING")</x:f>
        <x:v>0</x:v>
      </x:c>
      <x:c r="F122" s="33" t="n">
        <x:f>E122/16</x:f>
        <x:v>0</x:v>
      </x:c>
    </x:row>
    <x:row r="123" ht="23" customHeight="1">
      <x:c r="B123" s="17" t="str">
        <x:v>Csv</x:v>
      </x:c>
      <x:c r="C123" s="17" t="str">
        <x:v>Round2</x:v>
      </x:c>
      <x:c r="D123" s="17" t="str">
        <x:v>NOT_REVEALING</x:v>
      </x:c>
      <x:c r="E123" s="17" t="n">
        <x:f>COUNTIF('BugResults'!$D$1188:$D$1203,"NOT_REVEALING")</x:f>
        <x:v>1</x:v>
      </x:c>
      <x:c r="F123" s="33" t="n">
        <x:f>E123/16</x:f>
        <x:v>0.0625</x:v>
      </x:c>
    </x:row>
    <x:row r="124" ht="23" customHeight="1">
      <x:c r="B124" s="17" t="str">
        <x:v>Csv</x:v>
      </x:c>
      <x:c r="C124" s="17" t="str">
        <x:v>Round2</x:v>
      </x:c>
      <x:c r="D124" s="17" t="str">
        <x:v>NOT_AVAILABLE</x:v>
      </x:c>
      <x:c r="E124" s="17" t="n">
        <x:f>COUNTIF('BugResults'!$D$1188:$D$1203,"NOT_AVAILABLE")</x:f>
        <x:v>7</x:v>
      </x:c>
      <x:c r="F124" s="33" t="n">
        <x:f>E124/16</x:f>
        <x:v>0.4375</x:v>
      </x:c>
    </x:row>
    <x:row r="125" ht="23" customHeight="1">
      <x:c r="B125" s="17" t="str">
        <x:v>Csv</x:v>
      </x:c>
      <x:c r="C125" s="17" t="str">
        <x:v>Round2</x:v>
      </x:c>
      <x:c r="D125" s="17" t="str">
        <x:v>INCONCLUSIVE</x:v>
      </x:c>
      <x:c r="E125" s="17" t="n">
        <x:f>COUNTIF('BugResults'!$D$1188:$D$1203,"INCONCLUSIVE")</x:f>
        <x:v>8</x:v>
      </x:c>
      <x:c r="F125" s="33" t="n">
        <x:f>E125/16</x:f>
        <x:v>0.5</x:v>
      </x:c>
    </x:row>
    <x:row r="126" ht="23" customHeight="1">
      <x:c r="B126" s="17" t="str">
        <x:v>Csv</x:v>
      </x:c>
      <x:c r="C126" s="17" t="str">
        <x:v>Round2</x:v>
      </x:c>
      <x:c r="D126" s="17" t="str">
        <x:v>FAIL</x:v>
      </x:c>
      <x:c r="E126" s="17" t="n">
        <x:f>COUNTIF('BugResults'!$D$1188:$D$1203,"FAIL")</x:f>
        <x:v>0</x:v>
      </x:c>
      <x:c r="F126" s="33" t="n">
        <x:f>E126/16</x:f>
        <x:v>0</x:v>
      </x:c>
    </x:row>
    <x:row r="127" ht="23" customHeight="1">
      <x:c r="B127" s="17" t="str">
        <x:v>Gson</x:v>
      </x:c>
      <x:c r="C127" s="17" t="str">
        <x:v>All rounds</x:v>
      </x:c>
      <x:c r="D127" s="17" t="str">
        <x:v>REVEALING</x:v>
      </x:c>
      <x:c r="E127" s="17" t="n">
        <x:f>COUNTIF('BugResults'!$D$350:$D$367,"REVEALING")+COUNTIF('BugResults'!$D$1204:$D$1221,"REVEALING")</x:f>
        <x:v>0</x:v>
      </x:c>
      <x:c r="F127" s="33" t="n">
        <x:f>E127/36</x:f>
        <x:v>0</x:v>
      </x:c>
    </x:row>
    <x:row r="128" ht="23" customHeight="1">
      <x:c r="B128" s="17" t="str">
        <x:v>Gson</x:v>
      </x:c>
      <x:c r="C128" s="17" t="str">
        <x:v>All rounds</x:v>
      </x:c>
      <x:c r="D128" s="17" t="str">
        <x:v>NOT_REVEALING</x:v>
      </x:c>
      <x:c r="E128" s="17" t="n">
        <x:f>COUNTIF('BugResults'!$D$350:$D$367,"NOT_REVEALING")+COUNTIF('BugResults'!$D$1204:$D$1221,"NOT_REVEALING")</x:f>
        <x:v>5</x:v>
      </x:c>
      <x:c r="F128" s="33" t="n">
        <x:f>E128/36</x:f>
        <x:v>0.1388888888888889</x:v>
      </x:c>
    </x:row>
    <x:row r="129" ht="23" customHeight="1">
      <x:c r="B129" s="17" t="str">
        <x:v>Gson</x:v>
      </x:c>
      <x:c r="C129" s="17" t="str">
        <x:v>All rounds</x:v>
      </x:c>
      <x:c r="D129" s="17" t="str">
        <x:v>NOT_AVAILABLE</x:v>
      </x:c>
      <x:c r="E129" s="17" t="n">
        <x:f>COUNTIF('BugResults'!$D$350:$D$367,"NOT_AVAILABLE")+COUNTIF('BugResults'!$D$1204:$D$1221,"NOT_AVAILABLE")</x:f>
        <x:v>20</x:v>
      </x:c>
      <x:c r="F129" s="33" t="n">
        <x:f>E129/36</x:f>
        <x:v>0.5555555555555556</x:v>
      </x:c>
    </x:row>
    <x:row r="130" ht="23" customHeight="1">
      <x:c r="B130" s="17" t="str">
        <x:v>Gson</x:v>
      </x:c>
      <x:c r="C130" s="17" t="str">
        <x:v>All rounds</x:v>
      </x:c>
      <x:c r="D130" s="17" t="str">
        <x:v>INCONCLUSIVE</x:v>
      </x:c>
      <x:c r="E130" s="17" t="n">
        <x:f>COUNTIF('BugResults'!$D$350:$D$367,"INCONCLUSIVE")+COUNTIF('BugResults'!$D$1204:$D$1221,"INCONCLUSIVE")</x:f>
        <x:v>11</x:v>
      </x:c>
      <x:c r="F130" s="33" t="n">
        <x:f>E130/36</x:f>
        <x:v>0.3055555555555556</x:v>
      </x:c>
    </x:row>
    <x:row r="131" ht="23" customHeight="1">
      <x:c r="B131" s="17" t="str">
        <x:v>Gson</x:v>
      </x:c>
      <x:c r="C131" s="17" t="str">
        <x:v>All rounds</x:v>
      </x:c>
      <x:c r="D131" s="17" t="str">
        <x:v>FAIL</x:v>
      </x:c>
      <x:c r="E131" s="17" t="n">
        <x:f>COUNTIF('BugResults'!$D$350:$D$367,"FAIL")+COUNTIF('BugResults'!$D$1204:$D$1221,"FAIL")</x:f>
        <x:v>0</x:v>
      </x:c>
      <x:c r="F131" s="33" t="n">
        <x:f>E131/36</x:f>
        <x:v>0</x:v>
      </x:c>
    </x:row>
    <x:row r="132" ht="23" customHeight="1">
      <x:c r="B132" s="17" t="str">
        <x:v>Gson</x:v>
      </x:c>
      <x:c r="C132" s="17" t="str">
        <x:v>Round1</x:v>
      </x:c>
      <x:c r="D132" s="17" t="str">
        <x:v>REVEALING</x:v>
      </x:c>
      <x:c r="E132" s="17" t="n">
        <x:f>COUNTIF('BugResults'!$D$350:$D$367,"REVEALING")</x:f>
        <x:v>0</x:v>
      </x:c>
      <x:c r="F132" s="33" t="n">
        <x:f>E132/18</x:f>
        <x:v>0</x:v>
      </x:c>
    </x:row>
    <x:row r="133" ht="23" customHeight="1">
      <x:c r="B133" s="17" t="str">
        <x:v>Gson</x:v>
      </x:c>
      <x:c r="C133" s="17" t="str">
        <x:v>Round1</x:v>
      </x:c>
      <x:c r="D133" s="17" t="str">
        <x:v>NOT_REVEALING</x:v>
      </x:c>
      <x:c r="E133" s="17" t="n">
        <x:f>COUNTIF('BugResults'!$D$350:$D$367,"NOT_REVEALING")</x:f>
        <x:v>1</x:v>
      </x:c>
      <x:c r="F133" s="33" t="n">
        <x:f>E133/18</x:f>
        <x:v>0.05555555555555555</x:v>
      </x:c>
    </x:row>
    <x:row r="134" ht="23" customHeight="1">
      <x:c r="B134" s="17" t="str">
        <x:v>Gson</x:v>
      </x:c>
      <x:c r="C134" s="17" t="str">
        <x:v>Round1</x:v>
      </x:c>
      <x:c r="D134" s="17" t="str">
        <x:v>NOT_AVAILABLE</x:v>
      </x:c>
      <x:c r="E134" s="17" t="n">
        <x:f>COUNTIF('BugResults'!$D$350:$D$367,"NOT_AVAILABLE")</x:f>
        <x:v>14</x:v>
      </x:c>
      <x:c r="F134" s="33" t="n">
        <x:f>E134/18</x:f>
        <x:v>0.7777777777777778</x:v>
      </x:c>
    </x:row>
    <x:row r="135" ht="23" customHeight="1">
      <x:c r="B135" s="17" t="str">
        <x:v>Gson</x:v>
      </x:c>
      <x:c r="C135" s="17" t="str">
        <x:v>Round1</x:v>
      </x:c>
      <x:c r="D135" s="17" t="str">
        <x:v>INCONCLUSIVE</x:v>
      </x:c>
      <x:c r="E135" s="17" t="n">
        <x:f>COUNTIF('BugResults'!$D$350:$D$367,"INCONCLUSIVE")</x:f>
        <x:v>3</x:v>
      </x:c>
      <x:c r="F135" s="33" t="n">
        <x:f>E135/18</x:f>
        <x:v>0.16666666666666666</x:v>
      </x:c>
    </x:row>
    <x:row r="136" ht="23" customHeight="1">
      <x:c r="B136" s="17" t="str">
        <x:v>Gson</x:v>
      </x:c>
      <x:c r="C136" s="17" t="str">
        <x:v>Round1</x:v>
      </x:c>
      <x:c r="D136" s="17" t="str">
        <x:v>FAIL</x:v>
      </x:c>
      <x:c r="E136" s="17" t="n">
        <x:f>COUNTIF('BugResults'!$D$350:$D$367,"FAIL")</x:f>
        <x:v>0</x:v>
      </x:c>
      <x:c r="F136" s="33" t="n">
        <x:f>E136/18</x:f>
        <x:v>0</x:v>
      </x:c>
    </x:row>
    <x:row r="137" ht="23" customHeight="1">
      <x:c r="B137" s="17" t="str">
        <x:v>Gson</x:v>
      </x:c>
      <x:c r="C137" s="17" t="str">
        <x:v>Round2</x:v>
      </x:c>
      <x:c r="D137" s="17" t="str">
        <x:v>REVEALING</x:v>
      </x:c>
      <x:c r="E137" s="17" t="n">
        <x:f>COUNTIF('BugResults'!$D$1204:$D$1221,"REVEALING")</x:f>
        <x:v>0</x:v>
      </x:c>
      <x:c r="F137" s="33" t="n">
        <x:f>E137/18</x:f>
        <x:v>0</x:v>
      </x:c>
    </x:row>
    <x:row r="138" ht="23" customHeight="1">
      <x:c r="B138" s="17" t="str">
        <x:v>Gson</x:v>
      </x:c>
      <x:c r="C138" s="17" t="str">
        <x:v>Round2</x:v>
      </x:c>
      <x:c r="D138" s="17" t="str">
        <x:v>NOT_REVEALING</x:v>
      </x:c>
      <x:c r="E138" s="17" t="n">
        <x:f>COUNTIF('BugResults'!$D$1204:$D$1221,"NOT_REVEALING")</x:f>
        <x:v>4</x:v>
      </x:c>
      <x:c r="F138" s="33" t="n">
        <x:f>E138/18</x:f>
        <x:v>0.2222222222222222</x:v>
      </x:c>
    </x:row>
    <x:row r="139" ht="23" customHeight="1">
      <x:c r="B139" s="17" t="str">
        <x:v>Gson</x:v>
      </x:c>
      <x:c r="C139" s="17" t="str">
        <x:v>Round2</x:v>
      </x:c>
      <x:c r="D139" s="17" t="str">
        <x:v>NOT_AVAILABLE</x:v>
      </x:c>
      <x:c r="E139" s="17" t="n">
        <x:f>COUNTIF('BugResults'!$D$1204:$D$1221,"NOT_AVAILABLE")</x:f>
        <x:v>6</x:v>
      </x:c>
      <x:c r="F139" s="33" t="n">
        <x:f>E139/18</x:f>
        <x:v>0.3333333333333333</x:v>
      </x:c>
    </x:row>
    <x:row r="140" ht="23" customHeight="1">
      <x:c r="B140" s="17" t="str">
        <x:v>Gson</x:v>
      </x:c>
      <x:c r="C140" s="17" t="str">
        <x:v>Round2</x:v>
      </x:c>
      <x:c r="D140" s="17" t="str">
        <x:v>INCONCLUSIVE</x:v>
      </x:c>
      <x:c r="E140" s="17" t="n">
        <x:f>COUNTIF('BugResults'!$D$1204:$D$1221,"INCONCLUSIVE")</x:f>
        <x:v>8</x:v>
      </x:c>
      <x:c r="F140" s="33" t="n">
        <x:f>E140/18</x:f>
        <x:v>0.4444444444444444</x:v>
      </x:c>
    </x:row>
    <x:row r="141" ht="23" customHeight="1">
      <x:c r="B141" s="17" t="str">
        <x:v>Gson</x:v>
      </x:c>
      <x:c r="C141" s="17" t="str">
        <x:v>Round2</x:v>
      </x:c>
      <x:c r="D141" s="17" t="str">
        <x:v>FAIL</x:v>
      </x:c>
      <x:c r="E141" s="17" t="n">
        <x:f>COUNTIF('BugResults'!$D$1204:$D$1221,"FAIL")</x:f>
        <x:v>0</x:v>
      </x:c>
      <x:c r="F141" s="33" t="n">
        <x:f>E141/18</x:f>
        <x:v>0</x:v>
      </x:c>
    </x:row>
    <x:row r="142" ht="23" customHeight="1">
      <x:c r="B142" s="17" t="str">
        <x:v>JacksonCore</x:v>
      </x:c>
      <x:c r="C142" s="17" t="str">
        <x:v>All rounds</x:v>
      </x:c>
      <x:c r="D142" s="17" t="str">
        <x:v>REVEALING</x:v>
      </x:c>
      <x:c r="E142" s="17" t="n">
        <x:f>COUNTIF('BugResults'!$D$368:$D$393,"REVEALING")+COUNTIF('BugResults'!$D$1222:$D$1247,"REVEALING")</x:f>
        <x:v>0</x:v>
      </x:c>
      <x:c r="F142" s="33" t="n">
        <x:f>E142/52</x:f>
        <x:v>0</x:v>
      </x:c>
    </x:row>
    <x:row r="143" ht="23" customHeight="1">
      <x:c r="B143" s="17" t="str">
        <x:v>JacksonCore</x:v>
      </x:c>
      <x:c r="C143" s="17" t="str">
        <x:v>All rounds</x:v>
      </x:c>
      <x:c r="D143" s="17" t="str">
        <x:v>NOT_REVEALING</x:v>
      </x:c>
      <x:c r="E143" s="17" t="n">
        <x:f>COUNTIF('BugResults'!$D$368:$D$393,"NOT_REVEALING")+COUNTIF('BugResults'!$D$1222:$D$1247,"NOT_REVEALING")</x:f>
        <x:v>1</x:v>
      </x:c>
      <x:c r="F143" s="33" t="n">
        <x:f>E143/52</x:f>
        <x:v>0.019230769230769232</x:v>
      </x:c>
    </x:row>
    <x:row r="144" ht="23" customHeight="1">
      <x:c r="B144" s="17" t="str">
        <x:v>JacksonCore</x:v>
      </x:c>
      <x:c r="C144" s="17" t="str">
        <x:v>All rounds</x:v>
      </x:c>
      <x:c r="D144" s="17" t="str">
        <x:v>NOT_AVAILABLE</x:v>
      </x:c>
      <x:c r="E144" s="17" t="n">
        <x:f>COUNTIF('BugResults'!$D$368:$D$393,"NOT_AVAILABLE")+COUNTIF('BugResults'!$D$1222:$D$1247,"NOT_AVAILABLE")</x:f>
        <x:v>39</x:v>
      </x:c>
      <x:c r="F144" s="33" t="n">
        <x:f>E144/52</x:f>
        <x:v>0.75</x:v>
      </x:c>
    </x:row>
    <x:row r="145" ht="23" customHeight="1">
      <x:c r="B145" s="17" t="str">
        <x:v>JacksonCore</x:v>
      </x:c>
      <x:c r="C145" s="17" t="str">
        <x:v>All rounds</x:v>
      </x:c>
      <x:c r="D145" s="17" t="str">
        <x:v>INCONCLUSIVE</x:v>
      </x:c>
      <x:c r="E145" s="17" t="n">
        <x:f>COUNTIF('BugResults'!$D$368:$D$393,"INCONCLUSIVE")+COUNTIF('BugResults'!$D$1222:$D$1247,"INCONCLUSIVE")</x:f>
        <x:v>12</x:v>
      </x:c>
      <x:c r="F145" s="33" t="n">
        <x:f>E145/52</x:f>
        <x:v>0.23076923076923078</x:v>
      </x:c>
    </x:row>
    <x:row r="146" ht="23" customHeight="1">
      <x:c r="B146" s="17" t="str">
        <x:v>JacksonCore</x:v>
      </x:c>
      <x:c r="C146" s="17" t="str">
        <x:v>All rounds</x:v>
      </x:c>
      <x:c r="D146" s="17" t="str">
        <x:v>FAIL</x:v>
      </x:c>
      <x:c r="E146" s="17" t="n">
        <x:f>COUNTIF('BugResults'!$D$368:$D$393,"FAIL")+COUNTIF('BugResults'!$D$1222:$D$1247,"FAIL")</x:f>
        <x:v>0</x:v>
      </x:c>
      <x:c r="F146" s="33" t="n">
        <x:f>E146/52</x:f>
        <x:v>0</x:v>
      </x:c>
    </x:row>
    <x:row r="147" ht="23" customHeight="1">
      <x:c r="B147" s="17" t="str">
        <x:v>JacksonCore</x:v>
      </x:c>
      <x:c r="C147" s="17" t="str">
        <x:v>Round1</x:v>
      </x:c>
      <x:c r="D147" s="17" t="str">
        <x:v>REVEALING</x:v>
      </x:c>
      <x:c r="E147" s="17" t="n">
        <x:f>COUNTIF('BugResults'!$D$368:$D$393,"REVEALING")</x:f>
        <x:v>0</x:v>
      </x:c>
      <x:c r="F147" s="33" t="n">
        <x:f>E147/26</x:f>
        <x:v>0</x:v>
      </x:c>
    </x:row>
    <x:row r="148" ht="23" customHeight="1">
      <x:c r="B148" s="17" t="str">
        <x:v>JacksonCore</x:v>
      </x:c>
      <x:c r="C148" s="17" t="str">
        <x:v>Round1</x:v>
      </x:c>
      <x:c r="D148" s="17" t="str">
        <x:v>NOT_REVEALING</x:v>
      </x:c>
      <x:c r="E148" s="17" t="n">
        <x:f>COUNTIF('BugResults'!$D$368:$D$393,"NOT_REVEALING")</x:f>
        <x:v>0</x:v>
      </x:c>
      <x:c r="F148" s="33" t="n">
        <x:f>E148/26</x:f>
        <x:v>0</x:v>
      </x:c>
    </x:row>
    <x:row r="149" ht="23" customHeight="1">
      <x:c r="B149" s="17" t="str">
        <x:v>JacksonCore</x:v>
      </x:c>
      <x:c r="C149" s="17" t="str">
        <x:v>Round1</x:v>
      </x:c>
      <x:c r="D149" s="17" t="str">
        <x:v>NOT_AVAILABLE</x:v>
      </x:c>
      <x:c r="E149" s="17" t="n">
        <x:f>COUNTIF('BugResults'!$D$368:$D$393,"NOT_AVAILABLE")</x:f>
        <x:v>22</x:v>
      </x:c>
      <x:c r="F149" s="33" t="n">
        <x:f>E149/26</x:f>
        <x:v>0.8461538461538461</x:v>
      </x:c>
    </x:row>
    <x:row r="150" ht="23" customHeight="1">
      <x:c r="B150" s="17" t="str">
        <x:v>JacksonCore</x:v>
      </x:c>
      <x:c r="C150" s="17" t="str">
        <x:v>Round1</x:v>
      </x:c>
      <x:c r="D150" s="17" t="str">
        <x:v>INCONCLUSIVE</x:v>
      </x:c>
      <x:c r="E150" s="17" t="n">
        <x:f>COUNTIF('BugResults'!$D$368:$D$393,"INCONCLUSIVE")</x:f>
        <x:v>4</x:v>
      </x:c>
      <x:c r="F150" s="33" t="n">
        <x:f>E150/26</x:f>
        <x:v>0.15384615384615385</x:v>
      </x:c>
    </x:row>
    <x:row r="151" ht="23" customHeight="1">
      <x:c r="B151" s="17" t="str">
        <x:v>JacksonCore</x:v>
      </x:c>
      <x:c r="C151" s="17" t="str">
        <x:v>Round1</x:v>
      </x:c>
      <x:c r="D151" s="17" t="str">
        <x:v>FAIL</x:v>
      </x:c>
      <x:c r="E151" s="17" t="n">
        <x:f>COUNTIF('BugResults'!$D$368:$D$393,"FAIL")</x:f>
        <x:v>0</x:v>
      </x:c>
      <x:c r="F151" s="33" t="n">
        <x:f>E151/26</x:f>
        <x:v>0</x:v>
      </x:c>
    </x:row>
    <x:row r="152" ht="23" customHeight="1">
      <x:c r="B152" s="17" t="str">
        <x:v>JacksonCore</x:v>
      </x:c>
      <x:c r="C152" s="17" t="str">
        <x:v>Round2</x:v>
      </x:c>
      <x:c r="D152" s="17" t="str">
        <x:v>REVEALING</x:v>
      </x:c>
      <x:c r="E152" s="17" t="n">
        <x:f>COUNTIF('BugResults'!$D$1222:$D$1247,"REVEALING")</x:f>
        <x:v>0</x:v>
      </x:c>
      <x:c r="F152" s="33" t="n">
        <x:f>E152/26</x:f>
        <x:v>0</x:v>
      </x:c>
    </x:row>
    <x:row r="153" ht="23" customHeight="1">
      <x:c r="B153" s="17" t="str">
        <x:v>JacksonCore</x:v>
      </x:c>
      <x:c r="C153" s="17" t="str">
        <x:v>Round2</x:v>
      </x:c>
      <x:c r="D153" s="17" t="str">
        <x:v>NOT_REVEALING</x:v>
      </x:c>
      <x:c r="E153" s="17" t="n">
        <x:f>COUNTIF('BugResults'!$D$1222:$D$1247,"NOT_REVEALING")</x:f>
        <x:v>1</x:v>
      </x:c>
      <x:c r="F153" s="33" t="n">
        <x:f>E153/26</x:f>
        <x:v>0.038461538461538464</x:v>
      </x:c>
    </x:row>
    <x:row r="154" ht="23" customHeight="1">
      <x:c r="B154" s="17" t="str">
        <x:v>JacksonCore</x:v>
      </x:c>
      <x:c r="C154" s="17" t="str">
        <x:v>Round2</x:v>
      </x:c>
      <x:c r="D154" s="17" t="str">
        <x:v>NOT_AVAILABLE</x:v>
      </x:c>
      <x:c r="E154" s="17" t="n">
        <x:f>COUNTIF('BugResults'!$D$1222:$D$1247,"NOT_AVAILABLE")</x:f>
        <x:v>17</x:v>
      </x:c>
      <x:c r="F154" s="33" t="n">
        <x:f>E154/26</x:f>
        <x:v>0.6538461538461539</x:v>
      </x:c>
    </x:row>
    <x:row r="155" ht="23" customHeight="1">
      <x:c r="B155" s="17" t="str">
        <x:v>JacksonCore</x:v>
      </x:c>
      <x:c r="C155" s="17" t="str">
        <x:v>Round2</x:v>
      </x:c>
      <x:c r="D155" s="17" t="str">
        <x:v>INCONCLUSIVE</x:v>
      </x:c>
      <x:c r="E155" s="17" t="n">
        <x:f>COUNTIF('BugResults'!$D$1222:$D$1247,"INCONCLUSIVE")</x:f>
        <x:v>8</x:v>
      </x:c>
      <x:c r="F155" s="33" t="n">
        <x:f>E155/26</x:f>
        <x:v>0.3076923076923077</x:v>
      </x:c>
    </x:row>
    <x:row r="156" ht="23" customHeight="1">
      <x:c r="B156" s="17" t="str">
        <x:v>JacksonCore</x:v>
      </x:c>
      <x:c r="C156" s="17" t="str">
        <x:v>Round2</x:v>
      </x:c>
      <x:c r="D156" s="17" t="str">
        <x:v>FAIL</x:v>
      </x:c>
      <x:c r="E156" s="17" t="n">
        <x:f>COUNTIF('BugResults'!$D$1222:$D$1247,"FAIL")</x:f>
        <x:v>0</x:v>
      </x:c>
      <x:c r="F156" s="33" t="n">
        <x:f>E156/26</x:f>
        <x:v>0</x:v>
      </x:c>
    </x:row>
    <x:row r="157" ht="23" customHeight="1">
      <x:c r="B157" s="17" t="str">
        <x:v>JacksonDatabind</x:v>
      </x:c>
      <x:c r="C157" s="17" t="str">
        <x:v>All rounds</x:v>
      </x:c>
      <x:c r="D157" s="17" t="str">
        <x:v>REVEALING</x:v>
      </x:c>
      <x:c r="E157" s="17" t="n">
        <x:f>COUNTIF('BugResults'!$D$394:$D$503,"REVEALING")+COUNTIF('BugResults'!$D$1248:$D$1357,"REVEALING")</x:f>
        <x:v>0</x:v>
      </x:c>
      <x:c r="F157" s="33" t="n">
        <x:f>E157/220</x:f>
        <x:v>0</x:v>
      </x:c>
    </x:row>
    <x:row r="158" ht="23" customHeight="1">
      <x:c r="B158" s="17" t="str">
        <x:v>JacksonDatabind</x:v>
      </x:c>
      <x:c r="C158" s="17" t="str">
        <x:v>All rounds</x:v>
      </x:c>
      <x:c r="D158" s="17" t="str">
        <x:v>NOT_REVEALING</x:v>
      </x:c>
      <x:c r="E158" s="17" t="n">
        <x:f>COUNTIF('BugResults'!$D$394:$D$503,"NOT_REVEALING")+COUNTIF('BugResults'!$D$1248:$D$1357,"NOT_REVEALING")</x:f>
        <x:v>16</x:v>
      </x:c>
      <x:c r="F158" s="33" t="n">
        <x:f>E158/220</x:f>
        <x:v>0.07272727272727272</x:v>
      </x:c>
    </x:row>
    <x:row r="159" ht="23" customHeight="1">
      <x:c r="B159" s="17" t="str">
        <x:v>JacksonDatabind</x:v>
      </x:c>
      <x:c r="C159" s="17" t="str">
        <x:v>All rounds</x:v>
      </x:c>
      <x:c r="D159" s="17" t="str">
        <x:v>NOT_AVAILABLE</x:v>
      </x:c>
      <x:c r="E159" s="17" t="n">
        <x:f>COUNTIF('BugResults'!$D$394:$D$503,"NOT_AVAILABLE")+COUNTIF('BugResults'!$D$1248:$D$1357,"NOT_AVAILABLE")</x:f>
        <x:v>163</x:v>
      </x:c>
      <x:c r="F159" s="33" t="n">
        <x:f>E159/220</x:f>
        <x:v>0.740909090909091</x:v>
      </x:c>
    </x:row>
    <x:row r="160" ht="23" customHeight="1">
      <x:c r="B160" s="17" t="str">
        <x:v>JacksonDatabind</x:v>
      </x:c>
      <x:c r="C160" s="17" t="str">
        <x:v>All rounds</x:v>
      </x:c>
      <x:c r="D160" s="17" t="str">
        <x:v>INCONCLUSIVE</x:v>
      </x:c>
      <x:c r="E160" s="17" t="n">
        <x:f>COUNTIF('BugResults'!$D$394:$D$503,"INCONCLUSIVE")+COUNTIF('BugResults'!$D$1248:$D$1357,"INCONCLUSIVE")</x:f>
        <x:v>41</x:v>
      </x:c>
      <x:c r="F160" s="33" t="n">
        <x:f>E160/220</x:f>
        <x:v>0.18636363636363637</x:v>
      </x:c>
    </x:row>
    <x:row r="161" ht="23" customHeight="1">
      <x:c r="B161" s="17" t="str">
        <x:v>JacksonDatabind</x:v>
      </x:c>
      <x:c r="C161" s="17" t="str">
        <x:v>All rounds</x:v>
      </x:c>
      <x:c r="D161" s="17" t="str">
        <x:v>FAIL</x:v>
      </x:c>
      <x:c r="E161" s="17" t="n">
        <x:f>COUNTIF('BugResults'!$D$394:$D$503,"FAIL")+COUNTIF('BugResults'!$D$1248:$D$1357,"FAIL")</x:f>
        <x:v>0</x:v>
      </x:c>
      <x:c r="F161" s="33" t="n">
        <x:f>E161/220</x:f>
        <x:v>0</x:v>
      </x:c>
    </x:row>
    <x:row r="162" ht="23" customHeight="1">
      <x:c r="B162" s="17" t="str">
        <x:v>JacksonDatabind</x:v>
      </x:c>
      <x:c r="C162" s="17" t="str">
        <x:v>Round1</x:v>
      </x:c>
      <x:c r="D162" s="17" t="str">
        <x:v>REVEALING</x:v>
      </x:c>
      <x:c r="E162" s="17" t="n">
        <x:f>COUNTIF('BugResults'!$D$394:$D$503,"REVEALING")</x:f>
        <x:v>0</x:v>
      </x:c>
      <x:c r="F162" s="33" t="n">
        <x:f>E162/110</x:f>
        <x:v>0</x:v>
      </x:c>
    </x:row>
    <x:row r="163" ht="23" customHeight="1">
      <x:c r="B163" s="17" t="str">
        <x:v>JacksonDatabind</x:v>
      </x:c>
      <x:c r="C163" s="17" t="str">
        <x:v>Round1</x:v>
      </x:c>
      <x:c r="D163" s="17" t="str">
        <x:v>NOT_REVEALING</x:v>
      </x:c>
      <x:c r="E163" s="17" t="n">
        <x:f>COUNTIF('BugResults'!$D$394:$D$503,"NOT_REVEALING")</x:f>
        <x:v>7</x:v>
      </x:c>
      <x:c r="F163" s="33" t="n">
        <x:f>E163/110</x:f>
        <x:v>0.06363636363636363</x:v>
      </x:c>
    </x:row>
    <x:row r="164" ht="23" customHeight="1">
      <x:c r="B164" s="17" t="str">
        <x:v>JacksonDatabind</x:v>
      </x:c>
      <x:c r="C164" s="17" t="str">
        <x:v>Round1</x:v>
      </x:c>
      <x:c r="D164" s="17" t="str">
        <x:v>NOT_AVAILABLE</x:v>
      </x:c>
      <x:c r="E164" s="17" t="n">
        <x:f>COUNTIF('BugResults'!$D$394:$D$503,"NOT_AVAILABLE")</x:f>
        <x:v>86</x:v>
      </x:c>
      <x:c r="F164" s="33" t="n">
        <x:f>E164/110</x:f>
        <x:v>0.7818181818181819</x:v>
      </x:c>
    </x:row>
    <x:row r="165" ht="23" customHeight="1">
      <x:c r="B165" s="17" t="str">
        <x:v>JacksonDatabind</x:v>
      </x:c>
      <x:c r="C165" s="17" t="str">
        <x:v>Round1</x:v>
      </x:c>
      <x:c r="D165" s="17" t="str">
        <x:v>INCONCLUSIVE</x:v>
      </x:c>
      <x:c r="E165" s="17" t="n">
        <x:f>COUNTIF('BugResults'!$D$394:$D$503,"INCONCLUSIVE")</x:f>
        <x:v>17</x:v>
      </x:c>
      <x:c r="F165" s="33" t="n">
        <x:f>E165/110</x:f>
        <x:v>0.15454545454545454</x:v>
      </x:c>
    </x:row>
    <x:row r="166" ht="23" customHeight="1">
      <x:c r="B166" s="17" t="str">
        <x:v>JacksonDatabind</x:v>
      </x:c>
      <x:c r="C166" s="17" t="str">
        <x:v>Round1</x:v>
      </x:c>
      <x:c r="D166" s="17" t="str">
        <x:v>FAIL</x:v>
      </x:c>
      <x:c r="E166" s="17" t="n">
        <x:f>COUNTIF('BugResults'!$D$394:$D$503,"FAIL")</x:f>
        <x:v>0</x:v>
      </x:c>
      <x:c r="F166" s="33" t="n">
        <x:f>E166/110</x:f>
        <x:v>0</x:v>
      </x:c>
    </x:row>
    <x:row r="167" ht="23" customHeight="1">
      <x:c r="B167" s="17" t="str">
        <x:v>JacksonDatabind</x:v>
      </x:c>
      <x:c r="C167" s="17" t="str">
        <x:v>Round2</x:v>
      </x:c>
      <x:c r="D167" s="17" t="str">
        <x:v>REVEALING</x:v>
      </x:c>
      <x:c r="E167" s="17" t="n">
        <x:f>COUNTIF('BugResults'!$D$1248:$D$1357,"REVEALING")</x:f>
        <x:v>0</x:v>
      </x:c>
      <x:c r="F167" s="33" t="n">
        <x:f>E167/110</x:f>
        <x:v>0</x:v>
      </x:c>
    </x:row>
    <x:row r="168" ht="23" customHeight="1">
      <x:c r="B168" s="17" t="str">
        <x:v>JacksonDatabind</x:v>
      </x:c>
      <x:c r="C168" s="17" t="str">
        <x:v>Round2</x:v>
      </x:c>
      <x:c r="D168" s="17" t="str">
        <x:v>NOT_REVEALING</x:v>
      </x:c>
      <x:c r="E168" s="17" t="n">
        <x:f>COUNTIF('BugResults'!$D$1248:$D$1357,"NOT_REVEALING")</x:f>
        <x:v>9</x:v>
      </x:c>
      <x:c r="F168" s="33" t="n">
        <x:f>E168/110</x:f>
        <x:v>0.08181818181818182</x:v>
      </x:c>
    </x:row>
    <x:row r="169" ht="23" customHeight="1">
      <x:c r="B169" s="17" t="str">
        <x:v>JacksonDatabind</x:v>
      </x:c>
      <x:c r="C169" s="17" t="str">
        <x:v>Round2</x:v>
      </x:c>
      <x:c r="D169" s="17" t="str">
        <x:v>NOT_AVAILABLE</x:v>
      </x:c>
      <x:c r="E169" s="17" t="n">
        <x:f>COUNTIF('BugResults'!$D$1248:$D$1357,"NOT_AVAILABLE")</x:f>
        <x:v>77</x:v>
      </x:c>
      <x:c r="F169" s="33" t="n">
        <x:f>E169/110</x:f>
        <x:v>0.7</x:v>
      </x:c>
    </x:row>
    <x:row r="170" ht="23" customHeight="1">
      <x:c r="B170" s="17" t="str">
        <x:v>JacksonDatabind</x:v>
      </x:c>
      <x:c r="C170" s="17" t="str">
        <x:v>Round2</x:v>
      </x:c>
      <x:c r="D170" s="17" t="str">
        <x:v>INCONCLUSIVE</x:v>
      </x:c>
      <x:c r="E170" s="17" t="n">
        <x:f>COUNTIF('BugResults'!$D$1248:$D$1357,"INCONCLUSIVE")</x:f>
        <x:v>24</x:v>
      </x:c>
      <x:c r="F170" s="33" t="n">
        <x:f>E170/110</x:f>
        <x:v>0.21818181818181817</x:v>
      </x:c>
    </x:row>
    <x:row r="171" ht="23" customHeight="1">
      <x:c r="B171" s="17" t="str">
        <x:v>JacksonDatabind</x:v>
      </x:c>
      <x:c r="C171" s="17" t="str">
        <x:v>Round2</x:v>
      </x:c>
      <x:c r="D171" s="17" t="str">
        <x:v>FAIL</x:v>
      </x:c>
      <x:c r="E171" s="17" t="n">
        <x:f>COUNTIF('BugResults'!$D$1248:$D$1357,"FAIL")</x:f>
        <x:v>0</x:v>
      </x:c>
      <x:c r="F171" s="33" t="n">
        <x:f>E171/110</x:f>
        <x:v>0</x:v>
      </x:c>
    </x:row>
    <x:row r="172" ht="23" customHeight="1">
      <x:c r="B172" s="17" t="str">
        <x:v>JacksonXml</x:v>
      </x:c>
      <x:c r="C172" s="17" t="str">
        <x:v>All rounds</x:v>
      </x:c>
      <x:c r="D172" s="17" t="str">
        <x:v>REVEALING</x:v>
      </x:c>
      <x:c r="E172" s="17" t="n">
        <x:f>COUNTIF('BugResults'!$D$504:$D$509,"REVEALING")+COUNTIF('BugResults'!$D$1358:$D$1363,"REVEALING")</x:f>
        <x:v>0</x:v>
      </x:c>
      <x:c r="F172" s="33" t="n">
        <x:f>E172/12</x:f>
        <x:v>0</x:v>
      </x:c>
    </x:row>
    <x:row r="173" ht="23" customHeight="1">
      <x:c r="B173" s="17" t="str">
        <x:v>JacksonXml</x:v>
      </x:c>
      <x:c r="C173" s="17" t="str">
        <x:v>All rounds</x:v>
      </x:c>
      <x:c r="D173" s="17" t="str">
        <x:v>NOT_REVEALING</x:v>
      </x:c>
      <x:c r="E173" s="17" t="n">
        <x:f>COUNTIF('BugResults'!$D$504:$D$509,"NOT_REVEALING")+COUNTIF('BugResults'!$D$1358:$D$1363,"NOT_REVEALING")</x:f>
        <x:v>0</x:v>
      </x:c>
      <x:c r="F173" s="33" t="n">
        <x:f>E173/12</x:f>
        <x:v>0</x:v>
      </x:c>
    </x:row>
    <x:row r="174" ht="23" customHeight="1">
      <x:c r="B174" s="17" t="str">
        <x:v>JacksonXml</x:v>
      </x:c>
      <x:c r="C174" s="17" t="str">
        <x:v>All rounds</x:v>
      </x:c>
      <x:c r="D174" s="17" t="str">
        <x:v>NOT_AVAILABLE</x:v>
      </x:c>
      <x:c r="E174" s="17" t="n">
        <x:f>COUNTIF('BugResults'!$D$504:$D$509,"NOT_AVAILABLE")+COUNTIF('BugResults'!$D$1358:$D$1363,"NOT_AVAILABLE")</x:f>
        <x:v>12</x:v>
      </x:c>
      <x:c r="F174" s="33" t="n">
        <x:f>E174/12</x:f>
        <x:v>1</x:v>
      </x:c>
    </x:row>
    <x:row r="175" ht="23" customHeight="1">
      <x:c r="B175" s="17" t="str">
        <x:v>JacksonXml</x:v>
      </x:c>
      <x:c r="C175" s="17" t="str">
        <x:v>All rounds</x:v>
      </x:c>
      <x:c r="D175" s="17" t="str">
        <x:v>INCONCLUSIVE</x:v>
      </x:c>
      <x:c r="E175" s="17" t="n">
        <x:f>COUNTIF('BugResults'!$D$504:$D$509,"INCONCLUSIVE")+COUNTIF('BugResults'!$D$1358:$D$1363,"INCONCLUSIVE")</x:f>
        <x:v>0</x:v>
      </x:c>
      <x:c r="F175" s="33" t="n">
        <x:f>E175/12</x:f>
        <x:v>0</x:v>
      </x:c>
    </x:row>
    <x:row r="176" ht="23" customHeight="1">
      <x:c r="B176" s="17" t="str">
        <x:v>JacksonXml</x:v>
      </x:c>
      <x:c r="C176" s="17" t="str">
        <x:v>All rounds</x:v>
      </x:c>
      <x:c r="D176" s="17" t="str">
        <x:v>FAIL</x:v>
      </x:c>
      <x:c r="E176" s="17" t="n">
        <x:f>COUNTIF('BugResults'!$D$504:$D$509,"FAIL")+COUNTIF('BugResults'!$D$1358:$D$1363,"FAIL")</x:f>
        <x:v>0</x:v>
      </x:c>
      <x:c r="F176" s="33" t="n">
        <x:f>E176/12</x:f>
        <x:v>0</x:v>
      </x:c>
    </x:row>
    <x:row r="177" ht="23" customHeight="1">
      <x:c r="B177" s="17" t="str">
        <x:v>JacksonXml</x:v>
      </x:c>
      <x:c r="C177" s="17" t="str">
        <x:v>Round1</x:v>
      </x:c>
      <x:c r="D177" s="17" t="str">
        <x:v>REVEALING</x:v>
      </x:c>
      <x:c r="E177" s="17" t="n">
        <x:f>COUNTIF('BugResults'!$D$504:$D$509,"REVEALING")</x:f>
        <x:v>0</x:v>
      </x:c>
      <x:c r="F177" s="33" t="n">
        <x:f>E177/6</x:f>
        <x:v>0</x:v>
      </x:c>
    </x:row>
    <x:row r="178" ht="23" customHeight="1">
      <x:c r="B178" s="17" t="str">
        <x:v>JacksonXml</x:v>
      </x:c>
      <x:c r="C178" s="17" t="str">
        <x:v>Round1</x:v>
      </x:c>
      <x:c r="D178" s="17" t="str">
        <x:v>NOT_REVEALING</x:v>
      </x:c>
      <x:c r="E178" s="17" t="n">
        <x:f>COUNTIF('BugResults'!$D$504:$D$509,"NOT_REVEALING")</x:f>
        <x:v>0</x:v>
      </x:c>
      <x:c r="F178" s="33" t="n">
        <x:f>E178/6</x:f>
        <x:v>0</x:v>
      </x:c>
    </x:row>
    <x:row r="179" ht="23" customHeight="1">
      <x:c r="B179" s="17" t="str">
        <x:v>JacksonXml</x:v>
      </x:c>
      <x:c r="C179" s="17" t="str">
        <x:v>Round1</x:v>
      </x:c>
      <x:c r="D179" s="17" t="str">
        <x:v>NOT_AVAILABLE</x:v>
      </x:c>
      <x:c r="E179" s="17" t="n">
        <x:f>COUNTIF('BugResults'!$D$504:$D$509,"NOT_AVAILABLE")</x:f>
        <x:v>6</x:v>
      </x:c>
      <x:c r="F179" s="33" t="n">
        <x:f>E179/6</x:f>
        <x:v>1</x:v>
      </x:c>
    </x:row>
    <x:row r="180" ht="23" customHeight="1">
      <x:c r="B180" s="17" t="str">
        <x:v>JacksonXml</x:v>
      </x:c>
      <x:c r="C180" s="17" t="str">
        <x:v>Round1</x:v>
      </x:c>
      <x:c r="D180" s="17" t="str">
        <x:v>INCONCLUSIVE</x:v>
      </x:c>
      <x:c r="E180" s="17" t="n">
        <x:f>COUNTIF('BugResults'!$D$504:$D$509,"INCONCLUSIVE")</x:f>
        <x:v>0</x:v>
      </x:c>
      <x:c r="F180" s="33" t="n">
        <x:f>E180/6</x:f>
        <x:v>0</x:v>
      </x:c>
    </x:row>
    <x:row r="181" ht="23" customHeight="1">
      <x:c r="B181" s="17" t="str">
        <x:v>JacksonXml</x:v>
      </x:c>
      <x:c r="C181" s="17" t="str">
        <x:v>Round1</x:v>
      </x:c>
      <x:c r="D181" s="17" t="str">
        <x:v>FAIL</x:v>
      </x:c>
      <x:c r="E181" s="17" t="n">
        <x:f>COUNTIF('BugResults'!$D$504:$D$509,"FAIL")</x:f>
        <x:v>0</x:v>
      </x:c>
      <x:c r="F181" s="33" t="n">
        <x:f>E181/6</x:f>
        <x:v>0</x:v>
      </x:c>
    </x:row>
    <x:row r="182" ht="23" customHeight="1">
      <x:c r="B182" s="17" t="str">
        <x:v>JacksonXml</x:v>
      </x:c>
      <x:c r="C182" s="17" t="str">
        <x:v>Round2</x:v>
      </x:c>
      <x:c r="D182" s="17" t="str">
        <x:v>REVEALING</x:v>
      </x:c>
      <x:c r="E182" s="17" t="n">
        <x:f>COUNTIF('BugResults'!$D$1358:$D$1363,"REVEALING")</x:f>
        <x:v>0</x:v>
      </x:c>
      <x:c r="F182" s="33" t="n">
        <x:f>E182/6</x:f>
        <x:v>0</x:v>
      </x:c>
    </x:row>
    <x:row r="183" ht="23" customHeight="1">
      <x:c r="B183" s="17" t="str">
        <x:v>JacksonXml</x:v>
      </x:c>
      <x:c r="C183" s="17" t="str">
        <x:v>Round2</x:v>
      </x:c>
      <x:c r="D183" s="17" t="str">
        <x:v>NOT_REVEALING</x:v>
      </x:c>
      <x:c r="E183" s="17" t="n">
        <x:f>COUNTIF('BugResults'!$D$1358:$D$1363,"NOT_REVEALING")</x:f>
        <x:v>0</x:v>
      </x:c>
      <x:c r="F183" s="33" t="n">
        <x:f>E183/6</x:f>
        <x:v>0</x:v>
      </x:c>
    </x:row>
    <x:row r="184" ht="23" customHeight="1">
      <x:c r="B184" s="17" t="str">
        <x:v>JacksonXml</x:v>
      </x:c>
      <x:c r="C184" s="17" t="str">
        <x:v>Round2</x:v>
      </x:c>
      <x:c r="D184" s="17" t="str">
        <x:v>NOT_AVAILABLE</x:v>
      </x:c>
      <x:c r="E184" s="17" t="n">
        <x:f>COUNTIF('BugResults'!$D$1358:$D$1363,"NOT_AVAILABLE")</x:f>
        <x:v>6</x:v>
      </x:c>
      <x:c r="F184" s="33" t="n">
        <x:f>E184/6</x:f>
        <x:v>1</x:v>
      </x:c>
    </x:row>
    <x:row r="185" ht="23" customHeight="1">
      <x:c r="B185" s="17" t="str">
        <x:v>JacksonXml</x:v>
      </x:c>
      <x:c r="C185" s="17" t="str">
        <x:v>Round2</x:v>
      </x:c>
      <x:c r="D185" s="17" t="str">
        <x:v>INCONCLUSIVE</x:v>
      </x:c>
      <x:c r="E185" s="17" t="n">
        <x:f>COUNTIF('BugResults'!$D$1358:$D$1363,"INCONCLUSIVE")</x:f>
        <x:v>0</x:v>
      </x:c>
      <x:c r="F185" s="33" t="n">
        <x:f>E185/6</x:f>
        <x:v>0</x:v>
      </x:c>
    </x:row>
    <x:row r="186" ht="23" customHeight="1">
      <x:c r="B186" s="17" t="str">
        <x:v>JacksonXml</x:v>
      </x:c>
      <x:c r="C186" s="17" t="str">
        <x:v>Round2</x:v>
      </x:c>
      <x:c r="D186" s="17" t="str">
        <x:v>FAIL</x:v>
      </x:c>
      <x:c r="E186" s="17" t="n">
        <x:f>COUNTIF('BugResults'!$D$1358:$D$1363,"FAIL")</x:f>
        <x:v>0</x:v>
      </x:c>
      <x:c r="F186" s="33" t="n">
        <x:f>E186/6</x:f>
        <x:v>0</x:v>
      </x:c>
    </x:row>
    <x:row r="187" ht="23" customHeight="1">
      <x:c r="B187" s="17" t="str">
        <x:v>Jsoup</x:v>
      </x:c>
      <x:c r="C187" s="17" t="str">
        <x:v>All rounds</x:v>
      </x:c>
      <x:c r="D187" s="17" t="str">
        <x:v>REVEALING</x:v>
      </x:c>
      <x:c r="E187" s="17" t="n">
        <x:f>COUNTIF('BugResults'!$D$510:$D$602,"REVEALING")+COUNTIF('BugResults'!$D$1364:$D$1456,"REVEALING")</x:f>
        <x:v>0</x:v>
      </x:c>
      <x:c r="F187" s="33" t="n">
        <x:f>E187/186</x:f>
        <x:v>0</x:v>
      </x:c>
    </x:row>
    <x:row r="188" ht="23" customHeight="1">
      <x:c r="B188" s="17" t="str">
        <x:v>Jsoup</x:v>
      </x:c>
      <x:c r="C188" s="17" t="str">
        <x:v>All rounds</x:v>
      </x:c>
      <x:c r="D188" s="17" t="str">
        <x:v>NOT_REVEALING</x:v>
      </x:c>
      <x:c r="E188" s="17" t="n">
        <x:f>COUNTIF('BugResults'!$D$510:$D$602,"NOT_REVEALING")+COUNTIF('BugResults'!$D$1364:$D$1456,"NOT_REVEALING")</x:f>
        <x:v>14</x:v>
      </x:c>
      <x:c r="F188" s="33" t="n">
        <x:f>E188/186</x:f>
        <x:v>0.07526881720430108</x:v>
      </x:c>
    </x:row>
    <x:row r="189" ht="23" customHeight="1">
      <x:c r="B189" s="17" t="str">
        <x:v>Jsoup</x:v>
      </x:c>
      <x:c r="C189" s="17" t="str">
        <x:v>All rounds</x:v>
      </x:c>
      <x:c r="D189" s="17" t="str">
        <x:v>NOT_AVAILABLE</x:v>
      </x:c>
      <x:c r="E189" s="17" t="n">
        <x:f>COUNTIF('BugResults'!$D$510:$D$602,"NOT_AVAILABLE")+COUNTIF('BugResults'!$D$1364:$D$1456,"NOT_AVAILABLE")</x:f>
        <x:v>115</x:v>
      </x:c>
      <x:c r="F189" s="33" t="n">
        <x:f>E189/186</x:f>
        <x:v>0.6182795698924731</x:v>
      </x:c>
    </x:row>
    <x:row r="190" ht="23" customHeight="1">
      <x:c r="B190" s="17" t="str">
        <x:v>Jsoup</x:v>
      </x:c>
      <x:c r="C190" s="17" t="str">
        <x:v>All rounds</x:v>
      </x:c>
      <x:c r="D190" s="17" t="str">
        <x:v>INCONCLUSIVE</x:v>
      </x:c>
      <x:c r="E190" s="17" t="n">
        <x:f>COUNTIF('BugResults'!$D$510:$D$602,"INCONCLUSIVE")+COUNTIF('BugResults'!$D$1364:$D$1456,"INCONCLUSIVE")</x:f>
        <x:v>57</x:v>
      </x:c>
      <x:c r="F190" s="33" t="n">
        <x:f>E190/186</x:f>
        <x:v>0.3064516129032258</x:v>
      </x:c>
    </x:row>
    <x:row r="191" ht="23" customHeight="1">
      <x:c r="B191" s="17" t="str">
        <x:v>Jsoup</x:v>
      </x:c>
      <x:c r="C191" s="17" t="str">
        <x:v>All rounds</x:v>
      </x:c>
      <x:c r="D191" s="17" t="str">
        <x:v>FAIL</x:v>
      </x:c>
      <x:c r="E191" s="17" t="n">
        <x:f>COUNTIF('BugResults'!$D$510:$D$602,"FAIL")+COUNTIF('BugResults'!$D$1364:$D$1456,"FAIL")</x:f>
        <x:v>0</x:v>
      </x:c>
      <x:c r="F191" s="33" t="n">
        <x:f>E191/186</x:f>
        <x:v>0</x:v>
      </x:c>
    </x:row>
    <x:row r="192" ht="23" customHeight="1">
      <x:c r="B192" s="17" t="str">
        <x:v>Jsoup</x:v>
      </x:c>
      <x:c r="C192" s="17" t="str">
        <x:v>Round1</x:v>
      </x:c>
      <x:c r="D192" s="17" t="str">
        <x:v>REVEALING</x:v>
      </x:c>
      <x:c r="E192" s="17" t="n">
        <x:f>COUNTIF('BugResults'!$D$510:$D$602,"REVEALING")</x:f>
        <x:v>0</x:v>
      </x:c>
      <x:c r="F192" s="33" t="n">
        <x:f>E192/93</x:f>
        <x:v>0</x:v>
      </x:c>
    </x:row>
    <x:row r="193" ht="23" customHeight="1">
      <x:c r="B193" s="17" t="str">
        <x:v>Jsoup</x:v>
      </x:c>
      <x:c r="C193" s="17" t="str">
        <x:v>Round1</x:v>
      </x:c>
      <x:c r="D193" s="17" t="str">
        <x:v>NOT_REVEALING</x:v>
      </x:c>
      <x:c r="E193" s="17" t="n">
        <x:f>COUNTIF('BugResults'!$D$510:$D$602,"NOT_REVEALING")</x:f>
        <x:v>3</x:v>
      </x:c>
      <x:c r="F193" s="33" t="n">
        <x:f>E193/93</x:f>
        <x:v>0.03225806451612903</x:v>
      </x:c>
    </x:row>
    <x:row r="194" ht="23" customHeight="1">
      <x:c r="B194" s="17" t="str">
        <x:v>Jsoup</x:v>
      </x:c>
      <x:c r="C194" s="17" t="str">
        <x:v>Round1</x:v>
      </x:c>
      <x:c r="D194" s="17" t="str">
        <x:v>NOT_AVAILABLE</x:v>
      </x:c>
      <x:c r="E194" s="17" t="n">
        <x:f>COUNTIF('BugResults'!$D$510:$D$602,"NOT_AVAILABLE")</x:f>
        <x:v>67</x:v>
      </x:c>
      <x:c r="F194" s="33" t="n">
        <x:f>E194/93</x:f>
        <x:v>0.7204301075268817</x:v>
      </x:c>
    </x:row>
    <x:row r="195" ht="23" customHeight="1">
      <x:c r="B195" s="17" t="str">
        <x:v>Jsoup</x:v>
      </x:c>
      <x:c r="C195" s="17" t="str">
        <x:v>Round1</x:v>
      </x:c>
      <x:c r="D195" s="17" t="str">
        <x:v>INCONCLUSIVE</x:v>
      </x:c>
      <x:c r="E195" s="17" t="n">
        <x:f>COUNTIF('BugResults'!$D$510:$D$602,"INCONCLUSIVE")</x:f>
        <x:v>23</x:v>
      </x:c>
      <x:c r="F195" s="33" t="n">
        <x:f>E195/93</x:f>
        <x:v>0.24731182795698925</x:v>
      </x:c>
    </x:row>
    <x:row r="196" ht="23" customHeight="1">
      <x:c r="B196" s="17" t="str">
        <x:v>Jsoup</x:v>
      </x:c>
      <x:c r="C196" s="17" t="str">
        <x:v>Round1</x:v>
      </x:c>
      <x:c r="D196" s="17" t="str">
        <x:v>FAIL</x:v>
      </x:c>
      <x:c r="E196" s="17" t="n">
        <x:f>COUNTIF('BugResults'!$D$510:$D$602,"FAIL")</x:f>
        <x:v>0</x:v>
      </x:c>
      <x:c r="F196" s="33" t="n">
        <x:f>E196/93</x:f>
        <x:v>0</x:v>
      </x:c>
    </x:row>
    <x:row r="197" ht="23" customHeight="1">
      <x:c r="B197" s="17" t="str">
        <x:v>Jsoup</x:v>
      </x:c>
      <x:c r="C197" s="17" t="str">
        <x:v>Round2</x:v>
      </x:c>
      <x:c r="D197" s="17" t="str">
        <x:v>REVEALING</x:v>
      </x:c>
      <x:c r="E197" s="17" t="n">
        <x:f>COUNTIF('BugResults'!$D$1364:$D$1456,"REVEALING")</x:f>
        <x:v>0</x:v>
      </x:c>
      <x:c r="F197" s="33" t="n">
        <x:f>E197/93</x:f>
        <x:v>0</x:v>
      </x:c>
    </x:row>
    <x:row r="198" ht="23" customHeight="1">
      <x:c r="B198" s="17" t="str">
        <x:v>Jsoup</x:v>
      </x:c>
      <x:c r="C198" s="17" t="str">
        <x:v>Round2</x:v>
      </x:c>
      <x:c r="D198" s="17" t="str">
        <x:v>NOT_REVEALING</x:v>
      </x:c>
      <x:c r="E198" s="17" t="n">
        <x:f>COUNTIF('BugResults'!$D$1364:$D$1456,"NOT_REVEALING")</x:f>
        <x:v>11</x:v>
      </x:c>
      <x:c r="F198" s="33" t="n">
        <x:f>E198/93</x:f>
        <x:v>0.11827956989247312</x:v>
      </x:c>
    </x:row>
    <x:row r="199" ht="23" customHeight="1">
      <x:c r="B199" s="17" t="str">
        <x:v>Jsoup</x:v>
      </x:c>
      <x:c r="C199" s="17" t="str">
        <x:v>Round2</x:v>
      </x:c>
      <x:c r="D199" s="17" t="str">
        <x:v>NOT_AVAILABLE</x:v>
      </x:c>
      <x:c r="E199" s="17" t="n">
        <x:f>COUNTIF('BugResults'!$D$1364:$D$1456,"NOT_AVAILABLE")</x:f>
        <x:v>48</x:v>
      </x:c>
      <x:c r="F199" s="33" t="n">
        <x:f>E199/93</x:f>
        <x:v>0.5161290322580645</x:v>
      </x:c>
    </x:row>
    <x:row r="200" ht="23" customHeight="1">
      <x:c r="B200" s="17" t="str">
        <x:v>Jsoup</x:v>
      </x:c>
      <x:c r="C200" s="17" t="str">
        <x:v>Round2</x:v>
      </x:c>
      <x:c r="D200" s="17" t="str">
        <x:v>INCONCLUSIVE</x:v>
      </x:c>
      <x:c r="E200" s="17" t="n">
        <x:f>COUNTIF('BugResults'!$D$1364:$D$1456,"INCONCLUSIVE")</x:f>
        <x:v>34</x:v>
      </x:c>
      <x:c r="F200" s="33" t="n">
        <x:f>E200/93</x:f>
        <x:v>0.3655913978494624</x:v>
      </x:c>
    </x:row>
    <x:row r="201" ht="23" customHeight="1">
      <x:c r="B201" s="17" t="str">
        <x:v>Jsoup</x:v>
      </x:c>
      <x:c r="C201" s="17" t="str">
        <x:v>Round2</x:v>
      </x:c>
      <x:c r="D201" s="17" t="str">
        <x:v>FAIL</x:v>
      </x:c>
      <x:c r="E201" s="17" t="n">
        <x:f>COUNTIF('BugResults'!$D$1364:$D$1456,"FAIL")</x:f>
        <x:v>0</x:v>
      </x:c>
      <x:c r="F201" s="33" t="n">
        <x:f>E201/93</x:f>
        <x:v>0</x:v>
      </x:c>
    </x:row>
    <x:row r="202" ht="23" customHeight="1">
      <x:c r="B202" s="17" t="str">
        <x:v>JxPath</x:v>
      </x:c>
      <x:c r="C202" s="17" t="str">
        <x:v>All rounds</x:v>
      </x:c>
      <x:c r="D202" s="17" t="str">
        <x:v>REVEALING</x:v>
      </x:c>
      <x:c r="E202" s="17" t="n">
        <x:f>COUNTIF('BugResults'!$D$603:$D$624,"REVEALING")+COUNTIF('BugResults'!$D$1457:$D$1478,"REVEALING")</x:f>
        <x:v>0</x:v>
      </x:c>
      <x:c r="F202" s="33" t="n">
        <x:f>E202/44</x:f>
        <x:v>0</x:v>
      </x:c>
    </x:row>
    <x:row r="203" ht="23" customHeight="1">
      <x:c r="B203" s="17" t="str">
        <x:v>JxPath</x:v>
      </x:c>
      <x:c r="C203" s="17" t="str">
        <x:v>All rounds</x:v>
      </x:c>
      <x:c r="D203" s="17" t="str">
        <x:v>NOT_REVEALING</x:v>
      </x:c>
      <x:c r="E203" s="17" t="n">
        <x:f>COUNTIF('BugResults'!$D$603:$D$624,"NOT_REVEALING")+COUNTIF('BugResults'!$D$1457:$D$1478,"NOT_REVEALING")</x:f>
        <x:v>0</x:v>
      </x:c>
      <x:c r="F203" s="33" t="n">
        <x:f>E203/44</x:f>
        <x:v>0</x:v>
      </x:c>
    </x:row>
    <x:row r="204" ht="23" customHeight="1">
      <x:c r="B204" s="17" t="str">
        <x:v>JxPath</x:v>
      </x:c>
      <x:c r="C204" s="17" t="str">
        <x:v>All rounds</x:v>
      </x:c>
      <x:c r="D204" s="17" t="str">
        <x:v>NOT_AVAILABLE</x:v>
      </x:c>
      <x:c r="E204" s="17" t="n">
        <x:f>COUNTIF('BugResults'!$D$603:$D$624,"NOT_AVAILABLE")+COUNTIF('BugResults'!$D$1457:$D$1478,"NOT_AVAILABLE")</x:f>
        <x:v>43</x:v>
      </x:c>
      <x:c r="F204" s="33" t="n">
        <x:f>E204/44</x:f>
        <x:v>0.9772727272727273</x:v>
      </x:c>
    </x:row>
    <x:row r="205" ht="23" customHeight="1">
      <x:c r="B205" s="17" t="str">
        <x:v>JxPath</x:v>
      </x:c>
      <x:c r="C205" s="17" t="str">
        <x:v>All rounds</x:v>
      </x:c>
      <x:c r="D205" s="17" t="str">
        <x:v>INCONCLUSIVE</x:v>
      </x:c>
      <x:c r="E205" s="17" t="n">
        <x:f>COUNTIF('BugResults'!$D$603:$D$624,"INCONCLUSIVE")+COUNTIF('BugResults'!$D$1457:$D$1478,"INCONCLUSIVE")</x:f>
        <x:v>1</x:v>
      </x:c>
      <x:c r="F205" s="33" t="n">
        <x:f>E205/44</x:f>
        <x:v>0.022727272727272728</x:v>
      </x:c>
    </x:row>
    <x:row r="206" ht="23" customHeight="1">
      <x:c r="B206" s="17" t="str">
        <x:v>JxPath</x:v>
      </x:c>
      <x:c r="C206" s="17" t="str">
        <x:v>All rounds</x:v>
      </x:c>
      <x:c r="D206" s="17" t="str">
        <x:v>FAIL</x:v>
      </x:c>
      <x:c r="E206" s="17" t="n">
        <x:f>COUNTIF('BugResults'!$D$603:$D$624,"FAIL")+COUNTIF('BugResults'!$D$1457:$D$1478,"FAIL")</x:f>
        <x:v>0</x:v>
      </x:c>
      <x:c r="F206" s="33" t="n">
        <x:f>E206/44</x:f>
        <x:v>0</x:v>
      </x:c>
    </x:row>
    <x:row r="207" ht="23" customHeight="1">
      <x:c r="B207" s="17" t="str">
        <x:v>JxPath</x:v>
      </x:c>
      <x:c r="C207" s="17" t="str">
        <x:v>Round1</x:v>
      </x:c>
      <x:c r="D207" s="17" t="str">
        <x:v>REVEALING</x:v>
      </x:c>
      <x:c r="E207" s="17" t="n">
        <x:f>COUNTIF('BugResults'!$D$603:$D$624,"REVEALING")</x:f>
        <x:v>0</x:v>
      </x:c>
      <x:c r="F207" s="33" t="n">
        <x:f>E207/22</x:f>
        <x:v>0</x:v>
      </x:c>
    </x:row>
    <x:row r="208" ht="23" customHeight="1">
      <x:c r="B208" s="17" t="str">
        <x:v>JxPath</x:v>
      </x:c>
      <x:c r="C208" s="17" t="str">
        <x:v>Round1</x:v>
      </x:c>
      <x:c r="D208" s="17" t="str">
        <x:v>NOT_REVEALING</x:v>
      </x:c>
      <x:c r="E208" s="17" t="n">
        <x:f>COUNTIF('BugResults'!$D$603:$D$624,"NOT_REVEALING")</x:f>
        <x:v>0</x:v>
      </x:c>
      <x:c r="F208" s="33" t="n">
        <x:f>E208/22</x:f>
        <x:v>0</x:v>
      </x:c>
    </x:row>
    <x:row r="209" ht="23" customHeight="1">
      <x:c r="B209" s="17" t="str">
        <x:v>JxPath</x:v>
      </x:c>
      <x:c r="C209" s="17" t="str">
        <x:v>Round1</x:v>
      </x:c>
      <x:c r="D209" s="17" t="str">
        <x:v>NOT_AVAILABLE</x:v>
      </x:c>
      <x:c r="E209" s="17" t="n">
        <x:f>COUNTIF('BugResults'!$D$603:$D$624,"NOT_AVAILABLE")</x:f>
        <x:v>22</x:v>
      </x:c>
      <x:c r="F209" s="33" t="n">
        <x:f>E209/22</x:f>
        <x:v>1</x:v>
      </x:c>
    </x:row>
    <x:row r="210" ht="23" customHeight="1">
      <x:c r="B210" s="17" t="str">
        <x:v>JxPath</x:v>
      </x:c>
      <x:c r="C210" s="17" t="str">
        <x:v>Round1</x:v>
      </x:c>
      <x:c r="D210" s="17" t="str">
        <x:v>INCONCLUSIVE</x:v>
      </x:c>
      <x:c r="E210" s="17" t="n">
        <x:f>COUNTIF('BugResults'!$D$603:$D$624,"INCONCLUSIVE")</x:f>
        <x:v>0</x:v>
      </x:c>
      <x:c r="F210" s="33" t="n">
        <x:f>E210/22</x:f>
        <x:v>0</x:v>
      </x:c>
    </x:row>
    <x:row r="211" ht="23" customHeight="1">
      <x:c r="B211" s="17" t="str">
        <x:v>JxPath</x:v>
      </x:c>
      <x:c r="C211" s="17" t="str">
        <x:v>Round1</x:v>
      </x:c>
      <x:c r="D211" s="17" t="str">
        <x:v>FAIL</x:v>
      </x:c>
      <x:c r="E211" s="17" t="n">
        <x:f>COUNTIF('BugResults'!$D$603:$D$624,"FAIL")</x:f>
        <x:v>0</x:v>
      </x:c>
      <x:c r="F211" s="33" t="n">
        <x:f>E211/22</x:f>
        <x:v>0</x:v>
      </x:c>
    </x:row>
    <x:row r="212" ht="23" customHeight="1">
      <x:c r="B212" s="17" t="str">
        <x:v>JxPath</x:v>
      </x:c>
      <x:c r="C212" s="17" t="str">
        <x:v>Round2</x:v>
      </x:c>
      <x:c r="D212" s="17" t="str">
        <x:v>REVEALING</x:v>
      </x:c>
      <x:c r="E212" s="17" t="n">
        <x:f>COUNTIF('BugResults'!$D$1457:$D$1478,"REVEALING")</x:f>
        <x:v>0</x:v>
      </x:c>
      <x:c r="F212" s="33" t="n">
        <x:f>E212/22</x:f>
        <x:v>0</x:v>
      </x:c>
    </x:row>
    <x:row r="213" ht="23" customHeight="1">
      <x:c r="B213" s="17" t="str">
        <x:v>JxPath</x:v>
      </x:c>
      <x:c r="C213" s="17" t="str">
        <x:v>Round2</x:v>
      </x:c>
      <x:c r="D213" s="17" t="str">
        <x:v>NOT_REVEALING</x:v>
      </x:c>
      <x:c r="E213" s="17" t="n">
        <x:f>COUNTIF('BugResults'!$D$1457:$D$1478,"NOT_REVEALING")</x:f>
        <x:v>0</x:v>
      </x:c>
      <x:c r="F213" s="33" t="n">
        <x:f>E213/22</x:f>
        <x:v>0</x:v>
      </x:c>
    </x:row>
    <x:row r="214" ht="23" customHeight="1">
      <x:c r="B214" s="17" t="str">
        <x:v>JxPath</x:v>
      </x:c>
      <x:c r="C214" s="17" t="str">
        <x:v>Round2</x:v>
      </x:c>
      <x:c r="D214" s="17" t="str">
        <x:v>NOT_AVAILABLE</x:v>
      </x:c>
      <x:c r="E214" s="17" t="n">
        <x:f>COUNTIF('BugResults'!$D$1457:$D$1478,"NOT_AVAILABLE")</x:f>
        <x:v>21</x:v>
      </x:c>
      <x:c r="F214" s="33" t="n">
        <x:f>E214/22</x:f>
        <x:v>0.9545454545454546</x:v>
      </x:c>
    </x:row>
    <x:row r="215" ht="23" customHeight="1">
      <x:c r="B215" s="17" t="str">
        <x:v>JxPath</x:v>
      </x:c>
      <x:c r="C215" s="17" t="str">
        <x:v>Round2</x:v>
      </x:c>
      <x:c r="D215" s="17" t="str">
        <x:v>INCONCLUSIVE</x:v>
      </x:c>
      <x:c r="E215" s="17" t="n">
        <x:f>COUNTIF('BugResults'!$D$1457:$D$1478,"INCONCLUSIVE")</x:f>
        <x:v>1</x:v>
      </x:c>
      <x:c r="F215" s="33" t="n">
        <x:f>E215/22</x:f>
        <x:v>0.045454545454545456</x:v>
      </x:c>
    </x:row>
    <x:row r="216" ht="23" customHeight="1">
      <x:c r="B216" s="17" t="str">
        <x:v>JxPath</x:v>
      </x:c>
      <x:c r="C216" s="17" t="str">
        <x:v>Round2</x:v>
      </x:c>
      <x:c r="D216" s="17" t="str">
        <x:v>FAIL</x:v>
      </x:c>
      <x:c r="E216" s="17" t="n">
        <x:f>COUNTIF('BugResults'!$D$1457:$D$1478,"FAIL")</x:f>
        <x:v>0</x:v>
      </x:c>
      <x:c r="F216" s="33" t="n">
        <x:f>E216/22</x:f>
        <x:v>0</x:v>
      </x:c>
    </x:row>
    <x:row r="217" ht="23" customHeight="1">
      <x:c r="B217" s="17" t="str">
        <x:v>Lang</x:v>
      </x:c>
      <x:c r="C217" s="17" t="str">
        <x:v>All rounds</x:v>
      </x:c>
      <x:c r="D217" s="17" t="str">
        <x:v>REVEALING</x:v>
      </x:c>
      <x:c r="E217" s="17" t="n">
        <x:f>COUNTIF('BugResults'!$D$625:$D$685,"REVEALING")+COUNTIF('BugResults'!$D$1479:$D$1539,"REVEALING")</x:f>
        <x:v>2</x:v>
      </x:c>
      <x:c r="F217" s="33" t="n">
        <x:f>E217/122</x:f>
        <x:v>0.01639344262295082</x:v>
      </x:c>
    </x:row>
    <x:row r="218" ht="23" customHeight="1">
      <x:c r="B218" s="17" t="str">
        <x:v>Lang</x:v>
      </x:c>
      <x:c r="C218" s="17" t="str">
        <x:v>All rounds</x:v>
      </x:c>
      <x:c r="D218" s="17" t="str">
        <x:v>NOT_REVEALING</x:v>
      </x:c>
      <x:c r="E218" s="17" t="n">
        <x:f>COUNTIF('BugResults'!$D$625:$D$685,"NOT_REVEALING")+COUNTIF('BugResults'!$D$1479:$D$1539,"NOT_REVEALING")</x:f>
        <x:v>10</x:v>
      </x:c>
      <x:c r="F218" s="33" t="n">
        <x:f>E218/122</x:f>
        <x:v>0.08196721311475409</x:v>
      </x:c>
    </x:row>
    <x:row r="219" ht="23" customHeight="1">
      <x:c r="B219" s="17" t="str">
        <x:v>Lang</x:v>
      </x:c>
      <x:c r="C219" s="17" t="str">
        <x:v>All rounds</x:v>
      </x:c>
      <x:c r="D219" s="17" t="str">
        <x:v>NOT_AVAILABLE</x:v>
      </x:c>
      <x:c r="E219" s="17" t="n">
        <x:f>COUNTIF('BugResults'!$D$625:$D$685,"NOT_AVAILABLE")+COUNTIF('BugResults'!$D$1479:$D$1539,"NOT_AVAILABLE")</x:f>
        <x:v>52</x:v>
      </x:c>
      <x:c r="F219" s="33" t="n">
        <x:f>E219/122</x:f>
        <x:v>0.4262295081967213</x:v>
      </x:c>
    </x:row>
    <x:row r="220" ht="23" customHeight="1">
      <x:c r="B220" s="17" t="str">
        <x:v>Lang</x:v>
      </x:c>
      <x:c r="C220" s="17" t="str">
        <x:v>All rounds</x:v>
      </x:c>
      <x:c r="D220" s="17" t="str">
        <x:v>INCONCLUSIVE</x:v>
      </x:c>
      <x:c r="E220" s="17" t="n">
        <x:f>COUNTIF('BugResults'!$D$625:$D$685,"INCONCLUSIVE")+COUNTIF('BugResults'!$D$1479:$D$1539,"INCONCLUSIVE")</x:f>
        <x:v>58</x:v>
      </x:c>
      <x:c r="F220" s="33" t="n">
        <x:f>E220/122</x:f>
        <x:v>0.47540983606557374</x:v>
      </x:c>
    </x:row>
    <x:row r="221" ht="23" customHeight="1">
      <x:c r="B221" s="17" t="str">
        <x:v>Lang</x:v>
      </x:c>
      <x:c r="C221" s="17" t="str">
        <x:v>All rounds</x:v>
      </x:c>
      <x:c r="D221" s="17" t="str">
        <x:v>FAIL</x:v>
      </x:c>
      <x:c r="E221" s="17" t="n">
        <x:f>COUNTIF('BugResults'!$D$625:$D$685,"FAIL")+COUNTIF('BugResults'!$D$1479:$D$1539,"FAIL")</x:f>
        <x:v>0</x:v>
      </x:c>
      <x:c r="F221" s="33" t="n">
        <x:f>E221/122</x:f>
        <x:v>0</x:v>
      </x:c>
    </x:row>
    <x:row r="222" ht="23" customHeight="1">
      <x:c r="B222" s="17" t="str">
        <x:v>Lang</x:v>
      </x:c>
      <x:c r="C222" s="17" t="str">
        <x:v>Round1</x:v>
      </x:c>
      <x:c r="D222" s="17" t="str">
        <x:v>REVEALING</x:v>
      </x:c>
      <x:c r="E222" s="17" t="n">
        <x:f>COUNTIF('BugResults'!$D$625:$D$685,"REVEALING")</x:f>
        <x:v>1</x:v>
      </x:c>
      <x:c r="F222" s="33" t="n">
        <x:f>E222/61</x:f>
        <x:v>0.01639344262295082</x:v>
      </x:c>
    </x:row>
    <x:row r="223" ht="23" customHeight="1">
      <x:c r="B223" s="17" t="str">
        <x:v>Lang</x:v>
      </x:c>
      <x:c r="C223" s="17" t="str">
        <x:v>Round1</x:v>
      </x:c>
      <x:c r="D223" s="17" t="str">
        <x:v>NOT_REVEALING</x:v>
      </x:c>
      <x:c r="E223" s="17" t="n">
        <x:f>COUNTIF('BugResults'!$D$625:$D$685,"NOT_REVEALING")</x:f>
        <x:v>2</x:v>
      </x:c>
      <x:c r="F223" s="33" t="n">
        <x:f>E223/61</x:f>
        <x:v>0.03278688524590164</x:v>
      </x:c>
    </x:row>
    <x:row r="224" ht="23" customHeight="1">
      <x:c r="B224" s="17" t="str">
        <x:v>Lang</x:v>
      </x:c>
      <x:c r="C224" s="17" t="str">
        <x:v>Round1</x:v>
      </x:c>
      <x:c r="D224" s="17" t="str">
        <x:v>NOT_AVAILABLE</x:v>
      </x:c>
      <x:c r="E224" s="17" t="n">
        <x:f>COUNTIF('BugResults'!$D$625:$D$685,"NOT_AVAILABLE")</x:f>
        <x:v>36</x:v>
      </x:c>
      <x:c r="F224" s="33" t="n">
        <x:f>E224/61</x:f>
        <x:v>0.5901639344262295</x:v>
      </x:c>
    </x:row>
    <x:row r="225" ht="23" customHeight="1">
      <x:c r="B225" s="17" t="str">
        <x:v>Lang</x:v>
      </x:c>
      <x:c r="C225" s="17" t="str">
        <x:v>Round1</x:v>
      </x:c>
      <x:c r="D225" s="17" t="str">
        <x:v>INCONCLUSIVE</x:v>
      </x:c>
      <x:c r="E225" s="17" t="n">
        <x:f>COUNTIF('BugResults'!$D$625:$D$685,"INCONCLUSIVE")</x:f>
        <x:v>22</x:v>
      </x:c>
      <x:c r="F225" s="33" t="n">
        <x:f>E225/61</x:f>
        <x:v>0.36065573770491804</x:v>
      </x:c>
    </x:row>
    <x:row r="226" ht="23" customHeight="1">
      <x:c r="B226" s="17" t="str">
        <x:v>Lang</x:v>
      </x:c>
      <x:c r="C226" s="17" t="str">
        <x:v>Round1</x:v>
      </x:c>
      <x:c r="D226" s="17" t="str">
        <x:v>FAIL</x:v>
      </x:c>
      <x:c r="E226" s="17" t="n">
        <x:f>COUNTIF('BugResults'!$D$625:$D$685,"FAIL")</x:f>
        <x:v>0</x:v>
      </x:c>
      <x:c r="F226" s="33" t="n">
        <x:f>E226/61</x:f>
        <x:v>0</x:v>
      </x:c>
    </x:row>
    <x:row r="227" ht="23" customHeight="1">
      <x:c r="B227" s="17" t="str">
        <x:v>Lang</x:v>
      </x:c>
      <x:c r="C227" s="17" t="str">
        <x:v>Round2</x:v>
      </x:c>
      <x:c r="D227" s="17" t="str">
        <x:v>REVEALING</x:v>
      </x:c>
      <x:c r="E227" s="17" t="n">
        <x:f>COUNTIF('BugResults'!$D$1479:$D$1539,"REVEALING")</x:f>
        <x:v>1</x:v>
      </x:c>
      <x:c r="F227" s="33" t="n">
        <x:f>E227/61</x:f>
        <x:v>0.01639344262295082</x:v>
      </x:c>
    </x:row>
    <x:row r="228" ht="23" customHeight="1">
      <x:c r="B228" s="17" t="str">
        <x:v>Lang</x:v>
      </x:c>
      <x:c r="C228" s="17" t="str">
        <x:v>Round2</x:v>
      </x:c>
      <x:c r="D228" s="17" t="str">
        <x:v>NOT_REVEALING</x:v>
      </x:c>
      <x:c r="E228" s="17" t="n">
        <x:f>COUNTIF('BugResults'!$D$1479:$D$1539,"NOT_REVEALING")</x:f>
        <x:v>8</x:v>
      </x:c>
      <x:c r="F228" s="33" t="n">
        <x:f>E228/61</x:f>
        <x:v>0.13114754098360656</x:v>
      </x:c>
    </x:row>
    <x:row r="229" ht="23" customHeight="1">
      <x:c r="B229" s="17" t="str">
        <x:v>Lang</x:v>
      </x:c>
      <x:c r="C229" s="17" t="str">
        <x:v>Round2</x:v>
      </x:c>
      <x:c r="D229" s="17" t="str">
        <x:v>NOT_AVAILABLE</x:v>
      </x:c>
      <x:c r="E229" s="17" t="n">
        <x:f>COUNTIF('BugResults'!$D$1479:$D$1539,"NOT_AVAILABLE")</x:f>
        <x:v>16</x:v>
      </x:c>
      <x:c r="F229" s="33" t="n">
        <x:f>E229/61</x:f>
        <x:v>0.26229508196721313</x:v>
      </x:c>
    </x:row>
    <x:row r="230" ht="23" customHeight="1">
      <x:c r="B230" s="17" t="str">
        <x:v>Lang</x:v>
      </x:c>
      <x:c r="C230" s="17" t="str">
        <x:v>Round2</x:v>
      </x:c>
      <x:c r="D230" s="17" t="str">
        <x:v>INCONCLUSIVE</x:v>
      </x:c>
      <x:c r="E230" s="17" t="n">
        <x:f>COUNTIF('BugResults'!$D$1479:$D$1539,"INCONCLUSIVE")</x:f>
        <x:v>36</x:v>
      </x:c>
      <x:c r="F230" s="33" t="n">
        <x:f>E230/61</x:f>
        <x:v>0.5901639344262295</x:v>
      </x:c>
    </x:row>
    <x:row r="231" ht="23" customHeight="1">
      <x:c r="B231" s="17" t="str">
        <x:v>Lang</x:v>
      </x:c>
      <x:c r="C231" s="17" t="str">
        <x:v>Round2</x:v>
      </x:c>
      <x:c r="D231" s="17" t="str">
        <x:v>FAIL</x:v>
      </x:c>
      <x:c r="E231" s="17" t="n">
        <x:f>COUNTIF('BugResults'!$D$1479:$D$1539,"FAIL")</x:f>
        <x:v>0</x:v>
      </x:c>
      <x:c r="F231" s="33" t="n">
        <x:f>E231/61</x:f>
        <x:v>0</x:v>
      </x:c>
    </x:row>
    <x:row r="232" ht="23" customHeight="1">
      <x:c r="B232" s="17" t="str">
        <x:v>Math</x:v>
      </x:c>
      <x:c r="C232" s="17" t="str">
        <x:v>All rounds</x:v>
      </x:c>
      <x:c r="D232" s="17" t="str">
        <x:v>REVEALING</x:v>
      </x:c>
      <x:c r="E232" s="17" t="n">
        <x:f>COUNTIF('BugResults'!$D$686:$D$791,"REVEALING")+COUNTIF('BugResults'!$D$1540:$D$1645,"REVEALING")</x:f>
        <x:v>6</x:v>
      </x:c>
      <x:c r="F232" s="33" t="n">
        <x:f>E232/212</x:f>
        <x:v>0.02830188679245283</x:v>
      </x:c>
    </x:row>
    <x:row r="233" ht="23" customHeight="1">
      <x:c r="B233" s="17" t="str">
        <x:v>Math</x:v>
      </x:c>
      <x:c r="C233" s="17" t="str">
        <x:v>All rounds</x:v>
      </x:c>
      <x:c r="D233" s="17" t="str">
        <x:v>NOT_REVEALING</x:v>
      </x:c>
      <x:c r="E233" s="17" t="n">
        <x:f>COUNTIF('BugResults'!$D$686:$D$791,"NOT_REVEALING")+COUNTIF('BugResults'!$D$1540:$D$1645,"NOT_REVEALING")</x:f>
        <x:v>46</x:v>
      </x:c>
      <x:c r="F233" s="33" t="n">
        <x:f>E233/212</x:f>
        <x:v>0.2169811320754717</x:v>
      </x:c>
    </x:row>
    <x:row r="234" ht="23" customHeight="1">
      <x:c r="B234" s="17" t="str">
        <x:v>Math</x:v>
      </x:c>
      <x:c r="C234" s="17" t="str">
        <x:v>All rounds</x:v>
      </x:c>
      <x:c r="D234" s="17" t="str">
        <x:v>NOT_AVAILABLE</x:v>
      </x:c>
      <x:c r="E234" s="17" t="n">
        <x:f>COUNTIF('BugResults'!$D$686:$D$791,"NOT_AVAILABLE")+COUNTIF('BugResults'!$D$1540:$D$1645,"NOT_AVAILABLE")</x:f>
        <x:v>69</x:v>
      </x:c>
      <x:c r="F234" s="33" t="n">
        <x:f>E234/212</x:f>
        <x:v>0.32547169811320753</x:v>
      </x:c>
    </x:row>
    <x:row r="235" ht="23" customHeight="1">
      <x:c r="B235" s="17" t="str">
        <x:v>Math</x:v>
      </x:c>
      <x:c r="C235" s="17" t="str">
        <x:v>All rounds</x:v>
      </x:c>
      <x:c r="D235" s="17" t="str">
        <x:v>INCONCLUSIVE</x:v>
      </x:c>
      <x:c r="E235" s="17" t="n">
        <x:f>COUNTIF('BugResults'!$D$686:$D$791,"INCONCLUSIVE")+COUNTIF('BugResults'!$D$1540:$D$1645,"INCONCLUSIVE")</x:f>
        <x:v>91</x:v>
      </x:c>
      <x:c r="F235" s="33" t="n">
        <x:f>E235/212</x:f>
        <x:v>0.42924528301886794</x:v>
      </x:c>
    </x:row>
    <x:row r="236" ht="23" customHeight="1">
      <x:c r="B236" s="17" t="str">
        <x:v>Math</x:v>
      </x:c>
      <x:c r="C236" s="17" t="str">
        <x:v>All rounds</x:v>
      </x:c>
      <x:c r="D236" s="17" t="str">
        <x:v>FAIL</x:v>
      </x:c>
      <x:c r="E236" s="17" t="n">
        <x:f>COUNTIF('BugResults'!$D$686:$D$791,"FAIL")+COUNTIF('BugResults'!$D$1540:$D$1645,"FAIL")</x:f>
        <x:v>0</x:v>
      </x:c>
      <x:c r="F236" s="33" t="n">
        <x:f>E236/212</x:f>
        <x:v>0</x:v>
      </x:c>
    </x:row>
    <x:row r="237" ht="23" customHeight="1">
      <x:c r="B237" s="17" t="str">
        <x:v>Math</x:v>
      </x:c>
      <x:c r="C237" s="17" t="str">
        <x:v>Round1</x:v>
      </x:c>
      <x:c r="D237" s="17" t="str">
        <x:v>REVEALING</x:v>
      </x:c>
      <x:c r="E237" s="17" t="n">
        <x:f>COUNTIF('BugResults'!$D$686:$D$791,"REVEALING")</x:f>
        <x:v>1</x:v>
      </x:c>
      <x:c r="F237" s="33" t="n">
        <x:f>E237/106</x:f>
        <x:v>0.009433962264150943</x:v>
      </x:c>
    </x:row>
    <x:row r="238" ht="23" customHeight="1">
      <x:c r="B238" s="17" t="str">
        <x:v>Math</x:v>
      </x:c>
      <x:c r="C238" s="17" t="str">
        <x:v>Round1</x:v>
      </x:c>
      <x:c r="D238" s="17" t="str">
        <x:v>NOT_REVEALING</x:v>
      </x:c>
      <x:c r="E238" s="17" t="n">
        <x:f>COUNTIF('BugResults'!$D$686:$D$791,"NOT_REVEALING")</x:f>
        <x:v>14</x:v>
      </x:c>
      <x:c r="F238" s="33" t="n">
        <x:f>E238/106</x:f>
        <x:v>0.1320754716981132</x:v>
      </x:c>
    </x:row>
    <x:row r="239" ht="23" customHeight="1">
      <x:c r="B239" s="17" t="str">
        <x:v>Math</x:v>
      </x:c>
      <x:c r="C239" s="17" t="str">
        <x:v>Round1</x:v>
      </x:c>
      <x:c r="D239" s="17" t="str">
        <x:v>NOT_AVAILABLE</x:v>
      </x:c>
      <x:c r="E239" s="17" t="n">
        <x:f>COUNTIF('BugResults'!$D$686:$D$791,"NOT_AVAILABLE")</x:f>
        <x:v>54</x:v>
      </x:c>
      <x:c r="F239" s="33" t="n">
        <x:f>E239/106</x:f>
        <x:v>0.5094339622641509</x:v>
      </x:c>
    </x:row>
    <x:row r="240" ht="23" customHeight="1">
      <x:c r="B240" s="17" t="str">
        <x:v>Math</x:v>
      </x:c>
      <x:c r="C240" s="17" t="str">
        <x:v>Round1</x:v>
      </x:c>
      <x:c r="D240" s="17" t="str">
        <x:v>INCONCLUSIVE</x:v>
      </x:c>
      <x:c r="E240" s="17" t="n">
        <x:f>COUNTIF('BugResults'!$D$686:$D$791,"INCONCLUSIVE")</x:f>
        <x:v>37</x:v>
      </x:c>
      <x:c r="F240" s="33" t="n">
        <x:f>E240/106</x:f>
        <x:v>0.3490566037735849</x:v>
      </x:c>
    </x:row>
    <x:row r="241" ht="23" customHeight="1">
      <x:c r="B241" s="17" t="str">
        <x:v>Math</x:v>
      </x:c>
      <x:c r="C241" s="17" t="str">
        <x:v>Round1</x:v>
      </x:c>
      <x:c r="D241" s="17" t="str">
        <x:v>FAIL</x:v>
      </x:c>
      <x:c r="E241" s="17" t="n">
        <x:f>COUNTIF('BugResults'!$D$686:$D$791,"FAIL")</x:f>
        <x:v>0</x:v>
      </x:c>
      <x:c r="F241" s="33" t="n">
        <x:f>E241/106</x:f>
        <x:v>0</x:v>
      </x:c>
    </x:row>
    <x:row r="242" ht="23" customHeight="1">
      <x:c r="B242" s="17" t="str">
        <x:v>Math</x:v>
      </x:c>
      <x:c r="C242" s="17" t="str">
        <x:v>Round2</x:v>
      </x:c>
      <x:c r="D242" s="17" t="str">
        <x:v>REVEALING</x:v>
      </x:c>
      <x:c r="E242" s="17" t="n">
        <x:f>COUNTIF('BugResults'!$D$1540:$D$1645,"REVEALING")</x:f>
        <x:v>5</x:v>
      </x:c>
      <x:c r="F242" s="33" t="n">
        <x:f>E242/106</x:f>
        <x:v>0.04716981132075472</x:v>
      </x:c>
    </x:row>
    <x:row r="243" ht="23" customHeight="1">
      <x:c r="B243" s="17" t="str">
        <x:v>Math</x:v>
      </x:c>
      <x:c r="C243" s="17" t="str">
        <x:v>Round2</x:v>
      </x:c>
      <x:c r="D243" s="17" t="str">
        <x:v>NOT_REVEALING</x:v>
      </x:c>
      <x:c r="E243" s="17" t="n">
        <x:f>COUNTIF('BugResults'!$D$1540:$D$1645,"NOT_REVEALING")</x:f>
        <x:v>32</x:v>
      </x:c>
      <x:c r="F243" s="33" t="n">
        <x:f>E243/106</x:f>
        <x:v>0.3018867924528302</x:v>
      </x:c>
    </x:row>
    <x:row r="244" ht="23" customHeight="1">
      <x:c r="B244" s="17" t="str">
        <x:v>Math</x:v>
      </x:c>
      <x:c r="C244" s="17" t="str">
        <x:v>Round2</x:v>
      </x:c>
      <x:c r="D244" s="17" t="str">
        <x:v>NOT_AVAILABLE</x:v>
      </x:c>
      <x:c r="E244" s="17" t="n">
        <x:f>COUNTIF('BugResults'!$D$1540:$D$1645,"NOT_AVAILABLE")</x:f>
        <x:v>15</x:v>
      </x:c>
      <x:c r="F244" s="33" t="n">
        <x:f>E244/106</x:f>
        <x:v>0.14150943396226415</x:v>
      </x:c>
    </x:row>
    <x:row r="245" ht="23" customHeight="1">
      <x:c r="B245" s="17" t="str">
        <x:v>Math</x:v>
      </x:c>
      <x:c r="C245" s="17" t="str">
        <x:v>Round2</x:v>
      </x:c>
      <x:c r="D245" s="17" t="str">
        <x:v>INCONCLUSIVE</x:v>
      </x:c>
      <x:c r="E245" s="17" t="n">
        <x:f>COUNTIF('BugResults'!$D$1540:$D$1645,"INCONCLUSIVE")</x:f>
        <x:v>54</x:v>
      </x:c>
      <x:c r="F245" s="33" t="n">
        <x:f>E245/106</x:f>
        <x:v>0.5094339622641509</x:v>
      </x:c>
    </x:row>
    <x:row r="246" ht="23" customHeight="1">
      <x:c r="B246" s="17" t="str">
        <x:v>Math</x:v>
      </x:c>
      <x:c r="C246" s="17" t="str">
        <x:v>Round2</x:v>
      </x:c>
      <x:c r="D246" s="17" t="str">
        <x:v>FAIL</x:v>
      </x:c>
      <x:c r="E246" s="17" t="n">
        <x:f>COUNTIF('BugResults'!$D$1540:$D$1645,"FAIL")</x:f>
        <x:v>0</x:v>
      </x:c>
      <x:c r="F246" s="33" t="n">
        <x:f>E246/106</x:f>
        <x:v>0</x:v>
      </x:c>
    </x:row>
    <x:row r="247" ht="23" customHeight="1">
      <x:c r="B247" s="17" t="str">
        <x:v>Mockito</x:v>
      </x:c>
      <x:c r="C247" s="17" t="str">
        <x:v>All rounds</x:v>
      </x:c>
      <x:c r="D247" s="17" t="str">
        <x:v>REVEALING</x:v>
      </x:c>
      <x:c r="E247" s="17" t="n">
        <x:f>COUNTIF('BugResults'!$D$792:$D$829,"REVEALING")+COUNTIF('BugResults'!$D$1646:$D$1683,"REVEALING")</x:f>
        <x:v>1</x:v>
      </x:c>
      <x:c r="F247" s="33" t="n">
        <x:f>E247/76</x:f>
        <x:v>0.013157894736842105</x:v>
      </x:c>
    </x:row>
    <x:row r="248" ht="23" customHeight="1">
      <x:c r="B248" s="17" t="str">
        <x:v>Mockito</x:v>
      </x:c>
      <x:c r="C248" s="17" t="str">
        <x:v>All rounds</x:v>
      </x:c>
      <x:c r="D248" s="17" t="str">
        <x:v>NOT_REVEALING</x:v>
      </x:c>
      <x:c r="E248" s="17" t="n">
        <x:f>COUNTIF('BugResults'!$D$792:$D$829,"NOT_REVEALING")+COUNTIF('BugResults'!$D$1646:$D$1683,"NOT_REVEALING")</x:f>
        <x:v>7</x:v>
      </x:c>
      <x:c r="F248" s="33" t="n">
        <x:f>E248/76</x:f>
        <x:v>0.09210526315789473</x:v>
      </x:c>
    </x:row>
    <x:row r="249" ht="23" customHeight="1">
      <x:c r="B249" s="17" t="str">
        <x:v>Mockito</x:v>
      </x:c>
      <x:c r="C249" s="17" t="str">
        <x:v>All rounds</x:v>
      </x:c>
      <x:c r="D249" s="17" t="str">
        <x:v>NOT_AVAILABLE</x:v>
      </x:c>
      <x:c r="E249" s="17" t="n">
        <x:f>COUNTIF('BugResults'!$D$792:$D$829,"NOT_AVAILABLE")+COUNTIF('BugResults'!$D$1646:$D$1683,"NOT_AVAILABLE")</x:f>
        <x:v>47</x:v>
      </x:c>
      <x:c r="F249" s="33" t="n">
        <x:f>E249/76</x:f>
        <x:v>0.618421052631579</x:v>
      </x:c>
    </x:row>
    <x:row r="250" ht="23" customHeight="1">
      <x:c r="B250" s="17" t="str">
        <x:v>Mockito</x:v>
      </x:c>
      <x:c r="C250" s="17" t="str">
        <x:v>All rounds</x:v>
      </x:c>
      <x:c r="D250" s="17" t="str">
        <x:v>INCONCLUSIVE</x:v>
      </x:c>
      <x:c r="E250" s="17" t="n">
        <x:f>COUNTIF('BugResults'!$D$792:$D$829,"INCONCLUSIVE")+COUNTIF('BugResults'!$D$1646:$D$1683,"INCONCLUSIVE")</x:f>
        <x:v>21</x:v>
      </x:c>
      <x:c r="F250" s="33" t="n">
        <x:f>E250/76</x:f>
        <x:v>0.27631578947368424</x:v>
      </x:c>
    </x:row>
    <x:row r="251" ht="23" customHeight="1">
      <x:c r="B251" s="17" t="str">
        <x:v>Mockito</x:v>
      </x:c>
      <x:c r="C251" s="17" t="str">
        <x:v>All rounds</x:v>
      </x:c>
      <x:c r="D251" s="17" t="str">
        <x:v>FAIL</x:v>
      </x:c>
      <x:c r="E251" s="17" t="n">
        <x:f>COUNTIF('BugResults'!$D$792:$D$829,"FAIL")+COUNTIF('BugResults'!$D$1646:$D$1683,"FAIL")</x:f>
        <x:v>0</x:v>
      </x:c>
      <x:c r="F251" s="33" t="n">
        <x:f>E251/76</x:f>
        <x:v>0</x:v>
      </x:c>
    </x:row>
    <x:row r="252" ht="23" customHeight="1">
      <x:c r="B252" s="17" t="str">
        <x:v>Mockito</x:v>
      </x:c>
      <x:c r="C252" s="17" t="str">
        <x:v>Round1</x:v>
      </x:c>
      <x:c r="D252" s="17" t="str">
        <x:v>REVEALING</x:v>
      </x:c>
      <x:c r="E252" s="17" t="n">
        <x:f>COUNTIF('BugResults'!$D$792:$D$829,"REVEALING")</x:f>
        <x:v>0</x:v>
      </x:c>
      <x:c r="F252" s="33" t="n">
        <x:f>E252/38</x:f>
        <x:v>0</x:v>
      </x:c>
    </x:row>
    <x:row r="253" ht="23" customHeight="1">
      <x:c r="B253" s="17" t="str">
        <x:v>Mockito</x:v>
      </x:c>
      <x:c r="C253" s="17" t="str">
        <x:v>Round1</x:v>
      </x:c>
      <x:c r="D253" s="17" t="str">
        <x:v>NOT_REVEALING</x:v>
      </x:c>
      <x:c r="E253" s="17" t="n">
        <x:f>COUNTIF('BugResults'!$D$792:$D$829,"NOT_REVEALING")</x:f>
        <x:v>2</x:v>
      </x:c>
      <x:c r="F253" s="33" t="n">
        <x:f>E253/38</x:f>
        <x:v>0.05263157894736842</x:v>
      </x:c>
    </x:row>
    <x:row r="254" ht="23" customHeight="1">
      <x:c r="B254" s="17" t="str">
        <x:v>Mockito</x:v>
      </x:c>
      <x:c r="C254" s="17" t="str">
        <x:v>Round1</x:v>
      </x:c>
      <x:c r="D254" s="17" t="str">
        <x:v>NOT_AVAILABLE</x:v>
      </x:c>
      <x:c r="E254" s="17" t="n">
        <x:f>COUNTIF('BugResults'!$D$792:$D$829,"NOT_AVAILABLE")</x:f>
        <x:v>27</x:v>
      </x:c>
      <x:c r="F254" s="33" t="n">
        <x:f>E254/38</x:f>
        <x:v>0.7105263157894737</x:v>
      </x:c>
    </x:row>
    <x:row r="255" ht="23" customHeight="1">
      <x:c r="B255" s="17" t="str">
        <x:v>Mockito</x:v>
      </x:c>
      <x:c r="C255" s="17" t="str">
        <x:v>Round1</x:v>
      </x:c>
      <x:c r="D255" s="17" t="str">
        <x:v>INCONCLUSIVE</x:v>
      </x:c>
      <x:c r="E255" s="17" t="n">
        <x:f>COUNTIF('BugResults'!$D$792:$D$829,"INCONCLUSIVE")</x:f>
        <x:v>9</x:v>
      </x:c>
      <x:c r="F255" s="33" t="n">
        <x:f>E255/38</x:f>
        <x:v>0.23684210526315788</x:v>
      </x:c>
    </x:row>
    <x:row r="256" ht="23" customHeight="1">
      <x:c r="B256" s="17" t="str">
        <x:v>Mockito</x:v>
      </x:c>
      <x:c r="C256" s="17" t="str">
        <x:v>Round1</x:v>
      </x:c>
      <x:c r="D256" s="17" t="str">
        <x:v>FAIL</x:v>
      </x:c>
      <x:c r="E256" s="17" t="n">
        <x:f>COUNTIF('BugResults'!$D$792:$D$829,"FAIL")</x:f>
        <x:v>0</x:v>
      </x:c>
      <x:c r="F256" s="33" t="n">
        <x:f>E256/38</x:f>
        <x:v>0</x:v>
      </x:c>
    </x:row>
    <x:row r="257" ht="23" customHeight="1">
      <x:c r="B257" s="17" t="str">
        <x:v>Mockito</x:v>
      </x:c>
      <x:c r="C257" s="17" t="str">
        <x:v>Round2</x:v>
      </x:c>
      <x:c r="D257" s="17" t="str">
        <x:v>REVEALING</x:v>
      </x:c>
      <x:c r="E257" s="17" t="n">
        <x:f>COUNTIF('BugResults'!$D$1646:$D$1683,"REVEALING")</x:f>
        <x:v>1</x:v>
      </x:c>
      <x:c r="F257" s="33" t="n">
        <x:f>E257/38</x:f>
        <x:v>0.02631578947368421</x:v>
      </x:c>
    </x:row>
    <x:row r="258" ht="23" customHeight="1">
      <x:c r="B258" s="17" t="str">
        <x:v>Mockito</x:v>
      </x:c>
      <x:c r="C258" s="17" t="str">
        <x:v>Round2</x:v>
      </x:c>
      <x:c r="D258" s="17" t="str">
        <x:v>NOT_REVEALING</x:v>
      </x:c>
      <x:c r="E258" s="17" t="n">
        <x:f>COUNTIF('BugResults'!$D$1646:$D$1683,"NOT_REVEALING")</x:f>
        <x:v>5</x:v>
      </x:c>
      <x:c r="F258" s="33" t="n">
        <x:f>E258/38</x:f>
        <x:v>0.13157894736842105</x:v>
      </x:c>
    </x:row>
    <x:row r="259" ht="23" customHeight="1">
      <x:c r="B259" s="17" t="str">
        <x:v>Mockito</x:v>
      </x:c>
      <x:c r="C259" s="17" t="str">
        <x:v>Round2</x:v>
      </x:c>
      <x:c r="D259" s="17" t="str">
        <x:v>NOT_AVAILABLE</x:v>
      </x:c>
      <x:c r="E259" s="17" t="n">
        <x:f>COUNTIF('BugResults'!$D$1646:$D$1683,"NOT_AVAILABLE")</x:f>
        <x:v>20</x:v>
      </x:c>
      <x:c r="F259" s="33" t="n">
        <x:f>E259/38</x:f>
        <x:v>0.5263157894736842</x:v>
      </x:c>
    </x:row>
    <x:row r="260" ht="23" customHeight="1">
      <x:c r="B260" s="17" t="str">
        <x:v>Mockito</x:v>
      </x:c>
      <x:c r="C260" s="17" t="str">
        <x:v>Round2</x:v>
      </x:c>
      <x:c r="D260" s="17" t="str">
        <x:v>INCONCLUSIVE</x:v>
      </x:c>
      <x:c r="E260" s="17" t="n">
        <x:f>COUNTIF('BugResults'!$D$1646:$D$1683,"INCONCLUSIVE")</x:f>
        <x:v>12</x:v>
      </x:c>
      <x:c r="F260" s="33" t="n">
        <x:f>E260/38</x:f>
        <x:v>0.3157894736842105</x:v>
      </x:c>
    </x:row>
    <x:row r="261" ht="23" customHeight="1">
      <x:c r="B261" s="17" t="str">
        <x:v>Mockito</x:v>
      </x:c>
      <x:c r="C261" s="17" t="str">
        <x:v>Round2</x:v>
      </x:c>
      <x:c r="D261" s="17" t="str">
        <x:v>FAIL</x:v>
      </x:c>
      <x:c r="E261" s="17" t="n">
        <x:f>COUNTIF('BugResults'!$D$1646:$D$1683,"FAIL")</x:f>
        <x:v>0</x:v>
      </x:c>
      <x:c r="F261" s="33" t="n">
        <x:f>E261/38</x:f>
        <x:v>0</x:v>
      </x:c>
    </x:row>
    <x:row r="262" ht="23" customHeight="1">
      <x:c r="B262" s="17" t="str">
        <x:v>Time</x:v>
      </x:c>
      <x:c r="C262" s="17" t="str">
        <x:v>All rounds</x:v>
      </x:c>
      <x:c r="D262" s="17" t="str">
        <x:v>REVEALING</x:v>
      </x:c>
      <x:c r="E262" s="17" t="n">
        <x:f>COUNTIF('BugResults'!$D$830:$D$855,"REVEALING")+COUNTIF('BugResults'!$D$1684:$D$1709,"REVEALING")</x:f>
        <x:v>0</x:v>
      </x:c>
      <x:c r="F262" s="33" t="n">
        <x:f>E262/52</x:f>
        <x:v>0</x:v>
      </x:c>
    </x:row>
    <x:row r="263" ht="23" customHeight="1">
      <x:c r="B263" s="17" t="str">
        <x:v>Time</x:v>
      </x:c>
      <x:c r="C263" s="17" t="str">
        <x:v>All rounds</x:v>
      </x:c>
      <x:c r="D263" s="17" t="str">
        <x:v>NOT_REVEALING</x:v>
      </x:c>
      <x:c r="E263" s="17" t="n">
        <x:f>COUNTIF('BugResults'!$D$830:$D$855,"NOT_REVEALING")+COUNTIF('BugResults'!$D$1684:$D$1709,"NOT_REVEALING")</x:f>
        <x:v>9</x:v>
      </x:c>
      <x:c r="F263" s="33" t="n">
        <x:f>E263/52</x:f>
        <x:v>0.17307692307692307</x:v>
      </x:c>
    </x:row>
    <x:row r="264" ht="23" customHeight="1">
      <x:c r="B264" s="17" t="str">
        <x:v>Time</x:v>
      </x:c>
      <x:c r="C264" s="17" t="str">
        <x:v>All rounds</x:v>
      </x:c>
      <x:c r="D264" s="17" t="str">
        <x:v>NOT_AVAILABLE</x:v>
      </x:c>
      <x:c r="E264" s="17" t="n">
        <x:f>COUNTIF('BugResults'!$D$830:$D$855,"NOT_AVAILABLE")+COUNTIF('BugResults'!$D$1684:$D$1709,"NOT_AVAILABLE")</x:f>
        <x:v>28</x:v>
      </x:c>
      <x:c r="F264" s="33" t="n">
        <x:f>E264/52</x:f>
        <x:v>0.5384615384615384</x:v>
      </x:c>
    </x:row>
    <x:row r="265" ht="23" customHeight="1">
      <x:c r="B265" s="17" t="str">
        <x:v>Time</x:v>
      </x:c>
      <x:c r="C265" s="17" t="str">
        <x:v>All rounds</x:v>
      </x:c>
      <x:c r="D265" s="17" t="str">
        <x:v>INCONCLUSIVE</x:v>
      </x:c>
      <x:c r="E265" s="17" t="n">
        <x:f>COUNTIF('BugResults'!$D$830:$D$855,"INCONCLUSIVE")+COUNTIF('BugResults'!$D$1684:$D$1709,"INCONCLUSIVE")</x:f>
        <x:v>15</x:v>
      </x:c>
      <x:c r="F265" s="33" t="n">
        <x:f>E265/52</x:f>
        <x:v>0.28846153846153844</x:v>
      </x:c>
    </x:row>
    <x:row r="266" ht="23" customHeight="1">
      <x:c r="B266" s="17" t="str">
        <x:v>Time</x:v>
      </x:c>
      <x:c r="C266" s="17" t="str">
        <x:v>All rounds</x:v>
      </x:c>
      <x:c r="D266" s="17" t="str">
        <x:v>FAIL</x:v>
      </x:c>
      <x:c r="E266" s="17" t="n">
        <x:f>COUNTIF('BugResults'!$D$830:$D$855,"FAIL")+COUNTIF('BugResults'!$D$1684:$D$1709,"FAIL")</x:f>
        <x:v>0</x:v>
      </x:c>
      <x:c r="F266" s="33" t="n">
        <x:f>E266/52</x:f>
        <x:v>0</x:v>
      </x:c>
    </x:row>
    <x:row r="267" ht="23" customHeight="1">
      <x:c r="B267" s="17" t="str">
        <x:v>Time</x:v>
      </x:c>
      <x:c r="C267" s="17" t="str">
        <x:v>Round1</x:v>
      </x:c>
      <x:c r="D267" s="17" t="str">
        <x:v>REVEALING</x:v>
      </x:c>
      <x:c r="E267" s="17" t="n">
        <x:f>COUNTIF('BugResults'!$D$830:$D$855,"REVEALING")</x:f>
        <x:v>0</x:v>
      </x:c>
      <x:c r="F267" s="33" t="n">
        <x:f>E267/26</x:f>
        <x:v>0</x:v>
      </x:c>
    </x:row>
    <x:row r="268" ht="23" customHeight="1">
      <x:c r="B268" s="17" t="str">
        <x:v>Time</x:v>
      </x:c>
      <x:c r="C268" s="17" t="str">
        <x:v>Round1</x:v>
      </x:c>
      <x:c r="D268" s="17" t="str">
        <x:v>NOT_REVEALING</x:v>
      </x:c>
      <x:c r="E268" s="17" t="n">
        <x:f>COUNTIF('BugResults'!$D$830:$D$855,"NOT_REVEALING")</x:f>
        <x:v>3</x:v>
      </x:c>
      <x:c r="F268" s="33" t="n">
        <x:f>E268/26</x:f>
        <x:v>0.11538461538461539</x:v>
      </x:c>
    </x:row>
    <x:row r="269" ht="23" customHeight="1">
      <x:c r="B269" s="17" t="str">
        <x:v>Time</x:v>
      </x:c>
      <x:c r="C269" s="17" t="str">
        <x:v>Round1</x:v>
      </x:c>
      <x:c r="D269" s="17" t="str">
        <x:v>NOT_AVAILABLE</x:v>
      </x:c>
      <x:c r="E269" s="17" t="n">
        <x:f>COUNTIF('BugResults'!$D$830:$D$855,"NOT_AVAILABLE")</x:f>
        <x:v>20</x:v>
      </x:c>
      <x:c r="F269" s="33" t="n">
        <x:f>E269/26</x:f>
        <x:v>0.7692307692307693</x:v>
      </x:c>
    </x:row>
    <x:row r="270" ht="23" customHeight="1">
      <x:c r="B270" s="17" t="str">
        <x:v>Time</x:v>
      </x:c>
      <x:c r="C270" s="17" t="str">
        <x:v>Round1</x:v>
      </x:c>
      <x:c r="D270" s="17" t="str">
        <x:v>INCONCLUSIVE</x:v>
      </x:c>
      <x:c r="E270" s="17" t="n">
        <x:f>COUNTIF('BugResults'!$D$830:$D$855,"INCONCLUSIVE")</x:f>
        <x:v>3</x:v>
      </x:c>
      <x:c r="F270" s="33" t="n">
        <x:f>E270/26</x:f>
        <x:v>0.11538461538461539</x:v>
      </x:c>
    </x:row>
    <x:row r="271" ht="23" customHeight="1">
      <x:c r="B271" s="17" t="str">
        <x:v>Time</x:v>
      </x:c>
      <x:c r="C271" s="17" t="str">
        <x:v>Round1</x:v>
      </x:c>
      <x:c r="D271" s="17" t="str">
        <x:v>FAIL</x:v>
      </x:c>
      <x:c r="E271" s="17" t="n">
        <x:f>COUNTIF('BugResults'!$D$830:$D$855,"FAIL")</x:f>
        <x:v>0</x:v>
      </x:c>
      <x:c r="F271" s="33" t="n">
        <x:f>E271/26</x:f>
        <x:v>0</x:v>
      </x:c>
    </x:row>
    <x:row r="272" ht="23" customHeight="1">
      <x:c r="B272" s="17" t="str">
        <x:v>Time</x:v>
      </x:c>
      <x:c r="C272" s="17" t="str">
        <x:v>Round2</x:v>
      </x:c>
      <x:c r="D272" s="17" t="str">
        <x:v>REVEALING</x:v>
      </x:c>
      <x:c r="E272" s="17" t="n">
        <x:f>COUNTIF('BugResults'!$D$1684:$D$1709,"REVEALING")</x:f>
        <x:v>0</x:v>
      </x:c>
      <x:c r="F272" s="33" t="n">
        <x:f>E272/26</x:f>
        <x:v>0</x:v>
      </x:c>
    </x:row>
    <x:row r="273" ht="23" customHeight="1">
      <x:c r="B273" s="17" t="str">
        <x:v>Time</x:v>
      </x:c>
      <x:c r="C273" s="17" t="str">
        <x:v>Round2</x:v>
      </x:c>
      <x:c r="D273" s="17" t="str">
        <x:v>NOT_REVEALING</x:v>
      </x:c>
      <x:c r="E273" s="17" t="n">
        <x:f>COUNTIF('BugResults'!$D$1684:$D$1709,"NOT_REVEALING")</x:f>
        <x:v>6</x:v>
      </x:c>
      <x:c r="F273" s="33" t="n">
        <x:f>E273/26</x:f>
        <x:v>0.23076923076923078</x:v>
      </x:c>
    </x:row>
    <x:row r="274" ht="23" customHeight="1">
      <x:c r="B274" s="17" t="str">
        <x:v>Time</x:v>
      </x:c>
      <x:c r="C274" s="17" t="str">
        <x:v>Round2</x:v>
      </x:c>
      <x:c r="D274" s="17" t="str">
        <x:v>NOT_AVAILABLE</x:v>
      </x:c>
      <x:c r="E274" s="17" t="n">
        <x:f>COUNTIF('BugResults'!$D$1684:$D$1709,"NOT_AVAILABLE")</x:f>
        <x:v>8</x:v>
      </x:c>
      <x:c r="F274" s="33" t="n">
        <x:f>E274/26</x:f>
        <x:v>0.3076923076923077</x:v>
      </x:c>
    </x:row>
    <x:row r="275" ht="23" customHeight="1">
      <x:c r="B275" s="17" t="str">
        <x:v>Time</x:v>
      </x:c>
      <x:c r="C275" s="17" t="str">
        <x:v>Round2</x:v>
      </x:c>
      <x:c r="D275" s="17" t="str">
        <x:v>INCONCLUSIVE</x:v>
      </x:c>
      <x:c r="E275" s="17" t="n">
        <x:f>COUNTIF('BugResults'!$D$1684:$D$1709,"INCONCLUSIVE")</x:f>
        <x:v>12</x:v>
      </x:c>
      <x:c r="F275" s="33" t="n">
        <x:f>E275/26</x:f>
        <x:v>0.46153846153846156</x:v>
      </x:c>
    </x:row>
    <x:row r="276" ht="23" customHeight="1">
      <x:c r="B276" s="17" t="str">
        <x:v>Time</x:v>
      </x:c>
      <x:c r="C276" s="17" t="str">
        <x:v>Round2</x:v>
      </x:c>
      <x:c r="D276" s="17" t="str">
        <x:v>FAIL</x:v>
      </x:c>
      <x:c r="E276" s="17" t="n">
        <x:f>COUNTIF('BugResults'!$D$1684:$D$1709,"FAIL")</x:f>
        <x:v>0</x:v>
      </x:c>
      <x:c r="F276" s="33" t="n">
        <x:f>E276/26</x:f>
        <x:v>0</x:v>
      </x:c>
    </x:row>
  </x:sheetData>
  <x:mergeCells>
    <x:mergeCell ref="B3:I3"/>
    <x:mergeCell ref="B4:I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2">
      <x:c r="B2" t="str">
        <x:v>Five-status reconciliation</x:v>
      </x:c>
    </x:row>
    <x:row r="6" ht="42" customHeight="1">
      <x:c r="B6" s="20" t="str">
        <x:v>Project</x:v>
      </x:c>
      <x:c r="C6" s="20" t="str">
        <x:v>Round</x:v>
      </x:c>
      <x:c r="D6" s="20" t="str">
        <x:v>Resource cases</x:v>
      </x:c>
      <x:c r="E6" s="20" t="str">
        <x:v>Bug rows</x:v>
      </x:c>
      <x:c r="F6" s="20" t="str">
        <x:v>Status sum</x:v>
      </x:c>
      <x:c r="G6" s="20" t="str">
        <x:v>Difference</x:v>
      </x:c>
      <x:c r="H6" s="20" t="str">
        <x:v>Partial</x:v>
      </x:c>
      <x:c r="I6" s="20" t="str">
        <x:v>Class evidence missing</x:v>
      </x:c>
    </x:row>
    <x:row r="7" ht="23" customHeight="1">
      <x:c r="B7" s="17" t="str">
        <x:v>All projects</x:v>
      </x:c>
      <x:c r="C7" s="17" t="str">
        <x:v>All rounds</x:v>
      </x:c>
      <x:c r="D7" s="17" t="n">
        <x:v>1708</x:v>
      </x:c>
      <x:c r="E7" s="17" t="n">
        <x:f>COUNTA('BugResults'!$A$2:$A$1709)</x:f>
        <x:v>1708</x:v>
      </x:c>
      <x:c r="F7" s="17" t="n">
        <x:f>SUM('Verdicts'!E7:E11)</x:f>
        <x:v>1708</x:v>
      </x:c>
      <x:c r="G7" s="17" t="n">
        <x:f>F7-D7</x:f>
        <x:v>0</x:v>
      </x:c>
      <x:c r="H7" s="17" t="str">
        <x:f>"N/A"</x:f>
        <x:v>N/A</x:v>
      </x:c>
      <x:c r="I7" s="17" t="str">
        <x:f>"N/A"</x:f>
        <x:v>N/A</x:v>
      </x:c>
    </x:row>
    <x:row r="8" ht="23" customHeight="1">
      <x:c r="B8" s="17" t="str">
        <x:v>All projects</x:v>
      </x:c>
      <x:c r="C8" s="17" t="str">
        <x:v>Round1</x:v>
      </x:c>
      <x:c r="D8" s="17" t="n">
        <x:v>854</x:v>
      </x:c>
      <x:c r="E8" s="17" t="n">
        <x:f>COUNTA('BugResults'!$A$2:$A$855)</x:f>
        <x:v>854</x:v>
      </x:c>
      <x:c r="F8" s="17" t="n">
        <x:f>SUM('Verdicts'!E12:E16)</x:f>
        <x:v>854</x:v>
      </x:c>
      <x:c r="G8" s="17" t="n">
        <x:f>F8-D8</x:f>
        <x:v>0</x:v>
      </x:c>
      <x:c r="H8" s="17" t="str">
        <x:f>"N/A"</x:f>
        <x:v>N/A</x:v>
      </x:c>
      <x:c r="I8" s="17" t="str">
        <x:f>"N/A"</x:f>
        <x:v>N/A</x:v>
      </x:c>
    </x:row>
    <x:row r="9" ht="23" customHeight="1">
      <x:c r="B9" s="17" t="str">
        <x:v>All projects</x:v>
      </x:c>
      <x:c r="C9" s="17" t="str">
        <x:v>Round2</x:v>
      </x:c>
      <x:c r="D9" s="17" t="n">
        <x:v>854</x:v>
      </x:c>
      <x:c r="E9" s="17" t="n">
        <x:f>COUNTA('BugResults'!$A$856:$A$1709)</x:f>
        <x:v>854</x:v>
      </x:c>
      <x:c r="F9" s="17" t="n">
        <x:f>SUM('Verdicts'!E17:E21)</x:f>
        <x:v>854</x:v>
      </x:c>
      <x:c r="G9" s="17" t="n">
        <x:f>F9-D9</x:f>
        <x:v>0</x:v>
      </x:c>
      <x:c r="H9" s="17" t="str">
        <x:f>"N/A"</x:f>
        <x:v>N/A</x:v>
      </x:c>
      <x:c r="I9" s="17" t="str">
        <x:f>"N/A"</x:f>
        <x:v>N/A</x:v>
      </x:c>
    </x:row>
    <x:row r="10" ht="23" customHeight="1">
      <x:c r="B10" s="17" t="str">
        <x:v>Chart</x:v>
      </x:c>
      <x:c r="C10" s="17" t="str">
        <x:v>All rounds</x:v>
      </x:c>
      <x:c r="D10" s="17" t="n">
        <x:v>52</x:v>
      </x:c>
      <x:c r="E10" s="17" t="n">
        <x:f>COUNTA('BugResults'!$A$2:$A$27)+COUNTA('BugResults'!$A$856:$A$881)</x:f>
        <x:v>52</x:v>
      </x:c>
      <x:c r="F10" s="17" t="n">
        <x:f>SUM('Verdicts'!E22:E26)</x:f>
        <x:v>52</x:v>
      </x:c>
      <x:c r="G10" s="17" t="n">
        <x:f>F10-D10</x:f>
        <x:v>0</x:v>
      </x:c>
      <x:c r="H10" s="17" t="str">
        <x:f>"N/A"</x:f>
        <x:v>N/A</x:v>
      </x:c>
      <x:c r="I10" s="17" t="str">
        <x:f>"N/A"</x:f>
        <x:v>N/A</x:v>
      </x:c>
    </x:row>
    <x:row r="11" ht="23" customHeight="1">
      <x:c r="B11" s="17" t="str">
        <x:v>Chart</x:v>
      </x:c>
      <x:c r="C11" s="17" t="str">
        <x:v>Round1</x:v>
      </x:c>
      <x:c r="D11" s="17" t="n">
        <x:v>26</x:v>
      </x:c>
      <x:c r="E11" s="17" t="n">
        <x:f>COUNTA('BugResults'!$A$2:$A$27)</x:f>
        <x:v>26</x:v>
      </x:c>
      <x:c r="F11" s="17" t="n">
        <x:f>SUM('Verdicts'!E27:E31)</x:f>
        <x:v>26</x:v>
      </x:c>
      <x:c r="G11" s="17" t="n">
        <x:f>F11-D11</x:f>
        <x:v>0</x:v>
      </x:c>
      <x:c r="H11" s="17" t="str">
        <x:f>"N/A"</x:f>
        <x:v>N/A</x:v>
      </x:c>
      <x:c r="I11" s="17" t="str">
        <x:f>"N/A"</x:f>
        <x:v>N/A</x:v>
      </x:c>
    </x:row>
    <x:row r="12" ht="23" customHeight="1">
      <x:c r="B12" s="17" t="str">
        <x:v>Chart</x:v>
      </x:c>
      <x:c r="C12" s="17" t="str">
        <x:v>Round2</x:v>
      </x:c>
      <x:c r="D12" s="17" t="n">
        <x:v>26</x:v>
      </x:c>
      <x:c r="E12" s="17" t="n">
        <x:f>COUNTA('BugResults'!$A$856:$A$881)</x:f>
        <x:v>26</x:v>
      </x:c>
      <x:c r="F12" s="17" t="n">
        <x:f>SUM('Verdicts'!E32:E36)</x:f>
        <x:v>26</x:v>
      </x:c>
      <x:c r="G12" s="17" t="n">
        <x:f>F12-D12</x:f>
        <x:v>0</x:v>
      </x:c>
      <x:c r="H12" s="17" t="str">
        <x:f>"N/A"</x:f>
        <x:v>N/A</x:v>
      </x:c>
      <x:c r="I12" s="17" t="str">
        <x:f>"N/A"</x:f>
        <x:v>N/A</x:v>
      </x:c>
    </x:row>
    <x:row r="13" ht="23" customHeight="1">
      <x:c r="B13" s="17" t="str">
        <x:v>Cli</x:v>
      </x:c>
      <x:c r="C13" s="17" t="str">
        <x:v>All rounds</x:v>
      </x:c>
      <x:c r="D13" s="17" t="n">
        <x:v>78</x:v>
      </x:c>
      <x:c r="E13" s="17" t="n">
        <x:f>COUNTA('BugResults'!$A$28:$A$66)+COUNTA('BugResults'!$A$882:$A$920)</x:f>
        <x:v>78</x:v>
      </x:c>
      <x:c r="F13" s="17" t="n">
        <x:f>SUM('Verdicts'!E37:E41)</x:f>
        <x:v>78</x:v>
      </x:c>
      <x:c r="G13" s="17" t="n">
        <x:f>F13-D13</x:f>
        <x:v>0</x:v>
      </x:c>
      <x:c r="H13" s="17" t="str">
        <x:f>"N/A"</x:f>
        <x:v>N/A</x:v>
      </x:c>
      <x:c r="I13" s="17" t="str">
        <x:f>"N/A"</x:f>
        <x:v>N/A</x:v>
      </x:c>
    </x:row>
    <x:row r="14" ht="23" customHeight="1">
      <x:c r="B14" s="17" t="str">
        <x:v>Cli</x:v>
      </x:c>
      <x:c r="C14" s="17" t="str">
        <x:v>Round1</x:v>
      </x:c>
      <x:c r="D14" s="17" t="n">
        <x:v>39</x:v>
      </x:c>
      <x:c r="E14" s="17" t="n">
        <x:f>COUNTA('BugResults'!$A$28:$A$66)</x:f>
        <x:v>39</x:v>
      </x:c>
      <x:c r="F14" s="17" t="n">
        <x:f>SUM('Verdicts'!E42:E46)</x:f>
        <x:v>39</x:v>
      </x:c>
      <x:c r="G14" s="17" t="n">
        <x:f>F14-D14</x:f>
        <x:v>0</x:v>
      </x:c>
      <x:c r="H14" s="17" t="str">
        <x:f>"N/A"</x:f>
        <x:v>N/A</x:v>
      </x:c>
      <x:c r="I14" s="17" t="str">
        <x:f>"N/A"</x:f>
        <x:v>N/A</x:v>
      </x:c>
    </x:row>
    <x:row r="15" ht="23" customHeight="1">
      <x:c r="B15" s="17" t="str">
        <x:v>Cli</x:v>
      </x:c>
      <x:c r="C15" s="17" t="str">
        <x:v>Round2</x:v>
      </x:c>
      <x:c r="D15" s="17" t="n">
        <x:v>39</x:v>
      </x:c>
      <x:c r="E15" s="17" t="n">
        <x:f>COUNTA('BugResults'!$A$882:$A$920)</x:f>
        <x:v>39</x:v>
      </x:c>
      <x:c r="F15" s="17" t="n">
        <x:f>SUM('Verdicts'!E47:E51)</x:f>
        <x:v>39</x:v>
      </x:c>
      <x:c r="G15" s="17" t="n">
        <x:f>F15-D15</x:f>
        <x:v>0</x:v>
      </x:c>
      <x:c r="H15" s="17" t="str">
        <x:f>"N/A"</x:f>
        <x:v>N/A</x:v>
      </x:c>
      <x:c r="I15" s="17" t="str">
        <x:f>"N/A"</x:f>
        <x:v>N/A</x:v>
      </x:c>
    </x:row>
    <x:row r="16" ht="23" customHeight="1">
      <x:c r="B16" s="17" t="str">
        <x:v>Closure</x:v>
      </x:c>
      <x:c r="C16" s="17" t="str">
        <x:v>All rounds</x:v>
      </x:c>
      <x:c r="D16" s="17" t="n">
        <x:v>348</x:v>
      </x:c>
      <x:c r="E16" s="17" t="n">
        <x:f>COUNTA('BugResults'!$A$67:$A$240)+COUNTA('BugResults'!$A$921:$A$1094)</x:f>
        <x:v>348</x:v>
      </x:c>
      <x:c r="F16" s="17" t="n">
        <x:f>SUM('Verdicts'!E52:E56)</x:f>
        <x:v>348</x:v>
      </x:c>
      <x:c r="G16" s="17" t="n">
        <x:f>F16-D16</x:f>
        <x:v>0</x:v>
      </x:c>
      <x:c r="H16" s="17" t="str">
        <x:f>"N/A"</x:f>
        <x:v>N/A</x:v>
      </x:c>
      <x:c r="I16" s="17" t="str">
        <x:f>"N/A"</x:f>
        <x:v>N/A</x:v>
      </x:c>
    </x:row>
    <x:row r="17" ht="23" customHeight="1">
      <x:c r="B17" s="17" t="str">
        <x:v>Closure</x:v>
      </x:c>
      <x:c r="C17" s="17" t="str">
        <x:v>Round1</x:v>
      </x:c>
      <x:c r="D17" s="17" t="n">
        <x:v>174</x:v>
      </x:c>
      <x:c r="E17" s="17" t="n">
        <x:f>COUNTA('BugResults'!$A$67:$A$240)</x:f>
        <x:v>174</x:v>
      </x:c>
      <x:c r="F17" s="17" t="n">
        <x:f>SUM('Verdicts'!E57:E61)</x:f>
        <x:v>174</x:v>
      </x:c>
      <x:c r="G17" s="17" t="n">
        <x:f>F17-D17</x:f>
        <x:v>0</x:v>
      </x:c>
      <x:c r="H17" s="17" t="str">
        <x:f>"N/A"</x:f>
        <x:v>N/A</x:v>
      </x:c>
      <x:c r="I17" s="17" t="str">
        <x:f>"N/A"</x:f>
        <x:v>N/A</x:v>
      </x:c>
    </x:row>
    <x:row r="18" ht="23" customHeight="1">
      <x:c r="B18" s="17" t="str">
        <x:v>Closure</x:v>
      </x:c>
      <x:c r="C18" s="17" t="str">
        <x:v>Round2</x:v>
      </x:c>
      <x:c r="D18" s="17" t="n">
        <x:v>174</x:v>
      </x:c>
      <x:c r="E18" s="17" t="n">
        <x:f>COUNTA('BugResults'!$A$921:$A$1094)</x:f>
        <x:v>174</x:v>
      </x:c>
      <x:c r="F18" s="17" t="n">
        <x:f>SUM('Verdicts'!E62:E66)</x:f>
        <x:v>174</x:v>
      </x:c>
      <x:c r="G18" s="17" t="n">
        <x:f>F18-D18</x:f>
        <x:v>0</x:v>
      </x:c>
      <x:c r="H18" s="17" t="str">
        <x:f>"N/A"</x:f>
        <x:v>N/A</x:v>
      </x:c>
      <x:c r="I18" s="17" t="str">
        <x:f>"N/A"</x:f>
        <x:v>N/A</x:v>
      </x:c>
    </x:row>
    <x:row r="19" ht="23" customHeight="1">
      <x:c r="B19" s="17" t="str">
        <x:v>Codec</x:v>
      </x:c>
      <x:c r="C19" s="17" t="str">
        <x:v>All rounds</x:v>
      </x:c>
      <x:c r="D19" s="17" t="n">
        <x:v>36</x:v>
      </x:c>
      <x:c r="E19" s="17" t="n">
        <x:f>COUNTA('BugResults'!$A$241:$A$258)+COUNTA('BugResults'!$A$1095:$A$1112)</x:f>
        <x:v>36</x:v>
      </x:c>
      <x:c r="F19" s="17" t="n">
        <x:f>SUM('Verdicts'!E67:E71)</x:f>
        <x:v>36</x:v>
      </x:c>
      <x:c r="G19" s="17" t="n">
        <x:f>F19-D19</x:f>
        <x:v>0</x:v>
      </x:c>
      <x:c r="H19" s="17" t="str">
        <x:f>"N/A"</x:f>
        <x:v>N/A</x:v>
      </x:c>
      <x:c r="I19" s="17" t="str">
        <x:f>"N/A"</x:f>
        <x:v>N/A</x:v>
      </x:c>
    </x:row>
    <x:row r="20" ht="23" customHeight="1">
      <x:c r="B20" s="17" t="str">
        <x:v>Codec</x:v>
      </x:c>
      <x:c r="C20" s="17" t="str">
        <x:v>Round1</x:v>
      </x:c>
      <x:c r="D20" s="17" t="n">
        <x:v>18</x:v>
      </x:c>
      <x:c r="E20" s="17" t="n">
        <x:f>COUNTA('BugResults'!$A$241:$A$258)</x:f>
        <x:v>18</x:v>
      </x:c>
      <x:c r="F20" s="17" t="n">
        <x:f>SUM('Verdicts'!E72:E76)</x:f>
        <x:v>18</x:v>
      </x:c>
      <x:c r="G20" s="17" t="n">
        <x:f>F20-D20</x:f>
        <x:v>0</x:v>
      </x:c>
      <x:c r="H20" s="17" t="str">
        <x:f>"N/A"</x:f>
        <x:v>N/A</x:v>
      </x:c>
      <x:c r="I20" s="17" t="str">
        <x:f>"N/A"</x:f>
        <x:v>N/A</x:v>
      </x:c>
    </x:row>
    <x:row r="21" ht="23" customHeight="1">
      <x:c r="B21" s="17" t="str">
        <x:v>Codec</x:v>
      </x:c>
      <x:c r="C21" s="17" t="str">
        <x:v>Round2</x:v>
      </x:c>
      <x:c r="D21" s="17" t="n">
        <x:v>18</x:v>
      </x:c>
      <x:c r="E21" s="17" t="n">
        <x:f>COUNTA('BugResults'!$A$1095:$A$1112)</x:f>
        <x:v>18</x:v>
      </x:c>
      <x:c r="F21" s="17" t="n">
        <x:f>SUM('Verdicts'!E77:E81)</x:f>
        <x:v>18</x:v>
      </x:c>
      <x:c r="G21" s="17" t="n">
        <x:f>F21-D21</x:f>
        <x:v>0</x:v>
      </x:c>
      <x:c r="H21" s="17" t="str">
        <x:f>"N/A"</x:f>
        <x:v>N/A</x:v>
      </x:c>
      <x:c r="I21" s="17" t="str">
        <x:f>"N/A"</x:f>
        <x:v>N/A</x:v>
      </x:c>
    </x:row>
    <x:row r="22" ht="23" customHeight="1">
      <x:c r="B22" s="17" t="str">
        <x:v>Collections</x:v>
      </x:c>
      <x:c r="C22" s="17" t="str">
        <x:v>All rounds</x:v>
      </x:c>
      <x:c r="D22" s="17" t="n">
        <x:v>56</x:v>
      </x:c>
      <x:c r="E22" s="17" t="n">
        <x:f>COUNTA('BugResults'!$A$259:$A$286)+COUNTA('BugResults'!$A$1113:$A$1140)</x:f>
        <x:v>56</x:v>
      </x:c>
      <x:c r="F22" s="17" t="n">
        <x:f>SUM('Verdicts'!E82:E86)</x:f>
        <x:v>56</x:v>
      </x:c>
      <x:c r="G22" s="17" t="n">
        <x:f>F22-D22</x:f>
        <x:v>0</x:v>
      </x:c>
      <x:c r="H22" s="17" t="str">
        <x:f>"N/A"</x:f>
        <x:v>N/A</x:v>
      </x:c>
      <x:c r="I22" s="17" t="str">
        <x:f>"N/A"</x:f>
        <x:v>N/A</x:v>
      </x:c>
    </x:row>
    <x:row r="23" ht="23" customHeight="1">
      <x:c r="B23" s="17" t="str">
        <x:v>Collections</x:v>
      </x:c>
      <x:c r="C23" s="17" t="str">
        <x:v>Round1</x:v>
      </x:c>
      <x:c r="D23" s="17" t="n">
        <x:v>28</x:v>
      </x:c>
      <x:c r="E23" s="17" t="n">
        <x:f>COUNTA('BugResults'!$A$259:$A$286)</x:f>
        <x:v>28</x:v>
      </x:c>
      <x:c r="F23" s="17" t="n">
        <x:f>SUM('Verdicts'!E87:E91)</x:f>
        <x:v>28</x:v>
      </x:c>
      <x:c r="G23" s="17" t="n">
        <x:f>F23-D23</x:f>
        <x:v>0</x:v>
      </x:c>
      <x:c r="H23" s="17" t="str">
        <x:f>"N/A"</x:f>
        <x:v>N/A</x:v>
      </x:c>
      <x:c r="I23" s="17" t="str">
        <x:f>"N/A"</x:f>
        <x:v>N/A</x:v>
      </x:c>
    </x:row>
    <x:row r="24" ht="23" customHeight="1">
      <x:c r="B24" s="17" t="str">
        <x:v>Collections</x:v>
      </x:c>
      <x:c r="C24" s="17" t="str">
        <x:v>Round2</x:v>
      </x:c>
      <x:c r="D24" s="17" t="n">
        <x:v>28</x:v>
      </x:c>
      <x:c r="E24" s="17" t="n">
        <x:f>COUNTA('BugResults'!$A$1113:$A$1140)</x:f>
        <x:v>28</x:v>
      </x:c>
      <x:c r="F24" s="17" t="n">
        <x:f>SUM('Verdicts'!E92:E96)</x:f>
        <x:v>28</x:v>
      </x:c>
      <x:c r="G24" s="17" t="n">
        <x:f>F24-D24</x:f>
        <x:v>0</x:v>
      </x:c>
      <x:c r="H24" s="17" t="str">
        <x:f>"N/A"</x:f>
        <x:v>N/A</x:v>
      </x:c>
      <x:c r="I24" s="17" t="str">
        <x:f>"N/A"</x:f>
        <x:v>N/A</x:v>
      </x:c>
    </x:row>
    <x:row r="25" ht="23" customHeight="1">
      <x:c r="B25" s="17" t="str">
        <x:v>Compress</x:v>
      </x:c>
      <x:c r="C25" s="17" t="str">
        <x:v>All rounds</x:v>
      </x:c>
      <x:c r="D25" s="17" t="n">
        <x:v>94</x:v>
      </x:c>
      <x:c r="E25" s="17" t="n">
        <x:f>COUNTA('BugResults'!$A$287:$A$333)+COUNTA('BugResults'!$A$1141:$A$1187)</x:f>
        <x:v>94</x:v>
      </x:c>
      <x:c r="F25" s="17" t="n">
        <x:f>SUM('Verdicts'!E97:E101)</x:f>
        <x:v>94</x:v>
      </x:c>
      <x:c r="G25" s="17" t="n">
        <x:f>F25-D25</x:f>
        <x:v>0</x:v>
      </x:c>
      <x:c r="H25" s="17" t="str">
        <x:f>"N/A"</x:f>
        <x:v>N/A</x:v>
      </x:c>
      <x:c r="I25" s="17" t="str">
        <x:f>"N/A"</x:f>
        <x:v>N/A</x:v>
      </x:c>
    </x:row>
    <x:row r="26" ht="23" customHeight="1">
      <x:c r="B26" s="17" t="str">
        <x:v>Compress</x:v>
      </x:c>
      <x:c r="C26" s="17" t="str">
        <x:v>Round1</x:v>
      </x:c>
      <x:c r="D26" s="17" t="n">
        <x:v>47</x:v>
      </x:c>
      <x:c r="E26" s="17" t="n">
        <x:f>COUNTA('BugResults'!$A$287:$A$333)</x:f>
        <x:v>47</x:v>
      </x:c>
      <x:c r="F26" s="17" t="n">
        <x:f>SUM('Verdicts'!E102:E106)</x:f>
        <x:v>47</x:v>
      </x:c>
      <x:c r="G26" s="17" t="n">
        <x:f>F26-D26</x:f>
        <x:v>0</x:v>
      </x:c>
      <x:c r="H26" s="17" t="str">
        <x:f>"N/A"</x:f>
        <x:v>N/A</x:v>
      </x:c>
      <x:c r="I26" s="17" t="str">
        <x:f>"N/A"</x:f>
        <x:v>N/A</x:v>
      </x:c>
    </x:row>
    <x:row r="27" ht="23" customHeight="1">
      <x:c r="B27" s="17" t="str">
        <x:v>Compress</x:v>
      </x:c>
      <x:c r="C27" s="17" t="str">
        <x:v>Round2</x:v>
      </x:c>
      <x:c r="D27" s="17" t="n">
        <x:v>47</x:v>
      </x:c>
      <x:c r="E27" s="17" t="n">
        <x:f>COUNTA('BugResults'!$A$1141:$A$1187)</x:f>
        <x:v>47</x:v>
      </x:c>
      <x:c r="F27" s="17" t="n">
        <x:f>SUM('Verdicts'!E107:E111)</x:f>
        <x:v>47</x:v>
      </x:c>
      <x:c r="G27" s="17" t="n">
        <x:f>F27-D27</x:f>
        <x:v>0</x:v>
      </x:c>
      <x:c r="H27" s="17" t="str">
        <x:f>"N/A"</x:f>
        <x:v>N/A</x:v>
      </x:c>
      <x:c r="I27" s="17" t="str">
        <x:f>"N/A"</x:f>
        <x:v>N/A</x:v>
      </x:c>
    </x:row>
    <x:row r="28" ht="23" customHeight="1">
      <x:c r="B28" s="17" t="str">
        <x:v>Csv</x:v>
      </x:c>
      <x:c r="C28" s="17" t="str">
        <x:v>All rounds</x:v>
      </x:c>
      <x:c r="D28" s="17" t="n">
        <x:v>32</x:v>
      </x:c>
      <x:c r="E28" s="17" t="n">
        <x:f>COUNTA('BugResults'!$A$334:$A$349)+COUNTA('BugResults'!$A$1188:$A$1203)</x:f>
        <x:v>32</x:v>
      </x:c>
      <x:c r="F28" s="17" t="n">
        <x:f>SUM('Verdicts'!E112:E116)</x:f>
        <x:v>32</x:v>
      </x:c>
      <x:c r="G28" s="17" t="n">
        <x:f>F28-D28</x:f>
        <x:v>0</x:v>
      </x:c>
      <x:c r="H28" s="17" t="str">
        <x:f>"N/A"</x:f>
        <x:v>N/A</x:v>
      </x:c>
      <x:c r="I28" s="17" t="str">
        <x:f>"N/A"</x:f>
        <x:v>N/A</x:v>
      </x:c>
    </x:row>
    <x:row r="29" ht="23" customHeight="1">
      <x:c r="B29" s="17" t="str">
        <x:v>Csv</x:v>
      </x:c>
      <x:c r="C29" s="17" t="str">
        <x:v>Round1</x:v>
      </x:c>
      <x:c r="D29" s="17" t="n">
        <x:v>16</x:v>
      </x:c>
      <x:c r="E29" s="17" t="n">
        <x:f>COUNTA('BugResults'!$A$334:$A$349)</x:f>
        <x:v>16</x:v>
      </x:c>
      <x:c r="F29" s="17" t="n">
        <x:f>SUM('Verdicts'!E117:E121)</x:f>
        <x:v>16</x:v>
      </x:c>
      <x:c r="G29" s="17" t="n">
        <x:f>F29-D29</x:f>
        <x:v>0</x:v>
      </x:c>
      <x:c r="H29" s="17" t="str">
        <x:f>"N/A"</x:f>
        <x:v>N/A</x:v>
      </x:c>
      <x:c r="I29" s="17" t="str">
        <x:f>"N/A"</x:f>
        <x:v>N/A</x:v>
      </x:c>
    </x:row>
    <x:row r="30" ht="23" customHeight="1">
      <x:c r="B30" s="17" t="str">
        <x:v>Csv</x:v>
      </x:c>
      <x:c r="C30" s="17" t="str">
        <x:v>Round2</x:v>
      </x:c>
      <x:c r="D30" s="17" t="n">
        <x:v>16</x:v>
      </x:c>
      <x:c r="E30" s="17" t="n">
        <x:f>COUNTA('BugResults'!$A$1188:$A$1203)</x:f>
        <x:v>16</x:v>
      </x:c>
      <x:c r="F30" s="17" t="n">
        <x:f>SUM('Verdicts'!E122:E126)</x:f>
        <x:v>16</x:v>
      </x:c>
      <x:c r="G30" s="17" t="n">
        <x:f>F30-D30</x:f>
        <x:v>0</x:v>
      </x:c>
      <x:c r="H30" s="17" t="str">
        <x:f>"N/A"</x:f>
        <x:v>N/A</x:v>
      </x:c>
      <x:c r="I30" s="17" t="str">
        <x:f>"N/A"</x:f>
        <x:v>N/A</x:v>
      </x:c>
    </x:row>
    <x:row r="31" ht="23" customHeight="1">
      <x:c r="B31" s="17" t="str">
        <x:v>Gson</x:v>
      </x:c>
      <x:c r="C31" s="17" t="str">
        <x:v>All rounds</x:v>
      </x:c>
      <x:c r="D31" s="17" t="n">
        <x:v>36</x:v>
      </x:c>
      <x:c r="E31" s="17" t="n">
        <x:f>COUNTA('BugResults'!$A$350:$A$367)+COUNTA('BugResults'!$A$1204:$A$1221)</x:f>
        <x:v>36</x:v>
      </x:c>
      <x:c r="F31" s="17" t="n">
        <x:f>SUM('Verdicts'!E127:E131)</x:f>
        <x:v>36</x:v>
      </x:c>
      <x:c r="G31" s="17" t="n">
        <x:f>F31-D31</x:f>
        <x:v>0</x:v>
      </x:c>
      <x:c r="H31" s="17" t="str">
        <x:f>"N/A"</x:f>
        <x:v>N/A</x:v>
      </x:c>
      <x:c r="I31" s="17" t="str">
        <x:f>"N/A"</x:f>
        <x:v>N/A</x:v>
      </x:c>
    </x:row>
    <x:row r="32" ht="23" customHeight="1">
      <x:c r="B32" s="17" t="str">
        <x:v>Gson</x:v>
      </x:c>
      <x:c r="C32" s="17" t="str">
        <x:v>Round1</x:v>
      </x:c>
      <x:c r="D32" s="17" t="n">
        <x:v>18</x:v>
      </x:c>
      <x:c r="E32" s="17" t="n">
        <x:f>COUNTA('BugResults'!$A$350:$A$367)</x:f>
        <x:v>18</x:v>
      </x:c>
      <x:c r="F32" s="17" t="n">
        <x:f>SUM('Verdicts'!E132:E136)</x:f>
        <x:v>18</x:v>
      </x:c>
      <x:c r="G32" s="17" t="n">
        <x:f>F32-D32</x:f>
        <x:v>0</x:v>
      </x:c>
      <x:c r="H32" s="17" t="str">
        <x:f>"N/A"</x:f>
        <x:v>N/A</x:v>
      </x:c>
      <x:c r="I32" s="17" t="str">
        <x:f>"N/A"</x:f>
        <x:v>N/A</x:v>
      </x:c>
    </x:row>
    <x:row r="33" ht="23" customHeight="1">
      <x:c r="B33" s="17" t="str">
        <x:v>Gson</x:v>
      </x:c>
      <x:c r="C33" s="17" t="str">
        <x:v>Round2</x:v>
      </x:c>
      <x:c r="D33" s="17" t="n">
        <x:v>18</x:v>
      </x:c>
      <x:c r="E33" s="17" t="n">
        <x:f>COUNTA('BugResults'!$A$1204:$A$1221)</x:f>
        <x:v>18</x:v>
      </x:c>
      <x:c r="F33" s="17" t="n">
        <x:f>SUM('Verdicts'!E137:E141)</x:f>
        <x:v>18</x:v>
      </x:c>
      <x:c r="G33" s="17" t="n">
        <x:f>F33-D33</x:f>
        <x:v>0</x:v>
      </x:c>
      <x:c r="H33" s="17" t="str">
        <x:f>"N/A"</x:f>
        <x:v>N/A</x:v>
      </x:c>
      <x:c r="I33" s="17" t="str">
        <x:f>"N/A"</x:f>
        <x:v>N/A</x:v>
      </x:c>
    </x:row>
    <x:row r="34" ht="23" customHeight="1">
      <x:c r="B34" s="17" t="str">
        <x:v>JacksonCore</x:v>
      </x:c>
      <x:c r="C34" s="17" t="str">
        <x:v>All rounds</x:v>
      </x:c>
      <x:c r="D34" s="17" t="n">
        <x:v>52</x:v>
      </x:c>
      <x:c r="E34" s="17" t="n">
        <x:f>COUNTA('BugResults'!$A$368:$A$393)+COUNTA('BugResults'!$A$1222:$A$1247)</x:f>
        <x:v>52</x:v>
      </x:c>
      <x:c r="F34" s="17" t="n">
        <x:f>SUM('Verdicts'!E142:E146)</x:f>
        <x:v>52</x:v>
      </x:c>
      <x:c r="G34" s="17" t="n">
        <x:f>F34-D34</x:f>
        <x:v>0</x:v>
      </x:c>
      <x:c r="H34" s="17" t="str">
        <x:f>"N/A"</x:f>
        <x:v>N/A</x:v>
      </x:c>
      <x:c r="I34" s="17" t="str">
        <x:f>"N/A"</x:f>
        <x:v>N/A</x:v>
      </x:c>
    </x:row>
    <x:row r="35" ht="23" customHeight="1">
      <x:c r="B35" s="17" t="str">
        <x:v>JacksonCore</x:v>
      </x:c>
      <x:c r="C35" s="17" t="str">
        <x:v>Round1</x:v>
      </x:c>
      <x:c r="D35" s="17" t="n">
        <x:v>26</x:v>
      </x:c>
      <x:c r="E35" s="17" t="n">
        <x:f>COUNTA('BugResults'!$A$368:$A$393)</x:f>
        <x:v>26</x:v>
      </x:c>
      <x:c r="F35" s="17" t="n">
        <x:f>SUM('Verdicts'!E147:E151)</x:f>
        <x:v>26</x:v>
      </x:c>
      <x:c r="G35" s="17" t="n">
        <x:f>F35-D35</x:f>
        <x:v>0</x:v>
      </x:c>
      <x:c r="H35" s="17" t="str">
        <x:f>"N/A"</x:f>
        <x:v>N/A</x:v>
      </x:c>
      <x:c r="I35" s="17" t="str">
        <x:f>"N/A"</x:f>
        <x:v>N/A</x:v>
      </x:c>
    </x:row>
    <x:row r="36" ht="23" customHeight="1">
      <x:c r="B36" s="17" t="str">
        <x:v>JacksonCore</x:v>
      </x:c>
      <x:c r="C36" s="17" t="str">
        <x:v>Round2</x:v>
      </x:c>
      <x:c r="D36" s="17" t="n">
        <x:v>26</x:v>
      </x:c>
      <x:c r="E36" s="17" t="n">
        <x:f>COUNTA('BugResults'!$A$1222:$A$1247)</x:f>
        <x:v>26</x:v>
      </x:c>
      <x:c r="F36" s="17" t="n">
        <x:f>SUM('Verdicts'!E152:E156)</x:f>
        <x:v>26</x:v>
      </x:c>
      <x:c r="G36" s="17" t="n">
        <x:f>F36-D36</x:f>
        <x:v>0</x:v>
      </x:c>
      <x:c r="H36" s="17" t="str">
        <x:f>"N/A"</x:f>
        <x:v>N/A</x:v>
      </x:c>
      <x:c r="I36" s="17" t="str">
        <x:f>"N/A"</x:f>
        <x:v>N/A</x:v>
      </x:c>
    </x:row>
    <x:row r="37" ht="23" customHeight="1">
      <x:c r="B37" s="17" t="str">
        <x:v>JacksonDatabind</x:v>
      </x:c>
      <x:c r="C37" s="17" t="str">
        <x:v>All rounds</x:v>
      </x:c>
      <x:c r="D37" s="17" t="n">
        <x:v>220</x:v>
      </x:c>
      <x:c r="E37" s="17" t="n">
        <x:f>COUNTA('BugResults'!$A$394:$A$503)+COUNTA('BugResults'!$A$1248:$A$1357)</x:f>
        <x:v>220</x:v>
      </x:c>
      <x:c r="F37" s="17" t="n">
        <x:f>SUM('Verdicts'!E157:E161)</x:f>
        <x:v>220</x:v>
      </x:c>
      <x:c r="G37" s="17" t="n">
        <x:f>F37-D37</x:f>
        <x:v>0</x:v>
      </x:c>
      <x:c r="H37" s="17" t="str">
        <x:f>"N/A"</x:f>
        <x:v>N/A</x:v>
      </x:c>
      <x:c r="I37" s="17" t="str">
        <x:f>"N/A"</x:f>
        <x:v>N/A</x:v>
      </x:c>
    </x:row>
    <x:row r="38" ht="23" customHeight="1">
      <x:c r="B38" s="17" t="str">
        <x:v>JacksonDatabind</x:v>
      </x:c>
      <x:c r="C38" s="17" t="str">
        <x:v>Round1</x:v>
      </x:c>
      <x:c r="D38" s="17" t="n">
        <x:v>110</x:v>
      </x:c>
      <x:c r="E38" s="17" t="n">
        <x:f>COUNTA('BugResults'!$A$394:$A$503)</x:f>
        <x:v>110</x:v>
      </x:c>
      <x:c r="F38" s="17" t="n">
        <x:f>SUM('Verdicts'!E162:E166)</x:f>
        <x:v>110</x:v>
      </x:c>
      <x:c r="G38" s="17" t="n">
        <x:f>F38-D38</x:f>
        <x:v>0</x:v>
      </x:c>
      <x:c r="H38" s="17" t="str">
        <x:f>"N/A"</x:f>
        <x:v>N/A</x:v>
      </x:c>
      <x:c r="I38" s="17" t="str">
        <x:f>"N/A"</x:f>
        <x:v>N/A</x:v>
      </x:c>
    </x:row>
    <x:row r="39" ht="23" customHeight="1">
      <x:c r="B39" s="17" t="str">
        <x:v>JacksonDatabind</x:v>
      </x:c>
      <x:c r="C39" s="17" t="str">
        <x:v>Round2</x:v>
      </x:c>
      <x:c r="D39" s="17" t="n">
        <x:v>110</x:v>
      </x:c>
      <x:c r="E39" s="17" t="n">
        <x:f>COUNTA('BugResults'!$A$1248:$A$1357)</x:f>
        <x:v>110</x:v>
      </x:c>
      <x:c r="F39" s="17" t="n">
        <x:f>SUM('Verdicts'!E167:E171)</x:f>
        <x:v>110</x:v>
      </x:c>
      <x:c r="G39" s="17" t="n">
        <x:f>F39-D39</x:f>
        <x:v>0</x:v>
      </x:c>
      <x:c r="H39" s="17" t="str">
        <x:f>"N/A"</x:f>
        <x:v>N/A</x:v>
      </x:c>
      <x:c r="I39" s="17" t="str">
        <x:f>"N/A"</x:f>
        <x:v>N/A</x:v>
      </x:c>
    </x:row>
    <x:row r="40" ht="23" customHeight="1">
      <x:c r="B40" s="17" t="str">
        <x:v>JacksonXml</x:v>
      </x:c>
      <x:c r="C40" s="17" t="str">
        <x:v>All rounds</x:v>
      </x:c>
      <x:c r="D40" s="17" t="n">
        <x:v>12</x:v>
      </x:c>
      <x:c r="E40" s="17" t="n">
        <x:f>COUNTA('BugResults'!$A$504:$A$509)+COUNTA('BugResults'!$A$1358:$A$1363)</x:f>
        <x:v>12</x:v>
      </x:c>
      <x:c r="F40" s="17" t="n">
        <x:f>SUM('Verdicts'!E172:E176)</x:f>
        <x:v>12</x:v>
      </x:c>
      <x:c r="G40" s="17" t="n">
        <x:f>F40-D40</x:f>
        <x:v>0</x:v>
      </x:c>
      <x:c r="H40" s="17" t="str">
        <x:f>"N/A"</x:f>
        <x:v>N/A</x:v>
      </x:c>
      <x:c r="I40" s="17" t="str">
        <x:f>"N/A"</x:f>
        <x:v>N/A</x:v>
      </x:c>
    </x:row>
    <x:row r="41" ht="23" customHeight="1">
      <x:c r="B41" s="17" t="str">
        <x:v>JacksonXml</x:v>
      </x:c>
      <x:c r="C41" s="17" t="str">
        <x:v>Round1</x:v>
      </x:c>
      <x:c r="D41" s="17" t="n">
        <x:v>6</x:v>
      </x:c>
      <x:c r="E41" s="17" t="n">
        <x:f>COUNTA('BugResults'!$A$504:$A$509)</x:f>
        <x:v>6</x:v>
      </x:c>
      <x:c r="F41" s="17" t="n">
        <x:f>SUM('Verdicts'!E177:E181)</x:f>
        <x:v>6</x:v>
      </x:c>
      <x:c r="G41" s="17" t="n">
        <x:f>F41-D41</x:f>
        <x:v>0</x:v>
      </x:c>
      <x:c r="H41" s="17" t="str">
        <x:f>"N/A"</x:f>
        <x:v>N/A</x:v>
      </x:c>
      <x:c r="I41" s="17" t="str">
        <x:f>"N/A"</x:f>
        <x:v>N/A</x:v>
      </x:c>
    </x:row>
    <x:row r="42" ht="23" customHeight="1">
      <x:c r="B42" s="17" t="str">
        <x:v>JacksonXml</x:v>
      </x:c>
      <x:c r="C42" s="17" t="str">
        <x:v>Round2</x:v>
      </x:c>
      <x:c r="D42" s="17" t="n">
        <x:v>6</x:v>
      </x:c>
      <x:c r="E42" s="17" t="n">
        <x:f>COUNTA('BugResults'!$A$1358:$A$1363)</x:f>
        <x:v>6</x:v>
      </x:c>
      <x:c r="F42" s="17" t="n">
        <x:f>SUM('Verdicts'!E182:E186)</x:f>
        <x:v>6</x:v>
      </x:c>
      <x:c r="G42" s="17" t="n">
        <x:f>F42-D42</x:f>
        <x:v>0</x:v>
      </x:c>
      <x:c r="H42" s="17" t="str">
        <x:f>"N/A"</x:f>
        <x:v>N/A</x:v>
      </x:c>
      <x:c r="I42" s="17" t="str">
        <x:f>"N/A"</x:f>
        <x:v>N/A</x:v>
      </x:c>
    </x:row>
    <x:row r="43" ht="23" customHeight="1">
      <x:c r="B43" s="17" t="str">
        <x:v>Jsoup</x:v>
      </x:c>
      <x:c r="C43" s="17" t="str">
        <x:v>All rounds</x:v>
      </x:c>
      <x:c r="D43" s="17" t="n">
        <x:v>186</x:v>
      </x:c>
      <x:c r="E43" s="17" t="n">
        <x:f>COUNTA('BugResults'!$A$510:$A$602)+COUNTA('BugResults'!$A$1364:$A$1456)</x:f>
        <x:v>186</x:v>
      </x:c>
      <x:c r="F43" s="17" t="n">
        <x:f>SUM('Verdicts'!E187:E191)</x:f>
        <x:v>186</x:v>
      </x:c>
      <x:c r="G43" s="17" t="n">
        <x:f>F43-D43</x:f>
        <x:v>0</x:v>
      </x:c>
      <x:c r="H43" s="17" t="str">
        <x:f>"N/A"</x:f>
        <x:v>N/A</x:v>
      </x:c>
      <x:c r="I43" s="17" t="str">
        <x:f>"N/A"</x:f>
        <x:v>N/A</x:v>
      </x:c>
    </x:row>
    <x:row r="44" ht="23" customHeight="1">
      <x:c r="B44" s="17" t="str">
        <x:v>Jsoup</x:v>
      </x:c>
      <x:c r="C44" s="17" t="str">
        <x:v>Round1</x:v>
      </x:c>
      <x:c r="D44" s="17" t="n">
        <x:v>93</x:v>
      </x:c>
      <x:c r="E44" s="17" t="n">
        <x:f>COUNTA('BugResults'!$A$510:$A$602)</x:f>
        <x:v>93</x:v>
      </x:c>
      <x:c r="F44" s="17" t="n">
        <x:f>SUM('Verdicts'!E192:E196)</x:f>
        <x:v>93</x:v>
      </x:c>
      <x:c r="G44" s="17" t="n">
        <x:f>F44-D44</x:f>
        <x:v>0</x:v>
      </x:c>
      <x:c r="H44" s="17" t="str">
        <x:f>"N/A"</x:f>
        <x:v>N/A</x:v>
      </x:c>
      <x:c r="I44" s="17" t="str">
        <x:f>"N/A"</x:f>
        <x:v>N/A</x:v>
      </x:c>
    </x:row>
    <x:row r="45" ht="23" customHeight="1">
      <x:c r="B45" s="17" t="str">
        <x:v>Jsoup</x:v>
      </x:c>
      <x:c r="C45" s="17" t="str">
        <x:v>Round2</x:v>
      </x:c>
      <x:c r="D45" s="17" t="n">
        <x:v>93</x:v>
      </x:c>
      <x:c r="E45" s="17" t="n">
        <x:f>COUNTA('BugResults'!$A$1364:$A$1456)</x:f>
        <x:v>93</x:v>
      </x:c>
      <x:c r="F45" s="17" t="n">
        <x:f>SUM('Verdicts'!E197:E201)</x:f>
        <x:v>93</x:v>
      </x:c>
      <x:c r="G45" s="17" t="n">
        <x:f>F45-D45</x:f>
        <x:v>0</x:v>
      </x:c>
      <x:c r="H45" s="17" t="str">
        <x:f>"N/A"</x:f>
        <x:v>N/A</x:v>
      </x:c>
      <x:c r="I45" s="17" t="str">
        <x:f>"N/A"</x:f>
        <x:v>N/A</x:v>
      </x:c>
    </x:row>
    <x:row r="46" ht="23" customHeight="1">
      <x:c r="B46" s="17" t="str">
        <x:v>JxPath</x:v>
      </x:c>
      <x:c r="C46" s="17" t="str">
        <x:v>All rounds</x:v>
      </x:c>
      <x:c r="D46" s="17" t="n">
        <x:v>44</x:v>
      </x:c>
      <x:c r="E46" s="17" t="n">
        <x:f>COUNTA('BugResults'!$A$603:$A$624)+COUNTA('BugResults'!$A$1457:$A$1478)</x:f>
        <x:v>44</x:v>
      </x:c>
      <x:c r="F46" s="17" t="n">
        <x:f>SUM('Verdicts'!E202:E206)</x:f>
        <x:v>44</x:v>
      </x:c>
      <x:c r="G46" s="17" t="n">
        <x:f>F46-D46</x:f>
        <x:v>0</x:v>
      </x:c>
      <x:c r="H46" s="17" t="str">
        <x:f>"N/A"</x:f>
        <x:v>N/A</x:v>
      </x:c>
      <x:c r="I46" s="17" t="str">
        <x:f>"N/A"</x:f>
        <x:v>N/A</x:v>
      </x:c>
    </x:row>
    <x:row r="47" ht="23" customHeight="1">
      <x:c r="B47" s="17" t="str">
        <x:v>JxPath</x:v>
      </x:c>
      <x:c r="C47" s="17" t="str">
        <x:v>Round1</x:v>
      </x:c>
      <x:c r="D47" s="17" t="n">
        <x:v>22</x:v>
      </x:c>
      <x:c r="E47" s="17" t="n">
        <x:f>COUNTA('BugResults'!$A$603:$A$624)</x:f>
        <x:v>22</x:v>
      </x:c>
      <x:c r="F47" s="17" t="n">
        <x:f>SUM('Verdicts'!E207:E211)</x:f>
        <x:v>22</x:v>
      </x:c>
      <x:c r="G47" s="17" t="n">
        <x:f>F47-D47</x:f>
        <x:v>0</x:v>
      </x:c>
      <x:c r="H47" s="17" t="str">
        <x:f>"N/A"</x:f>
        <x:v>N/A</x:v>
      </x:c>
      <x:c r="I47" s="17" t="str">
        <x:f>"N/A"</x:f>
        <x:v>N/A</x:v>
      </x:c>
    </x:row>
    <x:row r="48" ht="23" customHeight="1">
      <x:c r="B48" s="17" t="str">
        <x:v>JxPath</x:v>
      </x:c>
      <x:c r="C48" s="17" t="str">
        <x:v>Round2</x:v>
      </x:c>
      <x:c r="D48" s="17" t="n">
        <x:v>22</x:v>
      </x:c>
      <x:c r="E48" s="17" t="n">
        <x:f>COUNTA('BugResults'!$A$1457:$A$1478)</x:f>
        <x:v>22</x:v>
      </x:c>
      <x:c r="F48" s="17" t="n">
        <x:f>SUM('Verdicts'!E212:E216)</x:f>
        <x:v>22</x:v>
      </x:c>
      <x:c r="G48" s="17" t="n">
        <x:f>F48-D48</x:f>
        <x:v>0</x:v>
      </x:c>
      <x:c r="H48" s="17" t="str">
        <x:f>"N/A"</x:f>
        <x:v>N/A</x:v>
      </x:c>
      <x:c r="I48" s="17" t="str">
        <x:f>"N/A"</x:f>
        <x:v>N/A</x:v>
      </x:c>
    </x:row>
    <x:row r="49" ht="23" customHeight="1">
      <x:c r="B49" s="17" t="str">
        <x:v>Lang</x:v>
      </x:c>
      <x:c r="C49" s="17" t="str">
        <x:v>All rounds</x:v>
      </x:c>
      <x:c r="D49" s="17" t="n">
        <x:v>122</x:v>
      </x:c>
      <x:c r="E49" s="17" t="n">
        <x:f>COUNTA('BugResults'!$A$625:$A$685)+COUNTA('BugResults'!$A$1479:$A$1539)</x:f>
        <x:v>122</x:v>
      </x:c>
      <x:c r="F49" s="17" t="n">
        <x:f>SUM('Verdicts'!E217:E221)</x:f>
        <x:v>122</x:v>
      </x:c>
      <x:c r="G49" s="17" t="n">
        <x:f>F49-D49</x:f>
        <x:v>0</x:v>
      </x:c>
      <x:c r="H49" s="17" t="str">
        <x:f>"N/A"</x:f>
        <x:v>N/A</x:v>
      </x:c>
      <x:c r="I49" s="17" t="str">
        <x:f>"N/A"</x:f>
        <x:v>N/A</x:v>
      </x:c>
    </x:row>
    <x:row r="50" ht="23" customHeight="1">
      <x:c r="B50" s="17" t="str">
        <x:v>Lang</x:v>
      </x:c>
      <x:c r="C50" s="17" t="str">
        <x:v>Round1</x:v>
      </x:c>
      <x:c r="D50" s="17" t="n">
        <x:v>61</x:v>
      </x:c>
      <x:c r="E50" s="17" t="n">
        <x:f>COUNTA('BugResults'!$A$625:$A$685)</x:f>
        <x:v>61</x:v>
      </x:c>
      <x:c r="F50" s="17" t="n">
        <x:f>SUM('Verdicts'!E222:E226)</x:f>
        <x:v>61</x:v>
      </x:c>
      <x:c r="G50" s="17" t="n">
        <x:f>F50-D50</x:f>
        <x:v>0</x:v>
      </x:c>
      <x:c r="H50" s="17" t="str">
        <x:f>"N/A"</x:f>
        <x:v>N/A</x:v>
      </x:c>
      <x:c r="I50" s="17" t="str">
        <x:f>"N/A"</x:f>
        <x:v>N/A</x:v>
      </x:c>
    </x:row>
    <x:row r="51" ht="23" customHeight="1">
      <x:c r="B51" s="17" t="str">
        <x:v>Lang</x:v>
      </x:c>
      <x:c r="C51" s="17" t="str">
        <x:v>Round2</x:v>
      </x:c>
      <x:c r="D51" s="17" t="n">
        <x:v>61</x:v>
      </x:c>
      <x:c r="E51" s="17" t="n">
        <x:f>COUNTA('BugResults'!$A$1479:$A$1539)</x:f>
        <x:v>61</x:v>
      </x:c>
      <x:c r="F51" s="17" t="n">
        <x:f>SUM('Verdicts'!E227:E231)</x:f>
        <x:v>61</x:v>
      </x:c>
      <x:c r="G51" s="17" t="n">
        <x:f>F51-D51</x:f>
        <x:v>0</x:v>
      </x:c>
      <x:c r="H51" s="17" t="str">
        <x:f>"N/A"</x:f>
        <x:v>N/A</x:v>
      </x:c>
      <x:c r="I51" s="17" t="str">
        <x:f>"N/A"</x:f>
        <x:v>N/A</x:v>
      </x:c>
    </x:row>
    <x:row r="52" ht="23" customHeight="1">
      <x:c r="B52" s="17" t="str">
        <x:v>Math</x:v>
      </x:c>
      <x:c r="C52" s="17" t="str">
        <x:v>All rounds</x:v>
      </x:c>
      <x:c r="D52" s="17" t="n">
        <x:v>212</x:v>
      </x:c>
      <x:c r="E52" s="17" t="n">
        <x:f>COUNTA('BugResults'!$A$686:$A$791)+COUNTA('BugResults'!$A$1540:$A$1645)</x:f>
        <x:v>212</x:v>
      </x:c>
      <x:c r="F52" s="17" t="n">
        <x:f>SUM('Verdicts'!E232:E236)</x:f>
        <x:v>212</x:v>
      </x:c>
      <x:c r="G52" s="17" t="n">
        <x:f>F52-D52</x:f>
        <x:v>0</x:v>
      </x:c>
      <x:c r="H52" s="17" t="str">
        <x:f>"N/A"</x:f>
        <x:v>N/A</x:v>
      </x:c>
      <x:c r="I52" s="17" t="str">
        <x:f>"N/A"</x:f>
        <x:v>N/A</x:v>
      </x:c>
    </x:row>
    <x:row r="53" ht="23" customHeight="1">
      <x:c r="B53" s="17" t="str">
        <x:v>Math</x:v>
      </x:c>
      <x:c r="C53" s="17" t="str">
        <x:v>Round1</x:v>
      </x:c>
      <x:c r="D53" s="17" t="n">
        <x:v>106</x:v>
      </x:c>
      <x:c r="E53" s="17" t="n">
        <x:f>COUNTA('BugResults'!$A$686:$A$791)</x:f>
        <x:v>106</x:v>
      </x:c>
      <x:c r="F53" s="17" t="n">
        <x:f>SUM('Verdicts'!E237:E241)</x:f>
        <x:v>106</x:v>
      </x:c>
      <x:c r="G53" s="17" t="n">
        <x:f>F53-D53</x:f>
        <x:v>0</x:v>
      </x:c>
      <x:c r="H53" s="17" t="str">
        <x:f>"N/A"</x:f>
        <x:v>N/A</x:v>
      </x:c>
      <x:c r="I53" s="17" t="str">
        <x:f>"N/A"</x:f>
        <x:v>N/A</x:v>
      </x:c>
    </x:row>
    <x:row r="54" ht="23" customHeight="1">
      <x:c r="B54" s="17" t="str">
        <x:v>Math</x:v>
      </x:c>
      <x:c r="C54" s="17" t="str">
        <x:v>Round2</x:v>
      </x:c>
      <x:c r="D54" s="17" t="n">
        <x:v>106</x:v>
      </x:c>
      <x:c r="E54" s="17" t="n">
        <x:f>COUNTA('BugResults'!$A$1540:$A$1645)</x:f>
        <x:v>106</x:v>
      </x:c>
      <x:c r="F54" s="17" t="n">
        <x:f>SUM('Verdicts'!E242:E246)</x:f>
        <x:v>106</x:v>
      </x:c>
      <x:c r="G54" s="17" t="n">
        <x:f>F54-D54</x:f>
        <x:v>0</x:v>
      </x:c>
      <x:c r="H54" s="17" t="str">
        <x:f>"N/A"</x:f>
        <x:v>N/A</x:v>
      </x:c>
      <x:c r="I54" s="17" t="str">
        <x:f>"N/A"</x:f>
        <x:v>N/A</x:v>
      </x:c>
    </x:row>
    <x:row r="55" ht="23" customHeight="1">
      <x:c r="B55" s="17" t="str">
        <x:v>Mockito</x:v>
      </x:c>
      <x:c r="C55" s="17" t="str">
        <x:v>All rounds</x:v>
      </x:c>
      <x:c r="D55" s="17" t="n">
        <x:v>76</x:v>
      </x:c>
      <x:c r="E55" s="17" t="n">
        <x:f>COUNTA('BugResults'!$A$792:$A$829)+COUNTA('BugResults'!$A$1646:$A$1683)</x:f>
        <x:v>76</x:v>
      </x:c>
      <x:c r="F55" s="17" t="n">
        <x:f>SUM('Verdicts'!E247:E251)</x:f>
        <x:v>76</x:v>
      </x:c>
      <x:c r="G55" s="17" t="n">
        <x:f>F55-D55</x:f>
        <x:v>0</x:v>
      </x:c>
      <x:c r="H55" s="17" t="str">
        <x:f>"N/A"</x:f>
        <x:v>N/A</x:v>
      </x:c>
      <x:c r="I55" s="17" t="str">
        <x:f>"N/A"</x:f>
        <x:v>N/A</x:v>
      </x:c>
    </x:row>
    <x:row r="56" ht="23" customHeight="1">
      <x:c r="B56" s="17" t="str">
        <x:v>Mockito</x:v>
      </x:c>
      <x:c r="C56" s="17" t="str">
        <x:v>Round1</x:v>
      </x:c>
      <x:c r="D56" s="17" t="n">
        <x:v>38</x:v>
      </x:c>
      <x:c r="E56" s="17" t="n">
        <x:f>COUNTA('BugResults'!$A$792:$A$829)</x:f>
        <x:v>38</x:v>
      </x:c>
      <x:c r="F56" s="17" t="n">
        <x:f>SUM('Verdicts'!E252:E256)</x:f>
        <x:v>38</x:v>
      </x:c>
      <x:c r="G56" s="17" t="n">
        <x:f>F56-D56</x:f>
        <x:v>0</x:v>
      </x:c>
      <x:c r="H56" s="17" t="str">
        <x:f>"N/A"</x:f>
        <x:v>N/A</x:v>
      </x:c>
      <x:c r="I56" s="17" t="str">
        <x:f>"N/A"</x:f>
        <x:v>N/A</x:v>
      </x:c>
    </x:row>
    <x:row r="57" ht="23" customHeight="1">
      <x:c r="B57" s="17" t="str">
        <x:v>Mockito</x:v>
      </x:c>
      <x:c r="C57" s="17" t="str">
        <x:v>Round2</x:v>
      </x:c>
      <x:c r="D57" s="17" t="n">
        <x:v>38</x:v>
      </x:c>
      <x:c r="E57" s="17" t="n">
        <x:f>COUNTA('BugResults'!$A$1646:$A$1683)</x:f>
        <x:v>38</x:v>
      </x:c>
      <x:c r="F57" s="17" t="n">
        <x:f>SUM('Verdicts'!E257:E261)</x:f>
        <x:v>38</x:v>
      </x:c>
      <x:c r="G57" s="17" t="n">
        <x:f>F57-D57</x:f>
        <x:v>0</x:v>
      </x:c>
      <x:c r="H57" s="17" t="str">
        <x:f>"N/A"</x:f>
        <x:v>N/A</x:v>
      </x:c>
      <x:c r="I57" s="17" t="str">
        <x:f>"N/A"</x:f>
        <x:v>N/A</x:v>
      </x:c>
    </x:row>
    <x:row r="58" ht="23" customHeight="1">
      <x:c r="B58" s="17" t="str">
        <x:v>Time</x:v>
      </x:c>
      <x:c r="C58" s="17" t="str">
        <x:v>All rounds</x:v>
      </x:c>
      <x:c r="D58" s="17" t="n">
        <x:v>52</x:v>
      </x:c>
      <x:c r="E58" s="17" t="n">
        <x:f>COUNTA('BugResults'!$A$830:$A$855)+COUNTA('BugResults'!$A$1684:$A$1709)</x:f>
        <x:v>52</x:v>
      </x:c>
      <x:c r="F58" s="17" t="n">
        <x:f>SUM('Verdicts'!E262:E266)</x:f>
        <x:v>52</x:v>
      </x:c>
      <x:c r="G58" s="17" t="n">
        <x:f>F58-D58</x:f>
        <x:v>0</x:v>
      </x:c>
      <x:c r="H58" s="17" t="str">
        <x:f>"N/A"</x:f>
        <x:v>N/A</x:v>
      </x:c>
      <x:c r="I58" s="17" t="str">
        <x:f>"N/A"</x:f>
        <x:v>N/A</x:v>
      </x:c>
    </x:row>
    <x:row r="59" ht="23" customHeight="1">
      <x:c r="B59" s="17" t="str">
        <x:v>Time</x:v>
      </x:c>
      <x:c r="C59" s="17" t="str">
        <x:v>Round1</x:v>
      </x:c>
      <x:c r="D59" s="17" t="n">
        <x:v>26</x:v>
      </x:c>
      <x:c r="E59" s="17" t="n">
        <x:f>COUNTA('BugResults'!$A$830:$A$855)</x:f>
        <x:v>26</x:v>
      </x:c>
      <x:c r="F59" s="17" t="n">
        <x:f>SUM('Verdicts'!E267:E271)</x:f>
        <x:v>26</x:v>
      </x:c>
      <x:c r="G59" s="17" t="n">
        <x:f>F59-D59</x:f>
        <x:v>0</x:v>
      </x:c>
      <x:c r="H59" s="17" t="str">
        <x:f>"N/A"</x:f>
        <x:v>N/A</x:v>
      </x:c>
      <x:c r="I59" s="17" t="str">
        <x:f>"N/A"</x:f>
        <x:v>N/A</x:v>
      </x:c>
    </x:row>
    <x:row r="60" ht="23" customHeight="1">
      <x:c r="B60" s="17" t="str">
        <x:v>Time</x:v>
      </x:c>
      <x:c r="C60" s="17" t="str">
        <x:v>Round2</x:v>
      </x:c>
      <x:c r="D60" s="17" t="n">
        <x:v>26</x:v>
      </x:c>
      <x:c r="E60" s="17" t="n">
        <x:f>COUNTA('BugResults'!$A$1684:$A$1709)</x:f>
        <x:v>26</x:v>
      </x:c>
      <x:c r="F60" s="17" t="n">
        <x:f>SUM('Verdicts'!E272:E276)</x:f>
        <x:v>26</x:v>
      </x:c>
      <x:c r="G60" s="17" t="n">
        <x:f>F60-D60</x:f>
        <x:v>0</x:v>
      </x:c>
      <x:c r="H60" s="17" t="str">
        <x:f>"N/A"</x:f>
        <x:v>N/A</x:v>
      </x:c>
      <x:c r="I60" s="17" t="str">
        <x:f>"N/A"</x:f>
        <x:v>N/A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30" hidden="0" customWidth="1"/>
    <x:col min="5" max="5" width="15" hidden="0" customWidth="1"/>
    <x:col min="6" max="6" width="15" hidden="0" customWidth="1"/>
    <x:col min="7" max="7" width="26" hidden="0" customWidth="1"/>
    <x:col min="8" max="8" width="15" hidden="0" customWidth="1"/>
  </x:cols>
  <x:sheetData>
    <x:row r="2">
      <x:c r="B2" s="29" t="str">
        <x:v>NOT_AVAILABLE by cause</x:v>
      </x:c>
    </x:row>
    <x:row r="3" ht="34" customHeight="1">
      <x:c r="B3" s="31" t="str">
        <x:v>Exclusive causes: buggy/fixed execution or compile unavailable first; coverage-only failure when both sides ran.</x:v>
      </x:c>
      <x:c r="C3" s="31"/>
      <x:c r="D3" s="31"/>
      <x:c r="E3" s="31"/>
      <x:c r="F3" s="31"/>
      <x:c r="G3" s="31"/>
      <x:c r="H3" s="31"/>
    </x:row>
    <x:row r="6" ht="42" customHeight="1">
      <x:c r="B6" s="20" t="str">
        <x:v>Project</x:v>
      </x:c>
      <x:c r="C6" s="20" t="str">
        <x:v>Round</x:v>
      </x:c>
      <x:c r="D6" s="20" t="str">
        <x:v>Cause</x:v>
      </x:c>
      <x:c r="E6" s="20" t="str">
        <x:v>Count</x:v>
      </x:c>
      <x:c r="F6" s="20" t="str">
        <x:v>Share of unavailable</x:v>
      </x:c>
      <x:c r="G6" s="20" t="str">
        <x:v>NOT_AVAILABLE</x:v>
      </x:c>
      <x:c r="H6" s="20" t="str">
        <x:v>Difference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BUGGY_NOT_RUN</x:v>
      </x:c>
      <x:c r="E7" s="17" t="n">
        <x:f>COUNTIF('BugResults'!$P$2:$P$1709,"BUGGY_NOT_RUN")</x:f>
        <x:v>1</x:v>
      </x:c>
      <x:c r="F7" s="33" t="n">
        <x:f>IF('Verdicts'!E9=0,"—",E7/'Verdicts'!E9)</x:f>
        <x:v>0.0009191176470588235</x:v>
      </x:c>
      <x:c r="G7" s="17" t="n">
        <x:f>'Verdicts'!E9</x:f>
        <x:v>1088</x:v>
      </x:c>
      <x:c r="H7" s="17" t="n">
        <x:f>SUM(E7:E10)-G7</x:f>
        <x:v>0</x:v>
      </x:c>
    </x:row>
    <x:row r="8" ht="23" customHeight="1">
      <x:c r="B8" s="17" t="str">
        <x:v>All projects</x:v>
      </x:c>
      <x:c r="C8" s="17" t="str">
        <x:v>All rounds</x:v>
      </x:c>
      <x:c r="D8" s="17" t="str">
        <x:v>FIXED_NOT_RUN</x:v>
      </x:c>
      <x:c r="E8" s="17" t="n">
        <x:f>COUNTIF('BugResults'!$P$2:$P$1709,"FIXED_NOT_RUN")</x:f>
        <x:v>6</x:v>
      </x:c>
      <x:c r="F8" s="33" t="n">
        <x:f>IF('Verdicts'!E9=0,"—",E8/'Verdicts'!E9)</x:f>
        <x:v>0.0055147058823529415</x:v>
      </x:c>
      <x:c r="G8" s="17" t="n">
        <x:f>'Verdicts'!E9</x:f>
        <x:v>1088</x:v>
      </x:c>
      <x:c r="H8" s="17"/>
    </x:row>
    <x:row r="9" ht="23" customHeight="1">
      <x:c r="B9" s="17" t="str">
        <x:v>All projects</x:v>
      </x:c>
      <x:c r="C9" s="17" t="str">
        <x:v>All rounds</x:v>
      </x:c>
      <x:c r="D9" s="17" t="str">
        <x:v>BOTH_NOT_RUN</x:v>
      </x:c>
      <x:c r="E9" s="17" t="n">
        <x:f>COUNTIF('BugResults'!$P$2:$P$1709,"BOTH_NOT_RUN")</x:f>
        <x:v>1077</x:v>
      </x:c>
      <x:c r="F9" s="33" t="n">
        <x:f>IF('Verdicts'!E9=0,"—",E9/'Verdicts'!E9)</x:f>
        <x:v>0.9898897058823529</x:v>
      </x:c>
      <x:c r="G9" s="17" t="n">
        <x:f>'Verdicts'!E9</x:f>
        <x:v>1088</x:v>
      </x:c>
      <x:c r="H9" s="17"/>
    </x:row>
    <x:row r="10" ht="23" customHeight="1">
      <x:c r="B10" s="17" t="str">
        <x:v>All projects</x:v>
      </x:c>
      <x:c r="C10" s="17" t="str">
        <x:v>All rounds</x:v>
      </x:c>
      <x:c r="D10" s="17" t="str">
        <x:v>COVERAGE_UNAVAILABLE</x:v>
      </x:c>
      <x:c r="E10" s="17" t="n">
        <x:f>COUNTIF('BugResults'!$P$2:$P$1709,"COVERAGE_UNAVAILABLE")</x:f>
        <x:v>4</x:v>
      </x:c>
      <x:c r="F10" s="33" t="n">
        <x:f>IF('Verdicts'!E9=0,"—",E10/'Verdicts'!E9)</x:f>
        <x:v>0.003676470588235294</x:v>
      </x:c>
      <x:c r="G10" s="17" t="n">
        <x:f>'Verdicts'!E9</x:f>
        <x:v>1088</x:v>
      </x:c>
      <x:c r="H10" s="17"/>
    </x:row>
    <x:row r="11" ht="23" customHeight="1">
      <x:c r="B11" s="17" t="str">
        <x:v>All projects</x:v>
      </x:c>
      <x:c r="C11" s="17" t="str">
        <x:v>Round1</x:v>
      </x:c>
      <x:c r="D11" s="17" t="str">
        <x:v>BUGGY_NOT_RUN</x:v>
      </x:c>
      <x:c r="E11" s="17" t="n">
        <x:f>COUNTIF('BugResults'!$P$2:$P$855,"BUGGY_NOT_RUN")</x:f>
        <x:v>1</x:v>
      </x:c>
      <x:c r="F11" s="33" t="n">
        <x:f>IF('Verdicts'!E14=0,"—",E11/'Verdicts'!E14)</x:f>
        <x:v>0.0015600624024961</x:v>
      </x:c>
      <x:c r="G11" s="17" t="n">
        <x:f>'Verdicts'!E14</x:f>
        <x:v>641</x:v>
      </x:c>
      <x:c r="H11" s="17" t="n">
        <x:f>SUM(E11:E14)-G11</x:f>
        <x:v>0</x:v>
      </x:c>
    </x:row>
    <x:row r="12" ht="23" customHeight="1">
      <x:c r="B12" s="17" t="str">
        <x:v>All projects</x:v>
      </x:c>
      <x:c r="C12" s="17" t="str">
        <x:v>Round1</x:v>
      </x:c>
      <x:c r="D12" s="17" t="str">
        <x:v>FIXED_NOT_RUN</x:v>
      </x:c>
      <x:c r="E12" s="17" t="n">
        <x:f>COUNTIF('BugResults'!$P$2:$P$855,"FIXED_NOT_RUN")</x:f>
        <x:v>4</x:v>
      </x:c>
      <x:c r="F12" s="33" t="n">
        <x:f>IF('Verdicts'!E14=0,"—",E12/'Verdicts'!E14)</x:f>
        <x:v>0.0062402496099844</x:v>
      </x:c>
      <x:c r="G12" s="17" t="n">
        <x:f>'Verdicts'!E14</x:f>
        <x:v>641</x:v>
      </x:c>
      <x:c r="H12" s="17"/>
    </x:row>
    <x:row r="13" ht="23" customHeight="1">
      <x:c r="B13" s="17" t="str">
        <x:v>All projects</x:v>
      </x:c>
      <x:c r="C13" s="17" t="str">
        <x:v>Round1</x:v>
      </x:c>
      <x:c r="D13" s="17" t="str">
        <x:v>BOTH_NOT_RUN</x:v>
      </x:c>
      <x:c r="E13" s="17" t="n">
        <x:f>COUNTIF('BugResults'!$P$2:$P$855,"BOTH_NOT_RUN")</x:f>
        <x:v>635</x:v>
      </x:c>
      <x:c r="F13" s="33" t="n">
        <x:f>IF('Verdicts'!E14=0,"—",E13/'Verdicts'!E14)</x:f>
        <x:v>0.9906396255850234</x:v>
      </x:c>
      <x:c r="G13" s="17" t="n">
        <x:f>'Verdicts'!E14</x:f>
        <x:v>641</x:v>
      </x:c>
      <x:c r="H13" s="17"/>
    </x:row>
    <x:row r="14" ht="23" customHeight="1">
      <x:c r="B14" s="17" t="str">
        <x:v>All projects</x:v>
      </x:c>
      <x:c r="C14" s="17" t="str">
        <x:v>Round1</x:v>
      </x:c>
      <x:c r="D14" s="17" t="str">
        <x:v>COVERAGE_UNAVAILABLE</x:v>
      </x:c>
      <x:c r="E14" s="17" t="n">
        <x:f>COUNTIF('BugResults'!$P$2:$P$855,"COVERAGE_UNAVAILABLE")</x:f>
        <x:v>1</x:v>
      </x:c>
      <x:c r="F14" s="33" t="n">
        <x:f>IF('Verdicts'!E14=0,"—",E14/'Verdicts'!E14)</x:f>
        <x:v>0.0015600624024961</x:v>
      </x:c>
      <x:c r="G14" s="17" t="n">
        <x:f>'Verdicts'!E14</x:f>
        <x:v>641</x:v>
      </x:c>
      <x:c r="H14" s="17"/>
    </x:row>
    <x:row r="15" ht="23" customHeight="1">
      <x:c r="B15" s="17" t="str">
        <x:v>All projects</x:v>
      </x:c>
      <x:c r="C15" s="17" t="str">
        <x:v>Round2</x:v>
      </x:c>
      <x:c r="D15" s="17" t="str">
        <x:v>BUGGY_NOT_RUN</x:v>
      </x:c>
      <x:c r="E15" s="17" t="n">
        <x:f>COUNTIF('BugResults'!$P$856:$P$1709,"BUGGY_NOT_RUN")</x:f>
        <x:v>0</x:v>
      </x:c>
      <x:c r="F15" s="33" t="n">
        <x:f>IF('Verdicts'!E19=0,"—",E15/'Verdicts'!E19)</x:f>
        <x:v>0</x:v>
      </x:c>
      <x:c r="G15" s="17" t="n">
        <x:f>'Verdicts'!E19</x:f>
        <x:v>447</x:v>
      </x:c>
      <x:c r="H15" s="17" t="n">
        <x:f>SUM(E15:E18)-G15</x:f>
        <x:v>0</x:v>
      </x:c>
    </x:row>
    <x:row r="16" ht="23" customHeight="1">
      <x:c r="B16" s="17" t="str">
        <x:v>All projects</x:v>
      </x:c>
      <x:c r="C16" s="17" t="str">
        <x:v>Round2</x:v>
      </x:c>
      <x:c r="D16" s="17" t="str">
        <x:v>FIXED_NOT_RUN</x:v>
      </x:c>
      <x:c r="E16" s="17" t="n">
        <x:f>COUNTIF('BugResults'!$P$856:$P$1709,"FIXED_NOT_RUN")</x:f>
        <x:v>2</x:v>
      </x:c>
      <x:c r="F16" s="33" t="n">
        <x:f>IF('Verdicts'!E19=0,"—",E16/'Verdicts'!E19)</x:f>
        <x:v>0.0044742729306487695</x:v>
      </x:c>
      <x:c r="G16" s="17" t="n">
        <x:f>'Verdicts'!E19</x:f>
        <x:v>447</x:v>
      </x:c>
      <x:c r="H16" s="17"/>
    </x:row>
    <x:row r="17" ht="23" customHeight="1">
      <x:c r="B17" s="17" t="str">
        <x:v>All projects</x:v>
      </x:c>
      <x:c r="C17" s="17" t="str">
        <x:v>Round2</x:v>
      </x:c>
      <x:c r="D17" s="17" t="str">
        <x:v>BOTH_NOT_RUN</x:v>
      </x:c>
      <x:c r="E17" s="17" t="n">
        <x:f>COUNTIF('BugResults'!$P$856:$P$1709,"BOTH_NOT_RUN")</x:f>
        <x:v>442</x:v>
      </x:c>
      <x:c r="F17" s="33" t="n">
        <x:f>IF('Verdicts'!E19=0,"—",E17/'Verdicts'!E19)</x:f>
        <x:v>0.9888143176733781</x:v>
      </x:c>
      <x:c r="G17" s="17" t="n">
        <x:f>'Verdicts'!E19</x:f>
        <x:v>447</x:v>
      </x:c>
      <x:c r="H17" s="17"/>
    </x:row>
    <x:row r="18" ht="23" customHeight="1">
      <x:c r="B18" s="17" t="str">
        <x:v>All projects</x:v>
      </x:c>
      <x:c r="C18" s="17" t="str">
        <x:v>Round2</x:v>
      </x:c>
      <x:c r="D18" s="17" t="str">
        <x:v>COVERAGE_UNAVAILABLE</x:v>
      </x:c>
      <x:c r="E18" s="17" t="n">
        <x:f>COUNTIF('BugResults'!$P$856:$P$1709,"COVERAGE_UNAVAILABLE")</x:f>
        <x:v>3</x:v>
      </x:c>
      <x:c r="F18" s="33" t="n">
        <x:f>IF('Verdicts'!E19=0,"—",E18/'Verdicts'!E19)</x:f>
        <x:v>0.006711409395973154</x:v>
      </x:c>
      <x:c r="G18" s="17" t="n">
        <x:f>'Verdicts'!E19</x:f>
        <x:v>447</x:v>
      </x:c>
      <x:c r="H18" s="17"/>
    </x:row>
    <x:row r="19" ht="23" customHeight="1">
      <x:c r="B19" s="17" t="str">
        <x:v>Chart</x:v>
      </x:c>
      <x:c r="C19" s="17" t="str">
        <x:v>All rounds</x:v>
      </x:c>
      <x:c r="D19" s="17" t="str">
        <x:v>BUGGY_NOT_RUN</x:v>
      </x:c>
      <x:c r="E19" s="17" t="n">
        <x:f>COUNTIF('BugResults'!$P$2:$P$27,"BUGGY_NOT_RUN")+COUNTIF('BugResults'!$P$856:$P$881,"BUGGY_NOT_RUN")</x:f>
        <x:v>0</x:v>
      </x:c>
      <x:c r="F19" s="33" t="n">
        <x:f>IF('Verdicts'!E24=0,"—",E19/'Verdicts'!E24)</x:f>
        <x:v>0</x:v>
      </x:c>
      <x:c r="G19" s="17" t="n">
        <x:f>'Verdicts'!E24</x:f>
        <x:v>31</x:v>
      </x:c>
      <x:c r="H19" s="17" t="n">
        <x:f>SUM(E19:E22)-G19</x:f>
        <x:v>0</x:v>
      </x:c>
    </x:row>
    <x:row r="20" ht="23" customHeight="1">
      <x:c r="B20" s="17" t="str">
        <x:v>Chart</x:v>
      </x:c>
      <x:c r="C20" s="17" t="str">
        <x:v>All rounds</x:v>
      </x:c>
      <x:c r="D20" s="17" t="str">
        <x:v>FIXED_NOT_RUN</x:v>
      </x:c>
      <x:c r="E20" s="17" t="n">
        <x:f>COUNTIF('BugResults'!$P$2:$P$27,"FIXED_NOT_RUN")+COUNTIF('BugResults'!$P$856:$P$881,"FIXED_NOT_RUN")</x:f>
        <x:v>0</x:v>
      </x:c>
      <x:c r="F20" s="33" t="n">
        <x:f>IF('Verdicts'!E24=0,"—",E20/'Verdicts'!E24)</x:f>
        <x:v>0</x:v>
      </x:c>
      <x:c r="G20" s="17" t="n">
        <x:f>'Verdicts'!E24</x:f>
        <x:v>31</x:v>
      </x:c>
      <x:c r="H20" s="17"/>
    </x:row>
    <x:row r="21" ht="23" customHeight="1">
      <x:c r="B21" s="17" t="str">
        <x:v>Chart</x:v>
      </x:c>
      <x:c r="C21" s="17" t="str">
        <x:v>All rounds</x:v>
      </x:c>
      <x:c r="D21" s="17" t="str">
        <x:v>BOTH_NOT_RUN</x:v>
      </x:c>
      <x:c r="E21" s="17" t="n">
        <x:f>COUNTIF('BugResults'!$P$2:$P$27,"BOTH_NOT_RUN")+COUNTIF('BugResults'!$P$856:$P$881,"BOTH_NOT_RUN")</x:f>
        <x:v>31</x:v>
      </x:c>
      <x:c r="F21" s="33" t="n">
        <x:f>IF('Verdicts'!E24=0,"—",E21/'Verdicts'!E24)</x:f>
        <x:v>1</x:v>
      </x:c>
      <x:c r="G21" s="17" t="n">
        <x:f>'Verdicts'!E24</x:f>
        <x:v>31</x:v>
      </x:c>
      <x:c r="H21" s="17"/>
    </x:row>
    <x:row r="22" ht="23" customHeight="1">
      <x:c r="B22" s="17" t="str">
        <x:v>Chart</x:v>
      </x:c>
      <x:c r="C22" s="17" t="str">
        <x:v>All rounds</x:v>
      </x:c>
      <x:c r="D22" s="17" t="str">
        <x:v>COVERAGE_UNAVAILABLE</x:v>
      </x:c>
      <x:c r="E22" s="17" t="n">
        <x:f>COUNTIF('BugResults'!$P$2:$P$27,"COVERAGE_UNAVAILABLE")+COUNTIF('BugResults'!$P$856:$P$881,"COVERAGE_UNAVAILABLE")</x:f>
        <x:v>0</x:v>
      </x:c>
      <x:c r="F22" s="33" t="n">
        <x:f>IF('Verdicts'!E24=0,"—",E22/'Verdicts'!E24)</x:f>
        <x:v>0</x:v>
      </x:c>
      <x:c r="G22" s="17" t="n">
        <x:f>'Verdicts'!E24</x:f>
        <x:v>31</x:v>
      </x:c>
      <x:c r="H22" s="17"/>
    </x:row>
    <x:row r="23" ht="23" customHeight="1">
      <x:c r="B23" s="17" t="str">
        <x:v>Chart</x:v>
      </x:c>
      <x:c r="C23" s="17" t="str">
        <x:v>Round1</x:v>
      </x:c>
      <x:c r="D23" s="17" t="str">
        <x:v>BUGGY_NOT_RUN</x:v>
      </x:c>
      <x:c r="E23" s="17" t="n">
        <x:f>COUNTIF('BugResults'!$P$2:$P$27,"BUGGY_NOT_RUN")</x:f>
        <x:v>0</x:v>
      </x:c>
      <x:c r="F23" s="33" t="n">
        <x:f>IF('Verdicts'!E29=0,"—",E23/'Verdicts'!E29)</x:f>
        <x:v>0</x:v>
      </x:c>
      <x:c r="G23" s="17" t="n">
        <x:f>'Verdicts'!E29</x:f>
        <x:v>19</x:v>
      </x:c>
      <x:c r="H23" s="17" t="n">
        <x:f>SUM(E23:E26)-G23</x:f>
        <x:v>0</x:v>
      </x:c>
    </x:row>
    <x:row r="24" ht="23" customHeight="1">
      <x:c r="B24" s="17" t="str">
        <x:v>Chart</x:v>
      </x:c>
      <x:c r="C24" s="17" t="str">
        <x:v>Round1</x:v>
      </x:c>
      <x:c r="D24" s="17" t="str">
        <x:v>FIXED_NOT_RUN</x:v>
      </x:c>
      <x:c r="E24" s="17" t="n">
        <x:f>COUNTIF('BugResults'!$P$2:$P$27,"FIXED_NOT_RUN")</x:f>
        <x:v>0</x:v>
      </x:c>
      <x:c r="F24" s="33" t="n">
        <x:f>IF('Verdicts'!E29=0,"—",E24/'Verdicts'!E29)</x:f>
        <x:v>0</x:v>
      </x:c>
      <x:c r="G24" s="17" t="n">
        <x:f>'Verdicts'!E29</x:f>
        <x:v>19</x:v>
      </x:c>
      <x:c r="H24" s="17"/>
    </x:row>
    <x:row r="25" ht="23" customHeight="1">
      <x:c r="B25" s="17" t="str">
        <x:v>Chart</x:v>
      </x:c>
      <x:c r="C25" s="17" t="str">
        <x:v>Round1</x:v>
      </x:c>
      <x:c r="D25" s="17" t="str">
        <x:v>BOTH_NOT_RUN</x:v>
      </x:c>
      <x:c r="E25" s="17" t="n">
        <x:f>COUNTIF('BugResults'!$P$2:$P$27,"BOTH_NOT_RUN")</x:f>
        <x:v>19</x:v>
      </x:c>
      <x:c r="F25" s="33" t="n">
        <x:f>IF('Verdicts'!E29=0,"—",E25/'Verdicts'!E29)</x:f>
        <x:v>1</x:v>
      </x:c>
      <x:c r="G25" s="17" t="n">
        <x:f>'Verdicts'!E29</x:f>
        <x:v>19</x:v>
      </x:c>
      <x:c r="H25" s="17"/>
    </x:row>
    <x:row r="26" ht="23" customHeight="1">
      <x:c r="B26" s="17" t="str">
        <x:v>Chart</x:v>
      </x:c>
      <x:c r="C26" s="17" t="str">
        <x:v>Round1</x:v>
      </x:c>
      <x:c r="D26" s="17" t="str">
        <x:v>COVERAGE_UNAVAILABLE</x:v>
      </x:c>
      <x:c r="E26" s="17" t="n">
        <x:f>COUNTIF('BugResults'!$P$2:$P$27,"COVERAGE_UNAVAILABLE")</x:f>
        <x:v>0</x:v>
      </x:c>
      <x:c r="F26" s="33" t="n">
        <x:f>IF('Verdicts'!E29=0,"—",E26/'Verdicts'!E29)</x:f>
        <x:v>0</x:v>
      </x:c>
      <x:c r="G26" s="17" t="n">
        <x:f>'Verdicts'!E29</x:f>
        <x:v>19</x:v>
      </x:c>
      <x:c r="H26" s="17"/>
    </x:row>
    <x:row r="27" ht="23" customHeight="1">
      <x:c r="B27" s="17" t="str">
        <x:v>Chart</x:v>
      </x:c>
      <x:c r="C27" s="17" t="str">
        <x:v>Round2</x:v>
      </x:c>
      <x:c r="D27" s="17" t="str">
        <x:v>BUGGY_NOT_RUN</x:v>
      </x:c>
      <x:c r="E27" s="17" t="n">
        <x:f>COUNTIF('BugResults'!$P$856:$P$881,"BUGGY_NOT_RUN")</x:f>
        <x:v>0</x:v>
      </x:c>
      <x:c r="F27" s="33" t="n">
        <x:f>IF('Verdicts'!E34=0,"—",E27/'Verdicts'!E34)</x:f>
        <x:v>0</x:v>
      </x:c>
      <x:c r="G27" s="17" t="n">
        <x:f>'Verdicts'!E34</x:f>
        <x:v>12</x:v>
      </x:c>
      <x:c r="H27" s="17" t="n">
        <x:f>SUM(E27:E30)-G27</x:f>
        <x:v>0</x:v>
      </x:c>
    </x:row>
    <x:row r="28" ht="23" customHeight="1">
      <x:c r="B28" s="17" t="str">
        <x:v>Chart</x:v>
      </x:c>
      <x:c r="C28" s="17" t="str">
        <x:v>Round2</x:v>
      </x:c>
      <x:c r="D28" s="17" t="str">
        <x:v>FIXED_NOT_RUN</x:v>
      </x:c>
      <x:c r="E28" s="17" t="n">
        <x:f>COUNTIF('BugResults'!$P$856:$P$881,"FIXED_NOT_RUN")</x:f>
        <x:v>0</x:v>
      </x:c>
      <x:c r="F28" s="33" t="n">
        <x:f>IF('Verdicts'!E34=0,"—",E28/'Verdicts'!E34)</x:f>
        <x:v>0</x:v>
      </x:c>
      <x:c r="G28" s="17" t="n">
        <x:f>'Verdicts'!E34</x:f>
        <x:v>12</x:v>
      </x:c>
      <x:c r="H28" s="17"/>
    </x:row>
    <x:row r="29" ht="23" customHeight="1">
      <x:c r="B29" s="17" t="str">
        <x:v>Chart</x:v>
      </x:c>
      <x:c r="C29" s="17" t="str">
        <x:v>Round2</x:v>
      </x:c>
      <x:c r="D29" s="17" t="str">
        <x:v>BOTH_NOT_RUN</x:v>
      </x:c>
      <x:c r="E29" s="17" t="n">
        <x:f>COUNTIF('BugResults'!$P$856:$P$881,"BOTH_NOT_RUN")</x:f>
        <x:v>12</x:v>
      </x:c>
      <x:c r="F29" s="33" t="n">
        <x:f>IF('Verdicts'!E34=0,"—",E29/'Verdicts'!E34)</x:f>
        <x:v>1</x:v>
      </x:c>
      <x:c r="G29" s="17" t="n">
        <x:f>'Verdicts'!E34</x:f>
        <x:v>12</x:v>
      </x:c>
      <x:c r="H29" s="17"/>
    </x:row>
    <x:row r="30" ht="23" customHeight="1">
      <x:c r="B30" s="17" t="str">
        <x:v>Chart</x:v>
      </x:c>
      <x:c r="C30" s="17" t="str">
        <x:v>Round2</x:v>
      </x:c>
      <x:c r="D30" s="17" t="str">
        <x:v>COVERAGE_UNAVAILABLE</x:v>
      </x:c>
      <x:c r="E30" s="17" t="n">
        <x:f>COUNTIF('BugResults'!$P$856:$P$881,"COVERAGE_UNAVAILABLE")</x:f>
        <x:v>0</x:v>
      </x:c>
      <x:c r="F30" s="33" t="n">
        <x:f>IF('Verdicts'!E34=0,"—",E30/'Verdicts'!E34)</x:f>
        <x:v>0</x:v>
      </x:c>
      <x:c r="G30" s="17" t="n">
        <x:f>'Verdicts'!E34</x:f>
        <x:v>12</x:v>
      </x:c>
      <x:c r="H30" s="17"/>
    </x:row>
    <x:row r="31" ht="23" customHeight="1">
      <x:c r="B31" s="17" t="str">
        <x:v>Cli</x:v>
      </x:c>
      <x:c r="C31" s="17" t="str">
        <x:v>All rounds</x:v>
      </x:c>
      <x:c r="D31" s="17" t="str">
        <x:v>BUGGY_NOT_RUN</x:v>
      </x:c>
      <x:c r="E31" s="17" t="n">
        <x:f>COUNTIF('BugResults'!$P$28:$P$66,"BUGGY_NOT_RUN")+COUNTIF('BugResults'!$P$882:$P$920,"BUGGY_NOT_RUN")</x:f>
        <x:v>0</x:v>
      </x:c>
      <x:c r="F31" s="33" t="n">
        <x:f>IF('Verdicts'!E39=0,"—",E31/'Verdicts'!E39)</x:f>
        <x:v>0</x:v>
      </x:c>
      <x:c r="G31" s="17" t="n">
        <x:f>'Verdicts'!E39</x:f>
        <x:v>36</x:v>
      </x:c>
      <x:c r="H31" s="17" t="n">
        <x:f>SUM(E31:E34)-G31</x:f>
        <x:v>0</x:v>
      </x:c>
    </x:row>
    <x:row r="32" ht="23" customHeight="1">
      <x:c r="B32" s="17" t="str">
        <x:v>Cli</x:v>
      </x:c>
      <x:c r="C32" s="17" t="str">
        <x:v>All rounds</x:v>
      </x:c>
      <x:c r="D32" s="17" t="str">
        <x:v>FIXED_NOT_RUN</x:v>
      </x:c>
      <x:c r="E32" s="17" t="n">
        <x:f>COUNTIF('BugResults'!$P$28:$P$66,"FIXED_NOT_RUN")+COUNTIF('BugResults'!$P$882:$P$920,"FIXED_NOT_RUN")</x:f>
        <x:v>0</x:v>
      </x:c>
      <x:c r="F32" s="33" t="n">
        <x:f>IF('Verdicts'!E39=0,"—",E32/'Verdicts'!E39)</x:f>
        <x:v>0</x:v>
      </x:c>
      <x:c r="G32" s="17" t="n">
        <x:f>'Verdicts'!E39</x:f>
        <x:v>36</x:v>
      </x:c>
      <x:c r="H32" s="17"/>
    </x:row>
    <x:row r="33" ht="23" customHeight="1">
      <x:c r="B33" s="17" t="str">
        <x:v>Cli</x:v>
      </x:c>
      <x:c r="C33" s="17" t="str">
        <x:v>All rounds</x:v>
      </x:c>
      <x:c r="D33" s="17" t="str">
        <x:v>BOTH_NOT_RUN</x:v>
      </x:c>
      <x:c r="E33" s="17" t="n">
        <x:f>COUNTIF('BugResults'!$P$28:$P$66,"BOTH_NOT_RUN")+COUNTIF('BugResults'!$P$882:$P$920,"BOTH_NOT_RUN")</x:f>
        <x:v>36</x:v>
      </x:c>
      <x:c r="F33" s="33" t="n">
        <x:f>IF('Verdicts'!E39=0,"—",E33/'Verdicts'!E39)</x:f>
        <x:v>1</x:v>
      </x:c>
      <x:c r="G33" s="17" t="n">
        <x:f>'Verdicts'!E39</x:f>
        <x:v>36</x:v>
      </x:c>
      <x:c r="H33" s="17"/>
    </x:row>
    <x:row r="34" ht="23" customHeight="1">
      <x:c r="B34" s="17" t="str">
        <x:v>Cli</x:v>
      </x:c>
      <x:c r="C34" s="17" t="str">
        <x:v>All rounds</x:v>
      </x:c>
      <x:c r="D34" s="17" t="str">
        <x:v>COVERAGE_UNAVAILABLE</x:v>
      </x:c>
      <x:c r="E34" s="17" t="n">
        <x:f>COUNTIF('BugResults'!$P$28:$P$66,"COVERAGE_UNAVAILABLE")+COUNTIF('BugResults'!$P$882:$P$920,"COVERAGE_UNAVAILABLE")</x:f>
        <x:v>0</x:v>
      </x:c>
      <x:c r="F34" s="33" t="n">
        <x:f>IF('Verdicts'!E39=0,"—",E34/'Verdicts'!E39)</x:f>
        <x:v>0</x:v>
      </x:c>
      <x:c r="G34" s="17" t="n">
        <x:f>'Verdicts'!E39</x:f>
        <x:v>36</x:v>
      </x:c>
      <x:c r="H34" s="17"/>
    </x:row>
    <x:row r="35" ht="23" customHeight="1">
      <x:c r="B35" s="17" t="str">
        <x:v>Cli</x:v>
      </x:c>
      <x:c r="C35" s="17" t="str">
        <x:v>Round1</x:v>
      </x:c>
      <x:c r="D35" s="17" t="str">
        <x:v>BUGGY_NOT_RUN</x:v>
      </x:c>
      <x:c r="E35" s="17" t="n">
        <x:f>COUNTIF('BugResults'!$P$28:$P$66,"BUGGY_NOT_RUN")</x:f>
        <x:v>0</x:v>
      </x:c>
      <x:c r="F35" s="33" t="n">
        <x:f>IF('Verdicts'!E44=0,"—",E35/'Verdicts'!E44)</x:f>
        <x:v>0</x:v>
      </x:c>
      <x:c r="G35" s="17" t="n">
        <x:f>'Verdicts'!E44</x:f>
        <x:v>24</x:v>
      </x:c>
      <x:c r="H35" s="17" t="n">
        <x:f>SUM(E35:E38)-G35</x:f>
        <x:v>0</x:v>
      </x:c>
    </x:row>
    <x:row r="36" ht="23" customHeight="1">
      <x:c r="B36" s="17" t="str">
        <x:v>Cli</x:v>
      </x:c>
      <x:c r="C36" s="17" t="str">
        <x:v>Round1</x:v>
      </x:c>
      <x:c r="D36" s="17" t="str">
        <x:v>FIXED_NOT_RUN</x:v>
      </x:c>
      <x:c r="E36" s="17" t="n">
        <x:f>COUNTIF('BugResults'!$P$28:$P$66,"FIXED_NOT_RUN")</x:f>
        <x:v>0</x:v>
      </x:c>
      <x:c r="F36" s="33" t="n">
        <x:f>IF('Verdicts'!E44=0,"—",E36/'Verdicts'!E44)</x:f>
        <x:v>0</x:v>
      </x:c>
      <x:c r="G36" s="17" t="n">
        <x:f>'Verdicts'!E44</x:f>
        <x:v>24</x:v>
      </x:c>
      <x:c r="H36" s="17"/>
    </x:row>
    <x:row r="37" ht="23" customHeight="1">
      <x:c r="B37" s="17" t="str">
        <x:v>Cli</x:v>
      </x:c>
      <x:c r="C37" s="17" t="str">
        <x:v>Round1</x:v>
      </x:c>
      <x:c r="D37" s="17" t="str">
        <x:v>BOTH_NOT_RUN</x:v>
      </x:c>
      <x:c r="E37" s="17" t="n">
        <x:f>COUNTIF('BugResults'!$P$28:$P$66,"BOTH_NOT_RUN")</x:f>
        <x:v>24</x:v>
      </x:c>
      <x:c r="F37" s="33" t="n">
        <x:f>IF('Verdicts'!E44=0,"—",E37/'Verdicts'!E44)</x:f>
        <x:v>1</x:v>
      </x:c>
      <x:c r="G37" s="17" t="n">
        <x:f>'Verdicts'!E44</x:f>
        <x:v>24</x:v>
      </x:c>
      <x:c r="H37" s="17"/>
    </x:row>
    <x:row r="38" ht="23" customHeight="1">
      <x:c r="B38" s="17" t="str">
        <x:v>Cli</x:v>
      </x:c>
      <x:c r="C38" s="17" t="str">
        <x:v>Round1</x:v>
      </x:c>
      <x:c r="D38" s="17" t="str">
        <x:v>COVERAGE_UNAVAILABLE</x:v>
      </x:c>
      <x:c r="E38" s="17" t="n">
        <x:f>COUNTIF('BugResults'!$P$28:$P$66,"COVERAGE_UNAVAILABLE")</x:f>
        <x:v>0</x:v>
      </x:c>
      <x:c r="F38" s="33" t="n">
        <x:f>IF('Verdicts'!E44=0,"—",E38/'Verdicts'!E44)</x:f>
        <x:v>0</x:v>
      </x:c>
      <x:c r="G38" s="17" t="n">
        <x:f>'Verdicts'!E44</x:f>
        <x:v>24</x:v>
      </x:c>
      <x:c r="H38" s="17"/>
    </x:row>
    <x:row r="39" ht="23" customHeight="1">
      <x:c r="B39" s="17" t="str">
        <x:v>Cli</x:v>
      </x:c>
      <x:c r="C39" s="17" t="str">
        <x:v>Round2</x:v>
      </x:c>
      <x:c r="D39" s="17" t="str">
        <x:v>BUGGY_NOT_RUN</x:v>
      </x:c>
      <x:c r="E39" s="17" t="n">
        <x:f>COUNTIF('BugResults'!$P$882:$P$920,"BUGGY_NOT_RUN")</x:f>
        <x:v>0</x:v>
      </x:c>
      <x:c r="F39" s="33" t="n">
        <x:f>IF('Verdicts'!E49=0,"—",E39/'Verdicts'!E49)</x:f>
        <x:v>0</x:v>
      </x:c>
      <x:c r="G39" s="17" t="n">
        <x:f>'Verdicts'!E49</x:f>
        <x:v>12</x:v>
      </x:c>
      <x:c r="H39" s="17" t="n">
        <x:f>SUM(E39:E42)-G39</x:f>
        <x:v>0</x:v>
      </x:c>
    </x:row>
    <x:row r="40" ht="23" customHeight="1">
      <x:c r="B40" s="17" t="str">
        <x:v>Cli</x:v>
      </x:c>
      <x:c r="C40" s="17" t="str">
        <x:v>Round2</x:v>
      </x:c>
      <x:c r="D40" s="17" t="str">
        <x:v>FIXED_NOT_RUN</x:v>
      </x:c>
      <x:c r="E40" s="17" t="n">
        <x:f>COUNTIF('BugResults'!$P$882:$P$920,"FIXED_NOT_RUN")</x:f>
        <x:v>0</x:v>
      </x:c>
      <x:c r="F40" s="33" t="n">
        <x:f>IF('Verdicts'!E49=0,"—",E40/'Verdicts'!E49)</x:f>
        <x:v>0</x:v>
      </x:c>
      <x:c r="G40" s="17" t="n">
        <x:f>'Verdicts'!E49</x:f>
        <x:v>12</x:v>
      </x:c>
      <x:c r="H40" s="17"/>
    </x:row>
    <x:row r="41" ht="23" customHeight="1">
      <x:c r="B41" s="17" t="str">
        <x:v>Cli</x:v>
      </x:c>
      <x:c r="C41" s="17" t="str">
        <x:v>Round2</x:v>
      </x:c>
      <x:c r="D41" s="17" t="str">
        <x:v>BOTH_NOT_RUN</x:v>
      </x:c>
      <x:c r="E41" s="17" t="n">
        <x:f>COUNTIF('BugResults'!$P$882:$P$920,"BOTH_NOT_RUN")</x:f>
        <x:v>12</x:v>
      </x:c>
      <x:c r="F41" s="33" t="n">
        <x:f>IF('Verdicts'!E49=0,"—",E41/'Verdicts'!E49)</x:f>
        <x:v>1</x:v>
      </x:c>
      <x:c r="G41" s="17" t="n">
        <x:f>'Verdicts'!E49</x:f>
        <x:v>12</x:v>
      </x:c>
      <x:c r="H41" s="17"/>
    </x:row>
    <x:row r="42" ht="23" customHeight="1">
      <x:c r="B42" s="17" t="str">
        <x:v>Cli</x:v>
      </x:c>
      <x:c r="C42" s="17" t="str">
        <x:v>Round2</x:v>
      </x:c>
      <x:c r="D42" s="17" t="str">
        <x:v>COVERAGE_UNAVAILABLE</x:v>
      </x:c>
      <x:c r="E42" s="17" t="n">
        <x:f>COUNTIF('BugResults'!$P$882:$P$920,"COVERAGE_UNAVAILABLE")</x:f>
        <x:v>0</x:v>
      </x:c>
      <x:c r="F42" s="33" t="n">
        <x:f>IF('Verdicts'!E49=0,"—",E42/'Verdicts'!E49)</x:f>
        <x:v>0</x:v>
      </x:c>
      <x:c r="G42" s="17" t="n">
        <x:f>'Verdicts'!E49</x:f>
        <x:v>12</x:v>
      </x:c>
      <x:c r="H42" s="17"/>
    </x:row>
    <x:row r="43" ht="23" customHeight="1">
      <x:c r="B43" s="17" t="str">
        <x:v>Closure</x:v>
      </x:c>
      <x:c r="C43" s="17" t="str">
        <x:v>All rounds</x:v>
      </x:c>
      <x:c r="D43" s="17" t="str">
        <x:v>BUGGY_NOT_RUN</x:v>
      </x:c>
      <x:c r="E43" s="17" t="n">
        <x:f>COUNTIF('BugResults'!$P$67:$P$240,"BUGGY_NOT_RUN")+COUNTIF('BugResults'!$P$921:$P$1094,"BUGGY_NOT_RUN")</x:f>
        <x:v>0</x:v>
      </x:c>
      <x:c r="F43" s="33" t="n">
        <x:f>IF('Verdicts'!E54=0,"—",E43/'Verdicts'!E54)</x:f>
        <x:v>0</x:v>
      </x:c>
      <x:c r="G43" s="17" t="n">
        <x:f>'Verdicts'!E54</x:f>
        <x:v>315</x:v>
      </x:c>
      <x:c r="H43" s="17" t="n">
        <x:f>SUM(E43:E46)-G43</x:f>
        <x:v>0</x:v>
      </x:c>
    </x:row>
    <x:row r="44" ht="23" customHeight="1">
      <x:c r="B44" s="17" t="str">
        <x:v>Closure</x:v>
      </x:c>
      <x:c r="C44" s="17" t="str">
        <x:v>All rounds</x:v>
      </x:c>
      <x:c r="D44" s="17" t="str">
        <x:v>FIXED_NOT_RUN</x:v>
      </x:c>
      <x:c r="E44" s="17" t="n">
        <x:f>COUNTIF('BugResults'!$P$67:$P$240,"FIXED_NOT_RUN")+COUNTIF('BugResults'!$P$921:$P$1094,"FIXED_NOT_RUN")</x:f>
        <x:v>0</x:v>
      </x:c>
      <x:c r="F44" s="33" t="n">
        <x:f>IF('Verdicts'!E54=0,"—",E44/'Verdicts'!E54)</x:f>
        <x:v>0</x:v>
      </x:c>
      <x:c r="G44" s="17" t="n">
        <x:f>'Verdicts'!E54</x:f>
        <x:v>315</x:v>
      </x:c>
      <x:c r="H44" s="17"/>
    </x:row>
    <x:row r="45" ht="23" customHeight="1">
      <x:c r="B45" s="17" t="str">
        <x:v>Closure</x:v>
      </x:c>
      <x:c r="C45" s="17" t="str">
        <x:v>All rounds</x:v>
      </x:c>
      <x:c r="D45" s="17" t="str">
        <x:v>BOTH_NOT_RUN</x:v>
      </x:c>
      <x:c r="E45" s="17" t="n">
        <x:f>COUNTIF('BugResults'!$P$67:$P$240,"BOTH_NOT_RUN")+COUNTIF('BugResults'!$P$921:$P$1094,"BOTH_NOT_RUN")</x:f>
        <x:v>315</x:v>
      </x:c>
      <x:c r="F45" s="33" t="n">
        <x:f>IF('Verdicts'!E54=0,"—",E45/'Verdicts'!E54)</x:f>
        <x:v>1</x:v>
      </x:c>
      <x:c r="G45" s="17" t="n">
        <x:f>'Verdicts'!E54</x:f>
        <x:v>315</x:v>
      </x:c>
      <x:c r="H45" s="17"/>
    </x:row>
    <x:row r="46" ht="23" customHeight="1">
      <x:c r="B46" s="17" t="str">
        <x:v>Closure</x:v>
      </x:c>
      <x:c r="C46" s="17" t="str">
        <x:v>All rounds</x:v>
      </x:c>
      <x:c r="D46" s="17" t="str">
        <x:v>COVERAGE_UNAVAILABLE</x:v>
      </x:c>
      <x:c r="E46" s="17" t="n">
        <x:f>COUNTIF('BugResults'!$P$67:$P$240,"COVERAGE_UNAVAILABLE")+COUNTIF('BugResults'!$P$921:$P$1094,"COVERAGE_UNAVAILABLE")</x:f>
        <x:v>0</x:v>
      </x:c>
      <x:c r="F46" s="33" t="n">
        <x:f>IF('Verdicts'!E54=0,"—",E46/'Verdicts'!E54)</x:f>
        <x:v>0</x:v>
      </x:c>
      <x:c r="G46" s="17" t="n">
        <x:f>'Verdicts'!E54</x:f>
        <x:v>315</x:v>
      </x:c>
      <x:c r="H46" s="17"/>
    </x:row>
    <x:row r="47" ht="23" customHeight="1">
      <x:c r="B47" s="17" t="str">
        <x:v>Closure</x:v>
      </x:c>
      <x:c r="C47" s="17" t="str">
        <x:v>Round1</x:v>
      </x:c>
      <x:c r="D47" s="17" t="str">
        <x:v>BUGGY_NOT_RUN</x:v>
      </x:c>
      <x:c r="E47" s="17" t="n">
        <x:f>COUNTIF('BugResults'!$P$67:$P$240,"BUGGY_NOT_RUN")</x:f>
        <x:v>0</x:v>
      </x:c>
      <x:c r="F47" s="33" t="n">
        <x:f>IF('Verdicts'!E59=0,"—",E47/'Verdicts'!E59)</x:f>
        <x:v>0</x:v>
      </x:c>
      <x:c r="G47" s="17" t="n">
        <x:f>'Verdicts'!E59</x:f>
        <x:v>167</x:v>
      </x:c>
      <x:c r="H47" s="17" t="n">
        <x:f>SUM(E47:E50)-G47</x:f>
        <x:v>0</x:v>
      </x:c>
    </x:row>
    <x:row r="48" ht="23" customHeight="1">
      <x:c r="B48" s="17" t="str">
        <x:v>Closure</x:v>
      </x:c>
      <x:c r="C48" s="17" t="str">
        <x:v>Round1</x:v>
      </x:c>
      <x:c r="D48" s="17" t="str">
        <x:v>FIXED_NOT_RUN</x:v>
      </x:c>
      <x:c r="E48" s="17" t="n">
        <x:f>COUNTIF('BugResults'!$P$67:$P$240,"FIXED_NOT_RUN")</x:f>
        <x:v>0</x:v>
      </x:c>
      <x:c r="F48" s="33" t="n">
        <x:f>IF('Verdicts'!E59=0,"—",E48/'Verdicts'!E59)</x:f>
        <x:v>0</x:v>
      </x:c>
      <x:c r="G48" s="17" t="n">
        <x:f>'Verdicts'!E59</x:f>
        <x:v>167</x:v>
      </x:c>
      <x:c r="H48" s="17"/>
    </x:row>
    <x:row r="49" ht="23" customHeight="1">
      <x:c r="B49" s="17" t="str">
        <x:v>Closure</x:v>
      </x:c>
      <x:c r="C49" s="17" t="str">
        <x:v>Round1</x:v>
      </x:c>
      <x:c r="D49" s="17" t="str">
        <x:v>BOTH_NOT_RUN</x:v>
      </x:c>
      <x:c r="E49" s="17" t="n">
        <x:f>COUNTIF('BugResults'!$P$67:$P$240,"BOTH_NOT_RUN")</x:f>
        <x:v>167</x:v>
      </x:c>
      <x:c r="F49" s="33" t="n">
        <x:f>IF('Verdicts'!E59=0,"—",E49/'Verdicts'!E59)</x:f>
        <x:v>1</x:v>
      </x:c>
      <x:c r="G49" s="17" t="n">
        <x:f>'Verdicts'!E59</x:f>
        <x:v>167</x:v>
      </x:c>
      <x:c r="H49" s="17"/>
    </x:row>
    <x:row r="50" ht="23" customHeight="1">
      <x:c r="B50" s="17" t="str">
        <x:v>Closure</x:v>
      </x:c>
      <x:c r="C50" s="17" t="str">
        <x:v>Round1</x:v>
      </x:c>
      <x:c r="D50" s="17" t="str">
        <x:v>COVERAGE_UNAVAILABLE</x:v>
      </x:c>
      <x:c r="E50" s="17" t="n">
        <x:f>COUNTIF('BugResults'!$P$67:$P$240,"COVERAGE_UNAVAILABLE")</x:f>
        <x:v>0</x:v>
      </x:c>
      <x:c r="F50" s="33" t="n">
        <x:f>IF('Verdicts'!E59=0,"—",E50/'Verdicts'!E59)</x:f>
        <x:v>0</x:v>
      </x:c>
      <x:c r="G50" s="17" t="n">
        <x:f>'Verdicts'!E59</x:f>
        <x:v>167</x:v>
      </x:c>
      <x:c r="H50" s="17"/>
    </x:row>
    <x:row r="51" ht="23" customHeight="1">
      <x:c r="B51" s="17" t="str">
        <x:v>Closure</x:v>
      </x:c>
      <x:c r="C51" s="17" t="str">
        <x:v>Round2</x:v>
      </x:c>
      <x:c r="D51" s="17" t="str">
        <x:v>BUGGY_NOT_RUN</x:v>
      </x:c>
      <x:c r="E51" s="17" t="n">
        <x:f>COUNTIF('BugResults'!$P$921:$P$1094,"BUGGY_NOT_RUN")</x:f>
        <x:v>0</x:v>
      </x:c>
      <x:c r="F51" s="33" t="n">
        <x:f>IF('Verdicts'!E64=0,"—",E51/'Verdicts'!E64)</x:f>
        <x:v>0</x:v>
      </x:c>
      <x:c r="G51" s="17" t="n">
        <x:f>'Verdicts'!E64</x:f>
        <x:v>148</x:v>
      </x:c>
      <x:c r="H51" s="17" t="n">
        <x:f>SUM(E51:E54)-G51</x:f>
        <x:v>0</x:v>
      </x:c>
    </x:row>
    <x:row r="52" ht="23" customHeight="1">
      <x:c r="B52" s="17" t="str">
        <x:v>Closure</x:v>
      </x:c>
      <x:c r="C52" s="17" t="str">
        <x:v>Round2</x:v>
      </x:c>
      <x:c r="D52" s="17" t="str">
        <x:v>FIXED_NOT_RUN</x:v>
      </x:c>
      <x:c r="E52" s="17" t="n">
        <x:f>COUNTIF('BugResults'!$P$921:$P$1094,"FIXED_NOT_RUN")</x:f>
        <x:v>0</x:v>
      </x:c>
      <x:c r="F52" s="33" t="n">
        <x:f>IF('Verdicts'!E64=0,"—",E52/'Verdicts'!E64)</x:f>
        <x:v>0</x:v>
      </x:c>
      <x:c r="G52" s="17" t="n">
        <x:f>'Verdicts'!E64</x:f>
        <x:v>148</x:v>
      </x:c>
      <x:c r="H52" s="17"/>
    </x:row>
    <x:row r="53" ht="23" customHeight="1">
      <x:c r="B53" s="17" t="str">
        <x:v>Closure</x:v>
      </x:c>
      <x:c r="C53" s="17" t="str">
        <x:v>Round2</x:v>
      </x:c>
      <x:c r="D53" s="17" t="str">
        <x:v>BOTH_NOT_RUN</x:v>
      </x:c>
      <x:c r="E53" s="17" t="n">
        <x:f>COUNTIF('BugResults'!$P$921:$P$1094,"BOTH_NOT_RUN")</x:f>
        <x:v>148</x:v>
      </x:c>
      <x:c r="F53" s="33" t="n">
        <x:f>IF('Verdicts'!E64=0,"—",E53/'Verdicts'!E64)</x:f>
        <x:v>1</x:v>
      </x:c>
      <x:c r="G53" s="17" t="n">
        <x:f>'Verdicts'!E64</x:f>
        <x:v>148</x:v>
      </x:c>
      <x:c r="H53" s="17"/>
    </x:row>
    <x:row r="54" ht="23" customHeight="1">
      <x:c r="B54" s="17" t="str">
        <x:v>Closure</x:v>
      </x:c>
      <x:c r="C54" s="17" t="str">
        <x:v>Round2</x:v>
      </x:c>
      <x:c r="D54" s="17" t="str">
        <x:v>COVERAGE_UNAVAILABLE</x:v>
      </x:c>
      <x:c r="E54" s="17" t="n">
        <x:f>COUNTIF('BugResults'!$P$921:$P$1094,"COVERAGE_UNAVAILABLE")</x:f>
        <x:v>0</x:v>
      </x:c>
      <x:c r="F54" s="33" t="n">
        <x:f>IF('Verdicts'!E64=0,"—",E54/'Verdicts'!E64)</x:f>
        <x:v>0</x:v>
      </x:c>
      <x:c r="G54" s="17" t="n">
        <x:f>'Verdicts'!E64</x:f>
        <x:v>148</x:v>
      </x:c>
      <x:c r="H54" s="17"/>
    </x:row>
    <x:row r="55" ht="23" customHeight="1">
      <x:c r="B55" s="17" t="str">
        <x:v>Codec</x:v>
      </x:c>
      <x:c r="C55" s="17" t="str">
        <x:v>All rounds</x:v>
      </x:c>
      <x:c r="D55" s="17" t="str">
        <x:v>BUGGY_NOT_RUN</x:v>
      </x:c>
      <x:c r="E55" s="17" t="n">
        <x:f>COUNTIF('BugResults'!$P$241:$P$258,"BUGGY_NOT_RUN")+COUNTIF('BugResults'!$P$1095:$P$1112,"BUGGY_NOT_RUN")</x:f>
        <x:v>1</x:v>
      </x:c>
      <x:c r="F55" s="33" t="n">
        <x:f>IF('Verdicts'!E69=0,"—",E55/'Verdicts'!E69)</x:f>
        <x:v>0.05555555555555555</x:v>
      </x:c>
      <x:c r="G55" s="17" t="n">
        <x:f>'Verdicts'!E69</x:f>
        <x:v>18</x:v>
      </x:c>
      <x:c r="H55" s="17" t="n">
        <x:f>SUM(E55:E58)-G55</x:f>
        <x:v>0</x:v>
      </x:c>
    </x:row>
    <x:row r="56" ht="23" customHeight="1">
      <x:c r="B56" s="17" t="str">
        <x:v>Codec</x:v>
      </x:c>
      <x:c r="C56" s="17" t="str">
        <x:v>All rounds</x:v>
      </x:c>
      <x:c r="D56" s="17" t="str">
        <x:v>FIXED_NOT_RUN</x:v>
      </x:c>
      <x:c r="E56" s="17" t="n">
        <x:f>COUNTIF('BugResults'!$P$241:$P$258,"FIXED_NOT_RUN")+COUNTIF('BugResults'!$P$1095:$P$1112,"FIXED_NOT_RUN")</x:f>
        <x:v>2</x:v>
      </x:c>
      <x:c r="F56" s="33" t="n">
        <x:f>IF('Verdicts'!E69=0,"—",E56/'Verdicts'!E69)</x:f>
        <x:v>0.1111111111111111</x:v>
      </x:c>
      <x:c r="G56" s="17" t="n">
        <x:f>'Verdicts'!E69</x:f>
        <x:v>18</x:v>
      </x:c>
      <x:c r="H56" s="17"/>
    </x:row>
    <x:row r="57" ht="23" customHeight="1">
      <x:c r="B57" s="17" t="str">
        <x:v>Codec</x:v>
      </x:c>
      <x:c r="C57" s="17" t="str">
        <x:v>All rounds</x:v>
      </x:c>
      <x:c r="D57" s="17" t="str">
        <x:v>BOTH_NOT_RUN</x:v>
      </x:c>
      <x:c r="E57" s="17" t="n">
        <x:f>COUNTIF('BugResults'!$P$241:$P$258,"BOTH_NOT_RUN")+COUNTIF('BugResults'!$P$1095:$P$1112,"BOTH_NOT_RUN")</x:f>
        <x:v>15</x:v>
      </x:c>
      <x:c r="F57" s="33" t="n">
        <x:f>IF('Verdicts'!E69=0,"—",E57/'Verdicts'!E69)</x:f>
        <x:v>0.8333333333333334</x:v>
      </x:c>
      <x:c r="G57" s="17" t="n">
        <x:f>'Verdicts'!E69</x:f>
        <x:v>18</x:v>
      </x:c>
      <x:c r="H57" s="17"/>
    </x:row>
    <x:row r="58" ht="23" customHeight="1">
      <x:c r="B58" s="17" t="str">
        <x:v>Codec</x:v>
      </x:c>
      <x:c r="C58" s="17" t="str">
        <x:v>All rounds</x:v>
      </x:c>
      <x:c r="D58" s="17" t="str">
        <x:v>COVERAGE_UNAVAILABLE</x:v>
      </x:c>
      <x:c r="E58" s="17" t="n">
        <x:f>COUNTIF('BugResults'!$P$241:$P$258,"COVERAGE_UNAVAILABLE")+COUNTIF('BugResults'!$P$1095:$P$1112,"COVERAGE_UNAVAILABLE")</x:f>
        <x:v>0</x:v>
      </x:c>
      <x:c r="F58" s="33" t="n">
        <x:f>IF('Verdicts'!E69=0,"—",E58/'Verdicts'!E69)</x:f>
        <x:v>0</x:v>
      </x:c>
      <x:c r="G58" s="17" t="n">
        <x:f>'Verdicts'!E69</x:f>
        <x:v>18</x:v>
      </x:c>
      <x:c r="H58" s="17"/>
    </x:row>
    <x:row r="59" ht="23" customHeight="1">
      <x:c r="B59" s="17" t="str">
        <x:v>Codec</x:v>
      </x:c>
      <x:c r="C59" s="17" t="str">
        <x:v>Round1</x:v>
      </x:c>
      <x:c r="D59" s="17" t="str">
        <x:v>BUGGY_NOT_RUN</x:v>
      </x:c>
      <x:c r="E59" s="17" t="n">
        <x:f>COUNTIF('BugResults'!$P$241:$P$258,"BUGGY_NOT_RUN")</x:f>
        <x:v>1</x:v>
      </x:c>
      <x:c r="F59" s="33" t="n">
        <x:f>IF('Verdicts'!E74=0,"—",E59/'Verdicts'!E74)</x:f>
        <x:v>0.07142857142857142</x:v>
      </x:c>
      <x:c r="G59" s="17" t="n">
        <x:f>'Verdicts'!E74</x:f>
        <x:v>14</x:v>
      </x:c>
      <x:c r="H59" s="17" t="n">
        <x:f>SUM(E59:E62)-G59</x:f>
        <x:v>0</x:v>
      </x:c>
    </x:row>
    <x:row r="60" ht="23" customHeight="1">
      <x:c r="B60" s="17" t="str">
        <x:v>Codec</x:v>
      </x:c>
      <x:c r="C60" s="17" t="str">
        <x:v>Round1</x:v>
      </x:c>
      <x:c r="D60" s="17" t="str">
        <x:v>FIXED_NOT_RUN</x:v>
      </x:c>
      <x:c r="E60" s="17" t="n">
        <x:f>COUNTIF('BugResults'!$P$241:$P$258,"FIXED_NOT_RUN")</x:f>
        <x:v>2</x:v>
      </x:c>
      <x:c r="F60" s="33" t="n">
        <x:f>IF('Verdicts'!E74=0,"—",E60/'Verdicts'!E74)</x:f>
        <x:v>0.14285714285714285</x:v>
      </x:c>
      <x:c r="G60" s="17" t="n">
        <x:f>'Verdicts'!E74</x:f>
        <x:v>14</x:v>
      </x:c>
      <x:c r="H60" s="17"/>
    </x:row>
    <x:row r="61" ht="23" customHeight="1">
      <x:c r="B61" s="17" t="str">
        <x:v>Codec</x:v>
      </x:c>
      <x:c r="C61" s="17" t="str">
        <x:v>Round1</x:v>
      </x:c>
      <x:c r="D61" s="17" t="str">
        <x:v>BOTH_NOT_RUN</x:v>
      </x:c>
      <x:c r="E61" s="17" t="n">
        <x:f>COUNTIF('BugResults'!$P$241:$P$258,"BOTH_NOT_RUN")</x:f>
        <x:v>11</x:v>
      </x:c>
      <x:c r="F61" s="33" t="n">
        <x:f>IF('Verdicts'!E74=0,"—",E61/'Verdicts'!E74)</x:f>
        <x:v>0.7857142857142857</x:v>
      </x:c>
      <x:c r="G61" s="17" t="n">
        <x:f>'Verdicts'!E74</x:f>
        <x:v>14</x:v>
      </x:c>
      <x:c r="H61" s="17"/>
    </x:row>
    <x:row r="62" ht="23" customHeight="1">
      <x:c r="B62" s="17" t="str">
        <x:v>Codec</x:v>
      </x:c>
      <x:c r="C62" s="17" t="str">
        <x:v>Round1</x:v>
      </x:c>
      <x:c r="D62" s="17" t="str">
        <x:v>COVERAGE_UNAVAILABLE</x:v>
      </x:c>
      <x:c r="E62" s="17" t="n">
        <x:f>COUNTIF('BugResults'!$P$241:$P$258,"COVERAGE_UNAVAILABLE")</x:f>
        <x:v>0</x:v>
      </x:c>
      <x:c r="F62" s="33" t="n">
        <x:f>IF('Verdicts'!E74=0,"—",E62/'Verdicts'!E74)</x:f>
        <x:v>0</x:v>
      </x:c>
      <x:c r="G62" s="17" t="n">
        <x:f>'Verdicts'!E74</x:f>
        <x:v>14</x:v>
      </x:c>
      <x:c r="H62" s="17"/>
    </x:row>
    <x:row r="63" ht="23" customHeight="1">
      <x:c r="B63" s="17" t="str">
        <x:v>Codec</x:v>
      </x:c>
      <x:c r="C63" s="17" t="str">
        <x:v>Round2</x:v>
      </x:c>
      <x:c r="D63" s="17" t="str">
        <x:v>BUGGY_NOT_RUN</x:v>
      </x:c>
      <x:c r="E63" s="17" t="n">
        <x:f>COUNTIF('BugResults'!$P$1095:$P$1112,"BUGGY_NOT_RUN")</x:f>
        <x:v>0</x:v>
      </x:c>
      <x:c r="F63" s="33" t="n">
        <x:f>IF('Verdicts'!E79=0,"—",E63/'Verdicts'!E79)</x:f>
        <x:v>0</x:v>
      </x:c>
      <x:c r="G63" s="17" t="n">
        <x:f>'Verdicts'!E79</x:f>
        <x:v>4</x:v>
      </x:c>
      <x:c r="H63" s="17" t="n">
        <x:f>SUM(E63:E66)-G63</x:f>
        <x:v>0</x:v>
      </x:c>
    </x:row>
    <x:row r="64" ht="23" customHeight="1">
      <x:c r="B64" s="17" t="str">
        <x:v>Codec</x:v>
      </x:c>
      <x:c r="C64" s="17" t="str">
        <x:v>Round2</x:v>
      </x:c>
      <x:c r="D64" s="17" t="str">
        <x:v>FIXED_NOT_RUN</x:v>
      </x:c>
      <x:c r="E64" s="17" t="n">
        <x:f>COUNTIF('BugResults'!$P$1095:$P$1112,"FIXED_NOT_RUN")</x:f>
        <x:v>0</x:v>
      </x:c>
      <x:c r="F64" s="33" t="n">
        <x:f>IF('Verdicts'!E79=0,"—",E64/'Verdicts'!E79)</x:f>
        <x:v>0</x:v>
      </x:c>
      <x:c r="G64" s="17" t="n">
        <x:f>'Verdicts'!E79</x:f>
        <x:v>4</x:v>
      </x:c>
      <x:c r="H64" s="17"/>
    </x:row>
    <x:row r="65" ht="23" customHeight="1">
      <x:c r="B65" s="17" t="str">
        <x:v>Codec</x:v>
      </x:c>
      <x:c r="C65" s="17" t="str">
        <x:v>Round2</x:v>
      </x:c>
      <x:c r="D65" s="17" t="str">
        <x:v>BOTH_NOT_RUN</x:v>
      </x:c>
      <x:c r="E65" s="17" t="n">
        <x:f>COUNTIF('BugResults'!$P$1095:$P$1112,"BOTH_NOT_RUN")</x:f>
        <x:v>4</x:v>
      </x:c>
      <x:c r="F65" s="33" t="n">
        <x:f>IF('Verdicts'!E79=0,"—",E65/'Verdicts'!E79)</x:f>
        <x:v>1</x:v>
      </x:c>
      <x:c r="G65" s="17" t="n">
        <x:f>'Verdicts'!E79</x:f>
        <x:v>4</x:v>
      </x:c>
      <x:c r="H65" s="17"/>
    </x:row>
    <x:row r="66" ht="23" customHeight="1">
      <x:c r="B66" s="17" t="str">
        <x:v>Codec</x:v>
      </x:c>
      <x:c r="C66" s="17" t="str">
        <x:v>Round2</x:v>
      </x:c>
      <x:c r="D66" s="17" t="str">
        <x:v>COVERAGE_UNAVAILABLE</x:v>
      </x:c>
      <x:c r="E66" s="17" t="n">
        <x:f>COUNTIF('BugResults'!$P$1095:$P$1112,"COVERAGE_UNAVAILABLE")</x:f>
        <x:v>0</x:v>
      </x:c>
      <x:c r="F66" s="33" t="n">
        <x:f>IF('Verdicts'!E79=0,"—",E66/'Verdicts'!E79)</x:f>
        <x:v>0</x:v>
      </x:c>
      <x:c r="G66" s="17" t="n">
        <x:f>'Verdicts'!E79</x:f>
        <x:v>4</x:v>
      </x:c>
      <x:c r="H66" s="17"/>
    </x:row>
    <x:row r="67" ht="23" customHeight="1">
      <x:c r="B67" s="17" t="str">
        <x:v>Collections</x:v>
      </x:c>
      <x:c r="C67" s="17" t="str">
        <x:v>All rounds</x:v>
      </x:c>
      <x:c r="D67" s="17" t="str">
        <x:v>BUGGY_NOT_RUN</x:v>
      </x:c>
      <x:c r="E67" s="17" t="n">
        <x:f>COUNTIF('BugResults'!$P$259:$P$286,"BUGGY_NOT_RUN")+COUNTIF('BugResults'!$P$1113:$P$1140,"BUGGY_NOT_RUN")</x:f>
        <x:v>0</x:v>
      </x:c>
      <x:c r="F67" s="33" t="n">
        <x:f>IF('Verdicts'!E84=0,"—",E67/'Verdicts'!E84)</x:f>
        <x:v>0</x:v>
      </x:c>
      <x:c r="G67" s="17" t="n">
        <x:f>'Verdicts'!E84</x:f>
        <x:v>30</x:v>
      </x:c>
      <x:c r="H67" s="17" t="n">
        <x:f>SUM(E67:E70)-G67</x:f>
        <x:v>0</x:v>
      </x:c>
    </x:row>
    <x:row r="68" ht="23" customHeight="1">
      <x:c r="B68" s="17" t="str">
        <x:v>Collections</x:v>
      </x:c>
      <x:c r="C68" s="17" t="str">
        <x:v>All rounds</x:v>
      </x:c>
      <x:c r="D68" s="17" t="str">
        <x:v>FIXED_NOT_RUN</x:v>
      </x:c>
      <x:c r="E68" s="17" t="n">
        <x:f>COUNTIF('BugResults'!$P$259:$P$286,"FIXED_NOT_RUN")+COUNTIF('BugResults'!$P$1113:$P$1140,"FIXED_NOT_RUN")</x:f>
        <x:v>0</x:v>
      </x:c>
      <x:c r="F68" s="33" t="n">
        <x:f>IF('Verdicts'!E84=0,"—",E68/'Verdicts'!E84)</x:f>
        <x:v>0</x:v>
      </x:c>
      <x:c r="G68" s="17" t="n">
        <x:f>'Verdicts'!E84</x:f>
        <x:v>30</x:v>
      </x:c>
      <x:c r="H68" s="17"/>
    </x:row>
    <x:row r="69" ht="23" customHeight="1">
      <x:c r="B69" s="17" t="str">
        <x:v>Collections</x:v>
      </x:c>
      <x:c r="C69" s="17" t="str">
        <x:v>All rounds</x:v>
      </x:c>
      <x:c r="D69" s="17" t="str">
        <x:v>BOTH_NOT_RUN</x:v>
      </x:c>
      <x:c r="E69" s="17" t="n">
        <x:f>COUNTIF('BugResults'!$P$259:$P$286,"BOTH_NOT_RUN")+COUNTIF('BugResults'!$P$1113:$P$1140,"BOTH_NOT_RUN")</x:f>
        <x:v>30</x:v>
      </x:c>
      <x:c r="F69" s="33" t="n">
        <x:f>IF('Verdicts'!E84=0,"—",E69/'Verdicts'!E84)</x:f>
        <x:v>1</x:v>
      </x:c>
      <x:c r="G69" s="17" t="n">
        <x:f>'Verdicts'!E84</x:f>
        <x:v>30</x:v>
      </x:c>
      <x:c r="H69" s="17"/>
    </x:row>
    <x:row r="70" ht="23" customHeight="1">
      <x:c r="B70" s="17" t="str">
        <x:v>Collections</x:v>
      </x:c>
      <x:c r="C70" s="17" t="str">
        <x:v>All rounds</x:v>
      </x:c>
      <x:c r="D70" s="17" t="str">
        <x:v>COVERAGE_UNAVAILABLE</x:v>
      </x:c>
      <x:c r="E70" s="17" t="n">
        <x:f>COUNTIF('BugResults'!$P$259:$P$286,"COVERAGE_UNAVAILABLE")+COUNTIF('BugResults'!$P$1113:$P$1140,"COVERAGE_UNAVAILABLE")</x:f>
        <x:v>0</x:v>
      </x:c>
      <x:c r="F70" s="33" t="n">
        <x:f>IF('Verdicts'!E84=0,"—",E70/'Verdicts'!E84)</x:f>
        <x:v>0</x:v>
      </x:c>
      <x:c r="G70" s="17" t="n">
        <x:f>'Verdicts'!E84</x:f>
        <x:v>30</x:v>
      </x:c>
      <x:c r="H70" s="17"/>
    </x:row>
    <x:row r="71" ht="23" customHeight="1">
      <x:c r="B71" s="17" t="str">
        <x:v>Collections</x:v>
      </x:c>
      <x:c r="C71" s="17" t="str">
        <x:v>Round1</x:v>
      </x:c>
      <x:c r="D71" s="17" t="str">
        <x:v>BUGGY_NOT_RUN</x:v>
      </x:c>
      <x:c r="E71" s="17" t="n">
        <x:f>COUNTIF('BugResults'!$P$259:$P$286,"BUGGY_NOT_RUN")</x:f>
        <x:v>0</x:v>
      </x:c>
      <x:c r="F71" s="33" t="n">
        <x:f>IF('Verdicts'!E89=0,"—",E71/'Verdicts'!E89)</x:f>
        <x:v>0</x:v>
      </x:c>
      <x:c r="G71" s="17" t="n">
        <x:f>'Verdicts'!E89</x:f>
        <x:v>19</x:v>
      </x:c>
      <x:c r="H71" s="17" t="n">
        <x:f>SUM(E71:E74)-G71</x:f>
        <x:v>0</x:v>
      </x:c>
    </x:row>
    <x:row r="72" ht="23" customHeight="1">
      <x:c r="B72" s="17" t="str">
        <x:v>Collections</x:v>
      </x:c>
      <x:c r="C72" s="17" t="str">
        <x:v>Round1</x:v>
      </x:c>
      <x:c r="D72" s="17" t="str">
        <x:v>FIXED_NOT_RUN</x:v>
      </x:c>
      <x:c r="E72" s="17" t="n">
        <x:f>COUNTIF('BugResults'!$P$259:$P$286,"FIXED_NOT_RUN")</x:f>
        <x:v>0</x:v>
      </x:c>
      <x:c r="F72" s="33" t="n">
        <x:f>IF('Verdicts'!E89=0,"—",E72/'Verdicts'!E89)</x:f>
        <x:v>0</x:v>
      </x:c>
      <x:c r="G72" s="17" t="n">
        <x:f>'Verdicts'!E89</x:f>
        <x:v>19</x:v>
      </x:c>
      <x:c r="H72" s="17"/>
    </x:row>
    <x:row r="73" ht="23" customHeight="1">
      <x:c r="B73" s="17" t="str">
        <x:v>Collections</x:v>
      </x:c>
      <x:c r="C73" s="17" t="str">
        <x:v>Round1</x:v>
      </x:c>
      <x:c r="D73" s="17" t="str">
        <x:v>BOTH_NOT_RUN</x:v>
      </x:c>
      <x:c r="E73" s="17" t="n">
        <x:f>COUNTIF('BugResults'!$P$259:$P$286,"BOTH_NOT_RUN")</x:f>
        <x:v>19</x:v>
      </x:c>
      <x:c r="F73" s="33" t="n">
        <x:f>IF('Verdicts'!E89=0,"—",E73/'Verdicts'!E89)</x:f>
        <x:v>1</x:v>
      </x:c>
      <x:c r="G73" s="17" t="n">
        <x:f>'Verdicts'!E89</x:f>
        <x:v>19</x:v>
      </x:c>
      <x:c r="H73" s="17"/>
    </x:row>
    <x:row r="74" ht="23" customHeight="1">
      <x:c r="B74" s="17" t="str">
        <x:v>Collections</x:v>
      </x:c>
      <x:c r="C74" s="17" t="str">
        <x:v>Round1</x:v>
      </x:c>
      <x:c r="D74" s="17" t="str">
        <x:v>COVERAGE_UNAVAILABLE</x:v>
      </x:c>
      <x:c r="E74" s="17" t="n">
        <x:f>COUNTIF('BugResults'!$P$259:$P$286,"COVERAGE_UNAVAILABLE")</x:f>
        <x:v>0</x:v>
      </x:c>
      <x:c r="F74" s="33" t="n">
        <x:f>IF('Verdicts'!E89=0,"—",E74/'Verdicts'!E89)</x:f>
        <x:v>0</x:v>
      </x:c>
      <x:c r="G74" s="17" t="n">
        <x:f>'Verdicts'!E89</x:f>
        <x:v>19</x:v>
      </x:c>
      <x:c r="H74" s="17"/>
    </x:row>
    <x:row r="75" ht="23" customHeight="1">
      <x:c r="B75" s="17" t="str">
        <x:v>Collections</x:v>
      </x:c>
      <x:c r="C75" s="17" t="str">
        <x:v>Round2</x:v>
      </x:c>
      <x:c r="D75" s="17" t="str">
        <x:v>BUGGY_NOT_RUN</x:v>
      </x:c>
      <x:c r="E75" s="17" t="n">
        <x:f>COUNTIF('BugResults'!$P$1113:$P$1140,"BUGGY_NOT_RUN")</x:f>
        <x:v>0</x:v>
      </x:c>
      <x:c r="F75" s="33" t="n">
        <x:f>IF('Verdicts'!E94=0,"—",E75/'Verdicts'!E94)</x:f>
        <x:v>0</x:v>
      </x:c>
      <x:c r="G75" s="17" t="n">
        <x:f>'Verdicts'!E94</x:f>
        <x:v>11</x:v>
      </x:c>
      <x:c r="H75" s="17" t="n">
        <x:f>SUM(E75:E78)-G75</x:f>
        <x:v>0</x:v>
      </x:c>
    </x:row>
    <x:row r="76" ht="23" customHeight="1">
      <x:c r="B76" s="17" t="str">
        <x:v>Collections</x:v>
      </x:c>
      <x:c r="C76" s="17" t="str">
        <x:v>Round2</x:v>
      </x:c>
      <x:c r="D76" s="17" t="str">
        <x:v>FIXED_NOT_RUN</x:v>
      </x:c>
      <x:c r="E76" s="17" t="n">
        <x:f>COUNTIF('BugResults'!$P$1113:$P$1140,"FIXED_NOT_RUN")</x:f>
        <x:v>0</x:v>
      </x:c>
      <x:c r="F76" s="33" t="n">
        <x:f>IF('Verdicts'!E94=0,"—",E76/'Verdicts'!E94)</x:f>
        <x:v>0</x:v>
      </x:c>
      <x:c r="G76" s="17" t="n">
        <x:f>'Verdicts'!E94</x:f>
        <x:v>11</x:v>
      </x:c>
      <x:c r="H76" s="17"/>
    </x:row>
    <x:row r="77" ht="23" customHeight="1">
      <x:c r="B77" s="17" t="str">
        <x:v>Collections</x:v>
      </x:c>
      <x:c r="C77" s="17" t="str">
        <x:v>Round2</x:v>
      </x:c>
      <x:c r="D77" s="17" t="str">
        <x:v>BOTH_NOT_RUN</x:v>
      </x:c>
      <x:c r="E77" s="17" t="n">
        <x:f>COUNTIF('BugResults'!$P$1113:$P$1140,"BOTH_NOT_RUN")</x:f>
        <x:v>11</x:v>
      </x:c>
      <x:c r="F77" s="33" t="n">
        <x:f>IF('Verdicts'!E94=0,"—",E77/'Verdicts'!E94)</x:f>
        <x:v>1</x:v>
      </x:c>
      <x:c r="G77" s="17" t="n">
        <x:f>'Verdicts'!E94</x:f>
        <x:v>11</x:v>
      </x:c>
      <x:c r="H77" s="17"/>
    </x:row>
    <x:row r="78" ht="23" customHeight="1">
      <x:c r="B78" s="17" t="str">
        <x:v>Collections</x:v>
      </x:c>
      <x:c r="C78" s="17" t="str">
        <x:v>Round2</x:v>
      </x:c>
      <x:c r="D78" s="17" t="str">
        <x:v>COVERAGE_UNAVAILABLE</x:v>
      </x:c>
      <x:c r="E78" s="17" t="n">
        <x:f>COUNTIF('BugResults'!$P$1113:$P$1140,"COVERAGE_UNAVAILABLE")</x:f>
        <x:v>0</x:v>
      </x:c>
      <x:c r="F78" s="33" t="n">
        <x:f>IF('Verdicts'!E94=0,"—",E78/'Verdicts'!E94)</x:f>
        <x:v>0</x:v>
      </x:c>
      <x:c r="G78" s="17" t="n">
        <x:f>'Verdicts'!E94</x:f>
        <x:v>11</x:v>
      </x:c>
      <x:c r="H78" s="17"/>
    </x:row>
    <x:row r="79" ht="23" customHeight="1">
      <x:c r="B79" s="17" t="str">
        <x:v>Compress</x:v>
      </x:c>
      <x:c r="C79" s="17" t="str">
        <x:v>All rounds</x:v>
      </x:c>
      <x:c r="D79" s="17" t="str">
        <x:v>BUGGY_NOT_RUN</x:v>
      </x:c>
      <x:c r="E79" s="17" t="n">
        <x:f>COUNTIF('BugResults'!$P$287:$P$333,"BUGGY_NOT_RUN")+COUNTIF('BugResults'!$P$1141:$P$1187,"BUGGY_NOT_RUN")</x:f>
        <x:v>0</x:v>
      </x:c>
      <x:c r="F79" s="33" t="n">
        <x:f>IF('Verdicts'!E99=0,"—",E79/'Verdicts'!E99)</x:f>
        <x:v>0</x:v>
      </x:c>
      <x:c r="G79" s="17" t="n">
        <x:f>'Verdicts'!E99</x:f>
        <x:v>53</x:v>
      </x:c>
      <x:c r="H79" s="17" t="n">
        <x:f>SUM(E79:E82)-G79</x:f>
        <x:v>0</x:v>
      </x:c>
    </x:row>
    <x:row r="80" ht="23" customHeight="1">
      <x:c r="B80" s="17" t="str">
        <x:v>Compress</x:v>
      </x:c>
      <x:c r="C80" s="17" t="str">
        <x:v>All rounds</x:v>
      </x:c>
      <x:c r="D80" s="17" t="str">
        <x:v>FIXED_NOT_RUN</x:v>
      </x:c>
      <x:c r="E80" s="17" t="n">
        <x:f>COUNTIF('BugResults'!$P$287:$P$333,"FIXED_NOT_RUN")+COUNTIF('BugResults'!$P$1141:$P$1187,"FIXED_NOT_RUN")</x:f>
        <x:v>0</x:v>
      </x:c>
      <x:c r="F80" s="33" t="n">
        <x:f>IF('Verdicts'!E99=0,"—",E80/'Verdicts'!E99)</x:f>
        <x:v>0</x:v>
      </x:c>
      <x:c r="G80" s="17" t="n">
        <x:f>'Verdicts'!E99</x:f>
        <x:v>53</x:v>
      </x:c>
      <x:c r="H80" s="17"/>
    </x:row>
    <x:row r="81" ht="23" customHeight="1">
      <x:c r="B81" s="17" t="str">
        <x:v>Compress</x:v>
      </x:c>
      <x:c r="C81" s="17" t="str">
        <x:v>All rounds</x:v>
      </x:c>
      <x:c r="D81" s="17" t="str">
        <x:v>BOTH_NOT_RUN</x:v>
      </x:c>
      <x:c r="E81" s="17" t="n">
        <x:f>COUNTIF('BugResults'!$P$287:$P$333,"BOTH_NOT_RUN")+COUNTIF('BugResults'!$P$1141:$P$1187,"BOTH_NOT_RUN")</x:f>
        <x:v>53</x:v>
      </x:c>
      <x:c r="F81" s="33" t="n">
        <x:f>IF('Verdicts'!E99=0,"—",E81/'Verdicts'!E99)</x:f>
        <x:v>1</x:v>
      </x:c>
      <x:c r="G81" s="17" t="n">
        <x:f>'Verdicts'!E99</x:f>
        <x:v>53</x:v>
      </x:c>
      <x:c r="H81" s="17"/>
    </x:row>
    <x:row r="82" ht="23" customHeight="1">
      <x:c r="B82" s="17" t="str">
        <x:v>Compress</x:v>
      </x:c>
      <x:c r="C82" s="17" t="str">
        <x:v>All rounds</x:v>
      </x:c>
      <x:c r="D82" s="17" t="str">
        <x:v>COVERAGE_UNAVAILABLE</x:v>
      </x:c>
      <x:c r="E82" s="17" t="n">
        <x:f>COUNTIF('BugResults'!$P$287:$P$333,"COVERAGE_UNAVAILABLE")+COUNTIF('BugResults'!$P$1141:$P$1187,"COVERAGE_UNAVAILABLE")</x:f>
        <x:v>0</x:v>
      </x:c>
      <x:c r="F82" s="33" t="n">
        <x:f>IF('Verdicts'!E99=0,"—",E82/'Verdicts'!E99)</x:f>
        <x:v>0</x:v>
      </x:c>
      <x:c r="G82" s="17" t="n">
        <x:f>'Verdicts'!E99</x:f>
        <x:v>53</x:v>
      </x:c>
      <x:c r="H82" s="17"/>
    </x:row>
    <x:row r="83" ht="23" customHeight="1">
      <x:c r="B83" s="17" t="str">
        <x:v>Compress</x:v>
      </x:c>
      <x:c r="C83" s="17" t="str">
        <x:v>Round1</x:v>
      </x:c>
      <x:c r="D83" s="17" t="str">
        <x:v>BUGGY_NOT_RUN</x:v>
      </x:c>
      <x:c r="E83" s="17" t="n">
        <x:f>COUNTIF('BugResults'!$P$287:$P$333,"BUGGY_NOT_RUN")</x:f>
        <x:v>0</x:v>
      </x:c>
      <x:c r="F83" s="33" t="n">
        <x:f>IF('Verdicts'!E104=0,"—",E83/'Verdicts'!E104)</x:f>
        <x:v>0</x:v>
      </x:c>
      <x:c r="G83" s="17" t="n">
        <x:f>'Verdicts'!E104</x:f>
        <x:v>34</x:v>
      </x:c>
      <x:c r="H83" s="17" t="n">
        <x:f>SUM(E83:E86)-G83</x:f>
        <x:v>0</x:v>
      </x:c>
    </x:row>
    <x:row r="84" ht="23" customHeight="1">
      <x:c r="B84" s="17" t="str">
        <x:v>Compress</x:v>
      </x:c>
      <x:c r="C84" s="17" t="str">
        <x:v>Round1</x:v>
      </x:c>
      <x:c r="D84" s="17" t="str">
        <x:v>FIXED_NOT_RUN</x:v>
      </x:c>
      <x:c r="E84" s="17" t="n">
        <x:f>COUNTIF('BugResults'!$P$287:$P$333,"FIXED_NOT_RUN")</x:f>
        <x:v>0</x:v>
      </x:c>
      <x:c r="F84" s="33" t="n">
        <x:f>IF('Verdicts'!E104=0,"—",E84/'Verdicts'!E104)</x:f>
        <x:v>0</x:v>
      </x:c>
      <x:c r="G84" s="17" t="n">
        <x:f>'Verdicts'!E104</x:f>
        <x:v>34</x:v>
      </x:c>
      <x:c r="H84" s="17"/>
    </x:row>
    <x:row r="85" ht="23" customHeight="1">
      <x:c r="B85" s="17" t="str">
        <x:v>Compress</x:v>
      </x:c>
      <x:c r="C85" s="17" t="str">
        <x:v>Round1</x:v>
      </x:c>
      <x:c r="D85" s="17" t="str">
        <x:v>BOTH_NOT_RUN</x:v>
      </x:c>
      <x:c r="E85" s="17" t="n">
        <x:f>COUNTIF('BugResults'!$P$287:$P$333,"BOTH_NOT_RUN")</x:f>
        <x:v>34</x:v>
      </x:c>
      <x:c r="F85" s="33" t="n">
        <x:f>IF('Verdicts'!E104=0,"—",E85/'Verdicts'!E104)</x:f>
        <x:v>1</x:v>
      </x:c>
      <x:c r="G85" s="17" t="n">
        <x:f>'Verdicts'!E104</x:f>
        <x:v>34</x:v>
      </x:c>
      <x:c r="H85" s="17"/>
    </x:row>
    <x:row r="86" ht="23" customHeight="1">
      <x:c r="B86" s="17" t="str">
        <x:v>Compress</x:v>
      </x:c>
      <x:c r="C86" s="17" t="str">
        <x:v>Round1</x:v>
      </x:c>
      <x:c r="D86" s="17" t="str">
        <x:v>COVERAGE_UNAVAILABLE</x:v>
      </x:c>
      <x:c r="E86" s="17" t="n">
        <x:f>COUNTIF('BugResults'!$P$287:$P$333,"COVERAGE_UNAVAILABLE")</x:f>
        <x:v>0</x:v>
      </x:c>
      <x:c r="F86" s="33" t="n">
        <x:f>IF('Verdicts'!E104=0,"—",E86/'Verdicts'!E104)</x:f>
        <x:v>0</x:v>
      </x:c>
      <x:c r="G86" s="17" t="n">
        <x:f>'Verdicts'!E104</x:f>
        <x:v>34</x:v>
      </x:c>
      <x:c r="H86" s="17"/>
    </x:row>
    <x:row r="87" ht="23" customHeight="1">
      <x:c r="B87" s="17" t="str">
        <x:v>Compress</x:v>
      </x:c>
      <x:c r="C87" s="17" t="str">
        <x:v>Round2</x:v>
      </x:c>
      <x:c r="D87" s="17" t="str">
        <x:v>BUGGY_NOT_RUN</x:v>
      </x:c>
      <x:c r="E87" s="17" t="n">
        <x:f>COUNTIF('BugResults'!$P$1141:$P$1187,"BUGGY_NOT_RUN")</x:f>
        <x:v>0</x:v>
      </x:c>
      <x:c r="F87" s="33" t="n">
        <x:f>IF('Verdicts'!E109=0,"—",E87/'Verdicts'!E109)</x:f>
        <x:v>0</x:v>
      </x:c>
      <x:c r="G87" s="17" t="n">
        <x:f>'Verdicts'!E109</x:f>
        <x:v>19</x:v>
      </x:c>
      <x:c r="H87" s="17" t="n">
        <x:f>SUM(E87:E90)-G87</x:f>
        <x:v>0</x:v>
      </x:c>
    </x:row>
    <x:row r="88" ht="23" customHeight="1">
      <x:c r="B88" s="17" t="str">
        <x:v>Compress</x:v>
      </x:c>
      <x:c r="C88" s="17" t="str">
        <x:v>Round2</x:v>
      </x:c>
      <x:c r="D88" s="17" t="str">
        <x:v>FIXED_NOT_RUN</x:v>
      </x:c>
      <x:c r="E88" s="17" t="n">
        <x:f>COUNTIF('BugResults'!$P$1141:$P$1187,"FIXED_NOT_RUN")</x:f>
        <x:v>0</x:v>
      </x:c>
      <x:c r="F88" s="33" t="n">
        <x:f>IF('Verdicts'!E109=0,"—",E88/'Verdicts'!E109)</x:f>
        <x:v>0</x:v>
      </x:c>
      <x:c r="G88" s="17" t="n">
        <x:f>'Verdicts'!E109</x:f>
        <x:v>19</x:v>
      </x:c>
      <x:c r="H88" s="17"/>
    </x:row>
    <x:row r="89" ht="23" customHeight="1">
      <x:c r="B89" s="17" t="str">
        <x:v>Compress</x:v>
      </x:c>
      <x:c r="C89" s="17" t="str">
        <x:v>Round2</x:v>
      </x:c>
      <x:c r="D89" s="17" t="str">
        <x:v>BOTH_NOT_RUN</x:v>
      </x:c>
      <x:c r="E89" s="17" t="n">
        <x:f>COUNTIF('BugResults'!$P$1141:$P$1187,"BOTH_NOT_RUN")</x:f>
        <x:v>19</x:v>
      </x:c>
      <x:c r="F89" s="33" t="n">
        <x:f>IF('Verdicts'!E109=0,"—",E89/'Verdicts'!E109)</x:f>
        <x:v>1</x:v>
      </x:c>
      <x:c r="G89" s="17" t="n">
        <x:f>'Verdicts'!E109</x:f>
        <x:v>19</x:v>
      </x:c>
      <x:c r="H89" s="17"/>
    </x:row>
    <x:row r="90" ht="23" customHeight="1">
      <x:c r="B90" s="17" t="str">
        <x:v>Compress</x:v>
      </x:c>
      <x:c r="C90" s="17" t="str">
        <x:v>Round2</x:v>
      </x:c>
      <x:c r="D90" s="17" t="str">
        <x:v>COVERAGE_UNAVAILABLE</x:v>
      </x:c>
      <x:c r="E90" s="17" t="n">
        <x:f>COUNTIF('BugResults'!$P$1141:$P$1187,"COVERAGE_UNAVAILABLE")</x:f>
        <x:v>0</x:v>
      </x:c>
      <x:c r="F90" s="33" t="n">
        <x:f>IF('Verdicts'!E109=0,"—",E90/'Verdicts'!E109)</x:f>
        <x:v>0</x:v>
      </x:c>
      <x:c r="G90" s="17" t="n">
        <x:f>'Verdicts'!E109</x:f>
        <x:v>19</x:v>
      </x:c>
      <x:c r="H90" s="17"/>
    </x:row>
    <x:row r="91" ht="23" customHeight="1">
      <x:c r="B91" s="17" t="str">
        <x:v>Csv</x:v>
      </x:c>
      <x:c r="C91" s="17" t="str">
        <x:v>All rounds</x:v>
      </x:c>
      <x:c r="D91" s="17" t="str">
        <x:v>BUGGY_NOT_RUN</x:v>
      </x:c>
      <x:c r="E91" s="17" t="n">
        <x:f>COUNTIF('BugResults'!$P$334:$P$349,"BUGGY_NOT_RUN")+COUNTIF('BugResults'!$P$1188:$P$1203,"BUGGY_NOT_RUN")</x:f>
        <x:v>0</x:v>
      </x:c>
      <x:c r="F91" s="33" t="n">
        <x:f>IF('Verdicts'!E114=0,"—",E91/'Verdicts'!E114)</x:f>
        <x:v>0</x:v>
      </x:c>
      <x:c r="G91" s="17" t="n">
        <x:f>'Verdicts'!E114</x:f>
        <x:v>17</x:v>
      </x:c>
      <x:c r="H91" s="17" t="n">
        <x:f>SUM(E91:E94)-G91</x:f>
        <x:v>0</x:v>
      </x:c>
    </x:row>
    <x:row r="92" ht="23" customHeight="1">
      <x:c r="B92" s="17" t="str">
        <x:v>Csv</x:v>
      </x:c>
      <x:c r="C92" s="17" t="str">
        <x:v>All rounds</x:v>
      </x:c>
      <x:c r="D92" s="17" t="str">
        <x:v>FIXED_NOT_RUN</x:v>
      </x:c>
      <x:c r="E92" s="17" t="n">
        <x:f>COUNTIF('BugResults'!$P$334:$P$349,"FIXED_NOT_RUN")+COUNTIF('BugResults'!$P$1188:$P$1203,"FIXED_NOT_RUN")</x:f>
        <x:v>0</x:v>
      </x:c>
      <x:c r="F92" s="33" t="n">
        <x:f>IF('Verdicts'!E114=0,"—",E92/'Verdicts'!E114)</x:f>
        <x:v>0</x:v>
      </x:c>
      <x:c r="G92" s="17" t="n">
        <x:f>'Verdicts'!E114</x:f>
        <x:v>17</x:v>
      </x:c>
      <x:c r="H92" s="17"/>
    </x:row>
    <x:row r="93" ht="23" customHeight="1">
      <x:c r="B93" s="17" t="str">
        <x:v>Csv</x:v>
      </x:c>
      <x:c r="C93" s="17" t="str">
        <x:v>All rounds</x:v>
      </x:c>
      <x:c r="D93" s="17" t="str">
        <x:v>BOTH_NOT_RUN</x:v>
      </x:c>
      <x:c r="E93" s="17" t="n">
        <x:f>COUNTIF('BugResults'!$P$334:$P$349,"BOTH_NOT_RUN")+COUNTIF('BugResults'!$P$1188:$P$1203,"BOTH_NOT_RUN")</x:f>
        <x:v>17</x:v>
      </x:c>
      <x:c r="F93" s="33" t="n">
        <x:f>IF('Verdicts'!E114=0,"—",E93/'Verdicts'!E114)</x:f>
        <x:v>1</x:v>
      </x:c>
      <x:c r="G93" s="17" t="n">
        <x:f>'Verdicts'!E114</x:f>
        <x:v>17</x:v>
      </x:c>
      <x:c r="H93" s="17"/>
    </x:row>
    <x:row r="94" ht="23" customHeight="1">
      <x:c r="B94" s="17" t="str">
        <x:v>Csv</x:v>
      </x:c>
      <x:c r="C94" s="17" t="str">
        <x:v>All rounds</x:v>
      </x:c>
      <x:c r="D94" s="17" t="str">
        <x:v>COVERAGE_UNAVAILABLE</x:v>
      </x:c>
      <x:c r="E94" s="17" t="n">
        <x:f>COUNTIF('BugResults'!$P$334:$P$349,"COVERAGE_UNAVAILABLE")+COUNTIF('BugResults'!$P$1188:$P$1203,"COVERAGE_UNAVAILABLE")</x:f>
        <x:v>0</x:v>
      </x:c>
      <x:c r="F94" s="33" t="n">
        <x:f>IF('Verdicts'!E114=0,"—",E94/'Verdicts'!E114)</x:f>
        <x:v>0</x:v>
      </x:c>
      <x:c r="G94" s="17" t="n">
        <x:f>'Verdicts'!E114</x:f>
        <x:v>17</x:v>
      </x:c>
      <x:c r="H94" s="17"/>
    </x:row>
    <x:row r="95" ht="23" customHeight="1">
      <x:c r="B95" s="17" t="str">
        <x:v>Csv</x:v>
      </x:c>
      <x:c r="C95" s="17" t="str">
        <x:v>Round1</x:v>
      </x:c>
      <x:c r="D95" s="17" t="str">
        <x:v>BUGGY_NOT_RUN</x:v>
      </x:c>
      <x:c r="E95" s="17" t="n">
        <x:f>COUNTIF('BugResults'!$P$334:$P$349,"BUGGY_NOT_RUN")</x:f>
        <x:v>0</x:v>
      </x:c>
      <x:c r="F95" s="33" t="n">
        <x:f>IF('Verdicts'!E119=0,"—",E95/'Verdicts'!E119)</x:f>
        <x:v>0</x:v>
      </x:c>
      <x:c r="G95" s="17" t="n">
        <x:f>'Verdicts'!E119</x:f>
        <x:v>10</x:v>
      </x:c>
      <x:c r="H95" s="17" t="n">
        <x:f>SUM(E95:E98)-G95</x:f>
        <x:v>0</x:v>
      </x:c>
    </x:row>
    <x:row r="96" ht="23" customHeight="1">
      <x:c r="B96" s="17" t="str">
        <x:v>Csv</x:v>
      </x:c>
      <x:c r="C96" s="17" t="str">
        <x:v>Round1</x:v>
      </x:c>
      <x:c r="D96" s="17" t="str">
        <x:v>FIXED_NOT_RUN</x:v>
      </x:c>
      <x:c r="E96" s="17" t="n">
        <x:f>COUNTIF('BugResults'!$P$334:$P$349,"FIXED_NOT_RUN")</x:f>
        <x:v>0</x:v>
      </x:c>
      <x:c r="F96" s="33" t="n">
        <x:f>IF('Verdicts'!E119=0,"—",E96/'Verdicts'!E119)</x:f>
        <x:v>0</x:v>
      </x:c>
      <x:c r="G96" s="17" t="n">
        <x:f>'Verdicts'!E119</x:f>
        <x:v>10</x:v>
      </x:c>
      <x:c r="H96" s="17"/>
    </x:row>
    <x:row r="97" ht="23" customHeight="1">
      <x:c r="B97" s="17" t="str">
        <x:v>Csv</x:v>
      </x:c>
      <x:c r="C97" s="17" t="str">
        <x:v>Round1</x:v>
      </x:c>
      <x:c r="D97" s="17" t="str">
        <x:v>BOTH_NOT_RUN</x:v>
      </x:c>
      <x:c r="E97" s="17" t="n">
        <x:f>COUNTIF('BugResults'!$P$334:$P$349,"BOTH_NOT_RUN")</x:f>
        <x:v>10</x:v>
      </x:c>
      <x:c r="F97" s="33" t="n">
        <x:f>IF('Verdicts'!E119=0,"—",E97/'Verdicts'!E119)</x:f>
        <x:v>1</x:v>
      </x:c>
      <x:c r="G97" s="17" t="n">
        <x:f>'Verdicts'!E119</x:f>
        <x:v>10</x:v>
      </x:c>
      <x:c r="H97" s="17"/>
    </x:row>
    <x:row r="98" ht="23" customHeight="1">
      <x:c r="B98" s="17" t="str">
        <x:v>Csv</x:v>
      </x:c>
      <x:c r="C98" s="17" t="str">
        <x:v>Round1</x:v>
      </x:c>
      <x:c r="D98" s="17" t="str">
        <x:v>COVERAGE_UNAVAILABLE</x:v>
      </x:c>
      <x:c r="E98" s="17" t="n">
        <x:f>COUNTIF('BugResults'!$P$334:$P$349,"COVERAGE_UNAVAILABLE")</x:f>
        <x:v>0</x:v>
      </x:c>
      <x:c r="F98" s="33" t="n">
        <x:f>IF('Verdicts'!E119=0,"—",E98/'Verdicts'!E119)</x:f>
        <x:v>0</x:v>
      </x:c>
      <x:c r="G98" s="17" t="n">
        <x:f>'Verdicts'!E119</x:f>
        <x:v>10</x:v>
      </x:c>
      <x:c r="H98" s="17"/>
    </x:row>
    <x:row r="99" ht="23" customHeight="1">
      <x:c r="B99" s="17" t="str">
        <x:v>Csv</x:v>
      </x:c>
      <x:c r="C99" s="17" t="str">
        <x:v>Round2</x:v>
      </x:c>
      <x:c r="D99" s="17" t="str">
        <x:v>BUGGY_NOT_RUN</x:v>
      </x:c>
      <x:c r="E99" s="17" t="n">
        <x:f>COUNTIF('BugResults'!$P$1188:$P$1203,"BUGGY_NOT_RUN")</x:f>
        <x:v>0</x:v>
      </x:c>
      <x:c r="F99" s="33" t="n">
        <x:f>IF('Verdicts'!E124=0,"—",E99/'Verdicts'!E124)</x:f>
        <x:v>0</x:v>
      </x:c>
      <x:c r="G99" s="17" t="n">
        <x:f>'Verdicts'!E124</x:f>
        <x:v>7</x:v>
      </x:c>
      <x:c r="H99" s="17" t="n">
        <x:f>SUM(E99:E102)-G99</x:f>
        <x:v>0</x:v>
      </x:c>
    </x:row>
    <x:row r="100" ht="23" customHeight="1">
      <x:c r="B100" s="17" t="str">
        <x:v>Csv</x:v>
      </x:c>
      <x:c r="C100" s="17" t="str">
        <x:v>Round2</x:v>
      </x:c>
      <x:c r="D100" s="17" t="str">
        <x:v>FIXED_NOT_RUN</x:v>
      </x:c>
      <x:c r="E100" s="17" t="n">
        <x:f>COUNTIF('BugResults'!$P$1188:$P$1203,"FIXED_NOT_RUN")</x:f>
        <x:v>0</x:v>
      </x:c>
      <x:c r="F100" s="33" t="n">
        <x:f>IF('Verdicts'!E124=0,"—",E100/'Verdicts'!E124)</x:f>
        <x:v>0</x:v>
      </x:c>
      <x:c r="G100" s="17" t="n">
        <x:f>'Verdicts'!E124</x:f>
        <x:v>7</x:v>
      </x:c>
      <x:c r="H100" s="17"/>
    </x:row>
    <x:row r="101" ht="23" customHeight="1">
      <x:c r="B101" s="17" t="str">
        <x:v>Csv</x:v>
      </x:c>
      <x:c r="C101" s="17" t="str">
        <x:v>Round2</x:v>
      </x:c>
      <x:c r="D101" s="17" t="str">
        <x:v>BOTH_NOT_RUN</x:v>
      </x:c>
      <x:c r="E101" s="17" t="n">
        <x:f>COUNTIF('BugResults'!$P$1188:$P$1203,"BOTH_NOT_RUN")</x:f>
        <x:v>7</x:v>
      </x:c>
      <x:c r="F101" s="33" t="n">
        <x:f>IF('Verdicts'!E124=0,"—",E101/'Verdicts'!E124)</x:f>
        <x:v>1</x:v>
      </x:c>
      <x:c r="G101" s="17" t="n">
        <x:f>'Verdicts'!E124</x:f>
        <x:v>7</x:v>
      </x:c>
      <x:c r="H101" s="17"/>
    </x:row>
    <x:row r="102" ht="23" customHeight="1">
      <x:c r="B102" s="17" t="str">
        <x:v>Csv</x:v>
      </x:c>
      <x:c r="C102" s="17" t="str">
        <x:v>Round2</x:v>
      </x:c>
      <x:c r="D102" s="17" t="str">
        <x:v>COVERAGE_UNAVAILABLE</x:v>
      </x:c>
      <x:c r="E102" s="17" t="n">
        <x:f>COUNTIF('BugResults'!$P$1188:$P$1203,"COVERAGE_UNAVAILABLE")</x:f>
        <x:v>0</x:v>
      </x:c>
      <x:c r="F102" s="33" t="n">
        <x:f>IF('Verdicts'!E124=0,"—",E102/'Verdicts'!E124)</x:f>
        <x:v>0</x:v>
      </x:c>
      <x:c r="G102" s="17" t="n">
        <x:f>'Verdicts'!E124</x:f>
        <x:v>7</x:v>
      </x:c>
      <x:c r="H102" s="17"/>
    </x:row>
    <x:row r="103" ht="23" customHeight="1">
      <x:c r="B103" s="17" t="str">
        <x:v>Gson</x:v>
      </x:c>
      <x:c r="C103" s="17" t="str">
        <x:v>All rounds</x:v>
      </x:c>
      <x:c r="D103" s="17" t="str">
        <x:v>BUGGY_NOT_RUN</x:v>
      </x:c>
      <x:c r="E103" s="17" t="n">
        <x:f>COUNTIF('BugResults'!$P$350:$P$367,"BUGGY_NOT_RUN")+COUNTIF('BugResults'!$P$1204:$P$1221,"BUGGY_NOT_RUN")</x:f>
        <x:v>0</x:v>
      </x:c>
      <x:c r="F103" s="33" t="n">
        <x:f>IF('Verdicts'!E129=0,"—",E103/'Verdicts'!E129)</x:f>
        <x:v>0</x:v>
      </x:c>
      <x:c r="G103" s="17" t="n">
        <x:f>'Verdicts'!E129</x:f>
        <x:v>20</x:v>
      </x:c>
      <x:c r="H103" s="17" t="n">
        <x:f>SUM(E103:E106)-G103</x:f>
        <x:v>0</x:v>
      </x:c>
    </x:row>
    <x:row r="104" ht="23" customHeight="1">
      <x:c r="B104" s="17" t="str">
        <x:v>Gson</x:v>
      </x:c>
      <x:c r="C104" s="17" t="str">
        <x:v>All rounds</x:v>
      </x:c>
      <x:c r="D104" s="17" t="str">
        <x:v>FIXED_NOT_RUN</x:v>
      </x:c>
      <x:c r="E104" s="17" t="n">
        <x:f>COUNTIF('BugResults'!$P$350:$P$367,"FIXED_NOT_RUN")+COUNTIF('BugResults'!$P$1204:$P$1221,"FIXED_NOT_RUN")</x:f>
        <x:v>0</x:v>
      </x:c>
      <x:c r="F104" s="33" t="n">
        <x:f>IF('Verdicts'!E129=0,"—",E104/'Verdicts'!E129)</x:f>
        <x:v>0</x:v>
      </x:c>
      <x:c r="G104" s="17" t="n">
        <x:f>'Verdicts'!E129</x:f>
        <x:v>20</x:v>
      </x:c>
      <x:c r="H104" s="17"/>
    </x:row>
    <x:row r="105" ht="23" customHeight="1">
      <x:c r="B105" s="17" t="str">
        <x:v>Gson</x:v>
      </x:c>
      <x:c r="C105" s="17" t="str">
        <x:v>All rounds</x:v>
      </x:c>
      <x:c r="D105" s="17" t="str">
        <x:v>BOTH_NOT_RUN</x:v>
      </x:c>
      <x:c r="E105" s="17" t="n">
        <x:f>COUNTIF('BugResults'!$P$350:$P$367,"BOTH_NOT_RUN")+COUNTIF('BugResults'!$P$1204:$P$1221,"BOTH_NOT_RUN")</x:f>
        <x:v>20</x:v>
      </x:c>
      <x:c r="F105" s="33" t="n">
        <x:f>IF('Verdicts'!E129=0,"—",E105/'Verdicts'!E129)</x:f>
        <x:v>1</x:v>
      </x:c>
      <x:c r="G105" s="17" t="n">
        <x:f>'Verdicts'!E129</x:f>
        <x:v>20</x:v>
      </x:c>
      <x:c r="H105" s="17"/>
    </x:row>
    <x:row r="106" ht="23" customHeight="1">
      <x:c r="B106" s="17" t="str">
        <x:v>Gson</x:v>
      </x:c>
      <x:c r="C106" s="17" t="str">
        <x:v>All rounds</x:v>
      </x:c>
      <x:c r="D106" s="17" t="str">
        <x:v>COVERAGE_UNAVAILABLE</x:v>
      </x:c>
      <x:c r="E106" s="17" t="n">
        <x:f>COUNTIF('BugResults'!$P$350:$P$367,"COVERAGE_UNAVAILABLE")+COUNTIF('BugResults'!$P$1204:$P$1221,"COVERAGE_UNAVAILABLE")</x:f>
        <x:v>0</x:v>
      </x:c>
      <x:c r="F106" s="33" t="n">
        <x:f>IF('Verdicts'!E129=0,"—",E106/'Verdicts'!E129)</x:f>
        <x:v>0</x:v>
      </x:c>
      <x:c r="G106" s="17" t="n">
        <x:f>'Verdicts'!E129</x:f>
        <x:v>20</x:v>
      </x:c>
      <x:c r="H106" s="17"/>
    </x:row>
    <x:row r="107" ht="23" customHeight="1">
      <x:c r="B107" s="17" t="str">
        <x:v>Gson</x:v>
      </x:c>
      <x:c r="C107" s="17" t="str">
        <x:v>Round1</x:v>
      </x:c>
      <x:c r="D107" s="17" t="str">
        <x:v>BUGGY_NOT_RUN</x:v>
      </x:c>
      <x:c r="E107" s="17" t="n">
        <x:f>COUNTIF('BugResults'!$P$350:$P$367,"BUGGY_NOT_RUN")</x:f>
        <x:v>0</x:v>
      </x:c>
      <x:c r="F107" s="33" t="n">
        <x:f>IF('Verdicts'!E134=0,"—",E107/'Verdicts'!E134)</x:f>
        <x:v>0</x:v>
      </x:c>
      <x:c r="G107" s="17" t="n">
        <x:f>'Verdicts'!E134</x:f>
        <x:v>14</x:v>
      </x:c>
      <x:c r="H107" s="17" t="n">
        <x:f>SUM(E107:E110)-G107</x:f>
        <x:v>0</x:v>
      </x:c>
    </x:row>
    <x:row r="108" ht="23" customHeight="1">
      <x:c r="B108" s="17" t="str">
        <x:v>Gson</x:v>
      </x:c>
      <x:c r="C108" s="17" t="str">
        <x:v>Round1</x:v>
      </x:c>
      <x:c r="D108" s="17" t="str">
        <x:v>FIXED_NOT_RUN</x:v>
      </x:c>
      <x:c r="E108" s="17" t="n">
        <x:f>COUNTIF('BugResults'!$P$350:$P$367,"FIXED_NOT_RUN")</x:f>
        <x:v>0</x:v>
      </x:c>
      <x:c r="F108" s="33" t="n">
        <x:f>IF('Verdicts'!E134=0,"—",E108/'Verdicts'!E134)</x:f>
        <x:v>0</x:v>
      </x:c>
      <x:c r="G108" s="17" t="n">
        <x:f>'Verdicts'!E134</x:f>
        <x:v>14</x:v>
      </x:c>
      <x:c r="H108" s="17"/>
    </x:row>
    <x:row r="109" ht="23" customHeight="1">
      <x:c r="B109" s="17" t="str">
        <x:v>Gson</x:v>
      </x:c>
      <x:c r="C109" s="17" t="str">
        <x:v>Round1</x:v>
      </x:c>
      <x:c r="D109" s="17" t="str">
        <x:v>BOTH_NOT_RUN</x:v>
      </x:c>
      <x:c r="E109" s="17" t="n">
        <x:f>COUNTIF('BugResults'!$P$350:$P$367,"BOTH_NOT_RUN")</x:f>
        <x:v>14</x:v>
      </x:c>
      <x:c r="F109" s="33" t="n">
        <x:f>IF('Verdicts'!E134=0,"—",E109/'Verdicts'!E134)</x:f>
        <x:v>1</x:v>
      </x:c>
      <x:c r="G109" s="17" t="n">
        <x:f>'Verdicts'!E134</x:f>
        <x:v>14</x:v>
      </x:c>
      <x:c r="H109" s="17"/>
    </x:row>
    <x:row r="110" ht="23" customHeight="1">
      <x:c r="B110" s="17" t="str">
        <x:v>Gson</x:v>
      </x:c>
      <x:c r="C110" s="17" t="str">
        <x:v>Round1</x:v>
      </x:c>
      <x:c r="D110" s="17" t="str">
        <x:v>COVERAGE_UNAVAILABLE</x:v>
      </x:c>
      <x:c r="E110" s="17" t="n">
        <x:f>COUNTIF('BugResults'!$P$350:$P$367,"COVERAGE_UNAVAILABLE")</x:f>
        <x:v>0</x:v>
      </x:c>
      <x:c r="F110" s="33" t="n">
        <x:f>IF('Verdicts'!E134=0,"—",E110/'Verdicts'!E134)</x:f>
        <x:v>0</x:v>
      </x:c>
      <x:c r="G110" s="17" t="n">
        <x:f>'Verdicts'!E134</x:f>
        <x:v>14</x:v>
      </x:c>
      <x:c r="H110" s="17"/>
    </x:row>
    <x:row r="111" ht="23" customHeight="1">
      <x:c r="B111" s="17" t="str">
        <x:v>Gson</x:v>
      </x:c>
      <x:c r="C111" s="17" t="str">
        <x:v>Round2</x:v>
      </x:c>
      <x:c r="D111" s="17" t="str">
        <x:v>BUGGY_NOT_RUN</x:v>
      </x:c>
      <x:c r="E111" s="17" t="n">
        <x:f>COUNTIF('BugResults'!$P$1204:$P$1221,"BUGGY_NOT_RUN")</x:f>
        <x:v>0</x:v>
      </x:c>
      <x:c r="F111" s="33" t="n">
        <x:f>IF('Verdicts'!E139=0,"—",E111/'Verdicts'!E139)</x:f>
        <x:v>0</x:v>
      </x:c>
      <x:c r="G111" s="17" t="n">
        <x:f>'Verdicts'!E139</x:f>
        <x:v>6</x:v>
      </x:c>
      <x:c r="H111" s="17" t="n">
        <x:f>SUM(E111:E114)-G111</x:f>
        <x:v>0</x:v>
      </x:c>
    </x:row>
    <x:row r="112" ht="23" customHeight="1">
      <x:c r="B112" s="17" t="str">
        <x:v>Gson</x:v>
      </x:c>
      <x:c r="C112" s="17" t="str">
        <x:v>Round2</x:v>
      </x:c>
      <x:c r="D112" s="17" t="str">
        <x:v>FIXED_NOT_RUN</x:v>
      </x:c>
      <x:c r="E112" s="17" t="n">
        <x:f>COUNTIF('BugResults'!$P$1204:$P$1221,"FIXED_NOT_RUN")</x:f>
        <x:v>0</x:v>
      </x:c>
      <x:c r="F112" s="33" t="n">
        <x:f>IF('Verdicts'!E139=0,"—",E112/'Verdicts'!E139)</x:f>
        <x:v>0</x:v>
      </x:c>
      <x:c r="G112" s="17" t="n">
        <x:f>'Verdicts'!E139</x:f>
        <x:v>6</x:v>
      </x:c>
      <x:c r="H112" s="17"/>
    </x:row>
    <x:row r="113" ht="23" customHeight="1">
      <x:c r="B113" s="17" t="str">
        <x:v>Gson</x:v>
      </x:c>
      <x:c r="C113" s="17" t="str">
        <x:v>Round2</x:v>
      </x:c>
      <x:c r="D113" s="17" t="str">
        <x:v>BOTH_NOT_RUN</x:v>
      </x:c>
      <x:c r="E113" s="17" t="n">
        <x:f>COUNTIF('BugResults'!$P$1204:$P$1221,"BOTH_NOT_RUN")</x:f>
        <x:v>6</x:v>
      </x:c>
      <x:c r="F113" s="33" t="n">
        <x:f>IF('Verdicts'!E139=0,"—",E113/'Verdicts'!E139)</x:f>
        <x:v>1</x:v>
      </x:c>
      <x:c r="G113" s="17" t="n">
        <x:f>'Verdicts'!E139</x:f>
        <x:v>6</x:v>
      </x:c>
      <x:c r="H113" s="17"/>
    </x:row>
    <x:row r="114" ht="23" customHeight="1">
      <x:c r="B114" s="17" t="str">
        <x:v>Gson</x:v>
      </x:c>
      <x:c r="C114" s="17" t="str">
        <x:v>Round2</x:v>
      </x:c>
      <x:c r="D114" s="17" t="str">
        <x:v>COVERAGE_UNAVAILABLE</x:v>
      </x:c>
      <x:c r="E114" s="17" t="n">
        <x:f>COUNTIF('BugResults'!$P$1204:$P$1221,"COVERAGE_UNAVAILABLE")</x:f>
        <x:v>0</x:v>
      </x:c>
      <x:c r="F114" s="33" t="n">
        <x:f>IF('Verdicts'!E139=0,"—",E114/'Verdicts'!E139)</x:f>
        <x:v>0</x:v>
      </x:c>
      <x:c r="G114" s="17" t="n">
        <x:f>'Verdicts'!E139</x:f>
        <x:v>6</x:v>
      </x:c>
      <x:c r="H114" s="17"/>
    </x:row>
    <x:row r="115" ht="23" customHeight="1">
      <x:c r="B115" s="17" t="str">
        <x:v>JacksonCore</x:v>
      </x:c>
      <x:c r="C115" s="17" t="str">
        <x:v>All rounds</x:v>
      </x:c>
      <x:c r="D115" s="17" t="str">
        <x:v>BUGGY_NOT_RUN</x:v>
      </x:c>
      <x:c r="E115" s="17" t="n">
        <x:f>COUNTIF('BugResults'!$P$368:$P$393,"BUGGY_NOT_RUN")+COUNTIF('BugResults'!$P$1222:$P$1247,"BUGGY_NOT_RUN")</x:f>
        <x:v>0</x:v>
      </x:c>
      <x:c r="F115" s="33" t="n">
        <x:f>IF('Verdicts'!E144=0,"—",E115/'Verdicts'!E144)</x:f>
        <x:v>0</x:v>
      </x:c>
      <x:c r="G115" s="17" t="n">
        <x:f>'Verdicts'!E144</x:f>
        <x:v>39</x:v>
      </x:c>
      <x:c r="H115" s="17" t="n">
        <x:f>SUM(E115:E118)-G115</x:f>
        <x:v>0</x:v>
      </x:c>
    </x:row>
    <x:row r="116" ht="23" customHeight="1">
      <x:c r="B116" s="17" t="str">
        <x:v>JacksonCore</x:v>
      </x:c>
      <x:c r="C116" s="17" t="str">
        <x:v>All rounds</x:v>
      </x:c>
      <x:c r="D116" s="17" t="str">
        <x:v>FIXED_NOT_RUN</x:v>
      </x:c>
      <x:c r="E116" s="17" t="n">
        <x:f>COUNTIF('BugResults'!$P$368:$P$393,"FIXED_NOT_RUN")+COUNTIF('BugResults'!$P$1222:$P$1247,"FIXED_NOT_RUN")</x:f>
        <x:v>0</x:v>
      </x:c>
      <x:c r="F116" s="33" t="n">
        <x:f>IF('Verdicts'!E144=0,"—",E116/'Verdicts'!E144)</x:f>
        <x:v>0</x:v>
      </x:c>
      <x:c r="G116" s="17" t="n">
        <x:f>'Verdicts'!E144</x:f>
        <x:v>39</x:v>
      </x:c>
      <x:c r="H116" s="17"/>
    </x:row>
    <x:row r="117" ht="23" customHeight="1">
      <x:c r="B117" s="17" t="str">
        <x:v>JacksonCore</x:v>
      </x:c>
      <x:c r="C117" s="17" t="str">
        <x:v>All rounds</x:v>
      </x:c>
      <x:c r="D117" s="17" t="str">
        <x:v>BOTH_NOT_RUN</x:v>
      </x:c>
      <x:c r="E117" s="17" t="n">
        <x:f>COUNTIF('BugResults'!$P$368:$P$393,"BOTH_NOT_RUN")+COUNTIF('BugResults'!$P$1222:$P$1247,"BOTH_NOT_RUN")</x:f>
        <x:v>39</x:v>
      </x:c>
      <x:c r="F117" s="33" t="n">
        <x:f>IF('Verdicts'!E144=0,"—",E117/'Verdicts'!E144)</x:f>
        <x:v>1</x:v>
      </x:c>
      <x:c r="G117" s="17" t="n">
        <x:f>'Verdicts'!E144</x:f>
        <x:v>39</x:v>
      </x:c>
      <x:c r="H117" s="17"/>
    </x:row>
    <x:row r="118" ht="23" customHeight="1">
      <x:c r="B118" s="17" t="str">
        <x:v>JacksonCore</x:v>
      </x:c>
      <x:c r="C118" s="17" t="str">
        <x:v>All rounds</x:v>
      </x:c>
      <x:c r="D118" s="17" t="str">
        <x:v>COVERAGE_UNAVAILABLE</x:v>
      </x:c>
      <x:c r="E118" s="17" t="n">
        <x:f>COUNTIF('BugResults'!$P$368:$P$393,"COVERAGE_UNAVAILABLE")+COUNTIF('BugResults'!$P$1222:$P$1247,"COVERAGE_UNAVAILABLE")</x:f>
        <x:v>0</x:v>
      </x:c>
      <x:c r="F118" s="33" t="n">
        <x:f>IF('Verdicts'!E144=0,"—",E118/'Verdicts'!E144)</x:f>
        <x:v>0</x:v>
      </x:c>
      <x:c r="G118" s="17" t="n">
        <x:f>'Verdicts'!E144</x:f>
        <x:v>39</x:v>
      </x:c>
      <x:c r="H118" s="17"/>
    </x:row>
    <x:row r="119" ht="23" customHeight="1">
      <x:c r="B119" s="17" t="str">
        <x:v>JacksonCore</x:v>
      </x:c>
      <x:c r="C119" s="17" t="str">
        <x:v>Round1</x:v>
      </x:c>
      <x:c r="D119" s="17" t="str">
        <x:v>BUGGY_NOT_RUN</x:v>
      </x:c>
      <x:c r="E119" s="17" t="n">
        <x:f>COUNTIF('BugResults'!$P$368:$P$393,"BUGGY_NOT_RUN")</x:f>
        <x:v>0</x:v>
      </x:c>
      <x:c r="F119" s="33" t="n">
        <x:f>IF('Verdicts'!E149=0,"—",E119/'Verdicts'!E149)</x:f>
        <x:v>0</x:v>
      </x:c>
      <x:c r="G119" s="17" t="n">
        <x:f>'Verdicts'!E149</x:f>
        <x:v>22</x:v>
      </x:c>
      <x:c r="H119" s="17" t="n">
        <x:f>SUM(E119:E122)-G119</x:f>
        <x:v>0</x:v>
      </x:c>
    </x:row>
    <x:row r="120" ht="23" customHeight="1">
      <x:c r="B120" s="17" t="str">
        <x:v>JacksonCore</x:v>
      </x:c>
      <x:c r="C120" s="17" t="str">
        <x:v>Round1</x:v>
      </x:c>
      <x:c r="D120" s="17" t="str">
        <x:v>FIXED_NOT_RUN</x:v>
      </x:c>
      <x:c r="E120" s="17" t="n">
        <x:f>COUNTIF('BugResults'!$P$368:$P$393,"FIXED_NOT_RUN")</x:f>
        <x:v>0</x:v>
      </x:c>
      <x:c r="F120" s="33" t="n">
        <x:f>IF('Verdicts'!E149=0,"—",E120/'Verdicts'!E149)</x:f>
        <x:v>0</x:v>
      </x:c>
      <x:c r="G120" s="17" t="n">
        <x:f>'Verdicts'!E149</x:f>
        <x:v>22</x:v>
      </x:c>
      <x:c r="H120" s="17"/>
    </x:row>
    <x:row r="121" ht="23" customHeight="1">
      <x:c r="B121" s="17" t="str">
        <x:v>JacksonCore</x:v>
      </x:c>
      <x:c r="C121" s="17" t="str">
        <x:v>Round1</x:v>
      </x:c>
      <x:c r="D121" s="17" t="str">
        <x:v>BOTH_NOT_RUN</x:v>
      </x:c>
      <x:c r="E121" s="17" t="n">
        <x:f>COUNTIF('BugResults'!$P$368:$P$393,"BOTH_NOT_RUN")</x:f>
        <x:v>22</x:v>
      </x:c>
      <x:c r="F121" s="33" t="n">
        <x:f>IF('Verdicts'!E149=0,"—",E121/'Verdicts'!E149)</x:f>
        <x:v>1</x:v>
      </x:c>
      <x:c r="G121" s="17" t="n">
        <x:f>'Verdicts'!E149</x:f>
        <x:v>22</x:v>
      </x:c>
      <x:c r="H121" s="17"/>
    </x:row>
    <x:row r="122" ht="23" customHeight="1">
      <x:c r="B122" s="17" t="str">
        <x:v>JacksonCore</x:v>
      </x:c>
      <x:c r="C122" s="17" t="str">
        <x:v>Round1</x:v>
      </x:c>
      <x:c r="D122" s="17" t="str">
        <x:v>COVERAGE_UNAVAILABLE</x:v>
      </x:c>
      <x:c r="E122" s="17" t="n">
        <x:f>COUNTIF('BugResults'!$P$368:$P$393,"COVERAGE_UNAVAILABLE")</x:f>
        <x:v>0</x:v>
      </x:c>
      <x:c r="F122" s="33" t="n">
        <x:f>IF('Verdicts'!E149=0,"—",E122/'Verdicts'!E149)</x:f>
        <x:v>0</x:v>
      </x:c>
      <x:c r="G122" s="17" t="n">
        <x:f>'Verdicts'!E149</x:f>
        <x:v>22</x:v>
      </x:c>
      <x:c r="H122" s="17"/>
    </x:row>
    <x:row r="123" ht="23" customHeight="1">
      <x:c r="B123" s="17" t="str">
        <x:v>JacksonCore</x:v>
      </x:c>
      <x:c r="C123" s="17" t="str">
        <x:v>Round2</x:v>
      </x:c>
      <x:c r="D123" s="17" t="str">
        <x:v>BUGGY_NOT_RUN</x:v>
      </x:c>
      <x:c r="E123" s="17" t="n">
        <x:f>COUNTIF('BugResults'!$P$1222:$P$1247,"BUGGY_NOT_RUN")</x:f>
        <x:v>0</x:v>
      </x:c>
      <x:c r="F123" s="33" t="n">
        <x:f>IF('Verdicts'!E154=0,"—",E123/'Verdicts'!E154)</x:f>
        <x:v>0</x:v>
      </x:c>
      <x:c r="G123" s="17" t="n">
        <x:f>'Verdicts'!E154</x:f>
        <x:v>17</x:v>
      </x:c>
      <x:c r="H123" s="17" t="n">
        <x:f>SUM(E123:E126)-G123</x:f>
        <x:v>0</x:v>
      </x:c>
    </x:row>
    <x:row r="124" ht="23" customHeight="1">
      <x:c r="B124" s="17" t="str">
        <x:v>JacksonCore</x:v>
      </x:c>
      <x:c r="C124" s="17" t="str">
        <x:v>Round2</x:v>
      </x:c>
      <x:c r="D124" s="17" t="str">
        <x:v>FIXED_NOT_RUN</x:v>
      </x:c>
      <x:c r="E124" s="17" t="n">
        <x:f>COUNTIF('BugResults'!$P$1222:$P$1247,"FIXED_NOT_RUN")</x:f>
        <x:v>0</x:v>
      </x:c>
      <x:c r="F124" s="33" t="n">
        <x:f>IF('Verdicts'!E154=0,"—",E124/'Verdicts'!E154)</x:f>
        <x:v>0</x:v>
      </x:c>
      <x:c r="G124" s="17" t="n">
        <x:f>'Verdicts'!E154</x:f>
        <x:v>17</x:v>
      </x:c>
      <x:c r="H124" s="17"/>
    </x:row>
    <x:row r="125" ht="23" customHeight="1">
      <x:c r="B125" s="17" t="str">
        <x:v>JacksonCore</x:v>
      </x:c>
      <x:c r="C125" s="17" t="str">
        <x:v>Round2</x:v>
      </x:c>
      <x:c r="D125" s="17" t="str">
        <x:v>BOTH_NOT_RUN</x:v>
      </x:c>
      <x:c r="E125" s="17" t="n">
        <x:f>COUNTIF('BugResults'!$P$1222:$P$1247,"BOTH_NOT_RUN")</x:f>
        <x:v>17</x:v>
      </x:c>
      <x:c r="F125" s="33" t="n">
        <x:f>IF('Verdicts'!E154=0,"—",E125/'Verdicts'!E154)</x:f>
        <x:v>1</x:v>
      </x:c>
      <x:c r="G125" s="17" t="n">
        <x:f>'Verdicts'!E154</x:f>
        <x:v>17</x:v>
      </x:c>
      <x:c r="H125" s="17"/>
    </x:row>
    <x:row r="126" ht="23" customHeight="1">
      <x:c r="B126" s="17" t="str">
        <x:v>JacksonCore</x:v>
      </x:c>
      <x:c r="C126" s="17" t="str">
        <x:v>Round2</x:v>
      </x:c>
      <x:c r="D126" s="17" t="str">
        <x:v>COVERAGE_UNAVAILABLE</x:v>
      </x:c>
      <x:c r="E126" s="17" t="n">
        <x:f>COUNTIF('BugResults'!$P$1222:$P$1247,"COVERAGE_UNAVAILABLE")</x:f>
        <x:v>0</x:v>
      </x:c>
      <x:c r="F126" s="33" t="n">
        <x:f>IF('Verdicts'!E154=0,"—",E126/'Verdicts'!E154)</x:f>
        <x:v>0</x:v>
      </x:c>
      <x:c r="G126" s="17" t="n">
        <x:f>'Verdicts'!E154</x:f>
        <x:v>17</x:v>
      </x:c>
      <x:c r="H126" s="17"/>
    </x:row>
    <x:row r="127" ht="23" customHeight="1">
      <x:c r="B127" s="17" t="str">
        <x:v>JacksonDatabind</x:v>
      </x:c>
      <x:c r="C127" s="17" t="str">
        <x:v>All rounds</x:v>
      </x:c>
      <x:c r="D127" s="17" t="str">
        <x:v>BUGGY_NOT_RUN</x:v>
      </x:c>
      <x:c r="E127" s="17" t="n">
        <x:f>COUNTIF('BugResults'!$P$394:$P$503,"BUGGY_NOT_RUN")+COUNTIF('BugResults'!$P$1248:$P$1357,"BUGGY_NOT_RUN")</x:f>
        <x:v>0</x:v>
      </x:c>
      <x:c r="F127" s="33" t="n">
        <x:f>IF('Verdicts'!E159=0,"—",E127/'Verdicts'!E159)</x:f>
        <x:v>0</x:v>
      </x:c>
      <x:c r="G127" s="17" t="n">
        <x:f>'Verdicts'!E159</x:f>
        <x:v>163</x:v>
      </x:c>
      <x:c r="H127" s="17" t="n">
        <x:f>SUM(E127:E130)-G127</x:f>
        <x:v>0</x:v>
      </x:c>
    </x:row>
    <x:row r="128" ht="23" customHeight="1">
      <x:c r="B128" s="17" t="str">
        <x:v>JacksonDatabind</x:v>
      </x:c>
      <x:c r="C128" s="17" t="str">
        <x:v>All rounds</x:v>
      </x:c>
      <x:c r="D128" s="17" t="str">
        <x:v>FIXED_NOT_RUN</x:v>
      </x:c>
      <x:c r="E128" s="17" t="n">
        <x:f>COUNTIF('BugResults'!$P$394:$P$503,"FIXED_NOT_RUN")+COUNTIF('BugResults'!$P$1248:$P$1357,"FIXED_NOT_RUN")</x:f>
        <x:v>0</x:v>
      </x:c>
      <x:c r="F128" s="33" t="n">
        <x:f>IF('Verdicts'!E159=0,"—",E128/'Verdicts'!E159)</x:f>
        <x:v>0</x:v>
      </x:c>
      <x:c r="G128" s="17" t="n">
        <x:f>'Verdicts'!E159</x:f>
        <x:v>163</x:v>
      </x:c>
      <x:c r="H128" s="17"/>
    </x:row>
    <x:row r="129" ht="23" customHeight="1">
      <x:c r="B129" s="17" t="str">
        <x:v>JacksonDatabind</x:v>
      </x:c>
      <x:c r="C129" s="17" t="str">
        <x:v>All rounds</x:v>
      </x:c>
      <x:c r="D129" s="17" t="str">
        <x:v>BOTH_NOT_RUN</x:v>
      </x:c>
      <x:c r="E129" s="17" t="n">
        <x:f>COUNTIF('BugResults'!$P$394:$P$503,"BOTH_NOT_RUN")+COUNTIF('BugResults'!$P$1248:$P$1357,"BOTH_NOT_RUN")</x:f>
        <x:v>163</x:v>
      </x:c>
      <x:c r="F129" s="33" t="n">
        <x:f>IF('Verdicts'!E159=0,"—",E129/'Verdicts'!E159)</x:f>
        <x:v>1</x:v>
      </x:c>
      <x:c r="G129" s="17" t="n">
        <x:f>'Verdicts'!E159</x:f>
        <x:v>163</x:v>
      </x:c>
      <x:c r="H129" s="17"/>
    </x:row>
    <x:row r="130" ht="23" customHeight="1">
      <x:c r="B130" s="17" t="str">
        <x:v>JacksonDatabind</x:v>
      </x:c>
      <x:c r="C130" s="17" t="str">
        <x:v>All rounds</x:v>
      </x:c>
      <x:c r="D130" s="17" t="str">
        <x:v>COVERAGE_UNAVAILABLE</x:v>
      </x:c>
      <x:c r="E130" s="17" t="n">
        <x:f>COUNTIF('BugResults'!$P$394:$P$503,"COVERAGE_UNAVAILABLE")+COUNTIF('BugResults'!$P$1248:$P$1357,"COVERAGE_UNAVAILABLE")</x:f>
        <x:v>0</x:v>
      </x:c>
      <x:c r="F130" s="33" t="n">
        <x:f>IF('Verdicts'!E159=0,"—",E130/'Verdicts'!E159)</x:f>
        <x:v>0</x:v>
      </x:c>
      <x:c r="G130" s="17" t="n">
        <x:f>'Verdicts'!E159</x:f>
        <x:v>163</x:v>
      </x:c>
      <x:c r="H130" s="17"/>
    </x:row>
    <x:row r="131" ht="23" customHeight="1">
      <x:c r="B131" s="17" t="str">
        <x:v>JacksonDatabind</x:v>
      </x:c>
      <x:c r="C131" s="17" t="str">
        <x:v>Round1</x:v>
      </x:c>
      <x:c r="D131" s="17" t="str">
        <x:v>BUGGY_NOT_RUN</x:v>
      </x:c>
      <x:c r="E131" s="17" t="n">
        <x:f>COUNTIF('BugResults'!$P$394:$P$503,"BUGGY_NOT_RUN")</x:f>
        <x:v>0</x:v>
      </x:c>
      <x:c r="F131" s="33" t="n">
        <x:f>IF('Verdicts'!E164=0,"—",E131/'Verdicts'!E164)</x:f>
        <x:v>0</x:v>
      </x:c>
      <x:c r="G131" s="17" t="n">
        <x:f>'Verdicts'!E164</x:f>
        <x:v>86</x:v>
      </x:c>
      <x:c r="H131" s="17" t="n">
        <x:f>SUM(E131:E134)-G131</x:f>
        <x:v>0</x:v>
      </x:c>
    </x:row>
    <x:row r="132" ht="23" customHeight="1">
      <x:c r="B132" s="17" t="str">
        <x:v>JacksonDatabind</x:v>
      </x:c>
      <x:c r="C132" s="17" t="str">
        <x:v>Round1</x:v>
      </x:c>
      <x:c r="D132" s="17" t="str">
        <x:v>FIXED_NOT_RUN</x:v>
      </x:c>
      <x:c r="E132" s="17" t="n">
        <x:f>COUNTIF('BugResults'!$P$394:$P$503,"FIXED_NOT_RUN")</x:f>
        <x:v>0</x:v>
      </x:c>
      <x:c r="F132" s="33" t="n">
        <x:f>IF('Verdicts'!E164=0,"—",E132/'Verdicts'!E164)</x:f>
        <x:v>0</x:v>
      </x:c>
      <x:c r="G132" s="17" t="n">
        <x:f>'Verdicts'!E164</x:f>
        <x:v>86</x:v>
      </x:c>
      <x:c r="H132" s="17"/>
    </x:row>
    <x:row r="133" ht="23" customHeight="1">
      <x:c r="B133" s="17" t="str">
        <x:v>JacksonDatabind</x:v>
      </x:c>
      <x:c r="C133" s="17" t="str">
        <x:v>Round1</x:v>
      </x:c>
      <x:c r="D133" s="17" t="str">
        <x:v>BOTH_NOT_RUN</x:v>
      </x:c>
      <x:c r="E133" s="17" t="n">
        <x:f>COUNTIF('BugResults'!$P$394:$P$503,"BOTH_NOT_RUN")</x:f>
        <x:v>86</x:v>
      </x:c>
      <x:c r="F133" s="33" t="n">
        <x:f>IF('Verdicts'!E164=0,"—",E133/'Verdicts'!E164)</x:f>
        <x:v>1</x:v>
      </x:c>
      <x:c r="G133" s="17" t="n">
        <x:f>'Verdicts'!E164</x:f>
        <x:v>86</x:v>
      </x:c>
      <x:c r="H133" s="17"/>
    </x:row>
    <x:row r="134" ht="23" customHeight="1">
      <x:c r="B134" s="17" t="str">
        <x:v>JacksonDatabind</x:v>
      </x:c>
      <x:c r="C134" s="17" t="str">
        <x:v>Round1</x:v>
      </x:c>
      <x:c r="D134" s="17" t="str">
        <x:v>COVERAGE_UNAVAILABLE</x:v>
      </x:c>
      <x:c r="E134" s="17" t="n">
        <x:f>COUNTIF('BugResults'!$P$394:$P$503,"COVERAGE_UNAVAILABLE")</x:f>
        <x:v>0</x:v>
      </x:c>
      <x:c r="F134" s="33" t="n">
        <x:f>IF('Verdicts'!E164=0,"—",E134/'Verdicts'!E164)</x:f>
        <x:v>0</x:v>
      </x:c>
      <x:c r="G134" s="17" t="n">
        <x:f>'Verdicts'!E164</x:f>
        <x:v>86</x:v>
      </x:c>
      <x:c r="H134" s="17"/>
    </x:row>
    <x:row r="135" ht="23" customHeight="1">
      <x:c r="B135" s="17" t="str">
        <x:v>JacksonDatabind</x:v>
      </x:c>
      <x:c r="C135" s="17" t="str">
        <x:v>Round2</x:v>
      </x:c>
      <x:c r="D135" s="17" t="str">
        <x:v>BUGGY_NOT_RUN</x:v>
      </x:c>
      <x:c r="E135" s="17" t="n">
        <x:f>COUNTIF('BugResults'!$P$1248:$P$1357,"BUGGY_NOT_RUN")</x:f>
        <x:v>0</x:v>
      </x:c>
      <x:c r="F135" s="33" t="n">
        <x:f>IF('Verdicts'!E169=0,"—",E135/'Verdicts'!E169)</x:f>
        <x:v>0</x:v>
      </x:c>
      <x:c r="G135" s="17" t="n">
        <x:f>'Verdicts'!E169</x:f>
        <x:v>77</x:v>
      </x:c>
      <x:c r="H135" s="17" t="n">
        <x:f>SUM(E135:E138)-G135</x:f>
        <x:v>0</x:v>
      </x:c>
    </x:row>
    <x:row r="136" ht="23" customHeight="1">
      <x:c r="B136" s="17" t="str">
        <x:v>JacksonDatabind</x:v>
      </x:c>
      <x:c r="C136" s="17" t="str">
        <x:v>Round2</x:v>
      </x:c>
      <x:c r="D136" s="17" t="str">
        <x:v>FIXED_NOT_RUN</x:v>
      </x:c>
      <x:c r="E136" s="17" t="n">
        <x:f>COUNTIF('BugResults'!$P$1248:$P$1357,"FIXED_NOT_RUN")</x:f>
        <x:v>0</x:v>
      </x:c>
      <x:c r="F136" s="33" t="n">
        <x:f>IF('Verdicts'!E169=0,"—",E136/'Verdicts'!E169)</x:f>
        <x:v>0</x:v>
      </x:c>
      <x:c r="G136" s="17" t="n">
        <x:f>'Verdicts'!E169</x:f>
        <x:v>77</x:v>
      </x:c>
      <x:c r="H136" s="17"/>
    </x:row>
    <x:row r="137" ht="23" customHeight="1">
      <x:c r="B137" s="17" t="str">
        <x:v>JacksonDatabind</x:v>
      </x:c>
      <x:c r="C137" s="17" t="str">
        <x:v>Round2</x:v>
      </x:c>
      <x:c r="D137" s="17" t="str">
        <x:v>BOTH_NOT_RUN</x:v>
      </x:c>
      <x:c r="E137" s="17" t="n">
        <x:f>COUNTIF('BugResults'!$P$1248:$P$1357,"BOTH_NOT_RUN")</x:f>
        <x:v>77</x:v>
      </x:c>
      <x:c r="F137" s="33" t="n">
        <x:f>IF('Verdicts'!E169=0,"—",E137/'Verdicts'!E169)</x:f>
        <x:v>1</x:v>
      </x:c>
      <x:c r="G137" s="17" t="n">
        <x:f>'Verdicts'!E169</x:f>
        <x:v>77</x:v>
      </x:c>
      <x:c r="H137" s="17"/>
    </x:row>
    <x:row r="138" ht="23" customHeight="1">
      <x:c r="B138" s="17" t="str">
        <x:v>JacksonDatabind</x:v>
      </x:c>
      <x:c r="C138" s="17" t="str">
        <x:v>Round2</x:v>
      </x:c>
      <x:c r="D138" s="17" t="str">
        <x:v>COVERAGE_UNAVAILABLE</x:v>
      </x:c>
      <x:c r="E138" s="17" t="n">
        <x:f>COUNTIF('BugResults'!$P$1248:$P$1357,"COVERAGE_UNAVAILABLE")</x:f>
        <x:v>0</x:v>
      </x:c>
      <x:c r="F138" s="33" t="n">
        <x:f>IF('Verdicts'!E169=0,"—",E138/'Verdicts'!E169)</x:f>
        <x:v>0</x:v>
      </x:c>
      <x:c r="G138" s="17" t="n">
        <x:f>'Verdicts'!E169</x:f>
        <x:v>77</x:v>
      </x:c>
      <x:c r="H138" s="17"/>
    </x:row>
    <x:row r="139" ht="23" customHeight="1">
      <x:c r="B139" s="17" t="str">
        <x:v>JacksonXml</x:v>
      </x:c>
      <x:c r="C139" s="17" t="str">
        <x:v>All rounds</x:v>
      </x:c>
      <x:c r="D139" s="17" t="str">
        <x:v>BUGGY_NOT_RUN</x:v>
      </x:c>
      <x:c r="E139" s="17" t="n">
        <x:f>COUNTIF('BugResults'!$P$504:$P$509,"BUGGY_NOT_RUN")+COUNTIF('BugResults'!$P$1358:$P$1363,"BUGGY_NOT_RUN")</x:f>
        <x:v>0</x:v>
      </x:c>
      <x:c r="F139" s="33" t="n">
        <x:f>IF('Verdicts'!E174=0,"—",E139/'Verdicts'!E174)</x:f>
        <x:v>0</x:v>
      </x:c>
      <x:c r="G139" s="17" t="n">
        <x:f>'Verdicts'!E174</x:f>
        <x:v>12</x:v>
      </x:c>
      <x:c r="H139" s="17" t="n">
        <x:f>SUM(E139:E142)-G139</x:f>
        <x:v>0</x:v>
      </x:c>
    </x:row>
    <x:row r="140" ht="23" customHeight="1">
      <x:c r="B140" s="17" t="str">
        <x:v>JacksonXml</x:v>
      </x:c>
      <x:c r="C140" s="17" t="str">
        <x:v>All rounds</x:v>
      </x:c>
      <x:c r="D140" s="17" t="str">
        <x:v>FIXED_NOT_RUN</x:v>
      </x:c>
      <x:c r="E140" s="17" t="n">
        <x:f>COUNTIF('BugResults'!$P$504:$P$509,"FIXED_NOT_RUN")+COUNTIF('BugResults'!$P$1358:$P$1363,"FIXED_NOT_RUN")</x:f>
        <x:v>0</x:v>
      </x:c>
      <x:c r="F140" s="33" t="n">
        <x:f>IF('Verdicts'!E174=0,"—",E140/'Verdicts'!E174)</x:f>
        <x:v>0</x:v>
      </x:c>
      <x:c r="G140" s="17" t="n">
        <x:f>'Verdicts'!E174</x:f>
        <x:v>12</x:v>
      </x:c>
      <x:c r="H140" s="17"/>
    </x:row>
    <x:row r="141" ht="23" customHeight="1">
      <x:c r="B141" s="17" t="str">
        <x:v>JacksonXml</x:v>
      </x:c>
      <x:c r="C141" s="17" t="str">
        <x:v>All rounds</x:v>
      </x:c>
      <x:c r="D141" s="17" t="str">
        <x:v>BOTH_NOT_RUN</x:v>
      </x:c>
      <x:c r="E141" s="17" t="n">
        <x:f>COUNTIF('BugResults'!$P$504:$P$509,"BOTH_NOT_RUN")+COUNTIF('BugResults'!$P$1358:$P$1363,"BOTH_NOT_RUN")</x:f>
        <x:v>12</x:v>
      </x:c>
      <x:c r="F141" s="33" t="n">
        <x:f>IF('Verdicts'!E174=0,"—",E141/'Verdicts'!E174)</x:f>
        <x:v>1</x:v>
      </x:c>
      <x:c r="G141" s="17" t="n">
        <x:f>'Verdicts'!E174</x:f>
        <x:v>12</x:v>
      </x:c>
      <x:c r="H141" s="17"/>
    </x:row>
    <x:row r="142" ht="23" customHeight="1">
      <x:c r="B142" s="17" t="str">
        <x:v>JacksonXml</x:v>
      </x:c>
      <x:c r="C142" s="17" t="str">
        <x:v>All rounds</x:v>
      </x:c>
      <x:c r="D142" s="17" t="str">
        <x:v>COVERAGE_UNAVAILABLE</x:v>
      </x:c>
      <x:c r="E142" s="17" t="n">
        <x:f>COUNTIF('BugResults'!$P$504:$P$509,"COVERAGE_UNAVAILABLE")+COUNTIF('BugResults'!$P$1358:$P$1363,"COVERAGE_UNAVAILABLE")</x:f>
        <x:v>0</x:v>
      </x:c>
      <x:c r="F142" s="33" t="n">
        <x:f>IF('Verdicts'!E174=0,"—",E142/'Verdicts'!E174)</x:f>
        <x:v>0</x:v>
      </x:c>
      <x:c r="G142" s="17" t="n">
        <x:f>'Verdicts'!E174</x:f>
        <x:v>12</x:v>
      </x:c>
      <x:c r="H142" s="17"/>
    </x:row>
    <x:row r="143" ht="23" customHeight="1">
      <x:c r="B143" s="17" t="str">
        <x:v>JacksonXml</x:v>
      </x:c>
      <x:c r="C143" s="17" t="str">
        <x:v>Round1</x:v>
      </x:c>
      <x:c r="D143" s="17" t="str">
        <x:v>BUGGY_NOT_RUN</x:v>
      </x:c>
      <x:c r="E143" s="17" t="n">
        <x:f>COUNTIF('BugResults'!$P$504:$P$509,"BUGGY_NOT_RUN")</x:f>
        <x:v>0</x:v>
      </x:c>
      <x:c r="F143" s="33" t="n">
        <x:f>IF('Verdicts'!E179=0,"—",E143/'Verdicts'!E179)</x:f>
        <x:v>0</x:v>
      </x:c>
      <x:c r="G143" s="17" t="n">
        <x:f>'Verdicts'!E179</x:f>
        <x:v>6</x:v>
      </x:c>
      <x:c r="H143" s="17" t="n">
        <x:f>SUM(E143:E146)-G143</x:f>
        <x:v>0</x:v>
      </x:c>
    </x:row>
    <x:row r="144" ht="23" customHeight="1">
      <x:c r="B144" s="17" t="str">
        <x:v>JacksonXml</x:v>
      </x:c>
      <x:c r="C144" s="17" t="str">
        <x:v>Round1</x:v>
      </x:c>
      <x:c r="D144" s="17" t="str">
        <x:v>FIXED_NOT_RUN</x:v>
      </x:c>
      <x:c r="E144" s="17" t="n">
        <x:f>COUNTIF('BugResults'!$P$504:$P$509,"FIXED_NOT_RUN")</x:f>
        <x:v>0</x:v>
      </x:c>
      <x:c r="F144" s="33" t="n">
        <x:f>IF('Verdicts'!E179=0,"—",E144/'Verdicts'!E179)</x:f>
        <x:v>0</x:v>
      </x:c>
      <x:c r="G144" s="17" t="n">
        <x:f>'Verdicts'!E179</x:f>
        <x:v>6</x:v>
      </x:c>
      <x:c r="H144" s="17"/>
    </x:row>
    <x:row r="145" ht="23" customHeight="1">
      <x:c r="B145" s="17" t="str">
        <x:v>JacksonXml</x:v>
      </x:c>
      <x:c r="C145" s="17" t="str">
        <x:v>Round1</x:v>
      </x:c>
      <x:c r="D145" s="17" t="str">
        <x:v>BOTH_NOT_RUN</x:v>
      </x:c>
      <x:c r="E145" s="17" t="n">
        <x:f>COUNTIF('BugResults'!$P$504:$P$509,"BOTH_NOT_RUN")</x:f>
        <x:v>6</x:v>
      </x:c>
      <x:c r="F145" s="33" t="n">
        <x:f>IF('Verdicts'!E179=0,"—",E145/'Verdicts'!E179)</x:f>
        <x:v>1</x:v>
      </x:c>
      <x:c r="G145" s="17" t="n">
        <x:f>'Verdicts'!E179</x:f>
        <x:v>6</x:v>
      </x:c>
      <x:c r="H145" s="17"/>
    </x:row>
    <x:row r="146" ht="23" customHeight="1">
      <x:c r="B146" s="17" t="str">
        <x:v>JacksonXml</x:v>
      </x:c>
      <x:c r="C146" s="17" t="str">
        <x:v>Round1</x:v>
      </x:c>
      <x:c r="D146" s="17" t="str">
        <x:v>COVERAGE_UNAVAILABLE</x:v>
      </x:c>
      <x:c r="E146" s="17" t="n">
        <x:f>COUNTIF('BugResults'!$P$504:$P$509,"COVERAGE_UNAVAILABLE")</x:f>
        <x:v>0</x:v>
      </x:c>
      <x:c r="F146" s="33" t="n">
        <x:f>IF('Verdicts'!E179=0,"—",E146/'Verdicts'!E179)</x:f>
        <x:v>0</x:v>
      </x:c>
      <x:c r="G146" s="17" t="n">
        <x:f>'Verdicts'!E179</x:f>
        <x:v>6</x:v>
      </x:c>
      <x:c r="H146" s="17"/>
    </x:row>
    <x:row r="147" ht="23" customHeight="1">
      <x:c r="B147" s="17" t="str">
        <x:v>JacksonXml</x:v>
      </x:c>
      <x:c r="C147" s="17" t="str">
        <x:v>Round2</x:v>
      </x:c>
      <x:c r="D147" s="17" t="str">
        <x:v>BUGGY_NOT_RUN</x:v>
      </x:c>
      <x:c r="E147" s="17" t="n">
        <x:f>COUNTIF('BugResults'!$P$1358:$P$1363,"BUGGY_NOT_RUN")</x:f>
        <x:v>0</x:v>
      </x:c>
      <x:c r="F147" s="33" t="n">
        <x:f>IF('Verdicts'!E184=0,"—",E147/'Verdicts'!E184)</x:f>
        <x:v>0</x:v>
      </x:c>
      <x:c r="G147" s="17" t="n">
        <x:f>'Verdicts'!E184</x:f>
        <x:v>6</x:v>
      </x:c>
      <x:c r="H147" s="17" t="n">
        <x:f>SUM(E147:E150)-G147</x:f>
        <x:v>0</x:v>
      </x:c>
    </x:row>
    <x:row r="148" ht="23" customHeight="1">
      <x:c r="B148" s="17" t="str">
        <x:v>JacksonXml</x:v>
      </x:c>
      <x:c r="C148" s="17" t="str">
        <x:v>Round2</x:v>
      </x:c>
      <x:c r="D148" s="17" t="str">
        <x:v>FIXED_NOT_RUN</x:v>
      </x:c>
      <x:c r="E148" s="17" t="n">
        <x:f>COUNTIF('BugResults'!$P$1358:$P$1363,"FIXED_NOT_RUN")</x:f>
        <x:v>0</x:v>
      </x:c>
      <x:c r="F148" s="33" t="n">
        <x:f>IF('Verdicts'!E184=0,"—",E148/'Verdicts'!E184)</x:f>
        <x:v>0</x:v>
      </x:c>
      <x:c r="G148" s="17" t="n">
        <x:f>'Verdicts'!E184</x:f>
        <x:v>6</x:v>
      </x:c>
      <x:c r="H148" s="17"/>
    </x:row>
    <x:row r="149" ht="23" customHeight="1">
      <x:c r="B149" s="17" t="str">
        <x:v>JacksonXml</x:v>
      </x:c>
      <x:c r="C149" s="17" t="str">
        <x:v>Round2</x:v>
      </x:c>
      <x:c r="D149" s="17" t="str">
        <x:v>BOTH_NOT_RUN</x:v>
      </x:c>
      <x:c r="E149" s="17" t="n">
        <x:f>COUNTIF('BugResults'!$P$1358:$P$1363,"BOTH_NOT_RUN")</x:f>
        <x:v>6</x:v>
      </x:c>
      <x:c r="F149" s="33" t="n">
        <x:f>IF('Verdicts'!E184=0,"—",E149/'Verdicts'!E184)</x:f>
        <x:v>1</x:v>
      </x:c>
      <x:c r="G149" s="17" t="n">
        <x:f>'Verdicts'!E184</x:f>
        <x:v>6</x:v>
      </x:c>
      <x:c r="H149" s="17"/>
    </x:row>
    <x:row r="150" ht="23" customHeight="1">
      <x:c r="B150" s="17" t="str">
        <x:v>JacksonXml</x:v>
      </x:c>
      <x:c r="C150" s="17" t="str">
        <x:v>Round2</x:v>
      </x:c>
      <x:c r="D150" s="17" t="str">
        <x:v>COVERAGE_UNAVAILABLE</x:v>
      </x:c>
      <x:c r="E150" s="17" t="n">
        <x:f>COUNTIF('BugResults'!$P$1358:$P$1363,"COVERAGE_UNAVAILABLE")</x:f>
        <x:v>0</x:v>
      </x:c>
      <x:c r="F150" s="33" t="n">
        <x:f>IF('Verdicts'!E184=0,"—",E150/'Verdicts'!E184)</x:f>
        <x:v>0</x:v>
      </x:c>
      <x:c r="G150" s="17" t="n">
        <x:f>'Verdicts'!E184</x:f>
        <x:v>6</x:v>
      </x:c>
      <x:c r="H150" s="17"/>
    </x:row>
    <x:row r="151" ht="23" customHeight="1">
      <x:c r="B151" s="17" t="str">
        <x:v>Jsoup</x:v>
      </x:c>
      <x:c r="C151" s="17" t="str">
        <x:v>All rounds</x:v>
      </x:c>
      <x:c r="D151" s="17" t="str">
        <x:v>BUGGY_NOT_RUN</x:v>
      </x:c>
      <x:c r="E151" s="17" t="n">
        <x:f>COUNTIF('BugResults'!$P$510:$P$602,"BUGGY_NOT_RUN")+COUNTIF('BugResults'!$P$1364:$P$1456,"BUGGY_NOT_RUN")</x:f>
        <x:v>0</x:v>
      </x:c>
      <x:c r="F151" s="33" t="n">
        <x:f>IF('Verdicts'!E189=0,"—",E151/'Verdicts'!E189)</x:f>
        <x:v>0</x:v>
      </x:c>
      <x:c r="G151" s="17" t="n">
        <x:f>'Verdicts'!E189</x:f>
        <x:v>115</x:v>
      </x:c>
      <x:c r="H151" s="17" t="n">
        <x:f>SUM(E151:E154)-G151</x:f>
        <x:v>0</x:v>
      </x:c>
    </x:row>
    <x:row r="152" ht="23" customHeight="1">
      <x:c r="B152" s="17" t="str">
        <x:v>Jsoup</x:v>
      </x:c>
      <x:c r="C152" s="17" t="str">
        <x:v>All rounds</x:v>
      </x:c>
      <x:c r="D152" s="17" t="str">
        <x:v>FIXED_NOT_RUN</x:v>
      </x:c>
      <x:c r="E152" s="17" t="n">
        <x:f>COUNTIF('BugResults'!$P$510:$P$602,"FIXED_NOT_RUN")+COUNTIF('BugResults'!$P$1364:$P$1456,"FIXED_NOT_RUN")</x:f>
        <x:v>1</x:v>
      </x:c>
      <x:c r="F152" s="33" t="n">
        <x:f>IF('Verdicts'!E189=0,"—",E152/'Verdicts'!E189)</x:f>
        <x:v>0.008695652173913044</x:v>
      </x:c>
      <x:c r="G152" s="17" t="n">
        <x:f>'Verdicts'!E189</x:f>
        <x:v>115</x:v>
      </x:c>
      <x:c r="H152" s="17"/>
    </x:row>
    <x:row r="153" ht="23" customHeight="1">
      <x:c r="B153" s="17" t="str">
        <x:v>Jsoup</x:v>
      </x:c>
      <x:c r="C153" s="17" t="str">
        <x:v>All rounds</x:v>
      </x:c>
      <x:c r="D153" s="17" t="str">
        <x:v>BOTH_NOT_RUN</x:v>
      </x:c>
      <x:c r="E153" s="17" t="n">
        <x:f>COUNTIF('BugResults'!$P$510:$P$602,"BOTH_NOT_RUN")+COUNTIF('BugResults'!$P$1364:$P$1456,"BOTH_NOT_RUN")</x:f>
        <x:v>110</x:v>
      </x:c>
      <x:c r="F153" s="33" t="n">
        <x:f>IF('Verdicts'!E189=0,"—",E153/'Verdicts'!E189)</x:f>
        <x:v>0.9565217391304348</x:v>
      </x:c>
      <x:c r="G153" s="17" t="n">
        <x:f>'Verdicts'!E189</x:f>
        <x:v>115</x:v>
      </x:c>
      <x:c r="H153" s="17"/>
    </x:row>
    <x:row r="154" ht="23" customHeight="1">
      <x:c r="B154" s="17" t="str">
        <x:v>Jsoup</x:v>
      </x:c>
      <x:c r="C154" s="17" t="str">
        <x:v>All rounds</x:v>
      </x:c>
      <x:c r="D154" s="17" t="str">
        <x:v>COVERAGE_UNAVAILABLE</x:v>
      </x:c>
      <x:c r="E154" s="17" t="n">
        <x:f>COUNTIF('BugResults'!$P$510:$P$602,"COVERAGE_UNAVAILABLE")+COUNTIF('BugResults'!$P$1364:$P$1456,"COVERAGE_UNAVAILABLE")</x:f>
        <x:v>4</x:v>
      </x:c>
      <x:c r="F154" s="33" t="n">
        <x:f>IF('Verdicts'!E189=0,"—",E154/'Verdicts'!E189)</x:f>
        <x:v>0.034782608695652174</x:v>
      </x:c>
      <x:c r="G154" s="17" t="n">
        <x:f>'Verdicts'!E189</x:f>
        <x:v>115</x:v>
      </x:c>
      <x:c r="H154" s="17"/>
    </x:row>
    <x:row r="155" ht="23" customHeight="1">
      <x:c r="B155" s="17" t="str">
        <x:v>Jsoup</x:v>
      </x:c>
      <x:c r="C155" s="17" t="str">
        <x:v>Round1</x:v>
      </x:c>
      <x:c r="D155" s="17" t="str">
        <x:v>BUGGY_NOT_RUN</x:v>
      </x:c>
      <x:c r="E155" s="17" t="n">
        <x:f>COUNTIF('BugResults'!$P$510:$P$602,"BUGGY_NOT_RUN")</x:f>
        <x:v>0</x:v>
      </x:c>
      <x:c r="F155" s="33" t="n">
        <x:f>IF('Verdicts'!E194=0,"—",E155/'Verdicts'!E194)</x:f>
        <x:v>0</x:v>
      </x:c>
      <x:c r="G155" s="17" t="n">
        <x:f>'Verdicts'!E194</x:f>
        <x:v>67</x:v>
      </x:c>
      <x:c r="H155" s="17" t="n">
        <x:f>SUM(E155:E158)-G155</x:f>
        <x:v>0</x:v>
      </x:c>
    </x:row>
    <x:row r="156" ht="23" customHeight="1">
      <x:c r="B156" s="17" t="str">
        <x:v>Jsoup</x:v>
      </x:c>
      <x:c r="C156" s="17" t="str">
        <x:v>Round1</x:v>
      </x:c>
      <x:c r="D156" s="17" t="str">
        <x:v>FIXED_NOT_RUN</x:v>
      </x:c>
      <x:c r="E156" s="17" t="n">
        <x:f>COUNTIF('BugResults'!$P$510:$P$602,"FIXED_NOT_RUN")</x:f>
        <x:v>1</x:v>
      </x:c>
      <x:c r="F156" s="33" t="n">
        <x:f>IF('Verdicts'!E194=0,"—",E156/'Verdicts'!E194)</x:f>
        <x:v>0.014925373134328358</x:v>
      </x:c>
      <x:c r="G156" s="17" t="n">
        <x:f>'Verdicts'!E194</x:f>
        <x:v>67</x:v>
      </x:c>
      <x:c r="H156" s="17"/>
    </x:row>
    <x:row r="157" ht="23" customHeight="1">
      <x:c r="B157" s="17" t="str">
        <x:v>Jsoup</x:v>
      </x:c>
      <x:c r="C157" s="17" t="str">
        <x:v>Round1</x:v>
      </x:c>
      <x:c r="D157" s="17" t="str">
        <x:v>BOTH_NOT_RUN</x:v>
      </x:c>
      <x:c r="E157" s="17" t="n">
        <x:f>COUNTIF('BugResults'!$P$510:$P$602,"BOTH_NOT_RUN")</x:f>
        <x:v>65</x:v>
      </x:c>
      <x:c r="F157" s="33" t="n">
        <x:f>IF('Verdicts'!E194=0,"—",E157/'Verdicts'!E194)</x:f>
        <x:v>0.9701492537313433</x:v>
      </x:c>
      <x:c r="G157" s="17" t="n">
        <x:f>'Verdicts'!E194</x:f>
        <x:v>67</x:v>
      </x:c>
      <x:c r="H157" s="17"/>
    </x:row>
    <x:row r="158" ht="23" customHeight="1">
      <x:c r="B158" s="17" t="str">
        <x:v>Jsoup</x:v>
      </x:c>
      <x:c r="C158" s="17" t="str">
        <x:v>Round1</x:v>
      </x:c>
      <x:c r="D158" s="17" t="str">
        <x:v>COVERAGE_UNAVAILABLE</x:v>
      </x:c>
      <x:c r="E158" s="17" t="n">
        <x:f>COUNTIF('BugResults'!$P$510:$P$602,"COVERAGE_UNAVAILABLE")</x:f>
        <x:v>1</x:v>
      </x:c>
      <x:c r="F158" s="33" t="n">
        <x:f>IF('Verdicts'!E194=0,"—",E158/'Verdicts'!E194)</x:f>
        <x:v>0.014925373134328358</x:v>
      </x:c>
      <x:c r="G158" s="17" t="n">
        <x:f>'Verdicts'!E194</x:f>
        <x:v>67</x:v>
      </x:c>
      <x:c r="H158" s="17"/>
    </x:row>
    <x:row r="159" ht="23" customHeight="1">
      <x:c r="B159" s="17" t="str">
        <x:v>Jsoup</x:v>
      </x:c>
      <x:c r="C159" s="17" t="str">
        <x:v>Round2</x:v>
      </x:c>
      <x:c r="D159" s="17" t="str">
        <x:v>BUGGY_NOT_RUN</x:v>
      </x:c>
      <x:c r="E159" s="17" t="n">
        <x:f>COUNTIF('BugResults'!$P$1364:$P$1456,"BUGGY_NOT_RUN")</x:f>
        <x:v>0</x:v>
      </x:c>
      <x:c r="F159" s="33" t="n">
        <x:f>IF('Verdicts'!E199=0,"—",E159/'Verdicts'!E199)</x:f>
        <x:v>0</x:v>
      </x:c>
      <x:c r="G159" s="17" t="n">
        <x:f>'Verdicts'!E199</x:f>
        <x:v>48</x:v>
      </x:c>
      <x:c r="H159" s="17" t="n">
        <x:f>SUM(E159:E162)-G159</x:f>
        <x:v>0</x:v>
      </x:c>
    </x:row>
    <x:row r="160" ht="23" customHeight="1">
      <x:c r="B160" s="17" t="str">
        <x:v>Jsoup</x:v>
      </x:c>
      <x:c r="C160" s="17" t="str">
        <x:v>Round2</x:v>
      </x:c>
      <x:c r="D160" s="17" t="str">
        <x:v>FIXED_NOT_RUN</x:v>
      </x:c>
      <x:c r="E160" s="17" t="n">
        <x:f>COUNTIF('BugResults'!$P$1364:$P$1456,"FIXED_NOT_RUN")</x:f>
        <x:v>0</x:v>
      </x:c>
      <x:c r="F160" s="33" t="n">
        <x:f>IF('Verdicts'!E199=0,"—",E160/'Verdicts'!E199)</x:f>
        <x:v>0</x:v>
      </x:c>
      <x:c r="G160" s="17" t="n">
        <x:f>'Verdicts'!E199</x:f>
        <x:v>48</x:v>
      </x:c>
      <x:c r="H160" s="17"/>
    </x:row>
    <x:row r="161" ht="23" customHeight="1">
      <x:c r="B161" s="17" t="str">
        <x:v>Jsoup</x:v>
      </x:c>
      <x:c r="C161" s="17" t="str">
        <x:v>Round2</x:v>
      </x:c>
      <x:c r="D161" s="17" t="str">
        <x:v>BOTH_NOT_RUN</x:v>
      </x:c>
      <x:c r="E161" s="17" t="n">
        <x:f>COUNTIF('BugResults'!$P$1364:$P$1456,"BOTH_NOT_RUN")</x:f>
        <x:v>45</x:v>
      </x:c>
      <x:c r="F161" s="33" t="n">
        <x:f>IF('Verdicts'!E199=0,"—",E161/'Verdicts'!E199)</x:f>
        <x:v>0.9375</x:v>
      </x:c>
      <x:c r="G161" s="17" t="n">
        <x:f>'Verdicts'!E199</x:f>
        <x:v>48</x:v>
      </x:c>
      <x:c r="H161" s="17"/>
    </x:row>
    <x:row r="162" ht="23" customHeight="1">
      <x:c r="B162" s="17" t="str">
        <x:v>Jsoup</x:v>
      </x:c>
      <x:c r="C162" s="17" t="str">
        <x:v>Round2</x:v>
      </x:c>
      <x:c r="D162" s="17" t="str">
        <x:v>COVERAGE_UNAVAILABLE</x:v>
      </x:c>
      <x:c r="E162" s="17" t="n">
        <x:f>COUNTIF('BugResults'!$P$1364:$P$1456,"COVERAGE_UNAVAILABLE")</x:f>
        <x:v>3</x:v>
      </x:c>
      <x:c r="F162" s="33" t="n">
        <x:f>IF('Verdicts'!E199=0,"—",E162/'Verdicts'!E199)</x:f>
        <x:v>0.0625</x:v>
      </x:c>
      <x:c r="G162" s="17" t="n">
        <x:f>'Verdicts'!E199</x:f>
        <x:v>48</x:v>
      </x:c>
      <x:c r="H162" s="17"/>
    </x:row>
    <x:row r="163" ht="23" customHeight="1">
      <x:c r="B163" s="17" t="str">
        <x:v>JxPath</x:v>
      </x:c>
      <x:c r="C163" s="17" t="str">
        <x:v>All rounds</x:v>
      </x:c>
      <x:c r="D163" s="17" t="str">
        <x:v>BUGGY_NOT_RUN</x:v>
      </x:c>
      <x:c r="E163" s="17" t="n">
        <x:f>COUNTIF('BugResults'!$P$603:$P$624,"BUGGY_NOT_RUN")+COUNTIF('BugResults'!$P$1457:$P$1478,"BUGGY_NOT_RUN")</x:f>
        <x:v>0</x:v>
      </x:c>
      <x:c r="F163" s="33" t="n">
        <x:f>IF('Verdicts'!E204=0,"—",E163/'Verdicts'!E204)</x:f>
        <x:v>0</x:v>
      </x:c>
      <x:c r="G163" s="17" t="n">
        <x:f>'Verdicts'!E204</x:f>
        <x:v>43</x:v>
      </x:c>
      <x:c r="H163" s="17" t="n">
        <x:f>SUM(E163:E166)-G163</x:f>
        <x:v>0</x:v>
      </x:c>
    </x:row>
    <x:row r="164" ht="23" customHeight="1">
      <x:c r="B164" s="17" t="str">
        <x:v>JxPath</x:v>
      </x:c>
      <x:c r="C164" s="17" t="str">
        <x:v>All rounds</x:v>
      </x:c>
      <x:c r="D164" s="17" t="str">
        <x:v>FIXED_NOT_RUN</x:v>
      </x:c>
      <x:c r="E164" s="17" t="n">
        <x:f>COUNTIF('BugResults'!$P$603:$P$624,"FIXED_NOT_RUN")+COUNTIF('BugResults'!$P$1457:$P$1478,"FIXED_NOT_RUN")</x:f>
        <x:v>0</x:v>
      </x:c>
      <x:c r="F164" s="33" t="n">
        <x:f>IF('Verdicts'!E204=0,"—",E164/'Verdicts'!E204)</x:f>
        <x:v>0</x:v>
      </x:c>
      <x:c r="G164" s="17" t="n">
        <x:f>'Verdicts'!E204</x:f>
        <x:v>43</x:v>
      </x:c>
      <x:c r="H164" s="17"/>
    </x:row>
    <x:row r="165" ht="23" customHeight="1">
      <x:c r="B165" s="17" t="str">
        <x:v>JxPath</x:v>
      </x:c>
      <x:c r="C165" s="17" t="str">
        <x:v>All rounds</x:v>
      </x:c>
      <x:c r="D165" s="17" t="str">
        <x:v>BOTH_NOT_RUN</x:v>
      </x:c>
      <x:c r="E165" s="17" t="n">
        <x:f>COUNTIF('BugResults'!$P$603:$P$624,"BOTH_NOT_RUN")+COUNTIF('BugResults'!$P$1457:$P$1478,"BOTH_NOT_RUN")</x:f>
        <x:v>43</x:v>
      </x:c>
      <x:c r="F165" s="33" t="n">
        <x:f>IF('Verdicts'!E204=0,"—",E165/'Verdicts'!E204)</x:f>
        <x:v>1</x:v>
      </x:c>
      <x:c r="G165" s="17" t="n">
        <x:f>'Verdicts'!E204</x:f>
        <x:v>43</x:v>
      </x:c>
      <x:c r="H165" s="17"/>
    </x:row>
    <x:row r="166" ht="23" customHeight="1">
      <x:c r="B166" s="17" t="str">
        <x:v>JxPath</x:v>
      </x:c>
      <x:c r="C166" s="17" t="str">
        <x:v>All rounds</x:v>
      </x:c>
      <x:c r="D166" s="17" t="str">
        <x:v>COVERAGE_UNAVAILABLE</x:v>
      </x:c>
      <x:c r="E166" s="17" t="n">
        <x:f>COUNTIF('BugResults'!$P$603:$P$624,"COVERAGE_UNAVAILABLE")+COUNTIF('BugResults'!$P$1457:$P$1478,"COVERAGE_UNAVAILABLE")</x:f>
        <x:v>0</x:v>
      </x:c>
      <x:c r="F166" s="33" t="n">
        <x:f>IF('Verdicts'!E204=0,"—",E166/'Verdicts'!E204)</x:f>
        <x:v>0</x:v>
      </x:c>
      <x:c r="G166" s="17" t="n">
        <x:f>'Verdicts'!E204</x:f>
        <x:v>43</x:v>
      </x:c>
      <x:c r="H166" s="17"/>
    </x:row>
    <x:row r="167" ht="23" customHeight="1">
      <x:c r="B167" s="17" t="str">
        <x:v>JxPath</x:v>
      </x:c>
      <x:c r="C167" s="17" t="str">
        <x:v>Round1</x:v>
      </x:c>
      <x:c r="D167" s="17" t="str">
        <x:v>BUGGY_NOT_RUN</x:v>
      </x:c>
      <x:c r="E167" s="17" t="n">
        <x:f>COUNTIF('BugResults'!$P$603:$P$624,"BUGGY_NOT_RUN")</x:f>
        <x:v>0</x:v>
      </x:c>
      <x:c r="F167" s="33" t="n">
        <x:f>IF('Verdicts'!E209=0,"—",E167/'Verdicts'!E209)</x:f>
        <x:v>0</x:v>
      </x:c>
      <x:c r="G167" s="17" t="n">
        <x:f>'Verdicts'!E209</x:f>
        <x:v>22</x:v>
      </x:c>
      <x:c r="H167" s="17" t="n">
        <x:f>SUM(E167:E170)-G167</x:f>
        <x:v>0</x:v>
      </x:c>
    </x:row>
    <x:row r="168" ht="23" customHeight="1">
      <x:c r="B168" s="17" t="str">
        <x:v>JxPath</x:v>
      </x:c>
      <x:c r="C168" s="17" t="str">
        <x:v>Round1</x:v>
      </x:c>
      <x:c r="D168" s="17" t="str">
        <x:v>FIXED_NOT_RUN</x:v>
      </x:c>
      <x:c r="E168" s="17" t="n">
        <x:f>COUNTIF('BugResults'!$P$603:$P$624,"FIXED_NOT_RUN")</x:f>
        <x:v>0</x:v>
      </x:c>
      <x:c r="F168" s="33" t="n">
        <x:f>IF('Verdicts'!E209=0,"—",E168/'Verdicts'!E209)</x:f>
        <x:v>0</x:v>
      </x:c>
      <x:c r="G168" s="17" t="n">
        <x:f>'Verdicts'!E209</x:f>
        <x:v>22</x:v>
      </x:c>
      <x:c r="H168" s="17"/>
    </x:row>
    <x:row r="169" ht="23" customHeight="1">
      <x:c r="B169" s="17" t="str">
        <x:v>JxPath</x:v>
      </x:c>
      <x:c r="C169" s="17" t="str">
        <x:v>Round1</x:v>
      </x:c>
      <x:c r="D169" s="17" t="str">
        <x:v>BOTH_NOT_RUN</x:v>
      </x:c>
      <x:c r="E169" s="17" t="n">
        <x:f>COUNTIF('BugResults'!$P$603:$P$624,"BOTH_NOT_RUN")</x:f>
        <x:v>22</x:v>
      </x:c>
      <x:c r="F169" s="33" t="n">
        <x:f>IF('Verdicts'!E209=0,"—",E169/'Verdicts'!E209)</x:f>
        <x:v>1</x:v>
      </x:c>
      <x:c r="G169" s="17" t="n">
        <x:f>'Verdicts'!E209</x:f>
        <x:v>22</x:v>
      </x:c>
      <x:c r="H169" s="17"/>
    </x:row>
    <x:row r="170" ht="23" customHeight="1">
      <x:c r="B170" s="17" t="str">
        <x:v>JxPath</x:v>
      </x:c>
      <x:c r="C170" s="17" t="str">
        <x:v>Round1</x:v>
      </x:c>
      <x:c r="D170" s="17" t="str">
        <x:v>COVERAGE_UNAVAILABLE</x:v>
      </x:c>
      <x:c r="E170" s="17" t="n">
        <x:f>COUNTIF('BugResults'!$P$603:$P$624,"COVERAGE_UNAVAILABLE")</x:f>
        <x:v>0</x:v>
      </x:c>
      <x:c r="F170" s="33" t="n">
        <x:f>IF('Verdicts'!E209=0,"—",E170/'Verdicts'!E209)</x:f>
        <x:v>0</x:v>
      </x:c>
      <x:c r="G170" s="17" t="n">
        <x:f>'Verdicts'!E209</x:f>
        <x:v>22</x:v>
      </x:c>
      <x:c r="H170" s="17"/>
    </x:row>
    <x:row r="171" ht="23" customHeight="1">
      <x:c r="B171" s="17" t="str">
        <x:v>JxPath</x:v>
      </x:c>
      <x:c r="C171" s="17" t="str">
        <x:v>Round2</x:v>
      </x:c>
      <x:c r="D171" s="17" t="str">
        <x:v>BUGGY_NOT_RUN</x:v>
      </x:c>
      <x:c r="E171" s="17" t="n">
        <x:f>COUNTIF('BugResults'!$P$1457:$P$1478,"BUGGY_NOT_RUN")</x:f>
        <x:v>0</x:v>
      </x:c>
      <x:c r="F171" s="33" t="n">
        <x:f>IF('Verdicts'!E214=0,"—",E171/'Verdicts'!E214)</x:f>
        <x:v>0</x:v>
      </x:c>
      <x:c r="G171" s="17" t="n">
        <x:f>'Verdicts'!E214</x:f>
        <x:v>21</x:v>
      </x:c>
      <x:c r="H171" s="17" t="n">
        <x:f>SUM(E171:E174)-G171</x:f>
        <x:v>0</x:v>
      </x:c>
    </x:row>
    <x:row r="172" ht="23" customHeight="1">
      <x:c r="B172" s="17" t="str">
        <x:v>JxPath</x:v>
      </x:c>
      <x:c r="C172" s="17" t="str">
        <x:v>Round2</x:v>
      </x:c>
      <x:c r="D172" s="17" t="str">
        <x:v>FIXED_NOT_RUN</x:v>
      </x:c>
      <x:c r="E172" s="17" t="n">
        <x:f>COUNTIF('BugResults'!$P$1457:$P$1478,"FIXED_NOT_RUN")</x:f>
        <x:v>0</x:v>
      </x:c>
      <x:c r="F172" s="33" t="n">
        <x:f>IF('Verdicts'!E214=0,"—",E172/'Verdicts'!E214)</x:f>
        <x:v>0</x:v>
      </x:c>
      <x:c r="G172" s="17" t="n">
        <x:f>'Verdicts'!E214</x:f>
        <x:v>21</x:v>
      </x:c>
      <x:c r="H172" s="17"/>
    </x:row>
    <x:row r="173" ht="23" customHeight="1">
      <x:c r="B173" s="17" t="str">
        <x:v>JxPath</x:v>
      </x:c>
      <x:c r="C173" s="17" t="str">
        <x:v>Round2</x:v>
      </x:c>
      <x:c r="D173" s="17" t="str">
        <x:v>BOTH_NOT_RUN</x:v>
      </x:c>
      <x:c r="E173" s="17" t="n">
        <x:f>COUNTIF('BugResults'!$P$1457:$P$1478,"BOTH_NOT_RUN")</x:f>
        <x:v>21</x:v>
      </x:c>
      <x:c r="F173" s="33" t="n">
        <x:f>IF('Verdicts'!E214=0,"—",E173/'Verdicts'!E214)</x:f>
        <x:v>1</x:v>
      </x:c>
      <x:c r="G173" s="17" t="n">
        <x:f>'Verdicts'!E214</x:f>
        <x:v>21</x:v>
      </x:c>
      <x:c r="H173" s="17"/>
    </x:row>
    <x:row r="174" ht="23" customHeight="1">
      <x:c r="B174" s="17" t="str">
        <x:v>JxPath</x:v>
      </x:c>
      <x:c r="C174" s="17" t="str">
        <x:v>Round2</x:v>
      </x:c>
      <x:c r="D174" s="17" t="str">
        <x:v>COVERAGE_UNAVAILABLE</x:v>
      </x:c>
      <x:c r="E174" s="17" t="n">
        <x:f>COUNTIF('BugResults'!$P$1457:$P$1478,"COVERAGE_UNAVAILABLE")</x:f>
        <x:v>0</x:v>
      </x:c>
      <x:c r="F174" s="33" t="n">
        <x:f>IF('Verdicts'!E214=0,"—",E174/'Verdicts'!E214)</x:f>
        <x:v>0</x:v>
      </x:c>
      <x:c r="G174" s="17" t="n">
        <x:f>'Verdicts'!E214</x:f>
        <x:v>21</x:v>
      </x:c>
      <x:c r="H174" s="17"/>
    </x:row>
    <x:row r="175" ht="23" customHeight="1">
      <x:c r="B175" s="17" t="str">
        <x:v>Lang</x:v>
      </x:c>
      <x:c r="C175" s="17" t="str">
        <x:v>All rounds</x:v>
      </x:c>
      <x:c r="D175" s="17" t="str">
        <x:v>BUGGY_NOT_RUN</x:v>
      </x:c>
      <x:c r="E175" s="17" t="n">
        <x:f>COUNTIF('BugResults'!$P$625:$P$685,"BUGGY_NOT_RUN")+COUNTIF('BugResults'!$P$1479:$P$1539,"BUGGY_NOT_RUN")</x:f>
        <x:v>0</x:v>
      </x:c>
      <x:c r="F175" s="33" t="n">
        <x:f>IF('Verdicts'!E219=0,"—",E175/'Verdicts'!E219)</x:f>
        <x:v>0</x:v>
      </x:c>
      <x:c r="G175" s="17" t="n">
        <x:f>'Verdicts'!E219</x:f>
        <x:v>52</x:v>
      </x:c>
      <x:c r="H175" s="17" t="n">
        <x:f>SUM(E175:E178)-G175</x:f>
        <x:v>0</x:v>
      </x:c>
    </x:row>
    <x:row r="176" ht="23" customHeight="1">
      <x:c r="B176" s="17" t="str">
        <x:v>Lang</x:v>
      </x:c>
      <x:c r="C176" s="17" t="str">
        <x:v>All rounds</x:v>
      </x:c>
      <x:c r="D176" s="17" t="str">
        <x:v>FIXED_NOT_RUN</x:v>
      </x:c>
      <x:c r="E176" s="17" t="n">
        <x:f>COUNTIF('BugResults'!$P$625:$P$685,"FIXED_NOT_RUN")+COUNTIF('BugResults'!$P$1479:$P$1539,"FIXED_NOT_RUN")</x:f>
        <x:v>0</x:v>
      </x:c>
      <x:c r="F176" s="33" t="n">
        <x:f>IF('Verdicts'!E219=0,"—",E176/'Verdicts'!E219)</x:f>
        <x:v>0</x:v>
      </x:c>
      <x:c r="G176" s="17" t="n">
        <x:f>'Verdicts'!E219</x:f>
        <x:v>52</x:v>
      </x:c>
      <x:c r="H176" s="17"/>
    </x:row>
    <x:row r="177" ht="23" customHeight="1">
      <x:c r="B177" s="17" t="str">
        <x:v>Lang</x:v>
      </x:c>
      <x:c r="C177" s="17" t="str">
        <x:v>All rounds</x:v>
      </x:c>
      <x:c r="D177" s="17" t="str">
        <x:v>BOTH_NOT_RUN</x:v>
      </x:c>
      <x:c r="E177" s="17" t="n">
        <x:f>COUNTIF('BugResults'!$P$625:$P$685,"BOTH_NOT_RUN")+COUNTIF('BugResults'!$P$1479:$P$1539,"BOTH_NOT_RUN")</x:f>
        <x:v>52</x:v>
      </x:c>
      <x:c r="F177" s="33" t="n">
        <x:f>IF('Verdicts'!E219=0,"—",E177/'Verdicts'!E219)</x:f>
        <x:v>1</x:v>
      </x:c>
      <x:c r="G177" s="17" t="n">
        <x:f>'Verdicts'!E219</x:f>
        <x:v>52</x:v>
      </x:c>
      <x:c r="H177" s="17"/>
    </x:row>
    <x:row r="178" ht="23" customHeight="1">
      <x:c r="B178" s="17" t="str">
        <x:v>Lang</x:v>
      </x:c>
      <x:c r="C178" s="17" t="str">
        <x:v>All rounds</x:v>
      </x:c>
      <x:c r="D178" s="17" t="str">
        <x:v>COVERAGE_UNAVAILABLE</x:v>
      </x:c>
      <x:c r="E178" s="17" t="n">
        <x:f>COUNTIF('BugResults'!$P$625:$P$685,"COVERAGE_UNAVAILABLE")+COUNTIF('BugResults'!$P$1479:$P$1539,"COVERAGE_UNAVAILABLE")</x:f>
        <x:v>0</x:v>
      </x:c>
      <x:c r="F178" s="33" t="n">
        <x:f>IF('Verdicts'!E219=0,"—",E178/'Verdicts'!E219)</x:f>
        <x:v>0</x:v>
      </x:c>
      <x:c r="G178" s="17" t="n">
        <x:f>'Verdicts'!E219</x:f>
        <x:v>52</x:v>
      </x:c>
      <x:c r="H178" s="17"/>
    </x:row>
    <x:row r="179" ht="23" customHeight="1">
      <x:c r="B179" s="17" t="str">
        <x:v>Lang</x:v>
      </x:c>
      <x:c r="C179" s="17" t="str">
        <x:v>Round1</x:v>
      </x:c>
      <x:c r="D179" s="17" t="str">
        <x:v>BUGGY_NOT_RUN</x:v>
      </x:c>
      <x:c r="E179" s="17" t="n">
        <x:f>COUNTIF('BugResults'!$P$625:$P$685,"BUGGY_NOT_RUN")</x:f>
        <x:v>0</x:v>
      </x:c>
      <x:c r="F179" s="33" t="n">
        <x:f>IF('Verdicts'!E224=0,"—",E179/'Verdicts'!E224)</x:f>
        <x:v>0</x:v>
      </x:c>
      <x:c r="G179" s="17" t="n">
        <x:f>'Verdicts'!E224</x:f>
        <x:v>36</x:v>
      </x:c>
      <x:c r="H179" s="17" t="n">
        <x:f>SUM(E179:E182)-G179</x:f>
        <x:v>0</x:v>
      </x:c>
    </x:row>
    <x:row r="180" ht="23" customHeight="1">
      <x:c r="B180" s="17" t="str">
        <x:v>Lang</x:v>
      </x:c>
      <x:c r="C180" s="17" t="str">
        <x:v>Round1</x:v>
      </x:c>
      <x:c r="D180" s="17" t="str">
        <x:v>FIXED_NOT_RUN</x:v>
      </x:c>
      <x:c r="E180" s="17" t="n">
        <x:f>COUNTIF('BugResults'!$P$625:$P$685,"FIXED_NOT_RUN")</x:f>
        <x:v>0</x:v>
      </x:c>
      <x:c r="F180" s="33" t="n">
        <x:f>IF('Verdicts'!E224=0,"—",E180/'Verdicts'!E224)</x:f>
        <x:v>0</x:v>
      </x:c>
      <x:c r="G180" s="17" t="n">
        <x:f>'Verdicts'!E224</x:f>
        <x:v>36</x:v>
      </x:c>
      <x:c r="H180" s="17"/>
    </x:row>
    <x:row r="181" ht="23" customHeight="1">
      <x:c r="B181" s="17" t="str">
        <x:v>Lang</x:v>
      </x:c>
      <x:c r="C181" s="17" t="str">
        <x:v>Round1</x:v>
      </x:c>
      <x:c r="D181" s="17" t="str">
        <x:v>BOTH_NOT_RUN</x:v>
      </x:c>
      <x:c r="E181" s="17" t="n">
        <x:f>COUNTIF('BugResults'!$P$625:$P$685,"BOTH_NOT_RUN")</x:f>
        <x:v>36</x:v>
      </x:c>
      <x:c r="F181" s="33" t="n">
        <x:f>IF('Verdicts'!E224=0,"—",E181/'Verdicts'!E224)</x:f>
        <x:v>1</x:v>
      </x:c>
      <x:c r="G181" s="17" t="n">
        <x:f>'Verdicts'!E224</x:f>
        <x:v>36</x:v>
      </x:c>
      <x:c r="H181" s="17"/>
    </x:row>
    <x:row r="182" ht="23" customHeight="1">
      <x:c r="B182" s="17" t="str">
        <x:v>Lang</x:v>
      </x:c>
      <x:c r="C182" s="17" t="str">
        <x:v>Round1</x:v>
      </x:c>
      <x:c r="D182" s="17" t="str">
        <x:v>COVERAGE_UNAVAILABLE</x:v>
      </x:c>
      <x:c r="E182" s="17" t="n">
        <x:f>COUNTIF('BugResults'!$P$625:$P$685,"COVERAGE_UNAVAILABLE")</x:f>
        <x:v>0</x:v>
      </x:c>
      <x:c r="F182" s="33" t="n">
        <x:f>IF('Verdicts'!E224=0,"—",E182/'Verdicts'!E224)</x:f>
        <x:v>0</x:v>
      </x:c>
      <x:c r="G182" s="17" t="n">
        <x:f>'Verdicts'!E224</x:f>
        <x:v>36</x:v>
      </x:c>
      <x:c r="H182" s="17"/>
    </x:row>
    <x:row r="183" ht="23" customHeight="1">
      <x:c r="B183" s="17" t="str">
        <x:v>Lang</x:v>
      </x:c>
      <x:c r="C183" s="17" t="str">
        <x:v>Round2</x:v>
      </x:c>
      <x:c r="D183" s="17" t="str">
        <x:v>BUGGY_NOT_RUN</x:v>
      </x:c>
      <x:c r="E183" s="17" t="n">
        <x:f>COUNTIF('BugResults'!$P$1479:$P$1539,"BUGGY_NOT_RUN")</x:f>
        <x:v>0</x:v>
      </x:c>
      <x:c r="F183" s="33" t="n">
        <x:f>IF('Verdicts'!E229=0,"—",E183/'Verdicts'!E229)</x:f>
        <x:v>0</x:v>
      </x:c>
      <x:c r="G183" s="17" t="n">
        <x:f>'Verdicts'!E229</x:f>
        <x:v>16</x:v>
      </x:c>
      <x:c r="H183" s="17" t="n">
        <x:f>SUM(E183:E186)-G183</x:f>
        <x:v>0</x:v>
      </x:c>
    </x:row>
    <x:row r="184" ht="23" customHeight="1">
      <x:c r="B184" s="17" t="str">
        <x:v>Lang</x:v>
      </x:c>
      <x:c r="C184" s="17" t="str">
        <x:v>Round2</x:v>
      </x:c>
      <x:c r="D184" s="17" t="str">
        <x:v>FIXED_NOT_RUN</x:v>
      </x:c>
      <x:c r="E184" s="17" t="n">
        <x:f>COUNTIF('BugResults'!$P$1479:$P$1539,"FIXED_NOT_RUN")</x:f>
        <x:v>0</x:v>
      </x:c>
      <x:c r="F184" s="33" t="n">
        <x:f>IF('Verdicts'!E229=0,"—",E184/'Verdicts'!E229)</x:f>
        <x:v>0</x:v>
      </x:c>
      <x:c r="G184" s="17" t="n">
        <x:f>'Verdicts'!E229</x:f>
        <x:v>16</x:v>
      </x:c>
      <x:c r="H184" s="17"/>
    </x:row>
    <x:row r="185" ht="23" customHeight="1">
      <x:c r="B185" s="17" t="str">
        <x:v>Lang</x:v>
      </x:c>
      <x:c r="C185" s="17" t="str">
        <x:v>Round2</x:v>
      </x:c>
      <x:c r="D185" s="17" t="str">
        <x:v>BOTH_NOT_RUN</x:v>
      </x:c>
      <x:c r="E185" s="17" t="n">
        <x:f>COUNTIF('BugResults'!$P$1479:$P$1539,"BOTH_NOT_RUN")</x:f>
        <x:v>16</x:v>
      </x:c>
      <x:c r="F185" s="33" t="n">
        <x:f>IF('Verdicts'!E229=0,"—",E185/'Verdicts'!E229)</x:f>
        <x:v>1</x:v>
      </x:c>
      <x:c r="G185" s="17" t="n">
        <x:f>'Verdicts'!E229</x:f>
        <x:v>16</x:v>
      </x:c>
      <x:c r="H185" s="17"/>
    </x:row>
    <x:row r="186" ht="23" customHeight="1">
      <x:c r="B186" s="17" t="str">
        <x:v>Lang</x:v>
      </x:c>
      <x:c r="C186" s="17" t="str">
        <x:v>Round2</x:v>
      </x:c>
      <x:c r="D186" s="17" t="str">
        <x:v>COVERAGE_UNAVAILABLE</x:v>
      </x:c>
      <x:c r="E186" s="17" t="n">
        <x:f>COUNTIF('BugResults'!$P$1479:$P$1539,"COVERAGE_UNAVAILABLE")</x:f>
        <x:v>0</x:v>
      </x:c>
      <x:c r="F186" s="33" t="n">
        <x:f>IF('Verdicts'!E229=0,"—",E186/'Verdicts'!E229)</x:f>
        <x:v>0</x:v>
      </x:c>
      <x:c r="G186" s="17" t="n">
        <x:f>'Verdicts'!E229</x:f>
        <x:v>16</x:v>
      </x:c>
      <x:c r="H186" s="17"/>
    </x:row>
    <x:row r="187" ht="23" customHeight="1">
      <x:c r="B187" s="17" t="str">
        <x:v>Math</x:v>
      </x:c>
      <x:c r="C187" s="17" t="str">
        <x:v>All rounds</x:v>
      </x:c>
      <x:c r="D187" s="17" t="str">
        <x:v>BUGGY_NOT_RUN</x:v>
      </x:c>
      <x:c r="E187" s="17" t="n">
        <x:f>COUNTIF('BugResults'!$P$686:$P$791,"BUGGY_NOT_RUN")+COUNTIF('BugResults'!$P$1540:$P$1645,"BUGGY_NOT_RUN")</x:f>
        <x:v>0</x:v>
      </x:c>
      <x:c r="F187" s="33" t="n">
        <x:f>IF('Verdicts'!E234=0,"—",E187/'Verdicts'!E234)</x:f>
        <x:v>0</x:v>
      </x:c>
      <x:c r="G187" s="17" t="n">
        <x:f>'Verdicts'!E234</x:f>
        <x:v>69</x:v>
      </x:c>
      <x:c r="H187" s="17" t="n">
        <x:f>SUM(E187:E190)-G187</x:f>
        <x:v>0</x:v>
      </x:c>
    </x:row>
    <x:row r="188" ht="23" customHeight="1">
      <x:c r="B188" s="17" t="str">
        <x:v>Math</x:v>
      </x:c>
      <x:c r="C188" s="17" t="str">
        <x:v>All rounds</x:v>
      </x:c>
      <x:c r="D188" s="17" t="str">
        <x:v>FIXED_NOT_RUN</x:v>
      </x:c>
      <x:c r="E188" s="17" t="n">
        <x:f>COUNTIF('BugResults'!$P$686:$P$791,"FIXED_NOT_RUN")+COUNTIF('BugResults'!$P$1540:$P$1645,"FIXED_NOT_RUN")</x:f>
        <x:v>2</x:v>
      </x:c>
      <x:c r="F188" s="33" t="n">
        <x:f>IF('Verdicts'!E234=0,"—",E188/'Verdicts'!E234)</x:f>
        <x:v>0.028985507246376812</x:v>
      </x:c>
      <x:c r="G188" s="17" t="n">
        <x:f>'Verdicts'!E234</x:f>
        <x:v>69</x:v>
      </x:c>
      <x:c r="H188" s="17"/>
    </x:row>
    <x:row r="189" ht="23" customHeight="1">
      <x:c r="B189" s="17" t="str">
        <x:v>Math</x:v>
      </x:c>
      <x:c r="C189" s="17" t="str">
        <x:v>All rounds</x:v>
      </x:c>
      <x:c r="D189" s="17" t="str">
        <x:v>BOTH_NOT_RUN</x:v>
      </x:c>
      <x:c r="E189" s="17" t="n">
        <x:f>COUNTIF('BugResults'!$P$686:$P$791,"BOTH_NOT_RUN")+COUNTIF('BugResults'!$P$1540:$P$1645,"BOTH_NOT_RUN")</x:f>
        <x:v>67</x:v>
      </x:c>
      <x:c r="F189" s="33" t="n">
        <x:f>IF('Verdicts'!E234=0,"—",E189/'Verdicts'!E234)</x:f>
        <x:v>0.9710144927536232</x:v>
      </x:c>
      <x:c r="G189" s="17" t="n">
        <x:f>'Verdicts'!E234</x:f>
        <x:v>69</x:v>
      </x:c>
      <x:c r="H189" s="17"/>
    </x:row>
    <x:row r="190" ht="23" customHeight="1">
      <x:c r="B190" s="17" t="str">
        <x:v>Math</x:v>
      </x:c>
      <x:c r="C190" s="17" t="str">
        <x:v>All rounds</x:v>
      </x:c>
      <x:c r="D190" s="17" t="str">
        <x:v>COVERAGE_UNAVAILABLE</x:v>
      </x:c>
      <x:c r="E190" s="17" t="n">
        <x:f>COUNTIF('BugResults'!$P$686:$P$791,"COVERAGE_UNAVAILABLE")+COUNTIF('BugResults'!$P$1540:$P$1645,"COVERAGE_UNAVAILABLE")</x:f>
        <x:v>0</x:v>
      </x:c>
      <x:c r="F190" s="33" t="n">
        <x:f>IF('Verdicts'!E234=0,"—",E190/'Verdicts'!E234)</x:f>
        <x:v>0</x:v>
      </x:c>
      <x:c r="G190" s="17" t="n">
        <x:f>'Verdicts'!E234</x:f>
        <x:v>69</x:v>
      </x:c>
      <x:c r="H190" s="17"/>
    </x:row>
    <x:row r="191" ht="23" customHeight="1">
      <x:c r="B191" s="17" t="str">
        <x:v>Math</x:v>
      </x:c>
      <x:c r="C191" s="17" t="str">
        <x:v>Round1</x:v>
      </x:c>
      <x:c r="D191" s="17" t="str">
        <x:v>BUGGY_NOT_RUN</x:v>
      </x:c>
      <x:c r="E191" s="17" t="n">
        <x:f>COUNTIF('BugResults'!$P$686:$P$791,"BUGGY_NOT_RUN")</x:f>
        <x:v>0</x:v>
      </x:c>
      <x:c r="F191" s="33" t="n">
        <x:f>IF('Verdicts'!E239=0,"—",E191/'Verdicts'!E239)</x:f>
        <x:v>0</x:v>
      </x:c>
      <x:c r="G191" s="17" t="n">
        <x:f>'Verdicts'!E239</x:f>
        <x:v>54</x:v>
      </x:c>
      <x:c r="H191" s="17" t="n">
        <x:f>SUM(E191:E194)-G191</x:f>
        <x:v>0</x:v>
      </x:c>
    </x:row>
    <x:row r="192" ht="23" customHeight="1">
      <x:c r="B192" s="17" t="str">
        <x:v>Math</x:v>
      </x:c>
      <x:c r="C192" s="17" t="str">
        <x:v>Round1</x:v>
      </x:c>
      <x:c r="D192" s="17" t="str">
        <x:v>FIXED_NOT_RUN</x:v>
      </x:c>
      <x:c r="E192" s="17" t="n">
        <x:f>COUNTIF('BugResults'!$P$686:$P$791,"FIXED_NOT_RUN")</x:f>
        <x:v>1</x:v>
      </x:c>
      <x:c r="F192" s="33" t="n">
        <x:f>IF('Verdicts'!E239=0,"—",E192/'Verdicts'!E239)</x:f>
        <x:v>0.018518518518518517</x:v>
      </x:c>
      <x:c r="G192" s="17" t="n">
        <x:f>'Verdicts'!E239</x:f>
        <x:v>54</x:v>
      </x:c>
      <x:c r="H192" s="17"/>
    </x:row>
    <x:row r="193" ht="23" customHeight="1">
      <x:c r="B193" s="17" t="str">
        <x:v>Math</x:v>
      </x:c>
      <x:c r="C193" s="17" t="str">
        <x:v>Round1</x:v>
      </x:c>
      <x:c r="D193" s="17" t="str">
        <x:v>BOTH_NOT_RUN</x:v>
      </x:c>
      <x:c r="E193" s="17" t="n">
        <x:f>COUNTIF('BugResults'!$P$686:$P$791,"BOTH_NOT_RUN")</x:f>
        <x:v>53</x:v>
      </x:c>
      <x:c r="F193" s="33" t="n">
        <x:f>IF('Verdicts'!E239=0,"—",E193/'Verdicts'!E239)</x:f>
        <x:v>0.9814814814814815</x:v>
      </x:c>
      <x:c r="G193" s="17" t="n">
        <x:f>'Verdicts'!E239</x:f>
        <x:v>54</x:v>
      </x:c>
      <x:c r="H193" s="17"/>
    </x:row>
    <x:row r="194" ht="23" customHeight="1">
      <x:c r="B194" s="17" t="str">
        <x:v>Math</x:v>
      </x:c>
      <x:c r="C194" s="17" t="str">
        <x:v>Round1</x:v>
      </x:c>
      <x:c r="D194" s="17" t="str">
        <x:v>COVERAGE_UNAVAILABLE</x:v>
      </x:c>
      <x:c r="E194" s="17" t="n">
        <x:f>COUNTIF('BugResults'!$P$686:$P$791,"COVERAGE_UNAVAILABLE")</x:f>
        <x:v>0</x:v>
      </x:c>
      <x:c r="F194" s="33" t="n">
        <x:f>IF('Verdicts'!E239=0,"—",E194/'Verdicts'!E239)</x:f>
        <x:v>0</x:v>
      </x:c>
      <x:c r="G194" s="17" t="n">
        <x:f>'Verdicts'!E239</x:f>
        <x:v>54</x:v>
      </x:c>
      <x:c r="H194" s="17"/>
    </x:row>
    <x:row r="195" ht="23" customHeight="1">
      <x:c r="B195" s="17" t="str">
        <x:v>Math</x:v>
      </x:c>
      <x:c r="C195" s="17" t="str">
        <x:v>Round2</x:v>
      </x:c>
      <x:c r="D195" s="17" t="str">
        <x:v>BUGGY_NOT_RUN</x:v>
      </x:c>
      <x:c r="E195" s="17" t="n">
        <x:f>COUNTIF('BugResults'!$P$1540:$P$1645,"BUGGY_NOT_RUN")</x:f>
        <x:v>0</x:v>
      </x:c>
      <x:c r="F195" s="33" t="n">
        <x:f>IF('Verdicts'!E244=0,"—",E195/'Verdicts'!E244)</x:f>
        <x:v>0</x:v>
      </x:c>
      <x:c r="G195" s="17" t="n">
        <x:f>'Verdicts'!E244</x:f>
        <x:v>15</x:v>
      </x:c>
      <x:c r="H195" s="17" t="n">
        <x:f>SUM(E195:E198)-G195</x:f>
        <x:v>0</x:v>
      </x:c>
    </x:row>
    <x:row r="196" ht="23" customHeight="1">
      <x:c r="B196" s="17" t="str">
        <x:v>Math</x:v>
      </x:c>
      <x:c r="C196" s="17" t="str">
        <x:v>Round2</x:v>
      </x:c>
      <x:c r="D196" s="17" t="str">
        <x:v>FIXED_NOT_RUN</x:v>
      </x:c>
      <x:c r="E196" s="17" t="n">
        <x:f>COUNTIF('BugResults'!$P$1540:$P$1645,"FIXED_NOT_RUN")</x:f>
        <x:v>1</x:v>
      </x:c>
      <x:c r="F196" s="33" t="n">
        <x:f>IF('Verdicts'!E244=0,"—",E196/'Verdicts'!E244)</x:f>
        <x:v>0.06666666666666667</x:v>
      </x:c>
      <x:c r="G196" s="17" t="n">
        <x:f>'Verdicts'!E244</x:f>
        <x:v>15</x:v>
      </x:c>
      <x:c r="H196" s="17"/>
    </x:row>
    <x:row r="197" ht="23" customHeight="1">
      <x:c r="B197" s="17" t="str">
        <x:v>Math</x:v>
      </x:c>
      <x:c r="C197" s="17" t="str">
        <x:v>Round2</x:v>
      </x:c>
      <x:c r="D197" s="17" t="str">
        <x:v>BOTH_NOT_RUN</x:v>
      </x:c>
      <x:c r="E197" s="17" t="n">
        <x:f>COUNTIF('BugResults'!$P$1540:$P$1645,"BOTH_NOT_RUN")</x:f>
        <x:v>14</x:v>
      </x:c>
      <x:c r="F197" s="33" t="n">
        <x:f>IF('Verdicts'!E244=0,"—",E197/'Verdicts'!E244)</x:f>
        <x:v>0.9333333333333333</x:v>
      </x:c>
      <x:c r="G197" s="17" t="n">
        <x:f>'Verdicts'!E244</x:f>
        <x:v>15</x:v>
      </x:c>
      <x:c r="H197" s="17"/>
    </x:row>
    <x:row r="198" ht="23" customHeight="1">
      <x:c r="B198" s="17" t="str">
        <x:v>Math</x:v>
      </x:c>
      <x:c r="C198" s="17" t="str">
        <x:v>Round2</x:v>
      </x:c>
      <x:c r="D198" s="17" t="str">
        <x:v>COVERAGE_UNAVAILABLE</x:v>
      </x:c>
      <x:c r="E198" s="17" t="n">
        <x:f>COUNTIF('BugResults'!$P$1540:$P$1645,"COVERAGE_UNAVAILABLE")</x:f>
        <x:v>0</x:v>
      </x:c>
      <x:c r="F198" s="33" t="n">
        <x:f>IF('Verdicts'!E244=0,"—",E198/'Verdicts'!E244)</x:f>
        <x:v>0</x:v>
      </x:c>
      <x:c r="G198" s="17" t="n">
        <x:f>'Verdicts'!E244</x:f>
        <x:v>15</x:v>
      </x:c>
      <x:c r="H198" s="17"/>
    </x:row>
    <x:row r="199" ht="23" customHeight="1">
      <x:c r="B199" s="17" t="str">
        <x:v>Mockito</x:v>
      </x:c>
      <x:c r="C199" s="17" t="str">
        <x:v>All rounds</x:v>
      </x:c>
      <x:c r="D199" s="17" t="str">
        <x:v>BUGGY_NOT_RUN</x:v>
      </x:c>
      <x:c r="E199" s="17" t="n">
        <x:f>COUNTIF('BugResults'!$P$792:$P$829,"BUGGY_NOT_RUN")+COUNTIF('BugResults'!$P$1646:$P$1683,"BUGGY_NOT_RUN")</x:f>
        <x:v>0</x:v>
      </x:c>
      <x:c r="F199" s="33" t="n">
        <x:f>IF('Verdicts'!E249=0,"—",E199/'Verdicts'!E249)</x:f>
        <x:v>0</x:v>
      </x:c>
      <x:c r="G199" s="17" t="n">
        <x:f>'Verdicts'!E249</x:f>
        <x:v>47</x:v>
      </x:c>
      <x:c r="H199" s="17" t="n">
        <x:f>SUM(E199:E202)-G199</x:f>
        <x:v>0</x:v>
      </x:c>
    </x:row>
    <x:row r="200" ht="23" customHeight="1">
      <x:c r="B200" s="17" t="str">
        <x:v>Mockito</x:v>
      </x:c>
      <x:c r="C200" s="17" t="str">
        <x:v>All rounds</x:v>
      </x:c>
      <x:c r="D200" s="17" t="str">
        <x:v>FIXED_NOT_RUN</x:v>
      </x:c>
      <x:c r="E200" s="17" t="n">
        <x:f>COUNTIF('BugResults'!$P$792:$P$829,"FIXED_NOT_RUN")+COUNTIF('BugResults'!$P$1646:$P$1683,"FIXED_NOT_RUN")</x:f>
        <x:v>1</x:v>
      </x:c>
      <x:c r="F200" s="33" t="n">
        <x:f>IF('Verdicts'!E249=0,"—",E200/'Verdicts'!E249)</x:f>
        <x:v>0.02127659574468085</x:v>
      </x:c>
      <x:c r="G200" s="17" t="n">
        <x:f>'Verdicts'!E249</x:f>
        <x:v>47</x:v>
      </x:c>
      <x:c r="H200" s="17"/>
    </x:row>
    <x:row r="201" ht="23" customHeight="1">
      <x:c r="B201" s="17" t="str">
        <x:v>Mockito</x:v>
      </x:c>
      <x:c r="C201" s="17" t="str">
        <x:v>All rounds</x:v>
      </x:c>
      <x:c r="D201" s="17" t="str">
        <x:v>BOTH_NOT_RUN</x:v>
      </x:c>
      <x:c r="E201" s="17" t="n">
        <x:f>COUNTIF('BugResults'!$P$792:$P$829,"BOTH_NOT_RUN")+COUNTIF('BugResults'!$P$1646:$P$1683,"BOTH_NOT_RUN")</x:f>
        <x:v>46</x:v>
      </x:c>
      <x:c r="F201" s="33" t="n">
        <x:f>IF('Verdicts'!E249=0,"—",E201/'Verdicts'!E249)</x:f>
        <x:v>0.9787234042553191</x:v>
      </x:c>
      <x:c r="G201" s="17" t="n">
        <x:f>'Verdicts'!E249</x:f>
        <x:v>47</x:v>
      </x:c>
      <x:c r="H201" s="17"/>
    </x:row>
    <x:row r="202" ht="23" customHeight="1">
      <x:c r="B202" s="17" t="str">
        <x:v>Mockito</x:v>
      </x:c>
      <x:c r="C202" s="17" t="str">
        <x:v>All rounds</x:v>
      </x:c>
      <x:c r="D202" s="17" t="str">
        <x:v>COVERAGE_UNAVAILABLE</x:v>
      </x:c>
      <x:c r="E202" s="17" t="n">
        <x:f>COUNTIF('BugResults'!$P$792:$P$829,"COVERAGE_UNAVAILABLE")+COUNTIF('BugResults'!$P$1646:$P$1683,"COVERAGE_UNAVAILABLE")</x:f>
        <x:v>0</x:v>
      </x:c>
      <x:c r="F202" s="33" t="n">
        <x:f>IF('Verdicts'!E249=0,"—",E202/'Verdicts'!E249)</x:f>
        <x:v>0</x:v>
      </x:c>
      <x:c r="G202" s="17" t="n">
        <x:f>'Verdicts'!E249</x:f>
        <x:v>47</x:v>
      </x:c>
      <x:c r="H202" s="17"/>
    </x:row>
    <x:row r="203" ht="23" customHeight="1">
      <x:c r="B203" s="17" t="str">
        <x:v>Mockito</x:v>
      </x:c>
      <x:c r="C203" s="17" t="str">
        <x:v>Round1</x:v>
      </x:c>
      <x:c r="D203" s="17" t="str">
        <x:v>BUGGY_NOT_RUN</x:v>
      </x:c>
      <x:c r="E203" s="17" t="n">
        <x:f>COUNTIF('BugResults'!$P$792:$P$829,"BUGGY_NOT_RUN")</x:f>
        <x:v>0</x:v>
      </x:c>
      <x:c r="F203" s="33" t="n">
        <x:f>IF('Verdicts'!E254=0,"—",E203/'Verdicts'!E254)</x:f>
        <x:v>0</x:v>
      </x:c>
      <x:c r="G203" s="17" t="n">
        <x:f>'Verdicts'!E254</x:f>
        <x:v>27</x:v>
      </x:c>
      <x:c r="H203" s="17" t="n">
        <x:f>SUM(E203:E206)-G203</x:f>
        <x:v>0</x:v>
      </x:c>
    </x:row>
    <x:row r="204" ht="23" customHeight="1">
      <x:c r="B204" s="17" t="str">
        <x:v>Mockito</x:v>
      </x:c>
      <x:c r="C204" s="17" t="str">
        <x:v>Round1</x:v>
      </x:c>
      <x:c r="D204" s="17" t="str">
        <x:v>FIXED_NOT_RUN</x:v>
      </x:c>
      <x:c r="E204" s="17" t="n">
        <x:f>COUNTIF('BugResults'!$P$792:$P$829,"FIXED_NOT_RUN")</x:f>
        <x:v>0</x:v>
      </x:c>
      <x:c r="F204" s="33" t="n">
        <x:f>IF('Verdicts'!E254=0,"—",E204/'Verdicts'!E254)</x:f>
        <x:v>0</x:v>
      </x:c>
      <x:c r="G204" s="17" t="n">
        <x:f>'Verdicts'!E254</x:f>
        <x:v>27</x:v>
      </x:c>
      <x:c r="H204" s="17"/>
    </x:row>
    <x:row r="205" ht="23" customHeight="1">
      <x:c r="B205" s="17" t="str">
        <x:v>Mockito</x:v>
      </x:c>
      <x:c r="C205" s="17" t="str">
        <x:v>Round1</x:v>
      </x:c>
      <x:c r="D205" s="17" t="str">
        <x:v>BOTH_NOT_RUN</x:v>
      </x:c>
      <x:c r="E205" s="17" t="n">
        <x:f>COUNTIF('BugResults'!$P$792:$P$829,"BOTH_NOT_RUN")</x:f>
        <x:v>27</x:v>
      </x:c>
      <x:c r="F205" s="33" t="n">
        <x:f>IF('Verdicts'!E254=0,"—",E205/'Verdicts'!E254)</x:f>
        <x:v>1</x:v>
      </x:c>
      <x:c r="G205" s="17" t="n">
        <x:f>'Verdicts'!E254</x:f>
        <x:v>27</x:v>
      </x:c>
      <x:c r="H205" s="17"/>
    </x:row>
    <x:row r="206" ht="23" customHeight="1">
      <x:c r="B206" s="17" t="str">
        <x:v>Mockito</x:v>
      </x:c>
      <x:c r="C206" s="17" t="str">
        <x:v>Round1</x:v>
      </x:c>
      <x:c r="D206" s="17" t="str">
        <x:v>COVERAGE_UNAVAILABLE</x:v>
      </x:c>
      <x:c r="E206" s="17" t="n">
        <x:f>COUNTIF('BugResults'!$P$792:$P$829,"COVERAGE_UNAVAILABLE")</x:f>
        <x:v>0</x:v>
      </x:c>
      <x:c r="F206" s="33" t="n">
        <x:f>IF('Verdicts'!E254=0,"—",E206/'Verdicts'!E254)</x:f>
        <x:v>0</x:v>
      </x:c>
      <x:c r="G206" s="17" t="n">
        <x:f>'Verdicts'!E254</x:f>
        <x:v>27</x:v>
      </x:c>
      <x:c r="H206" s="17"/>
    </x:row>
    <x:row r="207" ht="23" customHeight="1">
      <x:c r="B207" s="17" t="str">
        <x:v>Mockito</x:v>
      </x:c>
      <x:c r="C207" s="17" t="str">
        <x:v>Round2</x:v>
      </x:c>
      <x:c r="D207" s="17" t="str">
        <x:v>BUGGY_NOT_RUN</x:v>
      </x:c>
      <x:c r="E207" s="17" t="n">
        <x:f>COUNTIF('BugResults'!$P$1646:$P$1683,"BUGGY_NOT_RUN")</x:f>
        <x:v>0</x:v>
      </x:c>
      <x:c r="F207" s="33" t="n">
        <x:f>IF('Verdicts'!E259=0,"—",E207/'Verdicts'!E259)</x:f>
        <x:v>0</x:v>
      </x:c>
      <x:c r="G207" s="17" t="n">
        <x:f>'Verdicts'!E259</x:f>
        <x:v>20</x:v>
      </x:c>
      <x:c r="H207" s="17" t="n">
        <x:f>SUM(E207:E210)-G207</x:f>
        <x:v>0</x:v>
      </x:c>
    </x:row>
    <x:row r="208" ht="23" customHeight="1">
      <x:c r="B208" s="17" t="str">
        <x:v>Mockito</x:v>
      </x:c>
      <x:c r="C208" s="17" t="str">
        <x:v>Round2</x:v>
      </x:c>
      <x:c r="D208" s="17" t="str">
        <x:v>FIXED_NOT_RUN</x:v>
      </x:c>
      <x:c r="E208" s="17" t="n">
        <x:f>COUNTIF('BugResults'!$P$1646:$P$1683,"FIXED_NOT_RUN")</x:f>
        <x:v>1</x:v>
      </x:c>
      <x:c r="F208" s="33" t="n">
        <x:f>IF('Verdicts'!E259=0,"—",E208/'Verdicts'!E259)</x:f>
        <x:v>0.05</x:v>
      </x:c>
      <x:c r="G208" s="17" t="n">
        <x:f>'Verdicts'!E259</x:f>
        <x:v>20</x:v>
      </x:c>
      <x:c r="H208" s="17"/>
    </x:row>
    <x:row r="209" ht="23" customHeight="1">
      <x:c r="B209" s="17" t="str">
        <x:v>Mockito</x:v>
      </x:c>
      <x:c r="C209" s="17" t="str">
        <x:v>Round2</x:v>
      </x:c>
      <x:c r="D209" s="17" t="str">
        <x:v>BOTH_NOT_RUN</x:v>
      </x:c>
      <x:c r="E209" s="17" t="n">
        <x:f>COUNTIF('BugResults'!$P$1646:$P$1683,"BOTH_NOT_RUN")</x:f>
        <x:v>19</x:v>
      </x:c>
      <x:c r="F209" s="33" t="n">
        <x:f>IF('Verdicts'!E259=0,"—",E209/'Verdicts'!E259)</x:f>
        <x:v>0.95</x:v>
      </x:c>
      <x:c r="G209" s="17" t="n">
        <x:f>'Verdicts'!E259</x:f>
        <x:v>20</x:v>
      </x:c>
      <x:c r="H209" s="17"/>
    </x:row>
    <x:row r="210" ht="23" customHeight="1">
      <x:c r="B210" s="17" t="str">
        <x:v>Mockito</x:v>
      </x:c>
      <x:c r="C210" s="17" t="str">
        <x:v>Round2</x:v>
      </x:c>
      <x:c r="D210" s="17" t="str">
        <x:v>COVERAGE_UNAVAILABLE</x:v>
      </x:c>
      <x:c r="E210" s="17" t="n">
        <x:f>COUNTIF('BugResults'!$P$1646:$P$1683,"COVERAGE_UNAVAILABLE")</x:f>
        <x:v>0</x:v>
      </x:c>
      <x:c r="F210" s="33" t="n">
        <x:f>IF('Verdicts'!E259=0,"—",E210/'Verdicts'!E259)</x:f>
        <x:v>0</x:v>
      </x:c>
      <x:c r="G210" s="17" t="n">
        <x:f>'Verdicts'!E259</x:f>
        <x:v>20</x:v>
      </x:c>
      <x:c r="H210" s="17"/>
    </x:row>
    <x:row r="211" ht="23" customHeight="1">
      <x:c r="B211" s="17" t="str">
        <x:v>Time</x:v>
      </x:c>
      <x:c r="C211" s="17" t="str">
        <x:v>All rounds</x:v>
      </x:c>
      <x:c r="D211" s="17" t="str">
        <x:v>BUGGY_NOT_RUN</x:v>
      </x:c>
      <x:c r="E211" s="17" t="n">
        <x:f>COUNTIF('BugResults'!$P$830:$P$855,"BUGGY_NOT_RUN")+COUNTIF('BugResults'!$P$1684:$P$1709,"BUGGY_NOT_RUN")</x:f>
        <x:v>0</x:v>
      </x:c>
      <x:c r="F211" s="33" t="n">
        <x:f>IF('Verdicts'!E264=0,"—",E211/'Verdicts'!E264)</x:f>
        <x:v>0</x:v>
      </x:c>
      <x:c r="G211" s="17" t="n">
        <x:f>'Verdicts'!E264</x:f>
        <x:v>28</x:v>
      </x:c>
      <x:c r="H211" s="17" t="n">
        <x:f>SUM(E211:E214)-G211</x:f>
        <x:v>0</x:v>
      </x:c>
    </x:row>
    <x:row r="212" ht="23" customHeight="1">
      <x:c r="B212" s="17" t="str">
        <x:v>Time</x:v>
      </x:c>
      <x:c r="C212" s="17" t="str">
        <x:v>All rounds</x:v>
      </x:c>
      <x:c r="D212" s="17" t="str">
        <x:v>FIXED_NOT_RUN</x:v>
      </x:c>
      <x:c r="E212" s="17" t="n">
        <x:f>COUNTIF('BugResults'!$P$830:$P$855,"FIXED_NOT_RUN")+COUNTIF('BugResults'!$P$1684:$P$1709,"FIXED_NOT_RUN")</x:f>
        <x:v>0</x:v>
      </x:c>
      <x:c r="F212" s="33" t="n">
        <x:f>IF('Verdicts'!E264=0,"—",E212/'Verdicts'!E264)</x:f>
        <x:v>0</x:v>
      </x:c>
      <x:c r="G212" s="17" t="n">
        <x:f>'Verdicts'!E264</x:f>
        <x:v>28</x:v>
      </x:c>
      <x:c r="H212" s="17"/>
    </x:row>
    <x:row r="213" ht="23" customHeight="1">
      <x:c r="B213" s="17" t="str">
        <x:v>Time</x:v>
      </x:c>
      <x:c r="C213" s="17" t="str">
        <x:v>All rounds</x:v>
      </x:c>
      <x:c r="D213" s="17" t="str">
        <x:v>BOTH_NOT_RUN</x:v>
      </x:c>
      <x:c r="E213" s="17" t="n">
        <x:f>COUNTIF('BugResults'!$P$830:$P$855,"BOTH_NOT_RUN")+COUNTIF('BugResults'!$P$1684:$P$1709,"BOTH_NOT_RUN")</x:f>
        <x:v>28</x:v>
      </x:c>
      <x:c r="F213" s="33" t="n">
        <x:f>IF('Verdicts'!E264=0,"—",E213/'Verdicts'!E264)</x:f>
        <x:v>1</x:v>
      </x:c>
      <x:c r="G213" s="17" t="n">
        <x:f>'Verdicts'!E264</x:f>
        <x:v>28</x:v>
      </x:c>
      <x:c r="H213" s="17"/>
    </x:row>
    <x:row r="214" ht="23" customHeight="1">
      <x:c r="B214" s="17" t="str">
        <x:v>Time</x:v>
      </x:c>
      <x:c r="C214" s="17" t="str">
        <x:v>All rounds</x:v>
      </x:c>
      <x:c r="D214" s="17" t="str">
        <x:v>COVERAGE_UNAVAILABLE</x:v>
      </x:c>
      <x:c r="E214" s="17" t="n">
        <x:f>COUNTIF('BugResults'!$P$830:$P$855,"COVERAGE_UNAVAILABLE")+COUNTIF('BugResults'!$P$1684:$P$1709,"COVERAGE_UNAVAILABLE")</x:f>
        <x:v>0</x:v>
      </x:c>
      <x:c r="F214" s="33" t="n">
        <x:f>IF('Verdicts'!E264=0,"—",E214/'Verdicts'!E264)</x:f>
        <x:v>0</x:v>
      </x:c>
      <x:c r="G214" s="17" t="n">
        <x:f>'Verdicts'!E264</x:f>
        <x:v>28</x:v>
      </x:c>
      <x:c r="H214" s="17"/>
    </x:row>
    <x:row r="215" ht="23" customHeight="1">
      <x:c r="B215" s="17" t="str">
        <x:v>Time</x:v>
      </x:c>
      <x:c r="C215" s="17" t="str">
        <x:v>Round1</x:v>
      </x:c>
      <x:c r="D215" s="17" t="str">
        <x:v>BUGGY_NOT_RUN</x:v>
      </x:c>
      <x:c r="E215" s="17" t="n">
        <x:f>COUNTIF('BugResults'!$P$830:$P$855,"BUGGY_NOT_RUN")</x:f>
        <x:v>0</x:v>
      </x:c>
      <x:c r="F215" s="33" t="n">
        <x:f>IF('Verdicts'!E269=0,"—",E215/'Verdicts'!E269)</x:f>
        <x:v>0</x:v>
      </x:c>
      <x:c r="G215" s="17" t="n">
        <x:f>'Verdicts'!E269</x:f>
        <x:v>20</x:v>
      </x:c>
      <x:c r="H215" s="17" t="n">
        <x:f>SUM(E215:E218)-G215</x:f>
        <x:v>0</x:v>
      </x:c>
    </x:row>
    <x:row r="216" ht="23" customHeight="1">
      <x:c r="B216" s="17" t="str">
        <x:v>Time</x:v>
      </x:c>
      <x:c r="C216" s="17" t="str">
        <x:v>Round1</x:v>
      </x:c>
      <x:c r="D216" s="17" t="str">
        <x:v>FIXED_NOT_RUN</x:v>
      </x:c>
      <x:c r="E216" s="17" t="n">
        <x:f>COUNTIF('BugResults'!$P$830:$P$855,"FIXED_NOT_RUN")</x:f>
        <x:v>0</x:v>
      </x:c>
      <x:c r="F216" s="33" t="n">
        <x:f>IF('Verdicts'!E269=0,"—",E216/'Verdicts'!E269)</x:f>
        <x:v>0</x:v>
      </x:c>
      <x:c r="G216" s="17" t="n">
        <x:f>'Verdicts'!E269</x:f>
        <x:v>20</x:v>
      </x:c>
      <x:c r="H216" s="17"/>
    </x:row>
    <x:row r="217" ht="23" customHeight="1">
      <x:c r="B217" s="17" t="str">
        <x:v>Time</x:v>
      </x:c>
      <x:c r="C217" s="17" t="str">
        <x:v>Round1</x:v>
      </x:c>
      <x:c r="D217" s="17" t="str">
        <x:v>BOTH_NOT_RUN</x:v>
      </x:c>
      <x:c r="E217" s="17" t="n">
        <x:f>COUNTIF('BugResults'!$P$830:$P$855,"BOTH_NOT_RUN")</x:f>
        <x:v>20</x:v>
      </x:c>
      <x:c r="F217" s="33" t="n">
        <x:f>IF('Verdicts'!E269=0,"—",E217/'Verdicts'!E269)</x:f>
        <x:v>1</x:v>
      </x:c>
      <x:c r="G217" s="17" t="n">
        <x:f>'Verdicts'!E269</x:f>
        <x:v>20</x:v>
      </x:c>
      <x:c r="H217" s="17"/>
    </x:row>
    <x:row r="218" ht="23" customHeight="1">
      <x:c r="B218" s="17" t="str">
        <x:v>Time</x:v>
      </x:c>
      <x:c r="C218" s="17" t="str">
        <x:v>Round1</x:v>
      </x:c>
      <x:c r="D218" s="17" t="str">
        <x:v>COVERAGE_UNAVAILABLE</x:v>
      </x:c>
      <x:c r="E218" s="17" t="n">
        <x:f>COUNTIF('BugResults'!$P$830:$P$855,"COVERAGE_UNAVAILABLE")</x:f>
        <x:v>0</x:v>
      </x:c>
      <x:c r="F218" s="33" t="n">
        <x:f>IF('Verdicts'!E269=0,"—",E218/'Verdicts'!E269)</x:f>
        <x:v>0</x:v>
      </x:c>
      <x:c r="G218" s="17" t="n">
        <x:f>'Verdicts'!E269</x:f>
        <x:v>20</x:v>
      </x:c>
      <x:c r="H218" s="17"/>
    </x:row>
    <x:row r="219" ht="23" customHeight="1">
      <x:c r="B219" s="17" t="str">
        <x:v>Time</x:v>
      </x:c>
      <x:c r="C219" s="17" t="str">
        <x:v>Round2</x:v>
      </x:c>
      <x:c r="D219" s="17" t="str">
        <x:v>BUGGY_NOT_RUN</x:v>
      </x:c>
      <x:c r="E219" s="17" t="n">
        <x:f>COUNTIF('BugResults'!$P$1684:$P$1709,"BUGGY_NOT_RUN")</x:f>
        <x:v>0</x:v>
      </x:c>
      <x:c r="F219" s="33" t="n">
        <x:f>IF('Verdicts'!E274=0,"—",E219/'Verdicts'!E274)</x:f>
        <x:v>0</x:v>
      </x:c>
      <x:c r="G219" s="17" t="n">
        <x:f>'Verdicts'!E274</x:f>
        <x:v>8</x:v>
      </x:c>
      <x:c r="H219" s="17" t="n">
        <x:f>SUM(E219:E222)-G219</x:f>
        <x:v>0</x:v>
      </x:c>
    </x:row>
    <x:row r="220" ht="23" customHeight="1">
      <x:c r="B220" s="17" t="str">
        <x:v>Time</x:v>
      </x:c>
      <x:c r="C220" s="17" t="str">
        <x:v>Round2</x:v>
      </x:c>
      <x:c r="D220" s="17" t="str">
        <x:v>FIXED_NOT_RUN</x:v>
      </x:c>
      <x:c r="E220" s="17" t="n">
        <x:f>COUNTIF('BugResults'!$P$1684:$P$1709,"FIXED_NOT_RUN")</x:f>
        <x:v>0</x:v>
      </x:c>
      <x:c r="F220" s="33" t="n">
        <x:f>IF('Verdicts'!E274=0,"—",E220/'Verdicts'!E274)</x:f>
        <x:v>0</x:v>
      </x:c>
      <x:c r="G220" s="17" t="n">
        <x:f>'Verdicts'!E274</x:f>
        <x:v>8</x:v>
      </x:c>
      <x:c r="H220" s="17"/>
    </x:row>
    <x:row r="221" ht="23" customHeight="1">
      <x:c r="B221" s="17" t="str">
        <x:v>Time</x:v>
      </x:c>
      <x:c r="C221" s="17" t="str">
        <x:v>Round2</x:v>
      </x:c>
      <x:c r="D221" s="17" t="str">
        <x:v>BOTH_NOT_RUN</x:v>
      </x:c>
      <x:c r="E221" s="17" t="n">
        <x:f>COUNTIF('BugResults'!$P$1684:$P$1709,"BOTH_NOT_RUN")</x:f>
        <x:v>8</x:v>
      </x:c>
      <x:c r="F221" s="33" t="n">
        <x:f>IF('Verdicts'!E274=0,"—",E221/'Verdicts'!E274)</x:f>
        <x:v>1</x:v>
      </x:c>
      <x:c r="G221" s="17" t="n">
        <x:f>'Verdicts'!E274</x:f>
        <x:v>8</x:v>
      </x:c>
      <x:c r="H221" s="17"/>
    </x:row>
    <x:row r="222" ht="23" customHeight="1">
      <x:c r="B222" s="17" t="str">
        <x:v>Time</x:v>
      </x:c>
      <x:c r="C222" s="17" t="str">
        <x:v>Round2</x:v>
      </x:c>
      <x:c r="D222" s="17" t="str">
        <x:v>COVERAGE_UNAVAILABLE</x:v>
      </x:c>
      <x:c r="E222" s="17" t="n">
        <x:f>COUNTIF('BugResults'!$P$1684:$P$1709,"COVERAGE_UNAVAILABLE")</x:f>
        <x:v>0</x:v>
      </x:c>
      <x:c r="F222" s="33" t="n">
        <x:f>IF('Verdicts'!E274=0,"—",E222/'Verdicts'!E274)</x:f>
        <x:v>0</x:v>
      </x:c>
      <x:c r="G222" s="17" t="n">
        <x:f>'Verdicts'!E274</x:f>
        <x:v>8</x:v>
      </x:c>
      <x:c r="H222" s="17"/>
    </x:row>
  </x:sheetData>
  <x:mergeCells>
    <x:mergeCell ref="B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2">
      <x:c r="B2" s="29" t="str">
        <x:v>Coverage by project and round</x:v>
      </x:c>
    </x:row>
    <x:row r="3">
      <x:c r="B3" t="str">
        <x:v>A = failed measurement (0%). B = successful zero-total metric (N/A), excluded from both averages.</x:v>
      </x:c>
    </x:row>
    <x:row r="4" ht="32" customHeight="1">
      <x:c r="B4" s="31" t="str">
        <x:v>Buggy coverage is retained when fixed or paired validation is unavailable. Latest FAIL excludes stale values. Runnable = (total − A) / total.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Project</x:v>
      </x:c>
      <x:c r="C6" s="20" t="str">
        <x:v>Round</x:v>
      </x:c>
      <x:c r="D6" s="20" t="str">
        <x:v>Metric</x:v>
      </x:c>
      <x:c r="E6" s="20" t="str">
        <x:v>Total</x:v>
      </x:c>
      <x:c r="F6" s="20" t="str">
        <x:v>Numeric</x:v>
      </x:c>
      <x:c r="G6" s="20" t="str">
        <x:v>A: failure</x:v>
      </x:c>
      <x:c r="H6" s="20" t="str">
        <x:v>B: N/A</x:v>
      </x:c>
      <x:c r="I6" s="20" t="str">
        <x:v>Unresolved</x:v>
      </x:c>
      <x:c r="J6" s="20" t="str">
        <x:v>Recorded only</x:v>
      </x:c>
      <x:c r="K6" s="20" t="str">
        <x:v>All applicable</x:v>
      </x:c>
      <x:c r="L6" s="20" t="str">
        <x:v>Runnable</x:v>
      </x:c>
      <x:c r="M6" s="20" t="str">
        <x:v>n all (total − B)</x:v>
      </x:c>
    </x:row>
    <x:row r="7" ht="23" customHeight="1">
      <x:c r="B7" s="17" t="str">
        <x:v>All projects</x:v>
      </x:c>
      <x:c r="C7" s="17" t="str">
        <x:v>All rounds</x:v>
      </x:c>
      <x:c r="D7" s="17" t="str">
        <x:v>Line</x:v>
      </x:c>
      <x:c r="E7" s="40" t="n">
        <x:f>COUNTA('CoverageCases'!$D$2:$D$1709)</x:f>
        <x:v>1708</x:v>
      </x:c>
      <x:c r="F7" s="40" t="n">
        <x:f>COUNT('CoverageCases'!$O$2:$O$1709)</x:f>
        <x:v>625</x:v>
      </x:c>
      <x:c r="G7" s="40" t="n">
        <x:f>COUNTIF('CoverageCases'!$G$2:$G$1709,"A")</x:f>
        <x:v>1083</x:v>
      </x:c>
      <x:c r="H7" s="40" t="n">
        <x:f>COUNTIF('CoverageCases'!$G$2:$G$1709,"B")</x:f>
        <x:v>0</x:v>
      </x:c>
      <x:c r="I7" s="40" t="n">
        <x:f>COUNTIF('CoverageCases'!$G$2:$G$1709,"UNRESOLVED")</x:f>
        <x:v>0</x:v>
      </x:c>
      <x:c r="J7" s="32" t="n">
        <x:f>IF(F7=0,"—",(SUM('CoverageCases'!$O$2:$O$1709))/F7/100)</x:f>
        <x:v>0.7218392000000005</x:v>
      </x:c>
      <x:c r="K7" s="32" t="n">
        <x:f>IF(I7&gt;0,"Pending",IF(E7-H7=0,"—",(SUM('CoverageCases'!$O$2:$O$1709))/(E7-H7)/100))</x:f>
        <x:v>0.26413905152224837</x:v>
      </x:c>
      <x:c r="L7" s="32" t="n">
        <x:f>IF(I7&gt;0,"Pending",IF(E7=0,"—",(E7-G7)/E7))</x:f>
        <x:v>0.3659250585480094</x:v>
      </x:c>
      <x:c r="M7" s="40" t="n">
        <x:f>IF(I7&gt;0,"Pending",E7-H7)</x:f>
        <x:v>1708</x:v>
      </x:c>
    </x:row>
    <x:row r="8" ht="23" customHeight="1">
      <x:c r="B8" s="17" t="str">
        <x:v>All projects</x:v>
      </x:c>
      <x:c r="C8" s="17" t="str">
        <x:v>All rounds</x:v>
      </x:c>
      <x:c r="D8" s="17" t="str">
        <x:v>Condition</x:v>
      </x:c>
      <x:c r="E8" s="40" t="n">
        <x:f>COUNTA('CoverageCases'!$D$1710:$D$3417)</x:f>
        <x:v>1708</x:v>
      </x:c>
      <x:c r="F8" s="40" t="n">
        <x:f>COUNT('CoverageCases'!$O$1710:$O$3417)</x:f>
        <x:v>616</x:v>
      </x:c>
      <x:c r="G8" s="40" t="n">
        <x:f>COUNTIF('CoverageCases'!$G$1710:$G$3417,"A")</x:f>
        <x:v>1083</x:v>
      </x:c>
      <x:c r="H8" s="40" t="n">
        <x:f>COUNTIF('CoverageCases'!$G$1710:$G$3417,"B")</x:f>
        <x:v>9</x:v>
      </x:c>
      <x:c r="I8" s="40" t="n">
        <x:f>COUNTIF('CoverageCases'!$G$1710:$G$3417,"UNRESOLVED")</x:f>
        <x:v>0</x:v>
      </x:c>
      <x:c r="J8" s="32" t="n">
        <x:f>IF(F8=0,"—",(SUM('CoverageCases'!$O$1710:$O$3417))/F8/100)</x:f>
        <x:v>0.6421681818181821</x:v>
      </x:c>
      <x:c r="K8" s="32" t="n">
        <x:f>IF(I8&gt;0,"Pending",IF(E8-H8=0,"—",(SUM('CoverageCases'!$O$1710:$O$3417))/(E8-H8)/100))</x:f>
        <x:v>0.23282848734549744</x:v>
      </x:c>
      <x:c r="L8" s="32" t="n">
        <x:f>IF(I8&gt;0,"Pending",IF(E8=0,"—",(E8-G8)/E8))</x:f>
        <x:v>0.3659250585480094</x:v>
      </x:c>
      <x:c r="M8" s="40" t="n">
        <x:f>IF(I8&gt;0,"Pending",E8-H8)</x:f>
        <x:v>1699</x:v>
      </x:c>
    </x:row>
    <x:row r="9" ht="23" customHeight="1">
      <x:c r="B9" s="17" t="str">
        <x:v>All projects</x:v>
      </x:c>
      <x:c r="C9" s="17" t="str">
        <x:v>Round1</x:v>
      </x:c>
      <x:c r="D9" s="17" t="str">
        <x:v>Line</x:v>
      </x:c>
      <x:c r="E9" s="40" t="n">
        <x:f>COUNTA('CoverageCases'!$D$2:$D$855)</x:f>
        <x:v>854</x:v>
      </x:c>
      <x:c r="F9" s="40" t="n">
        <x:f>COUNT('CoverageCases'!$O$2:$O$855)</x:f>
        <x:v>216</x:v>
      </x:c>
      <x:c r="G9" s="40" t="n">
        <x:f>COUNTIF('CoverageCases'!$G$2:$G$855,"A")</x:f>
        <x:v>638</x:v>
      </x:c>
      <x:c r="H9" s="40" t="n">
        <x:f>COUNTIF('CoverageCases'!$G$2:$G$855,"B")</x:f>
        <x:v>0</x:v>
      </x:c>
      <x:c r="I9" s="40" t="n">
        <x:f>COUNTIF('CoverageCases'!$G$2:$G$855,"UNRESOLVED")</x:f>
        <x:v>0</x:v>
      </x:c>
      <x:c r="J9" s="32" t="n">
        <x:f>IF(F9=0,"—",(SUM('CoverageCases'!$O$2:$O$855))/F9/100)</x:f>
        <x:v>0.7394115740740738</x:v>
      </x:c>
      <x:c r="K9" s="32" t="n">
        <x:f>IF(I9&gt;0,"Pending",IF(E9-H9=0,"—",(SUM('CoverageCases'!$O$2:$O$855))/(E9-H9)/100))</x:f>
        <x:v>0.18701744730679148</x:v>
      </x:c>
      <x:c r="L9" s="32" t="n">
        <x:f>IF(I9&gt;0,"Pending",IF(E9=0,"—",(E9-G9)/E9))</x:f>
        <x:v>0.2529274004683841</x:v>
      </x:c>
      <x:c r="M9" s="40" t="n">
        <x:f>IF(I9&gt;0,"Pending",E9-H9)</x:f>
        <x:v>854</x:v>
      </x:c>
    </x:row>
    <x:row r="10" ht="23" customHeight="1">
      <x:c r="B10" s="17" t="str">
        <x:v>All projects</x:v>
      </x:c>
      <x:c r="C10" s="17" t="str">
        <x:v>Round1</x:v>
      </x:c>
      <x:c r="D10" s="17" t="str">
        <x:v>Condition</x:v>
      </x:c>
      <x:c r="E10" s="40" t="n">
        <x:f>COUNTA('CoverageCases'!$D$1710:$D$2563)</x:f>
        <x:v>854</x:v>
      </x:c>
      <x:c r="F10" s="40" t="n">
        <x:f>COUNT('CoverageCases'!$O$1710:$O$2563)</x:f>
        <x:v>212</x:v>
      </x:c>
      <x:c r="G10" s="40" t="n">
        <x:f>COUNTIF('CoverageCases'!$G$1710:$G$2563,"A")</x:f>
        <x:v>638</x:v>
      </x:c>
      <x:c r="H10" s="40" t="n">
        <x:f>COUNTIF('CoverageCases'!$G$1710:$G$2563,"B")</x:f>
        <x:v>4</x:v>
      </x:c>
      <x:c r="I10" s="40" t="n">
        <x:f>COUNTIF('CoverageCases'!$G$1710:$G$2563,"UNRESOLVED")</x:f>
        <x:v>0</x:v>
      </x:c>
      <x:c r="J10" s="32" t="n">
        <x:f>IF(F10=0,"—",(SUM('CoverageCases'!$O$1710:$O$2563))/F10/100)</x:f>
        <x:v>0.6608867924528302</x:v>
      </x:c>
      <x:c r="K10" s="32" t="n">
        <x:f>IF(I10&gt;0,"Pending",IF(E10-H10=0,"—",(SUM('CoverageCases'!$O$1710:$O$2563))/(E10-H10)/100))</x:f>
        <x:v>0.1648329411764706</x:v>
      </x:c>
      <x:c r="L10" s="32" t="n">
        <x:f>IF(I10&gt;0,"Pending",IF(E10=0,"—",(E10-G10)/E10))</x:f>
        <x:v>0.2529274004683841</x:v>
      </x:c>
      <x:c r="M10" s="40" t="n">
        <x:f>IF(I10&gt;0,"Pending",E10-H10)</x:f>
        <x:v>850</x:v>
      </x:c>
    </x:row>
    <x:row r="11" ht="23" customHeight="1">
      <x:c r="B11" s="17" t="str">
        <x:v>All projects</x:v>
      </x:c>
      <x:c r="C11" s="17" t="str">
        <x:v>Round2</x:v>
      </x:c>
      <x:c r="D11" s="17" t="str">
        <x:v>Line</x:v>
      </x:c>
      <x:c r="E11" s="40" t="n">
        <x:f>COUNTA('CoverageCases'!$D$856:$D$1709)</x:f>
        <x:v>854</x:v>
      </x:c>
      <x:c r="F11" s="40" t="n">
        <x:f>COUNT('CoverageCases'!$O$856:$O$1709)</x:f>
        <x:v>409</x:v>
      </x:c>
      <x:c r="G11" s="40" t="n">
        <x:f>COUNTIF('CoverageCases'!$G$856:$G$1709,"A")</x:f>
        <x:v>445</x:v>
      </x:c>
      <x:c r="H11" s="40" t="n">
        <x:f>COUNTIF('CoverageCases'!$G$856:$G$1709,"B")</x:f>
        <x:v>0</x:v>
      </x:c>
      <x:c r="I11" s="40" t="n">
        <x:f>COUNTIF('CoverageCases'!$G$856:$G$1709,"UNRESOLVED")</x:f>
        <x:v>0</x:v>
      </x:c>
      <x:c r="J11" s="32" t="n">
        <x:f>IF(F11=0,"—",(SUM('CoverageCases'!$O$856:$O$1709))/F11/100)</x:f>
        <x:v>0.7125589242053788</x:v>
      </x:c>
      <x:c r="K11" s="32" t="n">
        <x:f>IF(I11&gt;0,"Pending",IF(E11-H11=0,"—",(SUM('CoverageCases'!$O$856:$O$1709))/(E11-H11)/100))</x:f>
        <x:v>0.3412606557377048</x:v>
      </x:c>
      <x:c r="L11" s="32" t="n">
        <x:f>IF(I11&gt;0,"Pending",IF(E11=0,"—",(E11-G11)/E11))</x:f>
        <x:v>0.47892271662763464</x:v>
      </x:c>
      <x:c r="M11" s="40" t="n">
        <x:f>IF(I11&gt;0,"Pending",E11-H11)</x:f>
        <x:v>854</x:v>
      </x:c>
    </x:row>
    <x:row r="12" ht="23" customHeight="1">
      <x:c r="B12" s="17" t="str">
        <x:v>All projects</x:v>
      </x:c>
      <x:c r="C12" s="17" t="str">
        <x:v>Round2</x:v>
      </x:c>
      <x:c r="D12" s="17" t="str">
        <x:v>Condition</x:v>
      </x:c>
      <x:c r="E12" s="40" t="n">
        <x:f>COUNTA('CoverageCases'!$D$2564:$D$3417)</x:f>
        <x:v>854</x:v>
      </x:c>
      <x:c r="F12" s="40" t="n">
        <x:f>COUNT('CoverageCases'!$O$2564:$O$3417)</x:f>
        <x:v>404</x:v>
      </x:c>
      <x:c r="G12" s="40" t="n">
        <x:f>COUNTIF('CoverageCases'!$G$2564:$G$3417,"A")</x:f>
        <x:v>445</x:v>
      </x:c>
      <x:c r="H12" s="40" t="n">
        <x:f>COUNTIF('CoverageCases'!$G$2564:$G$3417,"B")</x:f>
        <x:v>5</x:v>
      </x:c>
      <x:c r="I12" s="40" t="n">
        <x:f>COUNTIF('CoverageCases'!$G$2564:$G$3417,"UNRESOLVED")</x:f>
        <x:v>0</x:v>
      </x:c>
      <x:c r="J12" s="32" t="n">
        <x:f>IF(F12=0,"—",(SUM('CoverageCases'!$O$2564:$O$3417))/F12/100)</x:f>
        <x:v>0.6323455445544557</x:v>
      </x:c>
      <x:c r="K12" s="32" t="n">
        <x:f>IF(I12&gt;0,"Pending",IF(E12-H12=0,"—",(SUM('CoverageCases'!$O$2564:$O$3417))/(E12-H12)/100))</x:f>
        <x:v>0.30090412249705545</x:v>
      </x:c>
      <x:c r="L12" s="32" t="n">
        <x:f>IF(I12&gt;0,"Pending",IF(E12=0,"—",(E12-G12)/E12))</x:f>
        <x:v>0.47892271662763464</x:v>
      </x:c>
      <x:c r="M12" s="40" t="n">
        <x:f>IF(I12&gt;0,"Pending",E12-H12)</x:f>
        <x:v>849</x:v>
      </x:c>
    </x:row>
    <x:row r="13" ht="23" customHeight="1">
      <x:c r="B13" s="17" t="str">
        <x:v>Chart</x:v>
      </x:c>
      <x:c r="C13" s="17" t="str">
        <x:v>All rounds</x:v>
      </x:c>
      <x:c r="D13" s="17" t="str">
        <x:v>Line</x:v>
      </x:c>
      <x:c r="E13" s="40" t="n">
        <x:f>COUNTA('CoverageCases'!$D$2:$D$27,'CoverageCases'!$D$856:$D$881)</x:f>
        <x:v>52</x:v>
      </x:c>
      <x:c r="F13" s="40" t="n">
        <x:f>COUNT('CoverageCases'!$O$2:$O$27,'CoverageCases'!$O$856:$O$881)</x:f>
        <x:v>21</x:v>
      </x:c>
      <x:c r="G13" s="40" t="n">
        <x:f>COUNTIF('CoverageCases'!$G$2:$G$27,"A")+COUNTIF('CoverageCases'!$G$856:$G$881,"A")</x:f>
        <x:v>31</x:v>
      </x:c>
      <x:c r="H13" s="40" t="n">
        <x:f>COUNTIF('CoverageCases'!$G$2:$G$27,"B")+COUNTIF('CoverageCases'!$G$856:$G$881,"B")</x:f>
        <x:v>0</x:v>
      </x:c>
      <x:c r="I13" s="40" t="n">
        <x:f>COUNTIF('CoverageCases'!$G$2:$G$27,"UNRESOLVED")+COUNTIF('CoverageCases'!$G$856:$G$881,"UNRESOLVED")</x:f>
        <x:v>0</x:v>
      </x:c>
      <x:c r="J13" s="32" t="n">
        <x:f>IF(F13=0,"—",(SUM('CoverageCases'!$O$2:$O$27,'CoverageCases'!$O$856:$O$881))/F13/100)</x:f>
        <x:v>0.7769428571428572</x:v>
      </x:c>
      <x:c r="K13" s="32" t="n">
        <x:f>IF(I13&gt;0,"Pending",IF(E13-H13=0,"—",(SUM('CoverageCases'!$O$2:$O$27,'CoverageCases'!$O$856:$O$881))/(E13-H13)/100))</x:f>
        <x:v>0.3137653846153846</x:v>
      </x:c>
      <x:c r="L13" s="32" t="n">
        <x:f>IF(I13&gt;0,"Pending",IF(E13=0,"—",(E13-G13)/E13))</x:f>
        <x:v>0.40384615384615385</x:v>
      </x:c>
      <x:c r="M13" s="40" t="n">
        <x:f>IF(I13&gt;0,"Pending",E13-H13)</x:f>
        <x:v>52</x:v>
      </x:c>
    </x:row>
    <x:row r="14" ht="23" customHeight="1">
      <x:c r="B14" s="17" t="str">
        <x:v>Chart</x:v>
      </x:c>
      <x:c r="C14" s="17" t="str">
        <x:v>All rounds</x:v>
      </x:c>
      <x:c r="D14" s="17" t="str">
        <x:v>Condition</x:v>
      </x:c>
      <x:c r="E14" s="40" t="n">
        <x:f>COUNTA('CoverageCases'!$D$1710:$D$1735,'CoverageCases'!$D$2564:$D$2589)</x:f>
        <x:v>52</x:v>
      </x:c>
      <x:c r="F14" s="40" t="n">
        <x:f>COUNT('CoverageCases'!$O$1710:$O$1735,'CoverageCases'!$O$2564:$O$2589)</x:f>
        <x:v>19</x:v>
      </x:c>
      <x:c r="G14" s="40" t="n">
        <x:f>COUNTIF('CoverageCases'!$G$1710:$G$1735,"A")+COUNTIF('CoverageCases'!$G$2564:$G$2589,"A")</x:f>
        <x:v>31</x:v>
      </x:c>
      <x:c r="H14" s="40" t="n">
        <x:f>COUNTIF('CoverageCases'!$G$1710:$G$1735,"B")+COUNTIF('CoverageCases'!$G$2564:$G$2589,"B")</x:f>
        <x:v>2</x:v>
      </x:c>
      <x:c r="I14" s="40" t="n">
        <x:f>COUNTIF('CoverageCases'!$G$1710:$G$1735,"UNRESOLVED")+COUNTIF('CoverageCases'!$G$2564:$G$2589,"UNRESOLVED")</x:f>
        <x:v>0</x:v>
      </x:c>
      <x:c r="J14" s="32" t="n">
        <x:f>IF(F14=0,"—",(SUM('CoverageCases'!$O$1710:$O$1735,'CoverageCases'!$O$2564:$O$2589))/F14/100)</x:f>
        <x:v>0.655721052631579</x:v>
      </x:c>
      <x:c r="K14" s="32" t="n">
        <x:f>IF(I14&gt;0,"Pending",IF(E14-H14=0,"—",(SUM('CoverageCases'!$O$1710:$O$1735,'CoverageCases'!$O$2564:$O$2589))/(E14-H14)/100))</x:f>
        <x:v>0.24917399999999998</x:v>
      </x:c>
      <x:c r="L14" s="32" t="n">
        <x:f>IF(I14&gt;0,"Pending",IF(E14=0,"—",(E14-G14)/E14))</x:f>
        <x:v>0.40384615384615385</x:v>
      </x:c>
      <x:c r="M14" s="40" t="n">
        <x:f>IF(I14&gt;0,"Pending",E14-H14)</x:f>
        <x:v>50</x:v>
      </x:c>
    </x:row>
    <x:row r="15" ht="23" customHeight="1">
      <x:c r="B15" s="17" t="str">
        <x:v>Chart</x:v>
      </x:c>
      <x:c r="C15" s="17" t="str">
        <x:v>Round1</x:v>
      </x:c>
      <x:c r="D15" s="17" t="str">
        <x:v>Line</x:v>
      </x:c>
      <x:c r="E15" s="40" t="n">
        <x:f>COUNTA('CoverageCases'!$D$2:$D$27)</x:f>
        <x:v>26</x:v>
      </x:c>
      <x:c r="F15" s="40" t="n">
        <x:f>COUNT('CoverageCases'!$O$2:$O$27)</x:f>
        <x:v>7</x:v>
      </x:c>
      <x:c r="G15" s="40" t="n">
        <x:f>COUNTIF('CoverageCases'!$G$2:$G$27,"A")</x:f>
        <x:v>19</x:v>
      </x:c>
      <x:c r="H15" s="40" t="n">
        <x:f>COUNTIF('CoverageCases'!$G$2:$G$27,"B")</x:f>
        <x:v>0</x:v>
      </x:c>
      <x:c r="I15" s="40" t="n">
        <x:f>COUNTIF('CoverageCases'!$G$2:$G$27,"UNRESOLVED")</x:f>
        <x:v>0</x:v>
      </x:c>
      <x:c r="J15" s="32" t="n">
        <x:f>IF(F15=0,"—",(SUM('CoverageCases'!$O$2:$O$27))/F15/100)</x:f>
        <x:v>0.7829999999999999</x:v>
      </x:c>
      <x:c r="K15" s="32" t="n">
        <x:f>IF(I15&gt;0,"Pending",IF(E15-H15=0,"—",(SUM('CoverageCases'!$O$2:$O$27))/(E15-H15)/100))</x:f>
        <x:v>0.2108076923076923</x:v>
      </x:c>
      <x:c r="L15" s="32" t="n">
        <x:f>IF(I15&gt;0,"Pending",IF(E15=0,"—",(E15-G15)/E15))</x:f>
        <x:v>0.2692307692307692</x:v>
      </x:c>
      <x:c r="M15" s="40" t="n">
        <x:f>IF(I15&gt;0,"Pending",E15-H15)</x:f>
        <x:v>26</x:v>
      </x:c>
    </x:row>
    <x:row r="16" ht="23" customHeight="1">
      <x:c r="B16" s="17" t="str">
        <x:v>Chart</x:v>
      </x:c>
      <x:c r="C16" s="17" t="str">
        <x:v>Round1</x:v>
      </x:c>
      <x:c r="D16" s="17" t="str">
        <x:v>Condition</x:v>
      </x:c>
      <x:c r="E16" s="40" t="n">
        <x:f>COUNTA('CoverageCases'!$D$1710:$D$1735)</x:f>
        <x:v>26</x:v>
      </x:c>
      <x:c r="F16" s="40" t="n">
        <x:f>COUNT('CoverageCases'!$O$1710:$O$1735)</x:f>
        <x:v>6</x:v>
      </x:c>
      <x:c r="G16" s="40" t="n">
        <x:f>COUNTIF('CoverageCases'!$G$1710:$G$1735,"A")</x:f>
        <x:v>19</x:v>
      </x:c>
      <x:c r="H16" s="40" t="n">
        <x:f>COUNTIF('CoverageCases'!$G$1710:$G$1735,"B")</x:f>
        <x:v>1</x:v>
      </x:c>
      <x:c r="I16" s="40" t="n">
        <x:f>COUNTIF('CoverageCases'!$G$1710:$G$1735,"UNRESOLVED")</x:f>
        <x:v>0</x:v>
      </x:c>
      <x:c r="J16" s="32" t="n">
        <x:f>IF(F16=0,"—",(SUM('CoverageCases'!$O$1710:$O$1735))/F16/100)</x:f>
        <x:v>0.6373166666666665</x:v>
      </x:c>
      <x:c r="K16" s="32" t="n">
        <x:f>IF(I16&gt;0,"Pending",IF(E16-H16=0,"—",(SUM('CoverageCases'!$O$1710:$O$1735))/(E16-H16)/100))</x:f>
        <x:v>0.15295599999999998</x:v>
      </x:c>
      <x:c r="L16" s="32" t="n">
        <x:f>IF(I16&gt;0,"Pending",IF(E16=0,"—",(E16-G16)/E16))</x:f>
        <x:v>0.2692307692307692</x:v>
      </x:c>
      <x:c r="M16" s="40" t="n">
        <x:f>IF(I16&gt;0,"Pending",E16-H16)</x:f>
        <x:v>25</x:v>
      </x:c>
    </x:row>
    <x:row r="17" ht="23" customHeight="1">
      <x:c r="B17" s="17" t="str">
        <x:v>Chart</x:v>
      </x:c>
      <x:c r="C17" s="17" t="str">
        <x:v>Round2</x:v>
      </x:c>
      <x:c r="D17" s="17" t="str">
        <x:v>Line</x:v>
      </x:c>
      <x:c r="E17" s="40" t="n">
        <x:f>COUNTA('CoverageCases'!$D$856:$D$881)</x:f>
        <x:v>26</x:v>
      </x:c>
      <x:c r="F17" s="40" t="n">
        <x:f>COUNT('CoverageCases'!$O$856:$O$881)</x:f>
        <x:v>14</x:v>
      </x:c>
      <x:c r="G17" s="40" t="n">
        <x:f>COUNTIF('CoverageCases'!$G$856:$G$881,"A")</x:f>
        <x:v>12</x:v>
      </x:c>
      <x:c r="H17" s="40" t="n">
        <x:f>COUNTIF('CoverageCases'!$G$856:$G$881,"B")</x:f>
        <x:v>0</x:v>
      </x:c>
      <x:c r="I17" s="40" t="n">
        <x:f>COUNTIF('CoverageCases'!$G$856:$G$881,"UNRESOLVED")</x:f>
        <x:v>0</x:v>
      </x:c>
      <x:c r="J17" s="32" t="n">
        <x:f>IF(F17=0,"—",(SUM('CoverageCases'!$O$856:$O$881))/F17/100)</x:f>
        <x:v>0.7739142857142858</x:v>
      </x:c>
      <x:c r="K17" s="32" t="n">
        <x:f>IF(I17&gt;0,"Pending",IF(E17-H17=0,"—",(SUM('CoverageCases'!$O$856:$O$881))/(E17-H17)/100))</x:f>
        <x:v>0.4167230769230769</x:v>
      </x:c>
      <x:c r="L17" s="32" t="n">
        <x:f>IF(I17&gt;0,"Pending",IF(E17=0,"—",(E17-G17)/E17))</x:f>
        <x:v>0.5384615384615384</x:v>
      </x:c>
      <x:c r="M17" s="40" t="n">
        <x:f>IF(I17&gt;0,"Pending",E17-H17)</x:f>
        <x:v>26</x:v>
      </x:c>
    </x:row>
    <x:row r="18" ht="23" customHeight="1">
      <x:c r="B18" s="17" t="str">
        <x:v>Chart</x:v>
      </x:c>
      <x:c r="C18" s="17" t="str">
        <x:v>Round2</x:v>
      </x:c>
      <x:c r="D18" s="17" t="str">
        <x:v>Condition</x:v>
      </x:c>
      <x:c r="E18" s="40" t="n">
        <x:f>COUNTA('CoverageCases'!$D$2564:$D$2589)</x:f>
        <x:v>26</x:v>
      </x:c>
      <x:c r="F18" s="40" t="n">
        <x:f>COUNT('CoverageCases'!$O$2564:$O$2589)</x:f>
        <x:v>13</x:v>
      </x:c>
      <x:c r="G18" s="40" t="n">
        <x:f>COUNTIF('CoverageCases'!$G$2564:$G$2589,"A")</x:f>
        <x:v>12</x:v>
      </x:c>
      <x:c r="H18" s="40" t="n">
        <x:f>COUNTIF('CoverageCases'!$G$2564:$G$2589,"B")</x:f>
        <x:v>1</x:v>
      </x:c>
      <x:c r="I18" s="40" t="n">
        <x:f>COUNTIF('CoverageCases'!$G$2564:$G$2589,"UNRESOLVED")</x:f>
        <x:v>0</x:v>
      </x:c>
      <x:c r="J18" s="32" t="n">
        <x:f>IF(F18=0,"—",(SUM('CoverageCases'!$O$2564:$O$2589))/F18/100)</x:f>
        <x:v>0.6642153846153847</x:v>
      </x:c>
      <x:c r="K18" s="32" t="n">
        <x:f>IF(I18&gt;0,"Pending",IF(E18-H18=0,"—",(SUM('CoverageCases'!$O$2564:$O$2589))/(E18-H18)/100))</x:f>
        <x:v>0.34539200000000003</x:v>
      </x:c>
      <x:c r="L18" s="32" t="n">
        <x:f>IF(I18&gt;0,"Pending",IF(E18=0,"—",(E18-G18)/E18))</x:f>
        <x:v>0.5384615384615384</x:v>
      </x:c>
      <x:c r="M18" s="40" t="n">
        <x:f>IF(I18&gt;0,"Pending",E18-H18)</x:f>
        <x:v>25</x:v>
      </x:c>
    </x:row>
    <x:row r="19" ht="23" customHeight="1">
      <x:c r="B19" s="17" t="str">
        <x:v>Cli</x:v>
      </x:c>
      <x:c r="C19" s="17" t="str">
        <x:v>All rounds</x:v>
      </x:c>
      <x:c r="D19" s="17" t="str">
        <x:v>Line</x:v>
      </x:c>
      <x:c r="E19" s="40" t="n">
        <x:f>COUNTA('CoverageCases'!$D$28:$D$66,'CoverageCases'!$D$882:$D$920)</x:f>
        <x:v>78</x:v>
      </x:c>
      <x:c r="F19" s="40" t="n">
        <x:f>COUNT('CoverageCases'!$O$28:$O$66,'CoverageCases'!$O$882:$O$920)</x:f>
        <x:v>42</x:v>
      </x:c>
      <x:c r="G19" s="40" t="n">
        <x:f>COUNTIF('CoverageCases'!$G$28:$G$66,"A")+COUNTIF('CoverageCases'!$G$882:$G$920,"A")</x:f>
        <x:v>36</x:v>
      </x:c>
      <x:c r="H19" s="40" t="n">
        <x:f>COUNTIF('CoverageCases'!$G$28:$G$66,"B")+COUNTIF('CoverageCases'!$G$882:$G$920,"B")</x:f>
        <x:v>0</x:v>
      </x:c>
      <x:c r="I19" s="40" t="n">
        <x:f>COUNTIF('CoverageCases'!$G$28:$G$66,"UNRESOLVED")+COUNTIF('CoverageCases'!$G$882:$G$920,"UNRESOLVED")</x:f>
        <x:v>0</x:v>
      </x:c>
      <x:c r="J19" s="32" t="n">
        <x:f>IF(F19=0,"—",(SUM('CoverageCases'!$O$28:$O$66,'CoverageCases'!$O$882:$O$920))/F19/100)</x:f>
        <x:v>0.12599047619047618</x:v>
      </x:c>
      <x:c r="K19" s="32" t="n">
        <x:f>IF(I19&gt;0,"Pending",IF(E19-H19=0,"—",(SUM('CoverageCases'!$O$28:$O$66,'CoverageCases'!$O$882:$O$920))/(E19-H19)/100))</x:f>
        <x:v>0.06784102564102563</x:v>
      </x:c>
      <x:c r="L19" s="32" t="n">
        <x:f>IF(I19&gt;0,"Pending",IF(E19=0,"—",(E19-G19)/E19))</x:f>
        <x:v>0.5384615384615384</x:v>
      </x:c>
      <x:c r="M19" s="40" t="n">
        <x:f>IF(I19&gt;0,"Pending",E19-H19)</x:f>
        <x:v>78</x:v>
      </x:c>
    </x:row>
    <x:row r="20" ht="23" customHeight="1">
      <x:c r="B20" s="17" t="str">
        <x:v>Cli</x:v>
      </x:c>
      <x:c r="C20" s="17" t="str">
        <x:v>All rounds</x:v>
      </x:c>
      <x:c r="D20" s="17" t="str">
        <x:v>Condition</x:v>
      </x:c>
      <x:c r="E20" s="40" t="n">
        <x:f>COUNTA('CoverageCases'!$D$1736:$D$1774,'CoverageCases'!$D$2590:$D$2628)</x:f>
        <x:v>78</x:v>
      </x:c>
      <x:c r="F20" s="40" t="n">
        <x:f>COUNT('CoverageCases'!$O$1736:$O$1774,'CoverageCases'!$O$2590:$O$2628)</x:f>
        <x:v>42</x:v>
      </x:c>
      <x:c r="G20" s="40" t="n">
        <x:f>COUNTIF('CoverageCases'!$G$1736:$G$1774,"A")+COUNTIF('CoverageCases'!$G$2590:$G$2628,"A")</x:f>
        <x:v>36</x:v>
      </x:c>
      <x:c r="H20" s="40" t="n">
        <x:f>COUNTIF('CoverageCases'!$G$1736:$G$1774,"B")+COUNTIF('CoverageCases'!$G$2590:$G$2628,"B")</x:f>
        <x:v>0</x:v>
      </x:c>
      <x:c r="I20" s="40" t="n">
        <x:f>COUNTIF('CoverageCases'!$G$1736:$G$1774,"UNRESOLVED")+COUNTIF('CoverageCases'!$G$2590:$G$2628,"UNRESOLVED")</x:f>
        <x:v>0</x:v>
      </x:c>
      <x:c r="J20" s="32" t="n">
        <x:f>IF(F20=0,"—",(SUM('CoverageCases'!$O$1736:$O$1774,'CoverageCases'!$O$2590:$O$2628))/F20/100)</x:f>
        <x:v>0.11392380952380952</x:v>
      </x:c>
      <x:c r="K20" s="32" t="n">
        <x:f>IF(I20&gt;0,"Pending",IF(E20-H20=0,"—",(SUM('CoverageCases'!$O$1736:$O$1774,'CoverageCases'!$O$2590:$O$2628))/(E20-H20)/100))</x:f>
        <x:v>0.06134358974358975</x:v>
      </x:c>
      <x:c r="L20" s="32" t="n">
        <x:f>IF(I20&gt;0,"Pending",IF(E20=0,"—",(E20-G20)/E20))</x:f>
        <x:v>0.5384615384615384</x:v>
      </x:c>
      <x:c r="M20" s="40" t="n">
        <x:f>IF(I20&gt;0,"Pending",E20-H20)</x:f>
        <x:v>78</x:v>
      </x:c>
    </x:row>
    <x:row r="21" ht="23" customHeight="1">
      <x:c r="B21" s="17" t="str">
        <x:v>Cli</x:v>
      </x:c>
      <x:c r="C21" s="17" t="str">
        <x:v>Round1</x:v>
      </x:c>
      <x:c r="D21" s="17" t="str">
        <x:v>Line</x:v>
      </x:c>
      <x:c r="E21" s="40" t="n">
        <x:f>COUNTA('CoverageCases'!$D$28:$D$66)</x:f>
        <x:v>39</x:v>
      </x:c>
      <x:c r="F21" s="40" t="n">
        <x:f>COUNT('CoverageCases'!$O$28:$O$66)</x:f>
        <x:v>15</x:v>
      </x:c>
      <x:c r="G21" s="40" t="n">
        <x:f>COUNTIF('CoverageCases'!$G$28:$G$66,"A")</x:f>
        <x:v>24</x:v>
      </x:c>
      <x:c r="H21" s="40" t="n">
        <x:f>COUNTIF('CoverageCases'!$G$28:$G$66,"B")</x:f>
        <x:v>0</x:v>
      </x:c>
      <x:c r="I21" s="40" t="n">
        <x:f>COUNTIF('CoverageCases'!$G$28:$G$66,"UNRESOLVED")</x:f>
        <x:v>0</x:v>
      </x:c>
      <x:c r="J21" s="32" t="n">
        <x:f>IF(F21=0,"—",(SUM('CoverageCases'!$O$28:$O$66))/F21/100)</x:f>
        <x:v>0.12029999999999999</x:v>
      </x:c>
      <x:c r="K21" s="32" t="n">
        <x:f>IF(I21&gt;0,"Pending",IF(E21-H21=0,"—",(SUM('CoverageCases'!$O$28:$O$66))/(E21-H21)/100))</x:f>
        <x:v>0.046269230769230764</x:v>
      </x:c>
      <x:c r="L21" s="32" t="n">
        <x:f>IF(I21&gt;0,"Pending",IF(E21=0,"—",(E21-G21)/E21))</x:f>
        <x:v>0.38461538461538464</x:v>
      </x:c>
      <x:c r="M21" s="40" t="n">
        <x:f>IF(I21&gt;0,"Pending",E21-H21)</x:f>
        <x:v>39</x:v>
      </x:c>
    </x:row>
    <x:row r="22" ht="23" customHeight="1">
      <x:c r="B22" s="17" t="str">
        <x:v>Cli</x:v>
      </x:c>
      <x:c r="C22" s="17" t="str">
        <x:v>Round1</x:v>
      </x:c>
      <x:c r="D22" s="17" t="str">
        <x:v>Condition</x:v>
      </x:c>
      <x:c r="E22" s="40" t="n">
        <x:f>COUNTA('CoverageCases'!$D$1736:$D$1774)</x:f>
        <x:v>39</x:v>
      </x:c>
      <x:c r="F22" s="40" t="n">
        <x:f>COUNT('CoverageCases'!$O$1736:$O$1774)</x:f>
        <x:v>15</x:v>
      </x:c>
      <x:c r="G22" s="40" t="n">
        <x:f>COUNTIF('CoverageCases'!$G$1736:$G$1774,"A")</x:f>
        <x:v>24</x:v>
      </x:c>
      <x:c r="H22" s="40" t="n">
        <x:f>COUNTIF('CoverageCases'!$G$1736:$G$1774,"B")</x:f>
        <x:v>0</x:v>
      </x:c>
      <x:c r="I22" s="40" t="n">
        <x:f>COUNTIF('CoverageCases'!$G$1736:$G$1774,"UNRESOLVED")</x:f>
        <x:v>0</x:v>
      </x:c>
      <x:c r="J22" s="32" t="n">
        <x:f>IF(F22=0,"—",(SUM('CoverageCases'!$O$1736:$O$1774))/F22/100)</x:f>
        <x:v>0.11666666666666665</x:v>
      </x:c>
      <x:c r="K22" s="32" t="n">
        <x:f>IF(I22&gt;0,"Pending",IF(E22-H22=0,"—",(SUM('CoverageCases'!$O$1736:$O$1774))/(E22-H22)/100))</x:f>
        <x:v>0.04487179487179487</x:v>
      </x:c>
      <x:c r="L22" s="32" t="n">
        <x:f>IF(I22&gt;0,"Pending",IF(E22=0,"—",(E22-G22)/E22))</x:f>
        <x:v>0.38461538461538464</x:v>
      </x:c>
      <x:c r="M22" s="40" t="n">
        <x:f>IF(I22&gt;0,"Pending",E22-H22)</x:f>
        <x:v>39</x:v>
      </x:c>
    </x:row>
    <x:row r="23" ht="23" customHeight="1">
      <x:c r="B23" s="17" t="str">
        <x:v>Cli</x:v>
      </x:c>
      <x:c r="C23" s="17" t="str">
        <x:v>Round2</x:v>
      </x:c>
      <x:c r="D23" s="17" t="str">
        <x:v>Line</x:v>
      </x:c>
      <x:c r="E23" s="40" t="n">
        <x:f>COUNTA('CoverageCases'!$D$882:$D$920)</x:f>
        <x:v>39</x:v>
      </x:c>
      <x:c r="F23" s="40" t="n">
        <x:f>COUNT('CoverageCases'!$O$882:$O$920)</x:f>
        <x:v>27</x:v>
      </x:c>
      <x:c r="G23" s="40" t="n">
        <x:f>COUNTIF('CoverageCases'!$G$882:$G$920,"A")</x:f>
        <x:v>12</x:v>
      </x:c>
      <x:c r="H23" s="40" t="n">
        <x:f>COUNTIF('CoverageCases'!$G$882:$G$920,"B")</x:f>
        <x:v>0</x:v>
      </x:c>
      <x:c r="I23" s="40" t="n">
        <x:f>COUNTIF('CoverageCases'!$G$882:$G$920,"UNRESOLVED")</x:f>
        <x:v>0</x:v>
      </x:c>
      <x:c r="J23" s="32" t="n">
        <x:f>IF(F23=0,"—",(SUM('CoverageCases'!$O$882:$O$920))/F23/100)</x:f>
        <x:v>0.12915185185185185</x:v>
      </x:c>
      <x:c r="K23" s="32" t="n">
        <x:f>IF(I23&gt;0,"Pending",IF(E23-H23=0,"—",(SUM('CoverageCases'!$O$882:$O$920))/(E23-H23)/100))</x:f>
        <x:v>0.0894128205128205</x:v>
      </x:c>
      <x:c r="L23" s="32" t="n">
        <x:f>IF(I23&gt;0,"Pending",IF(E23=0,"—",(E23-G23)/E23))</x:f>
        <x:v>0.6923076923076923</x:v>
      </x:c>
      <x:c r="M23" s="40" t="n">
        <x:f>IF(I23&gt;0,"Pending",E23-H23)</x:f>
        <x:v>39</x:v>
      </x:c>
    </x:row>
    <x:row r="24" ht="23" customHeight="1">
      <x:c r="B24" s="17" t="str">
        <x:v>Cli</x:v>
      </x:c>
      <x:c r="C24" s="17" t="str">
        <x:v>Round2</x:v>
      </x:c>
      <x:c r="D24" s="17" t="str">
        <x:v>Condition</x:v>
      </x:c>
      <x:c r="E24" s="40" t="n">
        <x:f>COUNTA('CoverageCases'!$D$2590:$D$2628)</x:f>
        <x:v>39</x:v>
      </x:c>
      <x:c r="F24" s="40" t="n">
        <x:f>COUNT('CoverageCases'!$O$2590:$O$2628)</x:f>
        <x:v>27</x:v>
      </x:c>
      <x:c r="G24" s="40" t="n">
        <x:f>COUNTIF('CoverageCases'!$G$2590:$G$2628,"A")</x:f>
        <x:v>12</x:v>
      </x:c>
      <x:c r="H24" s="40" t="n">
        <x:f>COUNTIF('CoverageCases'!$G$2590:$G$2628,"B")</x:f>
        <x:v>0</x:v>
      </x:c>
      <x:c r="I24" s="40" t="n">
        <x:f>COUNTIF('CoverageCases'!$G$2590:$G$2628,"UNRESOLVED")</x:f>
        <x:v>0</x:v>
      </x:c>
      <x:c r="J24" s="32" t="n">
        <x:f>IF(F24=0,"—",(SUM('CoverageCases'!$O$2590:$O$2628))/F24/100)</x:f>
        <x:v>0.1124</x:v>
      </x:c>
      <x:c r="K24" s="32" t="n">
        <x:f>IF(I24&gt;0,"Pending",IF(E24-H24=0,"—",(SUM('CoverageCases'!$O$2590:$O$2628))/(E24-H24)/100))</x:f>
        <x:v>0.07781538461538462</x:v>
      </x:c>
      <x:c r="L24" s="32" t="n">
        <x:f>IF(I24&gt;0,"Pending",IF(E24=0,"—",(E24-G24)/E24))</x:f>
        <x:v>0.6923076923076923</x:v>
      </x:c>
      <x:c r="M24" s="40" t="n">
        <x:f>IF(I24&gt;0,"Pending",E24-H24)</x:f>
        <x:v>39</x:v>
      </x:c>
    </x:row>
    <x:row r="25" ht="23" customHeight="1">
      <x:c r="B25" s="17" t="str">
        <x:v>Closure</x:v>
      </x:c>
      <x:c r="C25" s="17" t="str">
        <x:v>All rounds</x:v>
      </x:c>
      <x:c r="D25" s="17" t="str">
        <x:v>Line</x:v>
      </x:c>
      <x:c r="E25" s="40" t="n">
        <x:f>COUNTA('CoverageCases'!$D$67:$D$240,'CoverageCases'!$D$921:$D$1094)</x:f>
        <x:v>348</x:v>
      </x:c>
      <x:c r="F25" s="40" t="n">
        <x:f>COUNT('CoverageCases'!$O$67:$O$240,'CoverageCases'!$O$921:$O$1094)</x:f>
        <x:v>33</x:v>
      </x:c>
      <x:c r="G25" s="40" t="n">
        <x:f>COUNTIF('CoverageCases'!$G$67:$G$240,"A")+COUNTIF('CoverageCases'!$G$921:$G$1094,"A")</x:f>
        <x:v>315</x:v>
      </x:c>
      <x:c r="H25" s="40" t="n">
        <x:f>COUNTIF('CoverageCases'!$G$67:$G$240,"B")+COUNTIF('CoverageCases'!$G$921:$G$1094,"B")</x:f>
        <x:v>0</x:v>
      </x:c>
      <x:c r="I25" s="40" t="n">
        <x:f>COUNTIF('CoverageCases'!$G$67:$G$240,"UNRESOLVED")+COUNTIF('CoverageCases'!$G$921:$G$1094,"UNRESOLVED")</x:f>
        <x:v>0</x:v>
      </x:c>
      <x:c r="J25" s="32" t="n">
        <x:f>IF(F25=0,"—",(SUM('CoverageCases'!$O$67:$O$240,'CoverageCases'!$O$921:$O$1094))/F25/100)</x:f>
        <x:v>0.3946393939393939</x:v>
      </x:c>
      <x:c r="K25" s="32" t="n">
        <x:f>IF(I25&gt;0,"Pending",IF(E25-H25=0,"—",(SUM('CoverageCases'!$O$67:$O$240,'CoverageCases'!$O$921:$O$1094))/(E25-H25)/100))</x:f>
        <x:v>0.03742270114942528</x:v>
      </x:c>
      <x:c r="L25" s="32" t="n">
        <x:f>IF(I25&gt;0,"Pending",IF(E25=0,"—",(E25-G25)/E25))</x:f>
        <x:v>0.09482758620689655</x:v>
      </x:c>
      <x:c r="M25" s="40" t="n">
        <x:f>IF(I25&gt;0,"Pending",E25-H25)</x:f>
        <x:v>348</x:v>
      </x:c>
    </x:row>
    <x:row r="26" ht="23" customHeight="1">
      <x:c r="B26" s="17" t="str">
        <x:v>Closure</x:v>
      </x:c>
      <x:c r="C26" s="17" t="str">
        <x:v>All rounds</x:v>
      </x:c>
      <x:c r="D26" s="17" t="str">
        <x:v>Condition</x:v>
      </x:c>
      <x:c r="E26" s="40" t="n">
        <x:f>COUNTA('CoverageCases'!$D$1775:$D$1948,'CoverageCases'!$D$2629:$D$2802)</x:f>
        <x:v>348</x:v>
      </x:c>
      <x:c r="F26" s="40" t="n">
        <x:f>COUNT('CoverageCases'!$O$1775:$O$1948,'CoverageCases'!$O$2629:$O$2802)</x:f>
        <x:v>33</x:v>
      </x:c>
      <x:c r="G26" s="40" t="n">
        <x:f>COUNTIF('CoverageCases'!$G$1775:$G$1948,"A")+COUNTIF('CoverageCases'!$G$2629:$G$2802,"A")</x:f>
        <x:v>315</x:v>
      </x:c>
      <x:c r="H26" s="40" t="n">
        <x:f>COUNTIF('CoverageCases'!$G$1775:$G$1948,"B")+COUNTIF('CoverageCases'!$G$2629:$G$2802,"B")</x:f>
        <x:v>0</x:v>
      </x:c>
      <x:c r="I26" s="40" t="n">
        <x:f>COUNTIF('CoverageCases'!$G$1775:$G$1948,"UNRESOLVED")+COUNTIF('CoverageCases'!$G$2629:$G$2802,"UNRESOLVED")</x:f>
        <x:v>0</x:v>
      </x:c>
      <x:c r="J26" s="32" t="n">
        <x:f>IF(F26=0,"—",(SUM('CoverageCases'!$O$1775:$O$1948,'CoverageCases'!$O$2629:$O$2802))/F26/100)</x:f>
        <x:v>0.32703030303030295</x:v>
      </x:c>
      <x:c r="K26" s="32" t="n">
        <x:f>IF(I26&gt;0,"Pending",IF(E26-H26=0,"—",(SUM('CoverageCases'!$O$1775:$O$1948,'CoverageCases'!$O$2629:$O$2802))/(E26-H26)/100))</x:f>
        <x:v>0.03101149425287356</x:v>
      </x:c>
      <x:c r="L26" s="32" t="n">
        <x:f>IF(I26&gt;0,"Pending",IF(E26=0,"—",(E26-G26)/E26))</x:f>
        <x:v>0.09482758620689655</x:v>
      </x:c>
      <x:c r="M26" s="40" t="n">
        <x:f>IF(I26&gt;0,"Pending",E26-H26)</x:f>
        <x:v>348</x:v>
      </x:c>
    </x:row>
    <x:row r="27" ht="23" customHeight="1">
      <x:c r="B27" s="17" t="str">
        <x:v>Closure</x:v>
      </x:c>
      <x:c r="C27" s="17" t="str">
        <x:v>Round1</x:v>
      </x:c>
      <x:c r="D27" s="17" t="str">
        <x:v>Line</x:v>
      </x:c>
      <x:c r="E27" s="40" t="n">
        <x:f>COUNTA('CoverageCases'!$D$67:$D$240)</x:f>
        <x:v>174</x:v>
      </x:c>
      <x:c r="F27" s="40" t="n">
        <x:f>COUNT('CoverageCases'!$O$67:$O$240)</x:f>
        <x:v>7</x:v>
      </x:c>
      <x:c r="G27" s="40" t="n">
        <x:f>COUNTIF('CoverageCases'!$G$67:$G$240,"A")</x:f>
        <x:v>167</x:v>
      </x:c>
      <x:c r="H27" s="40" t="n">
        <x:f>COUNTIF('CoverageCases'!$G$67:$G$240,"B")</x:f>
        <x:v>0</x:v>
      </x:c>
      <x:c r="I27" s="40" t="n">
        <x:f>COUNTIF('CoverageCases'!$G$67:$G$240,"UNRESOLVED")</x:f>
        <x:v>0</x:v>
      </x:c>
      <x:c r="J27" s="32" t="n">
        <x:f>IF(F27=0,"—",(SUM('CoverageCases'!$O$67:$O$240))/F27/100)</x:f>
        <x:v>0.5012285714285715</x:v>
      </x:c>
      <x:c r="K27" s="32" t="n">
        <x:f>IF(I27&gt;0,"Pending",IF(E27-H27=0,"—",(SUM('CoverageCases'!$O$67:$O$240))/(E27-H27)/100))</x:f>
        <x:v>0.020164367816091953</x:v>
      </x:c>
      <x:c r="L27" s="32" t="n">
        <x:f>IF(I27&gt;0,"Pending",IF(E27=0,"—",(E27-G27)/E27))</x:f>
        <x:v>0.040229885057471264</x:v>
      </x:c>
      <x:c r="M27" s="40" t="n">
        <x:f>IF(I27&gt;0,"Pending",E27-H27)</x:f>
        <x:v>174</x:v>
      </x:c>
    </x:row>
    <x:row r="28" ht="23" customHeight="1">
      <x:c r="B28" s="17" t="str">
        <x:v>Closure</x:v>
      </x:c>
      <x:c r="C28" s="17" t="str">
        <x:v>Round1</x:v>
      </x:c>
      <x:c r="D28" s="17" t="str">
        <x:v>Condition</x:v>
      </x:c>
      <x:c r="E28" s="40" t="n">
        <x:f>COUNTA('CoverageCases'!$D$1775:$D$1948)</x:f>
        <x:v>174</x:v>
      </x:c>
      <x:c r="F28" s="40" t="n">
        <x:f>COUNT('CoverageCases'!$O$1775:$O$1948)</x:f>
        <x:v>7</x:v>
      </x:c>
      <x:c r="G28" s="40" t="n">
        <x:f>COUNTIF('CoverageCases'!$G$1775:$G$1948,"A")</x:f>
        <x:v>167</x:v>
      </x:c>
      <x:c r="H28" s="40" t="n">
        <x:f>COUNTIF('CoverageCases'!$G$1775:$G$1948,"B")</x:f>
        <x:v>0</x:v>
      </x:c>
      <x:c r="I28" s="40" t="n">
        <x:f>COUNTIF('CoverageCases'!$G$1775:$G$1948,"UNRESOLVED")</x:f>
        <x:v>0</x:v>
      </x:c>
      <x:c r="J28" s="32" t="n">
        <x:f>IF(F28=0,"—",(SUM('CoverageCases'!$O$1775:$O$1948))/F28/100)</x:f>
        <x:v>0.4537</x:v>
      </x:c>
      <x:c r="K28" s="32" t="n">
        <x:f>IF(I28&gt;0,"Pending",IF(E28-H28=0,"—",(SUM('CoverageCases'!$O$1775:$O$1948))/(E28-H28)/100))</x:f>
        <x:v>0.01825229885057471</x:v>
      </x:c>
      <x:c r="L28" s="32" t="n">
        <x:f>IF(I28&gt;0,"Pending",IF(E28=0,"—",(E28-G28)/E28))</x:f>
        <x:v>0.040229885057471264</x:v>
      </x:c>
      <x:c r="M28" s="40" t="n">
        <x:f>IF(I28&gt;0,"Pending",E28-H28)</x:f>
        <x:v>174</x:v>
      </x:c>
    </x:row>
    <x:row r="29" ht="23" customHeight="1">
      <x:c r="B29" s="17" t="str">
        <x:v>Closure</x:v>
      </x:c>
      <x:c r="C29" s="17" t="str">
        <x:v>Round2</x:v>
      </x:c>
      <x:c r="D29" s="17" t="str">
        <x:v>Line</x:v>
      </x:c>
      <x:c r="E29" s="40" t="n">
        <x:f>COUNTA('CoverageCases'!$D$921:$D$1094)</x:f>
        <x:v>174</x:v>
      </x:c>
      <x:c r="F29" s="40" t="n">
        <x:f>COUNT('CoverageCases'!$O$921:$O$1094)</x:f>
        <x:v>26</x:v>
      </x:c>
      <x:c r="G29" s="40" t="n">
        <x:f>COUNTIF('CoverageCases'!$G$921:$G$1094,"A")</x:f>
        <x:v>148</x:v>
      </x:c>
      <x:c r="H29" s="40" t="n">
        <x:f>COUNTIF('CoverageCases'!$G$921:$G$1094,"B")</x:f>
        <x:v>0</x:v>
      </x:c>
      <x:c r="I29" s="40" t="n">
        <x:f>COUNTIF('CoverageCases'!$G$921:$G$1094,"UNRESOLVED")</x:f>
        <x:v>0</x:v>
      </x:c>
      <x:c r="J29" s="32" t="n">
        <x:f>IF(F29=0,"—",(SUM('CoverageCases'!$O$921:$O$1094))/F29/100)</x:f>
        <x:v>0.3659423076923077</x:v>
      </x:c>
      <x:c r="K29" s="32" t="n">
        <x:f>IF(I29&gt;0,"Pending",IF(E29-H29=0,"—",(SUM('CoverageCases'!$O$921:$O$1094))/(E29-H29)/100))</x:f>
        <x:v>0.05468103448275862</x:v>
      </x:c>
      <x:c r="L29" s="32" t="n">
        <x:f>IF(I29&gt;0,"Pending",IF(E29=0,"—",(E29-G29)/E29))</x:f>
        <x:v>0.14942528735632185</x:v>
      </x:c>
      <x:c r="M29" s="40" t="n">
        <x:f>IF(I29&gt;0,"Pending",E29-H29)</x:f>
        <x:v>174</x:v>
      </x:c>
    </x:row>
    <x:row r="30" ht="23" customHeight="1">
      <x:c r="B30" s="17" t="str">
        <x:v>Closure</x:v>
      </x:c>
      <x:c r="C30" s="17" t="str">
        <x:v>Round2</x:v>
      </x:c>
      <x:c r="D30" s="17" t="str">
        <x:v>Condition</x:v>
      </x:c>
      <x:c r="E30" s="40" t="n">
        <x:f>COUNTA('CoverageCases'!$D$2629:$D$2802)</x:f>
        <x:v>174</x:v>
      </x:c>
      <x:c r="F30" s="40" t="n">
        <x:f>COUNT('CoverageCases'!$O$2629:$O$2802)</x:f>
        <x:v>26</x:v>
      </x:c>
      <x:c r="G30" s="40" t="n">
        <x:f>COUNTIF('CoverageCases'!$G$2629:$G$2802,"A")</x:f>
        <x:v>148</x:v>
      </x:c>
      <x:c r="H30" s="40" t="n">
        <x:f>COUNTIF('CoverageCases'!$G$2629:$G$2802,"B")</x:f>
        <x:v>0</x:v>
      </x:c>
      <x:c r="I30" s="40" t="n">
        <x:f>COUNTIF('CoverageCases'!$G$2629:$G$2802,"UNRESOLVED")</x:f>
        <x:v>0</x:v>
      </x:c>
      <x:c r="J30" s="32" t="n">
        <x:f>IF(F30=0,"—",(SUM('CoverageCases'!$O$2629:$O$2802))/F30/100)</x:f>
        <x:v>0.29292692307692303</x:v>
      </x:c>
      <x:c r="K30" s="32" t="n">
        <x:f>IF(I30&gt;0,"Pending",IF(E30-H30=0,"—",(SUM('CoverageCases'!$O$2629:$O$2802))/(E30-H30)/100))</x:f>
        <x:v>0.04377068965517241</x:v>
      </x:c>
      <x:c r="L30" s="32" t="n">
        <x:f>IF(I30&gt;0,"Pending",IF(E30=0,"—",(E30-G30)/E30))</x:f>
        <x:v>0.14942528735632185</x:v>
      </x:c>
      <x:c r="M30" s="40" t="n">
        <x:f>IF(I30&gt;0,"Pending",E30-H30)</x:f>
        <x:v>174</x:v>
      </x:c>
    </x:row>
    <x:row r="31" ht="23" customHeight="1">
      <x:c r="B31" s="17" t="str">
        <x:v>Codec</x:v>
      </x:c>
      <x:c r="C31" s="17" t="str">
        <x:v>All rounds</x:v>
      </x:c>
      <x:c r="D31" s="17" t="str">
        <x:v>Line</x:v>
      </x:c>
      <x:c r="E31" s="40" t="n">
        <x:f>COUNTA('CoverageCases'!$D$241:$D$258,'CoverageCases'!$D$1095:$D$1112)</x:f>
        <x:v>36</x:v>
      </x:c>
      <x:c r="F31" s="40" t="n">
        <x:f>COUNT('CoverageCases'!$O$241:$O$258,'CoverageCases'!$O$1095:$O$1112)</x:f>
        <x:v>19</x:v>
      </x:c>
      <x:c r="G31" s="40" t="n">
        <x:f>COUNTIF('CoverageCases'!$G$241:$G$258,"A")+COUNTIF('CoverageCases'!$G$1095:$G$1112,"A")</x:f>
        <x:v>17</x:v>
      </x:c>
      <x:c r="H31" s="40" t="n">
        <x:f>COUNTIF('CoverageCases'!$G$241:$G$258,"B")+COUNTIF('CoverageCases'!$G$1095:$G$1112,"B")</x:f>
        <x:v>0</x:v>
      </x:c>
      <x:c r="I31" s="40" t="n">
        <x:f>COUNTIF('CoverageCases'!$G$241:$G$258,"UNRESOLVED")+COUNTIF('CoverageCases'!$G$1095:$G$1112,"UNRESOLVED")</x:f>
        <x:v>0</x:v>
      </x:c>
      <x:c r="J31" s="32" t="n">
        <x:f>IF(F31=0,"—",(SUM('CoverageCases'!$O$241:$O$258,'CoverageCases'!$O$1095:$O$1112))/F31/100)</x:f>
        <x:v>0.8994684210526315</x:v>
      </x:c>
      <x:c r="K31" s="32" t="n">
        <x:f>IF(I31&gt;0,"Pending",IF(E31-H31=0,"—",(SUM('CoverageCases'!$O$241:$O$258,'CoverageCases'!$O$1095:$O$1112))/(E31-H31)/100))</x:f>
        <x:v>0.4747194444444444</x:v>
      </x:c>
      <x:c r="L31" s="32" t="n">
        <x:f>IF(I31&gt;0,"Pending",IF(E31=0,"—",(E31-G31)/E31))</x:f>
        <x:v>0.5277777777777778</x:v>
      </x:c>
      <x:c r="M31" s="40" t="n">
        <x:f>IF(I31&gt;0,"Pending",E31-H31)</x:f>
        <x:v>36</x:v>
      </x:c>
    </x:row>
    <x:row r="32" ht="23" customHeight="1">
      <x:c r="B32" s="17" t="str">
        <x:v>Codec</x:v>
      </x:c>
      <x:c r="C32" s="17" t="str">
        <x:v>All rounds</x:v>
      </x:c>
      <x:c r="D32" s="17" t="str">
        <x:v>Condition</x:v>
      </x:c>
      <x:c r="E32" s="40" t="n">
        <x:f>COUNTA('CoverageCases'!$D$1949:$D$1966,'CoverageCases'!$D$2803:$D$2820)</x:f>
        <x:v>36</x:v>
      </x:c>
      <x:c r="F32" s="40" t="n">
        <x:f>COUNT('CoverageCases'!$O$1949:$O$1966,'CoverageCases'!$O$2803:$O$2820)</x:f>
        <x:v>19</x:v>
      </x:c>
      <x:c r="G32" s="40" t="n">
        <x:f>COUNTIF('CoverageCases'!$G$1949:$G$1966,"A")+COUNTIF('CoverageCases'!$G$2803:$G$2820,"A")</x:f>
        <x:v>17</x:v>
      </x:c>
      <x:c r="H32" s="40" t="n">
        <x:f>COUNTIF('CoverageCases'!$G$1949:$G$1966,"B")+COUNTIF('CoverageCases'!$G$2803:$G$2820,"B")</x:f>
        <x:v>0</x:v>
      </x:c>
      <x:c r="I32" s="40" t="n">
        <x:f>COUNTIF('CoverageCases'!$G$1949:$G$1966,"UNRESOLVED")+COUNTIF('CoverageCases'!$G$2803:$G$2820,"UNRESOLVED")</x:f>
        <x:v>0</x:v>
      </x:c>
      <x:c r="J32" s="32" t="n">
        <x:f>IF(F32=0,"—",(SUM('CoverageCases'!$O$1949:$O$1966,'CoverageCases'!$O$2803:$O$2820))/F32/100)</x:f>
        <x:v>0.8011421052631579</x:v>
      </x:c>
      <x:c r="K32" s="32" t="n">
        <x:f>IF(I32&gt;0,"Pending",IF(E32-H32=0,"—",(SUM('CoverageCases'!$O$1949:$O$1966,'CoverageCases'!$O$2803:$O$2820))/(E32-H32)/100))</x:f>
        <x:v>0.422825</x:v>
      </x:c>
      <x:c r="L32" s="32" t="n">
        <x:f>IF(I32&gt;0,"Pending",IF(E32=0,"—",(E32-G32)/E32))</x:f>
        <x:v>0.5277777777777778</x:v>
      </x:c>
      <x:c r="M32" s="40" t="n">
        <x:f>IF(I32&gt;0,"Pending",E32-H32)</x:f>
        <x:v>36</x:v>
      </x:c>
    </x:row>
    <x:row r="33" ht="23" customHeight="1">
      <x:c r="B33" s="17" t="str">
        <x:v>Codec</x:v>
      </x:c>
      <x:c r="C33" s="17" t="str">
        <x:v>Round1</x:v>
      </x:c>
      <x:c r="D33" s="17" t="str">
        <x:v>Line</x:v>
      </x:c>
      <x:c r="E33" s="40" t="n">
        <x:f>COUNTA('CoverageCases'!$D$241:$D$258)</x:f>
        <x:v>18</x:v>
      </x:c>
      <x:c r="F33" s="40" t="n">
        <x:f>COUNT('CoverageCases'!$O$241:$O$258)</x:f>
        <x:v>5</x:v>
      </x:c>
      <x:c r="G33" s="40" t="n">
        <x:f>COUNTIF('CoverageCases'!$G$241:$G$258,"A")</x:f>
        <x:v>13</x:v>
      </x:c>
      <x:c r="H33" s="40" t="n">
        <x:f>COUNTIF('CoverageCases'!$G$241:$G$258,"B")</x:f>
        <x:v>0</x:v>
      </x:c>
      <x:c r="I33" s="40" t="n">
        <x:f>COUNTIF('CoverageCases'!$G$241:$G$258,"UNRESOLVED")</x:f>
        <x:v>0</x:v>
      </x:c>
      <x:c r="J33" s="32" t="n">
        <x:f>IF(F33=0,"—",(SUM('CoverageCases'!$O$241:$O$258))/F33/100)</x:f>
        <x:v>0.88166</x:v>
      </x:c>
      <x:c r="K33" s="32" t="n">
        <x:f>IF(I33&gt;0,"Pending",IF(E33-H33=0,"—",(SUM('CoverageCases'!$O$241:$O$258))/(E33-H33)/100))</x:f>
        <x:v>0.24490555555555557</x:v>
      </x:c>
      <x:c r="L33" s="32" t="n">
        <x:f>IF(I33&gt;0,"Pending",IF(E33=0,"—",(E33-G33)/E33))</x:f>
        <x:v>0.2777777777777778</x:v>
      </x:c>
      <x:c r="M33" s="40" t="n">
        <x:f>IF(I33&gt;0,"Pending",E33-H33)</x:f>
        <x:v>18</x:v>
      </x:c>
    </x:row>
    <x:row r="34" ht="23" customHeight="1">
      <x:c r="B34" s="17" t="str">
        <x:v>Codec</x:v>
      </x:c>
      <x:c r="C34" s="17" t="str">
        <x:v>Round1</x:v>
      </x:c>
      <x:c r="D34" s="17" t="str">
        <x:v>Condition</x:v>
      </x:c>
      <x:c r="E34" s="40" t="n">
        <x:f>COUNTA('CoverageCases'!$D$1949:$D$1966)</x:f>
        <x:v>18</x:v>
      </x:c>
      <x:c r="F34" s="40" t="n">
        <x:f>COUNT('CoverageCases'!$O$1949:$O$1966)</x:f>
        <x:v>5</x:v>
      </x:c>
      <x:c r="G34" s="40" t="n">
        <x:f>COUNTIF('CoverageCases'!$G$1949:$G$1966,"A")</x:f>
        <x:v>13</x:v>
      </x:c>
      <x:c r="H34" s="40" t="n">
        <x:f>COUNTIF('CoverageCases'!$G$1949:$G$1966,"B")</x:f>
        <x:v>0</x:v>
      </x:c>
      <x:c r="I34" s="40" t="n">
        <x:f>COUNTIF('CoverageCases'!$G$1949:$G$1966,"UNRESOLVED")</x:f>
        <x:v>0</x:v>
      </x:c>
      <x:c r="J34" s="32" t="n">
        <x:f>IF(F34=0,"—",(SUM('CoverageCases'!$O$1949:$O$1966))/F34/100)</x:f>
        <x:v>0.75732</x:v>
      </x:c>
      <x:c r="K34" s="32" t="n">
        <x:f>IF(I34&gt;0,"Pending",IF(E34-H34=0,"—",(SUM('CoverageCases'!$O$1949:$O$1966))/(E34-H34)/100))</x:f>
        <x:v>0.21036666666666665</x:v>
      </x:c>
      <x:c r="L34" s="32" t="n">
        <x:f>IF(I34&gt;0,"Pending",IF(E34=0,"—",(E34-G34)/E34))</x:f>
        <x:v>0.2777777777777778</x:v>
      </x:c>
      <x:c r="M34" s="40" t="n">
        <x:f>IF(I34&gt;0,"Pending",E34-H34)</x:f>
        <x:v>18</x:v>
      </x:c>
    </x:row>
    <x:row r="35" ht="23" customHeight="1">
      <x:c r="B35" s="17" t="str">
        <x:v>Codec</x:v>
      </x:c>
      <x:c r="C35" s="17" t="str">
        <x:v>Round2</x:v>
      </x:c>
      <x:c r="D35" s="17" t="str">
        <x:v>Line</x:v>
      </x:c>
      <x:c r="E35" s="40" t="n">
        <x:f>COUNTA('CoverageCases'!$D$1095:$D$1112)</x:f>
        <x:v>18</x:v>
      </x:c>
      <x:c r="F35" s="40" t="n">
        <x:f>COUNT('CoverageCases'!$O$1095:$O$1112)</x:f>
        <x:v>14</x:v>
      </x:c>
      <x:c r="G35" s="40" t="n">
        <x:f>COUNTIF('CoverageCases'!$G$1095:$G$1112,"A")</x:f>
        <x:v>4</x:v>
      </x:c>
      <x:c r="H35" s="40" t="n">
        <x:f>COUNTIF('CoverageCases'!$G$1095:$G$1112,"B")</x:f>
        <x:v>0</x:v>
      </x:c>
      <x:c r="I35" s="40" t="n">
        <x:f>COUNTIF('CoverageCases'!$G$1095:$G$1112,"UNRESOLVED")</x:f>
        <x:v>0</x:v>
      </x:c>
      <x:c r="J35" s="32" t="n">
        <x:f>IF(F35=0,"—",(SUM('CoverageCases'!$O$1095:$O$1112))/F35/100)</x:f>
        <x:v>0.9058285714285713</x:v>
      </x:c>
      <x:c r="K35" s="32" t="n">
        <x:f>IF(I35&gt;0,"Pending",IF(E35-H35=0,"—",(SUM('CoverageCases'!$O$1095:$O$1112))/(E35-H35)/100))</x:f>
        <x:v>0.7045333333333332</x:v>
      </x:c>
      <x:c r="L35" s="32" t="n">
        <x:f>IF(I35&gt;0,"Pending",IF(E35=0,"—",(E35-G35)/E35))</x:f>
        <x:v>0.7777777777777778</x:v>
      </x:c>
      <x:c r="M35" s="40" t="n">
        <x:f>IF(I35&gt;0,"Pending",E35-H35)</x:f>
        <x:v>18</x:v>
      </x:c>
    </x:row>
    <x:row r="36" ht="23" customHeight="1">
      <x:c r="B36" s="17" t="str">
        <x:v>Codec</x:v>
      </x:c>
      <x:c r="C36" s="17" t="str">
        <x:v>Round2</x:v>
      </x:c>
      <x:c r="D36" s="17" t="str">
        <x:v>Condition</x:v>
      </x:c>
      <x:c r="E36" s="40" t="n">
        <x:f>COUNTA('CoverageCases'!$D$2803:$D$2820)</x:f>
        <x:v>18</x:v>
      </x:c>
      <x:c r="F36" s="40" t="n">
        <x:f>COUNT('CoverageCases'!$O$2803:$O$2820)</x:f>
        <x:v>14</x:v>
      </x:c>
      <x:c r="G36" s="40" t="n">
        <x:f>COUNTIF('CoverageCases'!$G$2803:$G$2820,"A")</x:f>
        <x:v>4</x:v>
      </x:c>
      <x:c r="H36" s="40" t="n">
        <x:f>COUNTIF('CoverageCases'!$G$2803:$G$2820,"B")</x:f>
        <x:v>0</x:v>
      </x:c>
      <x:c r="I36" s="40" t="n">
        <x:f>COUNTIF('CoverageCases'!$G$2803:$G$2820,"UNRESOLVED")</x:f>
        <x:v>0</x:v>
      </x:c>
      <x:c r="J36" s="32" t="n">
        <x:f>IF(F36=0,"—",(SUM('CoverageCases'!$O$2803:$O$2820))/F36/100)</x:f>
        <x:v>0.8167928571428571</x:v>
      </x:c>
      <x:c r="K36" s="32" t="n">
        <x:f>IF(I36&gt;0,"Pending",IF(E36-H36=0,"—",(SUM('CoverageCases'!$O$2803:$O$2820))/(E36-H36)/100))</x:f>
        <x:v>0.6352833333333333</x:v>
      </x:c>
      <x:c r="L36" s="32" t="n">
        <x:f>IF(I36&gt;0,"Pending",IF(E36=0,"—",(E36-G36)/E36))</x:f>
        <x:v>0.7777777777777778</x:v>
      </x:c>
      <x:c r="M36" s="40" t="n">
        <x:f>IF(I36&gt;0,"Pending",E36-H36)</x:f>
        <x:v>18</x:v>
      </x:c>
    </x:row>
    <x:row r="37" ht="23" customHeight="1">
      <x:c r="B37" s="17" t="str">
        <x:v>Collections</x:v>
      </x:c>
      <x:c r="C37" s="17" t="str">
        <x:v>All rounds</x:v>
      </x:c>
      <x:c r="D37" s="17" t="str">
        <x:v>Line</x:v>
      </x:c>
      <x:c r="E37" s="40" t="n">
        <x:f>COUNTA('CoverageCases'!$D$259:$D$286,'CoverageCases'!$D$1113:$D$1140)</x:f>
        <x:v>56</x:v>
      </x:c>
      <x:c r="F37" s="40" t="n">
        <x:f>COUNT('CoverageCases'!$O$259:$O$286,'CoverageCases'!$O$1113:$O$1140)</x:f>
        <x:v>26</x:v>
      </x:c>
      <x:c r="G37" s="40" t="n">
        <x:f>COUNTIF('CoverageCases'!$G$259:$G$286,"A")+COUNTIF('CoverageCases'!$G$1113:$G$1140,"A")</x:f>
        <x:v>30</x:v>
      </x:c>
      <x:c r="H37" s="40" t="n">
        <x:f>COUNTIF('CoverageCases'!$G$259:$G$286,"B")+COUNTIF('CoverageCases'!$G$1113:$G$1140,"B")</x:f>
        <x:v>0</x:v>
      </x:c>
      <x:c r="I37" s="40" t="n">
        <x:f>COUNTIF('CoverageCases'!$G$259:$G$286,"UNRESOLVED")+COUNTIF('CoverageCases'!$G$1113:$G$1140,"UNRESOLVED")</x:f>
        <x:v>0</x:v>
      </x:c>
      <x:c r="J37" s="32" t="n">
        <x:f>IF(F37=0,"—",(SUM('CoverageCases'!$O$259:$O$286,'CoverageCases'!$O$1113:$O$1140))/F37/100)</x:f>
        <x:v>0.8528115384615385</x:v>
      </x:c>
      <x:c r="K37" s="32" t="n">
        <x:f>IF(I37&gt;0,"Pending",IF(E37-H37=0,"—",(SUM('CoverageCases'!$O$259:$O$286,'CoverageCases'!$O$1113:$O$1140))/(E37-H37)/100))</x:f>
        <x:v>0.3959482142857143</x:v>
      </x:c>
      <x:c r="L37" s="32" t="n">
        <x:f>IF(I37&gt;0,"Pending",IF(E37=0,"—",(E37-G37)/E37))</x:f>
        <x:v>0.4642857142857143</x:v>
      </x:c>
      <x:c r="M37" s="40" t="n">
        <x:f>IF(I37&gt;0,"Pending",E37-H37)</x:f>
        <x:v>56</x:v>
      </x:c>
    </x:row>
    <x:row r="38" ht="23" customHeight="1">
      <x:c r="B38" s="17" t="str">
        <x:v>Collections</x:v>
      </x:c>
      <x:c r="C38" s="17" t="str">
        <x:v>All rounds</x:v>
      </x:c>
      <x:c r="D38" s="17" t="str">
        <x:v>Condition</x:v>
      </x:c>
      <x:c r="E38" s="40" t="n">
        <x:f>COUNTA('CoverageCases'!$D$1967:$D$1994,'CoverageCases'!$D$2821:$D$2848)</x:f>
        <x:v>56</x:v>
      </x:c>
      <x:c r="F38" s="40" t="n">
        <x:f>COUNT('CoverageCases'!$O$1967:$O$1994,'CoverageCases'!$O$2821:$O$2848)</x:f>
        <x:v>26</x:v>
      </x:c>
      <x:c r="G38" s="40" t="n">
        <x:f>COUNTIF('CoverageCases'!$G$1967:$G$1994,"A")+COUNTIF('CoverageCases'!$G$2821:$G$2848,"A")</x:f>
        <x:v>30</x:v>
      </x:c>
      <x:c r="H38" s="40" t="n">
        <x:f>COUNTIF('CoverageCases'!$G$1967:$G$1994,"B")+COUNTIF('CoverageCases'!$G$2821:$G$2848,"B")</x:f>
        <x:v>0</x:v>
      </x:c>
      <x:c r="I38" s="40" t="n">
        <x:f>COUNTIF('CoverageCases'!$G$1967:$G$1994,"UNRESOLVED")+COUNTIF('CoverageCases'!$G$2821:$G$2848,"UNRESOLVED")</x:f>
        <x:v>0</x:v>
      </x:c>
      <x:c r="J38" s="32" t="n">
        <x:f>IF(F38=0,"—",(SUM('CoverageCases'!$O$1967:$O$1994,'CoverageCases'!$O$2821:$O$2848))/F38/100)</x:f>
        <x:v>0.8462423076923077</x:v>
      </x:c>
      <x:c r="K38" s="32" t="n">
        <x:f>IF(I38&gt;0,"Pending",IF(E38-H38=0,"—",(SUM('CoverageCases'!$O$1967:$O$1994,'CoverageCases'!$O$2821:$O$2848))/(E38-H38)/100))</x:f>
        <x:v>0.3928982142857143</x:v>
      </x:c>
      <x:c r="L38" s="32" t="n">
        <x:f>IF(I38&gt;0,"Pending",IF(E38=0,"—",(E38-G38)/E38))</x:f>
        <x:v>0.4642857142857143</x:v>
      </x:c>
      <x:c r="M38" s="40" t="n">
        <x:f>IF(I38&gt;0,"Pending",E38-H38)</x:f>
        <x:v>56</x:v>
      </x:c>
    </x:row>
    <x:row r="39" ht="23" customHeight="1">
      <x:c r="B39" s="17" t="str">
        <x:v>Collections</x:v>
      </x:c>
      <x:c r="C39" s="17" t="str">
        <x:v>Round1</x:v>
      </x:c>
      <x:c r="D39" s="17" t="str">
        <x:v>Line</x:v>
      </x:c>
      <x:c r="E39" s="40" t="n">
        <x:f>COUNTA('CoverageCases'!$D$259:$D$286)</x:f>
        <x:v>28</x:v>
      </x:c>
      <x:c r="F39" s="40" t="n">
        <x:f>COUNT('CoverageCases'!$O$259:$O$286)</x:f>
        <x:v>9</x:v>
      </x:c>
      <x:c r="G39" s="40" t="n">
        <x:f>COUNTIF('CoverageCases'!$G$259:$G$286,"A")</x:f>
        <x:v>19</x:v>
      </x:c>
      <x:c r="H39" s="40" t="n">
        <x:f>COUNTIF('CoverageCases'!$G$259:$G$286,"B")</x:f>
        <x:v>0</x:v>
      </x:c>
      <x:c r="I39" s="40" t="n">
        <x:f>COUNTIF('CoverageCases'!$G$259:$G$286,"UNRESOLVED")</x:f>
        <x:v>0</x:v>
      </x:c>
      <x:c r="J39" s="32" t="n">
        <x:f>IF(F39=0,"—",(SUM('CoverageCases'!$O$259:$O$286))/F39/100)</x:f>
        <x:v>0.8833999999999999</x:v>
      </x:c>
      <x:c r="K39" s="32" t="n">
        <x:f>IF(I39&gt;0,"Pending",IF(E39-H39=0,"—",(SUM('CoverageCases'!$O$259:$O$286))/(E39-H39)/100))</x:f>
        <x:v>0.28395</x:v>
      </x:c>
      <x:c r="L39" s="32" t="n">
        <x:f>IF(I39&gt;0,"Pending",IF(E39=0,"—",(E39-G39)/E39))</x:f>
        <x:v>0.32142857142857145</x:v>
      </x:c>
      <x:c r="M39" s="40" t="n">
        <x:f>IF(I39&gt;0,"Pending",E39-H39)</x:f>
        <x:v>28</x:v>
      </x:c>
    </x:row>
    <x:row r="40" ht="23" customHeight="1">
      <x:c r="B40" s="17" t="str">
        <x:v>Collections</x:v>
      </x:c>
      <x:c r="C40" s="17" t="str">
        <x:v>Round1</x:v>
      </x:c>
      <x:c r="D40" s="17" t="str">
        <x:v>Condition</x:v>
      </x:c>
      <x:c r="E40" s="40" t="n">
        <x:f>COUNTA('CoverageCases'!$D$1967:$D$1994)</x:f>
        <x:v>28</x:v>
      </x:c>
      <x:c r="F40" s="40" t="n">
        <x:f>COUNT('CoverageCases'!$O$1967:$O$1994)</x:f>
        <x:v>9</x:v>
      </x:c>
      <x:c r="G40" s="40" t="n">
        <x:f>COUNTIF('CoverageCases'!$G$1967:$G$1994,"A")</x:f>
        <x:v>19</x:v>
      </x:c>
      <x:c r="H40" s="40" t="n">
        <x:f>COUNTIF('CoverageCases'!$G$1967:$G$1994,"B")</x:f>
        <x:v>0</x:v>
      </x:c>
      <x:c r="I40" s="40" t="n">
        <x:f>COUNTIF('CoverageCases'!$G$1967:$G$1994,"UNRESOLVED")</x:f>
        <x:v>0</x:v>
      </x:c>
      <x:c r="J40" s="32" t="n">
        <x:f>IF(F40=0,"—",(SUM('CoverageCases'!$O$1967:$O$1994))/F40/100)</x:f>
        <x:v>0.8613666666666667</x:v>
      </x:c>
      <x:c r="K40" s="32" t="n">
        <x:f>IF(I40&gt;0,"Pending",IF(E40-H40=0,"—",(SUM('CoverageCases'!$O$1967:$O$1994))/(E40-H40)/100))</x:f>
        <x:v>0.27686785714285717</x:v>
      </x:c>
      <x:c r="L40" s="32" t="n">
        <x:f>IF(I40&gt;0,"Pending",IF(E40=0,"—",(E40-G40)/E40))</x:f>
        <x:v>0.32142857142857145</x:v>
      </x:c>
      <x:c r="M40" s="40" t="n">
        <x:f>IF(I40&gt;0,"Pending",E40-H40)</x:f>
        <x:v>28</x:v>
      </x:c>
    </x:row>
    <x:row r="41" ht="23" customHeight="1">
      <x:c r="B41" s="17" t="str">
        <x:v>Collections</x:v>
      </x:c>
      <x:c r="C41" s="17" t="str">
        <x:v>Round2</x:v>
      </x:c>
      <x:c r="D41" s="17" t="str">
        <x:v>Line</x:v>
      </x:c>
      <x:c r="E41" s="40" t="n">
        <x:f>COUNTA('CoverageCases'!$D$1113:$D$1140)</x:f>
        <x:v>28</x:v>
      </x:c>
      <x:c r="F41" s="40" t="n">
        <x:f>COUNT('CoverageCases'!$O$1113:$O$1140)</x:f>
        <x:v>17</x:v>
      </x:c>
      <x:c r="G41" s="40" t="n">
        <x:f>COUNTIF('CoverageCases'!$G$1113:$G$1140,"A")</x:f>
        <x:v>11</x:v>
      </x:c>
      <x:c r="H41" s="40" t="n">
        <x:f>COUNTIF('CoverageCases'!$G$1113:$G$1140,"B")</x:f>
        <x:v>0</x:v>
      </x:c>
      <x:c r="I41" s="40" t="n">
        <x:f>COUNTIF('CoverageCases'!$G$1113:$G$1140,"UNRESOLVED")</x:f>
        <x:v>0</x:v>
      </x:c>
      <x:c r="J41" s="32" t="n">
        <x:f>IF(F41=0,"—",(SUM('CoverageCases'!$O$1113:$O$1140))/F41/100)</x:f>
        <x:v>0.8366176470588235</x:v>
      </x:c>
      <x:c r="K41" s="32" t="n">
        <x:f>IF(I41&gt;0,"Pending",IF(E41-H41=0,"—",(SUM('CoverageCases'!$O$1113:$O$1140))/(E41-H41)/100))</x:f>
        <x:v>0.5079464285714286</x:v>
      </x:c>
      <x:c r="L41" s="32" t="n">
        <x:f>IF(I41&gt;0,"Pending",IF(E41=0,"—",(E41-G41)/E41))</x:f>
        <x:v>0.6071428571428571</x:v>
      </x:c>
      <x:c r="M41" s="40" t="n">
        <x:f>IF(I41&gt;0,"Pending",E41-H41)</x:f>
        <x:v>28</x:v>
      </x:c>
    </x:row>
    <x:row r="42" ht="23" customHeight="1">
      <x:c r="B42" s="17" t="str">
        <x:v>Collections</x:v>
      </x:c>
      <x:c r="C42" s="17" t="str">
        <x:v>Round2</x:v>
      </x:c>
      <x:c r="D42" s="17" t="str">
        <x:v>Condition</x:v>
      </x:c>
      <x:c r="E42" s="40" t="n">
        <x:f>COUNTA('CoverageCases'!$D$2821:$D$2848)</x:f>
        <x:v>28</x:v>
      </x:c>
      <x:c r="F42" s="40" t="n">
        <x:f>COUNT('CoverageCases'!$O$2821:$O$2848)</x:f>
        <x:v>17</x:v>
      </x:c>
      <x:c r="G42" s="40" t="n">
        <x:f>COUNTIF('CoverageCases'!$G$2821:$G$2848,"A")</x:f>
        <x:v>11</x:v>
      </x:c>
      <x:c r="H42" s="40" t="n">
        <x:f>COUNTIF('CoverageCases'!$G$2821:$G$2848,"B")</x:f>
        <x:v>0</x:v>
      </x:c>
      <x:c r="I42" s="40" t="n">
        <x:f>COUNTIF('CoverageCases'!$G$2821:$G$2848,"UNRESOLVED")</x:f>
        <x:v>0</x:v>
      </x:c>
      <x:c r="J42" s="32" t="n">
        <x:f>IF(F42=0,"—",(SUM('CoverageCases'!$O$2821:$O$2848))/F42/100)</x:f>
        <x:v>0.8382352941176471</x:v>
      </x:c>
      <x:c r="K42" s="32" t="n">
        <x:f>IF(I42&gt;0,"Pending",IF(E42-H42=0,"—",(SUM('CoverageCases'!$O$2821:$O$2848))/(E42-H42)/100))</x:f>
        <x:v>0.5089285714285715</x:v>
      </x:c>
      <x:c r="L42" s="32" t="n">
        <x:f>IF(I42&gt;0,"Pending",IF(E42=0,"—",(E42-G42)/E42))</x:f>
        <x:v>0.6071428571428571</x:v>
      </x:c>
      <x:c r="M42" s="40" t="n">
        <x:f>IF(I42&gt;0,"Pending",E42-H42)</x:f>
        <x:v>28</x:v>
      </x:c>
    </x:row>
    <x:row r="43" ht="23" customHeight="1">
      <x:c r="B43" s="17" t="str">
        <x:v>Compress</x:v>
      </x:c>
      <x:c r="C43" s="17" t="str">
        <x:v>All rounds</x:v>
      </x:c>
      <x:c r="D43" s="17" t="str">
        <x:v>Line</x:v>
      </x:c>
      <x:c r="E43" s="40" t="n">
        <x:f>COUNTA('CoverageCases'!$D$287:$D$333,'CoverageCases'!$D$1141:$D$1187)</x:f>
        <x:v>94</x:v>
      </x:c>
      <x:c r="F43" s="40" t="n">
        <x:f>COUNT('CoverageCases'!$O$287:$O$333,'CoverageCases'!$O$1141:$O$1187)</x:f>
        <x:v>41</x:v>
      </x:c>
      <x:c r="G43" s="40" t="n">
        <x:f>COUNTIF('CoverageCases'!$G$287:$G$333,"A")+COUNTIF('CoverageCases'!$G$1141:$G$1187,"A")</x:f>
        <x:v>53</x:v>
      </x:c>
      <x:c r="H43" s="40" t="n">
        <x:f>COUNTIF('CoverageCases'!$G$287:$G$333,"B")+COUNTIF('CoverageCases'!$G$1141:$G$1187,"B")</x:f>
        <x:v>0</x:v>
      </x:c>
      <x:c r="I43" s="40" t="n">
        <x:f>COUNTIF('CoverageCases'!$G$287:$G$333,"UNRESOLVED")+COUNTIF('CoverageCases'!$G$1141:$G$1187,"UNRESOLVED")</x:f>
        <x:v>0</x:v>
      </x:c>
      <x:c r="J43" s="32" t="n">
        <x:f>IF(F43=0,"—",(SUM('CoverageCases'!$O$287:$O$333,'CoverageCases'!$O$1141:$O$1187))/F43/100)</x:f>
        <x:v>0.671151219512195</x:v>
      </x:c>
      <x:c r="K43" s="32" t="n">
        <x:f>IF(I43&gt;0,"Pending",IF(E43-H43=0,"—",(SUM('CoverageCases'!$O$287:$O$333,'CoverageCases'!$O$1141:$O$1187))/(E43-H43)/100))</x:f>
        <x:v>0.29273617021276593</x:v>
      </x:c>
      <x:c r="L43" s="32" t="n">
        <x:f>IF(I43&gt;0,"Pending",IF(E43=0,"—",(E43-G43)/E43))</x:f>
        <x:v>0.43617021276595747</x:v>
      </x:c>
      <x:c r="M43" s="40" t="n">
        <x:f>IF(I43&gt;0,"Pending",E43-H43)</x:f>
        <x:v>94</x:v>
      </x:c>
    </x:row>
    <x:row r="44" ht="23" customHeight="1">
      <x:c r="B44" s="17" t="str">
        <x:v>Compress</x:v>
      </x:c>
      <x:c r="C44" s="17" t="str">
        <x:v>All rounds</x:v>
      </x:c>
      <x:c r="D44" s="17" t="str">
        <x:v>Condition</x:v>
      </x:c>
      <x:c r="E44" s="40" t="n">
        <x:f>COUNTA('CoverageCases'!$D$1995:$D$2041,'CoverageCases'!$D$2849:$D$2895)</x:f>
        <x:v>94</x:v>
      </x:c>
      <x:c r="F44" s="40" t="n">
        <x:f>COUNT('CoverageCases'!$O$1995:$O$2041,'CoverageCases'!$O$2849:$O$2895)</x:f>
        <x:v>41</x:v>
      </x:c>
      <x:c r="G44" s="40" t="n">
        <x:f>COUNTIF('CoverageCases'!$G$1995:$G$2041,"A")+COUNTIF('CoverageCases'!$G$2849:$G$2895,"A")</x:f>
        <x:v>53</x:v>
      </x:c>
      <x:c r="H44" s="40" t="n">
        <x:f>COUNTIF('CoverageCases'!$G$1995:$G$2041,"B")+COUNTIF('CoverageCases'!$G$2849:$G$2895,"B")</x:f>
        <x:v>0</x:v>
      </x:c>
      <x:c r="I44" s="40" t="n">
        <x:f>COUNTIF('CoverageCases'!$G$1995:$G$2041,"UNRESOLVED")+COUNTIF('CoverageCases'!$G$2849:$G$2895,"UNRESOLVED")</x:f>
        <x:v>0</x:v>
      </x:c>
      <x:c r="J44" s="32" t="n">
        <x:f>IF(F44=0,"—",(SUM('CoverageCases'!$O$1995:$O$2041,'CoverageCases'!$O$2849:$O$2895))/F44/100)</x:f>
        <x:v>0.6053195121951218</x:v>
      </x:c>
      <x:c r="K44" s="32" t="n">
        <x:f>IF(I44&gt;0,"Pending",IF(E44-H44=0,"—",(SUM('CoverageCases'!$O$1995:$O$2041,'CoverageCases'!$O$2849:$O$2895))/(E44-H44)/100))</x:f>
        <x:v>0.26402234042553185</x:v>
      </x:c>
      <x:c r="L44" s="32" t="n">
        <x:f>IF(I44&gt;0,"Pending",IF(E44=0,"—",(E44-G44)/E44))</x:f>
        <x:v>0.43617021276595747</x:v>
      </x:c>
      <x:c r="M44" s="40" t="n">
        <x:f>IF(I44&gt;0,"Pending",E44-H44)</x:f>
        <x:v>94</x:v>
      </x:c>
    </x:row>
    <x:row r="45" ht="23" customHeight="1">
      <x:c r="B45" s="17" t="str">
        <x:v>Compress</x:v>
      </x:c>
      <x:c r="C45" s="17" t="str">
        <x:v>Round1</x:v>
      </x:c>
      <x:c r="D45" s="17" t="str">
        <x:v>Line</x:v>
      </x:c>
      <x:c r="E45" s="40" t="n">
        <x:f>COUNTA('CoverageCases'!$D$287:$D$333)</x:f>
        <x:v>47</x:v>
      </x:c>
      <x:c r="F45" s="40" t="n">
        <x:f>COUNT('CoverageCases'!$O$287:$O$333)</x:f>
        <x:v>13</x:v>
      </x:c>
      <x:c r="G45" s="40" t="n">
        <x:f>COUNTIF('CoverageCases'!$G$287:$G$333,"A")</x:f>
        <x:v>34</x:v>
      </x:c>
      <x:c r="H45" s="40" t="n">
        <x:f>COUNTIF('CoverageCases'!$G$287:$G$333,"B")</x:f>
        <x:v>0</x:v>
      </x:c>
      <x:c r="I45" s="40" t="n">
        <x:f>COUNTIF('CoverageCases'!$G$287:$G$333,"UNRESOLVED")</x:f>
        <x:v>0</x:v>
      </x:c>
      <x:c r="J45" s="32" t="n">
        <x:f>IF(F45=0,"—",(SUM('CoverageCases'!$O$287:$O$333))/F45/100)</x:f>
        <x:v>0.5776769230769231</x:v>
      </x:c>
      <x:c r="K45" s="32" t="n">
        <x:f>IF(I45&gt;0,"Pending",IF(E45-H45=0,"—",(SUM('CoverageCases'!$O$287:$O$333))/(E45-H45)/100))</x:f>
        <x:v>0.15978297872340425</x:v>
      </x:c>
      <x:c r="L45" s="32" t="n">
        <x:f>IF(I45&gt;0,"Pending",IF(E45=0,"—",(E45-G45)/E45))</x:f>
        <x:v>0.2765957446808511</x:v>
      </x:c>
      <x:c r="M45" s="40" t="n">
        <x:f>IF(I45&gt;0,"Pending",E45-H45)</x:f>
        <x:v>47</x:v>
      </x:c>
    </x:row>
    <x:row r="46" ht="23" customHeight="1">
      <x:c r="B46" s="17" t="str">
        <x:v>Compress</x:v>
      </x:c>
      <x:c r="C46" s="17" t="str">
        <x:v>Round1</x:v>
      </x:c>
      <x:c r="D46" s="17" t="str">
        <x:v>Condition</x:v>
      </x:c>
      <x:c r="E46" s="40" t="n">
        <x:f>COUNTA('CoverageCases'!$D$1995:$D$2041)</x:f>
        <x:v>47</x:v>
      </x:c>
      <x:c r="F46" s="40" t="n">
        <x:f>COUNT('CoverageCases'!$O$1995:$O$2041)</x:f>
        <x:v>13</x:v>
      </x:c>
      <x:c r="G46" s="40" t="n">
        <x:f>COUNTIF('CoverageCases'!$G$1995:$G$2041,"A")</x:f>
        <x:v>34</x:v>
      </x:c>
      <x:c r="H46" s="40" t="n">
        <x:f>COUNTIF('CoverageCases'!$G$1995:$G$2041,"B")</x:f>
        <x:v>0</x:v>
      </x:c>
      <x:c r="I46" s="40" t="n">
        <x:f>COUNTIF('CoverageCases'!$G$1995:$G$2041,"UNRESOLVED")</x:f>
        <x:v>0</x:v>
      </x:c>
      <x:c r="J46" s="32" t="n">
        <x:f>IF(F46=0,"—",(SUM('CoverageCases'!$O$1995:$O$2041))/F46/100)</x:f>
        <x:v>0.5241</x:v>
      </x:c>
      <x:c r="K46" s="32" t="n">
        <x:f>IF(I46&gt;0,"Pending",IF(E46-H46=0,"—",(SUM('CoverageCases'!$O$1995:$O$2041))/(E46-H46)/100))</x:f>
        <x:v>0.14496382978723404</x:v>
      </x:c>
      <x:c r="L46" s="32" t="n">
        <x:f>IF(I46&gt;0,"Pending",IF(E46=0,"—",(E46-G46)/E46))</x:f>
        <x:v>0.2765957446808511</x:v>
      </x:c>
      <x:c r="M46" s="40" t="n">
        <x:f>IF(I46&gt;0,"Pending",E46-H46)</x:f>
        <x:v>47</x:v>
      </x:c>
    </x:row>
    <x:row r="47" ht="23" customHeight="1">
      <x:c r="B47" s="17" t="str">
        <x:v>Compress</x:v>
      </x:c>
      <x:c r="C47" s="17" t="str">
        <x:v>Round2</x:v>
      </x:c>
      <x:c r="D47" s="17" t="str">
        <x:v>Line</x:v>
      </x:c>
      <x:c r="E47" s="40" t="n">
        <x:f>COUNTA('CoverageCases'!$D$1141:$D$1187)</x:f>
        <x:v>47</x:v>
      </x:c>
      <x:c r="F47" s="40" t="n">
        <x:f>COUNT('CoverageCases'!$O$1141:$O$1187)</x:f>
        <x:v>28</x:v>
      </x:c>
      <x:c r="G47" s="40" t="n">
        <x:f>COUNTIF('CoverageCases'!$G$1141:$G$1187,"A")</x:f>
        <x:v>19</x:v>
      </x:c>
      <x:c r="H47" s="40" t="n">
        <x:f>COUNTIF('CoverageCases'!$G$1141:$G$1187,"B")</x:f>
        <x:v>0</x:v>
      </x:c>
      <x:c r="I47" s="40" t="n">
        <x:f>COUNTIF('CoverageCases'!$G$1141:$G$1187,"UNRESOLVED")</x:f>
        <x:v>0</x:v>
      </x:c>
      <x:c r="J47" s="32" t="n">
        <x:f>IF(F47=0,"—",(SUM('CoverageCases'!$O$1141:$O$1187))/F47/100)</x:f>
        <x:v>0.71455</x:v>
      </x:c>
      <x:c r="K47" s="32" t="n">
        <x:f>IF(I47&gt;0,"Pending",IF(E47-H47=0,"—",(SUM('CoverageCases'!$O$1141:$O$1187))/(E47-H47)/100))</x:f>
        <x:v>0.42568936170212757</x:v>
      </x:c>
      <x:c r="L47" s="32" t="n">
        <x:f>IF(I47&gt;0,"Pending",IF(E47=0,"—",(E47-G47)/E47))</x:f>
        <x:v>0.5957446808510638</x:v>
      </x:c>
      <x:c r="M47" s="40" t="n">
        <x:f>IF(I47&gt;0,"Pending",E47-H47)</x:f>
        <x:v>47</x:v>
      </x:c>
    </x:row>
    <x:row r="48" ht="23" customHeight="1">
      <x:c r="B48" s="17" t="str">
        <x:v>Compress</x:v>
      </x:c>
      <x:c r="C48" s="17" t="str">
        <x:v>Round2</x:v>
      </x:c>
      <x:c r="D48" s="17" t="str">
        <x:v>Condition</x:v>
      </x:c>
      <x:c r="E48" s="40" t="n">
        <x:f>COUNTA('CoverageCases'!$D$2849:$D$2895)</x:f>
        <x:v>47</x:v>
      </x:c>
      <x:c r="F48" s="40" t="n">
        <x:f>COUNT('CoverageCases'!$O$2849:$O$2895)</x:f>
        <x:v>28</x:v>
      </x:c>
      <x:c r="G48" s="40" t="n">
        <x:f>COUNTIF('CoverageCases'!$G$2849:$G$2895,"A")</x:f>
        <x:v>19</x:v>
      </x:c>
      <x:c r="H48" s="40" t="n">
        <x:f>COUNTIF('CoverageCases'!$G$2849:$G$2895,"B")</x:f>
        <x:v>0</x:v>
      </x:c>
      <x:c r="I48" s="40" t="n">
        <x:f>COUNTIF('CoverageCases'!$G$2849:$G$2895,"UNRESOLVED")</x:f>
        <x:v>0</x:v>
      </x:c>
      <x:c r="J48" s="32" t="n">
        <x:f>IF(F48=0,"—",(SUM('CoverageCases'!$O$2849:$O$2895))/F48/100)</x:f>
        <x:v>0.6430285714285712</x:v>
      </x:c>
      <x:c r="K48" s="32" t="n">
        <x:f>IF(I48&gt;0,"Pending",IF(E48-H48=0,"—",(SUM('CoverageCases'!$O$2849:$O$2895))/(E48-H48)/100))</x:f>
        <x:v>0.38308085106382966</x:v>
      </x:c>
      <x:c r="L48" s="32" t="n">
        <x:f>IF(I48&gt;0,"Pending",IF(E48=0,"—",(E48-G48)/E48))</x:f>
        <x:v>0.5957446808510638</x:v>
      </x:c>
      <x:c r="M48" s="40" t="n">
        <x:f>IF(I48&gt;0,"Pending",E48-H48)</x:f>
        <x:v>47</x:v>
      </x:c>
    </x:row>
    <x:row r="49" ht="23" customHeight="1">
      <x:c r="B49" s="17" t="str">
        <x:v>Csv</x:v>
      </x:c>
      <x:c r="C49" s="17" t="str">
        <x:v>All rounds</x:v>
      </x:c>
      <x:c r="D49" s="17" t="str">
        <x:v>Line</x:v>
      </x:c>
      <x:c r="E49" s="40" t="n">
        <x:f>COUNTA('CoverageCases'!$D$334:$D$349,'CoverageCases'!$D$1188:$D$1203)</x:f>
        <x:v>32</x:v>
      </x:c>
      <x:c r="F49" s="40" t="n">
        <x:f>COUNT('CoverageCases'!$O$334:$O$349,'CoverageCases'!$O$1188:$O$1203)</x:f>
        <x:v>15</x:v>
      </x:c>
      <x:c r="G49" s="40" t="n">
        <x:f>COUNTIF('CoverageCases'!$G$334:$G$349,"A")+COUNTIF('CoverageCases'!$G$1188:$G$1203,"A")</x:f>
        <x:v>17</x:v>
      </x:c>
      <x:c r="H49" s="40" t="n">
        <x:f>COUNTIF('CoverageCases'!$G$334:$G$349,"B")+COUNTIF('CoverageCases'!$G$1188:$G$1203,"B")</x:f>
        <x:v>0</x:v>
      </x:c>
      <x:c r="I49" s="40" t="n">
        <x:f>COUNTIF('CoverageCases'!$G$334:$G$349,"UNRESOLVED")+COUNTIF('CoverageCases'!$G$1188:$G$1203,"UNRESOLVED")</x:f>
        <x:v>0</x:v>
      </x:c>
      <x:c r="J49" s="32" t="n">
        <x:f>IF(F49=0,"—",(SUM('CoverageCases'!$O$334:$O$349,'CoverageCases'!$O$1188:$O$1203))/F49/100)</x:f>
        <x:v>0.8665266666666667</x:v>
      </x:c>
      <x:c r="K49" s="32" t="n">
        <x:f>IF(I49&gt;0,"Pending",IF(E49-H49=0,"—",(SUM('CoverageCases'!$O$334:$O$349,'CoverageCases'!$O$1188:$O$1203))/(E49-H49)/100))</x:f>
        <x:v>0.406184375</x:v>
      </x:c>
      <x:c r="L49" s="32" t="n">
        <x:f>IF(I49&gt;0,"Pending",IF(E49=0,"—",(E49-G49)/E49))</x:f>
        <x:v>0.46875</x:v>
      </x:c>
      <x:c r="M49" s="40" t="n">
        <x:f>IF(I49&gt;0,"Pending",E49-H49)</x:f>
        <x:v>32</x:v>
      </x:c>
    </x:row>
    <x:row r="50" ht="23" customHeight="1">
      <x:c r="B50" s="17" t="str">
        <x:v>Csv</x:v>
      </x:c>
      <x:c r="C50" s="17" t="str">
        <x:v>All rounds</x:v>
      </x:c>
      <x:c r="D50" s="17" t="str">
        <x:v>Condition</x:v>
      </x:c>
      <x:c r="E50" s="40" t="n">
        <x:f>COUNTA('CoverageCases'!$D$2042:$D$2057,'CoverageCases'!$D$2896:$D$2911)</x:f>
        <x:v>32</x:v>
      </x:c>
      <x:c r="F50" s="40" t="n">
        <x:f>COUNT('CoverageCases'!$O$2042:$O$2057,'CoverageCases'!$O$2896:$O$2911)</x:f>
        <x:v>15</x:v>
      </x:c>
      <x:c r="G50" s="40" t="n">
        <x:f>COUNTIF('CoverageCases'!$G$2042:$G$2057,"A")+COUNTIF('CoverageCases'!$G$2896:$G$2911,"A")</x:f>
        <x:v>17</x:v>
      </x:c>
      <x:c r="H50" s="40" t="n">
        <x:f>COUNTIF('CoverageCases'!$G$2042:$G$2057,"B")+COUNTIF('CoverageCases'!$G$2896:$G$2911,"B")</x:f>
        <x:v>0</x:v>
      </x:c>
      <x:c r="I50" s="40" t="n">
        <x:f>COUNTIF('CoverageCases'!$G$2042:$G$2057,"UNRESOLVED")+COUNTIF('CoverageCases'!$G$2896:$G$2911,"UNRESOLVED")</x:f>
        <x:v>0</x:v>
      </x:c>
      <x:c r="J50" s="32" t="n">
        <x:f>IF(F50=0,"—",(SUM('CoverageCases'!$O$2042:$O$2057,'CoverageCases'!$O$2896:$O$2911))/F50/100)</x:f>
        <x:v>0.78688</x:v>
      </x:c>
      <x:c r="K50" s="32" t="n">
        <x:f>IF(I50&gt;0,"Pending",IF(E50-H50=0,"—",(SUM('CoverageCases'!$O$2042:$O$2057,'CoverageCases'!$O$2896:$O$2911))/(E50-H50)/100))</x:f>
        <x:v>0.36884999999999996</x:v>
      </x:c>
      <x:c r="L50" s="32" t="n">
        <x:f>IF(I50&gt;0,"Pending",IF(E50=0,"—",(E50-G50)/E50))</x:f>
        <x:v>0.46875</x:v>
      </x:c>
      <x:c r="M50" s="40" t="n">
        <x:f>IF(I50&gt;0,"Pending",E50-H50)</x:f>
        <x:v>32</x:v>
      </x:c>
    </x:row>
    <x:row r="51" ht="23" customHeight="1">
      <x:c r="B51" s="17" t="str">
        <x:v>Csv</x:v>
      </x:c>
      <x:c r="C51" s="17" t="str">
        <x:v>Round1</x:v>
      </x:c>
      <x:c r="D51" s="17" t="str">
        <x:v>Line</x:v>
      </x:c>
      <x:c r="E51" s="40" t="n">
        <x:f>COUNTA('CoverageCases'!$D$334:$D$349)</x:f>
        <x:v>16</x:v>
      </x:c>
      <x:c r="F51" s="40" t="n">
        <x:f>COUNT('CoverageCases'!$O$334:$O$349)</x:f>
        <x:v>6</x:v>
      </x:c>
      <x:c r="G51" s="40" t="n">
        <x:f>COUNTIF('CoverageCases'!$G$334:$G$349,"A")</x:f>
        <x:v>10</x:v>
      </x:c>
      <x:c r="H51" s="40" t="n">
        <x:f>COUNTIF('CoverageCases'!$G$334:$G$349,"B")</x:f>
        <x:v>0</x:v>
      </x:c>
      <x:c r="I51" s="40" t="n">
        <x:f>COUNTIF('CoverageCases'!$G$334:$G$349,"UNRESOLVED")</x:f>
        <x:v>0</x:v>
      </x:c>
      <x:c r="J51" s="32" t="n">
        <x:f>IF(F51=0,"—",(SUM('CoverageCases'!$O$334:$O$349))/F51/100)</x:f>
        <x:v>0.9004333333333334</x:v>
      </x:c>
      <x:c r="K51" s="32" t="n">
        <x:f>IF(I51&gt;0,"Pending",IF(E51-H51=0,"—",(SUM('CoverageCases'!$O$334:$O$349))/(E51-H51)/100))</x:f>
        <x:v>0.3376625</x:v>
      </x:c>
      <x:c r="L51" s="32" t="n">
        <x:f>IF(I51&gt;0,"Pending",IF(E51=0,"—",(E51-G51)/E51))</x:f>
        <x:v>0.375</x:v>
      </x:c>
      <x:c r="M51" s="40" t="n">
        <x:f>IF(I51&gt;0,"Pending",E51-H51)</x:f>
        <x:v>16</x:v>
      </x:c>
    </x:row>
    <x:row r="52" ht="23" customHeight="1">
      <x:c r="B52" s="17" t="str">
        <x:v>Csv</x:v>
      </x:c>
      <x:c r="C52" s="17" t="str">
        <x:v>Round1</x:v>
      </x:c>
      <x:c r="D52" s="17" t="str">
        <x:v>Condition</x:v>
      </x:c>
      <x:c r="E52" s="40" t="n">
        <x:f>COUNTA('CoverageCases'!$D$2042:$D$2057)</x:f>
        <x:v>16</x:v>
      </x:c>
      <x:c r="F52" s="40" t="n">
        <x:f>COUNT('CoverageCases'!$O$2042:$O$2057)</x:f>
        <x:v>6</x:v>
      </x:c>
      <x:c r="G52" s="40" t="n">
        <x:f>COUNTIF('CoverageCases'!$G$2042:$G$2057,"A")</x:f>
        <x:v>10</x:v>
      </x:c>
      <x:c r="H52" s="40" t="n">
        <x:f>COUNTIF('CoverageCases'!$G$2042:$G$2057,"B")</x:f>
        <x:v>0</x:v>
      </x:c>
      <x:c r="I52" s="40" t="n">
        <x:f>COUNTIF('CoverageCases'!$G$2042:$G$2057,"UNRESOLVED")</x:f>
        <x:v>0</x:v>
      </x:c>
      <x:c r="J52" s="32" t="n">
        <x:f>IF(F52=0,"—",(SUM('CoverageCases'!$O$2042:$O$2057))/F52/100)</x:f>
        <x:v>0.8346666666666667</x:v>
      </x:c>
      <x:c r="K52" s="32" t="n">
        <x:f>IF(I52&gt;0,"Pending",IF(E52-H52=0,"—",(SUM('CoverageCases'!$O$2042:$O$2057))/(E52-H52)/100))</x:f>
        <x:v>0.313</x:v>
      </x:c>
      <x:c r="L52" s="32" t="n">
        <x:f>IF(I52&gt;0,"Pending",IF(E52=0,"—",(E52-G52)/E52))</x:f>
        <x:v>0.375</x:v>
      </x:c>
      <x:c r="M52" s="40" t="n">
        <x:f>IF(I52&gt;0,"Pending",E52-H52)</x:f>
        <x:v>16</x:v>
      </x:c>
    </x:row>
    <x:row r="53" ht="23" customHeight="1">
      <x:c r="B53" s="17" t="str">
        <x:v>Csv</x:v>
      </x:c>
      <x:c r="C53" s="17" t="str">
        <x:v>Round2</x:v>
      </x:c>
      <x:c r="D53" s="17" t="str">
        <x:v>Line</x:v>
      </x:c>
      <x:c r="E53" s="40" t="n">
        <x:f>COUNTA('CoverageCases'!$D$1188:$D$1203)</x:f>
        <x:v>16</x:v>
      </x:c>
      <x:c r="F53" s="40" t="n">
        <x:f>COUNT('CoverageCases'!$O$1188:$O$1203)</x:f>
        <x:v>9</x:v>
      </x:c>
      <x:c r="G53" s="40" t="n">
        <x:f>COUNTIF('CoverageCases'!$G$1188:$G$1203,"A")</x:f>
        <x:v>7</x:v>
      </x:c>
      <x:c r="H53" s="40" t="n">
        <x:f>COUNTIF('CoverageCases'!$G$1188:$G$1203,"B")</x:f>
        <x:v>0</x:v>
      </x:c>
      <x:c r="I53" s="40" t="n">
        <x:f>COUNTIF('CoverageCases'!$G$1188:$G$1203,"UNRESOLVED")</x:f>
        <x:v>0</x:v>
      </x:c>
      <x:c r="J53" s="32" t="n">
        <x:f>IF(F53=0,"—",(SUM('CoverageCases'!$O$1188:$O$1203))/F53/100)</x:f>
        <x:v>0.8439222222222221</x:v>
      </x:c>
      <x:c r="K53" s="32" t="n">
        <x:f>IF(I53&gt;0,"Pending",IF(E53-H53=0,"—",(SUM('CoverageCases'!$O$1188:$O$1203))/(E53-H53)/100))</x:f>
        <x:v>0.47470625</x:v>
      </x:c>
      <x:c r="L53" s="32" t="n">
        <x:f>IF(I53&gt;0,"Pending",IF(E53=0,"—",(E53-G53)/E53))</x:f>
        <x:v>0.5625</x:v>
      </x:c>
      <x:c r="M53" s="40" t="n">
        <x:f>IF(I53&gt;0,"Pending",E53-H53)</x:f>
        <x:v>16</x:v>
      </x:c>
    </x:row>
    <x:row r="54" ht="23" customHeight="1">
      <x:c r="B54" s="17" t="str">
        <x:v>Csv</x:v>
      </x:c>
      <x:c r="C54" s="17" t="str">
        <x:v>Round2</x:v>
      </x:c>
      <x:c r="D54" s="17" t="str">
        <x:v>Condition</x:v>
      </x:c>
      <x:c r="E54" s="40" t="n">
        <x:f>COUNTA('CoverageCases'!$D$2896:$D$2911)</x:f>
        <x:v>16</x:v>
      </x:c>
      <x:c r="F54" s="40" t="n">
        <x:f>COUNT('CoverageCases'!$O$2896:$O$2911)</x:f>
        <x:v>9</x:v>
      </x:c>
      <x:c r="G54" s="40" t="n">
        <x:f>COUNTIF('CoverageCases'!$G$2896:$G$2911,"A")</x:f>
        <x:v>7</x:v>
      </x:c>
      <x:c r="H54" s="40" t="n">
        <x:f>COUNTIF('CoverageCases'!$G$2896:$G$2911,"B")</x:f>
        <x:v>0</x:v>
      </x:c>
      <x:c r="I54" s="40" t="n">
        <x:f>COUNTIF('CoverageCases'!$G$2896:$G$2911,"UNRESOLVED")</x:f>
        <x:v>0</x:v>
      </x:c>
      <x:c r="J54" s="32" t="n">
        <x:f>IF(F54=0,"—",(SUM('CoverageCases'!$O$2896:$O$2911))/F54/100)</x:f>
        <x:v>0.7550222222222222</x:v>
      </x:c>
      <x:c r="K54" s="32" t="n">
        <x:f>IF(I54&gt;0,"Pending",IF(E54-H54=0,"—",(SUM('CoverageCases'!$O$2896:$O$2911))/(E54-H54)/100))</x:f>
        <x:v>0.42469999999999997</x:v>
      </x:c>
      <x:c r="L54" s="32" t="n">
        <x:f>IF(I54&gt;0,"Pending",IF(E54=0,"—",(E54-G54)/E54))</x:f>
        <x:v>0.5625</x:v>
      </x:c>
      <x:c r="M54" s="40" t="n">
        <x:f>IF(I54&gt;0,"Pending",E54-H54)</x:f>
        <x:v>16</x:v>
      </x:c>
    </x:row>
    <x:row r="55" ht="23" customHeight="1">
      <x:c r="B55" s="17" t="str">
        <x:v>Gson</x:v>
      </x:c>
      <x:c r="C55" s="17" t="str">
        <x:v>All rounds</x:v>
      </x:c>
      <x:c r="D55" s="17" t="str">
        <x:v>Line</x:v>
      </x:c>
      <x:c r="E55" s="40" t="n">
        <x:f>COUNTA('CoverageCases'!$D$350:$D$367,'CoverageCases'!$D$1204:$D$1221)</x:f>
        <x:v>36</x:v>
      </x:c>
      <x:c r="F55" s="40" t="n">
        <x:f>COUNT('CoverageCases'!$O$350:$O$367,'CoverageCases'!$O$1204:$O$1221)</x:f>
        <x:v>16</x:v>
      </x:c>
      <x:c r="G55" s="40" t="n">
        <x:f>COUNTIF('CoverageCases'!$G$350:$G$367,"A")+COUNTIF('CoverageCases'!$G$1204:$G$1221,"A")</x:f>
        <x:v>20</x:v>
      </x:c>
      <x:c r="H55" s="40" t="n">
        <x:f>COUNTIF('CoverageCases'!$G$350:$G$367,"B")+COUNTIF('CoverageCases'!$G$1204:$G$1221,"B")</x:f>
        <x:v>0</x:v>
      </x:c>
      <x:c r="I55" s="40" t="n">
        <x:f>COUNTIF('CoverageCases'!$G$350:$G$367,"UNRESOLVED")+COUNTIF('CoverageCases'!$G$1204:$G$1221,"UNRESOLVED")</x:f>
        <x:v>0</x:v>
      </x:c>
      <x:c r="J55" s="32" t="n">
        <x:f>IF(F55=0,"—",(SUM('CoverageCases'!$O$350:$O$367,'CoverageCases'!$O$1204:$O$1221))/F55/100)</x:f>
        <x:v>0.6584749999999999</x:v>
      </x:c>
      <x:c r="K55" s="32" t="n">
        <x:f>IF(I55&gt;0,"Pending",IF(E55-H55=0,"—",(SUM('CoverageCases'!$O$350:$O$367,'CoverageCases'!$O$1204:$O$1221))/(E55-H55)/100))</x:f>
        <x:v>0.29265555555555556</x:v>
      </x:c>
      <x:c r="L55" s="32" t="n">
        <x:f>IF(I55&gt;0,"Pending",IF(E55=0,"—",(E55-G55)/E55))</x:f>
        <x:v>0.4444444444444444</x:v>
      </x:c>
      <x:c r="M55" s="40" t="n">
        <x:f>IF(I55&gt;0,"Pending",E55-H55)</x:f>
        <x:v>36</x:v>
      </x:c>
    </x:row>
    <x:row r="56" ht="23" customHeight="1">
      <x:c r="B56" s="17" t="str">
        <x:v>Gson</x:v>
      </x:c>
      <x:c r="C56" s="17" t="str">
        <x:v>All rounds</x:v>
      </x:c>
      <x:c r="D56" s="17" t="str">
        <x:v>Condition</x:v>
      </x:c>
      <x:c r="E56" s="40" t="n">
        <x:f>COUNTA('CoverageCases'!$D$2058:$D$2075,'CoverageCases'!$D$2912:$D$2929)</x:f>
        <x:v>36</x:v>
      </x:c>
      <x:c r="F56" s="40" t="n">
        <x:f>COUNT('CoverageCases'!$O$2058:$O$2075,'CoverageCases'!$O$2912:$O$2929)</x:f>
        <x:v>14</x:v>
      </x:c>
      <x:c r="G56" s="40" t="n">
        <x:f>COUNTIF('CoverageCases'!$G$2058:$G$2075,"A")+COUNTIF('CoverageCases'!$G$2912:$G$2929,"A")</x:f>
        <x:v>20</x:v>
      </x:c>
      <x:c r="H56" s="40" t="n">
        <x:f>COUNTIF('CoverageCases'!$G$2058:$G$2075,"B")+COUNTIF('CoverageCases'!$G$2912:$G$2929,"B")</x:f>
        <x:v>2</x:v>
      </x:c>
      <x:c r="I56" s="40" t="n">
        <x:f>COUNTIF('CoverageCases'!$G$2058:$G$2075,"UNRESOLVED")+COUNTIF('CoverageCases'!$G$2912:$G$2929,"UNRESOLVED")</x:f>
        <x:v>0</x:v>
      </x:c>
      <x:c r="J56" s="32" t="n">
        <x:f>IF(F56=0,"—",(SUM('CoverageCases'!$O$2058:$O$2075,'CoverageCases'!$O$2912:$O$2929))/F56/100)</x:f>
        <x:v>0.6365571428571427</x:v>
      </x:c>
      <x:c r="K56" s="32" t="n">
        <x:f>IF(I56&gt;0,"Pending",IF(E56-H56=0,"—",(SUM('CoverageCases'!$O$2058:$O$2075,'CoverageCases'!$O$2912:$O$2929))/(E56-H56)/100))</x:f>
        <x:v>0.2621117647058823</x:v>
      </x:c>
      <x:c r="L56" s="32" t="n">
        <x:f>IF(I56&gt;0,"Pending",IF(E56=0,"—",(E56-G56)/E56))</x:f>
        <x:v>0.4444444444444444</x:v>
      </x:c>
      <x:c r="M56" s="40" t="n">
        <x:f>IF(I56&gt;0,"Pending",E56-H56)</x:f>
        <x:v>34</x:v>
      </x:c>
    </x:row>
    <x:row r="57" ht="23" customHeight="1">
      <x:c r="B57" s="17" t="str">
        <x:v>Gson</x:v>
      </x:c>
      <x:c r="C57" s="17" t="str">
        <x:v>Round1</x:v>
      </x:c>
      <x:c r="D57" s="17" t="str">
        <x:v>Line</x:v>
      </x:c>
      <x:c r="E57" s="40" t="n">
        <x:f>COUNTA('CoverageCases'!$D$350:$D$367)</x:f>
        <x:v>18</x:v>
      </x:c>
      <x:c r="F57" s="40" t="n">
        <x:f>COUNT('CoverageCases'!$O$350:$O$367)</x:f>
        <x:v>4</x:v>
      </x:c>
      <x:c r="G57" s="40" t="n">
        <x:f>COUNTIF('CoverageCases'!$G$350:$G$367,"A")</x:f>
        <x:v>14</x:v>
      </x:c>
      <x:c r="H57" s="40" t="n">
        <x:f>COUNTIF('CoverageCases'!$G$350:$G$367,"B")</x:f>
        <x:v>0</x:v>
      </x:c>
      <x:c r="I57" s="40" t="n">
        <x:f>COUNTIF('CoverageCases'!$G$350:$G$367,"UNRESOLVED")</x:f>
        <x:v>0</x:v>
      </x:c>
      <x:c r="J57" s="32" t="n">
        <x:f>IF(F57=0,"—",(SUM('CoverageCases'!$O$350:$O$367))/F57/100)</x:f>
        <x:v>0.5619</x:v>
      </x:c>
      <x:c r="K57" s="32" t="n">
        <x:f>IF(I57&gt;0,"Pending",IF(E57-H57=0,"—",(SUM('CoverageCases'!$O$350:$O$367))/(E57-H57)/100))</x:f>
        <x:v>0.12486666666666667</x:v>
      </x:c>
      <x:c r="L57" s="32" t="n">
        <x:f>IF(I57&gt;0,"Pending",IF(E57=0,"—",(E57-G57)/E57))</x:f>
        <x:v>0.2222222222222222</x:v>
      </x:c>
      <x:c r="M57" s="40" t="n">
        <x:f>IF(I57&gt;0,"Pending",E57-H57)</x:f>
        <x:v>18</x:v>
      </x:c>
    </x:row>
    <x:row r="58" ht="23" customHeight="1">
      <x:c r="B58" s="17" t="str">
        <x:v>Gson</x:v>
      </x:c>
      <x:c r="C58" s="17" t="str">
        <x:v>Round1</x:v>
      </x:c>
      <x:c r="D58" s="17" t="str">
        <x:v>Condition</x:v>
      </x:c>
      <x:c r="E58" s="40" t="n">
        <x:f>COUNTA('CoverageCases'!$D$2058:$D$2075)</x:f>
        <x:v>18</x:v>
      </x:c>
      <x:c r="F58" s="40" t="n">
        <x:f>COUNT('CoverageCases'!$O$2058:$O$2075)</x:f>
        <x:v>3</x:v>
      </x:c>
      <x:c r="G58" s="40" t="n">
        <x:f>COUNTIF('CoverageCases'!$G$2058:$G$2075,"A")</x:f>
        <x:v>14</x:v>
      </x:c>
      <x:c r="H58" s="40" t="n">
        <x:f>COUNTIF('CoverageCases'!$G$2058:$G$2075,"B")</x:f>
        <x:v>1</x:v>
      </x:c>
      <x:c r="I58" s="40" t="n">
        <x:f>COUNTIF('CoverageCases'!$G$2058:$G$2075,"UNRESOLVED")</x:f>
        <x:v>0</x:v>
      </x:c>
      <x:c r="J58" s="32" t="n">
        <x:f>IF(F58=0,"—",(SUM('CoverageCases'!$O$2058:$O$2075))/F58/100)</x:f>
        <x:v>0.6515</x:v>
      </x:c>
      <x:c r="K58" s="32" t="n">
        <x:f>IF(I58&gt;0,"Pending",IF(E58-H58=0,"—",(SUM('CoverageCases'!$O$2058:$O$2075))/(E58-H58)/100))</x:f>
        <x:v>0.1149705882352941</x:v>
      </x:c>
      <x:c r="L58" s="32" t="n">
        <x:f>IF(I58&gt;0,"Pending",IF(E58=0,"—",(E58-G58)/E58))</x:f>
        <x:v>0.2222222222222222</x:v>
      </x:c>
      <x:c r="M58" s="40" t="n">
        <x:f>IF(I58&gt;0,"Pending",E58-H58)</x:f>
        <x:v>17</x:v>
      </x:c>
    </x:row>
    <x:row r="59" ht="23" customHeight="1">
      <x:c r="B59" s="17" t="str">
        <x:v>Gson</x:v>
      </x:c>
      <x:c r="C59" s="17" t="str">
        <x:v>Round2</x:v>
      </x:c>
      <x:c r="D59" s="17" t="str">
        <x:v>Line</x:v>
      </x:c>
      <x:c r="E59" s="40" t="n">
        <x:f>COUNTA('CoverageCases'!$D$1204:$D$1221)</x:f>
        <x:v>18</x:v>
      </x:c>
      <x:c r="F59" s="40" t="n">
        <x:f>COUNT('CoverageCases'!$O$1204:$O$1221)</x:f>
        <x:v>12</x:v>
      </x:c>
      <x:c r="G59" s="40" t="n">
        <x:f>COUNTIF('CoverageCases'!$G$1204:$G$1221,"A")</x:f>
        <x:v>6</x:v>
      </x:c>
      <x:c r="H59" s="40" t="n">
        <x:f>COUNTIF('CoverageCases'!$G$1204:$G$1221,"B")</x:f>
        <x:v>0</x:v>
      </x:c>
      <x:c r="I59" s="40" t="n">
        <x:f>COUNTIF('CoverageCases'!$G$1204:$G$1221,"UNRESOLVED")</x:f>
        <x:v>0</x:v>
      </x:c>
      <x:c r="J59" s="32" t="n">
        <x:f>IF(F59=0,"—",(SUM('CoverageCases'!$O$1204:$O$1221))/F59/100)</x:f>
        <x:v>0.6906666666666667</x:v>
      </x:c>
      <x:c r="K59" s="32" t="n">
        <x:f>IF(I59&gt;0,"Pending",IF(E59-H59=0,"—",(SUM('CoverageCases'!$O$1204:$O$1221))/(E59-H59)/100))</x:f>
        <x:v>0.46044444444444443</x:v>
      </x:c>
      <x:c r="L59" s="32" t="n">
        <x:f>IF(I59&gt;0,"Pending",IF(E59=0,"—",(E59-G59)/E59))</x:f>
        <x:v>0.6666666666666666</x:v>
      </x:c>
      <x:c r="M59" s="40" t="n">
        <x:f>IF(I59&gt;0,"Pending",E59-H59)</x:f>
        <x:v>18</x:v>
      </x:c>
    </x:row>
    <x:row r="60" ht="23" customHeight="1">
      <x:c r="B60" s="17" t="str">
        <x:v>Gson</x:v>
      </x:c>
      <x:c r="C60" s="17" t="str">
        <x:v>Round2</x:v>
      </x:c>
      <x:c r="D60" s="17" t="str">
        <x:v>Condition</x:v>
      </x:c>
      <x:c r="E60" s="40" t="n">
        <x:f>COUNTA('CoverageCases'!$D$2912:$D$2929)</x:f>
        <x:v>18</x:v>
      </x:c>
      <x:c r="F60" s="40" t="n">
        <x:f>COUNT('CoverageCases'!$O$2912:$O$2929)</x:f>
        <x:v>11</x:v>
      </x:c>
      <x:c r="G60" s="40" t="n">
        <x:f>COUNTIF('CoverageCases'!$G$2912:$G$2929,"A")</x:f>
        <x:v>6</x:v>
      </x:c>
      <x:c r="H60" s="40" t="n">
        <x:f>COUNTIF('CoverageCases'!$G$2912:$G$2929,"B")</x:f>
        <x:v>1</x:v>
      </x:c>
      <x:c r="I60" s="40" t="n">
        <x:f>COUNTIF('CoverageCases'!$G$2912:$G$2929,"UNRESOLVED")</x:f>
        <x:v>0</x:v>
      </x:c>
      <x:c r="J60" s="32" t="n">
        <x:f>IF(F60=0,"—",(SUM('CoverageCases'!$O$2912:$O$2929))/F60/100)</x:f>
        <x:v>0.6324818181818181</x:v>
      </x:c>
      <x:c r="K60" s="32" t="n">
        <x:f>IF(I60&gt;0,"Pending",IF(E60-H60=0,"—",(SUM('CoverageCases'!$O$2912:$O$2929))/(E60-H60)/100))</x:f>
        <x:v>0.40925294117647054</x:v>
      </x:c>
      <x:c r="L60" s="32" t="n">
        <x:f>IF(I60&gt;0,"Pending",IF(E60=0,"—",(E60-G60)/E60))</x:f>
        <x:v>0.6666666666666666</x:v>
      </x:c>
      <x:c r="M60" s="40" t="n">
        <x:f>IF(I60&gt;0,"Pending",E60-H60)</x:f>
        <x:v>17</x:v>
      </x:c>
    </x:row>
    <x:row r="61" ht="23" customHeight="1">
      <x:c r="B61" s="17" t="str">
        <x:v>JacksonCore</x:v>
      </x:c>
      <x:c r="C61" s="17" t="str">
        <x:v>All rounds</x:v>
      </x:c>
      <x:c r="D61" s="17" t="str">
        <x:v>Line</x:v>
      </x:c>
      <x:c r="E61" s="40" t="n">
        <x:f>COUNTA('CoverageCases'!$D$368:$D$393,'CoverageCases'!$D$1222:$D$1247)</x:f>
        <x:v>52</x:v>
      </x:c>
      <x:c r="F61" s="40" t="n">
        <x:f>COUNT('CoverageCases'!$O$368:$O$393,'CoverageCases'!$O$1222:$O$1247)</x:f>
        <x:v>13</x:v>
      </x:c>
      <x:c r="G61" s="40" t="n">
        <x:f>COUNTIF('CoverageCases'!$G$368:$G$393,"A")+COUNTIF('CoverageCases'!$G$1222:$G$1247,"A")</x:f>
        <x:v>39</x:v>
      </x:c>
      <x:c r="H61" s="40" t="n">
        <x:f>COUNTIF('CoverageCases'!$G$368:$G$393,"B")+COUNTIF('CoverageCases'!$G$1222:$G$1247,"B")</x:f>
        <x:v>0</x:v>
      </x:c>
      <x:c r="I61" s="40" t="n">
        <x:f>COUNTIF('CoverageCases'!$G$368:$G$393,"UNRESOLVED")+COUNTIF('CoverageCases'!$G$1222:$G$1247,"UNRESOLVED")</x:f>
        <x:v>0</x:v>
      </x:c>
      <x:c r="J61" s="32" t="n">
        <x:f>IF(F61=0,"—",(SUM('CoverageCases'!$O$368:$O$393,'CoverageCases'!$O$1222:$O$1247))/F61/100)</x:f>
        <x:v>0.5606153846153847</x:v>
      </x:c>
      <x:c r="K61" s="32" t="n">
        <x:f>IF(I61&gt;0,"Pending",IF(E61-H61=0,"—",(SUM('CoverageCases'!$O$368:$O$393,'CoverageCases'!$O$1222:$O$1247))/(E61-H61)/100))</x:f>
        <x:v>0.14015384615384618</x:v>
      </x:c>
      <x:c r="L61" s="32" t="n">
        <x:f>IF(I61&gt;0,"Pending",IF(E61=0,"—",(E61-G61)/E61))</x:f>
        <x:v>0.25</x:v>
      </x:c>
      <x:c r="M61" s="40" t="n">
        <x:f>IF(I61&gt;0,"Pending",E61-H61)</x:f>
        <x:v>52</x:v>
      </x:c>
    </x:row>
    <x:row r="62" ht="23" customHeight="1">
      <x:c r="B62" s="17" t="str">
        <x:v>JacksonCore</x:v>
      </x:c>
      <x:c r="C62" s="17" t="str">
        <x:v>All rounds</x:v>
      </x:c>
      <x:c r="D62" s="17" t="str">
        <x:v>Condition</x:v>
      </x:c>
      <x:c r="E62" s="40" t="n">
        <x:f>COUNTA('CoverageCases'!$D$2076:$D$2101,'CoverageCases'!$D$2930:$D$2955)</x:f>
        <x:v>52</x:v>
      </x:c>
      <x:c r="F62" s="40" t="n">
        <x:f>COUNT('CoverageCases'!$O$2076:$O$2101,'CoverageCases'!$O$2930:$O$2955)</x:f>
        <x:v>13</x:v>
      </x:c>
      <x:c r="G62" s="40" t="n">
        <x:f>COUNTIF('CoverageCases'!$G$2076:$G$2101,"A")+COUNTIF('CoverageCases'!$G$2930:$G$2955,"A")</x:f>
        <x:v>39</x:v>
      </x:c>
      <x:c r="H62" s="40" t="n">
        <x:f>COUNTIF('CoverageCases'!$G$2076:$G$2101,"B")+COUNTIF('CoverageCases'!$G$2930:$G$2955,"B")</x:f>
        <x:v>0</x:v>
      </x:c>
      <x:c r="I62" s="40" t="n">
        <x:f>COUNTIF('CoverageCases'!$G$2076:$G$2101,"UNRESOLVED")+COUNTIF('CoverageCases'!$G$2930:$G$2955,"UNRESOLVED")</x:f>
        <x:v>0</x:v>
      </x:c>
      <x:c r="J62" s="32" t="n">
        <x:f>IF(F62=0,"—",(SUM('CoverageCases'!$O$2076:$O$2101,'CoverageCases'!$O$2930:$O$2955))/F62/100)</x:f>
        <x:v>0.429676923076923</x:v>
      </x:c>
      <x:c r="K62" s="32" t="n">
        <x:f>IF(I62&gt;0,"Pending",IF(E62-H62=0,"—",(SUM('CoverageCases'!$O$2076:$O$2101,'CoverageCases'!$O$2930:$O$2955))/(E62-H62)/100))</x:f>
        <x:v>0.10741923076923075</x:v>
      </x:c>
      <x:c r="L62" s="32" t="n">
        <x:f>IF(I62&gt;0,"Pending",IF(E62=0,"—",(E62-G62)/E62))</x:f>
        <x:v>0.25</x:v>
      </x:c>
      <x:c r="M62" s="40" t="n">
        <x:f>IF(I62&gt;0,"Pending",E62-H62)</x:f>
        <x:v>52</x:v>
      </x:c>
    </x:row>
    <x:row r="63" ht="23" customHeight="1">
      <x:c r="B63" s="17" t="str">
        <x:v>JacksonCore</x:v>
      </x:c>
      <x:c r="C63" s="17" t="str">
        <x:v>Round1</x:v>
      </x:c>
      <x:c r="D63" s="17" t="str">
        <x:v>Line</x:v>
      </x:c>
      <x:c r="E63" s="40" t="n">
        <x:f>COUNTA('CoverageCases'!$D$368:$D$393)</x:f>
        <x:v>26</x:v>
      </x:c>
      <x:c r="F63" s="40" t="n">
        <x:f>COUNT('CoverageCases'!$O$368:$O$393)</x:f>
        <x:v>4</x:v>
      </x:c>
      <x:c r="G63" s="40" t="n">
        <x:f>COUNTIF('CoverageCases'!$G$368:$G$393,"A")</x:f>
        <x:v>22</x:v>
      </x:c>
      <x:c r="H63" s="40" t="n">
        <x:f>COUNTIF('CoverageCases'!$G$368:$G$393,"B")</x:f>
        <x:v>0</x:v>
      </x:c>
      <x:c r="I63" s="40" t="n">
        <x:f>COUNTIF('CoverageCases'!$G$368:$G$393,"UNRESOLVED")</x:f>
        <x:v>0</x:v>
      </x:c>
      <x:c r="J63" s="32" t="n">
        <x:f>IF(F63=0,"—",(SUM('CoverageCases'!$O$368:$O$393))/F63/100)</x:f>
        <x:v>0.59865</x:v>
      </x:c>
      <x:c r="K63" s="32" t="n">
        <x:f>IF(I63&gt;0,"Pending",IF(E63-H63=0,"—",(SUM('CoverageCases'!$O$368:$O$393))/(E63-H63)/100))</x:f>
        <x:v>0.09210000000000002</x:v>
      </x:c>
      <x:c r="L63" s="32" t="n">
        <x:f>IF(I63&gt;0,"Pending",IF(E63=0,"—",(E63-G63)/E63))</x:f>
        <x:v>0.15384615384615385</x:v>
      </x:c>
      <x:c r="M63" s="40" t="n">
        <x:f>IF(I63&gt;0,"Pending",E63-H63)</x:f>
        <x:v>26</x:v>
      </x:c>
    </x:row>
    <x:row r="64" ht="23" customHeight="1">
      <x:c r="B64" s="17" t="str">
        <x:v>JacksonCore</x:v>
      </x:c>
      <x:c r="C64" s="17" t="str">
        <x:v>Round1</x:v>
      </x:c>
      <x:c r="D64" s="17" t="str">
        <x:v>Condition</x:v>
      </x:c>
      <x:c r="E64" s="40" t="n">
        <x:f>COUNTA('CoverageCases'!$D$2076:$D$2101)</x:f>
        <x:v>26</x:v>
      </x:c>
      <x:c r="F64" s="40" t="n">
        <x:f>COUNT('CoverageCases'!$O$2076:$O$2101)</x:f>
        <x:v>4</x:v>
      </x:c>
      <x:c r="G64" s="40" t="n">
        <x:f>COUNTIF('CoverageCases'!$G$2076:$G$2101,"A")</x:f>
        <x:v>22</x:v>
      </x:c>
      <x:c r="H64" s="40" t="n">
        <x:f>COUNTIF('CoverageCases'!$G$2076:$G$2101,"B")</x:f>
        <x:v>0</x:v>
      </x:c>
      <x:c r="I64" s="40" t="n">
        <x:f>COUNTIF('CoverageCases'!$G$2076:$G$2101,"UNRESOLVED")</x:f>
        <x:v>0</x:v>
      </x:c>
      <x:c r="J64" s="32" t="n">
        <x:f>IF(F64=0,"—",(SUM('CoverageCases'!$O$2076:$O$2101))/F64/100)</x:f>
        <x:v>0.46735</x:v>
      </x:c>
      <x:c r="K64" s="32" t="n">
        <x:f>IF(I64&gt;0,"Pending",IF(E64-H64=0,"—",(SUM('CoverageCases'!$O$2076:$O$2101))/(E64-H64)/100))</x:f>
        <x:v>0.07189999999999999</x:v>
      </x:c>
      <x:c r="L64" s="32" t="n">
        <x:f>IF(I64&gt;0,"Pending",IF(E64=0,"—",(E64-G64)/E64))</x:f>
        <x:v>0.15384615384615385</x:v>
      </x:c>
      <x:c r="M64" s="40" t="n">
        <x:f>IF(I64&gt;0,"Pending",E64-H64)</x:f>
        <x:v>26</x:v>
      </x:c>
    </x:row>
    <x:row r="65" ht="23" customHeight="1">
      <x:c r="B65" s="17" t="str">
        <x:v>JacksonCore</x:v>
      </x:c>
      <x:c r="C65" s="17" t="str">
        <x:v>Round2</x:v>
      </x:c>
      <x:c r="D65" s="17" t="str">
        <x:v>Line</x:v>
      </x:c>
      <x:c r="E65" s="40" t="n">
        <x:f>COUNTA('CoverageCases'!$D$1222:$D$1247)</x:f>
        <x:v>26</x:v>
      </x:c>
      <x:c r="F65" s="40" t="n">
        <x:f>COUNT('CoverageCases'!$O$1222:$O$1247)</x:f>
        <x:v>9</x:v>
      </x:c>
      <x:c r="G65" s="40" t="n">
        <x:f>COUNTIF('CoverageCases'!$G$1222:$G$1247,"A")</x:f>
        <x:v>17</x:v>
      </x:c>
      <x:c r="H65" s="40" t="n">
        <x:f>COUNTIF('CoverageCases'!$G$1222:$G$1247,"B")</x:f>
        <x:v>0</x:v>
      </x:c>
      <x:c r="I65" s="40" t="n">
        <x:f>COUNTIF('CoverageCases'!$G$1222:$G$1247,"UNRESOLVED")</x:f>
        <x:v>0</x:v>
      </x:c>
      <x:c r="J65" s="32" t="n">
        <x:f>IF(F65=0,"—",(SUM('CoverageCases'!$O$1222:$O$1247))/F65/100)</x:f>
        <x:v>0.5437111111111111</x:v>
      </x:c>
      <x:c r="K65" s="32" t="n">
        <x:f>IF(I65&gt;0,"Pending",IF(E65-H65=0,"—",(SUM('CoverageCases'!$O$1222:$O$1247))/(E65-H65)/100))</x:f>
        <x:v>0.18820769230769233</x:v>
      </x:c>
      <x:c r="L65" s="32" t="n">
        <x:f>IF(I65&gt;0,"Pending",IF(E65=0,"—",(E65-G65)/E65))</x:f>
        <x:v>0.34615384615384615</x:v>
      </x:c>
      <x:c r="M65" s="40" t="n">
        <x:f>IF(I65&gt;0,"Pending",E65-H65)</x:f>
        <x:v>26</x:v>
      </x:c>
    </x:row>
    <x:row r="66" ht="23" customHeight="1">
      <x:c r="B66" s="17" t="str">
        <x:v>JacksonCore</x:v>
      </x:c>
      <x:c r="C66" s="17" t="str">
        <x:v>Round2</x:v>
      </x:c>
      <x:c r="D66" s="17" t="str">
        <x:v>Condition</x:v>
      </x:c>
      <x:c r="E66" s="40" t="n">
        <x:f>COUNTA('CoverageCases'!$D$2930:$D$2955)</x:f>
        <x:v>26</x:v>
      </x:c>
      <x:c r="F66" s="40" t="n">
        <x:f>COUNT('CoverageCases'!$O$2930:$O$2955)</x:f>
        <x:v>9</x:v>
      </x:c>
      <x:c r="G66" s="40" t="n">
        <x:f>COUNTIF('CoverageCases'!$G$2930:$G$2955,"A")</x:f>
        <x:v>17</x:v>
      </x:c>
      <x:c r="H66" s="40" t="n">
        <x:f>COUNTIF('CoverageCases'!$G$2930:$G$2955,"B")</x:f>
        <x:v>0</x:v>
      </x:c>
      <x:c r="I66" s="40" t="n">
        <x:f>COUNTIF('CoverageCases'!$G$2930:$G$2955,"UNRESOLVED")</x:f>
        <x:v>0</x:v>
      </x:c>
      <x:c r="J66" s="32" t="n">
        <x:f>IF(F66=0,"—",(SUM('CoverageCases'!$O$2930:$O$2955))/F66/100)</x:f>
        <x:v>0.4129333333333333</x:v>
      </x:c>
      <x:c r="K66" s="32" t="n">
        <x:f>IF(I66&gt;0,"Pending",IF(E66-H66=0,"—",(SUM('CoverageCases'!$O$2930:$O$2955))/(E66-H66)/100))</x:f>
        <x:v>0.14293846153846154</x:v>
      </x:c>
      <x:c r="L66" s="32" t="n">
        <x:f>IF(I66&gt;0,"Pending",IF(E66=0,"—",(E66-G66)/E66))</x:f>
        <x:v>0.34615384615384615</x:v>
      </x:c>
      <x:c r="M66" s="40" t="n">
        <x:f>IF(I66&gt;0,"Pending",E66-H66)</x:f>
        <x:v>26</x:v>
      </x:c>
    </x:row>
    <x:row r="67" ht="23" customHeight="1">
      <x:c r="B67" s="17" t="str">
        <x:v>JacksonDatabind</x:v>
      </x:c>
      <x:c r="C67" s="17" t="str">
        <x:v>All rounds</x:v>
      </x:c>
      <x:c r="D67" s="17" t="str">
        <x:v>Line</x:v>
      </x:c>
      <x:c r="E67" s="40" t="n">
        <x:f>COUNTA('CoverageCases'!$D$394:$D$503,'CoverageCases'!$D$1248:$D$1357)</x:f>
        <x:v>220</x:v>
      </x:c>
      <x:c r="F67" s="40" t="n">
        <x:f>COUNT('CoverageCases'!$O$394:$O$503,'CoverageCases'!$O$1248:$O$1357)</x:f>
        <x:v>57</x:v>
      </x:c>
      <x:c r="G67" s="40" t="n">
        <x:f>COUNTIF('CoverageCases'!$G$394:$G$503,"A")+COUNTIF('CoverageCases'!$G$1248:$G$1357,"A")</x:f>
        <x:v>163</x:v>
      </x:c>
      <x:c r="H67" s="40" t="n">
        <x:f>COUNTIF('CoverageCases'!$G$394:$G$503,"B")+COUNTIF('CoverageCases'!$G$1248:$G$1357,"B")</x:f>
        <x:v>0</x:v>
      </x:c>
      <x:c r="I67" s="40" t="n">
        <x:f>COUNTIF('CoverageCases'!$G$394:$G$503,"UNRESOLVED")+COUNTIF('CoverageCases'!$G$1248:$G$1357,"UNRESOLVED")</x:f>
        <x:v>0</x:v>
      </x:c>
      <x:c r="J67" s="32" t="n">
        <x:f>IF(F67=0,"—",(SUM('CoverageCases'!$O$394:$O$503,'CoverageCases'!$O$1248:$O$1357))/F67/100)</x:f>
        <x:v>0.7347508771929826</x:v>
      </x:c>
      <x:c r="K67" s="32" t="n">
        <x:f>IF(I67&gt;0,"Pending",IF(E67-H67=0,"—",(SUM('CoverageCases'!$O$394:$O$503,'CoverageCases'!$O$1248:$O$1357))/(E67-H67)/100))</x:f>
        <x:v>0.19036727272727277</x:v>
      </x:c>
      <x:c r="L67" s="32" t="n">
        <x:f>IF(I67&gt;0,"Pending",IF(E67=0,"—",(E67-G67)/E67))</x:f>
        <x:v>0.2590909090909091</x:v>
      </x:c>
      <x:c r="M67" s="40" t="n">
        <x:f>IF(I67&gt;0,"Pending",E67-H67)</x:f>
        <x:v>220</x:v>
      </x:c>
    </x:row>
    <x:row r="68" ht="23" customHeight="1">
      <x:c r="B68" s="17" t="str">
        <x:v>JacksonDatabind</x:v>
      </x:c>
      <x:c r="C68" s="17" t="str">
        <x:v>All rounds</x:v>
      </x:c>
      <x:c r="D68" s="17" t="str">
        <x:v>Condition</x:v>
      </x:c>
      <x:c r="E68" s="40" t="n">
        <x:f>COUNTA('CoverageCases'!$D$2102:$D$2211,'CoverageCases'!$D$2956:$D$3065)</x:f>
        <x:v>220</x:v>
      </x:c>
      <x:c r="F68" s="40" t="n">
        <x:f>COUNT('CoverageCases'!$O$2102:$O$2211,'CoverageCases'!$O$2956:$O$3065)</x:f>
        <x:v>57</x:v>
      </x:c>
      <x:c r="G68" s="40" t="n">
        <x:f>COUNTIF('CoverageCases'!$G$2102:$G$2211,"A")+COUNTIF('CoverageCases'!$G$2956:$G$3065,"A")</x:f>
        <x:v>163</x:v>
      </x:c>
      <x:c r="H68" s="40" t="n">
        <x:f>COUNTIF('CoverageCases'!$G$2102:$G$2211,"B")+COUNTIF('CoverageCases'!$G$2956:$G$3065,"B")</x:f>
        <x:v>0</x:v>
      </x:c>
      <x:c r="I68" s="40" t="n">
        <x:f>COUNTIF('CoverageCases'!$G$2102:$G$2211,"UNRESOLVED")+COUNTIF('CoverageCases'!$G$2956:$G$3065,"UNRESOLVED")</x:f>
        <x:v>0</x:v>
      </x:c>
      <x:c r="J68" s="32" t="n">
        <x:f>IF(F68=0,"—",(SUM('CoverageCases'!$O$2102:$O$2211,'CoverageCases'!$O$2956:$O$3065))/F68/100)</x:f>
        <x:v>0.6480105263157894</x:v>
      </x:c>
      <x:c r="K68" s="32" t="n">
        <x:f>IF(I68&gt;0,"Pending",IF(E68-H68=0,"—",(SUM('CoverageCases'!$O$2102:$O$2211,'CoverageCases'!$O$2956:$O$3065))/(E68-H68)/100))</x:f>
        <x:v>0.16789363636363636</x:v>
      </x:c>
      <x:c r="L68" s="32" t="n">
        <x:f>IF(I68&gt;0,"Pending",IF(E68=0,"—",(E68-G68)/E68))</x:f>
        <x:v>0.2590909090909091</x:v>
      </x:c>
      <x:c r="M68" s="40" t="n">
        <x:f>IF(I68&gt;0,"Pending",E68-H68)</x:f>
        <x:v>220</x:v>
      </x:c>
    </x:row>
    <x:row r="69" ht="23" customHeight="1">
      <x:c r="B69" s="17" t="str">
        <x:v>JacksonDatabind</x:v>
      </x:c>
      <x:c r="C69" s="17" t="str">
        <x:v>Round1</x:v>
      </x:c>
      <x:c r="D69" s="17" t="str">
        <x:v>Line</x:v>
      </x:c>
      <x:c r="E69" s="40" t="n">
        <x:f>COUNTA('CoverageCases'!$D$394:$D$503)</x:f>
        <x:v>110</x:v>
      </x:c>
      <x:c r="F69" s="40" t="n">
        <x:f>COUNT('CoverageCases'!$O$394:$O$503)</x:f>
        <x:v>24</x:v>
      </x:c>
      <x:c r="G69" s="40" t="n">
        <x:f>COUNTIF('CoverageCases'!$G$394:$G$503,"A")</x:f>
        <x:v>86</x:v>
      </x:c>
      <x:c r="H69" s="40" t="n">
        <x:f>COUNTIF('CoverageCases'!$G$394:$G$503,"B")</x:f>
        <x:v>0</x:v>
      </x:c>
      <x:c r="I69" s="40" t="n">
        <x:f>COUNTIF('CoverageCases'!$G$394:$G$503,"UNRESOLVED")</x:f>
        <x:v>0</x:v>
      </x:c>
      <x:c r="J69" s="32" t="n">
        <x:f>IF(F69=0,"—",(SUM('CoverageCases'!$O$394:$O$503))/F69/100)</x:f>
        <x:v>0.7519000000000001</x:v>
      </x:c>
      <x:c r="K69" s="32" t="n">
        <x:f>IF(I69&gt;0,"Pending",IF(E69-H69=0,"—",(SUM('CoverageCases'!$O$394:$O$503))/(E69-H69)/100))</x:f>
        <x:v>0.16405090909090914</x:v>
      </x:c>
      <x:c r="L69" s="32" t="n">
        <x:f>IF(I69&gt;0,"Pending",IF(E69=0,"—",(E69-G69)/E69))</x:f>
        <x:v>0.21818181818181817</x:v>
      </x:c>
      <x:c r="M69" s="40" t="n">
        <x:f>IF(I69&gt;0,"Pending",E69-H69)</x:f>
        <x:v>110</x:v>
      </x:c>
    </x:row>
    <x:row r="70" ht="23" customHeight="1">
      <x:c r="B70" s="17" t="str">
        <x:v>JacksonDatabind</x:v>
      </x:c>
      <x:c r="C70" s="17" t="str">
        <x:v>Round1</x:v>
      </x:c>
      <x:c r="D70" s="17" t="str">
        <x:v>Condition</x:v>
      </x:c>
      <x:c r="E70" s="40" t="n">
        <x:f>COUNTA('CoverageCases'!$D$2102:$D$2211)</x:f>
        <x:v>110</x:v>
      </x:c>
      <x:c r="F70" s="40" t="n">
        <x:f>COUNT('CoverageCases'!$O$2102:$O$2211)</x:f>
        <x:v>24</x:v>
      </x:c>
      <x:c r="G70" s="40" t="n">
        <x:f>COUNTIF('CoverageCases'!$G$2102:$G$2211,"A")</x:f>
        <x:v>86</x:v>
      </x:c>
      <x:c r="H70" s="40" t="n">
        <x:f>COUNTIF('CoverageCases'!$G$2102:$G$2211,"B")</x:f>
        <x:v>0</x:v>
      </x:c>
      <x:c r="I70" s="40" t="n">
        <x:f>COUNTIF('CoverageCases'!$G$2102:$G$2211,"UNRESOLVED")</x:f>
        <x:v>0</x:v>
      </x:c>
      <x:c r="J70" s="32" t="n">
        <x:f>IF(F70=0,"—",(SUM('CoverageCases'!$O$2102:$O$2211))/F70/100)</x:f>
        <x:v>0.676525</x:v>
      </x:c>
      <x:c r="K70" s="32" t="n">
        <x:f>IF(I70&gt;0,"Pending",IF(E70-H70=0,"—",(SUM('CoverageCases'!$O$2102:$O$2211))/(E70-H70)/100))</x:f>
        <x:v>0.14760545454545457</x:v>
      </x:c>
      <x:c r="L70" s="32" t="n">
        <x:f>IF(I70&gt;0,"Pending",IF(E70=0,"—",(E70-G70)/E70))</x:f>
        <x:v>0.21818181818181817</x:v>
      </x:c>
      <x:c r="M70" s="40" t="n">
        <x:f>IF(I70&gt;0,"Pending",E70-H70)</x:f>
        <x:v>110</x:v>
      </x:c>
    </x:row>
    <x:row r="71" ht="23" customHeight="1">
      <x:c r="B71" s="17" t="str">
        <x:v>JacksonDatabind</x:v>
      </x:c>
      <x:c r="C71" s="17" t="str">
        <x:v>Round2</x:v>
      </x:c>
      <x:c r="D71" s="17" t="str">
        <x:v>Line</x:v>
      </x:c>
      <x:c r="E71" s="40" t="n">
        <x:f>COUNTA('CoverageCases'!$D$1248:$D$1357)</x:f>
        <x:v>110</x:v>
      </x:c>
      <x:c r="F71" s="40" t="n">
        <x:f>COUNT('CoverageCases'!$O$1248:$O$1357)</x:f>
        <x:v>33</x:v>
      </x:c>
      <x:c r="G71" s="40" t="n">
        <x:f>COUNTIF('CoverageCases'!$G$1248:$G$1357,"A")</x:f>
        <x:v>77</x:v>
      </x:c>
      <x:c r="H71" s="40" t="n">
        <x:f>COUNTIF('CoverageCases'!$G$1248:$G$1357,"B")</x:f>
        <x:v>0</x:v>
      </x:c>
      <x:c r="I71" s="40" t="n">
        <x:f>COUNTIF('CoverageCases'!$G$1248:$G$1357,"UNRESOLVED")</x:f>
        <x:v>0</x:v>
      </x:c>
      <x:c r="J71" s="32" t="n">
        <x:f>IF(F71=0,"—",(SUM('CoverageCases'!$O$1248:$O$1357))/F71/100)</x:f>
        <x:v>0.7222787878787881</x:v>
      </x:c>
      <x:c r="K71" s="32" t="n">
        <x:f>IF(I71&gt;0,"Pending",IF(E71-H71=0,"—",(SUM('CoverageCases'!$O$1248:$O$1357))/(E71-H71)/100))</x:f>
        <x:v>0.2166836363636364</x:v>
      </x:c>
      <x:c r="L71" s="32" t="n">
        <x:f>IF(I71&gt;0,"Pending",IF(E71=0,"—",(E71-G71)/E71))</x:f>
        <x:v>0.3</x:v>
      </x:c>
      <x:c r="M71" s="40" t="n">
        <x:f>IF(I71&gt;0,"Pending",E71-H71)</x:f>
        <x:v>110</x:v>
      </x:c>
    </x:row>
    <x:row r="72" ht="23" customHeight="1">
      <x:c r="B72" s="17" t="str">
        <x:v>JacksonDatabind</x:v>
      </x:c>
      <x:c r="C72" s="17" t="str">
        <x:v>Round2</x:v>
      </x:c>
      <x:c r="D72" s="17" t="str">
        <x:v>Condition</x:v>
      </x:c>
      <x:c r="E72" s="40" t="n">
        <x:f>COUNTA('CoverageCases'!$D$2956:$D$3065)</x:f>
        <x:v>110</x:v>
      </x:c>
      <x:c r="F72" s="40" t="n">
        <x:f>COUNT('CoverageCases'!$O$2956:$O$3065)</x:f>
        <x:v>33</x:v>
      </x:c>
      <x:c r="G72" s="40" t="n">
        <x:f>COUNTIF('CoverageCases'!$G$2956:$G$3065,"A")</x:f>
        <x:v>77</x:v>
      </x:c>
      <x:c r="H72" s="40" t="n">
        <x:f>COUNTIF('CoverageCases'!$G$2956:$G$3065,"B")</x:f>
        <x:v>0</x:v>
      </x:c>
      <x:c r="I72" s="40" t="n">
        <x:f>COUNTIF('CoverageCases'!$G$2956:$G$3065,"UNRESOLVED")</x:f>
        <x:v>0</x:v>
      </x:c>
      <x:c r="J72" s="32" t="n">
        <x:f>IF(F72=0,"—",(SUM('CoverageCases'!$O$2956:$O$3065))/F72/100)</x:f>
        <x:v>0.6272727272727273</x:v>
      </x:c>
      <x:c r="K72" s="32" t="n">
        <x:f>IF(I72&gt;0,"Pending",IF(E72-H72=0,"—",(SUM('CoverageCases'!$O$2956:$O$3065))/(E72-H72)/100))</x:f>
        <x:v>0.18818181818181817</x:v>
      </x:c>
      <x:c r="L72" s="32" t="n">
        <x:f>IF(I72&gt;0,"Pending",IF(E72=0,"—",(E72-G72)/E72))</x:f>
        <x:v>0.3</x:v>
      </x:c>
      <x:c r="M72" s="40" t="n">
        <x:f>IF(I72&gt;0,"Pending",E72-H72)</x:f>
        <x:v>110</x:v>
      </x:c>
    </x:row>
    <x:row r="73" ht="23" customHeight="1">
      <x:c r="B73" s="17" t="str">
        <x:v>JacksonXml</x:v>
      </x:c>
      <x:c r="C73" s="17" t="str">
        <x:v>All rounds</x:v>
      </x:c>
      <x:c r="D73" s="17" t="str">
        <x:v>Line</x:v>
      </x:c>
      <x:c r="E73" s="40" t="n">
        <x:f>COUNTA('CoverageCases'!$D$504:$D$509,'CoverageCases'!$D$1358:$D$1363)</x:f>
        <x:v>12</x:v>
      </x:c>
      <x:c r="F73" s="40" t="n">
        <x:f>COUNT('CoverageCases'!$O$504:$O$509,'CoverageCases'!$O$1358:$O$1363)</x:f>
        <x:v>0</x:v>
      </x:c>
      <x:c r="G73" s="40" t="n">
        <x:f>COUNTIF('CoverageCases'!$G$504:$G$509,"A")+COUNTIF('CoverageCases'!$G$1358:$G$1363,"A")</x:f>
        <x:v>12</x:v>
      </x:c>
      <x:c r="H73" s="40" t="n">
        <x:f>COUNTIF('CoverageCases'!$G$504:$G$509,"B")+COUNTIF('CoverageCases'!$G$1358:$G$1363,"B")</x:f>
        <x:v>0</x:v>
      </x:c>
      <x:c r="I73" s="40" t="n">
        <x:f>COUNTIF('CoverageCases'!$G$504:$G$509,"UNRESOLVED")+COUNTIF('CoverageCases'!$G$1358:$G$1363,"UNRESOLVED")</x:f>
        <x:v>0</x:v>
      </x:c>
      <x:c r="J73" s="32" t="str">
        <x:f>IF(F73=0,"—",(SUM('CoverageCases'!$O$504:$O$509,'CoverageCases'!$O$1358:$O$1363))/F73/100)</x:f>
        <x:v>—</x:v>
      </x:c>
      <x:c r="K73" s="32" t="n">
        <x:f>IF(I73&gt;0,"Pending",IF(E73-H73=0,"—",(SUM('CoverageCases'!$O$504:$O$509,'CoverageCases'!$O$1358:$O$1363))/(E73-H73)/100))</x:f>
        <x:v>0</x:v>
      </x:c>
      <x:c r="L73" s="32" t="n">
        <x:f>IF(I73&gt;0,"Pending",IF(E73=0,"—",(E73-G73)/E73))</x:f>
        <x:v>0</x:v>
      </x:c>
      <x:c r="M73" s="40" t="n">
        <x:f>IF(I73&gt;0,"Pending",E73-H73)</x:f>
        <x:v>12</x:v>
      </x:c>
    </x:row>
    <x:row r="74" ht="23" customHeight="1">
      <x:c r="B74" s="17" t="str">
        <x:v>JacksonXml</x:v>
      </x:c>
      <x:c r="C74" s="17" t="str">
        <x:v>All rounds</x:v>
      </x:c>
      <x:c r="D74" s="17" t="str">
        <x:v>Condition</x:v>
      </x:c>
      <x:c r="E74" s="40" t="n">
        <x:f>COUNTA('CoverageCases'!$D$2212:$D$2217,'CoverageCases'!$D$3066:$D$3071)</x:f>
        <x:v>12</x:v>
      </x:c>
      <x:c r="F74" s="40" t="n">
        <x:f>COUNT('CoverageCases'!$O$2212:$O$2217,'CoverageCases'!$O$3066:$O$3071)</x:f>
        <x:v>0</x:v>
      </x:c>
      <x:c r="G74" s="40" t="n">
        <x:f>COUNTIF('CoverageCases'!$G$2212:$G$2217,"A")+COUNTIF('CoverageCases'!$G$3066:$G$3071,"A")</x:f>
        <x:v>12</x:v>
      </x:c>
      <x:c r="H74" s="40" t="n">
        <x:f>COUNTIF('CoverageCases'!$G$2212:$G$2217,"B")+COUNTIF('CoverageCases'!$G$3066:$G$3071,"B")</x:f>
        <x:v>0</x:v>
      </x:c>
      <x:c r="I74" s="40" t="n">
        <x:f>COUNTIF('CoverageCases'!$G$2212:$G$2217,"UNRESOLVED")+COUNTIF('CoverageCases'!$G$3066:$G$3071,"UNRESOLVED")</x:f>
        <x:v>0</x:v>
      </x:c>
      <x:c r="J74" s="32" t="str">
        <x:f>IF(F74=0,"—",(SUM('CoverageCases'!$O$2212:$O$2217,'CoverageCases'!$O$3066:$O$3071))/F74/100)</x:f>
        <x:v>—</x:v>
      </x:c>
      <x:c r="K74" s="32" t="n">
        <x:f>IF(I74&gt;0,"Pending",IF(E74-H74=0,"—",(SUM('CoverageCases'!$O$2212:$O$2217,'CoverageCases'!$O$3066:$O$3071))/(E74-H74)/100))</x:f>
        <x:v>0</x:v>
      </x:c>
      <x:c r="L74" s="32" t="n">
        <x:f>IF(I74&gt;0,"Pending",IF(E74=0,"—",(E74-G74)/E74))</x:f>
        <x:v>0</x:v>
      </x:c>
      <x:c r="M74" s="40" t="n">
        <x:f>IF(I74&gt;0,"Pending",E74-H74)</x:f>
        <x:v>12</x:v>
      </x:c>
    </x:row>
    <x:row r="75" ht="23" customHeight="1">
      <x:c r="B75" s="17" t="str">
        <x:v>JacksonXml</x:v>
      </x:c>
      <x:c r="C75" s="17" t="str">
        <x:v>Round1</x:v>
      </x:c>
      <x:c r="D75" s="17" t="str">
        <x:v>Line</x:v>
      </x:c>
      <x:c r="E75" s="40" t="n">
        <x:f>COUNTA('CoverageCases'!$D$504:$D$509)</x:f>
        <x:v>6</x:v>
      </x:c>
      <x:c r="F75" s="40" t="n">
        <x:f>COUNT('CoverageCases'!$O$504:$O$509)</x:f>
        <x:v>0</x:v>
      </x:c>
      <x:c r="G75" s="40" t="n">
        <x:f>COUNTIF('CoverageCases'!$G$504:$G$509,"A")</x:f>
        <x:v>6</x:v>
      </x:c>
      <x:c r="H75" s="40" t="n">
        <x:f>COUNTIF('CoverageCases'!$G$504:$G$509,"B")</x:f>
        <x:v>0</x:v>
      </x:c>
      <x:c r="I75" s="40" t="n">
        <x:f>COUNTIF('CoverageCases'!$G$504:$G$509,"UNRESOLVED")</x:f>
        <x:v>0</x:v>
      </x:c>
      <x:c r="J75" s="32" t="str">
        <x:f>IF(F75=0,"—",(SUM('CoverageCases'!$O$504:$O$509))/F75/100)</x:f>
        <x:v>—</x:v>
      </x:c>
      <x:c r="K75" s="32" t="n">
        <x:f>IF(I75&gt;0,"Pending",IF(E75-H75=0,"—",(SUM('CoverageCases'!$O$504:$O$509))/(E75-H75)/100))</x:f>
        <x:v>0</x:v>
      </x:c>
      <x:c r="L75" s="32" t="n">
        <x:f>IF(I75&gt;0,"Pending",IF(E75=0,"—",(E75-G75)/E75))</x:f>
        <x:v>0</x:v>
      </x:c>
      <x:c r="M75" s="40" t="n">
        <x:f>IF(I75&gt;0,"Pending",E75-H75)</x:f>
        <x:v>6</x:v>
      </x:c>
    </x:row>
    <x:row r="76" ht="23" customHeight="1">
      <x:c r="B76" s="17" t="str">
        <x:v>JacksonXml</x:v>
      </x:c>
      <x:c r="C76" s="17" t="str">
        <x:v>Round1</x:v>
      </x:c>
      <x:c r="D76" s="17" t="str">
        <x:v>Condition</x:v>
      </x:c>
      <x:c r="E76" s="40" t="n">
        <x:f>COUNTA('CoverageCases'!$D$2212:$D$2217)</x:f>
        <x:v>6</x:v>
      </x:c>
      <x:c r="F76" s="40" t="n">
        <x:f>COUNT('CoverageCases'!$O$2212:$O$2217)</x:f>
        <x:v>0</x:v>
      </x:c>
      <x:c r="G76" s="40" t="n">
        <x:f>COUNTIF('CoverageCases'!$G$2212:$G$2217,"A")</x:f>
        <x:v>6</x:v>
      </x:c>
      <x:c r="H76" s="40" t="n">
        <x:f>COUNTIF('CoverageCases'!$G$2212:$G$2217,"B")</x:f>
        <x:v>0</x:v>
      </x:c>
      <x:c r="I76" s="40" t="n">
        <x:f>COUNTIF('CoverageCases'!$G$2212:$G$2217,"UNRESOLVED")</x:f>
        <x:v>0</x:v>
      </x:c>
      <x:c r="J76" s="32" t="str">
        <x:f>IF(F76=0,"—",(SUM('CoverageCases'!$O$2212:$O$2217))/F76/100)</x:f>
        <x:v>—</x:v>
      </x:c>
      <x:c r="K76" s="32" t="n">
        <x:f>IF(I76&gt;0,"Pending",IF(E76-H76=0,"—",(SUM('CoverageCases'!$O$2212:$O$2217))/(E76-H76)/100))</x:f>
        <x:v>0</x:v>
      </x:c>
      <x:c r="L76" s="32" t="n">
        <x:f>IF(I76&gt;0,"Pending",IF(E76=0,"—",(E76-G76)/E76))</x:f>
        <x:v>0</x:v>
      </x:c>
      <x:c r="M76" s="40" t="n">
        <x:f>IF(I76&gt;0,"Pending",E76-H76)</x:f>
        <x:v>6</x:v>
      </x:c>
    </x:row>
    <x:row r="77" ht="23" customHeight="1">
      <x:c r="B77" s="17" t="str">
        <x:v>JacksonXml</x:v>
      </x:c>
      <x:c r="C77" s="17" t="str">
        <x:v>Round2</x:v>
      </x:c>
      <x:c r="D77" s="17" t="str">
        <x:v>Line</x:v>
      </x:c>
      <x:c r="E77" s="40" t="n">
        <x:f>COUNTA('CoverageCases'!$D$1358:$D$1363)</x:f>
        <x:v>6</x:v>
      </x:c>
      <x:c r="F77" s="40" t="n">
        <x:f>COUNT('CoverageCases'!$O$1358:$O$1363)</x:f>
        <x:v>0</x:v>
      </x:c>
      <x:c r="G77" s="40" t="n">
        <x:f>COUNTIF('CoverageCases'!$G$1358:$G$1363,"A")</x:f>
        <x:v>6</x:v>
      </x:c>
      <x:c r="H77" s="40" t="n">
        <x:f>COUNTIF('CoverageCases'!$G$1358:$G$1363,"B")</x:f>
        <x:v>0</x:v>
      </x:c>
      <x:c r="I77" s="40" t="n">
        <x:f>COUNTIF('CoverageCases'!$G$1358:$G$1363,"UNRESOLVED")</x:f>
        <x:v>0</x:v>
      </x:c>
      <x:c r="J77" s="32" t="str">
        <x:f>IF(F77=0,"—",(SUM('CoverageCases'!$O$1358:$O$1363))/F77/100)</x:f>
        <x:v>—</x:v>
      </x:c>
      <x:c r="K77" s="32" t="n">
        <x:f>IF(I77&gt;0,"Pending",IF(E77-H77=0,"—",(SUM('CoverageCases'!$O$1358:$O$1363))/(E77-H77)/100))</x:f>
        <x:v>0</x:v>
      </x:c>
      <x:c r="L77" s="32" t="n">
        <x:f>IF(I77&gt;0,"Pending",IF(E77=0,"—",(E77-G77)/E77))</x:f>
        <x:v>0</x:v>
      </x:c>
      <x:c r="M77" s="40" t="n">
        <x:f>IF(I77&gt;0,"Pending",E77-H77)</x:f>
        <x:v>6</x:v>
      </x:c>
    </x:row>
    <x:row r="78" ht="23" customHeight="1">
      <x:c r="B78" s="17" t="str">
        <x:v>JacksonXml</x:v>
      </x:c>
      <x:c r="C78" s="17" t="str">
        <x:v>Round2</x:v>
      </x:c>
      <x:c r="D78" s="17" t="str">
        <x:v>Condition</x:v>
      </x:c>
      <x:c r="E78" s="40" t="n">
        <x:f>COUNTA('CoverageCases'!$D$3066:$D$3071)</x:f>
        <x:v>6</x:v>
      </x:c>
      <x:c r="F78" s="40" t="n">
        <x:f>COUNT('CoverageCases'!$O$3066:$O$3071)</x:f>
        <x:v>0</x:v>
      </x:c>
      <x:c r="G78" s="40" t="n">
        <x:f>COUNTIF('CoverageCases'!$G$3066:$G$3071,"A")</x:f>
        <x:v>6</x:v>
      </x:c>
      <x:c r="H78" s="40" t="n">
        <x:f>COUNTIF('CoverageCases'!$G$3066:$G$3071,"B")</x:f>
        <x:v>0</x:v>
      </x:c>
      <x:c r="I78" s="40" t="n">
        <x:f>COUNTIF('CoverageCases'!$G$3066:$G$3071,"UNRESOLVED")</x:f>
        <x:v>0</x:v>
      </x:c>
      <x:c r="J78" s="32" t="str">
        <x:f>IF(F78=0,"—",(SUM('CoverageCases'!$O$3066:$O$3071))/F78/100)</x:f>
        <x:v>—</x:v>
      </x:c>
      <x:c r="K78" s="32" t="n">
        <x:f>IF(I78&gt;0,"Pending",IF(E78-H78=0,"—",(SUM('CoverageCases'!$O$3066:$O$3071))/(E78-H78)/100))</x:f>
        <x:v>0</x:v>
      </x:c>
      <x:c r="L78" s="32" t="n">
        <x:f>IF(I78&gt;0,"Pending",IF(E78=0,"—",(E78-G78)/E78))</x:f>
        <x:v>0</x:v>
      </x:c>
      <x:c r="M78" s="40" t="n">
        <x:f>IF(I78&gt;0,"Pending",E78-H78)</x:f>
        <x:v>6</x:v>
      </x:c>
    </x:row>
    <x:row r="79" ht="23" customHeight="1">
      <x:c r="B79" s="17" t="str">
        <x:v>Jsoup</x:v>
      </x:c>
      <x:c r="C79" s="17" t="str">
        <x:v>All rounds</x:v>
      </x:c>
      <x:c r="D79" s="17" t="str">
        <x:v>Line</x:v>
      </x:c>
      <x:c r="E79" s="40" t="n">
        <x:f>COUNTA('CoverageCases'!$D$510:$D$602,'CoverageCases'!$D$1364:$D$1456)</x:f>
        <x:v>186</x:v>
      </x:c>
      <x:c r="F79" s="40" t="n">
        <x:f>COUNT('CoverageCases'!$O$510:$O$602,'CoverageCases'!$O$1364:$O$1456)</x:f>
        <x:v>72</x:v>
      </x:c>
      <x:c r="G79" s="40" t="n">
        <x:f>COUNTIF('CoverageCases'!$G$510:$G$602,"A")+COUNTIF('CoverageCases'!$G$1364:$G$1456,"A")</x:f>
        <x:v>114</x:v>
      </x:c>
      <x:c r="H79" s="40" t="n">
        <x:f>COUNTIF('CoverageCases'!$G$510:$G$602,"B")+COUNTIF('CoverageCases'!$G$1364:$G$1456,"B")</x:f>
        <x:v>0</x:v>
      </x:c>
      <x:c r="I79" s="40" t="n">
        <x:f>COUNTIF('CoverageCases'!$G$510:$G$602,"UNRESOLVED")+COUNTIF('CoverageCases'!$G$1364:$G$1456,"UNRESOLVED")</x:f>
        <x:v>0</x:v>
      </x:c>
      <x:c r="J79" s="32" t="n">
        <x:f>IF(F79=0,"—",(SUM('CoverageCases'!$O$510:$O$602,'CoverageCases'!$O$1364:$O$1456))/F79/100)</x:f>
        <x:v>0.8904944444444444</x:v>
      </x:c>
      <x:c r="K79" s="32" t="n">
        <x:f>IF(I79&gt;0,"Pending",IF(E79-H79=0,"—",(SUM('CoverageCases'!$O$510:$O$602,'CoverageCases'!$O$1364:$O$1456))/(E79-H79)/100))</x:f>
        <x:v>0.3447075268817204</x:v>
      </x:c>
      <x:c r="L79" s="32" t="n">
        <x:f>IF(I79&gt;0,"Pending",IF(E79=0,"—",(E79-G79)/E79))</x:f>
        <x:v>0.3870967741935484</x:v>
      </x:c>
      <x:c r="M79" s="40" t="n">
        <x:f>IF(I79&gt;0,"Pending",E79-H79)</x:f>
        <x:v>186</x:v>
      </x:c>
    </x:row>
    <x:row r="80" ht="23" customHeight="1">
      <x:c r="B80" s="17" t="str">
        <x:v>Jsoup</x:v>
      </x:c>
      <x:c r="C80" s="17" t="str">
        <x:v>All rounds</x:v>
      </x:c>
      <x:c r="D80" s="17" t="str">
        <x:v>Condition</x:v>
      </x:c>
      <x:c r="E80" s="40" t="n">
        <x:f>COUNTA('CoverageCases'!$D$2218:$D$2310,'CoverageCases'!$D$3072:$D$3164)</x:f>
        <x:v>186</x:v>
      </x:c>
      <x:c r="F80" s="40" t="n">
        <x:f>COUNT('CoverageCases'!$O$2218:$O$2310,'CoverageCases'!$O$3072:$O$3164)</x:f>
        <x:v>72</x:v>
      </x:c>
      <x:c r="G80" s="40" t="n">
        <x:f>COUNTIF('CoverageCases'!$G$2218:$G$2310,"A")+COUNTIF('CoverageCases'!$G$3072:$G$3164,"A")</x:f>
        <x:v>114</x:v>
      </x:c>
      <x:c r="H80" s="40" t="n">
        <x:f>COUNTIF('CoverageCases'!$G$2218:$G$2310,"B")+COUNTIF('CoverageCases'!$G$3072:$G$3164,"B")</x:f>
        <x:v>0</x:v>
      </x:c>
      <x:c r="I80" s="40" t="n">
        <x:f>COUNTIF('CoverageCases'!$G$2218:$G$2310,"UNRESOLVED")+COUNTIF('CoverageCases'!$G$3072:$G$3164,"UNRESOLVED")</x:f>
        <x:v>0</x:v>
      </x:c>
      <x:c r="J80" s="32" t="n">
        <x:f>IF(F80=0,"—",(SUM('CoverageCases'!$O$2218:$O$2310,'CoverageCases'!$O$3072:$O$3164))/F80/100)</x:f>
        <x:v>0.7813222222222221</x:v>
      </x:c>
      <x:c r="K80" s="32" t="n">
        <x:f>IF(I80&gt;0,"Pending",IF(E80-H80=0,"—",(SUM('CoverageCases'!$O$2218:$O$2310,'CoverageCases'!$O$3072:$O$3164))/(E80-H80)/100))</x:f>
        <x:v>0.302447311827957</x:v>
      </x:c>
      <x:c r="L80" s="32" t="n">
        <x:f>IF(I80&gt;0,"Pending",IF(E80=0,"—",(E80-G80)/E80))</x:f>
        <x:v>0.3870967741935484</x:v>
      </x:c>
      <x:c r="M80" s="40" t="n">
        <x:f>IF(I80&gt;0,"Pending",E80-H80)</x:f>
        <x:v>186</x:v>
      </x:c>
    </x:row>
    <x:row r="81" ht="23" customHeight="1">
      <x:c r="B81" s="17" t="str">
        <x:v>Jsoup</x:v>
      </x:c>
      <x:c r="C81" s="17" t="str">
        <x:v>Round1</x:v>
      </x:c>
      <x:c r="D81" s="17" t="str">
        <x:v>Line</x:v>
      </x:c>
      <x:c r="E81" s="40" t="n">
        <x:f>COUNTA('CoverageCases'!$D$510:$D$602)</x:f>
        <x:v>93</x:v>
      </x:c>
      <x:c r="F81" s="40" t="n">
        <x:f>COUNT('CoverageCases'!$O$510:$O$602)</x:f>
        <x:v>27</x:v>
      </x:c>
      <x:c r="G81" s="40" t="n">
        <x:f>COUNTIF('CoverageCases'!$G$510:$G$602,"A")</x:f>
        <x:v>66</x:v>
      </x:c>
      <x:c r="H81" s="40" t="n">
        <x:f>COUNTIF('CoverageCases'!$G$510:$G$602,"B")</x:f>
        <x:v>0</x:v>
      </x:c>
      <x:c r="I81" s="40" t="n">
        <x:f>COUNTIF('CoverageCases'!$G$510:$G$602,"UNRESOLVED")</x:f>
        <x:v>0</x:v>
      </x:c>
      <x:c r="J81" s="32" t="n">
        <x:f>IF(F81=0,"—",(SUM('CoverageCases'!$O$510:$O$602))/F81/100)</x:f>
        <x:v>0.8933555555555556</x:v>
      </x:c>
      <x:c r="K81" s="32" t="n">
        <x:f>IF(I81&gt;0,"Pending",IF(E81-H81=0,"—",(SUM('CoverageCases'!$O$510:$O$602))/(E81-H81)/100))</x:f>
        <x:v>0.2593612903225806</x:v>
      </x:c>
      <x:c r="L81" s="32" t="n">
        <x:f>IF(I81&gt;0,"Pending",IF(E81=0,"—",(E81-G81)/E81))</x:f>
        <x:v>0.2903225806451613</x:v>
      </x:c>
      <x:c r="M81" s="40" t="n">
        <x:f>IF(I81&gt;0,"Pending",E81-H81)</x:f>
        <x:v>93</x:v>
      </x:c>
    </x:row>
    <x:row r="82" ht="23" customHeight="1">
      <x:c r="B82" s="17" t="str">
        <x:v>Jsoup</x:v>
      </x:c>
      <x:c r="C82" s="17" t="str">
        <x:v>Round1</x:v>
      </x:c>
      <x:c r="D82" s="17" t="str">
        <x:v>Condition</x:v>
      </x:c>
      <x:c r="E82" s="40" t="n">
        <x:f>COUNTA('CoverageCases'!$D$2218:$D$2310)</x:f>
        <x:v>93</x:v>
      </x:c>
      <x:c r="F82" s="40" t="n">
        <x:f>COUNT('CoverageCases'!$O$2218:$O$2310)</x:f>
        <x:v>27</x:v>
      </x:c>
      <x:c r="G82" s="40" t="n">
        <x:f>COUNTIF('CoverageCases'!$G$2218:$G$2310,"A")</x:f>
        <x:v>66</x:v>
      </x:c>
      <x:c r="H82" s="40" t="n">
        <x:f>COUNTIF('CoverageCases'!$G$2218:$G$2310,"B")</x:f>
        <x:v>0</x:v>
      </x:c>
      <x:c r="I82" s="40" t="n">
        <x:f>COUNTIF('CoverageCases'!$G$2218:$G$2310,"UNRESOLVED")</x:f>
        <x:v>0</x:v>
      </x:c>
      <x:c r="J82" s="32" t="n">
        <x:f>IF(F82=0,"—",(SUM('CoverageCases'!$O$2218:$O$2310))/F82/100)</x:f>
        <x:v>0.7775925925925925</x:v>
      </x:c>
      <x:c r="K82" s="32" t="n">
        <x:f>IF(I82&gt;0,"Pending",IF(E82-H82=0,"—",(SUM('CoverageCases'!$O$2218:$O$2310))/(E82-H82)/100))</x:f>
        <x:v>0.225752688172043</x:v>
      </x:c>
      <x:c r="L82" s="32" t="n">
        <x:f>IF(I82&gt;0,"Pending",IF(E82=0,"—",(E82-G82)/E82))</x:f>
        <x:v>0.2903225806451613</x:v>
      </x:c>
      <x:c r="M82" s="40" t="n">
        <x:f>IF(I82&gt;0,"Pending",E82-H82)</x:f>
        <x:v>93</x:v>
      </x:c>
    </x:row>
    <x:row r="83" ht="23" customHeight="1">
      <x:c r="B83" s="17" t="str">
        <x:v>Jsoup</x:v>
      </x:c>
      <x:c r="C83" s="17" t="str">
        <x:v>Round2</x:v>
      </x:c>
      <x:c r="D83" s="17" t="str">
        <x:v>Line</x:v>
      </x:c>
      <x:c r="E83" s="40" t="n">
        <x:f>COUNTA('CoverageCases'!$D$1364:$D$1456)</x:f>
        <x:v>93</x:v>
      </x:c>
      <x:c r="F83" s="40" t="n">
        <x:f>COUNT('CoverageCases'!$O$1364:$O$1456)</x:f>
        <x:v>45</x:v>
      </x:c>
      <x:c r="G83" s="40" t="n">
        <x:f>COUNTIF('CoverageCases'!$G$1364:$G$1456,"A")</x:f>
        <x:v>48</x:v>
      </x:c>
      <x:c r="H83" s="40" t="n">
        <x:f>COUNTIF('CoverageCases'!$G$1364:$G$1456,"B")</x:f>
        <x:v>0</x:v>
      </x:c>
      <x:c r="I83" s="40" t="n">
        <x:f>COUNTIF('CoverageCases'!$G$1364:$G$1456,"UNRESOLVED")</x:f>
        <x:v>0</x:v>
      </x:c>
      <x:c r="J83" s="32" t="n">
        <x:f>IF(F83=0,"—",(SUM('CoverageCases'!$O$1364:$O$1456))/F83/100)</x:f>
        <x:v>0.8887777777777778</x:v>
      </x:c>
      <x:c r="K83" s="32" t="n">
        <x:f>IF(I83&gt;0,"Pending",IF(E83-H83=0,"—",(SUM('CoverageCases'!$O$1364:$O$1456))/(E83-H83)/100))</x:f>
        <x:v>0.4300537634408602</x:v>
      </x:c>
      <x:c r="L83" s="32" t="n">
        <x:f>IF(I83&gt;0,"Pending",IF(E83=0,"—",(E83-G83)/E83))</x:f>
        <x:v>0.4838709677419355</x:v>
      </x:c>
      <x:c r="M83" s="40" t="n">
        <x:f>IF(I83&gt;0,"Pending",E83-H83)</x:f>
        <x:v>93</x:v>
      </x:c>
    </x:row>
    <x:row r="84" ht="23" customHeight="1">
      <x:c r="B84" s="17" t="str">
        <x:v>Jsoup</x:v>
      </x:c>
      <x:c r="C84" s="17" t="str">
        <x:v>Round2</x:v>
      </x:c>
      <x:c r="D84" s="17" t="str">
        <x:v>Condition</x:v>
      </x:c>
      <x:c r="E84" s="40" t="n">
        <x:f>COUNTA('CoverageCases'!$D$3072:$D$3164)</x:f>
        <x:v>93</x:v>
      </x:c>
      <x:c r="F84" s="40" t="n">
        <x:f>COUNT('CoverageCases'!$O$3072:$O$3164)</x:f>
        <x:v>45</x:v>
      </x:c>
      <x:c r="G84" s="40" t="n">
        <x:f>COUNTIF('CoverageCases'!$G$3072:$G$3164,"A")</x:f>
        <x:v>48</x:v>
      </x:c>
      <x:c r="H84" s="40" t="n">
        <x:f>COUNTIF('CoverageCases'!$G$3072:$G$3164,"B")</x:f>
        <x:v>0</x:v>
      </x:c>
      <x:c r="I84" s="40" t="n">
        <x:f>COUNTIF('CoverageCases'!$G$3072:$G$3164,"UNRESOLVED")</x:f>
        <x:v>0</x:v>
      </x:c>
      <x:c r="J84" s="32" t="n">
        <x:f>IF(F84=0,"—",(SUM('CoverageCases'!$O$3072:$O$3164))/F84/100)</x:f>
        <x:v>0.7835599999999999</x:v>
      </x:c>
      <x:c r="K84" s="32" t="n">
        <x:f>IF(I84&gt;0,"Pending",IF(E84-H84=0,"—",(SUM('CoverageCases'!$O$3072:$O$3164))/(E84-H84)/100))</x:f>
        <x:v>0.3791419354838709</x:v>
      </x:c>
      <x:c r="L84" s="32" t="n">
        <x:f>IF(I84&gt;0,"Pending",IF(E84=0,"—",(E84-G84)/E84))</x:f>
        <x:v>0.4838709677419355</x:v>
      </x:c>
      <x:c r="M84" s="40" t="n">
        <x:f>IF(I84&gt;0,"Pending",E84-H84)</x:f>
        <x:v>93</x:v>
      </x:c>
    </x:row>
    <x:row r="85" ht="23" customHeight="1">
      <x:c r="B85" s="17" t="str">
        <x:v>JxPath</x:v>
      </x:c>
      <x:c r="C85" s="17" t="str">
        <x:v>All rounds</x:v>
      </x:c>
      <x:c r="D85" s="17" t="str">
        <x:v>Line</x:v>
      </x:c>
      <x:c r="E85" s="40" t="n">
        <x:f>COUNTA('CoverageCases'!$D$603:$D$624,'CoverageCases'!$D$1457:$D$1478)</x:f>
        <x:v>44</x:v>
      </x:c>
      <x:c r="F85" s="40" t="n">
        <x:f>COUNT('CoverageCases'!$O$603:$O$624,'CoverageCases'!$O$1457:$O$1478)</x:f>
        <x:v>1</x:v>
      </x:c>
      <x:c r="G85" s="40" t="n">
        <x:f>COUNTIF('CoverageCases'!$G$603:$G$624,"A")+COUNTIF('CoverageCases'!$G$1457:$G$1478,"A")</x:f>
        <x:v>43</x:v>
      </x:c>
      <x:c r="H85" s="40" t="n">
        <x:f>COUNTIF('CoverageCases'!$G$603:$G$624,"B")+COUNTIF('CoverageCases'!$G$1457:$G$1478,"B")</x:f>
        <x:v>0</x:v>
      </x:c>
      <x:c r="I85" s="40" t="n">
        <x:f>COUNTIF('CoverageCases'!$G$603:$G$624,"UNRESOLVED")+COUNTIF('CoverageCases'!$G$1457:$G$1478,"UNRESOLVED")</x:f>
        <x:v>0</x:v>
      </x:c>
      <x:c r="J85" s="32" t="n">
        <x:f>IF(F85=0,"—",(SUM('CoverageCases'!$O$603:$O$624,'CoverageCases'!$O$1457:$O$1478))/F85/100)</x:f>
        <x:v>0.6883</x:v>
      </x:c>
      <x:c r="K85" s="32" t="n">
        <x:f>IF(I85&gt;0,"Pending",IF(E85-H85=0,"—",(SUM('CoverageCases'!$O$603:$O$624,'CoverageCases'!$O$1457:$O$1478))/(E85-H85)/100))</x:f>
        <x:v>0.015643181818181816</x:v>
      </x:c>
      <x:c r="L85" s="32" t="n">
        <x:f>IF(I85&gt;0,"Pending",IF(E85=0,"—",(E85-G85)/E85))</x:f>
        <x:v>0.022727272727272728</x:v>
      </x:c>
      <x:c r="M85" s="40" t="n">
        <x:f>IF(I85&gt;0,"Pending",E85-H85)</x:f>
        <x:v>44</x:v>
      </x:c>
    </x:row>
    <x:row r="86" ht="23" customHeight="1">
      <x:c r="B86" s="17" t="str">
        <x:v>JxPath</x:v>
      </x:c>
      <x:c r="C86" s="17" t="str">
        <x:v>All rounds</x:v>
      </x:c>
      <x:c r="D86" s="17" t="str">
        <x:v>Condition</x:v>
      </x:c>
      <x:c r="E86" s="40" t="n">
        <x:f>COUNTA('CoverageCases'!$D$2311:$D$2332,'CoverageCases'!$D$3165:$D$3186)</x:f>
        <x:v>44</x:v>
      </x:c>
      <x:c r="F86" s="40" t="n">
        <x:f>COUNT('CoverageCases'!$O$2311:$O$2332,'CoverageCases'!$O$3165:$O$3186)</x:f>
        <x:v>1</x:v>
      </x:c>
      <x:c r="G86" s="40" t="n">
        <x:f>COUNTIF('CoverageCases'!$G$2311:$G$2332,"A")+COUNTIF('CoverageCases'!$G$3165:$G$3186,"A")</x:f>
        <x:v>43</x:v>
      </x:c>
      <x:c r="H86" s="40" t="n">
        <x:f>COUNTIF('CoverageCases'!$G$2311:$G$2332,"B")+COUNTIF('CoverageCases'!$G$3165:$G$3186,"B")</x:f>
        <x:v>0</x:v>
      </x:c>
      <x:c r="I86" s="40" t="n">
        <x:f>COUNTIF('CoverageCases'!$G$2311:$G$2332,"UNRESOLVED")+COUNTIF('CoverageCases'!$G$3165:$G$3186,"UNRESOLVED")</x:f>
        <x:v>0</x:v>
      </x:c>
      <x:c r="J86" s="32" t="n">
        <x:f>IF(F86=0,"—",(SUM('CoverageCases'!$O$2311:$O$2332,'CoverageCases'!$O$3165:$O$3186))/F86/100)</x:f>
        <x:v>0.5</x:v>
      </x:c>
      <x:c r="K86" s="32" t="n">
        <x:f>IF(I86&gt;0,"Pending",IF(E86-H86=0,"—",(SUM('CoverageCases'!$O$2311:$O$2332,'CoverageCases'!$O$3165:$O$3186))/(E86-H86)/100))</x:f>
        <x:v>0.011363636363636364</x:v>
      </x:c>
      <x:c r="L86" s="32" t="n">
        <x:f>IF(I86&gt;0,"Pending",IF(E86=0,"—",(E86-G86)/E86))</x:f>
        <x:v>0.022727272727272728</x:v>
      </x:c>
      <x:c r="M86" s="40" t="n">
        <x:f>IF(I86&gt;0,"Pending",E86-H86)</x:f>
        <x:v>44</x:v>
      </x:c>
    </x:row>
    <x:row r="87" ht="23" customHeight="1">
      <x:c r="B87" s="17" t="str">
        <x:v>JxPath</x:v>
      </x:c>
      <x:c r="C87" s="17" t="str">
        <x:v>Round1</x:v>
      </x:c>
      <x:c r="D87" s="17" t="str">
        <x:v>Line</x:v>
      </x:c>
      <x:c r="E87" s="40" t="n">
        <x:f>COUNTA('CoverageCases'!$D$603:$D$624)</x:f>
        <x:v>22</x:v>
      </x:c>
      <x:c r="F87" s="40" t="n">
        <x:f>COUNT('CoverageCases'!$O$603:$O$624)</x:f>
        <x:v>0</x:v>
      </x:c>
      <x:c r="G87" s="40" t="n">
        <x:f>COUNTIF('CoverageCases'!$G$603:$G$624,"A")</x:f>
        <x:v>22</x:v>
      </x:c>
      <x:c r="H87" s="40" t="n">
        <x:f>COUNTIF('CoverageCases'!$G$603:$G$624,"B")</x:f>
        <x:v>0</x:v>
      </x:c>
      <x:c r="I87" s="40" t="n">
        <x:f>COUNTIF('CoverageCases'!$G$603:$G$624,"UNRESOLVED")</x:f>
        <x:v>0</x:v>
      </x:c>
      <x:c r="J87" s="32" t="str">
        <x:f>IF(F87=0,"—",(SUM('CoverageCases'!$O$603:$O$624))/F87/100)</x:f>
        <x:v>—</x:v>
      </x:c>
      <x:c r="K87" s="32" t="n">
        <x:f>IF(I87&gt;0,"Pending",IF(E87-H87=0,"—",(SUM('CoverageCases'!$O$603:$O$624))/(E87-H87)/100))</x:f>
        <x:v>0</x:v>
      </x:c>
      <x:c r="L87" s="32" t="n">
        <x:f>IF(I87&gt;0,"Pending",IF(E87=0,"—",(E87-G87)/E87))</x:f>
        <x:v>0</x:v>
      </x:c>
      <x:c r="M87" s="40" t="n">
        <x:f>IF(I87&gt;0,"Pending",E87-H87)</x:f>
        <x:v>22</x:v>
      </x:c>
    </x:row>
    <x:row r="88" ht="23" customHeight="1">
      <x:c r="B88" s="17" t="str">
        <x:v>JxPath</x:v>
      </x:c>
      <x:c r="C88" s="17" t="str">
        <x:v>Round1</x:v>
      </x:c>
      <x:c r="D88" s="17" t="str">
        <x:v>Condition</x:v>
      </x:c>
      <x:c r="E88" s="40" t="n">
        <x:f>COUNTA('CoverageCases'!$D$2311:$D$2332)</x:f>
        <x:v>22</x:v>
      </x:c>
      <x:c r="F88" s="40" t="n">
        <x:f>COUNT('CoverageCases'!$O$2311:$O$2332)</x:f>
        <x:v>0</x:v>
      </x:c>
      <x:c r="G88" s="40" t="n">
        <x:f>COUNTIF('CoverageCases'!$G$2311:$G$2332,"A")</x:f>
        <x:v>22</x:v>
      </x:c>
      <x:c r="H88" s="40" t="n">
        <x:f>COUNTIF('CoverageCases'!$G$2311:$G$2332,"B")</x:f>
        <x:v>0</x:v>
      </x:c>
      <x:c r="I88" s="40" t="n">
        <x:f>COUNTIF('CoverageCases'!$G$2311:$G$2332,"UNRESOLVED")</x:f>
        <x:v>0</x:v>
      </x:c>
      <x:c r="J88" s="32" t="str">
        <x:f>IF(F88=0,"—",(SUM('CoverageCases'!$O$2311:$O$2332))/F88/100)</x:f>
        <x:v>—</x:v>
      </x:c>
      <x:c r="K88" s="32" t="n">
        <x:f>IF(I88&gt;0,"Pending",IF(E88-H88=0,"—",(SUM('CoverageCases'!$O$2311:$O$2332))/(E88-H88)/100))</x:f>
        <x:v>0</x:v>
      </x:c>
      <x:c r="L88" s="32" t="n">
        <x:f>IF(I88&gt;0,"Pending",IF(E88=0,"—",(E88-G88)/E88))</x:f>
        <x:v>0</x:v>
      </x:c>
      <x:c r="M88" s="40" t="n">
        <x:f>IF(I88&gt;0,"Pending",E88-H88)</x:f>
        <x:v>22</x:v>
      </x:c>
    </x:row>
    <x:row r="89" ht="23" customHeight="1">
      <x:c r="B89" s="17" t="str">
        <x:v>JxPath</x:v>
      </x:c>
      <x:c r="C89" s="17" t="str">
        <x:v>Round2</x:v>
      </x:c>
      <x:c r="D89" s="17" t="str">
        <x:v>Line</x:v>
      </x:c>
      <x:c r="E89" s="40" t="n">
        <x:f>COUNTA('CoverageCases'!$D$1457:$D$1478)</x:f>
        <x:v>22</x:v>
      </x:c>
      <x:c r="F89" s="40" t="n">
        <x:f>COUNT('CoverageCases'!$O$1457:$O$1478)</x:f>
        <x:v>1</x:v>
      </x:c>
      <x:c r="G89" s="40" t="n">
        <x:f>COUNTIF('CoverageCases'!$G$1457:$G$1478,"A")</x:f>
        <x:v>21</x:v>
      </x:c>
      <x:c r="H89" s="40" t="n">
        <x:f>COUNTIF('CoverageCases'!$G$1457:$G$1478,"B")</x:f>
        <x:v>0</x:v>
      </x:c>
      <x:c r="I89" s="40" t="n">
        <x:f>COUNTIF('CoverageCases'!$G$1457:$G$1478,"UNRESOLVED")</x:f>
        <x:v>0</x:v>
      </x:c>
      <x:c r="J89" s="32" t="n">
        <x:f>IF(F89=0,"—",(SUM('CoverageCases'!$O$1457:$O$1478))/F89/100)</x:f>
        <x:v>0.6883</x:v>
      </x:c>
      <x:c r="K89" s="32" t="n">
        <x:f>IF(I89&gt;0,"Pending",IF(E89-H89=0,"—",(SUM('CoverageCases'!$O$1457:$O$1478))/(E89-H89)/100))</x:f>
        <x:v>0.03128636363636363</x:v>
      </x:c>
      <x:c r="L89" s="32" t="n">
        <x:f>IF(I89&gt;0,"Pending",IF(E89=0,"—",(E89-G89)/E89))</x:f>
        <x:v>0.045454545454545456</x:v>
      </x:c>
      <x:c r="M89" s="40" t="n">
        <x:f>IF(I89&gt;0,"Pending",E89-H89)</x:f>
        <x:v>22</x:v>
      </x:c>
    </x:row>
    <x:row r="90" ht="23" customHeight="1">
      <x:c r="B90" s="17" t="str">
        <x:v>JxPath</x:v>
      </x:c>
      <x:c r="C90" s="17" t="str">
        <x:v>Round2</x:v>
      </x:c>
      <x:c r="D90" s="17" t="str">
        <x:v>Condition</x:v>
      </x:c>
      <x:c r="E90" s="40" t="n">
        <x:f>COUNTA('CoverageCases'!$D$3165:$D$3186)</x:f>
        <x:v>22</x:v>
      </x:c>
      <x:c r="F90" s="40" t="n">
        <x:f>COUNT('CoverageCases'!$O$3165:$O$3186)</x:f>
        <x:v>1</x:v>
      </x:c>
      <x:c r="G90" s="40" t="n">
        <x:f>COUNTIF('CoverageCases'!$G$3165:$G$3186,"A")</x:f>
        <x:v>21</x:v>
      </x:c>
      <x:c r="H90" s="40" t="n">
        <x:f>COUNTIF('CoverageCases'!$G$3165:$G$3186,"B")</x:f>
        <x:v>0</x:v>
      </x:c>
      <x:c r="I90" s="40" t="n">
        <x:f>COUNTIF('CoverageCases'!$G$3165:$G$3186,"UNRESOLVED")</x:f>
        <x:v>0</x:v>
      </x:c>
      <x:c r="J90" s="32" t="n">
        <x:f>IF(F90=0,"—",(SUM('CoverageCases'!$O$3165:$O$3186))/F90/100)</x:f>
        <x:v>0.5</x:v>
      </x:c>
      <x:c r="K90" s="32" t="n">
        <x:f>IF(I90&gt;0,"Pending",IF(E90-H90=0,"—",(SUM('CoverageCases'!$O$3165:$O$3186))/(E90-H90)/100))</x:f>
        <x:v>0.022727272727272728</x:v>
      </x:c>
      <x:c r="L90" s="32" t="n">
        <x:f>IF(I90&gt;0,"Pending",IF(E90=0,"—",(E90-G90)/E90))</x:f>
        <x:v>0.045454545454545456</x:v>
      </x:c>
      <x:c r="M90" s="40" t="n">
        <x:f>IF(I90&gt;0,"Pending",E90-H90)</x:f>
        <x:v>22</x:v>
      </x:c>
    </x:row>
    <x:row r="91" ht="23" customHeight="1">
      <x:c r="B91" s="17" t="str">
        <x:v>Lang</x:v>
      </x:c>
      <x:c r="C91" s="17" t="str">
        <x:v>All rounds</x:v>
      </x:c>
      <x:c r="D91" s="17" t="str">
        <x:v>Line</x:v>
      </x:c>
      <x:c r="E91" s="40" t="n">
        <x:f>COUNTA('CoverageCases'!$D$625:$D$685,'CoverageCases'!$D$1479:$D$1539)</x:f>
        <x:v>122</x:v>
      </x:c>
      <x:c r="F91" s="40" t="n">
        <x:f>COUNT('CoverageCases'!$O$625:$O$685,'CoverageCases'!$O$1479:$O$1539)</x:f>
        <x:v>70</x:v>
      </x:c>
      <x:c r="G91" s="40" t="n">
        <x:f>COUNTIF('CoverageCases'!$G$625:$G$685,"A")+COUNTIF('CoverageCases'!$G$1479:$G$1539,"A")</x:f>
        <x:v>52</x:v>
      </x:c>
      <x:c r="H91" s="40" t="n">
        <x:f>COUNTIF('CoverageCases'!$G$625:$G$685,"B")+COUNTIF('CoverageCases'!$G$1479:$G$1539,"B")</x:f>
        <x:v>0</x:v>
      </x:c>
      <x:c r="I91" s="40" t="n">
        <x:f>COUNTIF('CoverageCases'!$G$625:$G$685,"UNRESOLVED")+COUNTIF('CoverageCases'!$G$1479:$G$1539,"UNRESOLVED")</x:f>
        <x:v>0</x:v>
      </x:c>
      <x:c r="J91" s="32" t="n">
        <x:f>IF(F91=0,"—",(SUM('CoverageCases'!$O$625:$O$685,'CoverageCases'!$O$1479:$O$1539))/F91/100)</x:f>
        <x:v>0.7419342857142857</x:v>
      </x:c>
      <x:c r="K91" s="32" t="n">
        <x:f>IF(I91&gt;0,"Pending",IF(E91-H91=0,"—",(SUM('CoverageCases'!$O$625:$O$685,'CoverageCases'!$O$1479:$O$1539))/(E91-H91)/100))</x:f>
        <x:v>0.4257</x:v>
      </x:c>
      <x:c r="L91" s="32" t="n">
        <x:f>IF(I91&gt;0,"Pending",IF(E91=0,"—",(E91-G91)/E91))</x:f>
        <x:v>0.5737704918032787</x:v>
      </x:c>
      <x:c r="M91" s="40" t="n">
        <x:f>IF(I91&gt;0,"Pending",E91-H91)</x:f>
        <x:v>122</x:v>
      </x:c>
    </x:row>
    <x:row r="92" ht="23" customHeight="1">
      <x:c r="B92" s="17" t="str">
        <x:v>Lang</x:v>
      </x:c>
      <x:c r="C92" s="17" t="str">
        <x:v>All rounds</x:v>
      </x:c>
      <x:c r="D92" s="17" t="str">
        <x:v>Condition</x:v>
      </x:c>
      <x:c r="E92" s="40" t="n">
        <x:f>COUNTA('CoverageCases'!$D$2333:$D$2393,'CoverageCases'!$D$3187:$D$3247)</x:f>
        <x:v>122</x:v>
      </x:c>
      <x:c r="F92" s="40" t="n">
        <x:f>COUNT('CoverageCases'!$O$2333:$O$2393,'CoverageCases'!$O$3187:$O$3247)</x:f>
        <x:v>70</x:v>
      </x:c>
      <x:c r="G92" s="40" t="n">
        <x:f>COUNTIF('CoverageCases'!$G$2333:$G$2393,"A")+COUNTIF('CoverageCases'!$G$3187:$G$3247,"A")</x:f>
        <x:v>52</x:v>
      </x:c>
      <x:c r="H92" s="40" t="n">
        <x:f>COUNTIF('CoverageCases'!$G$2333:$G$2393,"B")+COUNTIF('CoverageCases'!$G$3187:$G$3247,"B")</x:f>
        <x:v>0</x:v>
      </x:c>
      <x:c r="I92" s="40" t="n">
        <x:f>COUNTIF('CoverageCases'!$G$2333:$G$2393,"UNRESOLVED")+COUNTIF('CoverageCases'!$G$3187:$G$3247,"UNRESOLVED")</x:f>
        <x:v>0</x:v>
      </x:c>
      <x:c r="J92" s="32" t="n">
        <x:f>IF(F92=0,"—",(SUM('CoverageCases'!$O$2333:$O$2393,'CoverageCases'!$O$3187:$O$3247))/F92/100)</x:f>
        <x:v>0.6464457142857143</x:v>
      </x:c>
      <x:c r="K92" s="32" t="n">
        <x:f>IF(I92&gt;0,"Pending",IF(E92-H92=0,"—",(SUM('CoverageCases'!$O$2333:$O$2393,'CoverageCases'!$O$3187:$O$3247))/(E92-H92)/100))</x:f>
        <x:v>0.37091147540983604</x:v>
      </x:c>
      <x:c r="L92" s="32" t="n">
        <x:f>IF(I92&gt;0,"Pending",IF(E92=0,"—",(E92-G92)/E92))</x:f>
        <x:v>0.5737704918032787</x:v>
      </x:c>
      <x:c r="M92" s="40" t="n">
        <x:f>IF(I92&gt;0,"Pending",E92-H92)</x:f>
        <x:v>122</x:v>
      </x:c>
    </x:row>
    <x:row r="93" ht="23" customHeight="1">
      <x:c r="B93" s="17" t="str">
        <x:v>Lang</x:v>
      </x:c>
      <x:c r="C93" s="17" t="str">
        <x:v>Round1</x:v>
      </x:c>
      <x:c r="D93" s="17" t="str">
        <x:v>Line</x:v>
      </x:c>
      <x:c r="E93" s="40" t="n">
        <x:f>COUNTA('CoverageCases'!$D$625:$D$685)</x:f>
        <x:v>61</x:v>
      </x:c>
      <x:c r="F93" s="40" t="n">
        <x:f>COUNT('CoverageCases'!$O$625:$O$685)</x:f>
        <x:v>25</x:v>
      </x:c>
      <x:c r="G93" s="40" t="n">
        <x:f>COUNTIF('CoverageCases'!$G$625:$G$685,"A")</x:f>
        <x:v>36</x:v>
      </x:c>
      <x:c r="H93" s="40" t="n">
        <x:f>COUNTIF('CoverageCases'!$G$625:$G$685,"B")</x:f>
        <x:v>0</x:v>
      </x:c>
      <x:c r="I93" s="40" t="n">
        <x:f>COUNTIF('CoverageCases'!$G$625:$G$685,"UNRESOLVED")</x:f>
        <x:v>0</x:v>
      </x:c>
      <x:c r="J93" s="32" t="n">
        <x:f>IF(F93=0,"—",(SUM('CoverageCases'!$O$625:$O$685))/F93/100)</x:f>
        <x:v>0.7995600000000003</x:v>
      </x:c>
      <x:c r="K93" s="32" t="n">
        <x:f>IF(I93&gt;0,"Pending",IF(E93-H93=0,"—",(SUM('CoverageCases'!$O$625:$O$685))/(E93-H93)/100))</x:f>
        <x:v>0.32768852459016407</x:v>
      </x:c>
      <x:c r="L93" s="32" t="n">
        <x:f>IF(I93&gt;0,"Pending",IF(E93=0,"—",(E93-G93)/E93))</x:f>
        <x:v>0.4098360655737705</x:v>
      </x:c>
      <x:c r="M93" s="40" t="n">
        <x:f>IF(I93&gt;0,"Pending",E93-H93)</x:f>
        <x:v>61</x:v>
      </x:c>
    </x:row>
    <x:row r="94" ht="23" customHeight="1">
      <x:c r="B94" s="17" t="str">
        <x:v>Lang</x:v>
      </x:c>
      <x:c r="C94" s="17" t="str">
        <x:v>Round1</x:v>
      </x:c>
      <x:c r="D94" s="17" t="str">
        <x:v>Condition</x:v>
      </x:c>
      <x:c r="E94" s="40" t="n">
        <x:f>COUNTA('CoverageCases'!$D$2333:$D$2393)</x:f>
        <x:v>61</x:v>
      </x:c>
      <x:c r="F94" s="40" t="n">
        <x:f>COUNT('CoverageCases'!$O$2333:$O$2393)</x:f>
        <x:v>25</x:v>
      </x:c>
      <x:c r="G94" s="40" t="n">
        <x:f>COUNTIF('CoverageCases'!$G$2333:$G$2393,"A")</x:f>
        <x:v>36</x:v>
      </x:c>
      <x:c r="H94" s="40" t="n">
        <x:f>COUNTIF('CoverageCases'!$G$2333:$G$2393,"B")</x:f>
        <x:v>0</x:v>
      </x:c>
      <x:c r="I94" s="40" t="n">
        <x:f>COUNTIF('CoverageCases'!$G$2333:$G$2393,"UNRESOLVED")</x:f>
        <x:v>0</x:v>
      </x:c>
      <x:c r="J94" s="32" t="n">
        <x:f>IF(F94=0,"—",(SUM('CoverageCases'!$O$2333:$O$2393))/F94/100)</x:f>
        <x:v>0.691516</x:v>
      </x:c>
      <x:c r="K94" s="32" t="n">
        <x:f>IF(I94&gt;0,"Pending",IF(E94-H94=0,"—",(SUM('CoverageCases'!$O$2333:$O$2393))/(E94-H94)/100))</x:f>
        <x:v>0.28340819672131146</x:v>
      </x:c>
      <x:c r="L94" s="32" t="n">
        <x:f>IF(I94&gt;0,"Pending",IF(E94=0,"—",(E94-G94)/E94))</x:f>
        <x:v>0.4098360655737705</x:v>
      </x:c>
      <x:c r="M94" s="40" t="n">
        <x:f>IF(I94&gt;0,"Pending",E94-H94)</x:f>
        <x:v>61</x:v>
      </x:c>
    </x:row>
    <x:row r="95" ht="23" customHeight="1">
      <x:c r="B95" s="17" t="str">
        <x:v>Lang</x:v>
      </x:c>
      <x:c r="C95" s="17" t="str">
        <x:v>Round2</x:v>
      </x:c>
      <x:c r="D95" s="17" t="str">
        <x:v>Line</x:v>
      </x:c>
      <x:c r="E95" s="40" t="n">
        <x:f>COUNTA('CoverageCases'!$D$1479:$D$1539)</x:f>
        <x:v>61</x:v>
      </x:c>
      <x:c r="F95" s="40" t="n">
        <x:f>COUNT('CoverageCases'!$O$1479:$O$1539)</x:f>
        <x:v>45</x:v>
      </x:c>
      <x:c r="G95" s="40" t="n">
        <x:f>COUNTIF('CoverageCases'!$G$1479:$G$1539,"A")</x:f>
        <x:v>16</x:v>
      </x:c>
      <x:c r="H95" s="40" t="n">
        <x:f>COUNTIF('CoverageCases'!$G$1479:$G$1539,"B")</x:f>
        <x:v>0</x:v>
      </x:c>
      <x:c r="I95" s="40" t="n">
        <x:f>COUNTIF('CoverageCases'!$G$1479:$G$1539,"UNRESOLVED")</x:f>
        <x:v>0</x:v>
      </x:c>
      <x:c r="J95" s="32" t="n">
        <x:f>IF(F95=0,"—",(SUM('CoverageCases'!$O$1479:$O$1539))/F95/100)</x:f>
        <x:v>0.7099199999999999</x:v>
      </x:c>
      <x:c r="K95" s="32" t="n">
        <x:f>IF(I95&gt;0,"Pending",IF(E95-H95=0,"—",(SUM('CoverageCases'!$O$1479:$O$1539))/(E95-H95)/100))</x:f>
        <x:v>0.523711475409836</x:v>
      </x:c>
      <x:c r="L95" s="32" t="n">
        <x:f>IF(I95&gt;0,"Pending",IF(E95=0,"—",(E95-G95)/E95))</x:f>
        <x:v>0.7377049180327869</x:v>
      </x:c>
      <x:c r="M95" s="40" t="n">
        <x:f>IF(I95&gt;0,"Pending",E95-H95)</x:f>
        <x:v>61</x:v>
      </x:c>
    </x:row>
    <x:row r="96" ht="23" customHeight="1">
      <x:c r="B96" s="17" t="str">
        <x:v>Lang</x:v>
      </x:c>
      <x:c r="C96" s="17" t="str">
        <x:v>Round2</x:v>
      </x:c>
      <x:c r="D96" s="17" t="str">
        <x:v>Condition</x:v>
      </x:c>
      <x:c r="E96" s="40" t="n">
        <x:f>COUNTA('CoverageCases'!$D$3187:$D$3247)</x:f>
        <x:v>61</x:v>
      </x:c>
      <x:c r="F96" s="40" t="n">
        <x:f>COUNT('CoverageCases'!$O$3187:$O$3247)</x:f>
        <x:v>45</x:v>
      </x:c>
      <x:c r="G96" s="40" t="n">
        <x:f>COUNTIF('CoverageCases'!$G$3187:$G$3247,"A")</x:f>
        <x:v>16</x:v>
      </x:c>
      <x:c r="H96" s="40" t="n">
        <x:f>COUNTIF('CoverageCases'!$G$3187:$G$3247,"B")</x:f>
        <x:v>0</x:v>
      </x:c>
      <x:c r="I96" s="40" t="n">
        <x:f>COUNTIF('CoverageCases'!$G$3187:$G$3247,"UNRESOLVED")</x:f>
        <x:v>0</x:v>
      </x:c>
      <x:c r="J96" s="32" t="n">
        <x:f>IF(F96=0,"—",(SUM('CoverageCases'!$O$3187:$O$3247))/F96/100)</x:f>
        <x:v>0.6214066666666667</x:v>
      </x:c>
      <x:c r="K96" s="32" t="n">
        <x:f>IF(I96&gt;0,"Pending",IF(E96-H96=0,"—",(SUM('CoverageCases'!$O$3187:$O$3247))/(E96-H96)/100))</x:f>
        <x:v>0.45841475409836063</x:v>
      </x:c>
      <x:c r="L96" s="32" t="n">
        <x:f>IF(I96&gt;0,"Pending",IF(E96=0,"—",(E96-G96)/E96))</x:f>
        <x:v>0.7377049180327869</x:v>
      </x:c>
      <x:c r="M96" s="40" t="n">
        <x:f>IF(I96&gt;0,"Pending",E96-H96)</x:f>
        <x:v>61</x:v>
      </x:c>
    </x:row>
    <x:row r="97" ht="23" customHeight="1">
      <x:c r="B97" s="17" t="str">
        <x:v>Math</x:v>
      </x:c>
      <x:c r="C97" s="17" t="str">
        <x:v>All rounds</x:v>
      </x:c>
      <x:c r="D97" s="17" t="str">
        <x:v>Line</x:v>
      </x:c>
      <x:c r="E97" s="40" t="n">
        <x:f>COUNTA('CoverageCases'!$D$686:$D$791,'CoverageCases'!$D$1540:$D$1645)</x:f>
        <x:v>212</x:v>
      </x:c>
      <x:c r="F97" s="40" t="n">
        <x:f>COUNT('CoverageCases'!$O$686:$O$791,'CoverageCases'!$O$1540:$O$1645)</x:f>
        <x:v>145</x:v>
      </x:c>
      <x:c r="G97" s="40" t="n">
        <x:f>COUNTIF('CoverageCases'!$G$686:$G$791,"A")+COUNTIF('CoverageCases'!$G$1540:$G$1645,"A")</x:f>
        <x:v>67</x:v>
      </x:c>
      <x:c r="H97" s="40" t="n">
        <x:f>COUNTIF('CoverageCases'!$G$686:$G$791,"B")+COUNTIF('CoverageCases'!$G$1540:$G$1645,"B")</x:f>
        <x:v>0</x:v>
      </x:c>
      <x:c r="I97" s="40" t="n">
        <x:f>COUNTIF('CoverageCases'!$G$686:$G$791,"UNRESOLVED")+COUNTIF('CoverageCases'!$G$1540:$G$1645,"UNRESOLVED")</x:f>
        <x:v>0</x:v>
      </x:c>
      <x:c r="J97" s="32" t="n">
        <x:f>IF(F97=0,"—",(SUM('CoverageCases'!$O$686:$O$791,'CoverageCases'!$O$1540:$O$1645))/F97/100)</x:f>
        <x:v>0.817106896551724</x:v>
      </x:c>
      <x:c r="K97" s="32" t="n">
        <x:f>IF(I97&gt;0,"Pending",IF(E97-H97=0,"—",(SUM('CoverageCases'!$O$686:$O$791,'CoverageCases'!$O$1540:$O$1645))/(E97-H97)/100))</x:f>
        <x:v>0.5588702830188679</x:v>
      </x:c>
      <x:c r="L97" s="32" t="n">
        <x:f>IF(I97&gt;0,"Pending",IF(E97=0,"—",(E97-G97)/E97))</x:f>
        <x:v>0.6839622641509434</x:v>
      </x:c>
      <x:c r="M97" s="40" t="n">
        <x:f>IF(I97&gt;0,"Pending",E97-H97)</x:f>
        <x:v>212</x:v>
      </x:c>
    </x:row>
    <x:row r="98" ht="23" customHeight="1">
      <x:c r="B98" s="17" t="str">
        <x:v>Math</x:v>
      </x:c>
      <x:c r="C98" s="17" t="str">
        <x:v>All rounds</x:v>
      </x:c>
      <x:c r="D98" s="17" t="str">
        <x:v>Condition</x:v>
      </x:c>
      <x:c r="E98" s="40" t="n">
        <x:f>COUNTA('CoverageCases'!$D$2394:$D$2499,'CoverageCases'!$D$3248:$D$3353)</x:f>
        <x:v>212</x:v>
      </x:c>
      <x:c r="F98" s="40" t="n">
        <x:f>COUNT('CoverageCases'!$O$2394:$O$2499,'CoverageCases'!$O$3248:$O$3353)</x:f>
        <x:v>145</x:v>
      </x:c>
      <x:c r="G98" s="40" t="n">
        <x:f>COUNTIF('CoverageCases'!$G$2394:$G$2499,"A")+COUNTIF('CoverageCases'!$G$3248:$G$3353,"A")</x:f>
        <x:v>67</x:v>
      </x:c>
      <x:c r="H98" s="40" t="n">
        <x:f>COUNTIF('CoverageCases'!$G$2394:$G$2499,"B")+COUNTIF('CoverageCases'!$G$3248:$G$3353,"B")</x:f>
        <x:v>0</x:v>
      </x:c>
      <x:c r="I98" s="40" t="n">
        <x:f>COUNTIF('CoverageCases'!$G$2394:$G$2499,"UNRESOLVED")+COUNTIF('CoverageCases'!$G$3248:$G$3353,"UNRESOLVED")</x:f>
        <x:v>0</x:v>
      </x:c>
      <x:c r="J98" s="32" t="n">
        <x:f>IF(F98=0,"—",(SUM('CoverageCases'!$O$2394:$O$2499,'CoverageCases'!$O$3248:$O$3353))/F98/100)</x:f>
        <x:v>0.7555282758620687</x:v>
      </x:c>
      <x:c r="K98" s="32" t="n">
        <x:f>IF(I98&gt;0,"Pending",IF(E98-H98=0,"—",(SUM('CoverageCases'!$O$2394:$O$2499,'CoverageCases'!$O$3248:$O$3353))/(E98-H98)/100))</x:f>
        <x:v>0.5167528301886791</x:v>
      </x:c>
      <x:c r="L98" s="32" t="n">
        <x:f>IF(I98&gt;0,"Pending",IF(E98=0,"—",(E98-G98)/E98))</x:f>
        <x:v>0.6839622641509434</x:v>
      </x:c>
      <x:c r="M98" s="40" t="n">
        <x:f>IF(I98&gt;0,"Pending",E98-H98)</x:f>
        <x:v>212</x:v>
      </x:c>
    </x:row>
    <x:row r="99" ht="23" customHeight="1">
      <x:c r="B99" s="17" t="str">
        <x:v>Math</x:v>
      </x:c>
      <x:c r="C99" s="17" t="str">
        <x:v>Round1</x:v>
      </x:c>
      <x:c r="D99" s="17" t="str">
        <x:v>Line</x:v>
      </x:c>
      <x:c r="E99" s="40" t="n">
        <x:f>COUNTA('CoverageCases'!$D$686:$D$791)</x:f>
        <x:v>106</x:v>
      </x:c>
      <x:c r="F99" s="40" t="n">
        <x:f>COUNT('CoverageCases'!$O$686:$O$791)</x:f>
        <x:v>53</x:v>
      </x:c>
      <x:c r="G99" s="40" t="n">
        <x:f>COUNTIF('CoverageCases'!$G$686:$G$791,"A")</x:f>
        <x:v>53</x:v>
      </x:c>
      <x:c r="H99" s="40" t="n">
        <x:f>COUNTIF('CoverageCases'!$G$686:$G$791,"B")</x:f>
        <x:v>0</x:v>
      </x:c>
      <x:c r="I99" s="40" t="n">
        <x:f>COUNTIF('CoverageCases'!$G$686:$G$791,"UNRESOLVED")</x:f>
        <x:v>0</x:v>
      </x:c>
      <x:c r="J99" s="32" t="n">
        <x:f>IF(F99=0,"—",(SUM('CoverageCases'!$O$686:$O$791))/F99/100)</x:f>
        <x:v>0.818132075471698</x:v>
      </x:c>
      <x:c r="K99" s="32" t="n">
        <x:f>IF(I99&gt;0,"Pending",IF(E99-H99=0,"—",(SUM('CoverageCases'!$O$686:$O$791))/(E99-H99)/100))</x:f>
        <x:v>0.409066037735849</x:v>
      </x:c>
      <x:c r="L99" s="32" t="n">
        <x:f>IF(I99&gt;0,"Pending",IF(E99=0,"—",(E99-G99)/E99))</x:f>
        <x:v>0.5</x:v>
      </x:c>
      <x:c r="M99" s="40" t="n">
        <x:f>IF(I99&gt;0,"Pending",E99-H99)</x:f>
        <x:v>106</x:v>
      </x:c>
    </x:row>
    <x:row r="100" ht="23" customHeight="1">
      <x:c r="B100" s="17" t="str">
        <x:v>Math</x:v>
      </x:c>
      <x:c r="C100" s="17" t="str">
        <x:v>Round1</x:v>
      </x:c>
      <x:c r="D100" s="17" t="str">
        <x:v>Condition</x:v>
      </x:c>
      <x:c r="E100" s="40" t="n">
        <x:f>COUNTA('CoverageCases'!$D$2394:$D$2499)</x:f>
        <x:v>106</x:v>
      </x:c>
      <x:c r="F100" s="40" t="n">
        <x:f>COUNT('CoverageCases'!$O$2394:$O$2499)</x:f>
        <x:v>53</x:v>
      </x:c>
      <x:c r="G100" s="40" t="n">
        <x:f>COUNTIF('CoverageCases'!$G$2394:$G$2499,"A")</x:f>
        <x:v>53</x:v>
      </x:c>
      <x:c r="H100" s="40" t="n">
        <x:f>COUNTIF('CoverageCases'!$G$2394:$G$2499,"B")</x:f>
        <x:v>0</x:v>
      </x:c>
      <x:c r="I100" s="40" t="n">
        <x:f>COUNTIF('CoverageCases'!$G$2394:$G$2499,"UNRESOLVED")</x:f>
        <x:v>0</x:v>
      </x:c>
      <x:c r="J100" s="32" t="n">
        <x:f>IF(F100=0,"—",(SUM('CoverageCases'!$O$2394:$O$2499))/F100/100)</x:f>
        <x:v>0.7671075471698113</x:v>
      </x:c>
      <x:c r="K100" s="32" t="n">
        <x:f>IF(I100&gt;0,"Pending",IF(E100-H100=0,"—",(SUM('CoverageCases'!$O$2394:$O$2499))/(E100-H100)/100))</x:f>
        <x:v>0.38355377358490567</x:v>
      </x:c>
      <x:c r="L100" s="32" t="n">
        <x:f>IF(I100&gt;0,"Pending",IF(E100=0,"—",(E100-G100)/E100))</x:f>
        <x:v>0.5</x:v>
      </x:c>
      <x:c r="M100" s="40" t="n">
        <x:f>IF(I100&gt;0,"Pending",E100-H100)</x:f>
        <x:v>106</x:v>
      </x:c>
    </x:row>
    <x:row r="101" ht="23" customHeight="1">
      <x:c r="B101" s="17" t="str">
        <x:v>Math</x:v>
      </x:c>
      <x:c r="C101" s="17" t="str">
        <x:v>Round2</x:v>
      </x:c>
      <x:c r="D101" s="17" t="str">
        <x:v>Line</x:v>
      </x:c>
      <x:c r="E101" s="40" t="n">
        <x:f>COUNTA('CoverageCases'!$D$1540:$D$1645)</x:f>
        <x:v>106</x:v>
      </x:c>
      <x:c r="F101" s="40" t="n">
        <x:f>COUNT('CoverageCases'!$O$1540:$O$1645)</x:f>
        <x:v>92</x:v>
      </x:c>
      <x:c r="G101" s="40" t="n">
        <x:f>COUNTIF('CoverageCases'!$G$1540:$G$1645,"A")</x:f>
        <x:v>14</x:v>
      </x:c>
      <x:c r="H101" s="40" t="n">
        <x:f>COUNTIF('CoverageCases'!$G$1540:$G$1645,"B")</x:f>
        <x:v>0</x:v>
      </x:c>
      <x:c r="I101" s="40" t="n">
        <x:f>COUNTIF('CoverageCases'!$G$1540:$G$1645,"UNRESOLVED")</x:f>
        <x:v>0</x:v>
      </x:c>
      <x:c r="J101" s="32" t="n">
        <x:f>IF(F101=0,"—",(SUM('CoverageCases'!$O$1540:$O$1645))/F101/100)</x:f>
        <x:v>0.8165163043478261</x:v>
      </x:c>
      <x:c r="K101" s="32" t="n">
        <x:f>IF(I101&gt;0,"Pending",IF(E101-H101=0,"—",(SUM('CoverageCases'!$O$1540:$O$1645))/(E101-H101)/100))</x:f>
        <x:v>0.7086745283018868</x:v>
      </x:c>
      <x:c r="L101" s="32" t="n">
        <x:f>IF(I101&gt;0,"Pending",IF(E101=0,"—",(E101-G101)/E101))</x:f>
        <x:v>0.8679245283018868</x:v>
      </x:c>
      <x:c r="M101" s="40" t="n">
        <x:f>IF(I101&gt;0,"Pending",E101-H101)</x:f>
        <x:v>106</x:v>
      </x:c>
    </x:row>
    <x:row r="102" ht="23" customHeight="1">
      <x:c r="B102" s="17" t="str">
        <x:v>Math</x:v>
      </x:c>
      <x:c r="C102" s="17" t="str">
        <x:v>Round2</x:v>
      </x:c>
      <x:c r="D102" s="17" t="str">
        <x:v>Condition</x:v>
      </x:c>
      <x:c r="E102" s="40" t="n">
        <x:f>COUNTA('CoverageCases'!$D$3248:$D$3353)</x:f>
        <x:v>106</x:v>
      </x:c>
      <x:c r="F102" s="40" t="n">
        <x:f>COUNT('CoverageCases'!$O$3248:$O$3353)</x:f>
        <x:v>92</x:v>
      </x:c>
      <x:c r="G102" s="40" t="n">
        <x:f>COUNTIF('CoverageCases'!$G$3248:$G$3353,"A")</x:f>
        <x:v>14</x:v>
      </x:c>
      <x:c r="H102" s="40" t="n">
        <x:f>COUNTIF('CoverageCases'!$G$3248:$G$3353,"B")</x:f>
        <x:v>0</x:v>
      </x:c>
      <x:c r="I102" s="40" t="n">
        <x:f>COUNTIF('CoverageCases'!$G$3248:$G$3353,"UNRESOLVED")</x:f>
        <x:v>0</x:v>
      </x:c>
      <x:c r="J102" s="32" t="n">
        <x:f>IF(F102=0,"—",(SUM('CoverageCases'!$O$3248:$O$3353))/F102/100)</x:f>
        <x:v>0.7488576086956518</x:v>
      </x:c>
      <x:c r="K102" s="32" t="n">
        <x:f>IF(I102&gt;0,"Pending",IF(E102-H102=0,"—",(SUM('CoverageCases'!$O$3248:$O$3353))/(E102-H102)/100))</x:f>
        <x:v>0.6499518867924524</x:v>
      </x:c>
      <x:c r="L102" s="32" t="n">
        <x:f>IF(I102&gt;0,"Pending",IF(E102=0,"—",(E102-G102)/E102))</x:f>
        <x:v>0.8679245283018868</x:v>
      </x:c>
      <x:c r="M102" s="40" t="n">
        <x:f>IF(I102&gt;0,"Pending",E102-H102)</x:f>
        <x:v>106</x:v>
      </x:c>
    </x:row>
    <x:row r="103" ht="23" customHeight="1">
      <x:c r="B103" s="17" t="str">
        <x:v>Mockito</x:v>
      </x:c>
      <x:c r="C103" s="17" t="str">
        <x:v>All rounds</x:v>
      </x:c>
      <x:c r="D103" s="17" t="str">
        <x:v>Line</x:v>
      </x:c>
      <x:c r="E103" s="40" t="n">
        <x:f>COUNTA('CoverageCases'!$D$792:$D$829,'CoverageCases'!$D$1646:$D$1683)</x:f>
        <x:v>76</x:v>
      </x:c>
      <x:c r="F103" s="40" t="n">
        <x:f>COUNT('CoverageCases'!$O$792:$O$829,'CoverageCases'!$O$1646:$O$1683)</x:f>
        <x:v>30</x:v>
      </x:c>
      <x:c r="G103" s="40" t="n">
        <x:f>COUNTIF('CoverageCases'!$G$792:$G$829,"A")+COUNTIF('CoverageCases'!$G$1646:$G$1683,"A")</x:f>
        <x:v>46</x:v>
      </x:c>
      <x:c r="H103" s="40" t="n">
        <x:f>COUNTIF('CoverageCases'!$G$792:$G$829,"B")+COUNTIF('CoverageCases'!$G$1646:$G$1683,"B")</x:f>
        <x:v>0</x:v>
      </x:c>
      <x:c r="I103" s="40" t="n">
        <x:f>COUNTIF('CoverageCases'!$G$792:$G$829,"UNRESOLVED")+COUNTIF('CoverageCases'!$G$1646:$G$1683,"UNRESOLVED")</x:f>
        <x:v>0</x:v>
      </x:c>
      <x:c r="J103" s="32" t="n">
        <x:f>IF(F103=0,"—",(SUM('CoverageCases'!$O$792:$O$829,'CoverageCases'!$O$1646:$O$1683))/F103/100)</x:f>
        <x:v>0.9226000000000001</x:v>
      </x:c>
      <x:c r="K103" s="32" t="n">
        <x:f>IF(I103&gt;0,"Pending",IF(E103-H103=0,"—",(SUM('CoverageCases'!$O$792:$O$829,'CoverageCases'!$O$1646:$O$1683))/(E103-H103)/100))</x:f>
        <x:v>0.3641842105263158</x:v>
      </x:c>
      <x:c r="L103" s="32" t="n">
        <x:f>IF(I103&gt;0,"Pending",IF(E103=0,"—",(E103-G103)/E103))</x:f>
        <x:v>0.39473684210526316</x:v>
      </x:c>
      <x:c r="M103" s="40" t="n">
        <x:f>IF(I103&gt;0,"Pending",E103-H103)</x:f>
        <x:v>76</x:v>
      </x:c>
    </x:row>
    <x:row r="104" ht="23" customHeight="1">
      <x:c r="B104" s="17" t="str">
        <x:v>Mockito</x:v>
      </x:c>
      <x:c r="C104" s="17" t="str">
        <x:v>All rounds</x:v>
      </x:c>
      <x:c r="D104" s="17" t="str">
        <x:v>Condition</x:v>
      </x:c>
      <x:c r="E104" s="40" t="n">
        <x:f>COUNTA('CoverageCases'!$D$2500:$D$2537,'CoverageCases'!$D$3354:$D$3391)</x:f>
        <x:v>76</x:v>
      </x:c>
      <x:c r="F104" s="40" t="n">
        <x:f>COUNT('CoverageCases'!$O$2500:$O$2537,'CoverageCases'!$O$3354:$O$3391)</x:f>
        <x:v>25</x:v>
      </x:c>
      <x:c r="G104" s="40" t="n">
        <x:f>COUNTIF('CoverageCases'!$G$2500:$G$2537,"A")+COUNTIF('CoverageCases'!$G$3354:$G$3391,"A")</x:f>
        <x:v>46</x:v>
      </x:c>
      <x:c r="H104" s="40" t="n">
        <x:f>COUNTIF('CoverageCases'!$G$2500:$G$2537,"B")+COUNTIF('CoverageCases'!$G$3354:$G$3391,"B")</x:f>
        <x:v>5</x:v>
      </x:c>
      <x:c r="I104" s="40" t="n">
        <x:f>COUNTIF('CoverageCases'!$G$2500:$G$2537,"UNRESOLVED")+COUNTIF('CoverageCases'!$G$3354:$G$3391,"UNRESOLVED")</x:f>
        <x:v>0</x:v>
      </x:c>
      <x:c r="J104" s="32" t="n">
        <x:f>IF(F104=0,"—",(SUM('CoverageCases'!$O$2500:$O$2537,'CoverageCases'!$O$3354:$O$3391))/F104/100)</x:f>
        <x:v>0.7887280000000001</x:v>
      </x:c>
      <x:c r="K104" s="32" t="n">
        <x:f>IF(I104&gt;0,"Pending",IF(E104-H104=0,"—",(SUM('CoverageCases'!$O$2500:$O$2537,'CoverageCases'!$O$3354:$O$3391))/(E104-H104)/100))</x:f>
        <x:v>0.27772112676056343</x:v>
      </x:c>
      <x:c r="L104" s="32" t="n">
        <x:f>IF(I104&gt;0,"Pending",IF(E104=0,"—",(E104-G104)/E104))</x:f>
        <x:v>0.39473684210526316</x:v>
      </x:c>
      <x:c r="M104" s="40" t="n">
        <x:f>IF(I104&gt;0,"Pending",E104-H104)</x:f>
        <x:v>71</x:v>
      </x:c>
    </x:row>
    <x:row r="105" ht="23" customHeight="1">
      <x:c r="B105" s="17" t="str">
        <x:v>Mockito</x:v>
      </x:c>
      <x:c r="C105" s="17" t="str">
        <x:v>Round1</x:v>
      </x:c>
      <x:c r="D105" s="17" t="str">
        <x:v>Line</x:v>
      </x:c>
      <x:c r="E105" s="40" t="n">
        <x:f>COUNTA('CoverageCases'!$D$792:$D$829)</x:f>
        <x:v>38</x:v>
      </x:c>
      <x:c r="F105" s="40" t="n">
        <x:f>COUNT('CoverageCases'!$O$792:$O$829)</x:f>
        <x:v>11</x:v>
      </x:c>
      <x:c r="G105" s="40" t="n">
        <x:f>COUNTIF('CoverageCases'!$G$792:$G$829,"A")</x:f>
        <x:v>27</x:v>
      </x:c>
      <x:c r="H105" s="40" t="n">
        <x:f>COUNTIF('CoverageCases'!$G$792:$G$829,"B")</x:f>
        <x:v>0</x:v>
      </x:c>
      <x:c r="I105" s="40" t="n">
        <x:f>COUNTIF('CoverageCases'!$G$792:$G$829,"UNRESOLVED")</x:f>
        <x:v>0</x:v>
      </x:c>
      <x:c r="J105" s="32" t="n">
        <x:f>IF(F105=0,"—",(SUM('CoverageCases'!$O$792:$O$829))/F105/100)</x:f>
        <x:v>0.9200818181818182</x:v>
      </x:c>
      <x:c r="K105" s="32" t="n">
        <x:f>IF(I105&gt;0,"Pending",IF(E105-H105=0,"—",(SUM('CoverageCases'!$O$792:$O$829))/(E105-H105)/100))</x:f>
        <x:v>0.26633947368421057</x:v>
      </x:c>
      <x:c r="L105" s="32" t="n">
        <x:f>IF(I105&gt;0,"Pending",IF(E105=0,"—",(E105-G105)/E105))</x:f>
        <x:v>0.2894736842105263</x:v>
      </x:c>
      <x:c r="M105" s="40" t="n">
        <x:f>IF(I105&gt;0,"Pending",E105-H105)</x:f>
        <x:v>38</x:v>
      </x:c>
    </x:row>
    <x:row r="106" ht="23" customHeight="1">
      <x:c r="B106" s="17" t="str">
        <x:v>Mockito</x:v>
      </x:c>
      <x:c r="C106" s="17" t="str">
        <x:v>Round1</x:v>
      </x:c>
      <x:c r="D106" s="17" t="str">
        <x:v>Condition</x:v>
      </x:c>
      <x:c r="E106" s="40" t="n">
        <x:f>COUNTA('CoverageCases'!$D$2500:$D$2537)</x:f>
        <x:v>38</x:v>
      </x:c>
      <x:c r="F106" s="40" t="n">
        <x:f>COUNT('CoverageCases'!$O$2500:$O$2537)</x:f>
        <x:v>9</x:v>
      </x:c>
      <x:c r="G106" s="40" t="n">
        <x:f>COUNTIF('CoverageCases'!$G$2500:$G$2537,"A")</x:f>
        <x:v>27</x:v>
      </x:c>
      <x:c r="H106" s="40" t="n">
        <x:f>COUNTIF('CoverageCases'!$G$2500:$G$2537,"B")</x:f>
        <x:v>2</x:v>
      </x:c>
      <x:c r="I106" s="40" t="n">
        <x:f>COUNTIF('CoverageCases'!$G$2500:$G$2537,"UNRESOLVED")</x:f>
        <x:v>0</x:v>
      </x:c>
      <x:c r="J106" s="32" t="n">
        <x:f>IF(F106=0,"—",(SUM('CoverageCases'!$O$2500:$O$2537))/F106/100)</x:f>
        <x:v>0.7388444444444445</x:v>
      </x:c>
      <x:c r="K106" s="32" t="n">
        <x:f>IF(I106&gt;0,"Pending",IF(E106-H106=0,"—",(SUM('CoverageCases'!$O$2500:$O$2537))/(E106-H106)/100))</x:f>
        <x:v>0.18471111111111113</x:v>
      </x:c>
      <x:c r="L106" s="32" t="n">
        <x:f>IF(I106&gt;0,"Pending",IF(E106=0,"—",(E106-G106)/E106))</x:f>
        <x:v>0.2894736842105263</x:v>
      </x:c>
      <x:c r="M106" s="40" t="n">
        <x:f>IF(I106&gt;0,"Pending",E106-H106)</x:f>
        <x:v>36</x:v>
      </x:c>
    </x:row>
    <x:row r="107" ht="23" customHeight="1">
      <x:c r="B107" s="17" t="str">
        <x:v>Mockito</x:v>
      </x:c>
      <x:c r="C107" s="17" t="str">
        <x:v>Round2</x:v>
      </x:c>
      <x:c r="D107" s="17" t="str">
        <x:v>Line</x:v>
      </x:c>
      <x:c r="E107" s="40" t="n">
        <x:f>COUNTA('CoverageCases'!$D$1646:$D$1683)</x:f>
        <x:v>38</x:v>
      </x:c>
      <x:c r="F107" s="40" t="n">
        <x:f>COUNT('CoverageCases'!$O$1646:$O$1683)</x:f>
        <x:v>19</x:v>
      </x:c>
      <x:c r="G107" s="40" t="n">
        <x:f>COUNTIF('CoverageCases'!$G$1646:$G$1683,"A")</x:f>
        <x:v>19</x:v>
      </x:c>
      <x:c r="H107" s="40" t="n">
        <x:f>COUNTIF('CoverageCases'!$G$1646:$G$1683,"B")</x:f>
        <x:v>0</x:v>
      </x:c>
      <x:c r="I107" s="40" t="n">
        <x:f>COUNTIF('CoverageCases'!$G$1646:$G$1683,"UNRESOLVED")</x:f>
        <x:v>0</x:v>
      </x:c>
      <x:c r="J107" s="32" t="n">
        <x:f>IF(F107=0,"—",(SUM('CoverageCases'!$O$1646:$O$1683))/F107/100)</x:f>
        <x:v>0.9240578947368421</x:v>
      </x:c>
      <x:c r="K107" s="32" t="n">
        <x:f>IF(I107&gt;0,"Pending",IF(E107-H107=0,"—",(SUM('CoverageCases'!$O$1646:$O$1683))/(E107-H107)/100))</x:f>
        <x:v>0.46202894736842104</x:v>
      </x:c>
      <x:c r="L107" s="32" t="n">
        <x:f>IF(I107&gt;0,"Pending",IF(E107=0,"—",(E107-G107)/E107))</x:f>
        <x:v>0.5</x:v>
      </x:c>
      <x:c r="M107" s="40" t="n">
        <x:f>IF(I107&gt;0,"Pending",E107-H107)</x:f>
        <x:v>38</x:v>
      </x:c>
    </x:row>
    <x:row r="108" ht="23" customHeight="1">
      <x:c r="B108" s="17" t="str">
        <x:v>Mockito</x:v>
      </x:c>
      <x:c r="C108" s="17" t="str">
        <x:v>Round2</x:v>
      </x:c>
      <x:c r="D108" s="17" t="str">
        <x:v>Condition</x:v>
      </x:c>
      <x:c r="E108" s="40" t="n">
        <x:f>COUNTA('CoverageCases'!$D$3354:$D$3391)</x:f>
        <x:v>38</x:v>
      </x:c>
      <x:c r="F108" s="40" t="n">
        <x:f>COUNT('CoverageCases'!$O$3354:$O$3391)</x:f>
        <x:v>16</x:v>
      </x:c>
      <x:c r="G108" s="40" t="n">
        <x:f>COUNTIF('CoverageCases'!$G$3354:$G$3391,"A")</x:f>
        <x:v>19</x:v>
      </x:c>
      <x:c r="H108" s="40" t="n">
        <x:f>COUNTIF('CoverageCases'!$G$3354:$G$3391,"B")</x:f>
        <x:v>3</x:v>
      </x:c>
      <x:c r="I108" s="40" t="n">
        <x:f>COUNTIF('CoverageCases'!$G$3354:$G$3391,"UNRESOLVED")</x:f>
        <x:v>0</x:v>
      </x:c>
      <x:c r="J108" s="32" t="n">
        <x:f>IF(F108=0,"—",(SUM('CoverageCases'!$O$3354:$O$3391))/F108/100)</x:f>
        <x:v>0.8167875000000001</x:v>
      </x:c>
      <x:c r="K108" s="32" t="n">
        <x:f>IF(I108&gt;0,"Pending",IF(E108-H108=0,"—",(SUM('CoverageCases'!$O$3354:$O$3391))/(E108-H108)/100))</x:f>
        <x:v>0.37338857142857146</x:v>
      </x:c>
      <x:c r="L108" s="32" t="n">
        <x:f>IF(I108&gt;0,"Pending",IF(E108=0,"—",(E108-G108)/E108))</x:f>
        <x:v>0.5</x:v>
      </x:c>
      <x:c r="M108" s="40" t="n">
        <x:f>IF(I108&gt;0,"Pending",E108-H108)</x:f>
        <x:v>35</x:v>
      </x:c>
    </x:row>
    <x:row r="109" ht="23" customHeight="1">
      <x:c r="B109" s="17" t="str">
        <x:v>Time</x:v>
      </x:c>
      <x:c r="C109" s="17" t="str">
        <x:v>All rounds</x:v>
      </x:c>
      <x:c r="D109" s="17" t="str">
        <x:v>Line</x:v>
      </x:c>
      <x:c r="E109" s="40" t="n">
        <x:f>COUNTA('CoverageCases'!$D$830:$D$855,'CoverageCases'!$D$1684:$D$1709)</x:f>
        <x:v>52</x:v>
      </x:c>
      <x:c r="F109" s="40" t="n">
        <x:f>COUNT('CoverageCases'!$O$830:$O$855,'CoverageCases'!$O$1684:$O$1709)</x:f>
        <x:v>24</x:v>
      </x:c>
      <x:c r="G109" s="40" t="n">
        <x:f>COUNTIF('CoverageCases'!$G$830:$G$855,"A")+COUNTIF('CoverageCases'!$G$1684:$G$1709,"A")</x:f>
        <x:v>28</x:v>
      </x:c>
      <x:c r="H109" s="40" t="n">
        <x:f>COUNTIF('CoverageCases'!$G$830:$G$855,"B")+COUNTIF('CoverageCases'!$G$1684:$G$1709,"B")</x:f>
        <x:v>0</x:v>
      </x:c>
      <x:c r="I109" s="40" t="n">
        <x:f>COUNTIF('CoverageCases'!$G$830:$G$855,"UNRESOLVED")+COUNTIF('CoverageCases'!$G$1684:$G$1709,"UNRESOLVED")</x:f>
        <x:v>0</x:v>
      </x:c>
      <x:c r="J109" s="32" t="n">
        <x:f>IF(F109=0,"—",(SUM('CoverageCases'!$O$830:$O$855,'CoverageCases'!$O$1684:$O$1709))/F109/100)</x:f>
        <x:v>0.5891125</x:v>
      </x:c>
      <x:c r="K109" s="32" t="n">
        <x:f>IF(I109&gt;0,"Pending",IF(E109-H109=0,"—",(SUM('CoverageCases'!$O$830:$O$855,'CoverageCases'!$O$1684:$O$1709))/(E109-H109)/100))</x:f>
        <x:v>0.27189807692307694</x:v>
      </x:c>
      <x:c r="L109" s="32" t="n">
        <x:f>IF(I109&gt;0,"Pending",IF(E109=0,"—",(E109-G109)/E109))</x:f>
        <x:v>0.46153846153846156</x:v>
      </x:c>
      <x:c r="M109" s="40" t="n">
        <x:f>IF(I109&gt;0,"Pending",E109-H109)</x:f>
        <x:v>52</x:v>
      </x:c>
    </x:row>
    <x:row r="110" ht="23" customHeight="1">
      <x:c r="B110" s="17" t="str">
        <x:v>Time</x:v>
      </x:c>
      <x:c r="C110" s="17" t="str">
        <x:v>All rounds</x:v>
      </x:c>
      <x:c r="D110" s="17" t="str">
        <x:v>Condition</x:v>
      </x:c>
      <x:c r="E110" s="40" t="n">
        <x:f>COUNTA('CoverageCases'!$D$2538:$D$2563,'CoverageCases'!$D$3392:$D$3417)</x:f>
        <x:v>52</x:v>
      </x:c>
      <x:c r="F110" s="40" t="n">
        <x:f>COUNT('CoverageCases'!$O$2538:$O$2563,'CoverageCases'!$O$3392:$O$3417)</x:f>
        <x:v>24</x:v>
      </x:c>
      <x:c r="G110" s="40" t="n">
        <x:f>COUNTIF('CoverageCases'!$G$2538:$G$2563,"A")+COUNTIF('CoverageCases'!$G$3392:$G$3417,"A")</x:f>
        <x:v>28</x:v>
      </x:c>
      <x:c r="H110" s="40" t="n">
        <x:f>COUNTIF('CoverageCases'!$G$2538:$G$2563,"B")+COUNTIF('CoverageCases'!$G$3392:$G$3417,"B")</x:f>
        <x:v>0</x:v>
      </x:c>
      <x:c r="I110" s="40" t="n">
        <x:f>COUNTIF('CoverageCases'!$G$2538:$G$2563,"UNRESOLVED")+COUNTIF('CoverageCases'!$G$3392:$G$3417,"UNRESOLVED")</x:f>
        <x:v>0</x:v>
      </x:c>
      <x:c r="J110" s="32" t="n">
        <x:f>IF(F110=0,"—",(SUM('CoverageCases'!$O$2538:$O$2563,'CoverageCases'!$O$3392:$O$3417))/F110/100)</x:f>
        <x:v>0.4576833333333332</x:v>
      </x:c>
      <x:c r="K110" s="32" t="n">
        <x:f>IF(I110&gt;0,"Pending",IF(E110-H110=0,"—",(SUM('CoverageCases'!$O$2538:$O$2563,'CoverageCases'!$O$3392:$O$3417))/(E110-H110)/100))</x:f>
        <x:v>0.2112384615384615</x:v>
      </x:c>
      <x:c r="L110" s="32" t="n">
        <x:f>IF(I110&gt;0,"Pending",IF(E110=0,"—",(E110-G110)/E110))</x:f>
        <x:v>0.46153846153846156</x:v>
      </x:c>
      <x:c r="M110" s="40" t="n">
        <x:f>IF(I110&gt;0,"Pending",E110-H110)</x:f>
        <x:v>52</x:v>
      </x:c>
    </x:row>
    <x:row r="111" ht="23" customHeight="1">
      <x:c r="B111" s="17" t="str">
        <x:v>Time</x:v>
      </x:c>
      <x:c r="C111" s="17" t="str">
        <x:v>Round1</x:v>
      </x:c>
      <x:c r="D111" s="17" t="str">
        <x:v>Line</x:v>
      </x:c>
      <x:c r="E111" s="40" t="n">
        <x:f>COUNTA('CoverageCases'!$D$830:$D$855)</x:f>
        <x:v>26</x:v>
      </x:c>
      <x:c r="F111" s="40" t="n">
        <x:f>COUNT('CoverageCases'!$O$830:$O$855)</x:f>
        <x:v>6</x:v>
      </x:c>
      <x:c r="G111" s="40" t="n">
        <x:f>COUNTIF('CoverageCases'!$G$830:$G$855,"A")</x:f>
        <x:v>20</x:v>
      </x:c>
      <x:c r="H111" s="40" t="n">
        <x:f>COUNTIF('CoverageCases'!$G$830:$G$855,"B")</x:f>
        <x:v>0</x:v>
      </x:c>
      <x:c r="I111" s="40" t="n">
        <x:f>COUNTIF('CoverageCases'!$G$830:$G$855,"UNRESOLVED")</x:f>
        <x:v>0</x:v>
      </x:c>
      <x:c r="J111" s="32" t="n">
        <x:f>IF(F111=0,"—",(SUM('CoverageCases'!$O$830:$O$855))/F111/100)</x:f>
        <x:v>0.5613666666666666</x:v>
      </x:c>
      <x:c r="K111" s="32" t="n">
        <x:f>IF(I111&gt;0,"Pending",IF(E111-H111=0,"—",(SUM('CoverageCases'!$O$830:$O$855))/(E111-H111)/100))</x:f>
        <x:v>0.1295461538461538</x:v>
      </x:c>
      <x:c r="L111" s="32" t="n">
        <x:f>IF(I111&gt;0,"Pending",IF(E111=0,"—",(E111-G111)/E111))</x:f>
        <x:v>0.23076923076923078</x:v>
      </x:c>
      <x:c r="M111" s="40" t="n">
        <x:f>IF(I111&gt;0,"Pending",E111-H111)</x:f>
        <x:v>26</x:v>
      </x:c>
    </x:row>
    <x:row r="112" ht="23" customHeight="1">
      <x:c r="B112" s="17" t="str">
        <x:v>Time</x:v>
      </x:c>
      <x:c r="C112" s="17" t="str">
        <x:v>Round1</x:v>
      </x:c>
      <x:c r="D112" s="17" t="str">
        <x:v>Condition</x:v>
      </x:c>
      <x:c r="E112" s="40" t="n">
        <x:f>COUNTA('CoverageCases'!$D$2538:$D$2563)</x:f>
        <x:v>26</x:v>
      </x:c>
      <x:c r="F112" s="40" t="n">
        <x:f>COUNT('CoverageCases'!$O$2538:$O$2563)</x:f>
        <x:v>6</x:v>
      </x:c>
      <x:c r="G112" s="40" t="n">
        <x:f>COUNTIF('CoverageCases'!$G$2538:$G$2563,"A")</x:f>
        <x:v>20</x:v>
      </x:c>
      <x:c r="H112" s="40" t="n">
        <x:f>COUNTIF('CoverageCases'!$G$2538:$G$2563,"B")</x:f>
        <x:v>0</x:v>
      </x:c>
      <x:c r="I112" s="40" t="n">
        <x:f>COUNTIF('CoverageCases'!$G$2538:$G$2563,"UNRESOLVED")</x:f>
        <x:v>0</x:v>
      </x:c>
      <x:c r="J112" s="32" t="n">
        <x:f>IF(F112=0,"—",(SUM('CoverageCases'!$O$2538:$O$2563))/F112/100)</x:f>
        <x:v>0.39138333333333336</x:v>
      </x:c>
      <x:c r="K112" s="32" t="n">
        <x:f>IF(I112&gt;0,"Pending",IF(E112-H112=0,"—",(SUM('CoverageCases'!$O$2538:$O$2563))/(E112-H112)/100))</x:f>
        <x:v>0.09031923076923076</x:v>
      </x:c>
      <x:c r="L112" s="32" t="n">
        <x:f>IF(I112&gt;0,"Pending",IF(E112=0,"—",(E112-G112)/E112))</x:f>
        <x:v>0.23076923076923078</x:v>
      </x:c>
      <x:c r="M112" s="40" t="n">
        <x:f>IF(I112&gt;0,"Pending",E112-H112)</x:f>
        <x:v>26</x:v>
      </x:c>
    </x:row>
    <x:row r="113" ht="23" customHeight="1">
      <x:c r="B113" s="17" t="str">
        <x:v>Time</x:v>
      </x:c>
      <x:c r="C113" s="17" t="str">
        <x:v>Round2</x:v>
      </x:c>
      <x:c r="D113" s="17" t="str">
        <x:v>Line</x:v>
      </x:c>
      <x:c r="E113" s="40" t="n">
        <x:f>COUNTA('CoverageCases'!$D$1684:$D$1709)</x:f>
        <x:v>26</x:v>
      </x:c>
      <x:c r="F113" s="40" t="n">
        <x:f>COUNT('CoverageCases'!$O$1684:$O$1709)</x:f>
        <x:v>18</x:v>
      </x:c>
      <x:c r="G113" s="40" t="n">
        <x:f>COUNTIF('CoverageCases'!$G$1684:$G$1709,"A")</x:f>
        <x:v>8</x:v>
      </x:c>
      <x:c r="H113" s="40" t="n">
        <x:f>COUNTIF('CoverageCases'!$G$1684:$G$1709,"B")</x:f>
        <x:v>0</x:v>
      </x:c>
      <x:c r="I113" s="40" t="n">
        <x:f>COUNTIF('CoverageCases'!$G$1684:$G$1709,"UNRESOLVED")</x:f>
        <x:v>0</x:v>
      </x:c>
      <x:c r="J113" s="32" t="n">
        <x:f>IF(F113=0,"—",(SUM('CoverageCases'!$O$1684:$O$1709))/F113/100)</x:f>
        <x:v>0.5983611111111112</x:v>
      </x:c>
      <x:c r="K113" s="32" t="n">
        <x:f>IF(I113&gt;0,"Pending",IF(E113-H113=0,"—",(SUM('CoverageCases'!$O$1684:$O$1709))/(E113-H113)/100))</x:f>
        <x:v>0.41425000000000006</x:v>
      </x:c>
      <x:c r="L113" s="32" t="n">
        <x:f>IF(I113&gt;0,"Pending",IF(E113=0,"—",(E113-G113)/E113))</x:f>
        <x:v>0.6923076923076923</x:v>
      </x:c>
      <x:c r="M113" s="40" t="n">
        <x:f>IF(I113&gt;0,"Pending",E113-H113)</x:f>
        <x:v>26</x:v>
      </x:c>
    </x:row>
    <x:row r="114" ht="23" customHeight="1">
      <x:c r="B114" s="17" t="str">
        <x:v>Time</x:v>
      </x:c>
      <x:c r="C114" s="17" t="str">
        <x:v>Round2</x:v>
      </x:c>
      <x:c r="D114" s="17" t="str">
        <x:v>Condition</x:v>
      </x:c>
      <x:c r="E114" s="40" t="n">
        <x:f>COUNTA('CoverageCases'!$D$3392:$D$3417)</x:f>
        <x:v>26</x:v>
      </x:c>
      <x:c r="F114" s="40" t="n">
        <x:f>COUNT('CoverageCases'!$O$3392:$O$3417)</x:f>
        <x:v>18</x:v>
      </x:c>
      <x:c r="G114" s="40" t="n">
        <x:f>COUNTIF('CoverageCases'!$G$3392:$G$3417,"A")</x:f>
        <x:v>8</x:v>
      </x:c>
      <x:c r="H114" s="40" t="n">
        <x:f>COUNTIF('CoverageCases'!$G$3392:$G$3417,"B")</x:f>
        <x:v>0</x:v>
      </x:c>
      <x:c r="I114" s="40" t="n">
        <x:f>COUNTIF('CoverageCases'!$G$3392:$G$3417,"UNRESOLVED")</x:f>
        <x:v>0</x:v>
      </x:c>
      <x:c r="J114" s="32" t="n">
        <x:f>IF(F114=0,"—",(SUM('CoverageCases'!$O$3392:$O$3417))/F114/100)</x:f>
        <x:v>0.47978333333333323</x:v>
      </x:c>
      <x:c r="K114" s="32" t="n">
        <x:f>IF(I114&gt;0,"Pending",IF(E114-H114=0,"—",(SUM('CoverageCases'!$O$3392:$O$3417))/(E114-H114)/100))</x:f>
        <x:v>0.33215769230769226</x:v>
      </x:c>
      <x:c r="L114" s="32" t="n">
        <x:f>IF(I114&gt;0,"Pending",IF(E114=0,"—",(E114-G114)/E114))</x:f>
        <x:v>0.6923076923076923</x:v>
      </x:c>
      <x:c r="M114" s="40" t="n">
        <x:f>IF(I114&gt;0,"Pending",E114-H114)</x:f>
        <x:v>26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64" hidden="0" customWidth="1"/>
    <x:col min="14" max="14" width="64" hidden="0" customWidth="1"/>
    <x:col min="15" max="15" width="22" hidden="0" customWidth="1"/>
    <x:col min="16" max="16" width="24" hidden="0" customWidth="1"/>
    <x:col min="17" max="17" width="64" hidden="0" customWidth="1"/>
  </x:cols>
  <x:sheetData>
    <x:row r="1" ht="42" customHeight="1">
      <x:c r="A1" s="38" t="str">
        <x:v>Method</x:v>
      </x:c>
      <x:c r="B1" s="38" t="str">
        <x:v>Project</x:v>
      </x:c>
      <x:c r="C1" s="38" t="str">
        <x:v>Round</x:v>
      </x:c>
      <x:c r="D1" s="38" t="str">
        <x:v>Target</x:v>
      </x:c>
      <x:c r="E1" s="38" t="str">
        <x:v>Metric</x:v>
      </x:c>
      <x:c r="F1" s="38" t="str">
        <x:v>Measurable total</x:v>
      </x:c>
      <x:c r="G1" s="38" t="str">
        <x:v>Class</x:v>
      </x:c>
      <x:c r="H1" s="38" t="str">
        <x:v>Raw coverage (%)</x:v>
      </x:c>
      <x:c r="I1" s="38" t="str">
        <x:v>Coverage status</x:v>
      </x:c>
      <x:c r="J1" s="38" t="str">
        <x:v>Compile</x:v>
      </x:c>
      <x:c r="K1" s="38" t="str">
        <x:v>Test compile</x:v>
      </x:c>
      <x:c r="L1" s="38" t="str">
        <x:v>Buggy result</x:v>
      </x:c>
      <x:c r="M1" s="38" t="str">
        <x:v>Reason</x:v>
      </x:c>
      <x:c r="N1" s="38" t="str">
        <x:v>Coverage source</x:v>
      </x:c>
      <x:c r="O1" s="38" t="str">
        <x:v>Eligible coverage (%)</x:v>
      </x:c>
      <x:c r="P1" s="38" t="str">
        <x:v>Latest verdict</x:v>
      </x:c>
      <x:c r="Q1" s="38" t="str">
        <x:v>Verdict source</x:v>
      </x:c>
    </x:row>
    <x:row r="2">
      <x:c r="A2" s="35" t="str">
        <x:v>deepseek</x:v>
      </x:c>
      <x:c r="B2" s="35" t="str">
        <x:v>Chart</x:v>
      </x:c>
      <x:c r="C2" s="35" t="str">
        <x:v>Round1</x:v>
      </x:c>
      <x:c r="D2" s="35" t="str">
        <x:v>Chart_1</x:v>
      </x:c>
      <x:c r="E2" s="35" t="str">
        <x:v>Line</x:v>
      </x:c>
      <x:c r="F2" s="35"/>
      <x:c r="G2" s="35" t="str">
        <x:v>A</x:v>
      </x:c>
      <x:c r="H2" s="39" t="str">
        <x:f>IF(ISNUMBER('Data'!E2),'Data'!E2*100,"")</x:f>
      </x:c>
      <x:c r="I2" s="35"/>
      <x:c r="J2" s="35" t="str">
        <x:v>PASS</x:v>
      </x:c>
      <x:c r="K2" s="35" t="str">
        <x:v>FAIL</x:v>
      </x:c>
      <x:c r="L2" s="35" t="str">
        <x:v>NOT_RUN</x:v>
      </x:c>
      <x:c r="M2" s="35" t="str">
        <x:v>coverage unavailable or execution/compile failed</x:v>
      </x:c>
      <x:c r="N2" s="35" t="str">
        <x:v>Deepseek-flash-v4/Result/Chart_1/result.json</x:v>
      </x:c>
      <x:c r="O2" s="39" t="str">
        <x:f>IF(AND(G2="RECORDED",ISNUMBER(H2)),H2,"")</x:f>
      </x:c>
      <x:c r="P2" s="35" t="str">
        <x:v>NOT_AVAILABLE</x:v>
      </x:c>
      <x:c r="Q2" s="35" t="str">
        <x:v>Deepseek-flash-v4/Result/Chart_1/result.json</x:v>
      </x:c>
    </x:row>
    <x:row r="3">
      <x:c r="A3" s="35" t="str">
        <x:v>deepseek</x:v>
      </x:c>
      <x:c r="B3" s="35" t="str">
        <x:v>Chart</x:v>
      </x:c>
      <x:c r="C3" s="35" t="str">
        <x:v>Round1</x:v>
      </x:c>
      <x:c r="D3" s="35" t="str">
        <x:v>Chart_10</x:v>
      </x:c>
      <x:c r="E3" s="35" t="str">
        <x:v>Line</x:v>
      </x:c>
      <x:c r="F3" s="35" t="n">
        <x:v>3</x:v>
      </x:c>
      <x:c r="G3" s="35" t="str">
        <x:v>RECORDED</x:v>
      </x:c>
      <x:c r="H3" s="39" t="n">
        <x:f>IF(ISNUMBER('Data'!E3),'Data'!E3*100,"")</x:f>
        <x:v>100</x:v>
      </x:c>
      <x:c r="I3" s="35" t="str">
        <x:v>PASS</x:v>
      </x:c>
      <x:c r="J3" s="35" t="str">
        <x:v>PASS</x:v>
      </x:c>
      <x:c r="K3" s="35" t="str">
        <x:v>PASS</x:v>
      </x:c>
      <x:c r="L3" s="35" t="str">
        <x:v>FAIL</x:v>
      </x:c>
      <x:c r="M3" s="35" t="str">
        <x:v>numeric coverage for applicable metric</x:v>
      </x:c>
      <x:c r="N3" s="35" t="str">
        <x:v>Deepseek-flash-v4/Result/Chart_10/result.json</x:v>
      </x:c>
      <x:c r="O3" s="39" t="n">
        <x:f>IF(AND(G3="RECORDED",ISNUMBER(H3)),H3,"")</x:f>
        <x:v>100</x:v>
      </x:c>
      <x:c r="P3" s="35" t="str">
        <x:v>INCONCLUSIVE</x:v>
      </x:c>
      <x:c r="Q3" s="35" t="str">
        <x:v>Deepseek-flash-v4/Result/Chart_10/result.json</x:v>
      </x:c>
    </x:row>
    <x:row r="4">
      <x:c r="A4" s="35" t="str">
        <x:v>deepseek</x:v>
      </x:c>
      <x:c r="B4" s="35" t="str">
        <x:v>Chart</x:v>
      </x:c>
      <x:c r="C4" s="35" t="str">
        <x:v>Round1</x:v>
      </x:c>
      <x:c r="D4" s="35" t="str">
        <x:v>Chart_11</x:v>
      </x:c>
      <x:c r="E4" s="35" t="str">
        <x:v>Line</x:v>
      </x:c>
      <x:c r="F4" s="35"/>
      <x:c r="G4" s="35" t="str">
        <x:v>A</x:v>
      </x:c>
      <x:c r="H4" s="39" t="str">
        <x:f>IF(ISNUMBER('Data'!E4),'Data'!E4*100,"")</x:f>
      </x:c>
      <x:c r="I4" s="35"/>
      <x:c r="J4" s="35" t="str">
        <x:v>PASS</x:v>
      </x:c>
      <x:c r="K4" s="35" t="str">
        <x:v>FAIL</x:v>
      </x:c>
      <x:c r="L4" s="35" t="str">
        <x:v>NOT_RUN</x:v>
      </x:c>
      <x:c r="M4" s="35" t="str">
        <x:v>coverage unavailable or execution/compile failed</x:v>
      </x:c>
      <x:c r="N4" s="35" t="str">
        <x:v>Deepseek-flash-v4/Result/Chart_11/result.json</x:v>
      </x:c>
      <x:c r="O4" s="39" t="str">
        <x:f>IF(AND(G4="RECORDED",ISNUMBER(H4)),H4,"")</x:f>
      </x:c>
      <x:c r="P4" s="35" t="str">
        <x:v>NOT_AVAILABLE</x:v>
      </x:c>
      <x:c r="Q4" s="35" t="str">
        <x:v>Deepseek-flash-v4/Result/Chart_11/result.json</x:v>
      </x:c>
    </x:row>
    <x:row r="5">
      <x:c r="A5" s="35" t="str">
        <x:v>deepseek</x:v>
      </x:c>
      <x:c r="B5" s="35" t="str">
        <x:v>Chart</x:v>
      </x:c>
      <x:c r="C5" s="35" t="str">
        <x:v>Round1</x:v>
      </x:c>
      <x:c r="D5" s="35" t="str">
        <x:v>Chart_12</x:v>
      </x:c>
      <x:c r="E5" s="35" t="str">
        <x:v>Line</x:v>
      </x:c>
      <x:c r="F5" s="35"/>
      <x:c r="G5" s="35" t="str">
        <x:v>A</x:v>
      </x:c>
      <x:c r="H5" s="39" t="str">
        <x:f>IF(ISNUMBER('Data'!E5),'Data'!E5*100,"")</x:f>
      </x:c>
      <x:c r="I5" s="35"/>
      <x:c r="J5" s="35" t="str">
        <x:v>PASS</x:v>
      </x:c>
      <x:c r="K5" s="35" t="str">
        <x:v>FAIL</x:v>
      </x:c>
      <x:c r="L5" s="35" t="str">
        <x:v>NOT_RUN</x:v>
      </x:c>
      <x:c r="M5" s="35" t="str">
        <x:v>coverage unavailable or execution/compile failed</x:v>
      </x:c>
      <x:c r="N5" s="35" t="str">
        <x:v>Deepseek-flash-v4/Result/Chart_12/result.json</x:v>
      </x:c>
      <x:c r="O5" s="39" t="str">
        <x:f>IF(AND(G5="RECORDED",ISNUMBER(H5)),H5,"")</x:f>
      </x:c>
      <x:c r="P5" s="35" t="str">
        <x:v>NOT_AVAILABLE</x:v>
      </x:c>
      <x:c r="Q5" s="35" t="str">
        <x:v>Deepseek-flash-v4/Result/Chart_12/result.json</x:v>
      </x:c>
    </x:row>
    <x:row r="6">
      <x:c r="A6" s="35" t="str">
        <x:v>deepseek</x:v>
      </x:c>
      <x:c r="B6" s="35" t="str">
        <x:v>Chart</x:v>
      </x:c>
      <x:c r="C6" s="35" t="str">
        <x:v>Round1</x:v>
      </x:c>
      <x:c r="D6" s="35" t="str">
        <x:v>Chart_13</x:v>
      </x:c>
      <x:c r="E6" s="35" t="str">
        <x:v>Line</x:v>
      </x:c>
      <x:c r="F6" s="35"/>
      <x:c r="G6" s="35" t="str">
        <x:v>A</x:v>
      </x:c>
      <x:c r="H6" s="39" t="str">
        <x:f>IF(ISNUMBER('Data'!E6),'Data'!E6*100,"")</x:f>
      </x:c>
      <x:c r="I6" s="35"/>
      <x:c r="J6" s="35" t="str">
        <x:v>PASS</x:v>
      </x:c>
      <x:c r="K6" s="35" t="str">
        <x:v>FAIL</x:v>
      </x:c>
      <x:c r="L6" s="35" t="str">
        <x:v>NOT_RUN</x:v>
      </x:c>
      <x:c r="M6" s="35" t="str">
        <x:v>coverage unavailable or execution/compile failed</x:v>
      </x:c>
      <x:c r="N6" s="35" t="str">
        <x:v>Deepseek-flash-v4/Result/Chart_13/result.json</x:v>
      </x:c>
      <x:c r="O6" s="39" t="str">
        <x:f>IF(AND(G6="RECORDED",ISNUMBER(H6)),H6,"")</x:f>
      </x:c>
      <x:c r="P6" s="35" t="str">
        <x:v>NOT_AVAILABLE</x:v>
      </x:c>
      <x:c r="Q6" s="35" t="str">
        <x:v>Deepseek-flash-v4/Result/Chart_13/result.json</x:v>
      </x:c>
    </x:row>
    <x:row r="7">
      <x:c r="A7" s="35" t="str">
        <x:v>deepseek</x:v>
      </x:c>
      <x:c r="B7" s="35" t="str">
        <x:v>Chart</x:v>
      </x:c>
      <x:c r="C7" s="35" t="str">
        <x:v>Round1</x:v>
      </x:c>
      <x:c r="D7" s="35" t="str">
        <x:v>Chart_14</x:v>
      </x:c>
      <x:c r="E7" s="35" t="str">
        <x:v>Line</x:v>
      </x:c>
      <x:c r="F7" s="35"/>
      <x:c r="G7" s="35" t="str">
        <x:v>A</x:v>
      </x:c>
      <x:c r="H7" s="39" t="str">
        <x:f>IF(ISNUMBER('Data'!E7),'Data'!E7*100,"")</x:f>
      </x:c>
      <x:c r="I7" s="35"/>
      <x:c r="J7" s="35" t="str">
        <x:v>PASS</x:v>
      </x:c>
      <x:c r="K7" s="35" t="str">
        <x:v>FAIL</x:v>
      </x:c>
      <x:c r="L7" s="35" t="str">
        <x:v>NOT_RUN</x:v>
      </x:c>
      <x:c r="M7" s="35" t="str">
        <x:v>coverage unavailable or execution/compile failed</x:v>
      </x:c>
      <x:c r="N7" s="35" t="str">
        <x:v>Deepseek-flash-v4/Result/Chart_14/result.json</x:v>
      </x:c>
      <x:c r="O7" s="39" t="str">
        <x:f>IF(AND(G7="RECORDED",ISNUMBER(H7)),H7,"")</x:f>
      </x:c>
      <x:c r="P7" s="35" t="str">
        <x:v>NOT_AVAILABLE</x:v>
      </x:c>
      <x:c r="Q7" s="35" t="str">
        <x:v>Deepseek-flash-v4/Result/Chart_14/result.json</x:v>
      </x:c>
    </x:row>
    <x:row r="8">
      <x:c r="A8" s="35" t="str">
        <x:v>deepseek</x:v>
      </x:c>
      <x:c r="B8" s="35" t="str">
        <x:v>Chart</x:v>
      </x:c>
      <x:c r="C8" s="35" t="str">
        <x:v>Round1</x:v>
      </x:c>
      <x:c r="D8" s="35" t="str">
        <x:v>Chart_15</x:v>
      </x:c>
      <x:c r="E8" s="35" t="str">
        <x:v>Line</x:v>
      </x:c>
      <x:c r="F8" s="35" t="n">
        <x:v>836</x:v>
      </x:c>
      <x:c r="G8" s="35" t="str">
        <x:v>RECORDED</x:v>
      </x:c>
      <x:c r="H8" s="39" t="n">
        <x:f>IF(ISNUMBER('Data'!E8),'Data'!E8*100,"")</x:f>
        <x:v>30.14</x:v>
      </x:c>
      <x:c r="I8" s="35" t="str">
        <x:v>PASS</x:v>
      </x:c>
      <x:c r="J8" s="35" t="str">
        <x:v>PASS</x:v>
      </x:c>
      <x:c r="K8" s="35" t="str">
        <x:v>PASS</x:v>
      </x:c>
      <x:c r="L8" s="35" t="str">
        <x:v>FAIL</x:v>
      </x:c>
      <x:c r="M8" s="35" t="str">
        <x:v>numeric coverage for applicable metric</x:v>
      </x:c>
      <x:c r="N8" s="35" t="str">
        <x:v>Deepseek-flash-v4/Result/Chart_15/result.json</x:v>
      </x:c>
      <x:c r="O8" s="39" t="n">
        <x:f>IF(AND(G8="RECORDED",ISNUMBER(H8)),H8,"")</x:f>
        <x:v>30.14</x:v>
      </x:c>
      <x:c r="P8" s="35" t="str">
        <x:v>INCONCLUSIVE</x:v>
      </x:c>
      <x:c r="Q8" s="35" t="str">
        <x:v>Deepseek-flash-v4/Result/Chart_15/result.json</x:v>
      </x:c>
    </x:row>
    <x:row r="9">
      <x:c r="A9" s="35" t="str">
        <x:v>deepseek</x:v>
      </x:c>
      <x:c r="B9" s="35" t="str">
        <x:v>Chart</x:v>
      </x:c>
      <x:c r="C9" s="35" t="str">
        <x:v>Round1</x:v>
      </x:c>
      <x:c r="D9" s="35" t="str">
        <x:v>Chart_16</x:v>
      </x:c>
      <x:c r="E9" s="35" t="str">
        <x:v>Line</x:v>
      </x:c>
      <x:c r="F9" s="35"/>
      <x:c r="G9" s="35" t="str">
        <x:v>A</x:v>
      </x:c>
      <x:c r="H9" s="39" t="str">
        <x:f>IF(ISNUMBER('Data'!E9),'Data'!E9*100,"")</x:f>
      </x:c>
      <x:c r="I9" s="35"/>
      <x:c r="J9" s="35" t="str">
        <x:v>PASS</x:v>
      </x:c>
      <x:c r="K9" s="35" t="str">
        <x:v>FAIL</x:v>
      </x:c>
      <x:c r="L9" s="35" t="str">
        <x:v>NOT_RUN</x:v>
      </x:c>
      <x:c r="M9" s="35" t="str">
        <x:v>coverage unavailable or execution/compile failed</x:v>
      </x:c>
      <x:c r="N9" s="35" t="str">
        <x:v>Deepseek-flash-v4/Result/Chart_16/result.json</x:v>
      </x:c>
      <x:c r="O9" s="39" t="str">
        <x:f>IF(AND(G9="RECORDED",ISNUMBER(H9)),H9,"")</x:f>
      </x:c>
      <x:c r="P9" s="35" t="str">
        <x:v>NOT_AVAILABLE</x:v>
      </x:c>
      <x:c r="Q9" s="35" t="str">
        <x:v>Deepseek-flash-v4/Result/Chart_16/result.json</x:v>
      </x:c>
    </x:row>
    <x:row r="10">
      <x:c r="A10" s="35" t="str">
        <x:v>deepseek</x:v>
      </x:c>
      <x:c r="B10" s="35" t="str">
        <x:v>Chart</x:v>
      </x:c>
      <x:c r="C10" s="35" t="str">
        <x:v>Round1</x:v>
      </x:c>
      <x:c r="D10" s="35" t="str">
        <x:v>Chart_17</x:v>
      </x:c>
      <x:c r="E10" s="35" t="str">
        <x:v>Line</x:v>
      </x:c>
      <x:c r="F10" s="35"/>
      <x:c r="G10" s="35" t="str">
        <x:v>A</x:v>
      </x:c>
      <x:c r="H10" s="39" t="str">
        <x:f>IF(ISNUMBER('Data'!E10),'Data'!E10*100,"")</x:f>
      </x:c>
      <x:c r="I10" s="35"/>
      <x:c r="J10" s="35" t="str">
        <x:v>PASS</x:v>
      </x:c>
      <x:c r="K10" s="35" t="str">
        <x:v>FAIL</x:v>
      </x:c>
      <x:c r="L10" s="35" t="str">
        <x:v>NOT_RUN</x:v>
      </x:c>
      <x:c r="M10" s="35" t="str">
        <x:v>coverage unavailable or execution/compile failed</x:v>
      </x:c>
      <x:c r="N10" s="35" t="str">
        <x:v>Deepseek-flash-v4/Result/Chart_17/result.json</x:v>
      </x:c>
      <x:c r="O10" s="39" t="str">
        <x:f>IF(AND(G10="RECORDED",ISNUMBER(H10)),H10,"")</x:f>
      </x:c>
      <x:c r="P10" s="35" t="str">
        <x:v>NOT_AVAILABLE</x:v>
      </x:c>
      <x:c r="Q10" s="35" t="str">
        <x:v>Deepseek-flash-v4/Result/Chart_17/result.json</x:v>
      </x:c>
    </x:row>
    <x:row r="11">
      <x:c r="A11" s="35" t="str">
        <x:v>deepseek</x:v>
      </x:c>
      <x:c r="B11" s="35" t="str">
        <x:v>Chart</x:v>
      </x:c>
      <x:c r="C11" s="35" t="str">
        <x:v>Round1</x:v>
      </x:c>
      <x:c r="D11" s="35" t="str">
        <x:v>Chart_18</x:v>
      </x:c>
      <x:c r="E11" s="35" t="str">
        <x:v>Line</x:v>
      </x:c>
      <x:c r="F11" s="35" t="n">
        <x:v>266</x:v>
      </x:c>
      <x:c r="G11" s="35" t="str">
        <x:v>RECORDED</x:v>
      </x:c>
      <x:c r="H11" s="39" t="n">
        <x:f>IF(ISNUMBER('Data'!E11),'Data'!E11*100,"")</x:f>
        <x:v>95.86</x:v>
      </x:c>
      <x:c r="I11" s="35" t="str">
        <x:v>PASS</x:v>
      </x:c>
      <x:c r="J11" s="35" t="str">
        <x:v>PASS</x:v>
      </x:c>
      <x:c r="K11" s="35" t="str">
        <x:v>PASS</x:v>
      </x:c>
      <x:c r="L11" s="35" t="str">
        <x:v>FAIL</x:v>
      </x:c>
      <x:c r="M11" s="35" t="str">
        <x:v>numeric coverage for applicable metric</x:v>
      </x:c>
      <x:c r="N11" s="35" t="str">
        <x:v>Deepseek-flash-v4/Result/Chart_18/result.json</x:v>
      </x:c>
      <x:c r="O11" s="39" t="n">
        <x:f>IF(AND(G11="RECORDED",ISNUMBER(H11)),H11,"")</x:f>
        <x:v>95.86</x:v>
      </x:c>
      <x:c r="P11" s="35" t="str">
        <x:v>INCONCLUSIVE</x:v>
      </x:c>
      <x:c r="Q11" s="35" t="str">
        <x:v>Deepseek-flash-v4/Result/Chart_18/result.json</x:v>
      </x:c>
    </x:row>
    <x:row r="12">
      <x:c r="A12" s="35" t="str">
        <x:v>deepseek</x:v>
      </x:c>
      <x:c r="B12" s="35" t="str">
        <x:v>Chart</x:v>
      </x:c>
      <x:c r="C12" s="35" t="str">
        <x:v>Round1</x:v>
      </x:c>
      <x:c r="D12" s="35" t="str">
        <x:v>Chart_19</x:v>
      </x:c>
      <x:c r="E12" s="35" t="str">
        <x:v>Line</x:v>
      </x:c>
      <x:c r="F12" s="35"/>
      <x:c r="G12" s="35" t="str">
        <x:v>A</x:v>
      </x:c>
      <x:c r="H12" s="39" t="str">
        <x:f>IF(ISNUMBER('Data'!E12),'Data'!E12*100,"")</x:f>
      </x:c>
      <x:c r="I12" s="35"/>
      <x:c r="J12" s="35" t="str">
        <x:v>PASS</x:v>
      </x:c>
      <x:c r="K12" s="35" t="str">
        <x:v>FAIL</x:v>
      </x:c>
      <x:c r="L12" s="35" t="str">
        <x:v>NOT_RUN</x:v>
      </x:c>
      <x:c r="M12" s="35" t="str">
        <x:v>coverage unavailable or execution/compile failed</x:v>
      </x:c>
      <x:c r="N12" s="35" t="str">
        <x:v>Deepseek-flash-v4/Result/Chart_19/result.json</x:v>
      </x:c>
      <x:c r="O12" s="39" t="str">
        <x:f>IF(AND(G12="RECORDED",ISNUMBER(H12)),H12,"")</x:f>
      </x:c>
      <x:c r="P12" s="35" t="str">
        <x:v>NOT_AVAILABLE</x:v>
      </x:c>
      <x:c r="Q12" s="35" t="str">
        <x:v>Deepseek-flash-v4/Result/Chart_19/result.json</x:v>
      </x:c>
    </x:row>
    <x:row r="13">
      <x:c r="A13" s="35" t="str">
        <x:v>deepseek</x:v>
      </x:c>
      <x:c r="B13" s="35" t="str">
        <x:v>Chart</x:v>
      </x:c>
      <x:c r="C13" s="35" t="str">
        <x:v>Round1</x:v>
      </x:c>
      <x:c r="D13" s="35" t="str">
        <x:v>Chart_2</x:v>
      </x:c>
      <x:c r="E13" s="35" t="str">
        <x:v>Line</x:v>
      </x:c>
      <x:c r="F13" s="35"/>
      <x:c r="G13" s="35" t="str">
        <x:v>A</x:v>
      </x:c>
      <x:c r="H13" s="39" t="str">
        <x:f>IF(ISNUMBER('Data'!E13),'Data'!E13*100,"")</x:f>
      </x:c>
      <x:c r="I13" s="35"/>
      <x:c r="J13" s="35" t="str">
        <x:v>PASS</x:v>
      </x:c>
      <x:c r="K13" s="35" t="str">
        <x:v>FAIL</x:v>
      </x:c>
      <x:c r="L13" s="35" t="str">
        <x:v>NOT_RUN</x:v>
      </x:c>
      <x:c r="M13" s="35" t="str">
        <x:v>coverage unavailable or execution/compile failed</x:v>
      </x:c>
      <x:c r="N13" s="35" t="str">
        <x:v>Deepseek-flash-v4/Result/Chart_2/result.json</x:v>
      </x:c>
      <x:c r="O13" s="39" t="str">
        <x:f>IF(AND(G13="RECORDED",ISNUMBER(H13)),H13,"")</x:f>
      </x:c>
      <x:c r="P13" s="35" t="str">
        <x:v>NOT_AVAILABLE</x:v>
      </x:c>
      <x:c r="Q13" s="35" t="str">
        <x:v>Deepseek-flash-v4/Result/Chart_2/result.json</x:v>
      </x:c>
    </x:row>
    <x:row r="14">
      <x:c r="A14" s="35" t="str">
        <x:v>deepseek</x:v>
      </x:c>
      <x:c r="B14" s="35" t="str">
        <x:v>Chart</x:v>
      </x:c>
      <x:c r="C14" s="35" t="str">
        <x:v>Round1</x:v>
      </x:c>
      <x:c r="D14" s="35" t="str">
        <x:v>Chart_20</x:v>
      </x:c>
      <x:c r="E14" s="35" t="str">
        <x:v>Line</x:v>
      </x:c>
      <x:c r="F14" s="35"/>
      <x:c r="G14" s="35" t="str">
        <x:v>A</x:v>
      </x:c>
      <x:c r="H14" s="39" t="str">
        <x:f>IF(ISNUMBER('Data'!E14),'Data'!E14*100,"")</x:f>
      </x:c>
      <x:c r="I14" s="35"/>
      <x:c r="J14" s="35" t="str">
        <x:v>PASS</x:v>
      </x:c>
      <x:c r="K14" s="35" t="str">
        <x:v>FAIL</x:v>
      </x:c>
      <x:c r="L14" s="35" t="str">
        <x:v>NOT_RUN</x:v>
      </x:c>
      <x:c r="M14" s="35" t="str">
        <x:v>coverage unavailable or execution/compile failed</x:v>
      </x:c>
      <x:c r="N14" s="35" t="str">
        <x:v>Deepseek-flash-v4/Result/Chart_20/result.json</x:v>
      </x:c>
      <x:c r="O14" s="39" t="str">
        <x:f>IF(AND(G14="RECORDED",ISNUMBER(H14)),H14,"")</x:f>
      </x:c>
      <x:c r="P14" s="35" t="str">
        <x:v>NOT_AVAILABLE</x:v>
      </x:c>
      <x:c r="Q14" s="35" t="str">
        <x:v>Deepseek-flash-v4/Result/Chart_20/result.json</x:v>
      </x:c>
    </x:row>
    <x:row r="15">
      <x:c r="A15" s="35" t="str">
        <x:v>deepseek</x:v>
      </x:c>
      <x:c r="B15" s="35" t="str">
        <x:v>Chart</x:v>
      </x:c>
      <x:c r="C15" s="35" t="str">
        <x:v>Round1</x:v>
      </x:c>
      <x:c r="D15" s="35" t="str">
        <x:v>Chart_21</x:v>
      </x:c>
      <x:c r="E15" s="35" t="str">
        <x:v>Line</x:v>
      </x:c>
      <x:c r="F15" s="35" t="n">
        <x:v>161</x:v>
      </x:c>
      <x:c r="G15" s="35" t="str">
        <x:v>RECORDED</x:v>
      </x:c>
      <x:c r="H15" s="39" t="n">
        <x:f>IF(ISNUMBER('Data'!E15),'Data'!E15*100,"")</x:f>
        <x:v>55.89999999999999</x:v>
      </x:c>
      <x:c r="I15" s="35" t="str">
        <x:v>PASS</x:v>
      </x:c>
      <x:c r="J15" s="35" t="str">
        <x:v>PASS</x:v>
      </x:c>
      <x:c r="K15" s="35" t="str">
        <x:v>PASS</x:v>
      </x:c>
      <x:c r="L15" s="35" t="str">
        <x:v>FAIL</x:v>
      </x:c>
      <x:c r="M15" s="35" t="str">
        <x:v>numeric coverage for applicable metric</x:v>
      </x:c>
      <x:c r="N15" s="35" t="str">
        <x:v>Deepseek-flash-v4/Result/Chart_21/result.json</x:v>
      </x:c>
      <x:c r="O15" s="39" t="n">
        <x:f>IF(AND(G15="RECORDED",ISNUMBER(H15)),H15,"")</x:f>
        <x:v>55.89999999999999</x:v>
      </x:c>
      <x:c r="P15" s="35" t="str">
        <x:v>INCONCLUSIVE</x:v>
      </x:c>
      <x:c r="Q15" s="35" t="str">
        <x:v>Deepseek-flash-v4/Result/Chart_21/result.json</x:v>
      </x:c>
    </x:row>
    <x:row r="16">
      <x:c r="A16" s="35" t="str">
        <x:v>deepseek</x:v>
      </x:c>
      <x:c r="B16" s="35" t="str">
        <x:v>Chart</x:v>
      </x:c>
      <x:c r="C16" s="35" t="str">
        <x:v>Round1</x:v>
      </x:c>
      <x:c r="D16" s="35" t="str">
        <x:v>Chart_22</x:v>
      </x:c>
      <x:c r="E16" s="35" t="str">
        <x:v>Line</x:v>
      </x:c>
      <x:c r="F16" s="35" t="n">
        <x:v>124</x:v>
      </x:c>
      <x:c r="G16" s="35" t="str">
        <x:v>RECORDED</x:v>
      </x:c>
      <x:c r="H16" s="39" t="n">
        <x:f>IF(ISNUMBER('Data'!E16),'Data'!E16*100,"")</x:f>
        <x:v>92.74</x:v>
      </x:c>
      <x:c r="I16" s="35" t="str">
        <x:v>PASS</x:v>
      </x:c>
      <x:c r="J16" s="35" t="str">
        <x:v>PASS</x:v>
      </x:c>
      <x:c r="K16" s="35" t="str">
        <x:v>PASS</x:v>
      </x:c>
      <x:c r="L16" s="35" t="str">
        <x:v>FAIL</x:v>
      </x:c>
      <x:c r="M16" s="35" t="str">
        <x:v>numeric coverage for applicable metric</x:v>
      </x:c>
      <x:c r="N16" s="35" t="str">
        <x:v>Deepseek-flash-v4/Result/Chart_22/result.json</x:v>
      </x:c>
      <x:c r="O16" s="39" t="n">
        <x:f>IF(AND(G16="RECORDED",ISNUMBER(H16)),H16,"")</x:f>
        <x:v>92.74</x:v>
      </x:c>
      <x:c r="P16" s="35" t="str">
        <x:v>INCONCLUSIVE</x:v>
      </x:c>
      <x:c r="Q16" s="35" t="str">
        <x:v>Deepseek-flash-v4/Result/Chart_22/result.json</x:v>
      </x:c>
    </x:row>
    <x:row r="17">
      <x:c r="A17" s="35" t="str">
        <x:v>deepseek</x:v>
      </x:c>
      <x:c r="B17" s="35" t="str">
        <x:v>Chart</x:v>
      </x:c>
      <x:c r="C17" s="35" t="str">
        <x:v>Round1</x:v>
      </x:c>
      <x:c r="D17" s="35" t="str">
        <x:v>Chart_23</x:v>
      </x:c>
      <x:c r="E17" s="35" t="str">
        <x:v>Line</x:v>
      </x:c>
      <x:c r="F17" s="35"/>
      <x:c r="G17" s="35" t="str">
        <x:v>A</x:v>
      </x:c>
      <x:c r="H17" s="39" t="str">
        <x:f>IF(ISNUMBER('Data'!E17),'Data'!E17*100,"")</x:f>
      </x:c>
      <x:c r="I17" s="35"/>
      <x:c r="J17" s="35" t="str">
        <x:v>PASS</x:v>
      </x:c>
      <x:c r="K17" s="35" t="str">
        <x:v>FAIL</x:v>
      </x:c>
      <x:c r="L17" s="35" t="str">
        <x:v>NOT_RUN</x:v>
      </x:c>
      <x:c r="M17" s="35" t="str">
        <x:v>coverage unavailable or execution/compile failed</x:v>
      </x:c>
      <x:c r="N17" s="35" t="str">
        <x:v>Deepseek-flash-v4/Result/Chart_23/result.json</x:v>
      </x:c>
      <x:c r="O17" s="39" t="str">
        <x:f>IF(AND(G17="RECORDED",ISNUMBER(H17)),H17,"")</x:f>
      </x:c>
      <x:c r="P17" s="35" t="str">
        <x:v>NOT_AVAILABLE</x:v>
      </x:c>
      <x:c r="Q17" s="35" t="str">
        <x:v>Deepseek-flash-v4/Result/Chart_23/result.json</x:v>
      </x:c>
    </x:row>
    <x:row r="18">
      <x:c r="A18" s="35" t="str">
        <x:v>deepseek</x:v>
      </x:c>
      <x:c r="B18" s="35" t="str">
        <x:v>Chart</x:v>
      </x:c>
      <x:c r="C18" s="35" t="str">
        <x:v>Round1</x:v>
      </x:c>
      <x:c r="D18" s="35" t="str">
        <x:v>Chart_24</x:v>
      </x:c>
      <x:c r="E18" s="35" t="str">
        <x:v>Line</x:v>
      </x:c>
      <x:c r="F18" s="35" t="n">
        <x:v>25</x:v>
      </x:c>
      <x:c r="G18" s="35" t="str">
        <x:v>RECORDED</x:v>
      </x:c>
      <x:c r="H18" s="39" t="n">
        <x:f>IF(ISNUMBER('Data'!E18),'Data'!E18*100,"")</x:f>
        <x:v>100</x:v>
      </x:c>
      <x:c r="I18" s="35" t="str">
        <x:v>PASS</x:v>
      </x:c>
      <x:c r="J18" s="35" t="str">
        <x:v>PASS</x:v>
      </x:c>
      <x:c r="K18" s="35" t="str">
        <x:v>PASS</x:v>
      </x:c>
      <x:c r="L18" s="35" t="str">
        <x:v>FAIL</x:v>
      </x:c>
      <x:c r="M18" s="35" t="str">
        <x:v>numeric coverage for applicable metric</x:v>
      </x:c>
      <x:c r="N18" s="35" t="str">
        <x:v>Deepseek-flash-v4/Result/Chart_24/result.json</x:v>
      </x:c>
      <x:c r="O18" s="39" t="n">
        <x:f>IF(AND(G18="RECORDED",ISNUMBER(H18)),H18,"")</x:f>
        <x:v>100</x:v>
      </x:c>
      <x:c r="P18" s="35" t="str">
        <x:v>INCONCLUSIVE</x:v>
      </x:c>
      <x:c r="Q18" s="35" t="str">
        <x:v>Deepseek-flash-v4/Result/Chart_24/result.json</x:v>
      </x:c>
    </x:row>
    <x:row r="19">
      <x:c r="A19" s="35" t="str">
        <x:v>deepseek</x:v>
      </x:c>
      <x:c r="B19" s="35" t="str">
        <x:v>Chart</x:v>
      </x:c>
      <x:c r="C19" s="35" t="str">
        <x:v>Round1</x:v>
      </x:c>
      <x:c r="D19" s="35" t="str">
        <x:v>Chart_25</x:v>
      </x:c>
      <x:c r="E19" s="35" t="str">
        <x:v>Line</x:v>
      </x:c>
      <x:c r="F19" s="35"/>
      <x:c r="G19" s="35" t="str">
        <x:v>A</x:v>
      </x:c>
      <x:c r="H19" s="39" t="str">
        <x:f>IF(ISNUMBER('Data'!E19),'Data'!E19*100,"")</x:f>
      </x:c>
      <x:c r="I19" s="35"/>
      <x:c r="J19" s="35" t="str">
        <x:v>PASS</x:v>
      </x:c>
      <x:c r="K19" s="35" t="str">
        <x:v>FAIL</x:v>
      </x:c>
      <x:c r="L19" s="35" t="str">
        <x:v>NOT_RUN</x:v>
      </x:c>
      <x:c r="M19" s="35" t="str">
        <x:v>coverage unavailable or execution/compile failed</x:v>
      </x:c>
      <x:c r="N19" s="35" t="str">
        <x:v>Deepseek-flash-v4/Result/Chart_25/result.json</x:v>
      </x:c>
      <x:c r="O19" s="39" t="str">
        <x:f>IF(AND(G19="RECORDED",ISNUMBER(H19)),H19,"")</x:f>
      </x:c>
      <x:c r="P19" s="35" t="str">
        <x:v>NOT_AVAILABLE</x:v>
      </x:c>
      <x:c r="Q19" s="35" t="str">
        <x:v>Deepseek-flash-v4/Result/Chart_25/result.json</x:v>
      </x:c>
    </x:row>
    <x:row r="20">
      <x:c r="A20" s="35" t="str">
        <x:v>deepseek</x:v>
      </x:c>
      <x:c r="B20" s="35" t="str">
        <x:v>Chart</x:v>
      </x:c>
      <x:c r="C20" s="35" t="str">
        <x:v>Round1</x:v>
      </x:c>
      <x:c r="D20" s="35" t="str">
        <x:v>Chart_26</x:v>
      </x:c>
      <x:c r="E20" s="35" t="str">
        <x:v>Line</x:v>
      </x:c>
      <x:c r="F20" s="35"/>
      <x:c r="G20" s="35" t="str">
        <x:v>A</x:v>
      </x:c>
      <x:c r="H20" s="39" t="str">
        <x:f>IF(ISNUMBER('Data'!E20),'Data'!E20*100,"")</x:f>
      </x:c>
      <x:c r="I20" s="35"/>
      <x:c r="J20" s="35" t="str">
        <x:v>PASS</x:v>
      </x:c>
      <x:c r="K20" s="35" t="str">
        <x:v>FAIL</x:v>
      </x:c>
      <x:c r="L20" s="35" t="str">
        <x:v>NOT_RUN</x:v>
      </x:c>
      <x:c r="M20" s="35" t="str">
        <x:v>coverage unavailable or execution/compile failed</x:v>
      </x:c>
      <x:c r="N20" s="35" t="str">
        <x:v>Deepseek-flash-v4/Result/Chart_26/result.json</x:v>
      </x:c>
      <x:c r="O20" s="39" t="str">
        <x:f>IF(AND(G20="RECORDED",ISNUMBER(H20)),H20,"")</x:f>
      </x:c>
      <x:c r="P20" s="35" t="str">
        <x:v>NOT_AVAILABLE</x:v>
      </x:c>
      <x:c r="Q20" s="35" t="str">
        <x:v>Deepseek-flash-v4/Result/Chart_26/result.json</x:v>
      </x:c>
    </x:row>
    <x:row r="21">
      <x:c r="A21" s="35" t="str">
        <x:v>deepseek</x:v>
      </x:c>
      <x:c r="B21" s="35" t="str">
        <x:v>Chart</x:v>
      </x:c>
      <x:c r="C21" s="35" t="str">
        <x:v>Round1</x:v>
      </x:c>
      <x:c r="D21" s="35" t="str">
        <x:v>Chart_3</x:v>
      </x:c>
      <x:c r="E21" s="35" t="str">
        <x:v>Line</x:v>
      </x:c>
      <x:c r="F21" s="35"/>
      <x:c r="G21" s="35" t="str">
        <x:v>A</x:v>
      </x:c>
      <x:c r="H21" s="39" t="str">
        <x:f>IF(ISNUMBER('Data'!E21),'Data'!E21*100,"")</x:f>
      </x:c>
      <x:c r="I21" s="35"/>
      <x:c r="J21" s="35" t="str">
        <x:v>PASS</x:v>
      </x:c>
      <x:c r="K21" s="35" t="str">
        <x:v>FAIL</x:v>
      </x:c>
      <x:c r="L21" s="35" t="str">
        <x:v>NOT_RUN</x:v>
      </x:c>
      <x:c r="M21" s="35" t="str">
        <x:v>coverage unavailable or execution/compile failed</x:v>
      </x:c>
      <x:c r="N21" s="35" t="str">
        <x:v>Deepseek-flash-v4/Result/Chart_3/result.json</x:v>
      </x:c>
      <x:c r="O21" s="39" t="str">
        <x:f>IF(AND(G21="RECORDED",ISNUMBER(H21)),H21,"")</x:f>
      </x:c>
      <x:c r="P21" s="35" t="str">
        <x:v>NOT_AVAILABLE</x:v>
      </x:c>
      <x:c r="Q21" s="35" t="str">
        <x:v>Deepseek-flash-v4/Result/Chart_3/result.json</x:v>
      </x:c>
    </x:row>
    <x:row r="22">
      <x:c r="A22" s="35" t="str">
        <x:v>deepseek</x:v>
      </x:c>
      <x:c r="B22" s="35" t="str">
        <x:v>Chart</x:v>
      </x:c>
      <x:c r="C22" s="35" t="str">
        <x:v>Round1</x:v>
      </x:c>
      <x:c r="D22" s="35" t="str">
        <x:v>Chart_4</x:v>
      </x:c>
      <x:c r="E22" s="35" t="str">
        <x:v>Line</x:v>
      </x:c>
      <x:c r="F22" s="35"/>
      <x:c r="G22" s="35" t="str">
        <x:v>A</x:v>
      </x:c>
      <x:c r="H22" s="39" t="str">
        <x:f>IF(ISNUMBER('Data'!E22),'Data'!E22*100,"")</x:f>
      </x:c>
      <x:c r="I22" s="35"/>
      <x:c r="J22" s="35" t="str">
        <x:v>PASS</x:v>
      </x:c>
      <x:c r="K22" s="35" t="str">
        <x:v>FAIL</x:v>
      </x:c>
      <x:c r="L22" s="35" t="str">
        <x:v>NOT_RUN</x:v>
      </x:c>
      <x:c r="M22" s="35" t="str">
        <x:v>coverage unavailable or execution/compile failed</x:v>
      </x:c>
      <x:c r="N22" s="35" t="str">
        <x:v>Deepseek-flash-v4/Result/Chart_4/result.json</x:v>
      </x:c>
      <x:c r="O22" s="39" t="str">
        <x:f>IF(AND(G22="RECORDED",ISNUMBER(H22)),H22,"")</x:f>
      </x:c>
      <x:c r="P22" s="35" t="str">
        <x:v>NOT_AVAILABLE</x:v>
      </x:c>
      <x:c r="Q22" s="35" t="str">
        <x:v>Deepseek-flash-v4/Result/Chart_4/result.json</x:v>
      </x:c>
    </x:row>
    <x:row r="23">
      <x:c r="A23" s="35" t="str">
        <x:v>deepseek</x:v>
      </x:c>
      <x:c r="B23" s="35" t="str">
        <x:v>Chart</x:v>
      </x:c>
      <x:c r="C23" s="35" t="str">
        <x:v>Round1</x:v>
      </x:c>
      <x:c r="D23" s="35" t="str">
        <x:v>Chart_5</x:v>
      </x:c>
      <x:c r="E23" s="35" t="str">
        <x:v>Line</x:v>
      </x:c>
      <x:c r="F23" s="35"/>
      <x:c r="G23" s="35" t="str">
        <x:v>A</x:v>
      </x:c>
      <x:c r="H23" s="39" t="str">
        <x:f>IF(ISNUMBER('Data'!E23),'Data'!E23*100,"")</x:f>
      </x:c>
      <x:c r="I23" s="35"/>
      <x:c r="J23" s="35" t="str">
        <x:v>PASS</x:v>
      </x:c>
      <x:c r="K23" s="35" t="str">
        <x:v>FAIL</x:v>
      </x:c>
      <x:c r="L23" s="35" t="str">
        <x:v>NOT_RUN</x:v>
      </x:c>
      <x:c r="M23" s="35" t="str">
        <x:v>coverage unavailable or execution/compile failed</x:v>
      </x:c>
      <x:c r="N23" s="35" t="str">
        <x:v>Deepseek-flash-v4/Result/Chart_5/result.json</x:v>
      </x:c>
      <x:c r="O23" s="39" t="str">
        <x:f>IF(AND(G23="RECORDED",ISNUMBER(H23)),H23,"")</x:f>
      </x:c>
      <x:c r="P23" s="35" t="str">
        <x:v>NOT_AVAILABLE</x:v>
      </x:c>
      <x:c r="Q23" s="35" t="str">
        <x:v>Deepseek-flash-v4/Result/Chart_5/result.json</x:v>
      </x:c>
    </x:row>
    <x:row r="24">
      <x:c r="A24" s="35" t="str">
        <x:v>deepseek</x:v>
      </x:c>
      <x:c r="B24" s="35" t="str">
        <x:v>Chart</x:v>
      </x:c>
      <x:c r="C24" s="35" t="str">
        <x:v>Round1</x:v>
      </x:c>
      <x:c r="D24" s="35" t="str">
        <x:v>Chart_6</x:v>
      </x:c>
      <x:c r="E24" s="35" t="str">
        <x:v>Line</x:v>
      </x:c>
      <x:c r="F24" s="35"/>
      <x:c r="G24" s="35" t="str">
        <x:v>A</x:v>
      </x:c>
      <x:c r="H24" s="39" t="str">
        <x:f>IF(ISNUMBER('Data'!E24),'Data'!E24*100,"")</x:f>
      </x:c>
      <x:c r="I24" s="35"/>
      <x:c r="J24" s="35" t="str">
        <x:v>PASS</x:v>
      </x:c>
      <x:c r="K24" s="35" t="str">
        <x:v>FAIL</x:v>
      </x:c>
      <x:c r="L24" s="35" t="str">
        <x:v>NOT_RUN</x:v>
      </x:c>
      <x:c r="M24" s="35" t="str">
        <x:v>coverage unavailable or execution/compile failed</x:v>
      </x:c>
      <x:c r="N24" s="35" t="str">
        <x:v>Deepseek-flash-v4/Result/Chart_6/result.json</x:v>
      </x:c>
      <x:c r="O24" s="39" t="str">
        <x:f>IF(AND(G24="RECORDED",ISNUMBER(H24)),H24,"")</x:f>
      </x:c>
      <x:c r="P24" s="35" t="str">
        <x:v>NOT_AVAILABLE</x:v>
      </x:c>
      <x:c r="Q24" s="35" t="str">
        <x:v>Deepseek-flash-v4/Result/Chart_6/result.json</x:v>
      </x:c>
    </x:row>
    <x:row r="25">
      <x:c r="A25" s="35" t="str">
        <x:v>deepseek</x:v>
      </x:c>
      <x:c r="B25" s="35" t="str">
        <x:v>Chart</x:v>
      </x:c>
      <x:c r="C25" s="35" t="str">
        <x:v>Round1</x:v>
      </x:c>
      <x:c r="D25" s="35" t="str">
        <x:v>Chart_7</x:v>
      </x:c>
      <x:c r="E25" s="35" t="str">
        <x:v>Line</x:v>
      </x:c>
      <x:c r="F25" s="35"/>
      <x:c r="G25" s="35" t="str">
        <x:v>A</x:v>
      </x:c>
      <x:c r="H25" s="39" t="str">
        <x:f>IF(ISNUMBER('Data'!E25),'Data'!E25*100,"")</x:f>
      </x:c>
      <x:c r="I25" s="35"/>
      <x:c r="J25" s="35" t="str">
        <x:v>PASS</x:v>
      </x:c>
      <x:c r="K25" s="35" t="str">
        <x:v>FAIL</x:v>
      </x:c>
      <x:c r="L25" s="35" t="str">
        <x:v>NOT_RUN</x:v>
      </x:c>
      <x:c r="M25" s="35" t="str">
        <x:v>coverage unavailable or execution/compile failed</x:v>
      </x:c>
      <x:c r="N25" s="35" t="str">
        <x:v>Deepseek-flash-v4/Result/Chart_7/result.json</x:v>
      </x:c>
      <x:c r="O25" s="39" t="str">
        <x:f>IF(AND(G25="RECORDED",ISNUMBER(H25)),H25,"")</x:f>
      </x:c>
      <x:c r="P25" s="35" t="str">
        <x:v>NOT_AVAILABLE</x:v>
      </x:c>
      <x:c r="Q25" s="35" t="str">
        <x:v>Deepseek-flash-v4/Result/Chart_7/result.json</x:v>
      </x:c>
    </x:row>
    <x:row r="26">
      <x:c r="A26" s="35" t="str">
        <x:v>deepseek</x:v>
      </x:c>
      <x:c r="B26" s="35" t="str">
        <x:v>Chart</x:v>
      </x:c>
      <x:c r="C26" s="35" t="str">
        <x:v>Round1</x:v>
      </x:c>
      <x:c r="D26" s="35" t="str">
        <x:v>Chart_8</x:v>
      </x:c>
      <x:c r="E26" s="35" t="str">
        <x:v>Line</x:v>
      </x:c>
      <x:c r="F26" s="35" t="n">
        <x:v>162</x:v>
      </x:c>
      <x:c r="G26" s="35" t="str">
        <x:v>RECORDED</x:v>
      </x:c>
      <x:c r="H26" s="39" t="n">
        <x:f>IF(ISNUMBER('Data'!E26),'Data'!E26*100,"")</x:f>
        <x:v>73.46</x:v>
      </x:c>
      <x:c r="I26" s="35" t="str">
        <x:v>PASS</x:v>
      </x:c>
      <x:c r="J26" s="35" t="str">
        <x:v>PASS</x:v>
      </x:c>
      <x:c r="K26" s="35" t="str">
        <x:v>PASS</x:v>
      </x:c>
      <x:c r="L26" s="35" t="str">
        <x:v>FAIL</x:v>
      </x:c>
      <x:c r="M26" s="35" t="str">
        <x:v>numeric coverage for applicable metric</x:v>
      </x:c>
      <x:c r="N26" s="35" t="str">
        <x:v>Deepseek-flash-v4/Result/Chart_8/result.json</x:v>
      </x:c>
      <x:c r="O26" s="39" t="n">
        <x:f>IF(AND(G26="RECORDED",ISNUMBER(H26)),H26,"")</x:f>
        <x:v>73.46</x:v>
      </x:c>
      <x:c r="P26" s="35" t="str">
        <x:v>INCONCLUSIVE</x:v>
      </x:c>
      <x:c r="Q26" s="35" t="str">
        <x:v>Deepseek-flash-v4/Result/Chart_8/result.json</x:v>
      </x:c>
    </x:row>
    <x:row r="27">
      <x:c r="A27" s="35" t="str">
        <x:v>deepseek</x:v>
      </x:c>
      <x:c r="B27" s="35" t="str">
        <x:v>Chart</x:v>
      </x:c>
      <x:c r="C27" s="35" t="str">
        <x:v>Round1</x:v>
      </x:c>
      <x:c r="D27" s="35" t="str">
        <x:v>Chart_9</x:v>
      </x:c>
      <x:c r="E27" s="35" t="str">
        <x:v>Line</x:v>
      </x:c>
      <x:c r="F27" s="35"/>
      <x:c r="G27" s="35" t="str">
        <x:v>A</x:v>
      </x:c>
      <x:c r="H27" s="39" t="str">
        <x:f>IF(ISNUMBER('Data'!E27),'Data'!E27*100,"")</x:f>
      </x:c>
      <x:c r="I27" s="35"/>
      <x:c r="J27" s="35" t="str">
        <x:v>PASS</x:v>
      </x:c>
      <x:c r="K27" s="35" t="str">
        <x:v>FAIL</x:v>
      </x:c>
      <x:c r="L27" s="35" t="str">
        <x:v>NOT_RUN</x:v>
      </x:c>
      <x:c r="M27" s="35" t="str">
        <x:v>coverage unavailable or execution/compile failed</x:v>
      </x:c>
      <x:c r="N27" s="35" t="str">
        <x:v>Deepseek-flash-v4/Result/Chart_9/result.json</x:v>
      </x:c>
      <x:c r="O27" s="39" t="str">
        <x:f>IF(AND(G27="RECORDED",ISNUMBER(H27)),H27,"")</x:f>
      </x:c>
      <x:c r="P27" s="35" t="str">
        <x:v>NOT_AVAILABLE</x:v>
      </x:c>
      <x:c r="Q27" s="35" t="str">
        <x:v>Deepseek-flash-v4/Result/Chart_9/result.json</x:v>
      </x:c>
    </x:row>
    <x:row r="28">
      <x:c r="A28" s="35" t="str">
        <x:v>deepseek</x:v>
      </x:c>
      <x:c r="B28" s="35" t="str">
        <x:v>Cli</x:v>
      </x:c>
      <x:c r="C28" s="35" t="str">
        <x:v>Round1</x:v>
      </x:c>
      <x:c r="D28" s="35" t="str">
        <x:v>Cli_1</x:v>
      </x:c>
      <x:c r="E28" s="35" t="str">
        <x:v>Line</x:v>
      </x:c>
      <x:c r="F28" s="35"/>
      <x:c r="G28" s="35" t="str">
        <x:v>A</x:v>
      </x:c>
      <x:c r="H28" s="39" t="str">
        <x:f>IF(ISNUMBER('Data'!E28),'Data'!E28*100,"")</x:f>
      </x:c>
      <x:c r="I28" s="35"/>
      <x:c r="J28" s="35" t="str">
        <x:v>PASS</x:v>
      </x:c>
      <x:c r="K28" s="35" t="str">
        <x:v>FAIL</x:v>
      </x:c>
      <x:c r="L28" s="35" t="str">
        <x:v>NOT_RUN</x:v>
      </x:c>
      <x:c r="M28" s="35" t="str">
        <x:v>coverage unavailable or execution/compile failed</x:v>
      </x:c>
      <x:c r="N28" s="35" t="str">
        <x:v>Deepseek-flash-v4/Result/Cli_1/result.json</x:v>
      </x:c>
      <x:c r="O28" s="39" t="str">
        <x:f>IF(AND(G28="RECORDED",ISNUMBER(H28)),H28,"")</x:f>
      </x:c>
      <x:c r="P28" s="35" t="str">
        <x:v>NOT_AVAILABLE</x:v>
      </x:c>
      <x:c r="Q28" s="35" t="str">
        <x:v>Deepseek-flash-v4/Result/Cli_1/result.json</x:v>
      </x:c>
    </x:row>
    <x:row r="29">
      <x:c r="A29" s="35" t="str">
        <x:v>deepseek</x:v>
      </x:c>
      <x:c r="B29" s="35" t="str">
        <x:v>Cli</x:v>
      </x:c>
      <x:c r="C29" s="35" t="str">
        <x:v>Round1</x:v>
      </x:c>
      <x:c r="D29" s="35" t="str">
        <x:v>Cli_10</x:v>
      </x:c>
      <x:c r="E29" s="35" t="str">
        <x:v>Line</x:v>
      </x:c>
      <x:c r="F29" s="35"/>
      <x:c r="G29" s="35" t="str">
        <x:v>A</x:v>
      </x:c>
      <x:c r="H29" s="39" t="str">
        <x:f>IF(ISNUMBER('Data'!E29),'Data'!E29*100,"")</x:f>
      </x:c>
      <x:c r="I29" s="35"/>
      <x:c r="J29" s="35" t="str">
        <x:v>PASS</x:v>
      </x:c>
      <x:c r="K29" s="35" t="str">
        <x:v>FAIL</x:v>
      </x:c>
      <x:c r="L29" s="35" t="str">
        <x:v>NOT_RUN</x:v>
      </x:c>
      <x:c r="M29" s="35" t="str">
        <x:v>coverage unavailable or execution/compile failed</x:v>
      </x:c>
      <x:c r="N29" s="35" t="str">
        <x:v>Deepseek-flash-v4/Result/Cli_10/result.json</x:v>
      </x:c>
      <x:c r="O29" s="39" t="str">
        <x:f>IF(AND(G29="RECORDED",ISNUMBER(H29)),H29,"")</x:f>
      </x:c>
      <x:c r="P29" s="35" t="str">
        <x:v>NOT_AVAILABLE</x:v>
      </x:c>
      <x:c r="Q29" s="35" t="str">
        <x:v>Deepseek-flash-v4/Result/Cli_10/result.json</x:v>
      </x:c>
    </x:row>
    <x:row r="30">
      <x:c r="A30" s="35" t="str">
        <x:v>deepseek</x:v>
      </x:c>
      <x:c r="B30" s="35" t="str">
        <x:v>Cli</x:v>
      </x:c>
      <x:c r="C30" s="35" t="str">
        <x:v>Round1</x:v>
      </x:c>
      <x:c r="D30" s="35" t="str">
        <x:v>Cli_11</x:v>
      </x:c>
      <x:c r="E30" s="35" t="str">
        <x:v>Line</x:v>
      </x:c>
      <x:c r="F30" s="35"/>
      <x:c r="G30" s="35" t="str">
        <x:v>A</x:v>
      </x:c>
      <x:c r="H30" s="39" t="str">
        <x:f>IF(ISNUMBER('Data'!E30),'Data'!E30*100,"")</x:f>
      </x:c>
      <x:c r="I30" s="35"/>
      <x:c r="J30" s="35" t="str">
        <x:v>PASS</x:v>
      </x:c>
      <x:c r="K30" s="35" t="str">
        <x:v>FAIL</x:v>
      </x:c>
      <x:c r="L30" s="35" t="str">
        <x:v>NOT_RUN</x:v>
      </x:c>
      <x:c r="M30" s="35" t="str">
        <x:v>coverage unavailable or execution/compile failed</x:v>
      </x:c>
      <x:c r="N30" s="35" t="str">
        <x:v>Deepseek-flash-v4/Result/Cli_11/result.json</x:v>
      </x:c>
      <x:c r="O30" s="39" t="str">
        <x:f>IF(AND(G30="RECORDED",ISNUMBER(H30)),H30,"")</x:f>
      </x:c>
      <x:c r="P30" s="35" t="str">
        <x:v>NOT_AVAILABLE</x:v>
      </x:c>
      <x:c r="Q30" s="35" t="str">
        <x:v>Deepseek-flash-v4/Result/Cli_11/result.json</x:v>
      </x:c>
    </x:row>
    <x:row r="31">
      <x:c r="A31" s="35" t="str">
        <x:v>deepseek</x:v>
      </x:c>
      <x:c r="B31" s="35" t="str">
        <x:v>Cli</x:v>
      </x:c>
      <x:c r="C31" s="35" t="str">
        <x:v>Round1</x:v>
      </x:c>
      <x:c r="D31" s="35" t="str">
        <x:v>Cli_12</x:v>
      </x:c>
      <x:c r="E31" s="35" t="str">
        <x:v>Line</x:v>
      </x:c>
      <x:c r="F31" s="35" t="n">
        <x:v>25</x:v>
      </x:c>
      <x:c r="G31" s="35" t="str">
        <x:v>RECORDED</x:v>
      </x:c>
      <x:c r="H31" s="39" t="n">
        <x:f>IF(ISNUMBER('Data'!E31),'Data'!E31*100,"")</x:f>
        <x:v>0</x:v>
      </x:c>
      <x:c r="I31" s="35" t="str">
        <x:v>PASS</x:v>
      </x:c>
      <x:c r="J31" s="35" t="str">
        <x:v>PASS</x:v>
      </x:c>
      <x:c r="K31" s="35" t="str">
        <x:v>PASS</x:v>
      </x:c>
      <x:c r="L31" s="35" t="str">
        <x:v>FAIL</x:v>
      </x:c>
      <x:c r="M31" s="35" t="str">
        <x:v>numeric coverage for applicable metric</x:v>
      </x:c>
      <x:c r="N31" s="35" t="str">
        <x:v>Deepseek-flash-v4/Result/Cli_12/result.json</x:v>
      </x:c>
      <x:c r="O31" s="39" t="n">
        <x:f>IF(AND(G31="RECORDED",ISNUMBER(H31)),H31,"")</x:f>
        <x:v>0</x:v>
      </x:c>
      <x:c r="P31" s="35" t="str">
        <x:v>INCONCLUSIVE</x:v>
      </x:c>
      <x:c r="Q31" s="35" t="str">
        <x:v>Deepseek-flash-v4/Result/Cli_12/result.json</x:v>
      </x:c>
    </x:row>
    <x:row r="32">
      <x:c r="A32" s="35" t="str">
        <x:v>deepseek</x:v>
      </x:c>
      <x:c r="B32" s="35" t="str">
        <x:v>Cli</x:v>
      </x:c>
      <x:c r="C32" s="35" t="str">
        <x:v>Round1</x:v>
      </x:c>
      <x:c r="D32" s="35" t="str">
        <x:v>Cli_13</x:v>
      </x:c>
      <x:c r="E32" s="35" t="str">
        <x:v>Line</x:v>
      </x:c>
      <x:c r="F32" s="35"/>
      <x:c r="G32" s="35" t="str">
        <x:v>A</x:v>
      </x:c>
      <x:c r="H32" s="39" t="str">
        <x:f>IF(ISNUMBER('Data'!E32),'Data'!E32*100,"")</x:f>
      </x:c>
      <x:c r="I32" s="35"/>
      <x:c r="J32" s="35" t="str">
        <x:v>PASS</x:v>
      </x:c>
      <x:c r="K32" s="35" t="str">
        <x:v>FAIL</x:v>
      </x:c>
      <x:c r="L32" s="35" t="str">
        <x:v>NOT_RUN</x:v>
      </x:c>
      <x:c r="M32" s="35" t="str">
        <x:v>coverage unavailable or execution/compile failed</x:v>
      </x:c>
      <x:c r="N32" s="35" t="str">
        <x:v>Deepseek-flash-v4/Result/Cli_13/result.json</x:v>
      </x:c>
      <x:c r="O32" s="39" t="str">
        <x:f>IF(AND(G32="RECORDED",ISNUMBER(H32)),H32,"")</x:f>
      </x:c>
      <x:c r="P32" s="35" t="str">
        <x:v>NOT_AVAILABLE</x:v>
      </x:c>
      <x:c r="Q32" s="35" t="str">
        <x:v>Deepseek-flash-v4/Result/Cli_13/result.json</x:v>
      </x:c>
    </x:row>
    <x:row r="33">
      <x:c r="A33" s="35" t="str">
        <x:v>deepseek</x:v>
      </x:c>
      <x:c r="B33" s="35" t="str">
        <x:v>Cli</x:v>
      </x:c>
      <x:c r="C33" s="35" t="str">
        <x:v>Round1</x:v>
      </x:c>
      <x:c r="D33" s="35" t="str">
        <x:v>Cli_14</x:v>
      </x:c>
      <x:c r="E33" s="35" t="str">
        <x:v>Line</x:v>
      </x:c>
      <x:c r="F33" s="35"/>
      <x:c r="G33" s="35" t="str">
        <x:v>A</x:v>
      </x:c>
      <x:c r="H33" s="39" t="str">
        <x:f>IF(ISNUMBER('Data'!E33),'Data'!E33*100,"")</x:f>
      </x:c>
      <x:c r="I33" s="35"/>
      <x:c r="J33" s="35" t="str">
        <x:v>PASS</x:v>
      </x:c>
      <x:c r="K33" s="35" t="str">
        <x:v>FAIL</x:v>
      </x:c>
      <x:c r="L33" s="35" t="str">
        <x:v>NOT_RUN</x:v>
      </x:c>
      <x:c r="M33" s="35" t="str">
        <x:v>coverage unavailable or execution/compile failed</x:v>
      </x:c>
      <x:c r="N33" s="35" t="str">
        <x:v>Deepseek-flash-v4/Result/Cli_14/result.json</x:v>
      </x:c>
      <x:c r="O33" s="39" t="str">
        <x:f>IF(AND(G33="RECORDED",ISNUMBER(H33)),H33,"")</x:f>
      </x:c>
      <x:c r="P33" s="35" t="str">
        <x:v>NOT_AVAILABLE</x:v>
      </x:c>
      <x:c r="Q33" s="35" t="str">
        <x:v>Deepseek-flash-v4/Result/Cli_14/result.json</x:v>
      </x:c>
    </x:row>
    <x:row r="34">
      <x:c r="A34" s="35" t="str">
        <x:v>deepseek</x:v>
      </x:c>
      <x:c r="B34" s="35" t="str">
        <x:v>Cli</x:v>
      </x:c>
      <x:c r="C34" s="35" t="str">
        <x:v>Round1</x:v>
      </x:c>
      <x:c r="D34" s="35" t="str">
        <x:v>Cli_15</x:v>
      </x:c>
      <x:c r="E34" s="35" t="str">
        <x:v>Line</x:v>
      </x:c>
      <x:c r="F34" s="35"/>
      <x:c r="G34" s="35" t="str">
        <x:v>A</x:v>
      </x:c>
      <x:c r="H34" s="39" t="str">
        <x:f>IF(ISNUMBER('Data'!E34),'Data'!E34*100,"")</x:f>
      </x:c>
      <x:c r="I34" s="35"/>
      <x:c r="J34" s="35" t="str">
        <x:v>PASS</x:v>
      </x:c>
      <x:c r="K34" s="35" t="str">
        <x:v>FAIL</x:v>
      </x:c>
      <x:c r="L34" s="35" t="str">
        <x:v>NOT_RUN</x:v>
      </x:c>
      <x:c r="M34" s="35" t="str">
        <x:v>coverage unavailable or execution/compile failed</x:v>
      </x:c>
      <x:c r="N34" s="35" t="str">
        <x:v>Deepseek-flash-v4/Result/Cli_15/result.json</x:v>
      </x:c>
      <x:c r="O34" s="39" t="str">
        <x:f>IF(AND(G34="RECORDED",ISNUMBER(H34)),H34,"")</x:f>
      </x:c>
      <x:c r="P34" s="35" t="str">
        <x:v>NOT_AVAILABLE</x:v>
      </x:c>
      <x:c r="Q34" s="35" t="str">
        <x:v>Deepseek-flash-v4/Result/Cli_15/result.json</x:v>
      </x:c>
    </x:row>
    <x:row r="35">
      <x:c r="A35" s="35" t="str">
        <x:v>deepseek</x:v>
      </x:c>
      <x:c r="B35" s="35" t="str">
        <x:v>Cli</x:v>
      </x:c>
      <x:c r="C35" s="35" t="str">
        <x:v>Round1</x:v>
      </x:c>
      <x:c r="D35" s="35" t="str">
        <x:v>Cli_16</x:v>
      </x:c>
      <x:c r="E35" s="35" t="str">
        <x:v>Line</x:v>
      </x:c>
      <x:c r="F35" s="35"/>
      <x:c r="G35" s="35" t="str">
        <x:v>A</x:v>
      </x:c>
      <x:c r="H35" s="39" t="str">
        <x:f>IF(ISNUMBER('Data'!E35),'Data'!E35*100,"")</x:f>
      </x:c>
      <x:c r="I35" s="35"/>
      <x:c r="J35" s="35" t="str">
        <x:v>PASS</x:v>
      </x:c>
      <x:c r="K35" s="35" t="str">
        <x:v>FAIL</x:v>
      </x:c>
      <x:c r="L35" s="35" t="str">
        <x:v>NOT_RUN</x:v>
      </x:c>
      <x:c r="M35" s="35" t="str">
        <x:v>coverage unavailable or execution/compile failed</x:v>
      </x:c>
      <x:c r="N35" s="35" t="str">
        <x:v>Deepseek-flash-v4/Result/Cli_16/result.json</x:v>
      </x:c>
      <x:c r="O35" s="39" t="str">
        <x:f>IF(AND(G35="RECORDED",ISNUMBER(H35)),H35,"")</x:f>
      </x:c>
      <x:c r="P35" s="35" t="str">
        <x:v>NOT_AVAILABLE</x:v>
      </x:c>
      <x:c r="Q35" s="35" t="str">
        <x:v>Deepseek-flash-v4/Result/Cli_16/result.json</x:v>
      </x:c>
    </x:row>
    <x:row r="36">
      <x:c r="A36" s="35" t="str">
        <x:v>deepseek</x:v>
      </x:c>
      <x:c r="B36" s="35" t="str">
        <x:v>Cli</x:v>
      </x:c>
      <x:c r="C36" s="35" t="str">
        <x:v>Round1</x:v>
      </x:c>
      <x:c r="D36" s="35" t="str">
        <x:v>Cli_17</x:v>
      </x:c>
      <x:c r="E36" s="35" t="str">
        <x:v>Line</x:v>
      </x:c>
      <x:c r="F36" s="35"/>
      <x:c r="G36" s="35" t="str">
        <x:v>A</x:v>
      </x:c>
      <x:c r="H36" s="39" t="str">
        <x:f>IF(ISNUMBER('Data'!E36),'Data'!E36*100,"")</x:f>
      </x:c>
      <x:c r="I36" s="35"/>
      <x:c r="J36" s="35" t="str">
        <x:v>PASS</x:v>
      </x:c>
      <x:c r="K36" s="35" t="str">
        <x:v>FAIL</x:v>
      </x:c>
      <x:c r="L36" s="35" t="str">
        <x:v>NOT_RUN</x:v>
      </x:c>
      <x:c r="M36" s="35" t="str">
        <x:v>coverage unavailable or execution/compile failed</x:v>
      </x:c>
      <x:c r="N36" s="35" t="str">
        <x:v>Deepseek-flash-v4/Result/Cli_17/result.json</x:v>
      </x:c>
      <x:c r="O36" s="39" t="str">
        <x:f>IF(AND(G36="RECORDED",ISNUMBER(H36)),H36,"")</x:f>
      </x:c>
      <x:c r="P36" s="35" t="str">
        <x:v>NOT_AVAILABLE</x:v>
      </x:c>
      <x:c r="Q36" s="35" t="str">
        <x:v>Deepseek-flash-v4/Result/Cli_17/result.json</x:v>
      </x:c>
    </x:row>
    <x:row r="37">
      <x:c r="A37" s="35" t="str">
        <x:v>deepseek</x:v>
      </x:c>
      <x:c r="B37" s="35" t="str">
        <x:v>Cli</x:v>
      </x:c>
      <x:c r="C37" s="35" t="str">
        <x:v>Round1</x:v>
      </x:c>
      <x:c r="D37" s="35" t="str">
        <x:v>Cli_18</x:v>
      </x:c>
      <x:c r="E37" s="35" t="str">
        <x:v>Line</x:v>
      </x:c>
      <x:c r="F37" s="35" t="n">
        <x:v>66</x:v>
      </x:c>
      <x:c r="G37" s="35" t="str">
        <x:v>RECORDED</x:v>
      </x:c>
      <x:c r="H37" s="39" t="n">
        <x:f>IF(ISNUMBER('Data'!E37),'Data'!E37*100,"")</x:f>
        <x:v>0</x:v>
      </x:c>
      <x:c r="I37" s="35" t="str">
        <x:v>PASS</x:v>
      </x:c>
      <x:c r="J37" s="35" t="str">
        <x:v>PASS</x:v>
      </x:c>
      <x:c r="K37" s="35" t="str">
        <x:v>PASS</x:v>
      </x:c>
      <x:c r="L37" s="35" t="str">
        <x:v>FAIL</x:v>
      </x:c>
      <x:c r="M37" s="35" t="str">
        <x:v>numeric coverage for applicable metric</x:v>
      </x:c>
      <x:c r="N37" s="35" t="str">
        <x:v>Deepseek-flash-v4/Result/Cli_18/result.json</x:v>
      </x:c>
      <x:c r="O37" s="39" t="n">
        <x:f>IF(AND(G37="RECORDED",ISNUMBER(H37)),H37,"")</x:f>
        <x:v>0</x:v>
      </x:c>
      <x:c r="P37" s="35" t="str">
        <x:v>INCONCLUSIVE</x:v>
      </x:c>
      <x:c r="Q37" s="35" t="str">
        <x:v>Deepseek-flash-v4/Result/Cli_18/result.json</x:v>
      </x:c>
    </x:row>
    <x:row r="38">
      <x:c r="A38" s="35" t="str">
        <x:v>deepseek</x:v>
      </x:c>
      <x:c r="B38" s="35" t="str">
        <x:v>Cli</x:v>
      </x:c>
      <x:c r="C38" s="35" t="str">
        <x:v>Round1</x:v>
      </x:c>
      <x:c r="D38" s="35" t="str">
        <x:v>Cli_19</x:v>
      </x:c>
      <x:c r="E38" s="35" t="str">
        <x:v>Line</x:v>
      </x:c>
      <x:c r="F38" s="35" t="n">
        <x:v>65</x:v>
      </x:c>
      <x:c r="G38" s="35" t="str">
        <x:v>RECORDED</x:v>
      </x:c>
      <x:c r="H38" s="39" t="n">
        <x:f>IF(ISNUMBER('Data'!E38),'Data'!E38*100,"")</x:f>
        <x:v>0</x:v>
      </x:c>
      <x:c r="I38" s="35" t="str">
        <x:v>PASS</x:v>
      </x:c>
      <x:c r="J38" s="35" t="str">
        <x:v>PASS</x:v>
      </x:c>
      <x:c r="K38" s="35" t="str">
        <x:v>PASS</x:v>
      </x:c>
      <x:c r="L38" s="35" t="str">
        <x:v>FAIL</x:v>
      </x:c>
      <x:c r="M38" s="35" t="str">
        <x:v>numeric coverage for applicable metric</x:v>
      </x:c>
      <x:c r="N38" s="35" t="str">
        <x:v>Deepseek-flash-v4/Result/Cli_19/result.json</x:v>
      </x:c>
      <x:c r="O38" s="39" t="n">
        <x:f>IF(AND(G38="RECORDED",ISNUMBER(H38)),H38,"")</x:f>
        <x:v>0</x:v>
      </x:c>
      <x:c r="P38" s="35" t="str">
        <x:v>INCONCLUSIVE</x:v>
      </x:c>
      <x:c r="Q38" s="35" t="str">
        <x:v>Deepseek-flash-v4/Result/Cli_19/result.json</x:v>
      </x:c>
    </x:row>
    <x:row r="39">
      <x:c r="A39" s="35" t="str">
        <x:v>deepseek</x:v>
      </x:c>
      <x:c r="B39" s="35" t="str">
        <x:v>Cli</x:v>
      </x:c>
      <x:c r="C39" s="35" t="str">
        <x:v>Round1</x:v>
      </x:c>
      <x:c r="D39" s="35" t="str">
        <x:v>Cli_2</x:v>
      </x:c>
      <x:c r="E39" s="35" t="str">
        <x:v>Line</x:v>
      </x:c>
      <x:c r="F39" s="35" t="n">
        <x:v>68</x:v>
      </x:c>
      <x:c r="G39" s="35" t="str">
        <x:v>RECORDED</x:v>
      </x:c>
      <x:c r="H39" s="39" t="n">
        <x:f>IF(ISNUMBER('Data'!E39),'Data'!E39*100,"")</x:f>
        <x:v>0</x:v>
      </x:c>
      <x:c r="I39" s="35" t="str">
        <x:v>PASS</x:v>
      </x:c>
      <x:c r="J39" s="35" t="str">
        <x:v>PASS</x:v>
      </x:c>
      <x:c r="K39" s="35" t="str">
        <x:v>PASS</x:v>
      </x:c>
      <x:c r="L39" s="35" t="str">
        <x:v>FAIL</x:v>
      </x:c>
      <x:c r="M39" s="35" t="str">
        <x:v>numeric coverage for applicable metric</x:v>
      </x:c>
      <x:c r="N39" s="35" t="str">
        <x:v>Deepseek-flash-v4/Result/Cli_2/result.json</x:v>
      </x:c>
      <x:c r="O39" s="39" t="n">
        <x:f>IF(AND(G39="RECORDED",ISNUMBER(H39)),H39,"")</x:f>
        <x:v>0</x:v>
      </x:c>
      <x:c r="P39" s="35" t="str">
        <x:v>INCONCLUSIVE</x:v>
      </x:c>
      <x:c r="Q39" s="35" t="str">
        <x:v>Deepseek-flash-v4/Result/Cli_2/result.json</x:v>
      </x:c>
    </x:row>
    <x:row r="40">
      <x:c r="A40" s="35" t="str">
        <x:v>deepseek</x:v>
      </x:c>
      <x:c r="B40" s="35" t="str">
        <x:v>Cli</x:v>
      </x:c>
      <x:c r="C40" s="35" t="str">
        <x:v>Round1</x:v>
      </x:c>
      <x:c r="D40" s="35" t="str">
        <x:v>Cli_20</x:v>
      </x:c>
      <x:c r="E40" s="35" t="str">
        <x:v>Line</x:v>
      </x:c>
      <x:c r="F40" s="35"/>
      <x:c r="G40" s="35" t="str">
        <x:v>A</x:v>
      </x:c>
      <x:c r="H40" s="39" t="str">
        <x:f>IF(ISNUMBER('Data'!E40),'Data'!E40*100,"")</x:f>
      </x:c>
      <x:c r="I40" s="35"/>
      <x:c r="J40" s="35" t="str">
        <x:v>PASS</x:v>
      </x:c>
      <x:c r="K40" s="35" t="str">
        <x:v>FAIL</x:v>
      </x:c>
      <x:c r="L40" s="35" t="str">
        <x:v>NOT_RUN</x:v>
      </x:c>
      <x:c r="M40" s="35" t="str">
        <x:v>coverage unavailable or execution/compile failed</x:v>
      </x:c>
      <x:c r="N40" s="35" t="str">
        <x:v>Deepseek-flash-v4/Result/Cli_20/result.json</x:v>
      </x:c>
      <x:c r="O40" s="39" t="str">
        <x:f>IF(AND(G40="RECORDED",ISNUMBER(H40)),H40,"")</x:f>
      </x:c>
      <x:c r="P40" s="35" t="str">
        <x:v>NOT_AVAILABLE</x:v>
      </x:c>
      <x:c r="Q40" s="35" t="str">
        <x:v>Deepseek-flash-v4/Result/Cli_20/result.json</x:v>
      </x:c>
    </x:row>
    <x:row r="41">
      <x:c r="A41" s="35" t="str">
        <x:v>deepseek</x:v>
      </x:c>
      <x:c r="B41" s="35" t="str">
        <x:v>Cli</x:v>
      </x:c>
      <x:c r="C41" s="35" t="str">
        <x:v>Round1</x:v>
      </x:c>
      <x:c r="D41" s="35" t="str">
        <x:v>Cli_21</x:v>
      </x:c>
      <x:c r="E41" s="35" t="str">
        <x:v>Line</x:v>
      </x:c>
      <x:c r="F41" s="35"/>
      <x:c r="G41" s="35" t="str">
        <x:v>A</x:v>
      </x:c>
      <x:c r="H41" s="39" t="str">
        <x:f>IF(ISNUMBER('Data'!E41),'Data'!E41*100,"")</x:f>
      </x:c>
      <x:c r="I41" s="35"/>
      <x:c r="J41" s="35" t="str">
        <x:v>PASS</x:v>
      </x:c>
      <x:c r="K41" s="35" t="str">
        <x:v>FAIL</x:v>
      </x:c>
      <x:c r="L41" s="35" t="str">
        <x:v>NOT_RUN</x:v>
      </x:c>
      <x:c r="M41" s="35" t="str">
        <x:v>coverage unavailable or execution/compile failed</x:v>
      </x:c>
      <x:c r="N41" s="35" t="str">
        <x:v>Deepseek-flash-v4/Result/Cli_21/result.json</x:v>
      </x:c>
      <x:c r="O41" s="39" t="str">
        <x:f>IF(AND(G41="RECORDED",ISNUMBER(H41)),H41,"")</x:f>
      </x:c>
      <x:c r="P41" s="35" t="str">
        <x:v>NOT_AVAILABLE</x:v>
      </x:c>
      <x:c r="Q41" s="35" t="str">
        <x:v>Deepseek-flash-v4/Result/Cli_21/result.json</x:v>
      </x:c>
    </x:row>
    <x:row r="42">
      <x:c r="A42" s="35" t="str">
        <x:v>deepseek</x:v>
      </x:c>
      <x:c r="B42" s="35" t="str">
        <x:v>Cli</x:v>
      </x:c>
      <x:c r="C42" s="35" t="str">
        <x:v>Round1</x:v>
      </x:c>
      <x:c r="D42" s="35" t="str">
        <x:v>Cli_22</x:v>
      </x:c>
      <x:c r="E42" s="35" t="str">
        <x:v>Line</x:v>
      </x:c>
      <x:c r="F42" s="35" t="n">
        <x:v>57</x:v>
      </x:c>
      <x:c r="G42" s="35" t="str">
        <x:v>RECORDED</x:v>
      </x:c>
      <x:c r="H42" s="39" t="n">
        <x:f>IF(ISNUMBER('Data'!E42),'Data'!E42*100,"")</x:f>
        <x:v>0</x:v>
      </x:c>
      <x:c r="I42" s="35" t="str">
        <x:v>PASS</x:v>
      </x:c>
      <x:c r="J42" s="35" t="str">
        <x:v>PASS</x:v>
      </x:c>
      <x:c r="K42" s="35" t="str">
        <x:v>PASS</x:v>
      </x:c>
      <x:c r="L42" s="35" t="str">
        <x:v>FAIL</x:v>
      </x:c>
      <x:c r="M42" s="35" t="str">
        <x:v>numeric coverage for applicable metric</x:v>
      </x:c>
      <x:c r="N42" s="35" t="str">
        <x:v>Deepseek-flash-v4/Result/Cli_22/result.json</x:v>
      </x:c>
      <x:c r="O42" s="39" t="n">
        <x:f>IF(AND(G42="RECORDED",ISNUMBER(H42)),H42,"")</x:f>
        <x:v>0</x:v>
      </x:c>
      <x:c r="P42" s="35" t="str">
        <x:v>INCONCLUSIVE</x:v>
      </x:c>
      <x:c r="Q42" s="35" t="str">
        <x:v>Deepseek-flash-v4/Result/Cli_22/result.json</x:v>
      </x:c>
    </x:row>
    <x:row r="43">
      <x:c r="A43" s="35" t="str">
        <x:v>deepseek</x:v>
      </x:c>
      <x:c r="B43" s="35" t="str">
        <x:v>Cli</x:v>
      </x:c>
      <x:c r="C43" s="35" t="str">
        <x:v>Round1</x:v>
      </x:c>
      <x:c r="D43" s="35" t="str">
        <x:v>Cli_23</x:v>
      </x:c>
      <x:c r="E43" s="35" t="str">
        <x:v>Line</x:v>
      </x:c>
      <x:c r="F43" s="35"/>
      <x:c r="G43" s="35" t="str">
        <x:v>A</x:v>
      </x:c>
      <x:c r="H43" s="39" t="str">
        <x:f>IF(ISNUMBER('Data'!E43),'Data'!E43*100,"")</x:f>
      </x:c>
      <x:c r="I43" s="35"/>
      <x:c r="J43" s="35" t="str">
        <x:v>PASS</x:v>
      </x:c>
      <x:c r="K43" s="35" t="str">
        <x:v>FAIL</x:v>
      </x:c>
      <x:c r="L43" s="35" t="str">
        <x:v>NOT_RUN</x:v>
      </x:c>
      <x:c r="M43" s="35" t="str">
        <x:v>coverage unavailable or execution/compile failed</x:v>
      </x:c>
      <x:c r="N43" s="35" t="str">
        <x:v>Deepseek-flash-v4/Result/Cli_23/result.json</x:v>
      </x:c>
      <x:c r="O43" s="39" t="str">
        <x:f>IF(AND(G43="RECORDED",ISNUMBER(H43)),H43,"")</x:f>
      </x:c>
      <x:c r="P43" s="35" t="str">
        <x:v>NOT_AVAILABLE</x:v>
      </x:c>
      <x:c r="Q43" s="35" t="str">
        <x:v>Deepseek-flash-v4/Result/Cli_23/result.json</x:v>
      </x:c>
    </x:row>
    <x:row r="44">
      <x:c r="A44" s="35" t="str">
        <x:v>deepseek</x:v>
      </x:c>
      <x:c r="B44" s="35" t="str">
        <x:v>Cli</x:v>
      </x:c>
      <x:c r="C44" s="35" t="str">
        <x:v>Round1</x:v>
      </x:c>
      <x:c r="D44" s="35" t="str">
        <x:v>Cli_24</x:v>
      </x:c>
      <x:c r="E44" s="35" t="str">
        <x:v>Line</x:v>
      </x:c>
      <x:c r="F44" s="35" t="n">
        <x:v>198</x:v>
      </x:c>
      <x:c r="G44" s="35" t="str">
        <x:v>RECORDED</x:v>
      </x:c>
      <x:c r="H44" s="39" t="n">
        <x:f>IF(ISNUMBER('Data'!E44),'Data'!E44*100,"")</x:f>
        <x:v>0</x:v>
      </x:c>
      <x:c r="I44" s="35" t="str">
        <x:v>PASS</x:v>
      </x:c>
      <x:c r="J44" s="35" t="str">
        <x:v>PASS</x:v>
      </x:c>
      <x:c r="K44" s="35" t="str">
        <x:v>PASS</x:v>
      </x:c>
      <x:c r="L44" s="35" t="str">
        <x:v>FAIL</x:v>
      </x:c>
      <x:c r="M44" s="35" t="str">
        <x:v>numeric coverage for applicable metric</x:v>
      </x:c>
      <x:c r="N44" s="35" t="str">
        <x:v>Deepseek-flash-v4/Result/Cli_24/result.json</x:v>
      </x:c>
      <x:c r="O44" s="39" t="n">
        <x:f>IF(AND(G44="RECORDED",ISNUMBER(H44)),H44,"")</x:f>
        <x:v>0</x:v>
      </x:c>
      <x:c r="P44" s="35" t="str">
        <x:v>INCONCLUSIVE</x:v>
      </x:c>
      <x:c r="Q44" s="35" t="str">
        <x:v>Deepseek-flash-v4/Result/Cli_24/result.json</x:v>
      </x:c>
    </x:row>
    <x:row r="45">
      <x:c r="A45" s="35" t="str">
        <x:v>deepseek</x:v>
      </x:c>
      <x:c r="B45" s="35" t="str">
        <x:v>Cli</x:v>
      </x:c>
      <x:c r="C45" s="35" t="str">
        <x:v>Round1</x:v>
      </x:c>
      <x:c r="D45" s="35" t="str">
        <x:v>Cli_25</x:v>
      </x:c>
      <x:c r="E45" s="35" t="str">
        <x:v>Line</x:v>
      </x:c>
      <x:c r="F45" s="35"/>
      <x:c r="G45" s="35" t="str">
        <x:v>A</x:v>
      </x:c>
      <x:c r="H45" s="39" t="str">
        <x:f>IF(ISNUMBER('Data'!E45),'Data'!E45*100,"")</x:f>
      </x:c>
      <x:c r="I45" s="35"/>
      <x:c r="J45" s="35" t="str">
        <x:v>PASS</x:v>
      </x:c>
      <x:c r="K45" s="35" t="str">
        <x:v>FAIL</x:v>
      </x:c>
      <x:c r="L45" s="35" t="str">
        <x:v>NOT_RUN</x:v>
      </x:c>
      <x:c r="M45" s="35" t="str">
        <x:v>coverage unavailable or execution/compile failed</x:v>
      </x:c>
      <x:c r="N45" s="35" t="str">
        <x:v>Deepseek-flash-v4/Result/Cli_25/result.json</x:v>
      </x:c>
      <x:c r="O45" s="39" t="str">
        <x:f>IF(AND(G45="RECORDED",ISNUMBER(H45)),H45,"")</x:f>
      </x:c>
      <x:c r="P45" s="35" t="str">
        <x:v>NOT_AVAILABLE</x:v>
      </x:c>
      <x:c r="Q45" s="35" t="str">
        <x:v>Deepseek-flash-v4/Result/Cli_25/result.json</x:v>
      </x:c>
    </x:row>
    <x:row r="46">
      <x:c r="A46" s="35" t="str">
        <x:v>deepseek</x:v>
      </x:c>
      <x:c r="B46" s="35" t="str">
        <x:v>Cli</x:v>
      </x:c>
      <x:c r="C46" s="35" t="str">
        <x:v>Round1</x:v>
      </x:c>
      <x:c r="D46" s="35" t="str">
        <x:v>Cli_26</x:v>
      </x:c>
      <x:c r="E46" s="35" t="str">
        <x:v>Line</x:v>
      </x:c>
      <x:c r="F46" s="35"/>
      <x:c r="G46" s="35" t="str">
        <x:v>A</x:v>
      </x:c>
      <x:c r="H46" s="39" t="str">
        <x:f>IF(ISNUMBER('Data'!E46),'Data'!E46*100,"")</x:f>
      </x:c>
      <x:c r="I46" s="35"/>
      <x:c r="J46" s="35" t="str">
        <x:v>PASS</x:v>
      </x:c>
      <x:c r="K46" s="35" t="str">
        <x:v>FAIL</x:v>
      </x:c>
      <x:c r="L46" s="35" t="str">
        <x:v>NOT_RUN</x:v>
      </x:c>
      <x:c r="M46" s="35" t="str">
        <x:v>coverage unavailable or execution/compile failed</x:v>
      </x:c>
      <x:c r="N46" s="35" t="str">
        <x:v>Deepseek-flash-v4/Result/Cli_26/result.json</x:v>
      </x:c>
      <x:c r="O46" s="39" t="str">
        <x:f>IF(AND(G46="RECORDED",ISNUMBER(H46)),H46,"")</x:f>
      </x:c>
      <x:c r="P46" s="35" t="str">
        <x:v>NOT_AVAILABLE</x:v>
      </x:c>
      <x:c r="Q46" s="35" t="str">
        <x:v>Deepseek-flash-v4/Result/Cli_26/result.json</x:v>
      </x:c>
    </x:row>
    <x:row r="47">
      <x:c r="A47" s="35" t="str">
        <x:v>deepseek</x:v>
      </x:c>
      <x:c r="B47" s="35" t="str">
        <x:v>Cli</x:v>
      </x:c>
      <x:c r="C47" s="35" t="str">
        <x:v>Round1</x:v>
      </x:c>
      <x:c r="D47" s="35" t="str">
        <x:v>Cli_27</x:v>
      </x:c>
      <x:c r="E47" s="35" t="str">
        <x:v>Line</x:v>
      </x:c>
      <x:c r="F47" s="35" t="n">
        <x:v>34</x:v>
      </x:c>
      <x:c r="G47" s="35" t="str">
        <x:v>RECORDED</x:v>
      </x:c>
      <x:c r="H47" s="39" t="n">
        <x:f>IF(ISNUMBER('Data'!E47),'Data'!E47*100,"")</x:f>
        <x:v>0</x:v>
      </x:c>
      <x:c r="I47" s="35" t="str">
        <x:v>PASS</x:v>
      </x:c>
      <x:c r="J47" s="35" t="str">
        <x:v>PASS</x:v>
      </x:c>
      <x:c r="K47" s="35" t="str">
        <x:v>PASS</x:v>
      </x:c>
      <x:c r="L47" s="35" t="str">
        <x:v>FAIL</x:v>
      </x:c>
      <x:c r="M47" s="35" t="str">
        <x:v>numeric coverage for applicable metric</x:v>
      </x:c>
      <x:c r="N47" s="35" t="str">
        <x:v>Deepseek-flash-v4/Result/Cli_27/result.json</x:v>
      </x:c>
      <x:c r="O47" s="39" t="n">
        <x:f>IF(AND(G47="RECORDED",ISNUMBER(H47)),H47,"")</x:f>
        <x:v>0</x:v>
      </x:c>
      <x:c r="P47" s="35" t="str">
        <x:v>INCONCLUSIVE</x:v>
      </x:c>
      <x:c r="Q47" s="35" t="str">
        <x:v>Deepseek-flash-v4/Result/Cli_27/result.json</x:v>
      </x:c>
    </x:row>
    <x:row r="48">
      <x:c r="A48" s="35" t="str">
        <x:v>deepseek</x:v>
      </x:c>
      <x:c r="B48" s="35" t="str">
        <x:v>Cli</x:v>
      </x:c>
      <x:c r="C48" s="35" t="str">
        <x:v>Round1</x:v>
      </x:c>
      <x:c r="D48" s="35" t="str">
        <x:v>Cli_28</x:v>
      </x:c>
      <x:c r="E48" s="35" t="str">
        <x:v>Line</x:v>
      </x:c>
      <x:c r="F48" s="35"/>
      <x:c r="G48" s="35" t="str">
        <x:v>A</x:v>
      </x:c>
      <x:c r="H48" s="39" t="str">
        <x:f>IF(ISNUMBER('Data'!E48),'Data'!E48*100,"")</x:f>
      </x:c>
      <x:c r="I48" s="35"/>
      <x:c r="J48" s="35" t="str">
        <x:v>PASS</x:v>
      </x:c>
      <x:c r="K48" s="35" t="str">
        <x:v>FAIL</x:v>
      </x:c>
      <x:c r="L48" s="35" t="str">
        <x:v>NOT_RUN</x:v>
      </x:c>
      <x:c r="M48" s="35" t="str">
        <x:v>coverage unavailable or execution/compile failed</x:v>
      </x:c>
      <x:c r="N48" s="35" t="str">
        <x:v>Deepseek-flash-v4/Result/Cli_28/result.json</x:v>
      </x:c>
      <x:c r="O48" s="39" t="str">
        <x:f>IF(AND(G48="RECORDED",ISNUMBER(H48)),H48,"")</x:f>
      </x:c>
      <x:c r="P48" s="35" t="str">
        <x:v>NOT_AVAILABLE</x:v>
      </x:c>
      <x:c r="Q48" s="35" t="str">
        <x:v>Deepseek-flash-v4/Result/Cli_28/result.json</x:v>
      </x:c>
    </x:row>
    <x:row r="49">
      <x:c r="A49" s="35" t="str">
        <x:v>deepseek</x:v>
      </x:c>
      <x:c r="B49" s="35" t="str">
        <x:v>Cli</x:v>
      </x:c>
      <x:c r="C49" s="35" t="str">
        <x:v>Round1</x:v>
      </x:c>
      <x:c r="D49" s="35" t="str">
        <x:v>Cli_29</x:v>
      </x:c>
      <x:c r="E49" s="35" t="str">
        <x:v>Line</x:v>
      </x:c>
      <x:c r="F49" s="35" t="n">
        <x:v>14</x:v>
      </x:c>
      <x:c r="G49" s="35" t="str">
        <x:v>RECORDED</x:v>
      </x:c>
      <x:c r="H49" s="39" t="n">
        <x:f>IF(ISNUMBER('Data'!E49),'Data'!E49*100,"")</x:f>
        <x:v>0</x:v>
      </x:c>
      <x:c r="I49" s="35" t="str">
        <x:v>PASS</x:v>
      </x:c>
      <x:c r="J49" s="35" t="str">
        <x:v>PASS</x:v>
      </x:c>
      <x:c r="K49" s="35" t="str">
        <x:v>PASS</x:v>
      </x:c>
      <x:c r="L49" s="35" t="str">
        <x:v>FAIL</x:v>
      </x:c>
      <x:c r="M49" s="35" t="str">
        <x:v>numeric coverage for applicable metric</x:v>
      </x:c>
      <x:c r="N49" s="35" t="str">
        <x:v>Deepseek-flash-v4/Result/Cli_29/result.json</x:v>
      </x:c>
      <x:c r="O49" s="39" t="n">
        <x:f>IF(AND(G49="RECORDED",ISNUMBER(H49)),H49,"")</x:f>
        <x:v>0</x:v>
      </x:c>
      <x:c r="P49" s="35" t="str">
        <x:v>INCONCLUSIVE</x:v>
      </x:c>
      <x:c r="Q49" s="35" t="str">
        <x:v>Deepseek-flash-v4/Result/Cli_29/result.json</x:v>
      </x:c>
    </x:row>
    <x:row r="50">
      <x:c r="A50" s="35" t="str">
        <x:v>deepseek</x:v>
      </x:c>
      <x:c r="B50" s="35" t="str">
        <x:v>Cli</x:v>
      </x:c>
      <x:c r="C50" s="35" t="str">
        <x:v>Round1</x:v>
      </x:c>
      <x:c r="D50" s="35" t="str">
        <x:v>Cli_3</x:v>
      </x:c>
      <x:c r="E50" s="35" t="str">
        <x:v>Line</x:v>
      </x:c>
      <x:c r="F50" s="35" t="n">
        <x:v>55</x:v>
      </x:c>
      <x:c r="G50" s="35" t="str">
        <x:v>RECORDED</x:v>
      </x:c>
      <x:c r="H50" s="39" t="n">
        <x:f>IF(ISNUMBER('Data'!E50),'Data'!E50*100,"")</x:f>
        <x:v>0</x:v>
      </x:c>
      <x:c r="I50" s="35" t="str">
        <x:v>PASS</x:v>
      </x:c>
      <x:c r="J50" s="35" t="str">
        <x:v>PASS</x:v>
      </x:c>
      <x:c r="K50" s="35" t="str">
        <x:v>PASS</x:v>
      </x:c>
      <x:c r="L50" s="35" t="str">
        <x:v>FAIL</x:v>
      </x:c>
      <x:c r="M50" s="35" t="str">
        <x:v>numeric coverage for applicable metric</x:v>
      </x:c>
      <x:c r="N50" s="35" t="str">
        <x:v>Deepseek-flash-v4/Result/Cli_3/result.json</x:v>
      </x:c>
      <x:c r="O50" s="39" t="n">
        <x:f>IF(AND(G50="RECORDED",ISNUMBER(H50)),H50,"")</x:f>
        <x:v>0</x:v>
      </x:c>
      <x:c r="P50" s="35" t="str">
        <x:v>INCONCLUSIVE</x:v>
      </x:c>
      <x:c r="Q50" s="35" t="str">
        <x:v>Deepseek-flash-v4/Result/Cli_3/result.json</x:v>
      </x:c>
    </x:row>
    <x:row r="51">
      <x:c r="A51" s="35" t="str">
        <x:v>deepseek</x:v>
      </x:c>
      <x:c r="B51" s="35" t="str">
        <x:v>Cli</x:v>
      </x:c>
      <x:c r="C51" s="35" t="str">
        <x:v>Round1</x:v>
      </x:c>
      <x:c r="D51" s="35" t="str">
        <x:v>Cli_30</x:v>
      </x:c>
      <x:c r="E51" s="35" t="str">
        <x:v>Line</x:v>
      </x:c>
      <x:c r="F51" s="35"/>
      <x:c r="G51" s="35" t="str">
        <x:v>A</x:v>
      </x:c>
      <x:c r="H51" s="39" t="str">
        <x:f>IF(ISNUMBER('Data'!E51),'Data'!E51*100,"")</x:f>
      </x:c>
      <x:c r="I51" s="35"/>
      <x:c r="J51" s="35" t="str">
        <x:v>PASS</x:v>
      </x:c>
      <x:c r="K51" s="35" t="str">
        <x:v>FAIL</x:v>
      </x:c>
      <x:c r="L51" s="35" t="str">
        <x:v>NOT_RUN</x:v>
      </x:c>
      <x:c r="M51" s="35" t="str">
        <x:v>coverage unavailable or execution/compile failed</x:v>
      </x:c>
      <x:c r="N51" s="35" t="str">
        <x:v>Deepseek-flash-v4/Result/Cli_30/result.json</x:v>
      </x:c>
      <x:c r="O51" s="39" t="str">
        <x:f>IF(AND(G51="RECORDED",ISNUMBER(H51)),H51,"")</x:f>
      </x:c>
      <x:c r="P51" s="35" t="str">
        <x:v>NOT_AVAILABLE</x:v>
      </x:c>
      <x:c r="Q51" s="35" t="str">
        <x:v>Deepseek-flash-v4/Result/Cli_30/result.json</x:v>
      </x:c>
    </x:row>
    <x:row r="52">
      <x:c r="A52" s="35" t="str">
        <x:v>deepseek</x:v>
      </x:c>
      <x:c r="B52" s="35" t="str">
        <x:v>Cli</x:v>
      </x:c>
      <x:c r="C52" s="35" t="str">
        <x:v>Round1</x:v>
      </x:c>
      <x:c r="D52" s="35" t="str">
        <x:v>Cli_31</x:v>
      </x:c>
      <x:c r="E52" s="35" t="str">
        <x:v>Line</x:v>
      </x:c>
      <x:c r="F52" s="35"/>
      <x:c r="G52" s="35" t="str">
        <x:v>A</x:v>
      </x:c>
      <x:c r="H52" s="39" t="str">
        <x:f>IF(ISNUMBER('Data'!E52),'Data'!E52*100,"")</x:f>
      </x:c>
      <x:c r="I52" s="35"/>
      <x:c r="J52" s="35" t="str">
        <x:v>PASS</x:v>
      </x:c>
      <x:c r="K52" s="35" t="str">
        <x:v>FAIL</x:v>
      </x:c>
      <x:c r="L52" s="35" t="str">
        <x:v>NOT_RUN</x:v>
      </x:c>
      <x:c r="M52" s="35" t="str">
        <x:v>coverage unavailable or execution/compile failed</x:v>
      </x:c>
      <x:c r="N52" s="35" t="str">
        <x:v>Deepseek-flash-v4/Result/Cli_31/result.json</x:v>
      </x:c>
      <x:c r="O52" s="39" t="str">
        <x:f>IF(AND(G52="RECORDED",ISNUMBER(H52)),H52,"")</x:f>
      </x:c>
      <x:c r="P52" s="35" t="str">
        <x:v>NOT_AVAILABLE</x:v>
      </x:c>
      <x:c r="Q52" s="35" t="str">
        <x:v>Deepseek-flash-v4/Result/Cli_31/result.json</x:v>
      </x:c>
    </x:row>
    <x:row r="53">
      <x:c r="A53" s="35" t="str">
        <x:v>deepseek</x:v>
      </x:c>
      <x:c r="B53" s="35" t="str">
        <x:v>Cli</x:v>
      </x:c>
      <x:c r="C53" s="35" t="str">
        <x:v>Round1</x:v>
      </x:c>
      <x:c r="D53" s="35" t="str">
        <x:v>Cli_32</x:v>
      </x:c>
      <x:c r="E53" s="35" t="str">
        <x:v>Line</x:v>
      </x:c>
      <x:c r="F53" s="35"/>
      <x:c r="G53" s="35" t="str">
        <x:v>A</x:v>
      </x:c>
      <x:c r="H53" s="39" t="str">
        <x:f>IF(ISNUMBER('Data'!E53),'Data'!E53*100,"")</x:f>
      </x:c>
      <x:c r="I53" s="35"/>
      <x:c r="J53" s="35" t="str">
        <x:v>PASS</x:v>
      </x:c>
      <x:c r="K53" s="35" t="str">
        <x:v>FAIL</x:v>
      </x:c>
      <x:c r="L53" s="35" t="str">
        <x:v>NOT_RUN</x:v>
      </x:c>
      <x:c r="M53" s="35" t="str">
        <x:v>coverage unavailable or execution/compile failed</x:v>
      </x:c>
      <x:c r="N53" s="35" t="str">
        <x:v>Deepseek-flash-v4/Result/Cli_32/result.json</x:v>
      </x:c>
      <x:c r="O53" s="39" t="str">
        <x:f>IF(AND(G53="RECORDED",ISNUMBER(H53)),H53,"")</x:f>
      </x:c>
      <x:c r="P53" s="35" t="str">
        <x:v>NOT_AVAILABLE</x:v>
      </x:c>
      <x:c r="Q53" s="35" t="str">
        <x:v>Deepseek-flash-v4/Result/Cli_32/result.json</x:v>
      </x:c>
    </x:row>
    <x:row r="54">
      <x:c r="A54" s="35" t="str">
        <x:v>deepseek</x:v>
      </x:c>
      <x:c r="B54" s="35" t="str">
        <x:v>Cli</x:v>
      </x:c>
      <x:c r="C54" s="35" t="str">
        <x:v>Round1</x:v>
      </x:c>
      <x:c r="D54" s="35" t="str">
        <x:v>Cli_33</x:v>
      </x:c>
      <x:c r="E54" s="35" t="str">
        <x:v>Line</x:v>
      </x:c>
      <x:c r="F54" s="35" t="n">
        <x:v>201</x:v>
      </x:c>
      <x:c r="G54" s="35" t="str">
        <x:v>RECORDED</x:v>
      </x:c>
      <x:c r="H54" s="39" t="n">
        <x:f>IF(ISNUMBER('Data'!E54),'Data'!E54*100,"")</x:f>
        <x:v>0</x:v>
      </x:c>
      <x:c r="I54" s="35" t="str">
        <x:v>PASS</x:v>
      </x:c>
      <x:c r="J54" s="35" t="str">
        <x:v>PASS</x:v>
      </x:c>
      <x:c r="K54" s="35" t="str">
        <x:v>PASS</x:v>
      </x:c>
      <x:c r="L54" s="35" t="str">
        <x:v>FAIL</x:v>
      </x:c>
      <x:c r="M54" s="35" t="str">
        <x:v>numeric coverage for applicable metric</x:v>
      </x:c>
      <x:c r="N54" s="35" t="str">
        <x:v>Deepseek-flash-v4/Result/Cli_33/result.json</x:v>
      </x:c>
      <x:c r="O54" s="39" t="n">
        <x:f>IF(AND(G54="RECORDED",ISNUMBER(H54)),H54,"")</x:f>
        <x:v>0</x:v>
      </x:c>
      <x:c r="P54" s="35" t="str">
        <x:v>INCONCLUSIVE</x:v>
      </x:c>
      <x:c r="Q54" s="35" t="str">
        <x:v>Deepseek-flash-v4/Result/Cli_33/result.json</x:v>
      </x:c>
    </x:row>
    <x:row r="55">
      <x:c r="A55" s="35" t="str">
        <x:v>deepseek</x:v>
      </x:c>
      <x:c r="B55" s="35" t="str">
        <x:v>Cli</x:v>
      </x:c>
      <x:c r="C55" s="35" t="str">
        <x:v>Round1</x:v>
      </x:c>
      <x:c r="D55" s="35" t="str">
        <x:v>Cli_34</x:v>
      </x:c>
      <x:c r="E55" s="35" t="str">
        <x:v>Line</x:v>
      </x:c>
      <x:c r="F55" s="35"/>
      <x:c r="G55" s="35" t="str">
        <x:v>A</x:v>
      </x:c>
      <x:c r="H55" s="39" t="str">
        <x:f>IF(ISNUMBER('Data'!E55),'Data'!E55*100,"")</x:f>
      </x:c>
      <x:c r="I55" s="35"/>
      <x:c r="J55" s="35" t="str">
        <x:v>PASS</x:v>
      </x:c>
      <x:c r="K55" s="35" t="str">
        <x:v>FAIL</x:v>
      </x:c>
      <x:c r="L55" s="35" t="str">
        <x:v>NOT_RUN</x:v>
      </x:c>
      <x:c r="M55" s="35" t="str">
        <x:v>coverage unavailable or execution/compile failed</x:v>
      </x:c>
      <x:c r="N55" s="35" t="str">
        <x:v>Deepseek-flash-v4/Result/Cli_34/result.json</x:v>
      </x:c>
      <x:c r="O55" s="39" t="str">
        <x:f>IF(AND(G55="RECORDED",ISNUMBER(H55)),H55,"")</x:f>
      </x:c>
      <x:c r="P55" s="35" t="str">
        <x:v>NOT_AVAILABLE</x:v>
      </x:c>
      <x:c r="Q55" s="35" t="str">
        <x:v>Deepseek-flash-v4/Result/Cli_34/result.json</x:v>
      </x:c>
    </x:row>
    <x:row r="56">
      <x:c r="A56" s="35" t="str">
        <x:v>deepseek</x:v>
      </x:c>
      <x:c r="B56" s="35" t="str">
        <x:v>Cli</x:v>
      </x:c>
      <x:c r="C56" s="35" t="str">
        <x:v>Round1</x:v>
      </x:c>
      <x:c r="D56" s="35" t="str">
        <x:v>Cli_35</x:v>
      </x:c>
      <x:c r="E56" s="35" t="str">
        <x:v>Line</x:v>
      </x:c>
      <x:c r="F56" s="35" t="n">
        <x:v>57</x:v>
      </x:c>
      <x:c r="G56" s="35" t="str">
        <x:v>RECORDED</x:v>
      </x:c>
      <x:c r="H56" s="39" t="n">
        <x:f>IF(ISNUMBER('Data'!E56),'Data'!E56*100,"")</x:f>
        <x:v>94.74</x:v>
      </x:c>
      <x:c r="I56" s="35" t="str">
        <x:v>PASS</x:v>
      </x:c>
      <x:c r="J56" s="35" t="str">
        <x:v>PASS</x:v>
      </x:c>
      <x:c r="K56" s="35" t="str">
        <x:v>PASS</x:v>
      </x:c>
      <x:c r="L56" s="35" t="str">
        <x:v>FAIL</x:v>
      </x:c>
      <x:c r="M56" s="35" t="str">
        <x:v>numeric coverage for applicable metric</x:v>
      </x:c>
      <x:c r="N56" s="35" t="str">
        <x:v>Deepseek-flash-v4/Result/Cli_35/result.json</x:v>
      </x:c>
      <x:c r="O56" s="39" t="n">
        <x:f>IF(AND(G56="RECORDED",ISNUMBER(H56)),H56,"")</x:f>
        <x:v>94.74</x:v>
      </x:c>
      <x:c r="P56" s="35" t="str">
        <x:v>INCONCLUSIVE</x:v>
      </x:c>
      <x:c r="Q56" s="35" t="str">
        <x:v>Deepseek-flash-v4/Result/Cli_35/result.json</x:v>
      </x:c>
    </x:row>
    <x:row r="57">
      <x:c r="A57" s="35" t="str">
        <x:v>deepseek</x:v>
      </x:c>
      <x:c r="B57" s="35" t="str">
        <x:v>Cli</x:v>
      </x:c>
      <x:c r="C57" s="35" t="str">
        <x:v>Round1</x:v>
      </x:c>
      <x:c r="D57" s="35" t="str">
        <x:v>Cli_36</x:v>
      </x:c>
      <x:c r="E57" s="35" t="str">
        <x:v>Line</x:v>
      </x:c>
      <x:c r="F57" s="35"/>
      <x:c r="G57" s="35" t="str">
        <x:v>A</x:v>
      </x:c>
      <x:c r="H57" s="39" t="str">
        <x:f>IF(ISNUMBER('Data'!E57),'Data'!E57*100,"")</x:f>
      </x:c>
      <x:c r="I57" s="35"/>
      <x:c r="J57" s="35" t="str">
        <x:v>PASS</x:v>
      </x:c>
      <x:c r="K57" s="35" t="str">
        <x:v>FAIL</x:v>
      </x:c>
      <x:c r="L57" s="35" t="str">
        <x:v>NOT_RUN</x:v>
      </x:c>
      <x:c r="M57" s="35" t="str">
        <x:v>coverage unavailable or execution/compile failed</x:v>
      </x:c>
      <x:c r="N57" s="35" t="str">
        <x:v>Deepseek-flash-v4/Result/Cli_36/result.json</x:v>
      </x:c>
      <x:c r="O57" s="39" t="str">
        <x:f>IF(AND(G57="RECORDED",ISNUMBER(H57)),H57,"")</x:f>
      </x:c>
      <x:c r="P57" s="35" t="str">
        <x:v>NOT_AVAILABLE</x:v>
      </x:c>
      <x:c r="Q57" s="35" t="str">
        <x:v>Deepseek-flash-v4/Result/Cli_36/result.json</x:v>
      </x:c>
    </x:row>
    <x:row r="58">
      <x:c r="A58" s="35" t="str">
        <x:v>deepseek</x:v>
      </x:c>
      <x:c r="B58" s="35" t="str">
        <x:v>Cli</x:v>
      </x:c>
      <x:c r="C58" s="35" t="str">
        <x:v>Round1</x:v>
      </x:c>
      <x:c r="D58" s="35" t="str">
        <x:v>Cli_37</x:v>
      </x:c>
      <x:c r="E58" s="35" t="str">
        <x:v>Line</x:v>
      </x:c>
      <x:c r="F58" s="35"/>
      <x:c r="G58" s="35" t="str">
        <x:v>A</x:v>
      </x:c>
      <x:c r="H58" s="39" t="str">
        <x:f>IF(ISNUMBER('Data'!E58),'Data'!E58*100,"")</x:f>
      </x:c>
      <x:c r="I58" s="35"/>
      <x:c r="J58" s="35" t="str">
        <x:v>PASS</x:v>
      </x:c>
      <x:c r="K58" s="35" t="str">
        <x:v>FAIL</x:v>
      </x:c>
      <x:c r="L58" s="35" t="str">
        <x:v>NOT_RUN</x:v>
      </x:c>
      <x:c r="M58" s="35" t="str">
        <x:v>coverage unavailable or execution/compile failed</x:v>
      </x:c>
      <x:c r="N58" s="35" t="str">
        <x:v>Deepseek-flash-v4/Result/Cli_37/result.json</x:v>
      </x:c>
      <x:c r="O58" s="39" t="str">
        <x:f>IF(AND(G58="RECORDED",ISNUMBER(H58)),H58,"")</x:f>
      </x:c>
      <x:c r="P58" s="35" t="str">
        <x:v>NOT_AVAILABLE</x:v>
      </x:c>
      <x:c r="Q58" s="35" t="str">
        <x:v>Deepseek-flash-v4/Result/Cli_37/result.json</x:v>
      </x:c>
    </x:row>
    <x:row r="59">
      <x:c r="A59" s="35" t="str">
        <x:v>deepseek</x:v>
      </x:c>
      <x:c r="B59" s="35" t="str">
        <x:v>Cli</x:v>
      </x:c>
      <x:c r="C59" s="35" t="str">
        <x:v>Round1</x:v>
      </x:c>
      <x:c r="D59" s="35" t="str">
        <x:v>Cli_38</x:v>
      </x:c>
      <x:c r="E59" s="35" t="str">
        <x:v>Line</x:v>
      </x:c>
      <x:c r="F59" s="35"/>
      <x:c r="G59" s="35" t="str">
        <x:v>A</x:v>
      </x:c>
      <x:c r="H59" s="39" t="str">
        <x:f>IF(ISNUMBER('Data'!E59),'Data'!E59*100,"")</x:f>
      </x:c>
      <x:c r="I59" s="35"/>
      <x:c r="J59" s="35" t="str">
        <x:v>PASS</x:v>
      </x:c>
      <x:c r="K59" s="35" t="str">
        <x:v>FAIL</x:v>
      </x:c>
      <x:c r="L59" s="35" t="str">
        <x:v>NOT_RUN</x:v>
      </x:c>
      <x:c r="M59" s="35" t="str">
        <x:v>coverage unavailable or execution/compile failed</x:v>
      </x:c>
      <x:c r="N59" s="35" t="str">
        <x:v>Deepseek-flash-v4/Result/Cli_38/result.json</x:v>
      </x:c>
      <x:c r="O59" s="39" t="str">
        <x:f>IF(AND(G59="RECORDED",ISNUMBER(H59)),H59,"")</x:f>
      </x:c>
      <x:c r="P59" s="35" t="str">
        <x:v>NOT_AVAILABLE</x:v>
      </x:c>
      <x:c r="Q59" s="35" t="str">
        <x:v>Deepseek-flash-v4/Result/Cli_38/result.json</x:v>
      </x:c>
    </x:row>
    <x:row r="60">
      <x:c r="A60" s="35" t="str">
        <x:v>deepseek</x:v>
      </x:c>
      <x:c r="B60" s="35" t="str">
        <x:v>Cli</x:v>
      </x:c>
      <x:c r="C60" s="35" t="str">
        <x:v>Round1</x:v>
      </x:c>
      <x:c r="D60" s="35" t="str">
        <x:v>Cli_39</x:v>
      </x:c>
      <x:c r="E60" s="35" t="str">
        <x:v>Line</x:v>
      </x:c>
      <x:c r="F60" s="35" t="n">
        <x:v>42</x:v>
      </x:c>
      <x:c r="G60" s="35" t="str">
        <x:v>RECORDED</x:v>
      </x:c>
      <x:c r="H60" s="39" t="n">
        <x:f>IF(ISNUMBER('Data'!E60),'Data'!E60*100,"")</x:f>
        <x:v>85.71</x:v>
      </x:c>
      <x:c r="I60" s="35" t="str">
        <x:v>PASS</x:v>
      </x:c>
      <x:c r="J60" s="35" t="str">
        <x:v>PASS</x:v>
      </x:c>
      <x:c r="K60" s="35" t="str">
        <x:v>PASS</x:v>
      </x:c>
      <x:c r="L60" s="35" t="str">
        <x:v>FAIL</x:v>
      </x:c>
      <x:c r="M60" s="35" t="str">
        <x:v>numeric coverage for applicable metric</x:v>
      </x:c>
      <x:c r="N60" s="35" t="str">
        <x:v>Deepseek-flash-v4/Result/Cli_39/result.json</x:v>
      </x:c>
      <x:c r="O60" s="39" t="n">
        <x:f>IF(AND(G60="RECORDED",ISNUMBER(H60)),H60,"")</x:f>
        <x:v>85.71</x:v>
      </x:c>
      <x:c r="P60" s="35" t="str">
        <x:v>INCONCLUSIVE</x:v>
      </x:c>
      <x:c r="Q60" s="35" t="str">
        <x:v>Deepseek-flash-v4/Result/Cli_39/result.json</x:v>
      </x:c>
    </x:row>
    <x:row r="61">
      <x:c r="A61" s="35" t="str">
        <x:v>deepseek</x:v>
      </x:c>
      <x:c r="B61" s="35" t="str">
        <x:v>Cli</x:v>
      </x:c>
      <x:c r="C61" s="35" t="str">
        <x:v>Round1</x:v>
      </x:c>
      <x:c r="D61" s="35" t="str">
        <x:v>Cli_4</x:v>
      </x:c>
      <x:c r="E61" s="35" t="str">
        <x:v>Line</x:v>
      </x:c>
      <x:c r="F61" s="35" t="n">
        <x:v>99</x:v>
      </x:c>
      <x:c r="G61" s="35" t="str">
        <x:v>RECORDED</x:v>
      </x:c>
      <x:c r="H61" s="39" t="n">
        <x:f>IF(ISNUMBER('Data'!E61),'Data'!E61*100,"")</x:f>
        <x:v>0</x:v>
      </x:c>
      <x:c r="I61" s="35" t="str">
        <x:v>PASS</x:v>
      </x:c>
      <x:c r="J61" s="35" t="str">
        <x:v>PASS</x:v>
      </x:c>
      <x:c r="K61" s="35" t="str">
        <x:v>PASS</x:v>
      </x:c>
      <x:c r="L61" s="35" t="str">
        <x:v>FAIL</x:v>
      </x:c>
      <x:c r="M61" s="35" t="str">
        <x:v>numeric coverage for applicable metric</x:v>
      </x:c>
      <x:c r="N61" s="35" t="str">
        <x:v>Deepseek-flash-v4/Result/Cli_4/result.json</x:v>
      </x:c>
      <x:c r="O61" s="39" t="n">
        <x:f>IF(AND(G61="RECORDED",ISNUMBER(H61)),H61,"")</x:f>
        <x:v>0</x:v>
      </x:c>
      <x:c r="P61" s="35" t="str">
        <x:v>INCONCLUSIVE</x:v>
      </x:c>
      <x:c r="Q61" s="35" t="str">
        <x:v>Deepseek-flash-v4/Result/Cli_4/result.json</x:v>
      </x:c>
    </x:row>
    <x:row r="62">
      <x:c r="A62" s="35" t="str">
        <x:v>deepseek</x:v>
      </x:c>
      <x:c r="B62" s="35" t="str">
        <x:v>Cli</x:v>
      </x:c>
      <x:c r="C62" s="35" t="str">
        <x:v>Round1</x:v>
      </x:c>
      <x:c r="D62" s="35" t="str">
        <x:v>Cli_40</x:v>
      </x:c>
      <x:c r="E62" s="35" t="str">
        <x:v>Line</x:v>
      </x:c>
      <x:c r="F62" s="35"/>
      <x:c r="G62" s="35" t="str">
        <x:v>A</x:v>
      </x:c>
      <x:c r="H62" s="39" t="str">
        <x:f>IF(ISNUMBER('Data'!E62),'Data'!E62*100,"")</x:f>
      </x:c>
      <x:c r="I62" s="35"/>
      <x:c r="J62" s="35" t="str">
        <x:v>PASS</x:v>
      </x:c>
      <x:c r="K62" s="35" t="str">
        <x:v>FAIL</x:v>
      </x:c>
      <x:c r="L62" s="35" t="str">
        <x:v>NOT_RUN</x:v>
      </x:c>
      <x:c r="M62" s="35" t="str">
        <x:v>coverage unavailable or execution/compile failed</x:v>
      </x:c>
      <x:c r="N62" s="35" t="str">
        <x:v>Deepseek-flash-v4/Result/Cli_40/result.json</x:v>
      </x:c>
      <x:c r="O62" s="39" t="str">
        <x:f>IF(AND(G62="RECORDED",ISNUMBER(H62)),H62,"")</x:f>
      </x:c>
      <x:c r="P62" s="35" t="str">
        <x:v>NOT_AVAILABLE</x:v>
      </x:c>
      <x:c r="Q62" s="35" t="str">
        <x:v>Deepseek-flash-v4/Result/Cli_40/result.json</x:v>
      </x:c>
    </x:row>
    <x:row r="63">
      <x:c r="A63" s="35" t="str">
        <x:v>deepseek</x:v>
      </x:c>
      <x:c r="B63" s="35" t="str">
        <x:v>Cli</x:v>
      </x:c>
      <x:c r="C63" s="35" t="str">
        <x:v>Round1</x:v>
      </x:c>
      <x:c r="D63" s="35" t="str">
        <x:v>Cli_5</x:v>
      </x:c>
      <x:c r="E63" s="35" t="str">
        <x:v>Line</x:v>
      </x:c>
      <x:c r="F63" s="35" t="n">
        <x:v>11</x:v>
      </x:c>
      <x:c r="G63" s="35" t="str">
        <x:v>RECORDED</x:v>
      </x:c>
      <x:c r="H63" s="39" t="n">
        <x:f>IF(ISNUMBER('Data'!E63),'Data'!E63*100,"")</x:f>
        <x:v>0</x:v>
      </x:c>
      <x:c r="I63" s="35" t="str">
        <x:v>PASS</x:v>
      </x:c>
      <x:c r="J63" s="35" t="str">
        <x:v>PASS</x:v>
      </x:c>
      <x:c r="K63" s="35"/>
      <x:c r="L63" s="35" t="str">
        <x:v>FAIL</x:v>
      </x:c>
      <x:c r="M63" s="35" t="str">
        <x:v>numeric coverage for applicable metric</x:v>
      </x:c>
      <x:c r="N63" s="35" t="str">
        <x:v>Deepseek-flash-v4/Result/Cli_5/result.json</x:v>
      </x:c>
      <x:c r="O63" s="39" t="n">
        <x:f>IF(AND(G63="RECORDED",ISNUMBER(H63)),H63,"")</x:f>
        <x:v>0</x:v>
      </x:c>
      <x:c r="P63" s="35" t="str">
        <x:v>INCONCLUSIVE</x:v>
      </x:c>
      <x:c r="Q63" s="35" t="str">
        <x:v>Deepseek-flash-v4/Result/Cli_5/result.json</x:v>
      </x:c>
    </x:row>
    <x:row r="64">
      <x:c r="A64" s="35" t="str">
        <x:v>deepseek</x:v>
      </x:c>
      <x:c r="B64" s="35" t="str">
        <x:v>Cli</x:v>
      </x:c>
      <x:c r="C64" s="35" t="str">
        <x:v>Round1</x:v>
      </x:c>
      <x:c r="D64" s="35" t="str">
        <x:v>Cli_7</x:v>
      </x:c>
      <x:c r="E64" s="35" t="str">
        <x:v>Line</x:v>
      </x:c>
      <x:c r="F64" s="35"/>
      <x:c r="G64" s="35" t="str">
        <x:v>A</x:v>
      </x:c>
      <x:c r="H64" s="39" t="str">
        <x:f>IF(ISNUMBER('Data'!E64),'Data'!E64*100,"")</x:f>
      </x:c>
      <x:c r="I64" s="35"/>
      <x:c r="J64" s="35" t="str">
        <x:v>PASS</x:v>
      </x:c>
      <x:c r="K64" s="35" t="str">
        <x:v>FAIL</x:v>
      </x:c>
      <x:c r="L64" s="35" t="str">
        <x:v>NOT_RUN</x:v>
      </x:c>
      <x:c r="M64" s="35" t="str">
        <x:v>coverage unavailable or execution/compile failed</x:v>
      </x:c>
      <x:c r="N64" s="35" t="str">
        <x:v>Deepseek-flash-v4/Result/Cli_7/result.json</x:v>
      </x:c>
      <x:c r="O64" s="39" t="str">
        <x:f>IF(AND(G64="RECORDED",ISNUMBER(H64)),H64,"")</x:f>
      </x:c>
      <x:c r="P64" s="35" t="str">
        <x:v>NOT_AVAILABLE</x:v>
      </x:c>
      <x:c r="Q64" s="35" t="str">
        <x:v>Deepseek-flash-v4/Result/Cli_7/result.json</x:v>
      </x:c>
    </x:row>
    <x:row r="65">
      <x:c r="A65" s="35" t="str">
        <x:v>deepseek</x:v>
      </x:c>
      <x:c r="B65" s="35" t="str">
        <x:v>Cli</x:v>
      </x:c>
      <x:c r="C65" s="35" t="str">
        <x:v>Round1</x:v>
      </x:c>
      <x:c r="D65" s="35" t="str">
        <x:v>Cli_8</x:v>
      </x:c>
      <x:c r="E65" s="35" t="str">
        <x:v>Line</x:v>
      </x:c>
      <x:c r="F65" s="35" t="n">
        <x:v>192</x:v>
      </x:c>
      <x:c r="G65" s="35" t="str">
        <x:v>RECORDED</x:v>
      </x:c>
      <x:c r="H65" s="39" t="n">
        <x:f>IF(ISNUMBER('Data'!E65),'Data'!E65*100,"")</x:f>
        <x:v>0</x:v>
      </x:c>
      <x:c r="I65" s="35" t="str">
        <x:v>PASS</x:v>
      </x:c>
      <x:c r="J65" s="35" t="str">
        <x:v>PASS</x:v>
      </x:c>
      <x:c r="K65" s="35" t="str">
        <x:v>PASS</x:v>
      </x:c>
      <x:c r="L65" s="35" t="str">
        <x:v>FAIL</x:v>
      </x:c>
      <x:c r="M65" s="35" t="str">
        <x:v>numeric coverage for applicable metric</x:v>
      </x:c>
      <x:c r="N65" s="35" t="str">
        <x:v>Deepseek-flash-v4/Result/Cli_8/result.json</x:v>
      </x:c>
      <x:c r="O65" s="39" t="n">
        <x:f>IF(AND(G65="RECORDED",ISNUMBER(H65)),H65,"")</x:f>
        <x:v>0</x:v>
      </x:c>
      <x:c r="P65" s="35" t="str">
        <x:v>INCONCLUSIVE</x:v>
      </x:c>
      <x:c r="Q65" s="35" t="str">
        <x:v>Deepseek-flash-v4/Result/Cli_8/result.json</x:v>
      </x:c>
    </x:row>
    <x:row r="66">
      <x:c r="A66" s="35" t="str">
        <x:v>deepseek</x:v>
      </x:c>
      <x:c r="B66" s="35" t="str">
        <x:v>Cli</x:v>
      </x:c>
      <x:c r="C66" s="35" t="str">
        <x:v>Round1</x:v>
      </x:c>
      <x:c r="D66" s="35" t="str">
        <x:v>Cli_9</x:v>
      </x:c>
      <x:c r="E66" s="35" t="str">
        <x:v>Line</x:v>
      </x:c>
      <x:c r="F66" s="35"/>
      <x:c r="G66" s="35" t="str">
        <x:v>A</x:v>
      </x:c>
      <x:c r="H66" s="39" t="str">
        <x:f>IF(ISNUMBER('Data'!E66),'Data'!E66*100,"")</x:f>
      </x:c>
      <x:c r="I66" s="35"/>
      <x:c r="J66" s="35" t="str">
        <x:v>PASS</x:v>
      </x:c>
      <x:c r="K66" s="35" t="str">
        <x:v>FAIL</x:v>
      </x:c>
      <x:c r="L66" s="35" t="str">
        <x:v>NOT_RUN</x:v>
      </x:c>
      <x:c r="M66" s="35" t="str">
        <x:v>coverage unavailable or execution/compile failed</x:v>
      </x:c>
      <x:c r="N66" s="35" t="str">
        <x:v>Deepseek-flash-v4/Result/Cli_9/result.json</x:v>
      </x:c>
      <x:c r="O66" s="39" t="str">
        <x:f>IF(AND(G66="RECORDED",ISNUMBER(H66)),H66,"")</x:f>
      </x:c>
      <x:c r="P66" s="35" t="str">
        <x:v>NOT_AVAILABLE</x:v>
      </x:c>
      <x:c r="Q66" s="35" t="str">
        <x:v>Deepseek-flash-v4/Result/Cli_9/result.json</x:v>
      </x:c>
    </x:row>
    <x:row r="67">
      <x:c r="A67" s="35" t="str">
        <x:v>deepseek</x:v>
      </x:c>
      <x:c r="B67" s="35" t="str">
        <x:v>Closure</x:v>
      </x:c>
      <x:c r="C67" s="35" t="str">
        <x:v>Round1</x:v>
      </x:c>
      <x:c r="D67" s="35" t="str">
        <x:v>Closure_1</x:v>
      </x:c>
      <x:c r="E67" s="35" t="str">
        <x:v>Line</x:v>
      </x:c>
      <x:c r="F67" s="35"/>
      <x:c r="G67" s="35" t="str">
        <x:v>A</x:v>
      </x:c>
      <x:c r="H67" s="39" t="str">
        <x:f>IF(ISNUMBER('Data'!E67),'Data'!E67*100,"")</x:f>
      </x:c>
      <x:c r="I67" s="35"/>
      <x:c r="J67" s="35" t="str">
        <x:v>PASS</x:v>
      </x:c>
      <x:c r="K67" s="35" t="str">
        <x:v>FAIL</x:v>
      </x:c>
      <x:c r="L67" s="35" t="str">
        <x:v>NOT_RUN</x:v>
      </x:c>
      <x:c r="M67" s="35" t="str">
        <x:v>coverage unavailable or execution/compile failed</x:v>
      </x:c>
      <x:c r="N67" s="35" t="str">
        <x:v>Deepseek-flash-v4/Result/Closure_1/result.json</x:v>
      </x:c>
      <x:c r="O67" s="39" t="str">
        <x:f>IF(AND(G67="RECORDED",ISNUMBER(H67)),H67,"")</x:f>
      </x:c>
      <x:c r="P67" s="35" t="str">
        <x:v>NOT_AVAILABLE</x:v>
      </x:c>
      <x:c r="Q67" s="35" t="str">
        <x:v>Deepseek-flash-v4/Result/Closure_1/result.json</x:v>
      </x:c>
    </x:row>
    <x:row r="68">
      <x:c r="A68" s="35" t="str">
        <x:v>deepseek</x:v>
      </x:c>
      <x:c r="B68" s="35" t="str">
        <x:v>Closure</x:v>
      </x:c>
      <x:c r="C68" s="35" t="str">
        <x:v>Round1</x:v>
      </x:c>
      <x:c r="D68" s="35" t="str">
        <x:v>Closure_10</x:v>
      </x:c>
      <x:c r="E68" s="35" t="str">
        <x:v>Line</x:v>
      </x:c>
      <x:c r="F68" s="35"/>
      <x:c r="G68" s="35" t="str">
        <x:v>A</x:v>
      </x:c>
      <x:c r="H68" s="39" t="str">
        <x:f>IF(ISNUMBER('Data'!E68),'Data'!E68*100,"")</x:f>
      </x:c>
      <x:c r="I68" s="35"/>
      <x:c r="J68" s="35" t="str">
        <x:v>PASS</x:v>
      </x:c>
      <x:c r="K68" s="35" t="str">
        <x:v>FAIL</x:v>
      </x:c>
      <x:c r="L68" s="35" t="str">
        <x:v>NOT_RUN</x:v>
      </x:c>
      <x:c r="M68" s="35" t="str">
        <x:v>coverage unavailable or execution/compile failed</x:v>
      </x:c>
      <x:c r="N68" s="35" t="str">
        <x:v>Deepseek-flash-v4/Result/Closure_10/result.json</x:v>
      </x:c>
      <x:c r="O68" s="39" t="str">
        <x:f>IF(AND(G68="RECORDED",ISNUMBER(H68)),H68,"")</x:f>
      </x:c>
      <x:c r="P68" s="35" t="str">
        <x:v>NOT_AVAILABLE</x:v>
      </x:c>
      <x:c r="Q68" s="35" t="str">
        <x:v>Deepseek-flash-v4/Result/Closure_10/result.json</x:v>
      </x:c>
    </x:row>
    <x:row r="69">
      <x:c r="A69" s="35" t="str">
        <x:v>deepseek</x:v>
      </x:c>
      <x:c r="B69" s="35" t="str">
        <x:v>Closure</x:v>
      </x:c>
      <x:c r="C69" s="35" t="str">
        <x:v>Round1</x:v>
      </x:c>
      <x:c r="D69" s="35" t="str">
        <x:v>Closure_100</x:v>
      </x:c>
      <x:c r="E69" s="35" t="str">
        <x:v>Line</x:v>
      </x:c>
      <x:c r="F69" s="35"/>
      <x:c r="G69" s="35" t="str">
        <x:v>A</x:v>
      </x:c>
      <x:c r="H69" s="39" t="str">
        <x:f>IF(ISNUMBER('Data'!E69),'Data'!E69*100,"")</x:f>
      </x:c>
      <x:c r="I69" s="35"/>
      <x:c r="J69" s="35" t="str">
        <x:v>PASS</x:v>
      </x:c>
      <x:c r="K69" s="35" t="str">
        <x:v>FAIL</x:v>
      </x:c>
      <x:c r="L69" s="35" t="str">
        <x:v>NOT_RUN</x:v>
      </x:c>
      <x:c r="M69" s="35" t="str">
        <x:v>coverage unavailable or execution/compile failed</x:v>
      </x:c>
      <x:c r="N69" s="35" t="str">
        <x:v>Deepseek-flash-v4/Result/Closure_100/result.json</x:v>
      </x:c>
      <x:c r="O69" s="39" t="str">
        <x:f>IF(AND(G69="RECORDED",ISNUMBER(H69)),H69,"")</x:f>
      </x:c>
      <x:c r="P69" s="35" t="str">
        <x:v>NOT_AVAILABLE</x:v>
      </x:c>
      <x:c r="Q69" s="35" t="str">
        <x:v>Deepseek-flash-v4/Result/Closure_100/result.json</x:v>
      </x:c>
    </x:row>
    <x:row r="70">
      <x:c r="A70" s="35" t="str">
        <x:v>deepseek</x:v>
      </x:c>
      <x:c r="B70" s="35" t="str">
        <x:v>Closure</x:v>
      </x:c>
      <x:c r="C70" s="35" t="str">
        <x:v>Round1</x:v>
      </x:c>
      <x:c r="D70" s="35" t="str">
        <x:v>Closure_101</x:v>
      </x:c>
      <x:c r="E70" s="35" t="str">
        <x:v>Line</x:v>
      </x:c>
      <x:c r="F70" s="35"/>
      <x:c r="G70" s="35" t="str">
        <x:v>A</x:v>
      </x:c>
      <x:c r="H70" s="39" t="str">
        <x:f>IF(ISNUMBER('Data'!E70),'Data'!E70*100,"")</x:f>
      </x:c>
      <x:c r="I70" s="35"/>
      <x:c r="J70" s="35" t="str">
        <x:v>PASS</x:v>
      </x:c>
      <x:c r="K70" s="35" t="str">
        <x:v>FAIL</x:v>
      </x:c>
      <x:c r="L70" s="35" t="str">
        <x:v>NOT_RUN</x:v>
      </x:c>
      <x:c r="M70" s="35" t="str">
        <x:v>coverage unavailable or execution/compile failed</x:v>
      </x:c>
      <x:c r="N70" s="35" t="str">
        <x:v>Deepseek-flash-v4/Result/Closure_101/result.json</x:v>
      </x:c>
      <x:c r="O70" s="39" t="str">
        <x:f>IF(AND(G70="RECORDED",ISNUMBER(H70)),H70,"")</x:f>
      </x:c>
      <x:c r="P70" s="35" t="str">
        <x:v>NOT_AVAILABLE</x:v>
      </x:c>
      <x:c r="Q70" s="35" t="str">
        <x:v>Deepseek-flash-v4/Result/Closure_101/result.json</x:v>
      </x:c>
    </x:row>
    <x:row r="71">
      <x:c r="A71" s="35" t="str">
        <x:v>deepseek</x:v>
      </x:c>
      <x:c r="B71" s="35" t="str">
        <x:v>Closure</x:v>
      </x:c>
      <x:c r="C71" s="35" t="str">
        <x:v>Round1</x:v>
      </x:c>
      <x:c r="D71" s="35" t="str">
        <x:v>Closure_102</x:v>
      </x:c>
      <x:c r="E71" s="35" t="str">
        <x:v>Line</x:v>
      </x:c>
      <x:c r="F71" s="35"/>
      <x:c r="G71" s="35" t="str">
        <x:v>A</x:v>
      </x:c>
      <x:c r="H71" s="39" t="str">
        <x:f>IF(ISNUMBER('Data'!E71),'Data'!E71*100,"")</x:f>
      </x:c>
      <x:c r="I71" s="35"/>
      <x:c r="J71" s="35" t="str">
        <x:v>PASS</x:v>
      </x:c>
      <x:c r="K71" s="35" t="str">
        <x:v>FAIL</x:v>
      </x:c>
      <x:c r="L71" s="35" t="str">
        <x:v>NOT_RUN</x:v>
      </x:c>
      <x:c r="M71" s="35" t="str">
        <x:v>coverage unavailable or execution/compile failed</x:v>
      </x:c>
      <x:c r="N71" s="35" t="str">
        <x:v>Deepseek-flash-v4/Result/Closure_102/result.json</x:v>
      </x:c>
      <x:c r="O71" s="39" t="str">
        <x:f>IF(AND(G71="RECORDED",ISNUMBER(H71)),H71,"")</x:f>
      </x:c>
      <x:c r="P71" s="35" t="str">
        <x:v>NOT_AVAILABLE</x:v>
      </x:c>
      <x:c r="Q71" s="35" t="str">
        <x:v>Deepseek-flash-v4/Result/Closure_102/result.json</x:v>
      </x:c>
    </x:row>
    <x:row r="72">
      <x:c r="A72" s="35" t="str">
        <x:v>deepseek</x:v>
      </x:c>
      <x:c r="B72" s="35" t="str">
        <x:v>Closure</x:v>
      </x:c>
      <x:c r="C72" s="35" t="str">
        <x:v>Round1</x:v>
      </x:c>
      <x:c r="D72" s="35" t="str">
        <x:v>Closure_103</x:v>
      </x:c>
      <x:c r="E72" s="35" t="str">
        <x:v>Line</x:v>
      </x:c>
      <x:c r="F72" s="35"/>
      <x:c r="G72" s="35" t="str">
        <x:v>A</x:v>
      </x:c>
      <x:c r="H72" s="39" t="str">
        <x:f>IF(ISNUMBER('Data'!E72),'Data'!E72*100,"")</x:f>
      </x:c>
      <x:c r="I72" s="35"/>
      <x:c r="J72" s="35" t="str">
        <x:v>PASS</x:v>
      </x:c>
      <x:c r="K72" s="35" t="str">
        <x:v>FAIL</x:v>
      </x:c>
      <x:c r="L72" s="35" t="str">
        <x:v>NOT_RUN</x:v>
      </x:c>
      <x:c r="M72" s="35" t="str">
        <x:v>coverage unavailable or execution/compile failed</x:v>
      </x:c>
      <x:c r="N72" s="35" t="str">
        <x:v>Deepseek-flash-v4/Result/Closure_103/result.json</x:v>
      </x:c>
      <x:c r="O72" s="39" t="str">
        <x:f>IF(AND(G72="RECORDED",ISNUMBER(H72)),H72,"")</x:f>
      </x:c>
      <x:c r="P72" s="35" t="str">
        <x:v>NOT_AVAILABLE</x:v>
      </x:c>
      <x:c r="Q72" s="35" t="str">
        <x:v>Deepseek-flash-v4/Result/Closure_103/result.json</x:v>
      </x:c>
    </x:row>
    <x:row r="73">
      <x:c r="A73" s="35" t="str">
        <x:v>deepseek</x:v>
      </x:c>
      <x:c r="B73" s="35" t="str">
        <x:v>Closure</x:v>
      </x:c>
      <x:c r="C73" s="35" t="str">
        <x:v>Round1</x:v>
      </x:c>
      <x:c r="D73" s="35" t="str">
        <x:v>Closure_104</x:v>
      </x:c>
      <x:c r="E73" s="35" t="str">
        <x:v>Line</x:v>
      </x:c>
      <x:c r="F73" s="35"/>
      <x:c r="G73" s="35" t="str">
        <x:v>A</x:v>
      </x:c>
      <x:c r="H73" s="39" t="str">
        <x:f>IF(ISNUMBER('Data'!E73),'Data'!E73*100,"")</x:f>
      </x:c>
      <x:c r="I73" s="35"/>
      <x:c r="J73" s="35" t="str">
        <x:v>PASS</x:v>
      </x:c>
      <x:c r="K73" s="35" t="str">
        <x:v>FAIL</x:v>
      </x:c>
      <x:c r="L73" s="35" t="str">
        <x:v>NOT_RUN</x:v>
      </x:c>
      <x:c r="M73" s="35" t="str">
        <x:v>coverage unavailable or execution/compile failed</x:v>
      </x:c>
      <x:c r="N73" s="35" t="str">
        <x:v>Deepseek-flash-v4/Result/Closure_104/result.json</x:v>
      </x:c>
      <x:c r="O73" s="39" t="str">
        <x:f>IF(AND(G73="RECORDED",ISNUMBER(H73)),H73,"")</x:f>
      </x:c>
      <x:c r="P73" s="35" t="str">
        <x:v>NOT_AVAILABLE</x:v>
      </x:c>
      <x:c r="Q73" s="35" t="str">
        <x:v>Deepseek-flash-v4/Result/Closure_104/result.json</x:v>
      </x:c>
    </x:row>
    <x:row r="74">
      <x:c r="A74" s="35" t="str">
        <x:v>deepseek</x:v>
      </x:c>
      <x:c r="B74" s="35" t="str">
        <x:v>Closure</x:v>
      </x:c>
      <x:c r="C74" s="35" t="str">
        <x:v>Round1</x:v>
      </x:c>
      <x:c r="D74" s="35" t="str">
        <x:v>Closure_105</x:v>
      </x:c>
      <x:c r="E74" s="35" t="str">
        <x:v>Line</x:v>
      </x:c>
      <x:c r="F74" s="35"/>
      <x:c r="G74" s="35" t="str">
        <x:v>A</x:v>
      </x:c>
      <x:c r="H74" s="39" t="str">
        <x:f>IF(ISNUMBER('Data'!E74),'Data'!E74*100,"")</x:f>
      </x:c>
      <x:c r="I74" s="35"/>
      <x:c r="J74" s="35" t="str">
        <x:v>PASS</x:v>
      </x:c>
      <x:c r="K74" s="35" t="str">
        <x:v>FAIL</x:v>
      </x:c>
      <x:c r="L74" s="35" t="str">
        <x:v>NOT_RUN</x:v>
      </x:c>
      <x:c r="M74" s="35" t="str">
        <x:v>coverage unavailable or execution/compile failed</x:v>
      </x:c>
      <x:c r="N74" s="35" t="str">
        <x:v>Deepseek-flash-v4/Result/Closure_105/result.json</x:v>
      </x:c>
      <x:c r="O74" s="39" t="str">
        <x:f>IF(AND(G74="RECORDED",ISNUMBER(H74)),H74,"")</x:f>
      </x:c>
      <x:c r="P74" s="35" t="str">
        <x:v>NOT_AVAILABLE</x:v>
      </x:c>
      <x:c r="Q74" s="35" t="str">
        <x:v>Deepseek-flash-v4/Result/Closure_105/result.json</x:v>
      </x:c>
    </x:row>
    <x:row r="75">
      <x:c r="A75" s="35" t="str">
        <x:v>deepseek</x:v>
      </x:c>
      <x:c r="B75" s="35" t="str">
        <x:v>Closure</x:v>
      </x:c>
      <x:c r="C75" s="35" t="str">
        <x:v>Round1</x:v>
      </x:c>
      <x:c r="D75" s="35" t="str">
        <x:v>Closure_106</x:v>
      </x:c>
      <x:c r="E75" s="35" t="str">
        <x:v>Line</x:v>
      </x:c>
      <x:c r="F75" s="35"/>
      <x:c r="G75" s="35" t="str">
        <x:v>A</x:v>
      </x:c>
      <x:c r="H75" s="39" t="str">
        <x:f>IF(ISNUMBER('Data'!E75),'Data'!E75*100,"")</x:f>
      </x:c>
      <x:c r="I75" s="35"/>
      <x:c r="J75" s="35" t="str">
        <x:v>PASS</x:v>
      </x:c>
      <x:c r="K75" s="35" t="str">
        <x:v>FAIL</x:v>
      </x:c>
      <x:c r="L75" s="35" t="str">
        <x:v>NOT_RUN</x:v>
      </x:c>
      <x:c r="M75" s="35" t="str">
        <x:v>coverage unavailable or execution/compile failed</x:v>
      </x:c>
      <x:c r="N75" s="35" t="str">
        <x:v>Deepseek-flash-v4/Result/Closure_106/result.json</x:v>
      </x:c>
      <x:c r="O75" s="39" t="str">
        <x:f>IF(AND(G75="RECORDED",ISNUMBER(H75)),H75,"")</x:f>
      </x:c>
      <x:c r="P75" s="35" t="str">
        <x:v>NOT_AVAILABLE</x:v>
      </x:c>
      <x:c r="Q75" s="35" t="str">
        <x:v>Deepseek-flash-v4/Result/Closure_106/result.json</x:v>
      </x:c>
    </x:row>
    <x:row r="76">
      <x:c r="A76" s="35" t="str">
        <x:v>deepseek</x:v>
      </x:c>
      <x:c r="B76" s="35" t="str">
        <x:v>Closure</x:v>
      </x:c>
      <x:c r="C76" s="35" t="str">
        <x:v>Round1</x:v>
      </x:c>
      <x:c r="D76" s="35" t="str">
        <x:v>Closure_107</x:v>
      </x:c>
      <x:c r="E76" s="35" t="str">
        <x:v>Line</x:v>
      </x:c>
      <x:c r="F76" s="35"/>
      <x:c r="G76" s="35" t="str">
        <x:v>A</x:v>
      </x:c>
      <x:c r="H76" s="39" t="str">
        <x:f>IF(ISNUMBER('Data'!E76),'Data'!E76*100,"")</x:f>
      </x:c>
      <x:c r="I76" s="35"/>
      <x:c r="J76" s="35" t="str">
        <x:v>PASS</x:v>
      </x:c>
      <x:c r="K76" s="35" t="str">
        <x:v>FAIL</x:v>
      </x:c>
      <x:c r="L76" s="35" t="str">
        <x:v>NOT_RUN</x:v>
      </x:c>
      <x:c r="M76" s="35" t="str">
        <x:v>coverage unavailable or execution/compile failed</x:v>
      </x:c>
      <x:c r="N76" s="35" t="str">
        <x:v>Deepseek-flash-v4/Result/Closure_107/result.json</x:v>
      </x:c>
      <x:c r="O76" s="39" t="str">
        <x:f>IF(AND(G76="RECORDED",ISNUMBER(H76)),H76,"")</x:f>
      </x:c>
      <x:c r="P76" s="35" t="str">
        <x:v>NOT_AVAILABLE</x:v>
      </x:c>
      <x:c r="Q76" s="35" t="str">
        <x:v>Deepseek-flash-v4/Result/Closure_107/result.json</x:v>
      </x:c>
    </x:row>
    <x:row r="77">
      <x:c r="A77" s="35" t="str">
        <x:v>deepseek</x:v>
      </x:c>
      <x:c r="B77" s="35" t="str">
        <x:v>Closure</x:v>
      </x:c>
      <x:c r="C77" s="35" t="str">
        <x:v>Round1</x:v>
      </x:c>
      <x:c r="D77" s="35" t="str">
        <x:v>Closure_108</x:v>
      </x:c>
      <x:c r="E77" s="35" t="str">
        <x:v>Line</x:v>
      </x:c>
      <x:c r="F77" s="35"/>
      <x:c r="G77" s="35" t="str">
        <x:v>A</x:v>
      </x:c>
      <x:c r="H77" s="39" t="str">
        <x:f>IF(ISNUMBER('Data'!E77),'Data'!E77*100,"")</x:f>
      </x:c>
      <x:c r="I77" s="35"/>
      <x:c r="J77" s="35" t="str">
        <x:v>PASS</x:v>
      </x:c>
      <x:c r="K77" s="35" t="str">
        <x:v>FAIL</x:v>
      </x:c>
      <x:c r="L77" s="35" t="str">
        <x:v>NOT_RUN</x:v>
      </x:c>
      <x:c r="M77" s="35" t="str">
        <x:v>coverage unavailable or execution/compile failed</x:v>
      </x:c>
      <x:c r="N77" s="35" t="str">
        <x:v>Deepseek-flash-v4/Result/Closure_108/result.json</x:v>
      </x:c>
      <x:c r="O77" s="39" t="str">
        <x:f>IF(AND(G77="RECORDED",ISNUMBER(H77)),H77,"")</x:f>
      </x:c>
      <x:c r="P77" s="35" t="str">
        <x:v>NOT_AVAILABLE</x:v>
      </x:c>
      <x:c r="Q77" s="35" t="str">
        <x:v>Deepseek-flash-v4/Result/Closure_108/result.json</x:v>
      </x:c>
    </x:row>
    <x:row r="78">
      <x:c r="A78" s="35" t="str">
        <x:v>deepseek</x:v>
      </x:c>
      <x:c r="B78" s="35" t="str">
        <x:v>Closure</x:v>
      </x:c>
      <x:c r="C78" s="35" t="str">
        <x:v>Round1</x:v>
      </x:c>
      <x:c r="D78" s="35" t="str">
        <x:v>Closure_109</x:v>
      </x:c>
      <x:c r="E78" s="35" t="str">
        <x:v>Line</x:v>
      </x:c>
      <x:c r="F78" s="35"/>
      <x:c r="G78" s="35" t="str">
        <x:v>A</x:v>
      </x:c>
      <x:c r="H78" s="39" t="str">
        <x:f>IF(ISNUMBER('Data'!E78),'Data'!E78*100,"")</x:f>
      </x:c>
      <x:c r="I78" s="35"/>
      <x:c r="J78" s="35" t="str">
        <x:v>PASS</x:v>
      </x:c>
      <x:c r="K78" s="35" t="str">
        <x:v>FAIL</x:v>
      </x:c>
      <x:c r="L78" s="35" t="str">
        <x:v>NOT_RUN</x:v>
      </x:c>
      <x:c r="M78" s="35" t="str">
        <x:v>coverage unavailable or execution/compile failed</x:v>
      </x:c>
      <x:c r="N78" s="35" t="str">
        <x:v>Deepseek-flash-v4/Result/Closure_109/result.json</x:v>
      </x:c>
      <x:c r="O78" s="39" t="str">
        <x:f>IF(AND(G78="RECORDED",ISNUMBER(H78)),H78,"")</x:f>
      </x:c>
      <x:c r="P78" s="35" t="str">
        <x:v>NOT_AVAILABLE</x:v>
      </x:c>
      <x:c r="Q78" s="35" t="str">
        <x:v>Deepseek-flash-v4/Result/Closure_109/result.json</x:v>
      </x:c>
    </x:row>
    <x:row r="79">
      <x:c r="A79" s="35" t="str">
        <x:v>deepseek</x:v>
      </x:c>
      <x:c r="B79" s="35" t="str">
        <x:v>Closure</x:v>
      </x:c>
      <x:c r="C79" s="35" t="str">
        <x:v>Round1</x:v>
      </x:c>
      <x:c r="D79" s="35" t="str">
        <x:v>Closure_11</x:v>
      </x:c>
      <x:c r="E79" s="35" t="str">
        <x:v>Line</x:v>
      </x:c>
      <x:c r="F79" s="35"/>
      <x:c r="G79" s="35" t="str">
        <x:v>A</x:v>
      </x:c>
      <x:c r="H79" s="39" t="str">
        <x:f>IF(ISNUMBER('Data'!E79),'Data'!E79*100,"")</x:f>
      </x:c>
      <x:c r="I79" s="35"/>
      <x:c r="J79" s="35" t="str">
        <x:v>PASS</x:v>
      </x:c>
      <x:c r="K79" s="35" t="str">
        <x:v>FAIL</x:v>
      </x:c>
      <x:c r="L79" s="35" t="str">
        <x:v>NOT_RUN</x:v>
      </x:c>
      <x:c r="M79" s="35" t="str">
        <x:v>coverage unavailable or execution/compile failed</x:v>
      </x:c>
      <x:c r="N79" s="35" t="str">
        <x:v>Deepseek-flash-v4/Result/Closure_11/result.json</x:v>
      </x:c>
      <x:c r="O79" s="39" t="str">
        <x:f>IF(AND(G79="RECORDED",ISNUMBER(H79)),H79,"")</x:f>
      </x:c>
      <x:c r="P79" s="35" t="str">
        <x:v>NOT_AVAILABLE</x:v>
      </x:c>
      <x:c r="Q79" s="35" t="str">
        <x:v>Deepseek-flash-v4/Result/Closure_11/result.json</x:v>
      </x:c>
    </x:row>
    <x:row r="80">
      <x:c r="A80" s="35" t="str">
        <x:v>deepseek</x:v>
      </x:c>
      <x:c r="B80" s="35" t="str">
        <x:v>Closure</x:v>
      </x:c>
      <x:c r="C80" s="35" t="str">
        <x:v>Round1</x:v>
      </x:c>
      <x:c r="D80" s="35" t="str">
        <x:v>Closure_110</x:v>
      </x:c>
      <x:c r="E80" s="35" t="str">
        <x:v>Line</x:v>
      </x:c>
      <x:c r="F80" s="35"/>
      <x:c r="G80" s="35" t="str">
        <x:v>A</x:v>
      </x:c>
      <x:c r="H80" s="39" t="str">
        <x:f>IF(ISNUMBER('Data'!E80),'Data'!E80*100,"")</x:f>
      </x:c>
      <x:c r="I80" s="35"/>
      <x:c r="J80" s="35" t="str">
        <x:v>PASS</x:v>
      </x:c>
      <x:c r="K80" s="35" t="str">
        <x:v>FAIL</x:v>
      </x:c>
      <x:c r="L80" s="35" t="str">
        <x:v>NOT_RUN</x:v>
      </x:c>
      <x:c r="M80" s="35" t="str">
        <x:v>coverage unavailable or execution/compile failed</x:v>
      </x:c>
      <x:c r="N80" s="35" t="str">
        <x:v>Deepseek-flash-v4/Result/Closure_110/result.json</x:v>
      </x:c>
      <x:c r="O80" s="39" t="str">
        <x:f>IF(AND(G80="RECORDED",ISNUMBER(H80)),H80,"")</x:f>
      </x:c>
      <x:c r="P80" s="35" t="str">
        <x:v>NOT_AVAILABLE</x:v>
      </x:c>
      <x:c r="Q80" s="35" t="str">
        <x:v>Deepseek-flash-v4/Result/Closure_110/result.json</x:v>
      </x:c>
    </x:row>
    <x:row r="81">
      <x:c r="A81" s="35" t="str">
        <x:v>deepseek</x:v>
      </x:c>
      <x:c r="B81" s="35" t="str">
        <x:v>Closure</x:v>
      </x:c>
      <x:c r="C81" s="35" t="str">
        <x:v>Round1</x:v>
      </x:c>
      <x:c r="D81" s="35" t="str">
        <x:v>Closure_111</x:v>
      </x:c>
      <x:c r="E81" s="35" t="str">
        <x:v>Line</x:v>
      </x:c>
      <x:c r="F81" s="35"/>
      <x:c r="G81" s="35" t="str">
        <x:v>A</x:v>
      </x:c>
      <x:c r="H81" s="39" t="str">
        <x:f>IF(ISNUMBER('Data'!E81),'Data'!E81*100,"")</x:f>
      </x:c>
      <x:c r="I81" s="35"/>
      <x:c r="J81" s="35" t="str">
        <x:v>PASS</x:v>
      </x:c>
      <x:c r="K81" s="35" t="str">
        <x:v>FAIL</x:v>
      </x:c>
      <x:c r="L81" s="35" t="str">
        <x:v>NOT_RUN</x:v>
      </x:c>
      <x:c r="M81" s="35" t="str">
        <x:v>coverage unavailable or execution/compile failed</x:v>
      </x:c>
      <x:c r="N81" s="35" t="str">
        <x:v>Deepseek-flash-v4/Result/Closure_111/result.json</x:v>
      </x:c>
      <x:c r="O81" s="39" t="str">
        <x:f>IF(AND(G81="RECORDED",ISNUMBER(H81)),H81,"")</x:f>
      </x:c>
      <x:c r="P81" s="35" t="str">
        <x:v>NOT_AVAILABLE</x:v>
      </x:c>
      <x:c r="Q81" s="35" t="str">
        <x:v>Deepseek-flash-v4/Result/Closure_111/result.json</x:v>
      </x:c>
    </x:row>
    <x:row r="82">
      <x:c r="A82" s="35" t="str">
        <x:v>deepseek</x:v>
      </x:c>
      <x:c r="B82" s="35" t="str">
        <x:v>Closure</x:v>
      </x:c>
      <x:c r="C82" s="35" t="str">
        <x:v>Round1</x:v>
      </x:c>
      <x:c r="D82" s="35" t="str">
        <x:v>Closure_112</x:v>
      </x:c>
      <x:c r="E82" s="35" t="str">
        <x:v>Line</x:v>
      </x:c>
      <x:c r="F82" s="35"/>
      <x:c r="G82" s="35" t="str">
        <x:v>A</x:v>
      </x:c>
      <x:c r="H82" s="39" t="str">
        <x:f>IF(ISNUMBER('Data'!E82),'Data'!E82*100,"")</x:f>
      </x:c>
      <x:c r="I82" s="35"/>
      <x:c r="J82" s="35" t="str">
        <x:v>PASS</x:v>
      </x:c>
      <x:c r="K82" s="35" t="str">
        <x:v>FAIL</x:v>
      </x:c>
      <x:c r="L82" s="35" t="str">
        <x:v>NOT_RUN</x:v>
      </x:c>
      <x:c r="M82" s="35" t="str">
        <x:v>coverage unavailable or execution/compile failed</x:v>
      </x:c>
      <x:c r="N82" s="35" t="str">
        <x:v>Deepseek-flash-v4/Result/Closure_112/result.json</x:v>
      </x:c>
      <x:c r="O82" s="39" t="str">
        <x:f>IF(AND(G82="RECORDED",ISNUMBER(H82)),H82,"")</x:f>
      </x:c>
      <x:c r="P82" s="35" t="str">
        <x:v>NOT_AVAILABLE</x:v>
      </x:c>
      <x:c r="Q82" s="35" t="str">
        <x:v>Deepseek-flash-v4/Result/Closure_112/result.json</x:v>
      </x:c>
    </x:row>
    <x:row r="83">
      <x:c r="A83" s="35" t="str">
        <x:v>deepseek</x:v>
      </x:c>
      <x:c r="B83" s="35" t="str">
        <x:v>Closure</x:v>
      </x:c>
      <x:c r="C83" s="35" t="str">
        <x:v>Round1</x:v>
      </x:c>
      <x:c r="D83" s="35" t="str">
        <x:v>Closure_113</x:v>
      </x:c>
      <x:c r="E83" s="35" t="str">
        <x:v>Line</x:v>
      </x:c>
      <x:c r="F83" s="35"/>
      <x:c r="G83" s="35" t="str">
        <x:v>A</x:v>
      </x:c>
      <x:c r="H83" s="39" t="str">
        <x:f>IF(ISNUMBER('Data'!E83),'Data'!E83*100,"")</x:f>
      </x:c>
      <x:c r="I83" s="35"/>
      <x:c r="J83" s="35" t="str">
        <x:v>PASS</x:v>
      </x:c>
      <x:c r="K83" s="35" t="str">
        <x:v>FAIL</x:v>
      </x:c>
      <x:c r="L83" s="35" t="str">
        <x:v>NOT_RUN</x:v>
      </x:c>
      <x:c r="M83" s="35" t="str">
        <x:v>coverage unavailable or execution/compile failed</x:v>
      </x:c>
      <x:c r="N83" s="35" t="str">
        <x:v>Deepseek-flash-v4/Result/Closure_113/result.json</x:v>
      </x:c>
      <x:c r="O83" s="39" t="str">
        <x:f>IF(AND(G83="RECORDED",ISNUMBER(H83)),H83,"")</x:f>
      </x:c>
      <x:c r="P83" s="35" t="str">
        <x:v>NOT_AVAILABLE</x:v>
      </x:c>
      <x:c r="Q83" s="35" t="str">
        <x:v>Deepseek-flash-v4/Result/Closure_113/result.json</x:v>
      </x:c>
    </x:row>
    <x:row r="84">
      <x:c r="A84" s="35" t="str">
        <x:v>deepseek</x:v>
      </x:c>
      <x:c r="B84" s="35" t="str">
        <x:v>Closure</x:v>
      </x:c>
      <x:c r="C84" s="35" t="str">
        <x:v>Round1</x:v>
      </x:c>
      <x:c r="D84" s="35" t="str">
        <x:v>Closure_114</x:v>
      </x:c>
      <x:c r="E84" s="35" t="str">
        <x:v>Line</x:v>
      </x:c>
      <x:c r="F84" s="35"/>
      <x:c r="G84" s="35" t="str">
        <x:v>A</x:v>
      </x:c>
      <x:c r="H84" s="39" t="str">
        <x:f>IF(ISNUMBER('Data'!E84),'Data'!E84*100,"")</x:f>
      </x:c>
      <x:c r="I84" s="35"/>
      <x:c r="J84" s="35" t="str">
        <x:v>PASS</x:v>
      </x:c>
      <x:c r="K84" s="35" t="str">
        <x:v>FAIL</x:v>
      </x:c>
      <x:c r="L84" s="35" t="str">
        <x:v>NOT_RUN</x:v>
      </x:c>
      <x:c r="M84" s="35" t="str">
        <x:v>coverage unavailable or execution/compile failed</x:v>
      </x:c>
      <x:c r="N84" s="35" t="str">
        <x:v>Deepseek-flash-v4/Result/Closure_114/result.json</x:v>
      </x:c>
      <x:c r="O84" s="39" t="str">
        <x:f>IF(AND(G84="RECORDED",ISNUMBER(H84)),H84,"")</x:f>
      </x:c>
      <x:c r="P84" s="35" t="str">
        <x:v>NOT_AVAILABLE</x:v>
      </x:c>
      <x:c r="Q84" s="35" t="str">
        <x:v>Deepseek-flash-v4/Result/Closure_114/result.json</x:v>
      </x:c>
    </x:row>
    <x:row r="85">
      <x:c r="A85" s="35" t="str">
        <x:v>deepseek</x:v>
      </x:c>
      <x:c r="B85" s="35" t="str">
        <x:v>Closure</x:v>
      </x:c>
      <x:c r="C85" s="35" t="str">
        <x:v>Round1</x:v>
      </x:c>
      <x:c r="D85" s="35" t="str">
        <x:v>Closure_115</x:v>
      </x:c>
      <x:c r="E85" s="35" t="str">
        <x:v>Line</x:v>
      </x:c>
      <x:c r="F85" s="35"/>
      <x:c r="G85" s="35" t="str">
        <x:v>A</x:v>
      </x:c>
      <x:c r="H85" s="39" t="str">
        <x:f>IF(ISNUMBER('Data'!E85),'Data'!E85*100,"")</x:f>
      </x:c>
      <x:c r="I85" s="35"/>
      <x:c r="J85" s="35" t="str">
        <x:v>PASS</x:v>
      </x:c>
      <x:c r="K85" s="35" t="str">
        <x:v>FAIL</x:v>
      </x:c>
      <x:c r="L85" s="35" t="str">
        <x:v>NOT_RUN</x:v>
      </x:c>
      <x:c r="M85" s="35" t="str">
        <x:v>coverage unavailable or execution/compile failed</x:v>
      </x:c>
      <x:c r="N85" s="35" t="str">
        <x:v>Deepseek-flash-v4/Result/Closure_115/result.json</x:v>
      </x:c>
      <x:c r="O85" s="39" t="str">
        <x:f>IF(AND(G85="RECORDED",ISNUMBER(H85)),H85,"")</x:f>
      </x:c>
      <x:c r="P85" s="35" t="str">
        <x:v>NOT_AVAILABLE</x:v>
      </x:c>
      <x:c r="Q85" s="35" t="str">
        <x:v>Deepseek-flash-v4/Result/Closure_115/result.json</x:v>
      </x:c>
    </x:row>
    <x:row r="86">
      <x:c r="A86" s="35" t="str">
        <x:v>deepseek</x:v>
      </x:c>
      <x:c r="B86" s="35" t="str">
        <x:v>Closure</x:v>
      </x:c>
      <x:c r="C86" s="35" t="str">
        <x:v>Round1</x:v>
      </x:c>
      <x:c r="D86" s="35" t="str">
        <x:v>Closure_116</x:v>
      </x:c>
      <x:c r="E86" s="35" t="str">
        <x:v>Line</x:v>
      </x:c>
      <x:c r="F86" s="35"/>
      <x:c r="G86" s="35" t="str">
        <x:v>A</x:v>
      </x:c>
      <x:c r="H86" s="39" t="str">
        <x:f>IF(ISNUMBER('Data'!E86),'Data'!E86*100,"")</x:f>
      </x:c>
      <x:c r="I86" s="35"/>
      <x:c r="J86" s="35" t="str">
        <x:v>PASS</x:v>
      </x:c>
      <x:c r="K86" s="35" t="str">
        <x:v>FAIL</x:v>
      </x:c>
      <x:c r="L86" s="35" t="str">
        <x:v>NOT_RUN</x:v>
      </x:c>
      <x:c r="M86" s="35" t="str">
        <x:v>coverage unavailable or execution/compile failed</x:v>
      </x:c>
      <x:c r="N86" s="35" t="str">
        <x:v>Deepseek-flash-v4/Result/Closure_116/result.json</x:v>
      </x:c>
      <x:c r="O86" s="39" t="str">
        <x:f>IF(AND(G86="RECORDED",ISNUMBER(H86)),H86,"")</x:f>
      </x:c>
      <x:c r="P86" s="35" t="str">
        <x:v>NOT_AVAILABLE</x:v>
      </x:c>
      <x:c r="Q86" s="35" t="str">
        <x:v>Deepseek-flash-v4/Result/Closure_116/result.json</x:v>
      </x:c>
    </x:row>
    <x:row r="87">
      <x:c r="A87" s="35" t="str">
        <x:v>deepseek</x:v>
      </x:c>
      <x:c r="B87" s="35" t="str">
        <x:v>Closure</x:v>
      </x:c>
      <x:c r="C87" s="35" t="str">
        <x:v>Round1</x:v>
      </x:c>
      <x:c r="D87" s="35" t="str">
        <x:v>Closure_117</x:v>
      </x:c>
      <x:c r="E87" s="35" t="str">
        <x:v>Line</x:v>
      </x:c>
      <x:c r="F87" s="35"/>
      <x:c r="G87" s="35" t="str">
        <x:v>A</x:v>
      </x:c>
      <x:c r="H87" s="39" t="str">
        <x:f>IF(ISNUMBER('Data'!E87),'Data'!E87*100,"")</x:f>
      </x:c>
      <x:c r="I87" s="35"/>
      <x:c r="J87" s="35" t="str">
        <x:v>PASS</x:v>
      </x:c>
      <x:c r="K87" s="35" t="str">
        <x:v>FAIL</x:v>
      </x:c>
      <x:c r="L87" s="35" t="str">
        <x:v>NOT_RUN</x:v>
      </x:c>
      <x:c r="M87" s="35" t="str">
        <x:v>coverage unavailable or execution/compile failed</x:v>
      </x:c>
      <x:c r="N87" s="35" t="str">
        <x:v>Deepseek-flash-v4/Result/Closure_117/result.json</x:v>
      </x:c>
      <x:c r="O87" s="39" t="str">
        <x:f>IF(AND(G87="RECORDED",ISNUMBER(H87)),H87,"")</x:f>
      </x:c>
      <x:c r="P87" s="35" t="str">
        <x:v>NOT_AVAILABLE</x:v>
      </x:c>
      <x:c r="Q87" s="35" t="str">
        <x:v>Deepseek-flash-v4/Result/Closure_117/result.json</x:v>
      </x:c>
    </x:row>
    <x:row r="88">
      <x:c r="A88" s="35" t="str">
        <x:v>deepseek</x:v>
      </x:c>
      <x:c r="B88" s="35" t="str">
        <x:v>Closure</x:v>
      </x:c>
      <x:c r="C88" s="35" t="str">
        <x:v>Round1</x:v>
      </x:c>
      <x:c r="D88" s="35" t="str">
        <x:v>Closure_118</x:v>
      </x:c>
      <x:c r="E88" s="35" t="str">
        <x:v>Line</x:v>
      </x:c>
      <x:c r="F88" s="35"/>
      <x:c r="G88" s="35" t="str">
        <x:v>A</x:v>
      </x:c>
      <x:c r="H88" s="39" t="str">
        <x:f>IF(ISNUMBER('Data'!E88),'Data'!E88*100,"")</x:f>
      </x:c>
      <x:c r="I88" s="35"/>
      <x:c r="J88" s="35" t="str">
        <x:v>PASS</x:v>
      </x:c>
      <x:c r="K88" s="35" t="str">
        <x:v>FAIL</x:v>
      </x:c>
      <x:c r="L88" s="35" t="str">
        <x:v>NOT_RUN</x:v>
      </x:c>
      <x:c r="M88" s="35" t="str">
        <x:v>coverage unavailable or execution/compile failed</x:v>
      </x:c>
      <x:c r="N88" s="35" t="str">
        <x:v>Deepseek-flash-v4/Result/Closure_118/result.json</x:v>
      </x:c>
      <x:c r="O88" s="39" t="str">
        <x:f>IF(AND(G88="RECORDED",ISNUMBER(H88)),H88,"")</x:f>
      </x:c>
      <x:c r="P88" s="35" t="str">
        <x:v>NOT_AVAILABLE</x:v>
      </x:c>
      <x:c r="Q88" s="35" t="str">
        <x:v>Deepseek-flash-v4/Result/Closure_118/result.json</x:v>
      </x:c>
    </x:row>
    <x:row r="89">
      <x:c r="A89" s="35" t="str">
        <x:v>deepseek</x:v>
      </x:c>
      <x:c r="B89" s="35" t="str">
        <x:v>Closure</x:v>
      </x:c>
      <x:c r="C89" s="35" t="str">
        <x:v>Round1</x:v>
      </x:c>
      <x:c r="D89" s="35" t="str">
        <x:v>Closure_119</x:v>
      </x:c>
      <x:c r="E89" s="35" t="str">
        <x:v>Line</x:v>
      </x:c>
      <x:c r="F89" s="35"/>
      <x:c r="G89" s="35" t="str">
        <x:v>A</x:v>
      </x:c>
      <x:c r="H89" s="39" t="str">
        <x:f>IF(ISNUMBER('Data'!E89),'Data'!E89*100,"")</x:f>
      </x:c>
      <x:c r="I89" s="35"/>
      <x:c r="J89" s="35" t="str">
        <x:v>PASS</x:v>
      </x:c>
      <x:c r="K89" s="35" t="str">
        <x:v>FAIL</x:v>
      </x:c>
      <x:c r="L89" s="35" t="str">
        <x:v>NOT_RUN</x:v>
      </x:c>
      <x:c r="M89" s="35" t="str">
        <x:v>coverage unavailable or execution/compile failed</x:v>
      </x:c>
      <x:c r="N89" s="35" t="str">
        <x:v>Deepseek-flash-v4/Result/Closure_119/result.json</x:v>
      </x:c>
      <x:c r="O89" s="39" t="str">
        <x:f>IF(AND(G89="RECORDED",ISNUMBER(H89)),H89,"")</x:f>
      </x:c>
      <x:c r="P89" s="35" t="str">
        <x:v>NOT_AVAILABLE</x:v>
      </x:c>
      <x:c r="Q89" s="35" t="str">
        <x:v>Deepseek-flash-v4/Result/Closure_119/result.json</x:v>
      </x:c>
    </x:row>
    <x:row r="90">
      <x:c r="A90" s="35" t="str">
        <x:v>deepseek</x:v>
      </x:c>
      <x:c r="B90" s="35" t="str">
        <x:v>Closure</x:v>
      </x:c>
      <x:c r="C90" s="35" t="str">
        <x:v>Round1</x:v>
      </x:c>
      <x:c r="D90" s="35" t="str">
        <x:v>Closure_12</x:v>
      </x:c>
      <x:c r="E90" s="35" t="str">
        <x:v>Line</x:v>
      </x:c>
      <x:c r="F90" s="35"/>
      <x:c r="G90" s="35" t="str">
        <x:v>A</x:v>
      </x:c>
      <x:c r="H90" s="39" t="str">
        <x:f>IF(ISNUMBER('Data'!E90),'Data'!E90*100,"")</x:f>
      </x:c>
      <x:c r="I90" s="35"/>
      <x:c r="J90" s="35" t="str">
        <x:v>PASS</x:v>
      </x:c>
      <x:c r="K90" s="35" t="str">
        <x:v>FAIL</x:v>
      </x:c>
      <x:c r="L90" s="35" t="str">
        <x:v>NOT_RUN</x:v>
      </x:c>
      <x:c r="M90" s="35" t="str">
        <x:v>coverage unavailable or execution/compile failed</x:v>
      </x:c>
      <x:c r="N90" s="35" t="str">
        <x:v>Deepseek-flash-v4/Result/Closure_12/result.json</x:v>
      </x:c>
      <x:c r="O90" s="39" t="str">
        <x:f>IF(AND(G90="RECORDED",ISNUMBER(H90)),H90,"")</x:f>
      </x:c>
      <x:c r="P90" s="35" t="str">
        <x:v>NOT_AVAILABLE</x:v>
      </x:c>
      <x:c r="Q90" s="35" t="str">
        <x:v>Deepseek-flash-v4/Result/Closure_12/result.json</x:v>
      </x:c>
    </x:row>
    <x:row r="91">
      <x:c r="A91" s="35" t="str">
        <x:v>deepseek</x:v>
      </x:c>
      <x:c r="B91" s="35" t="str">
        <x:v>Closure</x:v>
      </x:c>
      <x:c r="C91" s="35" t="str">
        <x:v>Round1</x:v>
      </x:c>
      <x:c r="D91" s="35" t="str">
        <x:v>Closure_120</x:v>
      </x:c>
      <x:c r="E91" s="35" t="str">
        <x:v>Line</x:v>
      </x:c>
      <x:c r="F91" s="35"/>
      <x:c r="G91" s="35" t="str">
        <x:v>A</x:v>
      </x:c>
      <x:c r="H91" s="39" t="str">
        <x:f>IF(ISNUMBER('Data'!E91),'Data'!E91*100,"")</x:f>
      </x:c>
      <x:c r="I91" s="35"/>
      <x:c r="J91" s="35" t="str">
        <x:v>PASS</x:v>
      </x:c>
      <x:c r="K91" s="35" t="str">
        <x:v>FAIL</x:v>
      </x:c>
      <x:c r="L91" s="35" t="str">
        <x:v>NOT_RUN</x:v>
      </x:c>
      <x:c r="M91" s="35" t="str">
        <x:v>coverage unavailable or execution/compile failed</x:v>
      </x:c>
      <x:c r="N91" s="35" t="str">
        <x:v>Deepseek-flash-v4/Result/Closure_120/result.json</x:v>
      </x:c>
      <x:c r="O91" s="39" t="str">
        <x:f>IF(AND(G91="RECORDED",ISNUMBER(H91)),H91,"")</x:f>
      </x:c>
      <x:c r="P91" s="35" t="str">
        <x:v>NOT_AVAILABLE</x:v>
      </x:c>
      <x:c r="Q91" s="35" t="str">
        <x:v>Deepseek-flash-v4/Result/Closure_120/result.json</x:v>
      </x:c>
    </x:row>
    <x:row r="92">
      <x:c r="A92" s="35" t="str">
        <x:v>deepseek</x:v>
      </x:c>
      <x:c r="B92" s="35" t="str">
        <x:v>Closure</x:v>
      </x:c>
      <x:c r="C92" s="35" t="str">
        <x:v>Round1</x:v>
      </x:c>
      <x:c r="D92" s="35" t="str">
        <x:v>Closure_121</x:v>
      </x:c>
      <x:c r="E92" s="35" t="str">
        <x:v>Line</x:v>
      </x:c>
      <x:c r="F92" s="35"/>
      <x:c r="G92" s="35" t="str">
        <x:v>A</x:v>
      </x:c>
      <x:c r="H92" s="39" t="str">
        <x:f>IF(ISNUMBER('Data'!E92),'Data'!E92*100,"")</x:f>
      </x:c>
      <x:c r="I92" s="35"/>
      <x:c r="J92" s="35" t="str">
        <x:v>PASS</x:v>
      </x:c>
      <x:c r="K92" s="35" t="str">
        <x:v>FAIL</x:v>
      </x:c>
      <x:c r="L92" s="35" t="str">
        <x:v>NOT_RUN</x:v>
      </x:c>
      <x:c r="M92" s="35" t="str">
        <x:v>coverage unavailable or execution/compile failed</x:v>
      </x:c>
      <x:c r="N92" s="35" t="str">
        <x:v>Deepseek-flash-v4/Result/Closure_121/result.json</x:v>
      </x:c>
      <x:c r="O92" s="39" t="str">
        <x:f>IF(AND(G92="RECORDED",ISNUMBER(H92)),H92,"")</x:f>
      </x:c>
      <x:c r="P92" s="35" t="str">
        <x:v>NOT_AVAILABLE</x:v>
      </x:c>
      <x:c r="Q92" s="35" t="str">
        <x:v>Deepseek-flash-v4/Result/Closure_121/result.json</x:v>
      </x:c>
    </x:row>
    <x:row r="93">
      <x:c r="A93" s="35" t="str">
        <x:v>deepseek</x:v>
      </x:c>
      <x:c r="B93" s="35" t="str">
        <x:v>Closure</x:v>
      </x:c>
      <x:c r="C93" s="35" t="str">
        <x:v>Round1</x:v>
      </x:c>
      <x:c r="D93" s="35" t="str">
        <x:v>Closure_122</x:v>
      </x:c>
      <x:c r="E93" s="35" t="str">
        <x:v>Line</x:v>
      </x:c>
      <x:c r="F93" s="35"/>
      <x:c r="G93" s="35" t="str">
        <x:v>A</x:v>
      </x:c>
      <x:c r="H93" s="39" t="str">
        <x:f>IF(ISNUMBER('Data'!E93),'Data'!E93*100,"")</x:f>
      </x:c>
      <x:c r="I93" s="35"/>
      <x:c r="J93" s="35" t="str">
        <x:v>PASS</x:v>
      </x:c>
      <x:c r="K93" s="35" t="str">
        <x:v>FAIL</x:v>
      </x:c>
      <x:c r="L93" s="35" t="str">
        <x:v>NOT_RUN</x:v>
      </x:c>
      <x:c r="M93" s="35" t="str">
        <x:v>coverage unavailable or execution/compile failed</x:v>
      </x:c>
      <x:c r="N93" s="35" t="str">
        <x:v>Deepseek-flash-v4/Result/Closure_122/result.json</x:v>
      </x:c>
      <x:c r="O93" s="39" t="str">
        <x:f>IF(AND(G93="RECORDED",ISNUMBER(H93)),H93,"")</x:f>
      </x:c>
      <x:c r="P93" s="35" t="str">
        <x:v>NOT_AVAILABLE</x:v>
      </x:c>
      <x:c r="Q93" s="35" t="str">
        <x:v>Deepseek-flash-v4/Result/Closure_122/result.json</x:v>
      </x:c>
    </x:row>
    <x:row r="94">
      <x:c r="A94" s="35" t="str">
        <x:v>deepseek</x:v>
      </x:c>
      <x:c r="B94" s="35" t="str">
        <x:v>Closure</x:v>
      </x:c>
      <x:c r="C94" s="35" t="str">
        <x:v>Round1</x:v>
      </x:c>
      <x:c r="D94" s="35" t="str">
        <x:v>Closure_123</x:v>
      </x:c>
      <x:c r="E94" s="35" t="str">
        <x:v>Line</x:v>
      </x:c>
      <x:c r="F94" s="35"/>
      <x:c r="G94" s="35" t="str">
        <x:v>A</x:v>
      </x:c>
      <x:c r="H94" s="39" t="str">
        <x:f>IF(ISNUMBER('Data'!E94),'Data'!E94*100,"")</x:f>
      </x:c>
      <x:c r="I94" s="35"/>
      <x:c r="J94" s="35" t="str">
        <x:v>PASS</x:v>
      </x:c>
      <x:c r="K94" s="35" t="str">
        <x:v>FAIL</x:v>
      </x:c>
      <x:c r="L94" s="35" t="str">
        <x:v>NOT_RUN</x:v>
      </x:c>
      <x:c r="M94" s="35" t="str">
        <x:v>coverage unavailable or execution/compile failed</x:v>
      </x:c>
      <x:c r="N94" s="35" t="str">
        <x:v>Deepseek-flash-v4/Result/Closure_123/result.json</x:v>
      </x:c>
      <x:c r="O94" s="39" t="str">
        <x:f>IF(AND(G94="RECORDED",ISNUMBER(H94)),H94,"")</x:f>
      </x:c>
      <x:c r="P94" s="35" t="str">
        <x:v>NOT_AVAILABLE</x:v>
      </x:c>
      <x:c r="Q94" s="35" t="str">
        <x:v>Deepseek-flash-v4/Result/Closure_123/result.json</x:v>
      </x:c>
    </x:row>
    <x:row r="95">
      <x:c r="A95" s="35" t="str">
        <x:v>deepseek</x:v>
      </x:c>
      <x:c r="B95" s="35" t="str">
        <x:v>Closure</x:v>
      </x:c>
      <x:c r="C95" s="35" t="str">
        <x:v>Round1</x:v>
      </x:c>
      <x:c r="D95" s="35" t="str">
        <x:v>Closure_124</x:v>
      </x:c>
      <x:c r="E95" s="35" t="str">
        <x:v>Line</x:v>
      </x:c>
      <x:c r="F95" s="35"/>
      <x:c r="G95" s="35" t="str">
        <x:v>A</x:v>
      </x:c>
      <x:c r="H95" s="39" t="str">
        <x:f>IF(ISNUMBER('Data'!E95),'Data'!E95*100,"")</x:f>
      </x:c>
      <x:c r="I95" s="35"/>
      <x:c r="J95" s="35" t="str">
        <x:v>PASS</x:v>
      </x:c>
      <x:c r="K95" s="35" t="str">
        <x:v>FAIL</x:v>
      </x:c>
      <x:c r="L95" s="35" t="str">
        <x:v>NOT_RUN</x:v>
      </x:c>
      <x:c r="M95" s="35" t="str">
        <x:v>coverage unavailable or execution/compile failed</x:v>
      </x:c>
      <x:c r="N95" s="35" t="str">
        <x:v>Deepseek-flash-v4/Result/Closure_124/result.json</x:v>
      </x:c>
      <x:c r="O95" s="39" t="str">
        <x:f>IF(AND(G95="RECORDED",ISNUMBER(H95)),H95,"")</x:f>
      </x:c>
      <x:c r="P95" s="35" t="str">
        <x:v>NOT_AVAILABLE</x:v>
      </x:c>
      <x:c r="Q95" s="35" t="str">
        <x:v>Deepseek-flash-v4/Result/Closure_124/result.json</x:v>
      </x:c>
    </x:row>
    <x:row r="96">
      <x:c r="A96" s="35" t="str">
        <x:v>deepseek</x:v>
      </x:c>
      <x:c r="B96" s="35" t="str">
        <x:v>Closure</x:v>
      </x:c>
      <x:c r="C96" s="35" t="str">
        <x:v>Round1</x:v>
      </x:c>
      <x:c r="D96" s="35" t="str">
        <x:v>Closure_125</x:v>
      </x:c>
      <x:c r="E96" s="35" t="str">
        <x:v>Line</x:v>
      </x:c>
      <x:c r="F96" s="35"/>
      <x:c r="G96" s="35" t="str">
        <x:v>A</x:v>
      </x:c>
      <x:c r="H96" s="39" t="str">
        <x:f>IF(ISNUMBER('Data'!E96),'Data'!E96*100,"")</x:f>
      </x:c>
      <x:c r="I96" s="35"/>
      <x:c r="J96" s="35" t="str">
        <x:v>PASS</x:v>
      </x:c>
      <x:c r="K96" s="35" t="str">
        <x:v>FAIL</x:v>
      </x:c>
      <x:c r="L96" s="35" t="str">
        <x:v>NOT_RUN</x:v>
      </x:c>
      <x:c r="M96" s="35" t="str">
        <x:v>coverage unavailable or execution/compile failed</x:v>
      </x:c>
      <x:c r="N96" s="35" t="str">
        <x:v>Deepseek-flash-v4/Result/Closure_125/result.json</x:v>
      </x:c>
      <x:c r="O96" s="39" t="str">
        <x:f>IF(AND(G96="RECORDED",ISNUMBER(H96)),H96,"")</x:f>
      </x:c>
      <x:c r="P96" s="35" t="str">
        <x:v>NOT_AVAILABLE</x:v>
      </x:c>
      <x:c r="Q96" s="35" t="str">
        <x:v>Deepseek-flash-v4/Result/Closure_125/result.json</x:v>
      </x:c>
    </x:row>
    <x:row r="97">
      <x:c r="A97" s="35" t="str">
        <x:v>deepseek</x:v>
      </x:c>
      <x:c r="B97" s="35" t="str">
        <x:v>Closure</x:v>
      </x:c>
      <x:c r="C97" s="35" t="str">
        <x:v>Round1</x:v>
      </x:c>
      <x:c r="D97" s="35" t="str">
        <x:v>Closure_126</x:v>
      </x:c>
      <x:c r="E97" s="35" t="str">
        <x:v>Line</x:v>
      </x:c>
      <x:c r="F97" s="35"/>
      <x:c r="G97" s="35" t="str">
        <x:v>A</x:v>
      </x:c>
      <x:c r="H97" s="39" t="str">
        <x:f>IF(ISNUMBER('Data'!E97),'Data'!E97*100,"")</x:f>
      </x:c>
      <x:c r="I97" s="35"/>
      <x:c r="J97" s="35" t="str">
        <x:v>PASS</x:v>
      </x:c>
      <x:c r="K97" s="35" t="str">
        <x:v>FAIL</x:v>
      </x:c>
      <x:c r="L97" s="35" t="str">
        <x:v>NOT_RUN</x:v>
      </x:c>
      <x:c r="M97" s="35" t="str">
        <x:v>coverage unavailable or execution/compile failed</x:v>
      </x:c>
      <x:c r="N97" s="35" t="str">
        <x:v>Deepseek-flash-v4/Result/Closure_126/result.json</x:v>
      </x:c>
      <x:c r="O97" s="39" t="str">
        <x:f>IF(AND(G97="RECORDED",ISNUMBER(H97)),H97,"")</x:f>
      </x:c>
      <x:c r="P97" s="35" t="str">
        <x:v>NOT_AVAILABLE</x:v>
      </x:c>
      <x:c r="Q97" s="35" t="str">
        <x:v>Deepseek-flash-v4/Result/Closure_126/result.json</x:v>
      </x:c>
    </x:row>
    <x:row r="98">
      <x:c r="A98" s="35" t="str">
        <x:v>deepseek</x:v>
      </x:c>
      <x:c r="B98" s="35" t="str">
        <x:v>Closure</x:v>
      </x:c>
      <x:c r="C98" s="35" t="str">
        <x:v>Round1</x:v>
      </x:c>
      <x:c r="D98" s="35" t="str">
        <x:v>Closure_127</x:v>
      </x:c>
      <x:c r="E98" s="35" t="str">
        <x:v>Line</x:v>
      </x:c>
      <x:c r="F98" s="35"/>
      <x:c r="G98" s="35" t="str">
        <x:v>A</x:v>
      </x:c>
      <x:c r="H98" s="39" t="str">
        <x:f>IF(ISNUMBER('Data'!E98),'Data'!E98*100,"")</x:f>
      </x:c>
      <x:c r="I98" s="35"/>
      <x:c r="J98" s="35" t="str">
        <x:v>NOT_RUN</x:v>
      </x:c>
      <x:c r="K98" s="35"/>
      <x:c r="L98" s="35" t="str">
        <x:v>NOT_RUN</x:v>
      </x:c>
      <x:c r="M98" s="35" t="str">
        <x:v>coverage unavailable or execution/compile failed</x:v>
      </x:c>
      <x:c r="N98" s="35" t="str">
        <x:v>Deepseek-flash-v4/Result/Closure_127/result.json</x:v>
      </x:c>
      <x:c r="O98" s="39" t="str">
        <x:f>IF(AND(G98="RECORDED",ISNUMBER(H98)),H98,"")</x:f>
      </x:c>
      <x:c r="P98" s="35" t="str">
        <x:v>NOT_AVAILABLE</x:v>
      </x:c>
      <x:c r="Q98" s="35" t="str">
        <x:v>Deepseek-flash-v4/Result/Closure_127/result.json</x:v>
      </x:c>
    </x:row>
    <x:row r="99">
      <x:c r="A99" s="35" t="str">
        <x:v>deepseek</x:v>
      </x:c>
      <x:c r="B99" s="35" t="str">
        <x:v>Closure</x:v>
      </x:c>
      <x:c r="C99" s="35" t="str">
        <x:v>Round1</x:v>
      </x:c>
      <x:c r="D99" s="35" t="str">
        <x:v>Closure_128</x:v>
      </x:c>
      <x:c r="E99" s="35" t="str">
        <x:v>Line</x:v>
      </x:c>
      <x:c r="F99" s="35"/>
      <x:c r="G99" s="35" t="str">
        <x:v>A</x:v>
      </x:c>
      <x:c r="H99" s="39" t="str">
        <x:f>IF(ISNUMBER('Data'!E99),'Data'!E99*100,"")</x:f>
      </x:c>
      <x:c r="I99" s="35"/>
      <x:c r="J99" s="35" t="str">
        <x:v>PASS</x:v>
      </x:c>
      <x:c r="K99" s="35" t="str">
        <x:v>FAIL</x:v>
      </x:c>
      <x:c r="L99" s="35" t="str">
        <x:v>NOT_RUN</x:v>
      </x:c>
      <x:c r="M99" s="35" t="str">
        <x:v>coverage unavailable or execution/compile failed</x:v>
      </x:c>
      <x:c r="N99" s="35" t="str">
        <x:v>Deepseek-flash-v4/Result/Closure_128/result.json</x:v>
      </x:c>
      <x:c r="O99" s="39" t="str">
        <x:f>IF(AND(G99="RECORDED",ISNUMBER(H99)),H99,"")</x:f>
      </x:c>
      <x:c r="P99" s="35" t="str">
        <x:v>NOT_AVAILABLE</x:v>
      </x:c>
      <x:c r="Q99" s="35" t="str">
        <x:v>Deepseek-flash-v4/Result/Closure_128/result.json</x:v>
      </x:c>
    </x:row>
    <x:row r="100">
      <x:c r="A100" s="35" t="str">
        <x:v>deepseek</x:v>
      </x:c>
      <x:c r="B100" s="35" t="str">
        <x:v>Closure</x:v>
      </x:c>
      <x:c r="C100" s="35" t="str">
        <x:v>Round1</x:v>
      </x:c>
      <x:c r="D100" s="35" t="str">
        <x:v>Closure_129</x:v>
      </x:c>
      <x:c r="E100" s="35" t="str">
        <x:v>Line</x:v>
      </x:c>
      <x:c r="F100" s="35"/>
      <x:c r="G100" s="35" t="str">
        <x:v>A</x:v>
      </x:c>
      <x:c r="H100" s="39" t="str">
        <x:f>IF(ISNUMBER('Data'!E100),'Data'!E100*100,"")</x:f>
      </x:c>
      <x:c r="I100" s="35"/>
      <x:c r="J100" s="35" t="str">
        <x:v>PASS</x:v>
      </x:c>
      <x:c r="K100" s="35" t="str">
        <x:v>FAIL</x:v>
      </x:c>
      <x:c r="L100" s="35" t="str">
        <x:v>NOT_RUN</x:v>
      </x:c>
      <x:c r="M100" s="35" t="str">
        <x:v>coverage unavailable or execution/compile failed</x:v>
      </x:c>
      <x:c r="N100" s="35" t="str">
        <x:v>Deepseek-flash-v4/Result/Closure_129/result.json</x:v>
      </x:c>
      <x:c r="O100" s="39" t="str">
        <x:f>IF(AND(G100="RECORDED",ISNUMBER(H100)),H100,"")</x:f>
      </x:c>
      <x:c r="P100" s="35" t="str">
        <x:v>NOT_AVAILABLE</x:v>
      </x:c>
      <x:c r="Q100" s="35" t="str">
        <x:v>Deepseek-flash-v4/Result/Closure_129/result.json</x:v>
      </x:c>
    </x:row>
    <x:row r="101">
      <x:c r="A101" s="35" t="str">
        <x:v>deepseek</x:v>
      </x:c>
      <x:c r="B101" s="35" t="str">
        <x:v>Closure</x:v>
      </x:c>
      <x:c r="C101" s="35" t="str">
        <x:v>Round1</x:v>
      </x:c>
      <x:c r="D101" s="35" t="str">
        <x:v>Closure_13</x:v>
      </x:c>
      <x:c r="E101" s="35" t="str">
        <x:v>Line</x:v>
      </x:c>
      <x:c r="F101" s="35"/>
      <x:c r="G101" s="35" t="str">
        <x:v>A</x:v>
      </x:c>
      <x:c r="H101" s="39" t="str">
        <x:f>IF(ISNUMBER('Data'!E101),'Data'!E101*100,"")</x:f>
      </x:c>
      <x:c r="I101" s="35"/>
      <x:c r="J101" s="35" t="str">
        <x:v>PASS</x:v>
      </x:c>
      <x:c r="K101" s="35" t="str">
        <x:v>FAIL</x:v>
      </x:c>
      <x:c r="L101" s="35" t="str">
        <x:v>NOT_RUN</x:v>
      </x:c>
      <x:c r="M101" s="35" t="str">
        <x:v>coverage unavailable or execution/compile failed</x:v>
      </x:c>
      <x:c r="N101" s="35" t="str">
        <x:v>Deepseek-flash-v4/Result/Closure_13/result.json</x:v>
      </x:c>
      <x:c r="O101" s="39" t="str">
        <x:f>IF(AND(G101="RECORDED",ISNUMBER(H101)),H101,"")</x:f>
      </x:c>
      <x:c r="P101" s="35" t="str">
        <x:v>NOT_AVAILABLE</x:v>
      </x:c>
      <x:c r="Q101" s="35" t="str">
        <x:v>Deepseek-flash-v4/Result/Closure_13/result.json</x:v>
      </x:c>
    </x:row>
    <x:row r="102">
      <x:c r="A102" s="35" t="str">
        <x:v>deepseek</x:v>
      </x:c>
      <x:c r="B102" s="35" t="str">
        <x:v>Closure</x:v>
      </x:c>
      <x:c r="C102" s="35" t="str">
        <x:v>Round1</x:v>
      </x:c>
      <x:c r="D102" s="35" t="str">
        <x:v>Closure_130</x:v>
      </x:c>
      <x:c r="E102" s="35" t="str">
        <x:v>Line</x:v>
      </x:c>
      <x:c r="F102" s="35"/>
      <x:c r="G102" s="35" t="str">
        <x:v>A</x:v>
      </x:c>
      <x:c r="H102" s="39" t="str">
        <x:f>IF(ISNUMBER('Data'!E102),'Data'!E102*100,"")</x:f>
      </x:c>
      <x:c r="I102" s="35"/>
      <x:c r="J102" s="35" t="str">
        <x:v>PASS</x:v>
      </x:c>
      <x:c r="K102" s="35" t="str">
        <x:v>FAIL</x:v>
      </x:c>
      <x:c r="L102" s="35" t="str">
        <x:v>NOT_RUN</x:v>
      </x:c>
      <x:c r="M102" s="35" t="str">
        <x:v>coverage unavailable or execution/compile failed</x:v>
      </x:c>
      <x:c r="N102" s="35" t="str">
        <x:v>Deepseek-flash-v4/Result/Closure_130/result.json</x:v>
      </x:c>
      <x:c r="O102" s="39" t="str">
        <x:f>IF(AND(G102="RECORDED",ISNUMBER(H102)),H102,"")</x:f>
      </x:c>
      <x:c r="P102" s="35" t="str">
        <x:v>NOT_AVAILABLE</x:v>
      </x:c>
      <x:c r="Q102" s="35" t="str">
        <x:v>Deepseek-flash-v4/Result/Closure_130/result.json</x:v>
      </x:c>
    </x:row>
    <x:row r="103">
      <x:c r="A103" s="35" t="str">
        <x:v>deepseek</x:v>
      </x:c>
      <x:c r="B103" s="35" t="str">
        <x:v>Closure</x:v>
      </x:c>
      <x:c r="C103" s="35" t="str">
        <x:v>Round1</x:v>
      </x:c>
      <x:c r="D103" s="35" t="str">
        <x:v>Closure_131</x:v>
      </x:c>
      <x:c r="E103" s="35" t="str">
        <x:v>Line</x:v>
      </x:c>
      <x:c r="F103" s="35" t="n">
        <x:v>113</x:v>
      </x:c>
      <x:c r="G103" s="35" t="str">
        <x:v>RECORDED</x:v>
      </x:c>
      <x:c r="H103" s="39" t="n">
        <x:f>IF(ISNUMBER('Data'!E103),'Data'!E103*100,"")</x:f>
        <x:v>99.12</x:v>
      </x:c>
      <x:c r="I103" s="35" t="str">
        <x:v>PASS</x:v>
      </x:c>
      <x:c r="J103" s="35" t="str">
        <x:v>PASS</x:v>
      </x:c>
      <x:c r="K103" s="35" t="str">
        <x:v>PASS</x:v>
      </x:c>
      <x:c r="L103" s="35" t="str">
        <x:v>FAIL</x:v>
      </x:c>
      <x:c r="M103" s="35" t="str">
        <x:v>numeric coverage for applicable metric</x:v>
      </x:c>
      <x:c r="N103" s="35" t="str">
        <x:v>Deepseek-flash-v4/Result/Closure_131/result.json</x:v>
      </x:c>
      <x:c r="O103" s="39" t="n">
        <x:f>IF(AND(G103="RECORDED",ISNUMBER(H103)),H103,"")</x:f>
        <x:v>99.12</x:v>
      </x:c>
      <x:c r="P103" s="35" t="str">
        <x:v>REVEALING</x:v>
      </x:c>
      <x:c r="Q103" s="35" t="str">
        <x:v>Deepseek-flash-v4/Result/Closure_131/result.json</x:v>
      </x:c>
    </x:row>
    <x:row r="104">
      <x:c r="A104" s="35" t="str">
        <x:v>deepseek</x:v>
      </x:c>
      <x:c r="B104" s="35" t="str">
        <x:v>Closure</x:v>
      </x:c>
      <x:c r="C104" s="35" t="str">
        <x:v>Round1</x:v>
      </x:c>
      <x:c r="D104" s="35" t="str">
        <x:v>Closure_132</x:v>
      </x:c>
      <x:c r="E104" s="35" t="str">
        <x:v>Line</x:v>
      </x:c>
      <x:c r="F104" s="35"/>
      <x:c r="G104" s="35" t="str">
        <x:v>A</x:v>
      </x:c>
      <x:c r="H104" s="39" t="str">
        <x:f>IF(ISNUMBER('Data'!E104),'Data'!E104*100,"")</x:f>
      </x:c>
      <x:c r="I104" s="35"/>
      <x:c r="J104" s="35" t="str">
        <x:v>PASS</x:v>
      </x:c>
      <x:c r="K104" s="35" t="str">
        <x:v>FAIL</x:v>
      </x:c>
      <x:c r="L104" s="35" t="str">
        <x:v>NOT_RUN</x:v>
      </x:c>
      <x:c r="M104" s="35" t="str">
        <x:v>coverage unavailable or execution/compile failed</x:v>
      </x:c>
      <x:c r="N104" s="35" t="str">
        <x:v>Deepseek-flash-v4/Result/Closure_132/result.json</x:v>
      </x:c>
      <x:c r="O104" s="39" t="str">
        <x:f>IF(AND(G104="RECORDED",ISNUMBER(H104)),H104,"")</x:f>
      </x:c>
      <x:c r="P104" s="35" t="str">
        <x:v>NOT_AVAILABLE</x:v>
      </x:c>
      <x:c r="Q104" s="35" t="str">
        <x:v>Deepseek-flash-v4/Result/Closure_132/result.json</x:v>
      </x:c>
    </x:row>
    <x:row r="105">
      <x:c r="A105" s="35" t="str">
        <x:v>deepseek</x:v>
      </x:c>
      <x:c r="B105" s="35" t="str">
        <x:v>Closure</x:v>
      </x:c>
      <x:c r="C105" s="35" t="str">
        <x:v>Round1</x:v>
      </x:c>
      <x:c r="D105" s="35" t="str">
        <x:v>Closure_133</x:v>
      </x:c>
      <x:c r="E105" s="35" t="str">
        <x:v>Line</x:v>
      </x:c>
      <x:c r="F105" s="35"/>
      <x:c r="G105" s="35" t="str">
        <x:v>A</x:v>
      </x:c>
      <x:c r="H105" s="39" t="str">
        <x:f>IF(ISNUMBER('Data'!E105),'Data'!E105*100,"")</x:f>
      </x:c>
      <x:c r="I105" s="35"/>
      <x:c r="J105" s="35" t="str">
        <x:v>PASS</x:v>
      </x:c>
      <x:c r="K105" s="35" t="str">
        <x:v>FAIL</x:v>
      </x:c>
      <x:c r="L105" s="35" t="str">
        <x:v>NOT_RUN</x:v>
      </x:c>
      <x:c r="M105" s="35" t="str">
        <x:v>coverage unavailable or execution/compile failed</x:v>
      </x:c>
      <x:c r="N105" s="35" t="str">
        <x:v>Deepseek-flash-v4/Result/Closure_133/result.json</x:v>
      </x:c>
      <x:c r="O105" s="39" t="str">
        <x:f>IF(AND(G105="RECORDED",ISNUMBER(H105)),H105,"")</x:f>
      </x:c>
      <x:c r="P105" s="35" t="str">
        <x:v>NOT_AVAILABLE</x:v>
      </x:c>
      <x:c r="Q105" s="35" t="str">
        <x:v>Deepseek-flash-v4/Result/Closure_133/result.json</x:v>
      </x:c>
    </x:row>
    <x:row r="106">
      <x:c r="A106" s="35" t="str">
        <x:v>deepseek</x:v>
      </x:c>
      <x:c r="B106" s="35" t="str">
        <x:v>Closure</x:v>
      </x:c>
      <x:c r="C106" s="35" t="str">
        <x:v>Round1</x:v>
      </x:c>
      <x:c r="D106" s="35" t="str">
        <x:v>Closure_134</x:v>
      </x:c>
      <x:c r="E106" s="35" t="str">
        <x:v>Line</x:v>
      </x:c>
      <x:c r="F106" s="35"/>
      <x:c r="G106" s="35" t="str">
        <x:v>A</x:v>
      </x:c>
      <x:c r="H106" s="39" t="str">
        <x:f>IF(ISNUMBER('Data'!E106),'Data'!E106*100,"")</x:f>
      </x:c>
      <x:c r="I106" s="35"/>
      <x:c r="J106" s="35" t="str">
        <x:v>PASS</x:v>
      </x:c>
      <x:c r="K106" s="35" t="str">
        <x:v>FAIL</x:v>
      </x:c>
      <x:c r="L106" s="35" t="str">
        <x:v>NOT_RUN</x:v>
      </x:c>
      <x:c r="M106" s="35" t="str">
        <x:v>coverage unavailable or execution/compile failed</x:v>
      </x:c>
      <x:c r="N106" s="35" t="str">
        <x:v>Deepseek-flash-v4/Result/Closure_134/result.json</x:v>
      </x:c>
      <x:c r="O106" s="39" t="str">
        <x:f>IF(AND(G106="RECORDED",ISNUMBER(H106)),H106,"")</x:f>
      </x:c>
      <x:c r="P106" s="35" t="str">
        <x:v>NOT_AVAILABLE</x:v>
      </x:c>
      <x:c r="Q106" s="35" t="str">
        <x:v>Deepseek-flash-v4/Result/Closure_134/result.json</x:v>
      </x:c>
    </x:row>
    <x:row r="107">
      <x:c r="A107" s="35" t="str">
        <x:v>deepseek</x:v>
      </x:c>
      <x:c r="B107" s="35" t="str">
        <x:v>Closure</x:v>
      </x:c>
      <x:c r="C107" s="35" t="str">
        <x:v>Round1</x:v>
      </x:c>
      <x:c r="D107" s="35" t="str">
        <x:v>Closure_135</x:v>
      </x:c>
      <x:c r="E107" s="35" t="str">
        <x:v>Line</x:v>
      </x:c>
      <x:c r="F107" s="35"/>
      <x:c r="G107" s="35" t="str">
        <x:v>A</x:v>
      </x:c>
      <x:c r="H107" s="39" t="str">
        <x:f>IF(ISNUMBER('Data'!E107),'Data'!E107*100,"")</x:f>
      </x:c>
      <x:c r="I107" s="35"/>
      <x:c r="J107" s="35" t="str">
        <x:v>PASS</x:v>
      </x:c>
      <x:c r="K107" s="35" t="str">
        <x:v>FAIL</x:v>
      </x:c>
      <x:c r="L107" s="35" t="str">
        <x:v>NOT_RUN</x:v>
      </x:c>
      <x:c r="M107" s="35" t="str">
        <x:v>coverage unavailable or execution/compile failed</x:v>
      </x:c>
      <x:c r="N107" s="35" t="str">
        <x:v>Deepseek-flash-v4/Result/Closure_135/result.json</x:v>
      </x:c>
      <x:c r="O107" s="39" t="str">
        <x:f>IF(AND(G107="RECORDED",ISNUMBER(H107)),H107,"")</x:f>
      </x:c>
      <x:c r="P107" s="35" t="str">
        <x:v>NOT_AVAILABLE</x:v>
      </x:c>
      <x:c r="Q107" s="35" t="str">
        <x:v>Deepseek-flash-v4/Result/Closure_135/result.json</x:v>
      </x:c>
    </x:row>
    <x:row r="108">
      <x:c r="A108" s="35" t="str">
        <x:v>deepseek</x:v>
      </x:c>
      <x:c r="B108" s="35" t="str">
        <x:v>Closure</x:v>
      </x:c>
      <x:c r="C108" s="35" t="str">
        <x:v>Round1</x:v>
      </x:c>
      <x:c r="D108" s="35" t="str">
        <x:v>Closure_136</x:v>
      </x:c>
      <x:c r="E108" s="35" t="str">
        <x:v>Line</x:v>
      </x:c>
      <x:c r="F108" s="35"/>
      <x:c r="G108" s="35" t="str">
        <x:v>A</x:v>
      </x:c>
      <x:c r="H108" s="39" t="str">
        <x:f>IF(ISNUMBER('Data'!E108),'Data'!E108*100,"")</x:f>
      </x:c>
      <x:c r="I108" s="35"/>
      <x:c r="J108" s="35" t="str">
        <x:v>PASS</x:v>
      </x:c>
      <x:c r="K108" s="35" t="str">
        <x:v>FAIL</x:v>
      </x:c>
      <x:c r="L108" s="35" t="str">
        <x:v>NOT_RUN</x:v>
      </x:c>
      <x:c r="M108" s="35" t="str">
        <x:v>coverage unavailable or execution/compile failed</x:v>
      </x:c>
      <x:c r="N108" s="35" t="str">
        <x:v>Deepseek-flash-v4/Result/Closure_136/result.json</x:v>
      </x:c>
      <x:c r="O108" s="39" t="str">
        <x:f>IF(AND(G108="RECORDED",ISNUMBER(H108)),H108,"")</x:f>
      </x:c>
      <x:c r="P108" s="35" t="str">
        <x:v>NOT_AVAILABLE</x:v>
      </x:c>
      <x:c r="Q108" s="35" t="str">
        <x:v>Deepseek-flash-v4/Result/Closure_136/result.json</x:v>
      </x:c>
    </x:row>
    <x:row r="109">
      <x:c r="A109" s="35" t="str">
        <x:v>deepseek</x:v>
      </x:c>
      <x:c r="B109" s="35" t="str">
        <x:v>Closure</x:v>
      </x:c>
      <x:c r="C109" s="35" t="str">
        <x:v>Round1</x:v>
      </x:c>
      <x:c r="D109" s="35" t="str">
        <x:v>Closure_137</x:v>
      </x:c>
      <x:c r="E109" s="35" t="str">
        <x:v>Line</x:v>
      </x:c>
      <x:c r="F109" s="35"/>
      <x:c r="G109" s="35" t="str">
        <x:v>A</x:v>
      </x:c>
      <x:c r="H109" s="39" t="str">
        <x:f>IF(ISNUMBER('Data'!E109),'Data'!E109*100,"")</x:f>
      </x:c>
      <x:c r="I109" s="35"/>
      <x:c r="J109" s="35" t="str">
        <x:v>PASS</x:v>
      </x:c>
      <x:c r="K109" s="35" t="str">
        <x:v>FAIL</x:v>
      </x:c>
      <x:c r="L109" s="35" t="str">
        <x:v>NOT_RUN</x:v>
      </x:c>
      <x:c r="M109" s="35" t="str">
        <x:v>coverage unavailable or execution/compile failed</x:v>
      </x:c>
      <x:c r="N109" s="35" t="str">
        <x:v>Deepseek-flash-v4/Result/Closure_137/result.json</x:v>
      </x:c>
      <x:c r="O109" s="39" t="str">
        <x:f>IF(AND(G109="RECORDED",ISNUMBER(H109)),H109,"")</x:f>
      </x:c>
      <x:c r="P109" s="35" t="str">
        <x:v>NOT_AVAILABLE</x:v>
      </x:c>
      <x:c r="Q109" s="35" t="str">
        <x:v>Deepseek-flash-v4/Result/Closure_137/result.json</x:v>
      </x:c>
    </x:row>
    <x:row r="110">
      <x:c r="A110" s="35" t="str">
        <x:v>deepseek</x:v>
      </x:c>
      <x:c r="B110" s="35" t="str">
        <x:v>Closure</x:v>
      </x:c>
      <x:c r="C110" s="35" t="str">
        <x:v>Round1</x:v>
      </x:c>
      <x:c r="D110" s="35" t="str">
        <x:v>Closure_138</x:v>
      </x:c>
      <x:c r="E110" s="35" t="str">
        <x:v>Line</x:v>
      </x:c>
      <x:c r="F110" s="35"/>
      <x:c r="G110" s="35" t="str">
        <x:v>A</x:v>
      </x:c>
      <x:c r="H110" s="39" t="str">
        <x:f>IF(ISNUMBER('Data'!E110),'Data'!E110*100,"")</x:f>
      </x:c>
      <x:c r="I110" s="35"/>
      <x:c r="J110" s="35" t="str">
        <x:v>PASS</x:v>
      </x:c>
      <x:c r="K110" s="35" t="str">
        <x:v>FAIL</x:v>
      </x:c>
      <x:c r="L110" s="35" t="str">
        <x:v>NOT_RUN</x:v>
      </x:c>
      <x:c r="M110" s="35" t="str">
        <x:v>coverage unavailable or execution/compile failed</x:v>
      </x:c>
      <x:c r="N110" s="35" t="str">
        <x:v>Deepseek-flash-v4/Result/Closure_138/result.json</x:v>
      </x:c>
      <x:c r="O110" s="39" t="str">
        <x:f>IF(AND(G110="RECORDED",ISNUMBER(H110)),H110,"")</x:f>
      </x:c>
      <x:c r="P110" s="35" t="str">
        <x:v>NOT_AVAILABLE</x:v>
      </x:c>
      <x:c r="Q110" s="35" t="str">
        <x:v>Deepseek-flash-v4/Result/Closure_138/result.json</x:v>
      </x:c>
    </x:row>
    <x:row r="111">
      <x:c r="A111" s="35" t="str">
        <x:v>deepseek</x:v>
      </x:c>
      <x:c r="B111" s="35" t="str">
        <x:v>Closure</x:v>
      </x:c>
      <x:c r="C111" s="35" t="str">
        <x:v>Round1</x:v>
      </x:c>
      <x:c r="D111" s="35" t="str">
        <x:v>Closure_139</x:v>
      </x:c>
      <x:c r="E111" s="35" t="str">
        <x:v>Line</x:v>
      </x:c>
      <x:c r="F111" s="35"/>
      <x:c r="G111" s="35" t="str">
        <x:v>A</x:v>
      </x:c>
      <x:c r="H111" s="39" t="str">
        <x:f>IF(ISNUMBER('Data'!E111),'Data'!E111*100,"")</x:f>
      </x:c>
      <x:c r="I111" s="35"/>
      <x:c r="J111" s="35" t="str">
        <x:v>PASS</x:v>
      </x:c>
      <x:c r="K111" s="35" t="str">
        <x:v>FAIL</x:v>
      </x:c>
      <x:c r="L111" s="35" t="str">
        <x:v>NOT_RUN</x:v>
      </x:c>
      <x:c r="M111" s="35" t="str">
        <x:v>coverage unavailable or execution/compile failed</x:v>
      </x:c>
      <x:c r="N111" s="35" t="str">
        <x:v>Deepseek-flash-v4/Result/Closure_139/result.json</x:v>
      </x:c>
      <x:c r="O111" s="39" t="str">
        <x:f>IF(AND(G111="RECORDED",ISNUMBER(H111)),H111,"")</x:f>
      </x:c>
      <x:c r="P111" s="35" t="str">
        <x:v>NOT_AVAILABLE</x:v>
      </x:c>
      <x:c r="Q111" s="35" t="str">
        <x:v>Deepseek-flash-v4/Result/Closure_139/result.json</x:v>
      </x:c>
    </x:row>
    <x:row r="112">
      <x:c r="A112" s="35" t="str">
        <x:v>deepseek</x:v>
      </x:c>
      <x:c r="B112" s="35" t="str">
        <x:v>Closure</x:v>
      </x:c>
      <x:c r="C112" s="35" t="str">
        <x:v>Round1</x:v>
      </x:c>
      <x:c r="D112" s="35" t="str">
        <x:v>Closure_14</x:v>
      </x:c>
      <x:c r="E112" s="35" t="str">
        <x:v>Line</x:v>
      </x:c>
      <x:c r="F112" s="35"/>
      <x:c r="G112" s="35" t="str">
        <x:v>A</x:v>
      </x:c>
      <x:c r="H112" s="39" t="str">
        <x:f>IF(ISNUMBER('Data'!E112),'Data'!E112*100,"")</x:f>
      </x:c>
      <x:c r="I112" s="35"/>
      <x:c r="J112" s="35" t="str">
        <x:v>PASS</x:v>
      </x:c>
      <x:c r="K112" s="35" t="str">
        <x:v>FAIL</x:v>
      </x:c>
      <x:c r="L112" s="35" t="str">
        <x:v>NOT_RUN</x:v>
      </x:c>
      <x:c r="M112" s="35" t="str">
        <x:v>coverage unavailable or execution/compile failed</x:v>
      </x:c>
      <x:c r="N112" s="35" t="str">
        <x:v>Deepseek-flash-v4/Result/Closure_14/result.json</x:v>
      </x:c>
      <x:c r="O112" s="39" t="str">
        <x:f>IF(AND(G112="RECORDED",ISNUMBER(H112)),H112,"")</x:f>
      </x:c>
      <x:c r="P112" s="35" t="str">
        <x:v>NOT_AVAILABLE</x:v>
      </x:c>
      <x:c r="Q112" s="35" t="str">
        <x:v>Deepseek-flash-v4/Result/Closure_14/result.json</x:v>
      </x:c>
    </x:row>
    <x:row r="113">
      <x:c r="A113" s="35" t="str">
        <x:v>deepseek</x:v>
      </x:c>
      <x:c r="B113" s="35" t="str">
        <x:v>Closure</x:v>
      </x:c>
      <x:c r="C113" s="35" t="str">
        <x:v>Round1</x:v>
      </x:c>
      <x:c r="D113" s="35" t="str">
        <x:v>Closure_140</x:v>
      </x:c>
      <x:c r="E113" s="35" t="str">
        <x:v>Line</x:v>
      </x:c>
      <x:c r="F113" s="35"/>
      <x:c r="G113" s="35" t="str">
        <x:v>A</x:v>
      </x:c>
      <x:c r="H113" s="39" t="str">
        <x:f>IF(ISNUMBER('Data'!E113),'Data'!E113*100,"")</x:f>
      </x:c>
      <x:c r="I113" s="35"/>
      <x:c r="J113" s="35" t="str">
        <x:v>PASS</x:v>
      </x:c>
      <x:c r="K113" s="35" t="str">
        <x:v>FAIL</x:v>
      </x:c>
      <x:c r="L113" s="35" t="str">
        <x:v>NOT_RUN</x:v>
      </x:c>
      <x:c r="M113" s="35" t="str">
        <x:v>coverage unavailable or execution/compile failed</x:v>
      </x:c>
      <x:c r="N113" s="35" t="str">
        <x:v>Deepseek-flash-v4/Result/Closure_140/result.json</x:v>
      </x:c>
      <x:c r="O113" s="39" t="str">
        <x:f>IF(AND(G113="RECORDED",ISNUMBER(H113)),H113,"")</x:f>
      </x:c>
      <x:c r="P113" s="35" t="str">
        <x:v>NOT_AVAILABLE</x:v>
      </x:c>
      <x:c r="Q113" s="35" t="str">
        <x:v>Deepseek-flash-v4/Result/Closure_140/result.json</x:v>
      </x:c>
    </x:row>
    <x:row r="114">
      <x:c r="A114" s="35" t="str">
        <x:v>deepseek</x:v>
      </x:c>
      <x:c r="B114" s="35" t="str">
        <x:v>Closure</x:v>
      </x:c>
      <x:c r="C114" s="35" t="str">
        <x:v>Round1</x:v>
      </x:c>
      <x:c r="D114" s="35" t="str">
        <x:v>Closure_141</x:v>
      </x:c>
      <x:c r="E114" s="35" t="str">
        <x:v>Line</x:v>
      </x:c>
      <x:c r="F114" s="35"/>
      <x:c r="G114" s="35" t="str">
        <x:v>A</x:v>
      </x:c>
      <x:c r="H114" s="39" t="str">
        <x:f>IF(ISNUMBER('Data'!E114),'Data'!E114*100,"")</x:f>
      </x:c>
      <x:c r="I114" s="35"/>
      <x:c r="J114" s="35" t="str">
        <x:v>PASS</x:v>
      </x:c>
      <x:c r="K114" s="35" t="str">
        <x:v>FAIL</x:v>
      </x:c>
      <x:c r="L114" s="35" t="str">
        <x:v>NOT_RUN</x:v>
      </x:c>
      <x:c r="M114" s="35" t="str">
        <x:v>coverage unavailable or execution/compile failed</x:v>
      </x:c>
      <x:c r="N114" s="35" t="str">
        <x:v>Deepseek-flash-v4/Result/Closure_141/result.json</x:v>
      </x:c>
      <x:c r="O114" s="39" t="str">
        <x:f>IF(AND(G114="RECORDED",ISNUMBER(H114)),H114,"")</x:f>
      </x:c>
      <x:c r="P114" s="35" t="str">
        <x:v>NOT_AVAILABLE</x:v>
      </x:c>
      <x:c r="Q114" s="35" t="str">
        <x:v>Deepseek-flash-v4/Result/Closure_141/result.json</x:v>
      </x:c>
    </x:row>
    <x:row r="115">
      <x:c r="A115" s="35" t="str">
        <x:v>deepseek</x:v>
      </x:c>
      <x:c r="B115" s="35" t="str">
        <x:v>Closure</x:v>
      </x:c>
      <x:c r="C115" s="35" t="str">
        <x:v>Round1</x:v>
      </x:c>
      <x:c r="D115" s="35" t="str">
        <x:v>Closure_142</x:v>
      </x:c>
      <x:c r="E115" s="35" t="str">
        <x:v>Line</x:v>
      </x:c>
      <x:c r="F115" s="35"/>
      <x:c r="G115" s="35" t="str">
        <x:v>A</x:v>
      </x:c>
      <x:c r="H115" s="39" t="str">
        <x:f>IF(ISNUMBER('Data'!E115),'Data'!E115*100,"")</x:f>
      </x:c>
      <x:c r="I115" s="35"/>
      <x:c r="J115" s="35" t="str">
        <x:v>PASS</x:v>
      </x:c>
      <x:c r="K115" s="35" t="str">
        <x:v>FAIL</x:v>
      </x:c>
      <x:c r="L115" s="35" t="str">
        <x:v>NOT_RUN</x:v>
      </x:c>
      <x:c r="M115" s="35" t="str">
        <x:v>coverage unavailable or execution/compile failed</x:v>
      </x:c>
      <x:c r="N115" s="35" t="str">
        <x:v>Deepseek-flash-v4/Result/Closure_142/result.json</x:v>
      </x:c>
      <x:c r="O115" s="39" t="str">
        <x:f>IF(AND(G115="RECORDED",ISNUMBER(H115)),H115,"")</x:f>
      </x:c>
      <x:c r="P115" s="35" t="str">
        <x:v>NOT_AVAILABLE</x:v>
      </x:c>
      <x:c r="Q115" s="35" t="str">
        <x:v>Deepseek-flash-v4/Result/Closure_142/result.json</x:v>
      </x:c>
    </x:row>
    <x:row r="116">
      <x:c r="A116" s="35" t="str">
        <x:v>deepseek</x:v>
      </x:c>
      <x:c r="B116" s="35" t="str">
        <x:v>Closure</x:v>
      </x:c>
      <x:c r="C116" s="35" t="str">
        <x:v>Round1</x:v>
      </x:c>
      <x:c r="D116" s="35" t="str">
        <x:v>Closure_143</x:v>
      </x:c>
      <x:c r="E116" s="35" t="str">
        <x:v>Line</x:v>
      </x:c>
      <x:c r="F116" s="35"/>
      <x:c r="G116" s="35" t="str">
        <x:v>A</x:v>
      </x:c>
      <x:c r="H116" s="39" t="str">
        <x:f>IF(ISNUMBER('Data'!E116),'Data'!E116*100,"")</x:f>
      </x:c>
      <x:c r="I116" s="35"/>
      <x:c r="J116" s="35" t="str">
        <x:v>PASS</x:v>
      </x:c>
      <x:c r="K116" s="35" t="str">
        <x:v>FAIL</x:v>
      </x:c>
      <x:c r="L116" s="35" t="str">
        <x:v>NOT_RUN</x:v>
      </x:c>
      <x:c r="M116" s="35" t="str">
        <x:v>coverage unavailable or execution/compile failed</x:v>
      </x:c>
      <x:c r="N116" s="35" t="str">
        <x:v>Deepseek-flash-v4/Result/Closure_143/result.json</x:v>
      </x:c>
      <x:c r="O116" s="39" t="str">
        <x:f>IF(AND(G116="RECORDED",ISNUMBER(H116)),H116,"")</x:f>
      </x:c>
      <x:c r="P116" s="35" t="str">
        <x:v>NOT_AVAILABLE</x:v>
      </x:c>
      <x:c r="Q116" s="35" t="str">
        <x:v>Deepseek-flash-v4/Result/Closure_143/result.json</x:v>
      </x:c>
    </x:row>
    <x:row r="117">
      <x:c r="A117" s="35" t="str">
        <x:v>deepseek</x:v>
      </x:c>
      <x:c r="B117" s="35" t="str">
        <x:v>Closure</x:v>
      </x:c>
      <x:c r="C117" s="35" t="str">
        <x:v>Round1</x:v>
      </x:c>
      <x:c r="D117" s="35" t="str">
        <x:v>Closure_144</x:v>
      </x:c>
      <x:c r="E117" s="35" t="str">
        <x:v>Line</x:v>
      </x:c>
      <x:c r="F117" s="35"/>
      <x:c r="G117" s="35" t="str">
        <x:v>A</x:v>
      </x:c>
      <x:c r="H117" s="39" t="str">
        <x:f>IF(ISNUMBER('Data'!E117),'Data'!E117*100,"")</x:f>
      </x:c>
      <x:c r="I117" s="35"/>
      <x:c r="J117" s="35" t="str">
        <x:v>PASS</x:v>
      </x:c>
      <x:c r="K117" s="35" t="str">
        <x:v>FAIL</x:v>
      </x:c>
      <x:c r="L117" s="35" t="str">
        <x:v>NOT_RUN</x:v>
      </x:c>
      <x:c r="M117" s="35" t="str">
        <x:v>coverage unavailable or execution/compile failed</x:v>
      </x:c>
      <x:c r="N117" s="35" t="str">
        <x:v>Deepseek-flash-v4/Result/Closure_144/result.json</x:v>
      </x:c>
      <x:c r="O117" s="39" t="str">
        <x:f>IF(AND(G117="RECORDED",ISNUMBER(H117)),H117,"")</x:f>
      </x:c>
      <x:c r="P117" s="35" t="str">
        <x:v>NOT_AVAILABLE</x:v>
      </x:c>
      <x:c r="Q117" s="35" t="str">
        <x:v>Deepseek-flash-v4/Result/Closure_144/result.json</x:v>
      </x:c>
    </x:row>
    <x:row r="118">
      <x:c r="A118" s="35" t="str">
        <x:v>deepseek</x:v>
      </x:c>
      <x:c r="B118" s="35" t="str">
        <x:v>Closure</x:v>
      </x:c>
      <x:c r="C118" s="35" t="str">
        <x:v>Round1</x:v>
      </x:c>
      <x:c r="D118" s="35" t="str">
        <x:v>Closure_145</x:v>
      </x:c>
      <x:c r="E118" s="35" t="str">
        <x:v>Line</x:v>
      </x:c>
      <x:c r="F118" s="35"/>
      <x:c r="G118" s="35" t="str">
        <x:v>A</x:v>
      </x:c>
      <x:c r="H118" s="39" t="str">
        <x:f>IF(ISNUMBER('Data'!E118),'Data'!E118*100,"")</x:f>
      </x:c>
      <x:c r="I118" s="35"/>
      <x:c r="J118" s="35" t="str">
        <x:v>PASS</x:v>
      </x:c>
      <x:c r="K118" s="35" t="str">
        <x:v>FAIL</x:v>
      </x:c>
      <x:c r="L118" s="35" t="str">
        <x:v>NOT_RUN</x:v>
      </x:c>
      <x:c r="M118" s="35" t="str">
        <x:v>coverage unavailable or execution/compile failed</x:v>
      </x:c>
      <x:c r="N118" s="35" t="str">
        <x:v>Deepseek-flash-v4/Result/Closure_145/result.json</x:v>
      </x:c>
      <x:c r="O118" s="39" t="str">
        <x:f>IF(AND(G118="RECORDED",ISNUMBER(H118)),H118,"")</x:f>
      </x:c>
      <x:c r="P118" s="35" t="str">
        <x:v>NOT_AVAILABLE</x:v>
      </x:c>
      <x:c r="Q118" s="35" t="str">
        <x:v>Deepseek-flash-v4/Result/Closure_145/result.json</x:v>
      </x:c>
    </x:row>
    <x:row r="119">
      <x:c r="A119" s="35" t="str">
        <x:v>deepseek</x:v>
      </x:c>
      <x:c r="B119" s="35" t="str">
        <x:v>Closure</x:v>
      </x:c>
      <x:c r="C119" s="35" t="str">
        <x:v>Round1</x:v>
      </x:c>
      <x:c r="D119" s="35" t="str">
        <x:v>Closure_146</x:v>
      </x:c>
      <x:c r="E119" s="35" t="str">
        <x:v>Line</x:v>
      </x:c>
      <x:c r="F119" s="35"/>
      <x:c r="G119" s="35" t="str">
        <x:v>A</x:v>
      </x:c>
      <x:c r="H119" s="39" t="str">
        <x:f>IF(ISNUMBER('Data'!E119),'Data'!E119*100,"")</x:f>
      </x:c>
      <x:c r="I119" s="35"/>
      <x:c r="J119" s="35" t="str">
        <x:v>PASS</x:v>
      </x:c>
      <x:c r="K119" s="35" t="str">
        <x:v>FAIL</x:v>
      </x:c>
      <x:c r="L119" s="35" t="str">
        <x:v>NOT_RUN</x:v>
      </x:c>
      <x:c r="M119" s="35" t="str">
        <x:v>coverage unavailable or execution/compile failed</x:v>
      </x:c>
      <x:c r="N119" s="35" t="str">
        <x:v>Deepseek-flash-v4/Result/Closure_146/result.json</x:v>
      </x:c>
      <x:c r="O119" s="39" t="str">
        <x:f>IF(AND(G119="RECORDED",ISNUMBER(H119)),H119,"")</x:f>
      </x:c>
      <x:c r="P119" s="35" t="str">
        <x:v>NOT_AVAILABLE</x:v>
      </x:c>
      <x:c r="Q119" s="35" t="str">
        <x:v>Deepseek-flash-v4/Result/Closure_146/result.json</x:v>
      </x:c>
    </x:row>
    <x:row r="120">
      <x:c r="A120" s="35" t="str">
        <x:v>deepseek</x:v>
      </x:c>
      <x:c r="B120" s="35" t="str">
        <x:v>Closure</x:v>
      </x:c>
      <x:c r="C120" s="35" t="str">
        <x:v>Round1</x:v>
      </x:c>
      <x:c r="D120" s="35" t="str">
        <x:v>Closure_147</x:v>
      </x:c>
      <x:c r="E120" s="35" t="str">
        <x:v>Line</x:v>
      </x:c>
      <x:c r="F120" s="35"/>
      <x:c r="G120" s="35" t="str">
        <x:v>A</x:v>
      </x:c>
      <x:c r="H120" s="39" t="str">
        <x:f>IF(ISNUMBER('Data'!E120),'Data'!E120*100,"")</x:f>
      </x:c>
      <x:c r="I120" s="35"/>
      <x:c r="J120" s="35" t="str">
        <x:v>PASS</x:v>
      </x:c>
      <x:c r="K120" s="35" t="str">
        <x:v>FAIL</x:v>
      </x:c>
      <x:c r="L120" s="35" t="str">
        <x:v>NOT_RUN</x:v>
      </x:c>
      <x:c r="M120" s="35" t="str">
        <x:v>coverage unavailable or execution/compile failed</x:v>
      </x:c>
      <x:c r="N120" s="35" t="str">
        <x:v>Deepseek-flash-v4/Result/Closure_147/result.json</x:v>
      </x:c>
      <x:c r="O120" s="39" t="str">
        <x:f>IF(AND(G120="RECORDED",ISNUMBER(H120)),H120,"")</x:f>
      </x:c>
      <x:c r="P120" s="35" t="str">
        <x:v>NOT_AVAILABLE</x:v>
      </x:c>
      <x:c r="Q120" s="35" t="str">
        <x:v>Deepseek-flash-v4/Result/Closure_147/result.json</x:v>
      </x:c>
    </x:row>
    <x:row r="121">
      <x:c r="A121" s="35" t="str">
        <x:v>deepseek</x:v>
      </x:c>
      <x:c r="B121" s="35" t="str">
        <x:v>Closure</x:v>
      </x:c>
      <x:c r="C121" s="35" t="str">
        <x:v>Round1</x:v>
      </x:c>
      <x:c r="D121" s="35" t="str">
        <x:v>Closure_148</x:v>
      </x:c>
      <x:c r="E121" s="35" t="str">
        <x:v>Line</x:v>
      </x:c>
      <x:c r="F121" s="35"/>
      <x:c r="G121" s="35" t="str">
        <x:v>A</x:v>
      </x:c>
      <x:c r="H121" s="39" t="str">
        <x:f>IF(ISNUMBER('Data'!E121),'Data'!E121*100,"")</x:f>
      </x:c>
      <x:c r="I121" s="35"/>
      <x:c r="J121" s="35" t="str">
        <x:v>PASS</x:v>
      </x:c>
      <x:c r="K121" s="35" t="str">
        <x:v>FAIL</x:v>
      </x:c>
      <x:c r="L121" s="35" t="str">
        <x:v>NOT_RUN</x:v>
      </x:c>
      <x:c r="M121" s="35" t="str">
        <x:v>coverage unavailable or execution/compile failed</x:v>
      </x:c>
      <x:c r="N121" s="35" t="str">
        <x:v>Deepseek-flash-v4/Result/Closure_148/result.json</x:v>
      </x:c>
      <x:c r="O121" s="39" t="str">
        <x:f>IF(AND(G121="RECORDED",ISNUMBER(H121)),H121,"")</x:f>
      </x:c>
      <x:c r="P121" s="35" t="str">
        <x:v>NOT_AVAILABLE</x:v>
      </x:c>
      <x:c r="Q121" s="35" t="str">
        <x:v>Deepseek-flash-v4/Result/Closure_148/result.json</x:v>
      </x:c>
    </x:row>
    <x:row r="122">
      <x:c r="A122" s="35" t="str">
        <x:v>deepseek</x:v>
      </x:c>
      <x:c r="B122" s="35" t="str">
        <x:v>Closure</x:v>
      </x:c>
      <x:c r="C122" s="35" t="str">
        <x:v>Round1</x:v>
      </x:c>
      <x:c r="D122" s="35" t="str">
        <x:v>Closure_149</x:v>
      </x:c>
      <x:c r="E122" s="35" t="str">
        <x:v>Line</x:v>
      </x:c>
      <x:c r="F122" s="35"/>
      <x:c r="G122" s="35" t="str">
        <x:v>A</x:v>
      </x:c>
      <x:c r="H122" s="39" t="str">
        <x:f>IF(ISNUMBER('Data'!E122),'Data'!E122*100,"")</x:f>
      </x:c>
      <x:c r="I122" s="35"/>
      <x:c r="J122" s="35" t="str">
        <x:v>PASS</x:v>
      </x:c>
      <x:c r="K122" s="35" t="str">
        <x:v>FAIL</x:v>
      </x:c>
      <x:c r="L122" s="35" t="str">
        <x:v>NOT_RUN</x:v>
      </x:c>
      <x:c r="M122" s="35" t="str">
        <x:v>coverage unavailable or execution/compile failed</x:v>
      </x:c>
      <x:c r="N122" s="35" t="str">
        <x:v>Deepseek-flash-v4/Result/Closure_149/result.json</x:v>
      </x:c>
      <x:c r="O122" s="39" t="str">
        <x:f>IF(AND(G122="RECORDED",ISNUMBER(H122)),H122,"")</x:f>
      </x:c>
      <x:c r="P122" s="35" t="str">
        <x:v>NOT_AVAILABLE</x:v>
      </x:c>
      <x:c r="Q122" s="35" t="str">
        <x:v>Deepseek-flash-v4/Result/Closure_149/result.json</x:v>
      </x:c>
    </x:row>
    <x:row r="123">
      <x:c r="A123" s="35" t="str">
        <x:v>deepseek</x:v>
      </x:c>
      <x:c r="B123" s="35" t="str">
        <x:v>Closure</x:v>
      </x:c>
      <x:c r="C123" s="35" t="str">
        <x:v>Round1</x:v>
      </x:c>
      <x:c r="D123" s="35" t="str">
        <x:v>Closure_15</x:v>
      </x:c>
      <x:c r="E123" s="35" t="str">
        <x:v>Line</x:v>
      </x:c>
      <x:c r="F123" s="35"/>
      <x:c r="G123" s="35" t="str">
        <x:v>A</x:v>
      </x:c>
      <x:c r="H123" s="39" t="str">
        <x:f>IF(ISNUMBER('Data'!E123),'Data'!E123*100,"")</x:f>
      </x:c>
      <x:c r="I123" s="35"/>
      <x:c r="J123" s="35" t="str">
        <x:v>PASS</x:v>
      </x:c>
      <x:c r="K123" s="35" t="str">
        <x:v>FAIL</x:v>
      </x:c>
      <x:c r="L123" s="35" t="str">
        <x:v>NOT_RUN</x:v>
      </x:c>
      <x:c r="M123" s="35" t="str">
        <x:v>coverage unavailable or execution/compile failed</x:v>
      </x:c>
      <x:c r="N123" s="35" t="str">
        <x:v>Deepseek-flash-v4/Result/Closure_15/result.json</x:v>
      </x:c>
      <x:c r="O123" s="39" t="str">
        <x:f>IF(AND(G123="RECORDED",ISNUMBER(H123)),H123,"")</x:f>
      </x:c>
      <x:c r="P123" s="35" t="str">
        <x:v>NOT_AVAILABLE</x:v>
      </x:c>
      <x:c r="Q123" s="35" t="str">
        <x:v>Deepseek-flash-v4/Result/Closure_15/result.json</x:v>
      </x:c>
    </x:row>
    <x:row r="124">
      <x:c r="A124" s="35" t="str">
        <x:v>deepseek</x:v>
      </x:c>
      <x:c r="B124" s="35" t="str">
        <x:v>Closure</x:v>
      </x:c>
      <x:c r="C124" s="35" t="str">
        <x:v>Round1</x:v>
      </x:c>
      <x:c r="D124" s="35" t="str">
        <x:v>Closure_150</x:v>
      </x:c>
      <x:c r="E124" s="35" t="str">
        <x:v>Line</x:v>
      </x:c>
      <x:c r="F124" s="35"/>
      <x:c r="G124" s="35" t="str">
        <x:v>A</x:v>
      </x:c>
      <x:c r="H124" s="39" t="str">
        <x:f>IF(ISNUMBER('Data'!E124),'Data'!E124*100,"")</x:f>
      </x:c>
      <x:c r="I124" s="35"/>
      <x:c r="J124" s="35" t="str">
        <x:v>PASS</x:v>
      </x:c>
      <x:c r="K124" s="35" t="str">
        <x:v>FAIL</x:v>
      </x:c>
      <x:c r="L124" s="35" t="str">
        <x:v>NOT_RUN</x:v>
      </x:c>
      <x:c r="M124" s="35" t="str">
        <x:v>coverage unavailable or execution/compile failed</x:v>
      </x:c>
      <x:c r="N124" s="35" t="str">
        <x:v>Deepseek-flash-v4/Result/Closure_150/result.json</x:v>
      </x:c>
      <x:c r="O124" s="39" t="str">
        <x:f>IF(AND(G124="RECORDED",ISNUMBER(H124)),H124,"")</x:f>
      </x:c>
      <x:c r="P124" s="35" t="str">
        <x:v>NOT_AVAILABLE</x:v>
      </x:c>
      <x:c r="Q124" s="35" t="str">
        <x:v>Deepseek-flash-v4/Result/Closure_150/result.json</x:v>
      </x:c>
    </x:row>
    <x:row r="125">
      <x:c r="A125" s="35" t="str">
        <x:v>deepseek</x:v>
      </x:c>
      <x:c r="B125" s="35" t="str">
        <x:v>Closure</x:v>
      </x:c>
      <x:c r="C125" s="35" t="str">
        <x:v>Round1</x:v>
      </x:c>
      <x:c r="D125" s="35" t="str">
        <x:v>Closure_151</x:v>
      </x:c>
      <x:c r="E125" s="35" t="str">
        <x:v>Line</x:v>
      </x:c>
      <x:c r="F125" s="35"/>
      <x:c r="G125" s="35" t="str">
        <x:v>A</x:v>
      </x:c>
      <x:c r="H125" s="39" t="str">
        <x:f>IF(ISNUMBER('Data'!E125),'Data'!E125*100,"")</x:f>
      </x:c>
      <x:c r="I125" s="35"/>
      <x:c r="J125" s="35" t="str">
        <x:v>PASS</x:v>
      </x:c>
      <x:c r="K125" s="35" t="str">
        <x:v>FAIL</x:v>
      </x:c>
      <x:c r="L125" s="35" t="str">
        <x:v>NOT_RUN</x:v>
      </x:c>
      <x:c r="M125" s="35" t="str">
        <x:v>coverage unavailable or execution/compile failed</x:v>
      </x:c>
      <x:c r="N125" s="35" t="str">
        <x:v>Deepseek-flash-v4/Result/Closure_151/result.json</x:v>
      </x:c>
      <x:c r="O125" s="39" t="str">
        <x:f>IF(AND(G125="RECORDED",ISNUMBER(H125)),H125,"")</x:f>
      </x:c>
      <x:c r="P125" s="35" t="str">
        <x:v>NOT_AVAILABLE</x:v>
      </x:c>
      <x:c r="Q125" s="35" t="str">
        <x:v>Deepseek-flash-v4/Result/Closure_151/result.json</x:v>
      </x:c>
    </x:row>
    <x:row r="126">
      <x:c r="A126" s="35" t="str">
        <x:v>deepseek</x:v>
      </x:c>
      <x:c r="B126" s="35" t="str">
        <x:v>Closure</x:v>
      </x:c>
      <x:c r="C126" s="35" t="str">
        <x:v>Round1</x:v>
      </x:c>
      <x:c r="D126" s="35" t="str">
        <x:v>Closure_152</x:v>
      </x:c>
      <x:c r="E126" s="35" t="str">
        <x:v>Line</x:v>
      </x:c>
      <x:c r="F126" s="35"/>
      <x:c r="G126" s="35" t="str">
        <x:v>A</x:v>
      </x:c>
      <x:c r="H126" s="39" t="str">
        <x:f>IF(ISNUMBER('Data'!E126),'Data'!E126*100,"")</x:f>
      </x:c>
      <x:c r="I126" s="35"/>
      <x:c r="J126" s="35" t="str">
        <x:v>PASS</x:v>
      </x:c>
      <x:c r="K126" s="35" t="str">
        <x:v>FAIL</x:v>
      </x:c>
      <x:c r="L126" s="35" t="str">
        <x:v>NOT_RUN</x:v>
      </x:c>
      <x:c r="M126" s="35" t="str">
        <x:v>coverage unavailable or execution/compile failed</x:v>
      </x:c>
      <x:c r="N126" s="35" t="str">
        <x:v>Deepseek-flash-v4/Result/Closure_152/result.json</x:v>
      </x:c>
      <x:c r="O126" s="39" t="str">
        <x:f>IF(AND(G126="RECORDED",ISNUMBER(H126)),H126,"")</x:f>
      </x:c>
      <x:c r="P126" s="35" t="str">
        <x:v>NOT_AVAILABLE</x:v>
      </x:c>
      <x:c r="Q126" s="35" t="str">
        <x:v>Deepseek-flash-v4/Result/Closure_152/result.json</x:v>
      </x:c>
    </x:row>
    <x:row r="127">
      <x:c r="A127" s="35" t="str">
        <x:v>deepseek</x:v>
      </x:c>
      <x:c r="B127" s="35" t="str">
        <x:v>Closure</x:v>
      </x:c>
      <x:c r="C127" s="35" t="str">
        <x:v>Round1</x:v>
      </x:c>
      <x:c r="D127" s="35" t="str">
        <x:v>Closure_153</x:v>
      </x:c>
      <x:c r="E127" s="35" t="str">
        <x:v>Line</x:v>
      </x:c>
      <x:c r="F127" s="35"/>
      <x:c r="G127" s="35" t="str">
        <x:v>A</x:v>
      </x:c>
      <x:c r="H127" s="39" t="str">
        <x:f>IF(ISNUMBER('Data'!E127),'Data'!E127*100,"")</x:f>
      </x:c>
      <x:c r="I127" s="35"/>
      <x:c r="J127" s="35" t="str">
        <x:v>PASS</x:v>
      </x:c>
      <x:c r="K127" s="35" t="str">
        <x:v>FAIL</x:v>
      </x:c>
      <x:c r="L127" s="35" t="str">
        <x:v>NOT_RUN</x:v>
      </x:c>
      <x:c r="M127" s="35" t="str">
        <x:v>coverage unavailable or execution/compile failed</x:v>
      </x:c>
      <x:c r="N127" s="35" t="str">
        <x:v>Deepseek-flash-v4/Result/Closure_153/result.json</x:v>
      </x:c>
      <x:c r="O127" s="39" t="str">
        <x:f>IF(AND(G127="RECORDED",ISNUMBER(H127)),H127,"")</x:f>
      </x:c>
      <x:c r="P127" s="35" t="str">
        <x:v>NOT_AVAILABLE</x:v>
      </x:c>
      <x:c r="Q127" s="35" t="str">
        <x:v>Deepseek-flash-v4/Result/Closure_153/result.json</x:v>
      </x:c>
    </x:row>
    <x:row r="128">
      <x:c r="A128" s="35" t="str">
        <x:v>deepseek</x:v>
      </x:c>
      <x:c r="B128" s="35" t="str">
        <x:v>Closure</x:v>
      </x:c>
      <x:c r="C128" s="35" t="str">
        <x:v>Round1</x:v>
      </x:c>
      <x:c r="D128" s="35" t="str">
        <x:v>Closure_154</x:v>
      </x:c>
      <x:c r="E128" s="35" t="str">
        <x:v>Line</x:v>
      </x:c>
      <x:c r="F128" s="35"/>
      <x:c r="G128" s="35" t="str">
        <x:v>A</x:v>
      </x:c>
      <x:c r="H128" s="39" t="str">
        <x:f>IF(ISNUMBER('Data'!E128),'Data'!E128*100,"")</x:f>
      </x:c>
      <x:c r="I128" s="35"/>
      <x:c r="J128" s="35" t="str">
        <x:v>PASS</x:v>
      </x:c>
      <x:c r="K128" s="35" t="str">
        <x:v>FAIL</x:v>
      </x:c>
      <x:c r="L128" s="35" t="str">
        <x:v>NOT_RUN</x:v>
      </x:c>
      <x:c r="M128" s="35" t="str">
        <x:v>coverage unavailable or execution/compile failed</x:v>
      </x:c>
      <x:c r="N128" s="35" t="str">
        <x:v>Deepseek-flash-v4/Result/Closure_154/result.json</x:v>
      </x:c>
      <x:c r="O128" s="39" t="str">
        <x:f>IF(AND(G128="RECORDED",ISNUMBER(H128)),H128,"")</x:f>
      </x:c>
      <x:c r="P128" s="35" t="str">
        <x:v>NOT_AVAILABLE</x:v>
      </x:c>
      <x:c r="Q128" s="35" t="str">
        <x:v>Deepseek-flash-v4/Result/Closure_154/result.json</x:v>
      </x:c>
    </x:row>
    <x:row r="129">
      <x:c r="A129" s="35" t="str">
        <x:v>deepseek</x:v>
      </x:c>
      <x:c r="B129" s="35" t="str">
        <x:v>Closure</x:v>
      </x:c>
      <x:c r="C129" s="35" t="str">
        <x:v>Round1</x:v>
      </x:c>
      <x:c r="D129" s="35" t="str">
        <x:v>Closure_155</x:v>
      </x:c>
      <x:c r="E129" s="35" t="str">
        <x:v>Line</x:v>
      </x:c>
      <x:c r="F129" s="35"/>
      <x:c r="G129" s="35" t="str">
        <x:v>A</x:v>
      </x:c>
      <x:c r="H129" s="39" t="str">
        <x:f>IF(ISNUMBER('Data'!E129),'Data'!E129*100,"")</x:f>
      </x:c>
      <x:c r="I129" s="35"/>
      <x:c r="J129" s="35" t="str">
        <x:v>PASS</x:v>
      </x:c>
      <x:c r="K129" s="35" t="str">
        <x:v>FAIL</x:v>
      </x:c>
      <x:c r="L129" s="35" t="str">
        <x:v>NOT_RUN</x:v>
      </x:c>
      <x:c r="M129" s="35" t="str">
        <x:v>coverage unavailable or execution/compile failed</x:v>
      </x:c>
      <x:c r="N129" s="35" t="str">
        <x:v>Deepseek-flash-v4/Result/Closure_155/result.json</x:v>
      </x:c>
      <x:c r="O129" s="39" t="str">
        <x:f>IF(AND(G129="RECORDED",ISNUMBER(H129)),H129,"")</x:f>
      </x:c>
      <x:c r="P129" s="35" t="str">
        <x:v>NOT_AVAILABLE</x:v>
      </x:c>
      <x:c r="Q129" s="35" t="str">
        <x:v>Deepseek-flash-v4/Result/Closure_155/result.json</x:v>
      </x:c>
    </x:row>
    <x:row r="130">
      <x:c r="A130" s="35" t="str">
        <x:v>deepseek</x:v>
      </x:c>
      <x:c r="B130" s="35" t="str">
        <x:v>Closure</x:v>
      </x:c>
      <x:c r="C130" s="35" t="str">
        <x:v>Round1</x:v>
      </x:c>
      <x:c r="D130" s="35" t="str">
        <x:v>Closure_156</x:v>
      </x:c>
      <x:c r="E130" s="35" t="str">
        <x:v>Line</x:v>
      </x:c>
      <x:c r="F130" s="35"/>
      <x:c r="G130" s="35" t="str">
        <x:v>A</x:v>
      </x:c>
      <x:c r="H130" s="39" t="str">
        <x:f>IF(ISNUMBER('Data'!E130),'Data'!E130*100,"")</x:f>
      </x:c>
      <x:c r="I130" s="35"/>
      <x:c r="J130" s="35" t="str">
        <x:v>PASS</x:v>
      </x:c>
      <x:c r="K130" s="35" t="str">
        <x:v>FAIL</x:v>
      </x:c>
      <x:c r="L130" s="35" t="str">
        <x:v>NOT_RUN</x:v>
      </x:c>
      <x:c r="M130" s="35" t="str">
        <x:v>coverage unavailable or execution/compile failed</x:v>
      </x:c>
      <x:c r="N130" s="35" t="str">
        <x:v>Deepseek-flash-v4/Result/Closure_156/result.json</x:v>
      </x:c>
      <x:c r="O130" s="39" t="str">
        <x:f>IF(AND(G130="RECORDED",ISNUMBER(H130)),H130,"")</x:f>
      </x:c>
      <x:c r="P130" s="35" t="str">
        <x:v>NOT_AVAILABLE</x:v>
      </x:c>
      <x:c r="Q130" s="35" t="str">
        <x:v>Deepseek-flash-v4/Result/Closure_156/result.json</x:v>
      </x:c>
    </x:row>
    <x:row r="131">
      <x:c r="A131" s="35" t="str">
        <x:v>deepseek</x:v>
      </x:c>
      <x:c r="B131" s="35" t="str">
        <x:v>Closure</x:v>
      </x:c>
      <x:c r="C131" s="35" t="str">
        <x:v>Round1</x:v>
      </x:c>
      <x:c r="D131" s="35" t="str">
        <x:v>Closure_157</x:v>
      </x:c>
      <x:c r="E131" s="35" t="str">
        <x:v>Line</x:v>
      </x:c>
      <x:c r="F131" s="35"/>
      <x:c r="G131" s="35" t="str">
        <x:v>A</x:v>
      </x:c>
      <x:c r="H131" s="39" t="str">
        <x:f>IF(ISNUMBER('Data'!E131),'Data'!E131*100,"")</x:f>
      </x:c>
      <x:c r="I131" s="35"/>
      <x:c r="J131" s="35" t="str">
        <x:v>PASS</x:v>
      </x:c>
      <x:c r="K131" s="35" t="str">
        <x:v>FAIL</x:v>
      </x:c>
      <x:c r="L131" s="35" t="str">
        <x:v>NOT_RUN</x:v>
      </x:c>
      <x:c r="M131" s="35" t="str">
        <x:v>coverage unavailable or execution/compile failed</x:v>
      </x:c>
      <x:c r="N131" s="35" t="str">
        <x:v>Deepseek-flash-v4/Result/Closure_157/result.json</x:v>
      </x:c>
      <x:c r="O131" s="39" t="str">
        <x:f>IF(AND(G131="RECORDED",ISNUMBER(H131)),H131,"")</x:f>
      </x:c>
      <x:c r="P131" s="35" t="str">
        <x:v>NOT_AVAILABLE</x:v>
      </x:c>
      <x:c r="Q131" s="35" t="str">
        <x:v>Deepseek-flash-v4/Result/Closure_157/result.json</x:v>
      </x:c>
    </x:row>
    <x:row r="132">
      <x:c r="A132" s="35" t="str">
        <x:v>deepseek</x:v>
      </x:c>
      <x:c r="B132" s="35" t="str">
        <x:v>Closure</x:v>
      </x:c>
      <x:c r="C132" s="35" t="str">
        <x:v>Round1</x:v>
      </x:c>
      <x:c r="D132" s="35" t="str">
        <x:v>Closure_158</x:v>
      </x:c>
      <x:c r="E132" s="35" t="str">
        <x:v>Line</x:v>
      </x:c>
      <x:c r="F132" s="35"/>
      <x:c r="G132" s="35" t="str">
        <x:v>A</x:v>
      </x:c>
      <x:c r="H132" s="39" t="str">
        <x:f>IF(ISNUMBER('Data'!E132),'Data'!E132*100,"")</x:f>
      </x:c>
      <x:c r="I132" s="35"/>
      <x:c r="J132" s="35" t="str">
        <x:v>PASS</x:v>
      </x:c>
      <x:c r="K132" s="35" t="str">
        <x:v>FAIL</x:v>
      </x:c>
      <x:c r="L132" s="35" t="str">
        <x:v>NOT_RUN</x:v>
      </x:c>
      <x:c r="M132" s="35" t="str">
        <x:v>coverage unavailable or execution/compile failed</x:v>
      </x:c>
      <x:c r="N132" s="35" t="str">
        <x:v>Deepseek-flash-v4/Result/Closure_158/result.json</x:v>
      </x:c>
      <x:c r="O132" s="39" t="str">
        <x:f>IF(AND(G132="RECORDED",ISNUMBER(H132)),H132,"")</x:f>
      </x:c>
      <x:c r="P132" s="35" t="str">
        <x:v>NOT_AVAILABLE</x:v>
      </x:c>
      <x:c r="Q132" s="35" t="str">
        <x:v>Deepseek-flash-v4/Result/Closure_158/result.json</x:v>
      </x:c>
    </x:row>
    <x:row r="133">
      <x:c r="A133" s="35" t="str">
        <x:v>deepseek</x:v>
      </x:c>
      <x:c r="B133" s="35" t="str">
        <x:v>Closure</x:v>
      </x:c>
      <x:c r="C133" s="35" t="str">
        <x:v>Round1</x:v>
      </x:c>
      <x:c r="D133" s="35" t="str">
        <x:v>Closure_159</x:v>
      </x:c>
      <x:c r="E133" s="35" t="str">
        <x:v>Line</x:v>
      </x:c>
      <x:c r="F133" s="35"/>
      <x:c r="G133" s="35" t="str">
        <x:v>A</x:v>
      </x:c>
      <x:c r="H133" s="39" t="str">
        <x:f>IF(ISNUMBER('Data'!E133),'Data'!E133*100,"")</x:f>
      </x:c>
      <x:c r="I133" s="35"/>
      <x:c r="J133" s="35" t="str">
        <x:v>PASS</x:v>
      </x:c>
      <x:c r="K133" s="35" t="str">
        <x:v>FAIL</x:v>
      </x:c>
      <x:c r="L133" s="35" t="str">
        <x:v>NOT_RUN</x:v>
      </x:c>
      <x:c r="M133" s="35" t="str">
        <x:v>coverage unavailable or execution/compile failed</x:v>
      </x:c>
      <x:c r="N133" s="35" t="str">
        <x:v>Deepseek-flash-v4/Result/Closure_159/result.json</x:v>
      </x:c>
      <x:c r="O133" s="39" t="str">
        <x:f>IF(AND(G133="RECORDED",ISNUMBER(H133)),H133,"")</x:f>
      </x:c>
      <x:c r="P133" s="35" t="str">
        <x:v>NOT_AVAILABLE</x:v>
      </x:c>
      <x:c r="Q133" s="35" t="str">
        <x:v>Deepseek-flash-v4/Result/Closure_159/result.json</x:v>
      </x:c>
    </x:row>
    <x:row r="134">
      <x:c r="A134" s="35" t="str">
        <x:v>deepseek</x:v>
      </x:c>
      <x:c r="B134" s="35" t="str">
        <x:v>Closure</x:v>
      </x:c>
      <x:c r="C134" s="35" t="str">
        <x:v>Round1</x:v>
      </x:c>
      <x:c r="D134" s="35" t="str">
        <x:v>Closure_16</x:v>
      </x:c>
      <x:c r="E134" s="35" t="str">
        <x:v>Line</x:v>
      </x:c>
      <x:c r="F134" s="35"/>
      <x:c r="G134" s="35" t="str">
        <x:v>A</x:v>
      </x:c>
      <x:c r="H134" s="39" t="str">
        <x:f>IF(ISNUMBER('Data'!E134),'Data'!E134*100,"")</x:f>
      </x:c>
      <x:c r="I134" s="35"/>
      <x:c r="J134" s="35" t="str">
        <x:v>PASS</x:v>
      </x:c>
      <x:c r="K134" s="35" t="str">
        <x:v>FAIL</x:v>
      </x:c>
      <x:c r="L134" s="35" t="str">
        <x:v>NOT_RUN</x:v>
      </x:c>
      <x:c r="M134" s="35" t="str">
        <x:v>coverage unavailable or execution/compile failed</x:v>
      </x:c>
      <x:c r="N134" s="35" t="str">
        <x:v>Deepseek-flash-v4/Result/Closure_16/result.json</x:v>
      </x:c>
      <x:c r="O134" s="39" t="str">
        <x:f>IF(AND(G134="RECORDED",ISNUMBER(H134)),H134,"")</x:f>
      </x:c>
      <x:c r="P134" s="35" t="str">
        <x:v>NOT_AVAILABLE</x:v>
      </x:c>
      <x:c r="Q134" s="35" t="str">
        <x:v>Deepseek-flash-v4/Result/Closure_16/result.json</x:v>
      </x:c>
    </x:row>
    <x:row r="135">
      <x:c r="A135" s="35" t="str">
        <x:v>deepseek</x:v>
      </x:c>
      <x:c r="B135" s="35" t="str">
        <x:v>Closure</x:v>
      </x:c>
      <x:c r="C135" s="35" t="str">
        <x:v>Round1</x:v>
      </x:c>
      <x:c r="D135" s="35" t="str">
        <x:v>Closure_160</x:v>
      </x:c>
      <x:c r="E135" s="35" t="str">
        <x:v>Line</x:v>
      </x:c>
      <x:c r="F135" s="35"/>
      <x:c r="G135" s="35" t="str">
        <x:v>A</x:v>
      </x:c>
      <x:c r="H135" s="39" t="str">
        <x:f>IF(ISNUMBER('Data'!E135),'Data'!E135*100,"")</x:f>
      </x:c>
      <x:c r="I135" s="35"/>
      <x:c r="J135" s="35" t="str">
        <x:v>PASS</x:v>
      </x:c>
      <x:c r="K135" s="35" t="str">
        <x:v>FAIL</x:v>
      </x:c>
      <x:c r="L135" s="35" t="str">
        <x:v>NOT_RUN</x:v>
      </x:c>
      <x:c r="M135" s="35" t="str">
        <x:v>coverage unavailable or execution/compile failed</x:v>
      </x:c>
      <x:c r="N135" s="35" t="str">
        <x:v>Deepseek-flash-v4/Result/Closure_160/result.json</x:v>
      </x:c>
      <x:c r="O135" s="39" t="str">
        <x:f>IF(AND(G135="RECORDED",ISNUMBER(H135)),H135,"")</x:f>
      </x:c>
      <x:c r="P135" s="35" t="str">
        <x:v>NOT_AVAILABLE</x:v>
      </x:c>
      <x:c r="Q135" s="35" t="str">
        <x:v>Deepseek-flash-v4/Result/Closure_160/result.json</x:v>
      </x:c>
    </x:row>
    <x:row r="136">
      <x:c r="A136" s="35" t="str">
        <x:v>deepseek</x:v>
      </x:c>
      <x:c r="B136" s="35" t="str">
        <x:v>Closure</x:v>
      </x:c>
      <x:c r="C136" s="35" t="str">
        <x:v>Round1</x:v>
      </x:c>
      <x:c r="D136" s="35" t="str">
        <x:v>Closure_161</x:v>
      </x:c>
      <x:c r="E136" s="35" t="str">
        <x:v>Line</x:v>
      </x:c>
      <x:c r="F136" s="35" t="n">
        <x:v>636</x:v>
      </x:c>
      <x:c r="G136" s="35" t="str">
        <x:v>RECORDED</x:v>
      </x:c>
      <x:c r="H136" s="39" t="n">
        <x:f>IF(ISNUMBER('Data'!E136),'Data'!E136*100,"")</x:f>
        <x:v>37.42</x:v>
      </x:c>
      <x:c r="I136" s="35" t="str">
        <x:v>PASS</x:v>
      </x:c>
      <x:c r="J136" s="35" t="str">
        <x:v>PASS</x:v>
      </x:c>
      <x:c r="K136" s="35" t="str">
        <x:v>PASS</x:v>
      </x:c>
      <x:c r="L136" s="35" t="str">
        <x:v>FAIL</x:v>
      </x:c>
      <x:c r="M136" s="35" t="str">
        <x:v>numeric coverage for applicable metric</x:v>
      </x:c>
      <x:c r="N136" s="35" t="str">
        <x:v>Deepseek-flash-v4/Result/Closure_161/result.json</x:v>
      </x:c>
      <x:c r="O136" s="39" t="n">
        <x:f>IF(AND(G136="RECORDED",ISNUMBER(H136)),H136,"")</x:f>
        <x:v>37.42</x:v>
      </x:c>
      <x:c r="P136" s="35" t="str">
        <x:v>INCONCLUSIVE</x:v>
      </x:c>
      <x:c r="Q136" s="35" t="str">
        <x:v>Deepseek-flash-v4/Result/Closure_161/result.json</x:v>
      </x:c>
    </x:row>
    <x:row r="137">
      <x:c r="A137" s="35" t="str">
        <x:v>deepseek</x:v>
      </x:c>
      <x:c r="B137" s="35" t="str">
        <x:v>Closure</x:v>
      </x:c>
      <x:c r="C137" s="35" t="str">
        <x:v>Round1</x:v>
      </x:c>
      <x:c r="D137" s="35" t="str">
        <x:v>Closure_162</x:v>
      </x:c>
      <x:c r="E137" s="35" t="str">
        <x:v>Line</x:v>
      </x:c>
      <x:c r="F137" s="35"/>
      <x:c r="G137" s="35" t="str">
        <x:v>A</x:v>
      </x:c>
      <x:c r="H137" s="39" t="str">
        <x:f>IF(ISNUMBER('Data'!E137),'Data'!E137*100,"")</x:f>
      </x:c>
      <x:c r="I137" s="35"/>
      <x:c r="J137" s="35" t="str">
        <x:v>PASS</x:v>
      </x:c>
      <x:c r="K137" s="35" t="str">
        <x:v>FAIL</x:v>
      </x:c>
      <x:c r="L137" s="35" t="str">
        <x:v>NOT_RUN</x:v>
      </x:c>
      <x:c r="M137" s="35" t="str">
        <x:v>coverage unavailable or execution/compile failed</x:v>
      </x:c>
      <x:c r="N137" s="35" t="str">
        <x:v>Deepseek-flash-v4/Result/Closure_162/result.json</x:v>
      </x:c>
      <x:c r="O137" s="39" t="str">
        <x:f>IF(AND(G137="RECORDED",ISNUMBER(H137)),H137,"")</x:f>
      </x:c>
      <x:c r="P137" s="35" t="str">
        <x:v>NOT_AVAILABLE</x:v>
      </x:c>
      <x:c r="Q137" s="35" t="str">
        <x:v>Deepseek-flash-v4/Result/Closure_162/result.json</x:v>
      </x:c>
    </x:row>
    <x:row r="138">
      <x:c r="A138" s="35" t="str">
        <x:v>deepseek</x:v>
      </x:c>
      <x:c r="B138" s="35" t="str">
        <x:v>Closure</x:v>
      </x:c>
      <x:c r="C138" s="35" t="str">
        <x:v>Round1</x:v>
      </x:c>
      <x:c r="D138" s="35" t="str">
        <x:v>Closure_163</x:v>
      </x:c>
      <x:c r="E138" s="35" t="str">
        <x:v>Line</x:v>
      </x:c>
      <x:c r="F138" s="35"/>
      <x:c r="G138" s="35" t="str">
        <x:v>A</x:v>
      </x:c>
      <x:c r="H138" s="39" t="str">
        <x:f>IF(ISNUMBER('Data'!E138),'Data'!E138*100,"")</x:f>
      </x:c>
      <x:c r="I138" s="35"/>
      <x:c r="J138" s="35" t="str">
        <x:v>PASS</x:v>
      </x:c>
      <x:c r="K138" s="35" t="str">
        <x:v>FAIL</x:v>
      </x:c>
      <x:c r="L138" s="35" t="str">
        <x:v>NOT_RUN</x:v>
      </x:c>
      <x:c r="M138" s="35" t="str">
        <x:v>coverage unavailable or execution/compile failed</x:v>
      </x:c>
      <x:c r="N138" s="35" t="str">
        <x:v>Deepseek-flash-v4/Result/Closure_163/result.json</x:v>
      </x:c>
      <x:c r="O138" s="39" t="str">
        <x:f>IF(AND(G138="RECORDED",ISNUMBER(H138)),H138,"")</x:f>
      </x:c>
      <x:c r="P138" s="35" t="str">
        <x:v>NOT_AVAILABLE</x:v>
      </x:c>
      <x:c r="Q138" s="35" t="str">
        <x:v>Deepseek-flash-v4/Result/Closure_163/result.json</x:v>
      </x:c>
    </x:row>
    <x:row r="139">
      <x:c r="A139" s="35" t="str">
        <x:v>deepseek</x:v>
      </x:c>
      <x:c r="B139" s="35" t="str">
        <x:v>Closure</x:v>
      </x:c>
      <x:c r="C139" s="35" t="str">
        <x:v>Round1</x:v>
      </x:c>
      <x:c r="D139" s="35" t="str">
        <x:v>Closure_164</x:v>
      </x:c>
      <x:c r="E139" s="35" t="str">
        <x:v>Line</x:v>
      </x:c>
      <x:c r="F139" s="35"/>
      <x:c r="G139" s="35" t="str">
        <x:v>A</x:v>
      </x:c>
      <x:c r="H139" s="39" t="str">
        <x:f>IF(ISNUMBER('Data'!E139),'Data'!E139*100,"")</x:f>
      </x:c>
      <x:c r="I139" s="35"/>
      <x:c r="J139" s="35" t="str">
        <x:v>PASS</x:v>
      </x:c>
      <x:c r="K139" s="35" t="str">
        <x:v>FAIL</x:v>
      </x:c>
      <x:c r="L139" s="35" t="str">
        <x:v>NOT_RUN</x:v>
      </x:c>
      <x:c r="M139" s="35" t="str">
        <x:v>coverage unavailable or execution/compile failed</x:v>
      </x:c>
      <x:c r="N139" s="35" t="str">
        <x:v>Deepseek-flash-v4/Result/Closure_164/result.json</x:v>
      </x:c>
      <x:c r="O139" s="39" t="str">
        <x:f>IF(AND(G139="RECORDED",ISNUMBER(H139)),H139,"")</x:f>
      </x:c>
      <x:c r="P139" s="35" t="str">
        <x:v>NOT_AVAILABLE</x:v>
      </x:c>
      <x:c r="Q139" s="35" t="str">
        <x:v>Deepseek-flash-v4/Result/Closure_164/result.json</x:v>
      </x:c>
    </x:row>
    <x:row r="140">
      <x:c r="A140" s="35" t="str">
        <x:v>deepseek</x:v>
      </x:c>
      <x:c r="B140" s="35" t="str">
        <x:v>Closure</x:v>
      </x:c>
      <x:c r="C140" s="35" t="str">
        <x:v>Round1</x:v>
      </x:c>
      <x:c r="D140" s="35" t="str">
        <x:v>Closure_165</x:v>
      </x:c>
      <x:c r="E140" s="35" t="str">
        <x:v>Line</x:v>
      </x:c>
      <x:c r="F140" s="35"/>
      <x:c r="G140" s="35" t="str">
        <x:v>A</x:v>
      </x:c>
      <x:c r="H140" s="39" t="str">
        <x:f>IF(ISNUMBER('Data'!E140),'Data'!E140*100,"")</x:f>
      </x:c>
      <x:c r="I140" s="35"/>
      <x:c r="J140" s="35" t="str">
        <x:v>PASS</x:v>
      </x:c>
      <x:c r="K140" s="35" t="str">
        <x:v>FAIL</x:v>
      </x:c>
      <x:c r="L140" s="35" t="str">
        <x:v>NOT_RUN</x:v>
      </x:c>
      <x:c r="M140" s="35" t="str">
        <x:v>coverage unavailable or execution/compile failed</x:v>
      </x:c>
      <x:c r="N140" s="35" t="str">
        <x:v>Deepseek-flash-v4/Result/Closure_165/result.json</x:v>
      </x:c>
      <x:c r="O140" s="39" t="str">
        <x:f>IF(AND(G140="RECORDED",ISNUMBER(H140)),H140,"")</x:f>
      </x:c>
      <x:c r="P140" s="35" t="str">
        <x:v>NOT_AVAILABLE</x:v>
      </x:c>
      <x:c r="Q140" s="35" t="str">
        <x:v>Deepseek-flash-v4/Result/Closure_165/result.json</x:v>
      </x:c>
    </x:row>
    <x:row r="141">
      <x:c r="A141" s="35" t="str">
        <x:v>deepseek</x:v>
      </x:c>
      <x:c r="B141" s="35" t="str">
        <x:v>Closure</x:v>
      </x:c>
      <x:c r="C141" s="35" t="str">
        <x:v>Round1</x:v>
      </x:c>
      <x:c r="D141" s="35" t="str">
        <x:v>Closure_166</x:v>
      </x:c>
      <x:c r="E141" s="35" t="str">
        <x:v>Line</x:v>
      </x:c>
      <x:c r="F141" s="35"/>
      <x:c r="G141" s="35" t="str">
        <x:v>A</x:v>
      </x:c>
      <x:c r="H141" s="39" t="str">
        <x:f>IF(ISNUMBER('Data'!E141),'Data'!E141*100,"")</x:f>
      </x:c>
      <x:c r="I141" s="35"/>
      <x:c r="J141" s="35" t="str">
        <x:v>PASS</x:v>
      </x:c>
      <x:c r="K141" s="35" t="str">
        <x:v>FAIL</x:v>
      </x:c>
      <x:c r="L141" s="35" t="str">
        <x:v>NOT_RUN</x:v>
      </x:c>
      <x:c r="M141" s="35" t="str">
        <x:v>coverage unavailable or execution/compile failed</x:v>
      </x:c>
      <x:c r="N141" s="35" t="str">
        <x:v>Deepseek-flash-v4/Result/Closure_166/result.json</x:v>
      </x:c>
      <x:c r="O141" s="39" t="str">
        <x:f>IF(AND(G141="RECORDED",ISNUMBER(H141)),H141,"")</x:f>
      </x:c>
      <x:c r="P141" s="35" t="str">
        <x:v>NOT_AVAILABLE</x:v>
      </x:c>
      <x:c r="Q141" s="35" t="str">
        <x:v>Deepseek-flash-v4/Result/Closure_166/result.json</x:v>
      </x:c>
    </x:row>
    <x:row r="142">
      <x:c r="A142" s="35" t="str">
        <x:v>deepseek</x:v>
      </x:c>
      <x:c r="B142" s="35" t="str">
        <x:v>Closure</x:v>
      </x:c>
      <x:c r="C142" s="35" t="str">
        <x:v>Round1</x:v>
      </x:c>
      <x:c r="D142" s="35" t="str">
        <x:v>Closure_167</x:v>
      </x:c>
      <x:c r="E142" s="35" t="str">
        <x:v>Line</x:v>
      </x:c>
      <x:c r="F142" s="35"/>
      <x:c r="G142" s="35" t="str">
        <x:v>A</x:v>
      </x:c>
      <x:c r="H142" s="39" t="str">
        <x:f>IF(ISNUMBER('Data'!E142),'Data'!E142*100,"")</x:f>
      </x:c>
      <x:c r="I142" s="35"/>
      <x:c r="J142" s="35" t="str">
        <x:v>PASS</x:v>
      </x:c>
      <x:c r="K142" s="35" t="str">
        <x:v>FAIL</x:v>
      </x:c>
      <x:c r="L142" s="35" t="str">
        <x:v>NOT_RUN</x:v>
      </x:c>
      <x:c r="M142" s="35" t="str">
        <x:v>coverage unavailable or execution/compile failed</x:v>
      </x:c>
      <x:c r="N142" s="35" t="str">
        <x:v>Deepseek-flash-v4/Result/Closure_167/result.json</x:v>
      </x:c>
      <x:c r="O142" s="39" t="str">
        <x:f>IF(AND(G142="RECORDED",ISNUMBER(H142)),H142,"")</x:f>
      </x:c>
      <x:c r="P142" s="35" t="str">
        <x:v>NOT_AVAILABLE</x:v>
      </x:c>
      <x:c r="Q142" s="35" t="str">
        <x:v>Deepseek-flash-v4/Result/Closure_167/result.json</x:v>
      </x:c>
    </x:row>
    <x:row r="143">
      <x:c r="A143" s="35" t="str">
        <x:v>deepseek</x:v>
      </x:c>
      <x:c r="B143" s="35" t="str">
        <x:v>Closure</x:v>
      </x:c>
      <x:c r="C143" s="35" t="str">
        <x:v>Round1</x:v>
      </x:c>
      <x:c r="D143" s="35" t="str">
        <x:v>Closure_168</x:v>
      </x:c>
      <x:c r="E143" s="35" t="str">
        <x:v>Line</x:v>
      </x:c>
      <x:c r="F143" s="35"/>
      <x:c r="G143" s="35" t="str">
        <x:v>A</x:v>
      </x:c>
      <x:c r="H143" s="39" t="str">
        <x:f>IF(ISNUMBER('Data'!E143),'Data'!E143*100,"")</x:f>
      </x:c>
      <x:c r="I143" s="35"/>
      <x:c r="J143" s="35" t="str">
        <x:v>PASS</x:v>
      </x:c>
      <x:c r="K143" s="35" t="str">
        <x:v>FAIL</x:v>
      </x:c>
      <x:c r="L143" s="35" t="str">
        <x:v>NOT_RUN</x:v>
      </x:c>
      <x:c r="M143" s="35" t="str">
        <x:v>coverage unavailable or execution/compile failed</x:v>
      </x:c>
      <x:c r="N143" s="35" t="str">
        <x:v>Deepseek-flash-v4/Result/Closure_168/result.json</x:v>
      </x:c>
      <x:c r="O143" s="39" t="str">
        <x:f>IF(AND(G143="RECORDED",ISNUMBER(H143)),H143,"")</x:f>
      </x:c>
      <x:c r="P143" s="35" t="str">
        <x:v>NOT_AVAILABLE</x:v>
      </x:c>
      <x:c r="Q143" s="35" t="str">
        <x:v>Deepseek-flash-v4/Result/Closure_168/result.json</x:v>
      </x:c>
    </x:row>
    <x:row r="144">
      <x:c r="A144" s="35" t="str">
        <x:v>deepseek</x:v>
      </x:c>
      <x:c r="B144" s="35" t="str">
        <x:v>Closure</x:v>
      </x:c>
      <x:c r="C144" s="35" t="str">
        <x:v>Round1</x:v>
      </x:c>
      <x:c r="D144" s="35" t="str">
        <x:v>Closure_169</x:v>
      </x:c>
      <x:c r="E144" s="35" t="str">
        <x:v>Line</x:v>
      </x:c>
      <x:c r="F144" s="35"/>
      <x:c r="G144" s="35" t="str">
        <x:v>A</x:v>
      </x:c>
      <x:c r="H144" s="39" t="str">
        <x:f>IF(ISNUMBER('Data'!E144),'Data'!E144*100,"")</x:f>
      </x:c>
      <x:c r="I144" s="35"/>
      <x:c r="J144" s="35" t="str">
        <x:v>PASS</x:v>
      </x:c>
      <x:c r="K144" s="35" t="str">
        <x:v>FAIL</x:v>
      </x:c>
      <x:c r="L144" s="35" t="str">
        <x:v>NOT_RUN</x:v>
      </x:c>
      <x:c r="M144" s="35" t="str">
        <x:v>coverage unavailable or execution/compile failed</x:v>
      </x:c>
      <x:c r="N144" s="35" t="str">
        <x:v>Deepseek-flash-v4/Result/Closure_169/result.json</x:v>
      </x:c>
      <x:c r="O144" s="39" t="str">
        <x:f>IF(AND(G144="RECORDED",ISNUMBER(H144)),H144,"")</x:f>
      </x:c>
      <x:c r="P144" s="35" t="str">
        <x:v>NOT_AVAILABLE</x:v>
      </x:c>
      <x:c r="Q144" s="35" t="str">
        <x:v>Deepseek-flash-v4/Result/Closure_169/result.json</x:v>
      </x:c>
    </x:row>
    <x:row r="145">
      <x:c r="A145" s="35" t="str">
        <x:v>deepseek</x:v>
      </x:c>
      <x:c r="B145" s="35" t="str">
        <x:v>Closure</x:v>
      </x:c>
      <x:c r="C145" s="35" t="str">
        <x:v>Round1</x:v>
      </x:c>
      <x:c r="D145" s="35" t="str">
        <x:v>Closure_17</x:v>
      </x:c>
      <x:c r="E145" s="35" t="str">
        <x:v>Line</x:v>
      </x:c>
      <x:c r="F145" s="35"/>
      <x:c r="G145" s="35" t="str">
        <x:v>A</x:v>
      </x:c>
      <x:c r="H145" s="39" t="str">
        <x:f>IF(ISNUMBER('Data'!E145),'Data'!E145*100,"")</x:f>
      </x:c>
      <x:c r="I145" s="35"/>
      <x:c r="J145" s="35" t="str">
        <x:v>PASS</x:v>
      </x:c>
      <x:c r="K145" s="35" t="str">
        <x:v>FAIL</x:v>
      </x:c>
      <x:c r="L145" s="35" t="str">
        <x:v>NOT_RUN</x:v>
      </x:c>
      <x:c r="M145" s="35" t="str">
        <x:v>coverage unavailable or execution/compile failed</x:v>
      </x:c>
      <x:c r="N145" s="35" t="str">
        <x:v>Deepseek-flash-v4/Result/Closure_17/result.json</x:v>
      </x:c>
      <x:c r="O145" s="39" t="str">
        <x:f>IF(AND(G145="RECORDED",ISNUMBER(H145)),H145,"")</x:f>
      </x:c>
      <x:c r="P145" s="35" t="str">
        <x:v>NOT_AVAILABLE</x:v>
      </x:c>
      <x:c r="Q145" s="35" t="str">
        <x:v>Deepseek-flash-v4/Result/Closure_17/result.json</x:v>
      </x:c>
    </x:row>
    <x:row r="146">
      <x:c r="A146" s="35" t="str">
        <x:v>deepseek</x:v>
      </x:c>
      <x:c r="B146" s="35" t="str">
        <x:v>Closure</x:v>
      </x:c>
      <x:c r="C146" s="35" t="str">
        <x:v>Round1</x:v>
      </x:c>
      <x:c r="D146" s="35" t="str">
        <x:v>Closure_170</x:v>
      </x:c>
      <x:c r="E146" s="35" t="str">
        <x:v>Line</x:v>
      </x:c>
      <x:c r="F146" s="35"/>
      <x:c r="G146" s="35" t="str">
        <x:v>A</x:v>
      </x:c>
      <x:c r="H146" s="39" t="str">
        <x:f>IF(ISNUMBER('Data'!E146),'Data'!E146*100,"")</x:f>
      </x:c>
      <x:c r="I146" s="35"/>
      <x:c r="J146" s="35" t="str">
        <x:v>PASS</x:v>
      </x:c>
      <x:c r="K146" s="35" t="str">
        <x:v>FAIL</x:v>
      </x:c>
      <x:c r="L146" s="35" t="str">
        <x:v>NOT_RUN</x:v>
      </x:c>
      <x:c r="M146" s="35" t="str">
        <x:v>coverage unavailable or execution/compile failed</x:v>
      </x:c>
      <x:c r="N146" s="35" t="str">
        <x:v>Deepseek-flash-v4/Result/Closure_170/result.json</x:v>
      </x:c>
      <x:c r="O146" s="39" t="str">
        <x:f>IF(AND(G146="RECORDED",ISNUMBER(H146)),H146,"")</x:f>
      </x:c>
      <x:c r="P146" s="35" t="str">
        <x:v>NOT_AVAILABLE</x:v>
      </x:c>
      <x:c r="Q146" s="35" t="str">
        <x:v>Deepseek-flash-v4/Result/Closure_170/result.json</x:v>
      </x:c>
    </x:row>
    <x:row r="147">
      <x:c r="A147" s="35" t="str">
        <x:v>deepseek</x:v>
      </x:c>
      <x:c r="B147" s="35" t="str">
        <x:v>Closure</x:v>
      </x:c>
      <x:c r="C147" s="35" t="str">
        <x:v>Round1</x:v>
      </x:c>
      <x:c r="D147" s="35" t="str">
        <x:v>Closure_171</x:v>
      </x:c>
      <x:c r="E147" s="35" t="str">
        <x:v>Line</x:v>
      </x:c>
      <x:c r="F147" s="35"/>
      <x:c r="G147" s="35" t="str">
        <x:v>A</x:v>
      </x:c>
      <x:c r="H147" s="39" t="str">
        <x:f>IF(ISNUMBER('Data'!E147),'Data'!E147*100,"")</x:f>
      </x:c>
      <x:c r="I147" s="35"/>
      <x:c r="J147" s="35" t="str">
        <x:v>PASS</x:v>
      </x:c>
      <x:c r="K147" s="35" t="str">
        <x:v>FAIL</x:v>
      </x:c>
      <x:c r="L147" s="35" t="str">
        <x:v>NOT_RUN</x:v>
      </x:c>
      <x:c r="M147" s="35" t="str">
        <x:v>coverage unavailable or execution/compile failed</x:v>
      </x:c>
      <x:c r="N147" s="35" t="str">
        <x:v>Deepseek-flash-v4/Result/Closure_171/result.json</x:v>
      </x:c>
      <x:c r="O147" s="39" t="str">
        <x:f>IF(AND(G147="RECORDED",ISNUMBER(H147)),H147,"")</x:f>
      </x:c>
      <x:c r="P147" s="35" t="str">
        <x:v>NOT_AVAILABLE</x:v>
      </x:c>
      <x:c r="Q147" s="35" t="str">
        <x:v>Deepseek-flash-v4/Result/Closure_171/result.json</x:v>
      </x:c>
    </x:row>
    <x:row r="148">
      <x:c r="A148" s="35" t="str">
        <x:v>deepseek</x:v>
      </x:c>
      <x:c r="B148" s="35" t="str">
        <x:v>Closure</x:v>
      </x:c>
      <x:c r="C148" s="35" t="str">
        <x:v>Round1</x:v>
      </x:c>
      <x:c r="D148" s="35" t="str">
        <x:v>Closure_172</x:v>
      </x:c>
      <x:c r="E148" s="35" t="str">
        <x:v>Line</x:v>
      </x:c>
      <x:c r="F148" s="35" t="n">
        <x:v>947</x:v>
      </x:c>
      <x:c r="G148" s="35" t="str">
        <x:v>RECORDED</x:v>
      </x:c>
      <x:c r="H148" s="39" t="n">
        <x:f>IF(ISNUMBER('Data'!E148),'Data'!E148*100,"")</x:f>
        <x:v>0</x:v>
      </x:c>
      <x:c r="I148" s="35" t="str">
        <x:v>PASS</x:v>
      </x:c>
      <x:c r="J148" s="35" t="str">
        <x:v>PASS</x:v>
      </x:c>
      <x:c r="K148" s="35" t="str">
        <x:v>PASS</x:v>
      </x:c>
      <x:c r="L148" s="35" t="str">
        <x:v>FAIL</x:v>
      </x:c>
      <x:c r="M148" s="35" t="str">
        <x:v>numeric coverage for applicable metric</x:v>
      </x:c>
      <x:c r="N148" s="35" t="str">
        <x:v>Deepseek-flash-v4/Result/Closure_172/result.json</x:v>
      </x:c>
      <x:c r="O148" s="39" t="n">
        <x:f>IF(AND(G148="RECORDED",ISNUMBER(H148)),H148,"")</x:f>
        <x:v>0</x:v>
      </x:c>
      <x:c r="P148" s="35" t="str">
        <x:v>INCONCLUSIVE</x:v>
      </x:c>
      <x:c r="Q148" s="35" t="str">
        <x:v>Deepseek-flash-v4/Result/Closure_172/result.json</x:v>
      </x:c>
    </x:row>
    <x:row r="149">
      <x:c r="A149" s="35" t="str">
        <x:v>deepseek</x:v>
      </x:c>
      <x:c r="B149" s="35" t="str">
        <x:v>Closure</x:v>
      </x:c>
      <x:c r="C149" s="35" t="str">
        <x:v>Round1</x:v>
      </x:c>
      <x:c r="D149" s="35" t="str">
        <x:v>Closure_173</x:v>
      </x:c>
      <x:c r="E149" s="35" t="str">
        <x:v>Line</x:v>
      </x:c>
      <x:c r="F149" s="35"/>
      <x:c r="G149" s="35" t="str">
        <x:v>A</x:v>
      </x:c>
      <x:c r="H149" s="39" t="str">
        <x:f>IF(ISNUMBER('Data'!E149),'Data'!E149*100,"")</x:f>
      </x:c>
      <x:c r="I149" s="35"/>
      <x:c r="J149" s="35" t="str">
        <x:v>PASS</x:v>
      </x:c>
      <x:c r="K149" s="35" t="str">
        <x:v>FAIL</x:v>
      </x:c>
      <x:c r="L149" s="35" t="str">
        <x:v>NOT_RUN</x:v>
      </x:c>
      <x:c r="M149" s="35" t="str">
        <x:v>coverage unavailable or execution/compile failed</x:v>
      </x:c>
      <x:c r="N149" s="35" t="str">
        <x:v>Deepseek-flash-v4/Result/Closure_173/result.json</x:v>
      </x:c>
      <x:c r="O149" s="39" t="str">
        <x:f>IF(AND(G149="RECORDED",ISNUMBER(H149)),H149,"")</x:f>
      </x:c>
      <x:c r="P149" s="35" t="str">
        <x:v>NOT_AVAILABLE</x:v>
      </x:c>
      <x:c r="Q149" s="35" t="str">
        <x:v>Deepseek-flash-v4/Result/Closure_173/result.json</x:v>
      </x:c>
    </x:row>
    <x:row r="150">
      <x:c r="A150" s="35" t="str">
        <x:v>deepseek</x:v>
      </x:c>
      <x:c r="B150" s="35" t="str">
        <x:v>Closure</x:v>
      </x:c>
      <x:c r="C150" s="35" t="str">
        <x:v>Round1</x:v>
      </x:c>
      <x:c r="D150" s="35" t="str">
        <x:v>Closure_174</x:v>
      </x:c>
      <x:c r="E150" s="35" t="str">
        <x:v>Line</x:v>
      </x:c>
      <x:c r="F150" s="35"/>
      <x:c r="G150" s="35" t="str">
        <x:v>A</x:v>
      </x:c>
      <x:c r="H150" s="39" t="str">
        <x:f>IF(ISNUMBER('Data'!E150),'Data'!E150*100,"")</x:f>
      </x:c>
      <x:c r="I150" s="35"/>
      <x:c r="J150" s="35" t="str">
        <x:v>PASS</x:v>
      </x:c>
      <x:c r="K150" s="35" t="str">
        <x:v>FAIL</x:v>
      </x:c>
      <x:c r="L150" s="35" t="str">
        <x:v>NOT_RUN</x:v>
      </x:c>
      <x:c r="M150" s="35" t="str">
        <x:v>coverage unavailable or execution/compile failed</x:v>
      </x:c>
      <x:c r="N150" s="35" t="str">
        <x:v>Deepseek-flash-v4/Result/Closure_174/result.json</x:v>
      </x:c>
      <x:c r="O150" s="39" t="str">
        <x:f>IF(AND(G150="RECORDED",ISNUMBER(H150)),H150,"")</x:f>
      </x:c>
      <x:c r="P150" s="35" t="str">
        <x:v>NOT_AVAILABLE</x:v>
      </x:c>
      <x:c r="Q150" s="35" t="str">
        <x:v>Deepseek-flash-v4/Result/Closure_174/result.json</x:v>
      </x:c>
    </x:row>
    <x:row r="151">
      <x:c r="A151" s="35" t="str">
        <x:v>deepseek</x:v>
      </x:c>
      <x:c r="B151" s="35" t="str">
        <x:v>Closure</x:v>
      </x:c>
      <x:c r="C151" s="35" t="str">
        <x:v>Round1</x:v>
      </x:c>
      <x:c r="D151" s="35" t="str">
        <x:v>Closure_175</x:v>
      </x:c>
      <x:c r="E151" s="35" t="str">
        <x:v>Line</x:v>
      </x:c>
      <x:c r="F151" s="35"/>
      <x:c r="G151" s="35" t="str">
        <x:v>A</x:v>
      </x:c>
      <x:c r="H151" s="39" t="str">
        <x:f>IF(ISNUMBER('Data'!E151),'Data'!E151*100,"")</x:f>
      </x:c>
      <x:c r="I151" s="35"/>
      <x:c r="J151" s="35" t="str">
        <x:v>PASS</x:v>
      </x:c>
      <x:c r="K151" s="35" t="str">
        <x:v>FAIL</x:v>
      </x:c>
      <x:c r="L151" s="35" t="str">
        <x:v>NOT_RUN</x:v>
      </x:c>
      <x:c r="M151" s="35" t="str">
        <x:v>coverage unavailable or execution/compile failed</x:v>
      </x:c>
      <x:c r="N151" s="35" t="str">
        <x:v>Deepseek-flash-v4/Result/Closure_175/result.json</x:v>
      </x:c>
      <x:c r="O151" s="39" t="str">
        <x:f>IF(AND(G151="RECORDED",ISNUMBER(H151)),H151,"")</x:f>
      </x:c>
      <x:c r="P151" s="35" t="str">
        <x:v>NOT_AVAILABLE</x:v>
      </x:c>
      <x:c r="Q151" s="35" t="str">
        <x:v>Deepseek-flash-v4/Result/Closure_175/result.json</x:v>
      </x:c>
    </x:row>
    <x:row r="152">
      <x:c r="A152" s="35" t="str">
        <x:v>deepseek</x:v>
      </x:c>
      <x:c r="B152" s="35" t="str">
        <x:v>Closure</x:v>
      </x:c>
      <x:c r="C152" s="35" t="str">
        <x:v>Round1</x:v>
      </x:c>
      <x:c r="D152" s="35" t="str">
        <x:v>Closure_176</x:v>
      </x:c>
      <x:c r="E152" s="35" t="str">
        <x:v>Line</x:v>
      </x:c>
      <x:c r="F152" s="35"/>
      <x:c r="G152" s="35" t="str">
        <x:v>A</x:v>
      </x:c>
      <x:c r="H152" s="39" t="str">
        <x:f>IF(ISNUMBER('Data'!E152),'Data'!E152*100,"")</x:f>
      </x:c>
      <x:c r="I152" s="35"/>
      <x:c r="J152" s="35" t="str">
        <x:v>PASS</x:v>
      </x:c>
      <x:c r="K152" s="35" t="str">
        <x:v>FAIL</x:v>
      </x:c>
      <x:c r="L152" s="35" t="str">
        <x:v>NOT_RUN</x:v>
      </x:c>
      <x:c r="M152" s="35" t="str">
        <x:v>coverage unavailable or execution/compile failed</x:v>
      </x:c>
      <x:c r="N152" s="35" t="str">
        <x:v>Deepseek-flash-v4/Result/Closure_176/result.json</x:v>
      </x:c>
      <x:c r="O152" s="39" t="str">
        <x:f>IF(AND(G152="RECORDED",ISNUMBER(H152)),H152,"")</x:f>
      </x:c>
      <x:c r="P152" s="35" t="str">
        <x:v>NOT_AVAILABLE</x:v>
      </x:c>
      <x:c r="Q152" s="35" t="str">
        <x:v>Deepseek-flash-v4/Result/Closure_176/result.json</x:v>
      </x:c>
    </x:row>
    <x:row r="153">
      <x:c r="A153" s="35" t="str">
        <x:v>deepseek</x:v>
      </x:c>
      <x:c r="B153" s="35" t="str">
        <x:v>Closure</x:v>
      </x:c>
      <x:c r="C153" s="35" t="str">
        <x:v>Round1</x:v>
      </x:c>
      <x:c r="D153" s="35" t="str">
        <x:v>Closure_18</x:v>
      </x:c>
      <x:c r="E153" s="35" t="str">
        <x:v>Line</x:v>
      </x:c>
      <x:c r="F153" s="35"/>
      <x:c r="G153" s="35" t="str">
        <x:v>A</x:v>
      </x:c>
      <x:c r="H153" s="39" t="str">
        <x:f>IF(ISNUMBER('Data'!E153),'Data'!E153*100,"")</x:f>
      </x:c>
      <x:c r="I153" s="35"/>
      <x:c r="J153" s="35" t="str">
        <x:v>PASS</x:v>
      </x:c>
      <x:c r="K153" s="35" t="str">
        <x:v>FAIL</x:v>
      </x:c>
      <x:c r="L153" s="35" t="str">
        <x:v>NOT_RUN</x:v>
      </x:c>
      <x:c r="M153" s="35" t="str">
        <x:v>coverage unavailable or execution/compile failed</x:v>
      </x:c>
      <x:c r="N153" s="35" t="str">
        <x:v>Deepseek-flash-v4/Result/Closure_18/result.json</x:v>
      </x:c>
      <x:c r="O153" s="39" t="str">
        <x:f>IF(AND(G153="RECORDED",ISNUMBER(H153)),H153,"")</x:f>
      </x:c>
      <x:c r="P153" s="35" t="str">
        <x:v>NOT_AVAILABLE</x:v>
      </x:c>
      <x:c r="Q153" s="35" t="str">
        <x:v>Deepseek-flash-v4/Result/Closure_18/result.json</x:v>
      </x:c>
    </x:row>
    <x:row r="154">
      <x:c r="A154" s="35" t="str">
        <x:v>deepseek</x:v>
      </x:c>
      <x:c r="B154" s="35" t="str">
        <x:v>Closure</x:v>
      </x:c>
      <x:c r="C154" s="35" t="str">
        <x:v>Round1</x:v>
      </x:c>
      <x:c r="D154" s="35" t="str">
        <x:v>Closure_19</x:v>
      </x:c>
      <x:c r="E154" s="35" t="str">
        <x:v>Line</x:v>
      </x:c>
      <x:c r="F154" s="35"/>
      <x:c r="G154" s="35" t="str">
        <x:v>A</x:v>
      </x:c>
      <x:c r="H154" s="39" t="str">
        <x:f>IF(ISNUMBER('Data'!E154),'Data'!E154*100,"")</x:f>
      </x:c>
      <x:c r="I154" s="35"/>
      <x:c r="J154" s="35" t="str">
        <x:v>PASS</x:v>
      </x:c>
      <x:c r="K154" s="35" t="str">
        <x:v>FAIL</x:v>
      </x:c>
      <x:c r="L154" s="35" t="str">
        <x:v>NOT_RUN</x:v>
      </x:c>
      <x:c r="M154" s="35" t="str">
        <x:v>coverage unavailable or execution/compile failed</x:v>
      </x:c>
      <x:c r="N154" s="35" t="str">
        <x:v>Deepseek-flash-v4/Result/Closure_19/result.json</x:v>
      </x:c>
      <x:c r="O154" s="39" t="str">
        <x:f>IF(AND(G154="RECORDED",ISNUMBER(H154)),H154,"")</x:f>
      </x:c>
      <x:c r="P154" s="35" t="str">
        <x:v>NOT_AVAILABLE</x:v>
      </x:c>
      <x:c r="Q154" s="35" t="str">
        <x:v>Deepseek-flash-v4/Result/Closure_19/result.json</x:v>
      </x:c>
    </x:row>
    <x:row r="155">
      <x:c r="A155" s="35" t="str">
        <x:v>deepseek</x:v>
      </x:c>
      <x:c r="B155" s="35" t="str">
        <x:v>Closure</x:v>
      </x:c>
      <x:c r="C155" s="35" t="str">
        <x:v>Round1</x:v>
      </x:c>
      <x:c r="D155" s="35" t="str">
        <x:v>Closure_2</x:v>
      </x:c>
      <x:c r="E155" s="35" t="str">
        <x:v>Line</x:v>
      </x:c>
      <x:c r="F155" s="35"/>
      <x:c r="G155" s="35" t="str">
        <x:v>A</x:v>
      </x:c>
      <x:c r="H155" s="39" t="str">
        <x:f>IF(ISNUMBER('Data'!E155),'Data'!E155*100,"")</x:f>
      </x:c>
      <x:c r="I155" s="35"/>
      <x:c r="J155" s="35" t="str">
        <x:v>PASS</x:v>
      </x:c>
      <x:c r="K155" s="35" t="str">
        <x:v>FAIL</x:v>
      </x:c>
      <x:c r="L155" s="35" t="str">
        <x:v>NOT_RUN</x:v>
      </x:c>
      <x:c r="M155" s="35" t="str">
        <x:v>coverage unavailable or execution/compile failed</x:v>
      </x:c>
      <x:c r="N155" s="35" t="str">
        <x:v>Deepseek-flash-v4/Result/Closure_2/result.json</x:v>
      </x:c>
      <x:c r="O155" s="39" t="str">
        <x:f>IF(AND(G155="RECORDED",ISNUMBER(H155)),H155,"")</x:f>
      </x:c>
      <x:c r="P155" s="35" t="str">
        <x:v>NOT_AVAILABLE</x:v>
      </x:c>
      <x:c r="Q155" s="35" t="str">
        <x:v>Deepseek-flash-v4/Result/Closure_2/result.json</x:v>
      </x:c>
    </x:row>
    <x:row r="156">
      <x:c r="A156" s="35" t="str">
        <x:v>deepseek</x:v>
      </x:c>
      <x:c r="B156" s="35" t="str">
        <x:v>Closure</x:v>
      </x:c>
      <x:c r="C156" s="35" t="str">
        <x:v>Round1</x:v>
      </x:c>
      <x:c r="D156" s="35" t="str">
        <x:v>Closure_20</x:v>
      </x:c>
      <x:c r="E156" s="35" t="str">
        <x:v>Line</x:v>
      </x:c>
      <x:c r="F156" s="35" t="n">
        <x:v>754</x:v>
      </x:c>
      <x:c r="G156" s="35" t="str">
        <x:v>RECORDED</x:v>
      </x:c>
      <x:c r="H156" s="39" t="n">
        <x:f>IF(ISNUMBER('Data'!E156),'Data'!E156*100,"")</x:f>
        <x:v>9.81</x:v>
      </x:c>
      <x:c r="I156" s="35" t="str">
        <x:v>PASS</x:v>
      </x:c>
      <x:c r="J156" s="35" t="str">
        <x:v>PASS</x:v>
      </x:c>
      <x:c r="K156" s="35" t="str">
        <x:v>PASS</x:v>
      </x:c>
      <x:c r="L156" s="35" t="str">
        <x:v>FAIL</x:v>
      </x:c>
      <x:c r="M156" s="35" t="str">
        <x:v>numeric coverage for applicable metric</x:v>
      </x:c>
      <x:c r="N156" s="35" t="str">
        <x:v>Deepseek-flash-v4/Result/Closure_20/result.json</x:v>
      </x:c>
      <x:c r="O156" s="39" t="n">
        <x:f>IF(AND(G156="RECORDED",ISNUMBER(H156)),H156,"")</x:f>
        <x:v>9.81</x:v>
      </x:c>
      <x:c r="P156" s="35" t="str">
        <x:v>INCONCLUSIVE</x:v>
      </x:c>
      <x:c r="Q156" s="35" t="str">
        <x:v>Deepseek-flash-v4/Result/Closure_20/result.json</x:v>
      </x:c>
    </x:row>
    <x:row r="157">
      <x:c r="A157" s="35" t="str">
        <x:v>deepseek</x:v>
      </x:c>
      <x:c r="B157" s="35" t="str">
        <x:v>Closure</x:v>
      </x:c>
      <x:c r="C157" s="35" t="str">
        <x:v>Round1</x:v>
      </x:c>
      <x:c r="D157" s="35" t="str">
        <x:v>Closure_21</x:v>
      </x:c>
      <x:c r="E157" s="35" t="str">
        <x:v>Line</x:v>
      </x:c>
      <x:c r="F157" s="35"/>
      <x:c r="G157" s="35" t="str">
        <x:v>A</x:v>
      </x:c>
      <x:c r="H157" s="39" t="str">
        <x:f>IF(ISNUMBER('Data'!E157),'Data'!E157*100,"")</x:f>
      </x:c>
      <x:c r="I157" s="35"/>
      <x:c r="J157" s="35" t="str">
        <x:v>PASS</x:v>
      </x:c>
      <x:c r="K157" s="35" t="str">
        <x:v>FAIL</x:v>
      </x:c>
      <x:c r="L157" s="35" t="str">
        <x:v>NOT_RUN</x:v>
      </x:c>
      <x:c r="M157" s="35" t="str">
        <x:v>coverage unavailable or execution/compile failed</x:v>
      </x:c>
      <x:c r="N157" s="35" t="str">
        <x:v>Deepseek-flash-v4/Result/Closure_21/result.json</x:v>
      </x:c>
      <x:c r="O157" s="39" t="str">
        <x:f>IF(AND(G157="RECORDED",ISNUMBER(H157)),H157,"")</x:f>
      </x:c>
      <x:c r="P157" s="35" t="str">
        <x:v>NOT_AVAILABLE</x:v>
      </x:c>
      <x:c r="Q157" s="35" t="str">
        <x:v>Deepseek-flash-v4/Result/Closure_21/result.json</x:v>
      </x:c>
    </x:row>
    <x:row r="158">
      <x:c r="A158" s="35" t="str">
        <x:v>deepseek</x:v>
      </x:c>
      <x:c r="B158" s="35" t="str">
        <x:v>Closure</x:v>
      </x:c>
      <x:c r="C158" s="35" t="str">
        <x:v>Round1</x:v>
      </x:c>
      <x:c r="D158" s="35" t="str">
        <x:v>Closure_22</x:v>
      </x:c>
      <x:c r="E158" s="35" t="str">
        <x:v>Line</x:v>
      </x:c>
      <x:c r="F158" s="35"/>
      <x:c r="G158" s="35" t="str">
        <x:v>A</x:v>
      </x:c>
      <x:c r="H158" s="39" t="str">
        <x:f>IF(ISNUMBER('Data'!E158),'Data'!E158*100,"")</x:f>
      </x:c>
      <x:c r="I158" s="35"/>
      <x:c r="J158" s="35" t="str">
        <x:v>PASS</x:v>
      </x:c>
      <x:c r="K158" s="35" t="str">
        <x:v>FAIL</x:v>
      </x:c>
      <x:c r="L158" s="35" t="str">
        <x:v>NOT_RUN</x:v>
      </x:c>
      <x:c r="M158" s="35" t="str">
        <x:v>coverage unavailable or execution/compile failed</x:v>
      </x:c>
      <x:c r="N158" s="35" t="str">
        <x:v>Deepseek-flash-v4/Result/Closure_22/result.json</x:v>
      </x:c>
      <x:c r="O158" s="39" t="str">
        <x:f>IF(AND(G158="RECORDED",ISNUMBER(H158)),H158,"")</x:f>
      </x:c>
      <x:c r="P158" s="35" t="str">
        <x:v>NOT_AVAILABLE</x:v>
      </x:c>
      <x:c r="Q158" s="35" t="str">
        <x:v>Deepseek-flash-v4/Result/Closure_22/result.json</x:v>
      </x:c>
    </x:row>
    <x:row r="159">
      <x:c r="A159" s="35" t="str">
        <x:v>deepseek</x:v>
      </x:c>
      <x:c r="B159" s="35" t="str">
        <x:v>Closure</x:v>
      </x:c>
      <x:c r="C159" s="35" t="str">
        <x:v>Round1</x:v>
      </x:c>
      <x:c r="D159" s="35" t="str">
        <x:v>Closure_23</x:v>
      </x:c>
      <x:c r="E159" s="35" t="str">
        <x:v>Line</x:v>
      </x:c>
      <x:c r="F159" s="35"/>
      <x:c r="G159" s="35" t="str">
        <x:v>A</x:v>
      </x:c>
      <x:c r="H159" s="39" t="str">
        <x:f>IF(ISNUMBER('Data'!E159),'Data'!E159*100,"")</x:f>
      </x:c>
      <x:c r="I159" s="35"/>
      <x:c r="J159" s="35" t="str">
        <x:v>PASS</x:v>
      </x:c>
      <x:c r="K159" s="35" t="str">
        <x:v>FAIL</x:v>
      </x:c>
      <x:c r="L159" s="35" t="str">
        <x:v>NOT_RUN</x:v>
      </x:c>
      <x:c r="M159" s="35" t="str">
        <x:v>coverage unavailable or execution/compile failed</x:v>
      </x:c>
      <x:c r="N159" s="35" t="str">
        <x:v>Deepseek-flash-v4/Result/Closure_23/result.json</x:v>
      </x:c>
      <x:c r="O159" s="39" t="str">
        <x:f>IF(AND(G159="RECORDED",ISNUMBER(H159)),H159,"")</x:f>
      </x:c>
      <x:c r="P159" s="35" t="str">
        <x:v>NOT_AVAILABLE</x:v>
      </x:c>
      <x:c r="Q159" s="35" t="str">
        <x:v>Deepseek-flash-v4/Result/Closure_23/result.json</x:v>
      </x:c>
    </x:row>
    <x:row r="160">
      <x:c r="A160" s="35" t="str">
        <x:v>deepseek</x:v>
      </x:c>
      <x:c r="B160" s="35" t="str">
        <x:v>Closure</x:v>
      </x:c>
      <x:c r="C160" s="35" t="str">
        <x:v>Round1</x:v>
      </x:c>
      <x:c r="D160" s="35" t="str">
        <x:v>Closure_24</x:v>
      </x:c>
      <x:c r="E160" s="35" t="str">
        <x:v>Line</x:v>
      </x:c>
      <x:c r="F160" s="35"/>
      <x:c r="G160" s="35" t="str">
        <x:v>A</x:v>
      </x:c>
      <x:c r="H160" s="39" t="str">
        <x:f>IF(ISNUMBER('Data'!E160),'Data'!E160*100,"")</x:f>
      </x:c>
      <x:c r="I160" s="35"/>
      <x:c r="J160" s="35" t="str">
        <x:v>PASS</x:v>
      </x:c>
      <x:c r="K160" s="35" t="str">
        <x:v>FAIL</x:v>
      </x:c>
      <x:c r="L160" s="35" t="str">
        <x:v>NOT_RUN</x:v>
      </x:c>
      <x:c r="M160" s="35" t="str">
        <x:v>coverage unavailable or execution/compile failed</x:v>
      </x:c>
      <x:c r="N160" s="35" t="str">
        <x:v>Deepseek-flash-v4/Result/Closure_24/result.json</x:v>
      </x:c>
      <x:c r="O160" s="39" t="str">
        <x:f>IF(AND(G160="RECORDED",ISNUMBER(H160)),H160,"")</x:f>
      </x:c>
      <x:c r="P160" s="35" t="str">
        <x:v>NOT_AVAILABLE</x:v>
      </x:c>
      <x:c r="Q160" s="35" t="str">
        <x:v>Deepseek-flash-v4/Result/Closure_24/result.json</x:v>
      </x:c>
    </x:row>
    <x:row r="161">
      <x:c r="A161" s="35" t="str">
        <x:v>deepseek</x:v>
      </x:c>
      <x:c r="B161" s="35" t="str">
        <x:v>Closure</x:v>
      </x:c>
      <x:c r="C161" s="35" t="str">
        <x:v>Round1</x:v>
      </x:c>
      <x:c r="D161" s="35" t="str">
        <x:v>Closure_25</x:v>
      </x:c>
      <x:c r="E161" s="35" t="str">
        <x:v>Line</x:v>
      </x:c>
      <x:c r="F161" s="35"/>
      <x:c r="G161" s="35" t="str">
        <x:v>A</x:v>
      </x:c>
      <x:c r="H161" s="39" t="str">
        <x:f>IF(ISNUMBER('Data'!E161),'Data'!E161*100,"")</x:f>
      </x:c>
      <x:c r="I161" s="35"/>
      <x:c r="J161" s="35" t="str">
        <x:v>PASS</x:v>
      </x:c>
      <x:c r="K161" s="35" t="str">
        <x:v>FAIL</x:v>
      </x:c>
      <x:c r="L161" s="35" t="str">
        <x:v>NOT_RUN</x:v>
      </x:c>
      <x:c r="M161" s="35" t="str">
        <x:v>coverage unavailable or execution/compile failed</x:v>
      </x:c>
      <x:c r="N161" s="35" t="str">
        <x:v>Deepseek-flash-v4/Result/Closure_25/result.json</x:v>
      </x:c>
      <x:c r="O161" s="39" t="str">
        <x:f>IF(AND(G161="RECORDED",ISNUMBER(H161)),H161,"")</x:f>
      </x:c>
      <x:c r="P161" s="35" t="str">
        <x:v>NOT_AVAILABLE</x:v>
      </x:c>
      <x:c r="Q161" s="35" t="str">
        <x:v>Deepseek-flash-v4/Result/Closure_25/result.json</x:v>
      </x:c>
    </x:row>
    <x:row r="162">
      <x:c r="A162" s="35" t="str">
        <x:v>deepseek</x:v>
      </x:c>
      <x:c r="B162" s="35" t="str">
        <x:v>Closure</x:v>
      </x:c>
      <x:c r="C162" s="35" t="str">
        <x:v>Round1</x:v>
      </x:c>
      <x:c r="D162" s="35" t="str">
        <x:v>Closure_26</x:v>
      </x:c>
      <x:c r="E162" s="35" t="str">
        <x:v>Line</x:v>
      </x:c>
      <x:c r="F162" s="35"/>
      <x:c r="G162" s="35" t="str">
        <x:v>A</x:v>
      </x:c>
      <x:c r="H162" s="39" t="str">
        <x:f>IF(ISNUMBER('Data'!E162),'Data'!E162*100,"")</x:f>
      </x:c>
      <x:c r="I162" s="35"/>
      <x:c r="J162" s="35" t="str">
        <x:v>PASS</x:v>
      </x:c>
      <x:c r="K162" s="35" t="str">
        <x:v>FAIL</x:v>
      </x:c>
      <x:c r="L162" s="35" t="str">
        <x:v>NOT_RUN</x:v>
      </x:c>
      <x:c r="M162" s="35" t="str">
        <x:v>coverage unavailable or execution/compile failed</x:v>
      </x:c>
      <x:c r="N162" s="35" t="str">
        <x:v>Deepseek-flash-v4/Result/Closure_26/result.json</x:v>
      </x:c>
      <x:c r="O162" s="39" t="str">
        <x:f>IF(AND(G162="RECORDED",ISNUMBER(H162)),H162,"")</x:f>
      </x:c>
      <x:c r="P162" s="35" t="str">
        <x:v>NOT_AVAILABLE</x:v>
      </x:c>
      <x:c r="Q162" s="35" t="str">
        <x:v>Deepseek-flash-v4/Result/Closure_26/result.json</x:v>
      </x:c>
    </x:row>
    <x:row r="163">
      <x:c r="A163" s="35" t="str">
        <x:v>deepseek</x:v>
      </x:c>
      <x:c r="B163" s="35" t="str">
        <x:v>Closure</x:v>
      </x:c>
      <x:c r="C163" s="35" t="str">
        <x:v>Round1</x:v>
      </x:c>
      <x:c r="D163" s="35" t="str">
        <x:v>Closure_27</x:v>
      </x:c>
      <x:c r="E163" s="35" t="str">
        <x:v>Line</x:v>
      </x:c>
      <x:c r="F163" s="35"/>
      <x:c r="G163" s="35" t="str">
        <x:v>A</x:v>
      </x:c>
      <x:c r="H163" s="39" t="str">
        <x:f>IF(ISNUMBER('Data'!E163),'Data'!E163*100,"")</x:f>
      </x:c>
      <x:c r="I163" s="35"/>
      <x:c r="J163" s="35" t="str">
        <x:v>PASS</x:v>
      </x:c>
      <x:c r="K163" s="35" t="str">
        <x:v>FAIL</x:v>
      </x:c>
      <x:c r="L163" s="35" t="str">
        <x:v>NOT_RUN</x:v>
      </x:c>
      <x:c r="M163" s="35" t="str">
        <x:v>coverage unavailable or execution/compile failed</x:v>
      </x:c>
      <x:c r="N163" s="35" t="str">
        <x:v>Deepseek-flash-v4/Result/Closure_27/result.json</x:v>
      </x:c>
      <x:c r="O163" s="39" t="str">
        <x:f>IF(AND(G163="RECORDED",ISNUMBER(H163)),H163,"")</x:f>
      </x:c>
      <x:c r="P163" s="35" t="str">
        <x:v>NOT_AVAILABLE</x:v>
      </x:c>
      <x:c r="Q163" s="35" t="str">
        <x:v>Deepseek-flash-v4/Result/Closure_27/result.json</x:v>
      </x:c>
    </x:row>
    <x:row r="164">
      <x:c r="A164" s="35" t="str">
        <x:v>deepseek</x:v>
      </x:c>
      <x:c r="B164" s="35" t="str">
        <x:v>Closure</x:v>
      </x:c>
      <x:c r="C164" s="35" t="str">
        <x:v>Round1</x:v>
      </x:c>
      <x:c r="D164" s="35" t="str">
        <x:v>Closure_28</x:v>
      </x:c>
      <x:c r="E164" s="35" t="str">
        <x:v>Line</x:v>
      </x:c>
      <x:c r="F164" s="35"/>
      <x:c r="G164" s="35" t="str">
        <x:v>A</x:v>
      </x:c>
      <x:c r="H164" s="39" t="str">
        <x:f>IF(ISNUMBER('Data'!E164),'Data'!E164*100,"")</x:f>
      </x:c>
      <x:c r="I164" s="35"/>
      <x:c r="J164" s="35" t="str">
        <x:v>PASS</x:v>
      </x:c>
      <x:c r="K164" s="35" t="str">
        <x:v>FAIL</x:v>
      </x:c>
      <x:c r="L164" s="35" t="str">
        <x:v>NOT_RUN</x:v>
      </x:c>
      <x:c r="M164" s="35" t="str">
        <x:v>coverage unavailable or execution/compile failed</x:v>
      </x:c>
      <x:c r="N164" s="35" t="str">
        <x:v>Deepseek-flash-v4/Result/Closure_28/result.json</x:v>
      </x:c>
      <x:c r="O164" s="39" t="str">
        <x:f>IF(AND(G164="RECORDED",ISNUMBER(H164)),H164,"")</x:f>
      </x:c>
      <x:c r="P164" s="35" t="str">
        <x:v>NOT_AVAILABLE</x:v>
      </x:c>
      <x:c r="Q164" s="35" t="str">
        <x:v>Deepseek-flash-v4/Result/Closure_28/result.json</x:v>
      </x:c>
    </x:row>
    <x:row r="165">
      <x:c r="A165" s="35" t="str">
        <x:v>deepseek</x:v>
      </x:c>
      <x:c r="B165" s="35" t="str">
        <x:v>Closure</x:v>
      </x:c>
      <x:c r="C165" s="35" t="str">
        <x:v>Round1</x:v>
      </x:c>
      <x:c r="D165" s="35" t="str">
        <x:v>Closure_29</x:v>
      </x:c>
      <x:c r="E165" s="35" t="str">
        <x:v>Line</x:v>
      </x:c>
      <x:c r="F165" s="35"/>
      <x:c r="G165" s="35" t="str">
        <x:v>A</x:v>
      </x:c>
      <x:c r="H165" s="39" t="str">
        <x:f>IF(ISNUMBER('Data'!E165),'Data'!E165*100,"")</x:f>
      </x:c>
      <x:c r="I165" s="35"/>
      <x:c r="J165" s="35" t="str">
        <x:v>PASS</x:v>
      </x:c>
      <x:c r="K165" s="35" t="str">
        <x:v>FAIL</x:v>
      </x:c>
      <x:c r="L165" s="35" t="str">
        <x:v>NOT_RUN</x:v>
      </x:c>
      <x:c r="M165" s="35" t="str">
        <x:v>coverage unavailable or execution/compile failed</x:v>
      </x:c>
      <x:c r="N165" s="35" t="str">
        <x:v>Deepseek-flash-v4/Result/Closure_29/result.json</x:v>
      </x:c>
      <x:c r="O165" s="39" t="str">
        <x:f>IF(AND(G165="RECORDED",ISNUMBER(H165)),H165,"")</x:f>
      </x:c>
      <x:c r="P165" s="35" t="str">
        <x:v>NOT_AVAILABLE</x:v>
      </x:c>
      <x:c r="Q165" s="35" t="str">
        <x:v>Deepseek-flash-v4/Result/Closure_29/result.json</x:v>
      </x:c>
    </x:row>
    <x:row r="166">
      <x:c r="A166" s="35" t="str">
        <x:v>deepseek</x:v>
      </x:c>
      <x:c r="B166" s="35" t="str">
        <x:v>Closure</x:v>
      </x:c>
      <x:c r="C166" s="35" t="str">
        <x:v>Round1</x:v>
      </x:c>
      <x:c r="D166" s="35" t="str">
        <x:v>Closure_3</x:v>
      </x:c>
      <x:c r="E166" s="35" t="str">
        <x:v>Line</x:v>
      </x:c>
      <x:c r="F166" s="35"/>
      <x:c r="G166" s="35" t="str">
        <x:v>A</x:v>
      </x:c>
      <x:c r="H166" s="39" t="str">
        <x:f>IF(ISNUMBER('Data'!E166),'Data'!E166*100,"")</x:f>
      </x:c>
      <x:c r="I166" s="35"/>
      <x:c r="J166" s="35" t="str">
        <x:v>PASS</x:v>
      </x:c>
      <x:c r="K166" s="35" t="str">
        <x:v>FAIL</x:v>
      </x:c>
      <x:c r="L166" s="35" t="str">
        <x:v>NOT_RUN</x:v>
      </x:c>
      <x:c r="M166" s="35" t="str">
        <x:v>coverage unavailable or execution/compile failed</x:v>
      </x:c>
      <x:c r="N166" s="35" t="str">
        <x:v>Deepseek-flash-v4/Result/Closure_3/result.json</x:v>
      </x:c>
      <x:c r="O166" s="39" t="str">
        <x:f>IF(AND(G166="RECORDED",ISNUMBER(H166)),H166,"")</x:f>
      </x:c>
      <x:c r="P166" s="35" t="str">
        <x:v>NOT_AVAILABLE</x:v>
      </x:c>
      <x:c r="Q166" s="35" t="str">
        <x:v>Deepseek-flash-v4/Result/Closure_3/result.json</x:v>
      </x:c>
    </x:row>
    <x:row r="167">
      <x:c r="A167" s="35" t="str">
        <x:v>deepseek</x:v>
      </x:c>
      <x:c r="B167" s="35" t="str">
        <x:v>Closure</x:v>
      </x:c>
      <x:c r="C167" s="35" t="str">
        <x:v>Round1</x:v>
      </x:c>
      <x:c r="D167" s="35" t="str">
        <x:v>Closure_30</x:v>
      </x:c>
      <x:c r="E167" s="35" t="str">
        <x:v>Line</x:v>
      </x:c>
      <x:c r="F167" s="35"/>
      <x:c r="G167" s="35" t="str">
        <x:v>A</x:v>
      </x:c>
      <x:c r="H167" s="39" t="str">
        <x:f>IF(ISNUMBER('Data'!E167),'Data'!E167*100,"")</x:f>
      </x:c>
      <x:c r="I167" s="35"/>
      <x:c r="J167" s="35" t="str">
        <x:v>PASS</x:v>
      </x:c>
      <x:c r="K167" s="35" t="str">
        <x:v>FAIL</x:v>
      </x:c>
      <x:c r="L167" s="35" t="str">
        <x:v>NOT_RUN</x:v>
      </x:c>
      <x:c r="M167" s="35" t="str">
        <x:v>coverage unavailable or execution/compile failed</x:v>
      </x:c>
      <x:c r="N167" s="35" t="str">
        <x:v>Deepseek-flash-v4/Result/Closure_30/result.json</x:v>
      </x:c>
      <x:c r="O167" s="39" t="str">
        <x:f>IF(AND(G167="RECORDED",ISNUMBER(H167)),H167,"")</x:f>
      </x:c>
      <x:c r="P167" s="35" t="str">
        <x:v>NOT_AVAILABLE</x:v>
      </x:c>
      <x:c r="Q167" s="35" t="str">
        <x:v>Deepseek-flash-v4/Result/Closure_30/result.json</x:v>
      </x:c>
    </x:row>
    <x:row r="168">
      <x:c r="A168" s="35" t="str">
        <x:v>deepseek</x:v>
      </x:c>
      <x:c r="B168" s="35" t="str">
        <x:v>Closure</x:v>
      </x:c>
      <x:c r="C168" s="35" t="str">
        <x:v>Round1</x:v>
      </x:c>
      <x:c r="D168" s="35" t="str">
        <x:v>Closure_31</x:v>
      </x:c>
      <x:c r="E168" s="35" t="str">
        <x:v>Line</x:v>
      </x:c>
      <x:c r="F168" s="35"/>
      <x:c r="G168" s="35" t="str">
        <x:v>A</x:v>
      </x:c>
      <x:c r="H168" s="39" t="str">
        <x:f>IF(ISNUMBER('Data'!E168),'Data'!E168*100,"")</x:f>
      </x:c>
      <x:c r="I168" s="35"/>
      <x:c r="J168" s="35" t="str">
        <x:v>PASS</x:v>
      </x:c>
      <x:c r="K168" s="35" t="str">
        <x:v>FAIL</x:v>
      </x:c>
      <x:c r="L168" s="35" t="str">
        <x:v>NOT_RUN</x:v>
      </x:c>
      <x:c r="M168" s="35" t="str">
        <x:v>coverage unavailable or execution/compile failed</x:v>
      </x:c>
      <x:c r="N168" s="35" t="str">
        <x:v>Deepseek-flash-v4/Result/Closure_31/result.json</x:v>
      </x:c>
      <x:c r="O168" s="39" t="str">
        <x:f>IF(AND(G168="RECORDED",ISNUMBER(H168)),H168,"")</x:f>
      </x:c>
      <x:c r="P168" s="35" t="str">
        <x:v>NOT_AVAILABLE</x:v>
      </x:c>
      <x:c r="Q168" s="35" t="str">
        <x:v>Deepseek-flash-v4/Result/Closure_31/result.json</x:v>
      </x:c>
    </x:row>
    <x:row r="169">
      <x:c r="A169" s="35" t="str">
        <x:v>deepseek</x:v>
      </x:c>
      <x:c r="B169" s="35" t="str">
        <x:v>Closure</x:v>
      </x:c>
      <x:c r="C169" s="35" t="str">
        <x:v>Round1</x:v>
      </x:c>
      <x:c r="D169" s="35" t="str">
        <x:v>Closure_32</x:v>
      </x:c>
      <x:c r="E169" s="35" t="str">
        <x:v>Line</x:v>
      </x:c>
      <x:c r="F169" s="35"/>
      <x:c r="G169" s="35" t="str">
        <x:v>A</x:v>
      </x:c>
      <x:c r="H169" s="39" t="str">
        <x:f>IF(ISNUMBER('Data'!E169),'Data'!E169*100,"")</x:f>
      </x:c>
      <x:c r="I169" s="35"/>
      <x:c r="J169" s="35" t="str">
        <x:v>PASS</x:v>
      </x:c>
      <x:c r="K169" s="35" t="str">
        <x:v>FAIL</x:v>
      </x:c>
      <x:c r="L169" s="35" t="str">
        <x:v>NOT_RUN</x:v>
      </x:c>
      <x:c r="M169" s="35" t="str">
        <x:v>coverage unavailable or execution/compile failed</x:v>
      </x:c>
      <x:c r="N169" s="35" t="str">
        <x:v>Deepseek-flash-v4/Result/Closure_32/result.json</x:v>
      </x:c>
      <x:c r="O169" s="39" t="str">
        <x:f>IF(AND(G169="RECORDED",ISNUMBER(H169)),H169,"")</x:f>
      </x:c>
      <x:c r="P169" s="35" t="str">
        <x:v>NOT_AVAILABLE</x:v>
      </x:c>
      <x:c r="Q169" s="35" t="str">
        <x:v>Deepseek-flash-v4/Result/Closure_32/result.json</x:v>
      </x:c>
    </x:row>
    <x:row r="170">
      <x:c r="A170" s="35" t="str">
        <x:v>deepseek</x:v>
      </x:c>
      <x:c r="B170" s="35" t="str">
        <x:v>Closure</x:v>
      </x:c>
      <x:c r="C170" s="35" t="str">
        <x:v>Round1</x:v>
      </x:c>
      <x:c r="D170" s="35" t="str">
        <x:v>Closure_33</x:v>
      </x:c>
      <x:c r="E170" s="35" t="str">
        <x:v>Line</x:v>
      </x:c>
      <x:c r="F170" s="35"/>
      <x:c r="G170" s="35" t="str">
        <x:v>A</x:v>
      </x:c>
      <x:c r="H170" s="39" t="str">
        <x:f>IF(ISNUMBER('Data'!E170),'Data'!E170*100,"")</x:f>
      </x:c>
      <x:c r="I170" s="35"/>
      <x:c r="J170" s="35" t="str">
        <x:v>PASS</x:v>
      </x:c>
      <x:c r="K170" s="35" t="str">
        <x:v>FAIL</x:v>
      </x:c>
      <x:c r="L170" s="35" t="str">
        <x:v>NOT_RUN</x:v>
      </x:c>
      <x:c r="M170" s="35" t="str">
        <x:v>coverage unavailable or execution/compile failed</x:v>
      </x:c>
      <x:c r="N170" s="35" t="str">
        <x:v>Deepseek-flash-v4/Result/Closure_33/result.json</x:v>
      </x:c>
      <x:c r="O170" s="39" t="str">
        <x:f>IF(AND(G170="RECORDED",ISNUMBER(H170)),H170,"")</x:f>
      </x:c>
      <x:c r="P170" s="35" t="str">
        <x:v>NOT_AVAILABLE</x:v>
      </x:c>
      <x:c r="Q170" s="35" t="str">
        <x:v>Deepseek-flash-v4/Result/Closure_33/result.json</x:v>
      </x:c>
    </x:row>
    <x:row r="171">
      <x:c r="A171" s="35" t="str">
        <x:v>deepseek</x:v>
      </x:c>
      <x:c r="B171" s="35" t="str">
        <x:v>Closure</x:v>
      </x:c>
      <x:c r="C171" s="35" t="str">
        <x:v>Round1</x:v>
      </x:c>
      <x:c r="D171" s="35" t="str">
        <x:v>Closure_34</x:v>
      </x:c>
      <x:c r="E171" s="35" t="str">
        <x:v>Line</x:v>
      </x:c>
      <x:c r="F171" s="35"/>
      <x:c r="G171" s="35" t="str">
        <x:v>A</x:v>
      </x:c>
      <x:c r="H171" s="39" t="str">
        <x:f>IF(ISNUMBER('Data'!E171),'Data'!E171*100,"")</x:f>
      </x:c>
      <x:c r="I171" s="35"/>
      <x:c r="J171" s="35" t="str">
        <x:v>PASS</x:v>
      </x:c>
      <x:c r="K171" s="35" t="str">
        <x:v>FAIL</x:v>
      </x:c>
      <x:c r="L171" s="35" t="str">
        <x:v>NOT_RUN</x:v>
      </x:c>
      <x:c r="M171" s="35" t="str">
        <x:v>coverage unavailable or execution/compile failed</x:v>
      </x:c>
      <x:c r="N171" s="35" t="str">
        <x:v>Deepseek-flash-v4/Result/Closure_34/result.json</x:v>
      </x:c>
      <x:c r="O171" s="39" t="str">
        <x:f>IF(AND(G171="RECORDED",ISNUMBER(H171)),H171,"")</x:f>
      </x:c>
      <x:c r="P171" s="35" t="str">
        <x:v>NOT_AVAILABLE</x:v>
      </x:c>
      <x:c r="Q171" s="35" t="str">
        <x:v>Deepseek-flash-v4/Result/Closure_34/result.json</x:v>
      </x:c>
    </x:row>
    <x:row r="172">
      <x:c r="A172" s="35" t="str">
        <x:v>deepseek</x:v>
      </x:c>
      <x:c r="B172" s="35" t="str">
        <x:v>Closure</x:v>
      </x:c>
      <x:c r="C172" s="35" t="str">
        <x:v>Round1</x:v>
      </x:c>
      <x:c r="D172" s="35" t="str">
        <x:v>Closure_35</x:v>
      </x:c>
      <x:c r="E172" s="35" t="str">
        <x:v>Line</x:v>
      </x:c>
      <x:c r="F172" s="35"/>
      <x:c r="G172" s="35" t="str">
        <x:v>A</x:v>
      </x:c>
      <x:c r="H172" s="39" t="str">
        <x:f>IF(ISNUMBER('Data'!E172),'Data'!E172*100,"")</x:f>
      </x:c>
      <x:c r="I172" s="35"/>
      <x:c r="J172" s="35" t="str">
        <x:v>PASS</x:v>
      </x:c>
      <x:c r="K172" s="35" t="str">
        <x:v>FAIL</x:v>
      </x:c>
      <x:c r="L172" s="35" t="str">
        <x:v>NOT_RUN</x:v>
      </x:c>
      <x:c r="M172" s="35" t="str">
        <x:v>coverage unavailable or execution/compile failed</x:v>
      </x:c>
      <x:c r="N172" s="35" t="str">
        <x:v>Deepseek-flash-v4/Result/Closure_35/result.json</x:v>
      </x:c>
      <x:c r="O172" s="39" t="str">
        <x:f>IF(AND(G172="RECORDED",ISNUMBER(H172)),H172,"")</x:f>
      </x:c>
      <x:c r="P172" s="35" t="str">
        <x:v>NOT_AVAILABLE</x:v>
      </x:c>
      <x:c r="Q172" s="35" t="str">
        <x:v>Deepseek-flash-v4/Result/Closure_35/result.json</x:v>
      </x:c>
    </x:row>
    <x:row r="173">
      <x:c r="A173" s="35" t="str">
        <x:v>deepseek</x:v>
      </x:c>
      <x:c r="B173" s="35" t="str">
        <x:v>Closure</x:v>
      </x:c>
      <x:c r="C173" s="35" t="str">
        <x:v>Round1</x:v>
      </x:c>
      <x:c r="D173" s="35" t="str">
        <x:v>Closure_36</x:v>
      </x:c>
      <x:c r="E173" s="35" t="str">
        <x:v>Line</x:v>
      </x:c>
      <x:c r="F173" s="35"/>
      <x:c r="G173" s="35" t="str">
        <x:v>A</x:v>
      </x:c>
      <x:c r="H173" s="39" t="str">
        <x:f>IF(ISNUMBER('Data'!E173),'Data'!E173*100,"")</x:f>
      </x:c>
      <x:c r="I173" s="35"/>
      <x:c r="J173" s="35" t="str">
        <x:v>PASS</x:v>
      </x:c>
      <x:c r="K173" s="35" t="str">
        <x:v>FAIL</x:v>
      </x:c>
      <x:c r="L173" s="35" t="str">
        <x:v>NOT_RUN</x:v>
      </x:c>
      <x:c r="M173" s="35" t="str">
        <x:v>coverage unavailable or execution/compile failed</x:v>
      </x:c>
      <x:c r="N173" s="35" t="str">
        <x:v>Deepseek-flash-v4/Result/Closure_36/result.json</x:v>
      </x:c>
      <x:c r="O173" s="39" t="str">
        <x:f>IF(AND(G173="RECORDED",ISNUMBER(H173)),H173,"")</x:f>
      </x:c>
      <x:c r="P173" s="35" t="str">
        <x:v>NOT_AVAILABLE</x:v>
      </x:c>
      <x:c r="Q173" s="35" t="str">
        <x:v>Deepseek-flash-v4/Result/Closure_36/result.json</x:v>
      </x:c>
    </x:row>
    <x:row r="174">
      <x:c r="A174" s="35" t="str">
        <x:v>deepseek</x:v>
      </x:c>
      <x:c r="B174" s="35" t="str">
        <x:v>Closure</x:v>
      </x:c>
      <x:c r="C174" s="35" t="str">
        <x:v>Round1</x:v>
      </x:c>
      <x:c r="D174" s="35" t="str">
        <x:v>Closure_37</x:v>
      </x:c>
      <x:c r="E174" s="35" t="str">
        <x:v>Line</x:v>
      </x:c>
      <x:c r="F174" s="35"/>
      <x:c r="G174" s="35" t="str">
        <x:v>A</x:v>
      </x:c>
      <x:c r="H174" s="39" t="str">
        <x:f>IF(ISNUMBER('Data'!E174),'Data'!E174*100,"")</x:f>
      </x:c>
      <x:c r="I174" s="35"/>
      <x:c r="J174" s="35" t="str">
        <x:v>PASS</x:v>
      </x:c>
      <x:c r="K174" s="35" t="str">
        <x:v>FAIL</x:v>
      </x:c>
      <x:c r="L174" s="35" t="str">
        <x:v>NOT_RUN</x:v>
      </x:c>
      <x:c r="M174" s="35" t="str">
        <x:v>coverage unavailable or execution/compile failed</x:v>
      </x:c>
      <x:c r="N174" s="35" t="str">
        <x:v>Deepseek-flash-v4/Result/Closure_37/result.json</x:v>
      </x:c>
      <x:c r="O174" s="39" t="str">
        <x:f>IF(AND(G174="RECORDED",ISNUMBER(H174)),H174,"")</x:f>
      </x:c>
      <x:c r="P174" s="35" t="str">
        <x:v>NOT_AVAILABLE</x:v>
      </x:c>
      <x:c r="Q174" s="35" t="str">
        <x:v>Deepseek-flash-v4/Result/Closure_37/result.json</x:v>
      </x:c>
    </x:row>
    <x:row r="175">
      <x:c r="A175" s="35" t="str">
        <x:v>deepseek</x:v>
      </x:c>
      <x:c r="B175" s="35" t="str">
        <x:v>Closure</x:v>
      </x:c>
      <x:c r="C175" s="35" t="str">
        <x:v>Round1</x:v>
      </x:c>
      <x:c r="D175" s="35" t="str">
        <x:v>Closure_38</x:v>
      </x:c>
      <x:c r="E175" s="35" t="str">
        <x:v>Line</x:v>
      </x:c>
      <x:c r="F175" s="35" t="n">
        <x:v>112</x:v>
      </x:c>
      <x:c r="G175" s="35" t="str">
        <x:v>RECORDED</x:v>
      </x:c>
      <x:c r="H175" s="39" t="n">
        <x:f>IF(ISNUMBER('Data'!E175),'Data'!E175*100,"")</x:f>
        <x:v>68.75</x:v>
      </x:c>
      <x:c r="I175" s="35" t="str">
        <x:v>PASS</x:v>
      </x:c>
      <x:c r="J175" s="35" t="str">
        <x:v>PASS</x:v>
      </x:c>
      <x:c r="K175" s="35" t="str">
        <x:v>PASS</x:v>
      </x:c>
      <x:c r="L175" s="35" t="str">
        <x:v>FAIL</x:v>
      </x:c>
      <x:c r="M175" s="35" t="str">
        <x:v>numeric coverage for applicable metric</x:v>
      </x:c>
      <x:c r="N175" s="35" t="str">
        <x:v>Deepseek-flash-v4/Result/Closure_38/result.json</x:v>
      </x:c>
      <x:c r="O175" s="39" t="n">
        <x:f>IF(AND(G175="RECORDED",ISNUMBER(H175)),H175,"")</x:f>
        <x:v>68.75</x:v>
      </x:c>
      <x:c r="P175" s="35" t="str">
        <x:v>INCONCLUSIVE</x:v>
      </x:c>
      <x:c r="Q175" s="35" t="str">
        <x:v>Deepseek-flash-v4/Result/Closure_38/result.json</x:v>
      </x:c>
    </x:row>
    <x:row r="176">
      <x:c r="A176" s="35" t="str">
        <x:v>deepseek</x:v>
      </x:c>
      <x:c r="B176" s="35" t="str">
        <x:v>Closure</x:v>
      </x:c>
      <x:c r="C176" s="35" t="str">
        <x:v>Round1</x:v>
      </x:c>
      <x:c r="D176" s="35" t="str">
        <x:v>Closure_39</x:v>
      </x:c>
      <x:c r="E176" s="35" t="str">
        <x:v>Line</x:v>
      </x:c>
      <x:c r="F176" s="35"/>
      <x:c r="G176" s="35" t="str">
        <x:v>A</x:v>
      </x:c>
      <x:c r="H176" s="39" t="str">
        <x:f>IF(ISNUMBER('Data'!E176),'Data'!E176*100,"")</x:f>
      </x:c>
      <x:c r="I176" s="35"/>
      <x:c r="J176" s="35" t="str">
        <x:v>PASS</x:v>
      </x:c>
      <x:c r="K176" s="35" t="str">
        <x:v>FAIL</x:v>
      </x:c>
      <x:c r="L176" s="35" t="str">
        <x:v>NOT_RUN</x:v>
      </x:c>
      <x:c r="M176" s="35" t="str">
        <x:v>coverage unavailable or execution/compile failed</x:v>
      </x:c>
      <x:c r="N176" s="35" t="str">
        <x:v>Deepseek-flash-v4/Result/Closure_39/result.json</x:v>
      </x:c>
      <x:c r="O176" s="39" t="str">
        <x:f>IF(AND(G176="RECORDED",ISNUMBER(H176)),H176,"")</x:f>
      </x:c>
      <x:c r="P176" s="35" t="str">
        <x:v>NOT_AVAILABLE</x:v>
      </x:c>
      <x:c r="Q176" s="35" t="str">
        <x:v>Deepseek-flash-v4/Result/Closure_39/result.json</x:v>
      </x:c>
    </x:row>
    <x:row r="177">
      <x:c r="A177" s="35" t="str">
        <x:v>deepseek</x:v>
      </x:c>
      <x:c r="B177" s="35" t="str">
        <x:v>Closure</x:v>
      </x:c>
      <x:c r="C177" s="35" t="str">
        <x:v>Round1</x:v>
      </x:c>
      <x:c r="D177" s="35" t="str">
        <x:v>Closure_4</x:v>
      </x:c>
      <x:c r="E177" s="35" t="str">
        <x:v>Line</x:v>
      </x:c>
      <x:c r="F177" s="35"/>
      <x:c r="G177" s="35" t="str">
        <x:v>A</x:v>
      </x:c>
      <x:c r="H177" s="39" t="str">
        <x:f>IF(ISNUMBER('Data'!E177),'Data'!E177*100,"")</x:f>
      </x:c>
      <x:c r="I177" s="35"/>
      <x:c r="J177" s="35" t="str">
        <x:v>PASS</x:v>
      </x:c>
      <x:c r="K177" s="35" t="str">
        <x:v>FAIL</x:v>
      </x:c>
      <x:c r="L177" s="35" t="str">
        <x:v>NOT_RUN</x:v>
      </x:c>
      <x:c r="M177" s="35" t="str">
        <x:v>coverage unavailable or execution/compile failed</x:v>
      </x:c>
      <x:c r="N177" s="35" t="str">
        <x:v>Deepseek-flash-v4/Result/Closure_4/result.json</x:v>
      </x:c>
      <x:c r="O177" s="39" t="str">
        <x:f>IF(AND(G177="RECORDED",ISNUMBER(H177)),H177,"")</x:f>
      </x:c>
      <x:c r="P177" s="35" t="str">
        <x:v>NOT_AVAILABLE</x:v>
      </x:c>
      <x:c r="Q177" s="35" t="str">
        <x:v>Deepseek-flash-v4/Result/Closure_4/result.json</x:v>
      </x:c>
    </x:row>
    <x:row r="178">
      <x:c r="A178" s="35" t="str">
        <x:v>deepseek</x:v>
      </x:c>
      <x:c r="B178" s="35" t="str">
        <x:v>Closure</x:v>
      </x:c>
      <x:c r="C178" s="35" t="str">
        <x:v>Round1</x:v>
      </x:c>
      <x:c r="D178" s="35" t="str">
        <x:v>Closure_40</x:v>
      </x:c>
      <x:c r="E178" s="35" t="str">
        <x:v>Line</x:v>
      </x:c>
      <x:c r="F178" s="35"/>
      <x:c r="G178" s="35" t="str">
        <x:v>A</x:v>
      </x:c>
      <x:c r="H178" s="39" t="str">
        <x:f>IF(ISNUMBER('Data'!E178),'Data'!E178*100,"")</x:f>
      </x:c>
      <x:c r="I178" s="35"/>
      <x:c r="J178" s="35" t="str">
        <x:v>PASS</x:v>
      </x:c>
      <x:c r="K178" s="35" t="str">
        <x:v>FAIL</x:v>
      </x:c>
      <x:c r="L178" s="35" t="str">
        <x:v>NOT_RUN</x:v>
      </x:c>
      <x:c r="M178" s="35" t="str">
        <x:v>coverage unavailable or execution/compile failed</x:v>
      </x:c>
      <x:c r="N178" s="35" t="str">
        <x:v>Deepseek-flash-v4/Result/Closure_40/result.json</x:v>
      </x:c>
      <x:c r="O178" s="39" t="str">
        <x:f>IF(AND(G178="RECORDED",ISNUMBER(H178)),H178,"")</x:f>
      </x:c>
      <x:c r="P178" s="35" t="str">
        <x:v>NOT_AVAILABLE</x:v>
      </x:c>
      <x:c r="Q178" s="35" t="str">
        <x:v>Deepseek-flash-v4/Result/Closure_40/result.json</x:v>
      </x:c>
    </x:row>
    <x:row r="179">
      <x:c r="A179" s="35" t="str">
        <x:v>deepseek</x:v>
      </x:c>
      <x:c r="B179" s="35" t="str">
        <x:v>Closure</x:v>
      </x:c>
      <x:c r="C179" s="35" t="str">
        <x:v>Round1</x:v>
      </x:c>
      <x:c r="D179" s="35" t="str">
        <x:v>Closure_41</x:v>
      </x:c>
      <x:c r="E179" s="35" t="str">
        <x:v>Line</x:v>
      </x:c>
      <x:c r="F179" s="35"/>
      <x:c r="G179" s="35" t="str">
        <x:v>A</x:v>
      </x:c>
      <x:c r="H179" s="39" t="str">
        <x:f>IF(ISNUMBER('Data'!E179),'Data'!E179*100,"")</x:f>
      </x:c>
      <x:c r="I179" s="35"/>
      <x:c r="J179" s="35" t="str">
        <x:v>PASS</x:v>
      </x:c>
      <x:c r="K179" s="35" t="str">
        <x:v>FAIL</x:v>
      </x:c>
      <x:c r="L179" s="35" t="str">
        <x:v>NOT_RUN</x:v>
      </x:c>
      <x:c r="M179" s="35" t="str">
        <x:v>coverage unavailable or execution/compile failed</x:v>
      </x:c>
      <x:c r="N179" s="35" t="str">
        <x:v>Deepseek-flash-v4/Result/Closure_41/result.json</x:v>
      </x:c>
      <x:c r="O179" s="39" t="str">
        <x:f>IF(AND(G179="RECORDED",ISNUMBER(H179)),H179,"")</x:f>
      </x:c>
      <x:c r="P179" s="35" t="str">
        <x:v>NOT_AVAILABLE</x:v>
      </x:c>
      <x:c r="Q179" s="35" t="str">
        <x:v>Deepseek-flash-v4/Result/Closure_41/result.json</x:v>
      </x:c>
    </x:row>
    <x:row r="180">
      <x:c r="A180" s="35" t="str">
        <x:v>deepseek</x:v>
      </x:c>
      <x:c r="B180" s="35" t="str">
        <x:v>Closure</x:v>
      </x:c>
      <x:c r="C180" s="35" t="str">
        <x:v>Round1</x:v>
      </x:c>
      <x:c r="D180" s="35" t="str">
        <x:v>Closure_42</x:v>
      </x:c>
      <x:c r="E180" s="35" t="str">
        <x:v>Line</x:v>
      </x:c>
      <x:c r="F180" s="35"/>
      <x:c r="G180" s="35" t="str">
        <x:v>A</x:v>
      </x:c>
      <x:c r="H180" s="39" t="str">
        <x:f>IF(ISNUMBER('Data'!E180),'Data'!E180*100,"")</x:f>
      </x:c>
      <x:c r="I180" s="35"/>
      <x:c r="J180" s="35" t="str">
        <x:v>PASS</x:v>
      </x:c>
      <x:c r="K180" s="35" t="str">
        <x:v>FAIL</x:v>
      </x:c>
      <x:c r="L180" s="35" t="str">
        <x:v>NOT_RUN</x:v>
      </x:c>
      <x:c r="M180" s="35" t="str">
        <x:v>coverage unavailable or execution/compile failed</x:v>
      </x:c>
      <x:c r="N180" s="35" t="str">
        <x:v>Deepseek-flash-v4/Result/Closure_42/result.json</x:v>
      </x:c>
      <x:c r="O180" s="39" t="str">
        <x:f>IF(AND(G180="RECORDED",ISNUMBER(H180)),H180,"")</x:f>
      </x:c>
      <x:c r="P180" s="35" t="str">
        <x:v>NOT_AVAILABLE</x:v>
      </x:c>
      <x:c r="Q180" s="35" t="str">
        <x:v>Deepseek-flash-v4/Result/Closure_42/result.json</x:v>
      </x:c>
    </x:row>
    <x:row r="181">
      <x:c r="A181" s="35" t="str">
        <x:v>deepseek</x:v>
      </x:c>
      <x:c r="B181" s="35" t="str">
        <x:v>Closure</x:v>
      </x:c>
      <x:c r="C181" s="35" t="str">
        <x:v>Round1</x:v>
      </x:c>
      <x:c r="D181" s="35" t="str">
        <x:v>Closure_43</x:v>
      </x:c>
      <x:c r="E181" s="35" t="str">
        <x:v>Line</x:v>
      </x:c>
      <x:c r="F181" s="35"/>
      <x:c r="G181" s="35" t="str">
        <x:v>A</x:v>
      </x:c>
      <x:c r="H181" s="39" t="str">
        <x:f>IF(ISNUMBER('Data'!E181),'Data'!E181*100,"")</x:f>
      </x:c>
      <x:c r="I181" s="35"/>
      <x:c r="J181" s="35" t="str">
        <x:v>PASS</x:v>
      </x:c>
      <x:c r="K181" s="35" t="str">
        <x:v>FAIL</x:v>
      </x:c>
      <x:c r="L181" s="35" t="str">
        <x:v>NOT_RUN</x:v>
      </x:c>
      <x:c r="M181" s="35" t="str">
        <x:v>coverage unavailable or execution/compile failed</x:v>
      </x:c>
      <x:c r="N181" s="35" t="str">
        <x:v>Deepseek-flash-v4/Result/Closure_43/result.json</x:v>
      </x:c>
      <x:c r="O181" s="39" t="str">
        <x:f>IF(AND(G181="RECORDED",ISNUMBER(H181)),H181,"")</x:f>
      </x:c>
      <x:c r="P181" s="35" t="str">
        <x:v>NOT_AVAILABLE</x:v>
      </x:c>
      <x:c r="Q181" s="35" t="str">
        <x:v>Deepseek-flash-v4/Result/Closure_43/result.json</x:v>
      </x:c>
    </x:row>
    <x:row r="182">
      <x:c r="A182" s="35" t="str">
        <x:v>deepseek</x:v>
      </x:c>
      <x:c r="B182" s="35" t="str">
        <x:v>Closure</x:v>
      </x:c>
      <x:c r="C182" s="35" t="str">
        <x:v>Round1</x:v>
      </x:c>
      <x:c r="D182" s="35" t="str">
        <x:v>Closure_44</x:v>
      </x:c>
      <x:c r="E182" s="35" t="str">
        <x:v>Line</x:v>
      </x:c>
      <x:c r="F182" s="35" t="n">
        <x:v>109</x:v>
      </x:c>
      <x:c r="G182" s="35" t="str">
        <x:v>RECORDED</x:v>
      </x:c>
      <x:c r="H182" s="39" t="n">
        <x:f>IF(ISNUMBER('Data'!E182),'Data'!E182*100,"")</x:f>
        <x:v>83.49</x:v>
      </x:c>
      <x:c r="I182" s="35" t="str">
        <x:v>PASS</x:v>
      </x:c>
      <x:c r="J182" s="35" t="str">
        <x:v>PASS</x:v>
      </x:c>
      <x:c r="K182" s="35" t="str">
        <x:v>PASS</x:v>
      </x:c>
      <x:c r="L182" s="35" t="str">
        <x:v>FAIL</x:v>
      </x:c>
      <x:c r="M182" s="35" t="str">
        <x:v>numeric coverage for applicable metric</x:v>
      </x:c>
      <x:c r="N182" s="35" t="str">
        <x:v>Deepseek-flash-v4/Result/Closure_44/result.json</x:v>
      </x:c>
      <x:c r="O182" s="39" t="n">
        <x:f>IF(AND(G182="RECORDED",ISNUMBER(H182)),H182,"")</x:f>
        <x:v>83.49</x:v>
      </x:c>
      <x:c r="P182" s="35" t="str">
        <x:v>INCONCLUSIVE</x:v>
      </x:c>
      <x:c r="Q182" s="35" t="str">
        <x:v>Deepseek-flash-v4/Result/Closure_44/result.json</x:v>
      </x:c>
    </x:row>
    <x:row r="183">
      <x:c r="A183" s="35" t="str">
        <x:v>deepseek</x:v>
      </x:c>
      <x:c r="B183" s="35" t="str">
        <x:v>Closure</x:v>
      </x:c>
      <x:c r="C183" s="35" t="str">
        <x:v>Round1</x:v>
      </x:c>
      <x:c r="D183" s="35" t="str">
        <x:v>Closure_45</x:v>
      </x:c>
      <x:c r="E183" s="35" t="str">
        <x:v>Line</x:v>
      </x:c>
      <x:c r="F183" s="35"/>
      <x:c r="G183" s="35" t="str">
        <x:v>A</x:v>
      </x:c>
      <x:c r="H183" s="39" t="str">
        <x:f>IF(ISNUMBER('Data'!E183),'Data'!E183*100,"")</x:f>
      </x:c>
      <x:c r="I183" s="35"/>
      <x:c r="J183" s="35" t="str">
        <x:v>PASS</x:v>
      </x:c>
      <x:c r="K183" s="35" t="str">
        <x:v>FAIL</x:v>
      </x:c>
      <x:c r="L183" s="35" t="str">
        <x:v>NOT_RUN</x:v>
      </x:c>
      <x:c r="M183" s="35" t="str">
        <x:v>coverage unavailable or execution/compile failed</x:v>
      </x:c>
      <x:c r="N183" s="35" t="str">
        <x:v>Deepseek-flash-v4/Result/Closure_45/result.json</x:v>
      </x:c>
      <x:c r="O183" s="39" t="str">
        <x:f>IF(AND(G183="RECORDED",ISNUMBER(H183)),H183,"")</x:f>
      </x:c>
      <x:c r="P183" s="35" t="str">
        <x:v>NOT_AVAILABLE</x:v>
      </x:c>
      <x:c r="Q183" s="35" t="str">
        <x:v>Deepseek-flash-v4/Result/Closure_45/result.json</x:v>
      </x:c>
    </x:row>
    <x:row r="184">
      <x:c r="A184" s="35" t="str">
        <x:v>deepseek</x:v>
      </x:c>
      <x:c r="B184" s="35" t="str">
        <x:v>Closure</x:v>
      </x:c>
      <x:c r="C184" s="35" t="str">
        <x:v>Round1</x:v>
      </x:c>
      <x:c r="D184" s="35" t="str">
        <x:v>Closure_46</x:v>
      </x:c>
      <x:c r="E184" s="35" t="str">
        <x:v>Line</x:v>
      </x:c>
      <x:c r="F184" s="35"/>
      <x:c r="G184" s="35" t="str">
        <x:v>A</x:v>
      </x:c>
      <x:c r="H184" s="39" t="str">
        <x:f>IF(ISNUMBER('Data'!E184),'Data'!E184*100,"")</x:f>
      </x:c>
      <x:c r="I184" s="35"/>
      <x:c r="J184" s="35" t="str">
        <x:v>PASS</x:v>
      </x:c>
      <x:c r="K184" s="35" t="str">
        <x:v>FAIL</x:v>
      </x:c>
      <x:c r="L184" s="35" t="str">
        <x:v>NOT_RUN</x:v>
      </x:c>
      <x:c r="M184" s="35" t="str">
        <x:v>coverage unavailable or execution/compile failed</x:v>
      </x:c>
      <x:c r="N184" s="35" t="str">
        <x:v>Deepseek-flash-v4/Result/Closure_46/result.json</x:v>
      </x:c>
      <x:c r="O184" s="39" t="str">
        <x:f>IF(AND(G184="RECORDED",ISNUMBER(H184)),H184,"")</x:f>
      </x:c>
      <x:c r="P184" s="35" t="str">
        <x:v>NOT_AVAILABLE</x:v>
      </x:c>
      <x:c r="Q184" s="35" t="str">
        <x:v>Deepseek-flash-v4/Result/Closure_46/result.json</x:v>
      </x:c>
    </x:row>
    <x:row r="185">
      <x:c r="A185" s="35" t="str">
        <x:v>deepseek</x:v>
      </x:c>
      <x:c r="B185" s="35" t="str">
        <x:v>Closure</x:v>
      </x:c>
      <x:c r="C185" s="35" t="str">
        <x:v>Round1</x:v>
      </x:c>
      <x:c r="D185" s="35" t="str">
        <x:v>Closure_47</x:v>
      </x:c>
      <x:c r="E185" s="35" t="str">
        <x:v>Line</x:v>
      </x:c>
      <x:c r="F185" s="35"/>
      <x:c r="G185" s="35" t="str">
        <x:v>A</x:v>
      </x:c>
      <x:c r="H185" s="39" t="str">
        <x:f>IF(ISNUMBER('Data'!E185),'Data'!E185*100,"")</x:f>
      </x:c>
      <x:c r="I185" s="35"/>
      <x:c r="J185" s="35" t="str">
        <x:v>PASS</x:v>
      </x:c>
      <x:c r="K185" s="35" t="str">
        <x:v>FAIL</x:v>
      </x:c>
      <x:c r="L185" s="35" t="str">
        <x:v>NOT_RUN</x:v>
      </x:c>
      <x:c r="M185" s="35" t="str">
        <x:v>coverage unavailable or execution/compile failed</x:v>
      </x:c>
      <x:c r="N185" s="35" t="str">
        <x:v>Deepseek-flash-v4/Result/Closure_47/result.json</x:v>
      </x:c>
      <x:c r="O185" s="39" t="str">
        <x:f>IF(AND(G185="RECORDED",ISNUMBER(H185)),H185,"")</x:f>
      </x:c>
      <x:c r="P185" s="35" t="str">
        <x:v>NOT_AVAILABLE</x:v>
      </x:c>
      <x:c r="Q185" s="35" t="str">
        <x:v>Deepseek-flash-v4/Result/Closure_47/result.json</x:v>
      </x:c>
    </x:row>
    <x:row r="186">
      <x:c r="A186" s="35" t="str">
        <x:v>deepseek</x:v>
      </x:c>
      <x:c r="B186" s="35" t="str">
        <x:v>Closure</x:v>
      </x:c>
      <x:c r="C186" s="35" t="str">
        <x:v>Round1</x:v>
      </x:c>
      <x:c r="D186" s="35" t="str">
        <x:v>Closure_48</x:v>
      </x:c>
      <x:c r="E186" s="35" t="str">
        <x:v>Line</x:v>
      </x:c>
      <x:c r="F186" s="35"/>
      <x:c r="G186" s="35" t="str">
        <x:v>A</x:v>
      </x:c>
      <x:c r="H186" s="39" t="str">
        <x:f>IF(ISNUMBER('Data'!E186),'Data'!E186*100,"")</x:f>
      </x:c>
      <x:c r="I186" s="35"/>
      <x:c r="J186" s="35" t="str">
        <x:v>PASS</x:v>
      </x:c>
      <x:c r="K186" s="35" t="str">
        <x:v>FAIL</x:v>
      </x:c>
      <x:c r="L186" s="35" t="str">
        <x:v>NOT_RUN</x:v>
      </x:c>
      <x:c r="M186" s="35" t="str">
        <x:v>coverage unavailable or execution/compile failed</x:v>
      </x:c>
      <x:c r="N186" s="35" t="str">
        <x:v>Deepseek-flash-v4/Result/Closure_48/result.json</x:v>
      </x:c>
      <x:c r="O186" s="39" t="str">
        <x:f>IF(AND(G186="RECORDED",ISNUMBER(H186)),H186,"")</x:f>
      </x:c>
      <x:c r="P186" s="35" t="str">
        <x:v>NOT_AVAILABLE</x:v>
      </x:c>
      <x:c r="Q186" s="35" t="str">
        <x:v>Deepseek-flash-v4/Result/Closure_48/result.json</x:v>
      </x:c>
    </x:row>
    <x:row r="187">
      <x:c r="A187" s="35" t="str">
        <x:v>deepseek</x:v>
      </x:c>
      <x:c r="B187" s="35" t="str">
        <x:v>Closure</x:v>
      </x:c>
      <x:c r="C187" s="35" t="str">
        <x:v>Round1</x:v>
      </x:c>
      <x:c r="D187" s="35" t="str">
        <x:v>Closure_49</x:v>
      </x:c>
      <x:c r="E187" s="35" t="str">
        <x:v>Line</x:v>
      </x:c>
      <x:c r="F187" s="35"/>
      <x:c r="G187" s="35" t="str">
        <x:v>A</x:v>
      </x:c>
      <x:c r="H187" s="39" t="str">
        <x:f>IF(ISNUMBER('Data'!E187),'Data'!E187*100,"")</x:f>
      </x:c>
      <x:c r="I187" s="35"/>
      <x:c r="J187" s="35" t="str">
        <x:v>PASS</x:v>
      </x:c>
      <x:c r="K187" s="35" t="str">
        <x:v>FAIL</x:v>
      </x:c>
      <x:c r="L187" s="35" t="str">
        <x:v>NOT_RUN</x:v>
      </x:c>
      <x:c r="M187" s="35" t="str">
        <x:v>coverage unavailable or execution/compile failed</x:v>
      </x:c>
      <x:c r="N187" s="35" t="str">
        <x:v>Deepseek-flash-v4/Result/Closure_49/result.json</x:v>
      </x:c>
      <x:c r="O187" s="39" t="str">
        <x:f>IF(AND(G187="RECORDED",ISNUMBER(H187)),H187,"")</x:f>
      </x:c>
      <x:c r="P187" s="35" t="str">
        <x:v>NOT_AVAILABLE</x:v>
      </x:c>
      <x:c r="Q187" s="35" t="str">
        <x:v>Deepseek-flash-v4/Result/Closure_49/result.json</x:v>
      </x:c>
    </x:row>
    <x:row r="188">
      <x:c r="A188" s="35" t="str">
        <x:v>deepseek</x:v>
      </x:c>
      <x:c r="B188" s="35" t="str">
        <x:v>Closure</x:v>
      </x:c>
      <x:c r="C188" s="35" t="str">
        <x:v>Round1</x:v>
      </x:c>
      <x:c r="D188" s="35" t="str">
        <x:v>Closure_5</x:v>
      </x:c>
      <x:c r="E188" s="35" t="str">
        <x:v>Line</x:v>
      </x:c>
      <x:c r="F188" s="35"/>
      <x:c r="G188" s="35" t="str">
        <x:v>A</x:v>
      </x:c>
      <x:c r="H188" s="39" t="str">
        <x:f>IF(ISNUMBER('Data'!E188),'Data'!E188*100,"")</x:f>
      </x:c>
      <x:c r="I188" s="35"/>
      <x:c r="J188" s="35" t="str">
        <x:v>PASS</x:v>
      </x:c>
      <x:c r="K188" s="35" t="str">
        <x:v>FAIL</x:v>
      </x:c>
      <x:c r="L188" s="35" t="str">
        <x:v>NOT_RUN</x:v>
      </x:c>
      <x:c r="M188" s="35" t="str">
        <x:v>coverage unavailable or execution/compile failed</x:v>
      </x:c>
      <x:c r="N188" s="35" t="str">
        <x:v>Deepseek-flash-v4/Result/Closure_5/result.json</x:v>
      </x:c>
      <x:c r="O188" s="39" t="str">
        <x:f>IF(AND(G188="RECORDED",ISNUMBER(H188)),H188,"")</x:f>
      </x:c>
      <x:c r="P188" s="35" t="str">
        <x:v>NOT_AVAILABLE</x:v>
      </x:c>
      <x:c r="Q188" s="35" t="str">
        <x:v>Deepseek-flash-v4/Result/Closure_5/result.json</x:v>
      </x:c>
    </x:row>
    <x:row r="189">
      <x:c r="A189" s="35" t="str">
        <x:v>deepseek</x:v>
      </x:c>
      <x:c r="B189" s="35" t="str">
        <x:v>Closure</x:v>
      </x:c>
      <x:c r="C189" s="35" t="str">
        <x:v>Round1</x:v>
      </x:c>
      <x:c r="D189" s="35" t="str">
        <x:v>Closure_50</x:v>
      </x:c>
      <x:c r="E189" s="35" t="str">
        <x:v>Line</x:v>
      </x:c>
      <x:c r="F189" s="35" t="n">
        <x:v>308</x:v>
      </x:c>
      <x:c r="G189" s="35" t="str">
        <x:v>RECORDED</x:v>
      </x:c>
      <x:c r="H189" s="39" t="n">
        <x:f>IF(ISNUMBER('Data'!E189),'Data'!E189*100,"")</x:f>
        <x:v>52.27</x:v>
      </x:c>
      <x:c r="I189" s="35" t="str">
        <x:v>PASS</x:v>
      </x:c>
      <x:c r="J189" s="35" t="str">
        <x:v>PASS</x:v>
      </x:c>
      <x:c r="K189" s="35" t="str">
        <x:v>PASS</x:v>
      </x:c>
      <x:c r="L189" s="35" t="str">
        <x:v>FAIL</x:v>
      </x:c>
      <x:c r="M189" s="35" t="str">
        <x:v>numeric coverage for applicable metric</x:v>
      </x:c>
      <x:c r="N189" s="35" t="str">
        <x:v>Deepseek-flash-v4/Result/Closure_50/result.json</x:v>
      </x:c>
      <x:c r="O189" s="39" t="n">
        <x:f>IF(AND(G189="RECORDED",ISNUMBER(H189)),H189,"")</x:f>
        <x:v>52.27</x:v>
      </x:c>
      <x:c r="P189" s="35" t="str">
        <x:v>INCONCLUSIVE</x:v>
      </x:c>
      <x:c r="Q189" s="35" t="str">
        <x:v>Deepseek-flash-v4/Result/Closure_50/result.json</x:v>
      </x:c>
    </x:row>
    <x:row r="190">
      <x:c r="A190" s="35" t="str">
        <x:v>deepseek</x:v>
      </x:c>
      <x:c r="B190" s="35" t="str">
        <x:v>Closure</x:v>
      </x:c>
      <x:c r="C190" s="35" t="str">
        <x:v>Round1</x:v>
      </x:c>
      <x:c r="D190" s="35" t="str">
        <x:v>Closure_51</x:v>
      </x:c>
      <x:c r="E190" s="35" t="str">
        <x:v>Line</x:v>
      </x:c>
      <x:c r="F190" s="35"/>
      <x:c r="G190" s="35" t="str">
        <x:v>A</x:v>
      </x:c>
      <x:c r="H190" s="39" t="str">
        <x:f>IF(ISNUMBER('Data'!E190),'Data'!E190*100,"")</x:f>
      </x:c>
      <x:c r="I190" s="35"/>
      <x:c r="J190" s="35" t="str">
        <x:v>PASS</x:v>
      </x:c>
      <x:c r="K190" s="35" t="str">
        <x:v>FAIL</x:v>
      </x:c>
      <x:c r="L190" s="35" t="str">
        <x:v>NOT_RUN</x:v>
      </x:c>
      <x:c r="M190" s="35" t="str">
        <x:v>coverage unavailable or execution/compile failed</x:v>
      </x:c>
      <x:c r="N190" s="35" t="str">
        <x:v>Deepseek-flash-v4/Result/Closure_51/result.json</x:v>
      </x:c>
      <x:c r="O190" s="39" t="str">
        <x:f>IF(AND(G190="RECORDED",ISNUMBER(H190)),H190,"")</x:f>
      </x:c>
      <x:c r="P190" s="35" t="str">
        <x:v>NOT_AVAILABLE</x:v>
      </x:c>
      <x:c r="Q190" s="35" t="str">
        <x:v>Deepseek-flash-v4/Result/Closure_51/result.json</x:v>
      </x:c>
    </x:row>
    <x:row r="191">
      <x:c r="A191" s="35" t="str">
        <x:v>deepseek</x:v>
      </x:c>
      <x:c r="B191" s="35" t="str">
        <x:v>Closure</x:v>
      </x:c>
      <x:c r="C191" s="35" t="str">
        <x:v>Round1</x:v>
      </x:c>
      <x:c r="D191" s="35" t="str">
        <x:v>Closure_52</x:v>
      </x:c>
      <x:c r="E191" s="35" t="str">
        <x:v>Line</x:v>
      </x:c>
      <x:c r="F191" s="35"/>
      <x:c r="G191" s="35" t="str">
        <x:v>A</x:v>
      </x:c>
      <x:c r="H191" s="39" t="str">
        <x:f>IF(ISNUMBER('Data'!E191),'Data'!E191*100,"")</x:f>
      </x:c>
      <x:c r="I191" s="35"/>
      <x:c r="J191" s="35" t="str">
        <x:v>PASS</x:v>
      </x:c>
      <x:c r="K191" s="35" t="str">
        <x:v>FAIL</x:v>
      </x:c>
      <x:c r="L191" s="35" t="str">
        <x:v>NOT_RUN</x:v>
      </x:c>
      <x:c r="M191" s="35" t="str">
        <x:v>coverage unavailable or execution/compile failed</x:v>
      </x:c>
      <x:c r="N191" s="35" t="str">
        <x:v>Deepseek-flash-v4/Result/Closure_52/result.json</x:v>
      </x:c>
      <x:c r="O191" s="39" t="str">
        <x:f>IF(AND(G191="RECORDED",ISNUMBER(H191)),H191,"")</x:f>
      </x:c>
      <x:c r="P191" s="35" t="str">
        <x:v>NOT_AVAILABLE</x:v>
      </x:c>
      <x:c r="Q191" s="35" t="str">
        <x:v>Deepseek-flash-v4/Result/Closure_52/result.json</x:v>
      </x:c>
    </x:row>
    <x:row r="192">
      <x:c r="A192" s="35" t="str">
        <x:v>deepseek</x:v>
      </x:c>
      <x:c r="B192" s="35" t="str">
        <x:v>Closure</x:v>
      </x:c>
      <x:c r="C192" s="35" t="str">
        <x:v>Round1</x:v>
      </x:c>
      <x:c r="D192" s="35" t="str">
        <x:v>Closure_53</x:v>
      </x:c>
      <x:c r="E192" s="35" t="str">
        <x:v>Line</x:v>
      </x:c>
      <x:c r="F192" s="35"/>
      <x:c r="G192" s="35" t="str">
        <x:v>A</x:v>
      </x:c>
      <x:c r="H192" s="39" t="str">
        <x:f>IF(ISNUMBER('Data'!E192),'Data'!E192*100,"")</x:f>
      </x:c>
      <x:c r="I192" s="35"/>
      <x:c r="J192" s="35" t="str">
        <x:v>PASS</x:v>
      </x:c>
      <x:c r="K192" s="35" t="str">
        <x:v>FAIL</x:v>
      </x:c>
      <x:c r="L192" s="35" t="str">
        <x:v>NOT_RUN</x:v>
      </x:c>
      <x:c r="M192" s="35" t="str">
        <x:v>coverage unavailable or execution/compile failed</x:v>
      </x:c>
      <x:c r="N192" s="35" t="str">
        <x:v>Deepseek-flash-v4/Result/Closure_53/result.json</x:v>
      </x:c>
      <x:c r="O192" s="39" t="str">
        <x:f>IF(AND(G192="RECORDED",ISNUMBER(H192)),H192,"")</x:f>
      </x:c>
      <x:c r="P192" s="35" t="str">
        <x:v>NOT_AVAILABLE</x:v>
      </x:c>
      <x:c r="Q192" s="35" t="str">
        <x:v>Deepseek-flash-v4/Result/Closure_53/result.json</x:v>
      </x:c>
    </x:row>
    <x:row r="193">
      <x:c r="A193" s="35" t="str">
        <x:v>deepseek</x:v>
      </x:c>
      <x:c r="B193" s="35" t="str">
        <x:v>Closure</x:v>
      </x:c>
      <x:c r="C193" s="35" t="str">
        <x:v>Round1</x:v>
      </x:c>
      <x:c r="D193" s="35" t="str">
        <x:v>Closure_54</x:v>
      </x:c>
      <x:c r="E193" s="35" t="str">
        <x:v>Line</x:v>
      </x:c>
      <x:c r="F193" s="35"/>
      <x:c r="G193" s="35" t="str">
        <x:v>A</x:v>
      </x:c>
      <x:c r="H193" s="39" t="str">
        <x:f>IF(ISNUMBER('Data'!E193),'Data'!E193*100,"")</x:f>
      </x:c>
      <x:c r="I193" s="35"/>
      <x:c r="J193" s="35" t="str">
        <x:v>PASS</x:v>
      </x:c>
      <x:c r="K193" s="35" t="str">
        <x:v>FAIL</x:v>
      </x:c>
      <x:c r="L193" s="35" t="str">
        <x:v>NOT_RUN</x:v>
      </x:c>
      <x:c r="M193" s="35" t="str">
        <x:v>coverage unavailable or execution/compile failed</x:v>
      </x:c>
      <x:c r="N193" s="35" t="str">
        <x:v>Deepseek-flash-v4/Result/Closure_54/result.json</x:v>
      </x:c>
      <x:c r="O193" s="39" t="str">
        <x:f>IF(AND(G193="RECORDED",ISNUMBER(H193)),H193,"")</x:f>
      </x:c>
      <x:c r="P193" s="35" t="str">
        <x:v>NOT_AVAILABLE</x:v>
      </x:c>
      <x:c r="Q193" s="35" t="str">
        <x:v>Deepseek-flash-v4/Result/Closure_54/result.json</x:v>
      </x:c>
    </x:row>
    <x:row r="194">
      <x:c r="A194" s="35" t="str">
        <x:v>deepseek</x:v>
      </x:c>
      <x:c r="B194" s="35" t="str">
        <x:v>Closure</x:v>
      </x:c>
      <x:c r="C194" s="35" t="str">
        <x:v>Round1</x:v>
      </x:c>
      <x:c r="D194" s="35" t="str">
        <x:v>Closure_55</x:v>
      </x:c>
      <x:c r="E194" s="35" t="str">
        <x:v>Line</x:v>
      </x:c>
      <x:c r="F194" s="35"/>
      <x:c r="G194" s="35" t="str">
        <x:v>A</x:v>
      </x:c>
      <x:c r="H194" s="39" t="str">
        <x:f>IF(ISNUMBER('Data'!E194),'Data'!E194*100,"")</x:f>
      </x:c>
      <x:c r="I194" s="35"/>
      <x:c r="J194" s="35" t="str">
        <x:v>PASS</x:v>
      </x:c>
      <x:c r="K194" s="35" t="str">
        <x:v>FAIL</x:v>
      </x:c>
      <x:c r="L194" s="35" t="str">
        <x:v>NOT_RUN</x:v>
      </x:c>
      <x:c r="M194" s="35" t="str">
        <x:v>coverage unavailable or execution/compile failed</x:v>
      </x:c>
      <x:c r="N194" s="35" t="str">
        <x:v>Deepseek-flash-v4/Result/Closure_55/result.json</x:v>
      </x:c>
      <x:c r="O194" s="39" t="str">
        <x:f>IF(AND(G194="RECORDED",ISNUMBER(H194)),H194,"")</x:f>
      </x:c>
      <x:c r="P194" s="35" t="str">
        <x:v>NOT_AVAILABLE</x:v>
      </x:c>
      <x:c r="Q194" s="35" t="str">
        <x:v>Deepseek-flash-v4/Result/Closure_55/result.json</x:v>
      </x:c>
    </x:row>
    <x:row r="195">
      <x:c r="A195" s="35" t="str">
        <x:v>deepseek</x:v>
      </x:c>
      <x:c r="B195" s="35" t="str">
        <x:v>Closure</x:v>
      </x:c>
      <x:c r="C195" s="35" t="str">
        <x:v>Round1</x:v>
      </x:c>
      <x:c r="D195" s="35" t="str">
        <x:v>Closure_56</x:v>
      </x:c>
      <x:c r="E195" s="35" t="str">
        <x:v>Line</x:v>
      </x:c>
      <x:c r="F195" s="35"/>
      <x:c r="G195" s="35" t="str">
        <x:v>A</x:v>
      </x:c>
      <x:c r="H195" s="39" t="str">
        <x:f>IF(ISNUMBER('Data'!E195),'Data'!E195*100,"")</x:f>
      </x:c>
      <x:c r="I195" s="35"/>
      <x:c r="J195" s="35" t="str">
        <x:v>PASS</x:v>
      </x:c>
      <x:c r="K195" s="35" t="str">
        <x:v>FAIL</x:v>
      </x:c>
      <x:c r="L195" s="35" t="str">
        <x:v>NOT_RUN</x:v>
      </x:c>
      <x:c r="M195" s="35" t="str">
        <x:v>coverage unavailable or execution/compile failed</x:v>
      </x:c>
      <x:c r="N195" s="35" t="str">
        <x:v>Deepseek-flash-v4/Result/Closure_56/result.json</x:v>
      </x:c>
      <x:c r="O195" s="39" t="str">
        <x:f>IF(AND(G195="RECORDED",ISNUMBER(H195)),H195,"")</x:f>
      </x:c>
      <x:c r="P195" s="35" t="str">
        <x:v>NOT_AVAILABLE</x:v>
      </x:c>
      <x:c r="Q195" s="35" t="str">
        <x:v>Deepseek-flash-v4/Result/Closure_56/result.json</x:v>
      </x:c>
    </x:row>
    <x:row r="196">
      <x:c r="A196" s="35" t="str">
        <x:v>deepseek</x:v>
      </x:c>
      <x:c r="B196" s="35" t="str">
        <x:v>Closure</x:v>
      </x:c>
      <x:c r="C196" s="35" t="str">
        <x:v>Round1</x:v>
      </x:c>
      <x:c r="D196" s="35" t="str">
        <x:v>Closure_57</x:v>
      </x:c>
      <x:c r="E196" s="35" t="str">
        <x:v>Line</x:v>
      </x:c>
      <x:c r="F196" s="35"/>
      <x:c r="G196" s="35" t="str">
        <x:v>A</x:v>
      </x:c>
      <x:c r="H196" s="39" t="str">
        <x:f>IF(ISNUMBER('Data'!E196),'Data'!E196*100,"")</x:f>
      </x:c>
      <x:c r="I196" s="35"/>
      <x:c r="J196" s="35" t="str">
        <x:v>PASS</x:v>
      </x:c>
      <x:c r="K196" s="35" t="str">
        <x:v>FAIL</x:v>
      </x:c>
      <x:c r="L196" s="35" t="str">
        <x:v>NOT_RUN</x:v>
      </x:c>
      <x:c r="M196" s="35" t="str">
        <x:v>coverage unavailable or execution/compile failed</x:v>
      </x:c>
      <x:c r="N196" s="35" t="str">
        <x:v>Deepseek-flash-v4/Result/Closure_57/result.json</x:v>
      </x:c>
      <x:c r="O196" s="39" t="str">
        <x:f>IF(AND(G196="RECORDED",ISNUMBER(H196)),H196,"")</x:f>
      </x:c>
      <x:c r="P196" s="35" t="str">
        <x:v>NOT_AVAILABLE</x:v>
      </x:c>
      <x:c r="Q196" s="35" t="str">
        <x:v>Deepseek-flash-v4/Result/Closure_57/result.json</x:v>
      </x:c>
    </x:row>
    <x:row r="197">
      <x:c r="A197" s="35" t="str">
        <x:v>deepseek</x:v>
      </x:c>
      <x:c r="B197" s="35" t="str">
        <x:v>Closure</x:v>
      </x:c>
      <x:c r="C197" s="35" t="str">
        <x:v>Round1</x:v>
      </x:c>
      <x:c r="D197" s="35" t="str">
        <x:v>Closure_58</x:v>
      </x:c>
      <x:c r="E197" s="35" t="str">
        <x:v>Line</x:v>
      </x:c>
      <x:c r="F197" s="35"/>
      <x:c r="G197" s="35" t="str">
        <x:v>A</x:v>
      </x:c>
      <x:c r="H197" s="39" t="str">
        <x:f>IF(ISNUMBER('Data'!E197),'Data'!E197*100,"")</x:f>
      </x:c>
      <x:c r="I197" s="35"/>
      <x:c r="J197" s="35" t="str">
        <x:v>PASS</x:v>
      </x:c>
      <x:c r="K197" s="35" t="str">
        <x:v>FAIL</x:v>
      </x:c>
      <x:c r="L197" s="35" t="str">
        <x:v>NOT_RUN</x:v>
      </x:c>
      <x:c r="M197" s="35" t="str">
        <x:v>coverage unavailable or execution/compile failed</x:v>
      </x:c>
      <x:c r="N197" s="35" t="str">
        <x:v>Deepseek-flash-v4/Result/Closure_58/result.json</x:v>
      </x:c>
      <x:c r="O197" s="39" t="str">
        <x:f>IF(AND(G197="RECORDED",ISNUMBER(H197)),H197,"")</x:f>
      </x:c>
      <x:c r="P197" s="35" t="str">
        <x:v>NOT_AVAILABLE</x:v>
      </x:c>
      <x:c r="Q197" s="35" t="str">
        <x:v>Deepseek-flash-v4/Result/Closure_58/result.json</x:v>
      </x:c>
    </x:row>
    <x:row r="198">
      <x:c r="A198" s="35" t="str">
        <x:v>deepseek</x:v>
      </x:c>
      <x:c r="B198" s="35" t="str">
        <x:v>Closure</x:v>
      </x:c>
      <x:c r="C198" s="35" t="str">
        <x:v>Round1</x:v>
      </x:c>
      <x:c r="D198" s="35" t="str">
        <x:v>Closure_59</x:v>
      </x:c>
      <x:c r="E198" s="35" t="str">
        <x:v>Line</x:v>
      </x:c>
      <x:c r="F198" s="35"/>
      <x:c r="G198" s="35" t="str">
        <x:v>A</x:v>
      </x:c>
      <x:c r="H198" s="39" t="str">
        <x:f>IF(ISNUMBER('Data'!E198),'Data'!E198*100,"")</x:f>
      </x:c>
      <x:c r="I198" s="35"/>
      <x:c r="J198" s="35" t="str">
        <x:v>PASS</x:v>
      </x:c>
      <x:c r="K198" s="35" t="str">
        <x:v>FAIL</x:v>
      </x:c>
      <x:c r="L198" s="35" t="str">
        <x:v>NOT_RUN</x:v>
      </x:c>
      <x:c r="M198" s="35" t="str">
        <x:v>coverage unavailable or execution/compile failed</x:v>
      </x:c>
      <x:c r="N198" s="35" t="str">
        <x:v>Deepseek-flash-v4/Result/Closure_59/result.json</x:v>
      </x:c>
      <x:c r="O198" s="39" t="str">
        <x:f>IF(AND(G198="RECORDED",ISNUMBER(H198)),H198,"")</x:f>
      </x:c>
      <x:c r="P198" s="35" t="str">
        <x:v>NOT_AVAILABLE</x:v>
      </x:c>
      <x:c r="Q198" s="35" t="str">
        <x:v>Deepseek-flash-v4/Result/Closure_59/result.json</x:v>
      </x:c>
    </x:row>
    <x:row r="199">
      <x:c r="A199" s="35" t="str">
        <x:v>deepseek</x:v>
      </x:c>
      <x:c r="B199" s="35" t="str">
        <x:v>Closure</x:v>
      </x:c>
      <x:c r="C199" s="35" t="str">
        <x:v>Round1</x:v>
      </x:c>
      <x:c r="D199" s="35" t="str">
        <x:v>Closure_6</x:v>
      </x:c>
      <x:c r="E199" s="35" t="str">
        <x:v>Line</x:v>
      </x:c>
      <x:c r="F199" s="35"/>
      <x:c r="G199" s="35" t="str">
        <x:v>A</x:v>
      </x:c>
      <x:c r="H199" s="39" t="str">
        <x:f>IF(ISNUMBER('Data'!E199),'Data'!E199*100,"")</x:f>
      </x:c>
      <x:c r="I199" s="35"/>
      <x:c r="J199" s="35" t="str">
        <x:v>PASS</x:v>
      </x:c>
      <x:c r="K199" s="35" t="str">
        <x:v>FAIL</x:v>
      </x:c>
      <x:c r="L199" s="35" t="str">
        <x:v>NOT_RUN</x:v>
      </x:c>
      <x:c r="M199" s="35" t="str">
        <x:v>coverage unavailable or execution/compile failed</x:v>
      </x:c>
      <x:c r="N199" s="35" t="str">
        <x:v>Deepseek-flash-v4/Result/Closure_6/result.json</x:v>
      </x:c>
      <x:c r="O199" s="39" t="str">
        <x:f>IF(AND(G199="RECORDED",ISNUMBER(H199)),H199,"")</x:f>
      </x:c>
      <x:c r="P199" s="35" t="str">
        <x:v>NOT_AVAILABLE</x:v>
      </x:c>
      <x:c r="Q199" s="35" t="str">
        <x:v>Deepseek-flash-v4/Result/Closure_6/result.json</x:v>
      </x:c>
    </x:row>
    <x:row r="200">
      <x:c r="A200" s="35" t="str">
        <x:v>deepseek</x:v>
      </x:c>
      <x:c r="B200" s="35" t="str">
        <x:v>Closure</x:v>
      </x:c>
      <x:c r="C200" s="35" t="str">
        <x:v>Round1</x:v>
      </x:c>
      <x:c r="D200" s="35" t="str">
        <x:v>Closure_60</x:v>
      </x:c>
      <x:c r="E200" s="35" t="str">
        <x:v>Line</x:v>
      </x:c>
      <x:c r="F200" s="35"/>
      <x:c r="G200" s="35" t="str">
        <x:v>A</x:v>
      </x:c>
      <x:c r="H200" s="39" t="str">
        <x:f>IF(ISNUMBER('Data'!E200),'Data'!E200*100,"")</x:f>
      </x:c>
      <x:c r="I200" s="35"/>
      <x:c r="J200" s="35" t="str">
        <x:v>PASS</x:v>
      </x:c>
      <x:c r="K200" s="35" t="str">
        <x:v>FAIL</x:v>
      </x:c>
      <x:c r="L200" s="35" t="str">
        <x:v>NOT_RUN</x:v>
      </x:c>
      <x:c r="M200" s="35" t="str">
        <x:v>coverage unavailable or execution/compile failed</x:v>
      </x:c>
      <x:c r="N200" s="35" t="str">
        <x:v>Deepseek-flash-v4/Result/Closure_60/result.json</x:v>
      </x:c>
      <x:c r="O200" s="39" t="str">
        <x:f>IF(AND(G200="RECORDED",ISNUMBER(H200)),H200,"")</x:f>
      </x:c>
      <x:c r="P200" s="35" t="str">
        <x:v>NOT_AVAILABLE</x:v>
      </x:c>
      <x:c r="Q200" s="35" t="str">
        <x:v>Deepseek-flash-v4/Result/Closure_60/result.json</x:v>
      </x:c>
    </x:row>
    <x:row r="201">
      <x:c r="A201" s="35" t="str">
        <x:v>deepseek</x:v>
      </x:c>
      <x:c r="B201" s="35" t="str">
        <x:v>Closure</x:v>
      </x:c>
      <x:c r="C201" s="35" t="str">
        <x:v>Round1</x:v>
      </x:c>
      <x:c r="D201" s="35" t="str">
        <x:v>Closure_61</x:v>
      </x:c>
      <x:c r="E201" s="35" t="str">
        <x:v>Line</x:v>
      </x:c>
      <x:c r="F201" s="35"/>
      <x:c r="G201" s="35" t="str">
        <x:v>A</x:v>
      </x:c>
      <x:c r="H201" s="39" t="str">
        <x:f>IF(ISNUMBER('Data'!E201),'Data'!E201*100,"")</x:f>
      </x:c>
      <x:c r="I201" s="35"/>
      <x:c r="J201" s="35" t="str">
        <x:v>PASS</x:v>
      </x:c>
      <x:c r="K201" s="35" t="str">
        <x:v>FAIL</x:v>
      </x:c>
      <x:c r="L201" s="35" t="str">
        <x:v>NOT_RUN</x:v>
      </x:c>
      <x:c r="M201" s="35" t="str">
        <x:v>coverage unavailable or execution/compile failed</x:v>
      </x:c>
      <x:c r="N201" s="35" t="str">
        <x:v>Deepseek-flash-v4/Result/Closure_61/result.json</x:v>
      </x:c>
      <x:c r="O201" s="39" t="str">
        <x:f>IF(AND(G201="RECORDED",ISNUMBER(H201)),H201,"")</x:f>
      </x:c>
      <x:c r="P201" s="35" t="str">
        <x:v>NOT_AVAILABLE</x:v>
      </x:c>
      <x:c r="Q201" s="35" t="str">
        <x:v>Deepseek-flash-v4/Result/Closure_61/result.json</x:v>
      </x:c>
    </x:row>
    <x:row r="202">
      <x:c r="A202" s="35" t="str">
        <x:v>deepseek</x:v>
      </x:c>
      <x:c r="B202" s="35" t="str">
        <x:v>Closure</x:v>
      </x:c>
      <x:c r="C202" s="35" t="str">
        <x:v>Round1</x:v>
      </x:c>
      <x:c r="D202" s="35" t="str">
        <x:v>Closure_62</x:v>
      </x:c>
      <x:c r="E202" s="35" t="str">
        <x:v>Line</x:v>
      </x:c>
      <x:c r="F202" s="35"/>
      <x:c r="G202" s="35" t="str">
        <x:v>A</x:v>
      </x:c>
      <x:c r="H202" s="39" t="str">
        <x:f>IF(ISNUMBER('Data'!E202),'Data'!E202*100,"")</x:f>
      </x:c>
      <x:c r="I202" s="35"/>
      <x:c r="J202" s="35" t="str">
        <x:v>PASS</x:v>
      </x:c>
      <x:c r="K202" s="35" t="str">
        <x:v>FAIL</x:v>
      </x:c>
      <x:c r="L202" s="35" t="str">
        <x:v>NOT_RUN</x:v>
      </x:c>
      <x:c r="M202" s="35" t="str">
        <x:v>coverage unavailable or execution/compile failed</x:v>
      </x:c>
      <x:c r="N202" s="35" t="str">
        <x:v>Deepseek-flash-v4/Result/Closure_62/result.json</x:v>
      </x:c>
      <x:c r="O202" s="39" t="str">
        <x:f>IF(AND(G202="RECORDED",ISNUMBER(H202)),H202,"")</x:f>
      </x:c>
      <x:c r="P202" s="35" t="str">
        <x:v>NOT_AVAILABLE</x:v>
      </x:c>
      <x:c r="Q202" s="35" t="str">
        <x:v>Deepseek-flash-v4/Result/Closure_62/result.json</x:v>
      </x:c>
    </x:row>
    <x:row r="203">
      <x:c r="A203" s="35" t="str">
        <x:v>deepseek</x:v>
      </x:c>
      <x:c r="B203" s="35" t="str">
        <x:v>Closure</x:v>
      </x:c>
      <x:c r="C203" s="35" t="str">
        <x:v>Round1</x:v>
      </x:c>
      <x:c r="D203" s="35" t="str">
        <x:v>Closure_64</x:v>
      </x:c>
      <x:c r="E203" s="35" t="str">
        <x:v>Line</x:v>
      </x:c>
      <x:c r="F203" s="35"/>
      <x:c r="G203" s="35" t="str">
        <x:v>A</x:v>
      </x:c>
      <x:c r="H203" s="39" t="str">
        <x:f>IF(ISNUMBER('Data'!E203),'Data'!E203*100,"")</x:f>
      </x:c>
      <x:c r="I203" s="35"/>
      <x:c r="J203" s="35" t="str">
        <x:v>PASS</x:v>
      </x:c>
      <x:c r="K203" s="35" t="str">
        <x:v>FAIL</x:v>
      </x:c>
      <x:c r="L203" s="35" t="str">
        <x:v>NOT_RUN</x:v>
      </x:c>
      <x:c r="M203" s="35" t="str">
        <x:v>coverage unavailable or execution/compile failed</x:v>
      </x:c>
      <x:c r="N203" s="35" t="str">
        <x:v>Deepseek-flash-v4/Result/Closure_64/result.json</x:v>
      </x:c>
      <x:c r="O203" s="39" t="str">
        <x:f>IF(AND(G203="RECORDED",ISNUMBER(H203)),H203,"")</x:f>
      </x:c>
      <x:c r="P203" s="35" t="str">
        <x:v>NOT_AVAILABLE</x:v>
      </x:c>
      <x:c r="Q203" s="35" t="str">
        <x:v>Deepseek-flash-v4/Result/Closure_64/result.json</x:v>
      </x:c>
    </x:row>
    <x:row r="204">
      <x:c r="A204" s="35" t="str">
        <x:v>deepseek</x:v>
      </x:c>
      <x:c r="B204" s="35" t="str">
        <x:v>Closure</x:v>
      </x:c>
      <x:c r="C204" s="35" t="str">
        <x:v>Round1</x:v>
      </x:c>
      <x:c r="D204" s="35" t="str">
        <x:v>Closure_65</x:v>
      </x:c>
      <x:c r="E204" s="35" t="str">
        <x:v>Line</x:v>
      </x:c>
      <x:c r="F204" s="35"/>
      <x:c r="G204" s="35" t="str">
        <x:v>A</x:v>
      </x:c>
      <x:c r="H204" s="39" t="str">
        <x:f>IF(ISNUMBER('Data'!E204),'Data'!E204*100,"")</x:f>
      </x:c>
      <x:c r="I204" s="35"/>
      <x:c r="J204" s="35" t="str">
        <x:v>PASS</x:v>
      </x:c>
      <x:c r="K204" s="35" t="str">
        <x:v>FAIL</x:v>
      </x:c>
      <x:c r="L204" s="35" t="str">
        <x:v>NOT_RUN</x:v>
      </x:c>
      <x:c r="M204" s="35" t="str">
        <x:v>coverage unavailable or execution/compile failed</x:v>
      </x:c>
      <x:c r="N204" s="35" t="str">
        <x:v>Deepseek-flash-v4/Result/Closure_65/result.json</x:v>
      </x:c>
      <x:c r="O204" s="39" t="str">
        <x:f>IF(AND(G204="RECORDED",ISNUMBER(H204)),H204,"")</x:f>
      </x:c>
      <x:c r="P204" s="35" t="str">
        <x:v>NOT_AVAILABLE</x:v>
      </x:c>
      <x:c r="Q204" s="35" t="str">
        <x:v>Deepseek-flash-v4/Result/Closure_65/result.json</x:v>
      </x:c>
    </x:row>
    <x:row r="205">
      <x:c r="A205" s="35" t="str">
        <x:v>deepseek</x:v>
      </x:c>
      <x:c r="B205" s="35" t="str">
        <x:v>Closure</x:v>
      </x:c>
      <x:c r="C205" s="35" t="str">
        <x:v>Round1</x:v>
      </x:c>
      <x:c r="D205" s="35" t="str">
        <x:v>Closure_66</x:v>
      </x:c>
      <x:c r="E205" s="35" t="str">
        <x:v>Line</x:v>
      </x:c>
      <x:c r="F205" s="35"/>
      <x:c r="G205" s="35" t="str">
        <x:v>A</x:v>
      </x:c>
      <x:c r="H205" s="39" t="str">
        <x:f>IF(ISNUMBER('Data'!E205),'Data'!E205*100,"")</x:f>
      </x:c>
      <x:c r="I205" s="35"/>
      <x:c r="J205" s="35" t="str">
        <x:v>PASS</x:v>
      </x:c>
      <x:c r="K205" s="35" t="str">
        <x:v>FAIL</x:v>
      </x:c>
      <x:c r="L205" s="35" t="str">
        <x:v>NOT_RUN</x:v>
      </x:c>
      <x:c r="M205" s="35" t="str">
        <x:v>coverage unavailable or execution/compile failed</x:v>
      </x:c>
      <x:c r="N205" s="35" t="str">
        <x:v>Deepseek-flash-v4/Result/Closure_66/result.json</x:v>
      </x:c>
      <x:c r="O205" s="39" t="str">
        <x:f>IF(AND(G205="RECORDED",ISNUMBER(H205)),H205,"")</x:f>
      </x:c>
      <x:c r="P205" s="35" t="str">
        <x:v>NOT_AVAILABLE</x:v>
      </x:c>
      <x:c r="Q205" s="35" t="str">
        <x:v>Deepseek-flash-v4/Result/Closure_66/result.json</x:v>
      </x:c>
    </x:row>
    <x:row r="206">
      <x:c r="A206" s="35" t="str">
        <x:v>deepseek</x:v>
      </x:c>
      <x:c r="B206" s="35" t="str">
        <x:v>Closure</x:v>
      </x:c>
      <x:c r="C206" s="35" t="str">
        <x:v>Round1</x:v>
      </x:c>
      <x:c r="D206" s="35" t="str">
        <x:v>Closure_67</x:v>
      </x:c>
      <x:c r="E206" s="35" t="str">
        <x:v>Line</x:v>
      </x:c>
      <x:c r="F206" s="35"/>
      <x:c r="G206" s="35" t="str">
        <x:v>A</x:v>
      </x:c>
      <x:c r="H206" s="39" t="str">
        <x:f>IF(ISNUMBER('Data'!E206),'Data'!E206*100,"")</x:f>
      </x:c>
      <x:c r="I206" s="35"/>
      <x:c r="J206" s="35" t="str">
        <x:v>PASS</x:v>
      </x:c>
      <x:c r="K206" s="35" t="str">
        <x:v>FAIL</x:v>
      </x:c>
      <x:c r="L206" s="35" t="str">
        <x:v>NOT_RUN</x:v>
      </x:c>
      <x:c r="M206" s="35" t="str">
        <x:v>coverage unavailable or execution/compile failed</x:v>
      </x:c>
      <x:c r="N206" s="35" t="str">
        <x:v>Deepseek-flash-v4/Result/Closure_67/result.json</x:v>
      </x:c>
      <x:c r="O206" s="39" t="str">
        <x:f>IF(AND(G206="RECORDED",ISNUMBER(H206)),H206,"")</x:f>
      </x:c>
      <x:c r="P206" s="35" t="str">
        <x:v>NOT_AVAILABLE</x:v>
      </x:c>
      <x:c r="Q206" s="35" t="str">
        <x:v>Deepseek-flash-v4/Result/Closure_67/result.json</x:v>
      </x:c>
    </x:row>
    <x:row r="207">
      <x:c r="A207" s="35" t="str">
        <x:v>deepseek</x:v>
      </x:c>
      <x:c r="B207" s="35" t="str">
        <x:v>Closure</x:v>
      </x:c>
      <x:c r="C207" s="35" t="str">
        <x:v>Round1</x:v>
      </x:c>
      <x:c r="D207" s="35" t="str">
        <x:v>Closure_68</x:v>
      </x:c>
      <x:c r="E207" s="35" t="str">
        <x:v>Line</x:v>
      </x:c>
      <x:c r="F207" s="35"/>
      <x:c r="G207" s="35" t="str">
        <x:v>A</x:v>
      </x:c>
      <x:c r="H207" s="39" t="str">
        <x:f>IF(ISNUMBER('Data'!E207),'Data'!E207*100,"")</x:f>
      </x:c>
      <x:c r="I207" s="35"/>
      <x:c r="J207" s="35" t="str">
        <x:v>PASS</x:v>
      </x:c>
      <x:c r="K207" s="35" t="str">
        <x:v>FAIL</x:v>
      </x:c>
      <x:c r="L207" s="35" t="str">
        <x:v>NOT_RUN</x:v>
      </x:c>
      <x:c r="M207" s="35" t="str">
        <x:v>coverage unavailable or execution/compile failed</x:v>
      </x:c>
      <x:c r="N207" s="35" t="str">
        <x:v>Deepseek-flash-v4/Result/Closure_68/result.json</x:v>
      </x:c>
      <x:c r="O207" s="39" t="str">
        <x:f>IF(AND(G207="RECORDED",ISNUMBER(H207)),H207,"")</x:f>
      </x:c>
      <x:c r="P207" s="35" t="str">
        <x:v>NOT_AVAILABLE</x:v>
      </x:c>
      <x:c r="Q207" s="35" t="str">
        <x:v>Deepseek-flash-v4/Result/Closure_68/result.json</x:v>
      </x:c>
    </x:row>
    <x:row r="208">
      <x:c r="A208" s="35" t="str">
        <x:v>deepseek</x:v>
      </x:c>
      <x:c r="B208" s="35" t="str">
        <x:v>Closure</x:v>
      </x:c>
      <x:c r="C208" s="35" t="str">
        <x:v>Round1</x:v>
      </x:c>
      <x:c r="D208" s="35" t="str">
        <x:v>Closure_69</x:v>
      </x:c>
      <x:c r="E208" s="35" t="str">
        <x:v>Line</x:v>
      </x:c>
      <x:c r="F208" s="35"/>
      <x:c r="G208" s="35" t="str">
        <x:v>A</x:v>
      </x:c>
      <x:c r="H208" s="39" t="str">
        <x:f>IF(ISNUMBER('Data'!E208),'Data'!E208*100,"")</x:f>
      </x:c>
      <x:c r="I208" s="35"/>
      <x:c r="J208" s="35" t="str">
        <x:v>PASS</x:v>
      </x:c>
      <x:c r="K208" s="35" t="str">
        <x:v>FAIL</x:v>
      </x:c>
      <x:c r="L208" s="35" t="str">
        <x:v>NOT_RUN</x:v>
      </x:c>
      <x:c r="M208" s="35" t="str">
        <x:v>coverage unavailable or execution/compile failed</x:v>
      </x:c>
      <x:c r="N208" s="35" t="str">
        <x:v>Deepseek-flash-v4/Result/Closure_69/result.json</x:v>
      </x:c>
      <x:c r="O208" s="39" t="str">
        <x:f>IF(AND(G208="RECORDED",ISNUMBER(H208)),H208,"")</x:f>
      </x:c>
      <x:c r="P208" s="35" t="str">
        <x:v>NOT_AVAILABLE</x:v>
      </x:c>
      <x:c r="Q208" s="35" t="str">
        <x:v>Deepseek-flash-v4/Result/Closure_69/result.json</x:v>
      </x:c>
    </x:row>
    <x:row r="209">
      <x:c r="A209" s="35" t="str">
        <x:v>deepseek</x:v>
      </x:c>
      <x:c r="B209" s="35" t="str">
        <x:v>Closure</x:v>
      </x:c>
      <x:c r="C209" s="35" t="str">
        <x:v>Round1</x:v>
      </x:c>
      <x:c r="D209" s="35" t="str">
        <x:v>Closure_7</x:v>
      </x:c>
      <x:c r="E209" s="35" t="str">
        <x:v>Line</x:v>
      </x:c>
      <x:c r="F209" s="35"/>
      <x:c r="G209" s="35" t="str">
        <x:v>A</x:v>
      </x:c>
      <x:c r="H209" s="39" t="str">
        <x:f>IF(ISNUMBER('Data'!E209),'Data'!E209*100,"")</x:f>
      </x:c>
      <x:c r="I209" s="35"/>
      <x:c r="J209" s="35" t="str">
        <x:v>PASS</x:v>
      </x:c>
      <x:c r="K209" s="35" t="str">
        <x:v>FAIL</x:v>
      </x:c>
      <x:c r="L209" s="35" t="str">
        <x:v>NOT_RUN</x:v>
      </x:c>
      <x:c r="M209" s="35" t="str">
        <x:v>coverage unavailable or execution/compile failed</x:v>
      </x:c>
      <x:c r="N209" s="35" t="str">
        <x:v>Deepseek-flash-v4/Result/Closure_7/result.json</x:v>
      </x:c>
      <x:c r="O209" s="39" t="str">
        <x:f>IF(AND(G209="RECORDED",ISNUMBER(H209)),H209,"")</x:f>
      </x:c>
      <x:c r="P209" s="35" t="str">
        <x:v>NOT_AVAILABLE</x:v>
      </x:c>
      <x:c r="Q209" s="35" t="str">
        <x:v>Deepseek-flash-v4/Result/Closure_7/result.json</x:v>
      </x:c>
    </x:row>
    <x:row r="210">
      <x:c r="A210" s="35" t="str">
        <x:v>deepseek</x:v>
      </x:c>
      <x:c r="B210" s="35" t="str">
        <x:v>Closure</x:v>
      </x:c>
      <x:c r="C210" s="35" t="str">
        <x:v>Round1</x:v>
      </x:c>
      <x:c r="D210" s="35" t="str">
        <x:v>Closure_70</x:v>
      </x:c>
      <x:c r="E210" s="35" t="str">
        <x:v>Line</x:v>
      </x:c>
      <x:c r="F210" s="35"/>
      <x:c r="G210" s="35" t="str">
        <x:v>A</x:v>
      </x:c>
      <x:c r="H210" s="39" t="str">
        <x:f>IF(ISNUMBER('Data'!E210),'Data'!E210*100,"")</x:f>
      </x:c>
      <x:c r="I210" s="35"/>
      <x:c r="J210" s="35" t="str">
        <x:v>PASS</x:v>
      </x:c>
      <x:c r="K210" s="35" t="str">
        <x:v>FAIL</x:v>
      </x:c>
      <x:c r="L210" s="35" t="str">
        <x:v>NOT_RUN</x:v>
      </x:c>
      <x:c r="M210" s="35" t="str">
        <x:v>coverage unavailable or execution/compile failed</x:v>
      </x:c>
      <x:c r="N210" s="35" t="str">
        <x:v>Deepseek-flash-v4/Result/Closure_70/result.json</x:v>
      </x:c>
      <x:c r="O210" s="39" t="str">
        <x:f>IF(AND(G210="RECORDED",ISNUMBER(H210)),H210,"")</x:f>
      </x:c>
      <x:c r="P210" s="35" t="str">
        <x:v>NOT_AVAILABLE</x:v>
      </x:c>
      <x:c r="Q210" s="35" t="str">
        <x:v>Deepseek-flash-v4/Result/Closure_70/result.json</x:v>
      </x:c>
    </x:row>
    <x:row r="211">
      <x:c r="A211" s="35" t="str">
        <x:v>deepseek</x:v>
      </x:c>
      <x:c r="B211" s="35" t="str">
        <x:v>Closure</x:v>
      </x:c>
      <x:c r="C211" s="35" t="str">
        <x:v>Round1</x:v>
      </x:c>
      <x:c r="D211" s="35" t="str">
        <x:v>Closure_71</x:v>
      </x:c>
      <x:c r="E211" s="35" t="str">
        <x:v>Line</x:v>
      </x:c>
      <x:c r="F211" s="35"/>
      <x:c r="G211" s="35" t="str">
        <x:v>A</x:v>
      </x:c>
      <x:c r="H211" s="39" t="str">
        <x:f>IF(ISNUMBER('Data'!E211),'Data'!E211*100,"")</x:f>
      </x:c>
      <x:c r="I211" s="35"/>
      <x:c r="J211" s="35" t="str">
        <x:v>PASS</x:v>
      </x:c>
      <x:c r="K211" s="35" t="str">
        <x:v>FAIL</x:v>
      </x:c>
      <x:c r="L211" s="35" t="str">
        <x:v>NOT_RUN</x:v>
      </x:c>
      <x:c r="M211" s="35" t="str">
        <x:v>coverage unavailable or execution/compile failed</x:v>
      </x:c>
      <x:c r="N211" s="35" t="str">
        <x:v>Deepseek-flash-v4/Result/Closure_71/result.json</x:v>
      </x:c>
      <x:c r="O211" s="39" t="str">
        <x:f>IF(AND(G211="RECORDED",ISNUMBER(H211)),H211,"")</x:f>
      </x:c>
      <x:c r="P211" s="35" t="str">
        <x:v>NOT_AVAILABLE</x:v>
      </x:c>
      <x:c r="Q211" s="35" t="str">
        <x:v>Deepseek-flash-v4/Result/Closure_71/result.json</x:v>
      </x:c>
    </x:row>
    <x:row r="212">
      <x:c r="A212" s="35" t="str">
        <x:v>deepseek</x:v>
      </x:c>
      <x:c r="B212" s="35" t="str">
        <x:v>Closure</x:v>
      </x:c>
      <x:c r="C212" s="35" t="str">
        <x:v>Round1</x:v>
      </x:c>
      <x:c r="D212" s="35" t="str">
        <x:v>Closure_72</x:v>
      </x:c>
      <x:c r="E212" s="35" t="str">
        <x:v>Line</x:v>
      </x:c>
      <x:c r="F212" s="35"/>
      <x:c r="G212" s="35" t="str">
        <x:v>A</x:v>
      </x:c>
      <x:c r="H212" s="39" t="str">
        <x:f>IF(ISNUMBER('Data'!E212),'Data'!E212*100,"")</x:f>
      </x:c>
      <x:c r="I212" s="35"/>
      <x:c r="J212" s="35" t="str">
        <x:v>PASS</x:v>
      </x:c>
      <x:c r="K212" s="35" t="str">
        <x:v>FAIL</x:v>
      </x:c>
      <x:c r="L212" s="35" t="str">
        <x:v>NOT_RUN</x:v>
      </x:c>
      <x:c r="M212" s="35" t="str">
        <x:v>coverage unavailable or execution/compile failed</x:v>
      </x:c>
      <x:c r="N212" s="35" t="str">
        <x:v>Deepseek-flash-v4/Result/Closure_72/result.json</x:v>
      </x:c>
      <x:c r="O212" s="39" t="str">
        <x:f>IF(AND(G212="RECORDED",ISNUMBER(H212)),H212,"")</x:f>
      </x:c>
      <x:c r="P212" s="35" t="str">
        <x:v>NOT_AVAILABLE</x:v>
      </x:c>
      <x:c r="Q212" s="35" t="str">
        <x:v>Deepseek-flash-v4/Result/Closure_72/result.json</x:v>
      </x:c>
    </x:row>
    <x:row r="213">
      <x:c r="A213" s="35" t="str">
        <x:v>deepseek</x:v>
      </x:c>
      <x:c r="B213" s="35" t="str">
        <x:v>Closure</x:v>
      </x:c>
      <x:c r="C213" s="35" t="str">
        <x:v>Round1</x:v>
      </x:c>
      <x:c r="D213" s="35" t="str">
        <x:v>Closure_73</x:v>
      </x:c>
      <x:c r="E213" s="35" t="str">
        <x:v>Line</x:v>
      </x:c>
      <x:c r="F213" s="35"/>
      <x:c r="G213" s="35" t="str">
        <x:v>A</x:v>
      </x:c>
      <x:c r="H213" s="39" t="str">
        <x:f>IF(ISNUMBER('Data'!E213),'Data'!E213*100,"")</x:f>
      </x:c>
      <x:c r="I213" s="35"/>
      <x:c r="J213" s="35" t="str">
        <x:v>PASS</x:v>
      </x:c>
      <x:c r="K213" s="35" t="str">
        <x:v>FAIL</x:v>
      </x:c>
      <x:c r="L213" s="35" t="str">
        <x:v>NOT_RUN</x:v>
      </x:c>
      <x:c r="M213" s="35" t="str">
        <x:v>coverage unavailable or execution/compile failed</x:v>
      </x:c>
      <x:c r="N213" s="35" t="str">
        <x:v>Deepseek-flash-v4/Result/Closure_73/result.json</x:v>
      </x:c>
      <x:c r="O213" s="39" t="str">
        <x:f>IF(AND(G213="RECORDED",ISNUMBER(H213)),H213,"")</x:f>
      </x:c>
      <x:c r="P213" s="35" t="str">
        <x:v>NOT_AVAILABLE</x:v>
      </x:c>
      <x:c r="Q213" s="35" t="str">
        <x:v>Deepseek-flash-v4/Result/Closure_73/result.json</x:v>
      </x:c>
    </x:row>
    <x:row r="214">
      <x:c r="A214" s="35" t="str">
        <x:v>deepseek</x:v>
      </x:c>
      <x:c r="B214" s="35" t="str">
        <x:v>Closure</x:v>
      </x:c>
      <x:c r="C214" s="35" t="str">
        <x:v>Round1</x:v>
      </x:c>
      <x:c r="D214" s="35" t="str">
        <x:v>Closure_74</x:v>
      </x:c>
      <x:c r="E214" s="35" t="str">
        <x:v>Line</x:v>
      </x:c>
      <x:c r="F214" s="35"/>
      <x:c r="G214" s="35" t="str">
        <x:v>A</x:v>
      </x:c>
      <x:c r="H214" s="39" t="str">
        <x:f>IF(ISNUMBER('Data'!E214),'Data'!E214*100,"")</x:f>
      </x:c>
      <x:c r="I214" s="35"/>
      <x:c r="J214" s="35" t="str">
        <x:v>PASS</x:v>
      </x:c>
      <x:c r="K214" s="35" t="str">
        <x:v>FAIL</x:v>
      </x:c>
      <x:c r="L214" s="35" t="str">
        <x:v>NOT_RUN</x:v>
      </x:c>
      <x:c r="M214" s="35" t="str">
        <x:v>coverage unavailable or execution/compile failed</x:v>
      </x:c>
      <x:c r="N214" s="35" t="str">
        <x:v>Deepseek-flash-v4/Result/Closure_74/result.json</x:v>
      </x:c>
      <x:c r="O214" s="39" t="str">
        <x:f>IF(AND(G214="RECORDED",ISNUMBER(H214)),H214,"")</x:f>
      </x:c>
      <x:c r="P214" s="35" t="str">
        <x:v>NOT_AVAILABLE</x:v>
      </x:c>
      <x:c r="Q214" s="35" t="str">
        <x:v>Deepseek-flash-v4/Result/Closure_74/result.json</x:v>
      </x:c>
    </x:row>
    <x:row r="215">
      <x:c r="A215" s="35" t="str">
        <x:v>deepseek</x:v>
      </x:c>
      <x:c r="B215" s="35" t="str">
        <x:v>Closure</x:v>
      </x:c>
      <x:c r="C215" s="35" t="str">
        <x:v>Round1</x:v>
      </x:c>
      <x:c r="D215" s="35" t="str">
        <x:v>Closure_75</x:v>
      </x:c>
      <x:c r="E215" s="35" t="str">
        <x:v>Line</x:v>
      </x:c>
      <x:c r="F215" s="35"/>
      <x:c r="G215" s="35" t="str">
        <x:v>A</x:v>
      </x:c>
      <x:c r="H215" s="39" t="str">
        <x:f>IF(ISNUMBER('Data'!E215),'Data'!E215*100,"")</x:f>
      </x:c>
      <x:c r="I215" s="35"/>
      <x:c r="J215" s="35" t="str">
        <x:v>PASS</x:v>
      </x:c>
      <x:c r="K215" s="35" t="str">
        <x:v>FAIL</x:v>
      </x:c>
      <x:c r="L215" s="35" t="str">
        <x:v>NOT_RUN</x:v>
      </x:c>
      <x:c r="M215" s="35" t="str">
        <x:v>coverage unavailable or execution/compile failed</x:v>
      </x:c>
      <x:c r="N215" s="35" t="str">
        <x:v>Deepseek-flash-v4/Result/Closure_75/result.json</x:v>
      </x:c>
      <x:c r="O215" s="39" t="str">
        <x:f>IF(AND(G215="RECORDED",ISNUMBER(H215)),H215,"")</x:f>
      </x:c>
      <x:c r="P215" s="35" t="str">
        <x:v>NOT_AVAILABLE</x:v>
      </x:c>
      <x:c r="Q215" s="35" t="str">
        <x:v>Deepseek-flash-v4/Result/Closure_75/result.json</x:v>
      </x:c>
    </x:row>
    <x:row r="216">
      <x:c r="A216" s="35" t="str">
        <x:v>deepseek</x:v>
      </x:c>
      <x:c r="B216" s="35" t="str">
        <x:v>Closure</x:v>
      </x:c>
      <x:c r="C216" s="35" t="str">
        <x:v>Round1</x:v>
      </x:c>
      <x:c r="D216" s="35" t="str">
        <x:v>Closure_76</x:v>
      </x:c>
      <x:c r="E216" s="35" t="str">
        <x:v>Line</x:v>
      </x:c>
      <x:c r="F216" s="35"/>
      <x:c r="G216" s="35" t="str">
        <x:v>A</x:v>
      </x:c>
      <x:c r="H216" s="39" t="str">
        <x:f>IF(ISNUMBER('Data'!E216),'Data'!E216*100,"")</x:f>
      </x:c>
      <x:c r="I216" s="35"/>
      <x:c r="J216" s="35" t="str">
        <x:v>PASS</x:v>
      </x:c>
      <x:c r="K216" s="35" t="str">
        <x:v>FAIL</x:v>
      </x:c>
      <x:c r="L216" s="35" t="str">
        <x:v>NOT_RUN</x:v>
      </x:c>
      <x:c r="M216" s="35" t="str">
        <x:v>coverage unavailable or execution/compile failed</x:v>
      </x:c>
      <x:c r="N216" s="35" t="str">
        <x:v>Deepseek-flash-v4/Result/Closure_76/result.json</x:v>
      </x:c>
      <x:c r="O216" s="39" t="str">
        <x:f>IF(AND(G216="RECORDED",ISNUMBER(H216)),H216,"")</x:f>
      </x:c>
      <x:c r="P216" s="35" t="str">
        <x:v>NOT_AVAILABLE</x:v>
      </x:c>
      <x:c r="Q216" s="35" t="str">
        <x:v>Deepseek-flash-v4/Result/Closure_76/result.json</x:v>
      </x:c>
    </x:row>
    <x:row r="217">
      <x:c r="A217" s="35" t="str">
        <x:v>deepseek</x:v>
      </x:c>
      <x:c r="B217" s="35" t="str">
        <x:v>Closure</x:v>
      </x:c>
      <x:c r="C217" s="35" t="str">
        <x:v>Round1</x:v>
      </x:c>
      <x:c r="D217" s="35" t="str">
        <x:v>Closure_77</x:v>
      </x:c>
      <x:c r="E217" s="35" t="str">
        <x:v>Line</x:v>
      </x:c>
      <x:c r="F217" s="35"/>
      <x:c r="G217" s="35" t="str">
        <x:v>A</x:v>
      </x:c>
      <x:c r="H217" s="39" t="str">
        <x:f>IF(ISNUMBER('Data'!E217),'Data'!E217*100,"")</x:f>
      </x:c>
      <x:c r="I217" s="35"/>
      <x:c r="J217" s="35" t="str">
        <x:v>PASS</x:v>
      </x:c>
      <x:c r="K217" s="35" t="str">
        <x:v>FAIL</x:v>
      </x:c>
      <x:c r="L217" s="35" t="str">
        <x:v>NOT_RUN</x:v>
      </x:c>
      <x:c r="M217" s="35" t="str">
        <x:v>coverage unavailable or execution/compile failed</x:v>
      </x:c>
      <x:c r="N217" s="35" t="str">
        <x:v>Deepseek-flash-v4/Result/Closure_77/result.json</x:v>
      </x:c>
      <x:c r="O217" s="39" t="str">
        <x:f>IF(AND(G217="RECORDED",ISNUMBER(H217)),H217,"")</x:f>
      </x:c>
      <x:c r="P217" s="35" t="str">
        <x:v>NOT_AVAILABLE</x:v>
      </x:c>
      <x:c r="Q217" s="35" t="str">
        <x:v>Deepseek-flash-v4/Result/Closure_77/result.json</x:v>
      </x:c>
    </x:row>
    <x:row r="218">
      <x:c r="A218" s="35" t="str">
        <x:v>deepseek</x:v>
      </x:c>
      <x:c r="B218" s="35" t="str">
        <x:v>Closure</x:v>
      </x:c>
      <x:c r="C218" s="35" t="str">
        <x:v>Round1</x:v>
      </x:c>
      <x:c r="D218" s="35" t="str">
        <x:v>Closure_78</x:v>
      </x:c>
      <x:c r="E218" s="35" t="str">
        <x:v>Line</x:v>
      </x:c>
      <x:c r="F218" s="35"/>
      <x:c r="G218" s="35" t="str">
        <x:v>A</x:v>
      </x:c>
      <x:c r="H218" s="39" t="str">
        <x:f>IF(ISNUMBER('Data'!E218),'Data'!E218*100,"")</x:f>
      </x:c>
      <x:c r="I218" s="35"/>
      <x:c r="J218" s="35" t="str">
        <x:v>PASS</x:v>
      </x:c>
      <x:c r="K218" s="35" t="str">
        <x:v>FAIL</x:v>
      </x:c>
      <x:c r="L218" s="35" t="str">
        <x:v>NOT_RUN</x:v>
      </x:c>
      <x:c r="M218" s="35" t="str">
        <x:v>coverage unavailable or execution/compile failed</x:v>
      </x:c>
      <x:c r="N218" s="35" t="str">
        <x:v>Deepseek-flash-v4/Result/Closure_78/result.json</x:v>
      </x:c>
      <x:c r="O218" s="39" t="str">
        <x:f>IF(AND(G218="RECORDED",ISNUMBER(H218)),H218,"")</x:f>
      </x:c>
      <x:c r="P218" s="35" t="str">
        <x:v>NOT_AVAILABLE</x:v>
      </x:c>
      <x:c r="Q218" s="35" t="str">
        <x:v>Deepseek-flash-v4/Result/Closure_78/result.json</x:v>
      </x:c>
    </x:row>
    <x:row r="219">
      <x:c r="A219" s="35" t="str">
        <x:v>deepseek</x:v>
      </x:c>
      <x:c r="B219" s="35" t="str">
        <x:v>Closure</x:v>
      </x:c>
      <x:c r="C219" s="35" t="str">
        <x:v>Round1</x:v>
      </x:c>
      <x:c r="D219" s="35" t="str">
        <x:v>Closure_79</x:v>
      </x:c>
      <x:c r="E219" s="35" t="str">
        <x:v>Line</x:v>
      </x:c>
      <x:c r="F219" s="35"/>
      <x:c r="G219" s="35" t="str">
        <x:v>A</x:v>
      </x:c>
      <x:c r="H219" s="39" t="str">
        <x:f>IF(ISNUMBER('Data'!E219),'Data'!E219*100,"")</x:f>
      </x:c>
      <x:c r="I219" s="35"/>
      <x:c r="J219" s="35" t="str">
        <x:v>PASS</x:v>
      </x:c>
      <x:c r="K219" s="35" t="str">
        <x:v>FAIL</x:v>
      </x:c>
      <x:c r="L219" s="35" t="str">
        <x:v>NOT_RUN</x:v>
      </x:c>
      <x:c r="M219" s="35" t="str">
        <x:v>coverage unavailable or execution/compile failed</x:v>
      </x:c>
      <x:c r="N219" s="35" t="str">
        <x:v>Deepseek-flash-v4/Result/Closure_79/result.json</x:v>
      </x:c>
      <x:c r="O219" s="39" t="str">
        <x:f>IF(AND(G219="RECORDED",ISNUMBER(H219)),H219,"")</x:f>
      </x:c>
      <x:c r="P219" s="35" t="str">
        <x:v>NOT_AVAILABLE</x:v>
      </x:c>
      <x:c r="Q219" s="35" t="str">
        <x:v>Deepseek-flash-v4/Result/Closure_79/result.json</x:v>
      </x:c>
    </x:row>
    <x:row r="220">
      <x:c r="A220" s="35" t="str">
        <x:v>deepseek</x:v>
      </x:c>
      <x:c r="B220" s="35" t="str">
        <x:v>Closure</x:v>
      </x:c>
      <x:c r="C220" s="35" t="str">
        <x:v>Round1</x:v>
      </x:c>
      <x:c r="D220" s="35" t="str">
        <x:v>Closure_8</x:v>
      </x:c>
      <x:c r="E220" s="35" t="str">
        <x:v>Line</x:v>
      </x:c>
      <x:c r="F220" s="35"/>
      <x:c r="G220" s="35" t="str">
        <x:v>A</x:v>
      </x:c>
      <x:c r="H220" s="39" t="str">
        <x:f>IF(ISNUMBER('Data'!E220),'Data'!E220*100,"")</x:f>
      </x:c>
      <x:c r="I220" s="35"/>
      <x:c r="J220" s="35" t="str">
        <x:v>PASS</x:v>
      </x:c>
      <x:c r="K220" s="35" t="str">
        <x:v>FAIL</x:v>
      </x:c>
      <x:c r="L220" s="35" t="str">
        <x:v>NOT_RUN</x:v>
      </x:c>
      <x:c r="M220" s="35" t="str">
        <x:v>coverage unavailable or execution/compile failed</x:v>
      </x:c>
      <x:c r="N220" s="35" t="str">
        <x:v>Deepseek-flash-v4/Result/Closure_8/result.json</x:v>
      </x:c>
      <x:c r="O220" s="39" t="str">
        <x:f>IF(AND(G220="RECORDED",ISNUMBER(H220)),H220,"")</x:f>
      </x:c>
      <x:c r="P220" s="35" t="str">
        <x:v>NOT_AVAILABLE</x:v>
      </x:c>
      <x:c r="Q220" s="35" t="str">
        <x:v>Deepseek-flash-v4/Result/Closure_8/result.json</x:v>
      </x:c>
    </x:row>
    <x:row r="221">
      <x:c r="A221" s="35" t="str">
        <x:v>deepseek</x:v>
      </x:c>
      <x:c r="B221" s="35" t="str">
        <x:v>Closure</x:v>
      </x:c>
      <x:c r="C221" s="35" t="str">
        <x:v>Round1</x:v>
      </x:c>
      <x:c r="D221" s="35" t="str">
        <x:v>Closure_80</x:v>
      </x:c>
      <x:c r="E221" s="35" t="str">
        <x:v>Line</x:v>
      </x:c>
      <x:c r="F221" s="35"/>
      <x:c r="G221" s="35" t="str">
        <x:v>A</x:v>
      </x:c>
      <x:c r="H221" s="39" t="str">
        <x:f>IF(ISNUMBER('Data'!E221),'Data'!E221*100,"")</x:f>
      </x:c>
      <x:c r="I221" s="35"/>
      <x:c r="J221" s="35" t="str">
        <x:v>PASS</x:v>
      </x:c>
      <x:c r="K221" s="35" t="str">
        <x:v>FAIL</x:v>
      </x:c>
      <x:c r="L221" s="35" t="str">
        <x:v>NOT_RUN</x:v>
      </x:c>
      <x:c r="M221" s="35" t="str">
        <x:v>coverage unavailable or execution/compile failed</x:v>
      </x:c>
      <x:c r="N221" s="35" t="str">
        <x:v>Deepseek-flash-v4/Result/Closure_80/result.json</x:v>
      </x:c>
      <x:c r="O221" s="39" t="str">
        <x:f>IF(AND(G221="RECORDED",ISNUMBER(H221)),H221,"")</x:f>
      </x:c>
      <x:c r="P221" s="35" t="str">
        <x:v>NOT_AVAILABLE</x:v>
      </x:c>
      <x:c r="Q221" s="35" t="str">
        <x:v>Deepseek-flash-v4/Result/Closure_80/result.json</x:v>
      </x:c>
    </x:row>
    <x:row r="222">
      <x:c r="A222" s="35" t="str">
        <x:v>deepseek</x:v>
      </x:c>
      <x:c r="B222" s="35" t="str">
        <x:v>Closure</x:v>
      </x:c>
      <x:c r="C222" s="35" t="str">
        <x:v>Round1</x:v>
      </x:c>
      <x:c r="D222" s="35" t="str">
        <x:v>Closure_81</x:v>
      </x:c>
      <x:c r="E222" s="35" t="str">
        <x:v>Line</x:v>
      </x:c>
      <x:c r="F222" s="35"/>
      <x:c r="G222" s="35" t="str">
        <x:v>A</x:v>
      </x:c>
      <x:c r="H222" s="39" t="str">
        <x:f>IF(ISNUMBER('Data'!E222),'Data'!E222*100,"")</x:f>
      </x:c>
      <x:c r="I222" s="35"/>
      <x:c r="J222" s="35" t="str">
        <x:v>PASS</x:v>
      </x:c>
      <x:c r="K222" s="35" t="str">
        <x:v>FAIL</x:v>
      </x:c>
      <x:c r="L222" s="35" t="str">
        <x:v>NOT_RUN</x:v>
      </x:c>
      <x:c r="M222" s="35" t="str">
        <x:v>coverage unavailable or execution/compile failed</x:v>
      </x:c>
      <x:c r="N222" s="35" t="str">
        <x:v>Deepseek-flash-v4/Result/Closure_81/result.json</x:v>
      </x:c>
      <x:c r="O222" s="39" t="str">
        <x:f>IF(AND(G222="RECORDED",ISNUMBER(H222)),H222,"")</x:f>
      </x:c>
      <x:c r="P222" s="35" t="str">
        <x:v>NOT_AVAILABLE</x:v>
      </x:c>
      <x:c r="Q222" s="35" t="str">
        <x:v>Deepseek-flash-v4/Result/Closure_81/result.json</x:v>
      </x:c>
    </x:row>
    <x:row r="223">
      <x:c r="A223" s="35" t="str">
        <x:v>deepseek</x:v>
      </x:c>
      <x:c r="B223" s="35" t="str">
        <x:v>Closure</x:v>
      </x:c>
      <x:c r="C223" s="35" t="str">
        <x:v>Round1</x:v>
      </x:c>
      <x:c r="D223" s="35" t="str">
        <x:v>Closure_82</x:v>
      </x:c>
      <x:c r="E223" s="35" t="str">
        <x:v>Line</x:v>
      </x:c>
      <x:c r="F223" s="35"/>
      <x:c r="G223" s="35" t="str">
        <x:v>A</x:v>
      </x:c>
      <x:c r="H223" s="39" t="str">
        <x:f>IF(ISNUMBER('Data'!E223),'Data'!E223*100,"")</x:f>
      </x:c>
      <x:c r="I223" s="35"/>
      <x:c r="J223" s="35" t="str">
        <x:v>PASS</x:v>
      </x:c>
      <x:c r="K223" s="35" t="str">
        <x:v>FAIL</x:v>
      </x:c>
      <x:c r="L223" s="35" t="str">
        <x:v>NOT_RUN</x:v>
      </x:c>
      <x:c r="M223" s="35" t="str">
        <x:v>coverage unavailable or execution/compile failed</x:v>
      </x:c>
      <x:c r="N223" s="35" t="str">
        <x:v>Deepseek-flash-v4/Result/Closure_82/result.json</x:v>
      </x:c>
      <x:c r="O223" s="39" t="str">
        <x:f>IF(AND(G223="RECORDED",ISNUMBER(H223)),H223,"")</x:f>
      </x:c>
      <x:c r="P223" s="35" t="str">
        <x:v>NOT_AVAILABLE</x:v>
      </x:c>
      <x:c r="Q223" s="35" t="str">
        <x:v>Deepseek-flash-v4/Result/Closure_82/result.json</x:v>
      </x:c>
    </x:row>
    <x:row r="224">
      <x:c r="A224" s="35" t="str">
        <x:v>deepseek</x:v>
      </x:c>
      <x:c r="B224" s="35" t="str">
        <x:v>Closure</x:v>
      </x:c>
      <x:c r="C224" s="35" t="str">
        <x:v>Round1</x:v>
      </x:c>
      <x:c r="D224" s="35" t="str">
        <x:v>Closure_83</x:v>
      </x:c>
      <x:c r="E224" s="35" t="str">
        <x:v>Line</x:v>
      </x:c>
      <x:c r="F224" s="35"/>
      <x:c r="G224" s="35" t="str">
        <x:v>A</x:v>
      </x:c>
      <x:c r="H224" s="39" t="str">
        <x:f>IF(ISNUMBER('Data'!E224),'Data'!E224*100,"")</x:f>
      </x:c>
      <x:c r="I224" s="35"/>
      <x:c r="J224" s="35" t="str">
        <x:v>PASS</x:v>
      </x:c>
      <x:c r="K224" s="35" t="str">
        <x:v>FAIL</x:v>
      </x:c>
      <x:c r="L224" s="35" t="str">
        <x:v>NOT_RUN</x:v>
      </x:c>
      <x:c r="M224" s="35" t="str">
        <x:v>coverage unavailable or execution/compile failed</x:v>
      </x:c>
      <x:c r="N224" s="35" t="str">
        <x:v>Deepseek-flash-v4/Result/Closure_83/result.json</x:v>
      </x:c>
      <x:c r="O224" s="39" t="str">
        <x:f>IF(AND(G224="RECORDED",ISNUMBER(H224)),H224,"")</x:f>
      </x:c>
      <x:c r="P224" s="35" t="str">
        <x:v>NOT_AVAILABLE</x:v>
      </x:c>
      <x:c r="Q224" s="35" t="str">
        <x:v>Deepseek-flash-v4/Result/Closure_83/result.json</x:v>
      </x:c>
    </x:row>
    <x:row r="225">
      <x:c r="A225" s="35" t="str">
        <x:v>deepseek</x:v>
      </x:c>
      <x:c r="B225" s="35" t="str">
        <x:v>Closure</x:v>
      </x:c>
      <x:c r="C225" s="35" t="str">
        <x:v>Round1</x:v>
      </x:c>
      <x:c r="D225" s="35" t="str">
        <x:v>Closure_84</x:v>
      </x:c>
      <x:c r="E225" s="35" t="str">
        <x:v>Line</x:v>
      </x:c>
      <x:c r="F225" s="35"/>
      <x:c r="G225" s="35" t="str">
        <x:v>A</x:v>
      </x:c>
      <x:c r="H225" s="39" t="str">
        <x:f>IF(ISNUMBER('Data'!E225),'Data'!E225*100,"")</x:f>
      </x:c>
      <x:c r="I225" s="35"/>
      <x:c r="J225" s="35" t="str">
        <x:v>PASS</x:v>
      </x:c>
      <x:c r="K225" s="35" t="str">
        <x:v>FAIL</x:v>
      </x:c>
      <x:c r="L225" s="35" t="str">
        <x:v>NOT_RUN</x:v>
      </x:c>
      <x:c r="M225" s="35" t="str">
        <x:v>coverage unavailable or execution/compile failed</x:v>
      </x:c>
      <x:c r="N225" s="35" t="str">
        <x:v>Deepseek-flash-v4/Result/Closure_84/result.json</x:v>
      </x:c>
      <x:c r="O225" s="39" t="str">
        <x:f>IF(AND(G225="RECORDED",ISNUMBER(H225)),H225,"")</x:f>
      </x:c>
      <x:c r="P225" s="35" t="str">
        <x:v>NOT_AVAILABLE</x:v>
      </x:c>
      <x:c r="Q225" s="35" t="str">
        <x:v>Deepseek-flash-v4/Result/Closure_84/result.json</x:v>
      </x:c>
    </x:row>
    <x:row r="226">
      <x:c r="A226" s="35" t="str">
        <x:v>deepseek</x:v>
      </x:c>
      <x:c r="B226" s="35" t="str">
        <x:v>Closure</x:v>
      </x:c>
      <x:c r="C226" s="35" t="str">
        <x:v>Round1</x:v>
      </x:c>
      <x:c r="D226" s="35" t="str">
        <x:v>Closure_85</x:v>
      </x:c>
      <x:c r="E226" s="35" t="str">
        <x:v>Line</x:v>
      </x:c>
      <x:c r="F226" s="35"/>
      <x:c r="G226" s="35" t="str">
        <x:v>A</x:v>
      </x:c>
      <x:c r="H226" s="39" t="str">
        <x:f>IF(ISNUMBER('Data'!E226),'Data'!E226*100,"")</x:f>
      </x:c>
      <x:c r="I226" s="35"/>
      <x:c r="J226" s="35" t="str">
        <x:v>PASS</x:v>
      </x:c>
      <x:c r="K226" s="35" t="str">
        <x:v>FAIL</x:v>
      </x:c>
      <x:c r="L226" s="35" t="str">
        <x:v>NOT_RUN</x:v>
      </x:c>
      <x:c r="M226" s="35" t="str">
        <x:v>coverage unavailable or execution/compile failed</x:v>
      </x:c>
      <x:c r="N226" s="35" t="str">
        <x:v>Deepseek-flash-v4/Result/Closure_85/result.json</x:v>
      </x:c>
      <x:c r="O226" s="39" t="str">
        <x:f>IF(AND(G226="RECORDED",ISNUMBER(H226)),H226,"")</x:f>
      </x:c>
      <x:c r="P226" s="35" t="str">
        <x:v>NOT_AVAILABLE</x:v>
      </x:c>
      <x:c r="Q226" s="35" t="str">
        <x:v>Deepseek-flash-v4/Result/Closure_85/result.json</x:v>
      </x:c>
    </x:row>
    <x:row r="227">
      <x:c r="A227" s="35" t="str">
        <x:v>deepseek</x:v>
      </x:c>
      <x:c r="B227" s="35" t="str">
        <x:v>Closure</x:v>
      </x:c>
      <x:c r="C227" s="35" t="str">
        <x:v>Round1</x:v>
      </x:c>
      <x:c r="D227" s="35" t="str">
        <x:v>Closure_86</x:v>
      </x:c>
      <x:c r="E227" s="35" t="str">
        <x:v>Line</x:v>
      </x:c>
      <x:c r="F227" s="35"/>
      <x:c r="G227" s="35" t="str">
        <x:v>A</x:v>
      </x:c>
      <x:c r="H227" s="39" t="str">
        <x:f>IF(ISNUMBER('Data'!E227),'Data'!E227*100,"")</x:f>
      </x:c>
      <x:c r="I227" s="35"/>
      <x:c r="J227" s="35" t="str">
        <x:v>PASS</x:v>
      </x:c>
      <x:c r="K227" s="35" t="str">
        <x:v>FAIL</x:v>
      </x:c>
      <x:c r="L227" s="35" t="str">
        <x:v>NOT_RUN</x:v>
      </x:c>
      <x:c r="M227" s="35" t="str">
        <x:v>coverage unavailable or execution/compile failed</x:v>
      </x:c>
      <x:c r="N227" s="35" t="str">
        <x:v>Deepseek-flash-v4/Result/Closure_86/result.json</x:v>
      </x:c>
      <x:c r="O227" s="39" t="str">
        <x:f>IF(AND(G227="RECORDED",ISNUMBER(H227)),H227,"")</x:f>
      </x:c>
      <x:c r="P227" s="35" t="str">
        <x:v>NOT_AVAILABLE</x:v>
      </x:c>
      <x:c r="Q227" s="35" t="str">
        <x:v>Deepseek-flash-v4/Result/Closure_86/result.json</x:v>
      </x:c>
    </x:row>
    <x:row r="228">
      <x:c r="A228" s="35" t="str">
        <x:v>deepseek</x:v>
      </x:c>
      <x:c r="B228" s="35" t="str">
        <x:v>Closure</x:v>
      </x:c>
      <x:c r="C228" s="35" t="str">
        <x:v>Round1</x:v>
      </x:c>
      <x:c r="D228" s="35" t="str">
        <x:v>Closure_87</x:v>
      </x:c>
      <x:c r="E228" s="35" t="str">
        <x:v>Line</x:v>
      </x:c>
      <x:c r="F228" s="35"/>
      <x:c r="G228" s="35" t="str">
        <x:v>A</x:v>
      </x:c>
      <x:c r="H228" s="39" t="str">
        <x:f>IF(ISNUMBER('Data'!E228),'Data'!E228*100,"")</x:f>
      </x:c>
      <x:c r="I228" s="35"/>
      <x:c r="J228" s="35" t="str">
        <x:v>PASS</x:v>
      </x:c>
      <x:c r="K228" s="35" t="str">
        <x:v>FAIL</x:v>
      </x:c>
      <x:c r="L228" s="35" t="str">
        <x:v>NOT_RUN</x:v>
      </x:c>
      <x:c r="M228" s="35" t="str">
        <x:v>coverage unavailable or execution/compile failed</x:v>
      </x:c>
      <x:c r="N228" s="35" t="str">
        <x:v>Deepseek-flash-v4/Result/Closure_87/result.json</x:v>
      </x:c>
      <x:c r="O228" s="39" t="str">
        <x:f>IF(AND(G228="RECORDED",ISNUMBER(H228)),H228,"")</x:f>
      </x:c>
      <x:c r="P228" s="35" t="str">
        <x:v>NOT_AVAILABLE</x:v>
      </x:c>
      <x:c r="Q228" s="35" t="str">
        <x:v>Deepseek-flash-v4/Result/Closure_87/result.json</x:v>
      </x:c>
    </x:row>
    <x:row r="229">
      <x:c r="A229" s="35" t="str">
        <x:v>deepseek</x:v>
      </x:c>
      <x:c r="B229" s="35" t="str">
        <x:v>Closure</x:v>
      </x:c>
      <x:c r="C229" s="35" t="str">
        <x:v>Round1</x:v>
      </x:c>
      <x:c r="D229" s="35" t="str">
        <x:v>Closure_88</x:v>
      </x:c>
      <x:c r="E229" s="35" t="str">
        <x:v>Line</x:v>
      </x:c>
      <x:c r="F229" s="35"/>
      <x:c r="G229" s="35" t="str">
        <x:v>A</x:v>
      </x:c>
      <x:c r="H229" s="39" t="str">
        <x:f>IF(ISNUMBER('Data'!E229),'Data'!E229*100,"")</x:f>
      </x:c>
      <x:c r="I229" s="35"/>
      <x:c r="J229" s="35" t="str">
        <x:v>PASS</x:v>
      </x:c>
      <x:c r="K229" s="35" t="str">
        <x:v>FAIL</x:v>
      </x:c>
      <x:c r="L229" s="35" t="str">
        <x:v>NOT_RUN</x:v>
      </x:c>
      <x:c r="M229" s="35" t="str">
        <x:v>coverage unavailable or execution/compile failed</x:v>
      </x:c>
      <x:c r="N229" s="35" t="str">
        <x:v>Deepseek-flash-v4/Result/Closure_88/result.json</x:v>
      </x:c>
      <x:c r="O229" s="39" t="str">
        <x:f>IF(AND(G229="RECORDED",ISNUMBER(H229)),H229,"")</x:f>
      </x:c>
      <x:c r="P229" s="35" t="str">
        <x:v>NOT_AVAILABLE</x:v>
      </x:c>
      <x:c r="Q229" s="35" t="str">
        <x:v>Deepseek-flash-v4/Result/Closure_88/result.json</x:v>
      </x:c>
    </x:row>
    <x:row r="230">
      <x:c r="A230" s="35" t="str">
        <x:v>deepseek</x:v>
      </x:c>
      <x:c r="B230" s="35" t="str">
        <x:v>Closure</x:v>
      </x:c>
      <x:c r="C230" s="35" t="str">
        <x:v>Round1</x:v>
      </x:c>
      <x:c r="D230" s="35" t="str">
        <x:v>Closure_89</x:v>
      </x:c>
      <x:c r="E230" s="35" t="str">
        <x:v>Line</x:v>
      </x:c>
      <x:c r="F230" s="35"/>
      <x:c r="G230" s="35" t="str">
        <x:v>A</x:v>
      </x:c>
      <x:c r="H230" s="39" t="str">
        <x:f>IF(ISNUMBER('Data'!E230),'Data'!E230*100,"")</x:f>
      </x:c>
      <x:c r="I230" s="35"/>
      <x:c r="J230" s="35" t="str">
        <x:v>PASS</x:v>
      </x:c>
      <x:c r="K230" s="35" t="str">
        <x:v>FAIL</x:v>
      </x:c>
      <x:c r="L230" s="35" t="str">
        <x:v>NOT_RUN</x:v>
      </x:c>
      <x:c r="M230" s="35" t="str">
        <x:v>coverage unavailable or execution/compile failed</x:v>
      </x:c>
      <x:c r="N230" s="35" t="str">
        <x:v>Deepseek-flash-v4/Result/Closure_89/result.json</x:v>
      </x:c>
      <x:c r="O230" s="39" t="str">
        <x:f>IF(AND(G230="RECORDED",ISNUMBER(H230)),H230,"")</x:f>
      </x:c>
      <x:c r="P230" s="35" t="str">
        <x:v>NOT_AVAILABLE</x:v>
      </x:c>
      <x:c r="Q230" s="35" t="str">
        <x:v>Deepseek-flash-v4/Result/Closure_89/result.json</x:v>
      </x:c>
    </x:row>
    <x:row r="231">
      <x:c r="A231" s="35" t="str">
        <x:v>deepseek</x:v>
      </x:c>
      <x:c r="B231" s="35" t="str">
        <x:v>Closure</x:v>
      </x:c>
      <x:c r="C231" s="35" t="str">
        <x:v>Round1</x:v>
      </x:c>
      <x:c r="D231" s="35" t="str">
        <x:v>Closure_9</x:v>
      </x:c>
      <x:c r="E231" s="35" t="str">
        <x:v>Line</x:v>
      </x:c>
      <x:c r="F231" s="35"/>
      <x:c r="G231" s="35" t="str">
        <x:v>A</x:v>
      </x:c>
      <x:c r="H231" s="39" t="str">
        <x:f>IF(ISNUMBER('Data'!E231),'Data'!E231*100,"")</x:f>
      </x:c>
      <x:c r="I231" s="35"/>
      <x:c r="J231" s="35" t="str">
        <x:v>PASS</x:v>
      </x:c>
      <x:c r="K231" s="35" t="str">
        <x:v>FAIL</x:v>
      </x:c>
      <x:c r="L231" s="35" t="str">
        <x:v>NOT_RUN</x:v>
      </x:c>
      <x:c r="M231" s="35" t="str">
        <x:v>coverage unavailable or execution/compile failed</x:v>
      </x:c>
      <x:c r="N231" s="35" t="str">
        <x:v>Deepseek-flash-v4/Result/Closure_9/result.json</x:v>
      </x:c>
      <x:c r="O231" s="39" t="str">
        <x:f>IF(AND(G231="RECORDED",ISNUMBER(H231)),H231,"")</x:f>
      </x:c>
      <x:c r="P231" s="35" t="str">
        <x:v>NOT_AVAILABLE</x:v>
      </x:c>
      <x:c r="Q231" s="35" t="str">
        <x:v>Deepseek-flash-v4/Result/Closure_9/result.json</x:v>
      </x:c>
    </x:row>
    <x:row r="232">
      <x:c r="A232" s="35" t="str">
        <x:v>deepseek</x:v>
      </x:c>
      <x:c r="B232" s="35" t="str">
        <x:v>Closure</x:v>
      </x:c>
      <x:c r="C232" s="35" t="str">
        <x:v>Round1</x:v>
      </x:c>
      <x:c r="D232" s="35" t="str">
        <x:v>Closure_90</x:v>
      </x:c>
      <x:c r="E232" s="35" t="str">
        <x:v>Line</x:v>
      </x:c>
      <x:c r="F232" s="35"/>
      <x:c r="G232" s="35" t="str">
        <x:v>A</x:v>
      </x:c>
      <x:c r="H232" s="39" t="str">
        <x:f>IF(ISNUMBER('Data'!E232),'Data'!E232*100,"")</x:f>
      </x:c>
      <x:c r="I232" s="35"/>
      <x:c r="J232" s="35" t="str">
        <x:v>PASS</x:v>
      </x:c>
      <x:c r="K232" s="35" t="str">
        <x:v>FAIL</x:v>
      </x:c>
      <x:c r="L232" s="35" t="str">
        <x:v>NOT_RUN</x:v>
      </x:c>
      <x:c r="M232" s="35" t="str">
        <x:v>coverage unavailable or execution/compile failed</x:v>
      </x:c>
      <x:c r="N232" s="35" t="str">
        <x:v>Deepseek-flash-v4/Result/Closure_90/result.json</x:v>
      </x:c>
      <x:c r="O232" s="39" t="str">
        <x:f>IF(AND(G232="RECORDED",ISNUMBER(H232)),H232,"")</x:f>
      </x:c>
      <x:c r="P232" s="35" t="str">
        <x:v>NOT_AVAILABLE</x:v>
      </x:c>
      <x:c r="Q232" s="35" t="str">
        <x:v>Deepseek-flash-v4/Result/Closure_90/result.json</x:v>
      </x:c>
    </x:row>
    <x:row r="233">
      <x:c r="A233" s="35" t="str">
        <x:v>deepseek</x:v>
      </x:c>
      <x:c r="B233" s="35" t="str">
        <x:v>Closure</x:v>
      </x:c>
      <x:c r="C233" s="35" t="str">
        <x:v>Round1</x:v>
      </x:c>
      <x:c r="D233" s="35" t="str">
        <x:v>Closure_91</x:v>
      </x:c>
      <x:c r="E233" s="35" t="str">
        <x:v>Line</x:v>
      </x:c>
      <x:c r="F233" s="35"/>
      <x:c r="G233" s="35" t="str">
        <x:v>A</x:v>
      </x:c>
      <x:c r="H233" s="39" t="str">
        <x:f>IF(ISNUMBER('Data'!E233),'Data'!E233*100,"")</x:f>
      </x:c>
      <x:c r="I233" s="35"/>
      <x:c r="J233" s="35" t="str">
        <x:v>PASS</x:v>
      </x:c>
      <x:c r="K233" s="35" t="str">
        <x:v>FAIL</x:v>
      </x:c>
      <x:c r="L233" s="35" t="str">
        <x:v>NOT_RUN</x:v>
      </x:c>
      <x:c r="M233" s="35" t="str">
        <x:v>coverage unavailable or execution/compile failed</x:v>
      </x:c>
      <x:c r="N233" s="35" t="str">
        <x:v>Deepseek-flash-v4/Result/Closure_91/result.json</x:v>
      </x:c>
      <x:c r="O233" s="39" t="str">
        <x:f>IF(AND(G233="RECORDED",ISNUMBER(H233)),H233,"")</x:f>
      </x:c>
      <x:c r="P233" s="35" t="str">
        <x:v>NOT_AVAILABLE</x:v>
      </x:c>
      <x:c r="Q233" s="35" t="str">
        <x:v>Deepseek-flash-v4/Result/Closure_91/result.json</x:v>
      </x:c>
    </x:row>
    <x:row r="234">
      <x:c r="A234" s="35" t="str">
        <x:v>deepseek</x:v>
      </x:c>
      <x:c r="B234" s="35" t="str">
        <x:v>Closure</x:v>
      </x:c>
      <x:c r="C234" s="35" t="str">
        <x:v>Round1</x:v>
      </x:c>
      <x:c r="D234" s="35" t="str">
        <x:v>Closure_92</x:v>
      </x:c>
      <x:c r="E234" s="35" t="str">
        <x:v>Line</x:v>
      </x:c>
      <x:c r="F234" s="35"/>
      <x:c r="G234" s="35" t="str">
        <x:v>A</x:v>
      </x:c>
      <x:c r="H234" s="39" t="str">
        <x:f>IF(ISNUMBER('Data'!E234),'Data'!E234*100,"")</x:f>
      </x:c>
      <x:c r="I234" s="35"/>
      <x:c r="J234" s="35" t="str">
        <x:v>PASS</x:v>
      </x:c>
      <x:c r="K234" s="35" t="str">
        <x:v>FAIL</x:v>
      </x:c>
      <x:c r="L234" s="35" t="str">
        <x:v>NOT_RUN</x:v>
      </x:c>
      <x:c r="M234" s="35" t="str">
        <x:v>coverage unavailable or execution/compile failed</x:v>
      </x:c>
      <x:c r="N234" s="35" t="str">
        <x:v>Deepseek-flash-v4/Result/Closure_92/result.json</x:v>
      </x:c>
      <x:c r="O234" s="39" t="str">
        <x:f>IF(AND(G234="RECORDED",ISNUMBER(H234)),H234,"")</x:f>
      </x:c>
      <x:c r="P234" s="35" t="str">
        <x:v>NOT_AVAILABLE</x:v>
      </x:c>
      <x:c r="Q234" s="35" t="str">
        <x:v>Deepseek-flash-v4/Result/Closure_92/result.json</x:v>
      </x:c>
    </x:row>
    <x:row r="235">
      <x:c r="A235" s="35" t="str">
        <x:v>deepseek</x:v>
      </x:c>
      <x:c r="B235" s="35" t="str">
        <x:v>Closure</x:v>
      </x:c>
      <x:c r="C235" s="35" t="str">
        <x:v>Round1</x:v>
      </x:c>
      <x:c r="D235" s="35" t="str">
        <x:v>Closure_94</x:v>
      </x:c>
      <x:c r="E235" s="35" t="str">
        <x:v>Line</x:v>
      </x:c>
      <x:c r="F235" s="35"/>
      <x:c r="G235" s="35" t="str">
        <x:v>A</x:v>
      </x:c>
      <x:c r="H235" s="39" t="str">
        <x:f>IF(ISNUMBER('Data'!E235),'Data'!E235*100,"")</x:f>
      </x:c>
      <x:c r="I235" s="35"/>
      <x:c r="J235" s="35" t="str">
        <x:v>PASS</x:v>
      </x:c>
      <x:c r="K235" s="35" t="str">
        <x:v>FAIL</x:v>
      </x:c>
      <x:c r="L235" s="35" t="str">
        <x:v>NOT_RUN</x:v>
      </x:c>
      <x:c r="M235" s="35" t="str">
        <x:v>coverage unavailable or execution/compile failed</x:v>
      </x:c>
      <x:c r="N235" s="35" t="str">
        <x:v>Deepseek-flash-v4/Result/Closure_94/result.json</x:v>
      </x:c>
      <x:c r="O235" s="39" t="str">
        <x:f>IF(AND(G235="RECORDED",ISNUMBER(H235)),H235,"")</x:f>
      </x:c>
      <x:c r="P235" s="35" t="str">
        <x:v>NOT_AVAILABLE</x:v>
      </x:c>
      <x:c r="Q235" s="35" t="str">
        <x:v>Deepseek-flash-v4/Result/Closure_94/result.json</x:v>
      </x:c>
    </x:row>
    <x:row r="236">
      <x:c r="A236" s="35" t="str">
        <x:v>deepseek</x:v>
      </x:c>
      <x:c r="B236" s="35" t="str">
        <x:v>Closure</x:v>
      </x:c>
      <x:c r="C236" s="35" t="str">
        <x:v>Round1</x:v>
      </x:c>
      <x:c r="D236" s="35" t="str">
        <x:v>Closure_95</x:v>
      </x:c>
      <x:c r="E236" s="35" t="str">
        <x:v>Line</x:v>
      </x:c>
      <x:c r="F236" s="35"/>
      <x:c r="G236" s="35" t="str">
        <x:v>A</x:v>
      </x:c>
      <x:c r="H236" s="39" t="str">
        <x:f>IF(ISNUMBER('Data'!E236),'Data'!E236*100,"")</x:f>
      </x:c>
      <x:c r="I236" s="35"/>
      <x:c r="J236" s="35" t="str">
        <x:v>PASS</x:v>
      </x:c>
      <x:c r="K236" s="35" t="str">
        <x:v>FAIL</x:v>
      </x:c>
      <x:c r="L236" s="35" t="str">
        <x:v>NOT_RUN</x:v>
      </x:c>
      <x:c r="M236" s="35" t="str">
        <x:v>coverage unavailable or execution/compile failed</x:v>
      </x:c>
      <x:c r="N236" s="35" t="str">
        <x:v>Deepseek-flash-v4/Result/Closure_95/result.json</x:v>
      </x:c>
      <x:c r="O236" s="39" t="str">
        <x:f>IF(AND(G236="RECORDED",ISNUMBER(H236)),H236,"")</x:f>
      </x:c>
      <x:c r="P236" s="35" t="str">
        <x:v>NOT_AVAILABLE</x:v>
      </x:c>
      <x:c r="Q236" s="35" t="str">
        <x:v>Deepseek-flash-v4/Result/Closure_95/result.json</x:v>
      </x:c>
    </x:row>
    <x:row r="237">
      <x:c r="A237" s="35" t="str">
        <x:v>deepseek</x:v>
      </x:c>
      <x:c r="B237" s="35" t="str">
        <x:v>Closure</x:v>
      </x:c>
      <x:c r="C237" s="35" t="str">
        <x:v>Round1</x:v>
      </x:c>
      <x:c r="D237" s="35" t="str">
        <x:v>Closure_96</x:v>
      </x:c>
      <x:c r="E237" s="35" t="str">
        <x:v>Line</x:v>
      </x:c>
      <x:c r="F237" s="35"/>
      <x:c r="G237" s="35" t="str">
        <x:v>A</x:v>
      </x:c>
      <x:c r="H237" s="39" t="str">
        <x:f>IF(ISNUMBER('Data'!E237),'Data'!E237*100,"")</x:f>
      </x:c>
      <x:c r="I237" s="35"/>
      <x:c r="J237" s="35" t="str">
        <x:v>PASS</x:v>
      </x:c>
      <x:c r="K237" s="35" t="str">
        <x:v>FAIL</x:v>
      </x:c>
      <x:c r="L237" s="35" t="str">
        <x:v>NOT_RUN</x:v>
      </x:c>
      <x:c r="M237" s="35" t="str">
        <x:v>coverage unavailable or execution/compile failed</x:v>
      </x:c>
      <x:c r="N237" s="35" t="str">
        <x:v>Deepseek-flash-v4/Result/Closure_96/result.json</x:v>
      </x:c>
      <x:c r="O237" s="39" t="str">
        <x:f>IF(AND(G237="RECORDED",ISNUMBER(H237)),H237,"")</x:f>
      </x:c>
      <x:c r="P237" s="35" t="str">
        <x:v>NOT_AVAILABLE</x:v>
      </x:c>
      <x:c r="Q237" s="35" t="str">
        <x:v>Deepseek-flash-v4/Result/Closure_96/result.json</x:v>
      </x:c>
    </x:row>
    <x:row r="238">
      <x:c r="A238" s="35" t="str">
        <x:v>deepseek</x:v>
      </x:c>
      <x:c r="B238" s="35" t="str">
        <x:v>Closure</x:v>
      </x:c>
      <x:c r="C238" s="35" t="str">
        <x:v>Round1</x:v>
      </x:c>
      <x:c r="D238" s="35" t="str">
        <x:v>Closure_97</x:v>
      </x:c>
      <x:c r="E238" s="35" t="str">
        <x:v>Line</x:v>
      </x:c>
      <x:c r="F238" s="35"/>
      <x:c r="G238" s="35" t="str">
        <x:v>A</x:v>
      </x:c>
      <x:c r="H238" s="39" t="str">
        <x:f>IF(ISNUMBER('Data'!E238),'Data'!E238*100,"")</x:f>
      </x:c>
      <x:c r="I238" s="35"/>
      <x:c r="J238" s="35" t="str">
        <x:v>PASS</x:v>
      </x:c>
      <x:c r="K238" s="35" t="str">
        <x:v>FAIL</x:v>
      </x:c>
      <x:c r="L238" s="35" t="str">
        <x:v>NOT_RUN</x:v>
      </x:c>
      <x:c r="M238" s="35" t="str">
        <x:v>coverage unavailable or execution/compile failed</x:v>
      </x:c>
      <x:c r="N238" s="35" t="str">
        <x:v>Deepseek-flash-v4/Result/Closure_97/result.json</x:v>
      </x:c>
      <x:c r="O238" s="39" t="str">
        <x:f>IF(AND(G238="RECORDED",ISNUMBER(H238)),H238,"")</x:f>
      </x:c>
      <x:c r="P238" s="35" t="str">
        <x:v>NOT_AVAILABLE</x:v>
      </x:c>
      <x:c r="Q238" s="35" t="str">
        <x:v>Deepseek-flash-v4/Result/Closure_97/result.json</x:v>
      </x:c>
    </x:row>
    <x:row r="239">
      <x:c r="A239" s="35" t="str">
        <x:v>deepseek</x:v>
      </x:c>
      <x:c r="B239" s="35" t="str">
        <x:v>Closure</x:v>
      </x:c>
      <x:c r="C239" s="35" t="str">
        <x:v>Round1</x:v>
      </x:c>
      <x:c r="D239" s="35" t="str">
        <x:v>Closure_98</x:v>
      </x:c>
      <x:c r="E239" s="35" t="str">
        <x:v>Line</x:v>
      </x:c>
      <x:c r="F239" s="35"/>
      <x:c r="G239" s="35" t="str">
        <x:v>A</x:v>
      </x:c>
      <x:c r="H239" s="39" t="str">
        <x:f>IF(ISNUMBER('Data'!E239),'Data'!E239*100,"")</x:f>
      </x:c>
      <x:c r="I239" s="35"/>
      <x:c r="J239" s="35" t="str">
        <x:v>PASS</x:v>
      </x:c>
      <x:c r="K239" s="35" t="str">
        <x:v>FAIL</x:v>
      </x:c>
      <x:c r="L239" s="35" t="str">
        <x:v>NOT_RUN</x:v>
      </x:c>
      <x:c r="M239" s="35" t="str">
        <x:v>coverage unavailable or execution/compile failed</x:v>
      </x:c>
      <x:c r="N239" s="35" t="str">
        <x:v>Deepseek-flash-v4/Result/Closure_98/result.json</x:v>
      </x:c>
      <x:c r="O239" s="39" t="str">
        <x:f>IF(AND(G239="RECORDED",ISNUMBER(H239)),H239,"")</x:f>
      </x:c>
      <x:c r="P239" s="35" t="str">
        <x:v>NOT_AVAILABLE</x:v>
      </x:c>
      <x:c r="Q239" s="35" t="str">
        <x:v>Deepseek-flash-v4/Result/Closure_98/result.json</x:v>
      </x:c>
    </x:row>
    <x:row r="240">
      <x:c r="A240" s="35" t="str">
        <x:v>deepseek</x:v>
      </x:c>
      <x:c r="B240" s="35" t="str">
        <x:v>Closure</x:v>
      </x:c>
      <x:c r="C240" s="35" t="str">
        <x:v>Round1</x:v>
      </x:c>
      <x:c r="D240" s="35" t="str">
        <x:v>Closure_99</x:v>
      </x:c>
      <x:c r="E240" s="35" t="str">
        <x:v>Line</x:v>
      </x:c>
      <x:c r="F240" s="35"/>
      <x:c r="G240" s="35" t="str">
        <x:v>A</x:v>
      </x:c>
      <x:c r="H240" s="39" t="str">
        <x:f>IF(ISNUMBER('Data'!E240),'Data'!E240*100,"")</x:f>
      </x:c>
      <x:c r="I240" s="35"/>
      <x:c r="J240" s="35" t="str">
        <x:v>PASS</x:v>
      </x:c>
      <x:c r="K240" s="35" t="str">
        <x:v>FAIL</x:v>
      </x:c>
      <x:c r="L240" s="35" t="str">
        <x:v>NOT_RUN</x:v>
      </x:c>
      <x:c r="M240" s="35" t="str">
        <x:v>coverage unavailable or execution/compile failed</x:v>
      </x:c>
      <x:c r="N240" s="35" t="str">
        <x:v>Deepseek-flash-v4/Result/Closure_99/result.json</x:v>
      </x:c>
      <x:c r="O240" s="39" t="str">
        <x:f>IF(AND(G240="RECORDED",ISNUMBER(H240)),H240,"")</x:f>
      </x:c>
      <x:c r="P240" s="35" t="str">
        <x:v>NOT_AVAILABLE</x:v>
      </x:c>
      <x:c r="Q240" s="35" t="str">
        <x:v>Deepseek-flash-v4/Result/Closure_99/result.json</x:v>
      </x:c>
    </x:row>
    <x:row r="241">
      <x:c r="A241" s="35" t="str">
        <x:v>deepseek</x:v>
      </x:c>
      <x:c r="B241" s="35" t="str">
        <x:v>Codec</x:v>
      </x:c>
      <x:c r="C241" s="35" t="str">
        <x:v>Round1</x:v>
      </x:c>
      <x:c r="D241" s="35" t="str">
        <x:v>Codec_1</x:v>
      </x:c>
      <x:c r="E241" s="35" t="str">
        <x:v>Line</x:v>
      </x:c>
      <x:c r="F241" s="35"/>
      <x:c r="G241" s="35" t="str">
        <x:v>A</x:v>
      </x:c>
      <x:c r="H241" s="39" t="str">
        <x:f>IF(ISNUMBER('Data'!E241),'Data'!E241*100,"")</x:f>
      </x:c>
      <x:c r="I241" s="35"/>
      <x:c r="J241" s="35" t="str">
        <x:v>PASS</x:v>
      </x:c>
      <x:c r="K241" s="35" t="str">
        <x:v>FAIL</x:v>
      </x:c>
      <x:c r="L241" s="35" t="str">
        <x:v>NOT_RUN</x:v>
      </x:c>
      <x:c r="M241" s="35" t="str">
        <x:v>coverage unavailable or execution/compile failed</x:v>
      </x:c>
      <x:c r="N241" s="35" t="str">
        <x:v>Deepseek-flash-v4/Result/Codec_1/result.json</x:v>
      </x:c>
      <x:c r="O241" s="39" t="str">
        <x:f>IF(AND(G241="RECORDED",ISNUMBER(H241)),H241,"")</x:f>
      </x:c>
      <x:c r="P241" s="35" t="str">
        <x:v>NOT_AVAILABLE</x:v>
      </x:c>
      <x:c r="Q241" s="35" t="str">
        <x:v>Deepseek-flash-v4/Result/Codec_1/result.json</x:v>
      </x:c>
    </x:row>
    <x:row r="242">
      <x:c r="A242" s="35" t="str">
        <x:v>deepseek</x:v>
      </x:c>
      <x:c r="B242" s="35" t="str">
        <x:v>Codec</x:v>
      </x:c>
      <x:c r="C242" s="35" t="str">
        <x:v>Round1</x:v>
      </x:c>
      <x:c r="D242" s="35" t="str">
        <x:v>Codec_10</x:v>
      </x:c>
      <x:c r="E242" s="35" t="str">
        <x:v>Line</x:v>
      </x:c>
      <x:c r="F242" s="35" t="n">
        <x:v>69</x:v>
      </x:c>
      <x:c r="G242" s="35" t="str">
        <x:v>RECORDED</x:v>
      </x:c>
      <x:c r="H242" s="39" t="n">
        <x:f>IF(ISNUMBER('Data'!E242),'Data'!E242*100,"")</x:f>
        <x:v>98.55</x:v>
      </x:c>
      <x:c r="I242" s="35" t="str">
        <x:v>PASS</x:v>
      </x:c>
      <x:c r="J242" s="35" t="str">
        <x:v>PASS</x:v>
      </x:c>
      <x:c r="K242" s="35" t="str">
        <x:v>PASS</x:v>
      </x:c>
      <x:c r="L242" s="35" t="str">
        <x:v>FAIL</x:v>
      </x:c>
      <x:c r="M242" s="35" t="str">
        <x:v>numeric coverage for applicable metric</x:v>
      </x:c>
      <x:c r="N242" s="35" t="str">
        <x:v>Deepseek-flash-v4/Result/Codec_10/result.json</x:v>
      </x:c>
      <x:c r="O242" s="39" t="n">
        <x:f>IF(AND(G242="RECORDED",ISNUMBER(H242)),H242,"")</x:f>
        <x:v>98.55</x:v>
      </x:c>
      <x:c r="P242" s="35" t="str">
        <x:v>NOT_AVAILABLE</x:v>
      </x:c>
      <x:c r="Q242" s="35" t="str">
        <x:v>Deepseek-flash-v4/Result/Codec_10/result.json</x:v>
      </x:c>
    </x:row>
    <x:row r="243">
      <x:c r="A243" s="35" t="str">
        <x:v>deepseek</x:v>
      </x:c>
      <x:c r="B243" s="35" t="str">
        <x:v>Codec</x:v>
      </x:c>
      <x:c r="C243" s="35" t="str">
        <x:v>Round1</x:v>
      </x:c>
      <x:c r="D243" s="35" t="str">
        <x:v>Codec_11</x:v>
      </x:c>
      <x:c r="E243" s="35" t="str">
        <x:v>Line</x:v>
      </x:c>
      <x:c r="F243" s="35"/>
      <x:c r="G243" s="35" t="str">
        <x:v>A</x:v>
      </x:c>
      <x:c r="H243" s="39" t="str">
        <x:f>IF(ISNUMBER('Data'!E243),'Data'!E243*100,"")</x:f>
      </x:c>
      <x:c r="I243" s="35"/>
      <x:c r="J243" s="35" t="str">
        <x:v>PASS</x:v>
      </x:c>
      <x:c r="K243" s="35" t="str">
        <x:v>FAIL</x:v>
      </x:c>
      <x:c r="L243" s="35" t="str">
        <x:v>NOT_RUN</x:v>
      </x:c>
      <x:c r="M243" s="35" t="str">
        <x:v>coverage unavailable or execution/compile failed</x:v>
      </x:c>
      <x:c r="N243" s="35" t="str">
        <x:v>Deepseek-flash-v4/Result/Codec_11/result.json</x:v>
      </x:c>
      <x:c r="O243" s="39" t="str">
        <x:f>IF(AND(G243="RECORDED",ISNUMBER(H243)),H243,"")</x:f>
      </x:c>
      <x:c r="P243" s="35" t="str">
        <x:v>NOT_AVAILABLE</x:v>
      </x:c>
      <x:c r="Q243" s="35" t="str">
        <x:v>Deepseek-flash-v4/Result/Codec_11/result.json</x:v>
      </x:c>
    </x:row>
    <x:row r="244">
      <x:c r="A244" s="35" t="str">
        <x:v>deepseek</x:v>
      </x:c>
      <x:c r="B244" s="35" t="str">
        <x:v>Codec</x:v>
      </x:c>
      <x:c r="C244" s="35" t="str">
        <x:v>Round1</x:v>
      </x:c>
      <x:c r="D244" s="35" t="str">
        <x:v>Codec_12</x:v>
      </x:c>
      <x:c r="E244" s="35" t="str">
        <x:v>Line</x:v>
      </x:c>
      <x:c r="F244" s="35"/>
      <x:c r="G244" s="35" t="str">
        <x:v>A</x:v>
      </x:c>
      <x:c r="H244" s="39" t="str">
        <x:f>IF(ISNUMBER('Data'!E244),'Data'!E244*100,"")</x:f>
      </x:c>
      <x:c r="I244" s="35"/>
      <x:c r="J244" s="35" t="str">
        <x:v>PASS</x:v>
      </x:c>
      <x:c r="K244" s="35" t="str">
        <x:v>FAIL</x:v>
      </x:c>
      <x:c r="L244" s="35" t="str">
        <x:v>NOT_RUN</x:v>
      </x:c>
      <x:c r="M244" s="35" t="str">
        <x:v>coverage unavailable or execution/compile failed</x:v>
      </x:c>
      <x:c r="N244" s="35" t="str">
        <x:v>Deepseek-flash-v4/Result/Codec_12/result.json</x:v>
      </x:c>
      <x:c r="O244" s="39" t="str">
        <x:f>IF(AND(G244="RECORDED",ISNUMBER(H244)),H244,"")</x:f>
      </x:c>
      <x:c r="P244" s="35" t="str">
        <x:v>NOT_AVAILABLE</x:v>
      </x:c>
      <x:c r="Q244" s="35" t="str">
        <x:v>Deepseek-flash-v4/Result/Codec_12/result.json</x:v>
      </x:c>
    </x:row>
    <x:row r="245">
      <x:c r="A245" s="35" t="str">
        <x:v>deepseek</x:v>
      </x:c>
      <x:c r="B245" s="35" t="str">
        <x:v>Codec</x:v>
      </x:c>
      <x:c r="C245" s="35" t="str">
        <x:v>Round1</x:v>
      </x:c>
      <x:c r="D245" s="35" t="str">
        <x:v>Codec_13</x:v>
      </x:c>
      <x:c r="E245" s="35" t="str">
        <x:v>Line</x:v>
      </x:c>
      <x:c r="F245" s="35"/>
      <x:c r="G245" s="35" t="str">
        <x:v>A</x:v>
      </x:c>
      <x:c r="H245" s="39" t="str">
        <x:f>IF(ISNUMBER('Data'!E245),'Data'!E245*100,"")</x:f>
      </x:c>
      <x:c r="I245" s="35"/>
      <x:c r="J245" s="35" t="str">
        <x:v>PASS</x:v>
      </x:c>
      <x:c r="K245" s="35" t="str">
        <x:v>FAIL</x:v>
      </x:c>
      <x:c r="L245" s="35" t="str">
        <x:v>NOT_RUN</x:v>
      </x:c>
      <x:c r="M245" s="35" t="str">
        <x:v>coverage unavailable or execution/compile failed</x:v>
      </x:c>
      <x:c r="N245" s="35" t="str">
        <x:v>Deepseek-flash-v4/Result/Codec_13/result.json</x:v>
      </x:c>
      <x:c r="O245" s="39" t="str">
        <x:f>IF(AND(G245="RECORDED",ISNUMBER(H245)),H245,"")</x:f>
      </x:c>
      <x:c r="P245" s="35" t="str">
        <x:v>NOT_AVAILABLE</x:v>
      </x:c>
      <x:c r="Q245" s="35" t="str">
        <x:v>Deepseek-flash-v4/Result/Codec_13/result.json</x:v>
      </x:c>
    </x:row>
    <x:row r="246">
      <x:c r="A246" s="35" t="str">
        <x:v>deepseek</x:v>
      </x:c>
      <x:c r="B246" s="35" t="str">
        <x:v>Codec</x:v>
      </x:c>
      <x:c r="C246" s="35" t="str">
        <x:v>Round1</x:v>
      </x:c>
      <x:c r="D246" s="35" t="str">
        <x:v>Codec_14</x:v>
      </x:c>
      <x:c r="E246" s="35" t="str">
        <x:v>Line</x:v>
      </x:c>
      <x:c r="F246" s="35"/>
      <x:c r="G246" s="35" t="str">
        <x:v>A</x:v>
      </x:c>
      <x:c r="H246" s="39" t="str">
        <x:f>IF(ISNUMBER('Data'!E246),'Data'!E246*100,"")</x:f>
      </x:c>
      <x:c r="I246" s="35"/>
      <x:c r="J246" s="35" t="str">
        <x:v>PASS</x:v>
      </x:c>
      <x:c r="K246" s="35" t="str">
        <x:v>FAIL</x:v>
      </x:c>
      <x:c r="L246" s="35" t="str">
        <x:v>NOT_RUN</x:v>
      </x:c>
      <x:c r="M246" s="35" t="str">
        <x:v>coverage unavailable or execution/compile failed</x:v>
      </x:c>
      <x:c r="N246" s="35" t="str">
        <x:v>Deepseek-flash-v4/Result/Codec_14/result.json</x:v>
      </x:c>
      <x:c r="O246" s="39" t="str">
        <x:f>IF(AND(G246="RECORDED",ISNUMBER(H246)),H246,"")</x:f>
      </x:c>
      <x:c r="P246" s="35" t="str">
        <x:v>NOT_AVAILABLE</x:v>
      </x:c>
      <x:c r="Q246" s="35" t="str">
        <x:v>Deepseek-flash-v4/Result/Codec_14/result.json</x:v>
      </x:c>
    </x:row>
    <x:row r="247">
      <x:c r="A247" s="35" t="str">
        <x:v>deepseek</x:v>
      </x:c>
      <x:c r="B247" s="35" t="str">
        <x:v>Codec</x:v>
      </x:c>
      <x:c r="C247" s="35" t="str">
        <x:v>Round1</x:v>
      </x:c>
      <x:c r="D247" s="35" t="str">
        <x:v>Codec_15</x:v>
      </x:c>
      <x:c r="E247" s="35" t="str">
        <x:v>Line</x:v>
      </x:c>
      <x:c r="F247" s="35"/>
      <x:c r="G247" s="35" t="str">
        <x:v>A</x:v>
      </x:c>
      <x:c r="H247" s="39" t="str">
        <x:f>IF(ISNUMBER('Data'!E247),'Data'!E247*100,"")</x:f>
      </x:c>
      <x:c r="I247" s="35" t="str">
        <x:v>FAIL</x:v>
      </x:c>
      <x:c r="J247" s="35" t="str">
        <x:v>PASS</x:v>
      </x:c>
      <x:c r="K247" s="35" t="str">
        <x:v>PASS</x:v>
      </x:c>
      <x:c r="L247" s="35" t="str">
        <x:v>FAIL</x:v>
      </x:c>
      <x:c r="M247" s="35" t="str">
        <x:v>coverage unavailable or execution/compile failed</x:v>
      </x:c>
      <x:c r="N247" s="35" t="str">
        <x:v>Deepseek-flash-v4/Result/Codec_15/result.json</x:v>
      </x:c>
      <x:c r="O247" s="39" t="str">
        <x:f>IF(AND(G247="RECORDED",ISNUMBER(H247)),H247,"")</x:f>
      </x:c>
      <x:c r="P247" s="35" t="str">
        <x:v>NOT_AVAILABLE</x:v>
      </x:c>
      <x:c r="Q247" s="35" t="str">
        <x:v>Deepseek-flash-v4/Result/Codec_15/result.json</x:v>
      </x:c>
    </x:row>
    <x:row r="248">
      <x:c r="A248" s="35" t="str">
        <x:v>deepseek</x:v>
      </x:c>
      <x:c r="B248" s="35" t="str">
        <x:v>Codec</x:v>
      </x:c>
      <x:c r="C248" s="35" t="str">
        <x:v>Round1</x:v>
      </x:c>
      <x:c r="D248" s="35" t="str">
        <x:v>Codec_16</x:v>
      </x:c>
      <x:c r="E248" s="35" t="str">
        <x:v>Line</x:v>
      </x:c>
      <x:c r="F248" s="35"/>
      <x:c r="G248" s="35" t="str">
        <x:v>A</x:v>
      </x:c>
      <x:c r="H248" s="39" t="str">
        <x:f>IF(ISNUMBER('Data'!E248),'Data'!E248*100,"")</x:f>
      </x:c>
      <x:c r="I248" s="35"/>
      <x:c r="J248" s="35" t="str">
        <x:v>FAIL</x:v>
      </x:c>
      <x:c r="K248" s="35"/>
      <x:c r="L248" s="35" t="str">
        <x:v>NOT_RUN</x:v>
      </x:c>
      <x:c r="M248" s="35" t="str">
        <x:v>coverage unavailable or execution/compile failed</x:v>
      </x:c>
      <x:c r="N248" s="35" t="str">
        <x:v>Deepseek-flash-v4/Result/Codec_16/result.json</x:v>
      </x:c>
      <x:c r="O248" s="39" t="str">
        <x:f>IF(AND(G248="RECORDED",ISNUMBER(H248)),H248,"")</x:f>
      </x:c>
      <x:c r="P248" s="35" t="str">
        <x:v>NOT_AVAILABLE</x:v>
      </x:c>
      <x:c r="Q248" s="35" t="str">
        <x:v>Deepseek-flash-v4/Result/Codec_16/result.json</x:v>
      </x:c>
    </x:row>
    <x:row r="249">
      <x:c r="A249" s="35" t="str">
        <x:v>deepseek</x:v>
      </x:c>
      <x:c r="B249" s="35" t="str">
        <x:v>Codec</x:v>
      </x:c>
      <x:c r="C249" s="35" t="str">
        <x:v>Round1</x:v>
      </x:c>
      <x:c r="D249" s="35" t="str">
        <x:v>Codec_17</x:v>
      </x:c>
      <x:c r="E249" s="35" t="str">
        <x:v>Line</x:v>
      </x:c>
      <x:c r="F249" s="35"/>
      <x:c r="G249" s="35" t="str">
        <x:v>A</x:v>
      </x:c>
      <x:c r="H249" s="39" t="str">
        <x:f>IF(ISNUMBER('Data'!E249),'Data'!E249*100,"")</x:f>
      </x:c>
      <x:c r="I249" s="35"/>
      <x:c r="J249" s="35" t="str">
        <x:v>FAIL</x:v>
      </x:c>
      <x:c r="K249" s="35"/>
      <x:c r="L249" s="35" t="str">
        <x:v>NOT_RUN</x:v>
      </x:c>
      <x:c r="M249" s="35" t="str">
        <x:v>coverage unavailable or execution/compile failed</x:v>
      </x:c>
      <x:c r="N249" s="35" t="str">
        <x:v>Deepseek-flash-v4/Result/Codec_17/result.json</x:v>
      </x:c>
      <x:c r="O249" s="39" t="str">
        <x:f>IF(AND(G249="RECORDED",ISNUMBER(H249)),H249,"")</x:f>
      </x:c>
      <x:c r="P249" s="35" t="str">
        <x:v>NOT_AVAILABLE</x:v>
      </x:c>
      <x:c r="Q249" s="35" t="str">
        <x:v>Deepseek-flash-v4/Result/Codec_17/result.json</x:v>
      </x:c>
    </x:row>
    <x:row r="250">
      <x:c r="A250" s="35" t="str">
        <x:v>deepseek</x:v>
      </x:c>
      <x:c r="B250" s="35" t="str">
        <x:v>Codec</x:v>
      </x:c>
      <x:c r="C250" s="35" t="str">
        <x:v>Round1</x:v>
      </x:c>
      <x:c r="D250" s="35" t="str">
        <x:v>Codec_18</x:v>
      </x:c>
      <x:c r="E250" s="35" t="str">
        <x:v>Line</x:v>
      </x:c>
      <x:c r="F250" s="35"/>
      <x:c r="G250" s="35" t="str">
        <x:v>A</x:v>
      </x:c>
      <x:c r="H250" s="39" t="str">
        <x:f>IF(ISNUMBER('Data'!E250),'Data'!E250*100,"")</x:f>
      </x:c>
      <x:c r="I250" s="35"/>
      <x:c r="J250" s="35" t="str">
        <x:v>FAIL</x:v>
      </x:c>
      <x:c r="K250" s="35"/>
      <x:c r="L250" s="35" t="str">
        <x:v>NOT_RUN</x:v>
      </x:c>
      <x:c r="M250" s="35" t="str">
        <x:v>coverage unavailable or execution/compile failed</x:v>
      </x:c>
      <x:c r="N250" s="35" t="str">
        <x:v>Deepseek-flash-v4/Result/Codec_18/result.json</x:v>
      </x:c>
      <x:c r="O250" s="39" t="str">
        <x:f>IF(AND(G250="RECORDED",ISNUMBER(H250)),H250,"")</x:f>
      </x:c>
      <x:c r="P250" s="35" t="str">
        <x:v>NOT_AVAILABLE</x:v>
      </x:c>
      <x:c r="Q250" s="35" t="str">
        <x:v>Deepseek-flash-v4/Result/Codec_18/result.json</x:v>
      </x:c>
    </x:row>
    <x:row r="251">
      <x:c r="A251" s="35" t="str">
        <x:v>deepseek</x:v>
      </x:c>
      <x:c r="B251" s="35" t="str">
        <x:v>Codec</x:v>
      </x:c>
      <x:c r="C251" s="35" t="str">
        <x:v>Round1</x:v>
      </x:c>
      <x:c r="D251" s="35" t="str">
        <x:v>Codec_2</x:v>
      </x:c>
      <x:c r="E251" s="35" t="str">
        <x:v>Line</x:v>
      </x:c>
      <x:c r="F251" s="35" t="n">
        <x:v>214</x:v>
      </x:c>
      <x:c r="G251" s="35" t="str">
        <x:v>RECORDED</x:v>
      </x:c>
      <x:c r="H251" s="39" t="n">
        <x:f>IF(ISNUMBER('Data'!E251),'Data'!E251*100,"")</x:f>
        <x:v>83.64</x:v>
      </x:c>
      <x:c r="I251" s="35" t="str">
        <x:v>PASS</x:v>
      </x:c>
      <x:c r="J251" s="35" t="str">
        <x:v>PASS</x:v>
      </x:c>
      <x:c r="K251" s="35" t="str">
        <x:v>PASS</x:v>
      </x:c>
      <x:c r="L251" s="35" t="str">
        <x:v>FAIL</x:v>
      </x:c>
      <x:c r="M251" s="35" t="str">
        <x:v>numeric coverage for applicable metric</x:v>
      </x:c>
      <x:c r="N251" s="35" t="str">
        <x:v>Deepseek-flash-v4/Result/Codec_2/result.json</x:v>
      </x:c>
      <x:c r="O251" s="39" t="n">
        <x:f>IF(AND(G251="RECORDED",ISNUMBER(H251)),H251,"")</x:f>
        <x:v>83.64</x:v>
      </x:c>
      <x:c r="P251" s="35" t="str">
        <x:v>INCONCLUSIVE</x:v>
      </x:c>
      <x:c r="Q251" s="35" t="str">
        <x:v>Deepseek-flash-v4/Result/Codec_2/result.json</x:v>
      </x:c>
    </x:row>
    <x:row r="252">
      <x:c r="A252" s="35" t="str">
        <x:v>deepseek</x:v>
      </x:c>
      <x:c r="B252" s="35" t="str">
        <x:v>Codec</x:v>
      </x:c>
      <x:c r="C252" s="35" t="str">
        <x:v>Round1</x:v>
      </x:c>
      <x:c r="D252" s="35" t="str">
        <x:v>Codec_3</x:v>
      </x:c>
      <x:c r="E252" s="35" t="str">
        <x:v>Line</x:v>
      </x:c>
      <x:c r="F252" s="35"/>
      <x:c r="G252" s="35" t="str">
        <x:v>A</x:v>
      </x:c>
      <x:c r="H252" s="39" t="str">
        <x:f>IF(ISNUMBER('Data'!E252),'Data'!E252*100,"")</x:f>
      </x:c>
      <x:c r="I252" s="35"/>
      <x:c r="J252" s="35" t="str">
        <x:v>PASS</x:v>
      </x:c>
      <x:c r="K252" s="35" t="str">
        <x:v>FAIL</x:v>
      </x:c>
      <x:c r="L252" s="35" t="str">
        <x:v>NOT_RUN</x:v>
      </x:c>
      <x:c r="M252" s="35" t="str">
        <x:v>coverage unavailable or execution/compile failed</x:v>
      </x:c>
      <x:c r="N252" s="35" t="str">
        <x:v>Deepseek-flash-v4/Result/Codec_3/result.json</x:v>
      </x:c>
      <x:c r="O252" s="39" t="str">
        <x:f>IF(AND(G252="RECORDED",ISNUMBER(H252)),H252,"")</x:f>
      </x:c>
      <x:c r="P252" s="35" t="str">
        <x:v>NOT_AVAILABLE</x:v>
      </x:c>
      <x:c r="Q252" s="35" t="str">
        <x:v>Deepseek-flash-v4/Result/Codec_3/result.json</x:v>
      </x:c>
    </x:row>
    <x:row r="253">
      <x:c r="A253" s="35" t="str">
        <x:v>deepseek</x:v>
      </x:c>
      <x:c r="B253" s="35" t="str">
        <x:v>Codec</x:v>
      </x:c>
      <x:c r="C253" s="35" t="str">
        <x:v>Round1</x:v>
      </x:c>
      <x:c r="D253" s="35" t="str">
        <x:v>Codec_4</x:v>
      </x:c>
      <x:c r="E253" s="35" t="str">
        <x:v>Line</x:v>
      </x:c>
      <x:c r="F253" s="35"/>
      <x:c r="G253" s="35" t="str">
        <x:v>A</x:v>
      </x:c>
      <x:c r="H253" s="39" t="str">
        <x:f>IF(ISNUMBER('Data'!E253),'Data'!E253*100,"")</x:f>
      </x:c>
      <x:c r="I253" s="35"/>
      <x:c r="J253" s="35" t="str">
        <x:v>PASS</x:v>
      </x:c>
      <x:c r="K253" s="35" t="str">
        <x:v>FAIL</x:v>
      </x:c>
      <x:c r="L253" s="35" t="str">
        <x:v>NOT_RUN</x:v>
      </x:c>
      <x:c r="M253" s="35" t="str">
        <x:v>coverage unavailable or execution/compile failed</x:v>
      </x:c>
      <x:c r="N253" s="35" t="str">
        <x:v>Deepseek-flash-v4/Result/Codec_4/result.json</x:v>
      </x:c>
      <x:c r="O253" s="39" t="str">
        <x:f>IF(AND(G253="RECORDED",ISNUMBER(H253)),H253,"")</x:f>
      </x:c>
      <x:c r="P253" s="35" t="str">
        <x:v>NOT_AVAILABLE</x:v>
      </x:c>
      <x:c r="Q253" s="35" t="str">
        <x:v>Deepseek-flash-v4/Result/Codec_4/result.json</x:v>
      </x:c>
    </x:row>
    <x:row r="254">
      <x:c r="A254" s="35" t="str">
        <x:v>deepseek</x:v>
      </x:c>
      <x:c r="B254" s="35" t="str">
        <x:v>Codec</x:v>
      </x:c>
      <x:c r="C254" s="35" t="str">
        <x:v>Round1</x:v>
      </x:c>
      <x:c r="D254" s="35" t="str">
        <x:v>Codec_5</x:v>
      </x:c>
      <x:c r="E254" s="35" t="str">
        <x:v>Line</x:v>
      </x:c>
      <x:c r="F254" s="35" t="n">
        <x:v>231</x:v>
      </x:c>
      <x:c r="G254" s="35" t="str">
        <x:v>RECORDED</x:v>
      </x:c>
      <x:c r="H254" s="39" t="n">
        <x:f>IF(ISNUMBER('Data'!E254),'Data'!E254*100,"")</x:f>
        <x:v>88.31</x:v>
      </x:c>
      <x:c r="I254" s="35" t="str">
        <x:v>PASS</x:v>
      </x:c>
      <x:c r="J254" s="35" t="str">
        <x:v>PASS</x:v>
      </x:c>
      <x:c r="K254" s="35" t="str">
        <x:v>PASS</x:v>
      </x:c>
      <x:c r="L254" s="35" t="str">
        <x:v>FAIL</x:v>
      </x:c>
      <x:c r="M254" s="35" t="str">
        <x:v>numeric coverage for applicable metric</x:v>
      </x:c>
      <x:c r="N254" s="35" t="str">
        <x:v>Deepseek-flash-v4/Result/Codec_5/result.json</x:v>
      </x:c>
      <x:c r="O254" s="39" t="n">
        <x:f>IF(AND(G254="RECORDED",ISNUMBER(H254)),H254,"")</x:f>
        <x:v>88.31</x:v>
      </x:c>
      <x:c r="P254" s="35" t="str">
        <x:v>INCONCLUSIVE</x:v>
      </x:c>
      <x:c r="Q254" s="35" t="str">
        <x:v>Deepseek-flash-v4/Result/Codec_5/result.json</x:v>
      </x:c>
    </x:row>
    <x:row r="255">
      <x:c r="A255" s="35" t="str">
        <x:v>deepseek</x:v>
      </x:c>
      <x:c r="B255" s="35" t="str">
        <x:v>Codec</x:v>
      </x:c>
      <x:c r="C255" s="35" t="str">
        <x:v>Round1</x:v>
      </x:c>
      <x:c r="D255" s="35" t="str">
        <x:v>Codec_6</x:v>
      </x:c>
      <x:c r="E255" s="35" t="str">
        <x:v>Line</x:v>
      </x:c>
      <x:c r="F255" s="35"/>
      <x:c r="G255" s="35" t="str">
        <x:v>A</x:v>
      </x:c>
      <x:c r="H255" s="39" t="str">
        <x:f>IF(ISNUMBER('Data'!E255),'Data'!E255*100,"")</x:f>
      </x:c>
      <x:c r="I255" s="35"/>
      <x:c r="J255" s="35" t="str">
        <x:v>PASS</x:v>
      </x:c>
      <x:c r="K255" s="35" t="str">
        <x:v>FAIL</x:v>
      </x:c>
      <x:c r="L255" s="35" t="str">
        <x:v>NOT_RUN</x:v>
      </x:c>
      <x:c r="M255" s="35" t="str">
        <x:v>coverage unavailable or execution/compile failed</x:v>
      </x:c>
      <x:c r="N255" s="35" t="str">
        <x:v>Deepseek-flash-v4/Result/Codec_6/result.json</x:v>
      </x:c>
      <x:c r="O255" s="39" t="str">
        <x:f>IF(AND(G255="RECORDED",ISNUMBER(H255)),H255,"")</x:f>
      </x:c>
      <x:c r="P255" s="35" t="str">
        <x:v>NOT_AVAILABLE</x:v>
      </x:c>
      <x:c r="Q255" s="35" t="str">
        <x:v>Deepseek-flash-v4/Result/Codec_6/result.json</x:v>
      </x:c>
    </x:row>
    <x:row r="256">
      <x:c r="A256" s="35" t="str">
        <x:v>deepseek</x:v>
      </x:c>
      <x:c r="B256" s="35" t="str">
        <x:v>Codec</x:v>
      </x:c>
      <x:c r="C256" s="35" t="str">
        <x:v>Round1</x:v>
      </x:c>
      <x:c r="D256" s="35" t="str">
        <x:v>Codec_7</x:v>
      </x:c>
      <x:c r="E256" s="35" t="str">
        <x:v>Line</x:v>
      </x:c>
      <x:c r="F256" s="35" t="n">
        <x:v>233</x:v>
      </x:c>
      <x:c r="G256" s="35" t="str">
        <x:v>RECORDED</x:v>
      </x:c>
      <x:c r="H256" s="39" t="n">
        <x:f>IF(ISNUMBER('Data'!E256),'Data'!E256*100,"")</x:f>
        <x:v>84.12</x:v>
      </x:c>
      <x:c r="I256" s="35" t="str">
        <x:v>PASS</x:v>
      </x:c>
      <x:c r="J256" s="35" t="str">
        <x:v>PASS</x:v>
      </x:c>
      <x:c r="K256" s="35" t="str">
        <x:v>PASS</x:v>
      </x:c>
      <x:c r="L256" s="35" t="str">
        <x:v>FAIL</x:v>
      </x:c>
      <x:c r="M256" s="35" t="str">
        <x:v>numeric coverage for applicable metric</x:v>
      </x:c>
      <x:c r="N256" s="35" t="str">
        <x:v>Deepseek-flash-v4/Result/Codec_7/result.json</x:v>
      </x:c>
      <x:c r="O256" s="39" t="n">
        <x:f>IF(AND(G256="RECORDED",ISNUMBER(H256)),H256,"")</x:f>
        <x:v>84.12</x:v>
      </x:c>
      <x:c r="P256" s="35" t="str">
        <x:v>INCONCLUSIVE</x:v>
      </x:c>
      <x:c r="Q256" s="35" t="str">
        <x:v>Deepseek-flash-v4/Result/Codec_7/result.json</x:v>
      </x:c>
    </x:row>
    <x:row r="257">
      <x:c r="A257" s="35" t="str">
        <x:v>deepseek</x:v>
      </x:c>
      <x:c r="B257" s="35" t="str">
        <x:v>Codec</x:v>
      </x:c>
      <x:c r="C257" s="35" t="str">
        <x:v>Round1</x:v>
      </x:c>
      <x:c r="D257" s="35" t="str">
        <x:v>Codec_8</x:v>
      </x:c>
      <x:c r="E257" s="35" t="str">
        <x:v>Line</x:v>
      </x:c>
      <x:c r="F257" s="35" t="n">
        <x:v>261</x:v>
      </x:c>
      <x:c r="G257" s="35" t="str">
        <x:v>RECORDED</x:v>
      </x:c>
      <x:c r="H257" s="39" t="n">
        <x:f>IF(ISNUMBER('Data'!E257),'Data'!E257*100,"")</x:f>
        <x:v>86.21</x:v>
      </x:c>
      <x:c r="I257" s="35" t="str">
        <x:v>PASS</x:v>
      </x:c>
      <x:c r="J257" s="35" t="str">
        <x:v>PASS</x:v>
      </x:c>
      <x:c r="K257" s="35" t="str">
        <x:v>PASS</x:v>
      </x:c>
      <x:c r="L257" s="35" t="str">
        <x:v>FAIL</x:v>
      </x:c>
      <x:c r="M257" s="35" t="str">
        <x:v>numeric coverage for applicable metric</x:v>
      </x:c>
      <x:c r="N257" s="35" t="str">
        <x:v>Deepseek-flash-v4/Result/Codec_8/result.json</x:v>
      </x:c>
      <x:c r="O257" s="39" t="n">
        <x:f>IF(AND(G257="RECORDED",ISNUMBER(H257)),H257,"")</x:f>
        <x:v>86.21</x:v>
      </x:c>
      <x:c r="P257" s="35" t="str">
        <x:v>INCONCLUSIVE</x:v>
      </x:c>
      <x:c r="Q257" s="35" t="str">
        <x:v>Deepseek-flash-v4/Result/Codec_8/result.json</x:v>
      </x:c>
    </x:row>
    <x:row r="258">
      <x:c r="A258" s="35" t="str">
        <x:v>deepseek</x:v>
      </x:c>
      <x:c r="B258" s="35" t="str">
        <x:v>Codec</x:v>
      </x:c>
      <x:c r="C258" s="35" t="str">
        <x:v>Round1</x:v>
      </x:c>
      <x:c r="D258" s="35" t="str">
        <x:v>Codec_9</x:v>
      </x:c>
      <x:c r="E258" s="35" t="str">
        <x:v>Line</x:v>
      </x:c>
      <x:c r="F258" s="35"/>
      <x:c r="G258" s="35" t="str">
        <x:v>A</x:v>
      </x:c>
      <x:c r="H258" s="39" t="str">
        <x:f>IF(ISNUMBER('Data'!E258),'Data'!E258*100,"")</x:f>
      </x:c>
      <x:c r="I258" s="35"/>
      <x:c r="J258" s="35" t="str">
        <x:v>PASS</x:v>
      </x:c>
      <x:c r="K258" s="35" t="str">
        <x:v>FAIL</x:v>
      </x:c>
      <x:c r="L258" s="35" t="str">
        <x:v>NOT_RUN</x:v>
      </x:c>
      <x:c r="M258" s="35" t="str">
        <x:v>coverage unavailable or execution/compile failed</x:v>
      </x:c>
      <x:c r="N258" s="35" t="str">
        <x:v>Deepseek-flash-v4/Result/Codec_9/result.json</x:v>
      </x:c>
      <x:c r="O258" s="39" t="str">
        <x:f>IF(AND(G258="RECORDED",ISNUMBER(H258)),H258,"")</x:f>
      </x:c>
      <x:c r="P258" s="35" t="str">
        <x:v>NOT_AVAILABLE</x:v>
      </x:c>
      <x:c r="Q258" s="35" t="str">
        <x:v>Deepseek-flash-v4/Result/Codec_9/result.json</x:v>
      </x:c>
    </x:row>
    <x:row r="259">
      <x:c r="A259" s="35" t="str">
        <x:v>deepseek</x:v>
      </x:c>
      <x:c r="B259" s="35" t="str">
        <x:v>Collections</x:v>
      </x:c>
      <x:c r="C259" s="35" t="str">
        <x:v>Round1</x:v>
      </x:c>
      <x:c r="D259" s="35" t="str">
        <x:v>Collections_1</x:v>
      </x:c>
      <x:c r="E259" s="35" t="str">
        <x:v>Line</x:v>
      </x:c>
      <x:c r="F259" s="35"/>
      <x:c r="G259" s="35" t="str">
        <x:v>A</x:v>
      </x:c>
      <x:c r="H259" s="39" t="str">
        <x:f>IF(ISNUMBER('Data'!E259),'Data'!E259*100,"")</x:f>
      </x:c>
      <x:c r="I259" s="35"/>
      <x:c r="J259" s="35" t="str">
        <x:v>PASS</x:v>
      </x:c>
      <x:c r="K259" s="35" t="str">
        <x:v>FAIL</x:v>
      </x:c>
      <x:c r="L259" s="35" t="str">
        <x:v>NOT_RUN</x:v>
      </x:c>
      <x:c r="M259" s="35" t="str">
        <x:v>coverage unavailable or execution/compile failed</x:v>
      </x:c>
      <x:c r="N259" s="35" t="str">
        <x:v>Deepseek-flash-v4/Result/Collections_1/result.json</x:v>
      </x:c>
      <x:c r="O259" s="39" t="str">
        <x:f>IF(AND(G259="RECORDED",ISNUMBER(H259)),H259,"")</x:f>
      </x:c>
      <x:c r="P259" s="35" t="str">
        <x:v>NOT_AVAILABLE</x:v>
      </x:c>
      <x:c r="Q259" s="35" t="str">
        <x:v>Deepseek-flash-v4/Result/Collections_1/result.json</x:v>
      </x:c>
    </x:row>
    <x:row r="260">
      <x:c r="A260" s="35" t="str">
        <x:v>deepseek</x:v>
      </x:c>
      <x:c r="B260" s="35" t="str">
        <x:v>Collections</x:v>
      </x:c>
      <x:c r="C260" s="35" t="str">
        <x:v>Round1</x:v>
      </x:c>
      <x:c r="D260" s="35" t="str">
        <x:v>Collections_10</x:v>
      </x:c>
      <x:c r="E260" s="35" t="str">
        <x:v>Line</x:v>
      </x:c>
      <x:c r="F260" s="35" t="n">
        <x:v>119</x:v>
      </x:c>
      <x:c r="G260" s="35" t="str">
        <x:v>RECORDED</x:v>
      </x:c>
      <x:c r="H260" s="39" t="n">
        <x:f>IF(ISNUMBER('Data'!E260),'Data'!E260*100,"")</x:f>
        <x:v>85.71</x:v>
      </x:c>
      <x:c r="I260" s="35" t="str">
        <x:v>PASS</x:v>
      </x:c>
      <x:c r="J260" s="35" t="str">
        <x:v>PASS</x:v>
      </x:c>
      <x:c r="K260" s="35" t="str">
        <x:v>PASS</x:v>
      </x:c>
      <x:c r="L260" s="35" t="str">
        <x:v>PASS</x:v>
      </x:c>
      <x:c r="M260" s="35" t="str">
        <x:v>numeric coverage for applicable metric</x:v>
      </x:c>
      <x:c r="N260" s="35" t="str">
        <x:v>Deepseek-flash-v4/Result/Collections_10/result.json</x:v>
      </x:c>
      <x:c r="O260" s="39" t="n">
        <x:f>IF(AND(G260="RECORDED",ISNUMBER(H260)),H260,"")</x:f>
        <x:v>85.71</x:v>
      </x:c>
      <x:c r="P260" s="35" t="str">
        <x:v>NOT_REVEALING</x:v>
      </x:c>
      <x:c r="Q260" s="35" t="str">
        <x:v>Deepseek-flash-v4/Result/Collections_10/result.json</x:v>
      </x:c>
    </x:row>
    <x:row r="261">
      <x:c r="A261" s="35" t="str">
        <x:v>deepseek</x:v>
      </x:c>
      <x:c r="B261" s="35" t="str">
        <x:v>Collections</x:v>
      </x:c>
      <x:c r="C261" s="35" t="str">
        <x:v>Round1</x:v>
      </x:c>
      <x:c r="D261" s="35" t="str">
        <x:v>Collections_11</x:v>
      </x:c>
      <x:c r="E261" s="35" t="str">
        <x:v>Line</x:v>
      </x:c>
      <x:c r="F261" s="35" t="n">
        <x:v>35</x:v>
      </x:c>
      <x:c r="G261" s="35" t="str">
        <x:v>RECORDED</x:v>
      </x:c>
      <x:c r="H261" s="39" t="n">
        <x:f>IF(ISNUMBER('Data'!E261),'Data'!E261*100,"")</x:f>
        <x:v>100</x:v>
      </x:c>
      <x:c r="I261" s="35" t="str">
        <x:v>PASS</x:v>
      </x:c>
      <x:c r="J261" s="35" t="str">
        <x:v>PASS</x:v>
      </x:c>
      <x:c r="K261" s="35" t="str">
        <x:v>PASS</x:v>
      </x:c>
      <x:c r="L261" s="35" t="str">
        <x:v>FAIL</x:v>
      </x:c>
      <x:c r="M261" s="35" t="str">
        <x:v>numeric coverage for applicable metric</x:v>
      </x:c>
      <x:c r="N261" s="35" t="str">
        <x:v>Deepseek-flash-v4/Result/Collections_11/result.json</x:v>
      </x:c>
      <x:c r="O261" s="39" t="n">
        <x:f>IF(AND(G261="RECORDED",ISNUMBER(H261)),H261,"")</x:f>
        <x:v>100</x:v>
      </x:c>
      <x:c r="P261" s="35" t="str">
        <x:v>INCONCLUSIVE</x:v>
      </x:c>
      <x:c r="Q261" s="35" t="str">
        <x:v>Deepseek-flash-v4/Result/Collections_11/result.json</x:v>
      </x:c>
    </x:row>
    <x:row r="262">
      <x:c r="A262" s="35" t="str">
        <x:v>deepseek</x:v>
      </x:c>
      <x:c r="B262" s="35" t="str">
        <x:v>Collections</x:v>
      </x:c>
      <x:c r="C262" s="35" t="str">
        <x:v>Round1</x:v>
      </x:c>
      <x:c r="D262" s="35" t="str">
        <x:v>Collections_12</x:v>
      </x:c>
      <x:c r="E262" s="35" t="str">
        <x:v>Line</x:v>
      </x:c>
      <x:c r="F262" s="35"/>
      <x:c r="G262" s="35" t="str">
        <x:v>A</x:v>
      </x:c>
      <x:c r="H262" s="39" t="str">
        <x:f>IF(ISNUMBER('Data'!E262),'Data'!E262*100,"")</x:f>
      </x:c>
      <x:c r="I262" s="35"/>
      <x:c r="J262" s="35" t="str">
        <x:v>PASS</x:v>
      </x:c>
      <x:c r="K262" s="35" t="str">
        <x:v>FAIL</x:v>
      </x:c>
      <x:c r="L262" s="35" t="str">
        <x:v>NOT_RUN</x:v>
      </x:c>
      <x:c r="M262" s="35" t="str">
        <x:v>coverage unavailable or execution/compile failed</x:v>
      </x:c>
      <x:c r="N262" s="35" t="str">
        <x:v>Deepseek-flash-v4/Result/Collections_12/result.json</x:v>
      </x:c>
      <x:c r="O262" s="39" t="str">
        <x:f>IF(AND(G262="RECORDED",ISNUMBER(H262)),H262,"")</x:f>
      </x:c>
      <x:c r="P262" s="35" t="str">
        <x:v>NOT_AVAILABLE</x:v>
      </x:c>
      <x:c r="Q262" s="35" t="str">
        <x:v>Deepseek-flash-v4/Result/Collections_12/result.json</x:v>
      </x:c>
    </x:row>
    <x:row r="263">
      <x:c r="A263" s="35" t="str">
        <x:v>deepseek</x:v>
      </x:c>
      <x:c r="B263" s="35" t="str">
        <x:v>Collections</x:v>
      </x:c>
      <x:c r="C263" s="35" t="str">
        <x:v>Round1</x:v>
      </x:c>
      <x:c r="D263" s="35" t="str">
        <x:v>Collections_13</x:v>
      </x:c>
      <x:c r="E263" s="35" t="str">
        <x:v>Line</x:v>
      </x:c>
      <x:c r="F263" s="35"/>
      <x:c r="G263" s="35" t="str">
        <x:v>A</x:v>
      </x:c>
      <x:c r="H263" s="39" t="str">
        <x:f>IF(ISNUMBER('Data'!E263),'Data'!E263*100,"")</x:f>
      </x:c>
      <x:c r="I263" s="35"/>
      <x:c r="J263" s="35" t="str">
        <x:v>PASS</x:v>
      </x:c>
      <x:c r="K263" s="35" t="str">
        <x:v>FAIL</x:v>
      </x:c>
      <x:c r="L263" s="35" t="str">
        <x:v>NOT_RUN</x:v>
      </x:c>
      <x:c r="M263" s="35" t="str">
        <x:v>coverage unavailable or execution/compile failed</x:v>
      </x:c>
      <x:c r="N263" s="35" t="str">
        <x:v>Deepseek-flash-v4/Result/Collections_13/result.json</x:v>
      </x:c>
      <x:c r="O263" s="39" t="str">
        <x:f>IF(AND(G263="RECORDED",ISNUMBER(H263)),H263,"")</x:f>
      </x:c>
      <x:c r="P263" s="35" t="str">
        <x:v>NOT_AVAILABLE</x:v>
      </x:c>
      <x:c r="Q263" s="35" t="str">
        <x:v>Deepseek-flash-v4/Result/Collections_13/result.json</x:v>
      </x:c>
    </x:row>
    <x:row r="264">
      <x:c r="A264" s="35" t="str">
        <x:v>deepseek</x:v>
      </x:c>
      <x:c r="B264" s="35" t="str">
        <x:v>Collections</x:v>
      </x:c>
      <x:c r="C264" s="35" t="str">
        <x:v>Round1</x:v>
      </x:c>
      <x:c r="D264" s="35" t="str">
        <x:v>Collections_14</x:v>
      </x:c>
      <x:c r="E264" s="35" t="str">
        <x:v>Line</x:v>
      </x:c>
      <x:c r="F264" s="35"/>
      <x:c r="G264" s="35" t="str">
        <x:v>A</x:v>
      </x:c>
      <x:c r="H264" s="39" t="str">
        <x:f>IF(ISNUMBER('Data'!E264),'Data'!E264*100,"")</x:f>
      </x:c>
      <x:c r="I264" s="35"/>
      <x:c r="J264" s="35" t="str">
        <x:v>PASS</x:v>
      </x:c>
      <x:c r="K264" s="35" t="str">
        <x:v>FAIL</x:v>
      </x:c>
      <x:c r="L264" s="35" t="str">
        <x:v>NOT_RUN</x:v>
      </x:c>
      <x:c r="M264" s="35" t="str">
        <x:v>coverage unavailable or execution/compile failed</x:v>
      </x:c>
      <x:c r="N264" s="35" t="str">
        <x:v>Deepseek-flash-v4/Result/Collections_14/result.json</x:v>
      </x:c>
      <x:c r="O264" s="39" t="str">
        <x:f>IF(AND(G264="RECORDED",ISNUMBER(H264)),H264,"")</x:f>
      </x:c>
      <x:c r="P264" s="35" t="str">
        <x:v>NOT_AVAILABLE</x:v>
      </x:c>
      <x:c r="Q264" s="35" t="str">
        <x:v>Deepseek-flash-v4/Result/Collections_14/result.json</x:v>
      </x:c>
    </x:row>
    <x:row r="265">
      <x:c r="A265" s="35" t="str">
        <x:v>deepseek</x:v>
      </x:c>
      <x:c r="B265" s="35" t="str">
        <x:v>Collections</x:v>
      </x:c>
      <x:c r="C265" s="35" t="str">
        <x:v>Round1</x:v>
      </x:c>
      <x:c r="D265" s="35" t="str">
        <x:v>Collections_15</x:v>
      </x:c>
      <x:c r="E265" s="35" t="str">
        <x:v>Line</x:v>
      </x:c>
      <x:c r="F265" s="35"/>
      <x:c r="G265" s="35" t="str">
        <x:v>A</x:v>
      </x:c>
      <x:c r="H265" s="39" t="str">
        <x:f>IF(ISNUMBER('Data'!E265),'Data'!E265*100,"")</x:f>
      </x:c>
      <x:c r="I265" s="35"/>
      <x:c r="J265" s="35" t="str">
        <x:v>PASS</x:v>
      </x:c>
      <x:c r="K265" s="35" t="str">
        <x:v>FAIL</x:v>
      </x:c>
      <x:c r="L265" s="35" t="str">
        <x:v>NOT_RUN</x:v>
      </x:c>
      <x:c r="M265" s="35" t="str">
        <x:v>coverage unavailable or execution/compile failed</x:v>
      </x:c>
      <x:c r="N265" s="35" t="str">
        <x:v>Deepseek-flash-v4/Result/Collections_15/result.json</x:v>
      </x:c>
      <x:c r="O265" s="39" t="str">
        <x:f>IF(AND(G265="RECORDED",ISNUMBER(H265)),H265,"")</x:f>
      </x:c>
      <x:c r="P265" s="35" t="str">
        <x:v>NOT_AVAILABLE</x:v>
      </x:c>
      <x:c r="Q265" s="35" t="str">
        <x:v>Deepseek-flash-v4/Result/Collections_15/result.json</x:v>
      </x:c>
    </x:row>
    <x:row r="266">
      <x:c r="A266" s="35" t="str">
        <x:v>deepseek</x:v>
      </x:c>
      <x:c r="B266" s="35" t="str">
        <x:v>Collections</x:v>
      </x:c>
      <x:c r="C266" s="35" t="str">
        <x:v>Round1</x:v>
      </x:c>
      <x:c r="D266" s="35" t="str">
        <x:v>Collections_16</x:v>
      </x:c>
      <x:c r="E266" s="35" t="str">
        <x:v>Line</x:v>
      </x:c>
      <x:c r="F266" s="35"/>
      <x:c r="G266" s="35" t="str">
        <x:v>A</x:v>
      </x:c>
      <x:c r="H266" s="39" t="str">
        <x:f>IF(ISNUMBER('Data'!E266),'Data'!E266*100,"")</x:f>
      </x:c>
      <x:c r="I266" s="35"/>
      <x:c r="J266" s="35" t="str">
        <x:v>PASS</x:v>
      </x:c>
      <x:c r="K266" s="35" t="str">
        <x:v>FAIL</x:v>
      </x:c>
      <x:c r="L266" s="35" t="str">
        <x:v>NOT_RUN</x:v>
      </x:c>
      <x:c r="M266" s="35" t="str">
        <x:v>coverage unavailable or execution/compile failed</x:v>
      </x:c>
      <x:c r="N266" s="35" t="str">
        <x:v>Deepseek-flash-v4/Result/Collections_16/result.json</x:v>
      </x:c>
      <x:c r="O266" s="39" t="str">
        <x:f>IF(AND(G266="RECORDED",ISNUMBER(H266)),H266,"")</x:f>
      </x:c>
      <x:c r="P266" s="35" t="str">
        <x:v>NOT_AVAILABLE</x:v>
      </x:c>
      <x:c r="Q266" s="35" t="str">
        <x:v>Deepseek-flash-v4/Result/Collections_16/result.json</x:v>
      </x:c>
    </x:row>
    <x:row r="267">
      <x:c r="A267" s="35" t="str">
        <x:v>deepseek</x:v>
      </x:c>
      <x:c r="B267" s="35" t="str">
        <x:v>Collections</x:v>
      </x:c>
      <x:c r="C267" s="35" t="str">
        <x:v>Round1</x:v>
      </x:c>
      <x:c r="D267" s="35" t="str">
        <x:v>Collections_17</x:v>
      </x:c>
      <x:c r="E267" s="35" t="str">
        <x:v>Line</x:v>
      </x:c>
      <x:c r="F267" s="35"/>
      <x:c r="G267" s="35" t="str">
        <x:v>A</x:v>
      </x:c>
      <x:c r="H267" s="39" t="str">
        <x:f>IF(ISNUMBER('Data'!E267),'Data'!E267*100,"")</x:f>
      </x:c>
      <x:c r="I267" s="35"/>
      <x:c r="J267" s="35" t="str">
        <x:v>PASS</x:v>
      </x:c>
      <x:c r="K267" s="35" t="str">
        <x:v>FAIL</x:v>
      </x:c>
      <x:c r="L267" s="35" t="str">
        <x:v>NOT_RUN</x:v>
      </x:c>
      <x:c r="M267" s="35" t="str">
        <x:v>coverage unavailable or execution/compile failed</x:v>
      </x:c>
      <x:c r="N267" s="35" t="str">
        <x:v>Deepseek-flash-v4/Result/Collections_17/result.json</x:v>
      </x:c>
      <x:c r="O267" s="39" t="str">
        <x:f>IF(AND(G267="RECORDED",ISNUMBER(H267)),H267,"")</x:f>
      </x:c>
      <x:c r="P267" s="35" t="str">
        <x:v>NOT_AVAILABLE</x:v>
      </x:c>
      <x:c r="Q267" s="35" t="str">
        <x:v>Deepseek-flash-v4/Result/Collections_17/result.json</x:v>
      </x:c>
    </x:row>
    <x:row r="268">
      <x:c r="A268" s="35" t="str">
        <x:v>deepseek</x:v>
      </x:c>
      <x:c r="B268" s="35" t="str">
        <x:v>Collections</x:v>
      </x:c>
      <x:c r="C268" s="35" t="str">
        <x:v>Round1</x:v>
      </x:c>
      <x:c r="D268" s="35" t="str">
        <x:v>Collections_18</x:v>
      </x:c>
      <x:c r="E268" s="35" t="str">
        <x:v>Line</x:v>
      </x:c>
      <x:c r="F268" s="35"/>
      <x:c r="G268" s="35" t="str">
        <x:v>A</x:v>
      </x:c>
      <x:c r="H268" s="39" t="str">
        <x:f>IF(ISNUMBER('Data'!E268),'Data'!E268*100,"")</x:f>
      </x:c>
      <x:c r="I268" s="35"/>
      <x:c r="J268" s="35" t="str">
        <x:v>PASS</x:v>
      </x:c>
      <x:c r="K268" s="35" t="str">
        <x:v>FAIL</x:v>
      </x:c>
      <x:c r="L268" s="35" t="str">
        <x:v>NOT_RUN</x:v>
      </x:c>
      <x:c r="M268" s="35" t="str">
        <x:v>coverage unavailable or execution/compile failed</x:v>
      </x:c>
      <x:c r="N268" s="35" t="str">
        <x:v>Deepseek-flash-v4/Result/Collections_18/result.json</x:v>
      </x:c>
      <x:c r="O268" s="39" t="str">
        <x:f>IF(AND(G268="RECORDED",ISNUMBER(H268)),H268,"")</x:f>
      </x:c>
      <x:c r="P268" s="35" t="str">
        <x:v>NOT_AVAILABLE</x:v>
      </x:c>
      <x:c r="Q268" s="35" t="str">
        <x:v>Deepseek-flash-v4/Result/Collections_18/result.json</x:v>
      </x:c>
    </x:row>
    <x:row r="269">
      <x:c r="A269" s="35" t="str">
        <x:v>deepseek</x:v>
      </x:c>
      <x:c r="B269" s="35" t="str">
        <x:v>Collections</x:v>
      </x:c>
      <x:c r="C269" s="35" t="str">
        <x:v>Round1</x:v>
      </x:c>
      <x:c r="D269" s="35" t="str">
        <x:v>Collections_19</x:v>
      </x:c>
      <x:c r="E269" s="35" t="str">
        <x:v>Line</x:v>
      </x:c>
      <x:c r="F269" s="35"/>
      <x:c r="G269" s="35" t="str">
        <x:v>A</x:v>
      </x:c>
      <x:c r="H269" s="39" t="str">
        <x:f>IF(ISNUMBER('Data'!E269),'Data'!E269*100,"")</x:f>
      </x:c>
      <x:c r="I269" s="35"/>
      <x:c r="J269" s="35" t="str">
        <x:v>PASS</x:v>
      </x:c>
      <x:c r="K269" s="35" t="str">
        <x:v>FAIL</x:v>
      </x:c>
      <x:c r="L269" s="35" t="str">
        <x:v>NOT_RUN</x:v>
      </x:c>
      <x:c r="M269" s="35" t="str">
        <x:v>coverage unavailable or execution/compile failed</x:v>
      </x:c>
      <x:c r="N269" s="35" t="str">
        <x:v>Deepseek-flash-v4/Result/Collections_19/result.json</x:v>
      </x:c>
      <x:c r="O269" s="39" t="str">
        <x:f>IF(AND(G269="RECORDED",ISNUMBER(H269)),H269,"")</x:f>
      </x:c>
      <x:c r="P269" s="35" t="str">
        <x:v>NOT_AVAILABLE</x:v>
      </x:c>
      <x:c r="Q269" s="35" t="str">
        <x:v>Deepseek-flash-v4/Result/Collections_19/result.json</x:v>
      </x:c>
    </x:row>
    <x:row r="270">
      <x:c r="A270" s="35" t="str">
        <x:v>deepseek</x:v>
      </x:c>
      <x:c r="B270" s="35" t="str">
        <x:v>Collections</x:v>
      </x:c>
      <x:c r="C270" s="35" t="str">
        <x:v>Round1</x:v>
      </x:c>
      <x:c r="D270" s="35" t="str">
        <x:v>Collections_2</x:v>
      </x:c>
      <x:c r="E270" s="35" t="str">
        <x:v>Line</x:v>
      </x:c>
      <x:c r="F270" s="35"/>
      <x:c r="G270" s="35" t="str">
        <x:v>A</x:v>
      </x:c>
      <x:c r="H270" s="39" t="str">
        <x:f>IF(ISNUMBER('Data'!E270),'Data'!E270*100,"")</x:f>
      </x:c>
      <x:c r="I270" s="35"/>
      <x:c r="J270" s="35" t="str">
        <x:v>PASS</x:v>
      </x:c>
      <x:c r="K270" s="35" t="str">
        <x:v>FAIL</x:v>
      </x:c>
      <x:c r="L270" s="35" t="str">
        <x:v>NOT_RUN</x:v>
      </x:c>
      <x:c r="M270" s="35" t="str">
        <x:v>coverage unavailable or execution/compile failed</x:v>
      </x:c>
      <x:c r="N270" s="35" t="str">
        <x:v>Deepseek-flash-v4/Result/Collections_2/result.json</x:v>
      </x:c>
      <x:c r="O270" s="39" t="str">
        <x:f>IF(AND(G270="RECORDED",ISNUMBER(H270)),H270,"")</x:f>
      </x:c>
      <x:c r="P270" s="35" t="str">
        <x:v>NOT_AVAILABLE</x:v>
      </x:c>
      <x:c r="Q270" s="35" t="str">
        <x:v>Deepseek-flash-v4/Result/Collections_2/result.json</x:v>
      </x:c>
    </x:row>
    <x:row r="271">
      <x:c r="A271" s="35" t="str">
        <x:v>deepseek</x:v>
      </x:c>
      <x:c r="B271" s="35" t="str">
        <x:v>Collections</x:v>
      </x:c>
      <x:c r="C271" s="35" t="str">
        <x:v>Round1</x:v>
      </x:c>
      <x:c r="D271" s="35" t="str">
        <x:v>Collections_20</x:v>
      </x:c>
      <x:c r="E271" s="35" t="str">
        <x:v>Line</x:v>
      </x:c>
      <x:c r="F271" s="35" t="n">
        <x:v>293</x:v>
      </x:c>
      <x:c r="G271" s="35" t="str">
        <x:v>RECORDED</x:v>
      </x:c>
      <x:c r="H271" s="39" t="n">
        <x:f>IF(ISNUMBER('Data'!E271),'Data'!E271*100,"")</x:f>
        <x:v>81.23</x:v>
      </x:c>
      <x:c r="I271" s="35" t="str">
        <x:v>PASS</x:v>
      </x:c>
      <x:c r="J271" s="35" t="str">
        <x:v>PASS</x:v>
      </x:c>
      <x:c r="K271" s="35" t="str">
        <x:v>PASS</x:v>
      </x:c>
      <x:c r="L271" s="35" t="str">
        <x:v>FAIL</x:v>
      </x:c>
      <x:c r="M271" s="35" t="str">
        <x:v>numeric coverage for applicable metric</x:v>
      </x:c>
      <x:c r="N271" s="35" t="str">
        <x:v>Deepseek-flash-v4/Result/Collections_20/result.json</x:v>
      </x:c>
      <x:c r="O271" s="39" t="n">
        <x:f>IF(AND(G271="RECORDED",ISNUMBER(H271)),H271,"")</x:f>
        <x:v>81.23</x:v>
      </x:c>
      <x:c r="P271" s="35" t="str">
        <x:v>INCONCLUSIVE</x:v>
      </x:c>
      <x:c r="Q271" s="35" t="str">
        <x:v>Deepseek-flash-v4/Result/Collections_20/result.json</x:v>
      </x:c>
    </x:row>
    <x:row r="272">
      <x:c r="A272" s="35" t="str">
        <x:v>deepseek</x:v>
      </x:c>
      <x:c r="B272" s="35" t="str">
        <x:v>Collections</x:v>
      </x:c>
      <x:c r="C272" s="35" t="str">
        <x:v>Round1</x:v>
      </x:c>
      <x:c r="D272" s="35" t="str">
        <x:v>Collections_21</x:v>
      </x:c>
      <x:c r="E272" s="35" t="str">
        <x:v>Line</x:v>
      </x:c>
      <x:c r="F272" s="35" t="n">
        <x:v>109</x:v>
      </x:c>
      <x:c r="G272" s="35" t="str">
        <x:v>RECORDED</x:v>
      </x:c>
      <x:c r="H272" s="39" t="n">
        <x:f>IF(ISNUMBER('Data'!E272),'Data'!E272*100,"")</x:f>
        <x:v>93.58</x:v>
      </x:c>
      <x:c r="I272" s="35" t="str">
        <x:v>PASS</x:v>
      </x:c>
      <x:c r="J272" s="35" t="str">
        <x:v>PASS</x:v>
      </x:c>
      <x:c r="K272" s="35" t="str">
        <x:v>PASS</x:v>
      </x:c>
      <x:c r="L272" s="35" t="str">
        <x:v>PASS</x:v>
      </x:c>
      <x:c r="M272" s="35" t="str">
        <x:v>numeric coverage for applicable metric</x:v>
      </x:c>
      <x:c r="N272" s="35" t="str">
        <x:v>Deepseek-flash-v4/Result/Collections_21/result.json</x:v>
      </x:c>
      <x:c r="O272" s="39" t="n">
        <x:f>IF(AND(G272="RECORDED",ISNUMBER(H272)),H272,"")</x:f>
        <x:v>93.58</x:v>
      </x:c>
      <x:c r="P272" s="35" t="str">
        <x:v>NOT_REVEALING</x:v>
      </x:c>
      <x:c r="Q272" s="35" t="str">
        <x:v>Deepseek-flash-v4/Result/Collections_21/result.json</x:v>
      </x:c>
    </x:row>
    <x:row r="273">
      <x:c r="A273" s="35" t="str">
        <x:v>deepseek</x:v>
      </x:c>
      <x:c r="B273" s="35" t="str">
        <x:v>Collections</x:v>
      </x:c>
      <x:c r="C273" s="35" t="str">
        <x:v>Round1</x:v>
      </x:c>
      <x:c r="D273" s="35" t="str">
        <x:v>Collections_22</x:v>
      </x:c>
      <x:c r="E273" s="35" t="str">
        <x:v>Line</x:v>
      </x:c>
      <x:c r="F273" s="35"/>
      <x:c r="G273" s="35" t="str">
        <x:v>A</x:v>
      </x:c>
      <x:c r="H273" s="39" t="str">
        <x:f>IF(ISNUMBER('Data'!E273),'Data'!E273*100,"")</x:f>
      </x:c>
      <x:c r="I273" s="35"/>
      <x:c r="J273" s="35" t="str">
        <x:v>PASS</x:v>
      </x:c>
      <x:c r="K273" s="35" t="str">
        <x:v>FAIL</x:v>
      </x:c>
      <x:c r="L273" s="35" t="str">
        <x:v>NOT_RUN</x:v>
      </x:c>
      <x:c r="M273" s="35" t="str">
        <x:v>coverage unavailable or execution/compile failed</x:v>
      </x:c>
      <x:c r="N273" s="35" t="str">
        <x:v>Deepseek-flash-v4/Result/Collections_22/result.json</x:v>
      </x:c>
      <x:c r="O273" s="39" t="str">
        <x:f>IF(AND(G273="RECORDED",ISNUMBER(H273)),H273,"")</x:f>
      </x:c>
      <x:c r="P273" s="35" t="str">
        <x:v>NOT_AVAILABLE</x:v>
      </x:c>
      <x:c r="Q273" s="35" t="str">
        <x:v>Deepseek-flash-v4/Result/Collections_22/result.json</x:v>
      </x:c>
    </x:row>
    <x:row r="274">
      <x:c r="A274" s="35" t="str">
        <x:v>deepseek</x:v>
      </x:c>
      <x:c r="B274" s="35" t="str">
        <x:v>Collections</x:v>
      </x:c>
      <x:c r="C274" s="35" t="str">
        <x:v>Round1</x:v>
      </x:c>
      <x:c r="D274" s="35" t="str">
        <x:v>Collections_23</x:v>
      </x:c>
      <x:c r="E274" s="35" t="str">
        <x:v>Line</x:v>
      </x:c>
      <x:c r="F274" s="35"/>
      <x:c r="G274" s="35" t="str">
        <x:v>A</x:v>
      </x:c>
      <x:c r="H274" s="39" t="str">
        <x:f>IF(ISNUMBER('Data'!E274),'Data'!E274*100,"")</x:f>
      </x:c>
      <x:c r="I274" s="35"/>
      <x:c r="J274" s="35" t="str">
        <x:v>PASS</x:v>
      </x:c>
      <x:c r="K274" s="35" t="str">
        <x:v>FAIL</x:v>
      </x:c>
      <x:c r="L274" s="35" t="str">
        <x:v>NOT_RUN</x:v>
      </x:c>
      <x:c r="M274" s="35" t="str">
        <x:v>coverage unavailable or execution/compile failed</x:v>
      </x:c>
      <x:c r="N274" s="35" t="str">
        <x:v>Deepseek-flash-v4/Result/Collections_23/result.json</x:v>
      </x:c>
      <x:c r="O274" s="39" t="str">
        <x:f>IF(AND(G274="RECORDED",ISNUMBER(H274)),H274,"")</x:f>
      </x:c>
      <x:c r="P274" s="35" t="str">
        <x:v>NOT_AVAILABLE</x:v>
      </x:c>
      <x:c r="Q274" s="35" t="str">
        <x:v>Deepseek-flash-v4/Result/Collections_23/result.json</x:v>
      </x:c>
    </x:row>
    <x:row r="275">
      <x:c r="A275" s="35" t="str">
        <x:v>deepseek</x:v>
      </x:c>
      <x:c r="B275" s="35" t="str">
        <x:v>Collections</x:v>
      </x:c>
      <x:c r="C275" s="35" t="str">
        <x:v>Round1</x:v>
      </x:c>
      <x:c r="D275" s="35" t="str">
        <x:v>Collections_24</x:v>
      </x:c>
      <x:c r="E275" s="35" t="str">
        <x:v>Line</x:v>
      </x:c>
      <x:c r="F275" s="35" t="n">
        <x:v>26</x:v>
      </x:c>
      <x:c r="G275" s="35" t="str">
        <x:v>RECORDED</x:v>
      </x:c>
      <x:c r="H275" s="39" t="n">
        <x:f>IF(ISNUMBER('Data'!E275),'Data'!E275*100,"")</x:f>
        <x:v>96.15</x:v>
      </x:c>
      <x:c r="I275" s="35" t="str">
        <x:v>PASS</x:v>
      </x:c>
      <x:c r="J275" s="35" t="str">
        <x:v>PASS</x:v>
      </x:c>
      <x:c r="K275" s="35" t="str">
        <x:v>PASS</x:v>
      </x:c>
      <x:c r="L275" s="35" t="str">
        <x:v>PASS</x:v>
      </x:c>
      <x:c r="M275" s="35" t="str">
        <x:v>numeric coverage for applicable metric</x:v>
      </x:c>
      <x:c r="N275" s="35" t="str">
        <x:v>Deepseek-flash-v4/Result/Collections_24/result.json</x:v>
      </x:c>
      <x:c r="O275" s="39" t="n">
        <x:f>IF(AND(G275="RECORDED",ISNUMBER(H275)),H275,"")</x:f>
        <x:v>96.15</x:v>
      </x:c>
      <x:c r="P275" s="35" t="str">
        <x:v>NOT_REVEALING</x:v>
      </x:c>
      <x:c r="Q275" s="35" t="str">
        <x:v>Deepseek-flash-v4/Result/Collections_24/result.json</x:v>
      </x:c>
    </x:row>
    <x:row r="276">
      <x:c r="A276" s="35" t="str">
        <x:v>deepseek</x:v>
      </x:c>
      <x:c r="B276" s="35" t="str">
        <x:v>Collections</x:v>
      </x:c>
      <x:c r="C276" s="35" t="str">
        <x:v>Round1</x:v>
      </x:c>
      <x:c r="D276" s="35" t="str">
        <x:v>Collections_25</x:v>
      </x:c>
      <x:c r="E276" s="35" t="str">
        <x:v>Line</x:v>
      </x:c>
      <x:c r="F276" s="35"/>
      <x:c r="G276" s="35" t="str">
        <x:v>A</x:v>
      </x:c>
      <x:c r="H276" s="39" t="str">
        <x:f>IF(ISNUMBER('Data'!E276),'Data'!E276*100,"")</x:f>
      </x:c>
      <x:c r="I276" s="35"/>
      <x:c r="J276" s="35" t="str">
        <x:v>PASS</x:v>
      </x:c>
      <x:c r="K276" s="35" t="str">
        <x:v>FAIL</x:v>
      </x:c>
      <x:c r="L276" s="35" t="str">
        <x:v>NOT_RUN</x:v>
      </x:c>
      <x:c r="M276" s="35" t="str">
        <x:v>coverage unavailable or execution/compile failed</x:v>
      </x:c>
      <x:c r="N276" s="35" t="str">
        <x:v>Deepseek-flash-v4/Result/Collections_25/result.json</x:v>
      </x:c>
      <x:c r="O276" s="39" t="str">
        <x:f>IF(AND(G276="RECORDED",ISNUMBER(H276)),H276,"")</x:f>
      </x:c>
      <x:c r="P276" s="35" t="str">
        <x:v>NOT_AVAILABLE</x:v>
      </x:c>
      <x:c r="Q276" s="35" t="str">
        <x:v>Deepseek-flash-v4/Result/Collections_25/result.json</x:v>
      </x:c>
    </x:row>
    <x:row r="277">
      <x:c r="A277" s="35" t="str">
        <x:v>deepseek</x:v>
      </x:c>
      <x:c r="B277" s="35" t="str">
        <x:v>Collections</x:v>
      </x:c>
      <x:c r="C277" s="35" t="str">
        <x:v>Round1</x:v>
      </x:c>
      <x:c r="D277" s="35" t="str">
        <x:v>Collections_26</x:v>
      </x:c>
      <x:c r="E277" s="35" t="str">
        <x:v>Line</x:v>
      </x:c>
      <x:c r="F277" s="35" t="n">
        <x:v>37</x:v>
      </x:c>
      <x:c r="G277" s="35" t="str">
        <x:v>RECORDED</x:v>
      </x:c>
      <x:c r="H277" s="39" t="n">
        <x:f>IF(ISNUMBER('Data'!E277),'Data'!E277*100,"")</x:f>
        <x:v>94.59</x:v>
      </x:c>
      <x:c r="I277" s="35" t="str">
        <x:v>PASS</x:v>
      </x:c>
      <x:c r="J277" s="35" t="str">
        <x:v>PASS</x:v>
      </x:c>
      <x:c r="K277" s="35" t="str">
        <x:v>PASS</x:v>
      </x:c>
      <x:c r="L277" s="35" t="str">
        <x:v>PASS</x:v>
      </x:c>
      <x:c r="M277" s="35" t="str">
        <x:v>numeric coverage for applicable metric</x:v>
      </x:c>
      <x:c r="N277" s="35" t="str">
        <x:v>Deepseek-flash-v4/Result/Collections_26/result.json</x:v>
      </x:c>
      <x:c r="O277" s="39" t="n">
        <x:f>IF(AND(G277="RECORDED",ISNUMBER(H277)),H277,"")</x:f>
        <x:v>94.59</x:v>
      </x:c>
      <x:c r="P277" s="35" t="str">
        <x:v>NOT_REVEALING</x:v>
      </x:c>
      <x:c r="Q277" s="35" t="str">
        <x:v>Deepseek-flash-v4/Result/Collections_26/result.json</x:v>
      </x:c>
    </x:row>
    <x:row r="278">
      <x:c r="A278" s="35" t="str">
        <x:v>deepseek</x:v>
      </x:c>
      <x:c r="B278" s="35" t="str">
        <x:v>Collections</x:v>
      </x:c>
      <x:c r="C278" s="35" t="str">
        <x:v>Round1</x:v>
      </x:c>
      <x:c r="D278" s="35" t="str">
        <x:v>Collections_27</x:v>
      </x:c>
      <x:c r="E278" s="35" t="str">
        <x:v>Line</x:v>
      </x:c>
      <x:c r="F278" s="35" t="n">
        <x:v>127</x:v>
      </x:c>
      <x:c r="G278" s="35" t="str">
        <x:v>RECORDED</x:v>
      </x:c>
      <x:c r="H278" s="39" t="n">
        <x:f>IF(ISNUMBER('Data'!E278),'Data'!E278*100,"")</x:f>
        <x:v>85.83</x:v>
      </x:c>
      <x:c r="I278" s="35" t="str">
        <x:v>PASS</x:v>
      </x:c>
      <x:c r="J278" s="35" t="str">
        <x:v>PASS</x:v>
      </x:c>
      <x:c r="K278" s="35" t="str">
        <x:v>PASS</x:v>
      </x:c>
      <x:c r="L278" s="35" t="str">
        <x:v>FAIL</x:v>
      </x:c>
      <x:c r="M278" s="35" t="str">
        <x:v>numeric coverage for applicable metric</x:v>
      </x:c>
      <x:c r="N278" s="35" t="str">
        <x:v>Deepseek-flash-v4/Result/Collections_27/result.json</x:v>
      </x:c>
      <x:c r="O278" s="39" t="n">
        <x:f>IF(AND(G278="RECORDED",ISNUMBER(H278)),H278,"")</x:f>
        <x:v>85.83</x:v>
      </x:c>
      <x:c r="P278" s="35" t="str">
        <x:v>INCONCLUSIVE</x:v>
      </x:c>
      <x:c r="Q278" s="35" t="str">
        <x:v>Deepseek-flash-v4/Result/Collections_27/result.json</x:v>
      </x:c>
    </x:row>
    <x:row r="279">
      <x:c r="A279" s="35" t="str">
        <x:v>deepseek</x:v>
      </x:c>
      <x:c r="B279" s="35" t="str">
        <x:v>Collections</x:v>
      </x:c>
      <x:c r="C279" s="35" t="str">
        <x:v>Round1</x:v>
      </x:c>
      <x:c r="D279" s="35" t="str">
        <x:v>Collections_28</x:v>
      </x:c>
      <x:c r="E279" s="35" t="str">
        <x:v>Line</x:v>
      </x:c>
      <x:c r="F279" s="35"/>
      <x:c r="G279" s="35" t="str">
        <x:v>A</x:v>
      </x:c>
      <x:c r="H279" s="39" t="str">
        <x:f>IF(ISNUMBER('Data'!E279),'Data'!E279*100,"")</x:f>
      </x:c>
      <x:c r="I279" s="35"/>
      <x:c r="J279" s="35" t="str">
        <x:v>PASS</x:v>
      </x:c>
      <x:c r="K279" s="35" t="str">
        <x:v>FAIL</x:v>
      </x:c>
      <x:c r="L279" s="35" t="str">
        <x:v>NOT_RUN</x:v>
      </x:c>
      <x:c r="M279" s="35" t="str">
        <x:v>coverage unavailable or execution/compile failed</x:v>
      </x:c>
      <x:c r="N279" s="35" t="str">
        <x:v>Deepseek-flash-v4/Result/Collections_28/result.json</x:v>
      </x:c>
      <x:c r="O279" s="39" t="str">
        <x:f>IF(AND(G279="RECORDED",ISNUMBER(H279)),H279,"")</x:f>
      </x:c>
      <x:c r="P279" s="35" t="str">
        <x:v>NOT_AVAILABLE</x:v>
      </x:c>
      <x:c r="Q279" s="35" t="str">
        <x:v>Deepseek-flash-v4/Result/Collections_28/result.json</x:v>
      </x:c>
    </x:row>
    <x:row r="280">
      <x:c r="A280" s="35" t="str">
        <x:v>deepseek</x:v>
      </x:c>
      <x:c r="B280" s="35" t="str">
        <x:v>Collections</x:v>
      </x:c>
      <x:c r="C280" s="35" t="str">
        <x:v>Round1</x:v>
      </x:c>
      <x:c r="D280" s="35" t="str">
        <x:v>Collections_3</x:v>
      </x:c>
      <x:c r="E280" s="35" t="str">
        <x:v>Line</x:v>
      </x:c>
      <x:c r="F280" s="35"/>
      <x:c r="G280" s="35" t="str">
        <x:v>A</x:v>
      </x:c>
      <x:c r="H280" s="39" t="str">
        <x:f>IF(ISNUMBER('Data'!E280),'Data'!E280*100,"")</x:f>
      </x:c>
      <x:c r="I280" s="35"/>
      <x:c r="J280" s="35" t="str">
        <x:v>PASS</x:v>
      </x:c>
      <x:c r="K280" s="35" t="str">
        <x:v>FAIL</x:v>
      </x:c>
      <x:c r="L280" s="35" t="str">
        <x:v>NOT_RUN</x:v>
      </x:c>
      <x:c r="M280" s="35" t="str">
        <x:v>coverage unavailable or execution/compile failed</x:v>
      </x:c>
      <x:c r="N280" s="35" t="str">
        <x:v>Deepseek-flash-v4/Result/Collections_3/result.json</x:v>
      </x:c>
      <x:c r="O280" s="39" t="str">
        <x:f>IF(AND(G280="RECORDED",ISNUMBER(H280)),H280,"")</x:f>
      </x:c>
      <x:c r="P280" s="35" t="str">
        <x:v>NOT_AVAILABLE</x:v>
      </x:c>
      <x:c r="Q280" s="35" t="str">
        <x:v>Deepseek-flash-v4/Result/Collections_3/result.json</x:v>
      </x:c>
    </x:row>
    <x:row r="281">
      <x:c r="A281" s="35" t="str">
        <x:v>deepseek</x:v>
      </x:c>
      <x:c r="B281" s="35" t="str">
        <x:v>Collections</x:v>
      </x:c>
      <x:c r="C281" s="35" t="str">
        <x:v>Round1</x:v>
      </x:c>
      <x:c r="D281" s="35" t="str">
        <x:v>Collections_4</x:v>
      </x:c>
      <x:c r="E281" s="35" t="str">
        <x:v>Line</x:v>
      </x:c>
      <x:c r="F281" s="35"/>
      <x:c r="G281" s="35" t="str">
        <x:v>A</x:v>
      </x:c>
      <x:c r="H281" s="39" t="str">
        <x:f>IF(ISNUMBER('Data'!E281),'Data'!E281*100,"")</x:f>
      </x:c>
      <x:c r="I281" s="35"/>
      <x:c r="J281" s="35" t="str">
        <x:v>PASS</x:v>
      </x:c>
      <x:c r="K281" s="35" t="str">
        <x:v>FAIL</x:v>
      </x:c>
      <x:c r="L281" s="35" t="str">
        <x:v>NOT_RUN</x:v>
      </x:c>
      <x:c r="M281" s="35" t="str">
        <x:v>coverage unavailable or execution/compile failed</x:v>
      </x:c>
      <x:c r="N281" s="35" t="str">
        <x:v>Deepseek-flash-v4/Result/Collections_4/result.json</x:v>
      </x:c>
      <x:c r="O281" s="39" t="str">
        <x:f>IF(AND(G281="RECORDED",ISNUMBER(H281)),H281,"")</x:f>
      </x:c>
      <x:c r="P281" s="35" t="str">
        <x:v>NOT_AVAILABLE</x:v>
      </x:c>
      <x:c r="Q281" s="35" t="str">
        <x:v>Deepseek-flash-v4/Result/Collections_4/result.json</x:v>
      </x:c>
    </x:row>
    <x:row r="282">
      <x:c r="A282" s="35" t="str">
        <x:v>deepseek</x:v>
      </x:c>
      <x:c r="B282" s="35" t="str">
        <x:v>Collections</x:v>
      </x:c>
      <x:c r="C282" s="35" t="str">
        <x:v>Round1</x:v>
      </x:c>
      <x:c r="D282" s="35" t="str">
        <x:v>Collections_5</x:v>
      </x:c>
      <x:c r="E282" s="35" t="str">
        <x:v>Line</x:v>
      </x:c>
      <x:c r="F282" s="35" t="n">
        <x:v>82</x:v>
      </x:c>
      <x:c r="G282" s="35" t="str">
        <x:v>RECORDED</x:v>
      </x:c>
      <x:c r="H282" s="39" t="n">
        <x:f>IF(ISNUMBER('Data'!E282),'Data'!E282*100,"")</x:f>
        <x:v>98.78</x:v>
      </x:c>
      <x:c r="I282" s="35" t="str">
        <x:v>PASS</x:v>
      </x:c>
      <x:c r="J282" s="35" t="str">
        <x:v>PASS</x:v>
      </x:c>
      <x:c r="K282" s="35" t="str">
        <x:v>PASS</x:v>
      </x:c>
      <x:c r="L282" s="35" t="str">
        <x:v>FAIL</x:v>
      </x:c>
      <x:c r="M282" s="35" t="str">
        <x:v>numeric coverage for applicable metric</x:v>
      </x:c>
      <x:c r="N282" s="35" t="str">
        <x:v>Deepseek-flash-v4/Result/Collections_5/result.json</x:v>
      </x:c>
      <x:c r="O282" s="39" t="n">
        <x:f>IF(AND(G282="RECORDED",ISNUMBER(H282)),H282,"")</x:f>
        <x:v>98.78</x:v>
      </x:c>
      <x:c r="P282" s="35" t="str">
        <x:v>INCONCLUSIVE</x:v>
      </x:c>
      <x:c r="Q282" s="35" t="str">
        <x:v>Deepseek-flash-v4/Result/Collections_5/result.json</x:v>
      </x:c>
    </x:row>
    <x:row r="283">
      <x:c r="A283" s="35" t="str">
        <x:v>deepseek</x:v>
      </x:c>
      <x:c r="B283" s="35" t="str">
        <x:v>Collections</x:v>
      </x:c>
      <x:c r="C283" s="35" t="str">
        <x:v>Round1</x:v>
      </x:c>
      <x:c r="D283" s="35" t="str">
        <x:v>Collections_6</x:v>
      </x:c>
      <x:c r="E283" s="35" t="str">
        <x:v>Line</x:v>
      </x:c>
      <x:c r="F283" s="35" t="n">
        <x:v>495</x:v>
      </x:c>
      <x:c r="G283" s="35" t="str">
        <x:v>RECORDED</x:v>
      </x:c>
      <x:c r="H283" s="39" t="n">
        <x:f>IF(ISNUMBER('Data'!E283),'Data'!E283*100,"")</x:f>
        <x:v>59.19</x:v>
      </x:c>
      <x:c r="I283" s="35" t="str">
        <x:v>PASS</x:v>
      </x:c>
      <x:c r="J283" s="35" t="str">
        <x:v>PASS</x:v>
      </x:c>
      <x:c r="K283" s="35" t="str">
        <x:v>PASS</x:v>
      </x:c>
      <x:c r="L283" s="35" t="str">
        <x:v>FAIL</x:v>
      </x:c>
      <x:c r="M283" s="35" t="str">
        <x:v>numeric coverage for applicable metric</x:v>
      </x:c>
      <x:c r="N283" s="35" t="str">
        <x:v>Deepseek-flash-v4/Result/Collections_6/result.json</x:v>
      </x:c>
      <x:c r="O283" s="39" t="n">
        <x:f>IF(AND(G283="RECORDED",ISNUMBER(H283)),H283,"")</x:f>
        <x:v>59.19</x:v>
      </x:c>
      <x:c r="P283" s="35" t="str">
        <x:v>REVEALING</x:v>
      </x:c>
      <x:c r="Q283" s="35" t="str">
        <x:v>Deepseek-flash-v4/Result/Collections_6/result.json</x:v>
      </x:c>
    </x:row>
    <x:row r="284">
      <x:c r="A284" s="35" t="str">
        <x:v>deepseek</x:v>
      </x:c>
      <x:c r="B284" s="35" t="str">
        <x:v>Collections</x:v>
      </x:c>
      <x:c r="C284" s="35" t="str">
        <x:v>Round1</x:v>
      </x:c>
      <x:c r="D284" s="35" t="str">
        <x:v>Collections_7</x:v>
      </x:c>
      <x:c r="E284" s="35" t="str">
        <x:v>Line</x:v>
      </x:c>
      <x:c r="F284" s="35"/>
      <x:c r="G284" s="35" t="str">
        <x:v>A</x:v>
      </x:c>
      <x:c r="H284" s="39" t="str">
        <x:f>IF(ISNUMBER('Data'!E284),'Data'!E284*100,"")</x:f>
      </x:c>
      <x:c r="I284" s="35"/>
      <x:c r="J284" s="35" t="str">
        <x:v>PASS</x:v>
      </x:c>
      <x:c r="K284" s="35" t="str">
        <x:v>FAIL</x:v>
      </x:c>
      <x:c r="L284" s="35" t="str">
        <x:v>NOT_RUN</x:v>
      </x:c>
      <x:c r="M284" s="35" t="str">
        <x:v>coverage unavailable or execution/compile failed</x:v>
      </x:c>
      <x:c r="N284" s="35" t="str">
        <x:v>Deepseek-flash-v4/Result/Collections_7/result.json</x:v>
      </x:c>
      <x:c r="O284" s="39" t="str">
        <x:f>IF(AND(G284="RECORDED",ISNUMBER(H284)),H284,"")</x:f>
      </x:c>
      <x:c r="P284" s="35" t="str">
        <x:v>NOT_AVAILABLE</x:v>
      </x:c>
      <x:c r="Q284" s="35" t="str">
        <x:v>Deepseek-flash-v4/Result/Collections_7/result.json</x:v>
      </x:c>
    </x:row>
    <x:row r="285">
      <x:c r="A285" s="35" t="str">
        <x:v>deepseek</x:v>
      </x:c>
      <x:c r="B285" s="35" t="str">
        <x:v>Collections</x:v>
      </x:c>
      <x:c r="C285" s="35" t="str">
        <x:v>Round1</x:v>
      </x:c>
      <x:c r="D285" s="35" t="str">
        <x:v>Collections_8</x:v>
      </x:c>
      <x:c r="E285" s="35" t="str">
        <x:v>Line</x:v>
      </x:c>
      <x:c r="F285" s="35"/>
      <x:c r="G285" s="35" t="str">
        <x:v>A</x:v>
      </x:c>
      <x:c r="H285" s="39" t="str">
        <x:f>IF(ISNUMBER('Data'!E285),'Data'!E285*100,"")</x:f>
      </x:c>
      <x:c r="I285" s="35"/>
      <x:c r="J285" s="35" t="str">
        <x:v>PASS</x:v>
      </x:c>
      <x:c r="K285" s="35" t="str">
        <x:v>FAIL</x:v>
      </x:c>
      <x:c r="L285" s="35" t="str">
        <x:v>NOT_RUN</x:v>
      </x:c>
      <x:c r="M285" s="35" t="str">
        <x:v>coverage unavailable or execution/compile failed</x:v>
      </x:c>
      <x:c r="N285" s="35" t="str">
        <x:v>Deepseek-flash-v4/Result/Collections_8/result.json</x:v>
      </x:c>
      <x:c r="O285" s="39" t="str">
        <x:f>IF(AND(G285="RECORDED",ISNUMBER(H285)),H285,"")</x:f>
      </x:c>
      <x:c r="P285" s="35" t="str">
        <x:v>NOT_AVAILABLE</x:v>
      </x:c>
      <x:c r="Q285" s="35" t="str">
        <x:v>Deepseek-flash-v4/Result/Collections_8/result.json</x:v>
      </x:c>
    </x:row>
    <x:row r="286">
      <x:c r="A286" s="35" t="str">
        <x:v>deepseek</x:v>
      </x:c>
      <x:c r="B286" s="35" t="str">
        <x:v>Collections</x:v>
      </x:c>
      <x:c r="C286" s="35" t="str">
        <x:v>Round1</x:v>
      </x:c>
      <x:c r="D286" s="35" t="str">
        <x:v>Collections_9</x:v>
      </x:c>
      <x:c r="E286" s="35" t="str">
        <x:v>Line</x:v>
      </x:c>
      <x:c r="F286" s="35"/>
      <x:c r="G286" s="35" t="str">
        <x:v>A</x:v>
      </x:c>
      <x:c r="H286" s="39" t="str">
        <x:f>IF(ISNUMBER('Data'!E286),'Data'!E286*100,"")</x:f>
      </x:c>
      <x:c r="I286" s="35"/>
      <x:c r="J286" s="35" t="str">
        <x:v>PASS</x:v>
      </x:c>
      <x:c r="K286" s="35" t="str">
        <x:v>FAIL</x:v>
      </x:c>
      <x:c r="L286" s="35" t="str">
        <x:v>NOT_RUN</x:v>
      </x:c>
      <x:c r="M286" s="35" t="str">
        <x:v>coverage unavailable or execution/compile failed</x:v>
      </x:c>
      <x:c r="N286" s="35" t="str">
        <x:v>Deepseek-flash-v4/Result/Collections_9/result.json</x:v>
      </x:c>
      <x:c r="O286" s="39" t="str">
        <x:f>IF(AND(G286="RECORDED",ISNUMBER(H286)),H286,"")</x:f>
      </x:c>
      <x:c r="P286" s="35" t="str">
        <x:v>NOT_AVAILABLE</x:v>
      </x:c>
      <x:c r="Q286" s="35" t="str">
        <x:v>Deepseek-flash-v4/Result/Collections_9/result.json</x:v>
      </x:c>
    </x:row>
    <x:row r="287">
      <x:c r="A287" s="35" t="str">
        <x:v>deepseek</x:v>
      </x:c>
      <x:c r="B287" s="35" t="str">
        <x:v>Compress</x:v>
      </x:c>
      <x:c r="C287" s="35" t="str">
        <x:v>Round1</x:v>
      </x:c>
      <x:c r="D287" s="35" t="str">
        <x:v>Compress_1</x:v>
      </x:c>
      <x:c r="E287" s="35" t="str">
        <x:v>Line</x:v>
      </x:c>
      <x:c r="F287" s="35"/>
      <x:c r="G287" s="35" t="str">
        <x:v>A</x:v>
      </x:c>
      <x:c r="H287" s="39" t="str">
        <x:f>IF(ISNUMBER('Data'!E287),'Data'!E287*100,"")</x:f>
      </x:c>
      <x:c r="I287" s="35"/>
      <x:c r="J287" s="35" t="str">
        <x:v>PASS</x:v>
      </x:c>
      <x:c r="K287" s="35" t="str">
        <x:v>FAIL</x:v>
      </x:c>
      <x:c r="L287" s="35" t="str">
        <x:v>NOT_RUN</x:v>
      </x:c>
      <x:c r="M287" s="35" t="str">
        <x:v>coverage unavailable or execution/compile failed</x:v>
      </x:c>
      <x:c r="N287" s="35" t="str">
        <x:v>Deepseek-flash-v4/Result/Compress_1/result.json</x:v>
      </x:c>
      <x:c r="O287" s="39" t="str">
        <x:f>IF(AND(G287="RECORDED",ISNUMBER(H287)),H287,"")</x:f>
      </x:c>
      <x:c r="P287" s="35" t="str">
        <x:v>NOT_AVAILABLE</x:v>
      </x:c>
      <x:c r="Q287" s="35" t="str">
        <x:v>Deepseek-flash-v4/Result/Compress_1/result.json</x:v>
      </x:c>
    </x:row>
    <x:row r="288">
      <x:c r="A288" s="35" t="str">
        <x:v>deepseek</x:v>
      </x:c>
      <x:c r="B288" s="35" t="str">
        <x:v>Compress</x:v>
      </x:c>
      <x:c r="C288" s="35" t="str">
        <x:v>Round1</x:v>
      </x:c>
      <x:c r="D288" s="35" t="str">
        <x:v>Compress_10</x:v>
      </x:c>
      <x:c r="E288" s="35" t="str">
        <x:v>Line</x:v>
      </x:c>
      <x:c r="F288" s="35"/>
      <x:c r="G288" s="35" t="str">
        <x:v>A</x:v>
      </x:c>
      <x:c r="H288" s="39" t="str">
        <x:f>IF(ISNUMBER('Data'!E288),'Data'!E288*100,"")</x:f>
      </x:c>
      <x:c r="I288" s="35"/>
      <x:c r="J288" s="35" t="str">
        <x:v>PASS</x:v>
      </x:c>
      <x:c r="K288" s="35" t="str">
        <x:v>FAIL</x:v>
      </x:c>
      <x:c r="L288" s="35" t="str">
        <x:v>NOT_RUN</x:v>
      </x:c>
      <x:c r="M288" s="35" t="str">
        <x:v>coverage unavailable or execution/compile failed</x:v>
      </x:c>
      <x:c r="N288" s="35" t="str">
        <x:v>Deepseek-flash-v4/Result/Compress_10/result.json</x:v>
      </x:c>
      <x:c r="O288" s="39" t="str">
        <x:f>IF(AND(G288="RECORDED",ISNUMBER(H288)),H288,"")</x:f>
      </x:c>
      <x:c r="P288" s="35" t="str">
        <x:v>NOT_AVAILABLE</x:v>
      </x:c>
      <x:c r="Q288" s="35" t="str">
        <x:v>Deepseek-flash-v4/Result/Compress_10/result.json</x:v>
      </x:c>
    </x:row>
    <x:row r="289">
      <x:c r="A289" s="35" t="str">
        <x:v>deepseek</x:v>
      </x:c>
      <x:c r="B289" s="35" t="str">
        <x:v>Compress</x:v>
      </x:c>
      <x:c r="C289" s="35" t="str">
        <x:v>Round1</x:v>
      </x:c>
      <x:c r="D289" s="35" t="str">
        <x:v>Compress_11</x:v>
      </x:c>
      <x:c r="E289" s="35" t="str">
        <x:v>Line</x:v>
      </x:c>
      <x:c r="F289" s="35"/>
      <x:c r="G289" s="35" t="str">
        <x:v>A</x:v>
      </x:c>
      <x:c r="H289" s="39" t="str">
        <x:f>IF(ISNUMBER('Data'!E289),'Data'!E289*100,"")</x:f>
      </x:c>
      <x:c r="I289" s="35"/>
      <x:c r="J289" s="35" t="str">
        <x:v>PASS</x:v>
      </x:c>
      <x:c r="K289" s="35" t="str">
        <x:v>FAIL</x:v>
      </x:c>
      <x:c r="L289" s="35" t="str">
        <x:v>NOT_RUN</x:v>
      </x:c>
      <x:c r="M289" s="35" t="str">
        <x:v>coverage unavailable or execution/compile failed</x:v>
      </x:c>
      <x:c r="N289" s="35" t="str">
        <x:v>Deepseek-flash-v4/Result/Compress_11/result.json</x:v>
      </x:c>
      <x:c r="O289" s="39" t="str">
        <x:f>IF(AND(G289="RECORDED",ISNUMBER(H289)),H289,"")</x:f>
      </x:c>
      <x:c r="P289" s="35" t="str">
        <x:v>NOT_AVAILABLE</x:v>
      </x:c>
      <x:c r="Q289" s="35" t="str">
        <x:v>Deepseek-flash-v4/Result/Compress_11/result.json</x:v>
      </x:c>
    </x:row>
    <x:row r="290">
      <x:c r="A290" s="35" t="str">
        <x:v>deepseek</x:v>
      </x:c>
      <x:c r="B290" s="35" t="str">
        <x:v>Compress</x:v>
      </x:c>
      <x:c r="C290" s="35" t="str">
        <x:v>Round1</x:v>
      </x:c>
      <x:c r="D290" s="35" t="str">
        <x:v>Compress_12</x:v>
      </x:c>
      <x:c r="E290" s="35" t="str">
        <x:v>Line</x:v>
      </x:c>
      <x:c r="F290" s="35"/>
      <x:c r="G290" s="35" t="str">
        <x:v>A</x:v>
      </x:c>
      <x:c r="H290" s="39" t="str">
        <x:f>IF(ISNUMBER('Data'!E290),'Data'!E290*100,"")</x:f>
      </x:c>
      <x:c r="I290" s="35"/>
      <x:c r="J290" s="35" t="str">
        <x:v>PASS</x:v>
      </x:c>
      <x:c r="K290" s="35" t="str">
        <x:v>FAIL</x:v>
      </x:c>
      <x:c r="L290" s="35" t="str">
        <x:v>NOT_RUN</x:v>
      </x:c>
      <x:c r="M290" s="35" t="str">
        <x:v>coverage unavailable or execution/compile failed</x:v>
      </x:c>
      <x:c r="N290" s="35" t="str">
        <x:v>Deepseek-flash-v4/Result/Compress_12/result.json</x:v>
      </x:c>
      <x:c r="O290" s="39" t="str">
        <x:f>IF(AND(G290="RECORDED",ISNUMBER(H290)),H290,"")</x:f>
      </x:c>
      <x:c r="P290" s="35" t="str">
        <x:v>NOT_AVAILABLE</x:v>
      </x:c>
      <x:c r="Q290" s="35" t="str">
        <x:v>Deepseek-flash-v4/Result/Compress_12/result.json</x:v>
      </x:c>
    </x:row>
    <x:row r="291">
      <x:c r="A291" s="35" t="str">
        <x:v>deepseek</x:v>
      </x:c>
      <x:c r="B291" s="35" t="str">
        <x:v>Compress</x:v>
      </x:c>
      <x:c r="C291" s="35" t="str">
        <x:v>Round1</x:v>
      </x:c>
      <x:c r="D291" s="35" t="str">
        <x:v>Compress_13</x:v>
      </x:c>
      <x:c r="E291" s="35" t="str">
        <x:v>Line</x:v>
      </x:c>
      <x:c r="F291" s="35"/>
      <x:c r="G291" s="35" t="str">
        <x:v>A</x:v>
      </x:c>
      <x:c r="H291" s="39" t="str">
        <x:f>IF(ISNUMBER('Data'!E291),'Data'!E291*100,"")</x:f>
      </x:c>
      <x:c r="I291" s="35"/>
      <x:c r="J291" s="35" t="str">
        <x:v>PASS</x:v>
      </x:c>
      <x:c r="K291" s="35" t="str">
        <x:v>FAIL</x:v>
      </x:c>
      <x:c r="L291" s="35" t="str">
        <x:v>NOT_RUN</x:v>
      </x:c>
      <x:c r="M291" s="35" t="str">
        <x:v>coverage unavailable or execution/compile failed</x:v>
      </x:c>
      <x:c r="N291" s="35" t="str">
        <x:v>Deepseek-flash-v4/Result/Compress_13/result.json</x:v>
      </x:c>
      <x:c r="O291" s="39" t="str">
        <x:f>IF(AND(G291="RECORDED",ISNUMBER(H291)),H291,"")</x:f>
      </x:c>
      <x:c r="P291" s="35" t="str">
        <x:v>NOT_AVAILABLE</x:v>
      </x:c>
      <x:c r="Q291" s="35" t="str">
        <x:v>Deepseek-flash-v4/Result/Compress_13/result.json</x:v>
      </x:c>
    </x:row>
    <x:row r="292">
      <x:c r="A292" s="35" t="str">
        <x:v>deepseek</x:v>
      </x:c>
      <x:c r="B292" s="35" t="str">
        <x:v>Compress</x:v>
      </x:c>
      <x:c r="C292" s="35" t="str">
        <x:v>Round1</x:v>
      </x:c>
      <x:c r="D292" s="35" t="str">
        <x:v>Compress_14</x:v>
      </x:c>
      <x:c r="E292" s="35" t="str">
        <x:v>Line</x:v>
      </x:c>
      <x:c r="F292" s="35" t="n">
        <x:v>101</x:v>
      </x:c>
      <x:c r="G292" s="35" t="str">
        <x:v>RECORDED</x:v>
      </x:c>
      <x:c r="H292" s="39" t="n">
        <x:f>IF(ISNUMBER('Data'!E292),'Data'!E292*100,"")</x:f>
        <x:v>72.28</x:v>
      </x:c>
      <x:c r="I292" s="35" t="str">
        <x:v>PASS</x:v>
      </x:c>
      <x:c r="J292" s="35" t="str">
        <x:v>PASS</x:v>
      </x:c>
      <x:c r="K292" s="35" t="str">
        <x:v>PASS</x:v>
      </x:c>
      <x:c r="L292" s="35" t="str">
        <x:v>FAIL</x:v>
      </x:c>
      <x:c r="M292" s="35" t="str">
        <x:v>numeric coverage for applicable metric</x:v>
      </x:c>
      <x:c r="N292" s="35" t="str">
        <x:v>Deepseek-flash-v4/Result/Compress_14/result.json</x:v>
      </x:c>
      <x:c r="O292" s="39" t="n">
        <x:f>IF(AND(G292="RECORDED",ISNUMBER(H292)),H292,"")</x:f>
        <x:v>72.28</x:v>
      </x:c>
      <x:c r="P292" s="35" t="str">
        <x:v>INCONCLUSIVE</x:v>
      </x:c>
      <x:c r="Q292" s="35" t="str">
        <x:v>Deepseek-flash-v4/Result/Compress_14/result.json</x:v>
      </x:c>
    </x:row>
    <x:row r="293">
      <x:c r="A293" s="35" t="str">
        <x:v>deepseek</x:v>
      </x:c>
      <x:c r="B293" s="35" t="str">
        <x:v>Compress</x:v>
      </x:c>
      <x:c r="C293" s="35" t="str">
        <x:v>Round1</x:v>
      </x:c>
      <x:c r="D293" s="35" t="str">
        <x:v>Compress_15</x:v>
      </x:c>
      <x:c r="E293" s="35" t="str">
        <x:v>Line</x:v>
      </x:c>
      <x:c r="F293" s="35"/>
      <x:c r="G293" s="35" t="str">
        <x:v>A</x:v>
      </x:c>
      <x:c r="H293" s="39" t="str">
        <x:f>IF(ISNUMBER('Data'!E293),'Data'!E293*100,"")</x:f>
      </x:c>
      <x:c r="I293" s="35"/>
      <x:c r="J293" s="35" t="str">
        <x:v>PASS</x:v>
      </x:c>
      <x:c r="K293" s="35" t="str">
        <x:v>FAIL</x:v>
      </x:c>
      <x:c r="L293" s="35" t="str">
        <x:v>NOT_RUN</x:v>
      </x:c>
      <x:c r="M293" s="35" t="str">
        <x:v>coverage unavailable or execution/compile failed</x:v>
      </x:c>
      <x:c r="N293" s="35" t="str">
        <x:v>Deepseek-flash-v4/Result/Compress_15/result.json</x:v>
      </x:c>
      <x:c r="O293" s="39" t="str">
        <x:f>IF(AND(G293="RECORDED",ISNUMBER(H293)),H293,"")</x:f>
      </x:c>
      <x:c r="P293" s="35" t="str">
        <x:v>NOT_AVAILABLE</x:v>
      </x:c>
      <x:c r="Q293" s="35" t="str">
        <x:v>Deepseek-flash-v4/Result/Compress_15/result.json</x:v>
      </x:c>
    </x:row>
    <x:row r="294">
      <x:c r="A294" s="35" t="str">
        <x:v>deepseek</x:v>
      </x:c>
      <x:c r="B294" s="35" t="str">
        <x:v>Compress</x:v>
      </x:c>
      <x:c r="C294" s="35" t="str">
        <x:v>Round1</x:v>
      </x:c>
      <x:c r="D294" s="35" t="str">
        <x:v>Compress_16</x:v>
      </x:c>
      <x:c r="E294" s="35" t="str">
        <x:v>Line</x:v>
      </x:c>
      <x:c r="F294" s="35"/>
      <x:c r="G294" s="35" t="str">
        <x:v>A</x:v>
      </x:c>
      <x:c r="H294" s="39" t="str">
        <x:f>IF(ISNUMBER('Data'!E294),'Data'!E294*100,"")</x:f>
      </x:c>
      <x:c r="I294" s="35"/>
      <x:c r="J294" s="35" t="str">
        <x:v>PASS</x:v>
      </x:c>
      <x:c r="K294" s="35" t="str">
        <x:v>FAIL</x:v>
      </x:c>
      <x:c r="L294" s="35" t="str">
        <x:v>NOT_RUN</x:v>
      </x:c>
      <x:c r="M294" s="35" t="str">
        <x:v>coverage unavailable or execution/compile failed</x:v>
      </x:c>
      <x:c r="N294" s="35" t="str">
        <x:v>Deepseek-flash-v4/Result/Compress_16/result.json</x:v>
      </x:c>
      <x:c r="O294" s="39" t="str">
        <x:f>IF(AND(G294="RECORDED",ISNUMBER(H294)),H294,"")</x:f>
      </x:c>
      <x:c r="P294" s="35" t="str">
        <x:v>NOT_AVAILABLE</x:v>
      </x:c>
      <x:c r="Q294" s="35" t="str">
        <x:v>Deepseek-flash-v4/Result/Compress_16/result.json</x:v>
      </x:c>
    </x:row>
    <x:row r="295">
      <x:c r="A295" s="35" t="str">
        <x:v>deepseek</x:v>
      </x:c>
      <x:c r="B295" s="35" t="str">
        <x:v>Compress</x:v>
      </x:c>
      <x:c r="C295" s="35" t="str">
        <x:v>Round1</x:v>
      </x:c>
      <x:c r="D295" s="35" t="str">
        <x:v>Compress_17</x:v>
      </x:c>
      <x:c r="E295" s="35" t="str">
        <x:v>Line</x:v>
      </x:c>
      <x:c r="F295" s="35" t="n">
        <x:v>179</x:v>
      </x:c>
      <x:c r="G295" s="35" t="str">
        <x:v>RECORDED</x:v>
      </x:c>
      <x:c r="H295" s="39" t="n">
        <x:f>IF(ISNUMBER('Data'!E295),'Data'!E295*100,"")</x:f>
        <x:v>72.07</x:v>
      </x:c>
      <x:c r="I295" s="35" t="str">
        <x:v>PASS</x:v>
      </x:c>
      <x:c r="J295" s="35" t="str">
        <x:v>PASS</x:v>
      </x:c>
      <x:c r="K295" s="35" t="str">
        <x:v>PASS</x:v>
      </x:c>
      <x:c r="L295" s="35" t="str">
        <x:v>FAIL</x:v>
      </x:c>
      <x:c r="M295" s="35" t="str">
        <x:v>numeric coverage for applicable metric</x:v>
      </x:c>
      <x:c r="N295" s="35" t="str">
        <x:v>Deepseek-flash-v4/Result/Compress_17/result.json</x:v>
      </x:c>
      <x:c r="O295" s="39" t="n">
        <x:f>IF(AND(G295="RECORDED",ISNUMBER(H295)),H295,"")</x:f>
        <x:v>72.07</x:v>
      </x:c>
      <x:c r="P295" s="35" t="str">
        <x:v>INCONCLUSIVE</x:v>
      </x:c>
      <x:c r="Q295" s="35" t="str">
        <x:v>Deepseek-flash-v4/Result/Compress_17/result.json</x:v>
      </x:c>
    </x:row>
    <x:row r="296">
      <x:c r="A296" s="35" t="str">
        <x:v>deepseek</x:v>
      </x:c>
      <x:c r="B296" s="35" t="str">
        <x:v>Compress</x:v>
      </x:c>
      <x:c r="C296" s="35" t="str">
        <x:v>Round1</x:v>
      </x:c>
      <x:c r="D296" s="35" t="str">
        <x:v>Compress_18</x:v>
      </x:c>
      <x:c r="E296" s="35" t="str">
        <x:v>Line</x:v>
      </x:c>
      <x:c r="F296" s="35"/>
      <x:c r="G296" s="35" t="str">
        <x:v>A</x:v>
      </x:c>
      <x:c r="H296" s="39" t="str">
        <x:f>IF(ISNUMBER('Data'!E296),'Data'!E296*100,"")</x:f>
      </x:c>
      <x:c r="I296" s="35"/>
      <x:c r="J296" s="35" t="str">
        <x:v>PASS</x:v>
      </x:c>
      <x:c r="K296" s="35" t="str">
        <x:v>FAIL</x:v>
      </x:c>
      <x:c r="L296" s="35" t="str">
        <x:v>NOT_RUN</x:v>
      </x:c>
      <x:c r="M296" s="35" t="str">
        <x:v>coverage unavailable or execution/compile failed</x:v>
      </x:c>
      <x:c r="N296" s="35" t="str">
        <x:v>Deepseek-flash-v4/Result/Compress_18/result.json</x:v>
      </x:c>
      <x:c r="O296" s="39" t="str">
        <x:f>IF(AND(G296="RECORDED",ISNUMBER(H296)),H296,"")</x:f>
      </x:c>
      <x:c r="P296" s="35" t="str">
        <x:v>NOT_AVAILABLE</x:v>
      </x:c>
      <x:c r="Q296" s="35" t="str">
        <x:v>Deepseek-flash-v4/Result/Compress_18/result.json</x:v>
      </x:c>
    </x:row>
    <x:row r="297">
      <x:c r="A297" s="35" t="str">
        <x:v>deepseek</x:v>
      </x:c>
      <x:c r="B297" s="35" t="str">
        <x:v>Compress</x:v>
      </x:c>
      <x:c r="C297" s="35" t="str">
        <x:v>Round1</x:v>
      </x:c>
      <x:c r="D297" s="35" t="str">
        <x:v>Compress_19</x:v>
      </x:c>
      <x:c r="E297" s="35" t="str">
        <x:v>Line</x:v>
      </x:c>
      <x:c r="F297" s="35"/>
      <x:c r="G297" s="35" t="str">
        <x:v>A</x:v>
      </x:c>
      <x:c r="H297" s="39" t="str">
        <x:f>IF(ISNUMBER('Data'!E297),'Data'!E297*100,"")</x:f>
      </x:c>
      <x:c r="I297" s="35"/>
      <x:c r="J297" s="35" t="str">
        <x:v>PASS</x:v>
      </x:c>
      <x:c r="K297" s="35" t="str">
        <x:v>FAIL</x:v>
      </x:c>
      <x:c r="L297" s="35" t="str">
        <x:v>NOT_RUN</x:v>
      </x:c>
      <x:c r="M297" s="35" t="str">
        <x:v>coverage unavailable or execution/compile failed</x:v>
      </x:c>
      <x:c r="N297" s="35" t="str">
        <x:v>Deepseek-flash-v4/Result/Compress_19/result.json</x:v>
      </x:c>
      <x:c r="O297" s="39" t="str">
        <x:f>IF(AND(G297="RECORDED",ISNUMBER(H297)),H297,"")</x:f>
      </x:c>
      <x:c r="P297" s="35" t="str">
        <x:v>NOT_AVAILABLE</x:v>
      </x:c>
      <x:c r="Q297" s="35" t="str">
        <x:v>Deepseek-flash-v4/Result/Compress_19/result.json</x:v>
      </x:c>
    </x:row>
    <x:row r="298">
      <x:c r="A298" s="35" t="str">
        <x:v>deepseek</x:v>
      </x:c>
      <x:c r="B298" s="35" t="str">
        <x:v>Compress</x:v>
      </x:c>
      <x:c r="C298" s="35" t="str">
        <x:v>Round1</x:v>
      </x:c>
      <x:c r="D298" s="35" t="str">
        <x:v>Compress_2</x:v>
      </x:c>
      <x:c r="E298" s="35" t="str">
        <x:v>Line</x:v>
      </x:c>
      <x:c r="F298" s="35"/>
      <x:c r="G298" s="35" t="str">
        <x:v>A</x:v>
      </x:c>
      <x:c r="H298" s="39" t="str">
        <x:f>IF(ISNUMBER('Data'!E298),'Data'!E298*100,"")</x:f>
      </x:c>
      <x:c r="I298" s="35"/>
      <x:c r="J298" s="35" t="str">
        <x:v>PASS</x:v>
      </x:c>
      <x:c r="K298" s="35" t="str">
        <x:v>FAIL</x:v>
      </x:c>
      <x:c r="L298" s="35" t="str">
        <x:v>NOT_RUN</x:v>
      </x:c>
      <x:c r="M298" s="35" t="str">
        <x:v>coverage unavailable or execution/compile failed</x:v>
      </x:c>
      <x:c r="N298" s="35" t="str">
        <x:v>Deepseek-flash-v4/Result/Compress_2/result.json</x:v>
      </x:c>
      <x:c r="O298" s="39" t="str">
        <x:f>IF(AND(G298="RECORDED",ISNUMBER(H298)),H298,"")</x:f>
      </x:c>
      <x:c r="P298" s="35" t="str">
        <x:v>NOT_AVAILABLE</x:v>
      </x:c>
      <x:c r="Q298" s="35" t="str">
        <x:v>Deepseek-flash-v4/Result/Compress_2/result.json</x:v>
      </x:c>
    </x:row>
    <x:row r="299">
      <x:c r="A299" s="35" t="str">
        <x:v>deepseek</x:v>
      </x:c>
      <x:c r="B299" s="35" t="str">
        <x:v>Compress</x:v>
      </x:c>
      <x:c r="C299" s="35" t="str">
        <x:v>Round1</x:v>
      </x:c>
      <x:c r="D299" s="35" t="str">
        <x:v>Compress_20</x:v>
      </x:c>
      <x:c r="E299" s="35" t="str">
        <x:v>Line</x:v>
      </x:c>
      <x:c r="F299" s="35" t="n">
        <x:v>213</x:v>
      </x:c>
      <x:c r="G299" s="35" t="str">
        <x:v>RECORDED</x:v>
      </x:c>
      <x:c r="H299" s="39" t="n">
        <x:f>IF(ISNUMBER('Data'!E299),'Data'!E299*100,"")</x:f>
        <x:v>39.91</x:v>
      </x:c>
      <x:c r="I299" s="35" t="str">
        <x:v>PASS</x:v>
      </x:c>
      <x:c r="J299" s="35" t="str">
        <x:v>PASS</x:v>
      </x:c>
      <x:c r="K299" s="35" t="str">
        <x:v>PASS</x:v>
      </x:c>
      <x:c r="L299" s="35" t="str">
        <x:v>FAIL</x:v>
      </x:c>
      <x:c r="M299" s="35" t="str">
        <x:v>numeric coverage for applicable metric</x:v>
      </x:c>
      <x:c r="N299" s="35" t="str">
        <x:v>Deepseek-flash-v4/Result/Compress_20/result.json</x:v>
      </x:c>
      <x:c r="O299" s="39" t="n">
        <x:f>IF(AND(G299="RECORDED",ISNUMBER(H299)),H299,"")</x:f>
        <x:v>39.91</x:v>
      </x:c>
      <x:c r="P299" s="35" t="str">
        <x:v>INCONCLUSIVE</x:v>
      </x:c>
      <x:c r="Q299" s="35" t="str">
        <x:v>Deepseek-flash-v4/Result/Compress_20/result.json</x:v>
      </x:c>
    </x:row>
    <x:row r="300">
      <x:c r="A300" s="35" t="str">
        <x:v>deepseek</x:v>
      </x:c>
      <x:c r="B300" s="35" t="str">
        <x:v>Compress</x:v>
      </x:c>
      <x:c r="C300" s="35" t="str">
        <x:v>Round1</x:v>
      </x:c>
      <x:c r="D300" s="35" t="str">
        <x:v>Compress_21</x:v>
      </x:c>
      <x:c r="E300" s="35" t="str">
        <x:v>Line</x:v>
      </x:c>
      <x:c r="F300" s="35" t="n">
        <x:v>390</x:v>
      </x:c>
      <x:c r="G300" s="35" t="str">
        <x:v>RECORDED</x:v>
      </x:c>
      <x:c r="H300" s="39" t="n">
        <x:f>IF(ISNUMBER('Data'!E300),'Data'!E300*100,"")</x:f>
        <x:v>71.28</x:v>
      </x:c>
      <x:c r="I300" s="35" t="str">
        <x:v>PASS</x:v>
      </x:c>
      <x:c r="J300" s="35" t="str">
        <x:v>PASS</x:v>
      </x:c>
      <x:c r="K300" s="35" t="str">
        <x:v>PASS</x:v>
      </x:c>
      <x:c r="L300" s="35" t="str">
        <x:v>FAIL</x:v>
      </x:c>
      <x:c r="M300" s="35" t="str">
        <x:v>numeric coverage for applicable metric</x:v>
      </x:c>
      <x:c r="N300" s="35" t="str">
        <x:v>Deepseek-flash-v4/Result/Compress_21/result.json</x:v>
      </x:c>
      <x:c r="O300" s="39" t="n">
        <x:f>IF(AND(G300="RECORDED",ISNUMBER(H300)),H300,"")</x:f>
        <x:v>71.28</x:v>
      </x:c>
      <x:c r="P300" s="35" t="str">
        <x:v>INCONCLUSIVE</x:v>
      </x:c>
      <x:c r="Q300" s="35" t="str">
        <x:v>Deepseek-flash-v4/Result/Compress_21/result.json</x:v>
      </x:c>
    </x:row>
    <x:row r="301">
      <x:c r="A301" s="35" t="str">
        <x:v>deepseek</x:v>
      </x:c>
      <x:c r="B301" s="35" t="str">
        <x:v>Compress</x:v>
      </x:c>
      <x:c r="C301" s="35" t="str">
        <x:v>Round1</x:v>
      </x:c>
      <x:c r="D301" s="35" t="str">
        <x:v>Compress_22</x:v>
      </x:c>
      <x:c r="E301" s="35" t="str">
        <x:v>Line</x:v>
      </x:c>
      <x:c r="F301" s="35"/>
      <x:c r="G301" s="35" t="str">
        <x:v>A</x:v>
      </x:c>
      <x:c r="H301" s="39" t="str">
        <x:f>IF(ISNUMBER('Data'!E301),'Data'!E301*100,"")</x:f>
      </x:c>
      <x:c r="I301" s="35"/>
      <x:c r="J301" s="35" t="str">
        <x:v>PASS</x:v>
      </x:c>
      <x:c r="K301" s="35" t="str">
        <x:v>FAIL</x:v>
      </x:c>
      <x:c r="L301" s="35" t="str">
        <x:v>NOT_RUN</x:v>
      </x:c>
      <x:c r="M301" s="35" t="str">
        <x:v>coverage unavailable or execution/compile failed</x:v>
      </x:c>
      <x:c r="N301" s="35" t="str">
        <x:v>Deepseek-flash-v4/Result/Compress_22/result.json</x:v>
      </x:c>
      <x:c r="O301" s="39" t="str">
        <x:f>IF(AND(G301="RECORDED",ISNUMBER(H301)),H301,"")</x:f>
      </x:c>
      <x:c r="P301" s="35" t="str">
        <x:v>NOT_AVAILABLE</x:v>
      </x:c>
      <x:c r="Q301" s="35" t="str">
        <x:v>Deepseek-flash-v4/Result/Compress_22/result.json</x:v>
      </x:c>
    </x:row>
    <x:row r="302">
      <x:c r="A302" s="35" t="str">
        <x:v>deepseek</x:v>
      </x:c>
      <x:c r="B302" s="35" t="str">
        <x:v>Compress</x:v>
      </x:c>
      <x:c r="C302" s="35" t="str">
        <x:v>Round1</x:v>
      </x:c>
      <x:c r="D302" s="35" t="str">
        <x:v>Compress_23</x:v>
      </x:c>
      <x:c r="E302" s="35" t="str">
        <x:v>Line</x:v>
      </x:c>
      <x:c r="F302" s="35"/>
      <x:c r="G302" s="35" t="str">
        <x:v>A</x:v>
      </x:c>
      <x:c r="H302" s="39" t="str">
        <x:f>IF(ISNUMBER('Data'!E302),'Data'!E302*100,"")</x:f>
      </x:c>
      <x:c r="I302" s="35"/>
      <x:c r="J302" s="35" t="str">
        <x:v>PASS</x:v>
      </x:c>
      <x:c r="K302" s="35" t="str">
        <x:v>FAIL</x:v>
      </x:c>
      <x:c r="L302" s="35" t="str">
        <x:v>NOT_RUN</x:v>
      </x:c>
      <x:c r="M302" s="35" t="str">
        <x:v>coverage unavailable or execution/compile failed</x:v>
      </x:c>
      <x:c r="N302" s="35" t="str">
        <x:v>Deepseek-flash-v4/Result/Compress_23/result.json</x:v>
      </x:c>
      <x:c r="O302" s="39" t="str">
        <x:f>IF(AND(G302="RECORDED",ISNUMBER(H302)),H302,"")</x:f>
      </x:c>
      <x:c r="P302" s="35" t="str">
        <x:v>NOT_AVAILABLE</x:v>
      </x:c>
      <x:c r="Q302" s="35" t="str">
        <x:v>Deepseek-flash-v4/Result/Compress_23/result.json</x:v>
      </x:c>
    </x:row>
    <x:row r="303">
      <x:c r="A303" s="35" t="str">
        <x:v>deepseek</x:v>
      </x:c>
      <x:c r="B303" s="35" t="str">
        <x:v>Compress</x:v>
      </x:c>
      <x:c r="C303" s="35" t="str">
        <x:v>Round1</x:v>
      </x:c>
      <x:c r="D303" s="35" t="str">
        <x:v>Compress_24</x:v>
      </x:c>
      <x:c r="E303" s="35" t="str">
        <x:v>Line</x:v>
      </x:c>
      <x:c r="F303" s="35" t="n">
        <x:v>180</x:v>
      </x:c>
      <x:c r="G303" s="35" t="str">
        <x:v>RECORDED</x:v>
      </x:c>
      <x:c r="H303" s="39" t="n">
        <x:f>IF(ISNUMBER('Data'!E303),'Data'!E303*100,"")</x:f>
        <x:v>66.67</x:v>
      </x:c>
      <x:c r="I303" s="35" t="str">
        <x:v>PASS</x:v>
      </x:c>
      <x:c r="J303" s="35" t="str">
        <x:v>PASS</x:v>
      </x:c>
      <x:c r="K303" s="35" t="str">
        <x:v>PASS</x:v>
      </x:c>
      <x:c r="L303" s="35" t="str">
        <x:v>FAIL</x:v>
      </x:c>
      <x:c r="M303" s="35" t="str">
        <x:v>numeric coverage for applicable metric</x:v>
      </x:c>
      <x:c r="N303" s="35" t="str">
        <x:v>Deepseek-flash-v4/Result/Compress_24/result.json</x:v>
      </x:c>
      <x:c r="O303" s="39" t="n">
        <x:f>IF(AND(G303="RECORDED",ISNUMBER(H303)),H303,"")</x:f>
        <x:v>66.67</x:v>
      </x:c>
      <x:c r="P303" s="35" t="str">
        <x:v>INCONCLUSIVE</x:v>
      </x:c>
      <x:c r="Q303" s="35" t="str">
        <x:v>Deepseek-flash-v4/Result/Compress_24/result.json</x:v>
      </x:c>
    </x:row>
    <x:row r="304">
      <x:c r="A304" s="35" t="str">
        <x:v>deepseek</x:v>
      </x:c>
      <x:c r="B304" s="35" t="str">
        <x:v>Compress</x:v>
      </x:c>
      <x:c r="C304" s="35" t="str">
        <x:v>Round1</x:v>
      </x:c>
      <x:c r="D304" s="35" t="str">
        <x:v>Compress_25</x:v>
      </x:c>
      <x:c r="E304" s="35" t="str">
        <x:v>Line</x:v>
      </x:c>
      <x:c r="F304" s="35"/>
      <x:c r="G304" s="35" t="str">
        <x:v>A</x:v>
      </x:c>
      <x:c r="H304" s="39" t="str">
        <x:f>IF(ISNUMBER('Data'!E304),'Data'!E304*100,"")</x:f>
      </x:c>
      <x:c r="I304" s="35"/>
      <x:c r="J304" s="35" t="str">
        <x:v>PASS</x:v>
      </x:c>
      <x:c r="K304" s="35" t="str">
        <x:v>FAIL</x:v>
      </x:c>
      <x:c r="L304" s="35" t="str">
        <x:v>NOT_RUN</x:v>
      </x:c>
      <x:c r="M304" s="35" t="str">
        <x:v>coverage unavailable or execution/compile failed</x:v>
      </x:c>
      <x:c r="N304" s="35" t="str">
        <x:v>Deepseek-flash-v4/Result/Compress_25/result.json</x:v>
      </x:c>
      <x:c r="O304" s="39" t="str">
        <x:f>IF(AND(G304="RECORDED",ISNUMBER(H304)),H304,"")</x:f>
      </x:c>
      <x:c r="P304" s="35" t="str">
        <x:v>NOT_AVAILABLE</x:v>
      </x:c>
      <x:c r="Q304" s="35" t="str">
        <x:v>Deepseek-flash-v4/Result/Compress_25/result.json</x:v>
      </x:c>
    </x:row>
    <x:row r="305">
      <x:c r="A305" s="35" t="str">
        <x:v>deepseek</x:v>
      </x:c>
      <x:c r="B305" s="35" t="str">
        <x:v>Compress</x:v>
      </x:c>
      <x:c r="C305" s="35" t="str">
        <x:v>Round1</x:v>
      </x:c>
      <x:c r="D305" s="35" t="str">
        <x:v>Compress_26</x:v>
      </x:c>
      <x:c r="E305" s="35" t="str">
        <x:v>Line</x:v>
      </x:c>
      <x:c r="F305" s="35"/>
      <x:c r="G305" s="35" t="str">
        <x:v>A</x:v>
      </x:c>
      <x:c r="H305" s="39" t="str">
        <x:f>IF(ISNUMBER('Data'!E305),'Data'!E305*100,"")</x:f>
      </x:c>
      <x:c r="I305" s="35"/>
      <x:c r="J305" s="35" t="str">
        <x:v>PASS</x:v>
      </x:c>
      <x:c r="K305" s="35" t="str">
        <x:v>PASS</x:v>
      </x:c>
      <x:c r="L305" s="35" t="str">
        <x:v>NOT_RUN</x:v>
      </x:c>
      <x:c r="M305" s="35" t="str">
        <x:v>coverage unavailable or execution/compile failed</x:v>
      </x:c>
      <x:c r="N305" s="35" t="str">
        <x:v>Deepseek-flash-v4/Result/Compress_26/result.json</x:v>
      </x:c>
      <x:c r="O305" s="39" t="str">
        <x:f>IF(AND(G305="RECORDED",ISNUMBER(H305)),H305,"")</x:f>
      </x:c>
      <x:c r="P305" s="35" t="str">
        <x:v>NOT_AVAILABLE</x:v>
      </x:c>
      <x:c r="Q305" s="35" t="str">
        <x:v>Deepseek-flash-v4/Result/Compress_26/result.json</x:v>
      </x:c>
    </x:row>
    <x:row r="306">
      <x:c r="A306" s="35" t="str">
        <x:v>deepseek</x:v>
      </x:c>
      <x:c r="B306" s="35" t="str">
        <x:v>Compress</x:v>
      </x:c>
      <x:c r="C306" s="35" t="str">
        <x:v>Round1</x:v>
      </x:c>
      <x:c r="D306" s="35" t="str">
        <x:v>Compress_27</x:v>
      </x:c>
      <x:c r="E306" s="35" t="str">
        <x:v>Line</x:v>
      </x:c>
      <x:c r="F306" s="35"/>
      <x:c r="G306" s="35" t="str">
        <x:v>A</x:v>
      </x:c>
      <x:c r="H306" s="39" t="str">
        <x:f>IF(ISNUMBER('Data'!E306),'Data'!E306*100,"")</x:f>
      </x:c>
      <x:c r="I306" s="35"/>
      <x:c r="J306" s="35" t="str">
        <x:v>PASS</x:v>
      </x:c>
      <x:c r="K306" s="35" t="str">
        <x:v>FAIL</x:v>
      </x:c>
      <x:c r="L306" s="35" t="str">
        <x:v>NOT_RUN</x:v>
      </x:c>
      <x:c r="M306" s="35" t="str">
        <x:v>coverage unavailable or execution/compile failed</x:v>
      </x:c>
      <x:c r="N306" s="35" t="str">
        <x:v>Deepseek-flash-v4/Result/Compress_27/result.json</x:v>
      </x:c>
      <x:c r="O306" s="39" t="str">
        <x:f>IF(AND(G306="RECORDED",ISNUMBER(H306)),H306,"")</x:f>
      </x:c>
      <x:c r="P306" s="35" t="str">
        <x:v>NOT_AVAILABLE</x:v>
      </x:c>
      <x:c r="Q306" s="35" t="str">
        <x:v>Deepseek-flash-v4/Result/Compress_27/result.json</x:v>
      </x:c>
    </x:row>
    <x:row r="307">
      <x:c r="A307" s="35" t="str">
        <x:v>deepseek</x:v>
      </x:c>
      <x:c r="B307" s="35" t="str">
        <x:v>Compress</x:v>
      </x:c>
      <x:c r="C307" s="35" t="str">
        <x:v>Round1</x:v>
      </x:c>
      <x:c r="D307" s="35" t="str">
        <x:v>Compress_28</x:v>
      </x:c>
      <x:c r="E307" s="35" t="str">
        <x:v>Line</x:v>
      </x:c>
      <x:c r="F307" s="35"/>
      <x:c r="G307" s="35" t="str">
        <x:v>A</x:v>
      </x:c>
      <x:c r="H307" s="39" t="str">
        <x:f>IF(ISNUMBER('Data'!E307),'Data'!E307*100,"")</x:f>
      </x:c>
      <x:c r="I307" s="35"/>
      <x:c r="J307" s="35" t="str">
        <x:v>PASS</x:v>
      </x:c>
      <x:c r="K307" s="35" t="str">
        <x:v>FAIL</x:v>
      </x:c>
      <x:c r="L307" s="35" t="str">
        <x:v>NOT_RUN</x:v>
      </x:c>
      <x:c r="M307" s="35" t="str">
        <x:v>coverage unavailable or execution/compile failed</x:v>
      </x:c>
      <x:c r="N307" s="35" t="str">
        <x:v>Deepseek-flash-v4/Result/Compress_28/result.json</x:v>
      </x:c>
      <x:c r="O307" s="39" t="str">
        <x:f>IF(AND(G307="RECORDED",ISNUMBER(H307)),H307,"")</x:f>
      </x:c>
      <x:c r="P307" s="35" t="str">
        <x:v>NOT_AVAILABLE</x:v>
      </x:c>
      <x:c r="Q307" s="35" t="str">
        <x:v>Deepseek-flash-v4/Result/Compress_28/result.json</x:v>
      </x:c>
    </x:row>
    <x:row r="308">
      <x:c r="A308" s="35" t="str">
        <x:v>deepseek</x:v>
      </x:c>
      <x:c r="B308" s="35" t="str">
        <x:v>Compress</x:v>
      </x:c>
      <x:c r="C308" s="35" t="str">
        <x:v>Round1</x:v>
      </x:c>
      <x:c r="D308" s="35" t="str">
        <x:v>Compress_29</x:v>
      </x:c>
      <x:c r="E308" s="35" t="str">
        <x:v>Line</x:v>
      </x:c>
      <x:c r="F308" s="35"/>
      <x:c r="G308" s="35" t="str">
        <x:v>A</x:v>
      </x:c>
      <x:c r="H308" s="39" t="str">
        <x:f>IF(ISNUMBER('Data'!E308),'Data'!E308*100,"")</x:f>
      </x:c>
      <x:c r="I308" s="35"/>
      <x:c r="J308" s="35" t="str">
        <x:v>PASS</x:v>
      </x:c>
      <x:c r="K308" s="35" t="str">
        <x:v>FAIL</x:v>
      </x:c>
      <x:c r="L308" s="35" t="str">
        <x:v>NOT_RUN</x:v>
      </x:c>
      <x:c r="M308" s="35" t="str">
        <x:v>coverage unavailable or execution/compile failed</x:v>
      </x:c>
      <x:c r="N308" s="35" t="str">
        <x:v>Deepseek-flash-v4/Result/Compress_29/result.json</x:v>
      </x:c>
      <x:c r="O308" s="39" t="str">
        <x:f>IF(AND(G308="RECORDED",ISNUMBER(H308)),H308,"")</x:f>
      </x:c>
      <x:c r="P308" s="35" t="str">
        <x:v>NOT_AVAILABLE</x:v>
      </x:c>
      <x:c r="Q308" s="35" t="str">
        <x:v>Deepseek-flash-v4/Result/Compress_29/result.json</x:v>
      </x:c>
    </x:row>
    <x:row r="309">
      <x:c r="A309" s="35" t="str">
        <x:v>deepseek</x:v>
      </x:c>
      <x:c r="B309" s="35" t="str">
        <x:v>Compress</x:v>
      </x:c>
      <x:c r="C309" s="35" t="str">
        <x:v>Round1</x:v>
      </x:c>
      <x:c r="D309" s="35" t="str">
        <x:v>Compress_3</x:v>
      </x:c>
      <x:c r="E309" s="35" t="str">
        <x:v>Line</x:v>
      </x:c>
      <x:c r="F309" s="35"/>
      <x:c r="G309" s="35" t="str">
        <x:v>A</x:v>
      </x:c>
      <x:c r="H309" s="39" t="str">
        <x:f>IF(ISNUMBER('Data'!E309),'Data'!E309*100,"")</x:f>
      </x:c>
      <x:c r="I309" s="35"/>
      <x:c r="J309" s="35" t="str">
        <x:v>PASS</x:v>
      </x:c>
      <x:c r="K309" s="35" t="str">
        <x:v>FAIL</x:v>
      </x:c>
      <x:c r="L309" s="35" t="str">
        <x:v>NOT_RUN</x:v>
      </x:c>
      <x:c r="M309" s="35" t="str">
        <x:v>coverage unavailable or execution/compile failed</x:v>
      </x:c>
      <x:c r="N309" s="35" t="str">
        <x:v>Deepseek-flash-v4/Result/Compress_3/result.json</x:v>
      </x:c>
      <x:c r="O309" s="39" t="str">
        <x:f>IF(AND(G309="RECORDED",ISNUMBER(H309)),H309,"")</x:f>
      </x:c>
      <x:c r="P309" s="35" t="str">
        <x:v>NOT_AVAILABLE</x:v>
      </x:c>
      <x:c r="Q309" s="35" t="str">
        <x:v>Deepseek-flash-v4/Result/Compress_3/result.json</x:v>
      </x:c>
    </x:row>
    <x:row r="310">
      <x:c r="A310" s="35" t="str">
        <x:v>deepseek</x:v>
      </x:c>
      <x:c r="B310" s="35" t="str">
        <x:v>Compress</x:v>
      </x:c>
      <x:c r="C310" s="35" t="str">
        <x:v>Round1</x:v>
      </x:c>
      <x:c r="D310" s="35" t="str">
        <x:v>Compress_30</x:v>
      </x:c>
      <x:c r="E310" s="35" t="str">
        <x:v>Line</x:v>
      </x:c>
      <x:c r="F310" s="35" t="n">
        <x:v>488</x:v>
      </x:c>
      <x:c r="G310" s="35" t="str">
        <x:v>RECORDED</x:v>
      </x:c>
      <x:c r="H310" s="39" t="n">
        <x:f>IF(ISNUMBER('Data'!E310),'Data'!E310*100,"")</x:f>
        <x:v>7.99</x:v>
      </x:c>
      <x:c r="I310" s="35" t="str">
        <x:v>PASS</x:v>
      </x:c>
      <x:c r="J310" s="35" t="str">
        <x:v>PASS</x:v>
      </x:c>
      <x:c r="K310" s="35" t="str">
        <x:v>PASS</x:v>
      </x:c>
      <x:c r="L310" s="35" t="str">
        <x:v>FAIL</x:v>
      </x:c>
      <x:c r="M310" s="35" t="str">
        <x:v>numeric coverage for applicable metric</x:v>
      </x:c>
      <x:c r="N310" s="35" t="str">
        <x:v>Deepseek-flash-v4/Result/Compress_30/result.json</x:v>
      </x:c>
      <x:c r="O310" s="39" t="n">
        <x:f>IF(AND(G310="RECORDED",ISNUMBER(H310)),H310,"")</x:f>
        <x:v>7.99</x:v>
      </x:c>
      <x:c r="P310" s="35" t="str">
        <x:v>INCONCLUSIVE</x:v>
      </x:c>
      <x:c r="Q310" s="35" t="str">
        <x:v>Deepseek-flash-v4/Result/Compress_30/result.json</x:v>
      </x:c>
    </x:row>
    <x:row r="311">
      <x:c r="A311" s="35" t="str">
        <x:v>deepseek</x:v>
      </x:c>
      <x:c r="B311" s="35" t="str">
        <x:v>Compress</x:v>
      </x:c>
      <x:c r="C311" s="35" t="str">
        <x:v>Round1</x:v>
      </x:c>
      <x:c r="D311" s="35" t="str">
        <x:v>Compress_31</x:v>
      </x:c>
      <x:c r="E311" s="35" t="str">
        <x:v>Line</x:v>
      </x:c>
      <x:c r="F311" s="35" t="n">
        <x:v>176</x:v>
      </x:c>
      <x:c r="G311" s="35" t="str">
        <x:v>RECORDED</x:v>
      </x:c>
      <x:c r="H311" s="39" t="n">
        <x:f>IF(ISNUMBER('Data'!E311),'Data'!E311*100,"")</x:f>
        <x:v>65.91</x:v>
      </x:c>
      <x:c r="I311" s="35" t="str">
        <x:v>PASS</x:v>
      </x:c>
      <x:c r="J311" s="35" t="str">
        <x:v>PASS</x:v>
      </x:c>
      <x:c r="K311" s="35" t="str">
        <x:v>PASS</x:v>
      </x:c>
      <x:c r="L311" s="35" t="str">
        <x:v>FAIL</x:v>
      </x:c>
      <x:c r="M311" s="35" t="str">
        <x:v>numeric coverage for applicable metric</x:v>
      </x:c>
      <x:c r="N311" s="35" t="str">
        <x:v>Deepseek-flash-v4/Result/Compress_31/result.json</x:v>
      </x:c>
      <x:c r="O311" s="39" t="n">
        <x:f>IF(AND(G311="RECORDED",ISNUMBER(H311)),H311,"")</x:f>
        <x:v>65.91</x:v>
      </x:c>
      <x:c r="P311" s="35" t="str">
        <x:v>INCONCLUSIVE</x:v>
      </x:c>
      <x:c r="Q311" s="35" t="str">
        <x:v>Deepseek-flash-v4/Result/Compress_31/result.json</x:v>
      </x:c>
    </x:row>
    <x:row r="312">
      <x:c r="A312" s="35" t="str">
        <x:v>deepseek</x:v>
      </x:c>
      <x:c r="B312" s="35" t="str">
        <x:v>Compress</x:v>
      </x:c>
      <x:c r="C312" s="35" t="str">
        <x:v>Round1</x:v>
      </x:c>
      <x:c r="D312" s="35" t="str">
        <x:v>Compress_32</x:v>
      </x:c>
      <x:c r="E312" s="35" t="str">
        <x:v>Line</x:v>
      </x:c>
      <x:c r="F312" s="35" t="n">
        <x:v>220</x:v>
      </x:c>
      <x:c r="G312" s="35" t="str">
        <x:v>RECORDED</x:v>
      </x:c>
      <x:c r="H312" s="39" t="n">
        <x:f>IF(ISNUMBER('Data'!E312),'Data'!E312*100,"")</x:f>
        <x:v>43.64</x:v>
      </x:c>
      <x:c r="I312" s="35" t="str">
        <x:v>PASS</x:v>
      </x:c>
      <x:c r="J312" s="35" t="str">
        <x:v>PASS</x:v>
      </x:c>
      <x:c r="K312" s="35" t="str">
        <x:v>PASS</x:v>
      </x:c>
      <x:c r="L312" s="35" t="str">
        <x:v>FAIL</x:v>
      </x:c>
      <x:c r="M312" s="35" t="str">
        <x:v>numeric coverage for applicable metric</x:v>
      </x:c>
      <x:c r="N312" s="35" t="str">
        <x:v>Deepseek-flash-v4/Result/Compress_32/result.json</x:v>
      </x:c>
      <x:c r="O312" s="39" t="n">
        <x:f>IF(AND(G312="RECORDED",ISNUMBER(H312)),H312,"")</x:f>
        <x:v>43.64</x:v>
      </x:c>
      <x:c r="P312" s="35" t="str">
        <x:v>INCONCLUSIVE</x:v>
      </x:c>
      <x:c r="Q312" s="35" t="str">
        <x:v>Deepseek-flash-v4/Result/Compress_32/result.json</x:v>
      </x:c>
    </x:row>
    <x:row r="313">
      <x:c r="A313" s="35" t="str">
        <x:v>deepseek</x:v>
      </x:c>
      <x:c r="B313" s="35" t="str">
        <x:v>Compress</x:v>
      </x:c>
      <x:c r="C313" s="35" t="str">
        <x:v>Round1</x:v>
      </x:c>
      <x:c r="D313" s="35" t="str">
        <x:v>Compress_33</x:v>
      </x:c>
      <x:c r="E313" s="35" t="str">
        <x:v>Line</x:v>
      </x:c>
      <x:c r="F313" s="35"/>
      <x:c r="G313" s="35" t="str">
        <x:v>A</x:v>
      </x:c>
      <x:c r="H313" s="39" t="str">
        <x:f>IF(ISNUMBER('Data'!E313),'Data'!E313*100,"")</x:f>
      </x:c>
      <x:c r="I313" s="35"/>
      <x:c r="J313" s="35" t="str">
        <x:v>PASS</x:v>
      </x:c>
      <x:c r="K313" s="35" t="str">
        <x:v>FAIL</x:v>
      </x:c>
      <x:c r="L313" s="35" t="str">
        <x:v>NOT_RUN</x:v>
      </x:c>
      <x:c r="M313" s="35" t="str">
        <x:v>coverage unavailable or execution/compile failed</x:v>
      </x:c>
      <x:c r="N313" s="35" t="str">
        <x:v>Deepseek-flash-v4/Result/Compress_33/result.json</x:v>
      </x:c>
      <x:c r="O313" s="39" t="str">
        <x:f>IF(AND(G313="RECORDED",ISNUMBER(H313)),H313,"")</x:f>
      </x:c>
      <x:c r="P313" s="35" t="str">
        <x:v>NOT_AVAILABLE</x:v>
      </x:c>
      <x:c r="Q313" s="35" t="str">
        <x:v>Deepseek-flash-v4/Result/Compress_33/result.json</x:v>
      </x:c>
    </x:row>
    <x:row r="314">
      <x:c r="A314" s="35" t="str">
        <x:v>deepseek</x:v>
      </x:c>
      <x:c r="B314" s="35" t="str">
        <x:v>Compress</x:v>
      </x:c>
      <x:c r="C314" s="35" t="str">
        <x:v>Round1</x:v>
      </x:c>
      <x:c r="D314" s="35" t="str">
        <x:v>Compress_34</x:v>
      </x:c>
      <x:c r="E314" s="35" t="str">
        <x:v>Line</x:v>
      </x:c>
      <x:c r="F314" s="35"/>
      <x:c r="G314" s="35" t="str">
        <x:v>A</x:v>
      </x:c>
      <x:c r="H314" s="39" t="str">
        <x:f>IF(ISNUMBER('Data'!E314),'Data'!E314*100,"")</x:f>
      </x:c>
      <x:c r="I314" s="35"/>
      <x:c r="J314" s="35" t="str">
        <x:v>PASS</x:v>
      </x:c>
      <x:c r="K314" s="35" t="str">
        <x:v>FAIL</x:v>
      </x:c>
      <x:c r="L314" s="35" t="str">
        <x:v>NOT_RUN</x:v>
      </x:c>
      <x:c r="M314" s="35" t="str">
        <x:v>coverage unavailable or execution/compile failed</x:v>
      </x:c>
      <x:c r="N314" s="35" t="str">
        <x:v>Deepseek-flash-v4/Result/Compress_34/result.json</x:v>
      </x:c>
      <x:c r="O314" s="39" t="str">
        <x:f>IF(AND(G314="RECORDED",ISNUMBER(H314)),H314,"")</x:f>
      </x:c>
      <x:c r="P314" s="35" t="str">
        <x:v>NOT_AVAILABLE</x:v>
      </x:c>
      <x:c r="Q314" s="35" t="str">
        <x:v>Deepseek-flash-v4/Result/Compress_34/result.json</x:v>
      </x:c>
    </x:row>
    <x:row r="315">
      <x:c r="A315" s="35" t="str">
        <x:v>deepseek</x:v>
      </x:c>
      <x:c r="B315" s="35" t="str">
        <x:v>Compress</x:v>
      </x:c>
      <x:c r="C315" s="35" t="str">
        <x:v>Round1</x:v>
      </x:c>
      <x:c r="D315" s="35" t="str">
        <x:v>Compress_35</x:v>
      </x:c>
      <x:c r="E315" s="35" t="str">
        <x:v>Line</x:v>
      </x:c>
      <x:c r="F315" s="35"/>
      <x:c r="G315" s="35" t="str">
        <x:v>A</x:v>
      </x:c>
      <x:c r="H315" s="39" t="str">
        <x:f>IF(ISNUMBER('Data'!E315),'Data'!E315*100,"")</x:f>
      </x:c>
      <x:c r="I315" s="35"/>
      <x:c r="J315" s="35" t="str">
        <x:v>PASS</x:v>
      </x:c>
      <x:c r="K315" s="35" t="str">
        <x:v>FAIL</x:v>
      </x:c>
      <x:c r="L315" s="35" t="str">
        <x:v>NOT_RUN</x:v>
      </x:c>
      <x:c r="M315" s="35" t="str">
        <x:v>coverage unavailable or execution/compile failed</x:v>
      </x:c>
      <x:c r="N315" s="35" t="str">
        <x:v>Deepseek-flash-v4/Result/Compress_35/result.json</x:v>
      </x:c>
      <x:c r="O315" s="39" t="str">
        <x:f>IF(AND(G315="RECORDED",ISNUMBER(H315)),H315,"")</x:f>
      </x:c>
      <x:c r="P315" s="35" t="str">
        <x:v>NOT_AVAILABLE</x:v>
      </x:c>
      <x:c r="Q315" s="35" t="str">
        <x:v>Deepseek-flash-v4/Result/Compress_35/result.json</x:v>
      </x:c>
    </x:row>
    <x:row r="316">
      <x:c r="A316" s="35" t="str">
        <x:v>deepseek</x:v>
      </x:c>
      <x:c r="B316" s="35" t="str">
        <x:v>Compress</x:v>
      </x:c>
      <x:c r="C316" s="35" t="str">
        <x:v>Round1</x:v>
      </x:c>
      <x:c r="D316" s="35" t="str">
        <x:v>Compress_36</x:v>
      </x:c>
      <x:c r="E316" s="35" t="str">
        <x:v>Line</x:v>
      </x:c>
      <x:c r="F316" s="35" t="n">
        <x:v>533</x:v>
      </x:c>
      <x:c r="G316" s="35" t="str">
        <x:v>RECORDED</x:v>
      </x:c>
      <x:c r="H316" s="39" t="n">
        <x:f>IF(ISNUMBER('Data'!E316),'Data'!E316*100,"")</x:f>
        <x:v>7.5</x:v>
      </x:c>
      <x:c r="I316" s="35" t="str">
        <x:v>PASS</x:v>
      </x:c>
      <x:c r="J316" s="35" t="str">
        <x:v>PASS</x:v>
      </x:c>
      <x:c r="K316" s="35" t="str">
        <x:v>PASS</x:v>
      </x:c>
      <x:c r="L316" s="35" t="str">
        <x:v>FAIL</x:v>
      </x:c>
      <x:c r="M316" s="35" t="str">
        <x:v>numeric coverage for applicable metric</x:v>
      </x:c>
      <x:c r="N316" s="35" t="str">
        <x:v>Deepseek-flash-v4/Result/Compress_36/result.json</x:v>
      </x:c>
      <x:c r="O316" s="39" t="n">
        <x:f>IF(AND(G316="RECORDED",ISNUMBER(H316)),H316,"")</x:f>
        <x:v>7.5</x:v>
      </x:c>
      <x:c r="P316" s="35" t="str">
        <x:v>INCONCLUSIVE</x:v>
      </x:c>
      <x:c r="Q316" s="35" t="str">
        <x:v>Deepseek-flash-v4/Result/Compress_36/result.json</x:v>
      </x:c>
    </x:row>
    <x:row r="317">
      <x:c r="A317" s="35" t="str">
        <x:v>deepseek</x:v>
      </x:c>
      <x:c r="B317" s="35" t="str">
        <x:v>Compress</x:v>
      </x:c>
      <x:c r="C317" s="35" t="str">
        <x:v>Round1</x:v>
      </x:c>
      <x:c r="D317" s="35" t="str">
        <x:v>Compress_37</x:v>
      </x:c>
      <x:c r="E317" s="35" t="str">
        <x:v>Line</x:v>
      </x:c>
      <x:c r="F317" s="35"/>
      <x:c r="G317" s="35" t="str">
        <x:v>A</x:v>
      </x:c>
      <x:c r="H317" s="39" t="str">
        <x:f>IF(ISNUMBER('Data'!E317),'Data'!E317*100,"")</x:f>
      </x:c>
      <x:c r="I317" s="35"/>
      <x:c r="J317" s="35" t="str">
        <x:v>PASS</x:v>
      </x:c>
      <x:c r="K317" s="35" t="str">
        <x:v>FAIL</x:v>
      </x:c>
      <x:c r="L317" s="35" t="str">
        <x:v>NOT_RUN</x:v>
      </x:c>
      <x:c r="M317" s="35" t="str">
        <x:v>coverage unavailable or execution/compile failed</x:v>
      </x:c>
      <x:c r="N317" s="35" t="str">
        <x:v>Deepseek-flash-v4/Result/Compress_37/result.json</x:v>
      </x:c>
      <x:c r="O317" s="39" t="str">
        <x:f>IF(AND(G317="RECORDED",ISNUMBER(H317)),H317,"")</x:f>
      </x:c>
      <x:c r="P317" s="35" t="str">
        <x:v>NOT_AVAILABLE</x:v>
      </x:c>
      <x:c r="Q317" s="35" t="str">
        <x:v>Deepseek-flash-v4/Result/Compress_37/result.json</x:v>
      </x:c>
    </x:row>
    <x:row r="318">
      <x:c r="A318" s="35" t="str">
        <x:v>deepseek</x:v>
      </x:c>
      <x:c r="B318" s="35" t="str">
        <x:v>Compress</x:v>
      </x:c>
      <x:c r="C318" s="35" t="str">
        <x:v>Round1</x:v>
      </x:c>
      <x:c r="D318" s="35" t="str">
        <x:v>Compress_38</x:v>
      </x:c>
      <x:c r="E318" s="35" t="str">
        <x:v>Line</x:v>
      </x:c>
      <x:c r="F318" s="35"/>
      <x:c r="G318" s="35" t="str">
        <x:v>A</x:v>
      </x:c>
      <x:c r="H318" s="39" t="str">
        <x:f>IF(ISNUMBER('Data'!E318),'Data'!E318*100,"")</x:f>
      </x:c>
      <x:c r="I318" s="35"/>
      <x:c r="J318" s="35" t="str">
        <x:v>PASS</x:v>
      </x:c>
      <x:c r="K318" s="35" t="str">
        <x:v>FAIL</x:v>
      </x:c>
      <x:c r="L318" s="35" t="str">
        <x:v>NOT_RUN</x:v>
      </x:c>
      <x:c r="M318" s="35" t="str">
        <x:v>coverage unavailable or execution/compile failed</x:v>
      </x:c>
      <x:c r="N318" s="35" t="str">
        <x:v>Deepseek-flash-v4/Result/Compress_38/result.json</x:v>
      </x:c>
      <x:c r="O318" s="39" t="str">
        <x:f>IF(AND(G318="RECORDED",ISNUMBER(H318)),H318,"")</x:f>
      </x:c>
      <x:c r="P318" s="35" t="str">
        <x:v>NOT_AVAILABLE</x:v>
      </x:c>
      <x:c r="Q318" s="35" t="str">
        <x:v>Deepseek-flash-v4/Result/Compress_38/result.json</x:v>
      </x:c>
    </x:row>
    <x:row r="319">
      <x:c r="A319" s="35" t="str">
        <x:v>deepseek</x:v>
      </x:c>
      <x:c r="B319" s="35" t="str">
        <x:v>Compress</x:v>
      </x:c>
      <x:c r="C319" s="35" t="str">
        <x:v>Round1</x:v>
      </x:c>
      <x:c r="D319" s="35" t="str">
        <x:v>Compress_39</x:v>
      </x:c>
      <x:c r="E319" s="35" t="str">
        <x:v>Line</x:v>
      </x:c>
      <x:c r="F319" s="35"/>
      <x:c r="G319" s="35" t="str">
        <x:v>A</x:v>
      </x:c>
      <x:c r="H319" s="39" t="str">
        <x:f>IF(ISNUMBER('Data'!E319),'Data'!E319*100,"")</x:f>
      </x:c>
      <x:c r="I319" s="35"/>
      <x:c r="J319" s="35" t="str">
        <x:v>PASS</x:v>
      </x:c>
      <x:c r="K319" s="35" t="str">
        <x:v>FAIL</x:v>
      </x:c>
      <x:c r="L319" s="35" t="str">
        <x:v>NOT_RUN</x:v>
      </x:c>
      <x:c r="M319" s="35" t="str">
        <x:v>coverage unavailable or execution/compile failed</x:v>
      </x:c>
      <x:c r="N319" s="35" t="str">
        <x:v>Deepseek-flash-v4/Result/Compress_39/result.json</x:v>
      </x:c>
      <x:c r="O319" s="39" t="str">
        <x:f>IF(AND(G319="RECORDED",ISNUMBER(H319)),H319,"")</x:f>
      </x:c>
      <x:c r="P319" s="35" t="str">
        <x:v>NOT_AVAILABLE</x:v>
      </x:c>
      <x:c r="Q319" s="35" t="str">
        <x:v>Deepseek-flash-v4/Result/Compress_39/result.json</x:v>
      </x:c>
    </x:row>
    <x:row r="320">
      <x:c r="A320" s="35" t="str">
        <x:v>deepseek</x:v>
      </x:c>
      <x:c r="B320" s="35" t="str">
        <x:v>Compress</x:v>
      </x:c>
      <x:c r="C320" s="35" t="str">
        <x:v>Round1</x:v>
      </x:c>
      <x:c r="D320" s="35" t="str">
        <x:v>Compress_4</x:v>
      </x:c>
      <x:c r="E320" s="35" t="str">
        <x:v>Line</x:v>
      </x:c>
      <x:c r="F320" s="35"/>
      <x:c r="G320" s="35" t="str">
        <x:v>A</x:v>
      </x:c>
      <x:c r="H320" s="39" t="str">
        <x:f>IF(ISNUMBER('Data'!E320),'Data'!E320*100,"")</x:f>
      </x:c>
      <x:c r="I320" s="35"/>
      <x:c r="J320" s="35" t="str">
        <x:v>PASS</x:v>
      </x:c>
      <x:c r="K320" s="35" t="str">
        <x:v>FAIL</x:v>
      </x:c>
      <x:c r="L320" s="35" t="str">
        <x:v>NOT_RUN</x:v>
      </x:c>
      <x:c r="M320" s="35" t="str">
        <x:v>coverage unavailable or execution/compile failed</x:v>
      </x:c>
      <x:c r="N320" s="35" t="str">
        <x:v>Deepseek-flash-v4/Result/Compress_4/result.json</x:v>
      </x:c>
      <x:c r="O320" s="39" t="str">
        <x:f>IF(AND(G320="RECORDED",ISNUMBER(H320)),H320,"")</x:f>
      </x:c>
      <x:c r="P320" s="35" t="str">
        <x:v>NOT_AVAILABLE</x:v>
      </x:c>
      <x:c r="Q320" s="35" t="str">
        <x:v>Deepseek-flash-v4/Result/Compress_4/result.json</x:v>
      </x:c>
    </x:row>
    <x:row r="321">
      <x:c r="A321" s="35" t="str">
        <x:v>deepseek</x:v>
      </x:c>
      <x:c r="B321" s="35" t="str">
        <x:v>Compress</x:v>
      </x:c>
      <x:c r="C321" s="35" t="str">
        <x:v>Round1</x:v>
      </x:c>
      <x:c r="D321" s="35" t="str">
        <x:v>Compress_40</x:v>
      </x:c>
      <x:c r="E321" s="35" t="str">
        <x:v>Line</x:v>
      </x:c>
      <x:c r="F321" s="35"/>
      <x:c r="G321" s="35" t="str">
        <x:v>A</x:v>
      </x:c>
      <x:c r="H321" s="39" t="str">
        <x:f>IF(ISNUMBER('Data'!E321),'Data'!E321*100,"")</x:f>
      </x:c>
      <x:c r="I321" s="35"/>
      <x:c r="J321" s="35" t="str">
        <x:v>PASS</x:v>
      </x:c>
      <x:c r="K321" s="35" t="str">
        <x:v>FAIL</x:v>
      </x:c>
      <x:c r="L321" s="35" t="str">
        <x:v>NOT_RUN</x:v>
      </x:c>
      <x:c r="M321" s="35" t="str">
        <x:v>coverage unavailable or execution/compile failed</x:v>
      </x:c>
      <x:c r="N321" s="35" t="str">
        <x:v>Deepseek-flash-v4/Result/Compress_40/result.json</x:v>
      </x:c>
      <x:c r="O321" s="39" t="str">
        <x:f>IF(AND(G321="RECORDED",ISNUMBER(H321)),H321,"")</x:f>
      </x:c>
      <x:c r="P321" s="35" t="str">
        <x:v>NOT_AVAILABLE</x:v>
      </x:c>
      <x:c r="Q321" s="35" t="str">
        <x:v>Deepseek-flash-v4/Result/Compress_40/result.json</x:v>
      </x:c>
    </x:row>
    <x:row r="322">
      <x:c r="A322" s="35" t="str">
        <x:v>deepseek</x:v>
      </x:c>
      <x:c r="B322" s="35" t="str">
        <x:v>Compress</x:v>
      </x:c>
      <x:c r="C322" s="35" t="str">
        <x:v>Round1</x:v>
      </x:c>
      <x:c r="D322" s="35" t="str">
        <x:v>Compress_41</x:v>
      </x:c>
      <x:c r="E322" s="35" t="str">
        <x:v>Line</x:v>
      </x:c>
      <x:c r="F322" s="35"/>
      <x:c r="G322" s="35" t="str">
        <x:v>A</x:v>
      </x:c>
      <x:c r="H322" s="39" t="str">
        <x:f>IF(ISNUMBER('Data'!E322),'Data'!E322*100,"")</x:f>
      </x:c>
      <x:c r="I322" s="35"/>
      <x:c r="J322" s="35" t="str">
        <x:v>PASS</x:v>
      </x:c>
      <x:c r="K322" s="35" t="str">
        <x:v>FAIL</x:v>
      </x:c>
      <x:c r="L322" s="35" t="str">
        <x:v>NOT_RUN</x:v>
      </x:c>
      <x:c r="M322" s="35" t="str">
        <x:v>coverage unavailable or execution/compile failed</x:v>
      </x:c>
      <x:c r="N322" s="35" t="str">
        <x:v>Deepseek-flash-v4/Result/Compress_41/result.json</x:v>
      </x:c>
      <x:c r="O322" s="39" t="str">
        <x:f>IF(AND(G322="RECORDED",ISNUMBER(H322)),H322,"")</x:f>
      </x:c>
      <x:c r="P322" s="35" t="str">
        <x:v>NOT_AVAILABLE</x:v>
      </x:c>
      <x:c r="Q322" s="35" t="str">
        <x:v>Deepseek-flash-v4/Result/Compress_41/result.json</x:v>
      </x:c>
    </x:row>
    <x:row r="323">
      <x:c r="A323" s="35" t="str">
        <x:v>deepseek</x:v>
      </x:c>
      <x:c r="B323" s="35" t="str">
        <x:v>Compress</x:v>
      </x:c>
      <x:c r="C323" s="35" t="str">
        <x:v>Round1</x:v>
      </x:c>
      <x:c r="D323" s="35" t="str">
        <x:v>Compress_42</x:v>
      </x:c>
      <x:c r="E323" s="35" t="str">
        <x:v>Line</x:v>
      </x:c>
      <x:c r="F323" s="35"/>
      <x:c r="G323" s="35" t="str">
        <x:v>A</x:v>
      </x:c>
      <x:c r="H323" s="39" t="str">
        <x:f>IF(ISNUMBER('Data'!E323),'Data'!E323*100,"")</x:f>
      </x:c>
      <x:c r="I323" s="35"/>
      <x:c r="J323" s="35" t="str">
        <x:v>PASS</x:v>
      </x:c>
      <x:c r="K323" s="35" t="str">
        <x:v>FAIL</x:v>
      </x:c>
      <x:c r="L323" s="35" t="str">
        <x:v>NOT_RUN</x:v>
      </x:c>
      <x:c r="M323" s="35" t="str">
        <x:v>coverage unavailable or execution/compile failed</x:v>
      </x:c>
      <x:c r="N323" s="35" t="str">
        <x:v>Deepseek-flash-v4/Result/Compress_42/result.json</x:v>
      </x:c>
      <x:c r="O323" s="39" t="str">
        <x:f>IF(AND(G323="RECORDED",ISNUMBER(H323)),H323,"")</x:f>
      </x:c>
      <x:c r="P323" s="35" t="str">
        <x:v>NOT_AVAILABLE</x:v>
      </x:c>
      <x:c r="Q323" s="35" t="str">
        <x:v>Deepseek-flash-v4/Result/Compress_42/result.json</x:v>
      </x:c>
    </x:row>
    <x:row r="324">
      <x:c r="A324" s="35" t="str">
        <x:v>deepseek</x:v>
      </x:c>
      <x:c r="B324" s="35" t="str">
        <x:v>Compress</x:v>
      </x:c>
      <x:c r="C324" s="35" t="str">
        <x:v>Round1</x:v>
      </x:c>
      <x:c r="D324" s="35" t="str">
        <x:v>Compress_43</x:v>
      </x:c>
      <x:c r="E324" s="35" t="str">
        <x:v>Line</x:v>
      </x:c>
      <x:c r="F324" s="35"/>
      <x:c r="G324" s="35" t="str">
        <x:v>A</x:v>
      </x:c>
      <x:c r="H324" s="39" t="str">
        <x:f>IF(ISNUMBER('Data'!E324),'Data'!E324*100,"")</x:f>
      </x:c>
      <x:c r="I324" s="35"/>
      <x:c r="J324" s="35" t="str">
        <x:v>PASS</x:v>
      </x:c>
      <x:c r="K324" s="35" t="str">
        <x:v>FAIL</x:v>
      </x:c>
      <x:c r="L324" s="35" t="str">
        <x:v>NOT_RUN</x:v>
      </x:c>
      <x:c r="M324" s="35" t="str">
        <x:v>coverage unavailable or execution/compile failed</x:v>
      </x:c>
      <x:c r="N324" s="35" t="str">
        <x:v>Deepseek-flash-v4/Result/Compress_43/result.json</x:v>
      </x:c>
      <x:c r="O324" s="39" t="str">
        <x:f>IF(AND(G324="RECORDED",ISNUMBER(H324)),H324,"")</x:f>
      </x:c>
      <x:c r="P324" s="35" t="str">
        <x:v>NOT_AVAILABLE</x:v>
      </x:c>
      <x:c r="Q324" s="35" t="str">
        <x:v>Deepseek-flash-v4/Result/Compress_43/result.json</x:v>
      </x:c>
    </x:row>
    <x:row r="325">
      <x:c r="A325" s="35" t="str">
        <x:v>deepseek</x:v>
      </x:c>
      <x:c r="B325" s="35" t="str">
        <x:v>Compress</x:v>
      </x:c>
      <x:c r="C325" s="35" t="str">
        <x:v>Round1</x:v>
      </x:c>
      <x:c r="D325" s="35" t="str">
        <x:v>Compress_44</x:v>
      </x:c>
      <x:c r="E325" s="35" t="str">
        <x:v>Line</x:v>
      </x:c>
      <x:c r="F325" s="35"/>
      <x:c r="G325" s="35" t="str">
        <x:v>A</x:v>
      </x:c>
      <x:c r="H325" s="39" t="str">
        <x:f>IF(ISNUMBER('Data'!E325),'Data'!E325*100,"")</x:f>
      </x:c>
      <x:c r="I325" s="35"/>
      <x:c r="J325" s="35" t="str">
        <x:v>PASS</x:v>
      </x:c>
      <x:c r="K325" s="35" t="str">
        <x:v>FAIL</x:v>
      </x:c>
      <x:c r="L325" s="35" t="str">
        <x:v>NOT_RUN</x:v>
      </x:c>
      <x:c r="M325" s="35" t="str">
        <x:v>coverage unavailable or execution/compile failed</x:v>
      </x:c>
      <x:c r="N325" s="35" t="str">
        <x:v>Deepseek-flash-v4/Result/Compress_44/result.json</x:v>
      </x:c>
      <x:c r="O325" s="39" t="str">
        <x:f>IF(AND(G325="RECORDED",ISNUMBER(H325)),H325,"")</x:f>
      </x:c>
      <x:c r="P325" s="35" t="str">
        <x:v>NOT_AVAILABLE</x:v>
      </x:c>
      <x:c r="Q325" s="35" t="str">
        <x:v>Deepseek-flash-v4/Result/Compress_44/result.json</x:v>
      </x:c>
    </x:row>
    <x:row r="326">
      <x:c r="A326" s="35" t="str">
        <x:v>deepseek</x:v>
      </x:c>
      <x:c r="B326" s="35" t="str">
        <x:v>Compress</x:v>
      </x:c>
      <x:c r="C326" s="35" t="str">
        <x:v>Round1</x:v>
      </x:c>
      <x:c r="D326" s="35" t="str">
        <x:v>Compress_45</x:v>
      </x:c>
      <x:c r="E326" s="35" t="str">
        <x:v>Line</x:v>
      </x:c>
      <x:c r="F326" s="35" t="n">
        <x:v>171</x:v>
      </x:c>
      <x:c r="G326" s="35" t="str">
        <x:v>RECORDED</x:v>
      </x:c>
      <x:c r="H326" s="39" t="n">
        <x:f>IF(ISNUMBER('Data'!E326),'Data'!E326*100,"")</x:f>
        <x:v>63.739999999999995</x:v>
      </x:c>
      <x:c r="I326" s="35" t="str">
        <x:v>PASS</x:v>
      </x:c>
      <x:c r="J326" s="35" t="str">
        <x:v>PASS</x:v>
      </x:c>
      <x:c r="K326" s="35" t="str">
        <x:v>PASS</x:v>
      </x:c>
      <x:c r="L326" s="35" t="str">
        <x:v>FAIL</x:v>
      </x:c>
      <x:c r="M326" s="35" t="str">
        <x:v>numeric coverage for applicable metric</x:v>
      </x:c>
      <x:c r="N326" s="35" t="str">
        <x:v>Deepseek-flash-v4/Result/Compress_45/result.json</x:v>
      </x:c>
      <x:c r="O326" s="39" t="n">
        <x:f>IF(AND(G326="RECORDED",ISNUMBER(H326)),H326,"")</x:f>
        <x:v>63.739999999999995</x:v>
      </x:c>
      <x:c r="P326" s="35" t="str">
        <x:v>INCONCLUSIVE</x:v>
      </x:c>
      <x:c r="Q326" s="35" t="str">
        <x:v>Deepseek-flash-v4/Result/Compress_45/result.json</x:v>
      </x:c>
    </x:row>
    <x:row r="327">
      <x:c r="A327" s="35" t="str">
        <x:v>deepseek</x:v>
      </x:c>
      <x:c r="B327" s="35" t="str">
        <x:v>Compress</x:v>
      </x:c>
      <x:c r="C327" s="35" t="str">
        <x:v>Round1</x:v>
      </x:c>
      <x:c r="D327" s="35" t="str">
        <x:v>Compress_46</x:v>
      </x:c>
      <x:c r="E327" s="35" t="str">
        <x:v>Line</x:v>
      </x:c>
      <x:c r="F327" s="35"/>
      <x:c r="G327" s="35" t="str">
        <x:v>A</x:v>
      </x:c>
      <x:c r="H327" s="39" t="str">
        <x:f>IF(ISNUMBER('Data'!E327),'Data'!E327*100,"")</x:f>
      </x:c>
      <x:c r="I327" s="35"/>
      <x:c r="J327" s="35" t="str">
        <x:v>PASS</x:v>
      </x:c>
      <x:c r="K327" s="35" t="str">
        <x:v>FAIL</x:v>
      </x:c>
      <x:c r="L327" s="35" t="str">
        <x:v>NOT_RUN</x:v>
      </x:c>
      <x:c r="M327" s="35" t="str">
        <x:v>coverage unavailable or execution/compile failed</x:v>
      </x:c>
      <x:c r="N327" s="35" t="str">
        <x:v>Deepseek-flash-v4/Result/Compress_46/result.json</x:v>
      </x:c>
      <x:c r="O327" s="39" t="str">
        <x:f>IF(AND(G327="RECORDED",ISNUMBER(H327)),H327,"")</x:f>
      </x:c>
      <x:c r="P327" s="35" t="str">
        <x:v>NOT_AVAILABLE</x:v>
      </x:c>
      <x:c r="Q327" s="35" t="str">
        <x:v>Deepseek-flash-v4/Result/Compress_46/result.json</x:v>
      </x:c>
    </x:row>
    <x:row r="328">
      <x:c r="A328" s="35" t="str">
        <x:v>deepseek</x:v>
      </x:c>
      <x:c r="B328" s="35" t="str">
        <x:v>Compress</x:v>
      </x:c>
      <x:c r="C328" s="35" t="str">
        <x:v>Round1</x:v>
      </x:c>
      <x:c r="D328" s="35" t="str">
        <x:v>Compress_47</x:v>
      </x:c>
      <x:c r="E328" s="35" t="str">
        <x:v>Line</x:v>
      </x:c>
      <x:c r="F328" s="35" t="n">
        <x:v>430</x:v>
      </x:c>
      <x:c r="G328" s="35" t="str">
        <x:v>RECORDED</x:v>
      </x:c>
      <x:c r="H328" s="39" t="n">
        <x:f>IF(ISNUMBER('Data'!E328),'Data'!E328*100,"")</x:f>
        <x:v>65.58</x:v>
      </x:c>
      <x:c r="I328" s="35" t="str">
        <x:v>PASS</x:v>
      </x:c>
      <x:c r="J328" s="35" t="str">
        <x:v>PASS</x:v>
      </x:c>
      <x:c r="K328" s="35" t="str">
        <x:v>PASS</x:v>
      </x:c>
      <x:c r="L328" s="35" t="str">
        <x:v>FAIL</x:v>
      </x:c>
      <x:c r="M328" s="35" t="str">
        <x:v>numeric coverage for applicable metric</x:v>
      </x:c>
      <x:c r="N328" s="35" t="str">
        <x:v>Deepseek-flash-v4/Result/Compress_47/result.json</x:v>
      </x:c>
      <x:c r="O328" s="39" t="n">
        <x:f>IF(AND(G328="RECORDED",ISNUMBER(H328)),H328,"")</x:f>
        <x:v>65.58</x:v>
      </x:c>
      <x:c r="P328" s="35" t="str">
        <x:v>INCONCLUSIVE</x:v>
      </x:c>
      <x:c r="Q328" s="35" t="str">
        <x:v>Deepseek-flash-v4/Result/Compress_47/result.json</x:v>
      </x:c>
    </x:row>
    <x:row r="329">
      <x:c r="A329" s="35" t="str">
        <x:v>deepseek</x:v>
      </x:c>
      <x:c r="B329" s="35" t="str">
        <x:v>Compress</x:v>
      </x:c>
      <x:c r="C329" s="35" t="str">
        <x:v>Round1</x:v>
      </x:c>
      <x:c r="D329" s="35" t="str">
        <x:v>Compress_5</x:v>
      </x:c>
      <x:c r="E329" s="35" t="str">
        <x:v>Line</x:v>
      </x:c>
      <x:c r="F329" s="35"/>
      <x:c r="G329" s="35" t="str">
        <x:v>A</x:v>
      </x:c>
      <x:c r="H329" s="39" t="str">
        <x:f>IF(ISNUMBER('Data'!E329),'Data'!E329*100,"")</x:f>
      </x:c>
      <x:c r="I329" s="35"/>
      <x:c r="J329" s="35" t="str">
        <x:v>PASS</x:v>
      </x:c>
      <x:c r="K329" s="35" t="str">
        <x:v>FAIL</x:v>
      </x:c>
      <x:c r="L329" s="35" t="str">
        <x:v>NOT_RUN</x:v>
      </x:c>
      <x:c r="M329" s="35" t="str">
        <x:v>coverage unavailable or execution/compile failed</x:v>
      </x:c>
      <x:c r="N329" s="35" t="str">
        <x:v>Deepseek-flash-v4/Result/Compress_5/result.json</x:v>
      </x:c>
      <x:c r="O329" s="39" t="str">
        <x:f>IF(AND(G329="RECORDED",ISNUMBER(H329)),H329,"")</x:f>
      </x:c>
      <x:c r="P329" s="35" t="str">
        <x:v>NOT_AVAILABLE</x:v>
      </x:c>
      <x:c r="Q329" s="35" t="str">
        <x:v>Deepseek-flash-v4/Result/Compress_5/result.json</x:v>
      </x:c>
    </x:row>
    <x:row r="330">
      <x:c r="A330" s="35" t="str">
        <x:v>deepseek</x:v>
      </x:c>
      <x:c r="B330" s="35" t="str">
        <x:v>Compress</x:v>
      </x:c>
      <x:c r="C330" s="35" t="str">
        <x:v>Round1</x:v>
      </x:c>
      <x:c r="D330" s="35" t="str">
        <x:v>Compress_6</x:v>
      </x:c>
      <x:c r="E330" s="35" t="str">
        <x:v>Line</x:v>
      </x:c>
      <x:c r="F330" s="35"/>
      <x:c r="G330" s="35" t="str">
        <x:v>A</x:v>
      </x:c>
      <x:c r="H330" s="39" t="str">
        <x:f>IF(ISNUMBER('Data'!E330),'Data'!E330*100,"")</x:f>
      </x:c>
      <x:c r="I330" s="35"/>
      <x:c r="J330" s="35" t="str">
        <x:v>PASS</x:v>
      </x:c>
      <x:c r="K330" s="35" t="str">
        <x:v>FAIL</x:v>
      </x:c>
      <x:c r="L330" s="35" t="str">
        <x:v>NOT_RUN</x:v>
      </x:c>
      <x:c r="M330" s="35" t="str">
        <x:v>coverage unavailable or execution/compile failed</x:v>
      </x:c>
      <x:c r="N330" s="35" t="str">
        <x:v>Deepseek-flash-v4/Result/Compress_6/result.json</x:v>
      </x:c>
      <x:c r="O330" s="39" t="str">
        <x:f>IF(AND(G330="RECORDED",ISNUMBER(H330)),H330,"")</x:f>
      </x:c>
      <x:c r="P330" s="35" t="str">
        <x:v>NOT_AVAILABLE</x:v>
      </x:c>
      <x:c r="Q330" s="35" t="str">
        <x:v>Deepseek-flash-v4/Result/Compress_6/result.json</x:v>
      </x:c>
    </x:row>
    <x:row r="331">
      <x:c r="A331" s="35" t="str">
        <x:v>deepseek</x:v>
      </x:c>
      <x:c r="B331" s="35" t="str">
        <x:v>Compress</x:v>
      </x:c>
      <x:c r="C331" s="35" t="str">
        <x:v>Round1</x:v>
      </x:c>
      <x:c r="D331" s="35" t="str">
        <x:v>Compress_7</x:v>
      </x:c>
      <x:c r="E331" s="35" t="str">
        <x:v>Line</x:v>
      </x:c>
      <x:c r="F331" s="35"/>
      <x:c r="G331" s="35" t="str">
        <x:v>A</x:v>
      </x:c>
      <x:c r="H331" s="39" t="str">
        <x:f>IF(ISNUMBER('Data'!E331),'Data'!E331*100,"")</x:f>
      </x:c>
      <x:c r="I331" s="35"/>
      <x:c r="J331" s="35" t="str">
        <x:v>PASS</x:v>
      </x:c>
      <x:c r="K331" s="35" t="str">
        <x:v>FAIL</x:v>
      </x:c>
      <x:c r="L331" s="35" t="str">
        <x:v>NOT_RUN</x:v>
      </x:c>
      <x:c r="M331" s="35" t="str">
        <x:v>coverage unavailable or execution/compile failed</x:v>
      </x:c>
      <x:c r="N331" s="35" t="str">
        <x:v>Deepseek-flash-v4/Result/Compress_7/result.json</x:v>
      </x:c>
      <x:c r="O331" s="39" t="str">
        <x:f>IF(AND(G331="RECORDED",ISNUMBER(H331)),H331,"")</x:f>
      </x:c>
      <x:c r="P331" s="35" t="str">
        <x:v>NOT_AVAILABLE</x:v>
      </x:c>
      <x:c r="Q331" s="35" t="str">
        <x:v>Deepseek-flash-v4/Result/Compress_7/result.json</x:v>
      </x:c>
    </x:row>
    <x:row r="332">
      <x:c r="A332" s="35" t="str">
        <x:v>deepseek</x:v>
      </x:c>
      <x:c r="B332" s="35" t="str">
        <x:v>Compress</x:v>
      </x:c>
      <x:c r="C332" s="35" t="str">
        <x:v>Round1</x:v>
      </x:c>
      <x:c r="D332" s="35" t="str">
        <x:v>Compress_8</x:v>
      </x:c>
      <x:c r="E332" s="35" t="str">
        <x:v>Line</x:v>
      </x:c>
      <x:c r="F332" s="35" t="n">
        <x:v>70</x:v>
      </x:c>
      <x:c r="G332" s="35" t="str">
        <x:v>RECORDED</x:v>
      </x:c>
      <x:c r="H332" s="39" t="n">
        <x:f>IF(ISNUMBER('Data'!E332),'Data'!E332*100,"")</x:f>
        <x:v>97.14</x:v>
      </x:c>
      <x:c r="I332" s="35" t="str">
        <x:v>PASS</x:v>
      </x:c>
      <x:c r="J332" s="35" t="str">
        <x:v>PASS</x:v>
      </x:c>
      <x:c r="K332" s="35" t="str">
        <x:v>PASS</x:v>
      </x:c>
      <x:c r="L332" s="35" t="str">
        <x:v>FAIL</x:v>
      </x:c>
      <x:c r="M332" s="35" t="str">
        <x:v>numeric coverage for applicable metric</x:v>
      </x:c>
      <x:c r="N332" s="35" t="str">
        <x:v>Deepseek-flash-v4/Result/Compress_8/result.json</x:v>
      </x:c>
      <x:c r="O332" s="39" t="n">
        <x:f>IF(AND(G332="RECORDED",ISNUMBER(H332)),H332,"")</x:f>
        <x:v>97.14</x:v>
      </x:c>
      <x:c r="P332" s="35" t="str">
        <x:v>INCONCLUSIVE</x:v>
      </x:c>
      <x:c r="Q332" s="35" t="str">
        <x:v>Deepseek-flash-v4/Result/Compress_8/result.json</x:v>
      </x:c>
    </x:row>
    <x:row r="333">
      <x:c r="A333" s="35" t="str">
        <x:v>deepseek</x:v>
      </x:c>
      <x:c r="B333" s="35" t="str">
        <x:v>Compress</x:v>
      </x:c>
      <x:c r="C333" s="35" t="str">
        <x:v>Round1</x:v>
      </x:c>
      <x:c r="D333" s="35" t="str">
        <x:v>Compress_9</x:v>
      </x:c>
      <x:c r="E333" s="35" t="str">
        <x:v>Line</x:v>
      </x:c>
      <x:c r="F333" s="35" t="n">
        <x:v>110</x:v>
      </x:c>
      <x:c r="G333" s="35" t="str">
        <x:v>RECORDED</x:v>
      </x:c>
      <x:c r="H333" s="39" t="n">
        <x:f>IF(ISNUMBER('Data'!E333),'Data'!E333*100,"")</x:f>
        <x:v>77.27</x:v>
      </x:c>
      <x:c r="I333" s="35" t="str">
        <x:v>PASS</x:v>
      </x:c>
      <x:c r="J333" s="35" t="str">
        <x:v>PASS</x:v>
      </x:c>
      <x:c r="K333" s="35" t="str">
        <x:v>PASS</x:v>
      </x:c>
      <x:c r="L333" s="35" t="str">
        <x:v>FAIL</x:v>
      </x:c>
      <x:c r="M333" s="35" t="str">
        <x:v>numeric coverage for applicable metric</x:v>
      </x:c>
      <x:c r="N333" s="35" t="str">
        <x:v>Deepseek-flash-v4/Result/Compress_9/result.json</x:v>
      </x:c>
      <x:c r="O333" s="39" t="n">
        <x:f>IF(AND(G333="RECORDED",ISNUMBER(H333)),H333,"")</x:f>
        <x:v>77.27</x:v>
      </x:c>
      <x:c r="P333" s="35" t="str">
        <x:v>INCONCLUSIVE</x:v>
      </x:c>
      <x:c r="Q333" s="35" t="str">
        <x:v>Deepseek-flash-v4/Result/Compress_9/result.json</x:v>
      </x:c>
    </x:row>
    <x:row r="334">
      <x:c r="A334" s="35" t="str">
        <x:v>deepseek</x:v>
      </x:c>
      <x:c r="B334" s="35" t="str">
        <x:v>Csv</x:v>
      </x:c>
      <x:c r="C334" s="35" t="str">
        <x:v>Round1</x:v>
      </x:c>
      <x:c r="D334" s="35" t="str">
        <x:v>Csv_1</x:v>
      </x:c>
      <x:c r="E334" s="35" t="str">
        <x:v>Line</x:v>
      </x:c>
      <x:c r="F334" s="35" t="n">
        <x:v>37</x:v>
      </x:c>
      <x:c r="G334" s="35" t="str">
        <x:v>RECORDED</x:v>
      </x:c>
      <x:c r="H334" s="39" t="n">
        <x:f>IF(ISNUMBER('Data'!E334),'Data'!E334*100,"")</x:f>
        <x:v>100</x:v>
      </x:c>
      <x:c r="I334" s="35" t="str">
        <x:v>PASS</x:v>
      </x:c>
      <x:c r="J334" s="35" t="str">
        <x:v>PASS</x:v>
      </x:c>
      <x:c r="K334" s="35" t="str">
        <x:v>PASS</x:v>
      </x:c>
      <x:c r="L334" s="35" t="str">
        <x:v>FAIL</x:v>
      </x:c>
      <x:c r="M334" s="35" t="str">
        <x:v>numeric coverage for applicable metric</x:v>
      </x:c>
      <x:c r="N334" s="35" t="str">
        <x:v>Deepseek-flash-v4/Result/Csv_1/result.json</x:v>
      </x:c>
      <x:c r="O334" s="39" t="n">
        <x:f>IF(AND(G334="RECORDED",ISNUMBER(H334)),H334,"")</x:f>
        <x:v>100</x:v>
      </x:c>
      <x:c r="P334" s="35" t="str">
        <x:v>INCONCLUSIVE</x:v>
      </x:c>
      <x:c r="Q334" s="35" t="str">
        <x:v>Deepseek-flash-v4/Result/Csv_1/result.json</x:v>
      </x:c>
    </x:row>
    <x:row r="335">
      <x:c r="A335" s="35" t="str">
        <x:v>deepseek</x:v>
      </x:c>
      <x:c r="B335" s="35" t="str">
        <x:v>Csv</x:v>
      </x:c>
      <x:c r="C335" s="35" t="str">
        <x:v>Round1</x:v>
      </x:c>
      <x:c r="D335" s="35" t="str">
        <x:v>Csv_10</x:v>
      </x:c>
      <x:c r="E335" s="35" t="str">
        <x:v>Line</x:v>
      </x:c>
      <x:c r="F335" s="35"/>
      <x:c r="G335" s="35" t="str">
        <x:v>A</x:v>
      </x:c>
      <x:c r="H335" s="39" t="str">
        <x:f>IF(ISNUMBER('Data'!E335),'Data'!E335*100,"")</x:f>
      </x:c>
      <x:c r="I335" s="35"/>
      <x:c r="J335" s="35" t="str">
        <x:v>PASS</x:v>
      </x:c>
      <x:c r="K335" s="35" t="str">
        <x:v>FAIL</x:v>
      </x:c>
      <x:c r="L335" s="35" t="str">
        <x:v>NOT_RUN</x:v>
      </x:c>
      <x:c r="M335" s="35" t="str">
        <x:v>coverage unavailable or execution/compile failed</x:v>
      </x:c>
      <x:c r="N335" s="35" t="str">
        <x:v>Deepseek-flash-v4/Result/Csv_10/result.json</x:v>
      </x:c>
      <x:c r="O335" s="39" t="str">
        <x:f>IF(AND(G335="RECORDED",ISNUMBER(H335)),H335,"")</x:f>
      </x:c>
      <x:c r="P335" s="35" t="str">
        <x:v>NOT_AVAILABLE</x:v>
      </x:c>
      <x:c r="Q335" s="35" t="str">
        <x:v>Deepseek-flash-v4/Result/Csv_10/result.json</x:v>
      </x:c>
    </x:row>
    <x:row r="336">
      <x:c r="A336" s="35" t="str">
        <x:v>deepseek</x:v>
      </x:c>
      <x:c r="B336" s="35" t="str">
        <x:v>Csv</x:v>
      </x:c>
      <x:c r="C336" s="35" t="str">
        <x:v>Round1</x:v>
      </x:c>
      <x:c r="D336" s="35" t="str">
        <x:v>Csv_11</x:v>
      </x:c>
      <x:c r="E336" s="35" t="str">
        <x:v>Line</x:v>
      </x:c>
      <x:c r="F336" s="35"/>
      <x:c r="G336" s="35" t="str">
        <x:v>A</x:v>
      </x:c>
      <x:c r="H336" s="39" t="str">
        <x:f>IF(ISNUMBER('Data'!E336),'Data'!E336*100,"")</x:f>
      </x:c>
      <x:c r="I336" s="35"/>
      <x:c r="J336" s="35" t="str">
        <x:v>PASS</x:v>
      </x:c>
      <x:c r="K336" s="35" t="str">
        <x:v>FAIL</x:v>
      </x:c>
      <x:c r="L336" s="35" t="str">
        <x:v>NOT_RUN</x:v>
      </x:c>
      <x:c r="M336" s="35" t="str">
        <x:v>coverage unavailable or execution/compile failed</x:v>
      </x:c>
      <x:c r="N336" s="35" t="str">
        <x:v>Deepseek-flash-v4/Result/Csv_11/result.json</x:v>
      </x:c>
      <x:c r="O336" s="39" t="str">
        <x:f>IF(AND(G336="RECORDED",ISNUMBER(H336)),H336,"")</x:f>
      </x:c>
      <x:c r="P336" s="35" t="str">
        <x:v>NOT_AVAILABLE</x:v>
      </x:c>
      <x:c r="Q336" s="35" t="str">
        <x:v>Deepseek-flash-v4/Result/Csv_11/result.json</x:v>
      </x:c>
    </x:row>
    <x:row r="337">
      <x:c r="A337" s="35" t="str">
        <x:v>deepseek</x:v>
      </x:c>
      <x:c r="B337" s="35" t="str">
        <x:v>Csv</x:v>
      </x:c>
      <x:c r="C337" s="35" t="str">
        <x:v>Round1</x:v>
      </x:c>
      <x:c r="D337" s="35" t="str">
        <x:v>Csv_12</x:v>
      </x:c>
      <x:c r="E337" s="35" t="str">
        <x:v>Line</x:v>
      </x:c>
      <x:c r="F337" s="35" t="n">
        <x:v>184</x:v>
      </x:c>
      <x:c r="G337" s="35" t="str">
        <x:v>RECORDED</x:v>
      </x:c>
      <x:c r="H337" s="39" t="n">
        <x:f>IF(ISNUMBER('Data'!E337),'Data'!E337*100,"")</x:f>
        <x:v>74.46</x:v>
      </x:c>
      <x:c r="I337" s="35" t="str">
        <x:v>PASS</x:v>
      </x:c>
      <x:c r="J337" s="35" t="str">
        <x:v>PASS</x:v>
      </x:c>
      <x:c r="K337" s="35" t="str">
        <x:v>PASS</x:v>
      </x:c>
      <x:c r="L337" s="35" t="str">
        <x:v>FAIL</x:v>
      </x:c>
      <x:c r="M337" s="35" t="str">
        <x:v>numeric coverage for applicable metric</x:v>
      </x:c>
      <x:c r="N337" s="35" t="str">
        <x:v>Deepseek-flash-v4/Result/Csv_12/result.json</x:v>
      </x:c>
      <x:c r="O337" s="39" t="n">
        <x:f>IF(AND(G337="RECORDED",ISNUMBER(H337)),H337,"")</x:f>
        <x:v>74.46</x:v>
      </x:c>
      <x:c r="P337" s="35" t="str">
        <x:v>INCONCLUSIVE</x:v>
      </x:c>
      <x:c r="Q337" s="35" t="str">
        <x:v>Deepseek-flash-v4/Result/Csv_12/result.json</x:v>
      </x:c>
    </x:row>
    <x:row r="338">
      <x:c r="A338" s="35" t="str">
        <x:v>deepseek</x:v>
      </x:c>
      <x:c r="B338" s="35" t="str">
        <x:v>Csv</x:v>
      </x:c>
      <x:c r="C338" s="35" t="str">
        <x:v>Round1</x:v>
      </x:c>
      <x:c r="D338" s="35" t="str">
        <x:v>Csv_13</x:v>
      </x:c>
      <x:c r="E338" s="35" t="str">
        <x:v>Line</x:v>
      </x:c>
      <x:c r="F338" s="35"/>
      <x:c r="G338" s="35" t="str">
        <x:v>A</x:v>
      </x:c>
      <x:c r="H338" s="39" t="str">
        <x:f>IF(ISNUMBER('Data'!E338),'Data'!E338*100,"")</x:f>
      </x:c>
      <x:c r="I338" s="35"/>
      <x:c r="J338" s="35" t="str">
        <x:v>PASS</x:v>
      </x:c>
      <x:c r="K338" s="35" t="str">
        <x:v>FAIL</x:v>
      </x:c>
      <x:c r="L338" s="35" t="str">
        <x:v>NOT_RUN</x:v>
      </x:c>
      <x:c r="M338" s="35" t="str">
        <x:v>coverage unavailable or execution/compile failed</x:v>
      </x:c>
      <x:c r="N338" s="35" t="str">
        <x:v>Deepseek-flash-v4/Result/Csv_13/result.json</x:v>
      </x:c>
      <x:c r="O338" s="39" t="str">
        <x:f>IF(AND(G338="RECORDED",ISNUMBER(H338)),H338,"")</x:f>
      </x:c>
      <x:c r="P338" s="35" t="str">
        <x:v>NOT_AVAILABLE</x:v>
      </x:c>
      <x:c r="Q338" s="35" t="str">
        <x:v>Deepseek-flash-v4/Result/Csv_13/result.json</x:v>
      </x:c>
    </x:row>
    <x:row r="339">
      <x:c r="A339" s="35" t="str">
        <x:v>deepseek</x:v>
      </x:c>
      <x:c r="B339" s="35" t="str">
        <x:v>Csv</x:v>
      </x:c>
      <x:c r="C339" s="35" t="str">
        <x:v>Round1</x:v>
      </x:c>
      <x:c r="D339" s="35" t="str">
        <x:v>Csv_14</x:v>
      </x:c>
      <x:c r="E339" s="35" t="str">
        <x:v>Line</x:v>
      </x:c>
      <x:c r="F339" s="35"/>
      <x:c r="G339" s="35" t="str">
        <x:v>A</x:v>
      </x:c>
      <x:c r="H339" s="39" t="str">
        <x:f>IF(ISNUMBER('Data'!E339),'Data'!E339*100,"")</x:f>
      </x:c>
      <x:c r="I339" s="35"/>
      <x:c r="J339" s="35" t="str">
        <x:v>PASS</x:v>
      </x:c>
      <x:c r="K339" s="35" t="str">
        <x:v>FAIL</x:v>
      </x:c>
      <x:c r="L339" s="35" t="str">
        <x:v>NOT_RUN</x:v>
      </x:c>
      <x:c r="M339" s="35" t="str">
        <x:v>coverage unavailable or execution/compile failed</x:v>
      </x:c>
      <x:c r="N339" s="35" t="str">
        <x:v>Deepseek-flash-v4/Result/Csv_14/result.json</x:v>
      </x:c>
      <x:c r="O339" s="39" t="str">
        <x:f>IF(AND(G339="RECORDED",ISNUMBER(H339)),H339,"")</x:f>
      </x:c>
      <x:c r="P339" s="35" t="str">
        <x:v>NOT_AVAILABLE</x:v>
      </x:c>
      <x:c r="Q339" s="35" t="str">
        <x:v>Deepseek-flash-v4/Result/Csv_14/result.json</x:v>
      </x:c>
    </x:row>
    <x:row r="340">
      <x:c r="A340" s="35" t="str">
        <x:v>deepseek</x:v>
      </x:c>
      <x:c r="B340" s="35" t="str">
        <x:v>Csv</x:v>
      </x:c>
      <x:c r="C340" s="35" t="str">
        <x:v>Round1</x:v>
      </x:c>
      <x:c r="D340" s="35" t="str">
        <x:v>Csv_15</x:v>
      </x:c>
      <x:c r="E340" s="35" t="str">
        <x:v>Line</x:v>
      </x:c>
      <x:c r="F340" s="35"/>
      <x:c r="G340" s="35" t="str">
        <x:v>A</x:v>
      </x:c>
      <x:c r="H340" s="39" t="str">
        <x:f>IF(ISNUMBER('Data'!E340),'Data'!E340*100,"")</x:f>
      </x:c>
      <x:c r="I340" s="35"/>
      <x:c r="J340" s="35" t="str">
        <x:v>PASS</x:v>
      </x:c>
      <x:c r="K340" s="35" t="str">
        <x:v>FAIL</x:v>
      </x:c>
      <x:c r="L340" s="35" t="str">
        <x:v>NOT_RUN</x:v>
      </x:c>
      <x:c r="M340" s="35" t="str">
        <x:v>coverage unavailable or execution/compile failed</x:v>
      </x:c>
      <x:c r="N340" s="35" t="str">
        <x:v>Deepseek-flash-v4/Result/Csv_15/result.json</x:v>
      </x:c>
      <x:c r="O340" s="39" t="str">
        <x:f>IF(AND(G340="RECORDED",ISNUMBER(H340)),H340,"")</x:f>
      </x:c>
      <x:c r="P340" s="35" t="str">
        <x:v>NOT_AVAILABLE</x:v>
      </x:c>
      <x:c r="Q340" s="35" t="str">
        <x:v>Deepseek-flash-v4/Result/Csv_15/result.json</x:v>
      </x:c>
    </x:row>
    <x:row r="341">
      <x:c r="A341" s="35" t="str">
        <x:v>deepseek</x:v>
      </x:c>
      <x:c r="B341" s="35" t="str">
        <x:v>Csv</x:v>
      </x:c>
      <x:c r="C341" s="35" t="str">
        <x:v>Round1</x:v>
      </x:c>
      <x:c r="D341" s="35" t="str">
        <x:v>Csv_16</x:v>
      </x:c>
      <x:c r="E341" s="35" t="str">
        <x:v>Line</x:v>
      </x:c>
      <x:c r="F341" s="35"/>
      <x:c r="G341" s="35" t="str">
        <x:v>A</x:v>
      </x:c>
      <x:c r="H341" s="39" t="str">
        <x:f>IF(ISNUMBER('Data'!E341),'Data'!E341*100,"")</x:f>
      </x:c>
      <x:c r="I341" s="35"/>
      <x:c r="J341" s="35" t="str">
        <x:v>PASS</x:v>
      </x:c>
      <x:c r="K341" s="35" t="str">
        <x:v>FAIL</x:v>
      </x:c>
      <x:c r="L341" s="35" t="str">
        <x:v>NOT_RUN</x:v>
      </x:c>
      <x:c r="M341" s="35" t="str">
        <x:v>coverage unavailable or execution/compile failed</x:v>
      </x:c>
      <x:c r="N341" s="35" t="str">
        <x:v>Deepseek-flash-v4/Result/Csv_16/result.json</x:v>
      </x:c>
      <x:c r="O341" s="39" t="str">
        <x:f>IF(AND(G341="RECORDED",ISNUMBER(H341)),H341,"")</x:f>
      </x:c>
      <x:c r="P341" s="35" t="str">
        <x:v>NOT_AVAILABLE</x:v>
      </x:c>
      <x:c r="Q341" s="35" t="str">
        <x:v>Deepseek-flash-v4/Result/Csv_16/result.json</x:v>
      </x:c>
    </x:row>
    <x:row r="342">
      <x:c r="A342" s="35" t="str">
        <x:v>deepseek</x:v>
      </x:c>
      <x:c r="B342" s="35" t="str">
        <x:v>Csv</x:v>
      </x:c>
      <x:c r="C342" s="35" t="str">
        <x:v>Round1</x:v>
      </x:c>
      <x:c r="D342" s="35" t="str">
        <x:v>Csv_2</x:v>
      </x:c>
      <x:c r="E342" s="35" t="str">
        <x:v>Line</x:v>
      </x:c>
      <x:c r="F342" s="35" t="n">
        <x:v>21</x:v>
      </x:c>
      <x:c r="G342" s="35" t="str">
        <x:v>RECORDED</x:v>
      </x:c>
      <x:c r="H342" s="39" t="n">
        <x:f>IF(ISNUMBER('Data'!E342),'Data'!E342*100,"")</x:f>
        <x:v>100</x:v>
      </x:c>
      <x:c r="I342" s="35" t="str">
        <x:v>PASS</x:v>
      </x:c>
      <x:c r="J342" s="35" t="str">
        <x:v>PASS</x:v>
      </x:c>
      <x:c r="K342" s="35" t="str">
        <x:v>PASS</x:v>
      </x:c>
      <x:c r="L342" s="35" t="str">
        <x:v>PASS</x:v>
      </x:c>
      <x:c r="M342" s="35" t="str">
        <x:v>numeric coverage for applicable metric</x:v>
      </x:c>
      <x:c r="N342" s="35" t="str">
        <x:v>Deepseek-flash-v4/Result/Csv_2/result.json</x:v>
      </x:c>
      <x:c r="O342" s="39" t="n">
        <x:f>IF(AND(G342="RECORDED",ISNUMBER(H342)),H342,"")</x:f>
        <x:v>100</x:v>
      </x:c>
      <x:c r="P342" s="35" t="str">
        <x:v>NOT_REVEALING</x:v>
      </x:c>
      <x:c r="Q342" s="35" t="str">
        <x:v>Deepseek-flash-v4/Result/Csv_2/result.json</x:v>
      </x:c>
    </x:row>
    <x:row r="343">
      <x:c r="A343" s="35" t="str">
        <x:v>deepseek</x:v>
      </x:c>
      <x:c r="B343" s="35" t="str">
        <x:v>Csv</x:v>
      </x:c>
      <x:c r="C343" s="35" t="str">
        <x:v>Round1</x:v>
      </x:c>
      <x:c r="D343" s="35" t="str">
        <x:v>Csv_3</x:v>
      </x:c>
      <x:c r="E343" s="35" t="str">
        <x:v>Line</x:v>
      </x:c>
      <x:c r="F343" s="35"/>
      <x:c r="G343" s="35" t="str">
        <x:v>A</x:v>
      </x:c>
      <x:c r="H343" s="39" t="str">
        <x:f>IF(ISNUMBER('Data'!E343),'Data'!E343*100,"")</x:f>
      </x:c>
      <x:c r="I343" s="35"/>
      <x:c r="J343" s="35" t="str">
        <x:v>PASS</x:v>
      </x:c>
      <x:c r="K343" s="35" t="str">
        <x:v>FAIL</x:v>
      </x:c>
      <x:c r="L343" s="35" t="str">
        <x:v>NOT_RUN</x:v>
      </x:c>
      <x:c r="M343" s="35" t="str">
        <x:v>coverage unavailable or execution/compile failed</x:v>
      </x:c>
      <x:c r="N343" s="35" t="str">
        <x:v>Deepseek-flash-v4/Result/Csv_3/result.json</x:v>
      </x:c>
      <x:c r="O343" s="39" t="str">
        <x:f>IF(AND(G343="RECORDED",ISNUMBER(H343)),H343,"")</x:f>
      </x:c>
      <x:c r="P343" s="35" t="str">
        <x:v>NOT_AVAILABLE</x:v>
      </x:c>
      <x:c r="Q343" s="35" t="str">
        <x:v>Deepseek-flash-v4/Result/Csv_3/result.json</x:v>
      </x:c>
    </x:row>
    <x:row r="344">
      <x:c r="A344" s="35" t="str">
        <x:v>deepseek</x:v>
      </x:c>
      <x:c r="B344" s="35" t="str">
        <x:v>Csv</x:v>
      </x:c>
      <x:c r="C344" s="35" t="str">
        <x:v>Round1</x:v>
      </x:c>
      <x:c r="D344" s="35" t="str">
        <x:v>Csv_4</x:v>
      </x:c>
      <x:c r="E344" s="35" t="str">
        <x:v>Line</x:v>
      </x:c>
      <x:c r="F344" s="35"/>
      <x:c r="G344" s="35" t="str">
        <x:v>A</x:v>
      </x:c>
      <x:c r="H344" s="39" t="str">
        <x:f>IF(ISNUMBER('Data'!E344),'Data'!E344*100,"")</x:f>
      </x:c>
      <x:c r="I344" s="35"/>
      <x:c r="J344" s="35" t="str">
        <x:v>PASS</x:v>
      </x:c>
      <x:c r="K344" s="35" t="str">
        <x:v>FAIL</x:v>
      </x:c>
      <x:c r="L344" s="35" t="str">
        <x:v>NOT_RUN</x:v>
      </x:c>
      <x:c r="M344" s="35" t="str">
        <x:v>coverage unavailable or execution/compile failed</x:v>
      </x:c>
      <x:c r="N344" s="35" t="str">
        <x:v>Deepseek-flash-v4/Result/Csv_4/result.json</x:v>
      </x:c>
      <x:c r="O344" s="39" t="str">
        <x:f>IF(AND(G344="RECORDED",ISNUMBER(H344)),H344,"")</x:f>
      </x:c>
      <x:c r="P344" s="35" t="str">
        <x:v>NOT_AVAILABLE</x:v>
      </x:c>
      <x:c r="Q344" s="35" t="str">
        <x:v>Deepseek-flash-v4/Result/Csv_4/result.json</x:v>
      </x:c>
    </x:row>
    <x:row r="345">
      <x:c r="A345" s="35" t="str">
        <x:v>deepseek</x:v>
      </x:c>
      <x:c r="B345" s="35" t="str">
        <x:v>Csv</x:v>
      </x:c>
      <x:c r="C345" s="35" t="str">
        <x:v>Round1</x:v>
      </x:c>
      <x:c r="D345" s="35" t="str">
        <x:v>Csv_5</x:v>
      </x:c>
      <x:c r="E345" s="35" t="str">
        <x:v>Line</x:v>
      </x:c>
      <x:c r="F345" s="35"/>
      <x:c r="G345" s="35" t="str">
        <x:v>A</x:v>
      </x:c>
      <x:c r="H345" s="39" t="str">
        <x:f>IF(ISNUMBER('Data'!E345),'Data'!E345*100,"")</x:f>
      </x:c>
      <x:c r="I345" s="35"/>
      <x:c r="J345" s="35" t="str">
        <x:v>PASS</x:v>
      </x:c>
      <x:c r="K345" s="35" t="str">
        <x:v>FAIL</x:v>
      </x:c>
      <x:c r="L345" s="35" t="str">
        <x:v>NOT_RUN</x:v>
      </x:c>
      <x:c r="M345" s="35" t="str">
        <x:v>coverage unavailable or execution/compile failed</x:v>
      </x:c>
      <x:c r="N345" s="35" t="str">
        <x:v>Deepseek-flash-v4/Result/Csv_5/result.json</x:v>
      </x:c>
      <x:c r="O345" s="39" t="str">
        <x:f>IF(AND(G345="RECORDED",ISNUMBER(H345)),H345,"")</x:f>
      </x:c>
      <x:c r="P345" s="35" t="str">
        <x:v>NOT_AVAILABLE</x:v>
      </x:c>
      <x:c r="Q345" s="35" t="str">
        <x:v>Deepseek-flash-v4/Result/Csv_5/result.json</x:v>
      </x:c>
    </x:row>
    <x:row r="346">
      <x:c r="A346" s="35" t="str">
        <x:v>deepseek</x:v>
      </x:c>
      <x:c r="B346" s="35" t="str">
        <x:v>Csv</x:v>
      </x:c>
      <x:c r="C346" s="35" t="str">
        <x:v>Round1</x:v>
      </x:c>
      <x:c r="D346" s="35" t="str">
        <x:v>Csv_6</x:v>
      </x:c>
      <x:c r="E346" s="35" t="str">
        <x:v>Line</x:v>
      </x:c>
      <x:c r="F346" s="35" t="n">
        <x:v>35</x:v>
      </x:c>
      <x:c r="G346" s="35" t="str">
        <x:v>RECORDED</x:v>
      </x:c>
      <x:c r="H346" s="39" t="n">
        <x:f>IF(ISNUMBER('Data'!E346),'Data'!E346*100,"")</x:f>
        <x:v>88.57</x:v>
      </x:c>
      <x:c r="I346" s="35" t="str">
        <x:v>PASS</x:v>
      </x:c>
      <x:c r="J346" s="35" t="str">
        <x:v>PASS</x:v>
      </x:c>
      <x:c r="K346" s="35" t="str">
        <x:v>PASS</x:v>
      </x:c>
      <x:c r="L346" s="35" t="str">
        <x:v>FAIL</x:v>
      </x:c>
      <x:c r="M346" s="35" t="str">
        <x:v>numeric coverage for applicable metric</x:v>
      </x:c>
      <x:c r="N346" s="35" t="str">
        <x:v>Deepseek-flash-v4/Result/Csv_6/result.json</x:v>
      </x:c>
      <x:c r="O346" s="39" t="n">
        <x:f>IF(AND(G346="RECORDED",ISNUMBER(H346)),H346,"")</x:f>
        <x:v>88.57</x:v>
      </x:c>
      <x:c r="P346" s="35" t="str">
        <x:v>INCONCLUSIVE</x:v>
      </x:c>
      <x:c r="Q346" s="35" t="str">
        <x:v>Deepseek-flash-v4/Result/Csv_6/result.json</x:v>
      </x:c>
    </x:row>
    <x:row r="347">
      <x:c r="A347" s="35" t="str">
        <x:v>deepseek</x:v>
      </x:c>
      <x:c r="B347" s="35" t="str">
        <x:v>Csv</x:v>
      </x:c>
      <x:c r="C347" s="35" t="str">
        <x:v>Round1</x:v>
      </x:c>
      <x:c r="D347" s="35" t="str">
        <x:v>Csv_7</x:v>
      </x:c>
      <x:c r="E347" s="35" t="str">
        <x:v>Line</x:v>
      </x:c>
      <x:c r="F347" s="35" t="n">
        <x:v>101</x:v>
      </x:c>
      <x:c r="G347" s="35" t="str">
        <x:v>RECORDED</x:v>
      </x:c>
      <x:c r="H347" s="39" t="n">
        <x:f>IF(ISNUMBER('Data'!E347),'Data'!E347*100,"")</x:f>
        <x:v>77.23</x:v>
      </x:c>
      <x:c r="I347" s="35" t="str">
        <x:v>PASS</x:v>
      </x:c>
      <x:c r="J347" s="35" t="str">
        <x:v>PASS</x:v>
      </x:c>
      <x:c r="K347" s="35" t="str">
        <x:v>PASS</x:v>
      </x:c>
      <x:c r="L347" s="35" t="str">
        <x:v>FAIL</x:v>
      </x:c>
      <x:c r="M347" s="35" t="str">
        <x:v>numeric coverage for applicable metric</x:v>
      </x:c>
      <x:c r="N347" s="35" t="str">
        <x:v>Deepseek-flash-v4/Result/Csv_7/result.json</x:v>
      </x:c>
      <x:c r="O347" s="39" t="n">
        <x:f>IF(AND(G347="RECORDED",ISNUMBER(H347)),H347,"")</x:f>
        <x:v>77.23</x:v>
      </x:c>
      <x:c r="P347" s="35" t="str">
        <x:v>INCONCLUSIVE</x:v>
      </x:c>
      <x:c r="Q347" s="35" t="str">
        <x:v>Deepseek-flash-v4/Result/Csv_7/result.json</x:v>
      </x:c>
    </x:row>
    <x:row r="348">
      <x:c r="A348" s="35" t="str">
        <x:v>deepseek</x:v>
      </x:c>
      <x:c r="B348" s="35" t="str">
        <x:v>Csv</x:v>
      </x:c>
      <x:c r="C348" s="35" t="str">
        <x:v>Round1</x:v>
      </x:c>
      <x:c r="D348" s="35" t="str">
        <x:v>Csv_8</x:v>
      </x:c>
      <x:c r="E348" s="35" t="str">
        <x:v>Line</x:v>
      </x:c>
      <x:c r="F348" s="35"/>
      <x:c r="G348" s="35" t="str">
        <x:v>A</x:v>
      </x:c>
      <x:c r="H348" s="39" t="str">
        <x:f>IF(ISNUMBER('Data'!E348),'Data'!E348*100,"")</x:f>
      </x:c>
      <x:c r="I348" s="35"/>
      <x:c r="J348" s="35" t="str">
        <x:v>PASS</x:v>
      </x:c>
      <x:c r="K348" s="35" t="str">
        <x:v>FAIL</x:v>
      </x:c>
      <x:c r="L348" s="35" t="str">
        <x:v>NOT_RUN</x:v>
      </x:c>
      <x:c r="M348" s="35" t="str">
        <x:v>coverage unavailable or execution/compile failed</x:v>
      </x:c>
      <x:c r="N348" s="35" t="str">
        <x:v>Deepseek-flash-v4/Result/Csv_8/result.json</x:v>
      </x:c>
      <x:c r="O348" s="39" t="str">
        <x:f>IF(AND(G348="RECORDED",ISNUMBER(H348)),H348,"")</x:f>
      </x:c>
      <x:c r="P348" s="35" t="str">
        <x:v>NOT_AVAILABLE</x:v>
      </x:c>
      <x:c r="Q348" s="35" t="str">
        <x:v>Deepseek-flash-v4/Result/Csv_8/result.json</x:v>
      </x:c>
    </x:row>
    <x:row r="349">
      <x:c r="A349" s="35" t="str">
        <x:v>deepseek</x:v>
      </x:c>
      <x:c r="B349" s="35" t="str">
        <x:v>Csv</x:v>
      </x:c>
      <x:c r="C349" s="35" t="str">
        <x:v>Round1</x:v>
      </x:c>
      <x:c r="D349" s="35" t="str">
        <x:v>Csv_9</x:v>
      </x:c>
      <x:c r="E349" s="35" t="str">
        <x:v>Line</x:v>
      </x:c>
      <x:c r="F349" s="35" t="n">
        <x:v>36</x:v>
      </x:c>
      <x:c r="G349" s="35" t="str">
        <x:v>RECORDED</x:v>
      </x:c>
      <x:c r="H349" s="39" t="n">
        <x:f>IF(ISNUMBER('Data'!E349),'Data'!E349*100,"")</x:f>
        <x:v>100</x:v>
      </x:c>
      <x:c r="I349" s="35" t="str">
        <x:v>PASS</x:v>
      </x:c>
      <x:c r="J349" s="35" t="str">
        <x:v>PASS</x:v>
      </x:c>
      <x:c r="K349" s="35" t="str">
        <x:v>PASS</x:v>
      </x:c>
      <x:c r="L349" s="35" t="str">
        <x:v>FAIL</x:v>
      </x:c>
      <x:c r="M349" s="35" t="str">
        <x:v>numeric coverage for applicable metric</x:v>
      </x:c>
      <x:c r="N349" s="35" t="str">
        <x:v>Deepseek-flash-v4/Result/Csv_9/result.json</x:v>
      </x:c>
      <x:c r="O349" s="39" t="n">
        <x:f>IF(AND(G349="RECORDED",ISNUMBER(H349)),H349,"")</x:f>
        <x:v>100</x:v>
      </x:c>
      <x:c r="P349" s="35" t="str">
        <x:v>INCONCLUSIVE</x:v>
      </x:c>
      <x:c r="Q349" s="35" t="str">
        <x:v>Deepseek-flash-v4/Result/Csv_9/result.json</x:v>
      </x:c>
    </x:row>
    <x:row r="350">
      <x:c r="A350" s="35" t="str">
        <x:v>deepseek</x:v>
      </x:c>
      <x:c r="B350" s="35" t="str">
        <x:v>Gson</x:v>
      </x:c>
      <x:c r="C350" s="35" t="str">
        <x:v>Round1</x:v>
      </x:c>
      <x:c r="D350" s="35" t="str">
        <x:v>Gson_1</x:v>
      </x:c>
      <x:c r="E350" s="35" t="str">
        <x:v>Line</x:v>
      </x:c>
      <x:c r="F350" s="35" t="n">
        <x:v>47</x:v>
      </x:c>
      <x:c r="G350" s="35" t="str">
        <x:v>RECORDED</x:v>
      </x:c>
      <x:c r="H350" s="39" t="n">
        <x:f>IF(ISNUMBER('Data'!E350),'Data'!E350*100,"")</x:f>
        <x:v>63.83</x:v>
      </x:c>
      <x:c r="I350" s="35" t="str">
        <x:v>PASS</x:v>
      </x:c>
      <x:c r="J350" s="35" t="str">
        <x:v>PASS</x:v>
      </x:c>
      <x:c r="K350" s="35" t="str">
        <x:v>PASS</x:v>
      </x:c>
      <x:c r="L350" s="35" t="str">
        <x:v>FAIL</x:v>
      </x:c>
      <x:c r="M350" s="35" t="str">
        <x:v>numeric coverage for applicable metric</x:v>
      </x:c>
      <x:c r="N350" s="35" t="str">
        <x:v>Deepseek-flash-v4/Result/Gson_1/result.json</x:v>
      </x:c>
      <x:c r="O350" s="39" t="n">
        <x:f>IF(AND(G350="RECORDED",ISNUMBER(H350)),H350,"")</x:f>
        <x:v>63.83</x:v>
      </x:c>
      <x:c r="P350" s="35" t="str">
        <x:v>INCONCLUSIVE</x:v>
      </x:c>
      <x:c r="Q350" s="35" t="str">
        <x:v>Deepseek-flash-v4/Result/Gson_1/result.json</x:v>
      </x:c>
    </x:row>
    <x:row r="351">
      <x:c r="A351" s="35" t="str">
        <x:v>deepseek</x:v>
      </x:c>
      <x:c r="B351" s="35" t="str">
        <x:v>Gson</x:v>
      </x:c>
      <x:c r="C351" s="35" t="str">
        <x:v>Round1</x:v>
      </x:c>
      <x:c r="D351" s="35" t="str">
        <x:v>Gson_10</x:v>
      </x:c>
      <x:c r="E351" s="35" t="str">
        <x:v>Line</x:v>
      </x:c>
      <x:c r="F351" s="35"/>
      <x:c r="G351" s="35" t="str">
        <x:v>A</x:v>
      </x:c>
      <x:c r="H351" s="39" t="str">
        <x:f>IF(ISNUMBER('Data'!E351),'Data'!E351*100,"")</x:f>
      </x:c>
      <x:c r="I351" s="35"/>
      <x:c r="J351" s="35" t="str">
        <x:v>PASS</x:v>
      </x:c>
      <x:c r="K351" s="35" t="str">
        <x:v>FAIL</x:v>
      </x:c>
      <x:c r="L351" s="35" t="str">
        <x:v>NOT_RUN</x:v>
      </x:c>
      <x:c r="M351" s="35" t="str">
        <x:v>coverage unavailable or execution/compile failed</x:v>
      </x:c>
      <x:c r="N351" s="35" t="str">
        <x:v>Deepseek-flash-v4/Result/Gson_10/result.json</x:v>
      </x:c>
      <x:c r="O351" s="39" t="str">
        <x:f>IF(AND(G351="RECORDED",ISNUMBER(H351)),H351,"")</x:f>
      </x:c>
      <x:c r="P351" s="35" t="str">
        <x:v>NOT_AVAILABLE</x:v>
      </x:c>
      <x:c r="Q351" s="35" t="str">
        <x:v>Deepseek-flash-v4/Result/Gson_10/result.json</x:v>
      </x:c>
    </x:row>
    <x:row r="352">
      <x:c r="A352" s="35" t="str">
        <x:v>deepseek</x:v>
      </x:c>
      <x:c r="B352" s="35" t="str">
        <x:v>Gson</x:v>
      </x:c>
      <x:c r="C352" s="35" t="str">
        <x:v>Round1</x:v>
      </x:c>
      <x:c r="D352" s="35" t="str">
        <x:v>Gson_11</x:v>
      </x:c>
      <x:c r="E352" s="35" t="str">
        <x:v>Line</x:v>
      </x:c>
      <x:c r="F352" s="35"/>
      <x:c r="G352" s="35" t="str">
        <x:v>A</x:v>
      </x:c>
      <x:c r="H352" s="39" t="str">
        <x:f>IF(ISNUMBER('Data'!E352),'Data'!E352*100,"")</x:f>
      </x:c>
      <x:c r="I352" s="35"/>
      <x:c r="J352" s="35" t="str">
        <x:v>PASS</x:v>
      </x:c>
      <x:c r="K352" s="35" t="str">
        <x:v>FAIL</x:v>
      </x:c>
      <x:c r="L352" s="35" t="str">
        <x:v>NOT_RUN</x:v>
      </x:c>
      <x:c r="M352" s="35" t="str">
        <x:v>coverage unavailable or execution/compile failed</x:v>
      </x:c>
      <x:c r="N352" s="35" t="str">
        <x:v>Deepseek-flash-v4/Result/Gson_11/result.json</x:v>
      </x:c>
      <x:c r="O352" s="39" t="str">
        <x:f>IF(AND(G352="RECORDED",ISNUMBER(H352)),H352,"")</x:f>
      </x:c>
      <x:c r="P352" s="35" t="str">
        <x:v>NOT_AVAILABLE</x:v>
      </x:c>
      <x:c r="Q352" s="35" t="str">
        <x:v>Deepseek-flash-v4/Result/Gson_11/result.json</x:v>
      </x:c>
    </x:row>
    <x:row r="353">
      <x:c r="A353" s="35" t="str">
        <x:v>deepseek</x:v>
      </x:c>
      <x:c r="B353" s="35" t="str">
        <x:v>Gson</x:v>
      </x:c>
      <x:c r="C353" s="35" t="str">
        <x:v>Round1</x:v>
      </x:c>
      <x:c r="D353" s="35" t="str">
        <x:v>Gson_12</x:v>
      </x:c>
      <x:c r="E353" s="35" t="str">
        <x:v>Line</x:v>
      </x:c>
      <x:c r="F353" s="35"/>
      <x:c r="G353" s="35" t="str">
        <x:v>A</x:v>
      </x:c>
      <x:c r="H353" s="39" t="str">
        <x:f>IF(ISNUMBER('Data'!E353),'Data'!E353*100,"")</x:f>
      </x:c>
      <x:c r="I353" s="35"/>
      <x:c r="J353" s="35" t="str">
        <x:v>PASS</x:v>
      </x:c>
      <x:c r="K353" s="35" t="str">
        <x:v>FAIL</x:v>
      </x:c>
      <x:c r="L353" s="35" t="str">
        <x:v>NOT_RUN</x:v>
      </x:c>
      <x:c r="M353" s="35" t="str">
        <x:v>coverage unavailable or execution/compile failed</x:v>
      </x:c>
      <x:c r="N353" s="35" t="str">
        <x:v>Deepseek-flash-v4/Result/Gson_12/result.json</x:v>
      </x:c>
      <x:c r="O353" s="39" t="str">
        <x:f>IF(AND(G353="RECORDED",ISNUMBER(H353)),H353,"")</x:f>
      </x:c>
      <x:c r="P353" s="35" t="str">
        <x:v>NOT_AVAILABLE</x:v>
      </x:c>
      <x:c r="Q353" s="35" t="str">
        <x:v>Deepseek-flash-v4/Result/Gson_12/result.json</x:v>
      </x:c>
    </x:row>
    <x:row r="354">
      <x:c r="A354" s="35" t="str">
        <x:v>deepseek</x:v>
      </x:c>
      <x:c r="B354" s="35" t="str">
        <x:v>Gson</x:v>
      </x:c>
      <x:c r="C354" s="35" t="str">
        <x:v>Round1</x:v>
      </x:c>
      <x:c r="D354" s="35" t="str">
        <x:v>Gson_13</x:v>
      </x:c>
      <x:c r="E354" s="35" t="str">
        <x:v>Line</x:v>
      </x:c>
      <x:c r="F354" s="35"/>
      <x:c r="G354" s="35" t="str">
        <x:v>A</x:v>
      </x:c>
      <x:c r="H354" s="39" t="str">
        <x:f>IF(ISNUMBER('Data'!E354),'Data'!E354*100,"")</x:f>
      </x:c>
      <x:c r="I354" s="35"/>
      <x:c r="J354" s="35" t="str">
        <x:v>PASS</x:v>
      </x:c>
      <x:c r="K354" s="35" t="str">
        <x:v>FAIL</x:v>
      </x:c>
      <x:c r="L354" s="35" t="str">
        <x:v>NOT_RUN</x:v>
      </x:c>
      <x:c r="M354" s="35" t="str">
        <x:v>coverage unavailable or execution/compile failed</x:v>
      </x:c>
      <x:c r="N354" s="35" t="str">
        <x:v>Deepseek-flash-v4/Result/Gson_13/result.json</x:v>
      </x:c>
      <x:c r="O354" s="39" t="str">
        <x:f>IF(AND(G354="RECORDED",ISNUMBER(H354)),H354,"")</x:f>
      </x:c>
      <x:c r="P354" s="35" t="str">
        <x:v>NOT_AVAILABLE</x:v>
      </x:c>
      <x:c r="Q354" s="35" t="str">
        <x:v>Deepseek-flash-v4/Result/Gson_13/result.json</x:v>
      </x:c>
    </x:row>
    <x:row r="355">
      <x:c r="A355" s="35" t="str">
        <x:v>deepseek</x:v>
      </x:c>
      <x:c r="B355" s="35" t="str">
        <x:v>Gson</x:v>
      </x:c>
      <x:c r="C355" s="35" t="str">
        <x:v>Round1</x:v>
      </x:c>
      <x:c r="D355" s="35" t="str">
        <x:v>Gson_14</x:v>
      </x:c>
      <x:c r="E355" s="35" t="str">
        <x:v>Line</x:v>
      </x:c>
      <x:c r="F355" s="35"/>
      <x:c r="G355" s="35" t="str">
        <x:v>A</x:v>
      </x:c>
      <x:c r="H355" s="39" t="str">
        <x:f>IF(ISNUMBER('Data'!E355),'Data'!E355*100,"")</x:f>
      </x:c>
      <x:c r="I355" s="35"/>
      <x:c r="J355" s="35" t="str">
        <x:v>PASS</x:v>
      </x:c>
      <x:c r="K355" s="35" t="str">
        <x:v>FAIL</x:v>
      </x:c>
      <x:c r="L355" s="35" t="str">
        <x:v>NOT_RUN</x:v>
      </x:c>
      <x:c r="M355" s="35" t="str">
        <x:v>coverage unavailable or execution/compile failed</x:v>
      </x:c>
      <x:c r="N355" s="35" t="str">
        <x:v>Deepseek-flash-v4/Result/Gson_14/result.json</x:v>
      </x:c>
      <x:c r="O355" s="39" t="str">
        <x:f>IF(AND(G355="RECORDED",ISNUMBER(H355)),H355,"")</x:f>
      </x:c>
      <x:c r="P355" s="35" t="str">
        <x:v>NOT_AVAILABLE</x:v>
      </x:c>
      <x:c r="Q355" s="35" t="str">
        <x:v>Deepseek-flash-v4/Result/Gson_14/result.json</x:v>
      </x:c>
    </x:row>
    <x:row r="356">
      <x:c r="A356" s="35" t="str">
        <x:v>deepseek</x:v>
      </x:c>
      <x:c r="B356" s="35" t="str">
        <x:v>Gson</x:v>
      </x:c>
      <x:c r="C356" s="35" t="str">
        <x:v>Round1</x:v>
      </x:c>
      <x:c r="D356" s="35" t="str">
        <x:v>Gson_15</x:v>
      </x:c>
      <x:c r="E356" s="35" t="str">
        <x:v>Line</x:v>
      </x:c>
      <x:c r="F356" s="35"/>
      <x:c r="G356" s="35" t="str">
        <x:v>A</x:v>
      </x:c>
      <x:c r="H356" s="39" t="str">
        <x:f>IF(ISNUMBER('Data'!E356),'Data'!E356*100,"")</x:f>
      </x:c>
      <x:c r="I356" s="35"/>
      <x:c r="J356" s="35" t="str">
        <x:v>PASS</x:v>
      </x:c>
      <x:c r="K356" s="35" t="str">
        <x:v>FAIL</x:v>
      </x:c>
      <x:c r="L356" s="35" t="str">
        <x:v>NOT_RUN</x:v>
      </x:c>
      <x:c r="M356" s="35" t="str">
        <x:v>coverage unavailable or execution/compile failed</x:v>
      </x:c>
      <x:c r="N356" s="35" t="str">
        <x:v>Deepseek-flash-v4/Result/Gson_15/result.json</x:v>
      </x:c>
      <x:c r="O356" s="39" t="str">
        <x:f>IF(AND(G356="RECORDED",ISNUMBER(H356)),H356,"")</x:f>
      </x:c>
      <x:c r="P356" s="35" t="str">
        <x:v>NOT_AVAILABLE</x:v>
      </x:c>
      <x:c r="Q356" s="35" t="str">
        <x:v>Deepseek-flash-v4/Result/Gson_15/result.json</x:v>
      </x:c>
    </x:row>
    <x:row r="357">
      <x:c r="A357" s="35" t="str">
        <x:v>deepseek</x:v>
      </x:c>
      <x:c r="B357" s="35" t="str">
        <x:v>Gson</x:v>
      </x:c>
      <x:c r="C357" s="35" t="str">
        <x:v>Round1</x:v>
      </x:c>
      <x:c r="D357" s="35" t="str">
        <x:v>Gson_16</x:v>
      </x:c>
      <x:c r="E357" s="35" t="str">
        <x:v>Line</x:v>
      </x:c>
      <x:c r="F357" s="35"/>
      <x:c r="G357" s="35" t="str">
        <x:v>A</x:v>
      </x:c>
      <x:c r="H357" s="39" t="str">
        <x:f>IF(ISNUMBER('Data'!E357),'Data'!E357*100,"")</x:f>
      </x:c>
      <x:c r="I357" s="35"/>
      <x:c r="J357" s="35" t="str">
        <x:v>PASS</x:v>
      </x:c>
      <x:c r="K357" s="35" t="str">
        <x:v>FAIL</x:v>
      </x:c>
      <x:c r="L357" s="35" t="str">
        <x:v>NOT_RUN</x:v>
      </x:c>
      <x:c r="M357" s="35" t="str">
        <x:v>coverage unavailable or execution/compile failed</x:v>
      </x:c>
      <x:c r="N357" s="35" t="str">
        <x:v>Deepseek-flash-v4/Result/Gson_16/result.json</x:v>
      </x:c>
      <x:c r="O357" s="39" t="str">
        <x:f>IF(AND(G357="RECORDED",ISNUMBER(H357)),H357,"")</x:f>
      </x:c>
      <x:c r="P357" s="35" t="str">
        <x:v>NOT_AVAILABLE</x:v>
      </x:c>
      <x:c r="Q357" s="35" t="str">
        <x:v>Deepseek-flash-v4/Result/Gson_16/result.json</x:v>
      </x:c>
    </x:row>
    <x:row r="358">
      <x:c r="A358" s="35" t="str">
        <x:v>deepseek</x:v>
      </x:c>
      <x:c r="B358" s="35" t="str">
        <x:v>Gson</x:v>
      </x:c>
      <x:c r="C358" s="35" t="str">
        <x:v>Round1</x:v>
      </x:c>
      <x:c r="D358" s="35" t="str">
        <x:v>Gson_17</x:v>
      </x:c>
      <x:c r="E358" s="35" t="str">
        <x:v>Line</x:v>
      </x:c>
      <x:c r="F358" s="35"/>
      <x:c r="G358" s="35" t="str">
        <x:v>A</x:v>
      </x:c>
      <x:c r="H358" s="39" t="str">
        <x:f>IF(ISNUMBER('Data'!E358),'Data'!E358*100,"")</x:f>
      </x:c>
      <x:c r="I358" s="35"/>
      <x:c r="J358" s="35" t="str">
        <x:v>PASS</x:v>
      </x:c>
      <x:c r="K358" s="35" t="str">
        <x:v>FAIL</x:v>
      </x:c>
      <x:c r="L358" s="35" t="str">
        <x:v>NOT_RUN</x:v>
      </x:c>
      <x:c r="M358" s="35" t="str">
        <x:v>coverage unavailable or execution/compile failed</x:v>
      </x:c>
      <x:c r="N358" s="35" t="str">
        <x:v>Deepseek-flash-v4/Result/Gson_17/result.json</x:v>
      </x:c>
      <x:c r="O358" s="39" t="str">
        <x:f>IF(AND(G358="RECORDED",ISNUMBER(H358)),H358,"")</x:f>
      </x:c>
      <x:c r="P358" s="35" t="str">
        <x:v>NOT_AVAILABLE</x:v>
      </x:c>
      <x:c r="Q358" s="35" t="str">
        <x:v>Deepseek-flash-v4/Result/Gson_17/result.json</x:v>
      </x:c>
    </x:row>
    <x:row r="359">
      <x:c r="A359" s="35" t="str">
        <x:v>deepseek</x:v>
      </x:c>
      <x:c r="B359" s="35" t="str">
        <x:v>Gson</x:v>
      </x:c>
      <x:c r="C359" s="35" t="str">
        <x:v>Round1</x:v>
      </x:c>
      <x:c r="D359" s="35" t="str">
        <x:v>Gson_18</x:v>
      </x:c>
      <x:c r="E359" s="35" t="str">
        <x:v>Line</x:v>
      </x:c>
      <x:c r="F359" s="35"/>
      <x:c r="G359" s="35" t="str">
        <x:v>A</x:v>
      </x:c>
      <x:c r="H359" s="39" t="str">
        <x:f>IF(ISNUMBER('Data'!E359),'Data'!E359*100,"")</x:f>
      </x:c>
      <x:c r="I359" s="35"/>
      <x:c r="J359" s="35" t="str">
        <x:v>PASS</x:v>
      </x:c>
      <x:c r="K359" s="35" t="str">
        <x:v>FAIL</x:v>
      </x:c>
      <x:c r="L359" s="35" t="str">
        <x:v>NOT_RUN</x:v>
      </x:c>
      <x:c r="M359" s="35" t="str">
        <x:v>coverage unavailable or execution/compile failed</x:v>
      </x:c>
      <x:c r="N359" s="35" t="str">
        <x:v>Deepseek-flash-v4/Result/Gson_18/result.json</x:v>
      </x:c>
      <x:c r="O359" s="39" t="str">
        <x:f>IF(AND(G359="RECORDED",ISNUMBER(H359)),H359,"")</x:f>
      </x:c>
      <x:c r="P359" s="35" t="str">
        <x:v>NOT_AVAILABLE</x:v>
      </x:c>
      <x:c r="Q359" s="35" t="str">
        <x:v>Deepseek-flash-v4/Result/Gson_18/result.json</x:v>
      </x:c>
    </x:row>
    <x:row r="360">
      <x:c r="A360" s="35" t="str">
        <x:v>deepseek</x:v>
      </x:c>
      <x:c r="B360" s="35" t="str">
        <x:v>Gson</x:v>
      </x:c>
      <x:c r="C360" s="35" t="str">
        <x:v>Round1</x:v>
      </x:c>
      <x:c r="D360" s="35" t="str">
        <x:v>Gson_2</x:v>
      </x:c>
      <x:c r="E360" s="35" t="str">
        <x:v>Line</x:v>
      </x:c>
      <x:c r="F360" s="35"/>
      <x:c r="G360" s="35" t="str">
        <x:v>A</x:v>
      </x:c>
      <x:c r="H360" s="39" t="str">
        <x:f>IF(ISNUMBER('Data'!E360),'Data'!E360*100,"")</x:f>
      </x:c>
      <x:c r="I360" s="35"/>
      <x:c r="J360" s="35" t="str">
        <x:v>PASS</x:v>
      </x:c>
      <x:c r="K360" s="35" t="str">
        <x:v>FAIL</x:v>
      </x:c>
      <x:c r="L360" s="35" t="str">
        <x:v>NOT_RUN</x:v>
      </x:c>
      <x:c r="M360" s="35" t="str">
        <x:v>coverage unavailable or execution/compile failed</x:v>
      </x:c>
      <x:c r="N360" s="35" t="str">
        <x:v>Deepseek-flash-v4/Result/Gson_2/result.json</x:v>
      </x:c>
      <x:c r="O360" s="39" t="str">
        <x:f>IF(AND(G360="RECORDED",ISNUMBER(H360)),H360,"")</x:f>
      </x:c>
      <x:c r="P360" s="35" t="str">
        <x:v>NOT_AVAILABLE</x:v>
      </x:c>
      <x:c r="Q360" s="35" t="str">
        <x:v>Deepseek-flash-v4/Result/Gson_2/result.json</x:v>
      </x:c>
    </x:row>
    <x:row r="361">
      <x:c r="A361" s="35" t="str">
        <x:v>deepseek</x:v>
      </x:c>
      <x:c r="B361" s="35" t="str">
        <x:v>Gson</x:v>
      </x:c>
      <x:c r="C361" s="35" t="str">
        <x:v>Round1</x:v>
      </x:c>
      <x:c r="D361" s="35" t="str">
        <x:v>Gson_3</x:v>
      </x:c>
      <x:c r="E361" s="35" t="str">
        <x:v>Line</x:v>
      </x:c>
      <x:c r="F361" s="35" t="n">
        <x:v>86</x:v>
      </x:c>
      <x:c r="G361" s="35" t="str">
        <x:v>RECORDED</x:v>
      </x:c>
      <x:c r="H361" s="39" t="n">
        <x:f>IF(ISNUMBER('Data'!E361),'Data'!E361*100,"")</x:f>
        <x:v>70.93</x:v>
      </x:c>
      <x:c r="I361" s="35" t="str">
        <x:v>PASS</x:v>
      </x:c>
      <x:c r="J361" s="35" t="str">
        <x:v>PASS</x:v>
      </x:c>
      <x:c r="K361" s="35" t="str">
        <x:v>PASS</x:v>
      </x:c>
      <x:c r="L361" s="35" t="str">
        <x:v>FAIL</x:v>
      </x:c>
      <x:c r="M361" s="35" t="str">
        <x:v>numeric coverage for applicable metric</x:v>
      </x:c>
      <x:c r="N361" s="35" t="str">
        <x:v>Deepseek-flash-v4/Result/Gson_3/result.json</x:v>
      </x:c>
      <x:c r="O361" s="39" t="n">
        <x:f>IF(AND(G361="RECORDED",ISNUMBER(H361)),H361,"")</x:f>
        <x:v>70.93</x:v>
      </x:c>
      <x:c r="P361" s="35" t="str">
        <x:v>INCONCLUSIVE</x:v>
      </x:c>
      <x:c r="Q361" s="35" t="str">
        <x:v>Deepseek-flash-v4/Result/Gson_3/result.json</x:v>
      </x:c>
    </x:row>
    <x:row r="362">
      <x:c r="A362" s="35" t="str">
        <x:v>deepseek</x:v>
      </x:c>
      <x:c r="B362" s="35" t="str">
        <x:v>Gson</x:v>
      </x:c>
      <x:c r="C362" s="35" t="str">
        <x:v>Round1</x:v>
      </x:c>
      <x:c r="D362" s="35" t="str">
        <x:v>Gson_4</x:v>
      </x:c>
      <x:c r="E362" s="35" t="str">
        <x:v>Line</x:v>
      </x:c>
      <x:c r="F362" s="35"/>
      <x:c r="G362" s="35" t="str">
        <x:v>A</x:v>
      </x:c>
      <x:c r="H362" s="39" t="str">
        <x:f>IF(ISNUMBER('Data'!E362),'Data'!E362*100,"")</x:f>
      </x:c>
      <x:c r="I362" s="35"/>
      <x:c r="J362" s="35" t="str">
        <x:v>PASS</x:v>
      </x:c>
      <x:c r="K362" s="35" t="str">
        <x:v>FAIL</x:v>
      </x:c>
      <x:c r="L362" s="35" t="str">
        <x:v>NOT_RUN</x:v>
      </x:c>
      <x:c r="M362" s="35" t="str">
        <x:v>coverage unavailable or execution/compile failed</x:v>
      </x:c>
      <x:c r="N362" s="35" t="str">
        <x:v>Deepseek-flash-v4/Result/Gson_4/result.json</x:v>
      </x:c>
      <x:c r="O362" s="39" t="str">
        <x:f>IF(AND(G362="RECORDED",ISNUMBER(H362)),H362,"")</x:f>
      </x:c>
      <x:c r="P362" s="35" t="str">
        <x:v>NOT_AVAILABLE</x:v>
      </x:c>
      <x:c r="Q362" s="35" t="str">
        <x:v>Deepseek-flash-v4/Result/Gson_4/result.json</x:v>
      </x:c>
    </x:row>
    <x:row r="363">
      <x:c r="A363" s="35" t="str">
        <x:v>deepseek</x:v>
      </x:c>
      <x:c r="B363" s="35" t="str">
        <x:v>Gson</x:v>
      </x:c>
      <x:c r="C363" s="35" t="str">
        <x:v>Round1</x:v>
      </x:c>
      <x:c r="D363" s="35" t="str">
        <x:v>Gson_5</x:v>
      </x:c>
      <x:c r="E363" s="35" t="str">
        <x:v>Line</x:v>
      </x:c>
      <x:c r="F363" s="35" t="n">
        <x:v>150</x:v>
      </x:c>
      <x:c r="G363" s="35" t="str">
        <x:v>RECORDED</x:v>
      </x:c>
      <x:c r="H363" s="39" t="n">
        <x:f>IF(ISNUMBER('Data'!E363),'Data'!E363*100,"")</x:f>
        <x:v>90</x:v>
      </x:c>
      <x:c r="I363" s="35" t="str">
        <x:v>PASS</x:v>
      </x:c>
      <x:c r="J363" s="35" t="str">
        <x:v>PASS</x:v>
      </x:c>
      <x:c r="K363" s="35" t="str">
        <x:v>PASS</x:v>
      </x:c>
      <x:c r="L363" s="35" t="str">
        <x:v>FAIL</x:v>
      </x:c>
      <x:c r="M363" s="35" t="str">
        <x:v>numeric coverage for applicable metric</x:v>
      </x:c>
      <x:c r="N363" s="35" t="str">
        <x:v>Deepseek-flash-v4/Result/Gson_5/result.json</x:v>
      </x:c>
      <x:c r="O363" s="39" t="n">
        <x:f>IF(AND(G363="RECORDED",ISNUMBER(H363)),H363,"")</x:f>
        <x:v>90</x:v>
      </x:c>
      <x:c r="P363" s="35" t="str">
        <x:v>INCONCLUSIVE</x:v>
      </x:c>
      <x:c r="Q363" s="35" t="str">
        <x:v>Deepseek-flash-v4/Result/Gson_5/result.json</x:v>
      </x:c>
    </x:row>
    <x:row r="364">
      <x:c r="A364" s="35" t="str">
        <x:v>deepseek</x:v>
      </x:c>
      <x:c r="B364" s="35" t="str">
        <x:v>Gson</x:v>
      </x:c>
      <x:c r="C364" s="35" t="str">
        <x:v>Round1</x:v>
      </x:c>
      <x:c r="D364" s="35" t="str">
        <x:v>Gson_6</x:v>
      </x:c>
      <x:c r="E364" s="35" t="str">
        <x:v>Line</x:v>
      </x:c>
      <x:c r="F364" s="35"/>
      <x:c r="G364" s="35" t="str">
        <x:v>A</x:v>
      </x:c>
      <x:c r="H364" s="39" t="str">
        <x:f>IF(ISNUMBER('Data'!E364),'Data'!E364*100,"")</x:f>
      </x:c>
      <x:c r="I364" s="35"/>
      <x:c r="J364" s="35" t="str">
        <x:v>PASS</x:v>
      </x:c>
      <x:c r="K364" s="35" t="str">
        <x:v>FAIL</x:v>
      </x:c>
      <x:c r="L364" s="35" t="str">
        <x:v>NOT_RUN</x:v>
      </x:c>
      <x:c r="M364" s="35" t="str">
        <x:v>coverage unavailable or execution/compile failed</x:v>
      </x:c>
      <x:c r="N364" s="35" t="str">
        <x:v>Deepseek-flash-v4/Result/Gson_6/result.json</x:v>
      </x:c>
      <x:c r="O364" s="39" t="str">
        <x:f>IF(AND(G364="RECORDED",ISNUMBER(H364)),H364,"")</x:f>
      </x:c>
      <x:c r="P364" s="35" t="str">
        <x:v>NOT_AVAILABLE</x:v>
      </x:c>
      <x:c r="Q364" s="35" t="str">
        <x:v>Deepseek-flash-v4/Result/Gson_6/result.json</x:v>
      </x:c>
    </x:row>
    <x:row r="365">
      <x:c r="A365" s="35" t="str">
        <x:v>deepseek</x:v>
      </x:c>
      <x:c r="B365" s="35" t="str">
        <x:v>Gson</x:v>
      </x:c>
      <x:c r="C365" s="35" t="str">
        <x:v>Round1</x:v>
      </x:c>
      <x:c r="D365" s="35" t="str">
        <x:v>Gson_7</x:v>
      </x:c>
      <x:c r="E365" s="35" t="str">
        <x:v>Line</x:v>
      </x:c>
      <x:c r="F365" s="35"/>
      <x:c r="G365" s="35" t="str">
        <x:v>A</x:v>
      </x:c>
      <x:c r="H365" s="39" t="str">
        <x:f>IF(ISNUMBER('Data'!E365),'Data'!E365*100,"")</x:f>
      </x:c>
      <x:c r="I365" s="35"/>
      <x:c r="J365" s="35" t="str">
        <x:v>PASS</x:v>
      </x:c>
      <x:c r="K365" s="35" t="str">
        <x:v>FAIL</x:v>
      </x:c>
      <x:c r="L365" s="35" t="str">
        <x:v>NOT_RUN</x:v>
      </x:c>
      <x:c r="M365" s="35" t="str">
        <x:v>coverage unavailable or execution/compile failed</x:v>
      </x:c>
      <x:c r="N365" s="35" t="str">
        <x:v>Deepseek-flash-v4/Result/Gson_7/result.json</x:v>
      </x:c>
      <x:c r="O365" s="39" t="str">
        <x:f>IF(AND(G365="RECORDED",ISNUMBER(H365)),H365,"")</x:f>
      </x:c>
      <x:c r="P365" s="35" t="str">
        <x:v>NOT_AVAILABLE</x:v>
      </x:c>
      <x:c r="Q365" s="35" t="str">
        <x:v>Deepseek-flash-v4/Result/Gson_7/result.json</x:v>
      </x:c>
    </x:row>
    <x:row r="366">
      <x:c r="A366" s="35" t="str">
        <x:v>deepseek</x:v>
      </x:c>
      <x:c r="B366" s="35" t="str">
        <x:v>Gson</x:v>
      </x:c>
      <x:c r="C366" s="35" t="str">
        <x:v>Round1</x:v>
      </x:c>
      <x:c r="D366" s="35" t="str">
        <x:v>Gson_8</x:v>
      </x:c>
      <x:c r="E366" s="35" t="str">
        <x:v>Line</x:v>
      </x:c>
      <x:c r="F366" s="35" t="n">
        <x:v>31</x:v>
      </x:c>
      <x:c r="G366" s="35" t="str">
        <x:v>RECORDED</x:v>
      </x:c>
      <x:c r="H366" s="39" t="n">
        <x:f>IF(ISNUMBER('Data'!E366),'Data'!E366*100,"")</x:f>
        <x:v>0</x:v>
      </x:c>
      <x:c r="I366" s="35" t="str">
        <x:v>PASS</x:v>
      </x:c>
      <x:c r="J366" s="35" t="str">
        <x:v>PASS</x:v>
      </x:c>
      <x:c r="K366" s="35" t="str">
        <x:v>PASS</x:v>
      </x:c>
      <x:c r="L366" s="35" t="str">
        <x:v>PASS</x:v>
      </x:c>
      <x:c r="M366" s="35" t="str">
        <x:v>numeric coverage for applicable metric</x:v>
      </x:c>
      <x:c r="N366" s="35" t="str">
        <x:v>Deepseek-flash-v4/Result/Gson_8/result.json</x:v>
      </x:c>
      <x:c r="O366" s="39" t="n">
        <x:f>IF(AND(G366="RECORDED",ISNUMBER(H366)),H366,"")</x:f>
        <x:v>0</x:v>
      </x:c>
      <x:c r="P366" s="35" t="str">
        <x:v>NOT_REVEALING</x:v>
      </x:c>
      <x:c r="Q366" s="35" t="str">
        <x:v>Deepseek-flash-v4/Result/Gson_8/result.json</x:v>
      </x:c>
    </x:row>
    <x:row r="367">
      <x:c r="A367" s="35" t="str">
        <x:v>deepseek</x:v>
      </x:c>
      <x:c r="B367" s="35" t="str">
        <x:v>Gson</x:v>
      </x:c>
      <x:c r="C367" s="35" t="str">
        <x:v>Round1</x:v>
      </x:c>
      <x:c r="D367" s="35" t="str">
        <x:v>Gson_9</x:v>
      </x:c>
      <x:c r="E367" s="35" t="str">
        <x:v>Line</x:v>
      </x:c>
      <x:c r="F367" s="35"/>
      <x:c r="G367" s="35" t="str">
        <x:v>A</x:v>
      </x:c>
      <x:c r="H367" s="39" t="str">
        <x:f>IF(ISNUMBER('Data'!E367),'Data'!E367*100,"")</x:f>
      </x:c>
      <x:c r="I367" s="35"/>
      <x:c r="J367" s="35" t="str">
        <x:v>PASS</x:v>
      </x:c>
      <x:c r="K367" s="35" t="str">
        <x:v>FAIL</x:v>
      </x:c>
      <x:c r="L367" s="35" t="str">
        <x:v>NOT_RUN</x:v>
      </x:c>
      <x:c r="M367" s="35" t="str">
        <x:v>coverage unavailable or execution/compile failed</x:v>
      </x:c>
      <x:c r="N367" s="35" t="str">
        <x:v>Deepseek-flash-v4/Result/Gson_9/result.json</x:v>
      </x:c>
      <x:c r="O367" s="39" t="str">
        <x:f>IF(AND(G367="RECORDED",ISNUMBER(H367)),H367,"")</x:f>
      </x:c>
      <x:c r="P367" s="35" t="str">
        <x:v>NOT_AVAILABLE</x:v>
      </x:c>
      <x:c r="Q367" s="35" t="str">
        <x:v>Deepseek-flash-v4/Result/Gson_9/result.json</x:v>
      </x:c>
    </x:row>
    <x:row r="368">
      <x:c r="A368" s="35" t="str">
        <x:v>deepseek</x:v>
      </x:c>
      <x:c r="B368" s="35" t="str">
        <x:v>JacksonCore</x:v>
      </x:c>
      <x:c r="C368" s="35" t="str">
        <x:v>Round1</x:v>
      </x:c>
      <x:c r="D368" s="35" t="str">
        <x:v>JacksonCore_1</x:v>
      </x:c>
      <x:c r="E368" s="35" t="str">
        <x:v>Line</x:v>
      </x:c>
      <x:c r="F368" s="35"/>
      <x:c r="G368" s="35" t="str">
        <x:v>A</x:v>
      </x:c>
      <x:c r="H368" s="39" t="str">
        <x:f>IF(ISNUMBER('Data'!E368),'Data'!E368*100,"")</x:f>
      </x:c>
      <x:c r="I368" s="35"/>
      <x:c r="J368" s="35" t="str">
        <x:v>PASS</x:v>
      </x:c>
      <x:c r="K368" s="35" t="str">
        <x:v>FAIL</x:v>
      </x:c>
      <x:c r="L368" s="35" t="str">
        <x:v>NOT_RUN</x:v>
      </x:c>
      <x:c r="M368" s="35" t="str">
        <x:v>coverage unavailable or execution/compile failed</x:v>
      </x:c>
      <x:c r="N368" s="35" t="str">
        <x:v>Deepseek-flash-v4/Result/JacksonCore_1/result.json</x:v>
      </x:c>
      <x:c r="O368" s="39" t="str">
        <x:f>IF(AND(G368="RECORDED",ISNUMBER(H368)),H368,"")</x:f>
      </x:c>
      <x:c r="P368" s="35" t="str">
        <x:v>NOT_AVAILABLE</x:v>
      </x:c>
      <x:c r="Q368" s="35" t="str">
        <x:v>Deepseek-flash-v4/Result/JacksonCore_1/result.json</x:v>
      </x:c>
    </x:row>
    <x:row r="369">
      <x:c r="A369" s="35" t="str">
        <x:v>deepseek</x:v>
      </x:c>
      <x:c r="B369" s="35" t="str">
        <x:v>JacksonCore</x:v>
      </x:c>
      <x:c r="C369" s="35" t="str">
        <x:v>Round1</x:v>
      </x:c>
      <x:c r="D369" s="35" t="str">
        <x:v>JacksonCore_10</x:v>
      </x:c>
      <x:c r="E369" s="35" t="str">
        <x:v>Line</x:v>
      </x:c>
      <x:c r="F369" s="35"/>
      <x:c r="G369" s="35" t="str">
        <x:v>A</x:v>
      </x:c>
      <x:c r="H369" s="39" t="str">
        <x:f>IF(ISNUMBER('Data'!E369),'Data'!E369*100,"")</x:f>
      </x:c>
      <x:c r="I369" s="35"/>
      <x:c r="J369" s="35" t="str">
        <x:v>PASS</x:v>
      </x:c>
      <x:c r="K369" s="35" t="str">
        <x:v>FAIL</x:v>
      </x:c>
      <x:c r="L369" s="35" t="str">
        <x:v>NOT_RUN</x:v>
      </x:c>
      <x:c r="M369" s="35" t="str">
        <x:v>coverage unavailable or execution/compile failed</x:v>
      </x:c>
      <x:c r="N369" s="35" t="str">
        <x:v>Deepseek-flash-v4/Result/JacksonCore_10/result.json</x:v>
      </x:c>
      <x:c r="O369" s="39" t="str">
        <x:f>IF(AND(G369="RECORDED",ISNUMBER(H369)),H369,"")</x:f>
      </x:c>
      <x:c r="P369" s="35" t="str">
        <x:v>NOT_AVAILABLE</x:v>
      </x:c>
      <x:c r="Q369" s="35" t="str">
        <x:v>Deepseek-flash-v4/Result/JacksonCore_10/result.json</x:v>
      </x:c>
    </x:row>
    <x:row r="370">
      <x:c r="A370" s="35" t="str">
        <x:v>deepseek</x:v>
      </x:c>
      <x:c r="B370" s="35" t="str">
        <x:v>JacksonCore</x:v>
      </x:c>
      <x:c r="C370" s="35" t="str">
        <x:v>Round1</x:v>
      </x:c>
      <x:c r="D370" s="35" t="str">
        <x:v>JacksonCore_11</x:v>
      </x:c>
      <x:c r="E370" s="35" t="str">
        <x:v>Line</x:v>
      </x:c>
      <x:c r="F370" s="35" t="n">
        <x:v>468</x:v>
      </x:c>
      <x:c r="G370" s="35" t="str">
        <x:v>RECORDED</x:v>
      </x:c>
      <x:c r="H370" s="39" t="n">
        <x:f>IF(ISNUMBER('Data'!E370),'Data'!E370*100,"")</x:f>
        <x:v>69.66</x:v>
      </x:c>
      <x:c r="I370" s="35" t="str">
        <x:v>PASS</x:v>
      </x:c>
      <x:c r="J370" s="35" t="str">
        <x:v>PASS</x:v>
      </x:c>
      <x:c r="K370" s="35" t="str">
        <x:v>PASS</x:v>
      </x:c>
      <x:c r="L370" s="35" t="str">
        <x:v>FAIL</x:v>
      </x:c>
      <x:c r="M370" s="35" t="str">
        <x:v>numeric coverage for applicable metric</x:v>
      </x:c>
      <x:c r="N370" s="35" t="str">
        <x:v>Deepseek-flash-v4/Result/JacksonCore_11/result.json</x:v>
      </x:c>
      <x:c r="O370" s="39" t="n">
        <x:f>IF(AND(G370="RECORDED",ISNUMBER(H370)),H370,"")</x:f>
        <x:v>69.66</x:v>
      </x:c>
      <x:c r="P370" s="35" t="str">
        <x:v>INCONCLUSIVE</x:v>
      </x:c>
      <x:c r="Q370" s="35" t="str">
        <x:v>Deepseek-flash-v4/Result/JacksonCore_11/result.json</x:v>
      </x:c>
    </x:row>
    <x:row r="371">
      <x:c r="A371" s="35" t="str">
        <x:v>deepseek</x:v>
      </x:c>
      <x:c r="B371" s="35" t="str">
        <x:v>JacksonCore</x:v>
      </x:c>
      <x:c r="C371" s="35" t="str">
        <x:v>Round1</x:v>
      </x:c>
      <x:c r="D371" s="35" t="str">
        <x:v>JacksonCore_12</x:v>
      </x:c>
      <x:c r="E371" s="35" t="str">
        <x:v>Line</x:v>
      </x:c>
      <x:c r="F371" s="35"/>
      <x:c r="G371" s="35" t="str">
        <x:v>A</x:v>
      </x:c>
      <x:c r="H371" s="39" t="str">
        <x:f>IF(ISNUMBER('Data'!E371),'Data'!E371*100,"")</x:f>
      </x:c>
      <x:c r="I371" s="35"/>
      <x:c r="J371" s="35" t="str">
        <x:v>PASS</x:v>
      </x:c>
      <x:c r="K371" s="35" t="str">
        <x:v>FAIL</x:v>
      </x:c>
      <x:c r="L371" s="35" t="str">
        <x:v>NOT_RUN</x:v>
      </x:c>
      <x:c r="M371" s="35" t="str">
        <x:v>coverage unavailable or execution/compile failed</x:v>
      </x:c>
      <x:c r="N371" s="35" t="str">
        <x:v>Deepseek-flash-v4/Result/JacksonCore_12/result.json</x:v>
      </x:c>
      <x:c r="O371" s="39" t="str">
        <x:f>IF(AND(G371="RECORDED",ISNUMBER(H371)),H371,"")</x:f>
      </x:c>
      <x:c r="P371" s="35" t="str">
        <x:v>NOT_AVAILABLE</x:v>
      </x:c>
      <x:c r="Q371" s="35" t="str">
        <x:v>Deepseek-flash-v4/Result/JacksonCore_12/result.json</x:v>
      </x:c>
    </x:row>
    <x:row r="372">
      <x:c r="A372" s="35" t="str">
        <x:v>deepseek</x:v>
      </x:c>
      <x:c r="B372" s="35" t="str">
        <x:v>JacksonCore</x:v>
      </x:c>
      <x:c r="C372" s="35" t="str">
        <x:v>Round1</x:v>
      </x:c>
      <x:c r="D372" s="35" t="str">
        <x:v>JacksonCore_13</x:v>
      </x:c>
      <x:c r="E372" s="35" t="str">
        <x:v>Line</x:v>
      </x:c>
      <x:c r="F372" s="35"/>
      <x:c r="G372" s="35" t="str">
        <x:v>A</x:v>
      </x:c>
      <x:c r="H372" s="39" t="str">
        <x:f>IF(ISNUMBER('Data'!E372),'Data'!E372*100,"")</x:f>
      </x:c>
      <x:c r="I372" s="35"/>
      <x:c r="J372" s="35" t="str">
        <x:v>PASS</x:v>
      </x:c>
      <x:c r="K372" s="35" t="str">
        <x:v>FAIL</x:v>
      </x:c>
      <x:c r="L372" s="35" t="str">
        <x:v>NOT_RUN</x:v>
      </x:c>
      <x:c r="M372" s="35" t="str">
        <x:v>coverage unavailable or execution/compile failed</x:v>
      </x:c>
      <x:c r="N372" s="35" t="str">
        <x:v>Deepseek-flash-v4/Result/JacksonCore_13/result.json</x:v>
      </x:c>
      <x:c r="O372" s="39" t="str">
        <x:f>IF(AND(G372="RECORDED",ISNUMBER(H372)),H372,"")</x:f>
      </x:c>
      <x:c r="P372" s="35" t="str">
        <x:v>NOT_AVAILABLE</x:v>
      </x:c>
      <x:c r="Q372" s="35" t="str">
        <x:v>Deepseek-flash-v4/Result/JacksonCore_13/result.json</x:v>
      </x:c>
    </x:row>
    <x:row r="373">
      <x:c r="A373" s="35" t="str">
        <x:v>deepseek</x:v>
      </x:c>
      <x:c r="B373" s="35" t="str">
        <x:v>JacksonCore</x:v>
      </x:c>
      <x:c r="C373" s="35" t="str">
        <x:v>Round1</x:v>
      </x:c>
      <x:c r="D373" s="35" t="str">
        <x:v>JacksonCore_14</x:v>
      </x:c>
      <x:c r="E373" s="35" t="str">
        <x:v>Line</x:v>
      </x:c>
      <x:c r="F373" s="35"/>
      <x:c r="G373" s="35" t="str">
        <x:v>A</x:v>
      </x:c>
      <x:c r="H373" s="39" t="str">
        <x:f>IF(ISNUMBER('Data'!E373),'Data'!E373*100,"")</x:f>
      </x:c>
      <x:c r="I373" s="35"/>
      <x:c r="J373" s="35" t="str">
        <x:v>PASS</x:v>
      </x:c>
      <x:c r="K373" s="35" t="str">
        <x:v>FAIL</x:v>
      </x:c>
      <x:c r="L373" s="35" t="str">
        <x:v>NOT_RUN</x:v>
      </x:c>
      <x:c r="M373" s="35" t="str">
        <x:v>coverage unavailable or execution/compile failed</x:v>
      </x:c>
      <x:c r="N373" s="35" t="str">
        <x:v>Deepseek-flash-v4/Result/JacksonCore_14/result.json</x:v>
      </x:c>
      <x:c r="O373" s="39" t="str">
        <x:f>IF(AND(G373="RECORDED",ISNUMBER(H373)),H373,"")</x:f>
      </x:c>
      <x:c r="P373" s="35" t="str">
        <x:v>NOT_AVAILABLE</x:v>
      </x:c>
      <x:c r="Q373" s="35" t="str">
        <x:v>Deepseek-flash-v4/Result/JacksonCore_14/result.json</x:v>
      </x:c>
    </x:row>
    <x:row r="374">
      <x:c r="A374" s="35" t="str">
        <x:v>deepseek</x:v>
      </x:c>
      <x:c r="B374" s="35" t="str">
        <x:v>JacksonCore</x:v>
      </x:c>
      <x:c r="C374" s="35" t="str">
        <x:v>Round1</x:v>
      </x:c>
      <x:c r="D374" s="35" t="str">
        <x:v>JacksonCore_15</x:v>
      </x:c>
      <x:c r="E374" s="35" t="str">
        <x:v>Line</x:v>
      </x:c>
      <x:c r="F374" s="35"/>
      <x:c r="G374" s="35" t="str">
        <x:v>A</x:v>
      </x:c>
      <x:c r="H374" s="39" t="str">
        <x:f>IF(ISNUMBER('Data'!E374),'Data'!E374*100,"")</x:f>
      </x:c>
      <x:c r="I374" s="35"/>
      <x:c r="J374" s="35" t="str">
        <x:v>PASS</x:v>
      </x:c>
      <x:c r="K374" s="35" t="str">
        <x:v>FAIL</x:v>
      </x:c>
      <x:c r="L374" s="35" t="str">
        <x:v>NOT_RUN</x:v>
      </x:c>
      <x:c r="M374" s="35" t="str">
        <x:v>coverage unavailable or execution/compile failed</x:v>
      </x:c>
      <x:c r="N374" s="35" t="str">
        <x:v>Deepseek-flash-v4/Result/JacksonCore_15/result.json</x:v>
      </x:c>
      <x:c r="O374" s="39" t="str">
        <x:f>IF(AND(G374="RECORDED",ISNUMBER(H374)),H374,"")</x:f>
      </x:c>
      <x:c r="P374" s="35" t="str">
        <x:v>NOT_AVAILABLE</x:v>
      </x:c>
      <x:c r="Q374" s="35" t="str">
        <x:v>Deepseek-flash-v4/Result/JacksonCore_15/result.json</x:v>
      </x:c>
    </x:row>
    <x:row r="375">
      <x:c r="A375" s="35" t="str">
        <x:v>deepseek</x:v>
      </x:c>
      <x:c r="B375" s="35" t="str">
        <x:v>JacksonCore</x:v>
      </x:c>
      <x:c r="C375" s="35" t="str">
        <x:v>Round1</x:v>
      </x:c>
      <x:c r="D375" s="35" t="str">
        <x:v>JacksonCore_16</x:v>
      </x:c>
      <x:c r="E375" s="35" t="str">
        <x:v>Line</x:v>
      </x:c>
      <x:c r="F375" s="35"/>
      <x:c r="G375" s="35" t="str">
        <x:v>A</x:v>
      </x:c>
      <x:c r="H375" s="39" t="str">
        <x:f>IF(ISNUMBER('Data'!E375),'Data'!E375*100,"")</x:f>
      </x:c>
      <x:c r="I375" s="35"/>
      <x:c r="J375" s="35" t="str">
        <x:v>PASS</x:v>
      </x:c>
      <x:c r="K375" s="35" t="str">
        <x:v>FAIL</x:v>
      </x:c>
      <x:c r="L375" s="35" t="str">
        <x:v>NOT_RUN</x:v>
      </x:c>
      <x:c r="M375" s="35" t="str">
        <x:v>coverage unavailable or execution/compile failed</x:v>
      </x:c>
      <x:c r="N375" s="35" t="str">
        <x:v>Deepseek-flash-v4/Result/JacksonCore_16/result.json</x:v>
      </x:c>
      <x:c r="O375" s="39" t="str">
        <x:f>IF(AND(G375="RECORDED",ISNUMBER(H375)),H375,"")</x:f>
      </x:c>
      <x:c r="P375" s="35" t="str">
        <x:v>NOT_AVAILABLE</x:v>
      </x:c>
      <x:c r="Q375" s="35" t="str">
        <x:v>Deepseek-flash-v4/Result/JacksonCore_16/result.json</x:v>
      </x:c>
    </x:row>
    <x:row r="376">
      <x:c r="A376" s="35" t="str">
        <x:v>deepseek</x:v>
      </x:c>
      <x:c r="B376" s="35" t="str">
        <x:v>JacksonCore</x:v>
      </x:c>
      <x:c r="C376" s="35" t="str">
        <x:v>Round1</x:v>
      </x:c>
      <x:c r="D376" s="35" t="str">
        <x:v>JacksonCore_17</x:v>
      </x:c>
      <x:c r="E376" s="35" t="str">
        <x:v>Line</x:v>
      </x:c>
      <x:c r="F376" s="35"/>
      <x:c r="G376" s="35" t="str">
        <x:v>A</x:v>
      </x:c>
      <x:c r="H376" s="39" t="str">
        <x:f>IF(ISNUMBER('Data'!E376),'Data'!E376*100,"")</x:f>
      </x:c>
      <x:c r="I376" s="35"/>
      <x:c r="J376" s="35" t="str">
        <x:v>PASS</x:v>
      </x:c>
      <x:c r="K376" s="35" t="str">
        <x:v>FAIL</x:v>
      </x:c>
      <x:c r="L376" s="35" t="str">
        <x:v>NOT_RUN</x:v>
      </x:c>
      <x:c r="M376" s="35" t="str">
        <x:v>coverage unavailable or execution/compile failed</x:v>
      </x:c>
      <x:c r="N376" s="35" t="str">
        <x:v>Deepseek-flash-v4/Result/JacksonCore_17/result.json</x:v>
      </x:c>
      <x:c r="O376" s="39" t="str">
        <x:f>IF(AND(G376="RECORDED",ISNUMBER(H376)),H376,"")</x:f>
      </x:c>
      <x:c r="P376" s="35" t="str">
        <x:v>NOT_AVAILABLE</x:v>
      </x:c>
      <x:c r="Q376" s="35" t="str">
        <x:v>Deepseek-flash-v4/Result/JacksonCore_17/result.json</x:v>
      </x:c>
    </x:row>
    <x:row r="377">
      <x:c r="A377" s="35" t="str">
        <x:v>deepseek</x:v>
      </x:c>
      <x:c r="B377" s="35" t="str">
        <x:v>JacksonCore</x:v>
      </x:c>
      <x:c r="C377" s="35" t="str">
        <x:v>Round1</x:v>
      </x:c>
      <x:c r="D377" s="35" t="str">
        <x:v>JacksonCore_18</x:v>
      </x:c>
      <x:c r="E377" s="35" t="str">
        <x:v>Line</x:v>
      </x:c>
      <x:c r="F377" s="35"/>
      <x:c r="G377" s="35" t="str">
        <x:v>A</x:v>
      </x:c>
      <x:c r="H377" s="39" t="str">
        <x:f>IF(ISNUMBER('Data'!E377),'Data'!E377*100,"")</x:f>
      </x:c>
      <x:c r="I377" s="35"/>
      <x:c r="J377" s="35" t="str">
        <x:v>PASS</x:v>
      </x:c>
      <x:c r="K377" s="35" t="str">
        <x:v>FAIL</x:v>
      </x:c>
      <x:c r="L377" s="35" t="str">
        <x:v>NOT_RUN</x:v>
      </x:c>
      <x:c r="M377" s="35" t="str">
        <x:v>coverage unavailable or execution/compile failed</x:v>
      </x:c>
      <x:c r="N377" s="35" t="str">
        <x:v>Deepseek-flash-v4/Result/JacksonCore_18/result.json</x:v>
      </x:c>
      <x:c r="O377" s="39" t="str">
        <x:f>IF(AND(G377="RECORDED",ISNUMBER(H377)),H377,"")</x:f>
      </x:c>
      <x:c r="P377" s="35" t="str">
        <x:v>NOT_AVAILABLE</x:v>
      </x:c>
      <x:c r="Q377" s="35" t="str">
        <x:v>Deepseek-flash-v4/Result/JacksonCore_18/result.json</x:v>
      </x:c>
    </x:row>
    <x:row r="378">
      <x:c r="A378" s="35" t="str">
        <x:v>deepseek</x:v>
      </x:c>
      <x:c r="B378" s="35" t="str">
        <x:v>JacksonCore</x:v>
      </x:c>
      <x:c r="C378" s="35" t="str">
        <x:v>Round1</x:v>
      </x:c>
      <x:c r="D378" s="35" t="str">
        <x:v>JacksonCore_19</x:v>
      </x:c>
      <x:c r="E378" s="35" t="str">
        <x:v>Line</x:v>
      </x:c>
      <x:c r="F378" s="35"/>
      <x:c r="G378" s="35" t="str">
        <x:v>A</x:v>
      </x:c>
      <x:c r="H378" s="39" t="str">
        <x:f>IF(ISNUMBER('Data'!E378),'Data'!E378*100,"")</x:f>
      </x:c>
      <x:c r="I378" s="35"/>
      <x:c r="J378" s="35" t="str">
        <x:v>PASS</x:v>
      </x:c>
      <x:c r="K378" s="35" t="str">
        <x:v>FAIL</x:v>
      </x:c>
      <x:c r="L378" s="35" t="str">
        <x:v>NOT_RUN</x:v>
      </x:c>
      <x:c r="M378" s="35" t="str">
        <x:v>coverage unavailable or execution/compile failed</x:v>
      </x:c>
      <x:c r="N378" s="35" t="str">
        <x:v>Deepseek-flash-v4/Result/JacksonCore_19/result.json</x:v>
      </x:c>
      <x:c r="O378" s="39" t="str">
        <x:f>IF(AND(G378="RECORDED",ISNUMBER(H378)),H378,"")</x:f>
      </x:c>
      <x:c r="P378" s="35" t="str">
        <x:v>NOT_AVAILABLE</x:v>
      </x:c>
      <x:c r="Q378" s="35" t="str">
        <x:v>Deepseek-flash-v4/Result/JacksonCore_19/result.json</x:v>
      </x:c>
    </x:row>
    <x:row r="379">
      <x:c r="A379" s="35" t="str">
        <x:v>deepseek</x:v>
      </x:c>
      <x:c r="B379" s="35" t="str">
        <x:v>JacksonCore</x:v>
      </x:c>
      <x:c r="C379" s="35" t="str">
        <x:v>Round1</x:v>
      </x:c>
      <x:c r="D379" s="35" t="str">
        <x:v>JacksonCore_2</x:v>
      </x:c>
      <x:c r="E379" s="35" t="str">
        <x:v>Line</x:v>
      </x:c>
      <x:c r="F379" s="35"/>
      <x:c r="G379" s="35" t="str">
        <x:v>A</x:v>
      </x:c>
      <x:c r="H379" s="39" t="str">
        <x:f>IF(ISNUMBER('Data'!E379),'Data'!E379*100,"")</x:f>
      </x:c>
      <x:c r="I379" s="35"/>
      <x:c r="J379" s="35" t="str">
        <x:v>PASS</x:v>
      </x:c>
      <x:c r="K379" s="35" t="str">
        <x:v>FAIL</x:v>
      </x:c>
      <x:c r="L379" s="35" t="str">
        <x:v>NOT_RUN</x:v>
      </x:c>
      <x:c r="M379" s="35" t="str">
        <x:v>coverage unavailable or execution/compile failed</x:v>
      </x:c>
      <x:c r="N379" s="35" t="str">
        <x:v>Deepseek-flash-v4/Result/JacksonCore_2/result.json</x:v>
      </x:c>
      <x:c r="O379" s="39" t="str">
        <x:f>IF(AND(G379="RECORDED",ISNUMBER(H379)),H379,"")</x:f>
      </x:c>
      <x:c r="P379" s="35" t="str">
        <x:v>NOT_AVAILABLE</x:v>
      </x:c>
      <x:c r="Q379" s="35" t="str">
        <x:v>Deepseek-flash-v4/Result/JacksonCore_2/result.json</x:v>
      </x:c>
    </x:row>
    <x:row r="380">
      <x:c r="A380" s="35" t="str">
        <x:v>deepseek</x:v>
      </x:c>
      <x:c r="B380" s="35" t="str">
        <x:v>JacksonCore</x:v>
      </x:c>
      <x:c r="C380" s="35" t="str">
        <x:v>Round1</x:v>
      </x:c>
      <x:c r="D380" s="35" t="str">
        <x:v>JacksonCore_20</x:v>
      </x:c>
      <x:c r="E380" s="35" t="str">
        <x:v>Line</x:v>
      </x:c>
      <x:c r="F380" s="35"/>
      <x:c r="G380" s="35" t="str">
        <x:v>A</x:v>
      </x:c>
      <x:c r="H380" s="39" t="str">
        <x:f>IF(ISNUMBER('Data'!E380),'Data'!E380*100,"")</x:f>
      </x:c>
      <x:c r="I380" s="35"/>
      <x:c r="J380" s="35" t="str">
        <x:v>PASS</x:v>
      </x:c>
      <x:c r="K380" s="35" t="str">
        <x:v>FAIL</x:v>
      </x:c>
      <x:c r="L380" s="35" t="str">
        <x:v>NOT_RUN</x:v>
      </x:c>
      <x:c r="M380" s="35" t="str">
        <x:v>coverage unavailable or execution/compile failed</x:v>
      </x:c>
      <x:c r="N380" s="35" t="str">
        <x:v>Deepseek-flash-v4/Result/JacksonCore_20/result.json</x:v>
      </x:c>
      <x:c r="O380" s="39" t="str">
        <x:f>IF(AND(G380="RECORDED",ISNUMBER(H380)),H380,"")</x:f>
      </x:c>
      <x:c r="P380" s="35" t="str">
        <x:v>NOT_AVAILABLE</x:v>
      </x:c>
      <x:c r="Q380" s="35" t="str">
        <x:v>Deepseek-flash-v4/Result/JacksonCore_20/result.json</x:v>
      </x:c>
    </x:row>
    <x:row r="381">
      <x:c r="A381" s="35" t="str">
        <x:v>deepseek</x:v>
      </x:c>
      <x:c r="B381" s="35" t="str">
        <x:v>JacksonCore</x:v>
      </x:c>
      <x:c r="C381" s="35" t="str">
        <x:v>Round1</x:v>
      </x:c>
      <x:c r="D381" s="35" t="str">
        <x:v>JacksonCore_21</x:v>
      </x:c>
      <x:c r="E381" s="35" t="str">
        <x:v>Line</x:v>
      </x:c>
      <x:c r="F381" s="35"/>
      <x:c r="G381" s="35" t="str">
        <x:v>A</x:v>
      </x:c>
      <x:c r="H381" s="39" t="str">
        <x:f>IF(ISNUMBER('Data'!E381),'Data'!E381*100,"")</x:f>
      </x:c>
      <x:c r="I381" s="35"/>
      <x:c r="J381" s="35" t="str">
        <x:v>PASS</x:v>
      </x:c>
      <x:c r="K381" s="35" t="str">
        <x:v>FAIL</x:v>
      </x:c>
      <x:c r="L381" s="35" t="str">
        <x:v>NOT_RUN</x:v>
      </x:c>
      <x:c r="M381" s="35" t="str">
        <x:v>coverage unavailable or execution/compile failed</x:v>
      </x:c>
      <x:c r="N381" s="35" t="str">
        <x:v>Deepseek-flash-v4/Result/JacksonCore_21/result.json</x:v>
      </x:c>
      <x:c r="O381" s="39" t="str">
        <x:f>IF(AND(G381="RECORDED",ISNUMBER(H381)),H381,"")</x:f>
      </x:c>
      <x:c r="P381" s="35" t="str">
        <x:v>NOT_AVAILABLE</x:v>
      </x:c>
      <x:c r="Q381" s="35" t="str">
        <x:v>Deepseek-flash-v4/Result/JacksonCore_21/result.json</x:v>
      </x:c>
    </x:row>
    <x:row r="382">
      <x:c r="A382" s="35" t="str">
        <x:v>deepseek</x:v>
      </x:c>
      <x:c r="B382" s="35" t="str">
        <x:v>JacksonCore</x:v>
      </x:c>
      <x:c r="C382" s="35" t="str">
        <x:v>Round1</x:v>
      </x:c>
      <x:c r="D382" s="35" t="str">
        <x:v>JacksonCore_22</x:v>
      </x:c>
      <x:c r="E382" s="35" t="str">
        <x:v>Line</x:v>
      </x:c>
      <x:c r="F382" s="35"/>
      <x:c r="G382" s="35" t="str">
        <x:v>A</x:v>
      </x:c>
      <x:c r="H382" s="39" t="str">
        <x:f>IF(ISNUMBER('Data'!E382),'Data'!E382*100,"")</x:f>
      </x:c>
      <x:c r="I382" s="35"/>
      <x:c r="J382" s="35" t="str">
        <x:v>PASS</x:v>
      </x:c>
      <x:c r="K382" s="35" t="str">
        <x:v>FAIL</x:v>
      </x:c>
      <x:c r="L382" s="35" t="str">
        <x:v>NOT_RUN</x:v>
      </x:c>
      <x:c r="M382" s="35" t="str">
        <x:v>coverage unavailable or execution/compile failed</x:v>
      </x:c>
      <x:c r="N382" s="35" t="str">
        <x:v>Deepseek-flash-v4/Result/JacksonCore_22/result.json</x:v>
      </x:c>
      <x:c r="O382" s="39" t="str">
        <x:f>IF(AND(G382="RECORDED",ISNUMBER(H382)),H382,"")</x:f>
      </x:c>
      <x:c r="P382" s="35" t="str">
        <x:v>NOT_AVAILABLE</x:v>
      </x:c>
      <x:c r="Q382" s="35" t="str">
        <x:v>Deepseek-flash-v4/Result/JacksonCore_22/result.json</x:v>
      </x:c>
    </x:row>
    <x:row r="383">
      <x:c r="A383" s="35" t="str">
        <x:v>deepseek</x:v>
      </x:c>
      <x:c r="B383" s="35" t="str">
        <x:v>JacksonCore</x:v>
      </x:c>
      <x:c r="C383" s="35" t="str">
        <x:v>Round1</x:v>
      </x:c>
      <x:c r="D383" s="35" t="str">
        <x:v>JacksonCore_23</x:v>
      </x:c>
      <x:c r="E383" s="35" t="str">
        <x:v>Line</x:v>
      </x:c>
      <x:c r="F383" s="35"/>
      <x:c r="G383" s="35" t="str">
        <x:v>A</x:v>
      </x:c>
      <x:c r="H383" s="39" t="str">
        <x:f>IF(ISNUMBER('Data'!E383),'Data'!E383*100,"")</x:f>
      </x:c>
      <x:c r="I383" s="35"/>
      <x:c r="J383" s="35" t="str">
        <x:v>PASS</x:v>
      </x:c>
      <x:c r="K383" s="35" t="str">
        <x:v>FAIL</x:v>
      </x:c>
      <x:c r="L383" s="35" t="str">
        <x:v>NOT_RUN</x:v>
      </x:c>
      <x:c r="M383" s="35" t="str">
        <x:v>coverage unavailable or execution/compile failed</x:v>
      </x:c>
      <x:c r="N383" s="35" t="str">
        <x:v>Deepseek-flash-v4/Result/JacksonCore_23/result.json</x:v>
      </x:c>
      <x:c r="O383" s="39" t="str">
        <x:f>IF(AND(G383="RECORDED",ISNUMBER(H383)),H383,"")</x:f>
      </x:c>
      <x:c r="P383" s="35" t="str">
        <x:v>NOT_AVAILABLE</x:v>
      </x:c>
      <x:c r="Q383" s="35" t="str">
        <x:v>Deepseek-flash-v4/Result/JacksonCore_23/result.json</x:v>
      </x:c>
    </x:row>
    <x:row r="384">
      <x:c r="A384" s="35" t="str">
        <x:v>deepseek</x:v>
      </x:c>
      <x:c r="B384" s="35" t="str">
        <x:v>JacksonCore</x:v>
      </x:c>
      <x:c r="C384" s="35" t="str">
        <x:v>Round1</x:v>
      </x:c>
      <x:c r="D384" s="35" t="str">
        <x:v>JacksonCore_24</x:v>
      </x:c>
      <x:c r="E384" s="35" t="str">
        <x:v>Line</x:v>
      </x:c>
      <x:c r="F384" s="35"/>
      <x:c r="G384" s="35" t="str">
        <x:v>A</x:v>
      </x:c>
      <x:c r="H384" s="39" t="str">
        <x:f>IF(ISNUMBER('Data'!E384),'Data'!E384*100,"")</x:f>
      </x:c>
      <x:c r="I384" s="35"/>
      <x:c r="J384" s="35" t="str">
        <x:v>PASS</x:v>
      </x:c>
      <x:c r="K384" s="35" t="str">
        <x:v>FAIL</x:v>
      </x:c>
      <x:c r="L384" s="35" t="str">
        <x:v>NOT_RUN</x:v>
      </x:c>
      <x:c r="M384" s="35" t="str">
        <x:v>coverage unavailable or execution/compile failed</x:v>
      </x:c>
      <x:c r="N384" s="35" t="str">
        <x:v>Deepseek-flash-v4/Result/JacksonCore_24/result.json</x:v>
      </x:c>
      <x:c r="O384" s="39" t="str">
        <x:f>IF(AND(G384="RECORDED",ISNUMBER(H384)),H384,"")</x:f>
      </x:c>
      <x:c r="P384" s="35" t="str">
        <x:v>NOT_AVAILABLE</x:v>
      </x:c>
      <x:c r="Q384" s="35" t="str">
        <x:v>Deepseek-flash-v4/Result/JacksonCore_24/result.json</x:v>
      </x:c>
    </x:row>
    <x:row r="385">
      <x:c r="A385" s="35" t="str">
        <x:v>deepseek</x:v>
      </x:c>
      <x:c r="B385" s="35" t="str">
        <x:v>JacksonCore</x:v>
      </x:c>
      <x:c r="C385" s="35" t="str">
        <x:v>Round1</x:v>
      </x:c>
      <x:c r="D385" s="35" t="str">
        <x:v>JacksonCore_25</x:v>
      </x:c>
      <x:c r="E385" s="35" t="str">
        <x:v>Line</x:v>
      </x:c>
      <x:c r="F385" s="35"/>
      <x:c r="G385" s="35" t="str">
        <x:v>A</x:v>
      </x:c>
      <x:c r="H385" s="39" t="str">
        <x:f>IF(ISNUMBER('Data'!E385),'Data'!E385*100,"")</x:f>
      </x:c>
      <x:c r="I385" s="35"/>
      <x:c r="J385" s="35" t="str">
        <x:v>PASS</x:v>
      </x:c>
      <x:c r="K385" s="35" t="str">
        <x:v>FAIL</x:v>
      </x:c>
      <x:c r="L385" s="35" t="str">
        <x:v>NOT_RUN</x:v>
      </x:c>
      <x:c r="M385" s="35" t="str">
        <x:v>coverage unavailable or execution/compile failed</x:v>
      </x:c>
      <x:c r="N385" s="35" t="str">
        <x:v>Deepseek-flash-v4/Result/JacksonCore_25/result.json</x:v>
      </x:c>
      <x:c r="O385" s="39" t="str">
        <x:f>IF(AND(G385="RECORDED",ISNUMBER(H385)),H385,"")</x:f>
      </x:c>
      <x:c r="P385" s="35" t="str">
        <x:v>NOT_AVAILABLE</x:v>
      </x:c>
      <x:c r="Q385" s="35" t="str">
        <x:v>Deepseek-flash-v4/Result/JacksonCore_25/result.json</x:v>
      </x:c>
    </x:row>
    <x:row r="386">
      <x:c r="A386" s="35" t="str">
        <x:v>deepseek</x:v>
      </x:c>
      <x:c r="B386" s="35" t="str">
        <x:v>JacksonCore</x:v>
      </x:c>
      <x:c r="C386" s="35" t="str">
        <x:v>Round1</x:v>
      </x:c>
      <x:c r="D386" s="35" t="str">
        <x:v>JacksonCore_26</x:v>
      </x:c>
      <x:c r="E386" s="35" t="str">
        <x:v>Line</x:v>
      </x:c>
      <x:c r="F386" s="35" t="n">
        <x:v>1482</x:v>
      </x:c>
      <x:c r="G386" s="35" t="str">
        <x:v>RECORDED</x:v>
      </x:c>
      <x:c r="H386" s="39" t="n">
        <x:f>IF(ISNUMBER('Data'!E386),'Data'!E386*100,"")</x:f>
        <x:v>14.04</x:v>
      </x:c>
      <x:c r="I386" s="35" t="str">
        <x:v>PASS</x:v>
      </x:c>
      <x:c r="J386" s="35" t="str">
        <x:v>PASS</x:v>
      </x:c>
      <x:c r="K386" s="35" t="str">
        <x:v>PASS</x:v>
      </x:c>
      <x:c r="L386" s="35" t="str">
        <x:v>FAIL</x:v>
      </x:c>
      <x:c r="M386" s="35" t="str">
        <x:v>numeric coverage for applicable metric</x:v>
      </x:c>
      <x:c r="N386" s="35" t="str">
        <x:v>Deepseek-flash-v4/Result/JacksonCore_26/result.json</x:v>
      </x:c>
      <x:c r="O386" s="39" t="n">
        <x:f>IF(AND(G386="RECORDED",ISNUMBER(H386)),H386,"")</x:f>
        <x:v>14.04</x:v>
      </x:c>
      <x:c r="P386" s="35" t="str">
        <x:v>INCONCLUSIVE</x:v>
      </x:c>
      <x:c r="Q386" s="35" t="str">
        <x:v>Deepseek-flash-v4/Result/JacksonCore_26/result.json</x:v>
      </x:c>
    </x:row>
    <x:row r="387">
      <x:c r="A387" s="35" t="str">
        <x:v>deepseek</x:v>
      </x:c>
      <x:c r="B387" s="35" t="str">
        <x:v>JacksonCore</x:v>
      </x:c>
      <x:c r="C387" s="35" t="str">
        <x:v>Round1</x:v>
      </x:c>
      <x:c r="D387" s="35" t="str">
        <x:v>JacksonCore_3</x:v>
      </x:c>
      <x:c r="E387" s="35" t="str">
        <x:v>Line</x:v>
      </x:c>
      <x:c r="F387" s="35"/>
      <x:c r="G387" s="35" t="str">
        <x:v>A</x:v>
      </x:c>
      <x:c r="H387" s="39" t="str">
        <x:f>IF(ISNUMBER('Data'!E387),'Data'!E387*100,"")</x:f>
      </x:c>
      <x:c r="I387" s="35"/>
      <x:c r="J387" s="35" t="str">
        <x:v>PASS</x:v>
      </x:c>
      <x:c r="K387" s="35" t="str">
        <x:v>FAIL</x:v>
      </x:c>
      <x:c r="L387" s="35" t="str">
        <x:v>NOT_RUN</x:v>
      </x:c>
      <x:c r="M387" s="35" t="str">
        <x:v>coverage unavailable or execution/compile failed</x:v>
      </x:c>
      <x:c r="N387" s="35" t="str">
        <x:v>Deepseek-flash-v4/Result/JacksonCore_3/result.json</x:v>
      </x:c>
      <x:c r="O387" s="39" t="str">
        <x:f>IF(AND(G387="RECORDED",ISNUMBER(H387)),H387,"")</x:f>
      </x:c>
      <x:c r="P387" s="35" t="str">
        <x:v>NOT_AVAILABLE</x:v>
      </x:c>
      <x:c r="Q387" s="35" t="str">
        <x:v>Deepseek-flash-v4/Result/JacksonCore_3/result.json</x:v>
      </x:c>
    </x:row>
    <x:row r="388">
      <x:c r="A388" s="35" t="str">
        <x:v>deepseek</x:v>
      </x:c>
      <x:c r="B388" s="35" t="str">
        <x:v>JacksonCore</x:v>
      </x:c>
      <x:c r="C388" s="35" t="str">
        <x:v>Round1</x:v>
      </x:c>
      <x:c r="D388" s="35" t="str">
        <x:v>JacksonCore_4</x:v>
      </x:c>
      <x:c r="E388" s="35" t="str">
        <x:v>Line</x:v>
      </x:c>
      <x:c r="F388" s="35"/>
      <x:c r="G388" s="35" t="str">
        <x:v>A</x:v>
      </x:c>
      <x:c r="H388" s="39" t="str">
        <x:f>IF(ISNUMBER('Data'!E388),'Data'!E388*100,"")</x:f>
      </x:c>
      <x:c r="I388" s="35"/>
      <x:c r="J388" s="35" t="str">
        <x:v>PASS</x:v>
      </x:c>
      <x:c r="K388" s="35" t="str">
        <x:v>FAIL</x:v>
      </x:c>
      <x:c r="L388" s="35" t="str">
        <x:v>NOT_RUN</x:v>
      </x:c>
      <x:c r="M388" s="35" t="str">
        <x:v>coverage unavailable or execution/compile failed</x:v>
      </x:c>
      <x:c r="N388" s="35" t="str">
        <x:v>Deepseek-flash-v4/Result/JacksonCore_4/result.json</x:v>
      </x:c>
      <x:c r="O388" s="39" t="str">
        <x:f>IF(AND(G388="RECORDED",ISNUMBER(H388)),H388,"")</x:f>
      </x:c>
      <x:c r="P388" s="35" t="str">
        <x:v>NOT_AVAILABLE</x:v>
      </x:c>
      <x:c r="Q388" s="35" t="str">
        <x:v>Deepseek-flash-v4/Result/JacksonCore_4/result.json</x:v>
      </x:c>
    </x:row>
    <x:row r="389">
      <x:c r="A389" s="35" t="str">
        <x:v>deepseek</x:v>
      </x:c>
      <x:c r="B389" s="35" t="str">
        <x:v>JacksonCore</x:v>
      </x:c>
      <x:c r="C389" s="35" t="str">
        <x:v>Round1</x:v>
      </x:c>
      <x:c r="D389" s="35" t="str">
        <x:v>JacksonCore_5</x:v>
      </x:c>
      <x:c r="E389" s="35" t="str">
        <x:v>Line</x:v>
      </x:c>
      <x:c r="F389" s="35"/>
      <x:c r="G389" s="35" t="str">
        <x:v>A</x:v>
      </x:c>
      <x:c r="H389" s="39" t="str">
        <x:f>IF(ISNUMBER('Data'!E389),'Data'!E389*100,"")</x:f>
      </x:c>
      <x:c r="I389" s="35"/>
      <x:c r="J389" s="35" t="str">
        <x:v>PASS</x:v>
      </x:c>
      <x:c r="K389" s="35" t="str">
        <x:v>FAIL</x:v>
      </x:c>
      <x:c r="L389" s="35" t="str">
        <x:v>NOT_RUN</x:v>
      </x:c>
      <x:c r="M389" s="35" t="str">
        <x:v>coverage unavailable or execution/compile failed</x:v>
      </x:c>
      <x:c r="N389" s="35" t="str">
        <x:v>Deepseek-flash-v4/Result/JacksonCore_5/result.json</x:v>
      </x:c>
      <x:c r="O389" s="39" t="str">
        <x:f>IF(AND(G389="RECORDED",ISNUMBER(H389)),H389,"")</x:f>
      </x:c>
      <x:c r="P389" s="35" t="str">
        <x:v>NOT_AVAILABLE</x:v>
      </x:c>
      <x:c r="Q389" s="35" t="str">
        <x:v>Deepseek-flash-v4/Result/JacksonCore_5/result.json</x:v>
      </x:c>
    </x:row>
    <x:row r="390">
      <x:c r="A390" s="35" t="str">
        <x:v>deepseek</x:v>
      </x:c>
      <x:c r="B390" s="35" t="str">
        <x:v>JacksonCore</x:v>
      </x:c>
      <x:c r="C390" s="35" t="str">
        <x:v>Round1</x:v>
      </x:c>
      <x:c r="D390" s="35" t="str">
        <x:v>JacksonCore_6</x:v>
      </x:c>
      <x:c r="E390" s="35" t="str">
        <x:v>Line</x:v>
      </x:c>
      <x:c r="F390" s="35" t="n">
        <x:v>84</x:v>
      </x:c>
      <x:c r="G390" s="35" t="str">
        <x:v>RECORDED</x:v>
      </x:c>
      <x:c r="H390" s="39" t="n">
        <x:f>IF(ISNUMBER('Data'!E390),'Data'!E390*100,"")</x:f>
        <x:v>95.24</x:v>
      </x:c>
      <x:c r="I390" s="35" t="str">
        <x:v>PASS</x:v>
      </x:c>
      <x:c r="J390" s="35" t="str">
        <x:v>PASS</x:v>
      </x:c>
      <x:c r="K390" s="35" t="str">
        <x:v>PASS</x:v>
      </x:c>
      <x:c r="L390" s="35" t="str">
        <x:v>FAIL</x:v>
      </x:c>
      <x:c r="M390" s="35" t="str">
        <x:v>numeric coverage for applicable metric</x:v>
      </x:c>
      <x:c r="N390" s="35" t="str">
        <x:v>Deepseek-flash-v4/Result/JacksonCore_6/result.json</x:v>
      </x:c>
      <x:c r="O390" s="39" t="n">
        <x:f>IF(AND(G390="RECORDED",ISNUMBER(H390)),H390,"")</x:f>
        <x:v>95.24</x:v>
      </x:c>
      <x:c r="P390" s="35" t="str">
        <x:v>INCONCLUSIVE</x:v>
      </x:c>
      <x:c r="Q390" s="35" t="str">
        <x:v>Deepseek-flash-v4/Result/JacksonCore_6/result.json</x:v>
      </x:c>
    </x:row>
    <x:row r="391">
      <x:c r="A391" s="35" t="str">
        <x:v>deepseek</x:v>
      </x:c>
      <x:c r="B391" s="35" t="str">
        <x:v>JacksonCore</x:v>
      </x:c>
      <x:c r="C391" s="35" t="str">
        <x:v>Round1</x:v>
      </x:c>
      <x:c r="D391" s="35" t="str">
        <x:v>JacksonCore_7</x:v>
      </x:c>
      <x:c r="E391" s="35" t="str">
        <x:v>Line</x:v>
      </x:c>
      <x:c r="F391" s="35"/>
      <x:c r="G391" s="35" t="str">
        <x:v>A</x:v>
      </x:c>
      <x:c r="H391" s="39" t="str">
        <x:f>IF(ISNUMBER('Data'!E391),'Data'!E391*100,"")</x:f>
      </x:c>
      <x:c r="I391" s="35"/>
      <x:c r="J391" s="35" t="str">
        <x:v>PASS</x:v>
      </x:c>
      <x:c r="K391" s="35" t="str">
        <x:v>FAIL</x:v>
      </x:c>
      <x:c r="L391" s="35" t="str">
        <x:v>NOT_RUN</x:v>
      </x:c>
      <x:c r="M391" s="35" t="str">
        <x:v>coverage unavailable or execution/compile failed</x:v>
      </x:c>
      <x:c r="N391" s="35" t="str">
        <x:v>Deepseek-flash-v4/Result/JacksonCore_7/result.json</x:v>
      </x:c>
      <x:c r="O391" s="39" t="str">
        <x:f>IF(AND(G391="RECORDED",ISNUMBER(H391)),H391,"")</x:f>
      </x:c>
      <x:c r="P391" s="35" t="str">
        <x:v>NOT_AVAILABLE</x:v>
      </x:c>
      <x:c r="Q391" s="35" t="str">
        <x:v>Deepseek-flash-v4/Result/JacksonCore_7/result.json</x:v>
      </x:c>
    </x:row>
    <x:row r="392">
      <x:c r="A392" s="35" t="str">
        <x:v>deepseek</x:v>
      </x:c>
      <x:c r="B392" s="35" t="str">
        <x:v>JacksonCore</x:v>
      </x:c>
      <x:c r="C392" s="35" t="str">
        <x:v>Round1</x:v>
      </x:c>
      <x:c r="D392" s="35" t="str">
        <x:v>JacksonCore_8</x:v>
      </x:c>
      <x:c r="E392" s="35" t="str">
        <x:v>Line</x:v>
      </x:c>
      <x:c r="F392" s="35" t="n">
        <x:v>271</x:v>
      </x:c>
      <x:c r="G392" s="35" t="str">
        <x:v>RECORDED</x:v>
      </x:c>
      <x:c r="H392" s="39" t="n">
        <x:f>IF(ISNUMBER('Data'!E392),'Data'!E392*100,"")</x:f>
        <x:v>60.52000000000001</x:v>
      </x:c>
      <x:c r="I392" s="35" t="str">
        <x:v>PASS</x:v>
      </x:c>
      <x:c r="J392" s="35" t="str">
        <x:v>PASS</x:v>
      </x:c>
      <x:c r="K392" s="35" t="str">
        <x:v>PASS</x:v>
      </x:c>
      <x:c r="L392" s="35" t="str">
        <x:v>FAIL</x:v>
      </x:c>
      <x:c r="M392" s="35" t="str">
        <x:v>numeric coverage for applicable metric</x:v>
      </x:c>
      <x:c r="N392" s="35" t="str">
        <x:v>Deepseek-flash-v4/Result/JacksonCore_8/result.json</x:v>
      </x:c>
      <x:c r="O392" s="39" t="n">
        <x:f>IF(AND(G392="RECORDED",ISNUMBER(H392)),H392,"")</x:f>
        <x:v>60.52000000000001</x:v>
      </x:c>
      <x:c r="P392" s="35" t="str">
        <x:v>INCONCLUSIVE</x:v>
      </x:c>
      <x:c r="Q392" s="35" t="str">
        <x:v>Deepseek-flash-v4/Result/JacksonCore_8/result.json</x:v>
      </x:c>
    </x:row>
    <x:row r="393">
      <x:c r="A393" s="35" t="str">
        <x:v>deepseek</x:v>
      </x:c>
      <x:c r="B393" s="35" t="str">
        <x:v>JacksonCore</x:v>
      </x:c>
      <x:c r="C393" s="35" t="str">
        <x:v>Round1</x:v>
      </x:c>
      <x:c r="D393" s="35" t="str">
        <x:v>JacksonCore_9</x:v>
      </x:c>
      <x:c r="E393" s="35" t="str">
        <x:v>Line</x:v>
      </x:c>
      <x:c r="F393" s="35"/>
      <x:c r="G393" s="35" t="str">
        <x:v>A</x:v>
      </x:c>
      <x:c r="H393" s="39" t="str">
        <x:f>IF(ISNUMBER('Data'!E393),'Data'!E393*100,"")</x:f>
      </x:c>
      <x:c r="I393" s="35"/>
      <x:c r="J393" s="35" t="str">
        <x:v>PASS</x:v>
      </x:c>
      <x:c r="K393" s="35" t="str">
        <x:v>FAIL</x:v>
      </x:c>
      <x:c r="L393" s="35" t="str">
        <x:v>NOT_RUN</x:v>
      </x:c>
      <x:c r="M393" s="35" t="str">
        <x:v>coverage unavailable or execution/compile failed</x:v>
      </x:c>
      <x:c r="N393" s="35" t="str">
        <x:v>Deepseek-flash-v4/Result/JacksonCore_9/result.json</x:v>
      </x:c>
      <x:c r="O393" s="39" t="str">
        <x:f>IF(AND(G393="RECORDED",ISNUMBER(H393)),H393,"")</x:f>
      </x:c>
      <x:c r="P393" s="35" t="str">
        <x:v>NOT_AVAILABLE</x:v>
      </x:c>
      <x:c r="Q393" s="35" t="str">
        <x:v>Deepseek-flash-v4/Result/JacksonCore_9/result.json</x:v>
      </x:c>
    </x:row>
    <x:row r="394">
      <x:c r="A394" s="35" t="str">
        <x:v>deepseek</x:v>
      </x:c>
      <x:c r="B394" s="35" t="str">
        <x:v>JacksonDatabind</x:v>
      </x:c>
      <x:c r="C394" s="35" t="str">
        <x:v>Round1</x:v>
      </x:c>
      <x:c r="D394" s="35" t="str">
        <x:v>JacksonDatabind_1</x:v>
      </x:c>
      <x:c r="E394" s="35" t="str">
        <x:v>Line</x:v>
      </x:c>
      <x:c r="F394" s="35"/>
      <x:c r="G394" s="35" t="str">
        <x:v>A</x:v>
      </x:c>
      <x:c r="H394" s="39" t="str">
        <x:f>IF(ISNUMBER('Data'!E394),'Data'!E394*100,"")</x:f>
      </x:c>
      <x:c r="I394" s="35"/>
      <x:c r="J394" s="35" t="str">
        <x:v>PASS</x:v>
      </x:c>
      <x:c r="K394" s="35" t="str">
        <x:v>FAIL</x:v>
      </x:c>
      <x:c r="L394" s="35" t="str">
        <x:v>NOT_RUN</x:v>
      </x:c>
      <x:c r="M394" s="35" t="str">
        <x:v>coverage unavailable or execution/compile failed</x:v>
      </x:c>
      <x:c r="N394" s="35" t="str">
        <x:v>Deepseek-flash-v4/Result/JacksonDatabind_1/result.json</x:v>
      </x:c>
      <x:c r="O394" s="39" t="str">
        <x:f>IF(AND(G394="RECORDED",ISNUMBER(H394)),H394,"")</x:f>
      </x:c>
      <x:c r="P394" s="35" t="str">
        <x:v>NOT_AVAILABLE</x:v>
      </x:c>
      <x:c r="Q394" s="35" t="str">
        <x:v>Deepseek-flash-v4/Result/JacksonDatabind_1/result.json</x:v>
      </x:c>
    </x:row>
    <x:row r="395">
      <x:c r="A395" s="35" t="str">
        <x:v>deepseek</x:v>
      </x:c>
      <x:c r="B395" s="35" t="str">
        <x:v>JacksonDatabind</x:v>
      </x:c>
      <x:c r="C395" s="35" t="str">
        <x:v>Round1</x:v>
      </x:c>
      <x:c r="D395" s="35" t="str">
        <x:v>JacksonDatabind_10</x:v>
      </x:c>
      <x:c r="E395" s="35" t="str">
        <x:v>Line</x:v>
      </x:c>
      <x:c r="F395" s="35"/>
      <x:c r="G395" s="35" t="str">
        <x:v>A</x:v>
      </x:c>
      <x:c r="H395" s="39" t="str">
        <x:f>IF(ISNUMBER('Data'!E395),'Data'!E395*100,"")</x:f>
      </x:c>
      <x:c r="I395" s="35"/>
      <x:c r="J395" s="35" t="str">
        <x:v>PASS</x:v>
      </x:c>
      <x:c r="K395" s="35" t="str">
        <x:v>FAIL</x:v>
      </x:c>
      <x:c r="L395" s="35" t="str">
        <x:v>NOT_RUN</x:v>
      </x:c>
      <x:c r="M395" s="35" t="str">
        <x:v>coverage unavailable or execution/compile failed</x:v>
      </x:c>
      <x:c r="N395" s="35" t="str">
        <x:v>Deepseek-flash-v4/Result/JacksonDatabind_10/result.json</x:v>
      </x:c>
      <x:c r="O395" s="39" t="str">
        <x:f>IF(AND(G395="RECORDED",ISNUMBER(H395)),H395,"")</x:f>
      </x:c>
      <x:c r="P395" s="35" t="str">
        <x:v>NOT_AVAILABLE</x:v>
      </x:c>
      <x:c r="Q395" s="35" t="str">
        <x:v>Deepseek-flash-v4/Result/JacksonDatabind_10/result.json</x:v>
      </x:c>
    </x:row>
    <x:row r="396">
      <x:c r="A396" s="35" t="str">
        <x:v>deepseek</x:v>
      </x:c>
      <x:c r="B396" s="35" t="str">
        <x:v>JacksonDatabind</x:v>
      </x:c>
      <x:c r="C396" s="35" t="str">
        <x:v>Round1</x:v>
      </x:c>
      <x:c r="D396" s="35" t="str">
        <x:v>JacksonDatabind_100</x:v>
      </x:c>
      <x:c r="E396" s="35" t="str">
        <x:v>Line</x:v>
      </x:c>
      <x:c r="F396" s="35"/>
      <x:c r="G396" s="35" t="str">
        <x:v>A</x:v>
      </x:c>
      <x:c r="H396" s="39" t="str">
        <x:f>IF(ISNUMBER('Data'!E396),'Data'!E396*100,"")</x:f>
      </x:c>
      <x:c r="I396" s="35"/>
      <x:c r="J396" s="35" t="str">
        <x:v>PASS</x:v>
      </x:c>
      <x:c r="K396" s="35" t="str">
        <x:v>FAIL</x:v>
      </x:c>
      <x:c r="L396" s="35" t="str">
        <x:v>NOT_RUN</x:v>
      </x:c>
      <x:c r="M396" s="35" t="str">
        <x:v>coverage unavailable or execution/compile failed</x:v>
      </x:c>
      <x:c r="N396" s="35" t="str">
        <x:v>Deepseek-flash-v4/Result/JacksonDatabind_100/result.json</x:v>
      </x:c>
      <x:c r="O396" s="39" t="str">
        <x:f>IF(AND(G396="RECORDED",ISNUMBER(H396)),H396,"")</x:f>
      </x:c>
      <x:c r="P396" s="35" t="str">
        <x:v>NOT_AVAILABLE</x:v>
      </x:c>
      <x:c r="Q396" s="35" t="str">
        <x:v>Deepseek-flash-v4/Result/JacksonDatabind_100/result.json</x:v>
      </x:c>
    </x:row>
    <x:row r="397">
      <x:c r="A397" s="35" t="str">
        <x:v>deepseek</x:v>
      </x:c>
      <x:c r="B397" s="35" t="str">
        <x:v>JacksonDatabind</x:v>
      </x:c>
      <x:c r="C397" s="35" t="str">
        <x:v>Round1</x:v>
      </x:c>
      <x:c r="D397" s="35" t="str">
        <x:v>JacksonDatabind_101</x:v>
      </x:c>
      <x:c r="E397" s="35" t="str">
        <x:v>Line</x:v>
      </x:c>
      <x:c r="F397" s="35"/>
      <x:c r="G397" s="35" t="str">
        <x:v>A</x:v>
      </x:c>
      <x:c r="H397" s="39" t="str">
        <x:f>IF(ISNUMBER('Data'!E397),'Data'!E397*100,"")</x:f>
      </x:c>
      <x:c r="I397" s="35"/>
      <x:c r="J397" s="35" t="str">
        <x:v>PASS</x:v>
      </x:c>
      <x:c r="K397" s="35" t="str">
        <x:v>FAIL</x:v>
      </x:c>
      <x:c r="L397" s="35" t="str">
        <x:v>NOT_RUN</x:v>
      </x:c>
      <x:c r="M397" s="35" t="str">
        <x:v>coverage unavailable or execution/compile failed</x:v>
      </x:c>
      <x:c r="N397" s="35" t="str">
        <x:v>Deepseek-flash-v4/Result/JacksonDatabind_101/result.json</x:v>
      </x:c>
      <x:c r="O397" s="39" t="str">
        <x:f>IF(AND(G397="RECORDED",ISNUMBER(H397)),H397,"")</x:f>
      </x:c>
      <x:c r="P397" s="35" t="str">
        <x:v>NOT_AVAILABLE</x:v>
      </x:c>
      <x:c r="Q397" s="35" t="str">
        <x:v>Deepseek-flash-v4/Result/JacksonDatabind_101/result.json</x:v>
      </x:c>
    </x:row>
    <x:row r="398">
      <x:c r="A398" s="35" t="str">
        <x:v>deepseek</x:v>
      </x:c>
      <x:c r="B398" s="35" t="str">
        <x:v>JacksonDatabind</x:v>
      </x:c>
      <x:c r="C398" s="35" t="str">
        <x:v>Round1</x:v>
      </x:c>
      <x:c r="D398" s="35" t="str">
        <x:v>JacksonDatabind_102</x:v>
      </x:c>
      <x:c r="E398" s="35" t="str">
        <x:v>Line</x:v>
      </x:c>
      <x:c r="F398" s="35"/>
      <x:c r="G398" s="35" t="str">
        <x:v>A</x:v>
      </x:c>
      <x:c r="H398" s="39" t="str">
        <x:f>IF(ISNUMBER('Data'!E398),'Data'!E398*100,"")</x:f>
      </x:c>
      <x:c r="I398" s="35"/>
      <x:c r="J398" s="35" t="str">
        <x:v>PASS</x:v>
      </x:c>
      <x:c r="K398" s="35" t="str">
        <x:v>FAIL</x:v>
      </x:c>
      <x:c r="L398" s="35" t="str">
        <x:v>NOT_RUN</x:v>
      </x:c>
      <x:c r="M398" s="35" t="str">
        <x:v>coverage unavailable or execution/compile failed</x:v>
      </x:c>
      <x:c r="N398" s="35" t="str">
        <x:v>Deepseek-flash-v4/Result/JacksonDatabind_102/result.json</x:v>
      </x:c>
      <x:c r="O398" s="39" t="str">
        <x:f>IF(AND(G398="RECORDED",ISNUMBER(H398)),H398,"")</x:f>
      </x:c>
      <x:c r="P398" s="35" t="str">
        <x:v>NOT_AVAILABLE</x:v>
      </x:c>
      <x:c r="Q398" s="35" t="str">
        <x:v>Deepseek-flash-v4/Result/JacksonDatabind_102/result.json</x:v>
      </x:c>
    </x:row>
    <x:row r="399">
      <x:c r="A399" s="35" t="str">
        <x:v>deepseek</x:v>
      </x:c>
      <x:c r="B399" s="35" t="str">
        <x:v>JacksonDatabind</x:v>
      </x:c>
      <x:c r="C399" s="35" t="str">
        <x:v>Round1</x:v>
      </x:c>
      <x:c r="D399" s="35" t="str">
        <x:v>JacksonDatabind_103</x:v>
      </x:c>
      <x:c r="E399" s="35" t="str">
        <x:v>Line</x:v>
      </x:c>
      <x:c r="F399" s="35"/>
      <x:c r="G399" s="35" t="str">
        <x:v>A</x:v>
      </x:c>
      <x:c r="H399" s="39" t="str">
        <x:f>IF(ISNUMBER('Data'!E399),'Data'!E399*100,"")</x:f>
      </x:c>
      <x:c r="I399" s="35"/>
      <x:c r="J399" s="35" t="str">
        <x:v>PASS</x:v>
      </x:c>
      <x:c r="K399" s="35" t="str">
        <x:v>FAIL</x:v>
      </x:c>
      <x:c r="L399" s="35" t="str">
        <x:v>NOT_RUN</x:v>
      </x:c>
      <x:c r="M399" s="35" t="str">
        <x:v>coverage unavailable or execution/compile failed</x:v>
      </x:c>
      <x:c r="N399" s="35" t="str">
        <x:v>Deepseek-flash-v4/Result/JacksonDatabind_103/result.json</x:v>
      </x:c>
      <x:c r="O399" s="39" t="str">
        <x:f>IF(AND(G399="RECORDED",ISNUMBER(H399)),H399,"")</x:f>
      </x:c>
      <x:c r="P399" s="35" t="str">
        <x:v>NOT_AVAILABLE</x:v>
      </x:c>
      <x:c r="Q399" s="35" t="str">
        <x:v>Deepseek-flash-v4/Result/JacksonDatabind_103/result.json</x:v>
      </x:c>
    </x:row>
    <x:row r="400">
      <x:c r="A400" s="35" t="str">
        <x:v>deepseek</x:v>
      </x:c>
      <x:c r="B400" s="35" t="str">
        <x:v>JacksonDatabind</x:v>
      </x:c>
      <x:c r="C400" s="35" t="str">
        <x:v>Round1</x:v>
      </x:c>
      <x:c r="D400" s="35" t="str">
        <x:v>JacksonDatabind_104</x:v>
      </x:c>
      <x:c r="E400" s="35" t="str">
        <x:v>Line</x:v>
      </x:c>
      <x:c r="F400" s="35"/>
      <x:c r="G400" s="35" t="str">
        <x:v>A</x:v>
      </x:c>
      <x:c r="H400" s="39" t="str">
        <x:f>IF(ISNUMBER('Data'!E400),'Data'!E400*100,"")</x:f>
      </x:c>
      <x:c r="I400" s="35"/>
      <x:c r="J400" s="35" t="str">
        <x:v>PASS</x:v>
      </x:c>
      <x:c r="K400" s="35" t="str">
        <x:v>FAIL</x:v>
      </x:c>
      <x:c r="L400" s="35" t="str">
        <x:v>NOT_RUN</x:v>
      </x:c>
      <x:c r="M400" s="35" t="str">
        <x:v>coverage unavailable or execution/compile failed</x:v>
      </x:c>
      <x:c r="N400" s="35" t="str">
        <x:v>Deepseek-flash-v4/Result/JacksonDatabind_104/result.json</x:v>
      </x:c>
      <x:c r="O400" s="39" t="str">
        <x:f>IF(AND(G400="RECORDED",ISNUMBER(H400)),H400,"")</x:f>
      </x:c>
      <x:c r="P400" s="35" t="str">
        <x:v>NOT_AVAILABLE</x:v>
      </x:c>
      <x:c r="Q400" s="35" t="str">
        <x:v>Deepseek-flash-v4/Result/JacksonDatabind_104/result.json</x:v>
      </x:c>
    </x:row>
    <x:row r="401">
      <x:c r="A401" s="35" t="str">
        <x:v>deepseek</x:v>
      </x:c>
      <x:c r="B401" s="35" t="str">
        <x:v>JacksonDatabind</x:v>
      </x:c>
      <x:c r="C401" s="35" t="str">
        <x:v>Round1</x:v>
      </x:c>
      <x:c r="D401" s="35" t="str">
        <x:v>JacksonDatabind_105</x:v>
      </x:c>
      <x:c r="E401" s="35" t="str">
        <x:v>Line</x:v>
      </x:c>
      <x:c r="F401" s="35" t="n">
        <x:v>19</x:v>
      </x:c>
      <x:c r="G401" s="35" t="str">
        <x:v>RECORDED</x:v>
      </x:c>
      <x:c r="H401" s="39" t="n">
        <x:f>IF(ISNUMBER('Data'!E401),'Data'!E401*100,"")</x:f>
        <x:v>89.47</x:v>
      </x:c>
      <x:c r="I401" s="35" t="str">
        <x:v>PASS</x:v>
      </x:c>
      <x:c r="J401" s="35" t="str">
        <x:v>PASS</x:v>
      </x:c>
      <x:c r="K401" s="35" t="str">
        <x:v>PASS</x:v>
      </x:c>
      <x:c r="L401" s="35" t="str">
        <x:v>FAIL</x:v>
      </x:c>
      <x:c r="M401" s="35" t="str">
        <x:v>numeric coverage for applicable metric</x:v>
      </x:c>
      <x:c r="N401" s="35" t="str">
        <x:v>Deepseek-flash-v4/Result/JacksonDatabind_105/result.json</x:v>
      </x:c>
      <x:c r="O401" s="39" t="n">
        <x:f>IF(AND(G401="RECORDED",ISNUMBER(H401)),H401,"")</x:f>
        <x:v>89.47</x:v>
      </x:c>
      <x:c r="P401" s="35" t="str">
        <x:v>INCONCLUSIVE</x:v>
      </x:c>
      <x:c r="Q401" s="35" t="str">
        <x:v>Deepseek-flash-v4/Result/JacksonDatabind_105/result.json</x:v>
      </x:c>
    </x:row>
    <x:row r="402">
      <x:c r="A402" s="35" t="str">
        <x:v>deepseek</x:v>
      </x:c>
      <x:c r="B402" s="35" t="str">
        <x:v>JacksonDatabind</x:v>
      </x:c>
      <x:c r="C402" s="35" t="str">
        <x:v>Round1</x:v>
      </x:c>
      <x:c r="D402" s="35" t="str">
        <x:v>JacksonDatabind_106</x:v>
      </x:c>
      <x:c r="E402" s="35" t="str">
        <x:v>Line</x:v>
      </x:c>
      <x:c r="F402" s="35"/>
      <x:c r="G402" s="35" t="str">
        <x:v>A</x:v>
      </x:c>
      <x:c r="H402" s="39" t="str">
        <x:f>IF(ISNUMBER('Data'!E402),'Data'!E402*100,"")</x:f>
      </x:c>
      <x:c r="I402" s="35"/>
      <x:c r="J402" s="35" t="str">
        <x:v>PASS</x:v>
      </x:c>
      <x:c r="K402" s="35" t="str">
        <x:v>FAIL</x:v>
      </x:c>
      <x:c r="L402" s="35" t="str">
        <x:v>NOT_RUN</x:v>
      </x:c>
      <x:c r="M402" s="35" t="str">
        <x:v>coverage unavailable or execution/compile failed</x:v>
      </x:c>
      <x:c r="N402" s="35" t="str">
        <x:v>Deepseek-flash-v4/Result/JacksonDatabind_106/result.json</x:v>
      </x:c>
      <x:c r="O402" s="39" t="str">
        <x:f>IF(AND(G402="RECORDED",ISNUMBER(H402)),H402,"")</x:f>
      </x:c>
      <x:c r="P402" s="35" t="str">
        <x:v>NOT_AVAILABLE</x:v>
      </x:c>
      <x:c r="Q402" s="35" t="str">
        <x:v>Deepseek-flash-v4/Result/JacksonDatabind_106/result.json</x:v>
      </x:c>
    </x:row>
    <x:row r="403">
      <x:c r="A403" s="35" t="str">
        <x:v>deepseek</x:v>
      </x:c>
      <x:c r="B403" s="35" t="str">
        <x:v>JacksonDatabind</x:v>
      </x:c>
      <x:c r="C403" s="35" t="str">
        <x:v>Round1</x:v>
      </x:c>
      <x:c r="D403" s="35" t="str">
        <x:v>JacksonDatabind_107</x:v>
      </x:c>
      <x:c r="E403" s="35" t="str">
        <x:v>Line</x:v>
      </x:c>
      <x:c r="F403" s="35"/>
      <x:c r="G403" s="35" t="str">
        <x:v>A</x:v>
      </x:c>
      <x:c r="H403" s="39" t="str">
        <x:f>IF(ISNUMBER('Data'!E403),'Data'!E403*100,"")</x:f>
      </x:c>
      <x:c r="I403" s="35"/>
      <x:c r="J403" s="35" t="str">
        <x:v>PASS</x:v>
      </x:c>
      <x:c r="K403" s="35" t="str">
        <x:v>FAIL</x:v>
      </x:c>
      <x:c r="L403" s="35" t="str">
        <x:v>NOT_RUN</x:v>
      </x:c>
      <x:c r="M403" s="35" t="str">
        <x:v>coverage unavailable or execution/compile failed</x:v>
      </x:c>
      <x:c r="N403" s="35" t="str">
        <x:v>Deepseek-flash-v4/Result/JacksonDatabind_107/result.json</x:v>
      </x:c>
      <x:c r="O403" s="39" t="str">
        <x:f>IF(AND(G403="RECORDED",ISNUMBER(H403)),H403,"")</x:f>
      </x:c>
      <x:c r="P403" s="35" t="str">
        <x:v>NOT_AVAILABLE</x:v>
      </x:c>
      <x:c r="Q403" s="35" t="str">
        <x:v>Deepseek-flash-v4/Result/JacksonDatabind_107/result.json</x:v>
      </x:c>
    </x:row>
    <x:row r="404">
      <x:c r="A404" s="35" t="str">
        <x:v>deepseek</x:v>
      </x:c>
      <x:c r="B404" s="35" t="str">
        <x:v>JacksonDatabind</x:v>
      </x:c>
      <x:c r="C404" s="35" t="str">
        <x:v>Round1</x:v>
      </x:c>
      <x:c r="D404" s="35" t="str">
        <x:v>JacksonDatabind_108</x:v>
      </x:c>
      <x:c r="E404" s="35" t="str">
        <x:v>Line</x:v>
      </x:c>
      <x:c r="F404" s="35"/>
      <x:c r="G404" s="35" t="str">
        <x:v>A</x:v>
      </x:c>
      <x:c r="H404" s="39" t="str">
        <x:f>IF(ISNUMBER('Data'!E404),'Data'!E404*100,"")</x:f>
      </x:c>
      <x:c r="I404" s="35"/>
      <x:c r="J404" s="35" t="str">
        <x:v>PASS</x:v>
      </x:c>
      <x:c r="K404" s="35" t="str">
        <x:v>FAIL</x:v>
      </x:c>
      <x:c r="L404" s="35" t="str">
        <x:v>NOT_RUN</x:v>
      </x:c>
      <x:c r="M404" s="35" t="str">
        <x:v>coverage unavailable or execution/compile failed</x:v>
      </x:c>
      <x:c r="N404" s="35" t="str">
        <x:v>Deepseek-flash-v4/Result/JacksonDatabind_108/result.json</x:v>
      </x:c>
      <x:c r="O404" s="39" t="str">
        <x:f>IF(AND(G404="RECORDED",ISNUMBER(H404)),H404,"")</x:f>
      </x:c>
      <x:c r="P404" s="35" t="str">
        <x:v>NOT_AVAILABLE</x:v>
      </x:c>
      <x:c r="Q404" s="35" t="str">
        <x:v>Deepseek-flash-v4/Result/JacksonDatabind_108/result.json</x:v>
      </x:c>
    </x:row>
    <x:row r="405">
      <x:c r="A405" s="35" t="str">
        <x:v>deepseek</x:v>
      </x:c>
      <x:c r="B405" s="35" t="str">
        <x:v>JacksonDatabind</x:v>
      </x:c>
      <x:c r="C405" s="35" t="str">
        <x:v>Round1</x:v>
      </x:c>
      <x:c r="D405" s="35" t="str">
        <x:v>JacksonDatabind_109</x:v>
      </x:c>
      <x:c r="E405" s="35" t="str">
        <x:v>Line</x:v>
      </x:c>
      <x:c r="F405" s="35"/>
      <x:c r="G405" s="35" t="str">
        <x:v>A</x:v>
      </x:c>
      <x:c r="H405" s="39" t="str">
        <x:f>IF(ISNUMBER('Data'!E405),'Data'!E405*100,"")</x:f>
      </x:c>
      <x:c r="I405" s="35"/>
      <x:c r="J405" s="35" t="str">
        <x:v>PASS</x:v>
      </x:c>
      <x:c r="K405" s="35" t="str">
        <x:v>FAIL</x:v>
      </x:c>
      <x:c r="L405" s="35" t="str">
        <x:v>NOT_RUN</x:v>
      </x:c>
      <x:c r="M405" s="35" t="str">
        <x:v>coverage unavailable or execution/compile failed</x:v>
      </x:c>
      <x:c r="N405" s="35" t="str">
        <x:v>Deepseek-flash-v4/Result/JacksonDatabind_109/result.json</x:v>
      </x:c>
      <x:c r="O405" s="39" t="str">
        <x:f>IF(AND(G405="RECORDED",ISNUMBER(H405)),H405,"")</x:f>
      </x:c>
      <x:c r="P405" s="35" t="str">
        <x:v>NOT_AVAILABLE</x:v>
      </x:c>
      <x:c r="Q405" s="35" t="str">
        <x:v>Deepseek-flash-v4/Result/JacksonDatabind_109/result.json</x:v>
      </x:c>
    </x:row>
    <x:row r="406">
      <x:c r="A406" s="35" t="str">
        <x:v>deepseek</x:v>
      </x:c>
      <x:c r="B406" s="35" t="str">
        <x:v>JacksonDatabind</x:v>
      </x:c>
      <x:c r="C406" s="35" t="str">
        <x:v>Round1</x:v>
      </x:c>
      <x:c r="D406" s="35" t="str">
        <x:v>JacksonDatabind_11</x:v>
      </x:c>
      <x:c r="E406" s="35" t="str">
        <x:v>Line</x:v>
      </x:c>
      <x:c r="F406" s="35"/>
      <x:c r="G406" s="35" t="str">
        <x:v>A</x:v>
      </x:c>
      <x:c r="H406" s="39" t="str">
        <x:f>IF(ISNUMBER('Data'!E406),'Data'!E406*100,"")</x:f>
      </x:c>
      <x:c r="I406" s="35"/>
      <x:c r="J406" s="35" t="str">
        <x:v>PASS</x:v>
      </x:c>
      <x:c r="K406" s="35" t="str">
        <x:v>FAIL</x:v>
      </x:c>
      <x:c r="L406" s="35" t="str">
        <x:v>NOT_RUN</x:v>
      </x:c>
      <x:c r="M406" s="35" t="str">
        <x:v>coverage unavailable or execution/compile failed</x:v>
      </x:c>
      <x:c r="N406" s="35" t="str">
        <x:v>Deepseek-flash-v4/Result/JacksonDatabind_11/result.json</x:v>
      </x:c>
      <x:c r="O406" s="39" t="str">
        <x:f>IF(AND(G406="RECORDED",ISNUMBER(H406)),H406,"")</x:f>
      </x:c>
      <x:c r="P406" s="35" t="str">
        <x:v>NOT_AVAILABLE</x:v>
      </x:c>
      <x:c r="Q406" s="35" t="str">
        <x:v>Deepseek-flash-v4/Result/JacksonDatabind_11/result.json</x:v>
      </x:c>
    </x:row>
    <x:row r="407">
      <x:c r="A407" s="35" t="str">
        <x:v>deepseek</x:v>
      </x:c>
      <x:c r="B407" s="35" t="str">
        <x:v>JacksonDatabind</x:v>
      </x:c>
      <x:c r="C407" s="35" t="str">
        <x:v>Round1</x:v>
      </x:c>
      <x:c r="D407" s="35" t="str">
        <x:v>JacksonDatabind_110</x:v>
      </x:c>
      <x:c r="E407" s="35" t="str">
        <x:v>Line</x:v>
      </x:c>
      <x:c r="F407" s="35"/>
      <x:c r="G407" s="35" t="str">
        <x:v>A</x:v>
      </x:c>
      <x:c r="H407" s="39" t="str">
        <x:f>IF(ISNUMBER('Data'!E407),'Data'!E407*100,"")</x:f>
      </x:c>
      <x:c r="I407" s="35"/>
      <x:c r="J407" s="35" t="str">
        <x:v>PASS</x:v>
      </x:c>
      <x:c r="K407" s="35" t="str">
        <x:v>FAIL</x:v>
      </x:c>
      <x:c r="L407" s="35" t="str">
        <x:v>NOT_RUN</x:v>
      </x:c>
      <x:c r="M407" s="35" t="str">
        <x:v>coverage unavailable or execution/compile failed</x:v>
      </x:c>
      <x:c r="N407" s="35" t="str">
        <x:v>Deepseek-flash-v4/Result/JacksonDatabind_110/result.json</x:v>
      </x:c>
      <x:c r="O407" s="39" t="str">
        <x:f>IF(AND(G407="RECORDED",ISNUMBER(H407)),H407,"")</x:f>
      </x:c>
      <x:c r="P407" s="35" t="str">
        <x:v>NOT_AVAILABLE</x:v>
      </x:c>
      <x:c r="Q407" s="35" t="str">
        <x:v>Deepseek-flash-v4/Result/JacksonDatabind_110/result.json</x:v>
      </x:c>
    </x:row>
    <x:row r="408">
      <x:c r="A408" s="35" t="str">
        <x:v>deepseek</x:v>
      </x:c>
      <x:c r="B408" s="35" t="str">
        <x:v>JacksonDatabind</x:v>
      </x:c>
      <x:c r="C408" s="35" t="str">
        <x:v>Round1</x:v>
      </x:c>
      <x:c r="D408" s="35" t="str">
        <x:v>JacksonDatabind_111</x:v>
      </x:c>
      <x:c r="E408" s="35" t="str">
        <x:v>Line</x:v>
      </x:c>
      <x:c r="F408" s="35"/>
      <x:c r="G408" s="35" t="str">
        <x:v>A</x:v>
      </x:c>
      <x:c r="H408" s="39" t="str">
        <x:f>IF(ISNUMBER('Data'!E408),'Data'!E408*100,"")</x:f>
      </x:c>
      <x:c r="I408" s="35"/>
      <x:c r="J408" s="35" t="str">
        <x:v>PASS</x:v>
      </x:c>
      <x:c r="K408" s="35" t="str">
        <x:v>FAIL</x:v>
      </x:c>
      <x:c r="L408" s="35" t="str">
        <x:v>NOT_RUN</x:v>
      </x:c>
      <x:c r="M408" s="35" t="str">
        <x:v>coverage unavailable or execution/compile failed</x:v>
      </x:c>
      <x:c r="N408" s="35" t="str">
        <x:v>Deepseek-flash-v4/Result/JacksonDatabind_111/result.json</x:v>
      </x:c>
      <x:c r="O408" s="39" t="str">
        <x:f>IF(AND(G408="RECORDED",ISNUMBER(H408)),H408,"")</x:f>
      </x:c>
      <x:c r="P408" s="35" t="str">
        <x:v>NOT_AVAILABLE</x:v>
      </x:c>
      <x:c r="Q408" s="35" t="str">
        <x:v>Deepseek-flash-v4/Result/JacksonDatabind_111/result.json</x:v>
      </x:c>
    </x:row>
    <x:row r="409">
      <x:c r="A409" s="35" t="str">
        <x:v>deepseek</x:v>
      </x:c>
      <x:c r="B409" s="35" t="str">
        <x:v>JacksonDatabind</x:v>
      </x:c>
      <x:c r="C409" s="35" t="str">
        <x:v>Round1</x:v>
      </x:c>
      <x:c r="D409" s="35" t="str">
        <x:v>JacksonDatabind_112</x:v>
      </x:c>
      <x:c r="E409" s="35" t="str">
        <x:v>Line</x:v>
      </x:c>
      <x:c r="F409" s="35"/>
      <x:c r="G409" s="35" t="str">
        <x:v>A</x:v>
      </x:c>
      <x:c r="H409" s="39" t="str">
        <x:f>IF(ISNUMBER('Data'!E409),'Data'!E409*100,"")</x:f>
      </x:c>
      <x:c r="I409" s="35"/>
      <x:c r="J409" s="35" t="str">
        <x:v>PASS</x:v>
      </x:c>
      <x:c r="K409" s="35" t="str">
        <x:v>FAIL</x:v>
      </x:c>
      <x:c r="L409" s="35" t="str">
        <x:v>NOT_RUN</x:v>
      </x:c>
      <x:c r="M409" s="35" t="str">
        <x:v>coverage unavailable or execution/compile failed</x:v>
      </x:c>
      <x:c r="N409" s="35" t="str">
        <x:v>Deepseek-flash-v4/Result/JacksonDatabind_112/result.json</x:v>
      </x:c>
      <x:c r="O409" s="39" t="str">
        <x:f>IF(AND(G409="RECORDED",ISNUMBER(H409)),H409,"")</x:f>
      </x:c>
      <x:c r="P409" s="35" t="str">
        <x:v>NOT_AVAILABLE</x:v>
      </x:c>
      <x:c r="Q409" s="35" t="str">
        <x:v>Deepseek-flash-v4/Result/JacksonDatabind_112/result.json</x:v>
      </x:c>
    </x:row>
    <x:row r="410">
      <x:c r="A410" s="35" t="str">
        <x:v>deepseek</x:v>
      </x:c>
      <x:c r="B410" s="35" t="str">
        <x:v>JacksonDatabind</x:v>
      </x:c>
      <x:c r="C410" s="35" t="str">
        <x:v>Round1</x:v>
      </x:c>
      <x:c r="D410" s="35" t="str">
        <x:v>JacksonDatabind_12</x:v>
      </x:c>
      <x:c r="E410" s="35" t="str">
        <x:v>Line</x:v>
      </x:c>
      <x:c r="F410" s="35"/>
      <x:c r="G410" s="35" t="str">
        <x:v>A</x:v>
      </x:c>
      <x:c r="H410" s="39" t="str">
        <x:f>IF(ISNUMBER('Data'!E410),'Data'!E410*100,"")</x:f>
      </x:c>
      <x:c r="I410" s="35"/>
      <x:c r="J410" s="35" t="str">
        <x:v>PASS</x:v>
      </x:c>
      <x:c r="K410" s="35" t="str">
        <x:v>FAIL</x:v>
      </x:c>
      <x:c r="L410" s="35" t="str">
        <x:v>NOT_RUN</x:v>
      </x:c>
      <x:c r="M410" s="35" t="str">
        <x:v>coverage unavailable or execution/compile failed</x:v>
      </x:c>
      <x:c r="N410" s="35" t="str">
        <x:v>Deepseek-flash-v4/Result/JacksonDatabind_12/result.json</x:v>
      </x:c>
      <x:c r="O410" s="39" t="str">
        <x:f>IF(AND(G410="RECORDED",ISNUMBER(H410)),H410,"")</x:f>
      </x:c>
      <x:c r="P410" s="35" t="str">
        <x:v>NOT_AVAILABLE</x:v>
      </x:c>
      <x:c r="Q410" s="35" t="str">
        <x:v>Deepseek-flash-v4/Result/JacksonDatabind_12/result.json</x:v>
      </x:c>
    </x:row>
    <x:row r="411">
      <x:c r="A411" s="35" t="str">
        <x:v>deepseek</x:v>
      </x:c>
      <x:c r="B411" s="35" t="str">
        <x:v>JacksonDatabind</x:v>
      </x:c>
      <x:c r="C411" s="35" t="str">
        <x:v>Round1</x:v>
      </x:c>
      <x:c r="D411" s="35" t="str">
        <x:v>JacksonDatabind_13</x:v>
      </x:c>
      <x:c r="E411" s="35" t="str">
        <x:v>Line</x:v>
      </x:c>
      <x:c r="F411" s="35"/>
      <x:c r="G411" s="35" t="str">
        <x:v>A</x:v>
      </x:c>
      <x:c r="H411" s="39" t="str">
        <x:f>IF(ISNUMBER('Data'!E411),'Data'!E411*100,"")</x:f>
      </x:c>
      <x:c r="I411" s="35"/>
      <x:c r="J411" s="35" t="str">
        <x:v>PASS</x:v>
      </x:c>
      <x:c r="K411" s="35" t="str">
        <x:v>FAIL</x:v>
      </x:c>
      <x:c r="L411" s="35" t="str">
        <x:v>NOT_RUN</x:v>
      </x:c>
      <x:c r="M411" s="35" t="str">
        <x:v>coverage unavailable or execution/compile failed</x:v>
      </x:c>
      <x:c r="N411" s="35" t="str">
        <x:v>Deepseek-flash-v4/Result/JacksonDatabind_13/result.json</x:v>
      </x:c>
      <x:c r="O411" s="39" t="str">
        <x:f>IF(AND(G411="RECORDED",ISNUMBER(H411)),H411,"")</x:f>
      </x:c>
      <x:c r="P411" s="35" t="str">
        <x:v>NOT_AVAILABLE</x:v>
      </x:c>
      <x:c r="Q411" s="35" t="str">
        <x:v>Deepseek-flash-v4/Result/JacksonDatabind_13/result.json</x:v>
      </x:c>
    </x:row>
    <x:row r="412">
      <x:c r="A412" s="35" t="str">
        <x:v>deepseek</x:v>
      </x:c>
      <x:c r="B412" s="35" t="str">
        <x:v>JacksonDatabind</x:v>
      </x:c>
      <x:c r="C412" s="35" t="str">
        <x:v>Round1</x:v>
      </x:c>
      <x:c r="D412" s="35" t="str">
        <x:v>JacksonDatabind_14</x:v>
      </x:c>
      <x:c r="E412" s="35" t="str">
        <x:v>Line</x:v>
      </x:c>
      <x:c r="F412" s="35"/>
      <x:c r="G412" s="35" t="str">
        <x:v>A</x:v>
      </x:c>
      <x:c r="H412" s="39" t="str">
        <x:f>IF(ISNUMBER('Data'!E412),'Data'!E412*100,"")</x:f>
      </x:c>
      <x:c r="I412" s="35"/>
      <x:c r="J412" s="35" t="str">
        <x:v>PASS</x:v>
      </x:c>
      <x:c r="K412" s="35" t="str">
        <x:v>FAIL</x:v>
      </x:c>
      <x:c r="L412" s="35" t="str">
        <x:v>NOT_RUN</x:v>
      </x:c>
      <x:c r="M412" s="35" t="str">
        <x:v>coverage unavailable or execution/compile failed</x:v>
      </x:c>
      <x:c r="N412" s="35" t="str">
        <x:v>Deepseek-flash-v4/Result/JacksonDatabind_14/result.json</x:v>
      </x:c>
      <x:c r="O412" s="39" t="str">
        <x:f>IF(AND(G412="RECORDED",ISNUMBER(H412)),H412,"")</x:f>
      </x:c>
      <x:c r="P412" s="35" t="str">
        <x:v>NOT_AVAILABLE</x:v>
      </x:c>
      <x:c r="Q412" s="35" t="str">
        <x:v>Deepseek-flash-v4/Result/JacksonDatabind_14/result.json</x:v>
      </x:c>
    </x:row>
    <x:row r="413">
      <x:c r="A413" s="35" t="str">
        <x:v>deepseek</x:v>
      </x:c>
      <x:c r="B413" s="35" t="str">
        <x:v>JacksonDatabind</x:v>
      </x:c>
      <x:c r="C413" s="35" t="str">
        <x:v>Round1</x:v>
      </x:c>
      <x:c r="D413" s="35" t="str">
        <x:v>JacksonDatabind_15</x:v>
      </x:c>
      <x:c r="E413" s="35" t="str">
        <x:v>Line</x:v>
      </x:c>
      <x:c r="F413" s="35"/>
      <x:c r="G413" s="35" t="str">
        <x:v>A</x:v>
      </x:c>
      <x:c r="H413" s="39" t="str">
        <x:f>IF(ISNUMBER('Data'!E413),'Data'!E413*100,"")</x:f>
      </x:c>
      <x:c r="I413" s="35"/>
      <x:c r="J413" s="35" t="str">
        <x:v>PASS</x:v>
      </x:c>
      <x:c r="K413" s="35" t="str">
        <x:v>FAIL</x:v>
      </x:c>
      <x:c r="L413" s="35" t="str">
        <x:v>NOT_RUN</x:v>
      </x:c>
      <x:c r="M413" s="35" t="str">
        <x:v>coverage unavailable or execution/compile failed</x:v>
      </x:c>
      <x:c r="N413" s="35" t="str">
        <x:v>Deepseek-flash-v4/Result/JacksonDatabind_15/result.json</x:v>
      </x:c>
      <x:c r="O413" s="39" t="str">
        <x:f>IF(AND(G413="RECORDED",ISNUMBER(H413)),H413,"")</x:f>
      </x:c>
      <x:c r="P413" s="35" t="str">
        <x:v>NOT_AVAILABLE</x:v>
      </x:c>
      <x:c r="Q413" s="35" t="str">
        <x:v>Deepseek-flash-v4/Result/JacksonDatabind_15/result.json</x:v>
      </x:c>
    </x:row>
    <x:row r="414">
      <x:c r="A414" s="35" t="str">
        <x:v>deepseek</x:v>
      </x:c>
      <x:c r="B414" s="35" t="str">
        <x:v>JacksonDatabind</x:v>
      </x:c>
      <x:c r="C414" s="35" t="str">
        <x:v>Round1</x:v>
      </x:c>
      <x:c r="D414" s="35" t="str">
        <x:v>JacksonDatabind_16</x:v>
      </x:c>
      <x:c r="E414" s="35" t="str">
        <x:v>Line</x:v>
      </x:c>
      <x:c r="F414" s="35" t="n">
        <x:v>35</x:v>
      </x:c>
      <x:c r="G414" s="35" t="str">
        <x:v>RECORDED</x:v>
      </x:c>
      <x:c r="H414" s="39" t="n">
        <x:f>IF(ISNUMBER('Data'!E414),'Data'!E414*100,"")</x:f>
        <x:v>100</x:v>
      </x:c>
      <x:c r="I414" s="35" t="str">
        <x:v>PASS</x:v>
      </x:c>
      <x:c r="J414" s="35" t="str">
        <x:v>PASS</x:v>
      </x:c>
      <x:c r="K414" s="35" t="str">
        <x:v>PASS</x:v>
      </x:c>
      <x:c r="L414" s="35" t="str">
        <x:v>FAIL</x:v>
      </x:c>
      <x:c r="M414" s="35" t="str">
        <x:v>numeric coverage for applicable metric</x:v>
      </x:c>
      <x:c r="N414" s="35" t="str">
        <x:v>Deepseek-flash-v4/Result/JacksonDatabind_16/result.json</x:v>
      </x:c>
      <x:c r="O414" s="39" t="n">
        <x:f>IF(AND(G414="RECORDED",ISNUMBER(H414)),H414,"")</x:f>
        <x:v>100</x:v>
      </x:c>
      <x:c r="P414" s="35" t="str">
        <x:v>INCONCLUSIVE</x:v>
      </x:c>
      <x:c r="Q414" s="35" t="str">
        <x:v>Deepseek-flash-v4/Result/JacksonDatabind_16/result.json</x:v>
      </x:c>
    </x:row>
    <x:row r="415">
      <x:c r="A415" s="35" t="str">
        <x:v>deepseek</x:v>
      </x:c>
      <x:c r="B415" s="35" t="str">
        <x:v>JacksonDatabind</x:v>
      </x:c>
      <x:c r="C415" s="35" t="str">
        <x:v>Round1</x:v>
      </x:c>
      <x:c r="D415" s="35" t="str">
        <x:v>JacksonDatabind_17</x:v>
      </x:c>
      <x:c r="E415" s="35" t="str">
        <x:v>Line</x:v>
      </x:c>
      <x:c r="F415" s="35"/>
      <x:c r="G415" s="35" t="str">
        <x:v>A</x:v>
      </x:c>
      <x:c r="H415" s="39" t="str">
        <x:f>IF(ISNUMBER('Data'!E415),'Data'!E415*100,"")</x:f>
      </x:c>
      <x:c r="I415" s="35"/>
      <x:c r="J415" s="35" t="str">
        <x:v>PASS</x:v>
      </x:c>
      <x:c r="K415" s="35" t="str">
        <x:v>FAIL</x:v>
      </x:c>
      <x:c r="L415" s="35" t="str">
        <x:v>NOT_RUN</x:v>
      </x:c>
      <x:c r="M415" s="35" t="str">
        <x:v>coverage unavailable or execution/compile failed</x:v>
      </x:c>
      <x:c r="N415" s="35" t="str">
        <x:v>Deepseek-flash-v4/Result/JacksonDatabind_17/result.json</x:v>
      </x:c>
      <x:c r="O415" s="39" t="str">
        <x:f>IF(AND(G415="RECORDED",ISNUMBER(H415)),H415,"")</x:f>
      </x:c>
      <x:c r="P415" s="35" t="str">
        <x:v>NOT_AVAILABLE</x:v>
      </x:c>
      <x:c r="Q415" s="35" t="str">
        <x:v>Deepseek-flash-v4/Result/JacksonDatabind_17/result.json</x:v>
      </x:c>
    </x:row>
    <x:row r="416">
      <x:c r="A416" s="35" t="str">
        <x:v>deepseek</x:v>
      </x:c>
      <x:c r="B416" s="35" t="str">
        <x:v>JacksonDatabind</x:v>
      </x:c>
      <x:c r="C416" s="35" t="str">
        <x:v>Round1</x:v>
      </x:c>
      <x:c r="D416" s="35" t="str">
        <x:v>JacksonDatabind_18</x:v>
      </x:c>
      <x:c r="E416" s="35" t="str">
        <x:v>Line</x:v>
      </x:c>
      <x:c r="F416" s="35"/>
      <x:c r="G416" s="35" t="str">
        <x:v>A</x:v>
      </x:c>
      <x:c r="H416" s="39" t="str">
        <x:f>IF(ISNUMBER('Data'!E416),'Data'!E416*100,"")</x:f>
      </x:c>
      <x:c r="I416" s="35"/>
      <x:c r="J416" s="35" t="str">
        <x:v>PASS</x:v>
      </x:c>
      <x:c r="K416" s="35" t="str">
        <x:v>FAIL</x:v>
      </x:c>
      <x:c r="L416" s="35" t="str">
        <x:v>NOT_RUN</x:v>
      </x:c>
      <x:c r="M416" s="35" t="str">
        <x:v>coverage unavailable or execution/compile failed</x:v>
      </x:c>
      <x:c r="N416" s="35" t="str">
        <x:v>Deepseek-flash-v4/Result/JacksonDatabind_18/result.json</x:v>
      </x:c>
      <x:c r="O416" s="39" t="str">
        <x:f>IF(AND(G416="RECORDED",ISNUMBER(H416)),H416,"")</x:f>
      </x:c>
      <x:c r="P416" s="35" t="str">
        <x:v>NOT_AVAILABLE</x:v>
      </x:c>
      <x:c r="Q416" s="35" t="str">
        <x:v>Deepseek-flash-v4/Result/JacksonDatabind_18/result.json</x:v>
      </x:c>
    </x:row>
    <x:row r="417">
      <x:c r="A417" s="35" t="str">
        <x:v>deepseek</x:v>
      </x:c>
      <x:c r="B417" s="35" t="str">
        <x:v>JacksonDatabind</x:v>
      </x:c>
      <x:c r="C417" s="35" t="str">
        <x:v>Round1</x:v>
      </x:c>
      <x:c r="D417" s="35" t="str">
        <x:v>JacksonDatabind_19</x:v>
      </x:c>
      <x:c r="E417" s="35" t="str">
        <x:v>Line</x:v>
      </x:c>
      <x:c r="F417" s="35"/>
      <x:c r="G417" s="35" t="str">
        <x:v>A</x:v>
      </x:c>
      <x:c r="H417" s="39" t="str">
        <x:f>IF(ISNUMBER('Data'!E417),'Data'!E417*100,"")</x:f>
      </x:c>
      <x:c r="I417" s="35"/>
      <x:c r="J417" s="35" t="str">
        <x:v>PASS</x:v>
      </x:c>
      <x:c r="K417" s="35" t="str">
        <x:v>FAIL</x:v>
      </x:c>
      <x:c r="L417" s="35" t="str">
        <x:v>NOT_RUN</x:v>
      </x:c>
      <x:c r="M417" s="35" t="str">
        <x:v>coverage unavailable or execution/compile failed</x:v>
      </x:c>
      <x:c r="N417" s="35" t="str">
        <x:v>Deepseek-flash-v4/Result/JacksonDatabind_19/result.json</x:v>
      </x:c>
      <x:c r="O417" s="39" t="str">
        <x:f>IF(AND(G417="RECORDED",ISNUMBER(H417)),H417,"")</x:f>
      </x:c>
      <x:c r="P417" s="35" t="str">
        <x:v>NOT_AVAILABLE</x:v>
      </x:c>
      <x:c r="Q417" s="35" t="str">
        <x:v>Deepseek-flash-v4/Result/JacksonDatabind_19/result.json</x:v>
      </x:c>
    </x:row>
    <x:row r="418">
      <x:c r="A418" s="35" t="str">
        <x:v>deepseek</x:v>
      </x:c>
      <x:c r="B418" s="35" t="str">
        <x:v>JacksonDatabind</x:v>
      </x:c>
      <x:c r="C418" s="35" t="str">
        <x:v>Round1</x:v>
      </x:c>
      <x:c r="D418" s="35" t="str">
        <x:v>JacksonDatabind_2</x:v>
      </x:c>
      <x:c r="E418" s="35" t="str">
        <x:v>Line</x:v>
      </x:c>
      <x:c r="F418" s="35"/>
      <x:c r="G418" s="35" t="str">
        <x:v>A</x:v>
      </x:c>
      <x:c r="H418" s="39" t="str">
        <x:f>IF(ISNUMBER('Data'!E418),'Data'!E418*100,"")</x:f>
      </x:c>
      <x:c r="I418" s="35"/>
      <x:c r="J418" s="35" t="str">
        <x:v>PASS</x:v>
      </x:c>
      <x:c r="K418" s="35" t="str">
        <x:v>FAIL</x:v>
      </x:c>
      <x:c r="L418" s="35" t="str">
        <x:v>NOT_RUN</x:v>
      </x:c>
      <x:c r="M418" s="35" t="str">
        <x:v>coverage unavailable or execution/compile failed</x:v>
      </x:c>
      <x:c r="N418" s="35" t="str">
        <x:v>Deepseek-flash-v4/Result/JacksonDatabind_2/result.json</x:v>
      </x:c>
      <x:c r="O418" s="39" t="str">
        <x:f>IF(AND(G418="RECORDED",ISNUMBER(H418)),H418,"")</x:f>
      </x:c>
      <x:c r="P418" s="35" t="str">
        <x:v>NOT_AVAILABLE</x:v>
      </x:c>
      <x:c r="Q418" s="35" t="str">
        <x:v>Deepseek-flash-v4/Result/JacksonDatabind_2/result.json</x:v>
      </x:c>
    </x:row>
    <x:row r="419">
      <x:c r="A419" s="35" t="str">
        <x:v>deepseek</x:v>
      </x:c>
      <x:c r="B419" s="35" t="str">
        <x:v>JacksonDatabind</x:v>
      </x:c>
      <x:c r="C419" s="35" t="str">
        <x:v>Round1</x:v>
      </x:c>
      <x:c r="D419" s="35" t="str">
        <x:v>JacksonDatabind_20</x:v>
      </x:c>
      <x:c r="E419" s="35" t="str">
        <x:v>Line</x:v>
      </x:c>
      <x:c r="F419" s="35"/>
      <x:c r="G419" s="35" t="str">
        <x:v>A</x:v>
      </x:c>
      <x:c r="H419" s="39" t="str">
        <x:f>IF(ISNUMBER('Data'!E419),'Data'!E419*100,"")</x:f>
      </x:c>
      <x:c r="I419" s="35"/>
      <x:c r="J419" s="35" t="str">
        <x:v>PASS</x:v>
      </x:c>
      <x:c r="K419" s="35" t="str">
        <x:v>FAIL</x:v>
      </x:c>
      <x:c r="L419" s="35" t="str">
        <x:v>NOT_RUN</x:v>
      </x:c>
      <x:c r="M419" s="35" t="str">
        <x:v>coverage unavailable or execution/compile failed</x:v>
      </x:c>
      <x:c r="N419" s="35" t="str">
        <x:v>Deepseek-flash-v4/Result/JacksonDatabind_20/result.json</x:v>
      </x:c>
      <x:c r="O419" s="39" t="str">
        <x:f>IF(AND(G419="RECORDED",ISNUMBER(H419)),H419,"")</x:f>
      </x:c>
      <x:c r="P419" s="35" t="str">
        <x:v>NOT_AVAILABLE</x:v>
      </x:c>
      <x:c r="Q419" s="35" t="str">
        <x:v>Deepseek-flash-v4/Result/JacksonDatabind_20/result.json</x:v>
      </x:c>
    </x:row>
    <x:row r="420">
      <x:c r="A420" s="35" t="str">
        <x:v>deepseek</x:v>
      </x:c>
      <x:c r="B420" s="35" t="str">
        <x:v>JacksonDatabind</x:v>
      </x:c>
      <x:c r="C420" s="35" t="str">
        <x:v>Round1</x:v>
      </x:c>
      <x:c r="D420" s="35" t="str">
        <x:v>JacksonDatabind_21</x:v>
      </x:c>
      <x:c r="E420" s="35" t="str">
        <x:v>Line</x:v>
      </x:c>
      <x:c r="F420" s="35"/>
      <x:c r="G420" s="35" t="str">
        <x:v>A</x:v>
      </x:c>
      <x:c r="H420" s="39" t="str">
        <x:f>IF(ISNUMBER('Data'!E420),'Data'!E420*100,"")</x:f>
      </x:c>
      <x:c r="I420" s="35"/>
      <x:c r="J420" s="35" t="str">
        <x:v>PASS</x:v>
      </x:c>
      <x:c r="K420" s="35" t="str">
        <x:v>FAIL</x:v>
      </x:c>
      <x:c r="L420" s="35" t="str">
        <x:v>NOT_RUN</x:v>
      </x:c>
      <x:c r="M420" s="35" t="str">
        <x:v>coverage unavailable or execution/compile failed</x:v>
      </x:c>
      <x:c r="N420" s="35" t="str">
        <x:v>Deepseek-flash-v4/Result/JacksonDatabind_21/result.json</x:v>
      </x:c>
      <x:c r="O420" s="39" t="str">
        <x:f>IF(AND(G420="RECORDED",ISNUMBER(H420)),H420,"")</x:f>
      </x:c>
      <x:c r="P420" s="35" t="str">
        <x:v>NOT_AVAILABLE</x:v>
      </x:c>
      <x:c r="Q420" s="35" t="str">
        <x:v>Deepseek-flash-v4/Result/JacksonDatabind_21/result.json</x:v>
      </x:c>
    </x:row>
    <x:row r="421">
      <x:c r="A421" s="35" t="str">
        <x:v>deepseek</x:v>
      </x:c>
      <x:c r="B421" s="35" t="str">
        <x:v>JacksonDatabind</x:v>
      </x:c>
      <x:c r="C421" s="35" t="str">
        <x:v>Round1</x:v>
      </x:c>
      <x:c r="D421" s="35" t="str">
        <x:v>JacksonDatabind_22</x:v>
      </x:c>
      <x:c r="E421" s="35" t="str">
        <x:v>Line</x:v>
      </x:c>
      <x:c r="F421" s="35"/>
      <x:c r="G421" s="35" t="str">
        <x:v>A</x:v>
      </x:c>
      <x:c r="H421" s="39" t="str">
        <x:f>IF(ISNUMBER('Data'!E421),'Data'!E421*100,"")</x:f>
      </x:c>
      <x:c r="I421" s="35"/>
      <x:c r="J421" s="35" t="str">
        <x:v>PASS</x:v>
      </x:c>
      <x:c r="K421" s="35" t="str">
        <x:v>FAIL</x:v>
      </x:c>
      <x:c r="L421" s="35" t="str">
        <x:v>NOT_RUN</x:v>
      </x:c>
      <x:c r="M421" s="35" t="str">
        <x:v>coverage unavailable or execution/compile failed</x:v>
      </x:c>
      <x:c r="N421" s="35" t="str">
        <x:v>Deepseek-flash-v4/Result/JacksonDatabind_22/result.json</x:v>
      </x:c>
      <x:c r="O421" s="39" t="str">
        <x:f>IF(AND(G421="RECORDED",ISNUMBER(H421)),H421,"")</x:f>
      </x:c>
      <x:c r="P421" s="35" t="str">
        <x:v>NOT_AVAILABLE</x:v>
      </x:c>
      <x:c r="Q421" s="35" t="str">
        <x:v>Deepseek-flash-v4/Result/JacksonDatabind_22/result.json</x:v>
      </x:c>
    </x:row>
    <x:row r="422">
      <x:c r="A422" s="35" t="str">
        <x:v>deepseek</x:v>
      </x:c>
      <x:c r="B422" s="35" t="str">
        <x:v>JacksonDatabind</x:v>
      </x:c>
      <x:c r="C422" s="35" t="str">
        <x:v>Round1</x:v>
      </x:c>
      <x:c r="D422" s="35" t="str">
        <x:v>JacksonDatabind_23</x:v>
      </x:c>
      <x:c r="E422" s="35" t="str">
        <x:v>Line</x:v>
      </x:c>
      <x:c r="F422" s="35"/>
      <x:c r="G422" s="35" t="str">
        <x:v>A</x:v>
      </x:c>
      <x:c r="H422" s="39" t="str">
        <x:f>IF(ISNUMBER('Data'!E422),'Data'!E422*100,"")</x:f>
      </x:c>
      <x:c r="I422" s="35"/>
      <x:c r="J422" s="35" t="str">
        <x:v>PASS</x:v>
      </x:c>
      <x:c r="K422" s="35" t="str">
        <x:v>FAIL</x:v>
      </x:c>
      <x:c r="L422" s="35" t="str">
        <x:v>NOT_RUN</x:v>
      </x:c>
      <x:c r="M422" s="35" t="str">
        <x:v>coverage unavailable or execution/compile failed</x:v>
      </x:c>
      <x:c r="N422" s="35" t="str">
        <x:v>Deepseek-flash-v4/Result/JacksonDatabind_23/result.json</x:v>
      </x:c>
      <x:c r="O422" s="39" t="str">
        <x:f>IF(AND(G422="RECORDED",ISNUMBER(H422)),H422,"")</x:f>
      </x:c>
      <x:c r="P422" s="35" t="str">
        <x:v>NOT_AVAILABLE</x:v>
      </x:c>
      <x:c r="Q422" s="35" t="str">
        <x:v>Deepseek-flash-v4/Result/JacksonDatabind_23/result.json</x:v>
      </x:c>
    </x:row>
    <x:row r="423">
      <x:c r="A423" s="35" t="str">
        <x:v>deepseek</x:v>
      </x:c>
      <x:c r="B423" s="35" t="str">
        <x:v>JacksonDatabind</x:v>
      </x:c>
      <x:c r="C423" s="35" t="str">
        <x:v>Round1</x:v>
      </x:c>
      <x:c r="D423" s="35" t="str">
        <x:v>JacksonDatabind_24</x:v>
      </x:c>
      <x:c r="E423" s="35" t="str">
        <x:v>Line</x:v>
      </x:c>
      <x:c r="F423" s="35"/>
      <x:c r="G423" s="35" t="str">
        <x:v>A</x:v>
      </x:c>
      <x:c r="H423" s="39" t="str">
        <x:f>IF(ISNUMBER('Data'!E423),'Data'!E423*100,"")</x:f>
      </x:c>
      <x:c r="I423" s="35"/>
      <x:c r="J423" s="35" t="str">
        <x:v>PASS</x:v>
      </x:c>
      <x:c r="K423" s="35" t="str">
        <x:v>FAIL</x:v>
      </x:c>
      <x:c r="L423" s="35" t="str">
        <x:v>NOT_RUN</x:v>
      </x:c>
      <x:c r="M423" s="35" t="str">
        <x:v>coverage unavailable or execution/compile failed</x:v>
      </x:c>
      <x:c r="N423" s="35" t="str">
        <x:v>Deepseek-flash-v4/Result/JacksonDatabind_24/result.json</x:v>
      </x:c>
      <x:c r="O423" s="39" t="str">
        <x:f>IF(AND(G423="RECORDED",ISNUMBER(H423)),H423,"")</x:f>
      </x:c>
      <x:c r="P423" s="35" t="str">
        <x:v>NOT_AVAILABLE</x:v>
      </x:c>
      <x:c r="Q423" s="35" t="str">
        <x:v>Deepseek-flash-v4/Result/JacksonDatabind_24/result.json</x:v>
      </x:c>
    </x:row>
    <x:row r="424">
      <x:c r="A424" s="35" t="str">
        <x:v>deepseek</x:v>
      </x:c>
      <x:c r="B424" s="35" t="str">
        <x:v>JacksonDatabind</x:v>
      </x:c>
      <x:c r="C424" s="35" t="str">
        <x:v>Round1</x:v>
      </x:c>
      <x:c r="D424" s="35" t="str">
        <x:v>JacksonDatabind_25</x:v>
      </x:c>
      <x:c r="E424" s="35" t="str">
        <x:v>Line</x:v>
      </x:c>
      <x:c r="F424" s="35"/>
      <x:c r="G424" s="35" t="str">
        <x:v>A</x:v>
      </x:c>
      <x:c r="H424" s="39" t="str">
        <x:f>IF(ISNUMBER('Data'!E424),'Data'!E424*100,"")</x:f>
      </x:c>
      <x:c r="I424" s="35"/>
      <x:c r="J424" s="35" t="str">
        <x:v>PASS</x:v>
      </x:c>
      <x:c r="K424" s="35" t="str">
        <x:v>FAIL</x:v>
      </x:c>
      <x:c r="L424" s="35" t="str">
        <x:v>NOT_RUN</x:v>
      </x:c>
      <x:c r="M424" s="35" t="str">
        <x:v>coverage unavailable or execution/compile failed</x:v>
      </x:c>
      <x:c r="N424" s="35" t="str">
        <x:v>Deepseek-flash-v4/Result/JacksonDatabind_25/result.json</x:v>
      </x:c>
      <x:c r="O424" s="39" t="str">
        <x:f>IF(AND(G424="RECORDED",ISNUMBER(H424)),H424,"")</x:f>
      </x:c>
      <x:c r="P424" s="35" t="str">
        <x:v>NOT_AVAILABLE</x:v>
      </x:c>
      <x:c r="Q424" s="35" t="str">
        <x:v>Deepseek-flash-v4/Result/JacksonDatabind_25/result.json</x:v>
      </x:c>
    </x:row>
    <x:row r="425">
      <x:c r="A425" s="35" t="str">
        <x:v>deepseek</x:v>
      </x:c>
      <x:c r="B425" s="35" t="str">
        <x:v>JacksonDatabind</x:v>
      </x:c>
      <x:c r="C425" s="35" t="str">
        <x:v>Round1</x:v>
      </x:c>
      <x:c r="D425" s="35" t="str">
        <x:v>JacksonDatabind_26</x:v>
      </x:c>
      <x:c r="E425" s="35" t="str">
        <x:v>Line</x:v>
      </x:c>
      <x:c r="F425" s="35"/>
      <x:c r="G425" s="35" t="str">
        <x:v>A</x:v>
      </x:c>
      <x:c r="H425" s="39" t="str">
        <x:f>IF(ISNUMBER('Data'!E425),'Data'!E425*100,"")</x:f>
      </x:c>
      <x:c r="I425" s="35"/>
      <x:c r="J425" s="35" t="str">
        <x:v>PASS</x:v>
      </x:c>
      <x:c r="K425" s="35" t="str">
        <x:v>FAIL</x:v>
      </x:c>
      <x:c r="L425" s="35" t="str">
        <x:v>NOT_RUN</x:v>
      </x:c>
      <x:c r="M425" s="35" t="str">
        <x:v>coverage unavailable or execution/compile failed</x:v>
      </x:c>
      <x:c r="N425" s="35" t="str">
        <x:v>Deepseek-flash-v4/Result/JacksonDatabind_26/result.json</x:v>
      </x:c>
      <x:c r="O425" s="39" t="str">
        <x:f>IF(AND(G425="RECORDED",ISNUMBER(H425)),H425,"")</x:f>
      </x:c>
      <x:c r="P425" s="35" t="str">
        <x:v>NOT_AVAILABLE</x:v>
      </x:c>
      <x:c r="Q425" s="35" t="str">
        <x:v>Deepseek-flash-v4/Result/JacksonDatabind_26/result.json</x:v>
      </x:c>
    </x:row>
    <x:row r="426">
      <x:c r="A426" s="35" t="str">
        <x:v>deepseek</x:v>
      </x:c>
      <x:c r="B426" s="35" t="str">
        <x:v>JacksonDatabind</x:v>
      </x:c>
      <x:c r="C426" s="35" t="str">
        <x:v>Round1</x:v>
      </x:c>
      <x:c r="D426" s="35" t="str">
        <x:v>JacksonDatabind_27</x:v>
      </x:c>
      <x:c r="E426" s="35" t="str">
        <x:v>Line</x:v>
      </x:c>
      <x:c r="F426" s="35"/>
      <x:c r="G426" s="35" t="str">
        <x:v>A</x:v>
      </x:c>
      <x:c r="H426" s="39" t="str">
        <x:f>IF(ISNUMBER('Data'!E426),'Data'!E426*100,"")</x:f>
      </x:c>
      <x:c r="I426" s="35"/>
      <x:c r="J426" s="35" t="str">
        <x:v>PASS</x:v>
      </x:c>
      <x:c r="K426" s="35" t="str">
        <x:v>FAIL</x:v>
      </x:c>
      <x:c r="L426" s="35" t="str">
        <x:v>NOT_RUN</x:v>
      </x:c>
      <x:c r="M426" s="35" t="str">
        <x:v>coverage unavailable or execution/compile failed</x:v>
      </x:c>
      <x:c r="N426" s="35" t="str">
        <x:v>Deepseek-flash-v4/Result/JacksonDatabind_27/result.json</x:v>
      </x:c>
      <x:c r="O426" s="39" t="str">
        <x:f>IF(AND(G426="RECORDED",ISNUMBER(H426)),H426,"")</x:f>
      </x:c>
      <x:c r="P426" s="35" t="str">
        <x:v>NOT_AVAILABLE</x:v>
      </x:c>
      <x:c r="Q426" s="35" t="str">
        <x:v>Deepseek-flash-v4/Result/JacksonDatabind_27/result.json</x:v>
      </x:c>
    </x:row>
    <x:row r="427">
      <x:c r="A427" s="35" t="str">
        <x:v>deepseek</x:v>
      </x:c>
      <x:c r="B427" s="35" t="str">
        <x:v>JacksonDatabind</x:v>
      </x:c>
      <x:c r="C427" s="35" t="str">
        <x:v>Round1</x:v>
      </x:c>
      <x:c r="D427" s="35" t="str">
        <x:v>JacksonDatabind_28</x:v>
      </x:c>
      <x:c r="E427" s="35" t="str">
        <x:v>Line</x:v>
      </x:c>
      <x:c r="F427" s="35"/>
      <x:c r="G427" s="35" t="str">
        <x:v>A</x:v>
      </x:c>
      <x:c r="H427" s="39" t="str">
        <x:f>IF(ISNUMBER('Data'!E427),'Data'!E427*100,"")</x:f>
      </x:c>
      <x:c r="I427" s="35"/>
      <x:c r="J427" s="35" t="str">
        <x:v>PASS</x:v>
      </x:c>
      <x:c r="K427" s="35" t="str">
        <x:v>FAIL</x:v>
      </x:c>
      <x:c r="L427" s="35" t="str">
        <x:v>NOT_RUN</x:v>
      </x:c>
      <x:c r="M427" s="35" t="str">
        <x:v>coverage unavailable or execution/compile failed</x:v>
      </x:c>
      <x:c r="N427" s="35" t="str">
        <x:v>Deepseek-flash-v4/Result/JacksonDatabind_28/result.json</x:v>
      </x:c>
      <x:c r="O427" s="39" t="str">
        <x:f>IF(AND(G427="RECORDED",ISNUMBER(H427)),H427,"")</x:f>
      </x:c>
      <x:c r="P427" s="35" t="str">
        <x:v>NOT_AVAILABLE</x:v>
      </x:c>
      <x:c r="Q427" s="35" t="str">
        <x:v>Deepseek-flash-v4/Result/JacksonDatabind_28/result.json</x:v>
      </x:c>
    </x:row>
    <x:row r="428">
      <x:c r="A428" s="35" t="str">
        <x:v>deepseek</x:v>
      </x:c>
      <x:c r="B428" s="35" t="str">
        <x:v>JacksonDatabind</x:v>
      </x:c>
      <x:c r="C428" s="35" t="str">
        <x:v>Round1</x:v>
      </x:c>
      <x:c r="D428" s="35" t="str">
        <x:v>JacksonDatabind_29</x:v>
      </x:c>
      <x:c r="E428" s="35" t="str">
        <x:v>Line</x:v>
      </x:c>
      <x:c r="F428" s="35"/>
      <x:c r="G428" s="35" t="str">
        <x:v>A</x:v>
      </x:c>
      <x:c r="H428" s="39" t="str">
        <x:f>IF(ISNUMBER('Data'!E428),'Data'!E428*100,"")</x:f>
      </x:c>
      <x:c r="I428" s="35"/>
      <x:c r="J428" s="35" t="str">
        <x:v>PASS</x:v>
      </x:c>
      <x:c r="K428" s="35" t="str">
        <x:v>FAIL</x:v>
      </x:c>
      <x:c r="L428" s="35" t="str">
        <x:v>NOT_RUN</x:v>
      </x:c>
      <x:c r="M428" s="35" t="str">
        <x:v>coverage unavailable or execution/compile failed</x:v>
      </x:c>
      <x:c r="N428" s="35" t="str">
        <x:v>Deepseek-flash-v4/Result/JacksonDatabind_29/result.json</x:v>
      </x:c>
      <x:c r="O428" s="39" t="str">
        <x:f>IF(AND(G428="RECORDED",ISNUMBER(H428)),H428,"")</x:f>
      </x:c>
      <x:c r="P428" s="35" t="str">
        <x:v>NOT_AVAILABLE</x:v>
      </x:c>
      <x:c r="Q428" s="35" t="str">
        <x:v>Deepseek-flash-v4/Result/JacksonDatabind_29/result.json</x:v>
      </x:c>
    </x:row>
    <x:row r="429">
      <x:c r="A429" s="35" t="str">
        <x:v>deepseek</x:v>
      </x:c>
      <x:c r="B429" s="35" t="str">
        <x:v>JacksonDatabind</x:v>
      </x:c>
      <x:c r="C429" s="35" t="str">
        <x:v>Round1</x:v>
      </x:c>
      <x:c r="D429" s="35" t="str">
        <x:v>JacksonDatabind_3</x:v>
      </x:c>
      <x:c r="E429" s="35" t="str">
        <x:v>Line</x:v>
      </x:c>
      <x:c r="F429" s="35"/>
      <x:c r="G429" s="35" t="str">
        <x:v>A</x:v>
      </x:c>
      <x:c r="H429" s="39" t="str">
        <x:f>IF(ISNUMBER('Data'!E429),'Data'!E429*100,"")</x:f>
      </x:c>
      <x:c r="I429" s="35"/>
      <x:c r="J429" s="35" t="str">
        <x:v>PASS</x:v>
      </x:c>
      <x:c r="K429" s="35" t="str">
        <x:v>FAIL</x:v>
      </x:c>
      <x:c r="L429" s="35" t="str">
        <x:v>NOT_RUN</x:v>
      </x:c>
      <x:c r="M429" s="35" t="str">
        <x:v>coverage unavailable or execution/compile failed</x:v>
      </x:c>
      <x:c r="N429" s="35" t="str">
        <x:v>Deepseek-flash-v4/Result/JacksonDatabind_3/result.json</x:v>
      </x:c>
      <x:c r="O429" s="39" t="str">
        <x:f>IF(AND(G429="RECORDED",ISNUMBER(H429)),H429,"")</x:f>
      </x:c>
      <x:c r="P429" s="35" t="str">
        <x:v>NOT_AVAILABLE</x:v>
      </x:c>
      <x:c r="Q429" s="35" t="str">
        <x:v>Deepseek-flash-v4/Result/JacksonDatabind_3/result.json</x:v>
      </x:c>
    </x:row>
    <x:row r="430">
      <x:c r="A430" s="35" t="str">
        <x:v>deepseek</x:v>
      </x:c>
      <x:c r="B430" s="35" t="str">
        <x:v>JacksonDatabind</x:v>
      </x:c>
      <x:c r="C430" s="35" t="str">
        <x:v>Round1</x:v>
      </x:c>
      <x:c r="D430" s="35" t="str">
        <x:v>JacksonDatabind_30</x:v>
      </x:c>
      <x:c r="E430" s="35" t="str">
        <x:v>Line</x:v>
      </x:c>
      <x:c r="F430" s="35"/>
      <x:c r="G430" s="35" t="str">
        <x:v>A</x:v>
      </x:c>
      <x:c r="H430" s="39" t="str">
        <x:f>IF(ISNUMBER('Data'!E430),'Data'!E430*100,"")</x:f>
      </x:c>
      <x:c r="I430" s="35"/>
      <x:c r="J430" s="35" t="str">
        <x:v>PASS</x:v>
      </x:c>
      <x:c r="K430" s="35" t="str">
        <x:v>FAIL</x:v>
      </x:c>
      <x:c r="L430" s="35" t="str">
        <x:v>NOT_RUN</x:v>
      </x:c>
      <x:c r="M430" s="35" t="str">
        <x:v>coverage unavailable or execution/compile failed</x:v>
      </x:c>
      <x:c r="N430" s="35" t="str">
        <x:v>Deepseek-flash-v4/Result/JacksonDatabind_30/result.json</x:v>
      </x:c>
      <x:c r="O430" s="39" t="str">
        <x:f>IF(AND(G430="RECORDED",ISNUMBER(H430)),H430,"")</x:f>
      </x:c>
      <x:c r="P430" s="35" t="str">
        <x:v>NOT_AVAILABLE</x:v>
      </x:c>
      <x:c r="Q430" s="35" t="str">
        <x:v>Deepseek-flash-v4/Result/JacksonDatabind_30/result.json</x:v>
      </x:c>
    </x:row>
    <x:row r="431">
      <x:c r="A431" s="35" t="str">
        <x:v>deepseek</x:v>
      </x:c>
      <x:c r="B431" s="35" t="str">
        <x:v>JacksonDatabind</x:v>
      </x:c>
      <x:c r="C431" s="35" t="str">
        <x:v>Round1</x:v>
      </x:c>
      <x:c r="D431" s="35" t="str">
        <x:v>JacksonDatabind_31</x:v>
      </x:c>
      <x:c r="E431" s="35" t="str">
        <x:v>Line</x:v>
      </x:c>
      <x:c r="F431" s="35"/>
      <x:c r="G431" s="35" t="str">
        <x:v>A</x:v>
      </x:c>
      <x:c r="H431" s="39" t="str">
        <x:f>IF(ISNUMBER('Data'!E431),'Data'!E431*100,"")</x:f>
      </x:c>
      <x:c r="I431" s="35"/>
      <x:c r="J431" s="35" t="str">
        <x:v>PASS</x:v>
      </x:c>
      <x:c r="K431" s="35" t="str">
        <x:v>FAIL</x:v>
      </x:c>
      <x:c r="L431" s="35" t="str">
        <x:v>NOT_RUN</x:v>
      </x:c>
      <x:c r="M431" s="35" t="str">
        <x:v>coverage unavailable or execution/compile failed</x:v>
      </x:c>
      <x:c r="N431" s="35" t="str">
        <x:v>Deepseek-flash-v4/Result/JacksonDatabind_31/result.json</x:v>
      </x:c>
      <x:c r="O431" s="39" t="str">
        <x:f>IF(AND(G431="RECORDED",ISNUMBER(H431)),H431,"")</x:f>
      </x:c>
      <x:c r="P431" s="35" t="str">
        <x:v>NOT_AVAILABLE</x:v>
      </x:c>
      <x:c r="Q431" s="35" t="str">
        <x:v>Deepseek-flash-v4/Result/JacksonDatabind_31/result.json</x:v>
      </x:c>
    </x:row>
    <x:row r="432">
      <x:c r="A432" s="35" t="str">
        <x:v>deepseek</x:v>
      </x:c>
      <x:c r="B432" s="35" t="str">
        <x:v>JacksonDatabind</x:v>
      </x:c>
      <x:c r="C432" s="35" t="str">
        <x:v>Round1</x:v>
      </x:c>
      <x:c r="D432" s="35" t="str">
        <x:v>JacksonDatabind_32</x:v>
      </x:c>
      <x:c r="E432" s="35" t="str">
        <x:v>Line</x:v>
      </x:c>
      <x:c r="F432" s="35"/>
      <x:c r="G432" s="35" t="str">
        <x:v>A</x:v>
      </x:c>
      <x:c r="H432" s="39" t="str">
        <x:f>IF(ISNUMBER('Data'!E432),'Data'!E432*100,"")</x:f>
      </x:c>
      <x:c r="I432" s="35"/>
      <x:c r="J432" s="35" t="str">
        <x:v>PASS</x:v>
      </x:c>
      <x:c r="K432" s="35" t="str">
        <x:v>FAIL</x:v>
      </x:c>
      <x:c r="L432" s="35" t="str">
        <x:v>NOT_RUN</x:v>
      </x:c>
      <x:c r="M432" s="35" t="str">
        <x:v>coverage unavailable or execution/compile failed</x:v>
      </x:c>
      <x:c r="N432" s="35" t="str">
        <x:v>Deepseek-flash-v4/Result/JacksonDatabind_32/result.json</x:v>
      </x:c>
      <x:c r="O432" s="39" t="str">
        <x:f>IF(AND(G432="RECORDED",ISNUMBER(H432)),H432,"")</x:f>
      </x:c>
      <x:c r="P432" s="35" t="str">
        <x:v>NOT_AVAILABLE</x:v>
      </x:c>
      <x:c r="Q432" s="35" t="str">
        <x:v>Deepseek-flash-v4/Result/JacksonDatabind_32/result.json</x:v>
      </x:c>
    </x:row>
    <x:row r="433">
      <x:c r="A433" s="35" t="str">
        <x:v>deepseek</x:v>
      </x:c>
      <x:c r="B433" s="35" t="str">
        <x:v>JacksonDatabind</x:v>
      </x:c>
      <x:c r="C433" s="35" t="str">
        <x:v>Round1</x:v>
      </x:c>
      <x:c r="D433" s="35" t="str">
        <x:v>JacksonDatabind_33</x:v>
      </x:c>
      <x:c r="E433" s="35" t="str">
        <x:v>Line</x:v>
      </x:c>
      <x:c r="F433" s="35"/>
      <x:c r="G433" s="35" t="str">
        <x:v>A</x:v>
      </x:c>
      <x:c r="H433" s="39" t="str">
        <x:f>IF(ISNUMBER('Data'!E433),'Data'!E433*100,"")</x:f>
      </x:c>
      <x:c r="I433" s="35"/>
      <x:c r="J433" s="35" t="str">
        <x:v>PASS</x:v>
      </x:c>
      <x:c r="K433" s="35" t="str">
        <x:v>FAIL</x:v>
      </x:c>
      <x:c r="L433" s="35" t="str">
        <x:v>NOT_RUN</x:v>
      </x:c>
      <x:c r="M433" s="35" t="str">
        <x:v>coverage unavailable or execution/compile failed</x:v>
      </x:c>
      <x:c r="N433" s="35" t="str">
        <x:v>Deepseek-flash-v4/Result/JacksonDatabind_33/result.json</x:v>
      </x:c>
      <x:c r="O433" s="39" t="str">
        <x:f>IF(AND(G433="RECORDED",ISNUMBER(H433)),H433,"")</x:f>
      </x:c>
      <x:c r="P433" s="35" t="str">
        <x:v>NOT_AVAILABLE</x:v>
      </x:c>
      <x:c r="Q433" s="35" t="str">
        <x:v>Deepseek-flash-v4/Result/JacksonDatabind_33/result.json</x:v>
      </x:c>
    </x:row>
    <x:row r="434">
      <x:c r="A434" s="35" t="str">
        <x:v>deepseek</x:v>
      </x:c>
      <x:c r="B434" s="35" t="str">
        <x:v>JacksonDatabind</x:v>
      </x:c>
      <x:c r="C434" s="35" t="str">
        <x:v>Round1</x:v>
      </x:c>
      <x:c r="D434" s="35" t="str">
        <x:v>JacksonDatabind_34</x:v>
      </x:c>
      <x:c r="E434" s="35" t="str">
        <x:v>Line</x:v>
      </x:c>
      <x:c r="F434" s="35"/>
      <x:c r="G434" s="35" t="str">
        <x:v>A</x:v>
      </x:c>
      <x:c r="H434" s="39" t="str">
        <x:f>IF(ISNUMBER('Data'!E434),'Data'!E434*100,"")</x:f>
      </x:c>
      <x:c r="I434" s="35"/>
      <x:c r="J434" s="35" t="str">
        <x:v>PASS</x:v>
      </x:c>
      <x:c r="K434" s="35" t="str">
        <x:v>FAIL</x:v>
      </x:c>
      <x:c r="L434" s="35" t="str">
        <x:v>NOT_RUN</x:v>
      </x:c>
      <x:c r="M434" s="35" t="str">
        <x:v>coverage unavailable or execution/compile failed</x:v>
      </x:c>
      <x:c r="N434" s="35" t="str">
        <x:v>Deepseek-flash-v4/Result/JacksonDatabind_34/result.json</x:v>
      </x:c>
      <x:c r="O434" s="39" t="str">
        <x:f>IF(AND(G434="RECORDED",ISNUMBER(H434)),H434,"")</x:f>
      </x:c>
      <x:c r="P434" s="35" t="str">
        <x:v>NOT_AVAILABLE</x:v>
      </x:c>
      <x:c r="Q434" s="35" t="str">
        <x:v>Deepseek-flash-v4/Result/JacksonDatabind_34/result.json</x:v>
      </x:c>
    </x:row>
    <x:row r="435">
      <x:c r="A435" s="35" t="str">
        <x:v>deepseek</x:v>
      </x:c>
      <x:c r="B435" s="35" t="str">
        <x:v>JacksonDatabind</x:v>
      </x:c>
      <x:c r="C435" s="35" t="str">
        <x:v>Round1</x:v>
      </x:c>
      <x:c r="D435" s="35" t="str">
        <x:v>JacksonDatabind_35</x:v>
      </x:c>
      <x:c r="E435" s="35" t="str">
        <x:v>Line</x:v>
      </x:c>
      <x:c r="F435" s="35"/>
      <x:c r="G435" s="35" t="str">
        <x:v>A</x:v>
      </x:c>
      <x:c r="H435" s="39" t="str">
        <x:f>IF(ISNUMBER('Data'!E435),'Data'!E435*100,"")</x:f>
      </x:c>
      <x:c r="I435" s="35"/>
      <x:c r="J435" s="35" t="str">
        <x:v>PASS</x:v>
      </x:c>
      <x:c r="K435" s="35" t="str">
        <x:v>FAIL</x:v>
      </x:c>
      <x:c r="L435" s="35" t="str">
        <x:v>NOT_RUN</x:v>
      </x:c>
      <x:c r="M435" s="35" t="str">
        <x:v>coverage unavailable or execution/compile failed</x:v>
      </x:c>
      <x:c r="N435" s="35" t="str">
        <x:v>Deepseek-flash-v4/Result/JacksonDatabind_35/result.json</x:v>
      </x:c>
      <x:c r="O435" s="39" t="str">
        <x:f>IF(AND(G435="RECORDED",ISNUMBER(H435)),H435,"")</x:f>
      </x:c>
      <x:c r="P435" s="35" t="str">
        <x:v>NOT_AVAILABLE</x:v>
      </x:c>
      <x:c r="Q435" s="35" t="str">
        <x:v>Deepseek-flash-v4/Result/JacksonDatabind_35/result.json</x:v>
      </x:c>
    </x:row>
    <x:row r="436">
      <x:c r="A436" s="35" t="str">
        <x:v>deepseek</x:v>
      </x:c>
      <x:c r="B436" s="35" t="str">
        <x:v>JacksonDatabind</x:v>
      </x:c>
      <x:c r="C436" s="35" t="str">
        <x:v>Round1</x:v>
      </x:c>
      <x:c r="D436" s="35" t="str">
        <x:v>JacksonDatabind_36</x:v>
      </x:c>
      <x:c r="E436" s="35" t="str">
        <x:v>Line</x:v>
      </x:c>
      <x:c r="F436" s="35" t="n">
        <x:v>193</x:v>
      </x:c>
      <x:c r="G436" s="35" t="str">
        <x:v>RECORDED</x:v>
      </x:c>
      <x:c r="H436" s="39" t="n">
        <x:f>IF(ISNUMBER('Data'!E436),'Data'!E436*100,"")</x:f>
        <x:v>84.46</x:v>
      </x:c>
      <x:c r="I436" s="35" t="str">
        <x:v>PASS</x:v>
      </x:c>
      <x:c r="J436" s="35" t="str">
        <x:v>PASS</x:v>
      </x:c>
      <x:c r="K436" s="35" t="str">
        <x:v>PASS</x:v>
      </x:c>
      <x:c r="L436" s="35" t="str">
        <x:v>FAIL</x:v>
      </x:c>
      <x:c r="M436" s="35" t="str">
        <x:v>numeric coverage for applicable metric</x:v>
      </x:c>
      <x:c r="N436" s="35" t="str">
        <x:v>Deepseek-flash-v4/Result/JacksonDatabind_36/result.json</x:v>
      </x:c>
      <x:c r="O436" s="39" t="n">
        <x:f>IF(AND(G436="RECORDED",ISNUMBER(H436)),H436,"")</x:f>
        <x:v>84.46</x:v>
      </x:c>
      <x:c r="P436" s="35" t="str">
        <x:v>INCONCLUSIVE</x:v>
      </x:c>
      <x:c r="Q436" s="35" t="str">
        <x:v>Deepseek-flash-v4/Result/JacksonDatabind_36/result.json</x:v>
      </x:c>
    </x:row>
    <x:row r="437">
      <x:c r="A437" s="35" t="str">
        <x:v>deepseek</x:v>
      </x:c>
      <x:c r="B437" s="35" t="str">
        <x:v>JacksonDatabind</x:v>
      </x:c>
      <x:c r="C437" s="35" t="str">
        <x:v>Round1</x:v>
      </x:c>
      <x:c r="D437" s="35" t="str">
        <x:v>JacksonDatabind_37</x:v>
      </x:c>
      <x:c r="E437" s="35" t="str">
        <x:v>Line</x:v>
      </x:c>
      <x:c r="F437" s="35"/>
      <x:c r="G437" s="35" t="str">
        <x:v>A</x:v>
      </x:c>
      <x:c r="H437" s="39" t="str">
        <x:f>IF(ISNUMBER('Data'!E437),'Data'!E437*100,"")</x:f>
      </x:c>
      <x:c r="I437" s="35"/>
      <x:c r="J437" s="35" t="str">
        <x:v>PASS</x:v>
      </x:c>
      <x:c r="K437" s="35" t="str">
        <x:v>FAIL</x:v>
      </x:c>
      <x:c r="L437" s="35" t="str">
        <x:v>NOT_RUN</x:v>
      </x:c>
      <x:c r="M437" s="35" t="str">
        <x:v>coverage unavailable or execution/compile failed</x:v>
      </x:c>
      <x:c r="N437" s="35" t="str">
        <x:v>Deepseek-flash-v4/Result/JacksonDatabind_37/result.json</x:v>
      </x:c>
      <x:c r="O437" s="39" t="str">
        <x:f>IF(AND(G437="RECORDED",ISNUMBER(H437)),H437,"")</x:f>
      </x:c>
      <x:c r="P437" s="35" t="str">
        <x:v>NOT_AVAILABLE</x:v>
      </x:c>
      <x:c r="Q437" s="35" t="str">
        <x:v>Deepseek-flash-v4/Result/JacksonDatabind_37/result.json</x:v>
      </x:c>
    </x:row>
    <x:row r="438">
      <x:c r="A438" s="35" t="str">
        <x:v>deepseek</x:v>
      </x:c>
      <x:c r="B438" s="35" t="str">
        <x:v>JacksonDatabind</x:v>
      </x:c>
      <x:c r="C438" s="35" t="str">
        <x:v>Round1</x:v>
      </x:c>
      <x:c r="D438" s="35" t="str">
        <x:v>JacksonDatabind_38</x:v>
      </x:c>
      <x:c r="E438" s="35" t="str">
        <x:v>Line</x:v>
      </x:c>
      <x:c r="F438" s="35"/>
      <x:c r="G438" s="35" t="str">
        <x:v>A</x:v>
      </x:c>
      <x:c r="H438" s="39" t="str">
        <x:f>IF(ISNUMBER('Data'!E438),'Data'!E438*100,"")</x:f>
      </x:c>
      <x:c r="I438" s="35"/>
      <x:c r="J438" s="35" t="str">
        <x:v>PASS</x:v>
      </x:c>
      <x:c r="K438" s="35" t="str">
        <x:v>FAIL</x:v>
      </x:c>
      <x:c r="L438" s="35" t="str">
        <x:v>NOT_RUN</x:v>
      </x:c>
      <x:c r="M438" s="35" t="str">
        <x:v>coverage unavailable or execution/compile failed</x:v>
      </x:c>
      <x:c r="N438" s="35" t="str">
        <x:v>Deepseek-flash-v4/Result/JacksonDatabind_38/result.json</x:v>
      </x:c>
      <x:c r="O438" s="39" t="str">
        <x:f>IF(AND(G438="RECORDED",ISNUMBER(H438)),H438,"")</x:f>
      </x:c>
      <x:c r="P438" s="35" t="str">
        <x:v>NOT_AVAILABLE</x:v>
      </x:c>
      <x:c r="Q438" s="35" t="str">
        <x:v>Deepseek-flash-v4/Result/JacksonDatabind_38/result.json</x:v>
      </x:c>
    </x:row>
    <x:row r="439">
      <x:c r="A439" s="35" t="str">
        <x:v>deepseek</x:v>
      </x:c>
      <x:c r="B439" s="35" t="str">
        <x:v>JacksonDatabind</x:v>
      </x:c>
      <x:c r="C439" s="35" t="str">
        <x:v>Round1</x:v>
      </x:c>
      <x:c r="D439" s="35" t="str">
        <x:v>JacksonDatabind_39</x:v>
      </x:c>
      <x:c r="E439" s="35" t="str">
        <x:v>Line</x:v>
      </x:c>
      <x:c r="F439" s="35" t="n">
        <x:v>7</x:v>
      </x:c>
      <x:c r="G439" s="35" t="str">
        <x:v>RECORDED</x:v>
      </x:c>
      <x:c r="H439" s="39" t="n">
        <x:f>IF(ISNUMBER('Data'!E439),'Data'!E439*100,"")</x:f>
        <x:v>100</x:v>
      </x:c>
      <x:c r="I439" s="35" t="str">
        <x:v>PASS</x:v>
      </x:c>
      <x:c r="J439" s="35" t="str">
        <x:v>PASS</x:v>
      </x:c>
      <x:c r="K439" s="35" t="str">
        <x:v>PASS</x:v>
      </x:c>
      <x:c r="L439" s="35" t="str">
        <x:v>FAIL</x:v>
      </x:c>
      <x:c r="M439" s="35" t="str">
        <x:v>numeric coverage for applicable metric</x:v>
      </x:c>
      <x:c r="N439" s="35" t="str">
        <x:v>Deepseek-flash-v4/Result/JacksonDatabind_39/result.json</x:v>
      </x:c>
      <x:c r="O439" s="39" t="n">
        <x:f>IF(AND(G439="RECORDED",ISNUMBER(H439)),H439,"")</x:f>
        <x:v>100</x:v>
      </x:c>
      <x:c r="P439" s="35" t="str">
        <x:v>INCONCLUSIVE</x:v>
      </x:c>
      <x:c r="Q439" s="35" t="str">
        <x:v>Deepseek-flash-v4/Result/JacksonDatabind_39/result.json</x:v>
      </x:c>
    </x:row>
    <x:row r="440">
      <x:c r="A440" s="35" t="str">
        <x:v>deepseek</x:v>
      </x:c>
      <x:c r="B440" s="35" t="str">
        <x:v>JacksonDatabind</x:v>
      </x:c>
      <x:c r="C440" s="35" t="str">
        <x:v>Round1</x:v>
      </x:c>
      <x:c r="D440" s="35" t="str">
        <x:v>JacksonDatabind_4</x:v>
      </x:c>
      <x:c r="E440" s="35" t="str">
        <x:v>Line</x:v>
      </x:c>
      <x:c r="F440" s="35"/>
      <x:c r="G440" s="35" t="str">
        <x:v>A</x:v>
      </x:c>
      <x:c r="H440" s="39" t="str">
        <x:f>IF(ISNUMBER('Data'!E440),'Data'!E440*100,"")</x:f>
      </x:c>
      <x:c r="I440" s="35"/>
      <x:c r="J440" s="35" t="str">
        <x:v>PASS</x:v>
      </x:c>
      <x:c r="K440" s="35" t="str">
        <x:v>FAIL</x:v>
      </x:c>
      <x:c r="L440" s="35" t="str">
        <x:v>NOT_RUN</x:v>
      </x:c>
      <x:c r="M440" s="35" t="str">
        <x:v>coverage unavailable or execution/compile failed</x:v>
      </x:c>
      <x:c r="N440" s="35" t="str">
        <x:v>Deepseek-flash-v4/Result/JacksonDatabind_4/result.json</x:v>
      </x:c>
      <x:c r="O440" s="39" t="str">
        <x:f>IF(AND(G440="RECORDED",ISNUMBER(H440)),H440,"")</x:f>
      </x:c>
      <x:c r="P440" s="35" t="str">
        <x:v>NOT_AVAILABLE</x:v>
      </x:c>
      <x:c r="Q440" s="35" t="str">
        <x:v>Deepseek-flash-v4/Result/JacksonDatabind_4/result.json</x:v>
      </x:c>
    </x:row>
    <x:row r="441">
      <x:c r="A441" s="35" t="str">
        <x:v>deepseek</x:v>
      </x:c>
      <x:c r="B441" s="35" t="str">
        <x:v>JacksonDatabind</x:v>
      </x:c>
      <x:c r="C441" s="35" t="str">
        <x:v>Round1</x:v>
      </x:c>
      <x:c r="D441" s="35" t="str">
        <x:v>JacksonDatabind_40</x:v>
      </x:c>
      <x:c r="E441" s="35" t="str">
        <x:v>Line</x:v>
      </x:c>
      <x:c r="F441" s="35" t="n">
        <x:v>219</x:v>
      </x:c>
      <x:c r="G441" s="35" t="str">
        <x:v>RECORDED</x:v>
      </x:c>
      <x:c r="H441" s="39" t="n">
        <x:f>IF(ISNUMBER('Data'!E441),'Data'!E441*100,"")</x:f>
        <x:v>68.04</x:v>
      </x:c>
      <x:c r="I441" s="35" t="str">
        <x:v>PASS</x:v>
      </x:c>
      <x:c r="J441" s="35" t="str">
        <x:v>PASS</x:v>
      </x:c>
      <x:c r="K441" s="35" t="str">
        <x:v>PASS</x:v>
      </x:c>
      <x:c r="L441" s="35" t="str">
        <x:v>FAIL</x:v>
      </x:c>
      <x:c r="M441" s="35" t="str">
        <x:v>numeric coverage for applicable metric</x:v>
      </x:c>
      <x:c r="N441" s="35" t="str">
        <x:v>Deepseek-flash-v4/Result/JacksonDatabind_40/result.json</x:v>
      </x:c>
      <x:c r="O441" s="39" t="n">
        <x:f>IF(AND(G441="RECORDED",ISNUMBER(H441)),H441,"")</x:f>
        <x:v>68.04</x:v>
      </x:c>
      <x:c r="P441" s="35" t="str">
        <x:v>INCONCLUSIVE</x:v>
      </x:c>
      <x:c r="Q441" s="35" t="str">
        <x:v>Deepseek-flash-v4/Result/JacksonDatabind_40/result.json</x:v>
      </x:c>
    </x:row>
    <x:row r="442">
      <x:c r="A442" s="35" t="str">
        <x:v>deepseek</x:v>
      </x:c>
      <x:c r="B442" s="35" t="str">
        <x:v>JacksonDatabind</x:v>
      </x:c>
      <x:c r="C442" s="35" t="str">
        <x:v>Round1</x:v>
      </x:c>
      <x:c r="D442" s="35" t="str">
        <x:v>JacksonDatabind_41</x:v>
      </x:c>
      <x:c r="E442" s="35" t="str">
        <x:v>Line</x:v>
      </x:c>
      <x:c r="F442" s="35"/>
      <x:c r="G442" s="35" t="str">
        <x:v>A</x:v>
      </x:c>
      <x:c r="H442" s="39" t="str">
        <x:f>IF(ISNUMBER('Data'!E442),'Data'!E442*100,"")</x:f>
      </x:c>
      <x:c r="I442" s="35"/>
      <x:c r="J442" s="35" t="str">
        <x:v>PASS</x:v>
      </x:c>
      <x:c r="K442" s="35" t="str">
        <x:v>FAIL</x:v>
      </x:c>
      <x:c r="L442" s="35" t="str">
        <x:v>NOT_RUN</x:v>
      </x:c>
      <x:c r="M442" s="35" t="str">
        <x:v>coverage unavailable or execution/compile failed</x:v>
      </x:c>
      <x:c r="N442" s="35" t="str">
        <x:v>Deepseek-flash-v4/Result/JacksonDatabind_41/result.json</x:v>
      </x:c>
      <x:c r="O442" s="39" t="str">
        <x:f>IF(AND(G442="RECORDED",ISNUMBER(H442)),H442,"")</x:f>
      </x:c>
      <x:c r="P442" s="35" t="str">
        <x:v>NOT_AVAILABLE</x:v>
      </x:c>
      <x:c r="Q442" s="35" t="str">
        <x:v>Deepseek-flash-v4/Result/JacksonDatabind_41/result.json</x:v>
      </x:c>
    </x:row>
    <x:row r="443">
      <x:c r="A443" s="35" t="str">
        <x:v>deepseek</x:v>
      </x:c>
      <x:c r="B443" s="35" t="str">
        <x:v>JacksonDatabind</x:v>
      </x:c>
      <x:c r="C443" s="35" t="str">
        <x:v>Round1</x:v>
      </x:c>
      <x:c r="D443" s="35" t="str">
        <x:v>JacksonDatabind_42</x:v>
      </x:c>
      <x:c r="E443" s="35" t="str">
        <x:v>Line</x:v>
      </x:c>
      <x:c r="F443" s="35"/>
      <x:c r="G443" s="35" t="str">
        <x:v>A</x:v>
      </x:c>
      <x:c r="H443" s="39" t="str">
        <x:f>IF(ISNUMBER('Data'!E443),'Data'!E443*100,"")</x:f>
      </x:c>
      <x:c r="I443" s="35"/>
      <x:c r="J443" s="35" t="str">
        <x:v>PASS</x:v>
      </x:c>
      <x:c r="K443" s="35" t="str">
        <x:v>FAIL</x:v>
      </x:c>
      <x:c r="L443" s="35" t="str">
        <x:v>NOT_RUN</x:v>
      </x:c>
      <x:c r="M443" s="35" t="str">
        <x:v>coverage unavailable or execution/compile failed</x:v>
      </x:c>
      <x:c r="N443" s="35" t="str">
        <x:v>Deepseek-flash-v4/Result/JacksonDatabind_42/result.json</x:v>
      </x:c>
      <x:c r="O443" s="39" t="str">
        <x:f>IF(AND(G443="RECORDED",ISNUMBER(H443)),H443,"")</x:f>
      </x:c>
      <x:c r="P443" s="35" t="str">
        <x:v>NOT_AVAILABLE</x:v>
      </x:c>
      <x:c r="Q443" s="35" t="str">
        <x:v>Deepseek-flash-v4/Result/JacksonDatabind_42/result.json</x:v>
      </x:c>
    </x:row>
    <x:row r="444">
      <x:c r="A444" s="35" t="str">
        <x:v>deepseek</x:v>
      </x:c>
      <x:c r="B444" s="35" t="str">
        <x:v>JacksonDatabind</x:v>
      </x:c>
      <x:c r="C444" s="35" t="str">
        <x:v>Round1</x:v>
      </x:c>
      <x:c r="D444" s="35" t="str">
        <x:v>JacksonDatabind_43</x:v>
      </x:c>
      <x:c r="E444" s="35" t="str">
        <x:v>Line</x:v>
      </x:c>
      <x:c r="F444" s="35"/>
      <x:c r="G444" s="35" t="str">
        <x:v>A</x:v>
      </x:c>
      <x:c r="H444" s="39" t="str">
        <x:f>IF(ISNUMBER('Data'!E444),'Data'!E444*100,"")</x:f>
      </x:c>
      <x:c r="I444" s="35"/>
      <x:c r="J444" s="35" t="str">
        <x:v>PASS</x:v>
      </x:c>
      <x:c r="K444" s="35" t="str">
        <x:v>FAIL</x:v>
      </x:c>
      <x:c r="L444" s="35" t="str">
        <x:v>NOT_RUN</x:v>
      </x:c>
      <x:c r="M444" s="35" t="str">
        <x:v>coverage unavailable or execution/compile failed</x:v>
      </x:c>
      <x:c r="N444" s="35" t="str">
        <x:v>Deepseek-flash-v4/Result/JacksonDatabind_43/result.json</x:v>
      </x:c>
      <x:c r="O444" s="39" t="str">
        <x:f>IF(AND(G444="RECORDED",ISNUMBER(H444)),H444,"")</x:f>
      </x:c>
      <x:c r="P444" s="35" t="str">
        <x:v>NOT_AVAILABLE</x:v>
      </x:c>
      <x:c r="Q444" s="35" t="str">
        <x:v>Deepseek-flash-v4/Result/JacksonDatabind_43/result.json</x:v>
      </x:c>
    </x:row>
    <x:row r="445">
      <x:c r="A445" s="35" t="str">
        <x:v>deepseek</x:v>
      </x:c>
      <x:c r="B445" s="35" t="str">
        <x:v>JacksonDatabind</x:v>
      </x:c>
      <x:c r="C445" s="35" t="str">
        <x:v>Round1</x:v>
      </x:c>
      <x:c r="D445" s="35" t="str">
        <x:v>JacksonDatabind_44</x:v>
      </x:c>
      <x:c r="E445" s="35" t="str">
        <x:v>Line</x:v>
      </x:c>
      <x:c r="F445" s="35" t="n">
        <x:v>75</x:v>
      </x:c>
      <x:c r="G445" s="35" t="str">
        <x:v>RECORDED</x:v>
      </x:c>
      <x:c r="H445" s="39" t="n">
        <x:f>IF(ISNUMBER('Data'!E445),'Data'!E445*100,"")</x:f>
        <x:v>85.33</x:v>
      </x:c>
      <x:c r="I445" s="35" t="str">
        <x:v>PASS</x:v>
      </x:c>
      <x:c r="J445" s="35" t="str">
        <x:v>PASS</x:v>
      </x:c>
      <x:c r="K445" s="35" t="str">
        <x:v>PASS</x:v>
      </x:c>
      <x:c r="L445" s="35" t="str">
        <x:v>PASS</x:v>
      </x:c>
      <x:c r="M445" s="35" t="str">
        <x:v>numeric coverage for applicable metric</x:v>
      </x:c>
      <x:c r="N445" s="35" t="str">
        <x:v>Deepseek-flash-v4/Result/JacksonDatabind_44/result.json</x:v>
      </x:c>
      <x:c r="O445" s="39" t="n">
        <x:f>IF(AND(G445="RECORDED",ISNUMBER(H445)),H445,"")</x:f>
        <x:v>85.33</x:v>
      </x:c>
      <x:c r="P445" s="35" t="str">
        <x:v>NOT_REVEALING</x:v>
      </x:c>
      <x:c r="Q445" s="35" t="str">
        <x:v>Deepseek-flash-v4/Result/JacksonDatabind_44/result.json</x:v>
      </x:c>
    </x:row>
    <x:row r="446">
      <x:c r="A446" s="35" t="str">
        <x:v>deepseek</x:v>
      </x:c>
      <x:c r="B446" s="35" t="str">
        <x:v>JacksonDatabind</x:v>
      </x:c>
      <x:c r="C446" s="35" t="str">
        <x:v>Round1</x:v>
      </x:c>
      <x:c r="D446" s="35" t="str">
        <x:v>JacksonDatabind_45</x:v>
      </x:c>
      <x:c r="E446" s="35" t="str">
        <x:v>Line</x:v>
      </x:c>
      <x:c r="F446" s="35"/>
      <x:c r="G446" s="35" t="str">
        <x:v>A</x:v>
      </x:c>
      <x:c r="H446" s="39" t="str">
        <x:f>IF(ISNUMBER('Data'!E446),'Data'!E446*100,"")</x:f>
      </x:c>
      <x:c r="I446" s="35"/>
      <x:c r="J446" s="35" t="str">
        <x:v>PASS</x:v>
      </x:c>
      <x:c r="K446" s="35" t="str">
        <x:v>FAIL</x:v>
      </x:c>
      <x:c r="L446" s="35" t="str">
        <x:v>NOT_RUN</x:v>
      </x:c>
      <x:c r="M446" s="35" t="str">
        <x:v>coverage unavailable or execution/compile failed</x:v>
      </x:c>
      <x:c r="N446" s="35" t="str">
        <x:v>Deepseek-flash-v4/Result/JacksonDatabind_45/result.json</x:v>
      </x:c>
      <x:c r="O446" s="39" t="str">
        <x:f>IF(AND(G446="RECORDED",ISNUMBER(H446)),H446,"")</x:f>
      </x:c>
      <x:c r="P446" s="35" t="str">
        <x:v>NOT_AVAILABLE</x:v>
      </x:c>
      <x:c r="Q446" s="35" t="str">
        <x:v>Deepseek-flash-v4/Result/JacksonDatabind_45/result.json</x:v>
      </x:c>
    </x:row>
    <x:row r="447">
      <x:c r="A447" s="35" t="str">
        <x:v>deepseek</x:v>
      </x:c>
      <x:c r="B447" s="35" t="str">
        <x:v>JacksonDatabind</x:v>
      </x:c>
      <x:c r="C447" s="35" t="str">
        <x:v>Round1</x:v>
      </x:c>
      <x:c r="D447" s="35" t="str">
        <x:v>JacksonDatabind_46</x:v>
      </x:c>
      <x:c r="E447" s="35" t="str">
        <x:v>Line</x:v>
      </x:c>
      <x:c r="F447" s="35"/>
      <x:c r="G447" s="35" t="str">
        <x:v>A</x:v>
      </x:c>
      <x:c r="H447" s="39" t="str">
        <x:f>IF(ISNUMBER('Data'!E447),'Data'!E447*100,"")</x:f>
      </x:c>
      <x:c r="I447" s="35"/>
      <x:c r="J447" s="35" t="str">
        <x:v>PASS</x:v>
      </x:c>
      <x:c r="K447" s="35" t="str">
        <x:v>FAIL</x:v>
      </x:c>
      <x:c r="L447" s="35" t="str">
        <x:v>NOT_RUN</x:v>
      </x:c>
      <x:c r="M447" s="35" t="str">
        <x:v>coverage unavailable or execution/compile failed</x:v>
      </x:c>
      <x:c r="N447" s="35" t="str">
        <x:v>Deepseek-flash-v4/Result/JacksonDatabind_46/result.json</x:v>
      </x:c>
      <x:c r="O447" s="39" t="str">
        <x:f>IF(AND(G447="RECORDED",ISNUMBER(H447)),H447,"")</x:f>
      </x:c>
      <x:c r="P447" s="35" t="str">
        <x:v>NOT_AVAILABLE</x:v>
      </x:c>
      <x:c r="Q447" s="35" t="str">
        <x:v>Deepseek-flash-v4/Result/JacksonDatabind_46/result.json</x:v>
      </x:c>
    </x:row>
    <x:row r="448">
      <x:c r="A448" s="35" t="str">
        <x:v>deepseek</x:v>
      </x:c>
      <x:c r="B448" s="35" t="str">
        <x:v>JacksonDatabind</x:v>
      </x:c>
      <x:c r="C448" s="35" t="str">
        <x:v>Round1</x:v>
      </x:c>
      <x:c r="D448" s="35" t="str">
        <x:v>JacksonDatabind_47</x:v>
      </x:c>
      <x:c r="E448" s="35" t="str">
        <x:v>Line</x:v>
      </x:c>
      <x:c r="F448" s="35" t="n">
        <x:v>179</x:v>
      </x:c>
      <x:c r="G448" s="35" t="str">
        <x:v>RECORDED</x:v>
      </x:c>
      <x:c r="H448" s="39" t="n">
        <x:f>IF(ISNUMBER('Data'!E448),'Data'!E448*100,"")</x:f>
        <x:v>29.049999999999997</x:v>
      </x:c>
      <x:c r="I448" s="35" t="str">
        <x:v>PASS</x:v>
      </x:c>
      <x:c r="J448" s="35" t="str">
        <x:v>PASS</x:v>
      </x:c>
      <x:c r="K448" s="35" t="str">
        <x:v>PASS</x:v>
      </x:c>
      <x:c r="L448" s="35" t="str">
        <x:v>FAIL</x:v>
      </x:c>
      <x:c r="M448" s="35" t="str">
        <x:v>numeric coverage for applicable metric</x:v>
      </x:c>
      <x:c r="N448" s="35" t="str">
        <x:v>Deepseek-flash-v4/Result/JacksonDatabind_47/result.json</x:v>
      </x:c>
      <x:c r="O448" s="39" t="n">
        <x:f>IF(AND(G448="RECORDED",ISNUMBER(H448)),H448,"")</x:f>
        <x:v>29.049999999999997</x:v>
      </x:c>
      <x:c r="P448" s="35" t="str">
        <x:v>INCONCLUSIVE</x:v>
      </x:c>
      <x:c r="Q448" s="35" t="str">
        <x:v>Deepseek-flash-v4/Result/JacksonDatabind_47/result.json</x:v>
      </x:c>
    </x:row>
    <x:row r="449">
      <x:c r="A449" s="35" t="str">
        <x:v>deepseek</x:v>
      </x:c>
      <x:c r="B449" s="35" t="str">
        <x:v>JacksonDatabind</x:v>
      </x:c>
      <x:c r="C449" s="35" t="str">
        <x:v>Round1</x:v>
      </x:c>
      <x:c r="D449" s="35" t="str">
        <x:v>JacksonDatabind_48</x:v>
      </x:c>
      <x:c r="E449" s="35" t="str">
        <x:v>Line</x:v>
      </x:c>
      <x:c r="F449" s="35"/>
      <x:c r="G449" s="35" t="str">
        <x:v>A</x:v>
      </x:c>
      <x:c r="H449" s="39" t="str">
        <x:f>IF(ISNUMBER('Data'!E449),'Data'!E449*100,"")</x:f>
      </x:c>
      <x:c r="I449" s="35"/>
      <x:c r="J449" s="35" t="str">
        <x:v>PASS</x:v>
      </x:c>
      <x:c r="K449" s="35" t="str">
        <x:v>FAIL</x:v>
      </x:c>
      <x:c r="L449" s="35" t="str">
        <x:v>NOT_RUN</x:v>
      </x:c>
      <x:c r="M449" s="35" t="str">
        <x:v>coverage unavailable or execution/compile failed</x:v>
      </x:c>
      <x:c r="N449" s="35" t="str">
        <x:v>Deepseek-flash-v4/Result/JacksonDatabind_48/result.json</x:v>
      </x:c>
      <x:c r="O449" s="39" t="str">
        <x:f>IF(AND(G449="RECORDED",ISNUMBER(H449)),H449,"")</x:f>
      </x:c>
      <x:c r="P449" s="35" t="str">
        <x:v>NOT_AVAILABLE</x:v>
      </x:c>
      <x:c r="Q449" s="35" t="str">
        <x:v>Deepseek-flash-v4/Result/JacksonDatabind_48/result.json</x:v>
      </x:c>
    </x:row>
    <x:row r="450">
      <x:c r="A450" s="35" t="str">
        <x:v>deepseek</x:v>
      </x:c>
      <x:c r="B450" s="35" t="str">
        <x:v>JacksonDatabind</x:v>
      </x:c>
      <x:c r="C450" s="35" t="str">
        <x:v>Round1</x:v>
      </x:c>
      <x:c r="D450" s="35" t="str">
        <x:v>JacksonDatabind_49</x:v>
      </x:c>
      <x:c r="E450" s="35" t="str">
        <x:v>Line</x:v>
      </x:c>
      <x:c r="F450" s="35"/>
      <x:c r="G450" s="35" t="str">
        <x:v>A</x:v>
      </x:c>
      <x:c r="H450" s="39" t="str">
        <x:f>IF(ISNUMBER('Data'!E450),'Data'!E450*100,"")</x:f>
      </x:c>
      <x:c r="I450" s="35"/>
      <x:c r="J450" s="35" t="str">
        <x:v>PASS</x:v>
      </x:c>
      <x:c r="K450" s="35" t="str">
        <x:v>FAIL</x:v>
      </x:c>
      <x:c r="L450" s="35" t="str">
        <x:v>NOT_RUN</x:v>
      </x:c>
      <x:c r="M450" s="35" t="str">
        <x:v>coverage unavailable or execution/compile failed</x:v>
      </x:c>
      <x:c r="N450" s="35" t="str">
        <x:v>Deepseek-flash-v4/Result/JacksonDatabind_49/result.json</x:v>
      </x:c>
      <x:c r="O450" s="39" t="str">
        <x:f>IF(AND(G450="RECORDED",ISNUMBER(H450)),H450,"")</x:f>
      </x:c>
      <x:c r="P450" s="35" t="str">
        <x:v>NOT_AVAILABLE</x:v>
      </x:c>
      <x:c r="Q450" s="35" t="str">
        <x:v>Deepseek-flash-v4/Result/JacksonDatabind_49/result.json</x:v>
      </x:c>
    </x:row>
    <x:row r="451">
      <x:c r="A451" s="35" t="str">
        <x:v>deepseek</x:v>
      </x:c>
      <x:c r="B451" s="35" t="str">
        <x:v>JacksonDatabind</x:v>
      </x:c>
      <x:c r="C451" s="35" t="str">
        <x:v>Round1</x:v>
      </x:c>
      <x:c r="D451" s="35" t="str">
        <x:v>JacksonDatabind_5</x:v>
      </x:c>
      <x:c r="E451" s="35" t="str">
        <x:v>Line</x:v>
      </x:c>
      <x:c r="F451" s="35" t="n">
        <x:v>365</x:v>
      </x:c>
      <x:c r="G451" s="35" t="str">
        <x:v>RECORDED</x:v>
      </x:c>
      <x:c r="H451" s="39" t="n">
        <x:f>IF(ISNUMBER('Data'!E451),'Data'!E451*100,"")</x:f>
        <x:v>52.33</x:v>
      </x:c>
      <x:c r="I451" s="35" t="str">
        <x:v>PASS</x:v>
      </x:c>
      <x:c r="J451" s="35" t="str">
        <x:v>PASS</x:v>
      </x:c>
      <x:c r="K451" s="35" t="str">
        <x:v>PASS</x:v>
      </x:c>
      <x:c r="L451" s="35" t="str">
        <x:v>FAIL</x:v>
      </x:c>
      <x:c r="M451" s="35" t="str">
        <x:v>numeric coverage for applicable metric</x:v>
      </x:c>
      <x:c r="N451" s="35" t="str">
        <x:v>Deepseek-flash-v4/Result/JacksonDatabind_5/result.json</x:v>
      </x:c>
      <x:c r="O451" s="39" t="n">
        <x:f>IF(AND(G451="RECORDED",ISNUMBER(H451)),H451,"")</x:f>
        <x:v>52.33</x:v>
      </x:c>
      <x:c r="P451" s="35" t="str">
        <x:v>INCONCLUSIVE</x:v>
      </x:c>
      <x:c r="Q451" s="35" t="str">
        <x:v>Deepseek-flash-v4/Result/JacksonDatabind_5/result.json</x:v>
      </x:c>
    </x:row>
    <x:row r="452">
      <x:c r="A452" s="35" t="str">
        <x:v>deepseek</x:v>
      </x:c>
      <x:c r="B452" s="35" t="str">
        <x:v>JacksonDatabind</x:v>
      </x:c>
      <x:c r="C452" s="35" t="str">
        <x:v>Round1</x:v>
      </x:c>
      <x:c r="D452" s="35" t="str">
        <x:v>JacksonDatabind_50</x:v>
      </x:c>
      <x:c r="E452" s="35" t="str">
        <x:v>Line</x:v>
      </x:c>
      <x:c r="F452" s="35"/>
      <x:c r="G452" s="35" t="str">
        <x:v>A</x:v>
      </x:c>
      <x:c r="H452" s="39" t="str">
        <x:f>IF(ISNUMBER('Data'!E452),'Data'!E452*100,"")</x:f>
      </x:c>
      <x:c r="I452" s="35"/>
      <x:c r="J452" s="35" t="str">
        <x:v>PASS</x:v>
      </x:c>
      <x:c r="K452" s="35" t="str">
        <x:v>FAIL</x:v>
      </x:c>
      <x:c r="L452" s="35" t="str">
        <x:v>NOT_RUN</x:v>
      </x:c>
      <x:c r="M452" s="35" t="str">
        <x:v>coverage unavailable or execution/compile failed</x:v>
      </x:c>
      <x:c r="N452" s="35" t="str">
        <x:v>Deepseek-flash-v4/Result/JacksonDatabind_50/result.json</x:v>
      </x:c>
      <x:c r="O452" s="39" t="str">
        <x:f>IF(AND(G452="RECORDED",ISNUMBER(H452)),H452,"")</x:f>
      </x:c>
      <x:c r="P452" s="35" t="str">
        <x:v>NOT_AVAILABLE</x:v>
      </x:c>
      <x:c r="Q452" s="35" t="str">
        <x:v>Deepseek-flash-v4/Result/JacksonDatabind_50/result.json</x:v>
      </x:c>
    </x:row>
    <x:row r="453">
      <x:c r="A453" s="35" t="str">
        <x:v>deepseek</x:v>
      </x:c>
      <x:c r="B453" s="35" t="str">
        <x:v>JacksonDatabind</x:v>
      </x:c>
      <x:c r="C453" s="35" t="str">
        <x:v>Round1</x:v>
      </x:c>
      <x:c r="D453" s="35" t="str">
        <x:v>JacksonDatabind_51</x:v>
      </x:c>
      <x:c r="E453" s="35" t="str">
        <x:v>Line</x:v>
      </x:c>
      <x:c r="F453" s="35"/>
      <x:c r="G453" s="35" t="str">
        <x:v>A</x:v>
      </x:c>
      <x:c r="H453" s="39" t="str">
        <x:f>IF(ISNUMBER('Data'!E453),'Data'!E453*100,"")</x:f>
      </x:c>
      <x:c r="I453" s="35"/>
      <x:c r="J453" s="35" t="str">
        <x:v>PASS</x:v>
      </x:c>
      <x:c r="K453" s="35" t="str">
        <x:v>FAIL</x:v>
      </x:c>
      <x:c r="L453" s="35" t="str">
        <x:v>NOT_RUN</x:v>
      </x:c>
      <x:c r="M453" s="35" t="str">
        <x:v>coverage unavailable or execution/compile failed</x:v>
      </x:c>
      <x:c r="N453" s="35" t="str">
        <x:v>Deepseek-flash-v4/Result/JacksonDatabind_51/result.json</x:v>
      </x:c>
      <x:c r="O453" s="39" t="str">
        <x:f>IF(AND(G453="RECORDED",ISNUMBER(H453)),H453,"")</x:f>
      </x:c>
      <x:c r="P453" s="35" t="str">
        <x:v>NOT_AVAILABLE</x:v>
      </x:c>
      <x:c r="Q453" s="35" t="str">
        <x:v>Deepseek-flash-v4/Result/JacksonDatabind_51/result.json</x:v>
      </x:c>
    </x:row>
    <x:row r="454">
      <x:c r="A454" s="35" t="str">
        <x:v>deepseek</x:v>
      </x:c>
      <x:c r="B454" s="35" t="str">
        <x:v>JacksonDatabind</x:v>
      </x:c>
      <x:c r="C454" s="35" t="str">
        <x:v>Round1</x:v>
      </x:c>
      <x:c r="D454" s="35" t="str">
        <x:v>JacksonDatabind_52</x:v>
      </x:c>
      <x:c r="E454" s="35" t="str">
        <x:v>Line</x:v>
      </x:c>
      <x:c r="F454" s="35"/>
      <x:c r="G454" s="35" t="str">
        <x:v>A</x:v>
      </x:c>
      <x:c r="H454" s="39" t="str">
        <x:f>IF(ISNUMBER('Data'!E454),'Data'!E454*100,"")</x:f>
      </x:c>
      <x:c r="I454" s="35"/>
      <x:c r="J454" s="35" t="str">
        <x:v>PASS</x:v>
      </x:c>
      <x:c r="K454" s="35" t="str">
        <x:v>FAIL</x:v>
      </x:c>
      <x:c r="L454" s="35" t="str">
        <x:v>NOT_RUN</x:v>
      </x:c>
      <x:c r="M454" s="35" t="str">
        <x:v>coverage unavailable or execution/compile failed</x:v>
      </x:c>
      <x:c r="N454" s="35" t="str">
        <x:v>Deepseek-flash-v4/Result/JacksonDatabind_52/result.json</x:v>
      </x:c>
      <x:c r="O454" s="39" t="str">
        <x:f>IF(AND(G454="RECORDED",ISNUMBER(H454)),H454,"")</x:f>
      </x:c>
      <x:c r="P454" s="35" t="str">
        <x:v>NOT_AVAILABLE</x:v>
      </x:c>
      <x:c r="Q454" s="35" t="str">
        <x:v>Deepseek-flash-v4/Result/JacksonDatabind_52/result.json</x:v>
      </x:c>
    </x:row>
    <x:row r="455">
      <x:c r="A455" s="35" t="str">
        <x:v>deepseek</x:v>
      </x:c>
      <x:c r="B455" s="35" t="str">
        <x:v>JacksonDatabind</x:v>
      </x:c>
      <x:c r="C455" s="35" t="str">
        <x:v>Round1</x:v>
      </x:c>
      <x:c r="D455" s="35" t="str">
        <x:v>JacksonDatabind_53</x:v>
      </x:c>
      <x:c r="E455" s="35" t="str">
        <x:v>Line</x:v>
      </x:c>
      <x:c r="F455" s="35" t="n">
        <x:v>503</x:v>
      </x:c>
      <x:c r="G455" s="35" t="str">
        <x:v>RECORDED</x:v>
      </x:c>
      <x:c r="H455" s="39" t="n">
        <x:f>IF(ISNUMBER('Data'!E455),'Data'!E455*100,"")</x:f>
        <x:v>79.32</x:v>
      </x:c>
      <x:c r="I455" s="35" t="str">
        <x:v>PASS</x:v>
      </x:c>
      <x:c r="J455" s="35" t="str">
        <x:v>PASS</x:v>
      </x:c>
      <x:c r="K455" s="35" t="str">
        <x:v>PASS</x:v>
      </x:c>
      <x:c r="L455" s="35" t="str">
        <x:v>FAIL</x:v>
      </x:c>
      <x:c r="M455" s="35" t="str">
        <x:v>numeric coverage for applicable metric</x:v>
      </x:c>
      <x:c r="N455" s="35" t="str">
        <x:v>Deepseek-flash-v4/Result/JacksonDatabind_53/result.json</x:v>
      </x:c>
      <x:c r="O455" s="39" t="n">
        <x:f>IF(AND(G455="RECORDED",ISNUMBER(H455)),H455,"")</x:f>
        <x:v>79.32</x:v>
      </x:c>
      <x:c r="P455" s="35" t="str">
        <x:v>INCONCLUSIVE</x:v>
      </x:c>
      <x:c r="Q455" s="35" t="str">
        <x:v>Deepseek-flash-v4/Result/JacksonDatabind_53/result.json</x:v>
      </x:c>
    </x:row>
    <x:row r="456">
      <x:c r="A456" s="35" t="str">
        <x:v>deepseek</x:v>
      </x:c>
      <x:c r="B456" s="35" t="str">
        <x:v>JacksonDatabind</x:v>
      </x:c>
      <x:c r="C456" s="35" t="str">
        <x:v>Round1</x:v>
      </x:c>
      <x:c r="D456" s="35" t="str">
        <x:v>JacksonDatabind_54</x:v>
      </x:c>
      <x:c r="E456" s="35" t="str">
        <x:v>Line</x:v>
      </x:c>
      <x:c r="F456" s="35"/>
      <x:c r="G456" s="35" t="str">
        <x:v>A</x:v>
      </x:c>
      <x:c r="H456" s="39" t="str">
        <x:f>IF(ISNUMBER('Data'!E456),'Data'!E456*100,"")</x:f>
      </x:c>
      <x:c r="I456" s="35"/>
      <x:c r="J456" s="35" t="str">
        <x:v>PASS</x:v>
      </x:c>
      <x:c r="K456" s="35" t="str">
        <x:v>FAIL</x:v>
      </x:c>
      <x:c r="L456" s="35" t="str">
        <x:v>NOT_RUN</x:v>
      </x:c>
      <x:c r="M456" s="35" t="str">
        <x:v>coverage unavailable or execution/compile failed</x:v>
      </x:c>
      <x:c r="N456" s="35" t="str">
        <x:v>Deepseek-flash-v4/Result/JacksonDatabind_54/result.json</x:v>
      </x:c>
      <x:c r="O456" s="39" t="str">
        <x:f>IF(AND(G456="RECORDED",ISNUMBER(H456)),H456,"")</x:f>
      </x:c>
      <x:c r="P456" s="35" t="str">
        <x:v>NOT_AVAILABLE</x:v>
      </x:c>
      <x:c r="Q456" s="35" t="str">
        <x:v>Deepseek-flash-v4/Result/JacksonDatabind_54/result.json</x:v>
      </x:c>
    </x:row>
    <x:row r="457">
      <x:c r="A457" s="35" t="str">
        <x:v>deepseek</x:v>
      </x:c>
      <x:c r="B457" s="35" t="str">
        <x:v>JacksonDatabind</x:v>
      </x:c>
      <x:c r="C457" s="35" t="str">
        <x:v>Round1</x:v>
      </x:c>
      <x:c r="D457" s="35" t="str">
        <x:v>JacksonDatabind_55</x:v>
      </x:c>
      <x:c r="E457" s="35" t="str">
        <x:v>Line</x:v>
      </x:c>
      <x:c r="F457" s="35" t="n">
        <x:v>61</x:v>
      </x:c>
      <x:c r="G457" s="35" t="str">
        <x:v>RECORDED</x:v>
      </x:c>
      <x:c r="H457" s="39" t="n">
        <x:f>IF(ISNUMBER('Data'!E457),'Data'!E457*100,"")</x:f>
        <x:v>78.69</x:v>
      </x:c>
      <x:c r="I457" s="35" t="str">
        <x:v>PASS</x:v>
      </x:c>
      <x:c r="J457" s="35" t="str">
        <x:v>PASS</x:v>
      </x:c>
      <x:c r="K457" s="35" t="str">
        <x:v>PASS</x:v>
      </x:c>
      <x:c r="L457" s="35" t="str">
        <x:v>FAIL</x:v>
      </x:c>
      <x:c r="M457" s="35" t="str">
        <x:v>numeric coverage for applicable metric</x:v>
      </x:c>
      <x:c r="N457" s="35" t="str">
        <x:v>Deepseek-flash-v4/Result/JacksonDatabind_55/result.json</x:v>
      </x:c>
      <x:c r="O457" s="39" t="n">
        <x:f>IF(AND(G457="RECORDED",ISNUMBER(H457)),H457,"")</x:f>
        <x:v>78.69</x:v>
      </x:c>
      <x:c r="P457" s="35" t="str">
        <x:v>INCONCLUSIVE</x:v>
      </x:c>
      <x:c r="Q457" s="35" t="str">
        <x:v>Deepseek-flash-v4/Result/JacksonDatabind_55/result.json</x:v>
      </x:c>
    </x:row>
    <x:row r="458">
      <x:c r="A458" s="35" t="str">
        <x:v>deepseek</x:v>
      </x:c>
      <x:c r="B458" s="35" t="str">
        <x:v>JacksonDatabind</x:v>
      </x:c>
      <x:c r="C458" s="35" t="str">
        <x:v>Round1</x:v>
      </x:c>
      <x:c r="D458" s="35" t="str">
        <x:v>JacksonDatabind_56</x:v>
      </x:c>
      <x:c r="E458" s="35" t="str">
        <x:v>Line</x:v>
      </x:c>
      <x:c r="F458" s="35"/>
      <x:c r="G458" s="35" t="str">
        <x:v>A</x:v>
      </x:c>
      <x:c r="H458" s="39" t="str">
        <x:f>IF(ISNUMBER('Data'!E458),'Data'!E458*100,"")</x:f>
      </x:c>
      <x:c r="I458" s="35"/>
      <x:c r="J458" s="35" t="str">
        <x:v>PASS</x:v>
      </x:c>
      <x:c r="K458" s="35" t="str">
        <x:v>FAIL</x:v>
      </x:c>
      <x:c r="L458" s="35" t="str">
        <x:v>NOT_RUN</x:v>
      </x:c>
      <x:c r="M458" s="35" t="str">
        <x:v>coverage unavailable or execution/compile failed</x:v>
      </x:c>
      <x:c r="N458" s="35" t="str">
        <x:v>Deepseek-flash-v4/Result/JacksonDatabind_56/result.json</x:v>
      </x:c>
      <x:c r="O458" s="39" t="str">
        <x:f>IF(AND(G458="RECORDED",ISNUMBER(H458)),H458,"")</x:f>
      </x:c>
      <x:c r="P458" s="35" t="str">
        <x:v>NOT_AVAILABLE</x:v>
      </x:c>
      <x:c r="Q458" s="35" t="str">
        <x:v>Deepseek-flash-v4/Result/JacksonDatabind_56/result.json</x:v>
      </x:c>
    </x:row>
    <x:row r="459">
      <x:c r="A459" s="35" t="str">
        <x:v>deepseek</x:v>
      </x:c>
      <x:c r="B459" s="35" t="str">
        <x:v>JacksonDatabind</x:v>
      </x:c>
      <x:c r="C459" s="35" t="str">
        <x:v>Round1</x:v>
      </x:c>
      <x:c r="D459" s="35" t="str">
        <x:v>JacksonDatabind_57</x:v>
      </x:c>
      <x:c r="E459" s="35" t="str">
        <x:v>Line</x:v>
      </x:c>
      <x:c r="F459" s="35" t="n">
        <x:v>407</x:v>
      </x:c>
      <x:c r="G459" s="35" t="str">
        <x:v>RECORDED</x:v>
      </x:c>
      <x:c r="H459" s="39" t="n">
        <x:f>IF(ISNUMBER('Data'!E459),'Data'!E459*100,"")</x:f>
        <x:v>55.279999999999994</x:v>
      </x:c>
      <x:c r="I459" s="35" t="str">
        <x:v>PASS</x:v>
      </x:c>
      <x:c r="J459" s="35" t="str">
        <x:v>PASS</x:v>
      </x:c>
      <x:c r="K459" s="35" t="str">
        <x:v>PASS</x:v>
      </x:c>
      <x:c r="L459" s="35" t="str">
        <x:v>FAIL</x:v>
      </x:c>
      <x:c r="M459" s="35" t="str">
        <x:v>numeric coverage for applicable metric</x:v>
      </x:c>
      <x:c r="N459" s="35" t="str">
        <x:v>Deepseek-flash-v4/Result/JacksonDatabind_57/result.json</x:v>
      </x:c>
      <x:c r="O459" s="39" t="n">
        <x:f>IF(AND(G459="RECORDED",ISNUMBER(H459)),H459,"")</x:f>
        <x:v>55.279999999999994</x:v>
      </x:c>
      <x:c r="P459" s="35" t="str">
        <x:v>INCONCLUSIVE</x:v>
      </x:c>
      <x:c r="Q459" s="35" t="str">
        <x:v>Deepseek-flash-v4/Result/JacksonDatabind_57/result.json</x:v>
      </x:c>
    </x:row>
    <x:row r="460">
      <x:c r="A460" s="35" t="str">
        <x:v>deepseek</x:v>
      </x:c>
      <x:c r="B460" s="35" t="str">
        <x:v>JacksonDatabind</x:v>
      </x:c>
      <x:c r="C460" s="35" t="str">
        <x:v>Round1</x:v>
      </x:c>
      <x:c r="D460" s="35" t="str">
        <x:v>JacksonDatabind_58</x:v>
      </x:c>
      <x:c r="E460" s="35" t="str">
        <x:v>Line</x:v>
      </x:c>
      <x:c r="F460" s="35"/>
      <x:c r="G460" s="35" t="str">
        <x:v>A</x:v>
      </x:c>
      <x:c r="H460" s="39" t="str">
        <x:f>IF(ISNUMBER('Data'!E460),'Data'!E460*100,"")</x:f>
      </x:c>
      <x:c r="I460" s="35"/>
      <x:c r="J460" s="35" t="str">
        <x:v>PASS</x:v>
      </x:c>
      <x:c r="K460" s="35" t="str">
        <x:v>FAIL</x:v>
      </x:c>
      <x:c r="L460" s="35" t="str">
        <x:v>NOT_RUN</x:v>
      </x:c>
      <x:c r="M460" s="35" t="str">
        <x:v>coverage unavailable or execution/compile failed</x:v>
      </x:c>
      <x:c r="N460" s="35" t="str">
        <x:v>Deepseek-flash-v4/Result/JacksonDatabind_58/result.json</x:v>
      </x:c>
      <x:c r="O460" s="39" t="str">
        <x:f>IF(AND(G460="RECORDED",ISNUMBER(H460)),H460,"")</x:f>
      </x:c>
      <x:c r="P460" s="35" t="str">
        <x:v>NOT_AVAILABLE</x:v>
      </x:c>
      <x:c r="Q460" s="35" t="str">
        <x:v>Deepseek-flash-v4/Result/JacksonDatabind_58/result.json</x:v>
      </x:c>
    </x:row>
    <x:row r="461">
      <x:c r="A461" s="35" t="str">
        <x:v>deepseek</x:v>
      </x:c>
      <x:c r="B461" s="35" t="str">
        <x:v>JacksonDatabind</x:v>
      </x:c>
      <x:c r="C461" s="35" t="str">
        <x:v>Round1</x:v>
      </x:c>
      <x:c r="D461" s="35" t="str">
        <x:v>JacksonDatabind_59</x:v>
      </x:c>
      <x:c r="E461" s="35" t="str">
        <x:v>Line</x:v>
      </x:c>
      <x:c r="F461" s="35"/>
      <x:c r="G461" s="35" t="str">
        <x:v>A</x:v>
      </x:c>
      <x:c r="H461" s="39" t="str">
        <x:f>IF(ISNUMBER('Data'!E461),'Data'!E461*100,"")</x:f>
      </x:c>
      <x:c r="I461" s="35"/>
      <x:c r="J461" s="35" t="str">
        <x:v>PASS</x:v>
      </x:c>
      <x:c r="K461" s="35" t="str">
        <x:v>FAIL</x:v>
      </x:c>
      <x:c r="L461" s="35" t="str">
        <x:v>NOT_RUN</x:v>
      </x:c>
      <x:c r="M461" s="35" t="str">
        <x:v>coverage unavailable or execution/compile failed</x:v>
      </x:c>
      <x:c r="N461" s="35" t="str">
        <x:v>Deepseek-flash-v4/Result/JacksonDatabind_59/result.json</x:v>
      </x:c>
      <x:c r="O461" s="39" t="str">
        <x:f>IF(AND(G461="RECORDED",ISNUMBER(H461)),H461,"")</x:f>
      </x:c>
      <x:c r="P461" s="35" t="str">
        <x:v>NOT_AVAILABLE</x:v>
      </x:c>
      <x:c r="Q461" s="35" t="str">
        <x:v>Deepseek-flash-v4/Result/JacksonDatabind_59/result.json</x:v>
      </x:c>
    </x:row>
    <x:row r="462">
      <x:c r="A462" s="35" t="str">
        <x:v>deepseek</x:v>
      </x:c>
      <x:c r="B462" s="35" t="str">
        <x:v>JacksonDatabind</x:v>
      </x:c>
      <x:c r="C462" s="35" t="str">
        <x:v>Round1</x:v>
      </x:c>
      <x:c r="D462" s="35" t="str">
        <x:v>JacksonDatabind_6</x:v>
      </x:c>
      <x:c r="E462" s="35" t="str">
        <x:v>Line</x:v>
      </x:c>
      <x:c r="F462" s="35" t="n">
        <x:v>149</x:v>
      </x:c>
      <x:c r="G462" s="35" t="str">
        <x:v>RECORDED</x:v>
      </x:c>
      <x:c r="H462" s="39" t="n">
        <x:f>IF(ISNUMBER('Data'!E462),'Data'!E462*100,"")</x:f>
        <x:v>89.26</x:v>
      </x:c>
      <x:c r="I462" s="35" t="str">
        <x:v>PASS</x:v>
      </x:c>
      <x:c r="J462" s="35" t="str">
        <x:v>PASS</x:v>
      </x:c>
      <x:c r="K462" s="35" t="str">
        <x:v>PASS</x:v>
      </x:c>
      <x:c r="L462" s="35" t="str">
        <x:v>PASS</x:v>
      </x:c>
      <x:c r="M462" s="35" t="str">
        <x:v>numeric coverage for applicable metric</x:v>
      </x:c>
      <x:c r="N462" s="35" t="str">
        <x:v>Deepseek-flash-v4/Result/JacksonDatabind_6/result.json</x:v>
      </x:c>
      <x:c r="O462" s="39" t="n">
        <x:f>IF(AND(G462="RECORDED",ISNUMBER(H462)),H462,"")</x:f>
        <x:v>89.26</x:v>
      </x:c>
      <x:c r="P462" s="35" t="str">
        <x:v>NOT_REVEALING</x:v>
      </x:c>
      <x:c r="Q462" s="35" t="str">
        <x:v>Deepseek-flash-v4/Result/JacksonDatabind_6/result.json</x:v>
      </x:c>
    </x:row>
    <x:row r="463">
      <x:c r="A463" s="35" t="str">
        <x:v>deepseek</x:v>
      </x:c>
      <x:c r="B463" s="35" t="str">
        <x:v>JacksonDatabind</x:v>
      </x:c>
      <x:c r="C463" s="35" t="str">
        <x:v>Round1</x:v>
      </x:c>
      <x:c r="D463" s="35" t="str">
        <x:v>JacksonDatabind_60</x:v>
      </x:c>
      <x:c r="E463" s="35" t="str">
        <x:v>Line</x:v>
      </x:c>
      <x:c r="F463" s="35"/>
      <x:c r="G463" s="35" t="str">
        <x:v>A</x:v>
      </x:c>
      <x:c r="H463" s="39" t="str">
        <x:f>IF(ISNUMBER('Data'!E463),'Data'!E463*100,"")</x:f>
      </x:c>
      <x:c r="I463" s="35"/>
      <x:c r="J463" s="35" t="str">
        <x:v>PASS</x:v>
      </x:c>
      <x:c r="K463" s="35" t="str">
        <x:v>FAIL</x:v>
      </x:c>
      <x:c r="L463" s="35" t="str">
        <x:v>NOT_RUN</x:v>
      </x:c>
      <x:c r="M463" s="35" t="str">
        <x:v>coverage unavailable or execution/compile failed</x:v>
      </x:c>
      <x:c r="N463" s="35" t="str">
        <x:v>Deepseek-flash-v4/Result/JacksonDatabind_60/result.json</x:v>
      </x:c>
      <x:c r="O463" s="39" t="str">
        <x:f>IF(AND(G463="RECORDED",ISNUMBER(H463)),H463,"")</x:f>
      </x:c>
      <x:c r="P463" s="35" t="str">
        <x:v>NOT_AVAILABLE</x:v>
      </x:c>
      <x:c r="Q463" s="35" t="str">
        <x:v>Deepseek-flash-v4/Result/JacksonDatabind_60/result.json</x:v>
      </x:c>
    </x:row>
    <x:row r="464">
      <x:c r="A464" s="35" t="str">
        <x:v>deepseek</x:v>
      </x:c>
      <x:c r="B464" s="35" t="str">
        <x:v>JacksonDatabind</x:v>
      </x:c>
      <x:c r="C464" s="35" t="str">
        <x:v>Round1</x:v>
      </x:c>
      <x:c r="D464" s="35" t="str">
        <x:v>JacksonDatabind_61</x:v>
      </x:c>
      <x:c r="E464" s="35" t="str">
        <x:v>Line</x:v>
      </x:c>
      <x:c r="F464" s="35"/>
      <x:c r="G464" s="35" t="str">
        <x:v>A</x:v>
      </x:c>
      <x:c r="H464" s="39" t="str">
        <x:f>IF(ISNUMBER('Data'!E464),'Data'!E464*100,"")</x:f>
      </x:c>
      <x:c r="I464" s="35"/>
      <x:c r="J464" s="35" t="str">
        <x:v>PASS</x:v>
      </x:c>
      <x:c r="K464" s="35" t="str">
        <x:v>FAIL</x:v>
      </x:c>
      <x:c r="L464" s="35" t="str">
        <x:v>NOT_RUN</x:v>
      </x:c>
      <x:c r="M464" s="35" t="str">
        <x:v>coverage unavailable or execution/compile failed</x:v>
      </x:c>
      <x:c r="N464" s="35" t="str">
        <x:v>Deepseek-flash-v4/Result/JacksonDatabind_61/result.json</x:v>
      </x:c>
      <x:c r="O464" s="39" t="str">
        <x:f>IF(AND(G464="RECORDED",ISNUMBER(H464)),H464,"")</x:f>
      </x:c>
      <x:c r="P464" s="35" t="str">
        <x:v>NOT_AVAILABLE</x:v>
      </x:c>
      <x:c r="Q464" s="35" t="str">
        <x:v>Deepseek-flash-v4/Result/JacksonDatabind_61/result.json</x:v>
      </x:c>
    </x:row>
    <x:row r="465">
      <x:c r="A465" s="35" t="str">
        <x:v>deepseek</x:v>
      </x:c>
      <x:c r="B465" s="35" t="str">
        <x:v>JacksonDatabind</x:v>
      </x:c>
      <x:c r="C465" s="35" t="str">
        <x:v>Round1</x:v>
      </x:c>
      <x:c r="D465" s="35" t="str">
        <x:v>JacksonDatabind_62</x:v>
      </x:c>
      <x:c r="E465" s="35" t="str">
        <x:v>Line</x:v>
      </x:c>
      <x:c r="F465" s="35"/>
      <x:c r="G465" s="35" t="str">
        <x:v>A</x:v>
      </x:c>
      <x:c r="H465" s="39" t="str">
        <x:f>IF(ISNUMBER('Data'!E465),'Data'!E465*100,"")</x:f>
      </x:c>
      <x:c r="I465" s="35"/>
      <x:c r="J465" s="35" t="str">
        <x:v>PASS</x:v>
      </x:c>
      <x:c r="K465" s="35" t="str">
        <x:v>FAIL</x:v>
      </x:c>
      <x:c r="L465" s="35" t="str">
        <x:v>NOT_RUN</x:v>
      </x:c>
      <x:c r="M465" s="35" t="str">
        <x:v>coverage unavailable or execution/compile failed</x:v>
      </x:c>
      <x:c r="N465" s="35" t="str">
        <x:v>Deepseek-flash-v4/Result/JacksonDatabind_62/result.json</x:v>
      </x:c>
      <x:c r="O465" s="39" t="str">
        <x:f>IF(AND(G465="RECORDED",ISNUMBER(H465)),H465,"")</x:f>
      </x:c>
      <x:c r="P465" s="35" t="str">
        <x:v>NOT_AVAILABLE</x:v>
      </x:c>
      <x:c r="Q465" s="35" t="str">
        <x:v>Deepseek-flash-v4/Result/JacksonDatabind_62/result.json</x:v>
      </x:c>
    </x:row>
    <x:row r="466">
      <x:c r="A466" s="35" t="str">
        <x:v>deepseek</x:v>
      </x:c>
      <x:c r="B466" s="35" t="str">
        <x:v>JacksonDatabind</x:v>
      </x:c>
      <x:c r="C466" s="35" t="str">
        <x:v>Round1</x:v>
      </x:c>
      <x:c r="D466" s="35" t="str">
        <x:v>JacksonDatabind_63</x:v>
      </x:c>
      <x:c r="E466" s="35" t="str">
        <x:v>Line</x:v>
      </x:c>
      <x:c r="F466" s="35" t="n">
        <x:v>123</x:v>
      </x:c>
      <x:c r="G466" s="35" t="str">
        <x:v>RECORDED</x:v>
      </x:c>
      <x:c r="H466" s="39" t="n">
        <x:f>IF(ISNUMBER('Data'!E466),'Data'!E466*100,"")</x:f>
        <x:v>82.11</x:v>
      </x:c>
      <x:c r="I466" s="35" t="str">
        <x:v>PASS</x:v>
      </x:c>
      <x:c r="J466" s="35" t="str">
        <x:v>PASS</x:v>
      </x:c>
      <x:c r="K466" s="35" t="str">
        <x:v>PASS</x:v>
      </x:c>
      <x:c r="L466" s="35" t="str">
        <x:v>FAIL</x:v>
      </x:c>
      <x:c r="M466" s="35" t="str">
        <x:v>numeric coverage for applicable metric</x:v>
      </x:c>
      <x:c r="N466" s="35" t="str">
        <x:v>Deepseek-flash-v4/Result/JacksonDatabind_63/result.json</x:v>
      </x:c>
      <x:c r="O466" s="39" t="n">
        <x:f>IF(AND(G466="RECORDED",ISNUMBER(H466)),H466,"")</x:f>
        <x:v>82.11</x:v>
      </x:c>
      <x:c r="P466" s="35" t="str">
        <x:v>INCONCLUSIVE</x:v>
      </x:c>
      <x:c r="Q466" s="35" t="str">
        <x:v>Deepseek-flash-v4/Result/JacksonDatabind_63/result.json</x:v>
      </x:c>
    </x:row>
    <x:row r="467">
      <x:c r="A467" s="35" t="str">
        <x:v>deepseek</x:v>
      </x:c>
      <x:c r="B467" s="35" t="str">
        <x:v>JacksonDatabind</x:v>
      </x:c>
      <x:c r="C467" s="35" t="str">
        <x:v>Round1</x:v>
      </x:c>
      <x:c r="D467" s="35" t="str">
        <x:v>JacksonDatabind_64</x:v>
      </x:c>
      <x:c r="E467" s="35" t="str">
        <x:v>Line</x:v>
      </x:c>
      <x:c r="F467" s="35"/>
      <x:c r="G467" s="35" t="str">
        <x:v>A</x:v>
      </x:c>
      <x:c r="H467" s="39" t="str">
        <x:f>IF(ISNUMBER('Data'!E467),'Data'!E467*100,"")</x:f>
      </x:c>
      <x:c r="I467" s="35"/>
      <x:c r="J467" s="35" t="str">
        <x:v>PASS</x:v>
      </x:c>
      <x:c r="K467" s="35" t="str">
        <x:v>FAIL</x:v>
      </x:c>
      <x:c r="L467" s="35" t="str">
        <x:v>NOT_RUN</x:v>
      </x:c>
      <x:c r="M467" s="35" t="str">
        <x:v>coverage unavailable or execution/compile failed</x:v>
      </x:c>
      <x:c r="N467" s="35" t="str">
        <x:v>Deepseek-flash-v4/Result/JacksonDatabind_64/result.json</x:v>
      </x:c>
      <x:c r="O467" s="39" t="str">
        <x:f>IF(AND(G467="RECORDED",ISNUMBER(H467)),H467,"")</x:f>
      </x:c>
      <x:c r="P467" s="35" t="str">
        <x:v>NOT_AVAILABLE</x:v>
      </x:c>
      <x:c r="Q467" s="35" t="str">
        <x:v>Deepseek-flash-v4/Result/JacksonDatabind_64/result.json</x:v>
      </x:c>
    </x:row>
    <x:row r="468">
      <x:c r="A468" s="35" t="str">
        <x:v>deepseek</x:v>
      </x:c>
      <x:c r="B468" s="35" t="str">
        <x:v>JacksonDatabind</x:v>
      </x:c>
      <x:c r="C468" s="35" t="str">
        <x:v>Round1</x:v>
      </x:c>
      <x:c r="D468" s="35" t="str">
        <x:v>JacksonDatabind_66</x:v>
      </x:c>
      <x:c r="E468" s="35" t="str">
        <x:v>Line</x:v>
      </x:c>
      <x:c r="F468" s="35" t="n">
        <x:v>156</x:v>
      </x:c>
      <x:c r="G468" s="35" t="str">
        <x:v>RECORDED</x:v>
      </x:c>
      <x:c r="H468" s="39" t="n">
        <x:f>IF(ISNUMBER('Data'!E468),'Data'!E468*100,"")</x:f>
        <x:v>53.21</x:v>
      </x:c>
      <x:c r="I468" s="35" t="str">
        <x:v>PASS</x:v>
      </x:c>
      <x:c r="J468" s="35" t="str">
        <x:v>PASS</x:v>
      </x:c>
      <x:c r="K468" s="35" t="str">
        <x:v>PASS</x:v>
      </x:c>
      <x:c r="L468" s="35" t="str">
        <x:v>PASS</x:v>
      </x:c>
      <x:c r="M468" s="35" t="str">
        <x:v>numeric coverage for applicable metric</x:v>
      </x:c>
      <x:c r="N468" s="35" t="str">
        <x:v>Deepseek-flash-v4/Result/JacksonDatabind_66/result.json</x:v>
      </x:c>
      <x:c r="O468" s="39" t="n">
        <x:f>IF(AND(G468="RECORDED",ISNUMBER(H468)),H468,"")</x:f>
        <x:v>53.21</x:v>
      </x:c>
      <x:c r="P468" s="35" t="str">
        <x:v>NOT_REVEALING</x:v>
      </x:c>
      <x:c r="Q468" s="35" t="str">
        <x:v>Deepseek-flash-v4/Result/JacksonDatabind_66/result.json</x:v>
      </x:c>
    </x:row>
    <x:row r="469">
      <x:c r="A469" s="35" t="str">
        <x:v>deepseek</x:v>
      </x:c>
      <x:c r="B469" s="35" t="str">
        <x:v>JacksonDatabind</x:v>
      </x:c>
      <x:c r="C469" s="35" t="str">
        <x:v>Round1</x:v>
      </x:c>
      <x:c r="D469" s="35" t="str">
        <x:v>JacksonDatabind_67</x:v>
      </x:c>
      <x:c r="E469" s="35" t="str">
        <x:v>Line</x:v>
      </x:c>
      <x:c r="F469" s="35"/>
      <x:c r="G469" s="35" t="str">
        <x:v>A</x:v>
      </x:c>
      <x:c r="H469" s="39" t="str">
        <x:f>IF(ISNUMBER('Data'!E469),'Data'!E469*100,"")</x:f>
      </x:c>
      <x:c r="I469" s="35"/>
      <x:c r="J469" s="35" t="str">
        <x:v>PASS</x:v>
      </x:c>
      <x:c r="K469" s="35" t="str">
        <x:v>FAIL</x:v>
      </x:c>
      <x:c r="L469" s="35" t="str">
        <x:v>NOT_RUN</x:v>
      </x:c>
      <x:c r="M469" s="35" t="str">
        <x:v>coverage unavailable or execution/compile failed</x:v>
      </x:c>
      <x:c r="N469" s="35" t="str">
        <x:v>Deepseek-flash-v4/Result/JacksonDatabind_67/result.json</x:v>
      </x:c>
      <x:c r="O469" s="39" t="str">
        <x:f>IF(AND(G469="RECORDED",ISNUMBER(H469)),H469,"")</x:f>
      </x:c>
      <x:c r="P469" s="35" t="str">
        <x:v>NOT_AVAILABLE</x:v>
      </x:c>
      <x:c r="Q469" s="35" t="str">
        <x:v>Deepseek-flash-v4/Result/JacksonDatabind_67/result.json</x:v>
      </x:c>
    </x:row>
    <x:row r="470">
      <x:c r="A470" s="35" t="str">
        <x:v>deepseek</x:v>
      </x:c>
      <x:c r="B470" s="35" t="str">
        <x:v>JacksonDatabind</x:v>
      </x:c>
      <x:c r="C470" s="35" t="str">
        <x:v>Round1</x:v>
      </x:c>
      <x:c r="D470" s="35" t="str">
        <x:v>JacksonDatabind_68</x:v>
      </x:c>
      <x:c r="E470" s="35" t="str">
        <x:v>Line</x:v>
      </x:c>
      <x:c r="F470" s="35" t="n">
        <x:v>592</x:v>
      </x:c>
      <x:c r="G470" s="35" t="str">
        <x:v>RECORDED</x:v>
      </x:c>
      <x:c r="H470" s="39" t="n">
        <x:f>IF(ISNUMBER('Data'!E470),'Data'!E470*100,"")</x:f>
        <x:v>0.17</x:v>
      </x:c>
      <x:c r="I470" s="35" t="str">
        <x:v>PASS</x:v>
      </x:c>
      <x:c r="J470" s="35" t="str">
        <x:v>PASS</x:v>
      </x:c>
      <x:c r="K470" s="35" t="str">
        <x:v>PASS</x:v>
      </x:c>
      <x:c r="L470" s="35" t="str">
        <x:v>FAIL</x:v>
      </x:c>
      <x:c r="M470" s="35" t="str">
        <x:v>numeric coverage for applicable metric</x:v>
      </x:c>
      <x:c r="N470" s="35" t="str">
        <x:v>Deepseek-flash-v4/Result/JacksonDatabind_68/result.json</x:v>
      </x:c>
      <x:c r="O470" s="39" t="n">
        <x:f>IF(AND(G470="RECORDED",ISNUMBER(H470)),H470,"")</x:f>
        <x:v>0.17</x:v>
      </x:c>
      <x:c r="P470" s="35" t="str">
        <x:v>INCONCLUSIVE</x:v>
      </x:c>
      <x:c r="Q470" s="35" t="str">
        <x:v>Deepseek-flash-v4/Result/JacksonDatabind_68/result.json</x:v>
      </x:c>
    </x:row>
    <x:row r="471">
      <x:c r="A471" s="35" t="str">
        <x:v>deepseek</x:v>
      </x:c>
      <x:c r="B471" s="35" t="str">
        <x:v>JacksonDatabind</x:v>
      </x:c>
      <x:c r="C471" s="35" t="str">
        <x:v>Round1</x:v>
      </x:c>
      <x:c r="D471" s="35" t="str">
        <x:v>JacksonDatabind_69</x:v>
      </x:c>
      <x:c r="E471" s="35" t="str">
        <x:v>Line</x:v>
      </x:c>
      <x:c r="F471" s="35"/>
      <x:c r="G471" s="35" t="str">
        <x:v>A</x:v>
      </x:c>
      <x:c r="H471" s="39" t="str">
        <x:f>IF(ISNUMBER('Data'!E471),'Data'!E471*100,"")</x:f>
      </x:c>
      <x:c r="I471" s="35"/>
      <x:c r="J471" s="35" t="str">
        <x:v>PASS</x:v>
      </x:c>
      <x:c r="K471" s="35" t="str">
        <x:v>FAIL</x:v>
      </x:c>
      <x:c r="L471" s="35" t="str">
        <x:v>NOT_RUN</x:v>
      </x:c>
      <x:c r="M471" s="35" t="str">
        <x:v>coverage unavailable or execution/compile failed</x:v>
      </x:c>
      <x:c r="N471" s="35" t="str">
        <x:v>Deepseek-flash-v4/Result/JacksonDatabind_69/result.json</x:v>
      </x:c>
      <x:c r="O471" s="39" t="str">
        <x:f>IF(AND(G471="RECORDED",ISNUMBER(H471)),H471,"")</x:f>
      </x:c>
      <x:c r="P471" s="35" t="str">
        <x:v>NOT_AVAILABLE</x:v>
      </x:c>
      <x:c r="Q471" s="35" t="str">
        <x:v>Deepseek-flash-v4/Result/JacksonDatabind_69/result.json</x:v>
      </x:c>
    </x:row>
    <x:row r="472">
      <x:c r="A472" s="35" t="str">
        <x:v>deepseek</x:v>
      </x:c>
      <x:c r="B472" s="35" t="str">
        <x:v>JacksonDatabind</x:v>
      </x:c>
      <x:c r="C472" s="35" t="str">
        <x:v>Round1</x:v>
      </x:c>
      <x:c r="D472" s="35" t="str">
        <x:v>JacksonDatabind_7</x:v>
      </x:c>
      <x:c r="E472" s="35" t="str">
        <x:v>Line</x:v>
      </x:c>
      <x:c r="F472" s="35"/>
      <x:c r="G472" s="35" t="str">
        <x:v>A</x:v>
      </x:c>
      <x:c r="H472" s="39" t="str">
        <x:f>IF(ISNUMBER('Data'!E472),'Data'!E472*100,"")</x:f>
      </x:c>
      <x:c r="I472" s="35"/>
      <x:c r="J472" s="35" t="str">
        <x:v>PASS</x:v>
      </x:c>
      <x:c r="K472" s="35" t="str">
        <x:v>FAIL</x:v>
      </x:c>
      <x:c r="L472" s="35" t="str">
        <x:v>NOT_RUN</x:v>
      </x:c>
      <x:c r="M472" s="35" t="str">
        <x:v>coverage unavailable or execution/compile failed</x:v>
      </x:c>
      <x:c r="N472" s="35" t="str">
        <x:v>Deepseek-flash-v4/Result/JacksonDatabind_7/result.json</x:v>
      </x:c>
      <x:c r="O472" s="39" t="str">
        <x:f>IF(AND(G472="RECORDED",ISNUMBER(H472)),H472,"")</x:f>
      </x:c>
      <x:c r="P472" s="35" t="str">
        <x:v>NOT_AVAILABLE</x:v>
      </x:c>
      <x:c r="Q472" s="35" t="str">
        <x:v>Deepseek-flash-v4/Result/JacksonDatabind_7/result.json</x:v>
      </x:c>
    </x:row>
    <x:row r="473">
      <x:c r="A473" s="35" t="str">
        <x:v>deepseek</x:v>
      </x:c>
      <x:c r="B473" s="35" t="str">
        <x:v>JacksonDatabind</x:v>
      </x:c>
      <x:c r="C473" s="35" t="str">
        <x:v>Round1</x:v>
      </x:c>
      <x:c r="D473" s="35" t="str">
        <x:v>JacksonDatabind_70</x:v>
      </x:c>
      <x:c r="E473" s="35" t="str">
        <x:v>Line</x:v>
      </x:c>
      <x:c r="F473" s="35"/>
      <x:c r="G473" s="35" t="str">
        <x:v>A</x:v>
      </x:c>
      <x:c r="H473" s="39" t="str">
        <x:f>IF(ISNUMBER('Data'!E473),'Data'!E473*100,"")</x:f>
      </x:c>
      <x:c r="I473" s="35"/>
      <x:c r="J473" s="35" t="str">
        <x:v>PASS</x:v>
      </x:c>
      <x:c r="K473" s="35" t="str">
        <x:v>FAIL</x:v>
      </x:c>
      <x:c r="L473" s="35" t="str">
        <x:v>NOT_RUN</x:v>
      </x:c>
      <x:c r="M473" s="35" t="str">
        <x:v>coverage unavailable or execution/compile failed</x:v>
      </x:c>
      <x:c r="N473" s="35" t="str">
        <x:v>Deepseek-flash-v4/Result/JacksonDatabind_70/result.json</x:v>
      </x:c>
      <x:c r="O473" s="39" t="str">
        <x:f>IF(AND(G473="RECORDED",ISNUMBER(H473)),H473,"")</x:f>
      </x:c>
      <x:c r="P473" s="35" t="str">
        <x:v>NOT_AVAILABLE</x:v>
      </x:c>
      <x:c r="Q473" s="35" t="str">
        <x:v>Deepseek-flash-v4/Result/JacksonDatabind_70/result.json</x:v>
      </x:c>
    </x:row>
    <x:row r="474">
      <x:c r="A474" s="35" t="str">
        <x:v>deepseek</x:v>
      </x:c>
      <x:c r="B474" s="35" t="str">
        <x:v>JacksonDatabind</x:v>
      </x:c>
      <x:c r="C474" s="35" t="str">
        <x:v>Round1</x:v>
      </x:c>
      <x:c r="D474" s="35" t="str">
        <x:v>JacksonDatabind_71</x:v>
      </x:c>
      <x:c r="E474" s="35" t="str">
        <x:v>Line</x:v>
      </x:c>
      <x:c r="F474" s="35" t="n">
        <x:v>149</x:v>
      </x:c>
      <x:c r="G474" s="35" t="str">
        <x:v>RECORDED</x:v>
      </x:c>
      <x:c r="H474" s="39" t="n">
        <x:f>IF(ISNUMBER('Data'!E474),'Data'!E474*100,"")</x:f>
        <x:v>80.54</x:v>
      </x:c>
      <x:c r="I474" s="35" t="str">
        <x:v>PASS</x:v>
      </x:c>
      <x:c r="J474" s="35" t="str">
        <x:v>PASS</x:v>
      </x:c>
      <x:c r="K474" s="35" t="str">
        <x:v>PASS</x:v>
      </x:c>
      <x:c r="L474" s="35" t="str">
        <x:v>FAIL</x:v>
      </x:c>
      <x:c r="M474" s="35" t="str">
        <x:v>numeric coverage for applicable metric</x:v>
      </x:c>
      <x:c r="N474" s="35" t="str">
        <x:v>Deepseek-flash-v4/Result/JacksonDatabind_71/result.json</x:v>
      </x:c>
      <x:c r="O474" s="39" t="n">
        <x:f>IF(AND(G474="RECORDED",ISNUMBER(H474)),H474,"")</x:f>
        <x:v>80.54</x:v>
      </x:c>
      <x:c r="P474" s="35" t="str">
        <x:v>INCONCLUSIVE</x:v>
      </x:c>
      <x:c r="Q474" s="35" t="str">
        <x:v>Deepseek-flash-v4/Result/JacksonDatabind_71/result.json</x:v>
      </x:c>
    </x:row>
    <x:row r="475">
      <x:c r="A475" s="35" t="str">
        <x:v>deepseek</x:v>
      </x:c>
      <x:c r="B475" s="35" t="str">
        <x:v>JacksonDatabind</x:v>
      </x:c>
      <x:c r="C475" s="35" t="str">
        <x:v>Round1</x:v>
      </x:c>
      <x:c r="D475" s="35" t="str">
        <x:v>JacksonDatabind_72</x:v>
      </x:c>
      <x:c r="E475" s="35" t="str">
        <x:v>Line</x:v>
      </x:c>
      <x:c r="F475" s="35"/>
      <x:c r="G475" s="35" t="str">
        <x:v>A</x:v>
      </x:c>
      <x:c r="H475" s="39" t="str">
        <x:f>IF(ISNUMBER('Data'!E475),'Data'!E475*100,"")</x:f>
      </x:c>
      <x:c r="I475" s="35"/>
      <x:c r="J475" s="35" t="str">
        <x:v>PASS</x:v>
      </x:c>
      <x:c r="K475" s="35" t="str">
        <x:v>FAIL</x:v>
      </x:c>
      <x:c r="L475" s="35" t="str">
        <x:v>NOT_RUN</x:v>
      </x:c>
      <x:c r="M475" s="35" t="str">
        <x:v>coverage unavailable or execution/compile failed</x:v>
      </x:c>
      <x:c r="N475" s="35" t="str">
        <x:v>Deepseek-flash-v4/Result/JacksonDatabind_72/result.json</x:v>
      </x:c>
      <x:c r="O475" s="39" t="str">
        <x:f>IF(AND(G475="RECORDED",ISNUMBER(H475)),H475,"")</x:f>
      </x:c>
      <x:c r="P475" s="35" t="str">
        <x:v>NOT_AVAILABLE</x:v>
      </x:c>
      <x:c r="Q475" s="35" t="str">
        <x:v>Deepseek-flash-v4/Result/JacksonDatabind_72/result.json</x:v>
      </x:c>
    </x:row>
    <x:row r="476">
      <x:c r="A476" s="35" t="str">
        <x:v>deepseek</x:v>
      </x:c>
      <x:c r="B476" s="35" t="str">
        <x:v>JacksonDatabind</x:v>
      </x:c>
      <x:c r="C476" s="35" t="str">
        <x:v>Round1</x:v>
      </x:c>
      <x:c r="D476" s="35" t="str">
        <x:v>JacksonDatabind_73</x:v>
      </x:c>
      <x:c r="E476" s="35" t="str">
        <x:v>Line</x:v>
      </x:c>
      <x:c r="F476" s="35" t="n">
        <x:v>928</x:v>
      </x:c>
      <x:c r="G476" s="35" t="str">
        <x:v>RECORDED</x:v>
      </x:c>
      <x:c r="H476" s="39" t="n">
        <x:f>IF(ISNUMBER('Data'!E476),'Data'!E476*100,"")</x:f>
        <x:v>68.32</x:v>
      </x:c>
      <x:c r="I476" s="35" t="str">
        <x:v>PASS</x:v>
      </x:c>
      <x:c r="J476" s="35" t="str">
        <x:v>PASS</x:v>
      </x:c>
      <x:c r="K476" s="35" t="str">
        <x:v>PASS</x:v>
      </x:c>
      <x:c r="L476" s="35" t="str">
        <x:v>PASS</x:v>
      </x:c>
      <x:c r="M476" s="35" t="str">
        <x:v>numeric coverage for applicable metric</x:v>
      </x:c>
      <x:c r="N476" s="35" t="str">
        <x:v>Deepseek-flash-v4/Result/JacksonDatabind_73/result.json</x:v>
      </x:c>
      <x:c r="O476" s="39" t="n">
        <x:f>IF(AND(G476="RECORDED",ISNUMBER(H476)),H476,"")</x:f>
        <x:v>68.32</x:v>
      </x:c>
      <x:c r="P476" s="35" t="str">
        <x:v>NOT_REVEALING</x:v>
      </x:c>
      <x:c r="Q476" s="35" t="str">
        <x:v>Deepseek-flash-v4/Result/JacksonDatabind_73/result.json</x:v>
      </x:c>
    </x:row>
    <x:row r="477">
      <x:c r="A477" s="35" t="str">
        <x:v>deepseek</x:v>
      </x:c>
      <x:c r="B477" s="35" t="str">
        <x:v>JacksonDatabind</x:v>
      </x:c>
      <x:c r="C477" s="35" t="str">
        <x:v>Round1</x:v>
      </x:c>
      <x:c r="D477" s="35" t="str">
        <x:v>JacksonDatabind_74</x:v>
      </x:c>
      <x:c r="E477" s="35" t="str">
        <x:v>Line</x:v>
      </x:c>
      <x:c r="F477" s="35"/>
      <x:c r="G477" s="35" t="str">
        <x:v>A</x:v>
      </x:c>
      <x:c r="H477" s="39" t="str">
        <x:f>IF(ISNUMBER('Data'!E477),'Data'!E477*100,"")</x:f>
      </x:c>
      <x:c r="I477" s="35"/>
      <x:c r="J477" s="35" t="str">
        <x:v>PASS</x:v>
      </x:c>
      <x:c r="K477" s="35" t="str">
        <x:v>FAIL</x:v>
      </x:c>
      <x:c r="L477" s="35" t="str">
        <x:v>NOT_RUN</x:v>
      </x:c>
      <x:c r="M477" s="35" t="str">
        <x:v>coverage unavailable or execution/compile failed</x:v>
      </x:c>
      <x:c r="N477" s="35" t="str">
        <x:v>Deepseek-flash-v4/Result/JacksonDatabind_74/result.json</x:v>
      </x:c>
      <x:c r="O477" s="39" t="str">
        <x:f>IF(AND(G477="RECORDED",ISNUMBER(H477)),H477,"")</x:f>
      </x:c>
      <x:c r="P477" s="35" t="str">
        <x:v>NOT_AVAILABLE</x:v>
      </x:c>
      <x:c r="Q477" s="35" t="str">
        <x:v>Deepseek-flash-v4/Result/JacksonDatabind_74/result.json</x:v>
      </x:c>
    </x:row>
    <x:row r="478">
      <x:c r="A478" s="35" t="str">
        <x:v>deepseek</x:v>
      </x:c>
      <x:c r="B478" s="35" t="str">
        <x:v>JacksonDatabind</x:v>
      </x:c>
      <x:c r="C478" s="35" t="str">
        <x:v>Round1</x:v>
      </x:c>
      <x:c r="D478" s="35" t="str">
        <x:v>JacksonDatabind_75</x:v>
      </x:c>
      <x:c r="E478" s="35" t="str">
        <x:v>Line</x:v>
      </x:c>
      <x:c r="F478" s="35"/>
      <x:c r="G478" s="35" t="str">
        <x:v>A</x:v>
      </x:c>
      <x:c r="H478" s="39" t="str">
        <x:f>IF(ISNUMBER('Data'!E478),'Data'!E478*100,"")</x:f>
      </x:c>
      <x:c r="I478" s="35"/>
      <x:c r="J478" s="35" t="str">
        <x:v>PASS</x:v>
      </x:c>
      <x:c r="K478" s="35" t="str">
        <x:v>FAIL</x:v>
      </x:c>
      <x:c r="L478" s="35" t="str">
        <x:v>NOT_RUN</x:v>
      </x:c>
      <x:c r="M478" s="35" t="str">
        <x:v>coverage unavailable or execution/compile failed</x:v>
      </x:c>
      <x:c r="N478" s="35" t="str">
        <x:v>Deepseek-flash-v4/Result/JacksonDatabind_75/result.json</x:v>
      </x:c>
      <x:c r="O478" s="39" t="str">
        <x:f>IF(AND(G478="RECORDED",ISNUMBER(H478)),H478,"")</x:f>
      </x:c>
      <x:c r="P478" s="35" t="str">
        <x:v>NOT_AVAILABLE</x:v>
      </x:c>
      <x:c r="Q478" s="35" t="str">
        <x:v>Deepseek-flash-v4/Result/JacksonDatabind_75/result.json</x:v>
      </x:c>
    </x:row>
    <x:row r="479">
      <x:c r="A479" s="35" t="str">
        <x:v>deepseek</x:v>
      </x:c>
      <x:c r="B479" s="35" t="str">
        <x:v>JacksonDatabind</x:v>
      </x:c>
      <x:c r="C479" s="35" t="str">
        <x:v>Round1</x:v>
      </x:c>
      <x:c r="D479" s="35" t="str">
        <x:v>JacksonDatabind_76</x:v>
      </x:c>
      <x:c r="E479" s="35" t="str">
        <x:v>Line</x:v>
      </x:c>
      <x:c r="F479" s="35"/>
      <x:c r="G479" s="35" t="str">
        <x:v>A</x:v>
      </x:c>
      <x:c r="H479" s="39" t="str">
        <x:f>IF(ISNUMBER('Data'!E479),'Data'!E479*100,"")</x:f>
      </x:c>
      <x:c r="I479" s="35"/>
      <x:c r="J479" s="35" t="str">
        <x:v>PASS</x:v>
      </x:c>
      <x:c r="K479" s="35" t="str">
        <x:v>FAIL</x:v>
      </x:c>
      <x:c r="L479" s="35" t="str">
        <x:v>NOT_RUN</x:v>
      </x:c>
      <x:c r="M479" s="35" t="str">
        <x:v>coverage unavailable or execution/compile failed</x:v>
      </x:c>
      <x:c r="N479" s="35" t="str">
        <x:v>Deepseek-flash-v4/Result/JacksonDatabind_76/result.json</x:v>
      </x:c>
      <x:c r="O479" s="39" t="str">
        <x:f>IF(AND(G479="RECORDED",ISNUMBER(H479)),H479,"")</x:f>
      </x:c>
      <x:c r="P479" s="35" t="str">
        <x:v>NOT_AVAILABLE</x:v>
      </x:c>
      <x:c r="Q479" s="35" t="str">
        <x:v>Deepseek-flash-v4/Result/JacksonDatabind_76/result.json</x:v>
      </x:c>
    </x:row>
    <x:row r="480">
      <x:c r="A480" s="35" t="str">
        <x:v>deepseek</x:v>
      </x:c>
      <x:c r="B480" s="35" t="str">
        <x:v>JacksonDatabind</x:v>
      </x:c>
      <x:c r="C480" s="35" t="str">
        <x:v>Round1</x:v>
      </x:c>
      <x:c r="D480" s="35" t="str">
        <x:v>JacksonDatabind_77</x:v>
      </x:c>
      <x:c r="E480" s="35" t="str">
        <x:v>Line</x:v>
      </x:c>
      <x:c r="F480" s="35"/>
      <x:c r="G480" s="35" t="str">
        <x:v>A</x:v>
      </x:c>
      <x:c r="H480" s="39" t="str">
        <x:f>IF(ISNUMBER('Data'!E480),'Data'!E480*100,"")</x:f>
      </x:c>
      <x:c r="I480" s="35"/>
      <x:c r="J480" s="35" t="str">
        <x:v>PASS</x:v>
      </x:c>
      <x:c r="K480" s="35" t="str">
        <x:v>FAIL</x:v>
      </x:c>
      <x:c r="L480" s="35" t="str">
        <x:v>NOT_RUN</x:v>
      </x:c>
      <x:c r="M480" s="35" t="str">
        <x:v>coverage unavailable or execution/compile failed</x:v>
      </x:c>
      <x:c r="N480" s="35" t="str">
        <x:v>Deepseek-flash-v4/Result/JacksonDatabind_77/result.json</x:v>
      </x:c>
      <x:c r="O480" s="39" t="str">
        <x:f>IF(AND(G480="RECORDED",ISNUMBER(H480)),H480,"")</x:f>
      </x:c>
      <x:c r="P480" s="35" t="str">
        <x:v>NOT_AVAILABLE</x:v>
      </x:c>
      <x:c r="Q480" s="35" t="str">
        <x:v>Deepseek-flash-v4/Result/JacksonDatabind_77/result.json</x:v>
      </x:c>
    </x:row>
    <x:row r="481">
      <x:c r="A481" s="35" t="str">
        <x:v>deepseek</x:v>
      </x:c>
      <x:c r="B481" s="35" t="str">
        <x:v>JacksonDatabind</x:v>
      </x:c>
      <x:c r="C481" s="35" t="str">
        <x:v>Round1</x:v>
      </x:c>
      <x:c r="D481" s="35" t="str">
        <x:v>JacksonDatabind_78</x:v>
      </x:c>
      <x:c r="E481" s="35" t="str">
        <x:v>Line</x:v>
      </x:c>
      <x:c r="F481" s="35" t="n">
        <x:v>336</x:v>
      </x:c>
      <x:c r="G481" s="35" t="str">
        <x:v>RECORDED</x:v>
      </x:c>
      <x:c r="H481" s="39" t="n">
        <x:f>IF(ISNUMBER('Data'!E481),'Data'!E481*100,"")</x:f>
        <x:v>72.32</x:v>
      </x:c>
      <x:c r="I481" s="35" t="str">
        <x:v>PASS</x:v>
      </x:c>
      <x:c r="J481" s="35" t="str">
        <x:v>PASS</x:v>
      </x:c>
      <x:c r="K481" s="35" t="str">
        <x:v>PASS</x:v>
      </x:c>
      <x:c r="L481" s="35" t="str">
        <x:v>PASS</x:v>
      </x:c>
      <x:c r="M481" s="35" t="str">
        <x:v>numeric coverage for applicable metric</x:v>
      </x:c>
      <x:c r="N481" s="35" t="str">
        <x:v>Deepseek-flash-v4/Result/JacksonDatabind_78/result.json</x:v>
      </x:c>
      <x:c r="O481" s="39" t="n">
        <x:f>IF(AND(G481="RECORDED",ISNUMBER(H481)),H481,"")</x:f>
        <x:v>72.32</x:v>
      </x:c>
      <x:c r="P481" s="35" t="str">
        <x:v>NOT_REVEALING</x:v>
      </x:c>
      <x:c r="Q481" s="35" t="str">
        <x:v>Deepseek-flash-v4/Result/JacksonDatabind_78/result.json</x:v>
      </x:c>
    </x:row>
    <x:row r="482">
      <x:c r="A482" s="35" t="str">
        <x:v>deepseek</x:v>
      </x:c>
      <x:c r="B482" s="35" t="str">
        <x:v>JacksonDatabind</x:v>
      </x:c>
      <x:c r="C482" s="35" t="str">
        <x:v>Round1</x:v>
      </x:c>
      <x:c r="D482" s="35" t="str">
        <x:v>JacksonDatabind_79</x:v>
      </x:c>
      <x:c r="E482" s="35" t="str">
        <x:v>Line</x:v>
      </x:c>
      <x:c r="F482" s="35"/>
      <x:c r="G482" s="35" t="str">
        <x:v>A</x:v>
      </x:c>
      <x:c r="H482" s="39" t="str">
        <x:f>IF(ISNUMBER('Data'!E482),'Data'!E482*100,"")</x:f>
      </x:c>
      <x:c r="I482" s="35"/>
      <x:c r="J482" s="35" t="str">
        <x:v>PASS</x:v>
      </x:c>
      <x:c r="K482" s="35" t="str">
        <x:v>FAIL</x:v>
      </x:c>
      <x:c r="L482" s="35" t="str">
        <x:v>NOT_RUN</x:v>
      </x:c>
      <x:c r="M482" s="35" t="str">
        <x:v>coverage unavailable or execution/compile failed</x:v>
      </x:c>
      <x:c r="N482" s="35" t="str">
        <x:v>Deepseek-flash-v4/Result/JacksonDatabind_79/result.json</x:v>
      </x:c>
      <x:c r="O482" s="39" t="str">
        <x:f>IF(AND(G482="RECORDED",ISNUMBER(H482)),H482,"")</x:f>
      </x:c>
      <x:c r="P482" s="35" t="str">
        <x:v>NOT_AVAILABLE</x:v>
      </x:c>
      <x:c r="Q482" s="35" t="str">
        <x:v>Deepseek-flash-v4/Result/JacksonDatabind_79/result.json</x:v>
      </x:c>
    </x:row>
    <x:row r="483">
      <x:c r="A483" s="35" t="str">
        <x:v>deepseek</x:v>
      </x:c>
      <x:c r="B483" s="35" t="str">
        <x:v>JacksonDatabind</x:v>
      </x:c>
      <x:c r="C483" s="35" t="str">
        <x:v>Round1</x:v>
      </x:c>
      <x:c r="D483" s="35" t="str">
        <x:v>JacksonDatabind_8</x:v>
      </x:c>
      <x:c r="E483" s="35" t="str">
        <x:v>Line</x:v>
      </x:c>
      <x:c r="F483" s="35"/>
      <x:c r="G483" s="35" t="str">
        <x:v>A</x:v>
      </x:c>
      <x:c r="H483" s="39" t="str">
        <x:f>IF(ISNUMBER('Data'!E483),'Data'!E483*100,"")</x:f>
      </x:c>
      <x:c r="I483" s="35"/>
      <x:c r="J483" s="35" t="str">
        <x:v>PASS</x:v>
      </x:c>
      <x:c r="K483" s="35" t="str">
        <x:v>FAIL</x:v>
      </x:c>
      <x:c r="L483" s="35" t="str">
        <x:v>NOT_RUN</x:v>
      </x:c>
      <x:c r="M483" s="35" t="str">
        <x:v>coverage unavailable or execution/compile failed</x:v>
      </x:c>
      <x:c r="N483" s="35" t="str">
        <x:v>Deepseek-flash-v4/Result/JacksonDatabind_8/result.json</x:v>
      </x:c>
      <x:c r="O483" s="39" t="str">
        <x:f>IF(AND(G483="RECORDED",ISNUMBER(H483)),H483,"")</x:f>
      </x:c>
      <x:c r="P483" s="35" t="str">
        <x:v>NOT_AVAILABLE</x:v>
      </x:c>
      <x:c r="Q483" s="35" t="str">
        <x:v>Deepseek-flash-v4/Result/JacksonDatabind_8/result.json</x:v>
      </x:c>
    </x:row>
    <x:row r="484">
      <x:c r="A484" s="35" t="str">
        <x:v>deepseek</x:v>
      </x:c>
      <x:c r="B484" s="35" t="str">
        <x:v>JacksonDatabind</x:v>
      </x:c>
      <x:c r="C484" s="35" t="str">
        <x:v>Round1</x:v>
      </x:c>
      <x:c r="D484" s="35" t="str">
        <x:v>JacksonDatabind_80</x:v>
      </x:c>
      <x:c r="E484" s="35" t="str">
        <x:v>Line</x:v>
      </x:c>
      <x:c r="F484" s="35"/>
      <x:c r="G484" s="35" t="str">
        <x:v>A</x:v>
      </x:c>
      <x:c r="H484" s="39" t="str">
        <x:f>IF(ISNUMBER('Data'!E484),'Data'!E484*100,"")</x:f>
      </x:c>
      <x:c r="I484" s="35"/>
      <x:c r="J484" s="35" t="str">
        <x:v>PASS</x:v>
      </x:c>
      <x:c r="K484" s="35" t="str">
        <x:v>FAIL</x:v>
      </x:c>
      <x:c r="L484" s="35" t="str">
        <x:v>NOT_RUN</x:v>
      </x:c>
      <x:c r="M484" s="35" t="str">
        <x:v>coverage unavailable or execution/compile failed</x:v>
      </x:c>
      <x:c r="N484" s="35" t="str">
        <x:v>Deepseek-flash-v4/Result/JacksonDatabind_80/result.json</x:v>
      </x:c>
      <x:c r="O484" s="39" t="str">
        <x:f>IF(AND(G484="RECORDED",ISNUMBER(H484)),H484,"")</x:f>
      </x:c>
      <x:c r="P484" s="35" t="str">
        <x:v>NOT_AVAILABLE</x:v>
      </x:c>
      <x:c r="Q484" s="35" t="str">
        <x:v>Deepseek-flash-v4/Result/JacksonDatabind_80/result.json</x:v>
      </x:c>
    </x:row>
    <x:row r="485">
      <x:c r="A485" s="35" t="str">
        <x:v>deepseek</x:v>
      </x:c>
      <x:c r="B485" s="35" t="str">
        <x:v>JacksonDatabind</x:v>
      </x:c>
      <x:c r="C485" s="35" t="str">
        <x:v>Round1</x:v>
      </x:c>
      <x:c r="D485" s="35" t="str">
        <x:v>JacksonDatabind_81</x:v>
      </x:c>
      <x:c r="E485" s="35" t="str">
        <x:v>Line</x:v>
      </x:c>
      <x:c r="F485" s="35"/>
      <x:c r="G485" s="35" t="str">
        <x:v>A</x:v>
      </x:c>
      <x:c r="H485" s="39" t="str">
        <x:f>IF(ISNUMBER('Data'!E485),'Data'!E485*100,"")</x:f>
      </x:c>
      <x:c r="I485" s="35"/>
      <x:c r="J485" s="35" t="str">
        <x:v>PASS</x:v>
      </x:c>
      <x:c r="K485" s="35" t="str">
        <x:v>FAIL</x:v>
      </x:c>
      <x:c r="L485" s="35" t="str">
        <x:v>NOT_RUN</x:v>
      </x:c>
      <x:c r="M485" s="35" t="str">
        <x:v>coverage unavailable or execution/compile failed</x:v>
      </x:c>
      <x:c r="N485" s="35" t="str">
        <x:v>Deepseek-flash-v4/Result/JacksonDatabind_81/result.json</x:v>
      </x:c>
      <x:c r="O485" s="39" t="str">
        <x:f>IF(AND(G485="RECORDED",ISNUMBER(H485)),H485,"")</x:f>
      </x:c>
      <x:c r="P485" s="35" t="str">
        <x:v>NOT_AVAILABLE</x:v>
      </x:c>
      <x:c r="Q485" s="35" t="str">
        <x:v>Deepseek-flash-v4/Result/JacksonDatabind_81/result.json</x:v>
      </x:c>
    </x:row>
    <x:row r="486">
      <x:c r="A486" s="35" t="str">
        <x:v>deepseek</x:v>
      </x:c>
      <x:c r="B486" s="35" t="str">
        <x:v>JacksonDatabind</x:v>
      </x:c>
      <x:c r="C486" s="35" t="str">
        <x:v>Round1</x:v>
      </x:c>
      <x:c r="D486" s="35" t="str">
        <x:v>JacksonDatabind_82</x:v>
      </x:c>
      <x:c r="E486" s="35" t="str">
        <x:v>Line</x:v>
      </x:c>
      <x:c r="F486" s="35"/>
      <x:c r="G486" s="35" t="str">
        <x:v>A</x:v>
      </x:c>
      <x:c r="H486" s="39" t="str">
        <x:f>IF(ISNUMBER('Data'!E486),'Data'!E486*100,"")</x:f>
      </x:c>
      <x:c r="I486" s="35"/>
      <x:c r="J486" s="35" t="str">
        <x:v>PASS</x:v>
      </x:c>
      <x:c r="K486" s="35" t="str">
        <x:v>FAIL</x:v>
      </x:c>
      <x:c r="L486" s="35" t="str">
        <x:v>NOT_RUN</x:v>
      </x:c>
      <x:c r="M486" s="35" t="str">
        <x:v>coverage unavailable or execution/compile failed</x:v>
      </x:c>
      <x:c r="N486" s="35" t="str">
        <x:v>Deepseek-flash-v4/Result/JacksonDatabind_82/result.json</x:v>
      </x:c>
      <x:c r="O486" s="39" t="str">
        <x:f>IF(AND(G486="RECORDED",ISNUMBER(H486)),H486,"")</x:f>
      </x:c>
      <x:c r="P486" s="35" t="str">
        <x:v>NOT_AVAILABLE</x:v>
      </x:c>
      <x:c r="Q486" s="35" t="str">
        <x:v>Deepseek-flash-v4/Result/JacksonDatabind_82/result.json</x:v>
      </x:c>
    </x:row>
    <x:row r="487">
      <x:c r="A487" s="35" t="str">
        <x:v>deepseek</x:v>
      </x:c>
      <x:c r="B487" s="35" t="str">
        <x:v>JacksonDatabind</x:v>
      </x:c>
      <x:c r="C487" s="35" t="str">
        <x:v>Round1</x:v>
      </x:c>
      <x:c r="D487" s="35" t="str">
        <x:v>JacksonDatabind_83</x:v>
      </x:c>
      <x:c r="E487" s="35" t="str">
        <x:v>Line</x:v>
      </x:c>
      <x:c r="F487" s="35" t="n">
        <x:v>122</x:v>
      </x:c>
      <x:c r="G487" s="35" t="str">
        <x:v>RECORDED</x:v>
      </x:c>
      <x:c r="H487" s="39" t="n">
        <x:f>IF(ISNUMBER('Data'!E487),'Data'!E487*100,"")</x:f>
        <x:v>81.97</x:v>
      </x:c>
      <x:c r="I487" s="35" t="str">
        <x:v>PASS</x:v>
      </x:c>
      <x:c r="J487" s="35" t="str">
        <x:v>PASS</x:v>
      </x:c>
      <x:c r="K487" s="35" t="str">
        <x:v>PASS</x:v>
      </x:c>
      <x:c r="L487" s="35" t="str">
        <x:v>FAIL</x:v>
      </x:c>
      <x:c r="M487" s="35" t="str">
        <x:v>numeric coverage for applicable metric</x:v>
      </x:c>
      <x:c r="N487" s="35" t="str">
        <x:v>Deepseek-flash-v4/Result/JacksonDatabind_83/result.json</x:v>
      </x:c>
      <x:c r="O487" s="39" t="n">
        <x:f>IF(AND(G487="RECORDED",ISNUMBER(H487)),H487,"")</x:f>
        <x:v>81.97</x:v>
      </x:c>
      <x:c r="P487" s="35" t="str">
        <x:v>INCONCLUSIVE</x:v>
      </x:c>
      <x:c r="Q487" s="35" t="str">
        <x:v>Deepseek-flash-v4/Result/JacksonDatabind_83/result.json</x:v>
      </x:c>
    </x:row>
    <x:row r="488">
      <x:c r="A488" s="35" t="str">
        <x:v>deepseek</x:v>
      </x:c>
      <x:c r="B488" s="35" t="str">
        <x:v>JacksonDatabind</x:v>
      </x:c>
      <x:c r="C488" s="35" t="str">
        <x:v>Round1</x:v>
      </x:c>
      <x:c r="D488" s="35" t="str">
        <x:v>JacksonDatabind_84</x:v>
      </x:c>
      <x:c r="E488" s="35" t="str">
        <x:v>Line</x:v>
      </x:c>
      <x:c r="F488" s="35" t="n">
        <x:v>30</x:v>
      </x:c>
      <x:c r="G488" s="35" t="str">
        <x:v>RECORDED</x:v>
      </x:c>
      <x:c r="H488" s="39" t="n">
        <x:f>IF(ISNUMBER('Data'!E488),'Data'!E488*100,"")</x:f>
        <x:v>96.67</x:v>
      </x:c>
      <x:c r="I488" s="35" t="str">
        <x:v>PASS</x:v>
      </x:c>
      <x:c r="J488" s="35" t="str">
        <x:v>PASS</x:v>
      </x:c>
      <x:c r="K488" s="35" t="str">
        <x:v>PASS</x:v>
      </x:c>
      <x:c r="L488" s="35" t="str">
        <x:v>FAIL</x:v>
      </x:c>
      <x:c r="M488" s="35" t="str">
        <x:v>numeric coverage for applicable metric</x:v>
      </x:c>
      <x:c r="N488" s="35" t="str">
        <x:v>Deepseek-flash-v4/Result/JacksonDatabind_84/result.json</x:v>
      </x:c>
      <x:c r="O488" s="39" t="n">
        <x:f>IF(AND(G488="RECORDED",ISNUMBER(H488)),H488,"")</x:f>
        <x:v>96.67</x:v>
      </x:c>
      <x:c r="P488" s="35" t="str">
        <x:v>INCONCLUSIVE</x:v>
      </x:c>
      <x:c r="Q488" s="35" t="str">
        <x:v>Deepseek-flash-v4/Result/JacksonDatabind_84/result.json</x:v>
      </x:c>
    </x:row>
    <x:row r="489">
      <x:c r="A489" s="35" t="str">
        <x:v>deepseek</x:v>
      </x:c>
      <x:c r="B489" s="35" t="str">
        <x:v>JacksonDatabind</x:v>
      </x:c>
      <x:c r="C489" s="35" t="str">
        <x:v>Round1</x:v>
      </x:c>
      <x:c r="D489" s="35" t="str">
        <x:v>JacksonDatabind_85</x:v>
      </x:c>
      <x:c r="E489" s="35" t="str">
        <x:v>Line</x:v>
      </x:c>
      <x:c r="F489" s="35"/>
      <x:c r="G489" s="35" t="str">
        <x:v>A</x:v>
      </x:c>
      <x:c r="H489" s="39" t="str">
        <x:f>IF(ISNUMBER('Data'!E489),'Data'!E489*100,"")</x:f>
      </x:c>
      <x:c r="I489" s="35"/>
      <x:c r="J489" s="35" t="str">
        <x:v>PASS</x:v>
      </x:c>
      <x:c r="K489" s="35" t="str">
        <x:v>FAIL</x:v>
      </x:c>
      <x:c r="L489" s="35" t="str">
        <x:v>NOT_RUN</x:v>
      </x:c>
      <x:c r="M489" s="35" t="str">
        <x:v>coverage unavailable or execution/compile failed</x:v>
      </x:c>
      <x:c r="N489" s="35" t="str">
        <x:v>Deepseek-flash-v4/Result/JacksonDatabind_85/result.json</x:v>
      </x:c>
      <x:c r="O489" s="39" t="str">
        <x:f>IF(AND(G489="RECORDED",ISNUMBER(H489)),H489,"")</x:f>
      </x:c>
      <x:c r="P489" s="35" t="str">
        <x:v>NOT_AVAILABLE</x:v>
      </x:c>
      <x:c r="Q489" s="35" t="str">
        <x:v>Deepseek-flash-v4/Result/JacksonDatabind_85/result.json</x:v>
      </x:c>
    </x:row>
    <x:row r="490">
      <x:c r="A490" s="35" t="str">
        <x:v>deepseek</x:v>
      </x:c>
      <x:c r="B490" s="35" t="str">
        <x:v>JacksonDatabind</x:v>
      </x:c>
      <x:c r="C490" s="35" t="str">
        <x:v>Round1</x:v>
      </x:c>
      <x:c r="D490" s="35" t="str">
        <x:v>JacksonDatabind_86</x:v>
      </x:c>
      <x:c r="E490" s="35" t="str">
        <x:v>Line</x:v>
      </x:c>
      <x:c r="F490" s="35" t="n">
        <x:v>30</x:v>
      </x:c>
      <x:c r="G490" s="35" t="str">
        <x:v>RECORDED</x:v>
      </x:c>
      <x:c r="H490" s="39" t="n">
        <x:f>IF(ISNUMBER('Data'!E490),'Data'!E490*100,"")</x:f>
        <x:v>96.67</x:v>
      </x:c>
      <x:c r="I490" s="35" t="str">
        <x:v>PASS</x:v>
      </x:c>
      <x:c r="J490" s="35" t="str">
        <x:v>PASS</x:v>
      </x:c>
      <x:c r="K490" s="35" t="str">
        <x:v>PASS</x:v>
      </x:c>
      <x:c r="L490" s="35" t="str">
        <x:v>PASS</x:v>
      </x:c>
      <x:c r="M490" s="35" t="str">
        <x:v>numeric coverage for applicable metric</x:v>
      </x:c>
      <x:c r="N490" s="35" t="str">
        <x:v>Deepseek-flash-v4/Result/JacksonDatabind_86/result.json</x:v>
      </x:c>
      <x:c r="O490" s="39" t="n">
        <x:f>IF(AND(G490="RECORDED",ISNUMBER(H490)),H490,"")</x:f>
        <x:v>96.67</x:v>
      </x:c>
      <x:c r="P490" s="35" t="str">
        <x:v>NOT_REVEALING</x:v>
      </x:c>
      <x:c r="Q490" s="35" t="str">
        <x:v>Deepseek-flash-v4/Result/JacksonDatabind_86/result.json</x:v>
      </x:c>
    </x:row>
    <x:row r="491">
      <x:c r="A491" s="35" t="str">
        <x:v>deepseek</x:v>
      </x:c>
      <x:c r="B491" s="35" t="str">
        <x:v>JacksonDatabind</x:v>
      </x:c>
      <x:c r="C491" s="35" t="str">
        <x:v>Round1</x:v>
      </x:c>
      <x:c r="D491" s="35" t="str">
        <x:v>JacksonDatabind_87</x:v>
      </x:c>
      <x:c r="E491" s="35" t="str">
        <x:v>Line</x:v>
      </x:c>
      <x:c r="F491" s="35" t="n">
        <x:v>202</x:v>
      </x:c>
      <x:c r="G491" s="35" t="str">
        <x:v>RECORDED</x:v>
      </x:c>
      <x:c r="H491" s="39" t="n">
        <x:f>IF(ISNUMBER('Data'!E491),'Data'!E491*100,"")</x:f>
        <x:v>85.64</x:v>
      </x:c>
      <x:c r="I491" s="35" t="str">
        <x:v>PASS</x:v>
      </x:c>
      <x:c r="J491" s="35" t="str">
        <x:v>PASS</x:v>
      </x:c>
      <x:c r="K491" s="35" t="str">
        <x:v>PASS</x:v>
      </x:c>
      <x:c r="L491" s="35" t="str">
        <x:v>PASS</x:v>
      </x:c>
      <x:c r="M491" s="35" t="str">
        <x:v>numeric coverage for applicable metric</x:v>
      </x:c>
      <x:c r="N491" s="35" t="str">
        <x:v>Deepseek-flash-v4/Result/JacksonDatabind_87/result.json</x:v>
      </x:c>
      <x:c r="O491" s="39" t="n">
        <x:f>IF(AND(G491="RECORDED",ISNUMBER(H491)),H491,"")</x:f>
        <x:v>85.64</x:v>
      </x:c>
      <x:c r="P491" s="35" t="str">
        <x:v>NOT_REVEALING</x:v>
      </x:c>
      <x:c r="Q491" s="35" t="str">
        <x:v>Deepseek-flash-v4/Result/JacksonDatabind_87/result.json</x:v>
      </x:c>
    </x:row>
    <x:row r="492">
      <x:c r="A492" s="35" t="str">
        <x:v>deepseek</x:v>
      </x:c>
      <x:c r="B492" s="35" t="str">
        <x:v>JacksonDatabind</x:v>
      </x:c>
      <x:c r="C492" s="35" t="str">
        <x:v>Round1</x:v>
      </x:c>
      <x:c r="D492" s="35" t="str">
        <x:v>JacksonDatabind_88</x:v>
      </x:c>
      <x:c r="E492" s="35" t="str">
        <x:v>Line</x:v>
      </x:c>
      <x:c r="F492" s="35"/>
      <x:c r="G492" s="35" t="str">
        <x:v>A</x:v>
      </x:c>
      <x:c r="H492" s="39" t="str">
        <x:f>IF(ISNUMBER('Data'!E492),'Data'!E492*100,"")</x:f>
      </x:c>
      <x:c r="I492" s="35"/>
      <x:c r="J492" s="35" t="str">
        <x:v>PASS</x:v>
      </x:c>
      <x:c r="K492" s="35" t="str">
        <x:v>FAIL</x:v>
      </x:c>
      <x:c r="L492" s="35" t="str">
        <x:v>NOT_RUN</x:v>
      </x:c>
      <x:c r="M492" s="35" t="str">
        <x:v>coverage unavailable or execution/compile failed</x:v>
      </x:c>
      <x:c r="N492" s="35" t="str">
        <x:v>Deepseek-flash-v4/Result/JacksonDatabind_88/result.json</x:v>
      </x:c>
      <x:c r="O492" s="39" t="str">
        <x:f>IF(AND(G492="RECORDED",ISNUMBER(H492)),H492,"")</x:f>
      </x:c>
      <x:c r="P492" s="35" t="str">
        <x:v>NOT_AVAILABLE</x:v>
      </x:c>
      <x:c r="Q492" s="35" t="str">
        <x:v>Deepseek-flash-v4/Result/JacksonDatabind_88/result.json</x:v>
      </x:c>
    </x:row>
    <x:row r="493">
      <x:c r="A493" s="35" t="str">
        <x:v>deepseek</x:v>
      </x:c>
      <x:c r="B493" s="35" t="str">
        <x:v>JacksonDatabind</x:v>
      </x:c>
      <x:c r="C493" s="35" t="str">
        <x:v>Round1</x:v>
      </x:c>
      <x:c r="D493" s="35" t="str">
        <x:v>JacksonDatabind_9</x:v>
      </x:c>
      <x:c r="E493" s="35" t="str">
        <x:v>Line</x:v>
      </x:c>
      <x:c r="F493" s="35" t="n">
        <x:v>10</x:v>
      </x:c>
      <x:c r="G493" s="35" t="str">
        <x:v>RECORDED</x:v>
      </x:c>
      <x:c r="H493" s="39" t="n">
        <x:f>IF(ISNUMBER('Data'!E493),'Data'!E493*100,"")</x:f>
        <x:v>90</x:v>
      </x:c>
      <x:c r="I493" s="35" t="str">
        <x:v>PASS</x:v>
      </x:c>
      <x:c r="J493" s="35" t="str">
        <x:v>PASS</x:v>
      </x:c>
      <x:c r="K493" s="35" t="str">
        <x:v>PASS</x:v>
      </x:c>
      <x:c r="L493" s="35" t="str">
        <x:v>FAIL</x:v>
      </x:c>
      <x:c r="M493" s="35" t="str">
        <x:v>numeric coverage for applicable metric</x:v>
      </x:c>
      <x:c r="N493" s="35" t="str">
        <x:v>Deepseek-flash-v4/Result/JacksonDatabind_9/result.json</x:v>
      </x:c>
      <x:c r="O493" s="39" t="n">
        <x:f>IF(AND(G493="RECORDED",ISNUMBER(H493)),H493,"")</x:f>
        <x:v>90</x:v>
      </x:c>
      <x:c r="P493" s="35" t="str">
        <x:v>INCONCLUSIVE</x:v>
      </x:c>
      <x:c r="Q493" s="35" t="str">
        <x:v>Deepseek-flash-v4/Result/JacksonDatabind_9/result.json</x:v>
      </x:c>
    </x:row>
    <x:row r="494">
      <x:c r="A494" s="35" t="str">
        <x:v>deepseek</x:v>
      </x:c>
      <x:c r="B494" s="35" t="str">
        <x:v>JacksonDatabind</x:v>
      </x:c>
      <x:c r="C494" s="35" t="str">
        <x:v>Round1</x:v>
      </x:c>
      <x:c r="D494" s="35" t="str">
        <x:v>JacksonDatabind_90</x:v>
      </x:c>
      <x:c r="E494" s="35" t="str">
        <x:v>Line</x:v>
      </x:c>
      <x:c r="F494" s="35"/>
      <x:c r="G494" s="35" t="str">
        <x:v>A</x:v>
      </x:c>
      <x:c r="H494" s="39" t="str">
        <x:f>IF(ISNUMBER('Data'!E494),'Data'!E494*100,"")</x:f>
      </x:c>
      <x:c r="I494" s="35"/>
      <x:c r="J494" s="35" t="str">
        <x:v>PASS</x:v>
      </x:c>
      <x:c r="K494" s="35" t="str">
        <x:v>FAIL</x:v>
      </x:c>
      <x:c r="L494" s="35" t="str">
        <x:v>NOT_RUN</x:v>
      </x:c>
      <x:c r="M494" s="35" t="str">
        <x:v>coverage unavailable or execution/compile failed</x:v>
      </x:c>
      <x:c r="N494" s="35" t="str">
        <x:v>Deepseek-flash-v4/Result/JacksonDatabind_90/result.json</x:v>
      </x:c>
      <x:c r="O494" s="39" t="str">
        <x:f>IF(AND(G494="RECORDED",ISNUMBER(H494)),H494,"")</x:f>
      </x:c>
      <x:c r="P494" s="35" t="str">
        <x:v>NOT_AVAILABLE</x:v>
      </x:c>
      <x:c r="Q494" s="35" t="str">
        <x:v>Deepseek-flash-v4/Result/JacksonDatabind_90/result.json</x:v>
      </x:c>
    </x:row>
    <x:row r="495">
      <x:c r="A495" s="35" t="str">
        <x:v>deepseek</x:v>
      </x:c>
      <x:c r="B495" s="35" t="str">
        <x:v>JacksonDatabind</x:v>
      </x:c>
      <x:c r="C495" s="35" t="str">
        <x:v>Round1</x:v>
      </x:c>
      <x:c r="D495" s="35" t="str">
        <x:v>JacksonDatabind_91</x:v>
      </x:c>
      <x:c r="E495" s="35" t="str">
        <x:v>Line</x:v>
      </x:c>
      <x:c r="F495" s="35"/>
      <x:c r="G495" s="35" t="str">
        <x:v>A</x:v>
      </x:c>
      <x:c r="H495" s="39" t="str">
        <x:f>IF(ISNUMBER('Data'!E495),'Data'!E495*100,"")</x:f>
      </x:c>
      <x:c r="I495" s="35"/>
      <x:c r="J495" s="35" t="str">
        <x:v>PASS</x:v>
      </x:c>
      <x:c r="K495" s="35" t="str">
        <x:v>FAIL</x:v>
      </x:c>
      <x:c r="L495" s="35" t="str">
        <x:v>NOT_RUN</x:v>
      </x:c>
      <x:c r="M495" s="35" t="str">
        <x:v>coverage unavailable or execution/compile failed</x:v>
      </x:c>
      <x:c r="N495" s="35" t="str">
        <x:v>Deepseek-flash-v4/Result/JacksonDatabind_91/result.json</x:v>
      </x:c>
      <x:c r="O495" s="39" t="str">
        <x:f>IF(AND(G495="RECORDED",ISNUMBER(H495)),H495,"")</x:f>
      </x:c>
      <x:c r="P495" s="35" t="str">
        <x:v>NOT_AVAILABLE</x:v>
      </x:c>
      <x:c r="Q495" s="35" t="str">
        <x:v>Deepseek-flash-v4/Result/JacksonDatabind_91/result.json</x:v>
      </x:c>
    </x:row>
    <x:row r="496">
      <x:c r="A496" s="35" t="str">
        <x:v>deepseek</x:v>
      </x:c>
      <x:c r="B496" s="35" t="str">
        <x:v>JacksonDatabind</x:v>
      </x:c>
      <x:c r="C496" s="35" t="str">
        <x:v>Round1</x:v>
      </x:c>
      <x:c r="D496" s="35" t="str">
        <x:v>JacksonDatabind_92</x:v>
      </x:c>
      <x:c r="E496" s="35" t="str">
        <x:v>Line</x:v>
      </x:c>
      <x:c r="F496" s="35"/>
      <x:c r="G496" s="35" t="str">
        <x:v>A</x:v>
      </x:c>
      <x:c r="H496" s="39" t="str">
        <x:f>IF(ISNUMBER('Data'!E496),'Data'!E496*100,"")</x:f>
      </x:c>
      <x:c r="I496" s="35"/>
      <x:c r="J496" s="35" t="str">
        <x:v>PASS</x:v>
      </x:c>
      <x:c r="K496" s="35" t="str">
        <x:v>FAIL</x:v>
      </x:c>
      <x:c r="L496" s="35" t="str">
        <x:v>NOT_RUN</x:v>
      </x:c>
      <x:c r="M496" s="35" t="str">
        <x:v>coverage unavailable or execution/compile failed</x:v>
      </x:c>
      <x:c r="N496" s="35" t="str">
        <x:v>Deepseek-flash-v4/Result/JacksonDatabind_92/result.json</x:v>
      </x:c>
      <x:c r="O496" s="39" t="str">
        <x:f>IF(AND(G496="RECORDED",ISNUMBER(H496)),H496,"")</x:f>
      </x:c>
      <x:c r="P496" s="35" t="str">
        <x:v>NOT_AVAILABLE</x:v>
      </x:c>
      <x:c r="Q496" s="35" t="str">
        <x:v>Deepseek-flash-v4/Result/JacksonDatabind_92/result.json</x:v>
      </x:c>
    </x:row>
    <x:row r="497">
      <x:c r="A497" s="35" t="str">
        <x:v>deepseek</x:v>
      </x:c>
      <x:c r="B497" s="35" t="str">
        <x:v>JacksonDatabind</x:v>
      </x:c>
      <x:c r="C497" s="35" t="str">
        <x:v>Round1</x:v>
      </x:c>
      <x:c r="D497" s="35" t="str">
        <x:v>JacksonDatabind_93</x:v>
      </x:c>
      <x:c r="E497" s="35" t="str">
        <x:v>Line</x:v>
      </x:c>
      <x:c r="F497" s="35"/>
      <x:c r="G497" s="35" t="str">
        <x:v>A</x:v>
      </x:c>
      <x:c r="H497" s="39" t="str">
        <x:f>IF(ISNUMBER('Data'!E497),'Data'!E497*100,"")</x:f>
      </x:c>
      <x:c r="I497" s="35"/>
      <x:c r="J497" s="35" t="str">
        <x:v>PASS</x:v>
      </x:c>
      <x:c r="K497" s="35" t="str">
        <x:v>FAIL</x:v>
      </x:c>
      <x:c r="L497" s="35" t="str">
        <x:v>NOT_RUN</x:v>
      </x:c>
      <x:c r="M497" s="35" t="str">
        <x:v>coverage unavailable or execution/compile failed</x:v>
      </x:c>
      <x:c r="N497" s="35" t="str">
        <x:v>Deepseek-flash-v4/Result/JacksonDatabind_93/result.json</x:v>
      </x:c>
      <x:c r="O497" s="39" t="str">
        <x:f>IF(AND(G497="RECORDED",ISNUMBER(H497)),H497,"")</x:f>
      </x:c>
      <x:c r="P497" s="35" t="str">
        <x:v>NOT_AVAILABLE</x:v>
      </x:c>
      <x:c r="Q497" s="35" t="str">
        <x:v>Deepseek-flash-v4/Result/JacksonDatabind_93/result.json</x:v>
      </x:c>
    </x:row>
    <x:row r="498">
      <x:c r="A498" s="35" t="str">
        <x:v>deepseek</x:v>
      </x:c>
      <x:c r="B498" s="35" t="str">
        <x:v>JacksonDatabind</x:v>
      </x:c>
      <x:c r="C498" s="35" t="str">
        <x:v>Round1</x:v>
      </x:c>
      <x:c r="D498" s="35" t="str">
        <x:v>JacksonDatabind_94</x:v>
      </x:c>
      <x:c r="E498" s="35" t="str">
        <x:v>Line</x:v>
      </x:c>
      <x:c r="F498" s="35" t="n">
        <x:v>35</x:v>
      </x:c>
      <x:c r="G498" s="35" t="str">
        <x:v>RECORDED</x:v>
      </x:c>
      <x:c r="H498" s="39" t="n">
        <x:f>IF(ISNUMBER('Data'!E498),'Data'!E498*100,"")</x:f>
        <x:v>85.71</x:v>
      </x:c>
      <x:c r="I498" s="35" t="str">
        <x:v>PASS</x:v>
      </x:c>
      <x:c r="J498" s="35" t="str">
        <x:v>PASS</x:v>
      </x:c>
      <x:c r="K498" s="35" t="str">
        <x:v>PASS</x:v>
      </x:c>
      <x:c r="L498" s="35" t="str">
        <x:v>FAIL</x:v>
      </x:c>
      <x:c r="M498" s="35" t="str">
        <x:v>numeric coverage for applicable metric</x:v>
      </x:c>
      <x:c r="N498" s="35" t="str">
        <x:v>Deepseek-flash-v4/Result/JacksonDatabind_94/result.json</x:v>
      </x:c>
      <x:c r="O498" s="39" t="n">
        <x:f>IF(AND(G498="RECORDED",ISNUMBER(H498)),H498,"")</x:f>
        <x:v>85.71</x:v>
      </x:c>
      <x:c r="P498" s="35" t="str">
        <x:v>INCONCLUSIVE</x:v>
      </x:c>
      <x:c r="Q498" s="35" t="str">
        <x:v>Deepseek-flash-v4/Result/JacksonDatabind_94/result.json</x:v>
      </x:c>
    </x:row>
    <x:row r="499">
      <x:c r="A499" s="35" t="str">
        <x:v>deepseek</x:v>
      </x:c>
      <x:c r="B499" s="35" t="str">
        <x:v>JacksonDatabind</x:v>
      </x:c>
      <x:c r="C499" s="35" t="str">
        <x:v>Round1</x:v>
      </x:c>
      <x:c r="D499" s="35" t="str">
        <x:v>JacksonDatabind_95</x:v>
      </x:c>
      <x:c r="E499" s="35" t="str">
        <x:v>Line</x:v>
      </x:c>
      <x:c r="F499" s="35"/>
      <x:c r="G499" s="35" t="str">
        <x:v>A</x:v>
      </x:c>
      <x:c r="H499" s="39" t="str">
        <x:f>IF(ISNUMBER('Data'!E499),'Data'!E499*100,"")</x:f>
      </x:c>
      <x:c r="I499" s="35"/>
      <x:c r="J499" s="35" t="str">
        <x:v>PASS</x:v>
      </x:c>
      <x:c r="K499" s="35" t="str">
        <x:v>FAIL</x:v>
      </x:c>
      <x:c r="L499" s="35" t="str">
        <x:v>NOT_RUN</x:v>
      </x:c>
      <x:c r="M499" s="35" t="str">
        <x:v>coverage unavailable or execution/compile failed</x:v>
      </x:c>
      <x:c r="N499" s="35" t="str">
        <x:v>Deepseek-flash-v4/Result/JacksonDatabind_95/result.json</x:v>
      </x:c>
      <x:c r="O499" s="39" t="str">
        <x:f>IF(AND(G499="RECORDED",ISNUMBER(H499)),H499,"")</x:f>
      </x:c>
      <x:c r="P499" s="35" t="str">
        <x:v>NOT_AVAILABLE</x:v>
      </x:c>
      <x:c r="Q499" s="35" t="str">
        <x:v>Deepseek-flash-v4/Result/JacksonDatabind_95/result.json</x:v>
      </x:c>
    </x:row>
    <x:row r="500">
      <x:c r="A500" s="35" t="str">
        <x:v>deepseek</x:v>
      </x:c>
      <x:c r="B500" s="35" t="str">
        <x:v>JacksonDatabind</x:v>
      </x:c>
      <x:c r="C500" s="35" t="str">
        <x:v>Round1</x:v>
      </x:c>
      <x:c r="D500" s="35" t="str">
        <x:v>JacksonDatabind_96</x:v>
      </x:c>
      <x:c r="E500" s="35" t="str">
        <x:v>Line</x:v>
      </x:c>
      <x:c r="F500" s="35"/>
      <x:c r="G500" s="35" t="str">
        <x:v>A</x:v>
      </x:c>
      <x:c r="H500" s="39" t="str">
        <x:f>IF(ISNUMBER('Data'!E500),'Data'!E500*100,"")</x:f>
      </x:c>
      <x:c r="I500" s="35"/>
      <x:c r="J500" s="35" t="str">
        <x:v>PASS</x:v>
      </x:c>
      <x:c r="K500" s="35" t="str">
        <x:v>FAIL</x:v>
      </x:c>
      <x:c r="L500" s="35" t="str">
        <x:v>NOT_RUN</x:v>
      </x:c>
      <x:c r="M500" s="35" t="str">
        <x:v>coverage unavailable or execution/compile failed</x:v>
      </x:c>
      <x:c r="N500" s="35" t="str">
        <x:v>Deepseek-flash-v4/Result/JacksonDatabind_96/result.json</x:v>
      </x:c>
      <x:c r="O500" s="39" t="str">
        <x:f>IF(AND(G500="RECORDED",ISNUMBER(H500)),H500,"")</x:f>
      </x:c>
      <x:c r="P500" s="35" t="str">
        <x:v>NOT_AVAILABLE</x:v>
      </x:c>
      <x:c r="Q500" s="35" t="str">
        <x:v>Deepseek-flash-v4/Result/JacksonDatabind_96/result.json</x:v>
      </x:c>
    </x:row>
    <x:row r="501">
      <x:c r="A501" s="35" t="str">
        <x:v>deepseek</x:v>
      </x:c>
      <x:c r="B501" s="35" t="str">
        <x:v>JacksonDatabind</x:v>
      </x:c>
      <x:c r="C501" s="35" t="str">
        <x:v>Round1</x:v>
      </x:c>
      <x:c r="D501" s="35" t="str">
        <x:v>JacksonDatabind_97</x:v>
      </x:c>
      <x:c r="E501" s="35" t="str">
        <x:v>Line</x:v>
      </x:c>
      <x:c r="F501" s="35"/>
      <x:c r="G501" s="35" t="str">
        <x:v>A</x:v>
      </x:c>
      <x:c r="H501" s="39" t="str">
        <x:f>IF(ISNUMBER('Data'!E501),'Data'!E501*100,"")</x:f>
      </x:c>
      <x:c r="I501" s="35"/>
      <x:c r="J501" s="35" t="str">
        <x:v>PASS</x:v>
      </x:c>
      <x:c r="K501" s="35" t="str">
        <x:v>FAIL</x:v>
      </x:c>
      <x:c r="L501" s="35" t="str">
        <x:v>NOT_RUN</x:v>
      </x:c>
      <x:c r="M501" s="35" t="str">
        <x:v>coverage unavailable or execution/compile failed</x:v>
      </x:c>
      <x:c r="N501" s="35" t="str">
        <x:v>Deepseek-flash-v4/Result/JacksonDatabind_97/result.json</x:v>
      </x:c>
      <x:c r="O501" s="39" t="str">
        <x:f>IF(AND(G501="RECORDED",ISNUMBER(H501)),H501,"")</x:f>
      </x:c>
      <x:c r="P501" s="35" t="str">
        <x:v>NOT_AVAILABLE</x:v>
      </x:c>
      <x:c r="Q501" s="35" t="str">
        <x:v>Deepseek-flash-v4/Result/JacksonDatabind_97/result.json</x:v>
      </x:c>
    </x:row>
    <x:row r="502">
      <x:c r="A502" s="35" t="str">
        <x:v>deepseek</x:v>
      </x:c>
      <x:c r="B502" s="35" t="str">
        <x:v>JacksonDatabind</x:v>
      </x:c>
      <x:c r="C502" s="35" t="str">
        <x:v>Round1</x:v>
      </x:c>
      <x:c r="D502" s="35" t="str">
        <x:v>JacksonDatabind_98</x:v>
      </x:c>
      <x:c r="E502" s="35" t="str">
        <x:v>Line</x:v>
      </x:c>
      <x:c r="F502" s="35"/>
      <x:c r="G502" s="35" t="str">
        <x:v>A</x:v>
      </x:c>
      <x:c r="H502" s="39" t="str">
        <x:f>IF(ISNUMBER('Data'!E502),'Data'!E502*100,"")</x:f>
      </x:c>
      <x:c r="I502" s="35"/>
      <x:c r="J502" s="35" t="str">
        <x:v>PASS</x:v>
      </x:c>
      <x:c r="K502" s="35" t="str">
        <x:v>FAIL</x:v>
      </x:c>
      <x:c r="L502" s="35" t="str">
        <x:v>NOT_RUN</x:v>
      </x:c>
      <x:c r="M502" s="35" t="str">
        <x:v>coverage unavailable or execution/compile failed</x:v>
      </x:c>
      <x:c r="N502" s="35" t="str">
        <x:v>Deepseek-flash-v4/Result/JacksonDatabind_98/result.json</x:v>
      </x:c>
      <x:c r="O502" s="39" t="str">
        <x:f>IF(AND(G502="RECORDED",ISNUMBER(H502)),H502,"")</x:f>
      </x:c>
      <x:c r="P502" s="35" t="str">
        <x:v>NOT_AVAILABLE</x:v>
      </x:c>
      <x:c r="Q502" s="35" t="str">
        <x:v>Deepseek-flash-v4/Result/JacksonDatabind_98/result.json</x:v>
      </x:c>
    </x:row>
    <x:row r="503">
      <x:c r="A503" s="35" t="str">
        <x:v>deepseek</x:v>
      </x:c>
      <x:c r="B503" s="35" t="str">
        <x:v>JacksonDatabind</x:v>
      </x:c>
      <x:c r="C503" s="35" t="str">
        <x:v>Round1</x:v>
      </x:c>
      <x:c r="D503" s="35" t="str">
        <x:v>JacksonDatabind_99</x:v>
      </x:c>
      <x:c r="E503" s="35" t="str">
        <x:v>Line</x:v>
      </x:c>
      <x:c r="F503" s="35"/>
      <x:c r="G503" s="35" t="str">
        <x:v>A</x:v>
      </x:c>
      <x:c r="H503" s="39" t="str">
        <x:f>IF(ISNUMBER('Data'!E503),'Data'!E503*100,"")</x:f>
      </x:c>
      <x:c r="I503" s="35"/>
      <x:c r="J503" s="35" t="str">
        <x:v>PASS</x:v>
      </x:c>
      <x:c r="K503" s="35" t="str">
        <x:v>FAIL</x:v>
      </x:c>
      <x:c r="L503" s="35" t="str">
        <x:v>NOT_RUN</x:v>
      </x:c>
      <x:c r="M503" s="35" t="str">
        <x:v>coverage unavailable or execution/compile failed</x:v>
      </x:c>
      <x:c r="N503" s="35" t="str">
        <x:v>Deepseek-flash-v4/Result/JacksonDatabind_99/result.json</x:v>
      </x:c>
      <x:c r="O503" s="39" t="str">
        <x:f>IF(AND(G503="RECORDED",ISNUMBER(H503)),H503,"")</x:f>
      </x:c>
      <x:c r="P503" s="35" t="str">
        <x:v>NOT_AVAILABLE</x:v>
      </x:c>
      <x:c r="Q503" s="35" t="str">
        <x:v>Deepseek-flash-v4/Result/JacksonDatabind_99/result.json</x:v>
      </x:c>
    </x:row>
    <x:row r="504">
      <x:c r="A504" s="35" t="str">
        <x:v>deepseek</x:v>
      </x:c>
      <x:c r="B504" s="35" t="str">
        <x:v>JacksonXml</x:v>
      </x:c>
      <x:c r="C504" s="35" t="str">
        <x:v>Round1</x:v>
      </x:c>
      <x:c r="D504" s="35" t="str">
        <x:v>JacksonXml_1</x:v>
      </x:c>
      <x:c r="E504" s="35" t="str">
        <x:v>Line</x:v>
      </x:c>
      <x:c r="F504" s="35"/>
      <x:c r="G504" s="35" t="str">
        <x:v>A</x:v>
      </x:c>
      <x:c r="H504" s="39" t="str">
        <x:f>IF(ISNUMBER('Data'!E504),'Data'!E504*100,"")</x:f>
      </x:c>
      <x:c r="I504" s="35"/>
      <x:c r="J504" s="35" t="str">
        <x:v>PASS</x:v>
      </x:c>
      <x:c r="K504" s="35" t="str">
        <x:v>FAIL</x:v>
      </x:c>
      <x:c r="L504" s="35" t="str">
        <x:v>NOT_RUN</x:v>
      </x:c>
      <x:c r="M504" s="35" t="str">
        <x:v>coverage unavailable or execution/compile failed</x:v>
      </x:c>
      <x:c r="N504" s="35" t="str">
        <x:v>Deepseek-flash-v4/Result/JacksonXml_1/result.json</x:v>
      </x:c>
      <x:c r="O504" s="39" t="str">
        <x:f>IF(AND(G504="RECORDED",ISNUMBER(H504)),H504,"")</x:f>
      </x:c>
      <x:c r="P504" s="35" t="str">
        <x:v>NOT_AVAILABLE</x:v>
      </x:c>
      <x:c r="Q504" s="35" t="str">
        <x:v>Deepseek-flash-v4/Result/JacksonXml_1/result.json</x:v>
      </x:c>
    </x:row>
    <x:row r="505">
      <x:c r="A505" s="35" t="str">
        <x:v>deepseek</x:v>
      </x:c>
      <x:c r="B505" s="35" t="str">
        <x:v>JacksonXml</x:v>
      </x:c>
      <x:c r="C505" s="35" t="str">
        <x:v>Round1</x:v>
      </x:c>
      <x:c r="D505" s="35" t="str">
        <x:v>JacksonXml_2</x:v>
      </x:c>
      <x:c r="E505" s="35" t="str">
        <x:v>Line</x:v>
      </x:c>
      <x:c r="F505" s="35"/>
      <x:c r="G505" s="35" t="str">
        <x:v>A</x:v>
      </x:c>
      <x:c r="H505" s="39" t="str">
        <x:f>IF(ISNUMBER('Data'!E505),'Data'!E505*100,"")</x:f>
      </x:c>
      <x:c r="I505" s="35"/>
      <x:c r="J505" s="35" t="str">
        <x:v>PASS</x:v>
      </x:c>
      <x:c r="K505" s="35" t="str">
        <x:v>FAIL</x:v>
      </x:c>
      <x:c r="L505" s="35" t="str">
        <x:v>NOT_RUN</x:v>
      </x:c>
      <x:c r="M505" s="35" t="str">
        <x:v>coverage unavailable or execution/compile failed</x:v>
      </x:c>
      <x:c r="N505" s="35" t="str">
        <x:v>Deepseek-flash-v4/Result/JacksonXml_2/result.json</x:v>
      </x:c>
      <x:c r="O505" s="39" t="str">
        <x:f>IF(AND(G505="RECORDED",ISNUMBER(H505)),H505,"")</x:f>
      </x:c>
      <x:c r="P505" s="35" t="str">
        <x:v>NOT_AVAILABLE</x:v>
      </x:c>
      <x:c r="Q505" s="35" t="str">
        <x:v>Deepseek-flash-v4/Result/JacksonXml_2/result.json</x:v>
      </x:c>
    </x:row>
    <x:row r="506">
      <x:c r="A506" s="35" t="str">
        <x:v>deepseek</x:v>
      </x:c>
      <x:c r="B506" s="35" t="str">
        <x:v>JacksonXml</x:v>
      </x:c>
      <x:c r="C506" s="35" t="str">
        <x:v>Round1</x:v>
      </x:c>
      <x:c r="D506" s="35" t="str">
        <x:v>JacksonXml_3</x:v>
      </x:c>
      <x:c r="E506" s="35" t="str">
        <x:v>Line</x:v>
      </x:c>
      <x:c r="F506" s="35"/>
      <x:c r="G506" s="35" t="str">
        <x:v>A</x:v>
      </x:c>
      <x:c r="H506" s="39" t="str">
        <x:f>IF(ISNUMBER('Data'!E506),'Data'!E506*100,"")</x:f>
      </x:c>
      <x:c r="I506" s="35"/>
      <x:c r="J506" s="35" t="str">
        <x:v>PASS</x:v>
      </x:c>
      <x:c r="K506" s="35" t="str">
        <x:v>FAIL</x:v>
      </x:c>
      <x:c r="L506" s="35" t="str">
        <x:v>NOT_RUN</x:v>
      </x:c>
      <x:c r="M506" s="35" t="str">
        <x:v>coverage unavailable or execution/compile failed</x:v>
      </x:c>
      <x:c r="N506" s="35" t="str">
        <x:v>Deepseek-flash-v4/Result/JacksonXml_3/result.json</x:v>
      </x:c>
      <x:c r="O506" s="39" t="str">
        <x:f>IF(AND(G506="RECORDED",ISNUMBER(H506)),H506,"")</x:f>
      </x:c>
      <x:c r="P506" s="35" t="str">
        <x:v>NOT_AVAILABLE</x:v>
      </x:c>
      <x:c r="Q506" s="35" t="str">
        <x:v>Deepseek-flash-v4/Result/JacksonXml_3/result.json</x:v>
      </x:c>
    </x:row>
    <x:row r="507">
      <x:c r="A507" s="35" t="str">
        <x:v>deepseek</x:v>
      </x:c>
      <x:c r="B507" s="35" t="str">
        <x:v>JacksonXml</x:v>
      </x:c>
      <x:c r="C507" s="35" t="str">
        <x:v>Round1</x:v>
      </x:c>
      <x:c r="D507" s="35" t="str">
        <x:v>JacksonXml_4</x:v>
      </x:c>
      <x:c r="E507" s="35" t="str">
        <x:v>Line</x:v>
      </x:c>
      <x:c r="F507" s="35"/>
      <x:c r="G507" s="35" t="str">
        <x:v>A</x:v>
      </x:c>
      <x:c r="H507" s="39" t="str">
        <x:f>IF(ISNUMBER('Data'!E507),'Data'!E507*100,"")</x:f>
      </x:c>
      <x:c r="I507" s="35"/>
      <x:c r="J507" s="35" t="str">
        <x:v>PASS</x:v>
      </x:c>
      <x:c r="K507" s="35" t="str">
        <x:v>FAIL</x:v>
      </x:c>
      <x:c r="L507" s="35" t="str">
        <x:v>NOT_RUN</x:v>
      </x:c>
      <x:c r="M507" s="35" t="str">
        <x:v>coverage unavailable or execution/compile failed</x:v>
      </x:c>
      <x:c r="N507" s="35" t="str">
        <x:v>Deepseek-flash-v4/Result/JacksonXml_4/result.json</x:v>
      </x:c>
      <x:c r="O507" s="39" t="str">
        <x:f>IF(AND(G507="RECORDED",ISNUMBER(H507)),H507,"")</x:f>
      </x:c>
      <x:c r="P507" s="35" t="str">
        <x:v>NOT_AVAILABLE</x:v>
      </x:c>
      <x:c r="Q507" s="35" t="str">
        <x:v>Deepseek-flash-v4/Result/JacksonXml_4/result.json</x:v>
      </x:c>
    </x:row>
    <x:row r="508">
      <x:c r="A508" s="35" t="str">
        <x:v>deepseek</x:v>
      </x:c>
      <x:c r="B508" s="35" t="str">
        <x:v>JacksonXml</x:v>
      </x:c>
      <x:c r="C508" s="35" t="str">
        <x:v>Round1</x:v>
      </x:c>
      <x:c r="D508" s="35" t="str">
        <x:v>JacksonXml_5</x:v>
      </x:c>
      <x:c r="E508" s="35" t="str">
        <x:v>Line</x:v>
      </x:c>
      <x:c r="F508" s="35"/>
      <x:c r="G508" s="35" t="str">
        <x:v>A</x:v>
      </x:c>
      <x:c r="H508" s="39" t="str">
        <x:f>IF(ISNUMBER('Data'!E508),'Data'!E508*100,"")</x:f>
      </x:c>
      <x:c r="I508" s="35"/>
      <x:c r="J508" s="35" t="str">
        <x:v>PASS</x:v>
      </x:c>
      <x:c r="K508" s="35" t="str">
        <x:v>FAIL</x:v>
      </x:c>
      <x:c r="L508" s="35" t="str">
        <x:v>NOT_RUN</x:v>
      </x:c>
      <x:c r="M508" s="35" t="str">
        <x:v>coverage unavailable or execution/compile failed</x:v>
      </x:c>
      <x:c r="N508" s="35" t="str">
        <x:v>Deepseek-flash-v4/Result/JacksonXml_5/result.json</x:v>
      </x:c>
      <x:c r="O508" s="39" t="str">
        <x:f>IF(AND(G508="RECORDED",ISNUMBER(H508)),H508,"")</x:f>
      </x:c>
      <x:c r="P508" s="35" t="str">
        <x:v>NOT_AVAILABLE</x:v>
      </x:c>
      <x:c r="Q508" s="35" t="str">
        <x:v>Deepseek-flash-v4/Result/JacksonXml_5/result.json</x:v>
      </x:c>
    </x:row>
    <x:row r="509">
      <x:c r="A509" s="35" t="str">
        <x:v>deepseek</x:v>
      </x:c>
      <x:c r="B509" s="35" t="str">
        <x:v>JacksonXml</x:v>
      </x:c>
      <x:c r="C509" s="35" t="str">
        <x:v>Round1</x:v>
      </x:c>
      <x:c r="D509" s="35" t="str">
        <x:v>JacksonXml_6</x:v>
      </x:c>
      <x:c r="E509" s="35" t="str">
        <x:v>Line</x:v>
      </x:c>
      <x:c r="F509" s="35"/>
      <x:c r="G509" s="35" t="str">
        <x:v>A</x:v>
      </x:c>
      <x:c r="H509" s="39" t="str">
        <x:f>IF(ISNUMBER('Data'!E509),'Data'!E509*100,"")</x:f>
      </x:c>
      <x:c r="I509" s="35"/>
      <x:c r="J509" s="35" t="str">
        <x:v>PASS</x:v>
      </x:c>
      <x:c r="K509" s="35" t="str">
        <x:v>FAIL</x:v>
      </x:c>
      <x:c r="L509" s="35" t="str">
        <x:v>NOT_RUN</x:v>
      </x:c>
      <x:c r="M509" s="35" t="str">
        <x:v>coverage unavailable or execution/compile failed</x:v>
      </x:c>
      <x:c r="N509" s="35" t="str">
        <x:v>Deepseek-flash-v4/Result/JacksonXml_6/result.json</x:v>
      </x:c>
      <x:c r="O509" s="39" t="str">
        <x:f>IF(AND(G509="RECORDED",ISNUMBER(H509)),H509,"")</x:f>
      </x:c>
      <x:c r="P509" s="35" t="str">
        <x:v>NOT_AVAILABLE</x:v>
      </x:c>
      <x:c r="Q509" s="35" t="str">
        <x:v>Deepseek-flash-v4/Result/JacksonXml_6/result.json</x:v>
      </x:c>
    </x:row>
    <x:row r="510">
      <x:c r="A510" s="35" t="str">
        <x:v>deepseek</x:v>
      </x:c>
      <x:c r="B510" s="35" t="str">
        <x:v>Jsoup</x:v>
      </x:c>
      <x:c r="C510" s="35" t="str">
        <x:v>Round1</x:v>
      </x:c>
      <x:c r="D510" s="35" t="str">
        <x:v>Jsoup_1</x:v>
      </x:c>
      <x:c r="E510" s="35" t="str">
        <x:v>Line</x:v>
      </x:c>
      <x:c r="F510" s="35" t="n">
        <x:v>46</x:v>
      </x:c>
      <x:c r="G510" s="35" t="str">
        <x:v>RECORDED</x:v>
      </x:c>
      <x:c r="H510" s="39" t="n">
        <x:f>IF(ISNUMBER('Data'!E510),'Data'!E510*100,"")</x:f>
        <x:v>97.83</x:v>
      </x:c>
      <x:c r="I510" s="35" t="str">
        <x:v>PASS</x:v>
      </x:c>
      <x:c r="J510" s="35" t="str">
        <x:v>PASS</x:v>
      </x:c>
      <x:c r="K510" s="35" t="str">
        <x:v>PASS</x:v>
      </x:c>
      <x:c r="L510" s="35" t="str">
        <x:v>FAIL</x:v>
      </x:c>
      <x:c r="M510" s="35" t="str">
        <x:v>numeric coverage for applicable metric</x:v>
      </x:c>
      <x:c r="N510" s="35" t="str">
        <x:v>Deepseek-flash-v4/Result/Jsoup_1/result.json</x:v>
      </x:c>
      <x:c r="O510" s="39" t="n">
        <x:f>IF(AND(G510="RECORDED",ISNUMBER(H510)),H510,"")</x:f>
        <x:v>97.83</x:v>
      </x:c>
      <x:c r="P510" s="35" t="str">
        <x:v>INCONCLUSIVE</x:v>
      </x:c>
      <x:c r="Q510" s="35" t="str">
        <x:v>Deepseek-flash-v4/Result/Jsoup_1/result.json</x:v>
      </x:c>
    </x:row>
    <x:row r="511">
      <x:c r="A511" s="35" t="str">
        <x:v>deepseek</x:v>
      </x:c>
      <x:c r="B511" s="35" t="str">
        <x:v>Jsoup</x:v>
      </x:c>
      <x:c r="C511" s="35" t="str">
        <x:v>Round1</x:v>
      </x:c>
      <x:c r="D511" s="35" t="str">
        <x:v>Jsoup_10</x:v>
      </x:c>
      <x:c r="E511" s="35" t="str">
        <x:v>Line</x:v>
      </x:c>
      <x:c r="F511" s="35"/>
      <x:c r="G511" s="35" t="str">
        <x:v>A</x:v>
      </x:c>
      <x:c r="H511" s="39" t="str">
        <x:f>IF(ISNUMBER('Data'!E511),'Data'!E511*100,"")</x:f>
      </x:c>
      <x:c r="I511" s="35"/>
      <x:c r="J511" s="35" t="str">
        <x:v>PASS</x:v>
      </x:c>
      <x:c r="K511" s="35" t="str">
        <x:v>FAIL</x:v>
      </x:c>
      <x:c r="L511" s="35" t="str">
        <x:v>NOT_RUN</x:v>
      </x:c>
      <x:c r="M511" s="35" t="str">
        <x:v>coverage unavailable or execution/compile failed</x:v>
      </x:c>
      <x:c r="N511" s="35" t="str">
        <x:v>Deepseek-flash-v4/Result/Jsoup_10/result.json</x:v>
      </x:c>
      <x:c r="O511" s="39" t="str">
        <x:f>IF(AND(G511="RECORDED",ISNUMBER(H511)),H511,"")</x:f>
      </x:c>
      <x:c r="P511" s="35" t="str">
        <x:v>NOT_AVAILABLE</x:v>
      </x:c>
      <x:c r="Q511" s="35" t="str">
        <x:v>Deepseek-flash-v4/Result/Jsoup_10/result.json</x:v>
      </x:c>
    </x:row>
    <x:row r="512">
      <x:c r="A512" s="35" t="str">
        <x:v>deepseek</x:v>
      </x:c>
      <x:c r="B512" s="35" t="str">
        <x:v>Jsoup</x:v>
      </x:c>
      <x:c r="C512" s="35" t="str">
        <x:v>Round1</x:v>
      </x:c>
      <x:c r="D512" s="35" t="str">
        <x:v>Jsoup_11</x:v>
      </x:c>
      <x:c r="E512" s="35" t="str">
        <x:v>Line</x:v>
      </x:c>
      <x:c r="F512" s="35" t="n">
        <x:v>198</x:v>
      </x:c>
      <x:c r="G512" s="35" t="str">
        <x:v>RECORDED</x:v>
      </x:c>
      <x:c r="H512" s="39" t="n">
        <x:f>IF(ISNUMBER('Data'!E512),'Data'!E512*100,"")</x:f>
        <x:v>81.31</x:v>
      </x:c>
      <x:c r="I512" s="35" t="str">
        <x:v>PASS</x:v>
      </x:c>
      <x:c r="J512" s="35" t="str">
        <x:v>PASS</x:v>
      </x:c>
      <x:c r="K512" s="35" t="str">
        <x:v>PASS</x:v>
      </x:c>
      <x:c r="L512" s="35" t="str">
        <x:v>FAIL</x:v>
      </x:c>
      <x:c r="M512" s="35" t="str">
        <x:v>numeric coverage for applicable metric</x:v>
      </x:c>
      <x:c r="N512" s="35" t="str">
        <x:v>Deepseek-flash-v4/Result/Jsoup_11/result.json</x:v>
      </x:c>
      <x:c r="O512" s="39" t="n">
        <x:f>IF(AND(G512="RECORDED",ISNUMBER(H512)),H512,"")</x:f>
        <x:v>81.31</x:v>
      </x:c>
      <x:c r="P512" s="35" t="str">
        <x:v>INCONCLUSIVE</x:v>
      </x:c>
      <x:c r="Q512" s="35" t="str">
        <x:v>Deepseek-flash-v4/Result/Jsoup_11/result.json</x:v>
      </x:c>
    </x:row>
    <x:row r="513">
      <x:c r="A513" s="35" t="str">
        <x:v>deepseek</x:v>
      </x:c>
      <x:c r="B513" s="35" t="str">
        <x:v>Jsoup</x:v>
      </x:c>
      <x:c r="C513" s="35" t="str">
        <x:v>Round1</x:v>
      </x:c>
      <x:c r="D513" s="35" t="str">
        <x:v>Jsoup_12</x:v>
      </x:c>
      <x:c r="E513" s="35" t="str">
        <x:v>Line</x:v>
      </x:c>
      <x:c r="F513" s="35" t="n">
        <x:v>218</x:v>
      </x:c>
      <x:c r="G513" s="35" t="str">
        <x:v>RECORDED</x:v>
      </x:c>
      <x:c r="H513" s="39" t="n">
        <x:f>IF(ISNUMBER('Data'!E513),'Data'!E513*100,"")</x:f>
        <x:v>94.95</x:v>
      </x:c>
      <x:c r="I513" s="35" t="str">
        <x:v>PASS</x:v>
      </x:c>
      <x:c r="J513" s="35" t="str">
        <x:v>PASS</x:v>
      </x:c>
      <x:c r="K513" s="35" t="str">
        <x:v>PASS</x:v>
      </x:c>
      <x:c r="L513" s="35" t="str">
        <x:v>FAIL</x:v>
      </x:c>
      <x:c r="M513" s="35" t="str">
        <x:v>numeric coverage for applicable metric</x:v>
      </x:c>
      <x:c r="N513" s="35" t="str">
        <x:v>Deepseek-flash-v4/Result/Jsoup_12/result.json</x:v>
      </x:c>
      <x:c r="O513" s="39" t="n">
        <x:f>IF(AND(G513="RECORDED",ISNUMBER(H513)),H513,"")</x:f>
        <x:v>94.95</x:v>
      </x:c>
      <x:c r="P513" s="35" t="str">
        <x:v>INCONCLUSIVE</x:v>
      </x:c>
      <x:c r="Q513" s="35" t="str">
        <x:v>Deepseek-flash-v4/Result/Jsoup_12/result.json</x:v>
      </x:c>
    </x:row>
    <x:row r="514">
      <x:c r="A514" s="35" t="str">
        <x:v>deepseek</x:v>
      </x:c>
      <x:c r="B514" s="35" t="str">
        <x:v>Jsoup</x:v>
      </x:c>
      <x:c r="C514" s="35" t="str">
        <x:v>Round1</x:v>
      </x:c>
      <x:c r="D514" s="35" t="str">
        <x:v>Jsoup_13</x:v>
      </x:c>
      <x:c r="E514" s="35" t="str">
        <x:v>Line</x:v>
      </x:c>
      <x:c r="F514" s="35"/>
      <x:c r="G514" s="35" t="str">
        <x:v>A</x:v>
      </x:c>
      <x:c r="H514" s="39" t="str">
        <x:f>IF(ISNUMBER('Data'!E514),'Data'!E514*100,"")</x:f>
      </x:c>
      <x:c r="I514" s="35"/>
      <x:c r="J514" s="35" t="str">
        <x:v>PASS</x:v>
      </x:c>
      <x:c r="K514" s="35" t="str">
        <x:v>FAIL</x:v>
      </x:c>
      <x:c r="L514" s="35" t="str">
        <x:v>NOT_RUN</x:v>
      </x:c>
      <x:c r="M514" s="35" t="str">
        <x:v>coverage unavailable or execution/compile failed</x:v>
      </x:c>
      <x:c r="N514" s="35" t="str">
        <x:v>Deepseek-flash-v4/Result/Jsoup_13/result.json</x:v>
      </x:c>
      <x:c r="O514" s="39" t="str">
        <x:f>IF(AND(G514="RECORDED",ISNUMBER(H514)),H514,"")</x:f>
      </x:c>
      <x:c r="P514" s="35" t="str">
        <x:v>NOT_AVAILABLE</x:v>
      </x:c>
      <x:c r="Q514" s="35" t="str">
        <x:v>Deepseek-flash-v4/Result/Jsoup_13/result.json</x:v>
      </x:c>
    </x:row>
    <x:row r="515">
      <x:c r="A515" s="35" t="str">
        <x:v>deepseek</x:v>
      </x:c>
      <x:c r="B515" s="35" t="str">
        <x:v>Jsoup</x:v>
      </x:c>
      <x:c r="C515" s="35" t="str">
        <x:v>Round1</x:v>
      </x:c>
      <x:c r="D515" s="35" t="str">
        <x:v>Jsoup_14</x:v>
      </x:c>
      <x:c r="E515" s="35" t="str">
        <x:v>Line</x:v>
      </x:c>
      <x:c r="F515" s="35"/>
      <x:c r="G515" s="35" t="str">
        <x:v>A</x:v>
      </x:c>
      <x:c r="H515" s="39" t="str">
        <x:f>IF(ISNUMBER('Data'!E515),'Data'!E515*100,"")</x:f>
      </x:c>
      <x:c r="I515" s="35"/>
      <x:c r="J515" s="35" t="str">
        <x:v>PASS</x:v>
      </x:c>
      <x:c r="K515" s="35" t="str">
        <x:v>FAIL</x:v>
      </x:c>
      <x:c r="L515" s="35" t="str">
        <x:v>NOT_RUN</x:v>
      </x:c>
      <x:c r="M515" s="35" t="str">
        <x:v>coverage unavailable or execution/compile failed</x:v>
      </x:c>
      <x:c r="N515" s="35" t="str">
        <x:v>Deepseek-flash-v4/Result/Jsoup_14/result.json</x:v>
      </x:c>
      <x:c r="O515" s="39" t="str">
        <x:f>IF(AND(G515="RECORDED",ISNUMBER(H515)),H515,"")</x:f>
      </x:c>
      <x:c r="P515" s="35" t="str">
        <x:v>NOT_AVAILABLE</x:v>
      </x:c>
      <x:c r="Q515" s="35" t="str">
        <x:v>Deepseek-flash-v4/Result/Jsoup_14/result.json</x:v>
      </x:c>
    </x:row>
    <x:row r="516">
      <x:c r="A516" s="35" t="str">
        <x:v>deepseek</x:v>
      </x:c>
      <x:c r="B516" s="35" t="str">
        <x:v>Jsoup</x:v>
      </x:c>
      <x:c r="C516" s="35" t="str">
        <x:v>Round1</x:v>
      </x:c>
      <x:c r="D516" s="35" t="str">
        <x:v>Jsoup_15</x:v>
      </x:c>
      <x:c r="E516" s="35" t="str">
        <x:v>Line</x:v>
      </x:c>
      <x:c r="F516" s="35"/>
      <x:c r="G516" s="35" t="str">
        <x:v>A</x:v>
      </x:c>
      <x:c r="H516" s="39" t="str">
        <x:f>IF(ISNUMBER('Data'!E516),'Data'!E516*100,"")</x:f>
      </x:c>
      <x:c r="I516" s="35"/>
      <x:c r="J516" s="35" t="str">
        <x:v>PASS</x:v>
      </x:c>
      <x:c r="K516" s="35" t="str">
        <x:v>FAIL</x:v>
      </x:c>
      <x:c r="L516" s="35" t="str">
        <x:v>NOT_RUN</x:v>
      </x:c>
      <x:c r="M516" s="35" t="str">
        <x:v>coverage unavailable or execution/compile failed</x:v>
      </x:c>
      <x:c r="N516" s="35" t="str">
        <x:v>Deepseek-flash-v4/Result/Jsoup_15/result.json</x:v>
      </x:c>
      <x:c r="O516" s="39" t="str">
        <x:f>IF(AND(G516="RECORDED",ISNUMBER(H516)),H516,"")</x:f>
      </x:c>
      <x:c r="P516" s="35" t="str">
        <x:v>NOT_AVAILABLE</x:v>
      </x:c>
      <x:c r="Q516" s="35" t="str">
        <x:v>Deepseek-flash-v4/Result/Jsoup_15/result.json</x:v>
      </x:c>
    </x:row>
    <x:row r="517">
      <x:c r="A517" s="35" t="str">
        <x:v>deepseek</x:v>
      </x:c>
      <x:c r="B517" s="35" t="str">
        <x:v>Jsoup</x:v>
      </x:c>
      <x:c r="C517" s="35" t="str">
        <x:v>Round1</x:v>
      </x:c>
      <x:c r="D517" s="35" t="str">
        <x:v>Jsoup_16</x:v>
      </x:c>
      <x:c r="E517" s="35" t="str">
        <x:v>Line</x:v>
      </x:c>
      <x:c r="F517" s="35" t="n">
        <x:v>14</x:v>
      </x:c>
      <x:c r="G517" s="35" t="str">
        <x:v>RECORDED</x:v>
      </x:c>
      <x:c r="H517" s="39" t="n">
        <x:f>IF(ISNUMBER('Data'!E517),'Data'!E517*100,"")</x:f>
        <x:v>100</x:v>
      </x:c>
      <x:c r="I517" s="35" t="str">
        <x:v>PASS</x:v>
      </x:c>
      <x:c r="J517" s="35" t="str">
        <x:v>PASS</x:v>
      </x:c>
      <x:c r="K517" s="35" t="str">
        <x:v>PASS</x:v>
      </x:c>
      <x:c r="L517" s="35" t="str">
        <x:v>FAIL</x:v>
      </x:c>
      <x:c r="M517" s="35" t="str">
        <x:v>numeric coverage for applicable metric</x:v>
      </x:c>
      <x:c r="N517" s="35" t="str">
        <x:v>Deepseek-flash-v4/Result/Jsoup_16/result.json</x:v>
      </x:c>
      <x:c r="O517" s="39" t="n">
        <x:f>IF(AND(G517="RECORDED",ISNUMBER(H517)),H517,"")</x:f>
        <x:v>100</x:v>
      </x:c>
      <x:c r="P517" s="35" t="str">
        <x:v>INCONCLUSIVE</x:v>
      </x:c>
      <x:c r="Q517" s="35" t="str">
        <x:v>Deepseek-flash-v4/Result/Jsoup_16/result.json</x:v>
      </x:c>
    </x:row>
    <x:row r="518">
      <x:c r="A518" s="35" t="str">
        <x:v>deepseek</x:v>
      </x:c>
      <x:c r="B518" s="35" t="str">
        <x:v>Jsoup</x:v>
      </x:c>
      <x:c r="C518" s="35" t="str">
        <x:v>Round1</x:v>
      </x:c>
      <x:c r="D518" s="35" t="str">
        <x:v>Jsoup_17</x:v>
      </x:c>
      <x:c r="E518" s="35" t="str">
        <x:v>Line</x:v>
      </x:c>
      <x:c r="F518" s="35"/>
      <x:c r="G518" s="35" t="str">
        <x:v>A</x:v>
      </x:c>
      <x:c r="H518" s="39" t="str">
        <x:f>IF(ISNUMBER('Data'!E518),'Data'!E518*100,"")</x:f>
      </x:c>
      <x:c r="I518" s="35"/>
      <x:c r="J518" s="35" t="str">
        <x:v>PASS</x:v>
      </x:c>
      <x:c r="K518" s="35" t="str">
        <x:v>FAIL</x:v>
      </x:c>
      <x:c r="L518" s="35" t="str">
        <x:v>NOT_RUN</x:v>
      </x:c>
      <x:c r="M518" s="35" t="str">
        <x:v>coverage unavailable or execution/compile failed</x:v>
      </x:c>
      <x:c r="N518" s="35" t="str">
        <x:v>Deepseek-flash-v4/Result/Jsoup_17/result.json</x:v>
      </x:c>
      <x:c r="O518" s="39" t="str">
        <x:f>IF(AND(G518="RECORDED",ISNUMBER(H518)),H518,"")</x:f>
      </x:c>
      <x:c r="P518" s="35" t="str">
        <x:v>NOT_AVAILABLE</x:v>
      </x:c>
      <x:c r="Q518" s="35" t="str">
        <x:v>Deepseek-flash-v4/Result/Jsoup_17/result.json</x:v>
      </x:c>
    </x:row>
    <x:row r="519">
      <x:c r="A519" s="35" t="str">
        <x:v>deepseek</x:v>
      </x:c>
      <x:c r="B519" s="35" t="str">
        <x:v>Jsoup</x:v>
      </x:c>
      <x:c r="C519" s="35" t="str">
        <x:v>Round1</x:v>
      </x:c>
      <x:c r="D519" s="35" t="str">
        <x:v>Jsoup_18</x:v>
      </x:c>
      <x:c r="E519" s="35" t="str">
        <x:v>Line</x:v>
      </x:c>
      <x:c r="F519" s="35" t="n">
        <x:v>97</x:v>
      </x:c>
      <x:c r="G519" s="35" t="str">
        <x:v>RECORDED</x:v>
      </x:c>
      <x:c r="H519" s="39" t="n">
        <x:f>IF(ISNUMBER('Data'!E519),'Data'!E519*100,"")</x:f>
        <x:v>98.97</x:v>
      </x:c>
      <x:c r="I519" s="35" t="str">
        <x:v>PASS</x:v>
      </x:c>
      <x:c r="J519" s="35" t="str">
        <x:v>PASS</x:v>
      </x:c>
      <x:c r="K519" s="35" t="str">
        <x:v>PASS</x:v>
      </x:c>
      <x:c r="L519" s="35" t="str">
        <x:v>FAIL</x:v>
      </x:c>
      <x:c r="M519" s="35" t="str">
        <x:v>numeric coverage for applicable metric</x:v>
      </x:c>
      <x:c r="N519" s="35" t="str">
        <x:v>Deepseek-flash-v4/Result/Jsoup_18/result.json</x:v>
      </x:c>
      <x:c r="O519" s="39" t="n">
        <x:f>IF(AND(G519="RECORDED",ISNUMBER(H519)),H519,"")</x:f>
        <x:v>98.97</x:v>
      </x:c>
      <x:c r="P519" s="35" t="str">
        <x:v>INCONCLUSIVE</x:v>
      </x:c>
      <x:c r="Q519" s="35" t="str">
        <x:v>Deepseek-flash-v4/Result/Jsoup_18/result.json</x:v>
      </x:c>
    </x:row>
    <x:row r="520">
      <x:c r="A520" s="35" t="str">
        <x:v>deepseek</x:v>
      </x:c>
      <x:c r="B520" s="35" t="str">
        <x:v>Jsoup</x:v>
      </x:c>
      <x:c r="C520" s="35" t="str">
        <x:v>Round1</x:v>
      </x:c>
      <x:c r="D520" s="35" t="str">
        <x:v>Jsoup_19</x:v>
      </x:c>
      <x:c r="E520" s="35" t="str">
        <x:v>Line</x:v>
      </x:c>
      <x:c r="F520" s="35"/>
      <x:c r="G520" s="35" t="str">
        <x:v>A</x:v>
      </x:c>
      <x:c r="H520" s="39" t="str">
        <x:f>IF(ISNUMBER('Data'!E520),'Data'!E520*100,"")</x:f>
      </x:c>
      <x:c r="I520" s="35"/>
      <x:c r="J520" s="35" t="str">
        <x:v>PASS</x:v>
      </x:c>
      <x:c r="K520" s="35" t="str">
        <x:v>FAIL</x:v>
      </x:c>
      <x:c r="L520" s="35" t="str">
        <x:v>NOT_RUN</x:v>
      </x:c>
      <x:c r="M520" s="35" t="str">
        <x:v>coverage unavailable or execution/compile failed</x:v>
      </x:c>
      <x:c r="N520" s="35" t="str">
        <x:v>Deepseek-flash-v4/Result/Jsoup_19/result.json</x:v>
      </x:c>
      <x:c r="O520" s="39" t="str">
        <x:f>IF(AND(G520="RECORDED",ISNUMBER(H520)),H520,"")</x:f>
      </x:c>
      <x:c r="P520" s="35" t="str">
        <x:v>NOT_AVAILABLE</x:v>
      </x:c>
      <x:c r="Q520" s="35" t="str">
        <x:v>Deepseek-flash-v4/Result/Jsoup_19/result.json</x:v>
      </x:c>
    </x:row>
    <x:row r="521">
      <x:c r="A521" s="35" t="str">
        <x:v>deepseek</x:v>
      </x:c>
      <x:c r="B521" s="35" t="str">
        <x:v>Jsoup</x:v>
      </x:c>
      <x:c r="C521" s="35" t="str">
        <x:v>Round1</x:v>
      </x:c>
      <x:c r="D521" s="35" t="str">
        <x:v>Jsoup_2</x:v>
      </x:c>
      <x:c r="E521" s="35" t="str">
        <x:v>Line</x:v>
      </x:c>
      <x:c r="F521" s="35"/>
      <x:c r="G521" s="35" t="str">
        <x:v>A</x:v>
      </x:c>
      <x:c r="H521" s="39" t="str">
        <x:f>IF(ISNUMBER('Data'!E521),'Data'!E521*100,"")</x:f>
      </x:c>
      <x:c r="I521" s="35"/>
      <x:c r="J521" s="35" t="str">
        <x:v>PASS</x:v>
      </x:c>
      <x:c r="K521" s="35" t="str">
        <x:v>FAIL</x:v>
      </x:c>
      <x:c r="L521" s="35" t="str">
        <x:v>NOT_RUN</x:v>
      </x:c>
      <x:c r="M521" s="35" t="str">
        <x:v>coverage unavailable or execution/compile failed</x:v>
      </x:c>
      <x:c r="N521" s="35" t="str">
        <x:v>Deepseek-flash-v4/Result/Jsoup_2/result.json</x:v>
      </x:c>
      <x:c r="O521" s="39" t="str">
        <x:f>IF(AND(G521="RECORDED",ISNUMBER(H521)),H521,"")</x:f>
      </x:c>
      <x:c r="P521" s="35" t="str">
        <x:v>NOT_AVAILABLE</x:v>
      </x:c>
      <x:c r="Q521" s="35" t="str">
        <x:v>Deepseek-flash-v4/Result/Jsoup_2/result.json</x:v>
      </x:c>
    </x:row>
    <x:row r="522">
      <x:c r="A522" s="35" t="str">
        <x:v>deepseek</x:v>
      </x:c>
      <x:c r="B522" s="35" t="str">
        <x:v>Jsoup</x:v>
      </x:c>
      <x:c r="C522" s="35" t="str">
        <x:v>Round1</x:v>
      </x:c>
      <x:c r="D522" s="35" t="str">
        <x:v>Jsoup_20</x:v>
      </x:c>
      <x:c r="E522" s="35" t="str">
        <x:v>Line</x:v>
      </x:c>
      <x:c r="F522" s="35" t="n">
        <x:v>44</x:v>
      </x:c>
      <x:c r="G522" s="35" t="str">
        <x:v>RECORDED</x:v>
      </x:c>
      <x:c r="H522" s="39" t="n">
        <x:f>IF(ISNUMBER('Data'!E522),'Data'!E522*100,"")</x:f>
        <x:v>97.73</x:v>
      </x:c>
      <x:c r="I522" s="35" t="str">
        <x:v>PASS</x:v>
      </x:c>
      <x:c r="J522" s="35" t="str">
        <x:v>PASS</x:v>
      </x:c>
      <x:c r="K522" s="35" t="str">
        <x:v>PASS</x:v>
      </x:c>
      <x:c r="L522" s="35" t="str">
        <x:v>FAIL</x:v>
      </x:c>
      <x:c r="M522" s="35" t="str">
        <x:v>numeric coverage for applicable metric</x:v>
      </x:c>
      <x:c r="N522" s="35" t="str">
        <x:v>Deepseek-flash-v4/Result/Jsoup_20/result.json</x:v>
      </x:c>
      <x:c r="O522" s="39" t="n">
        <x:f>IF(AND(G522="RECORDED",ISNUMBER(H522)),H522,"")</x:f>
        <x:v>97.73</x:v>
      </x:c>
      <x:c r="P522" s="35" t="str">
        <x:v>INCONCLUSIVE</x:v>
      </x:c>
      <x:c r="Q522" s="35" t="str">
        <x:v>Deepseek-flash-v4/Result/Jsoup_20/result.json</x:v>
      </x:c>
    </x:row>
    <x:row r="523">
      <x:c r="A523" s="35" t="str">
        <x:v>deepseek</x:v>
      </x:c>
      <x:c r="B523" s="35" t="str">
        <x:v>Jsoup</x:v>
      </x:c>
      <x:c r="C523" s="35" t="str">
        <x:v>Round1</x:v>
      </x:c>
      <x:c r="D523" s="35" t="str">
        <x:v>Jsoup_21</x:v>
      </x:c>
      <x:c r="E523" s="35" t="str">
        <x:v>Line</x:v>
      </x:c>
      <x:c r="F523" s="35"/>
      <x:c r="G523" s="35" t="str">
        <x:v>A</x:v>
      </x:c>
      <x:c r="H523" s="39" t="str">
        <x:f>IF(ISNUMBER('Data'!E523),'Data'!E523*100,"")</x:f>
      </x:c>
      <x:c r="I523" s="35"/>
      <x:c r="J523" s="35" t="str">
        <x:v>PASS</x:v>
      </x:c>
      <x:c r="K523" s="35" t="str">
        <x:v>FAIL</x:v>
      </x:c>
      <x:c r="L523" s="35" t="str">
        <x:v>NOT_RUN</x:v>
      </x:c>
      <x:c r="M523" s="35" t="str">
        <x:v>coverage unavailable or execution/compile failed</x:v>
      </x:c>
      <x:c r="N523" s="35" t="str">
        <x:v>Deepseek-flash-v4/Result/Jsoup_21/result.json</x:v>
      </x:c>
      <x:c r="O523" s="39" t="str">
        <x:f>IF(AND(G523="RECORDED",ISNUMBER(H523)),H523,"")</x:f>
      </x:c>
      <x:c r="P523" s="35" t="str">
        <x:v>NOT_AVAILABLE</x:v>
      </x:c>
      <x:c r="Q523" s="35" t="str">
        <x:v>Deepseek-flash-v4/Result/Jsoup_21/result.json</x:v>
      </x:c>
    </x:row>
    <x:row r="524">
      <x:c r="A524" s="35" t="str">
        <x:v>deepseek</x:v>
      </x:c>
      <x:c r="B524" s="35" t="str">
        <x:v>Jsoup</x:v>
      </x:c>
      <x:c r="C524" s="35" t="str">
        <x:v>Round1</x:v>
      </x:c>
      <x:c r="D524" s="35" t="str">
        <x:v>Jsoup_22</x:v>
      </x:c>
      <x:c r="E524" s="35" t="str">
        <x:v>Line</x:v>
      </x:c>
      <x:c r="F524" s="35"/>
      <x:c r="G524" s="35" t="str">
        <x:v>A</x:v>
      </x:c>
      <x:c r="H524" s="39" t="str">
        <x:f>IF(ISNUMBER('Data'!E524),'Data'!E524*100,"")</x:f>
      </x:c>
      <x:c r="I524" s="35"/>
      <x:c r="J524" s="35" t="str">
        <x:v>PASS</x:v>
      </x:c>
      <x:c r="K524" s="35" t="str">
        <x:v>FAIL</x:v>
      </x:c>
      <x:c r="L524" s="35" t="str">
        <x:v>NOT_RUN</x:v>
      </x:c>
      <x:c r="M524" s="35" t="str">
        <x:v>coverage unavailable or execution/compile failed</x:v>
      </x:c>
      <x:c r="N524" s="35" t="str">
        <x:v>Deepseek-flash-v4/Result/Jsoup_22/result.json</x:v>
      </x:c>
      <x:c r="O524" s="39" t="str">
        <x:f>IF(AND(G524="RECORDED",ISNUMBER(H524)),H524,"")</x:f>
      </x:c>
      <x:c r="P524" s="35" t="str">
        <x:v>NOT_AVAILABLE</x:v>
      </x:c>
      <x:c r="Q524" s="35" t="str">
        <x:v>Deepseek-flash-v4/Result/Jsoup_22/result.json</x:v>
      </x:c>
    </x:row>
    <x:row r="525">
      <x:c r="A525" s="35" t="str">
        <x:v>deepseek</x:v>
      </x:c>
      <x:c r="B525" s="35" t="str">
        <x:v>Jsoup</x:v>
      </x:c>
      <x:c r="C525" s="35" t="str">
        <x:v>Round1</x:v>
      </x:c>
      <x:c r="D525" s="35" t="str">
        <x:v>Jsoup_23</x:v>
      </x:c>
      <x:c r="E525" s="35" t="str">
        <x:v>Line</x:v>
      </x:c>
      <x:c r="F525" s="35"/>
      <x:c r="G525" s="35" t="str">
        <x:v>A</x:v>
      </x:c>
      <x:c r="H525" s="39" t="str">
        <x:f>IF(ISNUMBER('Data'!E525),'Data'!E525*100,"")</x:f>
      </x:c>
      <x:c r="I525" s="35"/>
      <x:c r="J525" s="35" t="str">
        <x:v>PASS</x:v>
      </x:c>
      <x:c r="K525" s="35" t="str">
        <x:v>FAIL</x:v>
      </x:c>
      <x:c r="L525" s="35" t="str">
        <x:v>NOT_RUN</x:v>
      </x:c>
      <x:c r="M525" s="35" t="str">
        <x:v>coverage unavailable or execution/compile failed</x:v>
      </x:c>
      <x:c r="N525" s="35" t="str">
        <x:v>Deepseek-flash-v4/Result/Jsoup_23/result.json</x:v>
      </x:c>
      <x:c r="O525" s="39" t="str">
        <x:f>IF(AND(G525="RECORDED",ISNUMBER(H525)),H525,"")</x:f>
      </x:c>
      <x:c r="P525" s="35" t="str">
        <x:v>NOT_AVAILABLE</x:v>
      </x:c>
      <x:c r="Q525" s="35" t="str">
        <x:v>Deepseek-flash-v4/Result/Jsoup_23/result.json</x:v>
      </x:c>
    </x:row>
    <x:row r="526">
      <x:c r="A526" s="35" t="str">
        <x:v>deepseek</x:v>
      </x:c>
      <x:c r="B526" s="35" t="str">
        <x:v>Jsoup</x:v>
      </x:c>
      <x:c r="C526" s="35" t="str">
        <x:v>Round1</x:v>
      </x:c>
      <x:c r="D526" s="35" t="str">
        <x:v>Jsoup_24</x:v>
      </x:c>
      <x:c r="E526" s="35" t="str">
        <x:v>Line</x:v>
      </x:c>
      <x:c r="F526" s="35"/>
      <x:c r="G526" s="35" t="str">
        <x:v>A</x:v>
      </x:c>
      <x:c r="H526" s="39" t="str">
        <x:f>IF(ISNUMBER('Data'!E526),'Data'!E526*100,"")</x:f>
      </x:c>
      <x:c r="I526" s="35"/>
      <x:c r="J526" s="35" t="str">
        <x:v>PASS</x:v>
      </x:c>
      <x:c r="K526" s="35" t="str">
        <x:v>FAIL</x:v>
      </x:c>
      <x:c r="L526" s="35" t="str">
        <x:v>NOT_RUN</x:v>
      </x:c>
      <x:c r="M526" s="35" t="str">
        <x:v>coverage unavailable or execution/compile failed</x:v>
      </x:c>
      <x:c r="N526" s="35" t="str">
        <x:v>Deepseek-flash-v4/Result/Jsoup_24/result.json</x:v>
      </x:c>
      <x:c r="O526" s="39" t="str">
        <x:f>IF(AND(G526="RECORDED",ISNUMBER(H526)),H526,"")</x:f>
      </x:c>
      <x:c r="P526" s="35" t="str">
        <x:v>NOT_AVAILABLE</x:v>
      </x:c>
      <x:c r="Q526" s="35" t="str">
        <x:v>Deepseek-flash-v4/Result/Jsoup_24/result.json</x:v>
      </x:c>
    </x:row>
    <x:row r="527">
      <x:c r="A527" s="35" t="str">
        <x:v>deepseek</x:v>
      </x:c>
      <x:c r="B527" s="35" t="str">
        <x:v>Jsoup</x:v>
      </x:c>
      <x:c r="C527" s="35" t="str">
        <x:v>Round1</x:v>
      </x:c>
      <x:c r="D527" s="35" t="str">
        <x:v>Jsoup_25</x:v>
      </x:c>
      <x:c r="E527" s="35" t="str">
        <x:v>Line</x:v>
      </x:c>
      <x:c r="F527" s="35"/>
      <x:c r="G527" s="35" t="str">
        <x:v>A</x:v>
      </x:c>
      <x:c r="H527" s="39" t="str">
        <x:f>IF(ISNUMBER('Data'!E527),'Data'!E527*100,"")</x:f>
      </x:c>
      <x:c r="I527" s="35"/>
      <x:c r="J527" s="35" t="str">
        <x:v>PASS</x:v>
      </x:c>
      <x:c r="K527" s="35" t="str">
        <x:v>FAIL</x:v>
      </x:c>
      <x:c r="L527" s="35" t="str">
        <x:v>NOT_RUN</x:v>
      </x:c>
      <x:c r="M527" s="35" t="str">
        <x:v>coverage unavailable or execution/compile failed</x:v>
      </x:c>
      <x:c r="N527" s="35" t="str">
        <x:v>Deepseek-flash-v4/Result/Jsoup_25/result.json</x:v>
      </x:c>
      <x:c r="O527" s="39" t="str">
        <x:f>IF(AND(G527="RECORDED",ISNUMBER(H527)),H527,"")</x:f>
      </x:c>
      <x:c r="P527" s="35" t="str">
        <x:v>NOT_AVAILABLE</x:v>
      </x:c>
      <x:c r="Q527" s="35" t="str">
        <x:v>Deepseek-flash-v4/Result/Jsoup_25/result.json</x:v>
      </x:c>
    </x:row>
    <x:row r="528">
      <x:c r="A528" s="35" t="str">
        <x:v>deepseek</x:v>
      </x:c>
      <x:c r="B528" s="35" t="str">
        <x:v>Jsoup</x:v>
      </x:c>
      <x:c r="C528" s="35" t="str">
        <x:v>Round1</x:v>
      </x:c>
      <x:c r="D528" s="35" t="str">
        <x:v>Jsoup_26</x:v>
      </x:c>
      <x:c r="E528" s="35" t="str">
        <x:v>Line</x:v>
      </x:c>
      <x:c r="F528" s="35"/>
      <x:c r="G528" s="35" t="str">
        <x:v>A</x:v>
      </x:c>
      <x:c r="H528" s="39" t="str">
        <x:f>IF(ISNUMBER('Data'!E528),'Data'!E528*100,"")</x:f>
      </x:c>
      <x:c r="I528" s="35"/>
      <x:c r="J528" s="35" t="str">
        <x:v>PASS</x:v>
      </x:c>
      <x:c r="K528" s="35" t="str">
        <x:v>FAIL</x:v>
      </x:c>
      <x:c r="L528" s="35" t="str">
        <x:v>NOT_RUN</x:v>
      </x:c>
      <x:c r="M528" s="35" t="str">
        <x:v>coverage unavailable or execution/compile failed</x:v>
      </x:c>
      <x:c r="N528" s="35" t="str">
        <x:v>Deepseek-flash-v4/Result/Jsoup_26/result.json</x:v>
      </x:c>
      <x:c r="O528" s="39" t="str">
        <x:f>IF(AND(G528="RECORDED",ISNUMBER(H528)),H528,"")</x:f>
      </x:c>
      <x:c r="P528" s="35" t="str">
        <x:v>NOT_AVAILABLE</x:v>
      </x:c>
      <x:c r="Q528" s="35" t="str">
        <x:v>Deepseek-flash-v4/Result/Jsoup_26/result.json</x:v>
      </x:c>
    </x:row>
    <x:row r="529">
      <x:c r="A529" s="35" t="str">
        <x:v>deepseek</x:v>
      </x:c>
      <x:c r="B529" s="35" t="str">
        <x:v>Jsoup</x:v>
      </x:c>
      <x:c r="C529" s="35" t="str">
        <x:v>Round1</x:v>
      </x:c>
      <x:c r="D529" s="35" t="str">
        <x:v>Jsoup_27</x:v>
      </x:c>
      <x:c r="E529" s="35" t="str">
        <x:v>Line</x:v>
      </x:c>
      <x:c r="F529" s="35"/>
      <x:c r="G529" s="35" t="str">
        <x:v>A</x:v>
      </x:c>
      <x:c r="H529" s="39" t="str">
        <x:f>IF(ISNUMBER('Data'!E529),'Data'!E529*100,"")</x:f>
      </x:c>
      <x:c r="I529" s="35"/>
      <x:c r="J529" s="35" t="str">
        <x:v>PASS</x:v>
      </x:c>
      <x:c r="K529" s="35" t="str">
        <x:v>FAIL</x:v>
      </x:c>
      <x:c r="L529" s="35" t="str">
        <x:v>NOT_RUN</x:v>
      </x:c>
      <x:c r="M529" s="35" t="str">
        <x:v>coverage unavailable or execution/compile failed</x:v>
      </x:c>
      <x:c r="N529" s="35" t="str">
        <x:v>Deepseek-flash-v4/Result/Jsoup_27/result.json</x:v>
      </x:c>
      <x:c r="O529" s="39" t="str">
        <x:f>IF(AND(G529="RECORDED",ISNUMBER(H529)),H529,"")</x:f>
      </x:c>
      <x:c r="P529" s="35" t="str">
        <x:v>NOT_AVAILABLE</x:v>
      </x:c>
      <x:c r="Q529" s="35" t="str">
        <x:v>Deepseek-flash-v4/Result/Jsoup_27/result.json</x:v>
      </x:c>
    </x:row>
    <x:row r="530">
      <x:c r="A530" s="35" t="str">
        <x:v>deepseek</x:v>
      </x:c>
      <x:c r="B530" s="35" t="str">
        <x:v>Jsoup</x:v>
      </x:c>
      <x:c r="C530" s="35" t="str">
        <x:v>Round1</x:v>
      </x:c>
      <x:c r="D530" s="35" t="str">
        <x:v>Jsoup_28</x:v>
      </x:c>
      <x:c r="E530" s="35" t="str">
        <x:v>Line</x:v>
      </x:c>
      <x:c r="F530" s="35"/>
      <x:c r="G530" s="35" t="str">
        <x:v>A</x:v>
      </x:c>
      <x:c r="H530" s="39" t="str">
        <x:f>IF(ISNUMBER('Data'!E530),'Data'!E530*100,"")</x:f>
      </x:c>
      <x:c r="I530" s="35"/>
      <x:c r="J530" s="35" t="str">
        <x:v>PASS</x:v>
      </x:c>
      <x:c r="K530" s="35" t="str">
        <x:v>FAIL</x:v>
      </x:c>
      <x:c r="L530" s="35" t="str">
        <x:v>NOT_RUN</x:v>
      </x:c>
      <x:c r="M530" s="35" t="str">
        <x:v>coverage unavailable or execution/compile failed</x:v>
      </x:c>
      <x:c r="N530" s="35" t="str">
        <x:v>Deepseek-flash-v4/Result/Jsoup_28/result.json</x:v>
      </x:c>
      <x:c r="O530" s="39" t="str">
        <x:f>IF(AND(G530="RECORDED",ISNUMBER(H530)),H530,"")</x:f>
      </x:c>
      <x:c r="P530" s="35" t="str">
        <x:v>NOT_AVAILABLE</x:v>
      </x:c>
      <x:c r="Q530" s="35" t="str">
        <x:v>Deepseek-flash-v4/Result/Jsoup_28/result.json</x:v>
      </x:c>
    </x:row>
    <x:row r="531">
      <x:c r="A531" s="35" t="str">
        <x:v>deepseek</x:v>
      </x:c>
      <x:c r="B531" s="35" t="str">
        <x:v>Jsoup</x:v>
      </x:c>
      <x:c r="C531" s="35" t="str">
        <x:v>Round1</x:v>
      </x:c>
      <x:c r="D531" s="35" t="str">
        <x:v>Jsoup_29</x:v>
      </x:c>
      <x:c r="E531" s="35" t="str">
        <x:v>Line</x:v>
      </x:c>
      <x:c r="F531" s="35"/>
      <x:c r="G531" s="35" t="str">
        <x:v>A</x:v>
      </x:c>
      <x:c r="H531" s="39" t="str">
        <x:f>IF(ISNUMBER('Data'!E531),'Data'!E531*100,"")</x:f>
      </x:c>
      <x:c r="I531" s="35"/>
      <x:c r="J531" s="35" t="str">
        <x:v>PASS</x:v>
      </x:c>
      <x:c r="K531" s="35" t="str">
        <x:v>FAIL</x:v>
      </x:c>
      <x:c r="L531" s="35" t="str">
        <x:v>NOT_RUN</x:v>
      </x:c>
      <x:c r="M531" s="35" t="str">
        <x:v>coverage unavailable or execution/compile failed</x:v>
      </x:c>
      <x:c r="N531" s="35" t="str">
        <x:v>Deepseek-flash-v4/Result/Jsoup_29/result.json</x:v>
      </x:c>
      <x:c r="O531" s="39" t="str">
        <x:f>IF(AND(G531="RECORDED",ISNUMBER(H531)),H531,"")</x:f>
      </x:c>
      <x:c r="P531" s="35" t="str">
        <x:v>NOT_AVAILABLE</x:v>
      </x:c>
      <x:c r="Q531" s="35" t="str">
        <x:v>Deepseek-flash-v4/Result/Jsoup_29/result.json</x:v>
      </x:c>
    </x:row>
    <x:row r="532">
      <x:c r="A532" s="35" t="str">
        <x:v>deepseek</x:v>
      </x:c>
      <x:c r="B532" s="35" t="str">
        <x:v>Jsoup</x:v>
      </x:c>
      <x:c r="C532" s="35" t="str">
        <x:v>Round1</x:v>
      </x:c>
      <x:c r="D532" s="35" t="str">
        <x:v>Jsoup_3</x:v>
      </x:c>
      <x:c r="E532" s="35" t="str">
        <x:v>Line</x:v>
      </x:c>
      <x:c r="F532" s="35"/>
      <x:c r="G532" s="35" t="str">
        <x:v>A</x:v>
      </x:c>
      <x:c r="H532" s="39" t="str">
        <x:f>IF(ISNUMBER('Data'!E532),'Data'!E532*100,"")</x:f>
      </x:c>
      <x:c r="I532" s="35"/>
      <x:c r="J532" s="35" t="str">
        <x:v>PASS</x:v>
      </x:c>
      <x:c r="K532" s="35" t="str">
        <x:v>FAIL</x:v>
      </x:c>
      <x:c r="L532" s="35" t="str">
        <x:v>NOT_RUN</x:v>
      </x:c>
      <x:c r="M532" s="35" t="str">
        <x:v>coverage unavailable or execution/compile failed</x:v>
      </x:c>
      <x:c r="N532" s="35" t="str">
        <x:v>Deepseek-flash-v4/Result/Jsoup_3/result.json</x:v>
      </x:c>
      <x:c r="O532" s="39" t="str">
        <x:f>IF(AND(G532="RECORDED",ISNUMBER(H532)),H532,"")</x:f>
      </x:c>
      <x:c r="P532" s="35" t="str">
        <x:v>NOT_AVAILABLE</x:v>
      </x:c>
      <x:c r="Q532" s="35" t="str">
        <x:v>Deepseek-flash-v4/Result/Jsoup_3/result.json</x:v>
      </x:c>
    </x:row>
    <x:row r="533">
      <x:c r="A533" s="35" t="str">
        <x:v>deepseek</x:v>
      </x:c>
      <x:c r="B533" s="35" t="str">
        <x:v>Jsoup</x:v>
      </x:c>
      <x:c r="C533" s="35" t="str">
        <x:v>Round1</x:v>
      </x:c>
      <x:c r="D533" s="35" t="str">
        <x:v>Jsoup_30</x:v>
      </x:c>
      <x:c r="E533" s="35" t="str">
        <x:v>Line</x:v>
      </x:c>
      <x:c r="F533" s="35"/>
      <x:c r="G533" s="35" t="str">
        <x:v>A</x:v>
      </x:c>
      <x:c r="H533" s="39" t="str">
        <x:f>IF(ISNUMBER('Data'!E533),'Data'!E533*100,"")</x:f>
      </x:c>
      <x:c r="I533" s="35"/>
      <x:c r="J533" s="35" t="str">
        <x:v>PASS</x:v>
      </x:c>
      <x:c r="K533" s="35" t="str">
        <x:v>FAIL</x:v>
      </x:c>
      <x:c r="L533" s="35" t="str">
        <x:v>NOT_RUN</x:v>
      </x:c>
      <x:c r="M533" s="35" t="str">
        <x:v>coverage unavailable or execution/compile failed</x:v>
      </x:c>
      <x:c r="N533" s="35" t="str">
        <x:v>Deepseek-flash-v4/Result/Jsoup_30/result.json</x:v>
      </x:c>
      <x:c r="O533" s="39" t="str">
        <x:f>IF(AND(G533="RECORDED",ISNUMBER(H533)),H533,"")</x:f>
      </x:c>
      <x:c r="P533" s="35" t="str">
        <x:v>NOT_AVAILABLE</x:v>
      </x:c>
      <x:c r="Q533" s="35" t="str">
        <x:v>Deepseek-flash-v4/Result/Jsoup_30/result.json</x:v>
      </x:c>
    </x:row>
    <x:row r="534">
      <x:c r="A534" s="35" t="str">
        <x:v>deepseek</x:v>
      </x:c>
      <x:c r="B534" s="35" t="str">
        <x:v>Jsoup</x:v>
      </x:c>
      <x:c r="C534" s="35" t="str">
        <x:v>Round1</x:v>
      </x:c>
      <x:c r="D534" s="35" t="str">
        <x:v>Jsoup_31</x:v>
      </x:c>
      <x:c r="E534" s="35" t="str">
        <x:v>Line</x:v>
      </x:c>
      <x:c r="F534" s="35"/>
      <x:c r="G534" s="35" t="str">
        <x:v>A</x:v>
      </x:c>
      <x:c r="H534" s="39" t="str">
        <x:f>IF(ISNUMBER('Data'!E534),'Data'!E534*100,"")</x:f>
      </x:c>
      <x:c r="I534" s="35"/>
      <x:c r="J534" s="35" t="str">
        <x:v>PASS</x:v>
      </x:c>
      <x:c r="K534" s="35" t="str">
        <x:v>FAIL</x:v>
      </x:c>
      <x:c r="L534" s="35" t="str">
        <x:v>NOT_RUN</x:v>
      </x:c>
      <x:c r="M534" s="35" t="str">
        <x:v>coverage unavailable or execution/compile failed</x:v>
      </x:c>
      <x:c r="N534" s="35" t="str">
        <x:v>Deepseek-flash-v4/Result/Jsoup_31/result.json</x:v>
      </x:c>
      <x:c r="O534" s="39" t="str">
        <x:f>IF(AND(G534="RECORDED",ISNUMBER(H534)),H534,"")</x:f>
      </x:c>
      <x:c r="P534" s="35" t="str">
        <x:v>NOT_AVAILABLE</x:v>
      </x:c>
      <x:c r="Q534" s="35" t="str">
        <x:v>Deepseek-flash-v4/Result/Jsoup_31/result.json</x:v>
      </x:c>
    </x:row>
    <x:row r="535">
      <x:c r="A535" s="35" t="str">
        <x:v>deepseek</x:v>
      </x:c>
      <x:c r="B535" s="35" t="str">
        <x:v>Jsoup</x:v>
      </x:c>
      <x:c r="C535" s="35" t="str">
        <x:v>Round1</x:v>
      </x:c>
      <x:c r="D535" s="35" t="str">
        <x:v>Jsoup_32</x:v>
      </x:c>
      <x:c r="E535" s="35" t="str">
        <x:v>Line</x:v>
      </x:c>
      <x:c r="F535" s="35"/>
      <x:c r="G535" s="35" t="str">
        <x:v>A</x:v>
      </x:c>
      <x:c r="H535" s="39" t="str">
        <x:f>IF(ISNUMBER('Data'!E535),'Data'!E535*100,"")</x:f>
      </x:c>
      <x:c r="I535" s="35"/>
      <x:c r="J535" s="35" t="str">
        <x:v>PASS</x:v>
      </x:c>
      <x:c r="K535" s="35" t="str">
        <x:v>FAIL</x:v>
      </x:c>
      <x:c r="L535" s="35" t="str">
        <x:v>NOT_RUN</x:v>
      </x:c>
      <x:c r="M535" s="35" t="str">
        <x:v>coverage unavailable or execution/compile failed</x:v>
      </x:c>
      <x:c r="N535" s="35" t="str">
        <x:v>Deepseek-flash-v4/Result/Jsoup_32/result.json</x:v>
      </x:c>
      <x:c r="O535" s="39" t="str">
        <x:f>IF(AND(G535="RECORDED",ISNUMBER(H535)),H535,"")</x:f>
      </x:c>
      <x:c r="P535" s="35" t="str">
        <x:v>NOT_AVAILABLE</x:v>
      </x:c>
      <x:c r="Q535" s="35" t="str">
        <x:v>Deepseek-flash-v4/Result/Jsoup_32/result.json</x:v>
      </x:c>
    </x:row>
    <x:row r="536">
      <x:c r="A536" s="35" t="str">
        <x:v>deepseek</x:v>
      </x:c>
      <x:c r="B536" s="35" t="str">
        <x:v>Jsoup</x:v>
      </x:c>
      <x:c r="C536" s="35" t="str">
        <x:v>Round1</x:v>
      </x:c>
      <x:c r="D536" s="35" t="str">
        <x:v>Jsoup_33</x:v>
      </x:c>
      <x:c r="E536" s="35" t="str">
        <x:v>Line</x:v>
      </x:c>
      <x:c r="F536" s="35" t="n">
        <x:v>393</x:v>
      </x:c>
      <x:c r="G536" s="35" t="str">
        <x:v>RECORDED</x:v>
      </x:c>
      <x:c r="H536" s="39" t="n">
        <x:f>IF(ISNUMBER('Data'!E536),'Data'!E536*100,"")</x:f>
        <x:v>47.84</x:v>
      </x:c>
      <x:c r="I536" s="35" t="str">
        <x:v>PASS</x:v>
      </x:c>
      <x:c r="J536" s="35" t="str">
        <x:v>PASS</x:v>
      </x:c>
      <x:c r="K536" s="35" t="str">
        <x:v>PASS</x:v>
      </x:c>
      <x:c r="L536" s="35" t="str">
        <x:v>FAIL</x:v>
      </x:c>
      <x:c r="M536" s="35" t="str">
        <x:v>numeric coverage for applicable metric</x:v>
      </x:c>
      <x:c r="N536" s="35" t="str">
        <x:v>Deepseek-flash-v4/Result/Jsoup_33/result.json</x:v>
      </x:c>
      <x:c r="O536" s="39" t="n">
        <x:f>IF(AND(G536="RECORDED",ISNUMBER(H536)),H536,"")</x:f>
        <x:v>47.84</x:v>
      </x:c>
      <x:c r="P536" s="35" t="str">
        <x:v>INCONCLUSIVE</x:v>
      </x:c>
      <x:c r="Q536" s="35" t="str">
        <x:v>Deepseek-flash-v4/Result/Jsoup_33/result.json</x:v>
      </x:c>
    </x:row>
    <x:row r="537">
      <x:c r="A537" s="35" t="str">
        <x:v>deepseek</x:v>
      </x:c>
      <x:c r="B537" s="35" t="str">
        <x:v>Jsoup</x:v>
      </x:c>
      <x:c r="C537" s="35" t="str">
        <x:v>Round1</x:v>
      </x:c>
      <x:c r="D537" s="35" t="str">
        <x:v>Jsoup_34</x:v>
      </x:c>
      <x:c r="E537" s="35" t="str">
        <x:v>Line</x:v>
      </x:c>
      <x:c r="F537" s="35" t="n">
        <x:v>136</x:v>
      </x:c>
      <x:c r="G537" s="35" t="str">
        <x:v>RECORDED</x:v>
      </x:c>
      <x:c r="H537" s="39" t="n">
        <x:f>IF(ISNUMBER('Data'!E537),'Data'!E537*100,"")</x:f>
        <x:v>97.79</x:v>
      </x:c>
      <x:c r="I537" s="35" t="str">
        <x:v>PASS</x:v>
      </x:c>
      <x:c r="J537" s="35" t="str">
        <x:v>PASS</x:v>
      </x:c>
      <x:c r="K537" s="35" t="str">
        <x:v>PASS</x:v>
      </x:c>
      <x:c r="L537" s="35" t="str">
        <x:v>FAIL</x:v>
      </x:c>
      <x:c r="M537" s="35" t="str">
        <x:v>numeric coverage for applicable metric</x:v>
      </x:c>
      <x:c r="N537" s="35" t="str">
        <x:v>Deepseek-flash-v4/Result/Jsoup_34/result.json</x:v>
      </x:c>
      <x:c r="O537" s="39" t="n">
        <x:f>IF(AND(G537="RECORDED",ISNUMBER(H537)),H537,"")</x:f>
        <x:v>97.79</x:v>
      </x:c>
      <x:c r="P537" s="35" t="str">
        <x:v>INCONCLUSIVE</x:v>
      </x:c>
      <x:c r="Q537" s="35" t="str">
        <x:v>Deepseek-flash-v4/Result/Jsoup_34/result.json</x:v>
      </x:c>
    </x:row>
    <x:row r="538">
      <x:c r="A538" s="35" t="str">
        <x:v>deepseek</x:v>
      </x:c>
      <x:c r="B538" s="35" t="str">
        <x:v>Jsoup</x:v>
      </x:c>
      <x:c r="C538" s="35" t="str">
        <x:v>Round1</x:v>
      </x:c>
      <x:c r="D538" s="35" t="str">
        <x:v>Jsoup_35</x:v>
      </x:c>
      <x:c r="E538" s="35" t="str">
        <x:v>Line</x:v>
      </x:c>
      <x:c r="F538" s="35"/>
      <x:c r="G538" s="35" t="str">
        <x:v>A</x:v>
      </x:c>
      <x:c r="H538" s="39" t="str">
        <x:f>IF(ISNUMBER('Data'!E538),'Data'!E538*100,"")</x:f>
      </x:c>
      <x:c r="I538" s="35"/>
      <x:c r="J538" s="35" t="str">
        <x:v>PASS</x:v>
      </x:c>
      <x:c r="K538" s="35" t="str">
        <x:v>FAIL</x:v>
      </x:c>
      <x:c r="L538" s="35" t="str">
        <x:v>NOT_RUN</x:v>
      </x:c>
      <x:c r="M538" s="35" t="str">
        <x:v>coverage unavailable or execution/compile failed</x:v>
      </x:c>
      <x:c r="N538" s="35" t="str">
        <x:v>Deepseek-flash-v4/Result/Jsoup_35/result.json</x:v>
      </x:c>
      <x:c r="O538" s="39" t="str">
        <x:f>IF(AND(G538="RECORDED",ISNUMBER(H538)),H538,"")</x:f>
      </x:c>
      <x:c r="P538" s="35" t="str">
        <x:v>NOT_AVAILABLE</x:v>
      </x:c>
      <x:c r="Q538" s="35" t="str">
        <x:v>Deepseek-flash-v4/Result/Jsoup_35/result.json</x:v>
      </x:c>
    </x:row>
    <x:row r="539">
      <x:c r="A539" s="35" t="str">
        <x:v>deepseek</x:v>
      </x:c>
      <x:c r="B539" s="35" t="str">
        <x:v>Jsoup</x:v>
      </x:c>
      <x:c r="C539" s="35" t="str">
        <x:v>Round1</x:v>
      </x:c>
      <x:c r="D539" s="35" t="str">
        <x:v>Jsoup_36</x:v>
      </x:c>
      <x:c r="E539" s="35" t="str">
        <x:v>Line</x:v>
      </x:c>
      <x:c r="F539" s="35"/>
      <x:c r="G539" s="35" t="str">
        <x:v>A</x:v>
      </x:c>
      <x:c r="H539" s="39" t="str">
        <x:f>IF(ISNUMBER('Data'!E539),'Data'!E539*100,"")</x:f>
      </x:c>
      <x:c r="I539" s="35"/>
      <x:c r="J539" s="35" t="str">
        <x:v>PASS</x:v>
      </x:c>
      <x:c r="K539" s="35" t="str">
        <x:v>FAIL</x:v>
      </x:c>
      <x:c r="L539" s="35" t="str">
        <x:v>NOT_RUN</x:v>
      </x:c>
      <x:c r="M539" s="35" t="str">
        <x:v>coverage unavailable or execution/compile failed</x:v>
      </x:c>
      <x:c r="N539" s="35" t="str">
        <x:v>Deepseek-flash-v4/Result/Jsoup_36/result.json</x:v>
      </x:c>
      <x:c r="O539" s="39" t="str">
        <x:f>IF(AND(G539="RECORDED",ISNUMBER(H539)),H539,"")</x:f>
      </x:c>
      <x:c r="P539" s="35" t="str">
        <x:v>NOT_AVAILABLE</x:v>
      </x:c>
      <x:c r="Q539" s="35" t="str">
        <x:v>Deepseek-flash-v4/Result/Jsoup_36/result.json</x:v>
      </x:c>
    </x:row>
    <x:row r="540">
      <x:c r="A540" s="35" t="str">
        <x:v>deepseek</x:v>
      </x:c>
      <x:c r="B540" s="35" t="str">
        <x:v>Jsoup</x:v>
      </x:c>
      <x:c r="C540" s="35" t="str">
        <x:v>Round1</x:v>
      </x:c>
      <x:c r="D540" s="35" t="str">
        <x:v>Jsoup_37</x:v>
      </x:c>
      <x:c r="E540" s="35" t="str">
        <x:v>Line</x:v>
      </x:c>
      <x:c r="F540" s="35"/>
      <x:c r="G540" s="35" t="str">
        <x:v>A</x:v>
      </x:c>
      <x:c r="H540" s="39" t="str">
        <x:f>IF(ISNUMBER('Data'!E540),'Data'!E540*100,"")</x:f>
      </x:c>
      <x:c r="I540" s="35"/>
      <x:c r="J540" s="35" t="str">
        <x:v>PASS</x:v>
      </x:c>
      <x:c r="K540" s="35" t="str">
        <x:v>FAIL</x:v>
      </x:c>
      <x:c r="L540" s="35" t="str">
        <x:v>NOT_RUN</x:v>
      </x:c>
      <x:c r="M540" s="35" t="str">
        <x:v>coverage unavailable or execution/compile failed</x:v>
      </x:c>
      <x:c r="N540" s="35" t="str">
        <x:v>Deepseek-flash-v4/Result/Jsoup_37/result.json</x:v>
      </x:c>
      <x:c r="O540" s="39" t="str">
        <x:f>IF(AND(G540="RECORDED",ISNUMBER(H540)),H540,"")</x:f>
      </x:c>
      <x:c r="P540" s="35" t="str">
        <x:v>NOT_AVAILABLE</x:v>
      </x:c>
      <x:c r="Q540" s="35" t="str">
        <x:v>Deepseek-flash-v4/Result/Jsoup_37/result.json</x:v>
      </x:c>
    </x:row>
    <x:row r="541">
      <x:c r="A541" s="35" t="str">
        <x:v>deepseek</x:v>
      </x:c>
      <x:c r="B541" s="35" t="str">
        <x:v>Jsoup</x:v>
      </x:c>
      <x:c r="C541" s="35" t="str">
        <x:v>Round1</x:v>
      </x:c>
      <x:c r="D541" s="35" t="str">
        <x:v>Jsoup_38</x:v>
      </x:c>
      <x:c r="E541" s="35" t="str">
        <x:v>Line</x:v>
      </x:c>
      <x:c r="F541" s="35"/>
      <x:c r="G541" s="35" t="str">
        <x:v>A</x:v>
      </x:c>
      <x:c r="H541" s="39" t="str">
        <x:f>IF(ISNUMBER('Data'!E541),'Data'!E541*100,"")</x:f>
      </x:c>
      <x:c r="I541" s="35"/>
      <x:c r="J541" s="35" t="str">
        <x:v>PASS</x:v>
      </x:c>
      <x:c r="K541" s="35" t="str">
        <x:v>FAIL</x:v>
      </x:c>
      <x:c r="L541" s="35" t="str">
        <x:v>NOT_RUN</x:v>
      </x:c>
      <x:c r="M541" s="35" t="str">
        <x:v>coverage unavailable or execution/compile failed</x:v>
      </x:c>
      <x:c r="N541" s="35" t="str">
        <x:v>Deepseek-flash-v4/Result/Jsoup_38/result.json</x:v>
      </x:c>
      <x:c r="O541" s="39" t="str">
        <x:f>IF(AND(G541="RECORDED",ISNUMBER(H541)),H541,"")</x:f>
      </x:c>
      <x:c r="P541" s="35" t="str">
        <x:v>NOT_AVAILABLE</x:v>
      </x:c>
      <x:c r="Q541" s="35" t="str">
        <x:v>Deepseek-flash-v4/Result/Jsoup_38/result.json</x:v>
      </x:c>
    </x:row>
    <x:row r="542">
      <x:c r="A542" s="35" t="str">
        <x:v>deepseek</x:v>
      </x:c>
      <x:c r="B542" s="35" t="str">
        <x:v>Jsoup</x:v>
      </x:c>
      <x:c r="C542" s="35" t="str">
        <x:v>Round1</x:v>
      </x:c>
      <x:c r="D542" s="35" t="str">
        <x:v>Jsoup_39</x:v>
      </x:c>
      <x:c r="E542" s="35" t="str">
        <x:v>Line</x:v>
      </x:c>
      <x:c r="F542" s="35" t="n">
        <x:v>75</x:v>
      </x:c>
      <x:c r="G542" s="35" t="str">
        <x:v>RECORDED</x:v>
      </x:c>
      <x:c r="H542" s="39" t="n">
        <x:f>IF(ISNUMBER('Data'!E542),'Data'!E542*100,"")</x:f>
        <x:v>88</x:v>
      </x:c>
      <x:c r="I542" s="35" t="str">
        <x:v>PASS</x:v>
      </x:c>
      <x:c r="J542" s="35" t="str">
        <x:v>PASS</x:v>
      </x:c>
      <x:c r="K542" s="35" t="str">
        <x:v>PASS</x:v>
      </x:c>
      <x:c r="L542" s="35" t="str">
        <x:v>FAIL</x:v>
      </x:c>
      <x:c r="M542" s="35" t="str">
        <x:v>numeric coverage for applicable metric</x:v>
      </x:c>
      <x:c r="N542" s="35" t="str">
        <x:v>Deepseek-flash-v4/Result/Jsoup_39/result.json</x:v>
      </x:c>
      <x:c r="O542" s="39" t="n">
        <x:f>IF(AND(G542="RECORDED",ISNUMBER(H542)),H542,"")</x:f>
        <x:v>88</x:v>
      </x:c>
      <x:c r="P542" s="35" t="str">
        <x:v>INCONCLUSIVE</x:v>
      </x:c>
      <x:c r="Q542" s="35" t="str">
        <x:v>Deepseek-flash-v4/Result/Jsoup_39/result.json</x:v>
      </x:c>
    </x:row>
    <x:row r="543">
      <x:c r="A543" s="35" t="str">
        <x:v>deepseek</x:v>
      </x:c>
      <x:c r="B543" s="35" t="str">
        <x:v>Jsoup</x:v>
      </x:c>
      <x:c r="C543" s="35" t="str">
        <x:v>Round1</x:v>
      </x:c>
      <x:c r="D543" s="35" t="str">
        <x:v>Jsoup_4</x:v>
      </x:c>
      <x:c r="E543" s="35" t="str">
        <x:v>Line</x:v>
      </x:c>
      <x:c r="F543" s="35"/>
      <x:c r="G543" s="35" t="str">
        <x:v>A</x:v>
      </x:c>
      <x:c r="H543" s="39" t="str">
        <x:f>IF(ISNUMBER('Data'!E543),'Data'!E543*100,"")</x:f>
      </x:c>
      <x:c r="I543" s="35"/>
      <x:c r="J543" s="35" t="str">
        <x:v>PASS</x:v>
      </x:c>
      <x:c r="K543" s="35" t="str">
        <x:v>FAIL</x:v>
      </x:c>
      <x:c r="L543" s="35" t="str">
        <x:v>NOT_RUN</x:v>
      </x:c>
      <x:c r="M543" s="35" t="str">
        <x:v>coverage unavailable or execution/compile failed</x:v>
      </x:c>
      <x:c r="N543" s="35" t="str">
        <x:v>Deepseek-flash-v4/Result/Jsoup_4/result.json</x:v>
      </x:c>
      <x:c r="O543" s="39" t="str">
        <x:f>IF(AND(G543="RECORDED",ISNUMBER(H543)),H543,"")</x:f>
      </x:c>
      <x:c r="P543" s="35" t="str">
        <x:v>NOT_AVAILABLE</x:v>
      </x:c>
      <x:c r="Q543" s="35" t="str">
        <x:v>Deepseek-flash-v4/Result/Jsoup_4/result.json</x:v>
      </x:c>
    </x:row>
    <x:row r="544">
      <x:c r="A544" s="35" t="str">
        <x:v>deepseek</x:v>
      </x:c>
      <x:c r="B544" s="35" t="str">
        <x:v>Jsoup</x:v>
      </x:c>
      <x:c r="C544" s="35" t="str">
        <x:v>Round1</x:v>
      </x:c>
      <x:c r="D544" s="35" t="str">
        <x:v>Jsoup_40</x:v>
      </x:c>
      <x:c r="E544" s="35" t="str">
        <x:v>Line</x:v>
      </x:c>
      <x:c r="F544" s="35" t="n">
        <x:v>17</x:v>
      </x:c>
      <x:c r="G544" s="35" t="str">
        <x:v>RECORDED</x:v>
      </x:c>
      <x:c r="H544" s="39" t="n">
        <x:f>IF(ISNUMBER('Data'!E544),'Data'!E544*100,"")</x:f>
        <x:v>100</x:v>
      </x:c>
      <x:c r="I544" s="35" t="str">
        <x:v>PASS</x:v>
      </x:c>
      <x:c r="J544" s="35" t="str">
        <x:v>PASS</x:v>
      </x:c>
      <x:c r="K544" s="35" t="str">
        <x:v>PASS</x:v>
      </x:c>
      <x:c r="L544" s="35" t="str">
        <x:v>FAIL</x:v>
      </x:c>
      <x:c r="M544" s="35" t="str">
        <x:v>numeric coverage for applicable metric</x:v>
      </x:c>
      <x:c r="N544" s="35" t="str">
        <x:v>Deepseek-flash-v4/Result/Jsoup_40/result.json</x:v>
      </x:c>
      <x:c r="O544" s="39" t="n">
        <x:f>IF(AND(G544="RECORDED",ISNUMBER(H544)),H544,"")</x:f>
        <x:v>100</x:v>
      </x:c>
      <x:c r="P544" s="35" t="str">
        <x:v>INCONCLUSIVE</x:v>
      </x:c>
      <x:c r="Q544" s="35" t="str">
        <x:v>Deepseek-flash-v4/Result/Jsoup_40/result.json</x:v>
      </x:c>
    </x:row>
    <x:row r="545">
      <x:c r="A545" s="35" t="str">
        <x:v>deepseek</x:v>
      </x:c>
      <x:c r="B545" s="35" t="str">
        <x:v>Jsoup</x:v>
      </x:c>
      <x:c r="C545" s="35" t="str">
        <x:v>Round1</x:v>
      </x:c>
      <x:c r="D545" s="35" t="str">
        <x:v>Jsoup_41</x:v>
      </x:c>
      <x:c r="E545" s="35" t="str">
        <x:v>Line</x:v>
      </x:c>
      <x:c r="F545" s="35"/>
      <x:c r="G545" s="35" t="str">
        <x:v>A</x:v>
      </x:c>
      <x:c r="H545" s="39" t="str">
        <x:f>IF(ISNUMBER('Data'!E545),'Data'!E545*100,"")</x:f>
      </x:c>
      <x:c r="I545" s="35"/>
      <x:c r="J545" s="35" t="str">
        <x:v>PASS</x:v>
      </x:c>
      <x:c r="K545" s="35" t="str">
        <x:v>FAIL</x:v>
      </x:c>
      <x:c r="L545" s="35" t="str">
        <x:v>NOT_RUN</x:v>
      </x:c>
      <x:c r="M545" s="35" t="str">
        <x:v>coverage unavailable or execution/compile failed</x:v>
      </x:c>
      <x:c r="N545" s="35" t="str">
        <x:v>Deepseek-flash-v4/Result/Jsoup_41/result.json</x:v>
      </x:c>
      <x:c r="O545" s="39" t="str">
        <x:f>IF(AND(G545="RECORDED",ISNUMBER(H545)),H545,"")</x:f>
      </x:c>
      <x:c r="P545" s="35" t="str">
        <x:v>NOT_AVAILABLE</x:v>
      </x:c>
      <x:c r="Q545" s="35" t="str">
        <x:v>Deepseek-flash-v4/Result/Jsoup_41/result.json</x:v>
      </x:c>
    </x:row>
    <x:row r="546">
      <x:c r="A546" s="35" t="str">
        <x:v>deepseek</x:v>
      </x:c>
      <x:c r="B546" s="35" t="str">
        <x:v>Jsoup</x:v>
      </x:c>
      <x:c r="C546" s="35" t="str">
        <x:v>Round1</x:v>
      </x:c>
      <x:c r="D546" s="35" t="str">
        <x:v>Jsoup_42</x:v>
      </x:c>
      <x:c r="E546" s="35" t="str">
        <x:v>Line</x:v>
      </x:c>
      <x:c r="F546" s="35"/>
      <x:c r="G546" s="35" t="str">
        <x:v>A</x:v>
      </x:c>
      <x:c r="H546" s="39" t="str">
        <x:f>IF(ISNUMBER('Data'!E546),'Data'!E546*100,"")</x:f>
      </x:c>
      <x:c r="I546" s="35"/>
      <x:c r="J546" s="35" t="str">
        <x:v>PASS</x:v>
      </x:c>
      <x:c r="K546" s="35" t="str">
        <x:v>FAIL</x:v>
      </x:c>
      <x:c r="L546" s="35" t="str">
        <x:v>NOT_RUN</x:v>
      </x:c>
      <x:c r="M546" s="35" t="str">
        <x:v>coverage unavailable or execution/compile failed</x:v>
      </x:c>
      <x:c r="N546" s="35" t="str">
        <x:v>Deepseek-flash-v4/Result/Jsoup_42/result.json</x:v>
      </x:c>
      <x:c r="O546" s="39" t="str">
        <x:f>IF(AND(G546="RECORDED",ISNUMBER(H546)),H546,"")</x:f>
      </x:c>
      <x:c r="P546" s="35" t="str">
        <x:v>NOT_AVAILABLE</x:v>
      </x:c>
      <x:c r="Q546" s="35" t="str">
        <x:v>Deepseek-flash-v4/Result/Jsoup_42/result.json</x:v>
      </x:c>
    </x:row>
    <x:row r="547">
      <x:c r="A547" s="35" t="str">
        <x:v>deepseek</x:v>
      </x:c>
      <x:c r="B547" s="35" t="str">
        <x:v>Jsoup</x:v>
      </x:c>
      <x:c r="C547" s="35" t="str">
        <x:v>Round1</x:v>
      </x:c>
      <x:c r="D547" s="35" t="str">
        <x:v>Jsoup_43</x:v>
      </x:c>
      <x:c r="E547" s="35" t="str">
        <x:v>Line</x:v>
      </x:c>
      <x:c r="F547" s="35"/>
      <x:c r="G547" s="35" t="str">
        <x:v>A</x:v>
      </x:c>
      <x:c r="H547" s="39" t="str">
        <x:f>IF(ISNUMBER('Data'!E547),'Data'!E547*100,"")</x:f>
      </x:c>
      <x:c r="I547" s="35"/>
      <x:c r="J547" s="35" t="str">
        <x:v>PASS</x:v>
      </x:c>
      <x:c r="K547" s="35" t="str">
        <x:v>FAIL</x:v>
      </x:c>
      <x:c r="L547" s="35" t="str">
        <x:v>NOT_RUN</x:v>
      </x:c>
      <x:c r="M547" s="35" t="str">
        <x:v>coverage unavailable or execution/compile failed</x:v>
      </x:c>
      <x:c r="N547" s="35" t="str">
        <x:v>Deepseek-flash-v4/Result/Jsoup_43/result.json</x:v>
      </x:c>
      <x:c r="O547" s="39" t="str">
        <x:f>IF(AND(G547="RECORDED",ISNUMBER(H547)),H547,"")</x:f>
      </x:c>
      <x:c r="P547" s="35" t="str">
        <x:v>NOT_AVAILABLE</x:v>
      </x:c>
      <x:c r="Q547" s="35" t="str">
        <x:v>Deepseek-flash-v4/Result/Jsoup_43/result.json</x:v>
      </x:c>
    </x:row>
    <x:row r="548">
      <x:c r="A548" s="35" t="str">
        <x:v>deepseek</x:v>
      </x:c>
      <x:c r="B548" s="35" t="str">
        <x:v>Jsoup</x:v>
      </x:c>
      <x:c r="C548" s="35" t="str">
        <x:v>Round1</x:v>
      </x:c>
      <x:c r="D548" s="35" t="str">
        <x:v>Jsoup_44</x:v>
      </x:c>
      <x:c r="E548" s="35" t="str">
        <x:v>Line</x:v>
      </x:c>
      <x:c r="F548" s="35"/>
      <x:c r="G548" s="35" t="str">
        <x:v>A</x:v>
      </x:c>
      <x:c r="H548" s="39" t="str">
        <x:f>IF(ISNUMBER('Data'!E548),'Data'!E548*100,"")</x:f>
      </x:c>
      <x:c r="I548" s="35"/>
      <x:c r="J548" s="35" t="str">
        <x:v>PASS</x:v>
      </x:c>
      <x:c r="K548" s="35" t="str">
        <x:v>FAIL</x:v>
      </x:c>
      <x:c r="L548" s="35" t="str">
        <x:v>NOT_RUN</x:v>
      </x:c>
      <x:c r="M548" s="35" t="str">
        <x:v>coverage unavailable or execution/compile failed</x:v>
      </x:c>
      <x:c r="N548" s="35" t="str">
        <x:v>Deepseek-flash-v4/Result/Jsoup_44/result.json</x:v>
      </x:c>
      <x:c r="O548" s="39" t="str">
        <x:f>IF(AND(G548="RECORDED",ISNUMBER(H548)),H548,"")</x:f>
      </x:c>
      <x:c r="P548" s="35" t="str">
        <x:v>NOT_AVAILABLE</x:v>
      </x:c>
      <x:c r="Q548" s="35" t="str">
        <x:v>Deepseek-flash-v4/Result/Jsoup_44/result.json</x:v>
      </x:c>
    </x:row>
    <x:row r="549">
      <x:c r="A549" s="35" t="str">
        <x:v>deepseek</x:v>
      </x:c>
      <x:c r="B549" s="35" t="str">
        <x:v>Jsoup</x:v>
      </x:c>
      <x:c r="C549" s="35" t="str">
        <x:v>Round1</x:v>
      </x:c>
      <x:c r="D549" s="35" t="str">
        <x:v>Jsoup_45</x:v>
      </x:c>
      <x:c r="E549" s="35" t="str">
        <x:v>Line</x:v>
      </x:c>
      <x:c r="F549" s="35"/>
      <x:c r="G549" s="35" t="str">
        <x:v>A</x:v>
      </x:c>
      <x:c r="H549" s="39" t="str">
        <x:f>IF(ISNUMBER('Data'!E549),'Data'!E549*100,"")</x:f>
      </x:c>
      <x:c r="I549" s="35"/>
      <x:c r="J549" s="35" t="str">
        <x:v>PASS</x:v>
      </x:c>
      <x:c r="K549" s="35" t="str">
        <x:v>FAIL</x:v>
      </x:c>
      <x:c r="L549" s="35" t="str">
        <x:v>NOT_RUN</x:v>
      </x:c>
      <x:c r="M549" s="35" t="str">
        <x:v>coverage unavailable or execution/compile failed</x:v>
      </x:c>
      <x:c r="N549" s="35" t="str">
        <x:v>Deepseek-flash-v4/Result/Jsoup_45/result.json</x:v>
      </x:c>
      <x:c r="O549" s="39" t="str">
        <x:f>IF(AND(G549="RECORDED",ISNUMBER(H549)),H549,"")</x:f>
      </x:c>
      <x:c r="P549" s="35" t="str">
        <x:v>NOT_AVAILABLE</x:v>
      </x:c>
      <x:c r="Q549" s="35" t="str">
        <x:v>Deepseek-flash-v4/Result/Jsoup_45/result.json</x:v>
      </x:c>
    </x:row>
    <x:row r="550">
      <x:c r="A550" s="35" t="str">
        <x:v>deepseek</x:v>
      </x:c>
      <x:c r="B550" s="35" t="str">
        <x:v>Jsoup</x:v>
      </x:c>
      <x:c r="C550" s="35" t="str">
        <x:v>Round1</x:v>
      </x:c>
      <x:c r="D550" s="35" t="str">
        <x:v>Jsoup_46</x:v>
      </x:c>
      <x:c r="E550" s="35" t="str">
        <x:v>Line</x:v>
      </x:c>
      <x:c r="F550" s="35" t="n">
        <x:v>118</x:v>
      </x:c>
      <x:c r="G550" s="35" t="str">
        <x:v>RECORDED</x:v>
      </x:c>
      <x:c r="H550" s="39" t="n">
        <x:f>IF(ISNUMBER('Data'!E550),'Data'!E550*100,"")</x:f>
        <x:v>79.66</x:v>
      </x:c>
      <x:c r="I550" s="35" t="str">
        <x:v>PASS</x:v>
      </x:c>
      <x:c r="J550" s="35" t="str">
        <x:v>PASS</x:v>
      </x:c>
      <x:c r="K550" s="35" t="str">
        <x:v>PASS</x:v>
      </x:c>
      <x:c r="L550" s="35" t="str">
        <x:v>FAIL</x:v>
      </x:c>
      <x:c r="M550" s="35" t="str">
        <x:v>numeric coverage for applicable metric</x:v>
      </x:c>
      <x:c r="N550" s="35" t="str">
        <x:v>Deepseek-flash-v4/Result/Jsoup_46/result.json</x:v>
      </x:c>
      <x:c r="O550" s="39" t="n">
        <x:f>IF(AND(G550="RECORDED",ISNUMBER(H550)),H550,"")</x:f>
        <x:v>79.66</x:v>
      </x:c>
      <x:c r="P550" s="35" t="str">
        <x:v>INCONCLUSIVE</x:v>
      </x:c>
      <x:c r="Q550" s="35" t="str">
        <x:v>Deepseek-flash-v4/Result/Jsoup_46/result.json</x:v>
      </x:c>
    </x:row>
    <x:row r="551">
      <x:c r="A551" s="35" t="str">
        <x:v>deepseek</x:v>
      </x:c>
      <x:c r="B551" s="35" t="str">
        <x:v>Jsoup</x:v>
      </x:c>
      <x:c r="C551" s="35" t="str">
        <x:v>Round1</x:v>
      </x:c>
      <x:c r="D551" s="35" t="str">
        <x:v>Jsoup_47</x:v>
      </x:c>
      <x:c r="E551" s="35" t="str">
        <x:v>Line</x:v>
      </x:c>
      <x:c r="F551" s="35"/>
      <x:c r="G551" s="35" t="str">
        <x:v>A</x:v>
      </x:c>
      <x:c r="H551" s="39" t="str">
        <x:f>IF(ISNUMBER('Data'!E551),'Data'!E551*100,"")</x:f>
      </x:c>
      <x:c r="I551" s="35"/>
      <x:c r="J551" s="35" t="str">
        <x:v>PASS</x:v>
      </x:c>
      <x:c r="K551" s="35" t="str">
        <x:v>FAIL</x:v>
      </x:c>
      <x:c r="L551" s="35" t="str">
        <x:v>NOT_RUN</x:v>
      </x:c>
      <x:c r="M551" s="35" t="str">
        <x:v>coverage unavailable or execution/compile failed</x:v>
      </x:c>
      <x:c r="N551" s="35" t="str">
        <x:v>Deepseek-flash-v4/Result/Jsoup_47/result.json</x:v>
      </x:c>
      <x:c r="O551" s="39" t="str">
        <x:f>IF(AND(G551="RECORDED",ISNUMBER(H551)),H551,"")</x:f>
      </x:c>
      <x:c r="P551" s="35" t="str">
        <x:v>NOT_AVAILABLE</x:v>
      </x:c>
      <x:c r="Q551" s="35" t="str">
        <x:v>Deepseek-flash-v4/Result/Jsoup_47/result.json</x:v>
      </x:c>
    </x:row>
    <x:row r="552">
      <x:c r="A552" s="35" t="str">
        <x:v>deepseek</x:v>
      </x:c>
      <x:c r="B552" s="35" t="str">
        <x:v>Jsoup</x:v>
      </x:c>
      <x:c r="C552" s="35" t="str">
        <x:v>Round1</x:v>
      </x:c>
      <x:c r="D552" s="35" t="str">
        <x:v>Jsoup_48</x:v>
      </x:c>
      <x:c r="E552" s="35" t="str">
        <x:v>Line</x:v>
      </x:c>
      <x:c r="F552" s="35"/>
      <x:c r="G552" s="35" t="str">
        <x:v>A</x:v>
      </x:c>
      <x:c r="H552" s="39" t="str">
        <x:f>IF(ISNUMBER('Data'!E552),'Data'!E552*100,"")</x:f>
      </x:c>
      <x:c r="I552" s="35"/>
      <x:c r="J552" s="35" t="str">
        <x:v>PASS</x:v>
      </x:c>
      <x:c r="K552" s="35" t="str">
        <x:v>FAIL</x:v>
      </x:c>
      <x:c r="L552" s="35" t="str">
        <x:v>NOT_RUN</x:v>
      </x:c>
      <x:c r="M552" s="35" t="str">
        <x:v>coverage unavailable or execution/compile failed</x:v>
      </x:c>
      <x:c r="N552" s="35" t="str">
        <x:v>Deepseek-flash-v4/Result/Jsoup_48/result.json</x:v>
      </x:c>
      <x:c r="O552" s="39" t="str">
        <x:f>IF(AND(G552="RECORDED",ISNUMBER(H552)),H552,"")</x:f>
      </x:c>
      <x:c r="P552" s="35" t="str">
        <x:v>NOT_AVAILABLE</x:v>
      </x:c>
      <x:c r="Q552" s="35" t="str">
        <x:v>Deepseek-flash-v4/Result/Jsoup_48/result.json</x:v>
      </x:c>
    </x:row>
    <x:row r="553">
      <x:c r="A553" s="35" t="str">
        <x:v>deepseek</x:v>
      </x:c>
      <x:c r="B553" s="35" t="str">
        <x:v>Jsoup</x:v>
      </x:c>
      <x:c r="C553" s="35" t="str">
        <x:v>Round1</x:v>
      </x:c>
      <x:c r="D553" s="35" t="str">
        <x:v>Jsoup_49</x:v>
      </x:c>
      <x:c r="E553" s="35" t="str">
        <x:v>Line</x:v>
      </x:c>
      <x:c r="F553" s="35"/>
      <x:c r="G553" s="35" t="str">
        <x:v>A</x:v>
      </x:c>
      <x:c r="H553" s="39" t="str">
        <x:f>IF(ISNUMBER('Data'!E553),'Data'!E553*100,"")</x:f>
      </x:c>
      <x:c r="I553" s="35"/>
      <x:c r="J553" s="35" t="str">
        <x:v>PASS</x:v>
      </x:c>
      <x:c r="K553" s="35" t="str">
        <x:v>FAIL</x:v>
      </x:c>
      <x:c r="L553" s="35" t="str">
        <x:v>NOT_RUN</x:v>
      </x:c>
      <x:c r="M553" s="35" t="str">
        <x:v>coverage unavailable or execution/compile failed</x:v>
      </x:c>
      <x:c r="N553" s="35" t="str">
        <x:v>Deepseek-flash-v4/Result/Jsoup_49/result.json</x:v>
      </x:c>
      <x:c r="O553" s="39" t="str">
        <x:f>IF(AND(G553="RECORDED",ISNUMBER(H553)),H553,"")</x:f>
      </x:c>
      <x:c r="P553" s="35" t="str">
        <x:v>NOT_AVAILABLE</x:v>
      </x:c>
      <x:c r="Q553" s="35" t="str">
        <x:v>Deepseek-flash-v4/Result/Jsoup_49/result.json</x:v>
      </x:c>
    </x:row>
    <x:row r="554">
      <x:c r="A554" s="35" t="str">
        <x:v>deepseek</x:v>
      </x:c>
      <x:c r="B554" s="35" t="str">
        <x:v>Jsoup</x:v>
      </x:c>
      <x:c r="C554" s="35" t="str">
        <x:v>Round1</x:v>
      </x:c>
      <x:c r="D554" s="35" t="str">
        <x:v>Jsoup_5</x:v>
      </x:c>
      <x:c r="E554" s="35" t="str">
        <x:v>Line</x:v>
      </x:c>
      <x:c r="F554" s="35" t="n">
        <x:v>172</x:v>
      </x:c>
      <x:c r="G554" s="35" t="str">
        <x:v>RECORDED</x:v>
      </x:c>
      <x:c r="H554" s="39" t="n">
        <x:f>IF(ISNUMBER('Data'!E554),'Data'!E554*100,"")</x:f>
        <x:v>64.53</x:v>
      </x:c>
      <x:c r="I554" s="35" t="str">
        <x:v>PASS</x:v>
      </x:c>
      <x:c r="J554" s="35" t="str">
        <x:v>PASS</x:v>
      </x:c>
      <x:c r="K554" s="35" t="str">
        <x:v>PASS</x:v>
      </x:c>
      <x:c r="L554" s="35" t="str">
        <x:v>PASS</x:v>
      </x:c>
      <x:c r="M554" s="35" t="str">
        <x:v>numeric coverage for applicable metric</x:v>
      </x:c>
      <x:c r="N554" s="35" t="str">
        <x:v>Deepseek-flash-v4/Result/Jsoup_5/result.json</x:v>
      </x:c>
      <x:c r="O554" s="39" t="n">
        <x:f>IF(AND(G554="RECORDED",ISNUMBER(H554)),H554,"")</x:f>
        <x:v>64.53</x:v>
      </x:c>
      <x:c r="P554" s="35" t="str">
        <x:v>NOT_REVEALING</x:v>
      </x:c>
      <x:c r="Q554" s="35" t="str">
        <x:v>Deepseek-flash-v4/Result/Jsoup_5/result.json</x:v>
      </x:c>
    </x:row>
    <x:row r="555">
      <x:c r="A555" s="35" t="str">
        <x:v>deepseek</x:v>
      </x:c>
      <x:c r="B555" s="35" t="str">
        <x:v>Jsoup</x:v>
      </x:c>
      <x:c r="C555" s="35" t="str">
        <x:v>Round1</x:v>
      </x:c>
      <x:c r="D555" s="35" t="str">
        <x:v>Jsoup_50</x:v>
      </x:c>
      <x:c r="E555" s="35" t="str">
        <x:v>Line</x:v>
      </x:c>
      <x:c r="F555" s="35"/>
      <x:c r="G555" s="35" t="str">
        <x:v>A</x:v>
      </x:c>
      <x:c r="H555" s="39" t="str">
        <x:f>IF(ISNUMBER('Data'!E555),'Data'!E555*100,"")</x:f>
      </x:c>
      <x:c r="I555" s="35"/>
      <x:c r="J555" s="35" t="str">
        <x:v>PASS</x:v>
      </x:c>
      <x:c r="K555" s="35" t="str">
        <x:v>FAIL</x:v>
      </x:c>
      <x:c r="L555" s="35" t="str">
        <x:v>NOT_RUN</x:v>
      </x:c>
      <x:c r="M555" s="35" t="str">
        <x:v>coverage unavailable or execution/compile failed</x:v>
      </x:c>
      <x:c r="N555" s="35" t="str">
        <x:v>Deepseek-flash-v4/Result/Jsoup_50/result.json</x:v>
      </x:c>
      <x:c r="O555" s="39" t="str">
        <x:f>IF(AND(G555="RECORDED",ISNUMBER(H555)),H555,"")</x:f>
      </x:c>
      <x:c r="P555" s="35" t="str">
        <x:v>NOT_AVAILABLE</x:v>
      </x:c>
      <x:c r="Q555" s="35" t="str">
        <x:v>Deepseek-flash-v4/Result/Jsoup_50/result.json</x:v>
      </x:c>
    </x:row>
    <x:row r="556">
      <x:c r="A556" s="35" t="str">
        <x:v>deepseek</x:v>
      </x:c>
      <x:c r="B556" s="35" t="str">
        <x:v>Jsoup</x:v>
      </x:c>
      <x:c r="C556" s="35" t="str">
        <x:v>Round1</x:v>
      </x:c>
      <x:c r="D556" s="35" t="str">
        <x:v>Jsoup_51</x:v>
      </x:c>
      <x:c r="E556" s="35" t="str">
        <x:v>Line</x:v>
      </x:c>
      <x:c r="F556" s="35" t="n">
        <x:v>195</x:v>
      </x:c>
      <x:c r="G556" s="35" t="str">
        <x:v>RECORDED</x:v>
      </x:c>
      <x:c r="H556" s="39" t="n">
        <x:f>IF(ISNUMBER('Data'!E556),'Data'!E556*100,"")</x:f>
        <x:v>96.41</x:v>
      </x:c>
      <x:c r="I556" s="35" t="str">
        <x:v>PASS</x:v>
      </x:c>
      <x:c r="J556" s="35" t="str">
        <x:v>PASS</x:v>
      </x:c>
      <x:c r="K556" s="35" t="str">
        <x:v>PASS</x:v>
      </x:c>
      <x:c r="L556" s="35" t="str">
        <x:v>FAIL</x:v>
      </x:c>
      <x:c r="M556" s="35" t="str">
        <x:v>numeric coverage for applicable metric</x:v>
      </x:c>
      <x:c r="N556" s="35" t="str">
        <x:v>Deepseek-flash-v4/Result/Jsoup_51/result.json</x:v>
      </x:c>
      <x:c r="O556" s="39" t="n">
        <x:f>IF(AND(G556="RECORDED",ISNUMBER(H556)),H556,"")</x:f>
        <x:v>96.41</x:v>
      </x:c>
      <x:c r="P556" s="35" t="str">
        <x:v>INCONCLUSIVE</x:v>
      </x:c>
      <x:c r="Q556" s="35" t="str">
        <x:v>Deepseek-flash-v4/Result/Jsoup_51/result.json</x:v>
      </x:c>
    </x:row>
    <x:row r="557">
      <x:c r="A557" s="35" t="str">
        <x:v>deepseek</x:v>
      </x:c>
      <x:c r="B557" s="35" t="str">
        <x:v>Jsoup</x:v>
      </x:c>
      <x:c r="C557" s="35" t="str">
        <x:v>Round1</x:v>
      </x:c>
      <x:c r="D557" s="35" t="str">
        <x:v>Jsoup_52</x:v>
      </x:c>
      <x:c r="E557" s="35" t="str">
        <x:v>Line</x:v>
      </x:c>
      <x:c r="F557" s="35"/>
      <x:c r="G557" s="35" t="str">
        <x:v>A</x:v>
      </x:c>
      <x:c r="H557" s="39" t="str">
        <x:f>IF(ISNUMBER('Data'!E557),'Data'!E557*100,"")</x:f>
      </x:c>
      <x:c r="I557" s="35"/>
      <x:c r="J557" s="35" t="str">
        <x:v>PASS</x:v>
      </x:c>
      <x:c r="K557" s="35" t="str">
        <x:v>FAIL</x:v>
      </x:c>
      <x:c r="L557" s="35" t="str">
        <x:v>NOT_RUN</x:v>
      </x:c>
      <x:c r="M557" s="35" t="str">
        <x:v>coverage unavailable or execution/compile failed</x:v>
      </x:c>
      <x:c r="N557" s="35" t="str">
        <x:v>Deepseek-flash-v4/Result/Jsoup_52/result.json</x:v>
      </x:c>
      <x:c r="O557" s="39" t="str">
        <x:f>IF(AND(G557="RECORDED",ISNUMBER(H557)),H557,"")</x:f>
      </x:c>
      <x:c r="P557" s="35" t="str">
        <x:v>NOT_AVAILABLE</x:v>
      </x:c>
      <x:c r="Q557" s="35" t="str">
        <x:v>Deepseek-flash-v4/Result/Jsoup_52/result.json</x:v>
      </x:c>
    </x:row>
    <x:row r="558">
      <x:c r="A558" s="35" t="str">
        <x:v>deepseek</x:v>
      </x:c>
      <x:c r="B558" s="35" t="str">
        <x:v>Jsoup</x:v>
      </x:c>
      <x:c r="C558" s="35" t="str">
        <x:v>Round1</x:v>
      </x:c>
      <x:c r="D558" s="35" t="str">
        <x:v>Jsoup_53</x:v>
      </x:c>
      <x:c r="E558" s="35" t="str">
        <x:v>Line</x:v>
      </x:c>
      <x:c r="F558" s="35" t="n">
        <x:v>130</x:v>
      </x:c>
      <x:c r="G558" s="35" t="str">
        <x:v>RECORDED</x:v>
      </x:c>
      <x:c r="H558" s="39" t="n">
        <x:f>IF(ISNUMBER('Data'!E558),'Data'!E558*100,"")</x:f>
        <x:v>90</x:v>
      </x:c>
      <x:c r="I558" s="35" t="str">
        <x:v>PASS</x:v>
      </x:c>
      <x:c r="J558" s="35" t="str">
        <x:v>PASS</x:v>
      </x:c>
      <x:c r="K558" s="35" t="str">
        <x:v>PASS</x:v>
      </x:c>
      <x:c r="L558" s="35" t="str">
        <x:v>FAIL</x:v>
      </x:c>
      <x:c r="M558" s="35" t="str">
        <x:v>numeric coverage for applicable metric</x:v>
      </x:c>
      <x:c r="N558" s="35" t="str">
        <x:v>Deepseek-flash-v4/Result/Jsoup_53/result.json</x:v>
      </x:c>
      <x:c r="O558" s="39" t="n">
        <x:f>IF(AND(G558="RECORDED",ISNUMBER(H558)),H558,"")</x:f>
        <x:v>90</x:v>
      </x:c>
      <x:c r="P558" s="35" t="str">
        <x:v>INCONCLUSIVE</x:v>
      </x:c>
      <x:c r="Q558" s="35" t="str">
        <x:v>Deepseek-flash-v4/Result/Jsoup_53/result.json</x:v>
      </x:c>
    </x:row>
    <x:row r="559">
      <x:c r="A559" s="35" t="str">
        <x:v>deepseek</x:v>
      </x:c>
      <x:c r="B559" s="35" t="str">
        <x:v>Jsoup</x:v>
      </x:c>
      <x:c r="C559" s="35" t="str">
        <x:v>Round1</x:v>
      </x:c>
      <x:c r="D559" s="35" t="str">
        <x:v>Jsoup_54</x:v>
      </x:c>
      <x:c r="E559" s="35" t="str">
        <x:v>Line</x:v>
      </x:c>
      <x:c r="F559" s="35"/>
      <x:c r="G559" s="35" t="str">
        <x:v>A</x:v>
      </x:c>
      <x:c r="H559" s="39" t="str">
        <x:f>IF(ISNUMBER('Data'!E559),'Data'!E559*100,"")</x:f>
      </x:c>
      <x:c r="I559" s="35"/>
      <x:c r="J559" s="35" t="str">
        <x:v>PASS</x:v>
      </x:c>
      <x:c r="K559" s="35" t="str">
        <x:v>FAIL</x:v>
      </x:c>
      <x:c r="L559" s="35" t="str">
        <x:v>NOT_RUN</x:v>
      </x:c>
      <x:c r="M559" s="35" t="str">
        <x:v>coverage unavailable or execution/compile failed</x:v>
      </x:c>
      <x:c r="N559" s="35" t="str">
        <x:v>Deepseek-flash-v4/Result/Jsoup_54/result.json</x:v>
      </x:c>
      <x:c r="O559" s="39" t="str">
        <x:f>IF(AND(G559="RECORDED",ISNUMBER(H559)),H559,"")</x:f>
      </x:c>
      <x:c r="P559" s="35" t="str">
        <x:v>NOT_AVAILABLE</x:v>
      </x:c>
      <x:c r="Q559" s="35" t="str">
        <x:v>Deepseek-flash-v4/Result/Jsoup_54/result.json</x:v>
      </x:c>
    </x:row>
    <x:row r="560">
      <x:c r="A560" s="35" t="str">
        <x:v>deepseek</x:v>
      </x:c>
      <x:c r="B560" s="35" t="str">
        <x:v>Jsoup</x:v>
      </x:c>
      <x:c r="C560" s="35" t="str">
        <x:v>Round1</x:v>
      </x:c>
      <x:c r="D560" s="35" t="str">
        <x:v>Jsoup_55</x:v>
      </x:c>
      <x:c r="E560" s="35" t="str">
        <x:v>Line</x:v>
      </x:c>
      <x:c r="F560" s="35"/>
      <x:c r="G560" s="35" t="str">
        <x:v>A</x:v>
      </x:c>
      <x:c r="H560" s="39" t="str">
        <x:f>IF(ISNUMBER('Data'!E560),'Data'!E560*100,"")</x:f>
      </x:c>
      <x:c r="I560" s="35"/>
      <x:c r="J560" s="35" t="str">
        <x:v>PASS</x:v>
      </x:c>
      <x:c r="K560" s="35" t="str">
        <x:v>FAIL</x:v>
      </x:c>
      <x:c r="L560" s="35" t="str">
        <x:v>NOT_RUN</x:v>
      </x:c>
      <x:c r="M560" s="35" t="str">
        <x:v>coverage unavailable or execution/compile failed</x:v>
      </x:c>
      <x:c r="N560" s="35" t="str">
        <x:v>Deepseek-flash-v4/Result/Jsoup_55/result.json</x:v>
      </x:c>
      <x:c r="O560" s="39" t="str">
        <x:f>IF(AND(G560="RECORDED",ISNUMBER(H560)),H560,"")</x:f>
      </x:c>
      <x:c r="P560" s="35" t="str">
        <x:v>NOT_AVAILABLE</x:v>
      </x:c>
      <x:c r="Q560" s="35" t="str">
        <x:v>Deepseek-flash-v4/Result/Jsoup_55/result.json</x:v>
      </x:c>
    </x:row>
    <x:row r="561">
      <x:c r="A561" s="35" t="str">
        <x:v>deepseek</x:v>
      </x:c>
      <x:c r="B561" s="35" t="str">
        <x:v>Jsoup</x:v>
      </x:c>
      <x:c r="C561" s="35" t="str">
        <x:v>Round1</x:v>
      </x:c>
      <x:c r="D561" s="35" t="str">
        <x:v>Jsoup_56</x:v>
      </x:c>
      <x:c r="E561" s="35" t="str">
        <x:v>Line</x:v>
      </x:c>
      <x:c r="F561" s="35"/>
      <x:c r="G561" s="35" t="str">
        <x:v>A</x:v>
      </x:c>
      <x:c r="H561" s="39" t="str">
        <x:f>IF(ISNUMBER('Data'!E561),'Data'!E561*100,"")</x:f>
      </x:c>
      <x:c r="I561" s="35"/>
      <x:c r="J561" s="35" t="str">
        <x:v>PASS</x:v>
      </x:c>
      <x:c r="K561" s="35" t="str">
        <x:v>FAIL</x:v>
      </x:c>
      <x:c r="L561" s="35" t="str">
        <x:v>NOT_RUN</x:v>
      </x:c>
      <x:c r="M561" s="35" t="str">
        <x:v>coverage unavailable or execution/compile failed</x:v>
      </x:c>
      <x:c r="N561" s="35" t="str">
        <x:v>Deepseek-flash-v4/Result/Jsoup_56/result.json</x:v>
      </x:c>
      <x:c r="O561" s="39" t="str">
        <x:f>IF(AND(G561="RECORDED",ISNUMBER(H561)),H561,"")</x:f>
      </x:c>
      <x:c r="P561" s="35" t="str">
        <x:v>NOT_AVAILABLE</x:v>
      </x:c>
      <x:c r="Q561" s="35" t="str">
        <x:v>Deepseek-flash-v4/Result/Jsoup_56/result.json</x:v>
      </x:c>
    </x:row>
    <x:row r="562">
      <x:c r="A562" s="35" t="str">
        <x:v>deepseek</x:v>
      </x:c>
      <x:c r="B562" s="35" t="str">
        <x:v>Jsoup</x:v>
      </x:c>
      <x:c r="C562" s="35" t="str">
        <x:v>Round1</x:v>
      </x:c>
      <x:c r="D562" s="35" t="str">
        <x:v>Jsoup_57</x:v>
      </x:c>
      <x:c r="E562" s="35" t="str">
        <x:v>Line</x:v>
      </x:c>
      <x:c r="F562" s="35" t="n">
        <x:v>127</x:v>
      </x:c>
      <x:c r="G562" s="35" t="str">
        <x:v>RECORDED</x:v>
      </x:c>
      <x:c r="H562" s="39" t="n">
        <x:f>IF(ISNUMBER('Data'!E562),'Data'!E562*100,"")</x:f>
        <x:v>94.49</x:v>
      </x:c>
      <x:c r="I562" s="35" t="str">
        <x:v>PASS</x:v>
      </x:c>
      <x:c r="J562" s="35" t="str">
        <x:v>PASS</x:v>
      </x:c>
      <x:c r="K562" s="35" t="str">
        <x:v>PASS</x:v>
      </x:c>
      <x:c r="L562" s="35" t="str">
        <x:v>PASS</x:v>
      </x:c>
      <x:c r="M562" s="35" t="str">
        <x:v>numeric coverage for applicable metric</x:v>
      </x:c>
      <x:c r="N562" s="35" t="str">
        <x:v>Deepseek-flash-v4/Result/Jsoup_57/result.json</x:v>
      </x:c>
      <x:c r="O562" s="39" t="n">
        <x:f>IF(AND(G562="RECORDED",ISNUMBER(H562)),H562,"")</x:f>
        <x:v>94.49</x:v>
      </x:c>
      <x:c r="P562" s="35" t="str">
        <x:v>NOT_REVEALING</x:v>
      </x:c>
      <x:c r="Q562" s="35" t="str">
        <x:v>Deepseek-flash-v4/Result/Jsoup_57/result.json</x:v>
      </x:c>
    </x:row>
    <x:row r="563">
      <x:c r="A563" s="35" t="str">
        <x:v>deepseek</x:v>
      </x:c>
      <x:c r="B563" s="35" t="str">
        <x:v>Jsoup</x:v>
      </x:c>
      <x:c r="C563" s="35" t="str">
        <x:v>Round1</x:v>
      </x:c>
      <x:c r="D563" s="35" t="str">
        <x:v>Jsoup_58</x:v>
      </x:c>
      <x:c r="E563" s="35" t="str">
        <x:v>Line</x:v>
      </x:c>
      <x:c r="F563" s="35" t="n">
        <x:v>127</x:v>
      </x:c>
      <x:c r="G563" s="35" t="str">
        <x:v>RECORDED</x:v>
      </x:c>
      <x:c r="H563" s="39" t="n">
        <x:f>IF(ISNUMBER('Data'!E563),'Data'!E563*100,"")</x:f>
        <x:v>96.85</x:v>
      </x:c>
      <x:c r="I563" s="35" t="str">
        <x:v>PASS</x:v>
      </x:c>
      <x:c r="J563" s="35" t="str">
        <x:v>PASS</x:v>
      </x:c>
      <x:c r="K563" s="35" t="str">
        <x:v>PASS</x:v>
      </x:c>
      <x:c r="L563" s="35" t="str">
        <x:v>FAIL</x:v>
      </x:c>
      <x:c r="M563" s="35" t="str">
        <x:v>numeric coverage for applicable metric</x:v>
      </x:c>
      <x:c r="N563" s="35" t="str">
        <x:v>Deepseek-flash-v4/Result/Jsoup_58/result.json</x:v>
      </x:c>
      <x:c r="O563" s="39" t="n">
        <x:f>IF(AND(G563="RECORDED",ISNUMBER(H563)),H563,"")</x:f>
        <x:v>96.85</x:v>
      </x:c>
      <x:c r="P563" s="35" t="str">
        <x:v>INCONCLUSIVE</x:v>
      </x:c>
      <x:c r="Q563" s="35" t="str">
        <x:v>Deepseek-flash-v4/Result/Jsoup_58/result.json</x:v>
      </x:c>
    </x:row>
    <x:row r="564">
      <x:c r="A564" s="35" t="str">
        <x:v>deepseek</x:v>
      </x:c>
      <x:c r="B564" s="35" t="str">
        <x:v>Jsoup</x:v>
      </x:c>
      <x:c r="C564" s="35" t="str">
        <x:v>Round1</x:v>
      </x:c>
      <x:c r="D564" s="35" t="str">
        <x:v>Jsoup_59</x:v>
      </x:c>
      <x:c r="E564" s="35" t="str">
        <x:v>Line</x:v>
      </x:c>
      <x:c r="F564" s="35"/>
      <x:c r="G564" s="35" t="str">
        <x:v>A</x:v>
      </x:c>
      <x:c r="H564" s="39" t="str">
        <x:f>IF(ISNUMBER('Data'!E564),'Data'!E564*100,"")</x:f>
      </x:c>
      <x:c r="I564" s="35"/>
      <x:c r="J564" s="35" t="str">
        <x:v>PASS</x:v>
      </x:c>
      <x:c r="K564" s="35" t="str">
        <x:v>FAIL</x:v>
      </x:c>
      <x:c r="L564" s="35" t="str">
        <x:v>NOT_RUN</x:v>
      </x:c>
      <x:c r="M564" s="35" t="str">
        <x:v>coverage unavailable or execution/compile failed</x:v>
      </x:c>
      <x:c r="N564" s="35" t="str">
        <x:v>Deepseek-flash-v4/Result/Jsoup_59/result.json</x:v>
      </x:c>
      <x:c r="O564" s="39" t="str">
        <x:f>IF(AND(G564="RECORDED",ISNUMBER(H564)),H564,"")</x:f>
      </x:c>
      <x:c r="P564" s="35" t="str">
        <x:v>NOT_AVAILABLE</x:v>
      </x:c>
      <x:c r="Q564" s="35" t="str">
        <x:v>Deepseek-flash-v4/Result/Jsoup_59/result.json</x:v>
      </x:c>
    </x:row>
    <x:row r="565">
      <x:c r="A565" s="35" t="str">
        <x:v>deepseek</x:v>
      </x:c>
      <x:c r="B565" s="35" t="str">
        <x:v>Jsoup</x:v>
      </x:c>
      <x:c r="C565" s="35" t="str">
        <x:v>Round1</x:v>
      </x:c>
      <x:c r="D565" s="35" t="str">
        <x:v>Jsoup_6</x:v>
      </x:c>
      <x:c r="E565" s="35" t="str">
        <x:v>Line</x:v>
      </x:c>
      <x:c r="F565" s="35"/>
      <x:c r="G565" s="35" t="str">
        <x:v>A</x:v>
      </x:c>
      <x:c r="H565" s="39" t="str">
        <x:f>IF(ISNUMBER('Data'!E565),'Data'!E565*100,"")</x:f>
      </x:c>
      <x:c r="I565" s="35"/>
      <x:c r="J565" s="35" t="str">
        <x:v>PASS</x:v>
      </x:c>
      <x:c r="K565" s="35" t="str">
        <x:v>FAIL</x:v>
      </x:c>
      <x:c r="L565" s="35" t="str">
        <x:v>NOT_RUN</x:v>
      </x:c>
      <x:c r="M565" s="35" t="str">
        <x:v>coverage unavailable or execution/compile failed</x:v>
      </x:c>
      <x:c r="N565" s="35" t="str">
        <x:v>Deepseek-flash-v4/Result/Jsoup_6/result.json</x:v>
      </x:c>
      <x:c r="O565" s="39" t="str">
        <x:f>IF(AND(G565="RECORDED",ISNUMBER(H565)),H565,"")</x:f>
      </x:c>
      <x:c r="P565" s="35" t="str">
        <x:v>NOT_AVAILABLE</x:v>
      </x:c>
      <x:c r="Q565" s="35" t="str">
        <x:v>Deepseek-flash-v4/Result/Jsoup_6/result.json</x:v>
      </x:c>
    </x:row>
    <x:row r="566">
      <x:c r="A566" s="35" t="str">
        <x:v>deepseek</x:v>
      </x:c>
      <x:c r="B566" s="35" t="str">
        <x:v>Jsoup</x:v>
      </x:c>
      <x:c r="C566" s="35" t="str">
        <x:v>Round1</x:v>
      </x:c>
      <x:c r="D566" s="35" t="str">
        <x:v>Jsoup_60</x:v>
      </x:c>
      <x:c r="E566" s="35" t="str">
        <x:v>Line</x:v>
      </x:c>
      <x:c r="F566" s="35"/>
      <x:c r="G566" s="35" t="str">
        <x:v>A</x:v>
      </x:c>
      <x:c r="H566" s="39" t="str">
        <x:f>IF(ISNUMBER('Data'!E566),'Data'!E566*100,"")</x:f>
      </x:c>
      <x:c r="I566" s="35"/>
      <x:c r="J566" s="35" t="str">
        <x:v>PASS</x:v>
      </x:c>
      <x:c r="K566" s="35" t="str">
        <x:v>FAIL</x:v>
      </x:c>
      <x:c r="L566" s="35" t="str">
        <x:v>NOT_RUN</x:v>
      </x:c>
      <x:c r="M566" s="35" t="str">
        <x:v>coverage unavailable or execution/compile failed</x:v>
      </x:c>
      <x:c r="N566" s="35" t="str">
        <x:v>Deepseek-flash-v4/Result/Jsoup_60/result.json</x:v>
      </x:c>
      <x:c r="O566" s="39" t="str">
        <x:f>IF(AND(G566="RECORDED",ISNUMBER(H566)),H566,"")</x:f>
      </x:c>
      <x:c r="P566" s="35" t="str">
        <x:v>NOT_AVAILABLE</x:v>
      </x:c>
      <x:c r="Q566" s="35" t="str">
        <x:v>Deepseek-flash-v4/Result/Jsoup_60/result.json</x:v>
      </x:c>
    </x:row>
    <x:row r="567">
      <x:c r="A567" s="35" t="str">
        <x:v>deepseek</x:v>
      </x:c>
      <x:c r="B567" s="35" t="str">
        <x:v>Jsoup</x:v>
      </x:c>
      <x:c r="C567" s="35" t="str">
        <x:v>Round1</x:v>
      </x:c>
      <x:c r="D567" s="35" t="str">
        <x:v>Jsoup_61</x:v>
      </x:c>
      <x:c r="E567" s="35" t="str">
        <x:v>Line</x:v>
      </x:c>
      <x:c r="F567" s="35"/>
      <x:c r="G567" s="35" t="str">
        <x:v>A</x:v>
      </x:c>
      <x:c r="H567" s="39" t="str">
        <x:f>IF(ISNUMBER('Data'!E567),'Data'!E567*100,"")</x:f>
      </x:c>
      <x:c r="I567" s="35"/>
      <x:c r="J567" s="35" t="str">
        <x:v>PASS</x:v>
      </x:c>
      <x:c r="K567" s="35" t="str">
        <x:v>FAIL</x:v>
      </x:c>
      <x:c r="L567" s="35" t="str">
        <x:v>NOT_RUN</x:v>
      </x:c>
      <x:c r="M567" s="35" t="str">
        <x:v>coverage unavailable or execution/compile failed</x:v>
      </x:c>
      <x:c r="N567" s="35" t="str">
        <x:v>Deepseek-flash-v4/Result/Jsoup_61/result.json</x:v>
      </x:c>
      <x:c r="O567" s="39" t="str">
        <x:f>IF(AND(G567="RECORDED",ISNUMBER(H567)),H567,"")</x:f>
      </x:c>
      <x:c r="P567" s="35" t="str">
        <x:v>NOT_AVAILABLE</x:v>
      </x:c>
      <x:c r="Q567" s="35" t="str">
        <x:v>Deepseek-flash-v4/Result/Jsoup_61/result.json</x:v>
      </x:c>
    </x:row>
    <x:row r="568">
      <x:c r="A568" s="35" t="str">
        <x:v>deepseek</x:v>
      </x:c>
      <x:c r="B568" s="35" t="str">
        <x:v>Jsoup</x:v>
      </x:c>
      <x:c r="C568" s="35" t="str">
        <x:v>Round1</x:v>
      </x:c>
      <x:c r="D568" s="35" t="str">
        <x:v>Jsoup_62</x:v>
      </x:c>
      <x:c r="E568" s="35" t="str">
        <x:v>Line</x:v>
      </x:c>
      <x:c r="F568" s="35"/>
      <x:c r="G568" s="35" t="str">
        <x:v>A</x:v>
      </x:c>
      <x:c r="H568" s="39" t="str">
        <x:f>IF(ISNUMBER('Data'!E568),'Data'!E568*100,"")</x:f>
      </x:c>
      <x:c r="I568" s="35"/>
      <x:c r="J568" s="35" t="str">
        <x:v>PASS</x:v>
      </x:c>
      <x:c r="K568" s="35" t="str">
        <x:v>FAIL</x:v>
      </x:c>
      <x:c r="L568" s="35" t="str">
        <x:v>NOT_RUN</x:v>
      </x:c>
      <x:c r="M568" s="35" t="str">
        <x:v>coverage unavailable or execution/compile failed</x:v>
      </x:c>
      <x:c r="N568" s="35" t="str">
        <x:v>Deepseek-flash-v4/Result/Jsoup_62/result.json</x:v>
      </x:c>
      <x:c r="O568" s="39" t="str">
        <x:f>IF(AND(G568="RECORDED",ISNUMBER(H568)),H568,"")</x:f>
      </x:c>
      <x:c r="P568" s="35" t="str">
        <x:v>NOT_AVAILABLE</x:v>
      </x:c>
      <x:c r="Q568" s="35" t="str">
        <x:v>Deepseek-flash-v4/Result/Jsoup_62/result.json</x:v>
      </x:c>
    </x:row>
    <x:row r="569">
      <x:c r="A569" s="35" t="str">
        <x:v>deepseek</x:v>
      </x:c>
      <x:c r="B569" s="35" t="str">
        <x:v>Jsoup</x:v>
      </x:c>
      <x:c r="C569" s="35" t="str">
        <x:v>Round1</x:v>
      </x:c>
      <x:c r="D569" s="35" t="str">
        <x:v>Jsoup_63</x:v>
      </x:c>
      <x:c r="E569" s="35" t="str">
        <x:v>Line</x:v>
      </x:c>
      <x:c r="F569" s="35"/>
      <x:c r="G569" s="35" t="str">
        <x:v>A</x:v>
      </x:c>
      <x:c r="H569" s="39" t="str">
        <x:f>IF(ISNUMBER('Data'!E569),'Data'!E569*100,"")</x:f>
      </x:c>
      <x:c r="I569" s="35"/>
      <x:c r="J569" s="35" t="str">
        <x:v>PASS</x:v>
      </x:c>
      <x:c r="K569" s="35" t="str">
        <x:v>FAIL</x:v>
      </x:c>
      <x:c r="L569" s="35" t="str">
        <x:v>NOT_RUN</x:v>
      </x:c>
      <x:c r="M569" s="35" t="str">
        <x:v>coverage unavailable or execution/compile failed</x:v>
      </x:c>
      <x:c r="N569" s="35" t="str">
        <x:v>Deepseek-flash-v4/Result/Jsoup_63/result.json</x:v>
      </x:c>
      <x:c r="O569" s="39" t="str">
        <x:f>IF(AND(G569="RECORDED",ISNUMBER(H569)),H569,"")</x:f>
      </x:c>
      <x:c r="P569" s="35" t="str">
        <x:v>NOT_AVAILABLE</x:v>
      </x:c>
      <x:c r="Q569" s="35" t="str">
        <x:v>Deepseek-flash-v4/Result/Jsoup_63/result.json</x:v>
      </x:c>
    </x:row>
    <x:row r="570">
      <x:c r="A570" s="35" t="str">
        <x:v>deepseek</x:v>
      </x:c>
      <x:c r="B570" s="35" t="str">
        <x:v>Jsoup</x:v>
      </x:c>
      <x:c r="C570" s="35" t="str">
        <x:v>Round1</x:v>
      </x:c>
      <x:c r="D570" s="35" t="str">
        <x:v>Jsoup_64</x:v>
      </x:c>
      <x:c r="E570" s="35" t="str">
        <x:v>Line</x:v>
      </x:c>
      <x:c r="F570" s="35"/>
      <x:c r="G570" s="35" t="str">
        <x:v>A</x:v>
      </x:c>
      <x:c r="H570" s="39" t="str">
        <x:f>IF(ISNUMBER('Data'!E570),'Data'!E570*100,"")</x:f>
      </x:c>
      <x:c r="I570" s="35"/>
      <x:c r="J570" s="35" t="str">
        <x:v>PASS</x:v>
      </x:c>
      <x:c r="K570" s="35" t="str">
        <x:v>FAIL</x:v>
      </x:c>
      <x:c r="L570" s="35" t="str">
        <x:v>NOT_RUN</x:v>
      </x:c>
      <x:c r="M570" s="35" t="str">
        <x:v>coverage unavailable or execution/compile failed</x:v>
      </x:c>
      <x:c r="N570" s="35" t="str">
        <x:v>Deepseek-flash-v4/Result/Jsoup_64/result.json</x:v>
      </x:c>
      <x:c r="O570" s="39" t="str">
        <x:f>IF(AND(G570="RECORDED",ISNUMBER(H570)),H570,"")</x:f>
      </x:c>
      <x:c r="P570" s="35" t="str">
        <x:v>NOT_AVAILABLE</x:v>
      </x:c>
      <x:c r="Q570" s="35" t="str">
        <x:v>Deepseek-flash-v4/Result/Jsoup_64/result.json</x:v>
      </x:c>
    </x:row>
    <x:row r="571">
      <x:c r="A571" s="35" t="str">
        <x:v>deepseek</x:v>
      </x:c>
      <x:c r="B571" s="35" t="str">
        <x:v>Jsoup</x:v>
      </x:c>
      <x:c r="C571" s="35" t="str">
        <x:v>Round1</x:v>
      </x:c>
      <x:c r="D571" s="35" t="str">
        <x:v>Jsoup_65</x:v>
      </x:c>
      <x:c r="E571" s="35" t="str">
        <x:v>Line</x:v>
      </x:c>
      <x:c r="F571" s="35"/>
      <x:c r="G571" s="35" t="str">
        <x:v>A</x:v>
      </x:c>
      <x:c r="H571" s="39" t="str">
        <x:f>IF(ISNUMBER('Data'!E571),'Data'!E571*100,"")</x:f>
      </x:c>
      <x:c r="I571" s="35"/>
      <x:c r="J571" s="35" t="str">
        <x:v>PASS</x:v>
      </x:c>
      <x:c r="K571" s="35" t="str">
        <x:v>FAIL</x:v>
      </x:c>
      <x:c r="L571" s="35" t="str">
        <x:v>NOT_RUN</x:v>
      </x:c>
      <x:c r="M571" s="35" t="str">
        <x:v>coverage unavailable or execution/compile failed</x:v>
      </x:c>
      <x:c r="N571" s="35" t="str">
        <x:v>Deepseek-flash-v4/Result/Jsoup_65/result.json</x:v>
      </x:c>
      <x:c r="O571" s="39" t="str">
        <x:f>IF(AND(G571="RECORDED",ISNUMBER(H571)),H571,"")</x:f>
      </x:c>
      <x:c r="P571" s="35" t="str">
        <x:v>NOT_AVAILABLE</x:v>
      </x:c>
      <x:c r="Q571" s="35" t="str">
        <x:v>Deepseek-flash-v4/Result/Jsoup_65/result.json</x:v>
      </x:c>
    </x:row>
    <x:row r="572">
      <x:c r="A572" s="35" t="str">
        <x:v>deepseek</x:v>
      </x:c>
      <x:c r="B572" s="35" t="str">
        <x:v>Jsoup</x:v>
      </x:c>
      <x:c r="C572" s="35" t="str">
        <x:v>Round1</x:v>
      </x:c>
      <x:c r="D572" s="35" t="str">
        <x:v>Jsoup_66</x:v>
      </x:c>
      <x:c r="E572" s="35" t="str">
        <x:v>Line</x:v>
      </x:c>
      <x:c r="F572" s="35"/>
      <x:c r="G572" s="35" t="str">
        <x:v>A</x:v>
      </x:c>
      <x:c r="H572" s="39" t="str">
        <x:f>IF(ISNUMBER('Data'!E572),'Data'!E572*100,"")</x:f>
      </x:c>
      <x:c r="I572" s="35"/>
      <x:c r="J572" s="35" t="str">
        <x:v>PASS</x:v>
      </x:c>
      <x:c r="K572" s="35" t="str">
        <x:v>FAIL</x:v>
      </x:c>
      <x:c r="L572" s="35" t="str">
        <x:v>NOT_RUN</x:v>
      </x:c>
      <x:c r="M572" s="35" t="str">
        <x:v>coverage unavailable or execution/compile failed</x:v>
      </x:c>
      <x:c r="N572" s="35" t="str">
        <x:v>Deepseek-flash-v4/Result/Jsoup_66/result.json</x:v>
      </x:c>
      <x:c r="O572" s="39" t="str">
        <x:f>IF(AND(G572="RECORDED",ISNUMBER(H572)),H572,"")</x:f>
      </x:c>
      <x:c r="P572" s="35" t="str">
        <x:v>NOT_AVAILABLE</x:v>
      </x:c>
      <x:c r="Q572" s="35" t="str">
        <x:v>Deepseek-flash-v4/Result/Jsoup_66/result.json</x:v>
      </x:c>
    </x:row>
    <x:row r="573">
      <x:c r="A573" s="35" t="str">
        <x:v>deepseek</x:v>
      </x:c>
      <x:c r="B573" s="35" t="str">
        <x:v>Jsoup</x:v>
      </x:c>
      <x:c r="C573" s="35" t="str">
        <x:v>Round1</x:v>
      </x:c>
      <x:c r="D573" s="35" t="str">
        <x:v>Jsoup_67</x:v>
      </x:c>
      <x:c r="E573" s="35" t="str">
        <x:v>Line</x:v>
      </x:c>
      <x:c r="F573" s="35"/>
      <x:c r="G573" s="35" t="str">
        <x:v>A</x:v>
      </x:c>
      <x:c r="H573" s="39" t="str">
        <x:f>IF(ISNUMBER('Data'!E573),'Data'!E573*100,"")</x:f>
      </x:c>
      <x:c r="I573" s="35"/>
      <x:c r="J573" s="35" t="str">
        <x:v>PASS</x:v>
      </x:c>
      <x:c r="K573" s="35" t="str">
        <x:v>FAIL</x:v>
      </x:c>
      <x:c r="L573" s="35" t="str">
        <x:v>NOT_RUN</x:v>
      </x:c>
      <x:c r="M573" s="35" t="str">
        <x:v>coverage unavailable or execution/compile failed</x:v>
      </x:c>
      <x:c r="N573" s="35" t="str">
        <x:v>Deepseek-flash-v4/Result/Jsoup_67/result.json</x:v>
      </x:c>
      <x:c r="O573" s="39" t="str">
        <x:f>IF(AND(G573="RECORDED",ISNUMBER(H573)),H573,"")</x:f>
      </x:c>
      <x:c r="P573" s="35" t="str">
        <x:v>NOT_AVAILABLE</x:v>
      </x:c>
      <x:c r="Q573" s="35" t="str">
        <x:v>Deepseek-flash-v4/Result/Jsoup_67/result.json</x:v>
      </x:c>
    </x:row>
    <x:row r="574">
      <x:c r="A574" s="35" t="str">
        <x:v>deepseek</x:v>
      </x:c>
      <x:c r="B574" s="35" t="str">
        <x:v>Jsoup</x:v>
      </x:c>
      <x:c r="C574" s="35" t="str">
        <x:v>Round1</x:v>
      </x:c>
      <x:c r="D574" s="35" t="str">
        <x:v>Jsoup_68</x:v>
      </x:c>
      <x:c r="E574" s="35" t="str">
        <x:v>Line</x:v>
      </x:c>
      <x:c r="F574" s="35"/>
      <x:c r="G574" s="35" t="str">
        <x:v>A</x:v>
      </x:c>
      <x:c r="H574" s="39" t="str">
        <x:f>IF(ISNUMBER('Data'!E574),'Data'!E574*100,"")</x:f>
      </x:c>
      <x:c r="I574" s="35"/>
      <x:c r="J574" s="35" t="str">
        <x:v>PASS</x:v>
      </x:c>
      <x:c r="K574" s="35" t="str">
        <x:v>FAIL</x:v>
      </x:c>
      <x:c r="L574" s="35" t="str">
        <x:v>NOT_RUN</x:v>
      </x:c>
      <x:c r="M574" s="35" t="str">
        <x:v>coverage unavailable or execution/compile failed</x:v>
      </x:c>
      <x:c r="N574" s="35" t="str">
        <x:v>Deepseek-flash-v4/Result/Jsoup_68/result.json</x:v>
      </x:c>
      <x:c r="O574" s="39" t="str">
        <x:f>IF(AND(G574="RECORDED",ISNUMBER(H574)),H574,"")</x:f>
      </x:c>
      <x:c r="P574" s="35" t="str">
        <x:v>NOT_AVAILABLE</x:v>
      </x:c>
      <x:c r="Q574" s="35" t="str">
        <x:v>Deepseek-flash-v4/Result/Jsoup_68/result.json</x:v>
      </x:c>
    </x:row>
    <x:row r="575">
      <x:c r="A575" s="35" t="str">
        <x:v>deepseek</x:v>
      </x:c>
      <x:c r="B575" s="35" t="str">
        <x:v>Jsoup</x:v>
      </x:c>
      <x:c r="C575" s="35" t="str">
        <x:v>Round1</x:v>
      </x:c>
      <x:c r="D575" s="35" t="str">
        <x:v>Jsoup_69</x:v>
      </x:c>
      <x:c r="E575" s="35" t="str">
        <x:v>Line</x:v>
      </x:c>
      <x:c r="F575" s="35" t="n">
        <x:v>38</x:v>
      </x:c>
      <x:c r="G575" s="35" t="str">
        <x:v>RECORDED</x:v>
      </x:c>
      <x:c r="H575" s="39" t="n">
        <x:f>IF(ISNUMBER('Data'!E575),'Data'!E575*100,"")</x:f>
        <x:v>92.11</x:v>
      </x:c>
      <x:c r="I575" s="35" t="str">
        <x:v>PASS</x:v>
      </x:c>
      <x:c r="J575" s="35" t="str">
        <x:v>PASS</x:v>
      </x:c>
      <x:c r="K575" s="35" t="str">
        <x:v>PASS</x:v>
      </x:c>
      <x:c r="L575" s="35" t="str">
        <x:v>FAIL</x:v>
      </x:c>
      <x:c r="M575" s="35" t="str">
        <x:v>numeric coverage for applicable metric</x:v>
      </x:c>
      <x:c r="N575" s="35" t="str">
        <x:v>Deepseek-flash-v4/Result/Jsoup_69/result.json</x:v>
      </x:c>
      <x:c r="O575" s="39" t="n">
        <x:f>IF(AND(G575="RECORDED",ISNUMBER(H575)),H575,"")</x:f>
        <x:v>92.11</x:v>
      </x:c>
      <x:c r="P575" s="35" t="str">
        <x:v>INCONCLUSIVE</x:v>
      </x:c>
      <x:c r="Q575" s="35" t="str">
        <x:v>Deepseek-flash-v4/Result/Jsoup_69/result.json</x:v>
      </x:c>
    </x:row>
    <x:row r="576">
      <x:c r="A576" s="35" t="str">
        <x:v>deepseek</x:v>
      </x:c>
      <x:c r="B576" s="35" t="str">
        <x:v>Jsoup</x:v>
      </x:c>
      <x:c r="C576" s="35" t="str">
        <x:v>Round1</x:v>
      </x:c>
      <x:c r="D576" s="35" t="str">
        <x:v>Jsoup_7</x:v>
      </x:c>
      <x:c r="E576" s="35" t="str">
        <x:v>Line</x:v>
      </x:c>
      <x:c r="F576" s="35"/>
      <x:c r="G576" s="35" t="str">
        <x:v>A</x:v>
      </x:c>
      <x:c r="H576" s="39" t="str">
        <x:f>IF(ISNUMBER('Data'!E576),'Data'!E576*100,"")</x:f>
      </x:c>
      <x:c r="I576" s="35"/>
      <x:c r="J576" s="35" t="str">
        <x:v>PASS</x:v>
      </x:c>
      <x:c r="K576" s="35" t="str">
        <x:v>FAIL</x:v>
      </x:c>
      <x:c r="L576" s="35" t="str">
        <x:v>NOT_RUN</x:v>
      </x:c>
      <x:c r="M576" s="35" t="str">
        <x:v>coverage unavailable or execution/compile failed</x:v>
      </x:c>
      <x:c r="N576" s="35" t="str">
        <x:v>Deepseek-flash-v4/Result/Jsoup_7/result.json</x:v>
      </x:c>
      <x:c r="O576" s="39" t="str">
        <x:f>IF(AND(G576="RECORDED",ISNUMBER(H576)),H576,"")</x:f>
      </x:c>
      <x:c r="P576" s="35" t="str">
        <x:v>NOT_AVAILABLE</x:v>
      </x:c>
      <x:c r="Q576" s="35" t="str">
        <x:v>Deepseek-flash-v4/Result/Jsoup_7/result.json</x:v>
      </x:c>
    </x:row>
    <x:row r="577">
      <x:c r="A577" s="35" t="str">
        <x:v>deepseek</x:v>
      </x:c>
      <x:c r="B577" s="35" t="str">
        <x:v>Jsoup</x:v>
      </x:c>
      <x:c r="C577" s="35" t="str">
        <x:v>Round1</x:v>
      </x:c>
      <x:c r="D577" s="35" t="str">
        <x:v>Jsoup_70</x:v>
      </x:c>
      <x:c r="E577" s="35" t="str">
        <x:v>Line</x:v>
      </x:c>
      <x:c r="F577" s="35"/>
      <x:c r="G577" s="35" t="str">
        <x:v>A</x:v>
      </x:c>
      <x:c r="H577" s="39" t="str">
        <x:f>IF(ISNUMBER('Data'!E577),'Data'!E577*100,"")</x:f>
      </x:c>
      <x:c r="I577" s="35"/>
      <x:c r="J577" s="35" t="str">
        <x:v>PASS</x:v>
      </x:c>
      <x:c r="K577" s="35" t="str">
        <x:v>FAIL</x:v>
      </x:c>
      <x:c r="L577" s="35" t="str">
        <x:v>NOT_RUN</x:v>
      </x:c>
      <x:c r="M577" s="35" t="str">
        <x:v>coverage unavailable or execution/compile failed</x:v>
      </x:c>
      <x:c r="N577" s="35" t="str">
        <x:v>Deepseek-flash-v4/Result/Jsoup_70/result.json</x:v>
      </x:c>
      <x:c r="O577" s="39" t="str">
        <x:f>IF(AND(G577="RECORDED",ISNUMBER(H577)),H577,"")</x:f>
      </x:c>
      <x:c r="P577" s="35" t="str">
        <x:v>NOT_AVAILABLE</x:v>
      </x:c>
      <x:c r="Q577" s="35" t="str">
        <x:v>Deepseek-flash-v4/Result/Jsoup_70/result.json</x:v>
      </x:c>
    </x:row>
    <x:row r="578">
      <x:c r="A578" s="35" t="str">
        <x:v>deepseek</x:v>
      </x:c>
      <x:c r="B578" s="35" t="str">
        <x:v>Jsoup</x:v>
      </x:c>
      <x:c r="C578" s="35" t="str">
        <x:v>Round1</x:v>
      </x:c>
      <x:c r="D578" s="35" t="str">
        <x:v>Jsoup_71</x:v>
      </x:c>
      <x:c r="E578" s="35" t="str">
        <x:v>Line</x:v>
      </x:c>
      <x:c r="F578" s="35"/>
      <x:c r="G578" s="35" t="str">
        <x:v>A</x:v>
      </x:c>
      <x:c r="H578" s="39" t="str">
        <x:f>IF(ISNUMBER('Data'!E578),'Data'!E578*100,"")</x:f>
      </x:c>
      <x:c r="I578" s="35"/>
      <x:c r="J578" s="35" t="str">
        <x:v>PASS</x:v>
      </x:c>
      <x:c r="K578" s="35" t="str">
        <x:v>FAIL</x:v>
      </x:c>
      <x:c r="L578" s="35" t="str">
        <x:v>NOT_RUN</x:v>
      </x:c>
      <x:c r="M578" s="35" t="str">
        <x:v>coverage unavailable or execution/compile failed</x:v>
      </x:c>
      <x:c r="N578" s="35" t="str">
        <x:v>Deepseek-flash-v4/Result/Jsoup_71/result.json</x:v>
      </x:c>
      <x:c r="O578" s="39" t="str">
        <x:f>IF(AND(G578="RECORDED",ISNUMBER(H578)),H578,"")</x:f>
      </x:c>
      <x:c r="P578" s="35" t="str">
        <x:v>NOT_AVAILABLE</x:v>
      </x:c>
      <x:c r="Q578" s="35" t="str">
        <x:v>Deepseek-flash-v4/Result/Jsoup_71/result.json</x:v>
      </x:c>
    </x:row>
    <x:row r="579">
      <x:c r="A579" s="35" t="str">
        <x:v>deepseek</x:v>
      </x:c>
      <x:c r="B579" s="35" t="str">
        <x:v>Jsoup</x:v>
      </x:c>
      <x:c r="C579" s="35" t="str">
        <x:v>Round1</x:v>
      </x:c>
      <x:c r="D579" s="35" t="str">
        <x:v>Jsoup_72</x:v>
      </x:c>
      <x:c r="E579" s="35" t="str">
        <x:v>Line</x:v>
      </x:c>
      <x:c r="F579" s="35" t="n">
        <x:v>228</x:v>
      </x:c>
      <x:c r="G579" s="35" t="str">
        <x:v>RECORDED</x:v>
      </x:c>
      <x:c r="H579" s="39" t="n">
        <x:f>IF(ISNUMBER('Data'!E579),'Data'!E579*100,"")</x:f>
        <x:v>94.74</x:v>
      </x:c>
      <x:c r="I579" s="35" t="str">
        <x:v>PASS</x:v>
      </x:c>
      <x:c r="J579" s="35" t="str">
        <x:v>PASS</x:v>
      </x:c>
      <x:c r="K579" s="35" t="str">
        <x:v>PASS</x:v>
      </x:c>
      <x:c r="L579" s="35" t="str">
        <x:v>FAIL</x:v>
      </x:c>
      <x:c r="M579" s="35" t="str">
        <x:v>numeric coverage for applicable metric</x:v>
      </x:c>
      <x:c r="N579" s="35" t="str">
        <x:v>Deepseek-flash-v4/Result/Jsoup_72/result.json</x:v>
      </x:c>
      <x:c r="O579" s="39" t="n">
        <x:f>IF(AND(G579="RECORDED",ISNUMBER(H579)),H579,"")</x:f>
        <x:v>94.74</x:v>
      </x:c>
      <x:c r="P579" s="35" t="str">
        <x:v>INCONCLUSIVE</x:v>
      </x:c>
      <x:c r="Q579" s="35" t="str">
        <x:v>Deepseek-flash-v4/Result/Jsoup_72/result.json</x:v>
      </x:c>
    </x:row>
    <x:row r="580">
      <x:c r="A580" s="35" t="str">
        <x:v>deepseek</x:v>
      </x:c>
      <x:c r="B580" s="35" t="str">
        <x:v>Jsoup</x:v>
      </x:c>
      <x:c r="C580" s="35" t="str">
        <x:v>Round1</x:v>
      </x:c>
      <x:c r="D580" s="35" t="str">
        <x:v>Jsoup_73</x:v>
      </x:c>
      <x:c r="E580" s="35" t="str">
        <x:v>Line</x:v>
      </x:c>
      <x:c r="F580" s="35"/>
      <x:c r="G580" s="35" t="str">
        <x:v>A</x:v>
      </x:c>
      <x:c r="H580" s="39" t="str">
        <x:f>IF(ISNUMBER('Data'!E580),'Data'!E580*100,"")</x:f>
      </x:c>
      <x:c r="I580" s="35"/>
      <x:c r="J580" s="35" t="str">
        <x:v>PASS</x:v>
      </x:c>
      <x:c r="K580" s="35" t="str">
        <x:v>FAIL</x:v>
      </x:c>
      <x:c r="L580" s="35" t="str">
        <x:v>NOT_RUN</x:v>
      </x:c>
      <x:c r="M580" s="35" t="str">
        <x:v>coverage unavailable or execution/compile failed</x:v>
      </x:c>
      <x:c r="N580" s="35" t="str">
        <x:v>Deepseek-flash-v4/Result/Jsoup_73/result.json</x:v>
      </x:c>
      <x:c r="O580" s="39" t="str">
        <x:f>IF(AND(G580="RECORDED",ISNUMBER(H580)),H580,"")</x:f>
      </x:c>
      <x:c r="P580" s="35" t="str">
        <x:v>NOT_AVAILABLE</x:v>
      </x:c>
      <x:c r="Q580" s="35" t="str">
        <x:v>Deepseek-flash-v4/Result/Jsoup_73/result.json</x:v>
      </x:c>
    </x:row>
    <x:row r="581">
      <x:c r="A581" s="35" t="str">
        <x:v>deepseek</x:v>
      </x:c>
      <x:c r="B581" s="35" t="str">
        <x:v>Jsoup</x:v>
      </x:c>
      <x:c r="C581" s="35" t="str">
        <x:v>Round1</x:v>
      </x:c>
      <x:c r="D581" s="35" t="str">
        <x:v>Jsoup_74</x:v>
      </x:c>
      <x:c r="E581" s="35" t="str">
        <x:v>Line</x:v>
      </x:c>
      <x:c r="F581" s="35" t="n">
        <x:v>83</x:v>
      </x:c>
      <x:c r="G581" s="35" t="str">
        <x:v>RECORDED</x:v>
      </x:c>
      <x:c r="H581" s="39" t="n">
        <x:f>IF(ISNUMBER('Data'!E581),'Data'!E581*100,"")</x:f>
        <x:v>91.57</x:v>
      </x:c>
      <x:c r="I581" s="35" t="str">
        <x:v>PASS</x:v>
      </x:c>
      <x:c r="J581" s="35" t="str">
        <x:v>PASS</x:v>
      </x:c>
      <x:c r="K581" s="35" t="str">
        <x:v>PASS</x:v>
      </x:c>
      <x:c r="L581" s="35" t="str">
        <x:v>FAIL</x:v>
      </x:c>
      <x:c r="M581" s="35" t="str">
        <x:v>numeric coverage for applicable metric</x:v>
      </x:c>
      <x:c r="N581" s="35" t="str">
        <x:v>Deepseek-flash-v4/Result/Jsoup_74/result.json</x:v>
      </x:c>
      <x:c r="O581" s="39" t="n">
        <x:f>IF(AND(G581="RECORDED",ISNUMBER(H581)),H581,"")</x:f>
        <x:v>91.57</x:v>
      </x:c>
      <x:c r="P581" s="35" t="str">
        <x:v>INCONCLUSIVE</x:v>
      </x:c>
      <x:c r="Q581" s="35" t="str">
        <x:v>Deepseek-flash-v4/Result/Jsoup_74/result.json</x:v>
      </x:c>
    </x:row>
    <x:row r="582">
      <x:c r="A582" s="35" t="str">
        <x:v>deepseek</x:v>
      </x:c>
      <x:c r="B582" s="35" t="str">
        <x:v>Jsoup</x:v>
      </x:c>
      <x:c r="C582" s="35" t="str">
        <x:v>Round1</x:v>
      </x:c>
      <x:c r="D582" s="35" t="str">
        <x:v>Jsoup_75</x:v>
      </x:c>
      <x:c r="E582" s="35" t="str">
        <x:v>Line</x:v>
      </x:c>
      <x:c r="F582" s="35" t="n">
        <x:v>166</x:v>
      </x:c>
      <x:c r="G582" s="35" t="str">
        <x:v>RECORDED</x:v>
      </x:c>
      <x:c r="H582" s="39" t="n">
        <x:f>IF(ISNUMBER('Data'!E582),'Data'!E582*100,"")</x:f>
        <x:v>96.99</x:v>
      </x:c>
      <x:c r="I582" s="35" t="str">
        <x:v>PASS</x:v>
      </x:c>
      <x:c r="J582" s="35" t="str">
        <x:v>PASS</x:v>
      </x:c>
      <x:c r="K582" s="35" t="str">
        <x:v>PASS</x:v>
      </x:c>
      <x:c r="L582" s="35" t="str">
        <x:v>FAIL</x:v>
      </x:c>
      <x:c r="M582" s="35" t="str">
        <x:v>numeric coverage for applicable metric</x:v>
      </x:c>
      <x:c r="N582" s="35" t="str">
        <x:v>Deepseek-flash-v4/Result/Jsoup_75/result.json</x:v>
      </x:c>
      <x:c r="O582" s="39" t="n">
        <x:f>IF(AND(G582="RECORDED",ISNUMBER(H582)),H582,"")</x:f>
        <x:v>96.99</x:v>
      </x:c>
      <x:c r="P582" s="35" t="str">
        <x:v>INCONCLUSIVE</x:v>
      </x:c>
      <x:c r="Q582" s="35" t="str">
        <x:v>Deepseek-flash-v4/Result/Jsoup_75/result.json</x:v>
      </x:c>
    </x:row>
    <x:row r="583">
      <x:c r="A583" s="35" t="str">
        <x:v>deepseek</x:v>
      </x:c>
      <x:c r="B583" s="35" t="str">
        <x:v>Jsoup</x:v>
      </x:c>
      <x:c r="C583" s="35" t="str">
        <x:v>Round1</x:v>
      </x:c>
      <x:c r="D583" s="35" t="str">
        <x:v>Jsoup_76</x:v>
      </x:c>
      <x:c r="E583" s="35" t="str">
        <x:v>Line</x:v>
      </x:c>
      <x:c r="F583" s="35"/>
      <x:c r="G583" s="35" t="str">
        <x:v>A</x:v>
      </x:c>
      <x:c r="H583" s="39" t="str">
        <x:f>IF(ISNUMBER('Data'!E583),'Data'!E583*100,"")</x:f>
      </x:c>
      <x:c r="I583" s="35"/>
      <x:c r="J583" s="35" t="str">
        <x:v>PASS</x:v>
      </x:c>
      <x:c r="K583" s="35" t="str">
        <x:v>FAIL</x:v>
      </x:c>
      <x:c r="L583" s="35" t="str">
        <x:v>NOT_RUN</x:v>
      </x:c>
      <x:c r="M583" s="35" t="str">
        <x:v>coverage unavailable or execution/compile failed</x:v>
      </x:c>
      <x:c r="N583" s="35" t="str">
        <x:v>Deepseek-flash-v4/Result/Jsoup_76/result.json</x:v>
      </x:c>
      <x:c r="O583" s="39" t="str">
        <x:f>IF(AND(G583="RECORDED",ISNUMBER(H583)),H583,"")</x:f>
      </x:c>
      <x:c r="P583" s="35" t="str">
        <x:v>NOT_AVAILABLE</x:v>
      </x:c>
      <x:c r="Q583" s="35" t="str">
        <x:v>Deepseek-flash-v4/Result/Jsoup_76/result.json</x:v>
      </x:c>
    </x:row>
    <x:row r="584">
      <x:c r="A584" s="35" t="str">
        <x:v>deepseek</x:v>
      </x:c>
      <x:c r="B584" s="35" t="str">
        <x:v>Jsoup</x:v>
      </x:c>
      <x:c r="C584" s="35" t="str">
        <x:v>Round1</x:v>
      </x:c>
      <x:c r="D584" s="35" t="str">
        <x:v>Jsoup_77</x:v>
      </x:c>
      <x:c r="E584" s="35" t="str">
        <x:v>Line</x:v>
      </x:c>
      <x:c r="F584" s="35"/>
      <x:c r="G584" s="35" t="str">
        <x:v>A</x:v>
      </x:c>
      <x:c r="H584" s="39" t="str">
        <x:f>IF(ISNUMBER('Data'!E584),'Data'!E584*100,"")</x:f>
      </x:c>
      <x:c r="I584" s="35"/>
      <x:c r="J584" s="35" t="str">
        <x:v>PASS</x:v>
      </x:c>
      <x:c r="K584" s="35" t="str">
        <x:v>FAIL</x:v>
      </x:c>
      <x:c r="L584" s="35" t="str">
        <x:v>NOT_RUN</x:v>
      </x:c>
      <x:c r="M584" s="35" t="str">
        <x:v>coverage unavailable or execution/compile failed</x:v>
      </x:c>
      <x:c r="N584" s="35" t="str">
        <x:v>Deepseek-flash-v4/Result/Jsoup_77/result.json</x:v>
      </x:c>
      <x:c r="O584" s="39" t="str">
        <x:f>IF(AND(G584="RECORDED",ISNUMBER(H584)),H584,"")</x:f>
      </x:c>
      <x:c r="P584" s="35" t="str">
        <x:v>NOT_AVAILABLE</x:v>
      </x:c>
      <x:c r="Q584" s="35" t="str">
        <x:v>Deepseek-flash-v4/Result/Jsoup_77/result.json</x:v>
      </x:c>
    </x:row>
    <x:row r="585">
      <x:c r="A585" s="35" t="str">
        <x:v>deepseek</x:v>
      </x:c>
      <x:c r="B585" s="35" t="str">
        <x:v>Jsoup</x:v>
      </x:c>
      <x:c r="C585" s="35" t="str">
        <x:v>Round1</x:v>
      </x:c>
      <x:c r="D585" s="35" t="str">
        <x:v>Jsoup_78</x:v>
      </x:c>
      <x:c r="E585" s="35" t="str">
        <x:v>Line</x:v>
      </x:c>
      <x:c r="F585" s="35" t="n">
        <x:v>109</x:v>
      </x:c>
      <x:c r="G585" s="35" t="str">
        <x:v>RECORDED</x:v>
      </x:c>
      <x:c r="H585" s="39" t="n">
        <x:f>IF(ISNUMBER('Data'!E585),'Data'!E585*100,"")</x:f>
        <x:v>75.23</x:v>
      </x:c>
      <x:c r="I585" s="35" t="str">
        <x:v>PASS</x:v>
      </x:c>
      <x:c r="J585" s="35" t="str">
        <x:v>PASS</x:v>
      </x:c>
      <x:c r="K585" s="35" t="str">
        <x:v>PASS</x:v>
      </x:c>
      <x:c r="L585" s="35" t="str">
        <x:v>FAIL</x:v>
      </x:c>
      <x:c r="M585" s="35" t="str">
        <x:v>numeric coverage for applicable metric</x:v>
      </x:c>
      <x:c r="N585" s="35" t="str">
        <x:v>Deepseek-flash-v4/Result/Jsoup_78/result.json</x:v>
      </x:c>
      <x:c r="O585" s="39" t="n">
        <x:f>IF(AND(G585="RECORDED",ISNUMBER(H585)),H585,"")</x:f>
        <x:v>75.23</x:v>
      </x:c>
      <x:c r="P585" s="35" t="str">
        <x:v>INCONCLUSIVE</x:v>
      </x:c>
      <x:c r="Q585" s="35" t="str">
        <x:v>Deepseek-flash-v4/Result/Jsoup_78/result.json</x:v>
      </x:c>
    </x:row>
    <x:row r="586">
      <x:c r="A586" s="35" t="str">
        <x:v>deepseek</x:v>
      </x:c>
      <x:c r="B586" s="35" t="str">
        <x:v>Jsoup</x:v>
      </x:c>
      <x:c r="C586" s="35" t="str">
        <x:v>Round1</x:v>
      </x:c>
      <x:c r="D586" s="35" t="str">
        <x:v>Jsoup_79</x:v>
      </x:c>
      <x:c r="E586" s="35" t="str">
        <x:v>Line</x:v>
      </x:c>
      <x:c r="F586" s="35"/>
      <x:c r="G586" s="35" t="str">
        <x:v>A</x:v>
      </x:c>
      <x:c r="H586" s="39" t="str">
        <x:f>IF(ISNUMBER('Data'!E586),'Data'!E586*100,"")</x:f>
      </x:c>
      <x:c r="I586" s="35"/>
      <x:c r="J586" s="35" t="str">
        <x:v>PASS</x:v>
      </x:c>
      <x:c r="K586" s="35" t="str">
        <x:v>FAIL</x:v>
      </x:c>
      <x:c r="L586" s="35" t="str">
        <x:v>NOT_RUN</x:v>
      </x:c>
      <x:c r="M586" s="35" t="str">
        <x:v>coverage unavailable or execution/compile failed</x:v>
      </x:c>
      <x:c r="N586" s="35" t="str">
        <x:v>Deepseek-flash-v4/Result/Jsoup_79/result.json</x:v>
      </x:c>
      <x:c r="O586" s="39" t="str">
        <x:f>IF(AND(G586="RECORDED",ISNUMBER(H586)),H586,"")</x:f>
      </x:c>
      <x:c r="P586" s="35" t="str">
        <x:v>NOT_AVAILABLE</x:v>
      </x:c>
      <x:c r="Q586" s="35" t="str">
        <x:v>Deepseek-flash-v4/Result/Jsoup_79/result.json</x:v>
      </x:c>
    </x:row>
    <x:row r="587">
      <x:c r="A587" s="35" t="str">
        <x:v>deepseek</x:v>
      </x:c>
      <x:c r="B587" s="35" t="str">
        <x:v>Jsoup</x:v>
      </x:c>
      <x:c r="C587" s="35" t="str">
        <x:v>Round1</x:v>
      </x:c>
      <x:c r="D587" s="35" t="str">
        <x:v>Jsoup_8</x:v>
      </x:c>
      <x:c r="E587" s="35" t="str">
        <x:v>Line</x:v>
      </x:c>
      <x:c r="F587" s="35"/>
      <x:c r="G587" s="35" t="str">
        <x:v>A</x:v>
      </x:c>
      <x:c r="H587" s="39" t="str">
        <x:f>IF(ISNUMBER('Data'!E587),'Data'!E587*100,"")</x:f>
      </x:c>
      <x:c r="I587" s="35"/>
      <x:c r="J587" s="35" t="str">
        <x:v>PASS</x:v>
      </x:c>
      <x:c r="K587" s="35" t="str">
        <x:v>FAIL</x:v>
      </x:c>
      <x:c r="L587" s="35" t="str">
        <x:v>NOT_RUN</x:v>
      </x:c>
      <x:c r="M587" s="35" t="str">
        <x:v>coverage unavailable or execution/compile failed</x:v>
      </x:c>
      <x:c r="N587" s="35" t="str">
        <x:v>Deepseek-flash-v4/Result/Jsoup_8/result.json</x:v>
      </x:c>
      <x:c r="O587" s="39" t="str">
        <x:f>IF(AND(G587="RECORDED",ISNUMBER(H587)),H587,"")</x:f>
      </x:c>
      <x:c r="P587" s="35" t="str">
        <x:v>NOT_AVAILABLE</x:v>
      </x:c>
      <x:c r="Q587" s="35" t="str">
        <x:v>Deepseek-flash-v4/Result/Jsoup_8/result.json</x:v>
      </x:c>
    </x:row>
    <x:row r="588">
      <x:c r="A588" s="35" t="str">
        <x:v>deepseek</x:v>
      </x:c>
      <x:c r="B588" s="35" t="str">
        <x:v>Jsoup</x:v>
      </x:c>
      <x:c r="C588" s="35" t="str">
        <x:v>Round1</x:v>
      </x:c>
      <x:c r="D588" s="35" t="str">
        <x:v>Jsoup_80</x:v>
      </x:c>
      <x:c r="E588" s="35" t="str">
        <x:v>Line</x:v>
      </x:c>
      <x:c r="F588" s="35"/>
      <x:c r="G588" s="35" t="str">
        <x:v>A</x:v>
      </x:c>
      <x:c r="H588" s="39" t="str">
        <x:f>IF(ISNUMBER('Data'!E588),'Data'!E588*100,"")</x:f>
      </x:c>
      <x:c r="I588" s="35"/>
      <x:c r="J588" s="35" t="str">
        <x:v>PASS</x:v>
      </x:c>
      <x:c r="K588" s="35" t="str">
        <x:v>FAIL</x:v>
      </x:c>
      <x:c r="L588" s="35" t="str">
        <x:v>NOT_RUN</x:v>
      </x:c>
      <x:c r="M588" s="35" t="str">
        <x:v>coverage unavailable or execution/compile failed</x:v>
      </x:c>
      <x:c r="N588" s="35" t="str">
        <x:v>Deepseek-flash-v4/Result/Jsoup_80/result.json</x:v>
      </x:c>
      <x:c r="O588" s="39" t="str">
        <x:f>IF(AND(G588="RECORDED",ISNUMBER(H588)),H588,"")</x:f>
      </x:c>
      <x:c r="P588" s="35" t="str">
        <x:v>NOT_AVAILABLE</x:v>
      </x:c>
      <x:c r="Q588" s="35" t="str">
        <x:v>Deepseek-flash-v4/Result/Jsoup_80/result.json</x:v>
      </x:c>
    </x:row>
    <x:row r="589">
      <x:c r="A589" s="35" t="str">
        <x:v>deepseek</x:v>
      </x:c>
      <x:c r="B589" s="35" t="str">
        <x:v>Jsoup</x:v>
      </x:c>
      <x:c r="C589" s="35" t="str">
        <x:v>Round1</x:v>
      </x:c>
      <x:c r="D589" s="35" t="str">
        <x:v>Jsoup_81</x:v>
      </x:c>
      <x:c r="E589" s="35" t="str">
        <x:v>Line</x:v>
      </x:c>
      <x:c r="F589" s="35"/>
      <x:c r="G589" s="35" t="str">
        <x:v>A</x:v>
      </x:c>
      <x:c r="H589" s="39" t="str">
        <x:f>IF(ISNUMBER('Data'!E589),'Data'!E589*100,"")</x:f>
      </x:c>
      <x:c r="I589" s="35"/>
      <x:c r="J589" s="35" t="str">
        <x:v>PASS</x:v>
      </x:c>
      <x:c r="K589" s="35" t="str">
        <x:v>FAIL</x:v>
      </x:c>
      <x:c r="L589" s="35" t="str">
        <x:v>NOT_RUN</x:v>
      </x:c>
      <x:c r="M589" s="35" t="str">
        <x:v>coverage unavailable or execution/compile failed</x:v>
      </x:c>
      <x:c r="N589" s="35" t="str">
        <x:v>Deepseek-flash-v4/Result/Jsoup_81/result.json</x:v>
      </x:c>
      <x:c r="O589" s="39" t="str">
        <x:f>IF(AND(G589="RECORDED",ISNUMBER(H589)),H589,"")</x:f>
      </x:c>
      <x:c r="P589" s="35" t="str">
        <x:v>NOT_AVAILABLE</x:v>
      </x:c>
      <x:c r="Q589" s="35" t="str">
        <x:v>Deepseek-flash-v4/Result/Jsoup_81/result.json</x:v>
      </x:c>
    </x:row>
    <x:row r="590">
      <x:c r="A590" s="35" t="str">
        <x:v>deepseek</x:v>
      </x:c>
      <x:c r="B590" s="35" t="str">
        <x:v>Jsoup</x:v>
      </x:c>
      <x:c r="C590" s="35" t="str">
        <x:v>Round1</x:v>
      </x:c>
      <x:c r="D590" s="35" t="str">
        <x:v>Jsoup_82</x:v>
      </x:c>
      <x:c r="E590" s="35" t="str">
        <x:v>Line</x:v>
      </x:c>
      <x:c r="F590" s="35" t="n">
        <x:v>113</x:v>
      </x:c>
      <x:c r="G590" s="35" t="str">
        <x:v>RECORDED</x:v>
      </x:c>
      <x:c r="H590" s="39" t="n">
        <x:f>IF(ISNUMBER('Data'!E590),'Data'!E590*100,"")</x:f>
        <x:v>79.65</x:v>
      </x:c>
      <x:c r="I590" s="35" t="str">
        <x:v>PASS</x:v>
      </x:c>
      <x:c r="J590" s="35" t="str">
        <x:v>PASS</x:v>
      </x:c>
      <x:c r="K590" s="35" t="str">
        <x:v>PASS</x:v>
      </x:c>
      <x:c r="L590" s="35" t="str">
        <x:v>FAIL</x:v>
      </x:c>
      <x:c r="M590" s="35" t="str">
        <x:v>numeric coverage for applicable metric</x:v>
      </x:c>
      <x:c r="N590" s="35" t="str">
        <x:v>Deepseek-flash-v4/Result/Jsoup_82/result.json</x:v>
      </x:c>
      <x:c r="O590" s="39" t="n">
        <x:f>IF(AND(G590="RECORDED",ISNUMBER(H590)),H590,"")</x:f>
        <x:v>79.65</x:v>
      </x:c>
      <x:c r="P590" s="35" t="str">
        <x:v>INCONCLUSIVE</x:v>
      </x:c>
      <x:c r="Q590" s="35" t="str">
        <x:v>Deepseek-flash-v4/Result/Jsoup_82/result.json</x:v>
      </x:c>
    </x:row>
    <x:row r="591">
      <x:c r="A591" s="35" t="str">
        <x:v>deepseek</x:v>
      </x:c>
      <x:c r="B591" s="35" t="str">
        <x:v>Jsoup</x:v>
      </x:c>
      <x:c r="C591" s="35" t="str">
        <x:v>Round1</x:v>
      </x:c>
      <x:c r="D591" s="35" t="str">
        <x:v>Jsoup_83</x:v>
      </x:c>
      <x:c r="E591" s="35" t="str">
        <x:v>Line</x:v>
      </x:c>
      <x:c r="F591" s="35"/>
      <x:c r="G591" s="35" t="str">
        <x:v>A</x:v>
      </x:c>
      <x:c r="H591" s="39" t="str">
        <x:f>IF(ISNUMBER('Data'!E591),'Data'!E591*100,"")</x:f>
      </x:c>
      <x:c r="I591" s="35"/>
      <x:c r="J591" s="35" t="str">
        <x:v>PASS</x:v>
      </x:c>
      <x:c r="K591" s="35" t="str">
        <x:v>FAIL</x:v>
      </x:c>
      <x:c r="L591" s="35" t="str">
        <x:v>NOT_RUN</x:v>
      </x:c>
      <x:c r="M591" s="35" t="str">
        <x:v>coverage unavailable or execution/compile failed</x:v>
      </x:c>
      <x:c r="N591" s="35" t="str">
        <x:v>Deepseek-flash-v4/Result/Jsoup_83/result.json</x:v>
      </x:c>
      <x:c r="O591" s="39" t="str">
        <x:f>IF(AND(G591="RECORDED",ISNUMBER(H591)),H591,"")</x:f>
      </x:c>
      <x:c r="P591" s="35" t="str">
        <x:v>NOT_AVAILABLE</x:v>
      </x:c>
      <x:c r="Q591" s="35" t="str">
        <x:v>Deepseek-flash-v4/Result/Jsoup_83/result.json</x:v>
      </x:c>
    </x:row>
    <x:row r="592">
      <x:c r="A592" s="35" t="str">
        <x:v>deepseek</x:v>
      </x:c>
      <x:c r="B592" s="35" t="str">
        <x:v>Jsoup</x:v>
      </x:c>
      <x:c r="C592" s="35" t="str">
        <x:v>Round1</x:v>
      </x:c>
      <x:c r="D592" s="35" t="str">
        <x:v>Jsoup_84</x:v>
      </x:c>
      <x:c r="E592" s="35" t="str">
        <x:v>Line</x:v>
      </x:c>
      <x:c r="F592" s="35"/>
      <x:c r="G592" s="35" t="str">
        <x:v>A</x:v>
      </x:c>
      <x:c r="H592" s="39" t="str">
        <x:f>IF(ISNUMBER('Data'!E592),'Data'!E592*100,"")</x:f>
      </x:c>
      <x:c r="I592" s="35"/>
      <x:c r="J592" s="35" t="str">
        <x:v>PASS</x:v>
      </x:c>
      <x:c r="K592" s="35" t="str">
        <x:v>FAIL</x:v>
      </x:c>
      <x:c r="L592" s="35" t="str">
        <x:v>NOT_RUN</x:v>
      </x:c>
      <x:c r="M592" s="35" t="str">
        <x:v>coverage unavailable or execution/compile failed</x:v>
      </x:c>
      <x:c r="N592" s="35" t="str">
        <x:v>Deepseek-flash-v4/Result/Jsoup_84/result.json</x:v>
      </x:c>
      <x:c r="O592" s="39" t="str">
        <x:f>IF(AND(G592="RECORDED",ISNUMBER(H592)),H592,"")</x:f>
      </x:c>
      <x:c r="P592" s="35" t="str">
        <x:v>NOT_AVAILABLE</x:v>
      </x:c>
      <x:c r="Q592" s="35" t="str">
        <x:v>Deepseek-flash-v4/Result/Jsoup_84/result.json</x:v>
      </x:c>
    </x:row>
    <x:row r="593">
      <x:c r="A593" s="35" t="str">
        <x:v>deepseek</x:v>
      </x:c>
      <x:c r="B593" s="35" t="str">
        <x:v>Jsoup</x:v>
      </x:c>
      <x:c r="C593" s="35" t="str">
        <x:v>Round1</x:v>
      </x:c>
      <x:c r="D593" s="35" t="str">
        <x:v>Jsoup_85</x:v>
      </x:c>
      <x:c r="E593" s="35" t="str">
        <x:v>Line</x:v>
      </x:c>
      <x:c r="F593" s="35" t="n">
        <x:v>65</x:v>
      </x:c>
      <x:c r="G593" s="35" t="str">
        <x:v>RECORDED</x:v>
      </x:c>
      <x:c r="H593" s="39" t="n">
        <x:f>IF(ISNUMBER('Data'!E593),'Data'!E593*100,"")</x:f>
        <x:v>90.77</x:v>
      </x:c>
      <x:c r="I593" s="35" t="str">
        <x:v>PASS</x:v>
      </x:c>
      <x:c r="J593" s="35" t="str">
        <x:v>PASS</x:v>
      </x:c>
      <x:c r="K593" s="35" t="str">
        <x:v>PASS</x:v>
      </x:c>
      <x:c r="L593" s="35" t="str">
        <x:v>FAIL</x:v>
      </x:c>
      <x:c r="M593" s="35" t="str">
        <x:v>numeric coverage for applicable metric</x:v>
      </x:c>
      <x:c r="N593" s="35" t="str">
        <x:v>Deepseek-flash-v4/Result/Jsoup_85/result.json</x:v>
      </x:c>
      <x:c r="O593" s="39" t="n">
        <x:f>IF(AND(G593="RECORDED",ISNUMBER(H593)),H593,"")</x:f>
        <x:v>90.77</x:v>
      </x:c>
      <x:c r="P593" s="35" t="str">
        <x:v>INCONCLUSIVE</x:v>
      </x:c>
      <x:c r="Q593" s="35" t="str">
        <x:v>Deepseek-flash-v4/Result/Jsoup_85/result.json</x:v>
      </x:c>
    </x:row>
    <x:row r="594">
      <x:c r="A594" s="35" t="str">
        <x:v>deepseek</x:v>
      </x:c>
      <x:c r="B594" s="35" t="str">
        <x:v>Jsoup</x:v>
      </x:c>
      <x:c r="C594" s="35" t="str">
        <x:v>Round1</x:v>
      </x:c>
      <x:c r="D594" s="35" t="str">
        <x:v>Jsoup_86</x:v>
      </x:c>
      <x:c r="E594" s="35" t="str">
        <x:v>Line</x:v>
      </x:c>
      <x:c r="F594" s="35" t="n">
        <x:v>27</x:v>
      </x:c>
      <x:c r="G594" s="35" t="str">
        <x:v>RECORDED</x:v>
      </x:c>
      <x:c r="H594" s="39" t="n">
        <x:f>IF(ISNUMBER('Data'!E594),'Data'!E594*100,"")</x:f>
        <x:v>92.59</x:v>
      </x:c>
      <x:c r="I594" s="35" t="str">
        <x:v>PASS</x:v>
      </x:c>
      <x:c r="J594" s="35" t="str">
        <x:v>PASS</x:v>
      </x:c>
      <x:c r="K594" s="35" t="str">
        <x:v>PASS</x:v>
      </x:c>
      <x:c r="L594" s="35" t="str">
        <x:v>FAIL</x:v>
      </x:c>
      <x:c r="M594" s="35" t="str">
        <x:v>numeric coverage for applicable metric</x:v>
      </x:c>
      <x:c r="N594" s="35" t="str">
        <x:v>Deepseek-flash-v4/Result/Jsoup_86/result.json</x:v>
      </x:c>
      <x:c r="O594" s="39" t="n">
        <x:f>IF(AND(G594="RECORDED",ISNUMBER(H594)),H594,"")</x:f>
        <x:v>92.59</x:v>
      </x:c>
      <x:c r="P594" s="35" t="str">
        <x:v>INCONCLUSIVE</x:v>
      </x:c>
      <x:c r="Q594" s="35" t="str">
        <x:v>Deepseek-flash-v4/Result/Jsoup_86/result.json</x:v>
      </x:c>
    </x:row>
    <x:row r="595">
      <x:c r="A595" s="35" t="str">
        <x:v>deepseek</x:v>
      </x:c>
      <x:c r="B595" s="35" t="str">
        <x:v>Jsoup</x:v>
      </x:c>
      <x:c r="C595" s="35" t="str">
        <x:v>Round1</x:v>
      </x:c>
      <x:c r="D595" s="35" t="str">
        <x:v>Jsoup_87</x:v>
      </x:c>
      <x:c r="E595" s="35" t="str">
        <x:v>Line</x:v>
      </x:c>
      <x:c r="F595" s="35"/>
      <x:c r="G595" s="35" t="str">
        <x:v>A</x:v>
      </x:c>
      <x:c r="H595" s="39" t="str">
        <x:f>IF(ISNUMBER('Data'!E595),'Data'!E595*100,"")</x:f>
      </x:c>
      <x:c r="I595" s="35"/>
      <x:c r="J595" s="35" t="str">
        <x:v>PASS</x:v>
      </x:c>
      <x:c r="K595" s="35" t="str">
        <x:v>FAIL</x:v>
      </x:c>
      <x:c r="L595" s="35" t="str">
        <x:v>NOT_RUN</x:v>
      </x:c>
      <x:c r="M595" s="35" t="str">
        <x:v>coverage unavailable or execution/compile failed</x:v>
      </x:c>
      <x:c r="N595" s="35" t="str">
        <x:v>Deepseek-flash-v4/Result/Jsoup_87/result.json</x:v>
      </x:c>
      <x:c r="O595" s="39" t="str">
        <x:f>IF(AND(G595="RECORDED",ISNUMBER(H595)),H595,"")</x:f>
      </x:c>
      <x:c r="P595" s="35" t="str">
        <x:v>NOT_AVAILABLE</x:v>
      </x:c>
      <x:c r="Q595" s="35" t="str">
        <x:v>Deepseek-flash-v4/Result/Jsoup_87/result.json</x:v>
      </x:c>
    </x:row>
    <x:row r="596">
      <x:c r="A596" s="35" t="str">
        <x:v>deepseek</x:v>
      </x:c>
      <x:c r="B596" s="35" t="str">
        <x:v>Jsoup</x:v>
      </x:c>
      <x:c r="C596" s="35" t="str">
        <x:v>Round1</x:v>
      </x:c>
      <x:c r="D596" s="35" t="str">
        <x:v>Jsoup_88</x:v>
      </x:c>
      <x:c r="E596" s="35" t="str">
        <x:v>Line</x:v>
      </x:c>
      <x:c r="F596" s="35" t="n">
        <x:v>66</x:v>
      </x:c>
      <x:c r="G596" s="35" t="str">
        <x:v>RECORDED</x:v>
      </x:c>
      <x:c r="H596" s="39" t="n">
        <x:f>IF(ISNUMBER('Data'!E596),'Data'!E596*100,"")</x:f>
        <x:v>87.88</x:v>
      </x:c>
      <x:c r="I596" s="35" t="str">
        <x:v>PASS</x:v>
      </x:c>
      <x:c r="J596" s="35" t="str">
        <x:v>PASS</x:v>
      </x:c>
      <x:c r="K596" s="35" t="str">
        <x:v>PASS</x:v>
      </x:c>
      <x:c r="L596" s="35" t="str">
        <x:v>PASS</x:v>
      </x:c>
      <x:c r="M596" s="35" t="str">
        <x:v>numeric coverage for applicable metric</x:v>
      </x:c>
      <x:c r="N596" s="35" t="str">
        <x:v>Deepseek-flash-v4/Result/Jsoup_88/result.json</x:v>
      </x:c>
      <x:c r="O596" s="39" t="n">
        <x:f>IF(AND(G596="RECORDED",ISNUMBER(H596)),H596,"")</x:f>
        <x:v>87.88</x:v>
      </x:c>
      <x:c r="P596" s="35" t="str">
        <x:v>NOT_REVEALING</x:v>
      </x:c>
      <x:c r="Q596" s="35" t="str">
        <x:v>Deepseek-flash-v4/Result/Jsoup_88/result.json</x:v>
      </x:c>
    </x:row>
    <x:row r="597">
      <x:c r="A597" s="35" t="str">
        <x:v>deepseek</x:v>
      </x:c>
      <x:c r="B597" s="35" t="str">
        <x:v>Jsoup</x:v>
      </x:c>
      <x:c r="C597" s="35" t="str">
        <x:v>Round1</x:v>
      </x:c>
      <x:c r="D597" s="35" t="str">
        <x:v>Jsoup_89</x:v>
      </x:c>
      <x:c r="E597" s="35" t="str">
        <x:v>Line</x:v>
      </x:c>
      <x:c r="F597" s="35" t="n">
        <x:v>66</x:v>
      </x:c>
      <x:c r="G597" s="35" t="str">
        <x:v>RECORDED</x:v>
      </x:c>
      <x:c r="H597" s="39" t="n">
        <x:f>IF(ISNUMBER('Data'!E597),'Data'!E597*100,"")</x:f>
        <x:v>89.39</x:v>
      </x:c>
      <x:c r="I597" s="35" t="str">
        <x:v>PASS</x:v>
      </x:c>
      <x:c r="J597" s="35" t="str">
        <x:v>PASS</x:v>
      </x:c>
      <x:c r="K597" s="35" t="str">
        <x:v>PASS</x:v>
      </x:c>
      <x:c r="L597" s="35" t="str">
        <x:v>FAIL</x:v>
      </x:c>
      <x:c r="M597" s="35" t="str">
        <x:v>numeric coverage for applicable metric</x:v>
      </x:c>
      <x:c r="N597" s="35" t="str">
        <x:v>Deepseek-flash-v4/Result/Jsoup_89/result.json</x:v>
      </x:c>
      <x:c r="O597" s="39" t="n">
        <x:f>IF(AND(G597="RECORDED",ISNUMBER(H597)),H597,"")</x:f>
        <x:v>89.39</x:v>
      </x:c>
      <x:c r="P597" s="35" t="str">
        <x:v>INCONCLUSIVE</x:v>
      </x:c>
      <x:c r="Q597" s="35" t="str">
        <x:v>Deepseek-flash-v4/Result/Jsoup_89/result.json</x:v>
      </x:c>
    </x:row>
    <x:row r="598">
      <x:c r="A598" s="35" t="str">
        <x:v>deepseek</x:v>
      </x:c>
      <x:c r="B598" s="35" t="str">
        <x:v>Jsoup</x:v>
      </x:c>
      <x:c r="C598" s="35" t="str">
        <x:v>Round1</x:v>
      </x:c>
      <x:c r="D598" s="35" t="str">
        <x:v>Jsoup_9</x:v>
      </x:c>
      <x:c r="E598" s="35" t="str">
        <x:v>Line</x:v>
      </x:c>
      <x:c r="F598" s="35"/>
      <x:c r="G598" s="35" t="str">
        <x:v>A</x:v>
      </x:c>
      <x:c r="H598" s="39" t="str">
        <x:f>IF(ISNUMBER('Data'!E598),'Data'!E598*100,"")</x:f>
      </x:c>
      <x:c r="I598" s="35" t="str">
        <x:v>FAIL</x:v>
      </x:c>
      <x:c r="J598" s="35" t="str">
        <x:v>PASS</x:v>
      </x:c>
      <x:c r="K598" s="35" t="str">
        <x:v>PASS</x:v>
      </x:c>
      <x:c r="L598" s="35" t="str">
        <x:v>PASS</x:v>
      </x:c>
      <x:c r="M598" s="35" t="str">
        <x:v>coverage unavailable or execution/compile failed</x:v>
      </x:c>
      <x:c r="N598" s="35" t="str">
        <x:v>Deepseek-flash-v4/Result/Jsoup_9/result.json</x:v>
      </x:c>
      <x:c r="O598" s="39" t="str">
        <x:f>IF(AND(G598="RECORDED",ISNUMBER(H598)),H598,"")</x:f>
      </x:c>
      <x:c r="P598" s="35" t="str">
        <x:v>NOT_AVAILABLE</x:v>
      </x:c>
      <x:c r="Q598" s="35" t="str">
        <x:v>Deepseek-flash-v4/Result/Jsoup_9/result.json</x:v>
      </x:c>
    </x:row>
    <x:row r="599">
      <x:c r="A599" s="35" t="str">
        <x:v>deepseek</x:v>
      </x:c>
      <x:c r="B599" s="35" t="str">
        <x:v>Jsoup</x:v>
      </x:c>
      <x:c r="C599" s="35" t="str">
        <x:v>Round1</x:v>
      </x:c>
      <x:c r="D599" s="35" t="str">
        <x:v>Jsoup_90</x:v>
      </x:c>
      <x:c r="E599" s="35" t="str">
        <x:v>Line</x:v>
      </x:c>
      <x:c r="F599" s="35"/>
      <x:c r="G599" s="35" t="str">
        <x:v>A</x:v>
      </x:c>
      <x:c r="H599" s="39" t="str">
        <x:f>IF(ISNUMBER('Data'!E599),'Data'!E599*100,"")</x:f>
      </x:c>
      <x:c r="I599" s="35"/>
      <x:c r="J599" s="35" t="str">
        <x:v>PASS</x:v>
      </x:c>
      <x:c r="K599" s="35" t="str">
        <x:v>FAIL</x:v>
      </x:c>
      <x:c r="L599" s="35" t="str">
        <x:v>NOT_RUN</x:v>
      </x:c>
      <x:c r="M599" s="35" t="str">
        <x:v>coverage unavailable or execution/compile failed</x:v>
      </x:c>
      <x:c r="N599" s="35" t="str">
        <x:v>Deepseek-flash-v4/Result/Jsoup_90/result.json</x:v>
      </x:c>
      <x:c r="O599" s="39" t="str">
        <x:f>IF(AND(G599="RECORDED",ISNUMBER(H599)),H599,"")</x:f>
      </x:c>
      <x:c r="P599" s="35" t="str">
        <x:v>NOT_AVAILABLE</x:v>
      </x:c>
      <x:c r="Q599" s="35" t="str">
        <x:v>Deepseek-flash-v4/Result/Jsoup_90/result.json</x:v>
      </x:c>
    </x:row>
    <x:row r="600">
      <x:c r="A600" s="35" t="str">
        <x:v>deepseek</x:v>
      </x:c>
      <x:c r="B600" s="35" t="str">
        <x:v>Jsoup</x:v>
      </x:c>
      <x:c r="C600" s="35" t="str">
        <x:v>Round1</x:v>
      </x:c>
      <x:c r="D600" s="35" t="str">
        <x:v>Jsoup_91</x:v>
      </x:c>
      <x:c r="E600" s="35" t="str">
        <x:v>Line</x:v>
      </x:c>
      <x:c r="F600" s="35" t="n">
        <x:v>249</x:v>
      </x:c>
      <x:c r="G600" s="35" t="str">
        <x:v>RECORDED</x:v>
      </x:c>
      <x:c r="H600" s="39" t="n">
        <x:f>IF(ISNUMBER('Data'!E600),'Data'!E600*100,"")</x:f>
        <x:v>94.78</x:v>
      </x:c>
      <x:c r="I600" s="35" t="str">
        <x:v>PASS</x:v>
      </x:c>
      <x:c r="J600" s="35" t="str">
        <x:v>PASS</x:v>
      </x:c>
      <x:c r="K600" s="35" t="str">
        <x:v>PASS</x:v>
      </x:c>
      <x:c r="L600" s="35" t="str">
        <x:v>PASS</x:v>
      </x:c>
      <x:c r="M600" s="35" t="str">
        <x:v>numeric coverage for applicable metric</x:v>
      </x:c>
      <x:c r="N600" s="35" t="str">
        <x:v>Deepseek-flash-v4/Result/Jsoup_91/result.json</x:v>
      </x:c>
      <x:c r="O600" s="39" t="n">
        <x:f>IF(AND(G600="RECORDED",ISNUMBER(H600)),H600,"")</x:f>
        <x:v>94.78</x:v>
      </x:c>
      <x:c r="P600" s="35" t="str">
        <x:v>NOT_AVAILABLE</x:v>
      </x:c>
      <x:c r="Q600" s="35" t="str">
        <x:v>Deepseek-flash-v4/Result/Jsoup_91/result.json</x:v>
      </x:c>
    </x:row>
    <x:row r="601">
      <x:c r="A601" s="35" t="str">
        <x:v>deepseek</x:v>
      </x:c>
      <x:c r="B601" s="35" t="str">
        <x:v>Jsoup</x:v>
      </x:c>
      <x:c r="C601" s="35" t="str">
        <x:v>Round1</x:v>
      </x:c>
      <x:c r="D601" s="35" t="str">
        <x:v>Jsoup_92</x:v>
      </x:c>
      <x:c r="E601" s="35" t="str">
        <x:v>Line</x:v>
      </x:c>
      <x:c r="F601" s="35"/>
      <x:c r="G601" s="35" t="str">
        <x:v>A</x:v>
      </x:c>
      <x:c r="H601" s="39" t="str">
        <x:f>IF(ISNUMBER('Data'!E601),'Data'!E601*100,"")</x:f>
      </x:c>
      <x:c r="I601" s="35"/>
      <x:c r="J601" s="35" t="str">
        <x:v>PASS</x:v>
      </x:c>
      <x:c r="K601" s="35" t="str">
        <x:v>FAIL</x:v>
      </x:c>
      <x:c r="L601" s="35" t="str">
        <x:v>NOT_RUN</x:v>
      </x:c>
      <x:c r="M601" s="35" t="str">
        <x:v>coverage unavailable or execution/compile failed</x:v>
      </x:c>
      <x:c r="N601" s="35" t="str">
        <x:v>Deepseek-flash-v4/Result/Jsoup_92/result.json</x:v>
      </x:c>
      <x:c r="O601" s="39" t="str">
        <x:f>IF(AND(G601="RECORDED",ISNUMBER(H601)),H601,"")</x:f>
      </x:c>
      <x:c r="P601" s="35" t="str">
        <x:v>NOT_AVAILABLE</x:v>
      </x:c>
      <x:c r="Q601" s="35" t="str">
        <x:v>Deepseek-flash-v4/Result/Jsoup_92/result.json</x:v>
      </x:c>
    </x:row>
    <x:row r="602">
      <x:c r="A602" s="35" t="str">
        <x:v>deepseek</x:v>
      </x:c>
      <x:c r="B602" s="35" t="str">
        <x:v>Jsoup</x:v>
      </x:c>
      <x:c r="C602" s="35" t="str">
        <x:v>Round1</x:v>
      </x:c>
      <x:c r="D602" s="35" t="str">
        <x:v>Jsoup_93</x:v>
      </x:c>
      <x:c r="E602" s="35" t="str">
        <x:v>Line</x:v>
      </x:c>
      <x:c r="F602" s="35"/>
      <x:c r="G602" s="35" t="str">
        <x:v>A</x:v>
      </x:c>
      <x:c r="H602" s="39" t="str">
        <x:f>IF(ISNUMBER('Data'!E602),'Data'!E602*100,"")</x:f>
      </x:c>
      <x:c r="I602" s="35"/>
      <x:c r="J602" s="35" t="str">
        <x:v>PASS</x:v>
      </x:c>
      <x:c r="K602" s="35" t="str">
        <x:v>FAIL</x:v>
      </x:c>
      <x:c r="L602" s="35" t="str">
        <x:v>NOT_RUN</x:v>
      </x:c>
      <x:c r="M602" s="35" t="str">
        <x:v>coverage unavailable or execution/compile failed</x:v>
      </x:c>
      <x:c r="N602" s="35" t="str">
        <x:v>Deepseek-flash-v4/Result/Jsoup_93/result.json</x:v>
      </x:c>
      <x:c r="O602" s="39" t="str">
        <x:f>IF(AND(G602="RECORDED",ISNUMBER(H602)),H602,"")</x:f>
      </x:c>
      <x:c r="P602" s="35" t="str">
        <x:v>NOT_AVAILABLE</x:v>
      </x:c>
      <x:c r="Q602" s="35" t="str">
        <x:v>Deepseek-flash-v4/Result/Jsoup_93/result.json</x:v>
      </x:c>
    </x:row>
    <x:row r="603">
      <x:c r="A603" s="35" t="str">
        <x:v>deepseek</x:v>
      </x:c>
      <x:c r="B603" s="35" t="str">
        <x:v>JxPath</x:v>
      </x:c>
      <x:c r="C603" s="35" t="str">
        <x:v>Round1</x:v>
      </x:c>
      <x:c r="D603" s="35" t="str">
        <x:v>JxPath_1</x:v>
      </x:c>
      <x:c r="E603" s="35" t="str">
        <x:v>Line</x:v>
      </x:c>
      <x:c r="F603" s="35"/>
      <x:c r="G603" s="35" t="str">
        <x:v>A</x:v>
      </x:c>
      <x:c r="H603" s="39" t="str">
        <x:f>IF(ISNUMBER('Data'!E603),'Data'!E603*100,"")</x:f>
      </x:c>
      <x:c r="I603" s="35"/>
      <x:c r="J603" s="35" t="str">
        <x:v>PASS</x:v>
      </x:c>
      <x:c r="K603" s="35" t="str">
        <x:v>FAIL</x:v>
      </x:c>
      <x:c r="L603" s="35" t="str">
        <x:v>NOT_RUN</x:v>
      </x:c>
      <x:c r="M603" s="35" t="str">
        <x:v>coverage unavailable or execution/compile failed</x:v>
      </x:c>
      <x:c r="N603" s="35" t="str">
        <x:v>Deepseek-flash-v4/Result/JxPath_1/result.json</x:v>
      </x:c>
      <x:c r="O603" s="39" t="str">
        <x:f>IF(AND(G603="RECORDED",ISNUMBER(H603)),H603,"")</x:f>
      </x:c>
      <x:c r="P603" s="35" t="str">
        <x:v>NOT_AVAILABLE</x:v>
      </x:c>
      <x:c r="Q603" s="35" t="str">
        <x:v>Deepseek-flash-v4/Result/JxPath_1/result.json</x:v>
      </x:c>
    </x:row>
    <x:row r="604">
      <x:c r="A604" s="35" t="str">
        <x:v>deepseek</x:v>
      </x:c>
      <x:c r="B604" s="35" t="str">
        <x:v>JxPath</x:v>
      </x:c>
      <x:c r="C604" s="35" t="str">
        <x:v>Round1</x:v>
      </x:c>
      <x:c r="D604" s="35" t="str">
        <x:v>JxPath_10</x:v>
      </x:c>
      <x:c r="E604" s="35" t="str">
        <x:v>Line</x:v>
      </x:c>
      <x:c r="F604" s="35"/>
      <x:c r="G604" s="35" t="str">
        <x:v>A</x:v>
      </x:c>
      <x:c r="H604" s="39" t="str">
        <x:f>IF(ISNUMBER('Data'!E604),'Data'!E604*100,"")</x:f>
      </x:c>
      <x:c r="I604" s="35"/>
      <x:c r="J604" s="35" t="str">
        <x:v>PASS</x:v>
      </x:c>
      <x:c r="K604" s="35" t="str">
        <x:v>FAIL</x:v>
      </x:c>
      <x:c r="L604" s="35" t="str">
        <x:v>NOT_RUN</x:v>
      </x:c>
      <x:c r="M604" s="35" t="str">
        <x:v>coverage unavailable or execution/compile failed</x:v>
      </x:c>
      <x:c r="N604" s="35" t="str">
        <x:v>Deepseek-flash-v4/Result/JxPath_10/result.json</x:v>
      </x:c>
      <x:c r="O604" s="39" t="str">
        <x:f>IF(AND(G604="RECORDED",ISNUMBER(H604)),H604,"")</x:f>
      </x:c>
      <x:c r="P604" s="35" t="str">
        <x:v>NOT_AVAILABLE</x:v>
      </x:c>
      <x:c r="Q604" s="35" t="str">
        <x:v>Deepseek-flash-v4/Result/JxPath_10/result.json</x:v>
      </x:c>
    </x:row>
    <x:row r="605">
      <x:c r="A605" s="35" t="str">
        <x:v>deepseek</x:v>
      </x:c>
      <x:c r="B605" s="35" t="str">
        <x:v>JxPath</x:v>
      </x:c>
      <x:c r="C605" s="35" t="str">
        <x:v>Round1</x:v>
      </x:c>
      <x:c r="D605" s="35" t="str">
        <x:v>JxPath_11</x:v>
      </x:c>
      <x:c r="E605" s="35" t="str">
        <x:v>Line</x:v>
      </x:c>
      <x:c r="F605" s="35"/>
      <x:c r="G605" s="35" t="str">
        <x:v>A</x:v>
      </x:c>
      <x:c r="H605" s="39" t="str">
        <x:f>IF(ISNUMBER('Data'!E605),'Data'!E605*100,"")</x:f>
      </x:c>
      <x:c r="I605" s="35"/>
      <x:c r="J605" s="35" t="str">
        <x:v>PASS</x:v>
      </x:c>
      <x:c r="K605" s="35" t="str">
        <x:v>FAIL</x:v>
      </x:c>
      <x:c r="L605" s="35" t="str">
        <x:v>NOT_RUN</x:v>
      </x:c>
      <x:c r="M605" s="35" t="str">
        <x:v>coverage unavailable or execution/compile failed</x:v>
      </x:c>
      <x:c r="N605" s="35" t="str">
        <x:v>Deepseek-flash-v4/Result/JxPath_11/result.json</x:v>
      </x:c>
      <x:c r="O605" s="39" t="str">
        <x:f>IF(AND(G605="RECORDED",ISNUMBER(H605)),H605,"")</x:f>
      </x:c>
      <x:c r="P605" s="35" t="str">
        <x:v>NOT_AVAILABLE</x:v>
      </x:c>
      <x:c r="Q605" s="35" t="str">
        <x:v>Deepseek-flash-v4/Result/JxPath_11/result.json</x:v>
      </x:c>
    </x:row>
    <x:row r="606">
      <x:c r="A606" s="35" t="str">
        <x:v>deepseek</x:v>
      </x:c>
      <x:c r="B606" s="35" t="str">
        <x:v>JxPath</x:v>
      </x:c>
      <x:c r="C606" s="35" t="str">
        <x:v>Round1</x:v>
      </x:c>
      <x:c r="D606" s="35" t="str">
        <x:v>JxPath_12</x:v>
      </x:c>
      <x:c r="E606" s="35" t="str">
        <x:v>Line</x:v>
      </x:c>
      <x:c r="F606" s="35"/>
      <x:c r="G606" s="35" t="str">
        <x:v>A</x:v>
      </x:c>
      <x:c r="H606" s="39" t="str">
        <x:f>IF(ISNUMBER('Data'!E606),'Data'!E606*100,"")</x:f>
      </x:c>
      <x:c r="I606" s="35"/>
      <x:c r="J606" s="35" t="str">
        <x:v>PASS</x:v>
      </x:c>
      <x:c r="K606" s="35" t="str">
        <x:v>FAIL</x:v>
      </x:c>
      <x:c r="L606" s="35" t="str">
        <x:v>NOT_RUN</x:v>
      </x:c>
      <x:c r="M606" s="35" t="str">
        <x:v>coverage unavailable or execution/compile failed</x:v>
      </x:c>
      <x:c r="N606" s="35" t="str">
        <x:v>Deepseek-flash-v4/Result/JxPath_12/result.json</x:v>
      </x:c>
      <x:c r="O606" s="39" t="str">
        <x:f>IF(AND(G606="RECORDED",ISNUMBER(H606)),H606,"")</x:f>
      </x:c>
      <x:c r="P606" s="35" t="str">
        <x:v>NOT_AVAILABLE</x:v>
      </x:c>
      <x:c r="Q606" s="35" t="str">
        <x:v>Deepseek-flash-v4/Result/JxPath_12/result.json</x:v>
      </x:c>
    </x:row>
    <x:row r="607">
      <x:c r="A607" s="35" t="str">
        <x:v>deepseek</x:v>
      </x:c>
      <x:c r="B607" s="35" t="str">
        <x:v>JxPath</x:v>
      </x:c>
      <x:c r="C607" s="35" t="str">
        <x:v>Round1</x:v>
      </x:c>
      <x:c r="D607" s="35" t="str">
        <x:v>JxPath_13</x:v>
      </x:c>
      <x:c r="E607" s="35" t="str">
        <x:v>Line</x:v>
      </x:c>
      <x:c r="F607" s="35"/>
      <x:c r="G607" s="35" t="str">
        <x:v>A</x:v>
      </x:c>
      <x:c r="H607" s="39" t="str">
        <x:f>IF(ISNUMBER('Data'!E607),'Data'!E607*100,"")</x:f>
      </x:c>
      <x:c r="I607" s="35"/>
      <x:c r="J607" s="35" t="str">
        <x:v>PASS</x:v>
      </x:c>
      <x:c r="K607" s="35" t="str">
        <x:v>FAIL</x:v>
      </x:c>
      <x:c r="L607" s="35" t="str">
        <x:v>NOT_RUN</x:v>
      </x:c>
      <x:c r="M607" s="35" t="str">
        <x:v>coverage unavailable or execution/compile failed</x:v>
      </x:c>
      <x:c r="N607" s="35" t="str">
        <x:v>Deepseek-flash-v4/Result/JxPath_13/result.json</x:v>
      </x:c>
      <x:c r="O607" s="39" t="str">
        <x:f>IF(AND(G607="RECORDED",ISNUMBER(H607)),H607,"")</x:f>
      </x:c>
      <x:c r="P607" s="35" t="str">
        <x:v>NOT_AVAILABLE</x:v>
      </x:c>
      <x:c r="Q607" s="35" t="str">
        <x:v>Deepseek-flash-v4/Result/JxPath_13/result.json</x:v>
      </x:c>
    </x:row>
    <x:row r="608">
      <x:c r="A608" s="35" t="str">
        <x:v>deepseek</x:v>
      </x:c>
      <x:c r="B608" s="35" t="str">
        <x:v>JxPath</x:v>
      </x:c>
      <x:c r="C608" s="35" t="str">
        <x:v>Round1</x:v>
      </x:c>
      <x:c r="D608" s="35" t="str">
        <x:v>JxPath_14</x:v>
      </x:c>
      <x:c r="E608" s="35" t="str">
        <x:v>Line</x:v>
      </x:c>
      <x:c r="F608" s="35"/>
      <x:c r="G608" s="35" t="str">
        <x:v>A</x:v>
      </x:c>
      <x:c r="H608" s="39" t="str">
        <x:f>IF(ISNUMBER('Data'!E608),'Data'!E608*100,"")</x:f>
      </x:c>
      <x:c r="I608" s="35"/>
      <x:c r="J608" s="35" t="str">
        <x:v>PASS</x:v>
      </x:c>
      <x:c r="K608" s="35" t="str">
        <x:v>FAIL</x:v>
      </x:c>
      <x:c r="L608" s="35" t="str">
        <x:v>NOT_RUN</x:v>
      </x:c>
      <x:c r="M608" s="35" t="str">
        <x:v>coverage unavailable or execution/compile failed</x:v>
      </x:c>
      <x:c r="N608" s="35" t="str">
        <x:v>Deepseek-flash-v4/Result/JxPath_14/result.json</x:v>
      </x:c>
      <x:c r="O608" s="39" t="str">
        <x:f>IF(AND(G608="RECORDED",ISNUMBER(H608)),H608,"")</x:f>
      </x:c>
      <x:c r="P608" s="35" t="str">
        <x:v>NOT_AVAILABLE</x:v>
      </x:c>
      <x:c r="Q608" s="35" t="str">
        <x:v>Deepseek-flash-v4/Result/JxPath_14/result.json</x:v>
      </x:c>
    </x:row>
    <x:row r="609">
      <x:c r="A609" s="35" t="str">
        <x:v>deepseek</x:v>
      </x:c>
      <x:c r="B609" s="35" t="str">
        <x:v>JxPath</x:v>
      </x:c>
      <x:c r="C609" s="35" t="str">
        <x:v>Round1</x:v>
      </x:c>
      <x:c r="D609" s="35" t="str">
        <x:v>JxPath_15</x:v>
      </x:c>
      <x:c r="E609" s="35" t="str">
        <x:v>Line</x:v>
      </x:c>
      <x:c r="F609" s="35"/>
      <x:c r="G609" s="35" t="str">
        <x:v>A</x:v>
      </x:c>
      <x:c r="H609" s="39" t="str">
        <x:f>IF(ISNUMBER('Data'!E609),'Data'!E609*100,"")</x:f>
      </x:c>
      <x:c r="I609" s="35"/>
      <x:c r="J609" s="35" t="str">
        <x:v>PASS</x:v>
      </x:c>
      <x:c r="K609" s="35" t="str">
        <x:v>FAIL</x:v>
      </x:c>
      <x:c r="L609" s="35" t="str">
        <x:v>NOT_RUN</x:v>
      </x:c>
      <x:c r="M609" s="35" t="str">
        <x:v>coverage unavailable or execution/compile failed</x:v>
      </x:c>
      <x:c r="N609" s="35" t="str">
        <x:v>Deepseek-flash-v4/Result/JxPath_15/result.json</x:v>
      </x:c>
      <x:c r="O609" s="39" t="str">
        <x:f>IF(AND(G609="RECORDED",ISNUMBER(H609)),H609,"")</x:f>
      </x:c>
      <x:c r="P609" s="35" t="str">
        <x:v>NOT_AVAILABLE</x:v>
      </x:c>
      <x:c r="Q609" s="35" t="str">
        <x:v>Deepseek-flash-v4/Result/JxPath_15/result.json</x:v>
      </x:c>
    </x:row>
    <x:row r="610">
      <x:c r="A610" s="35" t="str">
        <x:v>deepseek</x:v>
      </x:c>
      <x:c r="B610" s="35" t="str">
        <x:v>JxPath</x:v>
      </x:c>
      <x:c r="C610" s="35" t="str">
        <x:v>Round1</x:v>
      </x:c>
      <x:c r="D610" s="35" t="str">
        <x:v>JxPath_16</x:v>
      </x:c>
      <x:c r="E610" s="35" t="str">
        <x:v>Line</x:v>
      </x:c>
      <x:c r="F610" s="35"/>
      <x:c r="G610" s="35" t="str">
        <x:v>A</x:v>
      </x:c>
      <x:c r="H610" s="39" t="str">
        <x:f>IF(ISNUMBER('Data'!E610),'Data'!E610*100,"")</x:f>
      </x:c>
      <x:c r="I610" s="35"/>
      <x:c r="J610" s="35" t="str">
        <x:v>PASS</x:v>
      </x:c>
      <x:c r="K610" s="35" t="str">
        <x:v>FAIL</x:v>
      </x:c>
      <x:c r="L610" s="35" t="str">
        <x:v>NOT_RUN</x:v>
      </x:c>
      <x:c r="M610" s="35" t="str">
        <x:v>coverage unavailable or execution/compile failed</x:v>
      </x:c>
      <x:c r="N610" s="35" t="str">
        <x:v>Deepseek-flash-v4/Result/JxPath_16/result.json</x:v>
      </x:c>
      <x:c r="O610" s="39" t="str">
        <x:f>IF(AND(G610="RECORDED",ISNUMBER(H610)),H610,"")</x:f>
      </x:c>
      <x:c r="P610" s="35" t="str">
        <x:v>NOT_AVAILABLE</x:v>
      </x:c>
      <x:c r="Q610" s="35" t="str">
        <x:v>Deepseek-flash-v4/Result/JxPath_16/result.json</x:v>
      </x:c>
    </x:row>
    <x:row r="611">
      <x:c r="A611" s="35" t="str">
        <x:v>deepseek</x:v>
      </x:c>
      <x:c r="B611" s="35" t="str">
        <x:v>JxPath</x:v>
      </x:c>
      <x:c r="C611" s="35" t="str">
        <x:v>Round1</x:v>
      </x:c>
      <x:c r="D611" s="35" t="str">
        <x:v>JxPath_17</x:v>
      </x:c>
      <x:c r="E611" s="35" t="str">
        <x:v>Line</x:v>
      </x:c>
      <x:c r="F611" s="35"/>
      <x:c r="G611" s="35" t="str">
        <x:v>A</x:v>
      </x:c>
      <x:c r="H611" s="39" t="str">
        <x:f>IF(ISNUMBER('Data'!E611),'Data'!E611*100,"")</x:f>
      </x:c>
      <x:c r="I611" s="35"/>
      <x:c r="J611" s="35" t="str">
        <x:v>PASS</x:v>
      </x:c>
      <x:c r="K611" s="35" t="str">
        <x:v>FAIL</x:v>
      </x:c>
      <x:c r="L611" s="35" t="str">
        <x:v>NOT_RUN</x:v>
      </x:c>
      <x:c r="M611" s="35" t="str">
        <x:v>coverage unavailable or execution/compile failed</x:v>
      </x:c>
      <x:c r="N611" s="35" t="str">
        <x:v>Deepseek-flash-v4/Result/JxPath_17/result.json</x:v>
      </x:c>
      <x:c r="O611" s="39" t="str">
        <x:f>IF(AND(G611="RECORDED",ISNUMBER(H611)),H611,"")</x:f>
      </x:c>
      <x:c r="P611" s="35" t="str">
        <x:v>NOT_AVAILABLE</x:v>
      </x:c>
      <x:c r="Q611" s="35" t="str">
        <x:v>Deepseek-flash-v4/Result/JxPath_17/result.json</x:v>
      </x:c>
    </x:row>
    <x:row r="612">
      <x:c r="A612" s="35" t="str">
        <x:v>deepseek</x:v>
      </x:c>
      <x:c r="B612" s="35" t="str">
        <x:v>JxPath</x:v>
      </x:c>
      <x:c r="C612" s="35" t="str">
        <x:v>Round1</x:v>
      </x:c>
      <x:c r="D612" s="35" t="str">
        <x:v>JxPath_18</x:v>
      </x:c>
      <x:c r="E612" s="35" t="str">
        <x:v>Line</x:v>
      </x:c>
      <x:c r="F612" s="35"/>
      <x:c r="G612" s="35" t="str">
        <x:v>A</x:v>
      </x:c>
      <x:c r="H612" s="39" t="str">
        <x:f>IF(ISNUMBER('Data'!E612),'Data'!E612*100,"")</x:f>
      </x:c>
      <x:c r="I612" s="35"/>
      <x:c r="J612" s="35" t="str">
        <x:v>PASS</x:v>
      </x:c>
      <x:c r="K612" s="35" t="str">
        <x:v>FAIL</x:v>
      </x:c>
      <x:c r="L612" s="35" t="str">
        <x:v>NOT_RUN</x:v>
      </x:c>
      <x:c r="M612" s="35" t="str">
        <x:v>coverage unavailable or execution/compile failed</x:v>
      </x:c>
      <x:c r="N612" s="35" t="str">
        <x:v>Deepseek-flash-v4/Result/JxPath_18/result.json</x:v>
      </x:c>
      <x:c r="O612" s="39" t="str">
        <x:f>IF(AND(G612="RECORDED",ISNUMBER(H612)),H612,"")</x:f>
      </x:c>
      <x:c r="P612" s="35" t="str">
        <x:v>NOT_AVAILABLE</x:v>
      </x:c>
      <x:c r="Q612" s="35" t="str">
        <x:v>Deepseek-flash-v4/Result/JxPath_18/result.json</x:v>
      </x:c>
    </x:row>
    <x:row r="613">
      <x:c r="A613" s="35" t="str">
        <x:v>deepseek</x:v>
      </x:c>
      <x:c r="B613" s="35" t="str">
        <x:v>JxPath</x:v>
      </x:c>
      <x:c r="C613" s="35" t="str">
        <x:v>Round1</x:v>
      </x:c>
      <x:c r="D613" s="35" t="str">
        <x:v>JxPath_19</x:v>
      </x:c>
      <x:c r="E613" s="35" t="str">
        <x:v>Line</x:v>
      </x:c>
      <x:c r="F613" s="35"/>
      <x:c r="G613" s="35" t="str">
        <x:v>A</x:v>
      </x:c>
      <x:c r="H613" s="39" t="str">
        <x:f>IF(ISNUMBER('Data'!E613),'Data'!E613*100,"")</x:f>
      </x:c>
      <x:c r="I613" s="35"/>
      <x:c r="J613" s="35" t="str">
        <x:v>PASS</x:v>
      </x:c>
      <x:c r="K613" s="35" t="str">
        <x:v>FAIL</x:v>
      </x:c>
      <x:c r="L613" s="35" t="str">
        <x:v>NOT_RUN</x:v>
      </x:c>
      <x:c r="M613" s="35" t="str">
        <x:v>coverage unavailable or execution/compile failed</x:v>
      </x:c>
      <x:c r="N613" s="35" t="str">
        <x:v>Deepseek-flash-v4/Result/JxPath_19/result.json</x:v>
      </x:c>
      <x:c r="O613" s="39" t="str">
        <x:f>IF(AND(G613="RECORDED",ISNUMBER(H613)),H613,"")</x:f>
      </x:c>
      <x:c r="P613" s="35" t="str">
        <x:v>NOT_AVAILABLE</x:v>
      </x:c>
      <x:c r="Q613" s="35" t="str">
        <x:v>Deepseek-flash-v4/Result/JxPath_19/result.json</x:v>
      </x:c>
    </x:row>
    <x:row r="614">
      <x:c r="A614" s="35" t="str">
        <x:v>deepseek</x:v>
      </x:c>
      <x:c r="B614" s="35" t="str">
        <x:v>JxPath</x:v>
      </x:c>
      <x:c r="C614" s="35" t="str">
        <x:v>Round1</x:v>
      </x:c>
      <x:c r="D614" s="35" t="str">
        <x:v>JxPath_2</x:v>
      </x:c>
      <x:c r="E614" s="35" t="str">
        <x:v>Line</x:v>
      </x:c>
      <x:c r="F614" s="35"/>
      <x:c r="G614" s="35" t="str">
        <x:v>A</x:v>
      </x:c>
      <x:c r="H614" s="39" t="str">
        <x:f>IF(ISNUMBER('Data'!E614),'Data'!E614*100,"")</x:f>
      </x:c>
      <x:c r="I614" s="35"/>
      <x:c r="J614" s="35" t="str">
        <x:v>PASS</x:v>
      </x:c>
      <x:c r="K614" s="35" t="str">
        <x:v>FAIL</x:v>
      </x:c>
      <x:c r="L614" s="35" t="str">
        <x:v>NOT_RUN</x:v>
      </x:c>
      <x:c r="M614" s="35" t="str">
        <x:v>coverage unavailable or execution/compile failed</x:v>
      </x:c>
      <x:c r="N614" s="35" t="str">
        <x:v>Deepseek-flash-v4/Result/JxPath_2/result.json</x:v>
      </x:c>
      <x:c r="O614" s="39" t="str">
        <x:f>IF(AND(G614="RECORDED",ISNUMBER(H614)),H614,"")</x:f>
      </x:c>
      <x:c r="P614" s="35" t="str">
        <x:v>NOT_AVAILABLE</x:v>
      </x:c>
      <x:c r="Q614" s="35" t="str">
        <x:v>Deepseek-flash-v4/Result/JxPath_2/result.json</x:v>
      </x:c>
    </x:row>
    <x:row r="615">
      <x:c r="A615" s="35" t="str">
        <x:v>deepseek</x:v>
      </x:c>
      <x:c r="B615" s="35" t="str">
        <x:v>JxPath</x:v>
      </x:c>
      <x:c r="C615" s="35" t="str">
        <x:v>Round1</x:v>
      </x:c>
      <x:c r="D615" s="35" t="str">
        <x:v>JxPath_20</x:v>
      </x:c>
      <x:c r="E615" s="35" t="str">
        <x:v>Line</x:v>
      </x:c>
      <x:c r="F615" s="35"/>
      <x:c r="G615" s="35" t="str">
        <x:v>A</x:v>
      </x:c>
      <x:c r="H615" s="39" t="str">
        <x:f>IF(ISNUMBER('Data'!E615),'Data'!E615*100,"")</x:f>
      </x:c>
      <x:c r="I615" s="35"/>
      <x:c r="J615" s="35" t="str">
        <x:v>PASS</x:v>
      </x:c>
      <x:c r="K615" s="35" t="str">
        <x:v>FAIL</x:v>
      </x:c>
      <x:c r="L615" s="35" t="str">
        <x:v>NOT_RUN</x:v>
      </x:c>
      <x:c r="M615" s="35" t="str">
        <x:v>coverage unavailable or execution/compile failed</x:v>
      </x:c>
      <x:c r="N615" s="35" t="str">
        <x:v>Deepseek-flash-v4/Result/JxPath_20/result.json</x:v>
      </x:c>
      <x:c r="O615" s="39" t="str">
        <x:f>IF(AND(G615="RECORDED",ISNUMBER(H615)),H615,"")</x:f>
      </x:c>
      <x:c r="P615" s="35" t="str">
        <x:v>NOT_AVAILABLE</x:v>
      </x:c>
      <x:c r="Q615" s="35" t="str">
        <x:v>Deepseek-flash-v4/Result/JxPath_20/result.json</x:v>
      </x:c>
    </x:row>
    <x:row r="616">
      <x:c r="A616" s="35" t="str">
        <x:v>deepseek</x:v>
      </x:c>
      <x:c r="B616" s="35" t="str">
        <x:v>JxPath</x:v>
      </x:c>
      <x:c r="C616" s="35" t="str">
        <x:v>Round1</x:v>
      </x:c>
      <x:c r="D616" s="35" t="str">
        <x:v>JxPath_21</x:v>
      </x:c>
      <x:c r="E616" s="35" t="str">
        <x:v>Line</x:v>
      </x:c>
      <x:c r="F616" s="35"/>
      <x:c r="G616" s="35" t="str">
        <x:v>A</x:v>
      </x:c>
      <x:c r="H616" s="39" t="str">
        <x:f>IF(ISNUMBER('Data'!E616),'Data'!E616*100,"")</x:f>
      </x:c>
      <x:c r="I616" s="35"/>
      <x:c r="J616" s="35" t="str">
        <x:v>PASS</x:v>
      </x:c>
      <x:c r="K616" s="35" t="str">
        <x:v>FAIL</x:v>
      </x:c>
      <x:c r="L616" s="35" t="str">
        <x:v>NOT_RUN</x:v>
      </x:c>
      <x:c r="M616" s="35" t="str">
        <x:v>coverage unavailable or execution/compile failed</x:v>
      </x:c>
      <x:c r="N616" s="35" t="str">
        <x:v>Deepseek-flash-v4/Result/JxPath_21/result.json</x:v>
      </x:c>
      <x:c r="O616" s="39" t="str">
        <x:f>IF(AND(G616="RECORDED",ISNUMBER(H616)),H616,"")</x:f>
      </x:c>
      <x:c r="P616" s="35" t="str">
        <x:v>NOT_AVAILABLE</x:v>
      </x:c>
      <x:c r="Q616" s="35" t="str">
        <x:v>Deepseek-flash-v4/Result/JxPath_21/result.json</x:v>
      </x:c>
    </x:row>
    <x:row r="617">
      <x:c r="A617" s="35" t="str">
        <x:v>deepseek</x:v>
      </x:c>
      <x:c r="B617" s="35" t="str">
        <x:v>JxPath</x:v>
      </x:c>
      <x:c r="C617" s="35" t="str">
        <x:v>Round1</x:v>
      </x:c>
      <x:c r="D617" s="35" t="str">
        <x:v>JxPath_22</x:v>
      </x:c>
      <x:c r="E617" s="35" t="str">
        <x:v>Line</x:v>
      </x:c>
      <x:c r="F617" s="35"/>
      <x:c r="G617" s="35" t="str">
        <x:v>A</x:v>
      </x:c>
      <x:c r="H617" s="39" t="str">
        <x:f>IF(ISNUMBER('Data'!E617),'Data'!E617*100,"")</x:f>
      </x:c>
      <x:c r="I617" s="35"/>
      <x:c r="J617" s="35" t="str">
        <x:v>PASS</x:v>
      </x:c>
      <x:c r="K617" s="35" t="str">
        <x:v>FAIL</x:v>
      </x:c>
      <x:c r="L617" s="35" t="str">
        <x:v>NOT_RUN</x:v>
      </x:c>
      <x:c r="M617" s="35" t="str">
        <x:v>coverage unavailable or execution/compile failed</x:v>
      </x:c>
      <x:c r="N617" s="35" t="str">
        <x:v>Deepseek-flash-v4/Result/JxPath_22/result.json</x:v>
      </x:c>
      <x:c r="O617" s="39" t="str">
        <x:f>IF(AND(G617="RECORDED",ISNUMBER(H617)),H617,"")</x:f>
      </x:c>
      <x:c r="P617" s="35" t="str">
        <x:v>NOT_AVAILABLE</x:v>
      </x:c>
      <x:c r="Q617" s="35" t="str">
        <x:v>Deepseek-flash-v4/Result/JxPath_22/result.json</x:v>
      </x:c>
    </x:row>
    <x:row r="618">
      <x:c r="A618" s="35" t="str">
        <x:v>deepseek</x:v>
      </x:c>
      <x:c r="B618" s="35" t="str">
        <x:v>JxPath</x:v>
      </x:c>
      <x:c r="C618" s="35" t="str">
        <x:v>Round1</x:v>
      </x:c>
      <x:c r="D618" s="35" t="str">
        <x:v>JxPath_3</x:v>
      </x:c>
      <x:c r="E618" s="35" t="str">
        <x:v>Line</x:v>
      </x:c>
      <x:c r="F618" s="35"/>
      <x:c r="G618" s="35" t="str">
        <x:v>A</x:v>
      </x:c>
      <x:c r="H618" s="39" t="str">
        <x:f>IF(ISNUMBER('Data'!E618),'Data'!E618*100,"")</x:f>
      </x:c>
      <x:c r="I618" s="35"/>
      <x:c r="J618" s="35" t="str">
        <x:v>PASS</x:v>
      </x:c>
      <x:c r="K618" s="35" t="str">
        <x:v>FAIL</x:v>
      </x:c>
      <x:c r="L618" s="35" t="str">
        <x:v>NOT_RUN</x:v>
      </x:c>
      <x:c r="M618" s="35" t="str">
        <x:v>coverage unavailable or execution/compile failed</x:v>
      </x:c>
      <x:c r="N618" s="35" t="str">
        <x:v>Deepseek-flash-v4/Result/JxPath_3/result.json</x:v>
      </x:c>
      <x:c r="O618" s="39" t="str">
        <x:f>IF(AND(G618="RECORDED",ISNUMBER(H618)),H618,"")</x:f>
      </x:c>
      <x:c r="P618" s="35" t="str">
        <x:v>NOT_AVAILABLE</x:v>
      </x:c>
      <x:c r="Q618" s="35" t="str">
        <x:v>Deepseek-flash-v4/Result/JxPath_3/result.json</x:v>
      </x:c>
    </x:row>
    <x:row r="619">
      <x:c r="A619" s="35" t="str">
        <x:v>deepseek</x:v>
      </x:c>
      <x:c r="B619" s="35" t="str">
        <x:v>JxPath</x:v>
      </x:c>
      <x:c r="C619" s="35" t="str">
        <x:v>Round1</x:v>
      </x:c>
      <x:c r="D619" s="35" t="str">
        <x:v>JxPath_4</x:v>
      </x:c>
      <x:c r="E619" s="35" t="str">
        <x:v>Line</x:v>
      </x:c>
      <x:c r="F619" s="35"/>
      <x:c r="G619" s="35" t="str">
        <x:v>A</x:v>
      </x:c>
      <x:c r="H619" s="39" t="str">
        <x:f>IF(ISNUMBER('Data'!E619),'Data'!E619*100,"")</x:f>
      </x:c>
      <x:c r="I619" s="35"/>
      <x:c r="J619" s="35" t="str">
        <x:v>PASS</x:v>
      </x:c>
      <x:c r="K619" s="35" t="str">
        <x:v>FAIL</x:v>
      </x:c>
      <x:c r="L619" s="35" t="str">
        <x:v>NOT_RUN</x:v>
      </x:c>
      <x:c r="M619" s="35" t="str">
        <x:v>coverage unavailable or execution/compile failed</x:v>
      </x:c>
      <x:c r="N619" s="35" t="str">
        <x:v>Deepseek-flash-v4/Result/JxPath_4/result.json</x:v>
      </x:c>
      <x:c r="O619" s="39" t="str">
        <x:f>IF(AND(G619="RECORDED",ISNUMBER(H619)),H619,"")</x:f>
      </x:c>
      <x:c r="P619" s="35" t="str">
        <x:v>NOT_AVAILABLE</x:v>
      </x:c>
      <x:c r="Q619" s="35" t="str">
        <x:v>Deepseek-flash-v4/Result/JxPath_4/result.json</x:v>
      </x:c>
    </x:row>
    <x:row r="620">
      <x:c r="A620" s="35" t="str">
        <x:v>deepseek</x:v>
      </x:c>
      <x:c r="B620" s="35" t="str">
        <x:v>JxPath</x:v>
      </x:c>
      <x:c r="C620" s="35" t="str">
        <x:v>Round1</x:v>
      </x:c>
      <x:c r="D620" s="35" t="str">
        <x:v>JxPath_5</x:v>
      </x:c>
      <x:c r="E620" s="35" t="str">
        <x:v>Line</x:v>
      </x:c>
      <x:c r="F620" s="35"/>
      <x:c r="G620" s="35" t="str">
        <x:v>A</x:v>
      </x:c>
      <x:c r="H620" s="39" t="str">
        <x:f>IF(ISNUMBER('Data'!E620),'Data'!E620*100,"")</x:f>
      </x:c>
      <x:c r="I620" s="35"/>
      <x:c r="J620" s="35" t="str">
        <x:v>PASS</x:v>
      </x:c>
      <x:c r="K620" s="35" t="str">
        <x:v>FAIL</x:v>
      </x:c>
      <x:c r="L620" s="35" t="str">
        <x:v>NOT_RUN</x:v>
      </x:c>
      <x:c r="M620" s="35" t="str">
        <x:v>coverage unavailable or execution/compile failed</x:v>
      </x:c>
      <x:c r="N620" s="35" t="str">
        <x:v>Deepseek-flash-v4/Result/JxPath_5/result.json</x:v>
      </x:c>
      <x:c r="O620" s="39" t="str">
        <x:f>IF(AND(G620="RECORDED",ISNUMBER(H620)),H620,"")</x:f>
      </x:c>
      <x:c r="P620" s="35" t="str">
        <x:v>NOT_AVAILABLE</x:v>
      </x:c>
      <x:c r="Q620" s="35" t="str">
        <x:v>Deepseek-flash-v4/Result/JxPath_5/result.json</x:v>
      </x:c>
    </x:row>
    <x:row r="621">
      <x:c r="A621" s="35" t="str">
        <x:v>deepseek</x:v>
      </x:c>
      <x:c r="B621" s="35" t="str">
        <x:v>JxPath</x:v>
      </x:c>
      <x:c r="C621" s="35" t="str">
        <x:v>Round1</x:v>
      </x:c>
      <x:c r="D621" s="35" t="str">
        <x:v>JxPath_6</x:v>
      </x:c>
      <x:c r="E621" s="35" t="str">
        <x:v>Line</x:v>
      </x:c>
      <x:c r="F621" s="35"/>
      <x:c r="G621" s="35" t="str">
        <x:v>A</x:v>
      </x:c>
      <x:c r="H621" s="39" t="str">
        <x:f>IF(ISNUMBER('Data'!E621),'Data'!E621*100,"")</x:f>
      </x:c>
      <x:c r="I621" s="35"/>
      <x:c r="J621" s="35" t="str">
        <x:v>PASS</x:v>
      </x:c>
      <x:c r="K621" s="35" t="str">
        <x:v>FAIL</x:v>
      </x:c>
      <x:c r="L621" s="35" t="str">
        <x:v>NOT_RUN</x:v>
      </x:c>
      <x:c r="M621" s="35" t="str">
        <x:v>coverage unavailable or execution/compile failed</x:v>
      </x:c>
      <x:c r="N621" s="35" t="str">
        <x:v>Deepseek-flash-v4/Result/JxPath_6/result.json</x:v>
      </x:c>
      <x:c r="O621" s="39" t="str">
        <x:f>IF(AND(G621="RECORDED",ISNUMBER(H621)),H621,"")</x:f>
      </x:c>
      <x:c r="P621" s="35" t="str">
        <x:v>NOT_AVAILABLE</x:v>
      </x:c>
      <x:c r="Q621" s="35" t="str">
        <x:v>Deepseek-flash-v4/Result/JxPath_6/result.json</x:v>
      </x:c>
    </x:row>
    <x:row r="622">
      <x:c r="A622" s="35" t="str">
        <x:v>deepseek</x:v>
      </x:c>
      <x:c r="B622" s="35" t="str">
        <x:v>JxPath</x:v>
      </x:c>
      <x:c r="C622" s="35" t="str">
        <x:v>Round1</x:v>
      </x:c>
      <x:c r="D622" s="35" t="str">
        <x:v>JxPath_7</x:v>
      </x:c>
      <x:c r="E622" s="35" t="str">
        <x:v>Line</x:v>
      </x:c>
      <x:c r="F622" s="35"/>
      <x:c r="G622" s="35" t="str">
        <x:v>A</x:v>
      </x:c>
      <x:c r="H622" s="39" t="str">
        <x:f>IF(ISNUMBER('Data'!E622),'Data'!E622*100,"")</x:f>
      </x:c>
      <x:c r="I622" s="35"/>
      <x:c r="J622" s="35" t="str">
        <x:v>PASS</x:v>
      </x:c>
      <x:c r="K622" s="35" t="str">
        <x:v>FAIL</x:v>
      </x:c>
      <x:c r="L622" s="35" t="str">
        <x:v>NOT_RUN</x:v>
      </x:c>
      <x:c r="M622" s="35" t="str">
        <x:v>coverage unavailable or execution/compile failed</x:v>
      </x:c>
      <x:c r="N622" s="35" t="str">
        <x:v>Deepseek-flash-v4/Result/JxPath_7/result.json</x:v>
      </x:c>
      <x:c r="O622" s="39" t="str">
        <x:f>IF(AND(G622="RECORDED",ISNUMBER(H622)),H622,"")</x:f>
      </x:c>
      <x:c r="P622" s="35" t="str">
        <x:v>NOT_AVAILABLE</x:v>
      </x:c>
      <x:c r="Q622" s="35" t="str">
        <x:v>Deepseek-flash-v4/Result/JxPath_7/result.json</x:v>
      </x:c>
    </x:row>
    <x:row r="623">
      <x:c r="A623" s="35" t="str">
        <x:v>deepseek</x:v>
      </x:c>
      <x:c r="B623" s="35" t="str">
        <x:v>JxPath</x:v>
      </x:c>
      <x:c r="C623" s="35" t="str">
        <x:v>Round1</x:v>
      </x:c>
      <x:c r="D623" s="35" t="str">
        <x:v>JxPath_8</x:v>
      </x:c>
      <x:c r="E623" s="35" t="str">
        <x:v>Line</x:v>
      </x:c>
      <x:c r="F623" s="35"/>
      <x:c r="G623" s="35" t="str">
        <x:v>A</x:v>
      </x:c>
      <x:c r="H623" s="39" t="str">
        <x:f>IF(ISNUMBER('Data'!E623),'Data'!E623*100,"")</x:f>
      </x:c>
      <x:c r="I623" s="35"/>
      <x:c r="J623" s="35" t="str">
        <x:v>PASS</x:v>
      </x:c>
      <x:c r="K623" s="35" t="str">
        <x:v>FAIL</x:v>
      </x:c>
      <x:c r="L623" s="35" t="str">
        <x:v>NOT_RUN</x:v>
      </x:c>
      <x:c r="M623" s="35" t="str">
        <x:v>coverage unavailable or execution/compile failed</x:v>
      </x:c>
      <x:c r="N623" s="35" t="str">
        <x:v>Deepseek-flash-v4/Result/JxPath_8/result.json</x:v>
      </x:c>
      <x:c r="O623" s="39" t="str">
        <x:f>IF(AND(G623="RECORDED",ISNUMBER(H623)),H623,"")</x:f>
      </x:c>
      <x:c r="P623" s="35" t="str">
        <x:v>NOT_AVAILABLE</x:v>
      </x:c>
      <x:c r="Q623" s="35" t="str">
        <x:v>Deepseek-flash-v4/Result/JxPath_8/result.json</x:v>
      </x:c>
    </x:row>
    <x:row r="624">
      <x:c r="A624" s="35" t="str">
        <x:v>deepseek</x:v>
      </x:c>
      <x:c r="B624" s="35" t="str">
        <x:v>JxPath</x:v>
      </x:c>
      <x:c r="C624" s="35" t="str">
        <x:v>Round1</x:v>
      </x:c>
      <x:c r="D624" s="35" t="str">
        <x:v>JxPath_9</x:v>
      </x:c>
      <x:c r="E624" s="35" t="str">
        <x:v>Line</x:v>
      </x:c>
      <x:c r="F624" s="35"/>
      <x:c r="G624" s="35" t="str">
        <x:v>A</x:v>
      </x:c>
      <x:c r="H624" s="39" t="str">
        <x:f>IF(ISNUMBER('Data'!E624),'Data'!E624*100,"")</x:f>
      </x:c>
      <x:c r="I624" s="35"/>
      <x:c r="J624" s="35" t="str">
        <x:v>PASS</x:v>
      </x:c>
      <x:c r="K624" s="35" t="str">
        <x:v>FAIL</x:v>
      </x:c>
      <x:c r="L624" s="35" t="str">
        <x:v>NOT_RUN</x:v>
      </x:c>
      <x:c r="M624" s="35" t="str">
        <x:v>coverage unavailable or execution/compile failed</x:v>
      </x:c>
      <x:c r="N624" s="35" t="str">
        <x:v>Deepseek-flash-v4/Result/JxPath_9/result.json</x:v>
      </x:c>
      <x:c r="O624" s="39" t="str">
        <x:f>IF(AND(G624="RECORDED",ISNUMBER(H624)),H624,"")</x:f>
      </x:c>
      <x:c r="P624" s="35" t="str">
        <x:v>NOT_AVAILABLE</x:v>
      </x:c>
      <x:c r="Q624" s="35" t="str">
        <x:v>Deepseek-flash-v4/Result/JxPath_9/result.json</x:v>
      </x:c>
    </x:row>
    <x:row r="625">
      <x:c r="A625" s="35" t="str">
        <x:v>deepseek</x:v>
      </x:c>
      <x:c r="B625" s="35" t="str">
        <x:v>Lang</x:v>
      </x:c>
      <x:c r="C625" s="35" t="str">
        <x:v>Round1</x:v>
      </x:c>
      <x:c r="D625" s="35" t="str">
        <x:v>Lang_1</x:v>
      </x:c>
      <x:c r="E625" s="35" t="str">
        <x:v>Line</x:v>
      </x:c>
      <x:c r="F625" s="35"/>
      <x:c r="G625" s="35" t="str">
        <x:v>A</x:v>
      </x:c>
      <x:c r="H625" s="39" t="str">
        <x:f>IF(ISNUMBER('Data'!E625),'Data'!E625*100,"")</x:f>
      </x:c>
      <x:c r="I625" s="35"/>
      <x:c r="J625" s="35" t="str">
        <x:v>PASS</x:v>
      </x:c>
      <x:c r="K625" s="35" t="str">
        <x:v>FAIL</x:v>
      </x:c>
      <x:c r="L625" s="35" t="str">
        <x:v>NOT_RUN</x:v>
      </x:c>
      <x:c r="M625" s="35" t="str">
        <x:v>coverage unavailable or execution/compile failed</x:v>
      </x:c>
      <x:c r="N625" s="35" t="str">
        <x:v>Deepseek-flash-v4/Result/Lang_1/result.json</x:v>
      </x:c>
      <x:c r="O625" s="39" t="str">
        <x:f>IF(AND(G625="RECORDED",ISNUMBER(H625)),H625,"")</x:f>
      </x:c>
      <x:c r="P625" s="35" t="str">
        <x:v>NOT_AVAILABLE</x:v>
      </x:c>
      <x:c r="Q625" s="35" t="str">
        <x:v>Deepseek-flash-v4/Result/Lang_1/result.json</x:v>
      </x:c>
    </x:row>
    <x:row r="626">
      <x:c r="A626" s="35" t="str">
        <x:v>deepseek</x:v>
      </x:c>
      <x:c r="B626" s="35" t="str">
        <x:v>Lang</x:v>
      </x:c>
      <x:c r="C626" s="35" t="str">
        <x:v>Round1</x:v>
      </x:c>
      <x:c r="D626" s="35" t="str">
        <x:v>Lang_10</x:v>
      </x:c>
      <x:c r="E626" s="35" t="str">
        <x:v>Line</x:v>
      </x:c>
      <x:c r="F626" s="35" t="n">
        <x:v>279</x:v>
      </x:c>
      <x:c r="G626" s="35" t="str">
        <x:v>RECORDED</x:v>
      </x:c>
      <x:c r="H626" s="39" t="n">
        <x:f>IF(ISNUMBER('Data'!E626),'Data'!E626*100,"")</x:f>
        <x:v>81.72</x:v>
      </x:c>
      <x:c r="I626" s="35" t="str">
        <x:v>PASS</x:v>
      </x:c>
      <x:c r="J626" s="35" t="str">
        <x:v>PASS</x:v>
      </x:c>
      <x:c r="K626" s="35" t="str">
        <x:v>PASS</x:v>
      </x:c>
      <x:c r="L626" s="35" t="str">
        <x:v>PASS</x:v>
      </x:c>
      <x:c r="M626" s="35" t="str">
        <x:v>numeric coverage for applicable metric</x:v>
      </x:c>
      <x:c r="N626" s="35" t="str">
        <x:v>Deepseek-flash-v4/Result/Lang_10/result.json</x:v>
      </x:c>
      <x:c r="O626" s="39" t="n">
        <x:f>IF(AND(G626="RECORDED",ISNUMBER(H626)),H626,"")</x:f>
        <x:v>81.72</x:v>
      </x:c>
      <x:c r="P626" s="35" t="str">
        <x:v>NOT_REVEALING</x:v>
      </x:c>
      <x:c r="Q626" s="35" t="str">
        <x:v>Deepseek-flash-v4/Result/Lang_10/result.json</x:v>
      </x:c>
    </x:row>
    <x:row r="627">
      <x:c r="A627" s="35" t="str">
        <x:v>deepseek</x:v>
      </x:c>
      <x:c r="B627" s="35" t="str">
        <x:v>Lang</x:v>
      </x:c>
      <x:c r="C627" s="35" t="str">
        <x:v>Round1</x:v>
      </x:c>
      <x:c r="D627" s="35" t="str">
        <x:v>Lang_11</x:v>
      </x:c>
      <x:c r="E627" s="35" t="str">
        <x:v>Line</x:v>
      </x:c>
      <x:c r="F627" s="35"/>
      <x:c r="G627" s="35" t="str">
        <x:v>A</x:v>
      </x:c>
      <x:c r="H627" s="39" t="str">
        <x:f>IF(ISNUMBER('Data'!E627),'Data'!E627*100,"")</x:f>
      </x:c>
      <x:c r="I627" s="35"/>
      <x:c r="J627" s="35" t="str">
        <x:v>PASS</x:v>
      </x:c>
      <x:c r="K627" s="35" t="str">
        <x:v>PASS</x:v>
      </x:c>
      <x:c r="L627" s="35" t="str">
        <x:v>NOT_RUN</x:v>
      </x:c>
      <x:c r="M627" s="35" t="str">
        <x:v>coverage unavailable or execution/compile failed</x:v>
      </x:c>
      <x:c r="N627" s="35" t="str">
        <x:v>Deepseek-flash-v4/Result/Lang_11/result.json</x:v>
      </x:c>
      <x:c r="O627" s="39" t="str">
        <x:f>IF(AND(G627="RECORDED",ISNUMBER(H627)),H627,"")</x:f>
      </x:c>
      <x:c r="P627" s="35" t="str">
        <x:v>NOT_AVAILABLE</x:v>
      </x:c>
      <x:c r="Q627" s="35" t="str">
        <x:v>Deepseek-flash-v4/Result/Lang_11/result.json</x:v>
      </x:c>
    </x:row>
    <x:row r="628">
      <x:c r="A628" s="35" t="str">
        <x:v>deepseek</x:v>
      </x:c>
      <x:c r="B628" s="35" t="str">
        <x:v>Lang</x:v>
      </x:c>
      <x:c r="C628" s="35" t="str">
        <x:v>Round1</x:v>
      </x:c>
      <x:c r="D628" s="35" t="str">
        <x:v>Lang_12</x:v>
      </x:c>
      <x:c r="E628" s="35" t="str">
        <x:v>Line</x:v>
      </x:c>
      <x:c r="F628" s="35"/>
      <x:c r="G628" s="35" t="str">
        <x:v>A</x:v>
      </x:c>
      <x:c r="H628" s="39" t="str">
        <x:f>IF(ISNUMBER('Data'!E628),'Data'!E628*100,"")</x:f>
      </x:c>
      <x:c r="I628" s="35"/>
      <x:c r="J628" s="35" t="str">
        <x:v>PASS</x:v>
      </x:c>
      <x:c r="K628" s="35" t="str">
        <x:v>FAIL</x:v>
      </x:c>
      <x:c r="L628" s="35" t="str">
        <x:v>NOT_RUN</x:v>
      </x:c>
      <x:c r="M628" s="35" t="str">
        <x:v>coverage unavailable or execution/compile failed</x:v>
      </x:c>
      <x:c r="N628" s="35" t="str">
        <x:v>Deepseek-flash-v4/Result/Lang_12/result.json</x:v>
      </x:c>
      <x:c r="O628" s="39" t="str">
        <x:f>IF(AND(G628="RECORDED",ISNUMBER(H628)),H628,"")</x:f>
      </x:c>
      <x:c r="P628" s="35" t="str">
        <x:v>NOT_AVAILABLE</x:v>
      </x:c>
      <x:c r="Q628" s="35" t="str">
        <x:v>Deepseek-flash-v4/Result/Lang_12/result.json</x:v>
      </x:c>
    </x:row>
    <x:row r="629">
      <x:c r="A629" s="35" t="str">
        <x:v>deepseek</x:v>
      </x:c>
      <x:c r="B629" s="35" t="str">
        <x:v>Lang</x:v>
      </x:c>
      <x:c r="C629" s="35" t="str">
        <x:v>Round1</x:v>
      </x:c>
      <x:c r="D629" s="35" t="str">
        <x:v>Lang_13</x:v>
      </x:c>
      <x:c r="E629" s="35" t="str">
        <x:v>Line</x:v>
      </x:c>
      <x:c r="F629" s="35" t="n">
        <x:v>64</x:v>
      </x:c>
      <x:c r="G629" s="35" t="str">
        <x:v>RECORDED</x:v>
      </x:c>
      <x:c r="H629" s="39" t="n">
        <x:f>IF(ISNUMBER('Data'!E629),'Data'!E629*100,"")</x:f>
        <x:v>68.75</x:v>
      </x:c>
      <x:c r="I629" s="35" t="str">
        <x:v>PASS</x:v>
      </x:c>
      <x:c r="J629" s="35" t="str">
        <x:v>PASS</x:v>
      </x:c>
      <x:c r="K629" s="35" t="str">
        <x:v>PASS</x:v>
      </x:c>
      <x:c r="L629" s="35" t="str">
        <x:v>FAIL</x:v>
      </x:c>
      <x:c r="M629" s="35" t="str">
        <x:v>numeric coverage for applicable metric</x:v>
      </x:c>
      <x:c r="N629" s="35" t="str">
        <x:v>Deepseek-flash-v4/Result/Lang_13/result.json</x:v>
      </x:c>
      <x:c r="O629" s="39" t="n">
        <x:f>IF(AND(G629="RECORDED",ISNUMBER(H629)),H629,"")</x:f>
        <x:v>68.75</x:v>
      </x:c>
      <x:c r="P629" s="35" t="str">
        <x:v>INCONCLUSIVE</x:v>
      </x:c>
      <x:c r="Q629" s="35" t="str">
        <x:v>Deepseek-flash-v4/Result/Lang_13/result.json</x:v>
      </x:c>
    </x:row>
    <x:row r="630">
      <x:c r="A630" s="35" t="str">
        <x:v>deepseek</x:v>
      </x:c>
      <x:c r="B630" s="35" t="str">
        <x:v>Lang</x:v>
      </x:c>
      <x:c r="C630" s="35" t="str">
        <x:v>Round1</x:v>
      </x:c>
      <x:c r="D630" s="35" t="str">
        <x:v>Lang_14</x:v>
      </x:c>
      <x:c r="E630" s="35" t="str">
        <x:v>Line</x:v>
      </x:c>
      <x:c r="F630" s="35"/>
      <x:c r="G630" s="35" t="str">
        <x:v>A</x:v>
      </x:c>
      <x:c r="H630" s="39" t="str">
        <x:f>IF(ISNUMBER('Data'!E630),'Data'!E630*100,"")</x:f>
      </x:c>
      <x:c r="I630" s="35"/>
      <x:c r="J630" s="35" t="str">
        <x:v>PASS</x:v>
      </x:c>
      <x:c r="K630" s="35" t="str">
        <x:v>FAIL</x:v>
      </x:c>
      <x:c r="L630" s="35" t="str">
        <x:v>NOT_RUN</x:v>
      </x:c>
      <x:c r="M630" s="35" t="str">
        <x:v>coverage unavailable or execution/compile failed</x:v>
      </x:c>
      <x:c r="N630" s="35" t="str">
        <x:v>Deepseek-flash-v4/Result/Lang_14/result.json</x:v>
      </x:c>
      <x:c r="O630" s="39" t="str">
        <x:f>IF(AND(G630="RECORDED",ISNUMBER(H630)),H630,"")</x:f>
      </x:c>
      <x:c r="P630" s="35" t="str">
        <x:v>NOT_AVAILABLE</x:v>
      </x:c>
      <x:c r="Q630" s="35" t="str">
        <x:v>Deepseek-flash-v4/Result/Lang_14/result.json</x:v>
      </x:c>
    </x:row>
    <x:row r="631">
      <x:c r="A631" s="35" t="str">
        <x:v>deepseek</x:v>
      </x:c>
      <x:c r="B631" s="35" t="str">
        <x:v>Lang</x:v>
      </x:c>
      <x:c r="C631" s="35" t="str">
        <x:v>Round1</x:v>
      </x:c>
      <x:c r="D631" s="35" t="str">
        <x:v>Lang_15</x:v>
      </x:c>
      <x:c r="E631" s="35" t="str">
        <x:v>Line</x:v>
      </x:c>
      <x:c r="F631" s="35"/>
      <x:c r="G631" s="35" t="str">
        <x:v>A</x:v>
      </x:c>
      <x:c r="H631" s="39" t="str">
        <x:f>IF(ISNUMBER('Data'!E631),'Data'!E631*100,"")</x:f>
      </x:c>
      <x:c r="I631" s="35"/>
      <x:c r="J631" s="35" t="str">
        <x:v>PASS</x:v>
      </x:c>
      <x:c r="K631" s="35" t="str">
        <x:v>FAIL</x:v>
      </x:c>
      <x:c r="L631" s="35" t="str">
        <x:v>NOT_RUN</x:v>
      </x:c>
      <x:c r="M631" s="35" t="str">
        <x:v>coverage unavailable or execution/compile failed</x:v>
      </x:c>
      <x:c r="N631" s="35" t="str">
        <x:v>Deepseek-flash-v4/Result/Lang_15/result.json</x:v>
      </x:c>
      <x:c r="O631" s="39" t="str">
        <x:f>IF(AND(G631="RECORDED",ISNUMBER(H631)),H631,"")</x:f>
      </x:c>
      <x:c r="P631" s="35" t="str">
        <x:v>NOT_AVAILABLE</x:v>
      </x:c>
      <x:c r="Q631" s="35" t="str">
        <x:v>Deepseek-flash-v4/Result/Lang_15/result.json</x:v>
      </x:c>
    </x:row>
    <x:row r="632">
      <x:c r="A632" s="35" t="str">
        <x:v>deepseek</x:v>
      </x:c>
      <x:c r="B632" s="35" t="str">
        <x:v>Lang</x:v>
      </x:c>
      <x:c r="C632" s="35" t="str">
        <x:v>Round1</x:v>
      </x:c>
      <x:c r="D632" s="35" t="str">
        <x:v>Lang_16</x:v>
      </x:c>
      <x:c r="E632" s="35" t="str">
        <x:v>Line</x:v>
      </x:c>
      <x:c r="F632" s="35" t="n">
        <x:v>375</x:v>
      </x:c>
      <x:c r="G632" s="35" t="str">
        <x:v>RECORDED</x:v>
      </x:c>
      <x:c r="H632" s="39" t="n">
        <x:f>IF(ISNUMBER('Data'!E632),'Data'!E632*100,"")</x:f>
        <x:v>77.33</x:v>
      </x:c>
      <x:c r="I632" s="35" t="str">
        <x:v>PASS</x:v>
      </x:c>
      <x:c r="J632" s="35" t="str">
        <x:v>PASS</x:v>
      </x:c>
      <x:c r="K632" s="35" t="str">
        <x:v>PASS</x:v>
      </x:c>
      <x:c r="L632" s="35" t="str">
        <x:v>FAIL</x:v>
      </x:c>
      <x:c r="M632" s="35" t="str">
        <x:v>numeric coverage for applicable metric</x:v>
      </x:c>
      <x:c r="N632" s="35" t="str">
        <x:v>Deepseek-flash-v4/Result/Lang_16/result.json</x:v>
      </x:c>
      <x:c r="O632" s="39" t="n">
        <x:f>IF(AND(G632="RECORDED",ISNUMBER(H632)),H632,"")</x:f>
        <x:v>77.33</x:v>
      </x:c>
      <x:c r="P632" s="35" t="str">
        <x:v>INCONCLUSIVE</x:v>
      </x:c>
      <x:c r="Q632" s="35" t="str">
        <x:v>Deepseek-flash-v4/Result/Lang_16/result.json</x:v>
      </x:c>
    </x:row>
    <x:row r="633">
      <x:c r="A633" s="35" t="str">
        <x:v>deepseek</x:v>
      </x:c>
      <x:c r="B633" s="35" t="str">
        <x:v>Lang</x:v>
      </x:c>
      <x:c r="C633" s="35" t="str">
        <x:v>Round1</x:v>
      </x:c>
      <x:c r="D633" s="35" t="str">
        <x:v>Lang_17</x:v>
      </x:c>
      <x:c r="E633" s="35" t="str">
        <x:v>Line</x:v>
      </x:c>
      <x:c r="F633" s="35"/>
      <x:c r="G633" s="35" t="str">
        <x:v>A</x:v>
      </x:c>
      <x:c r="H633" s="39" t="str">
        <x:f>IF(ISNUMBER('Data'!E633),'Data'!E633*100,"")</x:f>
      </x:c>
      <x:c r="I633" s="35"/>
      <x:c r="J633" s="35" t="str">
        <x:v>PASS</x:v>
      </x:c>
      <x:c r="K633" s="35" t="str">
        <x:v>FAIL</x:v>
      </x:c>
      <x:c r="L633" s="35" t="str">
        <x:v>NOT_RUN</x:v>
      </x:c>
      <x:c r="M633" s="35" t="str">
        <x:v>coverage unavailable or execution/compile failed</x:v>
      </x:c>
      <x:c r="N633" s="35" t="str">
        <x:v>Deepseek-flash-v4/Result/Lang_17/result.json</x:v>
      </x:c>
      <x:c r="O633" s="39" t="str">
        <x:f>IF(AND(G633="RECORDED",ISNUMBER(H633)),H633,"")</x:f>
      </x:c>
      <x:c r="P633" s="35" t="str">
        <x:v>NOT_AVAILABLE</x:v>
      </x:c>
      <x:c r="Q633" s="35" t="str">
        <x:v>Deepseek-flash-v4/Result/Lang_17/result.json</x:v>
      </x:c>
    </x:row>
    <x:row r="634">
      <x:c r="A634" s="35" t="str">
        <x:v>deepseek</x:v>
      </x:c>
      <x:c r="B634" s="35" t="str">
        <x:v>Lang</x:v>
      </x:c>
      <x:c r="C634" s="35" t="str">
        <x:v>Round1</x:v>
      </x:c>
      <x:c r="D634" s="35" t="str">
        <x:v>Lang_19</x:v>
      </x:c>
      <x:c r="E634" s="35" t="str">
        <x:v>Line</x:v>
      </x:c>
      <x:c r="F634" s="35" t="n">
        <x:v>27</x:v>
      </x:c>
      <x:c r="G634" s="35" t="str">
        <x:v>RECORDED</x:v>
      </x:c>
      <x:c r="H634" s="39" t="n">
        <x:f>IF(ISNUMBER('Data'!E634),'Data'!E634*100,"")</x:f>
        <x:v>100</x:v>
      </x:c>
      <x:c r="I634" s="35" t="str">
        <x:v>PASS</x:v>
      </x:c>
      <x:c r="J634" s="35" t="str">
        <x:v>PASS</x:v>
      </x:c>
      <x:c r="K634" s="35" t="str">
        <x:v>PASS</x:v>
      </x:c>
      <x:c r="L634" s="35" t="str">
        <x:v>FAIL</x:v>
      </x:c>
      <x:c r="M634" s="35" t="str">
        <x:v>numeric coverage for applicable metric</x:v>
      </x:c>
      <x:c r="N634" s="35" t="str">
        <x:v>Deepseek-flash-v4/Result/Lang_19/result.json</x:v>
      </x:c>
      <x:c r="O634" s="39" t="n">
        <x:f>IF(AND(G634="RECORDED",ISNUMBER(H634)),H634,"")</x:f>
        <x:v>100</x:v>
      </x:c>
      <x:c r="P634" s="35" t="str">
        <x:v>INCONCLUSIVE</x:v>
      </x:c>
      <x:c r="Q634" s="35" t="str">
        <x:v>Deepseek-flash-v4/Result/Lang_19/result.json</x:v>
      </x:c>
    </x:row>
    <x:row r="635">
      <x:c r="A635" s="35" t="str">
        <x:v>deepseek</x:v>
      </x:c>
      <x:c r="B635" s="35" t="str">
        <x:v>Lang</x:v>
      </x:c>
      <x:c r="C635" s="35" t="str">
        <x:v>Round1</x:v>
      </x:c>
      <x:c r="D635" s="35" t="str">
        <x:v>Lang_20</x:v>
      </x:c>
      <x:c r="E635" s="35" t="str">
        <x:v>Line</x:v>
      </x:c>
      <x:c r="F635" s="35"/>
      <x:c r="G635" s="35" t="str">
        <x:v>A</x:v>
      </x:c>
      <x:c r="H635" s="39" t="str">
        <x:f>IF(ISNUMBER('Data'!E635),'Data'!E635*100,"")</x:f>
      </x:c>
      <x:c r="I635" s="35"/>
      <x:c r="J635" s="35" t="str">
        <x:v>PASS</x:v>
      </x:c>
      <x:c r="K635" s="35" t="str">
        <x:v>FAIL</x:v>
      </x:c>
      <x:c r="L635" s="35" t="str">
        <x:v>NOT_RUN</x:v>
      </x:c>
      <x:c r="M635" s="35" t="str">
        <x:v>coverage unavailable or execution/compile failed</x:v>
      </x:c>
      <x:c r="N635" s="35" t="str">
        <x:v>Deepseek-flash-v4/Result/Lang_20/result.json</x:v>
      </x:c>
      <x:c r="O635" s="39" t="str">
        <x:f>IF(AND(G635="RECORDED",ISNUMBER(H635)),H635,"")</x:f>
      </x:c>
      <x:c r="P635" s="35" t="str">
        <x:v>NOT_AVAILABLE</x:v>
      </x:c>
      <x:c r="Q635" s="35" t="str">
        <x:v>Deepseek-flash-v4/Result/Lang_20/result.json</x:v>
      </x:c>
    </x:row>
    <x:row r="636">
      <x:c r="A636" s="35" t="str">
        <x:v>deepseek</x:v>
      </x:c>
      <x:c r="B636" s="35" t="str">
        <x:v>Lang</x:v>
      </x:c>
      <x:c r="C636" s="35" t="str">
        <x:v>Round1</x:v>
      </x:c>
      <x:c r="D636" s="35" t="str">
        <x:v>Lang_21</x:v>
      </x:c>
      <x:c r="E636" s="35" t="str">
        <x:v>Line</x:v>
      </x:c>
      <x:c r="F636" s="35"/>
      <x:c r="G636" s="35" t="str">
        <x:v>A</x:v>
      </x:c>
      <x:c r="H636" s="39" t="str">
        <x:f>IF(ISNUMBER('Data'!E636),'Data'!E636*100,"")</x:f>
      </x:c>
      <x:c r="I636" s="35"/>
      <x:c r="J636" s="35" t="str">
        <x:v>PASS</x:v>
      </x:c>
      <x:c r="K636" s="35" t="str">
        <x:v>FAIL</x:v>
      </x:c>
      <x:c r="L636" s="35" t="str">
        <x:v>NOT_RUN</x:v>
      </x:c>
      <x:c r="M636" s="35" t="str">
        <x:v>coverage unavailable or execution/compile failed</x:v>
      </x:c>
      <x:c r="N636" s="35" t="str">
        <x:v>Deepseek-flash-v4/Result/Lang_21/result.json</x:v>
      </x:c>
      <x:c r="O636" s="39" t="str">
        <x:f>IF(AND(G636="RECORDED",ISNUMBER(H636)),H636,"")</x:f>
      </x:c>
      <x:c r="P636" s="35" t="str">
        <x:v>NOT_AVAILABLE</x:v>
      </x:c>
      <x:c r="Q636" s="35" t="str">
        <x:v>Deepseek-flash-v4/Result/Lang_21/result.json</x:v>
      </x:c>
    </x:row>
    <x:row r="637">
      <x:c r="A637" s="35" t="str">
        <x:v>deepseek</x:v>
      </x:c>
      <x:c r="B637" s="35" t="str">
        <x:v>Lang</x:v>
      </x:c>
      <x:c r="C637" s="35" t="str">
        <x:v>Round1</x:v>
      </x:c>
      <x:c r="D637" s="35" t="str">
        <x:v>Lang_22</x:v>
      </x:c>
      <x:c r="E637" s="35" t="str">
        <x:v>Line</x:v>
      </x:c>
      <x:c r="F637" s="35"/>
      <x:c r="G637" s="35" t="str">
        <x:v>A</x:v>
      </x:c>
      <x:c r="H637" s="39" t="str">
        <x:f>IF(ISNUMBER('Data'!E637),'Data'!E637*100,"")</x:f>
      </x:c>
      <x:c r="I637" s="35"/>
      <x:c r="J637" s="35" t="str">
        <x:v>PASS</x:v>
      </x:c>
      <x:c r="K637" s="35" t="str">
        <x:v>FAIL</x:v>
      </x:c>
      <x:c r="L637" s="35" t="str">
        <x:v>NOT_RUN</x:v>
      </x:c>
      <x:c r="M637" s="35" t="str">
        <x:v>coverage unavailable or execution/compile failed</x:v>
      </x:c>
      <x:c r="N637" s="35" t="str">
        <x:v>Deepseek-flash-v4/Result/Lang_22/result.json</x:v>
      </x:c>
      <x:c r="O637" s="39" t="str">
        <x:f>IF(AND(G637="RECORDED",ISNUMBER(H637)),H637,"")</x:f>
      </x:c>
      <x:c r="P637" s="35" t="str">
        <x:v>NOT_AVAILABLE</x:v>
      </x:c>
      <x:c r="Q637" s="35" t="str">
        <x:v>Deepseek-flash-v4/Result/Lang_22/result.json</x:v>
      </x:c>
    </x:row>
    <x:row r="638">
      <x:c r="A638" s="35" t="str">
        <x:v>deepseek</x:v>
      </x:c>
      <x:c r="B638" s="35" t="str">
        <x:v>Lang</x:v>
      </x:c>
      <x:c r="C638" s="35" t="str">
        <x:v>Round1</x:v>
      </x:c>
      <x:c r="D638" s="35" t="str">
        <x:v>Lang_23</x:v>
      </x:c>
      <x:c r="E638" s="35" t="str">
        <x:v>Line</x:v>
      </x:c>
      <x:c r="F638" s="35" t="n">
        <x:v>167</x:v>
      </x:c>
      <x:c r="G638" s="35" t="str">
        <x:v>RECORDED</x:v>
      </x:c>
      <x:c r="H638" s="39" t="n">
        <x:f>IF(ISNUMBER('Data'!E638),'Data'!E638*100,"")</x:f>
        <x:v>52.1</x:v>
      </x:c>
      <x:c r="I638" s="35" t="str">
        <x:v>PASS</x:v>
      </x:c>
      <x:c r="J638" s="35" t="str">
        <x:v>PASS</x:v>
      </x:c>
      <x:c r="K638" s="35" t="str">
        <x:v>PASS</x:v>
      </x:c>
      <x:c r="L638" s="35" t="str">
        <x:v>FAIL</x:v>
      </x:c>
      <x:c r="M638" s="35" t="str">
        <x:v>numeric coverage for applicable metric</x:v>
      </x:c>
      <x:c r="N638" s="35" t="str">
        <x:v>Deepseek-flash-v4/Result/Lang_23/result.json</x:v>
      </x:c>
      <x:c r="O638" s="39" t="n">
        <x:f>IF(AND(G638="RECORDED",ISNUMBER(H638)),H638,"")</x:f>
        <x:v>52.1</x:v>
      </x:c>
      <x:c r="P638" s="35" t="str">
        <x:v>INCONCLUSIVE</x:v>
      </x:c>
      <x:c r="Q638" s="35" t="str">
        <x:v>Deepseek-flash-v4/Result/Lang_23/result.json</x:v>
      </x:c>
    </x:row>
    <x:row r="639">
      <x:c r="A639" s="35" t="str">
        <x:v>deepseek</x:v>
      </x:c>
      <x:c r="B639" s="35" t="str">
        <x:v>Lang</x:v>
      </x:c>
      <x:c r="C639" s="35" t="str">
        <x:v>Round1</x:v>
      </x:c>
      <x:c r="D639" s="35" t="str">
        <x:v>Lang_24</x:v>
      </x:c>
      <x:c r="E639" s="35" t="str">
        <x:v>Line</x:v>
      </x:c>
      <x:c r="F639" s="35" t="n">
        <x:v>376</x:v>
      </x:c>
      <x:c r="G639" s="35" t="str">
        <x:v>RECORDED</x:v>
      </x:c>
      <x:c r="H639" s="39" t="n">
        <x:f>IF(ISNUMBER('Data'!E639),'Data'!E639*100,"")</x:f>
        <x:v>64.89</x:v>
      </x:c>
      <x:c r="I639" s="35" t="str">
        <x:v>PASS</x:v>
      </x:c>
      <x:c r="J639" s="35" t="str">
        <x:v>PASS</x:v>
      </x:c>
      <x:c r="K639" s="35" t="str">
        <x:v>PASS</x:v>
      </x:c>
      <x:c r="L639" s="35" t="str">
        <x:v>FAIL</x:v>
      </x:c>
      <x:c r="M639" s="35" t="str">
        <x:v>numeric coverage for applicable metric</x:v>
      </x:c>
      <x:c r="N639" s="35" t="str">
        <x:v>Deepseek-flash-v4/Result/Lang_24/result.json</x:v>
      </x:c>
      <x:c r="O639" s="39" t="n">
        <x:f>IF(AND(G639="RECORDED",ISNUMBER(H639)),H639,"")</x:f>
        <x:v>64.89</x:v>
      </x:c>
      <x:c r="P639" s="35" t="str">
        <x:v>INCONCLUSIVE</x:v>
      </x:c>
      <x:c r="Q639" s="35" t="str">
        <x:v>Deepseek-flash-v4/Result/Lang_24/result.json</x:v>
      </x:c>
    </x:row>
    <x:row r="640">
      <x:c r="A640" s="35" t="str">
        <x:v>deepseek</x:v>
      </x:c>
      <x:c r="B640" s="35" t="str">
        <x:v>Lang</x:v>
      </x:c>
      <x:c r="C640" s="35" t="str">
        <x:v>Round1</x:v>
      </x:c>
      <x:c r="D640" s="35" t="str">
        <x:v>Lang_26</x:v>
      </x:c>
      <x:c r="E640" s="35" t="str">
        <x:v>Line</x:v>
      </x:c>
      <x:c r="F640" s="35" t="n">
        <x:v>465</x:v>
      </x:c>
      <x:c r="G640" s="35" t="str">
        <x:v>RECORDED</x:v>
      </x:c>
      <x:c r="H640" s="39" t="n">
        <x:f>IF(ISNUMBER('Data'!E640),'Data'!E640*100,"")</x:f>
        <x:v>85.38</x:v>
      </x:c>
      <x:c r="I640" s="35" t="str">
        <x:v>PASS</x:v>
      </x:c>
      <x:c r="J640" s="35" t="str">
        <x:v>PASS</x:v>
      </x:c>
      <x:c r="K640" s="35" t="str">
        <x:v>PASS</x:v>
      </x:c>
      <x:c r="L640" s="35" t="str">
        <x:v>FAIL</x:v>
      </x:c>
      <x:c r="M640" s="35" t="str">
        <x:v>numeric coverage for applicable metric</x:v>
      </x:c>
      <x:c r="N640" s="35" t="str">
        <x:v>Deepseek-flash-v4/Result/Lang_26/result.json</x:v>
      </x:c>
      <x:c r="O640" s="39" t="n">
        <x:f>IF(AND(G640="RECORDED",ISNUMBER(H640)),H640,"")</x:f>
        <x:v>85.38</x:v>
      </x:c>
      <x:c r="P640" s="35" t="str">
        <x:v>INCONCLUSIVE</x:v>
      </x:c>
      <x:c r="Q640" s="35" t="str">
        <x:v>Deepseek-flash-v4/Result/Lang_26/result.json</x:v>
      </x:c>
    </x:row>
    <x:row r="641">
      <x:c r="A641" s="35" t="str">
        <x:v>deepseek</x:v>
      </x:c>
      <x:c r="B641" s="35" t="str">
        <x:v>Lang</x:v>
      </x:c>
      <x:c r="C641" s="35" t="str">
        <x:v>Round1</x:v>
      </x:c>
      <x:c r="D641" s="35" t="str">
        <x:v>Lang_27</x:v>
      </x:c>
      <x:c r="E641" s="35" t="str">
        <x:v>Line</x:v>
      </x:c>
      <x:c r="F641" s="35" t="n">
        <x:v>374</x:v>
      </x:c>
      <x:c r="G641" s="35" t="str">
        <x:v>RECORDED</x:v>
      </x:c>
      <x:c r="H641" s="39" t="n">
        <x:f>IF(ISNUMBER('Data'!E641),'Data'!E641*100,"")</x:f>
        <x:v>70.86</x:v>
      </x:c>
      <x:c r="I641" s="35" t="str">
        <x:v>PASS</x:v>
      </x:c>
      <x:c r="J641" s="35" t="str">
        <x:v>PASS</x:v>
      </x:c>
      <x:c r="K641" s="35" t="str">
        <x:v>PASS</x:v>
      </x:c>
      <x:c r="L641" s="35" t="str">
        <x:v>FAIL</x:v>
      </x:c>
      <x:c r="M641" s="35" t="str">
        <x:v>numeric coverage for applicable metric</x:v>
      </x:c>
      <x:c r="N641" s="35" t="str">
        <x:v>Deepseek-flash-v4/Result/Lang_27/result.json</x:v>
      </x:c>
      <x:c r="O641" s="39" t="n">
        <x:f>IF(AND(G641="RECORDED",ISNUMBER(H641)),H641,"")</x:f>
        <x:v>70.86</x:v>
      </x:c>
      <x:c r="P641" s="35" t="str">
        <x:v>INCONCLUSIVE</x:v>
      </x:c>
      <x:c r="Q641" s="35" t="str">
        <x:v>Deepseek-flash-v4/Result/Lang_27/result.json</x:v>
      </x:c>
    </x:row>
    <x:row r="642">
      <x:c r="A642" s="35" t="str">
        <x:v>deepseek</x:v>
      </x:c>
      <x:c r="B642" s="35" t="str">
        <x:v>Lang</x:v>
      </x:c>
      <x:c r="C642" s="35" t="str">
        <x:v>Round1</x:v>
      </x:c>
      <x:c r="D642" s="35" t="str">
        <x:v>Lang_28</x:v>
      </x:c>
      <x:c r="E642" s="35" t="str">
        <x:v>Line</x:v>
      </x:c>
      <x:c r="F642" s="35" t="n">
        <x:v>20</x:v>
      </x:c>
      <x:c r="G642" s="35" t="str">
        <x:v>RECORDED</x:v>
      </x:c>
      <x:c r="H642" s="39" t="n">
        <x:f>IF(ISNUMBER('Data'!E642),'Data'!E642*100,"")</x:f>
        <x:v>95</x:v>
      </x:c>
      <x:c r="I642" s="35" t="str">
        <x:v>PASS</x:v>
      </x:c>
      <x:c r="J642" s="35" t="str">
        <x:v>PASS</x:v>
      </x:c>
      <x:c r="K642" s="35" t="str">
        <x:v>PASS</x:v>
      </x:c>
      <x:c r="L642" s="35" t="str">
        <x:v>FAIL</x:v>
      </x:c>
      <x:c r="M642" s="35" t="str">
        <x:v>numeric coverage for applicable metric</x:v>
      </x:c>
      <x:c r="N642" s="35" t="str">
        <x:v>Deepseek-flash-v4/Result/Lang_28/result.json</x:v>
      </x:c>
      <x:c r="O642" s="39" t="n">
        <x:f>IF(AND(G642="RECORDED",ISNUMBER(H642)),H642,"")</x:f>
        <x:v>95</x:v>
      </x:c>
      <x:c r="P642" s="35" t="str">
        <x:v>INCONCLUSIVE</x:v>
      </x:c>
      <x:c r="Q642" s="35" t="str">
        <x:v>Deepseek-flash-v4/Result/Lang_28/result.json</x:v>
      </x:c>
    </x:row>
    <x:row r="643">
      <x:c r="A643" s="35" t="str">
        <x:v>deepseek</x:v>
      </x:c>
      <x:c r="B643" s="35" t="str">
        <x:v>Lang</x:v>
      </x:c>
      <x:c r="C643" s="35" t="str">
        <x:v>Round1</x:v>
      </x:c>
      <x:c r="D643" s="35" t="str">
        <x:v>Lang_29</x:v>
      </x:c>
      <x:c r="E643" s="35" t="str">
        <x:v>Line</x:v>
      </x:c>
      <x:c r="F643" s="35"/>
      <x:c r="G643" s="35" t="str">
        <x:v>A</x:v>
      </x:c>
      <x:c r="H643" s="39" t="str">
        <x:f>IF(ISNUMBER('Data'!E643),'Data'!E643*100,"")</x:f>
      </x:c>
      <x:c r="I643" s="35"/>
      <x:c r="J643" s="35" t="str">
        <x:v>PASS</x:v>
      </x:c>
      <x:c r="K643" s="35" t="str">
        <x:v>FAIL</x:v>
      </x:c>
      <x:c r="L643" s="35" t="str">
        <x:v>NOT_RUN</x:v>
      </x:c>
      <x:c r="M643" s="35" t="str">
        <x:v>coverage unavailable or execution/compile failed</x:v>
      </x:c>
      <x:c r="N643" s="35" t="str">
        <x:v>Deepseek-flash-v4/Result/Lang_29/result.json</x:v>
      </x:c>
      <x:c r="O643" s="39" t="str">
        <x:f>IF(AND(G643="RECORDED",ISNUMBER(H643)),H643,"")</x:f>
      </x:c>
      <x:c r="P643" s="35" t="str">
        <x:v>NOT_AVAILABLE</x:v>
      </x:c>
      <x:c r="Q643" s="35" t="str">
        <x:v>Deepseek-flash-v4/Result/Lang_29/result.json</x:v>
      </x:c>
    </x:row>
    <x:row r="644">
      <x:c r="A644" s="35" t="str">
        <x:v>deepseek</x:v>
      </x:c>
      <x:c r="B644" s="35" t="str">
        <x:v>Lang</x:v>
      </x:c>
      <x:c r="C644" s="35" t="str">
        <x:v>Round1</x:v>
      </x:c>
      <x:c r="D644" s="35" t="str">
        <x:v>Lang_3</x:v>
      </x:c>
      <x:c r="E644" s="35" t="str">
        <x:v>Line</x:v>
      </x:c>
      <x:c r="F644" s="35"/>
      <x:c r="G644" s="35" t="str">
        <x:v>A</x:v>
      </x:c>
      <x:c r="H644" s="39" t="str">
        <x:f>IF(ISNUMBER('Data'!E644),'Data'!E644*100,"")</x:f>
      </x:c>
      <x:c r="I644" s="35"/>
      <x:c r="J644" s="35" t="str">
        <x:v>PASS</x:v>
      </x:c>
      <x:c r="K644" s="35" t="str">
        <x:v>FAIL</x:v>
      </x:c>
      <x:c r="L644" s="35" t="str">
        <x:v>NOT_RUN</x:v>
      </x:c>
      <x:c r="M644" s="35" t="str">
        <x:v>coverage unavailable or execution/compile failed</x:v>
      </x:c>
      <x:c r="N644" s="35" t="str">
        <x:v>Deepseek-flash-v4/Result/Lang_3/result.json</x:v>
      </x:c>
      <x:c r="O644" s="39" t="str">
        <x:f>IF(AND(G644="RECORDED",ISNUMBER(H644)),H644,"")</x:f>
      </x:c>
      <x:c r="P644" s="35" t="str">
        <x:v>NOT_AVAILABLE</x:v>
      </x:c>
      <x:c r="Q644" s="35" t="str">
        <x:v>Deepseek-flash-v4/Result/Lang_3/result.json</x:v>
      </x:c>
    </x:row>
    <x:row r="645">
      <x:c r="A645" s="35" t="str">
        <x:v>deepseek</x:v>
      </x:c>
      <x:c r="B645" s="35" t="str">
        <x:v>Lang</x:v>
      </x:c>
      <x:c r="C645" s="35" t="str">
        <x:v>Round1</x:v>
      </x:c>
      <x:c r="D645" s="35" t="str">
        <x:v>Lang_30</x:v>
      </x:c>
      <x:c r="E645" s="35" t="str">
        <x:v>Line</x:v>
      </x:c>
      <x:c r="F645" s="35"/>
      <x:c r="G645" s="35" t="str">
        <x:v>A</x:v>
      </x:c>
      <x:c r="H645" s="39" t="str">
        <x:f>IF(ISNUMBER('Data'!E645),'Data'!E645*100,"")</x:f>
      </x:c>
      <x:c r="I645" s="35"/>
      <x:c r="J645" s="35" t="str">
        <x:v>PASS</x:v>
      </x:c>
      <x:c r="K645" s="35" t="str">
        <x:v>FAIL</x:v>
      </x:c>
      <x:c r="L645" s="35" t="str">
        <x:v>NOT_RUN</x:v>
      </x:c>
      <x:c r="M645" s="35" t="str">
        <x:v>coverage unavailable or execution/compile failed</x:v>
      </x:c>
      <x:c r="N645" s="35" t="str">
        <x:v>Deepseek-flash-v4/Result/Lang_30/result.json</x:v>
      </x:c>
      <x:c r="O645" s="39" t="str">
        <x:f>IF(AND(G645="RECORDED",ISNUMBER(H645)),H645,"")</x:f>
      </x:c>
      <x:c r="P645" s="35" t="str">
        <x:v>NOT_AVAILABLE</x:v>
      </x:c>
      <x:c r="Q645" s="35" t="str">
        <x:v>Deepseek-flash-v4/Result/Lang_30/result.json</x:v>
      </x:c>
    </x:row>
    <x:row r="646">
      <x:c r="A646" s="35" t="str">
        <x:v>deepseek</x:v>
      </x:c>
      <x:c r="B646" s="35" t="str">
        <x:v>Lang</x:v>
      </x:c>
      <x:c r="C646" s="35" t="str">
        <x:v>Round1</x:v>
      </x:c>
      <x:c r="D646" s="35" t="str">
        <x:v>Lang_31</x:v>
      </x:c>
      <x:c r="E646" s="35" t="str">
        <x:v>Line</x:v>
      </x:c>
      <x:c r="F646" s="35"/>
      <x:c r="G646" s="35" t="str">
        <x:v>A</x:v>
      </x:c>
      <x:c r="H646" s="39" t="str">
        <x:f>IF(ISNUMBER('Data'!E646),'Data'!E646*100,"")</x:f>
      </x:c>
      <x:c r="I646" s="35"/>
      <x:c r="J646" s="35" t="str">
        <x:v>PASS</x:v>
      </x:c>
      <x:c r="K646" s="35" t="str">
        <x:v>FAIL</x:v>
      </x:c>
      <x:c r="L646" s="35" t="str">
        <x:v>NOT_RUN</x:v>
      </x:c>
      <x:c r="M646" s="35" t="str">
        <x:v>coverage unavailable or execution/compile failed</x:v>
      </x:c>
      <x:c r="N646" s="35" t="str">
        <x:v>Deepseek-flash-v4/Result/Lang_31/result.json</x:v>
      </x:c>
      <x:c r="O646" s="39" t="str">
        <x:f>IF(AND(G646="RECORDED",ISNUMBER(H646)),H646,"")</x:f>
      </x:c>
      <x:c r="P646" s="35" t="str">
        <x:v>NOT_AVAILABLE</x:v>
      </x:c>
      <x:c r="Q646" s="35" t="str">
        <x:v>Deepseek-flash-v4/Result/Lang_31/result.json</x:v>
      </x:c>
    </x:row>
    <x:row r="647">
      <x:c r="A647" s="35" t="str">
        <x:v>deepseek</x:v>
      </x:c>
      <x:c r="B647" s="35" t="str">
        <x:v>Lang</x:v>
      </x:c>
      <x:c r="C647" s="35" t="str">
        <x:v>Round1</x:v>
      </x:c>
      <x:c r="D647" s="35" t="str">
        <x:v>Lang_32</x:v>
      </x:c>
      <x:c r="E647" s="35" t="str">
        <x:v>Line</x:v>
      </x:c>
      <x:c r="F647" s="35"/>
      <x:c r="G647" s="35" t="str">
        <x:v>A</x:v>
      </x:c>
      <x:c r="H647" s="39" t="str">
        <x:f>IF(ISNUMBER('Data'!E647),'Data'!E647*100,"")</x:f>
      </x:c>
      <x:c r="I647" s="35"/>
      <x:c r="J647" s="35" t="str">
        <x:v>PASS</x:v>
      </x:c>
      <x:c r="K647" s="35" t="str">
        <x:v>FAIL</x:v>
      </x:c>
      <x:c r="L647" s="35" t="str">
        <x:v>NOT_RUN</x:v>
      </x:c>
      <x:c r="M647" s="35" t="str">
        <x:v>coverage unavailable or execution/compile failed</x:v>
      </x:c>
      <x:c r="N647" s="35" t="str">
        <x:v>Deepseek-flash-v4/Result/Lang_32/result.json</x:v>
      </x:c>
      <x:c r="O647" s="39" t="str">
        <x:f>IF(AND(G647="RECORDED",ISNUMBER(H647)),H647,"")</x:f>
      </x:c>
      <x:c r="P647" s="35" t="str">
        <x:v>NOT_AVAILABLE</x:v>
      </x:c>
      <x:c r="Q647" s="35" t="str">
        <x:v>Deepseek-flash-v4/Result/Lang_32/result.json</x:v>
      </x:c>
    </x:row>
    <x:row r="648">
      <x:c r="A648" s="35" t="str">
        <x:v>deepseek</x:v>
      </x:c>
      <x:c r="B648" s="35" t="str">
        <x:v>Lang</x:v>
      </x:c>
      <x:c r="C648" s="35" t="str">
        <x:v>Round1</x:v>
      </x:c>
      <x:c r="D648" s="35" t="str">
        <x:v>Lang_33</x:v>
      </x:c>
      <x:c r="E648" s="35" t="str">
        <x:v>Line</x:v>
      </x:c>
      <x:c r="F648" s="35"/>
      <x:c r="G648" s="35" t="str">
        <x:v>A</x:v>
      </x:c>
      <x:c r="H648" s="39" t="str">
        <x:f>IF(ISNUMBER('Data'!E648),'Data'!E648*100,"")</x:f>
      </x:c>
      <x:c r="I648" s="35"/>
      <x:c r="J648" s="35" t="str">
        <x:v>PASS</x:v>
      </x:c>
      <x:c r="K648" s="35" t="str">
        <x:v>FAIL</x:v>
      </x:c>
      <x:c r="L648" s="35" t="str">
        <x:v>NOT_RUN</x:v>
      </x:c>
      <x:c r="M648" s="35" t="str">
        <x:v>coverage unavailable or execution/compile failed</x:v>
      </x:c>
      <x:c r="N648" s="35" t="str">
        <x:v>Deepseek-flash-v4/Result/Lang_33/result.json</x:v>
      </x:c>
      <x:c r="O648" s="39" t="str">
        <x:f>IF(AND(G648="RECORDED",ISNUMBER(H648)),H648,"")</x:f>
      </x:c>
      <x:c r="P648" s="35" t="str">
        <x:v>NOT_AVAILABLE</x:v>
      </x:c>
      <x:c r="Q648" s="35" t="str">
        <x:v>Deepseek-flash-v4/Result/Lang_33/result.json</x:v>
      </x:c>
    </x:row>
    <x:row r="649">
      <x:c r="A649" s="35" t="str">
        <x:v>deepseek</x:v>
      </x:c>
      <x:c r="B649" s="35" t="str">
        <x:v>Lang</x:v>
      </x:c>
      <x:c r="C649" s="35" t="str">
        <x:v>Round1</x:v>
      </x:c>
      <x:c r="D649" s="35" t="str">
        <x:v>Lang_34</x:v>
      </x:c>
      <x:c r="E649" s="35" t="str">
        <x:v>Line</x:v>
      </x:c>
      <x:c r="F649" s="35"/>
      <x:c r="G649" s="35" t="str">
        <x:v>A</x:v>
      </x:c>
      <x:c r="H649" s="39" t="str">
        <x:f>IF(ISNUMBER('Data'!E649),'Data'!E649*100,"")</x:f>
      </x:c>
      <x:c r="I649" s="35"/>
      <x:c r="J649" s="35" t="str">
        <x:v>PASS</x:v>
      </x:c>
      <x:c r="K649" s="35" t="str">
        <x:v>FAIL</x:v>
      </x:c>
      <x:c r="L649" s="35" t="str">
        <x:v>NOT_RUN</x:v>
      </x:c>
      <x:c r="M649" s="35" t="str">
        <x:v>coverage unavailable or execution/compile failed</x:v>
      </x:c>
      <x:c r="N649" s="35" t="str">
        <x:v>Deepseek-flash-v4/Result/Lang_34/result.json</x:v>
      </x:c>
      <x:c r="O649" s="39" t="str">
        <x:f>IF(AND(G649="RECORDED",ISNUMBER(H649)),H649,"")</x:f>
      </x:c>
      <x:c r="P649" s="35" t="str">
        <x:v>NOT_AVAILABLE</x:v>
      </x:c>
      <x:c r="Q649" s="35" t="str">
        <x:v>Deepseek-flash-v4/Result/Lang_34/result.json</x:v>
      </x:c>
    </x:row>
    <x:row r="650">
      <x:c r="A650" s="35" t="str">
        <x:v>deepseek</x:v>
      </x:c>
      <x:c r="B650" s="35" t="str">
        <x:v>Lang</x:v>
      </x:c>
      <x:c r="C650" s="35" t="str">
        <x:v>Round1</x:v>
      </x:c>
      <x:c r="D650" s="35" t="str">
        <x:v>Lang_35</x:v>
      </x:c>
      <x:c r="E650" s="35" t="str">
        <x:v>Line</x:v>
      </x:c>
      <x:c r="F650" s="35"/>
      <x:c r="G650" s="35" t="str">
        <x:v>A</x:v>
      </x:c>
      <x:c r="H650" s="39" t="str">
        <x:f>IF(ISNUMBER('Data'!E650),'Data'!E650*100,"")</x:f>
      </x:c>
      <x:c r="I650" s="35"/>
      <x:c r="J650" s="35" t="str">
        <x:v>PASS</x:v>
      </x:c>
      <x:c r="K650" s="35" t="str">
        <x:v>FAIL</x:v>
      </x:c>
      <x:c r="L650" s="35" t="str">
        <x:v>NOT_RUN</x:v>
      </x:c>
      <x:c r="M650" s="35" t="str">
        <x:v>coverage unavailable or execution/compile failed</x:v>
      </x:c>
      <x:c r="N650" s="35" t="str">
        <x:v>Deepseek-flash-v4/Result/Lang_35/result.json</x:v>
      </x:c>
      <x:c r="O650" s="39" t="str">
        <x:f>IF(AND(G650="RECORDED",ISNUMBER(H650)),H650,"")</x:f>
      </x:c>
      <x:c r="P650" s="35" t="str">
        <x:v>NOT_AVAILABLE</x:v>
      </x:c>
      <x:c r="Q650" s="35" t="str">
        <x:v>Deepseek-flash-v4/Result/Lang_35/result.json</x:v>
      </x:c>
    </x:row>
    <x:row r="651">
      <x:c r="A651" s="35" t="str">
        <x:v>deepseek</x:v>
      </x:c>
      <x:c r="B651" s="35" t="str">
        <x:v>Lang</x:v>
      </x:c>
      <x:c r="C651" s="35" t="str">
        <x:v>Round1</x:v>
      </x:c>
      <x:c r="D651" s="35" t="str">
        <x:v>Lang_36</x:v>
      </x:c>
      <x:c r="E651" s="35" t="str">
        <x:v>Line</x:v>
      </x:c>
      <x:c r="F651" s="35"/>
      <x:c r="G651" s="35" t="str">
        <x:v>A</x:v>
      </x:c>
      <x:c r="H651" s="39" t="str">
        <x:f>IF(ISNUMBER('Data'!E651),'Data'!E651*100,"")</x:f>
      </x:c>
      <x:c r="I651" s="35"/>
      <x:c r="J651" s="35" t="str">
        <x:v>PASS</x:v>
      </x:c>
      <x:c r="K651" s="35" t="str">
        <x:v>FAIL</x:v>
      </x:c>
      <x:c r="L651" s="35" t="str">
        <x:v>NOT_RUN</x:v>
      </x:c>
      <x:c r="M651" s="35" t="str">
        <x:v>coverage unavailable or execution/compile failed</x:v>
      </x:c>
      <x:c r="N651" s="35" t="str">
        <x:v>Deepseek-flash-v4/Result/Lang_36/result.json</x:v>
      </x:c>
      <x:c r="O651" s="39" t="str">
        <x:f>IF(AND(G651="RECORDED",ISNUMBER(H651)),H651,"")</x:f>
      </x:c>
      <x:c r="P651" s="35" t="str">
        <x:v>NOT_AVAILABLE</x:v>
      </x:c>
      <x:c r="Q651" s="35" t="str">
        <x:v>Deepseek-flash-v4/Result/Lang_36/result.json</x:v>
      </x:c>
    </x:row>
    <x:row r="652">
      <x:c r="A652" s="35" t="str">
        <x:v>deepseek</x:v>
      </x:c>
      <x:c r="B652" s="35" t="str">
        <x:v>Lang</x:v>
      </x:c>
      <x:c r="C652" s="35" t="str">
        <x:v>Round1</x:v>
      </x:c>
      <x:c r="D652" s="35" t="str">
        <x:v>Lang_37</x:v>
      </x:c>
      <x:c r="E652" s="35" t="str">
        <x:v>Line</x:v>
      </x:c>
      <x:c r="F652" s="35"/>
      <x:c r="G652" s="35" t="str">
        <x:v>A</x:v>
      </x:c>
      <x:c r="H652" s="39" t="str">
        <x:f>IF(ISNUMBER('Data'!E652),'Data'!E652*100,"")</x:f>
      </x:c>
      <x:c r="I652" s="35"/>
      <x:c r="J652" s="35" t="str">
        <x:v>PASS</x:v>
      </x:c>
      <x:c r="K652" s="35" t="str">
        <x:v>FAIL</x:v>
      </x:c>
      <x:c r="L652" s="35" t="str">
        <x:v>NOT_RUN</x:v>
      </x:c>
      <x:c r="M652" s="35" t="str">
        <x:v>coverage unavailable or execution/compile failed</x:v>
      </x:c>
      <x:c r="N652" s="35" t="str">
        <x:v>Deepseek-flash-v4/Result/Lang_37/result.json</x:v>
      </x:c>
      <x:c r="O652" s="39" t="str">
        <x:f>IF(AND(G652="RECORDED",ISNUMBER(H652)),H652,"")</x:f>
      </x:c>
      <x:c r="P652" s="35" t="str">
        <x:v>NOT_AVAILABLE</x:v>
      </x:c>
      <x:c r="Q652" s="35" t="str">
        <x:v>Deepseek-flash-v4/Result/Lang_37/result.json</x:v>
      </x:c>
    </x:row>
    <x:row r="653">
      <x:c r="A653" s="35" t="str">
        <x:v>deepseek</x:v>
      </x:c>
      <x:c r="B653" s="35" t="str">
        <x:v>Lang</x:v>
      </x:c>
      <x:c r="C653" s="35" t="str">
        <x:v>Round1</x:v>
      </x:c>
      <x:c r="D653" s="35" t="str">
        <x:v>Lang_38</x:v>
      </x:c>
      <x:c r="E653" s="35" t="str">
        <x:v>Line</x:v>
      </x:c>
      <x:c r="F653" s="35" t="n">
        <x:v>464</x:v>
      </x:c>
      <x:c r="G653" s="35" t="str">
        <x:v>RECORDED</x:v>
      </x:c>
      <x:c r="H653" s="39" t="n">
        <x:f>IF(ISNUMBER('Data'!E653),'Data'!E653*100,"")</x:f>
        <x:v>77.59</x:v>
      </x:c>
      <x:c r="I653" s="35" t="str">
        <x:v>PASS</x:v>
      </x:c>
      <x:c r="J653" s="35" t="str">
        <x:v>PASS</x:v>
      </x:c>
      <x:c r="K653" s="35" t="str">
        <x:v>PASS</x:v>
      </x:c>
      <x:c r="L653" s="35" t="str">
        <x:v>FAIL</x:v>
      </x:c>
      <x:c r="M653" s="35" t="str">
        <x:v>numeric coverage for applicable metric</x:v>
      </x:c>
      <x:c r="N653" s="35" t="str">
        <x:v>Deepseek-flash-v4/Result/Lang_38/result.json</x:v>
      </x:c>
      <x:c r="O653" s="39" t="n">
        <x:f>IF(AND(G653="RECORDED",ISNUMBER(H653)),H653,"")</x:f>
        <x:v>77.59</x:v>
      </x:c>
      <x:c r="P653" s="35" t="str">
        <x:v>REVEALING</x:v>
      </x:c>
      <x:c r="Q653" s="35" t="str">
        <x:v>Deepseek-flash-v4/Result/Lang_38/result.json</x:v>
      </x:c>
    </x:row>
    <x:row r="654">
      <x:c r="A654" s="35" t="str">
        <x:v>deepseek</x:v>
      </x:c>
      <x:c r="B654" s="35" t="str">
        <x:v>Lang</x:v>
      </x:c>
      <x:c r="C654" s="35" t="str">
        <x:v>Round1</x:v>
      </x:c>
      <x:c r="D654" s="35" t="str">
        <x:v>Lang_39</x:v>
      </x:c>
      <x:c r="E654" s="35" t="str">
        <x:v>Line</x:v>
      </x:c>
      <x:c r="F654" s="35"/>
      <x:c r="G654" s="35" t="str">
        <x:v>A</x:v>
      </x:c>
      <x:c r="H654" s="39" t="str">
        <x:f>IF(ISNUMBER('Data'!E654),'Data'!E654*100,"")</x:f>
      </x:c>
      <x:c r="I654" s="35"/>
      <x:c r="J654" s="35" t="str">
        <x:v>PASS</x:v>
      </x:c>
      <x:c r="K654" s="35" t="str">
        <x:v>FAIL</x:v>
      </x:c>
      <x:c r="L654" s="35" t="str">
        <x:v>NOT_RUN</x:v>
      </x:c>
      <x:c r="M654" s="35" t="str">
        <x:v>coverage unavailable or execution/compile failed</x:v>
      </x:c>
      <x:c r="N654" s="35" t="str">
        <x:v>Deepseek-flash-v4/Result/Lang_39/result.json</x:v>
      </x:c>
      <x:c r="O654" s="39" t="str">
        <x:f>IF(AND(G654="RECORDED",ISNUMBER(H654)),H654,"")</x:f>
      </x:c>
      <x:c r="P654" s="35" t="str">
        <x:v>NOT_AVAILABLE</x:v>
      </x:c>
      <x:c r="Q654" s="35" t="str">
        <x:v>Deepseek-flash-v4/Result/Lang_39/result.json</x:v>
      </x:c>
    </x:row>
    <x:row r="655">
      <x:c r="A655" s="35" t="str">
        <x:v>deepseek</x:v>
      </x:c>
      <x:c r="B655" s="35" t="str">
        <x:v>Lang</x:v>
      </x:c>
      <x:c r="C655" s="35" t="str">
        <x:v>Round1</x:v>
      </x:c>
      <x:c r="D655" s="35" t="str">
        <x:v>Lang_4</x:v>
      </x:c>
      <x:c r="E655" s="35" t="str">
        <x:v>Line</x:v>
      </x:c>
      <x:c r="F655" s="35" t="n">
        <x:v>25</x:v>
      </x:c>
      <x:c r="G655" s="35" t="str">
        <x:v>RECORDED</x:v>
      </x:c>
      <x:c r="H655" s="39" t="n">
        <x:f>IF(ISNUMBER('Data'!E655),'Data'!E655*100,"")</x:f>
        <x:v>100</x:v>
      </x:c>
      <x:c r="I655" s="35" t="str">
        <x:v>PASS</x:v>
      </x:c>
      <x:c r="J655" s="35" t="str">
        <x:v>PASS</x:v>
      </x:c>
      <x:c r="K655" s="35" t="str">
        <x:v>PASS</x:v>
      </x:c>
      <x:c r="L655" s="35" t="str">
        <x:v>FAIL</x:v>
      </x:c>
      <x:c r="M655" s="35" t="str">
        <x:v>numeric coverage for applicable metric</x:v>
      </x:c>
      <x:c r="N655" s="35" t="str">
        <x:v>Deepseek-flash-v4/Result/Lang_4/result.json</x:v>
      </x:c>
      <x:c r="O655" s="39" t="n">
        <x:f>IF(AND(G655="RECORDED",ISNUMBER(H655)),H655,"")</x:f>
        <x:v>100</x:v>
      </x:c>
      <x:c r="P655" s="35" t="str">
        <x:v>INCONCLUSIVE</x:v>
      </x:c>
      <x:c r="Q655" s="35" t="str">
        <x:v>Deepseek-flash-v4/Result/Lang_4/result.json</x:v>
      </x:c>
    </x:row>
    <x:row r="656">
      <x:c r="A656" s="35" t="str">
        <x:v>deepseek</x:v>
      </x:c>
      <x:c r="B656" s="35" t="str">
        <x:v>Lang</x:v>
      </x:c>
      <x:c r="C656" s="35" t="str">
        <x:v>Round1</x:v>
      </x:c>
      <x:c r="D656" s="35" t="str">
        <x:v>Lang_40</x:v>
      </x:c>
      <x:c r="E656" s="35" t="str">
        <x:v>Line</x:v>
      </x:c>
      <x:c r="F656" s="35"/>
      <x:c r="G656" s="35" t="str">
        <x:v>A</x:v>
      </x:c>
      <x:c r="H656" s="39" t="str">
        <x:f>IF(ISNUMBER('Data'!E656),'Data'!E656*100,"")</x:f>
      </x:c>
      <x:c r="I656" s="35"/>
      <x:c r="J656" s="35" t="str">
        <x:v>PASS</x:v>
      </x:c>
      <x:c r="K656" s="35" t="str">
        <x:v>FAIL</x:v>
      </x:c>
      <x:c r="L656" s="35" t="str">
        <x:v>NOT_RUN</x:v>
      </x:c>
      <x:c r="M656" s="35" t="str">
        <x:v>coverage unavailable or execution/compile failed</x:v>
      </x:c>
      <x:c r="N656" s="35" t="str">
        <x:v>Deepseek-flash-v4/Result/Lang_40/result.json</x:v>
      </x:c>
      <x:c r="O656" s="39" t="str">
        <x:f>IF(AND(G656="RECORDED",ISNUMBER(H656)),H656,"")</x:f>
      </x:c>
      <x:c r="P656" s="35" t="str">
        <x:v>NOT_AVAILABLE</x:v>
      </x:c>
      <x:c r="Q656" s="35" t="str">
        <x:v>Deepseek-flash-v4/Result/Lang_40/result.json</x:v>
      </x:c>
    </x:row>
    <x:row r="657">
      <x:c r="A657" s="35" t="str">
        <x:v>deepseek</x:v>
      </x:c>
      <x:c r="B657" s="35" t="str">
        <x:v>Lang</x:v>
      </x:c>
      <x:c r="C657" s="35" t="str">
        <x:v>Round1</x:v>
      </x:c>
      <x:c r="D657" s="35" t="str">
        <x:v>Lang_41</x:v>
      </x:c>
      <x:c r="E657" s="35" t="str">
        <x:v>Line</x:v>
      </x:c>
      <x:c r="F657" s="35"/>
      <x:c r="G657" s="35" t="str">
        <x:v>A</x:v>
      </x:c>
      <x:c r="H657" s="39" t="str">
        <x:f>IF(ISNUMBER('Data'!E657),'Data'!E657*100,"")</x:f>
      </x:c>
      <x:c r="I657" s="35"/>
      <x:c r="J657" s="35" t="str">
        <x:v>PASS</x:v>
      </x:c>
      <x:c r="K657" s="35" t="str">
        <x:v>FAIL</x:v>
      </x:c>
      <x:c r="L657" s="35" t="str">
        <x:v>NOT_RUN</x:v>
      </x:c>
      <x:c r="M657" s="35" t="str">
        <x:v>coverage unavailable or execution/compile failed</x:v>
      </x:c>
      <x:c r="N657" s="35" t="str">
        <x:v>Deepseek-flash-v4/Result/Lang_41/result.json</x:v>
      </x:c>
      <x:c r="O657" s="39" t="str">
        <x:f>IF(AND(G657="RECORDED",ISNUMBER(H657)),H657,"")</x:f>
      </x:c>
      <x:c r="P657" s="35" t="str">
        <x:v>NOT_AVAILABLE</x:v>
      </x:c>
      <x:c r="Q657" s="35" t="str">
        <x:v>Deepseek-flash-v4/Result/Lang_41/result.json</x:v>
      </x:c>
    </x:row>
    <x:row r="658">
      <x:c r="A658" s="35" t="str">
        <x:v>deepseek</x:v>
      </x:c>
      <x:c r="B658" s="35" t="str">
        <x:v>Lang</x:v>
      </x:c>
      <x:c r="C658" s="35" t="str">
        <x:v>Round1</x:v>
      </x:c>
      <x:c r="D658" s="35" t="str">
        <x:v>Lang_42</x:v>
      </x:c>
      <x:c r="E658" s="35" t="str">
        <x:v>Line</x:v>
      </x:c>
      <x:c r="F658" s="35"/>
      <x:c r="G658" s="35" t="str">
        <x:v>A</x:v>
      </x:c>
      <x:c r="H658" s="39" t="str">
        <x:f>IF(ISNUMBER('Data'!E658),'Data'!E658*100,"")</x:f>
      </x:c>
      <x:c r="I658" s="35"/>
      <x:c r="J658" s="35" t="str">
        <x:v>PASS</x:v>
      </x:c>
      <x:c r="K658" s="35" t="str">
        <x:v>FAIL</x:v>
      </x:c>
      <x:c r="L658" s="35" t="str">
        <x:v>NOT_RUN</x:v>
      </x:c>
      <x:c r="M658" s="35" t="str">
        <x:v>coverage unavailable or execution/compile failed</x:v>
      </x:c>
      <x:c r="N658" s="35" t="str">
        <x:v>Deepseek-flash-v4/Result/Lang_42/result.json</x:v>
      </x:c>
      <x:c r="O658" s="39" t="str">
        <x:f>IF(AND(G658="RECORDED",ISNUMBER(H658)),H658,"")</x:f>
      </x:c>
      <x:c r="P658" s="35" t="str">
        <x:v>NOT_AVAILABLE</x:v>
      </x:c>
      <x:c r="Q658" s="35" t="str">
        <x:v>Deepseek-flash-v4/Result/Lang_42/result.json</x:v>
      </x:c>
    </x:row>
    <x:row r="659">
      <x:c r="A659" s="35" t="str">
        <x:v>deepseek</x:v>
      </x:c>
      <x:c r="B659" s="35" t="str">
        <x:v>Lang</x:v>
      </x:c>
      <x:c r="C659" s="35" t="str">
        <x:v>Round1</x:v>
      </x:c>
      <x:c r="D659" s="35" t="str">
        <x:v>Lang_43</x:v>
      </x:c>
      <x:c r="E659" s="35" t="str">
        <x:v>Line</x:v>
      </x:c>
      <x:c r="F659" s="35"/>
      <x:c r="G659" s="35" t="str">
        <x:v>A</x:v>
      </x:c>
      <x:c r="H659" s="39" t="str">
        <x:f>IF(ISNUMBER('Data'!E659),'Data'!E659*100,"")</x:f>
      </x:c>
      <x:c r="I659" s="35"/>
      <x:c r="J659" s="35" t="str">
        <x:v>PASS</x:v>
      </x:c>
      <x:c r="K659" s="35" t="str">
        <x:v>FAIL</x:v>
      </x:c>
      <x:c r="L659" s="35" t="str">
        <x:v>NOT_RUN</x:v>
      </x:c>
      <x:c r="M659" s="35" t="str">
        <x:v>coverage unavailable or execution/compile failed</x:v>
      </x:c>
      <x:c r="N659" s="35" t="str">
        <x:v>Deepseek-flash-v4/Result/Lang_43/result.json</x:v>
      </x:c>
      <x:c r="O659" s="39" t="str">
        <x:f>IF(AND(G659="RECORDED",ISNUMBER(H659)),H659,"")</x:f>
      </x:c>
      <x:c r="P659" s="35" t="str">
        <x:v>NOT_AVAILABLE</x:v>
      </x:c>
      <x:c r="Q659" s="35" t="str">
        <x:v>Deepseek-flash-v4/Result/Lang_43/result.json</x:v>
      </x:c>
    </x:row>
    <x:row r="660">
      <x:c r="A660" s="35" t="str">
        <x:v>deepseek</x:v>
      </x:c>
      <x:c r="B660" s="35" t="str">
        <x:v>Lang</x:v>
      </x:c>
      <x:c r="C660" s="35" t="str">
        <x:v>Round1</x:v>
      </x:c>
      <x:c r="D660" s="35" t="str">
        <x:v>Lang_44</x:v>
      </x:c>
      <x:c r="E660" s="35" t="str">
        <x:v>Line</x:v>
      </x:c>
      <x:c r="F660" s="35" t="n">
        <x:v>190</x:v>
      </x:c>
      <x:c r="G660" s="35" t="str">
        <x:v>RECORDED</x:v>
      </x:c>
      <x:c r="H660" s="39" t="n">
        <x:f>IF(ISNUMBER('Data'!E660),'Data'!E660*100,"")</x:f>
        <x:v>65.26</x:v>
      </x:c>
      <x:c r="I660" s="35" t="str">
        <x:v>PASS</x:v>
      </x:c>
      <x:c r="J660" s="35" t="str">
        <x:v>PASS</x:v>
      </x:c>
      <x:c r="K660" s="35" t="str">
        <x:v>PASS</x:v>
      </x:c>
      <x:c r="L660" s="35" t="str">
        <x:v>FAIL</x:v>
      </x:c>
      <x:c r="M660" s="35" t="str">
        <x:v>numeric coverage for applicable metric</x:v>
      </x:c>
      <x:c r="N660" s="35" t="str">
        <x:v>Deepseek-flash-v4/Result/Lang_44/result.json</x:v>
      </x:c>
      <x:c r="O660" s="39" t="n">
        <x:f>IF(AND(G660="RECORDED",ISNUMBER(H660)),H660,"")</x:f>
        <x:v>65.26</x:v>
      </x:c>
      <x:c r="P660" s="35" t="str">
        <x:v>INCONCLUSIVE</x:v>
      </x:c>
      <x:c r="Q660" s="35" t="str">
        <x:v>Deepseek-flash-v4/Result/Lang_44/result.json</x:v>
      </x:c>
    </x:row>
    <x:row r="661">
      <x:c r="A661" s="35" t="str">
        <x:v>deepseek</x:v>
      </x:c>
      <x:c r="B661" s="35" t="str">
        <x:v>Lang</x:v>
      </x:c>
      <x:c r="C661" s="35" t="str">
        <x:v>Round1</x:v>
      </x:c>
      <x:c r="D661" s="35" t="str">
        <x:v>Lang_45</x:v>
      </x:c>
      <x:c r="E661" s="35" t="str">
        <x:v>Line</x:v>
      </x:c>
      <x:c r="F661" s="35" t="n">
        <x:v>138</x:v>
      </x:c>
      <x:c r="G661" s="35" t="str">
        <x:v>RECORDED</x:v>
      </x:c>
      <x:c r="H661" s="39" t="n">
        <x:f>IF(ISNUMBER('Data'!E661),'Data'!E661*100,"")</x:f>
        <x:v>94.93</x:v>
      </x:c>
      <x:c r="I661" s="35" t="str">
        <x:v>PASS</x:v>
      </x:c>
      <x:c r="J661" s="35" t="str">
        <x:v>PASS</x:v>
      </x:c>
      <x:c r="K661" s="35" t="str">
        <x:v>PASS</x:v>
      </x:c>
      <x:c r="L661" s="35" t="str">
        <x:v>FAIL</x:v>
      </x:c>
      <x:c r="M661" s="35" t="str">
        <x:v>numeric coverage for applicable metric</x:v>
      </x:c>
      <x:c r="N661" s="35" t="str">
        <x:v>Deepseek-flash-v4/Result/Lang_45/result.json</x:v>
      </x:c>
      <x:c r="O661" s="39" t="n">
        <x:f>IF(AND(G661="RECORDED",ISNUMBER(H661)),H661,"")</x:f>
        <x:v>94.93</x:v>
      </x:c>
      <x:c r="P661" s="35" t="str">
        <x:v>INCONCLUSIVE</x:v>
      </x:c>
      <x:c r="Q661" s="35" t="str">
        <x:v>Deepseek-flash-v4/Result/Lang_45/result.json</x:v>
      </x:c>
    </x:row>
    <x:row r="662">
      <x:c r="A662" s="35" t="str">
        <x:v>deepseek</x:v>
      </x:c>
      <x:c r="B662" s="35" t="str">
        <x:v>Lang</x:v>
      </x:c>
      <x:c r="C662" s="35" t="str">
        <x:v>Round1</x:v>
      </x:c>
      <x:c r="D662" s="35" t="str">
        <x:v>Lang_46</x:v>
      </x:c>
      <x:c r="E662" s="35" t="str">
        <x:v>Line</x:v>
      </x:c>
      <x:c r="F662" s="35"/>
      <x:c r="G662" s="35" t="str">
        <x:v>A</x:v>
      </x:c>
      <x:c r="H662" s="39" t="str">
        <x:f>IF(ISNUMBER('Data'!E662),'Data'!E662*100,"")</x:f>
      </x:c>
      <x:c r="I662" s="35"/>
      <x:c r="J662" s="35" t="str">
        <x:v>PASS</x:v>
      </x:c>
      <x:c r="K662" s="35" t="str">
        <x:v>FAIL</x:v>
      </x:c>
      <x:c r="L662" s="35" t="str">
        <x:v>NOT_RUN</x:v>
      </x:c>
      <x:c r="M662" s="35" t="str">
        <x:v>coverage unavailable or execution/compile failed</x:v>
      </x:c>
      <x:c r="N662" s="35" t="str">
        <x:v>Deepseek-flash-v4/Result/Lang_46/result.json</x:v>
      </x:c>
      <x:c r="O662" s="39" t="str">
        <x:f>IF(AND(G662="RECORDED",ISNUMBER(H662)),H662,"")</x:f>
      </x:c>
      <x:c r="P662" s="35" t="str">
        <x:v>NOT_AVAILABLE</x:v>
      </x:c>
      <x:c r="Q662" s="35" t="str">
        <x:v>Deepseek-flash-v4/Result/Lang_46/result.json</x:v>
      </x:c>
    </x:row>
    <x:row r="663">
      <x:c r="A663" s="35" t="str">
        <x:v>deepseek</x:v>
      </x:c>
      <x:c r="B663" s="35" t="str">
        <x:v>Lang</x:v>
      </x:c>
      <x:c r="C663" s="35" t="str">
        <x:v>Round1</x:v>
      </x:c>
      <x:c r="D663" s="35" t="str">
        <x:v>Lang_47</x:v>
      </x:c>
      <x:c r="E663" s="35" t="str">
        <x:v>Line</x:v>
      </x:c>
      <x:c r="F663" s="35"/>
      <x:c r="G663" s="35" t="str">
        <x:v>A</x:v>
      </x:c>
      <x:c r="H663" s="39" t="str">
        <x:f>IF(ISNUMBER('Data'!E663),'Data'!E663*100,"")</x:f>
      </x:c>
      <x:c r="I663" s="35"/>
      <x:c r="J663" s="35" t="str">
        <x:v>PASS</x:v>
      </x:c>
      <x:c r="K663" s="35" t="str">
        <x:v>FAIL</x:v>
      </x:c>
      <x:c r="L663" s="35" t="str">
        <x:v>NOT_RUN</x:v>
      </x:c>
      <x:c r="M663" s="35" t="str">
        <x:v>coverage unavailable or execution/compile failed</x:v>
      </x:c>
      <x:c r="N663" s="35" t="str">
        <x:v>Deepseek-flash-v4/Result/Lang_47/result.json</x:v>
      </x:c>
      <x:c r="O663" s="39" t="str">
        <x:f>IF(AND(G663="RECORDED",ISNUMBER(H663)),H663,"")</x:f>
      </x:c>
      <x:c r="P663" s="35" t="str">
        <x:v>NOT_AVAILABLE</x:v>
      </x:c>
      <x:c r="Q663" s="35" t="str">
        <x:v>Deepseek-flash-v4/Result/Lang_47/result.json</x:v>
      </x:c>
    </x:row>
    <x:row r="664">
      <x:c r="A664" s="35" t="str">
        <x:v>deepseek</x:v>
      </x:c>
      <x:c r="B664" s="35" t="str">
        <x:v>Lang</x:v>
      </x:c>
      <x:c r="C664" s="35" t="str">
        <x:v>Round1</x:v>
      </x:c>
      <x:c r="D664" s="35" t="str">
        <x:v>Lang_49</x:v>
      </x:c>
      <x:c r="E664" s="35" t="str">
        <x:v>Line</x:v>
      </x:c>
      <x:c r="F664" s="35" t="n">
        <x:v>276</x:v>
      </x:c>
      <x:c r="G664" s="35" t="str">
        <x:v>RECORDED</x:v>
      </x:c>
      <x:c r="H664" s="39" t="n">
        <x:f>IF(ISNUMBER('Data'!E664),'Data'!E664*100,"")</x:f>
        <x:v>93.48</x:v>
      </x:c>
      <x:c r="I664" s="35" t="str">
        <x:v>PASS</x:v>
      </x:c>
      <x:c r="J664" s="35" t="str">
        <x:v>PASS</x:v>
      </x:c>
      <x:c r="K664" s="35" t="str">
        <x:v>PASS</x:v>
      </x:c>
      <x:c r="L664" s="35" t="str">
        <x:v>FAIL</x:v>
      </x:c>
      <x:c r="M664" s="35" t="str">
        <x:v>numeric coverage for applicable metric</x:v>
      </x:c>
      <x:c r="N664" s="35" t="str">
        <x:v>Deepseek-flash-v4/Result/Lang_49/result.json</x:v>
      </x:c>
      <x:c r="O664" s="39" t="n">
        <x:f>IF(AND(G664="RECORDED",ISNUMBER(H664)),H664,"")</x:f>
        <x:v>93.48</x:v>
      </x:c>
      <x:c r="P664" s="35" t="str">
        <x:v>INCONCLUSIVE</x:v>
      </x:c>
      <x:c r="Q664" s="35" t="str">
        <x:v>Deepseek-flash-v4/Result/Lang_49/result.json</x:v>
      </x:c>
    </x:row>
    <x:row r="665">
      <x:c r="A665" s="35" t="str">
        <x:v>deepseek</x:v>
      </x:c>
      <x:c r="B665" s="35" t="str">
        <x:v>Lang</x:v>
      </x:c>
      <x:c r="C665" s="35" t="str">
        <x:v>Round1</x:v>
      </x:c>
      <x:c r="D665" s="35" t="str">
        <x:v>Lang_5</x:v>
      </x:c>
      <x:c r="E665" s="35" t="str">
        <x:v>Line</x:v>
      </x:c>
      <x:c r="F665" s="35" t="n">
        <x:v>82</x:v>
      </x:c>
      <x:c r="G665" s="35" t="str">
        <x:v>RECORDED</x:v>
      </x:c>
      <x:c r="H665" s="39" t="n">
        <x:f>IF(ISNUMBER('Data'!E665),'Data'!E665*100,"")</x:f>
        <x:v>93.9</x:v>
      </x:c>
      <x:c r="I665" s="35" t="str">
        <x:v>PASS</x:v>
      </x:c>
      <x:c r="J665" s="35" t="str">
        <x:v>PASS</x:v>
      </x:c>
      <x:c r="K665" s="35" t="str">
        <x:v>PASS</x:v>
      </x:c>
      <x:c r="L665" s="35" t="str">
        <x:v>FAIL</x:v>
      </x:c>
      <x:c r="M665" s="35" t="str">
        <x:v>numeric coverage for applicable metric</x:v>
      </x:c>
      <x:c r="N665" s="35" t="str">
        <x:v>Deepseek-flash-v4/Result/Lang_5/result.json</x:v>
      </x:c>
      <x:c r="O665" s="39" t="n">
        <x:f>IF(AND(G665="RECORDED",ISNUMBER(H665)),H665,"")</x:f>
        <x:v>93.9</x:v>
      </x:c>
      <x:c r="P665" s="35" t="str">
        <x:v>INCONCLUSIVE</x:v>
      </x:c>
      <x:c r="Q665" s="35" t="str">
        <x:v>Deepseek-flash-v4/Result/Lang_5/result.json</x:v>
      </x:c>
    </x:row>
    <x:row r="666">
      <x:c r="A666" s="35" t="str">
        <x:v>deepseek</x:v>
      </x:c>
      <x:c r="B666" s="35" t="str">
        <x:v>Lang</x:v>
      </x:c>
      <x:c r="C666" s="35" t="str">
        <x:v>Round1</x:v>
      </x:c>
      <x:c r="D666" s="35" t="str">
        <x:v>Lang_50</x:v>
      </x:c>
      <x:c r="E666" s="35" t="str">
        <x:v>Line</x:v>
      </x:c>
      <x:c r="F666" s="35"/>
      <x:c r="G666" s="35" t="str">
        <x:v>A</x:v>
      </x:c>
      <x:c r="H666" s="39" t="str">
        <x:f>IF(ISNUMBER('Data'!E666),'Data'!E666*100,"")</x:f>
      </x:c>
      <x:c r="I666" s="35"/>
      <x:c r="J666" s="35" t="str">
        <x:v>PASS</x:v>
      </x:c>
      <x:c r="K666" s="35" t="str">
        <x:v>FAIL</x:v>
      </x:c>
      <x:c r="L666" s="35" t="str">
        <x:v>NOT_RUN</x:v>
      </x:c>
      <x:c r="M666" s="35" t="str">
        <x:v>coverage unavailable or execution/compile failed</x:v>
      </x:c>
      <x:c r="N666" s="35" t="str">
        <x:v>Deepseek-flash-v4/Result/Lang_50/result.json</x:v>
      </x:c>
      <x:c r="O666" s="39" t="str">
        <x:f>IF(AND(G666="RECORDED",ISNUMBER(H666)),H666,"")</x:f>
      </x:c>
      <x:c r="P666" s="35" t="str">
        <x:v>NOT_AVAILABLE</x:v>
      </x:c>
      <x:c r="Q666" s="35" t="str">
        <x:v>Deepseek-flash-v4/Result/Lang_50/result.json</x:v>
      </x:c>
    </x:row>
    <x:row r="667">
      <x:c r="A667" s="35" t="str">
        <x:v>deepseek</x:v>
      </x:c>
      <x:c r="B667" s="35" t="str">
        <x:v>Lang</x:v>
      </x:c>
      <x:c r="C667" s="35" t="str">
        <x:v>Round1</x:v>
      </x:c>
      <x:c r="D667" s="35" t="str">
        <x:v>Lang_51</x:v>
      </x:c>
      <x:c r="E667" s="35" t="str">
        <x:v>Line</x:v>
      </x:c>
      <x:c r="F667" s="35" t="n">
        <x:v>171</x:v>
      </x:c>
      <x:c r="G667" s="35" t="str">
        <x:v>RECORDED</x:v>
      </x:c>
      <x:c r="H667" s="39" t="n">
        <x:f>IF(ISNUMBER('Data'!E667),'Data'!E667*100,"")</x:f>
        <x:v>90.64</x:v>
      </x:c>
      <x:c r="I667" s="35" t="str">
        <x:v>PASS</x:v>
      </x:c>
      <x:c r="J667" s="35" t="str">
        <x:v>PASS</x:v>
      </x:c>
      <x:c r="K667" s="35" t="str">
        <x:v>PASS</x:v>
      </x:c>
      <x:c r="L667" s="35" t="str">
        <x:v>FAIL</x:v>
      </x:c>
      <x:c r="M667" s="35" t="str">
        <x:v>numeric coverage for applicable metric</x:v>
      </x:c>
      <x:c r="N667" s="35" t="str">
        <x:v>Deepseek-flash-v4/Result/Lang_51/result.json</x:v>
      </x:c>
      <x:c r="O667" s="39" t="n">
        <x:f>IF(AND(G667="RECORDED",ISNUMBER(H667)),H667,"")</x:f>
        <x:v>90.64</x:v>
      </x:c>
      <x:c r="P667" s="35" t="str">
        <x:v>INCONCLUSIVE</x:v>
      </x:c>
      <x:c r="Q667" s="35" t="str">
        <x:v>Deepseek-flash-v4/Result/Lang_51/result.json</x:v>
      </x:c>
    </x:row>
    <x:row r="668">
      <x:c r="A668" s="35" t="str">
        <x:v>deepseek</x:v>
      </x:c>
      <x:c r="B668" s="35" t="str">
        <x:v>Lang</x:v>
      </x:c>
      <x:c r="C668" s="35" t="str">
        <x:v>Round1</x:v>
      </x:c>
      <x:c r="D668" s="35" t="str">
        <x:v>Lang_52</x:v>
      </x:c>
      <x:c r="E668" s="35" t="str">
        <x:v>Line</x:v>
      </x:c>
      <x:c r="F668" s="35"/>
      <x:c r="G668" s="35" t="str">
        <x:v>A</x:v>
      </x:c>
      <x:c r="H668" s="39" t="str">
        <x:f>IF(ISNUMBER('Data'!E668),'Data'!E668*100,"")</x:f>
      </x:c>
      <x:c r="I668" s="35"/>
      <x:c r="J668" s="35" t="str">
        <x:v>PASS</x:v>
      </x:c>
      <x:c r="K668" s="35" t="str">
        <x:v>FAIL</x:v>
      </x:c>
      <x:c r="L668" s="35" t="str">
        <x:v>NOT_RUN</x:v>
      </x:c>
      <x:c r="M668" s="35" t="str">
        <x:v>coverage unavailable or execution/compile failed</x:v>
      </x:c>
      <x:c r="N668" s="35" t="str">
        <x:v>Deepseek-flash-v4/Result/Lang_52/result.json</x:v>
      </x:c>
      <x:c r="O668" s="39" t="str">
        <x:f>IF(AND(G668="RECORDED",ISNUMBER(H668)),H668,"")</x:f>
      </x:c>
      <x:c r="P668" s="35" t="str">
        <x:v>NOT_AVAILABLE</x:v>
      </x:c>
      <x:c r="Q668" s="35" t="str">
        <x:v>Deepseek-flash-v4/Result/Lang_52/result.json</x:v>
      </x:c>
    </x:row>
    <x:row r="669">
      <x:c r="A669" s="35" t="str">
        <x:v>deepseek</x:v>
      </x:c>
      <x:c r="B669" s="35" t="str">
        <x:v>Lang</x:v>
      </x:c>
      <x:c r="C669" s="35" t="str">
        <x:v>Round1</x:v>
      </x:c>
      <x:c r="D669" s="35" t="str">
        <x:v>Lang_53</x:v>
      </x:c>
      <x:c r="E669" s="35" t="str">
        <x:v>Line</x:v>
      </x:c>
      <x:c r="F669" s="35"/>
      <x:c r="G669" s="35" t="str">
        <x:v>A</x:v>
      </x:c>
      <x:c r="H669" s="39" t="str">
        <x:f>IF(ISNUMBER('Data'!E669),'Data'!E669*100,"")</x:f>
      </x:c>
      <x:c r="I669" s="35"/>
      <x:c r="J669" s="35" t="str">
        <x:v>PASS</x:v>
      </x:c>
      <x:c r="K669" s="35" t="str">
        <x:v>FAIL</x:v>
      </x:c>
      <x:c r="L669" s="35" t="str">
        <x:v>NOT_RUN</x:v>
      </x:c>
      <x:c r="M669" s="35" t="str">
        <x:v>coverage unavailable or execution/compile failed</x:v>
      </x:c>
      <x:c r="N669" s="35" t="str">
        <x:v>Deepseek-flash-v4/Result/Lang_53/result.json</x:v>
      </x:c>
      <x:c r="O669" s="39" t="str">
        <x:f>IF(AND(G669="RECORDED",ISNUMBER(H669)),H669,"")</x:f>
      </x:c>
      <x:c r="P669" s="35" t="str">
        <x:v>NOT_AVAILABLE</x:v>
      </x:c>
      <x:c r="Q669" s="35" t="str">
        <x:v>Deepseek-flash-v4/Result/Lang_53/result.json</x:v>
      </x:c>
    </x:row>
    <x:row r="670">
      <x:c r="A670" s="35" t="str">
        <x:v>deepseek</x:v>
      </x:c>
      <x:c r="B670" s="35" t="str">
        <x:v>Lang</x:v>
      </x:c>
      <x:c r="C670" s="35" t="str">
        <x:v>Round1</x:v>
      </x:c>
      <x:c r="D670" s="35" t="str">
        <x:v>Lang_54</x:v>
      </x:c>
      <x:c r="E670" s="35" t="str">
        <x:v>Line</x:v>
      </x:c>
      <x:c r="F670" s="35" t="n">
        <x:v>79</x:v>
      </x:c>
      <x:c r="G670" s="35" t="str">
        <x:v>RECORDED</x:v>
      </x:c>
      <x:c r="H670" s="39" t="n">
        <x:f>IF(ISNUMBER('Data'!E670),'Data'!E670*100,"")</x:f>
        <x:v>94.94</x:v>
      </x:c>
      <x:c r="I670" s="35" t="str">
        <x:v>PASS</x:v>
      </x:c>
      <x:c r="J670" s="35" t="str">
        <x:v>PASS</x:v>
      </x:c>
      <x:c r="K670" s="35" t="str">
        <x:v>PASS</x:v>
      </x:c>
      <x:c r="L670" s="35" t="str">
        <x:v>FAIL</x:v>
      </x:c>
      <x:c r="M670" s="35" t="str">
        <x:v>numeric coverage for applicable metric</x:v>
      </x:c>
      <x:c r="N670" s="35" t="str">
        <x:v>Deepseek-flash-v4/Result/Lang_54/result.json</x:v>
      </x:c>
      <x:c r="O670" s="39" t="n">
        <x:f>IF(AND(G670="RECORDED",ISNUMBER(H670)),H670,"")</x:f>
        <x:v>94.94</x:v>
      </x:c>
      <x:c r="P670" s="35" t="str">
        <x:v>INCONCLUSIVE</x:v>
      </x:c>
      <x:c r="Q670" s="35" t="str">
        <x:v>Deepseek-flash-v4/Result/Lang_54/result.json</x:v>
      </x:c>
    </x:row>
    <x:row r="671">
      <x:c r="A671" s="35" t="str">
        <x:v>deepseek</x:v>
      </x:c>
      <x:c r="B671" s="35" t="str">
        <x:v>Lang</x:v>
      </x:c>
      <x:c r="C671" s="35" t="str">
        <x:v>Round1</x:v>
      </x:c>
      <x:c r="D671" s="35" t="str">
        <x:v>Lang_55</x:v>
      </x:c>
      <x:c r="E671" s="35" t="str">
        <x:v>Line</x:v>
      </x:c>
      <x:c r="F671" s="35" t="n">
        <x:v>57</x:v>
      </x:c>
      <x:c r="G671" s="35" t="str">
        <x:v>RECORDED</x:v>
      </x:c>
      <x:c r="H671" s="39" t="n">
        <x:f>IF(ISNUMBER('Data'!E671),'Data'!E671*100,"")</x:f>
        <x:v>92.98</x:v>
      </x:c>
      <x:c r="I671" s="35" t="str">
        <x:v>PASS</x:v>
      </x:c>
      <x:c r="J671" s="35" t="str">
        <x:v>PASS</x:v>
      </x:c>
      <x:c r="K671" s="35" t="str">
        <x:v>PASS</x:v>
      </x:c>
      <x:c r="L671" s="35" t="str">
        <x:v>FAIL</x:v>
      </x:c>
      <x:c r="M671" s="35" t="str">
        <x:v>numeric coverage for applicable metric</x:v>
      </x:c>
      <x:c r="N671" s="35" t="str">
        <x:v>Deepseek-flash-v4/Result/Lang_55/result.json</x:v>
      </x:c>
      <x:c r="O671" s="39" t="n">
        <x:f>IF(AND(G671="RECORDED",ISNUMBER(H671)),H671,"")</x:f>
        <x:v>92.98</x:v>
      </x:c>
      <x:c r="P671" s="35" t="str">
        <x:v>INCONCLUSIVE</x:v>
      </x:c>
      <x:c r="Q671" s="35" t="str">
        <x:v>Deepseek-flash-v4/Result/Lang_55/result.json</x:v>
      </x:c>
    </x:row>
    <x:row r="672">
      <x:c r="A672" s="35" t="str">
        <x:v>deepseek</x:v>
      </x:c>
      <x:c r="B672" s="35" t="str">
        <x:v>Lang</x:v>
      </x:c>
      <x:c r="C672" s="35" t="str">
        <x:v>Round1</x:v>
      </x:c>
      <x:c r="D672" s="35" t="str">
        <x:v>Lang_56</x:v>
      </x:c>
      <x:c r="E672" s="35" t="str">
        <x:v>Line</x:v>
      </x:c>
      <x:c r="F672" s="35"/>
      <x:c r="G672" s="35" t="str">
        <x:v>A</x:v>
      </x:c>
      <x:c r="H672" s="39" t="str">
        <x:f>IF(ISNUMBER('Data'!E672),'Data'!E672*100,"")</x:f>
      </x:c>
      <x:c r="I672" s="35"/>
      <x:c r="J672" s="35" t="str">
        <x:v>PASS</x:v>
      </x:c>
      <x:c r="K672" s="35" t="str">
        <x:v>FAIL</x:v>
      </x:c>
      <x:c r="L672" s="35" t="str">
        <x:v>NOT_RUN</x:v>
      </x:c>
      <x:c r="M672" s="35" t="str">
        <x:v>coverage unavailable or execution/compile failed</x:v>
      </x:c>
      <x:c r="N672" s="35" t="str">
        <x:v>Deepseek-flash-v4/Result/Lang_56/result.json</x:v>
      </x:c>
      <x:c r="O672" s="39" t="str">
        <x:f>IF(AND(G672="RECORDED",ISNUMBER(H672)),H672,"")</x:f>
      </x:c>
      <x:c r="P672" s="35" t="str">
        <x:v>NOT_AVAILABLE</x:v>
      </x:c>
      <x:c r="Q672" s="35" t="str">
        <x:v>Deepseek-flash-v4/Result/Lang_56/result.json</x:v>
      </x:c>
    </x:row>
    <x:row r="673">
      <x:c r="A673" s="35" t="str">
        <x:v>deepseek</x:v>
      </x:c>
      <x:c r="B673" s="35" t="str">
        <x:v>Lang</x:v>
      </x:c>
      <x:c r="C673" s="35" t="str">
        <x:v>Round1</x:v>
      </x:c>
      <x:c r="D673" s="35" t="str">
        <x:v>Lang_57</x:v>
      </x:c>
      <x:c r="E673" s="35" t="str">
        <x:v>Line</x:v>
      </x:c>
      <x:c r="F673" s="35" t="n">
        <x:v>79</x:v>
      </x:c>
      <x:c r="G673" s="35" t="str">
        <x:v>RECORDED</x:v>
      </x:c>
      <x:c r="H673" s="39" t="n">
        <x:f>IF(ISNUMBER('Data'!E673),'Data'!E673*100,"")</x:f>
        <x:v>97.47</x:v>
      </x:c>
      <x:c r="I673" s="35" t="str">
        <x:v>PASS</x:v>
      </x:c>
      <x:c r="J673" s="35" t="str">
        <x:v>PASS</x:v>
      </x:c>
      <x:c r="K673" s="35" t="str">
        <x:v>PASS</x:v>
      </x:c>
      <x:c r="L673" s="35" t="str">
        <x:v>FAIL</x:v>
      </x:c>
      <x:c r="M673" s="35" t="str">
        <x:v>numeric coverage for applicable metric</x:v>
      </x:c>
      <x:c r="N673" s="35" t="str">
        <x:v>Deepseek-flash-v4/Result/Lang_57/result.json</x:v>
      </x:c>
      <x:c r="O673" s="39" t="n">
        <x:f>IF(AND(G673="RECORDED",ISNUMBER(H673)),H673,"")</x:f>
        <x:v>97.47</x:v>
      </x:c>
      <x:c r="P673" s="35" t="str">
        <x:v>INCONCLUSIVE</x:v>
      </x:c>
      <x:c r="Q673" s="35" t="str">
        <x:v>Deepseek-flash-v4/Result/Lang_57/result.json</x:v>
      </x:c>
    </x:row>
    <x:row r="674">
      <x:c r="A674" s="35" t="str">
        <x:v>deepseek</x:v>
      </x:c>
      <x:c r="B674" s="35" t="str">
        <x:v>Lang</x:v>
      </x:c>
      <x:c r="C674" s="35" t="str">
        <x:v>Round1</x:v>
      </x:c>
      <x:c r="D674" s="35" t="str">
        <x:v>Lang_58</x:v>
      </x:c>
      <x:c r="E674" s="35" t="str">
        <x:v>Line</x:v>
      </x:c>
      <x:c r="F674" s="35" t="n">
        <x:v>435</x:v>
      </x:c>
      <x:c r="G674" s="35" t="str">
        <x:v>RECORDED</x:v>
      </x:c>
      <x:c r="H674" s="39" t="n">
        <x:f>IF(ISNUMBER('Data'!E674),'Data'!E674*100,"")</x:f>
        <x:v>80.69</x:v>
      </x:c>
      <x:c r="I674" s="35" t="str">
        <x:v>PASS</x:v>
      </x:c>
      <x:c r="J674" s="35" t="str">
        <x:v>PASS</x:v>
      </x:c>
      <x:c r="K674" s="35" t="str">
        <x:v>PASS</x:v>
      </x:c>
      <x:c r="L674" s="35" t="str">
        <x:v>FAIL</x:v>
      </x:c>
      <x:c r="M674" s="35" t="str">
        <x:v>numeric coverage for applicable metric</x:v>
      </x:c>
      <x:c r="N674" s="35" t="str">
        <x:v>Deepseek-flash-v4/Result/Lang_58/result.json</x:v>
      </x:c>
      <x:c r="O674" s="39" t="n">
        <x:f>IF(AND(G674="RECORDED",ISNUMBER(H674)),H674,"")</x:f>
        <x:v>80.69</x:v>
      </x:c>
      <x:c r="P674" s="35" t="str">
        <x:v>INCONCLUSIVE</x:v>
      </x:c>
      <x:c r="Q674" s="35" t="str">
        <x:v>Deepseek-flash-v4/Result/Lang_58/result.json</x:v>
      </x:c>
    </x:row>
    <x:row r="675">
      <x:c r="A675" s="35" t="str">
        <x:v>deepseek</x:v>
      </x:c>
      <x:c r="B675" s="35" t="str">
        <x:v>Lang</x:v>
      </x:c>
      <x:c r="C675" s="35" t="str">
        <x:v>Round1</x:v>
      </x:c>
      <x:c r="D675" s="35" t="str">
        <x:v>Lang_59</x:v>
      </x:c>
      <x:c r="E675" s="35" t="str">
        <x:v>Line</x:v>
      </x:c>
      <x:c r="F675" s="35"/>
      <x:c r="G675" s="35" t="str">
        <x:v>A</x:v>
      </x:c>
      <x:c r="H675" s="39" t="str">
        <x:f>IF(ISNUMBER('Data'!E675),'Data'!E675*100,"")</x:f>
      </x:c>
      <x:c r="I675" s="35"/>
      <x:c r="J675" s="35" t="str">
        <x:v>PASS</x:v>
      </x:c>
      <x:c r="K675" s="35" t="str">
        <x:v>FAIL</x:v>
      </x:c>
      <x:c r="L675" s="35" t="str">
        <x:v>NOT_RUN</x:v>
      </x:c>
      <x:c r="M675" s="35" t="str">
        <x:v>coverage unavailable or execution/compile failed</x:v>
      </x:c>
      <x:c r="N675" s="35" t="str">
        <x:v>Deepseek-flash-v4/Result/Lang_59/result.json</x:v>
      </x:c>
      <x:c r="O675" s="39" t="str">
        <x:f>IF(AND(G675="RECORDED",ISNUMBER(H675)),H675,"")</x:f>
      </x:c>
      <x:c r="P675" s="35" t="str">
        <x:v>NOT_AVAILABLE</x:v>
      </x:c>
      <x:c r="Q675" s="35" t="str">
        <x:v>Deepseek-flash-v4/Result/Lang_59/result.json</x:v>
      </x:c>
    </x:row>
    <x:row r="676">
      <x:c r="A676" s="35" t="str">
        <x:v>deepseek</x:v>
      </x:c>
      <x:c r="B676" s="35" t="str">
        <x:v>Lang</x:v>
      </x:c>
      <x:c r="C676" s="35" t="str">
        <x:v>Round1</x:v>
      </x:c>
      <x:c r="D676" s="35" t="str">
        <x:v>Lang_6</x:v>
      </x:c>
      <x:c r="E676" s="35" t="str">
        <x:v>Line</x:v>
      </x:c>
      <x:c r="F676" s="35" t="n">
        <x:v>30</x:v>
      </x:c>
      <x:c r="G676" s="35" t="str">
        <x:v>RECORDED</x:v>
      </x:c>
      <x:c r="H676" s="39" t="n">
        <x:f>IF(ISNUMBER('Data'!E676),'Data'!E676*100,"")</x:f>
        <x:v>100</x:v>
      </x:c>
      <x:c r="I676" s="35" t="str">
        <x:v>PASS</x:v>
      </x:c>
      <x:c r="J676" s="35" t="str">
        <x:v>PASS</x:v>
      </x:c>
      <x:c r="K676" s="35" t="str">
        <x:v>PASS</x:v>
      </x:c>
      <x:c r="L676" s="35" t="str">
        <x:v>FAIL</x:v>
      </x:c>
      <x:c r="M676" s="35" t="str">
        <x:v>numeric coverage for applicable metric</x:v>
      </x:c>
      <x:c r="N676" s="35" t="str">
        <x:v>Deepseek-flash-v4/Result/Lang_6/result.json</x:v>
      </x:c>
      <x:c r="O676" s="39" t="n">
        <x:f>IF(AND(G676="RECORDED",ISNUMBER(H676)),H676,"")</x:f>
        <x:v>100</x:v>
      </x:c>
      <x:c r="P676" s="35" t="str">
        <x:v>INCONCLUSIVE</x:v>
      </x:c>
      <x:c r="Q676" s="35" t="str">
        <x:v>Deepseek-flash-v4/Result/Lang_6/result.json</x:v>
      </x:c>
    </x:row>
    <x:row r="677">
      <x:c r="A677" s="35" t="str">
        <x:v>deepseek</x:v>
      </x:c>
      <x:c r="B677" s="35" t="str">
        <x:v>Lang</x:v>
      </x:c>
      <x:c r="C677" s="35" t="str">
        <x:v>Round1</x:v>
      </x:c>
      <x:c r="D677" s="35" t="str">
        <x:v>Lang_60</x:v>
      </x:c>
      <x:c r="E677" s="35" t="str">
        <x:v>Line</x:v>
      </x:c>
      <x:c r="F677" s="35"/>
      <x:c r="G677" s="35" t="str">
        <x:v>A</x:v>
      </x:c>
      <x:c r="H677" s="39" t="str">
        <x:f>IF(ISNUMBER('Data'!E677),'Data'!E677*100,"")</x:f>
      </x:c>
      <x:c r="I677" s="35"/>
      <x:c r="J677" s="35" t="str">
        <x:v>PASS</x:v>
      </x:c>
      <x:c r="K677" s="35" t="str">
        <x:v>FAIL</x:v>
      </x:c>
      <x:c r="L677" s="35" t="str">
        <x:v>NOT_RUN</x:v>
      </x:c>
      <x:c r="M677" s="35" t="str">
        <x:v>coverage unavailable or execution/compile failed</x:v>
      </x:c>
      <x:c r="N677" s="35" t="str">
        <x:v>Deepseek-flash-v4/Result/Lang_60/result.json</x:v>
      </x:c>
      <x:c r="O677" s="39" t="str">
        <x:f>IF(AND(G677="RECORDED",ISNUMBER(H677)),H677,"")</x:f>
      </x:c>
      <x:c r="P677" s="35" t="str">
        <x:v>NOT_AVAILABLE</x:v>
      </x:c>
      <x:c r="Q677" s="35" t="str">
        <x:v>Deepseek-flash-v4/Result/Lang_60/result.json</x:v>
      </x:c>
    </x:row>
    <x:row r="678">
      <x:c r="A678" s="35" t="str">
        <x:v>deepseek</x:v>
      </x:c>
      <x:c r="B678" s="35" t="str">
        <x:v>Lang</x:v>
      </x:c>
      <x:c r="C678" s="35" t="str">
        <x:v>Round1</x:v>
      </x:c>
      <x:c r="D678" s="35" t="str">
        <x:v>Lang_61</x:v>
      </x:c>
      <x:c r="E678" s="35" t="str">
        <x:v>Line</x:v>
      </x:c>
      <x:c r="F678" s="35"/>
      <x:c r="G678" s="35" t="str">
        <x:v>A</x:v>
      </x:c>
      <x:c r="H678" s="39" t="str">
        <x:f>IF(ISNUMBER('Data'!E678),'Data'!E678*100,"")</x:f>
      </x:c>
      <x:c r="I678" s="35"/>
      <x:c r="J678" s="35" t="str">
        <x:v>PASS</x:v>
      </x:c>
      <x:c r="K678" s="35" t="str">
        <x:v>FAIL</x:v>
      </x:c>
      <x:c r="L678" s="35" t="str">
        <x:v>NOT_RUN</x:v>
      </x:c>
      <x:c r="M678" s="35" t="str">
        <x:v>coverage unavailable or execution/compile failed</x:v>
      </x:c>
      <x:c r="N678" s="35" t="str">
        <x:v>Deepseek-flash-v4/Result/Lang_61/result.json</x:v>
      </x:c>
      <x:c r="O678" s="39" t="str">
        <x:f>IF(AND(G678="RECORDED",ISNUMBER(H678)),H678,"")</x:f>
      </x:c>
      <x:c r="P678" s="35" t="str">
        <x:v>NOT_AVAILABLE</x:v>
      </x:c>
      <x:c r="Q678" s="35" t="str">
        <x:v>Deepseek-flash-v4/Result/Lang_61/result.json</x:v>
      </x:c>
    </x:row>
    <x:row r="679">
      <x:c r="A679" s="35" t="str">
        <x:v>deepseek</x:v>
      </x:c>
      <x:c r="B679" s="35" t="str">
        <x:v>Lang</x:v>
      </x:c>
      <x:c r="C679" s="35" t="str">
        <x:v>Round1</x:v>
      </x:c>
      <x:c r="D679" s="35" t="str">
        <x:v>Lang_62</x:v>
      </x:c>
      <x:c r="E679" s="35" t="str">
        <x:v>Line</x:v>
      </x:c>
      <x:c r="F679" s="35"/>
      <x:c r="G679" s="35" t="str">
        <x:v>A</x:v>
      </x:c>
      <x:c r="H679" s="39" t="str">
        <x:f>IF(ISNUMBER('Data'!E679),'Data'!E679*100,"")</x:f>
      </x:c>
      <x:c r="I679" s="35"/>
      <x:c r="J679" s="35" t="str">
        <x:v>PASS</x:v>
      </x:c>
      <x:c r="K679" s="35" t="str">
        <x:v>FAIL</x:v>
      </x:c>
      <x:c r="L679" s="35" t="str">
        <x:v>NOT_RUN</x:v>
      </x:c>
      <x:c r="M679" s="35" t="str">
        <x:v>coverage unavailable or execution/compile failed</x:v>
      </x:c>
      <x:c r="N679" s="35" t="str">
        <x:v>Deepseek-flash-v4/Result/Lang_62/result.json</x:v>
      </x:c>
      <x:c r="O679" s="39" t="str">
        <x:f>IF(AND(G679="RECORDED",ISNUMBER(H679)),H679,"")</x:f>
      </x:c>
      <x:c r="P679" s="35" t="str">
        <x:v>NOT_AVAILABLE</x:v>
      </x:c>
      <x:c r="Q679" s="35" t="str">
        <x:v>Deepseek-flash-v4/Result/Lang_62/result.json</x:v>
      </x:c>
    </x:row>
    <x:row r="680">
      <x:c r="A680" s="35" t="str">
        <x:v>deepseek</x:v>
      </x:c>
      <x:c r="B680" s="35" t="str">
        <x:v>Lang</x:v>
      </x:c>
      <x:c r="C680" s="35" t="str">
        <x:v>Round1</x:v>
      </x:c>
      <x:c r="D680" s="35" t="str">
        <x:v>Lang_63</x:v>
      </x:c>
      <x:c r="E680" s="35" t="str">
        <x:v>Line</x:v>
      </x:c>
      <x:c r="F680" s="35" t="n">
        <x:v>252</x:v>
      </x:c>
      <x:c r="G680" s="35" t="str">
        <x:v>RECORDED</x:v>
      </x:c>
      <x:c r="H680" s="39" t="n">
        <x:f>IF(ISNUMBER('Data'!E680),'Data'!E680*100,"")</x:f>
        <x:v>63.49</x:v>
      </x:c>
      <x:c r="I680" s="35" t="str">
        <x:v>PASS</x:v>
      </x:c>
      <x:c r="J680" s="35" t="str">
        <x:v>PASS</x:v>
      </x:c>
      <x:c r="K680" s="35" t="str">
        <x:v>PASS</x:v>
      </x:c>
      <x:c r="L680" s="35" t="str">
        <x:v>FAIL</x:v>
      </x:c>
      <x:c r="M680" s="35" t="str">
        <x:v>numeric coverage for applicable metric</x:v>
      </x:c>
      <x:c r="N680" s="35" t="str">
        <x:v>Deepseek-flash-v4/Result/Lang_63/result.json</x:v>
      </x:c>
      <x:c r="O680" s="39" t="n">
        <x:f>IF(AND(G680="RECORDED",ISNUMBER(H680)),H680,"")</x:f>
        <x:v>63.49</x:v>
      </x:c>
      <x:c r="P680" s="35" t="str">
        <x:v>INCONCLUSIVE</x:v>
      </x:c>
      <x:c r="Q680" s="35" t="str">
        <x:v>Deepseek-flash-v4/Result/Lang_63/result.json</x:v>
      </x:c>
    </x:row>
    <x:row r="681">
      <x:c r="A681" s="35" t="str">
        <x:v>deepseek</x:v>
      </x:c>
      <x:c r="B681" s="35" t="str">
        <x:v>Lang</x:v>
      </x:c>
      <x:c r="C681" s="35" t="str">
        <x:v>Round1</x:v>
      </x:c>
      <x:c r="D681" s="35" t="str">
        <x:v>Lang_64</x:v>
      </x:c>
      <x:c r="E681" s="35" t="str">
        <x:v>Line</x:v>
      </x:c>
      <x:c r="F681" s="35" t="n">
        <x:v>18</x:v>
      </x:c>
      <x:c r="G681" s="35" t="str">
        <x:v>RECORDED</x:v>
      </x:c>
      <x:c r="H681" s="39" t="n">
        <x:f>IF(ISNUMBER('Data'!E681),'Data'!E681*100,"")</x:f>
        <x:v>22.22</x:v>
      </x:c>
      <x:c r="I681" s="35" t="str">
        <x:v>PASS</x:v>
      </x:c>
      <x:c r="J681" s="35" t="str">
        <x:v>PASS</x:v>
      </x:c>
      <x:c r="K681" s="35" t="str">
        <x:v>PASS</x:v>
      </x:c>
      <x:c r="L681" s="35" t="str">
        <x:v>FAIL</x:v>
      </x:c>
      <x:c r="M681" s="35" t="str">
        <x:v>numeric coverage for applicable metric</x:v>
      </x:c>
      <x:c r="N681" s="35" t="str">
        <x:v>Deepseek-flash-v4/Result/Lang_64/result.json</x:v>
      </x:c>
      <x:c r="O681" s="39" t="n">
        <x:f>IF(AND(G681="RECORDED",ISNUMBER(H681)),H681,"")</x:f>
        <x:v>22.22</x:v>
      </x:c>
      <x:c r="P681" s="35" t="str">
        <x:v>INCONCLUSIVE</x:v>
      </x:c>
      <x:c r="Q681" s="35" t="str">
        <x:v>Deepseek-flash-v4/Result/Lang_64/result.json</x:v>
      </x:c>
    </x:row>
    <x:row r="682">
      <x:c r="A682" s="35" t="str">
        <x:v>deepseek</x:v>
      </x:c>
      <x:c r="B682" s="35" t="str">
        <x:v>Lang</x:v>
      </x:c>
      <x:c r="C682" s="35" t="str">
        <x:v>Round1</x:v>
      </x:c>
      <x:c r="D682" s="35" t="str">
        <x:v>Lang_65</x:v>
      </x:c>
      <x:c r="E682" s="35" t="str">
        <x:v>Line</x:v>
      </x:c>
      <x:c r="F682" s="35"/>
      <x:c r="G682" s="35" t="str">
        <x:v>A</x:v>
      </x:c>
      <x:c r="H682" s="39" t="str">
        <x:f>IF(ISNUMBER('Data'!E682),'Data'!E682*100,"")</x:f>
      </x:c>
      <x:c r="I682" s="35"/>
      <x:c r="J682" s="35" t="str">
        <x:v>PASS</x:v>
      </x:c>
      <x:c r="K682" s="35" t="str">
        <x:v>FAIL</x:v>
      </x:c>
      <x:c r="L682" s="35" t="str">
        <x:v>NOT_RUN</x:v>
      </x:c>
      <x:c r="M682" s="35" t="str">
        <x:v>coverage unavailable or execution/compile failed</x:v>
      </x:c>
      <x:c r="N682" s="35" t="str">
        <x:v>Deepseek-flash-v4/Result/Lang_65/result.json</x:v>
      </x:c>
      <x:c r="O682" s="39" t="str">
        <x:f>IF(AND(G682="RECORDED",ISNUMBER(H682)),H682,"")</x:f>
      </x:c>
      <x:c r="P682" s="35" t="str">
        <x:v>NOT_AVAILABLE</x:v>
      </x:c>
      <x:c r="Q682" s="35" t="str">
        <x:v>Deepseek-flash-v4/Result/Lang_65/result.json</x:v>
      </x:c>
    </x:row>
    <x:row r="683">
      <x:c r="A683" s="35" t="str">
        <x:v>deepseek</x:v>
      </x:c>
      <x:c r="B683" s="35" t="str">
        <x:v>Lang</x:v>
      </x:c>
      <x:c r="C683" s="35" t="str">
        <x:v>Round1</x:v>
      </x:c>
      <x:c r="D683" s="35" t="str">
        <x:v>Lang_7</x:v>
      </x:c>
      <x:c r="E683" s="35" t="str">
        <x:v>Line</x:v>
      </x:c>
      <x:c r="F683" s="35" t="n">
        <x:v>380</x:v>
      </x:c>
      <x:c r="G683" s="35" t="str">
        <x:v>RECORDED</x:v>
      </x:c>
      <x:c r="H683" s="39" t="n">
        <x:f>IF(ISNUMBER('Data'!E683),'Data'!E683*100,"")</x:f>
        <x:v>72.37</x:v>
      </x:c>
      <x:c r="I683" s="35" t="str">
        <x:v>PASS</x:v>
      </x:c>
      <x:c r="J683" s="35" t="str">
        <x:v>PASS</x:v>
      </x:c>
      <x:c r="K683" s="35" t="str">
        <x:v>PASS</x:v>
      </x:c>
      <x:c r="L683" s="35" t="str">
        <x:v>FAIL</x:v>
      </x:c>
      <x:c r="M683" s="35" t="str">
        <x:v>numeric coverage for applicable metric</x:v>
      </x:c>
      <x:c r="N683" s="35" t="str">
        <x:v>Deepseek-flash-v4/Result/Lang_7/result.json</x:v>
      </x:c>
      <x:c r="O683" s="39" t="n">
        <x:f>IF(AND(G683="RECORDED",ISNUMBER(H683)),H683,"")</x:f>
        <x:v>72.37</x:v>
      </x:c>
      <x:c r="P683" s="35" t="str">
        <x:v>INCONCLUSIVE</x:v>
      </x:c>
      <x:c r="Q683" s="35" t="str">
        <x:v>Deepseek-flash-v4/Result/Lang_7/result.json</x:v>
      </x:c>
    </x:row>
    <x:row r="684">
      <x:c r="A684" s="35" t="str">
        <x:v>deepseek</x:v>
      </x:c>
      <x:c r="B684" s="35" t="str">
        <x:v>Lang</x:v>
      </x:c>
      <x:c r="C684" s="35" t="str">
        <x:v>Round1</x:v>
      </x:c>
      <x:c r="D684" s="35" t="str">
        <x:v>Lang_8</x:v>
      </x:c>
      <x:c r="E684" s="35" t="str">
        <x:v>Line</x:v>
      </x:c>
      <x:c r="F684" s="35" t="n">
        <x:v>337</x:v>
      </x:c>
      <x:c r="G684" s="35" t="str">
        <x:v>RECORDED</x:v>
      </x:c>
      <x:c r="H684" s="39" t="n">
        <x:f>IF(ISNUMBER('Data'!E684),'Data'!E684*100,"")</x:f>
        <x:v>62.91</x:v>
      </x:c>
      <x:c r="I684" s="35" t="str">
        <x:v>PASS</x:v>
      </x:c>
      <x:c r="J684" s="35" t="str">
        <x:v>PASS</x:v>
      </x:c>
      <x:c r="K684" s="35" t="str">
        <x:v>PASS</x:v>
      </x:c>
      <x:c r="L684" s="35" t="str">
        <x:v>PASS</x:v>
      </x:c>
      <x:c r="M684" s="35" t="str">
        <x:v>numeric coverage for applicable metric</x:v>
      </x:c>
      <x:c r="N684" s="35" t="str">
        <x:v>Deepseek-flash-v4/Result/Lang_8/result.json</x:v>
      </x:c>
      <x:c r="O684" s="39" t="n">
        <x:f>IF(AND(G684="RECORDED",ISNUMBER(H684)),H684,"")</x:f>
        <x:v>62.91</x:v>
      </x:c>
      <x:c r="P684" s="35" t="str">
        <x:v>NOT_REVEALING</x:v>
      </x:c>
      <x:c r="Q684" s="35" t="str">
        <x:v>Deepseek-flash-v4/Result/Lang_8/result.json</x:v>
      </x:c>
    </x:row>
    <x:row r="685">
      <x:c r="A685" s="35" t="str">
        <x:v>deepseek</x:v>
      </x:c>
      <x:c r="B685" s="35" t="str">
        <x:v>Lang</x:v>
      </x:c>
      <x:c r="C685" s="35" t="str">
        <x:v>Round1</x:v>
      </x:c>
      <x:c r="D685" s="35" t="str">
        <x:v>Lang_9</x:v>
      </x:c>
      <x:c r="E685" s="35" t="str">
        <x:v>Line</x:v>
      </x:c>
      <x:c r="F685" s="35"/>
      <x:c r="G685" s="35" t="str">
        <x:v>A</x:v>
      </x:c>
      <x:c r="H685" s="39" t="str">
        <x:f>IF(ISNUMBER('Data'!E685),'Data'!E685*100,"")</x:f>
      </x:c>
      <x:c r="I685" s="35"/>
      <x:c r="J685" s="35" t="str">
        <x:v>PASS</x:v>
      </x:c>
      <x:c r="K685" s="35" t="str">
        <x:v>FAIL</x:v>
      </x:c>
      <x:c r="L685" s="35" t="str">
        <x:v>NOT_RUN</x:v>
      </x:c>
      <x:c r="M685" s="35" t="str">
        <x:v>coverage unavailable or execution/compile failed</x:v>
      </x:c>
      <x:c r="N685" s="35" t="str">
        <x:v>Deepseek-flash-v4/Result/Lang_9/result.json</x:v>
      </x:c>
      <x:c r="O685" s="39" t="str">
        <x:f>IF(AND(G685="RECORDED",ISNUMBER(H685)),H685,"")</x:f>
      </x:c>
      <x:c r="P685" s="35" t="str">
        <x:v>NOT_AVAILABLE</x:v>
      </x:c>
      <x:c r="Q685" s="35" t="str">
        <x:v>Deepseek-flash-v4/Result/Lang_9/result.json</x:v>
      </x:c>
    </x:row>
    <x:row r="686">
      <x:c r="A686" s="35" t="str">
        <x:v>deepseek</x:v>
      </x:c>
      <x:c r="B686" s="35" t="str">
        <x:v>Math</x:v>
      </x:c>
      <x:c r="C686" s="35" t="str">
        <x:v>Round1</x:v>
      </x:c>
      <x:c r="D686" s="35" t="str">
        <x:v>Math_1</x:v>
      </x:c>
      <x:c r="E686" s="35" t="str">
        <x:v>Line</x:v>
      </x:c>
      <x:c r="F686" s="35" t="n">
        <x:v>425</x:v>
      </x:c>
      <x:c r="G686" s="35" t="str">
        <x:v>RECORDED</x:v>
      </x:c>
      <x:c r="H686" s="39" t="n">
        <x:f>IF(ISNUMBER('Data'!E686),'Data'!E686*100,"")</x:f>
        <x:v>84.94</x:v>
      </x:c>
      <x:c r="I686" s="35" t="str">
        <x:v>PASS</x:v>
      </x:c>
      <x:c r="J686" s="35" t="str">
        <x:v>PASS</x:v>
      </x:c>
      <x:c r="K686" s="35" t="str">
        <x:v>PASS</x:v>
      </x:c>
      <x:c r="L686" s="35" t="str">
        <x:v>FAIL</x:v>
      </x:c>
      <x:c r="M686" s="35" t="str">
        <x:v>numeric coverage for applicable metric</x:v>
      </x:c>
      <x:c r="N686" s="35" t="str">
        <x:v>Deepseek-flash-v4/Result/Math_1/result.json</x:v>
      </x:c>
      <x:c r="O686" s="39" t="n">
        <x:f>IF(AND(G686="RECORDED",ISNUMBER(H686)),H686,"")</x:f>
        <x:v>84.94</x:v>
      </x:c>
      <x:c r="P686" s="35" t="str">
        <x:v>INCONCLUSIVE</x:v>
      </x:c>
      <x:c r="Q686" s="35" t="str">
        <x:v>Deepseek-flash-v4/Result/Math_1/result.json</x:v>
      </x:c>
    </x:row>
    <x:row r="687">
      <x:c r="A687" s="35" t="str">
        <x:v>deepseek</x:v>
      </x:c>
      <x:c r="B687" s="35" t="str">
        <x:v>Math</x:v>
      </x:c>
      <x:c r="C687" s="35" t="str">
        <x:v>Round1</x:v>
      </x:c>
      <x:c r="D687" s="35" t="str">
        <x:v>Math_10</x:v>
      </x:c>
      <x:c r="E687" s="35" t="str">
        <x:v>Line</x:v>
      </x:c>
      <x:c r="F687" s="35" t="n">
        <x:v>552</x:v>
      </x:c>
      <x:c r="G687" s="35" t="str">
        <x:v>RECORDED</x:v>
      </x:c>
      <x:c r="H687" s="39" t="n">
        <x:f>IF(ISNUMBER('Data'!E687),'Data'!E687*100,"")</x:f>
        <x:v>81.7</x:v>
      </x:c>
      <x:c r="I687" s="35" t="str">
        <x:v>PASS</x:v>
      </x:c>
      <x:c r="J687" s="35" t="str">
        <x:v>PASS</x:v>
      </x:c>
      <x:c r="K687" s="35" t="str">
        <x:v>PASS</x:v>
      </x:c>
      <x:c r="L687" s="35" t="str">
        <x:v>FAIL</x:v>
      </x:c>
      <x:c r="M687" s="35" t="str">
        <x:v>numeric coverage for applicable metric</x:v>
      </x:c>
      <x:c r="N687" s="35" t="str">
        <x:v>Deepseek-flash-v4/Result/Math_10/result.json</x:v>
      </x:c>
      <x:c r="O687" s="39" t="n">
        <x:f>IF(AND(G687="RECORDED",ISNUMBER(H687)),H687,"")</x:f>
        <x:v>81.7</x:v>
      </x:c>
      <x:c r="P687" s="35" t="str">
        <x:v>INCONCLUSIVE</x:v>
      </x:c>
      <x:c r="Q687" s="35" t="str">
        <x:v>Deepseek-flash-v4/Result/Math_10/result.json</x:v>
      </x:c>
    </x:row>
    <x:row r="688">
      <x:c r="A688" s="35" t="str">
        <x:v>deepseek</x:v>
      </x:c>
      <x:c r="B688" s="35" t="str">
        <x:v>Math</x:v>
      </x:c>
      <x:c r="C688" s="35" t="str">
        <x:v>Round1</x:v>
      </x:c>
      <x:c r="D688" s="35" t="str">
        <x:v>Math_100</x:v>
      </x:c>
      <x:c r="E688" s="35" t="str">
        <x:v>Line</x:v>
      </x:c>
      <x:c r="F688" s="35"/>
      <x:c r="G688" s="35" t="str">
        <x:v>A</x:v>
      </x:c>
      <x:c r="H688" s="39" t="str">
        <x:f>IF(ISNUMBER('Data'!E688),'Data'!E688*100,"")</x:f>
      </x:c>
      <x:c r="I688" s="35"/>
      <x:c r="J688" s="35" t="str">
        <x:v>PASS</x:v>
      </x:c>
      <x:c r="K688" s="35" t="str">
        <x:v>FAIL</x:v>
      </x:c>
      <x:c r="L688" s="35" t="str">
        <x:v>NOT_RUN</x:v>
      </x:c>
      <x:c r="M688" s="35" t="str">
        <x:v>coverage unavailable or execution/compile failed</x:v>
      </x:c>
      <x:c r="N688" s="35" t="str">
        <x:v>Deepseek-flash-v4/Result/Math_100/result.json</x:v>
      </x:c>
      <x:c r="O688" s="39" t="str">
        <x:f>IF(AND(G688="RECORDED",ISNUMBER(H688)),H688,"")</x:f>
      </x:c>
      <x:c r="P688" s="35" t="str">
        <x:v>NOT_AVAILABLE</x:v>
      </x:c>
      <x:c r="Q688" s="35" t="str">
        <x:v>Deepseek-flash-v4/Result/Math_100/result.json</x:v>
      </x:c>
    </x:row>
    <x:row r="689">
      <x:c r="A689" s="35" t="str">
        <x:v>deepseek</x:v>
      </x:c>
      <x:c r="B689" s="35" t="str">
        <x:v>Math</x:v>
      </x:c>
      <x:c r="C689" s="35" t="str">
        <x:v>Round1</x:v>
      </x:c>
      <x:c r="D689" s="35" t="str">
        <x:v>Math_101</x:v>
      </x:c>
      <x:c r="E689" s="35" t="str">
        <x:v>Line</x:v>
      </x:c>
      <x:c r="F689" s="35" t="n">
        <x:v>143</x:v>
      </x:c>
      <x:c r="G689" s="35" t="str">
        <x:v>RECORDED</x:v>
      </x:c>
      <x:c r="H689" s="39" t="n">
        <x:f>IF(ISNUMBER('Data'!E689),'Data'!E689*100,"")</x:f>
        <x:v>95.1</x:v>
      </x:c>
      <x:c r="I689" s="35" t="str">
        <x:v>PASS</x:v>
      </x:c>
      <x:c r="J689" s="35" t="str">
        <x:v>PASS</x:v>
      </x:c>
      <x:c r="K689" s="35" t="str">
        <x:v>PASS</x:v>
      </x:c>
      <x:c r="L689" s="35" t="str">
        <x:v>PASS</x:v>
      </x:c>
      <x:c r="M689" s="35" t="str">
        <x:v>numeric coverage for applicable metric</x:v>
      </x:c>
      <x:c r="N689" s="35" t="str">
        <x:v>Deepseek-flash-v4/Result/Math_101/result.json</x:v>
      </x:c>
      <x:c r="O689" s="39" t="n">
        <x:f>IF(AND(G689="RECORDED",ISNUMBER(H689)),H689,"")</x:f>
        <x:v>95.1</x:v>
      </x:c>
      <x:c r="P689" s="35" t="str">
        <x:v>NOT_REVEALING</x:v>
      </x:c>
      <x:c r="Q689" s="35" t="str">
        <x:v>Deepseek-flash-v4/Result/Math_101/result.json</x:v>
      </x:c>
    </x:row>
    <x:row r="690">
      <x:c r="A690" s="35" t="str">
        <x:v>deepseek</x:v>
      </x:c>
      <x:c r="B690" s="35" t="str">
        <x:v>Math</x:v>
      </x:c>
      <x:c r="C690" s="35" t="str">
        <x:v>Round1</x:v>
      </x:c>
      <x:c r="D690" s="35" t="str">
        <x:v>Math_102</x:v>
      </x:c>
      <x:c r="E690" s="35" t="str">
        <x:v>Line</x:v>
      </x:c>
      <x:c r="F690" s="35"/>
      <x:c r="G690" s="35" t="str">
        <x:v>A</x:v>
      </x:c>
      <x:c r="H690" s="39" t="str">
        <x:f>IF(ISNUMBER('Data'!E690),'Data'!E690*100,"")</x:f>
      </x:c>
      <x:c r="I690" s="35"/>
      <x:c r="J690" s="35" t="str">
        <x:v>PASS</x:v>
      </x:c>
      <x:c r="K690" s="35" t="str">
        <x:v>FAIL</x:v>
      </x:c>
      <x:c r="L690" s="35" t="str">
        <x:v>NOT_RUN</x:v>
      </x:c>
      <x:c r="M690" s="35" t="str">
        <x:v>coverage unavailable or execution/compile failed</x:v>
      </x:c>
      <x:c r="N690" s="35" t="str">
        <x:v>Deepseek-flash-v4/Result/Math_102/result.json</x:v>
      </x:c>
      <x:c r="O690" s="39" t="str">
        <x:f>IF(AND(G690="RECORDED",ISNUMBER(H690)),H690,"")</x:f>
      </x:c>
      <x:c r="P690" s="35" t="str">
        <x:v>NOT_AVAILABLE</x:v>
      </x:c>
      <x:c r="Q690" s="35" t="str">
        <x:v>Deepseek-flash-v4/Result/Math_102/result.json</x:v>
      </x:c>
    </x:row>
    <x:row r="691">
      <x:c r="A691" s="35" t="str">
        <x:v>deepseek</x:v>
      </x:c>
      <x:c r="B691" s="35" t="str">
        <x:v>Math</x:v>
      </x:c>
      <x:c r="C691" s="35" t="str">
        <x:v>Round1</x:v>
      </x:c>
      <x:c r="D691" s="35" t="str">
        <x:v>Math_103</x:v>
      </x:c>
      <x:c r="E691" s="35" t="str">
        <x:v>Line</x:v>
      </x:c>
      <x:c r="F691" s="35" t="n">
        <x:v>37</x:v>
      </x:c>
      <x:c r="G691" s="35" t="str">
        <x:v>RECORDED</x:v>
      </x:c>
      <x:c r="H691" s="39" t="n">
        <x:f>IF(ISNUMBER('Data'!E691),'Data'!E691*100,"")</x:f>
        <x:v>100</x:v>
      </x:c>
      <x:c r="I691" s="35" t="str">
        <x:v>PASS</x:v>
      </x:c>
      <x:c r="J691" s="35" t="str">
        <x:v>PASS</x:v>
      </x:c>
      <x:c r="K691" s="35" t="str">
        <x:v>PASS</x:v>
      </x:c>
      <x:c r="L691" s="35" t="str">
        <x:v>FAIL</x:v>
      </x:c>
      <x:c r="M691" s="35" t="str">
        <x:v>numeric coverage for applicable metric</x:v>
      </x:c>
      <x:c r="N691" s="35" t="str">
        <x:v>Deepseek-flash-v4/Result/Math_103/result.json</x:v>
      </x:c>
      <x:c r="O691" s="39" t="n">
        <x:f>IF(AND(G691="RECORDED",ISNUMBER(H691)),H691,"")</x:f>
        <x:v>100</x:v>
      </x:c>
      <x:c r="P691" s="35" t="str">
        <x:v>INCONCLUSIVE</x:v>
      </x:c>
      <x:c r="Q691" s="35" t="str">
        <x:v>Deepseek-flash-v4/Result/Math_103/result.json</x:v>
      </x:c>
    </x:row>
    <x:row r="692">
      <x:c r="A692" s="35" t="str">
        <x:v>deepseek</x:v>
      </x:c>
      <x:c r="B692" s="35" t="str">
        <x:v>Math</x:v>
      </x:c>
      <x:c r="C692" s="35" t="str">
        <x:v>Round1</x:v>
      </x:c>
      <x:c r="D692" s="35" t="str">
        <x:v>Math_104</x:v>
      </x:c>
      <x:c r="E692" s="35" t="str">
        <x:v>Line</x:v>
      </x:c>
      <x:c r="F692" s="35" t="n">
        <x:v>47</x:v>
      </x:c>
      <x:c r="G692" s="35" t="str">
        <x:v>RECORDED</x:v>
      </x:c>
      <x:c r="H692" s="39" t="n">
        <x:f>IF(ISNUMBER('Data'!E692),'Data'!E692*100,"")</x:f>
        <x:v>89.36</x:v>
      </x:c>
      <x:c r="I692" s="35" t="str">
        <x:v>PASS</x:v>
      </x:c>
      <x:c r="J692" s="35" t="str">
        <x:v>PASS</x:v>
      </x:c>
      <x:c r="K692" s="35" t="str">
        <x:v>PASS</x:v>
      </x:c>
      <x:c r="L692" s="35" t="str">
        <x:v>FAIL</x:v>
      </x:c>
      <x:c r="M692" s="35" t="str">
        <x:v>numeric coverage for applicable metric</x:v>
      </x:c>
      <x:c r="N692" s="35" t="str">
        <x:v>Deepseek-flash-v4/Result/Math_104/result.json</x:v>
      </x:c>
      <x:c r="O692" s="39" t="n">
        <x:f>IF(AND(G692="RECORDED",ISNUMBER(H692)),H692,"")</x:f>
        <x:v>89.36</x:v>
      </x:c>
      <x:c r="P692" s="35" t="str">
        <x:v>INCONCLUSIVE</x:v>
      </x:c>
      <x:c r="Q692" s="35" t="str">
        <x:v>Deepseek-flash-v4/Result/Math_104/result.json</x:v>
      </x:c>
    </x:row>
    <x:row r="693">
      <x:c r="A693" s="35" t="str">
        <x:v>deepseek</x:v>
      </x:c>
      <x:c r="B693" s="35" t="str">
        <x:v>Math</x:v>
      </x:c>
      <x:c r="C693" s="35" t="str">
        <x:v>Round1</x:v>
      </x:c>
      <x:c r="D693" s="35" t="str">
        <x:v>Math_105</x:v>
      </x:c>
      <x:c r="E693" s="35" t="str">
        <x:v>Line</x:v>
      </x:c>
      <x:c r="F693" s="35" t="n">
        <x:v>71</x:v>
      </x:c>
      <x:c r="G693" s="35" t="str">
        <x:v>RECORDED</x:v>
      </x:c>
      <x:c r="H693" s="39" t="n">
        <x:f>IF(ISNUMBER('Data'!E693),'Data'!E693*100,"")</x:f>
        <x:v>100</x:v>
      </x:c>
      <x:c r="I693" s="35" t="str">
        <x:v>PASS</x:v>
      </x:c>
      <x:c r="J693" s="35" t="str">
        <x:v>PASS</x:v>
      </x:c>
      <x:c r="K693" s="35" t="str">
        <x:v>PASS</x:v>
      </x:c>
      <x:c r="L693" s="35" t="str">
        <x:v>FAIL</x:v>
      </x:c>
      <x:c r="M693" s="35" t="str">
        <x:v>numeric coverage for applicable metric</x:v>
      </x:c>
      <x:c r="N693" s="35" t="str">
        <x:v>Deepseek-flash-v4/Result/Math_105/result.json</x:v>
      </x:c>
      <x:c r="O693" s="39" t="n">
        <x:f>IF(AND(G693="RECORDED",ISNUMBER(H693)),H693,"")</x:f>
        <x:v>100</x:v>
      </x:c>
      <x:c r="P693" s="35" t="str">
        <x:v>INCONCLUSIVE</x:v>
      </x:c>
      <x:c r="Q693" s="35" t="str">
        <x:v>Deepseek-flash-v4/Result/Math_105/result.json</x:v>
      </x:c>
    </x:row>
    <x:row r="694">
      <x:c r="A694" s="35" t="str">
        <x:v>deepseek</x:v>
      </x:c>
      <x:c r="B694" s="35" t="str">
        <x:v>Math</x:v>
      </x:c>
      <x:c r="C694" s="35" t="str">
        <x:v>Round1</x:v>
      </x:c>
      <x:c r="D694" s="35" t="str">
        <x:v>Math_106</x:v>
      </x:c>
      <x:c r="E694" s="35" t="str">
        <x:v>Line</x:v>
      </x:c>
      <x:c r="F694" s="35" t="n">
        <x:v>57</x:v>
      </x:c>
      <x:c r="G694" s="35" t="str">
        <x:v>RECORDED</x:v>
      </x:c>
      <x:c r="H694" s="39" t="n">
        <x:f>IF(ISNUMBER('Data'!E694),'Data'!E694*100,"")</x:f>
        <x:v>89.47</x:v>
      </x:c>
      <x:c r="I694" s="35" t="str">
        <x:v>PASS</x:v>
      </x:c>
      <x:c r="J694" s="35" t="str">
        <x:v>PASS</x:v>
      </x:c>
      <x:c r="K694" s="35" t="str">
        <x:v>PASS</x:v>
      </x:c>
      <x:c r="L694" s="35" t="str">
        <x:v>FAIL</x:v>
      </x:c>
      <x:c r="M694" s="35" t="str">
        <x:v>numeric coverage for applicable metric</x:v>
      </x:c>
      <x:c r="N694" s="35" t="str">
        <x:v>Deepseek-flash-v4/Result/Math_106/result.json</x:v>
      </x:c>
      <x:c r="O694" s="39" t="n">
        <x:f>IF(AND(G694="RECORDED",ISNUMBER(H694)),H694,"")</x:f>
        <x:v>89.47</x:v>
      </x:c>
      <x:c r="P694" s="35" t="str">
        <x:v>INCONCLUSIVE</x:v>
      </x:c>
      <x:c r="Q694" s="35" t="str">
        <x:v>Deepseek-flash-v4/Result/Math_106/result.json</x:v>
      </x:c>
    </x:row>
    <x:row r="695">
      <x:c r="A695" s="35" t="str">
        <x:v>deepseek</x:v>
      </x:c>
      <x:c r="B695" s="35" t="str">
        <x:v>Math</x:v>
      </x:c>
      <x:c r="C695" s="35" t="str">
        <x:v>Round1</x:v>
      </x:c>
      <x:c r="D695" s="35" t="str">
        <x:v>Math_11</x:v>
      </x:c>
      <x:c r="E695" s="35" t="str">
        <x:v>Line</x:v>
      </x:c>
      <x:c r="F695" s="35"/>
      <x:c r="G695" s="35" t="str">
        <x:v>A</x:v>
      </x:c>
      <x:c r="H695" s="39" t="str">
        <x:f>IF(ISNUMBER('Data'!E695),'Data'!E695*100,"")</x:f>
      </x:c>
      <x:c r="I695" s="35"/>
      <x:c r="J695" s="35" t="str">
        <x:v>PASS</x:v>
      </x:c>
      <x:c r="K695" s="35" t="str">
        <x:v>FAIL</x:v>
      </x:c>
      <x:c r="L695" s="35" t="str">
        <x:v>NOT_RUN</x:v>
      </x:c>
      <x:c r="M695" s="35" t="str">
        <x:v>coverage unavailable or execution/compile failed</x:v>
      </x:c>
      <x:c r="N695" s="35" t="str">
        <x:v>Deepseek-flash-v4/Result/Math_11/result.json</x:v>
      </x:c>
      <x:c r="O695" s="39" t="str">
        <x:f>IF(AND(G695="RECORDED",ISNUMBER(H695)),H695,"")</x:f>
      </x:c>
      <x:c r="P695" s="35" t="str">
        <x:v>NOT_AVAILABLE</x:v>
      </x:c>
      <x:c r="Q695" s="35" t="str">
        <x:v>Deepseek-flash-v4/Result/Math_11/result.json</x:v>
      </x:c>
    </x:row>
    <x:row r="696">
      <x:c r="A696" s="35" t="str">
        <x:v>deepseek</x:v>
      </x:c>
      <x:c r="B696" s="35" t="str">
        <x:v>Math</x:v>
      </x:c>
      <x:c r="C696" s="35" t="str">
        <x:v>Round1</x:v>
      </x:c>
      <x:c r="D696" s="35" t="str">
        <x:v>Math_12</x:v>
      </x:c>
      <x:c r="E696" s="35" t="str">
        <x:v>Line</x:v>
      </x:c>
      <x:c r="F696" s="35" t="n">
        <x:v>48</x:v>
      </x:c>
      <x:c r="G696" s="35" t="str">
        <x:v>RECORDED</x:v>
      </x:c>
      <x:c r="H696" s="39" t="n">
        <x:f>IF(ISNUMBER('Data'!E696),'Data'!E696*100,"")</x:f>
        <x:v>95.83</x:v>
      </x:c>
      <x:c r="I696" s="35" t="str">
        <x:v>PASS</x:v>
      </x:c>
      <x:c r="J696" s="35" t="str">
        <x:v>PASS</x:v>
      </x:c>
      <x:c r="K696" s="35" t="str">
        <x:v>PASS</x:v>
      </x:c>
      <x:c r="L696" s="35" t="str">
        <x:v>FAIL</x:v>
      </x:c>
      <x:c r="M696" s="35" t="str">
        <x:v>numeric coverage for applicable metric</x:v>
      </x:c>
      <x:c r="N696" s="35" t="str">
        <x:v>Deepseek-flash-v4/Result/Math_12/result.json</x:v>
      </x:c>
      <x:c r="O696" s="39" t="n">
        <x:f>IF(AND(G696="RECORDED",ISNUMBER(H696)),H696,"")</x:f>
        <x:v>95.83</x:v>
      </x:c>
      <x:c r="P696" s="35" t="str">
        <x:v>INCONCLUSIVE</x:v>
      </x:c>
      <x:c r="Q696" s="35" t="str">
        <x:v>Deepseek-flash-v4/Result/Math_12/result.json</x:v>
      </x:c>
    </x:row>
    <x:row r="697">
      <x:c r="A697" s="35" t="str">
        <x:v>deepseek</x:v>
      </x:c>
      <x:c r="B697" s="35" t="str">
        <x:v>Math</x:v>
      </x:c>
      <x:c r="C697" s="35" t="str">
        <x:v>Round1</x:v>
      </x:c>
      <x:c r="D697" s="35" t="str">
        <x:v>Math_13</x:v>
      </x:c>
      <x:c r="E697" s="35" t="str">
        <x:v>Line</x:v>
      </x:c>
      <x:c r="F697" s="35"/>
      <x:c r="G697" s="35" t="str">
        <x:v>A</x:v>
      </x:c>
      <x:c r="H697" s="39" t="str">
        <x:f>IF(ISNUMBER('Data'!E697),'Data'!E697*100,"")</x:f>
      </x:c>
      <x:c r="I697" s="35"/>
      <x:c r="J697" s="35" t="str">
        <x:v>PASS</x:v>
      </x:c>
      <x:c r="K697" s="35" t="str">
        <x:v>FAIL</x:v>
      </x:c>
      <x:c r="L697" s="35" t="str">
        <x:v>NOT_RUN</x:v>
      </x:c>
      <x:c r="M697" s="35" t="str">
        <x:v>coverage unavailable or execution/compile failed</x:v>
      </x:c>
      <x:c r="N697" s="35" t="str">
        <x:v>Deepseek-flash-v4/Result/Math_13/result.json</x:v>
      </x:c>
      <x:c r="O697" s="39" t="str">
        <x:f>IF(AND(G697="RECORDED",ISNUMBER(H697)),H697,"")</x:f>
      </x:c>
      <x:c r="P697" s="35" t="str">
        <x:v>NOT_AVAILABLE</x:v>
      </x:c>
      <x:c r="Q697" s="35" t="str">
        <x:v>Deepseek-flash-v4/Result/Math_13/result.json</x:v>
      </x:c>
    </x:row>
    <x:row r="698">
      <x:c r="A698" s="35" t="str">
        <x:v>deepseek</x:v>
      </x:c>
      <x:c r="B698" s="35" t="str">
        <x:v>Math</x:v>
      </x:c>
      <x:c r="C698" s="35" t="str">
        <x:v>Round1</x:v>
      </x:c>
      <x:c r="D698" s="35" t="str">
        <x:v>Math_14</x:v>
      </x:c>
      <x:c r="E698" s="35" t="str">
        <x:v>Line</x:v>
      </x:c>
      <x:c r="F698" s="35"/>
      <x:c r="G698" s="35" t="str">
        <x:v>A</x:v>
      </x:c>
      <x:c r="H698" s="39" t="str">
        <x:f>IF(ISNUMBER('Data'!E698),'Data'!E698*100,"")</x:f>
      </x:c>
      <x:c r="I698" s="35"/>
      <x:c r="J698" s="35" t="str">
        <x:v>PASS</x:v>
      </x:c>
      <x:c r="K698" s="35" t="str">
        <x:v>FAIL</x:v>
      </x:c>
      <x:c r="L698" s="35" t="str">
        <x:v>NOT_RUN</x:v>
      </x:c>
      <x:c r="M698" s="35" t="str">
        <x:v>coverage unavailable or execution/compile failed</x:v>
      </x:c>
      <x:c r="N698" s="35" t="str">
        <x:v>Deepseek-flash-v4/Result/Math_14/result.json</x:v>
      </x:c>
      <x:c r="O698" s="39" t="str">
        <x:f>IF(AND(G698="RECORDED",ISNUMBER(H698)),H698,"")</x:f>
      </x:c>
      <x:c r="P698" s="35" t="str">
        <x:v>NOT_AVAILABLE</x:v>
      </x:c>
      <x:c r="Q698" s="35" t="str">
        <x:v>Deepseek-flash-v4/Result/Math_14/result.json</x:v>
      </x:c>
    </x:row>
    <x:row r="699">
      <x:c r="A699" s="35" t="str">
        <x:v>deepseek</x:v>
      </x:c>
      <x:c r="B699" s="35" t="str">
        <x:v>Math</x:v>
      </x:c>
      <x:c r="C699" s="35" t="str">
        <x:v>Round1</x:v>
      </x:c>
      <x:c r="D699" s="35" t="str">
        <x:v>Math_15</x:v>
      </x:c>
      <x:c r="E699" s="35" t="str">
        <x:v>Line</x:v>
      </x:c>
      <x:c r="F699" s="35" t="n">
        <x:v>1497</x:v>
      </x:c>
      <x:c r="G699" s="35" t="str">
        <x:v>RECORDED</x:v>
      </x:c>
      <x:c r="H699" s="39" t="n">
        <x:f>IF(ISNUMBER('Data'!E699),'Data'!E699*100,"")</x:f>
        <x:v>53.17000000000001</x:v>
      </x:c>
      <x:c r="I699" s="35" t="str">
        <x:v>PASS</x:v>
      </x:c>
      <x:c r="J699" s="35" t="str">
        <x:v>PASS</x:v>
      </x:c>
      <x:c r="K699" s="35" t="str">
        <x:v>PASS</x:v>
      </x:c>
      <x:c r="L699" s="35" t="str">
        <x:v>FAIL</x:v>
      </x:c>
      <x:c r="M699" s="35" t="str">
        <x:v>numeric coverage for applicable metric</x:v>
      </x:c>
      <x:c r="N699" s="35" t="str">
        <x:v>Deepseek-flash-v4/Result/Math_15/result.json</x:v>
      </x:c>
      <x:c r="O699" s="39" t="n">
        <x:f>IF(AND(G699="RECORDED",ISNUMBER(H699)),H699,"")</x:f>
        <x:v>53.17000000000001</x:v>
      </x:c>
      <x:c r="P699" s="35" t="str">
        <x:v>INCONCLUSIVE</x:v>
      </x:c>
      <x:c r="Q699" s="35" t="str">
        <x:v>Deepseek-flash-v4/Result/Math_15/result.json</x:v>
      </x:c>
    </x:row>
    <x:row r="700">
      <x:c r="A700" s="35" t="str">
        <x:v>deepseek</x:v>
      </x:c>
      <x:c r="B700" s="35" t="str">
        <x:v>Math</x:v>
      </x:c>
      <x:c r="C700" s="35" t="str">
        <x:v>Round1</x:v>
      </x:c>
      <x:c r="D700" s="35" t="str">
        <x:v>Math_16</x:v>
      </x:c>
      <x:c r="E700" s="35" t="str">
        <x:v>Line</x:v>
      </x:c>
      <x:c r="F700" s="35" t="n">
        <x:v>1484</x:v>
      </x:c>
      <x:c r="G700" s="35" t="str">
        <x:v>RECORDED</x:v>
      </x:c>
      <x:c r="H700" s="39" t="n">
        <x:f>IF(ISNUMBER('Data'!E700),'Data'!E700*100,"")</x:f>
        <x:v>56.39999999999999</x:v>
      </x:c>
      <x:c r="I700" s="35" t="str">
        <x:v>PASS</x:v>
      </x:c>
      <x:c r="J700" s="35" t="str">
        <x:v>PASS</x:v>
      </x:c>
      <x:c r="K700" s="35" t="str">
        <x:v>PASS</x:v>
      </x:c>
      <x:c r="L700" s="35" t="str">
        <x:v>FAIL</x:v>
      </x:c>
      <x:c r="M700" s="35" t="str">
        <x:v>numeric coverage for applicable metric</x:v>
      </x:c>
      <x:c r="N700" s="35" t="str">
        <x:v>Deepseek-flash-v4/Result/Math_16/result.json</x:v>
      </x:c>
      <x:c r="O700" s="39" t="n">
        <x:f>IF(AND(G700="RECORDED",ISNUMBER(H700)),H700,"")</x:f>
        <x:v>56.39999999999999</x:v>
      </x:c>
      <x:c r="P700" s="35" t="str">
        <x:v>INCONCLUSIVE</x:v>
      </x:c>
      <x:c r="Q700" s="35" t="str">
        <x:v>Deepseek-flash-v4/Result/Math_16/result.json</x:v>
      </x:c>
    </x:row>
    <x:row r="701">
      <x:c r="A701" s="35" t="str">
        <x:v>deepseek</x:v>
      </x:c>
      <x:c r="B701" s="35" t="str">
        <x:v>Math</x:v>
      </x:c>
      <x:c r="C701" s="35" t="str">
        <x:v>Round1</x:v>
      </x:c>
      <x:c r="D701" s="35" t="str">
        <x:v>Math_17</x:v>
      </x:c>
      <x:c r="E701" s="35" t="str">
        <x:v>Line</x:v>
      </x:c>
      <x:c r="F701" s="35"/>
      <x:c r="G701" s="35" t="str">
        <x:v>A</x:v>
      </x:c>
      <x:c r="H701" s="39" t="str">
        <x:f>IF(ISNUMBER('Data'!E701),'Data'!E701*100,"")</x:f>
      </x:c>
      <x:c r="I701" s="35"/>
      <x:c r="J701" s="35" t="str">
        <x:v>PASS</x:v>
      </x:c>
      <x:c r="K701" s="35" t="str">
        <x:v>FAIL</x:v>
      </x:c>
      <x:c r="L701" s="35" t="str">
        <x:v>NOT_RUN</x:v>
      </x:c>
      <x:c r="M701" s="35" t="str">
        <x:v>coverage unavailable or execution/compile failed</x:v>
      </x:c>
      <x:c r="N701" s="35" t="str">
        <x:v>Deepseek-flash-v4/Result/Math_17/result.json</x:v>
      </x:c>
      <x:c r="O701" s="39" t="str">
        <x:f>IF(AND(G701="RECORDED",ISNUMBER(H701)),H701,"")</x:f>
      </x:c>
      <x:c r="P701" s="35" t="str">
        <x:v>NOT_AVAILABLE</x:v>
      </x:c>
      <x:c r="Q701" s="35" t="str">
        <x:v>Deepseek-flash-v4/Result/Math_17/result.json</x:v>
      </x:c>
    </x:row>
    <x:row r="702">
      <x:c r="A702" s="35" t="str">
        <x:v>deepseek</x:v>
      </x:c>
      <x:c r="B702" s="35" t="str">
        <x:v>Math</x:v>
      </x:c>
      <x:c r="C702" s="35" t="str">
        <x:v>Round1</x:v>
      </x:c>
      <x:c r="D702" s="35" t="str">
        <x:v>Math_18</x:v>
      </x:c>
      <x:c r="E702" s="35" t="str">
        <x:v>Line</x:v>
      </x:c>
      <x:c r="F702" s="35"/>
      <x:c r="G702" s="35" t="str">
        <x:v>A</x:v>
      </x:c>
      <x:c r="H702" s="39" t="str">
        <x:f>IF(ISNUMBER('Data'!E702),'Data'!E702*100,"")</x:f>
      </x:c>
      <x:c r="I702" s="35"/>
      <x:c r="J702" s="35" t="str">
        <x:v>PASS</x:v>
      </x:c>
      <x:c r="K702" s="35" t="str">
        <x:v>FAIL</x:v>
      </x:c>
      <x:c r="L702" s="35" t="str">
        <x:v>NOT_RUN</x:v>
      </x:c>
      <x:c r="M702" s="35" t="str">
        <x:v>coverage unavailable or execution/compile failed</x:v>
      </x:c>
      <x:c r="N702" s="35" t="str">
        <x:v>Deepseek-flash-v4/Result/Math_18/result.json</x:v>
      </x:c>
      <x:c r="O702" s="39" t="str">
        <x:f>IF(AND(G702="RECORDED",ISNUMBER(H702)),H702,"")</x:f>
      </x:c>
      <x:c r="P702" s="35" t="str">
        <x:v>NOT_AVAILABLE</x:v>
      </x:c>
      <x:c r="Q702" s="35" t="str">
        <x:v>Deepseek-flash-v4/Result/Math_18/result.json</x:v>
      </x:c>
    </x:row>
    <x:row r="703">
      <x:c r="A703" s="35" t="str">
        <x:v>deepseek</x:v>
      </x:c>
      <x:c r="B703" s="35" t="str">
        <x:v>Math</x:v>
      </x:c>
      <x:c r="C703" s="35" t="str">
        <x:v>Round1</x:v>
      </x:c>
      <x:c r="D703" s="35" t="str">
        <x:v>Math_19</x:v>
      </x:c>
      <x:c r="E703" s="35" t="str">
        <x:v>Line</x:v>
      </x:c>
      <x:c r="F703" s="35"/>
      <x:c r="G703" s="35" t="str">
        <x:v>A</x:v>
      </x:c>
      <x:c r="H703" s="39" t="str">
        <x:f>IF(ISNUMBER('Data'!E703),'Data'!E703*100,"")</x:f>
      </x:c>
      <x:c r="I703" s="35"/>
      <x:c r="J703" s="35" t="str">
        <x:v>PASS</x:v>
      </x:c>
      <x:c r="K703" s="35" t="str">
        <x:v>FAIL</x:v>
      </x:c>
      <x:c r="L703" s="35" t="str">
        <x:v>NOT_RUN</x:v>
      </x:c>
      <x:c r="M703" s="35" t="str">
        <x:v>coverage unavailable or execution/compile failed</x:v>
      </x:c>
      <x:c r="N703" s="35" t="str">
        <x:v>Deepseek-flash-v4/Result/Math_19/result.json</x:v>
      </x:c>
      <x:c r="O703" s="39" t="str">
        <x:f>IF(AND(G703="RECORDED",ISNUMBER(H703)),H703,"")</x:f>
      </x:c>
      <x:c r="P703" s="35" t="str">
        <x:v>NOT_AVAILABLE</x:v>
      </x:c>
      <x:c r="Q703" s="35" t="str">
        <x:v>Deepseek-flash-v4/Result/Math_19/result.json</x:v>
      </x:c>
    </x:row>
    <x:row r="704">
      <x:c r="A704" s="35" t="str">
        <x:v>deepseek</x:v>
      </x:c>
      <x:c r="B704" s="35" t="str">
        <x:v>Math</x:v>
      </x:c>
      <x:c r="C704" s="35" t="str">
        <x:v>Round1</x:v>
      </x:c>
      <x:c r="D704" s="35" t="str">
        <x:v>Math_2</x:v>
      </x:c>
      <x:c r="E704" s="35" t="str">
        <x:v>Line</x:v>
      </x:c>
      <x:c r="F704" s="35" t="n">
        <x:v>74</x:v>
      </x:c>
      <x:c r="G704" s="35" t="str">
        <x:v>RECORDED</x:v>
      </x:c>
      <x:c r="H704" s="39" t="n">
        <x:f>IF(ISNUMBER('Data'!E704),'Data'!E704*100,"")</x:f>
        <x:v>98.65</x:v>
      </x:c>
      <x:c r="I704" s="35" t="str">
        <x:v>PASS</x:v>
      </x:c>
      <x:c r="J704" s="35" t="str">
        <x:v>PASS</x:v>
      </x:c>
      <x:c r="K704" s="35" t="str">
        <x:v>PASS</x:v>
      </x:c>
      <x:c r="L704" s="35" t="str">
        <x:v>FAIL</x:v>
      </x:c>
      <x:c r="M704" s="35" t="str">
        <x:v>numeric coverage for applicable metric</x:v>
      </x:c>
      <x:c r="N704" s="35" t="str">
        <x:v>Deepseek-flash-v4/Result/Math_2/result.json</x:v>
      </x:c>
      <x:c r="O704" s="39" t="n">
        <x:f>IF(AND(G704="RECORDED",ISNUMBER(H704)),H704,"")</x:f>
        <x:v>98.65</x:v>
      </x:c>
      <x:c r="P704" s="35" t="str">
        <x:v>INCONCLUSIVE</x:v>
      </x:c>
      <x:c r="Q704" s="35" t="str">
        <x:v>Deepseek-flash-v4/Result/Math_2/result.json</x:v>
      </x:c>
    </x:row>
    <x:row r="705">
      <x:c r="A705" s="35" t="str">
        <x:v>deepseek</x:v>
      </x:c>
      <x:c r="B705" s="35" t="str">
        <x:v>Math</x:v>
      </x:c>
      <x:c r="C705" s="35" t="str">
        <x:v>Round1</x:v>
      </x:c>
      <x:c r="D705" s="35" t="str">
        <x:v>Math_20</x:v>
      </x:c>
      <x:c r="E705" s="35" t="str">
        <x:v>Line</x:v>
      </x:c>
      <x:c r="F705" s="35"/>
      <x:c r="G705" s="35" t="str">
        <x:v>A</x:v>
      </x:c>
      <x:c r="H705" s="39" t="str">
        <x:f>IF(ISNUMBER('Data'!E705),'Data'!E705*100,"")</x:f>
      </x:c>
      <x:c r="I705" s="35"/>
      <x:c r="J705" s="35" t="str">
        <x:v>PASS</x:v>
      </x:c>
      <x:c r="K705" s="35" t="str">
        <x:v>FAIL</x:v>
      </x:c>
      <x:c r="L705" s="35" t="str">
        <x:v>NOT_RUN</x:v>
      </x:c>
      <x:c r="M705" s="35" t="str">
        <x:v>coverage unavailable or execution/compile failed</x:v>
      </x:c>
      <x:c r="N705" s="35" t="str">
        <x:v>Deepseek-flash-v4/Result/Math_20/result.json</x:v>
      </x:c>
      <x:c r="O705" s="39" t="str">
        <x:f>IF(AND(G705="RECORDED",ISNUMBER(H705)),H705,"")</x:f>
      </x:c>
      <x:c r="P705" s="35" t="str">
        <x:v>NOT_AVAILABLE</x:v>
      </x:c>
      <x:c r="Q705" s="35" t="str">
        <x:v>Deepseek-flash-v4/Result/Math_20/result.json</x:v>
      </x:c>
    </x:row>
    <x:row r="706">
      <x:c r="A706" s="35" t="str">
        <x:v>deepseek</x:v>
      </x:c>
      <x:c r="B706" s="35" t="str">
        <x:v>Math</x:v>
      </x:c>
      <x:c r="C706" s="35" t="str">
        <x:v>Round1</x:v>
      </x:c>
      <x:c r="D706" s="35" t="str">
        <x:v>Math_21</x:v>
      </x:c>
      <x:c r="E706" s="35" t="str">
        <x:v>Line</x:v>
      </x:c>
      <x:c r="F706" s="35" t="n">
        <x:v>52</x:v>
      </x:c>
      <x:c r="G706" s="35" t="str">
        <x:v>RECORDED</x:v>
      </x:c>
      <x:c r="H706" s="39" t="n">
        <x:f>IF(ISNUMBER('Data'!E706),'Data'!E706*100,"")</x:f>
        <x:v>100</x:v>
      </x:c>
      <x:c r="I706" s="35" t="str">
        <x:v>PASS</x:v>
      </x:c>
      <x:c r="J706" s="35" t="str">
        <x:v>PASS</x:v>
      </x:c>
      <x:c r="K706" s="35" t="str">
        <x:v>PASS</x:v>
      </x:c>
      <x:c r="L706" s="35" t="str">
        <x:v>FAIL</x:v>
      </x:c>
      <x:c r="M706" s="35" t="str">
        <x:v>numeric coverage for applicable metric</x:v>
      </x:c>
      <x:c r="N706" s="35" t="str">
        <x:v>Deepseek-flash-v4/Result/Math_21/result.json</x:v>
      </x:c>
      <x:c r="O706" s="39" t="n">
        <x:f>IF(AND(G706="RECORDED",ISNUMBER(H706)),H706,"")</x:f>
        <x:v>100</x:v>
      </x:c>
      <x:c r="P706" s="35" t="str">
        <x:v>INCONCLUSIVE</x:v>
      </x:c>
      <x:c r="Q706" s="35" t="str">
        <x:v>Deepseek-flash-v4/Result/Math_21/result.json</x:v>
      </x:c>
    </x:row>
    <x:row r="707">
      <x:c r="A707" s="35" t="str">
        <x:v>deepseek</x:v>
      </x:c>
      <x:c r="B707" s="35" t="str">
        <x:v>Math</x:v>
      </x:c>
      <x:c r="C707" s="35" t="str">
        <x:v>Round1</x:v>
      </x:c>
      <x:c r="D707" s="35" t="str">
        <x:v>Math_22</x:v>
      </x:c>
      <x:c r="E707" s="35" t="str">
        <x:v>Line</x:v>
      </x:c>
      <x:c r="F707" s="35"/>
      <x:c r="G707" s="35" t="str">
        <x:v>A</x:v>
      </x:c>
      <x:c r="H707" s="39" t="str">
        <x:f>IF(ISNUMBER('Data'!E707),'Data'!E707*100,"")</x:f>
      </x:c>
      <x:c r="I707" s="35"/>
      <x:c r="J707" s="35" t="str">
        <x:v>PASS</x:v>
      </x:c>
      <x:c r="K707" s="35" t="str">
        <x:v>FAIL</x:v>
      </x:c>
      <x:c r="L707" s="35" t="str">
        <x:v>NOT_RUN</x:v>
      </x:c>
      <x:c r="M707" s="35" t="str">
        <x:v>coverage unavailable or execution/compile failed</x:v>
      </x:c>
      <x:c r="N707" s="35" t="str">
        <x:v>Deepseek-flash-v4/Result/Math_22/result.json</x:v>
      </x:c>
      <x:c r="O707" s="39" t="str">
        <x:f>IF(AND(G707="RECORDED",ISNUMBER(H707)),H707,"")</x:f>
      </x:c>
      <x:c r="P707" s="35" t="str">
        <x:v>NOT_AVAILABLE</x:v>
      </x:c>
      <x:c r="Q707" s="35" t="str">
        <x:v>Deepseek-flash-v4/Result/Math_22/result.json</x:v>
      </x:c>
    </x:row>
    <x:row r="708">
      <x:c r="A708" s="35" t="str">
        <x:v>deepseek</x:v>
      </x:c>
      <x:c r="B708" s="35" t="str">
        <x:v>Math</x:v>
      </x:c>
      <x:c r="C708" s="35" t="str">
        <x:v>Round1</x:v>
      </x:c>
      <x:c r="D708" s="35" t="str">
        <x:v>Math_23</x:v>
      </x:c>
      <x:c r="E708" s="35" t="str">
        <x:v>Line</x:v>
      </x:c>
      <x:c r="F708" s="35"/>
      <x:c r="G708" s="35" t="str">
        <x:v>A</x:v>
      </x:c>
      <x:c r="H708" s="39" t="str">
        <x:f>IF(ISNUMBER('Data'!E708),'Data'!E708*100,"")</x:f>
      </x:c>
      <x:c r="I708" s="35"/>
      <x:c r="J708" s="35" t="str">
        <x:v>PASS</x:v>
      </x:c>
      <x:c r="K708" s="35" t="str">
        <x:v>FAIL</x:v>
      </x:c>
      <x:c r="L708" s="35" t="str">
        <x:v>NOT_RUN</x:v>
      </x:c>
      <x:c r="M708" s="35" t="str">
        <x:v>coverage unavailable or execution/compile failed</x:v>
      </x:c>
      <x:c r="N708" s="35" t="str">
        <x:v>Deepseek-flash-v4/Result/Math_23/result.json</x:v>
      </x:c>
      <x:c r="O708" s="39" t="str">
        <x:f>IF(AND(G708="RECORDED",ISNUMBER(H708)),H708,"")</x:f>
      </x:c>
      <x:c r="P708" s="35" t="str">
        <x:v>NOT_AVAILABLE</x:v>
      </x:c>
      <x:c r="Q708" s="35" t="str">
        <x:v>Deepseek-flash-v4/Result/Math_23/result.json</x:v>
      </x:c>
    </x:row>
    <x:row r="709">
      <x:c r="A709" s="35" t="str">
        <x:v>deepseek</x:v>
      </x:c>
      <x:c r="B709" s="35" t="str">
        <x:v>Math</x:v>
      </x:c>
      <x:c r="C709" s="35" t="str">
        <x:v>Round1</x:v>
      </x:c>
      <x:c r="D709" s="35" t="str">
        <x:v>Math_24</x:v>
      </x:c>
      <x:c r="E709" s="35" t="str">
        <x:v>Line</x:v>
      </x:c>
      <x:c r="F709" s="35"/>
      <x:c r="G709" s="35" t="str">
        <x:v>A</x:v>
      </x:c>
      <x:c r="H709" s="39" t="str">
        <x:f>IF(ISNUMBER('Data'!E709),'Data'!E709*100,"")</x:f>
      </x:c>
      <x:c r="I709" s="35"/>
      <x:c r="J709" s="35" t="str">
        <x:v>PASS</x:v>
      </x:c>
      <x:c r="K709" s="35" t="str">
        <x:v>FAIL</x:v>
      </x:c>
      <x:c r="L709" s="35" t="str">
        <x:v>NOT_RUN</x:v>
      </x:c>
      <x:c r="M709" s="35" t="str">
        <x:v>coverage unavailable or execution/compile failed</x:v>
      </x:c>
      <x:c r="N709" s="35" t="str">
        <x:v>Deepseek-flash-v4/Result/Math_24/result.json</x:v>
      </x:c>
      <x:c r="O709" s="39" t="str">
        <x:f>IF(AND(G709="RECORDED",ISNUMBER(H709)),H709,"")</x:f>
      </x:c>
      <x:c r="P709" s="35" t="str">
        <x:v>NOT_AVAILABLE</x:v>
      </x:c>
      <x:c r="Q709" s="35" t="str">
        <x:v>Deepseek-flash-v4/Result/Math_24/result.json</x:v>
      </x:c>
    </x:row>
    <x:row r="710">
      <x:c r="A710" s="35" t="str">
        <x:v>deepseek</x:v>
      </x:c>
      <x:c r="B710" s="35" t="str">
        <x:v>Math</x:v>
      </x:c>
      <x:c r="C710" s="35" t="str">
        <x:v>Round1</x:v>
      </x:c>
      <x:c r="D710" s="35" t="str">
        <x:v>Math_25</x:v>
      </x:c>
      <x:c r="E710" s="35" t="str">
        <x:v>Line</x:v>
      </x:c>
      <x:c r="F710" s="35" t="n">
        <x:v>94</x:v>
      </x:c>
      <x:c r="G710" s="35" t="str">
        <x:v>RECORDED</x:v>
      </x:c>
      <x:c r="H710" s="39" t="n">
        <x:f>IF(ISNUMBER('Data'!E710),'Data'!E710*100,"")</x:f>
        <x:v>94.68</x:v>
      </x:c>
      <x:c r="I710" s="35" t="str">
        <x:v>PASS</x:v>
      </x:c>
      <x:c r="J710" s="35" t="str">
        <x:v>PASS</x:v>
      </x:c>
      <x:c r="K710" s="35" t="str">
        <x:v>PASS</x:v>
      </x:c>
      <x:c r="L710" s="35" t="str">
        <x:v>FAIL</x:v>
      </x:c>
      <x:c r="M710" s="35" t="str">
        <x:v>numeric coverage for applicable metric</x:v>
      </x:c>
      <x:c r="N710" s="35" t="str">
        <x:v>Deepseek-flash-v4/Result/Math_25/result.json</x:v>
      </x:c>
      <x:c r="O710" s="39" t="n">
        <x:f>IF(AND(G710="RECORDED",ISNUMBER(H710)),H710,"")</x:f>
        <x:v>94.68</x:v>
      </x:c>
      <x:c r="P710" s="35" t="str">
        <x:v>INCONCLUSIVE</x:v>
      </x:c>
      <x:c r="Q710" s="35" t="str">
        <x:v>Deepseek-flash-v4/Result/Math_25/result.json</x:v>
      </x:c>
    </x:row>
    <x:row r="711">
      <x:c r="A711" s="35" t="str">
        <x:v>deepseek</x:v>
      </x:c>
      <x:c r="B711" s="35" t="str">
        <x:v>Math</x:v>
      </x:c>
      <x:c r="C711" s="35" t="str">
        <x:v>Round1</x:v>
      </x:c>
      <x:c r="D711" s="35" t="str">
        <x:v>Math_26</x:v>
      </x:c>
      <x:c r="E711" s="35" t="str">
        <x:v>Line</x:v>
      </x:c>
      <x:c r="F711" s="35"/>
      <x:c r="G711" s="35" t="str">
        <x:v>A</x:v>
      </x:c>
      <x:c r="H711" s="39" t="str">
        <x:f>IF(ISNUMBER('Data'!E711),'Data'!E711*100,"")</x:f>
      </x:c>
      <x:c r="I711" s="35"/>
      <x:c r="J711" s="35" t="str">
        <x:v>PASS</x:v>
      </x:c>
      <x:c r="K711" s="35" t="str">
        <x:v>FAIL</x:v>
      </x:c>
      <x:c r="L711" s="35" t="str">
        <x:v>NOT_RUN</x:v>
      </x:c>
      <x:c r="M711" s="35" t="str">
        <x:v>coverage unavailable or execution/compile failed</x:v>
      </x:c>
      <x:c r="N711" s="35" t="str">
        <x:v>Deepseek-flash-v4/Result/Math_26/result.json</x:v>
      </x:c>
      <x:c r="O711" s="39" t="str">
        <x:f>IF(AND(G711="RECORDED",ISNUMBER(H711)),H711,"")</x:f>
      </x:c>
      <x:c r="P711" s="35" t="str">
        <x:v>NOT_AVAILABLE</x:v>
      </x:c>
      <x:c r="Q711" s="35" t="str">
        <x:v>Deepseek-flash-v4/Result/Math_26/result.json</x:v>
      </x:c>
    </x:row>
    <x:row r="712">
      <x:c r="A712" s="35" t="str">
        <x:v>deepseek</x:v>
      </x:c>
      <x:c r="B712" s="35" t="str">
        <x:v>Math</x:v>
      </x:c>
      <x:c r="C712" s="35" t="str">
        <x:v>Round1</x:v>
      </x:c>
      <x:c r="D712" s="35" t="str">
        <x:v>Math_27</x:v>
      </x:c>
      <x:c r="E712" s="35" t="str">
        <x:v>Line</x:v>
      </x:c>
      <x:c r="F712" s="35" t="n">
        <x:v>183</x:v>
      </x:c>
      <x:c r="G712" s="35" t="str">
        <x:v>RECORDED</x:v>
      </x:c>
      <x:c r="H712" s="39" t="n">
        <x:f>IF(ISNUMBER('Data'!E712),'Data'!E712*100,"")</x:f>
        <x:v>15.299999999999999</x:v>
      </x:c>
      <x:c r="I712" s="35" t="str">
        <x:v>PASS</x:v>
      </x:c>
      <x:c r="J712" s="35" t="str">
        <x:v>PASS</x:v>
      </x:c>
      <x:c r="K712" s="35" t="str">
        <x:v>PASS</x:v>
      </x:c>
      <x:c r="L712" s="35" t="str">
        <x:v>FAIL</x:v>
      </x:c>
      <x:c r="M712" s="35" t="str">
        <x:v>numeric coverage for applicable metric</x:v>
      </x:c>
      <x:c r="N712" s="35" t="str">
        <x:v>Deepseek-flash-v4/Result/Math_27/result.json</x:v>
      </x:c>
      <x:c r="O712" s="39" t="n">
        <x:f>IF(AND(G712="RECORDED",ISNUMBER(H712)),H712,"")</x:f>
        <x:v>15.299999999999999</x:v>
      </x:c>
      <x:c r="P712" s="35" t="str">
        <x:v>INCONCLUSIVE</x:v>
      </x:c>
      <x:c r="Q712" s="35" t="str">
        <x:v>Deepseek-flash-v4/Result/Math_27/result.json</x:v>
      </x:c>
    </x:row>
    <x:row r="713">
      <x:c r="A713" s="35" t="str">
        <x:v>deepseek</x:v>
      </x:c>
      <x:c r="B713" s="35" t="str">
        <x:v>Math</x:v>
      </x:c>
      <x:c r="C713" s="35" t="str">
        <x:v>Round1</x:v>
      </x:c>
      <x:c r="D713" s="35" t="str">
        <x:v>Math_28</x:v>
      </x:c>
      <x:c r="E713" s="35" t="str">
        <x:v>Line</x:v>
      </x:c>
      <x:c r="F713" s="35"/>
      <x:c r="G713" s="35" t="str">
        <x:v>A</x:v>
      </x:c>
      <x:c r="H713" s="39" t="str">
        <x:f>IF(ISNUMBER('Data'!E713),'Data'!E713*100,"")</x:f>
      </x:c>
      <x:c r="I713" s="35"/>
      <x:c r="J713" s="35" t="str">
        <x:v>PASS</x:v>
      </x:c>
      <x:c r="K713" s="35" t="str">
        <x:v>FAIL</x:v>
      </x:c>
      <x:c r="L713" s="35" t="str">
        <x:v>NOT_RUN</x:v>
      </x:c>
      <x:c r="M713" s="35" t="str">
        <x:v>coverage unavailable or execution/compile failed</x:v>
      </x:c>
      <x:c r="N713" s="35" t="str">
        <x:v>Deepseek-flash-v4/Result/Math_28/result.json</x:v>
      </x:c>
      <x:c r="O713" s="39" t="str">
        <x:f>IF(AND(G713="RECORDED",ISNUMBER(H713)),H713,"")</x:f>
      </x:c>
      <x:c r="P713" s="35" t="str">
        <x:v>NOT_AVAILABLE</x:v>
      </x:c>
      <x:c r="Q713" s="35" t="str">
        <x:v>Deepseek-flash-v4/Result/Math_28/result.json</x:v>
      </x:c>
    </x:row>
    <x:row r="714">
      <x:c r="A714" s="35" t="str">
        <x:v>deepseek</x:v>
      </x:c>
      <x:c r="B714" s="35" t="str">
        <x:v>Math</x:v>
      </x:c>
      <x:c r="C714" s="35" t="str">
        <x:v>Round1</x:v>
      </x:c>
      <x:c r="D714" s="35" t="str">
        <x:v>Math_29</x:v>
      </x:c>
      <x:c r="E714" s="35" t="str">
        <x:v>Line</x:v>
      </x:c>
      <x:c r="F714" s="35" t="n">
        <x:v>321</x:v>
      </x:c>
      <x:c r="G714" s="35" t="str">
        <x:v>RECORDED</x:v>
      </x:c>
      <x:c r="H714" s="39" t="n">
        <x:f>IF(ISNUMBER('Data'!E714),'Data'!E714*100,"")</x:f>
        <x:v>83.49</x:v>
      </x:c>
      <x:c r="I714" s="35" t="str">
        <x:v>PASS</x:v>
      </x:c>
      <x:c r="J714" s="35" t="str">
        <x:v>PASS</x:v>
      </x:c>
      <x:c r="K714" s="35" t="str">
        <x:v>PASS</x:v>
      </x:c>
      <x:c r="L714" s="35" t="str">
        <x:v>FAIL</x:v>
      </x:c>
      <x:c r="M714" s="35" t="str">
        <x:v>numeric coverage for applicable metric</x:v>
      </x:c>
      <x:c r="N714" s="35" t="str">
        <x:v>Deepseek-flash-v4/Result/Math_29/result.json</x:v>
      </x:c>
      <x:c r="O714" s="39" t="n">
        <x:f>IF(AND(G714="RECORDED",ISNUMBER(H714)),H714,"")</x:f>
        <x:v>83.49</x:v>
      </x:c>
      <x:c r="P714" s="35" t="str">
        <x:v>INCONCLUSIVE</x:v>
      </x:c>
      <x:c r="Q714" s="35" t="str">
        <x:v>Deepseek-flash-v4/Result/Math_29/result.json</x:v>
      </x:c>
    </x:row>
    <x:row r="715">
      <x:c r="A715" s="35" t="str">
        <x:v>deepseek</x:v>
      </x:c>
      <x:c r="B715" s="35" t="str">
        <x:v>Math</x:v>
      </x:c>
      <x:c r="C715" s="35" t="str">
        <x:v>Round1</x:v>
      </x:c>
      <x:c r="D715" s="35" t="str">
        <x:v>Math_3</x:v>
      </x:c>
      <x:c r="E715" s="35" t="str">
        <x:v>Line</x:v>
      </x:c>
      <x:c r="F715" s="35" t="n">
        <x:v>419</x:v>
      </x:c>
      <x:c r="G715" s="35" t="str">
        <x:v>RECORDED</x:v>
      </x:c>
      <x:c r="H715" s="39" t="n">
        <x:f>IF(ISNUMBER('Data'!E715),'Data'!E715*100,"")</x:f>
        <x:v>67.3</x:v>
      </x:c>
      <x:c r="I715" s="35" t="str">
        <x:v>PASS</x:v>
      </x:c>
      <x:c r="J715" s="35" t="str">
        <x:v>PASS</x:v>
      </x:c>
      <x:c r="K715" s="35" t="str">
        <x:v>PASS</x:v>
      </x:c>
      <x:c r="L715" s="35" t="str">
        <x:v>FAIL</x:v>
      </x:c>
      <x:c r="M715" s="35" t="str">
        <x:v>numeric coverage for applicable metric</x:v>
      </x:c>
      <x:c r="N715" s="35" t="str">
        <x:v>Deepseek-flash-v4/Result/Math_3/result.json</x:v>
      </x:c>
      <x:c r="O715" s="39" t="n">
        <x:f>IF(AND(G715="RECORDED",ISNUMBER(H715)),H715,"")</x:f>
        <x:v>67.3</x:v>
      </x:c>
      <x:c r="P715" s="35" t="str">
        <x:v>INCONCLUSIVE</x:v>
      </x:c>
      <x:c r="Q715" s="35" t="str">
        <x:v>Deepseek-flash-v4/Result/Math_3/result.json</x:v>
      </x:c>
    </x:row>
    <x:row r="716">
      <x:c r="A716" s="35" t="str">
        <x:v>deepseek</x:v>
      </x:c>
      <x:c r="B716" s="35" t="str">
        <x:v>Math</x:v>
      </x:c>
      <x:c r="C716" s="35" t="str">
        <x:v>Round1</x:v>
      </x:c>
      <x:c r="D716" s="35" t="str">
        <x:v>Math_30</x:v>
      </x:c>
      <x:c r="E716" s="35" t="str">
        <x:v>Line</x:v>
      </x:c>
      <x:c r="F716" s="35" t="n">
        <x:v>34</x:v>
      </x:c>
      <x:c r="G716" s="35" t="str">
        <x:v>RECORDED</x:v>
      </x:c>
      <x:c r="H716" s="39" t="n">
        <x:f>IF(ISNUMBER('Data'!E716),'Data'!E716*100,"")</x:f>
        <x:v>100</x:v>
      </x:c>
      <x:c r="I716" s="35" t="str">
        <x:v>PASS</x:v>
      </x:c>
      <x:c r="J716" s="35" t="str">
        <x:v>PASS</x:v>
      </x:c>
      <x:c r="K716" s="35" t="str">
        <x:v>PASS</x:v>
      </x:c>
      <x:c r="L716" s="35" t="str">
        <x:v>FAIL</x:v>
      </x:c>
      <x:c r="M716" s="35" t="str">
        <x:v>numeric coverage for applicable metric</x:v>
      </x:c>
      <x:c r="N716" s="35" t="str">
        <x:v>Deepseek-flash-v4/Result/Math_30/result.json</x:v>
      </x:c>
      <x:c r="O716" s="39" t="n">
        <x:f>IF(AND(G716="RECORDED",ISNUMBER(H716)),H716,"")</x:f>
        <x:v>100</x:v>
      </x:c>
      <x:c r="P716" s="35" t="str">
        <x:v>INCONCLUSIVE</x:v>
      </x:c>
      <x:c r="Q716" s="35" t="str">
        <x:v>Deepseek-flash-v4/Result/Math_30/result.json</x:v>
      </x:c>
    </x:row>
    <x:row r="717">
      <x:c r="A717" s="35" t="str">
        <x:v>deepseek</x:v>
      </x:c>
      <x:c r="B717" s="35" t="str">
        <x:v>Math</x:v>
      </x:c>
      <x:c r="C717" s="35" t="str">
        <x:v>Round1</x:v>
      </x:c>
      <x:c r="D717" s="35" t="str">
        <x:v>Math_31</x:v>
      </x:c>
      <x:c r="E717" s="35" t="str">
        <x:v>Line</x:v>
      </x:c>
      <x:c r="F717" s="35" t="n">
        <x:v>59</x:v>
      </x:c>
      <x:c r="G717" s="35" t="str">
        <x:v>RECORDED</x:v>
      </x:c>
      <x:c r="H717" s="39" t="n">
        <x:f>IF(ISNUMBER('Data'!E717),'Data'!E717*100,"")</x:f>
        <x:v>93.22</x:v>
      </x:c>
      <x:c r="I717" s="35" t="str">
        <x:v>PASS</x:v>
      </x:c>
      <x:c r="J717" s="35" t="str">
        <x:v>PASS</x:v>
      </x:c>
      <x:c r="K717" s="35" t="str">
        <x:v>PASS</x:v>
      </x:c>
      <x:c r="L717" s="35" t="str">
        <x:v>FAIL</x:v>
      </x:c>
      <x:c r="M717" s="35" t="str">
        <x:v>numeric coverage for applicable metric</x:v>
      </x:c>
      <x:c r="N717" s="35" t="str">
        <x:v>Deepseek-flash-v4/Result/Math_31/result.json</x:v>
      </x:c>
      <x:c r="O717" s="39" t="n">
        <x:f>IF(AND(G717="RECORDED",ISNUMBER(H717)),H717,"")</x:f>
        <x:v>93.22</x:v>
      </x:c>
      <x:c r="P717" s="35" t="str">
        <x:v>INCONCLUSIVE</x:v>
      </x:c>
      <x:c r="Q717" s="35" t="str">
        <x:v>Deepseek-flash-v4/Result/Math_31/result.json</x:v>
      </x:c>
    </x:row>
    <x:row r="718">
      <x:c r="A718" s="35" t="str">
        <x:v>deepseek</x:v>
      </x:c>
      <x:c r="B718" s="35" t="str">
        <x:v>Math</x:v>
      </x:c>
      <x:c r="C718" s="35" t="str">
        <x:v>Round1</x:v>
      </x:c>
      <x:c r="D718" s="35" t="str">
        <x:v>Math_32</x:v>
      </x:c>
      <x:c r="E718" s="35" t="str">
        <x:v>Line</x:v>
      </x:c>
      <x:c r="F718" s="35"/>
      <x:c r="G718" s="35" t="str">
        <x:v>A</x:v>
      </x:c>
      <x:c r="H718" s="39" t="str">
        <x:f>IF(ISNUMBER('Data'!E718),'Data'!E718*100,"")</x:f>
      </x:c>
      <x:c r="I718" s="35"/>
      <x:c r="J718" s="35" t="str">
        <x:v>PASS</x:v>
      </x:c>
      <x:c r="K718" s="35" t="str">
        <x:v>FAIL</x:v>
      </x:c>
      <x:c r="L718" s="35" t="str">
        <x:v>NOT_RUN</x:v>
      </x:c>
      <x:c r="M718" s="35" t="str">
        <x:v>coverage unavailable or execution/compile failed</x:v>
      </x:c>
      <x:c r="N718" s="35" t="str">
        <x:v>Deepseek-flash-v4/Result/Math_32/result.json</x:v>
      </x:c>
      <x:c r="O718" s="39" t="str">
        <x:f>IF(AND(G718="RECORDED",ISNUMBER(H718)),H718,"")</x:f>
      </x:c>
      <x:c r="P718" s="35" t="str">
        <x:v>NOT_AVAILABLE</x:v>
      </x:c>
      <x:c r="Q718" s="35" t="str">
        <x:v>Deepseek-flash-v4/Result/Math_32/result.json</x:v>
      </x:c>
    </x:row>
    <x:row r="719">
      <x:c r="A719" s="35" t="str">
        <x:v>deepseek</x:v>
      </x:c>
      <x:c r="B719" s="35" t="str">
        <x:v>Math</x:v>
      </x:c>
      <x:c r="C719" s="35" t="str">
        <x:v>Round1</x:v>
      </x:c>
      <x:c r="D719" s="35" t="str">
        <x:v>Math_33</x:v>
      </x:c>
      <x:c r="E719" s="35" t="str">
        <x:v>Line</x:v>
      </x:c>
      <x:c r="F719" s="35"/>
      <x:c r="G719" s="35" t="str">
        <x:v>A</x:v>
      </x:c>
      <x:c r="H719" s="39" t="str">
        <x:f>IF(ISNUMBER('Data'!E719),'Data'!E719*100,"")</x:f>
      </x:c>
      <x:c r="I719" s="35"/>
      <x:c r="J719" s="35" t="str">
        <x:v>PASS</x:v>
      </x:c>
      <x:c r="K719" s="35" t="str">
        <x:v>FAIL</x:v>
      </x:c>
      <x:c r="L719" s="35" t="str">
        <x:v>NOT_RUN</x:v>
      </x:c>
      <x:c r="M719" s="35" t="str">
        <x:v>coverage unavailable or execution/compile failed</x:v>
      </x:c>
      <x:c r="N719" s="35" t="str">
        <x:v>Deepseek-flash-v4/Result/Math_33/result.json</x:v>
      </x:c>
      <x:c r="O719" s="39" t="str">
        <x:f>IF(AND(G719="RECORDED",ISNUMBER(H719)),H719,"")</x:f>
      </x:c>
      <x:c r="P719" s="35" t="str">
        <x:v>NOT_AVAILABLE</x:v>
      </x:c>
      <x:c r="Q719" s="35" t="str">
        <x:v>Deepseek-flash-v4/Result/Math_33/result.json</x:v>
      </x:c>
    </x:row>
    <x:row r="720">
      <x:c r="A720" s="35" t="str">
        <x:v>deepseek</x:v>
      </x:c>
      <x:c r="B720" s="35" t="str">
        <x:v>Math</x:v>
      </x:c>
      <x:c r="C720" s="35" t="str">
        <x:v>Round1</x:v>
      </x:c>
      <x:c r="D720" s="35" t="str">
        <x:v>Math_34</x:v>
      </x:c>
      <x:c r="E720" s="35" t="str">
        <x:v>Line</x:v>
      </x:c>
      <x:c r="F720" s="35"/>
      <x:c r="G720" s="35" t="str">
        <x:v>A</x:v>
      </x:c>
      <x:c r="H720" s="39" t="str">
        <x:f>IF(ISNUMBER('Data'!E720),'Data'!E720*100,"")</x:f>
      </x:c>
      <x:c r="I720" s="35"/>
      <x:c r="J720" s="35" t="str">
        <x:v>PASS</x:v>
      </x:c>
      <x:c r="K720" s="35" t="str">
        <x:v>FAIL</x:v>
      </x:c>
      <x:c r="L720" s="35" t="str">
        <x:v>NOT_RUN</x:v>
      </x:c>
      <x:c r="M720" s="35" t="str">
        <x:v>coverage unavailable or execution/compile failed</x:v>
      </x:c>
      <x:c r="N720" s="35" t="str">
        <x:v>Deepseek-flash-v4/Result/Math_34/result.json</x:v>
      </x:c>
      <x:c r="O720" s="39" t="str">
        <x:f>IF(AND(G720="RECORDED",ISNUMBER(H720)),H720,"")</x:f>
      </x:c>
      <x:c r="P720" s="35" t="str">
        <x:v>NOT_AVAILABLE</x:v>
      </x:c>
      <x:c r="Q720" s="35" t="str">
        <x:v>Deepseek-flash-v4/Result/Math_34/result.json</x:v>
      </x:c>
    </x:row>
    <x:row r="721">
      <x:c r="A721" s="35" t="str">
        <x:v>deepseek</x:v>
      </x:c>
      <x:c r="B721" s="35" t="str">
        <x:v>Math</x:v>
      </x:c>
      <x:c r="C721" s="35" t="str">
        <x:v>Round1</x:v>
      </x:c>
      <x:c r="D721" s="35" t="str">
        <x:v>Math_35</x:v>
      </x:c>
      <x:c r="E721" s="35" t="str">
        <x:v>Line</x:v>
      </x:c>
      <x:c r="F721" s="35"/>
      <x:c r="G721" s="35" t="str">
        <x:v>A</x:v>
      </x:c>
      <x:c r="H721" s="39" t="str">
        <x:f>IF(ISNUMBER('Data'!E721),'Data'!E721*100,"")</x:f>
      </x:c>
      <x:c r="I721" s="35"/>
      <x:c r="J721" s="35" t="str">
        <x:v>PASS</x:v>
      </x:c>
      <x:c r="K721" s="35" t="str">
        <x:v>FAIL</x:v>
      </x:c>
      <x:c r="L721" s="35" t="str">
        <x:v>NOT_RUN</x:v>
      </x:c>
      <x:c r="M721" s="35" t="str">
        <x:v>coverage unavailable or execution/compile failed</x:v>
      </x:c>
      <x:c r="N721" s="35" t="str">
        <x:v>Deepseek-flash-v4/Result/Math_35/result.json</x:v>
      </x:c>
      <x:c r="O721" s="39" t="str">
        <x:f>IF(AND(G721="RECORDED",ISNUMBER(H721)),H721,"")</x:f>
      </x:c>
      <x:c r="P721" s="35" t="str">
        <x:v>NOT_AVAILABLE</x:v>
      </x:c>
      <x:c r="Q721" s="35" t="str">
        <x:v>Deepseek-flash-v4/Result/Math_35/result.json</x:v>
      </x:c>
    </x:row>
    <x:row r="722">
      <x:c r="A722" s="35" t="str">
        <x:v>deepseek</x:v>
      </x:c>
      <x:c r="B722" s="35" t="str">
        <x:v>Math</x:v>
      </x:c>
      <x:c r="C722" s="35" t="str">
        <x:v>Round1</x:v>
      </x:c>
      <x:c r="D722" s="35" t="str">
        <x:v>Math_36</x:v>
      </x:c>
      <x:c r="E722" s="35" t="str">
        <x:v>Line</x:v>
      </x:c>
      <x:c r="F722" s="35"/>
      <x:c r="G722" s="35" t="str">
        <x:v>A</x:v>
      </x:c>
      <x:c r="H722" s="39" t="str">
        <x:f>IF(ISNUMBER('Data'!E722),'Data'!E722*100,"")</x:f>
      </x:c>
      <x:c r="I722" s="35"/>
      <x:c r="J722" s="35" t="str">
        <x:v>PASS</x:v>
      </x:c>
      <x:c r="K722" s="35" t="str">
        <x:v>FAIL</x:v>
      </x:c>
      <x:c r="L722" s="35" t="str">
        <x:v>NOT_RUN</x:v>
      </x:c>
      <x:c r="M722" s="35" t="str">
        <x:v>coverage unavailable or execution/compile failed</x:v>
      </x:c>
      <x:c r="N722" s="35" t="str">
        <x:v>Deepseek-flash-v4/Result/Math_36/result.json</x:v>
      </x:c>
      <x:c r="O722" s="39" t="str">
        <x:f>IF(AND(G722="RECORDED",ISNUMBER(H722)),H722,"")</x:f>
      </x:c>
      <x:c r="P722" s="35" t="str">
        <x:v>NOT_AVAILABLE</x:v>
      </x:c>
      <x:c r="Q722" s="35" t="str">
        <x:v>Deepseek-flash-v4/Result/Math_36/result.json</x:v>
      </x:c>
    </x:row>
    <x:row r="723">
      <x:c r="A723" s="35" t="str">
        <x:v>deepseek</x:v>
      </x:c>
      <x:c r="B723" s="35" t="str">
        <x:v>Math</x:v>
      </x:c>
      <x:c r="C723" s="35" t="str">
        <x:v>Round1</x:v>
      </x:c>
      <x:c r="D723" s="35" t="str">
        <x:v>Math_37</x:v>
      </x:c>
      <x:c r="E723" s="35" t="str">
        <x:v>Line</x:v>
      </x:c>
      <x:c r="F723" s="35"/>
      <x:c r="G723" s="35" t="str">
        <x:v>A</x:v>
      </x:c>
      <x:c r="H723" s="39" t="str">
        <x:f>IF(ISNUMBER('Data'!E723),'Data'!E723*100,"")</x:f>
      </x:c>
      <x:c r="I723" s="35"/>
      <x:c r="J723" s="35" t="str">
        <x:v>PASS</x:v>
      </x:c>
      <x:c r="K723" s="35" t="str">
        <x:v>FAIL</x:v>
      </x:c>
      <x:c r="L723" s="35" t="str">
        <x:v>NOT_RUN</x:v>
      </x:c>
      <x:c r="M723" s="35" t="str">
        <x:v>coverage unavailable or execution/compile failed</x:v>
      </x:c>
      <x:c r="N723" s="35" t="str">
        <x:v>Deepseek-flash-v4/Result/Math_37/result.json</x:v>
      </x:c>
      <x:c r="O723" s="39" t="str">
        <x:f>IF(AND(G723="RECORDED",ISNUMBER(H723)),H723,"")</x:f>
      </x:c>
      <x:c r="P723" s="35" t="str">
        <x:v>NOT_AVAILABLE</x:v>
      </x:c>
      <x:c r="Q723" s="35" t="str">
        <x:v>Deepseek-flash-v4/Result/Math_37/result.json</x:v>
      </x:c>
    </x:row>
    <x:row r="724">
      <x:c r="A724" s="35" t="str">
        <x:v>deepseek</x:v>
      </x:c>
      <x:c r="B724" s="35" t="str">
        <x:v>Math</x:v>
      </x:c>
      <x:c r="C724" s="35" t="str">
        <x:v>Round1</x:v>
      </x:c>
      <x:c r="D724" s="35" t="str">
        <x:v>Math_38</x:v>
      </x:c>
      <x:c r="E724" s="35" t="str">
        <x:v>Line</x:v>
      </x:c>
      <x:c r="F724" s="35"/>
      <x:c r="G724" s="35" t="str">
        <x:v>A</x:v>
      </x:c>
      <x:c r="H724" s="39" t="str">
        <x:f>IF(ISNUMBER('Data'!E724),'Data'!E724*100,"")</x:f>
      </x:c>
      <x:c r="I724" s="35"/>
      <x:c r="J724" s="35" t="str">
        <x:v>PASS</x:v>
      </x:c>
      <x:c r="K724" s="35" t="str">
        <x:v>FAIL</x:v>
      </x:c>
      <x:c r="L724" s="35" t="str">
        <x:v>NOT_RUN</x:v>
      </x:c>
      <x:c r="M724" s="35" t="str">
        <x:v>coverage unavailable or execution/compile failed</x:v>
      </x:c>
      <x:c r="N724" s="35" t="str">
        <x:v>Deepseek-flash-v4/Result/Math_38/result.json</x:v>
      </x:c>
      <x:c r="O724" s="39" t="str">
        <x:f>IF(AND(G724="RECORDED",ISNUMBER(H724)),H724,"")</x:f>
      </x:c>
      <x:c r="P724" s="35" t="str">
        <x:v>NOT_AVAILABLE</x:v>
      </x:c>
      <x:c r="Q724" s="35" t="str">
        <x:v>Deepseek-flash-v4/Result/Math_38/result.json</x:v>
      </x:c>
    </x:row>
    <x:row r="725">
      <x:c r="A725" s="35" t="str">
        <x:v>deepseek</x:v>
      </x:c>
      <x:c r="B725" s="35" t="str">
        <x:v>Math</x:v>
      </x:c>
      <x:c r="C725" s="35" t="str">
        <x:v>Round1</x:v>
      </x:c>
      <x:c r="D725" s="35" t="str">
        <x:v>Math_39</x:v>
      </x:c>
      <x:c r="E725" s="35" t="str">
        <x:v>Line</x:v>
      </x:c>
      <x:c r="F725" s="35"/>
      <x:c r="G725" s="35" t="str">
        <x:v>A</x:v>
      </x:c>
      <x:c r="H725" s="39" t="str">
        <x:f>IF(ISNUMBER('Data'!E725),'Data'!E725*100,"")</x:f>
      </x:c>
      <x:c r="I725" s="35"/>
      <x:c r="J725" s="35" t="str">
        <x:v>PASS</x:v>
      </x:c>
      <x:c r="K725" s="35" t="str">
        <x:v>FAIL</x:v>
      </x:c>
      <x:c r="L725" s="35" t="str">
        <x:v>NOT_RUN</x:v>
      </x:c>
      <x:c r="M725" s="35" t="str">
        <x:v>coverage unavailable or execution/compile failed</x:v>
      </x:c>
      <x:c r="N725" s="35" t="str">
        <x:v>Deepseek-flash-v4/Result/Math_39/result.json</x:v>
      </x:c>
      <x:c r="O725" s="39" t="str">
        <x:f>IF(AND(G725="RECORDED",ISNUMBER(H725)),H725,"")</x:f>
      </x:c>
      <x:c r="P725" s="35" t="str">
        <x:v>NOT_AVAILABLE</x:v>
      </x:c>
      <x:c r="Q725" s="35" t="str">
        <x:v>Deepseek-flash-v4/Result/Math_39/result.json</x:v>
      </x:c>
    </x:row>
    <x:row r="726">
      <x:c r="A726" s="35" t="str">
        <x:v>deepseek</x:v>
      </x:c>
      <x:c r="B726" s="35" t="str">
        <x:v>Math</x:v>
      </x:c>
      <x:c r="C726" s="35" t="str">
        <x:v>Round1</x:v>
      </x:c>
      <x:c r="D726" s="35" t="str">
        <x:v>Math_4</x:v>
      </x:c>
      <x:c r="E726" s="35" t="str">
        <x:v>Line</x:v>
      </x:c>
      <x:c r="F726" s="35"/>
      <x:c r="G726" s="35" t="str">
        <x:v>A</x:v>
      </x:c>
      <x:c r="H726" s="39" t="str">
        <x:f>IF(ISNUMBER('Data'!E726),'Data'!E726*100,"")</x:f>
      </x:c>
      <x:c r="I726" s="35"/>
      <x:c r="J726" s="35" t="str">
        <x:v>PASS</x:v>
      </x:c>
      <x:c r="K726" s="35" t="str">
        <x:v>FAIL</x:v>
      </x:c>
      <x:c r="L726" s="35" t="str">
        <x:v>NOT_RUN</x:v>
      </x:c>
      <x:c r="M726" s="35" t="str">
        <x:v>coverage unavailable or execution/compile failed</x:v>
      </x:c>
      <x:c r="N726" s="35" t="str">
        <x:v>Deepseek-flash-v4/Result/Math_4/result.json</x:v>
      </x:c>
      <x:c r="O726" s="39" t="str">
        <x:f>IF(AND(G726="RECORDED",ISNUMBER(H726)),H726,"")</x:f>
      </x:c>
      <x:c r="P726" s="35" t="str">
        <x:v>NOT_AVAILABLE</x:v>
      </x:c>
      <x:c r="Q726" s="35" t="str">
        <x:v>Deepseek-flash-v4/Result/Math_4/result.json</x:v>
      </x:c>
    </x:row>
    <x:row r="727">
      <x:c r="A727" s="35" t="str">
        <x:v>deepseek</x:v>
      </x:c>
      <x:c r="B727" s="35" t="str">
        <x:v>Math</x:v>
      </x:c>
      <x:c r="C727" s="35" t="str">
        <x:v>Round1</x:v>
      </x:c>
      <x:c r="D727" s="35" t="str">
        <x:v>Math_40</x:v>
      </x:c>
      <x:c r="E727" s="35" t="str">
        <x:v>Line</x:v>
      </x:c>
      <x:c r="F727" s="35" t="n">
        <x:v>126</x:v>
      </x:c>
      <x:c r="G727" s="35" t="str">
        <x:v>RECORDED</x:v>
      </x:c>
      <x:c r="H727" s="39" t="n">
        <x:f>IF(ISNUMBER('Data'!E727),'Data'!E727*100,"")</x:f>
        <x:v>80.16</x:v>
      </x:c>
      <x:c r="I727" s="35" t="str">
        <x:v>PASS</x:v>
      </x:c>
      <x:c r="J727" s="35" t="str">
        <x:v>PASS</x:v>
      </x:c>
      <x:c r="K727" s="35" t="str">
        <x:v>PASS</x:v>
      </x:c>
      <x:c r="L727" s="35" t="str">
        <x:v>FAIL</x:v>
      </x:c>
      <x:c r="M727" s="35" t="str">
        <x:v>numeric coverage for applicable metric</x:v>
      </x:c>
      <x:c r="N727" s="35" t="str">
        <x:v>Deepseek-flash-v4/Result/Math_40/result.json</x:v>
      </x:c>
      <x:c r="O727" s="39" t="n">
        <x:f>IF(AND(G727="RECORDED",ISNUMBER(H727)),H727,"")</x:f>
        <x:v>80.16</x:v>
      </x:c>
      <x:c r="P727" s="35" t="str">
        <x:v>INCONCLUSIVE</x:v>
      </x:c>
      <x:c r="Q727" s="35" t="str">
        <x:v>Deepseek-flash-v4/Result/Math_40/result.json</x:v>
      </x:c>
    </x:row>
    <x:row r="728">
      <x:c r="A728" s="35" t="str">
        <x:v>deepseek</x:v>
      </x:c>
      <x:c r="B728" s="35" t="str">
        <x:v>Math</x:v>
      </x:c>
      <x:c r="C728" s="35" t="str">
        <x:v>Round1</x:v>
      </x:c>
      <x:c r="D728" s="35" t="str">
        <x:v>Math_41</x:v>
      </x:c>
      <x:c r="E728" s="35" t="str">
        <x:v>Line</x:v>
      </x:c>
      <x:c r="F728" s="35" t="n">
        <x:v>112</x:v>
      </x:c>
      <x:c r="G728" s="35" t="str">
        <x:v>RECORDED</x:v>
      </x:c>
      <x:c r="H728" s="39" t="n">
        <x:f>IF(ISNUMBER('Data'!E728),'Data'!E728*100,"")</x:f>
        <x:v>91.96</x:v>
      </x:c>
      <x:c r="I728" s="35" t="str">
        <x:v>PASS</x:v>
      </x:c>
      <x:c r="J728" s="35" t="str">
        <x:v>PASS</x:v>
      </x:c>
      <x:c r="K728" s="35" t="str">
        <x:v>PASS</x:v>
      </x:c>
      <x:c r="L728" s="35" t="str">
        <x:v>FAIL</x:v>
      </x:c>
      <x:c r="M728" s="35" t="str">
        <x:v>numeric coverage for applicable metric</x:v>
      </x:c>
      <x:c r="N728" s="35" t="str">
        <x:v>Deepseek-flash-v4/Result/Math_41/result.json</x:v>
      </x:c>
      <x:c r="O728" s="39" t="n">
        <x:f>IF(AND(G728="RECORDED",ISNUMBER(H728)),H728,"")</x:f>
        <x:v>91.96</x:v>
      </x:c>
      <x:c r="P728" s="35" t="str">
        <x:v>INCONCLUSIVE</x:v>
      </x:c>
      <x:c r="Q728" s="35" t="str">
        <x:v>Deepseek-flash-v4/Result/Math_41/result.json</x:v>
      </x:c>
    </x:row>
    <x:row r="729">
      <x:c r="A729" s="35" t="str">
        <x:v>deepseek</x:v>
      </x:c>
      <x:c r="B729" s="35" t="str">
        <x:v>Math</x:v>
      </x:c>
      <x:c r="C729" s="35" t="str">
        <x:v>Round1</x:v>
      </x:c>
      <x:c r="D729" s="35" t="str">
        <x:v>Math_42</x:v>
      </x:c>
      <x:c r="E729" s="35" t="str">
        <x:v>Line</x:v>
      </x:c>
      <x:c r="F729" s="35" t="n">
        <x:v>182</x:v>
      </x:c>
      <x:c r="G729" s="35" t="str">
        <x:v>RECORDED</x:v>
      </x:c>
      <x:c r="H729" s="39" t="n">
        <x:f>IF(ISNUMBER('Data'!E729),'Data'!E729*100,"")</x:f>
        <x:v>71.43</x:v>
      </x:c>
      <x:c r="I729" s="35" t="str">
        <x:v>PASS</x:v>
      </x:c>
      <x:c r="J729" s="35" t="str">
        <x:v>PASS</x:v>
      </x:c>
      <x:c r="K729" s="35" t="str">
        <x:v>PASS</x:v>
      </x:c>
      <x:c r="L729" s="35" t="str">
        <x:v>FAIL</x:v>
      </x:c>
      <x:c r="M729" s="35" t="str">
        <x:v>numeric coverage for applicable metric</x:v>
      </x:c>
      <x:c r="N729" s="35" t="str">
        <x:v>Deepseek-flash-v4/Result/Math_42/result.json</x:v>
      </x:c>
      <x:c r="O729" s="39" t="n">
        <x:f>IF(AND(G729="RECORDED",ISNUMBER(H729)),H729,"")</x:f>
        <x:v>71.43</x:v>
      </x:c>
      <x:c r="P729" s="35" t="str">
        <x:v>INCONCLUSIVE</x:v>
      </x:c>
      <x:c r="Q729" s="35" t="str">
        <x:v>Deepseek-flash-v4/Result/Math_42/result.json</x:v>
      </x:c>
    </x:row>
    <x:row r="730">
      <x:c r="A730" s="35" t="str">
        <x:v>deepseek</x:v>
      </x:c>
      <x:c r="B730" s="35" t="str">
        <x:v>Math</x:v>
      </x:c>
      <x:c r="C730" s="35" t="str">
        <x:v>Round1</x:v>
      </x:c>
      <x:c r="D730" s="35" t="str">
        <x:v>Math_43</x:v>
      </x:c>
      <x:c r="E730" s="35" t="str">
        <x:v>Line</x:v>
      </x:c>
      <x:c r="F730" s="35" t="n">
        <x:v>192</x:v>
      </x:c>
      <x:c r="G730" s="35" t="str">
        <x:v>RECORDED</x:v>
      </x:c>
      <x:c r="H730" s="39" t="n">
        <x:f>IF(ISNUMBER('Data'!E730),'Data'!E730*100,"")</x:f>
        <x:v>89.58</x:v>
      </x:c>
      <x:c r="I730" s="35" t="str">
        <x:v>PASS</x:v>
      </x:c>
      <x:c r="J730" s="35" t="str">
        <x:v>PASS</x:v>
      </x:c>
      <x:c r="K730" s="35" t="str">
        <x:v>PASS</x:v>
      </x:c>
      <x:c r="L730" s="35" t="str">
        <x:v>FAIL</x:v>
      </x:c>
      <x:c r="M730" s="35" t="str">
        <x:v>numeric coverage for applicable metric</x:v>
      </x:c>
      <x:c r="N730" s="35" t="str">
        <x:v>Deepseek-flash-v4/Result/Math_43/result.json</x:v>
      </x:c>
      <x:c r="O730" s="39" t="n">
        <x:f>IF(AND(G730="RECORDED",ISNUMBER(H730)),H730,"")</x:f>
        <x:v>89.58</x:v>
      </x:c>
      <x:c r="P730" s="35" t="str">
        <x:v>INCONCLUSIVE</x:v>
      </x:c>
      <x:c r="Q730" s="35" t="str">
        <x:v>Deepseek-flash-v4/Result/Math_43/result.json</x:v>
      </x:c>
    </x:row>
    <x:row r="731">
      <x:c r="A731" s="35" t="str">
        <x:v>deepseek</x:v>
      </x:c>
      <x:c r="B731" s="35" t="str">
        <x:v>Math</x:v>
      </x:c>
      <x:c r="C731" s="35" t="str">
        <x:v>Round1</x:v>
      </x:c>
      <x:c r="D731" s="35" t="str">
        <x:v>Math_44</x:v>
      </x:c>
      <x:c r="E731" s="35" t="str">
        <x:v>Line</x:v>
      </x:c>
      <x:c r="F731" s="35"/>
      <x:c r="G731" s="35" t="str">
        <x:v>A</x:v>
      </x:c>
      <x:c r="H731" s="39" t="str">
        <x:f>IF(ISNUMBER('Data'!E731),'Data'!E731*100,"")</x:f>
      </x:c>
      <x:c r="I731" s="35"/>
      <x:c r="J731" s="35" t="str">
        <x:v>PASS</x:v>
      </x:c>
      <x:c r="K731" s="35" t="str">
        <x:v>FAIL</x:v>
      </x:c>
      <x:c r="L731" s="35" t="str">
        <x:v>NOT_RUN</x:v>
      </x:c>
      <x:c r="M731" s="35" t="str">
        <x:v>coverage unavailable or execution/compile failed</x:v>
      </x:c>
      <x:c r="N731" s="35" t="str">
        <x:v>Deepseek-flash-v4/Result/Math_44/result.json</x:v>
      </x:c>
      <x:c r="O731" s="39" t="str">
        <x:f>IF(AND(G731="RECORDED",ISNUMBER(H731)),H731,"")</x:f>
      </x:c>
      <x:c r="P731" s="35" t="str">
        <x:v>NOT_AVAILABLE</x:v>
      </x:c>
      <x:c r="Q731" s="35" t="str">
        <x:v>Deepseek-flash-v4/Result/Math_44/result.json</x:v>
      </x:c>
    </x:row>
    <x:row r="732">
      <x:c r="A732" s="35" t="str">
        <x:v>deepseek</x:v>
      </x:c>
      <x:c r="B732" s="35" t="str">
        <x:v>Math</x:v>
      </x:c>
      <x:c r="C732" s="35" t="str">
        <x:v>Round1</x:v>
      </x:c>
      <x:c r="D732" s="35" t="str">
        <x:v>Math_45</x:v>
      </x:c>
      <x:c r="E732" s="35" t="str">
        <x:v>Line</x:v>
      </x:c>
      <x:c r="F732" s="35" t="n">
        <x:v>97</x:v>
      </x:c>
      <x:c r="G732" s="35" t="str">
        <x:v>RECORDED</x:v>
      </x:c>
      <x:c r="H732" s="39" t="n">
        <x:f>IF(ISNUMBER('Data'!E732),'Data'!E732*100,"")</x:f>
        <x:v>95.88</x:v>
      </x:c>
      <x:c r="I732" s="35" t="str">
        <x:v>PASS</x:v>
      </x:c>
      <x:c r="J732" s="35" t="str">
        <x:v>PASS</x:v>
      </x:c>
      <x:c r="K732" s="35" t="str">
        <x:v>PASS</x:v>
      </x:c>
      <x:c r="L732" s="35" t="str">
        <x:v>FAIL</x:v>
      </x:c>
      <x:c r="M732" s="35" t="str">
        <x:v>numeric coverage for applicable metric</x:v>
      </x:c>
      <x:c r="N732" s="35" t="str">
        <x:v>Deepseek-flash-v4/Result/Math_45/result.json</x:v>
      </x:c>
      <x:c r="O732" s="39" t="n">
        <x:f>IF(AND(G732="RECORDED",ISNUMBER(H732)),H732,"")</x:f>
        <x:v>95.88</x:v>
      </x:c>
      <x:c r="P732" s="35" t="str">
        <x:v>INCONCLUSIVE</x:v>
      </x:c>
      <x:c r="Q732" s="35" t="str">
        <x:v>Deepseek-flash-v4/Result/Math_45/result.json</x:v>
      </x:c>
    </x:row>
    <x:row r="733">
      <x:c r="A733" s="35" t="str">
        <x:v>deepseek</x:v>
      </x:c>
      <x:c r="B733" s="35" t="str">
        <x:v>Math</x:v>
      </x:c>
      <x:c r="C733" s="35" t="str">
        <x:v>Round1</x:v>
      </x:c>
      <x:c r="D733" s="35" t="str">
        <x:v>Math_46</x:v>
      </x:c>
      <x:c r="E733" s="35" t="str">
        <x:v>Line</x:v>
      </x:c>
      <x:c r="F733" s="35"/>
      <x:c r="G733" s="35" t="str">
        <x:v>A</x:v>
      </x:c>
      <x:c r="H733" s="39" t="str">
        <x:f>IF(ISNUMBER('Data'!E733),'Data'!E733*100,"")</x:f>
      </x:c>
      <x:c r="I733" s="35"/>
      <x:c r="J733" s="35" t="str">
        <x:v>PASS</x:v>
      </x:c>
      <x:c r="K733" s="35" t="str">
        <x:v>FAIL</x:v>
      </x:c>
      <x:c r="L733" s="35" t="str">
        <x:v>NOT_RUN</x:v>
      </x:c>
      <x:c r="M733" s="35" t="str">
        <x:v>coverage unavailable or execution/compile failed</x:v>
      </x:c>
      <x:c r="N733" s="35" t="str">
        <x:v>Deepseek-flash-v4/Result/Math_46/result.json</x:v>
      </x:c>
      <x:c r="O733" s="39" t="str">
        <x:f>IF(AND(G733="RECORDED",ISNUMBER(H733)),H733,"")</x:f>
      </x:c>
      <x:c r="P733" s="35" t="str">
        <x:v>NOT_AVAILABLE</x:v>
      </x:c>
      <x:c r="Q733" s="35" t="str">
        <x:v>Deepseek-flash-v4/Result/Math_46/result.json</x:v>
      </x:c>
    </x:row>
    <x:row r="734">
      <x:c r="A734" s="35" t="str">
        <x:v>deepseek</x:v>
      </x:c>
      <x:c r="B734" s="35" t="str">
        <x:v>Math</x:v>
      </x:c>
      <x:c r="C734" s="35" t="str">
        <x:v>Round1</x:v>
      </x:c>
      <x:c r="D734" s="35" t="str">
        <x:v>Math_47</x:v>
      </x:c>
      <x:c r="E734" s="35" t="str">
        <x:v>Line</x:v>
      </x:c>
      <x:c r="F734" s="35"/>
      <x:c r="G734" s="35" t="str">
        <x:v>A</x:v>
      </x:c>
      <x:c r="H734" s="39" t="str">
        <x:f>IF(ISNUMBER('Data'!E734),'Data'!E734*100,"")</x:f>
      </x:c>
      <x:c r="I734" s="35"/>
      <x:c r="J734" s="35" t="str">
        <x:v>PASS</x:v>
      </x:c>
      <x:c r="K734" s="35" t="str">
        <x:v>FAIL</x:v>
      </x:c>
      <x:c r="L734" s="35" t="str">
        <x:v>NOT_RUN</x:v>
      </x:c>
      <x:c r="M734" s="35" t="str">
        <x:v>coverage unavailable or execution/compile failed</x:v>
      </x:c>
      <x:c r="N734" s="35" t="str">
        <x:v>Deepseek-flash-v4/Result/Math_47/result.json</x:v>
      </x:c>
      <x:c r="O734" s="39" t="str">
        <x:f>IF(AND(G734="RECORDED",ISNUMBER(H734)),H734,"")</x:f>
      </x:c>
      <x:c r="P734" s="35" t="str">
        <x:v>NOT_AVAILABLE</x:v>
      </x:c>
      <x:c r="Q734" s="35" t="str">
        <x:v>Deepseek-flash-v4/Result/Math_47/result.json</x:v>
      </x:c>
    </x:row>
    <x:row r="735">
      <x:c r="A735" s="35" t="str">
        <x:v>deepseek</x:v>
      </x:c>
      <x:c r="B735" s="35" t="str">
        <x:v>Math</x:v>
      </x:c>
      <x:c r="C735" s="35" t="str">
        <x:v>Round1</x:v>
      </x:c>
      <x:c r="D735" s="35" t="str">
        <x:v>Math_48</x:v>
      </x:c>
      <x:c r="E735" s="35" t="str">
        <x:v>Line</x:v>
      </x:c>
      <x:c r="F735" s="35"/>
      <x:c r="G735" s="35" t="str">
        <x:v>A</x:v>
      </x:c>
      <x:c r="H735" s="39" t="str">
        <x:f>IF(ISNUMBER('Data'!E735),'Data'!E735*100,"")</x:f>
      </x:c>
      <x:c r="I735" s="35"/>
      <x:c r="J735" s="35" t="str">
        <x:v>PASS</x:v>
      </x:c>
      <x:c r="K735" s="35" t="str">
        <x:v>FAIL</x:v>
      </x:c>
      <x:c r="L735" s="35" t="str">
        <x:v>NOT_RUN</x:v>
      </x:c>
      <x:c r="M735" s="35" t="str">
        <x:v>coverage unavailable or execution/compile failed</x:v>
      </x:c>
      <x:c r="N735" s="35" t="str">
        <x:v>Deepseek-flash-v4/Result/Math_48/result.json</x:v>
      </x:c>
      <x:c r="O735" s="39" t="str">
        <x:f>IF(AND(G735="RECORDED",ISNUMBER(H735)),H735,"")</x:f>
      </x:c>
      <x:c r="P735" s="35" t="str">
        <x:v>NOT_AVAILABLE</x:v>
      </x:c>
      <x:c r="Q735" s="35" t="str">
        <x:v>Deepseek-flash-v4/Result/Math_48/result.json</x:v>
      </x:c>
    </x:row>
    <x:row r="736">
      <x:c r="A736" s="35" t="str">
        <x:v>deepseek</x:v>
      </x:c>
      <x:c r="B736" s="35" t="str">
        <x:v>Math</x:v>
      </x:c>
      <x:c r="C736" s="35" t="str">
        <x:v>Round1</x:v>
      </x:c>
      <x:c r="D736" s="35" t="str">
        <x:v>Math_49</x:v>
      </x:c>
      <x:c r="E736" s="35" t="str">
        <x:v>Line</x:v>
      </x:c>
      <x:c r="F736" s="35"/>
      <x:c r="G736" s="35" t="str">
        <x:v>A</x:v>
      </x:c>
      <x:c r="H736" s="39" t="str">
        <x:f>IF(ISNUMBER('Data'!E736),'Data'!E736*100,"")</x:f>
      </x:c>
      <x:c r="I736" s="35"/>
      <x:c r="J736" s="35" t="str">
        <x:v>PASS</x:v>
      </x:c>
      <x:c r="K736" s="35" t="str">
        <x:v>FAIL</x:v>
      </x:c>
      <x:c r="L736" s="35" t="str">
        <x:v>NOT_RUN</x:v>
      </x:c>
      <x:c r="M736" s="35" t="str">
        <x:v>coverage unavailable or execution/compile failed</x:v>
      </x:c>
      <x:c r="N736" s="35" t="str">
        <x:v>Deepseek-flash-v4/Result/Math_49/result.json</x:v>
      </x:c>
      <x:c r="O736" s="39" t="str">
        <x:f>IF(AND(G736="RECORDED",ISNUMBER(H736)),H736,"")</x:f>
      </x:c>
      <x:c r="P736" s="35" t="str">
        <x:v>NOT_AVAILABLE</x:v>
      </x:c>
      <x:c r="Q736" s="35" t="str">
        <x:v>Deepseek-flash-v4/Result/Math_49/result.json</x:v>
      </x:c>
    </x:row>
    <x:row r="737">
      <x:c r="A737" s="35" t="str">
        <x:v>deepseek</x:v>
      </x:c>
      <x:c r="B737" s="35" t="str">
        <x:v>Math</x:v>
      </x:c>
      <x:c r="C737" s="35" t="str">
        <x:v>Round1</x:v>
      </x:c>
      <x:c r="D737" s="35" t="str">
        <x:v>Math_5</x:v>
      </x:c>
      <x:c r="E737" s="35" t="str">
        <x:v>Line</x:v>
      </x:c>
      <x:c r="F737" s="35"/>
      <x:c r="G737" s="35" t="str">
        <x:v>A</x:v>
      </x:c>
      <x:c r="H737" s="39" t="str">
        <x:f>IF(ISNUMBER('Data'!E737),'Data'!E737*100,"")</x:f>
      </x:c>
      <x:c r="I737" s="35"/>
      <x:c r="J737" s="35" t="str">
        <x:v>PASS</x:v>
      </x:c>
      <x:c r="K737" s="35" t="str">
        <x:v>FAIL</x:v>
      </x:c>
      <x:c r="L737" s="35" t="str">
        <x:v>NOT_RUN</x:v>
      </x:c>
      <x:c r="M737" s="35" t="str">
        <x:v>coverage unavailable or execution/compile failed</x:v>
      </x:c>
      <x:c r="N737" s="35" t="str">
        <x:v>Deepseek-flash-v4/Result/Math_5/result.json</x:v>
      </x:c>
      <x:c r="O737" s="39" t="str">
        <x:f>IF(AND(G737="RECORDED",ISNUMBER(H737)),H737,"")</x:f>
      </x:c>
      <x:c r="P737" s="35" t="str">
        <x:v>NOT_AVAILABLE</x:v>
      </x:c>
      <x:c r="Q737" s="35" t="str">
        <x:v>Deepseek-flash-v4/Result/Math_5/result.json</x:v>
      </x:c>
    </x:row>
    <x:row r="738">
      <x:c r="A738" s="35" t="str">
        <x:v>deepseek</x:v>
      </x:c>
      <x:c r="B738" s="35" t="str">
        <x:v>Math</x:v>
      </x:c>
      <x:c r="C738" s="35" t="str">
        <x:v>Round1</x:v>
      </x:c>
      <x:c r="D738" s="35" t="str">
        <x:v>Math_50</x:v>
      </x:c>
      <x:c r="E738" s="35" t="str">
        <x:v>Line</x:v>
      </x:c>
      <x:c r="F738" s="35"/>
      <x:c r="G738" s="35" t="str">
        <x:v>A</x:v>
      </x:c>
      <x:c r="H738" s="39" t="str">
        <x:f>IF(ISNUMBER('Data'!E738),'Data'!E738*100,"")</x:f>
      </x:c>
      <x:c r="I738" s="35"/>
      <x:c r="J738" s="35" t="str">
        <x:v>PASS</x:v>
      </x:c>
      <x:c r="K738" s="35" t="str">
        <x:v>FAIL</x:v>
      </x:c>
      <x:c r="L738" s="35" t="str">
        <x:v>NOT_RUN</x:v>
      </x:c>
      <x:c r="M738" s="35" t="str">
        <x:v>coverage unavailable or execution/compile failed</x:v>
      </x:c>
      <x:c r="N738" s="35" t="str">
        <x:v>Deepseek-flash-v4/Result/Math_50/result.json</x:v>
      </x:c>
      <x:c r="O738" s="39" t="str">
        <x:f>IF(AND(G738="RECORDED",ISNUMBER(H738)),H738,"")</x:f>
      </x:c>
      <x:c r="P738" s="35" t="str">
        <x:v>NOT_AVAILABLE</x:v>
      </x:c>
      <x:c r="Q738" s="35" t="str">
        <x:v>Deepseek-flash-v4/Result/Math_50/result.json</x:v>
      </x:c>
    </x:row>
    <x:row r="739">
      <x:c r="A739" s="35" t="str">
        <x:v>deepseek</x:v>
      </x:c>
      <x:c r="B739" s="35" t="str">
        <x:v>Math</x:v>
      </x:c>
      <x:c r="C739" s="35" t="str">
        <x:v>Round1</x:v>
      </x:c>
      <x:c r="D739" s="35" t="str">
        <x:v>Math_51</x:v>
      </x:c>
      <x:c r="E739" s="35" t="str">
        <x:v>Line</x:v>
      </x:c>
      <x:c r="F739" s="35"/>
      <x:c r="G739" s="35" t="str">
        <x:v>A</x:v>
      </x:c>
      <x:c r="H739" s="39" t="str">
        <x:f>IF(ISNUMBER('Data'!E739),'Data'!E739*100,"")</x:f>
      </x:c>
      <x:c r="I739" s="35"/>
      <x:c r="J739" s="35" t="str">
        <x:v>PASS</x:v>
      </x:c>
      <x:c r="K739" s="35" t="str">
        <x:v>FAIL</x:v>
      </x:c>
      <x:c r="L739" s="35" t="str">
        <x:v>NOT_RUN</x:v>
      </x:c>
      <x:c r="M739" s="35" t="str">
        <x:v>coverage unavailable or execution/compile failed</x:v>
      </x:c>
      <x:c r="N739" s="35" t="str">
        <x:v>Deepseek-flash-v4/Result/Math_51/result.json</x:v>
      </x:c>
      <x:c r="O739" s="39" t="str">
        <x:f>IF(AND(G739="RECORDED",ISNUMBER(H739)),H739,"")</x:f>
      </x:c>
      <x:c r="P739" s="35" t="str">
        <x:v>NOT_AVAILABLE</x:v>
      </x:c>
      <x:c r="Q739" s="35" t="str">
        <x:v>Deepseek-flash-v4/Result/Math_51/result.json</x:v>
      </x:c>
    </x:row>
    <x:row r="740">
      <x:c r="A740" s="35" t="str">
        <x:v>deepseek</x:v>
      </x:c>
      <x:c r="B740" s="35" t="str">
        <x:v>Math</x:v>
      </x:c>
      <x:c r="C740" s="35" t="str">
        <x:v>Round1</x:v>
      </x:c>
      <x:c r="D740" s="35" t="str">
        <x:v>Math_52</x:v>
      </x:c>
      <x:c r="E740" s="35" t="str">
        <x:v>Line</x:v>
      </x:c>
      <x:c r="F740" s="35"/>
      <x:c r="G740" s="35" t="str">
        <x:v>A</x:v>
      </x:c>
      <x:c r="H740" s="39" t="str">
        <x:f>IF(ISNUMBER('Data'!E740),'Data'!E740*100,"")</x:f>
      </x:c>
      <x:c r="I740" s="35"/>
      <x:c r="J740" s="35" t="str">
        <x:v>PASS</x:v>
      </x:c>
      <x:c r="K740" s="35" t="str">
        <x:v>FAIL</x:v>
      </x:c>
      <x:c r="L740" s="35" t="str">
        <x:v>NOT_RUN</x:v>
      </x:c>
      <x:c r="M740" s="35" t="str">
        <x:v>coverage unavailable or execution/compile failed</x:v>
      </x:c>
      <x:c r="N740" s="35" t="str">
        <x:v>Deepseek-flash-v4/Result/Math_52/result.json</x:v>
      </x:c>
      <x:c r="O740" s="39" t="str">
        <x:f>IF(AND(G740="RECORDED",ISNUMBER(H740)),H740,"")</x:f>
      </x:c>
      <x:c r="P740" s="35" t="str">
        <x:v>NOT_AVAILABLE</x:v>
      </x:c>
      <x:c r="Q740" s="35" t="str">
        <x:v>Deepseek-flash-v4/Result/Math_52/result.json</x:v>
      </x:c>
    </x:row>
    <x:row r="741">
      <x:c r="A741" s="35" t="str">
        <x:v>deepseek</x:v>
      </x:c>
      <x:c r="B741" s="35" t="str">
        <x:v>Math</x:v>
      </x:c>
      <x:c r="C741" s="35" t="str">
        <x:v>Round1</x:v>
      </x:c>
      <x:c r="D741" s="35" t="str">
        <x:v>Math_53</x:v>
      </x:c>
      <x:c r="E741" s="35" t="str">
        <x:v>Line</x:v>
      </x:c>
      <x:c r="F741" s="35"/>
      <x:c r="G741" s="35" t="str">
        <x:v>A</x:v>
      </x:c>
      <x:c r="H741" s="39" t="str">
        <x:f>IF(ISNUMBER('Data'!E741),'Data'!E741*100,"")</x:f>
      </x:c>
      <x:c r="I741" s="35"/>
      <x:c r="J741" s="35" t="str">
        <x:v>PASS</x:v>
      </x:c>
      <x:c r="K741" s="35" t="str">
        <x:v>FAIL</x:v>
      </x:c>
      <x:c r="L741" s="35" t="str">
        <x:v>NOT_RUN</x:v>
      </x:c>
      <x:c r="M741" s="35" t="str">
        <x:v>coverage unavailable or execution/compile failed</x:v>
      </x:c>
      <x:c r="N741" s="35" t="str">
        <x:v>Deepseek-flash-v4/Result/Math_53/result.json</x:v>
      </x:c>
      <x:c r="O741" s="39" t="str">
        <x:f>IF(AND(G741="RECORDED",ISNUMBER(H741)),H741,"")</x:f>
      </x:c>
      <x:c r="P741" s="35" t="str">
        <x:v>NOT_AVAILABLE</x:v>
      </x:c>
      <x:c r="Q741" s="35" t="str">
        <x:v>Deepseek-flash-v4/Result/Math_53/result.json</x:v>
      </x:c>
    </x:row>
    <x:row r="742">
      <x:c r="A742" s="35" t="str">
        <x:v>deepseek</x:v>
      </x:c>
      <x:c r="B742" s="35" t="str">
        <x:v>Math</x:v>
      </x:c>
      <x:c r="C742" s="35" t="str">
        <x:v>Round1</x:v>
      </x:c>
      <x:c r="D742" s="35" t="str">
        <x:v>Math_54</x:v>
      </x:c>
      <x:c r="E742" s="35" t="str">
        <x:v>Line</x:v>
      </x:c>
      <x:c r="F742" s="35"/>
      <x:c r="G742" s="35" t="str">
        <x:v>A</x:v>
      </x:c>
      <x:c r="H742" s="39" t="str">
        <x:f>IF(ISNUMBER('Data'!E742),'Data'!E742*100,"")</x:f>
      </x:c>
      <x:c r="I742" s="35"/>
      <x:c r="J742" s="35" t="str">
        <x:v>PASS</x:v>
      </x:c>
      <x:c r="K742" s="35" t="str">
        <x:v>FAIL</x:v>
      </x:c>
      <x:c r="L742" s="35" t="str">
        <x:v>NOT_RUN</x:v>
      </x:c>
      <x:c r="M742" s="35" t="str">
        <x:v>coverage unavailable or execution/compile failed</x:v>
      </x:c>
      <x:c r="N742" s="35" t="str">
        <x:v>Deepseek-flash-v4/Result/Math_54/result.json</x:v>
      </x:c>
      <x:c r="O742" s="39" t="str">
        <x:f>IF(AND(G742="RECORDED",ISNUMBER(H742)),H742,"")</x:f>
      </x:c>
      <x:c r="P742" s="35" t="str">
        <x:v>NOT_AVAILABLE</x:v>
      </x:c>
      <x:c r="Q742" s="35" t="str">
        <x:v>Deepseek-flash-v4/Result/Math_54/result.json</x:v>
      </x:c>
    </x:row>
    <x:row r="743">
      <x:c r="A743" s="35" t="str">
        <x:v>deepseek</x:v>
      </x:c>
      <x:c r="B743" s="35" t="str">
        <x:v>Math</x:v>
      </x:c>
      <x:c r="C743" s="35" t="str">
        <x:v>Round1</x:v>
      </x:c>
      <x:c r="D743" s="35" t="str">
        <x:v>Math_55</x:v>
      </x:c>
      <x:c r="E743" s="35" t="str">
        <x:v>Line</x:v>
      </x:c>
      <x:c r="F743" s="35"/>
      <x:c r="G743" s="35" t="str">
        <x:v>A</x:v>
      </x:c>
      <x:c r="H743" s="39" t="str">
        <x:f>IF(ISNUMBER('Data'!E743),'Data'!E743*100,"")</x:f>
      </x:c>
      <x:c r="I743" s="35"/>
      <x:c r="J743" s="35" t="str">
        <x:v>PASS</x:v>
      </x:c>
      <x:c r="K743" s="35" t="str">
        <x:v>FAIL</x:v>
      </x:c>
      <x:c r="L743" s="35" t="str">
        <x:v>NOT_RUN</x:v>
      </x:c>
      <x:c r="M743" s="35" t="str">
        <x:v>coverage unavailable or execution/compile failed</x:v>
      </x:c>
      <x:c r="N743" s="35" t="str">
        <x:v>Deepseek-flash-v4/Result/Math_55/result.json</x:v>
      </x:c>
      <x:c r="O743" s="39" t="str">
        <x:f>IF(AND(G743="RECORDED",ISNUMBER(H743)),H743,"")</x:f>
      </x:c>
      <x:c r="P743" s="35" t="str">
        <x:v>NOT_AVAILABLE</x:v>
      </x:c>
      <x:c r="Q743" s="35" t="str">
        <x:v>Deepseek-flash-v4/Result/Math_55/result.json</x:v>
      </x:c>
    </x:row>
    <x:row r="744">
      <x:c r="A744" s="35" t="str">
        <x:v>deepseek</x:v>
      </x:c>
      <x:c r="B744" s="35" t="str">
        <x:v>Math</x:v>
      </x:c>
      <x:c r="C744" s="35" t="str">
        <x:v>Round1</x:v>
      </x:c>
      <x:c r="D744" s="35" t="str">
        <x:v>Math_56</x:v>
      </x:c>
      <x:c r="E744" s="35" t="str">
        <x:v>Line</x:v>
      </x:c>
      <x:c r="F744" s="35" t="n">
        <x:v>75</x:v>
      </x:c>
      <x:c r="G744" s="35" t="str">
        <x:v>RECORDED</x:v>
      </x:c>
      <x:c r="H744" s="39" t="n">
        <x:f>IF(ISNUMBER('Data'!E744),'Data'!E744*100,"")</x:f>
        <x:v>98.67</x:v>
      </x:c>
      <x:c r="I744" s="35" t="str">
        <x:v>PASS</x:v>
      </x:c>
      <x:c r="J744" s="35" t="str">
        <x:v>PASS</x:v>
      </x:c>
      <x:c r="K744" s="35" t="str">
        <x:v>PASS</x:v>
      </x:c>
      <x:c r="L744" s="35" t="str">
        <x:v>FAIL</x:v>
      </x:c>
      <x:c r="M744" s="35" t="str">
        <x:v>numeric coverage for applicable metric</x:v>
      </x:c>
      <x:c r="N744" s="35" t="str">
        <x:v>Deepseek-flash-v4/Result/Math_56/result.json</x:v>
      </x:c>
      <x:c r="O744" s="39" t="n">
        <x:f>IF(AND(G744="RECORDED",ISNUMBER(H744)),H744,"")</x:f>
        <x:v>98.67</x:v>
      </x:c>
      <x:c r="P744" s="35" t="str">
        <x:v>INCONCLUSIVE</x:v>
      </x:c>
      <x:c r="Q744" s="35" t="str">
        <x:v>Deepseek-flash-v4/Result/Math_56/result.json</x:v>
      </x:c>
    </x:row>
    <x:row r="745">
      <x:c r="A745" s="35" t="str">
        <x:v>deepseek</x:v>
      </x:c>
      <x:c r="B745" s="35" t="str">
        <x:v>Math</x:v>
      </x:c>
      <x:c r="C745" s="35" t="str">
        <x:v>Round1</x:v>
      </x:c>
      <x:c r="D745" s="35" t="str">
        <x:v>Math_57</x:v>
      </x:c>
      <x:c r="E745" s="35" t="str">
        <x:v>Line</x:v>
      </x:c>
      <x:c r="F745" s="35"/>
      <x:c r="G745" s="35" t="str">
        <x:v>A</x:v>
      </x:c>
      <x:c r="H745" s="39" t="str">
        <x:f>IF(ISNUMBER('Data'!E745),'Data'!E745*100,"")</x:f>
      </x:c>
      <x:c r="I745" s="35"/>
      <x:c r="J745" s="35" t="str">
        <x:v>PASS</x:v>
      </x:c>
      <x:c r="K745" s="35" t="str">
        <x:v>FAIL</x:v>
      </x:c>
      <x:c r="L745" s="35" t="str">
        <x:v>NOT_RUN</x:v>
      </x:c>
      <x:c r="M745" s="35" t="str">
        <x:v>coverage unavailable or execution/compile failed</x:v>
      </x:c>
      <x:c r="N745" s="35" t="str">
        <x:v>Deepseek-flash-v4/Result/Math_57/result.json</x:v>
      </x:c>
      <x:c r="O745" s="39" t="str">
        <x:f>IF(AND(G745="RECORDED",ISNUMBER(H745)),H745,"")</x:f>
      </x:c>
      <x:c r="P745" s="35" t="str">
        <x:v>NOT_AVAILABLE</x:v>
      </x:c>
      <x:c r="Q745" s="35" t="str">
        <x:v>Deepseek-flash-v4/Result/Math_57/result.json</x:v>
      </x:c>
    </x:row>
    <x:row r="746">
      <x:c r="A746" s="35" t="str">
        <x:v>deepseek</x:v>
      </x:c>
      <x:c r="B746" s="35" t="str">
        <x:v>Math</x:v>
      </x:c>
      <x:c r="C746" s="35" t="str">
        <x:v>Round1</x:v>
      </x:c>
      <x:c r="D746" s="35" t="str">
        <x:v>Math_58</x:v>
      </x:c>
      <x:c r="E746" s="35" t="str">
        <x:v>Line</x:v>
      </x:c>
      <x:c r="F746" s="35"/>
      <x:c r="G746" s="35" t="str">
        <x:v>A</x:v>
      </x:c>
      <x:c r="H746" s="39" t="str">
        <x:f>IF(ISNUMBER('Data'!E746),'Data'!E746*100,"")</x:f>
      </x:c>
      <x:c r="I746" s="35"/>
      <x:c r="J746" s="35" t="str">
        <x:v>PASS</x:v>
      </x:c>
      <x:c r="K746" s="35" t="str">
        <x:v>FAIL</x:v>
      </x:c>
      <x:c r="L746" s="35" t="str">
        <x:v>NOT_RUN</x:v>
      </x:c>
      <x:c r="M746" s="35" t="str">
        <x:v>coverage unavailable or execution/compile failed</x:v>
      </x:c>
      <x:c r="N746" s="35" t="str">
        <x:v>Deepseek-flash-v4/Result/Math_58/result.json</x:v>
      </x:c>
      <x:c r="O746" s="39" t="str">
        <x:f>IF(AND(G746="RECORDED",ISNUMBER(H746)),H746,"")</x:f>
      </x:c>
      <x:c r="P746" s="35" t="str">
        <x:v>NOT_AVAILABLE</x:v>
      </x:c>
      <x:c r="Q746" s="35" t="str">
        <x:v>Deepseek-flash-v4/Result/Math_58/result.json</x:v>
      </x:c>
    </x:row>
    <x:row r="747">
      <x:c r="A747" s="35" t="str">
        <x:v>deepseek</x:v>
      </x:c>
      <x:c r="B747" s="35" t="str">
        <x:v>Math</x:v>
      </x:c>
      <x:c r="C747" s="35" t="str">
        <x:v>Round1</x:v>
      </x:c>
      <x:c r="D747" s="35" t="str">
        <x:v>Math_59</x:v>
      </x:c>
      <x:c r="E747" s="35" t="str">
        <x:v>Line</x:v>
      </x:c>
      <x:c r="F747" s="35" t="n">
        <x:v>1549</x:v>
      </x:c>
      <x:c r="G747" s="35" t="str">
        <x:v>RECORDED</x:v>
      </x:c>
      <x:c r="H747" s="39" t="n">
        <x:f>IF(ISNUMBER('Data'!E747),'Data'!E747*100,"")</x:f>
        <x:v>70.37</x:v>
      </x:c>
      <x:c r="I747" s="35" t="str">
        <x:v>PASS</x:v>
      </x:c>
      <x:c r="J747" s="35" t="str">
        <x:v>PASS</x:v>
      </x:c>
      <x:c r="K747" s="35" t="str">
        <x:v>PASS</x:v>
      </x:c>
      <x:c r="L747" s="35" t="str">
        <x:v>FAIL</x:v>
      </x:c>
      <x:c r="M747" s="35" t="str">
        <x:v>numeric coverage for applicable metric</x:v>
      </x:c>
      <x:c r="N747" s="35" t="str">
        <x:v>Deepseek-flash-v4/Result/Math_59/result.json</x:v>
      </x:c>
      <x:c r="O747" s="39" t="n">
        <x:f>IF(AND(G747="RECORDED",ISNUMBER(H747)),H747,"")</x:f>
        <x:v>70.37</x:v>
      </x:c>
      <x:c r="P747" s="35" t="str">
        <x:v>INCONCLUSIVE</x:v>
      </x:c>
      <x:c r="Q747" s="35" t="str">
        <x:v>Deepseek-flash-v4/Result/Math_59/result.json</x:v>
      </x:c>
    </x:row>
    <x:row r="748">
      <x:c r="A748" s="35" t="str">
        <x:v>deepseek</x:v>
      </x:c>
      <x:c r="B748" s="35" t="str">
        <x:v>Math</x:v>
      </x:c>
      <x:c r="C748" s="35" t="str">
        <x:v>Round1</x:v>
      </x:c>
      <x:c r="D748" s="35" t="str">
        <x:v>Math_6</x:v>
      </x:c>
      <x:c r="E748" s="35" t="str">
        <x:v>Line</x:v>
      </x:c>
      <x:c r="F748" s="35"/>
      <x:c r="G748" s="35" t="str">
        <x:v>A</x:v>
      </x:c>
      <x:c r="H748" s="39" t="str">
        <x:f>IF(ISNUMBER('Data'!E748),'Data'!E748*100,"")</x:f>
      </x:c>
      <x:c r="I748" s="35"/>
      <x:c r="J748" s="35" t="str">
        <x:v>PASS</x:v>
      </x:c>
      <x:c r="K748" s="35" t="str">
        <x:v>FAIL</x:v>
      </x:c>
      <x:c r="L748" s="35" t="str">
        <x:v>NOT_RUN</x:v>
      </x:c>
      <x:c r="M748" s="35" t="str">
        <x:v>coverage unavailable or execution/compile failed</x:v>
      </x:c>
      <x:c r="N748" s="35" t="str">
        <x:v>Deepseek-flash-v4/Result/Math_6/result.json</x:v>
      </x:c>
      <x:c r="O748" s="39" t="str">
        <x:f>IF(AND(G748="RECORDED",ISNUMBER(H748)),H748,"")</x:f>
      </x:c>
      <x:c r="P748" s="35" t="str">
        <x:v>NOT_AVAILABLE</x:v>
      </x:c>
      <x:c r="Q748" s="35" t="str">
        <x:v>Deepseek-flash-v4/Result/Math_6/result.json</x:v>
      </x:c>
    </x:row>
    <x:row r="749">
      <x:c r="A749" s="35" t="str">
        <x:v>deepseek</x:v>
      </x:c>
      <x:c r="B749" s="35" t="str">
        <x:v>Math</x:v>
      </x:c>
      <x:c r="C749" s="35" t="str">
        <x:v>Round1</x:v>
      </x:c>
      <x:c r="D749" s="35" t="str">
        <x:v>Math_60</x:v>
      </x:c>
      <x:c r="E749" s="35" t="str">
        <x:v>Line</x:v>
      </x:c>
      <x:c r="F749" s="35" t="n">
        <x:v>47</x:v>
      </x:c>
      <x:c r="G749" s="35" t="str">
        <x:v>RECORDED</x:v>
      </x:c>
      <x:c r="H749" s="39" t="n">
        <x:f>IF(ISNUMBER('Data'!E749),'Data'!E749*100,"")</x:f>
        <x:v>87.23</x:v>
      </x:c>
      <x:c r="I749" s="35" t="str">
        <x:v>PASS</x:v>
      </x:c>
      <x:c r="J749" s="35" t="str">
        <x:v>PASS</x:v>
      </x:c>
      <x:c r="K749" s="35" t="str">
        <x:v>PASS</x:v>
      </x:c>
      <x:c r="L749" s="35" t="str">
        <x:v>PASS</x:v>
      </x:c>
      <x:c r="M749" s="35" t="str">
        <x:v>numeric coverage for applicable metric</x:v>
      </x:c>
      <x:c r="N749" s="35" t="str">
        <x:v>Deepseek-flash-v4/Result/Math_60/result.json</x:v>
      </x:c>
      <x:c r="O749" s="39" t="n">
        <x:f>IF(AND(G749="RECORDED",ISNUMBER(H749)),H749,"")</x:f>
        <x:v>87.23</x:v>
      </x:c>
      <x:c r="P749" s="35" t="str">
        <x:v>NOT_REVEALING</x:v>
      </x:c>
      <x:c r="Q749" s="35" t="str">
        <x:v>Deepseek-flash-v4/Result/Math_60/result.json</x:v>
      </x:c>
    </x:row>
    <x:row r="750">
      <x:c r="A750" s="35" t="str">
        <x:v>deepseek</x:v>
      </x:c>
      <x:c r="B750" s="35" t="str">
        <x:v>Math</x:v>
      </x:c>
      <x:c r="C750" s="35" t="str">
        <x:v>Round1</x:v>
      </x:c>
      <x:c r="D750" s="35" t="str">
        <x:v>Math_61</x:v>
      </x:c>
      <x:c r="E750" s="35" t="str">
        <x:v>Line</x:v>
      </x:c>
      <x:c r="F750" s="35" t="n">
        <x:v>34</x:v>
      </x:c>
      <x:c r="G750" s="35" t="str">
        <x:v>RECORDED</x:v>
      </x:c>
      <x:c r="H750" s="39" t="n">
        <x:f>IF(ISNUMBER('Data'!E750),'Data'!E750*100,"")</x:f>
        <x:v>82.35</x:v>
      </x:c>
      <x:c r="I750" s="35" t="str">
        <x:v>PASS</x:v>
      </x:c>
      <x:c r="J750" s="35" t="str">
        <x:v>PASS</x:v>
      </x:c>
      <x:c r="K750" s="35" t="str">
        <x:v>PASS</x:v>
      </x:c>
      <x:c r="L750" s="35" t="str">
        <x:v>PASS</x:v>
      </x:c>
      <x:c r="M750" s="35" t="str">
        <x:v>numeric coverage for applicable metric</x:v>
      </x:c>
      <x:c r="N750" s="35" t="str">
        <x:v>Deepseek-flash-v4/Result/Math_61/result.json</x:v>
      </x:c>
      <x:c r="O750" s="39" t="n">
        <x:f>IF(AND(G750="RECORDED",ISNUMBER(H750)),H750,"")</x:f>
        <x:v>82.35</x:v>
      </x:c>
      <x:c r="P750" s="35" t="str">
        <x:v>NOT_REVEALING</x:v>
      </x:c>
      <x:c r="Q750" s="35" t="str">
        <x:v>Deepseek-flash-v4/Result/Math_61/result.json</x:v>
      </x:c>
    </x:row>
    <x:row r="751">
      <x:c r="A751" s="35" t="str">
        <x:v>deepseek</x:v>
      </x:c>
      <x:c r="B751" s="35" t="str">
        <x:v>Math</x:v>
      </x:c>
      <x:c r="C751" s="35" t="str">
        <x:v>Round1</x:v>
      </x:c>
      <x:c r="D751" s="35" t="str">
        <x:v>Math_62</x:v>
      </x:c>
      <x:c r="E751" s="35" t="str">
        <x:v>Line</x:v>
      </x:c>
      <x:c r="F751" s="35"/>
      <x:c r="G751" s="35" t="str">
        <x:v>A</x:v>
      </x:c>
      <x:c r="H751" s="39" t="str">
        <x:f>IF(ISNUMBER('Data'!E751),'Data'!E751*100,"")</x:f>
      </x:c>
      <x:c r="I751" s="35"/>
      <x:c r="J751" s="35" t="str">
        <x:v>PASS</x:v>
      </x:c>
      <x:c r="K751" s="35" t="str">
        <x:v>FAIL</x:v>
      </x:c>
      <x:c r="L751" s="35" t="str">
        <x:v>NOT_RUN</x:v>
      </x:c>
      <x:c r="M751" s="35" t="str">
        <x:v>coverage unavailable or execution/compile failed</x:v>
      </x:c>
      <x:c r="N751" s="35" t="str">
        <x:v>Deepseek-flash-v4/Result/Math_62/result.json</x:v>
      </x:c>
      <x:c r="O751" s="39" t="str">
        <x:f>IF(AND(G751="RECORDED",ISNUMBER(H751)),H751,"")</x:f>
      </x:c>
      <x:c r="P751" s="35" t="str">
        <x:v>NOT_AVAILABLE</x:v>
      </x:c>
      <x:c r="Q751" s="35" t="str">
        <x:v>Deepseek-flash-v4/Result/Math_62/result.json</x:v>
      </x:c>
    </x:row>
    <x:row r="752">
      <x:c r="A752" s="35" t="str">
        <x:v>deepseek</x:v>
      </x:c>
      <x:c r="B752" s="35" t="str">
        <x:v>Math</x:v>
      </x:c>
      <x:c r="C752" s="35" t="str">
        <x:v>Round1</x:v>
      </x:c>
      <x:c r="D752" s="35" t="str">
        <x:v>Math_63</x:v>
      </x:c>
      <x:c r="E752" s="35" t="str">
        <x:v>Line</x:v>
      </x:c>
      <x:c r="F752" s="35" t="n">
        <x:v>518</x:v>
      </x:c>
      <x:c r="G752" s="35" t="str">
        <x:v>RECORDED</x:v>
      </x:c>
      <x:c r="H752" s="39" t="n">
        <x:f>IF(ISNUMBER('Data'!E752),'Data'!E752*100,"")</x:f>
        <x:v>61.39</x:v>
      </x:c>
      <x:c r="I752" s="35" t="str">
        <x:v>PASS</x:v>
      </x:c>
      <x:c r="J752" s="35" t="str">
        <x:v>PASS</x:v>
      </x:c>
      <x:c r="K752" s="35" t="str">
        <x:v>PASS</x:v>
      </x:c>
      <x:c r="L752" s="35" t="str">
        <x:v>FAIL</x:v>
      </x:c>
      <x:c r="M752" s="35" t="str">
        <x:v>numeric coverage for applicable metric</x:v>
      </x:c>
      <x:c r="N752" s="35" t="str">
        <x:v>Deepseek-flash-v4/Result/Math_63/result.json</x:v>
      </x:c>
      <x:c r="O752" s="39" t="n">
        <x:f>IF(AND(G752="RECORDED",ISNUMBER(H752)),H752,"")</x:f>
        <x:v>61.39</x:v>
      </x:c>
      <x:c r="P752" s="35" t="str">
        <x:v>INCONCLUSIVE</x:v>
      </x:c>
      <x:c r="Q752" s="35" t="str">
        <x:v>Deepseek-flash-v4/Result/Math_63/result.json</x:v>
      </x:c>
    </x:row>
    <x:row r="753">
      <x:c r="A753" s="35" t="str">
        <x:v>deepseek</x:v>
      </x:c>
      <x:c r="B753" s="35" t="str">
        <x:v>Math</x:v>
      </x:c>
      <x:c r="C753" s="35" t="str">
        <x:v>Round1</x:v>
      </x:c>
      <x:c r="D753" s="35" t="str">
        <x:v>Math_64</x:v>
      </x:c>
      <x:c r="E753" s="35" t="str">
        <x:v>Line</x:v>
      </x:c>
      <x:c r="F753" s="35"/>
      <x:c r="G753" s="35" t="str">
        <x:v>A</x:v>
      </x:c>
      <x:c r="H753" s="39" t="str">
        <x:f>IF(ISNUMBER('Data'!E753),'Data'!E753*100,"")</x:f>
      </x:c>
      <x:c r="I753" s="35"/>
      <x:c r="J753" s="35" t="str">
        <x:v>PASS</x:v>
      </x:c>
      <x:c r="K753" s="35" t="str">
        <x:v>FAIL</x:v>
      </x:c>
      <x:c r="L753" s="35" t="str">
        <x:v>NOT_RUN</x:v>
      </x:c>
      <x:c r="M753" s="35" t="str">
        <x:v>coverage unavailable or execution/compile failed</x:v>
      </x:c>
      <x:c r="N753" s="35" t="str">
        <x:v>Deepseek-flash-v4/Result/Math_64/result.json</x:v>
      </x:c>
      <x:c r="O753" s="39" t="str">
        <x:f>IF(AND(G753="RECORDED",ISNUMBER(H753)),H753,"")</x:f>
      </x:c>
      <x:c r="P753" s="35" t="str">
        <x:v>NOT_AVAILABLE</x:v>
      </x:c>
      <x:c r="Q753" s="35" t="str">
        <x:v>Deepseek-flash-v4/Result/Math_64/result.json</x:v>
      </x:c>
    </x:row>
    <x:row r="754">
      <x:c r="A754" s="35" t="str">
        <x:v>deepseek</x:v>
      </x:c>
      <x:c r="B754" s="35" t="str">
        <x:v>Math</x:v>
      </x:c>
      <x:c r="C754" s="35" t="str">
        <x:v>Round1</x:v>
      </x:c>
      <x:c r="D754" s="35" t="str">
        <x:v>Math_65</x:v>
      </x:c>
      <x:c r="E754" s="35" t="str">
        <x:v>Line</x:v>
      </x:c>
      <x:c r="F754" s="35"/>
      <x:c r="G754" s="35" t="str">
        <x:v>A</x:v>
      </x:c>
      <x:c r="H754" s="39" t="str">
        <x:f>IF(ISNUMBER('Data'!E754),'Data'!E754*100,"")</x:f>
      </x:c>
      <x:c r="I754" s="35"/>
      <x:c r="J754" s="35" t="str">
        <x:v>PASS</x:v>
      </x:c>
      <x:c r="K754" s="35" t="str">
        <x:v>FAIL</x:v>
      </x:c>
      <x:c r="L754" s="35" t="str">
        <x:v>NOT_RUN</x:v>
      </x:c>
      <x:c r="M754" s="35" t="str">
        <x:v>coverage unavailable or execution/compile failed</x:v>
      </x:c>
      <x:c r="N754" s="35" t="str">
        <x:v>Deepseek-flash-v4/Result/Math_65/result.json</x:v>
      </x:c>
      <x:c r="O754" s="39" t="str">
        <x:f>IF(AND(G754="RECORDED",ISNUMBER(H754)),H754,"")</x:f>
      </x:c>
      <x:c r="P754" s="35" t="str">
        <x:v>NOT_AVAILABLE</x:v>
      </x:c>
      <x:c r="Q754" s="35" t="str">
        <x:v>Deepseek-flash-v4/Result/Math_65/result.json</x:v>
      </x:c>
    </x:row>
    <x:row r="755">
      <x:c r="A755" s="35" t="str">
        <x:v>deepseek</x:v>
      </x:c>
      <x:c r="B755" s="35" t="str">
        <x:v>Math</x:v>
      </x:c>
      <x:c r="C755" s="35" t="str">
        <x:v>Round1</x:v>
      </x:c>
      <x:c r="D755" s="35" t="str">
        <x:v>Math_66</x:v>
      </x:c>
      <x:c r="E755" s="35" t="str">
        <x:v>Line</x:v>
      </x:c>
      <x:c r="F755" s="35" t="n">
        <x:v>102</x:v>
      </x:c>
      <x:c r="G755" s="35" t="str">
        <x:v>RECORDED</x:v>
      </x:c>
      <x:c r="H755" s="39" t="n">
        <x:f>IF(ISNUMBER('Data'!E755),'Data'!E755*100,"")</x:f>
        <x:v>100</x:v>
      </x:c>
      <x:c r="I755" s="35" t="str">
        <x:v>PASS</x:v>
      </x:c>
      <x:c r="J755" s="35" t="str">
        <x:v>PASS</x:v>
      </x:c>
      <x:c r="K755" s="35" t="str">
        <x:v>PASS</x:v>
      </x:c>
      <x:c r="L755" s="35" t="str">
        <x:v>PASS</x:v>
      </x:c>
      <x:c r="M755" s="35" t="str">
        <x:v>numeric coverage for applicable metric</x:v>
      </x:c>
      <x:c r="N755" s="35" t="str">
        <x:v>Deepseek-flash-v4/Result/Math_66/result.json</x:v>
      </x:c>
      <x:c r="O755" s="39" t="n">
        <x:f>IF(AND(G755="RECORDED",ISNUMBER(H755)),H755,"")</x:f>
        <x:v>100</x:v>
      </x:c>
      <x:c r="P755" s="35" t="str">
        <x:v>INCONCLUSIVE</x:v>
      </x:c>
      <x:c r="Q755" s="35" t="str">
        <x:v>Deepseek-flash-v4/Result/Math_66/result.json</x:v>
      </x:c>
    </x:row>
    <x:row r="756">
      <x:c r="A756" s="35" t="str">
        <x:v>deepseek</x:v>
      </x:c>
      <x:c r="B756" s="35" t="str">
        <x:v>Math</x:v>
      </x:c>
      <x:c r="C756" s="35" t="str">
        <x:v>Round1</x:v>
      </x:c>
      <x:c r="D756" s="35" t="str">
        <x:v>Math_67</x:v>
      </x:c>
      <x:c r="E756" s="35" t="str">
        <x:v>Line</x:v>
      </x:c>
      <x:c r="F756" s="35" t="n">
        <x:v>93</x:v>
      </x:c>
      <x:c r="G756" s="35" t="str">
        <x:v>RECORDED</x:v>
      </x:c>
      <x:c r="H756" s="39" t="n">
        <x:f>IF(ISNUMBER('Data'!E756),'Data'!E756*100,"")</x:f>
        <x:v>81.72</x:v>
      </x:c>
      <x:c r="I756" s="35" t="str">
        <x:v>PASS</x:v>
      </x:c>
      <x:c r="J756" s="35" t="str">
        <x:v>PASS</x:v>
      </x:c>
      <x:c r="K756" s="35" t="str">
        <x:v>PASS</x:v>
      </x:c>
      <x:c r="L756" s="35" t="str">
        <x:v>FAIL</x:v>
      </x:c>
      <x:c r="M756" s="35" t="str">
        <x:v>numeric coverage for applicable metric</x:v>
      </x:c>
      <x:c r="N756" s="35" t="str">
        <x:v>Deepseek-flash-v4/Result/Math_67/result.json</x:v>
      </x:c>
      <x:c r="O756" s="39" t="n">
        <x:f>IF(AND(G756="RECORDED",ISNUMBER(H756)),H756,"")</x:f>
        <x:v>81.72</x:v>
      </x:c>
      <x:c r="P756" s="35" t="str">
        <x:v>INCONCLUSIVE</x:v>
      </x:c>
      <x:c r="Q756" s="35" t="str">
        <x:v>Deepseek-flash-v4/Result/Math_67/result.json</x:v>
      </x:c>
    </x:row>
    <x:row r="757">
      <x:c r="A757" s="35" t="str">
        <x:v>deepseek</x:v>
      </x:c>
      <x:c r="B757" s="35" t="str">
        <x:v>Math</x:v>
      </x:c>
      <x:c r="C757" s="35" t="str">
        <x:v>Round1</x:v>
      </x:c>
      <x:c r="D757" s="35" t="str">
        <x:v>Math_68</x:v>
      </x:c>
      <x:c r="E757" s="35" t="str">
        <x:v>Line</x:v>
      </x:c>
      <x:c r="F757" s="35"/>
      <x:c r="G757" s="35" t="str">
        <x:v>A</x:v>
      </x:c>
      <x:c r="H757" s="39" t="str">
        <x:f>IF(ISNUMBER('Data'!E757),'Data'!E757*100,"")</x:f>
      </x:c>
      <x:c r="I757" s="35"/>
      <x:c r="J757" s="35" t="str">
        <x:v>PASS</x:v>
      </x:c>
      <x:c r="K757" s="35" t="str">
        <x:v>FAIL</x:v>
      </x:c>
      <x:c r="L757" s="35" t="str">
        <x:v>NOT_RUN</x:v>
      </x:c>
      <x:c r="M757" s="35" t="str">
        <x:v>coverage unavailable or execution/compile failed</x:v>
      </x:c>
      <x:c r="N757" s="35" t="str">
        <x:v>Deepseek-flash-v4/Result/Math_68/result.json</x:v>
      </x:c>
      <x:c r="O757" s="39" t="str">
        <x:f>IF(AND(G757="RECORDED",ISNUMBER(H757)),H757,"")</x:f>
      </x:c>
      <x:c r="P757" s="35" t="str">
        <x:v>NOT_AVAILABLE</x:v>
      </x:c>
      <x:c r="Q757" s="35" t="str">
        <x:v>Deepseek-flash-v4/Result/Math_68/result.json</x:v>
      </x:c>
    </x:row>
    <x:row r="758">
      <x:c r="A758" s="35" t="str">
        <x:v>deepseek</x:v>
      </x:c>
      <x:c r="B758" s="35" t="str">
        <x:v>Math</x:v>
      </x:c>
      <x:c r="C758" s="35" t="str">
        <x:v>Round1</x:v>
      </x:c>
      <x:c r="D758" s="35" t="str">
        <x:v>Math_69</x:v>
      </x:c>
      <x:c r="E758" s="35" t="str">
        <x:v>Line</x:v>
      </x:c>
      <x:c r="F758" s="35" t="n">
        <x:v>75</x:v>
      </x:c>
      <x:c r="G758" s="35" t="str">
        <x:v>RECORDED</x:v>
      </x:c>
      <x:c r="H758" s="39" t="n">
        <x:f>IF(ISNUMBER('Data'!E758),'Data'!E758*100,"")</x:f>
        <x:v>92</x:v>
      </x:c>
      <x:c r="I758" s="35" t="str">
        <x:v>PASS</x:v>
      </x:c>
      <x:c r="J758" s="35" t="str">
        <x:v>PASS</x:v>
      </x:c>
      <x:c r="K758" s="35" t="str">
        <x:v>PASS</x:v>
      </x:c>
      <x:c r="L758" s="35" t="str">
        <x:v>PASS</x:v>
      </x:c>
      <x:c r="M758" s="35" t="str">
        <x:v>numeric coverage for applicable metric</x:v>
      </x:c>
      <x:c r="N758" s="35" t="str">
        <x:v>Deepseek-flash-v4/Result/Math_69/result.json</x:v>
      </x:c>
      <x:c r="O758" s="39" t="n">
        <x:f>IF(AND(G758="RECORDED",ISNUMBER(H758)),H758,"")</x:f>
        <x:v>92</x:v>
      </x:c>
      <x:c r="P758" s="35" t="str">
        <x:v>NOT_REVEALING</x:v>
      </x:c>
      <x:c r="Q758" s="35" t="str">
        <x:v>Deepseek-flash-v4/Result/Math_69/result.json</x:v>
      </x:c>
    </x:row>
    <x:row r="759">
      <x:c r="A759" s="35" t="str">
        <x:v>deepseek</x:v>
      </x:c>
      <x:c r="B759" s="35" t="str">
        <x:v>Math</x:v>
      </x:c>
      <x:c r="C759" s="35" t="str">
        <x:v>Round1</x:v>
      </x:c>
      <x:c r="D759" s="35" t="str">
        <x:v>Math_7</x:v>
      </x:c>
      <x:c r="E759" s="35" t="str">
        <x:v>Line</x:v>
      </x:c>
      <x:c r="F759" s="35"/>
      <x:c r="G759" s="35" t="str">
        <x:v>A</x:v>
      </x:c>
      <x:c r="H759" s="39" t="str">
        <x:f>IF(ISNUMBER('Data'!E759),'Data'!E759*100,"")</x:f>
      </x:c>
      <x:c r="I759" s="35"/>
      <x:c r="J759" s="35" t="str">
        <x:v>PASS</x:v>
      </x:c>
      <x:c r="K759" s="35" t="str">
        <x:v>FAIL</x:v>
      </x:c>
      <x:c r="L759" s="35" t="str">
        <x:v>NOT_RUN</x:v>
      </x:c>
      <x:c r="M759" s="35" t="str">
        <x:v>coverage unavailable or execution/compile failed</x:v>
      </x:c>
      <x:c r="N759" s="35" t="str">
        <x:v>Deepseek-flash-v4/Result/Math_7/result.json</x:v>
      </x:c>
      <x:c r="O759" s="39" t="str">
        <x:f>IF(AND(G759="RECORDED",ISNUMBER(H759)),H759,"")</x:f>
      </x:c>
      <x:c r="P759" s="35" t="str">
        <x:v>NOT_AVAILABLE</x:v>
      </x:c>
      <x:c r="Q759" s="35" t="str">
        <x:v>Deepseek-flash-v4/Result/Math_7/result.json</x:v>
      </x:c>
    </x:row>
    <x:row r="760">
      <x:c r="A760" s="35" t="str">
        <x:v>deepseek</x:v>
      </x:c>
      <x:c r="B760" s="35" t="str">
        <x:v>Math</x:v>
      </x:c>
      <x:c r="C760" s="35" t="str">
        <x:v>Round1</x:v>
      </x:c>
      <x:c r="D760" s="35" t="str">
        <x:v>Math_70</x:v>
      </x:c>
      <x:c r="E760" s="35" t="str">
        <x:v>Line</x:v>
      </x:c>
      <x:c r="F760" s="35" t="n">
        <x:v>23</x:v>
      </x:c>
      <x:c r="G760" s="35" t="str">
        <x:v>RECORDED</x:v>
      </x:c>
      <x:c r="H760" s="39" t="n">
        <x:f>IF(ISNUMBER('Data'!E760),'Data'!E760*100,"")</x:f>
        <x:v>78.26</x:v>
      </x:c>
      <x:c r="I760" s="35" t="str">
        <x:v>PASS</x:v>
      </x:c>
      <x:c r="J760" s="35" t="str">
        <x:v>PASS</x:v>
      </x:c>
      <x:c r="K760" s="35" t="str">
        <x:v>PASS</x:v>
      </x:c>
      <x:c r="L760" s="35" t="str">
        <x:v>FAIL</x:v>
      </x:c>
      <x:c r="M760" s="35" t="str">
        <x:v>numeric coverage for applicable metric</x:v>
      </x:c>
      <x:c r="N760" s="35" t="str">
        <x:v>Deepseek-flash-v4/Result/Math_70/result.json</x:v>
      </x:c>
      <x:c r="O760" s="39" t="n">
        <x:f>IF(AND(G760="RECORDED",ISNUMBER(H760)),H760,"")</x:f>
        <x:v>78.26</x:v>
      </x:c>
      <x:c r="P760" s="35" t="str">
        <x:v>INCONCLUSIVE</x:v>
      </x:c>
      <x:c r="Q760" s="35" t="str">
        <x:v>Deepseek-flash-v4/Result/Math_70/result.json</x:v>
      </x:c>
    </x:row>
    <x:row r="761">
      <x:c r="A761" s="35" t="str">
        <x:v>deepseek</x:v>
      </x:c>
      <x:c r="B761" s="35" t="str">
        <x:v>Math</x:v>
      </x:c>
      <x:c r="C761" s="35" t="str">
        <x:v>Round1</x:v>
      </x:c>
      <x:c r="D761" s="35" t="str">
        <x:v>Math_71</x:v>
      </x:c>
      <x:c r="E761" s="35" t="str">
        <x:v>Line</x:v>
      </x:c>
      <x:c r="F761" s="35"/>
      <x:c r="G761" s="35" t="str">
        <x:v>A</x:v>
      </x:c>
      <x:c r="H761" s="39" t="str">
        <x:f>IF(ISNUMBER('Data'!E761),'Data'!E761*100,"")</x:f>
      </x:c>
      <x:c r="I761" s="35"/>
      <x:c r="J761" s="35" t="str">
        <x:v>PASS</x:v>
      </x:c>
      <x:c r="K761" s="35" t="str">
        <x:v>FAIL</x:v>
      </x:c>
      <x:c r="L761" s="35" t="str">
        <x:v>NOT_RUN</x:v>
      </x:c>
      <x:c r="M761" s="35" t="str">
        <x:v>coverage unavailable or execution/compile failed</x:v>
      </x:c>
      <x:c r="N761" s="35" t="str">
        <x:v>Deepseek-flash-v4/Result/Math_71/result.json</x:v>
      </x:c>
      <x:c r="O761" s="39" t="str">
        <x:f>IF(AND(G761="RECORDED",ISNUMBER(H761)),H761,"")</x:f>
      </x:c>
      <x:c r="P761" s="35" t="str">
        <x:v>NOT_AVAILABLE</x:v>
      </x:c>
      <x:c r="Q761" s="35" t="str">
        <x:v>Deepseek-flash-v4/Result/Math_71/result.json</x:v>
      </x:c>
    </x:row>
    <x:row r="762">
      <x:c r="A762" s="35" t="str">
        <x:v>deepseek</x:v>
      </x:c>
      <x:c r="B762" s="35" t="str">
        <x:v>Math</x:v>
      </x:c>
      <x:c r="C762" s="35" t="str">
        <x:v>Round1</x:v>
      </x:c>
      <x:c r="D762" s="35" t="str">
        <x:v>Math_72</x:v>
      </x:c>
      <x:c r="E762" s="35" t="str">
        <x:v>Line</x:v>
      </x:c>
      <x:c r="F762" s="35" t="n">
        <x:v>107</x:v>
      </x:c>
      <x:c r="G762" s="35" t="str">
        <x:v>RECORDED</x:v>
      </x:c>
      <x:c r="H762" s="39" t="n">
        <x:f>IF(ISNUMBER('Data'!E762),'Data'!E762*100,"")</x:f>
        <x:v>85.98</x:v>
      </x:c>
      <x:c r="I762" s="35" t="str">
        <x:v>PASS</x:v>
      </x:c>
      <x:c r="J762" s="35" t="str">
        <x:v>PASS</x:v>
      </x:c>
      <x:c r="K762" s="35" t="str">
        <x:v>PASS</x:v>
      </x:c>
      <x:c r="L762" s="35" t="str">
        <x:v>FAIL</x:v>
      </x:c>
      <x:c r="M762" s="35" t="str">
        <x:v>numeric coverage for applicable metric</x:v>
      </x:c>
      <x:c r="N762" s="35" t="str">
        <x:v>Deepseek-flash-v4/Result/Math_72/result.json</x:v>
      </x:c>
      <x:c r="O762" s="39" t="n">
        <x:f>IF(AND(G762="RECORDED",ISNUMBER(H762)),H762,"")</x:f>
        <x:v>85.98</x:v>
      </x:c>
      <x:c r="P762" s="35" t="str">
        <x:v>INCONCLUSIVE</x:v>
      </x:c>
      <x:c r="Q762" s="35" t="str">
        <x:v>Deepseek-flash-v4/Result/Math_72/result.json</x:v>
      </x:c>
    </x:row>
    <x:row r="763">
      <x:c r="A763" s="35" t="str">
        <x:v>deepseek</x:v>
      </x:c>
      <x:c r="B763" s="35" t="str">
        <x:v>Math</x:v>
      </x:c>
      <x:c r="C763" s="35" t="str">
        <x:v>Round1</x:v>
      </x:c>
      <x:c r="D763" s="35" t="str">
        <x:v>Math_73</x:v>
      </x:c>
      <x:c r="E763" s="35" t="str">
        <x:v>Line</x:v>
      </x:c>
      <x:c r="F763" s="35" t="n">
        <x:v>104</x:v>
      </x:c>
      <x:c r="G763" s="35" t="str">
        <x:v>RECORDED</x:v>
      </x:c>
      <x:c r="H763" s="39" t="n">
        <x:f>IF(ISNUMBER('Data'!E763),'Data'!E763*100,"")</x:f>
        <x:v>84.62</x:v>
      </x:c>
      <x:c r="I763" s="35" t="str">
        <x:v>PASS</x:v>
      </x:c>
      <x:c r="J763" s="35" t="str">
        <x:v>PASS</x:v>
      </x:c>
      <x:c r="K763" s="35" t="str">
        <x:v>PASS</x:v>
      </x:c>
      <x:c r="L763" s="35" t="str">
        <x:v>PASS</x:v>
      </x:c>
      <x:c r="M763" s="35" t="str">
        <x:v>numeric coverage for applicable metric</x:v>
      </x:c>
      <x:c r="N763" s="35" t="str">
        <x:v>Deepseek-flash-v4/Result/Math_73/result.json</x:v>
      </x:c>
      <x:c r="O763" s="39" t="n">
        <x:f>IF(AND(G763="RECORDED",ISNUMBER(H763)),H763,"")</x:f>
        <x:v>84.62</x:v>
      </x:c>
      <x:c r="P763" s="35" t="str">
        <x:v>NOT_REVEALING</x:v>
      </x:c>
      <x:c r="Q763" s="35" t="str">
        <x:v>Deepseek-flash-v4/Result/Math_73/result.json</x:v>
      </x:c>
    </x:row>
    <x:row r="764">
      <x:c r="A764" s="35" t="str">
        <x:v>deepseek</x:v>
      </x:c>
      <x:c r="B764" s="35" t="str">
        <x:v>Math</x:v>
      </x:c>
      <x:c r="C764" s="35" t="str">
        <x:v>Round1</x:v>
      </x:c>
      <x:c r="D764" s="35" t="str">
        <x:v>Math_74</x:v>
      </x:c>
      <x:c r="E764" s="35" t="str">
        <x:v>Line</x:v>
      </x:c>
      <x:c r="F764" s="35"/>
      <x:c r="G764" s="35" t="str">
        <x:v>A</x:v>
      </x:c>
      <x:c r="H764" s="39" t="str">
        <x:f>IF(ISNUMBER('Data'!E764),'Data'!E764*100,"")</x:f>
      </x:c>
      <x:c r="I764" s="35"/>
      <x:c r="J764" s="35" t="str">
        <x:v>PASS</x:v>
      </x:c>
      <x:c r="K764" s="35" t="str">
        <x:v>FAIL</x:v>
      </x:c>
      <x:c r="L764" s="35" t="str">
        <x:v>NOT_RUN</x:v>
      </x:c>
      <x:c r="M764" s="35" t="str">
        <x:v>coverage unavailable or execution/compile failed</x:v>
      </x:c>
      <x:c r="N764" s="35" t="str">
        <x:v>Deepseek-flash-v4/Result/Math_74/result.json</x:v>
      </x:c>
      <x:c r="O764" s="39" t="str">
        <x:f>IF(AND(G764="RECORDED",ISNUMBER(H764)),H764,"")</x:f>
      </x:c>
      <x:c r="P764" s="35" t="str">
        <x:v>NOT_AVAILABLE</x:v>
      </x:c>
      <x:c r="Q764" s="35" t="str">
        <x:v>Deepseek-flash-v4/Result/Math_74/result.json</x:v>
      </x:c>
    </x:row>
    <x:row r="765">
      <x:c r="A765" s="35" t="str">
        <x:v>deepseek</x:v>
      </x:c>
      <x:c r="B765" s="35" t="str">
        <x:v>Math</x:v>
      </x:c>
      <x:c r="C765" s="35" t="str">
        <x:v>Round1</x:v>
      </x:c>
      <x:c r="D765" s="35" t="str">
        <x:v>Math_75</x:v>
      </x:c>
      <x:c r="E765" s="35" t="str">
        <x:v>Line</x:v>
      </x:c>
      <x:c r="F765" s="35" t="n">
        <x:v>134</x:v>
      </x:c>
      <x:c r="G765" s="35" t="str">
        <x:v>RECORDED</x:v>
      </x:c>
      <x:c r="H765" s="39" t="n">
        <x:f>IF(ISNUMBER('Data'!E765),'Data'!E765*100,"")</x:f>
        <x:v>85.07</x:v>
      </x:c>
      <x:c r="I765" s="35" t="str">
        <x:v>PASS</x:v>
      </x:c>
      <x:c r="J765" s="35" t="str">
        <x:v>PASS</x:v>
      </x:c>
      <x:c r="K765" s="35" t="str">
        <x:v>PASS</x:v>
      </x:c>
      <x:c r="L765" s="35" t="str">
        <x:v>FAIL</x:v>
      </x:c>
      <x:c r="M765" s="35" t="str">
        <x:v>numeric coverage for applicable metric</x:v>
      </x:c>
      <x:c r="N765" s="35" t="str">
        <x:v>Deepseek-flash-v4/Result/Math_75/result.json</x:v>
      </x:c>
      <x:c r="O765" s="39" t="n">
        <x:f>IF(AND(G765="RECORDED",ISNUMBER(H765)),H765,"")</x:f>
        <x:v>85.07</x:v>
      </x:c>
      <x:c r="P765" s="35" t="str">
        <x:v>INCONCLUSIVE</x:v>
      </x:c>
      <x:c r="Q765" s="35" t="str">
        <x:v>Deepseek-flash-v4/Result/Math_75/result.json</x:v>
      </x:c>
    </x:row>
    <x:row r="766">
      <x:c r="A766" s="35" t="str">
        <x:v>deepseek</x:v>
      </x:c>
      <x:c r="B766" s="35" t="str">
        <x:v>Math</x:v>
      </x:c>
      <x:c r="C766" s="35" t="str">
        <x:v>Round1</x:v>
      </x:c>
      <x:c r="D766" s="35" t="str">
        <x:v>Math_76</x:v>
      </x:c>
      <x:c r="E766" s="35" t="str">
        <x:v>Line</x:v>
      </x:c>
      <x:c r="F766" s="35" t="n">
        <x:v>134</x:v>
      </x:c>
      <x:c r="G766" s="35" t="str">
        <x:v>RECORDED</x:v>
      </x:c>
      <x:c r="H766" s="39" t="n">
        <x:f>IF(ISNUMBER('Data'!E766),'Data'!E766*100,"")</x:f>
        <x:v>79.85</x:v>
      </x:c>
      <x:c r="I766" s="35" t="str">
        <x:v>PASS</x:v>
      </x:c>
      <x:c r="J766" s="35" t="str">
        <x:v>PASS</x:v>
      </x:c>
      <x:c r="K766" s="35" t="str">
        <x:v>PASS</x:v>
      </x:c>
      <x:c r="L766" s="35" t="str">
        <x:v>FAIL</x:v>
      </x:c>
      <x:c r="M766" s="35" t="str">
        <x:v>numeric coverage for applicable metric</x:v>
      </x:c>
      <x:c r="N766" s="35" t="str">
        <x:v>Deepseek-flash-v4/Result/Math_76/result.json</x:v>
      </x:c>
      <x:c r="O766" s="39" t="n">
        <x:f>IF(AND(G766="RECORDED",ISNUMBER(H766)),H766,"")</x:f>
        <x:v>79.85</x:v>
      </x:c>
      <x:c r="P766" s="35" t="str">
        <x:v>INCONCLUSIVE</x:v>
      </x:c>
      <x:c r="Q766" s="35" t="str">
        <x:v>Deepseek-flash-v4/Result/Math_76/result.json</x:v>
      </x:c>
    </x:row>
    <x:row r="767">
      <x:c r="A767" s="35" t="str">
        <x:v>deepseek</x:v>
      </x:c>
      <x:c r="B767" s="35" t="str">
        <x:v>Math</x:v>
      </x:c>
      <x:c r="C767" s="35" t="str">
        <x:v>Round1</x:v>
      </x:c>
      <x:c r="D767" s="35" t="str">
        <x:v>Math_77</x:v>
      </x:c>
      <x:c r="E767" s="35" t="str">
        <x:v>Line</x:v>
      </x:c>
      <x:c r="F767" s="35"/>
      <x:c r="G767" s="35" t="str">
        <x:v>A</x:v>
      </x:c>
      <x:c r="H767" s="39" t="str">
        <x:f>IF(ISNUMBER('Data'!E767),'Data'!E767*100,"")</x:f>
      </x:c>
      <x:c r="I767" s="35"/>
      <x:c r="J767" s="35" t="str">
        <x:v>PASS</x:v>
      </x:c>
      <x:c r="K767" s="35" t="str">
        <x:v>FAIL</x:v>
      </x:c>
      <x:c r="L767" s="35" t="str">
        <x:v>NOT_RUN</x:v>
      </x:c>
      <x:c r="M767" s="35" t="str">
        <x:v>coverage unavailable or execution/compile failed</x:v>
      </x:c>
      <x:c r="N767" s="35" t="str">
        <x:v>Deepseek-flash-v4/Result/Math_77/result.json</x:v>
      </x:c>
      <x:c r="O767" s="39" t="str">
        <x:f>IF(AND(G767="RECORDED",ISNUMBER(H767)),H767,"")</x:f>
      </x:c>
      <x:c r="P767" s="35" t="str">
        <x:v>NOT_AVAILABLE</x:v>
      </x:c>
      <x:c r="Q767" s="35" t="str">
        <x:v>Deepseek-flash-v4/Result/Math_77/result.json</x:v>
      </x:c>
    </x:row>
    <x:row r="768">
      <x:c r="A768" s="35" t="str">
        <x:v>deepseek</x:v>
      </x:c>
      <x:c r="B768" s="35" t="str">
        <x:v>Math</x:v>
      </x:c>
      <x:c r="C768" s="35" t="str">
        <x:v>Round1</x:v>
      </x:c>
      <x:c r="D768" s="35" t="str">
        <x:v>Math_78</x:v>
      </x:c>
      <x:c r="E768" s="35" t="str">
        <x:v>Line</x:v>
      </x:c>
      <x:c r="F768" s="35"/>
      <x:c r="G768" s="35" t="str">
        <x:v>A</x:v>
      </x:c>
      <x:c r="H768" s="39" t="str">
        <x:f>IF(ISNUMBER('Data'!E768),'Data'!E768*100,"")</x:f>
      </x:c>
      <x:c r="I768" s="35"/>
      <x:c r="J768" s="35" t="str">
        <x:v>PASS</x:v>
      </x:c>
      <x:c r="K768" s="35" t="str">
        <x:v>FAIL</x:v>
      </x:c>
      <x:c r="L768" s="35" t="str">
        <x:v>NOT_RUN</x:v>
      </x:c>
      <x:c r="M768" s="35" t="str">
        <x:v>coverage unavailable or execution/compile failed</x:v>
      </x:c>
      <x:c r="N768" s="35" t="str">
        <x:v>Deepseek-flash-v4/Result/Math_78/result.json</x:v>
      </x:c>
      <x:c r="O768" s="39" t="str">
        <x:f>IF(AND(G768="RECORDED",ISNUMBER(H768)),H768,"")</x:f>
      </x:c>
      <x:c r="P768" s="35" t="str">
        <x:v>NOT_AVAILABLE</x:v>
      </x:c>
      <x:c r="Q768" s="35" t="str">
        <x:v>Deepseek-flash-v4/Result/Math_78/result.json</x:v>
      </x:c>
    </x:row>
    <x:row r="769">
      <x:c r="A769" s="35" t="str">
        <x:v>deepseek</x:v>
      </x:c>
      <x:c r="B769" s="35" t="str">
        <x:v>Math</x:v>
      </x:c>
      <x:c r="C769" s="35" t="str">
        <x:v>Round1</x:v>
      </x:c>
      <x:c r="D769" s="35" t="str">
        <x:v>Math_79</x:v>
      </x:c>
      <x:c r="E769" s="35" t="str">
        <x:v>Line</x:v>
      </x:c>
      <x:c r="F769" s="35" t="n">
        <x:v>420</x:v>
      </x:c>
      <x:c r="G769" s="35" t="str">
        <x:v>RECORDED</x:v>
      </x:c>
      <x:c r="H769" s="39" t="n">
        <x:f>IF(ISNUMBER('Data'!E769),'Data'!E769*100,"")</x:f>
        <x:v>63.33</x:v>
      </x:c>
      <x:c r="I769" s="35" t="str">
        <x:v>PASS</x:v>
      </x:c>
      <x:c r="J769" s="35" t="str">
        <x:v>PASS</x:v>
      </x:c>
      <x:c r="K769" s="35" t="str">
        <x:v>PASS</x:v>
      </x:c>
      <x:c r="L769" s="35" t="str">
        <x:v>FAIL</x:v>
      </x:c>
      <x:c r="M769" s="35" t="str">
        <x:v>numeric coverage for applicable metric</x:v>
      </x:c>
      <x:c r="N769" s="35" t="str">
        <x:v>Deepseek-flash-v4/Result/Math_79/result.json</x:v>
      </x:c>
      <x:c r="O769" s="39" t="n">
        <x:f>IF(AND(G769="RECORDED",ISNUMBER(H769)),H769,"")</x:f>
        <x:v>63.33</x:v>
      </x:c>
      <x:c r="P769" s="35" t="str">
        <x:v>INCONCLUSIVE</x:v>
      </x:c>
      <x:c r="Q769" s="35" t="str">
        <x:v>Deepseek-flash-v4/Result/Math_79/result.json</x:v>
      </x:c>
    </x:row>
    <x:row r="770">
      <x:c r="A770" s="35" t="str">
        <x:v>deepseek</x:v>
      </x:c>
      <x:c r="B770" s="35" t="str">
        <x:v>Math</x:v>
      </x:c>
      <x:c r="C770" s="35" t="str">
        <x:v>Round1</x:v>
      </x:c>
      <x:c r="D770" s="35" t="str">
        <x:v>Math_8</x:v>
      </x:c>
      <x:c r="E770" s="35" t="str">
        <x:v>Line</x:v>
      </x:c>
      <x:c r="F770" s="35" t="n">
        <x:v>40</x:v>
      </x:c>
      <x:c r="G770" s="35" t="str">
        <x:v>RECORDED</x:v>
      </x:c>
      <x:c r="H770" s="39" t="n">
        <x:f>IF(ISNUMBER('Data'!E770),'Data'!E770*100,"")</x:f>
        <x:v>97.5</x:v>
      </x:c>
      <x:c r="I770" s="35" t="str">
        <x:v>PASS</x:v>
      </x:c>
      <x:c r="J770" s="35" t="str">
        <x:v>PASS</x:v>
      </x:c>
      <x:c r="K770" s="35" t="str">
        <x:v>PASS</x:v>
      </x:c>
      <x:c r="L770" s="35" t="str">
        <x:v>PASS</x:v>
      </x:c>
      <x:c r="M770" s="35" t="str">
        <x:v>numeric coverage for applicable metric</x:v>
      </x:c>
      <x:c r="N770" s="35" t="str">
        <x:v>Deepseek-flash-v4/Result/Math_8/result.json</x:v>
      </x:c>
      <x:c r="O770" s="39" t="n">
        <x:f>IF(AND(G770="RECORDED",ISNUMBER(H770)),H770,"")</x:f>
        <x:v>97.5</x:v>
      </x:c>
      <x:c r="P770" s="35" t="str">
        <x:v>NOT_AVAILABLE</x:v>
      </x:c>
      <x:c r="Q770" s="35" t="str">
        <x:v>Deepseek-flash-v4/Result/Math_8/result.json</x:v>
      </x:c>
    </x:row>
    <x:row r="771">
      <x:c r="A771" s="35" t="str">
        <x:v>deepseek</x:v>
      </x:c>
      <x:c r="B771" s="35" t="str">
        <x:v>Math</x:v>
      </x:c>
      <x:c r="C771" s="35" t="str">
        <x:v>Round1</x:v>
      </x:c>
      <x:c r="D771" s="35" t="str">
        <x:v>Math_80</x:v>
      </x:c>
      <x:c r="E771" s="35" t="str">
        <x:v>Line</x:v>
      </x:c>
      <x:c r="F771" s="35" t="n">
        <x:v>854</x:v>
      </x:c>
      <x:c r="G771" s="35" t="str">
        <x:v>RECORDED</x:v>
      </x:c>
      <x:c r="H771" s="39" t="n">
        <x:f>IF(ISNUMBER('Data'!E771),'Data'!E771*100,"")</x:f>
        <x:v>33.02</x:v>
      </x:c>
      <x:c r="I771" s="35" t="str">
        <x:v>PASS</x:v>
      </x:c>
      <x:c r="J771" s="35" t="str">
        <x:v>PASS</x:v>
      </x:c>
      <x:c r="K771" s="35" t="str">
        <x:v>PASS</x:v>
      </x:c>
      <x:c r="L771" s="35" t="str">
        <x:v>FAIL</x:v>
      </x:c>
      <x:c r="M771" s="35" t="str">
        <x:v>numeric coverage for applicable metric</x:v>
      </x:c>
      <x:c r="N771" s="35" t="str">
        <x:v>Deepseek-flash-v4/Result/Math_80/result.json</x:v>
      </x:c>
      <x:c r="O771" s="39" t="n">
        <x:f>IF(AND(G771="RECORDED",ISNUMBER(H771)),H771,"")</x:f>
        <x:v>33.02</x:v>
      </x:c>
      <x:c r="P771" s="35" t="str">
        <x:v>INCONCLUSIVE</x:v>
      </x:c>
      <x:c r="Q771" s="35" t="str">
        <x:v>Deepseek-flash-v4/Result/Math_80/result.json</x:v>
      </x:c>
    </x:row>
    <x:row r="772">
      <x:c r="A772" s="35" t="str">
        <x:v>deepseek</x:v>
      </x:c>
      <x:c r="B772" s="35" t="str">
        <x:v>Math</x:v>
      </x:c>
      <x:c r="C772" s="35" t="str">
        <x:v>Round1</x:v>
      </x:c>
      <x:c r="D772" s="35" t="str">
        <x:v>Math_81</x:v>
      </x:c>
      <x:c r="E772" s="35" t="str">
        <x:v>Line</x:v>
      </x:c>
      <x:c r="F772" s="35" t="n">
        <x:v>853</x:v>
      </x:c>
      <x:c r="G772" s="35" t="str">
        <x:v>RECORDED</x:v>
      </x:c>
      <x:c r="H772" s="39" t="n">
        <x:f>IF(ISNUMBER('Data'!E772),'Data'!E772*100,"")</x:f>
        <x:v>33.53</x:v>
      </x:c>
      <x:c r="I772" s="35" t="str">
        <x:v>PASS</x:v>
      </x:c>
      <x:c r="J772" s="35" t="str">
        <x:v>PASS</x:v>
      </x:c>
      <x:c r="K772" s="35" t="str">
        <x:v>PASS</x:v>
      </x:c>
      <x:c r="L772" s="35" t="str">
        <x:v>PASS</x:v>
      </x:c>
      <x:c r="M772" s="35" t="str">
        <x:v>numeric coverage for applicable metric</x:v>
      </x:c>
      <x:c r="N772" s="35" t="str">
        <x:v>Deepseek-flash-v4/Result/Math_81/result.json</x:v>
      </x:c>
      <x:c r="O772" s="39" t="n">
        <x:f>IF(AND(G772="RECORDED",ISNUMBER(H772)),H772,"")</x:f>
        <x:v>33.53</x:v>
      </x:c>
      <x:c r="P772" s="35" t="str">
        <x:v>NOT_REVEALING</x:v>
      </x:c>
      <x:c r="Q772" s="35" t="str">
        <x:v>Deepseek-flash-v4/Result/Math_81/result.json</x:v>
      </x:c>
    </x:row>
    <x:row r="773">
      <x:c r="A773" s="35" t="str">
        <x:v>deepseek</x:v>
      </x:c>
      <x:c r="B773" s="35" t="str">
        <x:v>Math</x:v>
      </x:c>
      <x:c r="C773" s="35" t="str">
        <x:v>Round1</x:v>
      </x:c>
      <x:c r="D773" s="35" t="str">
        <x:v>Math_82</x:v>
      </x:c>
      <x:c r="E773" s="35" t="str">
        <x:v>Line</x:v>
      </x:c>
      <x:c r="F773" s="35"/>
      <x:c r="G773" s="35" t="str">
        <x:v>A</x:v>
      </x:c>
      <x:c r="H773" s="39" t="str">
        <x:f>IF(ISNUMBER('Data'!E773),'Data'!E773*100,"")</x:f>
      </x:c>
      <x:c r="I773" s="35"/>
      <x:c r="J773" s="35" t="str">
        <x:v>PASS</x:v>
      </x:c>
      <x:c r="K773" s="35" t="str">
        <x:v>FAIL</x:v>
      </x:c>
      <x:c r="L773" s="35" t="str">
        <x:v>NOT_RUN</x:v>
      </x:c>
      <x:c r="M773" s="35" t="str">
        <x:v>coverage unavailable or execution/compile failed</x:v>
      </x:c>
      <x:c r="N773" s="35" t="str">
        <x:v>Deepseek-flash-v4/Result/Math_82/result.json</x:v>
      </x:c>
      <x:c r="O773" s="39" t="str">
        <x:f>IF(AND(G773="RECORDED",ISNUMBER(H773)),H773,"")</x:f>
      </x:c>
      <x:c r="P773" s="35" t="str">
        <x:v>NOT_AVAILABLE</x:v>
      </x:c>
      <x:c r="Q773" s="35" t="str">
        <x:v>Deepseek-flash-v4/Result/Math_82/result.json</x:v>
      </x:c>
    </x:row>
    <x:row r="774">
      <x:c r="A774" s="35" t="str">
        <x:v>deepseek</x:v>
      </x:c>
      <x:c r="B774" s="35" t="str">
        <x:v>Math</x:v>
      </x:c>
      <x:c r="C774" s="35" t="str">
        <x:v>Round1</x:v>
      </x:c>
      <x:c r="D774" s="35" t="str">
        <x:v>Math_83</x:v>
      </x:c>
      <x:c r="E774" s="35" t="str">
        <x:v>Line</x:v>
      </x:c>
      <x:c r="F774" s="35"/>
      <x:c r="G774" s="35" t="str">
        <x:v>A</x:v>
      </x:c>
      <x:c r="H774" s="39" t="str">
        <x:f>IF(ISNUMBER('Data'!E774),'Data'!E774*100,"")</x:f>
      </x:c>
      <x:c r="I774" s="35"/>
      <x:c r="J774" s="35" t="str">
        <x:v>PASS</x:v>
      </x:c>
      <x:c r="K774" s="35" t="str">
        <x:v>FAIL</x:v>
      </x:c>
      <x:c r="L774" s="35" t="str">
        <x:v>NOT_RUN</x:v>
      </x:c>
      <x:c r="M774" s="35" t="str">
        <x:v>coverage unavailable or execution/compile failed</x:v>
      </x:c>
      <x:c r="N774" s="35" t="str">
        <x:v>Deepseek-flash-v4/Result/Math_83/result.json</x:v>
      </x:c>
      <x:c r="O774" s="39" t="str">
        <x:f>IF(AND(G774="RECORDED",ISNUMBER(H774)),H774,"")</x:f>
      </x:c>
      <x:c r="P774" s="35" t="str">
        <x:v>NOT_AVAILABLE</x:v>
      </x:c>
      <x:c r="Q774" s="35" t="str">
        <x:v>Deepseek-flash-v4/Result/Math_83/result.json</x:v>
      </x:c>
    </x:row>
    <x:row r="775">
      <x:c r="A775" s="35" t="str">
        <x:v>deepseek</x:v>
      </x:c>
      <x:c r="B775" s="35" t="str">
        <x:v>Math</x:v>
      </x:c>
      <x:c r="C775" s="35" t="str">
        <x:v>Round1</x:v>
      </x:c>
      <x:c r="D775" s="35" t="str">
        <x:v>Math_84</x:v>
      </x:c>
      <x:c r="E775" s="35" t="str">
        <x:v>Line</x:v>
      </x:c>
      <x:c r="F775" s="35"/>
      <x:c r="G775" s="35" t="str">
        <x:v>A</x:v>
      </x:c>
      <x:c r="H775" s="39" t="str">
        <x:f>IF(ISNUMBER('Data'!E775),'Data'!E775*100,"")</x:f>
      </x:c>
      <x:c r="I775" s="35"/>
      <x:c r="J775" s="35" t="str">
        <x:v>PASS</x:v>
      </x:c>
      <x:c r="K775" s="35" t="str">
        <x:v>FAIL</x:v>
      </x:c>
      <x:c r="L775" s="35" t="str">
        <x:v>NOT_RUN</x:v>
      </x:c>
      <x:c r="M775" s="35" t="str">
        <x:v>coverage unavailable or execution/compile failed</x:v>
      </x:c>
      <x:c r="N775" s="35" t="str">
        <x:v>Deepseek-flash-v4/Result/Math_84/result.json</x:v>
      </x:c>
      <x:c r="O775" s="39" t="str">
        <x:f>IF(AND(G775="RECORDED",ISNUMBER(H775)),H775,"")</x:f>
      </x:c>
      <x:c r="P775" s="35" t="str">
        <x:v>NOT_AVAILABLE</x:v>
      </x:c>
      <x:c r="Q775" s="35" t="str">
        <x:v>Deepseek-flash-v4/Result/Math_84/result.json</x:v>
      </x:c>
    </x:row>
    <x:row r="776">
      <x:c r="A776" s="35" t="str">
        <x:v>deepseek</x:v>
      </x:c>
      <x:c r="B776" s="35" t="str">
        <x:v>Math</x:v>
      </x:c>
      <x:c r="C776" s="35" t="str">
        <x:v>Round1</x:v>
      </x:c>
      <x:c r="D776" s="35" t="str">
        <x:v>Math_85</x:v>
      </x:c>
      <x:c r="E776" s="35" t="str">
        <x:v>Line</x:v>
      </x:c>
      <x:c r="F776" s="35" t="n">
        <x:v>38</x:v>
      </x:c>
      <x:c r="G776" s="35" t="str">
        <x:v>RECORDED</x:v>
      </x:c>
      <x:c r="H776" s="39" t="n">
        <x:f>IF(ISNUMBER('Data'!E776),'Data'!E776*100,"")</x:f>
        <x:v>92.11</x:v>
      </x:c>
      <x:c r="I776" s="35" t="str">
        <x:v>PASS</x:v>
      </x:c>
      <x:c r="J776" s="35" t="str">
        <x:v>PASS</x:v>
      </x:c>
      <x:c r="K776" s="35" t="str">
        <x:v>PASS</x:v>
      </x:c>
      <x:c r="L776" s="35" t="str">
        <x:v>FAIL</x:v>
      </x:c>
      <x:c r="M776" s="35" t="str">
        <x:v>numeric coverage for applicable metric</x:v>
      </x:c>
      <x:c r="N776" s="35" t="str">
        <x:v>Deepseek-flash-v4/Result/Math_85/result.json</x:v>
      </x:c>
      <x:c r="O776" s="39" t="n">
        <x:f>IF(AND(G776="RECORDED",ISNUMBER(H776)),H776,"")</x:f>
        <x:v>92.11</x:v>
      </x:c>
      <x:c r="P776" s="35" t="str">
        <x:v>REVEALING</x:v>
      </x:c>
      <x:c r="Q776" s="35" t="str">
        <x:v>Deepseek-flash-v4/Result/Math_85/result.json</x:v>
      </x:c>
    </x:row>
    <x:row r="777">
      <x:c r="A777" s="35" t="str">
        <x:v>deepseek</x:v>
      </x:c>
      <x:c r="B777" s="35" t="str">
        <x:v>Math</x:v>
      </x:c>
      <x:c r="C777" s="35" t="str">
        <x:v>Round1</x:v>
      </x:c>
      <x:c r="D777" s="35" t="str">
        <x:v>Math_86</x:v>
      </x:c>
      <x:c r="E777" s="35" t="str">
        <x:v>Line</x:v>
      </x:c>
      <x:c r="F777" s="35"/>
      <x:c r="G777" s="35" t="str">
        <x:v>A</x:v>
      </x:c>
      <x:c r="H777" s="39" t="str">
        <x:f>IF(ISNUMBER('Data'!E777),'Data'!E777*100,"")</x:f>
      </x:c>
      <x:c r="I777" s="35"/>
      <x:c r="J777" s="35" t="str">
        <x:v>PASS</x:v>
      </x:c>
      <x:c r="K777" s="35" t="str">
        <x:v>FAIL</x:v>
      </x:c>
      <x:c r="L777" s="35" t="str">
        <x:v>NOT_RUN</x:v>
      </x:c>
      <x:c r="M777" s="35" t="str">
        <x:v>coverage unavailable or execution/compile failed</x:v>
      </x:c>
      <x:c r="N777" s="35" t="str">
        <x:v>Deepseek-flash-v4/Result/Math_86/result.json</x:v>
      </x:c>
      <x:c r="O777" s="39" t="str">
        <x:f>IF(AND(G777="RECORDED",ISNUMBER(H777)),H777,"")</x:f>
      </x:c>
      <x:c r="P777" s="35" t="str">
        <x:v>NOT_AVAILABLE</x:v>
      </x:c>
      <x:c r="Q777" s="35" t="str">
        <x:v>Deepseek-flash-v4/Result/Math_86/result.json</x:v>
      </x:c>
    </x:row>
    <x:row r="778">
      <x:c r="A778" s="35" t="str">
        <x:v>deepseek</x:v>
      </x:c>
      <x:c r="B778" s="35" t="str">
        <x:v>Math</x:v>
      </x:c>
      <x:c r="C778" s="35" t="str">
        <x:v>Round1</x:v>
      </x:c>
      <x:c r="D778" s="35" t="str">
        <x:v>Math_87</x:v>
      </x:c>
      <x:c r="E778" s="35" t="str">
        <x:v>Line</x:v>
      </x:c>
      <x:c r="F778" s="35" t="n">
        <x:v>152</x:v>
      </x:c>
      <x:c r="G778" s="35" t="str">
        <x:v>RECORDED</x:v>
      </x:c>
      <x:c r="H778" s="39" t="n">
        <x:f>IF(ISNUMBER('Data'!E778),'Data'!E778*100,"")</x:f>
        <x:v>7.24</x:v>
      </x:c>
      <x:c r="I778" s="35" t="str">
        <x:v>PASS</x:v>
      </x:c>
      <x:c r="J778" s="35" t="str">
        <x:v>PASS</x:v>
      </x:c>
      <x:c r="K778" s="35" t="str">
        <x:v>PASS</x:v>
      </x:c>
      <x:c r="L778" s="35" t="str">
        <x:v>PASS</x:v>
      </x:c>
      <x:c r="M778" s="35" t="str">
        <x:v>numeric coverage for applicable metric</x:v>
      </x:c>
      <x:c r="N778" s="35" t="str">
        <x:v>Deepseek-flash-v4/Result/Math_87/result.json</x:v>
      </x:c>
      <x:c r="O778" s="39" t="n">
        <x:f>IF(AND(G778="RECORDED",ISNUMBER(H778)),H778,"")</x:f>
        <x:v>7.24</x:v>
      </x:c>
      <x:c r="P778" s="35" t="str">
        <x:v>NOT_REVEALING</x:v>
      </x:c>
      <x:c r="Q778" s="35" t="str">
        <x:v>Deepseek-flash-v4/Result/Math_87/result.json</x:v>
      </x:c>
    </x:row>
    <x:row r="779">
      <x:c r="A779" s="35" t="str">
        <x:v>deepseek</x:v>
      </x:c>
      <x:c r="B779" s="35" t="str">
        <x:v>Math</x:v>
      </x:c>
      <x:c r="C779" s="35" t="str">
        <x:v>Round1</x:v>
      </x:c>
      <x:c r="D779" s="35" t="str">
        <x:v>Math_88</x:v>
      </x:c>
      <x:c r="E779" s="35" t="str">
        <x:v>Line</x:v>
      </x:c>
      <x:c r="F779" s="35"/>
      <x:c r="G779" s="35" t="str">
        <x:v>A</x:v>
      </x:c>
      <x:c r="H779" s="39" t="str">
        <x:f>IF(ISNUMBER('Data'!E779),'Data'!E779*100,"")</x:f>
      </x:c>
      <x:c r="I779" s="35"/>
      <x:c r="J779" s="35" t="str">
        <x:v>PASS</x:v>
      </x:c>
      <x:c r="K779" s="35" t="str">
        <x:v>FAIL</x:v>
      </x:c>
      <x:c r="L779" s="35" t="str">
        <x:v>NOT_RUN</x:v>
      </x:c>
      <x:c r="M779" s="35" t="str">
        <x:v>coverage unavailable or execution/compile failed</x:v>
      </x:c>
      <x:c r="N779" s="35" t="str">
        <x:v>Deepseek-flash-v4/Result/Math_88/result.json</x:v>
      </x:c>
      <x:c r="O779" s="39" t="str">
        <x:f>IF(AND(G779="RECORDED",ISNUMBER(H779)),H779,"")</x:f>
      </x:c>
      <x:c r="P779" s="35" t="str">
        <x:v>NOT_AVAILABLE</x:v>
      </x:c>
      <x:c r="Q779" s="35" t="str">
        <x:v>Deepseek-flash-v4/Result/Math_88/result.json</x:v>
      </x:c>
    </x:row>
    <x:row r="780">
      <x:c r="A780" s="35" t="str">
        <x:v>deepseek</x:v>
      </x:c>
      <x:c r="B780" s="35" t="str">
        <x:v>Math</x:v>
      </x:c>
      <x:c r="C780" s="35" t="str">
        <x:v>Round1</x:v>
      </x:c>
      <x:c r="D780" s="35" t="str">
        <x:v>Math_89</x:v>
      </x:c>
      <x:c r="E780" s="35" t="str">
        <x:v>Line</x:v>
      </x:c>
      <x:c r="F780" s="35" t="n">
        <x:v>108</x:v>
      </x:c>
      <x:c r="G780" s="35" t="str">
        <x:v>RECORDED</x:v>
      </x:c>
      <x:c r="H780" s="39" t="n">
        <x:f>IF(ISNUMBER('Data'!E780),'Data'!E780*100,"")</x:f>
        <x:v>89.81</x:v>
      </x:c>
      <x:c r="I780" s="35" t="str">
        <x:v>PASS</x:v>
      </x:c>
      <x:c r="J780" s="35" t="str">
        <x:v>PASS</x:v>
      </x:c>
      <x:c r="K780" s="35" t="str">
        <x:v>PASS</x:v>
      </x:c>
      <x:c r="L780" s="35" t="str">
        <x:v>PASS</x:v>
      </x:c>
      <x:c r="M780" s="35" t="str">
        <x:v>numeric coverage for applicable metric</x:v>
      </x:c>
      <x:c r="N780" s="35" t="str">
        <x:v>Deepseek-flash-v4/Result/Math_89/result.json</x:v>
      </x:c>
      <x:c r="O780" s="39" t="n">
        <x:f>IF(AND(G780="RECORDED",ISNUMBER(H780)),H780,"")</x:f>
        <x:v>89.81</x:v>
      </x:c>
      <x:c r="P780" s="35" t="str">
        <x:v>NOT_REVEALING</x:v>
      </x:c>
      <x:c r="Q780" s="35" t="str">
        <x:v>Deepseek-flash-v4/Result/Math_89/result.json</x:v>
      </x:c>
    </x:row>
    <x:row r="781">
      <x:c r="A781" s="35" t="str">
        <x:v>deepseek</x:v>
      </x:c>
      <x:c r="B781" s="35" t="str">
        <x:v>Math</x:v>
      </x:c>
      <x:c r="C781" s="35" t="str">
        <x:v>Round1</x:v>
      </x:c>
      <x:c r="D781" s="35" t="str">
        <x:v>Math_9</x:v>
      </x:c>
      <x:c r="E781" s="35" t="str">
        <x:v>Line</x:v>
      </x:c>
      <x:c r="F781" s="35"/>
      <x:c r="G781" s="35" t="str">
        <x:v>A</x:v>
      </x:c>
      <x:c r="H781" s="39" t="str">
        <x:f>IF(ISNUMBER('Data'!E781),'Data'!E781*100,"")</x:f>
      </x:c>
      <x:c r="I781" s="35"/>
      <x:c r="J781" s="35" t="str">
        <x:v>PASS</x:v>
      </x:c>
      <x:c r="K781" s="35" t="str">
        <x:v>FAIL</x:v>
      </x:c>
      <x:c r="L781" s="35" t="str">
        <x:v>NOT_RUN</x:v>
      </x:c>
      <x:c r="M781" s="35" t="str">
        <x:v>coverage unavailable or execution/compile failed</x:v>
      </x:c>
      <x:c r="N781" s="35" t="str">
        <x:v>Deepseek-flash-v4/Result/Math_9/result.json</x:v>
      </x:c>
      <x:c r="O781" s="39" t="str">
        <x:f>IF(AND(G781="RECORDED",ISNUMBER(H781)),H781,"")</x:f>
      </x:c>
      <x:c r="P781" s="35" t="str">
        <x:v>NOT_AVAILABLE</x:v>
      </x:c>
      <x:c r="Q781" s="35" t="str">
        <x:v>Deepseek-flash-v4/Result/Math_9/result.json</x:v>
      </x:c>
    </x:row>
    <x:row r="782">
      <x:c r="A782" s="35" t="str">
        <x:v>deepseek</x:v>
      </x:c>
      <x:c r="B782" s="35" t="str">
        <x:v>Math</x:v>
      </x:c>
      <x:c r="C782" s="35" t="str">
        <x:v>Round1</x:v>
      </x:c>
      <x:c r="D782" s="35" t="str">
        <x:v>Math_90</x:v>
      </x:c>
      <x:c r="E782" s="35" t="str">
        <x:v>Line</x:v>
      </x:c>
      <x:c r="F782" s="35" t="n">
        <x:v>106</x:v>
      </x:c>
      <x:c r="G782" s="35" t="str">
        <x:v>RECORDED</x:v>
      </x:c>
      <x:c r="H782" s="39" t="n">
        <x:f>IF(ISNUMBER('Data'!E782),'Data'!E782*100,"")</x:f>
        <x:v>82.08</x:v>
      </x:c>
      <x:c r="I782" s="35" t="str">
        <x:v>PASS</x:v>
      </x:c>
      <x:c r="J782" s="35" t="str">
        <x:v>PASS</x:v>
      </x:c>
      <x:c r="K782" s="35" t="str">
        <x:v>PASS</x:v>
      </x:c>
      <x:c r="L782" s="35" t="str">
        <x:v>FAIL</x:v>
      </x:c>
      <x:c r="M782" s="35" t="str">
        <x:v>numeric coverage for applicable metric</x:v>
      </x:c>
      <x:c r="N782" s="35" t="str">
        <x:v>Deepseek-flash-v4/Result/Math_90/result.json</x:v>
      </x:c>
      <x:c r="O782" s="39" t="n">
        <x:f>IF(AND(G782="RECORDED",ISNUMBER(H782)),H782,"")</x:f>
        <x:v>82.08</x:v>
      </x:c>
      <x:c r="P782" s="35" t="str">
        <x:v>INCONCLUSIVE</x:v>
      </x:c>
      <x:c r="Q782" s="35" t="str">
        <x:v>Deepseek-flash-v4/Result/Math_90/result.json</x:v>
      </x:c>
    </x:row>
    <x:row r="783">
      <x:c r="A783" s="35" t="str">
        <x:v>deepseek</x:v>
      </x:c>
      <x:c r="B783" s="35" t="str">
        <x:v>Math</x:v>
      </x:c>
      <x:c r="C783" s="35" t="str">
        <x:v>Round1</x:v>
      </x:c>
      <x:c r="D783" s="35" t="str">
        <x:v>Math_91</x:v>
      </x:c>
      <x:c r="E783" s="35" t="str">
        <x:v>Line</x:v>
      </x:c>
      <x:c r="F783" s="35" t="n">
        <x:v>163</x:v>
      </x:c>
      <x:c r="G783" s="35" t="str">
        <x:v>RECORDED</x:v>
      </x:c>
      <x:c r="H783" s="39" t="n">
        <x:f>IF(ISNUMBER('Data'!E783),'Data'!E783*100,"")</x:f>
        <x:v>96.93</x:v>
      </x:c>
      <x:c r="I783" s="35" t="str">
        <x:v>PASS</x:v>
      </x:c>
      <x:c r="J783" s="35" t="str">
        <x:v>PASS</x:v>
      </x:c>
      <x:c r="K783" s="35" t="str">
        <x:v>PASS</x:v>
      </x:c>
      <x:c r="L783" s="35" t="str">
        <x:v>PASS</x:v>
      </x:c>
      <x:c r="M783" s="35" t="str">
        <x:v>numeric coverage for applicable metric</x:v>
      </x:c>
      <x:c r="N783" s="35" t="str">
        <x:v>Deepseek-flash-v4/Result/Math_91/result.json</x:v>
      </x:c>
      <x:c r="O783" s="39" t="n">
        <x:f>IF(AND(G783="RECORDED",ISNUMBER(H783)),H783,"")</x:f>
        <x:v>96.93</x:v>
      </x:c>
      <x:c r="P783" s="35" t="str">
        <x:v>NOT_REVEALING</x:v>
      </x:c>
      <x:c r="Q783" s="35" t="str">
        <x:v>Deepseek-flash-v4/Result/Math_91/result.json</x:v>
      </x:c>
    </x:row>
    <x:row r="784">
      <x:c r="A784" s="35" t="str">
        <x:v>deepseek</x:v>
      </x:c>
      <x:c r="B784" s="35" t="str">
        <x:v>Math</x:v>
      </x:c>
      <x:c r="C784" s="35" t="str">
        <x:v>Round1</x:v>
      </x:c>
      <x:c r="D784" s="35" t="str">
        <x:v>Math_92</x:v>
      </x:c>
      <x:c r="E784" s="35" t="str">
        <x:v>Line</x:v>
      </x:c>
      <x:c r="F784" s="35" t="n">
        <x:v>231</x:v>
      </x:c>
      <x:c r="G784" s="35" t="str">
        <x:v>RECORDED</x:v>
      </x:c>
      <x:c r="H784" s="39" t="n">
        <x:f>IF(ISNUMBER('Data'!E784),'Data'!E784*100,"")</x:f>
        <x:v>79.65</x:v>
      </x:c>
      <x:c r="I784" s="35" t="str">
        <x:v>PASS</x:v>
      </x:c>
      <x:c r="J784" s="35" t="str">
        <x:v>PASS</x:v>
      </x:c>
      <x:c r="K784" s="35" t="str">
        <x:v>PASS</x:v>
      </x:c>
      <x:c r="L784" s="35" t="str">
        <x:v>FAIL</x:v>
      </x:c>
      <x:c r="M784" s="35" t="str">
        <x:v>numeric coverage for applicable metric</x:v>
      </x:c>
      <x:c r="N784" s="35" t="str">
        <x:v>Deepseek-flash-v4/Result/Math_92/result.json</x:v>
      </x:c>
      <x:c r="O784" s="39" t="n">
        <x:f>IF(AND(G784="RECORDED",ISNUMBER(H784)),H784,"")</x:f>
        <x:v>79.65</x:v>
      </x:c>
      <x:c r="P784" s="35" t="str">
        <x:v>INCONCLUSIVE</x:v>
      </x:c>
      <x:c r="Q784" s="35" t="str">
        <x:v>Deepseek-flash-v4/Result/Math_92/result.json</x:v>
      </x:c>
    </x:row>
    <x:row r="785">
      <x:c r="A785" s="35" t="str">
        <x:v>deepseek</x:v>
      </x:c>
      <x:c r="B785" s="35" t="str">
        <x:v>Math</x:v>
      </x:c>
      <x:c r="C785" s="35" t="str">
        <x:v>Round1</x:v>
      </x:c>
      <x:c r="D785" s="35" t="str">
        <x:v>Math_93</x:v>
      </x:c>
      <x:c r="E785" s="35" t="str">
        <x:v>Line</x:v>
      </x:c>
      <x:c r="F785" s="35" t="n">
        <x:v>226</x:v>
      </x:c>
      <x:c r="G785" s="35" t="str">
        <x:v>RECORDED</x:v>
      </x:c>
      <x:c r="H785" s="39" t="n">
        <x:f>IF(ISNUMBER('Data'!E785),'Data'!E785*100,"")</x:f>
        <x:v>93.36</x:v>
      </x:c>
      <x:c r="I785" s="35" t="str">
        <x:v>PASS</x:v>
      </x:c>
      <x:c r="J785" s="35" t="str">
        <x:v>PASS</x:v>
      </x:c>
      <x:c r="K785" s="35" t="str">
        <x:v>PASS</x:v>
      </x:c>
      <x:c r="L785" s="35" t="str">
        <x:v>PASS</x:v>
      </x:c>
      <x:c r="M785" s="35" t="str">
        <x:v>numeric coverage for applicable metric</x:v>
      </x:c>
      <x:c r="N785" s="35" t="str">
        <x:v>Deepseek-flash-v4/Result/Math_93/result.json</x:v>
      </x:c>
      <x:c r="O785" s="39" t="n">
        <x:f>IF(AND(G785="RECORDED",ISNUMBER(H785)),H785,"")</x:f>
        <x:v>93.36</x:v>
      </x:c>
      <x:c r="P785" s="35" t="str">
        <x:v>NOT_REVEALING</x:v>
      </x:c>
      <x:c r="Q785" s="35" t="str">
        <x:v>Deepseek-flash-v4/Result/Math_93/result.json</x:v>
      </x:c>
    </x:row>
    <x:row r="786">
      <x:c r="A786" s="35" t="str">
        <x:v>deepseek</x:v>
      </x:c>
      <x:c r="B786" s="35" t="str">
        <x:v>Math</x:v>
      </x:c>
      <x:c r="C786" s="35" t="str">
        <x:v>Round1</x:v>
      </x:c>
      <x:c r="D786" s="35" t="str">
        <x:v>Math_94</x:v>
      </x:c>
      <x:c r="E786" s="35" t="str">
        <x:v>Line</x:v>
      </x:c>
      <x:c r="F786" s="35" t="n">
        <x:v>225</x:v>
      </x:c>
      <x:c r="G786" s="35" t="str">
        <x:v>RECORDED</x:v>
      </x:c>
      <x:c r="H786" s="39" t="n">
        <x:f>IF(ISNUMBER('Data'!E786),'Data'!E786*100,"")</x:f>
        <x:v>80</x:v>
      </x:c>
      <x:c r="I786" s="35" t="str">
        <x:v>PASS</x:v>
      </x:c>
      <x:c r="J786" s="35" t="str">
        <x:v>PASS</x:v>
      </x:c>
      <x:c r="K786" s="35" t="str">
        <x:v>PASS</x:v>
      </x:c>
      <x:c r="L786" s="35" t="str">
        <x:v>PASS</x:v>
      </x:c>
      <x:c r="M786" s="35" t="str">
        <x:v>numeric coverage for applicable metric</x:v>
      </x:c>
      <x:c r="N786" s="35" t="str">
        <x:v>Deepseek-flash-v4/Result/Math_94/result.json</x:v>
      </x:c>
      <x:c r="O786" s="39" t="n">
        <x:f>IF(AND(G786="RECORDED",ISNUMBER(H786)),H786,"")</x:f>
        <x:v>80</x:v>
      </x:c>
      <x:c r="P786" s="35" t="str">
        <x:v>NOT_REVEALING</x:v>
      </x:c>
      <x:c r="Q786" s="35" t="str">
        <x:v>Deepseek-flash-v4/Result/Math_94/result.json</x:v>
      </x:c>
    </x:row>
    <x:row r="787">
      <x:c r="A787" s="35" t="str">
        <x:v>deepseek</x:v>
      </x:c>
      <x:c r="B787" s="35" t="str">
        <x:v>Math</x:v>
      </x:c>
      <x:c r="C787" s="35" t="str">
        <x:v>Round1</x:v>
      </x:c>
      <x:c r="D787" s="35" t="str">
        <x:v>Math_95</x:v>
      </x:c>
      <x:c r="E787" s="35" t="str">
        <x:v>Line</x:v>
      </x:c>
      <x:c r="F787" s="35" t="n">
        <x:v>30</x:v>
      </x:c>
      <x:c r="G787" s="35" t="str">
        <x:v>RECORDED</x:v>
      </x:c>
      <x:c r="H787" s="39" t="n">
        <x:f>IF(ISNUMBER('Data'!E787),'Data'!E787*100,"")</x:f>
        <x:v>100</x:v>
      </x:c>
      <x:c r="I787" s="35" t="str">
        <x:v>PASS</x:v>
      </x:c>
      <x:c r="J787" s="35" t="str">
        <x:v>PASS</x:v>
      </x:c>
      <x:c r="K787" s="35" t="str">
        <x:v>PASS</x:v>
      </x:c>
      <x:c r="L787" s="35" t="str">
        <x:v>PASS</x:v>
      </x:c>
      <x:c r="M787" s="35" t="str">
        <x:v>numeric coverage for applicable metric</x:v>
      </x:c>
      <x:c r="N787" s="35" t="str">
        <x:v>Deepseek-flash-v4/Result/Math_95/result.json</x:v>
      </x:c>
      <x:c r="O787" s="39" t="n">
        <x:f>IF(AND(G787="RECORDED",ISNUMBER(H787)),H787,"")</x:f>
        <x:v>100</x:v>
      </x:c>
      <x:c r="P787" s="35" t="str">
        <x:v>NOT_REVEALING</x:v>
      </x:c>
      <x:c r="Q787" s="35" t="str">
        <x:v>Deepseek-flash-v4/Result/Math_95/result.json</x:v>
      </x:c>
    </x:row>
    <x:row r="788">
      <x:c r="A788" s="35" t="str">
        <x:v>deepseek</x:v>
      </x:c>
      <x:c r="B788" s="35" t="str">
        <x:v>Math</x:v>
      </x:c>
      <x:c r="C788" s="35" t="str">
        <x:v>Round1</x:v>
      </x:c>
      <x:c r="D788" s="35" t="str">
        <x:v>Math_96</x:v>
      </x:c>
      <x:c r="E788" s="35" t="str">
        <x:v>Line</x:v>
      </x:c>
      <x:c r="F788" s="35" t="n">
        <x:v>142</x:v>
      </x:c>
      <x:c r="G788" s="35" t="str">
        <x:v>RECORDED</x:v>
      </x:c>
      <x:c r="H788" s="39" t="n">
        <x:f>IF(ISNUMBER('Data'!E788),'Data'!E788*100,"")</x:f>
        <x:v>97.89</x:v>
      </x:c>
      <x:c r="I788" s="35" t="str">
        <x:v>PASS</x:v>
      </x:c>
      <x:c r="J788" s="35" t="str">
        <x:v>PASS</x:v>
      </x:c>
      <x:c r="K788" s="35" t="str">
        <x:v>PASS</x:v>
      </x:c>
      <x:c r="L788" s="35" t="str">
        <x:v>PASS</x:v>
      </x:c>
      <x:c r="M788" s="35" t="str">
        <x:v>numeric coverage for applicable metric</x:v>
      </x:c>
      <x:c r="N788" s="35" t="str">
        <x:v>Deepseek-flash-v4/Result/Math_96/result.json</x:v>
      </x:c>
      <x:c r="O788" s="39" t="n">
        <x:f>IF(AND(G788="RECORDED",ISNUMBER(H788)),H788,"")</x:f>
        <x:v>97.89</x:v>
      </x:c>
      <x:c r="P788" s="35" t="str">
        <x:v>INCONCLUSIVE</x:v>
      </x:c>
      <x:c r="Q788" s="35" t="str">
        <x:v>Deepseek-flash-v4/Result/Math_96/result.json</x:v>
      </x:c>
    </x:row>
    <x:row r="789">
      <x:c r="A789" s="35" t="str">
        <x:v>deepseek</x:v>
      </x:c>
      <x:c r="B789" s="35" t="str">
        <x:v>Math</x:v>
      </x:c>
      <x:c r="C789" s="35" t="str">
        <x:v>Round1</x:v>
      </x:c>
      <x:c r="D789" s="35" t="str">
        <x:v>Math_97</x:v>
      </x:c>
      <x:c r="E789" s="35" t="str">
        <x:v>Line</x:v>
      </x:c>
      <x:c r="F789" s="35" t="n">
        <x:v>89</x:v>
      </x:c>
      <x:c r="G789" s="35" t="str">
        <x:v>RECORDED</x:v>
      </x:c>
      <x:c r="H789" s="39" t="n">
        <x:f>IF(ISNUMBER('Data'!E789),'Data'!E789*100,"")</x:f>
        <x:v>97.75</x:v>
      </x:c>
      <x:c r="I789" s="35" t="str">
        <x:v>PASS</x:v>
      </x:c>
      <x:c r="J789" s="35" t="str">
        <x:v>PASS</x:v>
      </x:c>
      <x:c r="K789" s="35" t="str">
        <x:v>PASS</x:v>
      </x:c>
      <x:c r="L789" s="35" t="str">
        <x:v>PASS</x:v>
      </x:c>
      <x:c r="M789" s="35" t="str">
        <x:v>numeric coverage for applicable metric</x:v>
      </x:c>
      <x:c r="N789" s="35" t="str">
        <x:v>Deepseek-flash-v4/Result/Math_97/result.json</x:v>
      </x:c>
      <x:c r="O789" s="39" t="n">
        <x:f>IF(AND(G789="RECORDED",ISNUMBER(H789)),H789,"")</x:f>
        <x:v>97.75</x:v>
      </x:c>
      <x:c r="P789" s="35" t="str">
        <x:v>NOT_REVEALING</x:v>
      </x:c>
      <x:c r="Q789" s="35" t="str">
        <x:v>Deepseek-flash-v4/Result/Math_97/result.json</x:v>
      </x:c>
    </x:row>
    <x:row r="790">
      <x:c r="A790" s="35" t="str">
        <x:v>deepseek</x:v>
      </x:c>
      <x:c r="B790" s="35" t="str">
        <x:v>Math</x:v>
      </x:c>
      <x:c r="C790" s="35" t="str">
        <x:v>Round1</x:v>
      </x:c>
      <x:c r="D790" s="35" t="str">
        <x:v>Math_98</x:v>
      </x:c>
      <x:c r="E790" s="35" t="str">
        <x:v>Line</x:v>
      </x:c>
      <x:c r="F790" s="35" t="n">
        <x:v>918</x:v>
      </x:c>
      <x:c r="G790" s="35" t="str">
        <x:v>RECORDED</x:v>
      </x:c>
      <x:c r="H790" s="39" t="n">
        <x:f>IF(ISNUMBER('Data'!E790),'Data'!E790*100,"")</x:f>
        <x:v>84.2</x:v>
      </x:c>
      <x:c r="I790" s="35" t="str">
        <x:v>PASS</x:v>
      </x:c>
      <x:c r="J790" s="35" t="str">
        <x:v>PASS</x:v>
      </x:c>
      <x:c r="K790" s="35" t="str">
        <x:v>PASS</x:v>
      </x:c>
      <x:c r="L790" s="35" t="str">
        <x:v>FAIL</x:v>
      </x:c>
      <x:c r="M790" s="35" t="str">
        <x:v>numeric coverage for applicable metric</x:v>
      </x:c>
      <x:c r="N790" s="35" t="str">
        <x:v>Deepseek-flash-v4/Result/Math_98/result.json</x:v>
      </x:c>
      <x:c r="O790" s="39" t="n">
        <x:f>IF(AND(G790="RECORDED",ISNUMBER(H790)),H790,"")</x:f>
        <x:v>84.2</x:v>
      </x:c>
      <x:c r="P790" s="35" t="str">
        <x:v>INCONCLUSIVE</x:v>
      </x:c>
      <x:c r="Q790" s="35" t="str">
        <x:v>Deepseek-flash-v4/Result/Math_98/result.json</x:v>
      </x:c>
    </x:row>
    <x:row r="791">
      <x:c r="A791" s="35" t="str">
        <x:v>deepseek</x:v>
      </x:c>
      <x:c r="B791" s="35" t="str">
        <x:v>Math</x:v>
      </x:c>
      <x:c r="C791" s="35" t="str">
        <x:v>Round1</x:v>
      </x:c>
      <x:c r="D791" s="35" t="str">
        <x:v>Math_99</x:v>
      </x:c>
      <x:c r="E791" s="35" t="str">
        <x:v>Line</x:v>
      </x:c>
      <x:c r="F791" s="35" t="n">
        <x:v>269</x:v>
      </x:c>
      <x:c r="G791" s="35" t="str">
        <x:v>RECORDED</x:v>
      </x:c>
      <x:c r="H791" s="39" t="n">
        <x:f>IF(ISNUMBER('Data'!E791),'Data'!E791*100,"")</x:f>
        <x:v>92.57</x:v>
      </x:c>
      <x:c r="I791" s="35" t="str">
        <x:v>PASS</x:v>
      </x:c>
      <x:c r="J791" s="35" t="str">
        <x:v>PASS</x:v>
      </x:c>
      <x:c r="K791" s="35" t="str">
        <x:v>PASS</x:v>
      </x:c>
      <x:c r="L791" s="35" t="str">
        <x:v>PASS</x:v>
      </x:c>
      <x:c r="M791" s="35" t="str">
        <x:v>numeric coverage for applicable metric</x:v>
      </x:c>
      <x:c r="N791" s="35" t="str">
        <x:v>Deepseek-flash-v4/Result/Math_99/result.json</x:v>
      </x:c>
      <x:c r="O791" s="39" t="n">
        <x:f>IF(AND(G791="RECORDED",ISNUMBER(H791)),H791,"")</x:f>
        <x:v>92.57</x:v>
      </x:c>
      <x:c r="P791" s="35" t="str">
        <x:v>NOT_REVEALING</x:v>
      </x:c>
      <x:c r="Q791" s="35" t="str">
        <x:v>Deepseek-flash-v4/Result/Math_99/result.json</x:v>
      </x:c>
    </x:row>
    <x:row r="792">
      <x:c r="A792" s="35" t="str">
        <x:v>deepseek</x:v>
      </x:c>
      <x:c r="B792" s="35" t="str">
        <x:v>Mockito</x:v>
      </x:c>
      <x:c r="C792" s="35" t="str">
        <x:v>Round1</x:v>
      </x:c>
      <x:c r="D792" s="35" t="str">
        <x:v>Mockito_1</x:v>
      </x:c>
      <x:c r="E792" s="35" t="str">
        <x:v>Line</x:v>
      </x:c>
      <x:c r="F792" s="35"/>
      <x:c r="G792" s="35" t="str">
        <x:v>A</x:v>
      </x:c>
      <x:c r="H792" s="39" t="str">
        <x:f>IF(ISNUMBER('Data'!E792),'Data'!E792*100,"")</x:f>
      </x:c>
      <x:c r="I792" s="35"/>
      <x:c r="J792" s="35" t="str">
        <x:v>PASS</x:v>
      </x:c>
      <x:c r="K792" s="35" t="str">
        <x:v>FAIL</x:v>
      </x:c>
      <x:c r="L792" s="35" t="str">
        <x:v>NOT_RUN</x:v>
      </x:c>
      <x:c r="M792" s="35" t="str">
        <x:v>coverage unavailable or execution/compile failed</x:v>
      </x:c>
      <x:c r="N792" s="35" t="str">
        <x:v>Deepseek-flash-v4/Result/Mockito_1/result.json</x:v>
      </x:c>
      <x:c r="O792" s="39" t="str">
        <x:f>IF(AND(G792="RECORDED",ISNUMBER(H792)),H792,"")</x:f>
      </x:c>
      <x:c r="P792" s="35" t="str">
        <x:v>NOT_AVAILABLE</x:v>
      </x:c>
      <x:c r="Q792" s="35" t="str">
        <x:v>Deepseek-flash-v4/Result/Mockito_1/result.json</x:v>
      </x:c>
    </x:row>
    <x:row r="793">
      <x:c r="A793" s="35" t="str">
        <x:v>deepseek</x:v>
      </x:c>
      <x:c r="B793" s="35" t="str">
        <x:v>Mockito</x:v>
      </x:c>
      <x:c r="C793" s="35" t="str">
        <x:v>Round1</x:v>
      </x:c>
      <x:c r="D793" s="35" t="str">
        <x:v>Mockito_10</x:v>
      </x:c>
      <x:c r="E793" s="35" t="str">
        <x:v>Line</x:v>
      </x:c>
      <x:c r="F793" s="35"/>
      <x:c r="G793" s="35" t="str">
        <x:v>A</x:v>
      </x:c>
      <x:c r="H793" s="39" t="str">
        <x:f>IF(ISNUMBER('Data'!E793),'Data'!E793*100,"")</x:f>
      </x:c>
      <x:c r="I793" s="35"/>
      <x:c r="J793" s="35" t="str">
        <x:v>PASS</x:v>
      </x:c>
      <x:c r="K793" s="35" t="str">
        <x:v>FAIL</x:v>
      </x:c>
      <x:c r="L793" s="35" t="str">
        <x:v>NOT_RUN</x:v>
      </x:c>
      <x:c r="M793" s="35" t="str">
        <x:v>coverage unavailable or execution/compile failed</x:v>
      </x:c>
      <x:c r="N793" s="35" t="str">
        <x:v>Deepseek-flash-v4/Result/Mockito_10/result.json</x:v>
      </x:c>
      <x:c r="O793" s="39" t="str">
        <x:f>IF(AND(G793="RECORDED",ISNUMBER(H793)),H793,"")</x:f>
      </x:c>
      <x:c r="P793" s="35" t="str">
        <x:v>NOT_AVAILABLE</x:v>
      </x:c>
      <x:c r="Q793" s="35" t="str">
        <x:v>Deepseek-flash-v4/Result/Mockito_10/result.json</x:v>
      </x:c>
    </x:row>
    <x:row r="794">
      <x:c r="A794" s="35" t="str">
        <x:v>deepseek</x:v>
      </x:c>
      <x:c r="B794" s="35" t="str">
        <x:v>Mockito</x:v>
      </x:c>
      <x:c r="C794" s="35" t="str">
        <x:v>Round1</x:v>
      </x:c>
      <x:c r="D794" s="35" t="str">
        <x:v>Mockito_11</x:v>
      </x:c>
      <x:c r="E794" s="35" t="str">
        <x:v>Line</x:v>
      </x:c>
      <x:c r="F794" s="35" t="n">
        <x:v>14</x:v>
      </x:c>
      <x:c r="G794" s="35" t="str">
        <x:v>RECORDED</x:v>
      </x:c>
      <x:c r="H794" s="39" t="n">
        <x:f>IF(ISNUMBER('Data'!E794),'Data'!E794*100,"")</x:f>
        <x:v>100</x:v>
      </x:c>
      <x:c r="I794" s="35" t="str">
        <x:v>PASS</x:v>
      </x:c>
      <x:c r="J794" s="35" t="str">
        <x:v>PASS</x:v>
      </x:c>
      <x:c r="K794" s="35" t="str">
        <x:v>PASS</x:v>
      </x:c>
      <x:c r="L794" s="35" t="str">
        <x:v>FAIL</x:v>
      </x:c>
      <x:c r="M794" s="35" t="str">
        <x:v>numeric coverage for applicable metric</x:v>
      </x:c>
      <x:c r="N794" s="35" t="str">
        <x:v>Deepseek-flash-v4/Result/Mockito_11/result.json</x:v>
      </x:c>
      <x:c r="O794" s="39" t="n">
        <x:f>IF(AND(G794="RECORDED",ISNUMBER(H794)),H794,"")</x:f>
        <x:v>100</x:v>
      </x:c>
      <x:c r="P794" s="35" t="str">
        <x:v>INCONCLUSIVE</x:v>
      </x:c>
      <x:c r="Q794" s="35" t="str">
        <x:v>Deepseek-flash-v4/Result/Mockito_11/result.json</x:v>
      </x:c>
    </x:row>
    <x:row r="795">
      <x:c r="A795" s="35" t="str">
        <x:v>deepseek</x:v>
      </x:c>
      <x:c r="B795" s="35" t="str">
        <x:v>Mockito</x:v>
      </x:c>
      <x:c r="C795" s="35" t="str">
        <x:v>Round1</x:v>
      </x:c>
      <x:c r="D795" s="35" t="str">
        <x:v>Mockito_12</x:v>
      </x:c>
      <x:c r="E795" s="35" t="str">
        <x:v>Line</x:v>
      </x:c>
      <x:c r="F795" s="35" t="n">
        <x:v>6</x:v>
      </x:c>
      <x:c r="G795" s="35" t="str">
        <x:v>RECORDED</x:v>
      </x:c>
      <x:c r="H795" s="39" t="n">
        <x:f>IF(ISNUMBER('Data'!E795),'Data'!E795*100,"")</x:f>
        <x:v>100</x:v>
      </x:c>
      <x:c r="I795" s="35" t="str">
        <x:v>PASS</x:v>
      </x:c>
      <x:c r="J795" s="35" t="str">
        <x:v>PASS</x:v>
      </x:c>
      <x:c r="K795" s="35" t="str">
        <x:v>PASS</x:v>
      </x:c>
      <x:c r="L795" s="35" t="str">
        <x:v>FAIL</x:v>
      </x:c>
      <x:c r="M795" s="35" t="str">
        <x:v>numeric coverage for applicable metric</x:v>
      </x:c>
      <x:c r="N795" s="35" t="str">
        <x:v>Deepseek-flash-v4/Result/Mockito_12/result.json</x:v>
      </x:c>
      <x:c r="O795" s="39" t="n">
        <x:f>IF(AND(G795="RECORDED",ISNUMBER(H795)),H795,"")</x:f>
        <x:v>100</x:v>
      </x:c>
      <x:c r="P795" s="35" t="str">
        <x:v>INCONCLUSIVE</x:v>
      </x:c>
      <x:c r="Q795" s="35" t="str">
        <x:v>Deepseek-flash-v4/Result/Mockito_12/result.json</x:v>
      </x:c>
    </x:row>
    <x:row r="796">
      <x:c r="A796" s="35" t="str">
        <x:v>deepseek</x:v>
      </x:c>
      <x:c r="B796" s="35" t="str">
        <x:v>Mockito</x:v>
      </x:c>
      <x:c r="C796" s="35" t="str">
        <x:v>Round1</x:v>
      </x:c>
      <x:c r="D796" s="35" t="str">
        <x:v>Mockito_13</x:v>
      </x:c>
      <x:c r="E796" s="35" t="str">
        <x:v>Line</x:v>
      </x:c>
      <x:c r="F796" s="35"/>
      <x:c r="G796" s="35" t="str">
        <x:v>A</x:v>
      </x:c>
      <x:c r="H796" s="39" t="str">
        <x:f>IF(ISNUMBER('Data'!E796),'Data'!E796*100,"")</x:f>
      </x:c>
      <x:c r="I796" s="35"/>
      <x:c r="J796" s="35" t="str">
        <x:v>PASS</x:v>
      </x:c>
      <x:c r="K796" s="35" t="str">
        <x:v>FAIL</x:v>
      </x:c>
      <x:c r="L796" s="35" t="str">
        <x:v>NOT_RUN</x:v>
      </x:c>
      <x:c r="M796" s="35" t="str">
        <x:v>coverage unavailable or execution/compile failed</x:v>
      </x:c>
      <x:c r="N796" s="35" t="str">
        <x:v>Deepseek-flash-v4/Result/Mockito_13/result.json</x:v>
      </x:c>
      <x:c r="O796" s="39" t="str">
        <x:f>IF(AND(G796="RECORDED",ISNUMBER(H796)),H796,"")</x:f>
      </x:c>
      <x:c r="P796" s="35" t="str">
        <x:v>NOT_AVAILABLE</x:v>
      </x:c>
      <x:c r="Q796" s="35" t="str">
        <x:v>Deepseek-flash-v4/Result/Mockito_13/result.json</x:v>
      </x:c>
    </x:row>
    <x:row r="797">
      <x:c r="A797" s="35" t="str">
        <x:v>deepseek</x:v>
      </x:c>
      <x:c r="B797" s="35" t="str">
        <x:v>Mockito</x:v>
      </x:c>
      <x:c r="C797" s="35" t="str">
        <x:v>Round1</x:v>
      </x:c>
      <x:c r="D797" s="35" t="str">
        <x:v>Mockito_14</x:v>
      </x:c>
      <x:c r="E797" s="35" t="str">
        <x:v>Line</x:v>
      </x:c>
      <x:c r="F797" s="35"/>
      <x:c r="G797" s="35" t="str">
        <x:v>A</x:v>
      </x:c>
      <x:c r="H797" s="39" t="str">
        <x:f>IF(ISNUMBER('Data'!E797),'Data'!E797*100,"")</x:f>
      </x:c>
      <x:c r="I797" s="35"/>
      <x:c r="J797" s="35" t="str">
        <x:v>PASS</x:v>
      </x:c>
      <x:c r="K797" s="35" t="str">
        <x:v>FAIL</x:v>
      </x:c>
      <x:c r="L797" s="35" t="str">
        <x:v>NOT_RUN</x:v>
      </x:c>
      <x:c r="M797" s="35" t="str">
        <x:v>coverage unavailable or execution/compile failed</x:v>
      </x:c>
      <x:c r="N797" s="35" t="str">
        <x:v>Deepseek-flash-v4/Result/Mockito_14/result.json</x:v>
      </x:c>
      <x:c r="O797" s="39" t="str">
        <x:f>IF(AND(G797="RECORDED",ISNUMBER(H797)),H797,"")</x:f>
      </x:c>
      <x:c r="P797" s="35" t="str">
        <x:v>NOT_AVAILABLE</x:v>
      </x:c>
      <x:c r="Q797" s="35" t="str">
        <x:v>Deepseek-flash-v4/Result/Mockito_14/result.json</x:v>
      </x:c>
    </x:row>
    <x:row r="798">
      <x:c r="A798" s="35" t="str">
        <x:v>deepseek</x:v>
      </x:c>
      <x:c r="B798" s="35" t="str">
        <x:v>Mockito</x:v>
      </x:c>
      <x:c r="C798" s="35" t="str">
        <x:v>Round1</x:v>
      </x:c>
      <x:c r="D798" s="35" t="str">
        <x:v>Mockito_15</x:v>
      </x:c>
      <x:c r="E798" s="35" t="str">
        <x:v>Line</x:v>
      </x:c>
      <x:c r="F798" s="35" t="n">
        <x:v>13</x:v>
      </x:c>
      <x:c r="G798" s="35" t="str">
        <x:v>RECORDED</x:v>
      </x:c>
      <x:c r="H798" s="39" t="n">
        <x:f>IF(ISNUMBER('Data'!E798),'Data'!E798*100,"")</x:f>
        <x:v>100</x:v>
      </x:c>
      <x:c r="I798" s="35" t="str">
        <x:v>PASS</x:v>
      </x:c>
      <x:c r="J798" s="35" t="str">
        <x:v>PASS</x:v>
      </x:c>
      <x:c r="K798" s="35" t="str">
        <x:v>PASS</x:v>
      </x:c>
      <x:c r="L798" s="35" t="str">
        <x:v>PASS</x:v>
      </x:c>
      <x:c r="M798" s="35" t="str">
        <x:v>numeric coverage for applicable metric</x:v>
      </x:c>
      <x:c r="N798" s="35" t="str">
        <x:v>Deepseek-flash-v4/Result/Mockito_15/result.json</x:v>
      </x:c>
      <x:c r="O798" s="39" t="n">
        <x:f>IF(AND(G798="RECORDED",ISNUMBER(H798)),H798,"")</x:f>
        <x:v>100</x:v>
      </x:c>
      <x:c r="P798" s="35" t="str">
        <x:v>NOT_REVEALING</x:v>
      </x:c>
      <x:c r="Q798" s="35" t="str">
        <x:v>Deepseek-flash-v4/Result/Mockito_15/result.json</x:v>
      </x:c>
    </x:row>
    <x:row r="799">
      <x:c r="A799" s="35" t="str">
        <x:v>deepseek</x:v>
      </x:c>
      <x:c r="B799" s="35" t="str">
        <x:v>Mockito</x:v>
      </x:c>
      <x:c r="C799" s="35" t="str">
        <x:v>Round1</x:v>
      </x:c>
      <x:c r="D799" s="35" t="str">
        <x:v>Mockito_16</x:v>
      </x:c>
      <x:c r="E799" s="35" t="str">
        <x:v>Line</x:v>
      </x:c>
      <x:c r="F799" s="35"/>
      <x:c r="G799" s="35" t="str">
        <x:v>A</x:v>
      </x:c>
      <x:c r="H799" s="39" t="str">
        <x:f>IF(ISNUMBER('Data'!E799),'Data'!E799*100,"")</x:f>
      </x:c>
      <x:c r="I799" s="35"/>
      <x:c r="J799" s="35" t="str">
        <x:v>PASS</x:v>
      </x:c>
      <x:c r="K799" s="35" t="str">
        <x:v>FAIL</x:v>
      </x:c>
      <x:c r="L799" s="35" t="str">
        <x:v>NOT_RUN</x:v>
      </x:c>
      <x:c r="M799" s="35" t="str">
        <x:v>coverage unavailable or execution/compile failed</x:v>
      </x:c>
      <x:c r="N799" s="35" t="str">
        <x:v>Deepseek-flash-v4/Result/Mockito_16/result.json</x:v>
      </x:c>
      <x:c r="O799" s="39" t="str">
        <x:f>IF(AND(G799="RECORDED",ISNUMBER(H799)),H799,"")</x:f>
      </x:c>
      <x:c r="P799" s="35" t="str">
        <x:v>NOT_AVAILABLE</x:v>
      </x:c>
      <x:c r="Q799" s="35" t="str">
        <x:v>Deepseek-flash-v4/Result/Mockito_16/result.json</x:v>
      </x:c>
    </x:row>
    <x:row r="800">
      <x:c r="A800" s="35" t="str">
        <x:v>deepseek</x:v>
      </x:c>
      <x:c r="B800" s="35" t="str">
        <x:v>Mockito</x:v>
      </x:c>
      <x:c r="C800" s="35" t="str">
        <x:v>Round1</x:v>
      </x:c>
      <x:c r="D800" s="35" t="str">
        <x:v>Mockito_17</x:v>
      </x:c>
      <x:c r="E800" s="35" t="str">
        <x:v>Line</x:v>
      </x:c>
      <x:c r="F800" s="35"/>
      <x:c r="G800" s="35" t="str">
        <x:v>A</x:v>
      </x:c>
      <x:c r="H800" s="39" t="str">
        <x:f>IF(ISNUMBER('Data'!E800),'Data'!E800*100,"")</x:f>
      </x:c>
      <x:c r="I800" s="35"/>
      <x:c r="J800" s="35" t="str">
        <x:v>PASS</x:v>
      </x:c>
      <x:c r="K800" s="35" t="str">
        <x:v>FAIL</x:v>
      </x:c>
      <x:c r="L800" s="35" t="str">
        <x:v>NOT_RUN</x:v>
      </x:c>
      <x:c r="M800" s="35" t="str">
        <x:v>coverage unavailable or execution/compile failed</x:v>
      </x:c>
      <x:c r="N800" s="35" t="str">
        <x:v>Deepseek-flash-v4/Result/Mockito_17/result.json</x:v>
      </x:c>
      <x:c r="O800" s="39" t="str">
        <x:f>IF(AND(G800="RECORDED",ISNUMBER(H800)),H800,"")</x:f>
      </x:c>
      <x:c r="P800" s="35" t="str">
        <x:v>NOT_AVAILABLE</x:v>
      </x:c>
      <x:c r="Q800" s="35" t="str">
        <x:v>Deepseek-flash-v4/Result/Mockito_17/result.json</x:v>
      </x:c>
    </x:row>
    <x:row r="801">
      <x:c r="A801" s="35" t="str">
        <x:v>deepseek</x:v>
      </x:c>
      <x:c r="B801" s="35" t="str">
        <x:v>Mockito</x:v>
      </x:c>
      <x:c r="C801" s="35" t="str">
        <x:v>Round1</x:v>
      </x:c>
      <x:c r="D801" s="35" t="str">
        <x:v>Mockito_18</x:v>
      </x:c>
      <x:c r="E801" s="35" t="str">
        <x:v>Line</x:v>
      </x:c>
      <x:c r="F801" s="35"/>
      <x:c r="G801" s="35" t="str">
        <x:v>A</x:v>
      </x:c>
      <x:c r="H801" s="39" t="str">
        <x:f>IF(ISNUMBER('Data'!E801),'Data'!E801*100,"")</x:f>
      </x:c>
      <x:c r="I801" s="35"/>
      <x:c r="J801" s="35" t="str">
        <x:v>PASS</x:v>
      </x:c>
      <x:c r="K801" s="35" t="str">
        <x:v>FAIL</x:v>
      </x:c>
      <x:c r="L801" s="35" t="str">
        <x:v>NOT_RUN</x:v>
      </x:c>
      <x:c r="M801" s="35" t="str">
        <x:v>coverage unavailable or execution/compile failed</x:v>
      </x:c>
      <x:c r="N801" s="35" t="str">
        <x:v>Deepseek-flash-v4/Result/Mockito_18/result.json</x:v>
      </x:c>
      <x:c r="O801" s="39" t="str">
        <x:f>IF(AND(G801="RECORDED",ISNUMBER(H801)),H801,"")</x:f>
      </x:c>
      <x:c r="P801" s="35" t="str">
        <x:v>NOT_AVAILABLE</x:v>
      </x:c>
      <x:c r="Q801" s="35" t="str">
        <x:v>Deepseek-flash-v4/Result/Mockito_18/result.json</x:v>
      </x:c>
    </x:row>
    <x:row r="802">
      <x:c r="A802" s="35" t="str">
        <x:v>deepseek</x:v>
      </x:c>
      <x:c r="B802" s="35" t="str">
        <x:v>Mockito</x:v>
      </x:c>
      <x:c r="C802" s="35" t="str">
        <x:v>Round1</x:v>
      </x:c>
      <x:c r="D802" s="35" t="str">
        <x:v>Mockito_19</x:v>
      </x:c>
      <x:c r="E802" s="35" t="str">
        <x:v>Line</x:v>
      </x:c>
      <x:c r="F802" s="35"/>
      <x:c r="G802" s="35" t="str">
        <x:v>A</x:v>
      </x:c>
      <x:c r="H802" s="39" t="str">
        <x:f>IF(ISNUMBER('Data'!E802),'Data'!E802*100,"")</x:f>
      </x:c>
      <x:c r="I802" s="35"/>
      <x:c r="J802" s="35" t="str">
        <x:v>PASS</x:v>
      </x:c>
      <x:c r="K802" s="35" t="str">
        <x:v>FAIL</x:v>
      </x:c>
      <x:c r="L802" s="35" t="str">
        <x:v>NOT_RUN</x:v>
      </x:c>
      <x:c r="M802" s="35" t="str">
        <x:v>coverage unavailable or execution/compile failed</x:v>
      </x:c>
      <x:c r="N802" s="35" t="str">
        <x:v>Deepseek-flash-v4/Result/Mockito_19/result.json</x:v>
      </x:c>
      <x:c r="O802" s="39" t="str">
        <x:f>IF(AND(G802="RECORDED",ISNUMBER(H802)),H802,"")</x:f>
      </x:c>
      <x:c r="P802" s="35" t="str">
        <x:v>NOT_AVAILABLE</x:v>
      </x:c>
      <x:c r="Q802" s="35" t="str">
        <x:v>Deepseek-flash-v4/Result/Mockito_19/result.json</x:v>
      </x:c>
    </x:row>
    <x:row r="803">
      <x:c r="A803" s="35" t="str">
        <x:v>deepseek</x:v>
      </x:c>
      <x:c r="B803" s="35" t="str">
        <x:v>Mockito</x:v>
      </x:c>
      <x:c r="C803" s="35" t="str">
        <x:v>Round1</x:v>
      </x:c>
      <x:c r="D803" s="35" t="str">
        <x:v>Mockito_2</x:v>
      </x:c>
      <x:c r="E803" s="35" t="str">
        <x:v>Line</x:v>
      </x:c>
      <x:c r="F803" s="35" t="n">
        <x:v>9</x:v>
      </x:c>
      <x:c r="G803" s="35" t="str">
        <x:v>RECORDED</x:v>
      </x:c>
      <x:c r="H803" s="39" t="n">
        <x:f>IF(ISNUMBER('Data'!E803),'Data'!E803*100,"")</x:f>
        <x:v>100</x:v>
      </x:c>
      <x:c r="I803" s="35" t="str">
        <x:v>PASS</x:v>
      </x:c>
      <x:c r="J803" s="35" t="str">
        <x:v>PASS</x:v>
      </x:c>
      <x:c r="K803" s="35" t="str">
        <x:v>PASS</x:v>
      </x:c>
      <x:c r="L803" s="35" t="str">
        <x:v>FAIL</x:v>
      </x:c>
      <x:c r="M803" s="35" t="str">
        <x:v>numeric coverage for applicable metric</x:v>
      </x:c>
      <x:c r="N803" s="35" t="str">
        <x:v>Deepseek-flash-v4/Result/Mockito_2/result.json</x:v>
      </x:c>
      <x:c r="O803" s="39" t="n">
        <x:f>IF(AND(G803="RECORDED",ISNUMBER(H803)),H803,"")</x:f>
        <x:v>100</x:v>
      </x:c>
      <x:c r="P803" s="35" t="str">
        <x:v>INCONCLUSIVE</x:v>
      </x:c>
      <x:c r="Q803" s="35" t="str">
        <x:v>Deepseek-flash-v4/Result/Mockito_2/result.json</x:v>
      </x:c>
    </x:row>
    <x:row r="804">
      <x:c r="A804" s="35" t="str">
        <x:v>deepseek</x:v>
      </x:c>
      <x:c r="B804" s="35" t="str">
        <x:v>Mockito</x:v>
      </x:c>
      <x:c r="C804" s="35" t="str">
        <x:v>Round1</x:v>
      </x:c>
      <x:c r="D804" s="35" t="str">
        <x:v>Mockito_20</x:v>
      </x:c>
      <x:c r="E804" s="35" t="str">
        <x:v>Line</x:v>
      </x:c>
      <x:c r="F804" s="35"/>
      <x:c r="G804" s="35" t="str">
        <x:v>A</x:v>
      </x:c>
      <x:c r="H804" s="39" t="str">
        <x:f>IF(ISNUMBER('Data'!E804),'Data'!E804*100,"")</x:f>
      </x:c>
      <x:c r="I804" s="35"/>
      <x:c r="J804" s="35" t="str">
        <x:v>PASS</x:v>
      </x:c>
      <x:c r="K804" s="35" t="str">
        <x:v>FAIL</x:v>
      </x:c>
      <x:c r="L804" s="35" t="str">
        <x:v>NOT_RUN</x:v>
      </x:c>
      <x:c r="M804" s="35" t="str">
        <x:v>coverage unavailable or execution/compile failed</x:v>
      </x:c>
      <x:c r="N804" s="35" t="str">
        <x:v>Deepseek-flash-v4/Result/Mockito_20/result.json</x:v>
      </x:c>
      <x:c r="O804" s="39" t="str">
        <x:f>IF(AND(G804="RECORDED",ISNUMBER(H804)),H804,"")</x:f>
      </x:c>
      <x:c r="P804" s="35" t="str">
        <x:v>NOT_AVAILABLE</x:v>
      </x:c>
      <x:c r="Q804" s="35" t="str">
        <x:v>Deepseek-flash-v4/Result/Mockito_20/result.json</x:v>
      </x:c>
    </x:row>
    <x:row r="805">
      <x:c r="A805" s="35" t="str">
        <x:v>deepseek</x:v>
      </x:c>
      <x:c r="B805" s="35" t="str">
        <x:v>Mockito</x:v>
      </x:c>
      <x:c r="C805" s="35" t="str">
        <x:v>Round1</x:v>
      </x:c>
      <x:c r="D805" s="35" t="str">
        <x:v>Mockito_21</x:v>
      </x:c>
      <x:c r="E805" s="35" t="str">
        <x:v>Line</x:v>
      </x:c>
      <x:c r="F805" s="35" t="n">
        <x:v>16</x:v>
      </x:c>
      <x:c r="G805" s="35" t="str">
        <x:v>RECORDED</x:v>
      </x:c>
      <x:c r="H805" s="39" t="n">
        <x:f>IF(ISNUMBER('Data'!E805),'Data'!E805*100,"")</x:f>
        <x:v>100</x:v>
      </x:c>
      <x:c r="I805" s="35" t="str">
        <x:v>PASS</x:v>
      </x:c>
      <x:c r="J805" s="35" t="str">
        <x:v>PASS</x:v>
      </x:c>
      <x:c r="K805" s="35" t="str">
        <x:v>PASS</x:v>
      </x:c>
      <x:c r="L805" s="35" t="str">
        <x:v>FAIL</x:v>
      </x:c>
      <x:c r="M805" s="35" t="str">
        <x:v>numeric coverage for applicable metric</x:v>
      </x:c>
      <x:c r="N805" s="35" t="str">
        <x:v>Deepseek-flash-v4/Result/Mockito_21/result.json</x:v>
      </x:c>
      <x:c r="O805" s="39" t="n">
        <x:f>IF(AND(G805="RECORDED",ISNUMBER(H805)),H805,"")</x:f>
        <x:v>100</x:v>
      </x:c>
      <x:c r="P805" s="35" t="str">
        <x:v>INCONCLUSIVE</x:v>
      </x:c>
      <x:c r="Q805" s="35" t="str">
        <x:v>Deepseek-flash-v4/Result/Mockito_21/result.json</x:v>
      </x:c>
    </x:row>
    <x:row r="806">
      <x:c r="A806" s="35" t="str">
        <x:v>deepseek</x:v>
      </x:c>
      <x:c r="B806" s="35" t="str">
        <x:v>Mockito</x:v>
      </x:c>
      <x:c r="C806" s="35" t="str">
        <x:v>Round1</x:v>
      </x:c>
      <x:c r="D806" s="35" t="str">
        <x:v>Mockito_22</x:v>
      </x:c>
      <x:c r="E806" s="35" t="str">
        <x:v>Line</x:v>
      </x:c>
      <x:c r="F806" s="35" t="n">
        <x:v>13</x:v>
      </x:c>
      <x:c r="G806" s="35" t="str">
        <x:v>RECORDED</x:v>
      </x:c>
      <x:c r="H806" s="39" t="n">
        <x:f>IF(ISNUMBER('Data'!E806),'Data'!E806*100,"")</x:f>
        <x:v>92.31</x:v>
      </x:c>
      <x:c r="I806" s="35" t="str">
        <x:v>PASS</x:v>
      </x:c>
      <x:c r="J806" s="35" t="str">
        <x:v>PASS</x:v>
      </x:c>
      <x:c r="K806" s="35" t="str">
        <x:v>PASS</x:v>
      </x:c>
      <x:c r="L806" s="35" t="str">
        <x:v>PASS</x:v>
      </x:c>
      <x:c r="M806" s="35" t="str">
        <x:v>numeric coverage for applicable metric</x:v>
      </x:c>
      <x:c r="N806" s="35" t="str">
        <x:v>Deepseek-flash-v4/Result/Mockito_22/result.json</x:v>
      </x:c>
      <x:c r="O806" s="39" t="n">
        <x:f>IF(AND(G806="RECORDED",ISNUMBER(H806)),H806,"")</x:f>
        <x:v>92.31</x:v>
      </x:c>
      <x:c r="P806" s="35" t="str">
        <x:v>NOT_REVEALING</x:v>
      </x:c>
      <x:c r="Q806" s="35" t="str">
        <x:v>Deepseek-flash-v4/Result/Mockito_22/result.json</x:v>
      </x:c>
    </x:row>
    <x:row r="807">
      <x:c r="A807" s="35" t="str">
        <x:v>deepseek</x:v>
      </x:c>
      <x:c r="B807" s="35" t="str">
        <x:v>Mockito</x:v>
      </x:c>
      <x:c r="C807" s="35" t="str">
        <x:v>Round1</x:v>
      </x:c>
      <x:c r="D807" s="35" t="str">
        <x:v>Mockito_23</x:v>
      </x:c>
      <x:c r="E807" s="35" t="str">
        <x:v>Line</x:v>
      </x:c>
      <x:c r="F807" s="35"/>
      <x:c r="G807" s="35" t="str">
        <x:v>A</x:v>
      </x:c>
      <x:c r="H807" s="39" t="str">
        <x:f>IF(ISNUMBER('Data'!E807),'Data'!E807*100,"")</x:f>
      </x:c>
      <x:c r="I807" s="35"/>
      <x:c r="J807" s="35" t="str">
        <x:v>PASS</x:v>
      </x:c>
      <x:c r="K807" s="35" t="str">
        <x:v>FAIL</x:v>
      </x:c>
      <x:c r="L807" s="35" t="str">
        <x:v>NOT_RUN</x:v>
      </x:c>
      <x:c r="M807" s="35" t="str">
        <x:v>coverage unavailable or execution/compile failed</x:v>
      </x:c>
      <x:c r="N807" s="35" t="str">
        <x:v>Deepseek-flash-v4/Result/Mockito_23/result.json</x:v>
      </x:c>
      <x:c r="O807" s="39" t="str">
        <x:f>IF(AND(G807="RECORDED",ISNUMBER(H807)),H807,"")</x:f>
      </x:c>
      <x:c r="P807" s="35" t="str">
        <x:v>NOT_AVAILABLE</x:v>
      </x:c>
      <x:c r="Q807" s="35" t="str">
        <x:v>Deepseek-flash-v4/Result/Mockito_23/result.json</x:v>
      </x:c>
    </x:row>
    <x:row r="808">
      <x:c r="A808" s="35" t="str">
        <x:v>deepseek</x:v>
      </x:c>
      <x:c r="B808" s="35" t="str">
        <x:v>Mockito</x:v>
      </x:c>
      <x:c r="C808" s="35" t="str">
        <x:v>Round1</x:v>
      </x:c>
      <x:c r="D808" s="35" t="str">
        <x:v>Mockito_24</x:v>
      </x:c>
      <x:c r="E808" s="35" t="str">
        <x:v>Line</x:v>
      </x:c>
      <x:c r="F808" s="35"/>
      <x:c r="G808" s="35" t="str">
        <x:v>A</x:v>
      </x:c>
      <x:c r="H808" s="39" t="str">
        <x:f>IF(ISNUMBER('Data'!E808),'Data'!E808*100,"")</x:f>
      </x:c>
      <x:c r="I808" s="35"/>
      <x:c r="J808" s="35" t="str">
        <x:v>PASS</x:v>
      </x:c>
      <x:c r="K808" s="35" t="str">
        <x:v>FAIL</x:v>
      </x:c>
      <x:c r="L808" s="35" t="str">
        <x:v>NOT_RUN</x:v>
      </x:c>
      <x:c r="M808" s="35" t="str">
        <x:v>coverage unavailable or execution/compile failed</x:v>
      </x:c>
      <x:c r="N808" s="35" t="str">
        <x:v>Deepseek-flash-v4/Result/Mockito_24/result.json</x:v>
      </x:c>
      <x:c r="O808" s="39" t="str">
        <x:f>IF(AND(G808="RECORDED",ISNUMBER(H808)),H808,"")</x:f>
      </x:c>
      <x:c r="P808" s="35" t="str">
        <x:v>NOT_AVAILABLE</x:v>
      </x:c>
      <x:c r="Q808" s="35" t="str">
        <x:v>Deepseek-flash-v4/Result/Mockito_24/result.json</x:v>
      </x:c>
    </x:row>
    <x:row r="809">
      <x:c r="A809" s="35" t="str">
        <x:v>deepseek</x:v>
      </x:c>
      <x:c r="B809" s="35" t="str">
        <x:v>Mockito</x:v>
      </x:c>
      <x:c r="C809" s="35" t="str">
        <x:v>Round1</x:v>
      </x:c>
      <x:c r="D809" s="35" t="str">
        <x:v>Mockito_25</x:v>
      </x:c>
      <x:c r="E809" s="35" t="str">
        <x:v>Line</x:v>
      </x:c>
      <x:c r="F809" s="35"/>
      <x:c r="G809" s="35" t="str">
        <x:v>A</x:v>
      </x:c>
      <x:c r="H809" s="39" t="str">
        <x:f>IF(ISNUMBER('Data'!E809),'Data'!E809*100,"")</x:f>
      </x:c>
      <x:c r="I809" s="35"/>
      <x:c r="J809" s="35" t="str">
        <x:v>PASS</x:v>
      </x:c>
      <x:c r="K809" s="35" t="str">
        <x:v>FAIL</x:v>
      </x:c>
      <x:c r="L809" s="35" t="str">
        <x:v>NOT_RUN</x:v>
      </x:c>
      <x:c r="M809" s="35" t="str">
        <x:v>coverage unavailable or execution/compile failed</x:v>
      </x:c>
      <x:c r="N809" s="35" t="str">
        <x:v>Deepseek-flash-v4/Result/Mockito_25/result.json</x:v>
      </x:c>
      <x:c r="O809" s="39" t="str">
        <x:f>IF(AND(G809="RECORDED",ISNUMBER(H809)),H809,"")</x:f>
      </x:c>
      <x:c r="P809" s="35" t="str">
        <x:v>NOT_AVAILABLE</x:v>
      </x:c>
      <x:c r="Q809" s="35" t="str">
        <x:v>Deepseek-flash-v4/Result/Mockito_25/result.json</x:v>
      </x:c>
    </x:row>
    <x:row r="810">
      <x:c r="A810" s="35" t="str">
        <x:v>deepseek</x:v>
      </x:c>
      <x:c r="B810" s="35" t="str">
        <x:v>Mockito</x:v>
      </x:c>
      <x:c r="C810" s="35" t="str">
        <x:v>Round1</x:v>
      </x:c>
      <x:c r="D810" s="35" t="str">
        <x:v>Mockito_26</x:v>
      </x:c>
      <x:c r="E810" s="35" t="str">
        <x:v>Line</x:v>
      </x:c>
      <x:c r="F810" s="35"/>
      <x:c r="G810" s="35" t="str">
        <x:v>A</x:v>
      </x:c>
      <x:c r="H810" s="39" t="str">
        <x:f>IF(ISNUMBER('Data'!E810),'Data'!E810*100,"")</x:f>
      </x:c>
      <x:c r="I810" s="35"/>
      <x:c r="J810" s="35" t="str">
        <x:v>PASS</x:v>
      </x:c>
      <x:c r="K810" s="35" t="str">
        <x:v>FAIL</x:v>
      </x:c>
      <x:c r="L810" s="35" t="str">
        <x:v>NOT_RUN</x:v>
      </x:c>
      <x:c r="M810" s="35" t="str">
        <x:v>coverage unavailable or execution/compile failed</x:v>
      </x:c>
      <x:c r="N810" s="35" t="str">
        <x:v>Deepseek-flash-v4/Result/Mockito_26/result.json</x:v>
      </x:c>
      <x:c r="O810" s="39" t="str">
        <x:f>IF(AND(G810="RECORDED",ISNUMBER(H810)),H810,"")</x:f>
      </x:c>
      <x:c r="P810" s="35" t="str">
        <x:v>NOT_AVAILABLE</x:v>
      </x:c>
      <x:c r="Q810" s="35" t="str">
        <x:v>Deepseek-flash-v4/Result/Mockito_26/result.json</x:v>
      </x:c>
    </x:row>
    <x:row r="811">
      <x:c r="A811" s="35" t="str">
        <x:v>deepseek</x:v>
      </x:c>
      <x:c r="B811" s="35" t="str">
        <x:v>Mockito</x:v>
      </x:c>
      <x:c r="C811" s="35" t="str">
        <x:v>Round1</x:v>
      </x:c>
      <x:c r="D811" s="35" t="str">
        <x:v>Mockito_27</x:v>
      </x:c>
      <x:c r="E811" s="35" t="str">
        <x:v>Line</x:v>
      </x:c>
      <x:c r="F811" s="35"/>
      <x:c r="G811" s="35" t="str">
        <x:v>A</x:v>
      </x:c>
      <x:c r="H811" s="39" t="str">
        <x:f>IF(ISNUMBER('Data'!E811),'Data'!E811*100,"")</x:f>
      </x:c>
      <x:c r="I811" s="35"/>
      <x:c r="J811" s="35" t="str">
        <x:v>PASS</x:v>
      </x:c>
      <x:c r="K811" s="35" t="str">
        <x:v>FAIL</x:v>
      </x:c>
      <x:c r="L811" s="35" t="str">
        <x:v>NOT_RUN</x:v>
      </x:c>
      <x:c r="M811" s="35" t="str">
        <x:v>coverage unavailable or execution/compile failed</x:v>
      </x:c>
      <x:c r="N811" s="35" t="str">
        <x:v>Deepseek-flash-v4/Result/Mockito_27/result.json</x:v>
      </x:c>
      <x:c r="O811" s="39" t="str">
        <x:f>IF(AND(G811="RECORDED",ISNUMBER(H811)),H811,"")</x:f>
      </x:c>
      <x:c r="P811" s="35" t="str">
        <x:v>NOT_AVAILABLE</x:v>
      </x:c>
      <x:c r="Q811" s="35" t="str">
        <x:v>Deepseek-flash-v4/Result/Mockito_27/result.json</x:v>
      </x:c>
    </x:row>
    <x:row r="812">
      <x:c r="A812" s="35" t="str">
        <x:v>deepseek</x:v>
      </x:c>
      <x:c r="B812" s="35" t="str">
        <x:v>Mockito</x:v>
      </x:c>
      <x:c r="C812" s="35" t="str">
        <x:v>Round1</x:v>
      </x:c>
      <x:c r="D812" s="35" t="str">
        <x:v>Mockito_28</x:v>
      </x:c>
      <x:c r="E812" s="35" t="str">
        <x:v>Line</x:v>
      </x:c>
      <x:c r="F812" s="35"/>
      <x:c r="G812" s="35" t="str">
        <x:v>A</x:v>
      </x:c>
      <x:c r="H812" s="39" t="str">
        <x:f>IF(ISNUMBER('Data'!E812),'Data'!E812*100,"")</x:f>
      </x:c>
      <x:c r="I812" s="35"/>
      <x:c r="J812" s="35" t="str">
        <x:v>PASS</x:v>
      </x:c>
      <x:c r="K812" s="35" t="str">
        <x:v>FAIL</x:v>
      </x:c>
      <x:c r="L812" s="35" t="str">
        <x:v>NOT_RUN</x:v>
      </x:c>
      <x:c r="M812" s="35" t="str">
        <x:v>coverage unavailable or execution/compile failed</x:v>
      </x:c>
      <x:c r="N812" s="35" t="str">
        <x:v>Deepseek-flash-v4/Result/Mockito_28/result.json</x:v>
      </x:c>
      <x:c r="O812" s="39" t="str">
        <x:f>IF(AND(G812="RECORDED",ISNUMBER(H812)),H812,"")</x:f>
      </x:c>
      <x:c r="P812" s="35" t="str">
        <x:v>NOT_AVAILABLE</x:v>
      </x:c>
      <x:c r="Q812" s="35" t="str">
        <x:v>Deepseek-flash-v4/Result/Mockito_28/result.json</x:v>
      </x:c>
    </x:row>
    <x:row r="813">
      <x:c r="A813" s="35" t="str">
        <x:v>deepseek</x:v>
      </x:c>
      <x:c r="B813" s="35" t="str">
        <x:v>Mockito</x:v>
      </x:c>
      <x:c r="C813" s="35" t="str">
        <x:v>Round1</x:v>
      </x:c>
      <x:c r="D813" s="35" t="str">
        <x:v>Mockito_29</x:v>
      </x:c>
      <x:c r="E813" s="35" t="str">
        <x:v>Line</x:v>
      </x:c>
      <x:c r="F813" s="35"/>
      <x:c r="G813" s="35" t="str">
        <x:v>A</x:v>
      </x:c>
      <x:c r="H813" s="39" t="str">
        <x:f>IF(ISNUMBER('Data'!E813),'Data'!E813*100,"")</x:f>
      </x:c>
      <x:c r="I813" s="35"/>
      <x:c r="J813" s="35" t="str">
        <x:v>PASS</x:v>
      </x:c>
      <x:c r="K813" s="35" t="str">
        <x:v>FAIL</x:v>
      </x:c>
      <x:c r="L813" s="35" t="str">
        <x:v>NOT_RUN</x:v>
      </x:c>
      <x:c r="M813" s="35" t="str">
        <x:v>coverage unavailable or execution/compile failed</x:v>
      </x:c>
      <x:c r="N813" s="35" t="str">
        <x:v>Deepseek-flash-v4/Result/Mockito_29/result.json</x:v>
      </x:c>
      <x:c r="O813" s="39" t="str">
        <x:f>IF(AND(G813="RECORDED",ISNUMBER(H813)),H813,"")</x:f>
      </x:c>
      <x:c r="P813" s="35" t="str">
        <x:v>NOT_AVAILABLE</x:v>
      </x:c>
      <x:c r="Q813" s="35" t="str">
        <x:v>Deepseek-flash-v4/Result/Mockito_29/result.json</x:v>
      </x:c>
    </x:row>
    <x:row r="814">
      <x:c r="A814" s="35" t="str">
        <x:v>deepseek</x:v>
      </x:c>
      <x:c r="B814" s="35" t="str">
        <x:v>Mockito</x:v>
      </x:c>
      <x:c r="C814" s="35" t="str">
        <x:v>Round1</x:v>
      </x:c>
      <x:c r="D814" s="35" t="str">
        <x:v>Mockito_3</x:v>
      </x:c>
      <x:c r="E814" s="35" t="str">
        <x:v>Line</x:v>
      </x:c>
      <x:c r="F814" s="35"/>
      <x:c r="G814" s="35" t="str">
        <x:v>A</x:v>
      </x:c>
      <x:c r="H814" s="39" t="str">
        <x:f>IF(ISNUMBER('Data'!E814),'Data'!E814*100,"")</x:f>
      </x:c>
      <x:c r="I814" s="35"/>
      <x:c r="J814" s="35" t="str">
        <x:v>PASS</x:v>
      </x:c>
      <x:c r="K814" s="35" t="str">
        <x:v>FAIL</x:v>
      </x:c>
      <x:c r="L814" s="35" t="str">
        <x:v>NOT_RUN</x:v>
      </x:c>
      <x:c r="M814" s="35" t="str">
        <x:v>coverage unavailable or execution/compile failed</x:v>
      </x:c>
      <x:c r="N814" s="35" t="str">
        <x:v>Deepseek-flash-v4/Result/Mockito_3/result.json</x:v>
      </x:c>
      <x:c r="O814" s="39" t="str">
        <x:f>IF(AND(G814="RECORDED",ISNUMBER(H814)),H814,"")</x:f>
      </x:c>
      <x:c r="P814" s="35" t="str">
        <x:v>NOT_AVAILABLE</x:v>
      </x:c>
      <x:c r="Q814" s="35" t="str">
        <x:v>Deepseek-flash-v4/Result/Mockito_3/result.json</x:v>
      </x:c>
    </x:row>
    <x:row r="815">
      <x:c r="A815" s="35" t="str">
        <x:v>deepseek</x:v>
      </x:c>
      <x:c r="B815" s="35" t="str">
        <x:v>Mockito</x:v>
      </x:c>
      <x:c r="C815" s="35" t="str">
        <x:v>Round1</x:v>
      </x:c>
      <x:c r="D815" s="35" t="str">
        <x:v>Mockito_30</x:v>
      </x:c>
      <x:c r="E815" s="35" t="str">
        <x:v>Line</x:v>
      </x:c>
      <x:c r="F815" s="35"/>
      <x:c r="G815" s="35" t="str">
        <x:v>A</x:v>
      </x:c>
      <x:c r="H815" s="39" t="str">
        <x:f>IF(ISNUMBER('Data'!E815),'Data'!E815*100,"")</x:f>
      </x:c>
      <x:c r="I815" s="35"/>
      <x:c r="J815" s="35" t="str">
        <x:v>PASS</x:v>
      </x:c>
      <x:c r="K815" s="35" t="str">
        <x:v>FAIL</x:v>
      </x:c>
      <x:c r="L815" s="35" t="str">
        <x:v>NOT_RUN</x:v>
      </x:c>
      <x:c r="M815" s="35" t="str">
        <x:v>coverage unavailable or execution/compile failed</x:v>
      </x:c>
      <x:c r="N815" s="35" t="str">
        <x:v>Deepseek-flash-v4/Result/Mockito_30/result.json</x:v>
      </x:c>
      <x:c r="O815" s="39" t="str">
        <x:f>IF(AND(G815="RECORDED",ISNUMBER(H815)),H815,"")</x:f>
      </x:c>
      <x:c r="P815" s="35" t="str">
        <x:v>NOT_AVAILABLE</x:v>
      </x:c>
      <x:c r="Q815" s="35" t="str">
        <x:v>Deepseek-flash-v4/Result/Mockito_30/result.json</x:v>
      </x:c>
    </x:row>
    <x:row r="816">
      <x:c r="A816" s="35" t="str">
        <x:v>deepseek</x:v>
      </x:c>
      <x:c r="B816" s="35" t="str">
        <x:v>Mockito</x:v>
      </x:c>
      <x:c r="C816" s="35" t="str">
        <x:v>Round1</x:v>
      </x:c>
      <x:c r="D816" s="35" t="str">
        <x:v>Mockito_31</x:v>
      </x:c>
      <x:c r="E816" s="35" t="str">
        <x:v>Line</x:v>
      </x:c>
      <x:c r="F816" s="35"/>
      <x:c r="G816" s="35" t="str">
        <x:v>A</x:v>
      </x:c>
      <x:c r="H816" s="39" t="str">
        <x:f>IF(ISNUMBER('Data'!E816),'Data'!E816*100,"")</x:f>
      </x:c>
      <x:c r="I816" s="35"/>
      <x:c r="J816" s="35" t="str">
        <x:v>PASS</x:v>
      </x:c>
      <x:c r="K816" s="35" t="str">
        <x:v>FAIL</x:v>
      </x:c>
      <x:c r="L816" s="35" t="str">
        <x:v>NOT_RUN</x:v>
      </x:c>
      <x:c r="M816" s="35" t="str">
        <x:v>coverage unavailable or execution/compile failed</x:v>
      </x:c>
      <x:c r="N816" s="35" t="str">
        <x:v>Deepseek-flash-v4/Result/Mockito_31/result.json</x:v>
      </x:c>
      <x:c r="O816" s="39" t="str">
        <x:f>IF(AND(G816="RECORDED",ISNUMBER(H816)),H816,"")</x:f>
      </x:c>
      <x:c r="P816" s="35" t="str">
        <x:v>NOT_AVAILABLE</x:v>
      </x:c>
      <x:c r="Q816" s="35" t="str">
        <x:v>Deepseek-flash-v4/Result/Mockito_31/result.json</x:v>
      </x:c>
    </x:row>
    <x:row r="817">
      <x:c r="A817" s="35" t="str">
        <x:v>deepseek</x:v>
      </x:c>
      <x:c r="B817" s="35" t="str">
        <x:v>Mockito</x:v>
      </x:c>
      <x:c r="C817" s="35" t="str">
        <x:v>Round1</x:v>
      </x:c>
      <x:c r="D817" s="35" t="str">
        <x:v>Mockito_32</x:v>
      </x:c>
      <x:c r="E817" s="35" t="str">
        <x:v>Line</x:v>
      </x:c>
      <x:c r="F817" s="35"/>
      <x:c r="G817" s="35" t="str">
        <x:v>A</x:v>
      </x:c>
      <x:c r="H817" s="39" t="str">
        <x:f>IF(ISNUMBER('Data'!E817),'Data'!E817*100,"")</x:f>
      </x:c>
      <x:c r="I817" s="35"/>
      <x:c r="J817" s="35" t="str">
        <x:v>PASS</x:v>
      </x:c>
      <x:c r="K817" s="35" t="str">
        <x:v>FAIL</x:v>
      </x:c>
      <x:c r="L817" s="35" t="str">
        <x:v>NOT_RUN</x:v>
      </x:c>
      <x:c r="M817" s="35" t="str">
        <x:v>coverage unavailable or execution/compile failed</x:v>
      </x:c>
      <x:c r="N817" s="35" t="str">
        <x:v>Deepseek-flash-v4/Result/Mockito_32/result.json</x:v>
      </x:c>
      <x:c r="O817" s="39" t="str">
        <x:f>IF(AND(G817="RECORDED",ISNUMBER(H817)),H817,"")</x:f>
      </x:c>
      <x:c r="P817" s="35" t="str">
        <x:v>NOT_AVAILABLE</x:v>
      </x:c>
      <x:c r="Q817" s="35" t="str">
        <x:v>Deepseek-flash-v4/Result/Mockito_32/result.json</x:v>
      </x:c>
    </x:row>
    <x:row r="818">
      <x:c r="A818" s="35" t="str">
        <x:v>deepseek</x:v>
      </x:c>
      <x:c r="B818" s="35" t="str">
        <x:v>Mockito</x:v>
      </x:c>
      <x:c r="C818" s="35" t="str">
        <x:v>Round1</x:v>
      </x:c>
      <x:c r="D818" s="35" t="str">
        <x:v>Mockito_33</x:v>
      </x:c>
      <x:c r="E818" s="35" t="str">
        <x:v>Line</x:v>
      </x:c>
      <x:c r="F818" s="35"/>
      <x:c r="G818" s="35" t="str">
        <x:v>A</x:v>
      </x:c>
      <x:c r="H818" s="39" t="str">
        <x:f>IF(ISNUMBER('Data'!E818),'Data'!E818*100,"")</x:f>
      </x:c>
      <x:c r="I818" s="35"/>
      <x:c r="J818" s="35" t="str">
        <x:v>PASS</x:v>
      </x:c>
      <x:c r="K818" s="35" t="str">
        <x:v>FAIL</x:v>
      </x:c>
      <x:c r="L818" s="35" t="str">
        <x:v>NOT_RUN</x:v>
      </x:c>
      <x:c r="M818" s="35" t="str">
        <x:v>coverage unavailable or execution/compile failed</x:v>
      </x:c>
      <x:c r="N818" s="35" t="str">
        <x:v>Deepseek-flash-v4/Result/Mockito_33/result.json</x:v>
      </x:c>
      <x:c r="O818" s="39" t="str">
        <x:f>IF(AND(G818="RECORDED",ISNUMBER(H818)),H818,"")</x:f>
      </x:c>
      <x:c r="P818" s="35" t="str">
        <x:v>NOT_AVAILABLE</x:v>
      </x:c>
      <x:c r="Q818" s="35" t="str">
        <x:v>Deepseek-flash-v4/Result/Mockito_33/result.json</x:v>
      </x:c>
    </x:row>
    <x:row r="819">
      <x:c r="A819" s="35" t="str">
        <x:v>deepseek</x:v>
      </x:c>
      <x:c r="B819" s="35" t="str">
        <x:v>Mockito</x:v>
      </x:c>
      <x:c r="C819" s="35" t="str">
        <x:v>Round1</x:v>
      </x:c>
      <x:c r="D819" s="35" t="str">
        <x:v>Mockito_34</x:v>
      </x:c>
      <x:c r="E819" s="35" t="str">
        <x:v>Line</x:v>
      </x:c>
      <x:c r="F819" s="35"/>
      <x:c r="G819" s="35" t="str">
        <x:v>A</x:v>
      </x:c>
      <x:c r="H819" s="39" t="str">
        <x:f>IF(ISNUMBER('Data'!E819),'Data'!E819*100,"")</x:f>
      </x:c>
      <x:c r="I819" s="35"/>
      <x:c r="J819" s="35" t="str">
        <x:v>PASS</x:v>
      </x:c>
      <x:c r="K819" s="35" t="str">
        <x:v>FAIL</x:v>
      </x:c>
      <x:c r="L819" s="35" t="str">
        <x:v>NOT_RUN</x:v>
      </x:c>
      <x:c r="M819" s="35" t="str">
        <x:v>coverage unavailable or execution/compile failed</x:v>
      </x:c>
      <x:c r="N819" s="35" t="str">
        <x:v>Deepseek-flash-v4/Result/Mockito_34/result.json</x:v>
      </x:c>
      <x:c r="O819" s="39" t="str">
        <x:f>IF(AND(G819="RECORDED",ISNUMBER(H819)),H819,"")</x:f>
      </x:c>
      <x:c r="P819" s="35" t="str">
        <x:v>NOT_AVAILABLE</x:v>
      </x:c>
      <x:c r="Q819" s="35" t="str">
        <x:v>Deepseek-flash-v4/Result/Mockito_34/result.json</x:v>
      </x:c>
    </x:row>
    <x:row r="820">
      <x:c r="A820" s="35" t="str">
        <x:v>deepseek</x:v>
      </x:c>
      <x:c r="B820" s="35" t="str">
        <x:v>Mockito</x:v>
      </x:c>
      <x:c r="C820" s="35" t="str">
        <x:v>Round1</x:v>
      </x:c>
      <x:c r="D820" s="35" t="str">
        <x:v>Mockito_35</x:v>
      </x:c>
      <x:c r="E820" s="35" t="str">
        <x:v>Line</x:v>
      </x:c>
      <x:c r="F820" s="35"/>
      <x:c r="G820" s="35" t="str">
        <x:v>A</x:v>
      </x:c>
      <x:c r="H820" s="39" t="str">
        <x:f>IF(ISNUMBER('Data'!E820),'Data'!E820*100,"")</x:f>
      </x:c>
      <x:c r="I820" s="35"/>
      <x:c r="J820" s="35" t="str">
        <x:v>PASS</x:v>
      </x:c>
      <x:c r="K820" s="35" t="str">
        <x:v>FAIL</x:v>
      </x:c>
      <x:c r="L820" s="35" t="str">
        <x:v>NOT_RUN</x:v>
      </x:c>
      <x:c r="M820" s="35" t="str">
        <x:v>coverage unavailable or execution/compile failed</x:v>
      </x:c>
      <x:c r="N820" s="35" t="str">
        <x:v>Deepseek-flash-v4/Result/Mockito_35/result.json</x:v>
      </x:c>
      <x:c r="O820" s="39" t="str">
        <x:f>IF(AND(G820="RECORDED",ISNUMBER(H820)),H820,"")</x:f>
      </x:c>
      <x:c r="P820" s="35" t="str">
        <x:v>NOT_AVAILABLE</x:v>
      </x:c>
      <x:c r="Q820" s="35" t="str">
        <x:v>Deepseek-flash-v4/Result/Mockito_35/result.json</x:v>
      </x:c>
    </x:row>
    <x:row r="821">
      <x:c r="A821" s="35" t="str">
        <x:v>deepseek</x:v>
      </x:c>
      <x:c r="B821" s="35" t="str">
        <x:v>Mockito</x:v>
      </x:c>
      <x:c r="C821" s="35" t="str">
        <x:v>Round1</x:v>
      </x:c>
      <x:c r="D821" s="35" t="str">
        <x:v>Mockito_36</x:v>
      </x:c>
      <x:c r="E821" s="35" t="str">
        <x:v>Line</x:v>
      </x:c>
      <x:c r="F821" s="35"/>
      <x:c r="G821" s="35" t="str">
        <x:v>A</x:v>
      </x:c>
      <x:c r="H821" s="39" t="str">
        <x:f>IF(ISNUMBER('Data'!E821),'Data'!E821*100,"")</x:f>
      </x:c>
      <x:c r="I821" s="35"/>
      <x:c r="J821" s="35" t="str">
        <x:v>PASS</x:v>
      </x:c>
      <x:c r="K821" s="35" t="str">
        <x:v>FAIL</x:v>
      </x:c>
      <x:c r="L821" s="35" t="str">
        <x:v>NOT_RUN</x:v>
      </x:c>
      <x:c r="M821" s="35" t="str">
        <x:v>coverage unavailable or execution/compile failed</x:v>
      </x:c>
      <x:c r="N821" s="35" t="str">
        <x:v>Deepseek-flash-v4/Result/Mockito_36/result.json</x:v>
      </x:c>
      <x:c r="O821" s="39" t="str">
        <x:f>IF(AND(G821="RECORDED",ISNUMBER(H821)),H821,"")</x:f>
      </x:c>
      <x:c r="P821" s="35" t="str">
        <x:v>NOT_AVAILABLE</x:v>
      </x:c>
      <x:c r="Q821" s="35" t="str">
        <x:v>Deepseek-flash-v4/Result/Mockito_36/result.json</x:v>
      </x:c>
    </x:row>
    <x:row r="822">
      <x:c r="A822" s="35" t="str">
        <x:v>deepseek</x:v>
      </x:c>
      <x:c r="B822" s="35" t="str">
        <x:v>Mockito</x:v>
      </x:c>
      <x:c r="C822" s="35" t="str">
        <x:v>Round1</x:v>
      </x:c>
      <x:c r="D822" s="35" t="str">
        <x:v>Mockito_37</x:v>
      </x:c>
      <x:c r="E822" s="35" t="str">
        <x:v>Line</x:v>
      </x:c>
      <x:c r="F822" s="35" t="n">
        <x:v>27</x:v>
      </x:c>
      <x:c r="G822" s="35" t="str">
        <x:v>RECORDED</x:v>
      </x:c>
      <x:c r="H822" s="39" t="n">
        <x:f>IF(ISNUMBER('Data'!E822),'Data'!E822*100,"")</x:f>
        <x:v>100</x:v>
      </x:c>
      <x:c r="I822" s="35" t="str">
        <x:v>PASS</x:v>
      </x:c>
      <x:c r="J822" s="35" t="str">
        <x:v>PASS</x:v>
      </x:c>
      <x:c r="K822" s="35" t="str">
        <x:v>PASS</x:v>
      </x:c>
      <x:c r="L822" s="35" t="str">
        <x:v>FAIL</x:v>
      </x:c>
      <x:c r="M822" s="35" t="str">
        <x:v>numeric coverage for applicable metric</x:v>
      </x:c>
      <x:c r="N822" s="35" t="str">
        <x:v>Deepseek-flash-v4/Result/Mockito_37/result.json</x:v>
      </x:c>
      <x:c r="O822" s="39" t="n">
        <x:f>IF(AND(G822="RECORDED",ISNUMBER(H822)),H822,"")</x:f>
        <x:v>100</x:v>
      </x:c>
      <x:c r="P822" s="35" t="str">
        <x:v>INCONCLUSIVE</x:v>
      </x:c>
      <x:c r="Q822" s="35" t="str">
        <x:v>Deepseek-flash-v4/Result/Mockito_37/result.json</x:v>
      </x:c>
    </x:row>
    <x:row r="823">
      <x:c r="A823" s="35" t="str">
        <x:v>deepseek</x:v>
      </x:c>
      <x:c r="B823" s="35" t="str">
        <x:v>Mockito</x:v>
      </x:c>
      <x:c r="C823" s="35" t="str">
        <x:v>Round1</x:v>
      </x:c>
      <x:c r="D823" s="35" t="str">
        <x:v>Mockito_38</x:v>
      </x:c>
      <x:c r="E823" s="35" t="str">
        <x:v>Line</x:v>
      </x:c>
      <x:c r="F823" s="35"/>
      <x:c r="G823" s="35" t="str">
        <x:v>A</x:v>
      </x:c>
      <x:c r="H823" s="39" t="str">
        <x:f>IF(ISNUMBER('Data'!E823),'Data'!E823*100,"")</x:f>
      </x:c>
      <x:c r="I823" s="35"/>
      <x:c r="J823" s="35" t="str">
        <x:v>PASS</x:v>
      </x:c>
      <x:c r="K823" s="35" t="str">
        <x:v>FAIL</x:v>
      </x:c>
      <x:c r="L823" s="35" t="str">
        <x:v>NOT_RUN</x:v>
      </x:c>
      <x:c r="M823" s="35" t="str">
        <x:v>coverage unavailable or execution/compile failed</x:v>
      </x:c>
      <x:c r="N823" s="35" t="str">
        <x:v>Deepseek-flash-v4/Result/Mockito_38/result.json</x:v>
      </x:c>
      <x:c r="O823" s="39" t="str">
        <x:f>IF(AND(G823="RECORDED",ISNUMBER(H823)),H823,"")</x:f>
      </x:c>
      <x:c r="P823" s="35" t="str">
        <x:v>NOT_AVAILABLE</x:v>
      </x:c>
      <x:c r="Q823" s="35" t="str">
        <x:v>Deepseek-flash-v4/Result/Mockito_38/result.json</x:v>
      </x:c>
    </x:row>
    <x:row r="824">
      <x:c r="A824" s="35" t="str">
        <x:v>deepseek</x:v>
      </x:c>
      <x:c r="B824" s="35" t="str">
        <x:v>Mockito</x:v>
      </x:c>
      <x:c r="C824" s="35" t="str">
        <x:v>Round1</x:v>
      </x:c>
      <x:c r="D824" s="35" t="str">
        <x:v>Mockito_4</x:v>
      </x:c>
      <x:c r="E824" s="35" t="str">
        <x:v>Line</x:v>
      </x:c>
      <x:c r="F824" s="35"/>
      <x:c r="G824" s="35" t="str">
        <x:v>A</x:v>
      </x:c>
      <x:c r="H824" s="39" t="str">
        <x:f>IF(ISNUMBER('Data'!E824),'Data'!E824*100,"")</x:f>
      </x:c>
      <x:c r="I824" s="35"/>
      <x:c r="J824" s="35" t="str">
        <x:v>PASS</x:v>
      </x:c>
      <x:c r="K824" s="35" t="str">
        <x:v>FAIL</x:v>
      </x:c>
      <x:c r="L824" s="35" t="str">
        <x:v>NOT_RUN</x:v>
      </x:c>
      <x:c r="M824" s="35" t="str">
        <x:v>coverage unavailable or execution/compile failed</x:v>
      </x:c>
      <x:c r="N824" s="35" t="str">
        <x:v>Deepseek-flash-v4/Result/Mockito_4/result.json</x:v>
      </x:c>
      <x:c r="O824" s="39" t="str">
        <x:f>IF(AND(G824="RECORDED",ISNUMBER(H824)),H824,"")</x:f>
      </x:c>
      <x:c r="P824" s="35" t="str">
        <x:v>NOT_AVAILABLE</x:v>
      </x:c>
      <x:c r="Q824" s="35" t="str">
        <x:v>Deepseek-flash-v4/Result/Mockito_4/result.json</x:v>
      </x:c>
    </x:row>
    <x:row r="825">
      <x:c r="A825" s="35" t="str">
        <x:v>deepseek</x:v>
      </x:c>
      <x:c r="B825" s="35" t="str">
        <x:v>Mockito</x:v>
      </x:c>
      <x:c r="C825" s="35" t="str">
        <x:v>Round1</x:v>
      </x:c>
      <x:c r="D825" s="35" t="str">
        <x:v>Mockito_5</x:v>
      </x:c>
      <x:c r="E825" s="35" t="str">
        <x:v>Line</x:v>
      </x:c>
      <x:c r="F825" s="35"/>
      <x:c r="G825" s="35" t="str">
        <x:v>A</x:v>
      </x:c>
      <x:c r="H825" s="39" t="str">
        <x:f>IF(ISNUMBER('Data'!E825),'Data'!E825*100,"")</x:f>
      </x:c>
      <x:c r="I825" s="35"/>
      <x:c r="J825" s="35" t="str">
        <x:v>PASS</x:v>
      </x:c>
      <x:c r="K825" s="35" t="str">
        <x:v>FAIL</x:v>
      </x:c>
      <x:c r="L825" s="35" t="str">
        <x:v>NOT_RUN</x:v>
      </x:c>
      <x:c r="M825" s="35" t="str">
        <x:v>coverage unavailable or execution/compile failed</x:v>
      </x:c>
      <x:c r="N825" s="35" t="str">
        <x:v>Deepseek-flash-v4/Result/Mockito_5/result.json</x:v>
      </x:c>
      <x:c r="O825" s="39" t="str">
        <x:f>IF(AND(G825="RECORDED",ISNUMBER(H825)),H825,"")</x:f>
      </x:c>
      <x:c r="P825" s="35" t="str">
        <x:v>NOT_AVAILABLE</x:v>
      </x:c>
      <x:c r="Q825" s="35" t="str">
        <x:v>Deepseek-flash-v4/Result/Mockito_5/result.json</x:v>
      </x:c>
    </x:row>
    <x:row r="826">
      <x:c r="A826" s="35" t="str">
        <x:v>deepseek</x:v>
      </x:c>
      <x:c r="B826" s="35" t="str">
        <x:v>Mockito</x:v>
      </x:c>
      <x:c r="C826" s="35" t="str">
        <x:v>Round1</x:v>
      </x:c>
      <x:c r="D826" s="35" t="str">
        <x:v>Mockito_6</x:v>
      </x:c>
      <x:c r="E826" s="35" t="str">
        <x:v>Line</x:v>
      </x:c>
      <x:c r="F826" s="35" t="n">
        <x:v>55</x:v>
      </x:c>
      <x:c r="G826" s="35" t="str">
        <x:v>RECORDED</x:v>
      </x:c>
      <x:c r="H826" s="39" t="n">
        <x:f>IF(ISNUMBER('Data'!E826),'Data'!E826*100,"")</x:f>
        <x:v>98.18</x:v>
      </x:c>
      <x:c r="I826" s="35" t="str">
        <x:v>PASS</x:v>
      </x:c>
      <x:c r="J826" s="35" t="str">
        <x:v>PASS</x:v>
      </x:c>
      <x:c r="K826" s="35" t="str">
        <x:v>PASS</x:v>
      </x:c>
      <x:c r="L826" s="35" t="str">
        <x:v>FAIL</x:v>
      </x:c>
      <x:c r="M826" s="35" t="str">
        <x:v>numeric coverage for applicable metric</x:v>
      </x:c>
      <x:c r="N826" s="35" t="str">
        <x:v>Deepseek-flash-v4/Result/Mockito_6/result.json</x:v>
      </x:c>
      <x:c r="O826" s="39" t="n">
        <x:f>IF(AND(G826="RECORDED",ISNUMBER(H826)),H826,"")</x:f>
        <x:v>98.18</x:v>
      </x:c>
      <x:c r="P826" s="35" t="str">
        <x:v>INCONCLUSIVE</x:v>
      </x:c>
      <x:c r="Q826" s="35" t="str">
        <x:v>Deepseek-flash-v4/Result/Mockito_6/result.json</x:v>
      </x:c>
    </x:row>
    <x:row r="827">
      <x:c r="A827" s="35" t="str">
        <x:v>deepseek</x:v>
      </x:c>
      <x:c r="B827" s="35" t="str">
        <x:v>Mockito</x:v>
      </x:c>
      <x:c r="C827" s="35" t="str">
        <x:v>Round1</x:v>
      </x:c>
      <x:c r="D827" s="35" t="str">
        <x:v>Mockito_7</x:v>
      </x:c>
      <x:c r="E827" s="35" t="str">
        <x:v>Line</x:v>
      </x:c>
      <x:c r="F827" s="35" t="n">
        <x:v>174</x:v>
      </x:c>
      <x:c r="G827" s="35" t="str">
        <x:v>RECORDED</x:v>
      </x:c>
      <x:c r="H827" s="39" t="n">
        <x:f>IF(ISNUMBER('Data'!E827),'Data'!E827*100,"")</x:f>
        <x:v>64.37</x:v>
      </x:c>
      <x:c r="I827" s="35" t="str">
        <x:v>PASS</x:v>
      </x:c>
      <x:c r="J827" s="35" t="str">
        <x:v>PASS</x:v>
      </x:c>
      <x:c r="K827" s="35" t="str">
        <x:v>PASS</x:v>
      </x:c>
      <x:c r="L827" s="35" t="str">
        <x:v>FAIL</x:v>
      </x:c>
      <x:c r="M827" s="35" t="str">
        <x:v>numeric coverage for applicable metric</x:v>
      </x:c>
      <x:c r="N827" s="35" t="str">
        <x:v>Deepseek-flash-v4/Result/Mockito_7/result.json</x:v>
      </x:c>
      <x:c r="O827" s="39" t="n">
        <x:f>IF(AND(G827="RECORDED",ISNUMBER(H827)),H827,"")</x:f>
        <x:v>64.37</x:v>
      </x:c>
      <x:c r="P827" s="35" t="str">
        <x:v>INCONCLUSIVE</x:v>
      </x:c>
      <x:c r="Q827" s="35" t="str">
        <x:v>Deepseek-flash-v4/Result/Mockito_7/result.json</x:v>
      </x:c>
    </x:row>
    <x:row r="828">
      <x:c r="A828" s="35" t="str">
        <x:v>deepseek</x:v>
      </x:c>
      <x:c r="B828" s="35" t="str">
        <x:v>Mockito</x:v>
      </x:c>
      <x:c r="C828" s="35" t="str">
        <x:v>Round1</x:v>
      </x:c>
      <x:c r="D828" s="35" t="str">
        <x:v>Mockito_8</x:v>
      </x:c>
      <x:c r="E828" s="35" t="str">
        <x:v>Line</x:v>
      </x:c>
      <x:c r="F828" s="35" t="n">
        <x:v>173</x:v>
      </x:c>
      <x:c r="G828" s="35" t="str">
        <x:v>RECORDED</x:v>
      </x:c>
      <x:c r="H828" s="39" t="n">
        <x:f>IF(ISNUMBER('Data'!E828),'Data'!E828*100,"")</x:f>
        <x:v>57.22999999999999</x:v>
      </x:c>
      <x:c r="I828" s="35" t="str">
        <x:v>PASS</x:v>
      </x:c>
      <x:c r="J828" s="35" t="str">
        <x:v>PASS</x:v>
      </x:c>
      <x:c r="K828" s="35" t="str">
        <x:v>PASS</x:v>
      </x:c>
      <x:c r="L828" s="35" t="str">
        <x:v>FAIL</x:v>
      </x:c>
      <x:c r="M828" s="35" t="str">
        <x:v>numeric coverage for applicable metric</x:v>
      </x:c>
      <x:c r="N828" s="35" t="str">
        <x:v>Deepseek-flash-v4/Result/Mockito_8/result.json</x:v>
      </x:c>
      <x:c r="O828" s="39" t="n">
        <x:f>IF(AND(G828="RECORDED",ISNUMBER(H828)),H828,"")</x:f>
        <x:v>57.22999999999999</x:v>
      </x:c>
      <x:c r="P828" s="35" t="str">
        <x:v>INCONCLUSIVE</x:v>
      </x:c>
      <x:c r="Q828" s="35" t="str">
        <x:v>Deepseek-flash-v4/Result/Mockito_8/result.json</x:v>
      </x:c>
    </x:row>
    <x:row r="829">
      <x:c r="A829" s="35" t="str">
        <x:v>deepseek</x:v>
      </x:c>
      <x:c r="B829" s="35" t="str">
        <x:v>Mockito</x:v>
      </x:c>
      <x:c r="C829" s="35" t="str">
        <x:v>Round1</x:v>
      </x:c>
      <x:c r="D829" s="35" t="str">
        <x:v>Mockito_9</x:v>
      </x:c>
      <x:c r="E829" s="35" t="str">
        <x:v>Line</x:v>
      </x:c>
      <x:c r="F829" s="35" t="n">
        <x:v>2</x:v>
      </x:c>
      <x:c r="G829" s="35" t="str">
        <x:v>RECORDED</x:v>
      </x:c>
      <x:c r="H829" s="39" t="n">
        <x:f>IF(ISNUMBER('Data'!E829),'Data'!E829*100,"")</x:f>
        <x:v>100</x:v>
      </x:c>
      <x:c r="I829" s="35" t="str">
        <x:v>PASS</x:v>
      </x:c>
      <x:c r="J829" s="35" t="str">
        <x:v>PASS</x:v>
      </x:c>
      <x:c r="K829" s="35" t="str">
        <x:v>PASS</x:v>
      </x:c>
      <x:c r="L829" s="35" t="str">
        <x:v>PASS</x:v>
      </x:c>
      <x:c r="M829" s="35" t="str">
        <x:v>numeric coverage for applicable metric</x:v>
      </x:c>
      <x:c r="N829" s="35" t="str">
        <x:v>Deepseek-flash-v4/Result/Mockito_9/result.json</x:v>
      </x:c>
      <x:c r="O829" s="39" t="n">
        <x:f>IF(AND(G829="RECORDED",ISNUMBER(H829)),H829,"")</x:f>
        <x:v>100</x:v>
      </x:c>
      <x:c r="P829" s="35" t="str">
        <x:v>INCONCLUSIVE</x:v>
      </x:c>
      <x:c r="Q829" s="35" t="str">
        <x:v>Deepseek-flash-v4/Result/Mockito_9/result.json</x:v>
      </x:c>
    </x:row>
    <x:row r="830">
      <x:c r="A830" s="35" t="str">
        <x:v>deepseek</x:v>
      </x:c>
      <x:c r="B830" s="35" t="str">
        <x:v>Time</x:v>
      </x:c>
      <x:c r="C830" s="35" t="str">
        <x:v>Round1</x:v>
      </x:c>
      <x:c r="D830" s="35" t="str">
        <x:v>Time_1</x:v>
      </x:c>
      <x:c r="E830" s="35" t="str">
        <x:v>Line</x:v>
      </x:c>
      <x:c r="F830" s="35"/>
      <x:c r="G830" s="35" t="str">
        <x:v>A</x:v>
      </x:c>
      <x:c r="H830" s="39" t="str">
        <x:f>IF(ISNUMBER('Data'!E830),'Data'!E830*100,"")</x:f>
      </x:c>
      <x:c r="I830" s="35"/>
      <x:c r="J830" s="35" t="str">
        <x:v>PASS</x:v>
      </x:c>
      <x:c r="K830" s="35" t="str">
        <x:v>FAIL</x:v>
      </x:c>
      <x:c r="L830" s="35" t="str">
        <x:v>NOT_RUN</x:v>
      </x:c>
      <x:c r="M830" s="35" t="str">
        <x:v>coverage unavailable or execution/compile failed</x:v>
      </x:c>
      <x:c r="N830" s="35" t="str">
        <x:v>Deepseek-flash-v4/Result/Time_1/result.json</x:v>
      </x:c>
      <x:c r="O830" s="39" t="str">
        <x:f>IF(AND(G830="RECORDED",ISNUMBER(H830)),H830,"")</x:f>
      </x:c>
      <x:c r="P830" s="35" t="str">
        <x:v>NOT_AVAILABLE</x:v>
      </x:c>
      <x:c r="Q830" s="35" t="str">
        <x:v>Deepseek-flash-v4/Result/Time_1/result.json</x:v>
      </x:c>
    </x:row>
    <x:row r="831">
      <x:c r="A831" s="35" t="str">
        <x:v>deepseek</x:v>
      </x:c>
      <x:c r="B831" s="35" t="str">
        <x:v>Time</x:v>
      </x:c>
      <x:c r="C831" s="35" t="str">
        <x:v>Round1</x:v>
      </x:c>
      <x:c r="D831" s="35" t="str">
        <x:v>Time_10</x:v>
      </x:c>
      <x:c r="E831" s="35" t="str">
        <x:v>Line</x:v>
      </x:c>
      <x:c r="F831" s="35"/>
      <x:c r="G831" s="35" t="str">
        <x:v>A</x:v>
      </x:c>
      <x:c r="H831" s="39" t="str">
        <x:f>IF(ISNUMBER('Data'!E831),'Data'!E831*100,"")</x:f>
      </x:c>
      <x:c r="I831" s="35"/>
      <x:c r="J831" s="35" t="str">
        <x:v>PASS</x:v>
      </x:c>
      <x:c r="K831" s="35" t="str">
        <x:v>FAIL</x:v>
      </x:c>
      <x:c r="L831" s="35" t="str">
        <x:v>NOT_RUN</x:v>
      </x:c>
      <x:c r="M831" s="35" t="str">
        <x:v>coverage unavailable or execution/compile failed</x:v>
      </x:c>
      <x:c r="N831" s="35" t="str">
        <x:v>Deepseek-flash-v4/Result/Time_10/result.json</x:v>
      </x:c>
      <x:c r="O831" s="39" t="str">
        <x:f>IF(AND(G831="RECORDED",ISNUMBER(H831)),H831,"")</x:f>
      </x:c>
      <x:c r="P831" s="35" t="str">
        <x:v>NOT_AVAILABLE</x:v>
      </x:c>
      <x:c r="Q831" s="35" t="str">
        <x:v>Deepseek-flash-v4/Result/Time_10/result.json</x:v>
      </x:c>
    </x:row>
    <x:row r="832">
      <x:c r="A832" s="35" t="str">
        <x:v>deepseek</x:v>
      </x:c>
      <x:c r="B832" s="35" t="str">
        <x:v>Time</x:v>
      </x:c>
      <x:c r="C832" s="35" t="str">
        <x:v>Round1</x:v>
      </x:c>
      <x:c r="D832" s="35" t="str">
        <x:v>Time_11</x:v>
      </x:c>
      <x:c r="E832" s="35" t="str">
        <x:v>Line</x:v>
      </x:c>
      <x:c r="F832" s="35"/>
      <x:c r="G832" s="35" t="str">
        <x:v>A</x:v>
      </x:c>
      <x:c r="H832" s="39" t="str">
        <x:f>IF(ISNUMBER('Data'!E832),'Data'!E832*100,"")</x:f>
      </x:c>
      <x:c r="I832" s="35"/>
      <x:c r="J832" s="35" t="str">
        <x:v>PASS</x:v>
      </x:c>
      <x:c r="K832" s="35" t="str">
        <x:v>FAIL</x:v>
      </x:c>
      <x:c r="L832" s="35" t="str">
        <x:v>NOT_RUN</x:v>
      </x:c>
      <x:c r="M832" s="35" t="str">
        <x:v>coverage unavailable or execution/compile failed</x:v>
      </x:c>
      <x:c r="N832" s="35" t="str">
        <x:v>Deepseek-flash-v4/Result/Time_11/result.json</x:v>
      </x:c>
      <x:c r="O832" s="39" t="str">
        <x:f>IF(AND(G832="RECORDED",ISNUMBER(H832)),H832,"")</x:f>
      </x:c>
      <x:c r="P832" s="35" t="str">
        <x:v>NOT_AVAILABLE</x:v>
      </x:c>
      <x:c r="Q832" s="35" t="str">
        <x:v>Deepseek-flash-v4/Result/Time_11/result.json</x:v>
      </x:c>
    </x:row>
    <x:row r="833">
      <x:c r="A833" s="35" t="str">
        <x:v>deepseek</x:v>
      </x:c>
      <x:c r="B833" s="35" t="str">
        <x:v>Time</x:v>
      </x:c>
      <x:c r="C833" s="35" t="str">
        <x:v>Round1</x:v>
      </x:c>
      <x:c r="D833" s="35" t="str">
        <x:v>Time_12</x:v>
      </x:c>
      <x:c r="E833" s="35" t="str">
        <x:v>Line</x:v>
      </x:c>
      <x:c r="F833" s="35"/>
      <x:c r="G833" s="35" t="str">
        <x:v>A</x:v>
      </x:c>
      <x:c r="H833" s="39" t="str">
        <x:f>IF(ISNUMBER('Data'!E833),'Data'!E833*100,"")</x:f>
      </x:c>
      <x:c r="I833" s="35"/>
      <x:c r="J833" s="35" t="str">
        <x:v>PASS</x:v>
      </x:c>
      <x:c r="K833" s="35" t="str">
        <x:v>FAIL</x:v>
      </x:c>
      <x:c r="L833" s="35" t="str">
        <x:v>NOT_RUN</x:v>
      </x:c>
      <x:c r="M833" s="35" t="str">
        <x:v>coverage unavailable or execution/compile failed</x:v>
      </x:c>
      <x:c r="N833" s="35" t="str">
        <x:v>Deepseek-flash-v4/Result/Time_12/result.json</x:v>
      </x:c>
      <x:c r="O833" s="39" t="str">
        <x:f>IF(AND(G833="RECORDED",ISNUMBER(H833)),H833,"")</x:f>
      </x:c>
      <x:c r="P833" s="35" t="str">
        <x:v>NOT_AVAILABLE</x:v>
      </x:c>
      <x:c r="Q833" s="35" t="str">
        <x:v>Deepseek-flash-v4/Result/Time_12/result.json</x:v>
      </x:c>
    </x:row>
    <x:row r="834">
      <x:c r="A834" s="35" t="str">
        <x:v>deepseek</x:v>
      </x:c>
      <x:c r="B834" s="35" t="str">
        <x:v>Time</x:v>
      </x:c>
      <x:c r="C834" s="35" t="str">
        <x:v>Round1</x:v>
      </x:c>
      <x:c r="D834" s="35" t="str">
        <x:v>Time_13</x:v>
      </x:c>
      <x:c r="E834" s="35" t="str">
        <x:v>Line</x:v>
      </x:c>
      <x:c r="F834" s="35" t="n">
        <x:v>672</x:v>
      </x:c>
      <x:c r="G834" s="35" t="str">
        <x:v>RECORDED</x:v>
      </x:c>
      <x:c r="H834" s="39" t="n">
        <x:f>IF(ISNUMBER('Data'!E834),'Data'!E834*100,"")</x:f>
        <x:v>32.74</x:v>
      </x:c>
      <x:c r="I834" s="35" t="str">
        <x:v>PASS</x:v>
      </x:c>
      <x:c r="J834" s="35" t="str">
        <x:v>PASS</x:v>
      </x:c>
      <x:c r="K834" s="35" t="str">
        <x:v>PASS</x:v>
      </x:c>
      <x:c r="L834" s="35" t="str">
        <x:v>FAIL</x:v>
      </x:c>
      <x:c r="M834" s="35" t="str">
        <x:v>numeric coverage for applicable metric</x:v>
      </x:c>
      <x:c r="N834" s="35" t="str">
        <x:v>Deepseek-flash-v4/Result/Time_13/result.json</x:v>
      </x:c>
      <x:c r="O834" s="39" t="n">
        <x:f>IF(AND(G834="RECORDED",ISNUMBER(H834)),H834,"")</x:f>
        <x:v>32.74</x:v>
      </x:c>
      <x:c r="P834" s="35" t="str">
        <x:v>INCONCLUSIVE</x:v>
      </x:c>
      <x:c r="Q834" s="35" t="str">
        <x:v>Deepseek-flash-v4/Result/Time_13/result.json</x:v>
      </x:c>
    </x:row>
    <x:row r="835">
      <x:c r="A835" s="35" t="str">
        <x:v>deepseek</x:v>
      </x:c>
      <x:c r="B835" s="35" t="str">
        <x:v>Time</x:v>
      </x:c>
      <x:c r="C835" s="35" t="str">
        <x:v>Round1</x:v>
      </x:c>
      <x:c r="D835" s="35" t="str">
        <x:v>Time_14</x:v>
      </x:c>
      <x:c r="E835" s="35" t="str">
        <x:v>Line</x:v>
      </x:c>
      <x:c r="F835" s="35"/>
      <x:c r="G835" s="35" t="str">
        <x:v>A</x:v>
      </x:c>
      <x:c r="H835" s="39" t="str">
        <x:f>IF(ISNUMBER('Data'!E835),'Data'!E835*100,"")</x:f>
      </x:c>
      <x:c r="I835" s="35"/>
      <x:c r="J835" s="35" t="str">
        <x:v>PASS</x:v>
      </x:c>
      <x:c r="K835" s="35" t="str">
        <x:v>FAIL</x:v>
      </x:c>
      <x:c r="L835" s="35" t="str">
        <x:v>NOT_RUN</x:v>
      </x:c>
      <x:c r="M835" s="35" t="str">
        <x:v>coverage unavailable or execution/compile failed</x:v>
      </x:c>
      <x:c r="N835" s="35" t="str">
        <x:v>Deepseek-flash-v4/Result/Time_14/result.json</x:v>
      </x:c>
      <x:c r="O835" s="39" t="str">
        <x:f>IF(AND(G835="RECORDED",ISNUMBER(H835)),H835,"")</x:f>
      </x:c>
      <x:c r="P835" s="35" t="str">
        <x:v>NOT_AVAILABLE</x:v>
      </x:c>
      <x:c r="Q835" s="35" t="str">
        <x:v>Deepseek-flash-v4/Result/Time_14/result.json</x:v>
      </x:c>
    </x:row>
    <x:row r="836">
      <x:c r="A836" s="35" t="str">
        <x:v>deepseek</x:v>
      </x:c>
      <x:c r="B836" s="35" t="str">
        <x:v>Time</x:v>
      </x:c>
      <x:c r="C836" s="35" t="str">
        <x:v>Round1</x:v>
      </x:c>
      <x:c r="D836" s="35" t="str">
        <x:v>Time_15</x:v>
      </x:c>
      <x:c r="E836" s="35" t="str">
        <x:v>Line</x:v>
      </x:c>
      <x:c r="F836" s="35"/>
      <x:c r="G836" s="35" t="str">
        <x:v>A</x:v>
      </x:c>
      <x:c r="H836" s="39" t="str">
        <x:f>IF(ISNUMBER('Data'!E836),'Data'!E836*100,"")</x:f>
      </x:c>
      <x:c r="I836" s="35"/>
      <x:c r="J836" s="35" t="str">
        <x:v>PASS</x:v>
      </x:c>
      <x:c r="K836" s="35" t="str">
        <x:v>FAIL</x:v>
      </x:c>
      <x:c r="L836" s="35" t="str">
        <x:v>NOT_RUN</x:v>
      </x:c>
      <x:c r="M836" s="35" t="str">
        <x:v>coverage unavailable or execution/compile failed</x:v>
      </x:c>
      <x:c r="N836" s="35" t="str">
        <x:v>Deepseek-flash-v4/Result/Time_15/result.json</x:v>
      </x:c>
      <x:c r="O836" s="39" t="str">
        <x:f>IF(AND(G836="RECORDED",ISNUMBER(H836)),H836,"")</x:f>
      </x:c>
      <x:c r="P836" s="35" t="str">
        <x:v>NOT_AVAILABLE</x:v>
      </x:c>
      <x:c r="Q836" s="35" t="str">
        <x:v>Deepseek-flash-v4/Result/Time_15/result.json</x:v>
      </x:c>
    </x:row>
    <x:row r="837">
      <x:c r="A837" s="35" t="str">
        <x:v>deepseek</x:v>
      </x:c>
      <x:c r="B837" s="35" t="str">
        <x:v>Time</x:v>
      </x:c>
      <x:c r="C837" s="35" t="str">
        <x:v>Round1</x:v>
      </x:c>
      <x:c r="D837" s="35" t="str">
        <x:v>Time_16</x:v>
      </x:c>
      <x:c r="E837" s="35" t="str">
        <x:v>Line</x:v>
      </x:c>
      <x:c r="F837" s="35"/>
      <x:c r="G837" s="35" t="str">
        <x:v>A</x:v>
      </x:c>
      <x:c r="H837" s="39" t="str">
        <x:f>IF(ISNUMBER('Data'!E837),'Data'!E837*100,"")</x:f>
      </x:c>
      <x:c r="I837" s="35"/>
      <x:c r="J837" s="35" t="str">
        <x:v>PASS</x:v>
      </x:c>
      <x:c r="K837" s="35" t="str">
        <x:v>FAIL</x:v>
      </x:c>
      <x:c r="L837" s="35" t="str">
        <x:v>NOT_RUN</x:v>
      </x:c>
      <x:c r="M837" s="35" t="str">
        <x:v>coverage unavailable or execution/compile failed</x:v>
      </x:c>
      <x:c r="N837" s="35" t="str">
        <x:v>Deepseek-flash-v4/Result/Time_16/result.json</x:v>
      </x:c>
      <x:c r="O837" s="39" t="str">
        <x:f>IF(AND(G837="RECORDED",ISNUMBER(H837)),H837,"")</x:f>
      </x:c>
      <x:c r="P837" s="35" t="str">
        <x:v>NOT_AVAILABLE</x:v>
      </x:c>
      <x:c r="Q837" s="35" t="str">
        <x:v>Deepseek-flash-v4/Result/Time_16/result.json</x:v>
      </x:c>
    </x:row>
    <x:row r="838">
      <x:c r="A838" s="35" t="str">
        <x:v>deepseek</x:v>
      </x:c>
      <x:c r="B838" s="35" t="str">
        <x:v>Time</x:v>
      </x:c>
      <x:c r="C838" s="35" t="str">
        <x:v>Round1</x:v>
      </x:c>
      <x:c r="D838" s="35" t="str">
        <x:v>Time_17</x:v>
      </x:c>
      <x:c r="E838" s="35" t="str">
        <x:v>Line</x:v>
      </x:c>
      <x:c r="F838" s="35"/>
      <x:c r="G838" s="35" t="str">
        <x:v>A</x:v>
      </x:c>
      <x:c r="H838" s="39" t="str">
        <x:f>IF(ISNUMBER('Data'!E838),'Data'!E838*100,"")</x:f>
      </x:c>
      <x:c r="I838" s="35"/>
      <x:c r="J838" s="35" t="str">
        <x:v>PASS</x:v>
      </x:c>
      <x:c r="K838" s="35" t="str">
        <x:v>FAIL</x:v>
      </x:c>
      <x:c r="L838" s="35" t="str">
        <x:v>NOT_RUN</x:v>
      </x:c>
      <x:c r="M838" s="35" t="str">
        <x:v>coverage unavailable or execution/compile failed</x:v>
      </x:c>
      <x:c r="N838" s="35" t="str">
        <x:v>Deepseek-flash-v4/Result/Time_17/result.json</x:v>
      </x:c>
      <x:c r="O838" s="39" t="str">
        <x:f>IF(AND(G838="RECORDED",ISNUMBER(H838)),H838,"")</x:f>
      </x:c>
      <x:c r="P838" s="35" t="str">
        <x:v>NOT_AVAILABLE</x:v>
      </x:c>
      <x:c r="Q838" s="35" t="str">
        <x:v>Deepseek-flash-v4/Result/Time_17/result.json</x:v>
      </x:c>
    </x:row>
    <x:row r="839">
      <x:c r="A839" s="35" t="str">
        <x:v>deepseek</x:v>
      </x:c>
      <x:c r="B839" s="35" t="str">
        <x:v>Time</x:v>
      </x:c>
      <x:c r="C839" s="35" t="str">
        <x:v>Round1</x:v>
      </x:c>
      <x:c r="D839" s="35" t="str">
        <x:v>Time_18</x:v>
      </x:c>
      <x:c r="E839" s="35" t="str">
        <x:v>Line</x:v>
      </x:c>
      <x:c r="F839" s="35"/>
      <x:c r="G839" s="35" t="str">
        <x:v>A</x:v>
      </x:c>
      <x:c r="H839" s="39" t="str">
        <x:f>IF(ISNUMBER('Data'!E839),'Data'!E839*100,"")</x:f>
      </x:c>
      <x:c r="I839" s="35"/>
      <x:c r="J839" s="35" t="str">
        <x:v>PASS</x:v>
      </x:c>
      <x:c r="K839" s="35" t="str">
        <x:v>FAIL</x:v>
      </x:c>
      <x:c r="L839" s="35" t="str">
        <x:v>NOT_RUN</x:v>
      </x:c>
      <x:c r="M839" s="35" t="str">
        <x:v>coverage unavailable or execution/compile failed</x:v>
      </x:c>
      <x:c r="N839" s="35" t="str">
        <x:v>Deepseek-flash-v4/Result/Time_18/result.json</x:v>
      </x:c>
      <x:c r="O839" s="39" t="str">
        <x:f>IF(AND(G839="RECORDED",ISNUMBER(H839)),H839,"")</x:f>
      </x:c>
      <x:c r="P839" s="35" t="str">
        <x:v>NOT_AVAILABLE</x:v>
      </x:c>
      <x:c r="Q839" s="35" t="str">
        <x:v>Deepseek-flash-v4/Result/Time_18/result.json</x:v>
      </x:c>
    </x:row>
    <x:row r="840">
      <x:c r="A840" s="35" t="str">
        <x:v>deepseek</x:v>
      </x:c>
      <x:c r="B840" s="35" t="str">
        <x:v>Time</x:v>
      </x:c>
      <x:c r="C840" s="35" t="str">
        <x:v>Round1</x:v>
      </x:c>
      <x:c r="D840" s="35" t="str">
        <x:v>Time_19</x:v>
      </x:c>
      <x:c r="E840" s="35" t="str">
        <x:v>Line</x:v>
      </x:c>
      <x:c r="F840" s="35"/>
      <x:c r="G840" s="35" t="str">
        <x:v>A</x:v>
      </x:c>
      <x:c r="H840" s="39" t="str">
        <x:f>IF(ISNUMBER('Data'!E840),'Data'!E840*100,"")</x:f>
      </x:c>
      <x:c r="I840" s="35"/>
      <x:c r="J840" s="35" t="str">
        <x:v>PASS</x:v>
      </x:c>
      <x:c r="K840" s="35" t="str">
        <x:v>FAIL</x:v>
      </x:c>
      <x:c r="L840" s="35" t="str">
        <x:v>NOT_RUN</x:v>
      </x:c>
      <x:c r="M840" s="35" t="str">
        <x:v>coverage unavailable or execution/compile failed</x:v>
      </x:c>
      <x:c r="N840" s="35" t="str">
        <x:v>Deepseek-flash-v4/Result/Time_19/result.json</x:v>
      </x:c>
      <x:c r="O840" s="39" t="str">
        <x:f>IF(AND(G840="RECORDED",ISNUMBER(H840)),H840,"")</x:f>
      </x:c>
      <x:c r="P840" s="35" t="str">
        <x:v>NOT_AVAILABLE</x:v>
      </x:c>
      <x:c r="Q840" s="35" t="str">
        <x:v>Deepseek-flash-v4/Result/Time_19/result.json</x:v>
      </x:c>
    </x:row>
    <x:row r="841">
      <x:c r="A841" s="35" t="str">
        <x:v>deepseek</x:v>
      </x:c>
      <x:c r="B841" s="35" t="str">
        <x:v>Time</x:v>
      </x:c>
      <x:c r="C841" s="35" t="str">
        <x:v>Round1</x:v>
      </x:c>
      <x:c r="D841" s="35" t="str">
        <x:v>Time_2</x:v>
      </x:c>
      <x:c r="E841" s="35" t="str">
        <x:v>Line</x:v>
      </x:c>
      <x:c r="F841" s="35"/>
      <x:c r="G841" s="35" t="str">
        <x:v>A</x:v>
      </x:c>
      <x:c r="H841" s="39" t="str">
        <x:f>IF(ISNUMBER('Data'!E841),'Data'!E841*100,"")</x:f>
      </x:c>
      <x:c r="I841" s="35"/>
      <x:c r="J841" s="35" t="str">
        <x:v>PASS</x:v>
      </x:c>
      <x:c r="K841" s="35" t="str">
        <x:v>FAIL</x:v>
      </x:c>
      <x:c r="L841" s="35" t="str">
        <x:v>NOT_RUN</x:v>
      </x:c>
      <x:c r="M841" s="35" t="str">
        <x:v>coverage unavailable or execution/compile failed</x:v>
      </x:c>
      <x:c r="N841" s="35" t="str">
        <x:v>Deepseek-flash-v4/Result/Time_2/result.json</x:v>
      </x:c>
      <x:c r="O841" s="39" t="str">
        <x:f>IF(AND(G841="RECORDED",ISNUMBER(H841)),H841,"")</x:f>
      </x:c>
      <x:c r="P841" s="35" t="str">
        <x:v>NOT_AVAILABLE</x:v>
      </x:c>
      <x:c r="Q841" s="35" t="str">
        <x:v>Deepseek-flash-v4/Result/Time_2/result.json</x:v>
      </x:c>
    </x:row>
    <x:row r="842">
      <x:c r="A842" s="35" t="str">
        <x:v>deepseek</x:v>
      </x:c>
      <x:c r="B842" s="35" t="str">
        <x:v>Time</x:v>
      </x:c>
      <x:c r="C842" s="35" t="str">
        <x:v>Round1</x:v>
      </x:c>
      <x:c r="D842" s="35" t="str">
        <x:v>Time_20</x:v>
      </x:c>
      <x:c r="E842" s="35" t="str">
        <x:v>Line</x:v>
      </x:c>
      <x:c r="F842" s="35"/>
      <x:c r="G842" s="35" t="str">
        <x:v>A</x:v>
      </x:c>
      <x:c r="H842" s="39" t="str">
        <x:f>IF(ISNUMBER('Data'!E842),'Data'!E842*100,"")</x:f>
      </x:c>
      <x:c r="I842" s="35"/>
      <x:c r="J842" s="35" t="str">
        <x:v>PASS</x:v>
      </x:c>
      <x:c r="K842" s="35" t="str">
        <x:v>FAIL</x:v>
      </x:c>
      <x:c r="L842" s="35" t="str">
        <x:v>NOT_RUN</x:v>
      </x:c>
      <x:c r="M842" s="35" t="str">
        <x:v>coverage unavailable or execution/compile failed</x:v>
      </x:c>
      <x:c r="N842" s="35" t="str">
        <x:v>Deepseek-flash-v4/Result/Time_20/result.json</x:v>
      </x:c>
      <x:c r="O842" s="39" t="str">
        <x:f>IF(AND(G842="RECORDED",ISNUMBER(H842)),H842,"")</x:f>
      </x:c>
      <x:c r="P842" s="35" t="str">
        <x:v>NOT_AVAILABLE</x:v>
      </x:c>
      <x:c r="Q842" s="35" t="str">
        <x:v>Deepseek-flash-v4/Result/Time_20/result.json</x:v>
      </x:c>
    </x:row>
    <x:row r="843">
      <x:c r="A843" s="35" t="str">
        <x:v>deepseek</x:v>
      </x:c>
      <x:c r="B843" s="35" t="str">
        <x:v>Time</x:v>
      </x:c>
      <x:c r="C843" s="35" t="str">
        <x:v>Round1</x:v>
      </x:c>
      <x:c r="D843" s="35" t="str">
        <x:v>Time_22</x:v>
      </x:c>
      <x:c r="E843" s="35" t="str">
        <x:v>Line</x:v>
      </x:c>
      <x:c r="F843" s="35"/>
      <x:c r="G843" s="35" t="str">
        <x:v>A</x:v>
      </x:c>
      <x:c r="H843" s="39" t="str">
        <x:f>IF(ISNUMBER('Data'!E843),'Data'!E843*100,"")</x:f>
      </x:c>
      <x:c r="I843" s="35"/>
      <x:c r="J843" s="35" t="str">
        <x:v>PASS</x:v>
      </x:c>
      <x:c r="K843" s="35" t="str">
        <x:v>FAIL</x:v>
      </x:c>
      <x:c r="L843" s="35" t="str">
        <x:v>NOT_RUN</x:v>
      </x:c>
      <x:c r="M843" s="35" t="str">
        <x:v>coverage unavailable or execution/compile failed</x:v>
      </x:c>
      <x:c r="N843" s="35" t="str">
        <x:v>Deepseek-flash-v4/Result/Time_22/result.json</x:v>
      </x:c>
      <x:c r="O843" s="39" t="str">
        <x:f>IF(AND(G843="RECORDED",ISNUMBER(H843)),H843,"")</x:f>
      </x:c>
      <x:c r="P843" s="35" t="str">
        <x:v>NOT_AVAILABLE</x:v>
      </x:c>
      <x:c r="Q843" s="35" t="str">
        <x:v>Deepseek-flash-v4/Result/Time_22/result.json</x:v>
      </x:c>
    </x:row>
    <x:row r="844">
      <x:c r="A844" s="35" t="str">
        <x:v>deepseek</x:v>
      </x:c>
      <x:c r="B844" s="35" t="str">
        <x:v>Time</x:v>
      </x:c>
      <x:c r="C844" s="35" t="str">
        <x:v>Round1</x:v>
      </x:c>
      <x:c r="D844" s="35" t="str">
        <x:v>Time_23</x:v>
      </x:c>
      <x:c r="E844" s="35" t="str">
        <x:v>Line</x:v>
      </x:c>
      <x:c r="F844" s="35"/>
      <x:c r="G844" s="35" t="str">
        <x:v>A</x:v>
      </x:c>
      <x:c r="H844" s="39" t="str">
        <x:f>IF(ISNUMBER('Data'!E844),'Data'!E844*100,"")</x:f>
      </x:c>
      <x:c r="I844" s="35"/>
      <x:c r="J844" s="35" t="str">
        <x:v>PASS</x:v>
      </x:c>
      <x:c r="K844" s="35" t="str">
        <x:v>FAIL</x:v>
      </x:c>
      <x:c r="L844" s="35" t="str">
        <x:v>NOT_RUN</x:v>
      </x:c>
      <x:c r="M844" s="35" t="str">
        <x:v>coverage unavailable or execution/compile failed</x:v>
      </x:c>
      <x:c r="N844" s="35" t="str">
        <x:v>Deepseek-flash-v4/Result/Time_23/result.json</x:v>
      </x:c>
      <x:c r="O844" s="39" t="str">
        <x:f>IF(AND(G844="RECORDED",ISNUMBER(H844)),H844,"")</x:f>
      </x:c>
      <x:c r="P844" s="35" t="str">
        <x:v>NOT_AVAILABLE</x:v>
      </x:c>
      <x:c r="Q844" s="35" t="str">
        <x:v>Deepseek-flash-v4/Result/Time_23/result.json</x:v>
      </x:c>
    </x:row>
    <x:row r="845">
      <x:c r="A845" s="35" t="str">
        <x:v>deepseek</x:v>
      </x:c>
      <x:c r="B845" s="35" t="str">
        <x:v>Time</x:v>
      </x:c>
      <x:c r="C845" s="35" t="str">
        <x:v>Round1</x:v>
      </x:c>
      <x:c r="D845" s="35" t="str">
        <x:v>Time_24</x:v>
      </x:c>
      <x:c r="E845" s="35" t="str">
        <x:v>Line</x:v>
      </x:c>
      <x:c r="F845" s="35"/>
      <x:c r="G845" s="35" t="str">
        <x:v>A</x:v>
      </x:c>
      <x:c r="H845" s="39" t="str">
        <x:f>IF(ISNUMBER('Data'!E845),'Data'!E845*100,"")</x:f>
      </x:c>
      <x:c r="I845" s="35"/>
      <x:c r="J845" s="35" t="str">
        <x:v>PASS</x:v>
      </x:c>
      <x:c r="K845" s="35" t="str">
        <x:v>FAIL</x:v>
      </x:c>
      <x:c r="L845" s="35" t="str">
        <x:v>NOT_RUN</x:v>
      </x:c>
      <x:c r="M845" s="35" t="str">
        <x:v>coverage unavailable or execution/compile failed</x:v>
      </x:c>
      <x:c r="N845" s="35" t="str">
        <x:v>Deepseek-flash-v4/Result/Time_24/result.json</x:v>
      </x:c>
      <x:c r="O845" s="39" t="str">
        <x:f>IF(AND(G845="RECORDED",ISNUMBER(H845)),H845,"")</x:f>
      </x:c>
      <x:c r="P845" s="35" t="str">
        <x:v>NOT_AVAILABLE</x:v>
      </x:c>
      <x:c r="Q845" s="35" t="str">
        <x:v>Deepseek-flash-v4/Result/Time_24/result.json</x:v>
      </x:c>
    </x:row>
    <x:row r="846">
      <x:c r="A846" s="35" t="str">
        <x:v>deepseek</x:v>
      </x:c>
      <x:c r="B846" s="35" t="str">
        <x:v>Time</x:v>
      </x:c>
      <x:c r="C846" s="35" t="str">
        <x:v>Round1</x:v>
      </x:c>
      <x:c r="D846" s="35" t="str">
        <x:v>Time_25</x:v>
      </x:c>
      <x:c r="E846" s="35" t="str">
        <x:v>Line</x:v>
      </x:c>
      <x:c r="F846" s="35" t="n">
        <x:v>328</x:v>
      </x:c>
      <x:c r="G846" s="35" t="str">
        <x:v>RECORDED</x:v>
      </x:c>
      <x:c r="H846" s="39" t="n">
        <x:f>IF(ISNUMBER('Data'!E846),'Data'!E846*100,"")</x:f>
        <x:v>67.99</x:v>
      </x:c>
      <x:c r="I846" s="35" t="str">
        <x:v>PASS</x:v>
      </x:c>
      <x:c r="J846" s="35" t="str">
        <x:v>PASS</x:v>
      </x:c>
      <x:c r="K846" s="35" t="str">
        <x:v>PASS</x:v>
      </x:c>
      <x:c r="L846" s="35" t="str">
        <x:v>FAIL</x:v>
      </x:c>
      <x:c r="M846" s="35" t="str">
        <x:v>numeric coverage for applicable metric</x:v>
      </x:c>
      <x:c r="N846" s="35" t="str">
        <x:v>Deepseek-flash-v4/Result/Time_25/result.json</x:v>
      </x:c>
      <x:c r="O846" s="39" t="n">
        <x:f>IF(AND(G846="RECORDED",ISNUMBER(H846)),H846,"")</x:f>
        <x:v>67.99</x:v>
      </x:c>
      <x:c r="P846" s="35" t="str">
        <x:v>INCONCLUSIVE</x:v>
      </x:c>
      <x:c r="Q846" s="35" t="str">
        <x:v>Deepseek-flash-v4/Result/Time_25/result.json</x:v>
      </x:c>
    </x:row>
    <x:row r="847">
      <x:c r="A847" s="35" t="str">
        <x:v>deepseek</x:v>
      </x:c>
      <x:c r="B847" s="35" t="str">
        <x:v>Time</x:v>
      </x:c>
      <x:c r="C847" s="35" t="str">
        <x:v>Round1</x:v>
      </x:c>
      <x:c r="D847" s="35" t="str">
        <x:v>Time_26</x:v>
      </x:c>
      <x:c r="E847" s="35" t="str">
        <x:v>Line</x:v>
      </x:c>
      <x:c r="F847" s="35"/>
      <x:c r="G847" s="35" t="str">
        <x:v>A</x:v>
      </x:c>
      <x:c r="H847" s="39" t="str">
        <x:f>IF(ISNUMBER('Data'!E847),'Data'!E847*100,"")</x:f>
      </x:c>
      <x:c r="I847" s="35"/>
      <x:c r="J847" s="35" t="str">
        <x:v>PASS</x:v>
      </x:c>
      <x:c r="K847" s="35" t="str">
        <x:v>FAIL</x:v>
      </x:c>
      <x:c r="L847" s="35" t="str">
        <x:v>NOT_RUN</x:v>
      </x:c>
      <x:c r="M847" s="35" t="str">
        <x:v>coverage unavailable or execution/compile failed</x:v>
      </x:c>
      <x:c r="N847" s="35" t="str">
        <x:v>Deepseek-flash-v4/Result/Time_26/result.json</x:v>
      </x:c>
      <x:c r="O847" s="39" t="str">
        <x:f>IF(AND(G847="RECORDED",ISNUMBER(H847)),H847,"")</x:f>
      </x:c>
      <x:c r="P847" s="35" t="str">
        <x:v>NOT_AVAILABLE</x:v>
      </x:c>
      <x:c r="Q847" s="35" t="str">
        <x:v>Deepseek-flash-v4/Result/Time_26/result.json</x:v>
      </x:c>
    </x:row>
    <x:row r="848">
      <x:c r="A848" s="35" t="str">
        <x:v>deepseek</x:v>
      </x:c>
      <x:c r="B848" s="35" t="str">
        <x:v>Time</x:v>
      </x:c>
      <x:c r="C848" s="35" t="str">
        <x:v>Round1</x:v>
      </x:c>
      <x:c r="D848" s="35" t="str">
        <x:v>Time_27</x:v>
      </x:c>
      <x:c r="E848" s="35" t="str">
        <x:v>Line</x:v>
      </x:c>
      <x:c r="F848" s="35" t="n">
        <x:v>670</x:v>
      </x:c>
      <x:c r="G848" s="35" t="str">
        <x:v>RECORDED</x:v>
      </x:c>
      <x:c r="H848" s="39" t="n">
        <x:f>IF(ISNUMBER('Data'!E848),'Data'!E848*100,"")</x:f>
        <x:v>35.07</x:v>
      </x:c>
      <x:c r="I848" s="35" t="str">
        <x:v>PASS</x:v>
      </x:c>
      <x:c r="J848" s="35" t="str">
        <x:v>PASS</x:v>
      </x:c>
      <x:c r="K848" s="35" t="str">
        <x:v>PASS</x:v>
      </x:c>
      <x:c r="L848" s="35" t="str">
        <x:v>FAIL</x:v>
      </x:c>
      <x:c r="M848" s="35" t="str">
        <x:v>numeric coverage for applicable metric</x:v>
      </x:c>
      <x:c r="N848" s="35" t="str">
        <x:v>Deepseek-flash-v4/Result/Time_27/result.json</x:v>
      </x:c>
      <x:c r="O848" s="39" t="n">
        <x:f>IF(AND(G848="RECORDED",ISNUMBER(H848)),H848,"")</x:f>
        <x:v>35.07</x:v>
      </x:c>
      <x:c r="P848" s="35" t="str">
        <x:v>INCONCLUSIVE</x:v>
      </x:c>
      <x:c r="Q848" s="35" t="str">
        <x:v>Deepseek-flash-v4/Result/Time_27/result.json</x:v>
      </x:c>
    </x:row>
    <x:row r="849">
      <x:c r="A849" s="35" t="str">
        <x:v>deepseek</x:v>
      </x:c>
      <x:c r="B849" s="35" t="str">
        <x:v>Time</x:v>
      </x:c>
      <x:c r="C849" s="35" t="str">
        <x:v>Round1</x:v>
      </x:c>
      <x:c r="D849" s="35" t="str">
        <x:v>Time_3</x:v>
      </x:c>
      <x:c r="E849" s="35" t="str">
        <x:v>Line</x:v>
      </x:c>
      <x:c r="F849" s="35"/>
      <x:c r="G849" s="35" t="str">
        <x:v>A</x:v>
      </x:c>
      <x:c r="H849" s="39" t="str">
        <x:f>IF(ISNUMBER('Data'!E849),'Data'!E849*100,"")</x:f>
      </x:c>
      <x:c r="I849" s="35"/>
      <x:c r="J849" s="35" t="str">
        <x:v>PASS</x:v>
      </x:c>
      <x:c r="K849" s="35" t="str">
        <x:v>FAIL</x:v>
      </x:c>
      <x:c r="L849" s="35" t="str">
        <x:v>NOT_RUN</x:v>
      </x:c>
      <x:c r="M849" s="35" t="str">
        <x:v>coverage unavailable or execution/compile failed</x:v>
      </x:c>
      <x:c r="N849" s="35" t="str">
        <x:v>Deepseek-flash-v4/Result/Time_3/result.json</x:v>
      </x:c>
      <x:c r="O849" s="39" t="str">
        <x:f>IF(AND(G849="RECORDED",ISNUMBER(H849)),H849,"")</x:f>
      </x:c>
      <x:c r="P849" s="35" t="str">
        <x:v>NOT_AVAILABLE</x:v>
      </x:c>
      <x:c r="Q849" s="35" t="str">
        <x:v>Deepseek-flash-v4/Result/Time_3/result.json</x:v>
      </x:c>
    </x:row>
    <x:row r="850">
      <x:c r="A850" s="35" t="str">
        <x:v>deepseek</x:v>
      </x:c>
      <x:c r="B850" s="35" t="str">
        <x:v>Time</x:v>
      </x:c>
      <x:c r="C850" s="35" t="str">
        <x:v>Round1</x:v>
      </x:c>
      <x:c r="D850" s="35" t="str">
        <x:v>Time_4</x:v>
      </x:c>
      <x:c r="E850" s="35" t="str">
        <x:v>Line</x:v>
      </x:c>
      <x:c r="F850" s="35" t="n">
        <x:v>253</x:v>
      </x:c>
      <x:c r="G850" s="35" t="str">
        <x:v>RECORDED</x:v>
      </x:c>
      <x:c r="H850" s="39" t="n">
        <x:f>IF(ISNUMBER('Data'!E850),'Data'!E850*100,"")</x:f>
        <x:v>84.98</x:v>
      </x:c>
      <x:c r="I850" s="35" t="str">
        <x:v>PASS</x:v>
      </x:c>
      <x:c r="J850" s="35" t="str">
        <x:v>PASS</x:v>
      </x:c>
      <x:c r="K850" s="35" t="str">
        <x:v>PASS</x:v>
      </x:c>
      <x:c r="L850" s="35" t="str">
        <x:v>PASS</x:v>
      </x:c>
      <x:c r="M850" s="35" t="str">
        <x:v>numeric coverage for applicable metric</x:v>
      </x:c>
      <x:c r="N850" s="35" t="str">
        <x:v>Deepseek-flash-v4/Result/Time_4/result.json</x:v>
      </x:c>
      <x:c r="O850" s="39" t="n">
        <x:f>IF(AND(G850="RECORDED",ISNUMBER(H850)),H850,"")</x:f>
        <x:v>84.98</x:v>
      </x:c>
      <x:c r="P850" s="35" t="str">
        <x:v>NOT_REVEALING</x:v>
      </x:c>
      <x:c r="Q850" s="35" t="str">
        <x:v>Deepseek-flash-v4/Result/Time_4/result.json</x:v>
      </x:c>
    </x:row>
    <x:row r="851">
      <x:c r="A851" s="35" t="str">
        <x:v>deepseek</x:v>
      </x:c>
      <x:c r="B851" s="35" t="str">
        <x:v>Time</x:v>
      </x:c>
      <x:c r="C851" s="35" t="str">
        <x:v>Round1</x:v>
      </x:c>
      <x:c r="D851" s="35" t="str">
        <x:v>Time_5</x:v>
      </x:c>
      <x:c r="E851" s="35" t="str">
        <x:v>Line</x:v>
      </x:c>
      <x:c r="F851" s="35"/>
      <x:c r="G851" s="35" t="str">
        <x:v>A</x:v>
      </x:c>
      <x:c r="H851" s="39" t="str">
        <x:f>IF(ISNUMBER('Data'!E851),'Data'!E851*100,"")</x:f>
      </x:c>
      <x:c r="I851" s="35"/>
      <x:c r="J851" s="35" t="str">
        <x:v>PASS</x:v>
      </x:c>
      <x:c r="K851" s="35" t="str">
        <x:v>FAIL</x:v>
      </x:c>
      <x:c r="L851" s="35" t="str">
        <x:v>NOT_RUN</x:v>
      </x:c>
      <x:c r="M851" s="35" t="str">
        <x:v>coverage unavailable or execution/compile failed</x:v>
      </x:c>
      <x:c r="N851" s="35" t="str">
        <x:v>Deepseek-flash-v4/Result/Time_5/result.json</x:v>
      </x:c>
      <x:c r="O851" s="39" t="str">
        <x:f>IF(AND(G851="RECORDED",ISNUMBER(H851)),H851,"")</x:f>
      </x:c>
      <x:c r="P851" s="35" t="str">
        <x:v>NOT_AVAILABLE</x:v>
      </x:c>
      <x:c r="Q851" s="35" t="str">
        <x:v>Deepseek-flash-v4/Result/Time_5/result.json</x:v>
      </x:c>
    </x:row>
    <x:row r="852">
      <x:c r="A852" s="35" t="str">
        <x:v>deepseek</x:v>
      </x:c>
      <x:c r="B852" s="35" t="str">
        <x:v>Time</x:v>
      </x:c>
      <x:c r="C852" s="35" t="str">
        <x:v>Round1</x:v>
      </x:c>
      <x:c r="D852" s="35" t="str">
        <x:v>Time_6</x:v>
      </x:c>
      <x:c r="E852" s="35" t="str">
        <x:v>Line</x:v>
      </x:c>
      <x:c r="F852" s="35" t="n">
        <x:v>361</x:v>
      </x:c>
      <x:c r="G852" s="35" t="str">
        <x:v>RECORDED</x:v>
      </x:c>
      <x:c r="H852" s="39" t="n">
        <x:f>IF(ISNUMBER('Data'!E852),'Data'!E852*100,"")</x:f>
        <x:v>50.690000000000005</x:v>
      </x:c>
      <x:c r="I852" s="35" t="str">
        <x:v>PASS</x:v>
      </x:c>
      <x:c r="J852" s="35" t="str">
        <x:v>PASS</x:v>
      </x:c>
      <x:c r="K852" s="35" t="str">
        <x:v>PASS</x:v>
      </x:c>
      <x:c r="L852" s="35" t="str">
        <x:v>PASS</x:v>
      </x:c>
      <x:c r="M852" s="35" t="str">
        <x:v>numeric coverage for applicable metric</x:v>
      </x:c>
      <x:c r="N852" s="35" t="str">
        <x:v>Deepseek-flash-v4/Result/Time_6/result.json</x:v>
      </x:c>
      <x:c r="O852" s="39" t="n">
        <x:f>IF(AND(G852="RECORDED",ISNUMBER(H852)),H852,"")</x:f>
        <x:v>50.690000000000005</x:v>
      </x:c>
      <x:c r="P852" s="35" t="str">
        <x:v>NOT_REVEALING</x:v>
      </x:c>
      <x:c r="Q852" s="35" t="str">
        <x:v>Deepseek-flash-v4/Result/Time_6/result.json</x:v>
      </x:c>
    </x:row>
    <x:row r="853">
      <x:c r="A853" s="35" t="str">
        <x:v>deepseek</x:v>
      </x:c>
      <x:c r="B853" s="35" t="str">
        <x:v>Time</x:v>
      </x:c>
      <x:c r="C853" s="35" t="str">
        <x:v>Round1</x:v>
      </x:c>
      <x:c r="D853" s="35" t="str">
        <x:v>Time_7</x:v>
      </x:c>
      <x:c r="E853" s="35" t="str">
        <x:v>Line</x:v>
      </x:c>
      <x:c r="F853" s="35"/>
      <x:c r="G853" s="35" t="str">
        <x:v>A</x:v>
      </x:c>
      <x:c r="H853" s="39" t="str">
        <x:f>IF(ISNUMBER('Data'!E853),'Data'!E853*100,"")</x:f>
      </x:c>
      <x:c r="I853" s="35"/>
      <x:c r="J853" s="35" t="str">
        <x:v>PASS</x:v>
      </x:c>
      <x:c r="K853" s="35" t="str">
        <x:v>FAIL</x:v>
      </x:c>
      <x:c r="L853" s="35" t="str">
        <x:v>NOT_RUN</x:v>
      </x:c>
      <x:c r="M853" s="35" t="str">
        <x:v>coverage unavailable or execution/compile failed</x:v>
      </x:c>
      <x:c r="N853" s="35" t="str">
        <x:v>Deepseek-flash-v4/Result/Time_7/result.json</x:v>
      </x:c>
      <x:c r="O853" s="39" t="str">
        <x:f>IF(AND(G853="RECORDED",ISNUMBER(H853)),H853,"")</x:f>
      </x:c>
      <x:c r="P853" s="35" t="str">
        <x:v>NOT_AVAILABLE</x:v>
      </x:c>
      <x:c r="Q853" s="35" t="str">
        <x:v>Deepseek-flash-v4/Result/Time_7/result.json</x:v>
      </x:c>
    </x:row>
    <x:row r="854">
      <x:c r="A854" s="35" t="str">
        <x:v>deepseek</x:v>
      </x:c>
      <x:c r="B854" s="35" t="str">
        <x:v>Time</x:v>
      </x:c>
      <x:c r="C854" s="35" t="str">
        <x:v>Round1</x:v>
      </x:c>
      <x:c r="D854" s="35" t="str">
        <x:v>Time_8</x:v>
      </x:c>
      <x:c r="E854" s="35" t="str">
        <x:v>Line</x:v>
      </x:c>
      <x:c r="F854" s="35" t="n">
        <x:v>355</x:v>
      </x:c>
      <x:c r="G854" s="35" t="str">
        <x:v>RECORDED</x:v>
      </x:c>
      <x:c r="H854" s="39" t="n">
        <x:f>IF(ISNUMBER('Data'!E854),'Data'!E854*100,"")</x:f>
        <x:v>65.35</x:v>
      </x:c>
      <x:c r="I854" s="35" t="str">
        <x:v>PASS</x:v>
      </x:c>
      <x:c r="J854" s="35" t="str">
        <x:v>PASS</x:v>
      </x:c>
      <x:c r="K854" s="35" t="str">
        <x:v>PASS</x:v>
      </x:c>
      <x:c r="L854" s="35" t="str">
        <x:v>PASS</x:v>
      </x:c>
      <x:c r="M854" s="35" t="str">
        <x:v>numeric coverage for applicable metric</x:v>
      </x:c>
      <x:c r="N854" s="35" t="str">
        <x:v>Deepseek-flash-v4/Result/Time_8/result.json</x:v>
      </x:c>
      <x:c r="O854" s="39" t="n">
        <x:f>IF(AND(G854="RECORDED",ISNUMBER(H854)),H854,"")</x:f>
        <x:v>65.35</x:v>
      </x:c>
      <x:c r="P854" s="35" t="str">
        <x:v>NOT_REVEALING</x:v>
      </x:c>
      <x:c r="Q854" s="35" t="str">
        <x:v>Deepseek-flash-v4/Result/Time_8/result.json</x:v>
      </x:c>
    </x:row>
    <x:row r="855">
      <x:c r="A855" s="35" t="str">
        <x:v>deepseek</x:v>
      </x:c>
      <x:c r="B855" s="35" t="str">
        <x:v>Time</x:v>
      </x:c>
      <x:c r="C855" s="35" t="str">
        <x:v>Round1</x:v>
      </x:c>
      <x:c r="D855" s="35" t="str">
        <x:v>Time_9</x:v>
      </x:c>
      <x:c r="E855" s="35" t="str">
        <x:v>Line</x:v>
      </x:c>
      <x:c r="F855" s="35"/>
      <x:c r="G855" s="35" t="str">
        <x:v>A</x:v>
      </x:c>
      <x:c r="H855" s="39" t="str">
        <x:f>IF(ISNUMBER('Data'!E855),'Data'!E855*100,"")</x:f>
      </x:c>
      <x:c r="I855" s="35"/>
      <x:c r="J855" s="35" t="str">
        <x:v>PASS</x:v>
      </x:c>
      <x:c r="K855" s="35" t="str">
        <x:v>FAIL</x:v>
      </x:c>
      <x:c r="L855" s="35" t="str">
        <x:v>NOT_RUN</x:v>
      </x:c>
      <x:c r="M855" s="35" t="str">
        <x:v>coverage unavailable or execution/compile failed</x:v>
      </x:c>
      <x:c r="N855" s="35" t="str">
        <x:v>Deepseek-flash-v4/Result/Time_9/result.json</x:v>
      </x:c>
      <x:c r="O855" s="39" t="str">
        <x:f>IF(AND(G855="RECORDED",ISNUMBER(H855)),H855,"")</x:f>
      </x:c>
      <x:c r="P855" s="35" t="str">
        <x:v>NOT_AVAILABLE</x:v>
      </x:c>
      <x:c r="Q855" s="35" t="str">
        <x:v>Deepseek-flash-v4/Result/Time_9/result.json</x:v>
      </x:c>
    </x:row>
    <x:row r="856">
      <x:c r="A856" s="35" t="str">
        <x:v>deepseek</x:v>
      </x:c>
      <x:c r="B856" s="35" t="str">
        <x:v>Chart</x:v>
      </x:c>
      <x:c r="C856" s="35" t="str">
        <x:v>Round2</x:v>
      </x:c>
      <x:c r="D856" s="35" t="str">
        <x:v>Chart_1</x:v>
      </x:c>
      <x:c r="E856" s="35" t="str">
        <x:v>Line</x:v>
      </x:c>
      <x:c r="F856" s="35"/>
      <x:c r="G856" s="35" t="str">
        <x:v>A</x:v>
      </x:c>
      <x:c r="H856" s="39" t="str">
        <x:f>IF(ISNUMBER('Data'!E856),'Data'!E856*100,"")</x:f>
      </x:c>
      <x:c r="I856" s="35"/>
      <x:c r="J856" s="35" t="str">
        <x:v>PASS</x:v>
      </x:c>
      <x:c r="K856" s="35" t="str">
        <x:v>FAIL</x:v>
      </x:c>
      <x:c r="L856" s="35" t="str">
        <x:v>NOT_RUN</x:v>
      </x:c>
      <x:c r="M856" s="35" t="str">
        <x:v>coverage unavailable or execution/compile failed</x:v>
      </x:c>
      <x:c r="N856" s="35" t="str">
        <x:v>Deepseek-flash-v4/Result2/Chart_1/result.json</x:v>
      </x:c>
      <x:c r="O856" s="39" t="str">
        <x:f>IF(AND(G856="RECORDED",ISNUMBER(H856)),H856,"")</x:f>
      </x:c>
      <x:c r="P856" s="35" t="str">
        <x:v>NOT_AVAILABLE</x:v>
      </x:c>
      <x:c r="Q856" s="35" t="str">
        <x:v>Deepseek-flash-v4/Result2/Chart_1/result.json</x:v>
      </x:c>
    </x:row>
    <x:row r="857">
      <x:c r="A857" s="35" t="str">
        <x:v>deepseek</x:v>
      </x:c>
      <x:c r="B857" s="35" t="str">
        <x:v>Chart</x:v>
      </x:c>
      <x:c r="C857" s="35" t="str">
        <x:v>Round2</x:v>
      </x:c>
      <x:c r="D857" s="35" t="str">
        <x:v>Chart_10</x:v>
      </x:c>
      <x:c r="E857" s="35" t="str">
        <x:v>Line</x:v>
      </x:c>
      <x:c r="F857" s="35" t="n">
        <x:v>3</x:v>
      </x:c>
      <x:c r="G857" s="35" t="str">
        <x:v>RECORDED</x:v>
      </x:c>
      <x:c r="H857" s="39" t="n">
        <x:f>IF(ISNUMBER('Data'!E857),'Data'!E857*100,"")</x:f>
        <x:v>100</x:v>
      </x:c>
      <x:c r="I857" s="35" t="str">
        <x:v>PASS</x:v>
      </x:c>
      <x:c r="J857" s="35" t="str">
        <x:v>PASS</x:v>
      </x:c>
      <x:c r="K857" s="35" t="str">
        <x:v>PASS</x:v>
      </x:c>
      <x:c r="L857" s="35" t="str">
        <x:v>FAIL</x:v>
      </x:c>
      <x:c r="M857" s="35" t="str">
        <x:v>numeric coverage for applicable metric</x:v>
      </x:c>
      <x:c r="N857" s="35" t="str">
        <x:v>Deepseek-flash-v4/Result2/Chart_10/result.json</x:v>
      </x:c>
      <x:c r="O857" s="39" t="n">
        <x:f>IF(AND(G857="RECORDED",ISNUMBER(H857)),H857,"")</x:f>
        <x:v>100</x:v>
      </x:c>
      <x:c r="P857" s="35" t="str">
        <x:v>INCONCLUSIVE</x:v>
      </x:c>
      <x:c r="Q857" s="35" t="str">
        <x:v>Deepseek-flash-v4/Result2/Chart_10/result.json</x:v>
      </x:c>
    </x:row>
    <x:row r="858">
      <x:c r="A858" s="35" t="str">
        <x:v>deepseek</x:v>
      </x:c>
      <x:c r="B858" s="35" t="str">
        <x:v>Chart</x:v>
      </x:c>
      <x:c r="C858" s="35" t="str">
        <x:v>Round2</x:v>
      </x:c>
      <x:c r="D858" s="35" t="str">
        <x:v>Chart_11</x:v>
      </x:c>
      <x:c r="E858" s="35" t="str">
        <x:v>Line</x:v>
      </x:c>
      <x:c r="F858" s="35"/>
      <x:c r="G858" s="35" t="str">
        <x:v>A</x:v>
      </x:c>
      <x:c r="H858" s="39" t="str">
        <x:f>IF(ISNUMBER('Data'!E858),'Data'!E858*100,"")</x:f>
      </x:c>
      <x:c r="I858" s="35"/>
      <x:c r="J858" s="35" t="str">
        <x:v>PASS</x:v>
      </x:c>
      <x:c r="K858" s="35" t="str">
        <x:v>FAIL</x:v>
      </x:c>
      <x:c r="L858" s="35" t="str">
        <x:v>NOT_RUN</x:v>
      </x:c>
      <x:c r="M858" s="35" t="str">
        <x:v>coverage unavailable or execution/compile failed</x:v>
      </x:c>
      <x:c r="N858" s="35" t="str">
        <x:v>Deepseek-flash-v4/Result2/Chart_11/result.json</x:v>
      </x:c>
      <x:c r="O858" s="39" t="str">
        <x:f>IF(AND(G858="RECORDED",ISNUMBER(H858)),H858,"")</x:f>
      </x:c>
      <x:c r="P858" s="35" t="str">
        <x:v>NOT_AVAILABLE</x:v>
      </x:c>
      <x:c r="Q858" s="35" t="str">
        <x:v>Deepseek-flash-v4/Result2/Chart_11/result.json</x:v>
      </x:c>
    </x:row>
    <x:row r="859">
      <x:c r="A859" s="35" t="str">
        <x:v>deepseek</x:v>
      </x:c>
      <x:c r="B859" s="35" t="str">
        <x:v>Chart</x:v>
      </x:c>
      <x:c r="C859" s="35" t="str">
        <x:v>Round2</x:v>
      </x:c>
      <x:c r="D859" s="35" t="str">
        <x:v>Chart_12</x:v>
      </x:c>
      <x:c r="E859" s="35" t="str">
        <x:v>Line</x:v>
      </x:c>
      <x:c r="F859" s="35"/>
      <x:c r="G859" s="35" t="str">
        <x:v>A</x:v>
      </x:c>
      <x:c r="H859" s="39" t="str">
        <x:f>IF(ISNUMBER('Data'!E859),'Data'!E859*100,"")</x:f>
      </x:c>
      <x:c r="I859" s="35"/>
      <x:c r="J859" s="35" t="str">
        <x:v>PASS</x:v>
      </x:c>
      <x:c r="K859" s="35" t="str">
        <x:v>FAIL</x:v>
      </x:c>
      <x:c r="L859" s="35" t="str">
        <x:v>NOT_RUN</x:v>
      </x:c>
      <x:c r="M859" s="35" t="str">
        <x:v>coverage unavailable or execution/compile failed</x:v>
      </x:c>
      <x:c r="N859" s="35" t="str">
        <x:v>Deepseek-flash-v4/Result2/Chart_12/result.json</x:v>
      </x:c>
      <x:c r="O859" s="39" t="str">
        <x:f>IF(AND(G859="RECORDED",ISNUMBER(H859)),H859,"")</x:f>
      </x:c>
      <x:c r="P859" s="35" t="str">
        <x:v>NOT_AVAILABLE</x:v>
      </x:c>
      <x:c r="Q859" s="35" t="str">
        <x:v>Deepseek-flash-v4/Result2/Chart_12/result.json</x:v>
      </x:c>
    </x:row>
    <x:row r="860">
      <x:c r="A860" s="35" t="str">
        <x:v>deepseek</x:v>
      </x:c>
      <x:c r="B860" s="35" t="str">
        <x:v>Chart</x:v>
      </x:c>
      <x:c r="C860" s="35" t="str">
        <x:v>Round2</x:v>
      </x:c>
      <x:c r="D860" s="35" t="str">
        <x:v>Chart_13</x:v>
      </x:c>
      <x:c r="E860" s="35" t="str">
        <x:v>Line</x:v>
      </x:c>
      <x:c r="F860" s="35"/>
      <x:c r="G860" s="35" t="str">
        <x:v>A</x:v>
      </x:c>
      <x:c r="H860" s="39" t="str">
        <x:f>IF(ISNUMBER('Data'!E860),'Data'!E860*100,"")</x:f>
      </x:c>
      <x:c r="I860" s="35"/>
      <x:c r="J860" s="35" t="str">
        <x:v>PASS</x:v>
      </x:c>
      <x:c r="K860" s="35" t="str">
        <x:v>FAIL</x:v>
      </x:c>
      <x:c r="L860" s="35" t="str">
        <x:v>NOT_RUN</x:v>
      </x:c>
      <x:c r="M860" s="35" t="str">
        <x:v>coverage unavailable or execution/compile failed</x:v>
      </x:c>
      <x:c r="N860" s="35" t="str">
        <x:v>Deepseek-flash-v4/Result2/Chart_13/result.json</x:v>
      </x:c>
      <x:c r="O860" s="39" t="str">
        <x:f>IF(AND(G860="RECORDED",ISNUMBER(H860)),H860,"")</x:f>
      </x:c>
      <x:c r="P860" s="35" t="str">
        <x:v>NOT_AVAILABLE</x:v>
      </x:c>
      <x:c r="Q860" s="35" t="str">
        <x:v>Deepseek-flash-v4/Result2/Chart_13/result.json</x:v>
      </x:c>
    </x:row>
    <x:row r="861">
      <x:c r="A861" s="35" t="str">
        <x:v>deepseek</x:v>
      </x:c>
      <x:c r="B861" s="35" t="str">
        <x:v>Chart</x:v>
      </x:c>
      <x:c r="C861" s="35" t="str">
        <x:v>Round2</x:v>
      </x:c>
      <x:c r="D861" s="35" t="str">
        <x:v>Chart_14</x:v>
      </x:c>
      <x:c r="E861" s="35" t="str">
        <x:v>Line</x:v>
      </x:c>
      <x:c r="F861" s="35"/>
      <x:c r="G861" s="35" t="str">
        <x:v>A</x:v>
      </x:c>
      <x:c r="H861" s="39" t="str">
        <x:f>IF(ISNUMBER('Data'!E861),'Data'!E861*100,"")</x:f>
      </x:c>
      <x:c r="I861" s="35"/>
      <x:c r="J861" s="35" t="str">
        <x:v>PASS</x:v>
      </x:c>
      <x:c r="K861" s="35" t="str">
        <x:v>FAIL</x:v>
      </x:c>
      <x:c r="L861" s="35" t="str">
        <x:v>NOT_RUN</x:v>
      </x:c>
      <x:c r="M861" s="35" t="str">
        <x:v>coverage unavailable or execution/compile failed</x:v>
      </x:c>
      <x:c r="N861" s="35" t="str">
        <x:v>Deepseek-flash-v4/Result2/Chart_14/result.json</x:v>
      </x:c>
      <x:c r="O861" s="39" t="str">
        <x:f>IF(AND(G861="RECORDED",ISNUMBER(H861)),H861,"")</x:f>
      </x:c>
      <x:c r="P861" s="35" t="str">
        <x:v>NOT_AVAILABLE</x:v>
      </x:c>
      <x:c r="Q861" s="35" t="str">
        <x:v>Deepseek-flash-v4/Result2/Chart_14/result.json</x:v>
      </x:c>
    </x:row>
    <x:row r="862">
      <x:c r="A862" s="35" t="str">
        <x:v>deepseek</x:v>
      </x:c>
      <x:c r="B862" s="35" t="str">
        <x:v>Chart</x:v>
      </x:c>
      <x:c r="C862" s="35" t="str">
        <x:v>Round2</x:v>
      </x:c>
      <x:c r="D862" s="35" t="str">
        <x:v>Chart_15</x:v>
      </x:c>
      <x:c r="E862" s="35" t="str">
        <x:v>Line</x:v>
      </x:c>
      <x:c r="F862" s="35" t="n">
        <x:v>836</x:v>
      </x:c>
      <x:c r="G862" s="35" t="str">
        <x:v>RECORDED</x:v>
      </x:c>
      <x:c r="H862" s="39" t="n">
        <x:f>IF(ISNUMBER('Data'!E862),'Data'!E862*100,"")</x:f>
        <x:v>30.14</x:v>
      </x:c>
      <x:c r="I862" s="35" t="str">
        <x:v>PASS</x:v>
      </x:c>
      <x:c r="J862" s="35" t="str">
        <x:v>PASS</x:v>
      </x:c>
      <x:c r="K862" s="35" t="str">
        <x:v>PASS</x:v>
      </x:c>
      <x:c r="L862" s="35" t="str">
        <x:v>FAIL</x:v>
      </x:c>
      <x:c r="M862" s="35" t="str">
        <x:v>numeric coverage for applicable metric</x:v>
      </x:c>
      <x:c r="N862" s="35" t="str">
        <x:v>Deepseek-flash-v4/Result2/Chart_15/result.json</x:v>
      </x:c>
      <x:c r="O862" s="39" t="n">
        <x:f>IF(AND(G862="RECORDED",ISNUMBER(H862)),H862,"")</x:f>
        <x:v>30.14</x:v>
      </x:c>
      <x:c r="P862" s="35" t="str">
        <x:v>INCONCLUSIVE</x:v>
      </x:c>
      <x:c r="Q862" s="35" t="str">
        <x:v>Deepseek-flash-v4/Result2/Chart_15/result.json</x:v>
      </x:c>
    </x:row>
    <x:row r="863">
      <x:c r="A863" s="35" t="str">
        <x:v>deepseek</x:v>
      </x:c>
      <x:c r="B863" s="35" t="str">
        <x:v>Chart</x:v>
      </x:c>
      <x:c r="C863" s="35" t="str">
        <x:v>Round2</x:v>
      </x:c>
      <x:c r="D863" s="35" t="str">
        <x:v>Chart_16</x:v>
      </x:c>
      <x:c r="E863" s="35" t="str">
        <x:v>Line</x:v>
      </x:c>
      <x:c r="F863" s="35" t="n">
        <x:v>188</x:v>
      </x:c>
      <x:c r="G863" s="35" t="str">
        <x:v>RECORDED</x:v>
      </x:c>
      <x:c r="H863" s="39" t="n">
        <x:f>IF(ISNUMBER('Data'!E863),'Data'!E863*100,"")</x:f>
        <x:v>94.15</x:v>
      </x:c>
      <x:c r="I863" s="35" t="str">
        <x:v>PASS</x:v>
      </x:c>
      <x:c r="J863" s="35" t="str">
        <x:v>PASS</x:v>
      </x:c>
      <x:c r="K863" s="35" t="str">
        <x:v>PASS</x:v>
      </x:c>
      <x:c r="L863" s="35" t="str">
        <x:v>PASS</x:v>
      </x:c>
      <x:c r="M863" s="35" t="str">
        <x:v>numeric coverage for applicable metric</x:v>
      </x:c>
      <x:c r="N863" s="35" t="str">
        <x:v>Deepseek-flash-v4/Result2/Chart_16/result.json</x:v>
      </x:c>
      <x:c r="O863" s="39" t="n">
        <x:f>IF(AND(G863="RECORDED",ISNUMBER(H863)),H863,"")</x:f>
        <x:v>94.15</x:v>
      </x:c>
      <x:c r="P863" s="35" t="str">
        <x:v>NOT_REVEALING</x:v>
      </x:c>
      <x:c r="Q863" s="35" t="str">
        <x:v>Deepseek-flash-v4/Result2/Chart_16/result.json</x:v>
      </x:c>
    </x:row>
    <x:row r="864">
      <x:c r="A864" s="35" t="str">
        <x:v>deepseek</x:v>
      </x:c>
      <x:c r="B864" s="35" t="str">
        <x:v>Chart</x:v>
      </x:c>
      <x:c r="C864" s="35" t="str">
        <x:v>Round2</x:v>
      </x:c>
      <x:c r="D864" s="35" t="str">
        <x:v>Chart_17</x:v>
      </x:c>
      <x:c r="E864" s="35" t="str">
        <x:v>Line</x:v>
      </x:c>
      <x:c r="F864" s="35" t="n">
        <x:v>287</x:v>
      </x:c>
      <x:c r="G864" s="35" t="str">
        <x:v>RECORDED</x:v>
      </x:c>
      <x:c r="H864" s="39" t="n">
        <x:f>IF(ISNUMBER('Data'!E864),'Data'!E864*100,"")</x:f>
        <x:v>84.67</x:v>
      </x:c>
      <x:c r="I864" s="35" t="str">
        <x:v>PASS</x:v>
      </x:c>
      <x:c r="J864" s="35" t="str">
        <x:v>PASS</x:v>
      </x:c>
      <x:c r="K864" s="35" t="str">
        <x:v>PASS</x:v>
      </x:c>
      <x:c r="L864" s="35" t="str">
        <x:v>PASS</x:v>
      </x:c>
      <x:c r="M864" s="35" t="str">
        <x:v>numeric coverage for applicable metric</x:v>
      </x:c>
      <x:c r="N864" s="35" t="str">
        <x:v>Deepseek-flash-v4/Result2/Chart_17/result.json</x:v>
      </x:c>
      <x:c r="O864" s="39" t="n">
        <x:f>IF(AND(G864="RECORDED",ISNUMBER(H864)),H864,"")</x:f>
        <x:v>84.67</x:v>
      </x:c>
      <x:c r="P864" s="35" t="str">
        <x:v>NOT_REVEALING</x:v>
      </x:c>
      <x:c r="Q864" s="35" t="str">
        <x:v>Deepseek-flash-v4/Result2/Chart_17/result.json</x:v>
      </x:c>
    </x:row>
    <x:row r="865">
      <x:c r="A865" s="35" t="str">
        <x:v>deepseek</x:v>
      </x:c>
      <x:c r="B865" s="35" t="str">
        <x:v>Chart</x:v>
      </x:c>
      <x:c r="C865" s="35" t="str">
        <x:v>Round2</x:v>
      </x:c>
      <x:c r="D865" s="35" t="str">
        <x:v>Chart_18</x:v>
      </x:c>
      <x:c r="E865" s="35" t="str">
        <x:v>Line</x:v>
      </x:c>
      <x:c r="F865" s="35" t="n">
        <x:v>266</x:v>
      </x:c>
      <x:c r="G865" s="35" t="str">
        <x:v>RECORDED</x:v>
      </x:c>
      <x:c r="H865" s="39" t="n">
        <x:f>IF(ISNUMBER('Data'!E865),'Data'!E865*100,"")</x:f>
        <x:v>95.86</x:v>
      </x:c>
      <x:c r="I865" s="35" t="str">
        <x:v>PASS</x:v>
      </x:c>
      <x:c r="J865" s="35" t="str">
        <x:v>PASS</x:v>
      </x:c>
      <x:c r="K865" s="35" t="str">
        <x:v>PASS</x:v>
      </x:c>
      <x:c r="L865" s="35" t="str">
        <x:v>FAIL</x:v>
      </x:c>
      <x:c r="M865" s="35" t="str">
        <x:v>numeric coverage for applicable metric</x:v>
      </x:c>
      <x:c r="N865" s="35" t="str">
        <x:v>Deepseek-flash-v4/Result2/Chart_18/result.json</x:v>
      </x:c>
      <x:c r="O865" s="39" t="n">
        <x:f>IF(AND(G865="RECORDED",ISNUMBER(H865)),H865,"")</x:f>
        <x:v>95.86</x:v>
      </x:c>
      <x:c r="P865" s="35" t="str">
        <x:v>INCONCLUSIVE</x:v>
      </x:c>
      <x:c r="Q865" s="35" t="str">
        <x:v>Deepseek-flash-v4/Result2/Chart_18/result.json</x:v>
      </x:c>
    </x:row>
    <x:row r="866">
      <x:c r="A866" s="35" t="str">
        <x:v>deepseek</x:v>
      </x:c>
      <x:c r="B866" s="35" t="str">
        <x:v>Chart</x:v>
      </x:c>
      <x:c r="C866" s="35" t="str">
        <x:v>Round2</x:v>
      </x:c>
      <x:c r="D866" s="35" t="str">
        <x:v>Chart_19</x:v>
      </x:c>
      <x:c r="E866" s="35" t="str">
        <x:v>Line</x:v>
      </x:c>
      <x:c r="F866" s="35"/>
      <x:c r="G866" s="35" t="str">
        <x:v>A</x:v>
      </x:c>
      <x:c r="H866" s="39" t="str">
        <x:f>IF(ISNUMBER('Data'!E866),'Data'!E866*100,"")</x:f>
      </x:c>
      <x:c r="I866" s="35"/>
      <x:c r="J866" s="35" t="str">
        <x:v>PASS</x:v>
      </x:c>
      <x:c r="K866" s="35" t="str">
        <x:v>FAIL</x:v>
      </x:c>
      <x:c r="L866" s="35" t="str">
        <x:v>NOT_RUN</x:v>
      </x:c>
      <x:c r="M866" s="35" t="str">
        <x:v>coverage unavailable or execution/compile failed</x:v>
      </x:c>
      <x:c r="N866" s="35" t="str">
        <x:v>Deepseek-flash-v4/Result2/Chart_19/result.json</x:v>
      </x:c>
      <x:c r="O866" s="39" t="str">
        <x:f>IF(AND(G866="RECORDED",ISNUMBER(H866)),H866,"")</x:f>
      </x:c>
      <x:c r="P866" s="35" t="str">
        <x:v>NOT_AVAILABLE</x:v>
      </x:c>
      <x:c r="Q866" s="35" t="str">
        <x:v>Deepseek-flash-v4/Result2/Chart_19/result.json</x:v>
      </x:c>
    </x:row>
    <x:row r="867">
      <x:c r="A867" s="35" t="str">
        <x:v>deepseek</x:v>
      </x:c>
      <x:c r="B867" s="35" t="str">
        <x:v>Chart</x:v>
      </x:c>
      <x:c r="C867" s="35" t="str">
        <x:v>Round2</x:v>
      </x:c>
      <x:c r="D867" s="35" t="str">
        <x:v>Chart_2</x:v>
      </x:c>
      <x:c r="E867" s="35" t="str">
        <x:v>Line</x:v>
      </x:c>
      <x:c r="F867" s="35"/>
      <x:c r="G867" s="35" t="str">
        <x:v>A</x:v>
      </x:c>
      <x:c r="H867" s="39" t="str">
        <x:f>IF(ISNUMBER('Data'!E867),'Data'!E867*100,"")</x:f>
      </x:c>
      <x:c r="I867" s="35"/>
      <x:c r="J867" s="35" t="str">
        <x:v>PASS</x:v>
      </x:c>
      <x:c r="K867" s="35" t="str">
        <x:v>FAIL</x:v>
      </x:c>
      <x:c r="L867" s="35" t="str">
        <x:v>NOT_RUN</x:v>
      </x:c>
      <x:c r="M867" s="35" t="str">
        <x:v>coverage unavailable or execution/compile failed</x:v>
      </x:c>
      <x:c r="N867" s="35" t="str">
        <x:v>Deepseek-flash-v4/Result2/Chart_2/result.json</x:v>
      </x:c>
      <x:c r="O867" s="39" t="str">
        <x:f>IF(AND(G867="RECORDED",ISNUMBER(H867)),H867,"")</x:f>
      </x:c>
      <x:c r="P867" s="35" t="str">
        <x:v>NOT_AVAILABLE</x:v>
      </x:c>
      <x:c r="Q867" s="35" t="str">
        <x:v>Deepseek-flash-v4/Result2/Chart_2/result.json</x:v>
      </x:c>
    </x:row>
    <x:row r="868">
      <x:c r="A868" s="35" t="str">
        <x:v>deepseek</x:v>
      </x:c>
      <x:c r="B868" s="35" t="str">
        <x:v>Chart</x:v>
      </x:c>
      <x:c r="C868" s="35" t="str">
        <x:v>Round2</x:v>
      </x:c>
      <x:c r="D868" s="35" t="str">
        <x:v>Chart_20</x:v>
      </x:c>
      <x:c r="E868" s="35" t="str">
        <x:v>Line</x:v>
      </x:c>
      <x:c r="F868" s="35" t="n">
        <x:v>22</x:v>
      </x:c>
      <x:c r="G868" s="35" t="str">
        <x:v>RECORDED</x:v>
      </x:c>
      <x:c r="H868" s="39" t="n">
        <x:f>IF(ISNUMBER('Data'!E868),'Data'!E868*100,"")</x:f>
        <x:v>95.45</x:v>
      </x:c>
      <x:c r="I868" s="35" t="str">
        <x:v>PASS</x:v>
      </x:c>
      <x:c r="J868" s="35" t="str">
        <x:v>PASS</x:v>
      </x:c>
      <x:c r="K868" s="35" t="str">
        <x:v>PASS</x:v>
      </x:c>
      <x:c r="L868" s="35" t="str">
        <x:v>FAIL</x:v>
      </x:c>
      <x:c r="M868" s="35" t="str">
        <x:v>numeric coverage for applicable metric</x:v>
      </x:c>
      <x:c r="N868" s="35" t="str">
        <x:v>Deepseek-flash-v4/Result2/Chart_20/result.json</x:v>
      </x:c>
      <x:c r="O868" s="39" t="n">
        <x:f>IF(AND(G868="RECORDED",ISNUMBER(H868)),H868,"")</x:f>
        <x:v>95.45</x:v>
      </x:c>
      <x:c r="P868" s="35" t="str">
        <x:v>REVEALING</x:v>
      </x:c>
      <x:c r="Q868" s="35" t="str">
        <x:v>Deepseek-flash-v4/Result2/Chart_20/result.json</x:v>
      </x:c>
    </x:row>
    <x:row r="869">
      <x:c r="A869" s="35" t="str">
        <x:v>deepseek</x:v>
      </x:c>
      <x:c r="B869" s="35" t="str">
        <x:v>Chart</x:v>
      </x:c>
      <x:c r="C869" s="35" t="str">
        <x:v>Round2</x:v>
      </x:c>
      <x:c r="D869" s="35" t="str">
        <x:v>Chart_21</x:v>
      </x:c>
      <x:c r="E869" s="35" t="str">
        <x:v>Line</x:v>
      </x:c>
      <x:c r="F869" s="35" t="n">
        <x:v>161</x:v>
      </x:c>
      <x:c r="G869" s="35" t="str">
        <x:v>RECORDED</x:v>
      </x:c>
      <x:c r="H869" s="39" t="n">
        <x:f>IF(ISNUMBER('Data'!E869),'Data'!E869*100,"")</x:f>
        <x:v>55.89999999999999</x:v>
      </x:c>
      <x:c r="I869" s="35" t="str">
        <x:v>PASS</x:v>
      </x:c>
      <x:c r="J869" s="35" t="str">
        <x:v>PASS</x:v>
      </x:c>
      <x:c r="K869" s="35" t="str">
        <x:v>PASS</x:v>
      </x:c>
      <x:c r="L869" s="35" t="str">
        <x:v>FAIL</x:v>
      </x:c>
      <x:c r="M869" s="35" t="str">
        <x:v>numeric coverage for applicable metric</x:v>
      </x:c>
      <x:c r="N869" s="35" t="str">
        <x:v>Deepseek-flash-v4/Result2/Chart_21/result.json</x:v>
      </x:c>
      <x:c r="O869" s="39" t="n">
        <x:f>IF(AND(G869="RECORDED",ISNUMBER(H869)),H869,"")</x:f>
        <x:v>55.89999999999999</x:v>
      </x:c>
      <x:c r="P869" s="35" t="str">
        <x:v>INCONCLUSIVE</x:v>
      </x:c>
      <x:c r="Q869" s="35" t="str">
        <x:v>Deepseek-flash-v4/Result2/Chart_21/result.json</x:v>
      </x:c>
    </x:row>
    <x:row r="870">
      <x:c r="A870" s="35" t="str">
        <x:v>deepseek</x:v>
      </x:c>
      <x:c r="B870" s="35" t="str">
        <x:v>Chart</x:v>
      </x:c>
      <x:c r="C870" s="35" t="str">
        <x:v>Round2</x:v>
      </x:c>
      <x:c r="D870" s="35" t="str">
        <x:v>Chart_22</x:v>
      </x:c>
      <x:c r="E870" s="35" t="str">
        <x:v>Line</x:v>
      </x:c>
      <x:c r="F870" s="35" t="n">
        <x:v>124</x:v>
      </x:c>
      <x:c r="G870" s="35" t="str">
        <x:v>RECORDED</x:v>
      </x:c>
      <x:c r="H870" s="39" t="n">
        <x:f>IF(ISNUMBER('Data'!E870),'Data'!E870*100,"")</x:f>
        <x:v>92.74</x:v>
      </x:c>
      <x:c r="I870" s="35" t="str">
        <x:v>PASS</x:v>
      </x:c>
      <x:c r="J870" s="35" t="str">
        <x:v>PASS</x:v>
      </x:c>
      <x:c r="K870" s="35" t="str">
        <x:v>PASS</x:v>
      </x:c>
      <x:c r="L870" s="35" t="str">
        <x:v>FAIL</x:v>
      </x:c>
      <x:c r="M870" s="35" t="str">
        <x:v>numeric coverage for applicable metric</x:v>
      </x:c>
      <x:c r="N870" s="35" t="str">
        <x:v>Deepseek-flash-v4/Result2/Chart_22/result.json</x:v>
      </x:c>
      <x:c r="O870" s="39" t="n">
        <x:f>IF(AND(G870="RECORDED",ISNUMBER(H870)),H870,"")</x:f>
        <x:v>92.74</x:v>
      </x:c>
      <x:c r="P870" s="35" t="str">
        <x:v>INCONCLUSIVE</x:v>
      </x:c>
      <x:c r="Q870" s="35" t="str">
        <x:v>Deepseek-flash-v4/Result2/Chart_22/result.json</x:v>
      </x:c>
    </x:row>
    <x:row r="871">
      <x:c r="A871" s="35" t="str">
        <x:v>deepseek</x:v>
      </x:c>
      <x:c r="B871" s="35" t="str">
        <x:v>Chart</x:v>
      </x:c>
      <x:c r="C871" s="35" t="str">
        <x:v>Round2</x:v>
      </x:c>
      <x:c r="D871" s="35" t="str">
        <x:v>Chart_23</x:v>
      </x:c>
      <x:c r="E871" s="35" t="str">
        <x:v>Line</x:v>
      </x:c>
      <x:c r="F871" s="35" t="n">
        <x:v>144</x:v>
      </x:c>
      <x:c r="G871" s="35" t="str">
        <x:v>RECORDED</x:v>
      </x:c>
      <x:c r="H871" s="39" t="n">
        <x:f>IF(ISNUMBER('Data'!E871),'Data'!E871*100,"")</x:f>
        <x:v>37.5</x:v>
      </x:c>
      <x:c r="I871" s="35" t="str">
        <x:v>PASS</x:v>
      </x:c>
      <x:c r="J871" s="35" t="str">
        <x:v>PASS</x:v>
      </x:c>
      <x:c r="K871" s="35" t="str">
        <x:v>PASS</x:v>
      </x:c>
      <x:c r="L871" s="35" t="str">
        <x:v>FAIL</x:v>
      </x:c>
      <x:c r="M871" s="35" t="str">
        <x:v>numeric coverage for applicable metric</x:v>
      </x:c>
      <x:c r="N871" s="35" t="str">
        <x:v>Deepseek-flash-v4/Result2/Chart_23/result.json</x:v>
      </x:c>
      <x:c r="O871" s="39" t="n">
        <x:f>IF(AND(G871="RECORDED",ISNUMBER(H871)),H871,"")</x:f>
        <x:v>37.5</x:v>
      </x:c>
      <x:c r="P871" s="35" t="str">
        <x:v>REVEALING</x:v>
      </x:c>
      <x:c r="Q871" s="35" t="str">
        <x:v>Deepseek-flash-v4/Result2/Chart_23/result.json</x:v>
      </x:c>
    </x:row>
    <x:row r="872">
      <x:c r="A872" s="35" t="str">
        <x:v>deepseek</x:v>
      </x:c>
      <x:c r="B872" s="35" t="str">
        <x:v>Chart</x:v>
      </x:c>
      <x:c r="C872" s="35" t="str">
        <x:v>Round2</x:v>
      </x:c>
      <x:c r="D872" s="35" t="str">
        <x:v>Chart_24</x:v>
      </x:c>
      <x:c r="E872" s="35" t="str">
        <x:v>Line</x:v>
      </x:c>
      <x:c r="F872" s="35" t="n">
        <x:v>25</x:v>
      </x:c>
      <x:c r="G872" s="35" t="str">
        <x:v>RECORDED</x:v>
      </x:c>
      <x:c r="H872" s="39" t="n">
        <x:f>IF(ISNUMBER('Data'!E872),'Data'!E872*100,"")</x:f>
        <x:v>100</x:v>
      </x:c>
      <x:c r="I872" s="35" t="str">
        <x:v>PASS</x:v>
      </x:c>
      <x:c r="J872" s="35" t="str">
        <x:v>PASS</x:v>
      </x:c>
      <x:c r="K872" s="35" t="str">
        <x:v>PASS</x:v>
      </x:c>
      <x:c r="L872" s="35" t="str">
        <x:v>FAIL</x:v>
      </x:c>
      <x:c r="M872" s="35" t="str">
        <x:v>numeric coverage for applicable metric</x:v>
      </x:c>
      <x:c r="N872" s="35" t="str">
        <x:v>Deepseek-flash-v4/Result2/Chart_24/result.json</x:v>
      </x:c>
      <x:c r="O872" s="39" t="n">
        <x:f>IF(AND(G872="RECORDED",ISNUMBER(H872)),H872,"")</x:f>
        <x:v>100</x:v>
      </x:c>
      <x:c r="P872" s="35" t="str">
        <x:v>INCONCLUSIVE</x:v>
      </x:c>
      <x:c r="Q872" s="35" t="str">
        <x:v>Deepseek-flash-v4/Result2/Chart_24/result.json</x:v>
      </x:c>
    </x:row>
    <x:row r="873">
      <x:c r="A873" s="35" t="str">
        <x:v>deepseek</x:v>
      </x:c>
      <x:c r="B873" s="35" t="str">
        <x:v>Chart</x:v>
      </x:c>
      <x:c r="C873" s="35" t="str">
        <x:v>Round2</x:v>
      </x:c>
      <x:c r="D873" s="35" t="str">
        <x:v>Chart_25</x:v>
      </x:c>
      <x:c r="E873" s="35" t="str">
        <x:v>Line</x:v>
      </x:c>
      <x:c r="F873" s="35"/>
      <x:c r="G873" s="35" t="str">
        <x:v>A</x:v>
      </x:c>
      <x:c r="H873" s="39" t="str">
        <x:f>IF(ISNUMBER('Data'!E873),'Data'!E873*100,"")</x:f>
      </x:c>
      <x:c r="I873" s="35"/>
      <x:c r="J873" s="35" t="str">
        <x:v>PASS</x:v>
      </x:c>
      <x:c r="K873" s="35" t="str">
        <x:v>FAIL</x:v>
      </x:c>
      <x:c r="L873" s="35" t="str">
        <x:v>NOT_RUN</x:v>
      </x:c>
      <x:c r="M873" s="35" t="str">
        <x:v>coverage unavailable or execution/compile failed</x:v>
      </x:c>
      <x:c r="N873" s="35" t="str">
        <x:v>Deepseek-flash-v4/Result2/Chart_25/result.json</x:v>
      </x:c>
      <x:c r="O873" s="39" t="str">
        <x:f>IF(AND(G873="RECORDED",ISNUMBER(H873)),H873,"")</x:f>
      </x:c>
      <x:c r="P873" s="35" t="str">
        <x:v>NOT_AVAILABLE</x:v>
      </x:c>
      <x:c r="Q873" s="35" t="str">
        <x:v>Deepseek-flash-v4/Result2/Chart_25/result.json</x:v>
      </x:c>
    </x:row>
    <x:row r="874">
      <x:c r="A874" s="35" t="str">
        <x:v>deepseek</x:v>
      </x:c>
      <x:c r="B874" s="35" t="str">
        <x:v>Chart</x:v>
      </x:c>
      <x:c r="C874" s="35" t="str">
        <x:v>Round2</x:v>
      </x:c>
      <x:c r="D874" s="35" t="str">
        <x:v>Chart_26</x:v>
      </x:c>
      <x:c r="E874" s="35" t="str">
        <x:v>Line</x:v>
      </x:c>
      <x:c r="F874" s="35" t="n">
        <x:v>350</x:v>
      </x:c>
      <x:c r="G874" s="35" t="str">
        <x:v>RECORDED</x:v>
      </x:c>
      <x:c r="H874" s="39" t="n">
        <x:f>IF(ISNUMBER('Data'!E874),'Data'!E874*100,"")</x:f>
        <x:v>55.71</x:v>
      </x:c>
      <x:c r="I874" s="35" t="str">
        <x:v>PASS</x:v>
      </x:c>
      <x:c r="J874" s="35" t="str">
        <x:v>PASS</x:v>
      </x:c>
      <x:c r="K874" s="35" t="str">
        <x:v>PASS</x:v>
      </x:c>
      <x:c r="L874" s="35" t="str">
        <x:v>PASS</x:v>
      </x:c>
      <x:c r="M874" s="35" t="str">
        <x:v>numeric coverage for applicable metric</x:v>
      </x:c>
      <x:c r="N874" s="35" t="str">
        <x:v>Deepseek-flash-v4/Result2/Chart_26/result.json</x:v>
      </x:c>
      <x:c r="O874" s="39" t="n">
        <x:f>IF(AND(G874="RECORDED",ISNUMBER(H874)),H874,"")</x:f>
        <x:v>55.71</x:v>
      </x:c>
      <x:c r="P874" s="35" t="str">
        <x:v>NOT_REVEALING</x:v>
      </x:c>
      <x:c r="Q874" s="35" t="str">
        <x:v>Deepseek-flash-v4/Result2/Chart_26/result.json</x:v>
      </x:c>
    </x:row>
    <x:row r="875">
      <x:c r="A875" s="35" t="str">
        <x:v>deepseek</x:v>
      </x:c>
      <x:c r="B875" s="35" t="str">
        <x:v>Chart</x:v>
      </x:c>
      <x:c r="C875" s="35" t="str">
        <x:v>Round2</x:v>
      </x:c>
      <x:c r="D875" s="35" t="str">
        <x:v>Chart_3</x:v>
      </x:c>
      <x:c r="E875" s="35" t="str">
        <x:v>Line</x:v>
      </x:c>
      <x:c r="F875" s="35"/>
      <x:c r="G875" s="35" t="str">
        <x:v>A</x:v>
      </x:c>
      <x:c r="H875" s="39" t="str">
        <x:f>IF(ISNUMBER('Data'!E875),'Data'!E875*100,"")</x:f>
      </x:c>
      <x:c r="I875" s="35"/>
      <x:c r="J875" s="35" t="str">
        <x:v>PASS</x:v>
      </x:c>
      <x:c r="K875" s="35" t="str">
        <x:v>FAIL</x:v>
      </x:c>
      <x:c r="L875" s="35" t="str">
        <x:v>NOT_RUN</x:v>
      </x:c>
      <x:c r="M875" s="35" t="str">
        <x:v>coverage unavailable or execution/compile failed</x:v>
      </x:c>
      <x:c r="N875" s="35" t="str">
        <x:v>Deepseek-flash-v4/Result2/Chart_3/result.json</x:v>
      </x:c>
      <x:c r="O875" s="39" t="str">
        <x:f>IF(AND(G875="RECORDED",ISNUMBER(H875)),H875,"")</x:f>
      </x:c>
      <x:c r="P875" s="35" t="str">
        <x:v>NOT_AVAILABLE</x:v>
      </x:c>
      <x:c r="Q875" s="35" t="str">
        <x:v>Deepseek-flash-v4/Result2/Chart_3/result.json</x:v>
      </x:c>
    </x:row>
    <x:row r="876">
      <x:c r="A876" s="35" t="str">
        <x:v>deepseek</x:v>
      </x:c>
      <x:c r="B876" s="35" t="str">
        <x:v>Chart</x:v>
      </x:c>
      <x:c r="C876" s="35" t="str">
        <x:v>Round2</x:v>
      </x:c>
      <x:c r="D876" s="35" t="str">
        <x:v>Chart_4</x:v>
      </x:c>
      <x:c r="E876" s="35" t="str">
        <x:v>Line</x:v>
      </x:c>
      <x:c r="F876" s="35"/>
      <x:c r="G876" s="35" t="str">
        <x:v>A</x:v>
      </x:c>
      <x:c r="H876" s="39" t="str">
        <x:f>IF(ISNUMBER('Data'!E876),'Data'!E876*100,"")</x:f>
      </x:c>
      <x:c r="I876" s="35"/>
      <x:c r="J876" s="35" t="str">
        <x:v>PASS</x:v>
      </x:c>
      <x:c r="K876" s="35" t="str">
        <x:v>FAIL</x:v>
      </x:c>
      <x:c r="L876" s="35" t="str">
        <x:v>NOT_RUN</x:v>
      </x:c>
      <x:c r="M876" s="35" t="str">
        <x:v>coverage unavailable or execution/compile failed</x:v>
      </x:c>
      <x:c r="N876" s="35" t="str">
        <x:v>Deepseek-flash-v4/Result2/Chart_4/result.json</x:v>
      </x:c>
      <x:c r="O876" s="39" t="str">
        <x:f>IF(AND(G876="RECORDED",ISNUMBER(H876)),H876,"")</x:f>
      </x:c>
      <x:c r="P876" s="35" t="str">
        <x:v>NOT_AVAILABLE</x:v>
      </x:c>
      <x:c r="Q876" s="35" t="str">
        <x:v>Deepseek-flash-v4/Result2/Chart_4/result.json</x:v>
      </x:c>
    </x:row>
    <x:row r="877">
      <x:c r="A877" s="35" t="str">
        <x:v>deepseek</x:v>
      </x:c>
      <x:c r="B877" s="35" t="str">
        <x:v>Chart</x:v>
      </x:c>
      <x:c r="C877" s="35" t="str">
        <x:v>Round2</x:v>
      </x:c>
      <x:c r="D877" s="35" t="str">
        <x:v>Chart_5</x:v>
      </x:c>
      <x:c r="E877" s="35" t="str">
        <x:v>Line</x:v>
      </x:c>
      <x:c r="F877" s="35" t="n">
        <x:v>172</x:v>
      </x:c>
      <x:c r="G877" s="35" t="str">
        <x:v>RECORDED</x:v>
      </x:c>
      <x:c r="H877" s="39" t="n">
        <x:f>IF(ISNUMBER('Data'!E877),'Data'!E877*100,"")</x:f>
        <x:v>90.12</x:v>
      </x:c>
      <x:c r="I877" s="35" t="str">
        <x:v>PASS</x:v>
      </x:c>
      <x:c r="J877" s="35" t="str">
        <x:v>PASS</x:v>
      </x:c>
      <x:c r="K877" s="35" t="str">
        <x:v>PASS</x:v>
      </x:c>
      <x:c r="L877" s="35" t="str">
        <x:v>FAIL</x:v>
      </x:c>
      <x:c r="M877" s="35" t="str">
        <x:v>numeric coverage for applicable metric</x:v>
      </x:c>
      <x:c r="N877" s="35" t="str">
        <x:v>Deepseek-flash-v4/Result2/Chart_5/result.json</x:v>
      </x:c>
      <x:c r="O877" s="39" t="n">
        <x:f>IF(AND(G877="RECORDED",ISNUMBER(H877)),H877,"")</x:f>
        <x:v>90.12</x:v>
      </x:c>
      <x:c r="P877" s="35" t="str">
        <x:v>INCONCLUSIVE</x:v>
      </x:c>
      <x:c r="Q877" s="35" t="str">
        <x:v>Deepseek-flash-v4/Result2/Chart_5/result.json</x:v>
      </x:c>
    </x:row>
    <x:row r="878">
      <x:c r="A878" s="35" t="str">
        <x:v>deepseek</x:v>
      </x:c>
      <x:c r="B878" s="35" t="str">
        <x:v>Chart</x:v>
      </x:c>
      <x:c r="C878" s="35" t="str">
        <x:v>Round2</x:v>
      </x:c>
      <x:c r="D878" s="35" t="str">
        <x:v>Chart_6</x:v>
      </x:c>
      <x:c r="E878" s="35" t="str">
        <x:v>Line</x:v>
      </x:c>
      <x:c r="F878" s="35"/>
      <x:c r="G878" s="35" t="str">
        <x:v>A</x:v>
      </x:c>
      <x:c r="H878" s="39" t="str">
        <x:f>IF(ISNUMBER('Data'!E878),'Data'!E878*100,"")</x:f>
      </x:c>
      <x:c r="I878" s="35"/>
      <x:c r="J878" s="35" t="str">
        <x:v>PASS</x:v>
      </x:c>
      <x:c r="K878" s="35" t="str">
        <x:v>FAIL</x:v>
      </x:c>
      <x:c r="L878" s="35" t="str">
        <x:v>NOT_RUN</x:v>
      </x:c>
      <x:c r="M878" s="35" t="str">
        <x:v>coverage unavailable or execution/compile failed</x:v>
      </x:c>
      <x:c r="N878" s="35" t="str">
        <x:v>Deepseek-flash-v4/Result2/Chart_6/result.json</x:v>
      </x:c>
      <x:c r="O878" s="39" t="str">
        <x:f>IF(AND(G878="RECORDED",ISNUMBER(H878)),H878,"")</x:f>
      </x:c>
      <x:c r="P878" s="35" t="str">
        <x:v>NOT_AVAILABLE</x:v>
      </x:c>
      <x:c r="Q878" s="35" t="str">
        <x:v>Deepseek-flash-v4/Result2/Chart_6/result.json</x:v>
      </x:c>
    </x:row>
    <x:row r="879">
      <x:c r="A879" s="35" t="str">
        <x:v>deepseek</x:v>
      </x:c>
      <x:c r="B879" s="35" t="str">
        <x:v>Chart</x:v>
      </x:c>
      <x:c r="C879" s="35" t="str">
        <x:v>Round2</x:v>
      </x:c>
      <x:c r="D879" s="35" t="str">
        <x:v>Chart_7</x:v>
      </x:c>
      <x:c r="E879" s="35" t="str">
        <x:v>Line</x:v>
      </x:c>
      <x:c r="F879" s="35"/>
      <x:c r="G879" s="35" t="str">
        <x:v>A</x:v>
      </x:c>
      <x:c r="H879" s="39" t="str">
        <x:f>IF(ISNUMBER('Data'!E879),'Data'!E879*100,"")</x:f>
      </x:c>
      <x:c r="I879" s="35"/>
      <x:c r="J879" s="35" t="str">
        <x:v>PASS</x:v>
      </x:c>
      <x:c r="K879" s="35" t="str">
        <x:v>FAIL</x:v>
      </x:c>
      <x:c r="L879" s="35" t="str">
        <x:v>NOT_RUN</x:v>
      </x:c>
      <x:c r="M879" s="35" t="str">
        <x:v>coverage unavailable or execution/compile failed</x:v>
      </x:c>
      <x:c r="N879" s="35" t="str">
        <x:v>Deepseek-flash-v4/Result2/Chart_7/result.json</x:v>
      </x:c>
      <x:c r="O879" s="39" t="str">
        <x:f>IF(AND(G879="RECORDED",ISNUMBER(H879)),H879,"")</x:f>
      </x:c>
      <x:c r="P879" s="35" t="str">
        <x:v>NOT_AVAILABLE</x:v>
      </x:c>
      <x:c r="Q879" s="35" t="str">
        <x:v>Deepseek-flash-v4/Result2/Chart_7/result.json</x:v>
      </x:c>
    </x:row>
    <x:row r="880">
      <x:c r="A880" s="35" t="str">
        <x:v>deepseek</x:v>
      </x:c>
      <x:c r="B880" s="35" t="str">
        <x:v>Chart</x:v>
      </x:c>
      <x:c r="C880" s="35" t="str">
        <x:v>Round2</x:v>
      </x:c>
      <x:c r="D880" s="35" t="str">
        <x:v>Chart_8</x:v>
      </x:c>
      <x:c r="E880" s="35" t="str">
        <x:v>Line</x:v>
      </x:c>
      <x:c r="F880" s="35" t="n">
        <x:v>162</x:v>
      </x:c>
      <x:c r="G880" s="35" t="str">
        <x:v>RECORDED</x:v>
      </x:c>
      <x:c r="H880" s="39" t="n">
        <x:f>IF(ISNUMBER('Data'!E880),'Data'!E880*100,"")</x:f>
        <x:v>73.46</x:v>
      </x:c>
      <x:c r="I880" s="35" t="str">
        <x:v>PASS</x:v>
      </x:c>
      <x:c r="J880" s="35" t="str">
        <x:v>PASS</x:v>
      </x:c>
      <x:c r="K880" s="35" t="str">
        <x:v>PASS</x:v>
      </x:c>
      <x:c r="L880" s="35" t="str">
        <x:v>FAIL</x:v>
      </x:c>
      <x:c r="M880" s="35" t="str">
        <x:v>numeric coverage for applicable metric</x:v>
      </x:c>
      <x:c r="N880" s="35" t="str">
        <x:v>Deepseek-flash-v4/Result2/Chart_8/result.json</x:v>
      </x:c>
      <x:c r="O880" s="39" t="n">
        <x:f>IF(AND(G880="RECORDED",ISNUMBER(H880)),H880,"")</x:f>
        <x:v>73.46</x:v>
      </x:c>
      <x:c r="P880" s="35" t="str">
        <x:v>INCONCLUSIVE</x:v>
      </x:c>
      <x:c r="Q880" s="35" t="str">
        <x:v>Deepseek-flash-v4/Result2/Chart_8/result.json</x:v>
      </x:c>
    </x:row>
    <x:row r="881">
      <x:c r="A881" s="35" t="str">
        <x:v>deepseek</x:v>
      </x:c>
      <x:c r="B881" s="35" t="str">
        <x:v>Chart</x:v>
      </x:c>
      <x:c r="C881" s="35" t="str">
        <x:v>Round2</x:v>
      </x:c>
      <x:c r="D881" s="35" t="str">
        <x:v>Chart_9</x:v>
      </x:c>
      <x:c r="E881" s="35" t="str">
        <x:v>Line</x:v>
      </x:c>
      <x:c r="F881" s="35" t="n">
        <x:v>288</x:v>
      </x:c>
      <x:c r="G881" s="35" t="str">
        <x:v>RECORDED</x:v>
      </x:c>
      <x:c r="H881" s="39" t="n">
        <x:f>IF(ISNUMBER('Data'!E881),'Data'!E881*100,"")</x:f>
        <x:v>77.78</x:v>
      </x:c>
      <x:c r="I881" s="35" t="str">
        <x:v>PASS</x:v>
      </x:c>
      <x:c r="J881" s="35" t="str">
        <x:v>PASS</x:v>
      </x:c>
      <x:c r="K881" s="35" t="str">
        <x:v>PASS</x:v>
      </x:c>
      <x:c r="L881" s="35" t="str">
        <x:v>PASS</x:v>
      </x:c>
      <x:c r="M881" s="35" t="str">
        <x:v>numeric coverage for applicable metric</x:v>
      </x:c>
      <x:c r="N881" s="35" t="str">
        <x:v>Deepseek-flash-v4/Result2/Chart_9/result.json</x:v>
      </x:c>
      <x:c r="O881" s="39" t="n">
        <x:f>IF(AND(G881="RECORDED",ISNUMBER(H881)),H881,"")</x:f>
        <x:v>77.78</x:v>
      </x:c>
      <x:c r="P881" s="35" t="str">
        <x:v>NOT_REVEALING</x:v>
      </x:c>
      <x:c r="Q881" s="35" t="str">
        <x:v>Deepseek-flash-v4/Result2/Chart_9/result.json</x:v>
      </x:c>
    </x:row>
    <x:row r="882">
      <x:c r="A882" s="35" t="str">
        <x:v>deepseek</x:v>
      </x:c>
      <x:c r="B882" s="35" t="str">
        <x:v>Cli</x:v>
      </x:c>
      <x:c r="C882" s="35" t="str">
        <x:v>Round2</x:v>
      </x:c>
      <x:c r="D882" s="35" t="str">
        <x:v>Cli_1</x:v>
      </x:c>
      <x:c r="E882" s="35" t="str">
        <x:v>Line</x:v>
      </x:c>
      <x:c r="F882" s="35" t="n">
        <x:v>45</x:v>
      </x:c>
      <x:c r="G882" s="35" t="str">
        <x:v>RECORDED</x:v>
      </x:c>
      <x:c r="H882" s="39" t="n">
        <x:f>IF(ISNUMBER('Data'!E882),'Data'!E882*100,"")</x:f>
        <x:v>0</x:v>
      </x:c>
      <x:c r="I882" s="35" t="str">
        <x:v>PASS</x:v>
      </x:c>
      <x:c r="J882" s="35" t="str">
        <x:v>PASS</x:v>
      </x:c>
      <x:c r="K882" s="35" t="str">
        <x:v>PASS</x:v>
      </x:c>
      <x:c r="L882" s="35" t="str">
        <x:v>FAIL</x:v>
      </x:c>
      <x:c r="M882" s="35" t="str">
        <x:v>numeric coverage for applicable metric</x:v>
      </x:c>
      <x:c r="N882" s="35" t="str">
        <x:v>Deepseek-flash-v4/Result2/Cli_1/result.json</x:v>
      </x:c>
      <x:c r="O882" s="39" t="n">
        <x:f>IF(AND(G882="RECORDED",ISNUMBER(H882)),H882,"")</x:f>
        <x:v>0</x:v>
      </x:c>
      <x:c r="P882" s="35" t="str">
        <x:v>INCONCLUSIVE</x:v>
      </x:c>
      <x:c r="Q882" s="35" t="str">
        <x:v>Deepseek-flash-v4/Result2/Cli_1/result.json</x:v>
      </x:c>
    </x:row>
    <x:row r="883">
      <x:c r="A883" s="35" t="str">
        <x:v>deepseek</x:v>
      </x:c>
      <x:c r="B883" s="35" t="str">
        <x:v>Cli</x:v>
      </x:c>
      <x:c r="C883" s="35" t="str">
        <x:v>Round2</x:v>
      </x:c>
      <x:c r="D883" s="35" t="str">
        <x:v>Cli_10</x:v>
      </x:c>
      <x:c r="E883" s="35" t="str">
        <x:v>Line</x:v>
      </x:c>
      <x:c r="F883" s="35" t="n">
        <x:v>106</x:v>
      </x:c>
      <x:c r="G883" s="35" t="str">
        <x:v>RECORDED</x:v>
      </x:c>
      <x:c r="H883" s="39" t="n">
        <x:f>IF(ISNUMBER('Data'!E883),'Data'!E883*100,"")</x:f>
        <x:v>0</x:v>
      </x:c>
      <x:c r="I883" s="35" t="str">
        <x:v>PASS</x:v>
      </x:c>
      <x:c r="J883" s="35" t="str">
        <x:v>PASS</x:v>
      </x:c>
      <x:c r="K883" s="35" t="str">
        <x:v>PASS</x:v>
      </x:c>
      <x:c r="L883" s="35" t="str">
        <x:v>FAIL</x:v>
      </x:c>
      <x:c r="M883" s="35" t="str">
        <x:v>numeric coverage for applicable metric</x:v>
      </x:c>
      <x:c r="N883" s="35" t="str">
        <x:v>Deepseek-flash-v4/Result2/Cli_10/result.json</x:v>
      </x:c>
      <x:c r="O883" s="39" t="n">
        <x:f>IF(AND(G883="RECORDED",ISNUMBER(H883)),H883,"")</x:f>
        <x:v>0</x:v>
      </x:c>
      <x:c r="P883" s="35" t="str">
        <x:v>INCONCLUSIVE</x:v>
      </x:c>
      <x:c r="Q883" s="35" t="str">
        <x:v>Deepseek-flash-v4/Result2/Cli_10/result.json</x:v>
      </x:c>
    </x:row>
    <x:row r="884">
      <x:c r="A884" s="35" t="str">
        <x:v>deepseek</x:v>
      </x:c>
      <x:c r="B884" s="35" t="str">
        <x:v>Cli</x:v>
      </x:c>
      <x:c r="C884" s="35" t="str">
        <x:v>Round2</x:v>
      </x:c>
      <x:c r="D884" s="35" t="str">
        <x:v>Cli_11</x:v>
      </x:c>
      <x:c r="E884" s="35" t="str">
        <x:v>Line</x:v>
      </x:c>
      <x:c r="F884" s="35" t="n">
        <x:v>198</x:v>
      </x:c>
      <x:c r="G884" s="35" t="str">
        <x:v>RECORDED</x:v>
      </x:c>
      <x:c r="H884" s="39" t="n">
        <x:f>IF(ISNUMBER('Data'!E884),'Data'!E884*100,"")</x:f>
        <x:v>0</x:v>
      </x:c>
      <x:c r="I884" s="35" t="str">
        <x:v>PASS</x:v>
      </x:c>
      <x:c r="J884" s="35" t="str">
        <x:v>PASS</x:v>
      </x:c>
      <x:c r="K884" s="35" t="str">
        <x:v>PASS</x:v>
      </x:c>
      <x:c r="L884" s="35" t="str">
        <x:v>FAIL</x:v>
      </x:c>
      <x:c r="M884" s="35" t="str">
        <x:v>numeric coverage for applicable metric</x:v>
      </x:c>
      <x:c r="N884" s="35" t="str">
        <x:v>Deepseek-flash-v4/Result2/Cli_11/result.json</x:v>
      </x:c>
      <x:c r="O884" s="39" t="n">
        <x:f>IF(AND(G884="RECORDED",ISNUMBER(H884)),H884,"")</x:f>
        <x:v>0</x:v>
      </x:c>
      <x:c r="P884" s="35" t="str">
        <x:v>INCONCLUSIVE</x:v>
      </x:c>
      <x:c r="Q884" s="35" t="str">
        <x:v>Deepseek-flash-v4/Result2/Cli_11/result.json</x:v>
      </x:c>
    </x:row>
    <x:row r="885">
      <x:c r="A885" s="35" t="str">
        <x:v>deepseek</x:v>
      </x:c>
      <x:c r="B885" s="35" t="str">
        <x:v>Cli</x:v>
      </x:c>
      <x:c r="C885" s="35" t="str">
        <x:v>Round2</x:v>
      </x:c>
      <x:c r="D885" s="35" t="str">
        <x:v>Cli_12</x:v>
      </x:c>
      <x:c r="E885" s="35" t="str">
        <x:v>Line</x:v>
      </x:c>
      <x:c r="F885" s="35" t="n">
        <x:v>25</x:v>
      </x:c>
      <x:c r="G885" s="35" t="str">
        <x:v>RECORDED</x:v>
      </x:c>
      <x:c r="H885" s="39" t="n">
        <x:f>IF(ISNUMBER('Data'!E885),'Data'!E885*100,"")</x:f>
        <x:v>0</x:v>
      </x:c>
      <x:c r="I885" s="35" t="str">
        <x:v>PASS</x:v>
      </x:c>
      <x:c r="J885" s="35" t="str">
        <x:v>PASS</x:v>
      </x:c>
      <x:c r="K885" s="35" t="str">
        <x:v>PASS</x:v>
      </x:c>
      <x:c r="L885" s="35" t="str">
        <x:v>FAIL</x:v>
      </x:c>
      <x:c r="M885" s="35" t="str">
        <x:v>numeric coverage for applicable metric</x:v>
      </x:c>
      <x:c r="N885" s="35" t="str">
        <x:v>Deepseek-flash-v4/Result2/Cli_12/result.json</x:v>
      </x:c>
      <x:c r="O885" s="39" t="n">
        <x:f>IF(AND(G885="RECORDED",ISNUMBER(H885)),H885,"")</x:f>
        <x:v>0</x:v>
      </x:c>
      <x:c r="P885" s="35" t="str">
        <x:v>INCONCLUSIVE</x:v>
      </x:c>
      <x:c r="Q885" s="35" t="str">
        <x:v>Deepseek-flash-v4/Result2/Cli_12/result.json</x:v>
      </x:c>
    </x:row>
    <x:row r="886">
      <x:c r="A886" s="35" t="str">
        <x:v>deepseek</x:v>
      </x:c>
      <x:c r="B886" s="35" t="str">
        <x:v>Cli</x:v>
      </x:c>
      <x:c r="C886" s="35" t="str">
        <x:v>Round2</x:v>
      </x:c>
      <x:c r="D886" s="35" t="str">
        <x:v>Cli_13</x:v>
      </x:c>
      <x:c r="E886" s="35" t="str">
        <x:v>Line</x:v>
      </x:c>
      <x:c r="F886" s="35"/>
      <x:c r="G886" s="35" t="str">
        <x:v>A</x:v>
      </x:c>
      <x:c r="H886" s="39" t="str">
        <x:f>IF(ISNUMBER('Data'!E886),'Data'!E886*100,"")</x:f>
      </x:c>
      <x:c r="I886" s="35"/>
      <x:c r="J886" s="35" t="str">
        <x:v>PASS</x:v>
      </x:c>
      <x:c r="K886" s="35" t="str">
        <x:v>FAIL</x:v>
      </x:c>
      <x:c r="L886" s="35" t="str">
        <x:v>NOT_RUN</x:v>
      </x:c>
      <x:c r="M886" s="35" t="str">
        <x:v>coverage unavailable or execution/compile failed</x:v>
      </x:c>
      <x:c r="N886" s="35" t="str">
        <x:v>Deepseek-flash-v4/Result2/Cli_13/result.json</x:v>
      </x:c>
      <x:c r="O886" s="39" t="str">
        <x:f>IF(AND(G886="RECORDED",ISNUMBER(H886)),H886,"")</x:f>
      </x:c>
      <x:c r="P886" s="35" t="str">
        <x:v>NOT_AVAILABLE</x:v>
      </x:c>
      <x:c r="Q886" s="35" t="str">
        <x:v>Deepseek-flash-v4/Result2/Cli_13/result.json</x:v>
      </x:c>
    </x:row>
    <x:row r="887">
      <x:c r="A887" s="35" t="str">
        <x:v>deepseek</x:v>
      </x:c>
      <x:c r="B887" s="35" t="str">
        <x:v>Cli</x:v>
      </x:c>
      <x:c r="C887" s="35" t="str">
        <x:v>Round2</x:v>
      </x:c>
      <x:c r="D887" s="35" t="str">
        <x:v>Cli_14</x:v>
      </x:c>
      <x:c r="E887" s="35" t="str">
        <x:v>Line</x:v>
      </x:c>
      <x:c r="F887" s="35"/>
      <x:c r="G887" s="35" t="str">
        <x:v>A</x:v>
      </x:c>
      <x:c r="H887" s="39" t="str">
        <x:f>IF(ISNUMBER('Data'!E887),'Data'!E887*100,"")</x:f>
      </x:c>
      <x:c r="I887" s="35"/>
      <x:c r="J887" s="35" t="str">
        <x:v>PASS</x:v>
      </x:c>
      <x:c r="K887" s="35" t="str">
        <x:v>FAIL</x:v>
      </x:c>
      <x:c r="L887" s="35" t="str">
        <x:v>NOT_RUN</x:v>
      </x:c>
      <x:c r="M887" s="35" t="str">
        <x:v>coverage unavailable or execution/compile failed</x:v>
      </x:c>
      <x:c r="N887" s="35" t="str">
        <x:v>Deepseek-flash-v4/Result2/Cli_14/result.json</x:v>
      </x:c>
      <x:c r="O887" s="39" t="str">
        <x:f>IF(AND(G887="RECORDED",ISNUMBER(H887)),H887,"")</x:f>
      </x:c>
      <x:c r="P887" s="35" t="str">
        <x:v>NOT_AVAILABLE</x:v>
      </x:c>
      <x:c r="Q887" s="35" t="str">
        <x:v>Deepseek-flash-v4/Result2/Cli_14/result.json</x:v>
      </x:c>
    </x:row>
    <x:row r="888">
      <x:c r="A888" s="35" t="str">
        <x:v>deepseek</x:v>
      </x:c>
      <x:c r="B888" s="35" t="str">
        <x:v>Cli</x:v>
      </x:c>
      <x:c r="C888" s="35" t="str">
        <x:v>Round2</x:v>
      </x:c>
      <x:c r="D888" s="35" t="str">
        <x:v>Cli_15</x:v>
      </x:c>
      <x:c r="E888" s="35" t="str">
        <x:v>Line</x:v>
      </x:c>
      <x:c r="F888" s="35"/>
      <x:c r="G888" s="35" t="str">
        <x:v>A</x:v>
      </x:c>
      <x:c r="H888" s="39" t="str">
        <x:f>IF(ISNUMBER('Data'!E888),'Data'!E888*100,"")</x:f>
      </x:c>
      <x:c r="I888" s="35"/>
      <x:c r="J888" s="35" t="str">
        <x:v>PASS</x:v>
      </x:c>
      <x:c r="K888" s="35" t="str">
        <x:v>FAIL</x:v>
      </x:c>
      <x:c r="L888" s="35" t="str">
        <x:v>NOT_RUN</x:v>
      </x:c>
      <x:c r="M888" s="35" t="str">
        <x:v>coverage unavailable or execution/compile failed</x:v>
      </x:c>
      <x:c r="N888" s="35" t="str">
        <x:v>Deepseek-flash-v4/Result2/Cli_15/result.json</x:v>
      </x:c>
      <x:c r="O888" s="39" t="str">
        <x:f>IF(AND(G888="RECORDED",ISNUMBER(H888)),H888,"")</x:f>
      </x:c>
      <x:c r="P888" s="35" t="str">
        <x:v>NOT_AVAILABLE</x:v>
      </x:c>
      <x:c r="Q888" s="35" t="str">
        <x:v>Deepseek-flash-v4/Result2/Cli_15/result.json</x:v>
      </x:c>
    </x:row>
    <x:row r="889">
      <x:c r="A889" s="35" t="str">
        <x:v>deepseek</x:v>
      </x:c>
      <x:c r="B889" s="35" t="str">
        <x:v>Cli</x:v>
      </x:c>
      <x:c r="C889" s="35" t="str">
        <x:v>Round2</x:v>
      </x:c>
      <x:c r="D889" s="35" t="str">
        <x:v>Cli_16</x:v>
      </x:c>
      <x:c r="E889" s="35" t="str">
        <x:v>Line</x:v>
      </x:c>
      <x:c r="F889" s="35"/>
      <x:c r="G889" s="35" t="str">
        <x:v>A</x:v>
      </x:c>
      <x:c r="H889" s="39" t="str">
        <x:f>IF(ISNUMBER('Data'!E889),'Data'!E889*100,"")</x:f>
      </x:c>
      <x:c r="I889" s="35"/>
      <x:c r="J889" s="35" t="str">
        <x:v>PASS</x:v>
      </x:c>
      <x:c r="K889" s="35" t="str">
        <x:v>FAIL</x:v>
      </x:c>
      <x:c r="L889" s="35" t="str">
        <x:v>NOT_RUN</x:v>
      </x:c>
      <x:c r="M889" s="35" t="str">
        <x:v>coverage unavailable or execution/compile failed</x:v>
      </x:c>
      <x:c r="N889" s="35" t="str">
        <x:v>Deepseek-flash-v4/Result2/Cli_16/result.json</x:v>
      </x:c>
      <x:c r="O889" s="39" t="str">
        <x:f>IF(AND(G889="RECORDED",ISNUMBER(H889)),H889,"")</x:f>
      </x:c>
      <x:c r="P889" s="35" t="str">
        <x:v>NOT_AVAILABLE</x:v>
      </x:c>
      <x:c r="Q889" s="35" t="str">
        <x:v>Deepseek-flash-v4/Result2/Cli_16/result.json</x:v>
      </x:c>
    </x:row>
    <x:row r="890">
      <x:c r="A890" s="35" t="str">
        <x:v>deepseek</x:v>
      </x:c>
      <x:c r="B890" s="35" t="str">
        <x:v>Cli</x:v>
      </x:c>
      <x:c r="C890" s="35" t="str">
        <x:v>Round2</x:v>
      </x:c>
      <x:c r="D890" s="35" t="str">
        <x:v>Cli_17</x:v>
      </x:c>
      <x:c r="E890" s="35" t="str">
        <x:v>Line</x:v>
      </x:c>
      <x:c r="F890" s="35" t="n">
        <x:v>67</x:v>
      </x:c>
      <x:c r="G890" s="35" t="str">
        <x:v>RECORDED</x:v>
      </x:c>
      <x:c r="H890" s="39" t="n">
        <x:f>IF(ISNUMBER('Data'!E890),'Data'!E890*100,"")</x:f>
        <x:v>0</x:v>
      </x:c>
      <x:c r="I890" s="35" t="str">
        <x:v>PASS</x:v>
      </x:c>
      <x:c r="J890" s="35" t="str">
        <x:v>PASS</x:v>
      </x:c>
      <x:c r="K890" s="35" t="str">
        <x:v>PASS</x:v>
      </x:c>
      <x:c r="L890" s="35" t="str">
        <x:v>FAIL</x:v>
      </x:c>
      <x:c r="M890" s="35" t="str">
        <x:v>numeric coverage for applicable metric</x:v>
      </x:c>
      <x:c r="N890" s="35" t="str">
        <x:v>Deepseek-flash-v4/Result2/Cli_17/result.json</x:v>
      </x:c>
      <x:c r="O890" s="39" t="n">
        <x:f>IF(AND(G890="RECORDED",ISNUMBER(H890)),H890,"")</x:f>
        <x:v>0</x:v>
      </x:c>
      <x:c r="P890" s="35" t="str">
        <x:v>INCONCLUSIVE</x:v>
      </x:c>
      <x:c r="Q890" s="35" t="str">
        <x:v>Deepseek-flash-v4/Result2/Cli_17/result.json</x:v>
      </x:c>
    </x:row>
    <x:row r="891">
      <x:c r="A891" s="35" t="str">
        <x:v>deepseek</x:v>
      </x:c>
      <x:c r="B891" s="35" t="str">
        <x:v>Cli</x:v>
      </x:c>
      <x:c r="C891" s="35" t="str">
        <x:v>Round2</x:v>
      </x:c>
      <x:c r="D891" s="35" t="str">
        <x:v>Cli_18</x:v>
      </x:c>
      <x:c r="E891" s="35" t="str">
        <x:v>Line</x:v>
      </x:c>
      <x:c r="F891" s="35" t="n">
        <x:v>66</x:v>
      </x:c>
      <x:c r="G891" s="35" t="str">
        <x:v>RECORDED</x:v>
      </x:c>
      <x:c r="H891" s="39" t="n">
        <x:f>IF(ISNUMBER('Data'!E891),'Data'!E891*100,"")</x:f>
        <x:v>0</x:v>
      </x:c>
      <x:c r="I891" s="35" t="str">
        <x:v>PASS</x:v>
      </x:c>
      <x:c r="J891" s="35" t="str">
        <x:v>PASS</x:v>
      </x:c>
      <x:c r="K891" s="35" t="str">
        <x:v>PASS</x:v>
      </x:c>
      <x:c r="L891" s="35" t="str">
        <x:v>FAIL</x:v>
      </x:c>
      <x:c r="M891" s="35" t="str">
        <x:v>numeric coverage for applicable metric</x:v>
      </x:c>
      <x:c r="N891" s="35" t="str">
        <x:v>Deepseek-flash-v4/Result2/Cli_18/result.json</x:v>
      </x:c>
      <x:c r="O891" s="39" t="n">
        <x:f>IF(AND(G891="RECORDED",ISNUMBER(H891)),H891,"")</x:f>
        <x:v>0</x:v>
      </x:c>
      <x:c r="P891" s="35" t="str">
        <x:v>INCONCLUSIVE</x:v>
      </x:c>
      <x:c r="Q891" s="35" t="str">
        <x:v>Deepseek-flash-v4/Result2/Cli_18/result.json</x:v>
      </x:c>
    </x:row>
    <x:row r="892">
      <x:c r="A892" s="35" t="str">
        <x:v>deepseek</x:v>
      </x:c>
      <x:c r="B892" s="35" t="str">
        <x:v>Cli</x:v>
      </x:c>
      <x:c r="C892" s="35" t="str">
        <x:v>Round2</x:v>
      </x:c>
      <x:c r="D892" s="35" t="str">
        <x:v>Cli_19</x:v>
      </x:c>
      <x:c r="E892" s="35" t="str">
        <x:v>Line</x:v>
      </x:c>
      <x:c r="F892" s="35" t="n">
        <x:v>65</x:v>
      </x:c>
      <x:c r="G892" s="35" t="str">
        <x:v>RECORDED</x:v>
      </x:c>
      <x:c r="H892" s="39" t="n">
        <x:f>IF(ISNUMBER('Data'!E892),'Data'!E892*100,"")</x:f>
        <x:v>0</x:v>
      </x:c>
      <x:c r="I892" s="35" t="str">
        <x:v>PASS</x:v>
      </x:c>
      <x:c r="J892" s="35" t="str">
        <x:v>PASS</x:v>
      </x:c>
      <x:c r="K892" s="35" t="str">
        <x:v>PASS</x:v>
      </x:c>
      <x:c r="L892" s="35" t="str">
        <x:v>FAIL</x:v>
      </x:c>
      <x:c r="M892" s="35" t="str">
        <x:v>numeric coverage for applicable metric</x:v>
      </x:c>
      <x:c r="N892" s="35" t="str">
        <x:v>Deepseek-flash-v4/Result2/Cli_19/result.json</x:v>
      </x:c>
      <x:c r="O892" s="39" t="n">
        <x:f>IF(AND(G892="RECORDED",ISNUMBER(H892)),H892,"")</x:f>
        <x:v>0</x:v>
      </x:c>
      <x:c r="P892" s="35" t="str">
        <x:v>INCONCLUSIVE</x:v>
      </x:c>
      <x:c r="Q892" s="35" t="str">
        <x:v>Deepseek-flash-v4/Result2/Cli_19/result.json</x:v>
      </x:c>
    </x:row>
    <x:row r="893">
      <x:c r="A893" s="35" t="str">
        <x:v>deepseek</x:v>
      </x:c>
      <x:c r="B893" s="35" t="str">
        <x:v>Cli</x:v>
      </x:c>
      <x:c r="C893" s="35" t="str">
        <x:v>Round2</x:v>
      </x:c>
      <x:c r="D893" s="35" t="str">
        <x:v>Cli_2</x:v>
      </x:c>
      <x:c r="E893" s="35" t="str">
        <x:v>Line</x:v>
      </x:c>
      <x:c r="F893" s="35" t="n">
        <x:v>68</x:v>
      </x:c>
      <x:c r="G893" s="35" t="str">
        <x:v>RECORDED</x:v>
      </x:c>
      <x:c r="H893" s="39" t="n">
        <x:f>IF(ISNUMBER('Data'!E893),'Data'!E893*100,"")</x:f>
        <x:v>0</x:v>
      </x:c>
      <x:c r="I893" s="35" t="str">
        <x:v>PASS</x:v>
      </x:c>
      <x:c r="J893" s="35" t="str">
        <x:v>PASS</x:v>
      </x:c>
      <x:c r="K893" s="35" t="str">
        <x:v>PASS</x:v>
      </x:c>
      <x:c r="L893" s="35" t="str">
        <x:v>FAIL</x:v>
      </x:c>
      <x:c r="M893" s="35" t="str">
        <x:v>numeric coverage for applicable metric</x:v>
      </x:c>
      <x:c r="N893" s="35" t="str">
        <x:v>Deepseek-flash-v4/Result2/Cli_2/result.json</x:v>
      </x:c>
      <x:c r="O893" s="39" t="n">
        <x:f>IF(AND(G893="RECORDED",ISNUMBER(H893)),H893,"")</x:f>
        <x:v>0</x:v>
      </x:c>
      <x:c r="P893" s="35" t="str">
        <x:v>INCONCLUSIVE</x:v>
      </x:c>
      <x:c r="Q893" s="35" t="str">
        <x:v>Deepseek-flash-v4/Result2/Cli_2/result.json</x:v>
      </x:c>
    </x:row>
    <x:row r="894">
      <x:c r="A894" s="35" t="str">
        <x:v>deepseek</x:v>
      </x:c>
      <x:c r="B894" s="35" t="str">
        <x:v>Cli</x:v>
      </x:c>
      <x:c r="C894" s="35" t="str">
        <x:v>Round2</x:v>
      </x:c>
      <x:c r="D894" s="35" t="str">
        <x:v>Cli_20</x:v>
      </x:c>
      <x:c r="E894" s="35" t="str">
        <x:v>Line</x:v>
      </x:c>
      <x:c r="F894" s="35" t="n">
        <x:v>64</x:v>
      </x:c>
      <x:c r="G894" s="35" t="str">
        <x:v>RECORDED</x:v>
      </x:c>
      <x:c r="H894" s="39" t="n">
        <x:f>IF(ISNUMBER('Data'!E894),'Data'!E894*100,"")</x:f>
        <x:v>0</x:v>
      </x:c>
      <x:c r="I894" s="35" t="str">
        <x:v>PASS</x:v>
      </x:c>
      <x:c r="J894" s="35" t="str">
        <x:v>PASS</x:v>
      </x:c>
      <x:c r="K894" s="35" t="str">
        <x:v>PASS</x:v>
      </x:c>
      <x:c r="L894" s="35" t="str">
        <x:v>FAIL</x:v>
      </x:c>
      <x:c r="M894" s="35" t="str">
        <x:v>numeric coverage for applicable metric</x:v>
      </x:c>
      <x:c r="N894" s="35" t="str">
        <x:v>Deepseek-flash-v4/Result2/Cli_20/result.json</x:v>
      </x:c>
      <x:c r="O894" s="39" t="n">
        <x:f>IF(AND(G894="RECORDED",ISNUMBER(H894)),H894,"")</x:f>
        <x:v>0</x:v>
      </x:c>
      <x:c r="P894" s="35" t="str">
        <x:v>INCONCLUSIVE</x:v>
      </x:c>
      <x:c r="Q894" s="35" t="str">
        <x:v>Deepseek-flash-v4/Result2/Cli_20/result.json</x:v>
      </x:c>
    </x:row>
    <x:row r="895">
      <x:c r="A895" s="35" t="str">
        <x:v>deepseek</x:v>
      </x:c>
      <x:c r="B895" s="35" t="str">
        <x:v>Cli</x:v>
      </x:c>
      <x:c r="C895" s="35" t="str">
        <x:v>Round2</x:v>
      </x:c>
      <x:c r="D895" s="35" t="str">
        <x:v>Cli_21</x:v>
      </x:c>
      <x:c r="E895" s="35" t="str">
        <x:v>Line</x:v>
      </x:c>
      <x:c r="F895" s="35"/>
      <x:c r="G895" s="35" t="str">
        <x:v>A</x:v>
      </x:c>
      <x:c r="H895" s="39" t="str">
        <x:f>IF(ISNUMBER('Data'!E895),'Data'!E895*100,"")</x:f>
      </x:c>
      <x:c r="I895" s="35"/>
      <x:c r="J895" s="35" t="str">
        <x:v>PASS</x:v>
      </x:c>
      <x:c r="K895" s="35" t="str">
        <x:v>FAIL</x:v>
      </x:c>
      <x:c r="L895" s="35" t="str">
        <x:v>NOT_RUN</x:v>
      </x:c>
      <x:c r="M895" s="35" t="str">
        <x:v>coverage unavailable or execution/compile failed</x:v>
      </x:c>
      <x:c r="N895" s="35" t="str">
        <x:v>Deepseek-flash-v4/Result2/Cli_21/result.json</x:v>
      </x:c>
      <x:c r="O895" s="39" t="str">
        <x:f>IF(AND(G895="RECORDED",ISNUMBER(H895)),H895,"")</x:f>
      </x:c>
      <x:c r="P895" s="35" t="str">
        <x:v>NOT_AVAILABLE</x:v>
      </x:c>
      <x:c r="Q895" s="35" t="str">
        <x:v>Deepseek-flash-v4/Result2/Cli_21/result.json</x:v>
      </x:c>
    </x:row>
    <x:row r="896">
      <x:c r="A896" s="35" t="str">
        <x:v>deepseek</x:v>
      </x:c>
      <x:c r="B896" s="35" t="str">
        <x:v>Cli</x:v>
      </x:c>
      <x:c r="C896" s="35" t="str">
        <x:v>Round2</x:v>
      </x:c>
      <x:c r="D896" s="35" t="str">
        <x:v>Cli_22</x:v>
      </x:c>
      <x:c r="E896" s="35" t="str">
        <x:v>Line</x:v>
      </x:c>
      <x:c r="F896" s="35" t="n">
        <x:v>57</x:v>
      </x:c>
      <x:c r="G896" s="35" t="str">
        <x:v>RECORDED</x:v>
      </x:c>
      <x:c r="H896" s="39" t="n">
        <x:f>IF(ISNUMBER('Data'!E896),'Data'!E896*100,"")</x:f>
        <x:v>0</x:v>
      </x:c>
      <x:c r="I896" s="35" t="str">
        <x:v>PASS</x:v>
      </x:c>
      <x:c r="J896" s="35" t="str">
        <x:v>PASS</x:v>
      </x:c>
      <x:c r="K896" s="35" t="str">
        <x:v>PASS</x:v>
      </x:c>
      <x:c r="L896" s="35" t="str">
        <x:v>FAIL</x:v>
      </x:c>
      <x:c r="M896" s="35" t="str">
        <x:v>numeric coverage for applicable metric</x:v>
      </x:c>
      <x:c r="N896" s="35" t="str">
        <x:v>Deepseek-flash-v4/Result2/Cli_22/result.json</x:v>
      </x:c>
      <x:c r="O896" s="39" t="n">
        <x:f>IF(AND(G896="RECORDED",ISNUMBER(H896)),H896,"")</x:f>
        <x:v>0</x:v>
      </x:c>
      <x:c r="P896" s="35" t="str">
        <x:v>INCONCLUSIVE</x:v>
      </x:c>
      <x:c r="Q896" s="35" t="str">
        <x:v>Deepseek-flash-v4/Result2/Cli_22/result.json</x:v>
      </x:c>
    </x:row>
    <x:row r="897">
      <x:c r="A897" s="35" t="str">
        <x:v>deepseek</x:v>
      </x:c>
      <x:c r="B897" s="35" t="str">
        <x:v>Cli</x:v>
      </x:c>
      <x:c r="C897" s="35" t="str">
        <x:v>Round2</x:v>
      </x:c>
      <x:c r="D897" s="35" t="str">
        <x:v>Cli_23</x:v>
      </x:c>
      <x:c r="E897" s="35" t="str">
        <x:v>Line</x:v>
      </x:c>
      <x:c r="F897" s="35" t="n">
        <x:v>198</x:v>
      </x:c>
      <x:c r="G897" s="35" t="str">
        <x:v>RECORDED</x:v>
      </x:c>
      <x:c r="H897" s="39" t="n">
        <x:f>IF(ISNUMBER('Data'!E897),'Data'!E897*100,"")</x:f>
        <x:v>0</x:v>
      </x:c>
      <x:c r="I897" s="35" t="str">
        <x:v>PASS</x:v>
      </x:c>
      <x:c r="J897" s="35" t="str">
        <x:v>PASS</x:v>
      </x:c>
      <x:c r="K897" s="35" t="str">
        <x:v>PASS</x:v>
      </x:c>
      <x:c r="L897" s="35" t="str">
        <x:v>FAIL</x:v>
      </x:c>
      <x:c r="M897" s="35" t="str">
        <x:v>numeric coverage for applicable metric</x:v>
      </x:c>
      <x:c r="N897" s="35" t="str">
        <x:v>Deepseek-flash-v4/Result2/Cli_23/result.json</x:v>
      </x:c>
      <x:c r="O897" s="39" t="n">
        <x:f>IF(AND(G897="RECORDED",ISNUMBER(H897)),H897,"")</x:f>
        <x:v>0</x:v>
      </x:c>
      <x:c r="P897" s="35" t="str">
        <x:v>INCONCLUSIVE</x:v>
      </x:c>
      <x:c r="Q897" s="35" t="str">
        <x:v>Deepseek-flash-v4/Result2/Cli_23/result.json</x:v>
      </x:c>
    </x:row>
    <x:row r="898">
      <x:c r="A898" s="35" t="str">
        <x:v>deepseek</x:v>
      </x:c>
      <x:c r="B898" s="35" t="str">
        <x:v>Cli</x:v>
      </x:c>
      <x:c r="C898" s="35" t="str">
        <x:v>Round2</x:v>
      </x:c>
      <x:c r="D898" s="35" t="str">
        <x:v>Cli_24</x:v>
      </x:c>
      <x:c r="E898" s="35" t="str">
        <x:v>Line</x:v>
      </x:c>
      <x:c r="F898" s="35" t="n">
        <x:v>198</x:v>
      </x:c>
      <x:c r="G898" s="35" t="str">
        <x:v>RECORDED</x:v>
      </x:c>
      <x:c r="H898" s="39" t="n">
        <x:f>IF(ISNUMBER('Data'!E898),'Data'!E898*100,"")</x:f>
        <x:v>0</x:v>
      </x:c>
      <x:c r="I898" s="35" t="str">
        <x:v>PASS</x:v>
      </x:c>
      <x:c r="J898" s="35" t="str">
        <x:v>PASS</x:v>
      </x:c>
      <x:c r="K898" s="35" t="str">
        <x:v>PASS</x:v>
      </x:c>
      <x:c r="L898" s="35" t="str">
        <x:v>FAIL</x:v>
      </x:c>
      <x:c r="M898" s="35" t="str">
        <x:v>numeric coverage for applicable metric</x:v>
      </x:c>
      <x:c r="N898" s="35" t="str">
        <x:v>Deepseek-flash-v4/Result2/Cli_24/result.json</x:v>
      </x:c>
      <x:c r="O898" s="39" t="n">
        <x:f>IF(AND(G898="RECORDED",ISNUMBER(H898)),H898,"")</x:f>
        <x:v>0</x:v>
      </x:c>
      <x:c r="P898" s="35" t="str">
        <x:v>INCONCLUSIVE</x:v>
      </x:c>
      <x:c r="Q898" s="35" t="str">
        <x:v>Deepseek-flash-v4/Result2/Cli_24/result.json</x:v>
      </x:c>
    </x:row>
    <x:row r="899">
      <x:c r="A899" s="35" t="str">
        <x:v>deepseek</x:v>
      </x:c>
      <x:c r="B899" s="35" t="str">
        <x:v>Cli</x:v>
      </x:c>
      <x:c r="C899" s="35" t="str">
        <x:v>Round2</x:v>
      </x:c>
      <x:c r="D899" s="35" t="str">
        <x:v>Cli_25</x:v>
      </x:c>
      <x:c r="E899" s="35" t="str">
        <x:v>Line</x:v>
      </x:c>
      <x:c r="F899" s="35" t="n">
        <x:v>198</x:v>
      </x:c>
      <x:c r="G899" s="35" t="str">
        <x:v>RECORDED</x:v>
      </x:c>
      <x:c r="H899" s="39" t="n">
        <x:f>IF(ISNUMBER('Data'!E899),'Data'!E899*100,"")</x:f>
        <x:v>0</x:v>
      </x:c>
      <x:c r="I899" s="35" t="str">
        <x:v>PASS</x:v>
      </x:c>
      <x:c r="J899" s="35" t="str">
        <x:v>PASS</x:v>
      </x:c>
      <x:c r="K899" s="35" t="str">
        <x:v>PASS</x:v>
      </x:c>
      <x:c r="L899" s="35" t="str">
        <x:v>FAIL</x:v>
      </x:c>
      <x:c r="M899" s="35" t="str">
        <x:v>numeric coverage for applicable metric</x:v>
      </x:c>
      <x:c r="N899" s="35" t="str">
        <x:v>Deepseek-flash-v4/Result2/Cli_25/result.json</x:v>
      </x:c>
      <x:c r="O899" s="39" t="n">
        <x:f>IF(AND(G899="RECORDED",ISNUMBER(H899)),H899,"")</x:f>
        <x:v>0</x:v>
      </x:c>
      <x:c r="P899" s="35" t="str">
        <x:v>INCONCLUSIVE</x:v>
      </x:c>
      <x:c r="Q899" s="35" t="str">
        <x:v>Deepseek-flash-v4/Result2/Cli_25/result.json</x:v>
      </x:c>
    </x:row>
    <x:row r="900">
      <x:c r="A900" s="35" t="str">
        <x:v>deepseek</x:v>
      </x:c>
      <x:c r="B900" s="35" t="str">
        <x:v>Cli</x:v>
      </x:c>
      <x:c r="C900" s="35" t="str">
        <x:v>Round2</x:v>
      </x:c>
      <x:c r="D900" s="35" t="str">
        <x:v>Cli_26</x:v>
      </x:c>
      <x:c r="E900" s="35" t="str">
        <x:v>Line</x:v>
      </x:c>
      <x:c r="F900" s="35"/>
      <x:c r="G900" s="35" t="str">
        <x:v>A</x:v>
      </x:c>
      <x:c r="H900" s="39" t="str">
        <x:f>IF(ISNUMBER('Data'!E900),'Data'!E900*100,"")</x:f>
      </x:c>
      <x:c r="I900" s="35"/>
      <x:c r="J900" s="35" t="str">
        <x:v>PASS</x:v>
      </x:c>
      <x:c r="K900" s="35" t="str">
        <x:v>FAIL</x:v>
      </x:c>
      <x:c r="L900" s="35" t="str">
        <x:v>NOT_RUN</x:v>
      </x:c>
      <x:c r="M900" s="35" t="str">
        <x:v>coverage unavailable or execution/compile failed</x:v>
      </x:c>
      <x:c r="N900" s="35" t="str">
        <x:v>Deepseek-flash-v4/Result2/Cli_26/result.json</x:v>
      </x:c>
      <x:c r="O900" s="39" t="str">
        <x:f>IF(AND(G900="RECORDED",ISNUMBER(H900)),H900,"")</x:f>
      </x:c>
      <x:c r="P900" s="35" t="str">
        <x:v>NOT_AVAILABLE</x:v>
      </x:c>
      <x:c r="Q900" s="35" t="str">
        <x:v>Deepseek-flash-v4/Result2/Cli_26/result.json</x:v>
      </x:c>
    </x:row>
    <x:row r="901">
      <x:c r="A901" s="35" t="str">
        <x:v>deepseek</x:v>
      </x:c>
      <x:c r="B901" s="35" t="str">
        <x:v>Cli</x:v>
      </x:c>
      <x:c r="C901" s="35" t="str">
        <x:v>Round2</x:v>
      </x:c>
      <x:c r="D901" s="35" t="str">
        <x:v>Cli_27</x:v>
      </x:c>
      <x:c r="E901" s="35" t="str">
        <x:v>Line</x:v>
      </x:c>
      <x:c r="F901" s="35" t="n">
        <x:v>34</x:v>
      </x:c>
      <x:c r="G901" s="35" t="str">
        <x:v>RECORDED</x:v>
      </x:c>
      <x:c r="H901" s="39" t="n">
        <x:f>IF(ISNUMBER('Data'!E901),'Data'!E901*100,"")</x:f>
        <x:v>0</x:v>
      </x:c>
      <x:c r="I901" s="35" t="str">
        <x:v>PASS</x:v>
      </x:c>
      <x:c r="J901" s="35" t="str">
        <x:v>PASS</x:v>
      </x:c>
      <x:c r="K901" s="35" t="str">
        <x:v>PASS</x:v>
      </x:c>
      <x:c r="L901" s="35" t="str">
        <x:v>FAIL</x:v>
      </x:c>
      <x:c r="M901" s="35" t="str">
        <x:v>numeric coverage for applicable metric</x:v>
      </x:c>
      <x:c r="N901" s="35" t="str">
        <x:v>Deepseek-flash-v4/Result2/Cli_27/result.json</x:v>
      </x:c>
      <x:c r="O901" s="39" t="n">
        <x:f>IF(AND(G901="RECORDED",ISNUMBER(H901)),H901,"")</x:f>
        <x:v>0</x:v>
      </x:c>
      <x:c r="P901" s="35" t="str">
        <x:v>INCONCLUSIVE</x:v>
      </x:c>
      <x:c r="Q901" s="35" t="str">
        <x:v>Deepseek-flash-v4/Result2/Cli_27/result.json</x:v>
      </x:c>
    </x:row>
    <x:row r="902">
      <x:c r="A902" s="35" t="str">
        <x:v>deepseek</x:v>
      </x:c>
      <x:c r="B902" s="35" t="str">
        <x:v>Cli</x:v>
      </x:c>
      <x:c r="C902" s="35" t="str">
        <x:v>Round2</x:v>
      </x:c>
      <x:c r="D902" s="35" t="str">
        <x:v>Cli_28</x:v>
      </x:c>
      <x:c r="E902" s="35" t="str">
        <x:v>Line</x:v>
      </x:c>
      <x:c r="F902" s="35" t="n">
        <x:v>101</x:v>
      </x:c>
      <x:c r="G902" s="35" t="str">
        <x:v>RECORDED</x:v>
      </x:c>
      <x:c r="H902" s="39" t="n">
        <x:f>IF(ISNUMBER('Data'!E902),'Data'!E902*100,"")</x:f>
        <x:v>0</x:v>
      </x:c>
      <x:c r="I902" s="35" t="str">
        <x:v>PASS</x:v>
      </x:c>
      <x:c r="J902" s="35" t="str">
        <x:v>PASS</x:v>
      </x:c>
      <x:c r="K902" s="35" t="str">
        <x:v>PASS</x:v>
      </x:c>
      <x:c r="L902" s="35" t="str">
        <x:v>FAIL</x:v>
      </x:c>
      <x:c r="M902" s="35" t="str">
        <x:v>numeric coverage for applicable metric</x:v>
      </x:c>
      <x:c r="N902" s="35" t="str">
        <x:v>Deepseek-flash-v4/Result2/Cli_28/result.json</x:v>
      </x:c>
      <x:c r="O902" s="39" t="n">
        <x:f>IF(AND(G902="RECORDED",ISNUMBER(H902)),H902,"")</x:f>
        <x:v>0</x:v>
      </x:c>
      <x:c r="P902" s="35" t="str">
        <x:v>INCONCLUSIVE</x:v>
      </x:c>
      <x:c r="Q902" s="35" t="str">
        <x:v>Deepseek-flash-v4/Result2/Cli_28/result.json</x:v>
      </x:c>
    </x:row>
    <x:row r="903">
      <x:c r="A903" s="35" t="str">
        <x:v>deepseek</x:v>
      </x:c>
      <x:c r="B903" s="35" t="str">
        <x:v>Cli</x:v>
      </x:c>
      <x:c r="C903" s="35" t="str">
        <x:v>Round2</x:v>
      </x:c>
      <x:c r="D903" s="35" t="str">
        <x:v>Cli_29</x:v>
      </x:c>
      <x:c r="E903" s="35" t="str">
        <x:v>Line</x:v>
      </x:c>
      <x:c r="F903" s="35" t="n">
        <x:v>14</x:v>
      </x:c>
      <x:c r="G903" s="35" t="str">
        <x:v>RECORDED</x:v>
      </x:c>
      <x:c r="H903" s="39" t="n">
        <x:f>IF(ISNUMBER('Data'!E903),'Data'!E903*100,"")</x:f>
        <x:v>0</x:v>
      </x:c>
      <x:c r="I903" s="35" t="str">
        <x:v>PASS</x:v>
      </x:c>
      <x:c r="J903" s="35" t="str">
        <x:v>PASS</x:v>
      </x:c>
      <x:c r="K903" s="35" t="str">
        <x:v>PASS</x:v>
      </x:c>
      <x:c r="L903" s="35" t="str">
        <x:v>FAIL</x:v>
      </x:c>
      <x:c r="M903" s="35" t="str">
        <x:v>numeric coverage for applicable metric</x:v>
      </x:c>
      <x:c r="N903" s="35" t="str">
        <x:v>Deepseek-flash-v4/Result2/Cli_29/result.json</x:v>
      </x:c>
      <x:c r="O903" s="39" t="n">
        <x:f>IF(AND(G903="RECORDED",ISNUMBER(H903)),H903,"")</x:f>
        <x:v>0</x:v>
      </x:c>
      <x:c r="P903" s="35" t="str">
        <x:v>INCONCLUSIVE</x:v>
      </x:c>
      <x:c r="Q903" s="35" t="str">
        <x:v>Deepseek-flash-v4/Result2/Cli_29/result.json</x:v>
      </x:c>
    </x:row>
    <x:row r="904">
      <x:c r="A904" s="35" t="str">
        <x:v>deepseek</x:v>
      </x:c>
      <x:c r="B904" s="35" t="str">
        <x:v>Cli</x:v>
      </x:c>
      <x:c r="C904" s="35" t="str">
        <x:v>Round2</x:v>
      </x:c>
      <x:c r="D904" s="35" t="str">
        <x:v>Cli_3</x:v>
      </x:c>
      <x:c r="E904" s="35" t="str">
        <x:v>Line</x:v>
      </x:c>
      <x:c r="F904" s="35" t="n">
        <x:v>55</x:v>
      </x:c>
      <x:c r="G904" s="35" t="str">
        <x:v>RECORDED</x:v>
      </x:c>
      <x:c r="H904" s="39" t="n">
        <x:f>IF(ISNUMBER('Data'!E904),'Data'!E904*100,"")</x:f>
        <x:v>0</x:v>
      </x:c>
      <x:c r="I904" s="35" t="str">
        <x:v>PASS</x:v>
      </x:c>
      <x:c r="J904" s="35" t="str">
        <x:v>PASS</x:v>
      </x:c>
      <x:c r="K904" s="35" t="str">
        <x:v>PASS</x:v>
      </x:c>
      <x:c r="L904" s="35" t="str">
        <x:v>FAIL</x:v>
      </x:c>
      <x:c r="M904" s="35" t="str">
        <x:v>numeric coverage for applicable metric</x:v>
      </x:c>
      <x:c r="N904" s="35" t="str">
        <x:v>Deepseek-flash-v4/Result2/Cli_3/result.json</x:v>
      </x:c>
      <x:c r="O904" s="39" t="n">
        <x:f>IF(AND(G904="RECORDED",ISNUMBER(H904)),H904,"")</x:f>
        <x:v>0</x:v>
      </x:c>
      <x:c r="P904" s="35" t="str">
        <x:v>INCONCLUSIVE</x:v>
      </x:c>
      <x:c r="Q904" s="35" t="str">
        <x:v>Deepseek-flash-v4/Result2/Cli_3/result.json</x:v>
      </x:c>
    </x:row>
    <x:row r="905">
      <x:c r="A905" s="35" t="str">
        <x:v>deepseek</x:v>
      </x:c>
      <x:c r="B905" s="35" t="str">
        <x:v>Cli</x:v>
      </x:c>
      <x:c r="C905" s="35" t="str">
        <x:v>Round2</x:v>
      </x:c>
      <x:c r="D905" s="35" t="str">
        <x:v>Cli_30</x:v>
      </x:c>
      <x:c r="E905" s="35" t="str">
        <x:v>Line</x:v>
      </x:c>
      <x:c r="F905" s="35" t="n">
        <x:v>288</x:v>
      </x:c>
      <x:c r="G905" s="35" t="str">
        <x:v>RECORDED</x:v>
      </x:c>
      <x:c r="H905" s="39" t="n">
        <x:f>IF(ISNUMBER('Data'!E905),'Data'!E905*100,"")</x:f>
        <x:v>0</x:v>
      </x:c>
      <x:c r="I905" s="35" t="str">
        <x:v>PASS</x:v>
      </x:c>
      <x:c r="J905" s="35" t="str">
        <x:v>PASS</x:v>
      </x:c>
      <x:c r="K905" s="35" t="str">
        <x:v>PASS</x:v>
      </x:c>
      <x:c r="L905" s="35" t="str">
        <x:v>FAIL</x:v>
      </x:c>
      <x:c r="M905" s="35" t="str">
        <x:v>numeric coverage for applicable metric</x:v>
      </x:c>
      <x:c r="N905" s="35" t="str">
        <x:v>Deepseek-flash-v4/Result2/Cli_30/result.json</x:v>
      </x:c>
      <x:c r="O905" s="39" t="n">
        <x:f>IF(AND(G905="RECORDED",ISNUMBER(H905)),H905,"")</x:f>
        <x:v>0</x:v>
      </x:c>
      <x:c r="P905" s="35" t="str">
        <x:v>INCONCLUSIVE</x:v>
      </x:c>
      <x:c r="Q905" s="35" t="str">
        <x:v>Deepseek-flash-v4/Result2/Cli_30/result.json</x:v>
      </x:c>
    </x:row>
    <x:row r="906">
      <x:c r="A906" s="35" t="str">
        <x:v>deepseek</x:v>
      </x:c>
      <x:c r="B906" s="35" t="str">
        <x:v>Cli</x:v>
      </x:c>
      <x:c r="C906" s="35" t="str">
        <x:v>Round2</x:v>
      </x:c>
      <x:c r="D906" s="35" t="str">
        <x:v>Cli_31</x:v>
      </x:c>
      <x:c r="E906" s="35" t="str">
        <x:v>Line</x:v>
      </x:c>
      <x:c r="F906" s="35"/>
      <x:c r="G906" s="35" t="str">
        <x:v>A</x:v>
      </x:c>
      <x:c r="H906" s="39" t="str">
        <x:f>IF(ISNUMBER('Data'!E906),'Data'!E906*100,"")</x:f>
      </x:c>
      <x:c r="I906" s="35"/>
      <x:c r="J906" s="35" t="str">
        <x:v>PASS</x:v>
      </x:c>
      <x:c r="K906" s="35" t="str">
        <x:v>FAIL</x:v>
      </x:c>
      <x:c r="L906" s="35" t="str">
        <x:v>NOT_RUN</x:v>
      </x:c>
      <x:c r="M906" s="35" t="str">
        <x:v>coverage unavailable or execution/compile failed</x:v>
      </x:c>
      <x:c r="N906" s="35" t="str">
        <x:v>Deepseek-flash-v4/Result2/Cli_31/result.json</x:v>
      </x:c>
      <x:c r="O906" s="39" t="str">
        <x:f>IF(AND(G906="RECORDED",ISNUMBER(H906)),H906,"")</x:f>
      </x:c>
      <x:c r="P906" s="35" t="str">
        <x:v>NOT_AVAILABLE</x:v>
      </x:c>
      <x:c r="Q906" s="35" t="str">
        <x:v>Deepseek-flash-v4/Result2/Cli_31/result.json</x:v>
      </x:c>
    </x:row>
    <x:row r="907">
      <x:c r="A907" s="35" t="str">
        <x:v>deepseek</x:v>
      </x:c>
      <x:c r="B907" s="35" t="str">
        <x:v>Cli</x:v>
      </x:c>
      <x:c r="C907" s="35" t="str">
        <x:v>Round2</x:v>
      </x:c>
      <x:c r="D907" s="35" t="str">
        <x:v>Cli_32</x:v>
      </x:c>
      <x:c r="E907" s="35" t="str">
        <x:v>Line</x:v>
      </x:c>
      <x:c r="F907" s="35" t="n">
        <x:v>203</x:v>
      </x:c>
      <x:c r="G907" s="35" t="str">
        <x:v>RECORDED</x:v>
      </x:c>
      <x:c r="H907" s="39" t="n">
        <x:f>IF(ISNUMBER('Data'!E907),'Data'!E907*100,"")</x:f>
        <x:v>0</x:v>
      </x:c>
      <x:c r="I907" s="35" t="str">
        <x:v>PASS</x:v>
      </x:c>
      <x:c r="J907" s="35" t="str">
        <x:v>PASS</x:v>
      </x:c>
      <x:c r="K907" s="35" t="str">
        <x:v>PASS</x:v>
      </x:c>
      <x:c r="L907" s="35" t="str">
        <x:v>FAIL</x:v>
      </x:c>
      <x:c r="M907" s="35" t="str">
        <x:v>numeric coverage for applicable metric</x:v>
      </x:c>
      <x:c r="N907" s="35" t="str">
        <x:v>Deepseek-flash-v4/Result2/Cli_32/result.json</x:v>
      </x:c>
      <x:c r="O907" s="39" t="n">
        <x:f>IF(AND(G907="RECORDED",ISNUMBER(H907)),H907,"")</x:f>
        <x:v>0</x:v>
      </x:c>
      <x:c r="P907" s="35" t="str">
        <x:v>INCONCLUSIVE</x:v>
      </x:c>
      <x:c r="Q907" s="35" t="str">
        <x:v>Deepseek-flash-v4/Result2/Cli_32/result.json</x:v>
      </x:c>
    </x:row>
    <x:row r="908">
      <x:c r="A908" s="35" t="str">
        <x:v>deepseek</x:v>
      </x:c>
      <x:c r="B908" s="35" t="str">
        <x:v>Cli</x:v>
      </x:c>
      <x:c r="C908" s="35" t="str">
        <x:v>Round2</x:v>
      </x:c>
      <x:c r="D908" s="35" t="str">
        <x:v>Cli_33</x:v>
      </x:c>
      <x:c r="E908" s="35" t="str">
        <x:v>Line</x:v>
      </x:c>
      <x:c r="F908" s="35" t="n">
        <x:v>201</x:v>
      </x:c>
      <x:c r="G908" s="35" t="str">
        <x:v>RECORDED</x:v>
      </x:c>
      <x:c r="H908" s="39" t="n">
        <x:f>IF(ISNUMBER('Data'!E908),'Data'!E908*100,"")</x:f>
        <x:v>0</x:v>
      </x:c>
      <x:c r="I908" s="35" t="str">
        <x:v>PASS</x:v>
      </x:c>
      <x:c r="J908" s="35" t="str">
        <x:v>PASS</x:v>
      </x:c>
      <x:c r="K908" s="35" t="str">
        <x:v>PASS</x:v>
      </x:c>
      <x:c r="L908" s="35" t="str">
        <x:v>FAIL</x:v>
      </x:c>
      <x:c r="M908" s="35" t="str">
        <x:v>numeric coverage for applicable metric</x:v>
      </x:c>
      <x:c r="N908" s="35" t="str">
        <x:v>Deepseek-flash-v4/Result2/Cli_33/result.json</x:v>
      </x:c>
      <x:c r="O908" s="39" t="n">
        <x:f>IF(AND(G908="RECORDED",ISNUMBER(H908)),H908,"")</x:f>
        <x:v>0</x:v>
      </x:c>
      <x:c r="P908" s="35" t="str">
        <x:v>INCONCLUSIVE</x:v>
      </x:c>
      <x:c r="Q908" s="35" t="str">
        <x:v>Deepseek-flash-v4/Result2/Cli_33/result.json</x:v>
      </x:c>
    </x:row>
    <x:row r="909">
      <x:c r="A909" s="35" t="str">
        <x:v>deepseek</x:v>
      </x:c>
      <x:c r="B909" s="35" t="str">
        <x:v>Cli</x:v>
      </x:c>
      <x:c r="C909" s="35" t="str">
        <x:v>Round2</x:v>
      </x:c>
      <x:c r="D909" s="35" t="str">
        <x:v>Cli_34</x:v>
      </x:c>
      <x:c r="E909" s="35" t="str">
        <x:v>Line</x:v>
      </x:c>
      <x:c r="F909" s="35"/>
      <x:c r="G909" s="35" t="str">
        <x:v>A</x:v>
      </x:c>
      <x:c r="H909" s="39" t="str">
        <x:f>IF(ISNUMBER('Data'!E909),'Data'!E909*100,"")</x:f>
      </x:c>
      <x:c r="I909" s="35"/>
      <x:c r="J909" s="35" t="str">
        <x:v>PASS</x:v>
      </x:c>
      <x:c r="K909" s="35" t="str">
        <x:v>FAIL</x:v>
      </x:c>
      <x:c r="L909" s="35" t="str">
        <x:v>NOT_RUN</x:v>
      </x:c>
      <x:c r="M909" s="35" t="str">
        <x:v>coverage unavailable or execution/compile failed</x:v>
      </x:c>
      <x:c r="N909" s="35" t="str">
        <x:v>Deepseek-flash-v4/Result2/Cli_34/result.json</x:v>
      </x:c>
      <x:c r="O909" s="39" t="str">
        <x:f>IF(AND(G909="RECORDED",ISNUMBER(H909)),H909,"")</x:f>
      </x:c>
      <x:c r="P909" s="35" t="str">
        <x:v>NOT_AVAILABLE</x:v>
      </x:c>
      <x:c r="Q909" s="35" t="str">
        <x:v>Deepseek-flash-v4/Result2/Cli_34/result.json</x:v>
      </x:c>
    </x:row>
    <x:row r="910">
      <x:c r="A910" s="35" t="str">
        <x:v>deepseek</x:v>
      </x:c>
      <x:c r="B910" s="35" t="str">
        <x:v>Cli</x:v>
      </x:c>
      <x:c r="C910" s="35" t="str">
        <x:v>Round2</x:v>
      </x:c>
      <x:c r="D910" s="35" t="str">
        <x:v>Cli_35</x:v>
      </x:c>
      <x:c r="E910" s="35" t="str">
        <x:v>Line</x:v>
      </x:c>
      <x:c r="F910" s="35" t="n">
        <x:v>57</x:v>
      </x:c>
      <x:c r="G910" s="35" t="str">
        <x:v>RECORDED</x:v>
      </x:c>
      <x:c r="H910" s="39" t="n">
        <x:f>IF(ISNUMBER('Data'!E910),'Data'!E910*100,"")</x:f>
        <x:v>94.74</x:v>
      </x:c>
      <x:c r="I910" s="35" t="str">
        <x:v>PASS</x:v>
      </x:c>
      <x:c r="J910" s="35" t="str">
        <x:v>PASS</x:v>
      </x:c>
      <x:c r="K910" s="35" t="str">
        <x:v>PASS</x:v>
      </x:c>
      <x:c r="L910" s="35" t="str">
        <x:v>FAIL</x:v>
      </x:c>
      <x:c r="M910" s="35" t="str">
        <x:v>numeric coverage for applicable metric</x:v>
      </x:c>
      <x:c r="N910" s="35" t="str">
        <x:v>Deepseek-flash-v4/Result2/Cli_35/result.json</x:v>
      </x:c>
      <x:c r="O910" s="39" t="n">
        <x:f>IF(AND(G910="RECORDED",ISNUMBER(H910)),H910,"")</x:f>
        <x:v>94.74</x:v>
      </x:c>
      <x:c r="P910" s="35" t="str">
        <x:v>INCONCLUSIVE</x:v>
      </x:c>
      <x:c r="Q910" s="35" t="str">
        <x:v>Deepseek-flash-v4/Result2/Cli_35/result.json</x:v>
      </x:c>
    </x:row>
    <x:row r="911">
      <x:c r="A911" s="35" t="str">
        <x:v>deepseek</x:v>
      </x:c>
      <x:c r="B911" s="35" t="str">
        <x:v>Cli</x:v>
      </x:c>
      <x:c r="C911" s="35" t="str">
        <x:v>Round2</x:v>
      </x:c>
      <x:c r="D911" s="35" t="str">
        <x:v>Cli_36</x:v>
      </x:c>
      <x:c r="E911" s="35" t="str">
        <x:v>Line</x:v>
      </x:c>
      <x:c r="F911" s="35"/>
      <x:c r="G911" s="35" t="str">
        <x:v>A</x:v>
      </x:c>
      <x:c r="H911" s="39" t="str">
        <x:f>IF(ISNUMBER('Data'!E911),'Data'!E911*100,"")</x:f>
      </x:c>
      <x:c r="I911" s="35"/>
      <x:c r="J911" s="35" t="str">
        <x:v>PASS</x:v>
      </x:c>
      <x:c r="K911" s="35" t="str">
        <x:v>FAIL</x:v>
      </x:c>
      <x:c r="L911" s="35" t="str">
        <x:v>NOT_RUN</x:v>
      </x:c>
      <x:c r="M911" s="35" t="str">
        <x:v>coverage unavailable or execution/compile failed</x:v>
      </x:c>
      <x:c r="N911" s="35" t="str">
        <x:v>Deepseek-flash-v4/Result2/Cli_36/result.json</x:v>
      </x:c>
      <x:c r="O911" s="39" t="str">
        <x:f>IF(AND(G911="RECORDED",ISNUMBER(H911)),H911,"")</x:f>
      </x:c>
      <x:c r="P911" s="35" t="str">
        <x:v>NOT_AVAILABLE</x:v>
      </x:c>
      <x:c r="Q911" s="35" t="str">
        <x:v>Deepseek-flash-v4/Result2/Cli_36/result.json</x:v>
      </x:c>
    </x:row>
    <x:row r="912">
      <x:c r="A912" s="35" t="str">
        <x:v>deepseek</x:v>
      </x:c>
      <x:c r="B912" s="35" t="str">
        <x:v>Cli</x:v>
      </x:c>
      <x:c r="C912" s="35" t="str">
        <x:v>Round2</x:v>
      </x:c>
      <x:c r="D912" s="35" t="str">
        <x:v>Cli_37</x:v>
      </x:c>
      <x:c r="E912" s="35" t="str">
        <x:v>Line</x:v>
      </x:c>
      <x:c r="F912" s="35" t="n">
        <x:v>187</x:v>
      </x:c>
      <x:c r="G912" s="35" t="str">
        <x:v>RECORDED</x:v>
      </x:c>
      <x:c r="H912" s="39" t="n">
        <x:f>IF(ISNUMBER('Data'!E912),'Data'!E912*100,"")</x:f>
        <x:v>84.49</x:v>
      </x:c>
      <x:c r="I912" s="35" t="str">
        <x:v>PASS</x:v>
      </x:c>
      <x:c r="J912" s="35" t="str">
        <x:v>PASS</x:v>
      </x:c>
      <x:c r="K912" s="35" t="str">
        <x:v>PASS</x:v>
      </x:c>
      <x:c r="L912" s="35" t="str">
        <x:v>PASS</x:v>
      </x:c>
      <x:c r="M912" s="35" t="str">
        <x:v>numeric coverage for applicable metric</x:v>
      </x:c>
      <x:c r="N912" s="35" t="str">
        <x:v>Deepseek-flash-v4/Result2/Cli_37/result.json</x:v>
      </x:c>
      <x:c r="O912" s="39" t="n">
        <x:f>IF(AND(G912="RECORDED",ISNUMBER(H912)),H912,"")</x:f>
        <x:v>84.49</x:v>
      </x:c>
      <x:c r="P912" s="35" t="str">
        <x:v>NOT_REVEALING</x:v>
      </x:c>
      <x:c r="Q912" s="35" t="str">
        <x:v>Deepseek-flash-v4/Result2/Cli_37/result.json</x:v>
      </x:c>
    </x:row>
    <x:row r="913">
      <x:c r="A913" s="35" t="str">
        <x:v>deepseek</x:v>
      </x:c>
      <x:c r="B913" s="35" t="str">
        <x:v>Cli</x:v>
      </x:c>
      <x:c r="C913" s="35" t="str">
        <x:v>Round2</x:v>
      </x:c>
      <x:c r="D913" s="35" t="str">
        <x:v>Cli_38</x:v>
      </x:c>
      <x:c r="E913" s="35" t="str">
        <x:v>Line</x:v>
      </x:c>
      <x:c r="F913" s="35" t="n">
        <x:v>191</x:v>
      </x:c>
      <x:c r="G913" s="35" t="str">
        <x:v>RECORDED</x:v>
      </x:c>
      <x:c r="H913" s="39" t="n">
        <x:f>IF(ISNUMBER('Data'!E913),'Data'!E913*100,"")</x:f>
        <x:v>83.77</x:v>
      </x:c>
      <x:c r="I913" s="35" t="str">
        <x:v>PASS</x:v>
      </x:c>
      <x:c r="J913" s="35" t="str">
        <x:v>PASS</x:v>
      </x:c>
      <x:c r="K913" s="35" t="str">
        <x:v>PASS</x:v>
      </x:c>
      <x:c r="L913" s="35" t="str">
        <x:v>PASS</x:v>
      </x:c>
      <x:c r="M913" s="35" t="str">
        <x:v>numeric coverage for applicable metric</x:v>
      </x:c>
      <x:c r="N913" s="35" t="str">
        <x:v>Deepseek-flash-v4/Result2/Cli_38/result.json</x:v>
      </x:c>
      <x:c r="O913" s="39" t="n">
        <x:f>IF(AND(G913="RECORDED",ISNUMBER(H913)),H913,"")</x:f>
        <x:v>83.77</x:v>
      </x:c>
      <x:c r="P913" s="35" t="str">
        <x:v>NOT_REVEALING</x:v>
      </x:c>
      <x:c r="Q913" s="35" t="str">
        <x:v>Deepseek-flash-v4/Result2/Cli_38/result.json</x:v>
      </x:c>
    </x:row>
    <x:row r="914">
      <x:c r="A914" s="35" t="str">
        <x:v>deepseek</x:v>
      </x:c>
      <x:c r="B914" s="35" t="str">
        <x:v>Cli</x:v>
      </x:c>
      <x:c r="C914" s="35" t="str">
        <x:v>Round2</x:v>
      </x:c>
      <x:c r="D914" s="35" t="str">
        <x:v>Cli_39</x:v>
      </x:c>
      <x:c r="E914" s="35" t="str">
        <x:v>Line</x:v>
      </x:c>
      <x:c r="F914" s="35" t="n">
        <x:v>42</x:v>
      </x:c>
      <x:c r="G914" s="35" t="str">
        <x:v>RECORDED</x:v>
      </x:c>
      <x:c r="H914" s="39" t="n">
        <x:f>IF(ISNUMBER('Data'!E914),'Data'!E914*100,"")</x:f>
        <x:v>85.71</x:v>
      </x:c>
      <x:c r="I914" s="35" t="str">
        <x:v>PASS</x:v>
      </x:c>
      <x:c r="J914" s="35" t="str">
        <x:v>PASS</x:v>
      </x:c>
      <x:c r="K914" s="35" t="str">
        <x:v>PASS</x:v>
      </x:c>
      <x:c r="L914" s="35" t="str">
        <x:v>FAIL</x:v>
      </x:c>
      <x:c r="M914" s="35" t="str">
        <x:v>numeric coverage for applicable metric</x:v>
      </x:c>
      <x:c r="N914" s="35" t="str">
        <x:v>Deepseek-flash-v4/Result2/Cli_39/result.json</x:v>
      </x:c>
      <x:c r="O914" s="39" t="n">
        <x:f>IF(AND(G914="RECORDED",ISNUMBER(H914)),H914,"")</x:f>
        <x:v>85.71</x:v>
      </x:c>
      <x:c r="P914" s="35" t="str">
        <x:v>INCONCLUSIVE</x:v>
      </x:c>
      <x:c r="Q914" s="35" t="str">
        <x:v>Deepseek-flash-v4/Result2/Cli_39/result.json</x:v>
      </x:c>
    </x:row>
    <x:row r="915">
      <x:c r="A915" s="35" t="str">
        <x:v>deepseek</x:v>
      </x:c>
      <x:c r="B915" s="35" t="str">
        <x:v>Cli</x:v>
      </x:c>
      <x:c r="C915" s="35" t="str">
        <x:v>Round2</x:v>
      </x:c>
      <x:c r="D915" s="35" t="str">
        <x:v>Cli_4</x:v>
      </x:c>
      <x:c r="E915" s="35" t="str">
        <x:v>Line</x:v>
      </x:c>
      <x:c r="F915" s="35" t="n">
        <x:v>99</x:v>
      </x:c>
      <x:c r="G915" s="35" t="str">
        <x:v>RECORDED</x:v>
      </x:c>
      <x:c r="H915" s="39" t="n">
        <x:f>IF(ISNUMBER('Data'!E915),'Data'!E915*100,"")</x:f>
        <x:v>0</x:v>
      </x:c>
      <x:c r="I915" s="35" t="str">
        <x:v>PASS</x:v>
      </x:c>
      <x:c r="J915" s="35" t="str">
        <x:v>PASS</x:v>
      </x:c>
      <x:c r="K915" s="35" t="str">
        <x:v>PASS</x:v>
      </x:c>
      <x:c r="L915" s="35" t="str">
        <x:v>FAIL</x:v>
      </x:c>
      <x:c r="M915" s="35" t="str">
        <x:v>numeric coverage for applicable metric</x:v>
      </x:c>
      <x:c r="N915" s="35" t="str">
        <x:v>Deepseek-flash-v4/Result2/Cli_4/result.json</x:v>
      </x:c>
      <x:c r="O915" s="39" t="n">
        <x:f>IF(AND(G915="RECORDED",ISNUMBER(H915)),H915,"")</x:f>
        <x:v>0</x:v>
      </x:c>
      <x:c r="P915" s="35" t="str">
        <x:v>INCONCLUSIVE</x:v>
      </x:c>
      <x:c r="Q915" s="35" t="str">
        <x:v>Deepseek-flash-v4/Result2/Cli_4/result.json</x:v>
      </x:c>
    </x:row>
    <x:row r="916">
      <x:c r="A916" s="35" t="str">
        <x:v>deepseek</x:v>
      </x:c>
      <x:c r="B916" s="35" t="str">
        <x:v>Cli</x:v>
      </x:c>
      <x:c r="C916" s="35" t="str">
        <x:v>Round2</x:v>
      </x:c>
      <x:c r="D916" s="35" t="str">
        <x:v>Cli_40</x:v>
      </x:c>
      <x:c r="E916" s="35" t="str">
        <x:v>Line</x:v>
      </x:c>
      <x:c r="F916" s="35"/>
      <x:c r="G916" s="35" t="str">
        <x:v>A</x:v>
      </x:c>
      <x:c r="H916" s="39" t="str">
        <x:f>IF(ISNUMBER('Data'!E916),'Data'!E916*100,"")</x:f>
      </x:c>
      <x:c r="I916" s="35"/>
      <x:c r="J916" s="35" t="str">
        <x:v>PASS</x:v>
      </x:c>
      <x:c r="K916" s="35" t="str">
        <x:v>FAIL</x:v>
      </x:c>
      <x:c r="L916" s="35" t="str">
        <x:v>NOT_RUN</x:v>
      </x:c>
      <x:c r="M916" s="35" t="str">
        <x:v>coverage unavailable or execution/compile failed</x:v>
      </x:c>
      <x:c r="N916" s="35" t="str">
        <x:v>Deepseek-flash-v4/Result2/Cli_40/result.json</x:v>
      </x:c>
      <x:c r="O916" s="39" t="str">
        <x:f>IF(AND(G916="RECORDED",ISNUMBER(H916)),H916,"")</x:f>
      </x:c>
      <x:c r="P916" s="35" t="str">
        <x:v>NOT_AVAILABLE</x:v>
      </x:c>
      <x:c r="Q916" s="35" t="str">
        <x:v>Deepseek-flash-v4/Result2/Cli_40/result.json</x:v>
      </x:c>
    </x:row>
    <x:row r="917">
      <x:c r="A917" s="35" t="str">
        <x:v>deepseek</x:v>
      </x:c>
      <x:c r="B917" s="35" t="str">
        <x:v>Cli</x:v>
      </x:c>
      <x:c r="C917" s="35" t="str">
        <x:v>Round2</x:v>
      </x:c>
      <x:c r="D917" s="35" t="str">
        <x:v>Cli_5</x:v>
      </x:c>
      <x:c r="E917" s="35" t="str">
        <x:v>Line</x:v>
      </x:c>
      <x:c r="F917" s="35" t="n">
        <x:v>11</x:v>
      </x:c>
      <x:c r="G917" s="35" t="str">
        <x:v>RECORDED</x:v>
      </x:c>
      <x:c r="H917" s="39" t="n">
        <x:f>IF(ISNUMBER('Data'!E917),'Data'!E917*100,"")</x:f>
        <x:v>0</x:v>
      </x:c>
      <x:c r="I917" s="35" t="str">
        <x:v>PASS</x:v>
      </x:c>
      <x:c r="J917" s="35" t="str">
        <x:v>PASS</x:v>
      </x:c>
      <x:c r="K917" s="35"/>
      <x:c r="L917" s="35" t="str">
        <x:v>FAIL</x:v>
      </x:c>
      <x:c r="M917" s="35" t="str">
        <x:v>numeric coverage for applicable metric</x:v>
      </x:c>
      <x:c r="N917" s="35" t="str">
        <x:v>Deepseek-flash-v4/Result2/Cli_5/result.json</x:v>
      </x:c>
      <x:c r="O917" s="39" t="n">
        <x:f>IF(AND(G917="RECORDED",ISNUMBER(H917)),H917,"")</x:f>
        <x:v>0</x:v>
      </x:c>
      <x:c r="P917" s="35" t="str">
        <x:v>INCONCLUSIVE</x:v>
      </x:c>
      <x:c r="Q917" s="35" t="str">
        <x:v>Deepseek-flash-v4/Result2/Cli_5/result.json</x:v>
      </x:c>
    </x:row>
    <x:row r="918">
      <x:c r="A918" s="35" t="str">
        <x:v>deepseek</x:v>
      </x:c>
      <x:c r="B918" s="35" t="str">
        <x:v>Cli</x:v>
      </x:c>
      <x:c r="C918" s="35" t="str">
        <x:v>Round2</x:v>
      </x:c>
      <x:c r="D918" s="35" t="str">
        <x:v>Cli_7</x:v>
      </x:c>
      <x:c r="E918" s="35" t="str">
        <x:v>Line</x:v>
      </x:c>
      <x:c r="F918" s="35"/>
      <x:c r="G918" s="35" t="str">
        <x:v>A</x:v>
      </x:c>
      <x:c r="H918" s="39" t="str">
        <x:f>IF(ISNUMBER('Data'!E918),'Data'!E918*100,"")</x:f>
      </x:c>
      <x:c r="I918" s="35"/>
      <x:c r="J918" s="35" t="str">
        <x:v>PASS</x:v>
      </x:c>
      <x:c r="K918" s="35" t="str">
        <x:v>FAIL</x:v>
      </x:c>
      <x:c r="L918" s="35" t="str">
        <x:v>NOT_RUN</x:v>
      </x:c>
      <x:c r="M918" s="35" t="str">
        <x:v>coverage unavailable or execution/compile failed</x:v>
      </x:c>
      <x:c r="N918" s="35" t="str">
        <x:v>Deepseek-flash-v4/Result2/Cli_7/result.json</x:v>
      </x:c>
      <x:c r="O918" s="39" t="str">
        <x:f>IF(AND(G918="RECORDED",ISNUMBER(H918)),H918,"")</x:f>
      </x:c>
      <x:c r="P918" s="35" t="str">
        <x:v>NOT_AVAILABLE</x:v>
      </x:c>
      <x:c r="Q918" s="35" t="str">
        <x:v>Deepseek-flash-v4/Result2/Cli_7/result.json</x:v>
      </x:c>
    </x:row>
    <x:row r="919">
      <x:c r="A919" s="35" t="str">
        <x:v>deepseek</x:v>
      </x:c>
      <x:c r="B919" s="35" t="str">
        <x:v>Cli</x:v>
      </x:c>
      <x:c r="C919" s="35" t="str">
        <x:v>Round2</x:v>
      </x:c>
      <x:c r="D919" s="35" t="str">
        <x:v>Cli_8</x:v>
      </x:c>
      <x:c r="E919" s="35" t="str">
        <x:v>Line</x:v>
      </x:c>
      <x:c r="F919" s="35" t="n">
        <x:v>192</x:v>
      </x:c>
      <x:c r="G919" s="35" t="str">
        <x:v>RECORDED</x:v>
      </x:c>
      <x:c r="H919" s="39" t="n">
        <x:f>IF(ISNUMBER('Data'!E919),'Data'!E919*100,"")</x:f>
        <x:v>0</x:v>
      </x:c>
      <x:c r="I919" s="35" t="str">
        <x:v>PASS</x:v>
      </x:c>
      <x:c r="J919" s="35" t="str">
        <x:v>PASS</x:v>
      </x:c>
      <x:c r="K919" s="35" t="str">
        <x:v>PASS</x:v>
      </x:c>
      <x:c r="L919" s="35" t="str">
        <x:v>FAIL</x:v>
      </x:c>
      <x:c r="M919" s="35" t="str">
        <x:v>numeric coverage for applicable metric</x:v>
      </x:c>
      <x:c r="N919" s="35" t="str">
        <x:v>Deepseek-flash-v4/Result2/Cli_8/result.json</x:v>
      </x:c>
      <x:c r="O919" s="39" t="n">
        <x:f>IF(AND(G919="RECORDED",ISNUMBER(H919)),H919,"")</x:f>
        <x:v>0</x:v>
      </x:c>
      <x:c r="P919" s="35" t="str">
        <x:v>INCONCLUSIVE</x:v>
      </x:c>
      <x:c r="Q919" s="35" t="str">
        <x:v>Deepseek-flash-v4/Result2/Cli_8/result.json</x:v>
      </x:c>
    </x:row>
    <x:row r="920">
      <x:c r="A920" s="35" t="str">
        <x:v>deepseek</x:v>
      </x:c>
      <x:c r="B920" s="35" t="str">
        <x:v>Cli</x:v>
      </x:c>
      <x:c r="C920" s="35" t="str">
        <x:v>Round2</x:v>
      </x:c>
      <x:c r="D920" s="35" t="str">
        <x:v>Cli_9</x:v>
      </x:c>
      <x:c r="E920" s="35" t="str">
        <x:v>Line</x:v>
      </x:c>
      <x:c r="F920" s="35"/>
      <x:c r="G920" s="35" t="str">
        <x:v>A</x:v>
      </x:c>
      <x:c r="H920" s="39" t="str">
        <x:f>IF(ISNUMBER('Data'!E920),'Data'!E920*100,"")</x:f>
      </x:c>
      <x:c r="I920" s="35"/>
      <x:c r="J920" s="35" t="str">
        <x:v>PASS</x:v>
      </x:c>
      <x:c r="K920" s="35" t="str">
        <x:v>FAIL</x:v>
      </x:c>
      <x:c r="L920" s="35" t="str">
        <x:v>NOT_RUN</x:v>
      </x:c>
      <x:c r="M920" s="35" t="str">
        <x:v>coverage unavailable or execution/compile failed</x:v>
      </x:c>
      <x:c r="N920" s="35" t="str">
        <x:v>Deepseek-flash-v4/Result2/Cli_9/result.json</x:v>
      </x:c>
      <x:c r="O920" s="39" t="str">
        <x:f>IF(AND(G920="RECORDED",ISNUMBER(H920)),H920,"")</x:f>
      </x:c>
      <x:c r="P920" s="35" t="str">
        <x:v>NOT_AVAILABLE</x:v>
      </x:c>
      <x:c r="Q920" s="35" t="str">
        <x:v>Deepseek-flash-v4/Result2/Cli_9/result.json</x:v>
      </x:c>
    </x:row>
    <x:row r="921">
      <x:c r="A921" s="35" t="str">
        <x:v>deepseek</x:v>
      </x:c>
      <x:c r="B921" s="35" t="str">
        <x:v>Closure</x:v>
      </x:c>
      <x:c r="C921" s="35" t="str">
        <x:v>Round2</x:v>
      </x:c>
      <x:c r="D921" s="35" t="str">
        <x:v>Closure_1</x:v>
      </x:c>
      <x:c r="E921" s="35" t="str">
        <x:v>Line</x:v>
      </x:c>
      <x:c r="F921" s="35"/>
      <x:c r="G921" s="35" t="str">
        <x:v>A</x:v>
      </x:c>
      <x:c r="H921" s="39" t="str">
        <x:f>IF(ISNUMBER('Data'!E921),'Data'!E921*100,"")</x:f>
      </x:c>
      <x:c r="I921" s="35"/>
      <x:c r="J921" s="35" t="str">
        <x:v>PASS</x:v>
      </x:c>
      <x:c r="K921" s="35" t="str">
        <x:v>FAIL</x:v>
      </x:c>
      <x:c r="L921" s="35" t="str">
        <x:v>NOT_RUN</x:v>
      </x:c>
      <x:c r="M921" s="35" t="str">
        <x:v>coverage unavailable or execution/compile failed</x:v>
      </x:c>
      <x:c r="N921" s="35" t="str">
        <x:v>Deepseek-flash-v4/Result2/Closure_1/result.json</x:v>
      </x:c>
      <x:c r="O921" s="39" t="str">
        <x:f>IF(AND(G921="RECORDED",ISNUMBER(H921)),H921,"")</x:f>
      </x:c>
      <x:c r="P921" s="35" t="str">
        <x:v>NOT_AVAILABLE</x:v>
      </x:c>
      <x:c r="Q921" s="35" t="str">
        <x:v>Deepseek-flash-v4/Result2/Closure_1/result.json</x:v>
      </x:c>
    </x:row>
    <x:row r="922">
      <x:c r="A922" s="35" t="str">
        <x:v>deepseek</x:v>
      </x:c>
      <x:c r="B922" s="35" t="str">
        <x:v>Closure</x:v>
      </x:c>
      <x:c r="C922" s="35" t="str">
        <x:v>Round2</x:v>
      </x:c>
      <x:c r="D922" s="35" t="str">
        <x:v>Closure_10</x:v>
      </x:c>
      <x:c r="E922" s="35" t="str">
        <x:v>Line</x:v>
      </x:c>
      <x:c r="F922" s="35" t="n">
        <x:v>1031</x:v>
      </x:c>
      <x:c r="G922" s="35" t="str">
        <x:v>RECORDED</x:v>
      </x:c>
      <x:c r="H922" s="39" t="n">
        <x:f>IF(ISNUMBER('Data'!E922),'Data'!E922*100,"")</x:f>
        <x:v>7.2700000000000005</x:v>
      </x:c>
      <x:c r="I922" s="35" t="str">
        <x:v>PASS</x:v>
      </x:c>
      <x:c r="J922" s="35" t="str">
        <x:v>PASS</x:v>
      </x:c>
      <x:c r="K922" s="35" t="str">
        <x:v>PASS</x:v>
      </x:c>
      <x:c r="L922" s="35" t="str">
        <x:v>FAIL</x:v>
      </x:c>
      <x:c r="M922" s="35" t="str">
        <x:v>numeric coverage for applicable metric</x:v>
      </x:c>
      <x:c r="N922" s="35" t="str">
        <x:v>Deepseek-flash-v4/Result2/Closure_10/result.json</x:v>
      </x:c>
      <x:c r="O922" s="39" t="n">
        <x:f>IF(AND(G922="RECORDED",ISNUMBER(H922)),H922,"")</x:f>
        <x:v>7.2700000000000005</x:v>
      </x:c>
      <x:c r="P922" s="35" t="str">
        <x:v>INCONCLUSIVE</x:v>
      </x:c>
      <x:c r="Q922" s="35" t="str">
        <x:v>Deepseek-flash-v4/Result2/Closure_10/result.json</x:v>
      </x:c>
    </x:row>
    <x:row r="923">
      <x:c r="A923" s="35" t="str">
        <x:v>deepseek</x:v>
      </x:c>
      <x:c r="B923" s="35" t="str">
        <x:v>Closure</x:v>
      </x:c>
      <x:c r="C923" s="35" t="str">
        <x:v>Round2</x:v>
      </x:c>
      <x:c r="D923" s="35" t="str">
        <x:v>Closure_100</x:v>
      </x:c>
      <x:c r="E923" s="35" t="str">
        <x:v>Line</x:v>
      </x:c>
      <x:c r="F923" s="35"/>
      <x:c r="G923" s="35" t="str">
        <x:v>A</x:v>
      </x:c>
      <x:c r="H923" s="39" t="str">
        <x:f>IF(ISNUMBER('Data'!E923),'Data'!E923*100,"")</x:f>
      </x:c>
      <x:c r="I923" s="35"/>
      <x:c r="J923" s="35" t="str">
        <x:v>PASS</x:v>
      </x:c>
      <x:c r="K923" s="35" t="str">
        <x:v>FAIL</x:v>
      </x:c>
      <x:c r="L923" s="35" t="str">
        <x:v>NOT_RUN</x:v>
      </x:c>
      <x:c r="M923" s="35" t="str">
        <x:v>coverage unavailable or execution/compile failed</x:v>
      </x:c>
      <x:c r="N923" s="35" t="str">
        <x:v>Deepseek-flash-v4/Result2/Closure_100/result.json</x:v>
      </x:c>
      <x:c r="O923" s="39" t="str">
        <x:f>IF(AND(G923="RECORDED",ISNUMBER(H923)),H923,"")</x:f>
      </x:c>
      <x:c r="P923" s="35" t="str">
        <x:v>NOT_AVAILABLE</x:v>
      </x:c>
      <x:c r="Q923" s="35" t="str">
        <x:v>Deepseek-flash-v4/Result2/Closure_100/result.json</x:v>
      </x:c>
    </x:row>
    <x:row r="924">
      <x:c r="A924" s="35" t="str">
        <x:v>deepseek</x:v>
      </x:c>
      <x:c r="B924" s="35" t="str">
        <x:v>Closure</x:v>
      </x:c>
      <x:c r="C924" s="35" t="str">
        <x:v>Round2</x:v>
      </x:c>
      <x:c r="D924" s="35" t="str">
        <x:v>Closure_101</x:v>
      </x:c>
      <x:c r="E924" s="35" t="str">
        <x:v>Line</x:v>
      </x:c>
      <x:c r="F924" s="35"/>
      <x:c r="G924" s="35" t="str">
        <x:v>A</x:v>
      </x:c>
      <x:c r="H924" s="39" t="str">
        <x:f>IF(ISNUMBER('Data'!E924),'Data'!E924*100,"")</x:f>
      </x:c>
      <x:c r="I924" s="35"/>
      <x:c r="J924" s="35" t="str">
        <x:v>PASS</x:v>
      </x:c>
      <x:c r="K924" s="35" t="str">
        <x:v>FAIL</x:v>
      </x:c>
      <x:c r="L924" s="35" t="str">
        <x:v>NOT_RUN</x:v>
      </x:c>
      <x:c r="M924" s="35" t="str">
        <x:v>coverage unavailable or execution/compile failed</x:v>
      </x:c>
      <x:c r="N924" s="35" t="str">
        <x:v>Deepseek-flash-v4/Result2/Closure_101/result.json</x:v>
      </x:c>
      <x:c r="O924" s="39" t="str">
        <x:f>IF(AND(G924="RECORDED",ISNUMBER(H924)),H924,"")</x:f>
      </x:c>
      <x:c r="P924" s="35" t="str">
        <x:v>NOT_AVAILABLE</x:v>
      </x:c>
      <x:c r="Q924" s="35" t="str">
        <x:v>Deepseek-flash-v4/Result2/Closure_101/result.json</x:v>
      </x:c>
    </x:row>
    <x:row r="925">
      <x:c r="A925" s="35" t="str">
        <x:v>deepseek</x:v>
      </x:c>
      <x:c r="B925" s="35" t="str">
        <x:v>Closure</x:v>
      </x:c>
      <x:c r="C925" s="35" t="str">
        <x:v>Round2</x:v>
      </x:c>
      <x:c r="D925" s="35" t="str">
        <x:v>Closure_102</x:v>
      </x:c>
      <x:c r="E925" s="35" t="str">
        <x:v>Line</x:v>
      </x:c>
      <x:c r="F925" s="35" t="n">
        <x:v>186</x:v>
      </x:c>
      <x:c r="G925" s="35" t="str">
        <x:v>RECORDED</x:v>
      </x:c>
      <x:c r="H925" s="39" t="n">
        <x:f>IF(ISNUMBER('Data'!E925),'Data'!E925*100,"")</x:f>
        <x:v>25.27</x:v>
      </x:c>
      <x:c r="I925" s="35" t="str">
        <x:v>PASS</x:v>
      </x:c>
      <x:c r="J925" s="35" t="str">
        <x:v>PASS</x:v>
      </x:c>
      <x:c r="K925" s="35" t="str">
        <x:v>PASS</x:v>
      </x:c>
      <x:c r="L925" s="35" t="str">
        <x:v>FAIL</x:v>
      </x:c>
      <x:c r="M925" s="35" t="str">
        <x:v>numeric coverage for applicable metric</x:v>
      </x:c>
      <x:c r="N925" s="35" t="str">
        <x:v>Deepseek-flash-v4/Result2/Closure_102/result.json</x:v>
      </x:c>
      <x:c r="O925" s="39" t="n">
        <x:f>IF(AND(G925="RECORDED",ISNUMBER(H925)),H925,"")</x:f>
        <x:v>25.27</x:v>
      </x:c>
      <x:c r="P925" s="35" t="str">
        <x:v>INCONCLUSIVE</x:v>
      </x:c>
      <x:c r="Q925" s="35" t="str">
        <x:v>Deepseek-flash-v4/Result2/Closure_102/result.json</x:v>
      </x:c>
    </x:row>
    <x:row r="926">
      <x:c r="A926" s="35" t="str">
        <x:v>deepseek</x:v>
      </x:c>
      <x:c r="B926" s="35" t="str">
        <x:v>Closure</x:v>
      </x:c>
      <x:c r="C926" s="35" t="str">
        <x:v>Round2</x:v>
      </x:c>
      <x:c r="D926" s="35" t="str">
        <x:v>Closure_103</x:v>
      </x:c>
      <x:c r="E926" s="35" t="str">
        <x:v>Line</x:v>
      </x:c>
      <x:c r="F926" s="35"/>
      <x:c r="G926" s="35" t="str">
        <x:v>A</x:v>
      </x:c>
      <x:c r="H926" s="39" t="str">
        <x:f>IF(ISNUMBER('Data'!E926),'Data'!E926*100,"")</x:f>
      </x:c>
      <x:c r="I926" s="35"/>
      <x:c r="J926" s="35" t="str">
        <x:v>PASS</x:v>
      </x:c>
      <x:c r="K926" s="35" t="str">
        <x:v>FAIL</x:v>
      </x:c>
      <x:c r="L926" s="35" t="str">
        <x:v>NOT_RUN</x:v>
      </x:c>
      <x:c r="M926" s="35" t="str">
        <x:v>coverage unavailable or execution/compile failed</x:v>
      </x:c>
      <x:c r="N926" s="35" t="str">
        <x:v>Deepseek-flash-v4/Result2/Closure_103/result.json</x:v>
      </x:c>
      <x:c r="O926" s="39" t="str">
        <x:f>IF(AND(G926="RECORDED",ISNUMBER(H926)),H926,"")</x:f>
      </x:c>
      <x:c r="P926" s="35" t="str">
        <x:v>NOT_AVAILABLE</x:v>
      </x:c>
      <x:c r="Q926" s="35" t="str">
        <x:v>Deepseek-flash-v4/Result2/Closure_103/result.json</x:v>
      </x:c>
    </x:row>
    <x:row r="927">
      <x:c r="A927" s="35" t="str">
        <x:v>deepseek</x:v>
      </x:c>
      <x:c r="B927" s="35" t="str">
        <x:v>Closure</x:v>
      </x:c>
      <x:c r="C927" s="35" t="str">
        <x:v>Round2</x:v>
      </x:c>
      <x:c r="D927" s="35" t="str">
        <x:v>Closure_104</x:v>
      </x:c>
      <x:c r="E927" s="35" t="str">
        <x:v>Line</x:v>
      </x:c>
      <x:c r="F927" s="35"/>
      <x:c r="G927" s="35" t="str">
        <x:v>A</x:v>
      </x:c>
      <x:c r="H927" s="39" t="str">
        <x:f>IF(ISNUMBER('Data'!E927),'Data'!E927*100,"")</x:f>
      </x:c>
      <x:c r="I927" s="35"/>
      <x:c r="J927" s="35" t="str">
        <x:v>PASS</x:v>
      </x:c>
      <x:c r="K927" s="35" t="str">
        <x:v>FAIL</x:v>
      </x:c>
      <x:c r="L927" s="35" t="str">
        <x:v>NOT_RUN</x:v>
      </x:c>
      <x:c r="M927" s="35" t="str">
        <x:v>coverage unavailable or execution/compile failed</x:v>
      </x:c>
      <x:c r="N927" s="35" t="str">
        <x:v>Deepseek-flash-v4/Result2/Closure_104/result.json</x:v>
      </x:c>
      <x:c r="O927" s="39" t="str">
        <x:f>IF(AND(G927="RECORDED",ISNUMBER(H927)),H927,"")</x:f>
      </x:c>
      <x:c r="P927" s="35" t="str">
        <x:v>NOT_AVAILABLE</x:v>
      </x:c>
      <x:c r="Q927" s="35" t="str">
        <x:v>Deepseek-flash-v4/Result2/Closure_104/result.json</x:v>
      </x:c>
    </x:row>
    <x:row r="928">
      <x:c r="A928" s="35" t="str">
        <x:v>deepseek</x:v>
      </x:c>
      <x:c r="B928" s="35" t="str">
        <x:v>Closure</x:v>
      </x:c>
      <x:c r="C928" s="35" t="str">
        <x:v>Round2</x:v>
      </x:c>
      <x:c r="D928" s="35" t="str">
        <x:v>Closure_105</x:v>
      </x:c>
      <x:c r="E928" s="35" t="str">
        <x:v>Line</x:v>
      </x:c>
      <x:c r="F928" s="35"/>
      <x:c r="G928" s="35" t="str">
        <x:v>A</x:v>
      </x:c>
      <x:c r="H928" s="39" t="str">
        <x:f>IF(ISNUMBER('Data'!E928),'Data'!E928*100,"")</x:f>
      </x:c>
      <x:c r="I928" s="35"/>
      <x:c r="J928" s="35" t="str">
        <x:v>PASS</x:v>
      </x:c>
      <x:c r="K928" s="35" t="str">
        <x:v>FAIL</x:v>
      </x:c>
      <x:c r="L928" s="35" t="str">
        <x:v>NOT_RUN</x:v>
      </x:c>
      <x:c r="M928" s="35" t="str">
        <x:v>coverage unavailable or execution/compile failed</x:v>
      </x:c>
      <x:c r="N928" s="35" t="str">
        <x:v>Deepseek-flash-v4/Result2/Closure_105/result.json</x:v>
      </x:c>
      <x:c r="O928" s="39" t="str">
        <x:f>IF(AND(G928="RECORDED",ISNUMBER(H928)),H928,"")</x:f>
      </x:c>
      <x:c r="P928" s="35" t="str">
        <x:v>NOT_AVAILABLE</x:v>
      </x:c>
      <x:c r="Q928" s="35" t="str">
        <x:v>Deepseek-flash-v4/Result2/Closure_105/result.json</x:v>
      </x:c>
    </x:row>
    <x:row r="929">
      <x:c r="A929" s="35" t="str">
        <x:v>deepseek</x:v>
      </x:c>
      <x:c r="B929" s="35" t="str">
        <x:v>Closure</x:v>
      </x:c>
      <x:c r="C929" s="35" t="str">
        <x:v>Round2</x:v>
      </x:c>
      <x:c r="D929" s="35" t="str">
        <x:v>Closure_106</x:v>
      </x:c>
      <x:c r="E929" s="35" t="str">
        <x:v>Line</x:v>
      </x:c>
      <x:c r="F929" s="35"/>
      <x:c r="G929" s="35" t="str">
        <x:v>A</x:v>
      </x:c>
      <x:c r="H929" s="39" t="str">
        <x:f>IF(ISNUMBER('Data'!E929),'Data'!E929*100,"")</x:f>
      </x:c>
      <x:c r="I929" s="35"/>
      <x:c r="J929" s="35" t="str">
        <x:v>PASS</x:v>
      </x:c>
      <x:c r="K929" s="35" t="str">
        <x:v>FAIL</x:v>
      </x:c>
      <x:c r="L929" s="35" t="str">
        <x:v>NOT_RUN</x:v>
      </x:c>
      <x:c r="M929" s="35" t="str">
        <x:v>coverage unavailable or execution/compile failed</x:v>
      </x:c>
      <x:c r="N929" s="35" t="str">
        <x:v>Deepseek-flash-v4/Result2/Closure_106/result.json</x:v>
      </x:c>
      <x:c r="O929" s="39" t="str">
        <x:f>IF(AND(G929="RECORDED",ISNUMBER(H929)),H929,"")</x:f>
      </x:c>
      <x:c r="P929" s="35" t="str">
        <x:v>NOT_AVAILABLE</x:v>
      </x:c>
      <x:c r="Q929" s="35" t="str">
        <x:v>Deepseek-flash-v4/Result2/Closure_106/result.json</x:v>
      </x:c>
    </x:row>
    <x:row r="930">
      <x:c r="A930" s="35" t="str">
        <x:v>deepseek</x:v>
      </x:c>
      <x:c r="B930" s="35" t="str">
        <x:v>Closure</x:v>
      </x:c>
      <x:c r="C930" s="35" t="str">
        <x:v>Round2</x:v>
      </x:c>
      <x:c r="D930" s="35" t="str">
        <x:v>Closure_107</x:v>
      </x:c>
      <x:c r="E930" s="35" t="str">
        <x:v>Line</x:v>
      </x:c>
      <x:c r="F930" s="35"/>
      <x:c r="G930" s="35" t="str">
        <x:v>A</x:v>
      </x:c>
      <x:c r="H930" s="39" t="str">
        <x:f>IF(ISNUMBER('Data'!E930),'Data'!E930*100,"")</x:f>
      </x:c>
      <x:c r="I930" s="35"/>
      <x:c r="J930" s="35" t="str">
        <x:v>PASS</x:v>
      </x:c>
      <x:c r="K930" s="35" t="str">
        <x:v>FAIL</x:v>
      </x:c>
      <x:c r="L930" s="35" t="str">
        <x:v>NOT_RUN</x:v>
      </x:c>
      <x:c r="M930" s="35" t="str">
        <x:v>coverage unavailable or execution/compile failed</x:v>
      </x:c>
      <x:c r="N930" s="35" t="str">
        <x:v>Deepseek-flash-v4/Result2/Closure_107/result.json</x:v>
      </x:c>
      <x:c r="O930" s="39" t="str">
        <x:f>IF(AND(G930="RECORDED",ISNUMBER(H930)),H930,"")</x:f>
      </x:c>
      <x:c r="P930" s="35" t="str">
        <x:v>NOT_AVAILABLE</x:v>
      </x:c>
      <x:c r="Q930" s="35" t="str">
        <x:v>Deepseek-flash-v4/Result2/Closure_107/result.json</x:v>
      </x:c>
    </x:row>
    <x:row r="931">
      <x:c r="A931" s="35" t="str">
        <x:v>deepseek</x:v>
      </x:c>
      <x:c r="B931" s="35" t="str">
        <x:v>Closure</x:v>
      </x:c>
      <x:c r="C931" s="35" t="str">
        <x:v>Round2</x:v>
      </x:c>
      <x:c r="D931" s="35" t="str">
        <x:v>Closure_108</x:v>
      </x:c>
      <x:c r="E931" s="35" t="str">
        <x:v>Line</x:v>
      </x:c>
      <x:c r="F931" s="35"/>
      <x:c r="G931" s="35" t="str">
        <x:v>A</x:v>
      </x:c>
      <x:c r="H931" s="39" t="str">
        <x:f>IF(ISNUMBER('Data'!E931),'Data'!E931*100,"")</x:f>
      </x:c>
      <x:c r="I931" s="35"/>
      <x:c r="J931" s="35" t="str">
        <x:v>PASS</x:v>
      </x:c>
      <x:c r="K931" s="35" t="str">
        <x:v>FAIL</x:v>
      </x:c>
      <x:c r="L931" s="35" t="str">
        <x:v>NOT_RUN</x:v>
      </x:c>
      <x:c r="M931" s="35" t="str">
        <x:v>coverage unavailable or execution/compile failed</x:v>
      </x:c>
      <x:c r="N931" s="35" t="str">
        <x:v>Deepseek-flash-v4/Result2/Closure_108/result.json</x:v>
      </x:c>
      <x:c r="O931" s="39" t="str">
        <x:f>IF(AND(G931="RECORDED",ISNUMBER(H931)),H931,"")</x:f>
      </x:c>
      <x:c r="P931" s="35" t="str">
        <x:v>NOT_AVAILABLE</x:v>
      </x:c>
      <x:c r="Q931" s="35" t="str">
        <x:v>Deepseek-flash-v4/Result2/Closure_108/result.json</x:v>
      </x:c>
    </x:row>
    <x:row r="932">
      <x:c r="A932" s="35" t="str">
        <x:v>deepseek</x:v>
      </x:c>
      <x:c r="B932" s="35" t="str">
        <x:v>Closure</x:v>
      </x:c>
      <x:c r="C932" s="35" t="str">
        <x:v>Round2</x:v>
      </x:c>
      <x:c r="D932" s="35" t="str">
        <x:v>Closure_109</x:v>
      </x:c>
      <x:c r="E932" s="35" t="str">
        <x:v>Line</x:v>
      </x:c>
      <x:c r="F932" s="35"/>
      <x:c r="G932" s="35" t="str">
        <x:v>A</x:v>
      </x:c>
      <x:c r="H932" s="39" t="str">
        <x:f>IF(ISNUMBER('Data'!E932),'Data'!E932*100,"")</x:f>
      </x:c>
      <x:c r="I932" s="35"/>
      <x:c r="J932" s="35" t="str">
        <x:v>PASS</x:v>
      </x:c>
      <x:c r="K932" s="35" t="str">
        <x:v>FAIL</x:v>
      </x:c>
      <x:c r="L932" s="35" t="str">
        <x:v>NOT_RUN</x:v>
      </x:c>
      <x:c r="M932" s="35" t="str">
        <x:v>coverage unavailable or execution/compile failed</x:v>
      </x:c>
      <x:c r="N932" s="35" t="str">
        <x:v>Deepseek-flash-v4/Result2/Closure_109/result.json</x:v>
      </x:c>
      <x:c r="O932" s="39" t="str">
        <x:f>IF(AND(G932="RECORDED",ISNUMBER(H932)),H932,"")</x:f>
      </x:c>
      <x:c r="P932" s="35" t="str">
        <x:v>NOT_AVAILABLE</x:v>
      </x:c>
      <x:c r="Q932" s="35" t="str">
        <x:v>Deepseek-flash-v4/Result2/Closure_109/result.json</x:v>
      </x:c>
    </x:row>
    <x:row r="933">
      <x:c r="A933" s="35" t="str">
        <x:v>deepseek</x:v>
      </x:c>
      <x:c r="B933" s="35" t="str">
        <x:v>Closure</x:v>
      </x:c>
      <x:c r="C933" s="35" t="str">
        <x:v>Round2</x:v>
      </x:c>
      <x:c r="D933" s="35" t="str">
        <x:v>Closure_11</x:v>
      </x:c>
      <x:c r="E933" s="35" t="str">
        <x:v>Line</x:v>
      </x:c>
      <x:c r="F933" s="35"/>
      <x:c r="G933" s="35" t="str">
        <x:v>A</x:v>
      </x:c>
      <x:c r="H933" s="39" t="str">
        <x:f>IF(ISNUMBER('Data'!E933),'Data'!E933*100,"")</x:f>
      </x:c>
      <x:c r="I933" s="35"/>
      <x:c r="J933" s="35" t="str">
        <x:v>PASS</x:v>
      </x:c>
      <x:c r="K933" s="35" t="str">
        <x:v>FAIL</x:v>
      </x:c>
      <x:c r="L933" s="35" t="str">
        <x:v>NOT_RUN</x:v>
      </x:c>
      <x:c r="M933" s="35" t="str">
        <x:v>coverage unavailable or execution/compile failed</x:v>
      </x:c>
      <x:c r="N933" s="35" t="str">
        <x:v>Deepseek-flash-v4/Result2/Closure_11/result.json</x:v>
      </x:c>
      <x:c r="O933" s="39" t="str">
        <x:f>IF(AND(G933="RECORDED",ISNUMBER(H933)),H933,"")</x:f>
      </x:c>
      <x:c r="P933" s="35" t="str">
        <x:v>NOT_AVAILABLE</x:v>
      </x:c>
      <x:c r="Q933" s="35" t="str">
        <x:v>Deepseek-flash-v4/Result2/Closure_11/result.json</x:v>
      </x:c>
    </x:row>
    <x:row r="934">
      <x:c r="A934" s="35" t="str">
        <x:v>deepseek</x:v>
      </x:c>
      <x:c r="B934" s="35" t="str">
        <x:v>Closure</x:v>
      </x:c>
      <x:c r="C934" s="35" t="str">
        <x:v>Round2</x:v>
      </x:c>
      <x:c r="D934" s="35" t="str">
        <x:v>Closure_110</x:v>
      </x:c>
      <x:c r="E934" s="35" t="str">
        <x:v>Line</x:v>
      </x:c>
      <x:c r="F934" s="35"/>
      <x:c r="G934" s="35" t="str">
        <x:v>A</x:v>
      </x:c>
      <x:c r="H934" s="39" t="str">
        <x:f>IF(ISNUMBER('Data'!E934),'Data'!E934*100,"")</x:f>
      </x:c>
      <x:c r="I934" s="35"/>
      <x:c r="J934" s="35" t="str">
        <x:v>PASS</x:v>
      </x:c>
      <x:c r="K934" s="35" t="str">
        <x:v>FAIL</x:v>
      </x:c>
      <x:c r="L934" s="35" t="str">
        <x:v>NOT_RUN</x:v>
      </x:c>
      <x:c r="M934" s="35" t="str">
        <x:v>coverage unavailable or execution/compile failed</x:v>
      </x:c>
      <x:c r="N934" s="35" t="str">
        <x:v>Deepseek-flash-v4/Result2/Closure_110/result.json</x:v>
      </x:c>
      <x:c r="O934" s="39" t="str">
        <x:f>IF(AND(G934="RECORDED",ISNUMBER(H934)),H934,"")</x:f>
      </x:c>
      <x:c r="P934" s="35" t="str">
        <x:v>NOT_AVAILABLE</x:v>
      </x:c>
      <x:c r="Q934" s="35" t="str">
        <x:v>Deepseek-flash-v4/Result2/Closure_110/result.json</x:v>
      </x:c>
    </x:row>
    <x:row r="935">
      <x:c r="A935" s="35" t="str">
        <x:v>deepseek</x:v>
      </x:c>
      <x:c r="B935" s="35" t="str">
        <x:v>Closure</x:v>
      </x:c>
      <x:c r="C935" s="35" t="str">
        <x:v>Round2</x:v>
      </x:c>
      <x:c r="D935" s="35" t="str">
        <x:v>Closure_111</x:v>
      </x:c>
      <x:c r="E935" s="35" t="str">
        <x:v>Line</x:v>
      </x:c>
      <x:c r="F935" s="35"/>
      <x:c r="G935" s="35" t="str">
        <x:v>A</x:v>
      </x:c>
      <x:c r="H935" s="39" t="str">
        <x:f>IF(ISNUMBER('Data'!E935),'Data'!E935*100,"")</x:f>
      </x:c>
      <x:c r="I935" s="35"/>
      <x:c r="J935" s="35" t="str">
        <x:v>PASS</x:v>
      </x:c>
      <x:c r="K935" s="35" t="str">
        <x:v>FAIL</x:v>
      </x:c>
      <x:c r="L935" s="35" t="str">
        <x:v>NOT_RUN</x:v>
      </x:c>
      <x:c r="M935" s="35" t="str">
        <x:v>coverage unavailable or execution/compile failed</x:v>
      </x:c>
      <x:c r="N935" s="35" t="str">
        <x:v>Deepseek-flash-v4/Result2/Closure_111/result.json</x:v>
      </x:c>
      <x:c r="O935" s="39" t="str">
        <x:f>IF(AND(G935="RECORDED",ISNUMBER(H935)),H935,"")</x:f>
      </x:c>
      <x:c r="P935" s="35" t="str">
        <x:v>NOT_AVAILABLE</x:v>
      </x:c>
      <x:c r="Q935" s="35" t="str">
        <x:v>Deepseek-flash-v4/Result2/Closure_111/result.json</x:v>
      </x:c>
    </x:row>
    <x:row r="936">
      <x:c r="A936" s="35" t="str">
        <x:v>deepseek</x:v>
      </x:c>
      <x:c r="B936" s="35" t="str">
        <x:v>Closure</x:v>
      </x:c>
      <x:c r="C936" s="35" t="str">
        <x:v>Round2</x:v>
      </x:c>
      <x:c r="D936" s="35" t="str">
        <x:v>Closure_112</x:v>
      </x:c>
      <x:c r="E936" s="35" t="str">
        <x:v>Line</x:v>
      </x:c>
      <x:c r="F936" s="35"/>
      <x:c r="G936" s="35" t="str">
        <x:v>A</x:v>
      </x:c>
      <x:c r="H936" s="39" t="str">
        <x:f>IF(ISNUMBER('Data'!E936),'Data'!E936*100,"")</x:f>
      </x:c>
      <x:c r="I936" s="35"/>
      <x:c r="J936" s="35" t="str">
        <x:v>PASS</x:v>
      </x:c>
      <x:c r="K936" s="35" t="str">
        <x:v>FAIL</x:v>
      </x:c>
      <x:c r="L936" s="35" t="str">
        <x:v>NOT_RUN</x:v>
      </x:c>
      <x:c r="M936" s="35" t="str">
        <x:v>coverage unavailable or execution/compile failed</x:v>
      </x:c>
      <x:c r="N936" s="35" t="str">
        <x:v>Deepseek-flash-v4/Result2/Closure_112/result.json</x:v>
      </x:c>
      <x:c r="O936" s="39" t="str">
        <x:f>IF(AND(G936="RECORDED",ISNUMBER(H936)),H936,"")</x:f>
      </x:c>
      <x:c r="P936" s="35" t="str">
        <x:v>NOT_AVAILABLE</x:v>
      </x:c>
      <x:c r="Q936" s="35" t="str">
        <x:v>Deepseek-flash-v4/Result2/Closure_112/result.json</x:v>
      </x:c>
    </x:row>
    <x:row r="937">
      <x:c r="A937" s="35" t="str">
        <x:v>deepseek</x:v>
      </x:c>
      <x:c r="B937" s="35" t="str">
        <x:v>Closure</x:v>
      </x:c>
      <x:c r="C937" s="35" t="str">
        <x:v>Round2</x:v>
      </x:c>
      <x:c r="D937" s="35" t="str">
        <x:v>Closure_113</x:v>
      </x:c>
      <x:c r="E937" s="35" t="str">
        <x:v>Line</x:v>
      </x:c>
      <x:c r="F937" s="35"/>
      <x:c r="G937" s="35" t="str">
        <x:v>A</x:v>
      </x:c>
      <x:c r="H937" s="39" t="str">
        <x:f>IF(ISNUMBER('Data'!E937),'Data'!E937*100,"")</x:f>
      </x:c>
      <x:c r="I937" s="35"/>
      <x:c r="J937" s="35" t="str">
        <x:v>PASS</x:v>
      </x:c>
      <x:c r="K937" s="35" t="str">
        <x:v>FAIL</x:v>
      </x:c>
      <x:c r="L937" s="35" t="str">
        <x:v>NOT_RUN</x:v>
      </x:c>
      <x:c r="M937" s="35" t="str">
        <x:v>coverage unavailable or execution/compile failed</x:v>
      </x:c>
      <x:c r="N937" s="35" t="str">
        <x:v>Deepseek-flash-v4/Result2/Closure_113/result.json</x:v>
      </x:c>
      <x:c r="O937" s="39" t="str">
        <x:f>IF(AND(G937="RECORDED",ISNUMBER(H937)),H937,"")</x:f>
      </x:c>
      <x:c r="P937" s="35" t="str">
        <x:v>NOT_AVAILABLE</x:v>
      </x:c>
      <x:c r="Q937" s="35" t="str">
        <x:v>Deepseek-flash-v4/Result2/Closure_113/result.json</x:v>
      </x:c>
    </x:row>
    <x:row r="938">
      <x:c r="A938" s="35" t="str">
        <x:v>deepseek</x:v>
      </x:c>
      <x:c r="B938" s="35" t="str">
        <x:v>Closure</x:v>
      </x:c>
      <x:c r="C938" s="35" t="str">
        <x:v>Round2</x:v>
      </x:c>
      <x:c r="D938" s="35" t="str">
        <x:v>Closure_114</x:v>
      </x:c>
      <x:c r="E938" s="35" t="str">
        <x:v>Line</x:v>
      </x:c>
      <x:c r="F938" s="35"/>
      <x:c r="G938" s="35" t="str">
        <x:v>A</x:v>
      </x:c>
      <x:c r="H938" s="39" t="str">
        <x:f>IF(ISNUMBER('Data'!E938),'Data'!E938*100,"")</x:f>
      </x:c>
      <x:c r="I938" s="35"/>
      <x:c r="J938" s="35" t="str">
        <x:v>PASS</x:v>
      </x:c>
      <x:c r="K938" s="35" t="str">
        <x:v>FAIL</x:v>
      </x:c>
      <x:c r="L938" s="35" t="str">
        <x:v>NOT_RUN</x:v>
      </x:c>
      <x:c r="M938" s="35" t="str">
        <x:v>coverage unavailable or execution/compile failed</x:v>
      </x:c>
      <x:c r="N938" s="35" t="str">
        <x:v>Deepseek-flash-v4/Result2/Closure_114/result.json</x:v>
      </x:c>
      <x:c r="O938" s="39" t="str">
        <x:f>IF(AND(G938="RECORDED",ISNUMBER(H938)),H938,"")</x:f>
      </x:c>
      <x:c r="P938" s="35" t="str">
        <x:v>NOT_AVAILABLE</x:v>
      </x:c>
      <x:c r="Q938" s="35" t="str">
        <x:v>Deepseek-flash-v4/Result2/Closure_114/result.json</x:v>
      </x:c>
    </x:row>
    <x:row r="939">
      <x:c r="A939" s="35" t="str">
        <x:v>deepseek</x:v>
      </x:c>
      <x:c r="B939" s="35" t="str">
        <x:v>Closure</x:v>
      </x:c>
      <x:c r="C939" s="35" t="str">
        <x:v>Round2</x:v>
      </x:c>
      <x:c r="D939" s="35" t="str">
        <x:v>Closure_115</x:v>
      </x:c>
      <x:c r="E939" s="35" t="str">
        <x:v>Line</x:v>
      </x:c>
      <x:c r="F939" s="35"/>
      <x:c r="G939" s="35" t="str">
        <x:v>A</x:v>
      </x:c>
      <x:c r="H939" s="39" t="str">
        <x:f>IF(ISNUMBER('Data'!E939),'Data'!E939*100,"")</x:f>
      </x:c>
      <x:c r="I939" s="35"/>
      <x:c r="J939" s="35" t="str">
        <x:v>PASS</x:v>
      </x:c>
      <x:c r="K939" s="35" t="str">
        <x:v>FAIL</x:v>
      </x:c>
      <x:c r="L939" s="35" t="str">
        <x:v>NOT_RUN</x:v>
      </x:c>
      <x:c r="M939" s="35" t="str">
        <x:v>coverage unavailable or execution/compile failed</x:v>
      </x:c>
      <x:c r="N939" s="35" t="str">
        <x:v>Deepseek-flash-v4/Result2/Closure_115/result.json</x:v>
      </x:c>
      <x:c r="O939" s="39" t="str">
        <x:f>IF(AND(G939="RECORDED",ISNUMBER(H939)),H939,"")</x:f>
      </x:c>
      <x:c r="P939" s="35" t="str">
        <x:v>NOT_AVAILABLE</x:v>
      </x:c>
      <x:c r="Q939" s="35" t="str">
        <x:v>Deepseek-flash-v4/Result2/Closure_115/result.json</x:v>
      </x:c>
    </x:row>
    <x:row r="940">
      <x:c r="A940" s="35" t="str">
        <x:v>deepseek</x:v>
      </x:c>
      <x:c r="B940" s="35" t="str">
        <x:v>Closure</x:v>
      </x:c>
      <x:c r="C940" s="35" t="str">
        <x:v>Round2</x:v>
      </x:c>
      <x:c r="D940" s="35" t="str">
        <x:v>Closure_116</x:v>
      </x:c>
      <x:c r="E940" s="35" t="str">
        <x:v>Line</x:v>
      </x:c>
      <x:c r="F940" s="35"/>
      <x:c r="G940" s="35" t="str">
        <x:v>A</x:v>
      </x:c>
      <x:c r="H940" s="39" t="str">
        <x:f>IF(ISNUMBER('Data'!E940),'Data'!E940*100,"")</x:f>
      </x:c>
      <x:c r="I940" s="35"/>
      <x:c r="J940" s="35" t="str">
        <x:v>PASS</x:v>
      </x:c>
      <x:c r="K940" s="35" t="str">
        <x:v>FAIL</x:v>
      </x:c>
      <x:c r="L940" s="35" t="str">
        <x:v>NOT_RUN</x:v>
      </x:c>
      <x:c r="M940" s="35" t="str">
        <x:v>coverage unavailable or execution/compile failed</x:v>
      </x:c>
      <x:c r="N940" s="35" t="str">
        <x:v>Deepseek-flash-v4/Result2/Closure_116/result.json</x:v>
      </x:c>
      <x:c r="O940" s="39" t="str">
        <x:f>IF(AND(G940="RECORDED",ISNUMBER(H940)),H940,"")</x:f>
      </x:c>
      <x:c r="P940" s="35" t="str">
        <x:v>NOT_AVAILABLE</x:v>
      </x:c>
      <x:c r="Q940" s="35" t="str">
        <x:v>Deepseek-flash-v4/Result2/Closure_116/result.json</x:v>
      </x:c>
    </x:row>
    <x:row r="941">
      <x:c r="A941" s="35" t="str">
        <x:v>deepseek</x:v>
      </x:c>
      <x:c r="B941" s="35" t="str">
        <x:v>Closure</x:v>
      </x:c>
      <x:c r="C941" s="35" t="str">
        <x:v>Round2</x:v>
      </x:c>
      <x:c r="D941" s="35" t="str">
        <x:v>Closure_117</x:v>
      </x:c>
      <x:c r="E941" s="35" t="str">
        <x:v>Line</x:v>
      </x:c>
      <x:c r="F941" s="35"/>
      <x:c r="G941" s="35" t="str">
        <x:v>A</x:v>
      </x:c>
      <x:c r="H941" s="39" t="str">
        <x:f>IF(ISNUMBER('Data'!E941),'Data'!E941*100,"")</x:f>
      </x:c>
      <x:c r="I941" s="35"/>
      <x:c r="J941" s="35" t="str">
        <x:v>PASS</x:v>
      </x:c>
      <x:c r="K941" s="35" t="str">
        <x:v>FAIL</x:v>
      </x:c>
      <x:c r="L941" s="35" t="str">
        <x:v>NOT_RUN</x:v>
      </x:c>
      <x:c r="M941" s="35" t="str">
        <x:v>coverage unavailable or execution/compile failed</x:v>
      </x:c>
      <x:c r="N941" s="35" t="str">
        <x:v>Deepseek-flash-v4/Result2/Closure_117/result.json</x:v>
      </x:c>
      <x:c r="O941" s="39" t="str">
        <x:f>IF(AND(G941="RECORDED",ISNUMBER(H941)),H941,"")</x:f>
      </x:c>
      <x:c r="P941" s="35" t="str">
        <x:v>NOT_AVAILABLE</x:v>
      </x:c>
      <x:c r="Q941" s="35" t="str">
        <x:v>Deepseek-flash-v4/Result2/Closure_117/result.json</x:v>
      </x:c>
    </x:row>
    <x:row r="942">
      <x:c r="A942" s="35" t="str">
        <x:v>deepseek</x:v>
      </x:c>
      <x:c r="B942" s="35" t="str">
        <x:v>Closure</x:v>
      </x:c>
      <x:c r="C942" s="35" t="str">
        <x:v>Round2</x:v>
      </x:c>
      <x:c r="D942" s="35" t="str">
        <x:v>Closure_118</x:v>
      </x:c>
      <x:c r="E942" s="35" t="str">
        <x:v>Line</x:v>
      </x:c>
      <x:c r="F942" s="35"/>
      <x:c r="G942" s="35" t="str">
        <x:v>A</x:v>
      </x:c>
      <x:c r="H942" s="39" t="str">
        <x:f>IF(ISNUMBER('Data'!E942),'Data'!E942*100,"")</x:f>
      </x:c>
      <x:c r="I942" s="35"/>
      <x:c r="J942" s="35" t="str">
        <x:v>PASS</x:v>
      </x:c>
      <x:c r="K942" s="35" t="str">
        <x:v>FAIL</x:v>
      </x:c>
      <x:c r="L942" s="35" t="str">
        <x:v>NOT_RUN</x:v>
      </x:c>
      <x:c r="M942" s="35" t="str">
        <x:v>coverage unavailable or execution/compile failed</x:v>
      </x:c>
      <x:c r="N942" s="35" t="str">
        <x:v>Deepseek-flash-v4/Result2/Closure_118/result.json</x:v>
      </x:c>
      <x:c r="O942" s="39" t="str">
        <x:f>IF(AND(G942="RECORDED",ISNUMBER(H942)),H942,"")</x:f>
      </x:c>
      <x:c r="P942" s="35" t="str">
        <x:v>NOT_AVAILABLE</x:v>
      </x:c>
      <x:c r="Q942" s="35" t="str">
        <x:v>Deepseek-flash-v4/Result2/Closure_118/result.json</x:v>
      </x:c>
    </x:row>
    <x:row r="943">
      <x:c r="A943" s="35" t="str">
        <x:v>deepseek</x:v>
      </x:c>
      <x:c r="B943" s="35" t="str">
        <x:v>Closure</x:v>
      </x:c>
      <x:c r="C943" s="35" t="str">
        <x:v>Round2</x:v>
      </x:c>
      <x:c r="D943" s="35" t="str">
        <x:v>Closure_119</x:v>
      </x:c>
      <x:c r="E943" s="35" t="str">
        <x:v>Line</x:v>
      </x:c>
      <x:c r="F943" s="35"/>
      <x:c r="G943" s="35" t="str">
        <x:v>A</x:v>
      </x:c>
      <x:c r="H943" s="39" t="str">
        <x:f>IF(ISNUMBER('Data'!E943),'Data'!E943*100,"")</x:f>
      </x:c>
      <x:c r="I943" s="35"/>
      <x:c r="J943" s="35" t="str">
        <x:v>PASS</x:v>
      </x:c>
      <x:c r="K943" s="35" t="str">
        <x:v>FAIL</x:v>
      </x:c>
      <x:c r="L943" s="35" t="str">
        <x:v>NOT_RUN</x:v>
      </x:c>
      <x:c r="M943" s="35" t="str">
        <x:v>coverage unavailable or execution/compile failed</x:v>
      </x:c>
      <x:c r="N943" s="35" t="str">
        <x:v>Deepseek-flash-v4/Result2/Closure_119/result.json</x:v>
      </x:c>
      <x:c r="O943" s="39" t="str">
        <x:f>IF(AND(G943="RECORDED",ISNUMBER(H943)),H943,"")</x:f>
      </x:c>
      <x:c r="P943" s="35" t="str">
        <x:v>NOT_AVAILABLE</x:v>
      </x:c>
      <x:c r="Q943" s="35" t="str">
        <x:v>Deepseek-flash-v4/Result2/Closure_119/result.json</x:v>
      </x:c>
    </x:row>
    <x:row r="944">
      <x:c r="A944" s="35" t="str">
        <x:v>deepseek</x:v>
      </x:c>
      <x:c r="B944" s="35" t="str">
        <x:v>Closure</x:v>
      </x:c>
      <x:c r="C944" s="35" t="str">
        <x:v>Round2</x:v>
      </x:c>
      <x:c r="D944" s="35" t="str">
        <x:v>Closure_12</x:v>
      </x:c>
      <x:c r="E944" s="35" t="str">
        <x:v>Line</x:v>
      </x:c>
      <x:c r="F944" s="35"/>
      <x:c r="G944" s="35" t="str">
        <x:v>A</x:v>
      </x:c>
      <x:c r="H944" s="39" t="str">
        <x:f>IF(ISNUMBER('Data'!E944),'Data'!E944*100,"")</x:f>
      </x:c>
      <x:c r="I944" s="35"/>
      <x:c r="J944" s="35" t="str">
        <x:v>PASS</x:v>
      </x:c>
      <x:c r="K944" s="35" t="str">
        <x:v>FAIL</x:v>
      </x:c>
      <x:c r="L944" s="35" t="str">
        <x:v>NOT_RUN</x:v>
      </x:c>
      <x:c r="M944" s="35" t="str">
        <x:v>coverage unavailable or execution/compile failed</x:v>
      </x:c>
      <x:c r="N944" s="35" t="str">
        <x:v>Deepseek-flash-v4/Result2/Closure_12/result.json</x:v>
      </x:c>
      <x:c r="O944" s="39" t="str">
        <x:f>IF(AND(G944="RECORDED",ISNUMBER(H944)),H944,"")</x:f>
      </x:c>
      <x:c r="P944" s="35" t="str">
        <x:v>NOT_AVAILABLE</x:v>
      </x:c>
      <x:c r="Q944" s="35" t="str">
        <x:v>Deepseek-flash-v4/Result2/Closure_12/result.json</x:v>
      </x:c>
    </x:row>
    <x:row r="945">
      <x:c r="A945" s="35" t="str">
        <x:v>deepseek</x:v>
      </x:c>
      <x:c r="B945" s="35" t="str">
        <x:v>Closure</x:v>
      </x:c>
      <x:c r="C945" s="35" t="str">
        <x:v>Round2</x:v>
      </x:c>
      <x:c r="D945" s="35" t="str">
        <x:v>Closure_120</x:v>
      </x:c>
      <x:c r="E945" s="35" t="str">
        <x:v>Line</x:v>
      </x:c>
      <x:c r="F945" s="35"/>
      <x:c r="G945" s="35" t="str">
        <x:v>A</x:v>
      </x:c>
      <x:c r="H945" s="39" t="str">
        <x:f>IF(ISNUMBER('Data'!E945),'Data'!E945*100,"")</x:f>
      </x:c>
      <x:c r="I945" s="35"/>
      <x:c r="J945" s="35" t="str">
        <x:v>PASS</x:v>
      </x:c>
      <x:c r="K945" s="35" t="str">
        <x:v>FAIL</x:v>
      </x:c>
      <x:c r="L945" s="35" t="str">
        <x:v>NOT_RUN</x:v>
      </x:c>
      <x:c r="M945" s="35" t="str">
        <x:v>coverage unavailable or execution/compile failed</x:v>
      </x:c>
      <x:c r="N945" s="35" t="str">
        <x:v>Deepseek-flash-v4/Result2/Closure_120/result.json</x:v>
      </x:c>
      <x:c r="O945" s="39" t="str">
        <x:f>IF(AND(G945="RECORDED",ISNUMBER(H945)),H945,"")</x:f>
      </x:c>
      <x:c r="P945" s="35" t="str">
        <x:v>NOT_AVAILABLE</x:v>
      </x:c>
      <x:c r="Q945" s="35" t="str">
        <x:v>Deepseek-flash-v4/Result2/Closure_120/result.json</x:v>
      </x:c>
    </x:row>
    <x:row r="946">
      <x:c r="A946" s="35" t="str">
        <x:v>deepseek</x:v>
      </x:c>
      <x:c r="B946" s="35" t="str">
        <x:v>Closure</x:v>
      </x:c>
      <x:c r="C946" s="35" t="str">
        <x:v>Round2</x:v>
      </x:c>
      <x:c r="D946" s="35" t="str">
        <x:v>Closure_121</x:v>
      </x:c>
      <x:c r="E946" s="35" t="str">
        <x:v>Line</x:v>
      </x:c>
      <x:c r="F946" s="35" t="n">
        <x:v>297</x:v>
      </x:c>
      <x:c r="G946" s="35" t="str">
        <x:v>RECORDED</x:v>
      </x:c>
      <x:c r="H946" s="39" t="n">
        <x:f>IF(ISNUMBER('Data'!E946),'Data'!E946*100,"")</x:f>
        <x:v>62.96000000000001</x:v>
      </x:c>
      <x:c r="I946" s="35" t="str">
        <x:v>PASS</x:v>
      </x:c>
      <x:c r="J946" s="35" t="str">
        <x:v>PASS</x:v>
      </x:c>
      <x:c r="K946" s="35" t="str">
        <x:v>PASS</x:v>
      </x:c>
      <x:c r="L946" s="35" t="str">
        <x:v>FAIL</x:v>
      </x:c>
      <x:c r="M946" s="35" t="str">
        <x:v>numeric coverage for applicable metric</x:v>
      </x:c>
      <x:c r="N946" s="35" t="str">
        <x:v>Deepseek-flash-v4/Result2/Closure_121/result.json</x:v>
      </x:c>
      <x:c r="O946" s="39" t="n">
        <x:f>IF(AND(G946="RECORDED",ISNUMBER(H946)),H946,"")</x:f>
        <x:v>62.96000000000001</x:v>
      </x:c>
      <x:c r="P946" s="35" t="str">
        <x:v>INCONCLUSIVE</x:v>
      </x:c>
      <x:c r="Q946" s="35" t="str">
        <x:v>Deepseek-flash-v4/Result2/Closure_121/result.json</x:v>
      </x:c>
    </x:row>
    <x:row r="947">
      <x:c r="A947" s="35" t="str">
        <x:v>deepseek</x:v>
      </x:c>
      <x:c r="B947" s="35" t="str">
        <x:v>Closure</x:v>
      </x:c>
      <x:c r="C947" s="35" t="str">
        <x:v>Round2</x:v>
      </x:c>
      <x:c r="D947" s="35" t="str">
        <x:v>Closure_122</x:v>
      </x:c>
      <x:c r="E947" s="35" t="str">
        <x:v>Line</x:v>
      </x:c>
      <x:c r="F947" s="35"/>
      <x:c r="G947" s="35" t="str">
        <x:v>A</x:v>
      </x:c>
      <x:c r="H947" s="39" t="str">
        <x:f>IF(ISNUMBER('Data'!E947),'Data'!E947*100,"")</x:f>
      </x:c>
      <x:c r="I947" s="35"/>
      <x:c r="J947" s="35" t="str">
        <x:v>PASS</x:v>
      </x:c>
      <x:c r="K947" s="35" t="str">
        <x:v>FAIL</x:v>
      </x:c>
      <x:c r="L947" s="35" t="str">
        <x:v>NOT_RUN</x:v>
      </x:c>
      <x:c r="M947" s="35" t="str">
        <x:v>coverage unavailable or execution/compile failed</x:v>
      </x:c>
      <x:c r="N947" s="35" t="str">
        <x:v>Deepseek-flash-v4/Result2/Closure_122/result.json</x:v>
      </x:c>
      <x:c r="O947" s="39" t="str">
        <x:f>IF(AND(G947="RECORDED",ISNUMBER(H947)),H947,"")</x:f>
      </x:c>
      <x:c r="P947" s="35" t="str">
        <x:v>NOT_AVAILABLE</x:v>
      </x:c>
      <x:c r="Q947" s="35" t="str">
        <x:v>Deepseek-flash-v4/Result2/Closure_122/result.json</x:v>
      </x:c>
    </x:row>
    <x:row r="948">
      <x:c r="A948" s="35" t="str">
        <x:v>deepseek</x:v>
      </x:c>
      <x:c r="B948" s="35" t="str">
        <x:v>Closure</x:v>
      </x:c>
      <x:c r="C948" s="35" t="str">
        <x:v>Round2</x:v>
      </x:c>
      <x:c r="D948" s="35" t="str">
        <x:v>Closure_123</x:v>
      </x:c>
      <x:c r="E948" s="35" t="str">
        <x:v>Line</x:v>
      </x:c>
      <x:c r="F948" s="35"/>
      <x:c r="G948" s="35" t="str">
        <x:v>A</x:v>
      </x:c>
      <x:c r="H948" s="39" t="str">
        <x:f>IF(ISNUMBER('Data'!E948),'Data'!E948*100,"")</x:f>
      </x:c>
      <x:c r="I948" s="35"/>
      <x:c r="J948" s="35" t="str">
        <x:v>PASS</x:v>
      </x:c>
      <x:c r="K948" s="35" t="str">
        <x:v>FAIL</x:v>
      </x:c>
      <x:c r="L948" s="35" t="str">
        <x:v>NOT_RUN</x:v>
      </x:c>
      <x:c r="M948" s="35" t="str">
        <x:v>coverage unavailable or execution/compile failed</x:v>
      </x:c>
      <x:c r="N948" s="35" t="str">
        <x:v>Deepseek-flash-v4/Result2/Closure_123/result.json</x:v>
      </x:c>
      <x:c r="O948" s="39" t="str">
        <x:f>IF(AND(G948="RECORDED",ISNUMBER(H948)),H948,"")</x:f>
      </x:c>
      <x:c r="P948" s="35" t="str">
        <x:v>NOT_AVAILABLE</x:v>
      </x:c>
      <x:c r="Q948" s="35" t="str">
        <x:v>Deepseek-flash-v4/Result2/Closure_123/result.json</x:v>
      </x:c>
    </x:row>
    <x:row r="949">
      <x:c r="A949" s="35" t="str">
        <x:v>deepseek</x:v>
      </x:c>
      <x:c r="B949" s="35" t="str">
        <x:v>Closure</x:v>
      </x:c>
      <x:c r="C949" s="35" t="str">
        <x:v>Round2</x:v>
      </x:c>
      <x:c r="D949" s="35" t="str">
        <x:v>Closure_124</x:v>
      </x:c>
      <x:c r="E949" s="35" t="str">
        <x:v>Line</x:v>
      </x:c>
      <x:c r="F949" s="35"/>
      <x:c r="G949" s="35" t="str">
        <x:v>A</x:v>
      </x:c>
      <x:c r="H949" s="39" t="str">
        <x:f>IF(ISNUMBER('Data'!E949),'Data'!E949*100,"")</x:f>
      </x:c>
      <x:c r="I949" s="35"/>
      <x:c r="J949" s="35" t="str">
        <x:v>PASS</x:v>
      </x:c>
      <x:c r="K949" s="35" t="str">
        <x:v>FAIL</x:v>
      </x:c>
      <x:c r="L949" s="35" t="str">
        <x:v>NOT_RUN</x:v>
      </x:c>
      <x:c r="M949" s="35" t="str">
        <x:v>coverage unavailable or execution/compile failed</x:v>
      </x:c>
      <x:c r="N949" s="35" t="str">
        <x:v>Deepseek-flash-v4/Result2/Closure_124/result.json</x:v>
      </x:c>
      <x:c r="O949" s="39" t="str">
        <x:f>IF(AND(G949="RECORDED",ISNUMBER(H949)),H949,"")</x:f>
      </x:c>
      <x:c r="P949" s="35" t="str">
        <x:v>NOT_AVAILABLE</x:v>
      </x:c>
      <x:c r="Q949" s="35" t="str">
        <x:v>Deepseek-flash-v4/Result2/Closure_124/result.json</x:v>
      </x:c>
    </x:row>
    <x:row r="950">
      <x:c r="A950" s="35" t="str">
        <x:v>deepseek</x:v>
      </x:c>
      <x:c r="B950" s="35" t="str">
        <x:v>Closure</x:v>
      </x:c>
      <x:c r="C950" s="35" t="str">
        <x:v>Round2</x:v>
      </x:c>
      <x:c r="D950" s="35" t="str">
        <x:v>Closure_125</x:v>
      </x:c>
      <x:c r="E950" s="35" t="str">
        <x:v>Line</x:v>
      </x:c>
      <x:c r="F950" s="35"/>
      <x:c r="G950" s="35" t="str">
        <x:v>A</x:v>
      </x:c>
      <x:c r="H950" s="39" t="str">
        <x:f>IF(ISNUMBER('Data'!E950),'Data'!E950*100,"")</x:f>
      </x:c>
      <x:c r="I950" s="35"/>
      <x:c r="J950" s="35" t="str">
        <x:v>PASS</x:v>
      </x:c>
      <x:c r="K950" s="35" t="str">
        <x:v>FAIL</x:v>
      </x:c>
      <x:c r="L950" s="35" t="str">
        <x:v>NOT_RUN</x:v>
      </x:c>
      <x:c r="M950" s="35" t="str">
        <x:v>coverage unavailable or execution/compile failed</x:v>
      </x:c>
      <x:c r="N950" s="35" t="str">
        <x:v>Deepseek-flash-v4/Result2/Closure_125/result.json</x:v>
      </x:c>
      <x:c r="O950" s="39" t="str">
        <x:f>IF(AND(G950="RECORDED",ISNUMBER(H950)),H950,"")</x:f>
      </x:c>
      <x:c r="P950" s="35" t="str">
        <x:v>NOT_AVAILABLE</x:v>
      </x:c>
      <x:c r="Q950" s="35" t="str">
        <x:v>Deepseek-flash-v4/Result2/Closure_125/result.json</x:v>
      </x:c>
    </x:row>
    <x:row r="951">
      <x:c r="A951" s="35" t="str">
        <x:v>deepseek</x:v>
      </x:c>
      <x:c r="B951" s="35" t="str">
        <x:v>Closure</x:v>
      </x:c>
      <x:c r="C951" s="35" t="str">
        <x:v>Round2</x:v>
      </x:c>
      <x:c r="D951" s="35" t="str">
        <x:v>Closure_126</x:v>
      </x:c>
      <x:c r="E951" s="35" t="str">
        <x:v>Line</x:v>
      </x:c>
      <x:c r="F951" s="35"/>
      <x:c r="G951" s="35" t="str">
        <x:v>A</x:v>
      </x:c>
      <x:c r="H951" s="39" t="str">
        <x:f>IF(ISNUMBER('Data'!E951),'Data'!E951*100,"")</x:f>
      </x:c>
      <x:c r="I951" s="35"/>
      <x:c r="J951" s="35" t="str">
        <x:v>PASS</x:v>
      </x:c>
      <x:c r="K951" s="35" t="str">
        <x:v>FAIL</x:v>
      </x:c>
      <x:c r="L951" s="35" t="str">
        <x:v>NOT_RUN</x:v>
      </x:c>
      <x:c r="M951" s="35" t="str">
        <x:v>coverage unavailable or execution/compile failed</x:v>
      </x:c>
      <x:c r="N951" s="35" t="str">
        <x:v>Deepseek-flash-v4/Result2/Closure_126/result.json</x:v>
      </x:c>
      <x:c r="O951" s="39" t="str">
        <x:f>IF(AND(G951="RECORDED",ISNUMBER(H951)),H951,"")</x:f>
      </x:c>
      <x:c r="P951" s="35" t="str">
        <x:v>NOT_AVAILABLE</x:v>
      </x:c>
      <x:c r="Q951" s="35" t="str">
        <x:v>Deepseek-flash-v4/Result2/Closure_126/result.json</x:v>
      </x:c>
    </x:row>
    <x:row r="952">
      <x:c r="A952" s="35" t="str">
        <x:v>deepseek</x:v>
      </x:c>
      <x:c r="B952" s="35" t="str">
        <x:v>Closure</x:v>
      </x:c>
      <x:c r="C952" s="35" t="str">
        <x:v>Round2</x:v>
      </x:c>
      <x:c r="D952" s="35" t="str">
        <x:v>Closure_127</x:v>
      </x:c>
      <x:c r="E952" s="35" t="str">
        <x:v>Line</x:v>
      </x:c>
      <x:c r="F952" s="35"/>
      <x:c r="G952" s="35" t="str">
        <x:v>A</x:v>
      </x:c>
      <x:c r="H952" s="39" t="str">
        <x:f>IF(ISNUMBER('Data'!E952),'Data'!E952*100,"")</x:f>
      </x:c>
      <x:c r="I952" s="35"/>
      <x:c r="J952" s="35" t="str">
        <x:v>PASS</x:v>
      </x:c>
      <x:c r="K952" s="35" t="str">
        <x:v>FAIL</x:v>
      </x:c>
      <x:c r="L952" s="35" t="str">
        <x:v>NOT_RUN</x:v>
      </x:c>
      <x:c r="M952" s="35" t="str">
        <x:v>coverage unavailable or execution/compile failed</x:v>
      </x:c>
      <x:c r="N952" s="35" t="str">
        <x:v>Deepseek-flash-v4/Result2/Closure_127/result.json</x:v>
      </x:c>
      <x:c r="O952" s="39" t="str">
        <x:f>IF(AND(G952="RECORDED",ISNUMBER(H952)),H952,"")</x:f>
      </x:c>
      <x:c r="P952" s="35" t="str">
        <x:v>NOT_AVAILABLE</x:v>
      </x:c>
      <x:c r="Q952" s="35" t="str">
        <x:v>Deepseek-flash-v4/Result2/Closure_127/result.json</x:v>
      </x:c>
    </x:row>
    <x:row r="953">
      <x:c r="A953" s="35" t="str">
        <x:v>deepseek</x:v>
      </x:c>
      <x:c r="B953" s="35" t="str">
        <x:v>Closure</x:v>
      </x:c>
      <x:c r="C953" s="35" t="str">
        <x:v>Round2</x:v>
      </x:c>
      <x:c r="D953" s="35" t="str">
        <x:v>Closure_128</x:v>
      </x:c>
      <x:c r="E953" s="35" t="str">
        <x:v>Line</x:v>
      </x:c>
      <x:c r="F953" s="35"/>
      <x:c r="G953" s="35" t="str">
        <x:v>A</x:v>
      </x:c>
      <x:c r="H953" s="39" t="str">
        <x:f>IF(ISNUMBER('Data'!E953),'Data'!E953*100,"")</x:f>
      </x:c>
      <x:c r="I953" s="35"/>
      <x:c r="J953" s="35" t="str">
        <x:v>PASS</x:v>
      </x:c>
      <x:c r="K953" s="35" t="str">
        <x:v>FAIL</x:v>
      </x:c>
      <x:c r="L953" s="35" t="str">
        <x:v>NOT_RUN</x:v>
      </x:c>
      <x:c r="M953" s="35" t="str">
        <x:v>coverage unavailable or execution/compile failed</x:v>
      </x:c>
      <x:c r="N953" s="35" t="str">
        <x:v>Deepseek-flash-v4/Result2/Closure_128/result.json</x:v>
      </x:c>
      <x:c r="O953" s="39" t="str">
        <x:f>IF(AND(G953="RECORDED",ISNUMBER(H953)),H953,"")</x:f>
      </x:c>
      <x:c r="P953" s="35" t="str">
        <x:v>NOT_AVAILABLE</x:v>
      </x:c>
      <x:c r="Q953" s="35" t="str">
        <x:v>Deepseek-flash-v4/Result2/Closure_128/result.json</x:v>
      </x:c>
    </x:row>
    <x:row r="954">
      <x:c r="A954" s="35" t="str">
        <x:v>deepseek</x:v>
      </x:c>
      <x:c r="B954" s="35" t="str">
        <x:v>Closure</x:v>
      </x:c>
      <x:c r="C954" s="35" t="str">
        <x:v>Round2</x:v>
      </x:c>
      <x:c r="D954" s="35" t="str">
        <x:v>Closure_129</x:v>
      </x:c>
      <x:c r="E954" s="35" t="str">
        <x:v>Line</x:v>
      </x:c>
      <x:c r="F954" s="35"/>
      <x:c r="G954" s="35" t="str">
        <x:v>A</x:v>
      </x:c>
      <x:c r="H954" s="39" t="str">
        <x:f>IF(ISNUMBER('Data'!E954),'Data'!E954*100,"")</x:f>
      </x:c>
      <x:c r="I954" s="35"/>
      <x:c r="J954" s="35" t="str">
        <x:v>PASS</x:v>
      </x:c>
      <x:c r="K954" s="35" t="str">
        <x:v>FAIL</x:v>
      </x:c>
      <x:c r="L954" s="35" t="str">
        <x:v>NOT_RUN</x:v>
      </x:c>
      <x:c r="M954" s="35" t="str">
        <x:v>coverage unavailable or execution/compile failed</x:v>
      </x:c>
      <x:c r="N954" s="35" t="str">
        <x:v>Deepseek-flash-v4/Result2/Closure_129/result.json</x:v>
      </x:c>
      <x:c r="O954" s="39" t="str">
        <x:f>IF(AND(G954="RECORDED",ISNUMBER(H954)),H954,"")</x:f>
      </x:c>
      <x:c r="P954" s="35" t="str">
        <x:v>NOT_AVAILABLE</x:v>
      </x:c>
      <x:c r="Q954" s="35" t="str">
        <x:v>Deepseek-flash-v4/Result2/Closure_129/result.json</x:v>
      </x:c>
    </x:row>
    <x:row r="955">
      <x:c r="A955" s="35" t="str">
        <x:v>deepseek</x:v>
      </x:c>
      <x:c r="B955" s="35" t="str">
        <x:v>Closure</x:v>
      </x:c>
      <x:c r="C955" s="35" t="str">
        <x:v>Round2</x:v>
      </x:c>
      <x:c r="D955" s="35" t="str">
        <x:v>Closure_13</x:v>
      </x:c>
      <x:c r="E955" s="35" t="str">
        <x:v>Line</x:v>
      </x:c>
      <x:c r="F955" s="35"/>
      <x:c r="G955" s="35" t="str">
        <x:v>A</x:v>
      </x:c>
      <x:c r="H955" s="39" t="str">
        <x:f>IF(ISNUMBER('Data'!E955),'Data'!E955*100,"")</x:f>
      </x:c>
      <x:c r="I955" s="35"/>
      <x:c r="J955" s="35" t="str">
        <x:v>PASS</x:v>
      </x:c>
      <x:c r="K955" s="35" t="str">
        <x:v>FAIL</x:v>
      </x:c>
      <x:c r="L955" s="35" t="str">
        <x:v>NOT_RUN</x:v>
      </x:c>
      <x:c r="M955" s="35" t="str">
        <x:v>coverage unavailable or execution/compile failed</x:v>
      </x:c>
      <x:c r="N955" s="35" t="str">
        <x:v>Deepseek-flash-v4/Result2/Closure_13/result.json</x:v>
      </x:c>
      <x:c r="O955" s="39" t="str">
        <x:f>IF(AND(G955="RECORDED",ISNUMBER(H955)),H955,"")</x:f>
      </x:c>
      <x:c r="P955" s="35" t="str">
        <x:v>NOT_AVAILABLE</x:v>
      </x:c>
      <x:c r="Q955" s="35" t="str">
        <x:v>Deepseek-flash-v4/Result2/Closure_13/result.json</x:v>
      </x:c>
    </x:row>
    <x:row r="956">
      <x:c r="A956" s="35" t="str">
        <x:v>deepseek</x:v>
      </x:c>
      <x:c r="B956" s="35" t="str">
        <x:v>Closure</x:v>
      </x:c>
      <x:c r="C956" s="35" t="str">
        <x:v>Round2</x:v>
      </x:c>
      <x:c r="D956" s="35" t="str">
        <x:v>Closure_130</x:v>
      </x:c>
      <x:c r="E956" s="35" t="str">
        <x:v>Line</x:v>
      </x:c>
      <x:c r="F956" s="35"/>
      <x:c r="G956" s="35" t="str">
        <x:v>A</x:v>
      </x:c>
      <x:c r="H956" s="39" t="str">
        <x:f>IF(ISNUMBER('Data'!E956),'Data'!E956*100,"")</x:f>
      </x:c>
      <x:c r="I956" s="35"/>
      <x:c r="J956" s="35" t="str">
        <x:v>PASS</x:v>
      </x:c>
      <x:c r="K956" s="35" t="str">
        <x:v>FAIL</x:v>
      </x:c>
      <x:c r="L956" s="35" t="str">
        <x:v>NOT_RUN</x:v>
      </x:c>
      <x:c r="M956" s="35" t="str">
        <x:v>coverage unavailable or execution/compile failed</x:v>
      </x:c>
      <x:c r="N956" s="35" t="str">
        <x:v>Deepseek-flash-v4/Result2/Closure_130/result.json</x:v>
      </x:c>
      <x:c r="O956" s="39" t="str">
        <x:f>IF(AND(G956="RECORDED",ISNUMBER(H956)),H956,"")</x:f>
      </x:c>
      <x:c r="P956" s="35" t="str">
        <x:v>NOT_AVAILABLE</x:v>
      </x:c>
      <x:c r="Q956" s="35" t="str">
        <x:v>Deepseek-flash-v4/Result2/Closure_130/result.json</x:v>
      </x:c>
    </x:row>
    <x:row r="957">
      <x:c r="A957" s="35" t="str">
        <x:v>deepseek</x:v>
      </x:c>
      <x:c r="B957" s="35" t="str">
        <x:v>Closure</x:v>
      </x:c>
      <x:c r="C957" s="35" t="str">
        <x:v>Round2</x:v>
      </x:c>
      <x:c r="D957" s="35" t="str">
        <x:v>Closure_131</x:v>
      </x:c>
      <x:c r="E957" s="35" t="str">
        <x:v>Line</x:v>
      </x:c>
      <x:c r="F957" s="35" t="n">
        <x:v>113</x:v>
      </x:c>
      <x:c r="G957" s="35" t="str">
        <x:v>RECORDED</x:v>
      </x:c>
      <x:c r="H957" s="39" t="n">
        <x:f>IF(ISNUMBER('Data'!E957),'Data'!E957*100,"")</x:f>
        <x:v>99.12</x:v>
      </x:c>
      <x:c r="I957" s="35" t="str">
        <x:v>PASS</x:v>
      </x:c>
      <x:c r="J957" s="35" t="str">
        <x:v>PASS</x:v>
      </x:c>
      <x:c r="K957" s="35" t="str">
        <x:v>PASS</x:v>
      </x:c>
      <x:c r="L957" s="35" t="str">
        <x:v>FAIL</x:v>
      </x:c>
      <x:c r="M957" s="35" t="str">
        <x:v>numeric coverage for applicable metric</x:v>
      </x:c>
      <x:c r="N957" s="35" t="str">
        <x:v>Deepseek-flash-v4/Result2/Closure_131/result.json</x:v>
      </x:c>
      <x:c r="O957" s="39" t="n">
        <x:f>IF(AND(G957="RECORDED",ISNUMBER(H957)),H957,"")</x:f>
        <x:v>99.12</x:v>
      </x:c>
      <x:c r="P957" s="35" t="str">
        <x:v>REVEALING</x:v>
      </x:c>
      <x:c r="Q957" s="35" t="str">
        <x:v>Deepseek-flash-v4/Result2/Closure_131/result.json</x:v>
      </x:c>
    </x:row>
    <x:row r="958">
      <x:c r="A958" s="35" t="str">
        <x:v>deepseek</x:v>
      </x:c>
      <x:c r="B958" s="35" t="str">
        <x:v>Closure</x:v>
      </x:c>
      <x:c r="C958" s="35" t="str">
        <x:v>Round2</x:v>
      </x:c>
      <x:c r="D958" s="35" t="str">
        <x:v>Closure_132</x:v>
      </x:c>
      <x:c r="E958" s="35" t="str">
        <x:v>Line</x:v>
      </x:c>
      <x:c r="F958" s="35"/>
      <x:c r="G958" s="35" t="str">
        <x:v>A</x:v>
      </x:c>
      <x:c r="H958" s="39" t="str">
        <x:f>IF(ISNUMBER('Data'!E958),'Data'!E958*100,"")</x:f>
      </x:c>
      <x:c r="I958" s="35"/>
      <x:c r="J958" s="35" t="str">
        <x:v>PASS</x:v>
      </x:c>
      <x:c r="K958" s="35" t="str">
        <x:v>FAIL</x:v>
      </x:c>
      <x:c r="L958" s="35" t="str">
        <x:v>NOT_RUN</x:v>
      </x:c>
      <x:c r="M958" s="35" t="str">
        <x:v>coverage unavailable or execution/compile failed</x:v>
      </x:c>
      <x:c r="N958" s="35" t="str">
        <x:v>Deepseek-flash-v4/Result2/Closure_132/result.json</x:v>
      </x:c>
      <x:c r="O958" s="39" t="str">
        <x:f>IF(AND(G958="RECORDED",ISNUMBER(H958)),H958,"")</x:f>
      </x:c>
      <x:c r="P958" s="35" t="str">
        <x:v>NOT_AVAILABLE</x:v>
      </x:c>
      <x:c r="Q958" s="35" t="str">
        <x:v>Deepseek-flash-v4/Result2/Closure_132/result.json</x:v>
      </x:c>
    </x:row>
    <x:row r="959">
      <x:c r="A959" s="35" t="str">
        <x:v>deepseek</x:v>
      </x:c>
      <x:c r="B959" s="35" t="str">
        <x:v>Closure</x:v>
      </x:c>
      <x:c r="C959" s="35" t="str">
        <x:v>Round2</x:v>
      </x:c>
      <x:c r="D959" s="35" t="str">
        <x:v>Closure_133</x:v>
      </x:c>
      <x:c r="E959" s="35" t="str">
        <x:v>Line</x:v>
      </x:c>
      <x:c r="F959" s="35"/>
      <x:c r="G959" s="35" t="str">
        <x:v>A</x:v>
      </x:c>
      <x:c r="H959" s="39" t="str">
        <x:f>IF(ISNUMBER('Data'!E959),'Data'!E959*100,"")</x:f>
      </x:c>
      <x:c r="I959" s="35"/>
      <x:c r="J959" s="35" t="str">
        <x:v>PASS</x:v>
      </x:c>
      <x:c r="K959" s="35" t="str">
        <x:v>FAIL</x:v>
      </x:c>
      <x:c r="L959" s="35" t="str">
        <x:v>NOT_RUN</x:v>
      </x:c>
      <x:c r="M959" s="35" t="str">
        <x:v>coverage unavailable or execution/compile failed</x:v>
      </x:c>
      <x:c r="N959" s="35" t="str">
        <x:v>Deepseek-flash-v4/Result2/Closure_133/result.json</x:v>
      </x:c>
      <x:c r="O959" s="39" t="str">
        <x:f>IF(AND(G959="RECORDED",ISNUMBER(H959)),H959,"")</x:f>
      </x:c>
      <x:c r="P959" s="35" t="str">
        <x:v>NOT_AVAILABLE</x:v>
      </x:c>
      <x:c r="Q959" s="35" t="str">
        <x:v>Deepseek-flash-v4/Result2/Closure_133/result.json</x:v>
      </x:c>
    </x:row>
    <x:row r="960">
      <x:c r="A960" s="35" t="str">
        <x:v>deepseek</x:v>
      </x:c>
      <x:c r="B960" s="35" t="str">
        <x:v>Closure</x:v>
      </x:c>
      <x:c r="C960" s="35" t="str">
        <x:v>Round2</x:v>
      </x:c>
      <x:c r="D960" s="35" t="str">
        <x:v>Closure_134</x:v>
      </x:c>
      <x:c r="E960" s="35" t="str">
        <x:v>Line</x:v>
      </x:c>
      <x:c r="F960" s="35"/>
      <x:c r="G960" s="35" t="str">
        <x:v>A</x:v>
      </x:c>
      <x:c r="H960" s="39" t="str">
        <x:f>IF(ISNUMBER('Data'!E960),'Data'!E960*100,"")</x:f>
      </x:c>
      <x:c r="I960" s="35"/>
      <x:c r="J960" s="35" t="str">
        <x:v>PASS</x:v>
      </x:c>
      <x:c r="K960" s="35" t="str">
        <x:v>FAIL</x:v>
      </x:c>
      <x:c r="L960" s="35" t="str">
        <x:v>NOT_RUN</x:v>
      </x:c>
      <x:c r="M960" s="35" t="str">
        <x:v>coverage unavailable or execution/compile failed</x:v>
      </x:c>
      <x:c r="N960" s="35" t="str">
        <x:v>Deepseek-flash-v4/Result2/Closure_134/result.json</x:v>
      </x:c>
      <x:c r="O960" s="39" t="str">
        <x:f>IF(AND(G960="RECORDED",ISNUMBER(H960)),H960,"")</x:f>
      </x:c>
      <x:c r="P960" s="35" t="str">
        <x:v>NOT_AVAILABLE</x:v>
      </x:c>
      <x:c r="Q960" s="35" t="str">
        <x:v>Deepseek-flash-v4/Result2/Closure_134/result.json</x:v>
      </x:c>
    </x:row>
    <x:row r="961">
      <x:c r="A961" s="35" t="str">
        <x:v>deepseek</x:v>
      </x:c>
      <x:c r="B961" s="35" t="str">
        <x:v>Closure</x:v>
      </x:c>
      <x:c r="C961" s="35" t="str">
        <x:v>Round2</x:v>
      </x:c>
      <x:c r="D961" s="35" t="str">
        <x:v>Closure_135</x:v>
      </x:c>
      <x:c r="E961" s="35" t="str">
        <x:v>Line</x:v>
      </x:c>
      <x:c r="F961" s="35"/>
      <x:c r="G961" s="35" t="str">
        <x:v>A</x:v>
      </x:c>
      <x:c r="H961" s="39" t="str">
        <x:f>IF(ISNUMBER('Data'!E961),'Data'!E961*100,"")</x:f>
      </x:c>
      <x:c r="I961" s="35"/>
      <x:c r="J961" s="35" t="str">
        <x:v>PASS</x:v>
      </x:c>
      <x:c r="K961" s="35" t="str">
        <x:v>FAIL</x:v>
      </x:c>
      <x:c r="L961" s="35" t="str">
        <x:v>NOT_RUN</x:v>
      </x:c>
      <x:c r="M961" s="35" t="str">
        <x:v>coverage unavailable or execution/compile failed</x:v>
      </x:c>
      <x:c r="N961" s="35" t="str">
        <x:v>Deepseek-flash-v4/Result2/Closure_135/result.json</x:v>
      </x:c>
      <x:c r="O961" s="39" t="str">
        <x:f>IF(AND(G961="RECORDED",ISNUMBER(H961)),H961,"")</x:f>
      </x:c>
      <x:c r="P961" s="35" t="str">
        <x:v>NOT_AVAILABLE</x:v>
      </x:c>
      <x:c r="Q961" s="35" t="str">
        <x:v>Deepseek-flash-v4/Result2/Closure_135/result.json</x:v>
      </x:c>
    </x:row>
    <x:row r="962">
      <x:c r="A962" s="35" t="str">
        <x:v>deepseek</x:v>
      </x:c>
      <x:c r="B962" s="35" t="str">
        <x:v>Closure</x:v>
      </x:c>
      <x:c r="C962" s="35" t="str">
        <x:v>Round2</x:v>
      </x:c>
      <x:c r="D962" s="35" t="str">
        <x:v>Closure_136</x:v>
      </x:c>
      <x:c r="E962" s="35" t="str">
        <x:v>Line</x:v>
      </x:c>
      <x:c r="F962" s="35"/>
      <x:c r="G962" s="35" t="str">
        <x:v>A</x:v>
      </x:c>
      <x:c r="H962" s="39" t="str">
        <x:f>IF(ISNUMBER('Data'!E962),'Data'!E962*100,"")</x:f>
      </x:c>
      <x:c r="I962" s="35"/>
      <x:c r="J962" s="35" t="str">
        <x:v>PASS</x:v>
      </x:c>
      <x:c r="K962" s="35" t="str">
        <x:v>FAIL</x:v>
      </x:c>
      <x:c r="L962" s="35" t="str">
        <x:v>NOT_RUN</x:v>
      </x:c>
      <x:c r="M962" s="35" t="str">
        <x:v>coverage unavailable or execution/compile failed</x:v>
      </x:c>
      <x:c r="N962" s="35" t="str">
        <x:v>Deepseek-flash-v4/Result2/Closure_136/result.json</x:v>
      </x:c>
      <x:c r="O962" s="39" t="str">
        <x:f>IF(AND(G962="RECORDED",ISNUMBER(H962)),H962,"")</x:f>
      </x:c>
      <x:c r="P962" s="35" t="str">
        <x:v>NOT_AVAILABLE</x:v>
      </x:c>
      <x:c r="Q962" s="35" t="str">
        <x:v>Deepseek-flash-v4/Result2/Closure_136/result.json</x:v>
      </x:c>
    </x:row>
    <x:row r="963">
      <x:c r="A963" s="35" t="str">
        <x:v>deepseek</x:v>
      </x:c>
      <x:c r="B963" s="35" t="str">
        <x:v>Closure</x:v>
      </x:c>
      <x:c r="C963" s="35" t="str">
        <x:v>Round2</x:v>
      </x:c>
      <x:c r="D963" s="35" t="str">
        <x:v>Closure_137</x:v>
      </x:c>
      <x:c r="E963" s="35" t="str">
        <x:v>Line</x:v>
      </x:c>
      <x:c r="F963" s="35"/>
      <x:c r="G963" s="35" t="str">
        <x:v>A</x:v>
      </x:c>
      <x:c r="H963" s="39" t="str">
        <x:f>IF(ISNUMBER('Data'!E963),'Data'!E963*100,"")</x:f>
      </x:c>
      <x:c r="I963" s="35"/>
      <x:c r="J963" s="35" t="str">
        <x:v>PASS</x:v>
      </x:c>
      <x:c r="K963" s="35" t="str">
        <x:v>FAIL</x:v>
      </x:c>
      <x:c r="L963" s="35" t="str">
        <x:v>NOT_RUN</x:v>
      </x:c>
      <x:c r="M963" s="35" t="str">
        <x:v>coverage unavailable or execution/compile failed</x:v>
      </x:c>
      <x:c r="N963" s="35" t="str">
        <x:v>Deepseek-flash-v4/Result2/Closure_137/result.json</x:v>
      </x:c>
      <x:c r="O963" s="39" t="str">
        <x:f>IF(AND(G963="RECORDED",ISNUMBER(H963)),H963,"")</x:f>
      </x:c>
      <x:c r="P963" s="35" t="str">
        <x:v>NOT_AVAILABLE</x:v>
      </x:c>
      <x:c r="Q963" s="35" t="str">
        <x:v>Deepseek-flash-v4/Result2/Closure_137/result.json</x:v>
      </x:c>
    </x:row>
    <x:row r="964">
      <x:c r="A964" s="35" t="str">
        <x:v>deepseek</x:v>
      </x:c>
      <x:c r="B964" s="35" t="str">
        <x:v>Closure</x:v>
      </x:c>
      <x:c r="C964" s="35" t="str">
        <x:v>Round2</x:v>
      </x:c>
      <x:c r="D964" s="35" t="str">
        <x:v>Closure_138</x:v>
      </x:c>
      <x:c r="E964" s="35" t="str">
        <x:v>Line</x:v>
      </x:c>
      <x:c r="F964" s="35"/>
      <x:c r="G964" s="35" t="str">
        <x:v>A</x:v>
      </x:c>
      <x:c r="H964" s="39" t="str">
        <x:f>IF(ISNUMBER('Data'!E964),'Data'!E964*100,"")</x:f>
      </x:c>
      <x:c r="I964" s="35"/>
      <x:c r="J964" s="35" t="str">
        <x:v>PASS</x:v>
      </x:c>
      <x:c r="K964" s="35" t="str">
        <x:v>FAIL</x:v>
      </x:c>
      <x:c r="L964" s="35" t="str">
        <x:v>NOT_RUN</x:v>
      </x:c>
      <x:c r="M964" s="35" t="str">
        <x:v>coverage unavailable or execution/compile failed</x:v>
      </x:c>
      <x:c r="N964" s="35" t="str">
        <x:v>Deepseek-flash-v4/Result2/Closure_138/result.json</x:v>
      </x:c>
      <x:c r="O964" s="39" t="str">
        <x:f>IF(AND(G964="RECORDED",ISNUMBER(H964)),H964,"")</x:f>
      </x:c>
      <x:c r="P964" s="35" t="str">
        <x:v>NOT_AVAILABLE</x:v>
      </x:c>
      <x:c r="Q964" s="35" t="str">
        <x:v>Deepseek-flash-v4/Result2/Closure_138/result.json</x:v>
      </x:c>
    </x:row>
    <x:row r="965">
      <x:c r="A965" s="35" t="str">
        <x:v>deepseek</x:v>
      </x:c>
      <x:c r="B965" s="35" t="str">
        <x:v>Closure</x:v>
      </x:c>
      <x:c r="C965" s="35" t="str">
        <x:v>Round2</x:v>
      </x:c>
      <x:c r="D965" s="35" t="str">
        <x:v>Closure_139</x:v>
      </x:c>
      <x:c r="E965" s="35" t="str">
        <x:v>Line</x:v>
      </x:c>
      <x:c r="F965" s="35"/>
      <x:c r="G965" s="35" t="str">
        <x:v>A</x:v>
      </x:c>
      <x:c r="H965" s="39" t="str">
        <x:f>IF(ISNUMBER('Data'!E965),'Data'!E965*100,"")</x:f>
      </x:c>
      <x:c r="I965" s="35"/>
      <x:c r="J965" s="35" t="str">
        <x:v>PASS</x:v>
      </x:c>
      <x:c r="K965" s="35" t="str">
        <x:v>FAIL</x:v>
      </x:c>
      <x:c r="L965" s="35" t="str">
        <x:v>NOT_RUN</x:v>
      </x:c>
      <x:c r="M965" s="35" t="str">
        <x:v>coverage unavailable or execution/compile failed</x:v>
      </x:c>
      <x:c r="N965" s="35" t="str">
        <x:v>Deepseek-flash-v4/Result2/Closure_139/result.json</x:v>
      </x:c>
      <x:c r="O965" s="39" t="str">
        <x:f>IF(AND(G965="RECORDED",ISNUMBER(H965)),H965,"")</x:f>
      </x:c>
      <x:c r="P965" s="35" t="str">
        <x:v>NOT_AVAILABLE</x:v>
      </x:c>
      <x:c r="Q965" s="35" t="str">
        <x:v>Deepseek-flash-v4/Result2/Closure_139/result.json</x:v>
      </x:c>
    </x:row>
    <x:row r="966">
      <x:c r="A966" s="35" t="str">
        <x:v>deepseek</x:v>
      </x:c>
      <x:c r="B966" s="35" t="str">
        <x:v>Closure</x:v>
      </x:c>
      <x:c r="C966" s="35" t="str">
        <x:v>Round2</x:v>
      </x:c>
      <x:c r="D966" s="35" t="str">
        <x:v>Closure_14</x:v>
      </x:c>
      <x:c r="E966" s="35" t="str">
        <x:v>Line</x:v>
      </x:c>
      <x:c r="F966" s="35"/>
      <x:c r="G966" s="35" t="str">
        <x:v>A</x:v>
      </x:c>
      <x:c r="H966" s="39" t="str">
        <x:f>IF(ISNUMBER('Data'!E966),'Data'!E966*100,"")</x:f>
      </x:c>
      <x:c r="I966" s="35"/>
      <x:c r="J966" s="35" t="str">
        <x:v>PASS</x:v>
      </x:c>
      <x:c r="K966" s="35" t="str">
        <x:v>FAIL</x:v>
      </x:c>
      <x:c r="L966" s="35" t="str">
        <x:v>NOT_RUN</x:v>
      </x:c>
      <x:c r="M966" s="35" t="str">
        <x:v>coverage unavailable or execution/compile failed</x:v>
      </x:c>
      <x:c r="N966" s="35" t="str">
        <x:v>Deepseek-flash-v4/Result2/Closure_14/result.json</x:v>
      </x:c>
      <x:c r="O966" s="39" t="str">
        <x:f>IF(AND(G966="RECORDED",ISNUMBER(H966)),H966,"")</x:f>
      </x:c>
      <x:c r="P966" s="35" t="str">
        <x:v>NOT_AVAILABLE</x:v>
      </x:c>
      <x:c r="Q966" s="35" t="str">
        <x:v>Deepseek-flash-v4/Result2/Closure_14/result.json</x:v>
      </x:c>
    </x:row>
    <x:row r="967">
      <x:c r="A967" s="35" t="str">
        <x:v>deepseek</x:v>
      </x:c>
      <x:c r="B967" s="35" t="str">
        <x:v>Closure</x:v>
      </x:c>
      <x:c r="C967" s="35" t="str">
        <x:v>Round2</x:v>
      </x:c>
      <x:c r="D967" s="35" t="str">
        <x:v>Closure_140</x:v>
      </x:c>
      <x:c r="E967" s="35" t="str">
        <x:v>Line</x:v>
      </x:c>
      <x:c r="F967" s="35"/>
      <x:c r="G967" s="35" t="str">
        <x:v>A</x:v>
      </x:c>
      <x:c r="H967" s="39" t="str">
        <x:f>IF(ISNUMBER('Data'!E967),'Data'!E967*100,"")</x:f>
      </x:c>
      <x:c r="I967" s="35"/>
      <x:c r="J967" s="35" t="str">
        <x:v>PASS</x:v>
      </x:c>
      <x:c r="K967" s="35" t="str">
        <x:v>FAIL</x:v>
      </x:c>
      <x:c r="L967" s="35" t="str">
        <x:v>NOT_RUN</x:v>
      </x:c>
      <x:c r="M967" s="35" t="str">
        <x:v>coverage unavailable or execution/compile failed</x:v>
      </x:c>
      <x:c r="N967" s="35" t="str">
        <x:v>Deepseek-flash-v4/Result2/Closure_140/result.json</x:v>
      </x:c>
      <x:c r="O967" s="39" t="str">
        <x:f>IF(AND(G967="RECORDED",ISNUMBER(H967)),H967,"")</x:f>
      </x:c>
      <x:c r="P967" s="35" t="str">
        <x:v>NOT_AVAILABLE</x:v>
      </x:c>
      <x:c r="Q967" s="35" t="str">
        <x:v>Deepseek-flash-v4/Result2/Closure_140/result.json</x:v>
      </x:c>
    </x:row>
    <x:row r="968">
      <x:c r="A968" s="35" t="str">
        <x:v>deepseek</x:v>
      </x:c>
      <x:c r="B968" s="35" t="str">
        <x:v>Closure</x:v>
      </x:c>
      <x:c r="C968" s="35" t="str">
        <x:v>Round2</x:v>
      </x:c>
      <x:c r="D968" s="35" t="str">
        <x:v>Closure_141</x:v>
      </x:c>
      <x:c r="E968" s="35" t="str">
        <x:v>Line</x:v>
      </x:c>
      <x:c r="F968" s="35"/>
      <x:c r="G968" s="35" t="str">
        <x:v>A</x:v>
      </x:c>
      <x:c r="H968" s="39" t="str">
        <x:f>IF(ISNUMBER('Data'!E968),'Data'!E968*100,"")</x:f>
      </x:c>
      <x:c r="I968" s="35"/>
      <x:c r="J968" s="35" t="str">
        <x:v>PASS</x:v>
      </x:c>
      <x:c r="K968" s="35" t="str">
        <x:v>FAIL</x:v>
      </x:c>
      <x:c r="L968" s="35" t="str">
        <x:v>NOT_RUN</x:v>
      </x:c>
      <x:c r="M968" s="35" t="str">
        <x:v>coverage unavailable or execution/compile failed</x:v>
      </x:c>
      <x:c r="N968" s="35" t="str">
        <x:v>Deepseek-flash-v4/Result2/Closure_141/result.json</x:v>
      </x:c>
      <x:c r="O968" s="39" t="str">
        <x:f>IF(AND(G968="RECORDED",ISNUMBER(H968)),H968,"")</x:f>
      </x:c>
      <x:c r="P968" s="35" t="str">
        <x:v>NOT_AVAILABLE</x:v>
      </x:c>
      <x:c r="Q968" s="35" t="str">
        <x:v>Deepseek-flash-v4/Result2/Closure_141/result.json</x:v>
      </x:c>
    </x:row>
    <x:row r="969">
      <x:c r="A969" s="35" t="str">
        <x:v>deepseek</x:v>
      </x:c>
      <x:c r="B969" s="35" t="str">
        <x:v>Closure</x:v>
      </x:c>
      <x:c r="C969" s="35" t="str">
        <x:v>Round2</x:v>
      </x:c>
      <x:c r="D969" s="35" t="str">
        <x:v>Closure_142</x:v>
      </x:c>
      <x:c r="E969" s="35" t="str">
        <x:v>Line</x:v>
      </x:c>
      <x:c r="F969" s="35"/>
      <x:c r="G969" s="35" t="str">
        <x:v>A</x:v>
      </x:c>
      <x:c r="H969" s="39" t="str">
        <x:f>IF(ISNUMBER('Data'!E969),'Data'!E969*100,"")</x:f>
      </x:c>
      <x:c r="I969" s="35"/>
      <x:c r="J969" s="35" t="str">
        <x:v>PASS</x:v>
      </x:c>
      <x:c r="K969" s="35" t="str">
        <x:v>FAIL</x:v>
      </x:c>
      <x:c r="L969" s="35" t="str">
        <x:v>NOT_RUN</x:v>
      </x:c>
      <x:c r="M969" s="35" t="str">
        <x:v>coverage unavailable or execution/compile failed</x:v>
      </x:c>
      <x:c r="N969" s="35" t="str">
        <x:v>Deepseek-flash-v4/Result2/Closure_142/result.json</x:v>
      </x:c>
      <x:c r="O969" s="39" t="str">
        <x:f>IF(AND(G969="RECORDED",ISNUMBER(H969)),H969,"")</x:f>
      </x:c>
      <x:c r="P969" s="35" t="str">
        <x:v>NOT_AVAILABLE</x:v>
      </x:c>
      <x:c r="Q969" s="35" t="str">
        <x:v>Deepseek-flash-v4/Result2/Closure_142/result.json</x:v>
      </x:c>
    </x:row>
    <x:row r="970">
      <x:c r="A970" s="35" t="str">
        <x:v>deepseek</x:v>
      </x:c>
      <x:c r="B970" s="35" t="str">
        <x:v>Closure</x:v>
      </x:c>
      <x:c r="C970" s="35" t="str">
        <x:v>Round2</x:v>
      </x:c>
      <x:c r="D970" s="35" t="str">
        <x:v>Closure_143</x:v>
      </x:c>
      <x:c r="E970" s="35" t="str">
        <x:v>Line</x:v>
      </x:c>
      <x:c r="F970" s="35"/>
      <x:c r="G970" s="35" t="str">
        <x:v>A</x:v>
      </x:c>
      <x:c r="H970" s="39" t="str">
        <x:f>IF(ISNUMBER('Data'!E970),'Data'!E970*100,"")</x:f>
      </x:c>
      <x:c r="I970" s="35"/>
      <x:c r="J970" s="35" t="str">
        <x:v>PASS</x:v>
      </x:c>
      <x:c r="K970" s="35" t="str">
        <x:v>FAIL</x:v>
      </x:c>
      <x:c r="L970" s="35" t="str">
        <x:v>NOT_RUN</x:v>
      </x:c>
      <x:c r="M970" s="35" t="str">
        <x:v>coverage unavailable or execution/compile failed</x:v>
      </x:c>
      <x:c r="N970" s="35" t="str">
        <x:v>Deepseek-flash-v4/Result2/Closure_143/result.json</x:v>
      </x:c>
      <x:c r="O970" s="39" t="str">
        <x:f>IF(AND(G970="RECORDED",ISNUMBER(H970)),H970,"")</x:f>
      </x:c>
      <x:c r="P970" s="35" t="str">
        <x:v>NOT_AVAILABLE</x:v>
      </x:c>
      <x:c r="Q970" s="35" t="str">
        <x:v>Deepseek-flash-v4/Result2/Closure_143/result.json</x:v>
      </x:c>
    </x:row>
    <x:row r="971">
      <x:c r="A971" s="35" t="str">
        <x:v>deepseek</x:v>
      </x:c>
      <x:c r="B971" s="35" t="str">
        <x:v>Closure</x:v>
      </x:c>
      <x:c r="C971" s="35" t="str">
        <x:v>Round2</x:v>
      </x:c>
      <x:c r="D971" s="35" t="str">
        <x:v>Closure_144</x:v>
      </x:c>
      <x:c r="E971" s="35" t="str">
        <x:v>Line</x:v>
      </x:c>
      <x:c r="F971" s="35"/>
      <x:c r="G971" s="35" t="str">
        <x:v>A</x:v>
      </x:c>
      <x:c r="H971" s="39" t="str">
        <x:f>IF(ISNUMBER('Data'!E971),'Data'!E971*100,"")</x:f>
      </x:c>
      <x:c r="I971" s="35"/>
      <x:c r="J971" s="35" t="str">
        <x:v>PASS</x:v>
      </x:c>
      <x:c r="K971" s="35" t="str">
        <x:v>FAIL</x:v>
      </x:c>
      <x:c r="L971" s="35" t="str">
        <x:v>NOT_RUN</x:v>
      </x:c>
      <x:c r="M971" s="35" t="str">
        <x:v>coverage unavailable or execution/compile failed</x:v>
      </x:c>
      <x:c r="N971" s="35" t="str">
        <x:v>Deepseek-flash-v4/Result2/Closure_144/result.json</x:v>
      </x:c>
      <x:c r="O971" s="39" t="str">
        <x:f>IF(AND(G971="RECORDED",ISNUMBER(H971)),H971,"")</x:f>
      </x:c>
      <x:c r="P971" s="35" t="str">
        <x:v>NOT_AVAILABLE</x:v>
      </x:c>
      <x:c r="Q971" s="35" t="str">
        <x:v>Deepseek-flash-v4/Result2/Closure_144/result.json</x:v>
      </x:c>
    </x:row>
    <x:row r="972">
      <x:c r="A972" s="35" t="str">
        <x:v>deepseek</x:v>
      </x:c>
      <x:c r="B972" s="35" t="str">
        <x:v>Closure</x:v>
      </x:c>
      <x:c r="C972" s="35" t="str">
        <x:v>Round2</x:v>
      </x:c>
      <x:c r="D972" s="35" t="str">
        <x:v>Closure_145</x:v>
      </x:c>
      <x:c r="E972" s="35" t="str">
        <x:v>Line</x:v>
      </x:c>
      <x:c r="F972" s="35"/>
      <x:c r="G972" s="35" t="str">
        <x:v>A</x:v>
      </x:c>
      <x:c r="H972" s="39" t="str">
        <x:f>IF(ISNUMBER('Data'!E972),'Data'!E972*100,"")</x:f>
      </x:c>
      <x:c r="I972" s="35"/>
      <x:c r="J972" s="35" t="str">
        <x:v>PASS</x:v>
      </x:c>
      <x:c r="K972" s="35" t="str">
        <x:v>FAIL</x:v>
      </x:c>
      <x:c r="L972" s="35" t="str">
        <x:v>NOT_RUN</x:v>
      </x:c>
      <x:c r="M972" s="35" t="str">
        <x:v>coverage unavailable or execution/compile failed</x:v>
      </x:c>
      <x:c r="N972" s="35" t="str">
        <x:v>Deepseek-flash-v4/Result2/Closure_145/result.json</x:v>
      </x:c>
      <x:c r="O972" s="39" t="str">
        <x:f>IF(AND(G972="RECORDED",ISNUMBER(H972)),H972,"")</x:f>
      </x:c>
      <x:c r="P972" s="35" t="str">
        <x:v>NOT_AVAILABLE</x:v>
      </x:c>
      <x:c r="Q972" s="35" t="str">
        <x:v>Deepseek-flash-v4/Result2/Closure_145/result.json</x:v>
      </x:c>
    </x:row>
    <x:row r="973">
      <x:c r="A973" s="35" t="str">
        <x:v>deepseek</x:v>
      </x:c>
      <x:c r="B973" s="35" t="str">
        <x:v>Closure</x:v>
      </x:c>
      <x:c r="C973" s="35" t="str">
        <x:v>Round2</x:v>
      </x:c>
      <x:c r="D973" s="35" t="str">
        <x:v>Closure_146</x:v>
      </x:c>
      <x:c r="E973" s="35" t="str">
        <x:v>Line</x:v>
      </x:c>
      <x:c r="F973" s="35"/>
      <x:c r="G973" s="35" t="str">
        <x:v>A</x:v>
      </x:c>
      <x:c r="H973" s="39" t="str">
        <x:f>IF(ISNUMBER('Data'!E973),'Data'!E973*100,"")</x:f>
      </x:c>
      <x:c r="I973" s="35"/>
      <x:c r="J973" s="35" t="str">
        <x:v>PASS</x:v>
      </x:c>
      <x:c r="K973" s="35" t="str">
        <x:v>FAIL</x:v>
      </x:c>
      <x:c r="L973" s="35" t="str">
        <x:v>NOT_RUN</x:v>
      </x:c>
      <x:c r="M973" s="35" t="str">
        <x:v>coverage unavailable or execution/compile failed</x:v>
      </x:c>
      <x:c r="N973" s="35" t="str">
        <x:v>Deepseek-flash-v4/Result2/Closure_146/result.json</x:v>
      </x:c>
      <x:c r="O973" s="39" t="str">
        <x:f>IF(AND(G973="RECORDED",ISNUMBER(H973)),H973,"")</x:f>
      </x:c>
      <x:c r="P973" s="35" t="str">
        <x:v>NOT_AVAILABLE</x:v>
      </x:c>
      <x:c r="Q973" s="35" t="str">
        <x:v>Deepseek-flash-v4/Result2/Closure_146/result.json</x:v>
      </x:c>
    </x:row>
    <x:row r="974">
      <x:c r="A974" s="35" t="str">
        <x:v>deepseek</x:v>
      </x:c>
      <x:c r="B974" s="35" t="str">
        <x:v>Closure</x:v>
      </x:c>
      <x:c r="C974" s="35" t="str">
        <x:v>Round2</x:v>
      </x:c>
      <x:c r="D974" s="35" t="str">
        <x:v>Closure_147</x:v>
      </x:c>
      <x:c r="E974" s="35" t="str">
        <x:v>Line</x:v>
      </x:c>
      <x:c r="F974" s="35"/>
      <x:c r="G974" s="35" t="str">
        <x:v>A</x:v>
      </x:c>
      <x:c r="H974" s="39" t="str">
        <x:f>IF(ISNUMBER('Data'!E974),'Data'!E974*100,"")</x:f>
      </x:c>
      <x:c r="I974" s="35"/>
      <x:c r="J974" s="35" t="str">
        <x:v>PASS</x:v>
      </x:c>
      <x:c r="K974" s="35" t="str">
        <x:v>FAIL</x:v>
      </x:c>
      <x:c r="L974" s="35" t="str">
        <x:v>NOT_RUN</x:v>
      </x:c>
      <x:c r="M974" s="35" t="str">
        <x:v>coverage unavailable or execution/compile failed</x:v>
      </x:c>
      <x:c r="N974" s="35" t="str">
        <x:v>Deepseek-flash-v4/Result2/Closure_147/result.json</x:v>
      </x:c>
      <x:c r="O974" s="39" t="str">
        <x:f>IF(AND(G974="RECORDED",ISNUMBER(H974)),H974,"")</x:f>
      </x:c>
      <x:c r="P974" s="35" t="str">
        <x:v>NOT_AVAILABLE</x:v>
      </x:c>
      <x:c r="Q974" s="35" t="str">
        <x:v>Deepseek-flash-v4/Result2/Closure_147/result.json</x:v>
      </x:c>
    </x:row>
    <x:row r="975">
      <x:c r="A975" s="35" t="str">
        <x:v>deepseek</x:v>
      </x:c>
      <x:c r="B975" s="35" t="str">
        <x:v>Closure</x:v>
      </x:c>
      <x:c r="C975" s="35" t="str">
        <x:v>Round2</x:v>
      </x:c>
      <x:c r="D975" s="35" t="str">
        <x:v>Closure_148</x:v>
      </x:c>
      <x:c r="E975" s="35" t="str">
        <x:v>Line</x:v>
      </x:c>
      <x:c r="F975" s="35"/>
      <x:c r="G975" s="35" t="str">
        <x:v>A</x:v>
      </x:c>
      <x:c r="H975" s="39" t="str">
        <x:f>IF(ISNUMBER('Data'!E975),'Data'!E975*100,"")</x:f>
      </x:c>
      <x:c r="I975" s="35"/>
      <x:c r="J975" s="35" t="str">
        <x:v>PASS</x:v>
      </x:c>
      <x:c r="K975" s="35" t="str">
        <x:v>FAIL</x:v>
      </x:c>
      <x:c r="L975" s="35" t="str">
        <x:v>NOT_RUN</x:v>
      </x:c>
      <x:c r="M975" s="35" t="str">
        <x:v>coverage unavailable or execution/compile failed</x:v>
      </x:c>
      <x:c r="N975" s="35" t="str">
        <x:v>Deepseek-flash-v4/Result2/Closure_148/result.json</x:v>
      </x:c>
      <x:c r="O975" s="39" t="str">
        <x:f>IF(AND(G975="RECORDED",ISNUMBER(H975)),H975,"")</x:f>
      </x:c>
      <x:c r="P975" s="35" t="str">
        <x:v>NOT_AVAILABLE</x:v>
      </x:c>
      <x:c r="Q975" s="35" t="str">
        <x:v>Deepseek-flash-v4/Result2/Closure_148/result.json</x:v>
      </x:c>
    </x:row>
    <x:row r="976">
      <x:c r="A976" s="35" t="str">
        <x:v>deepseek</x:v>
      </x:c>
      <x:c r="B976" s="35" t="str">
        <x:v>Closure</x:v>
      </x:c>
      <x:c r="C976" s="35" t="str">
        <x:v>Round2</x:v>
      </x:c>
      <x:c r="D976" s="35" t="str">
        <x:v>Closure_149</x:v>
      </x:c>
      <x:c r="E976" s="35" t="str">
        <x:v>Line</x:v>
      </x:c>
      <x:c r="F976" s="35"/>
      <x:c r="G976" s="35" t="str">
        <x:v>A</x:v>
      </x:c>
      <x:c r="H976" s="39" t="str">
        <x:f>IF(ISNUMBER('Data'!E976),'Data'!E976*100,"")</x:f>
      </x:c>
      <x:c r="I976" s="35"/>
      <x:c r="J976" s="35" t="str">
        <x:v>PASS</x:v>
      </x:c>
      <x:c r="K976" s="35" t="str">
        <x:v>FAIL</x:v>
      </x:c>
      <x:c r="L976" s="35" t="str">
        <x:v>NOT_RUN</x:v>
      </x:c>
      <x:c r="M976" s="35" t="str">
        <x:v>coverage unavailable or execution/compile failed</x:v>
      </x:c>
      <x:c r="N976" s="35" t="str">
        <x:v>Deepseek-flash-v4/Result2/Closure_149/result.json</x:v>
      </x:c>
      <x:c r="O976" s="39" t="str">
        <x:f>IF(AND(G976="RECORDED",ISNUMBER(H976)),H976,"")</x:f>
      </x:c>
      <x:c r="P976" s="35" t="str">
        <x:v>NOT_AVAILABLE</x:v>
      </x:c>
      <x:c r="Q976" s="35" t="str">
        <x:v>Deepseek-flash-v4/Result2/Closure_149/result.json</x:v>
      </x:c>
    </x:row>
    <x:row r="977">
      <x:c r="A977" s="35" t="str">
        <x:v>deepseek</x:v>
      </x:c>
      <x:c r="B977" s="35" t="str">
        <x:v>Closure</x:v>
      </x:c>
      <x:c r="C977" s="35" t="str">
        <x:v>Round2</x:v>
      </x:c>
      <x:c r="D977" s="35" t="str">
        <x:v>Closure_15</x:v>
      </x:c>
      <x:c r="E977" s="35" t="str">
        <x:v>Line</x:v>
      </x:c>
      <x:c r="F977" s="35"/>
      <x:c r="G977" s="35" t="str">
        <x:v>A</x:v>
      </x:c>
      <x:c r="H977" s="39" t="str">
        <x:f>IF(ISNUMBER('Data'!E977),'Data'!E977*100,"")</x:f>
      </x:c>
      <x:c r="I977" s="35"/>
      <x:c r="J977" s="35" t="str">
        <x:v>PASS</x:v>
      </x:c>
      <x:c r="K977" s="35" t="str">
        <x:v>FAIL</x:v>
      </x:c>
      <x:c r="L977" s="35" t="str">
        <x:v>NOT_RUN</x:v>
      </x:c>
      <x:c r="M977" s="35" t="str">
        <x:v>coverage unavailable or execution/compile failed</x:v>
      </x:c>
      <x:c r="N977" s="35" t="str">
        <x:v>Deepseek-flash-v4/Result2/Closure_15/result.json</x:v>
      </x:c>
      <x:c r="O977" s="39" t="str">
        <x:f>IF(AND(G977="RECORDED",ISNUMBER(H977)),H977,"")</x:f>
      </x:c>
      <x:c r="P977" s="35" t="str">
        <x:v>NOT_AVAILABLE</x:v>
      </x:c>
      <x:c r="Q977" s="35" t="str">
        <x:v>Deepseek-flash-v4/Result2/Closure_15/result.json</x:v>
      </x:c>
    </x:row>
    <x:row r="978">
      <x:c r="A978" s="35" t="str">
        <x:v>deepseek</x:v>
      </x:c>
      <x:c r="B978" s="35" t="str">
        <x:v>Closure</x:v>
      </x:c>
      <x:c r="C978" s="35" t="str">
        <x:v>Round2</x:v>
      </x:c>
      <x:c r="D978" s="35" t="str">
        <x:v>Closure_150</x:v>
      </x:c>
      <x:c r="E978" s="35" t="str">
        <x:v>Line</x:v>
      </x:c>
      <x:c r="F978" s="35"/>
      <x:c r="G978" s="35" t="str">
        <x:v>A</x:v>
      </x:c>
      <x:c r="H978" s="39" t="str">
        <x:f>IF(ISNUMBER('Data'!E978),'Data'!E978*100,"")</x:f>
      </x:c>
      <x:c r="I978" s="35"/>
      <x:c r="J978" s="35" t="str">
        <x:v>PASS</x:v>
      </x:c>
      <x:c r="K978" s="35" t="str">
        <x:v>FAIL</x:v>
      </x:c>
      <x:c r="L978" s="35" t="str">
        <x:v>NOT_RUN</x:v>
      </x:c>
      <x:c r="M978" s="35" t="str">
        <x:v>coverage unavailable or execution/compile failed</x:v>
      </x:c>
      <x:c r="N978" s="35" t="str">
        <x:v>Deepseek-flash-v4/Result2/Closure_150/result.json</x:v>
      </x:c>
      <x:c r="O978" s="39" t="str">
        <x:f>IF(AND(G978="RECORDED",ISNUMBER(H978)),H978,"")</x:f>
      </x:c>
      <x:c r="P978" s="35" t="str">
        <x:v>NOT_AVAILABLE</x:v>
      </x:c>
      <x:c r="Q978" s="35" t="str">
        <x:v>Deepseek-flash-v4/Result2/Closure_150/result.json</x:v>
      </x:c>
    </x:row>
    <x:row r="979">
      <x:c r="A979" s="35" t="str">
        <x:v>deepseek</x:v>
      </x:c>
      <x:c r="B979" s="35" t="str">
        <x:v>Closure</x:v>
      </x:c>
      <x:c r="C979" s="35" t="str">
        <x:v>Round2</x:v>
      </x:c>
      <x:c r="D979" s="35" t="str">
        <x:v>Closure_151</x:v>
      </x:c>
      <x:c r="E979" s="35" t="str">
        <x:v>Line</x:v>
      </x:c>
      <x:c r="F979" s="35" t="n">
        <x:v>182</x:v>
      </x:c>
      <x:c r="G979" s="35" t="str">
        <x:v>RECORDED</x:v>
      </x:c>
      <x:c r="H979" s="39" t="n">
        <x:f>IF(ISNUMBER('Data'!E979),'Data'!E979*100,"")</x:f>
        <x:v>75.82</x:v>
      </x:c>
      <x:c r="I979" s="35" t="str">
        <x:v>PASS</x:v>
      </x:c>
      <x:c r="J979" s="35" t="str">
        <x:v>PASS</x:v>
      </x:c>
      <x:c r="K979" s="35" t="str">
        <x:v>PASS</x:v>
      </x:c>
      <x:c r="L979" s="35" t="str">
        <x:v>FAIL</x:v>
      </x:c>
      <x:c r="M979" s="35" t="str">
        <x:v>numeric coverage for applicable metric</x:v>
      </x:c>
      <x:c r="N979" s="35" t="str">
        <x:v>Deepseek-flash-v4/Result2/Closure_151/result.json</x:v>
      </x:c>
      <x:c r="O979" s="39" t="n">
        <x:f>IF(AND(G979="RECORDED",ISNUMBER(H979)),H979,"")</x:f>
        <x:v>75.82</x:v>
      </x:c>
      <x:c r="P979" s="35" t="str">
        <x:v>INCONCLUSIVE</x:v>
      </x:c>
      <x:c r="Q979" s="35" t="str">
        <x:v>Deepseek-flash-v4/Result2/Closure_151/result.json</x:v>
      </x:c>
    </x:row>
    <x:row r="980">
      <x:c r="A980" s="35" t="str">
        <x:v>deepseek</x:v>
      </x:c>
      <x:c r="B980" s="35" t="str">
        <x:v>Closure</x:v>
      </x:c>
      <x:c r="C980" s="35" t="str">
        <x:v>Round2</x:v>
      </x:c>
      <x:c r="D980" s="35" t="str">
        <x:v>Closure_152</x:v>
      </x:c>
      <x:c r="E980" s="35" t="str">
        <x:v>Line</x:v>
      </x:c>
      <x:c r="F980" s="35"/>
      <x:c r="G980" s="35" t="str">
        <x:v>A</x:v>
      </x:c>
      <x:c r="H980" s="39" t="str">
        <x:f>IF(ISNUMBER('Data'!E980),'Data'!E980*100,"")</x:f>
      </x:c>
      <x:c r="I980" s="35"/>
      <x:c r="J980" s="35" t="str">
        <x:v>PASS</x:v>
      </x:c>
      <x:c r="K980" s="35" t="str">
        <x:v>FAIL</x:v>
      </x:c>
      <x:c r="L980" s="35" t="str">
        <x:v>NOT_RUN</x:v>
      </x:c>
      <x:c r="M980" s="35" t="str">
        <x:v>coverage unavailable or execution/compile failed</x:v>
      </x:c>
      <x:c r="N980" s="35" t="str">
        <x:v>Deepseek-flash-v4/Result2/Closure_152/result.json</x:v>
      </x:c>
      <x:c r="O980" s="39" t="str">
        <x:f>IF(AND(G980="RECORDED",ISNUMBER(H980)),H980,"")</x:f>
      </x:c>
      <x:c r="P980" s="35" t="str">
        <x:v>NOT_AVAILABLE</x:v>
      </x:c>
      <x:c r="Q980" s="35" t="str">
        <x:v>Deepseek-flash-v4/Result2/Closure_152/result.json</x:v>
      </x:c>
    </x:row>
    <x:row r="981">
      <x:c r="A981" s="35" t="str">
        <x:v>deepseek</x:v>
      </x:c>
      <x:c r="B981" s="35" t="str">
        <x:v>Closure</x:v>
      </x:c>
      <x:c r="C981" s="35" t="str">
        <x:v>Round2</x:v>
      </x:c>
      <x:c r="D981" s="35" t="str">
        <x:v>Closure_153</x:v>
      </x:c>
      <x:c r="E981" s="35" t="str">
        <x:v>Line</x:v>
      </x:c>
      <x:c r="F981" s="35"/>
      <x:c r="G981" s="35" t="str">
        <x:v>A</x:v>
      </x:c>
      <x:c r="H981" s="39" t="str">
        <x:f>IF(ISNUMBER('Data'!E981),'Data'!E981*100,"")</x:f>
      </x:c>
      <x:c r="I981" s="35"/>
      <x:c r="J981" s="35" t="str">
        <x:v>PASS</x:v>
      </x:c>
      <x:c r="K981" s="35" t="str">
        <x:v>FAIL</x:v>
      </x:c>
      <x:c r="L981" s="35" t="str">
        <x:v>NOT_RUN</x:v>
      </x:c>
      <x:c r="M981" s="35" t="str">
        <x:v>coverage unavailable or execution/compile failed</x:v>
      </x:c>
      <x:c r="N981" s="35" t="str">
        <x:v>Deepseek-flash-v4/Result2/Closure_153/result.json</x:v>
      </x:c>
      <x:c r="O981" s="39" t="str">
        <x:f>IF(AND(G981="RECORDED",ISNUMBER(H981)),H981,"")</x:f>
      </x:c>
      <x:c r="P981" s="35" t="str">
        <x:v>NOT_AVAILABLE</x:v>
      </x:c>
      <x:c r="Q981" s="35" t="str">
        <x:v>Deepseek-flash-v4/Result2/Closure_153/result.json</x:v>
      </x:c>
    </x:row>
    <x:row r="982">
      <x:c r="A982" s="35" t="str">
        <x:v>deepseek</x:v>
      </x:c>
      <x:c r="B982" s="35" t="str">
        <x:v>Closure</x:v>
      </x:c>
      <x:c r="C982" s="35" t="str">
        <x:v>Round2</x:v>
      </x:c>
      <x:c r="D982" s="35" t="str">
        <x:v>Closure_154</x:v>
      </x:c>
      <x:c r="E982" s="35" t="str">
        <x:v>Line</x:v>
      </x:c>
      <x:c r="F982" s="35"/>
      <x:c r="G982" s="35" t="str">
        <x:v>A</x:v>
      </x:c>
      <x:c r="H982" s="39" t="str">
        <x:f>IF(ISNUMBER('Data'!E982),'Data'!E982*100,"")</x:f>
      </x:c>
      <x:c r="I982" s="35"/>
      <x:c r="J982" s="35" t="str">
        <x:v>PASS</x:v>
      </x:c>
      <x:c r="K982" s="35" t="str">
        <x:v>FAIL</x:v>
      </x:c>
      <x:c r="L982" s="35" t="str">
        <x:v>NOT_RUN</x:v>
      </x:c>
      <x:c r="M982" s="35" t="str">
        <x:v>coverage unavailable or execution/compile failed</x:v>
      </x:c>
      <x:c r="N982" s="35" t="str">
        <x:v>Deepseek-flash-v4/Result2/Closure_154/result.json</x:v>
      </x:c>
      <x:c r="O982" s="39" t="str">
        <x:f>IF(AND(G982="RECORDED",ISNUMBER(H982)),H982,"")</x:f>
      </x:c>
      <x:c r="P982" s="35" t="str">
        <x:v>NOT_AVAILABLE</x:v>
      </x:c>
      <x:c r="Q982" s="35" t="str">
        <x:v>Deepseek-flash-v4/Result2/Closure_154/result.json</x:v>
      </x:c>
    </x:row>
    <x:row r="983">
      <x:c r="A983" s="35" t="str">
        <x:v>deepseek</x:v>
      </x:c>
      <x:c r="B983" s="35" t="str">
        <x:v>Closure</x:v>
      </x:c>
      <x:c r="C983" s="35" t="str">
        <x:v>Round2</x:v>
      </x:c>
      <x:c r="D983" s="35" t="str">
        <x:v>Closure_155</x:v>
      </x:c>
      <x:c r="E983" s="35" t="str">
        <x:v>Line</x:v>
      </x:c>
      <x:c r="F983" s="35"/>
      <x:c r="G983" s="35" t="str">
        <x:v>A</x:v>
      </x:c>
      <x:c r="H983" s="39" t="str">
        <x:f>IF(ISNUMBER('Data'!E983),'Data'!E983*100,"")</x:f>
      </x:c>
      <x:c r="I983" s="35"/>
      <x:c r="J983" s="35" t="str">
        <x:v>PASS</x:v>
      </x:c>
      <x:c r="K983" s="35" t="str">
        <x:v>FAIL</x:v>
      </x:c>
      <x:c r="L983" s="35" t="str">
        <x:v>NOT_RUN</x:v>
      </x:c>
      <x:c r="M983" s="35" t="str">
        <x:v>coverage unavailable or execution/compile failed</x:v>
      </x:c>
      <x:c r="N983" s="35" t="str">
        <x:v>Deepseek-flash-v4/Result2/Closure_155/result.json</x:v>
      </x:c>
      <x:c r="O983" s="39" t="str">
        <x:f>IF(AND(G983="RECORDED",ISNUMBER(H983)),H983,"")</x:f>
      </x:c>
      <x:c r="P983" s="35" t="str">
        <x:v>NOT_AVAILABLE</x:v>
      </x:c>
      <x:c r="Q983" s="35" t="str">
        <x:v>Deepseek-flash-v4/Result2/Closure_155/result.json</x:v>
      </x:c>
    </x:row>
    <x:row r="984">
      <x:c r="A984" s="35" t="str">
        <x:v>deepseek</x:v>
      </x:c>
      <x:c r="B984" s="35" t="str">
        <x:v>Closure</x:v>
      </x:c>
      <x:c r="C984" s="35" t="str">
        <x:v>Round2</x:v>
      </x:c>
      <x:c r="D984" s="35" t="str">
        <x:v>Closure_156</x:v>
      </x:c>
      <x:c r="E984" s="35" t="str">
        <x:v>Line</x:v>
      </x:c>
      <x:c r="F984" s="35"/>
      <x:c r="G984" s="35" t="str">
        <x:v>A</x:v>
      </x:c>
      <x:c r="H984" s="39" t="str">
        <x:f>IF(ISNUMBER('Data'!E984),'Data'!E984*100,"")</x:f>
      </x:c>
      <x:c r="I984" s="35"/>
      <x:c r="J984" s="35" t="str">
        <x:v>PASS</x:v>
      </x:c>
      <x:c r="K984" s="35" t="str">
        <x:v>FAIL</x:v>
      </x:c>
      <x:c r="L984" s="35" t="str">
        <x:v>NOT_RUN</x:v>
      </x:c>
      <x:c r="M984" s="35" t="str">
        <x:v>coverage unavailable or execution/compile failed</x:v>
      </x:c>
      <x:c r="N984" s="35" t="str">
        <x:v>Deepseek-flash-v4/Result2/Closure_156/result.json</x:v>
      </x:c>
      <x:c r="O984" s="39" t="str">
        <x:f>IF(AND(G984="RECORDED",ISNUMBER(H984)),H984,"")</x:f>
      </x:c>
      <x:c r="P984" s="35" t="str">
        <x:v>NOT_AVAILABLE</x:v>
      </x:c>
      <x:c r="Q984" s="35" t="str">
        <x:v>Deepseek-flash-v4/Result2/Closure_156/result.json</x:v>
      </x:c>
    </x:row>
    <x:row r="985">
      <x:c r="A985" s="35" t="str">
        <x:v>deepseek</x:v>
      </x:c>
      <x:c r="B985" s="35" t="str">
        <x:v>Closure</x:v>
      </x:c>
      <x:c r="C985" s="35" t="str">
        <x:v>Round2</x:v>
      </x:c>
      <x:c r="D985" s="35" t="str">
        <x:v>Closure_157</x:v>
      </x:c>
      <x:c r="E985" s="35" t="str">
        <x:v>Line</x:v>
      </x:c>
      <x:c r="F985" s="35"/>
      <x:c r="G985" s="35" t="str">
        <x:v>A</x:v>
      </x:c>
      <x:c r="H985" s="39" t="str">
        <x:f>IF(ISNUMBER('Data'!E985),'Data'!E985*100,"")</x:f>
      </x:c>
      <x:c r="I985" s="35"/>
      <x:c r="J985" s="35" t="str">
        <x:v>PASS</x:v>
      </x:c>
      <x:c r="K985" s="35" t="str">
        <x:v>FAIL</x:v>
      </x:c>
      <x:c r="L985" s="35" t="str">
        <x:v>NOT_RUN</x:v>
      </x:c>
      <x:c r="M985" s="35" t="str">
        <x:v>coverage unavailable or execution/compile failed</x:v>
      </x:c>
      <x:c r="N985" s="35" t="str">
        <x:v>Deepseek-flash-v4/Result2/Closure_157/result.json</x:v>
      </x:c>
      <x:c r="O985" s="39" t="str">
        <x:f>IF(AND(G985="RECORDED",ISNUMBER(H985)),H985,"")</x:f>
      </x:c>
      <x:c r="P985" s="35" t="str">
        <x:v>NOT_AVAILABLE</x:v>
      </x:c>
      <x:c r="Q985" s="35" t="str">
        <x:v>Deepseek-flash-v4/Result2/Closure_157/result.json</x:v>
      </x:c>
    </x:row>
    <x:row r="986">
      <x:c r="A986" s="35" t="str">
        <x:v>deepseek</x:v>
      </x:c>
      <x:c r="B986" s="35" t="str">
        <x:v>Closure</x:v>
      </x:c>
      <x:c r="C986" s="35" t="str">
        <x:v>Round2</x:v>
      </x:c>
      <x:c r="D986" s="35" t="str">
        <x:v>Closure_158</x:v>
      </x:c>
      <x:c r="E986" s="35" t="str">
        <x:v>Line</x:v>
      </x:c>
      <x:c r="F986" s="35"/>
      <x:c r="G986" s="35" t="str">
        <x:v>A</x:v>
      </x:c>
      <x:c r="H986" s="39" t="str">
        <x:f>IF(ISNUMBER('Data'!E986),'Data'!E986*100,"")</x:f>
      </x:c>
      <x:c r="I986" s="35"/>
      <x:c r="J986" s="35" t="str">
        <x:v>PASS</x:v>
      </x:c>
      <x:c r="K986" s="35" t="str">
        <x:v>FAIL</x:v>
      </x:c>
      <x:c r="L986" s="35" t="str">
        <x:v>NOT_RUN</x:v>
      </x:c>
      <x:c r="M986" s="35" t="str">
        <x:v>coverage unavailable or execution/compile failed</x:v>
      </x:c>
      <x:c r="N986" s="35" t="str">
        <x:v>Deepseek-flash-v4/Result2/Closure_158/result.json</x:v>
      </x:c>
      <x:c r="O986" s="39" t="str">
        <x:f>IF(AND(G986="RECORDED",ISNUMBER(H986)),H986,"")</x:f>
      </x:c>
      <x:c r="P986" s="35" t="str">
        <x:v>NOT_AVAILABLE</x:v>
      </x:c>
      <x:c r="Q986" s="35" t="str">
        <x:v>Deepseek-flash-v4/Result2/Closure_158/result.json</x:v>
      </x:c>
    </x:row>
    <x:row r="987">
      <x:c r="A987" s="35" t="str">
        <x:v>deepseek</x:v>
      </x:c>
      <x:c r="B987" s="35" t="str">
        <x:v>Closure</x:v>
      </x:c>
      <x:c r="C987" s="35" t="str">
        <x:v>Round2</x:v>
      </x:c>
      <x:c r="D987" s="35" t="str">
        <x:v>Closure_159</x:v>
      </x:c>
      <x:c r="E987" s="35" t="str">
        <x:v>Line</x:v>
      </x:c>
      <x:c r="F987" s="35"/>
      <x:c r="G987" s="35" t="str">
        <x:v>A</x:v>
      </x:c>
      <x:c r="H987" s="39" t="str">
        <x:f>IF(ISNUMBER('Data'!E987),'Data'!E987*100,"")</x:f>
      </x:c>
      <x:c r="I987" s="35"/>
      <x:c r="J987" s="35" t="str">
        <x:v>PASS</x:v>
      </x:c>
      <x:c r="K987" s="35" t="str">
        <x:v>FAIL</x:v>
      </x:c>
      <x:c r="L987" s="35" t="str">
        <x:v>NOT_RUN</x:v>
      </x:c>
      <x:c r="M987" s="35" t="str">
        <x:v>coverage unavailable or execution/compile failed</x:v>
      </x:c>
      <x:c r="N987" s="35" t="str">
        <x:v>Deepseek-flash-v4/Result2/Closure_159/result.json</x:v>
      </x:c>
      <x:c r="O987" s="39" t="str">
        <x:f>IF(AND(G987="RECORDED",ISNUMBER(H987)),H987,"")</x:f>
      </x:c>
      <x:c r="P987" s="35" t="str">
        <x:v>NOT_AVAILABLE</x:v>
      </x:c>
      <x:c r="Q987" s="35" t="str">
        <x:v>Deepseek-flash-v4/Result2/Closure_159/result.json</x:v>
      </x:c>
    </x:row>
    <x:row r="988">
      <x:c r="A988" s="35" t="str">
        <x:v>deepseek</x:v>
      </x:c>
      <x:c r="B988" s="35" t="str">
        <x:v>Closure</x:v>
      </x:c>
      <x:c r="C988" s="35" t="str">
        <x:v>Round2</x:v>
      </x:c>
      <x:c r="D988" s="35" t="str">
        <x:v>Closure_16</x:v>
      </x:c>
      <x:c r="E988" s="35" t="str">
        <x:v>Line</x:v>
      </x:c>
      <x:c r="F988" s="35"/>
      <x:c r="G988" s="35" t="str">
        <x:v>A</x:v>
      </x:c>
      <x:c r="H988" s="39" t="str">
        <x:f>IF(ISNUMBER('Data'!E988),'Data'!E988*100,"")</x:f>
      </x:c>
      <x:c r="I988" s="35"/>
      <x:c r="J988" s="35" t="str">
        <x:v>PASS</x:v>
      </x:c>
      <x:c r="K988" s="35" t="str">
        <x:v>FAIL</x:v>
      </x:c>
      <x:c r="L988" s="35" t="str">
        <x:v>NOT_RUN</x:v>
      </x:c>
      <x:c r="M988" s="35" t="str">
        <x:v>coverage unavailable or execution/compile failed</x:v>
      </x:c>
      <x:c r="N988" s="35" t="str">
        <x:v>Deepseek-flash-v4/Result2/Closure_16/result.json</x:v>
      </x:c>
      <x:c r="O988" s="39" t="str">
        <x:f>IF(AND(G988="RECORDED",ISNUMBER(H988)),H988,"")</x:f>
      </x:c>
      <x:c r="P988" s="35" t="str">
        <x:v>NOT_AVAILABLE</x:v>
      </x:c>
      <x:c r="Q988" s="35" t="str">
        <x:v>Deepseek-flash-v4/Result2/Closure_16/result.json</x:v>
      </x:c>
    </x:row>
    <x:row r="989">
      <x:c r="A989" s="35" t="str">
        <x:v>deepseek</x:v>
      </x:c>
      <x:c r="B989" s="35" t="str">
        <x:v>Closure</x:v>
      </x:c>
      <x:c r="C989" s="35" t="str">
        <x:v>Round2</x:v>
      </x:c>
      <x:c r="D989" s="35" t="str">
        <x:v>Closure_160</x:v>
      </x:c>
      <x:c r="E989" s="35" t="str">
        <x:v>Line</x:v>
      </x:c>
      <x:c r="F989" s="35"/>
      <x:c r="G989" s="35" t="str">
        <x:v>A</x:v>
      </x:c>
      <x:c r="H989" s="39" t="str">
        <x:f>IF(ISNUMBER('Data'!E989),'Data'!E989*100,"")</x:f>
      </x:c>
      <x:c r="I989" s="35"/>
      <x:c r="J989" s="35" t="str">
        <x:v>PASS</x:v>
      </x:c>
      <x:c r="K989" s="35" t="str">
        <x:v>FAIL</x:v>
      </x:c>
      <x:c r="L989" s="35" t="str">
        <x:v>NOT_RUN</x:v>
      </x:c>
      <x:c r="M989" s="35" t="str">
        <x:v>coverage unavailable or execution/compile failed</x:v>
      </x:c>
      <x:c r="N989" s="35" t="str">
        <x:v>Deepseek-flash-v4/Result2/Closure_160/result.json</x:v>
      </x:c>
      <x:c r="O989" s="39" t="str">
        <x:f>IF(AND(G989="RECORDED",ISNUMBER(H989)),H989,"")</x:f>
      </x:c>
      <x:c r="P989" s="35" t="str">
        <x:v>NOT_AVAILABLE</x:v>
      </x:c>
      <x:c r="Q989" s="35" t="str">
        <x:v>Deepseek-flash-v4/Result2/Closure_160/result.json</x:v>
      </x:c>
    </x:row>
    <x:row r="990">
      <x:c r="A990" s="35" t="str">
        <x:v>deepseek</x:v>
      </x:c>
      <x:c r="B990" s="35" t="str">
        <x:v>Closure</x:v>
      </x:c>
      <x:c r="C990" s="35" t="str">
        <x:v>Round2</x:v>
      </x:c>
      <x:c r="D990" s="35" t="str">
        <x:v>Closure_161</x:v>
      </x:c>
      <x:c r="E990" s="35" t="str">
        <x:v>Line</x:v>
      </x:c>
      <x:c r="F990" s="35" t="n">
        <x:v>636</x:v>
      </x:c>
      <x:c r="G990" s="35" t="str">
        <x:v>RECORDED</x:v>
      </x:c>
      <x:c r="H990" s="39" t="n">
        <x:f>IF(ISNUMBER('Data'!E990),'Data'!E990*100,"")</x:f>
        <x:v>37.42</x:v>
      </x:c>
      <x:c r="I990" s="35" t="str">
        <x:v>PASS</x:v>
      </x:c>
      <x:c r="J990" s="35" t="str">
        <x:v>PASS</x:v>
      </x:c>
      <x:c r="K990" s="35" t="str">
        <x:v>PASS</x:v>
      </x:c>
      <x:c r="L990" s="35" t="str">
        <x:v>FAIL</x:v>
      </x:c>
      <x:c r="M990" s="35" t="str">
        <x:v>numeric coverage for applicable metric</x:v>
      </x:c>
      <x:c r="N990" s="35" t="str">
        <x:v>Deepseek-flash-v4/Result2/Closure_161/result.json</x:v>
      </x:c>
      <x:c r="O990" s="39" t="n">
        <x:f>IF(AND(G990="RECORDED",ISNUMBER(H990)),H990,"")</x:f>
        <x:v>37.42</x:v>
      </x:c>
      <x:c r="P990" s="35" t="str">
        <x:v>INCONCLUSIVE</x:v>
      </x:c>
      <x:c r="Q990" s="35" t="str">
        <x:v>Deepseek-flash-v4/Result2/Closure_161/result.json</x:v>
      </x:c>
    </x:row>
    <x:row r="991">
      <x:c r="A991" s="35" t="str">
        <x:v>deepseek</x:v>
      </x:c>
      <x:c r="B991" s="35" t="str">
        <x:v>Closure</x:v>
      </x:c>
      <x:c r="C991" s="35" t="str">
        <x:v>Round2</x:v>
      </x:c>
      <x:c r="D991" s="35" t="str">
        <x:v>Closure_162</x:v>
      </x:c>
      <x:c r="E991" s="35" t="str">
        <x:v>Line</x:v>
      </x:c>
      <x:c r="F991" s="35"/>
      <x:c r="G991" s="35" t="str">
        <x:v>A</x:v>
      </x:c>
      <x:c r="H991" s="39" t="str">
        <x:f>IF(ISNUMBER('Data'!E991),'Data'!E991*100,"")</x:f>
      </x:c>
      <x:c r="I991" s="35"/>
      <x:c r="J991" s="35" t="str">
        <x:v>PASS</x:v>
      </x:c>
      <x:c r="K991" s="35" t="str">
        <x:v>FAIL</x:v>
      </x:c>
      <x:c r="L991" s="35" t="str">
        <x:v>NOT_RUN</x:v>
      </x:c>
      <x:c r="M991" s="35" t="str">
        <x:v>coverage unavailable or execution/compile failed</x:v>
      </x:c>
      <x:c r="N991" s="35" t="str">
        <x:v>Deepseek-flash-v4/Result2/Closure_162/result.json</x:v>
      </x:c>
      <x:c r="O991" s="39" t="str">
        <x:f>IF(AND(G991="RECORDED",ISNUMBER(H991)),H991,"")</x:f>
      </x:c>
      <x:c r="P991" s="35" t="str">
        <x:v>NOT_AVAILABLE</x:v>
      </x:c>
      <x:c r="Q991" s="35" t="str">
        <x:v>Deepseek-flash-v4/Result2/Closure_162/result.json</x:v>
      </x:c>
    </x:row>
    <x:row r="992">
      <x:c r="A992" s="35" t="str">
        <x:v>deepseek</x:v>
      </x:c>
      <x:c r="B992" s="35" t="str">
        <x:v>Closure</x:v>
      </x:c>
      <x:c r="C992" s="35" t="str">
        <x:v>Round2</x:v>
      </x:c>
      <x:c r="D992" s="35" t="str">
        <x:v>Closure_163</x:v>
      </x:c>
      <x:c r="E992" s="35" t="str">
        <x:v>Line</x:v>
      </x:c>
      <x:c r="F992" s="35"/>
      <x:c r="G992" s="35" t="str">
        <x:v>A</x:v>
      </x:c>
      <x:c r="H992" s="39" t="str">
        <x:f>IF(ISNUMBER('Data'!E992),'Data'!E992*100,"")</x:f>
      </x:c>
      <x:c r="I992" s="35"/>
      <x:c r="J992" s="35" t="str">
        <x:v>PASS</x:v>
      </x:c>
      <x:c r="K992" s="35" t="str">
        <x:v>FAIL</x:v>
      </x:c>
      <x:c r="L992" s="35" t="str">
        <x:v>NOT_RUN</x:v>
      </x:c>
      <x:c r="M992" s="35" t="str">
        <x:v>coverage unavailable or execution/compile failed</x:v>
      </x:c>
      <x:c r="N992" s="35" t="str">
        <x:v>Deepseek-flash-v4/Result2/Closure_163/result.json</x:v>
      </x:c>
      <x:c r="O992" s="39" t="str">
        <x:f>IF(AND(G992="RECORDED",ISNUMBER(H992)),H992,"")</x:f>
      </x:c>
      <x:c r="P992" s="35" t="str">
        <x:v>NOT_AVAILABLE</x:v>
      </x:c>
      <x:c r="Q992" s="35" t="str">
        <x:v>Deepseek-flash-v4/Result2/Closure_163/result.json</x:v>
      </x:c>
    </x:row>
    <x:row r="993">
      <x:c r="A993" s="35" t="str">
        <x:v>deepseek</x:v>
      </x:c>
      <x:c r="B993" s="35" t="str">
        <x:v>Closure</x:v>
      </x:c>
      <x:c r="C993" s="35" t="str">
        <x:v>Round2</x:v>
      </x:c>
      <x:c r="D993" s="35" t="str">
        <x:v>Closure_164</x:v>
      </x:c>
      <x:c r="E993" s="35" t="str">
        <x:v>Line</x:v>
      </x:c>
      <x:c r="F993" s="35"/>
      <x:c r="G993" s="35" t="str">
        <x:v>A</x:v>
      </x:c>
      <x:c r="H993" s="39" t="str">
        <x:f>IF(ISNUMBER('Data'!E993),'Data'!E993*100,"")</x:f>
      </x:c>
      <x:c r="I993" s="35"/>
      <x:c r="J993" s="35" t="str">
        <x:v>PASS</x:v>
      </x:c>
      <x:c r="K993" s="35" t="str">
        <x:v>FAIL</x:v>
      </x:c>
      <x:c r="L993" s="35" t="str">
        <x:v>NOT_RUN</x:v>
      </x:c>
      <x:c r="M993" s="35" t="str">
        <x:v>coverage unavailable or execution/compile failed</x:v>
      </x:c>
      <x:c r="N993" s="35" t="str">
        <x:v>Deepseek-flash-v4/Result2/Closure_164/result.json</x:v>
      </x:c>
      <x:c r="O993" s="39" t="str">
        <x:f>IF(AND(G993="RECORDED",ISNUMBER(H993)),H993,"")</x:f>
      </x:c>
      <x:c r="P993" s="35" t="str">
        <x:v>NOT_AVAILABLE</x:v>
      </x:c>
      <x:c r="Q993" s="35" t="str">
        <x:v>Deepseek-flash-v4/Result2/Closure_164/result.json</x:v>
      </x:c>
    </x:row>
    <x:row r="994">
      <x:c r="A994" s="35" t="str">
        <x:v>deepseek</x:v>
      </x:c>
      <x:c r="B994" s="35" t="str">
        <x:v>Closure</x:v>
      </x:c>
      <x:c r="C994" s="35" t="str">
        <x:v>Round2</x:v>
      </x:c>
      <x:c r="D994" s="35" t="str">
        <x:v>Closure_165</x:v>
      </x:c>
      <x:c r="E994" s="35" t="str">
        <x:v>Line</x:v>
      </x:c>
      <x:c r="F994" s="35"/>
      <x:c r="G994" s="35" t="str">
        <x:v>A</x:v>
      </x:c>
      <x:c r="H994" s="39" t="str">
        <x:f>IF(ISNUMBER('Data'!E994),'Data'!E994*100,"")</x:f>
      </x:c>
      <x:c r="I994" s="35"/>
      <x:c r="J994" s="35" t="str">
        <x:v>PASS</x:v>
      </x:c>
      <x:c r="K994" s="35" t="str">
        <x:v>FAIL</x:v>
      </x:c>
      <x:c r="L994" s="35" t="str">
        <x:v>NOT_RUN</x:v>
      </x:c>
      <x:c r="M994" s="35" t="str">
        <x:v>coverage unavailable or execution/compile failed</x:v>
      </x:c>
      <x:c r="N994" s="35" t="str">
        <x:v>Deepseek-flash-v4/Result2/Closure_165/result.json</x:v>
      </x:c>
      <x:c r="O994" s="39" t="str">
        <x:f>IF(AND(G994="RECORDED",ISNUMBER(H994)),H994,"")</x:f>
      </x:c>
      <x:c r="P994" s="35" t="str">
        <x:v>NOT_AVAILABLE</x:v>
      </x:c>
      <x:c r="Q994" s="35" t="str">
        <x:v>Deepseek-flash-v4/Result2/Closure_165/result.json</x:v>
      </x:c>
    </x:row>
    <x:row r="995">
      <x:c r="A995" s="35" t="str">
        <x:v>deepseek</x:v>
      </x:c>
      <x:c r="B995" s="35" t="str">
        <x:v>Closure</x:v>
      </x:c>
      <x:c r="C995" s="35" t="str">
        <x:v>Round2</x:v>
      </x:c>
      <x:c r="D995" s="35" t="str">
        <x:v>Closure_166</x:v>
      </x:c>
      <x:c r="E995" s="35" t="str">
        <x:v>Line</x:v>
      </x:c>
      <x:c r="F995" s="35"/>
      <x:c r="G995" s="35" t="str">
        <x:v>A</x:v>
      </x:c>
      <x:c r="H995" s="39" t="str">
        <x:f>IF(ISNUMBER('Data'!E995),'Data'!E995*100,"")</x:f>
      </x:c>
      <x:c r="I995" s="35"/>
      <x:c r="J995" s="35" t="str">
        <x:v>PASS</x:v>
      </x:c>
      <x:c r="K995" s="35" t="str">
        <x:v>FAIL</x:v>
      </x:c>
      <x:c r="L995" s="35" t="str">
        <x:v>NOT_RUN</x:v>
      </x:c>
      <x:c r="M995" s="35" t="str">
        <x:v>coverage unavailable or execution/compile failed</x:v>
      </x:c>
      <x:c r="N995" s="35" t="str">
        <x:v>Deepseek-flash-v4/Result2/Closure_166/result.json</x:v>
      </x:c>
      <x:c r="O995" s="39" t="str">
        <x:f>IF(AND(G995="RECORDED",ISNUMBER(H995)),H995,"")</x:f>
      </x:c>
      <x:c r="P995" s="35" t="str">
        <x:v>NOT_AVAILABLE</x:v>
      </x:c>
      <x:c r="Q995" s="35" t="str">
        <x:v>Deepseek-flash-v4/Result2/Closure_166/result.json</x:v>
      </x:c>
    </x:row>
    <x:row r="996">
      <x:c r="A996" s="35" t="str">
        <x:v>deepseek</x:v>
      </x:c>
      <x:c r="B996" s="35" t="str">
        <x:v>Closure</x:v>
      </x:c>
      <x:c r="C996" s="35" t="str">
        <x:v>Round2</x:v>
      </x:c>
      <x:c r="D996" s="35" t="str">
        <x:v>Closure_167</x:v>
      </x:c>
      <x:c r="E996" s="35" t="str">
        <x:v>Line</x:v>
      </x:c>
      <x:c r="F996" s="35"/>
      <x:c r="G996" s="35" t="str">
        <x:v>A</x:v>
      </x:c>
      <x:c r="H996" s="39" t="str">
        <x:f>IF(ISNUMBER('Data'!E996),'Data'!E996*100,"")</x:f>
      </x:c>
      <x:c r="I996" s="35"/>
      <x:c r="J996" s="35" t="str">
        <x:v>PASS</x:v>
      </x:c>
      <x:c r="K996" s="35" t="str">
        <x:v>FAIL</x:v>
      </x:c>
      <x:c r="L996" s="35" t="str">
        <x:v>NOT_RUN</x:v>
      </x:c>
      <x:c r="M996" s="35" t="str">
        <x:v>coverage unavailable or execution/compile failed</x:v>
      </x:c>
      <x:c r="N996" s="35" t="str">
        <x:v>Deepseek-flash-v4/Result2/Closure_167/result.json</x:v>
      </x:c>
      <x:c r="O996" s="39" t="str">
        <x:f>IF(AND(G996="RECORDED",ISNUMBER(H996)),H996,"")</x:f>
      </x:c>
      <x:c r="P996" s="35" t="str">
        <x:v>NOT_AVAILABLE</x:v>
      </x:c>
      <x:c r="Q996" s="35" t="str">
        <x:v>Deepseek-flash-v4/Result2/Closure_167/result.json</x:v>
      </x:c>
    </x:row>
    <x:row r="997">
      <x:c r="A997" s="35" t="str">
        <x:v>deepseek</x:v>
      </x:c>
      <x:c r="B997" s="35" t="str">
        <x:v>Closure</x:v>
      </x:c>
      <x:c r="C997" s="35" t="str">
        <x:v>Round2</x:v>
      </x:c>
      <x:c r="D997" s="35" t="str">
        <x:v>Closure_168</x:v>
      </x:c>
      <x:c r="E997" s="35" t="str">
        <x:v>Line</x:v>
      </x:c>
      <x:c r="F997" s="35"/>
      <x:c r="G997" s="35" t="str">
        <x:v>A</x:v>
      </x:c>
      <x:c r="H997" s="39" t="str">
        <x:f>IF(ISNUMBER('Data'!E997),'Data'!E997*100,"")</x:f>
      </x:c>
      <x:c r="I997" s="35"/>
      <x:c r="J997" s="35" t="str">
        <x:v>PASS</x:v>
      </x:c>
      <x:c r="K997" s="35" t="str">
        <x:v>FAIL</x:v>
      </x:c>
      <x:c r="L997" s="35" t="str">
        <x:v>NOT_RUN</x:v>
      </x:c>
      <x:c r="M997" s="35" t="str">
        <x:v>coverage unavailable or execution/compile failed</x:v>
      </x:c>
      <x:c r="N997" s="35" t="str">
        <x:v>Deepseek-flash-v4/Result2/Closure_168/result.json</x:v>
      </x:c>
      <x:c r="O997" s="39" t="str">
        <x:f>IF(AND(G997="RECORDED",ISNUMBER(H997)),H997,"")</x:f>
      </x:c>
      <x:c r="P997" s="35" t="str">
        <x:v>NOT_AVAILABLE</x:v>
      </x:c>
      <x:c r="Q997" s="35" t="str">
        <x:v>Deepseek-flash-v4/Result2/Closure_168/result.json</x:v>
      </x:c>
    </x:row>
    <x:row r="998">
      <x:c r="A998" s="35" t="str">
        <x:v>deepseek</x:v>
      </x:c>
      <x:c r="B998" s="35" t="str">
        <x:v>Closure</x:v>
      </x:c>
      <x:c r="C998" s="35" t="str">
        <x:v>Round2</x:v>
      </x:c>
      <x:c r="D998" s="35" t="str">
        <x:v>Closure_169</x:v>
      </x:c>
      <x:c r="E998" s="35" t="str">
        <x:v>Line</x:v>
      </x:c>
      <x:c r="F998" s="35"/>
      <x:c r="G998" s="35" t="str">
        <x:v>A</x:v>
      </x:c>
      <x:c r="H998" s="39" t="str">
        <x:f>IF(ISNUMBER('Data'!E998),'Data'!E998*100,"")</x:f>
      </x:c>
      <x:c r="I998" s="35"/>
      <x:c r="J998" s="35" t="str">
        <x:v>PASS</x:v>
      </x:c>
      <x:c r="K998" s="35" t="str">
        <x:v>FAIL</x:v>
      </x:c>
      <x:c r="L998" s="35" t="str">
        <x:v>NOT_RUN</x:v>
      </x:c>
      <x:c r="M998" s="35" t="str">
        <x:v>coverage unavailable or execution/compile failed</x:v>
      </x:c>
      <x:c r="N998" s="35" t="str">
        <x:v>Deepseek-flash-v4/Result2/Closure_169/result.json</x:v>
      </x:c>
      <x:c r="O998" s="39" t="str">
        <x:f>IF(AND(G998="RECORDED",ISNUMBER(H998)),H998,"")</x:f>
      </x:c>
      <x:c r="P998" s="35" t="str">
        <x:v>NOT_AVAILABLE</x:v>
      </x:c>
      <x:c r="Q998" s="35" t="str">
        <x:v>Deepseek-flash-v4/Result2/Closure_169/result.json</x:v>
      </x:c>
    </x:row>
    <x:row r="999">
      <x:c r="A999" s="35" t="str">
        <x:v>deepseek</x:v>
      </x:c>
      <x:c r="B999" s="35" t="str">
        <x:v>Closure</x:v>
      </x:c>
      <x:c r="C999" s="35" t="str">
        <x:v>Round2</x:v>
      </x:c>
      <x:c r="D999" s="35" t="str">
        <x:v>Closure_17</x:v>
      </x:c>
      <x:c r="E999" s="35" t="str">
        <x:v>Line</x:v>
      </x:c>
      <x:c r="F999" s="35"/>
      <x:c r="G999" s="35" t="str">
        <x:v>A</x:v>
      </x:c>
      <x:c r="H999" s="39" t="str">
        <x:f>IF(ISNUMBER('Data'!E999),'Data'!E999*100,"")</x:f>
      </x:c>
      <x:c r="I999" s="35"/>
      <x:c r="J999" s="35" t="str">
        <x:v>PASS</x:v>
      </x:c>
      <x:c r="K999" s="35" t="str">
        <x:v>FAIL</x:v>
      </x:c>
      <x:c r="L999" s="35" t="str">
        <x:v>NOT_RUN</x:v>
      </x:c>
      <x:c r="M999" s="35" t="str">
        <x:v>coverage unavailable or execution/compile failed</x:v>
      </x:c>
      <x:c r="N999" s="35" t="str">
        <x:v>Deepseek-flash-v4/Result2/Closure_17/result.json</x:v>
      </x:c>
      <x:c r="O999" s="39" t="str">
        <x:f>IF(AND(G999="RECORDED",ISNUMBER(H999)),H999,"")</x:f>
      </x:c>
      <x:c r="P999" s="35" t="str">
        <x:v>NOT_AVAILABLE</x:v>
      </x:c>
      <x:c r="Q999" s="35" t="str">
        <x:v>Deepseek-flash-v4/Result2/Closure_17/result.json</x:v>
      </x:c>
    </x:row>
    <x:row r="1000">
      <x:c r="A1000" s="35" t="str">
        <x:v>deepseek</x:v>
      </x:c>
      <x:c r="B1000" s="35" t="str">
        <x:v>Closure</x:v>
      </x:c>
      <x:c r="C1000" s="35" t="str">
        <x:v>Round2</x:v>
      </x:c>
      <x:c r="D1000" s="35" t="str">
        <x:v>Closure_170</x:v>
      </x:c>
      <x:c r="E1000" s="35" t="str">
        <x:v>Line</x:v>
      </x:c>
      <x:c r="F1000" s="35" t="n">
        <x:v>179</x:v>
      </x:c>
      <x:c r="G1000" s="35" t="str">
        <x:v>RECORDED</x:v>
      </x:c>
      <x:c r="H1000" s="39" t="n">
        <x:f>IF(ISNUMBER('Data'!E1000),'Data'!E1000*100,"")</x:f>
        <x:v>3.91</x:v>
      </x:c>
      <x:c r="I1000" s="35" t="str">
        <x:v>PASS</x:v>
      </x:c>
      <x:c r="J1000" s="35" t="str">
        <x:v>PASS</x:v>
      </x:c>
      <x:c r="K1000" s="35" t="str">
        <x:v>PASS</x:v>
      </x:c>
      <x:c r="L1000" s="35" t="str">
        <x:v>FAIL</x:v>
      </x:c>
      <x:c r="M1000" s="35" t="str">
        <x:v>numeric coverage for applicable metric</x:v>
      </x:c>
      <x:c r="N1000" s="35" t="str">
        <x:v>Deepseek-flash-v4/Result2/Closure_170/result.json</x:v>
      </x:c>
      <x:c r="O1000" s="39" t="n">
        <x:f>IF(AND(G1000="RECORDED",ISNUMBER(H1000)),H1000,"")</x:f>
        <x:v>3.91</x:v>
      </x:c>
      <x:c r="P1000" s="35" t="str">
        <x:v>INCONCLUSIVE</x:v>
      </x:c>
      <x:c r="Q1000" s="35" t="str">
        <x:v>Deepseek-flash-v4/Result2/Closure_170/result.json</x:v>
      </x:c>
    </x:row>
    <x:row r="1001">
      <x:c r="A1001" s="35" t="str">
        <x:v>deepseek</x:v>
      </x:c>
      <x:c r="B1001" s="35" t="str">
        <x:v>Closure</x:v>
      </x:c>
      <x:c r="C1001" s="35" t="str">
        <x:v>Round2</x:v>
      </x:c>
      <x:c r="D1001" s="35" t="str">
        <x:v>Closure_171</x:v>
      </x:c>
      <x:c r="E1001" s="35" t="str">
        <x:v>Line</x:v>
      </x:c>
      <x:c r="F1001" s="35"/>
      <x:c r="G1001" s="35" t="str">
        <x:v>A</x:v>
      </x:c>
      <x:c r="H1001" s="39" t="str">
        <x:f>IF(ISNUMBER('Data'!E1001),'Data'!E1001*100,"")</x:f>
      </x:c>
      <x:c r="I1001" s="35"/>
      <x:c r="J1001" s="35" t="str">
        <x:v>PASS</x:v>
      </x:c>
      <x:c r="K1001" s="35" t="str">
        <x:v>FAIL</x:v>
      </x:c>
      <x:c r="L1001" s="35" t="str">
        <x:v>NOT_RUN</x:v>
      </x:c>
      <x:c r="M1001" s="35" t="str">
        <x:v>coverage unavailable or execution/compile failed</x:v>
      </x:c>
      <x:c r="N1001" s="35" t="str">
        <x:v>Deepseek-flash-v4/Result2/Closure_171/result.json</x:v>
      </x:c>
      <x:c r="O1001" s="39" t="str">
        <x:f>IF(AND(G1001="RECORDED",ISNUMBER(H1001)),H1001,"")</x:f>
      </x:c>
      <x:c r="P1001" s="35" t="str">
        <x:v>NOT_AVAILABLE</x:v>
      </x:c>
      <x:c r="Q1001" s="35" t="str">
        <x:v>Deepseek-flash-v4/Result2/Closure_171/result.json</x:v>
      </x:c>
    </x:row>
    <x:row r="1002">
      <x:c r="A1002" s="35" t="str">
        <x:v>deepseek</x:v>
      </x:c>
      <x:c r="B1002" s="35" t="str">
        <x:v>Closure</x:v>
      </x:c>
      <x:c r="C1002" s="35" t="str">
        <x:v>Round2</x:v>
      </x:c>
      <x:c r="D1002" s="35" t="str">
        <x:v>Closure_172</x:v>
      </x:c>
      <x:c r="E1002" s="35" t="str">
        <x:v>Line</x:v>
      </x:c>
      <x:c r="F1002" s="35" t="n">
        <x:v>947</x:v>
      </x:c>
      <x:c r="G1002" s="35" t="str">
        <x:v>RECORDED</x:v>
      </x:c>
      <x:c r="H1002" s="39" t="n">
        <x:f>IF(ISNUMBER('Data'!E1002),'Data'!E1002*100,"")</x:f>
        <x:v>0</x:v>
      </x:c>
      <x:c r="I1002" s="35" t="str">
        <x:v>PASS</x:v>
      </x:c>
      <x:c r="J1002" s="35" t="str">
        <x:v>PASS</x:v>
      </x:c>
      <x:c r="K1002" s="35" t="str">
        <x:v>PASS</x:v>
      </x:c>
      <x:c r="L1002" s="35" t="str">
        <x:v>FAIL</x:v>
      </x:c>
      <x:c r="M1002" s="35" t="str">
        <x:v>numeric coverage for applicable metric</x:v>
      </x:c>
      <x:c r="N1002" s="35" t="str">
        <x:v>Deepseek-flash-v4/Result2/Closure_172/result.json</x:v>
      </x:c>
      <x:c r="O1002" s="39" t="n">
        <x:f>IF(AND(G1002="RECORDED",ISNUMBER(H1002)),H1002,"")</x:f>
        <x:v>0</x:v>
      </x:c>
      <x:c r="P1002" s="35" t="str">
        <x:v>INCONCLUSIVE</x:v>
      </x:c>
      <x:c r="Q1002" s="35" t="str">
        <x:v>Deepseek-flash-v4/Result2/Closure_172/result.json</x:v>
      </x:c>
    </x:row>
    <x:row r="1003">
      <x:c r="A1003" s="35" t="str">
        <x:v>deepseek</x:v>
      </x:c>
      <x:c r="B1003" s="35" t="str">
        <x:v>Closure</x:v>
      </x:c>
      <x:c r="C1003" s="35" t="str">
        <x:v>Round2</x:v>
      </x:c>
      <x:c r="D1003" s="35" t="str">
        <x:v>Closure_173</x:v>
      </x:c>
      <x:c r="E1003" s="35" t="str">
        <x:v>Line</x:v>
      </x:c>
      <x:c r="F1003" s="35" t="n">
        <x:v>915</x:v>
      </x:c>
      <x:c r="G1003" s="35" t="str">
        <x:v>RECORDED</x:v>
      </x:c>
      <x:c r="H1003" s="39" t="n">
        <x:f>IF(ISNUMBER('Data'!E1003),'Data'!E1003*100,"")</x:f>
        <x:v>8.31</x:v>
      </x:c>
      <x:c r="I1003" s="35" t="str">
        <x:v>PASS</x:v>
      </x:c>
      <x:c r="J1003" s="35" t="str">
        <x:v>PASS</x:v>
      </x:c>
      <x:c r="K1003" s="35" t="str">
        <x:v>PASS</x:v>
      </x:c>
      <x:c r="L1003" s="35" t="str">
        <x:v>FAIL</x:v>
      </x:c>
      <x:c r="M1003" s="35" t="str">
        <x:v>numeric coverage for applicable metric</x:v>
      </x:c>
      <x:c r="N1003" s="35" t="str">
        <x:v>Deepseek-flash-v4/Result2/Closure_173/result.json</x:v>
      </x:c>
      <x:c r="O1003" s="39" t="n">
        <x:f>IF(AND(G1003="RECORDED",ISNUMBER(H1003)),H1003,"")</x:f>
        <x:v>8.31</x:v>
      </x:c>
      <x:c r="P1003" s="35" t="str">
        <x:v>INCONCLUSIVE</x:v>
      </x:c>
      <x:c r="Q1003" s="35" t="str">
        <x:v>Deepseek-flash-v4/Result2/Closure_173/result.json</x:v>
      </x:c>
    </x:row>
    <x:row r="1004">
      <x:c r="A1004" s="35" t="str">
        <x:v>deepseek</x:v>
      </x:c>
      <x:c r="B1004" s="35" t="str">
        <x:v>Closure</x:v>
      </x:c>
      <x:c r="C1004" s="35" t="str">
        <x:v>Round2</x:v>
      </x:c>
      <x:c r="D1004" s="35" t="str">
        <x:v>Closure_174</x:v>
      </x:c>
      <x:c r="E1004" s="35" t="str">
        <x:v>Line</x:v>
      </x:c>
      <x:c r="F1004" s="35"/>
      <x:c r="G1004" s="35" t="str">
        <x:v>A</x:v>
      </x:c>
      <x:c r="H1004" s="39" t="str">
        <x:f>IF(ISNUMBER('Data'!E1004),'Data'!E1004*100,"")</x:f>
      </x:c>
      <x:c r="I1004" s="35"/>
      <x:c r="J1004" s="35" t="str">
        <x:v>PASS</x:v>
      </x:c>
      <x:c r="K1004" s="35" t="str">
        <x:v>FAIL</x:v>
      </x:c>
      <x:c r="L1004" s="35" t="str">
        <x:v>NOT_RUN</x:v>
      </x:c>
      <x:c r="M1004" s="35" t="str">
        <x:v>coverage unavailable or execution/compile failed</x:v>
      </x:c>
      <x:c r="N1004" s="35" t="str">
        <x:v>Deepseek-flash-v4/Result2/Closure_174/result.json</x:v>
      </x:c>
      <x:c r="O1004" s="39" t="str">
        <x:f>IF(AND(G1004="RECORDED",ISNUMBER(H1004)),H1004,"")</x:f>
      </x:c>
      <x:c r="P1004" s="35" t="str">
        <x:v>NOT_AVAILABLE</x:v>
      </x:c>
      <x:c r="Q1004" s="35" t="str">
        <x:v>Deepseek-flash-v4/Result2/Closure_174/result.json</x:v>
      </x:c>
    </x:row>
    <x:row r="1005">
      <x:c r="A1005" s="35" t="str">
        <x:v>deepseek</x:v>
      </x:c>
      <x:c r="B1005" s="35" t="str">
        <x:v>Closure</x:v>
      </x:c>
      <x:c r="C1005" s="35" t="str">
        <x:v>Round2</x:v>
      </x:c>
      <x:c r="D1005" s="35" t="str">
        <x:v>Closure_175</x:v>
      </x:c>
      <x:c r="E1005" s="35" t="str">
        <x:v>Line</x:v>
      </x:c>
      <x:c r="F1005" s="35"/>
      <x:c r="G1005" s="35" t="str">
        <x:v>A</x:v>
      </x:c>
      <x:c r="H1005" s="39" t="str">
        <x:f>IF(ISNUMBER('Data'!E1005),'Data'!E1005*100,"")</x:f>
      </x:c>
      <x:c r="I1005" s="35"/>
      <x:c r="J1005" s="35" t="str">
        <x:v>PASS</x:v>
      </x:c>
      <x:c r="K1005" s="35" t="str">
        <x:v>FAIL</x:v>
      </x:c>
      <x:c r="L1005" s="35" t="str">
        <x:v>NOT_RUN</x:v>
      </x:c>
      <x:c r="M1005" s="35" t="str">
        <x:v>coverage unavailable or execution/compile failed</x:v>
      </x:c>
      <x:c r="N1005" s="35" t="str">
        <x:v>Deepseek-flash-v4/Result2/Closure_175/result.json</x:v>
      </x:c>
      <x:c r="O1005" s="39" t="str">
        <x:f>IF(AND(G1005="RECORDED",ISNUMBER(H1005)),H1005,"")</x:f>
      </x:c>
      <x:c r="P1005" s="35" t="str">
        <x:v>NOT_AVAILABLE</x:v>
      </x:c>
      <x:c r="Q1005" s="35" t="str">
        <x:v>Deepseek-flash-v4/Result2/Closure_175/result.json</x:v>
      </x:c>
    </x:row>
    <x:row r="1006">
      <x:c r="A1006" s="35" t="str">
        <x:v>deepseek</x:v>
      </x:c>
      <x:c r="B1006" s="35" t="str">
        <x:v>Closure</x:v>
      </x:c>
      <x:c r="C1006" s="35" t="str">
        <x:v>Round2</x:v>
      </x:c>
      <x:c r="D1006" s="35" t="str">
        <x:v>Closure_176</x:v>
      </x:c>
      <x:c r="E1006" s="35" t="str">
        <x:v>Line</x:v>
      </x:c>
      <x:c r="F1006" s="35"/>
      <x:c r="G1006" s="35" t="str">
        <x:v>A</x:v>
      </x:c>
      <x:c r="H1006" s="39" t="str">
        <x:f>IF(ISNUMBER('Data'!E1006),'Data'!E1006*100,"")</x:f>
      </x:c>
      <x:c r="I1006" s="35"/>
      <x:c r="J1006" s="35" t="str">
        <x:v>PASS</x:v>
      </x:c>
      <x:c r="K1006" s="35" t="str">
        <x:v>FAIL</x:v>
      </x:c>
      <x:c r="L1006" s="35" t="str">
        <x:v>NOT_RUN</x:v>
      </x:c>
      <x:c r="M1006" s="35" t="str">
        <x:v>coverage unavailable or execution/compile failed</x:v>
      </x:c>
      <x:c r="N1006" s="35" t="str">
        <x:v>Deepseek-flash-v4/Result2/Closure_176/result.json</x:v>
      </x:c>
      <x:c r="O1006" s="39" t="str">
        <x:f>IF(AND(G1006="RECORDED",ISNUMBER(H1006)),H1006,"")</x:f>
      </x:c>
      <x:c r="P1006" s="35" t="str">
        <x:v>NOT_AVAILABLE</x:v>
      </x:c>
      <x:c r="Q1006" s="35" t="str">
        <x:v>Deepseek-flash-v4/Result2/Closure_176/result.json</x:v>
      </x:c>
    </x:row>
    <x:row r="1007">
      <x:c r="A1007" s="35" t="str">
        <x:v>deepseek</x:v>
      </x:c>
      <x:c r="B1007" s="35" t="str">
        <x:v>Closure</x:v>
      </x:c>
      <x:c r="C1007" s="35" t="str">
        <x:v>Round2</x:v>
      </x:c>
      <x:c r="D1007" s="35" t="str">
        <x:v>Closure_18</x:v>
      </x:c>
      <x:c r="E1007" s="35" t="str">
        <x:v>Line</x:v>
      </x:c>
      <x:c r="F1007" s="35"/>
      <x:c r="G1007" s="35" t="str">
        <x:v>A</x:v>
      </x:c>
      <x:c r="H1007" s="39" t="str">
        <x:f>IF(ISNUMBER('Data'!E1007),'Data'!E1007*100,"")</x:f>
      </x:c>
      <x:c r="I1007" s="35"/>
      <x:c r="J1007" s="35" t="str">
        <x:v>PASS</x:v>
      </x:c>
      <x:c r="K1007" s="35" t="str">
        <x:v>FAIL</x:v>
      </x:c>
      <x:c r="L1007" s="35" t="str">
        <x:v>NOT_RUN</x:v>
      </x:c>
      <x:c r="M1007" s="35" t="str">
        <x:v>coverage unavailable or execution/compile failed</x:v>
      </x:c>
      <x:c r="N1007" s="35" t="str">
        <x:v>Deepseek-flash-v4/Result2/Closure_18/result.json</x:v>
      </x:c>
      <x:c r="O1007" s="39" t="str">
        <x:f>IF(AND(G1007="RECORDED",ISNUMBER(H1007)),H1007,"")</x:f>
      </x:c>
      <x:c r="P1007" s="35" t="str">
        <x:v>NOT_AVAILABLE</x:v>
      </x:c>
      <x:c r="Q1007" s="35" t="str">
        <x:v>Deepseek-flash-v4/Result2/Closure_18/result.json</x:v>
      </x:c>
    </x:row>
    <x:row r="1008">
      <x:c r="A1008" s="35" t="str">
        <x:v>deepseek</x:v>
      </x:c>
      <x:c r="B1008" s="35" t="str">
        <x:v>Closure</x:v>
      </x:c>
      <x:c r="C1008" s="35" t="str">
        <x:v>Round2</x:v>
      </x:c>
      <x:c r="D1008" s="35" t="str">
        <x:v>Closure_19</x:v>
      </x:c>
      <x:c r="E1008" s="35" t="str">
        <x:v>Line</x:v>
      </x:c>
      <x:c r="F1008" s="35"/>
      <x:c r="G1008" s="35" t="str">
        <x:v>A</x:v>
      </x:c>
      <x:c r="H1008" s="39" t="str">
        <x:f>IF(ISNUMBER('Data'!E1008),'Data'!E1008*100,"")</x:f>
      </x:c>
      <x:c r="I1008" s="35"/>
      <x:c r="J1008" s="35" t="str">
        <x:v>PASS</x:v>
      </x:c>
      <x:c r="K1008" s="35" t="str">
        <x:v>FAIL</x:v>
      </x:c>
      <x:c r="L1008" s="35" t="str">
        <x:v>NOT_RUN</x:v>
      </x:c>
      <x:c r="M1008" s="35" t="str">
        <x:v>coverage unavailable or execution/compile failed</x:v>
      </x:c>
      <x:c r="N1008" s="35" t="str">
        <x:v>Deepseek-flash-v4/Result2/Closure_19/result.json</x:v>
      </x:c>
      <x:c r="O1008" s="39" t="str">
        <x:f>IF(AND(G1008="RECORDED",ISNUMBER(H1008)),H1008,"")</x:f>
      </x:c>
      <x:c r="P1008" s="35" t="str">
        <x:v>NOT_AVAILABLE</x:v>
      </x:c>
      <x:c r="Q1008" s="35" t="str">
        <x:v>Deepseek-flash-v4/Result2/Closure_19/result.json</x:v>
      </x:c>
    </x:row>
    <x:row r="1009">
      <x:c r="A1009" s="35" t="str">
        <x:v>deepseek</x:v>
      </x:c>
      <x:c r="B1009" s="35" t="str">
        <x:v>Closure</x:v>
      </x:c>
      <x:c r="C1009" s="35" t="str">
        <x:v>Round2</x:v>
      </x:c>
      <x:c r="D1009" s="35" t="str">
        <x:v>Closure_2</x:v>
      </x:c>
      <x:c r="E1009" s="35" t="str">
        <x:v>Line</x:v>
      </x:c>
      <x:c r="F1009" s="35"/>
      <x:c r="G1009" s="35" t="str">
        <x:v>A</x:v>
      </x:c>
      <x:c r="H1009" s="39" t="str">
        <x:f>IF(ISNUMBER('Data'!E1009),'Data'!E1009*100,"")</x:f>
      </x:c>
      <x:c r="I1009" s="35"/>
      <x:c r="J1009" s="35" t="str">
        <x:v>PASS</x:v>
      </x:c>
      <x:c r="K1009" s="35" t="str">
        <x:v>FAIL</x:v>
      </x:c>
      <x:c r="L1009" s="35" t="str">
        <x:v>NOT_RUN</x:v>
      </x:c>
      <x:c r="M1009" s="35" t="str">
        <x:v>coverage unavailable or execution/compile failed</x:v>
      </x:c>
      <x:c r="N1009" s="35" t="str">
        <x:v>Deepseek-flash-v4/Result2/Closure_2/result.json</x:v>
      </x:c>
      <x:c r="O1009" s="39" t="str">
        <x:f>IF(AND(G1009="RECORDED",ISNUMBER(H1009)),H1009,"")</x:f>
      </x:c>
      <x:c r="P1009" s="35" t="str">
        <x:v>NOT_AVAILABLE</x:v>
      </x:c>
      <x:c r="Q1009" s="35" t="str">
        <x:v>Deepseek-flash-v4/Result2/Closure_2/result.json</x:v>
      </x:c>
    </x:row>
    <x:row r="1010">
      <x:c r="A1010" s="35" t="str">
        <x:v>deepseek</x:v>
      </x:c>
      <x:c r="B1010" s="35" t="str">
        <x:v>Closure</x:v>
      </x:c>
      <x:c r="C1010" s="35" t="str">
        <x:v>Round2</x:v>
      </x:c>
      <x:c r="D1010" s="35" t="str">
        <x:v>Closure_20</x:v>
      </x:c>
      <x:c r="E1010" s="35" t="str">
        <x:v>Line</x:v>
      </x:c>
      <x:c r="F1010" s="35" t="n">
        <x:v>754</x:v>
      </x:c>
      <x:c r="G1010" s="35" t="str">
        <x:v>RECORDED</x:v>
      </x:c>
      <x:c r="H1010" s="39" t="n">
        <x:f>IF(ISNUMBER('Data'!E1010),'Data'!E1010*100,"")</x:f>
        <x:v>9.81</x:v>
      </x:c>
      <x:c r="I1010" s="35" t="str">
        <x:v>PASS</x:v>
      </x:c>
      <x:c r="J1010" s="35" t="str">
        <x:v>PASS</x:v>
      </x:c>
      <x:c r="K1010" s="35" t="str">
        <x:v>PASS</x:v>
      </x:c>
      <x:c r="L1010" s="35" t="str">
        <x:v>FAIL</x:v>
      </x:c>
      <x:c r="M1010" s="35" t="str">
        <x:v>numeric coverage for applicable metric</x:v>
      </x:c>
      <x:c r="N1010" s="35" t="str">
        <x:v>Deepseek-flash-v4/Result2/Closure_20/result.json</x:v>
      </x:c>
      <x:c r="O1010" s="39" t="n">
        <x:f>IF(AND(G1010="RECORDED",ISNUMBER(H1010)),H1010,"")</x:f>
        <x:v>9.81</x:v>
      </x:c>
      <x:c r="P1010" s="35" t="str">
        <x:v>INCONCLUSIVE</x:v>
      </x:c>
      <x:c r="Q1010" s="35" t="str">
        <x:v>Deepseek-flash-v4/Result2/Closure_20/result.json</x:v>
      </x:c>
    </x:row>
    <x:row r="1011">
      <x:c r="A1011" s="35" t="str">
        <x:v>deepseek</x:v>
      </x:c>
      <x:c r="B1011" s="35" t="str">
        <x:v>Closure</x:v>
      </x:c>
      <x:c r="C1011" s="35" t="str">
        <x:v>Round2</x:v>
      </x:c>
      <x:c r="D1011" s="35" t="str">
        <x:v>Closure_21</x:v>
      </x:c>
      <x:c r="E1011" s="35" t="str">
        <x:v>Line</x:v>
      </x:c>
      <x:c r="F1011" s="35"/>
      <x:c r="G1011" s="35" t="str">
        <x:v>A</x:v>
      </x:c>
      <x:c r="H1011" s="39" t="str">
        <x:f>IF(ISNUMBER('Data'!E1011),'Data'!E1011*100,"")</x:f>
      </x:c>
      <x:c r="I1011" s="35"/>
      <x:c r="J1011" s="35" t="str">
        <x:v>PASS</x:v>
      </x:c>
      <x:c r="K1011" s="35" t="str">
        <x:v>FAIL</x:v>
      </x:c>
      <x:c r="L1011" s="35" t="str">
        <x:v>NOT_RUN</x:v>
      </x:c>
      <x:c r="M1011" s="35" t="str">
        <x:v>coverage unavailable or execution/compile failed</x:v>
      </x:c>
      <x:c r="N1011" s="35" t="str">
        <x:v>Deepseek-flash-v4/Result2/Closure_21/result.json</x:v>
      </x:c>
      <x:c r="O1011" s="39" t="str">
        <x:f>IF(AND(G1011="RECORDED",ISNUMBER(H1011)),H1011,"")</x:f>
      </x:c>
      <x:c r="P1011" s="35" t="str">
        <x:v>NOT_AVAILABLE</x:v>
      </x:c>
      <x:c r="Q1011" s="35" t="str">
        <x:v>Deepseek-flash-v4/Result2/Closure_21/result.json</x:v>
      </x:c>
    </x:row>
    <x:row r="1012">
      <x:c r="A1012" s="35" t="str">
        <x:v>deepseek</x:v>
      </x:c>
      <x:c r="B1012" s="35" t="str">
        <x:v>Closure</x:v>
      </x:c>
      <x:c r="C1012" s="35" t="str">
        <x:v>Round2</x:v>
      </x:c>
      <x:c r="D1012" s="35" t="str">
        <x:v>Closure_22</x:v>
      </x:c>
      <x:c r="E1012" s="35" t="str">
        <x:v>Line</x:v>
      </x:c>
      <x:c r="F1012" s="35"/>
      <x:c r="G1012" s="35" t="str">
        <x:v>A</x:v>
      </x:c>
      <x:c r="H1012" s="39" t="str">
        <x:f>IF(ISNUMBER('Data'!E1012),'Data'!E1012*100,"")</x:f>
      </x:c>
      <x:c r="I1012" s="35"/>
      <x:c r="J1012" s="35" t="str">
        <x:v>PASS</x:v>
      </x:c>
      <x:c r="K1012" s="35" t="str">
        <x:v>FAIL</x:v>
      </x:c>
      <x:c r="L1012" s="35" t="str">
        <x:v>NOT_RUN</x:v>
      </x:c>
      <x:c r="M1012" s="35" t="str">
        <x:v>coverage unavailable or execution/compile failed</x:v>
      </x:c>
      <x:c r="N1012" s="35" t="str">
        <x:v>Deepseek-flash-v4/Result2/Closure_22/result.json</x:v>
      </x:c>
      <x:c r="O1012" s="39" t="str">
        <x:f>IF(AND(G1012="RECORDED",ISNUMBER(H1012)),H1012,"")</x:f>
      </x:c>
      <x:c r="P1012" s="35" t="str">
        <x:v>NOT_AVAILABLE</x:v>
      </x:c>
      <x:c r="Q1012" s="35" t="str">
        <x:v>Deepseek-flash-v4/Result2/Closure_22/result.json</x:v>
      </x:c>
    </x:row>
    <x:row r="1013">
      <x:c r="A1013" s="35" t="str">
        <x:v>deepseek</x:v>
      </x:c>
      <x:c r="B1013" s="35" t="str">
        <x:v>Closure</x:v>
      </x:c>
      <x:c r="C1013" s="35" t="str">
        <x:v>Round2</x:v>
      </x:c>
      <x:c r="D1013" s="35" t="str">
        <x:v>Closure_23</x:v>
      </x:c>
      <x:c r="E1013" s="35" t="str">
        <x:v>Line</x:v>
      </x:c>
      <x:c r="F1013" s="35"/>
      <x:c r="G1013" s="35" t="str">
        <x:v>A</x:v>
      </x:c>
      <x:c r="H1013" s="39" t="str">
        <x:f>IF(ISNUMBER('Data'!E1013),'Data'!E1013*100,"")</x:f>
      </x:c>
      <x:c r="I1013" s="35"/>
      <x:c r="J1013" s="35" t="str">
        <x:v>PASS</x:v>
      </x:c>
      <x:c r="K1013" s="35" t="str">
        <x:v>FAIL</x:v>
      </x:c>
      <x:c r="L1013" s="35" t="str">
        <x:v>NOT_RUN</x:v>
      </x:c>
      <x:c r="M1013" s="35" t="str">
        <x:v>coverage unavailable or execution/compile failed</x:v>
      </x:c>
      <x:c r="N1013" s="35" t="str">
        <x:v>Deepseek-flash-v4/Result2/Closure_23/result.json</x:v>
      </x:c>
      <x:c r="O1013" s="39" t="str">
        <x:f>IF(AND(G1013="RECORDED",ISNUMBER(H1013)),H1013,"")</x:f>
      </x:c>
      <x:c r="P1013" s="35" t="str">
        <x:v>NOT_AVAILABLE</x:v>
      </x:c>
      <x:c r="Q1013" s="35" t="str">
        <x:v>Deepseek-flash-v4/Result2/Closure_23/result.json</x:v>
      </x:c>
    </x:row>
    <x:row r="1014">
      <x:c r="A1014" s="35" t="str">
        <x:v>deepseek</x:v>
      </x:c>
      <x:c r="B1014" s="35" t="str">
        <x:v>Closure</x:v>
      </x:c>
      <x:c r="C1014" s="35" t="str">
        <x:v>Round2</x:v>
      </x:c>
      <x:c r="D1014" s="35" t="str">
        <x:v>Closure_24</x:v>
      </x:c>
      <x:c r="E1014" s="35" t="str">
        <x:v>Line</x:v>
      </x:c>
      <x:c r="F1014" s="35"/>
      <x:c r="G1014" s="35" t="str">
        <x:v>A</x:v>
      </x:c>
      <x:c r="H1014" s="39" t="str">
        <x:f>IF(ISNUMBER('Data'!E1014),'Data'!E1014*100,"")</x:f>
      </x:c>
      <x:c r="I1014" s="35"/>
      <x:c r="J1014" s="35" t="str">
        <x:v>PASS</x:v>
      </x:c>
      <x:c r="K1014" s="35" t="str">
        <x:v>FAIL</x:v>
      </x:c>
      <x:c r="L1014" s="35" t="str">
        <x:v>NOT_RUN</x:v>
      </x:c>
      <x:c r="M1014" s="35" t="str">
        <x:v>coverage unavailable or execution/compile failed</x:v>
      </x:c>
      <x:c r="N1014" s="35" t="str">
        <x:v>Deepseek-flash-v4/Result2/Closure_24/result.json</x:v>
      </x:c>
      <x:c r="O1014" s="39" t="str">
        <x:f>IF(AND(G1014="RECORDED",ISNUMBER(H1014)),H1014,"")</x:f>
      </x:c>
      <x:c r="P1014" s="35" t="str">
        <x:v>NOT_AVAILABLE</x:v>
      </x:c>
      <x:c r="Q1014" s="35" t="str">
        <x:v>Deepseek-flash-v4/Result2/Closure_24/result.json</x:v>
      </x:c>
    </x:row>
    <x:row r="1015">
      <x:c r="A1015" s="35" t="str">
        <x:v>deepseek</x:v>
      </x:c>
      <x:c r="B1015" s="35" t="str">
        <x:v>Closure</x:v>
      </x:c>
      <x:c r="C1015" s="35" t="str">
        <x:v>Round2</x:v>
      </x:c>
      <x:c r="D1015" s="35" t="str">
        <x:v>Closure_25</x:v>
      </x:c>
      <x:c r="E1015" s="35" t="str">
        <x:v>Line</x:v>
      </x:c>
      <x:c r="F1015" s="35"/>
      <x:c r="G1015" s="35" t="str">
        <x:v>A</x:v>
      </x:c>
      <x:c r="H1015" s="39" t="str">
        <x:f>IF(ISNUMBER('Data'!E1015),'Data'!E1015*100,"")</x:f>
      </x:c>
      <x:c r="I1015" s="35"/>
      <x:c r="J1015" s="35" t="str">
        <x:v>PASS</x:v>
      </x:c>
      <x:c r="K1015" s="35" t="str">
        <x:v>FAIL</x:v>
      </x:c>
      <x:c r="L1015" s="35" t="str">
        <x:v>NOT_RUN</x:v>
      </x:c>
      <x:c r="M1015" s="35" t="str">
        <x:v>coverage unavailable or execution/compile failed</x:v>
      </x:c>
      <x:c r="N1015" s="35" t="str">
        <x:v>Deepseek-flash-v4/Result2/Closure_25/result.json</x:v>
      </x:c>
      <x:c r="O1015" s="39" t="str">
        <x:f>IF(AND(G1015="RECORDED",ISNUMBER(H1015)),H1015,"")</x:f>
      </x:c>
      <x:c r="P1015" s="35" t="str">
        <x:v>NOT_AVAILABLE</x:v>
      </x:c>
      <x:c r="Q1015" s="35" t="str">
        <x:v>Deepseek-flash-v4/Result2/Closure_25/result.json</x:v>
      </x:c>
    </x:row>
    <x:row r="1016">
      <x:c r="A1016" s="35" t="str">
        <x:v>deepseek</x:v>
      </x:c>
      <x:c r="B1016" s="35" t="str">
        <x:v>Closure</x:v>
      </x:c>
      <x:c r="C1016" s="35" t="str">
        <x:v>Round2</x:v>
      </x:c>
      <x:c r="D1016" s="35" t="str">
        <x:v>Closure_26</x:v>
      </x:c>
      <x:c r="E1016" s="35" t="str">
        <x:v>Line</x:v>
      </x:c>
      <x:c r="F1016" s="35" t="n">
        <x:v>106</x:v>
      </x:c>
      <x:c r="G1016" s="35" t="str">
        <x:v>RECORDED</x:v>
      </x:c>
      <x:c r="H1016" s="39" t="n">
        <x:f>IF(ISNUMBER('Data'!E1016),'Data'!E1016*100,"")</x:f>
        <x:v>23.58</x:v>
      </x:c>
      <x:c r="I1016" s="35" t="str">
        <x:v>PASS</x:v>
      </x:c>
      <x:c r="J1016" s="35" t="str">
        <x:v>PASS</x:v>
      </x:c>
      <x:c r="K1016" s="35" t="str">
        <x:v>PASS</x:v>
      </x:c>
      <x:c r="L1016" s="35" t="str">
        <x:v>FAIL</x:v>
      </x:c>
      <x:c r="M1016" s="35" t="str">
        <x:v>numeric coverage for applicable metric</x:v>
      </x:c>
      <x:c r="N1016" s="35" t="str">
        <x:v>Deepseek-flash-v4/Result2/Closure_26/result.json</x:v>
      </x:c>
      <x:c r="O1016" s="39" t="n">
        <x:f>IF(AND(G1016="RECORDED",ISNUMBER(H1016)),H1016,"")</x:f>
        <x:v>23.58</x:v>
      </x:c>
      <x:c r="P1016" s="35" t="str">
        <x:v>INCONCLUSIVE</x:v>
      </x:c>
      <x:c r="Q1016" s="35" t="str">
        <x:v>Deepseek-flash-v4/Result2/Closure_26/result.json</x:v>
      </x:c>
    </x:row>
    <x:row r="1017">
      <x:c r="A1017" s="35" t="str">
        <x:v>deepseek</x:v>
      </x:c>
      <x:c r="B1017" s="35" t="str">
        <x:v>Closure</x:v>
      </x:c>
      <x:c r="C1017" s="35" t="str">
        <x:v>Round2</x:v>
      </x:c>
      <x:c r="D1017" s="35" t="str">
        <x:v>Closure_27</x:v>
      </x:c>
      <x:c r="E1017" s="35" t="str">
        <x:v>Line</x:v>
      </x:c>
      <x:c r="F1017" s="35" t="n">
        <x:v>187</x:v>
      </x:c>
      <x:c r="G1017" s="35" t="str">
        <x:v>RECORDED</x:v>
      </x:c>
      <x:c r="H1017" s="39" t="n">
        <x:f>IF(ISNUMBER('Data'!E1017),'Data'!E1017*100,"")</x:f>
        <x:v>73.26</x:v>
      </x:c>
      <x:c r="I1017" s="35" t="str">
        <x:v>PASS</x:v>
      </x:c>
      <x:c r="J1017" s="35" t="str">
        <x:v>PASS</x:v>
      </x:c>
      <x:c r="K1017" s="35" t="str">
        <x:v>PASS</x:v>
      </x:c>
      <x:c r="L1017" s="35" t="str">
        <x:v>FAIL</x:v>
      </x:c>
      <x:c r="M1017" s="35" t="str">
        <x:v>numeric coverage for applicable metric</x:v>
      </x:c>
      <x:c r="N1017" s="35" t="str">
        <x:v>Deepseek-flash-v4/Result2/Closure_27/result.json</x:v>
      </x:c>
      <x:c r="O1017" s="39" t="n">
        <x:f>IF(AND(G1017="RECORDED",ISNUMBER(H1017)),H1017,"")</x:f>
        <x:v>73.26</x:v>
      </x:c>
      <x:c r="P1017" s="35" t="str">
        <x:v>INCONCLUSIVE</x:v>
      </x:c>
      <x:c r="Q1017" s="35" t="str">
        <x:v>Deepseek-flash-v4/Result2/Closure_27/result.json</x:v>
      </x:c>
    </x:row>
    <x:row r="1018">
      <x:c r="A1018" s="35" t="str">
        <x:v>deepseek</x:v>
      </x:c>
      <x:c r="B1018" s="35" t="str">
        <x:v>Closure</x:v>
      </x:c>
      <x:c r="C1018" s="35" t="str">
        <x:v>Round2</x:v>
      </x:c>
      <x:c r="D1018" s="35" t="str">
        <x:v>Closure_28</x:v>
      </x:c>
      <x:c r="E1018" s="35" t="str">
        <x:v>Line</x:v>
      </x:c>
      <x:c r="F1018" s="35"/>
      <x:c r="G1018" s="35" t="str">
        <x:v>A</x:v>
      </x:c>
      <x:c r="H1018" s="39" t="str">
        <x:f>IF(ISNUMBER('Data'!E1018),'Data'!E1018*100,"")</x:f>
      </x:c>
      <x:c r="I1018" s="35"/>
      <x:c r="J1018" s="35" t="str">
        <x:v>PASS</x:v>
      </x:c>
      <x:c r="K1018" s="35" t="str">
        <x:v>FAIL</x:v>
      </x:c>
      <x:c r="L1018" s="35" t="str">
        <x:v>NOT_RUN</x:v>
      </x:c>
      <x:c r="M1018" s="35" t="str">
        <x:v>coverage unavailable or execution/compile failed</x:v>
      </x:c>
      <x:c r="N1018" s="35" t="str">
        <x:v>Deepseek-flash-v4/Result2/Closure_28/result.json</x:v>
      </x:c>
      <x:c r="O1018" s="39" t="str">
        <x:f>IF(AND(G1018="RECORDED",ISNUMBER(H1018)),H1018,"")</x:f>
      </x:c>
      <x:c r="P1018" s="35" t="str">
        <x:v>NOT_AVAILABLE</x:v>
      </x:c>
      <x:c r="Q1018" s="35" t="str">
        <x:v>Deepseek-flash-v4/Result2/Closure_28/result.json</x:v>
      </x:c>
    </x:row>
    <x:row r="1019">
      <x:c r="A1019" s="35" t="str">
        <x:v>deepseek</x:v>
      </x:c>
      <x:c r="B1019" s="35" t="str">
        <x:v>Closure</x:v>
      </x:c>
      <x:c r="C1019" s="35" t="str">
        <x:v>Round2</x:v>
      </x:c>
      <x:c r="D1019" s="35" t="str">
        <x:v>Closure_29</x:v>
      </x:c>
      <x:c r="E1019" s="35" t="str">
        <x:v>Line</x:v>
      </x:c>
      <x:c r="F1019" s="35" t="n">
        <x:v>174</x:v>
      </x:c>
      <x:c r="G1019" s="35" t="str">
        <x:v>RECORDED</x:v>
      </x:c>
      <x:c r="H1019" s="39" t="n">
        <x:f>IF(ISNUMBER('Data'!E1019),'Data'!E1019*100,"")</x:f>
        <x:v>4.6</x:v>
      </x:c>
      <x:c r="I1019" s="35" t="str">
        <x:v>PASS</x:v>
      </x:c>
      <x:c r="J1019" s="35" t="str">
        <x:v>PASS</x:v>
      </x:c>
      <x:c r="K1019" s="35" t="str">
        <x:v>PASS</x:v>
      </x:c>
      <x:c r="L1019" s="35" t="str">
        <x:v>FAIL</x:v>
      </x:c>
      <x:c r="M1019" s="35" t="str">
        <x:v>numeric coverage for applicable metric</x:v>
      </x:c>
      <x:c r="N1019" s="35" t="str">
        <x:v>Deepseek-flash-v4/Result2/Closure_29/result.json</x:v>
      </x:c>
      <x:c r="O1019" s="39" t="n">
        <x:f>IF(AND(G1019="RECORDED",ISNUMBER(H1019)),H1019,"")</x:f>
        <x:v>4.6</x:v>
      </x:c>
      <x:c r="P1019" s="35" t="str">
        <x:v>INCONCLUSIVE</x:v>
      </x:c>
      <x:c r="Q1019" s="35" t="str">
        <x:v>Deepseek-flash-v4/Result2/Closure_29/result.json</x:v>
      </x:c>
    </x:row>
    <x:row r="1020">
      <x:c r="A1020" s="35" t="str">
        <x:v>deepseek</x:v>
      </x:c>
      <x:c r="B1020" s="35" t="str">
        <x:v>Closure</x:v>
      </x:c>
      <x:c r="C1020" s="35" t="str">
        <x:v>Round2</x:v>
      </x:c>
      <x:c r="D1020" s="35" t="str">
        <x:v>Closure_3</x:v>
      </x:c>
      <x:c r="E1020" s="35" t="str">
        <x:v>Line</x:v>
      </x:c>
      <x:c r="F1020" s="35" t="n">
        <x:v>176</x:v>
      </x:c>
      <x:c r="G1020" s="35" t="str">
        <x:v>RECORDED</x:v>
      </x:c>
      <x:c r="H1020" s="39" t="n">
        <x:f>IF(ISNUMBER('Data'!E1020),'Data'!E1020*100,"")</x:f>
        <x:v>10.23</x:v>
      </x:c>
      <x:c r="I1020" s="35" t="str">
        <x:v>PASS</x:v>
      </x:c>
      <x:c r="J1020" s="35" t="str">
        <x:v>PASS</x:v>
      </x:c>
      <x:c r="K1020" s="35" t="str">
        <x:v>PASS</x:v>
      </x:c>
      <x:c r="L1020" s="35" t="str">
        <x:v>PASS</x:v>
      </x:c>
      <x:c r="M1020" s="35" t="str">
        <x:v>numeric coverage for applicable metric</x:v>
      </x:c>
      <x:c r="N1020" s="35" t="str">
        <x:v>Deepseek-flash-v4/Result2/Closure_3/result.json</x:v>
      </x:c>
      <x:c r="O1020" s="39" t="n">
        <x:f>IF(AND(G1020="RECORDED",ISNUMBER(H1020)),H1020,"")</x:f>
        <x:v>10.23</x:v>
      </x:c>
      <x:c r="P1020" s="35" t="str">
        <x:v>NOT_REVEALING</x:v>
      </x:c>
      <x:c r="Q1020" s="35" t="str">
        <x:v>Deepseek-flash-v4/Result2/Closure_3/result.json</x:v>
      </x:c>
    </x:row>
    <x:row r="1021">
      <x:c r="A1021" s="35" t="str">
        <x:v>deepseek</x:v>
      </x:c>
      <x:c r="B1021" s="35" t="str">
        <x:v>Closure</x:v>
      </x:c>
      <x:c r="C1021" s="35" t="str">
        <x:v>Round2</x:v>
      </x:c>
      <x:c r="D1021" s="35" t="str">
        <x:v>Closure_30</x:v>
      </x:c>
      <x:c r="E1021" s="35" t="str">
        <x:v>Line</x:v>
      </x:c>
      <x:c r="F1021" s="35" t="n">
        <x:v>330</x:v>
      </x:c>
      <x:c r="G1021" s="35" t="str">
        <x:v>RECORDED</x:v>
      </x:c>
      <x:c r="H1021" s="39" t="n">
        <x:f>IF(ISNUMBER('Data'!E1021),'Data'!E1021*100,"")</x:f>
        <x:v>6.97</x:v>
      </x:c>
      <x:c r="I1021" s="35" t="str">
        <x:v>PASS</x:v>
      </x:c>
      <x:c r="J1021" s="35" t="str">
        <x:v>PASS</x:v>
      </x:c>
      <x:c r="K1021" s="35" t="str">
        <x:v>PASS</x:v>
      </x:c>
      <x:c r="L1021" s="35" t="str">
        <x:v>FAIL</x:v>
      </x:c>
      <x:c r="M1021" s="35" t="str">
        <x:v>numeric coverage for applicable metric</x:v>
      </x:c>
      <x:c r="N1021" s="35" t="str">
        <x:v>Deepseek-flash-v4/Result2/Closure_30/result.json</x:v>
      </x:c>
      <x:c r="O1021" s="39" t="n">
        <x:f>IF(AND(G1021="RECORDED",ISNUMBER(H1021)),H1021,"")</x:f>
        <x:v>6.97</x:v>
      </x:c>
      <x:c r="P1021" s="35" t="str">
        <x:v>INCONCLUSIVE</x:v>
      </x:c>
      <x:c r="Q1021" s="35" t="str">
        <x:v>Deepseek-flash-v4/Result2/Closure_30/result.json</x:v>
      </x:c>
    </x:row>
    <x:row r="1022">
      <x:c r="A1022" s="35" t="str">
        <x:v>deepseek</x:v>
      </x:c>
      <x:c r="B1022" s="35" t="str">
        <x:v>Closure</x:v>
      </x:c>
      <x:c r="C1022" s="35" t="str">
        <x:v>Round2</x:v>
      </x:c>
      <x:c r="D1022" s="35" t="str">
        <x:v>Closure_31</x:v>
      </x:c>
      <x:c r="E1022" s="35" t="str">
        <x:v>Line</x:v>
      </x:c>
      <x:c r="F1022" s="35" t="n">
        <x:v>981</x:v>
      </x:c>
      <x:c r="G1022" s="35" t="str">
        <x:v>RECORDED</x:v>
      </x:c>
      <x:c r="H1022" s="39" t="n">
        <x:f>IF(ISNUMBER('Data'!E1022),'Data'!E1022*100,"")</x:f>
        <x:v>41.49</x:v>
      </x:c>
      <x:c r="I1022" s="35" t="str">
        <x:v>PASS</x:v>
      </x:c>
      <x:c r="J1022" s="35" t="str">
        <x:v>PASS</x:v>
      </x:c>
      <x:c r="K1022" s="35" t="str">
        <x:v>PASS</x:v>
      </x:c>
      <x:c r="L1022" s="35" t="str">
        <x:v>FAIL</x:v>
      </x:c>
      <x:c r="M1022" s="35" t="str">
        <x:v>numeric coverage for applicable metric</x:v>
      </x:c>
      <x:c r="N1022" s="35" t="str">
        <x:v>Deepseek-flash-v4/Result2/Closure_31/result.json</x:v>
      </x:c>
      <x:c r="O1022" s="39" t="n">
        <x:f>IF(AND(G1022="RECORDED",ISNUMBER(H1022)),H1022,"")</x:f>
        <x:v>41.49</x:v>
      </x:c>
      <x:c r="P1022" s="35" t="str">
        <x:v>INCONCLUSIVE</x:v>
      </x:c>
      <x:c r="Q1022" s="35" t="str">
        <x:v>Deepseek-flash-v4/Result2/Closure_31/result.json</x:v>
      </x:c>
    </x:row>
    <x:row r="1023">
      <x:c r="A1023" s="35" t="str">
        <x:v>deepseek</x:v>
      </x:c>
      <x:c r="B1023" s="35" t="str">
        <x:v>Closure</x:v>
      </x:c>
      <x:c r="C1023" s="35" t="str">
        <x:v>Round2</x:v>
      </x:c>
      <x:c r="D1023" s="35" t="str">
        <x:v>Closure_32</x:v>
      </x:c>
      <x:c r="E1023" s="35" t="str">
        <x:v>Line</x:v>
      </x:c>
      <x:c r="F1023" s="35"/>
      <x:c r="G1023" s="35" t="str">
        <x:v>A</x:v>
      </x:c>
      <x:c r="H1023" s="39" t="str">
        <x:f>IF(ISNUMBER('Data'!E1023),'Data'!E1023*100,"")</x:f>
      </x:c>
      <x:c r="I1023" s="35"/>
      <x:c r="J1023" s="35" t="str">
        <x:v>PASS</x:v>
      </x:c>
      <x:c r="K1023" s="35" t="str">
        <x:v>FAIL</x:v>
      </x:c>
      <x:c r="L1023" s="35" t="str">
        <x:v>NOT_RUN</x:v>
      </x:c>
      <x:c r="M1023" s="35" t="str">
        <x:v>coverage unavailable or execution/compile failed</x:v>
      </x:c>
      <x:c r="N1023" s="35" t="str">
        <x:v>Deepseek-flash-v4/Result2/Closure_32/result.json</x:v>
      </x:c>
      <x:c r="O1023" s="39" t="str">
        <x:f>IF(AND(G1023="RECORDED",ISNUMBER(H1023)),H1023,"")</x:f>
      </x:c>
      <x:c r="P1023" s="35" t="str">
        <x:v>NOT_AVAILABLE</x:v>
      </x:c>
      <x:c r="Q1023" s="35" t="str">
        <x:v>Deepseek-flash-v4/Result2/Closure_32/result.json</x:v>
      </x:c>
    </x:row>
    <x:row r="1024">
      <x:c r="A1024" s="35" t="str">
        <x:v>deepseek</x:v>
      </x:c>
      <x:c r="B1024" s="35" t="str">
        <x:v>Closure</x:v>
      </x:c>
      <x:c r="C1024" s="35" t="str">
        <x:v>Round2</x:v>
      </x:c>
      <x:c r="D1024" s="35" t="str">
        <x:v>Closure_33</x:v>
      </x:c>
      <x:c r="E1024" s="35" t="str">
        <x:v>Line</x:v>
      </x:c>
      <x:c r="F1024" s="35"/>
      <x:c r="G1024" s="35" t="str">
        <x:v>A</x:v>
      </x:c>
      <x:c r="H1024" s="39" t="str">
        <x:f>IF(ISNUMBER('Data'!E1024),'Data'!E1024*100,"")</x:f>
      </x:c>
      <x:c r="I1024" s="35"/>
      <x:c r="J1024" s="35" t="str">
        <x:v>PASS</x:v>
      </x:c>
      <x:c r="K1024" s="35" t="str">
        <x:v>FAIL</x:v>
      </x:c>
      <x:c r="L1024" s="35" t="str">
        <x:v>NOT_RUN</x:v>
      </x:c>
      <x:c r="M1024" s="35" t="str">
        <x:v>coverage unavailable or execution/compile failed</x:v>
      </x:c>
      <x:c r="N1024" s="35" t="str">
        <x:v>Deepseek-flash-v4/Result2/Closure_33/result.json</x:v>
      </x:c>
      <x:c r="O1024" s="39" t="str">
        <x:f>IF(AND(G1024="RECORDED",ISNUMBER(H1024)),H1024,"")</x:f>
      </x:c>
      <x:c r="P1024" s="35" t="str">
        <x:v>NOT_AVAILABLE</x:v>
      </x:c>
      <x:c r="Q1024" s="35" t="str">
        <x:v>Deepseek-flash-v4/Result2/Closure_33/result.json</x:v>
      </x:c>
    </x:row>
    <x:row r="1025">
      <x:c r="A1025" s="35" t="str">
        <x:v>deepseek</x:v>
      </x:c>
      <x:c r="B1025" s="35" t="str">
        <x:v>Closure</x:v>
      </x:c>
      <x:c r="C1025" s="35" t="str">
        <x:v>Round2</x:v>
      </x:c>
      <x:c r="D1025" s="35" t="str">
        <x:v>Closure_34</x:v>
      </x:c>
      <x:c r="E1025" s="35" t="str">
        <x:v>Line</x:v>
      </x:c>
      <x:c r="F1025" s="35"/>
      <x:c r="G1025" s="35" t="str">
        <x:v>A</x:v>
      </x:c>
      <x:c r="H1025" s="39" t="str">
        <x:f>IF(ISNUMBER('Data'!E1025),'Data'!E1025*100,"")</x:f>
      </x:c>
      <x:c r="I1025" s="35"/>
      <x:c r="J1025" s="35" t="str">
        <x:v>PASS</x:v>
      </x:c>
      <x:c r="K1025" s="35" t="str">
        <x:v>FAIL</x:v>
      </x:c>
      <x:c r="L1025" s="35" t="str">
        <x:v>NOT_RUN</x:v>
      </x:c>
      <x:c r="M1025" s="35" t="str">
        <x:v>coverage unavailable or execution/compile failed</x:v>
      </x:c>
      <x:c r="N1025" s="35" t="str">
        <x:v>Deepseek-flash-v4/Result2/Closure_34/result.json</x:v>
      </x:c>
      <x:c r="O1025" s="39" t="str">
        <x:f>IF(AND(G1025="RECORDED",ISNUMBER(H1025)),H1025,"")</x:f>
      </x:c>
      <x:c r="P1025" s="35" t="str">
        <x:v>NOT_AVAILABLE</x:v>
      </x:c>
      <x:c r="Q1025" s="35" t="str">
        <x:v>Deepseek-flash-v4/Result2/Closure_34/result.json</x:v>
      </x:c>
    </x:row>
    <x:row r="1026">
      <x:c r="A1026" s="35" t="str">
        <x:v>deepseek</x:v>
      </x:c>
      <x:c r="B1026" s="35" t="str">
        <x:v>Closure</x:v>
      </x:c>
      <x:c r="C1026" s="35" t="str">
        <x:v>Round2</x:v>
      </x:c>
      <x:c r="D1026" s="35" t="str">
        <x:v>Closure_35</x:v>
      </x:c>
      <x:c r="E1026" s="35" t="str">
        <x:v>Line</x:v>
      </x:c>
      <x:c r="F1026" s="35" t="n">
        <x:v>626</x:v>
      </x:c>
      <x:c r="G1026" s="35" t="str">
        <x:v>RECORDED</x:v>
      </x:c>
      <x:c r="H1026" s="39" t="n">
        <x:f>IF(ISNUMBER('Data'!E1026),'Data'!E1026*100,"")</x:f>
        <x:v>0</x:v>
      </x:c>
      <x:c r="I1026" s="35" t="str">
        <x:v>PASS</x:v>
      </x:c>
      <x:c r="J1026" s="35" t="str">
        <x:v>PASS</x:v>
      </x:c>
      <x:c r="K1026" s="35" t="str">
        <x:v>PASS</x:v>
      </x:c>
      <x:c r="L1026" s="35" t="str">
        <x:v>FAIL</x:v>
      </x:c>
      <x:c r="M1026" s="35" t="str">
        <x:v>numeric coverage for applicable metric</x:v>
      </x:c>
      <x:c r="N1026" s="35" t="str">
        <x:v>Deepseek-flash-v4/Result2/Closure_35/result.json</x:v>
      </x:c>
      <x:c r="O1026" s="39" t="n">
        <x:f>IF(AND(G1026="RECORDED",ISNUMBER(H1026)),H1026,"")</x:f>
        <x:v>0</x:v>
      </x:c>
      <x:c r="P1026" s="35" t="str">
        <x:v>INCONCLUSIVE</x:v>
      </x:c>
      <x:c r="Q1026" s="35" t="str">
        <x:v>Deepseek-flash-v4/Result2/Closure_35/result.json</x:v>
      </x:c>
    </x:row>
    <x:row r="1027">
      <x:c r="A1027" s="35" t="str">
        <x:v>deepseek</x:v>
      </x:c>
      <x:c r="B1027" s="35" t="str">
        <x:v>Closure</x:v>
      </x:c>
      <x:c r="C1027" s="35" t="str">
        <x:v>Round2</x:v>
      </x:c>
      <x:c r="D1027" s="35" t="str">
        <x:v>Closure_36</x:v>
      </x:c>
      <x:c r="E1027" s="35" t="str">
        <x:v>Line</x:v>
      </x:c>
      <x:c r="F1027" s="35"/>
      <x:c r="G1027" s="35" t="str">
        <x:v>A</x:v>
      </x:c>
      <x:c r="H1027" s="39" t="str">
        <x:f>IF(ISNUMBER('Data'!E1027),'Data'!E1027*100,"")</x:f>
      </x:c>
      <x:c r="I1027" s="35"/>
      <x:c r="J1027" s="35" t="str">
        <x:v>PASS</x:v>
      </x:c>
      <x:c r="K1027" s="35" t="str">
        <x:v>FAIL</x:v>
      </x:c>
      <x:c r="L1027" s="35" t="str">
        <x:v>NOT_RUN</x:v>
      </x:c>
      <x:c r="M1027" s="35" t="str">
        <x:v>coverage unavailable or execution/compile failed</x:v>
      </x:c>
      <x:c r="N1027" s="35" t="str">
        <x:v>Deepseek-flash-v4/Result2/Closure_36/result.json</x:v>
      </x:c>
      <x:c r="O1027" s="39" t="str">
        <x:f>IF(AND(G1027="RECORDED",ISNUMBER(H1027)),H1027,"")</x:f>
      </x:c>
      <x:c r="P1027" s="35" t="str">
        <x:v>NOT_AVAILABLE</x:v>
      </x:c>
      <x:c r="Q1027" s="35" t="str">
        <x:v>Deepseek-flash-v4/Result2/Closure_36/result.json</x:v>
      </x:c>
    </x:row>
    <x:row r="1028">
      <x:c r="A1028" s="35" t="str">
        <x:v>deepseek</x:v>
      </x:c>
      <x:c r="B1028" s="35" t="str">
        <x:v>Closure</x:v>
      </x:c>
      <x:c r="C1028" s="35" t="str">
        <x:v>Round2</x:v>
      </x:c>
      <x:c r="D1028" s="35" t="str">
        <x:v>Closure_37</x:v>
      </x:c>
      <x:c r="E1028" s="35" t="str">
        <x:v>Line</x:v>
      </x:c>
      <x:c r="F1028" s="35"/>
      <x:c r="G1028" s="35" t="str">
        <x:v>A</x:v>
      </x:c>
      <x:c r="H1028" s="39" t="str">
        <x:f>IF(ISNUMBER('Data'!E1028),'Data'!E1028*100,"")</x:f>
      </x:c>
      <x:c r="I1028" s="35"/>
      <x:c r="J1028" s="35" t="str">
        <x:v>PASS</x:v>
      </x:c>
      <x:c r="K1028" s="35" t="str">
        <x:v>FAIL</x:v>
      </x:c>
      <x:c r="L1028" s="35" t="str">
        <x:v>NOT_RUN</x:v>
      </x:c>
      <x:c r="M1028" s="35" t="str">
        <x:v>coverage unavailable or execution/compile failed</x:v>
      </x:c>
      <x:c r="N1028" s="35" t="str">
        <x:v>Deepseek-flash-v4/Result2/Closure_37/result.json</x:v>
      </x:c>
      <x:c r="O1028" s="39" t="str">
        <x:f>IF(AND(G1028="RECORDED",ISNUMBER(H1028)),H1028,"")</x:f>
      </x:c>
      <x:c r="P1028" s="35" t="str">
        <x:v>NOT_AVAILABLE</x:v>
      </x:c>
      <x:c r="Q1028" s="35" t="str">
        <x:v>Deepseek-flash-v4/Result2/Closure_37/result.json</x:v>
      </x:c>
    </x:row>
    <x:row r="1029">
      <x:c r="A1029" s="35" t="str">
        <x:v>deepseek</x:v>
      </x:c>
      <x:c r="B1029" s="35" t="str">
        <x:v>Closure</x:v>
      </x:c>
      <x:c r="C1029" s="35" t="str">
        <x:v>Round2</x:v>
      </x:c>
      <x:c r="D1029" s="35" t="str">
        <x:v>Closure_38</x:v>
      </x:c>
      <x:c r="E1029" s="35" t="str">
        <x:v>Line</x:v>
      </x:c>
      <x:c r="F1029" s="35" t="n">
        <x:v>112</x:v>
      </x:c>
      <x:c r="G1029" s="35" t="str">
        <x:v>RECORDED</x:v>
      </x:c>
      <x:c r="H1029" s="39" t="n">
        <x:f>IF(ISNUMBER('Data'!E1029),'Data'!E1029*100,"")</x:f>
        <x:v>68.75</x:v>
      </x:c>
      <x:c r="I1029" s="35" t="str">
        <x:v>PASS</x:v>
      </x:c>
      <x:c r="J1029" s="35" t="str">
        <x:v>PASS</x:v>
      </x:c>
      <x:c r="K1029" s="35" t="str">
        <x:v>PASS</x:v>
      </x:c>
      <x:c r="L1029" s="35" t="str">
        <x:v>FAIL</x:v>
      </x:c>
      <x:c r="M1029" s="35" t="str">
        <x:v>numeric coverage for applicable metric</x:v>
      </x:c>
      <x:c r="N1029" s="35" t="str">
        <x:v>Deepseek-flash-v4/Result2/Closure_38/result.json</x:v>
      </x:c>
      <x:c r="O1029" s="39" t="n">
        <x:f>IF(AND(G1029="RECORDED",ISNUMBER(H1029)),H1029,"")</x:f>
        <x:v>68.75</x:v>
      </x:c>
      <x:c r="P1029" s="35" t="str">
        <x:v>INCONCLUSIVE</x:v>
      </x:c>
      <x:c r="Q1029" s="35" t="str">
        <x:v>Deepseek-flash-v4/Result2/Closure_38/result.json</x:v>
      </x:c>
    </x:row>
    <x:row r="1030">
      <x:c r="A1030" s="35" t="str">
        <x:v>deepseek</x:v>
      </x:c>
      <x:c r="B1030" s="35" t="str">
        <x:v>Closure</x:v>
      </x:c>
      <x:c r="C1030" s="35" t="str">
        <x:v>Round2</x:v>
      </x:c>
      <x:c r="D1030" s="35" t="str">
        <x:v>Closure_39</x:v>
      </x:c>
      <x:c r="E1030" s="35" t="str">
        <x:v>Line</x:v>
      </x:c>
      <x:c r="F1030" s="35"/>
      <x:c r="G1030" s="35" t="str">
        <x:v>A</x:v>
      </x:c>
      <x:c r="H1030" s="39" t="str">
        <x:f>IF(ISNUMBER('Data'!E1030),'Data'!E1030*100,"")</x:f>
      </x:c>
      <x:c r="I1030" s="35"/>
      <x:c r="J1030" s="35" t="str">
        <x:v>PASS</x:v>
      </x:c>
      <x:c r="K1030" s="35" t="str">
        <x:v>FAIL</x:v>
      </x:c>
      <x:c r="L1030" s="35" t="str">
        <x:v>NOT_RUN</x:v>
      </x:c>
      <x:c r="M1030" s="35" t="str">
        <x:v>coverage unavailable or execution/compile failed</x:v>
      </x:c>
      <x:c r="N1030" s="35" t="str">
        <x:v>Deepseek-flash-v4/Result2/Closure_39/result.json</x:v>
      </x:c>
      <x:c r="O1030" s="39" t="str">
        <x:f>IF(AND(G1030="RECORDED",ISNUMBER(H1030)),H1030,"")</x:f>
      </x:c>
      <x:c r="P1030" s="35" t="str">
        <x:v>NOT_AVAILABLE</x:v>
      </x:c>
      <x:c r="Q1030" s="35" t="str">
        <x:v>Deepseek-flash-v4/Result2/Closure_39/result.json</x:v>
      </x:c>
    </x:row>
    <x:row r="1031">
      <x:c r="A1031" s="35" t="str">
        <x:v>deepseek</x:v>
      </x:c>
      <x:c r="B1031" s="35" t="str">
        <x:v>Closure</x:v>
      </x:c>
      <x:c r="C1031" s="35" t="str">
        <x:v>Round2</x:v>
      </x:c>
      <x:c r="D1031" s="35" t="str">
        <x:v>Closure_4</x:v>
      </x:c>
      <x:c r="E1031" s="35" t="str">
        <x:v>Line</x:v>
      </x:c>
      <x:c r="F1031" s="35" t="n">
        <x:v>132</x:v>
      </x:c>
      <x:c r="G1031" s="35" t="str">
        <x:v>RECORDED</x:v>
      </x:c>
      <x:c r="H1031" s="39" t="n">
        <x:f>IF(ISNUMBER('Data'!E1031),'Data'!E1031*100,"")</x:f>
        <x:v>18.18</x:v>
      </x:c>
      <x:c r="I1031" s="35" t="str">
        <x:v>PASS</x:v>
      </x:c>
      <x:c r="J1031" s="35" t="str">
        <x:v>PASS</x:v>
      </x:c>
      <x:c r="K1031" s="35" t="str">
        <x:v>PASS</x:v>
      </x:c>
      <x:c r="L1031" s="35" t="str">
        <x:v>PASS</x:v>
      </x:c>
      <x:c r="M1031" s="35" t="str">
        <x:v>numeric coverage for applicable metric</x:v>
      </x:c>
      <x:c r="N1031" s="35" t="str">
        <x:v>Deepseek-flash-v4/Result2/Closure_4/result.json</x:v>
      </x:c>
      <x:c r="O1031" s="39" t="n">
        <x:f>IF(AND(G1031="RECORDED",ISNUMBER(H1031)),H1031,"")</x:f>
        <x:v>18.18</x:v>
      </x:c>
      <x:c r="P1031" s="35" t="str">
        <x:v>NOT_REVEALING</x:v>
      </x:c>
      <x:c r="Q1031" s="35" t="str">
        <x:v>Deepseek-flash-v4/Result2/Closure_4/result.json</x:v>
      </x:c>
    </x:row>
    <x:row r="1032">
      <x:c r="A1032" s="35" t="str">
        <x:v>deepseek</x:v>
      </x:c>
      <x:c r="B1032" s="35" t="str">
        <x:v>Closure</x:v>
      </x:c>
      <x:c r="C1032" s="35" t="str">
        <x:v>Round2</x:v>
      </x:c>
      <x:c r="D1032" s="35" t="str">
        <x:v>Closure_40</x:v>
      </x:c>
      <x:c r="E1032" s="35" t="str">
        <x:v>Line</x:v>
      </x:c>
      <x:c r="F1032" s="35"/>
      <x:c r="G1032" s="35" t="str">
        <x:v>A</x:v>
      </x:c>
      <x:c r="H1032" s="39" t="str">
        <x:f>IF(ISNUMBER('Data'!E1032),'Data'!E1032*100,"")</x:f>
      </x:c>
      <x:c r="I1032" s="35"/>
      <x:c r="J1032" s="35" t="str">
        <x:v>PASS</x:v>
      </x:c>
      <x:c r="K1032" s="35" t="str">
        <x:v>FAIL</x:v>
      </x:c>
      <x:c r="L1032" s="35" t="str">
        <x:v>NOT_RUN</x:v>
      </x:c>
      <x:c r="M1032" s="35" t="str">
        <x:v>coverage unavailable or execution/compile failed</x:v>
      </x:c>
      <x:c r="N1032" s="35" t="str">
        <x:v>Deepseek-flash-v4/Result2/Closure_40/result.json</x:v>
      </x:c>
      <x:c r="O1032" s="39" t="str">
        <x:f>IF(AND(G1032="RECORDED",ISNUMBER(H1032)),H1032,"")</x:f>
      </x:c>
      <x:c r="P1032" s="35" t="str">
        <x:v>NOT_AVAILABLE</x:v>
      </x:c>
      <x:c r="Q1032" s="35" t="str">
        <x:v>Deepseek-flash-v4/Result2/Closure_40/result.json</x:v>
      </x:c>
    </x:row>
    <x:row r="1033">
      <x:c r="A1033" s="35" t="str">
        <x:v>deepseek</x:v>
      </x:c>
      <x:c r="B1033" s="35" t="str">
        <x:v>Closure</x:v>
      </x:c>
      <x:c r="C1033" s="35" t="str">
        <x:v>Round2</x:v>
      </x:c>
      <x:c r="D1033" s="35" t="str">
        <x:v>Closure_41</x:v>
      </x:c>
      <x:c r="E1033" s="35" t="str">
        <x:v>Line</x:v>
      </x:c>
      <x:c r="F1033" s="35"/>
      <x:c r="G1033" s="35" t="str">
        <x:v>A</x:v>
      </x:c>
      <x:c r="H1033" s="39" t="str">
        <x:f>IF(ISNUMBER('Data'!E1033),'Data'!E1033*100,"")</x:f>
      </x:c>
      <x:c r="I1033" s="35"/>
      <x:c r="J1033" s="35" t="str">
        <x:v>PASS</x:v>
      </x:c>
      <x:c r="K1033" s="35" t="str">
        <x:v>FAIL</x:v>
      </x:c>
      <x:c r="L1033" s="35" t="str">
        <x:v>NOT_RUN</x:v>
      </x:c>
      <x:c r="M1033" s="35" t="str">
        <x:v>coverage unavailable or execution/compile failed</x:v>
      </x:c>
      <x:c r="N1033" s="35" t="str">
        <x:v>Deepseek-flash-v4/Result2/Closure_41/result.json</x:v>
      </x:c>
      <x:c r="O1033" s="39" t="str">
        <x:f>IF(AND(G1033="RECORDED",ISNUMBER(H1033)),H1033,"")</x:f>
      </x:c>
      <x:c r="P1033" s="35" t="str">
        <x:v>NOT_AVAILABLE</x:v>
      </x:c>
      <x:c r="Q1033" s="35" t="str">
        <x:v>Deepseek-flash-v4/Result2/Closure_41/result.json</x:v>
      </x:c>
    </x:row>
    <x:row r="1034">
      <x:c r="A1034" s="35" t="str">
        <x:v>deepseek</x:v>
      </x:c>
      <x:c r="B1034" s="35" t="str">
        <x:v>Closure</x:v>
      </x:c>
      <x:c r="C1034" s="35" t="str">
        <x:v>Round2</x:v>
      </x:c>
      <x:c r="D1034" s="35" t="str">
        <x:v>Closure_42</x:v>
      </x:c>
      <x:c r="E1034" s="35" t="str">
        <x:v>Line</x:v>
      </x:c>
      <x:c r="F1034" s="35"/>
      <x:c r="G1034" s="35" t="str">
        <x:v>A</x:v>
      </x:c>
      <x:c r="H1034" s="39" t="str">
        <x:f>IF(ISNUMBER('Data'!E1034),'Data'!E1034*100,"")</x:f>
      </x:c>
      <x:c r="I1034" s="35"/>
      <x:c r="J1034" s="35" t="str">
        <x:v>PASS</x:v>
      </x:c>
      <x:c r="K1034" s="35" t="str">
        <x:v>FAIL</x:v>
      </x:c>
      <x:c r="L1034" s="35" t="str">
        <x:v>NOT_RUN</x:v>
      </x:c>
      <x:c r="M1034" s="35" t="str">
        <x:v>coverage unavailable or execution/compile failed</x:v>
      </x:c>
      <x:c r="N1034" s="35" t="str">
        <x:v>Deepseek-flash-v4/Result2/Closure_42/result.json</x:v>
      </x:c>
      <x:c r="O1034" s="39" t="str">
        <x:f>IF(AND(G1034="RECORDED",ISNUMBER(H1034)),H1034,"")</x:f>
      </x:c>
      <x:c r="P1034" s="35" t="str">
        <x:v>NOT_AVAILABLE</x:v>
      </x:c>
      <x:c r="Q1034" s="35" t="str">
        <x:v>Deepseek-flash-v4/Result2/Closure_42/result.json</x:v>
      </x:c>
    </x:row>
    <x:row r="1035">
      <x:c r="A1035" s="35" t="str">
        <x:v>deepseek</x:v>
      </x:c>
      <x:c r="B1035" s="35" t="str">
        <x:v>Closure</x:v>
      </x:c>
      <x:c r="C1035" s="35" t="str">
        <x:v>Round2</x:v>
      </x:c>
      <x:c r="D1035" s="35" t="str">
        <x:v>Closure_43</x:v>
      </x:c>
      <x:c r="E1035" s="35" t="str">
        <x:v>Line</x:v>
      </x:c>
      <x:c r="F1035" s="35"/>
      <x:c r="G1035" s="35" t="str">
        <x:v>A</x:v>
      </x:c>
      <x:c r="H1035" s="39" t="str">
        <x:f>IF(ISNUMBER('Data'!E1035),'Data'!E1035*100,"")</x:f>
      </x:c>
      <x:c r="I1035" s="35"/>
      <x:c r="J1035" s="35" t="str">
        <x:v>PASS</x:v>
      </x:c>
      <x:c r="K1035" s="35" t="str">
        <x:v>FAIL</x:v>
      </x:c>
      <x:c r="L1035" s="35" t="str">
        <x:v>NOT_RUN</x:v>
      </x:c>
      <x:c r="M1035" s="35" t="str">
        <x:v>coverage unavailable or execution/compile failed</x:v>
      </x:c>
      <x:c r="N1035" s="35" t="str">
        <x:v>Deepseek-flash-v4/Result2/Closure_43/result.json</x:v>
      </x:c>
      <x:c r="O1035" s="39" t="str">
        <x:f>IF(AND(G1035="RECORDED",ISNUMBER(H1035)),H1035,"")</x:f>
      </x:c>
      <x:c r="P1035" s="35" t="str">
        <x:v>NOT_AVAILABLE</x:v>
      </x:c>
      <x:c r="Q1035" s="35" t="str">
        <x:v>Deepseek-flash-v4/Result2/Closure_43/result.json</x:v>
      </x:c>
    </x:row>
    <x:row r="1036">
      <x:c r="A1036" s="35" t="str">
        <x:v>deepseek</x:v>
      </x:c>
      <x:c r="B1036" s="35" t="str">
        <x:v>Closure</x:v>
      </x:c>
      <x:c r="C1036" s="35" t="str">
        <x:v>Round2</x:v>
      </x:c>
      <x:c r="D1036" s="35" t="str">
        <x:v>Closure_44</x:v>
      </x:c>
      <x:c r="E1036" s="35" t="str">
        <x:v>Line</x:v>
      </x:c>
      <x:c r="F1036" s="35" t="n">
        <x:v>109</x:v>
      </x:c>
      <x:c r="G1036" s="35" t="str">
        <x:v>RECORDED</x:v>
      </x:c>
      <x:c r="H1036" s="39" t="n">
        <x:f>IF(ISNUMBER('Data'!E1036),'Data'!E1036*100,"")</x:f>
        <x:v>83.49</x:v>
      </x:c>
      <x:c r="I1036" s="35" t="str">
        <x:v>PASS</x:v>
      </x:c>
      <x:c r="J1036" s="35" t="str">
        <x:v>PASS</x:v>
      </x:c>
      <x:c r="K1036" s="35" t="str">
        <x:v>PASS</x:v>
      </x:c>
      <x:c r="L1036" s="35" t="str">
        <x:v>FAIL</x:v>
      </x:c>
      <x:c r="M1036" s="35" t="str">
        <x:v>numeric coverage for applicable metric</x:v>
      </x:c>
      <x:c r="N1036" s="35" t="str">
        <x:v>Deepseek-flash-v4/Result2/Closure_44/result.json</x:v>
      </x:c>
      <x:c r="O1036" s="39" t="n">
        <x:f>IF(AND(G1036="RECORDED",ISNUMBER(H1036)),H1036,"")</x:f>
        <x:v>83.49</x:v>
      </x:c>
      <x:c r="P1036" s="35" t="str">
        <x:v>INCONCLUSIVE</x:v>
      </x:c>
      <x:c r="Q1036" s="35" t="str">
        <x:v>Deepseek-flash-v4/Result2/Closure_44/result.json</x:v>
      </x:c>
    </x:row>
    <x:row r="1037">
      <x:c r="A1037" s="35" t="str">
        <x:v>deepseek</x:v>
      </x:c>
      <x:c r="B1037" s="35" t="str">
        <x:v>Closure</x:v>
      </x:c>
      <x:c r="C1037" s="35" t="str">
        <x:v>Round2</x:v>
      </x:c>
      <x:c r="D1037" s="35" t="str">
        <x:v>Closure_45</x:v>
      </x:c>
      <x:c r="E1037" s="35" t="str">
        <x:v>Line</x:v>
      </x:c>
      <x:c r="F1037" s="35"/>
      <x:c r="G1037" s="35" t="str">
        <x:v>A</x:v>
      </x:c>
      <x:c r="H1037" s="39" t="str">
        <x:f>IF(ISNUMBER('Data'!E1037),'Data'!E1037*100,"")</x:f>
      </x:c>
      <x:c r="I1037" s="35"/>
      <x:c r="J1037" s="35" t="str">
        <x:v>PASS</x:v>
      </x:c>
      <x:c r="K1037" s="35" t="str">
        <x:v>FAIL</x:v>
      </x:c>
      <x:c r="L1037" s="35" t="str">
        <x:v>NOT_RUN</x:v>
      </x:c>
      <x:c r="M1037" s="35" t="str">
        <x:v>coverage unavailable or execution/compile failed</x:v>
      </x:c>
      <x:c r="N1037" s="35" t="str">
        <x:v>Deepseek-flash-v4/Result2/Closure_45/result.json</x:v>
      </x:c>
      <x:c r="O1037" s="39" t="str">
        <x:f>IF(AND(G1037="RECORDED",ISNUMBER(H1037)),H1037,"")</x:f>
      </x:c>
      <x:c r="P1037" s="35" t="str">
        <x:v>NOT_AVAILABLE</x:v>
      </x:c>
      <x:c r="Q1037" s="35" t="str">
        <x:v>Deepseek-flash-v4/Result2/Closure_45/result.json</x:v>
      </x:c>
    </x:row>
    <x:row r="1038">
      <x:c r="A1038" s="35" t="str">
        <x:v>deepseek</x:v>
      </x:c>
      <x:c r="B1038" s="35" t="str">
        <x:v>Closure</x:v>
      </x:c>
      <x:c r="C1038" s="35" t="str">
        <x:v>Round2</x:v>
      </x:c>
      <x:c r="D1038" s="35" t="str">
        <x:v>Closure_46</x:v>
      </x:c>
      <x:c r="E1038" s="35" t="str">
        <x:v>Line</x:v>
      </x:c>
      <x:c r="F1038" s="35"/>
      <x:c r="G1038" s="35" t="str">
        <x:v>A</x:v>
      </x:c>
      <x:c r="H1038" s="39" t="str">
        <x:f>IF(ISNUMBER('Data'!E1038),'Data'!E1038*100,"")</x:f>
      </x:c>
      <x:c r="I1038" s="35"/>
      <x:c r="J1038" s="35" t="str">
        <x:v>PASS</x:v>
      </x:c>
      <x:c r="K1038" s="35" t="str">
        <x:v>FAIL</x:v>
      </x:c>
      <x:c r="L1038" s="35" t="str">
        <x:v>NOT_RUN</x:v>
      </x:c>
      <x:c r="M1038" s="35" t="str">
        <x:v>coverage unavailable or execution/compile failed</x:v>
      </x:c>
      <x:c r="N1038" s="35" t="str">
        <x:v>Deepseek-flash-v4/Result2/Closure_46/result.json</x:v>
      </x:c>
      <x:c r="O1038" s="39" t="str">
        <x:f>IF(AND(G1038="RECORDED",ISNUMBER(H1038)),H1038,"")</x:f>
      </x:c>
      <x:c r="P1038" s="35" t="str">
        <x:v>NOT_AVAILABLE</x:v>
      </x:c>
      <x:c r="Q1038" s="35" t="str">
        <x:v>Deepseek-flash-v4/Result2/Closure_46/result.json</x:v>
      </x:c>
    </x:row>
    <x:row r="1039">
      <x:c r="A1039" s="35" t="str">
        <x:v>deepseek</x:v>
      </x:c>
      <x:c r="B1039" s="35" t="str">
        <x:v>Closure</x:v>
      </x:c>
      <x:c r="C1039" s="35" t="str">
        <x:v>Round2</x:v>
      </x:c>
      <x:c r="D1039" s="35" t="str">
        <x:v>Closure_47</x:v>
      </x:c>
      <x:c r="E1039" s="35" t="str">
        <x:v>Line</x:v>
      </x:c>
      <x:c r="F1039" s="35"/>
      <x:c r="G1039" s="35" t="str">
        <x:v>A</x:v>
      </x:c>
      <x:c r="H1039" s="39" t="str">
        <x:f>IF(ISNUMBER('Data'!E1039),'Data'!E1039*100,"")</x:f>
      </x:c>
      <x:c r="I1039" s="35"/>
      <x:c r="J1039" s="35" t="str">
        <x:v>PASS</x:v>
      </x:c>
      <x:c r="K1039" s="35" t="str">
        <x:v>FAIL</x:v>
      </x:c>
      <x:c r="L1039" s="35" t="str">
        <x:v>NOT_RUN</x:v>
      </x:c>
      <x:c r="M1039" s="35" t="str">
        <x:v>coverage unavailable or execution/compile failed</x:v>
      </x:c>
      <x:c r="N1039" s="35" t="str">
        <x:v>Deepseek-flash-v4/Result2/Closure_47/result.json</x:v>
      </x:c>
      <x:c r="O1039" s="39" t="str">
        <x:f>IF(AND(G1039="RECORDED",ISNUMBER(H1039)),H1039,"")</x:f>
      </x:c>
      <x:c r="P1039" s="35" t="str">
        <x:v>NOT_AVAILABLE</x:v>
      </x:c>
      <x:c r="Q1039" s="35" t="str">
        <x:v>Deepseek-flash-v4/Result2/Closure_47/result.json</x:v>
      </x:c>
    </x:row>
    <x:row r="1040">
      <x:c r="A1040" s="35" t="str">
        <x:v>deepseek</x:v>
      </x:c>
      <x:c r="B1040" s="35" t="str">
        <x:v>Closure</x:v>
      </x:c>
      <x:c r="C1040" s="35" t="str">
        <x:v>Round2</x:v>
      </x:c>
      <x:c r="D1040" s="35" t="str">
        <x:v>Closure_48</x:v>
      </x:c>
      <x:c r="E1040" s="35" t="str">
        <x:v>Line</x:v>
      </x:c>
      <x:c r="F1040" s="35" t="n">
        <x:v>827</x:v>
      </x:c>
      <x:c r="G1040" s="35" t="str">
        <x:v>RECORDED</x:v>
      </x:c>
      <x:c r="H1040" s="39" t="n">
        <x:f>IF(ISNUMBER('Data'!E1040),'Data'!E1040*100,"")</x:f>
        <x:v>6.41</x:v>
      </x:c>
      <x:c r="I1040" s="35" t="str">
        <x:v>PASS</x:v>
      </x:c>
      <x:c r="J1040" s="35" t="str">
        <x:v>PASS</x:v>
      </x:c>
      <x:c r="K1040" s="35" t="str">
        <x:v>PASS</x:v>
      </x:c>
      <x:c r="L1040" s="35" t="str">
        <x:v>FAIL</x:v>
      </x:c>
      <x:c r="M1040" s="35" t="str">
        <x:v>numeric coverage for applicable metric</x:v>
      </x:c>
      <x:c r="N1040" s="35" t="str">
        <x:v>Deepseek-flash-v4/Result2/Closure_48/result.json</x:v>
      </x:c>
      <x:c r="O1040" s="39" t="n">
        <x:f>IF(AND(G1040="RECORDED",ISNUMBER(H1040)),H1040,"")</x:f>
        <x:v>6.41</x:v>
      </x:c>
      <x:c r="P1040" s="35" t="str">
        <x:v>INCONCLUSIVE</x:v>
      </x:c>
      <x:c r="Q1040" s="35" t="str">
        <x:v>Deepseek-flash-v4/Result2/Closure_48/result.json</x:v>
      </x:c>
    </x:row>
    <x:row r="1041">
      <x:c r="A1041" s="35" t="str">
        <x:v>deepseek</x:v>
      </x:c>
      <x:c r="B1041" s="35" t="str">
        <x:v>Closure</x:v>
      </x:c>
      <x:c r="C1041" s="35" t="str">
        <x:v>Round2</x:v>
      </x:c>
      <x:c r="D1041" s="35" t="str">
        <x:v>Closure_49</x:v>
      </x:c>
      <x:c r="E1041" s="35" t="str">
        <x:v>Line</x:v>
      </x:c>
      <x:c r="F1041" s="35"/>
      <x:c r="G1041" s="35" t="str">
        <x:v>A</x:v>
      </x:c>
      <x:c r="H1041" s="39" t="str">
        <x:f>IF(ISNUMBER('Data'!E1041),'Data'!E1041*100,"")</x:f>
      </x:c>
      <x:c r="I1041" s="35"/>
      <x:c r="J1041" s="35" t="str">
        <x:v>PASS</x:v>
      </x:c>
      <x:c r="K1041" s="35" t="str">
        <x:v>FAIL</x:v>
      </x:c>
      <x:c r="L1041" s="35" t="str">
        <x:v>NOT_RUN</x:v>
      </x:c>
      <x:c r="M1041" s="35" t="str">
        <x:v>coverage unavailable or execution/compile failed</x:v>
      </x:c>
      <x:c r="N1041" s="35" t="str">
        <x:v>Deepseek-flash-v4/Result2/Closure_49/result.json</x:v>
      </x:c>
      <x:c r="O1041" s="39" t="str">
        <x:f>IF(AND(G1041="RECORDED",ISNUMBER(H1041)),H1041,"")</x:f>
      </x:c>
      <x:c r="P1041" s="35" t="str">
        <x:v>NOT_AVAILABLE</x:v>
      </x:c>
      <x:c r="Q1041" s="35" t="str">
        <x:v>Deepseek-flash-v4/Result2/Closure_49/result.json</x:v>
      </x:c>
    </x:row>
    <x:row r="1042">
      <x:c r="A1042" s="35" t="str">
        <x:v>deepseek</x:v>
      </x:c>
      <x:c r="B1042" s="35" t="str">
        <x:v>Closure</x:v>
      </x:c>
      <x:c r="C1042" s="35" t="str">
        <x:v>Round2</x:v>
      </x:c>
      <x:c r="D1042" s="35" t="str">
        <x:v>Closure_5</x:v>
      </x:c>
      <x:c r="E1042" s="35" t="str">
        <x:v>Line</x:v>
      </x:c>
      <x:c r="F1042" s="35" t="n">
        <x:v>181</x:v>
      </x:c>
      <x:c r="G1042" s="35" t="str">
        <x:v>RECORDED</x:v>
      </x:c>
      <x:c r="H1042" s="39" t="n">
        <x:f>IF(ISNUMBER('Data'!E1042),'Data'!E1042*100,"")</x:f>
        <x:v>4.42</x:v>
      </x:c>
      <x:c r="I1042" s="35" t="str">
        <x:v>PASS</x:v>
      </x:c>
      <x:c r="J1042" s="35" t="str">
        <x:v>PASS</x:v>
      </x:c>
      <x:c r="K1042" s="35" t="str">
        <x:v>PASS</x:v>
      </x:c>
      <x:c r="L1042" s="35" t="str">
        <x:v>FAIL</x:v>
      </x:c>
      <x:c r="M1042" s="35" t="str">
        <x:v>numeric coverage for applicable metric</x:v>
      </x:c>
      <x:c r="N1042" s="35" t="str">
        <x:v>Deepseek-flash-v4/Result2/Closure_5/result.json</x:v>
      </x:c>
      <x:c r="O1042" s="39" t="n">
        <x:f>IF(AND(G1042="RECORDED",ISNUMBER(H1042)),H1042,"")</x:f>
        <x:v>4.42</x:v>
      </x:c>
      <x:c r="P1042" s="35" t="str">
        <x:v>INCONCLUSIVE</x:v>
      </x:c>
      <x:c r="Q1042" s="35" t="str">
        <x:v>Deepseek-flash-v4/Result2/Closure_5/result.json</x:v>
      </x:c>
    </x:row>
    <x:row r="1043">
      <x:c r="A1043" s="35" t="str">
        <x:v>deepseek</x:v>
      </x:c>
      <x:c r="B1043" s="35" t="str">
        <x:v>Closure</x:v>
      </x:c>
      <x:c r="C1043" s="35" t="str">
        <x:v>Round2</x:v>
      </x:c>
      <x:c r="D1043" s="35" t="str">
        <x:v>Closure_50</x:v>
      </x:c>
      <x:c r="E1043" s="35" t="str">
        <x:v>Line</x:v>
      </x:c>
      <x:c r="F1043" s="35" t="n">
        <x:v>308</x:v>
      </x:c>
      <x:c r="G1043" s="35" t="str">
        <x:v>RECORDED</x:v>
      </x:c>
      <x:c r="H1043" s="39" t="n">
        <x:f>IF(ISNUMBER('Data'!E1043),'Data'!E1043*100,"")</x:f>
        <x:v>52.27</x:v>
      </x:c>
      <x:c r="I1043" s="35" t="str">
        <x:v>PASS</x:v>
      </x:c>
      <x:c r="J1043" s="35" t="str">
        <x:v>PASS</x:v>
      </x:c>
      <x:c r="K1043" s="35" t="str">
        <x:v>PASS</x:v>
      </x:c>
      <x:c r="L1043" s="35" t="str">
        <x:v>FAIL</x:v>
      </x:c>
      <x:c r="M1043" s="35" t="str">
        <x:v>numeric coverage for applicable metric</x:v>
      </x:c>
      <x:c r="N1043" s="35" t="str">
        <x:v>Deepseek-flash-v4/Result2/Closure_50/result.json</x:v>
      </x:c>
      <x:c r="O1043" s="39" t="n">
        <x:f>IF(AND(G1043="RECORDED",ISNUMBER(H1043)),H1043,"")</x:f>
        <x:v>52.27</x:v>
      </x:c>
      <x:c r="P1043" s="35" t="str">
        <x:v>INCONCLUSIVE</x:v>
      </x:c>
      <x:c r="Q1043" s="35" t="str">
        <x:v>Deepseek-flash-v4/Result2/Closure_50/result.json</x:v>
      </x:c>
    </x:row>
    <x:row r="1044">
      <x:c r="A1044" s="35" t="str">
        <x:v>deepseek</x:v>
      </x:c>
      <x:c r="B1044" s="35" t="str">
        <x:v>Closure</x:v>
      </x:c>
      <x:c r="C1044" s="35" t="str">
        <x:v>Round2</x:v>
      </x:c>
      <x:c r="D1044" s="35" t="str">
        <x:v>Closure_51</x:v>
      </x:c>
      <x:c r="E1044" s="35" t="str">
        <x:v>Line</x:v>
      </x:c>
      <x:c r="F1044" s="35" t="n">
        <x:v>108</x:v>
      </x:c>
      <x:c r="G1044" s="35" t="str">
        <x:v>RECORDED</x:v>
      </x:c>
      <x:c r="H1044" s="39" t="n">
        <x:f>IF(ISNUMBER('Data'!E1044),'Data'!E1044*100,"")</x:f>
        <x:v>94.44</x:v>
      </x:c>
      <x:c r="I1044" s="35" t="str">
        <x:v>PASS</x:v>
      </x:c>
      <x:c r="J1044" s="35" t="str">
        <x:v>PASS</x:v>
      </x:c>
      <x:c r="K1044" s="35" t="str">
        <x:v>PASS</x:v>
      </x:c>
      <x:c r="L1044" s="35" t="str">
        <x:v>FAIL</x:v>
      </x:c>
      <x:c r="M1044" s="35" t="str">
        <x:v>numeric coverage for applicable metric</x:v>
      </x:c>
      <x:c r="N1044" s="35" t="str">
        <x:v>Deepseek-flash-v4/Result2/Closure_51/result.json</x:v>
      </x:c>
      <x:c r="O1044" s="39" t="n">
        <x:f>IF(AND(G1044="RECORDED",ISNUMBER(H1044)),H1044,"")</x:f>
        <x:v>94.44</x:v>
      </x:c>
      <x:c r="P1044" s="35" t="str">
        <x:v>INCONCLUSIVE</x:v>
      </x:c>
      <x:c r="Q1044" s="35" t="str">
        <x:v>Deepseek-flash-v4/Result2/Closure_51/result.json</x:v>
      </x:c>
    </x:row>
    <x:row r="1045">
      <x:c r="A1045" s="35" t="str">
        <x:v>deepseek</x:v>
      </x:c>
      <x:c r="B1045" s="35" t="str">
        <x:v>Closure</x:v>
      </x:c>
      <x:c r="C1045" s="35" t="str">
        <x:v>Round2</x:v>
      </x:c>
      <x:c r="D1045" s="35" t="str">
        <x:v>Closure_52</x:v>
      </x:c>
      <x:c r="E1045" s="35" t="str">
        <x:v>Line</x:v>
      </x:c>
      <x:c r="F1045" s="35"/>
      <x:c r="G1045" s="35" t="str">
        <x:v>A</x:v>
      </x:c>
      <x:c r="H1045" s="39" t="str">
        <x:f>IF(ISNUMBER('Data'!E1045),'Data'!E1045*100,"")</x:f>
      </x:c>
      <x:c r="I1045" s="35"/>
      <x:c r="J1045" s="35" t="str">
        <x:v>PASS</x:v>
      </x:c>
      <x:c r="K1045" s="35" t="str">
        <x:v>FAIL</x:v>
      </x:c>
      <x:c r="L1045" s="35" t="str">
        <x:v>NOT_RUN</x:v>
      </x:c>
      <x:c r="M1045" s="35" t="str">
        <x:v>coverage unavailable or execution/compile failed</x:v>
      </x:c>
      <x:c r="N1045" s="35" t="str">
        <x:v>Deepseek-flash-v4/Result2/Closure_52/result.json</x:v>
      </x:c>
      <x:c r="O1045" s="39" t="str">
        <x:f>IF(AND(G1045="RECORDED",ISNUMBER(H1045)),H1045,"")</x:f>
      </x:c>
      <x:c r="P1045" s="35" t="str">
        <x:v>NOT_AVAILABLE</x:v>
      </x:c>
      <x:c r="Q1045" s="35" t="str">
        <x:v>Deepseek-flash-v4/Result2/Closure_52/result.json</x:v>
      </x:c>
    </x:row>
    <x:row r="1046">
      <x:c r="A1046" s="35" t="str">
        <x:v>deepseek</x:v>
      </x:c>
      <x:c r="B1046" s="35" t="str">
        <x:v>Closure</x:v>
      </x:c>
      <x:c r="C1046" s="35" t="str">
        <x:v>Round2</x:v>
      </x:c>
      <x:c r="D1046" s="35" t="str">
        <x:v>Closure_53</x:v>
      </x:c>
      <x:c r="E1046" s="35" t="str">
        <x:v>Line</x:v>
      </x:c>
      <x:c r="F1046" s="35"/>
      <x:c r="G1046" s="35" t="str">
        <x:v>A</x:v>
      </x:c>
      <x:c r="H1046" s="39" t="str">
        <x:f>IF(ISNUMBER('Data'!E1046),'Data'!E1046*100,"")</x:f>
      </x:c>
      <x:c r="I1046" s="35"/>
      <x:c r="J1046" s="35" t="str">
        <x:v>PASS</x:v>
      </x:c>
      <x:c r="K1046" s="35" t="str">
        <x:v>FAIL</x:v>
      </x:c>
      <x:c r="L1046" s="35" t="str">
        <x:v>NOT_RUN</x:v>
      </x:c>
      <x:c r="M1046" s="35" t="str">
        <x:v>coverage unavailable or execution/compile failed</x:v>
      </x:c>
      <x:c r="N1046" s="35" t="str">
        <x:v>Deepseek-flash-v4/Result2/Closure_53/result.json</x:v>
      </x:c>
      <x:c r="O1046" s="39" t="str">
        <x:f>IF(AND(G1046="RECORDED",ISNUMBER(H1046)),H1046,"")</x:f>
      </x:c>
      <x:c r="P1046" s="35" t="str">
        <x:v>NOT_AVAILABLE</x:v>
      </x:c>
      <x:c r="Q1046" s="35" t="str">
        <x:v>Deepseek-flash-v4/Result2/Closure_53/result.json</x:v>
      </x:c>
    </x:row>
    <x:row r="1047">
      <x:c r="A1047" s="35" t="str">
        <x:v>deepseek</x:v>
      </x:c>
      <x:c r="B1047" s="35" t="str">
        <x:v>Closure</x:v>
      </x:c>
      <x:c r="C1047" s="35" t="str">
        <x:v>Round2</x:v>
      </x:c>
      <x:c r="D1047" s="35" t="str">
        <x:v>Closure_54</x:v>
      </x:c>
      <x:c r="E1047" s="35" t="str">
        <x:v>Line</x:v>
      </x:c>
      <x:c r="F1047" s="35"/>
      <x:c r="G1047" s="35" t="str">
        <x:v>A</x:v>
      </x:c>
      <x:c r="H1047" s="39" t="str">
        <x:f>IF(ISNUMBER('Data'!E1047),'Data'!E1047*100,"")</x:f>
      </x:c>
      <x:c r="I1047" s="35"/>
      <x:c r="J1047" s="35" t="str">
        <x:v>PASS</x:v>
      </x:c>
      <x:c r="K1047" s="35" t="str">
        <x:v>FAIL</x:v>
      </x:c>
      <x:c r="L1047" s="35" t="str">
        <x:v>NOT_RUN</x:v>
      </x:c>
      <x:c r="M1047" s="35" t="str">
        <x:v>coverage unavailable or execution/compile failed</x:v>
      </x:c>
      <x:c r="N1047" s="35" t="str">
        <x:v>Deepseek-flash-v4/Result2/Closure_54/result.json</x:v>
      </x:c>
      <x:c r="O1047" s="39" t="str">
        <x:f>IF(AND(G1047="RECORDED",ISNUMBER(H1047)),H1047,"")</x:f>
      </x:c>
      <x:c r="P1047" s="35" t="str">
        <x:v>NOT_AVAILABLE</x:v>
      </x:c>
      <x:c r="Q1047" s="35" t="str">
        <x:v>Deepseek-flash-v4/Result2/Closure_54/result.json</x:v>
      </x:c>
    </x:row>
    <x:row r="1048">
      <x:c r="A1048" s="35" t="str">
        <x:v>deepseek</x:v>
      </x:c>
      <x:c r="B1048" s="35" t="str">
        <x:v>Closure</x:v>
      </x:c>
      <x:c r="C1048" s="35" t="str">
        <x:v>Round2</x:v>
      </x:c>
      <x:c r="D1048" s="35" t="str">
        <x:v>Closure_55</x:v>
      </x:c>
      <x:c r="E1048" s="35" t="str">
        <x:v>Line</x:v>
      </x:c>
      <x:c r="F1048" s="35"/>
      <x:c r="G1048" s="35" t="str">
        <x:v>A</x:v>
      </x:c>
      <x:c r="H1048" s="39" t="str">
        <x:f>IF(ISNUMBER('Data'!E1048),'Data'!E1048*100,"")</x:f>
      </x:c>
      <x:c r="I1048" s="35"/>
      <x:c r="J1048" s="35" t="str">
        <x:v>PASS</x:v>
      </x:c>
      <x:c r="K1048" s="35" t="str">
        <x:v>FAIL</x:v>
      </x:c>
      <x:c r="L1048" s="35" t="str">
        <x:v>NOT_RUN</x:v>
      </x:c>
      <x:c r="M1048" s="35" t="str">
        <x:v>coverage unavailable or execution/compile failed</x:v>
      </x:c>
      <x:c r="N1048" s="35" t="str">
        <x:v>Deepseek-flash-v4/Result2/Closure_55/result.json</x:v>
      </x:c>
      <x:c r="O1048" s="39" t="str">
        <x:f>IF(AND(G1048="RECORDED",ISNUMBER(H1048)),H1048,"")</x:f>
      </x:c>
      <x:c r="P1048" s="35" t="str">
        <x:v>NOT_AVAILABLE</x:v>
      </x:c>
      <x:c r="Q1048" s="35" t="str">
        <x:v>Deepseek-flash-v4/Result2/Closure_55/result.json</x:v>
      </x:c>
    </x:row>
    <x:row r="1049">
      <x:c r="A1049" s="35" t="str">
        <x:v>deepseek</x:v>
      </x:c>
      <x:c r="B1049" s="35" t="str">
        <x:v>Closure</x:v>
      </x:c>
      <x:c r="C1049" s="35" t="str">
        <x:v>Round2</x:v>
      </x:c>
      <x:c r="D1049" s="35" t="str">
        <x:v>Closure_56</x:v>
      </x:c>
      <x:c r="E1049" s="35" t="str">
        <x:v>Line</x:v>
      </x:c>
      <x:c r="F1049" s="35"/>
      <x:c r="G1049" s="35" t="str">
        <x:v>A</x:v>
      </x:c>
      <x:c r="H1049" s="39" t="str">
        <x:f>IF(ISNUMBER('Data'!E1049),'Data'!E1049*100,"")</x:f>
      </x:c>
      <x:c r="I1049" s="35"/>
      <x:c r="J1049" s="35" t="str">
        <x:v>PASS</x:v>
      </x:c>
      <x:c r="K1049" s="35" t="str">
        <x:v>FAIL</x:v>
      </x:c>
      <x:c r="L1049" s="35" t="str">
        <x:v>NOT_RUN</x:v>
      </x:c>
      <x:c r="M1049" s="35" t="str">
        <x:v>coverage unavailable or execution/compile failed</x:v>
      </x:c>
      <x:c r="N1049" s="35" t="str">
        <x:v>Deepseek-flash-v4/Result2/Closure_56/result.json</x:v>
      </x:c>
      <x:c r="O1049" s="39" t="str">
        <x:f>IF(AND(G1049="RECORDED",ISNUMBER(H1049)),H1049,"")</x:f>
      </x:c>
      <x:c r="P1049" s="35" t="str">
        <x:v>NOT_AVAILABLE</x:v>
      </x:c>
      <x:c r="Q1049" s="35" t="str">
        <x:v>Deepseek-flash-v4/Result2/Closure_56/result.json</x:v>
      </x:c>
    </x:row>
    <x:row r="1050">
      <x:c r="A1050" s="35" t="str">
        <x:v>deepseek</x:v>
      </x:c>
      <x:c r="B1050" s="35" t="str">
        <x:v>Closure</x:v>
      </x:c>
      <x:c r="C1050" s="35" t="str">
        <x:v>Round2</x:v>
      </x:c>
      <x:c r="D1050" s="35" t="str">
        <x:v>Closure_57</x:v>
      </x:c>
      <x:c r="E1050" s="35" t="str">
        <x:v>Line</x:v>
      </x:c>
      <x:c r="F1050" s="35"/>
      <x:c r="G1050" s="35" t="str">
        <x:v>A</x:v>
      </x:c>
      <x:c r="H1050" s="39" t="str">
        <x:f>IF(ISNUMBER('Data'!E1050),'Data'!E1050*100,"")</x:f>
      </x:c>
      <x:c r="I1050" s="35"/>
      <x:c r="J1050" s="35" t="str">
        <x:v>PASS</x:v>
      </x:c>
      <x:c r="K1050" s="35" t="str">
        <x:v>FAIL</x:v>
      </x:c>
      <x:c r="L1050" s="35" t="str">
        <x:v>NOT_RUN</x:v>
      </x:c>
      <x:c r="M1050" s="35" t="str">
        <x:v>coverage unavailable or execution/compile failed</x:v>
      </x:c>
      <x:c r="N1050" s="35" t="str">
        <x:v>Deepseek-flash-v4/Result2/Closure_57/result.json</x:v>
      </x:c>
      <x:c r="O1050" s="39" t="str">
        <x:f>IF(AND(G1050="RECORDED",ISNUMBER(H1050)),H1050,"")</x:f>
      </x:c>
      <x:c r="P1050" s="35" t="str">
        <x:v>NOT_AVAILABLE</x:v>
      </x:c>
      <x:c r="Q1050" s="35" t="str">
        <x:v>Deepseek-flash-v4/Result2/Closure_57/result.json</x:v>
      </x:c>
    </x:row>
    <x:row r="1051">
      <x:c r="A1051" s="35" t="str">
        <x:v>deepseek</x:v>
      </x:c>
      <x:c r="B1051" s="35" t="str">
        <x:v>Closure</x:v>
      </x:c>
      <x:c r="C1051" s="35" t="str">
        <x:v>Round2</x:v>
      </x:c>
      <x:c r="D1051" s="35" t="str">
        <x:v>Closure_58</x:v>
      </x:c>
      <x:c r="E1051" s="35" t="str">
        <x:v>Line</x:v>
      </x:c>
      <x:c r="F1051" s="35"/>
      <x:c r="G1051" s="35" t="str">
        <x:v>A</x:v>
      </x:c>
      <x:c r="H1051" s="39" t="str">
        <x:f>IF(ISNUMBER('Data'!E1051),'Data'!E1051*100,"")</x:f>
      </x:c>
      <x:c r="I1051" s="35"/>
      <x:c r="J1051" s="35" t="str">
        <x:v>PASS</x:v>
      </x:c>
      <x:c r="K1051" s="35" t="str">
        <x:v>FAIL</x:v>
      </x:c>
      <x:c r="L1051" s="35" t="str">
        <x:v>NOT_RUN</x:v>
      </x:c>
      <x:c r="M1051" s="35" t="str">
        <x:v>coverage unavailable or execution/compile failed</x:v>
      </x:c>
      <x:c r="N1051" s="35" t="str">
        <x:v>Deepseek-flash-v4/Result2/Closure_58/result.json</x:v>
      </x:c>
      <x:c r="O1051" s="39" t="str">
        <x:f>IF(AND(G1051="RECORDED",ISNUMBER(H1051)),H1051,"")</x:f>
      </x:c>
      <x:c r="P1051" s="35" t="str">
        <x:v>NOT_AVAILABLE</x:v>
      </x:c>
      <x:c r="Q1051" s="35" t="str">
        <x:v>Deepseek-flash-v4/Result2/Closure_58/result.json</x:v>
      </x:c>
    </x:row>
    <x:row r="1052">
      <x:c r="A1052" s="35" t="str">
        <x:v>deepseek</x:v>
      </x:c>
      <x:c r="B1052" s="35" t="str">
        <x:v>Closure</x:v>
      </x:c>
      <x:c r="C1052" s="35" t="str">
        <x:v>Round2</x:v>
      </x:c>
      <x:c r="D1052" s="35" t="str">
        <x:v>Closure_59</x:v>
      </x:c>
      <x:c r="E1052" s="35" t="str">
        <x:v>Line</x:v>
      </x:c>
      <x:c r="F1052" s="35"/>
      <x:c r="G1052" s="35" t="str">
        <x:v>A</x:v>
      </x:c>
      <x:c r="H1052" s="39" t="str">
        <x:f>IF(ISNUMBER('Data'!E1052),'Data'!E1052*100,"")</x:f>
      </x:c>
      <x:c r="I1052" s="35"/>
      <x:c r="J1052" s="35" t="str">
        <x:v>PASS</x:v>
      </x:c>
      <x:c r="K1052" s="35" t="str">
        <x:v>FAIL</x:v>
      </x:c>
      <x:c r="L1052" s="35" t="str">
        <x:v>NOT_RUN</x:v>
      </x:c>
      <x:c r="M1052" s="35" t="str">
        <x:v>coverage unavailable or execution/compile failed</x:v>
      </x:c>
      <x:c r="N1052" s="35" t="str">
        <x:v>Deepseek-flash-v4/Result2/Closure_59/result.json</x:v>
      </x:c>
      <x:c r="O1052" s="39" t="str">
        <x:f>IF(AND(G1052="RECORDED",ISNUMBER(H1052)),H1052,"")</x:f>
      </x:c>
      <x:c r="P1052" s="35" t="str">
        <x:v>NOT_AVAILABLE</x:v>
      </x:c>
      <x:c r="Q1052" s="35" t="str">
        <x:v>Deepseek-flash-v4/Result2/Closure_59/result.json</x:v>
      </x:c>
    </x:row>
    <x:row r="1053">
      <x:c r="A1053" s="35" t="str">
        <x:v>deepseek</x:v>
      </x:c>
      <x:c r="B1053" s="35" t="str">
        <x:v>Closure</x:v>
      </x:c>
      <x:c r="C1053" s="35" t="str">
        <x:v>Round2</x:v>
      </x:c>
      <x:c r="D1053" s="35" t="str">
        <x:v>Closure_6</x:v>
      </x:c>
      <x:c r="E1053" s="35" t="str">
        <x:v>Line</x:v>
      </x:c>
      <x:c r="F1053" s="35"/>
      <x:c r="G1053" s="35" t="str">
        <x:v>A</x:v>
      </x:c>
      <x:c r="H1053" s="39" t="str">
        <x:f>IF(ISNUMBER('Data'!E1053),'Data'!E1053*100,"")</x:f>
      </x:c>
      <x:c r="I1053" s="35"/>
      <x:c r="J1053" s="35" t="str">
        <x:v>PASS</x:v>
      </x:c>
      <x:c r="K1053" s="35" t="str">
        <x:v>FAIL</x:v>
      </x:c>
      <x:c r="L1053" s="35" t="str">
        <x:v>NOT_RUN</x:v>
      </x:c>
      <x:c r="M1053" s="35" t="str">
        <x:v>coverage unavailable or execution/compile failed</x:v>
      </x:c>
      <x:c r="N1053" s="35" t="str">
        <x:v>Deepseek-flash-v4/Result2/Closure_6/result.json</x:v>
      </x:c>
      <x:c r="O1053" s="39" t="str">
        <x:f>IF(AND(G1053="RECORDED",ISNUMBER(H1053)),H1053,"")</x:f>
      </x:c>
      <x:c r="P1053" s="35" t="str">
        <x:v>NOT_AVAILABLE</x:v>
      </x:c>
      <x:c r="Q1053" s="35" t="str">
        <x:v>Deepseek-flash-v4/Result2/Closure_6/result.json</x:v>
      </x:c>
    </x:row>
    <x:row r="1054">
      <x:c r="A1054" s="35" t="str">
        <x:v>deepseek</x:v>
      </x:c>
      <x:c r="B1054" s="35" t="str">
        <x:v>Closure</x:v>
      </x:c>
      <x:c r="C1054" s="35" t="str">
        <x:v>Round2</x:v>
      </x:c>
      <x:c r="D1054" s="35" t="str">
        <x:v>Closure_60</x:v>
      </x:c>
      <x:c r="E1054" s="35" t="str">
        <x:v>Line</x:v>
      </x:c>
      <x:c r="F1054" s="35"/>
      <x:c r="G1054" s="35" t="str">
        <x:v>A</x:v>
      </x:c>
      <x:c r="H1054" s="39" t="str">
        <x:f>IF(ISNUMBER('Data'!E1054),'Data'!E1054*100,"")</x:f>
      </x:c>
      <x:c r="I1054" s="35"/>
      <x:c r="J1054" s="35" t="str">
        <x:v>PASS</x:v>
      </x:c>
      <x:c r="K1054" s="35" t="str">
        <x:v>FAIL</x:v>
      </x:c>
      <x:c r="L1054" s="35" t="str">
        <x:v>NOT_RUN</x:v>
      </x:c>
      <x:c r="M1054" s="35" t="str">
        <x:v>coverage unavailable or execution/compile failed</x:v>
      </x:c>
      <x:c r="N1054" s="35" t="str">
        <x:v>Deepseek-flash-v4/Result2/Closure_60/result.json</x:v>
      </x:c>
      <x:c r="O1054" s="39" t="str">
        <x:f>IF(AND(G1054="RECORDED",ISNUMBER(H1054)),H1054,"")</x:f>
      </x:c>
      <x:c r="P1054" s="35" t="str">
        <x:v>NOT_AVAILABLE</x:v>
      </x:c>
      <x:c r="Q1054" s="35" t="str">
        <x:v>Deepseek-flash-v4/Result2/Closure_60/result.json</x:v>
      </x:c>
    </x:row>
    <x:row r="1055">
      <x:c r="A1055" s="35" t="str">
        <x:v>deepseek</x:v>
      </x:c>
      <x:c r="B1055" s="35" t="str">
        <x:v>Closure</x:v>
      </x:c>
      <x:c r="C1055" s="35" t="str">
        <x:v>Round2</x:v>
      </x:c>
      <x:c r="D1055" s="35" t="str">
        <x:v>Closure_61</x:v>
      </x:c>
      <x:c r="E1055" s="35" t="str">
        <x:v>Line</x:v>
      </x:c>
      <x:c r="F1055" s="35"/>
      <x:c r="G1055" s="35" t="str">
        <x:v>A</x:v>
      </x:c>
      <x:c r="H1055" s="39" t="str">
        <x:f>IF(ISNUMBER('Data'!E1055),'Data'!E1055*100,"")</x:f>
      </x:c>
      <x:c r="I1055" s="35"/>
      <x:c r="J1055" s="35" t="str">
        <x:v>PASS</x:v>
      </x:c>
      <x:c r="K1055" s="35" t="str">
        <x:v>FAIL</x:v>
      </x:c>
      <x:c r="L1055" s="35" t="str">
        <x:v>NOT_RUN</x:v>
      </x:c>
      <x:c r="M1055" s="35" t="str">
        <x:v>coverage unavailable or execution/compile failed</x:v>
      </x:c>
      <x:c r="N1055" s="35" t="str">
        <x:v>Deepseek-flash-v4/Result2/Closure_61/result.json</x:v>
      </x:c>
      <x:c r="O1055" s="39" t="str">
        <x:f>IF(AND(G1055="RECORDED",ISNUMBER(H1055)),H1055,"")</x:f>
      </x:c>
      <x:c r="P1055" s="35" t="str">
        <x:v>NOT_AVAILABLE</x:v>
      </x:c>
      <x:c r="Q1055" s="35" t="str">
        <x:v>Deepseek-flash-v4/Result2/Closure_61/result.json</x:v>
      </x:c>
    </x:row>
    <x:row r="1056">
      <x:c r="A1056" s="35" t="str">
        <x:v>deepseek</x:v>
      </x:c>
      <x:c r="B1056" s="35" t="str">
        <x:v>Closure</x:v>
      </x:c>
      <x:c r="C1056" s="35" t="str">
        <x:v>Round2</x:v>
      </x:c>
      <x:c r="D1056" s="35" t="str">
        <x:v>Closure_62</x:v>
      </x:c>
      <x:c r="E1056" s="35" t="str">
        <x:v>Line</x:v>
      </x:c>
      <x:c r="F1056" s="35"/>
      <x:c r="G1056" s="35" t="str">
        <x:v>A</x:v>
      </x:c>
      <x:c r="H1056" s="39" t="str">
        <x:f>IF(ISNUMBER('Data'!E1056),'Data'!E1056*100,"")</x:f>
      </x:c>
      <x:c r="I1056" s="35"/>
      <x:c r="J1056" s="35" t="str">
        <x:v>PASS</x:v>
      </x:c>
      <x:c r="K1056" s="35" t="str">
        <x:v>FAIL</x:v>
      </x:c>
      <x:c r="L1056" s="35" t="str">
        <x:v>NOT_RUN</x:v>
      </x:c>
      <x:c r="M1056" s="35" t="str">
        <x:v>coverage unavailable or execution/compile failed</x:v>
      </x:c>
      <x:c r="N1056" s="35" t="str">
        <x:v>Deepseek-flash-v4/Result2/Closure_62/result.json</x:v>
      </x:c>
      <x:c r="O1056" s="39" t="str">
        <x:f>IF(AND(G1056="RECORDED",ISNUMBER(H1056)),H1056,"")</x:f>
      </x:c>
      <x:c r="P1056" s="35" t="str">
        <x:v>NOT_AVAILABLE</x:v>
      </x:c>
      <x:c r="Q1056" s="35" t="str">
        <x:v>Deepseek-flash-v4/Result2/Closure_62/result.json</x:v>
      </x:c>
    </x:row>
    <x:row r="1057">
      <x:c r="A1057" s="35" t="str">
        <x:v>deepseek</x:v>
      </x:c>
      <x:c r="B1057" s="35" t="str">
        <x:v>Closure</x:v>
      </x:c>
      <x:c r="C1057" s="35" t="str">
        <x:v>Round2</x:v>
      </x:c>
      <x:c r="D1057" s="35" t="str">
        <x:v>Closure_64</x:v>
      </x:c>
      <x:c r="E1057" s="35" t="str">
        <x:v>Line</x:v>
      </x:c>
      <x:c r="F1057" s="35"/>
      <x:c r="G1057" s="35" t="str">
        <x:v>A</x:v>
      </x:c>
      <x:c r="H1057" s="39" t="str">
        <x:f>IF(ISNUMBER('Data'!E1057),'Data'!E1057*100,"")</x:f>
      </x:c>
      <x:c r="I1057" s="35"/>
      <x:c r="J1057" s="35" t="str">
        <x:v>PASS</x:v>
      </x:c>
      <x:c r="K1057" s="35" t="str">
        <x:v>FAIL</x:v>
      </x:c>
      <x:c r="L1057" s="35" t="str">
        <x:v>NOT_RUN</x:v>
      </x:c>
      <x:c r="M1057" s="35" t="str">
        <x:v>coverage unavailable or execution/compile failed</x:v>
      </x:c>
      <x:c r="N1057" s="35" t="str">
        <x:v>Deepseek-flash-v4/Result2/Closure_64/result.json</x:v>
      </x:c>
      <x:c r="O1057" s="39" t="str">
        <x:f>IF(AND(G1057="RECORDED",ISNUMBER(H1057)),H1057,"")</x:f>
      </x:c>
      <x:c r="P1057" s="35" t="str">
        <x:v>NOT_AVAILABLE</x:v>
      </x:c>
      <x:c r="Q1057" s="35" t="str">
        <x:v>Deepseek-flash-v4/Result2/Closure_64/result.json</x:v>
      </x:c>
    </x:row>
    <x:row r="1058">
      <x:c r="A1058" s="35" t="str">
        <x:v>deepseek</x:v>
      </x:c>
      <x:c r="B1058" s="35" t="str">
        <x:v>Closure</x:v>
      </x:c>
      <x:c r="C1058" s="35" t="str">
        <x:v>Round2</x:v>
      </x:c>
      <x:c r="D1058" s="35" t="str">
        <x:v>Closure_65</x:v>
      </x:c>
      <x:c r="E1058" s="35" t="str">
        <x:v>Line</x:v>
      </x:c>
      <x:c r="F1058" s="35"/>
      <x:c r="G1058" s="35" t="str">
        <x:v>A</x:v>
      </x:c>
      <x:c r="H1058" s="39" t="str">
        <x:f>IF(ISNUMBER('Data'!E1058),'Data'!E1058*100,"")</x:f>
      </x:c>
      <x:c r="I1058" s="35"/>
      <x:c r="J1058" s="35" t="str">
        <x:v>PASS</x:v>
      </x:c>
      <x:c r="K1058" s="35" t="str">
        <x:v>FAIL</x:v>
      </x:c>
      <x:c r="L1058" s="35" t="str">
        <x:v>NOT_RUN</x:v>
      </x:c>
      <x:c r="M1058" s="35" t="str">
        <x:v>coverage unavailable or execution/compile failed</x:v>
      </x:c>
      <x:c r="N1058" s="35" t="str">
        <x:v>Deepseek-flash-v4/Result2/Closure_65/result.json</x:v>
      </x:c>
      <x:c r="O1058" s="39" t="str">
        <x:f>IF(AND(G1058="RECORDED",ISNUMBER(H1058)),H1058,"")</x:f>
      </x:c>
      <x:c r="P1058" s="35" t="str">
        <x:v>NOT_AVAILABLE</x:v>
      </x:c>
      <x:c r="Q1058" s="35" t="str">
        <x:v>Deepseek-flash-v4/Result2/Closure_65/result.json</x:v>
      </x:c>
    </x:row>
    <x:row r="1059">
      <x:c r="A1059" s="35" t="str">
        <x:v>deepseek</x:v>
      </x:c>
      <x:c r="B1059" s="35" t="str">
        <x:v>Closure</x:v>
      </x:c>
      <x:c r="C1059" s="35" t="str">
        <x:v>Round2</x:v>
      </x:c>
      <x:c r="D1059" s="35" t="str">
        <x:v>Closure_66</x:v>
      </x:c>
      <x:c r="E1059" s="35" t="str">
        <x:v>Line</x:v>
      </x:c>
      <x:c r="F1059" s="35"/>
      <x:c r="G1059" s="35" t="str">
        <x:v>A</x:v>
      </x:c>
      <x:c r="H1059" s="39" t="str">
        <x:f>IF(ISNUMBER('Data'!E1059),'Data'!E1059*100,"")</x:f>
      </x:c>
      <x:c r="I1059" s="35"/>
      <x:c r="J1059" s="35" t="str">
        <x:v>PASS</x:v>
      </x:c>
      <x:c r="K1059" s="35" t="str">
        <x:v>FAIL</x:v>
      </x:c>
      <x:c r="L1059" s="35" t="str">
        <x:v>NOT_RUN</x:v>
      </x:c>
      <x:c r="M1059" s="35" t="str">
        <x:v>coverage unavailable or execution/compile failed</x:v>
      </x:c>
      <x:c r="N1059" s="35" t="str">
        <x:v>Deepseek-flash-v4/Result2/Closure_66/result.json</x:v>
      </x:c>
      <x:c r="O1059" s="39" t="str">
        <x:f>IF(AND(G1059="RECORDED",ISNUMBER(H1059)),H1059,"")</x:f>
      </x:c>
      <x:c r="P1059" s="35" t="str">
        <x:v>NOT_AVAILABLE</x:v>
      </x:c>
      <x:c r="Q1059" s="35" t="str">
        <x:v>Deepseek-flash-v4/Result2/Closure_66/result.json</x:v>
      </x:c>
    </x:row>
    <x:row r="1060">
      <x:c r="A1060" s="35" t="str">
        <x:v>deepseek</x:v>
      </x:c>
      <x:c r="B1060" s="35" t="str">
        <x:v>Closure</x:v>
      </x:c>
      <x:c r="C1060" s="35" t="str">
        <x:v>Round2</x:v>
      </x:c>
      <x:c r="D1060" s="35" t="str">
        <x:v>Closure_67</x:v>
      </x:c>
      <x:c r="E1060" s="35" t="str">
        <x:v>Line</x:v>
      </x:c>
      <x:c r="F1060" s="35"/>
      <x:c r="G1060" s="35" t="str">
        <x:v>A</x:v>
      </x:c>
      <x:c r="H1060" s="39" t="str">
        <x:f>IF(ISNUMBER('Data'!E1060),'Data'!E1060*100,"")</x:f>
      </x:c>
      <x:c r="I1060" s="35"/>
      <x:c r="J1060" s="35" t="str">
        <x:v>PASS</x:v>
      </x:c>
      <x:c r="K1060" s="35" t="str">
        <x:v>FAIL</x:v>
      </x:c>
      <x:c r="L1060" s="35" t="str">
        <x:v>NOT_RUN</x:v>
      </x:c>
      <x:c r="M1060" s="35" t="str">
        <x:v>coverage unavailable or execution/compile failed</x:v>
      </x:c>
      <x:c r="N1060" s="35" t="str">
        <x:v>Deepseek-flash-v4/Result2/Closure_67/result.json</x:v>
      </x:c>
      <x:c r="O1060" s="39" t="str">
        <x:f>IF(AND(G1060="RECORDED",ISNUMBER(H1060)),H1060,"")</x:f>
      </x:c>
      <x:c r="P1060" s="35" t="str">
        <x:v>NOT_AVAILABLE</x:v>
      </x:c>
      <x:c r="Q1060" s="35" t="str">
        <x:v>Deepseek-flash-v4/Result2/Closure_67/result.json</x:v>
      </x:c>
    </x:row>
    <x:row r="1061">
      <x:c r="A1061" s="35" t="str">
        <x:v>deepseek</x:v>
      </x:c>
      <x:c r="B1061" s="35" t="str">
        <x:v>Closure</x:v>
      </x:c>
      <x:c r="C1061" s="35" t="str">
        <x:v>Round2</x:v>
      </x:c>
      <x:c r="D1061" s="35" t="str">
        <x:v>Closure_68</x:v>
      </x:c>
      <x:c r="E1061" s="35" t="str">
        <x:v>Line</x:v>
      </x:c>
      <x:c r="F1061" s="35"/>
      <x:c r="G1061" s="35" t="str">
        <x:v>A</x:v>
      </x:c>
      <x:c r="H1061" s="39" t="str">
        <x:f>IF(ISNUMBER('Data'!E1061),'Data'!E1061*100,"")</x:f>
      </x:c>
      <x:c r="I1061" s="35"/>
      <x:c r="J1061" s="35" t="str">
        <x:v>PASS</x:v>
      </x:c>
      <x:c r="K1061" s="35" t="str">
        <x:v>FAIL</x:v>
      </x:c>
      <x:c r="L1061" s="35" t="str">
        <x:v>NOT_RUN</x:v>
      </x:c>
      <x:c r="M1061" s="35" t="str">
        <x:v>coverage unavailable or execution/compile failed</x:v>
      </x:c>
      <x:c r="N1061" s="35" t="str">
        <x:v>Deepseek-flash-v4/Result2/Closure_68/result.json</x:v>
      </x:c>
      <x:c r="O1061" s="39" t="str">
        <x:f>IF(AND(G1061="RECORDED",ISNUMBER(H1061)),H1061,"")</x:f>
      </x:c>
      <x:c r="P1061" s="35" t="str">
        <x:v>NOT_AVAILABLE</x:v>
      </x:c>
      <x:c r="Q1061" s="35" t="str">
        <x:v>Deepseek-flash-v4/Result2/Closure_68/result.json</x:v>
      </x:c>
    </x:row>
    <x:row r="1062">
      <x:c r="A1062" s="35" t="str">
        <x:v>deepseek</x:v>
      </x:c>
      <x:c r="B1062" s="35" t="str">
        <x:v>Closure</x:v>
      </x:c>
      <x:c r="C1062" s="35" t="str">
        <x:v>Round2</x:v>
      </x:c>
      <x:c r="D1062" s="35" t="str">
        <x:v>Closure_69</x:v>
      </x:c>
      <x:c r="E1062" s="35" t="str">
        <x:v>Line</x:v>
      </x:c>
      <x:c r="F1062" s="35"/>
      <x:c r="G1062" s="35" t="str">
        <x:v>A</x:v>
      </x:c>
      <x:c r="H1062" s="39" t="str">
        <x:f>IF(ISNUMBER('Data'!E1062),'Data'!E1062*100,"")</x:f>
      </x:c>
      <x:c r="I1062" s="35"/>
      <x:c r="J1062" s="35" t="str">
        <x:v>PASS</x:v>
      </x:c>
      <x:c r="K1062" s="35" t="str">
        <x:v>FAIL</x:v>
      </x:c>
      <x:c r="L1062" s="35" t="str">
        <x:v>NOT_RUN</x:v>
      </x:c>
      <x:c r="M1062" s="35" t="str">
        <x:v>coverage unavailable or execution/compile failed</x:v>
      </x:c>
      <x:c r="N1062" s="35" t="str">
        <x:v>Deepseek-flash-v4/Result2/Closure_69/result.json</x:v>
      </x:c>
      <x:c r="O1062" s="39" t="str">
        <x:f>IF(AND(G1062="RECORDED",ISNUMBER(H1062)),H1062,"")</x:f>
      </x:c>
      <x:c r="P1062" s="35" t="str">
        <x:v>NOT_AVAILABLE</x:v>
      </x:c>
      <x:c r="Q1062" s="35" t="str">
        <x:v>Deepseek-flash-v4/Result2/Closure_69/result.json</x:v>
      </x:c>
    </x:row>
    <x:row r="1063">
      <x:c r="A1063" s="35" t="str">
        <x:v>deepseek</x:v>
      </x:c>
      <x:c r="B1063" s="35" t="str">
        <x:v>Closure</x:v>
      </x:c>
      <x:c r="C1063" s="35" t="str">
        <x:v>Round2</x:v>
      </x:c>
      <x:c r="D1063" s="35" t="str">
        <x:v>Closure_7</x:v>
      </x:c>
      <x:c r="E1063" s="35" t="str">
        <x:v>Line</x:v>
      </x:c>
      <x:c r="F1063" s="35"/>
      <x:c r="G1063" s="35" t="str">
        <x:v>A</x:v>
      </x:c>
      <x:c r="H1063" s="39" t="str">
        <x:f>IF(ISNUMBER('Data'!E1063),'Data'!E1063*100,"")</x:f>
      </x:c>
      <x:c r="I1063" s="35"/>
      <x:c r="J1063" s="35" t="str">
        <x:v>PASS</x:v>
      </x:c>
      <x:c r="K1063" s="35" t="str">
        <x:v>FAIL</x:v>
      </x:c>
      <x:c r="L1063" s="35" t="str">
        <x:v>NOT_RUN</x:v>
      </x:c>
      <x:c r="M1063" s="35" t="str">
        <x:v>coverage unavailable or execution/compile failed</x:v>
      </x:c>
      <x:c r="N1063" s="35" t="str">
        <x:v>Deepseek-flash-v4/Result2/Closure_7/result.json</x:v>
      </x:c>
      <x:c r="O1063" s="39" t="str">
        <x:f>IF(AND(G1063="RECORDED",ISNUMBER(H1063)),H1063,"")</x:f>
      </x:c>
      <x:c r="P1063" s="35" t="str">
        <x:v>NOT_AVAILABLE</x:v>
      </x:c>
      <x:c r="Q1063" s="35" t="str">
        <x:v>Deepseek-flash-v4/Result2/Closure_7/result.json</x:v>
      </x:c>
    </x:row>
    <x:row r="1064">
      <x:c r="A1064" s="35" t="str">
        <x:v>deepseek</x:v>
      </x:c>
      <x:c r="B1064" s="35" t="str">
        <x:v>Closure</x:v>
      </x:c>
      <x:c r="C1064" s="35" t="str">
        <x:v>Round2</x:v>
      </x:c>
      <x:c r="D1064" s="35" t="str">
        <x:v>Closure_70</x:v>
      </x:c>
      <x:c r="E1064" s="35" t="str">
        <x:v>Line</x:v>
      </x:c>
      <x:c r="F1064" s="35"/>
      <x:c r="G1064" s="35" t="str">
        <x:v>A</x:v>
      </x:c>
      <x:c r="H1064" s="39" t="str">
        <x:f>IF(ISNUMBER('Data'!E1064),'Data'!E1064*100,"")</x:f>
      </x:c>
      <x:c r="I1064" s="35"/>
      <x:c r="J1064" s="35" t="str">
        <x:v>PASS</x:v>
      </x:c>
      <x:c r="K1064" s="35" t="str">
        <x:v>FAIL</x:v>
      </x:c>
      <x:c r="L1064" s="35" t="str">
        <x:v>NOT_RUN</x:v>
      </x:c>
      <x:c r="M1064" s="35" t="str">
        <x:v>coverage unavailable or execution/compile failed</x:v>
      </x:c>
      <x:c r="N1064" s="35" t="str">
        <x:v>Deepseek-flash-v4/Result2/Closure_70/result.json</x:v>
      </x:c>
      <x:c r="O1064" s="39" t="str">
        <x:f>IF(AND(G1064="RECORDED",ISNUMBER(H1064)),H1064,"")</x:f>
      </x:c>
      <x:c r="P1064" s="35" t="str">
        <x:v>NOT_AVAILABLE</x:v>
      </x:c>
      <x:c r="Q1064" s="35" t="str">
        <x:v>Deepseek-flash-v4/Result2/Closure_70/result.json</x:v>
      </x:c>
    </x:row>
    <x:row r="1065">
      <x:c r="A1065" s="35" t="str">
        <x:v>deepseek</x:v>
      </x:c>
      <x:c r="B1065" s="35" t="str">
        <x:v>Closure</x:v>
      </x:c>
      <x:c r="C1065" s="35" t="str">
        <x:v>Round2</x:v>
      </x:c>
      <x:c r="D1065" s="35" t="str">
        <x:v>Closure_71</x:v>
      </x:c>
      <x:c r="E1065" s="35" t="str">
        <x:v>Line</x:v>
      </x:c>
      <x:c r="F1065" s="35"/>
      <x:c r="G1065" s="35" t="str">
        <x:v>A</x:v>
      </x:c>
      <x:c r="H1065" s="39" t="str">
        <x:f>IF(ISNUMBER('Data'!E1065),'Data'!E1065*100,"")</x:f>
      </x:c>
      <x:c r="I1065" s="35"/>
      <x:c r="J1065" s="35" t="str">
        <x:v>PASS</x:v>
      </x:c>
      <x:c r="K1065" s="35" t="str">
        <x:v>FAIL</x:v>
      </x:c>
      <x:c r="L1065" s="35" t="str">
        <x:v>NOT_RUN</x:v>
      </x:c>
      <x:c r="M1065" s="35" t="str">
        <x:v>coverage unavailable or execution/compile failed</x:v>
      </x:c>
      <x:c r="N1065" s="35" t="str">
        <x:v>Deepseek-flash-v4/Result2/Closure_71/result.json</x:v>
      </x:c>
      <x:c r="O1065" s="39" t="str">
        <x:f>IF(AND(G1065="RECORDED",ISNUMBER(H1065)),H1065,"")</x:f>
      </x:c>
      <x:c r="P1065" s="35" t="str">
        <x:v>NOT_AVAILABLE</x:v>
      </x:c>
      <x:c r="Q1065" s="35" t="str">
        <x:v>Deepseek-flash-v4/Result2/Closure_71/result.json</x:v>
      </x:c>
    </x:row>
    <x:row r="1066">
      <x:c r="A1066" s="35" t="str">
        <x:v>deepseek</x:v>
      </x:c>
      <x:c r="B1066" s="35" t="str">
        <x:v>Closure</x:v>
      </x:c>
      <x:c r="C1066" s="35" t="str">
        <x:v>Round2</x:v>
      </x:c>
      <x:c r="D1066" s="35" t="str">
        <x:v>Closure_72</x:v>
      </x:c>
      <x:c r="E1066" s="35" t="str">
        <x:v>Line</x:v>
      </x:c>
      <x:c r="F1066" s="35"/>
      <x:c r="G1066" s="35" t="str">
        <x:v>A</x:v>
      </x:c>
      <x:c r="H1066" s="39" t="str">
        <x:f>IF(ISNUMBER('Data'!E1066),'Data'!E1066*100,"")</x:f>
      </x:c>
      <x:c r="I1066" s="35"/>
      <x:c r="J1066" s="35" t="str">
        <x:v>PASS</x:v>
      </x:c>
      <x:c r="K1066" s="35" t="str">
        <x:v>FAIL</x:v>
      </x:c>
      <x:c r="L1066" s="35" t="str">
        <x:v>NOT_RUN</x:v>
      </x:c>
      <x:c r="M1066" s="35" t="str">
        <x:v>coverage unavailable or execution/compile failed</x:v>
      </x:c>
      <x:c r="N1066" s="35" t="str">
        <x:v>Deepseek-flash-v4/Result2/Closure_72/result.json</x:v>
      </x:c>
      <x:c r="O1066" s="39" t="str">
        <x:f>IF(AND(G1066="RECORDED",ISNUMBER(H1066)),H1066,"")</x:f>
      </x:c>
      <x:c r="P1066" s="35" t="str">
        <x:v>NOT_AVAILABLE</x:v>
      </x:c>
      <x:c r="Q1066" s="35" t="str">
        <x:v>Deepseek-flash-v4/Result2/Closure_72/result.json</x:v>
      </x:c>
    </x:row>
    <x:row r="1067">
      <x:c r="A1067" s="35" t="str">
        <x:v>deepseek</x:v>
      </x:c>
      <x:c r="B1067" s="35" t="str">
        <x:v>Closure</x:v>
      </x:c>
      <x:c r="C1067" s="35" t="str">
        <x:v>Round2</x:v>
      </x:c>
      <x:c r="D1067" s="35" t="str">
        <x:v>Closure_73</x:v>
      </x:c>
      <x:c r="E1067" s="35" t="str">
        <x:v>Line</x:v>
      </x:c>
      <x:c r="F1067" s="35"/>
      <x:c r="G1067" s="35" t="str">
        <x:v>A</x:v>
      </x:c>
      <x:c r="H1067" s="39" t="str">
        <x:f>IF(ISNUMBER('Data'!E1067),'Data'!E1067*100,"")</x:f>
      </x:c>
      <x:c r="I1067" s="35"/>
      <x:c r="J1067" s="35" t="str">
        <x:v>PASS</x:v>
      </x:c>
      <x:c r="K1067" s="35" t="str">
        <x:v>FAIL</x:v>
      </x:c>
      <x:c r="L1067" s="35" t="str">
        <x:v>NOT_RUN</x:v>
      </x:c>
      <x:c r="M1067" s="35" t="str">
        <x:v>coverage unavailable or execution/compile failed</x:v>
      </x:c>
      <x:c r="N1067" s="35" t="str">
        <x:v>Deepseek-flash-v4/Result2/Closure_73/result.json</x:v>
      </x:c>
      <x:c r="O1067" s="39" t="str">
        <x:f>IF(AND(G1067="RECORDED",ISNUMBER(H1067)),H1067,"")</x:f>
      </x:c>
      <x:c r="P1067" s="35" t="str">
        <x:v>NOT_AVAILABLE</x:v>
      </x:c>
      <x:c r="Q1067" s="35" t="str">
        <x:v>Deepseek-flash-v4/Result2/Closure_73/result.json</x:v>
      </x:c>
    </x:row>
    <x:row r="1068">
      <x:c r="A1068" s="35" t="str">
        <x:v>deepseek</x:v>
      </x:c>
      <x:c r="B1068" s="35" t="str">
        <x:v>Closure</x:v>
      </x:c>
      <x:c r="C1068" s="35" t="str">
        <x:v>Round2</x:v>
      </x:c>
      <x:c r="D1068" s="35" t="str">
        <x:v>Closure_74</x:v>
      </x:c>
      <x:c r="E1068" s="35" t="str">
        <x:v>Line</x:v>
      </x:c>
      <x:c r="F1068" s="35" t="n">
        <x:v>800</x:v>
      </x:c>
      <x:c r="G1068" s="35" t="str">
        <x:v>RECORDED</x:v>
      </x:c>
      <x:c r="H1068" s="39" t="n">
        <x:f>IF(ISNUMBER('Data'!E1068),'Data'!E1068*100,"")</x:f>
        <x:v>55.75</x:v>
      </x:c>
      <x:c r="I1068" s="35" t="str">
        <x:v>PASS</x:v>
      </x:c>
      <x:c r="J1068" s="35" t="str">
        <x:v>PASS</x:v>
      </x:c>
      <x:c r="K1068" s="35" t="str">
        <x:v>PASS</x:v>
      </x:c>
      <x:c r="L1068" s="35" t="str">
        <x:v>FAIL</x:v>
      </x:c>
      <x:c r="M1068" s="35" t="str">
        <x:v>numeric coverage for applicable metric</x:v>
      </x:c>
      <x:c r="N1068" s="35" t="str">
        <x:v>Deepseek-flash-v4/Result2/Closure_74/result.json</x:v>
      </x:c>
      <x:c r="O1068" s="39" t="n">
        <x:f>IF(AND(G1068="RECORDED",ISNUMBER(H1068)),H1068,"")</x:f>
        <x:v>55.75</x:v>
      </x:c>
      <x:c r="P1068" s="35" t="str">
        <x:v>INCONCLUSIVE</x:v>
      </x:c>
      <x:c r="Q1068" s="35" t="str">
        <x:v>Deepseek-flash-v4/Result2/Closure_74/result.json</x:v>
      </x:c>
    </x:row>
    <x:row r="1069">
      <x:c r="A1069" s="35" t="str">
        <x:v>deepseek</x:v>
      </x:c>
      <x:c r="B1069" s="35" t="str">
        <x:v>Closure</x:v>
      </x:c>
      <x:c r="C1069" s="35" t="str">
        <x:v>Round2</x:v>
      </x:c>
      <x:c r="D1069" s="35" t="str">
        <x:v>Closure_75</x:v>
      </x:c>
      <x:c r="E1069" s="35" t="str">
        <x:v>Line</x:v>
      </x:c>
      <x:c r="F1069" s="35"/>
      <x:c r="G1069" s="35" t="str">
        <x:v>A</x:v>
      </x:c>
      <x:c r="H1069" s="39" t="str">
        <x:f>IF(ISNUMBER('Data'!E1069),'Data'!E1069*100,"")</x:f>
      </x:c>
      <x:c r="I1069" s="35"/>
      <x:c r="J1069" s="35" t="str">
        <x:v>PASS</x:v>
      </x:c>
      <x:c r="K1069" s="35" t="str">
        <x:v>FAIL</x:v>
      </x:c>
      <x:c r="L1069" s="35" t="str">
        <x:v>NOT_RUN</x:v>
      </x:c>
      <x:c r="M1069" s="35" t="str">
        <x:v>coverage unavailable or execution/compile failed</x:v>
      </x:c>
      <x:c r="N1069" s="35" t="str">
        <x:v>Deepseek-flash-v4/Result2/Closure_75/result.json</x:v>
      </x:c>
      <x:c r="O1069" s="39" t="str">
        <x:f>IF(AND(G1069="RECORDED",ISNUMBER(H1069)),H1069,"")</x:f>
      </x:c>
      <x:c r="P1069" s="35" t="str">
        <x:v>NOT_AVAILABLE</x:v>
      </x:c>
      <x:c r="Q1069" s="35" t="str">
        <x:v>Deepseek-flash-v4/Result2/Closure_75/result.json</x:v>
      </x:c>
    </x:row>
    <x:row r="1070">
      <x:c r="A1070" s="35" t="str">
        <x:v>deepseek</x:v>
      </x:c>
      <x:c r="B1070" s="35" t="str">
        <x:v>Closure</x:v>
      </x:c>
      <x:c r="C1070" s="35" t="str">
        <x:v>Round2</x:v>
      </x:c>
      <x:c r="D1070" s="35" t="str">
        <x:v>Closure_76</x:v>
      </x:c>
      <x:c r="E1070" s="35" t="str">
        <x:v>Line</x:v>
      </x:c>
      <x:c r="F1070" s="35"/>
      <x:c r="G1070" s="35" t="str">
        <x:v>A</x:v>
      </x:c>
      <x:c r="H1070" s="39" t="str">
        <x:f>IF(ISNUMBER('Data'!E1070),'Data'!E1070*100,"")</x:f>
      </x:c>
      <x:c r="I1070" s="35"/>
      <x:c r="J1070" s="35" t="str">
        <x:v>PASS</x:v>
      </x:c>
      <x:c r="K1070" s="35" t="str">
        <x:v>FAIL</x:v>
      </x:c>
      <x:c r="L1070" s="35" t="str">
        <x:v>NOT_RUN</x:v>
      </x:c>
      <x:c r="M1070" s="35" t="str">
        <x:v>coverage unavailable or execution/compile failed</x:v>
      </x:c>
      <x:c r="N1070" s="35" t="str">
        <x:v>Deepseek-flash-v4/Result2/Closure_76/result.json</x:v>
      </x:c>
      <x:c r="O1070" s="39" t="str">
        <x:f>IF(AND(G1070="RECORDED",ISNUMBER(H1070)),H1070,"")</x:f>
      </x:c>
      <x:c r="P1070" s="35" t="str">
        <x:v>NOT_AVAILABLE</x:v>
      </x:c>
      <x:c r="Q1070" s="35" t="str">
        <x:v>Deepseek-flash-v4/Result2/Closure_76/result.json</x:v>
      </x:c>
    </x:row>
    <x:row r="1071">
      <x:c r="A1071" s="35" t="str">
        <x:v>deepseek</x:v>
      </x:c>
      <x:c r="B1071" s="35" t="str">
        <x:v>Closure</x:v>
      </x:c>
      <x:c r="C1071" s="35" t="str">
        <x:v>Round2</x:v>
      </x:c>
      <x:c r="D1071" s="35" t="str">
        <x:v>Closure_77</x:v>
      </x:c>
      <x:c r="E1071" s="35" t="str">
        <x:v>Line</x:v>
      </x:c>
      <x:c r="F1071" s="35"/>
      <x:c r="G1071" s="35" t="str">
        <x:v>A</x:v>
      </x:c>
      <x:c r="H1071" s="39" t="str">
        <x:f>IF(ISNUMBER('Data'!E1071),'Data'!E1071*100,"")</x:f>
      </x:c>
      <x:c r="I1071" s="35"/>
      <x:c r="J1071" s="35" t="str">
        <x:v>PASS</x:v>
      </x:c>
      <x:c r="K1071" s="35" t="str">
        <x:v>FAIL</x:v>
      </x:c>
      <x:c r="L1071" s="35" t="str">
        <x:v>NOT_RUN</x:v>
      </x:c>
      <x:c r="M1071" s="35" t="str">
        <x:v>coverage unavailable or execution/compile failed</x:v>
      </x:c>
      <x:c r="N1071" s="35" t="str">
        <x:v>Deepseek-flash-v4/Result2/Closure_77/result.json</x:v>
      </x:c>
      <x:c r="O1071" s="39" t="str">
        <x:f>IF(AND(G1071="RECORDED",ISNUMBER(H1071)),H1071,"")</x:f>
      </x:c>
      <x:c r="P1071" s="35" t="str">
        <x:v>NOT_AVAILABLE</x:v>
      </x:c>
      <x:c r="Q1071" s="35" t="str">
        <x:v>Deepseek-flash-v4/Result2/Closure_77/result.json</x:v>
      </x:c>
    </x:row>
    <x:row r="1072">
      <x:c r="A1072" s="35" t="str">
        <x:v>deepseek</x:v>
      </x:c>
      <x:c r="B1072" s="35" t="str">
        <x:v>Closure</x:v>
      </x:c>
      <x:c r="C1072" s="35" t="str">
        <x:v>Round2</x:v>
      </x:c>
      <x:c r="D1072" s="35" t="str">
        <x:v>Closure_78</x:v>
      </x:c>
      <x:c r="E1072" s="35" t="str">
        <x:v>Line</x:v>
      </x:c>
      <x:c r="F1072" s="35"/>
      <x:c r="G1072" s="35" t="str">
        <x:v>A</x:v>
      </x:c>
      <x:c r="H1072" s="39" t="str">
        <x:f>IF(ISNUMBER('Data'!E1072),'Data'!E1072*100,"")</x:f>
      </x:c>
      <x:c r="I1072" s="35"/>
      <x:c r="J1072" s="35" t="str">
        <x:v>PASS</x:v>
      </x:c>
      <x:c r="K1072" s="35" t="str">
        <x:v>FAIL</x:v>
      </x:c>
      <x:c r="L1072" s="35" t="str">
        <x:v>NOT_RUN</x:v>
      </x:c>
      <x:c r="M1072" s="35" t="str">
        <x:v>coverage unavailable or execution/compile failed</x:v>
      </x:c>
      <x:c r="N1072" s="35" t="str">
        <x:v>Deepseek-flash-v4/Result2/Closure_78/result.json</x:v>
      </x:c>
      <x:c r="O1072" s="39" t="str">
        <x:f>IF(AND(G1072="RECORDED",ISNUMBER(H1072)),H1072,"")</x:f>
      </x:c>
      <x:c r="P1072" s="35" t="str">
        <x:v>NOT_AVAILABLE</x:v>
      </x:c>
      <x:c r="Q1072" s="35" t="str">
        <x:v>Deepseek-flash-v4/Result2/Closure_78/result.json</x:v>
      </x:c>
    </x:row>
    <x:row r="1073">
      <x:c r="A1073" s="35" t="str">
        <x:v>deepseek</x:v>
      </x:c>
      <x:c r="B1073" s="35" t="str">
        <x:v>Closure</x:v>
      </x:c>
      <x:c r="C1073" s="35" t="str">
        <x:v>Round2</x:v>
      </x:c>
      <x:c r="D1073" s="35" t="str">
        <x:v>Closure_79</x:v>
      </x:c>
      <x:c r="E1073" s="35" t="str">
        <x:v>Line</x:v>
      </x:c>
      <x:c r="F1073" s="35"/>
      <x:c r="G1073" s="35" t="str">
        <x:v>A</x:v>
      </x:c>
      <x:c r="H1073" s="39" t="str">
        <x:f>IF(ISNUMBER('Data'!E1073),'Data'!E1073*100,"")</x:f>
      </x:c>
      <x:c r="I1073" s="35"/>
      <x:c r="J1073" s="35" t="str">
        <x:v>PASS</x:v>
      </x:c>
      <x:c r="K1073" s="35" t="str">
        <x:v>FAIL</x:v>
      </x:c>
      <x:c r="L1073" s="35" t="str">
        <x:v>NOT_RUN</x:v>
      </x:c>
      <x:c r="M1073" s="35" t="str">
        <x:v>coverage unavailable or execution/compile failed</x:v>
      </x:c>
      <x:c r="N1073" s="35" t="str">
        <x:v>Deepseek-flash-v4/Result2/Closure_79/result.json</x:v>
      </x:c>
      <x:c r="O1073" s="39" t="str">
        <x:f>IF(AND(G1073="RECORDED",ISNUMBER(H1073)),H1073,"")</x:f>
      </x:c>
      <x:c r="P1073" s="35" t="str">
        <x:v>NOT_AVAILABLE</x:v>
      </x:c>
      <x:c r="Q1073" s="35" t="str">
        <x:v>Deepseek-flash-v4/Result2/Closure_79/result.json</x:v>
      </x:c>
    </x:row>
    <x:row r="1074">
      <x:c r="A1074" s="35" t="str">
        <x:v>deepseek</x:v>
      </x:c>
      <x:c r="B1074" s="35" t="str">
        <x:v>Closure</x:v>
      </x:c>
      <x:c r="C1074" s="35" t="str">
        <x:v>Round2</x:v>
      </x:c>
      <x:c r="D1074" s="35" t="str">
        <x:v>Closure_8</x:v>
      </x:c>
      <x:c r="E1074" s="35" t="str">
        <x:v>Line</x:v>
      </x:c>
      <x:c r="F1074" s="35"/>
      <x:c r="G1074" s="35" t="str">
        <x:v>A</x:v>
      </x:c>
      <x:c r="H1074" s="39" t="str">
        <x:f>IF(ISNUMBER('Data'!E1074),'Data'!E1074*100,"")</x:f>
      </x:c>
      <x:c r="I1074" s="35"/>
      <x:c r="J1074" s="35" t="str">
        <x:v>PASS</x:v>
      </x:c>
      <x:c r="K1074" s="35" t="str">
        <x:v>FAIL</x:v>
      </x:c>
      <x:c r="L1074" s="35" t="str">
        <x:v>NOT_RUN</x:v>
      </x:c>
      <x:c r="M1074" s="35" t="str">
        <x:v>coverage unavailable or execution/compile failed</x:v>
      </x:c>
      <x:c r="N1074" s="35" t="str">
        <x:v>Deepseek-flash-v4/Result2/Closure_8/result.json</x:v>
      </x:c>
      <x:c r="O1074" s="39" t="str">
        <x:f>IF(AND(G1074="RECORDED",ISNUMBER(H1074)),H1074,"")</x:f>
      </x:c>
      <x:c r="P1074" s="35" t="str">
        <x:v>NOT_AVAILABLE</x:v>
      </x:c>
      <x:c r="Q1074" s="35" t="str">
        <x:v>Deepseek-flash-v4/Result2/Closure_8/result.json</x:v>
      </x:c>
    </x:row>
    <x:row r="1075">
      <x:c r="A1075" s="35" t="str">
        <x:v>deepseek</x:v>
      </x:c>
      <x:c r="B1075" s="35" t="str">
        <x:v>Closure</x:v>
      </x:c>
      <x:c r="C1075" s="35" t="str">
        <x:v>Round2</x:v>
      </x:c>
      <x:c r="D1075" s="35" t="str">
        <x:v>Closure_80</x:v>
      </x:c>
      <x:c r="E1075" s="35" t="str">
        <x:v>Line</x:v>
      </x:c>
      <x:c r="F1075" s="35"/>
      <x:c r="G1075" s="35" t="str">
        <x:v>A</x:v>
      </x:c>
      <x:c r="H1075" s="39" t="str">
        <x:f>IF(ISNUMBER('Data'!E1075),'Data'!E1075*100,"")</x:f>
      </x:c>
      <x:c r="I1075" s="35"/>
      <x:c r="J1075" s="35" t="str">
        <x:v>PASS</x:v>
      </x:c>
      <x:c r="K1075" s="35" t="str">
        <x:v>FAIL</x:v>
      </x:c>
      <x:c r="L1075" s="35" t="str">
        <x:v>NOT_RUN</x:v>
      </x:c>
      <x:c r="M1075" s="35" t="str">
        <x:v>coverage unavailable or execution/compile failed</x:v>
      </x:c>
      <x:c r="N1075" s="35" t="str">
        <x:v>Deepseek-flash-v4/Result2/Closure_80/result.json</x:v>
      </x:c>
      <x:c r="O1075" s="39" t="str">
        <x:f>IF(AND(G1075="RECORDED",ISNUMBER(H1075)),H1075,"")</x:f>
      </x:c>
      <x:c r="P1075" s="35" t="str">
        <x:v>NOT_AVAILABLE</x:v>
      </x:c>
      <x:c r="Q1075" s="35" t="str">
        <x:v>Deepseek-flash-v4/Result2/Closure_80/result.json</x:v>
      </x:c>
    </x:row>
    <x:row r="1076">
      <x:c r="A1076" s="35" t="str">
        <x:v>deepseek</x:v>
      </x:c>
      <x:c r="B1076" s="35" t="str">
        <x:v>Closure</x:v>
      </x:c>
      <x:c r="C1076" s="35" t="str">
        <x:v>Round2</x:v>
      </x:c>
      <x:c r="D1076" s="35" t="str">
        <x:v>Closure_81</x:v>
      </x:c>
      <x:c r="E1076" s="35" t="str">
        <x:v>Line</x:v>
      </x:c>
      <x:c r="F1076" s="35"/>
      <x:c r="G1076" s="35" t="str">
        <x:v>A</x:v>
      </x:c>
      <x:c r="H1076" s="39" t="str">
        <x:f>IF(ISNUMBER('Data'!E1076),'Data'!E1076*100,"")</x:f>
      </x:c>
      <x:c r="I1076" s="35"/>
      <x:c r="J1076" s="35" t="str">
        <x:v>PASS</x:v>
      </x:c>
      <x:c r="K1076" s="35" t="str">
        <x:v>FAIL</x:v>
      </x:c>
      <x:c r="L1076" s="35" t="str">
        <x:v>NOT_RUN</x:v>
      </x:c>
      <x:c r="M1076" s="35" t="str">
        <x:v>coverage unavailable or execution/compile failed</x:v>
      </x:c>
      <x:c r="N1076" s="35" t="str">
        <x:v>Deepseek-flash-v4/Result2/Closure_81/result.json</x:v>
      </x:c>
      <x:c r="O1076" s="39" t="str">
        <x:f>IF(AND(G1076="RECORDED",ISNUMBER(H1076)),H1076,"")</x:f>
      </x:c>
      <x:c r="P1076" s="35" t="str">
        <x:v>NOT_AVAILABLE</x:v>
      </x:c>
      <x:c r="Q1076" s="35" t="str">
        <x:v>Deepseek-flash-v4/Result2/Closure_81/result.json</x:v>
      </x:c>
    </x:row>
    <x:row r="1077">
      <x:c r="A1077" s="35" t="str">
        <x:v>deepseek</x:v>
      </x:c>
      <x:c r="B1077" s="35" t="str">
        <x:v>Closure</x:v>
      </x:c>
      <x:c r="C1077" s="35" t="str">
        <x:v>Round2</x:v>
      </x:c>
      <x:c r="D1077" s="35" t="str">
        <x:v>Closure_82</x:v>
      </x:c>
      <x:c r="E1077" s="35" t="str">
        <x:v>Line</x:v>
      </x:c>
      <x:c r="F1077" s="35"/>
      <x:c r="G1077" s="35" t="str">
        <x:v>A</x:v>
      </x:c>
      <x:c r="H1077" s="39" t="str">
        <x:f>IF(ISNUMBER('Data'!E1077),'Data'!E1077*100,"")</x:f>
      </x:c>
      <x:c r="I1077" s="35"/>
      <x:c r="J1077" s="35" t="str">
        <x:v>PASS</x:v>
      </x:c>
      <x:c r="K1077" s="35" t="str">
        <x:v>FAIL</x:v>
      </x:c>
      <x:c r="L1077" s="35" t="str">
        <x:v>NOT_RUN</x:v>
      </x:c>
      <x:c r="M1077" s="35" t="str">
        <x:v>coverage unavailable or execution/compile failed</x:v>
      </x:c>
      <x:c r="N1077" s="35" t="str">
        <x:v>Deepseek-flash-v4/Result2/Closure_82/result.json</x:v>
      </x:c>
      <x:c r="O1077" s="39" t="str">
        <x:f>IF(AND(G1077="RECORDED",ISNUMBER(H1077)),H1077,"")</x:f>
      </x:c>
      <x:c r="P1077" s="35" t="str">
        <x:v>NOT_AVAILABLE</x:v>
      </x:c>
      <x:c r="Q1077" s="35" t="str">
        <x:v>Deepseek-flash-v4/Result2/Closure_82/result.json</x:v>
      </x:c>
    </x:row>
    <x:row r="1078">
      <x:c r="A1078" s="35" t="str">
        <x:v>deepseek</x:v>
      </x:c>
      <x:c r="B1078" s="35" t="str">
        <x:v>Closure</x:v>
      </x:c>
      <x:c r="C1078" s="35" t="str">
        <x:v>Round2</x:v>
      </x:c>
      <x:c r="D1078" s="35" t="str">
        <x:v>Closure_83</x:v>
      </x:c>
      <x:c r="E1078" s="35" t="str">
        <x:v>Line</x:v>
      </x:c>
      <x:c r="F1078" s="35" t="n">
        <x:v>193</x:v>
      </x:c>
      <x:c r="G1078" s="35" t="str">
        <x:v>RECORDED</x:v>
      </x:c>
      <x:c r="H1078" s="39" t="n">
        <x:f>IF(ISNUMBER('Data'!E1078),'Data'!E1078*100,"")</x:f>
        <x:v>77.72</x:v>
      </x:c>
      <x:c r="I1078" s="35" t="str">
        <x:v>PASS</x:v>
      </x:c>
      <x:c r="J1078" s="35" t="str">
        <x:v>PASS</x:v>
      </x:c>
      <x:c r="K1078" s="35" t="str">
        <x:v>PASS</x:v>
      </x:c>
      <x:c r="L1078" s="35" t="str">
        <x:v>FAIL</x:v>
      </x:c>
      <x:c r="M1078" s="35" t="str">
        <x:v>numeric coverage for applicable metric</x:v>
      </x:c>
      <x:c r="N1078" s="35" t="str">
        <x:v>Deepseek-flash-v4/Result2/Closure_83/result.json</x:v>
      </x:c>
      <x:c r="O1078" s="39" t="n">
        <x:f>IF(AND(G1078="RECORDED",ISNUMBER(H1078)),H1078,"")</x:f>
        <x:v>77.72</x:v>
      </x:c>
      <x:c r="P1078" s="35" t="str">
        <x:v>INCONCLUSIVE</x:v>
      </x:c>
      <x:c r="Q1078" s="35" t="str">
        <x:v>Deepseek-flash-v4/Result2/Closure_83/result.json</x:v>
      </x:c>
    </x:row>
    <x:row r="1079">
      <x:c r="A1079" s="35" t="str">
        <x:v>deepseek</x:v>
      </x:c>
      <x:c r="B1079" s="35" t="str">
        <x:v>Closure</x:v>
      </x:c>
      <x:c r="C1079" s="35" t="str">
        <x:v>Round2</x:v>
      </x:c>
      <x:c r="D1079" s="35" t="str">
        <x:v>Closure_84</x:v>
      </x:c>
      <x:c r="E1079" s="35" t="str">
        <x:v>Line</x:v>
      </x:c>
      <x:c r="F1079" s="35"/>
      <x:c r="G1079" s="35" t="str">
        <x:v>A</x:v>
      </x:c>
      <x:c r="H1079" s="39" t="str">
        <x:f>IF(ISNUMBER('Data'!E1079),'Data'!E1079*100,"")</x:f>
      </x:c>
      <x:c r="I1079" s="35"/>
      <x:c r="J1079" s="35" t="str">
        <x:v>PASS</x:v>
      </x:c>
      <x:c r="K1079" s="35" t="str">
        <x:v>FAIL</x:v>
      </x:c>
      <x:c r="L1079" s="35" t="str">
        <x:v>NOT_RUN</x:v>
      </x:c>
      <x:c r="M1079" s="35" t="str">
        <x:v>coverage unavailable or execution/compile failed</x:v>
      </x:c>
      <x:c r="N1079" s="35" t="str">
        <x:v>Deepseek-flash-v4/Result2/Closure_84/result.json</x:v>
      </x:c>
      <x:c r="O1079" s="39" t="str">
        <x:f>IF(AND(G1079="RECORDED",ISNUMBER(H1079)),H1079,"")</x:f>
      </x:c>
      <x:c r="P1079" s="35" t="str">
        <x:v>NOT_AVAILABLE</x:v>
      </x:c>
      <x:c r="Q1079" s="35" t="str">
        <x:v>Deepseek-flash-v4/Result2/Closure_84/result.json</x:v>
      </x:c>
    </x:row>
    <x:row r="1080">
      <x:c r="A1080" s="35" t="str">
        <x:v>deepseek</x:v>
      </x:c>
      <x:c r="B1080" s="35" t="str">
        <x:v>Closure</x:v>
      </x:c>
      <x:c r="C1080" s="35" t="str">
        <x:v>Round2</x:v>
      </x:c>
      <x:c r="D1080" s="35" t="str">
        <x:v>Closure_85</x:v>
      </x:c>
      <x:c r="E1080" s="35" t="str">
        <x:v>Line</x:v>
      </x:c>
      <x:c r="F1080" s="35"/>
      <x:c r="G1080" s="35" t="str">
        <x:v>A</x:v>
      </x:c>
      <x:c r="H1080" s="39" t="str">
        <x:f>IF(ISNUMBER('Data'!E1080),'Data'!E1080*100,"")</x:f>
      </x:c>
      <x:c r="I1080" s="35"/>
      <x:c r="J1080" s="35" t="str">
        <x:v>PASS</x:v>
      </x:c>
      <x:c r="K1080" s="35" t="str">
        <x:v>FAIL</x:v>
      </x:c>
      <x:c r="L1080" s="35" t="str">
        <x:v>NOT_RUN</x:v>
      </x:c>
      <x:c r="M1080" s="35" t="str">
        <x:v>coverage unavailable or execution/compile failed</x:v>
      </x:c>
      <x:c r="N1080" s="35" t="str">
        <x:v>Deepseek-flash-v4/Result2/Closure_85/result.json</x:v>
      </x:c>
      <x:c r="O1080" s="39" t="str">
        <x:f>IF(AND(G1080="RECORDED",ISNUMBER(H1080)),H1080,"")</x:f>
      </x:c>
      <x:c r="P1080" s="35" t="str">
        <x:v>NOT_AVAILABLE</x:v>
      </x:c>
      <x:c r="Q1080" s="35" t="str">
        <x:v>Deepseek-flash-v4/Result2/Closure_85/result.json</x:v>
      </x:c>
    </x:row>
    <x:row r="1081">
      <x:c r="A1081" s="35" t="str">
        <x:v>deepseek</x:v>
      </x:c>
      <x:c r="B1081" s="35" t="str">
        <x:v>Closure</x:v>
      </x:c>
      <x:c r="C1081" s="35" t="str">
        <x:v>Round2</x:v>
      </x:c>
      <x:c r="D1081" s="35" t="str">
        <x:v>Closure_86</x:v>
      </x:c>
      <x:c r="E1081" s="35" t="str">
        <x:v>Line</x:v>
      </x:c>
      <x:c r="F1081" s="35"/>
      <x:c r="G1081" s="35" t="str">
        <x:v>A</x:v>
      </x:c>
      <x:c r="H1081" s="39" t="str">
        <x:f>IF(ISNUMBER('Data'!E1081),'Data'!E1081*100,"")</x:f>
      </x:c>
      <x:c r="I1081" s="35"/>
      <x:c r="J1081" s="35" t="str">
        <x:v>PASS</x:v>
      </x:c>
      <x:c r="K1081" s="35" t="str">
        <x:v>FAIL</x:v>
      </x:c>
      <x:c r="L1081" s="35" t="str">
        <x:v>NOT_RUN</x:v>
      </x:c>
      <x:c r="M1081" s="35" t="str">
        <x:v>coverage unavailable or execution/compile failed</x:v>
      </x:c>
      <x:c r="N1081" s="35" t="str">
        <x:v>Deepseek-flash-v4/Result2/Closure_86/result.json</x:v>
      </x:c>
      <x:c r="O1081" s="39" t="str">
        <x:f>IF(AND(G1081="RECORDED",ISNUMBER(H1081)),H1081,"")</x:f>
      </x:c>
      <x:c r="P1081" s="35" t="str">
        <x:v>NOT_AVAILABLE</x:v>
      </x:c>
      <x:c r="Q1081" s="35" t="str">
        <x:v>Deepseek-flash-v4/Result2/Closure_86/result.json</x:v>
      </x:c>
    </x:row>
    <x:row r="1082">
      <x:c r="A1082" s="35" t="str">
        <x:v>deepseek</x:v>
      </x:c>
      <x:c r="B1082" s="35" t="str">
        <x:v>Closure</x:v>
      </x:c>
      <x:c r="C1082" s="35" t="str">
        <x:v>Round2</x:v>
      </x:c>
      <x:c r="D1082" s="35" t="str">
        <x:v>Closure_87</x:v>
      </x:c>
      <x:c r="E1082" s="35" t="str">
        <x:v>Line</x:v>
      </x:c>
      <x:c r="F1082" s="35"/>
      <x:c r="G1082" s="35" t="str">
        <x:v>A</x:v>
      </x:c>
      <x:c r="H1082" s="39" t="str">
        <x:f>IF(ISNUMBER('Data'!E1082),'Data'!E1082*100,"")</x:f>
      </x:c>
      <x:c r="I1082" s="35"/>
      <x:c r="J1082" s="35" t="str">
        <x:v>PASS</x:v>
      </x:c>
      <x:c r="K1082" s="35" t="str">
        <x:v>FAIL</x:v>
      </x:c>
      <x:c r="L1082" s="35" t="str">
        <x:v>NOT_RUN</x:v>
      </x:c>
      <x:c r="M1082" s="35" t="str">
        <x:v>coverage unavailable or execution/compile failed</x:v>
      </x:c>
      <x:c r="N1082" s="35" t="str">
        <x:v>Deepseek-flash-v4/Result2/Closure_87/result.json</x:v>
      </x:c>
      <x:c r="O1082" s="39" t="str">
        <x:f>IF(AND(G1082="RECORDED",ISNUMBER(H1082)),H1082,"")</x:f>
      </x:c>
      <x:c r="P1082" s="35" t="str">
        <x:v>NOT_AVAILABLE</x:v>
      </x:c>
      <x:c r="Q1082" s="35" t="str">
        <x:v>Deepseek-flash-v4/Result2/Closure_87/result.json</x:v>
      </x:c>
    </x:row>
    <x:row r="1083">
      <x:c r="A1083" s="35" t="str">
        <x:v>deepseek</x:v>
      </x:c>
      <x:c r="B1083" s="35" t="str">
        <x:v>Closure</x:v>
      </x:c>
      <x:c r="C1083" s="35" t="str">
        <x:v>Round2</x:v>
      </x:c>
      <x:c r="D1083" s="35" t="str">
        <x:v>Closure_88</x:v>
      </x:c>
      <x:c r="E1083" s="35" t="str">
        <x:v>Line</x:v>
      </x:c>
      <x:c r="F1083" s="35"/>
      <x:c r="G1083" s="35" t="str">
        <x:v>A</x:v>
      </x:c>
      <x:c r="H1083" s="39" t="str">
        <x:f>IF(ISNUMBER('Data'!E1083),'Data'!E1083*100,"")</x:f>
      </x:c>
      <x:c r="I1083" s="35"/>
      <x:c r="J1083" s="35" t="str">
        <x:v>PASS</x:v>
      </x:c>
      <x:c r="K1083" s="35" t="str">
        <x:v>FAIL</x:v>
      </x:c>
      <x:c r="L1083" s="35" t="str">
        <x:v>NOT_RUN</x:v>
      </x:c>
      <x:c r="M1083" s="35" t="str">
        <x:v>coverage unavailable or execution/compile failed</x:v>
      </x:c>
      <x:c r="N1083" s="35" t="str">
        <x:v>Deepseek-flash-v4/Result2/Closure_88/result.json</x:v>
      </x:c>
      <x:c r="O1083" s="39" t="str">
        <x:f>IF(AND(G1083="RECORDED",ISNUMBER(H1083)),H1083,"")</x:f>
      </x:c>
      <x:c r="P1083" s="35" t="str">
        <x:v>NOT_AVAILABLE</x:v>
      </x:c>
      <x:c r="Q1083" s="35" t="str">
        <x:v>Deepseek-flash-v4/Result2/Closure_88/result.json</x:v>
      </x:c>
    </x:row>
    <x:row r="1084">
      <x:c r="A1084" s="35" t="str">
        <x:v>deepseek</x:v>
      </x:c>
      <x:c r="B1084" s="35" t="str">
        <x:v>Closure</x:v>
      </x:c>
      <x:c r="C1084" s="35" t="str">
        <x:v>Round2</x:v>
      </x:c>
      <x:c r="D1084" s="35" t="str">
        <x:v>Closure_89</x:v>
      </x:c>
      <x:c r="E1084" s="35" t="str">
        <x:v>Line</x:v>
      </x:c>
      <x:c r="F1084" s="35"/>
      <x:c r="G1084" s="35" t="str">
        <x:v>A</x:v>
      </x:c>
      <x:c r="H1084" s="39" t="str">
        <x:f>IF(ISNUMBER('Data'!E1084),'Data'!E1084*100,"")</x:f>
      </x:c>
      <x:c r="I1084" s="35"/>
      <x:c r="J1084" s="35" t="str">
        <x:v>PASS</x:v>
      </x:c>
      <x:c r="K1084" s="35" t="str">
        <x:v>FAIL</x:v>
      </x:c>
      <x:c r="L1084" s="35" t="str">
        <x:v>NOT_RUN</x:v>
      </x:c>
      <x:c r="M1084" s="35" t="str">
        <x:v>coverage unavailable or execution/compile failed</x:v>
      </x:c>
      <x:c r="N1084" s="35" t="str">
        <x:v>Deepseek-flash-v4/Result2/Closure_89/result.json</x:v>
      </x:c>
      <x:c r="O1084" s="39" t="str">
        <x:f>IF(AND(G1084="RECORDED",ISNUMBER(H1084)),H1084,"")</x:f>
      </x:c>
      <x:c r="P1084" s="35" t="str">
        <x:v>NOT_AVAILABLE</x:v>
      </x:c>
      <x:c r="Q1084" s="35" t="str">
        <x:v>Deepseek-flash-v4/Result2/Closure_89/result.json</x:v>
      </x:c>
    </x:row>
    <x:row r="1085">
      <x:c r="A1085" s="35" t="str">
        <x:v>deepseek</x:v>
      </x:c>
      <x:c r="B1085" s="35" t="str">
        <x:v>Closure</x:v>
      </x:c>
      <x:c r="C1085" s="35" t="str">
        <x:v>Round2</x:v>
      </x:c>
      <x:c r="D1085" s="35" t="str">
        <x:v>Closure_9</x:v>
      </x:c>
      <x:c r="E1085" s="35" t="str">
        <x:v>Line</x:v>
      </x:c>
      <x:c r="F1085" s="35"/>
      <x:c r="G1085" s="35" t="str">
        <x:v>A</x:v>
      </x:c>
      <x:c r="H1085" s="39" t="str">
        <x:f>IF(ISNUMBER('Data'!E1085),'Data'!E1085*100,"")</x:f>
      </x:c>
      <x:c r="I1085" s="35"/>
      <x:c r="J1085" s="35" t="str">
        <x:v>PASS</x:v>
      </x:c>
      <x:c r="K1085" s="35" t="str">
        <x:v>FAIL</x:v>
      </x:c>
      <x:c r="L1085" s="35" t="str">
        <x:v>NOT_RUN</x:v>
      </x:c>
      <x:c r="M1085" s="35" t="str">
        <x:v>coverage unavailable or execution/compile failed</x:v>
      </x:c>
      <x:c r="N1085" s="35" t="str">
        <x:v>Deepseek-flash-v4/Result2/Closure_9/result.json</x:v>
      </x:c>
      <x:c r="O1085" s="39" t="str">
        <x:f>IF(AND(G1085="RECORDED",ISNUMBER(H1085)),H1085,"")</x:f>
      </x:c>
      <x:c r="P1085" s="35" t="str">
        <x:v>NOT_AVAILABLE</x:v>
      </x:c>
      <x:c r="Q1085" s="35" t="str">
        <x:v>Deepseek-flash-v4/Result2/Closure_9/result.json</x:v>
      </x:c>
    </x:row>
    <x:row r="1086">
      <x:c r="A1086" s="35" t="str">
        <x:v>deepseek</x:v>
      </x:c>
      <x:c r="B1086" s="35" t="str">
        <x:v>Closure</x:v>
      </x:c>
      <x:c r="C1086" s="35" t="str">
        <x:v>Round2</x:v>
      </x:c>
      <x:c r="D1086" s="35" t="str">
        <x:v>Closure_90</x:v>
      </x:c>
      <x:c r="E1086" s="35" t="str">
        <x:v>Line</x:v>
      </x:c>
      <x:c r="F1086" s="35"/>
      <x:c r="G1086" s="35" t="str">
        <x:v>A</x:v>
      </x:c>
      <x:c r="H1086" s="39" t="str">
        <x:f>IF(ISNUMBER('Data'!E1086),'Data'!E1086*100,"")</x:f>
      </x:c>
      <x:c r="I1086" s="35"/>
      <x:c r="J1086" s="35" t="str">
        <x:v>PASS</x:v>
      </x:c>
      <x:c r="K1086" s="35" t="str">
        <x:v>FAIL</x:v>
      </x:c>
      <x:c r="L1086" s="35" t="str">
        <x:v>NOT_RUN</x:v>
      </x:c>
      <x:c r="M1086" s="35" t="str">
        <x:v>coverage unavailable or execution/compile failed</x:v>
      </x:c>
      <x:c r="N1086" s="35" t="str">
        <x:v>Deepseek-flash-v4/Result2/Closure_90/result.json</x:v>
      </x:c>
      <x:c r="O1086" s="39" t="str">
        <x:f>IF(AND(G1086="RECORDED",ISNUMBER(H1086)),H1086,"")</x:f>
      </x:c>
      <x:c r="P1086" s="35" t="str">
        <x:v>NOT_AVAILABLE</x:v>
      </x:c>
      <x:c r="Q1086" s="35" t="str">
        <x:v>Deepseek-flash-v4/Result2/Closure_90/result.json</x:v>
      </x:c>
    </x:row>
    <x:row r="1087">
      <x:c r="A1087" s="35" t="str">
        <x:v>deepseek</x:v>
      </x:c>
      <x:c r="B1087" s="35" t="str">
        <x:v>Closure</x:v>
      </x:c>
      <x:c r="C1087" s="35" t="str">
        <x:v>Round2</x:v>
      </x:c>
      <x:c r="D1087" s="35" t="str">
        <x:v>Closure_91</x:v>
      </x:c>
      <x:c r="E1087" s="35" t="str">
        <x:v>Line</x:v>
      </x:c>
      <x:c r="F1087" s="35"/>
      <x:c r="G1087" s="35" t="str">
        <x:v>A</x:v>
      </x:c>
      <x:c r="H1087" s="39" t="str">
        <x:f>IF(ISNUMBER('Data'!E1087),'Data'!E1087*100,"")</x:f>
      </x:c>
      <x:c r="I1087" s="35"/>
      <x:c r="J1087" s="35" t="str">
        <x:v>PASS</x:v>
      </x:c>
      <x:c r="K1087" s="35" t="str">
        <x:v>FAIL</x:v>
      </x:c>
      <x:c r="L1087" s="35" t="str">
        <x:v>NOT_RUN</x:v>
      </x:c>
      <x:c r="M1087" s="35" t="str">
        <x:v>coverage unavailable or execution/compile failed</x:v>
      </x:c>
      <x:c r="N1087" s="35" t="str">
        <x:v>Deepseek-flash-v4/Result2/Closure_91/result.json</x:v>
      </x:c>
      <x:c r="O1087" s="39" t="str">
        <x:f>IF(AND(G1087="RECORDED",ISNUMBER(H1087)),H1087,"")</x:f>
      </x:c>
      <x:c r="P1087" s="35" t="str">
        <x:v>NOT_AVAILABLE</x:v>
      </x:c>
      <x:c r="Q1087" s="35" t="str">
        <x:v>Deepseek-flash-v4/Result2/Closure_91/result.json</x:v>
      </x:c>
    </x:row>
    <x:row r="1088">
      <x:c r="A1088" s="35" t="str">
        <x:v>deepseek</x:v>
      </x:c>
      <x:c r="B1088" s="35" t="str">
        <x:v>Closure</x:v>
      </x:c>
      <x:c r="C1088" s="35" t="str">
        <x:v>Round2</x:v>
      </x:c>
      <x:c r="D1088" s="35" t="str">
        <x:v>Closure_92</x:v>
      </x:c>
      <x:c r="E1088" s="35" t="str">
        <x:v>Line</x:v>
      </x:c>
      <x:c r="F1088" s="35"/>
      <x:c r="G1088" s="35" t="str">
        <x:v>A</x:v>
      </x:c>
      <x:c r="H1088" s="39" t="str">
        <x:f>IF(ISNUMBER('Data'!E1088),'Data'!E1088*100,"")</x:f>
      </x:c>
      <x:c r="I1088" s="35"/>
      <x:c r="J1088" s="35" t="str">
        <x:v>PASS</x:v>
      </x:c>
      <x:c r="K1088" s="35" t="str">
        <x:v>FAIL</x:v>
      </x:c>
      <x:c r="L1088" s="35" t="str">
        <x:v>NOT_RUN</x:v>
      </x:c>
      <x:c r="M1088" s="35" t="str">
        <x:v>coverage unavailable or execution/compile failed</x:v>
      </x:c>
      <x:c r="N1088" s="35" t="str">
        <x:v>Deepseek-flash-v4/Result2/Closure_92/result.json</x:v>
      </x:c>
      <x:c r="O1088" s="39" t="str">
        <x:f>IF(AND(G1088="RECORDED",ISNUMBER(H1088)),H1088,"")</x:f>
      </x:c>
      <x:c r="P1088" s="35" t="str">
        <x:v>NOT_AVAILABLE</x:v>
      </x:c>
      <x:c r="Q1088" s="35" t="str">
        <x:v>Deepseek-flash-v4/Result2/Closure_92/result.json</x:v>
      </x:c>
    </x:row>
    <x:row r="1089">
      <x:c r="A1089" s="35" t="str">
        <x:v>deepseek</x:v>
      </x:c>
      <x:c r="B1089" s="35" t="str">
        <x:v>Closure</x:v>
      </x:c>
      <x:c r="C1089" s="35" t="str">
        <x:v>Round2</x:v>
      </x:c>
      <x:c r="D1089" s="35" t="str">
        <x:v>Closure_94</x:v>
      </x:c>
      <x:c r="E1089" s="35" t="str">
        <x:v>Line</x:v>
      </x:c>
      <x:c r="F1089" s="35"/>
      <x:c r="G1089" s="35" t="str">
        <x:v>A</x:v>
      </x:c>
      <x:c r="H1089" s="39" t="str">
        <x:f>IF(ISNUMBER('Data'!E1089),'Data'!E1089*100,"")</x:f>
      </x:c>
      <x:c r="I1089" s="35"/>
      <x:c r="J1089" s="35" t="str">
        <x:v>PASS</x:v>
      </x:c>
      <x:c r="K1089" s="35" t="str">
        <x:v>FAIL</x:v>
      </x:c>
      <x:c r="L1089" s="35" t="str">
        <x:v>NOT_RUN</x:v>
      </x:c>
      <x:c r="M1089" s="35" t="str">
        <x:v>coverage unavailable or execution/compile failed</x:v>
      </x:c>
      <x:c r="N1089" s="35" t="str">
        <x:v>Deepseek-flash-v4/Result2/Closure_94/result.json</x:v>
      </x:c>
      <x:c r="O1089" s="39" t="str">
        <x:f>IF(AND(G1089="RECORDED",ISNUMBER(H1089)),H1089,"")</x:f>
      </x:c>
      <x:c r="P1089" s="35" t="str">
        <x:v>NOT_AVAILABLE</x:v>
      </x:c>
      <x:c r="Q1089" s="35" t="str">
        <x:v>Deepseek-flash-v4/Result2/Closure_94/result.json</x:v>
      </x:c>
    </x:row>
    <x:row r="1090">
      <x:c r="A1090" s="35" t="str">
        <x:v>deepseek</x:v>
      </x:c>
      <x:c r="B1090" s="35" t="str">
        <x:v>Closure</x:v>
      </x:c>
      <x:c r="C1090" s="35" t="str">
        <x:v>Round2</x:v>
      </x:c>
      <x:c r="D1090" s="35" t="str">
        <x:v>Closure_95</x:v>
      </x:c>
      <x:c r="E1090" s="35" t="str">
        <x:v>Line</x:v>
      </x:c>
      <x:c r="F1090" s="35"/>
      <x:c r="G1090" s="35" t="str">
        <x:v>A</x:v>
      </x:c>
      <x:c r="H1090" s="39" t="str">
        <x:f>IF(ISNUMBER('Data'!E1090),'Data'!E1090*100,"")</x:f>
      </x:c>
      <x:c r="I1090" s="35"/>
      <x:c r="J1090" s="35" t="str">
        <x:v>PASS</x:v>
      </x:c>
      <x:c r="K1090" s="35" t="str">
        <x:v>FAIL</x:v>
      </x:c>
      <x:c r="L1090" s="35" t="str">
        <x:v>NOT_RUN</x:v>
      </x:c>
      <x:c r="M1090" s="35" t="str">
        <x:v>coverage unavailable or execution/compile failed</x:v>
      </x:c>
      <x:c r="N1090" s="35" t="str">
        <x:v>Deepseek-flash-v4/Result2/Closure_95/result.json</x:v>
      </x:c>
      <x:c r="O1090" s="39" t="str">
        <x:f>IF(AND(G1090="RECORDED",ISNUMBER(H1090)),H1090,"")</x:f>
      </x:c>
      <x:c r="P1090" s="35" t="str">
        <x:v>NOT_AVAILABLE</x:v>
      </x:c>
      <x:c r="Q1090" s="35" t="str">
        <x:v>Deepseek-flash-v4/Result2/Closure_95/result.json</x:v>
      </x:c>
    </x:row>
    <x:row r="1091">
      <x:c r="A1091" s="35" t="str">
        <x:v>deepseek</x:v>
      </x:c>
      <x:c r="B1091" s="35" t="str">
        <x:v>Closure</x:v>
      </x:c>
      <x:c r="C1091" s="35" t="str">
        <x:v>Round2</x:v>
      </x:c>
      <x:c r="D1091" s="35" t="str">
        <x:v>Closure_96</x:v>
      </x:c>
      <x:c r="E1091" s="35" t="str">
        <x:v>Line</x:v>
      </x:c>
      <x:c r="F1091" s="35"/>
      <x:c r="G1091" s="35" t="str">
        <x:v>A</x:v>
      </x:c>
      <x:c r="H1091" s="39" t="str">
        <x:f>IF(ISNUMBER('Data'!E1091),'Data'!E1091*100,"")</x:f>
      </x:c>
      <x:c r="I1091" s="35"/>
      <x:c r="J1091" s="35" t="str">
        <x:v>PASS</x:v>
      </x:c>
      <x:c r="K1091" s="35" t="str">
        <x:v>FAIL</x:v>
      </x:c>
      <x:c r="L1091" s="35" t="str">
        <x:v>NOT_RUN</x:v>
      </x:c>
      <x:c r="M1091" s="35" t="str">
        <x:v>coverage unavailable or execution/compile failed</x:v>
      </x:c>
      <x:c r="N1091" s="35" t="str">
        <x:v>Deepseek-flash-v4/Result2/Closure_96/result.json</x:v>
      </x:c>
      <x:c r="O1091" s="39" t="str">
        <x:f>IF(AND(G1091="RECORDED",ISNUMBER(H1091)),H1091,"")</x:f>
      </x:c>
      <x:c r="P1091" s="35" t="str">
        <x:v>NOT_AVAILABLE</x:v>
      </x:c>
      <x:c r="Q1091" s="35" t="str">
        <x:v>Deepseek-flash-v4/Result2/Closure_96/result.json</x:v>
      </x:c>
    </x:row>
    <x:row r="1092">
      <x:c r="A1092" s="35" t="str">
        <x:v>deepseek</x:v>
      </x:c>
      <x:c r="B1092" s="35" t="str">
        <x:v>Closure</x:v>
      </x:c>
      <x:c r="C1092" s="35" t="str">
        <x:v>Round2</x:v>
      </x:c>
      <x:c r="D1092" s="35" t="str">
        <x:v>Closure_97</x:v>
      </x:c>
      <x:c r="E1092" s="35" t="str">
        <x:v>Line</x:v>
      </x:c>
      <x:c r="F1092" s="35"/>
      <x:c r="G1092" s="35" t="str">
        <x:v>A</x:v>
      </x:c>
      <x:c r="H1092" s="39" t="str">
        <x:f>IF(ISNUMBER('Data'!E1092),'Data'!E1092*100,"")</x:f>
      </x:c>
      <x:c r="I1092" s="35"/>
      <x:c r="J1092" s="35" t="str">
        <x:v>PASS</x:v>
      </x:c>
      <x:c r="K1092" s="35" t="str">
        <x:v>FAIL</x:v>
      </x:c>
      <x:c r="L1092" s="35" t="str">
        <x:v>NOT_RUN</x:v>
      </x:c>
      <x:c r="M1092" s="35" t="str">
        <x:v>coverage unavailable or execution/compile failed</x:v>
      </x:c>
      <x:c r="N1092" s="35" t="str">
        <x:v>Deepseek-flash-v4/Result2/Closure_97/result.json</x:v>
      </x:c>
      <x:c r="O1092" s="39" t="str">
        <x:f>IF(AND(G1092="RECORDED",ISNUMBER(H1092)),H1092,"")</x:f>
      </x:c>
      <x:c r="P1092" s="35" t="str">
        <x:v>NOT_AVAILABLE</x:v>
      </x:c>
      <x:c r="Q1092" s="35" t="str">
        <x:v>Deepseek-flash-v4/Result2/Closure_97/result.json</x:v>
      </x:c>
    </x:row>
    <x:row r="1093">
      <x:c r="A1093" s="35" t="str">
        <x:v>deepseek</x:v>
      </x:c>
      <x:c r="B1093" s="35" t="str">
        <x:v>Closure</x:v>
      </x:c>
      <x:c r="C1093" s="35" t="str">
        <x:v>Round2</x:v>
      </x:c>
      <x:c r="D1093" s="35" t="str">
        <x:v>Closure_98</x:v>
      </x:c>
      <x:c r="E1093" s="35" t="str">
        <x:v>Line</x:v>
      </x:c>
      <x:c r="F1093" s="35"/>
      <x:c r="G1093" s="35" t="str">
        <x:v>A</x:v>
      </x:c>
      <x:c r="H1093" s="39" t="str">
        <x:f>IF(ISNUMBER('Data'!E1093),'Data'!E1093*100,"")</x:f>
      </x:c>
      <x:c r="I1093" s="35"/>
      <x:c r="J1093" s="35" t="str">
        <x:v>PASS</x:v>
      </x:c>
      <x:c r="K1093" s="35" t="str">
        <x:v>FAIL</x:v>
      </x:c>
      <x:c r="L1093" s="35" t="str">
        <x:v>NOT_RUN</x:v>
      </x:c>
      <x:c r="M1093" s="35" t="str">
        <x:v>coverage unavailable or execution/compile failed</x:v>
      </x:c>
      <x:c r="N1093" s="35" t="str">
        <x:v>Deepseek-flash-v4/Result2/Closure_98/result.json</x:v>
      </x:c>
      <x:c r="O1093" s="39" t="str">
        <x:f>IF(AND(G1093="RECORDED",ISNUMBER(H1093)),H1093,"")</x:f>
      </x:c>
      <x:c r="P1093" s="35" t="str">
        <x:v>NOT_AVAILABLE</x:v>
      </x:c>
      <x:c r="Q1093" s="35" t="str">
        <x:v>Deepseek-flash-v4/Result2/Closure_98/result.json</x:v>
      </x:c>
    </x:row>
    <x:row r="1094">
      <x:c r="A1094" s="35" t="str">
        <x:v>deepseek</x:v>
      </x:c>
      <x:c r="B1094" s="35" t="str">
        <x:v>Closure</x:v>
      </x:c>
      <x:c r="C1094" s="35" t="str">
        <x:v>Round2</x:v>
      </x:c>
      <x:c r="D1094" s="35" t="str">
        <x:v>Closure_99</x:v>
      </x:c>
      <x:c r="E1094" s="35" t="str">
        <x:v>Line</x:v>
      </x:c>
      <x:c r="F1094" s="35"/>
      <x:c r="G1094" s="35" t="str">
        <x:v>A</x:v>
      </x:c>
      <x:c r="H1094" s="39" t="str">
        <x:f>IF(ISNUMBER('Data'!E1094),'Data'!E1094*100,"")</x:f>
      </x:c>
      <x:c r="I1094" s="35"/>
      <x:c r="J1094" s="35" t="str">
        <x:v>PASS</x:v>
      </x:c>
      <x:c r="K1094" s="35" t="str">
        <x:v>FAIL</x:v>
      </x:c>
      <x:c r="L1094" s="35" t="str">
        <x:v>NOT_RUN</x:v>
      </x:c>
      <x:c r="M1094" s="35" t="str">
        <x:v>coverage unavailable or execution/compile failed</x:v>
      </x:c>
      <x:c r="N1094" s="35" t="str">
        <x:v>Deepseek-flash-v4/Result2/Closure_99/result.json</x:v>
      </x:c>
      <x:c r="O1094" s="39" t="str">
        <x:f>IF(AND(G1094="RECORDED",ISNUMBER(H1094)),H1094,"")</x:f>
      </x:c>
      <x:c r="P1094" s="35" t="str">
        <x:v>NOT_AVAILABLE</x:v>
      </x:c>
      <x:c r="Q1094" s="35" t="str">
        <x:v>Deepseek-flash-v4/Result2/Closure_99/result.json</x:v>
      </x:c>
    </x:row>
    <x:row r="1095">
      <x:c r="A1095" s="35" t="str">
        <x:v>deepseek</x:v>
      </x:c>
      <x:c r="B1095" s="35" t="str">
        <x:v>Codec</x:v>
      </x:c>
      <x:c r="C1095" s="35" t="str">
        <x:v>Round2</x:v>
      </x:c>
      <x:c r="D1095" s="35" t="str">
        <x:v>Codec_1</x:v>
      </x:c>
      <x:c r="E1095" s="35" t="str">
        <x:v>Line</x:v>
      </x:c>
      <x:c r="F1095" s="35" t="n">
        <x:v>256</x:v>
      </x:c>
      <x:c r="G1095" s="35" t="str">
        <x:v>RECORDED</x:v>
      </x:c>
      <x:c r="H1095" s="39" t="n">
        <x:f>IF(ISNUMBER('Data'!E1095),'Data'!E1095*100,"")</x:f>
        <x:v>72.27</x:v>
      </x:c>
      <x:c r="I1095" s="35" t="str">
        <x:v>PASS</x:v>
      </x:c>
      <x:c r="J1095" s="35" t="str">
        <x:v>PASS</x:v>
      </x:c>
      <x:c r="K1095" s="35" t="str">
        <x:v>PASS</x:v>
      </x:c>
      <x:c r="L1095" s="35" t="str">
        <x:v>FAIL</x:v>
      </x:c>
      <x:c r="M1095" s="35" t="str">
        <x:v>numeric coverage for applicable metric</x:v>
      </x:c>
      <x:c r="N1095" s="35" t="str">
        <x:v>Deepseek-flash-v4/Result2/Codec_1/result.json</x:v>
      </x:c>
      <x:c r="O1095" s="39" t="n">
        <x:f>IF(AND(G1095="RECORDED",ISNUMBER(H1095)),H1095,"")</x:f>
        <x:v>72.27</x:v>
      </x:c>
      <x:c r="P1095" s="35" t="str">
        <x:v>INCONCLUSIVE</x:v>
      </x:c>
      <x:c r="Q1095" s="35" t="str">
        <x:v>Deepseek-flash-v4/Result2/Codec_1/result.json</x:v>
      </x:c>
    </x:row>
    <x:row r="1096">
      <x:c r="A1096" s="35" t="str">
        <x:v>deepseek</x:v>
      </x:c>
      <x:c r="B1096" s="35" t="str">
        <x:v>Codec</x:v>
      </x:c>
      <x:c r="C1096" s="35" t="str">
        <x:v>Round2</x:v>
      </x:c>
      <x:c r="D1096" s="35" t="str">
        <x:v>Codec_10</x:v>
      </x:c>
      <x:c r="E1096" s="35" t="str">
        <x:v>Line</x:v>
      </x:c>
      <x:c r="F1096" s="35" t="n">
        <x:v>69</x:v>
      </x:c>
      <x:c r="G1096" s="35" t="str">
        <x:v>RECORDED</x:v>
      </x:c>
      <x:c r="H1096" s="39" t="n">
        <x:f>IF(ISNUMBER('Data'!E1096),'Data'!E1096*100,"")</x:f>
        <x:v>100</x:v>
      </x:c>
      <x:c r="I1096" s="35" t="str">
        <x:v>PASS</x:v>
      </x:c>
      <x:c r="J1096" s="35" t="str">
        <x:v>PASS</x:v>
      </x:c>
      <x:c r="K1096" s="35" t="str">
        <x:v>PASS</x:v>
      </x:c>
      <x:c r="L1096" s="35" t="str">
        <x:v>PASS</x:v>
      </x:c>
      <x:c r="M1096" s="35" t="str">
        <x:v>numeric coverage for applicable metric</x:v>
      </x:c>
      <x:c r="N1096" s="35" t="str">
        <x:v>Deepseek-flash-v4/Result2/Codec_10/result.json</x:v>
      </x:c>
      <x:c r="O1096" s="39" t="n">
        <x:f>IF(AND(G1096="RECORDED",ISNUMBER(H1096)),H1096,"")</x:f>
        <x:v>100</x:v>
      </x:c>
      <x:c r="P1096" s="35" t="str">
        <x:v>NOT_REVEALING</x:v>
      </x:c>
      <x:c r="Q1096" s="35" t="str">
        <x:v>Deepseek-flash-v4/Result2/Codec_10/result.json</x:v>
      </x:c>
    </x:row>
    <x:row r="1097">
      <x:c r="A1097" s="35" t="str">
        <x:v>deepseek</x:v>
      </x:c>
      <x:c r="B1097" s="35" t="str">
        <x:v>Codec</x:v>
      </x:c>
      <x:c r="C1097" s="35" t="str">
        <x:v>Round2</x:v>
      </x:c>
      <x:c r="D1097" s="35" t="str">
        <x:v>Codec_11</x:v>
      </x:c>
      <x:c r="E1097" s="35" t="str">
        <x:v>Line</x:v>
      </x:c>
      <x:c r="F1097" s="35" t="n">
        <x:v>81</x:v>
      </x:c>
      <x:c r="G1097" s="35" t="str">
        <x:v>RECORDED</x:v>
      </x:c>
      <x:c r="H1097" s="39" t="n">
        <x:f>IF(ISNUMBER('Data'!E1097),'Data'!E1097*100,"")</x:f>
        <x:v>92.59</x:v>
      </x:c>
      <x:c r="I1097" s="35" t="str">
        <x:v>PASS</x:v>
      </x:c>
      <x:c r="J1097" s="35" t="str">
        <x:v>PASS</x:v>
      </x:c>
      <x:c r="K1097" s="35" t="str">
        <x:v>PASS</x:v>
      </x:c>
      <x:c r="L1097" s="35" t="str">
        <x:v>PASS</x:v>
      </x:c>
      <x:c r="M1097" s="35" t="str">
        <x:v>numeric coverage for applicable metric</x:v>
      </x:c>
      <x:c r="N1097" s="35" t="str">
        <x:v>Deepseek-flash-v4/Result2/Codec_11/result.json</x:v>
      </x:c>
      <x:c r="O1097" s="39" t="n">
        <x:f>IF(AND(G1097="RECORDED",ISNUMBER(H1097)),H1097,"")</x:f>
        <x:v>92.59</x:v>
      </x:c>
      <x:c r="P1097" s="35" t="str">
        <x:v>INCONCLUSIVE</x:v>
      </x:c>
      <x:c r="Q1097" s="35" t="str">
        <x:v>Deepseek-flash-v4/Result2/Codec_11/result.json</x:v>
      </x:c>
    </x:row>
    <x:row r="1098">
      <x:c r="A1098" s="35" t="str">
        <x:v>deepseek</x:v>
      </x:c>
      <x:c r="B1098" s="35" t="str">
        <x:v>Codec</x:v>
      </x:c>
      <x:c r="C1098" s="35" t="str">
        <x:v>Round2</x:v>
      </x:c>
      <x:c r="D1098" s="35" t="str">
        <x:v>Codec_12</x:v>
      </x:c>
      <x:c r="E1098" s="35" t="str">
        <x:v>Line</x:v>
      </x:c>
      <x:c r="F1098" s="35" t="n">
        <x:v>31</x:v>
      </x:c>
      <x:c r="G1098" s="35" t="str">
        <x:v>RECORDED</x:v>
      </x:c>
      <x:c r="H1098" s="39" t="n">
        <x:f>IF(ISNUMBER('Data'!E1098),'Data'!E1098*100,"")</x:f>
        <x:v>96.77</x:v>
      </x:c>
      <x:c r="I1098" s="35" t="str">
        <x:v>PASS</x:v>
      </x:c>
      <x:c r="J1098" s="35" t="str">
        <x:v>PASS</x:v>
      </x:c>
      <x:c r="K1098" s="35" t="str">
        <x:v>PASS</x:v>
      </x:c>
      <x:c r="L1098" s="35" t="str">
        <x:v>FAIL</x:v>
      </x:c>
      <x:c r="M1098" s="35" t="str">
        <x:v>numeric coverage for applicable metric</x:v>
      </x:c>
      <x:c r="N1098" s="35" t="str">
        <x:v>Deepseek-flash-v4/Result2/Codec_12/result.json</x:v>
      </x:c>
      <x:c r="O1098" s="39" t="n">
        <x:f>IF(AND(G1098="RECORDED",ISNUMBER(H1098)),H1098,"")</x:f>
        <x:v>96.77</x:v>
      </x:c>
      <x:c r="P1098" s="35" t="str">
        <x:v>INCONCLUSIVE</x:v>
      </x:c>
      <x:c r="Q1098" s="35" t="str">
        <x:v>Deepseek-flash-v4/Result2/Codec_12/result.json</x:v>
      </x:c>
    </x:row>
    <x:row r="1099">
      <x:c r="A1099" s="35" t="str">
        <x:v>deepseek</x:v>
      </x:c>
      <x:c r="B1099" s="35" t="str">
        <x:v>Codec</x:v>
      </x:c>
      <x:c r="C1099" s="35" t="str">
        <x:v>Round2</x:v>
      </x:c>
      <x:c r="D1099" s="35" t="str">
        <x:v>Codec_13</x:v>
      </x:c>
      <x:c r="E1099" s="35" t="str">
        <x:v>Line</x:v>
      </x:c>
      <x:c r="F1099" s="35"/>
      <x:c r="G1099" s="35" t="str">
        <x:v>A</x:v>
      </x:c>
      <x:c r="H1099" s="39" t="str">
        <x:f>IF(ISNUMBER('Data'!E1099),'Data'!E1099*100,"")</x:f>
      </x:c>
      <x:c r="I1099" s="35"/>
      <x:c r="J1099" s="35" t="str">
        <x:v>PASS</x:v>
      </x:c>
      <x:c r="K1099" s="35" t="str">
        <x:v>FAIL</x:v>
      </x:c>
      <x:c r="L1099" s="35" t="str">
        <x:v>NOT_RUN</x:v>
      </x:c>
      <x:c r="M1099" s="35" t="str">
        <x:v>coverage unavailable or execution/compile failed</x:v>
      </x:c>
      <x:c r="N1099" s="35" t="str">
        <x:v>Deepseek-flash-v4/Result2/Codec_13/result.json</x:v>
      </x:c>
      <x:c r="O1099" s="39" t="str">
        <x:f>IF(AND(G1099="RECORDED",ISNUMBER(H1099)),H1099,"")</x:f>
      </x:c>
      <x:c r="P1099" s="35" t="str">
        <x:v>NOT_AVAILABLE</x:v>
      </x:c>
      <x:c r="Q1099" s="35" t="str">
        <x:v>Deepseek-flash-v4/Result2/Codec_13/result.json</x:v>
      </x:c>
    </x:row>
    <x:row r="1100">
      <x:c r="A1100" s="35" t="str">
        <x:v>deepseek</x:v>
      </x:c>
      <x:c r="B1100" s="35" t="str">
        <x:v>Codec</x:v>
      </x:c>
      <x:c r="C1100" s="35" t="str">
        <x:v>Round2</x:v>
      </x:c>
      <x:c r="D1100" s="35" t="str">
        <x:v>Codec_14</x:v>
      </x:c>
      <x:c r="E1100" s="35" t="str">
        <x:v>Line</x:v>
      </x:c>
      <x:c r="F1100" s="35"/>
      <x:c r="G1100" s="35" t="str">
        <x:v>A</x:v>
      </x:c>
      <x:c r="H1100" s="39" t="str">
        <x:f>IF(ISNUMBER('Data'!E1100),'Data'!E1100*100,"")</x:f>
      </x:c>
      <x:c r="I1100" s="35"/>
      <x:c r="J1100" s="35" t="str">
        <x:v>PASS</x:v>
      </x:c>
      <x:c r="K1100" s="35" t="str">
        <x:v>FAIL</x:v>
      </x:c>
      <x:c r="L1100" s="35" t="str">
        <x:v>NOT_RUN</x:v>
      </x:c>
      <x:c r="M1100" s="35" t="str">
        <x:v>coverage unavailable or execution/compile failed</x:v>
      </x:c>
      <x:c r="N1100" s="35" t="str">
        <x:v>Deepseek-flash-v4/Result2/Codec_14/result.json</x:v>
      </x:c>
      <x:c r="O1100" s="39" t="str">
        <x:f>IF(AND(G1100="RECORDED",ISNUMBER(H1100)),H1100,"")</x:f>
      </x:c>
      <x:c r="P1100" s="35" t="str">
        <x:v>NOT_AVAILABLE</x:v>
      </x:c>
      <x:c r="Q1100" s="35" t="str">
        <x:v>Deepseek-flash-v4/Result2/Codec_14/result.json</x:v>
      </x:c>
    </x:row>
    <x:row r="1101">
      <x:c r="A1101" s="35" t="str">
        <x:v>deepseek</x:v>
      </x:c>
      <x:c r="B1101" s="35" t="str">
        <x:v>Codec</x:v>
      </x:c>
      <x:c r="C1101" s="35" t="str">
        <x:v>Round2</x:v>
      </x:c>
      <x:c r="D1101" s="35" t="str">
        <x:v>Codec_15</x:v>
      </x:c>
      <x:c r="E1101" s="35" t="str">
        <x:v>Line</x:v>
      </x:c>
      <x:c r="F1101" s="35" t="n">
        <x:v>51</x:v>
      </x:c>
      <x:c r="G1101" s="35" t="str">
        <x:v>RECORDED</x:v>
      </x:c>
      <x:c r="H1101" s="39" t="n">
        <x:f>IF(ISNUMBER('Data'!E1101),'Data'!E1101*100,"")</x:f>
        <x:v>98.04</x:v>
      </x:c>
      <x:c r="I1101" s="35" t="str">
        <x:v>PASS</x:v>
      </x:c>
      <x:c r="J1101" s="35" t="str">
        <x:v>PASS</x:v>
      </x:c>
      <x:c r="K1101" s="35" t="str">
        <x:v>PASS</x:v>
      </x:c>
      <x:c r="L1101" s="35" t="str">
        <x:v>FAIL</x:v>
      </x:c>
      <x:c r="M1101" s="35" t="str">
        <x:v>numeric coverage for applicable metric</x:v>
      </x:c>
      <x:c r="N1101" s="35" t="str">
        <x:v>Deepseek-flash-v4/Result2/Codec_15/result.json</x:v>
      </x:c>
      <x:c r="O1101" s="39" t="n">
        <x:f>IF(AND(G1101="RECORDED",ISNUMBER(H1101)),H1101,"")</x:f>
        <x:v>98.04</x:v>
      </x:c>
      <x:c r="P1101" s="35" t="str">
        <x:v>INCONCLUSIVE</x:v>
      </x:c>
      <x:c r="Q1101" s="35" t="str">
        <x:v>Deepseek-flash-v4/Result2/Codec_15/result.json</x:v>
      </x:c>
    </x:row>
    <x:row r="1102">
      <x:c r="A1102" s="35" t="str">
        <x:v>deepseek</x:v>
      </x:c>
      <x:c r="B1102" s="35" t="str">
        <x:v>Codec</x:v>
      </x:c>
      <x:c r="C1102" s="35" t="str">
        <x:v>Round2</x:v>
      </x:c>
      <x:c r="D1102" s="35" t="str">
        <x:v>Codec_16</x:v>
      </x:c>
      <x:c r="E1102" s="35" t="str">
        <x:v>Line</x:v>
      </x:c>
      <x:c r="F1102" s="35" t="n">
        <x:v>165</x:v>
      </x:c>
      <x:c r="G1102" s="35" t="str">
        <x:v>RECORDED</x:v>
      </x:c>
      <x:c r="H1102" s="39" t="n">
        <x:f>IF(ISNUMBER('Data'!E1102),'Data'!E1102*100,"")</x:f>
        <x:v>83.64</x:v>
      </x:c>
      <x:c r="I1102" s="35" t="str">
        <x:v>PASS</x:v>
      </x:c>
      <x:c r="J1102" s="35" t="str">
        <x:v>PASS</x:v>
      </x:c>
      <x:c r="K1102" s="35" t="str">
        <x:v>PASS</x:v>
      </x:c>
      <x:c r="L1102" s="35" t="str">
        <x:v>FAIL</x:v>
      </x:c>
      <x:c r="M1102" s="35" t="str">
        <x:v>numeric coverage for applicable metric</x:v>
      </x:c>
      <x:c r="N1102" s="35" t="str">
        <x:v>Deepseek-flash-v4/Result2/Codec_16/result.json</x:v>
      </x:c>
      <x:c r="O1102" s="39" t="n">
        <x:f>IF(AND(G1102="RECORDED",ISNUMBER(H1102)),H1102,"")</x:f>
        <x:v>83.64</x:v>
      </x:c>
      <x:c r="P1102" s="35" t="str">
        <x:v>INCONCLUSIVE</x:v>
      </x:c>
      <x:c r="Q1102" s="35" t="str">
        <x:v>Deepseek-flash-v4/Result2/Codec_16/result.json</x:v>
      </x:c>
    </x:row>
    <x:row r="1103">
      <x:c r="A1103" s="35" t="str">
        <x:v>deepseek</x:v>
      </x:c>
      <x:c r="B1103" s="35" t="str">
        <x:v>Codec</x:v>
      </x:c>
      <x:c r="C1103" s="35" t="str">
        <x:v>Round2</x:v>
      </x:c>
      <x:c r="D1103" s="35" t="str">
        <x:v>Codec_17</x:v>
      </x:c>
      <x:c r="E1103" s="35" t="str">
        <x:v>Line</x:v>
      </x:c>
      <x:c r="F1103" s="35"/>
      <x:c r="G1103" s="35" t="str">
        <x:v>A</x:v>
      </x:c>
      <x:c r="H1103" s="39" t="str">
        <x:f>IF(ISNUMBER('Data'!E1103),'Data'!E1103*100,"")</x:f>
      </x:c>
      <x:c r="I1103" s="35"/>
      <x:c r="J1103" s="35" t="str">
        <x:v>PASS</x:v>
      </x:c>
      <x:c r="K1103" s="35" t="str">
        <x:v>FAIL</x:v>
      </x:c>
      <x:c r="L1103" s="35" t="str">
        <x:v>NOT_RUN</x:v>
      </x:c>
      <x:c r="M1103" s="35" t="str">
        <x:v>coverage unavailable or execution/compile failed</x:v>
      </x:c>
      <x:c r="N1103" s="35" t="str">
        <x:v>Deepseek-flash-v4/Result2/Codec_17/result.json</x:v>
      </x:c>
      <x:c r="O1103" s="39" t="str">
        <x:f>IF(AND(G1103="RECORDED",ISNUMBER(H1103)),H1103,"")</x:f>
      </x:c>
      <x:c r="P1103" s="35" t="str">
        <x:v>NOT_AVAILABLE</x:v>
      </x:c>
      <x:c r="Q1103" s="35" t="str">
        <x:v>Deepseek-flash-v4/Result2/Codec_17/result.json</x:v>
      </x:c>
    </x:row>
    <x:row r="1104">
      <x:c r="A1104" s="35" t="str">
        <x:v>deepseek</x:v>
      </x:c>
      <x:c r="B1104" s="35" t="str">
        <x:v>Codec</x:v>
      </x:c>
      <x:c r="C1104" s="35" t="str">
        <x:v>Round2</x:v>
      </x:c>
      <x:c r="D1104" s="35" t="str">
        <x:v>Codec_18</x:v>
      </x:c>
      <x:c r="E1104" s="35" t="str">
        <x:v>Line</x:v>
      </x:c>
      <x:c r="F1104" s="35" t="n">
        <x:v>39</x:v>
      </x:c>
      <x:c r="G1104" s="35" t="str">
        <x:v>RECORDED</x:v>
      </x:c>
      <x:c r="H1104" s="39" t="n">
        <x:f>IF(ISNUMBER('Data'!E1104),'Data'!E1104*100,"")</x:f>
        <x:v>97.44</x:v>
      </x:c>
      <x:c r="I1104" s="35" t="str">
        <x:v>PASS</x:v>
      </x:c>
      <x:c r="J1104" s="35" t="str">
        <x:v>PASS</x:v>
      </x:c>
      <x:c r="K1104" s="35" t="str">
        <x:v>PASS</x:v>
      </x:c>
      <x:c r="L1104" s="35" t="str">
        <x:v>PASS</x:v>
      </x:c>
      <x:c r="M1104" s="35" t="str">
        <x:v>numeric coverage for applicable metric</x:v>
      </x:c>
      <x:c r="N1104" s="35" t="str">
        <x:v>Deepseek-flash-v4/Result2/Codec_18/result.json</x:v>
      </x:c>
      <x:c r="O1104" s="39" t="n">
        <x:f>IF(AND(G1104="RECORDED",ISNUMBER(H1104)),H1104,"")</x:f>
        <x:v>97.44</x:v>
      </x:c>
      <x:c r="P1104" s="35" t="str">
        <x:v>NOT_REVEALING</x:v>
      </x:c>
      <x:c r="Q1104" s="35" t="str">
        <x:v>Deepseek-flash-v4/Result2/Codec_18/result.json</x:v>
      </x:c>
    </x:row>
    <x:row r="1105">
      <x:c r="A1105" s="35" t="str">
        <x:v>deepseek</x:v>
      </x:c>
      <x:c r="B1105" s="35" t="str">
        <x:v>Codec</x:v>
      </x:c>
      <x:c r="C1105" s="35" t="str">
        <x:v>Round2</x:v>
      </x:c>
      <x:c r="D1105" s="35" t="str">
        <x:v>Codec_2</x:v>
      </x:c>
      <x:c r="E1105" s="35" t="str">
        <x:v>Line</x:v>
      </x:c>
      <x:c r="F1105" s="35" t="n">
        <x:v>214</x:v>
      </x:c>
      <x:c r="G1105" s="35" t="str">
        <x:v>RECORDED</x:v>
      </x:c>
      <x:c r="H1105" s="39" t="n">
        <x:f>IF(ISNUMBER('Data'!E1105),'Data'!E1105*100,"")</x:f>
        <x:v>83.64</x:v>
      </x:c>
      <x:c r="I1105" s="35" t="str">
        <x:v>PASS</x:v>
      </x:c>
      <x:c r="J1105" s="35" t="str">
        <x:v>PASS</x:v>
      </x:c>
      <x:c r="K1105" s="35" t="str">
        <x:v>PASS</x:v>
      </x:c>
      <x:c r="L1105" s="35" t="str">
        <x:v>FAIL</x:v>
      </x:c>
      <x:c r="M1105" s="35" t="str">
        <x:v>numeric coverage for applicable metric</x:v>
      </x:c>
      <x:c r="N1105" s="35" t="str">
        <x:v>Deepseek-flash-v4/Result2/Codec_2/result.json</x:v>
      </x:c>
      <x:c r="O1105" s="39" t="n">
        <x:f>IF(AND(G1105="RECORDED",ISNUMBER(H1105)),H1105,"")</x:f>
        <x:v>83.64</x:v>
      </x:c>
      <x:c r="P1105" s="35" t="str">
        <x:v>INCONCLUSIVE</x:v>
      </x:c>
      <x:c r="Q1105" s="35" t="str">
        <x:v>Deepseek-flash-v4/Result2/Codec_2/result.json</x:v>
      </x:c>
    </x:row>
    <x:row r="1106">
      <x:c r="A1106" s="35" t="str">
        <x:v>deepseek</x:v>
      </x:c>
      <x:c r="B1106" s="35" t="str">
        <x:v>Codec</x:v>
      </x:c>
      <x:c r="C1106" s="35" t="str">
        <x:v>Round2</x:v>
      </x:c>
      <x:c r="D1106" s="35" t="str">
        <x:v>Codec_3</x:v>
      </x:c>
      <x:c r="E1106" s="35" t="str">
        <x:v>Line</x:v>
      </x:c>
      <x:c r="F1106" s="35" t="n">
        <x:v>453</x:v>
      </x:c>
      <x:c r="G1106" s="35" t="str">
        <x:v>RECORDED</x:v>
      </x:c>
      <x:c r="H1106" s="39" t="n">
        <x:f>IF(ISNUMBER('Data'!E1106),'Data'!E1106*100,"")</x:f>
        <x:v>92.49</x:v>
      </x:c>
      <x:c r="I1106" s="35" t="str">
        <x:v>PASS</x:v>
      </x:c>
      <x:c r="J1106" s="35" t="str">
        <x:v>PASS</x:v>
      </x:c>
      <x:c r="K1106" s="35" t="str">
        <x:v>PASS</x:v>
      </x:c>
      <x:c r="L1106" s="35" t="str">
        <x:v>FAIL</x:v>
      </x:c>
      <x:c r="M1106" s="35" t="str">
        <x:v>numeric coverage for applicable metric</x:v>
      </x:c>
      <x:c r="N1106" s="35" t="str">
        <x:v>Deepseek-flash-v4/Result2/Codec_3/result.json</x:v>
      </x:c>
      <x:c r="O1106" s="39" t="n">
        <x:f>IF(AND(G1106="RECORDED",ISNUMBER(H1106)),H1106,"")</x:f>
        <x:v>92.49</x:v>
      </x:c>
      <x:c r="P1106" s="35" t="str">
        <x:v>INCONCLUSIVE</x:v>
      </x:c>
      <x:c r="Q1106" s="35" t="str">
        <x:v>Deepseek-flash-v4/Result2/Codec_3/result.json</x:v>
      </x:c>
    </x:row>
    <x:row r="1107">
      <x:c r="A1107" s="35" t="str">
        <x:v>deepseek</x:v>
      </x:c>
      <x:c r="B1107" s="35" t="str">
        <x:v>Codec</x:v>
      </x:c>
      <x:c r="C1107" s="35" t="str">
        <x:v>Round2</x:v>
      </x:c>
      <x:c r="D1107" s="35" t="str">
        <x:v>Codec_4</x:v>
      </x:c>
      <x:c r="E1107" s="35" t="str">
        <x:v>Line</x:v>
      </x:c>
      <x:c r="F1107" s="35" t="n">
        <x:v>231</x:v>
      </x:c>
      <x:c r="G1107" s="35" t="str">
        <x:v>RECORDED</x:v>
      </x:c>
      <x:c r="H1107" s="39" t="n">
        <x:f>IF(ISNUMBER('Data'!E1107),'Data'!E1107*100,"")</x:f>
        <x:v>92.64</x:v>
      </x:c>
      <x:c r="I1107" s="35" t="str">
        <x:v>PASS</x:v>
      </x:c>
      <x:c r="J1107" s="35" t="str">
        <x:v>PASS</x:v>
      </x:c>
      <x:c r="K1107" s="35" t="str">
        <x:v>PASS</x:v>
      </x:c>
      <x:c r="L1107" s="35" t="str">
        <x:v>FAIL</x:v>
      </x:c>
      <x:c r="M1107" s="35" t="str">
        <x:v>numeric coverage for applicable metric</x:v>
      </x:c>
      <x:c r="N1107" s="35" t="str">
        <x:v>Deepseek-flash-v4/Result2/Codec_4/result.json</x:v>
      </x:c>
      <x:c r="O1107" s="39" t="n">
        <x:f>IF(AND(G1107="RECORDED",ISNUMBER(H1107)),H1107,"")</x:f>
        <x:v>92.64</x:v>
      </x:c>
      <x:c r="P1107" s="35" t="str">
        <x:v>INCONCLUSIVE</x:v>
      </x:c>
      <x:c r="Q1107" s="35" t="str">
        <x:v>Deepseek-flash-v4/Result2/Codec_4/result.json</x:v>
      </x:c>
    </x:row>
    <x:row r="1108">
      <x:c r="A1108" s="35" t="str">
        <x:v>deepseek</x:v>
      </x:c>
      <x:c r="B1108" s="35" t="str">
        <x:v>Codec</x:v>
      </x:c>
      <x:c r="C1108" s="35" t="str">
        <x:v>Round2</x:v>
      </x:c>
      <x:c r="D1108" s="35" t="str">
        <x:v>Codec_5</x:v>
      </x:c>
      <x:c r="E1108" s="35" t="str">
        <x:v>Line</x:v>
      </x:c>
      <x:c r="F1108" s="35" t="n">
        <x:v>231</x:v>
      </x:c>
      <x:c r="G1108" s="35" t="str">
        <x:v>RECORDED</x:v>
      </x:c>
      <x:c r="H1108" s="39" t="n">
        <x:f>IF(ISNUMBER('Data'!E1108),'Data'!E1108*100,"")</x:f>
        <x:v>88.31</x:v>
      </x:c>
      <x:c r="I1108" s="35" t="str">
        <x:v>PASS</x:v>
      </x:c>
      <x:c r="J1108" s="35" t="str">
        <x:v>PASS</x:v>
      </x:c>
      <x:c r="K1108" s="35" t="str">
        <x:v>PASS</x:v>
      </x:c>
      <x:c r="L1108" s="35" t="str">
        <x:v>FAIL</x:v>
      </x:c>
      <x:c r="M1108" s="35" t="str">
        <x:v>numeric coverage for applicable metric</x:v>
      </x:c>
      <x:c r="N1108" s="35" t="str">
        <x:v>Deepseek-flash-v4/Result2/Codec_5/result.json</x:v>
      </x:c>
      <x:c r="O1108" s="39" t="n">
        <x:f>IF(AND(G1108="RECORDED",ISNUMBER(H1108)),H1108,"")</x:f>
        <x:v>88.31</x:v>
      </x:c>
      <x:c r="P1108" s="35" t="str">
        <x:v>INCONCLUSIVE</x:v>
      </x:c>
      <x:c r="Q1108" s="35" t="str">
        <x:v>Deepseek-flash-v4/Result2/Codec_5/result.json</x:v>
      </x:c>
    </x:row>
    <x:row r="1109">
      <x:c r="A1109" s="35" t="str">
        <x:v>deepseek</x:v>
      </x:c>
      <x:c r="B1109" s="35" t="str">
        <x:v>Codec</x:v>
      </x:c>
      <x:c r="C1109" s="35" t="str">
        <x:v>Round2</x:v>
      </x:c>
      <x:c r="D1109" s="35" t="str">
        <x:v>Codec_6</x:v>
      </x:c>
      <x:c r="E1109" s="35" t="str">
        <x:v>Line</x:v>
      </x:c>
      <x:c r="F1109" s="35" t="n">
        <x:v>35</x:v>
      </x:c>
      <x:c r="G1109" s="35" t="str">
        <x:v>RECORDED</x:v>
      </x:c>
      <x:c r="H1109" s="39" t="n">
        <x:f>IF(ISNUMBER('Data'!E1109),'Data'!E1109*100,"")</x:f>
        <x:v>100</x:v>
      </x:c>
      <x:c r="I1109" s="35" t="str">
        <x:v>PASS</x:v>
      </x:c>
      <x:c r="J1109" s="35" t="str">
        <x:v>PASS</x:v>
      </x:c>
      <x:c r="K1109" s="35" t="str">
        <x:v>PASS</x:v>
      </x:c>
      <x:c r="L1109" s="35" t="str">
        <x:v>FAIL</x:v>
      </x:c>
      <x:c r="M1109" s="35" t="str">
        <x:v>numeric coverage for applicable metric</x:v>
      </x:c>
      <x:c r="N1109" s="35" t="str">
        <x:v>Deepseek-flash-v4/Result2/Codec_6/result.json</x:v>
      </x:c>
      <x:c r="O1109" s="39" t="n">
        <x:f>IF(AND(G1109="RECORDED",ISNUMBER(H1109)),H1109,"")</x:f>
        <x:v>100</x:v>
      </x:c>
      <x:c r="P1109" s="35" t="str">
        <x:v>INCONCLUSIVE</x:v>
      </x:c>
      <x:c r="Q1109" s="35" t="str">
        <x:v>Deepseek-flash-v4/Result2/Codec_6/result.json</x:v>
      </x:c>
    </x:row>
    <x:row r="1110">
      <x:c r="A1110" s="35" t="str">
        <x:v>deepseek</x:v>
      </x:c>
      <x:c r="B1110" s="35" t="str">
        <x:v>Codec</x:v>
      </x:c>
      <x:c r="C1110" s="35" t="str">
        <x:v>Round2</x:v>
      </x:c>
      <x:c r="D1110" s="35" t="str">
        <x:v>Codec_7</x:v>
      </x:c>
      <x:c r="E1110" s="35" t="str">
        <x:v>Line</x:v>
      </x:c>
      <x:c r="F1110" s="35" t="n">
        <x:v>233</x:v>
      </x:c>
      <x:c r="G1110" s="35" t="str">
        <x:v>RECORDED</x:v>
      </x:c>
      <x:c r="H1110" s="39" t="n">
        <x:f>IF(ISNUMBER('Data'!E1110),'Data'!E1110*100,"")</x:f>
        <x:v>84.12</x:v>
      </x:c>
      <x:c r="I1110" s="35" t="str">
        <x:v>PASS</x:v>
      </x:c>
      <x:c r="J1110" s="35" t="str">
        <x:v>PASS</x:v>
      </x:c>
      <x:c r="K1110" s="35" t="str">
        <x:v>PASS</x:v>
      </x:c>
      <x:c r="L1110" s="35" t="str">
        <x:v>FAIL</x:v>
      </x:c>
      <x:c r="M1110" s="35" t="str">
        <x:v>numeric coverage for applicable metric</x:v>
      </x:c>
      <x:c r="N1110" s="35" t="str">
        <x:v>Deepseek-flash-v4/Result2/Codec_7/result.json</x:v>
      </x:c>
      <x:c r="O1110" s="39" t="n">
        <x:f>IF(AND(G1110="RECORDED",ISNUMBER(H1110)),H1110,"")</x:f>
        <x:v>84.12</x:v>
      </x:c>
      <x:c r="P1110" s="35" t="str">
        <x:v>INCONCLUSIVE</x:v>
      </x:c>
      <x:c r="Q1110" s="35" t="str">
        <x:v>Deepseek-flash-v4/Result2/Codec_7/result.json</x:v>
      </x:c>
    </x:row>
    <x:row r="1111">
      <x:c r="A1111" s="35" t="str">
        <x:v>deepseek</x:v>
      </x:c>
      <x:c r="B1111" s="35" t="str">
        <x:v>Codec</x:v>
      </x:c>
      <x:c r="C1111" s="35" t="str">
        <x:v>Round2</x:v>
      </x:c>
      <x:c r="D1111" s="35" t="str">
        <x:v>Codec_8</x:v>
      </x:c>
      <x:c r="E1111" s="35" t="str">
        <x:v>Line</x:v>
      </x:c>
      <x:c r="F1111" s="35" t="n">
        <x:v>261</x:v>
      </x:c>
      <x:c r="G1111" s="35" t="str">
        <x:v>RECORDED</x:v>
      </x:c>
      <x:c r="H1111" s="39" t="n">
        <x:f>IF(ISNUMBER('Data'!E1111),'Data'!E1111*100,"")</x:f>
        <x:v>86.21</x:v>
      </x:c>
      <x:c r="I1111" s="35" t="str">
        <x:v>PASS</x:v>
      </x:c>
      <x:c r="J1111" s="35" t="str">
        <x:v>PASS</x:v>
      </x:c>
      <x:c r="K1111" s="35" t="str">
        <x:v>PASS</x:v>
      </x:c>
      <x:c r="L1111" s="35" t="str">
        <x:v>FAIL</x:v>
      </x:c>
      <x:c r="M1111" s="35" t="str">
        <x:v>numeric coverage for applicable metric</x:v>
      </x:c>
      <x:c r="N1111" s="35" t="str">
        <x:v>Deepseek-flash-v4/Result2/Codec_8/result.json</x:v>
      </x:c>
      <x:c r="O1111" s="39" t="n">
        <x:f>IF(AND(G1111="RECORDED",ISNUMBER(H1111)),H1111,"")</x:f>
        <x:v>86.21</x:v>
      </x:c>
      <x:c r="P1111" s="35" t="str">
        <x:v>INCONCLUSIVE</x:v>
      </x:c>
      <x:c r="Q1111" s="35" t="str">
        <x:v>Deepseek-flash-v4/Result2/Codec_8/result.json</x:v>
      </x:c>
    </x:row>
    <x:row r="1112">
      <x:c r="A1112" s="35" t="str">
        <x:v>deepseek</x:v>
      </x:c>
      <x:c r="B1112" s="35" t="str">
        <x:v>Codec</x:v>
      </x:c>
      <x:c r="C1112" s="35" t="str">
        <x:v>Round2</x:v>
      </x:c>
      <x:c r="D1112" s="35" t="str">
        <x:v>Codec_9</x:v>
      </x:c>
      <x:c r="E1112" s="35" t="str">
        <x:v>Line</x:v>
      </x:c>
      <x:c r="F1112" s="35"/>
      <x:c r="G1112" s="35" t="str">
        <x:v>A</x:v>
      </x:c>
      <x:c r="H1112" s="39" t="str">
        <x:f>IF(ISNUMBER('Data'!E1112),'Data'!E1112*100,"")</x:f>
      </x:c>
      <x:c r="I1112" s="35"/>
      <x:c r="J1112" s="35" t="str">
        <x:v>PASS</x:v>
      </x:c>
      <x:c r="K1112" s="35" t="str">
        <x:v>FAIL</x:v>
      </x:c>
      <x:c r="L1112" s="35" t="str">
        <x:v>NOT_RUN</x:v>
      </x:c>
      <x:c r="M1112" s="35" t="str">
        <x:v>coverage unavailable or execution/compile failed</x:v>
      </x:c>
      <x:c r="N1112" s="35" t="str">
        <x:v>Deepseek-flash-v4/Result2/Codec_9/result.json</x:v>
      </x:c>
      <x:c r="O1112" s="39" t="str">
        <x:f>IF(AND(G1112="RECORDED",ISNUMBER(H1112)),H1112,"")</x:f>
      </x:c>
      <x:c r="P1112" s="35" t="str">
        <x:v>NOT_AVAILABLE</x:v>
      </x:c>
      <x:c r="Q1112" s="35" t="str">
        <x:v>Deepseek-flash-v4/Result2/Codec_9/result.json</x:v>
      </x:c>
    </x:row>
    <x:row r="1113">
      <x:c r="A1113" s="35" t="str">
        <x:v>deepseek</x:v>
      </x:c>
      <x:c r="B1113" s="35" t="str">
        <x:v>Collections</x:v>
      </x:c>
      <x:c r="C1113" s="35" t="str">
        <x:v>Round2</x:v>
      </x:c>
      <x:c r="D1113" s="35" t="str">
        <x:v>Collections_1</x:v>
      </x:c>
      <x:c r="E1113" s="35" t="str">
        <x:v>Line</x:v>
      </x:c>
      <x:c r="F1113" s="35" t="n">
        <x:v>491</x:v>
      </x:c>
      <x:c r="G1113" s="35" t="str">
        <x:v>RECORDED</x:v>
      </x:c>
      <x:c r="H1113" s="39" t="n">
        <x:f>IF(ISNUMBER('Data'!E1113),'Data'!E1113*100,"")</x:f>
        <x:v>55.39999999999999</x:v>
      </x:c>
      <x:c r="I1113" s="35" t="str">
        <x:v>PASS</x:v>
      </x:c>
      <x:c r="J1113" s="35" t="str">
        <x:v>PASS</x:v>
      </x:c>
      <x:c r="K1113" s="35" t="str">
        <x:v>PASS</x:v>
      </x:c>
      <x:c r="L1113" s="35" t="str">
        <x:v>FAIL</x:v>
      </x:c>
      <x:c r="M1113" s="35" t="str">
        <x:v>numeric coverage for applicable metric</x:v>
      </x:c>
      <x:c r="N1113" s="35" t="str">
        <x:v>Deepseek-flash-v4/Result2/Collections_1/result.json</x:v>
      </x:c>
      <x:c r="O1113" s="39" t="n">
        <x:f>IF(AND(G1113="RECORDED",ISNUMBER(H1113)),H1113,"")</x:f>
        <x:v>55.39999999999999</x:v>
      </x:c>
      <x:c r="P1113" s="35" t="str">
        <x:v>INCONCLUSIVE</x:v>
      </x:c>
      <x:c r="Q1113" s="35" t="str">
        <x:v>Deepseek-flash-v4/Result2/Collections_1/result.json</x:v>
      </x:c>
    </x:row>
    <x:row r="1114">
      <x:c r="A1114" s="35" t="str">
        <x:v>deepseek</x:v>
      </x:c>
      <x:c r="B1114" s="35" t="str">
        <x:v>Collections</x:v>
      </x:c>
      <x:c r="C1114" s="35" t="str">
        <x:v>Round2</x:v>
      </x:c>
      <x:c r="D1114" s="35" t="str">
        <x:v>Collections_10</x:v>
      </x:c>
      <x:c r="E1114" s="35" t="str">
        <x:v>Line</x:v>
      </x:c>
      <x:c r="F1114" s="35" t="n">
        <x:v>119</x:v>
      </x:c>
      <x:c r="G1114" s="35" t="str">
        <x:v>RECORDED</x:v>
      </x:c>
      <x:c r="H1114" s="39" t="n">
        <x:f>IF(ISNUMBER('Data'!E1114),'Data'!E1114*100,"")</x:f>
        <x:v>85.71</x:v>
      </x:c>
      <x:c r="I1114" s="35" t="str">
        <x:v>PASS</x:v>
      </x:c>
      <x:c r="J1114" s="35" t="str">
        <x:v>PASS</x:v>
      </x:c>
      <x:c r="K1114" s="35" t="str">
        <x:v>PASS</x:v>
      </x:c>
      <x:c r="L1114" s="35" t="str">
        <x:v>PASS</x:v>
      </x:c>
      <x:c r="M1114" s="35" t="str">
        <x:v>numeric coverage for applicable metric</x:v>
      </x:c>
      <x:c r="N1114" s="35" t="str">
        <x:v>Deepseek-flash-v4/Result2/Collections_10/result.json</x:v>
      </x:c>
      <x:c r="O1114" s="39" t="n">
        <x:f>IF(AND(G1114="RECORDED",ISNUMBER(H1114)),H1114,"")</x:f>
        <x:v>85.71</x:v>
      </x:c>
      <x:c r="P1114" s="35" t="str">
        <x:v>NOT_REVEALING</x:v>
      </x:c>
      <x:c r="Q1114" s="35" t="str">
        <x:v>Deepseek-flash-v4/Result2/Collections_10/result.json</x:v>
      </x:c>
    </x:row>
    <x:row r="1115">
      <x:c r="A1115" s="35" t="str">
        <x:v>deepseek</x:v>
      </x:c>
      <x:c r="B1115" s="35" t="str">
        <x:v>Collections</x:v>
      </x:c>
      <x:c r="C1115" s="35" t="str">
        <x:v>Round2</x:v>
      </x:c>
      <x:c r="D1115" s="35" t="str">
        <x:v>Collections_11</x:v>
      </x:c>
      <x:c r="E1115" s="35" t="str">
        <x:v>Line</x:v>
      </x:c>
      <x:c r="F1115" s="35" t="n">
        <x:v>35</x:v>
      </x:c>
      <x:c r="G1115" s="35" t="str">
        <x:v>RECORDED</x:v>
      </x:c>
      <x:c r="H1115" s="39" t="n">
        <x:f>IF(ISNUMBER('Data'!E1115),'Data'!E1115*100,"")</x:f>
        <x:v>100</x:v>
      </x:c>
      <x:c r="I1115" s="35" t="str">
        <x:v>PASS</x:v>
      </x:c>
      <x:c r="J1115" s="35" t="str">
        <x:v>PASS</x:v>
      </x:c>
      <x:c r="K1115" s="35" t="str">
        <x:v>PASS</x:v>
      </x:c>
      <x:c r="L1115" s="35" t="str">
        <x:v>FAIL</x:v>
      </x:c>
      <x:c r="M1115" s="35" t="str">
        <x:v>numeric coverage for applicable metric</x:v>
      </x:c>
      <x:c r="N1115" s="35" t="str">
        <x:v>Deepseek-flash-v4/Result2/Collections_11/result.json</x:v>
      </x:c>
      <x:c r="O1115" s="39" t="n">
        <x:f>IF(AND(G1115="RECORDED",ISNUMBER(H1115)),H1115,"")</x:f>
        <x:v>100</x:v>
      </x:c>
      <x:c r="P1115" s="35" t="str">
        <x:v>INCONCLUSIVE</x:v>
      </x:c>
      <x:c r="Q1115" s="35" t="str">
        <x:v>Deepseek-flash-v4/Result2/Collections_11/result.json</x:v>
      </x:c>
    </x:row>
    <x:row r="1116">
      <x:c r="A1116" s="35" t="str">
        <x:v>deepseek</x:v>
      </x:c>
      <x:c r="B1116" s="35" t="str">
        <x:v>Collections</x:v>
      </x:c>
      <x:c r="C1116" s="35" t="str">
        <x:v>Round2</x:v>
      </x:c>
      <x:c r="D1116" s="35" t="str">
        <x:v>Collections_12</x:v>
      </x:c>
      <x:c r="E1116" s="35" t="str">
        <x:v>Line</x:v>
      </x:c>
      <x:c r="F1116" s="35"/>
      <x:c r="G1116" s="35" t="str">
        <x:v>A</x:v>
      </x:c>
      <x:c r="H1116" s="39" t="str">
        <x:f>IF(ISNUMBER('Data'!E1116),'Data'!E1116*100,"")</x:f>
      </x:c>
      <x:c r="I1116" s="35"/>
      <x:c r="J1116" s="35" t="str">
        <x:v>PASS</x:v>
      </x:c>
      <x:c r="K1116" s="35" t="str">
        <x:v>FAIL</x:v>
      </x:c>
      <x:c r="L1116" s="35" t="str">
        <x:v>NOT_RUN</x:v>
      </x:c>
      <x:c r="M1116" s="35" t="str">
        <x:v>coverage unavailable or execution/compile failed</x:v>
      </x:c>
      <x:c r="N1116" s="35" t="str">
        <x:v>Deepseek-flash-v4/Result2/Collections_12/result.json</x:v>
      </x:c>
      <x:c r="O1116" s="39" t="str">
        <x:f>IF(AND(G1116="RECORDED",ISNUMBER(H1116)),H1116,"")</x:f>
      </x:c>
      <x:c r="P1116" s="35" t="str">
        <x:v>NOT_AVAILABLE</x:v>
      </x:c>
      <x:c r="Q1116" s="35" t="str">
        <x:v>Deepseek-flash-v4/Result2/Collections_12/result.json</x:v>
      </x:c>
    </x:row>
    <x:row r="1117">
      <x:c r="A1117" s="35" t="str">
        <x:v>deepseek</x:v>
      </x:c>
      <x:c r="B1117" s="35" t="str">
        <x:v>Collections</x:v>
      </x:c>
      <x:c r="C1117" s="35" t="str">
        <x:v>Round2</x:v>
      </x:c>
      <x:c r="D1117" s="35" t="str">
        <x:v>Collections_13</x:v>
      </x:c>
      <x:c r="E1117" s="35" t="str">
        <x:v>Line</x:v>
      </x:c>
      <x:c r="F1117" s="35"/>
      <x:c r="G1117" s="35" t="str">
        <x:v>A</x:v>
      </x:c>
      <x:c r="H1117" s="39" t="str">
        <x:f>IF(ISNUMBER('Data'!E1117),'Data'!E1117*100,"")</x:f>
      </x:c>
      <x:c r="I1117" s="35"/>
      <x:c r="J1117" s="35" t="str">
        <x:v>PASS</x:v>
      </x:c>
      <x:c r="K1117" s="35" t="str">
        <x:v>FAIL</x:v>
      </x:c>
      <x:c r="L1117" s="35" t="str">
        <x:v>NOT_RUN</x:v>
      </x:c>
      <x:c r="M1117" s="35" t="str">
        <x:v>coverage unavailable or execution/compile failed</x:v>
      </x:c>
      <x:c r="N1117" s="35" t="str">
        <x:v>Deepseek-flash-v4/Result2/Collections_13/result.json</x:v>
      </x:c>
      <x:c r="O1117" s="39" t="str">
        <x:f>IF(AND(G1117="RECORDED",ISNUMBER(H1117)),H1117,"")</x:f>
      </x:c>
      <x:c r="P1117" s="35" t="str">
        <x:v>NOT_AVAILABLE</x:v>
      </x:c>
      <x:c r="Q1117" s="35" t="str">
        <x:v>Deepseek-flash-v4/Result2/Collections_13/result.json</x:v>
      </x:c>
    </x:row>
    <x:row r="1118">
      <x:c r="A1118" s="35" t="str">
        <x:v>deepseek</x:v>
      </x:c>
      <x:c r="B1118" s="35" t="str">
        <x:v>Collections</x:v>
      </x:c>
      <x:c r="C1118" s="35" t="str">
        <x:v>Round2</x:v>
      </x:c>
      <x:c r="D1118" s="35" t="str">
        <x:v>Collections_14</x:v>
      </x:c>
      <x:c r="E1118" s="35" t="str">
        <x:v>Line</x:v>
      </x:c>
      <x:c r="F1118" s="35" t="n">
        <x:v>18</x:v>
      </x:c>
      <x:c r="G1118" s="35" t="str">
        <x:v>RECORDED</x:v>
      </x:c>
      <x:c r="H1118" s="39" t="n">
        <x:f>IF(ISNUMBER('Data'!E1118),'Data'!E1118*100,"")</x:f>
        <x:v>66.67</x:v>
      </x:c>
      <x:c r="I1118" s="35" t="str">
        <x:v>PASS</x:v>
      </x:c>
      <x:c r="J1118" s="35" t="str">
        <x:v>PASS</x:v>
      </x:c>
      <x:c r="K1118" s="35" t="str">
        <x:v>PASS</x:v>
      </x:c>
      <x:c r="L1118" s="35" t="str">
        <x:v>PASS</x:v>
      </x:c>
      <x:c r="M1118" s="35" t="str">
        <x:v>numeric coverage for applicable metric</x:v>
      </x:c>
      <x:c r="N1118" s="35" t="str">
        <x:v>Deepseek-flash-v4/Result2/Collections_14/result.json</x:v>
      </x:c>
      <x:c r="O1118" s="39" t="n">
        <x:f>IF(AND(G1118="RECORDED",ISNUMBER(H1118)),H1118,"")</x:f>
        <x:v>66.67</x:v>
      </x:c>
      <x:c r="P1118" s="35" t="str">
        <x:v>NOT_REVEALING</x:v>
      </x:c>
      <x:c r="Q1118" s="35" t="str">
        <x:v>Deepseek-flash-v4/Result2/Collections_14/result.json</x:v>
      </x:c>
    </x:row>
    <x:row r="1119">
      <x:c r="A1119" s="35" t="str">
        <x:v>deepseek</x:v>
      </x:c>
      <x:c r="B1119" s="35" t="str">
        <x:v>Collections</x:v>
      </x:c>
      <x:c r="C1119" s="35" t="str">
        <x:v>Round2</x:v>
      </x:c>
      <x:c r="D1119" s="35" t="str">
        <x:v>Collections_15</x:v>
      </x:c>
      <x:c r="E1119" s="35" t="str">
        <x:v>Line</x:v>
      </x:c>
      <x:c r="F1119" s="35" t="n">
        <x:v>86</x:v>
      </x:c>
      <x:c r="G1119" s="35" t="str">
        <x:v>RECORDED</x:v>
      </x:c>
      <x:c r="H1119" s="39" t="n">
        <x:f>IF(ISNUMBER('Data'!E1119),'Data'!E1119*100,"")</x:f>
        <x:v>97.67</x:v>
      </x:c>
      <x:c r="I1119" s="35" t="str">
        <x:v>PASS</x:v>
      </x:c>
      <x:c r="J1119" s="35" t="str">
        <x:v>PASS</x:v>
      </x:c>
      <x:c r="K1119" s="35" t="str">
        <x:v>PASS</x:v>
      </x:c>
      <x:c r="L1119" s="35" t="str">
        <x:v>PASS</x:v>
      </x:c>
      <x:c r="M1119" s="35" t="str">
        <x:v>numeric coverage for applicable metric</x:v>
      </x:c>
      <x:c r="N1119" s="35" t="str">
        <x:v>Deepseek-flash-v4/Result2/Collections_15/result.json</x:v>
      </x:c>
      <x:c r="O1119" s="39" t="n">
        <x:f>IF(AND(G1119="RECORDED",ISNUMBER(H1119)),H1119,"")</x:f>
        <x:v>97.67</x:v>
      </x:c>
      <x:c r="P1119" s="35" t="str">
        <x:v>NOT_REVEALING</x:v>
      </x:c>
      <x:c r="Q1119" s="35" t="str">
        <x:v>Deepseek-flash-v4/Result2/Collections_15/result.json</x:v>
      </x:c>
    </x:row>
    <x:row r="1120">
      <x:c r="A1120" s="35" t="str">
        <x:v>deepseek</x:v>
      </x:c>
      <x:c r="B1120" s="35" t="str">
        <x:v>Collections</x:v>
      </x:c>
      <x:c r="C1120" s="35" t="str">
        <x:v>Round2</x:v>
      </x:c>
      <x:c r="D1120" s="35" t="str">
        <x:v>Collections_16</x:v>
      </x:c>
      <x:c r="E1120" s="35" t="str">
        <x:v>Line</x:v>
      </x:c>
      <x:c r="F1120" s="35"/>
      <x:c r="G1120" s="35" t="str">
        <x:v>A</x:v>
      </x:c>
      <x:c r="H1120" s="39" t="str">
        <x:f>IF(ISNUMBER('Data'!E1120),'Data'!E1120*100,"")</x:f>
      </x:c>
      <x:c r="I1120" s="35"/>
      <x:c r="J1120" s="35" t="str">
        <x:v>PASS</x:v>
      </x:c>
      <x:c r="K1120" s="35" t="str">
        <x:v>FAIL</x:v>
      </x:c>
      <x:c r="L1120" s="35" t="str">
        <x:v>NOT_RUN</x:v>
      </x:c>
      <x:c r="M1120" s="35" t="str">
        <x:v>coverage unavailable or execution/compile failed</x:v>
      </x:c>
      <x:c r="N1120" s="35" t="str">
        <x:v>Deepseek-flash-v4/Result2/Collections_16/result.json</x:v>
      </x:c>
      <x:c r="O1120" s="39" t="str">
        <x:f>IF(AND(G1120="RECORDED",ISNUMBER(H1120)),H1120,"")</x:f>
      </x:c>
      <x:c r="P1120" s="35" t="str">
        <x:v>NOT_AVAILABLE</x:v>
      </x:c>
      <x:c r="Q1120" s="35" t="str">
        <x:v>Deepseek-flash-v4/Result2/Collections_16/result.json</x:v>
      </x:c>
    </x:row>
    <x:row r="1121">
      <x:c r="A1121" s="35" t="str">
        <x:v>deepseek</x:v>
      </x:c>
      <x:c r="B1121" s="35" t="str">
        <x:v>Collections</x:v>
      </x:c>
      <x:c r="C1121" s="35" t="str">
        <x:v>Round2</x:v>
      </x:c>
      <x:c r="D1121" s="35" t="str">
        <x:v>Collections_17</x:v>
      </x:c>
      <x:c r="E1121" s="35" t="str">
        <x:v>Line</x:v>
      </x:c>
      <x:c r="F1121" s="35"/>
      <x:c r="G1121" s="35" t="str">
        <x:v>A</x:v>
      </x:c>
      <x:c r="H1121" s="39" t="str">
        <x:f>IF(ISNUMBER('Data'!E1121),'Data'!E1121*100,"")</x:f>
      </x:c>
      <x:c r="I1121" s="35"/>
      <x:c r="J1121" s="35" t="str">
        <x:v>PASS</x:v>
      </x:c>
      <x:c r="K1121" s="35" t="str">
        <x:v>FAIL</x:v>
      </x:c>
      <x:c r="L1121" s="35" t="str">
        <x:v>NOT_RUN</x:v>
      </x:c>
      <x:c r="M1121" s="35" t="str">
        <x:v>coverage unavailable or execution/compile failed</x:v>
      </x:c>
      <x:c r="N1121" s="35" t="str">
        <x:v>Deepseek-flash-v4/Result2/Collections_17/result.json</x:v>
      </x:c>
      <x:c r="O1121" s="39" t="str">
        <x:f>IF(AND(G1121="RECORDED",ISNUMBER(H1121)),H1121,"")</x:f>
      </x:c>
      <x:c r="P1121" s="35" t="str">
        <x:v>NOT_AVAILABLE</x:v>
      </x:c>
      <x:c r="Q1121" s="35" t="str">
        <x:v>Deepseek-flash-v4/Result2/Collections_17/result.json</x:v>
      </x:c>
    </x:row>
    <x:row r="1122">
      <x:c r="A1122" s="35" t="str">
        <x:v>deepseek</x:v>
      </x:c>
      <x:c r="B1122" s="35" t="str">
        <x:v>Collections</x:v>
      </x:c>
      <x:c r="C1122" s="35" t="str">
        <x:v>Round2</x:v>
      </x:c>
      <x:c r="D1122" s="35" t="str">
        <x:v>Collections_18</x:v>
      </x:c>
      <x:c r="E1122" s="35" t="str">
        <x:v>Line</x:v>
      </x:c>
      <x:c r="F1122" s="35" t="n">
        <x:v>93</x:v>
      </x:c>
      <x:c r="G1122" s="35" t="str">
        <x:v>RECORDED</x:v>
      </x:c>
      <x:c r="H1122" s="39" t="n">
        <x:f>IF(ISNUMBER('Data'!E1122),'Data'!E1122*100,"")</x:f>
        <x:v>90.32</x:v>
      </x:c>
      <x:c r="I1122" s="35" t="str">
        <x:v>PASS</x:v>
      </x:c>
      <x:c r="J1122" s="35" t="str">
        <x:v>PASS</x:v>
      </x:c>
      <x:c r="K1122" s="35" t="str">
        <x:v>PASS</x:v>
      </x:c>
      <x:c r="L1122" s="35" t="str">
        <x:v>FAIL</x:v>
      </x:c>
      <x:c r="M1122" s="35" t="str">
        <x:v>numeric coverage for applicable metric</x:v>
      </x:c>
      <x:c r="N1122" s="35" t="str">
        <x:v>Deepseek-flash-v4/Result2/Collections_18/result.json</x:v>
      </x:c>
      <x:c r="O1122" s="39" t="n">
        <x:f>IF(AND(G1122="RECORDED",ISNUMBER(H1122)),H1122,"")</x:f>
        <x:v>90.32</x:v>
      </x:c>
      <x:c r="P1122" s="35" t="str">
        <x:v>INCONCLUSIVE</x:v>
      </x:c>
      <x:c r="Q1122" s="35" t="str">
        <x:v>Deepseek-flash-v4/Result2/Collections_18/result.json</x:v>
      </x:c>
    </x:row>
    <x:row r="1123">
      <x:c r="A1123" s="35" t="str">
        <x:v>deepseek</x:v>
      </x:c>
      <x:c r="B1123" s="35" t="str">
        <x:v>Collections</x:v>
      </x:c>
      <x:c r="C1123" s="35" t="str">
        <x:v>Round2</x:v>
      </x:c>
      <x:c r="D1123" s="35" t="str">
        <x:v>Collections_19</x:v>
      </x:c>
      <x:c r="E1123" s="35" t="str">
        <x:v>Line</x:v>
      </x:c>
      <x:c r="F1123" s="35" t="n">
        <x:v>109</x:v>
      </x:c>
      <x:c r="G1123" s="35" t="str">
        <x:v>RECORDED</x:v>
      </x:c>
      <x:c r="H1123" s="39" t="n">
        <x:f>IF(ISNUMBER('Data'!E1123),'Data'!E1123*100,"")</x:f>
        <x:v>93.58</x:v>
      </x:c>
      <x:c r="I1123" s="35" t="str">
        <x:v>PASS</x:v>
      </x:c>
      <x:c r="J1123" s="35" t="str">
        <x:v>PASS</x:v>
      </x:c>
      <x:c r="K1123" s="35" t="str">
        <x:v>PASS</x:v>
      </x:c>
      <x:c r="L1123" s="35" t="str">
        <x:v>PASS</x:v>
      </x:c>
      <x:c r="M1123" s="35" t="str">
        <x:v>numeric coverage for applicable metric</x:v>
      </x:c>
      <x:c r="N1123" s="35" t="str">
        <x:v>Deepseek-flash-v4/Result2/Collections_19/result.json</x:v>
      </x:c>
      <x:c r="O1123" s="39" t="n">
        <x:f>IF(AND(G1123="RECORDED",ISNUMBER(H1123)),H1123,"")</x:f>
        <x:v>93.58</x:v>
      </x:c>
      <x:c r="P1123" s="35" t="str">
        <x:v>NOT_REVEALING</x:v>
      </x:c>
      <x:c r="Q1123" s="35" t="str">
        <x:v>Deepseek-flash-v4/Result2/Collections_19/result.json</x:v>
      </x:c>
    </x:row>
    <x:row r="1124">
      <x:c r="A1124" s="35" t="str">
        <x:v>deepseek</x:v>
      </x:c>
      <x:c r="B1124" s="35" t="str">
        <x:v>Collections</x:v>
      </x:c>
      <x:c r="C1124" s="35" t="str">
        <x:v>Round2</x:v>
      </x:c>
      <x:c r="D1124" s="35" t="str">
        <x:v>Collections_2</x:v>
      </x:c>
      <x:c r="E1124" s="35" t="str">
        <x:v>Line</x:v>
      </x:c>
      <x:c r="F1124" s="35"/>
      <x:c r="G1124" s="35" t="str">
        <x:v>A</x:v>
      </x:c>
      <x:c r="H1124" s="39" t="str">
        <x:f>IF(ISNUMBER('Data'!E1124),'Data'!E1124*100,"")</x:f>
      </x:c>
      <x:c r="I1124" s="35"/>
      <x:c r="J1124" s="35" t="str">
        <x:v>PASS</x:v>
      </x:c>
      <x:c r="K1124" s="35" t="str">
        <x:v>FAIL</x:v>
      </x:c>
      <x:c r="L1124" s="35" t="str">
        <x:v>NOT_RUN</x:v>
      </x:c>
      <x:c r="M1124" s="35" t="str">
        <x:v>coverage unavailable or execution/compile failed</x:v>
      </x:c>
      <x:c r="N1124" s="35" t="str">
        <x:v>Deepseek-flash-v4/Result2/Collections_2/result.json</x:v>
      </x:c>
      <x:c r="O1124" s="39" t="str">
        <x:f>IF(AND(G1124="RECORDED",ISNUMBER(H1124)),H1124,"")</x:f>
      </x:c>
      <x:c r="P1124" s="35" t="str">
        <x:v>NOT_AVAILABLE</x:v>
      </x:c>
      <x:c r="Q1124" s="35" t="str">
        <x:v>Deepseek-flash-v4/Result2/Collections_2/result.json</x:v>
      </x:c>
    </x:row>
    <x:row r="1125">
      <x:c r="A1125" s="35" t="str">
        <x:v>deepseek</x:v>
      </x:c>
      <x:c r="B1125" s="35" t="str">
        <x:v>Collections</x:v>
      </x:c>
      <x:c r="C1125" s="35" t="str">
        <x:v>Round2</x:v>
      </x:c>
      <x:c r="D1125" s="35" t="str">
        <x:v>Collections_20</x:v>
      </x:c>
      <x:c r="E1125" s="35" t="str">
        <x:v>Line</x:v>
      </x:c>
      <x:c r="F1125" s="35" t="n">
        <x:v>293</x:v>
      </x:c>
      <x:c r="G1125" s="35" t="str">
        <x:v>RECORDED</x:v>
      </x:c>
      <x:c r="H1125" s="39" t="n">
        <x:f>IF(ISNUMBER('Data'!E1125),'Data'!E1125*100,"")</x:f>
        <x:v>81.23</x:v>
      </x:c>
      <x:c r="I1125" s="35" t="str">
        <x:v>PASS</x:v>
      </x:c>
      <x:c r="J1125" s="35" t="str">
        <x:v>PASS</x:v>
      </x:c>
      <x:c r="K1125" s="35" t="str">
        <x:v>PASS</x:v>
      </x:c>
      <x:c r="L1125" s="35" t="str">
        <x:v>FAIL</x:v>
      </x:c>
      <x:c r="M1125" s="35" t="str">
        <x:v>numeric coverage for applicable metric</x:v>
      </x:c>
      <x:c r="N1125" s="35" t="str">
        <x:v>Deepseek-flash-v4/Result2/Collections_20/result.json</x:v>
      </x:c>
      <x:c r="O1125" s="39" t="n">
        <x:f>IF(AND(G1125="RECORDED",ISNUMBER(H1125)),H1125,"")</x:f>
        <x:v>81.23</x:v>
      </x:c>
      <x:c r="P1125" s="35" t="str">
        <x:v>INCONCLUSIVE</x:v>
      </x:c>
      <x:c r="Q1125" s="35" t="str">
        <x:v>Deepseek-flash-v4/Result2/Collections_20/result.json</x:v>
      </x:c>
    </x:row>
    <x:row r="1126">
      <x:c r="A1126" s="35" t="str">
        <x:v>deepseek</x:v>
      </x:c>
      <x:c r="B1126" s="35" t="str">
        <x:v>Collections</x:v>
      </x:c>
      <x:c r="C1126" s="35" t="str">
        <x:v>Round2</x:v>
      </x:c>
      <x:c r="D1126" s="35" t="str">
        <x:v>Collections_21</x:v>
      </x:c>
      <x:c r="E1126" s="35" t="str">
        <x:v>Line</x:v>
      </x:c>
      <x:c r="F1126" s="35" t="n">
        <x:v>109</x:v>
      </x:c>
      <x:c r="G1126" s="35" t="str">
        <x:v>RECORDED</x:v>
      </x:c>
      <x:c r="H1126" s="39" t="n">
        <x:f>IF(ISNUMBER('Data'!E1126),'Data'!E1126*100,"")</x:f>
        <x:v>93.58</x:v>
      </x:c>
      <x:c r="I1126" s="35" t="str">
        <x:v>PASS</x:v>
      </x:c>
      <x:c r="J1126" s="35" t="str">
        <x:v>PASS</x:v>
      </x:c>
      <x:c r="K1126" s="35" t="str">
        <x:v>PASS</x:v>
      </x:c>
      <x:c r="L1126" s="35" t="str">
        <x:v>PASS</x:v>
      </x:c>
      <x:c r="M1126" s="35" t="str">
        <x:v>numeric coverage for applicable metric</x:v>
      </x:c>
      <x:c r="N1126" s="35" t="str">
        <x:v>Deepseek-flash-v4/Result2/Collections_21/result.json</x:v>
      </x:c>
      <x:c r="O1126" s="39" t="n">
        <x:f>IF(AND(G1126="RECORDED",ISNUMBER(H1126)),H1126,"")</x:f>
        <x:v>93.58</x:v>
      </x:c>
      <x:c r="P1126" s="35" t="str">
        <x:v>NOT_REVEALING</x:v>
      </x:c>
      <x:c r="Q1126" s="35" t="str">
        <x:v>Deepseek-flash-v4/Result2/Collections_21/result.json</x:v>
      </x:c>
    </x:row>
    <x:row r="1127">
      <x:c r="A1127" s="35" t="str">
        <x:v>deepseek</x:v>
      </x:c>
      <x:c r="B1127" s="35" t="str">
        <x:v>Collections</x:v>
      </x:c>
      <x:c r="C1127" s="35" t="str">
        <x:v>Round2</x:v>
      </x:c>
      <x:c r="D1127" s="35" t="str">
        <x:v>Collections_22</x:v>
      </x:c>
      <x:c r="E1127" s="35" t="str">
        <x:v>Line</x:v>
      </x:c>
      <x:c r="F1127" s="35" t="n">
        <x:v>195</x:v>
      </x:c>
      <x:c r="G1127" s="35" t="str">
        <x:v>RECORDED</x:v>
      </x:c>
      <x:c r="H1127" s="39" t="n">
        <x:f>IF(ISNUMBER('Data'!E1127),'Data'!E1127*100,"")</x:f>
        <x:v>46.67</x:v>
      </x:c>
      <x:c r="I1127" s="35" t="str">
        <x:v>PASS</x:v>
      </x:c>
      <x:c r="J1127" s="35" t="str">
        <x:v>PASS</x:v>
      </x:c>
      <x:c r="K1127" s="35" t="str">
        <x:v>PASS</x:v>
      </x:c>
      <x:c r="L1127" s="35" t="str">
        <x:v>PASS</x:v>
      </x:c>
      <x:c r="M1127" s="35" t="str">
        <x:v>numeric coverage for applicable metric</x:v>
      </x:c>
      <x:c r="N1127" s="35" t="str">
        <x:v>Deepseek-flash-v4/Result2/Collections_22/result.json</x:v>
      </x:c>
      <x:c r="O1127" s="39" t="n">
        <x:f>IF(AND(G1127="RECORDED",ISNUMBER(H1127)),H1127,"")</x:f>
        <x:v>46.67</x:v>
      </x:c>
      <x:c r="P1127" s="35" t="str">
        <x:v>NOT_REVEALING</x:v>
      </x:c>
      <x:c r="Q1127" s="35" t="str">
        <x:v>Deepseek-flash-v4/Result2/Collections_22/result.json</x:v>
      </x:c>
    </x:row>
    <x:row r="1128">
      <x:c r="A1128" s="35" t="str">
        <x:v>deepseek</x:v>
      </x:c>
      <x:c r="B1128" s="35" t="str">
        <x:v>Collections</x:v>
      </x:c>
      <x:c r="C1128" s="35" t="str">
        <x:v>Round2</x:v>
      </x:c>
      <x:c r="D1128" s="35" t="str">
        <x:v>Collections_23</x:v>
      </x:c>
      <x:c r="E1128" s="35" t="str">
        <x:v>Line</x:v>
      </x:c>
      <x:c r="F1128" s="35"/>
      <x:c r="G1128" s="35" t="str">
        <x:v>A</x:v>
      </x:c>
      <x:c r="H1128" s="39" t="str">
        <x:f>IF(ISNUMBER('Data'!E1128),'Data'!E1128*100,"")</x:f>
      </x:c>
      <x:c r="I1128" s="35"/>
      <x:c r="J1128" s="35" t="str">
        <x:v>PASS</x:v>
      </x:c>
      <x:c r="K1128" s="35" t="str">
        <x:v>FAIL</x:v>
      </x:c>
      <x:c r="L1128" s="35" t="str">
        <x:v>NOT_RUN</x:v>
      </x:c>
      <x:c r="M1128" s="35" t="str">
        <x:v>coverage unavailable or execution/compile failed</x:v>
      </x:c>
      <x:c r="N1128" s="35" t="str">
        <x:v>Deepseek-flash-v4/Result2/Collections_23/result.json</x:v>
      </x:c>
      <x:c r="O1128" s="39" t="str">
        <x:f>IF(AND(G1128="RECORDED",ISNUMBER(H1128)),H1128,"")</x:f>
      </x:c>
      <x:c r="P1128" s="35" t="str">
        <x:v>NOT_AVAILABLE</x:v>
      </x:c>
      <x:c r="Q1128" s="35" t="str">
        <x:v>Deepseek-flash-v4/Result2/Collections_23/result.json</x:v>
      </x:c>
    </x:row>
    <x:row r="1129">
      <x:c r="A1129" s="35" t="str">
        <x:v>deepseek</x:v>
      </x:c>
      <x:c r="B1129" s="35" t="str">
        <x:v>Collections</x:v>
      </x:c>
      <x:c r="C1129" s="35" t="str">
        <x:v>Round2</x:v>
      </x:c>
      <x:c r="D1129" s="35" t="str">
        <x:v>Collections_24</x:v>
      </x:c>
      <x:c r="E1129" s="35" t="str">
        <x:v>Line</x:v>
      </x:c>
      <x:c r="F1129" s="35" t="n">
        <x:v>26</x:v>
      </x:c>
      <x:c r="G1129" s="35" t="str">
        <x:v>RECORDED</x:v>
      </x:c>
      <x:c r="H1129" s="39" t="n">
        <x:f>IF(ISNUMBER('Data'!E1129),'Data'!E1129*100,"")</x:f>
        <x:v>96.15</x:v>
      </x:c>
      <x:c r="I1129" s="35" t="str">
        <x:v>PASS</x:v>
      </x:c>
      <x:c r="J1129" s="35" t="str">
        <x:v>PASS</x:v>
      </x:c>
      <x:c r="K1129" s="35" t="str">
        <x:v>PASS</x:v>
      </x:c>
      <x:c r="L1129" s="35" t="str">
        <x:v>PASS</x:v>
      </x:c>
      <x:c r="M1129" s="35" t="str">
        <x:v>numeric coverage for applicable metric</x:v>
      </x:c>
      <x:c r="N1129" s="35" t="str">
        <x:v>Deepseek-flash-v4/Result2/Collections_24/result.json</x:v>
      </x:c>
      <x:c r="O1129" s="39" t="n">
        <x:f>IF(AND(G1129="RECORDED",ISNUMBER(H1129)),H1129,"")</x:f>
        <x:v>96.15</x:v>
      </x:c>
      <x:c r="P1129" s="35" t="str">
        <x:v>NOT_REVEALING</x:v>
      </x:c>
      <x:c r="Q1129" s="35" t="str">
        <x:v>Deepseek-flash-v4/Result2/Collections_24/result.json</x:v>
      </x:c>
    </x:row>
    <x:row r="1130">
      <x:c r="A1130" s="35" t="str">
        <x:v>deepseek</x:v>
      </x:c>
      <x:c r="B1130" s="35" t="str">
        <x:v>Collections</x:v>
      </x:c>
      <x:c r="C1130" s="35" t="str">
        <x:v>Round2</x:v>
      </x:c>
      <x:c r="D1130" s="35" t="str">
        <x:v>Collections_25</x:v>
      </x:c>
      <x:c r="E1130" s="35" t="str">
        <x:v>Line</x:v>
      </x:c>
      <x:c r="F1130" s="35"/>
      <x:c r="G1130" s="35" t="str">
        <x:v>A</x:v>
      </x:c>
      <x:c r="H1130" s="39" t="str">
        <x:f>IF(ISNUMBER('Data'!E1130),'Data'!E1130*100,"")</x:f>
      </x:c>
      <x:c r="I1130" s="35"/>
      <x:c r="J1130" s="35" t="str">
        <x:v>PASS</x:v>
      </x:c>
      <x:c r="K1130" s="35" t="str">
        <x:v>FAIL</x:v>
      </x:c>
      <x:c r="L1130" s="35" t="str">
        <x:v>NOT_RUN</x:v>
      </x:c>
      <x:c r="M1130" s="35" t="str">
        <x:v>coverage unavailable or execution/compile failed</x:v>
      </x:c>
      <x:c r="N1130" s="35" t="str">
        <x:v>Deepseek-flash-v4/Result2/Collections_25/result.json</x:v>
      </x:c>
      <x:c r="O1130" s="39" t="str">
        <x:f>IF(AND(G1130="RECORDED",ISNUMBER(H1130)),H1130,"")</x:f>
      </x:c>
      <x:c r="P1130" s="35" t="str">
        <x:v>NOT_AVAILABLE</x:v>
      </x:c>
      <x:c r="Q1130" s="35" t="str">
        <x:v>Deepseek-flash-v4/Result2/Collections_25/result.json</x:v>
      </x:c>
    </x:row>
    <x:row r="1131">
      <x:c r="A1131" s="35" t="str">
        <x:v>deepseek</x:v>
      </x:c>
      <x:c r="B1131" s="35" t="str">
        <x:v>Collections</x:v>
      </x:c>
      <x:c r="C1131" s="35" t="str">
        <x:v>Round2</x:v>
      </x:c>
      <x:c r="D1131" s="35" t="str">
        <x:v>Collections_26</x:v>
      </x:c>
      <x:c r="E1131" s="35" t="str">
        <x:v>Line</x:v>
      </x:c>
      <x:c r="F1131" s="35" t="n">
        <x:v>37</x:v>
      </x:c>
      <x:c r="G1131" s="35" t="str">
        <x:v>RECORDED</x:v>
      </x:c>
      <x:c r="H1131" s="39" t="n">
        <x:f>IF(ISNUMBER('Data'!E1131),'Data'!E1131*100,"")</x:f>
        <x:v>94.59</x:v>
      </x:c>
      <x:c r="I1131" s="35" t="str">
        <x:v>PASS</x:v>
      </x:c>
      <x:c r="J1131" s="35" t="str">
        <x:v>PASS</x:v>
      </x:c>
      <x:c r="K1131" s="35" t="str">
        <x:v>PASS</x:v>
      </x:c>
      <x:c r="L1131" s="35" t="str">
        <x:v>PASS</x:v>
      </x:c>
      <x:c r="M1131" s="35" t="str">
        <x:v>numeric coverage for applicable metric</x:v>
      </x:c>
      <x:c r="N1131" s="35" t="str">
        <x:v>Deepseek-flash-v4/Result2/Collections_26/result.json</x:v>
      </x:c>
      <x:c r="O1131" s="39" t="n">
        <x:f>IF(AND(G1131="RECORDED",ISNUMBER(H1131)),H1131,"")</x:f>
        <x:v>94.59</x:v>
      </x:c>
      <x:c r="P1131" s="35" t="str">
        <x:v>NOT_REVEALING</x:v>
      </x:c>
      <x:c r="Q1131" s="35" t="str">
        <x:v>Deepseek-flash-v4/Result2/Collections_26/result.json</x:v>
      </x:c>
    </x:row>
    <x:row r="1132">
      <x:c r="A1132" s="35" t="str">
        <x:v>deepseek</x:v>
      </x:c>
      <x:c r="B1132" s="35" t="str">
        <x:v>Collections</x:v>
      </x:c>
      <x:c r="C1132" s="35" t="str">
        <x:v>Round2</x:v>
      </x:c>
      <x:c r="D1132" s="35" t="str">
        <x:v>Collections_27</x:v>
      </x:c>
      <x:c r="E1132" s="35" t="str">
        <x:v>Line</x:v>
      </x:c>
      <x:c r="F1132" s="35" t="n">
        <x:v>127</x:v>
      </x:c>
      <x:c r="G1132" s="35" t="str">
        <x:v>RECORDED</x:v>
      </x:c>
      <x:c r="H1132" s="39" t="n">
        <x:f>IF(ISNUMBER('Data'!E1132),'Data'!E1132*100,"")</x:f>
        <x:v>85.83</x:v>
      </x:c>
      <x:c r="I1132" s="35" t="str">
        <x:v>PASS</x:v>
      </x:c>
      <x:c r="J1132" s="35" t="str">
        <x:v>PASS</x:v>
      </x:c>
      <x:c r="K1132" s="35" t="str">
        <x:v>PASS</x:v>
      </x:c>
      <x:c r="L1132" s="35" t="str">
        <x:v>FAIL</x:v>
      </x:c>
      <x:c r="M1132" s="35" t="str">
        <x:v>numeric coverage for applicable metric</x:v>
      </x:c>
      <x:c r="N1132" s="35" t="str">
        <x:v>Deepseek-flash-v4/Result2/Collections_27/result.json</x:v>
      </x:c>
      <x:c r="O1132" s="39" t="n">
        <x:f>IF(AND(G1132="RECORDED",ISNUMBER(H1132)),H1132,"")</x:f>
        <x:v>85.83</x:v>
      </x:c>
      <x:c r="P1132" s="35" t="str">
        <x:v>INCONCLUSIVE</x:v>
      </x:c>
      <x:c r="Q1132" s="35" t="str">
        <x:v>Deepseek-flash-v4/Result2/Collections_27/result.json</x:v>
      </x:c>
    </x:row>
    <x:row r="1133">
      <x:c r="A1133" s="35" t="str">
        <x:v>deepseek</x:v>
      </x:c>
      <x:c r="B1133" s="35" t="str">
        <x:v>Collections</x:v>
      </x:c>
      <x:c r="C1133" s="35" t="str">
        <x:v>Round2</x:v>
      </x:c>
      <x:c r="D1133" s="35" t="str">
        <x:v>Collections_28</x:v>
      </x:c>
      <x:c r="E1133" s="35" t="str">
        <x:v>Line</x:v>
      </x:c>
      <x:c r="F1133" s="35"/>
      <x:c r="G1133" s="35" t="str">
        <x:v>A</x:v>
      </x:c>
      <x:c r="H1133" s="39" t="str">
        <x:f>IF(ISNUMBER('Data'!E1133),'Data'!E1133*100,"")</x:f>
      </x:c>
      <x:c r="I1133" s="35"/>
      <x:c r="J1133" s="35" t="str">
        <x:v>PASS</x:v>
      </x:c>
      <x:c r="K1133" s="35" t="str">
        <x:v>FAIL</x:v>
      </x:c>
      <x:c r="L1133" s="35" t="str">
        <x:v>NOT_RUN</x:v>
      </x:c>
      <x:c r="M1133" s="35" t="str">
        <x:v>coverage unavailable or execution/compile failed</x:v>
      </x:c>
      <x:c r="N1133" s="35" t="str">
        <x:v>Deepseek-flash-v4/Result2/Collections_28/result.json</x:v>
      </x:c>
      <x:c r="O1133" s="39" t="str">
        <x:f>IF(AND(G1133="RECORDED",ISNUMBER(H1133)),H1133,"")</x:f>
      </x:c>
      <x:c r="P1133" s="35" t="str">
        <x:v>NOT_AVAILABLE</x:v>
      </x:c>
      <x:c r="Q1133" s="35" t="str">
        <x:v>Deepseek-flash-v4/Result2/Collections_28/result.json</x:v>
      </x:c>
    </x:row>
    <x:row r="1134">
      <x:c r="A1134" s="35" t="str">
        <x:v>deepseek</x:v>
      </x:c>
      <x:c r="B1134" s="35" t="str">
        <x:v>Collections</x:v>
      </x:c>
      <x:c r="C1134" s="35" t="str">
        <x:v>Round2</x:v>
      </x:c>
      <x:c r="D1134" s="35" t="str">
        <x:v>Collections_3</x:v>
      </x:c>
      <x:c r="E1134" s="35" t="str">
        <x:v>Line</x:v>
      </x:c>
      <x:c r="F1134" s="35"/>
      <x:c r="G1134" s="35" t="str">
        <x:v>A</x:v>
      </x:c>
      <x:c r="H1134" s="39" t="str">
        <x:f>IF(ISNUMBER('Data'!E1134),'Data'!E1134*100,"")</x:f>
      </x:c>
      <x:c r="I1134" s="35"/>
      <x:c r="J1134" s="35" t="str">
        <x:v>PASS</x:v>
      </x:c>
      <x:c r="K1134" s="35" t="str">
        <x:v>FAIL</x:v>
      </x:c>
      <x:c r="L1134" s="35" t="str">
        <x:v>NOT_RUN</x:v>
      </x:c>
      <x:c r="M1134" s="35" t="str">
        <x:v>coverage unavailable or execution/compile failed</x:v>
      </x:c>
      <x:c r="N1134" s="35" t="str">
        <x:v>Deepseek-flash-v4/Result2/Collections_3/result.json</x:v>
      </x:c>
      <x:c r="O1134" s="39" t="str">
        <x:f>IF(AND(G1134="RECORDED",ISNUMBER(H1134)),H1134,"")</x:f>
      </x:c>
      <x:c r="P1134" s="35" t="str">
        <x:v>NOT_AVAILABLE</x:v>
      </x:c>
      <x:c r="Q1134" s="35" t="str">
        <x:v>Deepseek-flash-v4/Result2/Collections_3/result.json</x:v>
      </x:c>
    </x:row>
    <x:row r="1135">
      <x:c r="A1135" s="35" t="str">
        <x:v>deepseek</x:v>
      </x:c>
      <x:c r="B1135" s="35" t="str">
        <x:v>Collections</x:v>
      </x:c>
      <x:c r="C1135" s="35" t="str">
        <x:v>Round2</x:v>
      </x:c>
      <x:c r="D1135" s="35" t="str">
        <x:v>Collections_4</x:v>
      </x:c>
      <x:c r="E1135" s="35" t="str">
        <x:v>Line</x:v>
      </x:c>
      <x:c r="F1135" s="35" t="n">
        <x:v>111</x:v>
      </x:c>
      <x:c r="G1135" s="35" t="str">
        <x:v>RECORDED</x:v>
      </x:c>
      <x:c r="H1135" s="39" t="n">
        <x:f>IF(ISNUMBER('Data'!E1135),'Data'!E1135*100,"")</x:f>
        <x:v>92.79</x:v>
      </x:c>
      <x:c r="I1135" s="35" t="str">
        <x:v>PASS</x:v>
      </x:c>
      <x:c r="J1135" s="35" t="str">
        <x:v>PASS</x:v>
      </x:c>
      <x:c r="K1135" s="35" t="str">
        <x:v>PASS</x:v>
      </x:c>
      <x:c r="L1135" s="35" t="str">
        <x:v>FAIL</x:v>
      </x:c>
      <x:c r="M1135" s="35" t="str">
        <x:v>numeric coverage for applicable metric</x:v>
      </x:c>
      <x:c r="N1135" s="35" t="str">
        <x:v>Deepseek-flash-v4/Result2/Collections_4/result.json</x:v>
      </x:c>
      <x:c r="O1135" s="39" t="n">
        <x:f>IF(AND(G1135="RECORDED",ISNUMBER(H1135)),H1135,"")</x:f>
        <x:v>92.79</x:v>
      </x:c>
      <x:c r="P1135" s="35" t="str">
        <x:v>INCONCLUSIVE</x:v>
      </x:c>
      <x:c r="Q1135" s="35" t="str">
        <x:v>Deepseek-flash-v4/Result2/Collections_4/result.json</x:v>
      </x:c>
    </x:row>
    <x:row r="1136">
      <x:c r="A1136" s="35" t="str">
        <x:v>deepseek</x:v>
      </x:c>
      <x:c r="B1136" s="35" t="str">
        <x:v>Collections</x:v>
      </x:c>
      <x:c r="C1136" s="35" t="str">
        <x:v>Round2</x:v>
      </x:c>
      <x:c r="D1136" s="35" t="str">
        <x:v>Collections_5</x:v>
      </x:c>
      <x:c r="E1136" s="35" t="str">
        <x:v>Line</x:v>
      </x:c>
      <x:c r="F1136" s="35" t="n">
        <x:v>82</x:v>
      </x:c>
      <x:c r="G1136" s="35" t="str">
        <x:v>RECORDED</x:v>
      </x:c>
      <x:c r="H1136" s="39" t="n">
        <x:f>IF(ISNUMBER('Data'!E1136),'Data'!E1136*100,"")</x:f>
        <x:v>98.78</x:v>
      </x:c>
      <x:c r="I1136" s="35" t="str">
        <x:v>PASS</x:v>
      </x:c>
      <x:c r="J1136" s="35" t="str">
        <x:v>PASS</x:v>
      </x:c>
      <x:c r="K1136" s="35" t="str">
        <x:v>PASS</x:v>
      </x:c>
      <x:c r="L1136" s="35" t="str">
        <x:v>FAIL</x:v>
      </x:c>
      <x:c r="M1136" s="35" t="str">
        <x:v>numeric coverage for applicable metric</x:v>
      </x:c>
      <x:c r="N1136" s="35" t="str">
        <x:v>Deepseek-flash-v4/Result2/Collections_5/result.json</x:v>
      </x:c>
      <x:c r="O1136" s="39" t="n">
        <x:f>IF(AND(G1136="RECORDED",ISNUMBER(H1136)),H1136,"")</x:f>
        <x:v>98.78</x:v>
      </x:c>
      <x:c r="P1136" s="35" t="str">
        <x:v>INCONCLUSIVE</x:v>
      </x:c>
      <x:c r="Q1136" s="35" t="str">
        <x:v>Deepseek-flash-v4/Result2/Collections_5/result.json</x:v>
      </x:c>
    </x:row>
    <x:row r="1137">
      <x:c r="A1137" s="35" t="str">
        <x:v>deepseek</x:v>
      </x:c>
      <x:c r="B1137" s="35" t="str">
        <x:v>Collections</x:v>
      </x:c>
      <x:c r="C1137" s="35" t="str">
        <x:v>Round2</x:v>
      </x:c>
      <x:c r="D1137" s="35" t="str">
        <x:v>Collections_6</x:v>
      </x:c>
      <x:c r="E1137" s="35" t="str">
        <x:v>Line</x:v>
      </x:c>
      <x:c r="F1137" s="35" t="n">
        <x:v>495</x:v>
      </x:c>
      <x:c r="G1137" s="35" t="str">
        <x:v>RECORDED</x:v>
      </x:c>
      <x:c r="H1137" s="39" t="n">
        <x:f>IF(ISNUMBER('Data'!E1137),'Data'!E1137*100,"")</x:f>
        <x:v>59.19</x:v>
      </x:c>
      <x:c r="I1137" s="35" t="str">
        <x:v>PASS</x:v>
      </x:c>
      <x:c r="J1137" s="35" t="str">
        <x:v>PASS</x:v>
      </x:c>
      <x:c r="K1137" s="35" t="str">
        <x:v>PASS</x:v>
      </x:c>
      <x:c r="L1137" s="35" t="str">
        <x:v>FAIL</x:v>
      </x:c>
      <x:c r="M1137" s="35" t="str">
        <x:v>numeric coverage for applicable metric</x:v>
      </x:c>
      <x:c r="N1137" s="35" t="str">
        <x:v>Deepseek-flash-v4/Result2/Collections_6/result.json</x:v>
      </x:c>
      <x:c r="O1137" s="39" t="n">
        <x:f>IF(AND(G1137="RECORDED",ISNUMBER(H1137)),H1137,"")</x:f>
        <x:v>59.19</x:v>
      </x:c>
      <x:c r="P1137" s="35" t="str">
        <x:v>REVEALING</x:v>
      </x:c>
      <x:c r="Q1137" s="35" t="str">
        <x:v>Deepseek-flash-v4/Result2/Collections_6/result.json</x:v>
      </x:c>
    </x:row>
    <x:row r="1138">
      <x:c r="A1138" s="35" t="str">
        <x:v>deepseek</x:v>
      </x:c>
      <x:c r="B1138" s="35" t="str">
        <x:v>Collections</x:v>
      </x:c>
      <x:c r="C1138" s="35" t="str">
        <x:v>Round2</x:v>
      </x:c>
      <x:c r="D1138" s="35" t="str">
        <x:v>Collections_7</x:v>
      </x:c>
      <x:c r="E1138" s="35" t="str">
        <x:v>Line</x:v>
      </x:c>
      <x:c r="F1138" s="35"/>
      <x:c r="G1138" s="35" t="str">
        <x:v>A</x:v>
      </x:c>
      <x:c r="H1138" s="39" t="str">
        <x:f>IF(ISNUMBER('Data'!E1138),'Data'!E1138*100,"")</x:f>
      </x:c>
      <x:c r="I1138" s="35"/>
      <x:c r="J1138" s="35" t="str">
        <x:v>PASS</x:v>
      </x:c>
      <x:c r="K1138" s="35" t="str">
        <x:v>FAIL</x:v>
      </x:c>
      <x:c r="L1138" s="35" t="str">
        <x:v>NOT_RUN</x:v>
      </x:c>
      <x:c r="M1138" s="35" t="str">
        <x:v>coverage unavailable or execution/compile failed</x:v>
      </x:c>
      <x:c r="N1138" s="35" t="str">
        <x:v>Deepseek-flash-v4/Result2/Collections_7/result.json</x:v>
      </x:c>
      <x:c r="O1138" s="39" t="str">
        <x:f>IF(AND(G1138="RECORDED",ISNUMBER(H1138)),H1138,"")</x:f>
      </x:c>
      <x:c r="P1138" s="35" t="str">
        <x:v>NOT_AVAILABLE</x:v>
      </x:c>
      <x:c r="Q1138" s="35" t="str">
        <x:v>Deepseek-flash-v4/Result2/Collections_7/result.json</x:v>
      </x:c>
    </x:row>
    <x:row r="1139">
      <x:c r="A1139" s="35" t="str">
        <x:v>deepseek</x:v>
      </x:c>
      <x:c r="B1139" s="35" t="str">
        <x:v>Collections</x:v>
      </x:c>
      <x:c r="C1139" s="35" t="str">
        <x:v>Round2</x:v>
      </x:c>
      <x:c r="D1139" s="35" t="str">
        <x:v>Collections_8</x:v>
      </x:c>
      <x:c r="E1139" s="35" t="str">
        <x:v>Line</x:v>
      </x:c>
      <x:c r="F1139" s="35" t="n">
        <x:v>88</x:v>
      </x:c>
      <x:c r="G1139" s="35" t="str">
        <x:v>RECORDED</x:v>
      </x:c>
      <x:c r="H1139" s="39" t="n">
        <x:f>IF(ISNUMBER('Data'!E1139),'Data'!E1139*100,"")</x:f>
        <x:v>84.09</x:v>
      </x:c>
      <x:c r="I1139" s="35" t="str">
        <x:v>PASS</x:v>
      </x:c>
      <x:c r="J1139" s="35" t="str">
        <x:v>PASS</x:v>
      </x:c>
      <x:c r="K1139" s="35" t="str">
        <x:v>PASS</x:v>
      </x:c>
      <x:c r="L1139" s="35" t="str">
        <x:v>PASS</x:v>
      </x:c>
      <x:c r="M1139" s="35" t="str">
        <x:v>numeric coverage for applicable metric</x:v>
      </x:c>
      <x:c r="N1139" s="35" t="str">
        <x:v>Deepseek-flash-v4/Result2/Collections_8/result.json</x:v>
      </x:c>
      <x:c r="O1139" s="39" t="n">
        <x:f>IF(AND(G1139="RECORDED",ISNUMBER(H1139)),H1139,"")</x:f>
        <x:v>84.09</x:v>
      </x:c>
      <x:c r="P1139" s="35" t="str">
        <x:v>NOT_REVEALING</x:v>
      </x:c>
      <x:c r="Q1139" s="35" t="str">
        <x:v>Deepseek-flash-v4/Result2/Collections_8/result.json</x:v>
      </x:c>
    </x:row>
    <x:row r="1140">
      <x:c r="A1140" s="35" t="str">
        <x:v>deepseek</x:v>
      </x:c>
      <x:c r="B1140" s="35" t="str">
        <x:v>Collections</x:v>
      </x:c>
      <x:c r="C1140" s="35" t="str">
        <x:v>Round2</x:v>
      </x:c>
      <x:c r="D1140" s="35" t="str">
        <x:v>Collections_9</x:v>
      </x:c>
      <x:c r="E1140" s="35" t="str">
        <x:v>Line</x:v>
      </x:c>
      <x:c r="F1140" s="35"/>
      <x:c r="G1140" s="35" t="str">
        <x:v>A</x:v>
      </x:c>
      <x:c r="H1140" s="39" t="str">
        <x:f>IF(ISNUMBER('Data'!E1140),'Data'!E1140*100,"")</x:f>
      </x:c>
      <x:c r="I1140" s="35"/>
      <x:c r="J1140" s="35" t="str">
        <x:v>PASS</x:v>
      </x:c>
      <x:c r="K1140" s="35" t="str">
        <x:v>FAIL</x:v>
      </x:c>
      <x:c r="L1140" s="35" t="str">
        <x:v>NOT_RUN</x:v>
      </x:c>
      <x:c r="M1140" s="35" t="str">
        <x:v>coverage unavailable or execution/compile failed</x:v>
      </x:c>
      <x:c r="N1140" s="35" t="str">
        <x:v>Deepseek-flash-v4/Result2/Collections_9/result.json</x:v>
      </x:c>
      <x:c r="O1140" s="39" t="str">
        <x:f>IF(AND(G1140="RECORDED",ISNUMBER(H1140)),H1140,"")</x:f>
      </x:c>
      <x:c r="P1140" s="35" t="str">
        <x:v>NOT_AVAILABLE</x:v>
      </x:c>
      <x:c r="Q1140" s="35" t="str">
        <x:v>Deepseek-flash-v4/Result2/Collections_9/result.json</x:v>
      </x:c>
    </x:row>
    <x:row r="1141">
      <x:c r="A1141" s="35" t="str">
        <x:v>deepseek</x:v>
      </x:c>
      <x:c r="B1141" s="35" t="str">
        <x:v>Compress</x:v>
      </x:c>
      <x:c r="C1141" s="35" t="str">
        <x:v>Round2</x:v>
      </x:c>
      <x:c r="D1141" s="35" t="str">
        <x:v>Compress_1</x:v>
      </x:c>
      <x:c r="E1141" s="35" t="str">
        <x:v>Line</x:v>
      </x:c>
      <x:c r="F1141" s="35"/>
      <x:c r="G1141" s="35" t="str">
        <x:v>A</x:v>
      </x:c>
      <x:c r="H1141" s="39" t="str">
        <x:f>IF(ISNUMBER('Data'!E1141),'Data'!E1141*100,"")</x:f>
      </x:c>
      <x:c r="I1141" s="35"/>
      <x:c r="J1141" s="35" t="str">
        <x:v>PASS</x:v>
      </x:c>
      <x:c r="K1141" s="35" t="str">
        <x:v>FAIL</x:v>
      </x:c>
      <x:c r="L1141" s="35" t="str">
        <x:v>NOT_RUN</x:v>
      </x:c>
      <x:c r="M1141" s="35" t="str">
        <x:v>coverage unavailable or execution/compile failed</x:v>
      </x:c>
      <x:c r="N1141" s="35" t="str">
        <x:v>Deepseek-flash-v4/Result2/Compress_1/result.json</x:v>
      </x:c>
      <x:c r="O1141" s="39" t="str">
        <x:f>IF(AND(G1141="RECORDED",ISNUMBER(H1141)),H1141,"")</x:f>
      </x:c>
      <x:c r="P1141" s="35" t="str">
        <x:v>NOT_AVAILABLE</x:v>
      </x:c>
      <x:c r="Q1141" s="35" t="str">
        <x:v>Deepseek-flash-v4/Result2/Compress_1/result.json</x:v>
      </x:c>
    </x:row>
    <x:row r="1142">
      <x:c r="A1142" s="35" t="str">
        <x:v>deepseek</x:v>
      </x:c>
      <x:c r="B1142" s="35" t="str">
        <x:v>Compress</x:v>
      </x:c>
      <x:c r="C1142" s="35" t="str">
        <x:v>Round2</x:v>
      </x:c>
      <x:c r="D1142" s="35" t="str">
        <x:v>Compress_10</x:v>
      </x:c>
      <x:c r="E1142" s="35" t="str">
        <x:v>Line</x:v>
      </x:c>
      <x:c r="F1142" s="35" t="n">
        <x:v>304</x:v>
      </x:c>
      <x:c r="G1142" s="35" t="str">
        <x:v>RECORDED</x:v>
      </x:c>
      <x:c r="H1142" s="39" t="n">
        <x:f>IF(ISNUMBER('Data'!E1142),'Data'!E1142*100,"")</x:f>
        <x:v>68.09</x:v>
      </x:c>
      <x:c r="I1142" s="35" t="str">
        <x:v>PASS</x:v>
      </x:c>
      <x:c r="J1142" s="35" t="str">
        <x:v>PASS</x:v>
      </x:c>
      <x:c r="K1142" s="35" t="str">
        <x:v>PASS</x:v>
      </x:c>
      <x:c r="L1142" s="35" t="str">
        <x:v>FAIL</x:v>
      </x:c>
      <x:c r="M1142" s="35" t="str">
        <x:v>numeric coverage for applicable metric</x:v>
      </x:c>
      <x:c r="N1142" s="35" t="str">
        <x:v>Deepseek-flash-v4/Result2/Compress_10/result.json</x:v>
      </x:c>
      <x:c r="O1142" s="39" t="n">
        <x:f>IF(AND(G1142="RECORDED",ISNUMBER(H1142)),H1142,"")</x:f>
        <x:v>68.09</x:v>
      </x:c>
      <x:c r="P1142" s="35" t="str">
        <x:v>INCONCLUSIVE</x:v>
      </x:c>
      <x:c r="Q1142" s="35" t="str">
        <x:v>Deepseek-flash-v4/Result2/Compress_10/result.json</x:v>
      </x:c>
    </x:row>
    <x:row r="1143">
      <x:c r="A1143" s="35" t="str">
        <x:v>deepseek</x:v>
      </x:c>
      <x:c r="B1143" s="35" t="str">
        <x:v>Compress</x:v>
      </x:c>
      <x:c r="C1143" s="35" t="str">
        <x:v>Round2</x:v>
      </x:c>
      <x:c r="D1143" s="35" t="str">
        <x:v>Compress_11</x:v>
      </x:c>
      <x:c r="E1143" s="35" t="str">
        <x:v>Line</x:v>
      </x:c>
      <x:c r="F1143" s="35" t="n">
        <x:v>69</x:v>
      </x:c>
      <x:c r="G1143" s="35" t="str">
        <x:v>RECORDED</x:v>
      </x:c>
      <x:c r="H1143" s="39" t="n">
        <x:f>IF(ISNUMBER('Data'!E1143),'Data'!E1143*100,"")</x:f>
        <x:v>76.81</x:v>
      </x:c>
      <x:c r="I1143" s="35" t="str">
        <x:v>PASS</x:v>
      </x:c>
      <x:c r="J1143" s="35" t="str">
        <x:v>PASS</x:v>
      </x:c>
      <x:c r="K1143" s="35" t="str">
        <x:v>PASS</x:v>
      </x:c>
      <x:c r="L1143" s="35" t="str">
        <x:v>FAIL</x:v>
      </x:c>
      <x:c r="M1143" s="35" t="str">
        <x:v>numeric coverage for applicable metric</x:v>
      </x:c>
      <x:c r="N1143" s="35" t="str">
        <x:v>Deepseek-flash-v4/Result2/Compress_11/result.json</x:v>
      </x:c>
      <x:c r="O1143" s="39" t="n">
        <x:f>IF(AND(G1143="RECORDED",ISNUMBER(H1143)),H1143,"")</x:f>
        <x:v>76.81</x:v>
      </x:c>
      <x:c r="P1143" s="35" t="str">
        <x:v>INCONCLUSIVE</x:v>
      </x:c>
      <x:c r="Q1143" s="35" t="str">
        <x:v>Deepseek-flash-v4/Result2/Compress_11/result.json</x:v>
      </x:c>
    </x:row>
    <x:row r="1144">
      <x:c r="A1144" s="35" t="str">
        <x:v>deepseek</x:v>
      </x:c>
      <x:c r="B1144" s="35" t="str">
        <x:v>Compress</x:v>
      </x:c>
      <x:c r="C1144" s="35" t="str">
        <x:v>Round2</x:v>
      </x:c>
      <x:c r="D1144" s="35" t="str">
        <x:v>Compress_12</x:v>
      </x:c>
      <x:c r="E1144" s="35" t="str">
        <x:v>Line</x:v>
      </x:c>
      <x:c r="F1144" s="35"/>
      <x:c r="G1144" s="35" t="str">
        <x:v>A</x:v>
      </x:c>
      <x:c r="H1144" s="39" t="str">
        <x:f>IF(ISNUMBER('Data'!E1144),'Data'!E1144*100,"")</x:f>
      </x:c>
      <x:c r="I1144" s="35"/>
      <x:c r="J1144" s="35" t="str">
        <x:v>PASS</x:v>
      </x:c>
      <x:c r="K1144" s="35" t="str">
        <x:v>FAIL</x:v>
      </x:c>
      <x:c r="L1144" s="35" t="str">
        <x:v>NOT_RUN</x:v>
      </x:c>
      <x:c r="M1144" s="35" t="str">
        <x:v>coverage unavailable or execution/compile failed</x:v>
      </x:c>
      <x:c r="N1144" s="35" t="str">
        <x:v>Deepseek-flash-v4/Result2/Compress_12/result.json</x:v>
      </x:c>
      <x:c r="O1144" s="39" t="str">
        <x:f>IF(AND(G1144="RECORDED",ISNUMBER(H1144)),H1144,"")</x:f>
      </x:c>
      <x:c r="P1144" s="35" t="str">
        <x:v>NOT_AVAILABLE</x:v>
      </x:c>
      <x:c r="Q1144" s="35" t="str">
        <x:v>Deepseek-flash-v4/Result2/Compress_12/result.json</x:v>
      </x:c>
    </x:row>
    <x:row r="1145">
      <x:c r="A1145" s="35" t="str">
        <x:v>deepseek</x:v>
      </x:c>
      <x:c r="B1145" s="35" t="str">
        <x:v>Compress</x:v>
      </x:c>
      <x:c r="C1145" s="35" t="str">
        <x:v>Round2</x:v>
      </x:c>
      <x:c r="D1145" s="35" t="str">
        <x:v>Compress_13</x:v>
      </x:c>
      <x:c r="E1145" s="35" t="str">
        <x:v>Line</x:v>
      </x:c>
      <x:c r="F1145" s="35"/>
      <x:c r="G1145" s="35" t="str">
        <x:v>A</x:v>
      </x:c>
      <x:c r="H1145" s="39" t="str">
        <x:f>IF(ISNUMBER('Data'!E1145),'Data'!E1145*100,"")</x:f>
      </x:c>
      <x:c r="I1145" s="35"/>
      <x:c r="J1145" s="35" t="str">
        <x:v>PASS</x:v>
      </x:c>
      <x:c r="K1145" s="35" t="str">
        <x:v>FAIL</x:v>
      </x:c>
      <x:c r="L1145" s="35" t="str">
        <x:v>NOT_RUN</x:v>
      </x:c>
      <x:c r="M1145" s="35" t="str">
        <x:v>coverage unavailable or execution/compile failed</x:v>
      </x:c>
      <x:c r="N1145" s="35" t="str">
        <x:v>Deepseek-flash-v4/Result2/Compress_13/result.json</x:v>
      </x:c>
      <x:c r="O1145" s="39" t="str">
        <x:f>IF(AND(G1145="RECORDED",ISNUMBER(H1145)),H1145,"")</x:f>
      </x:c>
      <x:c r="P1145" s="35" t="str">
        <x:v>NOT_AVAILABLE</x:v>
      </x:c>
      <x:c r="Q1145" s="35" t="str">
        <x:v>Deepseek-flash-v4/Result2/Compress_13/result.json</x:v>
      </x:c>
    </x:row>
    <x:row r="1146">
      <x:c r="A1146" s="35" t="str">
        <x:v>deepseek</x:v>
      </x:c>
      <x:c r="B1146" s="35" t="str">
        <x:v>Compress</x:v>
      </x:c>
      <x:c r="C1146" s="35" t="str">
        <x:v>Round2</x:v>
      </x:c>
      <x:c r="D1146" s="35" t="str">
        <x:v>Compress_14</x:v>
      </x:c>
      <x:c r="E1146" s="35" t="str">
        <x:v>Line</x:v>
      </x:c>
      <x:c r="F1146" s="35" t="n">
        <x:v>101</x:v>
      </x:c>
      <x:c r="G1146" s="35" t="str">
        <x:v>RECORDED</x:v>
      </x:c>
      <x:c r="H1146" s="39" t="n">
        <x:f>IF(ISNUMBER('Data'!E1146),'Data'!E1146*100,"")</x:f>
        <x:v>72.28</x:v>
      </x:c>
      <x:c r="I1146" s="35" t="str">
        <x:v>PASS</x:v>
      </x:c>
      <x:c r="J1146" s="35" t="str">
        <x:v>PASS</x:v>
      </x:c>
      <x:c r="K1146" s="35" t="str">
        <x:v>PASS</x:v>
      </x:c>
      <x:c r="L1146" s="35" t="str">
        <x:v>FAIL</x:v>
      </x:c>
      <x:c r="M1146" s="35" t="str">
        <x:v>numeric coverage for applicable metric</x:v>
      </x:c>
      <x:c r="N1146" s="35" t="str">
        <x:v>Deepseek-flash-v4/Result2/Compress_14/result.json</x:v>
      </x:c>
      <x:c r="O1146" s="39" t="n">
        <x:f>IF(AND(G1146="RECORDED",ISNUMBER(H1146)),H1146,"")</x:f>
        <x:v>72.28</x:v>
      </x:c>
      <x:c r="P1146" s="35" t="str">
        <x:v>INCONCLUSIVE</x:v>
      </x:c>
      <x:c r="Q1146" s="35" t="str">
        <x:v>Deepseek-flash-v4/Result2/Compress_14/result.json</x:v>
      </x:c>
    </x:row>
    <x:row r="1147">
      <x:c r="A1147" s="35" t="str">
        <x:v>deepseek</x:v>
      </x:c>
      <x:c r="B1147" s="35" t="str">
        <x:v>Compress</x:v>
      </x:c>
      <x:c r="C1147" s="35" t="str">
        <x:v>Round2</x:v>
      </x:c>
      <x:c r="D1147" s="35" t="str">
        <x:v>Compress_15</x:v>
      </x:c>
      <x:c r="E1147" s="35" t="str">
        <x:v>Line</x:v>
      </x:c>
      <x:c r="F1147" s="35"/>
      <x:c r="G1147" s="35" t="str">
        <x:v>A</x:v>
      </x:c>
      <x:c r="H1147" s="39" t="str">
        <x:f>IF(ISNUMBER('Data'!E1147),'Data'!E1147*100,"")</x:f>
      </x:c>
      <x:c r="I1147" s="35"/>
      <x:c r="J1147" s="35" t="str">
        <x:v>PASS</x:v>
      </x:c>
      <x:c r="K1147" s="35" t="str">
        <x:v>FAIL</x:v>
      </x:c>
      <x:c r="L1147" s="35" t="str">
        <x:v>NOT_RUN</x:v>
      </x:c>
      <x:c r="M1147" s="35" t="str">
        <x:v>coverage unavailable or execution/compile failed</x:v>
      </x:c>
      <x:c r="N1147" s="35" t="str">
        <x:v>Deepseek-flash-v4/Result2/Compress_15/result.json</x:v>
      </x:c>
      <x:c r="O1147" s="39" t="str">
        <x:f>IF(AND(G1147="RECORDED",ISNUMBER(H1147)),H1147,"")</x:f>
      </x:c>
      <x:c r="P1147" s="35" t="str">
        <x:v>NOT_AVAILABLE</x:v>
      </x:c>
      <x:c r="Q1147" s="35" t="str">
        <x:v>Deepseek-flash-v4/Result2/Compress_15/result.json</x:v>
      </x:c>
    </x:row>
    <x:row r="1148">
      <x:c r="A1148" s="35" t="str">
        <x:v>deepseek</x:v>
      </x:c>
      <x:c r="B1148" s="35" t="str">
        <x:v>Compress</x:v>
      </x:c>
      <x:c r="C1148" s="35" t="str">
        <x:v>Round2</x:v>
      </x:c>
      <x:c r="D1148" s="35" t="str">
        <x:v>Compress_16</x:v>
      </x:c>
      <x:c r="E1148" s="35" t="str">
        <x:v>Line</x:v>
      </x:c>
      <x:c r="F1148" s="35"/>
      <x:c r="G1148" s="35" t="str">
        <x:v>A</x:v>
      </x:c>
      <x:c r="H1148" s="39" t="str">
        <x:f>IF(ISNUMBER('Data'!E1148),'Data'!E1148*100,"")</x:f>
      </x:c>
      <x:c r="I1148" s="35"/>
      <x:c r="J1148" s="35" t="str">
        <x:v>PASS</x:v>
      </x:c>
      <x:c r="K1148" s="35" t="str">
        <x:v>FAIL</x:v>
      </x:c>
      <x:c r="L1148" s="35" t="str">
        <x:v>NOT_RUN</x:v>
      </x:c>
      <x:c r="M1148" s="35" t="str">
        <x:v>coverage unavailable or execution/compile failed</x:v>
      </x:c>
      <x:c r="N1148" s="35" t="str">
        <x:v>Deepseek-flash-v4/Result2/Compress_16/result.json</x:v>
      </x:c>
      <x:c r="O1148" s="39" t="str">
        <x:f>IF(AND(G1148="RECORDED",ISNUMBER(H1148)),H1148,"")</x:f>
      </x:c>
      <x:c r="P1148" s="35" t="str">
        <x:v>NOT_AVAILABLE</x:v>
      </x:c>
      <x:c r="Q1148" s="35" t="str">
        <x:v>Deepseek-flash-v4/Result2/Compress_16/result.json</x:v>
      </x:c>
    </x:row>
    <x:row r="1149">
      <x:c r="A1149" s="35" t="str">
        <x:v>deepseek</x:v>
      </x:c>
      <x:c r="B1149" s="35" t="str">
        <x:v>Compress</x:v>
      </x:c>
      <x:c r="C1149" s="35" t="str">
        <x:v>Round2</x:v>
      </x:c>
      <x:c r="D1149" s="35" t="str">
        <x:v>Compress_17</x:v>
      </x:c>
      <x:c r="E1149" s="35" t="str">
        <x:v>Line</x:v>
      </x:c>
      <x:c r="F1149" s="35" t="n">
        <x:v>179</x:v>
      </x:c>
      <x:c r="G1149" s="35" t="str">
        <x:v>RECORDED</x:v>
      </x:c>
      <x:c r="H1149" s="39" t="n">
        <x:f>IF(ISNUMBER('Data'!E1149),'Data'!E1149*100,"")</x:f>
        <x:v>72.07</x:v>
      </x:c>
      <x:c r="I1149" s="35" t="str">
        <x:v>PASS</x:v>
      </x:c>
      <x:c r="J1149" s="35" t="str">
        <x:v>PASS</x:v>
      </x:c>
      <x:c r="K1149" s="35" t="str">
        <x:v>PASS</x:v>
      </x:c>
      <x:c r="L1149" s="35" t="str">
        <x:v>FAIL</x:v>
      </x:c>
      <x:c r="M1149" s="35" t="str">
        <x:v>numeric coverage for applicable metric</x:v>
      </x:c>
      <x:c r="N1149" s="35" t="str">
        <x:v>Deepseek-flash-v4/Result2/Compress_17/result.json</x:v>
      </x:c>
      <x:c r="O1149" s="39" t="n">
        <x:f>IF(AND(G1149="RECORDED",ISNUMBER(H1149)),H1149,"")</x:f>
        <x:v>72.07</x:v>
      </x:c>
      <x:c r="P1149" s="35" t="str">
        <x:v>INCONCLUSIVE</x:v>
      </x:c>
      <x:c r="Q1149" s="35" t="str">
        <x:v>Deepseek-flash-v4/Result2/Compress_17/result.json</x:v>
      </x:c>
    </x:row>
    <x:row r="1150">
      <x:c r="A1150" s="35" t="str">
        <x:v>deepseek</x:v>
      </x:c>
      <x:c r="B1150" s="35" t="str">
        <x:v>Compress</x:v>
      </x:c>
      <x:c r="C1150" s="35" t="str">
        <x:v>Round2</x:v>
      </x:c>
      <x:c r="D1150" s="35" t="str">
        <x:v>Compress_18</x:v>
      </x:c>
      <x:c r="E1150" s="35" t="str">
        <x:v>Line</x:v>
      </x:c>
      <x:c r="F1150" s="35"/>
      <x:c r="G1150" s="35" t="str">
        <x:v>A</x:v>
      </x:c>
      <x:c r="H1150" s="39" t="str">
        <x:f>IF(ISNUMBER('Data'!E1150),'Data'!E1150*100,"")</x:f>
      </x:c>
      <x:c r="I1150" s="35"/>
      <x:c r="J1150" s="35" t="str">
        <x:v>PASS</x:v>
      </x:c>
      <x:c r="K1150" s="35" t="str">
        <x:v>FAIL</x:v>
      </x:c>
      <x:c r="L1150" s="35" t="str">
        <x:v>NOT_RUN</x:v>
      </x:c>
      <x:c r="M1150" s="35" t="str">
        <x:v>coverage unavailable or execution/compile failed</x:v>
      </x:c>
      <x:c r="N1150" s="35" t="str">
        <x:v>Deepseek-flash-v4/Result2/Compress_18/result.json</x:v>
      </x:c>
      <x:c r="O1150" s="39" t="str">
        <x:f>IF(AND(G1150="RECORDED",ISNUMBER(H1150)),H1150,"")</x:f>
      </x:c>
      <x:c r="P1150" s="35" t="str">
        <x:v>NOT_AVAILABLE</x:v>
      </x:c>
      <x:c r="Q1150" s="35" t="str">
        <x:v>Deepseek-flash-v4/Result2/Compress_18/result.json</x:v>
      </x:c>
    </x:row>
    <x:row r="1151">
      <x:c r="A1151" s="35" t="str">
        <x:v>deepseek</x:v>
      </x:c>
      <x:c r="B1151" s="35" t="str">
        <x:v>Compress</x:v>
      </x:c>
      <x:c r="C1151" s="35" t="str">
        <x:v>Round2</x:v>
      </x:c>
      <x:c r="D1151" s="35" t="str">
        <x:v>Compress_19</x:v>
      </x:c>
      <x:c r="E1151" s="35" t="str">
        <x:v>Line</x:v>
      </x:c>
      <x:c r="F1151" s="35" t="n">
        <x:v>99</x:v>
      </x:c>
      <x:c r="G1151" s="35" t="str">
        <x:v>RECORDED</x:v>
      </x:c>
      <x:c r="H1151" s="39" t="n">
        <x:f>IF(ISNUMBER('Data'!E1151),'Data'!E1151*100,"")</x:f>
        <x:v>98.99</x:v>
      </x:c>
      <x:c r="I1151" s="35" t="str">
        <x:v>PASS</x:v>
      </x:c>
      <x:c r="J1151" s="35" t="str">
        <x:v>PASS</x:v>
      </x:c>
      <x:c r="K1151" s="35" t="str">
        <x:v>PASS</x:v>
      </x:c>
      <x:c r="L1151" s="35" t="str">
        <x:v>FAIL</x:v>
      </x:c>
      <x:c r="M1151" s="35" t="str">
        <x:v>numeric coverage for applicable metric</x:v>
      </x:c>
      <x:c r="N1151" s="35" t="str">
        <x:v>Deepseek-flash-v4/Result2/Compress_19/result.json</x:v>
      </x:c>
      <x:c r="O1151" s="39" t="n">
        <x:f>IF(AND(G1151="RECORDED",ISNUMBER(H1151)),H1151,"")</x:f>
        <x:v>98.99</x:v>
      </x:c>
      <x:c r="P1151" s="35" t="str">
        <x:v>INCONCLUSIVE</x:v>
      </x:c>
      <x:c r="Q1151" s="35" t="str">
        <x:v>Deepseek-flash-v4/Result2/Compress_19/result.json</x:v>
      </x:c>
    </x:row>
    <x:row r="1152">
      <x:c r="A1152" s="35" t="str">
        <x:v>deepseek</x:v>
      </x:c>
      <x:c r="B1152" s="35" t="str">
        <x:v>Compress</x:v>
      </x:c>
      <x:c r="C1152" s="35" t="str">
        <x:v>Round2</x:v>
      </x:c>
      <x:c r="D1152" s="35" t="str">
        <x:v>Compress_2</x:v>
      </x:c>
      <x:c r="E1152" s="35" t="str">
        <x:v>Line</x:v>
      </x:c>
      <x:c r="F1152" s="35"/>
      <x:c r="G1152" s="35" t="str">
        <x:v>A</x:v>
      </x:c>
      <x:c r="H1152" s="39" t="str">
        <x:f>IF(ISNUMBER('Data'!E1152),'Data'!E1152*100,"")</x:f>
      </x:c>
      <x:c r="I1152" s="35"/>
      <x:c r="J1152" s="35" t="str">
        <x:v>PASS</x:v>
      </x:c>
      <x:c r="K1152" s="35" t="str">
        <x:v>FAIL</x:v>
      </x:c>
      <x:c r="L1152" s="35" t="str">
        <x:v>NOT_RUN</x:v>
      </x:c>
      <x:c r="M1152" s="35" t="str">
        <x:v>coverage unavailable or execution/compile failed</x:v>
      </x:c>
      <x:c r="N1152" s="35" t="str">
        <x:v>Deepseek-flash-v4/Result2/Compress_2/result.json</x:v>
      </x:c>
      <x:c r="O1152" s="39" t="str">
        <x:f>IF(AND(G1152="RECORDED",ISNUMBER(H1152)),H1152,"")</x:f>
      </x:c>
      <x:c r="P1152" s="35" t="str">
        <x:v>NOT_AVAILABLE</x:v>
      </x:c>
      <x:c r="Q1152" s="35" t="str">
        <x:v>Deepseek-flash-v4/Result2/Compress_2/result.json</x:v>
      </x:c>
    </x:row>
    <x:row r="1153">
      <x:c r="A1153" s="35" t="str">
        <x:v>deepseek</x:v>
      </x:c>
      <x:c r="B1153" s="35" t="str">
        <x:v>Compress</x:v>
      </x:c>
      <x:c r="C1153" s="35" t="str">
        <x:v>Round2</x:v>
      </x:c>
      <x:c r="D1153" s="35" t="str">
        <x:v>Compress_20</x:v>
      </x:c>
      <x:c r="E1153" s="35" t="str">
        <x:v>Line</x:v>
      </x:c>
      <x:c r="F1153" s="35" t="n">
        <x:v>213</x:v>
      </x:c>
      <x:c r="G1153" s="35" t="str">
        <x:v>RECORDED</x:v>
      </x:c>
      <x:c r="H1153" s="39" t="n">
        <x:f>IF(ISNUMBER('Data'!E1153),'Data'!E1153*100,"")</x:f>
        <x:v>39.91</x:v>
      </x:c>
      <x:c r="I1153" s="35" t="str">
        <x:v>PASS</x:v>
      </x:c>
      <x:c r="J1153" s="35" t="str">
        <x:v>PASS</x:v>
      </x:c>
      <x:c r="K1153" s="35" t="str">
        <x:v>PASS</x:v>
      </x:c>
      <x:c r="L1153" s="35" t="str">
        <x:v>FAIL</x:v>
      </x:c>
      <x:c r="M1153" s="35" t="str">
        <x:v>numeric coverage for applicable metric</x:v>
      </x:c>
      <x:c r="N1153" s="35" t="str">
        <x:v>Deepseek-flash-v4/Result2/Compress_20/result.json</x:v>
      </x:c>
      <x:c r="O1153" s="39" t="n">
        <x:f>IF(AND(G1153="RECORDED",ISNUMBER(H1153)),H1153,"")</x:f>
        <x:v>39.91</x:v>
      </x:c>
      <x:c r="P1153" s="35" t="str">
        <x:v>INCONCLUSIVE</x:v>
      </x:c>
      <x:c r="Q1153" s="35" t="str">
        <x:v>Deepseek-flash-v4/Result2/Compress_20/result.json</x:v>
      </x:c>
    </x:row>
    <x:row r="1154">
      <x:c r="A1154" s="35" t="str">
        <x:v>deepseek</x:v>
      </x:c>
      <x:c r="B1154" s="35" t="str">
        <x:v>Compress</x:v>
      </x:c>
      <x:c r="C1154" s="35" t="str">
        <x:v>Round2</x:v>
      </x:c>
      <x:c r="D1154" s="35" t="str">
        <x:v>Compress_21</x:v>
      </x:c>
      <x:c r="E1154" s="35" t="str">
        <x:v>Line</x:v>
      </x:c>
      <x:c r="F1154" s="35" t="n">
        <x:v>390</x:v>
      </x:c>
      <x:c r="G1154" s="35" t="str">
        <x:v>RECORDED</x:v>
      </x:c>
      <x:c r="H1154" s="39" t="n">
        <x:f>IF(ISNUMBER('Data'!E1154),'Data'!E1154*100,"")</x:f>
        <x:v>71.28</x:v>
      </x:c>
      <x:c r="I1154" s="35" t="str">
        <x:v>PASS</x:v>
      </x:c>
      <x:c r="J1154" s="35" t="str">
        <x:v>PASS</x:v>
      </x:c>
      <x:c r="K1154" s="35" t="str">
        <x:v>PASS</x:v>
      </x:c>
      <x:c r="L1154" s="35" t="str">
        <x:v>FAIL</x:v>
      </x:c>
      <x:c r="M1154" s="35" t="str">
        <x:v>numeric coverage for applicable metric</x:v>
      </x:c>
      <x:c r="N1154" s="35" t="str">
        <x:v>Deepseek-flash-v4/Result2/Compress_21/result.json</x:v>
      </x:c>
      <x:c r="O1154" s="39" t="n">
        <x:f>IF(AND(G1154="RECORDED",ISNUMBER(H1154)),H1154,"")</x:f>
        <x:v>71.28</x:v>
      </x:c>
      <x:c r="P1154" s="35" t="str">
        <x:v>INCONCLUSIVE</x:v>
      </x:c>
      <x:c r="Q1154" s="35" t="str">
        <x:v>Deepseek-flash-v4/Result2/Compress_21/result.json</x:v>
      </x:c>
    </x:row>
    <x:row r="1155">
      <x:c r="A1155" s="35" t="str">
        <x:v>deepseek</x:v>
      </x:c>
      <x:c r="B1155" s="35" t="str">
        <x:v>Compress</x:v>
      </x:c>
      <x:c r="C1155" s="35" t="str">
        <x:v>Round2</x:v>
      </x:c>
      <x:c r="D1155" s="35" t="str">
        <x:v>Compress_22</x:v>
      </x:c>
      <x:c r="E1155" s="35" t="str">
        <x:v>Line</x:v>
      </x:c>
      <x:c r="F1155" s="35" t="n">
        <x:v>500</x:v>
      </x:c>
      <x:c r="G1155" s="35" t="str">
        <x:v>RECORDED</x:v>
      </x:c>
      <x:c r="H1155" s="39" t="n">
        <x:f>IF(ISNUMBER('Data'!E1155),'Data'!E1155*100,"")</x:f>
        <x:v>8.4</x:v>
      </x:c>
      <x:c r="I1155" s="35" t="str">
        <x:v>PASS</x:v>
      </x:c>
      <x:c r="J1155" s="35" t="str">
        <x:v>PASS</x:v>
      </x:c>
      <x:c r="K1155" s="35" t="str">
        <x:v>PASS</x:v>
      </x:c>
      <x:c r="L1155" s="35" t="str">
        <x:v>FAIL</x:v>
      </x:c>
      <x:c r="M1155" s="35" t="str">
        <x:v>numeric coverage for applicable metric</x:v>
      </x:c>
      <x:c r="N1155" s="35" t="str">
        <x:v>Deepseek-flash-v4/Result2/Compress_22/result.json</x:v>
      </x:c>
      <x:c r="O1155" s="39" t="n">
        <x:f>IF(AND(G1155="RECORDED",ISNUMBER(H1155)),H1155,"")</x:f>
        <x:v>8.4</x:v>
      </x:c>
      <x:c r="P1155" s="35" t="str">
        <x:v>INCONCLUSIVE</x:v>
      </x:c>
      <x:c r="Q1155" s="35" t="str">
        <x:v>Deepseek-flash-v4/Result2/Compress_22/result.json</x:v>
      </x:c>
    </x:row>
    <x:row r="1156">
      <x:c r="A1156" s="35" t="str">
        <x:v>deepseek</x:v>
      </x:c>
      <x:c r="B1156" s="35" t="str">
        <x:v>Compress</x:v>
      </x:c>
      <x:c r="C1156" s="35" t="str">
        <x:v>Round2</x:v>
      </x:c>
      <x:c r="D1156" s="35" t="str">
        <x:v>Compress_23</x:v>
      </x:c>
      <x:c r="E1156" s="35" t="str">
        <x:v>Line</x:v>
      </x:c>
      <x:c r="F1156" s="35"/>
      <x:c r="G1156" s="35" t="str">
        <x:v>A</x:v>
      </x:c>
      <x:c r="H1156" s="39" t="str">
        <x:f>IF(ISNUMBER('Data'!E1156),'Data'!E1156*100,"")</x:f>
      </x:c>
      <x:c r="I1156" s="35"/>
      <x:c r="J1156" s="35" t="str">
        <x:v>PASS</x:v>
      </x:c>
      <x:c r="K1156" s="35" t="str">
        <x:v>FAIL</x:v>
      </x:c>
      <x:c r="L1156" s="35" t="str">
        <x:v>NOT_RUN</x:v>
      </x:c>
      <x:c r="M1156" s="35" t="str">
        <x:v>coverage unavailable or execution/compile failed</x:v>
      </x:c>
      <x:c r="N1156" s="35" t="str">
        <x:v>Deepseek-flash-v4/Result2/Compress_23/result.json</x:v>
      </x:c>
      <x:c r="O1156" s="39" t="str">
        <x:f>IF(AND(G1156="RECORDED",ISNUMBER(H1156)),H1156,"")</x:f>
      </x:c>
      <x:c r="P1156" s="35" t="str">
        <x:v>NOT_AVAILABLE</x:v>
      </x:c>
      <x:c r="Q1156" s="35" t="str">
        <x:v>Deepseek-flash-v4/Result2/Compress_23/result.json</x:v>
      </x:c>
    </x:row>
    <x:row r="1157">
      <x:c r="A1157" s="35" t="str">
        <x:v>deepseek</x:v>
      </x:c>
      <x:c r="B1157" s="35" t="str">
        <x:v>Compress</x:v>
      </x:c>
      <x:c r="C1157" s="35" t="str">
        <x:v>Round2</x:v>
      </x:c>
      <x:c r="D1157" s="35" t="str">
        <x:v>Compress_24</x:v>
      </x:c>
      <x:c r="E1157" s="35" t="str">
        <x:v>Line</x:v>
      </x:c>
      <x:c r="F1157" s="35" t="n">
        <x:v>180</x:v>
      </x:c>
      <x:c r="G1157" s="35" t="str">
        <x:v>RECORDED</x:v>
      </x:c>
      <x:c r="H1157" s="39" t="n">
        <x:f>IF(ISNUMBER('Data'!E1157),'Data'!E1157*100,"")</x:f>
        <x:v>66.67</x:v>
      </x:c>
      <x:c r="I1157" s="35" t="str">
        <x:v>PASS</x:v>
      </x:c>
      <x:c r="J1157" s="35" t="str">
        <x:v>PASS</x:v>
      </x:c>
      <x:c r="K1157" s="35" t="str">
        <x:v>PASS</x:v>
      </x:c>
      <x:c r="L1157" s="35" t="str">
        <x:v>FAIL</x:v>
      </x:c>
      <x:c r="M1157" s="35" t="str">
        <x:v>numeric coverage for applicable metric</x:v>
      </x:c>
      <x:c r="N1157" s="35" t="str">
        <x:v>Deepseek-flash-v4/Result2/Compress_24/result.json</x:v>
      </x:c>
      <x:c r="O1157" s="39" t="n">
        <x:f>IF(AND(G1157="RECORDED",ISNUMBER(H1157)),H1157,"")</x:f>
        <x:v>66.67</x:v>
      </x:c>
      <x:c r="P1157" s="35" t="str">
        <x:v>INCONCLUSIVE</x:v>
      </x:c>
      <x:c r="Q1157" s="35" t="str">
        <x:v>Deepseek-flash-v4/Result2/Compress_24/result.json</x:v>
      </x:c>
    </x:row>
    <x:row r="1158">
      <x:c r="A1158" s="35" t="str">
        <x:v>deepseek</x:v>
      </x:c>
      <x:c r="B1158" s="35" t="str">
        <x:v>Compress</x:v>
      </x:c>
      <x:c r="C1158" s="35" t="str">
        <x:v>Round2</x:v>
      </x:c>
      <x:c r="D1158" s="35" t="str">
        <x:v>Compress_25</x:v>
      </x:c>
      <x:c r="E1158" s="35" t="str">
        <x:v>Line</x:v>
      </x:c>
      <x:c r="F1158" s="35" t="n">
        <x:v>401</x:v>
      </x:c>
      <x:c r="G1158" s="35" t="str">
        <x:v>RECORDED</x:v>
      </x:c>
      <x:c r="H1158" s="39" t="n">
        <x:f>IF(ISNUMBER('Data'!E1158),'Data'!E1158*100,"")</x:f>
        <x:v>63.84000000000001</x:v>
      </x:c>
      <x:c r="I1158" s="35" t="str">
        <x:v>PASS</x:v>
      </x:c>
      <x:c r="J1158" s="35" t="str">
        <x:v>PASS</x:v>
      </x:c>
      <x:c r="K1158" s="35" t="str">
        <x:v>PASS</x:v>
      </x:c>
      <x:c r="L1158" s="35" t="str">
        <x:v>FAIL</x:v>
      </x:c>
      <x:c r="M1158" s="35" t="str">
        <x:v>numeric coverage for applicable metric</x:v>
      </x:c>
      <x:c r="N1158" s="35" t="str">
        <x:v>Deepseek-flash-v4/Result2/Compress_25/result.json</x:v>
      </x:c>
      <x:c r="O1158" s="39" t="n">
        <x:f>IF(AND(G1158="RECORDED",ISNUMBER(H1158)),H1158,"")</x:f>
        <x:v>63.84000000000001</x:v>
      </x:c>
      <x:c r="P1158" s="35" t="str">
        <x:v>INCONCLUSIVE</x:v>
      </x:c>
      <x:c r="Q1158" s="35" t="str">
        <x:v>Deepseek-flash-v4/Result2/Compress_25/result.json</x:v>
      </x:c>
    </x:row>
    <x:row r="1159">
      <x:c r="A1159" s="35" t="str">
        <x:v>deepseek</x:v>
      </x:c>
      <x:c r="B1159" s="35" t="str">
        <x:v>Compress</x:v>
      </x:c>
      <x:c r="C1159" s="35" t="str">
        <x:v>Round2</x:v>
      </x:c>
      <x:c r="D1159" s="35" t="str">
        <x:v>Compress_26</x:v>
      </x:c>
      <x:c r="E1159" s="35" t="str">
        <x:v>Line</x:v>
      </x:c>
      <x:c r="F1159" s="35" t="n">
        <x:v>36</x:v>
      </x:c>
      <x:c r="G1159" s="35" t="str">
        <x:v>RECORDED</x:v>
      </x:c>
      <x:c r="H1159" s="39" t="n">
        <x:f>IF(ISNUMBER('Data'!E1159),'Data'!E1159*100,"")</x:f>
        <x:v>100</x:v>
      </x:c>
      <x:c r="I1159" s="35" t="str">
        <x:v>PASS</x:v>
      </x:c>
      <x:c r="J1159" s="35" t="str">
        <x:v>PASS</x:v>
      </x:c>
      <x:c r="K1159" s="35" t="str">
        <x:v>PASS</x:v>
      </x:c>
      <x:c r="L1159" s="35" t="str">
        <x:v>PASS</x:v>
      </x:c>
      <x:c r="M1159" s="35" t="str">
        <x:v>numeric coverage for applicable metric</x:v>
      </x:c>
      <x:c r="N1159" s="35" t="str">
        <x:v>Deepseek-flash-v4/Result2/Compress_26/result.json</x:v>
      </x:c>
      <x:c r="O1159" s="39" t="n">
        <x:f>IF(AND(G1159="RECORDED",ISNUMBER(H1159)),H1159,"")</x:f>
        <x:v>100</x:v>
      </x:c>
      <x:c r="P1159" s="35" t="str">
        <x:v>NOT_REVEALING</x:v>
      </x:c>
      <x:c r="Q1159" s="35" t="str">
        <x:v>Deepseek-flash-v4/Result2/Compress_26/result.json</x:v>
      </x:c>
    </x:row>
    <x:row r="1160">
      <x:c r="A1160" s="35" t="str">
        <x:v>deepseek</x:v>
      </x:c>
      <x:c r="B1160" s="35" t="str">
        <x:v>Compress</x:v>
      </x:c>
      <x:c r="C1160" s="35" t="str">
        <x:v>Round2</x:v>
      </x:c>
      <x:c r="D1160" s="35" t="str">
        <x:v>Compress_27</x:v>
      </x:c>
      <x:c r="E1160" s="35" t="str">
        <x:v>Line</x:v>
      </x:c>
      <x:c r="F1160" s="35"/>
      <x:c r="G1160" s="35" t="str">
        <x:v>A</x:v>
      </x:c>
      <x:c r="H1160" s="39" t="str">
        <x:f>IF(ISNUMBER('Data'!E1160),'Data'!E1160*100,"")</x:f>
      </x:c>
      <x:c r="I1160" s="35"/>
      <x:c r="J1160" s="35" t="str">
        <x:v>PASS</x:v>
      </x:c>
      <x:c r="K1160" s="35" t="str">
        <x:v>FAIL</x:v>
      </x:c>
      <x:c r="L1160" s="35" t="str">
        <x:v>NOT_RUN</x:v>
      </x:c>
      <x:c r="M1160" s="35" t="str">
        <x:v>coverage unavailable or execution/compile failed</x:v>
      </x:c>
      <x:c r="N1160" s="35" t="str">
        <x:v>Deepseek-flash-v4/Result2/Compress_27/result.json</x:v>
      </x:c>
      <x:c r="O1160" s="39" t="str">
        <x:f>IF(AND(G1160="RECORDED",ISNUMBER(H1160)),H1160,"")</x:f>
      </x:c>
      <x:c r="P1160" s="35" t="str">
        <x:v>NOT_AVAILABLE</x:v>
      </x:c>
      <x:c r="Q1160" s="35" t="str">
        <x:v>Deepseek-flash-v4/Result2/Compress_27/result.json</x:v>
      </x:c>
    </x:row>
    <x:row r="1161">
      <x:c r="A1161" s="35" t="str">
        <x:v>deepseek</x:v>
      </x:c>
      <x:c r="B1161" s="35" t="str">
        <x:v>Compress</x:v>
      </x:c>
      <x:c r="C1161" s="35" t="str">
        <x:v>Round2</x:v>
      </x:c>
      <x:c r="D1161" s="35" t="str">
        <x:v>Compress_28</x:v>
      </x:c>
      <x:c r="E1161" s="35" t="str">
        <x:v>Line</x:v>
      </x:c>
      <x:c r="F1161" s="35"/>
      <x:c r="G1161" s="35" t="str">
        <x:v>A</x:v>
      </x:c>
      <x:c r="H1161" s="39" t="str">
        <x:f>IF(ISNUMBER('Data'!E1161),'Data'!E1161*100,"")</x:f>
      </x:c>
      <x:c r="I1161" s="35"/>
      <x:c r="J1161" s="35" t="str">
        <x:v>PASS</x:v>
      </x:c>
      <x:c r="K1161" s="35" t="str">
        <x:v>FAIL</x:v>
      </x:c>
      <x:c r="L1161" s="35" t="str">
        <x:v>NOT_RUN</x:v>
      </x:c>
      <x:c r="M1161" s="35" t="str">
        <x:v>coverage unavailable or execution/compile failed</x:v>
      </x:c>
      <x:c r="N1161" s="35" t="str">
        <x:v>Deepseek-flash-v4/Result2/Compress_28/result.json</x:v>
      </x:c>
      <x:c r="O1161" s="39" t="str">
        <x:f>IF(AND(G1161="RECORDED",ISNUMBER(H1161)),H1161,"")</x:f>
      </x:c>
      <x:c r="P1161" s="35" t="str">
        <x:v>NOT_AVAILABLE</x:v>
      </x:c>
      <x:c r="Q1161" s="35" t="str">
        <x:v>Deepseek-flash-v4/Result2/Compress_28/result.json</x:v>
      </x:c>
    </x:row>
    <x:row r="1162">
      <x:c r="A1162" s="35" t="str">
        <x:v>deepseek</x:v>
      </x:c>
      <x:c r="B1162" s="35" t="str">
        <x:v>Compress</x:v>
      </x:c>
      <x:c r="C1162" s="35" t="str">
        <x:v>Round2</x:v>
      </x:c>
      <x:c r="D1162" s="35" t="str">
        <x:v>Compress_29</x:v>
      </x:c>
      <x:c r="E1162" s="35" t="str">
        <x:v>Line</x:v>
      </x:c>
      <x:c r="F1162" s="35"/>
      <x:c r="G1162" s="35" t="str">
        <x:v>A</x:v>
      </x:c>
      <x:c r="H1162" s="39" t="str">
        <x:f>IF(ISNUMBER('Data'!E1162),'Data'!E1162*100,"")</x:f>
      </x:c>
      <x:c r="I1162" s="35"/>
      <x:c r="J1162" s="35" t="str">
        <x:v>PASS</x:v>
      </x:c>
      <x:c r="K1162" s="35" t="str">
        <x:v>FAIL</x:v>
      </x:c>
      <x:c r="L1162" s="35" t="str">
        <x:v>NOT_RUN</x:v>
      </x:c>
      <x:c r="M1162" s="35" t="str">
        <x:v>coverage unavailable or execution/compile failed</x:v>
      </x:c>
      <x:c r="N1162" s="35" t="str">
        <x:v>Deepseek-flash-v4/Result2/Compress_29/result.json</x:v>
      </x:c>
      <x:c r="O1162" s="39" t="str">
        <x:f>IF(AND(G1162="RECORDED",ISNUMBER(H1162)),H1162,"")</x:f>
      </x:c>
      <x:c r="P1162" s="35" t="str">
        <x:v>NOT_AVAILABLE</x:v>
      </x:c>
      <x:c r="Q1162" s="35" t="str">
        <x:v>Deepseek-flash-v4/Result2/Compress_29/result.json</x:v>
      </x:c>
    </x:row>
    <x:row r="1163">
      <x:c r="A1163" s="35" t="str">
        <x:v>deepseek</x:v>
      </x:c>
      <x:c r="B1163" s="35" t="str">
        <x:v>Compress</x:v>
      </x:c>
      <x:c r="C1163" s="35" t="str">
        <x:v>Round2</x:v>
      </x:c>
      <x:c r="D1163" s="35" t="str">
        <x:v>Compress_3</x:v>
      </x:c>
      <x:c r="E1163" s="35" t="str">
        <x:v>Line</x:v>
      </x:c>
      <x:c r="F1163" s="35" t="n">
        <x:v>90</x:v>
      </x:c>
      <x:c r="G1163" s="35" t="str">
        <x:v>RECORDED</x:v>
      </x:c>
      <x:c r="H1163" s="39" t="n">
        <x:f>IF(ISNUMBER('Data'!E1163),'Data'!E1163*100,"")</x:f>
        <x:v>94.44</x:v>
      </x:c>
      <x:c r="I1163" s="35" t="str">
        <x:v>PASS</x:v>
      </x:c>
      <x:c r="J1163" s="35" t="str">
        <x:v>PASS</x:v>
      </x:c>
      <x:c r="K1163" s="35" t="str">
        <x:v>PASS</x:v>
      </x:c>
      <x:c r="L1163" s="35" t="str">
        <x:v>PASS</x:v>
      </x:c>
      <x:c r="M1163" s="35" t="str">
        <x:v>numeric coverage for applicable metric</x:v>
      </x:c>
      <x:c r="N1163" s="35" t="str">
        <x:v>Deepseek-flash-v4/Result2/Compress_3/result.json</x:v>
      </x:c>
      <x:c r="O1163" s="39" t="n">
        <x:f>IF(AND(G1163="RECORDED",ISNUMBER(H1163)),H1163,"")</x:f>
        <x:v>94.44</x:v>
      </x:c>
      <x:c r="P1163" s="35" t="str">
        <x:v>INCONCLUSIVE</x:v>
      </x:c>
      <x:c r="Q1163" s="35" t="str">
        <x:v>Deepseek-flash-v4/Result2/Compress_3/result.json</x:v>
      </x:c>
    </x:row>
    <x:row r="1164">
      <x:c r="A1164" s="35" t="str">
        <x:v>deepseek</x:v>
      </x:c>
      <x:c r="B1164" s="35" t="str">
        <x:v>Compress</x:v>
      </x:c>
      <x:c r="C1164" s="35" t="str">
        <x:v>Round2</x:v>
      </x:c>
      <x:c r="D1164" s="35" t="str">
        <x:v>Compress_30</x:v>
      </x:c>
      <x:c r="E1164" s="35" t="str">
        <x:v>Line</x:v>
      </x:c>
      <x:c r="F1164" s="35" t="n">
        <x:v>488</x:v>
      </x:c>
      <x:c r="G1164" s="35" t="str">
        <x:v>RECORDED</x:v>
      </x:c>
      <x:c r="H1164" s="39" t="n">
        <x:f>IF(ISNUMBER('Data'!E1164),'Data'!E1164*100,"")</x:f>
        <x:v>7.99</x:v>
      </x:c>
      <x:c r="I1164" s="35" t="str">
        <x:v>PASS</x:v>
      </x:c>
      <x:c r="J1164" s="35" t="str">
        <x:v>PASS</x:v>
      </x:c>
      <x:c r="K1164" s="35" t="str">
        <x:v>PASS</x:v>
      </x:c>
      <x:c r="L1164" s="35" t="str">
        <x:v>FAIL</x:v>
      </x:c>
      <x:c r="M1164" s="35" t="str">
        <x:v>numeric coverage for applicable metric</x:v>
      </x:c>
      <x:c r="N1164" s="35" t="str">
        <x:v>Deepseek-flash-v4/Result2/Compress_30/result.json</x:v>
      </x:c>
      <x:c r="O1164" s="39" t="n">
        <x:f>IF(AND(G1164="RECORDED",ISNUMBER(H1164)),H1164,"")</x:f>
        <x:v>7.99</x:v>
      </x:c>
      <x:c r="P1164" s="35" t="str">
        <x:v>INCONCLUSIVE</x:v>
      </x:c>
      <x:c r="Q1164" s="35" t="str">
        <x:v>Deepseek-flash-v4/Result2/Compress_30/result.json</x:v>
      </x:c>
    </x:row>
    <x:row r="1165">
      <x:c r="A1165" s="35" t="str">
        <x:v>deepseek</x:v>
      </x:c>
      <x:c r="B1165" s="35" t="str">
        <x:v>Compress</x:v>
      </x:c>
      <x:c r="C1165" s="35" t="str">
        <x:v>Round2</x:v>
      </x:c>
      <x:c r="D1165" s="35" t="str">
        <x:v>Compress_31</x:v>
      </x:c>
      <x:c r="E1165" s="35" t="str">
        <x:v>Line</x:v>
      </x:c>
      <x:c r="F1165" s="35" t="n">
        <x:v>176</x:v>
      </x:c>
      <x:c r="G1165" s="35" t="str">
        <x:v>RECORDED</x:v>
      </x:c>
      <x:c r="H1165" s="39" t="n">
        <x:f>IF(ISNUMBER('Data'!E1165),'Data'!E1165*100,"")</x:f>
        <x:v>65.91</x:v>
      </x:c>
      <x:c r="I1165" s="35" t="str">
        <x:v>PASS</x:v>
      </x:c>
      <x:c r="J1165" s="35" t="str">
        <x:v>PASS</x:v>
      </x:c>
      <x:c r="K1165" s="35" t="str">
        <x:v>PASS</x:v>
      </x:c>
      <x:c r="L1165" s="35" t="str">
        <x:v>FAIL</x:v>
      </x:c>
      <x:c r="M1165" s="35" t="str">
        <x:v>numeric coverage for applicable metric</x:v>
      </x:c>
      <x:c r="N1165" s="35" t="str">
        <x:v>Deepseek-flash-v4/Result2/Compress_31/result.json</x:v>
      </x:c>
      <x:c r="O1165" s="39" t="n">
        <x:f>IF(AND(G1165="RECORDED",ISNUMBER(H1165)),H1165,"")</x:f>
        <x:v>65.91</x:v>
      </x:c>
      <x:c r="P1165" s="35" t="str">
        <x:v>INCONCLUSIVE</x:v>
      </x:c>
      <x:c r="Q1165" s="35" t="str">
        <x:v>Deepseek-flash-v4/Result2/Compress_31/result.json</x:v>
      </x:c>
    </x:row>
    <x:row r="1166">
      <x:c r="A1166" s="35" t="str">
        <x:v>deepseek</x:v>
      </x:c>
      <x:c r="B1166" s="35" t="str">
        <x:v>Compress</x:v>
      </x:c>
      <x:c r="C1166" s="35" t="str">
        <x:v>Round2</x:v>
      </x:c>
      <x:c r="D1166" s="35" t="str">
        <x:v>Compress_32</x:v>
      </x:c>
      <x:c r="E1166" s="35" t="str">
        <x:v>Line</x:v>
      </x:c>
      <x:c r="F1166" s="35" t="n">
        <x:v>220</x:v>
      </x:c>
      <x:c r="G1166" s="35" t="str">
        <x:v>RECORDED</x:v>
      </x:c>
      <x:c r="H1166" s="39" t="n">
        <x:f>IF(ISNUMBER('Data'!E1166),'Data'!E1166*100,"")</x:f>
        <x:v>43.64</x:v>
      </x:c>
      <x:c r="I1166" s="35" t="str">
        <x:v>PASS</x:v>
      </x:c>
      <x:c r="J1166" s="35" t="str">
        <x:v>PASS</x:v>
      </x:c>
      <x:c r="K1166" s="35" t="str">
        <x:v>PASS</x:v>
      </x:c>
      <x:c r="L1166" s="35" t="str">
        <x:v>FAIL</x:v>
      </x:c>
      <x:c r="M1166" s="35" t="str">
        <x:v>numeric coverage for applicable metric</x:v>
      </x:c>
      <x:c r="N1166" s="35" t="str">
        <x:v>Deepseek-flash-v4/Result2/Compress_32/result.json</x:v>
      </x:c>
      <x:c r="O1166" s="39" t="n">
        <x:f>IF(AND(G1166="RECORDED",ISNUMBER(H1166)),H1166,"")</x:f>
        <x:v>43.64</x:v>
      </x:c>
      <x:c r="P1166" s="35" t="str">
        <x:v>INCONCLUSIVE</x:v>
      </x:c>
      <x:c r="Q1166" s="35" t="str">
        <x:v>Deepseek-flash-v4/Result2/Compress_32/result.json</x:v>
      </x:c>
    </x:row>
    <x:row r="1167">
      <x:c r="A1167" s="35" t="str">
        <x:v>deepseek</x:v>
      </x:c>
      <x:c r="B1167" s="35" t="str">
        <x:v>Compress</x:v>
      </x:c>
      <x:c r="C1167" s="35" t="str">
        <x:v>Round2</x:v>
      </x:c>
      <x:c r="D1167" s="35" t="str">
        <x:v>Compress_33</x:v>
      </x:c>
      <x:c r="E1167" s="35" t="str">
        <x:v>Line</x:v>
      </x:c>
      <x:c r="F1167" s="35"/>
      <x:c r="G1167" s="35" t="str">
        <x:v>A</x:v>
      </x:c>
      <x:c r="H1167" s="39" t="str">
        <x:f>IF(ISNUMBER('Data'!E1167),'Data'!E1167*100,"")</x:f>
      </x:c>
      <x:c r="I1167" s="35"/>
      <x:c r="J1167" s="35" t="str">
        <x:v>PASS</x:v>
      </x:c>
      <x:c r="K1167" s="35" t="str">
        <x:v>FAIL</x:v>
      </x:c>
      <x:c r="L1167" s="35" t="str">
        <x:v>NOT_RUN</x:v>
      </x:c>
      <x:c r="M1167" s="35" t="str">
        <x:v>coverage unavailable or execution/compile failed</x:v>
      </x:c>
      <x:c r="N1167" s="35" t="str">
        <x:v>Deepseek-flash-v4/Result2/Compress_33/result.json</x:v>
      </x:c>
      <x:c r="O1167" s="39" t="str">
        <x:f>IF(AND(G1167="RECORDED",ISNUMBER(H1167)),H1167,"")</x:f>
      </x:c>
      <x:c r="P1167" s="35" t="str">
        <x:v>NOT_AVAILABLE</x:v>
      </x:c>
      <x:c r="Q1167" s="35" t="str">
        <x:v>Deepseek-flash-v4/Result2/Compress_33/result.json</x:v>
      </x:c>
    </x:row>
    <x:row r="1168">
      <x:c r="A1168" s="35" t="str">
        <x:v>deepseek</x:v>
      </x:c>
      <x:c r="B1168" s="35" t="str">
        <x:v>Compress</x:v>
      </x:c>
      <x:c r="C1168" s="35" t="str">
        <x:v>Round2</x:v>
      </x:c>
      <x:c r="D1168" s="35" t="str">
        <x:v>Compress_34</x:v>
      </x:c>
      <x:c r="E1168" s="35" t="str">
        <x:v>Line</x:v>
      </x:c>
      <x:c r="F1168" s="35" t="n">
        <x:v>70</x:v>
      </x:c>
      <x:c r="G1168" s="35" t="str">
        <x:v>RECORDED</x:v>
      </x:c>
      <x:c r="H1168" s="39" t="n">
        <x:f>IF(ISNUMBER('Data'!E1168),'Data'!E1168*100,"")</x:f>
        <x:v>100</x:v>
      </x:c>
      <x:c r="I1168" s="35" t="str">
        <x:v>PASS</x:v>
      </x:c>
      <x:c r="J1168" s="35" t="str">
        <x:v>PASS</x:v>
      </x:c>
      <x:c r="K1168" s="35" t="str">
        <x:v>PASS</x:v>
      </x:c>
      <x:c r="L1168" s="35" t="str">
        <x:v>FAIL</x:v>
      </x:c>
      <x:c r="M1168" s="35" t="str">
        <x:v>numeric coverage for applicable metric</x:v>
      </x:c>
      <x:c r="N1168" s="35" t="str">
        <x:v>Deepseek-flash-v4/Result2/Compress_34/result.json</x:v>
      </x:c>
      <x:c r="O1168" s="39" t="n">
        <x:f>IF(AND(G1168="RECORDED",ISNUMBER(H1168)),H1168,"")</x:f>
        <x:v>100</x:v>
      </x:c>
      <x:c r="P1168" s="35" t="str">
        <x:v>INCONCLUSIVE</x:v>
      </x:c>
      <x:c r="Q1168" s="35" t="str">
        <x:v>Deepseek-flash-v4/Result2/Compress_34/result.json</x:v>
      </x:c>
    </x:row>
    <x:row r="1169">
      <x:c r="A1169" s="35" t="str">
        <x:v>deepseek</x:v>
      </x:c>
      <x:c r="B1169" s="35" t="str">
        <x:v>Compress</x:v>
      </x:c>
      <x:c r="C1169" s="35" t="str">
        <x:v>Round2</x:v>
      </x:c>
      <x:c r="D1169" s="35" t="str">
        <x:v>Compress_35</x:v>
      </x:c>
      <x:c r="E1169" s="35" t="str">
        <x:v>Line</x:v>
      </x:c>
      <x:c r="F1169" s="35" t="n">
        <x:v>174</x:v>
      </x:c>
      <x:c r="G1169" s="35" t="str">
        <x:v>RECORDED</x:v>
      </x:c>
      <x:c r="H1169" s="39" t="n">
        <x:f>IF(ISNUMBER('Data'!E1169),'Data'!E1169*100,"")</x:f>
        <x:v>69.54</x:v>
      </x:c>
      <x:c r="I1169" s="35" t="str">
        <x:v>PASS</x:v>
      </x:c>
      <x:c r="J1169" s="35" t="str">
        <x:v>PASS</x:v>
      </x:c>
      <x:c r="K1169" s="35" t="str">
        <x:v>PASS</x:v>
      </x:c>
      <x:c r="L1169" s="35" t="str">
        <x:v>FAIL</x:v>
      </x:c>
      <x:c r="M1169" s="35" t="str">
        <x:v>numeric coverage for applicable metric</x:v>
      </x:c>
      <x:c r="N1169" s="35" t="str">
        <x:v>Deepseek-flash-v4/Result2/Compress_35/result.json</x:v>
      </x:c>
      <x:c r="O1169" s="39" t="n">
        <x:f>IF(AND(G1169="RECORDED",ISNUMBER(H1169)),H1169,"")</x:f>
        <x:v>69.54</x:v>
      </x:c>
      <x:c r="P1169" s="35" t="str">
        <x:v>INCONCLUSIVE</x:v>
      </x:c>
      <x:c r="Q1169" s="35" t="str">
        <x:v>Deepseek-flash-v4/Result2/Compress_35/result.json</x:v>
      </x:c>
    </x:row>
    <x:row r="1170">
      <x:c r="A1170" s="35" t="str">
        <x:v>deepseek</x:v>
      </x:c>
      <x:c r="B1170" s="35" t="str">
        <x:v>Compress</x:v>
      </x:c>
      <x:c r="C1170" s="35" t="str">
        <x:v>Round2</x:v>
      </x:c>
      <x:c r="D1170" s="35" t="str">
        <x:v>Compress_36</x:v>
      </x:c>
      <x:c r="E1170" s="35" t="str">
        <x:v>Line</x:v>
      </x:c>
      <x:c r="F1170" s="35" t="n">
        <x:v>533</x:v>
      </x:c>
      <x:c r="G1170" s="35" t="str">
        <x:v>RECORDED</x:v>
      </x:c>
      <x:c r="H1170" s="39" t="n">
        <x:f>IF(ISNUMBER('Data'!E1170),'Data'!E1170*100,"")</x:f>
        <x:v>7.5</x:v>
      </x:c>
      <x:c r="I1170" s="35" t="str">
        <x:v>PASS</x:v>
      </x:c>
      <x:c r="J1170" s="35" t="str">
        <x:v>PASS</x:v>
      </x:c>
      <x:c r="K1170" s="35" t="str">
        <x:v>PASS</x:v>
      </x:c>
      <x:c r="L1170" s="35" t="str">
        <x:v>FAIL</x:v>
      </x:c>
      <x:c r="M1170" s="35" t="str">
        <x:v>numeric coverage for applicable metric</x:v>
      </x:c>
      <x:c r="N1170" s="35" t="str">
        <x:v>Deepseek-flash-v4/Result2/Compress_36/result.json</x:v>
      </x:c>
      <x:c r="O1170" s="39" t="n">
        <x:f>IF(AND(G1170="RECORDED",ISNUMBER(H1170)),H1170,"")</x:f>
        <x:v>7.5</x:v>
      </x:c>
      <x:c r="P1170" s="35" t="str">
        <x:v>INCONCLUSIVE</x:v>
      </x:c>
      <x:c r="Q1170" s="35" t="str">
        <x:v>Deepseek-flash-v4/Result2/Compress_36/result.json</x:v>
      </x:c>
    </x:row>
    <x:row r="1171">
      <x:c r="A1171" s="35" t="str">
        <x:v>deepseek</x:v>
      </x:c>
      <x:c r="B1171" s="35" t="str">
        <x:v>Compress</x:v>
      </x:c>
      <x:c r="C1171" s="35" t="str">
        <x:v>Round2</x:v>
      </x:c>
      <x:c r="D1171" s="35" t="str">
        <x:v>Compress_37</x:v>
      </x:c>
      <x:c r="E1171" s="35" t="str">
        <x:v>Line</x:v>
      </x:c>
      <x:c r="F1171" s="35"/>
      <x:c r="G1171" s="35" t="str">
        <x:v>A</x:v>
      </x:c>
      <x:c r="H1171" s="39" t="str">
        <x:f>IF(ISNUMBER('Data'!E1171),'Data'!E1171*100,"")</x:f>
      </x:c>
      <x:c r="I1171" s="35"/>
      <x:c r="J1171" s="35" t="str">
        <x:v>PASS</x:v>
      </x:c>
      <x:c r="K1171" s="35" t="str">
        <x:v>FAIL</x:v>
      </x:c>
      <x:c r="L1171" s="35" t="str">
        <x:v>NOT_RUN</x:v>
      </x:c>
      <x:c r="M1171" s="35" t="str">
        <x:v>coverage unavailable or execution/compile failed</x:v>
      </x:c>
      <x:c r="N1171" s="35" t="str">
        <x:v>Deepseek-flash-v4/Result2/Compress_37/result.json</x:v>
      </x:c>
      <x:c r="O1171" s="39" t="str">
        <x:f>IF(AND(G1171="RECORDED",ISNUMBER(H1171)),H1171,"")</x:f>
      </x:c>
      <x:c r="P1171" s="35" t="str">
        <x:v>NOT_AVAILABLE</x:v>
      </x:c>
      <x:c r="Q1171" s="35" t="str">
        <x:v>Deepseek-flash-v4/Result2/Compress_37/result.json</x:v>
      </x:c>
    </x:row>
    <x:row r="1172">
      <x:c r="A1172" s="35" t="str">
        <x:v>deepseek</x:v>
      </x:c>
      <x:c r="B1172" s="35" t="str">
        <x:v>Compress</x:v>
      </x:c>
      <x:c r="C1172" s="35" t="str">
        <x:v>Round2</x:v>
      </x:c>
      <x:c r="D1172" s="35" t="str">
        <x:v>Compress_38</x:v>
      </x:c>
      <x:c r="E1172" s="35" t="str">
        <x:v>Line</x:v>
      </x:c>
      <x:c r="F1172" s="35"/>
      <x:c r="G1172" s="35" t="str">
        <x:v>A</x:v>
      </x:c>
      <x:c r="H1172" s="39" t="str">
        <x:f>IF(ISNUMBER('Data'!E1172),'Data'!E1172*100,"")</x:f>
      </x:c>
      <x:c r="I1172" s="35"/>
      <x:c r="J1172" s="35" t="str">
        <x:v>PASS</x:v>
      </x:c>
      <x:c r="K1172" s="35" t="str">
        <x:v>FAIL</x:v>
      </x:c>
      <x:c r="L1172" s="35" t="str">
        <x:v>NOT_RUN</x:v>
      </x:c>
      <x:c r="M1172" s="35" t="str">
        <x:v>coverage unavailable or execution/compile failed</x:v>
      </x:c>
      <x:c r="N1172" s="35" t="str">
        <x:v>Deepseek-flash-v4/Result2/Compress_38/result.json</x:v>
      </x:c>
      <x:c r="O1172" s="39" t="str">
        <x:f>IF(AND(G1172="RECORDED",ISNUMBER(H1172)),H1172,"")</x:f>
      </x:c>
      <x:c r="P1172" s="35" t="str">
        <x:v>NOT_AVAILABLE</x:v>
      </x:c>
      <x:c r="Q1172" s="35" t="str">
        <x:v>Deepseek-flash-v4/Result2/Compress_38/result.json</x:v>
      </x:c>
    </x:row>
    <x:row r="1173">
      <x:c r="A1173" s="35" t="str">
        <x:v>deepseek</x:v>
      </x:c>
      <x:c r="B1173" s="35" t="str">
        <x:v>Compress</x:v>
      </x:c>
      <x:c r="C1173" s="35" t="str">
        <x:v>Round2</x:v>
      </x:c>
      <x:c r="D1173" s="35" t="str">
        <x:v>Compress_39</x:v>
      </x:c>
      <x:c r="E1173" s="35" t="str">
        <x:v>Line</x:v>
      </x:c>
      <x:c r="F1173" s="35"/>
      <x:c r="G1173" s="35" t="str">
        <x:v>A</x:v>
      </x:c>
      <x:c r="H1173" s="39" t="str">
        <x:f>IF(ISNUMBER('Data'!E1173),'Data'!E1173*100,"")</x:f>
      </x:c>
      <x:c r="I1173" s="35"/>
      <x:c r="J1173" s="35" t="str">
        <x:v>PASS</x:v>
      </x:c>
      <x:c r="K1173" s="35" t="str">
        <x:v>FAIL</x:v>
      </x:c>
      <x:c r="L1173" s="35" t="str">
        <x:v>NOT_RUN</x:v>
      </x:c>
      <x:c r="M1173" s="35" t="str">
        <x:v>coverage unavailable or execution/compile failed</x:v>
      </x:c>
      <x:c r="N1173" s="35" t="str">
        <x:v>Deepseek-flash-v4/Result2/Compress_39/result.json</x:v>
      </x:c>
      <x:c r="O1173" s="39" t="str">
        <x:f>IF(AND(G1173="RECORDED",ISNUMBER(H1173)),H1173,"")</x:f>
      </x:c>
      <x:c r="P1173" s="35" t="str">
        <x:v>NOT_AVAILABLE</x:v>
      </x:c>
      <x:c r="Q1173" s="35" t="str">
        <x:v>Deepseek-flash-v4/Result2/Compress_39/result.json</x:v>
      </x:c>
    </x:row>
    <x:row r="1174">
      <x:c r="A1174" s="35" t="str">
        <x:v>deepseek</x:v>
      </x:c>
      <x:c r="B1174" s="35" t="str">
        <x:v>Compress</x:v>
      </x:c>
      <x:c r="C1174" s="35" t="str">
        <x:v>Round2</x:v>
      </x:c>
      <x:c r="D1174" s="35" t="str">
        <x:v>Compress_4</x:v>
      </x:c>
      <x:c r="E1174" s="35" t="str">
        <x:v>Line</x:v>
      </x:c>
      <x:c r="F1174" s="35"/>
      <x:c r="G1174" s="35" t="str">
        <x:v>A</x:v>
      </x:c>
      <x:c r="H1174" s="39" t="str">
        <x:f>IF(ISNUMBER('Data'!E1174),'Data'!E1174*100,"")</x:f>
      </x:c>
      <x:c r="I1174" s="35"/>
      <x:c r="J1174" s="35" t="str">
        <x:v>PASS</x:v>
      </x:c>
      <x:c r="K1174" s="35" t="str">
        <x:v>FAIL</x:v>
      </x:c>
      <x:c r="L1174" s="35" t="str">
        <x:v>NOT_RUN</x:v>
      </x:c>
      <x:c r="M1174" s="35" t="str">
        <x:v>coverage unavailable or execution/compile failed</x:v>
      </x:c>
      <x:c r="N1174" s="35" t="str">
        <x:v>Deepseek-flash-v4/Result2/Compress_4/result.json</x:v>
      </x:c>
      <x:c r="O1174" s="39" t="str">
        <x:f>IF(AND(G1174="RECORDED",ISNUMBER(H1174)),H1174,"")</x:f>
      </x:c>
      <x:c r="P1174" s="35" t="str">
        <x:v>NOT_AVAILABLE</x:v>
      </x:c>
      <x:c r="Q1174" s="35" t="str">
        <x:v>Deepseek-flash-v4/Result2/Compress_4/result.json</x:v>
      </x:c>
    </x:row>
    <x:row r="1175">
      <x:c r="A1175" s="35" t="str">
        <x:v>deepseek</x:v>
      </x:c>
      <x:c r="B1175" s="35" t="str">
        <x:v>Compress</x:v>
      </x:c>
      <x:c r="C1175" s="35" t="str">
        <x:v>Round2</x:v>
      </x:c>
      <x:c r="D1175" s="35" t="str">
        <x:v>Compress_40</x:v>
      </x:c>
      <x:c r="E1175" s="35" t="str">
        <x:v>Line</x:v>
      </x:c>
      <x:c r="F1175" s="35" t="n">
        <x:v>33</x:v>
      </x:c>
      <x:c r="G1175" s="35" t="str">
        <x:v>RECORDED</x:v>
      </x:c>
      <x:c r="H1175" s="39" t="n">
        <x:f>IF(ISNUMBER('Data'!E1175),'Data'!E1175*100,"")</x:f>
        <x:v>100</x:v>
      </x:c>
      <x:c r="I1175" s="35" t="str">
        <x:v>PASS</x:v>
      </x:c>
      <x:c r="J1175" s="35" t="str">
        <x:v>PASS</x:v>
      </x:c>
      <x:c r="K1175" s="35" t="str">
        <x:v>PASS</x:v>
      </x:c>
      <x:c r="L1175" s="35" t="str">
        <x:v>PASS</x:v>
      </x:c>
      <x:c r="M1175" s="35" t="str">
        <x:v>numeric coverage for applicable metric</x:v>
      </x:c>
      <x:c r="N1175" s="35" t="str">
        <x:v>Deepseek-flash-v4/Result2/Compress_40/result.json</x:v>
      </x:c>
      <x:c r="O1175" s="39" t="n">
        <x:f>IF(AND(G1175="RECORDED",ISNUMBER(H1175)),H1175,"")</x:f>
        <x:v>100</x:v>
      </x:c>
      <x:c r="P1175" s="35" t="str">
        <x:v>NOT_REVEALING</x:v>
      </x:c>
      <x:c r="Q1175" s="35" t="str">
        <x:v>Deepseek-flash-v4/Result2/Compress_40/result.json</x:v>
      </x:c>
    </x:row>
    <x:row r="1176">
      <x:c r="A1176" s="35" t="str">
        <x:v>deepseek</x:v>
      </x:c>
      <x:c r="B1176" s="35" t="str">
        <x:v>Compress</x:v>
      </x:c>
      <x:c r="C1176" s="35" t="str">
        <x:v>Round2</x:v>
      </x:c>
      <x:c r="D1176" s="35" t="str">
        <x:v>Compress_41</x:v>
      </x:c>
      <x:c r="E1176" s="35" t="str">
        <x:v>Line</x:v>
      </x:c>
      <x:c r="F1176" s="35"/>
      <x:c r="G1176" s="35" t="str">
        <x:v>A</x:v>
      </x:c>
      <x:c r="H1176" s="39" t="str">
        <x:f>IF(ISNUMBER('Data'!E1176),'Data'!E1176*100,"")</x:f>
      </x:c>
      <x:c r="I1176" s="35"/>
      <x:c r="J1176" s="35" t="str">
        <x:v>PASS</x:v>
      </x:c>
      <x:c r="K1176" s="35" t="str">
        <x:v>FAIL</x:v>
      </x:c>
      <x:c r="L1176" s="35" t="str">
        <x:v>NOT_RUN</x:v>
      </x:c>
      <x:c r="M1176" s="35" t="str">
        <x:v>coverage unavailable or execution/compile failed</x:v>
      </x:c>
      <x:c r="N1176" s="35" t="str">
        <x:v>Deepseek-flash-v4/Result2/Compress_41/result.json</x:v>
      </x:c>
      <x:c r="O1176" s="39" t="str">
        <x:f>IF(AND(G1176="RECORDED",ISNUMBER(H1176)),H1176,"")</x:f>
      </x:c>
      <x:c r="P1176" s="35" t="str">
        <x:v>NOT_AVAILABLE</x:v>
      </x:c>
      <x:c r="Q1176" s="35" t="str">
        <x:v>Deepseek-flash-v4/Result2/Compress_41/result.json</x:v>
      </x:c>
    </x:row>
    <x:row r="1177">
      <x:c r="A1177" s="35" t="str">
        <x:v>deepseek</x:v>
      </x:c>
      <x:c r="B1177" s="35" t="str">
        <x:v>Compress</x:v>
      </x:c>
      <x:c r="C1177" s="35" t="str">
        <x:v>Round2</x:v>
      </x:c>
      <x:c r="D1177" s="35" t="str">
        <x:v>Compress_42</x:v>
      </x:c>
      <x:c r="E1177" s="35" t="str">
        <x:v>Line</x:v>
      </x:c>
      <x:c r="F1177" s="35" t="n">
        <x:v>242</x:v>
      </x:c>
      <x:c r="G1177" s="35" t="str">
        <x:v>RECORDED</x:v>
      </x:c>
      <x:c r="H1177" s="39" t="n">
        <x:f>IF(ISNUMBER('Data'!E1177),'Data'!E1177*100,"")</x:f>
        <x:v>86.36</x:v>
      </x:c>
      <x:c r="I1177" s="35" t="str">
        <x:v>PASS</x:v>
      </x:c>
      <x:c r="J1177" s="35" t="str">
        <x:v>PASS</x:v>
      </x:c>
      <x:c r="K1177" s="35" t="str">
        <x:v>PASS</x:v>
      </x:c>
      <x:c r="L1177" s="35" t="str">
        <x:v>FAIL</x:v>
      </x:c>
      <x:c r="M1177" s="35" t="str">
        <x:v>numeric coverage for applicable metric</x:v>
      </x:c>
      <x:c r="N1177" s="35" t="str">
        <x:v>Deepseek-flash-v4/Result2/Compress_42/result.json</x:v>
      </x:c>
      <x:c r="O1177" s="39" t="n">
        <x:f>IF(AND(G1177="RECORDED",ISNUMBER(H1177)),H1177,"")</x:f>
        <x:v>86.36</x:v>
      </x:c>
      <x:c r="P1177" s="35" t="str">
        <x:v>INCONCLUSIVE</x:v>
      </x:c>
      <x:c r="Q1177" s="35" t="str">
        <x:v>Deepseek-flash-v4/Result2/Compress_42/result.json</x:v>
      </x:c>
    </x:row>
    <x:row r="1178">
      <x:c r="A1178" s="35" t="str">
        <x:v>deepseek</x:v>
      </x:c>
      <x:c r="B1178" s="35" t="str">
        <x:v>Compress</x:v>
      </x:c>
      <x:c r="C1178" s="35" t="str">
        <x:v>Round2</x:v>
      </x:c>
      <x:c r="D1178" s="35" t="str">
        <x:v>Compress_43</x:v>
      </x:c>
      <x:c r="E1178" s="35" t="str">
        <x:v>Line</x:v>
      </x:c>
      <x:c r="F1178" s="35"/>
      <x:c r="G1178" s="35" t="str">
        <x:v>A</x:v>
      </x:c>
      <x:c r="H1178" s="39" t="str">
        <x:f>IF(ISNUMBER('Data'!E1178),'Data'!E1178*100,"")</x:f>
      </x:c>
      <x:c r="I1178" s="35"/>
      <x:c r="J1178" s="35" t="str">
        <x:v>PASS</x:v>
      </x:c>
      <x:c r="K1178" s="35" t="str">
        <x:v>FAIL</x:v>
      </x:c>
      <x:c r="L1178" s="35" t="str">
        <x:v>NOT_RUN</x:v>
      </x:c>
      <x:c r="M1178" s="35" t="str">
        <x:v>coverage unavailable or execution/compile failed</x:v>
      </x:c>
      <x:c r="N1178" s="35" t="str">
        <x:v>Deepseek-flash-v4/Result2/Compress_43/result.json</x:v>
      </x:c>
      <x:c r="O1178" s="39" t="str">
        <x:f>IF(AND(G1178="RECORDED",ISNUMBER(H1178)),H1178,"")</x:f>
      </x:c>
      <x:c r="P1178" s="35" t="str">
        <x:v>NOT_AVAILABLE</x:v>
      </x:c>
      <x:c r="Q1178" s="35" t="str">
        <x:v>Deepseek-flash-v4/Result2/Compress_43/result.json</x:v>
      </x:c>
    </x:row>
    <x:row r="1179">
      <x:c r="A1179" s="35" t="str">
        <x:v>deepseek</x:v>
      </x:c>
      <x:c r="B1179" s="35" t="str">
        <x:v>Compress</x:v>
      </x:c>
      <x:c r="C1179" s="35" t="str">
        <x:v>Round2</x:v>
      </x:c>
      <x:c r="D1179" s="35" t="str">
        <x:v>Compress_44</x:v>
      </x:c>
      <x:c r="E1179" s="35" t="str">
        <x:v>Line</x:v>
      </x:c>
      <x:c r="F1179" s="35" t="n">
        <x:v>17</x:v>
      </x:c>
      <x:c r="G1179" s="35" t="str">
        <x:v>RECORDED</x:v>
      </x:c>
      <x:c r="H1179" s="39" t="n">
        <x:f>IF(ISNUMBER('Data'!E1179),'Data'!E1179*100,"")</x:f>
        <x:v>100</x:v>
      </x:c>
      <x:c r="I1179" s="35" t="str">
        <x:v>PASS</x:v>
      </x:c>
      <x:c r="J1179" s="35" t="str">
        <x:v>PASS</x:v>
      </x:c>
      <x:c r="K1179" s="35" t="str">
        <x:v>PASS</x:v>
      </x:c>
      <x:c r="L1179" s="35" t="str">
        <x:v>FAIL</x:v>
      </x:c>
      <x:c r="M1179" s="35" t="str">
        <x:v>numeric coverage for applicable metric</x:v>
      </x:c>
      <x:c r="N1179" s="35" t="str">
        <x:v>Deepseek-flash-v4/Result2/Compress_44/result.json</x:v>
      </x:c>
      <x:c r="O1179" s="39" t="n">
        <x:f>IF(AND(G1179="RECORDED",ISNUMBER(H1179)),H1179,"")</x:f>
        <x:v>100</x:v>
      </x:c>
      <x:c r="P1179" s="35" t="str">
        <x:v>INCONCLUSIVE</x:v>
      </x:c>
      <x:c r="Q1179" s="35" t="str">
        <x:v>Deepseek-flash-v4/Result2/Compress_44/result.json</x:v>
      </x:c>
    </x:row>
    <x:row r="1180">
      <x:c r="A1180" s="35" t="str">
        <x:v>deepseek</x:v>
      </x:c>
      <x:c r="B1180" s="35" t="str">
        <x:v>Compress</x:v>
      </x:c>
      <x:c r="C1180" s="35" t="str">
        <x:v>Round2</x:v>
      </x:c>
      <x:c r="D1180" s="35" t="str">
        <x:v>Compress_45</x:v>
      </x:c>
      <x:c r="E1180" s="35" t="str">
        <x:v>Line</x:v>
      </x:c>
      <x:c r="F1180" s="35" t="n">
        <x:v>171</x:v>
      </x:c>
      <x:c r="G1180" s="35" t="str">
        <x:v>RECORDED</x:v>
      </x:c>
      <x:c r="H1180" s="39" t="n">
        <x:f>IF(ISNUMBER('Data'!E1180),'Data'!E1180*100,"")</x:f>
        <x:v>63.739999999999995</x:v>
      </x:c>
      <x:c r="I1180" s="35" t="str">
        <x:v>PASS</x:v>
      </x:c>
      <x:c r="J1180" s="35" t="str">
        <x:v>PASS</x:v>
      </x:c>
      <x:c r="K1180" s="35" t="str">
        <x:v>PASS</x:v>
      </x:c>
      <x:c r="L1180" s="35" t="str">
        <x:v>FAIL</x:v>
      </x:c>
      <x:c r="M1180" s="35" t="str">
        <x:v>numeric coverage for applicable metric</x:v>
      </x:c>
      <x:c r="N1180" s="35" t="str">
        <x:v>Deepseek-flash-v4/Result2/Compress_45/result.json</x:v>
      </x:c>
      <x:c r="O1180" s="39" t="n">
        <x:f>IF(AND(G1180="RECORDED",ISNUMBER(H1180)),H1180,"")</x:f>
        <x:v>63.739999999999995</x:v>
      </x:c>
      <x:c r="P1180" s="35" t="str">
        <x:v>INCONCLUSIVE</x:v>
      </x:c>
      <x:c r="Q1180" s="35" t="str">
        <x:v>Deepseek-flash-v4/Result2/Compress_45/result.json</x:v>
      </x:c>
    </x:row>
    <x:row r="1181">
      <x:c r="A1181" s="35" t="str">
        <x:v>deepseek</x:v>
      </x:c>
      <x:c r="B1181" s="35" t="str">
        <x:v>Compress</x:v>
      </x:c>
      <x:c r="C1181" s="35" t="str">
        <x:v>Round2</x:v>
      </x:c>
      <x:c r="D1181" s="35" t="str">
        <x:v>Compress_46</x:v>
      </x:c>
      <x:c r="E1181" s="35" t="str">
        <x:v>Line</x:v>
      </x:c>
      <x:c r="F1181" s="35" t="n">
        <x:v>112</x:v>
      </x:c>
      <x:c r="G1181" s="35" t="str">
        <x:v>RECORDED</x:v>
      </x:c>
      <x:c r="H1181" s="39" t="n">
        <x:f>IF(ISNUMBER('Data'!E1181),'Data'!E1181*100,"")</x:f>
        <x:v>94.64</x:v>
      </x:c>
      <x:c r="I1181" s="35" t="str">
        <x:v>PASS</x:v>
      </x:c>
      <x:c r="J1181" s="35" t="str">
        <x:v>PASS</x:v>
      </x:c>
      <x:c r="K1181" s="35" t="str">
        <x:v>PASS</x:v>
      </x:c>
      <x:c r="L1181" s="35" t="str">
        <x:v>FAIL</x:v>
      </x:c>
      <x:c r="M1181" s="35" t="str">
        <x:v>numeric coverage for applicable metric</x:v>
      </x:c>
      <x:c r="N1181" s="35" t="str">
        <x:v>Deepseek-flash-v4/Result2/Compress_46/result.json</x:v>
      </x:c>
      <x:c r="O1181" s="39" t="n">
        <x:f>IF(AND(G1181="RECORDED",ISNUMBER(H1181)),H1181,"")</x:f>
        <x:v>94.64</x:v>
      </x:c>
      <x:c r="P1181" s="35" t="str">
        <x:v>INCONCLUSIVE</x:v>
      </x:c>
      <x:c r="Q1181" s="35" t="str">
        <x:v>Deepseek-flash-v4/Result2/Compress_46/result.json</x:v>
      </x:c>
    </x:row>
    <x:row r="1182">
      <x:c r="A1182" s="35" t="str">
        <x:v>deepseek</x:v>
      </x:c>
      <x:c r="B1182" s="35" t="str">
        <x:v>Compress</x:v>
      </x:c>
      <x:c r="C1182" s="35" t="str">
        <x:v>Round2</x:v>
      </x:c>
      <x:c r="D1182" s="35" t="str">
        <x:v>Compress_47</x:v>
      </x:c>
      <x:c r="E1182" s="35" t="str">
        <x:v>Line</x:v>
      </x:c>
      <x:c r="F1182" s="35" t="n">
        <x:v>430</x:v>
      </x:c>
      <x:c r="G1182" s="35" t="str">
        <x:v>RECORDED</x:v>
      </x:c>
      <x:c r="H1182" s="39" t="n">
        <x:f>IF(ISNUMBER('Data'!E1182),'Data'!E1182*100,"")</x:f>
        <x:v>65.58</x:v>
      </x:c>
      <x:c r="I1182" s="35" t="str">
        <x:v>PASS</x:v>
      </x:c>
      <x:c r="J1182" s="35" t="str">
        <x:v>PASS</x:v>
      </x:c>
      <x:c r="K1182" s="35" t="str">
        <x:v>PASS</x:v>
      </x:c>
      <x:c r="L1182" s="35" t="str">
        <x:v>FAIL</x:v>
      </x:c>
      <x:c r="M1182" s="35" t="str">
        <x:v>numeric coverage for applicable metric</x:v>
      </x:c>
      <x:c r="N1182" s="35" t="str">
        <x:v>Deepseek-flash-v4/Result2/Compress_47/result.json</x:v>
      </x:c>
      <x:c r="O1182" s="39" t="n">
        <x:f>IF(AND(G1182="RECORDED",ISNUMBER(H1182)),H1182,"")</x:f>
        <x:v>65.58</x:v>
      </x:c>
      <x:c r="P1182" s="35" t="str">
        <x:v>INCONCLUSIVE</x:v>
      </x:c>
      <x:c r="Q1182" s="35" t="str">
        <x:v>Deepseek-flash-v4/Result2/Compress_47/result.json</x:v>
      </x:c>
    </x:row>
    <x:row r="1183">
      <x:c r="A1183" s="35" t="str">
        <x:v>deepseek</x:v>
      </x:c>
      <x:c r="B1183" s="35" t="str">
        <x:v>Compress</x:v>
      </x:c>
      <x:c r="C1183" s="35" t="str">
        <x:v>Round2</x:v>
      </x:c>
      <x:c r="D1183" s="35" t="str">
        <x:v>Compress_5</x:v>
      </x:c>
      <x:c r="E1183" s="35" t="str">
        <x:v>Line</x:v>
      </x:c>
      <x:c r="F1183" s="35" t="n">
        <x:v>159</x:v>
      </x:c>
      <x:c r="G1183" s="35" t="str">
        <x:v>RECORDED</x:v>
      </x:c>
      <x:c r="H1183" s="39" t="n">
        <x:f>IF(ISNUMBER('Data'!E1183),'Data'!E1183*100,"")</x:f>
        <x:v>91.82</x:v>
      </x:c>
      <x:c r="I1183" s="35" t="str">
        <x:v>PASS</x:v>
      </x:c>
      <x:c r="J1183" s="35" t="str">
        <x:v>PASS</x:v>
      </x:c>
      <x:c r="K1183" s="35" t="str">
        <x:v>PASS</x:v>
      </x:c>
      <x:c r="L1183" s="35" t="str">
        <x:v>FAIL</x:v>
      </x:c>
      <x:c r="M1183" s="35" t="str">
        <x:v>numeric coverage for applicable metric</x:v>
      </x:c>
      <x:c r="N1183" s="35" t="str">
        <x:v>Deepseek-flash-v4/Result2/Compress_5/result.json</x:v>
      </x:c>
      <x:c r="O1183" s="39" t="n">
        <x:f>IF(AND(G1183="RECORDED",ISNUMBER(H1183)),H1183,"")</x:f>
        <x:v>91.82</x:v>
      </x:c>
      <x:c r="P1183" s="35" t="str">
        <x:v>INCONCLUSIVE</x:v>
      </x:c>
      <x:c r="Q1183" s="35" t="str">
        <x:v>Deepseek-flash-v4/Result2/Compress_5/result.json</x:v>
      </x:c>
    </x:row>
    <x:row r="1184">
      <x:c r="A1184" s="35" t="str">
        <x:v>deepseek</x:v>
      </x:c>
      <x:c r="B1184" s="35" t="str">
        <x:v>Compress</x:v>
      </x:c>
      <x:c r="C1184" s="35" t="str">
        <x:v>Round2</x:v>
      </x:c>
      <x:c r="D1184" s="35" t="str">
        <x:v>Compress_6</x:v>
      </x:c>
      <x:c r="E1184" s="35" t="str">
        <x:v>Line</x:v>
      </x:c>
      <x:c r="F1184" s="35"/>
      <x:c r="G1184" s="35" t="str">
        <x:v>A</x:v>
      </x:c>
      <x:c r="H1184" s="39" t="str">
        <x:f>IF(ISNUMBER('Data'!E1184),'Data'!E1184*100,"")</x:f>
      </x:c>
      <x:c r="I1184" s="35"/>
      <x:c r="J1184" s="35" t="str">
        <x:v>PASS</x:v>
      </x:c>
      <x:c r="K1184" s="35" t="str">
        <x:v>FAIL</x:v>
      </x:c>
      <x:c r="L1184" s="35" t="str">
        <x:v>NOT_RUN</x:v>
      </x:c>
      <x:c r="M1184" s="35" t="str">
        <x:v>coverage unavailable or execution/compile failed</x:v>
      </x:c>
      <x:c r="N1184" s="35" t="str">
        <x:v>Deepseek-flash-v4/Result2/Compress_6/result.json</x:v>
      </x:c>
      <x:c r="O1184" s="39" t="str">
        <x:f>IF(AND(G1184="RECORDED",ISNUMBER(H1184)),H1184,"")</x:f>
      </x:c>
      <x:c r="P1184" s="35" t="str">
        <x:v>NOT_AVAILABLE</x:v>
      </x:c>
      <x:c r="Q1184" s="35" t="str">
        <x:v>Deepseek-flash-v4/Result2/Compress_6/result.json</x:v>
      </x:c>
    </x:row>
    <x:row r="1185">
      <x:c r="A1185" s="35" t="str">
        <x:v>deepseek</x:v>
      </x:c>
      <x:c r="B1185" s="35" t="str">
        <x:v>Compress</x:v>
      </x:c>
      <x:c r="C1185" s="35" t="str">
        <x:v>Round2</x:v>
      </x:c>
      <x:c r="D1185" s="35" t="str">
        <x:v>Compress_7</x:v>
      </x:c>
      <x:c r="E1185" s="35" t="str">
        <x:v>Line</x:v>
      </x:c>
      <x:c r="F1185" s="35" t="n">
        <x:v>63</x:v>
      </x:c>
      <x:c r="G1185" s="35" t="str">
        <x:v>RECORDED</x:v>
      </x:c>
      <x:c r="H1185" s="39" t="n">
        <x:f>IF(ISNUMBER('Data'!E1185),'Data'!E1185*100,"")</x:f>
        <x:v>96.83</x:v>
      </x:c>
      <x:c r="I1185" s="35" t="str">
        <x:v>PASS</x:v>
      </x:c>
      <x:c r="J1185" s="35" t="str">
        <x:v>PASS</x:v>
      </x:c>
      <x:c r="K1185" s="35" t="str">
        <x:v>PASS</x:v>
      </x:c>
      <x:c r="L1185" s="35" t="str">
        <x:v>FAIL</x:v>
      </x:c>
      <x:c r="M1185" s="35" t="str">
        <x:v>numeric coverage for applicable metric</x:v>
      </x:c>
      <x:c r="N1185" s="35" t="str">
        <x:v>Deepseek-flash-v4/Result2/Compress_7/result.json</x:v>
      </x:c>
      <x:c r="O1185" s="39" t="n">
        <x:f>IF(AND(G1185="RECORDED",ISNUMBER(H1185)),H1185,"")</x:f>
        <x:v>96.83</x:v>
      </x:c>
      <x:c r="P1185" s="35" t="str">
        <x:v>INCONCLUSIVE</x:v>
      </x:c>
      <x:c r="Q1185" s="35" t="str">
        <x:v>Deepseek-flash-v4/Result2/Compress_7/result.json</x:v>
      </x:c>
    </x:row>
    <x:row r="1186">
      <x:c r="A1186" s="35" t="str">
        <x:v>deepseek</x:v>
      </x:c>
      <x:c r="B1186" s="35" t="str">
        <x:v>Compress</x:v>
      </x:c>
      <x:c r="C1186" s="35" t="str">
        <x:v>Round2</x:v>
      </x:c>
      <x:c r="D1186" s="35" t="str">
        <x:v>Compress_8</x:v>
      </x:c>
      <x:c r="E1186" s="35" t="str">
        <x:v>Line</x:v>
      </x:c>
      <x:c r="F1186" s="35" t="n">
        <x:v>70</x:v>
      </x:c>
      <x:c r="G1186" s="35" t="str">
        <x:v>RECORDED</x:v>
      </x:c>
      <x:c r="H1186" s="39" t="n">
        <x:f>IF(ISNUMBER('Data'!E1186),'Data'!E1186*100,"")</x:f>
        <x:v>97.14</x:v>
      </x:c>
      <x:c r="I1186" s="35" t="str">
        <x:v>PASS</x:v>
      </x:c>
      <x:c r="J1186" s="35" t="str">
        <x:v>PASS</x:v>
      </x:c>
      <x:c r="K1186" s="35" t="str">
        <x:v>PASS</x:v>
      </x:c>
      <x:c r="L1186" s="35" t="str">
        <x:v>FAIL</x:v>
      </x:c>
      <x:c r="M1186" s="35" t="str">
        <x:v>numeric coverage for applicable metric</x:v>
      </x:c>
      <x:c r="N1186" s="35" t="str">
        <x:v>Deepseek-flash-v4/Result2/Compress_8/result.json</x:v>
      </x:c>
      <x:c r="O1186" s="39" t="n">
        <x:f>IF(AND(G1186="RECORDED",ISNUMBER(H1186)),H1186,"")</x:f>
        <x:v>97.14</x:v>
      </x:c>
      <x:c r="P1186" s="35" t="str">
        <x:v>INCONCLUSIVE</x:v>
      </x:c>
      <x:c r="Q1186" s="35" t="str">
        <x:v>Deepseek-flash-v4/Result2/Compress_8/result.json</x:v>
      </x:c>
    </x:row>
    <x:row r="1187">
      <x:c r="A1187" s="35" t="str">
        <x:v>deepseek</x:v>
      </x:c>
      <x:c r="B1187" s="35" t="str">
        <x:v>Compress</x:v>
      </x:c>
      <x:c r="C1187" s="35" t="str">
        <x:v>Round2</x:v>
      </x:c>
      <x:c r="D1187" s="35" t="str">
        <x:v>Compress_9</x:v>
      </x:c>
      <x:c r="E1187" s="35" t="str">
        <x:v>Line</x:v>
      </x:c>
      <x:c r="F1187" s="35" t="n">
        <x:v>110</x:v>
      </x:c>
      <x:c r="G1187" s="35" t="str">
        <x:v>RECORDED</x:v>
      </x:c>
      <x:c r="H1187" s="39" t="n">
        <x:f>IF(ISNUMBER('Data'!E1187),'Data'!E1187*100,"")</x:f>
        <x:v>77.27</x:v>
      </x:c>
      <x:c r="I1187" s="35" t="str">
        <x:v>PASS</x:v>
      </x:c>
      <x:c r="J1187" s="35" t="str">
        <x:v>PASS</x:v>
      </x:c>
      <x:c r="K1187" s="35" t="str">
        <x:v>PASS</x:v>
      </x:c>
      <x:c r="L1187" s="35" t="str">
        <x:v>FAIL</x:v>
      </x:c>
      <x:c r="M1187" s="35" t="str">
        <x:v>numeric coverage for applicable metric</x:v>
      </x:c>
      <x:c r="N1187" s="35" t="str">
        <x:v>Deepseek-flash-v4/Result2/Compress_9/result.json</x:v>
      </x:c>
      <x:c r="O1187" s="39" t="n">
        <x:f>IF(AND(G1187="RECORDED",ISNUMBER(H1187)),H1187,"")</x:f>
        <x:v>77.27</x:v>
      </x:c>
      <x:c r="P1187" s="35" t="str">
        <x:v>INCONCLUSIVE</x:v>
      </x:c>
      <x:c r="Q1187" s="35" t="str">
        <x:v>Deepseek-flash-v4/Result2/Compress_9/result.json</x:v>
      </x:c>
    </x:row>
    <x:row r="1188">
      <x:c r="A1188" s="35" t="str">
        <x:v>deepseek</x:v>
      </x:c>
      <x:c r="B1188" s="35" t="str">
        <x:v>Csv</x:v>
      </x:c>
      <x:c r="C1188" s="35" t="str">
        <x:v>Round2</x:v>
      </x:c>
      <x:c r="D1188" s="35" t="str">
        <x:v>Csv_1</x:v>
      </x:c>
      <x:c r="E1188" s="35" t="str">
        <x:v>Line</x:v>
      </x:c>
      <x:c r="F1188" s="35" t="n">
        <x:v>37</x:v>
      </x:c>
      <x:c r="G1188" s="35" t="str">
        <x:v>RECORDED</x:v>
      </x:c>
      <x:c r="H1188" s="39" t="n">
        <x:f>IF(ISNUMBER('Data'!E1188),'Data'!E1188*100,"")</x:f>
        <x:v>100</x:v>
      </x:c>
      <x:c r="I1188" s="35" t="str">
        <x:v>PASS</x:v>
      </x:c>
      <x:c r="J1188" s="35" t="str">
        <x:v>PASS</x:v>
      </x:c>
      <x:c r="K1188" s="35" t="str">
        <x:v>PASS</x:v>
      </x:c>
      <x:c r="L1188" s="35" t="str">
        <x:v>FAIL</x:v>
      </x:c>
      <x:c r="M1188" s="35" t="str">
        <x:v>numeric coverage for applicable metric</x:v>
      </x:c>
      <x:c r="N1188" s="35" t="str">
        <x:v>Deepseek-flash-v4/Result2/Csv_1/result.json</x:v>
      </x:c>
      <x:c r="O1188" s="39" t="n">
        <x:f>IF(AND(G1188="RECORDED",ISNUMBER(H1188)),H1188,"")</x:f>
        <x:v>100</x:v>
      </x:c>
      <x:c r="P1188" s="35" t="str">
        <x:v>INCONCLUSIVE</x:v>
      </x:c>
      <x:c r="Q1188" s="35" t="str">
        <x:v>Deepseek-flash-v4/Result2/Csv_1/result.json</x:v>
      </x:c>
    </x:row>
    <x:row r="1189">
      <x:c r="A1189" s="35" t="str">
        <x:v>deepseek</x:v>
      </x:c>
      <x:c r="B1189" s="35" t="str">
        <x:v>Csv</x:v>
      </x:c>
      <x:c r="C1189" s="35" t="str">
        <x:v>Round2</x:v>
      </x:c>
      <x:c r="D1189" s="35" t="str">
        <x:v>Csv_10</x:v>
      </x:c>
      <x:c r="E1189" s="35" t="str">
        <x:v>Line</x:v>
      </x:c>
      <x:c r="F1189" s="35"/>
      <x:c r="G1189" s="35" t="str">
        <x:v>A</x:v>
      </x:c>
      <x:c r="H1189" s="39" t="str">
        <x:f>IF(ISNUMBER('Data'!E1189),'Data'!E1189*100,"")</x:f>
      </x:c>
      <x:c r="I1189" s="35"/>
      <x:c r="J1189" s="35" t="str">
        <x:v>PASS</x:v>
      </x:c>
      <x:c r="K1189" s="35" t="str">
        <x:v>FAIL</x:v>
      </x:c>
      <x:c r="L1189" s="35" t="str">
        <x:v>NOT_RUN</x:v>
      </x:c>
      <x:c r="M1189" s="35" t="str">
        <x:v>coverage unavailable or execution/compile failed</x:v>
      </x:c>
      <x:c r="N1189" s="35" t="str">
        <x:v>Deepseek-flash-v4/Result2/Csv_10/result.json</x:v>
      </x:c>
      <x:c r="O1189" s="39" t="str">
        <x:f>IF(AND(G1189="RECORDED",ISNUMBER(H1189)),H1189,"")</x:f>
      </x:c>
      <x:c r="P1189" s="35" t="str">
        <x:v>NOT_AVAILABLE</x:v>
      </x:c>
      <x:c r="Q1189" s="35" t="str">
        <x:v>Deepseek-flash-v4/Result2/Csv_10/result.json</x:v>
      </x:c>
    </x:row>
    <x:row r="1190">
      <x:c r="A1190" s="35" t="str">
        <x:v>deepseek</x:v>
      </x:c>
      <x:c r="B1190" s="35" t="str">
        <x:v>Csv</x:v>
      </x:c>
      <x:c r="C1190" s="35" t="str">
        <x:v>Round2</x:v>
      </x:c>
      <x:c r="D1190" s="35" t="str">
        <x:v>Csv_11</x:v>
      </x:c>
      <x:c r="E1190" s="35" t="str">
        <x:v>Line</x:v>
      </x:c>
      <x:c r="F1190" s="35"/>
      <x:c r="G1190" s="35" t="str">
        <x:v>A</x:v>
      </x:c>
      <x:c r="H1190" s="39" t="str">
        <x:f>IF(ISNUMBER('Data'!E1190),'Data'!E1190*100,"")</x:f>
      </x:c>
      <x:c r="I1190" s="35"/>
      <x:c r="J1190" s="35" t="str">
        <x:v>PASS</x:v>
      </x:c>
      <x:c r="K1190" s="35" t="str">
        <x:v>FAIL</x:v>
      </x:c>
      <x:c r="L1190" s="35" t="str">
        <x:v>NOT_RUN</x:v>
      </x:c>
      <x:c r="M1190" s="35" t="str">
        <x:v>coverage unavailable or execution/compile failed</x:v>
      </x:c>
      <x:c r="N1190" s="35" t="str">
        <x:v>Deepseek-flash-v4/Result2/Csv_11/result.json</x:v>
      </x:c>
      <x:c r="O1190" s="39" t="str">
        <x:f>IF(AND(G1190="RECORDED",ISNUMBER(H1190)),H1190,"")</x:f>
      </x:c>
      <x:c r="P1190" s="35" t="str">
        <x:v>NOT_AVAILABLE</x:v>
      </x:c>
      <x:c r="Q1190" s="35" t="str">
        <x:v>Deepseek-flash-v4/Result2/Csv_11/result.json</x:v>
      </x:c>
    </x:row>
    <x:row r="1191">
      <x:c r="A1191" s="35" t="str">
        <x:v>deepseek</x:v>
      </x:c>
      <x:c r="B1191" s="35" t="str">
        <x:v>Csv</x:v>
      </x:c>
      <x:c r="C1191" s="35" t="str">
        <x:v>Round2</x:v>
      </x:c>
      <x:c r="D1191" s="35" t="str">
        <x:v>Csv_12</x:v>
      </x:c>
      <x:c r="E1191" s="35" t="str">
        <x:v>Line</x:v>
      </x:c>
      <x:c r="F1191" s="35" t="n">
        <x:v>184</x:v>
      </x:c>
      <x:c r="G1191" s="35" t="str">
        <x:v>RECORDED</x:v>
      </x:c>
      <x:c r="H1191" s="39" t="n">
        <x:f>IF(ISNUMBER('Data'!E1191),'Data'!E1191*100,"")</x:f>
        <x:v>74.46</x:v>
      </x:c>
      <x:c r="I1191" s="35" t="str">
        <x:v>PASS</x:v>
      </x:c>
      <x:c r="J1191" s="35" t="str">
        <x:v>PASS</x:v>
      </x:c>
      <x:c r="K1191" s="35" t="str">
        <x:v>PASS</x:v>
      </x:c>
      <x:c r="L1191" s="35" t="str">
        <x:v>FAIL</x:v>
      </x:c>
      <x:c r="M1191" s="35" t="str">
        <x:v>numeric coverage for applicable metric</x:v>
      </x:c>
      <x:c r="N1191" s="35" t="str">
        <x:v>Deepseek-flash-v4/Result2/Csv_12/result.json</x:v>
      </x:c>
      <x:c r="O1191" s="39" t="n">
        <x:f>IF(AND(G1191="RECORDED",ISNUMBER(H1191)),H1191,"")</x:f>
        <x:v>74.46</x:v>
      </x:c>
      <x:c r="P1191" s="35" t="str">
        <x:v>INCONCLUSIVE</x:v>
      </x:c>
      <x:c r="Q1191" s="35" t="str">
        <x:v>Deepseek-flash-v4/Result2/Csv_12/result.json</x:v>
      </x:c>
    </x:row>
    <x:row r="1192">
      <x:c r="A1192" s="35" t="str">
        <x:v>deepseek</x:v>
      </x:c>
      <x:c r="B1192" s="35" t="str">
        <x:v>Csv</x:v>
      </x:c>
      <x:c r="C1192" s="35" t="str">
        <x:v>Round2</x:v>
      </x:c>
      <x:c r="D1192" s="35" t="str">
        <x:v>Csv_13</x:v>
      </x:c>
      <x:c r="E1192" s="35" t="str">
        <x:v>Line</x:v>
      </x:c>
      <x:c r="F1192" s="35"/>
      <x:c r="G1192" s="35" t="str">
        <x:v>A</x:v>
      </x:c>
      <x:c r="H1192" s="39" t="str">
        <x:f>IF(ISNUMBER('Data'!E1192),'Data'!E1192*100,"")</x:f>
      </x:c>
      <x:c r="I1192" s="35"/>
      <x:c r="J1192" s="35" t="str">
        <x:v>PASS</x:v>
      </x:c>
      <x:c r="K1192" s="35" t="str">
        <x:v>FAIL</x:v>
      </x:c>
      <x:c r="L1192" s="35" t="str">
        <x:v>NOT_RUN</x:v>
      </x:c>
      <x:c r="M1192" s="35" t="str">
        <x:v>coverage unavailable or execution/compile failed</x:v>
      </x:c>
      <x:c r="N1192" s="35" t="str">
        <x:v>Deepseek-flash-v4/Result2/Csv_13/result.json</x:v>
      </x:c>
      <x:c r="O1192" s="39" t="str">
        <x:f>IF(AND(G1192="RECORDED",ISNUMBER(H1192)),H1192,"")</x:f>
      </x:c>
      <x:c r="P1192" s="35" t="str">
        <x:v>NOT_AVAILABLE</x:v>
      </x:c>
      <x:c r="Q1192" s="35" t="str">
        <x:v>Deepseek-flash-v4/Result2/Csv_13/result.json</x:v>
      </x:c>
    </x:row>
    <x:row r="1193">
      <x:c r="A1193" s="35" t="str">
        <x:v>deepseek</x:v>
      </x:c>
      <x:c r="B1193" s="35" t="str">
        <x:v>Csv</x:v>
      </x:c>
      <x:c r="C1193" s="35" t="str">
        <x:v>Round2</x:v>
      </x:c>
      <x:c r="D1193" s="35" t="str">
        <x:v>Csv_14</x:v>
      </x:c>
      <x:c r="E1193" s="35" t="str">
        <x:v>Line</x:v>
      </x:c>
      <x:c r="F1193" s="35"/>
      <x:c r="G1193" s="35" t="str">
        <x:v>A</x:v>
      </x:c>
      <x:c r="H1193" s="39" t="str">
        <x:f>IF(ISNUMBER('Data'!E1193),'Data'!E1193*100,"")</x:f>
      </x:c>
      <x:c r="I1193" s="35"/>
      <x:c r="J1193" s="35" t="str">
        <x:v>PASS</x:v>
      </x:c>
      <x:c r="K1193" s="35" t="str">
        <x:v>FAIL</x:v>
      </x:c>
      <x:c r="L1193" s="35" t="str">
        <x:v>NOT_RUN</x:v>
      </x:c>
      <x:c r="M1193" s="35" t="str">
        <x:v>coverage unavailable or execution/compile failed</x:v>
      </x:c>
      <x:c r="N1193" s="35" t="str">
        <x:v>Deepseek-flash-v4/Result2/Csv_14/result.json</x:v>
      </x:c>
      <x:c r="O1193" s="39" t="str">
        <x:f>IF(AND(G1193="RECORDED",ISNUMBER(H1193)),H1193,"")</x:f>
      </x:c>
      <x:c r="P1193" s="35" t="str">
        <x:v>NOT_AVAILABLE</x:v>
      </x:c>
      <x:c r="Q1193" s="35" t="str">
        <x:v>Deepseek-flash-v4/Result2/Csv_14/result.json</x:v>
      </x:c>
    </x:row>
    <x:row r="1194">
      <x:c r="A1194" s="35" t="str">
        <x:v>deepseek</x:v>
      </x:c>
      <x:c r="B1194" s="35" t="str">
        <x:v>Csv</x:v>
      </x:c>
      <x:c r="C1194" s="35" t="str">
        <x:v>Round2</x:v>
      </x:c>
      <x:c r="D1194" s="35" t="str">
        <x:v>Csv_15</x:v>
      </x:c>
      <x:c r="E1194" s="35" t="str">
        <x:v>Line</x:v>
      </x:c>
      <x:c r="F1194" s="35" t="n">
        <x:v>397</x:v>
      </x:c>
      <x:c r="G1194" s="35" t="str">
        <x:v>RECORDED</x:v>
      </x:c>
      <x:c r="H1194" s="39" t="n">
        <x:f>IF(ISNUMBER('Data'!E1194),'Data'!E1194*100,"")</x:f>
        <x:v>65.49</x:v>
      </x:c>
      <x:c r="I1194" s="35" t="str">
        <x:v>PASS</x:v>
      </x:c>
      <x:c r="J1194" s="35" t="str">
        <x:v>PASS</x:v>
      </x:c>
      <x:c r="K1194" s="35" t="str">
        <x:v>PASS</x:v>
      </x:c>
      <x:c r="L1194" s="35" t="str">
        <x:v>FAIL</x:v>
      </x:c>
      <x:c r="M1194" s="35" t="str">
        <x:v>numeric coverage for applicable metric</x:v>
      </x:c>
      <x:c r="N1194" s="35" t="str">
        <x:v>Deepseek-flash-v4/Result2/Csv_15/result.json</x:v>
      </x:c>
      <x:c r="O1194" s="39" t="n">
        <x:f>IF(AND(G1194="RECORDED",ISNUMBER(H1194)),H1194,"")</x:f>
        <x:v>65.49</x:v>
      </x:c>
      <x:c r="P1194" s="35" t="str">
        <x:v>INCONCLUSIVE</x:v>
      </x:c>
      <x:c r="Q1194" s="35" t="str">
        <x:v>Deepseek-flash-v4/Result2/Csv_15/result.json</x:v>
      </x:c>
    </x:row>
    <x:row r="1195">
      <x:c r="A1195" s="35" t="str">
        <x:v>deepseek</x:v>
      </x:c>
      <x:c r="B1195" s="35" t="str">
        <x:v>Csv</x:v>
      </x:c>
      <x:c r="C1195" s="35" t="str">
        <x:v>Round2</x:v>
      </x:c>
      <x:c r="D1195" s="35" t="str">
        <x:v>Csv_16</x:v>
      </x:c>
      <x:c r="E1195" s="35" t="str">
        <x:v>Line</x:v>
      </x:c>
      <x:c r="F1195" s="35" t="n">
        <x:v>121</x:v>
      </x:c>
      <x:c r="G1195" s="35" t="str">
        <x:v>RECORDED</x:v>
      </x:c>
      <x:c r="H1195" s="39" t="n">
        <x:f>IF(ISNUMBER('Data'!E1195),'Data'!E1195*100,"")</x:f>
        <x:v>69.42</x:v>
      </x:c>
      <x:c r="I1195" s="35" t="str">
        <x:v>PASS</x:v>
      </x:c>
      <x:c r="J1195" s="35" t="str">
        <x:v>PASS</x:v>
      </x:c>
      <x:c r="K1195" s="35" t="str">
        <x:v>PASS</x:v>
      </x:c>
      <x:c r="L1195" s="35" t="str">
        <x:v>FAIL</x:v>
      </x:c>
      <x:c r="M1195" s="35" t="str">
        <x:v>numeric coverage for applicable metric</x:v>
      </x:c>
      <x:c r="N1195" s="35" t="str">
        <x:v>Deepseek-flash-v4/Result2/Csv_16/result.json</x:v>
      </x:c>
      <x:c r="O1195" s="39" t="n">
        <x:f>IF(AND(G1195="RECORDED",ISNUMBER(H1195)),H1195,"")</x:f>
        <x:v>69.42</x:v>
      </x:c>
      <x:c r="P1195" s="35" t="str">
        <x:v>INCONCLUSIVE</x:v>
      </x:c>
      <x:c r="Q1195" s="35" t="str">
        <x:v>Deepseek-flash-v4/Result2/Csv_16/result.json</x:v>
      </x:c>
    </x:row>
    <x:row r="1196">
      <x:c r="A1196" s="35" t="str">
        <x:v>deepseek</x:v>
      </x:c>
      <x:c r="B1196" s="35" t="str">
        <x:v>Csv</x:v>
      </x:c>
      <x:c r="C1196" s="35" t="str">
        <x:v>Round2</x:v>
      </x:c>
      <x:c r="D1196" s="35" t="str">
        <x:v>Csv_2</x:v>
      </x:c>
      <x:c r="E1196" s="35" t="str">
        <x:v>Line</x:v>
      </x:c>
      <x:c r="F1196" s="35" t="n">
        <x:v>21</x:v>
      </x:c>
      <x:c r="G1196" s="35" t="str">
        <x:v>RECORDED</x:v>
      </x:c>
      <x:c r="H1196" s="39" t="n">
        <x:f>IF(ISNUMBER('Data'!E1196),'Data'!E1196*100,"")</x:f>
        <x:v>100</x:v>
      </x:c>
      <x:c r="I1196" s="35" t="str">
        <x:v>PASS</x:v>
      </x:c>
      <x:c r="J1196" s="35" t="str">
        <x:v>PASS</x:v>
      </x:c>
      <x:c r="K1196" s="35" t="str">
        <x:v>PASS</x:v>
      </x:c>
      <x:c r="L1196" s="35" t="str">
        <x:v>PASS</x:v>
      </x:c>
      <x:c r="M1196" s="35" t="str">
        <x:v>numeric coverage for applicable metric</x:v>
      </x:c>
      <x:c r="N1196" s="35" t="str">
        <x:v>Deepseek-flash-v4/Result2/Csv_2/result.json</x:v>
      </x:c>
      <x:c r="O1196" s="39" t="n">
        <x:f>IF(AND(G1196="RECORDED",ISNUMBER(H1196)),H1196,"")</x:f>
        <x:v>100</x:v>
      </x:c>
      <x:c r="P1196" s="35" t="str">
        <x:v>NOT_REVEALING</x:v>
      </x:c>
      <x:c r="Q1196" s="35" t="str">
        <x:v>Deepseek-flash-v4/Result2/Csv_2/result.json</x:v>
      </x:c>
    </x:row>
    <x:row r="1197">
      <x:c r="A1197" s="35" t="str">
        <x:v>deepseek</x:v>
      </x:c>
      <x:c r="B1197" s="35" t="str">
        <x:v>Csv</x:v>
      </x:c>
      <x:c r="C1197" s="35" t="str">
        <x:v>Round2</x:v>
      </x:c>
      <x:c r="D1197" s="35" t="str">
        <x:v>Csv_3</x:v>
      </x:c>
      <x:c r="E1197" s="35" t="str">
        <x:v>Line</x:v>
      </x:c>
      <x:c r="F1197" s="35"/>
      <x:c r="G1197" s="35" t="str">
        <x:v>A</x:v>
      </x:c>
      <x:c r="H1197" s="39" t="str">
        <x:f>IF(ISNUMBER('Data'!E1197),'Data'!E1197*100,"")</x:f>
      </x:c>
      <x:c r="I1197" s="35"/>
      <x:c r="J1197" s="35" t="str">
        <x:v>PASS</x:v>
      </x:c>
      <x:c r="K1197" s="35" t="str">
        <x:v>FAIL</x:v>
      </x:c>
      <x:c r="L1197" s="35" t="str">
        <x:v>NOT_RUN</x:v>
      </x:c>
      <x:c r="M1197" s="35" t="str">
        <x:v>coverage unavailable or execution/compile failed</x:v>
      </x:c>
      <x:c r="N1197" s="35" t="str">
        <x:v>Deepseek-flash-v4/Result2/Csv_3/result.json</x:v>
      </x:c>
      <x:c r="O1197" s="39" t="str">
        <x:f>IF(AND(G1197="RECORDED",ISNUMBER(H1197)),H1197,"")</x:f>
      </x:c>
      <x:c r="P1197" s="35" t="str">
        <x:v>NOT_AVAILABLE</x:v>
      </x:c>
      <x:c r="Q1197" s="35" t="str">
        <x:v>Deepseek-flash-v4/Result2/Csv_3/result.json</x:v>
      </x:c>
    </x:row>
    <x:row r="1198">
      <x:c r="A1198" s="35" t="str">
        <x:v>deepseek</x:v>
      </x:c>
      <x:c r="B1198" s="35" t="str">
        <x:v>Csv</x:v>
      </x:c>
      <x:c r="C1198" s="35" t="str">
        <x:v>Round2</x:v>
      </x:c>
      <x:c r="D1198" s="35" t="str">
        <x:v>Csv_4</x:v>
      </x:c>
      <x:c r="E1198" s="35" t="str">
        <x:v>Line</x:v>
      </x:c>
      <x:c r="F1198" s="35"/>
      <x:c r="G1198" s="35" t="str">
        <x:v>A</x:v>
      </x:c>
      <x:c r="H1198" s="39" t="str">
        <x:f>IF(ISNUMBER('Data'!E1198),'Data'!E1198*100,"")</x:f>
      </x:c>
      <x:c r="I1198" s="35"/>
      <x:c r="J1198" s="35" t="str">
        <x:v>PASS</x:v>
      </x:c>
      <x:c r="K1198" s="35" t="str">
        <x:v>FAIL</x:v>
      </x:c>
      <x:c r="L1198" s="35" t="str">
        <x:v>NOT_RUN</x:v>
      </x:c>
      <x:c r="M1198" s="35" t="str">
        <x:v>coverage unavailable or execution/compile failed</x:v>
      </x:c>
      <x:c r="N1198" s="35" t="str">
        <x:v>Deepseek-flash-v4/Result2/Csv_4/result.json</x:v>
      </x:c>
      <x:c r="O1198" s="39" t="str">
        <x:f>IF(AND(G1198="RECORDED",ISNUMBER(H1198)),H1198,"")</x:f>
      </x:c>
      <x:c r="P1198" s="35" t="str">
        <x:v>NOT_AVAILABLE</x:v>
      </x:c>
      <x:c r="Q1198" s="35" t="str">
        <x:v>Deepseek-flash-v4/Result2/Csv_4/result.json</x:v>
      </x:c>
    </x:row>
    <x:row r="1199">
      <x:c r="A1199" s="35" t="str">
        <x:v>deepseek</x:v>
      </x:c>
      <x:c r="B1199" s="35" t="str">
        <x:v>Csv</x:v>
      </x:c>
      <x:c r="C1199" s="35" t="str">
        <x:v>Round2</x:v>
      </x:c>
      <x:c r="D1199" s="35" t="str">
        <x:v>Csv_5</x:v>
      </x:c>
      <x:c r="E1199" s="35" t="str">
        <x:v>Line</x:v>
      </x:c>
      <x:c r="F1199" s="35"/>
      <x:c r="G1199" s="35" t="str">
        <x:v>A</x:v>
      </x:c>
      <x:c r="H1199" s="39" t="str">
        <x:f>IF(ISNUMBER('Data'!E1199),'Data'!E1199*100,"")</x:f>
      </x:c>
      <x:c r="I1199" s="35"/>
      <x:c r="J1199" s="35" t="str">
        <x:v>PASS</x:v>
      </x:c>
      <x:c r="K1199" s="35" t="str">
        <x:v>FAIL</x:v>
      </x:c>
      <x:c r="L1199" s="35" t="str">
        <x:v>NOT_RUN</x:v>
      </x:c>
      <x:c r="M1199" s="35" t="str">
        <x:v>coverage unavailable or execution/compile failed</x:v>
      </x:c>
      <x:c r="N1199" s="35" t="str">
        <x:v>Deepseek-flash-v4/Result2/Csv_5/result.json</x:v>
      </x:c>
      <x:c r="O1199" s="39" t="str">
        <x:f>IF(AND(G1199="RECORDED",ISNUMBER(H1199)),H1199,"")</x:f>
      </x:c>
      <x:c r="P1199" s="35" t="str">
        <x:v>NOT_AVAILABLE</x:v>
      </x:c>
      <x:c r="Q1199" s="35" t="str">
        <x:v>Deepseek-flash-v4/Result2/Csv_5/result.json</x:v>
      </x:c>
    </x:row>
    <x:row r="1200">
      <x:c r="A1200" s="35" t="str">
        <x:v>deepseek</x:v>
      </x:c>
      <x:c r="B1200" s="35" t="str">
        <x:v>Csv</x:v>
      </x:c>
      <x:c r="C1200" s="35" t="str">
        <x:v>Round2</x:v>
      </x:c>
      <x:c r="D1200" s="35" t="str">
        <x:v>Csv_6</x:v>
      </x:c>
      <x:c r="E1200" s="35" t="str">
        <x:v>Line</x:v>
      </x:c>
      <x:c r="F1200" s="35" t="n">
        <x:v>35</x:v>
      </x:c>
      <x:c r="G1200" s="35" t="str">
        <x:v>RECORDED</x:v>
      </x:c>
      <x:c r="H1200" s="39" t="n">
        <x:f>IF(ISNUMBER('Data'!E1200),'Data'!E1200*100,"")</x:f>
        <x:v>88.57</x:v>
      </x:c>
      <x:c r="I1200" s="35" t="str">
        <x:v>PASS</x:v>
      </x:c>
      <x:c r="J1200" s="35" t="str">
        <x:v>PASS</x:v>
      </x:c>
      <x:c r="K1200" s="35" t="str">
        <x:v>PASS</x:v>
      </x:c>
      <x:c r="L1200" s="35" t="str">
        <x:v>FAIL</x:v>
      </x:c>
      <x:c r="M1200" s="35" t="str">
        <x:v>numeric coverage for applicable metric</x:v>
      </x:c>
      <x:c r="N1200" s="35" t="str">
        <x:v>Deepseek-flash-v4/Result2/Csv_6/result.json</x:v>
      </x:c>
      <x:c r="O1200" s="39" t="n">
        <x:f>IF(AND(G1200="RECORDED",ISNUMBER(H1200)),H1200,"")</x:f>
        <x:v>88.57</x:v>
      </x:c>
      <x:c r="P1200" s="35" t="str">
        <x:v>INCONCLUSIVE</x:v>
      </x:c>
      <x:c r="Q1200" s="35" t="str">
        <x:v>Deepseek-flash-v4/Result2/Csv_6/result.json</x:v>
      </x:c>
    </x:row>
    <x:row r="1201">
      <x:c r="A1201" s="35" t="str">
        <x:v>deepseek</x:v>
      </x:c>
      <x:c r="B1201" s="35" t="str">
        <x:v>Csv</x:v>
      </x:c>
      <x:c r="C1201" s="35" t="str">
        <x:v>Round2</x:v>
      </x:c>
      <x:c r="D1201" s="35" t="str">
        <x:v>Csv_7</x:v>
      </x:c>
      <x:c r="E1201" s="35" t="str">
        <x:v>Line</x:v>
      </x:c>
      <x:c r="F1201" s="35" t="n">
        <x:v>101</x:v>
      </x:c>
      <x:c r="G1201" s="35" t="str">
        <x:v>RECORDED</x:v>
      </x:c>
      <x:c r="H1201" s="39" t="n">
        <x:f>IF(ISNUMBER('Data'!E1201),'Data'!E1201*100,"")</x:f>
        <x:v>77.23</x:v>
      </x:c>
      <x:c r="I1201" s="35" t="str">
        <x:v>PASS</x:v>
      </x:c>
      <x:c r="J1201" s="35" t="str">
        <x:v>PASS</x:v>
      </x:c>
      <x:c r="K1201" s="35" t="str">
        <x:v>PASS</x:v>
      </x:c>
      <x:c r="L1201" s="35" t="str">
        <x:v>FAIL</x:v>
      </x:c>
      <x:c r="M1201" s="35" t="str">
        <x:v>numeric coverage for applicable metric</x:v>
      </x:c>
      <x:c r="N1201" s="35" t="str">
        <x:v>Deepseek-flash-v4/Result2/Csv_7/result.json</x:v>
      </x:c>
      <x:c r="O1201" s="39" t="n">
        <x:f>IF(AND(G1201="RECORDED",ISNUMBER(H1201)),H1201,"")</x:f>
        <x:v>77.23</x:v>
      </x:c>
      <x:c r="P1201" s="35" t="str">
        <x:v>INCONCLUSIVE</x:v>
      </x:c>
      <x:c r="Q1201" s="35" t="str">
        <x:v>Deepseek-flash-v4/Result2/Csv_7/result.json</x:v>
      </x:c>
    </x:row>
    <x:row r="1202">
      <x:c r="A1202" s="35" t="str">
        <x:v>deepseek</x:v>
      </x:c>
      <x:c r="B1202" s="35" t="str">
        <x:v>Csv</x:v>
      </x:c>
      <x:c r="C1202" s="35" t="str">
        <x:v>Round2</x:v>
      </x:c>
      <x:c r="D1202" s="35" t="str">
        <x:v>Csv_8</x:v>
      </x:c>
      <x:c r="E1202" s="35" t="str">
        <x:v>Line</x:v>
      </x:c>
      <x:c r="F1202" s="35" t="n">
        <x:v>179</x:v>
      </x:c>
      <x:c r="G1202" s="35" t="str">
        <x:v>RECORDED</x:v>
      </x:c>
      <x:c r="H1202" s="39" t="n">
        <x:f>IF(ISNUMBER('Data'!E1202),'Data'!E1202*100,"")</x:f>
        <x:v>84.36</x:v>
      </x:c>
      <x:c r="I1202" s="35" t="str">
        <x:v>PASS</x:v>
      </x:c>
      <x:c r="J1202" s="35" t="str">
        <x:v>PASS</x:v>
      </x:c>
      <x:c r="K1202" s="35" t="str">
        <x:v>PASS</x:v>
      </x:c>
      <x:c r="L1202" s="35" t="str">
        <x:v>PASS</x:v>
      </x:c>
      <x:c r="M1202" s="35" t="str">
        <x:v>numeric coverage for applicable metric</x:v>
      </x:c>
      <x:c r="N1202" s="35" t="str">
        <x:v>Deepseek-flash-v4/Result2/Csv_8/result.json</x:v>
      </x:c>
      <x:c r="O1202" s="39" t="n">
        <x:f>IF(AND(G1202="RECORDED",ISNUMBER(H1202)),H1202,"")</x:f>
        <x:v>84.36</x:v>
      </x:c>
      <x:c r="P1202" s="35" t="str">
        <x:v>INCONCLUSIVE</x:v>
      </x:c>
      <x:c r="Q1202" s="35" t="str">
        <x:v>Deepseek-flash-v4/Result2/Csv_8/result.json</x:v>
      </x:c>
    </x:row>
    <x:row r="1203">
      <x:c r="A1203" s="35" t="str">
        <x:v>deepseek</x:v>
      </x:c>
      <x:c r="B1203" s="35" t="str">
        <x:v>Csv</x:v>
      </x:c>
      <x:c r="C1203" s="35" t="str">
        <x:v>Round2</x:v>
      </x:c>
      <x:c r="D1203" s="35" t="str">
        <x:v>Csv_9</x:v>
      </x:c>
      <x:c r="E1203" s="35" t="str">
        <x:v>Line</x:v>
      </x:c>
      <x:c r="F1203" s="35" t="n">
        <x:v>36</x:v>
      </x:c>
      <x:c r="G1203" s="35" t="str">
        <x:v>RECORDED</x:v>
      </x:c>
      <x:c r="H1203" s="39" t="n">
        <x:f>IF(ISNUMBER('Data'!E1203),'Data'!E1203*100,"")</x:f>
        <x:v>100</x:v>
      </x:c>
      <x:c r="I1203" s="35" t="str">
        <x:v>PASS</x:v>
      </x:c>
      <x:c r="J1203" s="35" t="str">
        <x:v>PASS</x:v>
      </x:c>
      <x:c r="K1203" s="35" t="str">
        <x:v>PASS</x:v>
      </x:c>
      <x:c r="L1203" s="35" t="str">
        <x:v>FAIL</x:v>
      </x:c>
      <x:c r="M1203" s="35" t="str">
        <x:v>numeric coverage for applicable metric</x:v>
      </x:c>
      <x:c r="N1203" s="35" t="str">
        <x:v>Deepseek-flash-v4/Result2/Csv_9/result.json</x:v>
      </x:c>
      <x:c r="O1203" s="39" t="n">
        <x:f>IF(AND(G1203="RECORDED",ISNUMBER(H1203)),H1203,"")</x:f>
        <x:v>100</x:v>
      </x:c>
      <x:c r="P1203" s="35" t="str">
        <x:v>INCONCLUSIVE</x:v>
      </x:c>
      <x:c r="Q1203" s="35" t="str">
        <x:v>Deepseek-flash-v4/Result2/Csv_9/result.json</x:v>
      </x:c>
    </x:row>
    <x:row r="1204">
      <x:c r="A1204" s="35" t="str">
        <x:v>deepseek</x:v>
      </x:c>
      <x:c r="B1204" s="35" t="str">
        <x:v>Gson</x:v>
      </x:c>
      <x:c r="C1204" s="35" t="str">
        <x:v>Round2</x:v>
      </x:c>
      <x:c r="D1204" s="35" t="str">
        <x:v>Gson_1</x:v>
      </x:c>
      <x:c r="E1204" s="35" t="str">
        <x:v>Line</x:v>
      </x:c>
      <x:c r="F1204" s="35" t="n">
        <x:v>47</x:v>
      </x:c>
      <x:c r="G1204" s="35" t="str">
        <x:v>RECORDED</x:v>
      </x:c>
      <x:c r="H1204" s="39" t="n">
        <x:f>IF(ISNUMBER('Data'!E1204),'Data'!E1204*100,"")</x:f>
        <x:v>63.83</x:v>
      </x:c>
      <x:c r="I1204" s="35" t="str">
        <x:v>PASS</x:v>
      </x:c>
      <x:c r="J1204" s="35" t="str">
        <x:v>PASS</x:v>
      </x:c>
      <x:c r="K1204" s="35" t="str">
        <x:v>PASS</x:v>
      </x:c>
      <x:c r="L1204" s="35" t="str">
        <x:v>FAIL</x:v>
      </x:c>
      <x:c r="M1204" s="35" t="str">
        <x:v>numeric coverage for applicable metric</x:v>
      </x:c>
      <x:c r="N1204" s="35" t="str">
        <x:v>Deepseek-flash-v4/Result2/Gson_1/result.json</x:v>
      </x:c>
      <x:c r="O1204" s="39" t="n">
        <x:f>IF(AND(G1204="RECORDED",ISNUMBER(H1204)),H1204,"")</x:f>
        <x:v>63.83</x:v>
      </x:c>
      <x:c r="P1204" s="35" t="str">
        <x:v>INCONCLUSIVE</x:v>
      </x:c>
      <x:c r="Q1204" s="35" t="str">
        <x:v>Deepseek-flash-v4/Result2/Gson_1/result.json</x:v>
      </x:c>
    </x:row>
    <x:row r="1205">
      <x:c r="A1205" s="35" t="str">
        <x:v>deepseek</x:v>
      </x:c>
      <x:c r="B1205" s="35" t="str">
        <x:v>Gson</x:v>
      </x:c>
      <x:c r="C1205" s="35" t="str">
        <x:v>Round2</x:v>
      </x:c>
      <x:c r="D1205" s="35" t="str">
        <x:v>Gson_10</x:v>
      </x:c>
      <x:c r="E1205" s="35" t="str">
        <x:v>Line</x:v>
      </x:c>
      <x:c r="F1205" s="35"/>
      <x:c r="G1205" s="35" t="str">
        <x:v>A</x:v>
      </x:c>
      <x:c r="H1205" s="39" t="str">
        <x:f>IF(ISNUMBER('Data'!E1205),'Data'!E1205*100,"")</x:f>
      </x:c>
      <x:c r="I1205" s="35"/>
      <x:c r="J1205" s="35" t="str">
        <x:v>PASS</x:v>
      </x:c>
      <x:c r="K1205" s="35" t="str">
        <x:v>FAIL</x:v>
      </x:c>
      <x:c r="L1205" s="35" t="str">
        <x:v>NOT_RUN</x:v>
      </x:c>
      <x:c r="M1205" s="35" t="str">
        <x:v>coverage unavailable or execution/compile failed</x:v>
      </x:c>
      <x:c r="N1205" s="35" t="str">
        <x:v>Deepseek-flash-v4/Result2/Gson_10/result.json</x:v>
      </x:c>
      <x:c r="O1205" s="39" t="str">
        <x:f>IF(AND(G1205="RECORDED",ISNUMBER(H1205)),H1205,"")</x:f>
      </x:c>
      <x:c r="P1205" s="35" t="str">
        <x:v>NOT_AVAILABLE</x:v>
      </x:c>
      <x:c r="Q1205" s="35" t="str">
        <x:v>Deepseek-flash-v4/Result2/Gson_10/result.json</x:v>
      </x:c>
    </x:row>
    <x:row r="1206">
      <x:c r="A1206" s="35" t="str">
        <x:v>deepseek</x:v>
      </x:c>
      <x:c r="B1206" s="35" t="str">
        <x:v>Gson</x:v>
      </x:c>
      <x:c r="C1206" s="35" t="str">
        <x:v>Round2</x:v>
      </x:c>
      <x:c r="D1206" s="35" t="str">
        <x:v>Gson_11</x:v>
      </x:c>
      <x:c r="E1206" s="35" t="str">
        <x:v>Line</x:v>
      </x:c>
      <x:c r="F1206" s="35" t="n">
        <x:v>500</x:v>
      </x:c>
      <x:c r="G1206" s="35" t="str">
        <x:v>RECORDED</x:v>
      </x:c>
      <x:c r="H1206" s="39" t="n">
        <x:f>IF(ISNUMBER('Data'!E1206),'Data'!E1206*100,"")</x:f>
        <x:v>83.8</x:v>
      </x:c>
      <x:c r="I1206" s="35" t="str">
        <x:v>PASS</x:v>
      </x:c>
      <x:c r="J1206" s="35" t="str">
        <x:v>PASS</x:v>
      </x:c>
      <x:c r="K1206" s="35" t="str">
        <x:v>PASS</x:v>
      </x:c>
      <x:c r="L1206" s="35" t="str">
        <x:v>PASS</x:v>
      </x:c>
      <x:c r="M1206" s="35" t="str">
        <x:v>numeric coverage for applicable metric</x:v>
      </x:c>
      <x:c r="N1206" s="35" t="str">
        <x:v>Deepseek-flash-v4/Result2/Gson_11/result.json</x:v>
      </x:c>
      <x:c r="O1206" s="39" t="n">
        <x:f>IF(AND(G1206="RECORDED",ISNUMBER(H1206)),H1206,"")</x:f>
        <x:v>83.8</x:v>
      </x:c>
      <x:c r="P1206" s="35" t="str">
        <x:v>INCONCLUSIVE</x:v>
      </x:c>
      <x:c r="Q1206" s="35" t="str">
        <x:v>Deepseek-flash-v4/Result2/Gson_11/result.json</x:v>
      </x:c>
    </x:row>
    <x:row r="1207">
      <x:c r="A1207" s="35" t="str">
        <x:v>deepseek</x:v>
      </x:c>
      <x:c r="B1207" s="35" t="str">
        <x:v>Gson</x:v>
      </x:c>
      <x:c r="C1207" s="35" t="str">
        <x:v>Round2</x:v>
      </x:c>
      <x:c r="D1207" s="35" t="str">
        <x:v>Gson_12</x:v>
      </x:c>
      <x:c r="E1207" s="35" t="str">
        <x:v>Line</x:v>
      </x:c>
      <x:c r="F1207" s="35" t="n">
        <x:v>168</x:v>
      </x:c>
      <x:c r="G1207" s="35" t="str">
        <x:v>RECORDED</x:v>
      </x:c>
      <x:c r="H1207" s="39" t="n">
        <x:f>IF(ISNUMBER('Data'!E1207),'Data'!E1207*100,"")</x:f>
        <x:v>87.5</x:v>
      </x:c>
      <x:c r="I1207" s="35" t="str">
        <x:v>PASS</x:v>
      </x:c>
      <x:c r="J1207" s="35" t="str">
        <x:v>PASS</x:v>
      </x:c>
      <x:c r="K1207" s="35" t="str">
        <x:v>PASS</x:v>
      </x:c>
      <x:c r="L1207" s="35" t="str">
        <x:v>PASS</x:v>
      </x:c>
      <x:c r="M1207" s="35" t="str">
        <x:v>numeric coverage for applicable metric</x:v>
      </x:c>
      <x:c r="N1207" s="35" t="str">
        <x:v>Deepseek-flash-v4/Result2/Gson_12/result.json</x:v>
      </x:c>
      <x:c r="O1207" s="39" t="n">
        <x:f>IF(AND(G1207="RECORDED",ISNUMBER(H1207)),H1207,"")</x:f>
        <x:v>87.5</x:v>
      </x:c>
      <x:c r="P1207" s="35" t="str">
        <x:v>NOT_REVEALING</x:v>
      </x:c>
      <x:c r="Q1207" s="35" t="str">
        <x:v>Deepseek-flash-v4/Result2/Gson_12/result.json</x:v>
      </x:c>
    </x:row>
    <x:row r="1208">
      <x:c r="A1208" s="35" t="str">
        <x:v>deepseek</x:v>
      </x:c>
      <x:c r="B1208" s="35" t="str">
        <x:v>Gson</x:v>
      </x:c>
      <x:c r="C1208" s="35" t="str">
        <x:v>Round2</x:v>
      </x:c>
      <x:c r="D1208" s="35" t="str">
        <x:v>Gson_13</x:v>
      </x:c>
      <x:c r="E1208" s="35" t="str">
        <x:v>Line</x:v>
      </x:c>
      <x:c r="F1208" s="35" t="n">
        <x:v>683</x:v>
      </x:c>
      <x:c r="G1208" s="35" t="str">
        <x:v>RECORDED</x:v>
      </x:c>
      <x:c r="H1208" s="39" t="n">
        <x:f>IF(ISNUMBER('Data'!E1208),'Data'!E1208*100,"")</x:f>
        <x:v>62.23</x:v>
      </x:c>
      <x:c r="I1208" s="35" t="str">
        <x:v>PASS</x:v>
      </x:c>
      <x:c r="J1208" s="35" t="str">
        <x:v>PASS</x:v>
      </x:c>
      <x:c r="K1208" s="35" t="str">
        <x:v>PASS</x:v>
      </x:c>
      <x:c r="L1208" s="35" t="str">
        <x:v>FAIL</x:v>
      </x:c>
      <x:c r="M1208" s="35" t="str">
        <x:v>numeric coverage for applicable metric</x:v>
      </x:c>
      <x:c r="N1208" s="35" t="str">
        <x:v>Deepseek-flash-v4/Result2/Gson_13/result.json</x:v>
      </x:c>
      <x:c r="O1208" s="39" t="n">
        <x:f>IF(AND(G1208="RECORDED",ISNUMBER(H1208)),H1208,"")</x:f>
        <x:v>62.23</x:v>
      </x:c>
      <x:c r="P1208" s="35" t="str">
        <x:v>INCONCLUSIVE</x:v>
      </x:c>
      <x:c r="Q1208" s="35" t="str">
        <x:v>Deepseek-flash-v4/Result2/Gson_13/result.json</x:v>
      </x:c>
    </x:row>
    <x:row r="1209">
      <x:c r="A1209" s="35" t="str">
        <x:v>deepseek</x:v>
      </x:c>
      <x:c r="B1209" s="35" t="str">
        <x:v>Gson</x:v>
      </x:c>
      <x:c r="C1209" s="35" t="str">
        <x:v>Round2</x:v>
      </x:c>
      <x:c r="D1209" s="35" t="str">
        <x:v>Gson_14</x:v>
      </x:c>
      <x:c r="E1209" s="35" t="str">
        <x:v>Line</x:v>
      </x:c>
      <x:c r="F1209" s="35" t="n">
        <x:v>238</x:v>
      </x:c>
      <x:c r="G1209" s="35" t="str">
        <x:v>RECORDED</x:v>
      </x:c>
      <x:c r="H1209" s="39" t="n">
        <x:f>IF(ISNUMBER('Data'!E1209),'Data'!E1209*100,"")</x:f>
        <x:v>79.41</x:v>
      </x:c>
      <x:c r="I1209" s="35" t="str">
        <x:v>PASS</x:v>
      </x:c>
      <x:c r="J1209" s="35" t="str">
        <x:v>PASS</x:v>
      </x:c>
      <x:c r="K1209" s="35" t="str">
        <x:v>PASS</x:v>
      </x:c>
      <x:c r="L1209" s="35" t="str">
        <x:v>FAIL</x:v>
      </x:c>
      <x:c r="M1209" s="35" t="str">
        <x:v>numeric coverage for applicable metric</x:v>
      </x:c>
      <x:c r="N1209" s="35" t="str">
        <x:v>Deepseek-flash-v4/Result2/Gson_14/result.json</x:v>
      </x:c>
      <x:c r="O1209" s="39" t="n">
        <x:f>IF(AND(G1209="RECORDED",ISNUMBER(H1209)),H1209,"")</x:f>
        <x:v>79.41</x:v>
      </x:c>
      <x:c r="P1209" s="35" t="str">
        <x:v>INCONCLUSIVE</x:v>
      </x:c>
      <x:c r="Q1209" s="35" t="str">
        <x:v>Deepseek-flash-v4/Result2/Gson_14/result.json</x:v>
      </x:c>
    </x:row>
    <x:row r="1210">
      <x:c r="A1210" s="35" t="str">
        <x:v>deepseek</x:v>
      </x:c>
      <x:c r="B1210" s="35" t="str">
        <x:v>Gson</x:v>
      </x:c>
      <x:c r="C1210" s="35" t="str">
        <x:v>Round2</x:v>
      </x:c>
      <x:c r="D1210" s="35" t="str">
        <x:v>Gson_15</x:v>
      </x:c>
      <x:c r="E1210" s="35" t="str">
        <x:v>Line</x:v>
      </x:c>
      <x:c r="F1210" s="35" t="n">
        <x:v>198</x:v>
      </x:c>
      <x:c r="G1210" s="35" t="str">
        <x:v>RECORDED</x:v>
      </x:c>
      <x:c r="H1210" s="39" t="n">
        <x:f>IF(ISNUMBER('Data'!E1210),'Data'!E1210*100,"")</x:f>
        <x:v>78.28</x:v>
      </x:c>
      <x:c r="I1210" s="35" t="str">
        <x:v>PASS</x:v>
      </x:c>
      <x:c r="J1210" s="35" t="str">
        <x:v>PASS</x:v>
      </x:c>
      <x:c r="K1210" s="35" t="str">
        <x:v>PASS</x:v>
      </x:c>
      <x:c r="L1210" s="35" t="str">
        <x:v>FAIL</x:v>
      </x:c>
      <x:c r="M1210" s="35" t="str">
        <x:v>numeric coverage for applicable metric</x:v>
      </x:c>
      <x:c r="N1210" s="35" t="str">
        <x:v>Deepseek-flash-v4/Result2/Gson_15/result.json</x:v>
      </x:c>
      <x:c r="O1210" s="39" t="n">
        <x:f>IF(AND(G1210="RECORDED",ISNUMBER(H1210)),H1210,"")</x:f>
        <x:v>78.28</x:v>
      </x:c>
      <x:c r="P1210" s="35" t="str">
        <x:v>INCONCLUSIVE</x:v>
      </x:c>
      <x:c r="Q1210" s="35" t="str">
        <x:v>Deepseek-flash-v4/Result2/Gson_15/result.json</x:v>
      </x:c>
    </x:row>
    <x:row r="1211">
      <x:c r="A1211" s="35" t="str">
        <x:v>deepseek</x:v>
      </x:c>
      <x:c r="B1211" s="35" t="str">
        <x:v>Gson</x:v>
      </x:c>
      <x:c r="C1211" s="35" t="str">
        <x:v>Round2</x:v>
      </x:c>
      <x:c r="D1211" s="35" t="str">
        <x:v>Gson_16</x:v>
      </x:c>
      <x:c r="E1211" s="35" t="str">
        <x:v>Line</x:v>
      </x:c>
      <x:c r="F1211" s="35" t="n">
        <x:v>243</x:v>
      </x:c>
      <x:c r="G1211" s="35" t="str">
        <x:v>RECORDED</x:v>
      </x:c>
      <x:c r="H1211" s="39" t="n">
        <x:f>IF(ISNUMBER('Data'!E1211),'Data'!E1211*100,"")</x:f>
        <x:v>83.54</x:v>
      </x:c>
      <x:c r="I1211" s="35" t="str">
        <x:v>PASS</x:v>
      </x:c>
      <x:c r="J1211" s="35" t="str">
        <x:v>PASS</x:v>
      </x:c>
      <x:c r="K1211" s="35" t="str">
        <x:v>PASS</x:v>
      </x:c>
      <x:c r="L1211" s="35" t="str">
        <x:v>PASS</x:v>
      </x:c>
      <x:c r="M1211" s="35" t="str">
        <x:v>numeric coverage for applicable metric</x:v>
      </x:c>
      <x:c r="N1211" s="35" t="str">
        <x:v>Deepseek-flash-v4/Result2/Gson_16/result.json</x:v>
      </x:c>
      <x:c r="O1211" s="39" t="n">
        <x:f>IF(AND(G1211="RECORDED",ISNUMBER(H1211)),H1211,"")</x:f>
        <x:v>83.54</x:v>
      </x:c>
      <x:c r="P1211" s="35" t="str">
        <x:v>NOT_REVEALING</x:v>
      </x:c>
      <x:c r="Q1211" s="35" t="str">
        <x:v>Deepseek-flash-v4/Result2/Gson_16/result.json</x:v>
      </x:c>
    </x:row>
    <x:row r="1212">
      <x:c r="A1212" s="35" t="str">
        <x:v>deepseek</x:v>
      </x:c>
      <x:c r="B1212" s="35" t="str">
        <x:v>Gson</x:v>
      </x:c>
      <x:c r="C1212" s="35" t="str">
        <x:v>Round2</x:v>
      </x:c>
      <x:c r="D1212" s="35" t="str">
        <x:v>Gson_17</x:v>
      </x:c>
      <x:c r="E1212" s="35" t="str">
        <x:v>Line</x:v>
      </x:c>
      <x:c r="F1212" s="35"/>
      <x:c r="G1212" s="35" t="str">
        <x:v>A</x:v>
      </x:c>
      <x:c r="H1212" s="39" t="str">
        <x:f>IF(ISNUMBER('Data'!E1212),'Data'!E1212*100,"")</x:f>
      </x:c>
      <x:c r="I1212" s="35"/>
      <x:c r="J1212" s="35" t="str">
        <x:v>PASS</x:v>
      </x:c>
      <x:c r="K1212" s="35" t="str">
        <x:v>FAIL</x:v>
      </x:c>
      <x:c r="L1212" s="35" t="str">
        <x:v>NOT_RUN</x:v>
      </x:c>
      <x:c r="M1212" s="35" t="str">
        <x:v>coverage unavailable or execution/compile failed</x:v>
      </x:c>
      <x:c r="N1212" s="35" t="str">
        <x:v>Deepseek-flash-v4/Result2/Gson_17/result.json</x:v>
      </x:c>
      <x:c r="O1212" s="39" t="str">
        <x:f>IF(AND(G1212="RECORDED",ISNUMBER(H1212)),H1212,"")</x:f>
      </x:c>
      <x:c r="P1212" s="35" t="str">
        <x:v>NOT_AVAILABLE</x:v>
      </x:c>
      <x:c r="Q1212" s="35" t="str">
        <x:v>Deepseek-flash-v4/Result2/Gson_17/result.json</x:v>
      </x:c>
    </x:row>
    <x:row r="1213">
      <x:c r="A1213" s="35" t="str">
        <x:v>deepseek</x:v>
      </x:c>
      <x:c r="B1213" s="35" t="str">
        <x:v>Gson</x:v>
      </x:c>
      <x:c r="C1213" s="35" t="str">
        <x:v>Round2</x:v>
      </x:c>
      <x:c r="D1213" s="35" t="str">
        <x:v>Gson_18</x:v>
      </x:c>
      <x:c r="E1213" s="35" t="str">
        <x:v>Line</x:v>
      </x:c>
      <x:c r="F1213" s="35"/>
      <x:c r="G1213" s="35" t="str">
        <x:v>A</x:v>
      </x:c>
      <x:c r="H1213" s="39" t="str">
        <x:f>IF(ISNUMBER('Data'!E1213),'Data'!E1213*100,"")</x:f>
      </x:c>
      <x:c r="I1213" s="35"/>
      <x:c r="J1213" s="35" t="str">
        <x:v>PASS</x:v>
      </x:c>
      <x:c r="K1213" s="35" t="str">
        <x:v>FAIL</x:v>
      </x:c>
      <x:c r="L1213" s="35" t="str">
        <x:v>NOT_RUN</x:v>
      </x:c>
      <x:c r="M1213" s="35" t="str">
        <x:v>coverage unavailable or execution/compile failed</x:v>
      </x:c>
      <x:c r="N1213" s="35" t="str">
        <x:v>Deepseek-flash-v4/Result2/Gson_18/result.json</x:v>
      </x:c>
      <x:c r="O1213" s="39" t="str">
        <x:f>IF(AND(G1213="RECORDED",ISNUMBER(H1213)),H1213,"")</x:f>
      </x:c>
      <x:c r="P1213" s="35" t="str">
        <x:v>NOT_AVAILABLE</x:v>
      </x:c>
      <x:c r="Q1213" s="35" t="str">
        <x:v>Deepseek-flash-v4/Result2/Gson_18/result.json</x:v>
      </x:c>
    </x:row>
    <x:row r="1214">
      <x:c r="A1214" s="35" t="str">
        <x:v>deepseek</x:v>
      </x:c>
      <x:c r="B1214" s="35" t="str">
        <x:v>Gson</x:v>
      </x:c>
      <x:c r="C1214" s="35" t="str">
        <x:v>Round2</x:v>
      </x:c>
      <x:c r="D1214" s="35" t="str">
        <x:v>Gson_2</x:v>
      </x:c>
      <x:c r="E1214" s="35" t="str">
        <x:v>Line</x:v>
      </x:c>
      <x:c r="F1214" s="35"/>
      <x:c r="G1214" s="35" t="str">
        <x:v>A</x:v>
      </x:c>
      <x:c r="H1214" s="39" t="str">
        <x:f>IF(ISNUMBER('Data'!E1214),'Data'!E1214*100,"")</x:f>
      </x:c>
      <x:c r="I1214" s="35"/>
      <x:c r="J1214" s="35" t="str">
        <x:v>PASS</x:v>
      </x:c>
      <x:c r="K1214" s="35" t="str">
        <x:v>FAIL</x:v>
      </x:c>
      <x:c r="L1214" s="35" t="str">
        <x:v>NOT_RUN</x:v>
      </x:c>
      <x:c r="M1214" s="35" t="str">
        <x:v>coverage unavailable or execution/compile failed</x:v>
      </x:c>
      <x:c r="N1214" s="35" t="str">
        <x:v>Deepseek-flash-v4/Result2/Gson_2/result.json</x:v>
      </x:c>
      <x:c r="O1214" s="39" t="str">
        <x:f>IF(AND(G1214="RECORDED",ISNUMBER(H1214)),H1214,"")</x:f>
      </x:c>
      <x:c r="P1214" s="35" t="str">
        <x:v>NOT_AVAILABLE</x:v>
      </x:c>
      <x:c r="Q1214" s="35" t="str">
        <x:v>Deepseek-flash-v4/Result2/Gson_2/result.json</x:v>
      </x:c>
    </x:row>
    <x:row r="1215">
      <x:c r="A1215" s="35" t="str">
        <x:v>deepseek</x:v>
      </x:c>
      <x:c r="B1215" s="35" t="str">
        <x:v>Gson</x:v>
      </x:c>
      <x:c r="C1215" s="35" t="str">
        <x:v>Round2</x:v>
      </x:c>
      <x:c r="D1215" s="35" t="str">
        <x:v>Gson_3</x:v>
      </x:c>
      <x:c r="E1215" s="35" t="str">
        <x:v>Line</x:v>
      </x:c>
      <x:c r="F1215" s="35" t="n">
        <x:v>86</x:v>
      </x:c>
      <x:c r="G1215" s="35" t="str">
        <x:v>RECORDED</x:v>
      </x:c>
      <x:c r="H1215" s="39" t="n">
        <x:f>IF(ISNUMBER('Data'!E1215),'Data'!E1215*100,"")</x:f>
        <x:v>70.93</x:v>
      </x:c>
      <x:c r="I1215" s="35" t="str">
        <x:v>PASS</x:v>
      </x:c>
      <x:c r="J1215" s="35" t="str">
        <x:v>PASS</x:v>
      </x:c>
      <x:c r="K1215" s="35" t="str">
        <x:v>PASS</x:v>
      </x:c>
      <x:c r="L1215" s="35" t="str">
        <x:v>FAIL</x:v>
      </x:c>
      <x:c r="M1215" s="35" t="str">
        <x:v>numeric coverage for applicable metric</x:v>
      </x:c>
      <x:c r="N1215" s="35" t="str">
        <x:v>Deepseek-flash-v4/Result2/Gson_3/result.json</x:v>
      </x:c>
      <x:c r="O1215" s="39" t="n">
        <x:f>IF(AND(G1215="RECORDED",ISNUMBER(H1215)),H1215,"")</x:f>
        <x:v>70.93</x:v>
      </x:c>
      <x:c r="P1215" s="35" t="str">
        <x:v>INCONCLUSIVE</x:v>
      </x:c>
      <x:c r="Q1215" s="35" t="str">
        <x:v>Deepseek-flash-v4/Result2/Gson_3/result.json</x:v>
      </x:c>
    </x:row>
    <x:row r="1216">
      <x:c r="A1216" s="35" t="str">
        <x:v>deepseek</x:v>
      </x:c>
      <x:c r="B1216" s="35" t="str">
        <x:v>Gson</x:v>
      </x:c>
      <x:c r="C1216" s="35" t="str">
        <x:v>Round2</x:v>
      </x:c>
      <x:c r="D1216" s="35" t="str">
        <x:v>Gson_4</x:v>
      </x:c>
      <x:c r="E1216" s="35" t="str">
        <x:v>Line</x:v>
      </x:c>
      <x:c r="F1216" s="35" t="n">
        <x:v>882</x:v>
      </x:c>
      <x:c r="G1216" s="35" t="str">
        <x:v>RECORDED</x:v>
      </x:c>
      <x:c r="H1216" s="39" t="n">
        <x:f>IF(ISNUMBER('Data'!E1216),'Data'!E1216*100,"")</x:f>
        <x:v>62.470000000000006</x:v>
      </x:c>
      <x:c r="I1216" s="35" t="str">
        <x:v>PASS</x:v>
      </x:c>
      <x:c r="J1216" s="35" t="str">
        <x:v>PASS</x:v>
      </x:c>
      <x:c r="K1216" s="35" t="str">
        <x:v>PASS</x:v>
      </x:c>
      <x:c r="L1216" s="35" t="str">
        <x:v>FAIL</x:v>
      </x:c>
      <x:c r="M1216" s="35" t="str">
        <x:v>numeric coverage for applicable metric</x:v>
      </x:c>
      <x:c r="N1216" s="35" t="str">
        <x:v>Deepseek-flash-v4/Result2/Gson_4/result.json</x:v>
      </x:c>
      <x:c r="O1216" s="39" t="n">
        <x:f>IF(AND(G1216="RECORDED",ISNUMBER(H1216)),H1216,"")</x:f>
        <x:v>62.470000000000006</x:v>
      </x:c>
      <x:c r="P1216" s="35" t="str">
        <x:v>INCONCLUSIVE</x:v>
      </x:c>
      <x:c r="Q1216" s="35" t="str">
        <x:v>Deepseek-flash-v4/Result2/Gson_4/result.json</x:v>
      </x:c>
    </x:row>
    <x:row r="1217">
      <x:c r="A1217" s="35" t="str">
        <x:v>deepseek</x:v>
      </x:c>
      <x:c r="B1217" s="35" t="str">
        <x:v>Gson</x:v>
      </x:c>
      <x:c r="C1217" s="35" t="str">
        <x:v>Round2</x:v>
      </x:c>
      <x:c r="D1217" s="35" t="str">
        <x:v>Gson_5</x:v>
      </x:c>
      <x:c r="E1217" s="35" t="str">
        <x:v>Line</x:v>
      </x:c>
      <x:c r="F1217" s="35" t="n">
        <x:v>150</x:v>
      </x:c>
      <x:c r="G1217" s="35" t="str">
        <x:v>RECORDED</x:v>
      </x:c>
      <x:c r="H1217" s="39" t="n">
        <x:f>IF(ISNUMBER('Data'!E1217),'Data'!E1217*100,"")</x:f>
        <x:v>90</x:v>
      </x:c>
      <x:c r="I1217" s="35" t="str">
        <x:v>PASS</x:v>
      </x:c>
      <x:c r="J1217" s="35" t="str">
        <x:v>PASS</x:v>
      </x:c>
      <x:c r="K1217" s="35" t="str">
        <x:v>PASS</x:v>
      </x:c>
      <x:c r="L1217" s="35" t="str">
        <x:v>FAIL</x:v>
      </x:c>
      <x:c r="M1217" s="35" t="str">
        <x:v>numeric coverage for applicable metric</x:v>
      </x:c>
      <x:c r="N1217" s="35" t="str">
        <x:v>Deepseek-flash-v4/Result2/Gson_5/result.json</x:v>
      </x:c>
      <x:c r="O1217" s="39" t="n">
        <x:f>IF(AND(G1217="RECORDED",ISNUMBER(H1217)),H1217,"")</x:f>
        <x:v>90</x:v>
      </x:c>
      <x:c r="P1217" s="35" t="str">
        <x:v>INCONCLUSIVE</x:v>
      </x:c>
      <x:c r="Q1217" s="35" t="str">
        <x:v>Deepseek-flash-v4/Result2/Gson_5/result.json</x:v>
      </x:c>
    </x:row>
    <x:row r="1218">
      <x:c r="A1218" s="35" t="str">
        <x:v>deepseek</x:v>
      </x:c>
      <x:c r="B1218" s="35" t="str">
        <x:v>Gson</x:v>
      </x:c>
      <x:c r="C1218" s="35" t="str">
        <x:v>Round2</x:v>
      </x:c>
      <x:c r="D1218" s="35" t="str">
        <x:v>Gson_6</x:v>
      </x:c>
      <x:c r="E1218" s="35" t="str">
        <x:v>Line</x:v>
      </x:c>
      <x:c r="F1218" s="35"/>
      <x:c r="G1218" s="35" t="str">
        <x:v>A</x:v>
      </x:c>
      <x:c r="H1218" s="39" t="str">
        <x:f>IF(ISNUMBER('Data'!E1218),'Data'!E1218*100,"")</x:f>
      </x:c>
      <x:c r="I1218" s="35"/>
      <x:c r="J1218" s="35" t="str">
        <x:v>PASS</x:v>
      </x:c>
      <x:c r="K1218" s="35" t="str">
        <x:v>FAIL</x:v>
      </x:c>
      <x:c r="L1218" s="35" t="str">
        <x:v>NOT_RUN</x:v>
      </x:c>
      <x:c r="M1218" s="35" t="str">
        <x:v>coverage unavailable or execution/compile failed</x:v>
      </x:c>
      <x:c r="N1218" s="35" t="str">
        <x:v>Deepseek-flash-v4/Result2/Gson_6/result.json</x:v>
      </x:c>
      <x:c r="O1218" s="39" t="str">
        <x:f>IF(AND(G1218="RECORDED",ISNUMBER(H1218)),H1218,"")</x:f>
      </x:c>
      <x:c r="P1218" s="35" t="str">
        <x:v>NOT_AVAILABLE</x:v>
      </x:c>
      <x:c r="Q1218" s="35" t="str">
        <x:v>Deepseek-flash-v4/Result2/Gson_6/result.json</x:v>
      </x:c>
    </x:row>
    <x:row r="1219">
      <x:c r="A1219" s="35" t="str">
        <x:v>deepseek</x:v>
      </x:c>
      <x:c r="B1219" s="35" t="str">
        <x:v>Gson</x:v>
      </x:c>
      <x:c r="C1219" s="35" t="str">
        <x:v>Round2</x:v>
      </x:c>
      <x:c r="D1219" s="35" t="str">
        <x:v>Gson_7</x:v>
      </x:c>
      <x:c r="E1219" s="35" t="str">
        <x:v>Line</x:v>
      </x:c>
      <x:c r="F1219" s="35" t="n">
        <x:v>684</x:v>
      </x:c>
      <x:c r="G1219" s="35" t="str">
        <x:v>RECORDED</x:v>
      </x:c>
      <x:c r="H1219" s="39" t="n">
        <x:f>IF(ISNUMBER('Data'!E1219),'Data'!E1219*100,"")</x:f>
        <x:v>66.81</x:v>
      </x:c>
      <x:c r="I1219" s="35" t="str">
        <x:v>PASS</x:v>
      </x:c>
      <x:c r="J1219" s="35" t="str">
        <x:v>PASS</x:v>
      </x:c>
      <x:c r="K1219" s="35" t="str">
        <x:v>PASS</x:v>
      </x:c>
      <x:c r="L1219" s="35" t="str">
        <x:v>PASS</x:v>
      </x:c>
      <x:c r="M1219" s="35" t="str">
        <x:v>numeric coverage for applicable metric</x:v>
      </x:c>
      <x:c r="N1219" s="35" t="str">
        <x:v>Deepseek-flash-v4/Result2/Gson_7/result.json</x:v>
      </x:c>
      <x:c r="O1219" s="39" t="n">
        <x:f>IF(AND(G1219="RECORDED",ISNUMBER(H1219)),H1219,"")</x:f>
        <x:v>66.81</x:v>
      </x:c>
      <x:c r="P1219" s="35" t="str">
        <x:v>NOT_REVEALING</x:v>
      </x:c>
      <x:c r="Q1219" s="35" t="str">
        <x:v>Deepseek-flash-v4/Result2/Gson_7/result.json</x:v>
      </x:c>
    </x:row>
    <x:row r="1220">
      <x:c r="A1220" s="35" t="str">
        <x:v>deepseek</x:v>
      </x:c>
      <x:c r="B1220" s="35" t="str">
        <x:v>Gson</x:v>
      </x:c>
      <x:c r="C1220" s="35" t="str">
        <x:v>Round2</x:v>
      </x:c>
      <x:c r="D1220" s="35" t="str">
        <x:v>Gson_8</x:v>
      </x:c>
      <x:c r="E1220" s="35" t="str">
        <x:v>Line</x:v>
      </x:c>
      <x:c r="F1220" s="35" t="n">
        <x:v>31</x:v>
      </x:c>
      <x:c r="G1220" s="35" t="str">
        <x:v>RECORDED</x:v>
      </x:c>
      <x:c r="H1220" s="39" t="n">
        <x:f>IF(ISNUMBER('Data'!E1220),'Data'!E1220*100,"")</x:f>
        <x:v>0</x:v>
      </x:c>
      <x:c r="I1220" s="35" t="str">
        <x:v>PASS</x:v>
      </x:c>
      <x:c r="J1220" s="35" t="str">
        <x:v>PASS</x:v>
      </x:c>
      <x:c r="K1220" s="35" t="str">
        <x:v>PASS</x:v>
      </x:c>
      <x:c r="L1220" s="35" t="str">
        <x:v>PASS</x:v>
      </x:c>
      <x:c r="M1220" s="35" t="str">
        <x:v>numeric coverage for applicable metric</x:v>
      </x:c>
      <x:c r="N1220" s="35" t="str">
        <x:v>Deepseek-flash-v4/Result2/Gson_8/result.json</x:v>
      </x:c>
      <x:c r="O1220" s="39" t="n">
        <x:f>IF(AND(G1220="RECORDED",ISNUMBER(H1220)),H1220,"")</x:f>
        <x:v>0</x:v>
      </x:c>
      <x:c r="P1220" s="35" t="str">
        <x:v>NOT_REVEALING</x:v>
      </x:c>
      <x:c r="Q1220" s="35" t="str">
        <x:v>Deepseek-flash-v4/Result2/Gson_8/result.json</x:v>
      </x:c>
    </x:row>
    <x:row r="1221">
      <x:c r="A1221" s="35" t="str">
        <x:v>deepseek</x:v>
      </x:c>
      <x:c r="B1221" s="35" t="str">
        <x:v>Gson</x:v>
      </x:c>
      <x:c r="C1221" s="35" t="str">
        <x:v>Round2</x:v>
      </x:c>
      <x:c r="D1221" s="35" t="str">
        <x:v>Gson_9</x:v>
      </x:c>
      <x:c r="E1221" s="35" t="str">
        <x:v>Line</x:v>
      </x:c>
      <x:c r="F1221" s="35"/>
      <x:c r="G1221" s="35" t="str">
        <x:v>A</x:v>
      </x:c>
      <x:c r="H1221" s="39" t="str">
        <x:f>IF(ISNUMBER('Data'!E1221),'Data'!E1221*100,"")</x:f>
      </x:c>
      <x:c r="I1221" s="35"/>
      <x:c r="J1221" s="35" t="str">
        <x:v>PASS</x:v>
      </x:c>
      <x:c r="K1221" s="35" t="str">
        <x:v>FAIL</x:v>
      </x:c>
      <x:c r="L1221" s="35" t="str">
        <x:v>NOT_RUN</x:v>
      </x:c>
      <x:c r="M1221" s="35" t="str">
        <x:v>coverage unavailable or execution/compile failed</x:v>
      </x:c>
      <x:c r="N1221" s="35" t="str">
        <x:v>Deepseek-flash-v4/Result2/Gson_9/result.json</x:v>
      </x:c>
      <x:c r="O1221" s="39" t="str">
        <x:f>IF(AND(G1221="RECORDED",ISNUMBER(H1221)),H1221,"")</x:f>
      </x:c>
      <x:c r="P1221" s="35" t="str">
        <x:v>NOT_AVAILABLE</x:v>
      </x:c>
      <x:c r="Q1221" s="35" t="str">
        <x:v>Deepseek-flash-v4/Result2/Gson_9/result.json</x:v>
      </x:c>
    </x:row>
    <x:row r="1222">
      <x:c r="A1222" s="35" t="str">
        <x:v>deepseek</x:v>
      </x:c>
      <x:c r="B1222" s="35" t="str">
        <x:v>JacksonCore</x:v>
      </x:c>
      <x:c r="C1222" s="35" t="str">
        <x:v>Round2</x:v>
      </x:c>
      <x:c r="D1222" s="35" t="str">
        <x:v>JacksonCore_1</x:v>
      </x:c>
      <x:c r="E1222" s="35" t="str">
        <x:v>Line</x:v>
      </x:c>
      <x:c r="F1222" s="35"/>
      <x:c r="G1222" s="35" t="str">
        <x:v>A</x:v>
      </x:c>
      <x:c r="H1222" s="39" t="str">
        <x:f>IF(ISNUMBER('Data'!E1222),'Data'!E1222*100,"")</x:f>
      </x:c>
      <x:c r="I1222" s="35"/>
      <x:c r="J1222" s="35" t="str">
        <x:v>PASS</x:v>
      </x:c>
      <x:c r="K1222" s="35" t="str">
        <x:v>FAIL</x:v>
      </x:c>
      <x:c r="L1222" s="35" t="str">
        <x:v>NOT_RUN</x:v>
      </x:c>
      <x:c r="M1222" s="35" t="str">
        <x:v>coverage unavailable or execution/compile failed</x:v>
      </x:c>
      <x:c r="N1222" s="35" t="str">
        <x:v>Deepseek-flash-v4/Result2/JacksonCore_1/result.json</x:v>
      </x:c>
      <x:c r="O1222" s="39" t="str">
        <x:f>IF(AND(G1222="RECORDED",ISNUMBER(H1222)),H1222,"")</x:f>
      </x:c>
      <x:c r="P1222" s="35" t="str">
        <x:v>NOT_AVAILABLE</x:v>
      </x:c>
      <x:c r="Q1222" s="35" t="str">
        <x:v>Deepseek-flash-v4/Result2/JacksonCore_1/result.json</x:v>
      </x:c>
    </x:row>
    <x:row r="1223">
      <x:c r="A1223" s="35" t="str">
        <x:v>deepseek</x:v>
      </x:c>
      <x:c r="B1223" s="35" t="str">
        <x:v>JacksonCore</x:v>
      </x:c>
      <x:c r="C1223" s="35" t="str">
        <x:v>Round2</x:v>
      </x:c>
      <x:c r="D1223" s="35" t="str">
        <x:v>JacksonCore_10</x:v>
      </x:c>
      <x:c r="E1223" s="35" t="str">
        <x:v>Line</x:v>
      </x:c>
      <x:c r="F1223" s="35" t="n">
        <x:v>465</x:v>
      </x:c>
      <x:c r="G1223" s="35" t="str">
        <x:v>RECORDED</x:v>
      </x:c>
      <x:c r="H1223" s="39" t="n">
        <x:f>IF(ISNUMBER('Data'!E1223),'Data'!E1223*100,"")</x:f>
        <x:v>54.84</x:v>
      </x:c>
      <x:c r="I1223" s="35" t="str">
        <x:v>PASS</x:v>
      </x:c>
      <x:c r="J1223" s="35" t="str">
        <x:v>PASS</x:v>
      </x:c>
      <x:c r="K1223" s="35" t="str">
        <x:v>PASS</x:v>
      </x:c>
      <x:c r="L1223" s="35" t="str">
        <x:v>FAIL</x:v>
      </x:c>
      <x:c r="M1223" s="35" t="str">
        <x:v>numeric coverage for applicable metric</x:v>
      </x:c>
      <x:c r="N1223" s="35" t="str">
        <x:v>Deepseek-flash-v4/Result2/JacksonCore_10/result.json</x:v>
      </x:c>
      <x:c r="O1223" s="39" t="n">
        <x:f>IF(AND(G1223="RECORDED",ISNUMBER(H1223)),H1223,"")</x:f>
        <x:v>54.84</x:v>
      </x:c>
      <x:c r="P1223" s="35" t="str">
        <x:v>INCONCLUSIVE</x:v>
      </x:c>
      <x:c r="Q1223" s="35" t="str">
        <x:v>Deepseek-flash-v4/Result2/JacksonCore_10/result.json</x:v>
      </x:c>
    </x:row>
    <x:row r="1224">
      <x:c r="A1224" s="35" t="str">
        <x:v>deepseek</x:v>
      </x:c>
      <x:c r="B1224" s="35" t="str">
        <x:v>JacksonCore</x:v>
      </x:c>
      <x:c r="C1224" s="35" t="str">
        <x:v>Round2</x:v>
      </x:c>
      <x:c r="D1224" s="35" t="str">
        <x:v>JacksonCore_11</x:v>
      </x:c>
      <x:c r="E1224" s="35" t="str">
        <x:v>Line</x:v>
      </x:c>
      <x:c r="F1224" s="35" t="n">
        <x:v>468</x:v>
      </x:c>
      <x:c r="G1224" s="35" t="str">
        <x:v>RECORDED</x:v>
      </x:c>
      <x:c r="H1224" s="39" t="n">
        <x:f>IF(ISNUMBER('Data'!E1224),'Data'!E1224*100,"")</x:f>
        <x:v>69.66</x:v>
      </x:c>
      <x:c r="I1224" s="35" t="str">
        <x:v>PASS</x:v>
      </x:c>
      <x:c r="J1224" s="35" t="str">
        <x:v>PASS</x:v>
      </x:c>
      <x:c r="K1224" s="35" t="str">
        <x:v>PASS</x:v>
      </x:c>
      <x:c r="L1224" s="35" t="str">
        <x:v>FAIL</x:v>
      </x:c>
      <x:c r="M1224" s="35" t="str">
        <x:v>numeric coverage for applicable metric</x:v>
      </x:c>
      <x:c r="N1224" s="35" t="str">
        <x:v>Deepseek-flash-v4/Result2/JacksonCore_11/result.json</x:v>
      </x:c>
      <x:c r="O1224" s="39" t="n">
        <x:f>IF(AND(G1224="RECORDED",ISNUMBER(H1224)),H1224,"")</x:f>
        <x:v>69.66</x:v>
      </x:c>
      <x:c r="P1224" s="35" t="str">
        <x:v>INCONCLUSIVE</x:v>
      </x:c>
      <x:c r="Q1224" s="35" t="str">
        <x:v>Deepseek-flash-v4/Result2/JacksonCore_11/result.json</x:v>
      </x:c>
    </x:row>
    <x:row r="1225">
      <x:c r="A1225" s="35" t="str">
        <x:v>deepseek</x:v>
      </x:c>
      <x:c r="B1225" s="35" t="str">
        <x:v>JacksonCore</x:v>
      </x:c>
      <x:c r="C1225" s="35" t="str">
        <x:v>Round2</x:v>
      </x:c>
      <x:c r="D1225" s="35" t="str">
        <x:v>JacksonCore_12</x:v>
      </x:c>
      <x:c r="E1225" s="35" t="str">
        <x:v>Line</x:v>
      </x:c>
      <x:c r="F1225" s="35"/>
      <x:c r="G1225" s="35" t="str">
        <x:v>A</x:v>
      </x:c>
      <x:c r="H1225" s="39" t="str">
        <x:f>IF(ISNUMBER('Data'!E1225),'Data'!E1225*100,"")</x:f>
      </x:c>
      <x:c r="I1225" s="35"/>
      <x:c r="J1225" s="35" t="str">
        <x:v>PASS</x:v>
      </x:c>
      <x:c r="K1225" s="35" t="str">
        <x:v>FAIL</x:v>
      </x:c>
      <x:c r="L1225" s="35" t="str">
        <x:v>NOT_RUN</x:v>
      </x:c>
      <x:c r="M1225" s="35" t="str">
        <x:v>coverage unavailable or execution/compile failed</x:v>
      </x:c>
      <x:c r="N1225" s="35" t="str">
        <x:v>Deepseek-flash-v4/Result2/JacksonCore_12/result.json</x:v>
      </x:c>
      <x:c r="O1225" s="39" t="str">
        <x:f>IF(AND(G1225="RECORDED",ISNUMBER(H1225)),H1225,"")</x:f>
      </x:c>
      <x:c r="P1225" s="35" t="str">
        <x:v>NOT_AVAILABLE</x:v>
      </x:c>
      <x:c r="Q1225" s="35" t="str">
        <x:v>Deepseek-flash-v4/Result2/JacksonCore_12/result.json</x:v>
      </x:c>
    </x:row>
    <x:row r="1226">
      <x:c r="A1226" s="35" t="str">
        <x:v>deepseek</x:v>
      </x:c>
      <x:c r="B1226" s="35" t="str">
        <x:v>JacksonCore</x:v>
      </x:c>
      <x:c r="C1226" s="35" t="str">
        <x:v>Round2</x:v>
      </x:c>
      <x:c r="D1226" s="35" t="str">
        <x:v>JacksonCore_13</x:v>
      </x:c>
      <x:c r="E1226" s="35" t="str">
        <x:v>Line</x:v>
      </x:c>
      <x:c r="F1226" s="35"/>
      <x:c r="G1226" s="35" t="str">
        <x:v>A</x:v>
      </x:c>
      <x:c r="H1226" s="39" t="str">
        <x:f>IF(ISNUMBER('Data'!E1226),'Data'!E1226*100,"")</x:f>
      </x:c>
      <x:c r="I1226" s="35"/>
      <x:c r="J1226" s="35" t="str">
        <x:v>PASS</x:v>
      </x:c>
      <x:c r="K1226" s="35" t="str">
        <x:v>FAIL</x:v>
      </x:c>
      <x:c r="L1226" s="35" t="str">
        <x:v>NOT_RUN</x:v>
      </x:c>
      <x:c r="M1226" s="35" t="str">
        <x:v>coverage unavailable or execution/compile failed</x:v>
      </x:c>
      <x:c r="N1226" s="35" t="str">
        <x:v>Deepseek-flash-v4/Result2/JacksonCore_13/result.json</x:v>
      </x:c>
      <x:c r="O1226" s="39" t="str">
        <x:f>IF(AND(G1226="RECORDED",ISNUMBER(H1226)),H1226,"")</x:f>
      </x:c>
      <x:c r="P1226" s="35" t="str">
        <x:v>NOT_AVAILABLE</x:v>
      </x:c>
      <x:c r="Q1226" s="35" t="str">
        <x:v>Deepseek-flash-v4/Result2/JacksonCore_13/result.json</x:v>
      </x:c>
    </x:row>
    <x:row r="1227">
      <x:c r="A1227" s="35" t="str">
        <x:v>deepseek</x:v>
      </x:c>
      <x:c r="B1227" s="35" t="str">
        <x:v>JacksonCore</x:v>
      </x:c>
      <x:c r="C1227" s="35" t="str">
        <x:v>Round2</x:v>
      </x:c>
      <x:c r="D1227" s="35" t="str">
        <x:v>JacksonCore_14</x:v>
      </x:c>
      <x:c r="E1227" s="35" t="str">
        <x:v>Line</x:v>
      </x:c>
      <x:c r="F1227" s="35"/>
      <x:c r="G1227" s="35" t="str">
        <x:v>A</x:v>
      </x:c>
      <x:c r="H1227" s="39" t="str">
        <x:f>IF(ISNUMBER('Data'!E1227),'Data'!E1227*100,"")</x:f>
      </x:c>
      <x:c r="I1227" s="35"/>
      <x:c r="J1227" s="35" t="str">
        <x:v>PASS</x:v>
      </x:c>
      <x:c r="K1227" s="35" t="str">
        <x:v>FAIL</x:v>
      </x:c>
      <x:c r="L1227" s="35" t="str">
        <x:v>NOT_RUN</x:v>
      </x:c>
      <x:c r="M1227" s="35" t="str">
        <x:v>coverage unavailable or execution/compile failed</x:v>
      </x:c>
      <x:c r="N1227" s="35" t="str">
        <x:v>Deepseek-flash-v4/Result2/JacksonCore_14/result.json</x:v>
      </x:c>
      <x:c r="O1227" s="39" t="str">
        <x:f>IF(AND(G1227="RECORDED",ISNUMBER(H1227)),H1227,"")</x:f>
      </x:c>
      <x:c r="P1227" s="35" t="str">
        <x:v>NOT_AVAILABLE</x:v>
      </x:c>
      <x:c r="Q1227" s="35" t="str">
        <x:v>Deepseek-flash-v4/Result2/JacksonCore_14/result.json</x:v>
      </x:c>
    </x:row>
    <x:row r="1228">
      <x:c r="A1228" s="35" t="str">
        <x:v>deepseek</x:v>
      </x:c>
      <x:c r="B1228" s="35" t="str">
        <x:v>JacksonCore</x:v>
      </x:c>
      <x:c r="C1228" s="35" t="str">
        <x:v>Round2</x:v>
      </x:c>
      <x:c r="D1228" s="35" t="str">
        <x:v>JacksonCore_15</x:v>
      </x:c>
      <x:c r="E1228" s="35" t="str">
        <x:v>Line</x:v>
      </x:c>
      <x:c r="F1228" s="35"/>
      <x:c r="G1228" s="35" t="str">
        <x:v>A</x:v>
      </x:c>
      <x:c r="H1228" s="39" t="str">
        <x:f>IF(ISNUMBER('Data'!E1228),'Data'!E1228*100,"")</x:f>
      </x:c>
      <x:c r="I1228" s="35"/>
      <x:c r="J1228" s="35" t="str">
        <x:v>PASS</x:v>
      </x:c>
      <x:c r="K1228" s="35" t="str">
        <x:v>FAIL</x:v>
      </x:c>
      <x:c r="L1228" s="35" t="str">
        <x:v>NOT_RUN</x:v>
      </x:c>
      <x:c r="M1228" s="35" t="str">
        <x:v>coverage unavailable or execution/compile failed</x:v>
      </x:c>
      <x:c r="N1228" s="35" t="str">
        <x:v>Deepseek-flash-v4/Result2/JacksonCore_15/result.json</x:v>
      </x:c>
      <x:c r="O1228" s="39" t="str">
        <x:f>IF(AND(G1228="RECORDED",ISNUMBER(H1228)),H1228,"")</x:f>
      </x:c>
      <x:c r="P1228" s="35" t="str">
        <x:v>NOT_AVAILABLE</x:v>
      </x:c>
      <x:c r="Q1228" s="35" t="str">
        <x:v>Deepseek-flash-v4/Result2/JacksonCore_15/result.json</x:v>
      </x:c>
    </x:row>
    <x:row r="1229">
      <x:c r="A1229" s="35" t="str">
        <x:v>deepseek</x:v>
      </x:c>
      <x:c r="B1229" s="35" t="str">
        <x:v>JacksonCore</x:v>
      </x:c>
      <x:c r="C1229" s="35" t="str">
        <x:v>Round2</x:v>
      </x:c>
      <x:c r="D1229" s="35" t="str">
        <x:v>JacksonCore_16</x:v>
      </x:c>
      <x:c r="E1229" s="35" t="str">
        <x:v>Line</x:v>
      </x:c>
      <x:c r="F1229" s="35"/>
      <x:c r="G1229" s="35" t="str">
        <x:v>A</x:v>
      </x:c>
      <x:c r="H1229" s="39" t="str">
        <x:f>IF(ISNUMBER('Data'!E1229),'Data'!E1229*100,"")</x:f>
      </x:c>
      <x:c r="I1229" s="35"/>
      <x:c r="J1229" s="35" t="str">
        <x:v>PASS</x:v>
      </x:c>
      <x:c r="K1229" s="35" t="str">
        <x:v>FAIL</x:v>
      </x:c>
      <x:c r="L1229" s="35" t="str">
        <x:v>NOT_RUN</x:v>
      </x:c>
      <x:c r="M1229" s="35" t="str">
        <x:v>coverage unavailable or execution/compile failed</x:v>
      </x:c>
      <x:c r="N1229" s="35" t="str">
        <x:v>Deepseek-flash-v4/Result2/JacksonCore_16/result.json</x:v>
      </x:c>
      <x:c r="O1229" s="39" t="str">
        <x:f>IF(AND(G1229="RECORDED",ISNUMBER(H1229)),H1229,"")</x:f>
      </x:c>
      <x:c r="P1229" s="35" t="str">
        <x:v>NOT_AVAILABLE</x:v>
      </x:c>
      <x:c r="Q1229" s="35" t="str">
        <x:v>Deepseek-flash-v4/Result2/JacksonCore_16/result.json</x:v>
      </x:c>
    </x:row>
    <x:row r="1230">
      <x:c r="A1230" s="35" t="str">
        <x:v>deepseek</x:v>
      </x:c>
      <x:c r="B1230" s="35" t="str">
        <x:v>JacksonCore</x:v>
      </x:c>
      <x:c r="C1230" s="35" t="str">
        <x:v>Round2</x:v>
      </x:c>
      <x:c r="D1230" s="35" t="str">
        <x:v>JacksonCore_17</x:v>
      </x:c>
      <x:c r="E1230" s="35" t="str">
        <x:v>Line</x:v>
      </x:c>
      <x:c r="F1230" s="35"/>
      <x:c r="G1230" s="35" t="str">
        <x:v>A</x:v>
      </x:c>
      <x:c r="H1230" s="39" t="str">
        <x:f>IF(ISNUMBER('Data'!E1230),'Data'!E1230*100,"")</x:f>
      </x:c>
      <x:c r="I1230" s="35"/>
      <x:c r="J1230" s="35" t="str">
        <x:v>PASS</x:v>
      </x:c>
      <x:c r="K1230" s="35" t="str">
        <x:v>FAIL</x:v>
      </x:c>
      <x:c r="L1230" s="35" t="str">
        <x:v>NOT_RUN</x:v>
      </x:c>
      <x:c r="M1230" s="35" t="str">
        <x:v>coverage unavailable or execution/compile failed</x:v>
      </x:c>
      <x:c r="N1230" s="35" t="str">
        <x:v>Deepseek-flash-v4/Result2/JacksonCore_17/result.json</x:v>
      </x:c>
      <x:c r="O1230" s="39" t="str">
        <x:f>IF(AND(G1230="RECORDED",ISNUMBER(H1230)),H1230,"")</x:f>
      </x:c>
      <x:c r="P1230" s="35" t="str">
        <x:v>NOT_AVAILABLE</x:v>
      </x:c>
      <x:c r="Q1230" s="35" t="str">
        <x:v>Deepseek-flash-v4/Result2/JacksonCore_17/result.json</x:v>
      </x:c>
    </x:row>
    <x:row r="1231">
      <x:c r="A1231" s="35" t="str">
        <x:v>deepseek</x:v>
      </x:c>
      <x:c r="B1231" s="35" t="str">
        <x:v>JacksonCore</x:v>
      </x:c>
      <x:c r="C1231" s="35" t="str">
        <x:v>Round2</x:v>
      </x:c>
      <x:c r="D1231" s="35" t="str">
        <x:v>JacksonCore_18</x:v>
      </x:c>
      <x:c r="E1231" s="35" t="str">
        <x:v>Line</x:v>
      </x:c>
      <x:c r="F1231" s="35"/>
      <x:c r="G1231" s="35" t="str">
        <x:v>A</x:v>
      </x:c>
      <x:c r="H1231" s="39" t="str">
        <x:f>IF(ISNUMBER('Data'!E1231),'Data'!E1231*100,"")</x:f>
      </x:c>
      <x:c r="I1231" s="35"/>
      <x:c r="J1231" s="35" t="str">
        <x:v>PASS</x:v>
      </x:c>
      <x:c r="K1231" s="35" t="str">
        <x:v>FAIL</x:v>
      </x:c>
      <x:c r="L1231" s="35" t="str">
        <x:v>NOT_RUN</x:v>
      </x:c>
      <x:c r="M1231" s="35" t="str">
        <x:v>coverage unavailable or execution/compile failed</x:v>
      </x:c>
      <x:c r="N1231" s="35" t="str">
        <x:v>Deepseek-flash-v4/Result2/JacksonCore_18/result.json</x:v>
      </x:c>
      <x:c r="O1231" s="39" t="str">
        <x:f>IF(AND(G1231="RECORDED",ISNUMBER(H1231)),H1231,"")</x:f>
      </x:c>
      <x:c r="P1231" s="35" t="str">
        <x:v>NOT_AVAILABLE</x:v>
      </x:c>
      <x:c r="Q1231" s="35" t="str">
        <x:v>Deepseek-flash-v4/Result2/JacksonCore_18/result.json</x:v>
      </x:c>
    </x:row>
    <x:row r="1232">
      <x:c r="A1232" s="35" t="str">
        <x:v>deepseek</x:v>
      </x:c>
      <x:c r="B1232" s="35" t="str">
        <x:v>JacksonCore</x:v>
      </x:c>
      <x:c r="C1232" s="35" t="str">
        <x:v>Round2</x:v>
      </x:c>
      <x:c r="D1232" s="35" t="str">
        <x:v>JacksonCore_19</x:v>
      </x:c>
      <x:c r="E1232" s="35" t="str">
        <x:v>Line</x:v>
      </x:c>
      <x:c r="F1232" s="35"/>
      <x:c r="G1232" s="35" t="str">
        <x:v>A</x:v>
      </x:c>
      <x:c r="H1232" s="39" t="str">
        <x:f>IF(ISNUMBER('Data'!E1232),'Data'!E1232*100,"")</x:f>
      </x:c>
      <x:c r="I1232" s="35"/>
      <x:c r="J1232" s="35" t="str">
        <x:v>PASS</x:v>
      </x:c>
      <x:c r="K1232" s="35" t="str">
        <x:v>FAIL</x:v>
      </x:c>
      <x:c r="L1232" s="35" t="str">
        <x:v>NOT_RUN</x:v>
      </x:c>
      <x:c r="M1232" s="35" t="str">
        <x:v>coverage unavailable or execution/compile failed</x:v>
      </x:c>
      <x:c r="N1232" s="35" t="str">
        <x:v>Deepseek-flash-v4/Result2/JacksonCore_19/result.json</x:v>
      </x:c>
      <x:c r="O1232" s="39" t="str">
        <x:f>IF(AND(G1232="RECORDED",ISNUMBER(H1232)),H1232,"")</x:f>
      </x:c>
      <x:c r="P1232" s="35" t="str">
        <x:v>NOT_AVAILABLE</x:v>
      </x:c>
      <x:c r="Q1232" s="35" t="str">
        <x:v>Deepseek-flash-v4/Result2/JacksonCore_19/result.json</x:v>
      </x:c>
    </x:row>
    <x:row r="1233">
      <x:c r="A1233" s="35" t="str">
        <x:v>deepseek</x:v>
      </x:c>
      <x:c r="B1233" s="35" t="str">
        <x:v>JacksonCore</x:v>
      </x:c>
      <x:c r="C1233" s="35" t="str">
        <x:v>Round2</x:v>
      </x:c>
      <x:c r="D1233" s="35" t="str">
        <x:v>JacksonCore_2</x:v>
      </x:c>
      <x:c r="E1233" s="35" t="str">
        <x:v>Line</x:v>
      </x:c>
      <x:c r="F1233" s="35" t="n">
        <x:v>2463</x:v>
      </x:c>
      <x:c r="G1233" s="35" t="str">
        <x:v>RECORDED</x:v>
      </x:c>
      <x:c r="H1233" s="39" t="n">
        <x:f>IF(ISNUMBER('Data'!E1233),'Data'!E1233*100,"")</x:f>
        <x:v>45.31</x:v>
      </x:c>
      <x:c r="I1233" s="35" t="str">
        <x:v>PASS</x:v>
      </x:c>
      <x:c r="J1233" s="35" t="str">
        <x:v>PASS</x:v>
      </x:c>
      <x:c r="K1233" s="35" t="str">
        <x:v>PASS</x:v>
      </x:c>
      <x:c r="L1233" s="35" t="str">
        <x:v>FAIL</x:v>
      </x:c>
      <x:c r="M1233" s="35" t="str">
        <x:v>numeric coverage for applicable metric</x:v>
      </x:c>
      <x:c r="N1233" s="35" t="str">
        <x:v>Deepseek-flash-v4/Result2/JacksonCore_2/result.json</x:v>
      </x:c>
      <x:c r="O1233" s="39" t="n">
        <x:f>IF(AND(G1233="RECORDED",ISNUMBER(H1233)),H1233,"")</x:f>
        <x:v>45.31</x:v>
      </x:c>
      <x:c r="P1233" s="35" t="str">
        <x:v>INCONCLUSIVE</x:v>
      </x:c>
      <x:c r="Q1233" s="35" t="str">
        <x:v>Deepseek-flash-v4/Result2/JacksonCore_2/result.json</x:v>
      </x:c>
    </x:row>
    <x:row r="1234">
      <x:c r="A1234" s="35" t="str">
        <x:v>deepseek</x:v>
      </x:c>
      <x:c r="B1234" s="35" t="str">
        <x:v>JacksonCore</x:v>
      </x:c>
      <x:c r="C1234" s="35" t="str">
        <x:v>Round2</x:v>
      </x:c>
      <x:c r="D1234" s="35" t="str">
        <x:v>JacksonCore_20</x:v>
      </x:c>
      <x:c r="E1234" s="35" t="str">
        <x:v>Line</x:v>
      </x:c>
      <x:c r="F1234" s="35"/>
      <x:c r="G1234" s="35" t="str">
        <x:v>A</x:v>
      </x:c>
      <x:c r="H1234" s="39" t="str">
        <x:f>IF(ISNUMBER('Data'!E1234),'Data'!E1234*100,"")</x:f>
      </x:c>
      <x:c r="I1234" s="35"/>
      <x:c r="J1234" s="35" t="str">
        <x:v>PASS</x:v>
      </x:c>
      <x:c r="K1234" s="35" t="str">
        <x:v>FAIL</x:v>
      </x:c>
      <x:c r="L1234" s="35" t="str">
        <x:v>NOT_RUN</x:v>
      </x:c>
      <x:c r="M1234" s="35" t="str">
        <x:v>coverage unavailable or execution/compile failed</x:v>
      </x:c>
      <x:c r="N1234" s="35" t="str">
        <x:v>Deepseek-flash-v4/Result2/JacksonCore_20/result.json</x:v>
      </x:c>
      <x:c r="O1234" s="39" t="str">
        <x:f>IF(AND(G1234="RECORDED",ISNUMBER(H1234)),H1234,"")</x:f>
      </x:c>
      <x:c r="P1234" s="35" t="str">
        <x:v>NOT_AVAILABLE</x:v>
      </x:c>
      <x:c r="Q1234" s="35" t="str">
        <x:v>Deepseek-flash-v4/Result2/JacksonCore_20/result.json</x:v>
      </x:c>
    </x:row>
    <x:row r="1235">
      <x:c r="A1235" s="35" t="str">
        <x:v>deepseek</x:v>
      </x:c>
      <x:c r="B1235" s="35" t="str">
        <x:v>JacksonCore</x:v>
      </x:c>
      <x:c r="C1235" s="35" t="str">
        <x:v>Round2</x:v>
      </x:c>
      <x:c r="D1235" s="35" t="str">
        <x:v>JacksonCore_21</x:v>
      </x:c>
      <x:c r="E1235" s="35" t="str">
        <x:v>Line</x:v>
      </x:c>
      <x:c r="F1235" s="35" t="n">
        <x:v>385</x:v>
      </x:c>
      <x:c r="G1235" s="35" t="str">
        <x:v>RECORDED</x:v>
      </x:c>
      <x:c r="H1235" s="39" t="n">
        <x:f>IF(ISNUMBER('Data'!E1235),'Data'!E1235*100,"")</x:f>
        <x:v>11.43</x:v>
      </x:c>
      <x:c r="I1235" s="35" t="str">
        <x:v>PASS</x:v>
      </x:c>
      <x:c r="J1235" s="35" t="str">
        <x:v>PASS</x:v>
      </x:c>
      <x:c r="K1235" s="35" t="str">
        <x:v>PASS</x:v>
      </x:c>
      <x:c r="L1235" s="35" t="str">
        <x:v>FAIL</x:v>
      </x:c>
      <x:c r="M1235" s="35" t="str">
        <x:v>numeric coverage for applicable metric</x:v>
      </x:c>
      <x:c r="N1235" s="35" t="str">
        <x:v>Deepseek-flash-v4/Result2/JacksonCore_21/result.json</x:v>
      </x:c>
      <x:c r="O1235" s="39" t="n">
        <x:f>IF(AND(G1235="RECORDED",ISNUMBER(H1235)),H1235,"")</x:f>
        <x:v>11.43</x:v>
      </x:c>
      <x:c r="P1235" s="35" t="str">
        <x:v>INCONCLUSIVE</x:v>
      </x:c>
      <x:c r="Q1235" s="35" t="str">
        <x:v>Deepseek-flash-v4/Result2/JacksonCore_21/result.json</x:v>
      </x:c>
    </x:row>
    <x:row r="1236">
      <x:c r="A1236" s="35" t="str">
        <x:v>deepseek</x:v>
      </x:c>
      <x:c r="B1236" s="35" t="str">
        <x:v>JacksonCore</x:v>
      </x:c>
      <x:c r="C1236" s="35" t="str">
        <x:v>Round2</x:v>
      </x:c>
      <x:c r="D1236" s="35" t="str">
        <x:v>JacksonCore_22</x:v>
      </x:c>
      <x:c r="E1236" s="35" t="str">
        <x:v>Line</x:v>
      </x:c>
      <x:c r="F1236" s="35" t="n">
        <x:v>381</x:v>
      </x:c>
      <x:c r="G1236" s="35" t="str">
        <x:v>RECORDED</x:v>
      </x:c>
      <x:c r="H1236" s="39" t="n">
        <x:f>IF(ISNUMBER('Data'!E1236),'Data'!E1236*100,"")</x:f>
        <x:v>40.68</x:v>
      </x:c>
      <x:c r="I1236" s="35" t="str">
        <x:v>PASS</x:v>
      </x:c>
      <x:c r="J1236" s="35" t="str">
        <x:v>PASS</x:v>
      </x:c>
      <x:c r="K1236" s="35" t="str">
        <x:v>PASS</x:v>
      </x:c>
      <x:c r="L1236" s="35" t="str">
        <x:v>FAIL</x:v>
      </x:c>
      <x:c r="M1236" s="35" t="str">
        <x:v>numeric coverage for applicable metric</x:v>
      </x:c>
      <x:c r="N1236" s="35" t="str">
        <x:v>Deepseek-flash-v4/Result2/JacksonCore_22/result.json</x:v>
      </x:c>
      <x:c r="O1236" s="39" t="n">
        <x:f>IF(AND(G1236="RECORDED",ISNUMBER(H1236)),H1236,"")</x:f>
        <x:v>40.68</x:v>
      </x:c>
      <x:c r="P1236" s="35" t="str">
        <x:v>INCONCLUSIVE</x:v>
      </x:c>
      <x:c r="Q1236" s="35" t="str">
        <x:v>Deepseek-flash-v4/Result2/JacksonCore_22/result.json</x:v>
      </x:c>
    </x:row>
    <x:row r="1237">
      <x:c r="A1237" s="35" t="str">
        <x:v>deepseek</x:v>
      </x:c>
      <x:c r="B1237" s="35" t="str">
        <x:v>JacksonCore</x:v>
      </x:c>
      <x:c r="C1237" s="35" t="str">
        <x:v>Round2</x:v>
      </x:c>
      <x:c r="D1237" s="35" t="str">
        <x:v>JacksonCore_23</x:v>
      </x:c>
      <x:c r="E1237" s="35" t="str">
        <x:v>Line</x:v>
      </x:c>
      <x:c r="F1237" s="35"/>
      <x:c r="G1237" s="35" t="str">
        <x:v>A</x:v>
      </x:c>
      <x:c r="H1237" s="39" t="str">
        <x:f>IF(ISNUMBER('Data'!E1237),'Data'!E1237*100,"")</x:f>
      </x:c>
      <x:c r="I1237" s="35"/>
      <x:c r="J1237" s="35" t="str">
        <x:v>PASS</x:v>
      </x:c>
      <x:c r="K1237" s="35" t="str">
        <x:v>FAIL</x:v>
      </x:c>
      <x:c r="L1237" s="35" t="str">
        <x:v>NOT_RUN</x:v>
      </x:c>
      <x:c r="M1237" s="35" t="str">
        <x:v>coverage unavailable or execution/compile failed</x:v>
      </x:c>
      <x:c r="N1237" s="35" t="str">
        <x:v>Deepseek-flash-v4/Result2/JacksonCore_23/result.json</x:v>
      </x:c>
      <x:c r="O1237" s="39" t="str">
        <x:f>IF(AND(G1237="RECORDED",ISNUMBER(H1237)),H1237,"")</x:f>
      </x:c>
      <x:c r="P1237" s="35" t="str">
        <x:v>NOT_AVAILABLE</x:v>
      </x:c>
      <x:c r="Q1237" s="35" t="str">
        <x:v>Deepseek-flash-v4/Result2/JacksonCore_23/result.json</x:v>
      </x:c>
    </x:row>
    <x:row r="1238">
      <x:c r="A1238" s="35" t="str">
        <x:v>deepseek</x:v>
      </x:c>
      <x:c r="B1238" s="35" t="str">
        <x:v>JacksonCore</x:v>
      </x:c>
      <x:c r="C1238" s="35" t="str">
        <x:v>Round2</x:v>
      </x:c>
      <x:c r="D1238" s="35" t="str">
        <x:v>JacksonCore_24</x:v>
      </x:c>
      <x:c r="E1238" s="35" t="str">
        <x:v>Line</x:v>
      </x:c>
      <x:c r="F1238" s="35"/>
      <x:c r="G1238" s="35" t="str">
        <x:v>A</x:v>
      </x:c>
      <x:c r="H1238" s="39" t="str">
        <x:f>IF(ISNUMBER('Data'!E1238),'Data'!E1238*100,"")</x:f>
      </x:c>
      <x:c r="I1238" s="35"/>
      <x:c r="J1238" s="35" t="str">
        <x:v>PASS</x:v>
      </x:c>
      <x:c r="K1238" s="35" t="str">
        <x:v>FAIL</x:v>
      </x:c>
      <x:c r="L1238" s="35" t="str">
        <x:v>NOT_RUN</x:v>
      </x:c>
      <x:c r="M1238" s="35" t="str">
        <x:v>coverage unavailable or execution/compile failed</x:v>
      </x:c>
      <x:c r="N1238" s="35" t="str">
        <x:v>Deepseek-flash-v4/Result2/JacksonCore_24/result.json</x:v>
      </x:c>
      <x:c r="O1238" s="39" t="str">
        <x:f>IF(AND(G1238="RECORDED",ISNUMBER(H1238)),H1238,"")</x:f>
      </x:c>
      <x:c r="P1238" s="35" t="str">
        <x:v>NOT_AVAILABLE</x:v>
      </x:c>
      <x:c r="Q1238" s="35" t="str">
        <x:v>Deepseek-flash-v4/Result2/JacksonCore_24/result.json</x:v>
      </x:c>
    </x:row>
    <x:row r="1239">
      <x:c r="A1239" s="35" t="str">
        <x:v>deepseek</x:v>
      </x:c>
      <x:c r="B1239" s="35" t="str">
        <x:v>JacksonCore</x:v>
      </x:c>
      <x:c r="C1239" s="35" t="str">
        <x:v>Round2</x:v>
      </x:c>
      <x:c r="D1239" s="35" t="str">
        <x:v>JacksonCore_25</x:v>
      </x:c>
      <x:c r="E1239" s="35" t="str">
        <x:v>Line</x:v>
      </x:c>
      <x:c r="F1239" s="35"/>
      <x:c r="G1239" s="35" t="str">
        <x:v>A</x:v>
      </x:c>
      <x:c r="H1239" s="39" t="str">
        <x:f>IF(ISNUMBER('Data'!E1239),'Data'!E1239*100,"")</x:f>
      </x:c>
      <x:c r="I1239" s="35"/>
      <x:c r="J1239" s="35" t="str">
        <x:v>PASS</x:v>
      </x:c>
      <x:c r="K1239" s="35" t="str">
        <x:v>FAIL</x:v>
      </x:c>
      <x:c r="L1239" s="35" t="str">
        <x:v>NOT_RUN</x:v>
      </x:c>
      <x:c r="M1239" s="35" t="str">
        <x:v>coverage unavailable or execution/compile failed</x:v>
      </x:c>
      <x:c r="N1239" s="35" t="str">
        <x:v>Deepseek-flash-v4/Result2/JacksonCore_25/result.json</x:v>
      </x:c>
      <x:c r="O1239" s="39" t="str">
        <x:f>IF(AND(G1239="RECORDED",ISNUMBER(H1239)),H1239,"")</x:f>
      </x:c>
      <x:c r="P1239" s="35" t="str">
        <x:v>NOT_AVAILABLE</x:v>
      </x:c>
      <x:c r="Q1239" s="35" t="str">
        <x:v>Deepseek-flash-v4/Result2/JacksonCore_25/result.json</x:v>
      </x:c>
    </x:row>
    <x:row r="1240">
      <x:c r="A1240" s="35" t="str">
        <x:v>deepseek</x:v>
      </x:c>
      <x:c r="B1240" s="35" t="str">
        <x:v>JacksonCore</x:v>
      </x:c>
      <x:c r="C1240" s="35" t="str">
        <x:v>Round2</x:v>
      </x:c>
      <x:c r="D1240" s="35" t="str">
        <x:v>JacksonCore_26</x:v>
      </x:c>
      <x:c r="E1240" s="35" t="str">
        <x:v>Line</x:v>
      </x:c>
      <x:c r="F1240" s="35" t="n">
        <x:v>1482</x:v>
      </x:c>
      <x:c r="G1240" s="35" t="str">
        <x:v>RECORDED</x:v>
      </x:c>
      <x:c r="H1240" s="39" t="n">
        <x:f>IF(ISNUMBER('Data'!E1240),'Data'!E1240*100,"")</x:f>
        <x:v>14.04</x:v>
      </x:c>
      <x:c r="I1240" s="35" t="str">
        <x:v>PASS</x:v>
      </x:c>
      <x:c r="J1240" s="35" t="str">
        <x:v>PASS</x:v>
      </x:c>
      <x:c r="K1240" s="35" t="str">
        <x:v>PASS</x:v>
      </x:c>
      <x:c r="L1240" s="35" t="str">
        <x:v>FAIL</x:v>
      </x:c>
      <x:c r="M1240" s="35" t="str">
        <x:v>numeric coverage for applicable metric</x:v>
      </x:c>
      <x:c r="N1240" s="35" t="str">
        <x:v>Deepseek-flash-v4/Result2/JacksonCore_26/result.json</x:v>
      </x:c>
      <x:c r="O1240" s="39" t="n">
        <x:f>IF(AND(G1240="RECORDED",ISNUMBER(H1240)),H1240,"")</x:f>
        <x:v>14.04</x:v>
      </x:c>
      <x:c r="P1240" s="35" t="str">
        <x:v>INCONCLUSIVE</x:v>
      </x:c>
      <x:c r="Q1240" s="35" t="str">
        <x:v>Deepseek-flash-v4/Result2/JacksonCore_26/result.json</x:v>
      </x:c>
    </x:row>
    <x:row r="1241">
      <x:c r="A1241" s="35" t="str">
        <x:v>deepseek</x:v>
      </x:c>
      <x:c r="B1241" s="35" t="str">
        <x:v>JacksonCore</x:v>
      </x:c>
      <x:c r="C1241" s="35" t="str">
        <x:v>Round2</x:v>
      </x:c>
      <x:c r="D1241" s="35" t="str">
        <x:v>JacksonCore_3</x:v>
      </x:c>
      <x:c r="E1241" s="35" t="str">
        <x:v>Line</x:v>
      </x:c>
      <x:c r="F1241" s="35"/>
      <x:c r="G1241" s="35" t="str">
        <x:v>A</x:v>
      </x:c>
      <x:c r="H1241" s="39" t="str">
        <x:f>IF(ISNUMBER('Data'!E1241),'Data'!E1241*100,"")</x:f>
      </x:c>
      <x:c r="I1241" s="35"/>
      <x:c r="J1241" s="35" t="str">
        <x:v>PASS</x:v>
      </x:c>
      <x:c r="K1241" s="35" t="str">
        <x:v>FAIL</x:v>
      </x:c>
      <x:c r="L1241" s="35" t="str">
        <x:v>NOT_RUN</x:v>
      </x:c>
      <x:c r="M1241" s="35" t="str">
        <x:v>coverage unavailable or execution/compile failed</x:v>
      </x:c>
      <x:c r="N1241" s="35" t="str">
        <x:v>Deepseek-flash-v4/Result2/JacksonCore_3/result.json</x:v>
      </x:c>
      <x:c r="O1241" s="39" t="str">
        <x:f>IF(AND(G1241="RECORDED",ISNUMBER(H1241)),H1241,"")</x:f>
      </x:c>
      <x:c r="P1241" s="35" t="str">
        <x:v>NOT_AVAILABLE</x:v>
      </x:c>
      <x:c r="Q1241" s="35" t="str">
        <x:v>Deepseek-flash-v4/Result2/JacksonCore_3/result.json</x:v>
      </x:c>
    </x:row>
    <x:row r="1242">
      <x:c r="A1242" s="35" t="str">
        <x:v>deepseek</x:v>
      </x:c>
      <x:c r="B1242" s="35" t="str">
        <x:v>JacksonCore</x:v>
      </x:c>
      <x:c r="C1242" s="35" t="str">
        <x:v>Round2</x:v>
      </x:c>
      <x:c r="D1242" s="35" t="str">
        <x:v>JacksonCore_4</x:v>
      </x:c>
      <x:c r="E1242" s="35" t="str">
        <x:v>Line</x:v>
      </x:c>
      <x:c r="F1242" s="35"/>
      <x:c r="G1242" s="35" t="str">
        <x:v>A</x:v>
      </x:c>
      <x:c r="H1242" s="39" t="str">
        <x:f>IF(ISNUMBER('Data'!E1242),'Data'!E1242*100,"")</x:f>
      </x:c>
      <x:c r="I1242" s="35"/>
      <x:c r="J1242" s="35" t="str">
        <x:v>PASS</x:v>
      </x:c>
      <x:c r="K1242" s="35" t="str">
        <x:v>FAIL</x:v>
      </x:c>
      <x:c r="L1242" s="35" t="str">
        <x:v>NOT_RUN</x:v>
      </x:c>
      <x:c r="M1242" s="35" t="str">
        <x:v>coverage unavailable or execution/compile failed</x:v>
      </x:c>
      <x:c r="N1242" s="35" t="str">
        <x:v>Deepseek-flash-v4/Result2/JacksonCore_4/result.json</x:v>
      </x:c>
      <x:c r="O1242" s="39" t="str">
        <x:f>IF(AND(G1242="RECORDED",ISNUMBER(H1242)),H1242,"")</x:f>
      </x:c>
      <x:c r="P1242" s="35" t="str">
        <x:v>NOT_AVAILABLE</x:v>
      </x:c>
      <x:c r="Q1242" s="35" t="str">
        <x:v>Deepseek-flash-v4/Result2/JacksonCore_4/result.json</x:v>
      </x:c>
    </x:row>
    <x:row r="1243">
      <x:c r="A1243" s="35" t="str">
        <x:v>deepseek</x:v>
      </x:c>
      <x:c r="B1243" s="35" t="str">
        <x:v>JacksonCore</x:v>
      </x:c>
      <x:c r="C1243" s="35" t="str">
        <x:v>Round2</x:v>
      </x:c>
      <x:c r="D1243" s="35" t="str">
        <x:v>JacksonCore_5</x:v>
      </x:c>
      <x:c r="E1243" s="35" t="str">
        <x:v>Line</x:v>
      </x:c>
      <x:c r="F1243" s="35" t="n">
        <x:v>84</x:v>
      </x:c>
      <x:c r="G1243" s="35" t="str">
        <x:v>RECORDED</x:v>
      </x:c>
      <x:c r="H1243" s="39" t="n">
        <x:f>IF(ISNUMBER('Data'!E1243),'Data'!E1243*100,"")</x:f>
        <x:v>97.62</x:v>
      </x:c>
      <x:c r="I1243" s="35" t="str">
        <x:v>PASS</x:v>
      </x:c>
      <x:c r="J1243" s="35" t="str">
        <x:v>PASS</x:v>
      </x:c>
      <x:c r="K1243" s="35" t="str">
        <x:v>PASS</x:v>
      </x:c>
      <x:c r="L1243" s="35" t="str">
        <x:v>PASS</x:v>
      </x:c>
      <x:c r="M1243" s="35" t="str">
        <x:v>numeric coverage for applicable metric</x:v>
      </x:c>
      <x:c r="N1243" s="35" t="str">
        <x:v>Deepseek-flash-v4/Result2/JacksonCore_5/result.json</x:v>
      </x:c>
      <x:c r="O1243" s="39" t="n">
        <x:f>IF(AND(G1243="RECORDED",ISNUMBER(H1243)),H1243,"")</x:f>
        <x:v>97.62</x:v>
      </x:c>
      <x:c r="P1243" s="35" t="str">
        <x:v>NOT_REVEALING</x:v>
      </x:c>
      <x:c r="Q1243" s="35" t="str">
        <x:v>Deepseek-flash-v4/Result2/JacksonCore_5/result.json</x:v>
      </x:c>
    </x:row>
    <x:row r="1244">
      <x:c r="A1244" s="35" t="str">
        <x:v>deepseek</x:v>
      </x:c>
      <x:c r="B1244" s="35" t="str">
        <x:v>JacksonCore</x:v>
      </x:c>
      <x:c r="C1244" s="35" t="str">
        <x:v>Round2</x:v>
      </x:c>
      <x:c r="D1244" s="35" t="str">
        <x:v>JacksonCore_6</x:v>
      </x:c>
      <x:c r="E1244" s="35" t="str">
        <x:v>Line</x:v>
      </x:c>
      <x:c r="F1244" s="35" t="n">
        <x:v>84</x:v>
      </x:c>
      <x:c r="G1244" s="35" t="str">
        <x:v>RECORDED</x:v>
      </x:c>
      <x:c r="H1244" s="39" t="n">
        <x:f>IF(ISNUMBER('Data'!E1244),'Data'!E1244*100,"")</x:f>
        <x:v>95.24</x:v>
      </x:c>
      <x:c r="I1244" s="35" t="str">
        <x:v>PASS</x:v>
      </x:c>
      <x:c r="J1244" s="35" t="str">
        <x:v>PASS</x:v>
      </x:c>
      <x:c r="K1244" s="35" t="str">
        <x:v>PASS</x:v>
      </x:c>
      <x:c r="L1244" s="35" t="str">
        <x:v>FAIL</x:v>
      </x:c>
      <x:c r="M1244" s="35" t="str">
        <x:v>numeric coverage for applicable metric</x:v>
      </x:c>
      <x:c r="N1244" s="35" t="str">
        <x:v>Deepseek-flash-v4/Result2/JacksonCore_6/result.json</x:v>
      </x:c>
      <x:c r="O1244" s="39" t="n">
        <x:f>IF(AND(G1244="RECORDED",ISNUMBER(H1244)),H1244,"")</x:f>
        <x:v>95.24</x:v>
      </x:c>
      <x:c r="P1244" s="35" t="str">
        <x:v>INCONCLUSIVE</x:v>
      </x:c>
      <x:c r="Q1244" s="35" t="str">
        <x:v>Deepseek-flash-v4/Result2/JacksonCore_6/result.json</x:v>
      </x:c>
    </x:row>
    <x:row r="1245">
      <x:c r="A1245" s="35" t="str">
        <x:v>deepseek</x:v>
      </x:c>
      <x:c r="B1245" s="35" t="str">
        <x:v>JacksonCore</x:v>
      </x:c>
      <x:c r="C1245" s="35" t="str">
        <x:v>Round2</x:v>
      </x:c>
      <x:c r="D1245" s="35" t="str">
        <x:v>JacksonCore_7</x:v>
      </x:c>
      <x:c r="E1245" s="35" t="str">
        <x:v>Line</x:v>
      </x:c>
      <x:c r="F1245" s="35"/>
      <x:c r="G1245" s="35" t="str">
        <x:v>A</x:v>
      </x:c>
      <x:c r="H1245" s="39" t="str">
        <x:f>IF(ISNUMBER('Data'!E1245),'Data'!E1245*100,"")</x:f>
      </x:c>
      <x:c r="I1245" s="35"/>
      <x:c r="J1245" s="35" t="str">
        <x:v>PASS</x:v>
      </x:c>
      <x:c r="K1245" s="35" t="str">
        <x:v>FAIL</x:v>
      </x:c>
      <x:c r="L1245" s="35" t="str">
        <x:v>NOT_RUN</x:v>
      </x:c>
      <x:c r="M1245" s="35" t="str">
        <x:v>coverage unavailable or execution/compile failed</x:v>
      </x:c>
      <x:c r="N1245" s="35" t="str">
        <x:v>Deepseek-flash-v4/Result2/JacksonCore_7/result.json</x:v>
      </x:c>
      <x:c r="O1245" s="39" t="str">
        <x:f>IF(AND(G1245="RECORDED",ISNUMBER(H1245)),H1245,"")</x:f>
      </x:c>
      <x:c r="P1245" s="35" t="str">
        <x:v>NOT_AVAILABLE</x:v>
      </x:c>
      <x:c r="Q1245" s="35" t="str">
        <x:v>Deepseek-flash-v4/Result2/JacksonCore_7/result.json</x:v>
      </x:c>
    </x:row>
    <x:row r="1246">
      <x:c r="A1246" s="35" t="str">
        <x:v>deepseek</x:v>
      </x:c>
      <x:c r="B1246" s="35" t="str">
        <x:v>JacksonCore</x:v>
      </x:c>
      <x:c r="C1246" s="35" t="str">
        <x:v>Round2</x:v>
      </x:c>
      <x:c r="D1246" s="35" t="str">
        <x:v>JacksonCore_8</x:v>
      </x:c>
      <x:c r="E1246" s="35" t="str">
        <x:v>Line</x:v>
      </x:c>
      <x:c r="F1246" s="35" t="n">
        <x:v>271</x:v>
      </x:c>
      <x:c r="G1246" s="35" t="str">
        <x:v>RECORDED</x:v>
      </x:c>
      <x:c r="H1246" s="39" t="n">
        <x:f>IF(ISNUMBER('Data'!E1246),'Data'!E1246*100,"")</x:f>
        <x:v>60.52000000000001</x:v>
      </x:c>
      <x:c r="I1246" s="35" t="str">
        <x:v>PASS</x:v>
      </x:c>
      <x:c r="J1246" s="35" t="str">
        <x:v>PASS</x:v>
      </x:c>
      <x:c r="K1246" s="35" t="str">
        <x:v>PASS</x:v>
      </x:c>
      <x:c r="L1246" s="35" t="str">
        <x:v>FAIL</x:v>
      </x:c>
      <x:c r="M1246" s="35" t="str">
        <x:v>numeric coverage for applicable metric</x:v>
      </x:c>
      <x:c r="N1246" s="35" t="str">
        <x:v>Deepseek-flash-v4/Result2/JacksonCore_8/result.json</x:v>
      </x:c>
      <x:c r="O1246" s="39" t="n">
        <x:f>IF(AND(G1246="RECORDED",ISNUMBER(H1246)),H1246,"")</x:f>
        <x:v>60.52000000000001</x:v>
      </x:c>
      <x:c r="P1246" s="35" t="str">
        <x:v>INCONCLUSIVE</x:v>
      </x:c>
      <x:c r="Q1246" s="35" t="str">
        <x:v>Deepseek-flash-v4/Result2/JacksonCore_8/result.json</x:v>
      </x:c>
    </x:row>
    <x:row r="1247">
      <x:c r="A1247" s="35" t="str">
        <x:v>deepseek</x:v>
      </x:c>
      <x:c r="B1247" s="35" t="str">
        <x:v>JacksonCore</x:v>
      </x:c>
      <x:c r="C1247" s="35" t="str">
        <x:v>Round2</x:v>
      </x:c>
      <x:c r="D1247" s="35" t="str">
        <x:v>JacksonCore_9</x:v>
      </x:c>
      <x:c r="E1247" s="35" t="str">
        <x:v>Line</x:v>
      </x:c>
      <x:c r="F1247" s="35"/>
      <x:c r="G1247" s="35" t="str">
        <x:v>A</x:v>
      </x:c>
      <x:c r="H1247" s="39" t="str">
        <x:f>IF(ISNUMBER('Data'!E1247),'Data'!E1247*100,"")</x:f>
      </x:c>
      <x:c r="I1247" s="35"/>
      <x:c r="J1247" s="35" t="str">
        <x:v>PASS</x:v>
      </x:c>
      <x:c r="K1247" s="35" t="str">
        <x:v>FAIL</x:v>
      </x:c>
      <x:c r="L1247" s="35" t="str">
        <x:v>NOT_RUN</x:v>
      </x:c>
      <x:c r="M1247" s="35" t="str">
        <x:v>coverage unavailable or execution/compile failed</x:v>
      </x:c>
      <x:c r="N1247" s="35" t="str">
        <x:v>Deepseek-flash-v4/Result2/JacksonCore_9/result.json</x:v>
      </x:c>
      <x:c r="O1247" s="39" t="str">
        <x:f>IF(AND(G1247="RECORDED",ISNUMBER(H1247)),H1247,"")</x:f>
      </x:c>
      <x:c r="P1247" s="35" t="str">
        <x:v>NOT_AVAILABLE</x:v>
      </x:c>
      <x:c r="Q1247" s="35" t="str">
        <x:v>Deepseek-flash-v4/Result2/JacksonCore_9/result.json</x:v>
      </x:c>
    </x:row>
    <x:row r="1248">
      <x:c r="A1248" s="35" t="str">
        <x:v>deepseek</x:v>
      </x:c>
      <x:c r="B1248" s="35" t="str">
        <x:v>JacksonDatabind</x:v>
      </x:c>
      <x:c r="C1248" s="35" t="str">
        <x:v>Round2</x:v>
      </x:c>
      <x:c r="D1248" s="35" t="str">
        <x:v>JacksonDatabind_1</x:v>
      </x:c>
      <x:c r="E1248" s="35" t="str">
        <x:v>Line</x:v>
      </x:c>
      <x:c r="F1248" s="35"/>
      <x:c r="G1248" s="35" t="str">
        <x:v>A</x:v>
      </x:c>
      <x:c r="H1248" s="39" t="str">
        <x:f>IF(ISNUMBER('Data'!E1248),'Data'!E1248*100,"")</x:f>
      </x:c>
      <x:c r="I1248" s="35"/>
      <x:c r="J1248" s="35" t="str">
        <x:v>PASS</x:v>
      </x:c>
      <x:c r="K1248" s="35" t="str">
        <x:v>FAIL</x:v>
      </x:c>
      <x:c r="L1248" s="35" t="str">
        <x:v>NOT_RUN</x:v>
      </x:c>
      <x:c r="M1248" s="35" t="str">
        <x:v>coverage unavailable or execution/compile failed</x:v>
      </x:c>
      <x:c r="N1248" s="35" t="str">
        <x:v>Deepseek-flash-v4/Result2/JacksonDatabind_1/result.json</x:v>
      </x:c>
      <x:c r="O1248" s="39" t="str">
        <x:f>IF(AND(G1248="RECORDED",ISNUMBER(H1248)),H1248,"")</x:f>
      </x:c>
      <x:c r="P1248" s="35" t="str">
        <x:v>NOT_AVAILABLE</x:v>
      </x:c>
      <x:c r="Q1248" s="35" t="str">
        <x:v>Deepseek-flash-v4/Result2/JacksonDatabind_1/result.json</x:v>
      </x:c>
    </x:row>
    <x:row r="1249">
      <x:c r="A1249" s="35" t="str">
        <x:v>deepseek</x:v>
      </x:c>
      <x:c r="B1249" s="35" t="str">
        <x:v>JacksonDatabind</x:v>
      </x:c>
      <x:c r="C1249" s="35" t="str">
        <x:v>Round2</x:v>
      </x:c>
      <x:c r="D1249" s="35" t="str">
        <x:v>JacksonDatabind_10</x:v>
      </x:c>
      <x:c r="E1249" s="35" t="str">
        <x:v>Line</x:v>
      </x:c>
      <x:c r="F1249" s="35"/>
      <x:c r="G1249" s="35" t="str">
        <x:v>A</x:v>
      </x:c>
      <x:c r="H1249" s="39" t="str">
        <x:f>IF(ISNUMBER('Data'!E1249),'Data'!E1249*100,"")</x:f>
      </x:c>
      <x:c r="I1249" s="35"/>
      <x:c r="J1249" s="35" t="str">
        <x:v>PASS</x:v>
      </x:c>
      <x:c r="K1249" s="35" t="str">
        <x:v>FAIL</x:v>
      </x:c>
      <x:c r="L1249" s="35" t="str">
        <x:v>NOT_RUN</x:v>
      </x:c>
      <x:c r="M1249" s="35" t="str">
        <x:v>coverage unavailable or execution/compile failed</x:v>
      </x:c>
      <x:c r="N1249" s="35" t="str">
        <x:v>Deepseek-flash-v4/Result2/JacksonDatabind_10/result.json</x:v>
      </x:c>
      <x:c r="O1249" s="39" t="str">
        <x:f>IF(AND(G1249="RECORDED",ISNUMBER(H1249)),H1249,"")</x:f>
      </x:c>
      <x:c r="P1249" s="35" t="str">
        <x:v>NOT_AVAILABLE</x:v>
      </x:c>
      <x:c r="Q1249" s="35" t="str">
        <x:v>Deepseek-flash-v4/Result2/JacksonDatabind_10/result.json</x:v>
      </x:c>
    </x:row>
    <x:row r="1250">
      <x:c r="A1250" s="35" t="str">
        <x:v>deepseek</x:v>
      </x:c>
      <x:c r="B1250" s="35" t="str">
        <x:v>JacksonDatabind</x:v>
      </x:c>
      <x:c r="C1250" s="35" t="str">
        <x:v>Round2</x:v>
      </x:c>
      <x:c r="D1250" s="35" t="str">
        <x:v>JacksonDatabind_100</x:v>
      </x:c>
      <x:c r="E1250" s="35" t="str">
        <x:v>Line</x:v>
      </x:c>
      <x:c r="F1250" s="35"/>
      <x:c r="G1250" s="35" t="str">
        <x:v>A</x:v>
      </x:c>
      <x:c r="H1250" s="39" t="str">
        <x:f>IF(ISNUMBER('Data'!E1250),'Data'!E1250*100,"")</x:f>
      </x:c>
      <x:c r="I1250" s="35"/>
      <x:c r="J1250" s="35" t="str">
        <x:v>PASS</x:v>
      </x:c>
      <x:c r="K1250" s="35" t="str">
        <x:v>FAIL</x:v>
      </x:c>
      <x:c r="L1250" s="35" t="str">
        <x:v>NOT_RUN</x:v>
      </x:c>
      <x:c r="M1250" s="35" t="str">
        <x:v>coverage unavailable or execution/compile failed</x:v>
      </x:c>
      <x:c r="N1250" s="35" t="str">
        <x:v>Deepseek-flash-v4/Result2/JacksonDatabind_100/result.json</x:v>
      </x:c>
      <x:c r="O1250" s="39" t="str">
        <x:f>IF(AND(G1250="RECORDED",ISNUMBER(H1250)),H1250,"")</x:f>
      </x:c>
      <x:c r="P1250" s="35" t="str">
        <x:v>NOT_AVAILABLE</x:v>
      </x:c>
      <x:c r="Q1250" s="35" t="str">
        <x:v>Deepseek-flash-v4/Result2/JacksonDatabind_100/result.json</x:v>
      </x:c>
    </x:row>
    <x:row r="1251">
      <x:c r="A1251" s="35" t="str">
        <x:v>deepseek</x:v>
      </x:c>
      <x:c r="B1251" s="35" t="str">
        <x:v>JacksonDatabind</x:v>
      </x:c>
      <x:c r="C1251" s="35" t="str">
        <x:v>Round2</x:v>
      </x:c>
      <x:c r="D1251" s="35" t="str">
        <x:v>JacksonDatabind_101</x:v>
      </x:c>
      <x:c r="E1251" s="35" t="str">
        <x:v>Line</x:v>
      </x:c>
      <x:c r="F1251" s="35"/>
      <x:c r="G1251" s="35" t="str">
        <x:v>A</x:v>
      </x:c>
      <x:c r="H1251" s="39" t="str">
        <x:f>IF(ISNUMBER('Data'!E1251),'Data'!E1251*100,"")</x:f>
      </x:c>
      <x:c r="I1251" s="35"/>
      <x:c r="J1251" s="35" t="str">
        <x:v>PASS</x:v>
      </x:c>
      <x:c r="K1251" s="35" t="str">
        <x:v>FAIL</x:v>
      </x:c>
      <x:c r="L1251" s="35" t="str">
        <x:v>NOT_RUN</x:v>
      </x:c>
      <x:c r="M1251" s="35" t="str">
        <x:v>coverage unavailable or execution/compile failed</x:v>
      </x:c>
      <x:c r="N1251" s="35" t="str">
        <x:v>Deepseek-flash-v4/Result2/JacksonDatabind_101/result.json</x:v>
      </x:c>
      <x:c r="O1251" s="39" t="str">
        <x:f>IF(AND(G1251="RECORDED",ISNUMBER(H1251)),H1251,"")</x:f>
      </x:c>
      <x:c r="P1251" s="35" t="str">
        <x:v>NOT_AVAILABLE</x:v>
      </x:c>
      <x:c r="Q1251" s="35" t="str">
        <x:v>Deepseek-flash-v4/Result2/JacksonDatabind_101/result.json</x:v>
      </x:c>
    </x:row>
    <x:row r="1252">
      <x:c r="A1252" s="35" t="str">
        <x:v>deepseek</x:v>
      </x:c>
      <x:c r="B1252" s="35" t="str">
        <x:v>JacksonDatabind</x:v>
      </x:c>
      <x:c r="C1252" s="35" t="str">
        <x:v>Round2</x:v>
      </x:c>
      <x:c r="D1252" s="35" t="str">
        <x:v>JacksonDatabind_102</x:v>
      </x:c>
      <x:c r="E1252" s="35" t="str">
        <x:v>Line</x:v>
      </x:c>
      <x:c r="F1252" s="35"/>
      <x:c r="G1252" s="35" t="str">
        <x:v>A</x:v>
      </x:c>
      <x:c r="H1252" s="39" t="str">
        <x:f>IF(ISNUMBER('Data'!E1252),'Data'!E1252*100,"")</x:f>
      </x:c>
      <x:c r="I1252" s="35"/>
      <x:c r="J1252" s="35" t="str">
        <x:v>PASS</x:v>
      </x:c>
      <x:c r="K1252" s="35" t="str">
        <x:v>FAIL</x:v>
      </x:c>
      <x:c r="L1252" s="35" t="str">
        <x:v>NOT_RUN</x:v>
      </x:c>
      <x:c r="M1252" s="35" t="str">
        <x:v>coverage unavailable or execution/compile failed</x:v>
      </x:c>
      <x:c r="N1252" s="35" t="str">
        <x:v>Deepseek-flash-v4/Result2/JacksonDatabind_102/result.json</x:v>
      </x:c>
      <x:c r="O1252" s="39" t="str">
        <x:f>IF(AND(G1252="RECORDED",ISNUMBER(H1252)),H1252,"")</x:f>
      </x:c>
      <x:c r="P1252" s="35" t="str">
        <x:v>NOT_AVAILABLE</x:v>
      </x:c>
      <x:c r="Q1252" s="35" t="str">
        <x:v>Deepseek-flash-v4/Result2/JacksonDatabind_102/result.json</x:v>
      </x:c>
    </x:row>
    <x:row r="1253">
      <x:c r="A1253" s="35" t="str">
        <x:v>deepseek</x:v>
      </x:c>
      <x:c r="B1253" s="35" t="str">
        <x:v>JacksonDatabind</x:v>
      </x:c>
      <x:c r="C1253" s="35" t="str">
        <x:v>Round2</x:v>
      </x:c>
      <x:c r="D1253" s="35" t="str">
        <x:v>JacksonDatabind_103</x:v>
      </x:c>
      <x:c r="E1253" s="35" t="str">
        <x:v>Line</x:v>
      </x:c>
      <x:c r="F1253" s="35"/>
      <x:c r="G1253" s="35" t="str">
        <x:v>A</x:v>
      </x:c>
      <x:c r="H1253" s="39" t="str">
        <x:f>IF(ISNUMBER('Data'!E1253),'Data'!E1253*100,"")</x:f>
      </x:c>
      <x:c r="I1253" s="35"/>
      <x:c r="J1253" s="35" t="str">
        <x:v>PASS</x:v>
      </x:c>
      <x:c r="K1253" s="35" t="str">
        <x:v>FAIL</x:v>
      </x:c>
      <x:c r="L1253" s="35" t="str">
        <x:v>NOT_RUN</x:v>
      </x:c>
      <x:c r="M1253" s="35" t="str">
        <x:v>coverage unavailable or execution/compile failed</x:v>
      </x:c>
      <x:c r="N1253" s="35" t="str">
        <x:v>Deepseek-flash-v4/Result2/JacksonDatabind_103/result.json</x:v>
      </x:c>
      <x:c r="O1253" s="39" t="str">
        <x:f>IF(AND(G1253="RECORDED",ISNUMBER(H1253)),H1253,"")</x:f>
      </x:c>
      <x:c r="P1253" s="35" t="str">
        <x:v>NOT_AVAILABLE</x:v>
      </x:c>
      <x:c r="Q1253" s="35" t="str">
        <x:v>Deepseek-flash-v4/Result2/JacksonDatabind_103/result.json</x:v>
      </x:c>
    </x:row>
    <x:row r="1254">
      <x:c r="A1254" s="35" t="str">
        <x:v>deepseek</x:v>
      </x:c>
      <x:c r="B1254" s="35" t="str">
        <x:v>JacksonDatabind</x:v>
      </x:c>
      <x:c r="C1254" s="35" t="str">
        <x:v>Round2</x:v>
      </x:c>
      <x:c r="D1254" s="35" t="str">
        <x:v>JacksonDatabind_104</x:v>
      </x:c>
      <x:c r="E1254" s="35" t="str">
        <x:v>Line</x:v>
      </x:c>
      <x:c r="F1254" s="35"/>
      <x:c r="G1254" s="35" t="str">
        <x:v>A</x:v>
      </x:c>
      <x:c r="H1254" s="39" t="str">
        <x:f>IF(ISNUMBER('Data'!E1254),'Data'!E1254*100,"")</x:f>
      </x:c>
      <x:c r="I1254" s="35"/>
      <x:c r="J1254" s="35" t="str">
        <x:v>PASS</x:v>
      </x:c>
      <x:c r="K1254" s="35" t="str">
        <x:v>FAIL</x:v>
      </x:c>
      <x:c r="L1254" s="35" t="str">
        <x:v>NOT_RUN</x:v>
      </x:c>
      <x:c r="M1254" s="35" t="str">
        <x:v>coverage unavailable or execution/compile failed</x:v>
      </x:c>
      <x:c r="N1254" s="35" t="str">
        <x:v>Deepseek-flash-v4/Result2/JacksonDatabind_104/result.json</x:v>
      </x:c>
      <x:c r="O1254" s="39" t="str">
        <x:f>IF(AND(G1254="RECORDED",ISNUMBER(H1254)),H1254,"")</x:f>
      </x:c>
      <x:c r="P1254" s="35" t="str">
        <x:v>NOT_AVAILABLE</x:v>
      </x:c>
      <x:c r="Q1254" s="35" t="str">
        <x:v>Deepseek-flash-v4/Result2/JacksonDatabind_104/result.json</x:v>
      </x:c>
    </x:row>
    <x:row r="1255">
      <x:c r="A1255" s="35" t="str">
        <x:v>deepseek</x:v>
      </x:c>
      <x:c r="B1255" s="35" t="str">
        <x:v>JacksonDatabind</x:v>
      </x:c>
      <x:c r="C1255" s="35" t="str">
        <x:v>Round2</x:v>
      </x:c>
      <x:c r="D1255" s="35" t="str">
        <x:v>JacksonDatabind_105</x:v>
      </x:c>
      <x:c r="E1255" s="35" t="str">
        <x:v>Line</x:v>
      </x:c>
      <x:c r="F1255" s="35" t="n">
        <x:v>19</x:v>
      </x:c>
      <x:c r="G1255" s="35" t="str">
        <x:v>RECORDED</x:v>
      </x:c>
      <x:c r="H1255" s="39" t="n">
        <x:f>IF(ISNUMBER('Data'!E1255),'Data'!E1255*100,"")</x:f>
        <x:v>89.47</x:v>
      </x:c>
      <x:c r="I1255" s="35" t="str">
        <x:v>PASS</x:v>
      </x:c>
      <x:c r="J1255" s="35" t="str">
        <x:v>PASS</x:v>
      </x:c>
      <x:c r="K1255" s="35" t="str">
        <x:v>PASS</x:v>
      </x:c>
      <x:c r="L1255" s="35" t="str">
        <x:v>FAIL</x:v>
      </x:c>
      <x:c r="M1255" s="35" t="str">
        <x:v>numeric coverage for applicable metric</x:v>
      </x:c>
      <x:c r="N1255" s="35" t="str">
        <x:v>Deepseek-flash-v4/Result2/JacksonDatabind_105/result.json</x:v>
      </x:c>
      <x:c r="O1255" s="39" t="n">
        <x:f>IF(AND(G1255="RECORDED",ISNUMBER(H1255)),H1255,"")</x:f>
        <x:v>89.47</x:v>
      </x:c>
      <x:c r="P1255" s="35" t="str">
        <x:v>INCONCLUSIVE</x:v>
      </x:c>
      <x:c r="Q1255" s="35" t="str">
        <x:v>Deepseek-flash-v4/Result2/JacksonDatabind_105/result.json</x:v>
      </x:c>
    </x:row>
    <x:row r="1256">
      <x:c r="A1256" s="35" t="str">
        <x:v>deepseek</x:v>
      </x:c>
      <x:c r="B1256" s="35" t="str">
        <x:v>JacksonDatabind</x:v>
      </x:c>
      <x:c r="C1256" s="35" t="str">
        <x:v>Round2</x:v>
      </x:c>
      <x:c r="D1256" s="35" t="str">
        <x:v>JacksonDatabind_106</x:v>
      </x:c>
      <x:c r="E1256" s="35" t="str">
        <x:v>Line</x:v>
      </x:c>
      <x:c r="F1256" s="35"/>
      <x:c r="G1256" s="35" t="str">
        <x:v>A</x:v>
      </x:c>
      <x:c r="H1256" s="39" t="str">
        <x:f>IF(ISNUMBER('Data'!E1256),'Data'!E1256*100,"")</x:f>
      </x:c>
      <x:c r="I1256" s="35"/>
      <x:c r="J1256" s="35" t="str">
        <x:v>PASS</x:v>
      </x:c>
      <x:c r="K1256" s="35" t="str">
        <x:v>FAIL</x:v>
      </x:c>
      <x:c r="L1256" s="35" t="str">
        <x:v>NOT_RUN</x:v>
      </x:c>
      <x:c r="M1256" s="35" t="str">
        <x:v>coverage unavailable or execution/compile failed</x:v>
      </x:c>
      <x:c r="N1256" s="35" t="str">
        <x:v>Deepseek-flash-v4/Result2/JacksonDatabind_106/result.json</x:v>
      </x:c>
      <x:c r="O1256" s="39" t="str">
        <x:f>IF(AND(G1256="RECORDED",ISNUMBER(H1256)),H1256,"")</x:f>
      </x:c>
      <x:c r="P1256" s="35" t="str">
        <x:v>NOT_AVAILABLE</x:v>
      </x:c>
      <x:c r="Q1256" s="35" t="str">
        <x:v>Deepseek-flash-v4/Result2/JacksonDatabind_106/result.json</x:v>
      </x:c>
    </x:row>
    <x:row r="1257">
      <x:c r="A1257" s="35" t="str">
        <x:v>deepseek</x:v>
      </x:c>
      <x:c r="B1257" s="35" t="str">
        <x:v>JacksonDatabind</x:v>
      </x:c>
      <x:c r="C1257" s="35" t="str">
        <x:v>Round2</x:v>
      </x:c>
      <x:c r="D1257" s="35" t="str">
        <x:v>JacksonDatabind_107</x:v>
      </x:c>
      <x:c r="E1257" s="35" t="str">
        <x:v>Line</x:v>
      </x:c>
      <x:c r="F1257" s="35"/>
      <x:c r="G1257" s="35" t="str">
        <x:v>A</x:v>
      </x:c>
      <x:c r="H1257" s="39" t="str">
        <x:f>IF(ISNUMBER('Data'!E1257),'Data'!E1257*100,"")</x:f>
      </x:c>
      <x:c r="I1257" s="35"/>
      <x:c r="J1257" s="35" t="str">
        <x:v>PASS</x:v>
      </x:c>
      <x:c r="K1257" s="35" t="str">
        <x:v>FAIL</x:v>
      </x:c>
      <x:c r="L1257" s="35" t="str">
        <x:v>NOT_RUN</x:v>
      </x:c>
      <x:c r="M1257" s="35" t="str">
        <x:v>coverage unavailable or execution/compile failed</x:v>
      </x:c>
      <x:c r="N1257" s="35" t="str">
        <x:v>Deepseek-flash-v4/Result2/JacksonDatabind_107/result.json</x:v>
      </x:c>
      <x:c r="O1257" s="39" t="str">
        <x:f>IF(AND(G1257="RECORDED",ISNUMBER(H1257)),H1257,"")</x:f>
      </x:c>
      <x:c r="P1257" s="35" t="str">
        <x:v>NOT_AVAILABLE</x:v>
      </x:c>
      <x:c r="Q1257" s="35" t="str">
        <x:v>Deepseek-flash-v4/Result2/JacksonDatabind_107/result.json</x:v>
      </x:c>
    </x:row>
    <x:row r="1258">
      <x:c r="A1258" s="35" t="str">
        <x:v>deepseek</x:v>
      </x:c>
      <x:c r="B1258" s="35" t="str">
        <x:v>JacksonDatabind</x:v>
      </x:c>
      <x:c r="C1258" s="35" t="str">
        <x:v>Round2</x:v>
      </x:c>
      <x:c r="D1258" s="35" t="str">
        <x:v>JacksonDatabind_108</x:v>
      </x:c>
      <x:c r="E1258" s="35" t="str">
        <x:v>Line</x:v>
      </x:c>
      <x:c r="F1258" s="35" t="n">
        <x:v>432</x:v>
      </x:c>
      <x:c r="G1258" s="35" t="str">
        <x:v>RECORDED</x:v>
      </x:c>
      <x:c r="H1258" s="39" t="n">
        <x:f>IF(ISNUMBER('Data'!E1258),'Data'!E1258*100,"")</x:f>
        <x:v>45.14</x:v>
      </x:c>
      <x:c r="I1258" s="35" t="str">
        <x:v>PASS</x:v>
      </x:c>
      <x:c r="J1258" s="35" t="str">
        <x:v>PASS</x:v>
      </x:c>
      <x:c r="K1258" s="35" t="str">
        <x:v>PASS</x:v>
      </x:c>
      <x:c r="L1258" s="35" t="str">
        <x:v>FAIL</x:v>
      </x:c>
      <x:c r="M1258" s="35" t="str">
        <x:v>numeric coverage for applicable metric</x:v>
      </x:c>
      <x:c r="N1258" s="35" t="str">
        <x:v>Deepseek-flash-v4/Result2/JacksonDatabind_108/result.json</x:v>
      </x:c>
      <x:c r="O1258" s="39" t="n">
        <x:f>IF(AND(G1258="RECORDED",ISNUMBER(H1258)),H1258,"")</x:f>
        <x:v>45.14</x:v>
      </x:c>
      <x:c r="P1258" s="35" t="str">
        <x:v>INCONCLUSIVE</x:v>
      </x:c>
      <x:c r="Q1258" s="35" t="str">
        <x:v>Deepseek-flash-v4/Result2/JacksonDatabind_108/result.json</x:v>
      </x:c>
    </x:row>
    <x:row r="1259">
      <x:c r="A1259" s="35" t="str">
        <x:v>deepseek</x:v>
      </x:c>
      <x:c r="B1259" s="35" t="str">
        <x:v>JacksonDatabind</x:v>
      </x:c>
      <x:c r="C1259" s="35" t="str">
        <x:v>Round2</x:v>
      </x:c>
      <x:c r="D1259" s="35" t="str">
        <x:v>JacksonDatabind_109</x:v>
      </x:c>
      <x:c r="E1259" s="35" t="str">
        <x:v>Line</x:v>
      </x:c>
      <x:c r="F1259" s="35"/>
      <x:c r="G1259" s="35" t="str">
        <x:v>A</x:v>
      </x:c>
      <x:c r="H1259" s="39" t="str">
        <x:f>IF(ISNUMBER('Data'!E1259),'Data'!E1259*100,"")</x:f>
      </x:c>
      <x:c r="I1259" s="35"/>
      <x:c r="J1259" s="35" t="str">
        <x:v>PASS</x:v>
      </x:c>
      <x:c r="K1259" s="35" t="str">
        <x:v>FAIL</x:v>
      </x:c>
      <x:c r="L1259" s="35" t="str">
        <x:v>NOT_RUN</x:v>
      </x:c>
      <x:c r="M1259" s="35" t="str">
        <x:v>coverage unavailable or execution/compile failed</x:v>
      </x:c>
      <x:c r="N1259" s="35" t="str">
        <x:v>Deepseek-flash-v4/Result2/JacksonDatabind_109/result.json</x:v>
      </x:c>
      <x:c r="O1259" s="39" t="str">
        <x:f>IF(AND(G1259="RECORDED",ISNUMBER(H1259)),H1259,"")</x:f>
      </x:c>
      <x:c r="P1259" s="35" t="str">
        <x:v>NOT_AVAILABLE</x:v>
      </x:c>
      <x:c r="Q1259" s="35" t="str">
        <x:v>Deepseek-flash-v4/Result2/JacksonDatabind_109/result.json</x:v>
      </x:c>
    </x:row>
    <x:row r="1260">
      <x:c r="A1260" s="35" t="str">
        <x:v>deepseek</x:v>
      </x:c>
      <x:c r="B1260" s="35" t="str">
        <x:v>JacksonDatabind</x:v>
      </x:c>
      <x:c r="C1260" s="35" t="str">
        <x:v>Round2</x:v>
      </x:c>
      <x:c r="D1260" s="35" t="str">
        <x:v>JacksonDatabind_11</x:v>
      </x:c>
      <x:c r="E1260" s="35" t="str">
        <x:v>Line</x:v>
      </x:c>
      <x:c r="F1260" s="35" t="n">
        <x:v>320</x:v>
      </x:c>
      <x:c r="G1260" s="35" t="str">
        <x:v>RECORDED</x:v>
      </x:c>
      <x:c r="H1260" s="39" t="n">
        <x:f>IF(ISNUMBER('Data'!E1260),'Data'!E1260*100,"")</x:f>
        <x:v>56.25</x:v>
      </x:c>
      <x:c r="I1260" s="35" t="str">
        <x:v>PASS</x:v>
      </x:c>
      <x:c r="J1260" s="35" t="str">
        <x:v>PASS</x:v>
      </x:c>
      <x:c r="K1260" s="35" t="str">
        <x:v>PASS</x:v>
      </x:c>
      <x:c r="L1260" s="35" t="str">
        <x:v>PASS</x:v>
      </x:c>
      <x:c r="M1260" s="35" t="str">
        <x:v>numeric coverage for applicable metric</x:v>
      </x:c>
      <x:c r="N1260" s="35" t="str">
        <x:v>Deepseek-flash-v4/Result2/JacksonDatabind_11/result.json</x:v>
      </x:c>
      <x:c r="O1260" s="39" t="n">
        <x:f>IF(AND(G1260="RECORDED",ISNUMBER(H1260)),H1260,"")</x:f>
        <x:v>56.25</x:v>
      </x:c>
      <x:c r="P1260" s="35" t="str">
        <x:v>NOT_REVEALING</x:v>
      </x:c>
      <x:c r="Q1260" s="35" t="str">
        <x:v>Deepseek-flash-v4/Result2/JacksonDatabind_11/result.json</x:v>
      </x:c>
    </x:row>
    <x:row r="1261">
      <x:c r="A1261" s="35" t="str">
        <x:v>deepseek</x:v>
      </x:c>
      <x:c r="B1261" s="35" t="str">
        <x:v>JacksonDatabind</x:v>
      </x:c>
      <x:c r="C1261" s="35" t="str">
        <x:v>Round2</x:v>
      </x:c>
      <x:c r="D1261" s="35" t="str">
        <x:v>JacksonDatabind_110</x:v>
      </x:c>
      <x:c r="E1261" s="35" t="str">
        <x:v>Line</x:v>
      </x:c>
      <x:c r="F1261" s="35"/>
      <x:c r="G1261" s="35" t="str">
        <x:v>A</x:v>
      </x:c>
      <x:c r="H1261" s="39" t="str">
        <x:f>IF(ISNUMBER('Data'!E1261),'Data'!E1261*100,"")</x:f>
      </x:c>
      <x:c r="I1261" s="35"/>
      <x:c r="J1261" s="35" t="str">
        <x:v>PASS</x:v>
      </x:c>
      <x:c r="K1261" s="35" t="str">
        <x:v>FAIL</x:v>
      </x:c>
      <x:c r="L1261" s="35" t="str">
        <x:v>NOT_RUN</x:v>
      </x:c>
      <x:c r="M1261" s="35" t="str">
        <x:v>coverage unavailable or execution/compile failed</x:v>
      </x:c>
      <x:c r="N1261" s="35" t="str">
        <x:v>Deepseek-flash-v4/Result2/JacksonDatabind_110/result.json</x:v>
      </x:c>
      <x:c r="O1261" s="39" t="str">
        <x:f>IF(AND(G1261="RECORDED",ISNUMBER(H1261)),H1261,"")</x:f>
      </x:c>
      <x:c r="P1261" s="35" t="str">
        <x:v>NOT_AVAILABLE</x:v>
      </x:c>
      <x:c r="Q1261" s="35" t="str">
        <x:v>Deepseek-flash-v4/Result2/JacksonDatabind_110/result.json</x:v>
      </x:c>
    </x:row>
    <x:row r="1262">
      <x:c r="A1262" s="35" t="str">
        <x:v>deepseek</x:v>
      </x:c>
      <x:c r="B1262" s="35" t="str">
        <x:v>JacksonDatabind</x:v>
      </x:c>
      <x:c r="C1262" s="35" t="str">
        <x:v>Round2</x:v>
      </x:c>
      <x:c r="D1262" s="35" t="str">
        <x:v>JacksonDatabind_111</x:v>
      </x:c>
      <x:c r="E1262" s="35" t="str">
        <x:v>Line</x:v>
      </x:c>
      <x:c r="F1262" s="35"/>
      <x:c r="G1262" s="35" t="str">
        <x:v>A</x:v>
      </x:c>
      <x:c r="H1262" s="39" t="str">
        <x:f>IF(ISNUMBER('Data'!E1262),'Data'!E1262*100,"")</x:f>
      </x:c>
      <x:c r="I1262" s="35"/>
      <x:c r="J1262" s="35" t="str">
        <x:v>PASS</x:v>
      </x:c>
      <x:c r="K1262" s="35" t="str">
        <x:v>FAIL</x:v>
      </x:c>
      <x:c r="L1262" s="35" t="str">
        <x:v>NOT_RUN</x:v>
      </x:c>
      <x:c r="M1262" s="35" t="str">
        <x:v>coverage unavailable or execution/compile failed</x:v>
      </x:c>
      <x:c r="N1262" s="35" t="str">
        <x:v>Deepseek-flash-v4/Result2/JacksonDatabind_111/result.json</x:v>
      </x:c>
      <x:c r="O1262" s="39" t="str">
        <x:f>IF(AND(G1262="RECORDED",ISNUMBER(H1262)),H1262,"")</x:f>
      </x:c>
      <x:c r="P1262" s="35" t="str">
        <x:v>NOT_AVAILABLE</x:v>
      </x:c>
      <x:c r="Q1262" s="35" t="str">
        <x:v>Deepseek-flash-v4/Result2/JacksonDatabind_111/result.json</x:v>
      </x:c>
    </x:row>
    <x:row r="1263">
      <x:c r="A1263" s="35" t="str">
        <x:v>deepseek</x:v>
      </x:c>
      <x:c r="B1263" s="35" t="str">
        <x:v>JacksonDatabind</x:v>
      </x:c>
      <x:c r="C1263" s="35" t="str">
        <x:v>Round2</x:v>
      </x:c>
      <x:c r="D1263" s="35" t="str">
        <x:v>JacksonDatabind_112</x:v>
      </x:c>
      <x:c r="E1263" s="35" t="str">
        <x:v>Line</x:v>
      </x:c>
      <x:c r="F1263" s="35"/>
      <x:c r="G1263" s="35" t="str">
        <x:v>A</x:v>
      </x:c>
      <x:c r="H1263" s="39" t="str">
        <x:f>IF(ISNUMBER('Data'!E1263),'Data'!E1263*100,"")</x:f>
      </x:c>
      <x:c r="I1263" s="35"/>
      <x:c r="J1263" s="35" t="str">
        <x:v>PASS</x:v>
      </x:c>
      <x:c r="K1263" s="35" t="str">
        <x:v>FAIL</x:v>
      </x:c>
      <x:c r="L1263" s="35" t="str">
        <x:v>NOT_RUN</x:v>
      </x:c>
      <x:c r="M1263" s="35" t="str">
        <x:v>coverage unavailable or execution/compile failed</x:v>
      </x:c>
      <x:c r="N1263" s="35" t="str">
        <x:v>Deepseek-flash-v4/Result2/JacksonDatabind_112/result.json</x:v>
      </x:c>
      <x:c r="O1263" s="39" t="str">
        <x:f>IF(AND(G1263="RECORDED",ISNUMBER(H1263)),H1263,"")</x:f>
      </x:c>
      <x:c r="P1263" s="35" t="str">
        <x:v>NOT_AVAILABLE</x:v>
      </x:c>
      <x:c r="Q1263" s="35" t="str">
        <x:v>Deepseek-flash-v4/Result2/JacksonDatabind_112/result.json</x:v>
      </x:c>
    </x:row>
    <x:row r="1264">
      <x:c r="A1264" s="35" t="str">
        <x:v>deepseek</x:v>
      </x:c>
      <x:c r="B1264" s="35" t="str">
        <x:v>JacksonDatabind</x:v>
      </x:c>
      <x:c r="C1264" s="35" t="str">
        <x:v>Round2</x:v>
      </x:c>
      <x:c r="D1264" s="35" t="str">
        <x:v>JacksonDatabind_12</x:v>
      </x:c>
      <x:c r="E1264" s="35" t="str">
        <x:v>Line</x:v>
      </x:c>
      <x:c r="F1264" s="35"/>
      <x:c r="G1264" s="35" t="str">
        <x:v>A</x:v>
      </x:c>
      <x:c r="H1264" s="39" t="str">
        <x:f>IF(ISNUMBER('Data'!E1264),'Data'!E1264*100,"")</x:f>
      </x:c>
      <x:c r="I1264" s="35"/>
      <x:c r="J1264" s="35" t="str">
        <x:v>PASS</x:v>
      </x:c>
      <x:c r="K1264" s="35" t="str">
        <x:v>FAIL</x:v>
      </x:c>
      <x:c r="L1264" s="35" t="str">
        <x:v>NOT_RUN</x:v>
      </x:c>
      <x:c r="M1264" s="35" t="str">
        <x:v>coverage unavailable or execution/compile failed</x:v>
      </x:c>
      <x:c r="N1264" s="35" t="str">
        <x:v>Deepseek-flash-v4/Result2/JacksonDatabind_12/result.json</x:v>
      </x:c>
      <x:c r="O1264" s="39" t="str">
        <x:f>IF(AND(G1264="RECORDED",ISNUMBER(H1264)),H1264,"")</x:f>
      </x:c>
      <x:c r="P1264" s="35" t="str">
        <x:v>NOT_AVAILABLE</x:v>
      </x:c>
      <x:c r="Q1264" s="35" t="str">
        <x:v>Deepseek-flash-v4/Result2/JacksonDatabind_12/result.json</x:v>
      </x:c>
    </x:row>
    <x:row r="1265">
      <x:c r="A1265" s="35" t="str">
        <x:v>deepseek</x:v>
      </x:c>
      <x:c r="B1265" s="35" t="str">
        <x:v>JacksonDatabind</x:v>
      </x:c>
      <x:c r="C1265" s="35" t="str">
        <x:v>Round2</x:v>
      </x:c>
      <x:c r="D1265" s="35" t="str">
        <x:v>JacksonDatabind_13</x:v>
      </x:c>
      <x:c r="E1265" s="35" t="str">
        <x:v>Line</x:v>
      </x:c>
      <x:c r="F1265" s="35"/>
      <x:c r="G1265" s="35" t="str">
        <x:v>A</x:v>
      </x:c>
      <x:c r="H1265" s="39" t="str">
        <x:f>IF(ISNUMBER('Data'!E1265),'Data'!E1265*100,"")</x:f>
      </x:c>
      <x:c r="I1265" s="35"/>
      <x:c r="J1265" s="35" t="str">
        <x:v>PASS</x:v>
      </x:c>
      <x:c r="K1265" s="35" t="str">
        <x:v>FAIL</x:v>
      </x:c>
      <x:c r="L1265" s="35" t="str">
        <x:v>NOT_RUN</x:v>
      </x:c>
      <x:c r="M1265" s="35" t="str">
        <x:v>coverage unavailable or execution/compile failed</x:v>
      </x:c>
      <x:c r="N1265" s="35" t="str">
        <x:v>Deepseek-flash-v4/Result2/JacksonDatabind_13/result.json</x:v>
      </x:c>
      <x:c r="O1265" s="39" t="str">
        <x:f>IF(AND(G1265="RECORDED",ISNUMBER(H1265)),H1265,"")</x:f>
      </x:c>
      <x:c r="P1265" s="35" t="str">
        <x:v>NOT_AVAILABLE</x:v>
      </x:c>
      <x:c r="Q1265" s="35" t="str">
        <x:v>Deepseek-flash-v4/Result2/JacksonDatabind_13/result.json</x:v>
      </x:c>
    </x:row>
    <x:row r="1266">
      <x:c r="A1266" s="35" t="str">
        <x:v>deepseek</x:v>
      </x:c>
      <x:c r="B1266" s="35" t="str">
        <x:v>JacksonDatabind</x:v>
      </x:c>
      <x:c r="C1266" s="35" t="str">
        <x:v>Round2</x:v>
      </x:c>
      <x:c r="D1266" s="35" t="str">
        <x:v>JacksonDatabind_14</x:v>
      </x:c>
      <x:c r="E1266" s="35" t="str">
        <x:v>Line</x:v>
      </x:c>
      <x:c r="F1266" s="35"/>
      <x:c r="G1266" s="35" t="str">
        <x:v>A</x:v>
      </x:c>
      <x:c r="H1266" s="39" t="str">
        <x:f>IF(ISNUMBER('Data'!E1266),'Data'!E1266*100,"")</x:f>
      </x:c>
      <x:c r="I1266" s="35"/>
      <x:c r="J1266" s="35" t="str">
        <x:v>PASS</x:v>
      </x:c>
      <x:c r="K1266" s="35" t="str">
        <x:v>FAIL</x:v>
      </x:c>
      <x:c r="L1266" s="35" t="str">
        <x:v>NOT_RUN</x:v>
      </x:c>
      <x:c r="M1266" s="35" t="str">
        <x:v>coverage unavailable or execution/compile failed</x:v>
      </x:c>
      <x:c r="N1266" s="35" t="str">
        <x:v>Deepseek-flash-v4/Result2/JacksonDatabind_14/result.json</x:v>
      </x:c>
      <x:c r="O1266" s="39" t="str">
        <x:f>IF(AND(G1266="RECORDED",ISNUMBER(H1266)),H1266,"")</x:f>
      </x:c>
      <x:c r="P1266" s="35" t="str">
        <x:v>NOT_AVAILABLE</x:v>
      </x:c>
      <x:c r="Q1266" s="35" t="str">
        <x:v>Deepseek-flash-v4/Result2/JacksonDatabind_14/result.json</x:v>
      </x:c>
    </x:row>
    <x:row r="1267">
      <x:c r="A1267" s="35" t="str">
        <x:v>deepseek</x:v>
      </x:c>
      <x:c r="B1267" s="35" t="str">
        <x:v>JacksonDatabind</x:v>
      </x:c>
      <x:c r="C1267" s="35" t="str">
        <x:v>Round2</x:v>
      </x:c>
      <x:c r="D1267" s="35" t="str">
        <x:v>JacksonDatabind_15</x:v>
      </x:c>
      <x:c r="E1267" s="35" t="str">
        <x:v>Line</x:v>
      </x:c>
      <x:c r="F1267" s="35"/>
      <x:c r="G1267" s="35" t="str">
        <x:v>A</x:v>
      </x:c>
      <x:c r="H1267" s="39" t="str">
        <x:f>IF(ISNUMBER('Data'!E1267),'Data'!E1267*100,"")</x:f>
      </x:c>
      <x:c r="I1267" s="35"/>
      <x:c r="J1267" s="35" t="str">
        <x:v>PASS</x:v>
      </x:c>
      <x:c r="K1267" s="35" t="str">
        <x:v>FAIL</x:v>
      </x:c>
      <x:c r="L1267" s="35" t="str">
        <x:v>NOT_RUN</x:v>
      </x:c>
      <x:c r="M1267" s="35" t="str">
        <x:v>coverage unavailable or execution/compile failed</x:v>
      </x:c>
      <x:c r="N1267" s="35" t="str">
        <x:v>Deepseek-flash-v4/Result2/JacksonDatabind_15/result.json</x:v>
      </x:c>
      <x:c r="O1267" s="39" t="str">
        <x:f>IF(AND(G1267="RECORDED",ISNUMBER(H1267)),H1267,"")</x:f>
      </x:c>
      <x:c r="P1267" s="35" t="str">
        <x:v>NOT_AVAILABLE</x:v>
      </x:c>
      <x:c r="Q1267" s="35" t="str">
        <x:v>Deepseek-flash-v4/Result2/JacksonDatabind_15/result.json</x:v>
      </x:c>
    </x:row>
    <x:row r="1268">
      <x:c r="A1268" s="35" t="str">
        <x:v>deepseek</x:v>
      </x:c>
      <x:c r="B1268" s="35" t="str">
        <x:v>JacksonDatabind</x:v>
      </x:c>
      <x:c r="C1268" s="35" t="str">
        <x:v>Round2</x:v>
      </x:c>
      <x:c r="D1268" s="35" t="str">
        <x:v>JacksonDatabind_16</x:v>
      </x:c>
      <x:c r="E1268" s="35" t="str">
        <x:v>Line</x:v>
      </x:c>
      <x:c r="F1268" s="35" t="n">
        <x:v>35</x:v>
      </x:c>
      <x:c r="G1268" s="35" t="str">
        <x:v>RECORDED</x:v>
      </x:c>
      <x:c r="H1268" s="39" t="n">
        <x:f>IF(ISNUMBER('Data'!E1268),'Data'!E1268*100,"")</x:f>
        <x:v>100</x:v>
      </x:c>
      <x:c r="I1268" s="35" t="str">
        <x:v>PASS</x:v>
      </x:c>
      <x:c r="J1268" s="35" t="str">
        <x:v>PASS</x:v>
      </x:c>
      <x:c r="K1268" s="35" t="str">
        <x:v>PASS</x:v>
      </x:c>
      <x:c r="L1268" s="35" t="str">
        <x:v>FAIL</x:v>
      </x:c>
      <x:c r="M1268" s="35" t="str">
        <x:v>numeric coverage for applicable metric</x:v>
      </x:c>
      <x:c r="N1268" s="35" t="str">
        <x:v>Deepseek-flash-v4/Result2/JacksonDatabind_16/result.json</x:v>
      </x:c>
      <x:c r="O1268" s="39" t="n">
        <x:f>IF(AND(G1268="RECORDED",ISNUMBER(H1268)),H1268,"")</x:f>
        <x:v>100</x:v>
      </x:c>
      <x:c r="P1268" s="35" t="str">
        <x:v>INCONCLUSIVE</x:v>
      </x:c>
      <x:c r="Q1268" s="35" t="str">
        <x:v>Deepseek-flash-v4/Result2/JacksonDatabind_16/result.json</x:v>
      </x:c>
    </x:row>
    <x:row r="1269">
      <x:c r="A1269" s="35" t="str">
        <x:v>deepseek</x:v>
      </x:c>
      <x:c r="B1269" s="35" t="str">
        <x:v>JacksonDatabind</x:v>
      </x:c>
      <x:c r="C1269" s="35" t="str">
        <x:v>Round2</x:v>
      </x:c>
      <x:c r="D1269" s="35" t="str">
        <x:v>JacksonDatabind_17</x:v>
      </x:c>
      <x:c r="E1269" s="35" t="str">
        <x:v>Line</x:v>
      </x:c>
      <x:c r="F1269" s="35"/>
      <x:c r="G1269" s="35" t="str">
        <x:v>A</x:v>
      </x:c>
      <x:c r="H1269" s="39" t="str">
        <x:f>IF(ISNUMBER('Data'!E1269),'Data'!E1269*100,"")</x:f>
      </x:c>
      <x:c r="I1269" s="35"/>
      <x:c r="J1269" s="35" t="str">
        <x:v>PASS</x:v>
      </x:c>
      <x:c r="K1269" s="35" t="str">
        <x:v>FAIL</x:v>
      </x:c>
      <x:c r="L1269" s="35" t="str">
        <x:v>NOT_RUN</x:v>
      </x:c>
      <x:c r="M1269" s="35" t="str">
        <x:v>coverage unavailable or execution/compile failed</x:v>
      </x:c>
      <x:c r="N1269" s="35" t="str">
        <x:v>Deepseek-flash-v4/Result2/JacksonDatabind_17/result.json</x:v>
      </x:c>
      <x:c r="O1269" s="39" t="str">
        <x:f>IF(AND(G1269="RECORDED",ISNUMBER(H1269)),H1269,"")</x:f>
      </x:c>
      <x:c r="P1269" s="35" t="str">
        <x:v>NOT_AVAILABLE</x:v>
      </x:c>
      <x:c r="Q1269" s="35" t="str">
        <x:v>Deepseek-flash-v4/Result2/JacksonDatabind_17/result.json</x:v>
      </x:c>
    </x:row>
    <x:row r="1270">
      <x:c r="A1270" s="35" t="str">
        <x:v>deepseek</x:v>
      </x:c>
      <x:c r="B1270" s="35" t="str">
        <x:v>JacksonDatabind</x:v>
      </x:c>
      <x:c r="C1270" s="35" t="str">
        <x:v>Round2</x:v>
      </x:c>
      <x:c r="D1270" s="35" t="str">
        <x:v>JacksonDatabind_18</x:v>
      </x:c>
      <x:c r="E1270" s="35" t="str">
        <x:v>Line</x:v>
      </x:c>
      <x:c r="F1270" s="35"/>
      <x:c r="G1270" s="35" t="str">
        <x:v>A</x:v>
      </x:c>
      <x:c r="H1270" s="39" t="str">
        <x:f>IF(ISNUMBER('Data'!E1270),'Data'!E1270*100,"")</x:f>
      </x:c>
      <x:c r="I1270" s="35"/>
      <x:c r="J1270" s="35" t="str">
        <x:v>PASS</x:v>
      </x:c>
      <x:c r="K1270" s="35" t="str">
        <x:v>FAIL</x:v>
      </x:c>
      <x:c r="L1270" s="35" t="str">
        <x:v>NOT_RUN</x:v>
      </x:c>
      <x:c r="M1270" s="35" t="str">
        <x:v>coverage unavailable or execution/compile failed</x:v>
      </x:c>
      <x:c r="N1270" s="35" t="str">
        <x:v>Deepseek-flash-v4/Result2/JacksonDatabind_18/result.json</x:v>
      </x:c>
      <x:c r="O1270" s="39" t="str">
        <x:f>IF(AND(G1270="RECORDED",ISNUMBER(H1270)),H1270,"")</x:f>
      </x:c>
      <x:c r="P1270" s="35" t="str">
        <x:v>NOT_AVAILABLE</x:v>
      </x:c>
      <x:c r="Q1270" s="35" t="str">
        <x:v>Deepseek-flash-v4/Result2/JacksonDatabind_18/result.json</x:v>
      </x:c>
    </x:row>
    <x:row r="1271">
      <x:c r="A1271" s="35" t="str">
        <x:v>deepseek</x:v>
      </x:c>
      <x:c r="B1271" s="35" t="str">
        <x:v>JacksonDatabind</x:v>
      </x:c>
      <x:c r="C1271" s="35" t="str">
        <x:v>Round2</x:v>
      </x:c>
      <x:c r="D1271" s="35" t="str">
        <x:v>JacksonDatabind_19</x:v>
      </x:c>
      <x:c r="E1271" s="35" t="str">
        <x:v>Line</x:v>
      </x:c>
      <x:c r="F1271" s="35"/>
      <x:c r="G1271" s="35" t="str">
        <x:v>A</x:v>
      </x:c>
      <x:c r="H1271" s="39" t="str">
        <x:f>IF(ISNUMBER('Data'!E1271),'Data'!E1271*100,"")</x:f>
      </x:c>
      <x:c r="I1271" s="35"/>
      <x:c r="J1271" s="35" t="str">
        <x:v>PASS</x:v>
      </x:c>
      <x:c r="K1271" s="35" t="str">
        <x:v>FAIL</x:v>
      </x:c>
      <x:c r="L1271" s="35" t="str">
        <x:v>NOT_RUN</x:v>
      </x:c>
      <x:c r="M1271" s="35" t="str">
        <x:v>coverage unavailable or execution/compile failed</x:v>
      </x:c>
      <x:c r="N1271" s="35" t="str">
        <x:v>Deepseek-flash-v4/Result2/JacksonDatabind_19/result.json</x:v>
      </x:c>
      <x:c r="O1271" s="39" t="str">
        <x:f>IF(AND(G1271="RECORDED",ISNUMBER(H1271)),H1271,"")</x:f>
      </x:c>
      <x:c r="P1271" s="35" t="str">
        <x:v>NOT_AVAILABLE</x:v>
      </x:c>
      <x:c r="Q1271" s="35" t="str">
        <x:v>Deepseek-flash-v4/Result2/JacksonDatabind_19/result.json</x:v>
      </x:c>
    </x:row>
    <x:row r="1272">
      <x:c r="A1272" s="35" t="str">
        <x:v>deepseek</x:v>
      </x:c>
      <x:c r="B1272" s="35" t="str">
        <x:v>JacksonDatabind</x:v>
      </x:c>
      <x:c r="C1272" s="35" t="str">
        <x:v>Round2</x:v>
      </x:c>
      <x:c r="D1272" s="35" t="str">
        <x:v>JacksonDatabind_2</x:v>
      </x:c>
      <x:c r="E1272" s="35" t="str">
        <x:v>Line</x:v>
      </x:c>
      <x:c r="F1272" s="35"/>
      <x:c r="G1272" s="35" t="str">
        <x:v>A</x:v>
      </x:c>
      <x:c r="H1272" s="39" t="str">
        <x:f>IF(ISNUMBER('Data'!E1272),'Data'!E1272*100,"")</x:f>
      </x:c>
      <x:c r="I1272" s="35"/>
      <x:c r="J1272" s="35" t="str">
        <x:v>PASS</x:v>
      </x:c>
      <x:c r="K1272" s="35" t="str">
        <x:v>FAIL</x:v>
      </x:c>
      <x:c r="L1272" s="35" t="str">
        <x:v>NOT_RUN</x:v>
      </x:c>
      <x:c r="M1272" s="35" t="str">
        <x:v>coverage unavailable or execution/compile failed</x:v>
      </x:c>
      <x:c r="N1272" s="35" t="str">
        <x:v>Deepseek-flash-v4/Result2/JacksonDatabind_2/result.json</x:v>
      </x:c>
      <x:c r="O1272" s="39" t="str">
        <x:f>IF(AND(G1272="RECORDED",ISNUMBER(H1272)),H1272,"")</x:f>
      </x:c>
      <x:c r="P1272" s="35" t="str">
        <x:v>NOT_AVAILABLE</x:v>
      </x:c>
      <x:c r="Q1272" s="35" t="str">
        <x:v>Deepseek-flash-v4/Result2/JacksonDatabind_2/result.json</x:v>
      </x:c>
    </x:row>
    <x:row r="1273">
      <x:c r="A1273" s="35" t="str">
        <x:v>deepseek</x:v>
      </x:c>
      <x:c r="B1273" s="35" t="str">
        <x:v>JacksonDatabind</x:v>
      </x:c>
      <x:c r="C1273" s="35" t="str">
        <x:v>Round2</x:v>
      </x:c>
      <x:c r="D1273" s="35" t="str">
        <x:v>JacksonDatabind_20</x:v>
      </x:c>
      <x:c r="E1273" s="35" t="str">
        <x:v>Line</x:v>
      </x:c>
      <x:c r="F1273" s="35"/>
      <x:c r="G1273" s="35" t="str">
        <x:v>A</x:v>
      </x:c>
      <x:c r="H1273" s="39" t="str">
        <x:f>IF(ISNUMBER('Data'!E1273),'Data'!E1273*100,"")</x:f>
      </x:c>
      <x:c r="I1273" s="35"/>
      <x:c r="J1273" s="35" t="str">
        <x:v>PASS</x:v>
      </x:c>
      <x:c r="K1273" s="35" t="str">
        <x:v>FAIL</x:v>
      </x:c>
      <x:c r="L1273" s="35" t="str">
        <x:v>NOT_RUN</x:v>
      </x:c>
      <x:c r="M1273" s="35" t="str">
        <x:v>coverage unavailable or execution/compile failed</x:v>
      </x:c>
      <x:c r="N1273" s="35" t="str">
        <x:v>Deepseek-flash-v4/Result2/JacksonDatabind_20/result.json</x:v>
      </x:c>
      <x:c r="O1273" s="39" t="str">
        <x:f>IF(AND(G1273="RECORDED",ISNUMBER(H1273)),H1273,"")</x:f>
      </x:c>
      <x:c r="P1273" s="35" t="str">
        <x:v>NOT_AVAILABLE</x:v>
      </x:c>
      <x:c r="Q1273" s="35" t="str">
        <x:v>Deepseek-flash-v4/Result2/JacksonDatabind_20/result.json</x:v>
      </x:c>
    </x:row>
    <x:row r="1274">
      <x:c r="A1274" s="35" t="str">
        <x:v>deepseek</x:v>
      </x:c>
      <x:c r="B1274" s="35" t="str">
        <x:v>JacksonDatabind</x:v>
      </x:c>
      <x:c r="C1274" s="35" t="str">
        <x:v>Round2</x:v>
      </x:c>
      <x:c r="D1274" s="35" t="str">
        <x:v>JacksonDatabind_21</x:v>
      </x:c>
      <x:c r="E1274" s="35" t="str">
        <x:v>Line</x:v>
      </x:c>
      <x:c r="F1274" s="35"/>
      <x:c r="G1274" s="35" t="str">
        <x:v>A</x:v>
      </x:c>
      <x:c r="H1274" s="39" t="str">
        <x:f>IF(ISNUMBER('Data'!E1274),'Data'!E1274*100,"")</x:f>
      </x:c>
      <x:c r="I1274" s="35"/>
      <x:c r="J1274" s="35" t="str">
        <x:v>PASS</x:v>
      </x:c>
      <x:c r="K1274" s="35" t="str">
        <x:v>FAIL</x:v>
      </x:c>
      <x:c r="L1274" s="35" t="str">
        <x:v>NOT_RUN</x:v>
      </x:c>
      <x:c r="M1274" s="35" t="str">
        <x:v>coverage unavailable or execution/compile failed</x:v>
      </x:c>
      <x:c r="N1274" s="35" t="str">
        <x:v>Deepseek-flash-v4/Result2/JacksonDatabind_21/result.json</x:v>
      </x:c>
      <x:c r="O1274" s="39" t="str">
        <x:f>IF(AND(G1274="RECORDED",ISNUMBER(H1274)),H1274,"")</x:f>
      </x:c>
      <x:c r="P1274" s="35" t="str">
        <x:v>NOT_AVAILABLE</x:v>
      </x:c>
      <x:c r="Q1274" s="35" t="str">
        <x:v>Deepseek-flash-v4/Result2/JacksonDatabind_21/result.json</x:v>
      </x:c>
    </x:row>
    <x:row r="1275">
      <x:c r="A1275" s="35" t="str">
        <x:v>deepseek</x:v>
      </x:c>
      <x:c r="B1275" s="35" t="str">
        <x:v>JacksonDatabind</x:v>
      </x:c>
      <x:c r="C1275" s="35" t="str">
        <x:v>Round2</x:v>
      </x:c>
      <x:c r="D1275" s="35" t="str">
        <x:v>JacksonDatabind_22</x:v>
      </x:c>
      <x:c r="E1275" s="35" t="str">
        <x:v>Line</x:v>
      </x:c>
      <x:c r="F1275" s="35"/>
      <x:c r="G1275" s="35" t="str">
        <x:v>A</x:v>
      </x:c>
      <x:c r="H1275" s="39" t="str">
        <x:f>IF(ISNUMBER('Data'!E1275),'Data'!E1275*100,"")</x:f>
      </x:c>
      <x:c r="I1275" s="35"/>
      <x:c r="J1275" s="35" t="str">
        <x:v>PASS</x:v>
      </x:c>
      <x:c r="K1275" s="35" t="str">
        <x:v>FAIL</x:v>
      </x:c>
      <x:c r="L1275" s="35" t="str">
        <x:v>NOT_RUN</x:v>
      </x:c>
      <x:c r="M1275" s="35" t="str">
        <x:v>coverage unavailable or execution/compile failed</x:v>
      </x:c>
      <x:c r="N1275" s="35" t="str">
        <x:v>Deepseek-flash-v4/Result2/JacksonDatabind_22/result.json</x:v>
      </x:c>
      <x:c r="O1275" s="39" t="str">
        <x:f>IF(AND(G1275="RECORDED",ISNUMBER(H1275)),H1275,"")</x:f>
      </x:c>
      <x:c r="P1275" s="35" t="str">
        <x:v>NOT_AVAILABLE</x:v>
      </x:c>
      <x:c r="Q1275" s="35" t="str">
        <x:v>Deepseek-flash-v4/Result2/JacksonDatabind_22/result.json</x:v>
      </x:c>
    </x:row>
    <x:row r="1276">
      <x:c r="A1276" s="35" t="str">
        <x:v>deepseek</x:v>
      </x:c>
      <x:c r="B1276" s="35" t="str">
        <x:v>JacksonDatabind</x:v>
      </x:c>
      <x:c r="C1276" s="35" t="str">
        <x:v>Round2</x:v>
      </x:c>
      <x:c r="D1276" s="35" t="str">
        <x:v>JacksonDatabind_23</x:v>
      </x:c>
      <x:c r="E1276" s="35" t="str">
        <x:v>Line</x:v>
      </x:c>
      <x:c r="F1276" s="35"/>
      <x:c r="G1276" s="35" t="str">
        <x:v>A</x:v>
      </x:c>
      <x:c r="H1276" s="39" t="str">
        <x:f>IF(ISNUMBER('Data'!E1276),'Data'!E1276*100,"")</x:f>
      </x:c>
      <x:c r="I1276" s="35"/>
      <x:c r="J1276" s="35" t="str">
        <x:v>PASS</x:v>
      </x:c>
      <x:c r="K1276" s="35" t="str">
        <x:v>FAIL</x:v>
      </x:c>
      <x:c r="L1276" s="35" t="str">
        <x:v>NOT_RUN</x:v>
      </x:c>
      <x:c r="M1276" s="35" t="str">
        <x:v>coverage unavailable or execution/compile failed</x:v>
      </x:c>
      <x:c r="N1276" s="35" t="str">
        <x:v>Deepseek-flash-v4/Result2/JacksonDatabind_23/result.json</x:v>
      </x:c>
      <x:c r="O1276" s="39" t="str">
        <x:f>IF(AND(G1276="RECORDED",ISNUMBER(H1276)),H1276,"")</x:f>
      </x:c>
      <x:c r="P1276" s="35" t="str">
        <x:v>NOT_AVAILABLE</x:v>
      </x:c>
      <x:c r="Q1276" s="35" t="str">
        <x:v>Deepseek-flash-v4/Result2/JacksonDatabind_23/result.json</x:v>
      </x:c>
    </x:row>
    <x:row r="1277">
      <x:c r="A1277" s="35" t="str">
        <x:v>deepseek</x:v>
      </x:c>
      <x:c r="B1277" s="35" t="str">
        <x:v>JacksonDatabind</x:v>
      </x:c>
      <x:c r="C1277" s="35" t="str">
        <x:v>Round2</x:v>
      </x:c>
      <x:c r="D1277" s="35" t="str">
        <x:v>JacksonDatabind_24</x:v>
      </x:c>
      <x:c r="E1277" s="35" t="str">
        <x:v>Line</x:v>
      </x:c>
      <x:c r="F1277" s="35"/>
      <x:c r="G1277" s="35" t="str">
        <x:v>A</x:v>
      </x:c>
      <x:c r="H1277" s="39" t="str">
        <x:f>IF(ISNUMBER('Data'!E1277),'Data'!E1277*100,"")</x:f>
      </x:c>
      <x:c r="I1277" s="35"/>
      <x:c r="J1277" s="35" t="str">
        <x:v>PASS</x:v>
      </x:c>
      <x:c r="K1277" s="35" t="str">
        <x:v>FAIL</x:v>
      </x:c>
      <x:c r="L1277" s="35" t="str">
        <x:v>NOT_RUN</x:v>
      </x:c>
      <x:c r="M1277" s="35" t="str">
        <x:v>coverage unavailable or execution/compile failed</x:v>
      </x:c>
      <x:c r="N1277" s="35" t="str">
        <x:v>Deepseek-flash-v4/Result2/JacksonDatabind_24/result.json</x:v>
      </x:c>
      <x:c r="O1277" s="39" t="str">
        <x:f>IF(AND(G1277="RECORDED",ISNUMBER(H1277)),H1277,"")</x:f>
      </x:c>
      <x:c r="P1277" s="35" t="str">
        <x:v>NOT_AVAILABLE</x:v>
      </x:c>
      <x:c r="Q1277" s="35" t="str">
        <x:v>Deepseek-flash-v4/Result2/JacksonDatabind_24/result.json</x:v>
      </x:c>
    </x:row>
    <x:row r="1278">
      <x:c r="A1278" s="35" t="str">
        <x:v>deepseek</x:v>
      </x:c>
      <x:c r="B1278" s="35" t="str">
        <x:v>JacksonDatabind</x:v>
      </x:c>
      <x:c r="C1278" s="35" t="str">
        <x:v>Round2</x:v>
      </x:c>
      <x:c r="D1278" s="35" t="str">
        <x:v>JacksonDatabind_25</x:v>
      </x:c>
      <x:c r="E1278" s="35" t="str">
        <x:v>Line</x:v>
      </x:c>
      <x:c r="F1278" s="35"/>
      <x:c r="G1278" s="35" t="str">
        <x:v>A</x:v>
      </x:c>
      <x:c r="H1278" s="39" t="str">
        <x:f>IF(ISNUMBER('Data'!E1278),'Data'!E1278*100,"")</x:f>
      </x:c>
      <x:c r="I1278" s="35"/>
      <x:c r="J1278" s="35" t="str">
        <x:v>PASS</x:v>
      </x:c>
      <x:c r="K1278" s="35" t="str">
        <x:v>FAIL</x:v>
      </x:c>
      <x:c r="L1278" s="35" t="str">
        <x:v>NOT_RUN</x:v>
      </x:c>
      <x:c r="M1278" s="35" t="str">
        <x:v>coverage unavailable or execution/compile failed</x:v>
      </x:c>
      <x:c r="N1278" s="35" t="str">
        <x:v>Deepseek-flash-v4/Result2/JacksonDatabind_25/result.json</x:v>
      </x:c>
      <x:c r="O1278" s="39" t="str">
        <x:f>IF(AND(G1278="RECORDED",ISNUMBER(H1278)),H1278,"")</x:f>
      </x:c>
      <x:c r="P1278" s="35" t="str">
        <x:v>NOT_AVAILABLE</x:v>
      </x:c>
      <x:c r="Q1278" s="35" t="str">
        <x:v>Deepseek-flash-v4/Result2/JacksonDatabind_25/result.json</x:v>
      </x:c>
    </x:row>
    <x:row r="1279">
      <x:c r="A1279" s="35" t="str">
        <x:v>deepseek</x:v>
      </x:c>
      <x:c r="B1279" s="35" t="str">
        <x:v>JacksonDatabind</x:v>
      </x:c>
      <x:c r="C1279" s="35" t="str">
        <x:v>Round2</x:v>
      </x:c>
      <x:c r="D1279" s="35" t="str">
        <x:v>JacksonDatabind_26</x:v>
      </x:c>
      <x:c r="E1279" s="35" t="str">
        <x:v>Line</x:v>
      </x:c>
      <x:c r="F1279" s="35"/>
      <x:c r="G1279" s="35" t="str">
        <x:v>A</x:v>
      </x:c>
      <x:c r="H1279" s="39" t="str">
        <x:f>IF(ISNUMBER('Data'!E1279),'Data'!E1279*100,"")</x:f>
      </x:c>
      <x:c r="I1279" s="35"/>
      <x:c r="J1279" s="35" t="str">
        <x:v>PASS</x:v>
      </x:c>
      <x:c r="K1279" s="35" t="str">
        <x:v>FAIL</x:v>
      </x:c>
      <x:c r="L1279" s="35" t="str">
        <x:v>NOT_RUN</x:v>
      </x:c>
      <x:c r="M1279" s="35" t="str">
        <x:v>coverage unavailable or execution/compile failed</x:v>
      </x:c>
      <x:c r="N1279" s="35" t="str">
        <x:v>Deepseek-flash-v4/Result2/JacksonDatabind_26/result.json</x:v>
      </x:c>
      <x:c r="O1279" s="39" t="str">
        <x:f>IF(AND(G1279="RECORDED",ISNUMBER(H1279)),H1279,"")</x:f>
      </x:c>
      <x:c r="P1279" s="35" t="str">
        <x:v>NOT_AVAILABLE</x:v>
      </x:c>
      <x:c r="Q1279" s="35" t="str">
        <x:v>Deepseek-flash-v4/Result2/JacksonDatabind_26/result.json</x:v>
      </x:c>
    </x:row>
    <x:row r="1280">
      <x:c r="A1280" s="35" t="str">
        <x:v>deepseek</x:v>
      </x:c>
      <x:c r="B1280" s="35" t="str">
        <x:v>JacksonDatabind</x:v>
      </x:c>
      <x:c r="C1280" s="35" t="str">
        <x:v>Round2</x:v>
      </x:c>
      <x:c r="D1280" s="35" t="str">
        <x:v>JacksonDatabind_27</x:v>
      </x:c>
      <x:c r="E1280" s="35" t="str">
        <x:v>Line</x:v>
      </x:c>
      <x:c r="F1280" s="35"/>
      <x:c r="G1280" s="35" t="str">
        <x:v>A</x:v>
      </x:c>
      <x:c r="H1280" s="39" t="str">
        <x:f>IF(ISNUMBER('Data'!E1280),'Data'!E1280*100,"")</x:f>
      </x:c>
      <x:c r="I1280" s="35"/>
      <x:c r="J1280" s="35" t="str">
        <x:v>PASS</x:v>
      </x:c>
      <x:c r="K1280" s="35" t="str">
        <x:v>FAIL</x:v>
      </x:c>
      <x:c r="L1280" s="35" t="str">
        <x:v>NOT_RUN</x:v>
      </x:c>
      <x:c r="M1280" s="35" t="str">
        <x:v>coverage unavailable or execution/compile failed</x:v>
      </x:c>
      <x:c r="N1280" s="35" t="str">
        <x:v>Deepseek-flash-v4/Result2/JacksonDatabind_27/result.json</x:v>
      </x:c>
      <x:c r="O1280" s="39" t="str">
        <x:f>IF(AND(G1280="RECORDED",ISNUMBER(H1280)),H1280,"")</x:f>
      </x:c>
      <x:c r="P1280" s="35" t="str">
        <x:v>NOT_AVAILABLE</x:v>
      </x:c>
      <x:c r="Q1280" s="35" t="str">
        <x:v>Deepseek-flash-v4/Result2/JacksonDatabind_27/result.json</x:v>
      </x:c>
    </x:row>
    <x:row r="1281">
      <x:c r="A1281" s="35" t="str">
        <x:v>deepseek</x:v>
      </x:c>
      <x:c r="B1281" s="35" t="str">
        <x:v>JacksonDatabind</x:v>
      </x:c>
      <x:c r="C1281" s="35" t="str">
        <x:v>Round2</x:v>
      </x:c>
      <x:c r="D1281" s="35" t="str">
        <x:v>JacksonDatabind_28</x:v>
      </x:c>
      <x:c r="E1281" s="35" t="str">
        <x:v>Line</x:v>
      </x:c>
      <x:c r="F1281" s="35"/>
      <x:c r="G1281" s="35" t="str">
        <x:v>A</x:v>
      </x:c>
      <x:c r="H1281" s="39" t="str">
        <x:f>IF(ISNUMBER('Data'!E1281),'Data'!E1281*100,"")</x:f>
      </x:c>
      <x:c r="I1281" s="35"/>
      <x:c r="J1281" s="35" t="str">
        <x:v>PASS</x:v>
      </x:c>
      <x:c r="K1281" s="35" t="str">
        <x:v>FAIL</x:v>
      </x:c>
      <x:c r="L1281" s="35" t="str">
        <x:v>NOT_RUN</x:v>
      </x:c>
      <x:c r="M1281" s="35" t="str">
        <x:v>coverage unavailable or execution/compile failed</x:v>
      </x:c>
      <x:c r="N1281" s="35" t="str">
        <x:v>Deepseek-flash-v4/Result2/JacksonDatabind_28/result.json</x:v>
      </x:c>
      <x:c r="O1281" s="39" t="str">
        <x:f>IF(AND(G1281="RECORDED",ISNUMBER(H1281)),H1281,"")</x:f>
      </x:c>
      <x:c r="P1281" s="35" t="str">
        <x:v>NOT_AVAILABLE</x:v>
      </x:c>
      <x:c r="Q1281" s="35" t="str">
        <x:v>Deepseek-flash-v4/Result2/JacksonDatabind_28/result.json</x:v>
      </x:c>
    </x:row>
    <x:row r="1282">
      <x:c r="A1282" s="35" t="str">
        <x:v>deepseek</x:v>
      </x:c>
      <x:c r="B1282" s="35" t="str">
        <x:v>JacksonDatabind</x:v>
      </x:c>
      <x:c r="C1282" s="35" t="str">
        <x:v>Round2</x:v>
      </x:c>
      <x:c r="D1282" s="35" t="str">
        <x:v>JacksonDatabind_29</x:v>
      </x:c>
      <x:c r="E1282" s="35" t="str">
        <x:v>Line</x:v>
      </x:c>
      <x:c r="F1282" s="35"/>
      <x:c r="G1282" s="35" t="str">
        <x:v>A</x:v>
      </x:c>
      <x:c r="H1282" s="39" t="str">
        <x:f>IF(ISNUMBER('Data'!E1282),'Data'!E1282*100,"")</x:f>
      </x:c>
      <x:c r="I1282" s="35"/>
      <x:c r="J1282" s="35" t="str">
        <x:v>PASS</x:v>
      </x:c>
      <x:c r="K1282" s="35" t="str">
        <x:v>FAIL</x:v>
      </x:c>
      <x:c r="L1282" s="35" t="str">
        <x:v>NOT_RUN</x:v>
      </x:c>
      <x:c r="M1282" s="35" t="str">
        <x:v>coverage unavailable or execution/compile failed</x:v>
      </x:c>
      <x:c r="N1282" s="35" t="str">
        <x:v>Deepseek-flash-v4/Result2/JacksonDatabind_29/result.json</x:v>
      </x:c>
      <x:c r="O1282" s="39" t="str">
        <x:f>IF(AND(G1282="RECORDED",ISNUMBER(H1282)),H1282,"")</x:f>
      </x:c>
      <x:c r="P1282" s="35" t="str">
        <x:v>NOT_AVAILABLE</x:v>
      </x:c>
      <x:c r="Q1282" s="35" t="str">
        <x:v>Deepseek-flash-v4/Result2/JacksonDatabind_29/result.json</x:v>
      </x:c>
    </x:row>
    <x:row r="1283">
      <x:c r="A1283" s="35" t="str">
        <x:v>deepseek</x:v>
      </x:c>
      <x:c r="B1283" s="35" t="str">
        <x:v>JacksonDatabind</x:v>
      </x:c>
      <x:c r="C1283" s="35" t="str">
        <x:v>Round2</x:v>
      </x:c>
      <x:c r="D1283" s="35" t="str">
        <x:v>JacksonDatabind_3</x:v>
      </x:c>
      <x:c r="E1283" s="35" t="str">
        <x:v>Line</x:v>
      </x:c>
      <x:c r="F1283" s="35"/>
      <x:c r="G1283" s="35" t="str">
        <x:v>A</x:v>
      </x:c>
      <x:c r="H1283" s="39" t="str">
        <x:f>IF(ISNUMBER('Data'!E1283),'Data'!E1283*100,"")</x:f>
      </x:c>
      <x:c r="I1283" s="35"/>
      <x:c r="J1283" s="35" t="str">
        <x:v>PASS</x:v>
      </x:c>
      <x:c r="K1283" s="35" t="str">
        <x:v>FAIL</x:v>
      </x:c>
      <x:c r="L1283" s="35" t="str">
        <x:v>NOT_RUN</x:v>
      </x:c>
      <x:c r="M1283" s="35" t="str">
        <x:v>coverage unavailable or execution/compile failed</x:v>
      </x:c>
      <x:c r="N1283" s="35" t="str">
        <x:v>Deepseek-flash-v4/Result2/JacksonDatabind_3/result.json</x:v>
      </x:c>
      <x:c r="O1283" s="39" t="str">
        <x:f>IF(AND(G1283="RECORDED",ISNUMBER(H1283)),H1283,"")</x:f>
      </x:c>
      <x:c r="P1283" s="35" t="str">
        <x:v>NOT_AVAILABLE</x:v>
      </x:c>
      <x:c r="Q1283" s="35" t="str">
        <x:v>Deepseek-flash-v4/Result2/JacksonDatabind_3/result.json</x:v>
      </x:c>
    </x:row>
    <x:row r="1284">
      <x:c r="A1284" s="35" t="str">
        <x:v>deepseek</x:v>
      </x:c>
      <x:c r="B1284" s="35" t="str">
        <x:v>JacksonDatabind</x:v>
      </x:c>
      <x:c r="C1284" s="35" t="str">
        <x:v>Round2</x:v>
      </x:c>
      <x:c r="D1284" s="35" t="str">
        <x:v>JacksonDatabind_30</x:v>
      </x:c>
      <x:c r="E1284" s="35" t="str">
        <x:v>Line</x:v>
      </x:c>
      <x:c r="F1284" s="35"/>
      <x:c r="G1284" s="35" t="str">
        <x:v>A</x:v>
      </x:c>
      <x:c r="H1284" s="39" t="str">
        <x:f>IF(ISNUMBER('Data'!E1284),'Data'!E1284*100,"")</x:f>
      </x:c>
      <x:c r="I1284" s="35"/>
      <x:c r="J1284" s="35" t="str">
        <x:v>PASS</x:v>
      </x:c>
      <x:c r="K1284" s="35" t="str">
        <x:v>FAIL</x:v>
      </x:c>
      <x:c r="L1284" s="35" t="str">
        <x:v>NOT_RUN</x:v>
      </x:c>
      <x:c r="M1284" s="35" t="str">
        <x:v>coverage unavailable or execution/compile failed</x:v>
      </x:c>
      <x:c r="N1284" s="35" t="str">
        <x:v>Deepseek-flash-v4/Result2/JacksonDatabind_30/result.json</x:v>
      </x:c>
      <x:c r="O1284" s="39" t="str">
        <x:f>IF(AND(G1284="RECORDED",ISNUMBER(H1284)),H1284,"")</x:f>
      </x:c>
      <x:c r="P1284" s="35" t="str">
        <x:v>NOT_AVAILABLE</x:v>
      </x:c>
      <x:c r="Q1284" s="35" t="str">
        <x:v>Deepseek-flash-v4/Result2/JacksonDatabind_30/result.json</x:v>
      </x:c>
    </x:row>
    <x:row r="1285">
      <x:c r="A1285" s="35" t="str">
        <x:v>deepseek</x:v>
      </x:c>
      <x:c r="B1285" s="35" t="str">
        <x:v>JacksonDatabind</x:v>
      </x:c>
      <x:c r="C1285" s="35" t="str">
        <x:v>Round2</x:v>
      </x:c>
      <x:c r="D1285" s="35" t="str">
        <x:v>JacksonDatabind_31</x:v>
      </x:c>
      <x:c r="E1285" s="35" t="str">
        <x:v>Line</x:v>
      </x:c>
      <x:c r="F1285" s="35"/>
      <x:c r="G1285" s="35" t="str">
        <x:v>A</x:v>
      </x:c>
      <x:c r="H1285" s="39" t="str">
        <x:f>IF(ISNUMBER('Data'!E1285),'Data'!E1285*100,"")</x:f>
      </x:c>
      <x:c r="I1285" s="35"/>
      <x:c r="J1285" s="35" t="str">
        <x:v>PASS</x:v>
      </x:c>
      <x:c r="K1285" s="35" t="str">
        <x:v>FAIL</x:v>
      </x:c>
      <x:c r="L1285" s="35" t="str">
        <x:v>NOT_RUN</x:v>
      </x:c>
      <x:c r="M1285" s="35" t="str">
        <x:v>coverage unavailable or execution/compile failed</x:v>
      </x:c>
      <x:c r="N1285" s="35" t="str">
        <x:v>Deepseek-flash-v4/Result2/JacksonDatabind_31/result.json</x:v>
      </x:c>
      <x:c r="O1285" s="39" t="str">
        <x:f>IF(AND(G1285="RECORDED",ISNUMBER(H1285)),H1285,"")</x:f>
      </x:c>
      <x:c r="P1285" s="35" t="str">
        <x:v>NOT_AVAILABLE</x:v>
      </x:c>
      <x:c r="Q1285" s="35" t="str">
        <x:v>Deepseek-flash-v4/Result2/JacksonDatabind_31/result.json</x:v>
      </x:c>
    </x:row>
    <x:row r="1286">
      <x:c r="A1286" s="35" t="str">
        <x:v>deepseek</x:v>
      </x:c>
      <x:c r="B1286" s="35" t="str">
        <x:v>JacksonDatabind</x:v>
      </x:c>
      <x:c r="C1286" s="35" t="str">
        <x:v>Round2</x:v>
      </x:c>
      <x:c r="D1286" s="35" t="str">
        <x:v>JacksonDatabind_32</x:v>
      </x:c>
      <x:c r="E1286" s="35" t="str">
        <x:v>Line</x:v>
      </x:c>
      <x:c r="F1286" s="35"/>
      <x:c r="G1286" s="35" t="str">
        <x:v>A</x:v>
      </x:c>
      <x:c r="H1286" s="39" t="str">
        <x:f>IF(ISNUMBER('Data'!E1286),'Data'!E1286*100,"")</x:f>
      </x:c>
      <x:c r="I1286" s="35"/>
      <x:c r="J1286" s="35" t="str">
        <x:v>PASS</x:v>
      </x:c>
      <x:c r="K1286" s="35" t="str">
        <x:v>FAIL</x:v>
      </x:c>
      <x:c r="L1286" s="35" t="str">
        <x:v>NOT_RUN</x:v>
      </x:c>
      <x:c r="M1286" s="35" t="str">
        <x:v>coverage unavailable or execution/compile failed</x:v>
      </x:c>
      <x:c r="N1286" s="35" t="str">
        <x:v>Deepseek-flash-v4/Result2/JacksonDatabind_32/result.json</x:v>
      </x:c>
      <x:c r="O1286" s="39" t="str">
        <x:f>IF(AND(G1286="RECORDED",ISNUMBER(H1286)),H1286,"")</x:f>
      </x:c>
      <x:c r="P1286" s="35" t="str">
        <x:v>NOT_AVAILABLE</x:v>
      </x:c>
      <x:c r="Q1286" s="35" t="str">
        <x:v>Deepseek-flash-v4/Result2/JacksonDatabind_32/result.json</x:v>
      </x:c>
    </x:row>
    <x:row r="1287">
      <x:c r="A1287" s="35" t="str">
        <x:v>deepseek</x:v>
      </x:c>
      <x:c r="B1287" s="35" t="str">
        <x:v>JacksonDatabind</x:v>
      </x:c>
      <x:c r="C1287" s="35" t="str">
        <x:v>Round2</x:v>
      </x:c>
      <x:c r="D1287" s="35" t="str">
        <x:v>JacksonDatabind_33</x:v>
      </x:c>
      <x:c r="E1287" s="35" t="str">
        <x:v>Line</x:v>
      </x:c>
      <x:c r="F1287" s="35"/>
      <x:c r="G1287" s="35" t="str">
        <x:v>A</x:v>
      </x:c>
      <x:c r="H1287" s="39" t="str">
        <x:f>IF(ISNUMBER('Data'!E1287),'Data'!E1287*100,"")</x:f>
      </x:c>
      <x:c r="I1287" s="35"/>
      <x:c r="J1287" s="35" t="str">
        <x:v>PASS</x:v>
      </x:c>
      <x:c r="K1287" s="35" t="str">
        <x:v>FAIL</x:v>
      </x:c>
      <x:c r="L1287" s="35" t="str">
        <x:v>NOT_RUN</x:v>
      </x:c>
      <x:c r="M1287" s="35" t="str">
        <x:v>coverage unavailable or execution/compile failed</x:v>
      </x:c>
      <x:c r="N1287" s="35" t="str">
        <x:v>Deepseek-flash-v4/Result2/JacksonDatabind_33/result.json</x:v>
      </x:c>
      <x:c r="O1287" s="39" t="str">
        <x:f>IF(AND(G1287="RECORDED",ISNUMBER(H1287)),H1287,"")</x:f>
      </x:c>
      <x:c r="P1287" s="35" t="str">
        <x:v>NOT_AVAILABLE</x:v>
      </x:c>
      <x:c r="Q1287" s="35" t="str">
        <x:v>Deepseek-flash-v4/Result2/JacksonDatabind_33/result.json</x:v>
      </x:c>
    </x:row>
    <x:row r="1288">
      <x:c r="A1288" s="35" t="str">
        <x:v>deepseek</x:v>
      </x:c>
      <x:c r="B1288" s="35" t="str">
        <x:v>JacksonDatabind</x:v>
      </x:c>
      <x:c r="C1288" s="35" t="str">
        <x:v>Round2</x:v>
      </x:c>
      <x:c r="D1288" s="35" t="str">
        <x:v>JacksonDatabind_34</x:v>
      </x:c>
      <x:c r="E1288" s="35" t="str">
        <x:v>Line</x:v>
      </x:c>
      <x:c r="F1288" s="35"/>
      <x:c r="G1288" s="35" t="str">
        <x:v>A</x:v>
      </x:c>
      <x:c r="H1288" s="39" t="str">
        <x:f>IF(ISNUMBER('Data'!E1288),'Data'!E1288*100,"")</x:f>
      </x:c>
      <x:c r="I1288" s="35"/>
      <x:c r="J1288" s="35" t="str">
        <x:v>PASS</x:v>
      </x:c>
      <x:c r="K1288" s="35" t="str">
        <x:v>FAIL</x:v>
      </x:c>
      <x:c r="L1288" s="35" t="str">
        <x:v>NOT_RUN</x:v>
      </x:c>
      <x:c r="M1288" s="35" t="str">
        <x:v>coverage unavailable or execution/compile failed</x:v>
      </x:c>
      <x:c r="N1288" s="35" t="str">
        <x:v>Deepseek-flash-v4/Result2/JacksonDatabind_34/result.json</x:v>
      </x:c>
      <x:c r="O1288" s="39" t="str">
        <x:f>IF(AND(G1288="RECORDED",ISNUMBER(H1288)),H1288,"")</x:f>
      </x:c>
      <x:c r="P1288" s="35" t="str">
        <x:v>NOT_AVAILABLE</x:v>
      </x:c>
      <x:c r="Q1288" s="35" t="str">
        <x:v>Deepseek-flash-v4/Result2/JacksonDatabind_34/result.json</x:v>
      </x:c>
    </x:row>
    <x:row r="1289">
      <x:c r="A1289" s="35" t="str">
        <x:v>deepseek</x:v>
      </x:c>
      <x:c r="B1289" s="35" t="str">
        <x:v>JacksonDatabind</x:v>
      </x:c>
      <x:c r="C1289" s="35" t="str">
        <x:v>Round2</x:v>
      </x:c>
      <x:c r="D1289" s="35" t="str">
        <x:v>JacksonDatabind_35</x:v>
      </x:c>
      <x:c r="E1289" s="35" t="str">
        <x:v>Line</x:v>
      </x:c>
      <x:c r="F1289" s="35"/>
      <x:c r="G1289" s="35" t="str">
        <x:v>A</x:v>
      </x:c>
      <x:c r="H1289" s="39" t="str">
        <x:f>IF(ISNUMBER('Data'!E1289),'Data'!E1289*100,"")</x:f>
      </x:c>
      <x:c r="I1289" s="35"/>
      <x:c r="J1289" s="35" t="str">
        <x:v>PASS</x:v>
      </x:c>
      <x:c r="K1289" s="35" t="str">
        <x:v>FAIL</x:v>
      </x:c>
      <x:c r="L1289" s="35" t="str">
        <x:v>NOT_RUN</x:v>
      </x:c>
      <x:c r="M1289" s="35" t="str">
        <x:v>coverage unavailable or execution/compile failed</x:v>
      </x:c>
      <x:c r="N1289" s="35" t="str">
        <x:v>Deepseek-flash-v4/Result2/JacksonDatabind_35/result.json</x:v>
      </x:c>
      <x:c r="O1289" s="39" t="str">
        <x:f>IF(AND(G1289="RECORDED",ISNUMBER(H1289)),H1289,"")</x:f>
      </x:c>
      <x:c r="P1289" s="35" t="str">
        <x:v>NOT_AVAILABLE</x:v>
      </x:c>
      <x:c r="Q1289" s="35" t="str">
        <x:v>Deepseek-flash-v4/Result2/JacksonDatabind_35/result.json</x:v>
      </x:c>
    </x:row>
    <x:row r="1290">
      <x:c r="A1290" s="35" t="str">
        <x:v>deepseek</x:v>
      </x:c>
      <x:c r="B1290" s="35" t="str">
        <x:v>JacksonDatabind</x:v>
      </x:c>
      <x:c r="C1290" s="35" t="str">
        <x:v>Round2</x:v>
      </x:c>
      <x:c r="D1290" s="35" t="str">
        <x:v>JacksonDatabind_36</x:v>
      </x:c>
      <x:c r="E1290" s="35" t="str">
        <x:v>Line</x:v>
      </x:c>
      <x:c r="F1290" s="35" t="n">
        <x:v>193</x:v>
      </x:c>
      <x:c r="G1290" s="35" t="str">
        <x:v>RECORDED</x:v>
      </x:c>
      <x:c r="H1290" s="39" t="n">
        <x:f>IF(ISNUMBER('Data'!E1290),'Data'!E1290*100,"")</x:f>
        <x:v>84.46</x:v>
      </x:c>
      <x:c r="I1290" s="35" t="str">
        <x:v>PASS</x:v>
      </x:c>
      <x:c r="J1290" s="35" t="str">
        <x:v>PASS</x:v>
      </x:c>
      <x:c r="K1290" s="35" t="str">
        <x:v>PASS</x:v>
      </x:c>
      <x:c r="L1290" s="35" t="str">
        <x:v>FAIL</x:v>
      </x:c>
      <x:c r="M1290" s="35" t="str">
        <x:v>numeric coverage for applicable metric</x:v>
      </x:c>
      <x:c r="N1290" s="35" t="str">
        <x:v>Deepseek-flash-v4/Result2/JacksonDatabind_36/result.json</x:v>
      </x:c>
      <x:c r="O1290" s="39" t="n">
        <x:f>IF(AND(G1290="RECORDED",ISNUMBER(H1290)),H1290,"")</x:f>
        <x:v>84.46</x:v>
      </x:c>
      <x:c r="P1290" s="35" t="str">
        <x:v>INCONCLUSIVE</x:v>
      </x:c>
      <x:c r="Q1290" s="35" t="str">
        <x:v>Deepseek-flash-v4/Result2/JacksonDatabind_36/result.json</x:v>
      </x:c>
    </x:row>
    <x:row r="1291">
      <x:c r="A1291" s="35" t="str">
        <x:v>deepseek</x:v>
      </x:c>
      <x:c r="B1291" s="35" t="str">
        <x:v>JacksonDatabind</x:v>
      </x:c>
      <x:c r="C1291" s="35" t="str">
        <x:v>Round2</x:v>
      </x:c>
      <x:c r="D1291" s="35" t="str">
        <x:v>JacksonDatabind_37</x:v>
      </x:c>
      <x:c r="E1291" s="35" t="str">
        <x:v>Line</x:v>
      </x:c>
      <x:c r="F1291" s="35" t="n">
        <x:v>67</x:v>
      </x:c>
      <x:c r="G1291" s="35" t="str">
        <x:v>RECORDED</x:v>
      </x:c>
      <x:c r="H1291" s="39" t="n">
        <x:f>IF(ISNUMBER('Data'!E1291),'Data'!E1291*100,"")</x:f>
        <x:v>71.64</x:v>
      </x:c>
      <x:c r="I1291" s="35" t="str">
        <x:v>PASS</x:v>
      </x:c>
      <x:c r="J1291" s="35" t="str">
        <x:v>PASS</x:v>
      </x:c>
      <x:c r="K1291" s="35" t="str">
        <x:v>PASS</x:v>
      </x:c>
      <x:c r="L1291" s="35" t="str">
        <x:v>PASS</x:v>
      </x:c>
      <x:c r="M1291" s="35" t="str">
        <x:v>numeric coverage for applicable metric</x:v>
      </x:c>
      <x:c r="N1291" s="35" t="str">
        <x:v>Deepseek-flash-v4/Result2/JacksonDatabind_37/result.json</x:v>
      </x:c>
      <x:c r="O1291" s="39" t="n">
        <x:f>IF(AND(G1291="RECORDED",ISNUMBER(H1291)),H1291,"")</x:f>
        <x:v>71.64</x:v>
      </x:c>
      <x:c r="P1291" s="35" t="str">
        <x:v>NOT_REVEALING</x:v>
      </x:c>
      <x:c r="Q1291" s="35" t="str">
        <x:v>Deepseek-flash-v4/Result2/JacksonDatabind_37/result.json</x:v>
      </x:c>
    </x:row>
    <x:row r="1292">
      <x:c r="A1292" s="35" t="str">
        <x:v>deepseek</x:v>
      </x:c>
      <x:c r="B1292" s="35" t="str">
        <x:v>JacksonDatabind</x:v>
      </x:c>
      <x:c r="C1292" s="35" t="str">
        <x:v>Round2</x:v>
      </x:c>
      <x:c r="D1292" s="35" t="str">
        <x:v>JacksonDatabind_38</x:v>
      </x:c>
      <x:c r="E1292" s="35" t="str">
        <x:v>Line</x:v>
      </x:c>
      <x:c r="F1292" s="35"/>
      <x:c r="G1292" s="35" t="str">
        <x:v>A</x:v>
      </x:c>
      <x:c r="H1292" s="39" t="str">
        <x:f>IF(ISNUMBER('Data'!E1292),'Data'!E1292*100,"")</x:f>
      </x:c>
      <x:c r="I1292" s="35"/>
      <x:c r="J1292" s="35" t="str">
        <x:v>PASS</x:v>
      </x:c>
      <x:c r="K1292" s="35" t="str">
        <x:v>FAIL</x:v>
      </x:c>
      <x:c r="L1292" s="35" t="str">
        <x:v>NOT_RUN</x:v>
      </x:c>
      <x:c r="M1292" s="35" t="str">
        <x:v>coverage unavailable or execution/compile failed</x:v>
      </x:c>
      <x:c r="N1292" s="35" t="str">
        <x:v>Deepseek-flash-v4/Result2/JacksonDatabind_38/result.json</x:v>
      </x:c>
      <x:c r="O1292" s="39" t="str">
        <x:f>IF(AND(G1292="RECORDED",ISNUMBER(H1292)),H1292,"")</x:f>
      </x:c>
      <x:c r="P1292" s="35" t="str">
        <x:v>NOT_AVAILABLE</x:v>
      </x:c>
      <x:c r="Q1292" s="35" t="str">
        <x:v>Deepseek-flash-v4/Result2/JacksonDatabind_38/result.json</x:v>
      </x:c>
    </x:row>
    <x:row r="1293">
      <x:c r="A1293" s="35" t="str">
        <x:v>deepseek</x:v>
      </x:c>
      <x:c r="B1293" s="35" t="str">
        <x:v>JacksonDatabind</x:v>
      </x:c>
      <x:c r="C1293" s="35" t="str">
        <x:v>Round2</x:v>
      </x:c>
      <x:c r="D1293" s="35" t="str">
        <x:v>JacksonDatabind_39</x:v>
      </x:c>
      <x:c r="E1293" s="35" t="str">
        <x:v>Line</x:v>
      </x:c>
      <x:c r="F1293" s="35" t="n">
        <x:v>7</x:v>
      </x:c>
      <x:c r="G1293" s="35" t="str">
        <x:v>RECORDED</x:v>
      </x:c>
      <x:c r="H1293" s="39" t="n">
        <x:f>IF(ISNUMBER('Data'!E1293),'Data'!E1293*100,"")</x:f>
        <x:v>100</x:v>
      </x:c>
      <x:c r="I1293" s="35" t="str">
        <x:v>PASS</x:v>
      </x:c>
      <x:c r="J1293" s="35" t="str">
        <x:v>PASS</x:v>
      </x:c>
      <x:c r="K1293" s="35" t="str">
        <x:v>PASS</x:v>
      </x:c>
      <x:c r="L1293" s="35" t="str">
        <x:v>FAIL</x:v>
      </x:c>
      <x:c r="M1293" s="35" t="str">
        <x:v>numeric coverage for applicable metric</x:v>
      </x:c>
      <x:c r="N1293" s="35" t="str">
        <x:v>Deepseek-flash-v4/Result2/JacksonDatabind_39/result.json</x:v>
      </x:c>
      <x:c r="O1293" s="39" t="n">
        <x:f>IF(AND(G1293="RECORDED",ISNUMBER(H1293)),H1293,"")</x:f>
        <x:v>100</x:v>
      </x:c>
      <x:c r="P1293" s="35" t="str">
        <x:v>INCONCLUSIVE</x:v>
      </x:c>
      <x:c r="Q1293" s="35" t="str">
        <x:v>Deepseek-flash-v4/Result2/JacksonDatabind_39/result.json</x:v>
      </x:c>
    </x:row>
    <x:row r="1294">
      <x:c r="A1294" s="35" t="str">
        <x:v>deepseek</x:v>
      </x:c>
      <x:c r="B1294" s="35" t="str">
        <x:v>JacksonDatabind</x:v>
      </x:c>
      <x:c r="C1294" s="35" t="str">
        <x:v>Round2</x:v>
      </x:c>
      <x:c r="D1294" s="35" t="str">
        <x:v>JacksonDatabind_4</x:v>
      </x:c>
      <x:c r="E1294" s="35" t="str">
        <x:v>Line</x:v>
      </x:c>
      <x:c r="F1294" s="35"/>
      <x:c r="G1294" s="35" t="str">
        <x:v>A</x:v>
      </x:c>
      <x:c r="H1294" s="39" t="str">
        <x:f>IF(ISNUMBER('Data'!E1294),'Data'!E1294*100,"")</x:f>
      </x:c>
      <x:c r="I1294" s="35"/>
      <x:c r="J1294" s="35" t="str">
        <x:v>PASS</x:v>
      </x:c>
      <x:c r="K1294" s="35" t="str">
        <x:v>FAIL</x:v>
      </x:c>
      <x:c r="L1294" s="35" t="str">
        <x:v>NOT_RUN</x:v>
      </x:c>
      <x:c r="M1294" s="35" t="str">
        <x:v>coverage unavailable or execution/compile failed</x:v>
      </x:c>
      <x:c r="N1294" s="35" t="str">
        <x:v>Deepseek-flash-v4/Result2/JacksonDatabind_4/result.json</x:v>
      </x:c>
      <x:c r="O1294" s="39" t="str">
        <x:f>IF(AND(G1294="RECORDED",ISNUMBER(H1294)),H1294,"")</x:f>
      </x:c>
      <x:c r="P1294" s="35" t="str">
        <x:v>NOT_AVAILABLE</x:v>
      </x:c>
      <x:c r="Q1294" s="35" t="str">
        <x:v>Deepseek-flash-v4/Result2/JacksonDatabind_4/result.json</x:v>
      </x:c>
    </x:row>
    <x:row r="1295">
      <x:c r="A1295" s="35" t="str">
        <x:v>deepseek</x:v>
      </x:c>
      <x:c r="B1295" s="35" t="str">
        <x:v>JacksonDatabind</x:v>
      </x:c>
      <x:c r="C1295" s="35" t="str">
        <x:v>Round2</x:v>
      </x:c>
      <x:c r="D1295" s="35" t="str">
        <x:v>JacksonDatabind_40</x:v>
      </x:c>
      <x:c r="E1295" s="35" t="str">
        <x:v>Line</x:v>
      </x:c>
      <x:c r="F1295" s="35" t="n">
        <x:v>219</x:v>
      </x:c>
      <x:c r="G1295" s="35" t="str">
        <x:v>RECORDED</x:v>
      </x:c>
      <x:c r="H1295" s="39" t="n">
        <x:f>IF(ISNUMBER('Data'!E1295),'Data'!E1295*100,"")</x:f>
        <x:v>68.04</x:v>
      </x:c>
      <x:c r="I1295" s="35" t="str">
        <x:v>PASS</x:v>
      </x:c>
      <x:c r="J1295" s="35" t="str">
        <x:v>PASS</x:v>
      </x:c>
      <x:c r="K1295" s="35" t="str">
        <x:v>PASS</x:v>
      </x:c>
      <x:c r="L1295" s="35" t="str">
        <x:v>FAIL</x:v>
      </x:c>
      <x:c r="M1295" s="35" t="str">
        <x:v>numeric coverage for applicable metric</x:v>
      </x:c>
      <x:c r="N1295" s="35" t="str">
        <x:v>Deepseek-flash-v4/Result2/JacksonDatabind_40/result.json</x:v>
      </x:c>
      <x:c r="O1295" s="39" t="n">
        <x:f>IF(AND(G1295="RECORDED",ISNUMBER(H1295)),H1295,"")</x:f>
        <x:v>68.04</x:v>
      </x:c>
      <x:c r="P1295" s="35" t="str">
        <x:v>INCONCLUSIVE</x:v>
      </x:c>
      <x:c r="Q1295" s="35" t="str">
        <x:v>Deepseek-flash-v4/Result2/JacksonDatabind_40/result.json</x:v>
      </x:c>
    </x:row>
    <x:row r="1296">
      <x:c r="A1296" s="35" t="str">
        <x:v>deepseek</x:v>
      </x:c>
      <x:c r="B1296" s="35" t="str">
        <x:v>JacksonDatabind</x:v>
      </x:c>
      <x:c r="C1296" s="35" t="str">
        <x:v>Round2</x:v>
      </x:c>
      <x:c r="D1296" s="35" t="str">
        <x:v>JacksonDatabind_41</x:v>
      </x:c>
      <x:c r="E1296" s="35" t="str">
        <x:v>Line</x:v>
      </x:c>
      <x:c r="F1296" s="35"/>
      <x:c r="G1296" s="35" t="str">
        <x:v>A</x:v>
      </x:c>
      <x:c r="H1296" s="39" t="str">
        <x:f>IF(ISNUMBER('Data'!E1296),'Data'!E1296*100,"")</x:f>
      </x:c>
      <x:c r="I1296" s="35"/>
      <x:c r="J1296" s="35" t="str">
        <x:v>PASS</x:v>
      </x:c>
      <x:c r="K1296" s="35" t="str">
        <x:v>FAIL</x:v>
      </x:c>
      <x:c r="L1296" s="35" t="str">
        <x:v>NOT_RUN</x:v>
      </x:c>
      <x:c r="M1296" s="35" t="str">
        <x:v>coverage unavailable or execution/compile failed</x:v>
      </x:c>
      <x:c r="N1296" s="35" t="str">
        <x:v>Deepseek-flash-v4/Result2/JacksonDatabind_41/result.json</x:v>
      </x:c>
      <x:c r="O1296" s="39" t="str">
        <x:f>IF(AND(G1296="RECORDED",ISNUMBER(H1296)),H1296,"")</x:f>
      </x:c>
      <x:c r="P1296" s="35" t="str">
        <x:v>NOT_AVAILABLE</x:v>
      </x:c>
      <x:c r="Q1296" s="35" t="str">
        <x:v>Deepseek-flash-v4/Result2/JacksonDatabind_41/result.json</x:v>
      </x:c>
    </x:row>
    <x:row r="1297">
      <x:c r="A1297" s="35" t="str">
        <x:v>deepseek</x:v>
      </x:c>
      <x:c r="B1297" s="35" t="str">
        <x:v>JacksonDatabind</x:v>
      </x:c>
      <x:c r="C1297" s="35" t="str">
        <x:v>Round2</x:v>
      </x:c>
      <x:c r="D1297" s="35" t="str">
        <x:v>JacksonDatabind_42</x:v>
      </x:c>
      <x:c r="E1297" s="35" t="str">
        <x:v>Line</x:v>
      </x:c>
      <x:c r="F1297" s="35" t="n">
        <x:v>110</x:v>
      </x:c>
      <x:c r="G1297" s="35" t="str">
        <x:v>RECORDED</x:v>
      </x:c>
      <x:c r="H1297" s="39" t="n">
        <x:f>IF(ISNUMBER('Data'!E1297),'Data'!E1297*100,"")</x:f>
        <x:v>88.18</x:v>
      </x:c>
      <x:c r="I1297" s="35" t="str">
        <x:v>PASS</x:v>
      </x:c>
      <x:c r="J1297" s="35" t="str">
        <x:v>PASS</x:v>
      </x:c>
      <x:c r="K1297" s="35" t="str">
        <x:v>PASS</x:v>
      </x:c>
      <x:c r="L1297" s="35" t="str">
        <x:v>FAIL</x:v>
      </x:c>
      <x:c r="M1297" s="35" t="str">
        <x:v>numeric coverage for applicable metric</x:v>
      </x:c>
      <x:c r="N1297" s="35" t="str">
        <x:v>Deepseek-flash-v4/Result2/JacksonDatabind_42/result.json</x:v>
      </x:c>
      <x:c r="O1297" s="39" t="n">
        <x:f>IF(AND(G1297="RECORDED",ISNUMBER(H1297)),H1297,"")</x:f>
        <x:v>88.18</x:v>
      </x:c>
      <x:c r="P1297" s="35" t="str">
        <x:v>INCONCLUSIVE</x:v>
      </x:c>
      <x:c r="Q1297" s="35" t="str">
        <x:v>Deepseek-flash-v4/Result2/JacksonDatabind_42/result.json</x:v>
      </x:c>
    </x:row>
    <x:row r="1298">
      <x:c r="A1298" s="35" t="str">
        <x:v>deepseek</x:v>
      </x:c>
      <x:c r="B1298" s="35" t="str">
        <x:v>JacksonDatabind</x:v>
      </x:c>
      <x:c r="C1298" s="35" t="str">
        <x:v>Round2</x:v>
      </x:c>
      <x:c r="D1298" s="35" t="str">
        <x:v>JacksonDatabind_43</x:v>
      </x:c>
      <x:c r="E1298" s="35" t="str">
        <x:v>Line</x:v>
      </x:c>
      <x:c r="F1298" s="35"/>
      <x:c r="G1298" s="35" t="str">
        <x:v>A</x:v>
      </x:c>
      <x:c r="H1298" s="39" t="str">
        <x:f>IF(ISNUMBER('Data'!E1298),'Data'!E1298*100,"")</x:f>
      </x:c>
      <x:c r="I1298" s="35"/>
      <x:c r="J1298" s="35" t="str">
        <x:v>PASS</x:v>
      </x:c>
      <x:c r="K1298" s="35" t="str">
        <x:v>FAIL</x:v>
      </x:c>
      <x:c r="L1298" s="35" t="str">
        <x:v>NOT_RUN</x:v>
      </x:c>
      <x:c r="M1298" s="35" t="str">
        <x:v>coverage unavailable or execution/compile failed</x:v>
      </x:c>
      <x:c r="N1298" s="35" t="str">
        <x:v>Deepseek-flash-v4/Result2/JacksonDatabind_43/result.json</x:v>
      </x:c>
      <x:c r="O1298" s="39" t="str">
        <x:f>IF(AND(G1298="RECORDED",ISNUMBER(H1298)),H1298,"")</x:f>
      </x:c>
      <x:c r="P1298" s="35" t="str">
        <x:v>NOT_AVAILABLE</x:v>
      </x:c>
      <x:c r="Q1298" s="35" t="str">
        <x:v>Deepseek-flash-v4/Result2/JacksonDatabind_43/result.json</x:v>
      </x:c>
    </x:row>
    <x:row r="1299">
      <x:c r="A1299" s="35" t="str">
        <x:v>deepseek</x:v>
      </x:c>
      <x:c r="B1299" s="35" t="str">
        <x:v>JacksonDatabind</x:v>
      </x:c>
      <x:c r="C1299" s="35" t="str">
        <x:v>Round2</x:v>
      </x:c>
      <x:c r="D1299" s="35" t="str">
        <x:v>JacksonDatabind_44</x:v>
      </x:c>
      <x:c r="E1299" s="35" t="str">
        <x:v>Line</x:v>
      </x:c>
      <x:c r="F1299" s="35" t="n">
        <x:v>75</x:v>
      </x:c>
      <x:c r="G1299" s="35" t="str">
        <x:v>RECORDED</x:v>
      </x:c>
      <x:c r="H1299" s="39" t="n">
        <x:f>IF(ISNUMBER('Data'!E1299),'Data'!E1299*100,"")</x:f>
        <x:v>85.33</x:v>
      </x:c>
      <x:c r="I1299" s="35" t="str">
        <x:v>PASS</x:v>
      </x:c>
      <x:c r="J1299" s="35" t="str">
        <x:v>PASS</x:v>
      </x:c>
      <x:c r="K1299" s="35" t="str">
        <x:v>PASS</x:v>
      </x:c>
      <x:c r="L1299" s="35" t="str">
        <x:v>PASS</x:v>
      </x:c>
      <x:c r="M1299" s="35" t="str">
        <x:v>numeric coverage for applicable metric</x:v>
      </x:c>
      <x:c r="N1299" s="35" t="str">
        <x:v>Deepseek-flash-v4/Result2/JacksonDatabind_44/result.json</x:v>
      </x:c>
      <x:c r="O1299" s="39" t="n">
        <x:f>IF(AND(G1299="RECORDED",ISNUMBER(H1299)),H1299,"")</x:f>
        <x:v>85.33</x:v>
      </x:c>
      <x:c r="P1299" s="35" t="str">
        <x:v>NOT_REVEALING</x:v>
      </x:c>
      <x:c r="Q1299" s="35" t="str">
        <x:v>Deepseek-flash-v4/Result2/JacksonDatabind_44/result.json</x:v>
      </x:c>
    </x:row>
    <x:row r="1300">
      <x:c r="A1300" s="35" t="str">
        <x:v>deepseek</x:v>
      </x:c>
      <x:c r="B1300" s="35" t="str">
        <x:v>JacksonDatabind</x:v>
      </x:c>
      <x:c r="C1300" s="35" t="str">
        <x:v>Round2</x:v>
      </x:c>
      <x:c r="D1300" s="35" t="str">
        <x:v>JacksonDatabind_45</x:v>
      </x:c>
      <x:c r="E1300" s="35" t="str">
        <x:v>Line</x:v>
      </x:c>
      <x:c r="F1300" s="35"/>
      <x:c r="G1300" s="35" t="str">
        <x:v>A</x:v>
      </x:c>
      <x:c r="H1300" s="39" t="str">
        <x:f>IF(ISNUMBER('Data'!E1300),'Data'!E1300*100,"")</x:f>
      </x:c>
      <x:c r="I1300" s="35"/>
      <x:c r="J1300" s="35" t="str">
        <x:v>PASS</x:v>
      </x:c>
      <x:c r="K1300" s="35" t="str">
        <x:v>FAIL</x:v>
      </x:c>
      <x:c r="L1300" s="35" t="str">
        <x:v>NOT_RUN</x:v>
      </x:c>
      <x:c r="M1300" s="35" t="str">
        <x:v>coverage unavailable or execution/compile failed</x:v>
      </x:c>
      <x:c r="N1300" s="35" t="str">
        <x:v>Deepseek-flash-v4/Result2/JacksonDatabind_45/result.json</x:v>
      </x:c>
      <x:c r="O1300" s="39" t="str">
        <x:f>IF(AND(G1300="RECORDED",ISNUMBER(H1300)),H1300,"")</x:f>
      </x:c>
      <x:c r="P1300" s="35" t="str">
        <x:v>NOT_AVAILABLE</x:v>
      </x:c>
      <x:c r="Q1300" s="35" t="str">
        <x:v>Deepseek-flash-v4/Result2/JacksonDatabind_45/result.json</x:v>
      </x:c>
    </x:row>
    <x:row r="1301">
      <x:c r="A1301" s="35" t="str">
        <x:v>deepseek</x:v>
      </x:c>
      <x:c r="B1301" s="35" t="str">
        <x:v>JacksonDatabind</x:v>
      </x:c>
      <x:c r="C1301" s="35" t="str">
        <x:v>Round2</x:v>
      </x:c>
      <x:c r="D1301" s="35" t="str">
        <x:v>JacksonDatabind_46</x:v>
      </x:c>
      <x:c r="E1301" s="35" t="str">
        <x:v>Line</x:v>
      </x:c>
      <x:c r="F1301" s="35"/>
      <x:c r="G1301" s="35" t="str">
        <x:v>A</x:v>
      </x:c>
      <x:c r="H1301" s="39" t="str">
        <x:f>IF(ISNUMBER('Data'!E1301),'Data'!E1301*100,"")</x:f>
      </x:c>
      <x:c r="I1301" s="35"/>
      <x:c r="J1301" s="35" t="str">
        <x:v>PASS</x:v>
      </x:c>
      <x:c r="K1301" s="35" t="str">
        <x:v>FAIL</x:v>
      </x:c>
      <x:c r="L1301" s="35" t="str">
        <x:v>NOT_RUN</x:v>
      </x:c>
      <x:c r="M1301" s="35" t="str">
        <x:v>coverage unavailable or execution/compile failed</x:v>
      </x:c>
      <x:c r="N1301" s="35" t="str">
        <x:v>Deepseek-flash-v4/Result2/JacksonDatabind_46/result.json</x:v>
      </x:c>
      <x:c r="O1301" s="39" t="str">
        <x:f>IF(AND(G1301="RECORDED",ISNUMBER(H1301)),H1301,"")</x:f>
      </x:c>
      <x:c r="P1301" s="35" t="str">
        <x:v>NOT_AVAILABLE</x:v>
      </x:c>
      <x:c r="Q1301" s="35" t="str">
        <x:v>Deepseek-flash-v4/Result2/JacksonDatabind_46/result.json</x:v>
      </x:c>
    </x:row>
    <x:row r="1302">
      <x:c r="A1302" s="35" t="str">
        <x:v>deepseek</x:v>
      </x:c>
      <x:c r="B1302" s="35" t="str">
        <x:v>JacksonDatabind</x:v>
      </x:c>
      <x:c r="C1302" s="35" t="str">
        <x:v>Round2</x:v>
      </x:c>
      <x:c r="D1302" s="35" t="str">
        <x:v>JacksonDatabind_47</x:v>
      </x:c>
      <x:c r="E1302" s="35" t="str">
        <x:v>Line</x:v>
      </x:c>
      <x:c r="F1302" s="35" t="n">
        <x:v>179</x:v>
      </x:c>
      <x:c r="G1302" s="35" t="str">
        <x:v>RECORDED</x:v>
      </x:c>
      <x:c r="H1302" s="39" t="n">
        <x:f>IF(ISNUMBER('Data'!E1302),'Data'!E1302*100,"")</x:f>
        <x:v>29.049999999999997</x:v>
      </x:c>
      <x:c r="I1302" s="35" t="str">
        <x:v>PASS</x:v>
      </x:c>
      <x:c r="J1302" s="35" t="str">
        <x:v>PASS</x:v>
      </x:c>
      <x:c r="K1302" s="35" t="str">
        <x:v>PASS</x:v>
      </x:c>
      <x:c r="L1302" s="35" t="str">
        <x:v>FAIL</x:v>
      </x:c>
      <x:c r="M1302" s="35" t="str">
        <x:v>numeric coverage for applicable metric</x:v>
      </x:c>
      <x:c r="N1302" s="35" t="str">
        <x:v>Deepseek-flash-v4/Result2/JacksonDatabind_47/result.json</x:v>
      </x:c>
      <x:c r="O1302" s="39" t="n">
        <x:f>IF(AND(G1302="RECORDED",ISNUMBER(H1302)),H1302,"")</x:f>
        <x:v>29.049999999999997</x:v>
      </x:c>
      <x:c r="P1302" s="35" t="str">
        <x:v>INCONCLUSIVE</x:v>
      </x:c>
      <x:c r="Q1302" s="35" t="str">
        <x:v>Deepseek-flash-v4/Result2/JacksonDatabind_47/result.json</x:v>
      </x:c>
    </x:row>
    <x:row r="1303">
      <x:c r="A1303" s="35" t="str">
        <x:v>deepseek</x:v>
      </x:c>
      <x:c r="B1303" s="35" t="str">
        <x:v>JacksonDatabind</x:v>
      </x:c>
      <x:c r="C1303" s="35" t="str">
        <x:v>Round2</x:v>
      </x:c>
      <x:c r="D1303" s="35" t="str">
        <x:v>JacksonDatabind_48</x:v>
      </x:c>
      <x:c r="E1303" s="35" t="str">
        <x:v>Line</x:v>
      </x:c>
      <x:c r="F1303" s="35"/>
      <x:c r="G1303" s="35" t="str">
        <x:v>A</x:v>
      </x:c>
      <x:c r="H1303" s="39" t="str">
        <x:f>IF(ISNUMBER('Data'!E1303),'Data'!E1303*100,"")</x:f>
      </x:c>
      <x:c r="I1303" s="35"/>
      <x:c r="J1303" s="35" t="str">
        <x:v>PASS</x:v>
      </x:c>
      <x:c r="K1303" s="35" t="str">
        <x:v>FAIL</x:v>
      </x:c>
      <x:c r="L1303" s="35" t="str">
        <x:v>NOT_RUN</x:v>
      </x:c>
      <x:c r="M1303" s="35" t="str">
        <x:v>coverage unavailable or execution/compile failed</x:v>
      </x:c>
      <x:c r="N1303" s="35" t="str">
        <x:v>Deepseek-flash-v4/Result2/JacksonDatabind_48/result.json</x:v>
      </x:c>
      <x:c r="O1303" s="39" t="str">
        <x:f>IF(AND(G1303="RECORDED",ISNUMBER(H1303)),H1303,"")</x:f>
      </x:c>
      <x:c r="P1303" s="35" t="str">
        <x:v>NOT_AVAILABLE</x:v>
      </x:c>
      <x:c r="Q1303" s="35" t="str">
        <x:v>Deepseek-flash-v4/Result2/JacksonDatabind_48/result.json</x:v>
      </x:c>
    </x:row>
    <x:row r="1304">
      <x:c r="A1304" s="35" t="str">
        <x:v>deepseek</x:v>
      </x:c>
      <x:c r="B1304" s="35" t="str">
        <x:v>JacksonDatabind</x:v>
      </x:c>
      <x:c r="C1304" s="35" t="str">
        <x:v>Round2</x:v>
      </x:c>
      <x:c r="D1304" s="35" t="str">
        <x:v>JacksonDatabind_49</x:v>
      </x:c>
      <x:c r="E1304" s="35" t="str">
        <x:v>Line</x:v>
      </x:c>
      <x:c r="F1304" s="35"/>
      <x:c r="G1304" s="35" t="str">
        <x:v>A</x:v>
      </x:c>
      <x:c r="H1304" s="39" t="str">
        <x:f>IF(ISNUMBER('Data'!E1304),'Data'!E1304*100,"")</x:f>
      </x:c>
      <x:c r="I1304" s="35"/>
      <x:c r="J1304" s="35" t="str">
        <x:v>PASS</x:v>
      </x:c>
      <x:c r="K1304" s="35" t="str">
        <x:v>FAIL</x:v>
      </x:c>
      <x:c r="L1304" s="35" t="str">
        <x:v>NOT_RUN</x:v>
      </x:c>
      <x:c r="M1304" s="35" t="str">
        <x:v>coverage unavailable or execution/compile failed</x:v>
      </x:c>
      <x:c r="N1304" s="35" t="str">
        <x:v>Deepseek-flash-v4/Result2/JacksonDatabind_49/result.json</x:v>
      </x:c>
      <x:c r="O1304" s="39" t="str">
        <x:f>IF(AND(G1304="RECORDED",ISNUMBER(H1304)),H1304,"")</x:f>
      </x:c>
      <x:c r="P1304" s="35" t="str">
        <x:v>NOT_AVAILABLE</x:v>
      </x:c>
      <x:c r="Q1304" s="35" t="str">
        <x:v>Deepseek-flash-v4/Result2/JacksonDatabind_49/result.json</x:v>
      </x:c>
    </x:row>
    <x:row r="1305">
      <x:c r="A1305" s="35" t="str">
        <x:v>deepseek</x:v>
      </x:c>
      <x:c r="B1305" s="35" t="str">
        <x:v>JacksonDatabind</x:v>
      </x:c>
      <x:c r="C1305" s="35" t="str">
        <x:v>Round2</x:v>
      </x:c>
      <x:c r="D1305" s="35" t="str">
        <x:v>JacksonDatabind_5</x:v>
      </x:c>
      <x:c r="E1305" s="35" t="str">
        <x:v>Line</x:v>
      </x:c>
      <x:c r="F1305" s="35" t="n">
        <x:v>365</x:v>
      </x:c>
      <x:c r="G1305" s="35" t="str">
        <x:v>RECORDED</x:v>
      </x:c>
      <x:c r="H1305" s="39" t="n">
        <x:f>IF(ISNUMBER('Data'!E1305),'Data'!E1305*100,"")</x:f>
        <x:v>52.33</x:v>
      </x:c>
      <x:c r="I1305" s="35" t="str">
        <x:v>PASS</x:v>
      </x:c>
      <x:c r="J1305" s="35" t="str">
        <x:v>PASS</x:v>
      </x:c>
      <x:c r="K1305" s="35" t="str">
        <x:v>PASS</x:v>
      </x:c>
      <x:c r="L1305" s="35" t="str">
        <x:v>FAIL</x:v>
      </x:c>
      <x:c r="M1305" s="35" t="str">
        <x:v>numeric coverage for applicable metric</x:v>
      </x:c>
      <x:c r="N1305" s="35" t="str">
        <x:v>Deepseek-flash-v4/Result2/JacksonDatabind_5/result.json</x:v>
      </x:c>
      <x:c r="O1305" s="39" t="n">
        <x:f>IF(AND(G1305="RECORDED",ISNUMBER(H1305)),H1305,"")</x:f>
        <x:v>52.33</x:v>
      </x:c>
      <x:c r="P1305" s="35" t="str">
        <x:v>INCONCLUSIVE</x:v>
      </x:c>
      <x:c r="Q1305" s="35" t="str">
        <x:v>Deepseek-flash-v4/Result2/JacksonDatabind_5/result.json</x:v>
      </x:c>
    </x:row>
    <x:row r="1306">
      <x:c r="A1306" s="35" t="str">
        <x:v>deepseek</x:v>
      </x:c>
      <x:c r="B1306" s="35" t="str">
        <x:v>JacksonDatabind</x:v>
      </x:c>
      <x:c r="C1306" s="35" t="str">
        <x:v>Round2</x:v>
      </x:c>
      <x:c r="D1306" s="35" t="str">
        <x:v>JacksonDatabind_50</x:v>
      </x:c>
      <x:c r="E1306" s="35" t="str">
        <x:v>Line</x:v>
      </x:c>
      <x:c r="F1306" s="35"/>
      <x:c r="G1306" s="35" t="str">
        <x:v>A</x:v>
      </x:c>
      <x:c r="H1306" s="39" t="str">
        <x:f>IF(ISNUMBER('Data'!E1306),'Data'!E1306*100,"")</x:f>
      </x:c>
      <x:c r="I1306" s="35"/>
      <x:c r="J1306" s="35" t="str">
        <x:v>PASS</x:v>
      </x:c>
      <x:c r="K1306" s="35" t="str">
        <x:v>FAIL</x:v>
      </x:c>
      <x:c r="L1306" s="35" t="str">
        <x:v>NOT_RUN</x:v>
      </x:c>
      <x:c r="M1306" s="35" t="str">
        <x:v>coverage unavailable or execution/compile failed</x:v>
      </x:c>
      <x:c r="N1306" s="35" t="str">
        <x:v>Deepseek-flash-v4/Result2/JacksonDatabind_50/result.json</x:v>
      </x:c>
      <x:c r="O1306" s="39" t="str">
        <x:f>IF(AND(G1306="RECORDED",ISNUMBER(H1306)),H1306,"")</x:f>
      </x:c>
      <x:c r="P1306" s="35" t="str">
        <x:v>NOT_AVAILABLE</x:v>
      </x:c>
      <x:c r="Q1306" s="35" t="str">
        <x:v>Deepseek-flash-v4/Result2/JacksonDatabind_50/result.json</x:v>
      </x:c>
    </x:row>
    <x:row r="1307">
      <x:c r="A1307" s="35" t="str">
        <x:v>deepseek</x:v>
      </x:c>
      <x:c r="B1307" s="35" t="str">
        <x:v>JacksonDatabind</x:v>
      </x:c>
      <x:c r="C1307" s="35" t="str">
        <x:v>Round2</x:v>
      </x:c>
      <x:c r="D1307" s="35" t="str">
        <x:v>JacksonDatabind_51</x:v>
      </x:c>
      <x:c r="E1307" s="35" t="str">
        <x:v>Line</x:v>
      </x:c>
      <x:c r="F1307" s="35"/>
      <x:c r="G1307" s="35" t="str">
        <x:v>A</x:v>
      </x:c>
      <x:c r="H1307" s="39" t="str">
        <x:f>IF(ISNUMBER('Data'!E1307),'Data'!E1307*100,"")</x:f>
      </x:c>
      <x:c r="I1307" s="35"/>
      <x:c r="J1307" s="35" t="str">
        <x:v>PASS</x:v>
      </x:c>
      <x:c r="K1307" s="35" t="str">
        <x:v>FAIL</x:v>
      </x:c>
      <x:c r="L1307" s="35" t="str">
        <x:v>NOT_RUN</x:v>
      </x:c>
      <x:c r="M1307" s="35" t="str">
        <x:v>coverage unavailable or execution/compile failed</x:v>
      </x:c>
      <x:c r="N1307" s="35" t="str">
        <x:v>Deepseek-flash-v4/Result2/JacksonDatabind_51/result.json</x:v>
      </x:c>
      <x:c r="O1307" s="39" t="str">
        <x:f>IF(AND(G1307="RECORDED",ISNUMBER(H1307)),H1307,"")</x:f>
      </x:c>
      <x:c r="P1307" s="35" t="str">
        <x:v>NOT_AVAILABLE</x:v>
      </x:c>
      <x:c r="Q1307" s="35" t="str">
        <x:v>Deepseek-flash-v4/Result2/JacksonDatabind_51/result.json</x:v>
      </x:c>
    </x:row>
    <x:row r="1308">
      <x:c r="A1308" s="35" t="str">
        <x:v>deepseek</x:v>
      </x:c>
      <x:c r="B1308" s="35" t="str">
        <x:v>JacksonDatabind</x:v>
      </x:c>
      <x:c r="C1308" s="35" t="str">
        <x:v>Round2</x:v>
      </x:c>
      <x:c r="D1308" s="35" t="str">
        <x:v>JacksonDatabind_52</x:v>
      </x:c>
      <x:c r="E1308" s="35" t="str">
        <x:v>Line</x:v>
      </x:c>
      <x:c r="F1308" s="35"/>
      <x:c r="G1308" s="35" t="str">
        <x:v>A</x:v>
      </x:c>
      <x:c r="H1308" s="39" t="str">
        <x:f>IF(ISNUMBER('Data'!E1308),'Data'!E1308*100,"")</x:f>
      </x:c>
      <x:c r="I1308" s="35"/>
      <x:c r="J1308" s="35" t="str">
        <x:v>PASS</x:v>
      </x:c>
      <x:c r="K1308" s="35" t="str">
        <x:v>FAIL</x:v>
      </x:c>
      <x:c r="L1308" s="35" t="str">
        <x:v>NOT_RUN</x:v>
      </x:c>
      <x:c r="M1308" s="35" t="str">
        <x:v>coverage unavailable or execution/compile failed</x:v>
      </x:c>
      <x:c r="N1308" s="35" t="str">
        <x:v>Deepseek-flash-v4/Result2/JacksonDatabind_52/result.json</x:v>
      </x:c>
      <x:c r="O1308" s="39" t="str">
        <x:f>IF(AND(G1308="RECORDED",ISNUMBER(H1308)),H1308,"")</x:f>
      </x:c>
      <x:c r="P1308" s="35" t="str">
        <x:v>NOT_AVAILABLE</x:v>
      </x:c>
      <x:c r="Q1308" s="35" t="str">
        <x:v>Deepseek-flash-v4/Result2/JacksonDatabind_52/result.json</x:v>
      </x:c>
    </x:row>
    <x:row r="1309">
      <x:c r="A1309" s="35" t="str">
        <x:v>deepseek</x:v>
      </x:c>
      <x:c r="B1309" s="35" t="str">
        <x:v>JacksonDatabind</x:v>
      </x:c>
      <x:c r="C1309" s="35" t="str">
        <x:v>Round2</x:v>
      </x:c>
      <x:c r="D1309" s="35" t="str">
        <x:v>JacksonDatabind_53</x:v>
      </x:c>
      <x:c r="E1309" s="35" t="str">
        <x:v>Line</x:v>
      </x:c>
      <x:c r="F1309" s="35" t="n">
        <x:v>503</x:v>
      </x:c>
      <x:c r="G1309" s="35" t="str">
        <x:v>RECORDED</x:v>
      </x:c>
      <x:c r="H1309" s="39" t="n">
        <x:f>IF(ISNUMBER('Data'!E1309),'Data'!E1309*100,"")</x:f>
        <x:v>79.32</x:v>
      </x:c>
      <x:c r="I1309" s="35" t="str">
        <x:v>PASS</x:v>
      </x:c>
      <x:c r="J1309" s="35" t="str">
        <x:v>PASS</x:v>
      </x:c>
      <x:c r="K1309" s="35" t="str">
        <x:v>PASS</x:v>
      </x:c>
      <x:c r="L1309" s="35" t="str">
        <x:v>FAIL</x:v>
      </x:c>
      <x:c r="M1309" s="35" t="str">
        <x:v>numeric coverage for applicable metric</x:v>
      </x:c>
      <x:c r="N1309" s="35" t="str">
        <x:v>Deepseek-flash-v4/Result2/JacksonDatabind_53/result.json</x:v>
      </x:c>
      <x:c r="O1309" s="39" t="n">
        <x:f>IF(AND(G1309="RECORDED",ISNUMBER(H1309)),H1309,"")</x:f>
        <x:v>79.32</x:v>
      </x:c>
      <x:c r="P1309" s="35" t="str">
        <x:v>INCONCLUSIVE</x:v>
      </x:c>
      <x:c r="Q1309" s="35" t="str">
        <x:v>Deepseek-flash-v4/Result2/JacksonDatabind_53/result.json</x:v>
      </x:c>
    </x:row>
    <x:row r="1310">
      <x:c r="A1310" s="35" t="str">
        <x:v>deepseek</x:v>
      </x:c>
      <x:c r="B1310" s="35" t="str">
        <x:v>JacksonDatabind</x:v>
      </x:c>
      <x:c r="C1310" s="35" t="str">
        <x:v>Round2</x:v>
      </x:c>
      <x:c r="D1310" s="35" t="str">
        <x:v>JacksonDatabind_54</x:v>
      </x:c>
      <x:c r="E1310" s="35" t="str">
        <x:v>Line</x:v>
      </x:c>
      <x:c r="F1310" s="35"/>
      <x:c r="G1310" s="35" t="str">
        <x:v>A</x:v>
      </x:c>
      <x:c r="H1310" s="39" t="str">
        <x:f>IF(ISNUMBER('Data'!E1310),'Data'!E1310*100,"")</x:f>
      </x:c>
      <x:c r="I1310" s="35"/>
      <x:c r="J1310" s="35" t="str">
        <x:v>PASS</x:v>
      </x:c>
      <x:c r="K1310" s="35" t="str">
        <x:v>FAIL</x:v>
      </x:c>
      <x:c r="L1310" s="35" t="str">
        <x:v>NOT_RUN</x:v>
      </x:c>
      <x:c r="M1310" s="35" t="str">
        <x:v>coverage unavailable or execution/compile failed</x:v>
      </x:c>
      <x:c r="N1310" s="35" t="str">
        <x:v>Deepseek-flash-v4/Result2/JacksonDatabind_54/result.json</x:v>
      </x:c>
      <x:c r="O1310" s="39" t="str">
        <x:f>IF(AND(G1310="RECORDED",ISNUMBER(H1310)),H1310,"")</x:f>
      </x:c>
      <x:c r="P1310" s="35" t="str">
        <x:v>NOT_AVAILABLE</x:v>
      </x:c>
      <x:c r="Q1310" s="35" t="str">
        <x:v>Deepseek-flash-v4/Result2/JacksonDatabind_54/result.json</x:v>
      </x:c>
    </x:row>
    <x:row r="1311">
      <x:c r="A1311" s="35" t="str">
        <x:v>deepseek</x:v>
      </x:c>
      <x:c r="B1311" s="35" t="str">
        <x:v>JacksonDatabind</x:v>
      </x:c>
      <x:c r="C1311" s="35" t="str">
        <x:v>Round2</x:v>
      </x:c>
      <x:c r="D1311" s="35" t="str">
        <x:v>JacksonDatabind_55</x:v>
      </x:c>
      <x:c r="E1311" s="35" t="str">
        <x:v>Line</x:v>
      </x:c>
      <x:c r="F1311" s="35" t="n">
        <x:v>61</x:v>
      </x:c>
      <x:c r="G1311" s="35" t="str">
        <x:v>RECORDED</x:v>
      </x:c>
      <x:c r="H1311" s="39" t="n">
        <x:f>IF(ISNUMBER('Data'!E1311),'Data'!E1311*100,"")</x:f>
        <x:v>78.69</x:v>
      </x:c>
      <x:c r="I1311" s="35" t="str">
        <x:v>PASS</x:v>
      </x:c>
      <x:c r="J1311" s="35" t="str">
        <x:v>PASS</x:v>
      </x:c>
      <x:c r="K1311" s="35" t="str">
        <x:v>PASS</x:v>
      </x:c>
      <x:c r="L1311" s="35" t="str">
        <x:v>FAIL</x:v>
      </x:c>
      <x:c r="M1311" s="35" t="str">
        <x:v>numeric coverage for applicable metric</x:v>
      </x:c>
      <x:c r="N1311" s="35" t="str">
        <x:v>Deepseek-flash-v4/Result2/JacksonDatabind_55/result.json</x:v>
      </x:c>
      <x:c r="O1311" s="39" t="n">
        <x:f>IF(AND(G1311="RECORDED",ISNUMBER(H1311)),H1311,"")</x:f>
        <x:v>78.69</x:v>
      </x:c>
      <x:c r="P1311" s="35" t="str">
        <x:v>INCONCLUSIVE</x:v>
      </x:c>
      <x:c r="Q1311" s="35" t="str">
        <x:v>Deepseek-flash-v4/Result2/JacksonDatabind_55/result.json</x:v>
      </x:c>
    </x:row>
    <x:row r="1312">
      <x:c r="A1312" s="35" t="str">
        <x:v>deepseek</x:v>
      </x:c>
      <x:c r="B1312" s="35" t="str">
        <x:v>JacksonDatabind</x:v>
      </x:c>
      <x:c r="C1312" s="35" t="str">
        <x:v>Round2</x:v>
      </x:c>
      <x:c r="D1312" s="35" t="str">
        <x:v>JacksonDatabind_56</x:v>
      </x:c>
      <x:c r="E1312" s="35" t="str">
        <x:v>Line</x:v>
      </x:c>
      <x:c r="F1312" s="35" t="n">
        <x:v>112</x:v>
      </x:c>
      <x:c r="G1312" s="35" t="str">
        <x:v>RECORDED</x:v>
      </x:c>
      <x:c r="H1312" s="39" t="n">
        <x:f>IF(ISNUMBER('Data'!E1312),'Data'!E1312*100,"")</x:f>
        <x:v>94.64</x:v>
      </x:c>
      <x:c r="I1312" s="35" t="str">
        <x:v>PASS</x:v>
      </x:c>
      <x:c r="J1312" s="35" t="str">
        <x:v>PASS</x:v>
      </x:c>
      <x:c r="K1312" s="35" t="str">
        <x:v>PASS</x:v>
      </x:c>
      <x:c r="L1312" s="35" t="str">
        <x:v>FAIL</x:v>
      </x:c>
      <x:c r="M1312" s="35" t="str">
        <x:v>numeric coverage for applicable metric</x:v>
      </x:c>
      <x:c r="N1312" s="35" t="str">
        <x:v>Deepseek-flash-v4/Result2/JacksonDatabind_56/result.json</x:v>
      </x:c>
      <x:c r="O1312" s="39" t="n">
        <x:f>IF(AND(G1312="RECORDED",ISNUMBER(H1312)),H1312,"")</x:f>
        <x:v>94.64</x:v>
      </x:c>
      <x:c r="P1312" s="35" t="str">
        <x:v>INCONCLUSIVE</x:v>
      </x:c>
      <x:c r="Q1312" s="35" t="str">
        <x:v>Deepseek-flash-v4/Result2/JacksonDatabind_56/result.json</x:v>
      </x:c>
    </x:row>
    <x:row r="1313">
      <x:c r="A1313" s="35" t="str">
        <x:v>deepseek</x:v>
      </x:c>
      <x:c r="B1313" s="35" t="str">
        <x:v>JacksonDatabind</x:v>
      </x:c>
      <x:c r="C1313" s="35" t="str">
        <x:v>Round2</x:v>
      </x:c>
      <x:c r="D1313" s="35" t="str">
        <x:v>JacksonDatabind_57</x:v>
      </x:c>
      <x:c r="E1313" s="35" t="str">
        <x:v>Line</x:v>
      </x:c>
      <x:c r="F1313" s="35" t="n">
        <x:v>407</x:v>
      </x:c>
      <x:c r="G1313" s="35" t="str">
        <x:v>RECORDED</x:v>
      </x:c>
      <x:c r="H1313" s="39" t="n">
        <x:f>IF(ISNUMBER('Data'!E1313),'Data'!E1313*100,"")</x:f>
        <x:v>55.279999999999994</x:v>
      </x:c>
      <x:c r="I1313" s="35" t="str">
        <x:v>PASS</x:v>
      </x:c>
      <x:c r="J1313" s="35" t="str">
        <x:v>PASS</x:v>
      </x:c>
      <x:c r="K1313" s="35" t="str">
        <x:v>PASS</x:v>
      </x:c>
      <x:c r="L1313" s="35" t="str">
        <x:v>FAIL</x:v>
      </x:c>
      <x:c r="M1313" s="35" t="str">
        <x:v>numeric coverage for applicable metric</x:v>
      </x:c>
      <x:c r="N1313" s="35" t="str">
        <x:v>Deepseek-flash-v4/Result2/JacksonDatabind_57/result.json</x:v>
      </x:c>
      <x:c r="O1313" s="39" t="n">
        <x:f>IF(AND(G1313="RECORDED",ISNUMBER(H1313)),H1313,"")</x:f>
        <x:v>55.279999999999994</x:v>
      </x:c>
      <x:c r="P1313" s="35" t="str">
        <x:v>INCONCLUSIVE</x:v>
      </x:c>
      <x:c r="Q1313" s="35" t="str">
        <x:v>Deepseek-flash-v4/Result2/JacksonDatabind_57/result.json</x:v>
      </x:c>
    </x:row>
    <x:row r="1314">
      <x:c r="A1314" s="35" t="str">
        <x:v>deepseek</x:v>
      </x:c>
      <x:c r="B1314" s="35" t="str">
        <x:v>JacksonDatabind</x:v>
      </x:c>
      <x:c r="C1314" s="35" t="str">
        <x:v>Round2</x:v>
      </x:c>
      <x:c r="D1314" s="35" t="str">
        <x:v>JacksonDatabind_58</x:v>
      </x:c>
      <x:c r="E1314" s="35" t="str">
        <x:v>Line</x:v>
      </x:c>
      <x:c r="F1314" s="35"/>
      <x:c r="G1314" s="35" t="str">
        <x:v>A</x:v>
      </x:c>
      <x:c r="H1314" s="39" t="str">
        <x:f>IF(ISNUMBER('Data'!E1314),'Data'!E1314*100,"")</x:f>
      </x:c>
      <x:c r="I1314" s="35"/>
      <x:c r="J1314" s="35" t="str">
        <x:v>PASS</x:v>
      </x:c>
      <x:c r="K1314" s="35" t="str">
        <x:v>FAIL</x:v>
      </x:c>
      <x:c r="L1314" s="35" t="str">
        <x:v>NOT_RUN</x:v>
      </x:c>
      <x:c r="M1314" s="35" t="str">
        <x:v>coverage unavailable or execution/compile failed</x:v>
      </x:c>
      <x:c r="N1314" s="35" t="str">
        <x:v>Deepseek-flash-v4/Result2/JacksonDatabind_58/result.json</x:v>
      </x:c>
      <x:c r="O1314" s="39" t="str">
        <x:f>IF(AND(G1314="RECORDED",ISNUMBER(H1314)),H1314,"")</x:f>
      </x:c>
      <x:c r="P1314" s="35" t="str">
        <x:v>NOT_AVAILABLE</x:v>
      </x:c>
      <x:c r="Q1314" s="35" t="str">
        <x:v>Deepseek-flash-v4/Result2/JacksonDatabind_58/result.json</x:v>
      </x:c>
    </x:row>
    <x:row r="1315">
      <x:c r="A1315" s="35" t="str">
        <x:v>deepseek</x:v>
      </x:c>
      <x:c r="B1315" s="35" t="str">
        <x:v>JacksonDatabind</x:v>
      </x:c>
      <x:c r="C1315" s="35" t="str">
        <x:v>Round2</x:v>
      </x:c>
      <x:c r="D1315" s="35" t="str">
        <x:v>JacksonDatabind_59</x:v>
      </x:c>
      <x:c r="E1315" s="35" t="str">
        <x:v>Line</x:v>
      </x:c>
      <x:c r="F1315" s="35"/>
      <x:c r="G1315" s="35" t="str">
        <x:v>A</x:v>
      </x:c>
      <x:c r="H1315" s="39" t="str">
        <x:f>IF(ISNUMBER('Data'!E1315),'Data'!E1315*100,"")</x:f>
      </x:c>
      <x:c r="I1315" s="35"/>
      <x:c r="J1315" s="35" t="str">
        <x:v>PASS</x:v>
      </x:c>
      <x:c r="K1315" s="35" t="str">
        <x:v>FAIL</x:v>
      </x:c>
      <x:c r="L1315" s="35" t="str">
        <x:v>NOT_RUN</x:v>
      </x:c>
      <x:c r="M1315" s="35" t="str">
        <x:v>coverage unavailable or execution/compile failed</x:v>
      </x:c>
      <x:c r="N1315" s="35" t="str">
        <x:v>Deepseek-flash-v4/Result2/JacksonDatabind_59/result.json</x:v>
      </x:c>
      <x:c r="O1315" s="39" t="str">
        <x:f>IF(AND(G1315="RECORDED",ISNUMBER(H1315)),H1315,"")</x:f>
      </x:c>
      <x:c r="P1315" s="35" t="str">
        <x:v>NOT_AVAILABLE</x:v>
      </x:c>
      <x:c r="Q1315" s="35" t="str">
        <x:v>Deepseek-flash-v4/Result2/JacksonDatabind_59/result.json</x:v>
      </x:c>
    </x:row>
    <x:row r="1316">
      <x:c r="A1316" s="35" t="str">
        <x:v>deepseek</x:v>
      </x:c>
      <x:c r="B1316" s="35" t="str">
        <x:v>JacksonDatabind</x:v>
      </x:c>
      <x:c r="C1316" s="35" t="str">
        <x:v>Round2</x:v>
      </x:c>
      <x:c r="D1316" s="35" t="str">
        <x:v>JacksonDatabind_6</x:v>
      </x:c>
      <x:c r="E1316" s="35" t="str">
        <x:v>Line</x:v>
      </x:c>
      <x:c r="F1316" s="35" t="n">
        <x:v>149</x:v>
      </x:c>
      <x:c r="G1316" s="35" t="str">
        <x:v>RECORDED</x:v>
      </x:c>
      <x:c r="H1316" s="39" t="n">
        <x:f>IF(ISNUMBER('Data'!E1316),'Data'!E1316*100,"")</x:f>
        <x:v>89.26</x:v>
      </x:c>
      <x:c r="I1316" s="35" t="str">
        <x:v>PASS</x:v>
      </x:c>
      <x:c r="J1316" s="35" t="str">
        <x:v>PASS</x:v>
      </x:c>
      <x:c r="K1316" s="35" t="str">
        <x:v>PASS</x:v>
      </x:c>
      <x:c r="L1316" s="35" t="str">
        <x:v>PASS</x:v>
      </x:c>
      <x:c r="M1316" s="35" t="str">
        <x:v>numeric coverage for applicable metric</x:v>
      </x:c>
      <x:c r="N1316" s="35" t="str">
        <x:v>Deepseek-flash-v4/Result2/JacksonDatabind_6/result.json</x:v>
      </x:c>
      <x:c r="O1316" s="39" t="n">
        <x:f>IF(AND(G1316="RECORDED",ISNUMBER(H1316)),H1316,"")</x:f>
        <x:v>89.26</x:v>
      </x:c>
      <x:c r="P1316" s="35" t="str">
        <x:v>NOT_REVEALING</x:v>
      </x:c>
      <x:c r="Q1316" s="35" t="str">
        <x:v>Deepseek-flash-v4/Result2/JacksonDatabind_6/result.json</x:v>
      </x:c>
    </x:row>
    <x:row r="1317">
      <x:c r="A1317" s="35" t="str">
        <x:v>deepseek</x:v>
      </x:c>
      <x:c r="B1317" s="35" t="str">
        <x:v>JacksonDatabind</x:v>
      </x:c>
      <x:c r="C1317" s="35" t="str">
        <x:v>Round2</x:v>
      </x:c>
      <x:c r="D1317" s="35" t="str">
        <x:v>JacksonDatabind_60</x:v>
      </x:c>
      <x:c r="E1317" s="35" t="str">
        <x:v>Line</x:v>
      </x:c>
      <x:c r="F1317" s="35"/>
      <x:c r="G1317" s="35" t="str">
        <x:v>A</x:v>
      </x:c>
      <x:c r="H1317" s="39" t="str">
        <x:f>IF(ISNUMBER('Data'!E1317),'Data'!E1317*100,"")</x:f>
      </x:c>
      <x:c r="I1317" s="35"/>
      <x:c r="J1317" s="35" t="str">
        <x:v>PASS</x:v>
      </x:c>
      <x:c r="K1317" s="35" t="str">
        <x:v>FAIL</x:v>
      </x:c>
      <x:c r="L1317" s="35" t="str">
        <x:v>NOT_RUN</x:v>
      </x:c>
      <x:c r="M1317" s="35" t="str">
        <x:v>coverage unavailable or execution/compile failed</x:v>
      </x:c>
      <x:c r="N1317" s="35" t="str">
        <x:v>Deepseek-flash-v4/Result2/JacksonDatabind_60/result.json</x:v>
      </x:c>
      <x:c r="O1317" s="39" t="str">
        <x:f>IF(AND(G1317="RECORDED",ISNUMBER(H1317)),H1317,"")</x:f>
      </x:c>
      <x:c r="P1317" s="35" t="str">
        <x:v>NOT_AVAILABLE</x:v>
      </x:c>
      <x:c r="Q1317" s="35" t="str">
        <x:v>Deepseek-flash-v4/Result2/JacksonDatabind_60/result.json</x:v>
      </x:c>
    </x:row>
    <x:row r="1318">
      <x:c r="A1318" s="35" t="str">
        <x:v>deepseek</x:v>
      </x:c>
      <x:c r="B1318" s="35" t="str">
        <x:v>JacksonDatabind</x:v>
      </x:c>
      <x:c r="C1318" s="35" t="str">
        <x:v>Round2</x:v>
      </x:c>
      <x:c r="D1318" s="35" t="str">
        <x:v>JacksonDatabind_61</x:v>
      </x:c>
      <x:c r="E1318" s="35" t="str">
        <x:v>Line</x:v>
      </x:c>
      <x:c r="F1318" s="35"/>
      <x:c r="G1318" s="35" t="str">
        <x:v>A</x:v>
      </x:c>
      <x:c r="H1318" s="39" t="str">
        <x:f>IF(ISNUMBER('Data'!E1318),'Data'!E1318*100,"")</x:f>
      </x:c>
      <x:c r="I1318" s="35"/>
      <x:c r="J1318" s="35" t="str">
        <x:v>PASS</x:v>
      </x:c>
      <x:c r="K1318" s="35" t="str">
        <x:v>FAIL</x:v>
      </x:c>
      <x:c r="L1318" s="35" t="str">
        <x:v>NOT_RUN</x:v>
      </x:c>
      <x:c r="M1318" s="35" t="str">
        <x:v>coverage unavailable or execution/compile failed</x:v>
      </x:c>
      <x:c r="N1318" s="35" t="str">
        <x:v>Deepseek-flash-v4/Result2/JacksonDatabind_61/result.json</x:v>
      </x:c>
      <x:c r="O1318" s="39" t="str">
        <x:f>IF(AND(G1318="RECORDED",ISNUMBER(H1318)),H1318,"")</x:f>
      </x:c>
      <x:c r="P1318" s="35" t="str">
        <x:v>NOT_AVAILABLE</x:v>
      </x:c>
      <x:c r="Q1318" s="35" t="str">
        <x:v>Deepseek-flash-v4/Result2/JacksonDatabind_61/result.json</x:v>
      </x:c>
    </x:row>
    <x:row r="1319">
      <x:c r="A1319" s="35" t="str">
        <x:v>deepseek</x:v>
      </x:c>
      <x:c r="B1319" s="35" t="str">
        <x:v>JacksonDatabind</x:v>
      </x:c>
      <x:c r="C1319" s="35" t="str">
        <x:v>Round2</x:v>
      </x:c>
      <x:c r="D1319" s="35" t="str">
        <x:v>JacksonDatabind_62</x:v>
      </x:c>
      <x:c r="E1319" s="35" t="str">
        <x:v>Line</x:v>
      </x:c>
      <x:c r="F1319" s="35"/>
      <x:c r="G1319" s="35" t="str">
        <x:v>A</x:v>
      </x:c>
      <x:c r="H1319" s="39" t="str">
        <x:f>IF(ISNUMBER('Data'!E1319),'Data'!E1319*100,"")</x:f>
      </x:c>
      <x:c r="I1319" s="35"/>
      <x:c r="J1319" s="35" t="str">
        <x:v>PASS</x:v>
      </x:c>
      <x:c r="K1319" s="35" t="str">
        <x:v>FAIL</x:v>
      </x:c>
      <x:c r="L1319" s="35" t="str">
        <x:v>NOT_RUN</x:v>
      </x:c>
      <x:c r="M1319" s="35" t="str">
        <x:v>coverage unavailable or execution/compile failed</x:v>
      </x:c>
      <x:c r="N1319" s="35" t="str">
        <x:v>Deepseek-flash-v4/Result2/JacksonDatabind_62/result.json</x:v>
      </x:c>
      <x:c r="O1319" s="39" t="str">
        <x:f>IF(AND(G1319="RECORDED",ISNUMBER(H1319)),H1319,"")</x:f>
      </x:c>
      <x:c r="P1319" s="35" t="str">
        <x:v>NOT_AVAILABLE</x:v>
      </x:c>
      <x:c r="Q1319" s="35" t="str">
        <x:v>Deepseek-flash-v4/Result2/JacksonDatabind_62/result.json</x:v>
      </x:c>
    </x:row>
    <x:row r="1320">
      <x:c r="A1320" s="35" t="str">
        <x:v>deepseek</x:v>
      </x:c>
      <x:c r="B1320" s="35" t="str">
        <x:v>JacksonDatabind</x:v>
      </x:c>
      <x:c r="C1320" s="35" t="str">
        <x:v>Round2</x:v>
      </x:c>
      <x:c r="D1320" s="35" t="str">
        <x:v>JacksonDatabind_63</x:v>
      </x:c>
      <x:c r="E1320" s="35" t="str">
        <x:v>Line</x:v>
      </x:c>
      <x:c r="F1320" s="35" t="n">
        <x:v>123</x:v>
      </x:c>
      <x:c r="G1320" s="35" t="str">
        <x:v>RECORDED</x:v>
      </x:c>
      <x:c r="H1320" s="39" t="n">
        <x:f>IF(ISNUMBER('Data'!E1320),'Data'!E1320*100,"")</x:f>
        <x:v>82.11</x:v>
      </x:c>
      <x:c r="I1320" s="35" t="str">
        <x:v>PASS</x:v>
      </x:c>
      <x:c r="J1320" s="35" t="str">
        <x:v>PASS</x:v>
      </x:c>
      <x:c r="K1320" s="35" t="str">
        <x:v>PASS</x:v>
      </x:c>
      <x:c r="L1320" s="35" t="str">
        <x:v>FAIL</x:v>
      </x:c>
      <x:c r="M1320" s="35" t="str">
        <x:v>numeric coverage for applicable metric</x:v>
      </x:c>
      <x:c r="N1320" s="35" t="str">
        <x:v>Deepseek-flash-v4/Result2/JacksonDatabind_63/result.json</x:v>
      </x:c>
      <x:c r="O1320" s="39" t="n">
        <x:f>IF(AND(G1320="RECORDED",ISNUMBER(H1320)),H1320,"")</x:f>
        <x:v>82.11</x:v>
      </x:c>
      <x:c r="P1320" s="35" t="str">
        <x:v>INCONCLUSIVE</x:v>
      </x:c>
      <x:c r="Q1320" s="35" t="str">
        <x:v>Deepseek-flash-v4/Result2/JacksonDatabind_63/result.json</x:v>
      </x:c>
    </x:row>
    <x:row r="1321">
      <x:c r="A1321" s="35" t="str">
        <x:v>deepseek</x:v>
      </x:c>
      <x:c r="B1321" s="35" t="str">
        <x:v>JacksonDatabind</x:v>
      </x:c>
      <x:c r="C1321" s="35" t="str">
        <x:v>Round2</x:v>
      </x:c>
      <x:c r="D1321" s="35" t="str">
        <x:v>JacksonDatabind_64</x:v>
      </x:c>
      <x:c r="E1321" s="35" t="str">
        <x:v>Line</x:v>
      </x:c>
      <x:c r="F1321" s="35"/>
      <x:c r="G1321" s="35" t="str">
        <x:v>A</x:v>
      </x:c>
      <x:c r="H1321" s="39" t="str">
        <x:f>IF(ISNUMBER('Data'!E1321),'Data'!E1321*100,"")</x:f>
      </x:c>
      <x:c r="I1321" s="35"/>
      <x:c r="J1321" s="35" t="str">
        <x:v>PASS</x:v>
      </x:c>
      <x:c r="K1321" s="35" t="str">
        <x:v>FAIL</x:v>
      </x:c>
      <x:c r="L1321" s="35" t="str">
        <x:v>NOT_RUN</x:v>
      </x:c>
      <x:c r="M1321" s="35" t="str">
        <x:v>coverage unavailable or execution/compile failed</x:v>
      </x:c>
      <x:c r="N1321" s="35" t="str">
        <x:v>Deepseek-flash-v4/Result2/JacksonDatabind_64/result.json</x:v>
      </x:c>
      <x:c r="O1321" s="39" t="str">
        <x:f>IF(AND(G1321="RECORDED",ISNUMBER(H1321)),H1321,"")</x:f>
      </x:c>
      <x:c r="P1321" s="35" t="str">
        <x:v>NOT_AVAILABLE</x:v>
      </x:c>
      <x:c r="Q1321" s="35" t="str">
        <x:v>Deepseek-flash-v4/Result2/JacksonDatabind_64/result.json</x:v>
      </x:c>
    </x:row>
    <x:row r="1322">
      <x:c r="A1322" s="35" t="str">
        <x:v>deepseek</x:v>
      </x:c>
      <x:c r="B1322" s="35" t="str">
        <x:v>JacksonDatabind</x:v>
      </x:c>
      <x:c r="C1322" s="35" t="str">
        <x:v>Round2</x:v>
      </x:c>
      <x:c r="D1322" s="35" t="str">
        <x:v>JacksonDatabind_66</x:v>
      </x:c>
      <x:c r="E1322" s="35" t="str">
        <x:v>Line</x:v>
      </x:c>
      <x:c r="F1322" s="35" t="n">
        <x:v>156</x:v>
      </x:c>
      <x:c r="G1322" s="35" t="str">
        <x:v>RECORDED</x:v>
      </x:c>
      <x:c r="H1322" s="39" t="n">
        <x:f>IF(ISNUMBER('Data'!E1322),'Data'!E1322*100,"")</x:f>
        <x:v>53.21</x:v>
      </x:c>
      <x:c r="I1322" s="35" t="str">
        <x:v>PASS</x:v>
      </x:c>
      <x:c r="J1322" s="35" t="str">
        <x:v>PASS</x:v>
      </x:c>
      <x:c r="K1322" s="35" t="str">
        <x:v>PASS</x:v>
      </x:c>
      <x:c r="L1322" s="35" t="str">
        <x:v>PASS</x:v>
      </x:c>
      <x:c r="M1322" s="35" t="str">
        <x:v>numeric coverage for applicable metric</x:v>
      </x:c>
      <x:c r="N1322" s="35" t="str">
        <x:v>Deepseek-flash-v4/Result2/JacksonDatabind_66/result.json</x:v>
      </x:c>
      <x:c r="O1322" s="39" t="n">
        <x:f>IF(AND(G1322="RECORDED",ISNUMBER(H1322)),H1322,"")</x:f>
        <x:v>53.21</x:v>
      </x:c>
      <x:c r="P1322" s="35" t="str">
        <x:v>NOT_REVEALING</x:v>
      </x:c>
      <x:c r="Q1322" s="35" t="str">
        <x:v>Deepseek-flash-v4/Result2/JacksonDatabind_66/result.json</x:v>
      </x:c>
    </x:row>
    <x:row r="1323">
      <x:c r="A1323" s="35" t="str">
        <x:v>deepseek</x:v>
      </x:c>
      <x:c r="B1323" s="35" t="str">
        <x:v>JacksonDatabind</x:v>
      </x:c>
      <x:c r="C1323" s="35" t="str">
        <x:v>Round2</x:v>
      </x:c>
      <x:c r="D1323" s="35" t="str">
        <x:v>JacksonDatabind_67</x:v>
      </x:c>
      <x:c r="E1323" s="35" t="str">
        <x:v>Line</x:v>
      </x:c>
      <x:c r="F1323" s="35"/>
      <x:c r="G1323" s="35" t="str">
        <x:v>A</x:v>
      </x:c>
      <x:c r="H1323" s="39" t="str">
        <x:f>IF(ISNUMBER('Data'!E1323),'Data'!E1323*100,"")</x:f>
      </x:c>
      <x:c r="I1323" s="35"/>
      <x:c r="J1323" s="35" t="str">
        <x:v>PASS</x:v>
      </x:c>
      <x:c r="K1323" s="35" t="str">
        <x:v>FAIL</x:v>
      </x:c>
      <x:c r="L1323" s="35" t="str">
        <x:v>NOT_RUN</x:v>
      </x:c>
      <x:c r="M1323" s="35" t="str">
        <x:v>coverage unavailable or execution/compile failed</x:v>
      </x:c>
      <x:c r="N1323" s="35" t="str">
        <x:v>Deepseek-flash-v4/Result2/JacksonDatabind_67/result.json</x:v>
      </x:c>
      <x:c r="O1323" s="39" t="str">
        <x:f>IF(AND(G1323="RECORDED",ISNUMBER(H1323)),H1323,"")</x:f>
      </x:c>
      <x:c r="P1323" s="35" t="str">
        <x:v>NOT_AVAILABLE</x:v>
      </x:c>
      <x:c r="Q1323" s="35" t="str">
        <x:v>Deepseek-flash-v4/Result2/JacksonDatabind_67/result.json</x:v>
      </x:c>
    </x:row>
    <x:row r="1324">
      <x:c r="A1324" s="35" t="str">
        <x:v>deepseek</x:v>
      </x:c>
      <x:c r="B1324" s="35" t="str">
        <x:v>JacksonDatabind</x:v>
      </x:c>
      <x:c r="C1324" s="35" t="str">
        <x:v>Round2</x:v>
      </x:c>
      <x:c r="D1324" s="35" t="str">
        <x:v>JacksonDatabind_68</x:v>
      </x:c>
      <x:c r="E1324" s="35" t="str">
        <x:v>Line</x:v>
      </x:c>
      <x:c r="F1324" s="35" t="n">
        <x:v>592</x:v>
      </x:c>
      <x:c r="G1324" s="35" t="str">
        <x:v>RECORDED</x:v>
      </x:c>
      <x:c r="H1324" s="39" t="n">
        <x:f>IF(ISNUMBER('Data'!E1324),'Data'!E1324*100,"")</x:f>
        <x:v>0.17</x:v>
      </x:c>
      <x:c r="I1324" s="35" t="str">
        <x:v>PASS</x:v>
      </x:c>
      <x:c r="J1324" s="35" t="str">
        <x:v>PASS</x:v>
      </x:c>
      <x:c r="K1324" s="35" t="str">
        <x:v>PASS</x:v>
      </x:c>
      <x:c r="L1324" s="35" t="str">
        <x:v>FAIL</x:v>
      </x:c>
      <x:c r="M1324" s="35" t="str">
        <x:v>numeric coverage for applicable metric</x:v>
      </x:c>
      <x:c r="N1324" s="35" t="str">
        <x:v>Deepseek-flash-v4/Result2/JacksonDatabind_68/result.json</x:v>
      </x:c>
      <x:c r="O1324" s="39" t="n">
        <x:f>IF(AND(G1324="RECORDED",ISNUMBER(H1324)),H1324,"")</x:f>
        <x:v>0.17</x:v>
      </x:c>
      <x:c r="P1324" s="35" t="str">
        <x:v>INCONCLUSIVE</x:v>
      </x:c>
      <x:c r="Q1324" s="35" t="str">
        <x:v>Deepseek-flash-v4/Result2/JacksonDatabind_68/result.json</x:v>
      </x:c>
    </x:row>
    <x:row r="1325">
      <x:c r="A1325" s="35" t="str">
        <x:v>deepseek</x:v>
      </x:c>
      <x:c r="B1325" s="35" t="str">
        <x:v>JacksonDatabind</x:v>
      </x:c>
      <x:c r="C1325" s="35" t="str">
        <x:v>Round2</x:v>
      </x:c>
      <x:c r="D1325" s="35" t="str">
        <x:v>JacksonDatabind_69</x:v>
      </x:c>
      <x:c r="E1325" s="35" t="str">
        <x:v>Line</x:v>
      </x:c>
      <x:c r="F1325" s="35"/>
      <x:c r="G1325" s="35" t="str">
        <x:v>A</x:v>
      </x:c>
      <x:c r="H1325" s="39" t="str">
        <x:f>IF(ISNUMBER('Data'!E1325),'Data'!E1325*100,"")</x:f>
      </x:c>
      <x:c r="I1325" s="35"/>
      <x:c r="J1325" s="35" t="str">
        <x:v>PASS</x:v>
      </x:c>
      <x:c r="K1325" s="35" t="str">
        <x:v>FAIL</x:v>
      </x:c>
      <x:c r="L1325" s="35" t="str">
        <x:v>NOT_RUN</x:v>
      </x:c>
      <x:c r="M1325" s="35" t="str">
        <x:v>coverage unavailable or execution/compile failed</x:v>
      </x:c>
      <x:c r="N1325" s="35" t="str">
        <x:v>Deepseek-flash-v4/Result2/JacksonDatabind_69/result.json</x:v>
      </x:c>
      <x:c r="O1325" s="39" t="str">
        <x:f>IF(AND(G1325="RECORDED",ISNUMBER(H1325)),H1325,"")</x:f>
      </x:c>
      <x:c r="P1325" s="35" t="str">
        <x:v>NOT_AVAILABLE</x:v>
      </x:c>
      <x:c r="Q1325" s="35" t="str">
        <x:v>Deepseek-flash-v4/Result2/JacksonDatabind_69/result.json</x:v>
      </x:c>
    </x:row>
    <x:row r="1326">
      <x:c r="A1326" s="35" t="str">
        <x:v>deepseek</x:v>
      </x:c>
      <x:c r="B1326" s="35" t="str">
        <x:v>JacksonDatabind</x:v>
      </x:c>
      <x:c r="C1326" s="35" t="str">
        <x:v>Round2</x:v>
      </x:c>
      <x:c r="D1326" s="35" t="str">
        <x:v>JacksonDatabind_7</x:v>
      </x:c>
      <x:c r="E1326" s="35" t="str">
        <x:v>Line</x:v>
      </x:c>
      <x:c r="F1326" s="35"/>
      <x:c r="G1326" s="35" t="str">
        <x:v>A</x:v>
      </x:c>
      <x:c r="H1326" s="39" t="str">
        <x:f>IF(ISNUMBER('Data'!E1326),'Data'!E1326*100,"")</x:f>
      </x:c>
      <x:c r="I1326" s="35"/>
      <x:c r="J1326" s="35" t="str">
        <x:v>PASS</x:v>
      </x:c>
      <x:c r="K1326" s="35" t="str">
        <x:v>FAIL</x:v>
      </x:c>
      <x:c r="L1326" s="35" t="str">
        <x:v>NOT_RUN</x:v>
      </x:c>
      <x:c r="M1326" s="35" t="str">
        <x:v>coverage unavailable or execution/compile failed</x:v>
      </x:c>
      <x:c r="N1326" s="35" t="str">
        <x:v>Deepseek-flash-v4/Result2/JacksonDatabind_7/result.json</x:v>
      </x:c>
      <x:c r="O1326" s="39" t="str">
        <x:f>IF(AND(G1326="RECORDED",ISNUMBER(H1326)),H1326,"")</x:f>
      </x:c>
      <x:c r="P1326" s="35" t="str">
        <x:v>NOT_AVAILABLE</x:v>
      </x:c>
      <x:c r="Q1326" s="35" t="str">
        <x:v>Deepseek-flash-v4/Result2/JacksonDatabind_7/result.json</x:v>
      </x:c>
    </x:row>
    <x:row r="1327">
      <x:c r="A1327" s="35" t="str">
        <x:v>deepseek</x:v>
      </x:c>
      <x:c r="B1327" s="35" t="str">
        <x:v>JacksonDatabind</x:v>
      </x:c>
      <x:c r="C1327" s="35" t="str">
        <x:v>Round2</x:v>
      </x:c>
      <x:c r="D1327" s="35" t="str">
        <x:v>JacksonDatabind_70</x:v>
      </x:c>
      <x:c r="E1327" s="35" t="str">
        <x:v>Line</x:v>
      </x:c>
      <x:c r="F1327" s="35"/>
      <x:c r="G1327" s="35" t="str">
        <x:v>A</x:v>
      </x:c>
      <x:c r="H1327" s="39" t="str">
        <x:f>IF(ISNUMBER('Data'!E1327),'Data'!E1327*100,"")</x:f>
      </x:c>
      <x:c r="I1327" s="35"/>
      <x:c r="J1327" s="35" t="str">
        <x:v>PASS</x:v>
      </x:c>
      <x:c r="K1327" s="35" t="str">
        <x:v>FAIL</x:v>
      </x:c>
      <x:c r="L1327" s="35" t="str">
        <x:v>NOT_RUN</x:v>
      </x:c>
      <x:c r="M1327" s="35" t="str">
        <x:v>coverage unavailable or execution/compile failed</x:v>
      </x:c>
      <x:c r="N1327" s="35" t="str">
        <x:v>Deepseek-flash-v4/Result2/JacksonDatabind_70/result.json</x:v>
      </x:c>
      <x:c r="O1327" s="39" t="str">
        <x:f>IF(AND(G1327="RECORDED",ISNUMBER(H1327)),H1327,"")</x:f>
      </x:c>
      <x:c r="P1327" s="35" t="str">
        <x:v>NOT_AVAILABLE</x:v>
      </x:c>
      <x:c r="Q1327" s="35" t="str">
        <x:v>Deepseek-flash-v4/Result2/JacksonDatabind_70/result.json</x:v>
      </x:c>
    </x:row>
    <x:row r="1328">
      <x:c r="A1328" s="35" t="str">
        <x:v>deepseek</x:v>
      </x:c>
      <x:c r="B1328" s="35" t="str">
        <x:v>JacksonDatabind</x:v>
      </x:c>
      <x:c r="C1328" s="35" t="str">
        <x:v>Round2</x:v>
      </x:c>
      <x:c r="D1328" s="35" t="str">
        <x:v>JacksonDatabind_71</x:v>
      </x:c>
      <x:c r="E1328" s="35" t="str">
        <x:v>Line</x:v>
      </x:c>
      <x:c r="F1328" s="35" t="n">
        <x:v>149</x:v>
      </x:c>
      <x:c r="G1328" s="35" t="str">
        <x:v>RECORDED</x:v>
      </x:c>
      <x:c r="H1328" s="39" t="n">
        <x:f>IF(ISNUMBER('Data'!E1328),'Data'!E1328*100,"")</x:f>
        <x:v>80.54</x:v>
      </x:c>
      <x:c r="I1328" s="35" t="str">
        <x:v>PASS</x:v>
      </x:c>
      <x:c r="J1328" s="35" t="str">
        <x:v>PASS</x:v>
      </x:c>
      <x:c r="K1328" s="35" t="str">
        <x:v>PASS</x:v>
      </x:c>
      <x:c r="L1328" s="35" t="str">
        <x:v>FAIL</x:v>
      </x:c>
      <x:c r="M1328" s="35" t="str">
        <x:v>numeric coverage for applicable metric</x:v>
      </x:c>
      <x:c r="N1328" s="35" t="str">
        <x:v>Deepseek-flash-v4/Result2/JacksonDatabind_71/result.json</x:v>
      </x:c>
      <x:c r="O1328" s="39" t="n">
        <x:f>IF(AND(G1328="RECORDED",ISNUMBER(H1328)),H1328,"")</x:f>
        <x:v>80.54</x:v>
      </x:c>
      <x:c r="P1328" s="35" t="str">
        <x:v>INCONCLUSIVE</x:v>
      </x:c>
      <x:c r="Q1328" s="35" t="str">
        <x:v>Deepseek-flash-v4/Result2/JacksonDatabind_71/result.json</x:v>
      </x:c>
    </x:row>
    <x:row r="1329">
      <x:c r="A1329" s="35" t="str">
        <x:v>deepseek</x:v>
      </x:c>
      <x:c r="B1329" s="35" t="str">
        <x:v>JacksonDatabind</x:v>
      </x:c>
      <x:c r="C1329" s="35" t="str">
        <x:v>Round2</x:v>
      </x:c>
      <x:c r="D1329" s="35" t="str">
        <x:v>JacksonDatabind_72</x:v>
      </x:c>
      <x:c r="E1329" s="35" t="str">
        <x:v>Line</x:v>
      </x:c>
      <x:c r="F1329" s="35"/>
      <x:c r="G1329" s="35" t="str">
        <x:v>A</x:v>
      </x:c>
      <x:c r="H1329" s="39" t="str">
        <x:f>IF(ISNUMBER('Data'!E1329),'Data'!E1329*100,"")</x:f>
      </x:c>
      <x:c r="I1329" s="35"/>
      <x:c r="J1329" s="35" t="str">
        <x:v>PASS</x:v>
      </x:c>
      <x:c r="K1329" s="35" t="str">
        <x:v>FAIL</x:v>
      </x:c>
      <x:c r="L1329" s="35" t="str">
        <x:v>NOT_RUN</x:v>
      </x:c>
      <x:c r="M1329" s="35" t="str">
        <x:v>coverage unavailable or execution/compile failed</x:v>
      </x:c>
      <x:c r="N1329" s="35" t="str">
        <x:v>Deepseek-flash-v4/Result2/JacksonDatabind_72/result.json</x:v>
      </x:c>
      <x:c r="O1329" s="39" t="str">
        <x:f>IF(AND(G1329="RECORDED",ISNUMBER(H1329)),H1329,"")</x:f>
      </x:c>
      <x:c r="P1329" s="35" t="str">
        <x:v>NOT_AVAILABLE</x:v>
      </x:c>
      <x:c r="Q1329" s="35" t="str">
        <x:v>Deepseek-flash-v4/Result2/JacksonDatabind_72/result.json</x:v>
      </x:c>
    </x:row>
    <x:row r="1330">
      <x:c r="A1330" s="35" t="str">
        <x:v>deepseek</x:v>
      </x:c>
      <x:c r="B1330" s="35" t="str">
        <x:v>JacksonDatabind</x:v>
      </x:c>
      <x:c r="C1330" s="35" t="str">
        <x:v>Round2</x:v>
      </x:c>
      <x:c r="D1330" s="35" t="str">
        <x:v>JacksonDatabind_73</x:v>
      </x:c>
      <x:c r="E1330" s="35" t="str">
        <x:v>Line</x:v>
      </x:c>
      <x:c r="F1330" s="35" t="n">
        <x:v>928</x:v>
      </x:c>
      <x:c r="G1330" s="35" t="str">
        <x:v>RECORDED</x:v>
      </x:c>
      <x:c r="H1330" s="39" t="n">
        <x:f>IF(ISNUMBER('Data'!E1330),'Data'!E1330*100,"")</x:f>
        <x:v>68.32</x:v>
      </x:c>
      <x:c r="I1330" s="35" t="str">
        <x:v>PASS</x:v>
      </x:c>
      <x:c r="J1330" s="35" t="str">
        <x:v>PASS</x:v>
      </x:c>
      <x:c r="K1330" s="35" t="str">
        <x:v>PASS</x:v>
      </x:c>
      <x:c r="L1330" s="35" t="str">
        <x:v>PASS</x:v>
      </x:c>
      <x:c r="M1330" s="35" t="str">
        <x:v>numeric coverage for applicable metric</x:v>
      </x:c>
      <x:c r="N1330" s="35" t="str">
        <x:v>Deepseek-flash-v4/Result2/JacksonDatabind_73/result.json</x:v>
      </x:c>
      <x:c r="O1330" s="39" t="n">
        <x:f>IF(AND(G1330="RECORDED",ISNUMBER(H1330)),H1330,"")</x:f>
        <x:v>68.32</x:v>
      </x:c>
      <x:c r="P1330" s="35" t="str">
        <x:v>NOT_REVEALING</x:v>
      </x:c>
      <x:c r="Q1330" s="35" t="str">
        <x:v>Deepseek-flash-v4/Result2/JacksonDatabind_73/result.json</x:v>
      </x:c>
    </x:row>
    <x:row r="1331">
      <x:c r="A1331" s="35" t="str">
        <x:v>deepseek</x:v>
      </x:c>
      <x:c r="B1331" s="35" t="str">
        <x:v>JacksonDatabind</x:v>
      </x:c>
      <x:c r="C1331" s="35" t="str">
        <x:v>Round2</x:v>
      </x:c>
      <x:c r="D1331" s="35" t="str">
        <x:v>JacksonDatabind_74</x:v>
      </x:c>
      <x:c r="E1331" s="35" t="str">
        <x:v>Line</x:v>
      </x:c>
      <x:c r="F1331" s="35"/>
      <x:c r="G1331" s="35" t="str">
        <x:v>A</x:v>
      </x:c>
      <x:c r="H1331" s="39" t="str">
        <x:f>IF(ISNUMBER('Data'!E1331),'Data'!E1331*100,"")</x:f>
      </x:c>
      <x:c r="I1331" s="35"/>
      <x:c r="J1331" s="35" t="str">
        <x:v>PASS</x:v>
      </x:c>
      <x:c r="K1331" s="35" t="str">
        <x:v>FAIL</x:v>
      </x:c>
      <x:c r="L1331" s="35" t="str">
        <x:v>NOT_RUN</x:v>
      </x:c>
      <x:c r="M1331" s="35" t="str">
        <x:v>coverage unavailable or execution/compile failed</x:v>
      </x:c>
      <x:c r="N1331" s="35" t="str">
        <x:v>Deepseek-flash-v4/Result2/JacksonDatabind_74/result.json</x:v>
      </x:c>
      <x:c r="O1331" s="39" t="str">
        <x:f>IF(AND(G1331="RECORDED",ISNUMBER(H1331)),H1331,"")</x:f>
      </x:c>
      <x:c r="P1331" s="35" t="str">
        <x:v>NOT_AVAILABLE</x:v>
      </x:c>
      <x:c r="Q1331" s="35" t="str">
        <x:v>Deepseek-flash-v4/Result2/JacksonDatabind_74/result.json</x:v>
      </x:c>
    </x:row>
    <x:row r="1332">
      <x:c r="A1332" s="35" t="str">
        <x:v>deepseek</x:v>
      </x:c>
      <x:c r="B1332" s="35" t="str">
        <x:v>JacksonDatabind</x:v>
      </x:c>
      <x:c r="C1332" s="35" t="str">
        <x:v>Round2</x:v>
      </x:c>
      <x:c r="D1332" s="35" t="str">
        <x:v>JacksonDatabind_75</x:v>
      </x:c>
      <x:c r="E1332" s="35" t="str">
        <x:v>Line</x:v>
      </x:c>
      <x:c r="F1332" s="35"/>
      <x:c r="G1332" s="35" t="str">
        <x:v>A</x:v>
      </x:c>
      <x:c r="H1332" s="39" t="str">
        <x:f>IF(ISNUMBER('Data'!E1332),'Data'!E1332*100,"")</x:f>
      </x:c>
      <x:c r="I1332" s="35"/>
      <x:c r="J1332" s="35" t="str">
        <x:v>PASS</x:v>
      </x:c>
      <x:c r="K1332" s="35" t="str">
        <x:v>FAIL</x:v>
      </x:c>
      <x:c r="L1332" s="35" t="str">
        <x:v>NOT_RUN</x:v>
      </x:c>
      <x:c r="M1332" s="35" t="str">
        <x:v>coverage unavailable or execution/compile failed</x:v>
      </x:c>
      <x:c r="N1332" s="35" t="str">
        <x:v>Deepseek-flash-v4/Result2/JacksonDatabind_75/result.json</x:v>
      </x:c>
      <x:c r="O1332" s="39" t="str">
        <x:f>IF(AND(G1332="RECORDED",ISNUMBER(H1332)),H1332,"")</x:f>
      </x:c>
      <x:c r="P1332" s="35" t="str">
        <x:v>NOT_AVAILABLE</x:v>
      </x:c>
      <x:c r="Q1332" s="35" t="str">
        <x:v>Deepseek-flash-v4/Result2/JacksonDatabind_75/result.json</x:v>
      </x:c>
    </x:row>
    <x:row r="1333">
      <x:c r="A1333" s="35" t="str">
        <x:v>deepseek</x:v>
      </x:c>
      <x:c r="B1333" s="35" t="str">
        <x:v>JacksonDatabind</x:v>
      </x:c>
      <x:c r="C1333" s="35" t="str">
        <x:v>Round2</x:v>
      </x:c>
      <x:c r="D1333" s="35" t="str">
        <x:v>JacksonDatabind_76</x:v>
      </x:c>
      <x:c r="E1333" s="35" t="str">
        <x:v>Line</x:v>
      </x:c>
      <x:c r="F1333" s="35"/>
      <x:c r="G1333" s="35" t="str">
        <x:v>A</x:v>
      </x:c>
      <x:c r="H1333" s="39" t="str">
        <x:f>IF(ISNUMBER('Data'!E1333),'Data'!E1333*100,"")</x:f>
      </x:c>
      <x:c r="I1333" s="35"/>
      <x:c r="J1333" s="35" t="str">
        <x:v>PASS</x:v>
      </x:c>
      <x:c r="K1333" s="35" t="str">
        <x:v>FAIL</x:v>
      </x:c>
      <x:c r="L1333" s="35" t="str">
        <x:v>NOT_RUN</x:v>
      </x:c>
      <x:c r="M1333" s="35" t="str">
        <x:v>coverage unavailable or execution/compile failed</x:v>
      </x:c>
      <x:c r="N1333" s="35" t="str">
        <x:v>Deepseek-flash-v4/Result2/JacksonDatabind_76/result.json</x:v>
      </x:c>
      <x:c r="O1333" s="39" t="str">
        <x:f>IF(AND(G1333="RECORDED",ISNUMBER(H1333)),H1333,"")</x:f>
      </x:c>
      <x:c r="P1333" s="35" t="str">
        <x:v>NOT_AVAILABLE</x:v>
      </x:c>
      <x:c r="Q1333" s="35" t="str">
        <x:v>Deepseek-flash-v4/Result2/JacksonDatabind_76/result.json</x:v>
      </x:c>
    </x:row>
    <x:row r="1334">
      <x:c r="A1334" s="35" t="str">
        <x:v>deepseek</x:v>
      </x:c>
      <x:c r="B1334" s="35" t="str">
        <x:v>JacksonDatabind</x:v>
      </x:c>
      <x:c r="C1334" s="35" t="str">
        <x:v>Round2</x:v>
      </x:c>
      <x:c r="D1334" s="35" t="str">
        <x:v>JacksonDatabind_77</x:v>
      </x:c>
      <x:c r="E1334" s="35" t="str">
        <x:v>Line</x:v>
      </x:c>
      <x:c r="F1334" s="35"/>
      <x:c r="G1334" s="35" t="str">
        <x:v>A</x:v>
      </x:c>
      <x:c r="H1334" s="39" t="str">
        <x:f>IF(ISNUMBER('Data'!E1334),'Data'!E1334*100,"")</x:f>
      </x:c>
      <x:c r="I1334" s="35"/>
      <x:c r="J1334" s="35" t="str">
        <x:v>PASS</x:v>
      </x:c>
      <x:c r="K1334" s="35" t="str">
        <x:v>FAIL</x:v>
      </x:c>
      <x:c r="L1334" s="35" t="str">
        <x:v>NOT_RUN</x:v>
      </x:c>
      <x:c r="M1334" s="35" t="str">
        <x:v>coverage unavailable or execution/compile failed</x:v>
      </x:c>
      <x:c r="N1334" s="35" t="str">
        <x:v>Deepseek-flash-v4/Result2/JacksonDatabind_77/result.json</x:v>
      </x:c>
      <x:c r="O1334" s="39" t="str">
        <x:f>IF(AND(G1334="RECORDED",ISNUMBER(H1334)),H1334,"")</x:f>
      </x:c>
      <x:c r="P1334" s="35" t="str">
        <x:v>NOT_AVAILABLE</x:v>
      </x:c>
      <x:c r="Q1334" s="35" t="str">
        <x:v>Deepseek-flash-v4/Result2/JacksonDatabind_77/result.json</x:v>
      </x:c>
    </x:row>
    <x:row r="1335">
      <x:c r="A1335" s="35" t="str">
        <x:v>deepseek</x:v>
      </x:c>
      <x:c r="B1335" s="35" t="str">
        <x:v>JacksonDatabind</x:v>
      </x:c>
      <x:c r="C1335" s="35" t="str">
        <x:v>Round2</x:v>
      </x:c>
      <x:c r="D1335" s="35" t="str">
        <x:v>JacksonDatabind_78</x:v>
      </x:c>
      <x:c r="E1335" s="35" t="str">
        <x:v>Line</x:v>
      </x:c>
      <x:c r="F1335" s="35" t="n">
        <x:v>336</x:v>
      </x:c>
      <x:c r="G1335" s="35" t="str">
        <x:v>RECORDED</x:v>
      </x:c>
      <x:c r="H1335" s="39" t="n">
        <x:f>IF(ISNUMBER('Data'!E1335),'Data'!E1335*100,"")</x:f>
        <x:v>72.32</x:v>
      </x:c>
      <x:c r="I1335" s="35" t="str">
        <x:v>PASS</x:v>
      </x:c>
      <x:c r="J1335" s="35" t="str">
        <x:v>PASS</x:v>
      </x:c>
      <x:c r="K1335" s="35" t="str">
        <x:v>PASS</x:v>
      </x:c>
      <x:c r="L1335" s="35" t="str">
        <x:v>PASS</x:v>
      </x:c>
      <x:c r="M1335" s="35" t="str">
        <x:v>numeric coverage for applicable metric</x:v>
      </x:c>
      <x:c r="N1335" s="35" t="str">
        <x:v>Deepseek-flash-v4/Result2/JacksonDatabind_78/result.json</x:v>
      </x:c>
      <x:c r="O1335" s="39" t="n">
        <x:f>IF(AND(G1335="RECORDED",ISNUMBER(H1335)),H1335,"")</x:f>
        <x:v>72.32</x:v>
      </x:c>
      <x:c r="P1335" s="35" t="str">
        <x:v>NOT_REVEALING</x:v>
      </x:c>
      <x:c r="Q1335" s="35" t="str">
        <x:v>Deepseek-flash-v4/Result2/JacksonDatabind_78/result.json</x:v>
      </x:c>
    </x:row>
    <x:row r="1336">
      <x:c r="A1336" s="35" t="str">
        <x:v>deepseek</x:v>
      </x:c>
      <x:c r="B1336" s="35" t="str">
        <x:v>JacksonDatabind</x:v>
      </x:c>
      <x:c r="C1336" s="35" t="str">
        <x:v>Round2</x:v>
      </x:c>
      <x:c r="D1336" s="35" t="str">
        <x:v>JacksonDatabind_79</x:v>
      </x:c>
      <x:c r="E1336" s="35" t="str">
        <x:v>Line</x:v>
      </x:c>
      <x:c r="F1336" s="35"/>
      <x:c r="G1336" s="35" t="str">
        <x:v>A</x:v>
      </x:c>
      <x:c r="H1336" s="39" t="str">
        <x:f>IF(ISNUMBER('Data'!E1336),'Data'!E1336*100,"")</x:f>
      </x:c>
      <x:c r="I1336" s="35"/>
      <x:c r="J1336" s="35" t="str">
        <x:v>PASS</x:v>
      </x:c>
      <x:c r="K1336" s="35" t="str">
        <x:v>FAIL</x:v>
      </x:c>
      <x:c r="L1336" s="35" t="str">
        <x:v>NOT_RUN</x:v>
      </x:c>
      <x:c r="M1336" s="35" t="str">
        <x:v>coverage unavailable or execution/compile failed</x:v>
      </x:c>
      <x:c r="N1336" s="35" t="str">
        <x:v>Deepseek-flash-v4/Result2/JacksonDatabind_79/result.json</x:v>
      </x:c>
      <x:c r="O1336" s="39" t="str">
        <x:f>IF(AND(G1336="RECORDED",ISNUMBER(H1336)),H1336,"")</x:f>
      </x:c>
      <x:c r="P1336" s="35" t="str">
        <x:v>NOT_AVAILABLE</x:v>
      </x:c>
      <x:c r="Q1336" s="35" t="str">
        <x:v>Deepseek-flash-v4/Result2/JacksonDatabind_79/result.json</x:v>
      </x:c>
    </x:row>
    <x:row r="1337">
      <x:c r="A1337" s="35" t="str">
        <x:v>deepseek</x:v>
      </x:c>
      <x:c r="B1337" s="35" t="str">
        <x:v>JacksonDatabind</x:v>
      </x:c>
      <x:c r="C1337" s="35" t="str">
        <x:v>Round2</x:v>
      </x:c>
      <x:c r="D1337" s="35" t="str">
        <x:v>JacksonDatabind_8</x:v>
      </x:c>
      <x:c r="E1337" s="35" t="str">
        <x:v>Line</x:v>
      </x:c>
      <x:c r="F1337" s="35"/>
      <x:c r="G1337" s="35" t="str">
        <x:v>A</x:v>
      </x:c>
      <x:c r="H1337" s="39" t="str">
        <x:f>IF(ISNUMBER('Data'!E1337),'Data'!E1337*100,"")</x:f>
      </x:c>
      <x:c r="I1337" s="35"/>
      <x:c r="J1337" s="35" t="str">
        <x:v>PASS</x:v>
      </x:c>
      <x:c r="K1337" s="35" t="str">
        <x:v>FAIL</x:v>
      </x:c>
      <x:c r="L1337" s="35" t="str">
        <x:v>NOT_RUN</x:v>
      </x:c>
      <x:c r="M1337" s="35" t="str">
        <x:v>coverage unavailable or execution/compile failed</x:v>
      </x:c>
      <x:c r="N1337" s="35" t="str">
        <x:v>Deepseek-flash-v4/Result2/JacksonDatabind_8/result.json</x:v>
      </x:c>
      <x:c r="O1337" s="39" t="str">
        <x:f>IF(AND(G1337="RECORDED",ISNUMBER(H1337)),H1337,"")</x:f>
      </x:c>
      <x:c r="P1337" s="35" t="str">
        <x:v>NOT_AVAILABLE</x:v>
      </x:c>
      <x:c r="Q1337" s="35" t="str">
        <x:v>Deepseek-flash-v4/Result2/JacksonDatabind_8/result.json</x:v>
      </x:c>
    </x:row>
    <x:row r="1338">
      <x:c r="A1338" s="35" t="str">
        <x:v>deepseek</x:v>
      </x:c>
      <x:c r="B1338" s="35" t="str">
        <x:v>JacksonDatabind</x:v>
      </x:c>
      <x:c r="C1338" s="35" t="str">
        <x:v>Round2</x:v>
      </x:c>
      <x:c r="D1338" s="35" t="str">
        <x:v>JacksonDatabind_80</x:v>
      </x:c>
      <x:c r="E1338" s="35" t="str">
        <x:v>Line</x:v>
      </x:c>
      <x:c r="F1338" s="35"/>
      <x:c r="G1338" s="35" t="str">
        <x:v>A</x:v>
      </x:c>
      <x:c r="H1338" s="39" t="str">
        <x:f>IF(ISNUMBER('Data'!E1338),'Data'!E1338*100,"")</x:f>
      </x:c>
      <x:c r="I1338" s="35"/>
      <x:c r="J1338" s="35" t="str">
        <x:v>PASS</x:v>
      </x:c>
      <x:c r="K1338" s="35" t="str">
        <x:v>FAIL</x:v>
      </x:c>
      <x:c r="L1338" s="35" t="str">
        <x:v>NOT_RUN</x:v>
      </x:c>
      <x:c r="M1338" s="35" t="str">
        <x:v>coverage unavailable or execution/compile failed</x:v>
      </x:c>
      <x:c r="N1338" s="35" t="str">
        <x:v>Deepseek-flash-v4/Result2/JacksonDatabind_80/result.json</x:v>
      </x:c>
      <x:c r="O1338" s="39" t="str">
        <x:f>IF(AND(G1338="RECORDED",ISNUMBER(H1338)),H1338,"")</x:f>
      </x:c>
      <x:c r="P1338" s="35" t="str">
        <x:v>NOT_AVAILABLE</x:v>
      </x:c>
      <x:c r="Q1338" s="35" t="str">
        <x:v>Deepseek-flash-v4/Result2/JacksonDatabind_80/result.json</x:v>
      </x:c>
    </x:row>
    <x:row r="1339">
      <x:c r="A1339" s="35" t="str">
        <x:v>deepseek</x:v>
      </x:c>
      <x:c r="B1339" s="35" t="str">
        <x:v>JacksonDatabind</x:v>
      </x:c>
      <x:c r="C1339" s="35" t="str">
        <x:v>Round2</x:v>
      </x:c>
      <x:c r="D1339" s="35" t="str">
        <x:v>JacksonDatabind_81</x:v>
      </x:c>
      <x:c r="E1339" s="35" t="str">
        <x:v>Line</x:v>
      </x:c>
      <x:c r="F1339" s="35"/>
      <x:c r="G1339" s="35" t="str">
        <x:v>A</x:v>
      </x:c>
      <x:c r="H1339" s="39" t="str">
        <x:f>IF(ISNUMBER('Data'!E1339),'Data'!E1339*100,"")</x:f>
      </x:c>
      <x:c r="I1339" s="35"/>
      <x:c r="J1339" s="35" t="str">
        <x:v>PASS</x:v>
      </x:c>
      <x:c r="K1339" s="35" t="str">
        <x:v>FAIL</x:v>
      </x:c>
      <x:c r="L1339" s="35" t="str">
        <x:v>NOT_RUN</x:v>
      </x:c>
      <x:c r="M1339" s="35" t="str">
        <x:v>coverage unavailable or execution/compile failed</x:v>
      </x:c>
      <x:c r="N1339" s="35" t="str">
        <x:v>Deepseek-flash-v4/Result2/JacksonDatabind_81/result.json</x:v>
      </x:c>
      <x:c r="O1339" s="39" t="str">
        <x:f>IF(AND(G1339="RECORDED",ISNUMBER(H1339)),H1339,"")</x:f>
      </x:c>
      <x:c r="P1339" s="35" t="str">
        <x:v>NOT_AVAILABLE</x:v>
      </x:c>
      <x:c r="Q1339" s="35" t="str">
        <x:v>Deepseek-flash-v4/Result2/JacksonDatabind_81/result.json</x:v>
      </x:c>
    </x:row>
    <x:row r="1340">
      <x:c r="A1340" s="35" t="str">
        <x:v>deepseek</x:v>
      </x:c>
      <x:c r="B1340" s="35" t="str">
        <x:v>JacksonDatabind</x:v>
      </x:c>
      <x:c r="C1340" s="35" t="str">
        <x:v>Round2</x:v>
      </x:c>
      <x:c r="D1340" s="35" t="str">
        <x:v>JacksonDatabind_82</x:v>
      </x:c>
      <x:c r="E1340" s="35" t="str">
        <x:v>Line</x:v>
      </x:c>
      <x:c r="F1340" s="35" t="n">
        <x:v>353</x:v>
      </x:c>
      <x:c r="G1340" s="35" t="str">
        <x:v>RECORDED</x:v>
      </x:c>
      <x:c r="H1340" s="39" t="n">
        <x:f>IF(ISNUMBER('Data'!E1340),'Data'!E1340*100,"")</x:f>
        <x:v>69.12</x:v>
      </x:c>
      <x:c r="I1340" s="35" t="str">
        <x:v>PASS</x:v>
      </x:c>
      <x:c r="J1340" s="35" t="str">
        <x:v>PASS</x:v>
      </x:c>
      <x:c r="K1340" s="35" t="str">
        <x:v>PASS</x:v>
      </x:c>
      <x:c r="L1340" s="35" t="str">
        <x:v>FAIL</x:v>
      </x:c>
      <x:c r="M1340" s="35" t="str">
        <x:v>numeric coverage for applicable metric</x:v>
      </x:c>
      <x:c r="N1340" s="35" t="str">
        <x:v>Deepseek-flash-v4/Result2/JacksonDatabind_82/result.json</x:v>
      </x:c>
      <x:c r="O1340" s="39" t="n">
        <x:f>IF(AND(G1340="RECORDED",ISNUMBER(H1340)),H1340,"")</x:f>
        <x:v>69.12</x:v>
      </x:c>
      <x:c r="P1340" s="35" t="str">
        <x:v>INCONCLUSIVE</x:v>
      </x:c>
      <x:c r="Q1340" s="35" t="str">
        <x:v>Deepseek-flash-v4/Result2/JacksonDatabind_82/result.json</x:v>
      </x:c>
    </x:row>
    <x:row r="1341">
      <x:c r="A1341" s="35" t="str">
        <x:v>deepseek</x:v>
      </x:c>
      <x:c r="B1341" s="35" t="str">
        <x:v>JacksonDatabind</x:v>
      </x:c>
      <x:c r="C1341" s="35" t="str">
        <x:v>Round2</x:v>
      </x:c>
      <x:c r="D1341" s="35" t="str">
        <x:v>JacksonDatabind_83</x:v>
      </x:c>
      <x:c r="E1341" s="35" t="str">
        <x:v>Line</x:v>
      </x:c>
      <x:c r="F1341" s="35" t="n">
        <x:v>122</x:v>
      </x:c>
      <x:c r="G1341" s="35" t="str">
        <x:v>RECORDED</x:v>
      </x:c>
      <x:c r="H1341" s="39" t="n">
        <x:f>IF(ISNUMBER('Data'!E1341),'Data'!E1341*100,"")</x:f>
        <x:v>81.97</x:v>
      </x:c>
      <x:c r="I1341" s="35" t="str">
        <x:v>PASS</x:v>
      </x:c>
      <x:c r="J1341" s="35" t="str">
        <x:v>PASS</x:v>
      </x:c>
      <x:c r="K1341" s="35" t="str">
        <x:v>PASS</x:v>
      </x:c>
      <x:c r="L1341" s="35" t="str">
        <x:v>FAIL</x:v>
      </x:c>
      <x:c r="M1341" s="35" t="str">
        <x:v>numeric coverage for applicable metric</x:v>
      </x:c>
      <x:c r="N1341" s="35" t="str">
        <x:v>Deepseek-flash-v4/Result2/JacksonDatabind_83/result.json</x:v>
      </x:c>
      <x:c r="O1341" s="39" t="n">
        <x:f>IF(AND(G1341="RECORDED",ISNUMBER(H1341)),H1341,"")</x:f>
        <x:v>81.97</x:v>
      </x:c>
      <x:c r="P1341" s="35" t="str">
        <x:v>INCONCLUSIVE</x:v>
      </x:c>
      <x:c r="Q1341" s="35" t="str">
        <x:v>Deepseek-flash-v4/Result2/JacksonDatabind_83/result.json</x:v>
      </x:c>
    </x:row>
    <x:row r="1342">
      <x:c r="A1342" s="35" t="str">
        <x:v>deepseek</x:v>
      </x:c>
      <x:c r="B1342" s="35" t="str">
        <x:v>JacksonDatabind</x:v>
      </x:c>
      <x:c r="C1342" s="35" t="str">
        <x:v>Round2</x:v>
      </x:c>
      <x:c r="D1342" s="35" t="str">
        <x:v>JacksonDatabind_84</x:v>
      </x:c>
      <x:c r="E1342" s="35" t="str">
        <x:v>Line</x:v>
      </x:c>
      <x:c r="F1342" s="35" t="n">
        <x:v>30</x:v>
      </x:c>
      <x:c r="G1342" s="35" t="str">
        <x:v>RECORDED</x:v>
      </x:c>
      <x:c r="H1342" s="39" t="n">
        <x:f>IF(ISNUMBER('Data'!E1342),'Data'!E1342*100,"")</x:f>
        <x:v>96.67</x:v>
      </x:c>
      <x:c r="I1342" s="35" t="str">
        <x:v>PASS</x:v>
      </x:c>
      <x:c r="J1342" s="35" t="str">
        <x:v>PASS</x:v>
      </x:c>
      <x:c r="K1342" s="35" t="str">
        <x:v>PASS</x:v>
      </x:c>
      <x:c r="L1342" s="35" t="str">
        <x:v>FAIL</x:v>
      </x:c>
      <x:c r="M1342" s="35" t="str">
        <x:v>numeric coverage for applicable metric</x:v>
      </x:c>
      <x:c r="N1342" s="35" t="str">
        <x:v>Deepseek-flash-v4/Result2/JacksonDatabind_84/result.json</x:v>
      </x:c>
      <x:c r="O1342" s="39" t="n">
        <x:f>IF(AND(G1342="RECORDED",ISNUMBER(H1342)),H1342,"")</x:f>
        <x:v>96.67</x:v>
      </x:c>
      <x:c r="P1342" s="35" t="str">
        <x:v>INCONCLUSIVE</x:v>
      </x:c>
      <x:c r="Q1342" s="35" t="str">
        <x:v>Deepseek-flash-v4/Result2/JacksonDatabind_84/result.json</x:v>
      </x:c>
    </x:row>
    <x:row r="1343">
      <x:c r="A1343" s="35" t="str">
        <x:v>deepseek</x:v>
      </x:c>
      <x:c r="B1343" s="35" t="str">
        <x:v>JacksonDatabind</x:v>
      </x:c>
      <x:c r="C1343" s="35" t="str">
        <x:v>Round2</x:v>
      </x:c>
      <x:c r="D1343" s="35" t="str">
        <x:v>JacksonDatabind_85</x:v>
      </x:c>
      <x:c r="E1343" s="35" t="str">
        <x:v>Line</x:v>
      </x:c>
      <x:c r="F1343" s="35"/>
      <x:c r="G1343" s="35" t="str">
        <x:v>A</x:v>
      </x:c>
      <x:c r="H1343" s="39" t="str">
        <x:f>IF(ISNUMBER('Data'!E1343),'Data'!E1343*100,"")</x:f>
      </x:c>
      <x:c r="I1343" s="35"/>
      <x:c r="J1343" s="35" t="str">
        <x:v>PASS</x:v>
      </x:c>
      <x:c r="K1343" s="35" t="str">
        <x:v>FAIL</x:v>
      </x:c>
      <x:c r="L1343" s="35" t="str">
        <x:v>NOT_RUN</x:v>
      </x:c>
      <x:c r="M1343" s="35" t="str">
        <x:v>coverage unavailable or execution/compile failed</x:v>
      </x:c>
      <x:c r="N1343" s="35" t="str">
        <x:v>Deepseek-flash-v4/Result2/JacksonDatabind_85/result.json</x:v>
      </x:c>
      <x:c r="O1343" s="39" t="str">
        <x:f>IF(AND(G1343="RECORDED",ISNUMBER(H1343)),H1343,"")</x:f>
      </x:c>
      <x:c r="P1343" s="35" t="str">
        <x:v>NOT_AVAILABLE</x:v>
      </x:c>
      <x:c r="Q1343" s="35" t="str">
        <x:v>Deepseek-flash-v4/Result2/JacksonDatabind_85/result.json</x:v>
      </x:c>
    </x:row>
    <x:row r="1344">
      <x:c r="A1344" s="35" t="str">
        <x:v>deepseek</x:v>
      </x:c>
      <x:c r="B1344" s="35" t="str">
        <x:v>JacksonDatabind</x:v>
      </x:c>
      <x:c r="C1344" s="35" t="str">
        <x:v>Round2</x:v>
      </x:c>
      <x:c r="D1344" s="35" t="str">
        <x:v>JacksonDatabind_86</x:v>
      </x:c>
      <x:c r="E1344" s="35" t="str">
        <x:v>Line</x:v>
      </x:c>
      <x:c r="F1344" s="35" t="n">
        <x:v>30</x:v>
      </x:c>
      <x:c r="G1344" s="35" t="str">
        <x:v>RECORDED</x:v>
      </x:c>
      <x:c r="H1344" s="39" t="n">
        <x:f>IF(ISNUMBER('Data'!E1344),'Data'!E1344*100,"")</x:f>
        <x:v>96.67</x:v>
      </x:c>
      <x:c r="I1344" s="35" t="str">
        <x:v>PASS</x:v>
      </x:c>
      <x:c r="J1344" s="35" t="str">
        <x:v>PASS</x:v>
      </x:c>
      <x:c r="K1344" s="35" t="str">
        <x:v>PASS</x:v>
      </x:c>
      <x:c r="L1344" s="35" t="str">
        <x:v>PASS</x:v>
      </x:c>
      <x:c r="M1344" s="35" t="str">
        <x:v>numeric coverage for applicable metric</x:v>
      </x:c>
      <x:c r="N1344" s="35" t="str">
        <x:v>Deepseek-flash-v4/Result2/JacksonDatabind_86/result.json</x:v>
      </x:c>
      <x:c r="O1344" s="39" t="n">
        <x:f>IF(AND(G1344="RECORDED",ISNUMBER(H1344)),H1344,"")</x:f>
        <x:v>96.67</x:v>
      </x:c>
      <x:c r="P1344" s="35" t="str">
        <x:v>NOT_REVEALING</x:v>
      </x:c>
      <x:c r="Q1344" s="35" t="str">
        <x:v>Deepseek-flash-v4/Result2/JacksonDatabind_86/result.json</x:v>
      </x:c>
    </x:row>
    <x:row r="1345">
      <x:c r="A1345" s="35" t="str">
        <x:v>deepseek</x:v>
      </x:c>
      <x:c r="B1345" s="35" t="str">
        <x:v>JacksonDatabind</x:v>
      </x:c>
      <x:c r="C1345" s="35" t="str">
        <x:v>Round2</x:v>
      </x:c>
      <x:c r="D1345" s="35" t="str">
        <x:v>JacksonDatabind_87</x:v>
      </x:c>
      <x:c r="E1345" s="35" t="str">
        <x:v>Line</x:v>
      </x:c>
      <x:c r="F1345" s="35" t="n">
        <x:v>202</x:v>
      </x:c>
      <x:c r="G1345" s="35" t="str">
        <x:v>RECORDED</x:v>
      </x:c>
      <x:c r="H1345" s="39" t="n">
        <x:f>IF(ISNUMBER('Data'!E1345),'Data'!E1345*100,"")</x:f>
        <x:v>85.64</x:v>
      </x:c>
      <x:c r="I1345" s="35" t="str">
        <x:v>PASS</x:v>
      </x:c>
      <x:c r="J1345" s="35" t="str">
        <x:v>PASS</x:v>
      </x:c>
      <x:c r="K1345" s="35" t="str">
        <x:v>PASS</x:v>
      </x:c>
      <x:c r="L1345" s="35" t="str">
        <x:v>PASS</x:v>
      </x:c>
      <x:c r="M1345" s="35" t="str">
        <x:v>numeric coverage for applicable metric</x:v>
      </x:c>
      <x:c r="N1345" s="35" t="str">
        <x:v>Deepseek-flash-v4/Result2/JacksonDatabind_87/result.json</x:v>
      </x:c>
      <x:c r="O1345" s="39" t="n">
        <x:f>IF(AND(G1345="RECORDED",ISNUMBER(H1345)),H1345,"")</x:f>
        <x:v>85.64</x:v>
      </x:c>
      <x:c r="P1345" s="35" t="str">
        <x:v>NOT_REVEALING</x:v>
      </x:c>
      <x:c r="Q1345" s="35" t="str">
        <x:v>Deepseek-flash-v4/Result2/JacksonDatabind_87/result.json</x:v>
      </x:c>
    </x:row>
    <x:row r="1346">
      <x:c r="A1346" s="35" t="str">
        <x:v>deepseek</x:v>
      </x:c>
      <x:c r="B1346" s="35" t="str">
        <x:v>JacksonDatabind</x:v>
      </x:c>
      <x:c r="C1346" s="35" t="str">
        <x:v>Round2</x:v>
      </x:c>
      <x:c r="D1346" s="35" t="str">
        <x:v>JacksonDatabind_88</x:v>
      </x:c>
      <x:c r="E1346" s="35" t="str">
        <x:v>Line</x:v>
      </x:c>
      <x:c r="F1346" s="35"/>
      <x:c r="G1346" s="35" t="str">
        <x:v>A</x:v>
      </x:c>
      <x:c r="H1346" s="39" t="str">
        <x:f>IF(ISNUMBER('Data'!E1346),'Data'!E1346*100,"")</x:f>
      </x:c>
      <x:c r="I1346" s="35"/>
      <x:c r="J1346" s="35" t="str">
        <x:v>PASS</x:v>
      </x:c>
      <x:c r="K1346" s="35" t="str">
        <x:v>FAIL</x:v>
      </x:c>
      <x:c r="L1346" s="35" t="str">
        <x:v>NOT_RUN</x:v>
      </x:c>
      <x:c r="M1346" s="35" t="str">
        <x:v>coverage unavailable or execution/compile failed</x:v>
      </x:c>
      <x:c r="N1346" s="35" t="str">
        <x:v>Deepseek-flash-v4/Result2/JacksonDatabind_88/result.json</x:v>
      </x:c>
      <x:c r="O1346" s="39" t="str">
        <x:f>IF(AND(G1346="RECORDED",ISNUMBER(H1346)),H1346,"")</x:f>
      </x:c>
      <x:c r="P1346" s="35" t="str">
        <x:v>NOT_AVAILABLE</x:v>
      </x:c>
      <x:c r="Q1346" s="35" t="str">
        <x:v>Deepseek-flash-v4/Result2/JacksonDatabind_88/result.json</x:v>
      </x:c>
    </x:row>
    <x:row r="1347">
      <x:c r="A1347" s="35" t="str">
        <x:v>deepseek</x:v>
      </x:c>
      <x:c r="B1347" s="35" t="str">
        <x:v>JacksonDatabind</x:v>
      </x:c>
      <x:c r="C1347" s="35" t="str">
        <x:v>Round2</x:v>
      </x:c>
      <x:c r="D1347" s="35" t="str">
        <x:v>JacksonDatabind_9</x:v>
      </x:c>
      <x:c r="E1347" s="35" t="str">
        <x:v>Line</x:v>
      </x:c>
      <x:c r="F1347" s="35" t="n">
        <x:v>10</x:v>
      </x:c>
      <x:c r="G1347" s="35" t="str">
        <x:v>RECORDED</x:v>
      </x:c>
      <x:c r="H1347" s="39" t="n">
        <x:f>IF(ISNUMBER('Data'!E1347),'Data'!E1347*100,"")</x:f>
        <x:v>90</x:v>
      </x:c>
      <x:c r="I1347" s="35" t="str">
        <x:v>PASS</x:v>
      </x:c>
      <x:c r="J1347" s="35" t="str">
        <x:v>PASS</x:v>
      </x:c>
      <x:c r="K1347" s="35" t="str">
        <x:v>PASS</x:v>
      </x:c>
      <x:c r="L1347" s="35" t="str">
        <x:v>FAIL</x:v>
      </x:c>
      <x:c r="M1347" s="35" t="str">
        <x:v>numeric coverage for applicable metric</x:v>
      </x:c>
      <x:c r="N1347" s="35" t="str">
        <x:v>Deepseek-flash-v4/Result2/JacksonDatabind_9/result.json</x:v>
      </x:c>
      <x:c r="O1347" s="39" t="n">
        <x:f>IF(AND(G1347="RECORDED",ISNUMBER(H1347)),H1347,"")</x:f>
        <x:v>90</x:v>
      </x:c>
      <x:c r="P1347" s="35" t="str">
        <x:v>INCONCLUSIVE</x:v>
      </x:c>
      <x:c r="Q1347" s="35" t="str">
        <x:v>Deepseek-flash-v4/Result2/JacksonDatabind_9/result.json</x:v>
      </x:c>
    </x:row>
    <x:row r="1348">
      <x:c r="A1348" s="35" t="str">
        <x:v>deepseek</x:v>
      </x:c>
      <x:c r="B1348" s="35" t="str">
        <x:v>JacksonDatabind</x:v>
      </x:c>
      <x:c r="C1348" s="35" t="str">
        <x:v>Round2</x:v>
      </x:c>
      <x:c r="D1348" s="35" t="str">
        <x:v>JacksonDatabind_90</x:v>
      </x:c>
      <x:c r="E1348" s="35" t="str">
        <x:v>Line</x:v>
      </x:c>
      <x:c r="F1348" s="35"/>
      <x:c r="G1348" s="35" t="str">
        <x:v>A</x:v>
      </x:c>
      <x:c r="H1348" s="39" t="str">
        <x:f>IF(ISNUMBER('Data'!E1348),'Data'!E1348*100,"")</x:f>
      </x:c>
      <x:c r="I1348" s="35"/>
      <x:c r="J1348" s="35" t="str">
        <x:v>PASS</x:v>
      </x:c>
      <x:c r="K1348" s="35" t="str">
        <x:v>FAIL</x:v>
      </x:c>
      <x:c r="L1348" s="35" t="str">
        <x:v>NOT_RUN</x:v>
      </x:c>
      <x:c r="M1348" s="35" t="str">
        <x:v>coverage unavailable or execution/compile failed</x:v>
      </x:c>
      <x:c r="N1348" s="35" t="str">
        <x:v>Deepseek-flash-v4/Result2/JacksonDatabind_90/result.json</x:v>
      </x:c>
      <x:c r="O1348" s="39" t="str">
        <x:f>IF(AND(G1348="RECORDED",ISNUMBER(H1348)),H1348,"")</x:f>
      </x:c>
      <x:c r="P1348" s="35" t="str">
        <x:v>NOT_AVAILABLE</x:v>
      </x:c>
      <x:c r="Q1348" s="35" t="str">
        <x:v>Deepseek-flash-v4/Result2/JacksonDatabind_90/result.json</x:v>
      </x:c>
    </x:row>
    <x:row r="1349">
      <x:c r="A1349" s="35" t="str">
        <x:v>deepseek</x:v>
      </x:c>
      <x:c r="B1349" s="35" t="str">
        <x:v>JacksonDatabind</x:v>
      </x:c>
      <x:c r="C1349" s="35" t="str">
        <x:v>Round2</x:v>
      </x:c>
      <x:c r="D1349" s="35" t="str">
        <x:v>JacksonDatabind_91</x:v>
      </x:c>
      <x:c r="E1349" s="35" t="str">
        <x:v>Line</x:v>
      </x:c>
      <x:c r="F1349" s="35"/>
      <x:c r="G1349" s="35" t="str">
        <x:v>A</x:v>
      </x:c>
      <x:c r="H1349" s="39" t="str">
        <x:f>IF(ISNUMBER('Data'!E1349),'Data'!E1349*100,"")</x:f>
      </x:c>
      <x:c r="I1349" s="35"/>
      <x:c r="J1349" s="35" t="str">
        <x:v>PASS</x:v>
      </x:c>
      <x:c r="K1349" s="35" t="str">
        <x:v>FAIL</x:v>
      </x:c>
      <x:c r="L1349" s="35" t="str">
        <x:v>NOT_RUN</x:v>
      </x:c>
      <x:c r="M1349" s="35" t="str">
        <x:v>coverage unavailable or execution/compile failed</x:v>
      </x:c>
      <x:c r="N1349" s="35" t="str">
        <x:v>Deepseek-flash-v4/Result2/JacksonDatabind_91/result.json</x:v>
      </x:c>
      <x:c r="O1349" s="39" t="str">
        <x:f>IF(AND(G1349="RECORDED",ISNUMBER(H1349)),H1349,"")</x:f>
      </x:c>
      <x:c r="P1349" s="35" t="str">
        <x:v>NOT_AVAILABLE</x:v>
      </x:c>
      <x:c r="Q1349" s="35" t="str">
        <x:v>Deepseek-flash-v4/Result2/JacksonDatabind_91/result.json</x:v>
      </x:c>
    </x:row>
    <x:row r="1350">
      <x:c r="A1350" s="35" t="str">
        <x:v>deepseek</x:v>
      </x:c>
      <x:c r="B1350" s="35" t="str">
        <x:v>JacksonDatabind</x:v>
      </x:c>
      <x:c r="C1350" s="35" t="str">
        <x:v>Round2</x:v>
      </x:c>
      <x:c r="D1350" s="35" t="str">
        <x:v>JacksonDatabind_92</x:v>
      </x:c>
      <x:c r="E1350" s="35" t="str">
        <x:v>Line</x:v>
      </x:c>
      <x:c r="F1350" s="35" t="n">
        <x:v>342</x:v>
      </x:c>
      <x:c r="G1350" s="35" t="str">
        <x:v>RECORDED</x:v>
      </x:c>
      <x:c r="H1350" s="39" t="n">
        <x:f>IF(ISNUMBER('Data'!E1350),'Data'!E1350*100,"")</x:f>
        <x:v>16.67</x:v>
      </x:c>
      <x:c r="I1350" s="35" t="str">
        <x:v>PASS</x:v>
      </x:c>
      <x:c r="J1350" s="35" t="str">
        <x:v>PASS</x:v>
      </x:c>
      <x:c r="K1350" s="35" t="str">
        <x:v>PASS</x:v>
      </x:c>
      <x:c r="L1350" s="35" t="str">
        <x:v>FAIL</x:v>
      </x:c>
      <x:c r="M1350" s="35" t="str">
        <x:v>numeric coverage for applicable metric</x:v>
      </x:c>
      <x:c r="N1350" s="35" t="str">
        <x:v>Deepseek-flash-v4/Result2/JacksonDatabind_92/result.json</x:v>
      </x:c>
      <x:c r="O1350" s="39" t="n">
        <x:f>IF(AND(G1350="RECORDED",ISNUMBER(H1350)),H1350,"")</x:f>
        <x:v>16.67</x:v>
      </x:c>
      <x:c r="P1350" s="35" t="str">
        <x:v>INCONCLUSIVE</x:v>
      </x:c>
      <x:c r="Q1350" s="35" t="str">
        <x:v>Deepseek-flash-v4/Result2/JacksonDatabind_92/result.json</x:v>
      </x:c>
    </x:row>
    <x:row r="1351">
      <x:c r="A1351" s="35" t="str">
        <x:v>deepseek</x:v>
      </x:c>
      <x:c r="B1351" s="35" t="str">
        <x:v>JacksonDatabind</x:v>
      </x:c>
      <x:c r="C1351" s="35" t="str">
        <x:v>Round2</x:v>
      </x:c>
      <x:c r="D1351" s="35" t="str">
        <x:v>JacksonDatabind_93</x:v>
      </x:c>
      <x:c r="E1351" s="35" t="str">
        <x:v>Line</x:v>
      </x:c>
      <x:c r="F1351" s="35" t="n">
        <x:v>36</x:v>
      </x:c>
      <x:c r="G1351" s="35" t="str">
        <x:v>RECORDED</x:v>
      </x:c>
      <x:c r="H1351" s="39" t="n">
        <x:f>IF(ISNUMBER('Data'!E1351),'Data'!E1351*100,"")</x:f>
        <x:v>86.11</x:v>
      </x:c>
      <x:c r="I1351" s="35" t="str">
        <x:v>PASS</x:v>
      </x:c>
      <x:c r="J1351" s="35" t="str">
        <x:v>PASS</x:v>
      </x:c>
      <x:c r="K1351" s="35" t="str">
        <x:v>PASS</x:v>
      </x:c>
      <x:c r="L1351" s="35" t="str">
        <x:v>FAIL</x:v>
      </x:c>
      <x:c r="M1351" s="35" t="str">
        <x:v>numeric coverage for applicable metric</x:v>
      </x:c>
      <x:c r="N1351" s="35" t="str">
        <x:v>Deepseek-flash-v4/Result2/JacksonDatabind_93/result.json</x:v>
      </x:c>
      <x:c r="O1351" s="39" t="n">
        <x:f>IF(AND(G1351="RECORDED",ISNUMBER(H1351)),H1351,"")</x:f>
        <x:v>86.11</x:v>
      </x:c>
      <x:c r="P1351" s="35" t="str">
        <x:v>INCONCLUSIVE</x:v>
      </x:c>
      <x:c r="Q1351" s="35" t="str">
        <x:v>Deepseek-flash-v4/Result2/JacksonDatabind_93/result.json</x:v>
      </x:c>
    </x:row>
    <x:row r="1352">
      <x:c r="A1352" s="35" t="str">
        <x:v>deepseek</x:v>
      </x:c>
      <x:c r="B1352" s="35" t="str">
        <x:v>JacksonDatabind</x:v>
      </x:c>
      <x:c r="C1352" s="35" t="str">
        <x:v>Round2</x:v>
      </x:c>
      <x:c r="D1352" s="35" t="str">
        <x:v>JacksonDatabind_94</x:v>
      </x:c>
      <x:c r="E1352" s="35" t="str">
        <x:v>Line</x:v>
      </x:c>
      <x:c r="F1352" s="35" t="n">
        <x:v>35</x:v>
      </x:c>
      <x:c r="G1352" s="35" t="str">
        <x:v>RECORDED</x:v>
      </x:c>
      <x:c r="H1352" s="39" t="n">
        <x:f>IF(ISNUMBER('Data'!E1352),'Data'!E1352*100,"")</x:f>
        <x:v>85.71</x:v>
      </x:c>
      <x:c r="I1352" s="35" t="str">
        <x:v>PASS</x:v>
      </x:c>
      <x:c r="J1352" s="35" t="str">
        <x:v>PASS</x:v>
      </x:c>
      <x:c r="K1352" s="35" t="str">
        <x:v>PASS</x:v>
      </x:c>
      <x:c r="L1352" s="35" t="str">
        <x:v>FAIL</x:v>
      </x:c>
      <x:c r="M1352" s="35" t="str">
        <x:v>numeric coverage for applicable metric</x:v>
      </x:c>
      <x:c r="N1352" s="35" t="str">
        <x:v>Deepseek-flash-v4/Result2/JacksonDatabind_94/result.json</x:v>
      </x:c>
      <x:c r="O1352" s="39" t="n">
        <x:f>IF(AND(G1352="RECORDED",ISNUMBER(H1352)),H1352,"")</x:f>
        <x:v>85.71</x:v>
      </x:c>
      <x:c r="P1352" s="35" t="str">
        <x:v>INCONCLUSIVE</x:v>
      </x:c>
      <x:c r="Q1352" s="35" t="str">
        <x:v>Deepseek-flash-v4/Result2/JacksonDatabind_94/result.json</x:v>
      </x:c>
    </x:row>
    <x:row r="1353">
      <x:c r="A1353" s="35" t="str">
        <x:v>deepseek</x:v>
      </x:c>
      <x:c r="B1353" s="35" t="str">
        <x:v>JacksonDatabind</x:v>
      </x:c>
      <x:c r="C1353" s="35" t="str">
        <x:v>Round2</x:v>
      </x:c>
      <x:c r="D1353" s="35" t="str">
        <x:v>JacksonDatabind_95</x:v>
      </x:c>
      <x:c r="E1353" s="35" t="str">
        <x:v>Line</x:v>
      </x:c>
      <x:c r="F1353" s="35"/>
      <x:c r="G1353" s="35" t="str">
        <x:v>A</x:v>
      </x:c>
      <x:c r="H1353" s="39" t="str">
        <x:f>IF(ISNUMBER('Data'!E1353),'Data'!E1353*100,"")</x:f>
      </x:c>
      <x:c r="I1353" s="35"/>
      <x:c r="J1353" s="35" t="str">
        <x:v>PASS</x:v>
      </x:c>
      <x:c r="K1353" s="35" t="str">
        <x:v>FAIL</x:v>
      </x:c>
      <x:c r="L1353" s="35" t="str">
        <x:v>NOT_RUN</x:v>
      </x:c>
      <x:c r="M1353" s="35" t="str">
        <x:v>coverage unavailable or execution/compile failed</x:v>
      </x:c>
      <x:c r="N1353" s="35" t="str">
        <x:v>Deepseek-flash-v4/Result2/JacksonDatabind_95/result.json</x:v>
      </x:c>
      <x:c r="O1353" s="39" t="str">
        <x:f>IF(AND(G1353="RECORDED",ISNUMBER(H1353)),H1353,"")</x:f>
      </x:c>
      <x:c r="P1353" s="35" t="str">
        <x:v>NOT_AVAILABLE</x:v>
      </x:c>
      <x:c r="Q1353" s="35" t="str">
        <x:v>Deepseek-flash-v4/Result2/JacksonDatabind_95/result.json</x:v>
      </x:c>
    </x:row>
    <x:row r="1354">
      <x:c r="A1354" s="35" t="str">
        <x:v>deepseek</x:v>
      </x:c>
      <x:c r="B1354" s="35" t="str">
        <x:v>JacksonDatabind</x:v>
      </x:c>
      <x:c r="C1354" s="35" t="str">
        <x:v>Round2</x:v>
      </x:c>
      <x:c r="D1354" s="35" t="str">
        <x:v>JacksonDatabind_96</x:v>
      </x:c>
      <x:c r="E1354" s="35" t="str">
        <x:v>Line</x:v>
      </x:c>
      <x:c r="F1354" s="35"/>
      <x:c r="G1354" s="35" t="str">
        <x:v>A</x:v>
      </x:c>
      <x:c r="H1354" s="39" t="str">
        <x:f>IF(ISNUMBER('Data'!E1354),'Data'!E1354*100,"")</x:f>
      </x:c>
      <x:c r="I1354" s="35"/>
      <x:c r="J1354" s="35" t="str">
        <x:v>PASS</x:v>
      </x:c>
      <x:c r="K1354" s="35" t="str">
        <x:v>FAIL</x:v>
      </x:c>
      <x:c r="L1354" s="35" t="str">
        <x:v>NOT_RUN</x:v>
      </x:c>
      <x:c r="M1354" s="35" t="str">
        <x:v>coverage unavailable or execution/compile failed</x:v>
      </x:c>
      <x:c r="N1354" s="35" t="str">
        <x:v>Deepseek-flash-v4/Result2/JacksonDatabind_96/result.json</x:v>
      </x:c>
      <x:c r="O1354" s="39" t="str">
        <x:f>IF(AND(G1354="RECORDED",ISNUMBER(H1354)),H1354,"")</x:f>
      </x:c>
      <x:c r="P1354" s="35" t="str">
        <x:v>NOT_AVAILABLE</x:v>
      </x:c>
      <x:c r="Q1354" s="35" t="str">
        <x:v>Deepseek-flash-v4/Result2/JacksonDatabind_96/result.json</x:v>
      </x:c>
    </x:row>
    <x:row r="1355">
      <x:c r="A1355" s="35" t="str">
        <x:v>deepseek</x:v>
      </x:c>
      <x:c r="B1355" s="35" t="str">
        <x:v>JacksonDatabind</x:v>
      </x:c>
      <x:c r="C1355" s="35" t="str">
        <x:v>Round2</x:v>
      </x:c>
      <x:c r="D1355" s="35" t="str">
        <x:v>JacksonDatabind_97</x:v>
      </x:c>
      <x:c r="E1355" s="35" t="str">
        <x:v>Line</x:v>
      </x:c>
      <x:c r="F1355" s="35"/>
      <x:c r="G1355" s="35" t="str">
        <x:v>A</x:v>
      </x:c>
      <x:c r="H1355" s="39" t="str">
        <x:f>IF(ISNUMBER('Data'!E1355),'Data'!E1355*100,"")</x:f>
      </x:c>
      <x:c r="I1355" s="35"/>
      <x:c r="J1355" s="35" t="str">
        <x:v>PASS</x:v>
      </x:c>
      <x:c r="K1355" s="35" t="str">
        <x:v>FAIL</x:v>
      </x:c>
      <x:c r="L1355" s="35" t="str">
        <x:v>NOT_RUN</x:v>
      </x:c>
      <x:c r="M1355" s="35" t="str">
        <x:v>coverage unavailable or execution/compile failed</x:v>
      </x:c>
      <x:c r="N1355" s="35" t="str">
        <x:v>Deepseek-flash-v4/Result2/JacksonDatabind_97/result.json</x:v>
      </x:c>
      <x:c r="O1355" s="39" t="str">
        <x:f>IF(AND(G1355="RECORDED",ISNUMBER(H1355)),H1355,"")</x:f>
      </x:c>
      <x:c r="P1355" s="35" t="str">
        <x:v>NOT_AVAILABLE</x:v>
      </x:c>
      <x:c r="Q1355" s="35" t="str">
        <x:v>Deepseek-flash-v4/Result2/JacksonDatabind_97/result.json</x:v>
      </x:c>
    </x:row>
    <x:row r="1356">
      <x:c r="A1356" s="35" t="str">
        <x:v>deepseek</x:v>
      </x:c>
      <x:c r="B1356" s="35" t="str">
        <x:v>JacksonDatabind</x:v>
      </x:c>
      <x:c r="C1356" s="35" t="str">
        <x:v>Round2</x:v>
      </x:c>
      <x:c r="D1356" s="35" t="str">
        <x:v>JacksonDatabind_98</x:v>
      </x:c>
      <x:c r="E1356" s="35" t="str">
        <x:v>Line</x:v>
      </x:c>
      <x:c r="F1356" s="35" t="n">
        <x:v>207</x:v>
      </x:c>
      <x:c r="G1356" s="35" t="str">
        <x:v>RECORDED</x:v>
      </x:c>
      <x:c r="H1356" s="39" t="n">
        <x:f>IF(ISNUMBER('Data'!E1356),'Data'!E1356*100,"")</x:f>
        <x:v>51.21</x:v>
      </x:c>
      <x:c r="I1356" s="35" t="str">
        <x:v>PASS</x:v>
      </x:c>
      <x:c r="J1356" s="35" t="str">
        <x:v>PASS</x:v>
      </x:c>
      <x:c r="K1356" s="35" t="str">
        <x:v>PASS</x:v>
      </x:c>
      <x:c r="L1356" s="35" t="str">
        <x:v>FAIL</x:v>
      </x:c>
      <x:c r="M1356" s="35" t="str">
        <x:v>numeric coverage for applicable metric</x:v>
      </x:c>
      <x:c r="N1356" s="35" t="str">
        <x:v>Deepseek-flash-v4/Result2/JacksonDatabind_98/result.json</x:v>
      </x:c>
      <x:c r="O1356" s="39" t="n">
        <x:f>IF(AND(G1356="RECORDED",ISNUMBER(H1356)),H1356,"")</x:f>
        <x:v>51.21</x:v>
      </x:c>
      <x:c r="P1356" s="35" t="str">
        <x:v>INCONCLUSIVE</x:v>
      </x:c>
      <x:c r="Q1356" s="35" t="str">
        <x:v>Deepseek-flash-v4/Result2/JacksonDatabind_98/result.json</x:v>
      </x:c>
    </x:row>
    <x:row r="1357">
      <x:c r="A1357" s="35" t="str">
        <x:v>deepseek</x:v>
      </x:c>
      <x:c r="B1357" s="35" t="str">
        <x:v>JacksonDatabind</x:v>
      </x:c>
      <x:c r="C1357" s="35" t="str">
        <x:v>Round2</x:v>
      </x:c>
      <x:c r="D1357" s="35" t="str">
        <x:v>JacksonDatabind_99</x:v>
      </x:c>
      <x:c r="E1357" s="35" t="str">
        <x:v>Line</x:v>
      </x:c>
      <x:c r="F1357" s="35"/>
      <x:c r="G1357" s="35" t="str">
        <x:v>A</x:v>
      </x:c>
      <x:c r="H1357" s="39" t="str">
        <x:f>IF(ISNUMBER('Data'!E1357),'Data'!E1357*100,"")</x:f>
      </x:c>
      <x:c r="I1357" s="35"/>
      <x:c r="J1357" s="35" t="str">
        <x:v>PASS</x:v>
      </x:c>
      <x:c r="K1357" s="35" t="str">
        <x:v>FAIL</x:v>
      </x:c>
      <x:c r="L1357" s="35" t="str">
        <x:v>NOT_RUN</x:v>
      </x:c>
      <x:c r="M1357" s="35" t="str">
        <x:v>coverage unavailable or execution/compile failed</x:v>
      </x:c>
      <x:c r="N1357" s="35" t="str">
        <x:v>Deepseek-flash-v4/Result2/JacksonDatabind_99/result.json</x:v>
      </x:c>
      <x:c r="O1357" s="39" t="str">
        <x:f>IF(AND(G1357="RECORDED",ISNUMBER(H1357)),H1357,"")</x:f>
      </x:c>
      <x:c r="P1357" s="35" t="str">
        <x:v>NOT_AVAILABLE</x:v>
      </x:c>
      <x:c r="Q1357" s="35" t="str">
        <x:v>Deepseek-flash-v4/Result2/JacksonDatabind_99/result.json</x:v>
      </x:c>
    </x:row>
    <x:row r="1358">
      <x:c r="A1358" s="35" t="str">
        <x:v>deepseek</x:v>
      </x:c>
      <x:c r="B1358" s="35" t="str">
        <x:v>JacksonXml</x:v>
      </x:c>
      <x:c r="C1358" s="35" t="str">
        <x:v>Round2</x:v>
      </x:c>
      <x:c r="D1358" s="35" t="str">
        <x:v>JacksonXml_1</x:v>
      </x:c>
      <x:c r="E1358" s="35" t="str">
        <x:v>Line</x:v>
      </x:c>
      <x:c r="F1358" s="35"/>
      <x:c r="G1358" s="35" t="str">
        <x:v>A</x:v>
      </x:c>
      <x:c r="H1358" s="39" t="str">
        <x:f>IF(ISNUMBER('Data'!E1358),'Data'!E1358*100,"")</x:f>
      </x:c>
      <x:c r="I1358" s="35"/>
      <x:c r="J1358" s="35" t="str">
        <x:v>PASS</x:v>
      </x:c>
      <x:c r="K1358" s="35" t="str">
        <x:v>FAIL</x:v>
      </x:c>
      <x:c r="L1358" s="35" t="str">
        <x:v>NOT_RUN</x:v>
      </x:c>
      <x:c r="M1358" s="35" t="str">
        <x:v>coverage unavailable or execution/compile failed</x:v>
      </x:c>
      <x:c r="N1358" s="35" t="str">
        <x:v>Deepseek-flash-v4/Result2/JacksonXml_1/result.json</x:v>
      </x:c>
      <x:c r="O1358" s="39" t="str">
        <x:f>IF(AND(G1358="RECORDED",ISNUMBER(H1358)),H1358,"")</x:f>
      </x:c>
      <x:c r="P1358" s="35" t="str">
        <x:v>NOT_AVAILABLE</x:v>
      </x:c>
      <x:c r="Q1358" s="35" t="str">
        <x:v>Deepseek-flash-v4/Result2/JacksonXml_1/result.json</x:v>
      </x:c>
    </x:row>
    <x:row r="1359">
      <x:c r="A1359" s="35" t="str">
        <x:v>deepseek</x:v>
      </x:c>
      <x:c r="B1359" s="35" t="str">
        <x:v>JacksonXml</x:v>
      </x:c>
      <x:c r="C1359" s="35" t="str">
        <x:v>Round2</x:v>
      </x:c>
      <x:c r="D1359" s="35" t="str">
        <x:v>JacksonXml_2</x:v>
      </x:c>
      <x:c r="E1359" s="35" t="str">
        <x:v>Line</x:v>
      </x:c>
      <x:c r="F1359" s="35"/>
      <x:c r="G1359" s="35" t="str">
        <x:v>A</x:v>
      </x:c>
      <x:c r="H1359" s="39" t="str">
        <x:f>IF(ISNUMBER('Data'!E1359),'Data'!E1359*100,"")</x:f>
      </x:c>
      <x:c r="I1359" s="35"/>
      <x:c r="J1359" s="35" t="str">
        <x:v>PASS</x:v>
      </x:c>
      <x:c r="K1359" s="35" t="str">
        <x:v>FAIL</x:v>
      </x:c>
      <x:c r="L1359" s="35" t="str">
        <x:v>NOT_RUN</x:v>
      </x:c>
      <x:c r="M1359" s="35" t="str">
        <x:v>coverage unavailable or execution/compile failed</x:v>
      </x:c>
      <x:c r="N1359" s="35" t="str">
        <x:v>Deepseek-flash-v4/Result2/JacksonXml_2/result.json</x:v>
      </x:c>
      <x:c r="O1359" s="39" t="str">
        <x:f>IF(AND(G1359="RECORDED",ISNUMBER(H1359)),H1359,"")</x:f>
      </x:c>
      <x:c r="P1359" s="35" t="str">
        <x:v>NOT_AVAILABLE</x:v>
      </x:c>
      <x:c r="Q1359" s="35" t="str">
        <x:v>Deepseek-flash-v4/Result2/JacksonXml_2/result.json</x:v>
      </x:c>
    </x:row>
    <x:row r="1360">
      <x:c r="A1360" s="35" t="str">
        <x:v>deepseek</x:v>
      </x:c>
      <x:c r="B1360" s="35" t="str">
        <x:v>JacksonXml</x:v>
      </x:c>
      <x:c r="C1360" s="35" t="str">
        <x:v>Round2</x:v>
      </x:c>
      <x:c r="D1360" s="35" t="str">
        <x:v>JacksonXml_3</x:v>
      </x:c>
      <x:c r="E1360" s="35" t="str">
        <x:v>Line</x:v>
      </x:c>
      <x:c r="F1360" s="35"/>
      <x:c r="G1360" s="35" t="str">
        <x:v>A</x:v>
      </x:c>
      <x:c r="H1360" s="39" t="str">
        <x:f>IF(ISNUMBER('Data'!E1360),'Data'!E1360*100,"")</x:f>
      </x:c>
      <x:c r="I1360" s="35"/>
      <x:c r="J1360" s="35" t="str">
        <x:v>PASS</x:v>
      </x:c>
      <x:c r="K1360" s="35" t="str">
        <x:v>FAIL</x:v>
      </x:c>
      <x:c r="L1360" s="35" t="str">
        <x:v>NOT_RUN</x:v>
      </x:c>
      <x:c r="M1360" s="35" t="str">
        <x:v>coverage unavailable or execution/compile failed</x:v>
      </x:c>
      <x:c r="N1360" s="35" t="str">
        <x:v>Deepseek-flash-v4/Result2/JacksonXml_3/result.json</x:v>
      </x:c>
      <x:c r="O1360" s="39" t="str">
        <x:f>IF(AND(G1360="RECORDED",ISNUMBER(H1360)),H1360,"")</x:f>
      </x:c>
      <x:c r="P1360" s="35" t="str">
        <x:v>NOT_AVAILABLE</x:v>
      </x:c>
      <x:c r="Q1360" s="35" t="str">
        <x:v>Deepseek-flash-v4/Result2/JacksonXml_3/result.json</x:v>
      </x:c>
    </x:row>
    <x:row r="1361">
      <x:c r="A1361" s="35" t="str">
        <x:v>deepseek</x:v>
      </x:c>
      <x:c r="B1361" s="35" t="str">
        <x:v>JacksonXml</x:v>
      </x:c>
      <x:c r="C1361" s="35" t="str">
        <x:v>Round2</x:v>
      </x:c>
      <x:c r="D1361" s="35" t="str">
        <x:v>JacksonXml_4</x:v>
      </x:c>
      <x:c r="E1361" s="35" t="str">
        <x:v>Line</x:v>
      </x:c>
      <x:c r="F1361" s="35"/>
      <x:c r="G1361" s="35" t="str">
        <x:v>A</x:v>
      </x:c>
      <x:c r="H1361" s="39" t="str">
        <x:f>IF(ISNUMBER('Data'!E1361),'Data'!E1361*100,"")</x:f>
      </x:c>
      <x:c r="I1361" s="35"/>
      <x:c r="J1361" s="35" t="str">
        <x:v>PASS</x:v>
      </x:c>
      <x:c r="K1361" s="35" t="str">
        <x:v>FAIL</x:v>
      </x:c>
      <x:c r="L1361" s="35" t="str">
        <x:v>NOT_RUN</x:v>
      </x:c>
      <x:c r="M1361" s="35" t="str">
        <x:v>coverage unavailable or execution/compile failed</x:v>
      </x:c>
      <x:c r="N1361" s="35" t="str">
        <x:v>Deepseek-flash-v4/Result2/JacksonXml_4/result.json</x:v>
      </x:c>
      <x:c r="O1361" s="39" t="str">
        <x:f>IF(AND(G1361="RECORDED",ISNUMBER(H1361)),H1361,"")</x:f>
      </x:c>
      <x:c r="P1361" s="35" t="str">
        <x:v>NOT_AVAILABLE</x:v>
      </x:c>
      <x:c r="Q1361" s="35" t="str">
        <x:v>Deepseek-flash-v4/Result2/JacksonXml_4/result.json</x:v>
      </x:c>
    </x:row>
    <x:row r="1362">
      <x:c r="A1362" s="35" t="str">
        <x:v>deepseek</x:v>
      </x:c>
      <x:c r="B1362" s="35" t="str">
        <x:v>JacksonXml</x:v>
      </x:c>
      <x:c r="C1362" s="35" t="str">
        <x:v>Round2</x:v>
      </x:c>
      <x:c r="D1362" s="35" t="str">
        <x:v>JacksonXml_5</x:v>
      </x:c>
      <x:c r="E1362" s="35" t="str">
        <x:v>Line</x:v>
      </x:c>
      <x:c r="F1362" s="35"/>
      <x:c r="G1362" s="35" t="str">
        <x:v>A</x:v>
      </x:c>
      <x:c r="H1362" s="39" t="str">
        <x:f>IF(ISNUMBER('Data'!E1362),'Data'!E1362*100,"")</x:f>
      </x:c>
      <x:c r="I1362" s="35"/>
      <x:c r="J1362" s="35" t="str">
        <x:v>PASS</x:v>
      </x:c>
      <x:c r="K1362" s="35" t="str">
        <x:v>FAIL</x:v>
      </x:c>
      <x:c r="L1362" s="35" t="str">
        <x:v>NOT_RUN</x:v>
      </x:c>
      <x:c r="M1362" s="35" t="str">
        <x:v>coverage unavailable or execution/compile failed</x:v>
      </x:c>
      <x:c r="N1362" s="35" t="str">
        <x:v>Deepseek-flash-v4/Result2/JacksonXml_5/result.json</x:v>
      </x:c>
      <x:c r="O1362" s="39" t="str">
        <x:f>IF(AND(G1362="RECORDED",ISNUMBER(H1362)),H1362,"")</x:f>
      </x:c>
      <x:c r="P1362" s="35" t="str">
        <x:v>NOT_AVAILABLE</x:v>
      </x:c>
      <x:c r="Q1362" s="35" t="str">
        <x:v>Deepseek-flash-v4/Result2/JacksonXml_5/result.json</x:v>
      </x:c>
    </x:row>
    <x:row r="1363">
      <x:c r="A1363" s="35" t="str">
        <x:v>deepseek</x:v>
      </x:c>
      <x:c r="B1363" s="35" t="str">
        <x:v>JacksonXml</x:v>
      </x:c>
      <x:c r="C1363" s="35" t="str">
        <x:v>Round2</x:v>
      </x:c>
      <x:c r="D1363" s="35" t="str">
        <x:v>JacksonXml_6</x:v>
      </x:c>
      <x:c r="E1363" s="35" t="str">
        <x:v>Line</x:v>
      </x:c>
      <x:c r="F1363" s="35"/>
      <x:c r="G1363" s="35" t="str">
        <x:v>A</x:v>
      </x:c>
      <x:c r="H1363" s="39" t="str">
        <x:f>IF(ISNUMBER('Data'!E1363),'Data'!E1363*100,"")</x:f>
      </x:c>
      <x:c r="I1363" s="35"/>
      <x:c r="J1363" s="35" t="str">
        <x:v>PASS</x:v>
      </x:c>
      <x:c r="K1363" s="35" t="str">
        <x:v>FAIL</x:v>
      </x:c>
      <x:c r="L1363" s="35" t="str">
        <x:v>NOT_RUN</x:v>
      </x:c>
      <x:c r="M1363" s="35" t="str">
        <x:v>coverage unavailable or execution/compile failed</x:v>
      </x:c>
      <x:c r="N1363" s="35" t="str">
        <x:v>Deepseek-flash-v4/Result2/JacksonXml_6/result.json</x:v>
      </x:c>
      <x:c r="O1363" s="39" t="str">
        <x:f>IF(AND(G1363="RECORDED",ISNUMBER(H1363)),H1363,"")</x:f>
      </x:c>
      <x:c r="P1363" s="35" t="str">
        <x:v>NOT_AVAILABLE</x:v>
      </x:c>
      <x:c r="Q1363" s="35" t="str">
        <x:v>Deepseek-flash-v4/Result2/JacksonXml_6/result.json</x:v>
      </x:c>
    </x:row>
    <x:row r="1364">
      <x:c r="A1364" s="35" t="str">
        <x:v>deepseek</x:v>
      </x:c>
      <x:c r="B1364" s="35" t="str">
        <x:v>Jsoup</x:v>
      </x:c>
      <x:c r="C1364" s="35" t="str">
        <x:v>Round2</x:v>
      </x:c>
      <x:c r="D1364" s="35" t="str">
        <x:v>Jsoup_1</x:v>
      </x:c>
      <x:c r="E1364" s="35" t="str">
        <x:v>Line</x:v>
      </x:c>
      <x:c r="F1364" s="35" t="n">
        <x:v>46</x:v>
      </x:c>
      <x:c r="G1364" s="35" t="str">
        <x:v>RECORDED</x:v>
      </x:c>
      <x:c r="H1364" s="39" t="n">
        <x:f>IF(ISNUMBER('Data'!E1364),'Data'!E1364*100,"")</x:f>
        <x:v>97.83</x:v>
      </x:c>
      <x:c r="I1364" s="35" t="str">
        <x:v>PASS</x:v>
      </x:c>
      <x:c r="J1364" s="35" t="str">
        <x:v>PASS</x:v>
      </x:c>
      <x:c r="K1364" s="35" t="str">
        <x:v>PASS</x:v>
      </x:c>
      <x:c r="L1364" s="35" t="str">
        <x:v>FAIL</x:v>
      </x:c>
      <x:c r="M1364" s="35" t="str">
        <x:v>numeric coverage for applicable metric</x:v>
      </x:c>
      <x:c r="N1364" s="35" t="str">
        <x:v>Deepseek-flash-v4/Result2/Jsoup_1/result.json</x:v>
      </x:c>
      <x:c r="O1364" s="39" t="n">
        <x:f>IF(AND(G1364="RECORDED",ISNUMBER(H1364)),H1364,"")</x:f>
        <x:v>97.83</x:v>
      </x:c>
      <x:c r="P1364" s="35" t="str">
        <x:v>INCONCLUSIVE</x:v>
      </x:c>
      <x:c r="Q1364" s="35" t="str">
        <x:v>Deepseek-flash-v4/Result2/Jsoup_1/result.json</x:v>
      </x:c>
    </x:row>
    <x:row r="1365">
      <x:c r="A1365" s="35" t="str">
        <x:v>deepseek</x:v>
      </x:c>
      <x:c r="B1365" s="35" t="str">
        <x:v>Jsoup</x:v>
      </x:c>
      <x:c r="C1365" s="35" t="str">
        <x:v>Round2</x:v>
      </x:c>
      <x:c r="D1365" s="35" t="str">
        <x:v>Jsoup_10</x:v>
      </x:c>
      <x:c r="E1365" s="35" t="str">
        <x:v>Line</x:v>
      </x:c>
      <x:c r="F1365" s="35"/>
      <x:c r="G1365" s="35" t="str">
        <x:v>A</x:v>
      </x:c>
      <x:c r="H1365" s="39" t="str">
        <x:f>IF(ISNUMBER('Data'!E1365),'Data'!E1365*100,"")</x:f>
      </x:c>
      <x:c r="I1365" s="35"/>
      <x:c r="J1365" s="35" t="str">
        <x:v>PASS</x:v>
      </x:c>
      <x:c r="K1365" s="35" t="str">
        <x:v>FAIL</x:v>
      </x:c>
      <x:c r="L1365" s="35" t="str">
        <x:v>NOT_RUN</x:v>
      </x:c>
      <x:c r="M1365" s="35" t="str">
        <x:v>coverage unavailable or execution/compile failed</x:v>
      </x:c>
      <x:c r="N1365" s="35" t="str">
        <x:v>Deepseek-flash-v4/Result2/Jsoup_10/result.json</x:v>
      </x:c>
      <x:c r="O1365" s="39" t="str">
        <x:f>IF(AND(G1365="RECORDED",ISNUMBER(H1365)),H1365,"")</x:f>
      </x:c>
      <x:c r="P1365" s="35" t="str">
        <x:v>NOT_AVAILABLE</x:v>
      </x:c>
      <x:c r="Q1365" s="35" t="str">
        <x:v>Deepseek-flash-v4/Result2/Jsoup_10/result.json</x:v>
      </x:c>
    </x:row>
    <x:row r="1366">
      <x:c r="A1366" s="35" t="str">
        <x:v>deepseek</x:v>
      </x:c>
      <x:c r="B1366" s="35" t="str">
        <x:v>Jsoup</x:v>
      </x:c>
      <x:c r="C1366" s="35" t="str">
        <x:v>Round2</x:v>
      </x:c>
      <x:c r="D1366" s="35" t="str">
        <x:v>Jsoup_11</x:v>
      </x:c>
      <x:c r="E1366" s="35" t="str">
        <x:v>Line</x:v>
      </x:c>
      <x:c r="F1366" s="35" t="n">
        <x:v>198</x:v>
      </x:c>
      <x:c r="G1366" s="35" t="str">
        <x:v>RECORDED</x:v>
      </x:c>
      <x:c r="H1366" s="39" t="n">
        <x:f>IF(ISNUMBER('Data'!E1366),'Data'!E1366*100,"")</x:f>
        <x:v>81.31</x:v>
      </x:c>
      <x:c r="I1366" s="35" t="str">
        <x:v>PASS</x:v>
      </x:c>
      <x:c r="J1366" s="35" t="str">
        <x:v>PASS</x:v>
      </x:c>
      <x:c r="K1366" s="35" t="str">
        <x:v>PASS</x:v>
      </x:c>
      <x:c r="L1366" s="35" t="str">
        <x:v>FAIL</x:v>
      </x:c>
      <x:c r="M1366" s="35" t="str">
        <x:v>numeric coverage for applicable metric</x:v>
      </x:c>
      <x:c r="N1366" s="35" t="str">
        <x:v>Deepseek-flash-v4/Result2/Jsoup_11/result.json</x:v>
      </x:c>
      <x:c r="O1366" s="39" t="n">
        <x:f>IF(AND(G1366="RECORDED",ISNUMBER(H1366)),H1366,"")</x:f>
        <x:v>81.31</x:v>
      </x:c>
      <x:c r="P1366" s="35" t="str">
        <x:v>INCONCLUSIVE</x:v>
      </x:c>
      <x:c r="Q1366" s="35" t="str">
        <x:v>Deepseek-flash-v4/Result2/Jsoup_11/result.json</x:v>
      </x:c>
    </x:row>
    <x:row r="1367">
      <x:c r="A1367" s="35" t="str">
        <x:v>deepseek</x:v>
      </x:c>
      <x:c r="B1367" s="35" t="str">
        <x:v>Jsoup</x:v>
      </x:c>
      <x:c r="C1367" s="35" t="str">
        <x:v>Round2</x:v>
      </x:c>
      <x:c r="D1367" s="35" t="str">
        <x:v>Jsoup_12</x:v>
      </x:c>
      <x:c r="E1367" s="35" t="str">
        <x:v>Line</x:v>
      </x:c>
      <x:c r="F1367" s="35" t="n">
        <x:v>218</x:v>
      </x:c>
      <x:c r="G1367" s="35" t="str">
        <x:v>RECORDED</x:v>
      </x:c>
      <x:c r="H1367" s="39" t="n">
        <x:f>IF(ISNUMBER('Data'!E1367),'Data'!E1367*100,"")</x:f>
        <x:v>94.95</x:v>
      </x:c>
      <x:c r="I1367" s="35" t="str">
        <x:v>PASS</x:v>
      </x:c>
      <x:c r="J1367" s="35" t="str">
        <x:v>PASS</x:v>
      </x:c>
      <x:c r="K1367" s="35" t="str">
        <x:v>PASS</x:v>
      </x:c>
      <x:c r="L1367" s="35" t="str">
        <x:v>FAIL</x:v>
      </x:c>
      <x:c r="M1367" s="35" t="str">
        <x:v>numeric coverage for applicable metric</x:v>
      </x:c>
      <x:c r="N1367" s="35" t="str">
        <x:v>Deepseek-flash-v4/Result2/Jsoup_12/result.json</x:v>
      </x:c>
      <x:c r="O1367" s="39" t="n">
        <x:f>IF(AND(G1367="RECORDED",ISNUMBER(H1367)),H1367,"")</x:f>
        <x:v>94.95</x:v>
      </x:c>
      <x:c r="P1367" s="35" t="str">
        <x:v>INCONCLUSIVE</x:v>
      </x:c>
      <x:c r="Q1367" s="35" t="str">
        <x:v>Deepseek-flash-v4/Result2/Jsoup_12/result.json</x:v>
      </x:c>
    </x:row>
    <x:row r="1368">
      <x:c r="A1368" s="35" t="str">
        <x:v>deepseek</x:v>
      </x:c>
      <x:c r="B1368" s="35" t="str">
        <x:v>Jsoup</x:v>
      </x:c>
      <x:c r="C1368" s="35" t="str">
        <x:v>Round2</x:v>
      </x:c>
      <x:c r="D1368" s="35" t="str">
        <x:v>Jsoup_13</x:v>
      </x:c>
      <x:c r="E1368" s="35" t="str">
        <x:v>Line</x:v>
      </x:c>
      <x:c r="F1368" s="35"/>
      <x:c r="G1368" s="35" t="str">
        <x:v>A</x:v>
      </x:c>
      <x:c r="H1368" s="39" t="str">
        <x:f>IF(ISNUMBER('Data'!E1368),'Data'!E1368*100,"")</x:f>
      </x:c>
      <x:c r="I1368" s="35"/>
      <x:c r="J1368" s="35" t="str">
        <x:v>PASS</x:v>
      </x:c>
      <x:c r="K1368" s="35" t="str">
        <x:v>FAIL</x:v>
      </x:c>
      <x:c r="L1368" s="35" t="str">
        <x:v>NOT_RUN</x:v>
      </x:c>
      <x:c r="M1368" s="35" t="str">
        <x:v>coverage unavailable or execution/compile failed</x:v>
      </x:c>
      <x:c r="N1368" s="35" t="str">
        <x:v>Deepseek-flash-v4/Result2/Jsoup_13/result.json</x:v>
      </x:c>
      <x:c r="O1368" s="39" t="str">
        <x:f>IF(AND(G1368="RECORDED",ISNUMBER(H1368)),H1368,"")</x:f>
      </x:c>
      <x:c r="P1368" s="35" t="str">
        <x:v>NOT_AVAILABLE</x:v>
      </x:c>
      <x:c r="Q1368" s="35" t="str">
        <x:v>Deepseek-flash-v4/Result2/Jsoup_13/result.json</x:v>
      </x:c>
    </x:row>
    <x:row r="1369">
      <x:c r="A1369" s="35" t="str">
        <x:v>deepseek</x:v>
      </x:c>
      <x:c r="B1369" s="35" t="str">
        <x:v>Jsoup</x:v>
      </x:c>
      <x:c r="C1369" s="35" t="str">
        <x:v>Round2</x:v>
      </x:c>
      <x:c r="D1369" s="35" t="str">
        <x:v>Jsoup_14</x:v>
      </x:c>
      <x:c r="E1369" s="35" t="str">
        <x:v>Line</x:v>
      </x:c>
      <x:c r="F1369" s="35"/>
      <x:c r="G1369" s="35" t="str">
        <x:v>A</x:v>
      </x:c>
      <x:c r="H1369" s="39" t="str">
        <x:f>IF(ISNUMBER('Data'!E1369),'Data'!E1369*100,"")</x:f>
      </x:c>
      <x:c r="I1369" s="35"/>
      <x:c r="J1369" s="35" t="str">
        <x:v>PASS</x:v>
      </x:c>
      <x:c r="K1369" s="35" t="str">
        <x:v>FAIL</x:v>
      </x:c>
      <x:c r="L1369" s="35" t="str">
        <x:v>NOT_RUN</x:v>
      </x:c>
      <x:c r="M1369" s="35" t="str">
        <x:v>coverage unavailable or execution/compile failed</x:v>
      </x:c>
      <x:c r="N1369" s="35" t="str">
        <x:v>Deepseek-flash-v4/Result2/Jsoup_14/result.json</x:v>
      </x:c>
      <x:c r="O1369" s="39" t="str">
        <x:f>IF(AND(G1369="RECORDED",ISNUMBER(H1369)),H1369,"")</x:f>
      </x:c>
      <x:c r="P1369" s="35" t="str">
        <x:v>NOT_AVAILABLE</x:v>
      </x:c>
      <x:c r="Q1369" s="35" t="str">
        <x:v>Deepseek-flash-v4/Result2/Jsoup_14/result.json</x:v>
      </x:c>
    </x:row>
    <x:row r="1370">
      <x:c r="A1370" s="35" t="str">
        <x:v>deepseek</x:v>
      </x:c>
      <x:c r="B1370" s="35" t="str">
        <x:v>Jsoup</x:v>
      </x:c>
      <x:c r="C1370" s="35" t="str">
        <x:v>Round2</x:v>
      </x:c>
      <x:c r="D1370" s="35" t="str">
        <x:v>Jsoup_15</x:v>
      </x:c>
      <x:c r="E1370" s="35" t="str">
        <x:v>Line</x:v>
      </x:c>
      <x:c r="F1370" s="35"/>
      <x:c r="G1370" s="35" t="str">
        <x:v>A</x:v>
      </x:c>
      <x:c r="H1370" s="39" t="str">
        <x:f>IF(ISNUMBER('Data'!E1370),'Data'!E1370*100,"")</x:f>
      </x:c>
      <x:c r="I1370" s="35"/>
      <x:c r="J1370" s="35" t="str">
        <x:v>PASS</x:v>
      </x:c>
      <x:c r="K1370" s="35" t="str">
        <x:v>FAIL</x:v>
      </x:c>
      <x:c r="L1370" s="35" t="str">
        <x:v>NOT_RUN</x:v>
      </x:c>
      <x:c r="M1370" s="35" t="str">
        <x:v>coverage unavailable or execution/compile failed</x:v>
      </x:c>
      <x:c r="N1370" s="35" t="str">
        <x:v>Deepseek-flash-v4/Result2/Jsoup_15/result.json</x:v>
      </x:c>
      <x:c r="O1370" s="39" t="str">
        <x:f>IF(AND(G1370="RECORDED",ISNUMBER(H1370)),H1370,"")</x:f>
      </x:c>
      <x:c r="P1370" s="35" t="str">
        <x:v>NOT_AVAILABLE</x:v>
      </x:c>
      <x:c r="Q1370" s="35" t="str">
        <x:v>Deepseek-flash-v4/Result2/Jsoup_15/result.json</x:v>
      </x:c>
    </x:row>
    <x:row r="1371">
      <x:c r="A1371" s="35" t="str">
        <x:v>deepseek</x:v>
      </x:c>
      <x:c r="B1371" s="35" t="str">
        <x:v>Jsoup</x:v>
      </x:c>
      <x:c r="C1371" s="35" t="str">
        <x:v>Round2</x:v>
      </x:c>
      <x:c r="D1371" s="35" t="str">
        <x:v>Jsoup_16</x:v>
      </x:c>
      <x:c r="E1371" s="35" t="str">
        <x:v>Line</x:v>
      </x:c>
      <x:c r="F1371" s="35" t="n">
        <x:v>14</x:v>
      </x:c>
      <x:c r="G1371" s="35" t="str">
        <x:v>RECORDED</x:v>
      </x:c>
      <x:c r="H1371" s="39" t="n">
        <x:f>IF(ISNUMBER('Data'!E1371),'Data'!E1371*100,"")</x:f>
        <x:v>100</x:v>
      </x:c>
      <x:c r="I1371" s="35" t="str">
        <x:v>PASS</x:v>
      </x:c>
      <x:c r="J1371" s="35" t="str">
        <x:v>PASS</x:v>
      </x:c>
      <x:c r="K1371" s="35" t="str">
        <x:v>PASS</x:v>
      </x:c>
      <x:c r="L1371" s="35" t="str">
        <x:v>FAIL</x:v>
      </x:c>
      <x:c r="M1371" s="35" t="str">
        <x:v>numeric coverage for applicable metric</x:v>
      </x:c>
      <x:c r="N1371" s="35" t="str">
        <x:v>Deepseek-flash-v4/Result2/Jsoup_16/result.json</x:v>
      </x:c>
      <x:c r="O1371" s="39" t="n">
        <x:f>IF(AND(G1371="RECORDED",ISNUMBER(H1371)),H1371,"")</x:f>
        <x:v>100</x:v>
      </x:c>
      <x:c r="P1371" s="35" t="str">
        <x:v>INCONCLUSIVE</x:v>
      </x:c>
      <x:c r="Q1371" s="35" t="str">
        <x:v>Deepseek-flash-v4/Result2/Jsoup_16/result.json</x:v>
      </x:c>
    </x:row>
    <x:row r="1372">
      <x:c r="A1372" s="35" t="str">
        <x:v>deepseek</x:v>
      </x:c>
      <x:c r="B1372" s="35" t="str">
        <x:v>Jsoup</x:v>
      </x:c>
      <x:c r="C1372" s="35" t="str">
        <x:v>Round2</x:v>
      </x:c>
      <x:c r="D1372" s="35" t="str">
        <x:v>Jsoup_17</x:v>
      </x:c>
      <x:c r="E1372" s="35" t="str">
        <x:v>Line</x:v>
      </x:c>
      <x:c r="F1372" s="35"/>
      <x:c r="G1372" s="35" t="str">
        <x:v>A</x:v>
      </x:c>
      <x:c r="H1372" s="39" t="str">
        <x:f>IF(ISNUMBER('Data'!E1372),'Data'!E1372*100,"")</x:f>
      </x:c>
      <x:c r="I1372" s="35"/>
      <x:c r="J1372" s="35" t="str">
        <x:v>PASS</x:v>
      </x:c>
      <x:c r="K1372" s="35" t="str">
        <x:v>FAIL</x:v>
      </x:c>
      <x:c r="L1372" s="35" t="str">
        <x:v>NOT_RUN</x:v>
      </x:c>
      <x:c r="M1372" s="35" t="str">
        <x:v>coverage unavailable or execution/compile failed</x:v>
      </x:c>
      <x:c r="N1372" s="35" t="str">
        <x:v>Deepseek-flash-v4/Result2/Jsoup_17/result.json</x:v>
      </x:c>
      <x:c r="O1372" s="39" t="str">
        <x:f>IF(AND(G1372="RECORDED",ISNUMBER(H1372)),H1372,"")</x:f>
      </x:c>
      <x:c r="P1372" s="35" t="str">
        <x:v>NOT_AVAILABLE</x:v>
      </x:c>
      <x:c r="Q1372" s="35" t="str">
        <x:v>Deepseek-flash-v4/Result2/Jsoup_17/result.json</x:v>
      </x:c>
    </x:row>
    <x:row r="1373">
      <x:c r="A1373" s="35" t="str">
        <x:v>deepseek</x:v>
      </x:c>
      <x:c r="B1373" s="35" t="str">
        <x:v>Jsoup</x:v>
      </x:c>
      <x:c r="C1373" s="35" t="str">
        <x:v>Round2</x:v>
      </x:c>
      <x:c r="D1373" s="35" t="str">
        <x:v>Jsoup_18</x:v>
      </x:c>
      <x:c r="E1373" s="35" t="str">
        <x:v>Line</x:v>
      </x:c>
      <x:c r="F1373" s="35" t="n">
        <x:v>97</x:v>
      </x:c>
      <x:c r="G1373" s="35" t="str">
        <x:v>RECORDED</x:v>
      </x:c>
      <x:c r="H1373" s="39" t="n">
        <x:f>IF(ISNUMBER('Data'!E1373),'Data'!E1373*100,"")</x:f>
        <x:v>98.97</x:v>
      </x:c>
      <x:c r="I1373" s="35" t="str">
        <x:v>PASS</x:v>
      </x:c>
      <x:c r="J1373" s="35" t="str">
        <x:v>PASS</x:v>
      </x:c>
      <x:c r="K1373" s="35" t="str">
        <x:v>PASS</x:v>
      </x:c>
      <x:c r="L1373" s="35" t="str">
        <x:v>FAIL</x:v>
      </x:c>
      <x:c r="M1373" s="35" t="str">
        <x:v>numeric coverage for applicable metric</x:v>
      </x:c>
      <x:c r="N1373" s="35" t="str">
        <x:v>Deepseek-flash-v4/Result2/Jsoup_18/result.json</x:v>
      </x:c>
      <x:c r="O1373" s="39" t="n">
        <x:f>IF(AND(G1373="RECORDED",ISNUMBER(H1373)),H1373,"")</x:f>
        <x:v>98.97</x:v>
      </x:c>
      <x:c r="P1373" s="35" t="str">
        <x:v>INCONCLUSIVE</x:v>
      </x:c>
      <x:c r="Q1373" s="35" t="str">
        <x:v>Deepseek-flash-v4/Result2/Jsoup_18/result.json</x:v>
      </x:c>
    </x:row>
    <x:row r="1374">
      <x:c r="A1374" s="35" t="str">
        <x:v>deepseek</x:v>
      </x:c>
      <x:c r="B1374" s="35" t="str">
        <x:v>Jsoup</x:v>
      </x:c>
      <x:c r="C1374" s="35" t="str">
        <x:v>Round2</x:v>
      </x:c>
      <x:c r="D1374" s="35" t="str">
        <x:v>Jsoup_19</x:v>
      </x:c>
      <x:c r="E1374" s="35" t="str">
        <x:v>Line</x:v>
      </x:c>
      <x:c r="F1374" s="35"/>
      <x:c r="G1374" s="35" t="str">
        <x:v>A</x:v>
      </x:c>
      <x:c r="H1374" s="39" t="str">
        <x:f>IF(ISNUMBER('Data'!E1374),'Data'!E1374*100,"")</x:f>
      </x:c>
      <x:c r="I1374" s="35"/>
      <x:c r="J1374" s="35" t="str">
        <x:v>PASS</x:v>
      </x:c>
      <x:c r="K1374" s="35" t="str">
        <x:v>FAIL</x:v>
      </x:c>
      <x:c r="L1374" s="35" t="str">
        <x:v>NOT_RUN</x:v>
      </x:c>
      <x:c r="M1374" s="35" t="str">
        <x:v>coverage unavailable or execution/compile failed</x:v>
      </x:c>
      <x:c r="N1374" s="35" t="str">
        <x:v>Deepseek-flash-v4/Result2/Jsoup_19/result.json</x:v>
      </x:c>
      <x:c r="O1374" s="39" t="str">
        <x:f>IF(AND(G1374="RECORDED",ISNUMBER(H1374)),H1374,"")</x:f>
      </x:c>
      <x:c r="P1374" s="35" t="str">
        <x:v>NOT_AVAILABLE</x:v>
      </x:c>
      <x:c r="Q1374" s="35" t="str">
        <x:v>Deepseek-flash-v4/Result2/Jsoup_19/result.json</x:v>
      </x:c>
    </x:row>
    <x:row r="1375">
      <x:c r="A1375" s="35" t="str">
        <x:v>deepseek</x:v>
      </x:c>
      <x:c r="B1375" s="35" t="str">
        <x:v>Jsoup</x:v>
      </x:c>
      <x:c r="C1375" s="35" t="str">
        <x:v>Round2</x:v>
      </x:c>
      <x:c r="D1375" s="35" t="str">
        <x:v>Jsoup_2</x:v>
      </x:c>
      <x:c r="E1375" s="35" t="str">
        <x:v>Line</x:v>
      </x:c>
      <x:c r="F1375" s="35"/>
      <x:c r="G1375" s="35" t="str">
        <x:v>A</x:v>
      </x:c>
      <x:c r="H1375" s="39" t="str">
        <x:f>IF(ISNUMBER('Data'!E1375),'Data'!E1375*100,"")</x:f>
      </x:c>
      <x:c r="I1375" s="35"/>
      <x:c r="J1375" s="35" t="str">
        <x:v>PASS</x:v>
      </x:c>
      <x:c r="K1375" s="35" t="str">
        <x:v>FAIL</x:v>
      </x:c>
      <x:c r="L1375" s="35" t="str">
        <x:v>NOT_RUN</x:v>
      </x:c>
      <x:c r="M1375" s="35" t="str">
        <x:v>coverage unavailable or execution/compile failed</x:v>
      </x:c>
      <x:c r="N1375" s="35" t="str">
        <x:v>Deepseek-flash-v4/Result2/Jsoup_2/result.json</x:v>
      </x:c>
      <x:c r="O1375" s="39" t="str">
        <x:f>IF(AND(G1375="RECORDED",ISNUMBER(H1375)),H1375,"")</x:f>
      </x:c>
      <x:c r="P1375" s="35" t="str">
        <x:v>NOT_AVAILABLE</x:v>
      </x:c>
      <x:c r="Q1375" s="35" t="str">
        <x:v>Deepseek-flash-v4/Result2/Jsoup_2/result.json</x:v>
      </x:c>
    </x:row>
    <x:row r="1376">
      <x:c r="A1376" s="35" t="str">
        <x:v>deepseek</x:v>
      </x:c>
      <x:c r="B1376" s="35" t="str">
        <x:v>Jsoup</x:v>
      </x:c>
      <x:c r="C1376" s="35" t="str">
        <x:v>Round2</x:v>
      </x:c>
      <x:c r="D1376" s="35" t="str">
        <x:v>Jsoup_20</x:v>
      </x:c>
      <x:c r="E1376" s="35" t="str">
        <x:v>Line</x:v>
      </x:c>
      <x:c r="F1376" s="35" t="n">
        <x:v>44</x:v>
      </x:c>
      <x:c r="G1376" s="35" t="str">
        <x:v>RECORDED</x:v>
      </x:c>
      <x:c r="H1376" s="39" t="n">
        <x:f>IF(ISNUMBER('Data'!E1376),'Data'!E1376*100,"")</x:f>
        <x:v>97.73</x:v>
      </x:c>
      <x:c r="I1376" s="35" t="str">
        <x:v>PASS</x:v>
      </x:c>
      <x:c r="J1376" s="35" t="str">
        <x:v>PASS</x:v>
      </x:c>
      <x:c r="K1376" s="35" t="str">
        <x:v>PASS</x:v>
      </x:c>
      <x:c r="L1376" s="35" t="str">
        <x:v>FAIL</x:v>
      </x:c>
      <x:c r="M1376" s="35" t="str">
        <x:v>numeric coverage for applicable metric</x:v>
      </x:c>
      <x:c r="N1376" s="35" t="str">
        <x:v>Deepseek-flash-v4/Result2/Jsoup_20/result.json</x:v>
      </x:c>
      <x:c r="O1376" s="39" t="n">
        <x:f>IF(AND(G1376="RECORDED",ISNUMBER(H1376)),H1376,"")</x:f>
        <x:v>97.73</x:v>
      </x:c>
      <x:c r="P1376" s="35" t="str">
        <x:v>INCONCLUSIVE</x:v>
      </x:c>
      <x:c r="Q1376" s="35" t="str">
        <x:v>Deepseek-flash-v4/Result2/Jsoup_20/result.json</x:v>
      </x:c>
    </x:row>
    <x:row r="1377">
      <x:c r="A1377" s="35" t="str">
        <x:v>deepseek</x:v>
      </x:c>
      <x:c r="B1377" s="35" t="str">
        <x:v>Jsoup</x:v>
      </x:c>
      <x:c r="C1377" s="35" t="str">
        <x:v>Round2</x:v>
      </x:c>
      <x:c r="D1377" s="35" t="str">
        <x:v>Jsoup_21</x:v>
      </x:c>
      <x:c r="E1377" s="35" t="str">
        <x:v>Line</x:v>
      </x:c>
      <x:c r="F1377" s="35" t="n">
        <x:v>189</x:v>
      </x:c>
      <x:c r="G1377" s="35" t="str">
        <x:v>RECORDED</x:v>
      </x:c>
      <x:c r="H1377" s="39" t="n">
        <x:f>IF(ISNUMBER('Data'!E1377),'Data'!E1377*100,"")</x:f>
        <x:v>99.47</x:v>
      </x:c>
      <x:c r="I1377" s="35" t="str">
        <x:v>PASS</x:v>
      </x:c>
      <x:c r="J1377" s="35" t="str">
        <x:v>PASS</x:v>
      </x:c>
      <x:c r="K1377" s="35" t="str">
        <x:v>PASS</x:v>
      </x:c>
      <x:c r="L1377" s="35" t="str">
        <x:v>PASS</x:v>
      </x:c>
      <x:c r="M1377" s="35" t="str">
        <x:v>numeric coverage for applicable metric</x:v>
      </x:c>
      <x:c r="N1377" s="35" t="str">
        <x:v>Deepseek-flash-v4/Result2/Jsoup_21/result.json</x:v>
      </x:c>
      <x:c r="O1377" s="39" t="n">
        <x:f>IF(AND(G1377="RECORDED",ISNUMBER(H1377)),H1377,"")</x:f>
        <x:v>99.47</x:v>
      </x:c>
      <x:c r="P1377" s="35" t="str">
        <x:v>INCONCLUSIVE</x:v>
      </x:c>
      <x:c r="Q1377" s="35" t="str">
        <x:v>Deepseek-flash-v4/Result2/Jsoup_21/result.json</x:v>
      </x:c>
    </x:row>
    <x:row r="1378">
      <x:c r="A1378" s="35" t="str">
        <x:v>deepseek</x:v>
      </x:c>
      <x:c r="B1378" s="35" t="str">
        <x:v>Jsoup</x:v>
      </x:c>
      <x:c r="C1378" s="35" t="str">
        <x:v>Round2</x:v>
      </x:c>
      <x:c r="D1378" s="35" t="str">
        <x:v>Jsoup_22</x:v>
      </x:c>
      <x:c r="E1378" s="35" t="str">
        <x:v>Line</x:v>
      </x:c>
      <x:c r="F1378" s="35"/>
      <x:c r="G1378" s="35" t="str">
        <x:v>A</x:v>
      </x:c>
      <x:c r="H1378" s="39" t="str">
        <x:f>IF(ISNUMBER('Data'!E1378),'Data'!E1378*100,"")</x:f>
      </x:c>
      <x:c r="I1378" s="35"/>
      <x:c r="J1378" s="35" t="str">
        <x:v>PASS</x:v>
      </x:c>
      <x:c r="K1378" s="35" t="str">
        <x:v>FAIL</x:v>
      </x:c>
      <x:c r="L1378" s="35" t="str">
        <x:v>NOT_RUN</x:v>
      </x:c>
      <x:c r="M1378" s="35" t="str">
        <x:v>coverage unavailable or execution/compile failed</x:v>
      </x:c>
      <x:c r="N1378" s="35" t="str">
        <x:v>Deepseek-flash-v4/Result2/Jsoup_22/result.json</x:v>
      </x:c>
      <x:c r="O1378" s="39" t="str">
        <x:f>IF(AND(G1378="RECORDED",ISNUMBER(H1378)),H1378,"")</x:f>
      </x:c>
      <x:c r="P1378" s="35" t="str">
        <x:v>NOT_AVAILABLE</x:v>
      </x:c>
      <x:c r="Q1378" s="35" t="str">
        <x:v>Deepseek-flash-v4/Result2/Jsoup_22/result.json</x:v>
      </x:c>
    </x:row>
    <x:row r="1379">
      <x:c r="A1379" s="35" t="str">
        <x:v>deepseek</x:v>
      </x:c>
      <x:c r="B1379" s="35" t="str">
        <x:v>Jsoup</x:v>
      </x:c>
      <x:c r="C1379" s="35" t="str">
        <x:v>Round2</x:v>
      </x:c>
      <x:c r="D1379" s="35" t="str">
        <x:v>Jsoup_23</x:v>
      </x:c>
      <x:c r="E1379" s="35" t="str">
        <x:v>Line</x:v>
      </x:c>
      <x:c r="F1379" s="35"/>
      <x:c r="G1379" s="35" t="str">
        <x:v>A</x:v>
      </x:c>
      <x:c r="H1379" s="39" t="str">
        <x:f>IF(ISNUMBER('Data'!E1379),'Data'!E1379*100,"")</x:f>
      </x:c>
      <x:c r="I1379" s="35"/>
      <x:c r="J1379" s="35" t="str">
        <x:v>PASS</x:v>
      </x:c>
      <x:c r="K1379" s="35" t="str">
        <x:v>FAIL</x:v>
      </x:c>
      <x:c r="L1379" s="35" t="str">
        <x:v>NOT_RUN</x:v>
      </x:c>
      <x:c r="M1379" s="35" t="str">
        <x:v>coverage unavailable or execution/compile failed</x:v>
      </x:c>
      <x:c r="N1379" s="35" t="str">
        <x:v>Deepseek-flash-v4/Result2/Jsoup_23/result.json</x:v>
      </x:c>
      <x:c r="O1379" s="39" t="str">
        <x:f>IF(AND(G1379="RECORDED",ISNUMBER(H1379)),H1379,"")</x:f>
      </x:c>
      <x:c r="P1379" s="35" t="str">
        <x:v>NOT_AVAILABLE</x:v>
      </x:c>
      <x:c r="Q1379" s="35" t="str">
        <x:v>Deepseek-flash-v4/Result2/Jsoup_23/result.json</x:v>
      </x:c>
    </x:row>
    <x:row r="1380">
      <x:c r="A1380" s="35" t="str">
        <x:v>deepseek</x:v>
      </x:c>
      <x:c r="B1380" s="35" t="str">
        <x:v>Jsoup</x:v>
      </x:c>
      <x:c r="C1380" s="35" t="str">
        <x:v>Round2</x:v>
      </x:c>
      <x:c r="D1380" s="35" t="str">
        <x:v>Jsoup_24</x:v>
      </x:c>
      <x:c r="E1380" s="35" t="str">
        <x:v>Line</x:v>
      </x:c>
      <x:c r="F1380" s="35"/>
      <x:c r="G1380" s="35" t="str">
        <x:v>A</x:v>
      </x:c>
      <x:c r="H1380" s="39" t="str">
        <x:f>IF(ISNUMBER('Data'!E1380),'Data'!E1380*100,"")</x:f>
      </x:c>
      <x:c r="I1380" s="35"/>
      <x:c r="J1380" s="35" t="str">
        <x:v>PASS</x:v>
      </x:c>
      <x:c r="K1380" s="35" t="str">
        <x:v>FAIL</x:v>
      </x:c>
      <x:c r="L1380" s="35" t="str">
        <x:v>NOT_RUN</x:v>
      </x:c>
      <x:c r="M1380" s="35" t="str">
        <x:v>coverage unavailable or execution/compile failed</x:v>
      </x:c>
      <x:c r="N1380" s="35" t="str">
        <x:v>Deepseek-flash-v4/Result2/Jsoup_24/result.json</x:v>
      </x:c>
      <x:c r="O1380" s="39" t="str">
        <x:f>IF(AND(G1380="RECORDED",ISNUMBER(H1380)),H1380,"")</x:f>
      </x:c>
      <x:c r="P1380" s="35" t="str">
        <x:v>NOT_AVAILABLE</x:v>
      </x:c>
      <x:c r="Q1380" s="35" t="str">
        <x:v>Deepseek-flash-v4/Result2/Jsoup_24/result.json</x:v>
      </x:c>
    </x:row>
    <x:row r="1381">
      <x:c r="A1381" s="35" t="str">
        <x:v>deepseek</x:v>
      </x:c>
      <x:c r="B1381" s="35" t="str">
        <x:v>Jsoup</x:v>
      </x:c>
      <x:c r="C1381" s="35" t="str">
        <x:v>Round2</x:v>
      </x:c>
      <x:c r="D1381" s="35" t="str">
        <x:v>Jsoup_25</x:v>
      </x:c>
      <x:c r="E1381" s="35" t="str">
        <x:v>Line</x:v>
      </x:c>
      <x:c r="F1381" s="35"/>
      <x:c r="G1381" s="35" t="str">
        <x:v>A</x:v>
      </x:c>
      <x:c r="H1381" s="39" t="str">
        <x:f>IF(ISNUMBER('Data'!E1381),'Data'!E1381*100,"")</x:f>
      </x:c>
      <x:c r="I1381" s="35"/>
      <x:c r="J1381" s="35" t="str">
        <x:v>PASS</x:v>
      </x:c>
      <x:c r="K1381" s="35" t="str">
        <x:v>FAIL</x:v>
      </x:c>
      <x:c r="L1381" s="35" t="str">
        <x:v>NOT_RUN</x:v>
      </x:c>
      <x:c r="M1381" s="35" t="str">
        <x:v>coverage unavailable or execution/compile failed</x:v>
      </x:c>
      <x:c r="N1381" s="35" t="str">
        <x:v>Deepseek-flash-v4/Result2/Jsoup_25/result.json</x:v>
      </x:c>
      <x:c r="O1381" s="39" t="str">
        <x:f>IF(AND(G1381="RECORDED",ISNUMBER(H1381)),H1381,"")</x:f>
      </x:c>
      <x:c r="P1381" s="35" t="str">
        <x:v>NOT_AVAILABLE</x:v>
      </x:c>
      <x:c r="Q1381" s="35" t="str">
        <x:v>Deepseek-flash-v4/Result2/Jsoup_25/result.json</x:v>
      </x:c>
    </x:row>
    <x:row r="1382">
      <x:c r="A1382" s="35" t="str">
        <x:v>deepseek</x:v>
      </x:c>
      <x:c r="B1382" s="35" t="str">
        <x:v>Jsoup</x:v>
      </x:c>
      <x:c r="C1382" s="35" t="str">
        <x:v>Round2</x:v>
      </x:c>
      <x:c r="D1382" s="35" t="str">
        <x:v>Jsoup_26</x:v>
      </x:c>
      <x:c r="E1382" s="35" t="str">
        <x:v>Line</x:v>
      </x:c>
      <x:c r="F1382" s="35"/>
      <x:c r="G1382" s="35" t="str">
        <x:v>A</x:v>
      </x:c>
      <x:c r="H1382" s="39" t="str">
        <x:f>IF(ISNUMBER('Data'!E1382),'Data'!E1382*100,"")</x:f>
      </x:c>
      <x:c r="I1382" s="35"/>
      <x:c r="J1382" s="35" t="str">
        <x:v>PASS</x:v>
      </x:c>
      <x:c r="K1382" s="35" t="str">
        <x:v>FAIL</x:v>
      </x:c>
      <x:c r="L1382" s="35" t="str">
        <x:v>NOT_RUN</x:v>
      </x:c>
      <x:c r="M1382" s="35" t="str">
        <x:v>coverage unavailable or execution/compile failed</x:v>
      </x:c>
      <x:c r="N1382" s="35" t="str">
        <x:v>Deepseek-flash-v4/Result2/Jsoup_26/result.json</x:v>
      </x:c>
      <x:c r="O1382" s="39" t="str">
        <x:f>IF(AND(G1382="RECORDED",ISNUMBER(H1382)),H1382,"")</x:f>
      </x:c>
      <x:c r="P1382" s="35" t="str">
        <x:v>NOT_AVAILABLE</x:v>
      </x:c>
      <x:c r="Q1382" s="35" t="str">
        <x:v>Deepseek-flash-v4/Result2/Jsoup_26/result.json</x:v>
      </x:c>
    </x:row>
    <x:row r="1383">
      <x:c r="A1383" s="35" t="str">
        <x:v>deepseek</x:v>
      </x:c>
      <x:c r="B1383" s="35" t="str">
        <x:v>Jsoup</x:v>
      </x:c>
      <x:c r="C1383" s="35" t="str">
        <x:v>Round2</x:v>
      </x:c>
      <x:c r="D1383" s="35" t="str">
        <x:v>Jsoup_27</x:v>
      </x:c>
      <x:c r="E1383" s="35" t="str">
        <x:v>Line</x:v>
      </x:c>
      <x:c r="F1383" s="35"/>
      <x:c r="G1383" s="35" t="str">
        <x:v>A</x:v>
      </x:c>
      <x:c r="H1383" s="39" t="str">
        <x:f>IF(ISNUMBER('Data'!E1383),'Data'!E1383*100,"")</x:f>
      </x:c>
      <x:c r="I1383" s="35"/>
      <x:c r="J1383" s="35" t="str">
        <x:v>PASS</x:v>
      </x:c>
      <x:c r="K1383" s="35" t="str">
        <x:v>FAIL</x:v>
      </x:c>
      <x:c r="L1383" s="35" t="str">
        <x:v>NOT_RUN</x:v>
      </x:c>
      <x:c r="M1383" s="35" t="str">
        <x:v>coverage unavailable or execution/compile failed</x:v>
      </x:c>
      <x:c r="N1383" s="35" t="str">
        <x:v>Deepseek-flash-v4/Result2/Jsoup_27/result.json</x:v>
      </x:c>
      <x:c r="O1383" s="39" t="str">
        <x:f>IF(AND(G1383="RECORDED",ISNUMBER(H1383)),H1383,"")</x:f>
      </x:c>
      <x:c r="P1383" s="35" t="str">
        <x:v>NOT_AVAILABLE</x:v>
      </x:c>
      <x:c r="Q1383" s="35" t="str">
        <x:v>Deepseek-flash-v4/Result2/Jsoup_27/result.json</x:v>
      </x:c>
    </x:row>
    <x:row r="1384">
      <x:c r="A1384" s="35" t="str">
        <x:v>deepseek</x:v>
      </x:c>
      <x:c r="B1384" s="35" t="str">
        <x:v>Jsoup</x:v>
      </x:c>
      <x:c r="C1384" s="35" t="str">
        <x:v>Round2</x:v>
      </x:c>
      <x:c r="D1384" s="35" t="str">
        <x:v>Jsoup_28</x:v>
      </x:c>
      <x:c r="E1384" s="35" t="str">
        <x:v>Line</x:v>
      </x:c>
      <x:c r="F1384" s="35"/>
      <x:c r="G1384" s="35" t="str">
        <x:v>A</x:v>
      </x:c>
      <x:c r="H1384" s="39" t="str">
        <x:f>IF(ISNUMBER('Data'!E1384),'Data'!E1384*100,"")</x:f>
      </x:c>
      <x:c r="I1384" s="35"/>
      <x:c r="J1384" s="35" t="str">
        <x:v>PASS</x:v>
      </x:c>
      <x:c r="K1384" s="35" t="str">
        <x:v>FAIL</x:v>
      </x:c>
      <x:c r="L1384" s="35" t="str">
        <x:v>NOT_RUN</x:v>
      </x:c>
      <x:c r="M1384" s="35" t="str">
        <x:v>coverage unavailable or execution/compile failed</x:v>
      </x:c>
      <x:c r="N1384" s="35" t="str">
        <x:v>Deepseek-flash-v4/Result2/Jsoup_28/result.json</x:v>
      </x:c>
      <x:c r="O1384" s="39" t="str">
        <x:f>IF(AND(G1384="RECORDED",ISNUMBER(H1384)),H1384,"")</x:f>
      </x:c>
      <x:c r="P1384" s="35" t="str">
        <x:v>NOT_AVAILABLE</x:v>
      </x:c>
      <x:c r="Q1384" s="35" t="str">
        <x:v>Deepseek-flash-v4/Result2/Jsoup_28/result.json</x:v>
      </x:c>
    </x:row>
    <x:row r="1385">
      <x:c r="A1385" s="35" t="str">
        <x:v>deepseek</x:v>
      </x:c>
      <x:c r="B1385" s="35" t="str">
        <x:v>Jsoup</x:v>
      </x:c>
      <x:c r="C1385" s="35" t="str">
        <x:v>Round2</x:v>
      </x:c>
      <x:c r="D1385" s="35" t="str">
        <x:v>Jsoup_29</x:v>
      </x:c>
      <x:c r="E1385" s="35" t="str">
        <x:v>Line</x:v>
      </x:c>
      <x:c r="F1385" s="35"/>
      <x:c r="G1385" s="35" t="str">
        <x:v>A</x:v>
      </x:c>
      <x:c r="H1385" s="39" t="str">
        <x:f>IF(ISNUMBER('Data'!E1385),'Data'!E1385*100,"")</x:f>
      </x:c>
      <x:c r="I1385" s="35"/>
      <x:c r="J1385" s="35" t="str">
        <x:v>PASS</x:v>
      </x:c>
      <x:c r="K1385" s="35" t="str">
        <x:v>FAIL</x:v>
      </x:c>
      <x:c r="L1385" s="35" t="str">
        <x:v>NOT_RUN</x:v>
      </x:c>
      <x:c r="M1385" s="35" t="str">
        <x:v>coverage unavailable or execution/compile failed</x:v>
      </x:c>
      <x:c r="N1385" s="35" t="str">
        <x:v>Deepseek-flash-v4/Result2/Jsoup_29/result.json</x:v>
      </x:c>
      <x:c r="O1385" s="39" t="str">
        <x:f>IF(AND(G1385="RECORDED",ISNUMBER(H1385)),H1385,"")</x:f>
      </x:c>
      <x:c r="P1385" s="35" t="str">
        <x:v>NOT_AVAILABLE</x:v>
      </x:c>
      <x:c r="Q1385" s="35" t="str">
        <x:v>Deepseek-flash-v4/Result2/Jsoup_29/result.json</x:v>
      </x:c>
    </x:row>
    <x:row r="1386">
      <x:c r="A1386" s="35" t="str">
        <x:v>deepseek</x:v>
      </x:c>
      <x:c r="B1386" s="35" t="str">
        <x:v>Jsoup</x:v>
      </x:c>
      <x:c r="C1386" s="35" t="str">
        <x:v>Round2</x:v>
      </x:c>
      <x:c r="D1386" s="35" t="str">
        <x:v>Jsoup_3</x:v>
      </x:c>
      <x:c r="E1386" s="35" t="str">
        <x:v>Line</x:v>
      </x:c>
      <x:c r="F1386" s="35"/>
      <x:c r="G1386" s="35" t="str">
        <x:v>A</x:v>
      </x:c>
      <x:c r="H1386" s="39" t="str">
        <x:f>IF(ISNUMBER('Data'!E1386),'Data'!E1386*100,"")</x:f>
      </x:c>
      <x:c r="I1386" s="35"/>
      <x:c r="J1386" s="35" t="str">
        <x:v>PASS</x:v>
      </x:c>
      <x:c r="K1386" s="35" t="str">
        <x:v>FAIL</x:v>
      </x:c>
      <x:c r="L1386" s="35" t="str">
        <x:v>NOT_RUN</x:v>
      </x:c>
      <x:c r="M1386" s="35" t="str">
        <x:v>coverage unavailable or execution/compile failed</x:v>
      </x:c>
      <x:c r="N1386" s="35" t="str">
        <x:v>Deepseek-flash-v4/Result2/Jsoup_3/result.json</x:v>
      </x:c>
      <x:c r="O1386" s="39" t="str">
        <x:f>IF(AND(G1386="RECORDED",ISNUMBER(H1386)),H1386,"")</x:f>
      </x:c>
      <x:c r="P1386" s="35" t="str">
        <x:v>NOT_AVAILABLE</x:v>
      </x:c>
      <x:c r="Q1386" s="35" t="str">
        <x:v>Deepseek-flash-v4/Result2/Jsoup_3/result.json</x:v>
      </x:c>
    </x:row>
    <x:row r="1387">
      <x:c r="A1387" s="35" t="str">
        <x:v>deepseek</x:v>
      </x:c>
      <x:c r="B1387" s="35" t="str">
        <x:v>Jsoup</x:v>
      </x:c>
      <x:c r="C1387" s="35" t="str">
        <x:v>Round2</x:v>
      </x:c>
      <x:c r="D1387" s="35" t="str">
        <x:v>Jsoup_30</x:v>
      </x:c>
      <x:c r="E1387" s="35" t="str">
        <x:v>Line</x:v>
      </x:c>
      <x:c r="F1387" s="35" t="n">
        <x:v>50</x:v>
      </x:c>
      <x:c r="G1387" s="35" t="str">
        <x:v>RECORDED</x:v>
      </x:c>
      <x:c r="H1387" s="39" t="n">
        <x:f>IF(ISNUMBER('Data'!E1387),'Data'!E1387*100,"")</x:f>
        <x:v>100</x:v>
      </x:c>
      <x:c r="I1387" s="35" t="str">
        <x:v>PASS</x:v>
      </x:c>
      <x:c r="J1387" s="35" t="str">
        <x:v>PASS</x:v>
      </x:c>
      <x:c r="K1387" s="35" t="str">
        <x:v>PASS</x:v>
      </x:c>
      <x:c r="L1387" s="35" t="str">
        <x:v>FAIL</x:v>
      </x:c>
      <x:c r="M1387" s="35" t="str">
        <x:v>numeric coverage for applicable metric</x:v>
      </x:c>
      <x:c r="N1387" s="35" t="str">
        <x:v>Deepseek-flash-v4/Result2/Jsoup_30/result.json</x:v>
      </x:c>
      <x:c r="O1387" s="39" t="n">
        <x:f>IF(AND(G1387="RECORDED",ISNUMBER(H1387)),H1387,"")</x:f>
        <x:v>100</x:v>
      </x:c>
      <x:c r="P1387" s="35" t="str">
        <x:v>INCONCLUSIVE</x:v>
      </x:c>
      <x:c r="Q1387" s="35" t="str">
        <x:v>Deepseek-flash-v4/Result2/Jsoup_30/result.json</x:v>
      </x:c>
    </x:row>
    <x:row r="1388">
      <x:c r="A1388" s="35" t="str">
        <x:v>deepseek</x:v>
      </x:c>
      <x:c r="B1388" s="35" t="str">
        <x:v>Jsoup</x:v>
      </x:c>
      <x:c r="C1388" s="35" t="str">
        <x:v>Round2</x:v>
      </x:c>
      <x:c r="D1388" s="35" t="str">
        <x:v>Jsoup_31</x:v>
      </x:c>
      <x:c r="E1388" s="35" t="str">
        <x:v>Line</x:v>
      </x:c>
      <x:c r="F1388" s="35"/>
      <x:c r="G1388" s="35" t="str">
        <x:v>A</x:v>
      </x:c>
      <x:c r="H1388" s="39" t="str">
        <x:f>IF(ISNUMBER('Data'!E1388),'Data'!E1388*100,"")</x:f>
      </x:c>
      <x:c r="I1388" s="35"/>
      <x:c r="J1388" s="35" t="str">
        <x:v>PASS</x:v>
      </x:c>
      <x:c r="K1388" s="35" t="str">
        <x:v>FAIL</x:v>
      </x:c>
      <x:c r="L1388" s="35" t="str">
        <x:v>NOT_RUN</x:v>
      </x:c>
      <x:c r="M1388" s="35" t="str">
        <x:v>coverage unavailable or execution/compile failed</x:v>
      </x:c>
      <x:c r="N1388" s="35" t="str">
        <x:v>Deepseek-flash-v4/Result2/Jsoup_31/result.json</x:v>
      </x:c>
      <x:c r="O1388" s="39" t="str">
        <x:f>IF(AND(G1388="RECORDED",ISNUMBER(H1388)),H1388,"")</x:f>
      </x:c>
      <x:c r="P1388" s="35" t="str">
        <x:v>NOT_AVAILABLE</x:v>
      </x:c>
      <x:c r="Q1388" s="35" t="str">
        <x:v>Deepseek-flash-v4/Result2/Jsoup_31/result.json</x:v>
      </x:c>
    </x:row>
    <x:row r="1389">
      <x:c r="A1389" s="35" t="str">
        <x:v>deepseek</x:v>
      </x:c>
      <x:c r="B1389" s="35" t="str">
        <x:v>Jsoup</x:v>
      </x:c>
      <x:c r="C1389" s="35" t="str">
        <x:v>Round2</x:v>
      </x:c>
      <x:c r="D1389" s="35" t="str">
        <x:v>Jsoup_32</x:v>
      </x:c>
      <x:c r="E1389" s="35" t="str">
        <x:v>Line</x:v>
      </x:c>
      <x:c r="F1389" s="35" t="n">
        <x:v>303</x:v>
      </x:c>
      <x:c r="G1389" s="35" t="str">
        <x:v>RECORDED</x:v>
      </x:c>
      <x:c r="H1389" s="39" t="n">
        <x:f>IF(ISNUMBER('Data'!E1389),'Data'!E1389*100,"")</x:f>
        <x:v>75.58</x:v>
      </x:c>
      <x:c r="I1389" s="35" t="str">
        <x:v>PASS</x:v>
      </x:c>
      <x:c r="J1389" s="35" t="str">
        <x:v>PASS</x:v>
      </x:c>
      <x:c r="K1389" s="35" t="str">
        <x:v>PASS</x:v>
      </x:c>
      <x:c r="L1389" s="35" t="str">
        <x:v>FAIL</x:v>
      </x:c>
      <x:c r="M1389" s="35" t="str">
        <x:v>numeric coverage for applicable metric</x:v>
      </x:c>
      <x:c r="N1389" s="35" t="str">
        <x:v>Deepseek-flash-v4/Result2/Jsoup_32/result.json</x:v>
      </x:c>
      <x:c r="O1389" s="39" t="n">
        <x:f>IF(AND(G1389="RECORDED",ISNUMBER(H1389)),H1389,"")</x:f>
        <x:v>75.58</x:v>
      </x:c>
      <x:c r="P1389" s="35" t="str">
        <x:v>INCONCLUSIVE</x:v>
      </x:c>
      <x:c r="Q1389" s="35" t="str">
        <x:v>Deepseek-flash-v4/Result2/Jsoup_32/result.json</x:v>
      </x:c>
    </x:row>
    <x:row r="1390">
      <x:c r="A1390" s="35" t="str">
        <x:v>deepseek</x:v>
      </x:c>
      <x:c r="B1390" s="35" t="str">
        <x:v>Jsoup</x:v>
      </x:c>
      <x:c r="C1390" s="35" t="str">
        <x:v>Round2</x:v>
      </x:c>
      <x:c r="D1390" s="35" t="str">
        <x:v>Jsoup_33</x:v>
      </x:c>
      <x:c r="E1390" s="35" t="str">
        <x:v>Line</x:v>
      </x:c>
      <x:c r="F1390" s="35" t="n">
        <x:v>393</x:v>
      </x:c>
      <x:c r="G1390" s="35" t="str">
        <x:v>RECORDED</x:v>
      </x:c>
      <x:c r="H1390" s="39" t="n">
        <x:f>IF(ISNUMBER('Data'!E1390),'Data'!E1390*100,"")</x:f>
        <x:v>47.84</x:v>
      </x:c>
      <x:c r="I1390" s="35" t="str">
        <x:v>PASS</x:v>
      </x:c>
      <x:c r="J1390" s="35" t="str">
        <x:v>PASS</x:v>
      </x:c>
      <x:c r="K1390" s="35" t="str">
        <x:v>PASS</x:v>
      </x:c>
      <x:c r="L1390" s="35" t="str">
        <x:v>FAIL</x:v>
      </x:c>
      <x:c r="M1390" s="35" t="str">
        <x:v>numeric coverage for applicable metric</x:v>
      </x:c>
      <x:c r="N1390" s="35" t="str">
        <x:v>Deepseek-flash-v4/Result2/Jsoup_33/result.json</x:v>
      </x:c>
      <x:c r="O1390" s="39" t="n">
        <x:f>IF(AND(G1390="RECORDED",ISNUMBER(H1390)),H1390,"")</x:f>
        <x:v>47.84</x:v>
      </x:c>
      <x:c r="P1390" s="35" t="str">
        <x:v>INCONCLUSIVE</x:v>
      </x:c>
      <x:c r="Q1390" s="35" t="str">
        <x:v>Deepseek-flash-v4/Result2/Jsoup_33/result.json</x:v>
      </x:c>
    </x:row>
    <x:row r="1391">
      <x:c r="A1391" s="35" t="str">
        <x:v>deepseek</x:v>
      </x:c>
      <x:c r="B1391" s="35" t="str">
        <x:v>Jsoup</x:v>
      </x:c>
      <x:c r="C1391" s="35" t="str">
        <x:v>Round2</x:v>
      </x:c>
      <x:c r="D1391" s="35" t="str">
        <x:v>Jsoup_34</x:v>
      </x:c>
      <x:c r="E1391" s="35" t="str">
        <x:v>Line</x:v>
      </x:c>
      <x:c r="F1391" s="35" t="n">
        <x:v>136</x:v>
      </x:c>
      <x:c r="G1391" s="35" t="str">
        <x:v>RECORDED</x:v>
      </x:c>
      <x:c r="H1391" s="39" t="n">
        <x:f>IF(ISNUMBER('Data'!E1391),'Data'!E1391*100,"")</x:f>
        <x:v>97.79</x:v>
      </x:c>
      <x:c r="I1391" s="35" t="str">
        <x:v>PASS</x:v>
      </x:c>
      <x:c r="J1391" s="35" t="str">
        <x:v>PASS</x:v>
      </x:c>
      <x:c r="K1391" s="35" t="str">
        <x:v>PASS</x:v>
      </x:c>
      <x:c r="L1391" s="35" t="str">
        <x:v>FAIL</x:v>
      </x:c>
      <x:c r="M1391" s="35" t="str">
        <x:v>numeric coverage for applicable metric</x:v>
      </x:c>
      <x:c r="N1391" s="35" t="str">
        <x:v>Deepseek-flash-v4/Result2/Jsoup_34/result.json</x:v>
      </x:c>
      <x:c r="O1391" s="39" t="n">
        <x:f>IF(AND(G1391="RECORDED",ISNUMBER(H1391)),H1391,"")</x:f>
        <x:v>97.79</x:v>
      </x:c>
      <x:c r="P1391" s="35" t="str">
        <x:v>INCONCLUSIVE</x:v>
      </x:c>
      <x:c r="Q1391" s="35" t="str">
        <x:v>Deepseek-flash-v4/Result2/Jsoup_34/result.json</x:v>
      </x:c>
    </x:row>
    <x:row r="1392">
      <x:c r="A1392" s="35" t="str">
        <x:v>deepseek</x:v>
      </x:c>
      <x:c r="B1392" s="35" t="str">
        <x:v>Jsoup</x:v>
      </x:c>
      <x:c r="C1392" s="35" t="str">
        <x:v>Round2</x:v>
      </x:c>
      <x:c r="D1392" s="35" t="str">
        <x:v>Jsoup_35</x:v>
      </x:c>
      <x:c r="E1392" s="35" t="str">
        <x:v>Line</x:v>
      </x:c>
      <x:c r="F1392" s="35"/>
      <x:c r="G1392" s="35" t="str">
        <x:v>A</x:v>
      </x:c>
      <x:c r="H1392" s="39" t="str">
        <x:f>IF(ISNUMBER('Data'!E1392),'Data'!E1392*100,"")</x:f>
      </x:c>
      <x:c r="I1392" s="35"/>
      <x:c r="J1392" s="35" t="str">
        <x:v>PASS</x:v>
      </x:c>
      <x:c r="K1392" s="35" t="str">
        <x:v>FAIL</x:v>
      </x:c>
      <x:c r="L1392" s="35" t="str">
        <x:v>NOT_RUN</x:v>
      </x:c>
      <x:c r="M1392" s="35" t="str">
        <x:v>coverage unavailable or execution/compile failed</x:v>
      </x:c>
      <x:c r="N1392" s="35" t="str">
        <x:v>Deepseek-flash-v4/Result2/Jsoup_35/result.json</x:v>
      </x:c>
      <x:c r="O1392" s="39" t="str">
        <x:f>IF(AND(G1392="RECORDED",ISNUMBER(H1392)),H1392,"")</x:f>
      </x:c>
      <x:c r="P1392" s="35" t="str">
        <x:v>NOT_AVAILABLE</x:v>
      </x:c>
      <x:c r="Q1392" s="35" t="str">
        <x:v>Deepseek-flash-v4/Result2/Jsoup_35/result.json</x:v>
      </x:c>
    </x:row>
    <x:row r="1393">
      <x:c r="A1393" s="35" t="str">
        <x:v>deepseek</x:v>
      </x:c>
      <x:c r="B1393" s="35" t="str">
        <x:v>Jsoup</x:v>
      </x:c>
      <x:c r="C1393" s="35" t="str">
        <x:v>Round2</x:v>
      </x:c>
      <x:c r="D1393" s="35" t="str">
        <x:v>Jsoup_36</x:v>
      </x:c>
      <x:c r="E1393" s="35" t="str">
        <x:v>Line</x:v>
      </x:c>
      <x:c r="F1393" s="35" t="n">
        <x:v>60</x:v>
      </x:c>
      <x:c r="G1393" s="35" t="str">
        <x:v>RECORDED</x:v>
      </x:c>
      <x:c r="H1393" s="39" t="n">
        <x:f>IF(ISNUMBER('Data'!E1393),'Data'!E1393*100,"")</x:f>
        <x:v>83.33</x:v>
      </x:c>
      <x:c r="I1393" s="35" t="str">
        <x:v>PASS</x:v>
      </x:c>
      <x:c r="J1393" s="35" t="str">
        <x:v>PASS</x:v>
      </x:c>
      <x:c r="K1393" s="35" t="str">
        <x:v>PASS</x:v>
      </x:c>
      <x:c r="L1393" s="35" t="str">
        <x:v>FAIL</x:v>
      </x:c>
      <x:c r="M1393" s="35" t="str">
        <x:v>numeric coverage for applicable metric</x:v>
      </x:c>
      <x:c r="N1393" s="35" t="str">
        <x:v>Deepseek-flash-v4/Result2/Jsoup_36/result.json</x:v>
      </x:c>
      <x:c r="O1393" s="39" t="n">
        <x:f>IF(AND(G1393="RECORDED",ISNUMBER(H1393)),H1393,"")</x:f>
        <x:v>83.33</x:v>
      </x:c>
      <x:c r="P1393" s="35" t="str">
        <x:v>INCONCLUSIVE</x:v>
      </x:c>
      <x:c r="Q1393" s="35" t="str">
        <x:v>Deepseek-flash-v4/Result2/Jsoup_36/result.json</x:v>
      </x:c>
    </x:row>
    <x:row r="1394">
      <x:c r="A1394" s="35" t="str">
        <x:v>deepseek</x:v>
      </x:c>
      <x:c r="B1394" s="35" t="str">
        <x:v>Jsoup</x:v>
      </x:c>
      <x:c r="C1394" s="35" t="str">
        <x:v>Round2</x:v>
      </x:c>
      <x:c r="D1394" s="35" t="str">
        <x:v>Jsoup_37</x:v>
      </x:c>
      <x:c r="E1394" s="35" t="str">
        <x:v>Line</x:v>
      </x:c>
      <x:c r="F1394" s="35" t="n">
        <x:v>307</x:v>
      </x:c>
      <x:c r="G1394" s="35" t="str">
        <x:v>RECORDED</x:v>
      </x:c>
      <x:c r="H1394" s="39" t="n">
        <x:f>IF(ISNUMBER('Data'!E1394),'Data'!E1394*100,"")</x:f>
        <x:v>78.83</x:v>
      </x:c>
      <x:c r="I1394" s="35" t="str">
        <x:v>PASS</x:v>
      </x:c>
      <x:c r="J1394" s="35" t="str">
        <x:v>PASS</x:v>
      </x:c>
      <x:c r="K1394" s="35" t="str">
        <x:v>PASS</x:v>
      </x:c>
      <x:c r="L1394" s="35" t="str">
        <x:v>FAIL</x:v>
      </x:c>
      <x:c r="M1394" s="35" t="str">
        <x:v>numeric coverage for applicable metric</x:v>
      </x:c>
      <x:c r="N1394" s="35" t="str">
        <x:v>Deepseek-flash-v4/Result2/Jsoup_37/result.json</x:v>
      </x:c>
      <x:c r="O1394" s="39" t="n">
        <x:f>IF(AND(G1394="RECORDED",ISNUMBER(H1394)),H1394,"")</x:f>
        <x:v>78.83</x:v>
      </x:c>
      <x:c r="P1394" s="35" t="str">
        <x:v>INCONCLUSIVE</x:v>
      </x:c>
      <x:c r="Q1394" s="35" t="str">
        <x:v>Deepseek-flash-v4/Result2/Jsoup_37/result.json</x:v>
      </x:c>
    </x:row>
    <x:row r="1395">
      <x:c r="A1395" s="35" t="str">
        <x:v>deepseek</x:v>
      </x:c>
      <x:c r="B1395" s="35" t="str">
        <x:v>Jsoup</x:v>
      </x:c>
      <x:c r="C1395" s="35" t="str">
        <x:v>Round2</x:v>
      </x:c>
      <x:c r="D1395" s="35" t="str">
        <x:v>Jsoup_38</x:v>
      </x:c>
      <x:c r="E1395" s="35" t="str">
        <x:v>Line</x:v>
      </x:c>
      <x:c r="F1395" s="35"/>
      <x:c r="G1395" s="35" t="str">
        <x:v>A</x:v>
      </x:c>
      <x:c r="H1395" s="39" t="str">
        <x:f>IF(ISNUMBER('Data'!E1395),'Data'!E1395*100,"")</x:f>
      </x:c>
      <x:c r="I1395" s="35"/>
      <x:c r="J1395" s="35" t="str">
        <x:v>PASS</x:v>
      </x:c>
      <x:c r="K1395" s="35" t="str">
        <x:v>FAIL</x:v>
      </x:c>
      <x:c r="L1395" s="35" t="str">
        <x:v>NOT_RUN</x:v>
      </x:c>
      <x:c r="M1395" s="35" t="str">
        <x:v>coverage unavailable or execution/compile failed</x:v>
      </x:c>
      <x:c r="N1395" s="35" t="str">
        <x:v>Deepseek-flash-v4/Result2/Jsoup_38/result.json</x:v>
      </x:c>
      <x:c r="O1395" s="39" t="str">
        <x:f>IF(AND(G1395="RECORDED",ISNUMBER(H1395)),H1395,"")</x:f>
      </x:c>
      <x:c r="P1395" s="35" t="str">
        <x:v>NOT_AVAILABLE</x:v>
      </x:c>
      <x:c r="Q1395" s="35" t="str">
        <x:v>Deepseek-flash-v4/Result2/Jsoup_38/result.json</x:v>
      </x:c>
    </x:row>
    <x:row r="1396">
      <x:c r="A1396" s="35" t="str">
        <x:v>deepseek</x:v>
      </x:c>
      <x:c r="B1396" s="35" t="str">
        <x:v>Jsoup</x:v>
      </x:c>
      <x:c r="C1396" s="35" t="str">
        <x:v>Round2</x:v>
      </x:c>
      <x:c r="D1396" s="35" t="str">
        <x:v>Jsoup_39</x:v>
      </x:c>
      <x:c r="E1396" s="35" t="str">
        <x:v>Line</x:v>
      </x:c>
      <x:c r="F1396" s="35" t="n">
        <x:v>75</x:v>
      </x:c>
      <x:c r="G1396" s="35" t="str">
        <x:v>RECORDED</x:v>
      </x:c>
      <x:c r="H1396" s="39" t="n">
        <x:f>IF(ISNUMBER('Data'!E1396),'Data'!E1396*100,"")</x:f>
        <x:v>88</x:v>
      </x:c>
      <x:c r="I1396" s="35" t="str">
        <x:v>PASS</x:v>
      </x:c>
      <x:c r="J1396" s="35" t="str">
        <x:v>PASS</x:v>
      </x:c>
      <x:c r="K1396" s="35" t="str">
        <x:v>PASS</x:v>
      </x:c>
      <x:c r="L1396" s="35" t="str">
        <x:v>FAIL</x:v>
      </x:c>
      <x:c r="M1396" s="35" t="str">
        <x:v>numeric coverage for applicable metric</x:v>
      </x:c>
      <x:c r="N1396" s="35" t="str">
        <x:v>Deepseek-flash-v4/Result2/Jsoup_39/result.json</x:v>
      </x:c>
      <x:c r="O1396" s="39" t="n">
        <x:f>IF(AND(G1396="RECORDED",ISNUMBER(H1396)),H1396,"")</x:f>
        <x:v>88</x:v>
      </x:c>
      <x:c r="P1396" s="35" t="str">
        <x:v>INCONCLUSIVE</x:v>
      </x:c>
      <x:c r="Q1396" s="35" t="str">
        <x:v>Deepseek-flash-v4/Result2/Jsoup_39/result.json</x:v>
      </x:c>
    </x:row>
    <x:row r="1397">
      <x:c r="A1397" s="35" t="str">
        <x:v>deepseek</x:v>
      </x:c>
      <x:c r="B1397" s="35" t="str">
        <x:v>Jsoup</x:v>
      </x:c>
      <x:c r="C1397" s="35" t="str">
        <x:v>Round2</x:v>
      </x:c>
      <x:c r="D1397" s="35" t="str">
        <x:v>Jsoup_4</x:v>
      </x:c>
      <x:c r="E1397" s="35" t="str">
        <x:v>Line</x:v>
      </x:c>
      <x:c r="F1397" s="35"/>
      <x:c r="G1397" s="35" t="str">
        <x:v>A</x:v>
      </x:c>
      <x:c r="H1397" s="39" t="str">
        <x:f>IF(ISNUMBER('Data'!E1397),'Data'!E1397*100,"")</x:f>
      </x:c>
      <x:c r="I1397" s="35" t="str">
        <x:v>FAIL</x:v>
      </x:c>
      <x:c r="J1397" s="35" t="str">
        <x:v>PASS</x:v>
      </x:c>
      <x:c r="K1397" s="35" t="str">
        <x:v>PASS</x:v>
      </x:c>
      <x:c r="L1397" s="35" t="str">
        <x:v>PASS</x:v>
      </x:c>
      <x:c r="M1397" s="35" t="str">
        <x:v>coverage unavailable or execution/compile failed</x:v>
      </x:c>
      <x:c r="N1397" s="35" t="str">
        <x:v>Deepseek-flash-v4/Result2/Jsoup_4/result.json</x:v>
      </x:c>
      <x:c r="O1397" s="39" t="str">
        <x:f>IF(AND(G1397="RECORDED",ISNUMBER(H1397)),H1397,"")</x:f>
      </x:c>
      <x:c r="P1397" s="35" t="str">
        <x:v>NOT_AVAILABLE</x:v>
      </x:c>
      <x:c r="Q1397" s="35" t="str">
        <x:v>Deepseek-flash-v4/Result2/Jsoup_4/result.json</x:v>
      </x:c>
    </x:row>
    <x:row r="1398">
      <x:c r="A1398" s="35" t="str">
        <x:v>deepseek</x:v>
      </x:c>
      <x:c r="B1398" s="35" t="str">
        <x:v>Jsoup</x:v>
      </x:c>
      <x:c r="C1398" s="35" t="str">
        <x:v>Round2</x:v>
      </x:c>
      <x:c r="D1398" s="35" t="str">
        <x:v>Jsoup_40</x:v>
      </x:c>
      <x:c r="E1398" s="35" t="str">
        <x:v>Line</x:v>
      </x:c>
      <x:c r="F1398" s="35" t="n">
        <x:v>17</x:v>
      </x:c>
      <x:c r="G1398" s="35" t="str">
        <x:v>RECORDED</x:v>
      </x:c>
      <x:c r="H1398" s="39" t="n">
        <x:f>IF(ISNUMBER('Data'!E1398),'Data'!E1398*100,"")</x:f>
        <x:v>100</x:v>
      </x:c>
      <x:c r="I1398" s="35" t="str">
        <x:v>PASS</x:v>
      </x:c>
      <x:c r="J1398" s="35" t="str">
        <x:v>PASS</x:v>
      </x:c>
      <x:c r="K1398" s="35" t="str">
        <x:v>PASS</x:v>
      </x:c>
      <x:c r="L1398" s="35" t="str">
        <x:v>FAIL</x:v>
      </x:c>
      <x:c r="M1398" s="35" t="str">
        <x:v>numeric coverage for applicable metric</x:v>
      </x:c>
      <x:c r="N1398" s="35" t="str">
        <x:v>Deepseek-flash-v4/Result2/Jsoup_40/result.json</x:v>
      </x:c>
      <x:c r="O1398" s="39" t="n">
        <x:f>IF(AND(G1398="RECORDED",ISNUMBER(H1398)),H1398,"")</x:f>
        <x:v>100</x:v>
      </x:c>
      <x:c r="P1398" s="35" t="str">
        <x:v>INCONCLUSIVE</x:v>
      </x:c>
      <x:c r="Q1398" s="35" t="str">
        <x:v>Deepseek-flash-v4/Result2/Jsoup_40/result.json</x:v>
      </x:c>
    </x:row>
    <x:row r="1399">
      <x:c r="A1399" s="35" t="str">
        <x:v>deepseek</x:v>
      </x:c>
      <x:c r="B1399" s="35" t="str">
        <x:v>Jsoup</x:v>
      </x:c>
      <x:c r="C1399" s="35" t="str">
        <x:v>Round2</x:v>
      </x:c>
      <x:c r="D1399" s="35" t="str">
        <x:v>Jsoup_41</x:v>
      </x:c>
      <x:c r="E1399" s="35" t="str">
        <x:v>Line</x:v>
      </x:c>
      <x:c r="F1399" s="35" t="n">
        <x:v>326</x:v>
      </x:c>
      <x:c r="G1399" s="35" t="str">
        <x:v>RECORDED</x:v>
      </x:c>
      <x:c r="H1399" s="39" t="n">
        <x:f>IF(ISNUMBER('Data'!E1399),'Data'!E1399*100,"")</x:f>
        <x:v>77.61</x:v>
      </x:c>
      <x:c r="I1399" s="35" t="str">
        <x:v>PASS</x:v>
      </x:c>
      <x:c r="J1399" s="35" t="str">
        <x:v>PASS</x:v>
      </x:c>
      <x:c r="K1399" s="35" t="str">
        <x:v>PASS</x:v>
      </x:c>
      <x:c r="L1399" s="35" t="str">
        <x:v>FAIL</x:v>
      </x:c>
      <x:c r="M1399" s="35" t="str">
        <x:v>numeric coverage for applicable metric</x:v>
      </x:c>
      <x:c r="N1399" s="35" t="str">
        <x:v>Deepseek-flash-v4/Result2/Jsoup_41/result.json</x:v>
      </x:c>
      <x:c r="O1399" s="39" t="n">
        <x:f>IF(AND(G1399="RECORDED",ISNUMBER(H1399)),H1399,"")</x:f>
        <x:v>77.61</x:v>
      </x:c>
      <x:c r="P1399" s="35" t="str">
        <x:v>INCONCLUSIVE</x:v>
      </x:c>
      <x:c r="Q1399" s="35" t="str">
        <x:v>Deepseek-flash-v4/Result2/Jsoup_41/result.json</x:v>
      </x:c>
    </x:row>
    <x:row r="1400">
      <x:c r="A1400" s="35" t="str">
        <x:v>deepseek</x:v>
      </x:c>
      <x:c r="B1400" s="35" t="str">
        <x:v>Jsoup</x:v>
      </x:c>
      <x:c r="C1400" s="35" t="str">
        <x:v>Round2</x:v>
      </x:c>
      <x:c r="D1400" s="35" t="str">
        <x:v>Jsoup_42</x:v>
      </x:c>
      <x:c r="E1400" s="35" t="str">
        <x:v>Line</x:v>
      </x:c>
      <x:c r="F1400" s="35"/>
      <x:c r="G1400" s="35" t="str">
        <x:v>A</x:v>
      </x:c>
      <x:c r="H1400" s="39" t="str">
        <x:f>IF(ISNUMBER('Data'!E1400),'Data'!E1400*100,"")</x:f>
      </x:c>
      <x:c r="I1400" s="35"/>
      <x:c r="J1400" s="35" t="str">
        <x:v>PASS</x:v>
      </x:c>
      <x:c r="K1400" s="35" t="str">
        <x:v>FAIL</x:v>
      </x:c>
      <x:c r="L1400" s="35" t="str">
        <x:v>NOT_RUN</x:v>
      </x:c>
      <x:c r="M1400" s="35" t="str">
        <x:v>coverage unavailable or execution/compile failed</x:v>
      </x:c>
      <x:c r="N1400" s="35" t="str">
        <x:v>Deepseek-flash-v4/Result2/Jsoup_42/result.json</x:v>
      </x:c>
      <x:c r="O1400" s="39" t="str">
        <x:f>IF(AND(G1400="RECORDED",ISNUMBER(H1400)),H1400,"")</x:f>
      </x:c>
      <x:c r="P1400" s="35" t="str">
        <x:v>NOT_AVAILABLE</x:v>
      </x:c>
      <x:c r="Q1400" s="35" t="str">
        <x:v>Deepseek-flash-v4/Result2/Jsoup_42/result.json</x:v>
      </x:c>
    </x:row>
    <x:row r="1401">
      <x:c r="A1401" s="35" t="str">
        <x:v>deepseek</x:v>
      </x:c>
      <x:c r="B1401" s="35" t="str">
        <x:v>Jsoup</x:v>
      </x:c>
      <x:c r="C1401" s="35" t="str">
        <x:v>Round2</x:v>
      </x:c>
      <x:c r="D1401" s="35" t="str">
        <x:v>Jsoup_43</x:v>
      </x:c>
      <x:c r="E1401" s="35" t="str">
        <x:v>Line</x:v>
      </x:c>
      <x:c r="F1401" s="35"/>
      <x:c r="G1401" s="35" t="str">
        <x:v>A</x:v>
      </x:c>
      <x:c r="H1401" s="39" t="str">
        <x:f>IF(ISNUMBER('Data'!E1401),'Data'!E1401*100,"")</x:f>
      </x:c>
      <x:c r="I1401" s="35"/>
      <x:c r="J1401" s="35" t="str">
        <x:v>PASS</x:v>
      </x:c>
      <x:c r="K1401" s="35" t="str">
        <x:v>FAIL</x:v>
      </x:c>
      <x:c r="L1401" s="35" t="str">
        <x:v>NOT_RUN</x:v>
      </x:c>
      <x:c r="M1401" s="35" t="str">
        <x:v>coverage unavailable or execution/compile failed</x:v>
      </x:c>
      <x:c r="N1401" s="35" t="str">
        <x:v>Deepseek-flash-v4/Result2/Jsoup_43/result.json</x:v>
      </x:c>
      <x:c r="O1401" s="39" t="str">
        <x:f>IF(AND(G1401="RECORDED",ISNUMBER(H1401)),H1401,"")</x:f>
      </x:c>
      <x:c r="P1401" s="35" t="str">
        <x:v>NOT_AVAILABLE</x:v>
      </x:c>
      <x:c r="Q1401" s="35" t="str">
        <x:v>Deepseek-flash-v4/Result2/Jsoup_43/result.json</x:v>
      </x:c>
    </x:row>
    <x:row r="1402">
      <x:c r="A1402" s="35" t="str">
        <x:v>deepseek</x:v>
      </x:c>
      <x:c r="B1402" s="35" t="str">
        <x:v>Jsoup</x:v>
      </x:c>
      <x:c r="C1402" s="35" t="str">
        <x:v>Round2</x:v>
      </x:c>
      <x:c r="D1402" s="35" t="str">
        <x:v>Jsoup_44</x:v>
      </x:c>
      <x:c r="E1402" s="35" t="str">
        <x:v>Line</x:v>
      </x:c>
      <x:c r="F1402" s="35"/>
      <x:c r="G1402" s="35" t="str">
        <x:v>A</x:v>
      </x:c>
      <x:c r="H1402" s="39" t="str">
        <x:f>IF(ISNUMBER('Data'!E1402),'Data'!E1402*100,"")</x:f>
      </x:c>
      <x:c r="I1402" s="35"/>
      <x:c r="J1402" s="35" t="str">
        <x:v>PASS</x:v>
      </x:c>
      <x:c r="K1402" s="35" t="str">
        <x:v>FAIL</x:v>
      </x:c>
      <x:c r="L1402" s="35" t="str">
        <x:v>NOT_RUN</x:v>
      </x:c>
      <x:c r="M1402" s="35" t="str">
        <x:v>coverage unavailable or execution/compile failed</x:v>
      </x:c>
      <x:c r="N1402" s="35" t="str">
        <x:v>Deepseek-flash-v4/Result2/Jsoup_44/result.json</x:v>
      </x:c>
      <x:c r="O1402" s="39" t="str">
        <x:f>IF(AND(G1402="RECORDED",ISNUMBER(H1402)),H1402,"")</x:f>
      </x:c>
      <x:c r="P1402" s="35" t="str">
        <x:v>NOT_AVAILABLE</x:v>
      </x:c>
      <x:c r="Q1402" s="35" t="str">
        <x:v>Deepseek-flash-v4/Result2/Jsoup_44/result.json</x:v>
      </x:c>
    </x:row>
    <x:row r="1403">
      <x:c r="A1403" s="35" t="str">
        <x:v>deepseek</x:v>
      </x:c>
      <x:c r="B1403" s="35" t="str">
        <x:v>Jsoup</x:v>
      </x:c>
      <x:c r="C1403" s="35" t="str">
        <x:v>Round2</x:v>
      </x:c>
      <x:c r="D1403" s="35" t="str">
        <x:v>Jsoup_45</x:v>
      </x:c>
      <x:c r="E1403" s="35" t="str">
        <x:v>Line</x:v>
      </x:c>
      <x:c r="F1403" s="35"/>
      <x:c r="G1403" s="35" t="str">
        <x:v>A</x:v>
      </x:c>
      <x:c r="H1403" s="39" t="str">
        <x:f>IF(ISNUMBER('Data'!E1403),'Data'!E1403*100,"")</x:f>
      </x:c>
      <x:c r="I1403" s="35"/>
      <x:c r="J1403" s="35" t="str">
        <x:v>PASS</x:v>
      </x:c>
      <x:c r="K1403" s="35" t="str">
        <x:v>FAIL</x:v>
      </x:c>
      <x:c r="L1403" s="35" t="str">
        <x:v>NOT_RUN</x:v>
      </x:c>
      <x:c r="M1403" s="35" t="str">
        <x:v>coverage unavailable or execution/compile failed</x:v>
      </x:c>
      <x:c r="N1403" s="35" t="str">
        <x:v>Deepseek-flash-v4/Result2/Jsoup_45/result.json</x:v>
      </x:c>
      <x:c r="O1403" s="39" t="str">
        <x:f>IF(AND(G1403="RECORDED",ISNUMBER(H1403)),H1403,"")</x:f>
      </x:c>
      <x:c r="P1403" s="35" t="str">
        <x:v>NOT_AVAILABLE</x:v>
      </x:c>
      <x:c r="Q1403" s="35" t="str">
        <x:v>Deepseek-flash-v4/Result2/Jsoup_45/result.json</x:v>
      </x:c>
    </x:row>
    <x:row r="1404">
      <x:c r="A1404" s="35" t="str">
        <x:v>deepseek</x:v>
      </x:c>
      <x:c r="B1404" s="35" t="str">
        <x:v>Jsoup</x:v>
      </x:c>
      <x:c r="C1404" s="35" t="str">
        <x:v>Round2</x:v>
      </x:c>
      <x:c r="D1404" s="35" t="str">
        <x:v>Jsoup_46</x:v>
      </x:c>
      <x:c r="E1404" s="35" t="str">
        <x:v>Line</x:v>
      </x:c>
      <x:c r="F1404" s="35" t="n">
        <x:v>118</x:v>
      </x:c>
      <x:c r="G1404" s="35" t="str">
        <x:v>RECORDED</x:v>
      </x:c>
      <x:c r="H1404" s="39" t="n">
        <x:f>IF(ISNUMBER('Data'!E1404),'Data'!E1404*100,"")</x:f>
        <x:v>79.66</x:v>
      </x:c>
      <x:c r="I1404" s="35" t="str">
        <x:v>PASS</x:v>
      </x:c>
      <x:c r="J1404" s="35" t="str">
        <x:v>PASS</x:v>
      </x:c>
      <x:c r="K1404" s="35" t="str">
        <x:v>PASS</x:v>
      </x:c>
      <x:c r="L1404" s="35" t="str">
        <x:v>FAIL</x:v>
      </x:c>
      <x:c r="M1404" s="35" t="str">
        <x:v>numeric coverage for applicable metric</x:v>
      </x:c>
      <x:c r="N1404" s="35" t="str">
        <x:v>Deepseek-flash-v4/Result2/Jsoup_46/result.json</x:v>
      </x:c>
      <x:c r="O1404" s="39" t="n">
        <x:f>IF(AND(G1404="RECORDED",ISNUMBER(H1404)),H1404,"")</x:f>
        <x:v>79.66</x:v>
      </x:c>
      <x:c r="P1404" s="35" t="str">
        <x:v>INCONCLUSIVE</x:v>
      </x:c>
      <x:c r="Q1404" s="35" t="str">
        <x:v>Deepseek-flash-v4/Result2/Jsoup_46/result.json</x:v>
      </x:c>
    </x:row>
    <x:row r="1405">
      <x:c r="A1405" s="35" t="str">
        <x:v>deepseek</x:v>
      </x:c>
      <x:c r="B1405" s="35" t="str">
        <x:v>Jsoup</x:v>
      </x:c>
      <x:c r="C1405" s="35" t="str">
        <x:v>Round2</x:v>
      </x:c>
      <x:c r="D1405" s="35" t="str">
        <x:v>Jsoup_47</x:v>
      </x:c>
      <x:c r="E1405" s="35" t="str">
        <x:v>Line</x:v>
      </x:c>
      <x:c r="F1405" s="35" t="n">
        <x:v>118</x:v>
      </x:c>
      <x:c r="G1405" s="35" t="str">
        <x:v>RECORDED</x:v>
      </x:c>
      <x:c r="H1405" s="39" t="n">
        <x:f>IF(ISNUMBER('Data'!E1405),'Data'!E1405*100,"")</x:f>
        <x:v>96.61</x:v>
      </x:c>
      <x:c r="I1405" s="35" t="str">
        <x:v>PASS</x:v>
      </x:c>
      <x:c r="J1405" s="35" t="str">
        <x:v>PASS</x:v>
      </x:c>
      <x:c r="K1405" s="35" t="str">
        <x:v>PASS</x:v>
      </x:c>
      <x:c r="L1405" s="35" t="str">
        <x:v>PASS</x:v>
      </x:c>
      <x:c r="M1405" s="35" t="str">
        <x:v>numeric coverage for applicable metric</x:v>
      </x:c>
      <x:c r="N1405" s="35" t="str">
        <x:v>Deepseek-flash-v4/Result2/Jsoup_47/result.json</x:v>
      </x:c>
      <x:c r="O1405" s="39" t="n">
        <x:f>IF(AND(G1405="RECORDED",ISNUMBER(H1405)),H1405,"")</x:f>
        <x:v>96.61</x:v>
      </x:c>
      <x:c r="P1405" s="35" t="str">
        <x:v>NOT_REVEALING</x:v>
      </x:c>
      <x:c r="Q1405" s="35" t="str">
        <x:v>Deepseek-flash-v4/Result2/Jsoup_47/result.json</x:v>
      </x:c>
    </x:row>
    <x:row r="1406">
      <x:c r="A1406" s="35" t="str">
        <x:v>deepseek</x:v>
      </x:c>
      <x:c r="B1406" s="35" t="str">
        <x:v>Jsoup</x:v>
      </x:c>
      <x:c r="C1406" s="35" t="str">
        <x:v>Round2</x:v>
      </x:c>
      <x:c r="D1406" s="35" t="str">
        <x:v>Jsoup_48</x:v>
      </x:c>
      <x:c r="E1406" s="35" t="str">
        <x:v>Line</x:v>
      </x:c>
      <x:c r="F1406" s="35"/>
      <x:c r="G1406" s="35" t="str">
        <x:v>A</x:v>
      </x:c>
      <x:c r="H1406" s="39" t="str">
        <x:f>IF(ISNUMBER('Data'!E1406),'Data'!E1406*100,"")</x:f>
      </x:c>
      <x:c r="I1406" s="35"/>
      <x:c r="J1406" s="35" t="str">
        <x:v>PASS</x:v>
      </x:c>
      <x:c r="K1406" s="35" t="str">
        <x:v>FAIL</x:v>
      </x:c>
      <x:c r="L1406" s="35" t="str">
        <x:v>NOT_RUN</x:v>
      </x:c>
      <x:c r="M1406" s="35" t="str">
        <x:v>coverage unavailable or execution/compile failed</x:v>
      </x:c>
      <x:c r="N1406" s="35" t="str">
        <x:v>Deepseek-flash-v4/Result2/Jsoup_48/result.json</x:v>
      </x:c>
      <x:c r="O1406" s="39" t="str">
        <x:f>IF(AND(G1406="RECORDED",ISNUMBER(H1406)),H1406,"")</x:f>
      </x:c>
      <x:c r="P1406" s="35" t="str">
        <x:v>NOT_AVAILABLE</x:v>
      </x:c>
      <x:c r="Q1406" s="35" t="str">
        <x:v>Deepseek-flash-v4/Result2/Jsoup_48/result.json</x:v>
      </x:c>
    </x:row>
    <x:row r="1407">
      <x:c r="A1407" s="35" t="str">
        <x:v>deepseek</x:v>
      </x:c>
      <x:c r="B1407" s="35" t="str">
        <x:v>Jsoup</x:v>
      </x:c>
      <x:c r="C1407" s="35" t="str">
        <x:v>Round2</x:v>
      </x:c>
      <x:c r="D1407" s="35" t="str">
        <x:v>Jsoup_49</x:v>
      </x:c>
      <x:c r="E1407" s="35" t="str">
        <x:v>Line</x:v>
      </x:c>
      <x:c r="F1407" s="35"/>
      <x:c r="G1407" s="35" t="str">
        <x:v>A</x:v>
      </x:c>
      <x:c r="H1407" s="39" t="str">
        <x:f>IF(ISNUMBER('Data'!E1407),'Data'!E1407*100,"")</x:f>
      </x:c>
      <x:c r="I1407" s="35"/>
      <x:c r="J1407" s="35" t="str">
        <x:v>PASS</x:v>
      </x:c>
      <x:c r="K1407" s="35" t="str">
        <x:v>FAIL</x:v>
      </x:c>
      <x:c r="L1407" s="35" t="str">
        <x:v>NOT_RUN</x:v>
      </x:c>
      <x:c r="M1407" s="35" t="str">
        <x:v>coverage unavailable or execution/compile failed</x:v>
      </x:c>
      <x:c r="N1407" s="35" t="str">
        <x:v>Deepseek-flash-v4/Result2/Jsoup_49/result.json</x:v>
      </x:c>
      <x:c r="O1407" s="39" t="str">
        <x:f>IF(AND(G1407="RECORDED",ISNUMBER(H1407)),H1407,"")</x:f>
      </x:c>
      <x:c r="P1407" s="35" t="str">
        <x:v>NOT_AVAILABLE</x:v>
      </x:c>
      <x:c r="Q1407" s="35" t="str">
        <x:v>Deepseek-flash-v4/Result2/Jsoup_49/result.json</x:v>
      </x:c>
    </x:row>
    <x:row r="1408">
      <x:c r="A1408" s="35" t="str">
        <x:v>deepseek</x:v>
      </x:c>
      <x:c r="B1408" s="35" t="str">
        <x:v>Jsoup</x:v>
      </x:c>
      <x:c r="C1408" s="35" t="str">
        <x:v>Round2</x:v>
      </x:c>
      <x:c r="D1408" s="35" t="str">
        <x:v>Jsoup_5</x:v>
      </x:c>
      <x:c r="E1408" s="35" t="str">
        <x:v>Line</x:v>
      </x:c>
      <x:c r="F1408" s="35" t="n">
        <x:v>172</x:v>
      </x:c>
      <x:c r="G1408" s="35" t="str">
        <x:v>RECORDED</x:v>
      </x:c>
      <x:c r="H1408" s="39" t="n">
        <x:f>IF(ISNUMBER('Data'!E1408),'Data'!E1408*100,"")</x:f>
        <x:v>64.53</x:v>
      </x:c>
      <x:c r="I1408" s="35" t="str">
        <x:v>PASS</x:v>
      </x:c>
      <x:c r="J1408" s="35" t="str">
        <x:v>PASS</x:v>
      </x:c>
      <x:c r="K1408" s="35" t="str">
        <x:v>PASS</x:v>
      </x:c>
      <x:c r="L1408" s="35" t="str">
        <x:v>PASS</x:v>
      </x:c>
      <x:c r="M1408" s="35" t="str">
        <x:v>numeric coverage for applicable metric</x:v>
      </x:c>
      <x:c r="N1408" s="35" t="str">
        <x:v>Deepseek-flash-v4/Result2/Jsoup_5/result.json</x:v>
      </x:c>
      <x:c r="O1408" s="39" t="n">
        <x:f>IF(AND(G1408="RECORDED",ISNUMBER(H1408)),H1408,"")</x:f>
        <x:v>64.53</x:v>
      </x:c>
      <x:c r="P1408" s="35" t="str">
        <x:v>NOT_REVEALING</x:v>
      </x:c>
      <x:c r="Q1408" s="35" t="str">
        <x:v>Deepseek-flash-v4/Result2/Jsoup_5/result.json</x:v>
      </x:c>
    </x:row>
    <x:row r="1409">
      <x:c r="A1409" s="35" t="str">
        <x:v>deepseek</x:v>
      </x:c>
      <x:c r="B1409" s="35" t="str">
        <x:v>Jsoup</x:v>
      </x:c>
      <x:c r="C1409" s="35" t="str">
        <x:v>Round2</x:v>
      </x:c>
      <x:c r="D1409" s="35" t="str">
        <x:v>Jsoup_50</x:v>
      </x:c>
      <x:c r="E1409" s="35" t="str">
        <x:v>Line</x:v>
      </x:c>
      <x:c r="F1409" s="35" t="n">
        <x:v>90</x:v>
      </x:c>
      <x:c r="G1409" s="35" t="str">
        <x:v>RECORDED</x:v>
      </x:c>
      <x:c r="H1409" s="39" t="n">
        <x:f>IF(ISNUMBER('Data'!E1409),'Data'!E1409*100,"")</x:f>
        <x:v>96.67</x:v>
      </x:c>
      <x:c r="I1409" s="35" t="str">
        <x:v>PASS</x:v>
      </x:c>
      <x:c r="J1409" s="35" t="str">
        <x:v>PASS</x:v>
      </x:c>
      <x:c r="K1409" s="35" t="str">
        <x:v>PASS</x:v>
      </x:c>
      <x:c r="L1409" s="35" t="str">
        <x:v>FAIL</x:v>
      </x:c>
      <x:c r="M1409" s="35" t="str">
        <x:v>numeric coverage for applicable metric</x:v>
      </x:c>
      <x:c r="N1409" s="35" t="str">
        <x:v>Deepseek-flash-v4/Result2/Jsoup_50/result.json</x:v>
      </x:c>
      <x:c r="O1409" s="39" t="n">
        <x:f>IF(AND(G1409="RECORDED",ISNUMBER(H1409)),H1409,"")</x:f>
        <x:v>96.67</x:v>
      </x:c>
      <x:c r="P1409" s="35" t="str">
        <x:v>INCONCLUSIVE</x:v>
      </x:c>
      <x:c r="Q1409" s="35" t="str">
        <x:v>Deepseek-flash-v4/Result2/Jsoup_50/result.json</x:v>
      </x:c>
    </x:row>
    <x:row r="1410">
      <x:c r="A1410" s="35" t="str">
        <x:v>deepseek</x:v>
      </x:c>
      <x:c r="B1410" s="35" t="str">
        <x:v>Jsoup</x:v>
      </x:c>
      <x:c r="C1410" s="35" t="str">
        <x:v>Round2</x:v>
      </x:c>
      <x:c r="D1410" s="35" t="str">
        <x:v>Jsoup_51</x:v>
      </x:c>
      <x:c r="E1410" s="35" t="str">
        <x:v>Line</x:v>
      </x:c>
      <x:c r="F1410" s="35" t="n">
        <x:v>195</x:v>
      </x:c>
      <x:c r="G1410" s="35" t="str">
        <x:v>RECORDED</x:v>
      </x:c>
      <x:c r="H1410" s="39" t="n">
        <x:f>IF(ISNUMBER('Data'!E1410),'Data'!E1410*100,"")</x:f>
        <x:v>96.41</x:v>
      </x:c>
      <x:c r="I1410" s="35" t="str">
        <x:v>PASS</x:v>
      </x:c>
      <x:c r="J1410" s="35" t="str">
        <x:v>PASS</x:v>
      </x:c>
      <x:c r="K1410" s="35" t="str">
        <x:v>PASS</x:v>
      </x:c>
      <x:c r="L1410" s="35" t="str">
        <x:v>FAIL</x:v>
      </x:c>
      <x:c r="M1410" s="35" t="str">
        <x:v>numeric coverage for applicable metric</x:v>
      </x:c>
      <x:c r="N1410" s="35" t="str">
        <x:v>Deepseek-flash-v4/Result2/Jsoup_51/result.json</x:v>
      </x:c>
      <x:c r="O1410" s="39" t="n">
        <x:f>IF(AND(G1410="RECORDED",ISNUMBER(H1410)),H1410,"")</x:f>
        <x:v>96.41</x:v>
      </x:c>
      <x:c r="P1410" s="35" t="str">
        <x:v>INCONCLUSIVE</x:v>
      </x:c>
      <x:c r="Q1410" s="35" t="str">
        <x:v>Deepseek-flash-v4/Result2/Jsoup_51/result.json</x:v>
      </x:c>
    </x:row>
    <x:row r="1411">
      <x:c r="A1411" s="35" t="str">
        <x:v>deepseek</x:v>
      </x:c>
      <x:c r="B1411" s="35" t="str">
        <x:v>Jsoup</x:v>
      </x:c>
      <x:c r="C1411" s="35" t="str">
        <x:v>Round2</x:v>
      </x:c>
      <x:c r="D1411" s="35" t="str">
        <x:v>Jsoup_52</x:v>
      </x:c>
      <x:c r="E1411" s="35" t="str">
        <x:v>Line</x:v>
      </x:c>
      <x:c r="F1411" s="35"/>
      <x:c r="G1411" s="35" t="str">
        <x:v>A</x:v>
      </x:c>
      <x:c r="H1411" s="39" t="str">
        <x:f>IF(ISNUMBER('Data'!E1411),'Data'!E1411*100,"")</x:f>
      </x:c>
      <x:c r="I1411" s="35"/>
      <x:c r="J1411" s="35" t="str">
        <x:v>PASS</x:v>
      </x:c>
      <x:c r="K1411" s="35" t="str">
        <x:v>FAIL</x:v>
      </x:c>
      <x:c r="L1411" s="35" t="str">
        <x:v>NOT_RUN</x:v>
      </x:c>
      <x:c r="M1411" s="35" t="str">
        <x:v>coverage unavailable or execution/compile failed</x:v>
      </x:c>
      <x:c r="N1411" s="35" t="str">
        <x:v>Deepseek-flash-v4/Result2/Jsoup_52/result.json</x:v>
      </x:c>
      <x:c r="O1411" s="39" t="str">
        <x:f>IF(AND(G1411="RECORDED",ISNUMBER(H1411)),H1411,"")</x:f>
      </x:c>
      <x:c r="P1411" s="35" t="str">
        <x:v>NOT_AVAILABLE</x:v>
      </x:c>
      <x:c r="Q1411" s="35" t="str">
        <x:v>Deepseek-flash-v4/Result2/Jsoup_52/result.json</x:v>
      </x:c>
    </x:row>
    <x:row r="1412">
      <x:c r="A1412" s="35" t="str">
        <x:v>deepseek</x:v>
      </x:c>
      <x:c r="B1412" s="35" t="str">
        <x:v>Jsoup</x:v>
      </x:c>
      <x:c r="C1412" s="35" t="str">
        <x:v>Round2</x:v>
      </x:c>
      <x:c r="D1412" s="35" t="str">
        <x:v>Jsoup_53</x:v>
      </x:c>
      <x:c r="E1412" s="35" t="str">
        <x:v>Line</x:v>
      </x:c>
      <x:c r="F1412" s="35" t="n">
        <x:v>130</x:v>
      </x:c>
      <x:c r="G1412" s="35" t="str">
        <x:v>RECORDED</x:v>
      </x:c>
      <x:c r="H1412" s="39" t="n">
        <x:f>IF(ISNUMBER('Data'!E1412),'Data'!E1412*100,"")</x:f>
        <x:v>90</x:v>
      </x:c>
      <x:c r="I1412" s="35" t="str">
        <x:v>PASS</x:v>
      </x:c>
      <x:c r="J1412" s="35" t="str">
        <x:v>PASS</x:v>
      </x:c>
      <x:c r="K1412" s="35" t="str">
        <x:v>PASS</x:v>
      </x:c>
      <x:c r="L1412" s="35" t="str">
        <x:v>FAIL</x:v>
      </x:c>
      <x:c r="M1412" s="35" t="str">
        <x:v>numeric coverage for applicable metric</x:v>
      </x:c>
      <x:c r="N1412" s="35" t="str">
        <x:v>Deepseek-flash-v4/Result2/Jsoup_53/result.json</x:v>
      </x:c>
      <x:c r="O1412" s="39" t="n">
        <x:f>IF(AND(G1412="RECORDED",ISNUMBER(H1412)),H1412,"")</x:f>
        <x:v>90</x:v>
      </x:c>
      <x:c r="P1412" s="35" t="str">
        <x:v>INCONCLUSIVE</x:v>
      </x:c>
      <x:c r="Q1412" s="35" t="str">
        <x:v>Deepseek-flash-v4/Result2/Jsoup_53/result.json</x:v>
      </x:c>
    </x:row>
    <x:row r="1413">
      <x:c r="A1413" s="35" t="str">
        <x:v>deepseek</x:v>
      </x:c>
      <x:c r="B1413" s="35" t="str">
        <x:v>Jsoup</x:v>
      </x:c>
      <x:c r="C1413" s="35" t="str">
        <x:v>Round2</x:v>
      </x:c>
      <x:c r="D1413" s="35" t="str">
        <x:v>Jsoup_54</x:v>
      </x:c>
      <x:c r="E1413" s="35" t="str">
        <x:v>Line</x:v>
      </x:c>
      <x:c r="F1413" s="35"/>
      <x:c r="G1413" s="35" t="str">
        <x:v>A</x:v>
      </x:c>
      <x:c r="H1413" s="39" t="str">
        <x:f>IF(ISNUMBER('Data'!E1413),'Data'!E1413*100,"")</x:f>
      </x:c>
      <x:c r="I1413" s="35"/>
      <x:c r="J1413" s="35" t="str">
        <x:v>PASS</x:v>
      </x:c>
      <x:c r="K1413" s="35" t="str">
        <x:v>FAIL</x:v>
      </x:c>
      <x:c r="L1413" s="35" t="str">
        <x:v>NOT_RUN</x:v>
      </x:c>
      <x:c r="M1413" s="35" t="str">
        <x:v>coverage unavailable or execution/compile failed</x:v>
      </x:c>
      <x:c r="N1413" s="35" t="str">
        <x:v>Deepseek-flash-v4/Result2/Jsoup_54/result.json</x:v>
      </x:c>
      <x:c r="O1413" s="39" t="str">
        <x:f>IF(AND(G1413="RECORDED",ISNUMBER(H1413)),H1413,"")</x:f>
      </x:c>
      <x:c r="P1413" s="35" t="str">
        <x:v>NOT_AVAILABLE</x:v>
      </x:c>
      <x:c r="Q1413" s="35" t="str">
        <x:v>Deepseek-flash-v4/Result2/Jsoup_54/result.json</x:v>
      </x:c>
    </x:row>
    <x:row r="1414">
      <x:c r="A1414" s="35" t="str">
        <x:v>deepseek</x:v>
      </x:c>
      <x:c r="B1414" s="35" t="str">
        <x:v>Jsoup</x:v>
      </x:c>
      <x:c r="C1414" s="35" t="str">
        <x:v>Round2</x:v>
      </x:c>
      <x:c r="D1414" s="35" t="str">
        <x:v>Jsoup_55</x:v>
      </x:c>
      <x:c r="E1414" s="35" t="str">
        <x:v>Line</x:v>
      </x:c>
      <x:c r="F1414" s="35"/>
      <x:c r="G1414" s="35" t="str">
        <x:v>A</x:v>
      </x:c>
      <x:c r="H1414" s="39" t="str">
        <x:f>IF(ISNUMBER('Data'!E1414),'Data'!E1414*100,"")</x:f>
      </x:c>
      <x:c r="I1414" s="35"/>
      <x:c r="J1414" s="35" t="str">
        <x:v>PASS</x:v>
      </x:c>
      <x:c r="K1414" s="35" t="str">
        <x:v>FAIL</x:v>
      </x:c>
      <x:c r="L1414" s="35" t="str">
        <x:v>NOT_RUN</x:v>
      </x:c>
      <x:c r="M1414" s="35" t="str">
        <x:v>coverage unavailable or execution/compile failed</x:v>
      </x:c>
      <x:c r="N1414" s="35" t="str">
        <x:v>Deepseek-flash-v4/Result2/Jsoup_55/result.json</x:v>
      </x:c>
      <x:c r="O1414" s="39" t="str">
        <x:f>IF(AND(G1414="RECORDED",ISNUMBER(H1414)),H1414,"")</x:f>
      </x:c>
      <x:c r="P1414" s="35" t="str">
        <x:v>NOT_AVAILABLE</x:v>
      </x:c>
      <x:c r="Q1414" s="35" t="str">
        <x:v>Deepseek-flash-v4/Result2/Jsoup_55/result.json</x:v>
      </x:c>
    </x:row>
    <x:row r="1415">
      <x:c r="A1415" s="35" t="str">
        <x:v>deepseek</x:v>
      </x:c>
      <x:c r="B1415" s="35" t="str">
        <x:v>Jsoup</x:v>
      </x:c>
      <x:c r="C1415" s="35" t="str">
        <x:v>Round2</x:v>
      </x:c>
      <x:c r="D1415" s="35" t="str">
        <x:v>Jsoup_56</x:v>
      </x:c>
      <x:c r="E1415" s="35" t="str">
        <x:v>Line</x:v>
      </x:c>
      <x:c r="F1415" s="35"/>
      <x:c r="G1415" s="35" t="str">
        <x:v>A</x:v>
      </x:c>
      <x:c r="H1415" s="39" t="str">
        <x:f>IF(ISNUMBER('Data'!E1415),'Data'!E1415*100,"")</x:f>
      </x:c>
      <x:c r="I1415" s="35"/>
      <x:c r="J1415" s="35" t="str">
        <x:v>PASS</x:v>
      </x:c>
      <x:c r="K1415" s="35" t="str">
        <x:v>FAIL</x:v>
      </x:c>
      <x:c r="L1415" s="35" t="str">
        <x:v>NOT_RUN</x:v>
      </x:c>
      <x:c r="M1415" s="35" t="str">
        <x:v>coverage unavailable or execution/compile failed</x:v>
      </x:c>
      <x:c r="N1415" s="35" t="str">
        <x:v>Deepseek-flash-v4/Result2/Jsoup_56/result.json</x:v>
      </x:c>
      <x:c r="O1415" s="39" t="str">
        <x:f>IF(AND(G1415="RECORDED",ISNUMBER(H1415)),H1415,"")</x:f>
      </x:c>
      <x:c r="P1415" s="35" t="str">
        <x:v>NOT_AVAILABLE</x:v>
      </x:c>
      <x:c r="Q1415" s="35" t="str">
        <x:v>Deepseek-flash-v4/Result2/Jsoup_56/result.json</x:v>
      </x:c>
    </x:row>
    <x:row r="1416">
      <x:c r="A1416" s="35" t="str">
        <x:v>deepseek</x:v>
      </x:c>
      <x:c r="B1416" s="35" t="str">
        <x:v>Jsoup</x:v>
      </x:c>
      <x:c r="C1416" s="35" t="str">
        <x:v>Round2</x:v>
      </x:c>
      <x:c r="D1416" s="35" t="str">
        <x:v>Jsoup_57</x:v>
      </x:c>
      <x:c r="E1416" s="35" t="str">
        <x:v>Line</x:v>
      </x:c>
      <x:c r="F1416" s="35" t="n">
        <x:v>127</x:v>
      </x:c>
      <x:c r="G1416" s="35" t="str">
        <x:v>RECORDED</x:v>
      </x:c>
      <x:c r="H1416" s="39" t="n">
        <x:f>IF(ISNUMBER('Data'!E1416),'Data'!E1416*100,"")</x:f>
        <x:v>94.49</x:v>
      </x:c>
      <x:c r="I1416" s="35" t="str">
        <x:v>PASS</x:v>
      </x:c>
      <x:c r="J1416" s="35" t="str">
        <x:v>PASS</x:v>
      </x:c>
      <x:c r="K1416" s="35" t="str">
        <x:v>PASS</x:v>
      </x:c>
      <x:c r="L1416" s="35" t="str">
        <x:v>PASS</x:v>
      </x:c>
      <x:c r="M1416" s="35" t="str">
        <x:v>numeric coverage for applicable metric</x:v>
      </x:c>
      <x:c r="N1416" s="35" t="str">
        <x:v>Deepseek-flash-v4/Result2/Jsoup_57/result.json</x:v>
      </x:c>
      <x:c r="O1416" s="39" t="n">
        <x:f>IF(AND(G1416="RECORDED",ISNUMBER(H1416)),H1416,"")</x:f>
        <x:v>94.49</x:v>
      </x:c>
      <x:c r="P1416" s="35" t="str">
        <x:v>NOT_REVEALING</x:v>
      </x:c>
      <x:c r="Q1416" s="35" t="str">
        <x:v>Deepseek-flash-v4/Result2/Jsoup_57/result.json</x:v>
      </x:c>
    </x:row>
    <x:row r="1417">
      <x:c r="A1417" s="35" t="str">
        <x:v>deepseek</x:v>
      </x:c>
      <x:c r="B1417" s="35" t="str">
        <x:v>Jsoup</x:v>
      </x:c>
      <x:c r="C1417" s="35" t="str">
        <x:v>Round2</x:v>
      </x:c>
      <x:c r="D1417" s="35" t="str">
        <x:v>Jsoup_58</x:v>
      </x:c>
      <x:c r="E1417" s="35" t="str">
        <x:v>Line</x:v>
      </x:c>
      <x:c r="F1417" s="35" t="n">
        <x:v>127</x:v>
      </x:c>
      <x:c r="G1417" s="35" t="str">
        <x:v>RECORDED</x:v>
      </x:c>
      <x:c r="H1417" s="39" t="n">
        <x:f>IF(ISNUMBER('Data'!E1417),'Data'!E1417*100,"")</x:f>
        <x:v>96.85</x:v>
      </x:c>
      <x:c r="I1417" s="35" t="str">
        <x:v>PASS</x:v>
      </x:c>
      <x:c r="J1417" s="35" t="str">
        <x:v>PASS</x:v>
      </x:c>
      <x:c r="K1417" s="35" t="str">
        <x:v>PASS</x:v>
      </x:c>
      <x:c r="L1417" s="35" t="str">
        <x:v>FAIL</x:v>
      </x:c>
      <x:c r="M1417" s="35" t="str">
        <x:v>numeric coverage for applicable metric</x:v>
      </x:c>
      <x:c r="N1417" s="35" t="str">
        <x:v>Deepseek-flash-v4/Result2/Jsoup_58/result.json</x:v>
      </x:c>
      <x:c r="O1417" s="39" t="n">
        <x:f>IF(AND(G1417="RECORDED",ISNUMBER(H1417)),H1417,"")</x:f>
        <x:v>96.85</x:v>
      </x:c>
      <x:c r="P1417" s="35" t="str">
        <x:v>INCONCLUSIVE</x:v>
      </x:c>
      <x:c r="Q1417" s="35" t="str">
        <x:v>Deepseek-flash-v4/Result2/Jsoup_58/result.json</x:v>
      </x:c>
    </x:row>
    <x:row r="1418">
      <x:c r="A1418" s="35" t="str">
        <x:v>deepseek</x:v>
      </x:c>
      <x:c r="B1418" s="35" t="str">
        <x:v>Jsoup</x:v>
      </x:c>
      <x:c r="C1418" s="35" t="str">
        <x:v>Round2</x:v>
      </x:c>
      <x:c r="D1418" s="35" t="str">
        <x:v>Jsoup_59</x:v>
      </x:c>
      <x:c r="E1418" s="35" t="str">
        <x:v>Line</x:v>
      </x:c>
      <x:c r="F1418" s="35" t="n">
        <x:v>160</x:v>
      </x:c>
      <x:c r="G1418" s="35" t="str">
        <x:v>RECORDED</x:v>
      </x:c>
      <x:c r="H1418" s="39" t="n">
        <x:f>IF(ISNUMBER('Data'!E1418),'Data'!E1418*100,"")</x:f>
        <x:v>98.75</x:v>
      </x:c>
      <x:c r="I1418" s="35" t="str">
        <x:v>PASS</x:v>
      </x:c>
      <x:c r="J1418" s="35" t="str">
        <x:v>PASS</x:v>
      </x:c>
      <x:c r="K1418" s="35" t="str">
        <x:v>PASS</x:v>
      </x:c>
      <x:c r="L1418" s="35" t="str">
        <x:v>PASS</x:v>
      </x:c>
      <x:c r="M1418" s="35" t="str">
        <x:v>numeric coverage for applicable metric</x:v>
      </x:c>
      <x:c r="N1418" s="35" t="str">
        <x:v>Deepseek-flash-v4/Result2/Jsoup_59/result.json</x:v>
      </x:c>
      <x:c r="O1418" s="39" t="n">
        <x:f>IF(AND(G1418="RECORDED",ISNUMBER(H1418)),H1418,"")</x:f>
        <x:v>98.75</x:v>
      </x:c>
      <x:c r="P1418" s="35" t="str">
        <x:v>NOT_REVEALING</x:v>
      </x:c>
      <x:c r="Q1418" s="35" t="str">
        <x:v>Deepseek-flash-v4/Result2/Jsoup_59/result.json</x:v>
      </x:c>
    </x:row>
    <x:row r="1419">
      <x:c r="A1419" s="35" t="str">
        <x:v>deepseek</x:v>
      </x:c>
      <x:c r="B1419" s="35" t="str">
        <x:v>Jsoup</x:v>
      </x:c>
      <x:c r="C1419" s="35" t="str">
        <x:v>Round2</x:v>
      </x:c>
      <x:c r="D1419" s="35" t="str">
        <x:v>Jsoup_6</x:v>
      </x:c>
      <x:c r="E1419" s="35" t="str">
        <x:v>Line</x:v>
      </x:c>
      <x:c r="F1419" s="35"/>
      <x:c r="G1419" s="35" t="str">
        <x:v>A</x:v>
      </x:c>
      <x:c r="H1419" s="39" t="str">
        <x:f>IF(ISNUMBER('Data'!E1419),'Data'!E1419*100,"")</x:f>
      </x:c>
      <x:c r="I1419" s="35" t="str">
        <x:v>FAIL</x:v>
      </x:c>
      <x:c r="J1419" s="35" t="str">
        <x:v>PASS</x:v>
      </x:c>
      <x:c r="K1419" s="35" t="str">
        <x:v>PASS</x:v>
      </x:c>
      <x:c r="L1419" s="35" t="str">
        <x:v>PASS</x:v>
      </x:c>
      <x:c r="M1419" s="35" t="str">
        <x:v>coverage unavailable or execution/compile failed</x:v>
      </x:c>
      <x:c r="N1419" s="35" t="str">
        <x:v>Deepseek-flash-v4/Result2/Jsoup_6/result.json</x:v>
      </x:c>
      <x:c r="O1419" s="39" t="str">
        <x:f>IF(AND(G1419="RECORDED",ISNUMBER(H1419)),H1419,"")</x:f>
      </x:c>
      <x:c r="P1419" s="35" t="str">
        <x:v>NOT_AVAILABLE</x:v>
      </x:c>
      <x:c r="Q1419" s="35" t="str">
        <x:v>Deepseek-flash-v4/Result2/Jsoup_6/result.json</x:v>
      </x:c>
    </x:row>
    <x:row r="1420">
      <x:c r="A1420" s="35" t="str">
        <x:v>deepseek</x:v>
      </x:c>
      <x:c r="B1420" s="35" t="str">
        <x:v>Jsoup</x:v>
      </x:c>
      <x:c r="C1420" s="35" t="str">
        <x:v>Round2</x:v>
      </x:c>
      <x:c r="D1420" s="35" t="str">
        <x:v>Jsoup_60</x:v>
      </x:c>
      <x:c r="E1420" s="35" t="str">
        <x:v>Line</x:v>
      </x:c>
      <x:c r="F1420" s="35" t="n">
        <x:v>365</x:v>
      </x:c>
      <x:c r="G1420" s="35" t="str">
        <x:v>RECORDED</x:v>
      </x:c>
      <x:c r="H1420" s="39" t="n">
        <x:f>IF(ISNUMBER('Data'!E1420),'Data'!E1420*100,"")</x:f>
        <x:v>76.16</x:v>
      </x:c>
      <x:c r="I1420" s="35" t="str">
        <x:v>PASS</x:v>
      </x:c>
      <x:c r="J1420" s="35" t="str">
        <x:v>PASS</x:v>
      </x:c>
      <x:c r="K1420" s="35" t="str">
        <x:v>PASS</x:v>
      </x:c>
      <x:c r="L1420" s="35" t="str">
        <x:v>FAIL</x:v>
      </x:c>
      <x:c r="M1420" s="35" t="str">
        <x:v>numeric coverage for applicable metric</x:v>
      </x:c>
      <x:c r="N1420" s="35" t="str">
        <x:v>Deepseek-flash-v4/Result2/Jsoup_60/result.json</x:v>
      </x:c>
      <x:c r="O1420" s="39" t="n">
        <x:f>IF(AND(G1420="RECORDED",ISNUMBER(H1420)),H1420,"")</x:f>
        <x:v>76.16</x:v>
      </x:c>
      <x:c r="P1420" s="35" t="str">
        <x:v>INCONCLUSIVE</x:v>
      </x:c>
      <x:c r="Q1420" s="35" t="str">
        <x:v>Deepseek-flash-v4/Result2/Jsoup_60/result.json</x:v>
      </x:c>
    </x:row>
    <x:row r="1421">
      <x:c r="A1421" s="35" t="str">
        <x:v>deepseek</x:v>
      </x:c>
      <x:c r="B1421" s="35" t="str">
        <x:v>Jsoup</x:v>
      </x:c>
      <x:c r="C1421" s="35" t="str">
        <x:v>Round2</x:v>
      </x:c>
      <x:c r="D1421" s="35" t="str">
        <x:v>Jsoup_61</x:v>
      </x:c>
      <x:c r="E1421" s="35" t="str">
        <x:v>Line</x:v>
      </x:c>
      <x:c r="F1421" s="35"/>
      <x:c r="G1421" s="35" t="str">
        <x:v>A</x:v>
      </x:c>
      <x:c r="H1421" s="39" t="str">
        <x:f>IF(ISNUMBER('Data'!E1421),'Data'!E1421*100,"")</x:f>
      </x:c>
      <x:c r="I1421" s="35"/>
      <x:c r="J1421" s="35" t="str">
        <x:v>PASS</x:v>
      </x:c>
      <x:c r="K1421" s="35" t="str">
        <x:v>FAIL</x:v>
      </x:c>
      <x:c r="L1421" s="35" t="str">
        <x:v>NOT_RUN</x:v>
      </x:c>
      <x:c r="M1421" s="35" t="str">
        <x:v>coverage unavailable or execution/compile failed</x:v>
      </x:c>
      <x:c r="N1421" s="35" t="str">
        <x:v>Deepseek-flash-v4/Result2/Jsoup_61/result.json</x:v>
      </x:c>
      <x:c r="O1421" s="39" t="str">
        <x:f>IF(AND(G1421="RECORDED",ISNUMBER(H1421)),H1421,"")</x:f>
      </x:c>
      <x:c r="P1421" s="35" t="str">
        <x:v>NOT_AVAILABLE</x:v>
      </x:c>
      <x:c r="Q1421" s="35" t="str">
        <x:v>Deepseek-flash-v4/Result2/Jsoup_61/result.json</x:v>
      </x:c>
    </x:row>
    <x:row r="1422">
      <x:c r="A1422" s="35" t="str">
        <x:v>deepseek</x:v>
      </x:c>
      <x:c r="B1422" s="35" t="str">
        <x:v>Jsoup</x:v>
      </x:c>
      <x:c r="C1422" s="35" t="str">
        <x:v>Round2</x:v>
      </x:c>
      <x:c r="D1422" s="35" t="str">
        <x:v>Jsoup_62</x:v>
      </x:c>
      <x:c r="E1422" s="35" t="str">
        <x:v>Line</x:v>
      </x:c>
      <x:c r="F1422" s="35"/>
      <x:c r="G1422" s="35" t="str">
        <x:v>A</x:v>
      </x:c>
      <x:c r="H1422" s="39" t="str">
        <x:f>IF(ISNUMBER('Data'!E1422),'Data'!E1422*100,"")</x:f>
      </x:c>
      <x:c r="I1422" s="35"/>
      <x:c r="J1422" s="35" t="str">
        <x:v>PASS</x:v>
      </x:c>
      <x:c r="K1422" s="35" t="str">
        <x:v>FAIL</x:v>
      </x:c>
      <x:c r="L1422" s="35" t="str">
        <x:v>NOT_RUN</x:v>
      </x:c>
      <x:c r="M1422" s="35" t="str">
        <x:v>coverage unavailable or execution/compile failed</x:v>
      </x:c>
      <x:c r="N1422" s="35" t="str">
        <x:v>Deepseek-flash-v4/Result2/Jsoup_62/result.json</x:v>
      </x:c>
      <x:c r="O1422" s="39" t="str">
        <x:f>IF(AND(G1422="RECORDED",ISNUMBER(H1422)),H1422,"")</x:f>
      </x:c>
      <x:c r="P1422" s="35" t="str">
        <x:v>NOT_AVAILABLE</x:v>
      </x:c>
      <x:c r="Q1422" s="35" t="str">
        <x:v>Deepseek-flash-v4/Result2/Jsoup_62/result.json</x:v>
      </x:c>
    </x:row>
    <x:row r="1423">
      <x:c r="A1423" s="35" t="str">
        <x:v>deepseek</x:v>
      </x:c>
      <x:c r="B1423" s="35" t="str">
        <x:v>Jsoup</x:v>
      </x:c>
      <x:c r="C1423" s="35" t="str">
        <x:v>Round2</x:v>
      </x:c>
      <x:c r="D1423" s="35" t="str">
        <x:v>Jsoup_63</x:v>
      </x:c>
      <x:c r="E1423" s="35" t="str">
        <x:v>Line</x:v>
      </x:c>
      <x:c r="F1423" s="35"/>
      <x:c r="G1423" s="35" t="str">
        <x:v>A</x:v>
      </x:c>
      <x:c r="H1423" s="39" t="str">
        <x:f>IF(ISNUMBER('Data'!E1423),'Data'!E1423*100,"")</x:f>
      </x:c>
      <x:c r="I1423" s="35"/>
      <x:c r="J1423" s="35" t="str">
        <x:v>PASS</x:v>
      </x:c>
      <x:c r="K1423" s="35" t="str">
        <x:v>FAIL</x:v>
      </x:c>
      <x:c r="L1423" s="35" t="str">
        <x:v>NOT_RUN</x:v>
      </x:c>
      <x:c r="M1423" s="35" t="str">
        <x:v>coverage unavailable or execution/compile failed</x:v>
      </x:c>
      <x:c r="N1423" s="35" t="str">
        <x:v>Deepseek-flash-v4/Result2/Jsoup_63/result.json</x:v>
      </x:c>
      <x:c r="O1423" s="39" t="str">
        <x:f>IF(AND(G1423="RECORDED",ISNUMBER(H1423)),H1423,"")</x:f>
      </x:c>
      <x:c r="P1423" s="35" t="str">
        <x:v>NOT_AVAILABLE</x:v>
      </x:c>
      <x:c r="Q1423" s="35" t="str">
        <x:v>Deepseek-flash-v4/Result2/Jsoup_63/result.json</x:v>
      </x:c>
    </x:row>
    <x:row r="1424">
      <x:c r="A1424" s="35" t="str">
        <x:v>deepseek</x:v>
      </x:c>
      <x:c r="B1424" s="35" t="str">
        <x:v>Jsoup</x:v>
      </x:c>
      <x:c r="C1424" s="35" t="str">
        <x:v>Round2</x:v>
      </x:c>
      <x:c r="D1424" s="35" t="str">
        <x:v>Jsoup_64</x:v>
      </x:c>
      <x:c r="E1424" s="35" t="str">
        <x:v>Line</x:v>
      </x:c>
      <x:c r="F1424" s="35"/>
      <x:c r="G1424" s="35" t="str">
        <x:v>A</x:v>
      </x:c>
      <x:c r="H1424" s="39" t="str">
        <x:f>IF(ISNUMBER('Data'!E1424),'Data'!E1424*100,"")</x:f>
      </x:c>
      <x:c r="I1424" s="35"/>
      <x:c r="J1424" s="35" t="str">
        <x:v>PASS</x:v>
      </x:c>
      <x:c r="K1424" s="35" t="str">
        <x:v>FAIL</x:v>
      </x:c>
      <x:c r="L1424" s="35" t="str">
        <x:v>NOT_RUN</x:v>
      </x:c>
      <x:c r="M1424" s="35" t="str">
        <x:v>coverage unavailable or execution/compile failed</x:v>
      </x:c>
      <x:c r="N1424" s="35" t="str">
        <x:v>Deepseek-flash-v4/Result2/Jsoup_64/result.json</x:v>
      </x:c>
      <x:c r="O1424" s="39" t="str">
        <x:f>IF(AND(G1424="RECORDED",ISNUMBER(H1424)),H1424,"")</x:f>
      </x:c>
      <x:c r="P1424" s="35" t="str">
        <x:v>NOT_AVAILABLE</x:v>
      </x:c>
      <x:c r="Q1424" s="35" t="str">
        <x:v>Deepseek-flash-v4/Result2/Jsoup_64/result.json</x:v>
      </x:c>
    </x:row>
    <x:row r="1425">
      <x:c r="A1425" s="35" t="str">
        <x:v>deepseek</x:v>
      </x:c>
      <x:c r="B1425" s="35" t="str">
        <x:v>Jsoup</x:v>
      </x:c>
      <x:c r="C1425" s="35" t="str">
        <x:v>Round2</x:v>
      </x:c>
      <x:c r="D1425" s="35" t="str">
        <x:v>Jsoup_65</x:v>
      </x:c>
      <x:c r="E1425" s="35" t="str">
        <x:v>Line</x:v>
      </x:c>
      <x:c r="F1425" s="35"/>
      <x:c r="G1425" s="35" t="str">
        <x:v>A</x:v>
      </x:c>
      <x:c r="H1425" s="39" t="str">
        <x:f>IF(ISNUMBER('Data'!E1425),'Data'!E1425*100,"")</x:f>
      </x:c>
      <x:c r="I1425" s="35"/>
      <x:c r="J1425" s="35" t="str">
        <x:v>PASS</x:v>
      </x:c>
      <x:c r="K1425" s="35" t="str">
        <x:v>FAIL</x:v>
      </x:c>
      <x:c r="L1425" s="35" t="str">
        <x:v>NOT_RUN</x:v>
      </x:c>
      <x:c r="M1425" s="35" t="str">
        <x:v>coverage unavailable or execution/compile failed</x:v>
      </x:c>
      <x:c r="N1425" s="35" t="str">
        <x:v>Deepseek-flash-v4/Result2/Jsoup_65/result.json</x:v>
      </x:c>
      <x:c r="O1425" s="39" t="str">
        <x:f>IF(AND(G1425="RECORDED",ISNUMBER(H1425)),H1425,"")</x:f>
      </x:c>
      <x:c r="P1425" s="35" t="str">
        <x:v>NOT_AVAILABLE</x:v>
      </x:c>
      <x:c r="Q1425" s="35" t="str">
        <x:v>Deepseek-flash-v4/Result2/Jsoup_65/result.json</x:v>
      </x:c>
    </x:row>
    <x:row r="1426">
      <x:c r="A1426" s="35" t="str">
        <x:v>deepseek</x:v>
      </x:c>
      <x:c r="B1426" s="35" t="str">
        <x:v>Jsoup</x:v>
      </x:c>
      <x:c r="C1426" s="35" t="str">
        <x:v>Round2</x:v>
      </x:c>
      <x:c r="D1426" s="35" t="str">
        <x:v>Jsoup_66</x:v>
      </x:c>
      <x:c r="E1426" s="35" t="str">
        <x:v>Line</x:v>
      </x:c>
      <x:c r="F1426" s="35"/>
      <x:c r="G1426" s="35" t="str">
        <x:v>A</x:v>
      </x:c>
      <x:c r="H1426" s="39" t="str">
        <x:f>IF(ISNUMBER('Data'!E1426),'Data'!E1426*100,"")</x:f>
      </x:c>
      <x:c r="I1426" s="35"/>
      <x:c r="J1426" s="35" t="str">
        <x:v>PASS</x:v>
      </x:c>
      <x:c r="K1426" s="35" t="str">
        <x:v>FAIL</x:v>
      </x:c>
      <x:c r="L1426" s="35" t="str">
        <x:v>NOT_RUN</x:v>
      </x:c>
      <x:c r="M1426" s="35" t="str">
        <x:v>coverage unavailable or execution/compile failed</x:v>
      </x:c>
      <x:c r="N1426" s="35" t="str">
        <x:v>Deepseek-flash-v4/Result2/Jsoup_66/result.json</x:v>
      </x:c>
      <x:c r="O1426" s="39" t="str">
        <x:f>IF(AND(G1426="RECORDED",ISNUMBER(H1426)),H1426,"")</x:f>
      </x:c>
      <x:c r="P1426" s="35" t="str">
        <x:v>NOT_AVAILABLE</x:v>
      </x:c>
      <x:c r="Q1426" s="35" t="str">
        <x:v>Deepseek-flash-v4/Result2/Jsoup_66/result.json</x:v>
      </x:c>
    </x:row>
    <x:row r="1427">
      <x:c r="A1427" s="35" t="str">
        <x:v>deepseek</x:v>
      </x:c>
      <x:c r="B1427" s="35" t="str">
        <x:v>Jsoup</x:v>
      </x:c>
      <x:c r="C1427" s="35" t="str">
        <x:v>Round2</x:v>
      </x:c>
      <x:c r="D1427" s="35" t="str">
        <x:v>Jsoup_67</x:v>
      </x:c>
      <x:c r="E1427" s="35" t="str">
        <x:v>Line</x:v>
      </x:c>
      <x:c r="F1427" s="35" t="n">
        <x:v>381</x:v>
      </x:c>
      <x:c r="G1427" s="35" t="str">
        <x:v>RECORDED</x:v>
      </x:c>
      <x:c r="H1427" s="39" t="n">
        <x:f>IF(ISNUMBER('Data'!E1427),'Data'!E1427*100,"")</x:f>
        <x:v>76.9</x:v>
      </x:c>
      <x:c r="I1427" s="35" t="str">
        <x:v>PASS</x:v>
      </x:c>
      <x:c r="J1427" s="35" t="str">
        <x:v>PASS</x:v>
      </x:c>
      <x:c r="K1427" s="35" t="str">
        <x:v>PASS</x:v>
      </x:c>
      <x:c r="L1427" s="35" t="str">
        <x:v>FAIL</x:v>
      </x:c>
      <x:c r="M1427" s="35" t="str">
        <x:v>numeric coverage for applicable metric</x:v>
      </x:c>
      <x:c r="N1427" s="35" t="str">
        <x:v>Deepseek-flash-v4/Result2/Jsoup_67/result.json</x:v>
      </x:c>
      <x:c r="O1427" s="39" t="n">
        <x:f>IF(AND(G1427="RECORDED",ISNUMBER(H1427)),H1427,"")</x:f>
        <x:v>76.9</x:v>
      </x:c>
      <x:c r="P1427" s="35" t="str">
        <x:v>INCONCLUSIVE</x:v>
      </x:c>
      <x:c r="Q1427" s="35" t="str">
        <x:v>Deepseek-flash-v4/Result2/Jsoup_67/result.json</x:v>
      </x:c>
    </x:row>
    <x:row r="1428">
      <x:c r="A1428" s="35" t="str">
        <x:v>deepseek</x:v>
      </x:c>
      <x:c r="B1428" s="35" t="str">
        <x:v>Jsoup</x:v>
      </x:c>
      <x:c r="C1428" s="35" t="str">
        <x:v>Round2</x:v>
      </x:c>
      <x:c r="D1428" s="35" t="str">
        <x:v>Jsoup_68</x:v>
      </x:c>
      <x:c r="E1428" s="35" t="str">
        <x:v>Line</x:v>
      </x:c>
      <x:c r="F1428" s="35"/>
      <x:c r="G1428" s="35" t="str">
        <x:v>A</x:v>
      </x:c>
      <x:c r="H1428" s="39" t="str">
        <x:f>IF(ISNUMBER('Data'!E1428),'Data'!E1428*100,"")</x:f>
      </x:c>
      <x:c r="I1428" s="35"/>
      <x:c r="J1428" s="35" t="str">
        <x:v>PASS</x:v>
      </x:c>
      <x:c r="K1428" s="35" t="str">
        <x:v>FAIL</x:v>
      </x:c>
      <x:c r="L1428" s="35" t="str">
        <x:v>NOT_RUN</x:v>
      </x:c>
      <x:c r="M1428" s="35" t="str">
        <x:v>coverage unavailable or execution/compile failed</x:v>
      </x:c>
      <x:c r="N1428" s="35" t="str">
        <x:v>Deepseek-flash-v4/Result2/Jsoup_68/result.json</x:v>
      </x:c>
      <x:c r="O1428" s="39" t="str">
        <x:f>IF(AND(G1428="RECORDED",ISNUMBER(H1428)),H1428,"")</x:f>
      </x:c>
      <x:c r="P1428" s="35" t="str">
        <x:v>NOT_AVAILABLE</x:v>
      </x:c>
      <x:c r="Q1428" s="35" t="str">
        <x:v>Deepseek-flash-v4/Result2/Jsoup_68/result.json</x:v>
      </x:c>
    </x:row>
    <x:row r="1429">
      <x:c r="A1429" s="35" t="str">
        <x:v>deepseek</x:v>
      </x:c>
      <x:c r="B1429" s="35" t="str">
        <x:v>Jsoup</x:v>
      </x:c>
      <x:c r="C1429" s="35" t="str">
        <x:v>Round2</x:v>
      </x:c>
      <x:c r="D1429" s="35" t="str">
        <x:v>Jsoup_69</x:v>
      </x:c>
      <x:c r="E1429" s="35" t="str">
        <x:v>Line</x:v>
      </x:c>
      <x:c r="F1429" s="35" t="n">
        <x:v>38</x:v>
      </x:c>
      <x:c r="G1429" s="35" t="str">
        <x:v>RECORDED</x:v>
      </x:c>
      <x:c r="H1429" s="39" t="n">
        <x:f>IF(ISNUMBER('Data'!E1429),'Data'!E1429*100,"")</x:f>
        <x:v>92.11</x:v>
      </x:c>
      <x:c r="I1429" s="35" t="str">
        <x:v>PASS</x:v>
      </x:c>
      <x:c r="J1429" s="35" t="str">
        <x:v>PASS</x:v>
      </x:c>
      <x:c r="K1429" s="35" t="str">
        <x:v>PASS</x:v>
      </x:c>
      <x:c r="L1429" s="35" t="str">
        <x:v>FAIL</x:v>
      </x:c>
      <x:c r="M1429" s="35" t="str">
        <x:v>numeric coverage for applicable metric</x:v>
      </x:c>
      <x:c r="N1429" s="35" t="str">
        <x:v>Deepseek-flash-v4/Result2/Jsoup_69/result.json</x:v>
      </x:c>
      <x:c r="O1429" s="39" t="n">
        <x:f>IF(AND(G1429="RECORDED",ISNUMBER(H1429)),H1429,"")</x:f>
        <x:v>92.11</x:v>
      </x:c>
      <x:c r="P1429" s="35" t="str">
        <x:v>INCONCLUSIVE</x:v>
      </x:c>
      <x:c r="Q1429" s="35" t="str">
        <x:v>Deepseek-flash-v4/Result2/Jsoup_69/result.json</x:v>
      </x:c>
    </x:row>
    <x:row r="1430">
      <x:c r="A1430" s="35" t="str">
        <x:v>deepseek</x:v>
      </x:c>
      <x:c r="B1430" s="35" t="str">
        <x:v>Jsoup</x:v>
      </x:c>
      <x:c r="C1430" s="35" t="str">
        <x:v>Round2</x:v>
      </x:c>
      <x:c r="D1430" s="35" t="str">
        <x:v>Jsoup_7</x:v>
      </x:c>
      <x:c r="E1430" s="35" t="str">
        <x:v>Line</x:v>
      </x:c>
      <x:c r="F1430" s="35" t="n">
        <x:v>80</x:v>
      </x:c>
      <x:c r="G1430" s="35" t="str">
        <x:v>RECORDED</x:v>
      </x:c>
      <x:c r="H1430" s="39" t="n">
        <x:f>IF(ISNUMBER('Data'!E1430),'Data'!E1430*100,"")</x:f>
        <x:v>98.75</x:v>
      </x:c>
      <x:c r="I1430" s="35" t="str">
        <x:v>PASS</x:v>
      </x:c>
      <x:c r="J1430" s="35" t="str">
        <x:v>PASS</x:v>
      </x:c>
      <x:c r="K1430" s="35" t="str">
        <x:v>PASS</x:v>
      </x:c>
      <x:c r="L1430" s="35" t="str">
        <x:v>PASS</x:v>
      </x:c>
      <x:c r="M1430" s="35" t="str">
        <x:v>numeric coverage for applicable metric</x:v>
      </x:c>
      <x:c r="N1430" s="35" t="str">
        <x:v>Deepseek-flash-v4/Result2/Jsoup_7/result.json</x:v>
      </x:c>
      <x:c r="O1430" s="39" t="n">
        <x:f>IF(AND(G1430="RECORDED",ISNUMBER(H1430)),H1430,"")</x:f>
        <x:v>98.75</x:v>
      </x:c>
      <x:c r="P1430" s="35" t="str">
        <x:v>NOT_REVEALING</x:v>
      </x:c>
      <x:c r="Q1430" s="35" t="str">
        <x:v>Deepseek-flash-v4/Result2/Jsoup_7/result.json</x:v>
      </x:c>
    </x:row>
    <x:row r="1431">
      <x:c r="A1431" s="35" t="str">
        <x:v>deepseek</x:v>
      </x:c>
      <x:c r="B1431" s="35" t="str">
        <x:v>Jsoup</x:v>
      </x:c>
      <x:c r="C1431" s="35" t="str">
        <x:v>Round2</x:v>
      </x:c>
      <x:c r="D1431" s="35" t="str">
        <x:v>Jsoup_70</x:v>
      </x:c>
      <x:c r="E1431" s="35" t="str">
        <x:v>Line</x:v>
      </x:c>
      <x:c r="F1431" s="35"/>
      <x:c r="G1431" s="35" t="str">
        <x:v>A</x:v>
      </x:c>
      <x:c r="H1431" s="39" t="str">
        <x:f>IF(ISNUMBER('Data'!E1431),'Data'!E1431*100,"")</x:f>
      </x:c>
      <x:c r="I1431" s="35"/>
      <x:c r="J1431" s="35" t="str">
        <x:v>PASS</x:v>
      </x:c>
      <x:c r="K1431" s="35" t="str">
        <x:v>FAIL</x:v>
      </x:c>
      <x:c r="L1431" s="35" t="str">
        <x:v>NOT_RUN</x:v>
      </x:c>
      <x:c r="M1431" s="35" t="str">
        <x:v>coverage unavailable or execution/compile failed</x:v>
      </x:c>
      <x:c r="N1431" s="35" t="str">
        <x:v>Deepseek-flash-v4/Result2/Jsoup_70/result.json</x:v>
      </x:c>
      <x:c r="O1431" s="39" t="str">
        <x:f>IF(AND(G1431="RECORDED",ISNUMBER(H1431)),H1431,"")</x:f>
      </x:c>
      <x:c r="P1431" s="35" t="str">
        <x:v>NOT_AVAILABLE</x:v>
      </x:c>
      <x:c r="Q1431" s="35" t="str">
        <x:v>Deepseek-flash-v4/Result2/Jsoup_70/result.json</x:v>
      </x:c>
    </x:row>
    <x:row r="1432">
      <x:c r="A1432" s="35" t="str">
        <x:v>deepseek</x:v>
      </x:c>
      <x:c r="B1432" s="35" t="str">
        <x:v>Jsoup</x:v>
      </x:c>
      <x:c r="C1432" s="35" t="str">
        <x:v>Round2</x:v>
      </x:c>
      <x:c r="D1432" s="35" t="str">
        <x:v>Jsoup_71</x:v>
      </x:c>
      <x:c r="E1432" s="35" t="str">
        <x:v>Line</x:v>
      </x:c>
      <x:c r="F1432" s="35" t="n">
        <x:v>430</x:v>
      </x:c>
      <x:c r="G1432" s="35" t="str">
        <x:v>RECORDED</x:v>
      </x:c>
      <x:c r="H1432" s="39" t="n">
        <x:f>IF(ISNUMBER('Data'!E1432),'Data'!E1432*100,"")</x:f>
        <x:v>70.7</x:v>
      </x:c>
      <x:c r="I1432" s="35" t="str">
        <x:v>PASS</x:v>
      </x:c>
      <x:c r="J1432" s="35" t="str">
        <x:v>PASS</x:v>
      </x:c>
      <x:c r="K1432" s="35" t="str">
        <x:v>PASS</x:v>
      </x:c>
      <x:c r="L1432" s="35" t="str">
        <x:v>FAIL</x:v>
      </x:c>
      <x:c r="M1432" s="35" t="str">
        <x:v>numeric coverage for applicable metric</x:v>
      </x:c>
      <x:c r="N1432" s="35" t="str">
        <x:v>Deepseek-flash-v4/Result2/Jsoup_71/result.json</x:v>
      </x:c>
      <x:c r="O1432" s="39" t="n">
        <x:f>IF(AND(G1432="RECORDED",ISNUMBER(H1432)),H1432,"")</x:f>
        <x:v>70.7</x:v>
      </x:c>
      <x:c r="P1432" s="35" t="str">
        <x:v>INCONCLUSIVE</x:v>
      </x:c>
      <x:c r="Q1432" s="35" t="str">
        <x:v>Deepseek-flash-v4/Result2/Jsoup_71/result.json</x:v>
      </x:c>
    </x:row>
    <x:row r="1433">
      <x:c r="A1433" s="35" t="str">
        <x:v>deepseek</x:v>
      </x:c>
      <x:c r="B1433" s="35" t="str">
        <x:v>Jsoup</x:v>
      </x:c>
      <x:c r="C1433" s="35" t="str">
        <x:v>Round2</x:v>
      </x:c>
      <x:c r="D1433" s="35" t="str">
        <x:v>Jsoup_72</x:v>
      </x:c>
      <x:c r="E1433" s="35" t="str">
        <x:v>Line</x:v>
      </x:c>
      <x:c r="F1433" s="35" t="n">
        <x:v>228</x:v>
      </x:c>
      <x:c r="G1433" s="35" t="str">
        <x:v>RECORDED</x:v>
      </x:c>
      <x:c r="H1433" s="39" t="n">
        <x:f>IF(ISNUMBER('Data'!E1433),'Data'!E1433*100,"")</x:f>
        <x:v>94.74</x:v>
      </x:c>
      <x:c r="I1433" s="35" t="str">
        <x:v>PASS</x:v>
      </x:c>
      <x:c r="J1433" s="35" t="str">
        <x:v>PASS</x:v>
      </x:c>
      <x:c r="K1433" s="35" t="str">
        <x:v>PASS</x:v>
      </x:c>
      <x:c r="L1433" s="35" t="str">
        <x:v>FAIL</x:v>
      </x:c>
      <x:c r="M1433" s="35" t="str">
        <x:v>numeric coverage for applicable metric</x:v>
      </x:c>
      <x:c r="N1433" s="35" t="str">
        <x:v>Deepseek-flash-v4/Result2/Jsoup_72/result.json</x:v>
      </x:c>
      <x:c r="O1433" s="39" t="n">
        <x:f>IF(AND(G1433="RECORDED",ISNUMBER(H1433)),H1433,"")</x:f>
        <x:v>94.74</x:v>
      </x:c>
      <x:c r="P1433" s="35" t="str">
        <x:v>INCONCLUSIVE</x:v>
      </x:c>
      <x:c r="Q1433" s="35" t="str">
        <x:v>Deepseek-flash-v4/Result2/Jsoup_72/result.json</x:v>
      </x:c>
    </x:row>
    <x:row r="1434">
      <x:c r="A1434" s="35" t="str">
        <x:v>deepseek</x:v>
      </x:c>
      <x:c r="B1434" s="35" t="str">
        <x:v>Jsoup</x:v>
      </x:c>
      <x:c r="C1434" s="35" t="str">
        <x:v>Round2</x:v>
      </x:c>
      <x:c r="D1434" s="35" t="str">
        <x:v>Jsoup_73</x:v>
      </x:c>
      <x:c r="E1434" s="35" t="str">
        <x:v>Line</x:v>
      </x:c>
      <x:c r="F1434" s="35" t="n">
        <x:v>71</x:v>
      </x:c>
      <x:c r="G1434" s="35" t="str">
        <x:v>RECORDED</x:v>
      </x:c>
      <x:c r="H1434" s="39" t="n">
        <x:f>IF(ISNUMBER('Data'!E1434),'Data'!E1434*100,"")</x:f>
        <x:v>91.55</x:v>
      </x:c>
      <x:c r="I1434" s="35" t="str">
        <x:v>PASS</x:v>
      </x:c>
      <x:c r="J1434" s="35" t="str">
        <x:v>PASS</x:v>
      </x:c>
      <x:c r="K1434" s="35" t="str">
        <x:v>PASS</x:v>
      </x:c>
      <x:c r="L1434" s="35" t="str">
        <x:v>PASS</x:v>
      </x:c>
      <x:c r="M1434" s="35" t="str">
        <x:v>numeric coverage for applicable metric</x:v>
      </x:c>
      <x:c r="N1434" s="35" t="str">
        <x:v>Deepseek-flash-v4/Result2/Jsoup_73/result.json</x:v>
      </x:c>
      <x:c r="O1434" s="39" t="n">
        <x:f>IF(AND(G1434="RECORDED",ISNUMBER(H1434)),H1434,"")</x:f>
        <x:v>91.55</x:v>
      </x:c>
      <x:c r="P1434" s="35" t="str">
        <x:v>NOT_REVEALING</x:v>
      </x:c>
      <x:c r="Q1434" s="35" t="str">
        <x:v>Deepseek-flash-v4/Result2/Jsoup_73/result.json</x:v>
      </x:c>
    </x:row>
    <x:row r="1435">
      <x:c r="A1435" s="35" t="str">
        <x:v>deepseek</x:v>
      </x:c>
      <x:c r="B1435" s="35" t="str">
        <x:v>Jsoup</x:v>
      </x:c>
      <x:c r="C1435" s="35" t="str">
        <x:v>Round2</x:v>
      </x:c>
      <x:c r="D1435" s="35" t="str">
        <x:v>Jsoup_74</x:v>
      </x:c>
      <x:c r="E1435" s="35" t="str">
        <x:v>Line</x:v>
      </x:c>
      <x:c r="F1435" s="35" t="n">
        <x:v>83</x:v>
      </x:c>
      <x:c r="G1435" s="35" t="str">
        <x:v>RECORDED</x:v>
      </x:c>
      <x:c r="H1435" s="39" t="n">
        <x:f>IF(ISNUMBER('Data'!E1435),'Data'!E1435*100,"")</x:f>
        <x:v>91.57</x:v>
      </x:c>
      <x:c r="I1435" s="35" t="str">
        <x:v>PASS</x:v>
      </x:c>
      <x:c r="J1435" s="35" t="str">
        <x:v>PASS</x:v>
      </x:c>
      <x:c r="K1435" s="35" t="str">
        <x:v>PASS</x:v>
      </x:c>
      <x:c r="L1435" s="35" t="str">
        <x:v>FAIL</x:v>
      </x:c>
      <x:c r="M1435" s="35" t="str">
        <x:v>numeric coverage for applicable metric</x:v>
      </x:c>
      <x:c r="N1435" s="35" t="str">
        <x:v>Deepseek-flash-v4/Result2/Jsoup_74/result.json</x:v>
      </x:c>
      <x:c r="O1435" s="39" t="n">
        <x:f>IF(AND(G1435="RECORDED",ISNUMBER(H1435)),H1435,"")</x:f>
        <x:v>91.57</x:v>
      </x:c>
      <x:c r="P1435" s="35" t="str">
        <x:v>INCONCLUSIVE</x:v>
      </x:c>
      <x:c r="Q1435" s="35" t="str">
        <x:v>Deepseek-flash-v4/Result2/Jsoup_74/result.json</x:v>
      </x:c>
    </x:row>
    <x:row r="1436">
      <x:c r="A1436" s="35" t="str">
        <x:v>deepseek</x:v>
      </x:c>
      <x:c r="B1436" s="35" t="str">
        <x:v>Jsoup</x:v>
      </x:c>
      <x:c r="C1436" s="35" t="str">
        <x:v>Round2</x:v>
      </x:c>
      <x:c r="D1436" s="35" t="str">
        <x:v>Jsoup_75</x:v>
      </x:c>
      <x:c r="E1436" s="35" t="str">
        <x:v>Line</x:v>
      </x:c>
      <x:c r="F1436" s="35" t="n">
        <x:v>166</x:v>
      </x:c>
      <x:c r="G1436" s="35" t="str">
        <x:v>RECORDED</x:v>
      </x:c>
      <x:c r="H1436" s="39" t="n">
        <x:f>IF(ISNUMBER('Data'!E1436),'Data'!E1436*100,"")</x:f>
        <x:v>96.99</x:v>
      </x:c>
      <x:c r="I1436" s="35" t="str">
        <x:v>PASS</x:v>
      </x:c>
      <x:c r="J1436" s="35" t="str">
        <x:v>PASS</x:v>
      </x:c>
      <x:c r="K1436" s="35" t="str">
        <x:v>PASS</x:v>
      </x:c>
      <x:c r="L1436" s="35" t="str">
        <x:v>FAIL</x:v>
      </x:c>
      <x:c r="M1436" s="35" t="str">
        <x:v>numeric coverage for applicable metric</x:v>
      </x:c>
      <x:c r="N1436" s="35" t="str">
        <x:v>Deepseek-flash-v4/Result2/Jsoup_75/result.json</x:v>
      </x:c>
      <x:c r="O1436" s="39" t="n">
        <x:f>IF(AND(G1436="RECORDED",ISNUMBER(H1436)),H1436,"")</x:f>
        <x:v>96.99</x:v>
      </x:c>
      <x:c r="P1436" s="35" t="str">
        <x:v>INCONCLUSIVE</x:v>
      </x:c>
      <x:c r="Q1436" s="35" t="str">
        <x:v>Deepseek-flash-v4/Result2/Jsoup_75/result.json</x:v>
      </x:c>
    </x:row>
    <x:row r="1437">
      <x:c r="A1437" s="35" t="str">
        <x:v>deepseek</x:v>
      </x:c>
      <x:c r="B1437" s="35" t="str">
        <x:v>Jsoup</x:v>
      </x:c>
      <x:c r="C1437" s="35" t="str">
        <x:v>Round2</x:v>
      </x:c>
      <x:c r="D1437" s="35" t="str">
        <x:v>Jsoup_76</x:v>
      </x:c>
      <x:c r="E1437" s="35" t="str">
        <x:v>Line</x:v>
      </x:c>
      <x:c r="F1437" s="35"/>
      <x:c r="G1437" s="35" t="str">
        <x:v>A</x:v>
      </x:c>
      <x:c r="H1437" s="39" t="str">
        <x:f>IF(ISNUMBER('Data'!E1437),'Data'!E1437*100,"")</x:f>
      </x:c>
      <x:c r="I1437" s="35"/>
      <x:c r="J1437" s="35" t="str">
        <x:v>PASS</x:v>
      </x:c>
      <x:c r="K1437" s="35" t="str">
        <x:v>FAIL</x:v>
      </x:c>
      <x:c r="L1437" s="35" t="str">
        <x:v>NOT_RUN</x:v>
      </x:c>
      <x:c r="M1437" s="35" t="str">
        <x:v>coverage unavailable or execution/compile failed</x:v>
      </x:c>
      <x:c r="N1437" s="35" t="str">
        <x:v>Deepseek-flash-v4/Result2/Jsoup_76/result.json</x:v>
      </x:c>
      <x:c r="O1437" s="39" t="str">
        <x:f>IF(AND(G1437="RECORDED",ISNUMBER(H1437)),H1437,"")</x:f>
      </x:c>
      <x:c r="P1437" s="35" t="str">
        <x:v>NOT_AVAILABLE</x:v>
      </x:c>
      <x:c r="Q1437" s="35" t="str">
        <x:v>Deepseek-flash-v4/Result2/Jsoup_76/result.json</x:v>
      </x:c>
    </x:row>
    <x:row r="1438">
      <x:c r="A1438" s="35" t="str">
        <x:v>deepseek</x:v>
      </x:c>
      <x:c r="B1438" s="35" t="str">
        <x:v>Jsoup</x:v>
      </x:c>
      <x:c r="C1438" s="35" t="str">
        <x:v>Round2</x:v>
      </x:c>
      <x:c r="D1438" s="35" t="str">
        <x:v>Jsoup_77</x:v>
      </x:c>
      <x:c r="E1438" s="35" t="str">
        <x:v>Line</x:v>
      </x:c>
      <x:c r="F1438" s="35" t="n">
        <x:v>69</x:v>
      </x:c>
      <x:c r="G1438" s="35" t="str">
        <x:v>RECORDED</x:v>
      </x:c>
      <x:c r="H1438" s="39" t="n">
        <x:f>IF(ISNUMBER('Data'!E1438),'Data'!E1438*100,"")</x:f>
        <x:v>98.55</x:v>
      </x:c>
      <x:c r="I1438" s="35" t="str">
        <x:v>PASS</x:v>
      </x:c>
      <x:c r="J1438" s="35" t="str">
        <x:v>PASS</x:v>
      </x:c>
      <x:c r="K1438" s="35" t="str">
        <x:v>PASS</x:v>
      </x:c>
      <x:c r="L1438" s="35" t="str">
        <x:v>PASS</x:v>
      </x:c>
      <x:c r="M1438" s="35" t="str">
        <x:v>numeric coverage for applicable metric</x:v>
      </x:c>
      <x:c r="N1438" s="35" t="str">
        <x:v>Deepseek-flash-v4/Result2/Jsoup_77/result.json</x:v>
      </x:c>
      <x:c r="O1438" s="39" t="n">
        <x:f>IF(AND(G1438="RECORDED",ISNUMBER(H1438)),H1438,"")</x:f>
        <x:v>98.55</x:v>
      </x:c>
      <x:c r="P1438" s="35" t="str">
        <x:v>NOT_REVEALING</x:v>
      </x:c>
      <x:c r="Q1438" s="35" t="str">
        <x:v>Deepseek-flash-v4/Result2/Jsoup_77/result.json</x:v>
      </x:c>
    </x:row>
    <x:row r="1439">
      <x:c r="A1439" s="35" t="str">
        <x:v>deepseek</x:v>
      </x:c>
      <x:c r="B1439" s="35" t="str">
        <x:v>Jsoup</x:v>
      </x:c>
      <x:c r="C1439" s="35" t="str">
        <x:v>Round2</x:v>
      </x:c>
      <x:c r="D1439" s="35" t="str">
        <x:v>Jsoup_78</x:v>
      </x:c>
      <x:c r="E1439" s="35" t="str">
        <x:v>Line</x:v>
      </x:c>
      <x:c r="F1439" s="35" t="n">
        <x:v>109</x:v>
      </x:c>
      <x:c r="G1439" s="35" t="str">
        <x:v>RECORDED</x:v>
      </x:c>
      <x:c r="H1439" s="39" t="n">
        <x:f>IF(ISNUMBER('Data'!E1439),'Data'!E1439*100,"")</x:f>
        <x:v>75.23</x:v>
      </x:c>
      <x:c r="I1439" s="35" t="str">
        <x:v>PASS</x:v>
      </x:c>
      <x:c r="J1439" s="35" t="str">
        <x:v>PASS</x:v>
      </x:c>
      <x:c r="K1439" s="35" t="str">
        <x:v>PASS</x:v>
      </x:c>
      <x:c r="L1439" s="35" t="str">
        <x:v>FAIL</x:v>
      </x:c>
      <x:c r="M1439" s="35" t="str">
        <x:v>numeric coverage for applicable metric</x:v>
      </x:c>
      <x:c r="N1439" s="35" t="str">
        <x:v>Deepseek-flash-v4/Result2/Jsoup_78/result.json</x:v>
      </x:c>
      <x:c r="O1439" s="39" t="n">
        <x:f>IF(AND(G1439="RECORDED",ISNUMBER(H1439)),H1439,"")</x:f>
        <x:v>75.23</x:v>
      </x:c>
      <x:c r="P1439" s="35" t="str">
        <x:v>INCONCLUSIVE</x:v>
      </x:c>
      <x:c r="Q1439" s="35" t="str">
        <x:v>Deepseek-flash-v4/Result2/Jsoup_78/result.json</x:v>
      </x:c>
    </x:row>
    <x:row r="1440">
      <x:c r="A1440" s="35" t="str">
        <x:v>deepseek</x:v>
      </x:c>
      <x:c r="B1440" s="35" t="str">
        <x:v>Jsoup</x:v>
      </x:c>
      <x:c r="C1440" s="35" t="str">
        <x:v>Round2</x:v>
      </x:c>
      <x:c r="D1440" s="35" t="str">
        <x:v>Jsoup_79</x:v>
      </x:c>
      <x:c r="E1440" s="35" t="str">
        <x:v>Line</x:v>
      </x:c>
      <x:c r="F1440" s="35"/>
      <x:c r="G1440" s="35" t="str">
        <x:v>A</x:v>
      </x:c>
      <x:c r="H1440" s="39" t="str">
        <x:f>IF(ISNUMBER('Data'!E1440),'Data'!E1440*100,"")</x:f>
      </x:c>
      <x:c r="I1440" s="35"/>
      <x:c r="J1440" s="35" t="str">
        <x:v>PASS</x:v>
      </x:c>
      <x:c r="K1440" s="35" t="str">
        <x:v>FAIL</x:v>
      </x:c>
      <x:c r="L1440" s="35" t="str">
        <x:v>NOT_RUN</x:v>
      </x:c>
      <x:c r="M1440" s="35" t="str">
        <x:v>coverage unavailable or execution/compile failed</x:v>
      </x:c>
      <x:c r="N1440" s="35" t="str">
        <x:v>Deepseek-flash-v4/Result2/Jsoup_79/result.json</x:v>
      </x:c>
      <x:c r="O1440" s="39" t="str">
        <x:f>IF(AND(G1440="RECORDED",ISNUMBER(H1440)),H1440,"")</x:f>
      </x:c>
      <x:c r="P1440" s="35" t="str">
        <x:v>NOT_AVAILABLE</x:v>
      </x:c>
      <x:c r="Q1440" s="35" t="str">
        <x:v>Deepseek-flash-v4/Result2/Jsoup_79/result.json</x:v>
      </x:c>
    </x:row>
    <x:row r="1441">
      <x:c r="A1441" s="35" t="str">
        <x:v>deepseek</x:v>
      </x:c>
      <x:c r="B1441" s="35" t="str">
        <x:v>Jsoup</x:v>
      </x:c>
      <x:c r="C1441" s="35" t="str">
        <x:v>Round2</x:v>
      </x:c>
      <x:c r="D1441" s="35" t="str">
        <x:v>Jsoup_8</x:v>
      </x:c>
      <x:c r="E1441" s="35" t="str">
        <x:v>Line</x:v>
      </x:c>
      <x:c r="F1441" s="35" t="n">
        <x:v>139</x:v>
      </x:c>
      <x:c r="G1441" s="35" t="str">
        <x:v>RECORDED</x:v>
      </x:c>
      <x:c r="H1441" s="39" t="n">
        <x:f>IF(ISNUMBER('Data'!E1441),'Data'!E1441*100,"")</x:f>
        <x:v>87.77</x:v>
      </x:c>
      <x:c r="I1441" s="35" t="str">
        <x:v>PASS</x:v>
      </x:c>
      <x:c r="J1441" s="35" t="str">
        <x:v>PASS</x:v>
      </x:c>
      <x:c r="K1441" s="35" t="str">
        <x:v>PASS</x:v>
      </x:c>
      <x:c r="L1441" s="35" t="str">
        <x:v>FAIL</x:v>
      </x:c>
      <x:c r="M1441" s="35" t="str">
        <x:v>numeric coverage for applicable metric</x:v>
      </x:c>
      <x:c r="N1441" s="35" t="str">
        <x:v>Deepseek-flash-v4/Result2/Jsoup_8/result.json</x:v>
      </x:c>
      <x:c r="O1441" s="39" t="n">
        <x:f>IF(AND(G1441="RECORDED",ISNUMBER(H1441)),H1441,"")</x:f>
        <x:v>87.77</x:v>
      </x:c>
      <x:c r="P1441" s="35" t="str">
        <x:v>INCONCLUSIVE</x:v>
      </x:c>
      <x:c r="Q1441" s="35" t="str">
        <x:v>Deepseek-flash-v4/Result2/Jsoup_8/result.json</x:v>
      </x:c>
    </x:row>
    <x:row r="1442">
      <x:c r="A1442" s="35" t="str">
        <x:v>deepseek</x:v>
      </x:c>
      <x:c r="B1442" s="35" t="str">
        <x:v>Jsoup</x:v>
      </x:c>
      <x:c r="C1442" s="35" t="str">
        <x:v>Round2</x:v>
      </x:c>
      <x:c r="D1442" s="35" t="str">
        <x:v>Jsoup_80</x:v>
      </x:c>
      <x:c r="E1442" s="35" t="str">
        <x:v>Line</x:v>
      </x:c>
      <x:c r="F1442" s="35"/>
      <x:c r="G1442" s="35" t="str">
        <x:v>A</x:v>
      </x:c>
      <x:c r="H1442" s="39" t="str">
        <x:f>IF(ISNUMBER('Data'!E1442),'Data'!E1442*100,"")</x:f>
      </x:c>
      <x:c r="I1442" s="35"/>
      <x:c r="J1442" s="35" t="str">
        <x:v>PASS</x:v>
      </x:c>
      <x:c r="K1442" s="35" t="str">
        <x:v>FAIL</x:v>
      </x:c>
      <x:c r="L1442" s="35" t="str">
        <x:v>NOT_RUN</x:v>
      </x:c>
      <x:c r="M1442" s="35" t="str">
        <x:v>coverage unavailable or execution/compile failed</x:v>
      </x:c>
      <x:c r="N1442" s="35" t="str">
        <x:v>Deepseek-flash-v4/Result2/Jsoup_80/result.json</x:v>
      </x:c>
      <x:c r="O1442" s="39" t="str">
        <x:f>IF(AND(G1442="RECORDED",ISNUMBER(H1442)),H1442,"")</x:f>
      </x:c>
      <x:c r="P1442" s="35" t="str">
        <x:v>NOT_AVAILABLE</x:v>
      </x:c>
      <x:c r="Q1442" s="35" t="str">
        <x:v>Deepseek-flash-v4/Result2/Jsoup_80/result.json</x:v>
      </x:c>
    </x:row>
    <x:row r="1443">
      <x:c r="A1443" s="35" t="str">
        <x:v>deepseek</x:v>
      </x:c>
      <x:c r="B1443" s="35" t="str">
        <x:v>Jsoup</x:v>
      </x:c>
      <x:c r="C1443" s="35" t="str">
        <x:v>Round2</x:v>
      </x:c>
      <x:c r="D1443" s="35" t="str">
        <x:v>Jsoup_81</x:v>
      </x:c>
      <x:c r="E1443" s="35" t="str">
        <x:v>Line</x:v>
      </x:c>
      <x:c r="F1443" s="35" t="n">
        <x:v>117</x:v>
      </x:c>
      <x:c r="G1443" s="35" t="str">
        <x:v>RECORDED</x:v>
      </x:c>
      <x:c r="H1443" s="39" t="n">
        <x:f>IF(ISNUMBER('Data'!E1443),'Data'!E1443*100,"")</x:f>
        <x:v>88.89</x:v>
      </x:c>
      <x:c r="I1443" s="35" t="str">
        <x:v>PASS</x:v>
      </x:c>
      <x:c r="J1443" s="35" t="str">
        <x:v>PASS</x:v>
      </x:c>
      <x:c r="K1443" s="35" t="str">
        <x:v>PASS</x:v>
      </x:c>
      <x:c r="L1443" s="35" t="str">
        <x:v>PASS</x:v>
      </x:c>
      <x:c r="M1443" s="35" t="str">
        <x:v>numeric coverage for applicable metric</x:v>
      </x:c>
      <x:c r="N1443" s="35" t="str">
        <x:v>Deepseek-flash-v4/Result2/Jsoup_81/result.json</x:v>
      </x:c>
      <x:c r="O1443" s="39" t="n">
        <x:f>IF(AND(G1443="RECORDED",ISNUMBER(H1443)),H1443,"")</x:f>
        <x:v>88.89</x:v>
      </x:c>
      <x:c r="P1443" s="35" t="str">
        <x:v>NOT_REVEALING</x:v>
      </x:c>
      <x:c r="Q1443" s="35" t="str">
        <x:v>Deepseek-flash-v4/Result2/Jsoup_81/result.json</x:v>
      </x:c>
    </x:row>
    <x:row r="1444">
      <x:c r="A1444" s="35" t="str">
        <x:v>deepseek</x:v>
      </x:c>
      <x:c r="B1444" s="35" t="str">
        <x:v>Jsoup</x:v>
      </x:c>
      <x:c r="C1444" s="35" t="str">
        <x:v>Round2</x:v>
      </x:c>
      <x:c r="D1444" s="35" t="str">
        <x:v>Jsoup_82</x:v>
      </x:c>
      <x:c r="E1444" s="35" t="str">
        <x:v>Line</x:v>
      </x:c>
      <x:c r="F1444" s="35" t="n">
        <x:v>113</x:v>
      </x:c>
      <x:c r="G1444" s="35" t="str">
        <x:v>RECORDED</x:v>
      </x:c>
      <x:c r="H1444" s="39" t="n">
        <x:f>IF(ISNUMBER('Data'!E1444),'Data'!E1444*100,"")</x:f>
        <x:v>79.65</x:v>
      </x:c>
      <x:c r="I1444" s="35" t="str">
        <x:v>PASS</x:v>
      </x:c>
      <x:c r="J1444" s="35" t="str">
        <x:v>PASS</x:v>
      </x:c>
      <x:c r="K1444" s="35" t="str">
        <x:v>PASS</x:v>
      </x:c>
      <x:c r="L1444" s="35" t="str">
        <x:v>FAIL</x:v>
      </x:c>
      <x:c r="M1444" s="35" t="str">
        <x:v>numeric coverage for applicable metric</x:v>
      </x:c>
      <x:c r="N1444" s="35" t="str">
        <x:v>Deepseek-flash-v4/Result2/Jsoup_82/result.json</x:v>
      </x:c>
      <x:c r="O1444" s="39" t="n">
        <x:f>IF(AND(G1444="RECORDED",ISNUMBER(H1444)),H1444,"")</x:f>
        <x:v>79.65</x:v>
      </x:c>
      <x:c r="P1444" s="35" t="str">
        <x:v>INCONCLUSIVE</x:v>
      </x:c>
      <x:c r="Q1444" s="35" t="str">
        <x:v>Deepseek-flash-v4/Result2/Jsoup_82/result.json</x:v>
      </x:c>
    </x:row>
    <x:row r="1445">
      <x:c r="A1445" s="35" t="str">
        <x:v>deepseek</x:v>
      </x:c>
      <x:c r="B1445" s="35" t="str">
        <x:v>Jsoup</x:v>
      </x:c>
      <x:c r="C1445" s="35" t="str">
        <x:v>Round2</x:v>
      </x:c>
      <x:c r="D1445" s="35" t="str">
        <x:v>Jsoup_83</x:v>
      </x:c>
      <x:c r="E1445" s="35" t="str">
        <x:v>Line</x:v>
      </x:c>
      <x:c r="F1445" s="35"/>
      <x:c r="G1445" s="35" t="str">
        <x:v>A</x:v>
      </x:c>
      <x:c r="H1445" s="39" t="str">
        <x:f>IF(ISNUMBER('Data'!E1445),'Data'!E1445*100,"")</x:f>
      </x:c>
      <x:c r="I1445" s="35"/>
      <x:c r="J1445" s="35" t="str">
        <x:v>PASS</x:v>
      </x:c>
      <x:c r="K1445" s="35" t="str">
        <x:v>FAIL</x:v>
      </x:c>
      <x:c r="L1445" s="35" t="str">
        <x:v>NOT_RUN</x:v>
      </x:c>
      <x:c r="M1445" s="35" t="str">
        <x:v>coverage unavailable or execution/compile failed</x:v>
      </x:c>
      <x:c r="N1445" s="35" t="str">
        <x:v>Deepseek-flash-v4/Result2/Jsoup_83/result.json</x:v>
      </x:c>
      <x:c r="O1445" s="39" t="str">
        <x:f>IF(AND(G1445="RECORDED",ISNUMBER(H1445)),H1445,"")</x:f>
      </x:c>
      <x:c r="P1445" s="35" t="str">
        <x:v>NOT_AVAILABLE</x:v>
      </x:c>
      <x:c r="Q1445" s="35" t="str">
        <x:v>Deepseek-flash-v4/Result2/Jsoup_83/result.json</x:v>
      </x:c>
    </x:row>
    <x:row r="1446">
      <x:c r="A1446" s="35" t="str">
        <x:v>deepseek</x:v>
      </x:c>
      <x:c r="B1446" s="35" t="str">
        <x:v>Jsoup</x:v>
      </x:c>
      <x:c r="C1446" s="35" t="str">
        <x:v>Round2</x:v>
      </x:c>
      <x:c r="D1446" s="35" t="str">
        <x:v>Jsoup_84</x:v>
      </x:c>
      <x:c r="E1446" s="35" t="str">
        <x:v>Line</x:v>
      </x:c>
      <x:c r="F1446" s="35" t="n">
        <x:v>76</x:v>
      </x:c>
      <x:c r="G1446" s="35" t="str">
        <x:v>RECORDED</x:v>
      </x:c>
      <x:c r="H1446" s="39" t="n">
        <x:f>IF(ISNUMBER('Data'!E1446),'Data'!E1446*100,"")</x:f>
        <x:v>93.42</x:v>
      </x:c>
      <x:c r="I1446" s="35" t="str">
        <x:v>PASS</x:v>
      </x:c>
      <x:c r="J1446" s="35" t="str">
        <x:v>PASS</x:v>
      </x:c>
      <x:c r="K1446" s="35" t="str">
        <x:v>PASS</x:v>
      </x:c>
      <x:c r="L1446" s="35" t="str">
        <x:v>PASS</x:v>
      </x:c>
      <x:c r="M1446" s="35" t="str">
        <x:v>numeric coverage for applicable metric</x:v>
      </x:c>
      <x:c r="N1446" s="35" t="str">
        <x:v>Deepseek-flash-v4/Result2/Jsoup_84/result.json</x:v>
      </x:c>
      <x:c r="O1446" s="39" t="n">
        <x:f>IF(AND(G1446="RECORDED",ISNUMBER(H1446)),H1446,"")</x:f>
        <x:v>93.42</x:v>
      </x:c>
      <x:c r="P1446" s="35" t="str">
        <x:v>NOT_REVEALING</x:v>
      </x:c>
      <x:c r="Q1446" s="35" t="str">
        <x:v>Deepseek-flash-v4/Result2/Jsoup_84/result.json</x:v>
      </x:c>
    </x:row>
    <x:row r="1447">
      <x:c r="A1447" s="35" t="str">
        <x:v>deepseek</x:v>
      </x:c>
      <x:c r="B1447" s="35" t="str">
        <x:v>Jsoup</x:v>
      </x:c>
      <x:c r="C1447" s="35" t="str">
        <x:v>Round2</x:v>
      </x:c>
      <x:c r="D1447" s="35" t="str">
        <x:v>Jsoup_85</x:v>
      </x:c>
      <x:c r="E1447" s="35" t="str">
        <x:v>Line</x:v>
      </x:c>
      <x:c r="F1447" s="35" t="n">
        <x:v>65</x:v>
      </x:c>
      <x:c r="G1447" s="35" t="str">
        <x:v>RECORDED</x:v>
      </x:c>
      <x:c r="H1447" s="39" t="n">
        <x:f>IF(ISNUMBER('Data'!E1447),'Data'!E1447*100,"")</x:f>
        <x:v>90.77</x:v>
      </x:c>
      <x:c r="I1447" s="35" t="str">
        <x:v>PASS</x:v>
      </x:c>
      <x:c r="J1447" s="35" t="str">
        <x:v>PASS</x:v>
      </x:c>
      <x:c r="K1447" s="35" t="str">
        <x:v>PASS</x:v>
      </x:c>
      <x:c r="L1447" s="35" t="str">
        <x:v>FAIL</x:v>
      </x:c>
      <x:c r="M1447" s="35" t="str">
        <x:v>numeric coverage for applicable metric</x:v>
      </x:c>
      <x:c r="N1447" s="35" t="str">
        <x:v>Deepseek-flash-v4/Result2/Jsoup_85/result.json</x:v>
      </x:c>
      <x:c r="O1447" s="39" t="n">
        <x:f>IF(AND(G1447="RECORDED",ISNUMBER(H1447)),H1447,"")</x:f>
        <x:v>90.77</x:v>
      </x:c>
      <x:c r="P1447" s="35" t="str">
        <x:v>INCONCLUSIVE</x:v>
      </x:c>
      <x:c r="Q1447" s="35" t="str">
        <x:v>Deepseek-flash-v4/Result2/Jsoup_85/result.json</x:v>
      </x:c>
    </x:row>
    <x:row r="1448">
      <x:c r="A1448" s="35" t="str">
        <x:v>deepseek</x:v>
      </x:c>
      <x:c r="B1448" s="35" t="str">
        <x:v>Jsoup</x:v>
      </x:c>
      <x:c r="C1448" s="35" t="str">
        <x:v>Round2</x:v>
      </x:c>
      <x:c r="D1448" s="35" t="str">
        <x:v>Jsoup_86</x:v>
      </x:c>
      <x:c r="E1448" s="35" t="str">
        <x:v>Line</x:v>
      </x:c>
      <x:c r="F1448" s="35" t="n">
        <x:v>27</x:v>
      </x:c>
      <x:c r="G1448" s="35" t="str">
        <x:v>RECORDED</x:v>
      </x:c>
      <x:c r="H1448" s="39" t="n">
        <x:f>IF(ISNUMBER('Data'!E1448),'Data'!E1448*100,"")</x:f>
        <x:v>92.59</x:v>
      </x:c>
      <x:c r="I1448" s="35" t="str">
        <x:v>PASS</x:v>
      </x:c>
      <x:c r="J1448" s="35" t="str">
        <x:v>PASS</x:v>
      </x:c>
      <x:c r="K1448" s="35" t="str">
        <x:v>PASS</x:v>
      </x:c>
      <x:c r="L1448" s="35" t="str">
        <x:v>FAIL</x:v>
      </x:c>
      <x:c r="M1448" s="35" t="str">
        <x:v>numeric coverage for applicable metric</x:v>
      </x:c>
      <x:c r="N1448" s="35" t="str">
        <x:v>Deepseek-flash-v4/Result2/Jsoup_86/result.json</x:v>
      </x:c>
      <x:c r="O1448" s="39" t="n">
        <x:f>IF(AND(G1448="RECORDED",ISNUMBER(H1448)),H1448,"")</x:f>
        <x:v>92.59</x:v>
      </x:c>
      <x:c r="P1448" s="35" t="str">
        <x:v>INCONCLUSIVE</x:v>
      </x:c>
      <x:c r="Q1448" s="35" t="str">
        <x:v>Deepseek-flash-v4/Result2/Jsoup_86/result.json</x:v>
      </x:c>
    </x:row>
    <x:row r="1449">
      <x:c r="A1449" s="35" t="str">
        <x:v>deepseek</x:v>
      </x:c>
      <x:c r="B1449" s="35" t="str">
        <x:v>Jsoup</x:v>
      </x:c>
      <x:c r="C1449" s="35" t="str">
        <x:v>Round2</x:v>
      </x:c>
      <x:c r="D1449" s="35" t="str">
        <x:v>Jsoup_87</x:v>
      </x:c>
      <x:c r="E1449" s="35" t="str">
        <x:v>Line</x:v>
      </x:c>
      <x:c r="F1449" s="35"/>
      <x:c r="G1449" s="35" t="str">
        <x:v>A</x:v>
      </x:c>
      <x:c r="H1449" s="39" t="str">
        <x:f>IF(ISNUMBER('Data'!E1449),'Data'!E1449*100,"")</x:f>
      </x:c>
      <x:c r="I1449" s="35"/>
      <x:c r="J1449" s="35" t="str">
        <x:v>PASS</x:v>
      </x:c>
      <x:c r="K1449" s="35" t="str">
        <x:v>FAIL</x:v>
      </x:c>
      <x:c r="L1449" s="35" t="str">
        <x:v>NOT_RUN</x:v>
      </x:c>
      <x:c r="M1449" s="35" t="str">
        <x:v>coverage unavailable or execution/compile failed</x:v>
      </x:c>
      <x:c r="N1449" s="35" t="str">
        <x:v>Deepseek-flash-v4/Result2/Jsoup_87/result.json</x:v>
      </x:c>
      <x:c r="O1449" s="39" t="str">
        <x:f>IF(AND(G1449="RECORDED",ISNUMBER(H1449)),H1449,"")</x:f>
      </x:c>
      <x:c r="P1449" s="35" t="str">
        <x:v>NOT_AVAILABLE</x:v>
      </x:c>
      <x:c r="Q1449" s="35" t="str">
        <x:v>Deepseek-flash-v4/Result2/Jsoup_87/result.json</x:v>
      </x:c>
    </x:row>
    <x:row r="1450">
      <x:c r="A1450" s="35" t="str">
        <x:v>deepseek</x:v>
      </x:c>
      <x:c r="B1450" s="35" t="str">
        <x:v>Jsoup</x:v>
      </x:c>
      <x:c r="C1450" s="35" t="str">
        <x:v>Round2</x:v>
      </x:c>
      <x:c r="D1450" s="35" t="str">
        <x:v>Jsoup_88</x:v>
      </x:c>
      <x:c r="E1450" s="35" t="str">
        <x:v>Line</x:v>
      </x:c>
      <x:c r="F1450" s="35" t="n">
        <x:v>66</x:v>
      </x:c>
      <x:c r="G1450" s="35" t="str">
        <x:v>RECORDED</x:v>
      </x:c>
      <x:c r="H1450" s="39" t="n">
        <x:f>IF(ISNUMBER('Data'!E1450),'Data'!E1450*100,"")</x:f>
        <x:v>87.88</x:v>
      </x:c>
      <x:c r="I1450" s="35" t="str">
        <x:v>PASS</x:v>
      </x:c>
      <x:c r="J1450" s="35" t="str">
        <x:v>PASS</x:v>
      </x:c>
      <x:c r="K1450" s="35" t="str">
        <x:v>PASS</x:v>
      </x:c>
      <x:c r="L1450" s="35" t="str">
        <x:v>PASS</x:v>
      </x:c>
      <x:c r="M1450" s="35" t="str">
        <x:v>numeric coverage for applicable metric</x:v>
      </x:c>
      <x:c r="N1450" s="35" t="str">
        <x:v>Deepseek-flash-v4/Result2/Jsoup_88/result.json</x:v>
      </x:c>
      <x:c r="O1450" s="39" t="n">
        <x:f>IF(AND(G1450="RECORDED",ISNUMBER(H1450)),H1450,"")</x:f>
        <x:v>87.88</x:v>
      </x:c>
      <x:c r="P1450" s="35" t="str">
        <x:v>NOT_REVEALING</x:v>
      </x:c>
      <x:c r="Q1450" s="35" t="str">
        <x:v>Deepseek-flash-v4/Result2/Jsoup_88/result.json</x:v>
      </x:c>
    </x:row>
    <x:row r="1451">
      <x:c r="A1451" s="35" t="str">
        <x:v>deepseek</x:v>
      </x:c>
      <x:c r="B1451" s="35" t="str">
        <x:v>Jsoup</x:v>
      </x:c>
      <x:c r="C1451" s="35" t="str">
        <x:v>Round2</x:v>
      </x:c>
      <x:c r="D1451" s="35" t="str">
        <x:v>Jsoup_89</x:v>
      </x:c>
      <x:c r="E1451" s="35" t="str">
        <x:v>Line</x:v>
      </x:c>
      <x:c r="F1451" s="35" t="n">
        <x:v>66</x:v>
      </x:c>
      <x:c r="G1451" s="35" t="str">
        <x:v>RECORDED</x:v>
      </x:c>
      <x:c r="H1451" s="39" t="n">
        <x:f>IF(ISNUMBER('Data'!E1451),'Data'!E1451*100,"")</x:f>
        <x:v>89.39</x:v>
      </x:c>
      <x:c r="I1451" s="35" t="str">
        <x:v>PASS</x:v>
      </x:c>
      <x:c r="J1451" s="35" t="str">
        <x:v>PASS</x:v>
      </x:c>
      <x:c r="K1451" s="35" t="str">
        <x:v>PASS</x:v>
      </x:c>
      <x:c r="L1451" s="35" t="str">
        <x:v>FAIL</x:v>
      </x:c>
      <x:c r="M1451" s="35" t="str">
        <x:v>numeric coverage for applicable metric</x:v>
      </x:c>
      <x:c r="N1451" s="35" t="str">
        <x:v>Deepseek-flash-v4/Result2/Jsoup_89/result.json</x:v>
      </x:c>
      <x:c r="O1451" s="39" t="n">
        <x:f>IF(AND(G1451="RECORDED",ISNUMBER(H1451)),H1451,"")</x:f>
        <x:v>89.39</x:v>
      </x:c>
      <x:c r="P1451" s="35" t="str">
        <x:v>INCONCLUSIVE</x:v>
      </x:c>
      <x:c r="Q1451" s="35" t="str">
        <x:v>Deepseek-flash-v4/Result2/Jsoup_89/result.json</x:v>
      </x:c>
    </x:row>
    <x:row r="1452">
      <x:c r="A1452" s="35" t="str">
        <x:v>deepseek</x:v>
      </x:c>
      <x:c r="B1452" s="35" t="str">
        <x:v>Jsoup</x:v>
      </x:c>
      <x:c r="C1452" s="35" t="str">
        <x:v>Round2</x:v>
      </x:c>
      <x:c r="D1452" s="35" t="str">
        <x:v>Jsoup_9</x:v>
      </x:c>
      <x:c r="E1452" s="35" t="str">
        <x:v>Line</x:v>
      </x:c>
      <x:c r="F1452" s="35"/>
      <x:c r="G1452" s="35" t="str">
        <x:v>A</x:v>
      </x:c>
      <x:c r="H1452" s="39" t="str">
        <x:f>IF(ISNUMBER('Data'!E1452),'Data'!E1452*100,"")</x:f>
      </x:c>
      <x:c r="I1452" s="35" t="str">
        <x:v>FAIL</x:v>
      </x:c>
      <x:c r="J1452" s="35" t="str">
        <x:v>PASS</x:v>
      </x:c>
      <x:c r="K1452" s="35" t="str">
        <x:v>PASS</x:v>
      </x:c>
      <x:c r="L1452" s="35" t="str">
        <x:v>PASS</x:v>
      </x:c>
      <x:c r="M1452" s="35" t="str">
        <x:v>coverage unavailable or execution/compile failed</x:v>
      </x:c>
      <x:c r="N1452" s="35" t="str">
        <x:v>Deepseek-flash-v4/Result2/Jsoup_9/result.json</x:v>
      </x:c>
      <x:c r="O1452" s="39" t="str">
        <x:f>IF(AND(G1452="RECORDED",ISNUMBER(H1452)),H1452,"")</x:f>
      </x:c>
      <x:c r="P1452" s="35" t="str">
        <x:v>NOT_AVAILABLE</x:v>
      </x:c>
      <x:c r="Q1452" s="35" t="str">
        <x:v>Deepseek-flash-v4/Result2/Jsoup_9/result.json</x:v>
      </x:c>
    </x:row>
    <x:row r="1453">
      <x:c r="A1453" s="35" t="str">
        <x:v>deepseek</x:v>
      </x:c>
      <x:c r="B1453" s="35" t="str">
        <x:v>Jsoup</x:v>
      </x:c>
      <x:c r="C1453" s="35" t="str">
        <x:v>Round2</x:v>
      </x:c>
      <x:c r="D1453" s="35" t="str">
        <x:v>Jsoup_90</x:v>
      </x:c>
      <x:c r="E1453" s="35" t="str">
        <x:v>Line</x:v>
      </x:c>
      <x:c r="F1453" s="35"/>
      <x:c r="G1453" s="35" t="str">
        <x:v>A</x:v>
      </x:c>
      <x:c r="H1453" s="39" t="str">
        <x:f>IF(ISNUMBER('Data'!E1453),'Data'!E1453*100,"")</x:f>
      </x:c>
      <x:c r="I1453" s="35"/>
      <x:c r="J1453" s="35" t="str">
        <x:v>PASS</x:v>
      </x:c>
      <x:c r="K1453" s="35" t="str">
        <x:v>FAIL</x:v>
      </x:c>
      <x:c r="L1453" s="35" t="str">
        <x:v>NOT_RUN</x:v>
      </x:c>
      <x:c r="M1453" s="35" t="str">
        <x:v>coverage unavailable or execution/compile failed</x:v>
      </x:c>
      <x:c r="N1453" s="35" t="str">
        <x:v>Deepseek-flash-v4/Result2/Jsoup_90/result.json</x:v>
      </x:c>
      <x:c r="O1453" s="39" t="str">
        <x:f>IF(AND(G1453="RECORDED",ISNUMBER(H1453)),H1453,"")</x:f>
      </x:c>
      <x:c r="P1453" s="35" t="str">
        <x:v>NOT_AVAILABLE</x:v>
      </x:c>
      <x:c r="Q1453" s="35" t="str">
        <x:v>Deepseek-flash-v4/Result2/Jsoup_90/result.json</x:v>
      </x:c>
    </x:row>
    <x:row r="1454">
      <x:c r="A1454" s="35" t="str">
        <x:v>deepseek</x:v>
      </x:c>
      <x:c r="B1454" s="35" t="str">
        <x:v>Jsoup</x:v>
      </x:c>
      <x:c r="C1454" s="35" t="str">
        <x:v>Round2</x:v>
      </x:c>
      <x:c r="D1454" s="35" t="str">
        <x:v>Jsoup_91</x:v>
      </x:c>
      <x:c r="E1454" s="35" t="str">
        <x:v>Line</x:v>
      </x:c>
      <x:c r="F1454" s="35"/>
      <x:c r="G1454" s="35" t="str">
        <x:v>A</x:v>
      </x:c>
      <x:c r="H1454" s="39" t="str">
        <x:f>IF(ISNUMBER('Data'!E1454),'Data'!E1454*100,"")</x:f>
      </x:c>
      <x:c r="I1454" s="35"/>
      <x:c r="J1454" s="35" t="str">
        <x:v>PASS</x:v>
      </x:c>
      <x:c r="K1454" s="35" t="str">
        <x:v>FAIL</x:v>
      </x:c>
      <x:c r="L1454" s="35" t="str">
        <x:v>NOT_RUN</x:v>
      </x:c>
      <x:c r="M1454" s="35" t="str">
        <x:v>coverage unavailable or execution/compile failed</x:v>
      </x:c>
      <x:c r="N1454" s="35" t="str">
        <x:v>Deepseek-flash-v4/Result2/Jsoup_91/result.json</x:v>
      </x:c>
      <x:c r="O1454" s="39" t="str">
        <x:f>IF(AND(G1454="RECORDED",ISNUMBER(H1454)),H1454,"")</x:f>
      </x:c>
      <x:c r="P1454" s="35" t="str">
        <x:v>NOT_AVAILABLE</x:v>
      </x:c>
      <x:c r="Q1454" s="35" t="str">
        <x:v>Deepseek-flash-v4/Result2/Jsoup_91/result.json</x:v>
      </x:c>
    </x:row>
    <x:row r="1455">
      <x:c r="A1455" s="35" t="str">
        <x:v>deepseek</x:v>
      </x:c>
      <x:c r="B1455" s="35" t="str">
        <x:v>Jsoup</x:v>
      </x:c>
      <x:c r="C1455" s="35" t="str">
        <x:v>Round2</x:v>
      </x:c>
      <x:c r="D1455" s="35" t="str">
        <x:v>Jsoup_92</x:v>
      </x:c>
      <x:c r="E1455" s="35" t="str">
        <x:v>Line</x:v>
      </x:c>
      <x:c r="F1455" s="35"/>
      <x:c r="G1455" s="35" t="str">
        <x:v>A</x:v>
      </x:c>
      <x:c r="H1455" s="39" t="str">
        <x:f>IF(ISNUMBER('Data'!E1455),'Data'!E1455*100,"")</x:f>
      </x:c>
      <x:c r="I1455" s="35"/>
      <x:c r="J1455" s="35" t="str">
        <x:v>PASS</x:v>
      </x:c>
      <x:c r="K1455" s="35" t="str">
        <x:v>FAIL</x:v>
      </x:c>
      <x:c r="L1455" s="35" t="str">
        <x:v>NOT_RUN</x:v>
      </x:c>
      <x:c r="M1455" s="35" t="str">
        <x:v>coverage unavailable or execution/compile failed</x:v>
      </x:c>
      <x:c r="N1455" s="35" t="str">
        <x:v>Deepseek-flash-v4/Result2/Jsoup_92/result.json</x:v>
      </x:c>
      <x:c r="O1455" s="39" t="str">
        <x:f>IF(AND(G1455="RECORDED",ISNUMBER(H1455)),H1455,"")</x:f>
      </x:c>
      <x:c r="P1455" s="35" t="str">
        <x:v>NOT_AVAILABLE</x:v>
      </x:c>
      <x:c r="Q1455" s="35" t="str">
        <x:v>Deepseek-flash-v4/Result2/Jsoup_92/result.json</x:v>
      </x:c>
    </x:row>
    <x:row r="1456">
      <x:c r="A1456" s="35" t="str">
        <x:v>deepseek</x:v>
      </x:c>
      <x:c r="B1456" s="35" t="str">
        <x:v>Jsoup</x:v>
      </x:c>
      <x:c r="C1456" s="35" t="str">
        <x:v>Round2</x:v>
      </x:c>
      <x:c r="D1456" s="35" t="str">
        <x:v>Jsoup_93</x:v>
      </x:c>
      <x:c r="E1456" s="35" t="str">
        <x:v>Line</x:v>
      </x:c>
      <x:c r="F1456" s="35" t="n">
        <x:v>41</x:v>
      </x:c>
      <x:c r="G1456" s="35" t="str">
        <x:v>RECORDED</x:v>
      </x:c>
      <x:c r="H1456" s="39" t="n">
        <x:f>IF(ISNUMBER('Data'!E1456),'Data'!E1456*100,"")</x:f>
        <x:v>92.68</x:v>
      </x:c>
      <x:c r="I1456" s="35" t="str">
        <x:v>PASS</x:v>
      </x:c>
      <x:c r="J1456" s="35" t="str">
        <x:v>PASS</x:v>
      </x:c>
      <x:c r="K1456" s="35" t="str">
        <x:v>PASS</x:v>
      </x:c>
      <x:c r="L1456" s="35" t="str">
        <x:v>PASS</x:v>
      </x:c>
      <x:c r="M1456" s="35" t="str">
        <x:v>numeric coverage for applicable metric</x:v>
      </x:c>
      <x:c r="N1456" s="35" t="str">
        <x:v>Deepseek-flash-v4/Result2/Jsoup_93/result.json</x:v>
      </x:c>
      <x:c r="O1456" s="39" t="n">
        <x:f>IF(AND(G1456="RECORDED",ISNUMBER(H1456)),H1456,"")</x:f>
        <x:v>92.68</x:v>
      </x:c>
      <x:c r="P1456" s="35" t="str">
        <x:v>NOT_REVEALING</x:v>
      </x:c>
      <x:c r="Q1456" s="35" t="str">
        <x:v>Deepseek-flash-v4/Result2/Jsoup_93/result.json</x:v>
      </x:c>
    </x:row>
    <x:row r="1457">
      <x:c r="A1457" s="35" t="str">
        <x:v>deepseek</x:v>
      </x:c>
      <x:c r="B1457" s="35" t="str">
        <x:v>JxPath</x:v>
      </x:c>
      <x:c r="C1457" s="35" t="str">
        <x:v>Round2</x:v>
      </x:c>
      <x:c r="D1457" s="35" t="str">
        <x:v>JxPath_1</x:v>
      </x:c>
      <x:c r="E1457" s="35" t="str">
        <x:v>Line</x:v>
      </x:c>
      <x:c r="F1457" s="35"/>
      <x:c r="G1457" s="35" t="str">
        <x:v>A</x:v>
      </x:c>
      <x:c r="H1457" s="39" t="str">
        <x:f>IF(ISNUMBER('Data'!E1457),'Data'!E1457*100,"")</x:f>
      </x:c>
      <x:c r="I1457" s="35"/>
      <x:c r="J1457" s="35" t="str">
        <x:v>PASS</x:v>
      </x:c>
      <x:c r="K1457" s="35" t="str">
        <x:v>FAIL</x:v>
      </x:c>
      <x:c r="L1457" s="35" t="str">
        <x:v>NOT_RUN</x:v>
      </x:c>
      <x:c r="M1457" s="35" t="str">
        <x:v>coverage unavailable or execution/compile failed</x:v>
      </x:c>
      <x:c r="N1457" s="35" t="str">
        <x:v>Deepseek-flash-v4/Result2/JxPath_1/result.json</x:v>
      </x:c>
      <x:c r="O1457" s="39" t="str">
        <x:f>IF(AND(G1457="RECORDED",ISNUMBER(H1457)),H1457,"")</x:f>
      </x:c>
      <x:c r="P1457" s="35" t="str">
        <x:v>NOT_AVAILABLE</x:v>
      </x:c>
      <x:c r="Q1457" s="35" t="str">
        <x:v>Deepseek-flash-v4/Result2/JxPath_1/result.json</x:v>
      </x:c>
    </x:row>
    <x:row r="1458">
      <x:c r="A1458" s="35" t="str">
        <x:v>deepseek</x:v>
      </x:c>
      <x:c r="B1458" s="35" t="str">
        <x:v>JxPath</x:v>
      </x:c>
      <x:c r="C1458" s="35" t="str">
        <x:v>Round2</x:v>
      </x:c>
      <x:c r="D1458" s="35" t="str">
        <x:v>JxPath_10</x:v>
      </x:c>
      <x:c r="E1458" s="35" t="str">
        <x:v>Line</x:v>
      </x:c>
      <x:c r="F1458" s="35"/>
      <x:c r="G1458" s="35" t="str">
        <x:v>A</x:v>
      </x:c>
      <x:c r="H1458" s="39" t="str">
        <x:f>IF(ISNUMBER('Data'!E1458),'Data'!E1458*100,"")</x:f>
      </x:c>
      <x:c r="I1458" s="35"/>
      <x:c r="J1458" s="35" t="str">
        <x:v>PASS</x:v>
      </x:c>
      <x:c r="K1458" s="35" t="str">
        <x:v>FAIL</x:v>
      </x:c>
      <x:c r="L1458" s="35" t="str">
        <x:v>NOT_RUN</x:v>
      </x:c>
      <x:c r="M1458" s="35" t="str">
        <x:v>coverage unavailable or execution/compile failed</x:v>
      </x:c>
      <x:c r="N1458" s="35" t="str">
        <x:v>Deepseek-flash-v4/Result2/JxPath_10/result.json</x:v>
      </x:c>
      <x:c r="O1458" s="39" t="str">
        <x:f>IF(AND(G1458="RECORDED",ISNUMBER(H1458)),H1458,"")</x:f>
      </x:c>
      <x:c r="P1458" s="35" t="str">
        <x:v>NOT_AVAILABLE</x:v>
      </x:c>
      <x:c r="Q1458" s="35" t="str">
        <x:v>Deepseek-flash-v4/Result2/JxPath_10/result.json</x:v>
      </x:c>
    </x:row>
    <x:row r="1459">
      <x:c r="A1459" s="35" t="str">
        <x:v>deepseek</x:v>
      </x:c>
      <x:c r="B1459" s="35" t="str">
        <x:v>JxPath</x:v>
      </x:c>
      <x:c r="C1459" s="35" t="str">
        <x:v>Round2</x:v>
      </x:c>
      <x:c r="D1459" s="35" t="str">
        <x:v>JxPath_11</x:v>
      </x:c>
      <x:c r="E1459" s="35" t="str">
        <x:v>Line</x:v>
      </x:c>
      <x:c r="F1459" s="35"/>
      <x:c r="G1459" s="35" t="str">
        <x:v>A</x:v>
      </x:c>
      <x:c r="H1459" s="39" t="str">
        <x:f>IF(ISNUMBER('Data'!E1459),'Data'!E1459*100,"")</x:f>
      </x:c>
      <x:c r="I1459" s="35"/>
      <x:c r="J1459" s="35" t="str">
        <x:v>PASS</x:v>
      </x:c>
      <x:c r="K1459" s="35" t="str">
        <x:v>FAIL</x:v>
      </x:c>
      <x:c r="L1459" s="35" t="str">
        <x:v>NOT_RUN</x:v>
      </x:c>
      <x:c r="M1459" s="35" t="str">
        <x:v>coverage unavailable or execution/compile failed</x:v>
      </x:c>
      <x:c r="N1459" s="35" t="str">
        <x:v>Deepseek-flash-v4/Result2/JxPath_11/result.json</x:v>
      </x:c>
      <x:c r="O1459" s="39" t="str">
        <x:f>IF(AND(G1459="RECORDED",ISNUMBER(H1459)),H1459,"")</x:f>
      </x:c>
      <x:c r="P1459" s="35" t="str">
        <x:v>NOT_AVAILABLE</x:v>
      </x:c>
      <x:c r="Q1459" s="35" t="str">
        <x:v>Deepseek-flash-v4/Result2/JxPath_11/result.json</x:v>
      </x:c>
    </x:row>
    <x:row r="1460">
      <x:c r="A1460" s="35" t="str">
        <x:v>deepseek</x:v>
      </x:c>
      <x:c r="B1460" s="35" t="str">
        <x:v>JxPath</x:v>
      </x:c>
      <x:c r="C1460" s="35" t="str">
        <x:v>Round2</x:v>
      </x:c>
      <x:c r="D1460" s="35" t="str">
        <x:v>JxPath_12</x:v>
      </x:c>
      <x:c r="E1460" s="35" t="str">
        <x:v>Line</x:v>
      </x:c>
      <x:c r="F1460" s="35"/>
      <x:c r="G1460" s="35" t="str">
        <x:v>A</x:v>
      </x:c>
      <x:c r="H1460" s="39" t="str">
        <x:f>IF(ISNUMBER('Data'!E1460),'Data'!E1460*100,"")</x:f>
      </x:c>
      <x:c r="I1460" s="35"/>
      <x:c r="J1460" s="35" t="str">
        <x:v>PASS</x:v>
      </x:c>
      <x:c r="K1460" s="35" t="str">
        <x:v>FAIL</x:v>
      </x:c>
      <x:c r="L1460" s="35" t="str">
        <x:v>NOT_RUN</x:v>
      </x:c>
      <x:c r="M1460" s="35" t="str">
        <x:v>coverage unavailable or execution/compile failed</x:v>
      </x:c>
      <x:c r="N1460" s="35" t="str">
        <x:v>Deepseek-flash-v4/Result2/JxPath_12/result.json</x:v>
      </x:c>
      <x:c r="O1460" s="39" t="str">
        <x:f>IF(AND(G1460="RECORDED",ISNUMBER(H1460)),H1460,"")</x:f>
      </x:c>
      <x:c r="P1460" s="35" t="str">
        <x:v>NOT_AVAILABLE</x:v>
      </x:c>
      <x:c r="Q1460" s="35" t="str">
        <x:v>Deepseek-flash-v4/Result2/JxPath_12/result.json</x:v>
      </x:c>
    </x:row>
    <x:row r="1461">
      <x:c r="A1461" s="35" t="str">
        <x:v>deepseek</x:v>
      </x:c>
      <x:c r="B1461" s="35" t="str">
        <x:v>JxPath</x:v>
      </x:c>
      <x:c r="C1461" s="35" t="str">
        <x:v>Round2</x:v>
      </x:c>
      <x:c r="D1461" s="35" t="str">
        <x:v>JxPath_13</x:v>
      </x:c>
      <x:c r="E1461" s="35" t="str">
        <x:v>Line</x:v>
      </x:c>
      <x:c r="F1461" s="35"/>
      <x:c r="G1461" s="35" t="str">
        <x:v>A</x:v>
      </x:c>
      <x:c r="H1461" s="39" t="str">
        <x:f>IF(ISNUMBER('Data'!E1461),'Data'!E1461*100,"")</x:f>
      </x:c>
      <x:c r="I1461" s="35"/>
      <x:c r="J1461" s="35" t="str">
        <x:v>PASS</x:v>
      </x:c>
      <x:c r="K1461" s="35" t="str">
        <x:v>FAIL</x:v>
      </x:c>
      <x:c r="L1461" s="35" t="str">
        <x:v>NOT_RUN</x:v>
      </x:c>
      <x:c r="M1461" s="35" t="str">
        <x:v>coverage unavailable or execution/compile failed</x:v>
      </x:c>
      <x:c r="N1461" s="35" t="str">
        <x:v>Deepseek-flash-v4/Result2/JxPath_13/result.json</x:v>
      </x:c>
      <x:c r="O1461" s="39" t="str">
        <x:f>IF(AND(G1461="RECORDED",ISNUMBER(H1461)),H1461,"")</x:f>
      </x:c>
      <x:c r="P1461" s="35" t="str">
        <x:v>NOT_AVAILABLE</x:v>
      </x:c>
      <x:c r="Q1461" s="35" t="str">
        <x:v>Deepseek-flash-v4/Result2/JxPath_13/result.json</x:v>
      </x:c>
    </x:row>
    <x:row r="1462">
      <x:c r="A1462" s="35" t="str">
        <x:v>deepseek</x:v>
      </x:c>
      <x:c r="B1462" s="35" t="str">
        <x:v>JxPath</x:v>
      </x:c>
      <x:c r="C1462" s="35" t="str">
        <x:v>Round2</x:v>
      </x:c>
      <x:c r="D1462" s="35" t="str">
        <x:v>JxPath_14</x:v>
      </x:c>
      <x:c r="E1462" s="35" t="str">
        <x:v>Line</x:v>
      </x:c>
      <x:c r="F1462" s="35"/>
      <x:c r="G1462" s="35" t="str">
        <x:v>A</x:v>
      </x:c>
      <x:c r="H1462" s="39" t="str">
        <x:f>IF(ISNUMBER('Data'!E1462),'Data'!E1462*100,"")</x:f>
      </x:c>
      <x:c r="I1462" s="35"/>
      <x:c r="J1462" s="35" t="str">
        <x:v>PASS</x:v>
      </x:c>
      <x:c r="K1462" s="35" t="str">
        <x:v>FAIL</x:v>
      </x:c>
      <x:c r="L1462" s="35" t="str">
        <x:v>NOT_RUN</x:v>
      </x:c>
      <x:c r="M1462" s="35" t="str">
        <x:v>coverage unavailable or execution/compile failed</x:v>
      </x:c>
      <x:c r="N1462" s="35" t="str">
        <x:v>Deepseek-flash-v4/Result2/JxPath_14/result.json</x:v>
      </x:c>
      <x:c r="O1462" s="39" t="str">
        <x:f>IF(AND(G1462="RECORDED",ISNUMBER(H1462)),H1462,"")</x:f>
      </x:c>
      <x:c r="P1462" s="35" t="str">
        <x:v>NOT_AVAILABLE</x:v>
      </x:c>
      <x:c r="Q1462" s="35" t="str">
        <x:v>Deepseek-flash-v4/Result2/JxPath_14/result.json</x:v>
      </x:c>
    </x:row>
    <x:row r="1463">
      <x:c r="A1463" s="35" t="str">
        <x:v>deepseek</x:v>
      </x:c>
      <x:c r="B1463" s="35" t="str">
        <x:v>JxPath</x:v>
      </x:c>
      <x:c r="C1463" s="35" t="str">
        <x:v>Round2</x:v>
      </x:c>
      <x:c r="D1463" s="35" t="str">
        <x:v>JxPath_15</x:v>
      </x:c>
      <x:c r="E1463" s="35" t="str">
        <x:v>Line</x:v>
      </x:c>
      <x:c r="F1463" s="35"/>
      <x:c r="G1463" s="35" t="str">
        <x:v>A</x:v>
      </x:c>
      <x:c r="H1463" s="39" t="str">
        <x:f>IF(ISNUMBER('Data'!E1463),'Data'!E1463*100,"")</x:f>
      </x:c>
      <x:c r="I1463" s="35"/>
      <x:c r="J1463" s="35" t="str">
        <x:v>PASS</x:v>
      </x:c>
      <x:c r="K1463" s="35" t="str">
        <x:v>FAIL</x:v>
      </x:c>
      <x:c r="L1463" s="35" t="str">
        <x:v>NOT_RUN</x:v>
      </x:c>
      <x:c r="M1463" s="35" t="str">
        <x:v>coverage unavailable or execution/compile failed</x:v>
      </x:c>
      <x:c r="N1463" s="35" t="str">
        <x:v>Deepseek-flash-v4/Result2/JxPath_15/result.json</x:v>
      </x:c>
      <x:c r="O1463" s="39" t="str">
        <x:f>IF(AND(G1463="RECORDED",ISNUMBER(H1463)),H1463,"")</x:f>
      </x:c>
      <x:c r="P1463" s="35" t="str">
        <x:v>NOT_AVAILABLE</x:v>
      </x:c>
      <x:c r="Q1463" s="35" t="str">
        <x:v>Deepseek-flash-v4/Result2/JxPath_15/result.json</x:v>
      </x:c>
    </x:row>
    <x:row r="1464">
      <x:c r="A1464" s="35" t="str">
        <x:v>deepseek</x:v>
      </x:c>
      <x:c r="B1464" s="35" t="str">
        <x:v>JxPath</x:v>
      </x:c>
      <x:c r="C1464" s="35" t="str">
        <x:v>Round2</x:v>
      </x:c>
      <x:c r="D1464" s="35" t="str">
        <x:v>JxPath_16</x:v>
      </x:c>
      <x:c r="E1464" s="35" t="str">
        <x:v>Line</x:v>
      </x:c>
      <x:c r="F1464" s="35"/>
      <x:c r="G1464" s="35" t="str">
        <x:v>A</x:v>
      </x:c>
      <x:c r="H1464" s="39" t="str">
        <x:f>IF(ISNUMBER('Data'!E1464),'Data'!E1464*100,"")</x:f>
      </x:c>
      <x:c r="I1464" s="35"/>
      <x:c r="J1464" s="35" t="str">
        <x:v>PASS</x:v>
      </x:c>
      <x:c r="K1464" s="35" t="str">
        <x:v>FAIL</x:v>
      </x:c>
      <x:c r="L1464" s="35" t="str">
        <x:v>NOT_RUN</x:v>
      </x:c>
      <x:c r="M1464" s="35" t="str">
        <x:v>coverage unavailable or execution/compile failed</x:v>
      </x:c>
      <x:c r="N1464" s="35" t="str">
        <x:v>Deepseek-flash-v4/Result2/JxPath_16/result.json</x:v>
      </x:c>
      <x:c r="O1464" s="39" t="str">
        <x:f>IF(AND(G1464="RECORDED",ISNUMBER(H1464)),H1464,"")</x:f>
      </x:c>
      <x:c r="P1464" s="35" t="str">
        <x:v>NOT_AVAILABLE</x:v>
      </x:c>
      <x:c r="Q1464" s="35" t="str">
        <x:v>Deepseek-flash-v4/Result2/JxPath_16/result.json</x:v>
      </x:c>
    </x:row>
    <x:row r="1465">
      <x:c r="A1465" s="35" t="str">
        <x:v>deepseek</x:v>
      </x:c>
      <x:c r="B1465" s="35" t="str">
        <x:v>JxPath</x:v>
      </x:c>
      <x:c r="C1465" s="35" t="str">
        <x:v>Round2</x:v>
      </x:c>
      <x:c r="D1465" s="35" t="str">
        <x:v>JxPath_17</x:v>
      </x:c>
      <x:c r="E1465" s="35" t="str">
        <x:v>Line</x:v>
      </x:c>
      <x:c r="F1465" s="35"/>
      <x:c r="G1465" s="35" t="str">
        <x:v>A</x:v>
      </x:c>
      <x:c r="H1465" s="39" t="str">
        <x:f>IF(ISNUMBER('Data'!E1465),'Data'!E1465*100,"")</x:f>
      </x:c>
      <x:c r="I1465" s="35"/>
      <x:c r="J1465" s="35" t="str">
        <x:v>PASS</x:v>
      </x:c>
      <x:c r="K1465" s="35" t="str">
        <x:v>FAIL</x:v>
      </x:c>
      <x:c r="L1465" s="35" t="str">
        <x:v>NOT_RUN</x:v>
      </x:c>
      <x:c r="M1465" s="35" t="str">
        <x:v>coverage unavailable or execution/compile failed</x:v>
      </x:c>
      <x:c r="N1465" s="35" t="str">
        <x:v>Deepseek-flash-v4/Result2/JxPath_17/result.json</x:v>
      </x:c>
      <x:c r="O1465" s="39" t="str">
        <x:f>IF(AND(G1465="RECORDED",ISNUMBER(H1465)),H1465,"")</x:f>
      </x:c>
      <x:c r="P1465" s="35" t="str">
        <x:v>NOT_AVAILABLE</x:v>
      </x:c>
      <x:c r="Q1465" s="35" t="str">
        <x:v>Deepseek-flash-v4/Result2/JxPath_17/result.json</x:v>
      </x:c>
    </x:row>
    <x:row r="1466">
      <x:c r="A1466" s="35" t="str">
        <x:v>deepseek</x:v>
      </x:c>
      <x:c r="B1466" s="35" t="str">
        <x:v>JxPath</x:v>
      </x:c>
      <x:c r="C1466" s="35" t="str">
        <x:v>Round2</x:v>
      </x:c>
      <x:c r="D1466" s="35" t="str">
        <x:v>JxPath_18</x:v>
      </x:c>
      <x:c r="E1466" s="35" t="str">
        <x:v>Line</x:v>
      </x:c>
      <x:c r="F1466" s="35"/>
      <x:c r="G1466" s="35" t="str">
        <x:v>A</x:v>
      </x:c>
      <x:c r="H1466" s="39" t="str">
        <x:f>IF(ISNUMBER('Data'!E1466),'Data'!E1466*100,"")</x:f>
      </x:c>
      <x:c r="I1466" s="35"/>
      <x:c r="J1466" s="35" t="str">
        <x:v>PASS</x:v>
      </x:c>
      <x:c r="K1466" s="35" t="str">
        <x:v>FAIL</x:v>
      </x:c>
      <x:c r="L1466" s="35" t="str">
        <x:v>NOT_RUN</x:v>
      </x:c>
      <x:c r="M1466" s="35" t="str">
        <x:v>coverage unavailable or execution/compile failed</x:v>
      </x:c>
      <x:c r="N1466" s="35" t="str">
        <x:v>Deepseek-flash-v4/Result2/JxPath_18/result.json</x:v>
      </x:c>
      <x:c r="O1466" s="39" t="str">
        <x:f>IF(AND(G1466="RECORDED",ISNUMBER(H1466)),H1466,"")</x:f>
      </x:c>
      <x:c r="P1466" s="35" t="str">
        <x:v>NOT_AVAILABLE</x:v>
      </x:c>
      <x:c r="Q1466" s="35" t="str">
        <x:v>Deepseek-flash-v4/Result2/JxPath_18/result.json</x:v>
      </x:c>
    </x:row>
    <x:row r="1467">
      <x:c r="A1467" s="35" t="str">
        <x:v>deepseek</x:v>
      </x:c>
      <x:c r="B1467" s="35" t="str">
        <x:v>JxPath</x:v>
      </x:c>
      <x:c r="C1467" s="35" t="str">
        <x:v>Round2</x:v>
      </x:c>
      <x:c r="D1467" s="35" t="str">
        <x:v>JxPath_19</x:v>
      </x:c>
      <x:c r="E1467" s="35" t="str">
        <x:v>Line</x:v>
      </x:c>
      <x:c r="F1467" s="35"/>
      <x:c r="G1467" s="35" t="str">
        <x:v>A</x:v>
      </x:c>
      <x:c r="H1467" s="39" t="str">
        <x:f>IF(ISNUMBER('Data'!E1467),'Data'!E1467*100,"")</x:f>
      </x:c>
      <x:c r="I1467" s="35"/>
      <x:c r="J1467" s="35" t="str">
        <x:v>PASS</x:v>
      </x:c>
      <x:c r="K1467" s="35" t="str">
        <x:v>FAIL</x:v>
      </x:c>
      <x:c r="L1467" s="35" t="str">
        <x:v>NOT_RUN</x:v>
      </x:c>
      <x:c r="M1467" s="35" t="str">
        <x:v>coverage unavailable or execution/compile failed</x:v>
      </x:c>
      <x:c r="N1467" s="35" t="str">
        <x:v>Deepseek-flash-v4/Result2/JxPath_19/result.json</x:v>
      </x:c>
      <x:c r="O1467" s="39" t="str">
        <x:f>IF(AND(G1467="RECORDED",ISNUMBER(H1467)),H1467,"")</x:f>
      </x:c>
      <x:c r="P1467" s="35" t="str">
        <x:v>NOT_AVAILABLE</x:v>
      </x:c>
      <x:c r="Q1467" s="35" t="str">
        <x:v>Deepseek-flash-v4/Result2/JxPath_19/result.json</x:v>
      </x:c>
    </x:row>
    <x:row r="1468">
      <x:c r="A1468" s="35" t="str">
        <x:v>deepseek</x:v>
      </x:c>
      <x:c r="B1468" s="35" t="str">
        <x:v>JxPath</x:v>
      </x:c>
      <x:c r="C1468" s="35" t="str">
        <x:v>Round2</x:v>
      </x:c>
      <x:c r="D1468" s="35" t="str">
        <x:v>JxPath_2</x:v>
      </x:c>
      <x:c r="E1468" s="35" t="str">
        <x:v>Line</x:v>
      </x:c>
      <x:c r="F1468" s="35"/>
      <x:c r="G1468" s="35" t="str">
        <x:v>A</x:v>
      </x:c>
      <x:c r="H1468" s="39" t="str">
        <x:f>IF(ISNUMBER('Data'!E1468),'Data'!E1468*100,"")</x:f>
      </x:c>
      <x:c r="I1468" s="35"/>
      <x:c r="J1468" s="35" t="str">
        <x:v>PASS</x:v>
      </x:c>
      <x:c r="K1468" s="35" t="str">
        <x:v>FAIL</x:v>
      </x:c>
      <x:c r="L1468" s="35" t="str">
        <x:v>NOT_RUN</x:v>
      </x:c>
      <x:c r="M1468" s="35" t="str">
        <x:v>coverage unavailable or execution/compile failed</x:v>
      </x:c>
      <x:c r="N1468" s="35" t="str">
        <x:v>Deepseek-flash-v4/Result2/JxPath_2/result.json</x:v>
      </x:c>
      <x:c r="O1468" s="39" t="str">
        <x:f>IF(AND(G1468="RECORDED",ISNUMBER(H1468)),H1468,"")</x:f>
      </x:c>
      <x:c r="P1468" s="35" t="str">
        <x:v>NOT_AVAILABLE</x:v>
      </x:c>
      <x:c r="Q1468" s="35" t="str">
        <x:v>Deepseek-flash-v4/Result2/JxPath_2/result.json</x:v>
      </x:c>
    </x:row>
    <x:row r="1469">
      <x:c r="A1469" s="35" t="str">
        <x:v>deepseek</x:v>
      </x:c>
      <x:c r="B1469" s="35" t="str">
        <x:v>JxPath</x:v>
      </x:c>
      <x:c r="C1469" s="35" t="str">
        <x:v>Round2</x:v>
      </x:c>
      <x:c r="D1469" s="35" t="str">
        <x:v>JxPath_20</x:v>
      </x:c>
      <x:c r="E1469" s="35" t="str">
        <x:v>Line</x:v>
      </x:c>
      <x:c r="F1469" s="35"/>
      <x:c r="G1469" s="35" t="str">
        <x:v>A</x:v>
      </x:c>
      <x:c r="H1469" s="39" t="str">
        <x:f>IF(ISNUMBER('Data'!E1469),'Data'!E1469*100,"")</x:f>
      </x:c>
      <x:c r="I1469" s="35"/>
      <x:c r="J1469" s="35" t="str">
        <x:v>PASS</x:v>
      </x:c>
      <x:c r="K1469" s="35" t="str">
        <x:v>FAIL</x:v>
      </x:c>
      <x:c r="L1469" s="35" t="str">
        <x:v>NOT_RUN</x:v>
      </x:c>
      <x:c r="M1469" s="35" t="str">
        <x:v>coverage unavailable or execution/compile failed</x:v>
      </x:c>
      <x:c r="N1469" s="35" t="str">
        <x:v>Deepseek-flash-v4/Result2/JxPath_20/result.json</x:v>
      </x:c>
      <x:c r="O1469" s="39" t="str">
        <x:f>IF(AND(G1469="RECORDED",ISNUMBER(H1469)),H1469,"")</x:f>
      </x:c>
      <x:c r="P1469" s="35" t="str">
        <x:v>NOT_AVAILABLE</x:v>
      </x:c>
      <x:c r="Q1469" s="35" t="str">
        <x:v>Deepseek-flash-v4/Result2/JxPath_20/result.json</x:v>
      </x:c>
    </x:row>
    <x:row r="1470">
      <x:c r="A1470" s="35" t="str">
        <x:v>deepseek</x:v>
      </x:c>
      <x:c r="B1470" s="35" t="str">
        <x:v>JxPath</x:v>
      </x:c>
      <x:c r="C1470" s="35" t="str">
        <x:v>Round2</x:v>
      </x:c>
      <x:c r="D1470" s="35" t="str">
        <x:v>JxPath_21</x:v>
      </x:c>
      <x:c r="E1470" s="35" t="str">
        <x:v>Line</x:v>
      </x:c>
      <x:c r="F1470" s="35"/>
      <x:c r="G1470" s="35" t="str">
        <x:v>A</x:v>
      </x:c>
      <x:c r="H1470" s="39" t="str">
        <x:f>IF(ISNUMBER('Data'!E1470),'Data'!E1470*100,"")</x:f>
      </x:c>
      <x:c r="I1470" s="35"/>
      <x:c r="J1470" s="35" t="str">
        <x:v>PASS</x:v>
      </x:c>
      <x:c r="K1470" s="35" t="str">
        <x:v>FAIL</x:v>
      </x:c>
      <x:c r="L1470" s="35" t="str">
        <x:v>NOT_RUN</x:v>
      </x:c>
      <x:c r="M1470" s="35" t="str">
        <x:v>coverage unavailable or execution/compile failed</x:v>
      </x:c>
      <x:c r="N1470" s="35" t="str">
        <x:v>Deepseek-flash-v4/Result2/JxPath_21/result.json</x:v>
      </x:c>
      <x:c r="O1470" s="39" t="str">
        <x:f>IF(AND(G1470="RECORDED",ISNUMBER(H1470)),H1470,"")</x:f>
      </x:c>
      <x:c r="P1470" s="35" t="str">
        <x:v>NOT_AVAILABLE</x:v>
      </x:c>
      <x:c r="Q1470" s="35" t="str">
        <x:v>Deepseek-flash-v4/Result2/JxPath_21/result.json</x:v>
      </x:c>
    </x:row>
    <x:row r="1471">
      <x:c r="A1471" s="35" t="str">
        <x:v>deepseek</x:v>
      </x:c>
      <x:c r="B1471" s="35" t="str">
        <x:v>JxPath</x:v>
      </x:c>
      <x:c r="C1471" s="35" t="str">
        <x:v>Round2</x:v>
      </x:c>
      <x:c r="D1471" s="35" t="str">
        <x:v>JxPath_22</x:v>
      </x:c>
      <x:c r="E1471" s="35" t="str">
        <x:v>Line</x:v>
      </x:c>
      <x:c r="F1471" s="35"/>
      <x:c r="G1471" s="35" t="str">
        <x:v>A</x:v>
      </x:c>
      <x:c r="H1471" s="39" t="str">
        <x:f>IF(ISNUMBER('Data'!E1471),'Data'!E1471*100,"")</x:f>
      </x:c>
      <x:c r="I1471" s="35"/>
      <x:c r="J1471" s="35" t="str">
        <x:v>PASS</x:v>
      </x:c>
      <x:c r="K1471" s="35" t="str">
        <x:v>FAIL</x:v>
      </x:c>
      <x:c r="L1471" s="35" t="str">
        <x:v>NOT_RUN</x:v>
      </x:c>
      <x:c r="M1471" s="35" t="str">
        <x:v>coverage unavailable or execution/compile failed</x:v>
      </x:c>
      <x:c r="N1471" s="35" t="str">
        <x:v>Deepseek-flash-v4/Result2/JxPath_22/result.json</x:v>
      </x:c>
      <x:c r="O1471" s="39" t="str">
        <x:f>IF(AND(G1471="RECORDED",ISNUMBER(H1471)),H1471,"")</x:f>
      </x:c>
      <x:c r="P1471" s="35" t="str">
        <x:v>NOT_AVAILABLE</x:v>
      </x:c>
      <x:c r="Q1471" s="35" t="str">
        <x:v>Deepseek-flash-v4/Result2/JxPath_22/result.json</x:v>
      </x:c>
    </x:row>
    <x:row r="1472">
      <x:c r="A1472" s="35" t="str">
        <x:v>deepseek</x:v>
      </x:c>
      <x:c r="B1472" s="35" t="str">
        <x:v>JxPath</x:v>
      </x:c>
      <x:c r="C1472" s="35" t="str">
        <x:v>Round2</x:v>
      </x:c>
      <x:c r="D1472" s="35" t="str">
        <x:v>JxPath_3</x:v>
      </x:c>
      <x:c r="E1472" s="35" t="str">
        <x:v>Line</x:v>
      </x:c>
      <x:c r="F1472" s="35" t="n">
        <x:v>77</x:v>
      </x:c>
      <x:c r="G1472" s="35" t="str">
        <x:v>RECORDED</x:v>
      </x:c>
      <x:c r="H1472" s="39" t="n">
        <x:f>IF(ISNUMBER('Data'!E1472),'Data'!E1472*100,"")</x:f>
        <x:v>68.83</x:v>
      </x:c>
      <x:c r="I1472" s="35" t="str">
        <x:v>PASS</x:v>
      </x:c>
      <x:c r="J1472" s="35" t="str">
        <x:v>PASS</x:v>
      </x:c>
      <x:c r="K1472" s="35" t="str">
        <x:v>PASS</x:v>
      </x:c>
      <x:c r="L1472" s="35" t="str">
        <x:v>FAIL</x:v>
      </x:c>
      <x:c r="M1472" s="35" t="str">
        <x:v>numeric coverage for applicable metric</x:v>
      </x:c>
      <x:c r="N1472" s="35" t="str">
        <x:v>Deepseek-flash-v4/Result2/JxPath_3/result.json</x:v>
      </x:c>
      <x:c r="O1472" s="39" t="n">
        <x:f>IF(AND(G1472="RECORDED",ISNUMBER(H1472)),H1472,"")</x:f>
        <x:v>68.83</x:v>
      </x:c>
      <x:c r="P1472" s="35" t="str">
        <x:v>INCONCLUSIVE</x:v>
      </x:c>
      <x:c r="Q1472" s="35" t="str">
        <x:v>Deepseek-flash-v4/Result2/JxPath_3/result.json</x:v>
      </x:c>
    </x:row>
    <x:row r="1473">
      <x:c r="A1473" s="35" t="str">
        <x:v>deepseek</x:v>
      </x:c>
      <x:c r="B1473" s="35" t="str">
        <x:v>JxPath</x:v>
      </x:c>
      <x:c r="C1473" s="35" t="str">
        <x:v>Round2</x:v>
      </x:c>
      <x:c r="D1473" s="35" t="str">
        <x:v>JxPath_4</x:v>
      </x:c>
      <x:c r="E1473" s="35" t="str">
        <x:v>Line</x:v>
      </x:c>
      <x:c r="F1473" s="35"/>
      <x:c r="G1473" s="35" t="str">
        <x:v>A</x:v>
      </x:c>
      <x:c r="H1473" s="39" t="str">
        <x:f>IF(ISNUMBER('Data'!E1473),'Data'!E1473*100,"")</x:f>
      </x:c>
      <x:c r="I1473" s="35"/>
      <x:c r="J1473" s="35" t="str">
        <x:v>PASS</x:v>
      </x:c>
      <x:c r="K1473" s="35" t="str">
        <x:v>FAIL</x:v>
      </x:c>
      <x:c r="L1473" s="35" t="str">
        <x:v>NOT_RUN</x:v>
      </x:c>
      <x:c r="M1473" s="35" t="str">
        <x:v>coverage unavailable or execution/compile failed</x:v>
      </x:c>
      <x:c r="N1473" s="35" t="str">
        <x:v>Deepseek-flash-v4/Result2/JxPath_4/result.json</x:v>
      </x:c>
      <x:c r="O1473" s="39" t="str">
        <x:f>IF(AND(G1473="RECORDED",ISNUMBER(H1473)),H1473,"")</x:f>
      </x:c>
      <x:c r="P1473" s="35" t="str">
        <x:v>NOT_AVAILABLE</x:v>
      </x:c>
      <x:c r="Q1473" s="35" t="str">
        <x:v>Deepseek-flash-v4/Result2/JxPath_4/result.json</x:v>
      </x:c>
    </x:row>
    <x:row r="1474">
      <x:c r="A1474" s="35" t="str">
        <x:v>deepseek</x:v>
      </x:c>
      <x:c r="B1474" s="35" t="str">
        <x:v>JxPath</x:v>
      </x:c>
      <x:c r="C1474" s="35" t="str">
        <x:v>Round2</x:v>
      </x:c>
      <x:c r="D1474" s="35" t="str">
        <x:v>JxPath_5</x:v>
      </x:c>
      <x:c r="E1474" s="35" t="str">
        <x:v>Line</x:v>
      </x:c>
      <x:c r="F1474" s="35"/>
      <x:c r="G1474" s="35" t="str">
        <x:v>A</x:v>
      </x:c>
      <x:c r="H1474" s="39" t="str">
        <x:f>IF(ISNUMBER('Data'!E1474),'Data'!E1474*100,"")</x:f>
      </x:c>
      <x:c r="I1474" s="35"/>
      <x:c r="J1474" s="35" t="str">
        <x:v>PASS</x:v>
      </x:c>
      <x:c r="K1474" s="35" t="str">
        <x:v>FAIL</x:v>
      </x:c>
      <x:c r="L1474" s="35" t="str">
        <x:v>NOT_RUN</x:v>
      </x:c>
      <x:c r="M1474" s="35" t="str">
        <x:v>coverage unavailable or execution/compile failed</x:v>
      </x:c>
      <x:c r="N1474" s="35" t="str">
        <x:v>Deepseek-flash-v4/Result2/JxPath_5/result.json</x:v>
      </x:c>
      <x:c r="O1474" s="39" t="str">
        <x:f>IF(AND(G1474="RECORDED",ISNUMBER(H1474)),H1474,"")</x:f>
      </x:c>
      <x:c r="P1474" s="35" t="str">
        <x:v>NOT_AVAILABLE</x:v>
      </x:c>
      <x:c r="Q1474" s="35" t="str">
        <x:v>Deepseek-flash-v4/Result2/JxPath_5/result.json</x:v>
      </x:c>
    </x:row>
    <x:row r="1475">
      <x:c r="A1475" s="35" t="str">
        <x:v>deepseek</x:v>
      </x:c>
      <x:c r="B1475" s="35" t="str">
        <x:v>JxPath</x:v>
      </x:c>
      <x:c r="C1475" s="35" t="str">
        <x:v>Round2</x:v>
      </x:c>
      <x:c r="D1475" s="35" t="str">
        <x:v>JxPath_6</x:v>
      </x:c>
      <x:c r="E1475" s="35" t="str">
        <x:v>Line</x:v>
      </x:c>
      <x:c r="F1475" s="35"/>
      <x:c r="G1475" s="35" t="str">
        <x:v>A</x:v>
      </x:c>
      <x:c r="H1475" s="39" t="str">
        <x:f>IF(ISNUMBER('Data'!E1475),'Data'!E1475*100,"")</x:f>
      </x:c>
      <x:c r="I1475" s="35"/>
      <x:c r="J1475" s="35" t="str">
        <x:v>PASS</x:v>
      </x:c>
      <x:c r="K1475" s="35" t="str">
        <x:v>FAIL</x:v>
      </x:c>
      <x:c r="L1475" s="35" t="str">
        <x:v>NOT_RUN</x:v>
      </x:c>
      <x:c r="M1475" s="35" t="str">
        <x:v>coverage unavailable or execution/compile failed</x:v>
      </x:c>
      <x:c r="N1475" s="35" t="str">
        <x:v>Deepseek-flash-v4/Result2/JxPath_6/result.json</x:v>
      </x:c>
      <x:c r="O1475" s="39" t="str">
        <x:f>IF(AND(G1475="RECORDED",ISNUMBER(H1475)),H1475,"")</x:f>
      </x:c>
      <x:c r="P1475" s="35" t="str">
        <x:v>NOT_AVAILABLE</x:v>
      </x:c>
      <x:c r="Q1475" s="35" t="str">
        <x:v>Deepseek-flash-v4/Result2/JxPath_6/result.json</x:v>
      </x:c>
    </x:row>
    <x:row r="1476">
      <x:c r="A1476" s="35" t="str">
        <x:v>deepseek</x:v>
      </x:c>
      <x:c r="B1476" s="35" t="str">
        <x:v>JxPath</x:v>
      </x:c>
      <x:c r="C1476" s="35" t="str">
        <x:v>Round2</x:v>
      </x:c>
      <x:c r="D1476" s="35" t="str">
        <x:v>JxPath_7</x:v>
      </x:c>
      <x:c r="E1476" s="35" t="str">
        <x:v>Line</x:v>
      </x:c>
      <x:c r="F1476" s="35"/>
      <x:c r="G1476" s="35" t="str">
        <x:v>A</x:v>
      </x:c>
      <x:c r="H1476" s="39" t="str">
        <x:f>IF(ISNUMBER('Data'!E1476),'Data'!E1476*100,"")</x:f>
      </x:c>
      <x:c r="I1476" s="35"/>
      <x:c r="J1476" s="35" t="str">
        <x:v>PASS</x:v>
      </x:c>
      <x:c r="K1476" s="35" t="str">
        <x:v>FAIL</x:v>
      </x:c>
      <x:c r="L1476" s="35" t="str">
        <x:v>NOT_RUN</x:v>
      </x:c>
      <x:c r="M1476" s="35" t="str">
        <x:v>coverage unavailable or execution/compile failed</x:v>
      </x:c>
      <x:c r="N1476" s="35" t="str">
        <x:v>Deepseek-flash-v4/Result2/JxPath_7/result.json</x:v>
      </x:c>
      <x:c r="O1476" s="39" t="str">
        <x:f>IF(AND(G1476="RECORDED",ISNUMBER(H1476)),H1476,"")</x:f>
      </x:c>
      <x:c r="P1476" s="35" t="str">
        <x:v>NOT_AVAILABLE</x:v>
      </x:c>
      <x:c r="Q1476" s="35" t="str">
        <x:v>Deepseek-flash-v4/Result2/JxPath_7/result.json</x:v>
      </x:c>
    </x:row>
    <x:row r="1477">
      <x:c r="A1477" s="35" t="str">
        <x:v>deepseek</x:v>
      </x:c>
      <x:c r="B1477" s="35" t="str">
        <x:v>JxPath</x:v>
      </x:c>
      <x:c r="C1477" s="35" t="str">
        <x:v>Round2</x:v>
      </x:c>
      <x:c r="D1477" s="35" t="str">
        <x:v>JxPath_8</x:v>
      </x:c>
      <x:c r="E1477" s="35" t="str">
        <x:v>Line</x:v>
      </x:c>
      <x:c r="F1477" s="35"/>
      <x:c r="G1477" s="35" t="str">
        <x:v>A</x:v>
      </x:c>
      <x:c r="H1477" s="39" t="str">
        <x:f>IF(ISNUMBER('Data'!E1477),'Data'!E1477*100,"")</x:f>
      </x:c>
      <x:c r="I1477" s="35"/>
      <x:c r="J1477" s="35" t="str">
        <x:v>PASS</x:v>
      </x:c>
      <x:c r="K1477" s="35" t="str">
        <x:v>FAIL</x:v>
      </x:c>
      <x:c r="L1477" s="35" t="str">
        <x:v>NOT_RUN</x:v>
      </x:c>
      <x:c r="M1477" s="35" t="str">
        <x:v>coverage unavailable or execution/compile failed</x:v>
      </x:c>
      <x:c r="N1477" s="35" t="str">
        <x:v>Deepseek-flash-v4/Result2/JxPath_8/result.json</x:v>
      </x:c>
      <x:c r="O1477" s="39" t="str">
        <x:f>IF(AND(G1477="RECORDED",ISNUMBER(H1477)),H1477,"")</x:f>
      </x:c>
      <x:c r="P1477" s="35" t="str">
        <x:v>NOT_AVAILABLE</x:v>
      </x:c>
      <x:c r="Q1477" s="35" t="str">
        <x:v>Deepseek-flash-v4/Result2/JxPath_8/result.json</x:v>
      </x:c>
    </x:row>
    <x:row r="1478">
      <x:c r="A1478" s="35" t="str">
        <x:v>deepseek</x:v>
      </x:c>
      <x:c r="B1478" s="35" t="str">
        <x:v>JxPath</x:v>
      </x:c>
      <x:c r="C1478" s="35" t="str">
        <x:v>Round2</x:v>
      </x:c>
      <x:c r="D1478" s="35" t="str">
        <x:v>JxPath_9</x:v>
      </x:c>
      <x:c r="E1478" s="35" t="str">
        <x:v>Line</x:v>
      </x:c>
      <x:c r="F1478" s="35"/>
      <x:c r="G1478" s="35" t="str">
        <x:v>A</x:v>
      </x:c>
      <x:c r="H1478" s="39" t="str">
        <x:f>IF(ISNUMBER('Data'!E1478),'Data'!E1478*100,"")</x:f>
      </x:c>
      <x:c r="I1478" s="35"/>
      <x:c r="J1478" s="35" t="str">
        <x:v>PASS</x:v>
      </x:c>
      <x:c r="K1478" s="35" t="str">
        <x:v>FAIL</x:v>
      </x:c>
      <x:c r="L1478" s="35" t="str">
        <x:v>NOT_RUN</x:v>
      </x:c>
      <x:c r="M1478" s="35" t="str">
        <x:v>coverage unavailable or execution/compile failed</x:v>
      </x:c>
      <x:c r="N1478" s="35" t="str">
        <x:v>Deepseek-flash-v4/Result2/JxPath_9/result.json</x:v>
      </x:c>
      <x:c r="O1478" s="39" t="str">
        <x:f>IF(AND(G1478="RECORDED",ISNUMBER(H1478)),H1478,"")</x:f>
      </x:c>
      <x:c r="P1478" s="35" t="str">
        <x:v>NOT_AVAILABLE</x:v>
      </x:c>
      <x:c r="Q1478" s="35" t="str">
        <x:v>Deepseek-flash-v4/Result2/JxPath_9/result.json</x:v>
      </x:c>
    </x:row>
    <x:row r="1479">
      <x:c r="A1479" s="35" t="str">
        <x:v>deepseek</x:v>
      </x:c>
      <x:c r="B1479" s="35" t="str">
        <x:v>Lang</x:v>
      </x:c>
      <x:c r="C1479" s="35" t="str">
        <x:v>Round2</x:v>
      </x:c>
      <x:c r="D1479" s="35" t="str">
        <x:v>Lang_1</x:v>
      </x:c>
      <x:c r="E1479" s="35" t="str">
        <x:v>Line</x:v>
      </x:c>
      <x:c r="F1479" s="35" t="n">
        <x:v>375</x:v>
      </x:c>
      <x:c r="G1479" s="35" t="str">
        <x:v>RECORDED</x:v>
      </x:c>
      <x:c r="H1479" s="39" t="n">
        <x:f>IF(ISNUMBER('Data'!E1479),'Data'!E1479*100,"")</x:f>
        <x:v>80.27</x:v>
      </x:c>
      <x:c r="I1479" s="35" t="str">
        <x:v>PASS</x:v>
      </x:c>
      <x:c r="J1479" s="35" t="str">
        <x:v>PASS</x:v>
      </x:c>
      <x:c r="K1479" s="35" t="str">
        <x:v>PASS</x:v>
      </x:c>
      <x:c r="L1479" s="35" t="str">
        <x:v>PASS</x:v>
      </x:c>
      <x:c r="M1479" s="35" t="str">
        <x:v>numeric coverage for applicable metric</x:v>
      </x:c>
      <x:c r="N1479" s="35" t="str">
        <x:v>Deepseek-flash-v4/Result2/Lang_1/result.json</x:v>
      </x:c>
      <x:c r="O1479" s="39" t="n">
        <x:f>IF(AND(G1479="RECORDED",ISNUMBER(H1479)),H1479,"")</x:f>
        <x:v>80.27</x:v>
      </x:c>
      <x:c r="P1479" s="35" t="str">
        <x:v>NOT_REVEALING</x:v>
      </x:c>
      <x:c r="Q1479" s="35" t="str">
        <x:v>Deepseek-flash-v4/Result2/Lang_1/result.json</x:v>
      </x:c>
    </x:row>
    <x:row r="1480">
      <x:c r="A1480" s="35" t="str">
        <x:v>deepseek</x:v>
      </x:c>
      <x:c r="B1480" s="35" t="str">
        <x:v>Lang</x:v>
      </x:c>
      <x:c r="C1480" s="35" t="str">
        <x:v>Round2</x:v>
      </x:c>
      <x:c r="D1480" s="35" t="str">
        <x:v>Lang_10</x:v>
      </x:c>
      <x:c r="E1480" s="35" t="str">
        <x:v>Line</x:v>
      </x:c>
      <x:c r="F1480" s="35" t="n">
        <x:v>279</x:v>
      </x:c>
      <x:c r="G1480" s="35" t="str">
        <x:v>RECORDED</x:v>
      </x:c>
      <x:c r="H1480" s="39" t="n">
        <x:f>IF(ISNUMBER('Data'!E1480),'Data'!E1480*100,"")</x:f>
        <x:v>81.72</x:v>
      </x:c>
      <x:c r="I1480" s="35" t="str">
        <x:v>PASS</x:v>
      </x:c>
      <x:c r="J1480" s="35" t="str">
        <x:v>PASS</x:v>
      </x:c>
      <x:c r="K1480" s="35" t="str">
        <x:v>PASS</x:v>
      </x:c>
      <x:c r="L1480" s="35" t="str">
        <x:v>PASS</x:v>
      </x:c>
      <x:c r="M1480" s="35" t="str">
        <x:v>numeric coverage for applicable metric</x:v>
      </x:c>
      <x:c r="N1480" s="35" t="str">
        <x:v>Deepseek-flash-v4/Result2/Lang_10/result.json</x:v>
      </x:c>
      <x:c r="O1480" s="39" t="n">
        <x:f>IF(AND(G1480="RECORDED",ISNUMBER(H1480)),H1480,"")</x:f>
        <x:v>81.72</x:v>
      </x:c>
      <x:c r="P1480" s="35" t="str">
        <x:v>NOT_REVEALING</x:v>
      </x:c>
      <x:c r="Q1480" s="35" t="str">
        <x:v>Deepseek-flash-v4/Result2/Lang_10/result.json</x:v>
      </x:c>
    </x:row>
    <x:row r="1481">
      <x:c r="A1481" s="35" t="str">
        <x:v>deepseek</x:v>
      </x:c>
      <x:c r="B1481" s="35" t="str">
        <x:v>Lang</x:v>
      </x:c>
      <x:c r="C1481" s="35" t="str">
        <x:v>Round2</x:v>
      </x:c>
      <x:c r="D1481" s="35" t="str">
        <x:v>Lang_11</x:v>
      </x:c>
      <x:c r="E1481" s="35" t="str">
        <x:v>Line</x:v>
      </x:c>
      <x:c r="F1481" s="35" t="n">
        <x:v>56</x:v>
      </x:c>
      <x:c r="G1481" s="35" t="str">
        <x:v>RECORDED</x:v>
      </x:c>
      <x:c r="H1481" s="39" t="n">
        <x:f>IF(ISNUMBER('Data'!E1481),'Data'!E1481*100,"")</x:f>
        <x:v>85.71</x:v>
      </x:c>
      <x:c r="I1481" s="35" t="str">
        <x:v>PASS</x:v>
      </x:c>
      <x:c r="J1481" s="35" t="str">
        <x:v>PASS</x:v>
      </x:c>
      <x:c r="K1481" s="35" t="str">
        <x:v>PASS</x:v>
      </x:c>
      <x:c r="L1481" s="35" t="str">
        <x:v>PASS</x:v>
      </x:c>
      <x:c r="M1481" s="35" t="str">
        <x:v>numeric coverage for applicable metric</x:v>
      </x:c>
      <x:c r="N1481" s="35" t="str">
        <x:v>Deepseek-flash-v4/Result2/Lang_11/result.json</x:v>
      </x:c>
      <x:c r="O1481" s="39" t="n">
        <x:f>IF(AND(G1481="RECORDED",ISNUMBER(H1481)),H1481,"")</x:f>
        <x:v>85.71</x:v>
      </x:c>
      <x:c r="P1481" s="35" t="str">
        <x:v>NOT_REVEALING</x:v>
      </x:c>
      <x:c r="Q1481" s="35" t="str">
        <x:v>Deepseek-flash-v4/Result2/Lang_11/result.json</x:v>
      </x:c>
    </x:row>
    <x:row r="1482">
      <x:c r="A1482" s="35" t="str">
        <x:v>deepseek</x:v>
      </x:c>
      <x:c r="B1482" s="35" t="str">
        <x:v>Lang</x:v>
      </x:c>
      <x:c r="C1482" s="35" t="str">
        <x:v>Round2</x:v>
      </x:c>
      <x:c r="D1482" s="35" t="str">
        <x:v>Lang_12</x:v>
      </x:c>
      <x:c r="E1482" s="35" t="str">
        <x:v>Line</x:v>
      </x:c>
      <x:c r="F1482" s="35"/>
      <x:c r="G1482" s="35" t="str">
        <x:v>A</x:v>
      </x:c>
      <x:c r="H1482" s="39" t="str">
        <x:f>IF(ISNUMBER('Data'!E1482),'Data'!E1482*100,"")</x:f>
      </x:c>
      <x:c r="I1482" s="35"/>
      <x:c r="J1482" s="35" t="str">
        <x:v>PASS</x:v>
      </x:c>
      <x:c r="K1482" s="35" t="str">
        <x:v>PASS</x:v>
      </x:c>
      <x:c r="L1482" s="35" t="str">
        <x:v>NOT_RUN</x:v>
      </x:c>
      <x:c r="M1482" s="35" t="str">
        <x:v>coverage unavailable or execution/compile failed</x:v>
      </x:c>
      <x:c r="N1482" s="35" t="str">
        <x:v>Deepseek-flash-v4/Result2/Lang_12/result.json</x:v>
      </x:c>
      <x:c r="O1482" s="39" t="str">
        <x:f>IF(AND(G1482="RECORDED",ISNUMBER(H1482)),H1482,"")</x:f>
      </x:c>
      <x:c r="P1482" s="35" t="str">
        <x:v>NOT_AVAILABLE</x:v>
      </x:c>
      <x:c r="Q1482" s="35" t="str">
        <x:v>Deepseek-flash-v4/Result2/Lang_12/result.json</x:v>
      </x:c>
    </x:row>
    <x:row r="1483">
      <x:c r="A1483" s="35" t="str">
        <x:v>deepseek</x:v>
      </x:c>
      <x:c r="B1483" s="35" t="str">
        <x:v>Lang</x:v>
      </x:c>
      <x:c r="C1483" s="35" t="str">
        <x:v>Round2</x:v>
      </x:c>
      <x:c r="D1483" s="35" t="str">
        <x:v>Lang_13</x:v>
      </x:c>
      <x:c r="E1483" s="35" t="str">
        <x:v>Line</x:v>
      </x:c>
      <x:c r="F1483" s="35" t="n">
        <x:v>64</x:v>
      </x:c>
      <x:c r="G1483" s="35" t="str">
        <x:v>RECORDED</x:v>
      </x:c>
      <x:c r="H1483" s="39" t="n">
        <x:f>IF(ISNUMBER('Data'!E1483),'Data'!E1483*100,"")</x:f>
        <x:v>68.75</x:v>
      </x:c>
      <x:c r="I1483" s="35" t="str">
        <x:v>PASS</x:v>
      </x:c>
      <x:c r="J1483" s="35" t="str">
        <x:v>PASS</x:v>
      </x:c>
      <x:c r="K1483" s="35" t="str">
        <x:v>PASS</x:v>
      </x:c>
      <x:c r="L1483" s="35" t="str">
        <x:v>FAIL</x:v>
      </x:c>
      <x:c r="M1483" s="35" t="str">
        <x:v>numeric coverage for applicable metric</x:v>
      </x:c>
      <x:c r="N1483" s="35" t="str">
        <x:v>Deepseek-flash-v4/Result2/Lang_13/result.json</x:v>
      </x:c>
      <x:c r="O1483" s="39" t="n">
        <x:f>IF(AND(G1483="RECORDED",ISNUMBER(H1483)),H1483,"")</x:f>
        <x:v>68.75</x:v>
      </x:c>
      <x:c r="P1483" s="35" t="str">
        <x:v>INCONCLUSIVE</x:v>
      </x:c>
      <x:c r="Q1483" s="35" t="str">
        <x:v>Deepseek-flash-v4/Result2/Lang_13/result.json</x:v>
      </x:c>
    </x:row>
    <x:row r="1484">
      <x:c r="A1484" s="35" t="str">
        <x:v>deepseek</x:v>
      </x:c>
      <x:c r="B1484" s="35" t="str">
        <x:v>Lang</x:v>
      </x:c>
      <x:c r="C1484" s="35" t="str">
        <x:v>Round2</x:v>
      </x:c>
      <x:c r="D1484" s="35" t="str">
        <x:v>Lang_14</x:v>
      </x:c>
      <x:c r="E1484" s="35" t="str">
        <x:v>Line</x:v>
      </x:c>
      <x:c r="F1484" s="35" t="n">
        <x:v>1292</x:v>
      </x:c>
      <x:c r="G1484" s="35" t="str">
        <x:v>RECORDED</x:v>
      </x:c>
      <x:c r="H1484" s="39" t="n">
        <x:f>IF(ISNUMBER('Data'!E1484),'Data'!E1484*100,"")</x:f>
        <x:v>76.24</x:v>
      </x:c>
      <x:c r="I1484" s="35" t="str">
        <x:v>PASS</x:v>
      </x:c>
      <x:c r="J1484" s="35" t="str">
        <x:v>PASS</x:v>
      </x:c>
      <x:c r="K1484" s="35" t="str">
        <x:v>PASS</x:v>
      </x:c>
      <x:c r="L1484" s="35" t="str">
        <x:v>FAIL</x:v>
      </x:c>
      <x:c r="M1484" s="35" t="str">
        <x:v>numeric coverage for applicable metric</x:v>
      </x:c>
      <x:c r="N1484" s="35" t="str">
        <x:v>Deepseek-flash-v4/Result2/Lang_14/result.json</x:v>
      </x:c>
      <x:c r="O1484" s="39" t="n">
        <x:f>IF(AND(G1484="RECORDED",ISNUMBER(H1484)),H1484,"")</x:f>
        <x:v>76.24</x:v>
      </x:c>
      <x:c r="P1484" s="35" t="str">
        <x:v>INCONCLUSIVE</x:v>
      </x:c>
      <x:c r="Q1484" s="35" t="str">
        <x:v>Deepseek-flash-v4/Result2/Lang_14/result.json</x:v>
      </x:c>
    </x:row>
    <x:row r="1485">
      <x:c r="A1485" s="35" t="str">
        <x:v>deepseek</x:v>
      </x:c>
      <x:c r="B1485" s="35" t="str">
        <x:v>Lang</x:v>
      </x:c>
      <x:c r="C1485" s="35" t="str">
        <x:v>Round2</x:v>
      </x:c>
      <x:c r="D1485" s="35" t="str">
        <x:v>Lang_15</x:v>
      </x:c>
      <x:c r="E1485" s="35" t="str">
        <x:v>Line</x:v>
      </x:c>
      <x:c r="F1485" s="35" t="n">
        <x:v>297</x:v>
      </x:c>
      <x:c r="G1485" s="35" t="str">
        <x:v>RECORDED</x:v>
      </x:c>
      <x:c r="H1485" s="39" t="n">
        <x:f>IF(ISNUMBER('Data'!E1485),'Data'!E1485*100,"")</x:f>
        <x:v>58.92000000000001</x:v>
      </x:c>
      <x:c r="I1485" s="35" t="str">
        <x:v>PASS</x:v>
      </x:c>
      <x:c r="J1485" s="35" t="str">
        <x:v>PASS</x:v>
      </x:c>
      <x:c r="K1485" s="35" t="str">
        <x:v>PASS</x:v>
      </x:c>
      <x:c r="L1485" s="35" t="str">
        <x:v>FAIL</x:v>
      </x:c>
      <x:c r="M1485" s="35" t="str">
        <x:v>numeric coverage for applicable metric</x:v>
      </x:c>
      <x:c r="N1485" s="35" t="str">
        <x:v>Deepseek-flash-v4/Result2/Lang_15/result.json</x:v>
      </x:c>
      <x:c r="O1485" s="39" t="n">
        <x:f>IF(AND(G1485="RECORDED",ISNUMBER(H1485)),H1485,"")</x:f>
        <x:v>58.92000000000001</x:v>
      </x:c>
      <x:c r="P1485" s="35" t="str">
        <x:v>INCONCLUSIVE</x:v>
      </x:c>
      <x:c r="Q1485" s="35" t="str">
        <x:v>Deepseek-flash-v4/Result2/Lang_15/result.json</x:v>
      </x:c>
    </x:row>
    <x:row r="1486">
      <x:c r="A1486" s="35" t="str">
        <x:v>deepseek</x:v>
      </x:c>
      <x:c r="B1486" s="35" t="str">
        <x:v>Lang</x:v>
      </x:c>
      <x:c r="C1486" s="35" t="str">
        <x:v>Round2</x:v>
      </x:c>
      <x:c r="D1486" s="35" t="str">
        <x:v>Lang_16</x:v>
      </x:c>
      <x:c r="E1486" s="35" t="str">
        <x:v>Line</x:v>
      </x:c>
      <x:c r="F1486" s="35" t="n">
        <x:v>375</x:v>
      </x:c>
      <x:c r="G1486" s="35" t="str">
        <x:v>RECORDED</x:v>
      </x:c>
      <x:c r="H1486" s="39" t="n">
        <x:f>IF(ISNUMBER('Data'!E1486),'Data'!E1486*100,"")</x:f>
        <x:v>77.33</x:v>
      </x:c>
      <x:c r="I1486" s="35" t="str">
        <x:v>PASS</x:v>
      </x:c>
      <x:c r="J1486" s="35" t="str">
        <x:v>PASS</x:v>
      </x:c>
      <x:c r="K1486" s="35" t="str">
        <x:v>PASS</x:v>
      </x:c>
      <x:c r="L1486" s="35" t="str">
        <x:v>FAIL</x:v>
      </x:c>
      <x:c r="M1486" s="35" t="str">
        <x:v>numeric coverage for applicable metric</x:v>
      </x:c>
      <x:c r="N1486" s="35" t="str">
        <x:v>Deepseek-flash-v4/Result2/Lang_16/result.json</x:v>
      </x:c>
      <x:c r="O1486" s="39" t="n">
        <x:f>IF(AND(G1486="RECORDED",ISNUMBER(H1486)),H1486,"")</x:f>
        <x:v>77.33</x:v>
      </x:c>
      <x:c r="P1486" s="35" t="str">
        <x:v>INCONCLUSIVE</x:v>
      </x:c>
      <x:c r="Q1486" s="35" t="str">
        <x:v>Deepseek-flash-v4/Result2/Lang_16/result.json</x:v>
      </x:c>
    </x:row>
    <x:row r="1487">
      <x:c r="A1487" s="35" t="str">
        <x:v>deepseek</x:v>
      </x:c>
      <x:c r="B1487" s="35" t="str">
        <x:v>Lang</x:v>
      </x:c>
      <x:c r="C1487" s="35" t="str">
        <x:v>Round2</x:v>
      </x:c>
      <x:c r="D1487" s="35" t="str">
        <x:v>Lang_17</x:v>
      </x:c>
      <x:c r="E1487" s="35" t="str">
        <x:v>Line</x:v>
      </x:c>
      <x:c r="F1487" s="35"/>
      <x:c r="G1487" s="35" t="str">
        <x:v>A</x:v>
      </x:c>
      <x:c r="H1487" s="39" t="str">
        <x:f>IF(ISNUMBER('Data'!E1487),'Data'!E1487*100,"")</x:f>
      </x:c>
      <x:c r="I1487" s="35"/>
      <x:c r="J1487" s="35" t="str">
        <x:v>PASS</x:v>
      </x:c>
      <x:c r="K1487" s="35" t="str">
        <x:v>FAIL</x:v>
      </x:c>
      <x:c r="L1487" s="35" t="str">
        <x:v>NOT_RUN</x:v>
      </x:c>
      <x:c r="M1487" s="35" t="str">
        <x:v>coverage unavailable or execution/compile failed</x:v>
      </x:c>
      <x:c r="N1487" s="35" t="str">
        <x:v>Deepseek-flash-v4/Result2/Lang_17/result.json</x:v>
      </x:c>
      <x:c r="O1487" s="39" t="str">
        <x:f>IF(AND(G1487="RECORDED",ISNUMBER(H1487)),H1487,"")</x:f>
      </x:c>
      <x:c r="P1487" s="35" t="str">
        <x:v>NOT_AVAILABLE</x:v>
      </x:c>
      <x:c r="Q1487" s="35" t="str">
        <x:v>Deepseek-flash-v4/Result2/Lang_17/result.json</x:v>
      </x:c>
    </x:row>
    <x:row r="1488">
      <x:c r="A1488" s="35" t="str">
        <x:v>deepseek</x:v>
      </x:c>
      <x:c r="B1488" s="35" t="str">
        <x:v>Lang</x:v>
      </x:c>
      <x:c r="C1488" s="35" t="str">
        <x:v>Round2</x:v>
      </x:c>
      <x:c r="D1488" s="35" t="str">
        <x:v>Lang_19</x:v>
      </x:c>
      <x:c r="E1488" s="35" t="str">
        <x:v>Line</x:v>
      </x:c>
      <x:c r="F1488" s="35" t="n">
        <x:v>27</x:v>
      </x:c>
      <x:c r="G1488" s="35" t="str">
        <x:v>RECORDED</x:v>
      </x:c>
      <x:c r="H1488" s="39" t="n">
        <x:f>IF(ISNUMBER('Data'!E1488),'Data'!E1488*100,"")</x:f>
        <x:v>100</x:v>
      </x:c>
      <x:c r="I1488" s="35" t="str">
        <x:v>PASS</x:v>
      </x:c>
      <x:c r="J1488" s="35" t="str">
        <x:v>PASS</x:v>
      </x:c>
      <x:c r="K1488" s="35" t="str">
        <x:v>PASS</x:v>
      </x:c>
      <x:c r="L1488" s="35" t="str">
        <x:v>FAIL</x:v>
      </x:c>
      <x:c r="M1488" s="35" t="str">
        <x:v>numeric coverage for applicable metric</x:v>
      </x:c>
      <x:c r="N1488" s="35" t="str">
        <x:v>Deepseek-flash-v4/Result2/Lang_19/result.json</x:v>
      </x:c>
      <x:c r="O1488" s="39" t="n">
        <x:f>IF(AND(G1488="RECORDED",ISNUMBER(H1488)),H1488,"")</x:f>
        <x:v>100</x:v>
      </x:c>
      <x:c r="P1488" s="35" t="str">
        <x:v>INCONCLUSIVE</x:v>
      </x:c>
      <x:c r="Q1488" s="35" t="str">
        <x:v>Deepseek-flash-v4/Result2/Lang_19/result.json</x:v>
      </x:c>
    </x:row>
    <x:row r="1489">
      <x:c r="A1489" s="35" t="str">
        <x:v>deepseek</x:v>
      </x:c>
      <x:c r="B1489" s="35" t="str">
        <x:v>Lang</x:v>
      </x:c>
      <x:c r="C1489" s="35" t="str">
        <x:v>Round2</x:v>
      </x:c>
      <x:c r="D1489" s="35" t="str">
        <x:v>Lang_20</x:v>
      </x:c>
      <x:c r="E1489" s="35" t="str">
        <x:v>Line</x:v>
      </x:c>
      <x:c r="F1489" s="35" t="n">
        <x:v>1298</x:v>
      </x:c>
      <x:c r="G1489" s="35" t="str">
        <x:v>RECORDED</x:v>
      </x:c>
      <x:c r="H1489" s="39" t="n">
        <x:f>IF(ISNUMBER('Data'!E1489),'Data'!E1489*100,"")</x:f>
        <x:v>43.84</x:v>
      </x:c>
      <x:c r="I1489" s="35" t="str">
        <x:v>PASS</x:v>
      </x:c>
      <x:c r="J1489" s="35" t="str">
        <x:v>PASS</x:v>
      </x:c>
      <x:c r="K1489" s="35" t="str">
        <x:v>PASS</x:v>
      </x:c>
      <x:c r="L1489" s="35" t="str">
        <x:v>PASS</x:v>
      </x:c>
      <x:c r="M1489" s="35" t="str">
        <x:v>numeric coverage for applicable metric</x:v>
      </x:c>
      <x:c r="N1489" s="35" t="str">
        <x:v>Deepseek-flash-v4/Result2/Lang_20/result.json</x:v>
      </x:c>
      <x:c r="O1489" s="39" t="n">
        <x:f>IF(AND(G1489="RECORDED",ISNUMBER(H1489)),H1489,"")</x:f>
        <x:v>43.84</x:v>
      </x:c>
      <x:c r="P1489" s="35" t="str">
        <x:v>NOT_REVEALING</x:v>
      </x:c>
      <x:c r="Q1489" s="35" t="str">
        <x:v>Deepseek-flash-v4/Result2/Lang_20/result.json</x:v>
      </x:c>
    </x:row>
    <x:row r="1490">
      <x:c r="A1490" s="35" t="str">
        <x:v>deepseek</x:v>
      </x:c>
      <x:c r="B1490" s="35" t="str">
        <x:v>Lang</x:v>
      </x:c>
      <x:c r="C1490" s="35" t="str">
        <x:v>Round2</x:v>
      </x:c>
      <x:c r="D1490" s="35" t="str">
        <x:v>Lang_21</x:v>
      </x:c>
      <x:c r="E1490" s="35" t="str">
        <x:v>Line</x:v>
      </x:c>
      <x:c r="F1490" s="35"/>
      <x:c r="G1490" s="35" t="str">
        <x:v>A</x:v>
      </x:c>
      <x:c r="H1490" s="39" t="str">
        <x:f>IF(ISNUMBER('Data'!E1490),'Data'!E1490*100,"")</x:f>
      </x:c>
      <x:c r="I1490" s="35"/>
      <x:c r="J1490" s="35" t="str">
        <x:v>PASS</x:v>
      </x:c>
      <x:c r="K1490" s="35" t="str">
        <x:v>FAIL</x:v>
      </x:c>
      <x:c r="L1490" s="35" t="str">
        <x:v>NOT_RUN</x:v>
      </x:c>
      <x:c r="M1490" s="35" t="str">
        <x:v>coverage unavailable or execution/compile failed</x:v>
      </x:c>
      <x:c r="N1490" s="35" t="str">
        <x:v>Deepseek-flash-v4/Result2/Lang_21/result.json</x:v>
      </x:c>
      <x:c r="O1490" s="39" t="str">
        <x:f>IF(AND(G1490="RECORDED",ISNUMBER(H1490)),H1490,"")</x:f>
      </x:c>
      <x:c r="P1490" s="35" t="str">
        <x:v>NOT_AVAILABLE</x:v>
      </x:c>
      <x:c r="Q1490" s="35" t="str">
        <x:v>Deepseek-flash-v4/Result2/Lang_21/result.json</x:v>
      </x:c>
    </x:row>
    <x:row r="1491">
      <x:c r="A1491" s="35" t="str">
        <x:v>deepseek</x:v>
      </x:c>
      <x:c r="B1491" s="35" t="str">
        <x:v>Lang</x:v>
      </x:c>
      <x:c r="C1491" s="35" t="str">
        <x:v>Round2</x:v>
      </x:c>
      <x:c r="D1491" s="35" t="str">
        <x:v>Lang_22</x:v>
      </x:c>
      <x:c r="E1491" s="35" t="str">
        <x:v>Line</x:v>
      </x:c>
      <x:c r="F1491" s="35"/>
      <x:c r="G1491" s="35" t="str">
        <x:v>A</x:v>
      </x:c>
      <x:c r="H1491" s="39" t="str">
        <x:f>IF(ISNUMBER('Data'!E1491),'Data'!E1491*100,"")</x:f>
      </x:c>
      <x:c r="I1491" s="35"/>
      <x:c r="J1491" s="35" t="str">
        <x:v>PASS</x:v>
      </x:c>
      <x:c r="K1491" s="35" t="str">
        <x:v>FAIL</x:v>
      </x:c>
      <x:c r="L1491" s="35" t="str">
        <x:v>NOT_RUN</x:v>
      </x:c>
      <x:c r="M1491" s="35" t="str">
        <x:v>coverage unavailable or execution/compile failed</x:v>
      </x:c>
      <x:c r="N1491" s="35" t="str">
        <x:v>Deepseek-flash-v4/Result2/Lang_22/result.json</x:v>
      </x:c>
      <x:c r="O1491" s="39" t="str">
        <x:f>IF(AND(G1491="RECORDED",ISNUMBER(H1491)),H1491,"")</x:f>
      </x:c>
      <x:c r="P1491" s="35" t="str">
        <x:v>NOT_AVAILABLE</x:v>
      </x:c>
      <x:c r="Q1491" s="35" t="str">
        <x:v>Deepseek-flash-v4/Result2/Lang_22/result.json</x:v>
      </x:c>
    </x:row>
    <x:row r="1492">
      <x:c r="A1492" s="35" t="str">
        <x:v>deepseek</x:v>
      </x:c>
      <x:c r="B1492" s="35" t="str">
        <x:v>Lang</x:v>
      </x:c>
      <x:c r="C1492" s="35" t="str">
        <x:v>Round2</x:v>
      </x:c>
      <x:c r="D1492" s="35" t="str">
        <x:v>Lang_23</x:v>
      </x:c>
      <x:c r="E1492" s="35" t="str">
        <x:v>Line</x:v>
      </x:c>
      <x:c r="F1492" s="35" t="n">
        <x:v>167</x:v>
      </x:c>
      <x:c r="G1492" s="35" t="str">
        <x:v>RECORDED</x:v>
      </x:c>
      <x:c r="H1492" s="39" t="n">
        <x:f>IF(ISNUMBER('Data'!E1492),'Data'!E1492*100,"")</x:f>
        <x:v>52.1</x:v>
      </x:c>
      <x:c r="I1492" s="35" t="str">
        <x:v>PASS</x:v>
      </x:c>
      <x:c r="J1492" s="35" t="str">
        <x:v>PASS</x:v>
      </x:c>
      <x:c r="K1492" s="35" t="str">
        <x:v>PASS</x:v>
      </x:c>
      <x:c r="L1492" s="35" t="str">
        <x:v>FAIL</x:v>
      </x:c>
      <x:c r="M1492" s="35" t="str">
        <x:v>numeric coverage for applicable metric</x:v>
      </x:c>
      <x:c r="N1492" s="35" t="str">
        <x:v>Deepseek-flash-v4/Result2/Lang_23/result.json</x:v>
      </x:c>
      <x:c r="O1492" s="39" t="n">
        <x:f>IF(AND(G1492="RECORDED",ISNUMBER(H1492)),H1492,"")</x:f>
        <x:v>52.1</x:v>
      </x:c>
      <x:c r="P1492" s="35" t="str">
        <x:v>INCONCLUSIVE</x:v>
      </x:c>
      <x:c r="Q1492" s="35" t="str">
        <x:v>Deepseek-flash-v4/Result2/Lang_23/result.json</x:v>
      </x:c>
    </x:row>
    <x:row r="1493">
      <x:c r="A1493" s="35" t="str">
        <x:v>deepseek</x:v>
      </x:c>
      <x:c r="B1493" s="35" t="str">
        <x:v>Lang</x:v>
      </x:c>
      <x:c r="C1493" s="35" t="str">
        <x:v>Round2</x:v>
      </x:c>
      <x:c r="D1493" s="35" t="str">
        <x:v>Lang_24</x:v>
      </x:c>
      <x:c r="E1493" s="35" t="str">
        <x:v>Line</x:v>
      </x:c>
      <x:c r="F1493" s="35" t="n">
        <x:v>376</x:v>
      </x:c>
      <x:c r="G1493" s="35" t="str">
        <x:v>RECORDED</x:v>
      </x:c>
      <x:c r="H1493" s="39" t="n">
        <x:f>IF(ISNUMBER('Data'!E1493),'Data'!E1493*100,"")</x:f>
        <x:v>64.89</x:v>
      </x:c>
      <x:c r="I1493" s="35" t="str">
        <x:v>PASS</x:v>
      </x:c>
      <x:c r="J1493" s="35" t="str">
        <x:v>PASS</x:v>
      </x:c>
      <x:c r="K1493" s="35" t="str">
        <x:v>PASS</x:v>
      </x:c>
      <x:c r="L1493" s="35" t="str">
        <x:v>FAIL</x:v>
      </x:c>
      <x:c r="M1493" s="35" t="str">
        <x:v>numeric coverage for applicable metric</x:v>
      </x:c>
      <x:c r="N1493" s="35" t="str">
        <x:v>Deepseek-flash-v4/Result2/Lang_24/result.json</x:v>
      </x:c>
      <x:c r="O1493" s="39" t="n">
        <x:f>IF(AND(G1493="RECORDED",ISNUMBER(H1493)),H1493,"")</x:f>
        <x:v>64.89</x:v>
      </x:c>
      <x:c r="P1493" s="35" t="str">
        <x:v>INCONCLUSIVE</x:v>
      </x:c>
      <x:c r="Q1493" s="35" t="str">
        <x:v>Deepseek-flash-v4/Result2/Lang_24/result.json</x:v>
      </x:c>
    </x:row>
    <x:row r="1494">
      <x:c r="A1494" s="35" t="str">
        <x:v>deepseek</x:v>
      </x:c>
      <x:c r="B1494" s="35" t="str">
        <x:v>Lang</x:v>
      </x:c>
      <x:c r="C1494" s="35" t="str">
        <x:v>Round2</x:v>
      </x:c>
      <x:c r="D1494" s="35" t="str">
        <x:v>Lang_26</x:v>
      </x:c>
      <x:c r="E1494" s="35" t="str">
        <x:v>Line</x:v>
      </x:c>
      <x:c r="F1494" s="35" t="n">
        <x:v>465</x:v>
      </x:c>
      <x:c r="G1494" s="35" t="str">
        <x:v>RECORDED</x:v>
      </x:c>
      <x:c r="H1494" s="39" t="n">
        <x:f>IF(ISNUMBER('Data'!E1494),'Data'!E1494*100,"")</x:f>
        <x:v>85.38</x:v>
      </x:c>
      <x:c r="I1494" s="35" t="str">
        <x:v>PASS</x:v>
      </x:c>
      <x:c r="J1494" s="35" t="str">
        <x:v>PASS</x:v>
      </x:c>
      <x:c r="K1494" s="35" t="str">
        <x:v>PASS</x:v>
      </x:c>
      <x:c r="L1494" s="35" t="str">
        <x:v>FAIL</x:v>
      </x:c>
      <x:c r="M1494" s="35" t="str">
        <x:v>numeric coverage for applicable metric</x:v>
      </x:c>
      <x:c r="N1494" s="35" t="str">
        <x:v>Deepseek-flash-v4/Result2/Lang_26/result.json</x:v>
      </x:c>
      <x:c r="O1494" s="39" t="n">
        <x:f>IF(AND(G1494="RECORDED",ISNUMBER(H1494)),H1494,"")</x:f>
        <x:v>85.38</x:v>
      </x:c>
      <x:c r="P1494" s="35" t="str">
        <x:v>INCONCLUSIVE</x:v>
      </x:c>
      <x:c r="Q1494" s="35" t="str">
        <x:v>Deepseek-flash-v4/Result2/Lang_26/result.json</x:v>
      </x:c>
    </x:row>
    <x:row r="1495">
      <x:c r="A1495" s="35" t="str">
        <x:v>deepseek</x:v>
      </x:c>
      <x:c r="B1495" s="35" t="str">
        <x:v>Lang</x:v>
      </x:c>
      <x:c r="C1495" s="35" t="str">
        <x:v>Round2</x:v>
      </x:c>
      <x:c r="D1495" s="35" t="str">
        <x:v>Lang_27</x:v>
      </x:c>
      <x:c r="E1495" s="35" t="str">
        <x:v>Line</x:v>
      </x:c>
      <x:c r="F1495" s="35" t="n">
        <x:v>374</x:v>
      </x:c>
      <x:c r="G1495" s="35" t="str">
        <x:v>RECORDED</x:v>
      </x:c>
      <x:c r="H1495" s="39" t="n">
        <x:f>IF(ISNUMBER('Data'!E1495),'Data'!E1495*100,"")</x:f>
        <x:v>70.86</x:v>
      </x:c>
      <x:c r="I1495" s="35" t="str">
        <x:v>PASS</x:v>
      </x:c>
      <x:c r="J1495" s="35" t="str">
        <x:v>PASS</x:v>
      </x:c>
      <x:c r="K1495" s="35" t="str">
        <x:v>PASS</x:v>
      </x:c>
      <x:c r="L1495" s="35" t="str">
        <x:v>FAIL</x:v>
      </x:c>
      <x:c r="M1495" s="35" t="str">
        <x:v>numeric coverage for applicable metric</x:v>
      </x:c>
      <x:c r="N1495" s="35" t="str">
        <x:v>Deepseek-flash-v4/Result2/Lang_27/result.json</x:v>
      </x:c>
      <x:c r="O1495" s="39" t="n">
        <x:f>IF(AND(G1495="RECORDED",ISNUMBER(H1495)),H1495,"")</x:f>
        <x:v>70.86</x:v>
      </x:c>
      <x:c r="P1495" s="35" t="str">
        <x:v>INCONCLUSIVE</x:v>
      </x:c>
      <x:c r="Q1495" s="35" t="str">
        <x:v>Deepseek-flash-v4/Result2/Lang_27/result.json</x:v>
      </x:c>
    </x:row>
    <x:row r="1496">
      <x:c r="A1496" s="35" t="str">
        <x:v>deepseek</x:v>
      </x:c>
      <x:c r="B1496" s="35" t="str">
        <x:v>Lang</x:v>
      </x:c>
      <x:c r="C1496" s="35" t="str">
        <x:v>Round2</x:v>
      </x:c>
      <x:c r="D1496" s="35" t="str">
        <x:v>Lang_28</x:v>
      </x:c>
      <x:c r="E1496" s="35" t="str">
        <x:v>Line</x:v>
      </x:c>
      <x:c r="F1496" s="35" t="n">
        <x:v>20</x:v>
      </x:c>
      <x:c r="G1496" s="35" t="str">
        <x:v>RECORDED</x:v>
      </x:c>
      <x:c r="H1496" s="39" t="n">
        <x:f>IF(ISNUMBER('Data'!E1496),'Data'!E1496*100,"")</x:f>
        <x:v>95</x:v>
      </x:c>
      <x:c r="I1496" s="35" t="str">
        <x:v>PASS</x:v>
      </x:c>
      <x:c r="J1496" s="35" t="str">
        <x:v>PASS</x:v>
      </x:c>
      <x:c r="K1496" s="35" t="str">
        <x:v>PASS</x:v>
      </x:c>
      <x:c r="L1496" s="35" t="str">
        <x:v>FAIL</x:v>
      </x:c>
      <x:c r="M1496" s="35" t="str">
        <x:v>numeric coverage for applicable metric</x:v>
      </x:c>
      <x:c r="N1496" s="35" t="str">
        <x:v>Deepseek-flash-v4/Result2/Lang_28/result.json</x:v>
      </x:c>
      <x:c r="O1496" s="39" t="n">
        <x:f>IF(AND(G1496="RECORDED",ISNUMBER(H1496)),H1496,"")</x:f>
        <x:v>95</x:v>
      </x:c>
      <x:c r="P1496" s="35" t="str">
        <x:v>INCONCLUSIVE</x:v>
      </x:c>
      <x:c r="Q1496" s="35" t="str">
        <x:v>Deepseek-flash-v4/Result2/Lang_28/result.json</x:v>
      </x:c>
    </x:row>
    <x:row r="1497">
      <x:c r="A1497" s="35" t="str">
        <x:v>deepseek</x:v>
      </x:c>
      <x:c r="B1497" s="35" t="str">
        <x:v>Lang</x:v>
      </x:c>
      <x:c r="C1497" s="35" t="str">
        <x:v>Round2</x:v>
      </x:c>
      <x:c r="D1497" s="35" t="str">
        <x:v>Lang_29</x:v>
      </x:c>
      <x:c r="E1497" s="35" t="str">
        <x:v>Line</x:v>
      </x:c>
      <x:c r="F1497" s="35" t="n">
        <x:v>141</x:v>
      </x:c>
      <x:c r="G1497" s="35" t="str">
        <x:v>RECORDED</x:v>
      </x:c>
      <x:c r="H1497" s="39" t="n">
        <x:f>IF(ISNUMBER('Data'!E1497),'Data'!E1497*100,"")</x:f>
        <x:v>92.91</x:v>
      </x:c>
      <x:c r="I1497" s="35" t="str">
        <x:v>PASS</x:v>
      </x:c>
      <x:c r="J1497" s="35" t="str">
        <x:v>PASS</x:v>
      </x:c>
      <x:c r="K1497" s="35" t="str">
        <x:v>PASS</x:v>
      </x:c>
      <x:c r="L1497" s="35" t="str">
        <x:v>PASS</x:v>
      </x:c>
      <x:c r="M1497" s="35" t="str">
        <x:v>numeric coverage for applicable metric</x:v>
      </x:c>
      <x:c r="N1497" s="35" t="str">
        <x:v>Deepseek-flash-v4/Result2/Lang_29/result.json</x:v>
      </x:c>
      <x:c r="O1497" s="39" t="n">
        <x:f>IF(AND(G1497="RECORDED",ISNUMBER(H1497)),H1497,"")</x:f>
        <x:v>92.91</x:v>
      </x:c>
      <x:c r="P1497" s="35" t="str">
        <x:v>NOT_REVEALING</x:v>
      </x:c>
      <x:c r="Q1497" s="35" t="str">
        <x:v>Deepseek-flash-v4/Result2/Lang_29/result.json</x:v>
      </x:c>
    </x:row>
    <x:row r="1498">
      <x:c r="A1498" s="35" t="str">
        <x:v>deepseek</x:v>
      </x:c>
      <x:c r="B1498" s="35" t="str">
        <x:v>Lang</x:v>
      </x:c>
      <x:c r="C1498" s="35" t="str">
        <x:v>Round2</x:v>
      </x:c>
      <x:c r="D1498" s="35" t="str">
        <x:v>Lang_3</x:v>
      </x:c>
      <x:c r="E1498" s="35" t="str">
        <x:v>Line</x:v>
      </x:c>
      <x:c r="F1498" s="35" t="n">
        <x:v>373</x:v>
      </x:c>
      <x:c r="G1498" s="35" t="str">
        <x:v>RECORDED</x:v>
      </x:c>
      <x:c r="H1498" s="39" t="n">
        <x:f>IF(ISNUMBER('Data'!E1498),'Data'!E1498*100,"")</x:f>
        <x:v>65.68</x:v>
      </x:c>
      <x:c r="I1498" s="35" t="str">
        <x:v>PASS</x:v>
      </x:c>
      <x:c r="J1498" s="35" t="str">
        <x:v>PASS</x:v>
      </x:c>
      <x:c r="K1498" s="35" t="str">
        <x:v>PASS</x:v>
      </x:c>
      <x:c r="L1498" s="35" t="str">
        <x:v>FAIL</x:v>
      </x:c>
      <x:c r="M1498" s="35" t="str">
        <x:v>numeric coverage for applicable metric</x:v>
      </x:c>
      <x:c r="N1498" s="35" t="str">
        <x:v>Deepseek-flash-v4/Result2/Lang_3/result.json</x:v>
      </x:c>
      <x:c r="O1498" s="39" t="n">
        <x:f>IF(AND(G1498="RECORDED",ISNUMBER(H1498)),H1498,"")</x:f>
        <x:v>65.68</x:v>
      </x:c>
      <x:c r="P1498" s="35" t="str">
        <x:v>INCONCLUSIVE</x:v>
      </x:c>
      <x:c r="Q1498" s="35" t="str">
        <x:v>Deepseek-flash-v4/Result2/Lang_3/result.json</x:v>
      </x:c>
    </x:row>
    <x:row r="1499">
      <x:c r="A1499" s="35" t="str">
        <x:v>deepseek</x:v>
      </x:c>
      <x:c r="B1499" s="35" t="str">
        <x:v>Lang</x:v>
      </x:c>
      <x:c r="C1499" s="35" t="str">
        <x:v>Round2</x:v>
      </x:c>
      <x:c r="D1499" s="35" t="str">
        <x:v>Lang_30</x:v>
      </x:c>
      <x:c r="E1499" s="35" t="str">
        <x:v>Line</x:v>
      </x:c>
      <x:c r="F1499" s="35"/>
      <x:c r="G1499" s="35" t="str">
        <x:v>A</x:v>
      </x:c>
      <x:c r="H1499" s="39" t="str">
        <x:f>IF(ISNUMBER('Data'!E1499),'Data'!E1499*100,"")</x:f>
      </x:c>
      <x:c r="I1499" s="35"/>
      <x:c r="J1499" s="35" t="str">
        <x:v>PASS</x:v>
      </x:c>
      <x:c r="K1499" s="35" t="str">
        <x:v>FAIL</x:v>
      </x:c>
      <x:c r="L1499" s="35" t="str">
        <x:v>NOT_RUN</x:v>
      </x:c>
      <x:c r="M1499" s="35" t="str">
        <x:v>coverage unavailable or execution/compile failed</x:v>
      </x:c>
      <x:c r="N1499" s="35" t="str">
        <x:v>Deepseek-flash-v4/Result2/Lang_30/result.json</x:v>
      </x:c>
      <x:c r="O1499" s="39" t="str">
        <x:f>IF(AND(G1499="RECORDED",ISNUMBER(H1499)),H1499,"")</x:f>
      </x:c>
      <x:c r="P1499" s="35" t="str">
        <x:v>NOT_AVAILABLE</x:v>
      </x:c>
      <x:c r="Q1499" s="35" t="str">
        <x:v>Deepseek-flash-v4/Result2/Lang_30/result.json</x:v>
      </x:c>
    </x:row>
    <x:row r="1500">
      <x:c r="A1500" s="35" t="str">
        <x:v>deepseek</x:v>
      </x:c>
      <x:c r="B1500" s="35" t="str">
        <x:v>Lang</x:v>
      </x:c>
      <x:c r="C1500" s="35" t="str">
        <x:v>Round2</x:v>
      </x:c>
      <x:c r="D1500" s="35" t="str">
        <x:v>Lang_31</x:v>
      </x:c>
      <x:c r="E1500" s="35" t="str">
        <x:v>Line</x:v>
      </x:c>
      <x:c r="F1500" s="35" t="n">
        <x:v>1178</x:v>
      </x:c>
      <x:c r="G1500" s="35" t="str">
        <x:v>RECORDED</x:v>
      </x:c>
      <x:c r="H1500" s="39" t="n">
        <x:f>IF(ISNUMBER('Data'!E1500),'Data'!E1500*100,"")</x:f>
        <x:v>21.31</x:v>
      </x:c>
      <x:c r="I1500" s="35" t="str">
        <x:v>PASS</x:v>
      </x:c>
      <x:c r="J1500" s="35" t="str">
        <x:v>PASS</x:v>
      </x:c>
      <x:c r="K1500" s="35" t="str">
        <x:v>PASS</x:v>
      </x:c>
      <x:c r="L1500" s="35" t="str">
        <x:v>FAIL</x:v>
      </x:c>
      <x:c r="M1500" s="35" t="str">
        <x:v>numeric coverage for applicable metric</x:v>
      </x:c>
      <x:c r="N1500" s="35" t="str">
        <x:v>Deepseek-flash-v4/Result2/Lang_31/result.json</x:v>
      </x:c>
      <x:c r="O1500" s="39" t="n">
        <x:f>IF(AND(G1500="RECORDED",ISNUMBER(H1500)),H1500,"")</x:f>
        <x:v>21.31</x:v>
      </x:c>
      <x:c r="P1500" s="35" t="str">
        <x:v>INCONCLUSIVE</x:v>
      </x:c>
      <x:c r="Q1500" s="35" t="str">
        <x:v>Deepseek-flash-v4/Result2/Lang_31/result.json</x:v>
      </x:c>
    </x:row>
    <x:row r="1501">
      <x:c r="A1501" s="35" t="str">
        <x:v>deepseek</x:v>
      </x:c>
      <x:c r="B1501" s="35" t="str">
        <x:v>Lang</x:v>
      </x:c>
      <x:c r="C1501" s="35" t="str">
        <x:v>Round2</x:v>
      </x:c>
      <x:c r="D1501" s="35" t="str">
        <x:v>Lang_32</x:v>
      </x:c>
      <x:c r="E1501" s="35" t="str">
        <x:v>Line</x:v>
      </x:c>
      <x:c r="F1501" s="35" t="n">
        <x:v>146</x:v>
      </x:c>
      <x:c r="G1501" s="35" t="str">
        <x:v>RECORDED</x:v>
      </x:c>
      <x:c r="H1501" s="39" t="n">
        <x:f>IF(ISNUMBER('Data'!E1501),'Data'!E1501*100,"")</x:f>
        <x:v>82.19</x:v>
      </x:c>
      <x:c r="I1501" s="35" t="str">
        <x:v>PASS</x:v>
      </x:c>
      <x:c r="J1501" s="35" t="str">
        <x:v>PASS</x:v>
      </x:c>
      <x:c r="K1501" s="35" t="str">
        <x:v>PASS</x:v>
      </x:c>
      <x:c r="L1501" s="35" t="str">
        <x:v>FAIL</x:v>
      </x:c>
      <x:c r="M1501" s="35" t="str">
        <x:v>numeric coverage for applicable metric</x:v>
      </x:c>
      <x:c r="N1501" s="35" t="str">
        <x:v>Deepseek-flash-v4/Result2/Lang_32/result.json</x:v>
      </x:c>
      <x:c r="O1501" s="39" t="n">
        <x:f>IF(AND(G1501="RECORDED",ISNUMBER(H1501)),H1501,"")</x:f>
        <x:v>82.19</x:v>
      </x:c>
      <x:c r="P1501" s="35" t="str">
        <x:v>INCONCLUSIVE</x:v>
      </x:c>
      <x:c r="Q1501" s="35" t="str">
        <x:v>Deepseek-flash-v4/Result2/Lang_32/result.json</x:v>
      </x:c>
    </x:row>
    <x:row r="1502">
      <x:c r="A1502" s="35" t="str">
        <x:v>deepseek</x:v>
      </x:c>
      <x:c r="B1502" s="35" t="str">
        <x:v>Lang</x:v>
      </x:c>
      <x:c r="C1502" s="35" t="str">
        <x:v>Round2</x:v>
      </x:c>
      <x:c r="D1502" s="35" t="str">
        <x:v>Lang_33</x:v>
      </x:c>
      <x:c r="E1502" s="35" t="str">
        <x:v>Line</x:v>
      </x:c>
      <x:c r="F1502" s="35"/>
      <x:c r="G1502" s="35" t="str">
        <x:v>A</x:v>
      </x:c>
      <x:c r="H1502" s="39" t="str">
        <x:f>IF(ISNUMBER('Data'!E1502),'Data'!E1502*100,"")</x:f>
      </x:c>
      <x:c r="I1502" s="35"/>
      <x:c r="J1502" s="35" t="str">
        <x:v>PASS</x:v>
      </x:c>
      <x:c r="K1502" s="35" t="str">
        <x:v>FAIL</x:v>
      </x:c>
      <x:c r="L1502" s="35" t="str">
        <x:v>NOT_RUN</x:v>
      </x:c>
      <x:c r="M1502" s="35" t="str">
        <x:v>coverage unavailable or execution/compile failed</x:v>
      </x:c>
      <x:c r="N1502" s="35" t="str">
        <x:v>Deepseek-flash-v4/Result2/Lang_33/result.json</x:v>
      </x:c>
      <x:c r="O1502" s="39" t="str">
        <x:f>IF(AND(G1502="RECORDED",ISNUMBER(H1502)),H1502,"")</x:f>
      </x:c>
      <x:c r="P1502" s="35" t="str">
        <x:v>NOT_AVAILABLE</x:v>
      </x:c>
      <x:c r="Q1502" s="35" t="str">
        <x:v>Deepseek-flash-v4/Result2/Lang_33/result.json</x:v>
      </x:c>
    </x:row>
    <x:row r="1503">
      <x:c r="A1503" s="35" t="str">
        <x:v>deepseek</x:v>
      </x:c>
      <x:c r="B1503" s="35" t="str">
        <x:v>Lang</x:v>
      </x:c>
      <x:c r="C1503" s="35" t="str">
        <x:v>Round2</x:v>
      </x:c>
      <x:c r="D1503" s="35" t="str">
        <x:v>Lang_34</x:v>
      </x:c>
      <x:c r="E1503" s="35" t="str">
        <x:v>Line</x:v>
      </x:c>
      <x:c r="F1503" s="35" t="n">
        <x:v>515</x:v>
      </x:c>
      <x:c r="G1503" s="35" t="str">
        <x:v>RECORDED</x:v>
      </x:c>
      <x:c r="H1503" s="39" t="n">
        <x:f>IF(ISNUMBER('Data'!E1503),'Data'!E1503*100,"")</x:f>
        <x:v>87.77</x:v>
      </x:c>
      <x:c r="I1503" s="35" t="str">
        <x:v>PASS</x:v>
      </x:c>
      <x:c r="J1503" s="35" t="str">
        <x:v>PASS</x:v>
      </x:c>
      <x:c r="K1503" s="35" t="str">
        <x:v>PASS</x:v>
      </x:c>
      <x:c r="L1503" s="35" t="str">
        <x:v>FAIL</x:v>
      </x:c>
      <x:c r="M1503" s="35" t="str">
        <x:v>numeric coverage for applicable metric</x:v>
      </x:c>
      <x:c r="N1503" s="35" t="str">
        <x:v>Deepseek-flash-v4/Result2/Lang_34/result.json</x:v>
      </x:c>
      <x:c r="O1503" s="39" t="n">
        <x:f>IF(AND(G1503="RECORDED",ISNUMBER(H1503)),H1503,"")</x:f>
        <x:v>87.77</x:v>
      </x:c>
      <x:c r="P1503" s="35" t="str">
        <x:v>INCONCLUSIVE</x:v>
      </x:c>
      <x:c r="Q1503" s="35" t="str">
        <x:v>Deepseek-flash-v4/Result2/Lang_34/result.json</x:v>
      </x:c>
    </x:row>
    <x:row r="1504">
      <x:c r="A1504" s="35" t="str">
        <x:v>deepseek</x:v>
      </x:c>
      <x:c r="B1504" s="35" t="str">
        <x:v>Lang</x:v>
      </x:c>
      <x:c r="C1504" s="35" t="str">
        <x:v>Round2</x:v>
      </x:c>
      <x:c r="D1504" s="35" t="str">
        <x:v>Lang_35</x:v>
      </x:c>
      <x:c r="E1504" s="35" t="str">
        <x:v>Line</x:v>
      </x:c>
      <x:c r="F1504" s="35" t="n">
        <x:v>964</x:v>
      </x:c>
      <x:c r="G1504" s="35" t="str">
        <x:v>RECORDED</x:v>
      </x:c>
      <x:c r="H1504" s="39" t="n">
        <x:f>IF(ISNUMBER('Data'!E1504),'Data'!E1504*100,"")</x:f>
        <x:v>16.6</x:v>
      </x:c>
      <x:c r="I1504" s="35" t="str">
        <x:v>PASS</x:v>
      </x:c>
      <x:c r="J1504" s="35" t="str">
        <x:v>PASS</x:v>
      </x:c>
      <x:c r="K1504" s="35" t="str">
        <x:v>PASS</x:v>
      </x:c>
      <x:c r="L1504" s="35" t="str">
        <x:v>FAIL</x:v>
      </x:c>
      <x:c r="M1504" s="35" t="str">
        <x:v>numeric coverage for applicable metric</x:v>
      </x:c>
      <x:c r="N1504" s="35" t="str">
        <x:v>Deepseek-flash-v4/Result2/Lang_35/result.json</x:v>
      </x:c>
      <x:c r="O1504" s="39" t="n">
        <x:f>IF(AND(G1504="RECORDED",ISNUMBER(H1504)),H1504,"")</x:f>
        <x:v>16.6</x:v>
      </x:c>
      <x:c r="P1504" s="35" t="str">
        <x:v>INCONCLUSIVE</x:v>
      </x:c>
      <x:c r="Q1504" s="35" t="str">
        <x:v>Deepseek-flash-v4/Result2/Lang_35/result.json</x:v>
      </x:c>
    </x:row>
    <x:row r="1505">
      <x:c r="A1505" s="35" t="str">
        <x:v>deepseek</x:v>
      </x:c>
      <x:c r="B1505" s="35" t="str">
        <x:v>Lang</x:v>
      </x:c>
      <x:c r="C1505" s="35" t="str">
        <x:v>Round2</x:v>
      </x:c>
      <x:c r="D1505" s="35" t="str">
        <x:v>Lang_36</x:v>
      </x:c>
      <x:c r="E1505" s="35" t="str">
        <x:v>Line</x:v>
      </x:c>
      <x:c r="F1505" s="35"/>
      <x:c r="G1505" s="35" t="str">
        <x:v>A</x:v>
      </x:c>
      <x:c r="H1505" s="39" t="str">
        <x:f>IF(ISNUMBER('Data'!E1505),'Data'!E1505*100,"")</x:f>
      </x:c>
      <x:c r="I1505" s="35"/>
      <x:c r="J1505" s="35" t="str">
        <x:v>PASS</x:v>
      </x:c>
      <x:c r="K1505" s="35" t="str">
        <x:v>FAIL</x:v>
      </x:c>
      <x:c r="L1505" s="35" t="str">
        <x:v>NOT_RUN</x:v>
      </x:c>
      <x:c r="M1505" s="35" t="str">
        <x:v>coverage unavailable or execution/compile failed</x:v>
      </x:c>
      <x:c r="N1505" s="35" t="str">
        <x:v>Deepseek-flash-v4/Result2/Lang_36/result.json</x:v>
      </x:c>
      <x:c r="O1505" s="39" t="str">
        <x:f>IF(AND(G1505="RECORDED",ISNUMBER(H1505)),H1505,"")</x:f>
      </x:c>
      <x:c r="P1505" s="35" t="str">
        <x:v>NOT_AVAILABLE</x:v>
      </x:c>
      <x:c r="Q1505" s="35" t="str">
        <x:v>Deepseek-flash-v4/Result2/Lang_36/result.json</x:v>
      </x:c>
    </x:row>
    <x:row r="1506">
      <x:c r="A1506" s="35" t="str">
        <x:v>deepseek</x:v>
      </x:c>
      <x:c r="B1506" s="35" t="str">
        <x:v>Lang</x:v>
      </x:c>
      <x:c r="C1506" s="35" t="str">
        <x:v>Round2</x:v>
      </x:c>
      <x:c r="D1506" s="35" t="str">
        <x:v>Lang_37</x:v>
      </x:c>
      <x:c r="E1506" s="35" t="str">
        <x:v>Line</x:v>
      </x:c>
      <x:c r="F1506" s="35" t="n">
        <x:v>951</x:v>
      </x:c>
      <x:c r="G1506" s="35" t="str">
        <x:v>RECORDED</x:v>
      </x:c>
      <x:c r="H1506" s="39" t="n">
        <x:f>IF(ISNUMBER('Data'!E1506),'Data'!E1506*100,"")</x:f>
        <x:v>22.5</x:v>
      </x:c>
      <x:c r="I1506" s="35" t="str">
        <x:v>PASS</x:v>
      </x:c>
      <x:c r="J1506" s="35" t="str">
        <x:v>PASS</x:v>
      </x:c>
      <x:c r="K1506" s="35" t="str">
        <x:v>PASS</x:v>
      </x:c>
      <x:c r="L1506" s="35" t="str">
        <x:v>PASS</x:v>
      </x:c>
      <x:c r="M1506" s="35" t="str">
        <x:v>numeric coverage for applicable metric</x:v>
      </x:c>
      <x:c r="N1506" s="35" t="str">
        <x:v>Deepseek-flash-v4/Result2/Lang_37/result.json</x:v>
      </x:c>
      <x:c r="O1506" s="39" t="n">
        <x:f>IF(AND(G1506="RECORDED",ISNUMBER(H1506)),H1506,"")</x:f>
        <x:v>22.5</x:v>
      </x:c>
      <x:c r="P1506" s="35" t="str">
        <x:v>NOT_REVEALING</x:v>
      </x:c>
      <x:c r="Q1506" s="35" t="str">
        <x:v>Deepseek-flash-v4/Result2/Lang_37/result.json</x:v>
      </x:c>
    </x:row>
    <x:row r="1507">
      <x:c r="A1507" s="35" t="str">
        <x:v>deepseek</x:v>
      </x:c>
      <x:c r="B1507" s="35" t="str">
        <x:v>Lang</x:v>
      </x:c>
      <x:c r="C1507" s="35" t="str">
        <x:v>Round2</x:v>
      </x:c>
      <x:c r="D1507" s="35" t="str">
        <x:v>Lang_38</x:v>
      </x:c>
      <x:c r="E1507" s="35" t="str">
        <x:v>Line</x:v>
      </x:c>
      <x:c r="F1507" s="35" t="n">
        <x:v>464</x:v>
      </x:c>
      <x:c r="G1507" s="35" t="str">
        <x:v>RECORDED</x:v>
      </x:c>
      <x:c r="H1507" s="39" t="n">
        <x:f>IF(ISNUMBER('Data'!E1507),'Data'!E1507*100,"")</x:f>
        <x:v>77.59</x:v>
      </x:c>
      <x:c r="I1507" s="35" t="str">
        <x:v>PASS</x:v>
      </x:c>
      <x:c r="J1507" s="35" t="str">
        <x:v>PASS</x:v>
      </x:c>
      <x:c r="K1507" s="35" t="str">
        <x:v>PASS</x:v>
      </x:c>
      <x:c r="L1507" s="35" t="str">
        <x:v>FAIL</x:v>
      </x:c>
      <x:c r="M1507" s="35" t="str">
        <x:v>numeric coverage for applicable metric</x:v>
      </x:c>
      <x:c r="N1507" s="35" t="str">
        <x:v>Deepseek-flash-v4/Result2/Lang_38/result.json</x:v>
      </x:c>
      <x:c r="O1507" s="39" t="n">
        <x:f>IF(AND(G1507="RECORDED",ISNUMBER(H1507)),H1507,"")</x:f>
        <x:v>77.59</x:v>
      </x:c>
      <x:c r="P1507" s="35" t="str">
        <x:v>REVEALING</x:v>
      </x:c>
      <x:c r="Q1507" s="35" t="str">
        <x:v>Deepseek-flash-v4/Result2/Lang_38/result.json</x:v>
      </x:c>
    </x:row>
    <x:row r="1508">
      <x:c r="A1508" s="35" t="str">
        <x:v>deepseek</x:v>
      </x:c>
      <x:c r="B1508" s="35" t="str">
        <x:v>Lang</x:v>
      </x:c>
      <x:c r="C1508" s="35" t="str">
        <x:v>Round2</x:v>
      </x:c>
      <x:c r="D1508" s="35" t="str">
        <x:v>Lang_39</x:v>
      </x:c>
      <x:c r="E1508" s="35" t="str">
        <x:v>Line</x:v>
      </x:c>
      <x:c r="F1508" s="35" t="n">
        <x:v>1126</x:v>
      </x:c>
      <x:c r="G1508" s="35" t="str">
        <x:v>RECORDED</x:v>
      </x:c>
      <x:c r="H1508" s="39" t="n">
        <x:f>IF(ISNUMBER('Data'!E1508),'Data'!E1508*100,"")</x:f>
        <x:v>23.09</x:v>
      </x:c>
      <x:c r="I1508" s="35" t="str">
        <x:v>PASS</x:v>
      </x:c>
      <x:c r="J1508" s="35" t="str">
        <x:v>PASS</x:v>
      </x:c>
      <x:c r="K1508" s="35" t="str">
        <x:v>PASS</x:v>
      </x:c>
      <x:c r="L1508" s="35" t="str">
        <x:v>FAIL</x:v>
      </x:c>
      <x:c r="M1508" s="35" t="str">
        <x:v>numeric coverage for applicable metric</x:v>
      </x:c>
      <x:c r="N1508" s="35" t="str">
        <x:v>Deepseek-flash-v4/Result2/Lang_39/result.json</x:v>
      </x:c>
      <x:c r="O1508" s="39" t="n">
        <x:f>IF(AND(G1508="RECORDED",ISNUMBER(H1508)),H1508,"")</x:f>
        <x:v>23.09</x:v>
      </x:c>
      <x:c r="P1508" s="35" t="str">
        <x:v>INCONCLUSIVE</x:v>
      </x:c>
      <x:c r="Q1508" s="35" t="str">
        <x:v>Deepseek-flash-v4/Result2/Lang_39/result.json</x:v>
      </x:c>
    </x:row>
    <x:row r="1509">
      <x:c r="A1509" s="35" t="str">
        <x:v>deepseek</x:v>
      </x:c>
      <x:c r="B1509" s="35" t="str">
        <x:v>Lang</x:v>
      </x:c>
      <x:c r="C1509" s="35" t="str">
        <x:v>Round2</x:v>
      </x:c>
      <x:c r="D1509" s="35" t="str">
        <x:v>Lang_4</x:v>
      </x:c>
      <x:c r="E1509" s="35" t="str">
        <x:v>Line</x:v>
      </x:c>
      <x:c r="F1509" s="35" t="n">
        <x:v>25</x:v>
      </x:c>
      <x:c r="G1509" s="35" t="str">
        <x:v>RECORDED</x:v>
      </x:c>
      <x:c r="H1509" s="39" t="n">
        <x:f>IF(ISNUMBER('Data'!E1509),'Data'!E1509*100,"")</x:f>
        <x:v>100</x:v>
      </x:c>
      <x:c r="I1509" s="35" t="str">
        <x:v>PASS</x:v>
      </x:c>
      <x:c r="J1509" s="35" t="str">
        <x:v>PASS</x:v>
      </x:c>
      <x:c r="K1509" s="35" t="str">
        <x:v>PASS</x:v>
      </x:c>
      <x:c r="L1509" s="35" t="str">
        <x:v>FAIL</x:v>
      </x:c>
      <x:c r="M1509" s="35" t="str">
        <x:v>numeric coverage for applicable metric</x:v>
      </x:c>
      <x:c r="N1509" s="35" t="str">
        <x:v>Deepseek-flash-v4/Result2/Lang_4/result.json</x:v>
      </x:c>
      <x:c r="O1509" s="39" t="n">
        <x:f>IF(AND(G1509="RECORDED",ISNUMBER(H1509)),H1509,"")</x:f>
        <x:v>100</x:v>
      </x:c>
      <x:c r="P1509" s="35" t="str">
        <x:v>INCONCLUSIVE</x:v>
      </x:c>
      <x:c r="Q1509" s="35" t="str">
        <x:v>Deepseek-flash-v4/Result2/Lang_4/result.json</x:v>
      </x:c>
    </x:row>
    <x:row r="1510">
      <x:c r="A1510" s="35" t="str">
        <x:v>deepseek</x:v>
      </x:c>
      <x:c r="B1510" s="35" t="str">
        <x:v>Lang</x:v>
      </x:c>
      <x:c r="C1510" s="35" t="str">
        <x:v>Round2</x:v>
      </x:c>
      <x:c r="D1510" s="35" t="str">
        <x:v>Lang_40</x:v>
      </x:c>
      <x:c r="E1510" s="35" t="str">
        <x:v>Line</x:v>
      </x:c>
      <x:c r="F1510" s="35" t="n">
        <x:v>1096</x:v>
      </x:c>
      <x:c r="G1510" s="35" t="str">
        <x:v>RECORDED</x:v>
      </x:c>
      <x:c r="H1510" s="39" t="n">
        <x:f>IF(ISNUMBER('Data'!E1510),'Data'!E1510*100,"")</x:f>
        <x:v>25</x:v>
      </x:c>
      <x:c r="I1510" s="35" t="str">
        <x:v>PASS</x:v>
      </x:c>
      <x:c r="J1510" s="35" t="str">
        <x:v>PASS</x:v>
      </x:c>
      <x:c r="K1510" s="35" t="str">
        <x:v>PASS</x:v>
      </x:c>
      <x:c r="L1510" s="35" t="str">
        <x:v>FAIL</x:v>
      </x:c>
      <x:c r="M1510" s="35" t="str">
        <x:v>numeric coverage for applicable metric</x:v>
      </x:c>
      <x:c r="N1510" s="35" t="str">
        <x:v>Deepseek-flash-v4/Result2/Lang_40/result.json</x:v>
      </x:c>
      <x:c r="O1510" s="39" t="n">
        <x:f>IF(AND(G1510="RECORDED",ISNUMBER(H1510)),H1510,"")</x:f>
        <x:v>25</x:v>
      </x:c>
      <x:c r="P1510" s="35" t="str">
        <x:v>INCONCLUSIVE</x:v>
      </x:c>
      <x:c r="Q1510" s="35" t="str">
        <x:v>Deepseek-flash-v4/Result2/Lang_40/result.json</x:v>
      </x:c>
    </x:row>
    <x:row r="1511">
      <x:c r="A1511" s="35" t="str">
        <x:v>deepseek</x:v>
      </x:c>
      <x:c r="B1511" s="35" t="str">
        <x:v>Lang</x:v>
      </x:c>
      <x:c r="C1511" s="35" t="str">
        <x:v>Round2</x:v>
      </x:c>
      <x:c r="D1511" s="35" t="str">
        <x:v>Lang_41</x:v>
      </x:c>
      <x:c r="E1511" s="35" t="str">
        <x:v>Line</x:v>
      </x:c>
      <x:c r="F1511" s="35"/>
      <x:c r="G1511" s="35" t="str">
        <x:v>A</x:v>
      </x:c>
      <x:c r="H1511" s="39" t="str">
        <x:f>IF(ISNUMBER('Data'!E1511),'Data'!E1511*100,"")</x:f>
      </x:c>
      <x:c r="I1511" s="35"/>
      <x:c r="J1511" s="35" t="str">
        <x:v>PASS</x:v>
      </x:c>
      <x:c r="K1511" s="35" t="str">
        <x:v>FAIL</x:v>
      </x:c>
      <x:c r="L1511" s="35" t="str">
        <x:v>NOT_RUN</x:v>
      </x:c>
      <x:c r="M1511" s="35" t="str">
        <x:v>coverage unavailable or execution/compile failed</x:v>
      </x:c>
      <x:c r="N1511" s="35" t="str">
        <x:v>Deepseek-flash-v4/Result2/Lang_41/result.json</x:v>
      </x:c>
      <x:c r="O1511" s="39" t="str">
        <x:f>IF(AND(G1511="RECORDED",ISNUMBER(H1511)),H1511,"")</x:f>
      </x:c>
      <x:c r="P1511" s="35" t="str">
        <x:v>NOT_AVAILABLE</x:v>
      </x:c>
      <x:c r="Q1511" s="35" t="str">
        <x:v>Deepseek-flash-v4/Result2/Lang_41/result.json</x:v>
      </x:c>
    </x:row>
    <x:row r="1512">
      <x:c r="A1512" s="35" t="str">
        <x:v>deepseek</x:v>
      </x:c>
      <x:c r="B1512" s="35" t="str">
        <x:v>Lang</x:v>
      </x:c>
      <x:c r="C1512" s="35" t="str">
        <x:v>Round2</x:v>
      </x:c>
      <x:c r="D1512" s="35" t="str">
        <x:v>Lang_42</x:v>
      </x:c>
      <x:c r="E1512" s="35" t="str">
        <x:v>Line</x:v>
      </x:c>
      <x:c r="F1512" s="35" t="n">
        <x:v>207</x:v>
      </x:c>
      <x:c r="G1512" s="35" t="str">
        <x:v>RECORDED</x:v>
      </x:c>
      <x:c r="H1512" s="39" t="n">
        <x:f>IF(ISNUMBER('Data'!E1512),'Data'!E1512*100,"")</x:f>
        <x:v>56.52</x:v>
      </x:c>
      <x:c r="I1512" s="35" t="str">
        <x:v>PASS</x:v>
      </x:c>
      <x:c r="J1512" s="35" t="str">
        <x:v>PASS</x:v>
      </x:c>
      <x:c r="K1512" s="35" t="str">
        <x:v>PASS</x:v>
      </x:c>
      <x:c r="L1512" s="35" t="str">
        <x:v>FAIL</x:v>
      </x:c>
      <x:c r="M1512" s="35" t="str">
        <x:v>numeric coverage for applicable metric</x:v>
      </x:c>
      <x:c r="N1512" s="35" t="str">
        <x:v>Deepseek-flash-v4/Result2/Lang_42/result.json</x:v>
      </x:c>
      <x:c r="O1512" s="39" t="n">
        <x:f>IF(AND(G1512="RECORDED",ISNUMBER(H1512)),H1512,"")</x:f>
        <x:v>56.52</x:v>
      </x:c>
      <x:c r="P1512" s="35" t="str">
        <x:v>INCONCLUSIVE</x:v>
      </x:c>
      <x:c r="Q1512" s="35" t="str">
        <x:v>Deepseek-flash-v4/Result2/Lang_42/result.json</x:v>
      </x:c>
    </x:row>
    <x:row r="1513">
      <x:c r="A1513" s="35" t="str">
        <x:v>deepseek</x:v>
      </x:c>
      <x:c r="B1513" s="35" t="str">
        <x:v>Lang</x:v>
      </x:c>
      <x:c r="C1513" s="35" t="str">
        <x:v>Round2</x:v>
      </x:c>
      <x:c r="D1513" s="35" t="str">
        <x:v>Lang_43</x:v>
      </x:c>
      <x:c r="E1513" s="35" t="str">
        <x:v>Line</x:v>
      </x:c>
      <x:c r="F1513" s="35"/>
      <x:c r="G1513" s="35" t="str">
        <x:v>A</x:v>
      </x:c>
      <x:c r="H1513" s="39" t="str">
        <x:f>IF(ISNUMBER('Data'!E1513),'Data'!E1513*100,"")</x:f>
      </x:c>
      <x:c r="I1513" s="35"/>
      <x:c r="J1513" s="35" t="str">
        <x:v>PASS</x:v>
      </x:c>
      <x:c r="K1513" s="35" t="str">
        <x:v>FAIL</x:v>
      </x:c>
      <x:c r="L1513" s="35" t="str">
        <x:v>NOT_RUN</x:v>
      </x:c>
      <x:c r="M1513" s="35" t="str">
        <x:v>coverage unavailable or execution/compile failed</x:v>
      </x:c>
      <x:c r="N1513" s="35" t="str">
        <x:v>Deepseek-flash-v4/Result2/Lang_43/result.json</x:v>
      </x:c>
      <x:c r="O1513" s="39" t="str">
        <x:f>IF(AND(G1513="RECORDED",ISNUMBER(H1513)),H1513,"")</x:f>
      </x:c>
      <x:c r="P1513" s="35" t="str">
        <x:v>NOT_AVAILABLE</x:v>
      </x:c>
      <x:c r="Q1513" s="35" t="str">
        <x:v>Deepseek-flash-v4/Result2/Lang_43/result.json</x:v>
      </x:c>
    </x:row>
    <x:row r="1514">
      <x:c r="A1514" s="35" t="str">
        <x:v>deepseek</x:v>
      </x:c>
      <x:c r="B1514" s="35" t="str">
        <x:v>Lang</x:v>
      </x:c>
      <x:c r="C1514" s="35" t="str">
        <x:v>Round2</x:v>
      </x:c>
      <x:c r="D1514" s="35" t="str">
        <x:v>Lang_44</x:v>
      </x:c>
      <x:c r="E1514" s="35" t="str">
        <x:v>Line</x:v>
      </x:c>
      <x:c r="F1514" s="35" t="n">
        <x:v>190</x:v>
      </x:c>
      <x:c r="G1514" s="35" t="str">
        <x:v>RECORDED</x:v>
      </x:c>
      <x:c r="H1514" s="39" t="n">
        <x:f>IF(ISNUMBER('Data'!E1514),'Data'!E1514*100,"")</x:f>
        <x:v>65.26</x:v>
      </x:c>
      <x:c r="I1514" s="35" t="str">
        <x:v>PASS</x:v>
      </x:c>
      <x:c r="J1514" s="35" t="str">
        <x:v>PASS</x:v>
      </x:c>
      <x:c r="K1514" s="35" t="str">
        <x:v>PASS</x:v>
      </x:c>
      <x:c r="L1514" s="35" t="str">
        <x:v>FAIL</x:v>
      </x:c>
      <x:c r="M1514" s="35" t="str">
        <x:v>numeric coverage for applicable metric</x:v>
      </x:c>
      <x:c r="N1514" s="35" t="str">
        <x:v>Deepseek-flash-v4/Result2/Lang_44/result.json</x:v>
      </x:c>
      <x:c r="O1514" s="39" t="n">
        <x:f>IF(AND(G1514="RECORDED",ISNUMBER(H1514)),H1514,"")</x:f>
        <x:v>65.26</x:v>
      </x:c>
      <x:c r="P1514" s="35" t="str">
        <x:v>INCONCLUSIVE</x:v>
      </x:c>
      <x:c r="Q1514" s="35" t="str">
        <x:v>Deepseek-flash-v4/Result2/Lang_44/result.json</x:v>
      </x:c>
    </x:row>
    <x:row r="1515">
      <x:c r="A1515" s="35" t="str">
        <x:v>deepseek</x:v>
      </x:c>
      <x:c r="B1515" s="35" t="str">
        <x:v>Lang</x:v>
      </x:c>
      <x:c r="C1515" s="35" t="str">
        <x:v>Round2</x:v>
      </x:c>
      <x:c r="D1515" s="35" t="str">
        <x:v>Lang_45</x:v>
      </x:c>
      <x:c r="E1515" s="35" t="str">
        <x:v>Line</x:v>
      </x:c>
      <x:c r="F1515" s="35" t="n">
        <x:v>138</x:v>
      </x:c>
      <x:c r="G1515" s="35" t="str">
        <x:v>RECORDED</x:v>
      </x:c>
      <x:c r="H1515" s="39" t="n">
        <x:f>IF(ISNUMBER('Data'!E1515),'Data'!E1515*100,"")</x:f>
        <x:v>94.93</x:v>
      </x:c>
      <x:c r="I1515" s="35" t="str">
        <x:v>PASS</x:v>
      </x:c>
      <x:c r="J1515" s="35" t="str">
        <x:v>PASS</x:v>
      </x:c>
      <x:c r="K1515" s="35" t="str">
        <x:v>PASS</x:v>
      </x:c>
      <x:c r="L1515" s="35" t="str">
        <x:v>FAIL</x:v>
      </x:c>
      <x:c r="M1515" s="35" t="str">
        <x:v>numeric coverage for applicable metric</x:v>
      </x:c>
      <x:c r="N1515" s="35" t="str">
        <x:v>Deepseek-flash-v4/Result2/Lang_45/result.json</x:v>
      </x:c>
      <x:c r="O1515" s="39" t="n">
        <x:f>IF(AND(G1515="RECORDED",ISNUMBER(H1515)),H1515,"")</x:f>
        <x:v>94.93</x:v>
      </x:c>
      <x:c r="P1515" s="35" t="str">
        <x:v>INCONCLUSIVE</x:v>
      </x:c>
      <x:c r="Q1515" s="35" t="str">
        <x:v>Deepseek-flash-v4/Result2/Lang_45/result.json</x:v>
      </x:c>
    </x:row>
    <x:row r="1516">
      <x:c r="A1516" s="35" t="str">
        <x:v>deepseek</x:v>
      </x:c>
      <x:c r="B1516" s="35" t="str">
        <x:v>Lang</x:v>
      </x:c>
      <x:c r="C1516" s="35" t="str">
        <x:v>Round2</x:v>
      </x:c>
      <x:c r="D1516" s="35" t="str">
        <x:v>Lang_46</x:v>
      </x:c>
      <x:c r="E1516" s="35" t="str">
        <x:v>Line</x:v>
      </x:c>
      <x:c r="F1516" s="35" t="n">
        <x:v>221</x:v>
      </x:c>
      <x:c r="G1516" s="35" t="str">
        <x:v>RECORDED</x:v>
      </x:c>
      <x:c r="H1516" s="39" t="n">
        <x:f>IF(ISNUMBER('Data'!E1516),'Data'!E1516*100,"")</x:f>
        <x:v>74.21</x:v>
      </x:c>
      <x:c r="I1516" s="35" t="str">
        <x:v>PASS</x:v>
      </x:c>
      <x:c r="J1516" s="35" t="str">
        <x:v>PASS</x:v>
      </x:c>
      <x:c r="K1516" s="35" t="str">
        <x:v>PASS</x:v>
      </x:c>
      <x:c r="L1516" s="35" t="str">
        <x:v>FAIL</x:v>
      </x:c>
      <x:c r="M1516" s="35" t="str">
        <x:v>numeric coverage for applicable metric</x:v>
      </x:c>
      <x:c r="N1516" s="35" t="str">
        <x:v>Deepseek-flash-v4/Result2/Lang_46/result.json</x:v>
      </x:c>
      <x:c r="O1516" s="39" t="n">
        <x:f>IF(AND(G1516="RECORDED",ISNUMBER(H1516)),H1516,"")</x:f>
        <x:v>74.21</x:v>
      </x:c>
      <x:c r="P1516" s="35" t="str">
        <x:v>INCONCLUSIVE</x:v>
      </x:c>
      <x:c r="Q1516" s="35" t="str">
        <x:v>Deepseek-flash-v4/Result2/Lang_46/result.json</x:v>
      </x:c>
    </x:row>
    <x:row r="1517">
      <x:c r="A1517" s="35" t="str">
        <x:v>deepseek</x:v>
      </x:c>
      <x:c r="B1517" s="35" t="str">
        <x:v>Lang</x:v>
      </x:c>
      <x:c r="C1517" s="35" t="str">
        <x:v>Round2</x:v>
      </x:c>
      <x:c r="D1517" s="35" t="str">
        <x:v>Lang_47</x:v>
      </x:c>
      <x:c r="E1517" s="35" t="str">
        <x:v>Line</x:v>
      </x:c>
      <x:c r="F1517" s="35"/>
      <x:c r="G1517" s="35" t="str">
        <x:v>A</x:v>
      </x:c>
      <x:c r="H1517" s="39" t="str">
        <x:f>IF(ISNUMBER('Data'!E1517),'Data'!E1517*100,"")</x:f>
      </x:c>
      <x:c r="I1517" s="35"/>
      <x:c r="J1517" s="35" t="str">
        <x:v>PASS</x:v>
      </x:c>
      <x:c r="K1517" s="35" t="str">
        <x:v>FAIL</x:v>
      </x:c>
      <x:c r="L1517" s="35" t="str">
        <x:v>NOT_RUN</x:v>
      </x:c>
      <x:c r="M1517" s="35" t="str">
        <x:v>coverage unavailable or execution/compile failed</x:v>
      </x:c>
      <x:c r="N1517" s="35" t="str">
        <x:v>Deepseek-flash-v4/Result2/Lang_47/result.json</x:v>
      </x:c>
      <x:c r="O1517" s="39" t="str">
        <x:f>IF(AND(G1517="RECORDED",ISNUMBER(H1517)),H1517,"")</x:f>
      </x:c>
      <x:c r="P1517" s="35" t="str">
        <x:v>NOT_AVAILABLE</x:v>
      </x:c>
      <x:c r="Q1517" s="35" t="str">
        <x:v>Deepseek-flash-v4/Result2/Lang_47/result.json</x:v>
      </x:c>
    </x:row>
    <x:row r="1518">
      <x:c r="A1518" s="35" t="str">
        <x:v>deepseek</x:v>
      </x:c>
      <x:c r="B1518" s="35" t="str">
        <x:v>Lang</x:v>
      </x:c>
      <x:c r="C1518" s="35" t="str">
        <x:v>Round2</x:v>
      </x:c>
      <x:c r="D1518" s="35" t="str">
        <x:v>Lang_49</x:v>
      </x:c>
      <x:c r="E1518" s="35" t="str">
        <x:v>Line</x:v>
      </x:c>
      <x:c r="F1518" s="35" t="n">
        <x:v>276</x:v>
      </x:c>
      <x:c r="G1518" s="35" t="str">
        <x:v>RECORDED</x:v>
      </x:c>
      <x:c r="H1518" s="39" t="n">
        <x:f>IF(ISNUMBER('Data'!E1518),'Data'!E1518*100,"")</x:f>
        <x:v>93.48</x:v>
      </x:c>
      <x:c r="I1518" s="35" t="str">
        <x:v>PASS</x:v>
      </x:c>
      <x:c r="J1518" s="35" t="str">
        <x:v>PASS</x:v>
      </x:c>
      <x:c r="K1518" s="35" t="str">
        <x:v>PASS</x:v>
      </x:c>
      <x:c r="L1518" s="35" t="str">
        <x:v>FAIL</x:v>
      </x:c>
      <x:c r="M1518" s="35" t="str">
        <x:v>numeric coverage for applicable metric</x:v>
      </x:c>
      <x:c r="N1518" s="35" t="str">
        <x:v>Deepseek-flash-v4/Result2/Lang_49/result.json</x:v>
      </x:c>
      <x:c r="O1518" s="39" t="n">
        <x:f>IF(AND(G1518="RECORDED",ISNUMBER(H1518)),H1518,"")</x:f>
        <x:v>93.48</x:v>
      </x:c>
      <x:c r="P1518" s="35" t="str">
        <x:v>INCONCLUSIVE</x:v>
      </x:c>
      <x:c r="Q1518" s="35" t="str">
        <x:v>Deepseek-flash-v4/Result2/Lang_49/result.json</x:v>
      </x:c>
    </x:row>
    <x:row r="1519">
      <x:c r="A1519" s="35" t="str">
        <x:v>deepseek</x:v>
      </x:c>
      <x:c r="B1519" s="35" t="str">
        <x:v>Lang</x:v>
      </x:c>
      <x:c r="C1519" s="35" t="str">
        <x:v>Round2</x:v>
      </x:c>
      <x:c r="D1519" s="35" t="str">
        <x:v>Lang_5</x:v>
      </x:c>
      <x:c r="E1519" s="35" t="str">
        <x:v>Line</x:v>
      </x:c>
      <x:c r="F1519" s="35" t="n">
        <x:v>82</x:v>
      </x:c>
      <x:c r="G1519" s="35" t="str">
        <x:v>RECORDED</x:v>
      </x:c>
      <x:c r="H1519" s="39" t="n">
        <x:f>IF(ISNUMBER('Data'!E1519),'Data'!E1519*100,"")</x:f>
        <x:v>93.9</x:v>
      </x:c>
      <x:c r="I1519" s="35" t="str">
        <x:v>PASS</x:v>
      </x:c>
      <x:c r="J1519" s="35" t="str">
        <x:v>PASS</x:v>
      </x:c>
      <x:c r="K1519" s="35" t="str">
        <x:v>PASS</x:v>
      </x:c>
      <x:c r="L1519" s="35" t="str">
        <x:v>FAIL</x:v>
      </x:c>
      <x:c r="M1519" s="35" t="str">
        <x:v>numeric coverage for applicable metric</x:v>
      </x:c>
      <x:c r="N1519" s="35" t="str">
        <x:v>Deepseek-flash-v4/Result2/Lang_5/result.json</x:v>
      </x:c>
      <x:c r="O1519" s="39" t="n">
        <x:f>IF(AND(G1519="RECORDED",ISNUMBER(H1519)),H1519,"")</x:f>
        <x:v>93.9</x:v>
      </x:c>
      <x:c r="P1519" s="35" t="str">
        <x:v>INCONCLUSIVE</x:v>
      </x:c>
      <x:c r="Q1519" s="35" t="str">
        <x:v>Deepseek-flash-v4/Result2/Lang_5/result.json</x:v>
      </x:c>
    </x:row>
    <x:row r="1520">
      <x:c r="A1520" s="35" t="str">
        <x:v>deepseek</x:v>
      </x:c>
      <x:c r="B1520" s="35" t="str">
        <x:v>Lang</x:v>
      </x:c>
      <x:c r="C1520" s="35" t="str">
        <x:v>Round2</x:v>
      </x:c>
      <x:c r="D1520" s="35" t="str">
        <x:v>Lang_50</x:v>
      </x:c>
      <x:c r="E1520" s="35" t="str">
        <x:v>Line</x:v>
      </x:c>
      <x:c r="F1520" s="35" t="n">
        <x:v>467</x:v>
      </x:c>
      <x:c r="G1520" s="35" t="str">
        <x:v>RECORDED</x:v>
      </x:c>
      <x:c r="H1520" s="39" t="n">
        <x:f>IF(ISNUMBER('Data'!E1520),'Data'!E1520*100,"")</x:f>
        <x:v>75.59</x:v>
      </x:c>
      <x:c r="I1520" s="35" t="str">
        <x:v>PASS</x:v>
      </x:c>
      <x:c r="J1520" s="35" t="str">
        <x:v>PASS</x:v>
      </x:c>
      <x:c r="K1520" s="35" t="str">
        <x:v>PASS</x:v>
      </x:c>
      <x:c r="L1520" s="35" t="str">
        <x:v>FAIL</x:v>
      </x:c>
      <x:c r="M1520" s="35" t="str">
        <x:v>numeric coverage for applicable metric</x:v>
      </x:c>
      <x:c r="N1520" s="35" t="str">
        <x:v>Deepseek-flash-v4/Result2/Lang_50/result.json</x:v>
      </x:c>
      <x:c r="O1520" s="39" t="n">
        <x:f>IF(AND(G1520="RECORDED",ISNUMBER(H1520)),H1520,"")</x:f>
        <x:v>75.59</x:v>
      </x:c>
      <x:c r="P1520" s="35" t="str">
        <x:v>INCONCLUSIVE</x:v>
      </x:c>
      <x:c r="Q1520" s="35" t="str">
        <x:v>Deepseek-flash-v4/Result2/Lang_50/result.json</x:v>
      </x:c>
    </x:row>
    <x:row r="1521">
      <x:c r="A1521" s="35" t="str">
        <x:v>deepseek</x:v>
      </x:c>
      <x:c r="B1521" s="35" t="str">
        <x:v>Lang</x:v>
      </x:c>
      <x:c r="C1521" s="35" t="str">
        <x:v>Round2</x:v>
      </x:c>
      <x:c r="D1521" s="35" t="str">
        <x:v>Lang_51</x:v>
      </x:c>
      <x:c r="E1521" s="35" t="str">
        <x:v>Line</x:v>
      </x:c>
      <x:c r="F1521" s="35" t="n">
        <x:v>171</x:v>
      </x:c>
      <x:c r="G1521" s="35" t="str">
        <x:v>RECORDED</x:v>
      </x:c>
      <x:c r="H1521" s="39" t="n">
        <x:f>IF(ISNUMBER('Data'!E1521),'Data'!E1521*100,"")</x:f>
        <x:v>90.64</x:v>
      </x:c>
      <x:c r="I1521" s="35" t="str">
        <x:v>PASS</x:v>
      </x:c>
      <x:c r="J1521" s="35" t="str">
        <x:v>PASS</x:v>
      </x:c>
      <x:c r="K1521" s="35" t="str">
        <x:v>PASS</x:v>
      </x:c>
      <x:c r="L1521" s="35" t="str">
        <x:v>FAIL</x:v>
      </x:c>
      <x:c r="M1521" s="35" t="str">
        <x:v>numeric coverage for applicable metric</x:v>
      </x:c>
      <x:c r="N1521" s="35" t="str">
        <x:v>Deepseek-flash-v4/Result2/Lang_51/result.json</x:v>
      </x:c>
      <x:c r="O1521" s="39" t="n">
        <x:f>IF(AND(G1521="RECORDED",ISNUMBER(H1521)),H1521,"")</x:f>
        <x:v>90.64</x:v>
      </x:c>
      <x:c r="P1521" s="35" t="str">
        <x:v>INCONCLUSIVE</x:v>
      </x:c>
      <x:c r="Q1521" s="35" t="str">
        <x:v>Deepseek-flash-v4/Result2/Lang_51/result.json</x:v>
      </x:c>
    </x:row>
    <x:row r="1522">
      <x:c r="A1522" s="35" t="str">
        <x:v>deepseek</x:v>
      </x:c>
      <x:c r="B1522" s="35" t="str">
        <x:v>Lang</x:v>
      </x:c>
      <x:c r="C1522" s="35" t="str">
        <x:v>Round2</x:v>
      </x:c>
      <x:c r="D1522" s="35" t="str">
        <x:v>Lang_52</x:v>
      </x:c>
      <x:c r="E1522" s="35" t="str">
        <x:v>Line</x:v>
      </x:c>
      <x:c r="F1522" s="35"/>
      <x:c r="G1522" s="35" t="str">
        <x:v>A</x:v>
      </x:c>
      <x:c r="H1522" s="39" t="str">
        <x:f>IF(ISNUMBER('Data'!E1522),'Data'!E1522*100,"")</x:f>
      </x:c>
      <x:c r="I1522" s="35"/>
      <x:c r="J1522" s="35" t="str">
        <x:v>PASS</x:v>
      </x:c>
      <x:c r="K1522" s="35" t="str">
        <x:v>FAIL</x:v>
      </x:c>
      <x:c r="L1522" s="35" t="str">
        <x:v>NOT_RUN</x:v>
      </x:c>
      <x:c r="M1522" s="35" t="str">
        <x:v>coverage unavailable or execution/compile failed</x:v>
      </x:c>
      <x:c r="N1522" s="35" t="str">
        <x:v>Deepseek-flash-v4/Result2/Lang_52/result.json</x:v>
      </x:c>
      <x:c r="O1522" s="39" t="str">
        <x:f>IF(AND(G1522="RECORDED",ISNUMBER(H1522)),H1522,"")</x:f>
      </x:c>
      <x:c r="P1522" s="35" t="str">
        <x:v>NOT_AVAILABLE</x:v>
      </x:c>
      <x:c r="Q1522" s="35" t="str">
        <x:v>Deepseek-flash-v4/Result2/Lang_52/result.json</x:v>
      </x:c>
    </x:row>
    <x:row r="1523">
      <x:c r="A1523" s="35" t="str">
        <x:v>deepseek</x:v>
      </x:c>
      <x:c r="B1523" s="35" t="str">
        <x:v>Lang</x:v>
      </x:c>
      <x:c r="C1523" s="35" t="str">
        <x:v>Round2</x:v>
      </x:c>
      <x:c r="D1523" s="35" t="str">
        <x:v>Lang_53</x:v>
      </x:c>
      <x:c r="E1523" s="35" t="str">
        <x:v>Line</x:v>
      </x:c>
      <x:c r="F1523" s="35"/>
      <x:c r="G1523" s="35" t="str">
        <x:v>A</x:v>
      </x:c>
      <x:c r="H1523" s="39" t="str">
        <x:f>IF(ISNUMBER('Data'!E1523),'Data'!E1523*100,"")</x:f>
      </x:c>
      <x:c r="I1523" s="35"/>
      <x:c r="J1523" s="35" t="str">
        <x:v>PASS</x:v>
      </x:c>
      <x:c r="K1523" s="35" t="str">
        <x:v>FAIL</x:v>
      </x:c>
      <x:c r="L1523" s="35" t="str">
        <x:v>NOT_RUN</x:v>
      </x:c>
      <x:c r="M1523" s="35" t="str">
        <x:v>coverage unavailable or execution/compile failed</x:v>
      </x:c>
      <x:c r="N1523" s="35" t="str">
        <x:v>Deepseek-flash-v4/Result2/Lang_53/result.json</x:v>
      </x:c>
      <x:c r="O1523" s="39" t="str">
        <x:f>IF(AND(G1523="RECORDED",ISNUMBER(H1523)),H1523,"")</x:f>
      </x:c>
      <x:c r="P1523" s="35" t="str">
        <x:v>NOT_AVAILABLE</x:v>
      </x:c>
      <x:c r="Q1523" s="35" t="str">
        <x:v>Deepseek-flash-v4/Result2/Lang_53/result.json</x:v>
      </x:c>
    </x:row>
    <x:row r="1524">
      <x:c r="A1524" s="35" t="str">
        <x:v>deepseek</x:v>
      </x:c>
      <x:c r="B1524" s="35" t="str">
        <x:v>Lang</x:v>
      </x:c>
      <x:c r="C1524" s="35" t="str">
        <x:v>Round2</x:v>
      </x:c>
      <x:c r="D1524" s="35" t="str">
        <x:v>Lang_54</x:v>
      </x:c>
      <x:c r="E1524" s="35" t="str">
        <x:v>Line</x:v>
      </x:c>
      <x:c r="F1524" s="35" t="n">
        <x:v>79</x:v>
      </x:c>
      <x:c r="G1524" s="35" t="str">
        <x:v>RECORDED</x:v>
      </x:c>
      <x:c r="H1524" s="39" t="n">
        <x:f>IF(ISNUMBER('Data'!E1524),'Data'!E1524*100,"")</x:f>
        <x:v>94.94</x:v>
      </x:c>
      <x:c r="I1524" s="35" t="str">
        <x:v>PASS</x:v>
      </x:c>
      <x:c r="J1524" s="35" t="str">
        <x:v>PASS</x:v>
      </x:c>
      <x:c r="K1524" s="35" t="str">
        <x:v>PASS</x:v>
      </x:c>
      <x:c r="L1524" s="35" t="str">
        <x:v>FAIL</x:v>
      </x:c>
      <x:c r="M1524" s="35" t="str">
        <x:v>numeric coverage for applicable metric</x:v>
      </x:c>
      <x:c r="N1524" s="35" t="str">
        <x:v>Deepseek-flash-v4/Result2/Lang_54/result.json</x:v>
      </x:c>
      <x:c r="O1524" s="39" t="n">
        <x:f>IF(AND(G1524="RECORDED",ISNUMBER(H1524)),H1524,"")</x:f>
        <x:v>94.94</x:v>
      </x:c>
      <x:c r="P1524" s="35" t="str">
        <x:v>INCONCLUSIVE</x:v>
      </x:c>
      <x:c r="Q1524" s="35" t="str">
        <x:v>Deepseek-flash-v4/Result2/Lang_54/result.json</x:v>
      </x:c>
    </x:row>
    <x:row r="1525">
      <x:c r="A1525" s="35" t="str">
        <x:v>deepseek</x:v>
      </x:c>
      <x:c r="B1525" s="35" t="str">
        <x:v>Lang</x:v>
      </x:c>
      <x:c r="C1525" s="35" t="str">
        <x:v>Round2</x:v>
      </x:c>
      <x:c r="D1525" s="35" t="str">
        <x:v>Lang_55</x:v>
      </x:c>
      <x:c r="E1525" s="35" t="str">
        <x:v>Line</x:v>
      </x:c>
      <x:c r="F1525" s="35" t="n">
        <x:v>57</x:v>
      </x:c>
      <x:c r="G1525" s="35" t="str">
        <x:v>RECORDED</x:v>
      </x:c>
      <x:c r="H1525" s="39" t="n">
        <x:f>IF(ISNUMBER('Data'!E1525),'Data'!E1525*100,"")</x:f>
        <x:v>92.98</x:v>
      </x:c>
      <x:c r="I1525" s="35" t="str">
        <x:v>PASS</x:v>
      </x:c>
      <x:c r="J1525" s="35" t="str">
        <x:v>PASS</x:v>
      </x:c>
      <x:c r="K1525" s="35" t="str">
        <x:v>PASS</x:v>
      </x:c>
      <x:c r="L1525" s="35" t="str">
        <x:v>FAIL</x:v>
      </x:c>
      <x:c r="M1525" s="35" t="str">
        <x:v>numeric coverage for applicable metric</x:v>
      </x:c>
      <x:c r="N1525" s="35" t="str">
        <x:v>Deepseek-flash-v4/Result2/Lang_55/result.json</x:v>
      </x:c>
      <x:c r="O1525" s="39" t="n">
        <x:f>IF(AND(G1525="RECORDED",ISNUMBER(H1525)),H1525,"")</x:f>
        <x:v>92.98</x:v>
      </x:c>
      <x:c r="P1525" s="35" t="str">
        <x:v>INCONCLUSIVE</x:v>
      </x:c>
      <x:c r="Q1525" s="35" t="str">
        <x:v>Deepseek-flash-v4/Result2/Lang_55/result.json</x:v>
      </x:c>
    </x:row>
    <x:row r="1526">
      <x:c r="A1526" s="35" t="str">
        <x:v>deepseek</x:v>
      </x:c>
      <x:c r="B1526" s="35" t="str">
        <x:v>Lang</x:v>
      </x:c>
      <x:c r="C1526" s="35" t="str">
        <x:v>Round2</x:v>
      </x:c>
      <x:c r="D1526" s="35" t="str">
        <x:v>Lang_56</x:v>
      </x:c>
      <x:c r="E1526" s="35" t="str">
        <x:v>Line</x:v>
      </x:c>
      <x:c r="F1526" s="35" t="n">
        <x:v>464</x:v>
      </x:c>
      <x:c r="G1526" s="35" t="str">
        <x:v>RECORDED</x:v>
      </x:c>
      <x:c r="H1526" s="39" t="n">
        <x:f>IF(ISNUMBER('Data'!E1526),'Data'!E1526*100,"")</x:f>
        <x:v>68.1</x:v>
      </x:c>
      <x:c r="I1526" s="35" t="str">
        <x:v>PASS</x:v>
      </x:c>
      <x:c r="J1526" s="35" t="str">
        <x:v>PASS</x:v>
      </x:c>
      <x:c r="K1526" s="35" t="str">
        <x:v>PASS</x:v>
      </x:c>
      <x:c r="L1526" s="35" t="str">
        <x:v>PASS</x:v>
      </x:c>
      <x:c r="M1526" s="35" t="str">
        <x:v>numeric coverage for applicable metric</x:v>
      </x:c>
      <x:c r="N1526" s="35" t="str">
        <x:v>Deepseek-flash-v4/Result2/Lang_56/result.json</x:v>
      </x:c>
      <x:c r="O1526" s="39" t="n">
        <x:f>IF(AND(G1526="RECORDED",ISNUMBER(H1526)),H1526,"")</x:f>
        <x:v>68.1</x:v>
      </x:c>
      <x:c r="P1526" s="35" t="str">
        <x:v>NOT_REVEALING</x:v>
      </x:c>
      <x:c r="Q1526" s="35" t="str">
        <x:v>Deepseek-flash-v4/Result2/Lang_56/result.json</x:v>
      </x:c>
    </x:row>
    <x:row r="1527">
      <x:c r="A1527" s="35" t="str">
        <x:v>deepseek</x:v>
      </x:c>
      <x:c r="B1527" s="35" t="str">
        <x:v>Lang</x:v>
      </x:c>
      <x:c r="C1527" s="35" t="str">
        <x:v>Round2</x:v>
      </x:c>
      <x:c r="D1527" s="35" t="str">
        <x:v>Lang_57</x:v>
      </x:c>
      <x:c r="E1527" s="35" t="str">
        <x:v>Line</x:v>
      </x:c>
      <x:c r="F1527" s="35" t="n">
        <x:v>79</x:v>
      </x:c>
      <x:c r="G1527" s="35" t="str">
        <x:v>RECORDED</x:v>
      </x:c>
      <x:c r="H1527" s="39" t="n">
        <x:f>IF(ISNUMBER('Data'!E1527),'Data'!E1527*100,"")</x:f>
        <x:v>97.47</x:v>
      </x:c>
      <x:c r="I1527" s="35" t="str">
        <x:v>PASS</x:v>
      </x:c>
      <x:c r="J1527" s="35" t="str">
        <x:v>PASS</x:v>
      </x:c>
      <x:c r="K1527" s="35" t="str">
        <x:v>PASS</x:v>
      </x:c>
      <x:c r="L1527" s="35" t="str">
        <x:v>FAIL</x:v>
      </x:c>
      <x:c r="M1527" s="35" t="str">
        <x:v>numeric coverage for applicable metric</x:v>
      </x:c>
      <x:c r="N1527" s="35" t="str">
        <x:v>Deepseek-flash-v4/Result2/Lang_57/result.json</x:v>
      </x:c>
      <x:c r="O1527" s="39" t="n">
        <x:f>IF(AND(G1527="RECORDED",ISNUMBER(H1527)),H1527,"")</x:f>
        <x:v>97.47</x:v>
      </x:c>
      <x:c r="P1527" s="35" t="str">
        <x:v>INCONCLUSIVE</x:v>
      </x:c>
      <x:c r="Q1527" s="35" t="str">
        <x:v>Deepseek-flash-v4/Result2/Lang_57/result.json</x:v>
      </x:c>
    </x:row>
    <x:row r="1528">
      <x:c r="A1528" s="35" t="str">
        <x:v>deepseek</x:v>
      </x:c>
      <x:c r="B1528" s="35" t="str">
        <x:v>Lang</x:v>
      </x:c>
      <x:c r="C1528" s="35" t="str">
        <x:v>Round2</x:v>
      </x:c>
      <x:c r="D1528" s="35" t="str">
        <x:v>Lang_58</x:v>
      </x:c>
      <x:c r="E1528" s="35" t="str">
        <x:v>Line</x:v>
      </x:c>
      <x:c r="F1528" s="35" t="n">
        <x:v>435</x:v>
      </x:c>
      <x:c r="G1528" s="35" t="str">
        <x:v>RECORDED</x:v>
      </x:c>
      <x:c r="H1528" s="39" t="n">
        <x:f>IF(ISNUMBER('Data'!E1528),'Data'!E1528*100,"")</x:f>
        <x:v>80.69</x:v>
      </x:c>
      <x:c r="I1528" s="35" t="str">
        <x:v>PASS</x:v>
      </x:c>
      <x:c r="J1528" s="35" t="str">
        <x:v>PASS</x:v>
      </x:c>
      <x:c r="K1528" s="35" t="str">
        <x:v>PASS</x:v>
      </x:c>
      <x:c r="L1528" s="35" t="str">
        <x:v>FAIL</x:v>
      </x:c>
      <x:c r="M1528" s="35" t="str">
        <x:v>numeric coverage for applicable metric</x:v>
      </x:c>
      <x:c r="N1528" s="35" t="str">
        <x:v>Deepseek-flash-v4/Result2/Lang_58/result.json</x:v>
      </x:c>
      <x:c r="O1528" s="39" t="n">
        <x:f>IF(AND(G1528="RECORDED",ISNUMBER(H1528)),H1528,"")</x:f>
        <x:v>80.69</x:v>
      </x:c>
      <x:c r="P1528" s="35" t="str">
        <x:v>INCONCLUSIVE</x:v>
      </x:c>
      <x:c r="Q1528" s="35" t="str">
        <x:v>Deepseek-flash-v4/Result2/Lang_58/result.json</x:v>
      </x:c>
    </x:row>
    <x:row r="1529">
      <x:c r="A1529" s="35" t="str">
        <x:v>deepseek</x:v>
      </x:c>
      <x:c r="B1529" s="35" t="str">
        <x:v>Lang</x:v>
      </x:c>
      <x:c r="C1529" s="35" t="str">
        <x:v>Round2</x:v>
      </x:c>
      <x:c r="D1529" s="35" t="str">
        <x:v>Lang_59</x:v>
      </x:c>
      <x:c r="E1529" s="35" t="str">
        <x:v>Line</x:v>
      </x:c>
      <x:c r="F1529" s="35"/>
      <x:c r="G1529" s="35" t="str">
        <x:v>A</x:v>
      </x:c>
      <x:c r="H1529" s="39" t="str">
        <x:f>IF(ISNUMBER('Data'!E1529),'Data'!E1529*100,"")</x:f>
      </x:c>
      <x:c r="I1529" s="35"/>
      <x:c r="J1529" s="35" t="str">
        <x:v>PASS</x:v>
      </x:c>
      <x:c r="K1529" s="35" t="str">
        <x:v>FAIL</x:v>
      </x:c>
      <x:c r="L1529" s="35" t="str">
        <x:v>NOT_RUN</x:v>
      </x:c>
      <x:c r="M1529" s="35" t="str">
        <x:v>coverage unavailable or execution/compile failed</x:v>
      </x:c>
      <x:c r="N1529" s="35" t="str">
        <x:v>Deepseek-flash-v4/Result2/Lang_59/result.json</x:v>
      </x:c>
      <x:c r="O1529" s="39" t="str">
        <x:f>IF(AND(G1529="RECORDED",ISNUMBER(H1529)),H1529,"")</x:f>
      </x:c>
      <x:c r="P1529" s="35" t="str">
        <x:v>NOT_AVAILABLE</x:v>
      </x:c>
      <x:c r="Q1529" s="35" t="str">
        <x:v>Deepseek-flash-v4/Result2/Lang_59/result.json</x:v>
      </x:c>
    </x:row>
    <x:row r="1530">
      <x:c r="A1530" s="35" t="str">
        <x:v>deepseek</x:v>
      </x:c>
      <x:c r="B1530" s="35" t="str">
        <x:v>Lang</x:v>
      </x:c>
      <x:c r="C1530" s="35" t="str">
        <x:v>Round2</x:v>
      </x:c>
      <x:c r="D1530" s="35" t="str">
        <x:v>Lang_6</x:v>
      </x:c>
      <x:c r="E1530" s="35" t="str">
        <x:v>Line</x:v>
      </x:c>
      <x:c r="F1530" s="35" t="n">
        <x:v>30</x:v>
      </x:c>
      <x:c r="G1530" s="35" t="str">
        <x:v>RECORDED</x:v>
      </x:c>
      <x:c r="H1530" s="39" t="n">
        <x:f>IF(ISNUMBER('Data'!E1530),'Data'!E1530*100,"")</x:f>
        <x:v>100</x:v>
      </x:c>
      <x:c r="I1530" s="35" t="str">
        <x:v>PASS</x:v>
      </x:c>
      <x:c r="J1530" s="35" t="str">
        <x:v>PASS</x:v>
      </x:c>
      <x:c r="K1530" s="35" t="str">
        <x:v>PASS</x:v>
      </x:c>
      <x:c r="L1530" s="35" t="str">
        <x:v>FAIL</x:v>
      </x:c>
      <x:c r="M1530" s="35" t="str">
        <x:v>numeric coverage for applicable metric</x:v>
      </x:c>
      <x:c r="N1530" s="35" t="str">
        <x:v>Deepseek-flash-v4/Result2/Lang_6/result.json</x:v>
      </x:c>
      <x:c r="O1530" s="39" t="n">
        <x:f>IF(AND(G1530="RECORDED",ISNUMBER(H1530)),H1530,"")</x:f>
        <x:v>100</x:v>
      </x:c>
      <x:c r="P1530" s="35" t="str">
        <x:v>INCONCLUSIVE</x:v>
      </x:c>
      <x:c r="Q1530" s="35" t="str">
        <x:v>Deepseek-flash-v4/Result2/Lang_6/result.json</x:v>
      </x:c>
    </x:row>
    <x:row r="1531">
      <x:c r="A1531" s="35" t="str">
        <x:v>deepseek</x:v>
      </x:c>
      <x:c r="B1531" s="35" t="str">
        <x:v>Lang</x:v>
      </x:c>
      <x:c r="C1531" s="35" t="str">
        <x:v>Round2</x:v>
      </x:c>
      <x:c r="D1531" s="35" t="str">
        <x:v>Lang_60</x:v>
      </x:c>
      <x:c r="E1531" s="35" t="str">
        <x:v>Line</x:v>
      </x:c>
      <x:c r="F1531" s="35"/>
      <x:c r="G1531" s="35" t="str">
        <x:v>A</x:v>
      </x:c>
      <x:c r="H1531" s="39" t="str">
        <x:f>IF(ISNUMBER('Data'!E1531),'Data'!E1531*100,"")</x:f>
      </x:c>
      <x:c r="I1531" s="35"/>
      <x:c r="J1531" s="35" t="str">
        <x:v>PASS</x:v>
      </x:c>
      <x:c r="K1531" s="35" t="str">
        <x:v>FAIL</x:v>
      </x:c>
      <x:c r="L1531" s="35" t="str">
        <x:v>NOT_RUN</x:v>
      </x:c>
      <x:c r="M1531" s="35" t="str">
        <x:v>coverage unavailable or execution/compile failed</x:v>
      </x:c>
      <x:c r="N1531" s="35" t="str">
        <x:v>Deepseek-flash-v4/Result2/Lang_60/result.json</x:v>
      </x:c>
      <x:c r="O1531" s="39" t="str">
        <x:f>IF(AND(G1531="RECORDED",ISNUMBER(H1531)),H1531,"")</x:f>
      </x:c>
      <x:c r="P1531" s="35" t="str">
        <x:v>NOT_AVAILABLE</x:v>
      </x:c>
      <x:c r="Q1531" s="35" t="str">
        <x:v>Deepseek-flash-v4/Result2/Lang_60/result.json</x:v>
      </x:c>
    </x:row>
    <x:row r="1532">
      <x:c r="A1532" s="35" t="str">
        <x:v>deepseek</x:v>
      </x:c>
      <x:c r="B1532" s="35" t="str">
        <x:v>Lang</x:v>
      </x:c>
      <x:c r="C1532" s="35" t="str">
        <x:v>Round2</x:v>
      </x:c>
      <x:c r="D1532" s="35" t="str">
        <x:v>Lang_61</x:v>
      </x:c>
      <x:c r="E1532" s="35" t="str">
        <x:v>Line</x:v>
      </x:c>
      <x:c r="F1532" s="35"/>
      <x:c r="G1532" s="35" t="str">
        <x:v>A</x:v>
      </x:c>
      <x:c r="H1532" s="39" t="str">
        <x:f>IF(ISNUMBER('Data'!E1532),'Data'!E1532*100,"")</x:f>
      </x:c>
      <x:c r="I1532" s="35"/>
      <x:c r="J1532" s="35" t="str">
        <x:v>PASS</x:v>
      </x:c>
      <x:c r="K1532" s="35" t="str">
        <x:v>FAIL</x:v>
      </x:c>
      <x:c r="L1532" s="35" t="str">
        <x:v>NOT_RUN</x:v>
      </x:c>
      <x:c r="M1532" s="35" t="str">
        <x:v>coverage unavailable or execution/compile failed</x:v>
      </x:c>
      <x:c r="N1532" s="35" t="str">
        <x:v>Deepseek-flash-v4/Result2/Lang_61/result.json</x:v>
      </x:c>
      <x:c r="O1532" s="39" t="str">
        <x:f>IF(AND(G1532="RECORDED",ISNUMBER(H1532)),H1532,"")</x:f>
      </x:c>
      <x:c r="P1532" s="35" t="str">
        <x:v>NOT_AVAILABLE</x:v>
      </x:c>
      <x:c r="Q1532" s="35" t="str">
        <x:v>Deepseek-flash-v4/Result2/Lang_61/result.json</x:v>
      </x:c>
    </x:row>
    <x:row r="1533">
      <x:c r="A1533" s="35" t="str">
        <x:v>deepseek</x:v>
      </x:c>
      <x:c r="B1533" s="35" t="str">
        <x:v>Lang</x:v>
      </x:c>
      <x:c r="C1533" s="35" t="str">
        <x:v>Round2</x:v>
      </x:c>
      <x:c r="D1533" s="35" t="str">
        <x:v>Lang_62</x:v>
      </x:c>
      <x:c r="E1533" s="35" t="str">
        <x:v>Line</x:v>
      </x:c>
      <x:c r="F1533" s="35" t="n">
        <x:v>241</x:v>
      </x:c>
      <x:c r="G1533" s="35" t="str">
        <x:v>RECORDED</x:v>
      </x:c>
      <x:c r="H1533" s="39" t="n">
        <x:f>IF(ISNUMBER('Data'!E1533),'Data'!E1533*100,"")</x:f>
        <x:v>60.17</x:v>
      </x:c>
      <x:c r="I1533" s="35" t="str">
        <x:v>PASS</x:v>
      </x:c>
      <x:c r="J1533" s="35" t="str">
        <x:v>PASS</x:v>
      </x:c>
      <x:c r="K1533" s="35" t="str">
        <x:v>PASS</x:v>
      </x:c>
      <x:c r="L1533" s="35" t="str">
        <x:v>FAIL</x:v>
      </x:c>
      <x:c r="M1533" s="35" t="str">
        <x:v>numeric coverage for applicable metric</x:v>
      </x:c>
      <x:c r="N1533" s="35" t="str">
        <x:v>Deepseek-flash-v4/Result2/Lang_62/result.json</x:v>
      </x:c>
      <x:c r="O1533" s="39" t="n">
        <x:f>IF(AND(G1533="RECORDED",ISNUMBER(H1533)),H1533,"")</x:f>
        <x:v>60.17</x:v>
      </x:c>
      <x:c r="P1533" s="35" t="str">
        <x:v>INCONCLUSIVE</x:v>
      </x:c>
      <x:c r="Q1533" s="35" t="str">
        <x:v>Deepseek-flash-v4/Result2/Lang_62/result.json</x:v>
      </x:c>
    </x:row>
    <x:row r="1534">
      <x:c r="A1534" s="35" t="str">
        <x:v>deepseek</x:v>
      </x:c>
      <x:c r="B1534" s="35" t="str">
        <x:v>Lang</x:v>
      </x:c>
      <x:c r="C1534" s="35" t="str">
        <x:v>Round2</x:v>
      </x:c>
      <x:c r="D1534" s="35" t="str">
        <x:v>Lang_63</x:v>
      </x:c>
      <x:c r="E1534" s="35" t="str">
        <x:v>Line</x:v>
      </x:c>
      <x:c r="F1534" s="35" t="n">
        <x:v>252</x:v>
      </x:c>
      <x:c r="G1534" s="35" t="str">
        <x:v>RECORDED</x:v>
      </x:c>
      <x:c r="H1534" s="39" t="n">
        <x:f>IF(ISNUMBER('Data'!E1534),'Data'!E1534*100,"")</x:f>
        <x:v>63.49</x:v>
      </x:c>
      <x:c r="I1534" s="35" t="str">
        <x:v>PASS</x:v>
      </x:c>
      <x:c r="J1534" s="35" t="str">
        <x:v>PASS</x:v>
      </x:c>
      <x:c r="K1534" s="35" t="str">
        <x:v>PASS</x:v>
      </x:c>
      <x:c r="L1534" s="35" t="str">
        <x:v>FAIL</x:v>
      </x:c>
      <x:c r="M1534" s="35" t="str">
        <x:v>numeric coverage for applicable metric</x:v>
      </x:c>
      <x:c r="N1534" s="35" t="str">
        <x:v>Deepseek-flash-v4/Result2/Lang_63/result.json</x:v>
      </x:c>
      <x:c r="O1534" s="39" t="n">
        <x:f>IF(AND(G1534="RECORDED",ISNUMBER(H1534)),H1534,"")</x:f>
        <x:v>63.49</x:v>
      </x:c>
      <x:c r="P1534" s="35" t="str">
        <x:v>INCONCLUSIVE</x:v>
      </x:c>
      <x:c r="Q1534" s="35" t="str">
        <x:v>Deepseek-flash-v4/Result2/Lang_63/result.json</x:v>
      </x:c>
    </x:row>
    <x:row r="1535">
      <x:c r="A1535" s="35" t="str">
        <x:v>deepseek</x:v>
      </x:c>
      <x:c r="B1535" s="35" t="str">
        <x:v>Lang</x:v>
      </x:c>
      <x:c r="C1535" s="35" t="str">
        <x:v>Round2</x:v>
      </x:c>
      <x:c r="D1535" s="35" t="str">
        <x:v>Lang_64</x:v>
      </x:c>
      <x:c r="E1535" s="35" t="str">
        <x:v>Line</x:v>
      </x:c>
      <x:c r="F1535" s="35" t="n">
        <x:v>18</x:v>
      </x:c>
      <x:c r="G1535" s="35" t="str">
        <x:v>RECORDED</x:v>
      </x:c>
      <x:c r="H1535" s="39" t="n">
        <x:f>IF(ISNUMBER('Data'!E1535),'Data'!E1535*100,"")</x:f>
        <x:v>22.22</x:v>
      </x:c>
      <x:c r="I1535" s="35" t="str">
        <x:v>PASS</x:v>
      </x:c>
      <x:c r="J1535" s="35" t="str">
        <x:v>PASS</x:v>
      </x:c>
      <x:c r="K1535" s="35" t="str">
        <x:v>PASS</x:v>
      </x:c>
      <x:c r="L1535" s="35" t="str">
        <x:v>FAIL</x:v>
      </x:c>
      <x:c r="M1535" s="35" t="str">
        <x:v>numeric coverage for applicable metric</x:v>
      </x:c>
      <x:c r="N1535" s="35" t="str">
        <x:v>Deepseek-flash-v4/Result2/Lang_64/result.json</x:v>
      </x:c>
      <x:c r="O1535" s="39" t="n">
        <x:f>IF(AND(G1535="RECORDED",ISNUMBER(H1535)),H1535,"")</x:f>
        <x:v>22.22</x:v>
      </x:c>
      <x:c r="P1535" s="35" t="str">
        <x:v>INCONCLUSIVE</x:v>
      </x:c>
      <x:c r="Q1535" s="35" t="str">
        <x:v>Deepseek-flash-v4/Result2/Lang_64/result.json</x:v>
      </x:c>
    </x:row>
    <x:row r="1536">
      <x:c r="A1536" s="35" t="str">
        <x:v>deepseek</x:v>
      </x:c>
      <x:c r="B1536" s="35" t="str">
        <x:v>Lang</x:v>
      </x:c>
      <x:c r="C1536" s="35" t="str">
        <x:v>Round2</x:v>
      </x:c>
      <x:c r="D1536" s="35" t="str">
        <x:v>Lang_65</x:v>
      </x:c>
      <x:c r="E1536" s="35" t="str">
        <x:v>Line</x:v>
      </x:c>
      <x:c r="F1536" s="35"/>
      <x:c r="G1536" s="35" t="str">
        <x:v>A</x:v>
      </x:c>
      <x:c r="H1536" s="39" t="str">
        <x:f>IF(ISNUMBER('Data'!E1536),'Data'!E1536*100,"")</x:f>
      </x:c>
      <x:c r="I1536" s="35"/>
      <x:c r="J1536" s="35" t="str">
        <x:v>PASS</x:v>
      </x:c>
      <x:c r="K1536" s="35" t="str">
        <x:v>FAIL</x:v>
      </x:c>
      <x:c r="L1536" s="35" t="str">
        <x:v>NOT_RUN</x:v>
      </x:c>
      <x:c r="M1536" s="35" t="str">
        <x:v>coverage unavailable or execution/compile failed</x:v>
      </x:c>
      <x:c r="N1536" s="35" t="str">
        <x:v>Deepseek-flash-v4/Result2/Lang_65/result.json</x:v>
      </x:c>
      <x:c r="O1536" s="39" t="str">
        <x:f>IF(AND(G1536="RECORDED",ISNUMBER(H1536)),H1536,"")</x:f>
      </x:c>
      <x:c r="P1536" s="35" t="str">
        <x:v>NOT_AVAILABLE</x:v>
      </x:c>
      <x:c r="Q1536" s="35" t="str">
        <x:v>Deepseek-flash-v4/Result2/Lang_65/result.json</x:v>
      </x:c>
    </x:row>
    <x:row r="1537">
      <x:c r="A1537" s="35" t="str">
        <x:v>deepseek</x:v>
      </x:c>
      <x:c r="B1537" s="35" t="str">
        <x:v>Lang</x:v>
      </x:c>
      <x:c r="C1537" s="35" t="str">
        <x:v>Round2</x:v>
      </x:c>
      <x:c r="D1537" s="35" t="str">
        <x:v>Lang_7</x:v>
      </x:c>
      <x:c r="E1537" s="35" t="str">
        <x:v>Line</x:v>
      </x:c>
      <x:c r="F1537" s="35" t="n">
        <x:v>380</x:v>
      </x:c>
      <x:c r="G1537" s="35" t="str">
        <x:v>RECORDED</x:v>
      </x:c>
      <x:c r="H1537" s="39" t="n">
        <x:f>IF(ISNUMBER('Data'!E1537),'Data'!E1537*100,"")</x:f>
        <x:v>72.37</x:v>
      </x:c>
      <x:c r="I1537" s="35" t="str">
        <x:v>PASS</x:v>
      </x:c>
      <x:c r="J1537" s="35" t="str">
        <x:v>PASS</x:v>
      </x:c>
      <x:c r="K1537" s="35" t="str">
        <x:v>PASS</x:v>
      </x:c>
      <x:c r="L1537" s="35" t="str">
        <x:v>FAIL</x:v>
      </x:c>
      <x:c r="M1537" s="35" t="str">
        <x:v>numeric coverage for applicable metric</x:v>
      </x:c>
      <x:c r="N1537" s="35" t="str">
        <x:v>Deepseek-flash-v4/Result2/Lang_7/result.json</x:v>
      </x:c>
      <x:c r="O1537" s="39" t="n">
        <x:f>IF(AND(G1537="RECORDED",ISNUMBER(H1537)),H1537,"")</x:f>
        <x:v>72.37</x:v>
      </x:c>
      <x:c r="P1537" s="35" t="str">
        <x:v>INCONCLUSIVE</x:v>
      </x:c>
      <x:c r="Q1537" s="35" t="str">
        <x:v>Deepseek-flash-v4/Result2/Lang_7/result.json</x:v>
      </x:c>
    </x:row>
    <x:row r="1538">
      <x:c r="A1538" s="35" t="str">
        <x:v>deepseek</x:v>
      </x:c>
      <x:c r="B1538" s="35" t="str">
        <x:v>Lang</x:v>
      </x:c>
      <x:c r="C1538" s="35" t="str">
        <x:v>Round2</x:v>
      </x:c>
      <x:c r="D1538" s="35" t="str">
        <x:v>Lang_8</x:v>
      </x:c>
      <x:c r="E1538" s="35" t="str">
        <x:v>Line</x:v>
      </x:c>
      <x:c r="F1538" s="35" t="n">
        <x:v>337</x:v>
      </x:c>
      <x:c r="G1538" s="35" t="str">
        <x:v>RECORDED</x:v>
      </x:c>
      <x:c r="H1538" s="39" t="n">
        <x:f>IF(ISNUMBER('Data'!E1538),'Data'!E1538*100,"")</x:f>
        <x:v>62.91</x:v>
      </x:c>
      <x:c r="I1538" s="35" t="str">
        <x:v>PASS</x:v>
      </x:c>
      <x:c r="J1538" s="35" t="str">
        <x:v>PASS</x:v>
      </x:c>
      <x:c r="K1538" s="35" t="str">
        <x:v>PASS</x:v>
      </x:c>
      <x:c r="L1538" s="35" t="str">
        <x:v>PASS</x:v>
      </x:c>
      <x:c r="M1538" s="35" t="str">
        <x:v>numeric coverage for applicable metric</x:v>
      </x:c>
      <x:c r="N1538" s="35" t="str">
        <x:v>Deepseek-flash-v4/Result2/Lang_8/result.json</x:v>
      </x:c>
      <x:c r="O1538" s="39" t="n">
        <x:f>IF(AND(G1538="RECORDED",ISNUMBER(H1538)),H1538,"")</x:f>
        <x:v>62.91</x:v>
      </x:c>
      <x:c r="P1538" s="35" t="str">
        <x:v>NOT_REVEALING</x:v>
      </x:c>
      <x:c r="Q1538" s="35" t="str">
        <x:v>Deepseek-flash-v4/Result2/Lang_8/result.json</x:v>
      </x:c>
    </x:row>
    <x:row r="1539">
      <x:c r="A1539" s="35" t="str">
        <x:v>deepseek</x:v>
      </x:c>
      <x:c r="B1539" s="35" t="str">
        <x:v>Lang</x:v>
      </x:c>
      <x:c r="C1539" s="35" t="str">
        <x:v>Round2</x:v>
      </x:c>
      <x:c r="D1539" s="35" t="str">
        <x:v>Lang_9</x:v>
      </x:c>
      <x:c r="E1539" s="35" t="str">
        <x:v>Line</x:v>
      </x:c>
      <x:c r="F1539" s="35" t="n">
        <x:v>273</x:v>
      </x:c>
      <x:c r="G1539" s="35" t="str">
        <x:v>RECORDED</x:v>
      </x:c>
      <x:c r="H1539" s="39" t="n">
        <x:f>IF(ISNUMBER('Data'!E1539),'Data'!E1539*100,"")</x:f>
        <x:v>79.12</x:v>
      </x:c>
      <x:c r="I1539" s="35" t="str">
        <x:v>PASS</x:v>
      </x:c>
      <x:c r="J1539" s="35" t="str">
        <x:v>PASS</x:v>
      </x:c>
      <x:c r="K1539" s="35" t="str">
        <x:v>PASS</x:v>
      </x:c>
      <x:c r="L1539" s="35" t="str">
        <x:v>FAIL</x:v>
      </x:c>
      <x:c r="M1539" s="35" t="str">
        <x:v>numeric coverage for applicable metric</x:v>
      </x:c>
      <x:c r="N1539" s="35" t="str">
        <x:v>Deepseek-flash-v4/Result2/Lang_9/result.json</x:v>
      </x:c>
      <x:c r="O1539" s="39" t="n">
        <x:f>IF(AND(G1539="RECORDED",ISNUMBER(H1539)),H1539,"")</x:f>
        <x:v>79.12</x:v>
      </x:c>
      <x:c r="P1539" s="35" t="str">
        <x:v>INCONCLUSIVE</x:v>
      </x:c>
      <x:c r="Q1539" s="35" t="str">
        <x:v>Deepseek-flash-v4/Result2/Lang_9/result.json</x:v>
      </x:c>
    </x:row>
    <x:row r="1540">
      <x:c r="A1540" s="35" t="str">
        <x:v>deepseek</x:v>
      </x:c>
      <x:c r="B1540" s="35" t="str">
        <x:v>Math</x:v>
      </x:c>
      <x:c r="C1540" s="35" t="str">
        <x:v>Round2</x:v>
      </x:c>
      <x:c r="D1540" s="35" t="str">
        <x:v>Math_1</x:v>
      </x:c>
      <x:c r="E1540" s="35" t="str">
        <x:v>Line</x:v>
      </x:c>
      <x:c r="F1540" s="35" t="n">
        <x:v>425</x:v>
      </x:c>
      <x:c r="G1540" s="35" t="str">
        <x:v>RECORDED</x:v>
      </x:c>
      <x:c r="H1540" s="39" t="n">
        <x:f>IF(ISNUMBER('Data'!E1540),'Data'!E1540*100,"")</x:f>
        <x:v>84.94</x:v>
      </x:c>
      <x:c r="I1540" s="35" t="str">
        <x:v>PASS</x:v>
      </x:c>
      <x:c r="J1540" s="35" t="str">
        <x:v>PASS</x:v>
      </x:c>
      <x:c r="K1540" s="35" t="str">
        <x:v>PASS</x:v>
      </x:c>
      <x:c r="L1540" s="35" t="str">
        <x:v>FAIL</x:v>
      </x:c>
      <x:c r="M1540" s="35" t="str">
        <x:v>numeric coverage for applicable metric</x:v>
      </x:c>
      <x:c r="N1540" s="35" t="str">
        <x:v>Deepseek-flash-v4/Result2/Math_1/result.json</x:v>
      </x:c>
      <x:c r="O1540" s="39" t="n">
        <x:f>IF(AND(G1540="RECORDED",ISNUMBER(H1540)),H1540,"")</x:f>
        <x:v>84.94</x:v>
      </x:c>
      <x:c r="P1540" s="35" t="str">
        <x:v>INCONCLUSIVE</x:v>
      </x:c>
      <x:c r="Q1540" s="35" t="str">
        <x:v>Deepseek-flash-v4/Result2/Math_1/result.json</x:v>
      </x:c>
    </x:row>
    <x:row r="1541">
      <x:c r="A1541" s="35" t="str">
        <x:v>deepseek</x:v>
      </x:c>
      <x:c r="B1541" s="35" t="str">
        <x:v>Math</x:v>
      </x:c>
      <x:c r="C1541" s="35" t="str">
        <x:v>Round2</x:v>
      </x:c>
      <x:c r="D1541" s="35" t="str">
        <x:v>Math_10</x:v>
      </x:c>
      <x:c r="E1541" s="35" t="str">
        <x:v>Line</x:v>
      </x:c>
      <x:c r="F1541" s="35" t="n">
        <x:v>552</x:v>
      </x:c>
      <x:c r="G1541" s="35" t="str">
        <x:v>RECORDED</x:v>
      </x:c>
      <x:c r="H1541" s="39" t="n">
        <x:f>IF(ISNUMBER('Data'!E1541),'Data'!E1541*100,"")</x:f>
        <x:v>81.7</x:v>
      </x:c>
      <x:c r="I1541" s="35" t="str">
        <x:v>PASS</x:v>
      </x:c>
      <x:c r="J1541" s="35" t="str">
        <x:v>PASS</x:v>
      </x:c>
      <x:c r="K1541" s="35" t="str">
        <x:v>PASS</x:v>
      </x:c>
      <x:c r="L1541" s="35" t="str">
        <x:v>FAIL</x:v>
      </x:c>
      <x:c r="M1541" s="35" t="str">
        <x:v>numeric coverage for applicable metric</x:v>
      </x:c>
      <x:c r="N1541" s="35" t="str">
        <x:v>Deepseek-flash-v4/Result2/Math_10/result.json</x:v>
      </x:c>
      <x:c r="O1541" s="39" t="n">
        <x:f>IF(AND(G1541="RECORDED",ISNUMBER(H1541)),H1541,"")</x:f>
        <x:v>81.7</x:v>
      </x:c>
      <x:c r="P1541" s="35" t="str">
        <x:v>INCONCLUSIVE</x:v>
      </x:c>
      <x:c r="Q1541" s="35" t="str">
        <x:v>Deepseek-flash-v4/Result2/Math_10/result.json</x:v>
      </x:c>
    </x:row>
    <x:row r="1542">
      <x:c r="A1542" s="35" t="str">
        <x:v>deepseek</x:v>
      </x:c>
      <x:c r="B1542" s="35" t="str">
        <x:v>Math</x:v>
      </x:c>
      <x:c r="C1542" s="35" t="str">
        <x:v>Round2</x:v>
      </x:c>
      <x:c r="D1542" s="35" t="str">
        <x:v>Math_100</x:v>
      </x:c>
      <x:c r="E1542" s="35" t="str">
        <x:v>Line</x:v>
      </x:c>
      <x:c r="F1542" s="35"/>
      <x:c r="G1542" s="35" t="str">
        <x:v>A</x:v>
      </x:c>
      <x:c r="H1542" s="39" t="str">
        <x:f>IF(ISNUMBER('Data'!E1542),'Data'!E1542*100,"")</x:f>
      </x:c>
      <x:c r="I1542" s="35"/>
      <x:c r="J1542" s="35" t="str">
        <x:v>PASS</x:v>
      </x:c>
      <x:c r="K1542" s="35" t="str">
        <x:v>FAIL</x:v>
      </x:c>
      <x:c r="L1542" s="35" t="str">
        <x:v>NOT_RUN</x:v>
      </x:c>
      <x:c r="M1542" s="35" t="str">
        <x:v>coverage unavailable or execution/compile failed</x:v>
      </x:c>
      <x:c r="N1542" s="35" t="str">
        <x:v>Deepseek-flash-v4/Result2/Math_100/result.json</x:v>
      </x:c>
      <x:c r="O1542" s="39" t="str">
        <x:f>IF(AND(G1542="RECORDED",ISNUMBER(H1542)),H1542,"")</x:f>
      </x:c>
      <x:c r="P1542" s="35" t="str">
        <x:v>NOT_AVAILABLE</x:v>
      </x:c>
      <x:c r="Q1542" s="35" t="str">
        <x:v>Deepseek-flash-v4/Result2/Math_100/result.json</x:v>
      </x:c>
    </x:row>
    <x:row r="1543">
      <x:c r="A1543" s="35" t="str">
        <x:v>deepseek</x:v>
      </x:c>
      <x:c r="B1543" s="35" t="str">
        <x:v>Math</x:v>
      </x:c>
      <x:c r="C1543" s="35" t="str">
        <x:v>Round2</x:v>
      </x:c>
      <x:c r="D1543" s="35" t="str">
        <x:v>Math_101</x:v>
      </x:c>
      <x:c r="E1543" s="35" t="str">
        <x:v>Line</x:v>
      </x:c>
      <x:c r="F1543" s="35" t="n">
        <x:v>143</x:v>
      </x:c>
      <x:c r="G1543" s="35" t="str">
        <x:v>RECORDED</x:v>
      </x:c>
      <x:c r="H1543" s="39" t="n">
        <x:f>IF(ISNUMBER('Data'!E1543),'Data'!E1543*100,"")</x:f>
        <x:v>95.1</x:v>
      </x:c>
      <x:c r="I1543" s="35" t="str">
        <x:v>PASS</x:v>
      </x:c>
      <x:c r="J1543" s="35" t="str">
        <x:v>PASS</x:v>
      </x:c>
      <x:c r="K1543" s="35" t="str">
        <x:v>PASS</x:v>
      </x:c>
      <x:c r="L1543" s="35" t="str">
        <x:v>PASS</x:v>
      </x:c>
      <x:c r="M1543" s="35" t="str">
        <x:v>numeric coverage for applicable metric</x:v>
      </x:c>
      <x:c r="N1543" s="35" t="str">
        <x:v>Deepseek-flash-v4/Result2/Math_101/result.json</x:v>
      </x:c>
      <x:c r="O1543" s="39" t="n">
        <x:f>IF(AND(G1543="RECORDED",ISNUMBER(H1543)),H1543,"")</x:f>
        <x:v>95.1</x:v>
      </x:c>
      <x:c r="P1543" s="35" t="str">
        <x:v>NOT_REVEALING</x:v>
      </x:c>
      <x:c r="Q1543" s="35" t="str">
        <x:v>Deepseek-flash-v4/Result2/Math_101/result.json</x:v>
      </x:c>
    </x:row>
    <x:row r="1544">
      <x:c r="A1544" s="35" t="str">
        <x:v>deepseek</x:v>
      </x:c>
      <x:c r="B1544" s="35" t="str">
        <x:v>Math</x:v>
      </x:c>
      <x:c r="C1544" s="35" t="str">
        <x:v>Round2</x:v>
      </x:c>
      <x:c r="D1544" s="35" t="str">
        <x:v>Math_102</x:v>
      </x:c>
      <x:c r="E1544" s="35" t="str">
        <x:v>Line</x:v>
      </x:c>
      <x:c r="F1544" s="35" t="n">
        <x:v>111</x:v>
      </x:c>
      <x:c r="G1544" s="35" t="str">
        <x:v>RECORDED</x:v>
      </x:c>
      <x:c r="H1544" s="39" t="n">
        <x:f>IF(ISNUMBER('Data'!E1544),'Data'!E1544*100,"")</x:f>
        <x:v>99.1</x:v>
      </x:c>
      <x:c r="I1544" s="35" t="str">
        <x:v>PASS</x:v>
      </x:c>
      <x:c r="J1544" s="35" t="str">
        <x:v>PASS</x:v>
      </x:c>
      <x:c r="K1544" s="35" t="str">
        <x:v>PASS</x:v>
      </x:c>
      <x:c r="L1544" s="35" t="str">
        <x:v>PASS</x:v>
      </x:c>
      <x:c r="M1544" s="35" t="str">
        <x:v>numeric coverage for applicable metric</x:v>
      </x:c>
      <x:c r="N1544" s="35" t="str">
        <x:v>Deepseek-flash-v4/Result2/Math_102/result.json</x:v>
      </x:c>
      <x:c r="O1544" s="39" t="n">
        <x:f>IF(AND(G1544="RECORDED",ISNUMBER(H1544)),H1544,"")</x:f>
        <x:v>99.1</x:v>
      </x:c>
      <x:c r="P1544" s="35" t="str">
        <x:v>INCONCLUSIVE</x:v>
      </x:c>
      <x:c r="Q1544" s="35" t="str">
        <x:v>Deepseek-flash-v4/Result2/Math_102/result.json</x:v>
      </x:c>
    </x:row>
    <x:row r="1545">
      <x:c r="A1545" s="35" t="str">
        <x:v>deepseek</x:v>
      </x:c>
      <x:c r="B1545" s="35" t="str">
        <x:v>Math</x:v>
      </x:c>
      <x:c r="C1545" s="35" t="str">
        <x:v>Round2</x:v>
      </x:c>
      <x:c r="D1545" s="35" t="str">
        <x:v>Math_103</x:v>
      </x:c>
      <x:c r="E1545" s="35" t="str">
        <x:v>Line</x:v>
      </x:c>
      <x:c r="F1545" s="35" t="n">
        <x:v>37</x:v>
      </x:c>
      <x:c r="G1545" s="35" t="str">
        <x:v>RECORDED</x:v>
      </x:c>
      <x:c r="H1545" s="39" t="n">
        <x:f>IF(ISNUMBER('Data'!E1545),'Data'!E1545*100,"")</x:f>
        <x:v>100</x:v>
      </x:c>
      <x:c r="I1545" s="35" t="str">
        <x:v>PASS</x:v>
      </x:c>
      <x:c r="J1545" s="35" t="str">
        <x:v>PASS</x:v>
      </x:c>
      <x:c r="K1545" s="35" t="str">
        <x:v>PASS</x:v>
      </x:c>
      <x:c r="L1545" s="35" t="str">
        <x:v>FAIL</x:v>
      </x:c>
      <x:c r="M1545" s="35" t="str">
        <x:v>numeric coverage for applicable metric</x:v>
      </x:c>
      <x:c r="N1545" s="35" t="str">
        <x:v>Deepseek-flash-v4/Result2/Math_103/result.json</x:v>
      </x:c>
      <x:c r="O1545" s="39" t="n">
        <x:f>IF(AND(G1545="RECORDED",ISNUMBER(H1545)),H1545,"")</x:f>
        <x:v>100</x:v>
      </x:c>
      <x:c r="P1545" s="35" t="str">
        <x:v>INCONCLUSIVE</x:v>
      </x:c>
      <x:c r="Q1545" s="35" t="str">
        <x:v>Deepseek-flash-v4/Result2/Math_103/result.json</x:v>
      </x:c>
    </x:row>
    <x:row r="1546">
      <x:c r="A1546" s="35" t="str">
        <x:v>deepseek</x:v>
      </x:c>
      <x:c r="B1546" s="35" t="str">
        <x:v>Math</x:v>
      </x:c>
      <x:c r="C1546" s="35" t="str">
        <x:v>Round2</x:v>
      </x:c>
      <x:c r="D1546" s="35" t="str">
        <x:v>Math_104</x:v>
      </x:c>
      <x:c r="E1546" s="35" t="str">
        <x:v>Line</x:v>
      </x:c>
      <x:c r="F1546" s="35" t="n">
        <x:v>47</x:v>
      </x:c>
      <x:c r="G1546" s="35" t="str">
        <x:v>RECORDED</x:v>
      </x:c>
      <x:c r="H1546" s="39" t="n">
        <x:f>IF(ISNUMBER('Data'!E1546),'Data'!E1546*100,"")</x:f>
        <x:v>89.36</x:v>
      </x:c>
      <x:c r="I1546" s="35" t="str">
        <x:v>PASS</x:v>
      </x:c>
      <x:c r="J1546" s="35" t="str">
        <x:v>PASS</x:v>
      </x:c>
      <x:c r="K1546" s="35" t="str">
        <x:v>PASS</x:v>
      </x:c>
      <x:c r="L1546" s="35" t="str">
        <x:v>FAIL</x:v>
      </x:c>
      <x:c r="M1546" s="35" t="str">
        <x:v>numeric coverage for applicable metric</x:v>
      </x:c>
      <x:c r="N1546" s="35" t="str">
        <x:v>Deepseek-flash-v4/Result2/Math_104/result.json</x:v>
      </x:c>
      <x:c r="O1546" s="39" t="n">
        <x:f>IF(AND(G1546="RECORDED",ISNUMBER(H1546)),H1546,"")</x:f>
        <x:v>89.36</x:v>
      </x:c>
      <x:c r="P1546" s="35" t="str">
        <x:v>INCONCLUSIVE</x:v>
      </x:c>
      <x:c r="Q1546" s="35" t="str">
        <x:v>Deepseek-flash-v4/Result2/Math_104/result.json</x:v>
      </x:c>
    </x:row>
    <x:row r="1547">
      <x:c r="A1547" s="35" t="str">
        <x:v>deepseek</x:v>
      </x:c>
      <x:c r="B1547" s="35" t="str">
        <x:v>Math</x:v>
      </x:c>
      <x:c r="C1547" s="35" t="str">
        <x:v>Round2</x:v>
      </x:c>
      <x:c r="D1547" s="35" t="str">
        <x:v>Math_105</x:v>
      </x:c>
      <x:c r="E1547" s="35" t="str">
        <x:v>Line</x:v>
      </x:c>
      <x:c r="F1547" s="35" t="n">
        <x:v>71</x:v>
      </x:c>
      <x:c r="G1547" s="35" t="str">
        <x:v>RECORDED</x:v>
      </x:c>
      <x:c r="H1547" s="39" t="n">
        <x:f>IF(ISNUMBER('Data'!E1547),'Data'!E1547*100,"")</x:f>
        <x:v>100</x:v>
      </x:c>
      <x:c r="I1547" s="35" t="str">
        <x:v>PASS</x:v>
      </x:c>
      <x:c r="J1547" s="35" t="str">
        <x:v>PASS</x:v>
      </x:c>
      <x:c r="K1547" s="35" t="str">
        <x:v>PASS</x:v>
      </x:c>
      <x:c r="L1547" s="35" t="str">
        <x:v>FAIL</x:v>
      </x:c>
      <x:c r="M1547" s="35" t="str">
        <x:v>numeric coverage for applicable metric</x:v>
      </x:c>
      <x:c r="N1547" s="35" t="str">
        <x:v>Deepseek-flash-v4/Result2/Math_105/result.json</x:v>
      </x:c>
      <x:c r="O1547" s="39" t="n">
        <x:f>IF(AND(G1547="RECORDED",ISNUMBER(H1547)),H1547,"")</x:f>
        <x:v>100</x:v>
      </x:c>
      <x:c r="P1547" s="35" t="str">
        <x:v>INCONCLUSIVE</x:v>
      </x:c>
      <x:c r="Q1547" s="35" t="str">
        <x:v>Deepseek-flash-v4/Result2/Math_105/result.json</x:v>
      </x:c>
    </x:row>
    <x:row r="1548">
      <x:c r="A1548" s="35" t="str">
        <x:v>deepseek</x:v>
      </x:c>
      <x:c r="B1548" s="35" t="str">
        <x:v>Math</x:v>
      </x:c>
      <x:c r="C1548" s="35" t="str">
        <x:v>Round2</x:v>
      </x:c>
      <x:c r="D1548" s="35" t="str">
        <x:v>Math_106</x:v>
      </x:c>
      <x:c r="E1548" s="35" t="str">
        <x:v>Line</x:v>
      </x:c>
      <x:c r="F1548" s="35" t="n">
        <x:v>57</x:v>
      </x:c>
      <x:c r="G1548" s="35" t="str">
        <x:v>RECORDED</x:v>
      </x:c>
      <x:c r="H1548" s="39" t="n">
        <x:f>IF(ISNUMBER('Data'!E1548),'Data'!E1548*100,"")</x:f>
        <x:v>89.47</x:v>
      </x:c>
      <x:c r="I1548" s="35" t="str">
        <x:v>PASS</x:v>
      </x:c>
      <x:c r="J1548" s="35" t="str">
        <x:v>PASS</x:v>
      </x:c>
      <x:c r="K1548" s="35" t="str">
        <x:v>PASS</x:v>
      </x:c>
      <x:c r="L1548" s="35" t="str">
        <x:v>FAIL</x:v>
      </x:c>
      <x:c r="M1548" s="35" t="str">
        <x:v>numeric coverage for applicable metric</x:v>
      </x:c>
      <x:c r="N1548" s="35" t="str">
        <x:v>Deepseek-flash-v4/Result2/Math_106/result.json</x:v>
      </x:c>
      <x:c r="O1548" s="39" t="n">
        <x:f>IF(AND(G1548="RECORDED",ISNUMBER(H1548)),H1548,"")</x:f>
        <x:v>89.47</x:v>
      </x:c>
      <x:c r="P1548" s="35" t="str">
        <x:v>INCONCLUSIVE</x:v>
      </x:c>
      <x:c r="Q1548" s="35" t="str">
        <x:v>Deepseek-flash-v4/Result2/Math_106/result.json</x:v>
      </x:c>
    </x:row>
    <x:row r="1549">
      <x:c r="A1549" s="35" t="str">
        <x:v>deepseek</x:v>
      </x:c>
      <x:c r="B1549" s="35" t="str">
        <x:v>Math</x:v>
      </x:c>
      <x:c r="C1549" s="35" t="str">
        <x:v>Round2</x:v>
      </x:c>
      <x:c r="D1549" s="35" t="str">
        <x:v>Math_11</x:v>
      </x:c>
      <x:c r="E1549" s="35" t="str">
        <x:v>Line</x:v>
      </x:c>
      <x:c r="F1549" s="35" t="n">
        <x:v>59</x:v>
      </x:c>
      <x:c r="G1549" s="35" t="str">
        <x:v>RECORDED</x:v>
      </x:c>
      <x:c r="H1549" s="39" t="n">
        <x:f>IF(ISNUMBER('Data'!E1549),'Data'!E1549*100,"")</x:f>
        <x:v>100</x:v>
      </x:c>
      <x:c r="I1549" s="35" t="str">
        <x:v>PASS</x:v>
      </x:c>
      <x:c r="J1549" s="35" t="str">
        <x:v>PASS</x:v>
      </x:c>
      <x:c r="K1549" s="35" t="str">
        <x:v>PASS</x:v>
      </x:c>
      <x:c r="L1549" s="35" t="str">
        <x:v>FAIL</x:v>
      </x:c>
      <x:c r="M1549" s="35" t="str">
        <x:v>numeric coverage for applicable metric</x:v>
      </x:c>
      <x:c r="N1549" s="35" t="str">
        <x:v>Deepseek-flash-v4/Result2/Math_11/result.json</x:v>
      </x:c>
      <x:c r="O1549" s="39" t="n">
        <x:f>IF(AND(G1549="RECORDED",ISNUMBER(H1549)),H1549,"")</x:f>
        <x:v>100</x:v>
      </x:c>
      <x:c r="P1549" s="35" t="str">
        <x:v>INCONCLUSIVE</x:v>
      </x:c>
      <x:c r="Q1549" s="35" t="str">
        <x:v>Deepseek-flash-v4/Result2/Math_11/result.json</x:v>
      </x:c>
    </x:row>
    <x:row r="1550">
      <x:c r="A1550" s="35" t="str">
        <x:v>deepseek</x:v>
      </x:c>
      <x:c r="B1550" s="35" t="str">
        <x:v>Math</x:v>
      </x:c>
      <x:c r="C1550" s="35" t="str">
        <x:v>Round2</x:v>
      </x:c>
      <x:c r="D1550" s="35" t="str">
        <x:v>Math_12</x:v>
      </x:c>
      <x:c r="E1550" s="35" t="str">
        <x:v>Line</x:v>
      </x:c>
      <x:c r="F1550" s="35" t="n">
        <x:v>48</x:v>
      </x:c>
      <x:c r="G1550" s="35" t="str">
        <x:v>RECORDED</x:v>
      </x:c>
      <x:c r="H1550" s="39" t="n">
        <x:f>IF(ISNUMBER('Data'!E1550),'Data'!E1550*100,"")</x:f>
        <x:v>95.83</x:v>
      </x:c>
      <x:c r="I1550" s="35" t="str">
        <x:v>PASS</x:v>
      </x:c>
      <x:c r="J1550" s="35" t="str">
        <x:v>PASS</x:v>
      </x:c>
      <x:c r="K1550" s="35" t="str">
        <x:v>PASS</x:v>
      </x:c>
      <x:c r="L1550" s="35" t="str">
        <x:v>FAIL</x:v>
      </x:c>
      <x:c r="M1550" s="35" t="str">
        <x:v>numeric coverage for applicable metric</x:v>
      </x:c>
      <x:c r="N1550" s="35" t="str">
        <x:v>Deepseek-flash-v4/Result2/Math_12/result.json</x:v>
      </x:c>
      <x:c r="O1550" s="39" t="n">
        <x:f>IF(AND(G1550="RECORDED",ISNUMBER(H1550)),H1550,"")</x:f>
        <x:v>95.83</x:v>
      </x:c>
      <x:c r="P1550" s="35" t="str">
        <x:v>INCONCLUSIVE</x:v>
      </x:c>
      <x:c r="Q1550" s="35" t="str">
        <x:v>Deepseek-flash-v4/Result2/Math_12/result.json</x:v>
      </x:c>
    </x:row>
    <x:row r="1551">
      <x:c r="A1551" s="35" t="str">
        <x:v>deepseek</x:v>
      </x:c>
      <x:c r="B1551" s="35" t="str">
        <x:v>Math</x:v>
      </x:c>
      <x:c r="C1551" s="35" t="str">
        <x:v>Round2</x:v>
      </x:c>
      <x:c r="D1551" s="35" t="str">
        <x:v>Math_13</x:v>
      </x:c>
      <x:c r="E1551" s="35" t="str">
        <x:v>Line</x:v>
      </x:c>
      <x:c r="F1551" s="35"/>
      <x:c r="G1551" s="35" t="str">
        <x:v>A</x:v>
      </x:c>
      <x:c r="H1551" s="39" t="str">
        <x:f>IF(ISNUMBER('Data'!E1551),'Data'!E1551*100,"")</x:f>
      </x:c>
      <x:c r="I1551" s="35"/>
      <x:c r="J1551" s="35" t="str">
        <x:v>PASS</x:v>
      </x:c>
      <x:c r="K1551" s="35" t="str">
        <x:v>FAIL</x:v>
      </x:c>
      <x:c r="L1551" s="35" t="str">
        <x:v>NOT_RUN</x:v>
      </x:c>
      <x:c r="M1551" s="35" t="str">
        <x:v>coverage unavailable or execution/compile failed</x:v>
      </x:c>
      <x:c r="N1551" s="35" t="str">
        <x:v>Deepseek-flash-v4/Result2/Math_13/result.json</x:v>
      </x:c>
      <x:c r="O1551" s="39" t="str">
        <x:f>IF(AND(G1551="RECORDED",ISNUMBER(H1551)),H1551,"")</x:f>
      </x:c>
      <x:c r="P1551" s="35" t="str">
        <x:v>NOT_AVAILABLE</x:v>
      </x:c>
      <x:c r="Q1551" s="35" t="str">
        <x:v>Deepseek-flash-v4/Result2/Math_13/result.json</x:v>
      </x:c>
    </x:row>
    <x:row r="1552">
      <x:c r="A1552" s="35" t="str">
        <x:v>deepseek</x:v>
      </x:c>
      <x:c r="B1552" s="35" t="str">
        <x:v>Math</x:v>
      </x:c>
      <x:c r="C1552" s="35" t="str">
        <x:v>Round2</x:v>
      </x:c>
      <x:c r="D1552" s="35" t="str">
        <x:v>Math_14</x:v>
      </x:c>
      <x:c r="E1552" s="35" t="str">
        <x:v>Line</x:v>
      </x:c>
      <x:c r="F1552" s="35" t="n">
        <x:v>51</x:v>
      </x:c>
      <x:c r="G1552" s="35" t="str">
        <x:v>RECORDED</x:v>
      </x:c>
      <x:c r="H1552" s="39" t="n">
        <x:f>IF(ISNUMBER('Data'!E1552),'Data'!E1552*100,"")</x:f>
        <x:v>98.04</x:v>
      </x:c>
      <x:c r="I1552" s="35" t="str">
        <x:v>PASS</x:v>
      </x:c>
      <x:c r="J1552" s="35" t="str">
        <x:v>PASS</x:v>
      </x:c>
      <x:c r="K1552" s="35" t="str">
        <x:v>PASS</x:v>
      </x:c>
      <x:c r="L1552" s="35" t="str">
        <x:v>FAIL</x:v>
      </x:c>
      <x:c r="M1552" s="35" t="str">
        <x:v>numeric coverage for applicable metric</x:v>
      </x:c>
      <x:c r="N1552" s="35" t="str">
        <x:v>Deepseek-flash-v4/Result2/Math_14/result.json</x:v>
      </x:c>
      <x:c r="O1552" s="39" t="n">
        <x:f>IF(AND(G1552="RECORDED",ISNUMBER(H1552)),H1552,"")</x:f>
        <x:v>98.04</x:v>
      </x:c>
      <x:c r="P1552" s="35" t="str">
        <x:v>INCONCLUSIVE</x:v>
      </x:c>
      <x:c r="Q1552" s="35" t="str">
        <x:v>Deepseek-flash-v4/Result2/Math_14/result.json</x:v>
      </x:c>
    </x:row>
    <x:row r="1553">
      <x:c r="A1553" s="35" t="str">
        <x:v>deepseek</x:v>
      </x:c>
      <x:c r="B1553" s="35" t="str">
        <x:v>Math</x:v>
      </x:c>
      <x:c r="C1553" s="35" t="str">
        <x:v>Round2</x:v>
      </x:c>
      <x:c r="D1553" s="35" t="str">
        <x:v>Math_15</x:v>
      </x:c>
      <x:c r="E1553" s="35" t="str">
        <x:v>Line</x:v>
      </x:c>
      <x:c r="F1553" s="35" t="n">
        <x:v>1497</x:v>
      </x:c>
      <x:c r="G1553" s="35" t="str">
        <x:v>RECORDED</x:v>
      </x:c>
      <x:c r="H1553" s="39" t="n">
        <x:f>IF(ISNUMBER('Data'!E1553),'Data'!E1553*100,"")</x:f>
        <x:v>53.17000000000001</x:v>
      </x:c>
      <x:c r="I1553" s="35" t="str">
        <x:v>PASS</x:v>
      </x:c>
      <x:c r="J1553" s="35" t="str">
        <x:v>PASS</x:v>
      </x:c>
      <x:c r="K1553" s="35" t="str">
        <x:v>PASS</x:v>
      </x:c>
      <x:c r="L1553" s="35" t="str">
        <x:v>FAIL</x:v>
      </x:c>
      <x:c r="M1553" s="35" t="str">
        <x:v>numeric coverage for applicable metric</x:v>
      </x:c>
      <x:c r="N1553" s="35" t="str">
        <x:v>Deepseek-flash-v4/Result2/Math_15/result.json</x:v>
      </x:c>
      <x:c r="O1553" s="39" t="n">
        <x:f>IF(AND(G1553="RECORDED",ISNUMBER(H1553)),H1553,"")</x:f>
        <x:v>53.17000000000001</x:v>
      </x:c>
      <x:c r="P1553" s="35" t="str">
        <x:v>INCONCLUSIVE</x:v>
      </x:c>
      <x:c r="Q1553" s="35" t="str">
        <x:v>Deepseek-flash-v4/Result2/Math_15/result.json</x:v>
      </x:c>
    </x:row>
    <x:row r="1554">
      <x:c r="A1554" s="35" t="str">
        <x:v>deepseek</x:v>
      </x:c>
      <x:c r="B1554" s="35" t="str">
        <x:v>Math</x:v>
      </x:c>
      <x:c r="C1554" s="35" t="str">
        <x:v>Round2</x:v>
      </x:c>
      <x:c r="D1554" s="35" t="str">
        <x:v>Math_16</x:v>
      </x:c>
      <x:c r="E1554" s="35" t="str">
        <x:v>Line</x:v>
      </x:c>
      <x:c r="F1554" s="35" t="n">
        <x:v>1484</x:v>
      </x:c>
      <x:c r="G1554" s="35" t="str">
        <x:v>RECORDED</x:v>
      </x:c>
      <x:c r="H1554" s="39" t="n">
        <x:f>IF(ISNUMBER('Data'!E1554),'Data'!E1554*100,"")</x:f>
        <x:v>56.39999999999999</x:v>
      </x:c>
      <x:c r="I1554" s="35" t="str">
        <x:v>PASS</x:v>
      </x:c>
      <x:c r="J1554" s="35" t="str">
        <x:v>PASS</x:v>
      </x:c>
      <x:c r="K1554" s="35" t="str">
        <x:v>PASS</x:v>
      </x:c>
      <x:c r="L1554" s="35" t="str">
        <x:v>FAIL</x:v>
      </x:c>
      <x:c r="M1554" s="35" t="str">
        <x:v>numeric coverage for applicable metric</x:v>
      </x:c>
      <x:c r="N1554" s="35" t="str">
        <x:v>Deepseek-flash-v4/Result2/Math_16/result.json</x:v>
      </x:c>
      <x:c r="O1554" s="39" t="n">
        <x:f>IF(AND(G1554="RECORDED",ISNUMBER(H1554)),H1554,"")</x:f>
        <x:v>56.39999999999999</x:v>
      </x:c>
      <x:c r="P1554" s="35" t="str">
        <x:v>INCONCLUSIVE</x:v>
      </x:c>
      <x:c r="Q1554" s="35" t="str">
        <x:v>Deepseek-flash-v4/Result2/Math_16/result.json</x:v>
      </x:c>
    </x:row>
    <x:row r="1555">
      <x:c r="A1555" s="35" t="str">
        <x:v>deepseek</x:v>
      </x:c>
      <x:c r="B1555" s="35" t="str">
        <x:v>Math</x:v>
      </x:c>
      <x:c r="C1555" s="35" t="str">
        <x:v>Round2</x:v>
      </x:c>
      <x:c r="D1555" s="35" t="str">
        <x:v>Math_17</x:v>
      </x:c>
      <x:c r="E1555" s="35" t="str">
        <x:v>Line</x:v>
      </x:c>
      <x:c r="F1555" s="35" t="n">
        <x:v>1029</x:v>
      </x:c>
      <x:c r="G1555" s="35" t="str">
        <x:v>RECORDED</x:v>
      </x:c>
      <x:c r="H1555" s="39" t="n">
        <x:f>IF(ISNUMBER('Data'!E1555),'Data'!E1555*100,"")</x:f>
        <x:v>62</x:v>
      </x:c>
      <x:c r="I1555" s="35" t="str">
        <x:v>PASS</x:v>
      </x:c>
      <x:c r="J1555" s="35" t="str">
        <x:v>PASS</x:v>
      </x:c>
      <x:c r="K1555" s="35" t="str">
        <x:v>PASS</x:v>
      </x:c>
      <x:c r="L1555" s="35" t="str">
        <x:v>FAIL</x:v>
      </x:c>
      <x:c r="M1555" s="35" t="str">
        <x:v>numeric coverage for applicable metric</x:v>
      </x:c>
      <x:c r="N1555" s="35" t="str">
        <x:v>Deepseek-flash-v4/Result2/Math_17/result.json</x:v>
      </x:c>
      <x:c r="O1555" s="39" t="n">
        <x:f>IF(AND(G1555="RECORDED",ISNUMBER(H1555)),H1555,"")</x:f>
        <x:v>62</x:v>
      </x:c>
      <x:c r="P1555" s="35" t="str">
        <x:v>INCONCLUSIVE</x:v>
      </x:c>
      <x:c r="Q1555" s="35" t="str">
        <x:v>Deepseek-flash-v4/Result2/Math_17/result.json</x:v>
      </x:c>
    </x:row>
    <x:row r="1556">
      <x:c r="A1556" s="35" t="str">
        <x:v>deepseek</x:v>
      </x:c>
      <x:c r="B1556" s="35" t="str">
        <x:v>Math</x:v>
      </x:c>
      <x:c r="C1556" s="35" t="str">
        <x:v>Round2</x:v>
      </x:c>
      <x:c r="D1556" s="35" t="str">
        <x:v>Math_18</x:v>
      </x:c>
      <x:c r="E1556" s="35" t="str">
        <x:v>Line</x:v>
      </x:c>
      <x:c r="F1556" s="35" t="n">
        <x:v>507</x:v>
      </x:c>
      <x:c r="G1556" s="35" t="str">
        <x:v>RECORDED</x:v>
      </x:c>
      <x:c r="H1556" s="39" t="n">
        <x:f>IF(ISNUMBER('Data'!E1556),'Data'!E1556*100,"")</x:f>
        <x:v>85.21</x:v>
      </x:c>
      <x:c r="I1556" s="35" t="str">
        <x:v>PASS</x:v>
      </x:c>
      <x:c r="J1556" s="35" t="str">
        <x:v>PASS</x:v>
      </x:c>
      <x:c r="K1556" s="35" t="str">
        <x:v>PASS</x:v>
      </x:c>
      <x:c r="L1556" s="35" t="str">
        <x:v>PASS</x:v>
      </x:c>
      <x:c r="M1556" s="35" t="str">
        <x:v>numeric coverage for applicable metric</x:v>
      </x:c>
      <x:c r="N1556" s="35" t="str">
        <x:v>Deepseek-flash-v4/Result2/Math_18/result.json</x:v>
      </x:c>
      <x:c r="O1556" s="39" t="n">
        <x:f>IF(AND(G1556="RECORDED",ISNUMBER(H1556)),H1556,"")</x:f>
        <x:v>85.21</x:v>
      </x:c>
      <x:c r="P1556" s="35" t="str">
        <x:v>NOT_REVEALING</x:v>
      </x:c>
      <x:c r="Q1556" s="35" t="str">
        <x:v>Deepseek-flash-v4/Result2/Math_18/result.json</x:v>
      </x:c>
    </x:row>
    <x:row r="1557">
      <x:c r="A1557" s="35" t="str">
        <x:v>deepseek</x:v>
      </x:c>
      <x:c r="B1557" s="35" t="str">
        <x:v>Math</x:v>
      </x:c>
      <x:c r="C1557" s="35" t="str">
        <x:v>Round2</x:v>
      </x:c>
      <x:c r="D1557" s="35" t="str">
        <x:v>Math_19</x:v>
      </x:c>
      <x:c r="E1557" s="35" t="str">
        <x:v>Line</x:v>
      </x:c>
      <x:c r="F1557" s="35" t="n">
        <x:v>498</x:v>
      </x:c>
      <x:c r="G1557" s="35" t="str">
        <x:v>RECORDED</x:v>
      </x:c>
      <x:c r="H1557" s="39" t="n">
        <x:f>IF(ISNUMBER('Data'!E1557),'Data'!E1557*100,"")</x:f>
        <x:v>90.56</x:v>
      </x:c>
      <x:c r="I1557" s="35" t="str">
        <x:v>PASS</x:v>
      </x:c>
      <x:c r="J1557" s="35" t="str">
        <x:v>PASS</x:v>
      </x:c>
      <x:c r="K1557" s="35" t="str">
        <x:v>PASS</x:v>
      </x:c>
      <x:c r="L1557" s="35" t="str">
        <x:v>PASS</x:v>
      </x:c>
      <x:c r="M1557" s="35" t="str">
        <x:v>numeric coverage for applicable metric</x:v>
      </x:c>
      <x:c r="N1557" s="35" t="str">
        <x:v>Deepseek-flash-v4/Result2/Math_19/result.json</x:v>
      </x:c>
      <x:c r="O1557" s="39" t="n">
        <x:f>IF(AND(G1557="RECORDED",ISNUMBER(H1557)),H1557,"")</x:f>
        <x:v>90.56</x:v>
      </x:c>
      <x:c r="P1557" s="35" t="str">
        <x:v>NOT_REVEALING</x:v>
      </x:c>
      <x:c r="Q1557" s="35" t="str">
        <x:v>Deepseek-flash-v4/Result2/Math_19/result.json</x:v>
      </x:c>
    </x:row>
    <x:row r="1558">
      <x:c r="A1558" s="35" t="str">
        <x:v>deepseek</x:v>
      </x:c>
      <x:c r="B1558" s="35" t="str">
        <x:v>Math</x:v>
      </x:c>
      <x:c r="C1558" s="35" t="str">
        <x:v>Round2</x:v>
      </x:c>
      <x:c r="D1558" s="35" t="str">
        <x:v>Math_2</x:v>
      </x:c>
      <x:c r="E1558" s="35" t="str">
        <x:v>Line</x:v>
      </x:c>
      <x:c r="F1558" s="35" t="n">
        <x:v>74</x:v>
      </x:c>
      <x:c r="G1558" s="35" t="str">
        <x:v>RECORDED</x:v>
      </x:c>
      <x:c r="H1558" s="39" t="n">
        <x:f>IF(ISNUMBER('Data'!E1558),'Data'!E1558*100,"")</x:f>
        <x:v>98.65</x:v>
      </x:c>
      <x:c r="I1558" s="35" t="str">
        <x:v>PASS</x:v>
      </x:c>
      <x:c r="J1558" s="35" t="str">
        <x:v>PASS</x:v>
      </x:c>
      <x:c r="K1558" s="35" t="str">
        <x:v>PASS</x:v>
      </x:c>
      <x:c r="L1558" s="35" t="str">
        <x:v>FAIL</x:v>
      </x:c>
      <x:c r="M1558" s="35" t="str">
        <x:v>numeric coverage for applicable metric</x:v>
      </x:c>
      <x:c r="N1558" s="35" t="str">
        <x:v>Deepseek-flash-v4/Result2/Math_2/result.json</x:v>
      </x:c>
      <x:c r="O1558" s="39" t="n">
        <x:f>IF(AND(G1558="RECORDED",ISNUMBER(H1558)),H1558,"")</x:f>
        <x:v>98.65</x:v>
      </x:c>
      <x:c r="P1558" s="35" t="str">
        <x:v>INCONCLUSIVE</x:v>
      </x:c>
      <x:c r="Q1558" s="35" t="str">
        <x:v>Deepseek-flash-v4/Result2/Math_2/result.json</x:v>
      </x:c>
    </x:row>
    <x:row r="1559">
      <x:c r="A1559" s="35" t="str">
        <x:v>deepseek</x:v>
      </x:c>
      <x:c r="B1559" s="35" t="str">
        <x:v>Math</x:v>
      </x:c>
      <x:c r="C1559" s="35" t="str">
        <x:v>Round2</x:v>
      </x:c>
      <x:c r="D1559" s="35" t="str">
        <x:v>Math_20</x:v>
      </x:c>
      <x:c r="E1559" s="35" t="str">
        <x:v>Line</x:v>
      </x:c>
      <x:c r="F1559" s="35" t="n">
        <x:v>497</x:v>
      </x:c>
      <x:c r="G1559" s="35" t="str">
        <x:v>RECORDED</x:v>
      </x:c>
      <x:c r="H1559" s="39" t="n">
        <x:f>IF(ISNUMBER('Data'!E1559),'Data'!E1559*100,"")</x:f>
        <x:v>86.12</x:v>
      </x:c>
      <x:c r="I1559" s="35" t="str">
        <x:v>PASS</x:v>
      </x:c>
      <x:c r="J1559" s="35" t="str">
        <x:v>PASS</x:v>
      </x:c>
      <x:c r="K1559" s="35" t="str">
        <x:v>PASS</x:v>
      </x:c>
      <x:c r="L1559" s="35" t="str">
        <x:v>PASS</x:v>
      </x:c>
      <x:c r="M1559" s="35" t="str">
        <x:v>numeric coverage for applicable metric</x:v>
      </x:c>
      <x:c r="N1559" s="35" t="str">
        <x:v>Deepseek-flash-v4/Result2/Math_20/result.json</x:v>
      </x:c>
      <x:c r="O1559" s="39" t="n">
        <x:f>IF(AND(G1559="RECORDED",ISNUMBER(H1559)),H1559,"")</x:f>
        <x:v>86.12</x:v>
      </x:c>
      <x:c r="P1559" s="35" t="str">
        <x:v>NOT_REVEALING</x:v>
      </x:c>
      <x:c r="Q1559" s="35" t="str">
        <x:v>Deepseek-flash-v4/Result2/Math_20/result.json</x:v>
      </x:c>
    </x:row>
    <x:row r="1560">
      <x:c r="A1560" s="35" t="str">
        <x:v>deepseek</x:v>
      </x:c>
      <x:c r="B1560" s="35" t="str">
        <x:v>Math</x:v>
      </x:c>
      <x:c r="C1560" s="35" t="str">
        <x:v>Round2</x:v>
      </x:c>
      <x:c r="D1560" s="35" t="str">
        <x:v>Math_21</x:v>
      </x:c>
      <x:c r="E1560" s="35" t="str">
        <x:v>Line</x:v>
      </x:c>
      <x:c r="F1560" s="35" t="n">
        <x:v>52</x:v>
      </x:c>
      <x:c r="G1560" s="35" t="str">
        <x:v>RECORDED</x:v>
      </x:c>
      <x:c r="H1560" s="39" t="n">
        <x:f>IF(ISNUMBER('Data'!E1560),'Data'!E1560*100,"")</x:f>
        <x:v>100</x:v>
      </x:c>
      <x:c r="I1560" s="35" t="str">
        <x:v>PASS</x:v>
      </x:c>
      <x:c r="J1560" s="35" t="str">
        <x:v>PASS</x:v>
      </x:c>
      <x:c r="K1560" s="35" t="str">
        <x:v>PASS</x:v>
      </x:c>
      <x:c r="L1560" s="35" t="str">
        <x:v>FAIL</x:v>
      </x:c>
      <x:c r="M1560" s="35" t="str">
        <x:v>numeric coverage for applicable metric</x:v>
      </x:c>
      <x:c r="N1560" s="35" t="str">
        <x:v>Deepseek-flash-v4/Result2/Math_21/result.json</x:v>
      </x:c>
      <x:c r="O1560" s="39" t="n">
        <x:f>IF(AND(G1560="RECORDED",ISNUMBER(H1560)),H1560,"")</x:f>
        <x:v>100</x:v>
      </x:c>
      <x:c r="P1560" s="35" t="str">
        <x:v>INCONCLUSIVE</x:v>
      </x:c>
      <x:c r="Q1560" s="35" t="str">
        <x:v>Deepseek-flash-v4/Result2/Math_21/result.json</x:v>
      </x:c>
    </x:row>
    <x:row r="1561">
      <x:c r="A1561" s="35" t="str">
        <x:v>deepseek</x:v>
      </x:c>
      <x:c r="B1561" s="35" t="str">
        <x:v>Math</x:v>
      </x:c>
      <x:c r="C1561" s="35" t="str">
        <x:v>Round2</x:v>
      </x:c>
      <x:c r="D1561" s="35" t="str">
        <x:v>Math_22</x:v>
      </x:c>
      <x:c r="E1561" s="35" t="str">
        <x:v>Line</x:v>
      </x:c>
      <x:c r="F1561" s="35" t="n">
        <x:v>86</x:v>
      </x:c>
      <x:c r="G1561" s="35" t="str">
        <x:v>RECORDED</x:v>
      </x:c>
      <x:c r="H1561" s="39" t="n">
        <x:f>IF(ISNUMBER('Data'!E1561),'Data'!E1561*100,"")</x:f>
        <x:v>100</x:v>
      </x:c>
      <x:c r="I1561" s="35" t="str">
        <x:v>PASS</x:v>
      </x:c>
      <x:c r="J1561" s="35" t="str">
        <x:v>PASS</x:v>
      </x:c>
      <x:c r="K1561" s="35" t="str">
        <x:v>PASS</x:v>
      </x:c>
      <x:c r="L1561" s="35" t="str">
        <x:v>FAIL</x:v>
      </x:c>
      <x:c r="M1561" s="35" t="str">
        <x:v>numeric coverage for applicable metric</x:v>
      </x:c>
      <x:c r="N1561" s="35" t="str">
        <x:v>Deepseek-flash-v4/Result2/Math_22/result.json</x:v>
      </x:c>
      <x:c r="O1561" s="39" t="n">
        <x:f>IF(AND(G1561="RECORDED",ISNUMBER(H1561)),H1561,"")</x:f>
        <x:v>100</x:v>
      </x:c>
      <x:c r="P1561" s="35" t="str">
        <x:v>INCONCLUSIVE</x:v>
      </x:c>
      <x:c r="Q1561" s="35" t="str">
        <x:v>Deepseek-flash-v4/Result2/Math_22/result.json</x:v>
      </x:c>
    </x:row>
    <x:row r="1562">
      <x:c r="A1562" s="35" t="str">
        <x:v>deepseek</x:v>
      </x:c>
      <x:c r="B1562" s="35" t="str">
        <x:v>Math</x:v>
      </x:c>
      <x:c r="C1562" s="35" t="str">
        <x:v>Round2</x:v>
      </x:c>
      <x:c r="D1562" s="35" t="str">
        <x:v>Math_23</x:v>
      </x:c>
      <x:c r="E1562" s="35" t="str">
        <x:v>Line</x:v>
      </x:c>
      <x:c r="F1562" s="35" t="n">
        <x:v>120</x:v>
      </x:c>
      <x:c r="G1562" s="35" t="str">
        <x:v>RECORDED</x:v>
      </x:c>
      <x:c r="H1562" s="39" t="n">
        <x:f>IF(ISNUMBER('Data'!E1562),'Data'!E1562*100,"")</x:f>
        <x:v>92.5</x:v>
      </x:c>
      <x:c r="I1562" s="35" t="str">
        <x:v>PASS</x:v>
      </x:c>
      <x:c r="J1562" s="35" t="str">
        <x:v>PASS</x:v>
      </x:c>
      <x:c r="K1562" s="35" t="str">
        <x:v>PASS</x:v>
      </x:c>
      <x:c r="L1562" s="35" t="str">
        <x:v>PASS</x:v>
      </x:c>
      <x:c r="M1562" s="35" t="str">
        <x:v>numeric coverage for applicable metric</x:v>
      </x:c>
      <x:c r="N1562" s="35" t="str">
        <x:v>Deepseek-flash-v4/Result2/Math_23/result.json</x:v>
      </x:c>
      <x:c r="O1562" s="39" t="n">
        <x:f>IF(AND(G1562="RECORDED",ISNUMBER(H1562)),H1562,"")</x:f>
        <x:v>92.5</x:v>
      </x:c>
      <x:c r="P1562" s="35" t="str">
        <x:v>NOT_REVEALING</x:v>
      </x:c>
      <x:c r="Q1562" s="35" t="str">
        <x:v>Deepseek-flash-v4/Result2/Math_23/result.json</x:v>
      </x:c>
    </x:row>
    <x:row r="1563">
      <x:c r="A1563" s="35" t="str">
        <x:v>deepseek</x:v>
      </x:c>
      <x:c r="B1563" s="35" t="str">
        <x:v>Math</x:v>
      </x:c>
      <x:c r="C1563" s="35" t="str">
        <x:v>Round2</x:v>
      </x:c>
      <x:c r="D1563" s="35" t="str">
        <x:v>Math_24</x:v>
      </x:c>
      <x:c r="E1563" s="35" t="str">
        <x:v>Line</x:v>
      </x:c>
      <x:c r="F1563" s="35" t="n">
        <x:v>119</x:v>
      </x:c>
      <x:c r="G1563" s="35" t="str">
        <x:v>RECORDED</x:v>
      </x:c>
      <x:c r="H1563" s="39" t="n">
        <x:f>IF(ISNUMBER('Data'!E1563),'Data'!E1563*100,"")</x:f>
        <x:v>85.71</x:v>
      </x:c>
      <x:c r="I1563" s="35" t="str">
        <x:v>PASS</x:v>
      </x:c>
      <x:c r="J1563" s="35" t="str">
        <x:v>PASS</x:v>
      </x:c>
      <x:c r="K1563" s="35" t="str">
        <x:v>PASS</x:v>
      </x:c>
      <x:c r="L1563" s="35" t="str">
        <x:v>FAIL</x:v>
      </x:c>
      <x:c r="M1563" s="35" t="str">
        <x:v>numeric coverage for applicable metric</x:v>
      </x:c>
      <x:c r="N1563" s="35" t="str">
        <x:v>Deepseek-flash-v4/Result2/Math_24/result.json</x:v>
      </x:c>
      <x:c r="O1563" s="39" t="n">
        <x:f>IF(AND(G1563="RECORDED",ISNUMBER(H1563)),H1563,"")</x:f>
        <x:v>85.71</x:v>
      </x:c>
      <x:c r="P1563" s="35" t="str">
        <x:v>REVEALING</x:v>
      </x:c>
      <x:c r="Q1563" s="35" t="str">
        <x:v>Deepseek-flash-v4/Result2/Math_24/result.json</x:v>
      </x:c>
    </x:row>
    <x:row r="1564">
      <x:c r="A1564" s="35" t="str">
        <x:v>deepseek</x:v>
      </x:c>
      <x:c r="B1564" s="35" t="str">
        <x:v>Math</x:v>
      </x:c>
      <x:c r="C1564" s="35" t="str">
        <x:v>Round2</x:v>
      </x:c>
      <x:c r="D1564" s="35" t="str">
        <x:v>Math_25</x:v>
      </x:c>
      <x:c r="E1564" s="35" t="str">
        <x:v>Line</x:v>
      </x:c>
      <x:c r="F1564" s="35" t="n">
        <x:v>94</x:v>
      </x:c>
      <x:c r="G1564" s="35" t="str">
        <x:v>RECORDED</x:v>
      </x:c>
      <x:c r="H1564" s="39" t="n">
        <x:f>IF(ISNUMBER('Data'!E1564),'Data'!E1564*100,"")</x:f>
        <x:v>94.68</x:v>
      </x:c>
      <x:c r="I1564" s="35" t="str">
        <x:v>PASS</x:v>
      </x:c>
      <x:c r="J1564" s="35" t="str">
        <x:v>PASS</x:v>
      </x:c>
      <x:c r="K1564" s="35" t="str">
        <x:v>PASS</x:v>
      </x:c>
      <x:c r="L1564" s="35" t="str">
        <x:v>FAIL</x:v>
      </x:c>
      <x:c r="M1564" s="35" t="str">
        <x:v>numeric coverage for applicable metric</x:v>
      </x:c>
      <x:c r="N1564" s="35" t="str">
        <x:v>Deepseek-flash-v4/Result2/Math_25/result.json</x:v>
      </x:c>
      <x:c r="O1564" s="39" t="n">
        <x:f>IF(AND(G1564="RECORDED",ISNUMBER(H1564)),H1564,"")</x:f>
        <x:v>94.68</x:v>
      </x:c>
      <x:c r="P1564" s="35" t="str">
        <x:v>INCONCLUSIVE</x:v>
      </x:c>
      <x:c r="Q1564" s="35" t="str">
        <x:v>Deepseek-flash-v4/Result2/Math_25/result.json</x:v>
      </x:c>
    </x:row>
    <x:row r="1565">
      <x:c r="A1565" s="35" t="str">
        <x:v>deepseek</x:v>
      </x:c>
      <x:c r="B1565" s="35" t="str">
        <x:v>Math</x:v>
      </x:c>
      <x:c r="C1565" s="35" t="str">
        <x:v>Round2</x:v>
      </x:c>
      <x:c r="D1565" s="35" t="str">
        <x:v>Math_26</x:v>
      </x:c>
      <x:c r="E1565" s="35" t="str">
        <x:v>Line</x:v>
      </x:c>
      <x:c r="F1565" s="35" t="n">
        <x:v>183</x:v>
      </x:c>
      <x:c r="G1565" s="35" t="str">
        <x:v>RECORDED</x:v>
      </x:c>
      <x:c r="H1565" s="39" t="n">
        <x:f>IF(ISNUMBER('Data'!E1565),'Data'!E1565*100,"")</x:f>
        <x:v>96.72</x:v>
      </x:c>
      <x:c r="I1565" s="35" t="str">
        <x:v>PASS</x:v>
      </x:c>
      <x:c r="J1565" s="35" t="str">
        <x:v>PASS</x:v>
      </x:c>
      <x:c r="K1565" s="35" t="str">
        <x:v>PASS</x:v>
      </x:c>
      <x:c r="L1565" s="35" t="str">
        <x:v>FAIL</x:v>
      </x:c>
      <x:c r="M1565" s="35" t="str">
        <x:v>numeric coverage for applicable metric</x:v>
      </x:c>
      <x:c r="N1565" s="35" t="str">
        <x:v>Deepseek-flash-v4/Result2/Math_26/result.json</x:v>
      </x:c>
      <x:c r="O1565" s="39" t="n">
        <x:f>IF(AND(G1565="RECORDED",ISNUMBER(H1565)),H1565,"")</x:f>
        <x:v>96.72</x:v>
      </x:c>
      <x:c r="P1565" s="35" t="str">
        <x:v>INCONCLUSIVE</x:v>
      </x:c>
      <x:c r="Q1565" s="35" t="str">
        <x:v>Deepseek-flash-v4/Result2/Math_26/result.json</x:v>
      </x:c>
    </x:row>
    <x:row r="1566">
      <x:c r="A1566" s="35" t="str">
        <x:v>deepseek</x:v>
      </x:c>
      <x:c r="B1566" s="35" t="str">
        <x:v>Math</x:v>
      </x:c>
      <x:c r="C1566" s="35" t="str">
        <x:v>Round2</x:v>
      </x:c>
      <x:c r="D1566" s="35" t="str">
        <x:v>Math_27</x:v>
      </x:c>
      <x:c r="E1566" s="35" t="str">
        <x:v>Line</x:v>
      </x:c>
      <x:c r="F1566" s="35" t="n">
        <x:v>183</x:v>
      </x:c>
      <x:c r="G1566" s="35" t="str">
        <x:v>RECORDED</x:v>
      </x:c>
      <x:c r="H1566" s="39" t="n">
        <x:f>IF(ISNUMBER('Data'!E1566),'Data'!E1566*100,"")</x:f>
        <x:v>15.299999999999999</x:v>
      </x:c>
      <x:c r="I1566" s="35" t="str">
        <x:v>PASS</x:v>
      </x:c>
      <x:c r="J1566" s="35" t="str">
        <x:v>PASS</x:v>
      </x:c>
      <x:c r="K1566" s="35" t="str">
        <x:v>PASS</x:v>
      </x:c>
      <x:c r="L1566" s="35" t="str">
        <x:v>FAIL</x:v>
      </x:c>
      <x:c r="M1566" s="35" t="str">
        <x:v>numeric coverage for applicable metric</x:v>
      </x:c>
      <x:c r="N1566" s="35" t="str">
        <x:v>Deepseek-flash-v4/Result2/Math_27/result.json</x:v>
      </x:c>
      <x:c r="O1566" s="39" t="n">
        <x:f>IF(AND(G1566="RECORDED",ISNUMBER(H1566)),H1566,"")</x:f>
        <x:v>15.299999999999999</x:v>
      </x:c>
      <x:c r="P1566" s="35" t="str">
        <x:v>INCONCLUSIVE</x:v>
      </x:c>
      <x:c r="Q1566" s="35" t="str">
        <x:v>Deepseek-flash-v4/Result2/Math_27/result.json</x:v>
      </x:c>
    </x:row>
    <x:row r="1567">
      <x:c r="A1567" s="35" t="str">
        <x:v>deepseek</x:v>
      </x:c>
      <x:c r="B1567" s="35" t="str">
        <x:v>Math</x:v>
      </x:c>
      <x:c r="C1567" s="35" t="str">
        <x:v>Round2</x:v>
      </x:c>
      <x:c r="D1567" s="35" t="str">
        <x:v>Math_28</x:v>
      </x:c>
      <x:c r="E1567" s="35" t="str">
        <x:v>Line</x:v>
      </x:c>
      <x:c r="F1567" s="35"/>
      <x:c r="G1567" s="35" t="str">
        <x:v>A</x:v>
      </x:c>
      <x:c r="H1567" s="39" t="str">
        <x:f>IF(ISNUMBER('Data'!E1567),'Data'!E1567*100,"")</x:f>
      </x:c>
      <x:c r="I1567" s="35"/>
      <x:c r="J1567" s="35" t="str">
        <x:v>PASS</x:v>
      </x:c>
      <x:c r="K1567" s="35" t="str">
        <x:v>FAIL</x:v>
      </x:c>
      <x:c r="L1567" s="35" t="str">
        <x:v>NOT_RUN</x:v>
      </x:c>
      <x:c r="M1567" s="35" t="str">
        <x:v>coverage unavailable or execution/compile failed</x:v>
      </x:c>
      <x:c r="N1567" s="35" t="str">
        <x:v>Deepseek-flash-v4/Result2/Math_28/result.json</x:v>
      </x:c>
      <x:c r="O1567" s="39" t="str">
        <x:f>IF(AND(G1567="RECORDED",ISNUMBER(H1567)),H1567,"")</x:f>
      </x:c>
      <x:c r="P1567" s="35" t="str">
        <x:v>NOT_AVAILABLE</x:v>
      </x:c>
      <x:c r="Q1567" s="35" t="str">
        <x:v>Deepseek-flash-v4/Result2/Math_28/result.json</x:v>
      </x:c>
    </x:row>
    <x:row r="1568">
      <x:c r="A1568" s="35" t="str">
        <x:v>deepseek</x:v>
      </x:c>
      <x:c r="B1568" s="35" t="str">
        <x:v>Math</x:v>
      </x:c>
      <x:c r="C1568" s="35" t="str">
        <x:v>Round2</x:v>
      </x:c>
      <x:c r="D1568" s="35" t="str">
        <x:v>Math_29</x:v>
      </x:c>
      <x:c r="E1568" s="35" t="str">
        <x:v>Line</x:v>
      </x:c>
      <x:c r="F1568" s="35" t="n">
        <x:v>321</x:v>
      </x:c>
      <x:c r="G1568" s="35" t="str">
        <x:v>RECORDED</x:v>
      </x:c>
      <x:c r="H1568" s="39" t="n">
        <x:f>IF(ISNUMBER('Data'!E1568),'Data'!E1568*100,"")</x:f>
        <x:v>83.49</x:v>
      </x:c>
      <x:c r="I1568" s="35" t="str">
        <x:v>PASS</x:v>
      </x:c>
      <x:c r="J1568" s="35" t="str">
        <x:v>PASS</x:v>
      </x:c>
      <x:c r="K1568" s="35" t="str">
        <x:v>PASS</x:v>
      </x:c>
      <x:c r="L1568" s="35" t="str">
        <x:v>FAIL</x:v>
      </x:c>
      <x:c r="M1568" s="35" t="str">
        <x:v>numeric coverage for applicable metric</x:v>
      </x:c>
      <x:c r="N1568" s="35" t="str">
        <x:v>Deepseek-flash-v4/Result2/Math_29/result.json</x:v>
      </x:c>
      <x:c r="O1568" s="39" t="n">
        <x:f>IF(AND(G1568="RECORDED",ISNUMBER(H1568)),H1568,"")</x:f>
        <x:v>83.49</x:v>
      </x:c>
      <x:c r="P1568" s="35" t="str">
        <x:v>INCONCLUSIVE</x:v>
      </x:c>
      <x:c r="Q1568" s="35" t="str">
        <x:v>Deepseek-flash-v4/Result2/Math_29/result.json</x:v>
      </x:c>
    </x:row>
    <x:row r="1569">
      <x:c r="A1569" s="35" t="str">
        <x:v>deepseek</x:v>
      </x:c>
      <x:c r="B1569" s="35" t="str">
        <x:v>Math</x:v>
      </x:c>
      <x:c r="C1569" s="35" t="str">
        <x:v>Round2</x:v>
      </x:c>
      <x:c r="D1569" s="35" t="str">
        <x:v>Math_3</x:v>
      </x:c>
      <x:c r="E1569" s="35" t="str">
        <x:v>Line</x:v>
      </x:c>
      <x:c r="F1569" s="35" t="n">
        <x:v>419</x:v>
      </x:c>
      <x:c r="G1569" s="35" t="str">
        <x:v>RECORDED</x:v>
      </x:c>
      <x:c r="H1569" s="39" t="n">
        <x:f>IF(ISNUMBER('Data'!E1569),'Data'!E1569*100,"")</x:f>
        <x:v>67.3</x:v>
      </x:c>
      <x:c r="I1569" s="35" t="str">
        <x:v>PASS</x:v>
      </x:c>
      <x:c r="J1569" s="35" t="str">
        <x:v>PASS</x:v>
      </x:c>
      <x:c r="K1569" s="35" t="str">
        <x:v>PASS</x:v>
      </x:c>
      <x:c r="L1569" s="35" t="str">
        <x:v>FAIL</x:v>
      </x:c>
      <x:c r="M1569" s="35" t="str">
        <x:v>numeric coverage for applicable metric</x:v>
      </x:c>
      <x:c r="N1569" s="35" t="str">
        <x:v>Deepseek-flash-v4/Result2/Math_3/result.json</x:v>
      </x:c>
      <x:c r="O1569" s="39" t="n">
        <x:f>IF(AND(G1569="RECORDED",ISNUMBER(H1569)),H1569,"")</x:f>
        <x:v>67.3</x:v>
      </x:c>
      <x:c r="P1569" s="35" t="str">
        <x:v>INCONCLUSIVE</x:v>
      </x:c>
      <x:c r="Q1569" s="35" t="str">
        <x:v>Deepseek-flash-v4/Result2/Math_3/result.json</x:v>
      </x:c>
    </x:row>
    <x:row r="1570">
      <x:c r="A1570" s="35" t="str">
        <x:v>deepseek</x:v>
      </x:c>
      <x:c r="B1570" s="35" t="str">
        <x:v>Math</x:v>
      </x:c>
      <x:c r="C1570" s="35" t="str">
        <x:v>Round2</x:v>
      </x:c>
      <x:c r="D1570" s="35" t="str">
        <x:v>Math_30</x:v>
      </x:c>
      <x:c r="E1570" s="35" t="str">
        <x:v>Line</x:v>
      </x:c>
      <x:c r="F1570" s="35" t="n">
        <x:v>34</x:v>
      </x:c>
      <x:c r="G1570" s="35" t="str">
        <x:v>RECORDED</x:v>
      </x:c>
      <x:c r="H1570" s="39" t="n">
        <x:f>IF(ISNUMBER('Data'!E1570),'Data'!E1570*100,"")</x:f>
        <x:v>100</x:v>
      </x:c>
      <x:c r="I1570" s="35" t="str">
        <x:v>PASS</x:v>
      </x:c>
      <x:c r="J1570" s="35" t="str">
        <x:v>PASS</x:v>
      </x:c>
      <x:c r="K1570" s="35" t="str">
        <x:v>PASS</x:v>
      </x:c>
      <x:c r="L1570" s="35" t="str">
        <x:v>FAIL</x:v>
      </x:c>
      <x:c r="M1570" s="35" t="str">
        <x:v>numeric coverage for applicable metric</x:v>
      </x:c>
      <x:c r="N1570" s="35" t="str">
        <x:v>Deepseek-flash-v4/Result2/Math_30/result.json</x:v>
      </x:c>
      <x:c r="O1570" s="39" t="n">
        <x:f>IF(AND(G1570="RECORDED",ISNUMBER(H1570)),H1570,"")</x:f>
        <x:v>100</x:v>
      </x:c>
      <x:c r="P1570" s="35" t="str">
        <x:v>INCONCLUSIVE</x:v>
      </x:c>
      <x:c r="Q1570" s="35" t="str">
        <x:v>Deepseek-flash-v4/Result2/Math_30/result.json</x:v>
      </x:c>
    </x:row>
    <x:row r="1571">
      <x:c r="A1571" s="35" t="str">
        <x:v>deepseek</x:v>
      </x:c>
      <x:c r="B1571" s="35" t="str">
        <x:v>Math</x:v>
      </x:c>
      <x:c r="C1571" s="35" t="str">
        <x:v>Round2</x:v>
      </x:c>
      <x:c r="D1571" s="35" t="str">
        <x:v>Math_31</x:v>
      </x:c>
      <x:c r="E1571" s="35" t="str">
        <x:v>Line</x:v>
      </x:c>
      <x:c r="F1571" s="35" t="n">
        <x:v>59</x:v>
      </x:c>
      <x:c r="G1571" s="35" t="str">
        <x:v>RECORDED</x:v>
      </x:c>
      <x:c r="H1571" s="39" t="n">
        <x:f>IF(ISNUMBER('Data'!E1571),'Data'!E1571*100,"")</x:f>
        <x:v>93.22</x:v>
      </x:c>
      <x:c r="I1571" s="35" t="str">
        <x:v>PASS</x:v>
      </x:c>
      <x:c r="J1571" s="35" t="str">
        <x:v>PASS</x:v>
      </x:c>
      <x:c r="K1571" s="35" t="str">
        <x:v>PASS</x:v>
      </x:c>
      <x:c r="L1571" s="35" t="str">
        <x:v>FAIL</x:v>
      </x:c>
      <x:c r="M1571" s="35" t="str">
        <x:v>numeric coverage for applicable metric</x:v>
      </x:c>
      <x:c r="N1571" s="35" t="str">
        <x:v>Deepseek-flash-v4/Result2/Math_31/result.json</x:v>
      </x:c>
      <x:c r="O1571" s="39" t="n">
        <x:f>IF(AND(G1571="RECORDED",ISNUMBER(H1571)),H1571,"")</x:f>
        <x:v>93.22</x:v>
      </x:c>
      <x:c r="P1571" s="35" t="str">
        <x:v>INCONCLUSIVE</x:v>
      </x:c>
      <x:c r="Q1571" s="35" t="str">
        <x:v>Deepseek-flash-v4/Result2/Math_31/result.json</x:v>
      </x:c>
    </x:row>
    <x:row r="1572">
      <x:c r="A1572" s="35" t="str">
        <x:v>deepseek</x:v>
      </x:c>
      <x:c r="B1572" s="35" t="str">
        <x:v>Math</x:v>
      </x:c>
      <x:c r="C1572" s="35" t="str">
        <x:v>Round2</x:v>
      </x:c>
      <x:c r="D1572" s="35" t="str">
        <x:v>Math_32</x:v>
      </x:c>
      <x:c r="E1572" s="35" t="str">
        <x:v>Line</x:v>
      </x:c>
      <x:c r="F1572" s="35"/>
      <x:c r="G1572" s="35" t="str">
        <x:v>A</x:v>
      </x:c>
      <x:c r="H1572" s="39" t="str">
        <x:f>IF(ISNUMBER('Data'!E1572),'Data'!E1572*100,"")</x:f>
      </x:c>
      <x:c r="I1572" s="35"/>
      <x:c r="J1572" s="35" t="str">
        <x:v>PASS</x:v>
      </x:c>
      <x:c r="K1572" s="35" t="str">
        <x:v>FAIL</x:v>
      </x:c>
      <x:c r="L1572" s="35" t="str">
        <x:v>NOT_RUN</x:v>
      </x:c>
      <x:c r="M1572" s="35" t="str">
        <x:v>coverage unavailable or execution/compile failed</x:v>
      </x:c>
      <x:c r="N1572" s="35" t="str">
        <x:v>Deepseek-flash-v4/Result2/Math_32/result.json</x:v>
      </x:c>
      <x:c r="O1572" s="39" t="str">
        <x:f>IF(AND(G1572="RECORDED",ISNUMBER(H1572)),H1572,"")</x:f>
      </x:c>
      <x:c r="P1572" s="35" t="str">
        <x:v>NOT_AVAILABLE</x:v>
      </x:c>
      <x:c r="Q1572" s="35" t="str">
        <x:v>Deepseek-flash-v4/Result2/Math_32/result.json</x:v>
      </x:c>
    </x:row>
    <x:row r="1573">
      <x:c r="A1573" s="35" t="str">
        <x:v>deepseek</x:v>
      </x:c>
      <x:c r="B1573" s="35" t="str">
        <x:v>Math</x:v>
      </x:c>
      <x:c r="C1573" s="35" t="str">
        <x:v>Round2</x:v>
      </x:c>
      <x:c r="D1573" s="35" t="str">
        <x:v>Math_33</x:v>
      </x:c>
      <x:c r="E1573" s="35" t="str">
        <x:v>Line</x:v>
      </x:c>
      <x:c r="F1573" s="35"/>
      <x:c r="G1573" s="35" t="str">
        <x:v>A</x:v>
      </x:c>
      <x:c r="H1573" s="39" t="str">
        <x:f>IF(ISNUMBER('Data'!E1573),'Data'!E1573*100,"")</x:f>
      </x:c>
      <x:c r="I1573" s="35"/>
      <x:c r="J1573" s="35" t="str">
        <x:v>PASS</x:v>
      </x:c>
      <x:c r="K1573" s="35" t="str">
        <x:v>FAIL</x:v>
      </x:c>
      <x:c r="L1573" s="35" t="str">
        <x:v>NOT_RUN</x:v>
      </x:c>
      <x:c r="M1573" s="35" t="str">
        <x:v>coverage unavailable or execution/compile failed</x:v>
      </x:c>
      <x:c r="N1573" s="35" t="str">
        <x:v>Deepseek-flash-v4/Result2/Math_33/result.json</x:v>
      </x:c>
      <x:c r="O1573" s="39" t="str">
        <x:f>IF(AND(G1573="RECORDED",ISNUMBER(H1573)),H1573,"")</x:f>
      </x:c>
      <x:c r="P1573" s="35" t="str">
        <x:v>NOT_AVAILABLE</x:v>
      </x:c>
      <x:c r="Q1573" s="35" t="str">
        <x:v>Deepseek-flash-v4/Result2/Math_33/result.json</x:v>
      </x:c>
    </x:row>
    <x:row r="1574">
      <x:c r="A1574" s="35" t="str">
        <x:v>deepseek</x:v>
      </x:c>
      <x:c r="B1574" s="35" t="str">
        <x:v>Math</x:v>
      </x:c>
      <x:c r="C1574" s="35" t="str">
        <x:v>Round2</x:v>
      </x:c>
      <x:c r="D1574" s="35" t="str">
        <x:v>Math_34</x:v>
      </x:c>
      <x:c r="E1574" s="35" t="str">
        <x:v>Line</x:v>
      </x:c>
      <x:c r="F1574" s="35"/>
      <x:c r="G1574" s="35" t="str">
        <x:v>A</x:v>
      </x:c>
      <x:c r="H1574" s="39" t="str">
        <x:f>IF(ISNUMBER('Data'!E1574),'Data'!E1574*100,"")</x:f>
      </x:c>
      <x:c r="I1574" s="35"/>
      <x:c r="J1574" s="35" t="str">
        <x:v>PASS</x:v>
      </x:c>
      <x:c r="K1574" s="35" t="str">
        <x:v>FAIL</x:v>
      </x:c>
      <x:c r="L1574" s="35" t="str">
        <x:v>NOT_RUN</x:v>
      </x:c>
      <x:c r="M1574" s="35" t="str">
        <x:v>coverage unavailable or execution/compile failed</x:v>
      </x:c>
      <x:c r="N1574" s="35" t="str">
        <x:v>Deepseek-flash-v4/Result2/Math_34/result.json</x:v>
      </x:c>
      <x:c r="O1574" s="39" t="str">
        <x:f>IF(AND(G1574="RECORDED",ISNUMBER(H1574)),H1574,"")</x:f>
      </x:c>
      <x:c r="P1574" s="35" t="str">
        <x:v>NOT_AVAILABLE</x:v>
      </x:c>
      <x:c r="Q1574" s="35" t="str">
        <x:v>Deepseek-flash-v4/Result2/Math_34/result.json</x:v>
      </x:c>
    </x:row>
    <x:row r="1575">
      <x:c r="A1575" s="35" t="str">
        <x:v>deepseek</x:v>
      </x:c>
      <x:c r="B1575" s="35" t="str">
        <x:v>Math</x:v>
      </x:c>
      <x:c r="C1575" s="35" t="str">
        <x:v>Round2</x:v>
      </x:c>
      <x:c r="D1575" s="35" t="str">
        <x:v>Math_35</x:v>
      </x:c>
      <x:c r="E1575" s="35" t="str">
        <x:v>Line</x:v>
      </x:c>
      <x:c r="F1575" s="35"/>
      <x:c r="G1575" s="35" t="str">
        <x:v>A</x:v>
      </x:c>
      <x:c r="H1575" s="39" t="str">
        <x:f>IF(ISNUMBER('Data'!E1575),'Data'!E1575*100,"")</x:f>
      </x:c>
      <x:c r="I1575" s="35"/>
      <x:c r="J1575" s="35" t="str">
        <x:v>PASS</x:v>
      </x:c>
      <x:c r="K1575" s="35" t="str">
        <x:v>FAIL</x:v>
      </x:c>
      <x:c r="L1575" s="35" t="str">
        <x:v>NOT_RUN</x:v>
      </x:c>
      <x:c r="M1575" s="35" t="str">
        <x:v>coverage unavailable or execution/compile failed</x:v>
      </x:c>
      <x:c r="N1575" s="35" t="str">
        <x:v>Deepseek-flash-v4/Result2/Math_35/result.json</x:v>
      </x:c>
      <x:c r="O1575" s="39" t="str">
        <x:f>IF(AND(G1575="RECORDED",ISNUMBER(H1575)),H1575,"")</x:f>
      </x:c>
      <x:c r="P1575" s="35" t="str">
        <x:v>NOT_AVAILABLE</x:v>
      </x:c>
      <x:c r="Q1575" s="35" t="str">
        <x:v>Deepseek-flash-v4/Result2/Math_35/result.json</x:v>
      </x:c>
    </x:row>
    <x:row r="1576">
      <x:c r="A1576" s="35" t="str">
        <x:v>deepseek</x:v>
      </x:c>
      <x:c r="B1576" s="35" t="str">
        <x:v>Math</x:v>
      </x:c>
      <x:c r="C1576" s="35" t="str">
        <x:v>Round2</x:v>
      </x:c>
      <x:c r="D1576" s="35" t="str">
        <x:v>Math_36</x:v>
      </x:c>
      <x:c r="E1576" s="35" t="str">
        <x:v>Line</x:v>
      </x:c>
      <x:c r="F1576" s="35" t="n">
        <x:v>230</x:v>
      </x:c>
      <x:c r="G1576" s="35" t="str">
        <x:v>RECORDED</x:v>
      </x:c>
      <x:c r="H1576" s="39" t="n">
        <x:f>IF(ISNUMBER('Data'!E1576),'Data'!E1576*100,"")</x:f>
        <x:v>93.48</x:v>
      </x:c>
      <x:c r="I1576" s="35" t="str">
        <x:v>PASS</x:v>
      </x:c>
      <x:c r="J1576" s="35" t="str">
        <x:v>PASS</x:v>
      </x:c>
      <x:c r="K1576" s="35" t="str">
        <x:v>PASS</x:v>
      </x:c>
      <x:c r="L1576" s="35" t="str">
        <x:v>FAIL</x:v>
      </x:c>
      <x:c r="M1576" s="35" t="str">
        <x:v>numeric coverage for applicable metric</x:v>
      </x:c>
      <x:c r="N1576" s="35" t="str">
        <x:v>Deepseek-flash-v4/Result2/Math_36/result.json</x:v>
      </x:c>
      <x:c r="O1576" s="39" t="n">
        <x:f>IF(AND(G1576="RECORDED",ISNUMBER(H1576)),H1576,"")</x:f>
        <x:v>93.48</x:v>
      </x:c>
      <x:c r="P1576" s="35" t="str">
        <x:v>INCONCLUSIVE</x:v>
      </x:c>
      <x:c r="Q1576" s="35" t="str">
        <x:v>Deepseek-flash-v4/Result2/Math_36/result.json</x:v>
      </x:c>
    </x:row>
    <x:row r="1577">
      <x:c r="A1577" s="35" t="str">
        <x:v>deepseek</x:v>
      </x:c>
      <x:c r="B1577" s="35" t="str">
        <x:v>Math</x:v>
      </x:c>
      <x:c r="C1577" s="35" t="str">
        <x:v>Round2</x:v>
      </x:c>
      <x:c r="D1577" s="35" t="str">
        <x:v>Math_37</x:v>
      </x:c>
      <x:c r="E1577" s="35" t="str">
        <x:v>Line</x:v>
      </x:c>
      <x:c r="F1577" s="35" t="n">
        <x:v>220</x:v>
      </x:c>
      <x:c r="G1577" s="35" t="str">
        <x:v>RECORDED</x:v>
      </x:c>
      <x:c r="H1577" s="39" t="n">
        <x:f>IF(ISNUMBER('Data'!E1577),'Data'!E1577*100,"")</x:f>
        <x:v>88.64</x:v>
      </x:c>
      <x:c r="I1577" s="35" t="str">
        <x:v>PASS</x:v>
      </x:c>
      <x:c r="J1577" s="35" t="str">
        <x:v>PASS</x:v>
      </x:c>
      <x:c r="K1577" s="35" t="str">
        <x:v>PASS</x:v>
      </x:c>
      <x:c r="L1577" s="35" t="str">
        <x:v>FAIL</x:v>
      </x:c>
      <x:c r="M1577" s="35" t="str">
        <x:v>numeric coverage for applicable metric</x:v>
      </x:c>
      <x:c r="N1577" s="35" t="str">
        <x:v>Deepseek-flash-v4/Result2/Math_37/result.json</x:v>
      </x:c>
      <x:c r="O1577" s="39" t="n">
        <x:f>IF(AND(G1577="RECORDED",ISNUMBER(H1577)),H1577,"")</x:f>
        <x:v>88.64</x:v>
      </x:c>
      <x:c r="P1577" s="35" t="str">
        <x:v>INCONCLUSIVE</x:v>
      </x:c>
      <x:c r="Q1577" s="35" t="str">
        <x:v>Deepseek-flash-v4/Result2/Math_37/result.json</x:v>
      </x:c>
    </x:row>
    <x:row r="1578">
      <x:c r="A1578" s="35" t="str">
        <x:v>deepseek</x:v>
      </x:c>
      <x:c r="B1578" s="35" t="str">
        <x:v>Math</x:v>
      </x:c>
      <x:c r="C1578" s="35" t="str">
        <x:v>Round2</x:v>
      </x:c>
      <x:c r="D1578" s="35" t="str">
        <x:v>Math_38</x:v>
      </x:c>
      <x:c r="E1578" s="35" t="str">
        <x:v>Line</x:v>
      </x:c>
      <x:c r="F1578" s="35"/>
      <x:c r="G1578" s="35" t="str">
        <x:v>A</x:v>
      </x:c>
      <x:c r="H1578" s="39" t="str">
        <x:f>IF(ISNUMBER('Data'!E1578),'Data'!E1578*100,"")</x:f>
      </x:c>
      <x:c r="I1578" s="35"/>
      <x:c r="J1578" s="35" t="str">
        <x:v>PASS</x:v>
      </x:c>
      <x:c r="K1578" s="35" t="str">
        <x:v>FAIL</x:v>
      </x:c>
      <x:c r="L1578" s="35" t="str">
        <x:v>NOT_RUN</x:v>
      </x:c>
      <x:c r="M1578" s="35" t="str">
        <x:v>coverage unavailable or execution/compile failed</x:v>
      </x:c>
      <x:c r="N1578" s="35" t="str">
        <x:v>Deepseek-flash-v4/Result2/Math_38/result.json</x:v>
      </x:c>
      <x:c r="O1578" s="39" t="str">
        <x:f>IF(AND(G1578="RECORDED",ISNUMBER(H1578)),H1578,"")</x:f>
      </x:c>
      <x:c r="P1578" s="35" t="str">
        <x:v>NOT_AVAILABLE</x:v>
      </x:c>
      <x:c r="Q1578" s="35" t="str">
        <x:v>Deepseek-flash-v4/Result2/Math_38/result.json</x:v>
      </x:c>
    </x:row>
    <x:row r="1579">
      <x:c r="A1579" s="35" t="str">
        <x:v>deepseek</x:v>
      </x:c>
      <x:c r="B1579" s="35" t="str">
        <x:v>Math</x:v>
      </x:c>
      <x:c r="C1579" s="35" t="str">
        <x:v>Round2</x:v>
      </x:c>
      <x:c r="D1579" s="35" t="str">
        <x:v>Math_39</x:v>
      </x:c>
      <x:c r="E1579" s="35" t="str">
        <x:v>Line</x:v>
      </x:c>
      <x:c r="F1579" s="35" t="n">
        <x:v>107</x:v>
      </x:c>
      <x:c r="G1579" s="35" t="str">
        <x:v>RECORDED</x:v>
      </x:c>
      <x:c r="H1579" s="39" t="n">
        <x:f>IF(ISNUMBER('Data'!E1579),'Data'!E1579*100,"")</x:f>
        <x:v>99.07</x:v>
      </x:c>
      <x:c r="I1579" s="35" t="str">
        <x:v>PASS</x:v>
      </x:c>
      <x:c r="J1579" s="35" t="str">
        <x:v>PASS</x:v>
      </x:c>
      <x:c r="K1579" s="35" t="str">
        <x:v>PASS</x:v>
      </x:c>
      <x:c r="L1579" s="35" t="str">
        <x:v>PASS</x:v>
      </x:c>
      <x:c r="M1579" s="35" t="str">
        <x:v>numeric coverage for applicable metric</x:v>
      </x:c>
      <x:c r="N1579" s="35" t="str">
        <x:v>Deepseek-flash-v4/Result2/Math_39/result.json</x:v>
      </x:c>
      <x:c r="O1579" s="39" t="n">
        <x:f>IF(AND(G1579="RECORDED",ISNUMBER(H1579)),H1579,"")</x:f>
        <x:v>99.07</x:v>
      </x:c>
      <x:c r="P1579" s="35" t="str">
        <x:v>NOT_REVEALING</x:v>
      </x:c>
      <x:c r="Q1579" s="35" t="str">
        <x:v>Deepseek-flash-v4/Result2/Math_39/result.json</x:v>
      </x:c>
    </x:row>
    <x:row r="1580">
      <x:c r="A1580" s="35" t="str">
        <x:v>deepseek</x:v>
      </x:c>
      <x:c r="B1580" s="35" t="str">
        <x:v>Math</x:v>
      </x:c>
      <x:c r="C1580" s="35" t="str">
        <x:v>Round2</x:v>
      </x:c>
      <x:c r="D1580" s="35" t="str">
        <x:v>Math_4</x:v>
      </x:c>
      <x:c r="E1580" s="35" t="str">
        <x:v>Line</x:v>
      </x:c>
      <x:c r="F1580" s="35"/>
      <x:c r="G1580" s="35" t="str">
        <x:v>A</x:v>
      </x:c>
      <x:c r="H1580" s="39" t="str">
        <x:f>IF(ISNUMBER('Data'!E1580),'Data'!E1580*100,"")</x:f>
      </x:c>
      <x:c r="I1580" s="35"/>
      <x:c r="J1580" s="35" t="str">
        <x:v>PASS</x:v>
      </x:c>
      <x:c r="K1580" s="35" t="str">
        <x:v>FAIL</x:v>
      </x:c>
      <x:c r="L1580" s="35" t="str">
        <x:v>NOT_RUN</x:v>
      </x:c>
      <x:c r="M1580" s="35" t="str">
        <x:v>coverage unavailable or execution/compile failed</x:v>
      </x:c>
      <x:c r="N1580" s="35" t="str">
        <x:v>Deepseek-flash-v4/Result2/Math_4/result.json</x:v>
      </x:c>
      <x:c r="O1580" s="39" t="str">
        <x:f>IF(AND(G1580="RECORDED",ISNUMBER(H1580)),H1580,"")</x:f>
      </x:c>
      <x:c r="P1580" s="35" t="str">
        <x:v>NOT_AVAILABLE</x:v>
      </x:c>
      <x:c r="Q1580" s="35" t="str">
        <x:v>Deepseek-flash-v4/Result2/Math_4/result.json</x:v>
      </x:c>
    </x:row>
    <x:row r="1581">
      <x:c r="A1581" s="35" t="str">
        <x:v>deepseek</x:v>
      </x:c>
      <x:c r="B1581" s="35" t="str">
        <x:v>Math</x:v>
      </x:c>
      <x:c r="C1581" s="35" t="str">
        <x:v>Round2</x:v>
      </x:c>
      <x:c r="D1581" s="35" t="str">
        <x:v>Math_40</x:v>
      </x:c>
      <x:c r="E1581" s="35" t="str">
        <x:v>Line</x:v>
      </x:c>
      <x:c r="F1581" s="35" t="n">
        <x:v>126</x:v>
      </x:c>
      <x:c r="G1581" s="35" t="str">
        <x:v>RECORDED</x:v>
      </x:c>
      <x:c r="H1581" s="39" t="n">
        <x:f>IF(ISNUMBER('Data'!E1581),'Data'!E1581*100,"")</x:f>
        <x:v>80.16</x:v>
      </x:c>
      <x:c r="I1581" s="35" t="str">
        <x:v>PASS</x:v>
      </x:c>
      <x:c r="J1581" s="35" t="str">
        <x:v>PASS</x:v>
      </x:c>
      <x:c r="K1581" s="35" t="str">
        <x:v>PASS</x:v>
      </x:c>
      <x:c r="L1581" s="35" t="str">
        <x:v>FAIL</x:v>
      </x:c>
      <x:c r="M1581" s="35" t="str">
        <x:v>numeric coverage for applicable metric</x:v>
      </x:c>
      <x:c r="N1581" s="35" t="str">
        <x:v>Deepseek-flash-v4/Result2/Math_40/result.json</x:v>
      </x:c>
      <x:c r="O1581" s="39" t="n">
        <x:f>IF(AND(G1581="RECORDED",ISNUMBER(H1581)),H1581,"")</x:f>
        <x:v>80.16</x:v>
      </x:c>
      <x:c r="P1581" s="35" t="str">
        <x:v>INCONCLUSIVE</x:v>
      </x:c>
      <x:c r="Q1581" s="35" t="str">
        <x:v>Deepseek-flash-v4/Result2/Math_40/result.json</x:v>
      </x:c>
    </x:row>
    <x:row r="1582">
      <x:c r="A1582" s="35" t="str">
        <x:v>deepseek</x:v>
      </x:c>
      <x:c r="B1582" s="35" t="str">
        <x:v>Math</x:v>
      </x:c>
      <x:c r="C1582" s="35" t="str">
        <x:v>Round2</x:v>
      </x:c>
      <x:c r="D1582" s="35" t="str">
        <x:v>Math_41</x:v>
      </x:c>
      <x:c r="E1582" s="35" t="str">
        <x:v>Line</x:v>
      </x:c>
      <x:c r="F1582" s="35" t="n">
        <x:v>112</x:v>
      </x:c>
      <x:c r="G1582" s="35" t="str">
        <x:v>RECORDED</x:v>
      </x:c>
      <x:c r="H1582" s="39" t="n">
        <x:f>IF(ISNUMBER('Data'!E1582),'Data'!E1582*100,"")</x:f>
        <x:v>91.96</x:v>
      </x:c>
      <x:c r="I1582" s="35" t="str">
        <x:v>PASS</x:v>
      </x:c>
      <x:c r="J1582" s="35" t="str">
        <x:v>PASS</x:v>
      </x:c>
      <x:c r="K1582" s="35" t="str">
        <x:v>PASS</x:v>
      </x:c>
      <x:c r="L1582" s="35" t="str">
        <x:v>FAIL</x:v>
      </x:c>
      <x:c r="M1582" s="35" t="str">
        <x:v>numeric coverage for applicable metric</x:v>
      </x:c>
      <x:c r="N1582" s="35" t="str">
        <x:v>Deepseek-flash-v4/Result2/Math_41/result.json</x:v>
      </x:c>
      <x:c r="O1582" s="39" t="n">
        <x:f>IF(AND(G1582="RECORDED",ISNUMBER(H1582)),H1582,"")</x:f>
        <x:v>91.96</x:v>
      </x:c>
      <x:c r="P1582" s="35" t="str">
        <x:v>INCONCLUSIVE</x:v>
      </x:c>
      <x:c r="Q1582" s="35" t="str">
        <x:v>Deepseek-flash-v4/Result2/Math_41/result.json</x:v>
      </x:c>
    </x:row>
    <x:row r="1583">
      <x:c r="A1583" s="35" t="str">
        <x:v>deepseek</x:v>
      </x:c>
      <x:c r="B1583" s="35" t="str">
        <x:v>Math</x:v>
      </x:c>
      <x:c r="C1583" s="35" t="str">
        <x:v>Round2</x:v>
      </x:c>
      <x:c r="D1583" s="35" t="str">
        <x:v>Math_42</x:v>
      </x:c>
      <x:c r="E1583" s="35" t="str">
        <x:v>Line</x:v>
      </x:c>
      <x:c r="F1583" s="35" t="n">
        <x:v>182</x:v>
      </x:c>
      <x:c r="G1583" s="35" t="str">
        <x:v>RECORDED</x:v>
      </x:c>
      <x:c r="H1583" s="39" t="n">
        <x:f>IF(ISNUMBER('Data'!E1583),'Data'!E1583*100,"")</x:f>
        <x:v>71.43</x:v>
      </x:c>
      <x:c r="I1583" s="35" t="str">
        <x:v>PASS</x:v>
      </x:c>
      <x:c r="J1583" s="35" t="str">
        <x:v>PASS</x:v>
      </x:c>
      <x:c r="K1583" s="35" t="str">
        <x:v>PASS</x:v>
      </x:c>
      <x:c r="L1583" s="35" t="str">
        <x:v>FAIL</x:v>
      </x:c>
      <x:c r="M1583" s="35" t="str">
        <x:v>numeric coverage for applicable metric</x:v>
      </x:c>
      <x:c r="N1583" s="35" t="str">
        <x:v>Deepseek-flash-v4/Result2/Math_42/result.json</x:v>
      </x:c>
      <x:c r="O1583" s="39" t="n">
        <x:f>IF(AND(G1583="RECORDED",ISNUMBER(H1583)),H1583,"")</x:f>
        <x:v>71.43</x:v>
      </x:c>
      <x:c r="P1583" s="35" t="str">
        <x:v>INCONCLUSIVE</x:v>
      </x:c>
      <x:c r="Q1583" s="35" t="str">
        <x:v>Deepseek-flash-v4/Result2/Math_42/result.json</x:v>
      </x:c>
    </x:row>
    <x:row r="1584">
      <x:c r="A1584" s="35" t="str">
        <x:v>deepseek</x:v>
      </x:c>
      <x:c r="B1584" s="35" t="str">
        <x:v>Math</x:v>
      </x:c>
      <x:c r="C1584" s="35" t="str">
        <x:v>Round2</x:v>
      </x:c>
      <x:c r="D1584" s="35" t="str">
        <x:v>Math_43</x:v>
      </x:c>
      <x:c r="E1584" s="35" t="str">
        <x:v>Line</x:v>
      </x:c>
      <x:c r="F1584" s="35" t="n">
        <x:v>192</x:v>
      </x:c>
      <x:c r="G1584" s="35" t="str">
        <x:v>RECORDED</x:v>
      </x:c>
      <x:c r="H1584" s="39" t="n">
        <x:f>IF(ISNUMBER('Data'!E1584),'Data'!E1584*100,"")</x:f>
        <x:v>89.58</x:v>
      </x:c>
      <x:c r="I1584" s="35" t="str">
        <x:v>PASS</x:v>
      </x:c>
      <x:c r="J1584" s="35" t="str">
        <x:v>PASS</x:v>
      </x:c>
      <x:c r="K1584" s="35" t="str">
        <x:v>PASS</x:v>
      </x:c>
      <x:c r="L1584" s="35" t="str">
        <x:v>FAIL</x:v>
      </x:c>
      <x:c r="M1584" s="35" t="str">
        <x:v>numeric coverage for applicable metric</x:v>
      </x:c>
      <x:c r="N1584" s="35" t="str">
        <x:v>Deepseek-flash-v4/Result2/Math_43/result.json</x:v>
      </x:c>
      <x:c r="O1584" s="39" t="n">
        <x:f>IF(AND(G1584="RECORDED",ISNUMBER(H1584)),H1584,"")</x:f>
        <x:v>89.58</x:v>
      </x:c>
      <x:c r="P1584" s="35" t="str">
        <x:v>INCONCLUSIVE</x:v>
      </x:c>
      <x:c r="Q1584" s="35" t="str">
        <x:v>Deepseek-flash-v4/Result2/Math_43/result.json</x:v>
      </x:c>
    </x:row>
    <x:row r="1585">
      <x:c r="A1585" s="35" t="str">
        <x:v>deepseek</x:v>
      </x:c>
      <x:c r="B1585" s="35" t="str">
        <x:v>Math</x:v>
      </x:c>
      <x:c r="C1585" s="35" t="str">
        <x:v>Round2</x:v>
      </x:c>
      <x:c r="D1585" s="35" t="str">
        <x:v>Math_44</x:v>
      </x:c>
      <x:c r="E1585" s="35" t="str">
        <x:v>Line</x:v>
      </x:c>
      <x:c r="F1585" s="35"/>
      <x:c r="G1585" s="35" t="str">
        <x:v>A</x:v>
      </x:c>
      <x:c r="H1585" s="39" t="str">
        <x:f>IF(ISNUMBER('Data'!E1585),'Data'!E1585*100,"")</x:f>
      </x:c>
      <x:c r="I1585" s="35"/>
      <x:c r="J1585" s="35" t="str">
        <x:v>PASS</x:v>
      </x:c>
      <x:c r="K1585" s="35" t="str">
        <x:v>FAIL</x:v>
      </x:c>
      <x:c r="L1585" s="35" t="str">
        <x:v>NOT_RUN</x:v>
      </x:c>
      <x:c r="M1585" s="35" t="str">
        <x:v>coverage unavailable or execution/compile failed</x:v>
      </x:c>
      <x:c r="N1585" s="35" t="str">
        <x:v>Deepseek-flash-v4/Result2/Math_44/result.json</x:v>
      </x:c>
      <x:c r="O1585" s="39" t="str">
        <x:f>IF(AND(G1585="RECORDED",ISNUMBER(H1585)),H1585,"")</x:f>
      </x:c>
      <x:c r="P1585" s="35" t="str">
        <x:v>NOT_AVAILABLE</x:v>
      </x:c>
      <x:c r="Q1585" s="35" t="str">
        <x:v>Deepseek-flash-v4/Result2/Math_44/result.json</x:v>
      </x:c>
    </x:row>
    <x:row r="1586">
      <x:c r="A1586" s="35" t="str">
        <x:v>deepseek</x:v>
      </x:c>
      <x:c r="B1586" s="35" t="str">
        <x:v>Math</x:v>
      </x:c>
      <x:c r="C1586" s="35" t="str">
        <x:v>Round2</x:v>
      </x:c>
      <x:c r="D1586" s="35" t="str">
        <x:v>Math_45</x:v>
      </x:c>
      <x:c r="E1586" s="35" t="str">
        <x:v>Line</x:v>
      </x:c>
      <x:c r="F1586" s="35" t="n">
        <x:v>97</x:v>
      </x:c>
      <x:c r="G1586" s="35" t="str">
        <x:v>RECORDED</x:v>
      </x:c>
      <x:c r="H1586" s="39" t="n">
        <x:f>IF(ISNUMBER('Data'!E1586),'Data'!E1586*100,"")</x:f>
        <x:v>95.88</x:v>
      </x:c>
      <x:c r="I1586" s="35" t="str">
        <x:v>PASS</x:v>
      </x:c>
      <x:c r="J1586" s="35" t="str">
        <x:v>PASS</x:v>
      </x:c>
      <x:c r="K1586" s="35" t="str">
        <x:v>PASS</x:v>
      </x:c>
      <x:c r="L1586" s="35" t="str">
        <x:v>FAIL</x:v>
      </x:c>
      <x:c r="M1586" s="35" t="str">
        <x:v>numeric coverage for applicable metric</x:v>
      </x:c>
      <x:c r="N1586" s="35" t="str">
        <x:v>Deepseek-flash-v4/Result2/Math_45/result.json</x:v>
      </x:c>
      <x:c r="O1586" s="39" t="n">
        <x:f>IF(AND(G1586="RECORDED",ISNUMBER(H1586)),H1586,"")</x:f>
        <x:v>95.88</x:v>
      </x:c>
      <x:c r="P1586" s="35" t="str">
        <x:v>INCONCLUSIVE</x:v>
      </x:c>
      <x:c r="Q1586" s="35" t="str">
        <x:v>Deepseek-flash-v4/Result2/Math_45/result.json</x:v>
      </x:c>
    </x:row>
    <x:row r="1587">
      <x:c r="A1587" s="35" t="str">
        <x:v>deepseek</x:v>
      </x:c>
      <x:c r="B1587" s="35" t="str">
        <x:v>Math</x:v>
      </x:c>
      <x:c r="C1587" s="35" t="str">
        <x:v>Round2</x:v>
      </x:c>
      <x:c r="D1587" s="35" t="str">
        <x:v>Math_46</x:v>
      </x:c>
      <x:c r="E1587" s="35" t="str">
        <x:v>Line</x:v>
      </x:c>
      <x:c r="F1587" s="35" t="n">
        <x:v>202</x:v>
      </x:c>
      <x:c r="G1587" s="35" t="str">
        <x:v>RECORDED</x:v>
      </x:c>
      <x:c r="H1587" s="39" t="n">
        <x:f>IF(ISNUMBER('Data'!E1587),'Data'!E1587*100,"")</x:f>
        <x:v>78.22</x:v>
      </x:c>
      <x:c r="I1587" s="35" t="str">
        <x:v>PASS</x:v>
      </x:c>
      <x:c r="J1587" s="35" t="str">
        <x:v>PASS</x:v>
      </x:c>
      <x:c r="K1587" s="35" t="str">
        <x:v>PASS</x:v>
      </x:c>
      <x:c r="L1587" s="35" t="str">
        <x:v>PASS</x:v>
      </x:c>
      <x:c r="M1587" s="35" t="str">
        <x:v>numeric coverage for applicable metric</x:v>
      </x:c>
      <x:c r="N1587" s="35" t="str">
        <x:v>Deepseek-flash-v4/Result2/Math_46/result.json</x:v>
      </x:c>
      <x:c r="O1587" s="39" t="n">
        <x:f>IF(AND(G1587="RECORDED",ISNUMBER(H1587)),H1587,"")</x:f>
        <x:v>78.22</x:v>
      </x:c>
      <x:c r="P1587" s="35" t="str">
        <x:v>INCONCLUSIVE</x:v>
      </x:c>
      <x:c r="Q1587" s="35" t="str">
        <x:v>Deepseek-flash-v4/Result2/Math_46/result.json</x:v>
      </x:c>
    </x:row>
    <x:row r="1588">
      <x:c r="A1588" s="35" t="str">
        <x:v>deepseek</x:v>
      </x:c>
      <x:c r="B1588" s="35" t="str">
        <x:v>Math</x:v>
      </x:c>
      <x:c r="C1588" s="35" t="str">
        <x:v>Round2</x:v>
      </x:c>
      <x:c r="D1588" s="35" t="str">
        <x:v>Math_47</x:v>
      </x:c>
      <x:c r="E1588" s="35" t="str">
        <x:v>Line</x:v>
      </x:c>
      <x:c r="F1588" s="35" t="n">
        <x:v>201</x:v>
      </x:c>
      <x:c r="G1588" s="35" t="str">
        <x:v>RECORDED</x:v>
      </x:c>
      <x:c r="H1588" s="39" t="n">
        <x:f>IF(ISNUMBER('Data'!E1588),'Data'!E1588*100,"")</x:f>
        <x:v>80.6</x:v>
      </x:c>
      <x:c r="I1588" s="35" t="str">
        <x:v>PASS</x:v>
      </x:c>
      <x:c r="J1588" s="35" t="str">
        <x:v>PASS</x:v>
      </x:c>
      <x:c r="K1588" s="35" t="str">
        <x:v>PASS</x:v>
      </x:c>
      <x:c r="L1588" s="35" t="str">
        <x:v>PASS</x:v>
      </x:c>
      <x:c r="M1588" s="35" t="str">
        <x:v>numeric coverage for applicable metric</x:v>
      </x:c>
      <x:c r="N1588" s="35" t="str">
        <x:v>Deepseek-flash-v4/Result2/Math_47/result.json</x:v>
      </x:c>
      <x:c r="O1588" s="39" t="n">
        <x:f>IF(AND(G1588="RECORDED",ISNUMBER(H1588)),H1588,"")</x:f>
        <x:v>80.6</x:v>
      </x:c>
      <x:c r="P1588" s="35" t="str">
        <x:v>INCONCLUSIVE</x:v>
      </x:c>
      <x:c r="Q1588" s="35" t="str">
        <x:v>Deepseek-flash-v4/Result2/Math_47/result.json</x:v>
      </x:c>
    </x:row>
    <x:row r="1589">
      <x:c r="A1589" s="35" t="str">
        <x:v>deepseek</x:v>
      </x:c>
      <x:c r="B1589" s="35" t="str">
        <x:v>Math</x:v>
      </x:c>
      <x:c r="C1589" s="35" t="str">
        <x:v>Round2</x:v>
      </x:c>
      <x:c r="D1589" s="35" t="str">
        <x:v>Math_48</x:v>
      </x:c>
      <x:c r="E1589" s="35" t="str">
        <x:v>Line</x:v>
      </x:c>
      <x:c r="F1589" s="35" t="n">
        <x:v>73</x:v>
      </x:c>
      <x:c r="G1589" s="35" t="str">
        <x:v>RECORDED</x:v>
      </x:c>
      <x:c r="H1589" s="39" t="n">
        <x:f>IF(ISNUMBER('Data'!E1589),'Data'!E1589*100,"")</x:f>
        <x:v>76.71</x:v>
      </x:c>
      <x:c r="I1589" s="35" t="str">
        <x:v>PASS</x:v>
      </x:c>
      <x:c r="J1589" s="35" t="str">
        <x:v>PASS</x:v>
      </x:c>
      <x:c r="K1589" s="35" t="str">
        <x:v>PASS</x:v>
      </x:c>
      <x:c r="L1589" s="35" t="str">
        <x:v>PASS</x:v>
      </x:c>
      <x:c r="M1589" s="35" t="str">
        <x:v>numeric coverage for applicable metric</x:v>
      </x:c>
      <x:c r="N1589" s="35" t="str">
        <x:v>Deepseek-flash-v4/Result2/Math_48/result.json</x:v>
      </x:c>
      <x:c r="O1589" s="39" t="n">
        <x:f>IF(AND(G1589="RECORDED",ISNUMBER(H1589)),H1589,"")</x:f>
        <x:v>76.71</x:v>
      </x:c>
      <x:c r="P1589" s="35" t="str">
        <x:v>NOT_REVEALING</x:v>
      </x:c>
      <x:c r="Q1589" s="35" t="str">
        <x:v>Deepseek-flash-v4/Result2/Math_48/result.json</x:v>
      </x:c>
    </x:row>
    <x:row r="1590">
      <x:c r="A1590" s="35" t="str">
        <x:v>deepseek</x:v>
      </x:c>
      <x:c r="B1590" s="35" t="str">
        <x:v>Math</x:v>
      </x:c>
      <x:c r="C1590" s="35" t="str">
        <x:v>Round2</x:v>
      </x:c>
      <x:c r="D1590" s="35" t="str">
        <x:v>Math_49</x:v>
      </x:c>
      <x:c r="E1590" s="35" t="str">
        <x:v>Line</x:v>
      </x:c>
      <x:c r="F1590" s="35" t="n">
        <x:v>378</x:v>
      </x:c>
      <x:c r="G1590" s="35" t="str">
        <x:v>RECORDED</x:v>
      </x:c>
      <x:c r="H1590" s="39" t="n">
        <x:f>IF(ISNUMBER('Data'!E1590),'Data'!E1590*100,"")</x:f>
        <x:v>93.65</x:v>
      </x:c>
      <x:c r="I1590" s="35" t="str">
        <x:v>PASS</x:v>
      </x:c>
      <x:c r="J1590" s="35" t="str">
        <x:v>PASS</x:v>
      </x:c>
      <x:c r="K1590" s="35" t="str">
        <x:v>PASS</x:v>
      </x:c>
      <x:c r="L1590" s="35" t="str">
        <x:v>PASS</x:v>
      </x:c>
      <x:c r="M1590" s="35" t="str">
        <x:v>numeric coverage for applicable metric</x:v>
      </x:c>
      <x:c r="N1590" s="35" t="str">
        <x:v>Deepseek-flash-v4/Result2/Math_49/result.json</x:v>
      </x:c>
      <x:c r="O1590" s="39" t="n">
        <x:f>IF(AND(G1590="RECORDED",ISNUMBER(H1590)),H1590,"")</x:f>
        <x:v>93.65</x:v>
      </x:c>
      <x:c r="P1590" s="35" t="str">
        <x:v>NOT_REVEALING</x:v>
      </x:c>
      <x:c r="Q1590" s="35" t="str">
        <x:v>Deepseek-flash-v4/Result2/Math_49/result.json</x:v>
      </x:c>
    </x:row>
    <x:row r="1591">
      <x:c r="A1591" s="35" t="str">
        <x:v>deepseek</x:v>
      </x:c>
      <x:c r="B1591" s="35" t="str">
        <x:v>Math</x:v>
      </x:c>
      <x:c r="C1591" s="35" t="str">
        <x:v>Round2</x:v>
      </x:c>
      <x:c r="D1591" s="35" t="str">
        <x:v>Math_5</x:v>
      </x:c>
      <x:c r="E1591" s="35" t="str">
        <x:v>Line</x:v>
      </x:c>
      <x:c r="F1591" s="35" t="n">
        <x:v>226</x:v>
      </x:c>
      <x:c r="G1591" s="35" t="str">
        <x:v>RECORDED</x:v>
      </x:c>
      <x:c r="H1591" s="39" t="n">
        <x:f>IF(ISNUMBER('Data'!E1591),'Data'!E1591*100,"")</x:f>
        <x:v>64.16</x:v>
      </x:c>
      <x:c r="I1591" s="35" t="str">
        <x:v>PASS</x:v>
      </x:c>
      <x:c r="J1591" s="35" t="str">
        <x:v>PASS</x:v>
      </x:c>
      <x:c r="K1591" s="35" t="str">
        <x:v>PASS</x:v>
      </x:c>
      <x:c r="L1591" s="35" t="str">
        <x:v>PASS</x:v>
      </x:c>
      <x:c r="M1591" s="35" t="str">
        <x:v>numeric coverage for applicable metric</x:v>
      </x:c>
      <x:c r="N1591" s="35" t="str">
        <x:v>Deepseek-flash-v4/Result2/Math_5/result.json</x:v>
      </x:c>
      <x:c r="O1591" s="39" t="n">
        <x:f>IF(AND(G1591="RECORDED",ISNUMBER(H1591)),H1591,"")</x:f>
        <x:v>64.16</x:v>
      </x:c>
      <x:c r="P1591" s="35" t="str">
        <x:v>INCONCLUSIVE</x:v>
      </x:c>
      <x:c r="Q1591" s="35" t="str">
        <x:v>Deepseek-flash-v4/Result2/Math_5/result.json</x:v>
      </x:c>
    </x:row>
    <x:row r="1592">
      <x:c r="A1592" s="35" t="str">
        <x:v>deepseek</x:v>
      </x:c>
      <x:c r="B1592" s="35" t="str">
        <x:v>Math</x:v>
      </x:c>
      <x:c r="C1592" s="35" t="str">
        <x:v>Round2</x:v>
      </x:c>
      <x:c r="D1592" s="35" t="str">
        <x:v>Math_50</x:v>
      </x:c>
      <x:c r="E1592" s="35" t="str">
        <x:v>Line</x:v>
      </x:c>
      <x:c r="F1592" s="35" t="n">
        <x:v>75</x:v>
      </x:c>
      <x:c r="G1592" s="35" t="str">
        <x:v>RECORDED</x:v>
      </x:c>
      <x:c r="H1592" s="39" t="n">
        <x:f>IF(ISNUMBER('Data'!E1592),'Data'!E1592*100,"")</x:f>
        <x:v>78.67</x:v>
      </x:c>
      <x:c r="I1592" s="35" t="str">
        <x:v>PASS</x:v>
      </x:c>
      <x:c r="J1592" s="35" t="str">
        <x:v>PASS</x:v>
      </x:c>
      <x:c r="K1592" s="35" t="str">
        <x:v>PASS</x:v>
      </x:c>
      <x:c r="L1592" s="35" t="str">
        <x:v>FAIL</x:v>
      </x:c>
      <x:c r="M1592" s="35" t="str">
        <x:v>numeric coverage for applicable metric</x:v>
      </x:c>
      <x:c r="N1592" s="35" t="str">
        <x:v>Deepseek-flash-v4/Result2/Math_50/result.json</x:v>
      </x:c>
      <x:c r="O1592" s="39" t="n">
        <x:f>IF(AND(G1592="RECORDED",ISNUMBER(H1592)),H1592,"")</x:f>
        <x:v>78.67</x:v>
      </x:c>
      <x:c r="P1592" s="35" t="str">
        <x:v>INCONCLUSIVE</x:v>
      </x:c>
      <x:c r="Q1592" s="35" t="str">
        <x:v>Deepseek-flash-v4/Result2/Math_50/result.json</x:v>
      </x:c>
    </x:row>
    <x:row r="1593">
      <x:c r="A1593" s="35" t="str">
        <x:v>deepseek</x:v>
      </x:c>
      <x:c r="B1593" s="35" t="str">
        <x:v>Math</x:v>
      </x:c>
      <x:c r="C1593" s="35" t="str">
        <x:v>Round2</x:v>
      </x:c>
      <x:c r="D1593" s="35" t="str">
        <x:v>Math_51</x:v>
      </x:c>
      <x:c r="E1593" s="35" t="str">
        <x:v>Line</x:v>
      </x:c>
      <x:c r="F1593" s="35" t="n">
        <x:v>71</x:v>
      </x:c>
      <x:c r="G1593" s="35" t="str">
        <x:v>RECORDED</x:v>
      </x:c>
      <x:c r="H1593" s="39" t="n">
        <x:f>IF(ISNUMBER('Data'!E1593),'Data'!E1593*100,"")</x:f>
        <x:v>80.28</x:v>
      </x:c>
      <x:c r="I1593" s="35" t="str">
        <x:v>PASS</x:v>
      </x:c>
      <x:c r="J1593" s="35" t="str">
        <x:v>PASS</x:v>
      </x:c>
      <x:c r="K1593" s="35" t="str">
        <x:v>PASS</x:v>
      </x:c>
      <x:c r="L1593" s="35" t="str">
        <x:v>FAIL</x:v>
      </x:c>
      <x:c r="M1593" s="35" t="str">
        <x:v>numeric coverage for applicable metric</x:v>
      </x:c>
      <x:c r="N1593" s="35" t="str">
        <x:v>Deepseek-flash-v4/Result2/Math_51/result.json</x:v>
      </x:c>
      <x:c r="O1593" s="39" t="n">
        <x:f>IF(AND(G1593="RECORDED",ISNUMBER(H1593)),H1593,"")</x:f>
        <x:v>80.28</x:v>
      </x:c>
      <x:c r="P1593" s="35" t="str">
        <x:v>INCONCLUSIVE</x:v>
      </x:c>
      <x:c r="Q1593" s="35" t="str">
        <x:v>Deepseek-flash-v4/Result2/Math_51/result.json</x:v>
      </x:c>
    </x:row>
    <x:row r="1594">
      <x:c r="A1594" s="35" t="str">
        <x:v>deepseek</x:v>
      </x:c>
      <x:c r="B1594" s="35" t="str">
        <x:v>Math</x:v>
      </x:c>
      <x:c r="C1594" s="35" t="str">
        <x:v>Round2</x:v>
      </x:c>
      <x:c r="D1594" s="35" t="str">
        <x:v>Math_52</x:v>
      </x:c>
      <x:c r="E1594" s="35" t="str">
        <x:v>Line</x:v>
      </x:c>
      <x:c r="F1594" s="35" t="n">
        <x:v>367</x:v>
      </x:c>
      <x:c r="G1594" s="35" t="str">
        <x:v>RECORDED</x:v>
      </x:c>
      <x:c r="H1594" s="39" t="n">
        <x:f>IF(ISNUMBER('Data'!E1594),'Data'!E1594*100,"")</x:f>
        <x:v>92.92</x:v>
      </x:c>
      <x:c r="I1594" s="35" t="str">
        <x:v>PASS</x:v>
      </x:c>
      <x:c r="J1594" s="35" t="str">
        <x:v>PASS</x:v>
      </x:c>
      <x:c r="K1594" s="35" t="str">
        <x:v>PASS</x:v>
      </x:c>
      <x:c r="L1594" s="35" t="str">
        <x:v>PASS</x:v>
      </x:c>
      <x:c r="M1594" s="35" t="str">
        <x:v>numeric coverage for applicable metric</x:v>
      </x:c>
      <x:c r="N1594" s="35" t="str">
        <x:v>Deepseek-flash-v4/Result2/Math_52/result.json</x:v>
      </x:c>
      <x:c r="O1594" s="39" t="n">
        <x:f>IF(AND(G1594="RECORDED",ISNUMBER(H1594)),H1594,"")</x:f>
        <x:v>92.92</x:v>
      </x:c>
      <x:c r="P1594" s="35" t="str">
        <x:v>NOT_REVEALING</x:v>
      </x:c>
      <x:c r="Q1594" s="35" t="str">
        <x:v>Deepseek-flash-v4/Result2/Math_52/result.json</x:v>
      </x:c>
    </x:row>
    <x:row r="1595">
      <x:c r="A1595" s="35" t="str">
        <x:v>deepseek</x:v>
      </x:c>
      <x:c r="B1595" s="35" t="str">
        <x:v>Math</x:v>
      </x:c>
      <x:c r="C1595" s="35" t="str">
        <x:v>Round2</x:v>
      </x:c>
      <x:c r="D1595" s="35" t="str">
        <x:v>Math_53</x:v>
      </x:c>
      <x:c r="E1595" s="35" t="str">
        <x:v>Line</x:v>
      </x:c>
      <x:c r="F1595" s="35" t="n">
        <x:v>170</x:v>
      </x:c>
      <x:c r="G1595" s="35" t="str">
        <x:v>RECORDED</x:v>
      </x:c>
      <x:c r="H1595" s="39" t="n">
        <x:f>IF(ISNUMBER('Data'!E1595),'Data'!E1595*100,"")</x:f>
        <x:v>98.24</x:v>
      </x:c>
      <x:c r="I1595" s="35" t="str">
        <x:v>PASS</x:v>
      </x:c>
      <x:c r="J1595" s="35" t="str">
        <x:v>PASS</x:v>
      </x:c>
      <x:c r="K1595" s="35" t="str">
        <x:v>PASS</x:v>
      </x:c>
      <x:c r="L1595" s="35" t="str">
        <x:v>PASS</x:v>
      </x:c>
      <x:c r="M1595" s="35" t="str">
        <x:v>numeric coverage for applicable metric</x:v>
      </x:c>
      <x:c r="N1595" s="35" t="str">
        <x:v>Deepseek-flash-v4/Result2/Math_53/result.json</x:v>
      </x:c>
      <x:c r="O1595" s="39" t="n">
        <x:f>IF(AND(G1595="RECORDED",ISNUMBER(H1595)),H1595,"")</x:f>
        <x:v>98.24</x:v>
      </x:c>
      <x:c r="P1595" s="35" t="str">
        <x:v>NOT_REVEALING</x:v>
      </x:c>
      <x:c r="Q1595" s="35" t="str">
        <x:v>Deepseek-flash-v4/Result2/Math_53/result.json</x:v>
      </x:c>
    </x:row>
    <x:row r="1596">
      <x:c r="A1596" s="35" t="str">
        <x:v>deepseek</x:v>
      </x:c>
      <x:c r="B1596" s="35" t="str">
        <x:v>Math</x:v>
      </x:c>
      <x:c r="C1596" s="35" t="str">
        <x:v>Round2</x:v>
      </x:c>
      <x:c r="D1596" s="35" t="str">
        <x:v>Math_54</x:v>
      </x:c>
      <x:c r="E1596" s="35" t="str">
        <x:v>Line</x:v>
      </x:c>
      <x:c r="F1596" s="35" t="n">
        <x:v>996</x:v>
      </x:c>
      <x:c r="G1596" s="35" t="str">
        <x:v>RECORDED</x:v>
      </x:c>
      <x:c r="H1596" s="39" t="n">
        <x:f>IF(ISNUMBER('Data'!E1596),'Data'!E1596*100,"")</x:f>
        <x:v>74</x:v>
      </x:c>
      <x:c r="I1596" s="35" t="str">
        <x:v>PASS</x:v>
      </x:c>
      <x:c r="J1596" s="35" t="str">
        <x:v>PASS</x:v>
      </x:c>
      <x:c r="K1596" s="35" t="str">
        <x:v>PASS</x:v>
      </x:c>
      <x:c r="L1596" s="35" t="str">
        <x:v>FAIL</x:v>
      </x:c>
      <x:c r="M1596" s="35" t="str">
        <x:v>numeric coverage for applicable metric</x:v>
      </x:c>
      <x:c r="N1596" s="35" t="str">
        <x:v>Deepseek-flash-v4/Result2/Math_54/result.json</x:v>
      </x:c>
      <x:c r="O1596" s="39" t="n">
        <x:f>IF(AND(G1596="RECORDED",ISNUMBER(H1596)),H1596,"")</x:f>
        <x:v>74</x:v>
      </x:c>
      <x:c r="P1596" s="35" t="str">
        <x:v>REVEALING</x:v>
      </x:c>
      <x:c r="Q1596" s="35" t="str">
        <x:v>Deepseek-flash-v4/Result2/Math_54/result.json</x:v>
      </x:c>
    </x:row>
    <x:row r="1597">
      <x:c r="A1597" s="35" t="str">
        <x:v>deepseek</x:v>
      </x:c>
      <x:c r="B1597" s="35" t="str">
        <x:v>Math</x:v>
      </x:c>
      <x:c r="C1597" s="35" t="str">
        <x:v>Round2</x:v>
      </x:c>
      <x:c r="D1597" s="35" t="str">
        <x:v>Math_55</x:v>
      </x:c>
      <x:c r="E1597" s="35" t="str">
        <x:v>Line</x:v>
      </x:c>
      <x:c r="F1597" s="35" t="n">
        <x:v>116</x:v>
      </x:c>
      <x:c r="G1597" s="35" t="str">
        <x:v>RECORDED</x:v>
      </x:c>
      <x:c r="H1597" s="39" t="n">
        <x:f>IF(ISNUMBER('Data'!E1597),'Data'!E1597*100,"")</x:f>
        <x:v>100</x:v>
      </x:c>
      <x:c r="I1597" s="35" t="str">
        <x:v>PASS</x:v>
      </x:c>
      <x:c r="J1597" s="35" t="str">
        <x:v>PASS</x:v>
      </x:c>
      <x:c r="K1597" s="35" t="str">
        <x:v>PASS</x:v>
      </x:c>
      <x:c r="L1597" s="35" t="str">
        <x:v>PASS</x:v>
      </x:c>
      <x:c r="M1597" s="35" t="str">
        <x:v>numeric coverage for applicable metric</x:v>
      </x:c>
      <x:c r="N1597" s="35" t="str">
        <x:v>Deepseek-flash-v4/Result2/Math_55/result.json</x:v>
      </x:c>
      <x:c r="O1597" s="39" t="n">
        <x:f>IF(AND(G1597="RECORDED",ISNUMBER(H1597)),H1597,"")</x:f>
        <x:v>100</x:v>
      </x:c>
      <x:c r="P1597" s="35" t="str">
        <x:v>NOT_REVEALING</x:v>
      </x:c>
      <x:c r="Q1597" s="35" t="str">
        <x:v>Deepseek-flash-v4/Result2/Math_55/result.json</x:v>
      </x:c>
    </x:row>
    <x:row r="1598">
      <x:c r="A1598" s="35" t="str">
        <x:v>deepseek</x:v>
      </x:c>
      <x:c r="B1598" s="35" t="str">
        <x:v>Math</x:v>
      </x:c>
      <x:c r="C1598" s="35" t="str">
        <x:v>Round2</x:v>
      </x:c>
      <x:c r="D1598" s="35" t="str">
        <x:v>Math_56</x:v>
      </x:c>
      <x:c r="E1598" s="35" t="str">
        <x:v>Line</x:v>
      </x:c>
      <x:c r="F1598" s="35" t="n">
        <x:v>75</x:v>
      </x:c>
      <x:c r="G1598" s="35" t="str">
        <x:v>RECORDED</x:v>
      </x:c>
      <x:c r="H1598" s="39" t="n">
        <x:f>IF(ISNUMBER('Data'!E1598),'Data'!E1598*100,"")</x:f>
        <x:v>98.67</x:v>
      </x:c>
      <x:c r="I1598" s="35" t="str">
        <x:v>PASS</x:v>
      </x:c>
      <x:c r="J1598" s="35" t="str">
        <x:v>PASS</x:v>
      </x:c>
      <x:c r="K1598" s="35" t="str">
        <x:v>PASS</x:v>
      </x:c>
      <x:c r="L1598" s="35" t="str">
        <x:v>FAIL</x:v>
      </x:c>
      <x:c r="M1598" s="35" t="str">
        <x:v>numeric coverage for applicable metric</x:v>
      </x:c>
      <x:c r="N1598" s="35" t="str">
        <x:v>Deepseek-flash-v4/Result2/Math_56/result.json</x:v>
      </x:c>
      <x:c r="O1598" s="39" t="n">
        <x:f>IF(AND(G1598="RECORDED",ISNUMBER(H1598)),H1598,"")</x:f>
        <x:v>98.67</x:v>
      </x:c>
      <x:c r="P1598" s="35" t="str">
        <x:v>INCONCLUSIVE</x:v>
      </x:c>
      <x:c r="Q1598" s="35" t="str">
        <x:v>Deepseek-flash-v4/Result2/Math_56/result.json</x:v>
      </x:c>
    </x:row>
    <x:row r="1599">
      <x:c r="A1599" s="35" t="str">
        <x:v>deepseek</x:v>
      </x:c>
      <x:c r="B1599" s="35" t="str">
        <x:v>Math</x:v>
      </x:c>
      <x:c r="C1599" s="35" t="str">
        <x:v>Round2</x:v>
      </x:c>
      <x:c r="D1599" s="35" t="str">
        <x:v>Math_57</x:v>
      </x:c>
      <x:c r="E1599" s="35" t="str">
        <x:v>Line</x:v>
      </x:c>
      <x:c r="F1599" s="35" t="n">
        <x:v>120</x:v>
      </x:c>
      <x:c r="G1599" s="35" t="str">
        <x:v>RECORDED</x:v>
      </x:c>
      <x:c r="H1599" s="39" t="n">
        <x:f>IF(ISNUMBER('Data'!E1599),'Data'!E1599*100,"")</x:f>
        <x:v>97.5</x:v>
      </x:c>
      <x:c r="I1599" s="35" t="str">
        <x:v>PASS</x:v>
      </x:c>
      <x:c r="J1599" s="35" t="str">
        <x:v>PASS</x:v>
      </x:c>
      <x:c r="K1599" s="35" t="str">
        <x:v>PASS</x:v>
      </x:c>
      <x:c r="L1599" s="35" t="str">
        <x:v>PASS</x:v>
      </x:c>
      <x:c r="M1599" s="35" t="str">
        <x:v>numeric coverage for applicable metric</x:v>
      </x:c>
      <x:c r="N1599" s="35" t="str">
        <x:v>Deepseek-flash-v4/Result2/Math_57/result.json</x:v>
      </x:c>
      <x:c r="O1599" s="39" t="n">
        <x:f>IF(AND(G1599="RECORDED",ISNUMBER(H1599)),H1599,"")</x:f>
        <x:v>97.5</x:v>
      </x:c>
      <x:c r="P1599" s="35" t="str">
        <x:v>NOT_REVEALING</x:v>
      </x:c>
      <x:c r="Q1599" s="35" t="str">
        <x:v>Deepseek-flash-v4/Result2/Math_57/result.json</x:v>
      </x:c>
    </x:row>
    <x:row r="1600">
      <x:c r="A1600" s="35" t="str">
        <x:v>deepseek</x:v>
      </x:c>
      <x:c r="B1600" s="35" t="str">
        <x:v>Math</x:v>
      </x:c>
      <x:c r="C1600" s="35" t="str">
        <x:v>Round2</x:v>
      </x:c>
      <x:c r="D1600" s="35" t="str">
        <x:v>Math_58</x:v>
      </x:c>
      <x:c r="E1600" s="35" t="str">
        <x:v>Line</x:v>
      </x:c>
      <x:c r="F1600" s="35" t="n">
        <x:v>94</x:v>
      </x:c>
      <x:c r="G1600" s="35" t="str">
        <x:v>RECORDED</x:v>
      </x:c>
      <x:c r="H1600" s="39" t="n">
        <x:f>IF(ISNUMBER('Data'!E1600),'Data'!E1600*100,"")</x:f>
        <x:v>68.09</x:v>
      </x:c>
      <x:c r="I1600" s="35" t="str">
        <x:v>PASS</x:v>
      </x:c>
      <x:c r="J1600" s="35" t="str">
        <x:v>PASS</x:v>
      </x:c>
      <x:c r="K1600" s="35" t="str">
        <x:v>PASS</x:v>
      </x:c>
      <x:c r="L1600" s="35" t="str">
        <x:v>PASS</x:v>
      </x:c>
      <x:c r="M1600" s="35" t="str">
        <x:v>numeric coverage for applicable metric</x:v>
      </x:c>
      <x:c r="N1600" s="35" t="str">
        <x:v>Deepseek-flash-v4/Result2/Math_58/result.json</x:v>
      </x:c>
      <x:c r="O1600" s="39" t="n">
        <x:f>IF(AND(G1600="RECORDED",ISNUMBER(H1600)),H1600,"")</x:f>
        <x:v>68.09</x:v>
      </x:c>
      <x:c r="P1600" s="35" t="str">
        <x:v>NOT_REVEALING</x:v>
      </x:c>
      <x:c r="Q1600" s="35" t="str">
        <x:v>Deepseek-flash-v4/Result2/Math_58/result.json</x:v>
      </x:c>
    </x:row>
    <x:row r="1601">
      <x:c r="A1601" s="35" t="str">
        <x:v>deepseek</x:v>
      </x:c>
      <x:c r="B1601" s="35" t="str">
        <x:v>Math</x:v>
      </x:c>
      <x:c r="C1601" s="35" t="str">
        <x:v>Round2</x:v>
      </x:c>
      <x:c r="D1601" s="35" t="str">
        <x:v>Math_59</x:v>
      </x:c>
      <x:c r="E1601" s="35" t="str">
        <x:v>Line</x:v>
      </x:c>
      <x:c r="F1601" s="35" t="n">
        <x:v>1549</x:v>
      </x:c>
      <x:c r="G1601" s="35" t="str">
        <x:v>RECORDED</x:v>
      </x:c>
      <x:c r="H1601" s="39" t="n">
        <x:f>IF(ISNUMBER('Data'!E1601),'Data'!E1601*100,"")</x:f>
        <x:v>70.37</x:v>
      </x:c>
      <x:c r="I1601" s="35" t="str">
        <x:v>PASS</x:v>
      </x:c>
      <x:c r="J1601" s="35" t="str">
        <x:v>PASS</x:v>
      </x:c>
      <x:c r="K1601" s="35" t="str">
        <x:v>PASS</x:v>
      </x:c>
      <x:c r="L1601" s="35" t="str">
        <x:v>FAIL</x:v>
      </x:c>
      <x:c r="M1601" s="35" t="str">
        <x:v>numeric coverage for applicable metric</x:v>
      </x:c>
      <x:c r="N1601" s="35" t="str">
        <x:v>Deepseek-flash-v4/Result2/Math_59/result.json</x:v>
      </x:c>
      <x:c r="O1601" s="39" t="n">
        <x:f>IF(AND(G1601="RECORDED",ISNUMBER(H1601)),H1601,"")</x:f>
        <x:v>70.37</x:v>
      </x:c>
      <x:c r="P1601" s="35" t="str">
        <x:v>INCONCLUSIVE</x:v>
      </x:c>
      <x:c r="Q1601" s="35" t="str">
        <x:v>Deepseek-flash-v4/Result2/Math_59/result.json</x:v>
      </x:c>
    </x:row>
    <x:row r="1602">
      <x:c r="A1602" s="35" t="str">
        <x:v>deepseek</x:v>
      </x:c>
      <x:c r="B1602" s="35" t="str">
        <x:v>Math</x:v>
      </x:c>
      <x:c r="C1602" s="35" t="str">
        <x:v>Round2</x:v>
      </x:c>
      <x:c r="D1602" s="35" t="str">
        <x:v>Math_6</x:v>
      </x:c>
      <x:c r="E1602" s="35" t="str">
        <x:v>Line</x:v>
      </x:c>
      <x:c r="F1602" s="35"/>
      <x:c r="G1602" s="35" t="str">
        <x:v>A</x:v>
      </x:c>
      <x:c r="H1602" s="39" t="str">
        <x:f>IF(ISNUMBER('Data'!E1602),'Data'!E1602*100,"")</x:f>
      </x:c>
      <x:c r="I1602" s="35"/>
      <x:c r="J1602" s="35" t="str">
        <x:v>PASS</x:v>
      </x:c>
      <x:c r="K1602" s="35" t="str">
        <x:v>FAIL</x:v>
      </x:c>
      <x:c r="L1602" s="35" t="str">
        <x:v>NOT_RUN</x:v>
      </x:c>
      <x:c r="M1602" s="35" t="str">
        <x:v>coverage unavailable or execution/compile failed</x:v>
      </x:c>
      <x:c r="N1602" s="35" t="str">
        <x:v>Deepseek-flash-v4/Result2/Math_6/result.json</x:v>
      </x:c>
      <x:c r="O1602" s="39" t="str">
        <x:f>IF(AND(G1602="RECORDED",ISNUMBER(H1602)),H1602,"")</x:f>
      </x:c>
      <x:c r="P1602" s="35" t="str">
        <x:v>NOT_AVAILABLE</x:v>
      </x:c>
      <x:c r="Q1602" s="35" t="str">
        <x:v>Deepseek-flash-v4/Result2/Math_6/result.json</x:v>
      </x:c>
    </x:row>
    <x:row r="1603">
      <x:c r="A1603" s="35" t="str">
        <x:v>deepseek</x:v>
      </x:c>
      <x:c r="B1603" s="35" t="str">
        <x:v>Math</x:v>
      </x:c>
      <x:c r="C1603" s="35" t="str">
        <x:v>Round2</x:v>
      </x:c>
      <x:c r="D1603" s="35" t="str">
        <x:v>Math_60</x:v>
      </x:c>
      <x:c r="E1603" s="35" t="str">
        <x:v>Line</x:v>
      </x:c>
      <x:c r="F1603" s="35" t="n">
        <x:v>47</x:v>
      </x:c>
      <x:c r="G1603" s="35" t="str">
        <x:v>RECORDED</x:v>
      </x:c>
      <x:c r="H1603" s="39" t="n">
        <x:f>IF(ISNUMBER('Data'!E1603),'Data'!E1603*100,"")</x:f>
        <x:v>87.23</x:v>
      </x:c>
      <x:c r="I1603" s="35" t="str">
        <x:v>PASS</x:v>
      </x:c>
      <x:c r="J1603" s="35" t="str">
        <x:v>PASS</x:v>
      </x:c>
      <x:c r="K1603" s="35" t="str">
        <x:v>PASS</x:v>
      </x:c>
      <x:c r="L1603" s="35" t="str">
        <x:v>PASS</x:v>
      </x:c>
      <x:c r="M1603" s="35" t="str">
        <x:v>numeric coverage for applicable metric</x:v>
      </x:c>
      <x:c r="N1603" s="35" t="str">
        <x:v>Deepseek-flash-v4/Result2/Math_60/result.json</x:v>
      </x:c>
      <x:c r="O1603" s="39" t="n">
        <x:f>IF(AND(G1603="RECORDED",ISNUMBER(H1603)),H1603,"")</x:f>
        <x:v>87.23</x:v>
      </x:c>
      <x:c r="P1603" s="35" t="str">
        <x:v>NOT_REVEALING</x:v>
      </x:c>
      <x:c r="Q1603" s="35" t="str">
        <x:v>Deepseek-flash-v4/Result2/Math_60/result.json</x:v>
      </x:c>
    </x:row>
    <x:row r="1604">
      <x:c r="A1604" s="35" t="str">
        <x:v>deepseek</x:v>
      </x:c>
      <x:c r="B1604" s="35" t="str">
        <x:v>Math</x:v>
      </x:c>
      <x:c r="C1604" s="35" t="str">
        <x:v>Round2</x:v>
      </x:c>
      <x:c r="D1604" s="35" t="str">
        <x:v>Math_61</x:v>
      </x:c>
      <x:c r="E1604" s="35" t="str">
        <x:v>Line</x:v>
      </x:c>
      <x:c r="F1604" s="35" t="n">
        <x:v>34</x:v>
      </x:c>
      <x:c r="G1604" s="35" t="str">
        <x:v>RECORDED</x:v>
      </x:c>
      <x:c r="H1604" s="39" t="n">
        <x:f>IF(ISNUMBER('Data'!E1604),'Data'!E1604*100,"")</x:f>
        <x:v>82.35</x:v>
      </x:c>
      <x:c r="I1604" s="35" t="str">
        <x:v>PASS</x:v>
      </x:c>
      <x:c r="J1604" s="35" t="str">
        <x:v>PASS</x:v>
      </x:c>
      <x:c r="K1604" s="35" t="str">
        <x:v>PASS</x:v>
      </x:c>
      <x:c r="L1604" s="35" t="str">
        <x:v>PASS</x:v>
      </x:c>
      <x:c r="M1604" s="35" t="str">
        <x:v>numeric coverage for applicable metric</x:v>
      </x:c>
      <x:c r="N1604" s="35" t="str">
        <x:v>Deepseek-flash-v4/Result2/Math_61/result.json</x:v>
      </x:c>
      <x:c r="O1604" s="39" t="n">
        <x:f>IF(AND(G1604="RECORDED",ISNUMBER(H1604)),H1604,"")</x:f>
        <x:v>82.35</x:v>
      </x:c>
      <x:c r="P1604" s="35" t="str">
        <x:v>NOT_REVEALING</x:v>
      </x:c>
      <x:c r="Q1604" s="35" t="str">
        <x:v>Deepseek-flash-v4/Result2/Math_61/result.json</x:v>
      </x:c>
    </x:row>
    <x:row r="1605">
      <x:c r="A1605" s="35" t="str">
        <x:v>deepseek</x:v>
      </x:c>
      <x:c r="B1605" s="35" t="str">
        <x:v>Math</x:v>
      </x:c>
      <x:c r="C1605" s="35" t="str">
        <x:v>Round2</x:v>
      </x:c>
      <x:c r="D1605" s="35" t="str">
        <x:v>Math_62</x:v>
      </x:c>
      <x:c r="E1605" s="35" t="str">
        <x:v>Line</x:v>
      </x:c>
      <x:c r="F1605" s="35" t="n">
        <x:v>47</x:v>
      </x:c>
      <x:c r="G1605" s="35" t="str">
        <x:v>RECORDED</x:v>
      </x:c>
      <x:c r="H1605" s="39" t="n">
        <x:f>IF(ISNUMBER('Data'!E1605),'Data'!E1605*100,"")</x:f>
        <x:v>97.87</x:v>
      </x:c>
      <x:c r="I1605" s="35" t="str">
        <x:v>PASS</x:v>
      </x:c>
      <x:c r="J1605" s="35" t="str">
        <x:v>PASS</x:v>
      </x:c>
      <x:c r="K1605" s="35" t="str">
        <x:v>PASS</x:v>
      </x:c>
      <x:c r="L1605" s="35" t="str">
        <x:v>PASS</x:v>
      </x:c>
      <x:c r="M1605" s="35" t="str">
        <x:v>numeric coverage for applicable metric</x:v>
      </x:c>
      <x:c r="N1605" s="35" t="str">
        <x:v>Deepseek-flash-v4/Result2/Math_62/result.json</x:v>
      </x:c>
      <x:c r="O1605" s="39" t="n">
        <x:f>IF(AND(G1605="RECORDED",ISNUMBER(H1605)),H1605,"")</x:f>
        <x:v>97.87</x:v>
      </x:c>
      <x:c r="P1605" s="35" t="str">
        <x:v>NOT_REVEALING</x:v>
      </x:c>
      <x:c r="Q1605" s="35" t="str">
        <x:v>Deepseek-flash-v4/Result2/Math_62/result.json</x:v>
      </x:c>
    </x:row>
    <x:row r="1606">
      <x:c r="A1606" s="35" t="str">
        <x:v>deepseek</x:v>
      </x:c>
      <x:c r="B1606" s="35" t="str">
        <x:v>Math</x:v>
      </x:c>
      <x:c r="C1606" s="35" t="str">
        <x:v>Round2</x:v>
      </x:c>
      <x:c r="D1606" s="35" t="str">
        <x:v>Math_63</x:v>
      </x:c>
      <x:c r="E1606" s="35" t="str">
        <x:v>Line</x:v>
      </x:c>
      <x:c r="F1606" s="35" t="n">
        <x:v>518</x:v>
      </x:c>
      <x:c r="G1606" s="35" t="str">
        <x:v>RECORDED</x:v>
      </x:c>
      <x:c r="H1606" s="39" t="n">
        <x:f>IF(ISNUMBER('Data'!E1606),'Data'!E1606*100,"")</x:f>
        <x:v>61.39</x:v>
      </x:c>
      <x:c r="I1606" s="35" t="str">
        <x:v>PASS</x:v>
      </x:c>
      <x:c r="J1606" s="35" t="str">
        <x:v>PASS</x:v>
      </x:c>
      <x:c r="K1606" s="35" t="str">
        <x:v>PASS</x:v>
      </x:c>
      <x:c r="L1606" s="35" t="str">
        <x:v>FAIL</x:v>
      </x:c>
      <x:c r="M1606" s="35" t="str">
        <x:v>numeric coverage for applicable metric</x:v>
      </x:c>
      <x:c r="N1606" s="35" t="str">
        <x:v>Deepseek-flash-v4/Result2/Math_63/result.json</x:v>
      </x:c>
      <x:c r="O1606" s="39" t="n">
        <x:f>IF(AND(G1606="RECORDED",ISNUMBER(H1606)),H1606,"")</x:f>
        <x:v>61.39</x:v>
      </x:c>
      <x:c r="P1606" s="35" t="str">
        <x:v>INCONCLUSIVE</x:v>
      </x:c>
      <x:c r="Q1606" s="35" t="str">
        <x:v>Deepseek-flash-v4/Result2/Math_63/result.json</x:v>
      </x:c>
    </x:row>
    <x:row r="1607">
      <x:c r="A1607" s="35" t="str">
        <x:v>deepseek</x:v>
      </x:c>
      <x:c r="B1607" s="35" t="str">
        <x:v>Math</x:v>
      </x:c>
      <x:c r="C1607" s="35" t="str">
        <x:v>Round2</x:v>
      </x:c>
      <x:c r="D1607" s="35" t="str">
        <x:v>Math_64</x:v>
      </x:c>
      <x:c r="E1607" s="35" t="str">
        <x:v>Line</x:v>
      </x:c>
      <x:c r="F1607" s="35" t="n">
        <x:v>342</x:v>
      </x:c>
      <x:c r="G1607" s="35" t="str">
        <x:v>RECORDED</x:v>
      </x:c>
      <x:c r="H1607" s="39" t="n">
        <x:f>IF(ISNUMBER('Data'!E1607),'Data'!E1607*100,"")</x:f>
        <x:v>57.31</x:v>
      </x:c>
      <x:c r="I1607" s="35" t="str">
        <x:v>PASS</x:v>
      </x:c>
      <x:c r="J1607" s="35" t="str">
        <x:v>PASS</x:v>
      </x:c>
      <x:c r="K1607" s="35" t="str">
        <x:v>PASS</x:v>
      </x:c>
      <x:c r="L1607" s="35" t="str">
        <x:v>FAIL</x:v>
      </x:c>
      <x:c r="M1607" s="35" t="str">
        <x:v>numeric coverage for applicable metric</x:v>
      </x:c>
      <x:c r="N1607" s="35" t="str">
        <x:v>Deepseek-flash-v4/Result2/Math_64/result.json</x:v>
      </x:c>
      <x:c r="O1607" s="39" t="n">
        <x:f>IF(AND(G1607="RECORDED",ISNUMBER(H1607)),H1607,"")</x:f>
        <x:v>57.31</x:v>
      </x:c>
      <x:c r="P1607" s="35" t="str">
        <x:v>INCONCLUSIVE</x:v>
      </x:c>
      <x:c r="Q1607" s="35" t="str">
        <x:v>Deepseek-flash-v4/Result2/Math_64/result.json</x:v>
      </x:c>
    </x:row>
    <x:row r="1608">
      <x:c r="A1608" s="35" t="str">
        <x:v>deepseek</x:v>
      </x:c>
      <x:c r="B1608" s="35" t="str">
        <x:v>Math</x:v>
      </x:c>
      <x:c r="C1608" s="35" t="str">
        <x:v>Round2</x:v>
      </x:c>
      <x:c r="D1608" s="35" t="str">
        <x:v>Math_65</x:v>
      </x:c>
      <x:c r="E1608" s="35" t="str">
        <x:v>Line</x:v>
      </x:c>
      <x:c r="F1608" s="35"/>
      <x:c r="G1608" s="35" t="str">
        <x:v>A</x:v>
      </x:c>
      <x:c r="H1608" s="39" t="str">
        <x:f>IF(ISNUMBER('Data'!E1608),'Data'!E1608*100,"")</x:f>
      </x:c>
      <x:c r="I1608" s="35"/>
      <x:c r="J1608" s="35" t="str">
        <x:v>PASS</x:v>
      </x:c>
      <x:c r="K1608" s="35" t="str">
        <x:v>FAIL</x:v>
      </x:c>
      <x:c r="L1608" s="35" t="str">
        <x:v>NOT_RUN</x:v>
      </x:c>
      <x:c r="M1608" s="35" t="str">
        <x:v>coverage unavailable or execution/compile failed</x:v>
      </x:c>
      <x:c r="N1608" s="35" t="str">
        <x:v>Deepseek-flash-v4/Result2/Math_65/result.json</x:v>
      </x:c>
      <x:c r="O1608" s="39" t="str">
        <x:f>IF(AND(G1608="RECORDED",ISNUMBER(H1608)),H1608,"")</x:f>
      </x:c>
      <x:c r="P1608" s="35" t="str">
        <x:v>NOT_AVAILABLE</x:v>
      </x:c>
      <x:c r="Q1608" s="35" t="str">
        <x:v>Deepseek-flash-v4/Result2/Math_65/result.json</x:v>
      </x:c>
    </x:row>
    <x:row r="1609">
      <x:c r="A1609" s="35" t="str">
        <x:v>deepseek</x:v>
      </x:c>
      <x:c r="B1609" s="35" t="str">
        <x:v>Math</x:v>
      </x:c>
      <x:c r="C1609" s="35" t="str">
        <x:v>Round2</x:v>
      </x:c>
      <x:c r="D1609" s="35" t="str">
        <x:v>Math_66</x:v>
      </x:c>
      <x:c r="E1609" s="35" t="str">
        <x:v>Line</x:v>
      </x:c>
      <x:c r="F1609" s="35" t="n">
        <x:v>102</x:v>
      </x:c>
      <x:c r="G1609" s="35" t="str">
        <x:v>RECORDED</x:v>
      </x:c>
      <x:c r="H1609" s="39" t="n">
        <x:f>IF(ISNUMBER('Data'!E1609),'Data'!E1609*100,"")</x:f>
        <x:v>100</x:v>
      </x:c>
      <x:c r="I1609" s="35" t="str">
        <x:v>PASS</x:v>
      </x:c>
      <x:c r="J1609" s="35" t="str">
        <x:v>PASS</x:v>
      </x:c>
      <x:c r="K1609" s="35" t="str">
        <x:v>PASS</x:v>
      </x:c>
      <x:c r="L1609" s="35" t="str">
        <x:v>PASS</x:v>
      </x:c>
      <x:c r="M1609" s="35" t="str">
        <x:v>numeric coverage for applicable metric</x:v>
      </x:c>
      <x:c r="N1609" s="35" t="str">
        <x:v>Deepseek-flash-v4/Result2/Math_66/result.json</x:v>
      </x:c>
      <x:c r="O1609" s="39" t="n">
        <x:f>IF(AND(G1609="RECORDED",ISNUMBER(H1609)),H1609,"")</x:f>
        <x:v>100</x:v>
      </x:c>
      <x:c r="P1609" s="35" t="str">
        <x:v>INCONCLUSIVE</x:v>
      </x:c>
      <x:c r="Q1609" s="35" t="str">
        <x:v>Deepseek-flash-v4/Result2/Math_66/result.json</x:v>
      </x:c>
    </x:row>
    <x:row r="1610">
      <x:c r="A1610" s="35" t="str">
        <x:v>deepseek</x:v>
      </x:c>
      <x:c r="B1610" s="35" t="str">
        <x:v>Math</x:v>
      </x:c>
      <x:c r="C1610" s="35" t="str">
        <x:v>Round2</x:v>
      </x:c>
      <x:c r="D1610" s="35" t="str">
        <x:v>Math_67</x:v>
      </x:c>
      <x:c r="E1610" s="35" t="str">
        <x:v>Line</x:v>
      </x:c>
      <x:c r="F1610" s="35" t="n">
        <x:v>93</x:v>
      </x:c>
      <x:c r="G1610" s="35" t="str">
        <x:v>RECORDED</x:v>
      </x:c>
      <x:c r="H1610" s="39" t="n">
        <x:f>IF(ISNUMBER('Data'!E1610),'Data'!E1610*100,"")</x:f>
        <x:v>81.72</x:v>
      </x:c>
      <x:c r="I1610" s="35" t="str">
        <x:v>PASS</x:v>
      </x:c>
      <x:c r="J1610" s="35" t="str">
        <x:v>PASS</x:v>
      </x:c>
      <x:c r="K1610" s="35" t="str">
        <x:v>PASS</x:v>
      </x:c>
      <x:c r="L1610" s="35" t="str">
        <x:v>FAIL</x:v>
      </x:c>
      <x:c r="M1610" s="35" t="str">
        <x:v>numeric coverage for applicable metric</x:v>
      </x:c>
      <x:c r="N1610" s="35" t="str">
        <x:v>Deepseek-flash-v4/Result2/Math_67/result.json</x:v>
      </x:c>
      <x:c r="O1610" s="39" t="n">
        <x:f>IF(AND(G1610="RECORDED",ISNUMBER(H1610)),H1610,"")</x:f>
        <x:v>81.72</x:v>
      </x:c>
      <x:c r="P1610" s="35" t="str">
        <x:v>INCONCLUSIVE</x:v>
      </x:c>
      <x:c r="Q1610" s="35" t="str">
        <x:v>Deepseek-flash-v4/Result2/Math_67/result.json</x:v>
      </x:c>
    </x:row>
    <x:row r="1611">
      <x:c r="A1611" s="35" t="str">
        <x:v>deepseek</x:v>
      </x:c>
      <x:c r="B1611" s="35" t="str">
        <x:v>Math</x:v>
      </x:c>
      <x:c r="C1611" s="35" t="str">
        <x:v>Round2</x:v>
      </x:c>
      <x:c r="D1611" s="35" t="str">
        <x:v>Math_68</x:v>
      </x:c>
      <x:c r="E1611" s="35" t="str">
        <x:v>Line</x:v>
      </x:c>
      <x:c r="F1611" s="35" t="n">
        <x:v>332</x:v>
      </x:c>
      <x:c r="G1611" s="35" t="str">
        <x:v>RECORDED</x:v>
      </x:c>
      <x:c r="H1611" s="39" t="n">
        <x:f>IF(ISNUMBER('Data'!E1611),'Data'!E1611*100,"")</x:f>
        <x:v>56.330000000000005</x:v>
      </x:c>
      <x:c r="I1611" s="35" t="str">
        <x:v>PASS</x:v>
      </x:c>
      <x:c r="J1611" s="35" t="str">
        <x:v>PASS</x:v>
      </x:c>
      <x:c r="K1611" s="35" t="str">
        <x:v>PASS</x:v>
      </x:c>
      <x:c r="L1611" s="35" t="str">
        <x:v>PASS</x:v>
      </x:c>
      <x:c r="M1611" s="35" t="str">
        <x:v>numeric coverage for applicable metric</x:v>
      </x:c>
      <x:c r="N1611" s="35" t="str">
        <x:v>Deepseek-flash-v4/Result2/Math_68/result.json</x:v>
      </x:c>
      <x:c r="O1611" s="39" t="n">
        <x:f>IF(AND(G1611="RECORDED",ISNUMBER(H1611)),H1611,"")</x:f>
        <x:v>56.330000000000005</x:v>
      </x:c>
      <x:c r="P1611" s="35" t="str">
        <x:v>NOT_REVEALING</x:v>
      </x:c>
      <x:c r="Q1611" s="35" t="str">
        <x:v>Deepseek-flash-v4/Result2/Math_68/result.json</x:v>
      </x:c>
    </x:row>
    <x:row r="1612">
      <x:c r="A1612" s="35" t="str">
        <x:v>deepseek</x:v>
      </x:c>
      <x:c r="B1612" s="35" t="str">
        <x:v>Math</x:v>
      </x:c>
      <x:c r="C1612" s="35" t="str">
        <x:v>Round2</x:v>
      </x:c>
      <x:c r="D1612" s="35" t="str">
        <x:v>Math_69</x:v>
      </x:c>
      <x:c r="E1612" s="35" t="str">
        <x:v>Line</x:v>
      </x:c>
      <x:c r="F1612" s="35" t="n">
        <x:v>75</x:v>
      </x:c>
      <x:c r="G1612" s="35" t="str">
        <x:v>RECORDED</x:v>
      </x:c>
      <x:c r="H1612" s="39" t="n">
        <x:f>IF(ISNUMBER('Data'!E1612),'Data'!E1612*100,"")</x:f>
        <x:v>92</x:v>
      </x:c>
      <x:c r="I1612" s="35" t="str">
        <x:v>PASS</x:v>
      </x:c>
      <x:c r="J1612" s="35" t="str">
        <x:v>PASS</x:v>
      </x:c>
      <x:c r="K1612" s="35" t="str">
        <x:v>PASS</x:v>
      </x:c>
      <x:c r="L1612" s="35" t="str">
        <x:v>PASS</x:v>
      </x:c>
      <x:c r="M1612" s="35" t="str">
        <x:v>numeric coverage for applicable metric</x:v>
      </x:c>
      <x:c r="N1612" s="35" t="str">
        <x:v>Deepseek-flash-v4/Result2/Math_69/result.json</x:v>
      </x:c>
      <x:c r="O1612" s="39" t="n">
        <x:f>IF(AND(G1612="RECORDED",ISNUMBER(H1612)),H1612,"")</x:f>
        <x:v>92</x:v>
      </x:c>
      <x:c r="P1612" s="35" t="str">
        <x:v>NOT_REVEALING</x:v>
      </x:c>
      <x:c r="Q1612" s="35" t="str">
        <x:v>Deepseek-flash-v4/Result2/Math_69/result.json</x:v>
      </x:c>
    </x:row>
    <x:row r="1613">
      <x:c r="A1613" s="35" t="str">
        <x:v>deepseek</x:v>
      </x:c>
      <x:c r="B1613" s="35" t="str">
        <x:v>Math</x:v>
      </x:c>
      <x:c r="C1613" s="35" t="str">
        <x:v>Round2</x:v>
      </x:c>
      <x:c r="D1613" s="35" t="str">
        <x:v>Math_7</x:v>
      </x:c>
      <x:c r="E1613" s="35" t="str">
        <x:v>Line</x:v>
      </x:c>
      <x:c r="F1613" s="35" t="n">
        <x:v>130</x:v>
      </x:c>
      <x:c r="G1613" s="35" t="str">
        <x:v>RECORDED</x:v>
      </x:c>
      <x:c r="H1613" s="39" t="n">
        <x:f>IF(ISNUMBER('Data'!E1613),'Data'!E1613*100,"")</x:f>
        <x:v>53.07999999999999</x:v>
      </x:c>
      <x:c r="I1613" s="35" t="str">
        <x:v>PASS</x:v>
      </x:c>
      <x:c r="J1613" s="35" t="str">
        <x:v>PASS</x:v>
      </x:c>
      <x:c r="K1613" s="35" t="str">
        <x:v>PASS</x:v>
      </x:c>
      <x:c r="L1613" s="35" t="str">
        <x:v>PASS</x:v>
      </x:c>
      <x:c r="M1613" s="35" t="str">
        <x:v>numeric coverage for applicable metric</x:v>
      </x:c>
      <x:c r="N1613" s="35" t="str">
        <x:v>Deepseek-flash-v4/Result2/Math_7/result.json</x:v>
      </x:c>
      <x:c r="O1613" s="39" t="n">
        <x:f>IF(AND(G1613="RECORDED",ISNUMBER(H1613)),H1613,"")</x:f>
        <x:v>53.07999999999999</x:v>
      </x:c>
      <x:c r="P1613" s="35" t="str">
        <x:v>NOT_REVEALING</x:v>
      </x:c>
      <x:c r="Q1613" s="35" t="str">
        <x:v>Deepseek-flash-v4/Result2/Math_7/result.json</x:v>
      </x:c>
    </x:row>
    <x:row r="1614">
      <x:c r="A1614" s="35" t="str">
        <x:v>deepseek</x:v>
      </x:c>
      <x:c r="B1614" s="35" t="str">
        <x:v>Math</x:v>
      </x:c>
      <x:c r="C1614" s="35" t="str">
        <x:v>Round2</x:v>
      </x:c>
      <x:c r="D1614" s="35" t="str">
        <x:v>Math_70</x:v>
      </x:c>
      <x:c r="E1614" s="35" t="str">
        <x:v>Line</x:v>
      </x:c>
      <x:c r="F1614" s="35" t="n">
        <x:v>23</x:v>
      </x:c>
      <x:c r="G1614" s="35" t="str">
        <x:v>RECORDED</x:v>
      </x:c>
      <x:c r="H1614" s="39" t="n">
        <x:f>IF(ISNUMBER('Data'!E1614),'Data'!E1614*100,"")</x:f>
        <x:v>78.26</x:v>
      </x:c>
      <x:c r="I1614" s="35" t="str">
        <x:v>PASS</x:v>
      </x:c>
      <x:c r="J1614" s="35" t="str">
        <x:v>PASS</x:v>
      </x:c>
      <x:c r="K1614" s="35" t="str">
        <x:v>PASS</x:v>
      </x:c>
      <x:c r="L1614" s="35" t="str">
        <x:v>FAIL</x:v>
      </x:c>
      <x:c r="M1614" s="35" t="str">
        <x:v>numeric coverage for applicable metric</x:v>
      </x:c>
      <x:c r="N1614" s="35" t="str">
        <x:v>Deepseek-flash-v4/Result2/Math_70/result.json</x:v>
      </x:c>
      <x:c r="O1614" s="39" t="n">
        <x:f>IF(AND(G1614="RECORDED",ISNUMBER(H1614)),H1614,"")</x:f>
        <x:v>78.26</x:v>
      </x:c>
      <x:c r="P1614" s="35" t="str">
        <x:v>INCONCLUSIVE</x:v>
      </x:c>
      <x:c r="Q1614" s="35" t="str">
        <x:v>Deepseek-flash-v4/Result2/Math_70/result.json</x:v>
      </x:c>
    </x:row>
    <x:row r="1615">
      <x:c r="A1615" s="35" t="str">
        <x:v>deepseek</x:v>
      </x:c>
      <x:c r="B1615" s="35" t="str">
        <x:v>Math</x:v>
      </x:c>
      <x:c r="C1615" s="35" t="str">
        <x:v>Round2</x:v>
      </x:c>
      <x:c r="D1615" s="35" t="str">
        <x:v>Math_71</x:v>
      </x:c>
      <x:c r="E1615" s="35" t="str">
        <x:v>Line</x:v>
      </x:c>
      <x:c r="F1615" s="35" t="n">
        <x:v>197</x:v>
      </x:c>
      <x:c r="G1615" s="35" t="str">
        <x:v>RECORDED</x:v>
      </x:c>
      <x:c r="H1615" s="39" t="n">
        <x:f>IF(ISNUMBER('Data'!E1615),'Data'!E1615*100,"")</x:f>
        <x:v>90.36</x:v>
      </x:c>
      <x:c r="I1615" s="35" t="str">
        <x:v>PASS</x:v>
      </x:c>
      <x:c r="J1615" s="35" t="str">
        <x:v>PASS</x:v>
      </x:c>
      <x:c r="K1615" s="35" t="str">
        <x:v>PASS</x:v>
      </x:c>
      <x:c r="L1615" s="35" t="str">
        <x:v>PASS</x:v>
      </x:c>
      <x:c r="M1615" s="35" t="str">
        <x:v>numeric coverage for applicable metric</x:v>
      </x:c>
      <x:c r="N1615" s="35" t="str">
        <x:v>Deepseek-flash-v4/Result2/Math_71/result.json</x:v>
      </x:c>
      <x:c r="O1615" s="39" t="n">
        <x:f>IF(AND(G1615="RECORDED",ISNUMBER(H1615)),H1615,"")</x:f>
        <x:v>90.36</x:v>
      </x:c>
      <x:c r="P1615" s="35" t="str">
        <x:v>INCONCLUSIVE</x:v>
      </x:c>
      <x:c r="Q1615" s="35" t="str">
        <x:v>Deepseek-flash-v4/Result2/Math_71/result.json</x:v>
      </x:c>
    </x:row>
    <x:row r="1616">
      <x:c r="A1616" s="35" t="str">
        <x:v>deepseek</x:v>
      </x:c>
      <x:c r="B1616" s="35" t="str">
        <x:v>Math</x:v>
      </x:c>
      <x:c r="C1616" s="35" t="str">
        <x:v>Round2</x:v>
      </x:c>
      <x:c r="D1616" s="35" t="str">
        <x:v>Math_72</x:v>
      </x:c>
      <x:c r="E1616" s="35" t="str">
        <x:v>Line</x:v>
      </x:c>
      <x:c r="F1616" s="35" t="n">
        <x:v>107</x:v>
      </x:c>
      <x:c r="G1616" s="35" t="str">
        <x:v>RECORDED</x:v>
      </x:c>
      <x:c r="H1616" s="39" t="n">
        <x:f>IF(ISNUMBER('Data'!E1616),'Data'!E1616*100,"")</x:f>
        <x:v>85.98</x:v>
      </x:c>
      <x:c r="I1616" s="35" t="str">
        <x:v>PASS</x:v>
      </x:c>
      <x:c r="J1616" s="35" t="str">
        <x:v>PASS</x:v>
      </x:c>
      <x:c r="K1616" s="35" t="str">
        <x:v>PASS</x:v>
      </x:c>
      <x:c r="L1616" s="35" t="str">
        <x:v>FAIL</x:v>
      </x:c>
      <x:c r="M1616" s="35" t="str">
        <x:v>numeric coverage for applicable metric</x:v>
      </x:c>
      <x:c r="N1616" s="35" t="str">
        <x:v>Deepseek-flash-v4/Result2/Math_72/result.json</x:v>
      </x:c>
      <x:c r="O1616" s="39" t="n">
        <x:f>IF(AND(G1616="RECORDED",ISNUMBER(H1616)),H1616,"")</x:f>
        <x:v>85.98</x:v>
      </x:c>
      <x:c r="P1616" s="35" t="str">
        <x:v>INCONCLUSIVE</x:v>
      </x:c>
      <x:c r="Q1616" s="35" t="str">
        <x:v>Deepseek-flash-v4/Result2/Math_72/result.json</x:v>
      </x:c>
    </x:row>
    <x:row r="1617">
      <x:c r="A1617" s="35" t="str">
        <x:v>deepseek</x:v>
      </x:c>
      <x:c r="B1617" s="35" t="str">
        <x:v>Math</x:v>
      </x:c>
      <x:c r="C1617" s="35" t="str">
        <x:v>Round2</x:v>
      </x:c>
      <x:c r="D1617" s="35" t="str">
        <x:v>Math_73</x:v>
      </x:c>
      <x:c r="E1617" s="35" t="str">
        <x:v>Line</x:v>
      </x:c>
      <x:c r="F1617" s="35" t="n">
        <x:v>104</x:v>
      </x:c>
      <x:c r="G1617" s="35" t="str">
        <x:v>RECORDED</x:v>
      </x:c>
      <x:c r="H1617" s="39" t="n">
        <x:f>IF(ISNUMBER('Data'!E1617),'Data'!E1617*100,"")</x:f>
        <x:v>84.62</x:v>
      </x:c>
      <x:c r="I1617" s="35" t="str">
        <x:v>PASS</x:v>
      </x:c>
      <x:c r="J1617" s="35" t="str">
        <x:v>PASS</x:v>
      </x:c>
      <x:c r="K1617" s="35" t="str">
        <x:v>PASS</x:v>
      </x:c>
      <x:c r="L1617" s="35" t="str">
        <x:v>PASS</x:v>
      </x:c>
      <x:c r="M1617" s="35" t="str">
        <x:v>numeric coverage for applicable metric</x:v>
      </x:c>
      <x:c r="N1617" s="35" t="str">
        <x:v>Deepseek-flash-v4/Result2/Math_73/result.json</x:v>
      </x:c>
      <x:c r="O1617" s="39" t="n">
        <x:f>IF(AND(G1617="RECORDED",ISNUMBER(H1617)),H1617,"")</x:f>
        <x:v>84.62</x:v>
      </x:c>
      <x:c r="P1617" s="35" t="str">
        <x:v>NOT_REVEALING</x:v>
      </x:c>
      <x:c r="Q1617" s="35" t="str">
        <x:v>Deepseek-flash-v4/Result2/Math_73/result.json</x:v>
      </x:c>
    </x:row>
    <x:row r="1618">
      <x:c r="A1618" s="35" t="str">
        <x:v>deepseek</x:v>
      </x:c>
      <x:c r="B1618" s="35" t="str">
        <x:v>Math</x:v>
      </x:c>
      <x:c r="C1618" s="35" t="str">
        <x:v>Round2</x:v>
      </x:c>
      <x:c r="D1618" s="35" t="str">
        <x:v>Math_74</x:v>
      </x:c>
      <x:c r="E1618" s="35" t="str">
        <x:v>Line</x:v>
      </x:c>
      <x:c r="F1618" s="35" t="n">
        <x:v>122</x:v>
      </x:c>
      <x:c r="G1618" s="35" t="str">
        <x:v>RECORDED</x:v>
      </x:c>
      <x:c r="H1618" s="39" t="n">
        <x:f>IF(ISNUMBER('Data'!E1618),'Data'!E1618*100,"")</x:f>
        <x:v>91.8</x:v>
      </x:c>
      <x:c r="I1618" s="35" t="str">
        <x:v>PASS</x:v>
      </x:c>
      <x:c r="J1618" s="35" t="str">
        <x:v>PASS</x:v>
      </x:c>
      <x:c r="K1618" s="35" t="str">
        <x:v>PASS</x:v>
      </x:c>
      <x:c r="L1618" s="35" t="str">
        <x:v>PASS</x:v>
      </x:c>
      <x:c r="M1618" s="35" t="str">
        <x:v>numeric coverage for applicable metric</x:v>
      </x:c>
      <x:c r="N1618" s="35" t="str">
        <x:v>Deepseek-flash-v4/Result2/Math_74/result.json</x:v>
      </x:c>
      <x:c r="O1618" s="39" t="n">
        <x:f>IF(AND(G1618="RECORDED",ISNUMBER(H1618)),H1618,"")</x:f>
        <x:v>91.8</x:v>
      </x:c>
      <x:c r="P1618" s="35" t="str">
        <x:v>NOT_REVEALING</x:v>
      </x:c>
      <x:c r="Q1618" s="35" t="str">
        <x:v>Deepseek-flash-v4/Result2/Math_74/result.json</x:v>
      </x:c>
    </x:row>
    <x:row r="1619">
      <x:c r="A1619" s="35" t="str">
        <x:v>deepseek</x:v>
      </x:c>
      <x:c r="B1619" s="35" t="str">
        <x:v>Math</x:v>
      </x:c>
      <x:c r="C1619" s="35" t="str">
        <x:v>Round2</x:v>
      </x:c>
      <x:c r="D1619" s="35" t="str">
        <x:v>Math_75</x:v>
      </x:c>
      <x:c r="E1619" s="35" t="str">
        <x:v>Line</x:v>
      </x:c>
      <x:c r="F1619" s="35" t="n">
        <x:v>134</x:v>
      </x:c>
      <x:c r="G1619" s="35" t="str">
        <x:v>RECORDED</x:v>
      </x:c>
      <x:c r="H1619" s="39" t="n">
        <x:f>IF(ISNUMBER('Data'!E1619),'Data'!E1619*100,"")</x:f>
        <x:v>85.07</x:v>
      </x:c>
      <x:c r="I1619" s="35" t="str">
        <x:v>PASS</x:v>
      </x:c>
      <x:c r="J1619" s="35" t="str">
        <x:v>PASS</x:v>
      </x:c>
      <x:c r="K1619" s="35" t="str">
        <x:v>PASS</x:v>
      </x:c>
      <x:c r="L1619" s="35" t="str">
        <x:v>FAIL</x:v>
      </x:c>
      <x:c r="M1619" s="35" t="str">
        <x:v>numeric coverage for applicable metric</x:v>
      </x:c>
      <x:c r="N1619" s="35" t="str">
        <x:v>Deepseek-flash-v4/Result2/Math_75/result.json</x:v>
      </x:c>
      <x:c r="O1619" s="39" t="n">
        <x:f>IF(AND(G1619="RECORDED",ISNUMBER(H1619)),H1619,"")</x:f>
        <x:v>85.07</x:v>
      </x:c>
      <x:c r="P1619" s="35" t="str">
        <x:v>INCONCLUSIVE</x:v>
      </x:c>
      <x:c r="Q1619" s="35" t="str">
        <x:v>Deepseek-flash-v4/Result2/Math_75/result.json</x:v>
      </x:c>
    </x:row>
    <x:row r="1620">
      <x:c r="A1620" s="35" t="str">
        <x:v>deepseek</x:v>
      </x:c>
      <x:c r="B1620" s="35" t="str">
        <x:v>Math</x:v>
      </x:c>
      <x:c r="C1620" s="35" t="str">
        <x:v>Round2</x:v>
      </x:c>
      <x:c r="D1620" s="35" t="str">
        <x:v>Math_76</x:v>
      </x:c>
      <x:c r="E1620" s="35" t="str">
        <x:v>Line</x:v>
      </x:c>
      <x:c r="F1620" s="35" t="n">
        <x:v>134</x:v>
      </x:c>
      <x:c r="G1620" s="35" t="str">
        <x:v>RECORDED</x:v>
      </x:c>
      <x:c r="H1620" s="39" t="n">
        <x:f>IF(ISNUMBER('Data'!E1620),'Data'!E1620*100,"")</x:f>
        <x:v>79.85</x:v>
      </x:c>
      <x:c r="I1620" s="35" t="str">
        <x:v>PASS</x:v>
      </x:c>
      <x:c r="J1620" s="35" t="str">
        <x:v>PASS</x:v>
      </x:c>
      <x:c r="K1620" s="35" t="str">
        <x:v>PASS</x:v>
      </x:c>
      <x:c r="L1620" s="35" t="str">
        <x:v>FAIL</x:v>
      </x:c>
      <x:c r="M1620" s="35" t="str">
        <x:v>numeric coverage for applicable metric</x:v>
      </x:c>
      <x:c r="N1620" s="35" t="str">
        <x:v>Deepseek-flash-v4/Result2/Math_76/result.json</x:v>
      </x:c>
      <x:c r="O1620" s="39" t="n">
        <x:f>IF(AND(G1620="RECORDED",ISNUMBER(H1620)),H1620,"")</x:f>
        <x:v>79.85</x:v>
      </x:c>
      <x:c r="P1620" s="35" t="str">
        <x:v>INCONCLUSIVE</x:v>
      </x:c>
      <x:c r="Q1620" s="35" t="str">
        <x:v>Deepseek-flash-v4/Result2/Math_76/result.json</x:v>
      </x:c>
    </x:row>
    <x:row r="1621">
      <x:c r="A1621" s="35" t="str">
        <x:v>deepseek</x:v>
      </x:c>
      <x:c r="B1621" s="35" t="str">
        <x:v>Math</x:v>
      </x:c>
      <x:c r="C1621" s="35" t="str">
        <x:v>Round2</x:v>
      </x:c>
      <x:c r="D1621" s="35" t="str">
        <x:v>Math_77</x:v>
      </x:c>
      <x:c r="E1621" s="35" t="str">
        <x:v>Line</x:v>
      </x:c>
      <x:c r="F1621" s="35" t="n">
        <x:v>799</x:v>
      </x:c>
      <x:c r="G1621" s="35" t="str">
        <x:v>RECORDED</x:v>
      </x:c>
      <x:c r="H1621" s="39" t="n">
        <x:f>IF(ISNUMBER('Data'!E1621),'Data'!E1621*100,"")</x:f>
        <x:v>73.09</x:v>
      </x:c>
      <x:c r="I1621" s="35" t="str">
        <x:v>PASS</x:v>
      </x:c>
      <x:c r="J1621" s="35" t="str">
        <x:v>PASS</x:v>
      </x:c>
      <x:c r="K1621" s="35" t="str">
        <x:v>PASS</x:v>
      </x:c>
      <x:c r="L1621" s="35" t="str">
        <x:v>FAIL</x:v>
      </x:c>
      <x:c r="M1621" s="35" t="str">
        <x:v>numeric coverage for applicable metric</x:v>
      </x:c>
      <x:c r="N1621" s="35" t="str">
        <x:v>Deepseek-flash-v4/Result2/Math_77/result.json</x:v>
      </x:c>
      <x:c r="O1621" s="39" t="n">
        <x:f>IF(AND(G1621="RECORDED",ISNUMBER(H1621)),H1621,"")</x:f>
        <x:v>73.09</x:v>
      </x:c>
      <x:c r="P1621" s="35" t="str">
        <x:v>REVEALING</x:v>
      </x:c>
      <x:c r="Q1621" s="35" t="str">
        <x:v>Deepseek-flash-v4/Result2/Math_77/result.json</x:v>
      </x:c>
    </x:row>
    <x:row r="1622">
      <x:c r="A1622" s="35" t="str">
        <x:v>deepseek</x:v>
      </x:c>
      <x:c r="B1622" s="35" t="str">
        <x:v>Math</x:v>
      </x:c>
      <x:c r="C1622" s="35" t="str">
        <x:v>Round2</x:v>
      </x:c>
      <x:c r="D1622" s="35" t="str">
        <x:v>Math_78</x:v>
      </x:c>
      <x:c r="E1622" s="35" t="str">
        <x:v>Line</x:v>
      </x:c>
      <x:c r="F1622" s="35"/>
      <x:c r="G1622" s="35" t="str">
        <x:v>A</x:v>
      </x:c>
      <x:c r="H1622" s="39" t="str">
        <x:f>IF(ISNUMBER('Data'!E1622),'Data'!E1622*100,"")</x:f>
      </x:c>
      <x:c r="I1622" s="35"/>
      <x:c r="J1622" s="35" t="str">
        <x:v>PASS</x:v>
      </x:c>
      <x:c r="K1622" s="35" t="str">
        <x:v>FAIL</x:v>
      </x:c>
      <x:c r="L1622" s="35" t="str">
        <x:v>NOT_RUN</x:v>
      </x:c>
      <x:c r="M1622" s="35" t="str">
        <x:v>coverage unavailable or execution/compile failed</x:v>
      </x:c>
      <x:c r="N1622" s="35" t="str">
        <x:v>Deepseek-flash-v4/Result2/Math_78/result.json</x:v>
      </x:c>
      <x:c r="O1622" s="39" t="str">
        <x:f>IF(AND(G1622="RECORDED",ISNUMBER(H1622)),H1622,"")</x:f>
      </x:c>
      <x:c r="P1622" s="35" t="str">
        <x:v>NOT_AVAILABLE</x:v>
      </x:c>
      <x:c r="Q1622" s="35" t="str">
        <x:v>Deepseek-flash-v4/Result2/Math_78/result.json</x:v>
      </x:c>
    </x:row>
    <x:row r="1623">
      <x:c r="A1623" s="35" t="str">
        <x:v>deepseek</x:v>
      </x:c>
      <x:c r="B1623" s="35" t="str">
        <x:v>Math</x:v>
      </x:c>
      <x:c r="C1623" s="35" t="str">
        <x:v>Round2</x:v>
      </x:c>
      <x:c r="D1623" s="35" t="str">
        <x:v>Math_79</x:v>
      </x:c>
      <x:c r="E1623" s="35" t="str">
        <x:v>Line</x:v>
      </x:c>
      <x:c r="F1623" s="35" t="n">
        <x:v>420</x:v>
      </x:c>
      <x:c r="G1623" s="35" t="str">
        <x:v>RECORDED</x:v>
      </x:c>
      <x:c r="H1623" s="39" t="n">
        <x:f>IF(ISNUMBER('Data'!E1623),'Data'!E1623*100,"")</x:f>
        <x:v>63.33</x:v>
      </x:c>
      <x:c r="I1623" s="35" t="str">
        <x:v>PASS</x:v>
      </x:c>
      <x:c r="J1623" s="35" t="str">
        <x:v>PASS</x:v>
      </x:c>
      <x:c r="K1623" s="35" t="str">
        <x:v>PASS</x:v>
      </x:c>
      <x:c r="L1623" s="35" t="str">
        <x:v>FAIL</x:v>
      </x:c>
      <x:c r="M1623" s="35" t="str">
        <x:v>numeric coverage for applicable metric</x:v>
      </x:c>
      <x:c r="N1623" s="35" t="str">
        <x:v>Deepseek-flash-v4/Result2/Math_79/result.json</x:v>
      </x:c>
      <x:c r="O1623" s="39" t="n">
        <x:f>IF(AND(G1623="RECORDED",ISNUMBER(H1623)),H1623,"")</x:f>
        <x:v>63.33</x:v>
      </x:c>
      <x:c r="P1623" s="35" t="str">
        <x:v>INCONCLUSIVE</x:v>
      </x:c>
      <x:c r="Q1623" s="35" t="str">
        <x:v>Deepseek-flash-v4/Result2/Math_79/result.json</x:v>
      </x:c>
    </x:row>
    <x:row r="1624">
      <x:c r="A1624" s="35" t="str">
        <x:v>deepseek</x:v>
      </x:c>
      <x:c r="B1624" s="35" t="str">
        <x:v>Math</x:v>
      </x:c>
      <x:c r="C1624" s="35" t="str">
        <x:v>Round2</x:v>
      </x:c>
      <x:c r="D1624" s="35" t="str">
        <x:v>Math_8</x:v>
      </x:c>
      <x:c r="E1624" s="35" t="str">
        <x:v>Line</x:v>
      </x:c>
      <x:c r="F1624" s="35" t="n">
        <x:v>40</x:v>
      </x:c>
      <x:c r="G1624" s="35" t="str">
        <x:v>RECORDED</x:v>
      </x:c>
      <x:c r="H1624" s="39" t="n">
        <x:f>IF(ISNUMBER('Data'!E1624),'Data'!E1624*100,"")</x:f>
        <x:v>100</x:v>
      </x:c>
      <x:c r="I1624" s="35" t="str">
        <x:v>PASS</x:v>
      </x:c>
      <x:c r="J1624" s="35" t="str">
        <x:v>PASS</x:v>
      </x:c>
      <x:c r="K1624" s="35" t="str">
        <x:v>PASS</x:v>
      </x:c>
      <x:c r="L1624" s="35" t="str">
        <x:v>PASS</x:v>
      </x:c>
      <x:c r="M1624" s="35" t="str">
        <x:v>numeric coverage for applicable metric</x:v>
      </x:c>
      <x:c r="N1624" s="35" t="str">
        <x:v>Deepseek-flash-v4/Result2/Math_8/result.json</x:v>
      </x:c>
      <x:c r="O1624" s="39" t="n">
        <x:f>IF(AND(G1624="RECORDED",ISNUMBER(H1624)),H1624,"")</x:f>
        <x:v>100</x:v>
      </x:c>
      <x:c r="P1624" s="35" t="str">
        <x:v>NOT_AVAILABLE</x:v>
      </x:c>
      <x:c r="Q1624" s="35" t="str">
        <x:v>Deepseek-flash-v4/Result2/Math_8/result.json</x:v>
      </x:c>
    </x:row>
    <x:row r="1625">
      <x:c r="A1625" s="35" t="str">
        <x:v>deepseek</x:v>
      </x:c>
      <x:c r="B1625" s="35" t="str">
        <x:v>Math</x:v>
      </x:c>
      <x:c r="C1625" s="35" t="str">
        <x:v>Round2</x:v>
      </x:c>
      <x:c r="D1625" s="35" t="str">
        <x:v>Math_80</x:v>
      </x:c>
      <x:c r="E1625" s="35" t="str">
        <x:v>Line</x:v>
      </x:c>
      <x:c r="F1625" s="35" t="n">
        <x:v>854</x:v>
      </x:c>
      <x:c r="G1625" s="35" t="str">
        <x:v>RECORDED</x:v>
      </x:c>
      <x:c r="H1625" s="39" t="n">
        <x:f>IF(ISNUMBER('Data'!E1625),'Data'!E1625*100,"")</x:f>
        <x:v>33.02</x:v>
      </x:c>
      <x:c r="I1625" s="35" t="str">
        <x:v>PASS</x:v>
      </x:c>
      <x:c r="J1625" s="35" t="str">
        <x:v>PASS</x:v>
      </x:c>
      <x:c r="K1625" s="35" t="str">
        <x:v>PASS</x:v>
      </x:c>
      <x:c r="L1625" s="35" t="str">
        <x:v>FAIL</x:v>
      </x:c>
      <x:c r="M1625" s="35" t="str">
        <x:v>numeric coverage for applicable metric</x:v>
      </x:c>
      <x:c r="N1625" s="35" t="str">
        <x:v>Deepseek-flash-v4/Result2/Math_80/result.json</x:v>
      </x:c>
      <x:c r="O1625" s="39" t="n">
        <x:f>IF(AND(G1625="RECORDED",ISNUMBER(H1625)),H1625,"")</x:f>
        <x:v>33.02</x:v>
      </x:c>
      <x:c r="P1625" s="35" t="str">
        <x:v>INCONCLUSIVE</x:v>
      </x:c>
      <x:c r="Q1625" s="35" t="str">
        <x:v>Deepseek-flash-v4/Result2/Math_80/result.json</x:v>
      </x:c>
    </x:row>
    <x:row r="1626">
      <x:c r="A1626" s="35" t="str">
        <x:v>deepseek</x:v>
      </x:c>
      <x:c r="B1626" s="35" t="str">
        <x:v>Math</x:v>
      </x:c>
      <x:c r="C1626" s="35" t="str">
        <x:v>Round2</x:v>
      </x:c>
      <x:c r="D1626" s="35" t="str">
        <x:v>Math_81</x:v>
      </x:c>
      <x:c r="E1626" s="35" t="str">
        <x:v>Line</x:v>
      </x:c>
      <x:c r="F1626" s="35" t="n">
        <x:v>853</x:v>
      </x:c>
      <x:c r="G1626" s="35" t="str">
        <x:v>RECORDED</x:v>
      </x:c>
      <x:c r="H1626" s="39" t="n">
        <x:f>IF(ISNUMBER('Data'!E1626),'Data'!E1626*100,"")</x:f>
        <x:v>33.53</x:v>
      </x:c>
      <x:c r="I1626" s="35" t="str">
        <x:v>PASS</x:v>
      </x:c>
      <x:c r="J1626" s="35" t="str">
        <x:v>PASS</x:v>
      </x:c>
      <x:c r="K1626" s="35" t="str">
        <x:v>PASS</x:v>
      </x:c>
      <x:c r="L1626" s="35" t="str">
        <x:v>PASS</x:v>
      </x:c>
      <x:c r="M1626" s="35" t="str">
        <x:v>numeric coverage for applicable metric</x:v>
      </x:c>
      <x:c r="N1626" s="35" t="str">
        <x:v>Deepseek-flash-v4/Result2/Math_81/result.json</x:v>
      </x:c>
      <x:c r="O1626" s="39" t="n">
        <x:f>IF(AND(G1626="RECORDED",ISNUMBER(H1626)),H1626,"")</x:f>
        <x:v>33.53</x:v>
      </x:c>
      <x:c r="P1626" s="35" t="str">
        <x:v>NOT_REVEALING</x:v>
      </x:c>
      <x:c r="Q1626" s="35" t="str">
        <x:v>Deepseek-flash-v4/Result2/Math_81/result.json</x:v>
      </x:c>
    </x:row>
    <x:row r="1627">
      <x:c r="A1627" s="35" t="str">
        <x:v>deepseek</x:v>
      </x:c>
      <x:c r="B1627" s="35" t="str">
        <x:v>Math</x:v>
      </x:c>
      <x:c r="C1627" s="35" t="str">
        <x:v>Round2</x:v>
      </x:c>
      <x:c r="D1627" s="35" t="str">
        <x:v>Math_82</x:v>
      </x:c>
      <x:c r="E1627" s="35" t="str">
        <x:v>Line</x:v>
      </x:c>
      <x:c r="F1627" s="35" t="n">
        <x:v>60</x:v>
      </x:c>
      <x:c r="G1627" s="35" t="str">
        <x:v>RECORDED</x:v>
      </x:c>
      <x:c r="H1627" s="39" t="n">
        <x:f>IF(ISNUMBER('Data'!E1627),'Data'!E1627*100,"")</x:f>
        <x:v>96.67</x:v>
      </x:c>
      <x:c r="I1627" s="35" t="str">
        <x:v>PASS</x:v>
      </x:c>
      <x:c r="J1627" s="35" t="str">
        <x:v>PASS</x:v>
      </x:c>
      <x:c r="K1627" s="35" t="str">
        <x:v>PASS</x:v>
      </x:c>
      <x:c r="L1627" s="35" t="str">
        <x:v>PASS</x:v>
      </x:c>
      <x:c r="M1627" s="35" t="str">
        <x:v>numeric coverage for applicable metric</x:v>
      </x:c>
      <x:c r="N1627" s="35" t="str">
        <x:v>Deepseek-flash-v4/Result2/Math_82/result.json</x:v>
      </x:c>
      <x:c r="O1627" s="39" t="n">
        <x:f>IF(AND(G1627="RECORDED",ISNUMBER(H1627)),H1627,"")</x:f>
        <x:v>96.67</x:v>
      </x:c>
      <x:c r="P1627" s="35" t="str">
        <x:v>NOT_REVEALING</x:v>
      </x:c>
      <x:c r="Q1627" s="35" t="str">
        <x:v>Deepseek-flash-v4/Result2/Math_82/result.json</x:v>
      </x:c>
    </x:row>
    <x:row r="1628">
      <x:c r="A1628" s="35" t="str">
        <x:v>deepseek</x:v>
      </x:c>
      <x:c r="B1628" s="35" t="str">
        <x:v>Math</x:v>
      </x:c>
      <x:c r="C1628" s="35" t="str">
        <x:v>Round2</x:v>
      </x:c>
      <x:c r="D1628" s="35" t="str">
        <x:v>Math_83</x:v>
      </x:c>
      <x:c r="E1628" s="35" t="str">
        <x:v>Line</x:v>
      </x:c>
      <x:c r="F1628" s="35" t="n">
        <x:v>155</x:v>
      </x:c>
      <x:c r="G1628" s="35" t="str">
        <x:v>RECORDED</x:v>
      </x:c>
      <x:c r="H1628" s="39" t="n">
        <x:f>IF(ISNUMBER('Data'!E1628),'Data'!E1628*100,"")</x:f>
        <x:v>7.1</x:v>
      </x:c>
      <x:c r="I1628" s="35" t="str">
        <x:v>PASS</x:v>
      </x:c>
      <x:c r="J1628" s="35" t="str">
        <x:v>PASS</x:v>
      </x:c>
      <x:c r="K1628" s="35" t="str">
        <x:v>PASS</x:v>
      </x:c>
      <x:c r="L1628" s="35" t="str">
        <x:v>PASS</x:v>
      </x:c>
      <x:c r="M1628" s="35" t="str">
        <x:v>numeric coverage for applicable metric</x:v>
      </x:c>
      <x:c r="N1628" s="35" t="str">
        <x:v>Deepseek-flash-v4/Result2/Math_83/result.json</x:v>
      </x:c>
      <x:c r="O1628" s="39" t="n">
        <x:f>IF(AND(G1628="RECORDED",ISNUMBER(H1628)),H1628,"")</x:f>
        <x:v>7.1</x:v>
      </x:c>
      <x:c r="P1628" s="35" t="str">
        <x:v>INCONCLUSIVE</x:v>
      </x:c>
      <x:c r="Q1628" s="35" t="str">
        <x:v>Deepseek-flash-v4/Result2/Math_83/result.json</x:v>
      </x:c>
    </x:row>
    <x:row r="1629">
      <x:c r="A1629" s="35" t="str">
        <x:v>deepseek</x:v>
      </x:c>
      <x:c r="B1629" s="35" t="str">
        <x:v>Math</x:v>
      </x:c>
      <x:c r="C1629" s="35" t="str">
        <x:v>Round2</x:v>
      </x:c>
      <x:c r="D1629" s="35" t="str">
        <x:v>Math_84</x:v>
      </x:c>
      <x:c r="E1629" s="35" t="str">
        <x:v>Line</x:v>
      </x:c>
      <x:c r="F1629" s="35"/>
      <x:c r="G1629" s="35" t="str">
        <x:v>A</x:v>
      </x:c>
      <x:c r="H1629" s="39" t="str">
        <x:f>IF(ISNUMBER('Data'!E1629),'Data'!E1629*100,"")</x:f>
      </x:c>
      <x:c r="I1629" s="35"/>
      <x:c r="J1629" s="35" t="str">
        <x:v>PASS</x:v>
      </x:c>
      <x:c r="K1629" s="35" t="str">
        <x:v>FAIL</x:v>
      </x:c>
      <x:c r="L1629" s="35" t="str">
        <x:v>NOT_RUN</x:v>
      </x:c>
      <x:c r="M1629" s="35" t="str">
        <x:v>coverage unavailable or execution/compile failed</x:v>
      </x:c>
      <x:c r="N1629" s="35" t="str">
        <x:v>Deepseek-flash-v4/Result2/Math_84/result.json</x:v>
      </x:c>
      <x:c r="O1629" s="39" t="str">
        <x:f>IF(AND(G1629="RECORDED",ISNUMBER(H1629)),H1629,"")</x:f>
      </x:c>
      <x:c r="P1629" s="35" t="str">
        <x:v>NOT_AVAILABLE</x:v>
      </x:c>
      <x:c r="Q1629" s="35" t="str">
        <x:v>Deepseek-flash-v4/Result2/Math_84/result.json</x:v>
      </x:c>
    </x:row>
    <x:row r="1630">
      <x:c r="A1630" s="35" t="str">
        <x:v>deepseek</x:v>
      </x:c>
      <x:c r="B1630" s="35" t="str">
        <x:v>Math</x:v>
      </x:c>
      <x:c r="C1630" s="35" t="str">
        <x:v>Round2</x:v>
      </x:c>
      <x:c r="D1630" s="35" t="str">
        <x:v>Math_85</x:v>
      </x:c>
      <x:c r="E1630" s="35" t="str">
        <x:v>Line</x:v>
      </x:c>
      <x:c r="F1630" s="35" t="n">
        <x:v>38</x:v>
      </x:c>
      <x:c r="G1630" s="35" t="str">
        <x:v>RECORDED</x:v>
      </x:c>
      <x:c r="H1630" s="39" t="n">
        <x:f>IF(ISNUMBER('Data'!E1630),'Data'!E1630*100,"")</x:f>
        <x:v>92.11</x:v>
      </x:c>
      <x:c r="I1630" s="35" t="str">
        <x:v>PASS</x:v>
      </x:c>
      <x:c r="J1630" s="35" t="str">
        <x:v>PASS</x:v>
      </x:c>
      <x:c r="K1630" s="35" t="str">
        <x:v>PASS</x:v>
      </x:c>
      <x:c r="L1630" s="35" t="str">
        <x:v>FAIL</x:v>
      </x:c>
      <x:c r="M1630" s="35" t="str">
        <x:v>numeric coverage for applicable metric</x:v>
      </x:c>
      <x:c r="N1630" s="35" t="str">
        <x:v>Deepseek-flash-v4/Result2/Math_85/result.json</x:v>
      </x:c>
      <x:c r="O1630" s="39" t="n">
        <x:f>IF(AND(G1630="RECORDED",ISNUMBER(H1630)),H1630,"")</x:f>
        <x:v>92.11</x:v>
      </x:c>
      <x:c r="P1630" s="35" t="str">
        <x:v>REVEALING</x:v>
      </x:c>
      <x:c r="Q1630" s="35" t="str">
        <x:v>Deepseek-flash-v4/Result2/Math_85/result.json</x:v>
      </x:c>
    </x:row>
    <x:row r="1631">
      <x:c r="A1631" s="35" t="str">
        <x:v>deepseek</x:v>
      </x:c>
      <x:c r="B1631" s="35" t="str">
        <x:v>Math</x:v>
      </x:c>
      <x:c r="C1631" s="35" t="str">
        <x:v>Round2</x:v>
      </x:c>
      <x:c r="D1631" s="35" t="str">
        <x:v>Math_86</x:v>
      </x:c>
      <x:c r="E1631" s="35" t="str">
        <x:v>Line</x:v>
      </x:c>
      <x:c r="F1631" s="35" t="n">
        <x:v>116</x:v>
      </x:c>
      <x:c r="G1631" s="35" t="str">
        <x:v>RECORDED</x:v>
      </x:c>
      <x:c r="H1631" s="39" t="n">
        <x:f>IF(ISNUMBER('Data'!E1631),'Data'!E1631*100,"")</x:f>
        <x:v>84.48</x:v>
      </x:c>
      <x:c r="I1631" s="35" t="str">
        <x:v>PASS</x:v>
      </x:c>
      <x:c r="J1631" s="35" t="str">
        <x:v>PASS</x:v>
      </x:c>
      <x:c r="K1631" s="35" t="str">
        <x:v>PASS</x:v>
      </x:c>
      <x:c r="L1631" s="35" t="str">
        <x:v>FAIL</x:v>
      </x:c>
      <x:c r="M1631" s="35" t="str">
        <x:v>numeric coverage for applicable metric</x:v>
      </x:c>
      <x:c r="N1631" s="35" t="str">
        <x:v>Deepseek-flash-v4/Result2/Math_86/result.json</x:v>
      </x:c>
      <x:c r="O1631" s="39" t="n">
        <x:f>IF(AND(G1631="RECORDED",ISNUMBER(H1631)),H1631,"")</x:f>
        <x:v>84.48</x:v>
      </x:c>
      <x:c r="P1631" s="35" t="str">
        <x:v>REVEALING</x:v>
      </x:c>
      <x:c r="Q1631" s="35" t="str">
        <x:v>Deepseek-flash-v4/Result2/Math_86/result.json</x:v>
      </x:c>
    </x:row>
    <x:row r="1632">
      <x:c r="A1632" s="35" t="str">
        <x:v>deepseek</x:v>
      </x:c>
      <x:c r="B1632" s="35" t="str">
        <x:v>Math</x:v>
      </x:c>
      <x:c r="C1632" s="35" t="str">
        <x:v>Round2</x:v>
      </x:c>
      <x:c r="D1632" s="35" t="str">
        <x:v>Math_87</x:v>
      </x:c>
      <x:c r="E1632" s="35" t="str">
        <x:v>Line</x:v>
      </x:c>
      <x:c r="F1632" s="35" t="n">
        <x:v>152</x:v>
      </x:c>
      <x:c r="G1632" s="35" t="str">
        <x:v>RECORDED</x:v>
      </x:c>
      <x:c r="H1632" s="39" t="n">
        <x:f>IF(ISNUMBER('Data'!E1632),'Data'!E1632*100,"")</x:f>
        <x:v>7.24</x:v>
      </x:c>
      <x:c r="I1632" s="35" t="str">
        <x:v>PASS</x:v>
      </x:c>
      <x:c r="J1632" s="35" t="str">
        <x:v>PASS</x:v>
      </x:c>
      <x:c r="K1632" s="35" t="str">
        <x:v>PASS</x:v>
      </x:c>
      <x:c r="L1632" s="35" t="str">
        <x:v>PASS</x:v>
      </x:c>
      <x:c r="M1632" s="35" t="str">
        <x:v>numeric coverage for applicable metric</x:v>
      </x:c>
      <x:c r="N1632" s="35" t="str">
        <x:v>Deepseek-flash-v4/Result2/Math_87/result.json</x:v>
      </x:c>
      <x:c r="O1632" s="39" t="n">
        <x:f>IF(AND(G1632="RECORDED",ISNUMBER(H1632)),H1632,"")</x:f>
        <x:v>7.24</x:v>
      </x:c>
      <x:c r="P1632" s="35" t="str">
        <x:v>NOT_REVEALING</x:v>
      </x:c>
      <x:c r="Q1632" s="35" t="str">
        <x:v>Deepseek-flash-v4/Result2/Math_87/result.json</x:v>
      </x:c>
    </x:row>
    <x:row r="1633">
      <x:c r="A1633" s="35" t="str">
        <x:v>deepseek</x:v>
      </x:c>
      <x:c r="B1633" s="35" t="str">
        <x:v>Math</x:v>
      </x:c>
      <x:c r="C1633" s="35" t="str">
        <x:v>Round2</x:v>
      </x:c>
      <x:c r="D1633" s="35" t="str">
        <x:v>Math_88</x:v>
      </x:c>
      <x:c r="E1633" s="35" t="str">
        <x:v>Line</x:v>
      </x:c>
      <x:c r="F1633" s="35" t="n">
        <x:v>152</x:v>
      </x:c>
      <x:c r="G1633" s="35" t="str">
        <x:v>RECORDED</x:v>
      </x:c>
      <x:c r="H1633" s="39" t="n">
        <x:f>IF(ISNUMBER('Data'!E1633),'Data'!E1633*100,"")</x:f>
        <x:v>7.24</x:v>
      </x:c>
      <x:c r="I1633" s="35" t="str">
        <x:v>PASS</x:v>
      </x:c>
      <x:c r="J1633" s="35" t="str">
        <x:v>PASS</x:v>
      </x:c>
      <x:c r="K1633" s="35" t="str">
        <x:v>PASS</x:v>
      </x:c>
      <x:c r="L1633" s="35" t="str">
        <x:v>FAIL</x:v>
      </x:c>
      <x:c r="M1633" s="35" t="str">
        <x:v>numeric coverage for applicable metric</x:v>
      </x:c>
      <x:c r="N1633" s="35" t="str">
        <x:v>Deepseek-flash-v4/Result2/Math_88/result.json</x:v>
      </x:c>
      <x:c r="O1633" s="39" t="n">
        <x:f>IF(AND(G1633="RECORDED",ISNUMBER(H1633)),H1633,"")</x:f>
        <x:v>7.24</x:v>
      </x:c>
      <x:c r="P1633" s="35" t="str">
        <x:v>INCONCLUSIVE</x:v>
      </x:c>
      <x:c r="Q1633" s="35" t="str">
        <x:v>Deepseek-flash-v4/Result2/Math_88/result.json</x:v>
      </x:c>
    </x:row>
    <x:row r="1634">
      <x:c r="A1634" s="35" t="str">
        <x:v>deepseek</x:v>
      </x:c>
      <x:c r="B1634" s="35" t="str">
        <x:v>Math</x:v>
      </x:c>
      <x:c r="C1634" s="35" t="str">
        <x:v>Round2</x:v>
      </x:c>
      <x:c r="D1634" s="35" t="str">
        <x:v>Math_89</x:v>
      </x:c>
      <x:c r="E1634" s="35" t="str">
        <x:v>Line</x:v>
      </x:c>
      <x:c r="F1634" s="35" t="n">
        <x:v>108</x:v>
      </x:c>
      <x:c r="G1634" s="35" t="str">
        <x:v>RECORDED</x:v>
      </x:c>
      <x:c r="H1634" s="39" t="n">
        <x:f>IF(ISNUMBER('Data'!E1634),'Data'!E1634*100,"")</x:f>
        <x:v>89.81</x:v>
      </x:c>
      <x:c r="I1634" s="35" t="str">
        <x:v>PASS</x:v>
      </x:c>
      <x:c r="J1634" s="35" t="str">
        <x:v>PASS</x:v>
      </x:c>
      <x:c r="K1634" s="35" t="str">
        <x:v>PASS</x:v>
      </x:c>
      <x:c r="L1634" s="35" t="str">
        <x:v>PASS</x:v>
      </x:c>
      <x:c r="M1634" s="35" t="str">
        <x:v>numeric coverage for applicable metric</x:v>
      </x:c>
      <x:c r="N1634" s="35" t="str">
        <x:v>Deepseek-flash-v4/Result2/Math_89/result.json</x:v>
      </x:c>
      <x:c r="O1634" s="39" t="n">
        <x:f>IF(AND(G1634="RECORDED",ISNUMBER(H1634)),H1634,"")</x:f>
        <x:v>89.81</x:v>
      </x:c>
      <x:c r="P1634" s="35" t="str">
        <x:v>NOT_REVEALING</x:v>
      </x:c>
      <x:c r="Q1634" s="35" t="str">
        <x:v>Deepseek-flash-v4/Result2/Math_89/result.json</x:v>
      </x:c>
    </x:row>
    <x:row r="1635">
      <x:c r="A1635" s="35" t="str">
        <x:v>deepseek</x:v>
      </x:c>
      <x:c r="B1635" s="35" t="str">
        <x:v>Math</x:v>
      </x:c>
      <x:c r="C1635" s="35" t="str">
        <x:v>Round2</x:v>
      </x:c>
      <x:c r="D1635" s="35" t="str">
        <x:v>Math_9</x:v>
      </x:c>
      <x:c r="E1635" s="35" t="str">
        <x:v>Line</x:v>
      </x:c>
      <x:c r="F1635" s="35" t="n">
        <x:v>46</x:v>
      </x:c>
      <x:c r="G1635" s="35" t="str">
        <x:v>RECORDED</x:v>
      </x:c>
      <x:c r="H1635" s="39" t="n">
        <x:f>IF(ISNUMBER('Data'!E1635),'Data'!E1635*100,"")</x:f>
        <x:v>97.83</x:v>
      </x:c>
      <x:c r="I1635" s="35" t="str">
        <x:v>PASS</x:v>
      </x:c>
      <x:c r="J1635" s="35" t="str">
        <x:v>PASS</x:v>
      </x:c>
      <x:c r="K1635" s="35" t="str">
        <x:v>PASS</x:v>
      </x:c>
      <x:c r="L1635" s="35" t="str">
        <x:v>PASS</x:v>
      </x:c>
      <x:c r="M1635" s="35" t="str">
        <x:v>numeric coverage for applicable metric</x:v>
      </x:c>
      <x:c r="N1635" s="35" t="str">
        <x:v>Deepseek-flash-v4/Result2/Math_9/result.json</x:v>
      </x:c>
      <x:c r="O1635" s="39" t="n">
        <x:f>IF(AND(G1635="RECORDED",ISNUMBER(H1635)),H1635,"")</x:f>
        <x:v>97.83</x:v>
      </x:c>
      <x:c r="P1635" s="35" t="str">
        <x:v>NOT_REVEALING</x:v>
      </x:c>
      <x:c r="Q1635" s="35" t="str">
        <x:v>Deepseek-flash-v4/Result2/Math_9/result.json</x:v>
      </x:c>
    </x:row>
    <x:row r="1636">
      <x:c r="A1636" s="35" t="str">
        <x:v>deepseek</x:v>
      </x:c>
      <x:c r="B1636" s="35" t="str">
        <x:v>Math</x:v>
      </x:c>
      <x:c r="C1636" s="35" t="str">
        <x:v>Round2</x:v>
      </x:c>
      <x:c r="D1636" s="35" t="str">
        <x:v>Math_90</x:v>
      </x:c>
      <x:c r="E1636" s="35" t="str">
        <x:v>Line</x:v>
      </x:c>
      <x:c r="F1636" s="35" t="n">
        <x:v>106</x:v>
      </x:c>
      <x:c r="G1636" s="35" t="str">
        <x:v>RECORDED</x:v>
      </x:c>
      <x:c r="H1636" s="39" t="n">
        <x:f>IF(ISNUMBER('Data'!E1636),'Data'!E1636*100,"")</x:f>
        <x:v>82.08</x:v>
      </x:c>
      <x:c r="I1636" s="35" t="str">
        <x:v>PASS</x:v>
      </x:c>
      <x:c r="J1636" s="35" t="str">
        <x:v>PASS</x:v>
      </x:c>
      <x:c r="K1636" s="35" t="str">
        <x:v>PASS</x:v>
      </x:c>
      <x:c r="L1636" s="35" t="str">
        <x:v>FAIL</x:v>
      </x:c>
      <x:c r="M1636" s="35" t="str">
        <x:v>numeric coverage for applicable metric</x:v>
      </x:c>
      <x:c r="N1636" s="35" t="str">
        <x:v>Deepseek-flash-v4/Result2/Math_90/result.json</x:v>
      </x:c>
      <x:c r="O1636" s="39" t="n">
        <x:f>IF(AND(G1636="RECORDED",ISNUMBER(H1636)),H1636,"")</x:f>
        <x:v>82.08</x:v>
      </x:c>
      <x:c r="P1636" s="35" t="str">
        <x:v>INCONCLUSIVE</x:v>
      </x:c>
      <x:c r="Q1636" s="35" t="str">
        <x:v>Deepseek-flash-v4/Result2/Math_90/result.json</x:v>
      </x:c>
    </x:row>
    <x:row r="1637">
      <x:c r="A1637" s="35" t="str">
        <x:v>deepseek</x:v>
      </x:c>
      <x:c r="B1637" s="35" t="str">
        <x:v>Math</x:v>
      </x:c>
      <x:c r="C1637" s="35" t="str">
        <x:v>Round2</x:v>
      </x:c>
      <x:c r="D1637" s="35" t="str">
        <x:v>Math_91</x:v>
      </x:c>
      <x:c r="E1637" s="35" t="str">
        <x:v>Line</x:v>
      </x:c>
      <x:c r="F1637" s="35" t="n">
        <x:v>163</x:v>
      </x:c>
      <x:c r="G1637" s="35" t="str">
        <x:v>RECORDED</x:v>
      </x:c>
      <x:c r="H1637" s="39" t="n">
        <x:f>IF(ISNUMBER('Data'!E1637),'Data'!E1637*100,"")</x:f>
        <x:v>96.93</x:v>
      </x:c>
      <x:c r="I1637" s="35" t="str">
        <x:v>PASS</x:v>
      </x:c>
      <x:c r="J1637" s="35" t="str">
        <x:v>PASS</x:v>
      </x:c>
      <x:c r="K1637" s="35" t="str">
        <x:v>PASS</x:v>
      </x:c>
      <x:c r="L1637" s="35" t="str">
        <x:v>PASS</x:v>
      </x:c>
      <x:c r="M1637" s="35" t="str">
        <x:v>numeric coverage for applicable metric</x:v>
      </x:c>
      <x:c r="N1637" s="35" t="str">
        <x:v>Deepseek-flash-v4/Result2/Math_91/result.json</x:v>
      </x:c>
      <x:c r="O1637" s="39" t="n">
        <x:f>IF(AND(G1637="RECORDED",ISNUMBER(H1637)),H1637,"")</x:f>
        <x:v>96.93</x:v>
      </x:c>
      <x:c r="P1637" s="35" t="str">
        <x:v>NOT_REVEALING</x:v>
      </x:c>
      <x:c r="Q1637" s="35" t="str">
        <x:v>Deepseek-flash-v4/Result2/Math_91/result.json</x:v>
      </x:c>
    </x:row>
    <x:row r="1638">
      <x:c r="A1638" s="35" t="str">
        <x:v>deepseek</x:v>
      </x:c>
      <x:c r="B1638" s="35" t="str">
        <x:v>Math</x:v>
      </x:c>
      <x:c r="C1638" s="35" t="str">
        <x:v>Round2</x:v>
      </x:c>
      <x:c r="D1638" s="35" t="str">
        <x:v>Math_92</x:v>
      </x:c>
      <x:c r="E1638" s="35" t="str">
        <x:v>Line</x:v>
      </x:c>
      <x:c r="F1638" s="35" t="n">
        <x:v>231</x:v>
      </x:c>
      <x:c r="G1638" s="35" t="str">
        <x:v>RECORDED</x:v>
      </x:c>
      <x:c r="H1638" s="39" t="n">
        <x:f>IF(ISNUMBER('Data'!E1638),'Data'!E1638*100,"")</x:f>
        <x:v>79.65</x:v>
      </x:c>
      <x:c r="I1638" s="35" t="str">
        <x:v>PASS</x:v>
      </x:c>
      <x:c r="J1638" s="35" t="str">
        <x:v>PASS</x:v>
      </x:c>
      <x:c r="K1638" s="35" t="str">
        <x:v>PASS</x:v>
      </x:c>
      <x:c r="L1638" s="35" t="str">
        <x:v>FAIL</x:v>
      </x:c>
      <x:c r="M1638" s="35" t="str">
        <x:v>numeric coverage for applicable metric</x:v>
      </x:c>
      <x:c r="N1638" s="35" t="str">
        <x:v>Deepseek-flash-v4/Result2/Math_92/result.json</x:v>
      </x:c>
      <x:c r="O1638" s="39" t="n">
        <x:f>IF(AND(G1638="RECORDED",ISNUMBER(H1638)),H1638,"")</x:f>
        <x:v>79.65</x:v>
      </x:c>
      <x:c r="P1638" s="35" t="str">
        <x:v>INCONCLUSIVE</x:v>
      </x:c>
      <x:c r="Q1638" s="35" t="str">
        <x:v>Deepseek-flash-v4/Result2/Math_92/result.json</x:v>
      </x:c>
    </x:row>
    <x:row r="1639">
      <x:c r="A1639" s="35" t="str">
        <x:v>deepseek</x:v>
      </x:c>
      <x:c r="B1639" s="35" t="str">
        <x:v>Math</x:v>
      </x:c>
      <x:c r="C1639" s="35" t="str">
        <x:v>Round2</x:v>
      </x:c>
      <x:c r="D1639" s="35" t="str">
        <x:v>Math_93</x:v>
      </x:c>
      <x:c r="E1639" s="35" t="str">
        <x:v>Line</x:v>
      </x:c>
      <x:c r="F1639" s="35" t="n">
        <x:v>226</x:v>
      </x:c>
      <x:c r="G1639" s="35" t="str">
        <x:v>RECORDED</x:v>
      </x:c>
      <x:c r="H1639" s="39" t="n">
        <x:f>IF(ISNUMBER('Data'!E1639),'Data'!E1639*100,"")</x:f>
        <x:v>93.36</x:v>
      </x:c>
      <x:c r="I1639" s="35" t="str">
        <x:v>PASS</x:v>
      </x:c>
      <x:c r="J1639" s="35" t="str">
        <x:v>PASS</x:v>
      </x:c>
      <x:c r="K1639" s="35" t="str">
        <x:v>PASS</x:v>
      </x:c>
      <x:c r="L1639" s="35" t="str">
        <x:v>PASS</x:v>
      </x:c>
      <x:c r="M1639" s="35" t="str">
        <x:v>numeric coverage for applicable metric</x:v>
      </x:c>
      <x:c r="N1639" s="35" t="str">
        <x:v>Deepseek-flash-v4/Result2/Math_93/result.json</x:v>
      </x:c>
      <x:c r="O1639" s="39" t="n">
        <x:f>IF(AND(G1639="RECORDED",ISNUMBER(H1639)),H1639,"")</x:f>
        <x:v>93.36</x:v>
      </x:c>
      <x:c r="P1639" s="35" t="str">
        <x:v>NOT_REVEALING</x:v>
      </x:c>
      <x:c r="Q1639" s="35" t="str">
        <x:v>Deepseek-flash-v4/Result2/Math_93/result.json</x:v>
      </x:c>
    </x:row>
    <x:row r="1640">
      <x:c r="A1640" s="35" t="str">
        <x:v>deepseek</x:v>
      </x:c>
      <x:c r="B1640" s="35" t="str">
        <x:v>Math</x:v>
      </x:c>
      <x:c r="C1640" s="35" t="str">
        <x:v>Round2</x:v>
      </x:c>
      <x:c r="D1640" s="35" t="str">
        <x:v>Math_94</x:v>
      </x:c>
      <x:c r="E1640" s="35" t="str">
        <x:v>Line</x:v>
      </x:c>
      <x:c r="F1640" s="35" t="n">
        <x:v>225</x:v>
      </x:c>
      <x:c r="G1640" s="35" t="str">
        <x:v>RECORDED</x:v>
      </x:c>
      <x:c r="H1640" s="39" t="n">
        <x:f>IF(ISNUMBER('Data'!E1640),'Data'!E1640*100,"")</x:f>
        <x:v>80</x:v>
      </x:c>
      <x:c r="I1640" s="35" t="str">
        <x:v>PASS</x:v>
      </x:c>
      <x:c r="J1640" s="35" t="str">
        <x:v>PASS</x:v>
      </x:c>
      <x:c r="K1640" s="35" t="str">
        <x:v>PASS</x:v>
      </x:c>
      <x:c r="L1640" s="35" t="str">
        <x:v>PASS</x:v>
      </x:c>
      <x:c r="M1640" s="35" t="str">
        <x:v>numeric coverage for applicable metric</x:v>
      </x:c>
      <x:c r="N1640" s="35" t="str">
        <x:v>Deepseek-flash-v4/Result2/Math_94/result.json</x:v>
      </x:c>
      <x:c r="O1640" s="39" t="n">
        <x:f>IF(AND(G1640="RECORDED",ISNUMBER(H1640)),H1640,"")</x:f>
        <x:v>80</x:v>
      </x:c>
      <x:c r="P1640" s="35" t="str">
        <x:v>NOT_REVEALING</x:v>
      </x:c>
      <x:c r="Q1640" s="35" t="str">
        <x:v>Deepseek-flash-v4/Result2/Math_94/result.json</x:v>
      </x:c>
    </x:row>
    <x:row r="1641">
      <x:c r="A1641" s="35" t="str">
        <x:v>deepseek</x:v>
      </x:c>
      <x:c r="B1641" s="35" t="str">
        <x:v>Math</x:v>
      </x:c>
      <x:c r="C1641" s="35" t="str">
        <x:v>Round2</x:v>
      </x:c>
      <x:c r="D1641" s="35" t="str">
        <x:v>Math_95</x:v>
      </x:c>
      <x:c r="E1641" s="35" t="str">
        <x:v>Line</x:v>
      </x:c>
      <x:c r="F1641" s="35" t="n">
        <x:v>30</x:v>
      </x:c>
      <x:c r="G1641" s="35" t="str">
        <x:v>RECORDED</x:v>
      </x:c>
      <x:c r="H1641" s="39" t="n">
        <x:f>IF(ISNUMBER('Data'!E1641),'Data'!E1641*100,"")</x:f>
        <x:v>100</x:v>
      </x:c>
      <x:c r="I1641" s="35" t="str">
        <x:v>PASS</x:v>
      </x:c>
      <x:c r="J1641" s="35" t="str">
        <x:v>PASS</x:v>
      </x:c>
      <x:c r="K1641" s="35" t="str">
        <x:v>PASS</x:v>
      </x:c>
      <x:c r="L1641" s="35" t="str">
        <x:v>PASS</x:v>
      </x:c>
      <x:c r="M1641" s="35" t="str">
        <x:v>numeric coverage for applicable metric</x:v>
      </x:c>
      <x:c r="N1641" s="35" t="str">
        <x:v>Deepseek-flash-v4/Result2/Math_95/result.json</x:v>
      </x:c>
      <x:c r="O1641" s="39" t="n">
        <x:f>IF(AND(G1641="RECORDED",ISNUMBER(H1641)),H1641,"")</x:f>
        <x:v>100</x:v>
      </x:c>
      <x:c r="P1641" s="35" t="str">
        <x:v>NOT_REVEALING</x:v>
      </x:c>
      <x:c r="Q1641" s="35" t="str">
        <x:v>Deepseek-flash-v4/Result2/Math_95/result.json</x:v>
      </x:c>
    </x:row>
    <x:row r="1642">
      <x:c r="A1642" s="35" t="str">
        <x:v>deepseek</x:v>
      </x:c>
      <x:c r="B1642" s="35" t="str">
        <x:v>Math</x:v>
      </x:c>
      <x:c r="C1642" s="35" t="str">
        <x:v>Round2</x:v>
      </x:c>
      <x:c r="D1642" s="35" t="str">
        <x:v>Math_96</x:v>
      </x:c>
      <x:c r="E1642" s="35" t="str">
        <x:v>Line</x:v>
      </x:c>
      <x:c r="F1642" s="35" t="n">
        <x:v>142</x:v>
      </x:c>
      <x:c r="G1642" s="35" t="str">
        <x:v>RECORDED</x:v>
      </x:c>
      <x:c r="H1642" s="39" t="n">
        <x:f>IF(ISNUMBER('Data'!E1642),'Data'!E1642*100,"")</x:f>
        <x:v>97.89</x:v>
      </x:c>
      <x:c r="I1642" s="35" t="str">
        <x:v>PASS</x:v>
      </x:c>
      <x:c r="J1642" s="35" t="str">
        <x:v>PASS</x:v>
      </x:c>
      <x:c r="K1642" s="35" t="str">
        <x:v>PASS</x:v>
      </x:c>
      <x:c r="L1642" s="35" t="str">
        <x:v>PASS</x:v>
      </x:c>
      <x:c r="M1642" s="35" t="str">
        <x:v>numeric coverage for applicable metric</x:v>
      </x:c>
      <x:c r="N1642" s="35" t="str">
        <x:v>Deepseek-flash-v4/Result2/Math_96/result.json</x:v>
      </x:c>
      <x:c r="O1642" s="39" t="n">
        <x:f>IF(AND(G1642="RECORDED",ISNUMBER(H1642)),H1642,"")</x:f>
        <x:v>97.89</x:v>
      </x:c>
      <x:c r="P1642" s="35" t="str">
        <x:v>INCONCLUSIVE</x:v>
      </x:c>
      <x:c r="Q1642" s="35" t="str">
        <x:v>Deepseek-flash-v4/Result2/Math_96/result.json</x:v>
      </x:c>
    </x:row>
    <x:row r="1643">
      <x:c r="A1643" s="35" t="str">
        <x:v>deepseek</x:v>
      </x:c>
      <x:c r="B1643" s="35" t="str">
        <x:v>Math</x:v>
      </x:c>
      <x:c r="C1643" s="35" t="str">
        <x:v>Round2</x:v>
      </x:c>
      <x:c r="D1643" s="35" t="str">
        <x:v>Math_97</x:v>
      </x:c>
      <x:c r="E1643" s="35" t="str">
        <x:v>Line</x:v>
      </x:c>
      <x:c r="F1643" s="35" t="n">
        <x:v>89</x:v>
      </x:c>
      <x:c r="G1643" s="35" t="str">
        <x:v>RECORDED</x:v>
      </x:c>
      <x:c r="H1643" s="39" t="n">
        <x:f>IF(ISNUMBER('Data'!E1643),'Data'!E1643*100,"")</x:f>
        <x:v>97.75</x:v>
      </x:c>
      <x:c r="I1643" s="35" t="str">
        <x:v>PASS</x:v>
      </x:c>
      <x:c r="J1643" s="35" t="str">
        <x:v>PASS</x:v>
      </x:c>
      <x:c r="K1643" s="35" t="str">
        <x:v>PASS</x:v>
      </x:c>
      <x:c r="L1643" s="35" t="str">
        <x:v>PASS</x:v>
      </x:c>
      <x:c r="M1643" s="35" t="str">
        <x:v>numeric coverage for applicable metric</x:v>
      </x:c>
      <x:c r="N1643" s="35" t="str">
        <x:v>Deepseek-flash-v4/Result2/Math_97/result.json</x:v>
      </x:c>
      <x:c r="O1643" s="39" t="n">
        <x:f>IF(AND(G1643="RECORDED",ISNUMBER(H1643)),H1643,"")</x:f>
        <x:v>97.75</x:v>
      </x:c>
      <x:c r="P1643" s="35" t="str">
        <x:v>NOT_REVEALING</x:v>
      </x:c>
      <x:c r="Q1643" s="35" t="str">
        <x:v>Deepseek-flash-v4/Result2/Math_97/result.json</x:v>
      </x:c>
    </x:row>
    <x:row r="1644">
      <x:c r="A1644" s="35" t="str">
        <x:v>deepseek</x:v>
      </x:c>
      <x:c r="B1644" s="35" t="str">
        <x:v>Math</x:v>
      </x:c>
      <x:c r="C1644" s="35" t="str">
        <x:v>Round2</x:v>
      </x:c>
      <x:c r="D1644" s="35" t="str">
        <x:v>Math_98</x:v>
      </x:c>
      <x:c r="E1644" s="35" t="str">
        <x:v>Line</x:v>
      </x:c>
      <x:c r="F1644" s="35" t="n">
        <x:v>918</x:v>
      </x:c>
      <x:c r="G1644" s="35" t="str">
        <x:v>RECORDED</x:v>
      </x:c>
      <x:c r="H1644" s="39" t="n">
        <x:f>IF(ISNUMBER('Data'!E1644),'Data'!E1644*100,"")</x:f>
        <x:v>84.2</x:v>
      </x:c>
      <x:c r="I1644" s="35" t="str">
        <x:v>PASS</x:v>
      </x:c>
      <x:c r="J1644" s="35" t="str">
        <x:v>PASS</x:v>
      </x:c>
      <x:c r="K1644" s="35" t="str">
        <x:v>PASS</x:v>
      </x:c>
      <x:c r="L1644" s="35" t="str">
        <x:v>FAIL</x:v>
      </x:c>
      <x:c r="M1644" s="35" t="str">
        <x:v>numeric coverage for applicable metric</x:v>
      </x:c>
      <x:c r="N1644" s="35" t="str">
        <x:v>Deepseek-flash-v4/Result2/Math_98/result.json</x:v>
      </x:c>
      <x:c r="O1644" s="39" t="n">
        <x:f>IF(AND(G1644="RECORDED",ISNUMBER(H1644)),H1644,"")</x:f>
        <x:v>84.2</x:v>
      </x:c>
      <x:c r="P1644" s="35" t="str">
        <x:v>INCONCLUSIVE</x:v>
      </x:c>
      <x:c r="Q1644" s="35" t="str">
        <x:v>Deepseek-flash-v4/Result2/Math_98/result.json</x:v>
      </x:c>
    </x:row>
    <x:row r="1645">
      <x:c r="A1645" s="35" t="str">
        <x:v>deepseek</x:v>
      </x:c>
      <x:c r="B1645" s="35" t="str">
        <x:v>Math</x:v>
      </x:c>
      <x:c r="C1645" s="35" t="str">
        <x:v>Round2</x:v>
      </x:c>
      <x:c r="D1645" s="35" t="str">
        <x:v>Math_99</x:v>
      </x:c>
      <x:c r="E1645" s="35" t="str">
        <x:v>Line</x:v>
      </x:c>
      <x:c r="F1645" s="35" t="n">
        <x:v>269</x:v>
      </x:c>
      <x:c r="G1645" s="35" t="str">
        <x:v>RECORDED</x:v>
      </x:c>
      <x:c r="H1645" s="39" t="n">
        <x:f>IF(ISNUMBER('Data'!E1645),'Data'!E1645*100,"")</x:f>
        <x:v>92.57</x:v>
      </x:c>
      <x:c r="I1645" s="35" t="str">
        <x:v>PASS</x:v>
      </x:c>
      <x:c r="J1645" s="35" t="str">
        <x:v>PASS</x:v>
      </x:c>
      <x:c r="K1645" s="35" t="str">
        <x:v>PASS</x:v>
      </x:c>
      <x:c r="L1645" s="35" t="str">
        <x:v>PASS</x:v>
      </x:c>
      <x:c r="M1645" s="35" t="str">
        <x:v>numeric coverage for applicable metric</x:v>
      </x:c>
      <x:c r="N1645" s="35" t="str">
        <x:v>Deepseek-flash-v4/Result2/Math_99/result.json</x:v>
      </x:c>
      <x:c r="O1645" s="39" t="n">
        <x:f>IF(AND(G1645="RECORDED",ISNUMBER(H1645)),H1645,"")</x:f>
        <x:v>92.57</x:v>
      </x:c>
      <x:c r="P1645" s="35" t="str">
        <x:v>NOT_REVEALING</x:v>
      </x:c>
      <x:c r="Q1645" s="35" t="str">
        <x:v>Deepseek-flash-v4/Result2/Math_99/result.json</x:v>
      </x:c>
    </x:row>
    <x:row r="1646">
      <x:c r="A1646" s="35" t="str">
        <x:v>deepseek</x:v>
      </x:c>
      <x:c r="B1646" s="35" t="str">
        <x:v>Mockito</x:v>
      </x:c>
      <x:c r="C1646" s="35" t="str">
        <x:v>Round2</x:v>
      </x:c>
      <x:c r="D1646" s="35" t="str">
        <x:v>Mockito_1</x:v>
      </x:c>
      <x:c r="E1646" s="35" t="str">
        <x:v>Line</x:v>
      </x:c>
      <x:c r="F1646" s="35"/>
      <x:c r="G1646" s="35" t="str">
        <x:v>A</x:v>
      </x:c>
      <x:c r="H1646" s="39" t="str">
        <x:f>IF(ISNUMBER('Data'!E1646),'Data'!E1646*100,"")</x:f>
      </x:c>
      <x:c r="I1646" s="35"/>
      <x:c r="J1646" s="35" t="str">
        <x:v>PASS</x:v>
      </x:c>
      <x:c r="K1646" s="35" t="str">
        <x:v>FAIL</x:v>
      </x:c>
      <x:c r="L1646" s="35" t="str">
        <x:v>NOT_RUN</x:v>
      </x:c>
      <x:c r="M1646" s="35" t="str">
        <x:v>coverage unavailable or execution/compile failed</x:v>
      </x:c>
      <x:c r="N1646" s="35" t="str">
        <x:v>Deepseek-flash-v4/Result2/Mockito_1/result.json</x:v>
      </x:c>
      <x:c r="O1646" s="39" t="str">
        <x:f>IF(AND(G1646="RECORDED",ISNUMBER(H1646)),H1646,"")</x:f>
      </x:c>
      <x:c r="P1646" s="35" t="str">
        <x:v>NOT_AVAILABLE</x:v>
      </x:c>
      <x:c r="Q1646" s="35" t="str">
        <x:v>Deepseek-flash-v4/Result2/Mockito_1/result.json</x:v>
      </x:c>
    </x:row>
    <x:row r="1647">
      <x:c r="A1647" s="35" t="str">
        <x:v>deepseek</x:v>
      </x:c>
      <x:c r="B1647" s="35" t="str">
        <x:v>Mockito</x:v>
      </x:c>
      <x:c r="C1647" s="35" t="str">
        <x:v>Round2</x:v>
      </x:c>
      <x:c r="D1647" s="35" t="str">
        <x:v>Mockito_10</x:v>
      </x:c>
      <x:c r="E1647" s="35" t="str">
        <x:v>Line</x:v>
      </x:c>
      <x:c r="F1647" s="35"/>
      <x:c r="G1647" s="35" t="str">
        <x:v>A</x:v>
      </x:c>
      <x:c r="H1647" s="39" t="str">
        <x:f>IF(ISNUMBER('Data'!E1647),'Data'!E1647*100,"")</x:f>
      </x:c>
      <x:c r="I1647" s="35"/>
      <x:c r="J1647" s="35" t="str">
        <x:v>PASS</x:v>
      </x:c>
      <x:c r="K1647" s="35" t="str">
        <x:v>FAIL</x:v>
      </x:c>
      <x:c r="L1647" s="35" t="str">
        <x:v>NOT_RUN</x:v>
      </x:c>
      <x:c r="M1647" s="35" t="str">
        <x:v>coverage unavailable or execution/compile failed</x:v>
      </x:c>
      <x:c r="N1647" s="35" t="str">
        <x:v>Deepseek-flash-v4/Result2/Mockito_10/result.json</x:v>
      </x:c>
      <x:c r="O1647" s="39" t="str">
        <x:f>IF(AND(G1647="RECORDED",ISNUMBER(H1647)),H1647,"")</x:f>
      </x:c>
      <x:c r="P1647" s="35" t="str">
        <x:v>NOT_AVAILABLE</x:v>
      </x:c>
      <x:c r="Q1647" s="35" t="str">
        <x:v>Deepseek-flash-v4/Result2/Mockito_10/result.json</x:v>
      </x:c>
    </x:row>
    <x:row r="1648">
      <x:c r="A1648" s="35" t="str">
        <x:v>deepseek</x:v>
      </x:c>
      <x:c r="B1648" s="35" t="str">
        <x:v>Mockito</x:v>
      </x:c>
      <x:c r="C1648" s="35" t="str">
        <x:v>Round2</x:v>
      </x:c>
      <x:c r="D1648" s="35" t="str">
        <x:v>Mockito_11</x:v>
      </x:c>
      <x:c r="E1648" s="35" t="str">
        <x:v>Line</x:v>
      </x:c>
      <x:c r="F1648" s="35" t="n">
        <x:v>14</x:v>
      </x:c>
      <x:c r="G1648" s="35" t="str">
        <x:v>RECORDED</x:v>
      </x:c>
      <x:c r="H1648" s="39" t="n">
        <x:f>IF(ISNUMBER('Data'!E1648),'Data'!E1648*100,"")</x:f>
        <x:v>100</x:v>
      </x:c>
      <x:c r="I1648" s="35" t="str">
        <x:v>PASS</x:v>
      </x:c>
      <x:c r="J1648" s="35" t="str">
        <x:v>PASS</x:v>
      </x:c>
      <x:c r="K1648" s="35" t="str">
        <x:v>PASS</x:v>
      </x:c>
      <x:c r="L1648" s="35" t="str">
        <x:v>FAIL</x:v>
      </x:c>
      <x:c r="M1648" s="35" t="str">
        <x:v>numeric coverage for applicable metric</x:v>
      </x:c>
      <x:c r="N1648" s="35" t="str">
        <x:v>Deepseek-flash-v4/Result2/Mockito_11/result.json</x:v>
      </x:c>
      <x:c r="O1648" s="39" t="n">
        <x:f>IF(AND(G1648="RECORDED",ISNUMBER(H1648)),H1648,"")</x:f>
        <x:v>100</x:v>
      </x:c>
      <x:c r="P1648" s="35" t="str">
        <x:v>INCONCLUSIVE</x:v>
      </x:c>
      <x:c r="Q1648" s="35" t="str">
        <x:v>Deepseek-flash-v4/Result2/Mockito_11/result.json</x:v>
      </x:c>
    </x:row>
    <x:row r="1649">
      <x:c r="A1649" s="35" t="str">
        <x:v>deepseek</x:v>
      </x:c>
      <x:c r="B1649" s="35" t="str">
        <x:v>Mockito</x:v>
      </x:c>
      <x:c r="C1649" s="35" t="str">
        <x:v>Round2</x:v>
      </x:c>
      <x:c r="D1649" s="35" t="str">
        <x:v>Mockito_12</x:v>
      </x:c>
      <x:c r="E1649" s="35" t="str">
        <x:v>Line</x:v>
      </x:c>
      <x:c r="F1649" s="35" t="n">
        <x:v>6</x:v>
      </x:c>
      <x:c r="G1649" s="35" t="str">
        <x:v>RECORDED</x:v>
      </x:c>
      <x:c r="H1649" s="39" t="n">
        <x:f>IF(ISNUMBER('Data'!E1649),'Data'!E1649*100,"")</x:f>
        <x:v>100</x:v>
      </x:c>
      <x:c r="I1649" s="35" t="str">
        <x:v>PASS</x:v>
      </x:c>
      <x:c r="J1649" s="35" t="str">
        <x:v>PASS</x:v>
      </x:c>
      <x:c r="K1649" s="35" t="str">
        <x:v>PASS</x:v>
      </x:c>
      <x:c r="L1649" s="35" t="str">
        <x:v>FAIL</x:v>
      </x:c>
      <x:c r="M1649" s="35" t="str">
        <x:v>numeric coverage for applicable metric</x:v>
      </x:c>
      <x:c r="N1649" s="35" t="str">
        <x:v>Deepseek-flash-v4/Result2/Mockito_12/result.json</x:v>
      </x:c>
      <x:c r="O1649" s="39" t="n">
        <x:f>IF(AND(G1649="RECORDED",ISNUMBER(H1649)),H1649,"")</x:f>
        <x:v>100</x:v>
      </x:c>
      <x:c r="P1649" s="35" t="str">
        <x:v>INCONCLUSIVE</x:v>
      </x:c>
      <x:c r="Q1649" s="35" t="str">
        <x:v>Deepseek-flash-v4/Result2/Mockito_12/result.json</x:v>
      </x:c>
    </x:row>
    <x:row r="1650">
      <x:c r="A1650" s="35" t="str">
        <x:v>deepseek</x:v>
      </x:c>
      <x:c r="B1650" s="35" t="str">
        <x:v>Mockito</x:v>
      </x:c>
      <x:c r="C1650" s="35" t="str">
        <x:v>Round2</x:v>
      </x:c>
      <x:c r="D1650" s="35" t="str">
        <x:v>Mockito_13</x:v>
      </x:c>
      <x:c r="E1650" s="35" t="str">
        <x:v>Line</x:v>
      </x:c>
      <x:c r="F1650" s="35"/>
      <x:c r="G1650" s="35" t="str">
        <x:v>A</x:v>
      </x:c>
      <x:c r="H1650" s="39" t="str">
        <x:f>IF(ISNUMBER('Data'!E1650),'Data'!E1650*100,"")</x:f>
      </x:c>
      <x:c r="I1650" s="35"/>
      <x:c r="J1650" s="35" t="str">
        <x:v>PASS</x:v>
      </x:c>
      <x:c r="K1650" s="35" t="str">
        <x:v>FAIL</x:v>
      </x:c>
      <x:c r="L1650" s="35" t="str">
        <x:v>NOT_RUN</x:v>
      </x:c>
      <x:c r="M1650" s="35" t="str">
        <x:v>coverage unavailable or execution/compile failed</x:v>
      </x:c>
      <x:c r="N1650" s="35" t="str">
        <x:v>Deepseek-flash-v4/Result2/Mockito_13/result.json</x:v>
      </x:c>
      <x:c r="O1650" s="39" t="str">
        <x:f>IF(AND(G1650="RECORDED",ISNUMBER(H1650)),H1650,"")</x:f>
      </x:c>
      <x:c r="P1650" s="35" t="str">
        <x:v>NOT_AVAILABLE</x:v>
      </x:c>
      <x:c r="Q1650" s="35" t="str">
        <x:v>Deepseek-flash-v4/Result2/Mockito_13/result.json</x:v>
      </x:c>
    </x:row>
    <x:row r="1651">
      <x:c r="A1651" s="35" t="str">
        <x:v>deepseek</x:v>
      </x:c>
      <x:c r="B1651" s="35" t="str">
        <x:v>Mockito</x:v>
      </x:c>
      <x:c r="C1651" s="35" t="str">
        <x:v>Round2</x:v>
      </x:c>
      <x:c r="D1651" s="35" t="str">
        <x:v>Mockito_14</x:v>
      </x:c>
      <x:c r="E1651" s="35" t="str">
        <x:v>Line</x:v>
      </x:c>
      <x:c r="F1651" s="35"/>
      <x:c r="G1651" s="35" t="str">
        <x:v>A</x:v>
      </x:c>
      <x:c r="H1651" s="39" t="str">
        <x:f>IF(ISNUMBER('Data'!E1651),'Data'!E1651*100,"")</x:f>
      </x:c>
      <x:c r="I1651" s="35"/>
      <x:c r="J1651" s="35" t="str">
        <x:v>PASS</x:v>
      </x:c>
      <x:c r="K1651" s="35" t="str">
        <x:v>FAIL</x:v>
      </x:c>
      <x:c r="L1651" s="35" t="str">
        <x:v>NOT_RUN</x:v>
      </x:c>
      <x:c r="M1651" s="35" t="str">
        <x:v>coverage unavailable or execution/compile failed</x:v>
      </x:c>
      <x:c r="N1651" s="35" t="str">
        <x:v>Deepseek-flash-v4/Result2/Mockito_14/result.json</x:v>
      </x:c>
      <x:c r="O1651" s="39" t="str">
        <x:f>IF(AND(G1651="RECORDED",ISNUMBER(H1651)),H1651,"")</x:f>
      </x:c>
      <x:c r="P1651" s="35" t="str">
        <x:v>NOT_AVAILABLE</x:v>
      </x:c>
      <x:c r="Q1651" s="35" t="str">
        <x:v>Deepseek-flash-v4/Result2/Mockito_14/result.json</x:v>
      </x:c>
    </x:row>
    <x:row r="1652">
      <x:c r="A1652" s="35" t="str">
        <x:v>deepseek</x:v>
      </x:c>
      <x:c r="B1652" s="35" t="str">
        <x:v>Mockito</x:v>
      </x:c>
      <x:c r="C1652" s="35" t="str">
        <x:v>Round2</x:v>
      </x:c>
      <x:c r="D1652" s="35" t="str">
        <x:v>Mockito_15</x:v>
      </x:c>
      <x:c r="E1652" s="35" t="str">
        <x:v>Line</x:v>
      </x:c>
      <x:c r="F1652" s="35" t="n">
        <x:v>13</x:v>
      </x:c>
      <x:c r="G1652" s="35" t="str">
        <x:v>RECORDED</x:v>
      </x:c>
      <x:c r="H1652" s="39" t="n">
        <x:f>IF(ISNUMBER('Data'!E1652),'Data'!E1652*100,"")</x:f>
        <x:v>100</x:v>
      </x:c>
      <x:c r="I1652" s="35" t="str">
        <x:v>PASS</x:v>
      </x:c>
      <x:c r="J1652" s="35" t="str">
        <x:v>PASS</x:v>
      </x:c>
      <x:c r="K1652" s="35" t="str">
        <x:v>PASS</x:v>
      </x:c>
      <x:c r="L1652" s="35" t="str">
        <x:v>PASS</x:v>
      </x:c>
      <x:c r="M1652" s="35" t="str">
        <x:v>numeric coverage for applicable metric</x:v>
      </x:c>
      <x:c r="N1652" s="35" t="str">
        <x:v>Deepseek-flash-v4/Result2/Mockito_15/result.json</x:v>
      </x:c>
      <x:c r="O1652" s="39" t="n">
        <x:f>IF(AND(G1652="RECORDED",ISNUMBER(H1652)),H1652,"")</x:f>
        <x:v>100</x:v>
      </x:c>
      <x:c r="P1652" s="35" t="str">
        <x:v>NOT_REVEALING</x:v>
      </x:c>
      <x:c r="Q1652" s="35" t="str">
        <x:v>Deepseek-flash-v4/Result2/Mockito_15/result.json</x:v>
      </x:c>
    </x:row>
    <x:row r="1653">
      <x:c r="A1653" s="35" t="str">
        <x:v>deepseek</x:v>
      </x:c>
      <x:c r="B1653" s="35" t="str">
        <x:v>Mockito</x:v>
      </x:c>
      <x:c r="C1653" s="35" t="str">
        <x:v>Round2</x:v>
      </x:c>
      <x:c r="D1653" s="35" t="str">
        <x:v>Mockito_16</x:v>
      </x:c>
      <x:c r="E1653" s="35" t="str">
        <x:v>Line</x:v>
      </x:c>
      <x:c r="F1653" s="35"/>
      <x:c r="G1653" s="35" t="str">
        <x:v>A</x:v>
      </x:c>
      <x:c r="H1653" s="39" t="str">
        <x:f>IF(ISNUMBER('Data'!E1653),'Data'!E1653*100,"")</x:f>
      </x:c>
      <x:c r="I1653" s="35"/>
      <x:c r="J1653" s="35" t="str">
        <x:v>PASS</x:v>
      </x:c>
      <x:c r="K1653" s="35" t="str">
        <x:v>FAIL</x:v>
      </x:c>
      <x:c r="L1653" s="35" t="str">
        <x:v>NOT_RUN</x:v>
      </x:c>
      <x:c r="M1653" s="35" t="str">
        <x:v>coverage unavailable or execution/compile failed</x:v>
      </x:c>
      <x:c r="N1653" s="35" t="str">
        <x:v>Deepseek-flash-v4/Result2/Mockito_16/result.json</x:v>
      </x:c>
      <x:c r="O1653" s="39" t="str">
        <x:f>IF(AND(G1653="RECORDED",ISNUMBER(H1653)),H1653,"")</x:f>
      </x:c>
      <x:c r="P1653" s="35" t="str">
        <x:v>NOT_AVAILABLE</x:v>
      </x:c>
      <x:c r="Q1653" s="35" t="str">
        <x:v>Deepseek-flash-v4/Result2/Mockito_16/result.json</x:v>
      </x:c>
    </x:row>
    <x:row r="1654">
      <x:c r="A1654" s="35" t="str">
        <x:v>deepseek</x:v>
      </x:c>
      <x:c r="B1654" s="35" t="str">
        <x:v>Mockito</x:v>
      </x:c>
      <x:c r="C1654" s="35" t="str">
        <x:v>Round2</x:v>
      </x:c>
      <x:c r="D1654" s="35" t="str">
        <x:v>Mockito_17</x:v>
      </x:c>
      <x:c r="E1654" s="35" t="str">
        <x:v>Line</x:v>
      </x:c>
      <x:c r="F1654" s="35" t="n">
        <x:v>61</x:v>
      </x:c>
      <x:c r="G1654" s="35" t="str">
        <x:v>RECORDED</x:v>
      </x:c>
      <x:c r="H1654" s="39" t="n">
        <x:f>IF(ISNUMBER('Data'!E1654),'Data'!E1654*100,"")</x:f>
        <x:v>100</x:v>
      </x:c>
      <x:c r="I1654" s="35" t="str">
        <x:v>PASS</x:v>
      </x:c>
      <x:c r="J1654" s="35" t="str">
        <x:v>PASS</x:v>
      </x:c>
      <x:c r="K1654" s="35" t="str">
        <x:v>PASS</x:v>
      </x:c>
      <x:c r="L1654" s="35" t="str">
        <x:v>PASS</x:v>
      </x:c>
      <x:c r="M1654" s="35" t="str">
        <x:v>numeric coverage for applicable metric</x:v>
      </x:c>
      <x:c r="N1654" s="35" t="str">
        <x:v>Deepseek-flash-v4/Result2/Mockito_17/result.json</x:v>
      </x:c>
      <x:c r="O1654" s="39" t="n">
        <x:f>IF(AND(G1654="RECORDED",ISNUMBER(H1654)),H1654,"")</x:f>
        <x:v>100</x:v>
      </x:c>
      <x:c r="P1654" s="35" t="str">
        <x:v>INCONCLUSIVE</x:v>
      </x:c>
      <x:c r="Q1654" s="35" t="str">
        <x:v>Deepseek-flash-v4/Result2/Mockito_17/result.json</x:v>
      </x:c>
    </x:row>
    <x:row r="1655">
      <x:c r="A1655" s="35" t="str">
        <x:v>deepseek</x:v>
      </x:c>
      <x:c r="B1655" s="35" t="str">
        <x:v>Mockito</x:v>
      </x:c>
      <x:c r="C1655" s="35" t="str">
        <x:v>Round2</x:v>
      </x:c>
      <x:c r="D1655" s="35" t="str">
        <x:v>Mockito_18</x:v>
      </x:c>
      <x:c r="E1655" s="35" t="str">
        <x:v>Line</x:v>
      </x:c>
      <x:c r="F1655" s="35"/>
      <x:c r="G1655" s="35" t="str">
        <x:v>A</x:v>
      </x:c>
      <x:c r="H1655" s="39" t="str">
        <x:f>IF(ISNUMBER('Data'!E1655),'Data'!E1655*100,"")</x:f>
      </x:c>
      <x:c r="I1655" s="35"/>
      <x:c r="J1655" s="35" t="str">
        <x:v>PASS</x:v>
      </x:c>
      <x:c r="K1655" s="35" t="str">
        <x:v>FAIL</x:v>
      </x:c>
      <x:c r="L1655" s="35" t="str">
        <x:v>NOT_RUN</x:v>
      </x:c>
      <x:c r="M1655" s="35" t="str">
        <x:v>coverage unavailable or execution/compile failed</x:v>
      </x:c>
      <x:c r="N1655" s="35" t="str">
        <x:v>Deepseek-flash-v4/Result2/Mockito_18/result.json</x:v>
      </x:c>
      <x:c r="O1655" s="39" t="str">
        <x:f>IF(AND(G1655="RECORDED",ISNUMBER(H1655)),H1655,"")</x:f>
      </x:c>
      <x:c r="P1655" s="35" t="str">
        <x:v>NOT_AVAILABLE</x:v>
      </x:c>
      <x:c r="Q1655" s="35" t="str">
        <x:v>Deepseek-flash-v4/Result2/Mockito_18/result.json</x:v>
      </x:c>
    </x:row>
    <x:row r="1656">
      <x:c r="A1656" s="35" t="str">
        <x:v>deepseek</x:v>
      </x:c>
      <x:c r="B1656" s="35" t="str">
        <x:v>Mockito</x:v>
      </x:c>
      <x:c r="C1656" s="35" t="str">
        <x:v>Round2</x:v>
      </x:c>
      <x:c r="D1656" s="35" t="str">
        <x:v>Mockito_19</x:v>
      </x:c>
      <x:c r="E1656" s="35" t="str">
        <x:v>Line</x:v>
      </x:c>
      <x:c r="F1656" s="35"/>
      <x:c r="G1656" s="35" t="str">
        <x:v>A</x:v>
      </x:c>
      <x:c r="H1656" s="39" t="str">
        <x:f>IF(ISNUMBER('Data'!E1656),'Data'!E1656*100,"")</x:f>
      </x:c>
      <x:c r="I1656" s="35"/>
      <x:c r="J1656" s="35" t="str">
        <x:v>PASS</x:v>
      </x:c>
      <x:c r="K1656" s="35" t="str">
        <x:v>FAIL</x:v>
      </x:c>
      <x:c r="L1656" s="35" t="str">
        <x:v>NOT_RUN</x:v>
      </x:c>
      <x:c r="M1656" s="35" t="str">
        <x:v>coverage unavailable or execution/compile failed</x:v>
      </x:c>
      <x:c r="N1656" s="35" t="str">
        <x:v>Deepseek-flash-v4/Result2/Mockito_19/result.json</x:v>
      </x:c>
      <x:c r="O1656" s="39" t="str">
        <x:f>IF(AND(G1656="RECORDED",ISNUMBER(H1656)),H1656,"")</x:f>
      </x:c>
      <x:c r="P1656" s="35" t="str">
        <x:v>NOT_AVAILABLE</x:v>
      </x:c>
      <x:c r="Q1656" s="35" t="str">
        <x:v>Deepseek-flash-v4/Result2/Mockito_19/result.json</x:v>
      </x:c>
    </x:row>
    <x:row r="1657">
      <x:c r="A1657" s="35" t="str">
        <x:v>deepseek</x:v>
      </x:c>
      <x:c r="B1657" s="35" t="str">
        <x:v>Mockito</x:v>
      </x:c>
      <x:c r="C1657" s="35" t="str">
        <x:v>Round2</x:v>
      </x:c>
      <x:c r="D1657" s="35" t="str">
        <x:v>Mockito_2</x:v>
      </x:c>
      <x:c r="E1657" s="35" t="str">
        <x:v>Line</x:v>
      </x:c>
      <x:c r="F1657" s="35" t="n">
        <x:v>9</x:v>
      </x:c>
      <x:c r="G1657" s="35" t="str">
        <x:v>RECORDED</x:v>
      </x:c>
      <x:c r="H1657" s="39" t="n">
        <x:f>IF(ISNUMBER('Data'!E1657),'Data'!E1657*100,"")</x:f>
        <x:v>100</x:v>
      </x:c>
      <x:c r="I1657" s="35" t="str">
        <x:v>PASS</x:v>
      </x:c>
      <x:c r="J1657" s="35" t="str">
        <x:v>PASS</x:v>
      </x:c>
      <x:c r="K1657" s="35" t="str">
        <x:v>PASS</x:v>
      </x:c>
      <x:c r="L1657" s="35" t="str">
        <x:v>FAIL</x:v>
      </x:c>
      <x:c r="M1657" s="35" t="str">
        <x:v>numeric coverage for applicable metric</x:v>
      </x:c>
      <x:c r="N1657" s="35" t="str">
        <x:v>Deepseek-flash-v4/Result2/Mockito_2/result.json</x:v>
      </x:c>
      <x:c r="O1657" s="39" t="n">
        <x:f>IF(AND(G1657="RECORDED",ISNUMBER(H1657)),H1657,"")</x:f>
        <x:v>100</x:v>
      </x:c>
      <x:c r="P1657" s="35" t="str">
        <x:v>INCONCLUSIVE</x:v>
      </x:c>
      <x:c r="Q1657" s="35" t="str">
        <x:v>Deepseek-flash-v4/Result2/Mockito_2/result.json</x:v>
      </x:c>
    </x:row>
    <x:row r="1658">
      <x:c r="A1658" s="35" t="str">
        <x:v>deepseek</x:v>
      </x:c>
      <x:c r="B1658" s="35" t="str">
        <x:v>Mockito</x:v>
      </x:c>
      <x:c r="C1658" s="35" t="str">
        <x:v>Round2</x:v>
      </x:c>
      <x:c r="D1658" s="35" t="str">
        <x:v>Mockito_20</x:v>
      </x:c>
      <x:c r="E1658" s="35" t="str">
        <x:v>Line</x:v>
      </x:c>
      <x:c r="F1658" s="35"/>
      <x:c r="G1658" s="35" t="str">
        <x:v>A</x:v>
      </x:c>
      <x:c r="H1658" s="39" t="str">
        <x:f>IF(ISNUMBER('Data'!E1658),'Data'!E1658*100,"")</x:f>
      </x:c>
      <x:c r="I1658" s="35"/>
      <x:c r="J1658" s="35" t="str">
        <x:v>PASS</x:v>
      </x:c>
      <x:c r="K1658" s="35" t="str">
        <x:v>FAIL</x:v>
      </x:c>
      <x:c r="L1658" s="35" t="str">
        <x:v>NOT_RUN</x:v>
      </x:c>
      <x:c r="M1658" s="35" t="str">
        <x:v>coverage unavailable or execution/compile failed</x:v>
      </x:c>
      <x:c r="N1658" s="35" t="str">
        <x:v>Deepseek-flash-v4/Result2/Mockito_20/result.json</x:v>
      </x:c>
      <x:c r="O1658" s="39" t="str">
        <x:f>IF(AND(G1658="RECORDED",ISNUMBER(H1658)),H1658,"")</x:f>
      </x:c>
      <x:c r="P1658" s="35" t="str">
        <x:v>NOT_AVAILABLE</x:v>
      </x:c>
      <x:c r="Q1658" s="35" t="str">
        <x:v>Deepseek-flash-v4/Result2/Mockito_20/result.json</x:v>
      </x:c>
    </x:row>
    <x:row r="1659">
      <x:c r="A1659" s="35" t="str">
        <x:v>deepseek</x:v>
      </x:c>
      <x:c r="B1659" s="35" t="str">
        <x:v>Mockito</x:v>
      </x:c>
      <x:c r="C1659" s="35" t="str">
        <x:v>Round2</x:v>
      </x:c>
      <x:c r="D1659" s="35" t="str">
        <x:v>Mockito_21</x:v>
      </x:c>
      <x:c r="E1659" s="35" t="str">
        <x:v>Line</x:v>
      </x:c>
      <x:c r="F1659" s="35" t="n">
        <x:v>16</x:v>
      </x:c>
      <x:c r="G1659" s="35" t="str">
        <x:v>RECORDED</x:v>
      </x:c>
      <x:c r="H1659" s="39" t="n">
        <x:f>IF(ISNUMBER('Data'!E1659),'Data'!E1659*100,"")</x:f>
        <x:v>100</x:v>
      </x:c>
      <x:c r="I1659" s="35" t="str">
        <x:v>PASS</x:v>
      </x:c>
      <x:c r="J1659" s="35" t="str">
        <x:v>PASS</x:v>
      </x:c>
      <x:c r="K1659" s="35" t="str">
        <x:v>PASS</x:v>
      </x:c>
      <x:c r="L1659" s="35" t="str">
        <x:v>FAIL</x:v>
      </x:c>
      <x:c r="M1659" s="35" t="str">
        <x:v>numeric coverage for applicable metric</x:v>
      </x:c>
      <x:c r="N1659" s="35" t="str">
        <x:v>Deepseek-flash-v4/Result2/Mockito_21/result.json</x:v>
      </x:c>
      <x:c r="O1659" s="39" t="n">
        <x:f>IF(AND(G1659="RECORDED",ISNUMBER(H1659)),H1659,"")</x:f>
        <x:v>100</x:v>
      </x:c>
      <x:c r="P1659" s="35" t="str">
        <x:v>INCONCLUSIVE</x:v>
      </x:c>
      <x:c r="Q1659" s="35" t="str">
        <x:v>Deepseek-flash-v4/Result2/Mockito_21/result.json</x:v>
      </x:c>
    </x:row>
    <x:row r="1660">
      <x:c r="A1660" s="35" t="str">
        <x:v>deepseek</x:v>
      </x:c>
      <x:c r="B1660" s="35" t="str">
        <x:v>Mockito</x:v>
      </x:c>
      <x:c r="C1660" s="35" t="str">
        <x:v>Round2</x:v>
      </x:c>
      <x:c r="D1660" s="35" t="str">
        <x:v>Mockito_22</x:v>
      </x:c>
      <x:c r="E1660" s="35" t="str">
        <x:v>Line</x:v>
      </x:c>
      <x:c r="F1660" s="35" t="n">
        <x:v>13</x:v>
      </x:c>
      <x:c r="G1660" s="35" t="str">
        <x:v>RECORDED</x:v>
      </x:c>
      <x:c r="H1660" s="39" t="n">
        <x:f>IF(ISNUMBER('Data'!E1660),'Data'!E1660*100,"")</x:f>
        <x:v>92.31</x:v>
      </x:c>
      <x:c r="I1660" s="35" t="str">
        <x:v>PASS</x:v>
      </x:c>
      <x:c r="J1660" s="35" t="str">
        <x:v>PASS</x:v>
      </x:c>
      <x:c r="K1660" s="35" t="str">
        <x:v>PASS</x:v>
      </x:c>
      <x:c r="L1660" s="35" t="str">
        <x:v>PASS</x:v>
      </x:c>
      <x:c r="M1660" s="35" t="str">
        <x:v>numeric coverage for applicable metric</x:v>
      </x:c>
      <x:c r="N1660" s="35" t="str">
        <x:v>Deepseek-flash-v4/Result2/Mockito_22/result.json</x:v>
      </x:c>
      <x:c r="O1660" s="39" t="n">
        <x:f>IF(AND(G1660="RECORDED",ISNUMBER(H1660)),H1660,"")</x:f>
        <x:v>92.31</x:v>
      </x:c>
      <x:c r="P1660" s="35" t="str">
        <x:v>NOT_REVEALING</x:v>
      </x:c>
      <x:c r="Q1660" s="35" t="str">
        <x:v>Deepseek-flash-v4/Result2/Mockito_22/result.json</x:v>
      </x:c>
    </x:row>
    <x:row r="1661">
      <x:c r="A1661" s="35" t="str">
        <x:v>deepseek</x:v>
      </x:c>
      <x:c r="B1661" s="35" t="str">
        <x:v>Mockito</x:v>
      </x:c>
      <x:c r="C1661" s="35" t="str">
        <x:v>Round2</x:v>
      </x:c>
      <x:c r="D1661" s="35" t="str">
        <x:v>Mockito_23</x:v>
      </x:c>
      <x:c r="E1661" s="35" t="str">
        <x:v>Line</x:v>
      </x:c>
      <x:c r="F1661" s="35"/>
      <x:c r="G1661" s="35" t="str">
        <x:v>A</x:v>
      </x:c>
      <x:c r="H1661" s="39" t="str">
        <x:f>IF(ISNUMBER('Data'!E1661),'Data'!E1661*100,"")</x:f>
      </x:c>
      <x:c r="I1661" s="35"/>
      <x:c r="J1661" s="35" t="str">
        <x:v>PASS</x:v>
      </x:c>
      <x:c r="K1661" s="35" t="str">
        <x:v>FAIL</x:v>
      </x:c>
      <x:c r="L1661" s="35" t="str">
        <x:v>NOT_RUN</x:v>
      </x:c>
      <x:c r="M1661" s="35" t="str">
        <x:v>coverage unavailable or execution/compile failed</x:v>
      </x:c>
      <x:c r="N1661" s="35" t="str">
        <x:v>Deepseek-flash-v4/Result2/Mockito_23/result.json</x:v>
      </x:c>
      <x:c r="O1661" s="39" t="str">
        <x:f>IF(AND(G1661="RECORDED",ISNUMBER(H1661)),H1661,"")</x:f>
      </x:c>
      <x:c r="P1661" s="35" t="str">
        <x:v>NOT_AVAILABLE</x:v>
      </x:c>
      <x:c r="Q1661" s="35" t="str">
        <x:v>Deepseek-flash-v4/Result2/Mockito_23/result.json</x:v>
      </x:c>
    </x:row>
    <x:row r="1662">
      <x:c r="A1662" s="35" t="str">
        <x:v>deepseek</x:v>
      </x:c>
      <x:c r="B1662" s="35" t="str">
        <x:v>Mockito</x:v>
      </x:c>
      <x:c r="C1662" s="35" t="str">
        <x:v>Round2</x:v>
      </x:c>
      <x:c r="D1662" s="35" t="str">
        <x:v>Mockito_24</x:v>
      </x:c>
      <x:c r="E1662" s="35" t="str">
        <x:v>Line</x:v>
      </x:c>
      <x:c r="F1662" s="35"/>
      <x:c r="G1662" s="35" t="str">
        <x:v>A</x:v>
      </x:c>
      <x:c r="H1662" s="39" t="str">
        <x:f>IF(ISNUMBER('Data'!E1662),'Data'!E1662*100,"")</x:f>
      </x:c>
      <x:c r="I1662" s="35"/>
      <x:c r="J1662" s="35" t="str">
        <x:v>PASS</x:v>
      </x:c>
      <x:c r="K1662" s="35" t="str">
        <x:v>FAIL</x:v>
      </x:c>
      <x:c r="L1662" s="35" t="str">
        <x:v>NOT_RUN</x:v>
      </x:c>
      <x:c r="M1662" s="35" t="str">
        <x:v>coverage unavailable or execution/compile failed</x:v>
      </x:c>
      <x:c r="N1662" s="35" t="str">
        <x:v>Deepseek-flash-v4/Result2/Mockito_24/result.json</x:v>
      </x:c>
      <x:c r="O1662" s="39" t="str">
        <x:f>IF(AND(G1662="RECORDED",ISNUMBER(H1662)),H1662,"")</x:f>
      </x:c>
      <x:c r="P1662" s="35" t="str">
        <x:v>NOT_AVAILABLE</x:v>
      </x:c>
      <x:c r="Q1662" s="35" t="str">
        <x:v>Deepseek-flash-v4/Result2/Mockito_24/result.json</x:v>
      </x:c>
    </x:row>
    <x:row r="1663">
      <x:c r="A1663" s="35" t="str">
        <x:v>deepseek</x:v>
      </x:c>
      <x:c r="B1663" s="35" t="str">
        <x:v>Mockito</x:v>
      </x:c>
      <x:c r="C1663" s="35" t="str">
        <x:v>Round2</x:v>
      </x:c>
      <x:c r="D1663" s="35" t="str">
        <x:v>Mockito_25</x:v>
      </x:c>
      <x:c r="E1663" s="35" t="str">
        <x:v>Line</x:v>
      </x:c>
      <x:c r="F1663" s="35" t="n">
        <x:v>23</x:v>
      </x:c>
      <x:c r="G1663" s="35" t="str">
        <x:v>RECORDED</x:v>
      </x:c>
      <x:c r="H1663" s="39" t="n">
        <x:f>IF(ISNUMBER('Data'!E1663),'Data'!E1663*100,"")</x:f>
        <x:v>95.65</x:v>
      </x:c>
      <x:c r="I1663" s="35" t="str">
        <x:v>PASS</x:v>
      </x:c>
      <x:c r="J1663" s="35" t="str">
        <x:v>PASS</x:v>
      </x:c>
      <x:c r="K1663" s="35" t="str">
        <x:v>PASS</x:v>
      </x:c>
      <x:c r="L1663" s="35" t="str">
        <x:v>PASS</x:v>
      </x:c>
      <x:c r="M1663" s="35" t="str">
        <x:v>numeric coverage for applicable metric</x:v>
      </x:c>
      <x:c r="N1663" s="35" t="str">
        <x:v>Deepseek-flash-v4/Result2/Mockito_25/result.json</x:v>
      </x:c>
      <x:c r="O1663" s="39" t="n">
        <x:f>IF(AND(G1663="RECORDED",ISNUMBER(H1663)),H1663,"")</x:f>
        <x:v>95.65</x:v>
      </x:c>
      <x:c r="P1663" s="35" t="str">
        <x:v>NOT_REVEALING</x:v>
      </x:c>
      <x:c r="Q1663" s="35" t="str">
        <x:v>Deepseek-flash-v4/Result2/Mockito_25/result.json</x:v>
      </x:c>
    </x:row>
    <x:row r="1664">
      <x:c r="A1664" s="35" t="str">
        <x:v>deepseek</x:v>
      </x:c>
      <x:c r="B1664" s="35" t="str">
        <x:v>Mockito</x:v>
      </x:c>
      <x:c r="C1664" s="35" t="str">
        <x:v>Round2</x:v>
      </x:c>
      <x:c r="D1664" s="35" t="str">
        <x:v>Mockito_26</x:v>
      </x:c>
      <x:c r="E1664" s="35" t="str">
        <x:v>Line</x:v>
      </x:c>
      <x:c r="F1664" s="35" t="n">
        <x:v>36</x:v>
      </x:c>
      <x:c r="G1664" s="35" t="str">
        <x:v>RECORDED</x:v>
      </x:c>
      <x:c r="H1664" s="39" t="n">
        <x:f>IF(ISNUMBER('Data'!E1664),'Data'!E1664*100,"")</x:f>
        <x:v>97.22</x:v>
      </x:c>
      <x:c r="I1664" s="35" t="str">
        <x:v>PASS</x:v>
      </x:c>
      <x:c r="J1664" s="35" t="str">
        <x:v>PASS</x:v>
      </x:c>
      <x:c r="K1664" s="35" t="str">
        <x:v>PASS</x:v>
      </x:c>
      <x:c r="L1664" s="35" t="str">
        <x:v>FAIL</x:v>
      </x:c>
      <x:c r="M1664" s="35" t="str">
        <x:v>numeric coverage for applicable metric</x:v>
      </x:c>
      <x:c r="N1664" s="35" t="str">
        <x:v>Deepseek-flash-v4/Result2/Mockito_26/result.json</x:v>
      </x:c>
      <x:c r="O1664" s="39" t="n">
        <x:f>IF(AND(G1664="RECORDED",ISNUMBER(H1664)),H1664,"")</x:f>
        <x:v>97.22</x:v>
      </x:c>
      <x:c r="P1664" s="35" t="str">
        <x:v>REVEALING</x:v>
      </x:c>
      <x:c r="Q1664" s="35" t="str">
        <x:v>Deepseek-flash-v4/Result2/Mockito_26/result.json</x:v>
      </x:c>
    </x:row>
    <x:row r="1665">
      <x:c r="A1665" s="35" t="str">
        <x:v>deepseek</x:v>
      </x:c>
      <x:c r="B1665" s="35" t="str">
        <x:v>Mockito</x:v>
      </x:c>
      <x:c r="C1665" s="35" t="str">
        <x:v>Round2</x:v>
      </x:c>
      <x:c r="D1665" s="35" t="str">
        <x:v>Mockito_27</x:v>
      </x:c>
      <x:c r="E1665" s="35" t="str">
        <x:v>Line</x:v>
      </x:c>
      <x:c r="F1665" s="35"/>
      <x:c r="G1665" s="35" t="str">
        <x:v>A</x:v>
      </x:c>
      <x:c r="H1665" s="39" t="str">
        <x:f>IF(ISNUMBER('Data'!E1665),'Data'!E1665*100,"")</x:f>
      </x:c>
      <x:c r="I1665" s="35"/>
      <x:c r="J1665" s="35" t="str">
        <x:v>PASS</x:v>
      </x:c>
      <x:c r="K1665" s="35" t="str">
        <x:v>FAIL</x:v>
      </x:c>
      <x:c r="L1665" s="35" t="str">
        <x:v>NOT_RUN</x:v>
      </x:c>
      <x:c r="M1665" s="35" t="str">
        <x:v>coverage unavailable or execution/compile failed</x:v>
      </x:c>
      <x:c r="N1665" s="35" t="str">
        <x:v>Deepseek-flash-v4/Result2/Mockito_27/result.json</x:v>
      </x:c>
      <x:c r="O1665" s="39" t="str">
        <x:f>IF(AND(G1665="RECORDED",ISNUMBER(H1665)),H1665,"")</x:f>
      </x:c>
      <x:c r="P1665" s="35" t="str">
        <x:v>NOT_AVAILABLE</x:v>
      </x:c>
      <x:c r="Q1665" s="35" t="str">
        <x:v>Deepseek-flash-v4/Result2/Mockito_27/result.json</x:v>
      </x:c>
    </x:row>
    <x:row r="1666">
      <x:c r="A1666" s="35" t="str">
        <x:v>deepseek</x:v>
      </x:c>
      <x:c r="B1666" s="35" t="str">
        <x:v>Mockito</x:v>
      </x:c>
      <x:c r="C1666" s="35" t="str">
        <x:v>Round2</x:v>
      </x:c>
      <x:c r="D1666" s="35" t="str">
        <x:v>Mockito_28</x:v>
      </x:c>
      <x:c r="E1666" s="35" t="str">
        <x:v>Line</x:v>
      </x:c>
      <x:c r="F1666" s="35" t="n">
        <x:v>30</x:v>
      </x:c>
      <x:c r="G1666" s="35" t="str">
        <x:v>RECORDED</x:v>
      </x:c>
      <x:c r="H1666" s="39" t="n">
        <x:f>IF(ISNUMBER('Data'!E1666),'Data'!E1666*100,"")</x:f>
        <x:v>93.33</x:v>
      </x:c>
      <x:c r="I1666" s="35" t="str">
        <x:v>PASS</x:v>
      </x:c>
      <x:c r="J1666" s="35" t="str">
        <x:v>PASS</x:v>
      </x:c>
      <x:c r="K1666" s="35" t="str">
        <x:v>PASS</x:v>
      </x:c>
      <x:c r="L1666" s="35" t="str">
        <x:v>PASS</x:v>
      </x:c>
      <x:c r="M1666" s="35" t="str">
        <x:v>numeric coverage for applicable metric</x:v>
      </x:c>
      <x:c r="N1666" s="35" t="str">
        <x:v>Deepseek-flash-v4/Result2/Mockito_28/result.json</x:v>
      </x:c>
      <x:c r="O1666" s="39" t="n">
        <x:f>IF(AND(G1666="RECORDED",ISNUMBER(H1666)),H1666,"")</x:f>
        <x:v>93.33</x:v>
      </x:c>
      <x:c r="P1666" s="35" t="str">
        <x:v>NOT_REVEALING</x:v>
      </x:c>
      <x:c r="Q1666" s="35" t="str">
        <x:v>Deepseek-flash-v4/Result2/Mockito_28/result.json</x:v>
      </x:c>
    </x:row>
    <x:row r="1667">
      <x:c r="A1667" s="35" t="str">
        <x:v>deepseek</x:v>
      </x:c>
      <x:c r="B1667" s="35" t="str">
        <x:v>Mockito</x:v>
      </x:c>
      <x:c r="C1667" s="35" t="str">
        <x:v>Round2</x:v>
      </x:c>
      <x:c r="D1667" s="35" t="str">
        <x:v>Mockito_29</x:v>
      </x:c>
      <x:c r="E1667" s="35" t="str">
        <x:v>Line</x:v>
      </x:c>
      <x:c r="F1667" s="35"/>
      <x:c r="G1667" s="35" t="str">
        <x:v>A</x:v>
      </x:c>
      <x:c r="H1667" s="39" t="str">
        <x:f>IF(ISNUMBER('Data'!E1667),'Data'!E1667*100,"")</x:f>
      </x:c>
      <x:c r="I1667" s="35"/>
      <x:c r="J1667" s="35" t="str">
        <x:v>PASS</x:v>
      </x:c>
      <x:c r="K1667" s="35" t="str">
        <x:v>FAIL</x:v>
      </x:c>
      <x:c r="L1667" s="35" t="str">
        <x:v>NOT_RUN</x:v>
      </x:c>
      <x:c r="M1667" s="35" t="str">
        <x:v>coverage unavailable or execution/compile failed</x:v>
      </x:c>
      <x:c r="N1667" s="35" t="str">
        <x:v>Deepseek-flash-v4/Result2/Mockito_29/result.json</x:v>
      </x:c>
      <x:c r="O1667" s="39" t="str">
        <x:f>IF(AND(G1667="RECORDED",ISNUMBER(H1667)),H1667,"")</x:f>
      </x:c>
      <x:c r="P1667" s="35" t="str">
        <x:v>NOT_AVAILABLE</x:v>
      </x:c>
      <x:c r="Q1667" s="35" t="str">
        <x:v>Deepseek-flash-v4/Result2/Mockito_29/result.json</x:v>
      </x:c>
    </x:row>
    <x:row r="1668">
      <x:c r="A1668" s="35" t="str">
        <x:v>deepseek</x:v>
      </x:c>
      <x:c r="B1668" s="35" t="str">
        <x:v>Mockito</x:v>
      </x:c>
      <x:c r="C1668" s="35" t="str">
        <x:v>Round2</x:v>
      </x:c>
      <x:c r="D1668" s="35" t="str">
        <x:v>Mockito_3</x:v>
      </x:c>
      <x:c r="E1668" s="35" t="str">
        <x:v>Line</x:v>
      </x:c>
      <x:c r="F1668" s="35"/>
      <x:c r="G1668" s="35" t="str">
        <x:v>A</x:v>
      </x:c>
      <x:c r="H1668" s="39" t="str">
        <x:f>IF(ISNUMBER('Data'!E1668),'Data'!E1668*100,"")</x:f>
      </x:c>
      <x:c r="I1668" s="35"/>
      <x:c r="J1668" s="35" t="str">
        <x:v>PASS</x:v>
      </x:c>
      <x:c r="K1668" s="35" t="str">
        <x:v>FAIL</x:v>
      </x:c>
      <x:c r="L1668" s="35" t="str">
        <x:v>NOT_RUN</x:v>
      </x:c>
      <x:c r="M1668" s="35" t="str">
        <x:v>coverage unavailable or execution/compile failed</x:v>
      </x:c>
      <x:c r="N1668" s="35" t="str">
        <x:v>Deepseek-flash-v4/Result2/Mockito_3/result.json</x:v>
      </x:c>
      <x:c r="O1668" s="39" t="str">
        <x:f>IF(AND(G1668="RECORDED",ISNUMBER(H1668)),H1668,"")</x:f>
      </x:c>
      <x:c r="P1668" s="35" t="str">
        <x:v>NOT_AVAILABLE</x:v>
      </x:c>
      <x:c r="Q1668" s="35" t="str">
        <x:v>Deepseek-flash-v4/Result2/Mockito_3/result.json</x:v>
      </x:c>
    </x:row>
    <x:row r="1669">
      <x:c r="A1669" s="35" t="str">
        <x:v>deepseek</x:v>
      </x:c>
      <x:c r="B1669" s="35" t="str">
        <x:v>Mockito</x:v>
      </x:c>
      <x:c r="C1669" s="35" t="str">
        <x:v>Round2</x:v>
      </x:c>
      <x:c r="D1669" s="35" t="str">
        <x:v>Mockito_30</x:v>
      </x:c>
      <x:c r="E1669" s="35" t="str">
        <x:v>Line</x:v>
      </x:c>
      <x:c r="F1669" s="35" t="n">
        <x:v>112</x:v>
      </x:c>
      <x:c r="G1669" s="35" t="str">
        <x:v>RECORDED</x:v>
      </x:c>
      <x:c r="H1669" s="39" t="n">
        <x:f>IF(ISNUMBER('Data'!E1669),'Data'!E1669*100,"")</x:f>
        <x:v>77.68</x:v>
      </x:c>
      <x:c r="I1669" s="35" t="str">
        <x:v>PASS</x:v>
      </x:c>
      <x:c r="J1669" s="35" t="str">
        <x:v>PASS</x:v>
      </x:c>
      <x:c r="K1669" s="35" t="str">
        <x:v>PASS</x:v>
      </x:c>
      <x:c r="L1669" s="35" t="str">
        <x:v>FAIL</x:v>
      </x:c>
      <x:c r="M1669" s="35" t="str">
        <x:v>numeric coverage for applicable metric</x:v>
      </x:c>
      <x:c r="N1669" s="35" t="str">
        <x:v>Deepseek-flash-v4/Result2/Mockito_30/result.json</x:v>
      </x:c>
      <x:c r="O1669" s="39" t="n">
        <x:f>IF(AND(G1669="RECORDED",ISNUMBER(H1669)),H1669,"")</x:f>
        <x:v>77.68</x:v>
      </x:c>
      <x:c r="P1669" s="35" t="str">
        <x:v>NOT_AVAILABLE</x:v>
      </x:c>
      <x:c r="Q1669" s="35" t="str">
        <x:v>Deepseek-flash-v4/Result2/Mockito_30/result.json</x:v>
      </x:c>
    </x:row>
    <x:row r="1670">
      <x:c r="A1670" s="35" t="str">
        <x:v>deepseek</x:v>
      </x:c>
      <x:c r="B1670" s="35" t="str">
        <x:v>Mockito</x:v>
      </x:c>
      <x:c r="C1670" s="35" t="str">
        <x:v>Round2</x:v>
      </x:c>
      <x:c r="D1670" s="35" t="str">
        <x:v>Mockito_31</x:v>
      </x:c>
      <x:c r="E1670" s="35" t="str">
        <x:v>Line</x:v>
      </x:c>
      <x:c r="F1670" s="35" t="n">
        <x:v>19</x:v>
      </x:c>
      <x:c r="G1670" s="35" t="str">
        <x:v>RECORDED</x:v>
      </x:c>
      <x:c r="H1670" s="39" t="n">
        <x:f>IF(ISNUMBER('Data'!E1670),'Data'!E1670*100,"")</x:f>
        <x:v>94.74</x:v>
      </x:c>
      <x:c r="I1670" s="35" t="str">
        <x:v>PASS</x:v>
      </x:c>
      <x:c r="J1670" s="35" t="str">
        <x:v>PASS</x:v>
      </x:c>
      <x:c r="K1670" s="35" t="str">
        <x:v>PASS</x:v>
      </x:c>
      <x:c r="L1670" s="35" t="str">
        <x:v>PASS</x:v>
      </x:c>
      <x:c r="M1670" s="35" t="str">
        <x:v>numeric coverage for applicable metric</x:v>
      </x:c>
      <x:c r="N1670" s="35" t="str">
        <x:v>Deepseek-flash-v4/Result2/Mockito_31/result.json</x:v>
      </x:c>
      <x:c r="O1670" s="39" t="n">
        <x:f>IF(AND(G1670="RECORDED",ISNUMBER(H1670)),H1670,"")</x:f>
        <x:v>94.74</x:v>
      </x:c>
      <x:c r="P1670" s="35" t="str">
        <x:v>NOT_REVEALING</x:v>
      </x:c>
      <x:c r="Q1670" s="35" t="str">
        <x:v>Deepseek-flash-v4/Result2/Mockito_31/result.json</x:v>
      </x:c>
    </x:row>
    <x:row r="1671">
      <x:c r="A1671" s="35" t="str">
        <x:v>deepseek</x:v>
      </x:c>
      <x:c r="B1671" s="35" t="str">
        <x:v>Mockito</x:v>
      </x:c>
      <x:c r="C1671" s="35" t="str">
        <x:v>Round2</x:v>
      </x:c>
      <x:c r="D1671" s="35" t="str">
        <x:v>Mockito_32</x:v>
      </x:c>
      <x:c r="E1671" s="35" t="str">
        <x:v>Line</x:v>
      </x:c>
      <x:c r="F1671" s="35" t="n">
        <x:v>23</x:v>
      </x:c>
      <x:c r="G1671" s="35" t="str">
        <x:v>RECORDED</x:v>
      </x:c>
      <x:c r="H1671" s="39" t="n">
        <x:f>IF(ISNUMBER('Data'!E1671),'Data'!E1671*100,"")</x:f>
        <x:v>86.96</x:v>
      </x:c>
      <x:c r="I1671" s="35" t="str">
        <x:v>PASS</x:v>
      </x:c>
      <x:c r="J1671" s="35" t="str">
        <x:v>PASS</x:v>
      </x:c>
      <x:c r="K1671" s="35" t="str">
        <x:v>PASS</x:v>
      </x:c>
      <x:c r="L1671" s="35" t="str">
        <x:v>FAIL</x:v>
      </x:c>
      <x:c r="M1671" s="35" t="str">
        <x:v>numeric coverage for applicable metric</x:v>
      </x:c>
      <x:c r="N1671" s="35" t="str">
        <x:v>Deepseek-flash-v4/Result2/Mockito_32/result.json</x:v>
      </x:c>
      <x:c r="O1671" s="39" t="n">
        <x:f>IF(AND(G1671="RECORDED",ISNUMBER(H1671)),H1671,"")</x:f>
        <x:v>86.96</x:v>
      </x:c>
      <x:c r="P1671" s="35" t="str">
        <x:v>INCONCLUSIVE</x:v>
      </x:c>
      <x:c r="Q1671" s="35" t="str">
        <x:v>Deepseek-flash-v4/Result2/Mockito_32/result.json</x:v>
      </x:c>
    </x:row>
    <x:row r="1672">
      <x:c r="A1672" s="35" t="str">
        <x:v>deepseek</x:v>
      </x:c>
      <x:c r="B1672" s="35" t="str">
        <x:v>Mockito</x:v>
      </x:c>
      <x:c r="C1672" s="35" t="str">
        <x:v>Round2</x:v>
      </x:c>
      <x:c r="D1672" s="35" t="str">
        <x:v>Mockito_33</x:v>
      </x:c>
      <x:c r="E1672" s="35" t="str">
        <x:v>Line</x:v>
      </x:c>
      <x:c r="F1672" s="35"/>
      <x:c r="G1672" s="35" t="str">
        <x:v>A</x:v>
      </x:c>
      <x:c r="H1672" s="39" t="str">
        <x:f>IF(ISNUMBER('Data'!E1672),'Data'!E1672*100,"")</x:f>
      </x:c>
      <x:c r="I1672" s="35"/>
      <x:c r="J1672" s="35" t="str">
        <x:v>PASS</x:v>
      </x:c>
      <x:c r="K1672" s="35" t="str">
        <x:v>FAIL</x:v>
      </x:c>
      <x:c r="L1672" s="35" t="str">
        <x:v>NOT_RUN</x:v>
      </x:c>
      <x:c r="M1672" s="35" t="str">
        <x:v>coverage unavailable or execution/compile failed</x:v>
      </x:c>
      <x:c r="N1672" s="35" t="str">
        <x:v>Deepseek-flash-v4/Result2/Mockito_33/result.json</x:v>
      </x:c>
      <x:c r="O1672" s="39" t="str">
        <x:f>IF(AND(G1672="RECORDED",ISNUMBER(H1672)),H1672,"")</x:f>
      </x:c>
      <x:c r="P1672" s="35" t="str">
        <x:v>NOT_AVAILABLE</x:v>
      </x:c>
      <x:c r="Q1672" s="35" t="str">
        <x:v>Deepseek-flash-v4/Result2/Mockito_33/result.json</x:v>
      </x:c>
    </x:row>
    <x:row r="1673">
      <x:c r="A1673" s="35" t="str">
        <x:v>deepseek</x:v>
      </x:c>
      <x:c r="B1673" s="35" t="str">
        <x:v>Mockito</x:v>
      </x:c>
      <x:c r="C1673" s="35" t="str">
        <x:v>Round2</x:v>
      </x:c>
      <x:c r="D1673" s="35" t="str">
        <x:v>Mockito_34</x:v>
      </x:c>
      <x:c r="E1673" s="35" t="str">
        <x:v>Line</x:v>
      </x:c>
      <x:c r="F1673" s="35"/>
      <x:c r="G1673" s="35" t="str">
        <x:v>A</x:v>
      </x:c>
      <x:c r="H1673" s="39" t="str">
        <x:f>IF(ISNUMBER('Data'!E1673),'Data'!E1673*100,"")</x:f>
      </x:c>
      <x:c r="I1673" s="35"/>
      <x:c r="J1673" s="35" t="str">
        <x:v>PASS</x:v>
      </x:c>
      <x:c r="K1673" s="35" t="str">
        <x:v>FAIL</x:v>
      </x:c>
      <x:c r="L1673" s="35" t="str">
        <x:v>NOT_RUN</x:v>
      </x:c>
      <x:c r="M1673" s="35" t="str">
        <x:v>coverage unavailable or execution/compile failed</x:v>
      </x:c>
      <x:c r="N1673" s="35" t="str">
        <x:v>Deepseek-flash-v4/Result2/Mockito_34/result.json</x:v>
      </x:c>
      <x:c r="O1673" s="39" t="str">
        <x:f>IF(AND(G1673="RECORDED",ISNUMBER(H1673)),H1673,"")</x:f>
      </x:c>
      <x:c r="P1673" s="35" t="str">
        <x:v>NOT_AVAILABLE</x:v>
      </x:c>
      <x:c r="Q1673" s="35" t="str">
        <x:v>Deepseek-flash-v4/Result2/Mockito_34/result.json</x:v>
      </x:c>
    </x:row>
    <x:row r="1674">
      <x:c r="A1674" s="35" t="str">
        <x:v>deepseek</x:v>
      </x:c>
      <x:c r="B1674" s="35" t="str">
        <x:v>Mockito</x:v>
      </x:c>
      <x:c r="C1674" s="35" t="str">
        <x:v>Round2</x:v>
      </x:c>
      <x:c r="D1674" s="35" t="str">
        <x:v>Mockito_35</x:v>
      </x:c>
      <x:c r="E1674" s="35" t="str">
        <x:v>Line</x:v>
      </x:c>
      <x:c r="F1674" s="35" t="n">
        <x:v>51</x:v>
      </x:c>
      <x:c r="G1674" s="35" t="str">
        <x:v>RECORDED</x:v>
      </x:c>
      <x:c r="H1674" s="39" t="n">
        <x:f>IF(ISNUMBER('Data'!E1674),'Data'!E1674*100,"")</x:f>
        <x:v>98.04</x:v>
      </x:c>
      <x:c r="I1674" s="35" t="str">
        <x:v>PASS</x:v>
      </x:c>
      <x:c r="J1674" s="35" t="str">
        <x:v>PASS</x:v>
      </x:c>
      <x:c r="K1674" s="35" t="str">
        <x:v>PASS</x:v>
      </x:c>
      <x:c r="L1674" s="35" t="str">
        <x:v>PASS</x:v>
      </x:c>
      <x:c r="M1674" s="35" t="str">
        <x:v>numeric coverage for applicable metric</x:v>
      </x:c>
      <x:c r="N1674" s="35" t="str">
        <x:v>Deepseek-flash-v4/Result2/Mockito_35/result.json</x:v>
      </x:c>
      <x:c r="O1674" s="39" t="n">
        <x:f>IF(AND(G1674="RECORDED",ISNUMBER(H1674)),H1674,"")</x:f>
        <x:v>98.04</x:v>
      </x:c>
      <x:c r="P1674" s="35" t="str">
        <x:v>INCONCLUSIVE</x:v>
      </x:c>
      <x:c r="Q1674" s="35" t="str">
        <x:v>Deepseek-flash-v4/Result2/Mockito_35/result.json</x:v>
      </x:c>
    </x:row>
    <x:row r="1675">
      <x:c r="A1675" s="35" t="str">
        <x:v>deepseek</x:v>
      </x:c>
      <x:c r="B1675" s="35" t="str">
        <x:v>Mockito</x:v>
      </x:c>
      <x:c r="C1675" s="35" t="str">
        <x:v>Round2</x:v>
      </x:c>
      <x:c r="D1675" s="35" t="str">
        <x:v>Mockito_36</x:v>
      </x:c>
      <x:c r="E1675" s="35" t="str">
        <x:v>Line</x:v>
      </x:c>
      <x:c r="F1675" s="35"/>
      <x:c r="G1675" s="35" t="str">
        <x:v>A</x:v>
      </x:c>
      <x:c r="H1675" s="39" t="str">
        <x:f>IF(ISNUMBER('Data'!E1675),'Data'!E1675*100,"")</x:f>
      </x:c>
      <x:c r="I1675" s="35"/>
      <x:c r="J1675" s="35" t="str">
        <x:v>PASS</x:v>
      </x:c>
      <x:c r="K1675" s="35" t="str">
        <x:v>FAIL</x:v>
      </x:c>
      <x:c r="L1675" s="35" t="str">
        <x:v>NOT_RUN</x:v>
      </x:c>
      <x:c r="M1675" s="35" t="str">
        <x:v>coverage unavailable or execution/compile failed</x:v>
      </x:c>
      <x:c r="N1675" s="35" t="str">
        <x:v>Deepseek-flash-v4/Result2/Mockito_36/result.json</x:v>
      </x:c>
      <x:c r="O1675" s="39" t="str">
        <x:f>IF(AND(G1675="RECORDED",ISNUMBER(H1675)),H1675,"")</x:f>
      </x:c>
      <x:c r="P1675" s="35" t="str">
        <x:v>NOT_AVAILABLE</x:v>
      </x:c>
      <x:c r="Q1675" s="35" t="str">
        <x:v>Deepseek-flash-v4/Result2/Mockito_36/result.json</x:v>
      </x:c>
    </x:row>
    <x:row r="1676">
      <x:c r="A1676" s="35" t="str">
        <x:v>deepseek</x:v>
      </x:c>
      <x:c r="B1676" s="35" t="str">
        <x:v>Mockito</x:v>
      </x:c>
      <x:c r="C1676" s="35" t="str">
        <x:v>Round2</x:v>
      </x:c>
      <x:c r="D1676" s="35" t="str">
        <x:v>Mockito_37</x:v>
      </x:c>
      <x:c r="E1676" s="35" t="str">
        <x:v>Line</x:v>
      </x:c>
      <x:c r="F1676" s="35" t="n">
        <x:v>27</x:v>
      </x:c>
      <x:c r="G1676" s="35" t="str">
        <x:v>RECORDED</x:v>
      </x:c>
      <x:c r="H1676" s="39" t="n">
        <x:f>IF(ISNUMBER('Data'!E1676),'Data'!E1676*100,"")</x:f>
        <x:v>100</x:v>
      </x:c>
      <x:c r="I1676" s="35" t="str">
        <x:v>PASS</x:v>
      </x:c>
      <x:c r="J1676" s="35" t="str">
        <x:v>PASS</x:v>
      </x:c>
      <x:c r="K1676" s="35" t="str">
        <x:v>PASS</x:v>
      </x:c>
      <x:c r="L1676" s="35" t="str">
        <x:v>FAIL</x:v>
      </x:c>
      <x:c r="M1676" s="35" t="str">
        <x:v>numeric coverage for applicable metric</x:v>
      </x:c>
      <x:c r="N1676" s="35" t="str">
        <x:v>Deepseek-flash-v4/Result2/Mockito_37/result.json</x:v>
      </x:c>
      <x:c r="O1676" s="39" t="n">
        <x:f>IF(AND(G1676="RECORDED",ISNUMBER(H1676)),H1676,"")</x:f>
        <x:v>100</x:v>
      </x:c>
      <x:c r="P1676" s="35" t="str">
        <x:v>INCONCLUSIVE</x:v>
      </x:c>
      <x:c r="Q1676" s="35" t="str">
        <x:v>Deepseek-flash-v4/Result2/Mockito_37/result.json</x:v>
      </x:c>
    </x:row>
    <x:row r="1677">
      <x:c r="A1677" s="35" t="str">
        <x:v>deepseek</x:v>
      </x:c>
      <x:c r="B1677" s="35" t="str">
        <x:v>Mockito</x:v>
      </x:c>
      <x:c r="C1677" s="35" t="str">
        <x:v>Round2</x:v>
      </x:c>
      <x:c r="D1677" s="35" t="str">
        <x:v>Mockito_38</x:v>
      </x:c>
      <x:c r="E1677" s="35" t="str">
        <x:v>Line</x:v>
      </x:c>
      <x:c r="F1677" s="35"/>
      <x:c r="G1677" s="35" t="str">
        <x:v>A</x:v>
      </x:c>
      <x:c r="H1677" s="39" t="str">
        <x:f>IF(ISNUMBER('Data'!E1677),'Data'!E1677*100,"")</x:f>
      </x:c>
      <x:c r="I1677" s="35"/>
      <x:c r="J1677" s="35" t="str">
        <x:v>PASS</x:v>
      </x:c>
      <x:c r="K1677" s="35" t="str">
        <x:v>FAIL</x:v>
      </x:c>
      <x:c r="L1677" s="35" t="str">
        <x:v>NOT_RUN</x:v>
      </x:c>
      <x:c r="M1677" s="35" t="str">
        <x:v>coverage unavailable or execution/compile failed</x:v>
      </x:c>
      <x:c r="N1677" s="35" t="str">
        <x:v>Deepseek-flash-v4/Result2/Mockito_38/result.json</x:v>
      </x:c>
      <x:c r="O1677" s="39" t="str">
        <x:f>IF(AND(G1677="RECORDED",ISNUMBER(H1677)),H1677,"")</x:f>
      </x:c>
      <x:c r="P1677" s="35" t="str">
        <x:v>NOT_AVAILABLE</x:v>
      </x:c>
      <x:c r="Q1677" s="35" t="str">
        <x:v>Deepseek-flash-v4/Result2/Mockito_38/result.json</x:v>
      </x:c>
    </x:row>
    <x:row r="1678">
      <x:c r="A1678" s="35" t="str">
        <x:v>deepseek</x:v>
      </x:c>
      <x:c r="B1678" s="35" t="str">
        <x:v>Mockito</x:v>
      </x:c>
      <x:c r="C1678" s="35" t="str">
        <x:v>Round2</x:v>
      </x:c>
      <x:c r="D1678" s="35" t="str">
        <x:v>Mockito_4</x:v>
      </x:c>
      <x:c r="E1678" s="35" t="str">
        <x:v>Line</x:v>
      </x:c>
      <x:c r="F1678" s="35"/>
      <x:c r="G1678" s="35" t="str">
        <x:v>A</x:v>
      </x:c>
      <x:c r="H1678" s="39" t="str">
        <x:f>IF(ISNUMBER('Data'!E1678),'Data'!E1678*100,"")</x:f>
      </x:c>
      <x:c r="I1678" s="35"/>
      <x:c r="J1678" s="35" t="str">
        <x:v>PASS</x:v>
      </x:c>
      <x:c r="K1678" s="35" t="str">
        <x:v>FAIL</x:v>
      </x:c>
      <x:c r="L1678" s="35" t="str">
        <x:v>NOT_RUN</x:v>
      </x:c>
      <x:c r="M1678" s="35" t="str">
        <x:v>coverage unavailable or execution/compile failed</x:v>
      </x:c>
      <x:c r="N1678" s="35" t="str">
        <x:v>Deepseek-flash-v4/Result2/Mockito_4/result.json</x:v>
      </x:c>
      <x:c r="O1678" s="39" t="str">
        <x:f>IF(AND(G1678="RECORDED",ISNUMBER(H1678)),H1678,"")</x:f>
      </x:c>
      <x:c r="P1678" s="35" t="str">
        <x:v>NOT_AVAILABLE</x:v>
      </x:c>
      <x:c r="Q1678" s="35" t="str">
        <x:v>Deepseek-flash-v4/Result2/Mockito_4/result.json</x:v>
      </x:c>
    </x:row>
    <x:row r="1679">
      <x:c r="A1679" s="35" t="str">
        <x:v>deepseek</x:v>
      </x:c>
      <x:c r="B1679" s="35" t="str">
        <x:v>Mockito</x:v>
      </x:c>
      <x:c r="C1679" s="35" t="str">
        <x:v>Round2</x:v>
      </x:c>
      <x:c r="D1679" s="35" t="str">
        <x:v>Mockito_5</x:v>
      </x:c>
      <x:c r="E1679" s="35" t="str">
        <x:v>Line</x:v>
      </x:c>
      <x:c r="F1679" s="35"/>
      <x:c r="G1679" s="35" t="str">
        <x:v>A</x:v>
      </x:c>
      <x:c r="H1679" s="39" t="str">
        <x:f>IF(ISNUMBER('Data'!E1679),'Data'!E1679*100,"")</x:f>
      </x:c>
      <x:c r="I1679" s="35"/>
      <x:c r="J1679" s="35" t="str">
        <x:v>PASS</x:v>
      </x:c>
      <x:c r="K1679" s="35" t="str">
        <x:v>FAIL</x:v>
      </x:c>
      <x:c r="L1679" s="35" t="str">
        <x:v>NOT_RUN</x:v>
      </x:c>
      <x:c r="M1679" s="35" t="str">
        <x:v>coverage unavailable or execution/compile failed</x:v>
      </x:c>
      <x:c r="N1679" s="35" t="str">
        <x:v>Deepseek-flash-v4/Result2/Mockito_5/result.json</x:v>
      </x:c>
      <x:c r="O1679" s="39" t="str">
        <x:f>IF(AND(G1679="RECORDED",ISNUMBER(H1679)),H1679,"")</x:f>
      </x:c>
      <x:c r="P1679" s="35" t="str">
        <x:v>NOT_AVAILABLE</x:v>
      </x:c>
      <x:c r="Q1679" s="35" t="str">
        <x:v>Deepseek-flash-v4/Result2/Mockito_5/result.json</x:v>
      </x:c>
    </x:row>
    <x:row r="1680">
      <x:c r="A1680" s="35" t="str">
        <x:v>deepseek</x:v>
      </x:c>
      <x:c r="B1680" s="35" t="str">
        <x:v>Mockito</x:v>
      </x:c>
      <x:c r="C1680" s="35" t="str">
        <x:v>Round2</x:v>
      </x:c>
      <x:c r="D1680" s="35" t="str">
        <x:v>Mockito_6</x:v>
      </x:c>
      <x:c r="E1680" s="35" t="str">
        <x:v>Line</x:v>
      </x:c>
      <x:c r="F1680" s="35" t="n">
        <x:v>55</x:v>
      </x:c>
      <x:c r="G1680" s="35" t="str">
        <x:v>RECORDED</x:v>
      </x:c>
      <x:c r="H1680" s="39" t="n">
        <x:f>IF(ISNUMBER('Data'!E1680),'Data'!E1680*100,"")</x:f>
        <x:v>98.18</x:v>
      </x:c>
      <x:c r="I1680" s="35" t="str">
        <x:v>PASS</x:v>
      </x:c>
      <x:c r="J1680" s="35" t="str">
        <x:v>PASS</x:v>
      </x:c>
      <x:c r="K1680" s="35" t="str">
        <x:v>PASS</x:v>
      </x:c>
      <x:c r="L1680" s="35" t="str">
        <x:v>FAIL</x:v>
      </x:c>
      <x:c r="M1680" s="35" t="str">
        <x:v>numeric coverage for applicable metric</x:v>
      </x:c>
      <x:c r="N1680" s="35" t="str">
        <x:v>Deepseek-flash-v4/Result2/Mockito_6/result.json</x:v>
      </x:c>
      <x:c r="O1680" s="39" t="n">
        <x:f>IF(AND(G1680="RECORDED",ISNUMBER(H1680)),H1680,"")</x:f>
        <x:v>98.18</x:v>
      </x:c>
      <x:c r="P1680" s="35" t="str">
        <x:v>INCONCLUSIVE</x:v>
      </x:c>
      <x:c r="Q1680" s="35" t="str">
        <x:v>Deepseek-flash-v4/Result2/Mockito_6/result.json</x:v>
      </x:c>
    </x:row>
    <x:row r="1681">
      <x:c r="A1681" s="35" t="str">
        <x:v>deepseek</x:v>
      </x:c>
      <x:c r="B1681" s="35" t="str">
        <x:v>Mockito</x:v>
      </x:c>
      <x:c r="C1681" s="35" t="str">
        <x:v>Round2</x:v>
      </x:c>
      <x:c r="D1681" s="35" t="str">
        <x:v>Mockito_7</x:v>
      </x:c>
      <x:c r="E1681" s="35" t="str">
        <x:v>Line</x:v>
      </x:c>
      <x:c r="F1681" s="35" t="n">
        <x:v>174</x:v>
      </x:c>
      <x:c r="G1681" s="35" t="str">
        <x:v>RECORDED</x:v>
      </x:c>
      <x:c r="H1681" s="39" t="n">
        <x:f>IF(ISNUMBER('Data'!E1681),'Data'!E1681*100,"")</x:f>
        <x:v>64.37</x:v>
      </x:c>
      <x:c r="I1681" s="35" t="str">
        <x:v>PASS</x:v>
      </x:c>
      <x:c r="J1681" s="35" t="str">
        <x:v>PASS</x:v>
      </x:c>
      <x:c r="K1681" s="35" t="str">
        <x:v>PASS</x:v>
      </x:c>
      <x:c r="L1681" s="35" t="str">
        <x:v>FAIL</x:v>
      </x:c>
      <x:c r="M1681" s="35" t="str">
        <x:v>numeric coverage for applicable metric</x:v>
      </x:c>
      <x:c r="N1681" s="35" t="str">
        <x:v>Deepseek-flash-v4/Result2/Mockito_7/result.json</x:v>
      </x:c>
      <x:c r="O1681" s="39" t="n">
        <x:f>IF(AND(G1681="RECORDED",ISNUMBER(H1681)),H1681,"")</x:f>
        <x:v>64.37</x:v>
      </x:c>
      <x:c r="P1681" s="35" t="str">
        <x:v>INCONCLUSIVE</x:v>
      </x:c>
      <x:c r="Q1681" s="35" t="str">
        <x:v>Deepseek-flash-v4/Result2/Mockito_7/result.json</x:v>
      </x:c>
    </x:row>
    <x:row r="1682">
      <x:c r="A1682" s="35" t="str">
        <x:v>deepseek</x:v>
      </x:c>
      <x:c r="B1682" s="35" t="str">
        <x:v>Mockito</x:v>
      </x:c>
      <x:c r="C1682" s="35" t="str">
        <x:v>Round2</x:v>
      </x:c>
      <x:c r="D1682" s="35" t="str">
        <x:v>Mockito_8</x:v>
      </x:c>
      <x:c r="E1682" s="35" t="str">
        <x:v>Line</x:v>
      </x:c>
      <x:c r="F1682" s="35" t="n">
        <x:v>173</x:v>
      </x:c>
      <x:c r="G1682" s="35" t="str">
        <x:v>RECORDED</x:v>
      </x:c>
      <x:c r="H1682" s="39" t="n">
        <x:f>IF(ISNUMBER('Data'!E1682),'Data'!E1682*100,"")</x:f>
        <x:v>57.22999999999999</x:v>
      </x:c>
      <x:c r="I1682" s="35" t="str">
        <x:v>PASS</x:v>
      </x:c>
      <x:c r="J1682" s="35" t="str">
        <x:v>PASS</x:v>
      </x:c>
      <x:c r="K1682" s="35" t="str">
        <x:v>PASS</x:v>
      </x:c>
      <x:c r="L1682" s="35" t="str">
        <x:v>FAIL</x:v>
      </x:c>
      <x:c r="M1682" s="35" t="str">
        <x:v>numeric coverage for applicable metric</x:v>
      </x:c>
      <x:c r="N1682" s="35" t="str">
        <x:v>Deepseek-flash-v4/Result2/Mockito_8/result.json</x:v>
      </x:c>
      <x:c r="O1682" s="39" t="n">
        <x:f>IF(AND(G1682="RECORDED",ISNUMBER(H1682)),H1682,"")</x:f>
        <x:v>57.22999999999999</x:v>
      </x:c>
      <x:c r="P1682" s="35" t="str">
        <x:v>INCONCLUSIVE</x:v>
      </x:c>
      <x:c r="Q1682" s="35" t="str">
        <x:v>Deepseek-flash-v4/Result2/Mockito_8/result.json</x:v>
      </x:c>
    </x:row>
    <x:row r="1683">
      <x:c r="A1683" s="35" t="str">
        <x:v>deepseek</x:v>
      </x:c>
      <x:c r="B1683" s="35" t="str">
        <x:v>Mockito</x:v>
      </x:c>
      <x:c r="C1683" s="35" t="str">
        <x:v>Round2</x:v>
      </x:c>
      <x:c r="D1683" s="35" t="str">
        <x:v>Mockito_9</x:v>
      </x:c>
      <x:c r="E1683" s="35" t="str">
        <x:v>Line</x:v>
      </x:c>
      <x:c r="F1683" s="35" t="n">
        <x:v>2</x:v>
      </x:c>
      <x:c r="G1683" s="35" t="str">
        <x:v>RECORDED</x:v>
      </x:c>
      <x:c r="H1683" s="39" t="n">
        <x:f>IF(ISNUMBER('Data'!E1683),'Data'!E1683*100,"")</x:f>
        <x:v>100</x:v>
      </x:c>
      <x:c r="I1683" s="35" t="str">
        <x:v>PASS</x:v>
      </x:c>
      <x:c r="J1683" s="35" t="str">
        <x:v>PASS</x:v>
      </x:c>
      <x:c r="K1683" s="35" t="str">
        <x:v>PASS</x:v>
      </x:c>
      <x:c r="L1683" s="35" t="str">
        <x:v>PASS</x:v>
      </x:c>
      <x:c r="M1683" s="35" t="str">
        <x:v>numeric coverage for applicable metric</x:v>
      </x:c>
      <x:c r="N1683" s="35" t="str">
        <x:v>Deepseek-flash-v4/Result2/Mockito_9/result.json</x:v>
      </x:c>
      <x:c r="O1683" s="39" t="n">
        <x:f>IF(AND(G1683="RECORDED",ISNUMBER(H1683)),H1683,"")</x:f>
        <x:v>100</x:v>
      </x:c>
      <x:c r="P1683" s="35" t="str">
        <x:v>INCONCLUSIVE</x:v>
      </x:c>
      <x:c r="Q1683" s="35" t="str">
        <x:v>Deepseek-flash-v4/Result2/Mockito_9/result.json</x:v>
      </x:c>
    </x:row>
    <x:row r="1684">
      <x:c r="A1684" s="35" t="str">
        <x:v>deepseek</x:v>
      </x:c>
      <x:c r="B1684" s="35" t="str">
        <x:v>Time</x:v>
      </x:c>
      <x:c r="C1684" s="35" t="str">
        <x:v>Round2</x:v>
      </x:c>
      <x:c r="D1684" s="35" t="str">
        <x:v>Time_1</x:v>
      </x:c>
      <x:c r="E1684" s="35" t="str">
        <x:v>Line</x:v>
      </x:c>
      <x:c r="F1684" s="35"/>
      <x:c r="G1684" s="35" t="str">
        <x:v>A</x:v>
      </x:c>
      <x:c r="H1684" s="39" t="str">
        <x:f>IF(ISNUMBER('Data'!E1684),'Data'!E1684*100,"")</x:f>
      </x:c>
      <x:c r="I1684" s="35"/>
      <x:c r="J1684" s="35" t="str">
        <x:v>PASS</x:v>
      </x:c>
      <x:c r="K1684" s="35" t="str">
        <x:v>FAIL</x:v>
      </x:c>
      <x:c r="L1684" s="35" t="str">
        <x:v>NOT_RUN</x:v>
      </x:c>
      <x:c r="M1684" s="35" t="str">
        <x:v>coverage unavailable or execution/compile failed</x:v>
      </x:c>
      <x:c r="N1684" s="35" t="str">
        <x:v>Deepseek-flash-v4/Result2/Time_1/result.json</x:v>
      </x:c>
      <x:c r="O1684" s="39" t="str">
        <x:f>IF(AND(G1684="RECORDED",ISNUMBER(H1684)),H1684,"")</x:f>
      </x:c>
      <x:c r="P1684" s="35" t="str">
        <x:v>NOT_AVAILABLE</x:v>
      </x:c>
      <x:c r="Q1684" s="35" t="str">
        <x:v>Deepseek-flash-v4/Result2/Time_1/result.json</x:v>
      </x:c>
    </x:row>
    <x:row r="1685">
      <x:c r="A1685" s="35" t="str">
        <x:v>deepseek</x:v>
      </x:c>
      <x:c r="B1685" s="35" t="str">
        <x:v>Time</x:v>
      </x:c>
      <x:c r="C1685" s="35" t="str">
        <x:v>Round2</x:v>
      </x:c>
      <x:c r="D1685" s="35" t="str">
        <x:v>Time_10</x:v>
      </x:c>
      <x:c r="E1685" s="35" t="str">
        <x:v>Line</x:v>
      </x:c>
      <x:c r="F1685" s="35" t="n">
        <x:v>71</x:v>
      </x:c>
      <x:c r="G1685" s="35" t="str">
        <x:v>RECORDED</x:v>
      </x:c>
      <x:c r="H1685" s="39" t="n">
        <x:f>IF(ISNUMBER('Data'!E1685),'Data'!E1685*100,"")</x:f>
        <x:v>92.96</x:v>
      </x:c>
      <x:c r="I1685" s="35" t="str">
        <x:v>PASS</x:v>
      </x:c>
      <x:c r="J1685" s="35" t="str">
        <x:v>PASS</x:v>
      </x:c>
      <x:c r="K1685" s="35" t="str">
        <x:v>PASS</x:v>
      </x:c>
      <x:c r="L1685" s="35" t="str">
        <x:v>PASS</x:v>
      </x:c>
      <x:c r="M1685" s="35" t="str">
        <x:v>numeric coverage for applicable metric</x:v>
      </x:c>
      <x:c r="N1685" s="35" t="str">
        <x:v>Deepseek-flash-v4/Result2/Time_10/result.json</x:v>
      </x:c>
      <x:c r="O1685" s="39" t="n">
        <x:f>IF(AND(G1685="RECORDED",ISNUMBER(H1685)),H1685,"")</x:f>
        <x:v>92.96</x:v>
      </x:c>
      <x:c r="P1685" s="35" t="str">
        <x:v>NOT_REVEALING</x:v>
      </x:c>
      <x:c r="Q1685" s="35" t="str">
        <x:v>Deepseek-flash-v4/Result2/Time_10/result.json</x:v>
      </x:c>
    </x:row>
    <x:row r="1686">
      <x:c r="A1686" s="35" t="str">
        <x:v>deepseek</x:v>
      </x:c>
      <x:c r="B1686" s="35" t="str">
        <x:v>Time</x:v>
      </x:c>
      <x:c r="C1686" s="35" t="str">
        <x:v>Round2</x:v>
      </x:c>
      <x:c r="D1686" s="35" t="str">
        <x:v>Time_11</x:v>
      </x:c>
      <x:c r="E1686" s="35" t="str">
        <x:v>Line</x:v>
      </x:c>
      <x:c r="F1686" s="35" t="n">
        <x:v>393</x:v>
      </x:c>
      <x:c r="G1686" s="35" t="str">
        <x:v>RECORDED</x:v>
      </x:c>
      <x:c r="H1686" s="39" t="n">
        <x:f>IF(ISNUMBER('Data'!E1686),'Data'!E1686*100,"")</x:f>
        <x:v>16.28</x:v>
      </x:c>
      <x:c r="I1686" s="35" t="str">
        <x:v>PASS</x:v>
      </x:c>
      <x:c r="J1686" s="35" t="str">
        <x:v>PASS</x:v>
      </x:c>
      <x:c r="K1686" s="35" t="str">
        <x:v>PASS</x:v>
      </x:c>
      <x:c r="L1686" s="35" t="str">
        <x:v>FAIL</x:v>
      </x:c>
      <x:c r="M1686" s="35" t="str">
        <x:v>numeric coverage for applicable metric</x:v>
      </x:c>
      <x:c r="N1686" s="35" t="str">
        <x:v>Deepseek-flash-v4/Result2/Time_11/result.json</x:v>
      </x:c>
      <x:c r="O1686" s="39" t="n">
        <x:f>IF(AND(G1686="RECORDED",ISNUMBER(H1686)),H1686,"")</x:f>
        <x:v>16.28</x:v>
      </x:c>
      <x:c r="P1686" s="35" t="str">
        <x:v>INCONCLUSIVE</x:v>
      </x:c>
      <x:c r="Q1686" s="35" t="str">
        <x:v>Deepseek-flash-v4/Result2/Time_11/result.json</x:v>
      </x:c>
    </x:row>
    <x:row r="1687">
      <x:c r="A1687" s="35" t="str">
        <x:v>deepseek</x:v>
      </x:c>
      <x:c r="B1687" s="35" t="str">
        <x:v>Time</x:v>
      </x:c>
      <x:c r="C1687" s="35" t="str">
        <x:v>Round2</x:v>
      </x:c>
      <x:c r="D1687" s="35" t="str">
        <x:v>Time_12</x:v>
      </x:c>
      <x:c r="E1687" s="35" t="str">
        <x:v>Line</x:v>
      </x:c>
      <x:c r="F1687" s="35"/>
      <x:c r="G1687" s="35" t="str">
        <x:v>A</x:v>
      </x:c>
      <x:c r="H1687" s="39" t="str">
        <x:f>IF(ISNUMBER('Data'!E1687),'Data'!E1687*100,"")</x:f>
      </x:c>
      <x:c r="I1687" s="35"/>
      <x:c r="J1687" s="35" t="str">
        <x:v>PASS</x:v>
      </x:c>
      <x:c r="K1687" s="35" t="str">
        <x:v>FAIL</x:v>
      </x:c>
      <x:c r="L1687" s="35" t="str">
        <x:v>NOT_RUN</x:v>
      </x:c>
      <x:c r="M1687" s="35" t="str">
        <x:v>coverage unavailable or execution/compile failed</x:v>
      </x:c>
      <x:c r="N1687" s="35" t="str">
        <x:v>Deepseek-flash-v4/Result2/Time_12/result.json</x:v>
      </x:c>
      <x:c r="O1687" s="39" t="str">
        <x:f>IF(AND(G1687="RECORDED",ISNUMBER(H1687)),H1687,"")</x:f>
      </x:c>
      <x:c r="P1687" s="35" t="str">
        <x:v>NOT_AVAILABLE</x:v>
      </x:c>
      <x:c r="Q1687" s="35" t="str">
        <x:v>Deepseek-flash-v4/Result2/Time_12/result.json</x:v>
      </x:c>
    </x:row>
    <x:row r="1688">
      <x:c r="A1688" s="35" t="str">
        <x:v>deepseek</x:v>
      </x:c>
      <x:c r="B1688" s="35" t="str">
        <x:v>Time</x:v>
      </x:c>
      <x:c r="C1688" s="35" t="str">
        <x:v>Round2</x:v>
      </x:c>
      <x:c r="D1688" s="35" t="str">
        <x:v>Time_13</x:v>
      </x:c>
      <x:c r="E1688" s="35" t="str">
        <x:v>Line</x:v>
      </x:c>
      <x:c r="F1688" s="35" t="n">
        <x:v>672</x:v>
      </x:c>
      <x:c r="G1688" s="35" t="str">
        <x:v>RECORDED</x:v>
      </x:c>
      <x:c r="H1688" s="39" t="n">
        <x:f>IF(ISNUMBER('Data'!E1688),'Data'!E1688*100,"")</x:f>
        <x:v>32.74</x:v>
      </x:c>
      <x:c r="I1688" s="35" t="str">
        <x:v>PASS</x:v>
      </x:c>
      <x:c r="J1688" s="35" t="str">
        <x:v>PASS</x:v>
      </x:c>
      <x:c r="K1688" s="35" t="str">
        <x:v>PASS</x:v>
      </x:c>
      <x:c r="L1688" s="35" t="str">
        <x:v>FAIL</x:v>
      </x:c>
      <x:c r="M1688" s="35" t="str">
        <x:v>numeric coverage for applicable metric</x:v>
      </x:c>
      <x:c r="N1688" s="35" t="str">
        <x:v>Deepseek-flash-v4/Result2/Time_13/result.json</x:v>
      </x:c>
      <x:c r="O1688" s="39" t="n">
        <x:f>IF(AND(G1688="RECORDED",ISNUMBER(H1688)),H1688,"")</x:f>
        <x:v>32.74</x:v>
      </x:c>
      <x:c r="P1688" s="35" t="str">
        <x:v>INCONCLUSIVE</x:v>
      </x:c>
      <x:c r="Q1688" s="35" t="str">
        <x:v>Deepseek-flash-v4/Result2/Time_13/result.json</x:v>
      </x:c>
    </x:row>
    <x:row r="1689">
      <x:c r="A1689" s="35" t="str">
        <x:v>deepseek</x:v>
      </x:c>
      <x:c r="B1689" s="35" t="str">
        <x:v>Time</x:v>
      </x:c>
      <x:c r="C1689" s="35" t="str">
        <x:v>Round2</x:v>
      </x:c>
      <x:c r="D1689" s="35" t="str">
        <x:v>Time_14</x:v>
      </x:c>
      <x:c r="E1689" s="35" t="str">
        <x:v>Line</x:v>
      </x:c>
      <x:c r="F1689" s="35" t="n">
        <x:v>114</x:v>
      </x:c>
      <x:c r="G1689" s="35" t="str">
        <x:v>RECORDED</x:v>
      </x:c>
      <x:c r="H1689" s="39" t="n">
        <x:f>IF(ISNUMBER('Data'!E1689),'Data'!E1689*100,"")</x:f>
        <x:v>73.68</x:v>
      </x:c>
      <x:c r="I1689" s="35" t="str">
        <x:v>PASS</x:v>
      </x:c>
      <x:c r="J1689" s="35" t="str">
        <x:v>PASS</x:v>
      </x:c>
      <x:c r="K1689" s="35" t="str">
        <x:v>PASS</x:v>
      </x:c>
      <x:c r="L1689" s="35" t="str">
        <x:v>PASS</x:v>
      </x:c>
      <x:c r="M1689" s="35" t="str">
        <x:v>numeric coverage for applicable metric</x:v>
      </x:c>
      <x:c r="N1689" s="35" t="str">
        <x:v>Deepseek-flash-v4/Result2/Time_14/result.json</x:v>
      </x:c>
      <x:c r="O1689" s="39" t="n">
        <x:f>IF(AND(G1689="RECORDED",ISNUMBER(H1689)),H1689,"")</x:f>
        <x:v>73.68</x:v>
      </x:c>
      <x:c r="P1689" s="35" t="str">
        <x:v>NOT_REVEALING</x:v>
      </x:c>
      <x:c r="Q1689" s="35" t="str">
        <x:v>Deepseek-flash-v4/Result2/Time_14/result.json</x:v>
      </x:c>
    </x:row>
    <x:row r="1690">
      <x:c r="A1690" s="35" t="str">
        <x:v>deepseek</x:v>
      </x:c>
      <x:c r="B1690" s="35" t="str">
        <x:v>Time</x:v>
      </x:c>
      <x:c r="C1690" s="35" t="str">
        <x:v>Round2</x:v>
      </x:c>
      <x:c r="D1690" s="35" t="str">
        <x:v>Time_15</x:v>
      </x:c>
      <x:c r="E1690" s="35" t="str">
        <x:v>Line</x:v>
      </x:c>
      <x:c r="F1690" s="35" t="n">
        <x:v>75</x:v>
      </x:c>
      <x:c r="G1690" s="35" t="str">
        <x:v>RECORDED</x:v>
      </x:c>
      <x:c r="H1690" s="39" t="n">
        <x:f>IF(ISNUMBER('Data'!E1690),'Data'!E1690*100,"")</x:f>
        <x:v>74.67</x:v>
      </x:c>
      <x:c r="I1690" s="35" t="str">
        <x:v>PASS</x:v>
      </x:c>
      <x:c r="J1690" s="35" t="str">
        <x:v>PASS</x:v>
      </x:c>
      <x:c r="K1690" s="35" t="str">
        <x:v>PASS</x:v>
      </x:c>
      <x:c r="L1690" s="35" t="str">
        <x:v>FAIL</x:v>
      </x:c>
      <x:c r="M1690" s="35" t="str">
        <x:v>numeric coverage for applicable metric</x:v>
      </x:c>
      <x:c r="N1690" s="35" t="str">
        <x:v>Deepseek-flash-v4/Result2/Time_15/result.json</x:v>
      </x:c>
      <x:c r="O1690" s="39" t="n">
        <x:f>IF(AND(G1690="RECORDED",ISNUMBER(H1690)),H1690,"")</x:f>
        <x:v>74.67</x:v>
      </x:c>
      <x:c r="P1690" s="35" t="str">
        <x:v>INCONCLUSIVE</x:v>
      </x:c>
      <x:c r="Q1690" s="35" t="str">
        <x:v>Deepseek-flash-v4/Result2/Time_15/result.json</x:v>
      </x:c>
    </x:row>
    <x:row r="1691">
      <x:c r="A1691" s="35" t="str">
        <x:v>deepseek</x:v>
      </x:c>
      <x:c r="B1691" s="35" t="str">
        <x:v>Time</x:v>
      </x:c>
      <x:c r="C1691" s="35" t="str">
        <x:v>Round2</x:v>
      </x:c>
      <x:c r="D1691" s="35" t="str">
        <x:v>Time_16</x:v>
      </x:c>
      <x:c r="E1691" s="35" t="str">
        <x:v>Line</x:v>
      </x:c>
      <x:c r="F1691" s="35" t="n">
        <x:v>207</x:v>
      </x:c>
      <x:c r="G1691" s="35" t="str">
        <x:v>RECORDED</x:v>
      </x:c>
      <x:c r="H1691" s="39" t="n">
        <x:f>IF(ISNUMBER('Data'!E1691),'Data'!E1691*100,"")</x:f>
        <x:v>71.5</x:v>
      </x:c>
      <x:c r="I1691" s="35" t="str">
        <x:v>PASS</x:v>
      </x:c>
      <x:c r="J1691" s="35" t="str">
        <x:v>PASS</x:v>
      </x:c>
      <x:c r="K1691" s="35" t="str">
        <x:v>PASS</x:v>
      </x:c>
      <x:c r="L1691" s="35" t="str">
        <x:v>FAIL</x:v>
      </x:c>
      <x:c r="M1691" s="35" t="str">
        <x:v>numeric coverage for applicable metric</x:v>
      </x:c>
      <x:c r="N1691" s="35" t="str">
        <x:v>Deepseek-flash-v4/Result2/Time_16/result.json</x:v>
      </x:c>
      <x:c r="O1691" s="39" t="n">
        <x:f>IF(AND(G1691="RECORDED",ISNUMBER(H1691)),H1691,"")</x:f>
        <x:v>71.5</x:v>
      </x:c>
      <x:c r="P1691" s="35" t="str">
        <x:v>INCONCLUSIVE</x:v>
      </x:c>
      <x:c r="Q1691" s="35" t="str">
        <x:v>Deepseek-flash-v4/Result2/Time_16/result.json</x:v>
      </x:c>
    </x:row>
    <x:row r="1692">
      <x:c r="A1692" s="35" t="str">
        <x:v>deepseek</x:v>
      </x:c>
      <x:c r="B1692" s="35" t="str">
        <x:v>Time</x:v>
      </x:c>
      <x:c r="C1692" s="35" t="str">
        <x:v>Round2</x:v>
      </x:c>
      <x:c r="D1692" s="35" t="str">
        <x:v>Time_17</x:v>
      </x:c>
      <x:c r="E1692" s="35" t="str">
        <x:v>Line</x:v>
      </x:c>
      <x:c r="F1692" s="35" t="n">
        <x:v>343</x:v>
      </x:c>
      <x:c r="G1692" s="35" t="str">
        <x:v>RECORDED</x:v>
      </x:c>
      <x:c r="H1692" s="39" t="n">
        <x:f>IF(ISNUMBER('Data'!E1692),'Data'!E1692*100,"")</x:f>
        <x:v>66.18</x:v>
      </x:c>
      <x:c r="I1692" s="35" t="str">
        <x:v>PASS</x:v>
      </x:c>
      <x:c r="J1692" s="35" t="str">
        <x:v>PASS</x:v>
      </x:c>
      <x:c r="K1692" s="35" t="str">
        <x:v>PASS</x:v>
      </x:c>
      <x:c r="L1692" s="35" t="str">
        <x:v>FAIL</x:v>
      </x:c>
      <x:c r="M1692" s="35" t="str">
        <x:v>numeric coverage for applicable metric</x:v>
      </x:c>
      <x:c r="N1692" s="35" t="str">
        <x:v>Deepseek-flash-v4/Result2/Time_17/result.json</x:v>
      </x:c>
      <x:c r="O1692" s="39" t="n">
        <x:f>IF(AND(G1692="RECORDED",ISNUMBER(H1692)),H1692,"")</x:f>
        <x:v>66.18</x:v>
      </x:c>
      <x:c r="P1692" s="35" t="str">
        <x:v>INCONCLUSIVE</x:v>
      </x:c>
      <x:c r="Q1692" s="35" t="str">
        <x:v>Deepseek-flash-v4/Result2/Time_17/result.json</x:v>
      </x:c>
    </x:row>
    <x:row r="1693">
      <x:c r="A1693" s="35" t="str">
        <x:v>deepseek</x:v>
      </x:c>
      <x:c r="B1693" s="35" t="str">
        <x:v>Time</x:v>
      </x:c>
      <x:c r="C1693" s="35" t="str">
        <x:v>Round2</x:v>
      </x:c>
      <x:c r="D1693" s="35" t="str">
        <x:v>Time_18</x:v>
      </x:c>
      <x:c r="E1693" s="35" t="str">
        <x:v>Line</x:v>
      </x:c>
      <x:c r="F1693" s="35" t="n">
        <x:v>344</x:v>
      </x:c>
      <x:c r="G1693" s="35" t="str">
        <x:v>RECORDED</x:v>
      </x:c>
      <x:c r="H1693" s="39" t="n">
        <x:f>IF(ISNUMBER('Data'!E1693),'Data'!E1693*100,"")</x:f>
        <x:v>50</x:v>
      </x:c>
      <x:c r="I1693" s="35" t="str">
        <x:v>PASS</x:v>
      </x:c>
      <x:c r="J1693" s="35" t="str">
        <x:v>PASS</x:v>
      </x:c>
      <x:c r="K1693" s="35" t="str">
        <x:v>PASS</x:v>
      </x:c>
      <x:c r="L1693" s="35" t="str">
        <x:v>FAIL</x:v>
      </x:c>
      <x:c r="M1693" s="35" t="str">
        <x:v>numeric coverage for applicable metric</x:v>
      </x:c>
      <x:c r="N1693" s="35" t="str">
        <x:v>Deepseek-flash-v4/Result2/Time_18/result.json</x:v>
      </x:c>
      <x:c r="O1693" s="39" t="n">
        <x:f>IF(AND(G1693="RECORDED",ISNUMBER(H1693)),H1693,"")</x:f>
        <x:v>50</x:v>
      </x:c>
      <x:c r="P1693" s="35" t="str">
        <x:v>INCONCLUSIVE</x:v>
      </x:c>
      <x:c r="Q1693" s="35" t="str">
        <x:v>Deepseek-flash-v4/Result2/Time_18/result.json</x:v>
      </x:c>
    </x:row>
    <x:row r="1694">
      <x:c r="A1694" s="35" t="str">
        <x:v>deepseek</x:v>
      </x:c>
      <x:c r="B1694" s="35" t="str">
        <x:v>Time</x:v>
      </x:c>
      <x:c r="C1694" s="35" t="str">
        <x:v>Round2</x:v>
      </x:c>
      <x:c r="D1694" s="35" t="str">
        <x:v>Time_19</x:v>
      </x:c>
      <x:c r="E1694" s="35" t="str">
        <x:v>Line</x:v>
      </x:c>
      <x:c r="F1694" s="35"/>
      <x:c r="G1694" s="35" t="str">
        <x:v>A</x:v>
      </x:c>
      <x:c r="H1694" s="39" t="str">
        <x:f>IF(ISNUMBER('Data'!E1694),'Data'!E1694*100,"")</x:f>
      </x:c>
      <x:c r="I1694" s="35"/>
      <x:c r="J1694" s="35" t="str">
        <x:v>PASS</x:v>
      </x:c>
      <x:c r="K1694" s="35" t="str">
        <x:v>FAIL</x:v>
      </x:c>
      <x:c r="L1694" s="35" t="str">
        <x:v>NOT_RUN</x:v>
      </x:c>
      <x:c r="M1694" s="35" t="str">
        <x:v>coverage unavailable or execution/compile failed</x:v>
      </x:c>
      <x:c r="N1694" s="35" t="str">
        <x:v>Deepseek-flash-v4/Result2/Time_19/result.json</x:v>
      </x:c>
      <x:c r="O1694" s="39" t="str">
        <x:f>IF(AND(G1694="RECORDED",ISNUMBER(H1694)),H1694,"")</x:f>
      </x:c>
      <x:c r="P1694" s="35" t="str">
        <x:v>NOT_AVAILABLE</x:v>
      </x:c>
      <x:c r="Q1694" s="35" t="str">
        <x:v>Deepseek-flash-v4/Result2/Time_19/result.json</x:v>
      </x:c>
    </x:row>
    <x:row r="1695">
      <x:c r="A1695" s="35" t="str">
        <x:v>deepseek</x:v>
      </x:c>
      <x:c r="B1695" s="35" t="str">
        <x:v>Time</x:v>
      </x:c>
      <x:c r="C1695" s="35" t="str">
        <x:v>Round2</x:v>
      </x:c>
      <x:c r="D1695" s="35" t="str">
        <x:v>Time_2</x:v>
      </x:c>
      <x:c r="E1695" s="35" t="str">
        <x:v>Line</x:v>
      </x:c>
      <x:c r="F1695" s="35"/>
      <x:c r="G1695" s="35" t="str">
        <x:v>A</x:v>
      </x:c>
      <x:c r="H1695" s="39" t="str">
        <x:f>IF(ISNUMBER('Data'!E1695),'Data'!E1695*100,"")</x:f>
      </x:c>
      <x:c r="I1695" s="35"/>
      <x:c r="J1695" s="35" t="str">
        <x:v>PASS</x:v>
      </x:c>
      <x:c r="K1695" s="35" t="str">
        <x:v>FAIL</x:v>
      </x:c>
      <x:c r="L1695" s="35" t="str">
        <x:v>NOT_RUN</x:v>
      </x:c>
      <x:c r="M1695" s="35" t="str">
        <x:v>coverage unavailable or execution/compile failed</x:v>
      </x:c>
      <x:c r="N1695" s="35" t="str">
        <x:v>Deepseek-flash-v4/Result2/Time_2/result.json</x:v>
      </x:c>
      <x:c r="O1695" s="39" t="str">
        <x:f>IF(AND(G1695="RECORDED",ISNUMBER(H1695)),H1695,"")</x:f>
      </x:c>
      <x:c r="P1695" s="35" t="str">
        <x:v>NOT_AVAILABLE</x:v>
      </x:c>
      <x:c r="Q1695" s="35" t="str">
        <x:v>Deepseek-flash-v4/Result2/Time_2/result.json</x:v>
      </x:c>
    </x:row>
    <x:row r="1696">
      <x:c r="A1696" s="35" t="str">
        <x:v>deepseek</x:v>
      </x:c>
      <x:c r="B1696" s="35" t="str">
        <x:v>Time</x:v>
      </x:c>
      <x:c r="C1696" s="35" t="str">
        <x:v>Round2</x:v>
      </x:c>
      <x:c r="D1696" s="35" t="str">
        <x:v>Time_20</x:v>
      </x:c>
      <x:c r="E1696" s="35" t="str">
        <x:v>Line</x:v>
      </x:c>
      <x:c r="F1696" s="35" t="n">
        <x:v>1033</x:v>
      </x:c>
      <x:c r="G1696" s="35" t="str">
        <x:v>RECORDED</x:v>
      </x:c>
      <x:c r="H1696" s="39" t="n">
        <x:f>IF(ISNUMBER('Data'!E1696),'Data'!E1696*100,"")</x:f>
        <x:v>16.55</x:v>
      </x:c>
      <x:c r="I1696" s="35" t="str">
        <x:v>PASS</x:v>
      </x:c>
      <x:c r="J1696" s="35" t="str">
        <x:v>PASS</x:v>
      </x:c>
      <x:c r="K1696" s="35" t="str">
        <x:v>PASS</x:v>
      </x:c>
      <x:c r="L1696" s="35" t="str">
        <x:v>FAIL</x:v>
      </x:c>
      <x:c r="M1696" s="35" t="str">
        <x:v>numeric coverage for applicable metric</x:v>
      </x:c>
      <x:c r="N1696" s="35" t="str">
        <x:v>Deepseek-flash-v4/Result2/Time_20/result.json</x:v>
      </x:c>
      <x:c r="O1696" s="39" t="n">
        <x:f>IF(AND(G1696="RECORDED",ISNUMBER(H1696)),H1696,"")</x:f>
        <x:v>16.55</x:v>
      </x:c>
      <x:c r="P1696" s="35" t="str">
        <x:v>INCONCLUSIVE</x:v>
      </x:c>
      <x:c r="Q1696" s="35" t="str">
        <x:v>Deepseek-flash-v4/Result2/Time_20/result.json</x:v>
      </x:c>
    </x:row>
    <x:row r="1697">
      <x:c r="A1697" s="35" t="str">
        <x:v>deepseek</x:v>
      </x:c>
      <x:c r="B1697" s="35" t="str">
        <x:v>Time</x:v>
      </x:c>
      <x:c r="C1697" s="35" t="str">
        <x:v>Round2</x:v>
      </x:c>
      <x:c r="D1697" s="35" t="str">
        <x:v>Time_22</x:v>
      </x:c>
      <x:c r="E1697" s="35" t="str">
        <x:v>Line</x:v>
      </x:c>
      <x:c r="F1697" s="35" t="n">
        <x:v>171</x:v>
      </x:c>
      <x:c r="G1697" s="35" t="str">
        <x:v>RECORDED</x:v>
      </x:c>
      <x:c r="H1697" s="39" t="n">
        <x:f>IF(ISNUMBER('Data'!E1697),'Data'!E1697*100,"")</x:f>
        <x:v>56.14</x:v>
      </x:c>
      <x:c r="I1697" s="35" t="str">
        <x:v>PASS</x:v>
      </x:c>
      <x:c r="J1697" s="35" t="str">
        <x:v>PASS</x:v>
      </x:c>
      <x:c r="K1697" s="35" t="str">
        <x:v>PASS</x:v>
      </x:c>
      <x:c r="L1697" s="35" t="str">
        <x:v>FAIL</x:v>
      </x:c>
      <x:c r="M1697" s="35" t="str">
        <x:v>numeric coverage for applicable metric</x:v>
      </x:c>
      <x:c r="N1697" s="35" t="str">
        <x:v>Deepseek-flash-v4/Result2/Time_22/result.json</x:v>
      </x:c>
      <x:c r="O1697" s="39" t="n">
        <x:f>IF(AND(G1697="RECORDED",ISNUMBER(H1697)),H1697,"")</x:f>
        <x:v>56.14</x:v>
      </x:c>
      <x:c r="P1697" s="35" t="str">
        <x:v>INCONCLUSIVE</x:v>
      </x:c>
      <x:c r="Q1697" s="35" t="str">
        <x:v>Deepseek-flash-v4/Result2/Time_22/result.json</x:v>
      </x:c>
    </x:row>
    <x:row r="1698">
      <x:c r="A1698" s="35" t="str">
        <x:v>deepseek</x:v>
      </x:c>
      <x:c r="B1698" s="35" t="str">
        <x:v>Time</x:v>
      </x:c>
      <x:c r="C1698" s="35" t="str">
        <x:v>Round2</x:v>
      </x:c>
      <x:c r="D1698" s="35" t="str">
        <x:v>Time_23</x:v>
      </x:c>
      <x:c r="E1698" s="35" t="str">
        <x:v>Line</x:v>
      </x:c>
      <x:c r="F1698" s="35" t="n">
        <x:v>342</x:v>
      </x:c>
      <x:c r="G1698" s="35" t="str">
        <x:v>RECORDED</x:v>
      </x:c>
      <x:c r="H1698" s="39" t="n">
        <x:f>IF(ISNUMBER('Data'!E1698),'Data'!E1698*100,"")</x:f>
        <x:v>65.5</x:v>
      </x:c>
      <x:c r="I1698" s="35" t="str">
        <x:v>PASS</x:v>
      </x:c>
      <x:c r="J1698" s="35" t="str">
        <x:v>PASS</x:v>
      </x:c>
      <x:c r="K1698" s="35" t="str">
        <x:v>PASS</x:v>
      </x:c>
      <x:c r="L1698" s="35" t="str">
        <x:v>FAIL</x:v>
      </x:c>
      <x:c r="M1698" s="35" t="str">
        <x:v>numeric coverage for applicable metric</x:v>
      </x:c>
      <x:c r="N1698" s="35" t="str">
        <x:v>Deepseek-flash-v4/Result2/Time_23/result.json</x:v>
      </x:c>
      <x:c r="O1698" s="39" t="n">
        <x:f>IF(AND(G1698="RECORDED",ISNUMBER(H1698)),H1698,"")</x:f>
        <x:v>65.5</x:v>
      </x:c>
      <x:c r="P1698" s="35" t="str">
        <x:v>INCONCLUSIVE</x:v>
      </x:c>
      <x:c r="Q1698" s="35" t="str">
        <x:v>Deepseek-flash-v4/Result2/Time_23/result.json</x:v>
      </x:c>
    </x:row>
    <x:row r="1699">
      <x:c r="A1699" s="35" t="str">
        <x:v>deepseek</x:v>
      </x:c>
      <x:c r="B1699" s="35" t="str">
        <x:v>Time</x:v>
      </x:c>
      <x:c r="C1699" s="35" t="str">
        <x:v>Round2</x:v>
      </x:c>
      <x:c r="D1699" s="35" t="str">
        <x:v>Time_24</x:v>
      </x:c>
      <x:c r="E1699" s="35" t="str">
        <x:v>Line</x:v>
      </x:c>
      <x:c r="F1699" s="35"/>
      <x:c r="G1699" s="35" t="str">
        <x:v>A</x:v>
      </x:c>
      <x:c r="H1699" s="39" t="str">
        <x:f>IF(ISNUMBER('Data'!E1699),'Data'!E1699*100,"")</x:f>
      </x:c>
      <x:c r="I1699" s="35"/>
      <x:c r="J1699" s="35" t="str">
        <x:v>PASS</x:v>
      </x:c>
      <x:c r="K1699" s="35" t="str">
        <x:v>FAIL</x:v>
      </x:c>
      <x:c r="L1699" s="35" t="str">
        <x:v>NOT_RUN</x:v>
      </x:c>
      <x:c r="M1699" s="35" t="str">
        <x:v>coverage unavailable or execution/compile failed</x:v>
      </x:c>
      <x:c r="N1699" s="35" t="str">
        <x:v>Deepseek-flash-v4/Result2/Time_24/result.json</x:v>
      </x:c>
      <x:c r="O1699" s="39" t="str">
        <x:f>IF(AND(G1699="RECORDED",ISNUMBER(H1699)),H1699,"")</x:f>
      </x:c>
      <x:c r="P1699" s="35" t="str">
        <x:v>NOT_AVAILABLE</x:v>
      </x:c>
      <x:c r="Q1699" s="35" t="str">
        <x:v>Deepseek-flash-v4/Result2/Time_24/result.json</x:v>
      </x:c>
    </x:row>
    <x:row r="1700">
      <x:c r="A1700" s="35" t="str">
        <x:v>deepseek</x:v>
      </x:c>
      <x:c r="B1700" s="35" t="str">
        <x:v>Time</x:v>
      </x:c>
      <x:c r="C1700" s="35" t="str">
        <x:v>Round2</x:v>
      </x:c>
      <x:c r="D1700" s="35" t="str">
        <x:v>Time_25</x:v>
      </x:c>
      <x:c r="E1700" s="35" t="str">
        <x:v>Line</x:v>
      </x:c>
      <x:c r="F1700" s="35" t="n">
        <x:v>328</x:v>
      </x:c>
      <x:c r="G1700" s="35" t="str">
        <x:v>RECORDED</x:v>
      </x:c>
      <x:c r="H1700" s="39" t="n">
        <x:f>IF(ISNUMBER('Data'!E1700),'Data'!E1700*100,"")</x:f>
        <x:v>67.99</x:v>
      </x:c>
      <x:c r="I1700" s="35" t="str">
        <x:v>PASS</x:v>
      </x:c>
      <x:c r="J1700" s="35" t="str">
        <x:v>PASS</x:v>
      </x:c>
      <x:c r="K1700" s="35" t="str">
        <x:v>PASS</x:v>
      </x:c>
      <x:c r="L1700" s="35" t="str">
        <x:v>FAIL</x:v>
      </x:c>
      <x:c r="M1700" s="35" t="str">
        <x:v>numeric coverage for applicable metric</x:v>
      </x:c>
      <x:c r="N1700" s="35" t="str">
        <x:v>Deepseek-flash-v4/Result2/Time_25/result.json</x:v>
      </x:c>
      <x:c r="O1700" s="39" t="n">
        <x:f>IF(AND(G1700="RECORDED",ISNUMBER(H1700)),H1700,"")</x:f>
        <x:v>67.99</x:v>
      </x:c>
      <x:c r="P1700" s="35" t="str">
        <x:v>INCONCLUSIVE</x:v>
      </x:c>
      <x:c r="Q1700" s="35" t="str">
        <x:v>Deepseek-flash-v4/Result2/Time_25/result.json</x:v>
      </x:c>
    </x:row>
    <x:row r="1701">
      <x:c r="A1701" s="35" t="str">
        <x:v>deepseek</x:v>
      </x:c>
      <x:c r="B1701" s="35" t="str">
        <x:v>Time</x:v>
      </x:c>
      <x:c r="C1701" s="35" t="str">
        <x:v>Round2</x:v>
      </x:c>
      <x:c r="D1701" s="35" t="str">
        <x:v>Time_26</x:v>
      </x:c>
      <x:c r="E1701" s="35" t="str">
        <x:v>Line</x:v>
      </x:c>
      <x:c r="F1701" s="35" t="n">
        <x:v>567</x:v>
      </x:c>
      <x:c r="G1701" s="35" t="str">
        <x:v>RECORDED</x:v>
      </x:c>
      <x:c r="H1701" s="39" t="n">
        <x:f>IF(ISNUMBER('Data'!E1701),'Data'!E1701*100,"")</x:f>
        <x:v>69.14</x:v>
      </x:c>
      <x:c r="I1701" s="35" t="str">
        <x:v>PASS</x:v>
      </x:c>
      <x:c r="J1701" s="35" t="str">
        <x:v>PASS</x:v>
      </x:c>
      <x:c r="K1701" s="35" t="str">
        <x:v>PASS</x:v>
      </x:c>
      <x:c r="L1701" s="35" t="str">
        <x:v>FAIL</x:v>
      </x:c>
      <x:c r="M1701" s="35" t="str">
        <x:v>numeric coverage for applicable metric</x:v>
      </x:c>
      <x:c r="N1701" s="35" t="str">
        <x:v>Deepseek-flash-v4/Result2/Time_26/result.json</x:v>
      </x:c>
      <x:c r="O1701" s="39" t="n">
        <x:f>IF(AND(G1701="RECORDED",ISNUMBER(H1701)),H1701,"")</x:f>
        <x:v>69.14</x:v>
      </x:c>
      <x:c r="P1701" s="35" t="str">
        <x:v>INCONCLUSIVE</x:v>
      </x:c>
      <x:c r="Q1701" s="35" t="str">
        <x:v>Deepseek-flash-v4/Result2/Time_26/result.json</x:v>
      </x:c>
    </x:row>
    <x:row r="1702">
      <x:c r="A1702" s="35" t="str">
        <x:v>deepseek</x:v>
      </x:c>
      <x:c r="B1702" s="35" t="str">
        <x:v>Time</x:v>
      </x:c>
      <x:c r="C1702" s="35" t="str">
        <x:v>Round2</x:v>
      </x:c>
      <x:c r="D1702" s="35" t="str">
        <x:v>Time_27</x:v>
      </x:c>
      <x:c r="E1702" s="35" t="str">
        <x:v>Line</x:v>
      </x:c>
      <x:c r="F1702" s="35" t="n">
        <x:v>670</x:v>
      </x:c>
      <x:c r="G1702" s="35" t="str">
        <x:v>RECORDED</x:v>
      </x:c>
      <x:c r="H1702" s="39" t="n">
        <x:f>IF(ISNUMBER('Data'!E1702),'Data'!E1702*100,"")</x:f>
        <x:v>35.07</x:v>
      </x:c>
      <x:c r="I1702" s="35" t="str">
        <x:v>PASS</x:v>
      </x:c>
      <x:c r="J1702" s="35" t="str">
        <x:v>PASS</x:v>
      </x:c>
      <x:c r="K1702" s="35" t="str">
        <x:v>PASS</x:v>
      </x:c>
      <x:c r="L1702" s="35" t="str">
        <x:v>FAIL</x:v>
      </x:c>
      <x:c r="M1702" s="35" t="str">
        <x:v>numeric coverage for applicable metric</x:v>
      </x:c>
      <x:c r="N1702" s="35" t="str">
        <x:v>Deepseek-flash-v4/Result2/Time_27/result.json</x:v>
      </x:c>
      <x:c r="O1702" s="39" t="n">
        <x:f>IF(AND(G1702="RECORDED",ISNUMBER(H1702)),H1702,"")</x:f>
        <x:v>35.07</x:v>
      </x:c>
      <x:c r="P1702" s="35" t="str">
        <x:v>INCONCLUSIVE</x:v>
      </x:c>
      <x:c r="Q1702" s="35" t="str">
        <x:v>Deepseek-flash-v4/Result2/Time_27/result.json</x:v>
      </x:c>
    </x:row>
    <x:row r="1703">
      <x:c r="A1703" s="35" t="str">
        <x:v>deepseek</x:v>
      </x:c>
      <x:c r="B1703" s="35" t="str">
        <x:v>Time</x:v>
      </x:c>
      <x:c r="C1703" s="35" t="str">
        <x:v>Round2</x:v>
      </x:c>
      <x:c r="D1703" s="35" t="str">
        <x:v>Time_3</x:v>
      </x:c>
      <x:c r="E1703" s="35" t="str">
        <x:v>Line</x:v>
      </x:c>
      <x:c r="F1703" s="35"/>
      <x:c r="G1703" s="35" t="str">
        <x:v>A</x:v>
      </x:c>
      <x:c r="H1703" s="39" t="str">
        <x:f>IF(ISNUMBER('Data'!E1703),'Data'!E1703*100,"")</x:f>
      </x:c>
      <x:c r="I1703" s="35"/>
      <x:c r="J1703" s="35" t="str">
        <x:v>PASS</x:v>
      </x:c>
      <x:c r="K1703" s="35" t="str">
        <x:v>FAIL</x:v>
      </x:c>
      <x:c r="L1703" s="35" t="str">
        <x:v>NOT_RUN</x:v>
      </x:c>
      <x:c r="M1703" s="35" t="str">
        <x:v>coverage unavailable or execution/compile failed</x:v>
      </x:c>
      <x:c r="N1703" s="35" t="str">
        <x:v>Deepseek-flash-v4/Result2/Time_3/result.json</x:v>
      </x:c>
      <x:c r="O1703" s="39" t="str">
        <x:f>IF(AND(G1703="RECORDED",ISNUMBER(H1703)),H1703,"")</x:f>
      </x:c>
      <x:c r="P1703" s="35" t="str">
        <x:v>NOT_AVAILABLE</x:v>
      </x:c>
      <x:c r="Q1703" s="35" t="str">
        <x:v>Deepseek-flash-v4/Result2/Time_3/result.json</x:v>
      </x:c>
    </x:row>
    <x:row r="1704">
      <x:c r="A1704" s="35" t="str">
        <x:v>deepseek</x:v>
      </x:c>
      <x:c r="B1704" s="35" t="str">
        <x:v>Time</x:v>
      </x:c>
      <x:c r="C1704" s="35" t="str">
        <x:v>Round2</x:v>
      </x:c>
      <x:c r="D1704" s="35" t="str">
        <x:v>Time_4</x:v>
      </x:c>
      <x:c r="E1704" s="35" t="str">
        <x:v>Line</x:v>
      </x:c>
      <x:c r="F1704" s="35" t="n">
        <x:v>253</x:v>
      </x:c>
      <x:c r="G1704" s="35" t="str">
        <x:v>RECORDED</x:v>
      </x:c>
      <x:c r="H1704" s="39" t="n">
        <x:f>IF(ISNUMBER('Data'!E1704),'Data'!E1704*100,"")</x:f>
        <x:v>84.98</x:v>
      </x:c>
      <x:c r="I1704" s="35" t="str">
        <x:v>PASS</x:v>
      </x:c>
      <x:c r="J1704" s="35" t="str">
        <x:v>PASS</x:v>
      </x:c>
      <x:c r="K1704" s="35" t="str">
        <x:v>PASS</x:v>
      </x:c>
      <x:c r="L1704" s="35" t="str">
        <x:v>PASS</x:v>
      </x:c>
      <x:c r="M1704" s="35" t="str">
        <x:v>numeric coverage for applicable metric</x:v>
      </x:c>
      <x:c r="N1704" s="35" t="str">
        <x:v>Deepseek-flash-v4/Result2/Time_4/result.json</x:v>
      </x:c>
      <x:c r="O1704" s="39" t="n">
        <x:f>IF(AND(G1704="RECORDED",ISNUMBER(H1704)),H1704,"")</x:f>
        <x:v>84.98</x:v>
      </x:c>
      <x:c r="P1704" s="35" t="str">
        <x:v>NOT_REVEALING</x:v>
      </x:c>
      <x:c r="Q1704" s="35" t="str">
        <x:v>Deepseek-flash-v4/Result2/Time_4/result.json</x:v>
      </x:c>
    </x:row>
    <x:row r="1705">
      <x:c r="A1705" s="35" t="str">
        <x:v>deepseek</x:v>
      </x:c>
      <x:c r="B1705" s="35" t="str">
        <x:v>Time</x:v>
      </x:c>
      <x:c r="C1705" s="35" t="str">
        <x:v>Round2</x:v>
      </x:c>
      <x:c r="D1705" s="35" t="str">
        <x:v>Time_5</x:v>
      </x:c>
      <x:c r="E1705" s="35" t="str">
        <x:v>Line</x:v>
      </x:c>
      <x:c r="F1705" s="35" t="n">
        <x:v>283</x:v>
      </x:c>
      <x:c r="G1705" s="35" t="str">
        <x:v>RECORDED</x:v>
      </x:c>
      <x:c r="H1705" s="39" t="n">
        <x:f>IF(ISNUMBER('Data'!E1705),'Data'!E1705*100,"")</x:f>
        <x:v>87.63</x:v>
      </x:c>
      <x:c r="I1705" s="35" t="str">
        <x:v>PASS</x:v>
      </x:c>
      <x:c r="J1705" s="35" t="str">
        <x:v>PASS</x:v>
      </x:c>
      <x:c r="K1705" s="35" t="str">
        <x:v>PASS</x:v>
      </x:c>
      <x:c r="L1705" s="35" t="str">
        <x:v>PASS</x:v>
      </x:c>
      <x:c r="M1705" s="35" t="str">
        <x:v>numeric coverage for applicable metric</x:v>
      </x:c>
      <x:c r="N1705" s="35" t="str">
        <x:v>Deepseek-flash-v4/Result2/Time_5/result.json</x:v>
      </x:c>
      <x:c r="O1705" s="39" t="n">
        <x:f>IF(AND(G1705="RECORDED",ISNUMBER(H1705)),H1705,"")</x:f>
        <x:v>87.63</x:v>
      </x:c>
      <x:c r="P1705" s="35" t="str">
        <x:v>NOT_REVEALING</x:v>
      </x:c>
      <x:c r="Q1705" s="35" t="str">
        <x:v>Deepseek-flash-v4/Result2/Time_5/result.json</x:v>
      </x:c>
    </x:row>
    <x:row r="1706">
      <x:c r="A1706" s="35" t="str">
        <x:v>deepseek</x:v>
      </x:c>
      <x:c r="B1706" s="35" t="str">
        <x:v>Time</x:v>
      </x:c>
      <x:c r="C1706" s="35" t="str">
        <x:v>Round2</x:v>
      </x:c>
      <x:c r="D1706" s="35" t="str">
        <x:v>Time_6</x:v>
      </x:c>
      <x:c r="E1706" s="35" t="str">
        <x:v>Line</x:v>
      </x:c>
      <x:c r="F1706" s="35" t="n">
        <x:v>361</x:v>
      </x:c>
      <x:c r="G1706" s="35" t="str">
        <x:v>RECORDED</x:v>
      </x:c>
      <x:c r="H1706" s="39" t="n">
        <x:f>IF(ISNUMBER('Data'!E1706),'Data'!E1706*100,"")</x:f>
        <x:v>50.690000000000005</x:v>
      </x:c>
      <x:c r="I1706" s="35" t="str">
        <x:v>PASS</x:v>
      </x:c>
      <x:c r="J1706" s="35" t="str">
        <x:v>PASS</x:v>
      </x:c>
      <x:c r="K1706" s="35" t="str">
        <x:v>PASS</x:v>
      </x:c>
      <x:c r="L1706" s="35" t="str">
        <x:v>PASS</x:v>
      </x:c>
      <x:c r="M1706" s="35" t="str">
        <x:v>numeric coverage for applicable metric</x:v>
      </x:c>
      <x:c r="N1706" s="35" t="str">
        <x:v>Deepseek-flash-v4/Result2/Time_6/result.json</x:v>
      </x:c>
      <x:c r="O1706" s="39" t="n">
        <x:f>IF(AND(G1706="RECORDED",ISNUMBER(H1706)),H1706,"")</x:f>
        <x:v>50.690000000000005</x:v>
      </x:c>
      <x:c r="P1706" s="35" t="str">
        <x:v>NOT_REVEALING</x:v>
      </x:c>
      <x:c r="Q1706" s="35" t="str">
        <x:v>Deepseek-flash-v4/Result2/Time_6/result.json</x:v>
      </x:c>
    </x:row>
    <x:row r="1707">
      <x:c r="A1707" s="35" t="str">
        <x:v>deepseek</x:v>
      </x:c>
      <x:c r="B1707" s="35" t="str">
        <x:v>Time</x:v>
      </x:c>
      <x:c r="C1707" s="35" t="str">
        <x:v>Round2</x:v>
      </x:c>
      <x:c r="D1707" s="35" t="str">
        <x:v>Time_7</x:v>
      </x:c>
      <x:c r="E1707" s="35" t="str">
        <x:v>Line</x:v>
      </x:c>
      <x:c r="F1707" s="35"/>
      <x:c r="G1707" s="35" t="str">
        <x:v>A</x:v>
      </x:c>
      <x:c r="H1707" s="39" t="str">
        <x:f>IF(ISNUMBER('Data'!E1707),'Data'!E1707*100,"")</x:f>
      </x:c>
      <x:c r="I1707" s="35"/>
      <x:c r="J1707" s="35" t="str">
        <x:v>PASS</x:v>
      </x:c>
      <x:c r="K1707" s="35" t="str">
        <x:v>FAIL</x:v>
      </x:c>
      <x:c r="L1707" s="35" t="str">
        <x:v>NOT_RUN</x:v>
      </x:c>
      <x:c r="M1707" s="35" t="str">
        <x:v>coverage unavailable or execution/compile failed</x:v>
      </x:c>
      <x:c r="N1707" s="35" t="str">
        <x:v>Deepseek-flash-v4/Result2/Time_7/result.json</x:v>
      </x:c>
      <x:c r="O1707" s="39" t="str">
        <x:f>IF(AND(G1707="RECORDED",ISNUMBER(H1707)),H1707,"")</x:f>
      </x:c>
      <x:c r="P1707" s="35" t="str">
        <x:v>NOT_AVAILABLE</x:v>
      </x:c>
      <x:c r="Q1707" s="35" t="str">
        <x:v>Deepseek-flash-v4/Result2/Time_7/result.json</x:v>
      </x:c>
    </x:row>
    <x:row r="1708">
      <x:c r="A1708" s="35" t="str">
        <x:v>deepseek</x:v>
      </x:c>
      <x:c r="B1708" s="35" t="str">
        <x:v>Time</x:v>
      </x:c>
      <x:c r="C1708" s="35" t="str">
        <x:v>Round2</x:v>
      </x:c>
      <x:c r="D1708" s="35" t="str">
        <x:v>Time_8</x:v>
      </x:c>
      <x:c r="E1708" s="35" t="str">
        <x:v>Line</x:v>
      </x:c>
      <x:c r="F1708" s="35" t="n">
        <x:v>355</x:v>
      </x:c>
      <x:c r="G1708" s="35" t="str">
        <x:v>RECORDED</x:v>
      </x:c>
      <x:c r="H1708" s="39" t="n">
        <x:f>IF(ISNUMBER('Data'!E1708),'Data'!E1708*100,"")</x:f>
        <x:v>65.35</x:v>
      </x:c>
      <x:c r="I1708" s="35" t="str">
        <x:v>PASS</x:v>
      </x:c>
      <x:c r="J1708" s="35" t="str">
        <x:v>PASS</x:v>
      </x:c>
      <x:c r="K1708" s="35" t="str">
        <x:v>PASS</x:v>
      </x:c>
      <x:c r="L1708" s="35" t="str">
        <x:v>PASS</x:v>
      </x:c>
      <x:c r="M1708" s="35" t="str">
        <x:v>numeric coverage for applicable metric</x:v>
      </x:c>
      <x:c r="N1708" s="35" t="str">
        <x:v>Deepseek-flash-v4/Result2/Time_8/result.json</x:v>
      </x:c>
      <x:c r="O1708" s="39" t="n">
        <x:f>IF(AND(G1708="RECORDED",ISNUMBER(H1708)),H1708,"")</x:f>
        <x:v>65.35</x:v>
      </x:c>
      <x:c r="P1708" s="35" t="str">
        <x:v>NOT_REVEALING</x:v>
      </x:c>
      <x:c r="Q1708" s="35" t="str">
        <x:v>Deepseek-flash-v4/Result2/Time_8/result.json</x:v>
      </x:c>
    </x:row>
    <x:row r="1709">
      <x:c r="A1709" s="35" t="str">
        <x:v>deepseek</x:v>
      </x:c>
      <x:c r="B1709" s="35" t="str">
        <x:v>Time</x:v>
      </x:c>
      <x:c r="C1709" s="35" t="str">
        <x:v>Round2</x:v>
      </x:c>
      <x:c r="D1709" s="35" t="str">
        <x:v>Time_9</x:v>
      </x:c>
      <x:c r="E1709" s="35" t="str">
        <x:v>Line</x:v>
      </x:c>
      <x:c r="F1709" s="35"/>
      <x:c r="G1709" s="35" t="str">
        <x:v>A</x:v>
      </x:c>
      <x:c r="H1709" s="39" t="str">
        <x:f>IF(ISNUMBER('Data'!E1709),'Data'!E1709*100,"")</x:f>
      </x:c>
      <x:c r="I1709" s="35"/>
      <x:c r="J1709" s="35" t="str">
        <x:v>PASS</x:v>
      </x:c>
      <x:c r="K1709" s="35" t="str">
        <x:v>FAIL</x:v>
      </x:c>
      <x:c r="L1709" s="35" t="str">
        <x:v>NOT_RUN</x:v>
      </x:c>
      <x:c r="M1709" s="35" t="str">
        <x:v>coverage unavailable or execution/compile failed</x:v>
      </x:c>
      <x:c r="N1709" s="35" t="str">
        <x:v>Deepseek-flash-v4/Result2/Time_9/result.json</x:v>
      </x:c>
      <x:c r="O1709" s="39" t="str">
        <x:f>IF(AND(G1709="RECORDED",ISNUMBER(H1709)),H1709,"")</x:f>
      </x:c>
      <x:c r="P1709" s="35" t="str">
        <x:v>NOT_AVAILABLE</x:v>
      </x:c>
      <x:c r="Q1709" s="35" t="str">
        <x:v>Deepseek-flash-v4/Result2/Time_9/result.json</x:v>
      </x:c>
    </x:row>
    <x:row r="1710">
      <x:c r="A1710" s="35" t="str">
        <x:v>deepseek</x:v>
      </x:c>
      <x:c r="B1710" s="35" t="str">
        <x:v>Chart</x:v>
      </x:c>
      <x:c r="C1710" s="35" t="str">
        <x:v>Round1</x:v>
      </x:c>
      <x:c r="D1710" s="35" t="str">
        <x:v>Chart_1</x:v>
      </x:c>
      <x:c r="E1710" s="35" t="str">
        <x:v>Condition</x:v>
      </x:c>
      <x:c r="F1710" s="35"/>
      <x:c r="G1710" s="35" t="str">
        <x:v>A</x:v>
      </x:c>
      <x:c r="H1710" s="39" t="str">
        <x:f>IF(ISNUMBER('Data'!N2),'Data'!N2*100,"")</x:f>
      </x:c>
      <x:c r="I1710" s="35"/>
      <x:c r="J1710" s="35" t="str">
        <x:v>PASS</x:v>
      </x:c>
      <x:c r="K1710" s="35" t="str">
        <x:v>FAIL</x:v>
      </x:c>
      <x:c r="L1710" s="35" t="str">
        <x:v>NOT_RUN</x:v>
      </x:c>
      <x:c r="M1710" s="35" t="str">
        <x:v>coverage unavailable or execution/compile failed</x:v>
      </x:c>
      <x:c r="N1710" s="35" t="str">
        <x:v>Deepseek-flash-v4/Result/Chart_1/result.json</x:v>
      </x:c>
      <x:c r="O1710" s="39" t="str">
        <x:f>IF(AND(G1710="RECORDED",ISNUMBER(H1710)),H1710,"")</x:f>
      </x:c>
      <x:c r="P1710" s="35" t="str">
        <x:v>NOT_AVAILABLE</x:v>
      </x:c>
      <x:c r="Q1710" s="35" t="str">
        <x:v>Deepseek-flash-v4/Result/Chart_1/result.json</x:v>
      </x:c>
    </x:row>
    <x:row r="1711">
      <x:c r="A1711" s="35" t="str">
        <x:v>deepseek</x:v>
      </x:c>
      <x:c r="B1711" s="35" t="str">
        <x:v>Chart</x:v>
      </x:c>
      <x:c r="C1711" s="35" t="str">
        <x:v>Round1</x:v>
      </x:c>
      <x:c r="D1711" s="35" t="str">
        <x:v>Chart_10</x:v>
      </x:c>
      <x:c r="E1711" s="35" t="str">
        <x:v>Condition</x:v>
      </x:c>
      <x:c r="F1711" s="35" t="n">
        <x:v>0</x:v>
      </x:c>
      <x:c r="G1711" s="35" t="str">
        <x:v>B</x:v>
      </x:c>
      <x:c r="H1711" s="39" t="str">
        <x:f>IF(ISNUMBER('Data'!N3),'Data'!N3*100,"")</x:f>
      </x:c>
      <x:c r="I1711" s="35" t="str">
        <x:v>PASS</x:v>
      </x:c>
      <x:c r="J1711" s="35" t="str">
        <x:v>PASS</x:v>
      </x:c>
      <x:c r="K1711" s="35" t="str">
        <x:v>PASS</x:v>
      </x:c>
      <x:c r="L1711" s="35" t="str">
        <x:v>FAIL</x:v>
      </x:c>
      <x:c r="M1711" s="35" t="str">
        <x:v>coverage completed; measurable total = 0</x:v>
      </x:c>
      <x:c r="N1711" s="35" t="str">
        <x:v>Deepseek-flash-v4/Result/Chart_10/result.json</x:v>
      </x:c>
      <x:c r="O1711" s="39" t="str">
        <x:f>IF(AND(G1711="RECORDED",ISNUMBER(H1711)),H1711,"")</x:f>
      </x:c>
      <x:c r="P1711" s="35" t="str">
        <x:v>INCONCLUSIVE</x:v>
      </x:c>
      <x:c r="Q1711" s="35" t="str">
        <x:v>Deepseek-flash-v4/Result/Chart_10/result.json</x:v>
      </x:c>
    </x:row>
    <x:row r="1712">
      <x:c r="A1712" s="35" t="str">
        <x:v>deepseek</x:v>
      </x:c>
      <x:c r="B1712" s="35" t="str">
        <x:v>Chart</x:v>
      </x:c>
      <x:c r="C1712" s="35" t="str">
        <x:v>Round1</x:v>
      </x:c>
      <x:c r="D1712" s="35" t="str">
        <x:v>Chart_11</x:v>
      </x:c>
      <x:c r="E1712" s="35" t="str">
        <x:v>Condition</x:v>
      </x:c>
      <x:c r="F1712" s="35"/>
      <x:c r="G1712" s="35" t="str">
        <x:v>A</x:v>
      </x:c>
      <x:c r="H1712" s="39" t="str">
        <x:f>IF(ISNUMBER('Data'!N4),'Data'!N4*100,"")</x:f>
      </x:c>
      <x:c r="I1712" s="35"/>
      <x:c r="J1712" s="35" t="str">
        <x:v>PASS</x:v>
      </x:c>
      <x:c r="K1712" s="35" t="str">
        <x:v>FAIL</x:v>
      </x:c>
      <x:c r="L1712" s="35" t="str">
        <x:v>NOT_RUN</x:v>
      </x:c>
      <x:c r="M1712" s="35" t="str">
        <x:v>coverage unavailable or execution/compile failed</x:v>
      </x:c>
      <x:c r="N1712" s="35" t="str">
        <x:v>Deepseek-flash-v4/Result/Chart_11/result.json</x:v>
      </x:c>
      <x:c r="O1712" s="39" t="str">
        <x:f>IF(AND(G1712="RECORDED",ISNUMBER(H1712)),H1712,"")</x:f>
      </x:c>
      <x:c r="P1712" s="35" t="str">
        <x:v>NOT_AVAILABLE</x:v>
      </x:c>
      <x:c r="Q1712" s="35" t="str">
        <x:v>Deepseek-flash-v4/Result/Chart_11/result.json</x:v>
      </x:c>
    </x:row>
    <x:row r="1713">
      <x:c r="A1713" s="35" t="str">
        <x:v>deepseek</x:v>
      </x:c>
      <x:c r="B1713" s="35" t="str">
        <x:v>Chart</x:v>
      </x:c>
      <x:c r="C1713" s="35" t="str">
        <x:v>Round1</x:v>
      </x:c>
      <x:c r="D1713" s="35" t="str">
        <x:v>Chart_12</x:v>
      </x:c>
      <x:c r="E1713" s="35" t="str">
        <x:v>Condition</x:v>
      </x:c>
      <x:c r="F1713" s="35"/>
      <x:c r="G1713" s="35" t="str">
        <x:v>A</x:v>
      </x:c>
      <x:c r="H1713" s="39" t="str">
        <x:f>IF(ISNUMBER('Data'!N5),'Data'!N5*100,"")</x:f>
      </x:c>
      <x:c r="I1713" s="35"/>
      <x:c r="J1713" s="35" t="str">
        <x:v>PASS</x:v>
      </x:c>
      <x:c r="K1713" s="35" t="str">
        <x:v>FAIL</x:v>
      </x:c>
      <x:c r="L1713" s="35" t="str">
        <x:v>NOT_RUN</x:v>
      </x:c>
      <x:c r="M1713" s="35" t="str">
        <x:v>coverage unavailable or execution/compile failed</x:v>
      </x:c>
      <x:c r="N1713" s="35" t="str">
        <x:v>Deepseek-flash-v4/Result/Chart_12/result.json</x:v>
      </x:c>
      <x:c r="O1713" s="39" t="str">
        <x:f>IF(AND(G1713="RECORDED",ISNUMBER(H1713)),H1713,"")</x:f>
      </x:c>
      <x:c r="P1713" s="35" t="str">
        <x:v>NOT_AVAILABLE</x:v>
      </x:c>
      <x:c r="Q1713" s="35" t="str">
        <x:v>Deepseek-flash-v4/Result/Chart_12/result.json</x:v>
      </x:c>
    </x:row>
    <x:row r="1714">
      <x:c r="A1714" s="35" t="str">
        <x:v>deepseek</x:v>
      </x:c>
      <x:c r="B1714" s="35" t="str">
        <x:v>Chart</x:v>
      </x:c>
      <x:c r="C1714" s="35" t="str">
        <x:v>Round1</x:v>
      </x:c>
      <x:c r="D1714" s="35" t="str">
        <x:v>Chart_13</x:v>
      </x:c>
      <x:c r="E1714" s="35" t="str">
        <x:v>Condition</x:v>
      </x:c>
      <x:c r="F1714" s="35"/>
      <x:c r="G1714" s="35" t="str">
        <x:v>A</x:v>
      </x:c>
      <x:c r="H1714" s="39" t="str">
        <x:f>IF(ISNUMBER('Data'!N6),'Data'!N6*100,"")</x:f>
      </x:c>
      <x:c r="I1714" s="35"/>
      <x:c r="J1714" s="35" t="str">
        <x:v>PASS</x:v>
      </x:c>
      <x:c r="K1714" s="35" t="str">
        <x:v>FAIL</x:v>
      </x:c>
      <x:c r="L1714" s="35" t="str">
        <x:v>NOT_RUN</x:v>
      </x:c>
      <x:c r="M1714" s="35" t="str">
        <x:v>coverage unavailable or execution/compile failed</x:v>
      </x:c>
      <x:c r="N1714" s="35" t="str">
        <x:v>Deepseek-flash-v4/Result/Chart_13/result.json</x:v>
      </x:c>
      <x:c r="O1714" s="39" t="str">
        <x:f>IF(AND(G1714="RECORDED",ISNUMBER(H1714)),H1714,"")</x:f>
      </x:c>
      <x:c r="P1714" s="35" t="str">
        <x:v>NOT_AVAILABLE</x:v>
      </x:c>
      <x:c r="Q1714" s="35" t="str">
        <x:v>Deepseek-flash-v4/Result/Chart_13/result.json</x:v>
      </x:c>
    </x:row>
    <x:row r="1715">
      <x:c r="A1715" s="35" t="str">
        <x:v>deepseek</x:v>
      </x:c>
      <x:c r="B1715" s="35" t="str">
        <x:v>Chart</x:v>
      </x:c>
      <x:c r="C1715" s="35" t="str">
        <x:v>Round1</x:v>
      </x:c>
      <x:c r="D1715" s="35" t="str">
        <x:v>Chart_14</x:v>
      </x:c>
      <x:c r="E1715" s="35" t="str">
        <x:v>Condition</x:v>
      </x:c>
      <x:c r="F1715" s="35"/>
      <x:c r="G1715" s="35" t="str">
        <x:v>A</x:v>
      </x:c>
      <x:c r="H1715" s="39" t="str">
        <x:f>IF(ISNUMBER('Data'!N7),'Data'!N7*100,"")</x:f>
      </x:c>
      <x:c r="I1715" s="35"/>
      <x:c r="J1715" s="35" t="str">
        <x:v>PASS</x:v>
      </x:c>
      <x:c r="K1715" s="35" t="str">
        <x:v>FAIL</x:v>
      </x:c>
      <x:c r="L1715" s="35" t="str">
        <x:v>NOT_RUN</x:v>
      </x:c>
      <x:c r="M1715" s="35" t="str">
        <x:v>coverage unavailable or execution/compile failed</x:v>
      </x:c>
      <x:c r="N1715" s="35" t="str">
        <x:v>Deepseek-flash-v4/Result/Chart_14/result.json</x:v>
      </x:c>
      <x:c r="O1715" s="39" t="str">
        <x:f>IF(AND(G1715="RECORDED",ISNUMBER(H1715)),H1715,"")</x:f>
      </x:c>
      <x:c r="P1715" s="35" t="str">
        <x:v>NOT_AVAILABLE</x:v>
      </x:c>
      <x:c r="Q1715" s="35" t="str">
        <x:v>Deepseek-flash-v4/Result/Chart_14/result.json</x:v>
      </x:c>
    </x:row>
    <x:row r="1716">
      <x:c r="A1716" s="35" t="str">
        <x:v>deepseek</x:v>
      </x:c>
      <x:c r="B1716" s="35" t="str">
        <x:v>Chart</x:v>
      </x:c>
      <x:c r="C1716" s="35" t="str">
        <x:v>Round1</x:v>
      </x:c>
      <x:c r="D1716" s="35" t="str">
        <x:v>Chart_15</x:v>
      </x:c>
      <x:c r="E1716" s="35" t="str">
        <x:v>Condition</x:v>
      </x:c>
      <x:c r="F1716" s="35" t="n">
        <x:v>312</x:v>
      </x:c>
      <x:c r="G1716" s="35" t="str">
        <x:v>RECORDED</x:v>
      </x:c>
      <x:c r="H1716" s="39" t="n">
        <x:f>IF(ISNUMBER('Data'!N8),'Data'!N8*100,"")</x:f>
        <x:v>26.280000000000005</x:v>
      </x:c>
      <x:c r="I1716" s="35" t="str">
        <x:v>PASS</x:v>
      </x:c>
      <x:c r="J1716" s="35" t="str">
        <x:v>PASS</x:v>
      </x:c>
      <x:c r="K1716" s="35" t="str">
        <x:v>PASS</x:v>
      </x:c>
      <x:c r="L1716" s="35" t="str">
        <x:v>FAIL</x:v>
      </x:c>
      <x:c r="M1716" s="35" t="str">
        <x:v>numeric coverage for applicable metric</x:v>
      </x:c>
      <x:c r="N1716" s="35" t="str">
        <x:v>Deepseek-flash-v4/Result/Chart_15/result.json</x:v>
      </x:c>
      <x:c r="O1716" s="39" t="n">
        <x:f>IF(AND(G1716="RECORDED",ISNUMBER(H1716)),H1716,"")</x:f>
        <x:v>26.280000000000005</x:v>
      </x:c>
      <x:c r="P1716" s="35" t="str">
        <x:v>INCONCLUSIVE</x:v>
      </x:c>
      <x:c r="Q1716" s="35" t="str">
        <x:v>Deepseek-flash-v4/Result/Chart_15/result.json</x:v>
      </x:c>
    </x:row>
    <x:row r="1717">
      <x:c r="A1717" s="35" t="str">
        <x:v>deepseek</x:v>
      </x:c>
      <x:c r="B1717" s="35" t="str">
        <x:v>Chart</x:v>
      </x:c>
      <x:c r="C1717" s="35" t="str">
        <x:v>Round1</x:v>
      </x:c>
      <x:c r="D1717" s="35" t="str">
        <x:v>Chart_16</x:v>
      </x:c>
      <x:c r="E1717" s="35" t="str">
        <x:v>Condition</x:v>
      </x:c>
      <x:c r="F1717" s="35"/>
      <x:c r="G1717" s="35" t="str">
        <x:v>A</x:v>
      </x:c>
      <x:c r="H1717" s="39" t="str">
        <x:f>IF(ISNUMBER('Data'!N9),'Data'!N9*100,"")</x:f>
      </x:c>
      <x:c r="I1717" s="35"/>
      <x:c r="J1717" s="35" t="str">
        <x:v>PASS</x:v>
      </x:c>
      <x:c r="K1717" s="35" t="str">
        <x:v>FAIL</x:v>
      </x:c>
      <x:c r="L1717" s="35" t="str">
        <x:v>NOT_RUN</x:v>
      </x:c>
      <x:c r="M1717" s="35" t="str">
        <x:v>coverage unavailable or execution/compile failed</x:v>
      </x:c>
      <x:c r="N1717" s="35" t="str">
        <x:v>Deepseek-flash-v4/Result/Chart_16/result.json</x:v>
      </x:c>
      <x:c r="O1717" s="39" t="str">
        <x:f>IF(AND(G1717="RECORDED",ISNUMBER(H1717)),H1717,"")</x:f>
      </x:c>
      <x:c r="P1717" s="35" t="str">
        <x:v>NOT_AVAILABLE</x:v>
      </x:c>
      <x:c r="Q1717" s="35" t="str">
        <x:v>Deepseek-flash-v4/Result/Chart_16/result.json</x:v>
      </x:c>
    </x:row>
    <x:row r="1718">
      <x:c r="A1718" s="35" t="str">
        <x:v>deepseek</x:v>
      </x:c>
      <x:c r="B1718" s="35" t="str">
        <x:v>Chart</x:v>
      </x:c>
      <x:c r="C1718" s="35" t="str">
        <x:v>Round1</x:v>
      </x:c>
      <x:c r="D1718" s="35" t="str">
        <x:v>Chart_17</x:v>
      </x:c>
      <x:c r="E1718" s="35" t="str">
        <x:v>Condition</x:v>
      </x:c>
      <x:c r="F1718" s="35"/>
      <x:c r="G1718" s="35" t="str">
        <x:v>A</x:v>
      </x:c>
      <x:c r="H1718" s="39" t="str">
        <x:f>IF(ISNUMBER('Data'!N10),'Data'!N10*100,"")</x:f>
      </x:c>
      <x:c r="I1718" s="35"/>
      <x:c r="J1718" s="35" t="str">
        <x:v>PASS</x:v>
      </x:c>
      <x:c r="K1718" s="35" t="str">
        <x:v>FAIL</x:v>
      </x:c>
      <x:c r="L1718" s="35" t="str">
        <x:v>NOT_RUN</x:v>
      </x:c>
      <x:c r="M1718" s="35" t="str">
        <x:v>coverage unavailable or execution/compile failed</x:v>
      </x:c>
      <x:c r="N1718" s="35" t="str">
        <x:v>Deepseek-flash-v4/Result/Chart_17/result.json</x:v>
      </x:c>
      <x:c r="O1718" s="39" t="str">
        <x:f>IF(AND(G1718="RECORDED",ISNUMBER(H1718)),H1718,"")</x:f>
      </x:c>
      <x:c r="P1718" s="35" t="str">
        <x:v>NOT_AVAILABLE</x:v>
      </x:c>
      <x:c r="Q1718" s="35" t="str">
        <x:v>Deepseek-flash-v4/Result/Chart_17/result.json</x:v>
      </x:c>
    </x:row>
    <x:row r="1719">
      <x:c r="A1719" s="35" t="str">
        <x:v>deepseek</x:v>
      </x:c>
      <x:c r="B1719" s="35" t="str">
        <x:v>Chart</x:v>
      </x:c>
      <x:c r="C1719" s="35" t="str">
        <x:v>Round1</x:v>
      </x:c>
      <x:c r="D1719" s="35" t="str">
        <x:v>Chart_18</x:v>
      </x:c>
      <x:c r="E1719" s="35" t="str">
        <x:v>Condition</x:v>
      </x:c>
      <x:c r="F1719" s="35" t="n">
        <x:v>122</x:v>
      </x:c>
      <x:c r="G1719" s="35" t="str">
        <x:v>RECORDED</x:v>
      </x:c>
      <x:c r="H1719" s="39" t="n">
        <x:f>IF(ISNUMBER('Data'!N11),'Data'!N11*100,"")</x:f>
        <x:v>83.61</x:v>
      </x:c>
      <x:c r="I1719" s="35" t="str">
        <x:v>PASS</x:v>
      </x:c>
      <x:c r="J1719" s="35" t="str">
        <x:v>PASS</x:v>
      </x:c>
      <x:c r="K1719" s="35" t="str">
        <x:v>PASS</x:v>
      </x:c>
      <x:c r="L1719" s="35" t="str">
        <x:v>FAIL</x:v>
      </x:c>
      <x:c r="M1719" s="35" t="str">
        <x:v>numeric coverage for applicable metric</x:v>
      </x:c>
      <x:c r="N1719" s="35" t="str">
        <x:v>Deepseek-flash-v4/Result/Chart_18/result.json</x:v>
      </x:c>
      <x:c r="O1719" s="39" t="n">
        <x:f>IF(AND(G1719="RECORDED",ISNUMBER(H1719)),H1719,"")</x:f>
        <x:v>83.61</x:v>
      </x:c>
      <x:c r="P1719" s="35" t="str">
        <x:v>INCONCLUSIVE</x:v>
      </x:c>
      <x:c r="Q1719" s="35" t="str">
        <x:v>Deepseek-flash-v4/Result/Chart_18/result.json</x:v>
      </x:c>
    </x:row>
    <x:row r="1720">
      <x:c r="A1720" s="35" t="str">
        <x:v>deepseek</x:v>
      </x:c>
      <x:c r="B1720" s="35" t="str">
        <x:v>Chart</x:v>
      </x:c>
      <x:c r="C1720" s="35" t="str">
        <x:v>Round1</x:v>
      </x:c>
      <x:c r="D1720" s="35" t="str">
        <x:v>Chart_19</x:v>
      </x:c>
      <x:c r="E1720" s="35" t="str">
        <x:v>Condition</x:v>
      </x:c>
      <x:c r="F1720" s="35"/>
      <x:c r="G1720" s="35" t="str">
        <x:v>A</x:v>
      </x:c>
      <x:c r="H1720" s="39" t="str">
        <x:f>IF(ISNUMBER('Data'!N12),'Data'!N12*100,"")</x:f>
      </x:c>
      <x:c r="I1720" s="35"/>
      <x:c r="J1720" s="35" t="str">
        <x:v>PASS</x:v>
      </x:c>
      <x:c r="K1720" s="35" t="str">
        <x:v>FAIL</x:v>
      </x:c>
      <x:c r="L1720" s="35" t="str">
        <x:v>NOT_RUN</x:v>
      </x:c>
      <x:c r="M1720" s="35" t="str">
        <x:v>coverage unavailable or execution/compile failed</x:v>
      </x:c>
      <x:c r="N1720" s="35" t="str">
        <x:v>Deepseek-flash-v4/Result/Chart_19/result.json</x:v>
      </x:c>
      <x:c r="O1720" s="39" t="str">
        <x:f>IF(AND(G1720="RECORDED",ISNUMBER(H1720)),H1720,"")</x:f>
      </x:c>
      <x:c r="P1720" s="35" t="str">
        <x:v>NOT_AVAILABLE</x:v>
      </x:c>
      <x:c r="Q1720" s="35" t="str">
        <x:v>Deepseek-flash-v4/Result/Chart_19/result.json</x:v>
      </x:c>
    </x:row>
    <x:row r="1721">
      <x:c r="A1721" s="35" t="str">
        <x:v>deepseek</x:v>
      </x:c>
      <x:c r="B1721" s="35" t="str">
        <x:v>Chart</x:v>
      </x:c>
      <x:c r="C1721" s="35" t="str">
        <x:v>Round1</x:v>
      </x:c>
      <x:c r="D1721" s="35" t="str">
        <x:v>Chart_2</x:v>
      </x:c>
      <x:c r="E1721" s="35" t="str">
        <x:v>Condition</x:v>
      </x:c>
      <x:c r="F1721" s="35"/>
      <x:c r="G1721" s="35" t="str">
        <x:v>A</x:v>
      </x:c>
      <x:c r="H1721" s="39" t="str">
        <x:f>IF(ISNUMBER('Data'!N13),'Data'!N13*100,"")</x:f>
      </x:c>
      <x:c r="I1721" s="35"/>
      <x:c r="J1721" s="35" t="str">
        <x:v>PASS</x:v>
      </x:c>
      <x:c r="K1721" s="35" t="str">
        <x:v>FAIL</x:v>
      </x:c>
      <x:c r="L1721" s="35" t="str">
        <x:v>NOT_RUN</x:v>
      </x:c>
      <x:c r="M1721" s="35" t="str">
        <x:v>coverage unavailable or execution/compile failed</x:v>
      </x:c>
      <x:c r="N1721" s="35" t="str">
        <x:v>Deepseek-flash-v4/Result/Chart_2/result.json</x:v>
      </x:c>
      <x:c r="O1721" s="39" t="str">
        <x:f>IF(AND(G1721="RECORDED",ISNUMBER(H1721)),H1721,"")</x:f>
      </x:c>
      <x:c r="P1721" s="35" t="str">
        <x:v>NOT_AVAILABLE</x:v>
      </x:c>
      <x:c r="Q1721" s="35" t="str">
        <x:v>Deepseek-flash-v4/Result/Chart_2/result.json</x:v>
      </x:c>
    </x:row>
    <x:row r="1722">
      <x:c r="A1722" s="35" t="str">
        <x:v>deepseek</x:v>
      </x:c>
      <x:c r="B1722" s="35" t="str">
        <x:v>Chart</x:v>
      </x:c>
      <x:c r="C1722" s="35" t="str">
        <x:v>Round1</x:v>
      </x:c>
      <x:c r="D1722" s="35" t="str">
        <x:v>Chart_20</x:v>
      </x:c>
      <x:c r="E1722" s="35" t="str">
        <x:v>Condition</x:v>
      </x:c>
      <x:c r="F1722" s="35"/>
      <x:c r="G1722" s="35" t="str">
        <x:v>A</x:v>
      </x:c>
      <x:c r="H1722" s="39" t="str">
        <x:f>IF(ISNUMBER('Data'!N14),'Data'!N14*100,"")</x:f>
      </x:c>
      <x:c r="I1722" s="35"/>
      <x:c r="J1722" s="35" t="str">
        <x:v>PASS</x:v>
      </x:c>
      <x:c r="K1722" s="35" t="str">
        <x:v>FAIL</x:v>
      </x:c>
      <x:c r="L1722" s="35" t="str">
        <x:v>NOT_RUN</x:v>
      </x:c>
      <x:c r="M1722" s="35" t="str">
        <x:v>coverage unavailable or execution/compile failed</x:v>
      </x:c>
      <x:c r="N1722" s="35" t="str">
        <x:v>Deepseek-flash-v4/Result/Chart_20/result.json</x:v>
      </x:c>
      <x:c r="O1722" s="39" t="str">
        <x:f>IF(AND(G1722="RECORDED",ISNUMBER(H1722)),H1722,"")</x:f>
      </x:c>
      <x:c r="P1722" s="35" t="str">
        <x:v>NOT_AVAILABLE</x:v>
      </x:c>
      <x:c r="Q1722" s="35" t="str">
        <x:v>Deepseek-flash-v4/Result/Chart_20/result.json</x:v>
      </x:c>
    </x:row>
    <x:row r="1723">
      <x:c r="A1723" s="35" t="str">
        <x:v>deepseek</x:v>
      </x:c>
      <x:c r="B1723" s="35" t="str">
        <x:v>Chart</x:v>
      </x:c>
      <x:c r="C1723" s="35" t="str">
        <x:v>Round1</x:v>
      </x:c>
      <x:c r="D1723" s="35" t="str">
        <x:v>Chart_21</x:v>
      </x:c>
      <x:c r="E1723" s="35" t="str">
        <x:v>Condition</x:v>
      </x:c>
      <x:c r="F1723" s="35" t="n">
        <x:v>60</x:v>
      </x:c>
      <x:c r="G1723" s="35" t="str">
        <x:v>RECORDED</x:v>
      </x:c>
      <x:c r="H1723" s="39" t="n">
        <x:f>IF(ISNUMBER('Data'!N15),'Data'!N15*100,"")</x:f>
        <x:v>40</x:v>
      </x:c>
      <x:c r="I1723" s="35" t="str">
        <x:v>PASS</x:v>
      </x:c>
      <x:c r="J1723" s="35" t="str">
        <x:v>PASS</x:v>
      </x:c>
      <x:c r="K1723" s="35" t="str">
        <x:v>PASS</x:v>
      </x:c>
      <x:c r="L1723" s="35" t="str">
        <x:v>FAIL</x:v>
      </x:c>
      <x:c r="M1723" s="35" t="str">
        <x:v>numeric coverage for applicable metric</x:v>
      </x:c>
      <x:c r="N1723" s="35" t="str">
        <x:v>Deepseek-flash-v4/Result/Chart_21/result.json</x:v>
      </x:c>
      <x:c r="O1723" s="39" t="n">
        <x:f>IF(AND(G1723="RECORDED",ISNUMBER(H1723)),H1723,"")</x:f>
        <x:v>40</x:v>
      </x:c>
      <x:c r="P1723" s="35" t="str">
        <x:v>INCONCLUSIVE</x:v>
      </x:c>
      <x:c r="Q1723" s="35" t="str">
        <x:v>Deepseek-flash-v4/Result/Chart_21/result.json</x:v>
      </x:c>
    </x:row>
    <x:row r="1724">
      <x:c r="A1724" s="35" t="str">
        <x:v>deepseek</x:v>
      </x:c>
      <x:c r="B1724" s="35" t="str">
        <x:v>Chart</x:v>
      </x:c>
      <x:c r="C1724" s="35" t="str">
        <x:v>Round1</x:v>
      </x:c>
      <x:c r="D1724" s="35" t="str">
        <x:v>Chart_22</x:v>
      </x:c>
      <x:c r="E1724" s="35" t="str">
        <x:v>Condition</x:v>
      </x:c>
      <x:c r="F1724" s="35" t="n">
        <x:v>58</x:v>
      </x:c>
      <x:c r="G1724" s="35" t="str">
        <x:v>RECORDED</x:v>
      </x:c>
      <x:c r="H1724" s="39" t="n">
        <x:f>IF(ISNUMBER('Data'!N16),'Data'!N16*100,"")</x:f>
        <x:v>81.03</x:v>
      </x:c>
      <x:c r="I1724" s="35" t="str">
        <x:v>PASS</x:v>
      </x:c>
      <x:c r="J1724" s="35" t="str">
        <x:v>PASS</x:v>
      </x:c>
      <x:c r="K1724" s="35" t="str">
        <x:v>PASS</x:v>
      </x:c>
      <x:c r="L1724" s="35" t="str">
        <x:v>FAIL</x:v>
      </x:c>
      <x:c r="M1724" s="35" t="str">
        <x:v>numeric coverage for applicable metric</x:v>
      </x:c>
      <x:c r="N1724" s="35" t="str">
        <x:v>Deepseek-flash-v4/Result/Chart_22/result.json</x:v>
      </x:c>
      <x:c r="O1724" s="39" t="n">
        <x:f>IF(AND(G1724="RECORDED",ISNUMBER(H1724)),H1724,"")</x:f>
        <x:v>81.03</x:v>
      </x:c>
      <x:c r="P1724" s="35" t="str">
        <x:v>INCONCLUSIVE</x:v>
      </x:c>
      <x:c r="Q1724" s="35" t="str">
        <x:v>Deepseek-flash-v4/Result/Chart_22/result.json</x:v>
      </x:c>
    </x:row>
    <x:row r="1725">
      <x:c r="A1725" s="35" t="str">
        <x:v>deepseek</x:v>
      </x:c>
      <x:c r="B1725" s="35" t="str">
        <x:v>Chart</x:v>
      </x:c>
      <x:c r="C1725" s="35" t="str">
        <x:v>Round1</x:v>
      </x:c>
      <x:c r="D1725" s="35" t="str">
        <x:v>Chart_23</x:v>
      </x:c>
      <x:c r="E1725" s="35" t="str">
        <x:v>Condition</x:v>
      </x:c>
      <x:c r="F1725" s="35"/>
      <x:c r="G1725" s="35" t="str">
        <x:v>A</x:v>
      </x:c>
      <x:c r="H1725" s="39" t="str">
        <x:f>IF(ISNUMBER('Data'!N17),'Data'!N17*100,"")</x:f>
      </x:c>
      <x:c r="I1725" s="35"/>
      <x:c r="J1725" s="35" t="str">
        <x:v>PASS</x:v>
      </x:c>
      <x:c r="K1725" s="35" t="str">
        <x:v>FAIL</x:v>
      </x:c>
      <x:c r="L1725" s="35" t="str">
        <x:v>NOT_RUN</x:v>
      </x:c>
      <x:c r="M1725" s="35" t="str">
        <x:v>coverage unavailable or execution/compile failed</x:v>
      </x:c>
      <x:c r="N1725" s="35" t="str">
        <x:v>Deepseek-flash-v4/Result/Chart_23/result.json</x:v>
      </x:c>
      <x:c r="O1725" s="39" t="str">
        <x:f>IF(AND(G1725="RECORDED",ISNUMBER(H1725)),H1725,"")</x:f>
      </x:c>
      <x:c r="P1725" s="35" t="str">
        <x:v>NOT_AVAILABLE</x:v>
      </x:c>
      <x:c r="Q1725" s="35" t="str">
        <x:v>Deepseek-flash-v4/Result/Chart_23/result.json</x:v>
      </x:c>
    </x:row>
    <x:row r="1726">
      <x:c r="A1726" s="35" t="str">
        <x:v>deepseek</x:v>
      </x:c>
      <x:c r="B1726" s="35" t="str">
        <x:v>Chart</x:v>
      </x:c>
      <x:c r="C1726" s="35" t="str">
        <x:v>Round1</x:v>
      </x:c>
      <x:c r="D1726" s="35" t="str">
        <x:v>Chart_24</x:v>
      </x:c>
      <x:c r="E1726" s="35" t="str">
        <x:v>Condition</x:v>
      </x:c>
      <x:c r="F1726" s="35" t="n">
        <x:v>10</x:v>
      </x:c>
      <x:c r="G1726" s="35" t="str">
        <x:v>RECORDED</x:v>
      </x:c>
      <x:c r="H1726" s="39" t="n">
        <x:f>IF(ISNUMBER('Data'!N18),'Data'!N18*100,"")</x:f>
        <x:v>100</x:v>
      </x:c>
      <x:c r="I1726" s="35" t="str">
        <x:v>PASS</x:v>
      </x:c>
      <x:c r="J1726" s="35" t="str">
        <x:v>PASS</x:v>
      </x:c>
      <x:c r="K1726" s="35" t="str">
        <x:v>PASS</x:v>
      </x:c>
      <x:c r="L1726" s="35" t="str">
        <x:v>FAIL</x:v>
      </x:c>
      <x:c r="M1726" s="35" t="str">
        <x:v>numeric coverage for applicable metric</x:v>
      </x:c>
      <x:c r="N1726" s="35" t="str">
        <x:v>Deepseek-flash-v4/Result/Chart_24/result.json</x:v>
      </x:c>
      <x:c r="O1726" s="39" t="n">
        <x:f>IF(AND(G1726="RECORDED",ISNUMBER(H1726)),H1726,"")</x:f>
        <x:v>100</x:v>
      </x:c>
      <x:c r="P1726" s="35" t="str">
        <x:v>INCONCLUSIVE</x:v>
      </x:c>
      <x:c r="Q1726" s="35" t="str">
        <x:v>Deepseek-flash-v4/Result/Chart_24/result.json</x:v>
      </x:c>
    </x:row>
    <x:row r="1727">
      <x:c r="A1727" s="35" t="str">
        <x:v>deepseek</x:v>
      </x:c>
      <x:c r="B1727" s="35" t="str">
        <x:v>Chart</x:v>
      </x:c>
      <x:c r="C1727" s="35" t="str">
        <x:v>Round1</x:v>
      </x:c>
      <x:c r="D1727" s="35" t="str">
        <x:v>Chart_25</x:v>
      </x:c>
      <x:c r="E1727" s="35" t="str">
        <x:v>Condition</x:v>
      </x:c>
      <x:c r="F1727" s="35"/>
      <x:c r="G1727" s="35" t="str">
        <x:v>A</x:v>
      </x:c>
      <x:c r="H1727" s="39" t="str">
        <x:f>IF(ISNUMBER('Data'!N19),'Data'!N19*100,"")</x:f>
      </x:c>
      <x:c r="I1727" s="35"/>
      <x:c r="J1727" s="35" t="str">
        <x:v>PASS</x:v>
      </x:c>
      <x:c r="K1727" s="35" t="str">
        <x:v>FAIL</x:v>
      </x:c>
      <x:c r="L1727" s="35" t="str">
        <x:v>NOT_RUN</x:v>
      </x:c>
      <x:c r="M1727" s="35" t="str">
        <x:v>coverage unavailable or execution/compile failed</x:v>
      </x:c>
      <x:c r="N1727" s="35" t="str">
        <x:v>Deepseek-flash-v4/Result/Chart_25/result.json</x:v>
      </x:c>
      <x:c r="O1727" s="39" t="str">
        <x:f>IF(AND(G1727="RECORDED",ISNUMBER(H1727)),H1727,"")</x:f>
      </x:c>
      <x:c r="P1727" s="35" t="str">
        <x:v>NOT_AVAILABLE</x:v>
      </x:c>
      <x:c r="Q1727" s="35" t="str">
        <x:v>Deepseek-flash-v4/Result/Chart_25/result.json</x:v>
      </x:c>
    </x:row>
    <x:row r="1728">
      <x:c r="A1728" s="35" t="str">
        <x:v>deepseek</x:v>
      </x:c>
      <x:c r="B1728" s="35" t="str">
        <x:v>Chart</x:v>
      </x:c>
      <x:c r="C1728" s="35" t="str">
        <x:v>Round1</x:v>
      </x:c>
      <x:c r="D1728" s="35" t="str">
        <x:v>Chart_26</x:v>
      </x:c>
      <x:c r="E1728" s="35" t="str">
        <x:v>Condition</x:v>
      </x:c>
      <x:c r="F1728" s="35"/>
      <x:c r="G1728" s="35" t="str">
        <x:v>A</x:v>
      </x:c>
      <x:c r="H1728" s="39" t="str">
        <x:f>IF(ISNUMBER('Data'!N20),'Data'!N20*100,"")</x:f>
      </x:c>
      <x:c r="I1728" s="35"/>
      <x:c r="J1728" s="35" t="str">
        <x:v>PASS</x:v>
      </x:c>
      <x:c r="K1728" s="35" t="str">
        <x:v>FAIL</x:v>
      </x:c>
      <x:c r="L1728" s="35" t="str">
        <x:v>NOT_RUN</x:v>
      </x:c>
      <x:c r="M1728" s="35" t="str">
        <x:v>coverage unavailable or execution/compile failed</x:v>
      </x:c>
      <x:c r="N1728" s="35" t="str">
        <x:v>Deepseek-flash-v4/Result/Chart_26/result.json</x:v>
      </x:c>
      <x:c r="O1728" s="39" t="str">
        <x:f>IF(AND(G1728="RECORDED",ISNUMBER(H1728)),H1728,"")</x:f>
      </x:c>
      <x:c r="P1728" s="35" t="str">
        <x:v>NOT_AVAILABLE</x:v>
      </x:c>
      <x:c r="Q1728" s="35" t="str">
        <x:v>Deepseek-flash-v4/Result/Chart_26/result.json</x:v>
      </x:c>
    </x:row>
    <x:row r="1729">
      <x:c r="A1729" s="35" t="str">
        <x:v>deepseek</x:v>
      </x:c>
      <x:c r="B1729" s="35" t="str">
        <x:v>Chart</x:v>
      </x:c>
      <x:c r="C1729" s="35" t="str">
        <x:v>Round1</x:v>
      </x:c>
      <x:c r="D1729" s="35" t="str">
        <x:v>Chart_3</x:v>
      </x:c>
      <x:c r="E1729" s="35" t="str">
        <x:v>Condition</x:v>
      </x:c>
      <x:c r="F1729" s="35"/>
      <x:c r="G1729" s="35" t="str">
        <x:v>A</x:v>
      </x:c>
      <x:c r="H1729" s="39" t="str">
        <x:f>IF(ISNUMBER('Data'!N21),'Data'!N21*100,"")</x:f>
      </x:c>
      <x:c r="I1729" s="35"/>
      <x:c r="J1729" s="35" t="str">
        <x:v>PASS</x:v>
      </x:c>
      <x:c r="K1729" s="35" t="str">
        <x:v>FAIL</x:v>
      </x:c>
      <x:c r="L1729" s="35" t="str">
        <x:v>NOT_RUN</x:v>
      </x:c>
      <x:c r="M1729" s="35" t="str">
        <x:v>coverage unavailable or execution/compile failed</x:v>
      </x:c>
      <x:c r="N1729" s="35" t="str">
        <x:v>Deepseek-flash-v4/Result/Chart_3/result.json</x:v>
      </x:c>
      <x:c r="O1729" s="39" t="str">
        <x:f>IF(AND(G1729="RECORDED",ISNUMBER(H1729)),H1729,"")</x:f>
      </x:c>
      <x:c r="P1729" s="35" t="str">
        <x:v>NOT_AVAILABLE</x:v>
      </x:c>
      <x:c r="Q1729" s="35" t="str">
        <x:v>Deepseek-flash-v4/Result/Chart_3/result.json</x:v>
      </x:c>
    </x:row>
    <x:row r="1730">
      <x:c r="A1730" s="35" t="str">
        <x:v>deepseek</x:v>
      </x:c>
      <x:c r="B1730" s="35" t="str">
        <x:v>Chart</x:v>
      </x:c>
      <x:c r="C1730" s="35" t="str">
        <x:v>Round1</x:v>
      </x:c>
      <x:c r="D1730" s="35" t="str">
        <x:v>Chart_4</x:v>
      </x:c>
      <x:c r="E1730" s="35" t="str">
        <x:v>Condition</x:v>
      </x:c>
      <x:c r="F1730" s="35"/>
      <x:c r="G1730" s="35" t="str">
        <x:v>A</x:v>
      </x:c>
      <x:c r="H1730" s="39" t="str">
        <x:f>IF(ISNUMBER('Data'!N22),'Data'!N22*100,"")</x:f>
      </x:c>
      <x:c r="I1730" s="35"/>
      <x:c r="J1730" s="35" t="str">
        <x:v>PASS</x:v>
      </x:c>
      <x:c r="K1730" s="35" t="str">
        <x:v>FAIL</x:v>
      </x:c>
      <x:c r="L1730" s="35" t="str">
        <x:v>NOT_RUN</x:v>
      </x:c>
      <x:c r="M1730" s="35" t="str">
        <x:v>coverage unavailable or execution/compile failed</x:v>
      </x:c>
      <x:c r="N1730" s="35" t="str">
        <x:v>Deepseek-flash-v4/Result/Chart_4/result.json</x:v>
      </x:c>
      <x:c r="O1730" s="39" t="str">
        <x:f>IF(AND(G1730="RECORDED",ISNUMBER(H1730)),H1730,"")</x:f>
      </x:c>
      <x:c r="P1730" s="35" t="str">
        <x:v>NOT_AVAILABLE</x:v>
      </x:c>
      <x:c r="Q1730" s="35" t="str">
        <x:v>Deepseek-flash-v4/Result/Chart_4/result.json</x:v>
      </x:c>
    </x:row>
    <x:row r="1731">
      <x:c r="A1731" s="35" t="str">
        <x:v>deepseek</x:v>
      </x:c>
      <x:c r="B1731" s="35" t="str">
        <x:v>Chart</x:v>
      </x:c>
      <x:c r="C1731" s="35" t="str">
        <x:v>Round1</x:v>
      </x:c>
      <x:c r="D1731" s="35" t="str">
        <x:v>Chart_5</x:v>
      </x:c>
      <x:c r="E1731" s="35" t="str">
        <x:v>Condition</x:v>
      </x:c>
      <x:c r="F1731" s="35"/>
      <x:c r="G1731" s="35" t="str">
        <x:v>A</x:v>
      </x:c>
      <x:c r="H1731" s="39" t="str">
        <x:f>IF(ISNUMBER('Data'!N23),'Data'!N23*100,"")</x:f>
      </x:c>
      <x:c r="I1731" s="35"/>
      <x:c r="J1731" s="35" t="str">
        <x:v>PASS</x:v>
      </x:c>
      <x:c r="K1731" s="35" t="str">
        <x:v>FAIL</x:v>
      </x:c>
      <x:c r="L1731" s="35" t="str">
        <x:v>NOT_RUN</x:v>
      </x:c>
      <x:c r="M1731" s="35" t="str">
        <x:v>coverage unavailable or execution/compile failed</x:v>
      </x:c>
      <x:c r="N1731" s="35" t="str">
        <x:v>Deepseek-flash-v4/Result/Chart_5/result.json</x:v>
      </x:c>
      <x:c r="O1731" s="39" t="str">
        <x:f>IF(AND(G1731="RECORDED",ISNUMBER(H1731)),H1731,"")</x:f>
      </x:c>
      <x:c r="P1731" s="35" t="str">
        <x:v>NOT_AVAILABLE</x:v>
      </x:c>
      <x:c r="Q1731" s="35" t="str">
        <x:v>Deepseek-flash-v4/Result/Chart_5/result.json</x:v>
      </x:c>
    </x:row>
    <x:row r="1732">
      <x:c r="A1732" s="35" t="str">
        <x:v>deepseek</x:v>
      </x:c>
      <x:c r="B1732" s="35" t="str">
        <x:v>Chart</x:v>
      </x:c>
      <x:c r="C1732" s="35" t="str">
        <x:v>Round1</x:v>
      </x:c>
      <x:c r="D1732" s="35" t="str">
        <x:v>Chart_6</x:v>
      </x:c>
      <x:c r="E1732" s="35" t="str">
        <x:v>Condition</x:v>
      </x:c>
      <x:c r="F1732" s="35"/>
      <x:c r="G1732" s="35" t="str">
        <x:v>A</x:v>
      </x:c>
      <x:c r="H1732" s="39" t="str">
        <x:f>IF(ISNUMBER('Data'!N24),'Data'!N24*100,"")</x:f>
      </x:c>
      <x:c r="I1732" s="35"/>
      <x:c r="J1732" s="35" t="str">
        <x:v>PASS</x:v>
      </x:c>
      <x:c r="K1732" s="35" t="str">
        <x:v>FAIL</x:v>
      </x:c>
      <x:c r="L1732" s="35" t="str">
        <x:v>NOT_RUN</x:v>
      </x:c>
      <x:c r="M1732" s="35" t="str">
        <x:v>coverage unavailable or execution/compile failed</x:v>
      </x:c>
      <x:c r="N1732" s="35" t="str">
        <x:v>Deepseek-flash-v4/Result/Chart_6/result.json</x:v>
      </x:c>
      <x:c r="O1732" s="39" t="str">
        <x:f>IF(AND(G1732="RECORDED",ISNUMBER(H1732)),H1732,"")</x:f>
      </x:c>
      <x:c r="P1732" s="35" t="str">
        <x:v>NOT_AVAILABLE</x:v>
      </x:c>
      <x:c r="Q1732" s="35" t="str">
        <x:v>Deepseek-flash-v4/Result/Chart_6/result.json</x:v>
      </x:c>
    </x:row>
    <x:row r="1733">
      <x:c r="A1733" s="35" t="str">
        <x:v>deepseek</x:v>
      </x:c>
      <x:c r="B1733" s="35" t="str">
        <x:v>Chart</x:v>
      </x:c>
      <x:c r="C1733" s="35" t="str">
        <x:v>Round1</x:v>
      </x:c>
      <x:c r="D1733" s="35" t="str">
        <x:v>Chart_7</x:v>
      </x:c>
      <x:c r="E1733" s="35" t="str">
        <x:v>Condition</x:v>
      </x:c>
      <x:c r="F1733" s="35"/>
      <x:c r="G1733" s="35" t="str">
        <x:v>A</x:v>
      </x:c>
      <x:c r="H1733" s="39" t="str">
        <x:f>IF(ISNUMBER('Data'!N25),'Data'!N25*100,"")</x:f>
      </x:c>
      <x:c r="I1733" s="35"/>
      <x:c r="J1733" s="35" t="str">
        <x:v>PASS</x:v>
      </x:c>
      <x:c r="K1733" s="35" t="str">
        <x:v>FAIL</x:v>
      </x:c>
      <x:c r="L1733" s="35" t="str">
        <x:v>NOT_RUN</x:v>
      </x:c>
      <x:c r="M1733" s="35" t="str">
        <x:v>coverage unavailable or execution/compile failed</x:v>
      </x:c>
      <x:c r="N1733" s="35" t="str">
        <x:v>Deepseek-flash-v4/Result/Chart_7/result.json</x:v>
      </x:c>
      <x:c r="O1733" s="39" t="str">
        <x:f>IF(AND(G1733="RECORDED",ISNUMBER(H1733)),H1733,"")</x:f>
      </x:c>
      <x:c r="P1733" s="35" t="str">
        <x:v>NOT_AVAILABLE</x:v>
      </x:c>
      <x:c r="Q1733" s="35" t="str">
        <x:v>Deepseek-flash-v4/Result/Chart_7/result.json</x:v>
      </x:c>
    </x:row>
    <x:row r="1734">
      <x:c r="A1734" s="35" t="str">
        <x:v>deepseek</x:v>
      </x:c>
      <x:c r="B1734" s="35" t="str">
        <x:v>Chart</x:v>
      </x:c>
      <x:c r="C1734" s="35" t="str">
        <x:v>Round1</x:v>
      </x:c>
      <x:c r="D1734" s="35" t="str">
        <x:v>Chart_8</x:v>
      </x:c>
      <x:c r="E1734" s="35" t="str">
        <x:v>Condition</x:v>
      </x:c>
      <x:c r="F1734" s="35" t="n">
        <x:v>68</x:v>
      </x:c>
      <x:c r="G1734" s="35" t="str">
        <x:v>RECORDED</x:v>
      </x:c>
      <x:c r="H1734" s="39" t="n">
        <x:f>IF(ISNUMBER('Data'!N26),'Data'!N26*100,"")</x:f>
        <x:v>51.46999999999999</x:v>
      </x:c>
      <x:c r="I1734" s="35" t="str">
        <x:v>PASS</x:v>
      </x:c>
      <x:c r="J1734" s="35" t="str">
        <x:v>PASS</x:v>
      </x:c>
      <x:c r="K1734" s="35" t="str">
        <x:v>PASS</x:v>
      </x:c>
      <x:c r="L1734" s="35" t="str">
        <x:v>FAIL</x:v>
      </x:c>
      <x:c r="M1734" s="35" t="str">
        <x:v>numeric coverage for applicable metric</x:v>
      </x:c>
      <x:c r="N1734" s="35" t="str">
        <x:v>Deepseek-flash-v4/Result/Chart_8/result.json</x:v>
      </x:c>
      <x:c r="O1734" s="39" t="n">
        <x:f>IF(AND(G1734="RECORDED",ISNUMBER(H1734)),H1734,"")</x:f>
        <x:v>51.46999999999999</x:v>
      </x:c>
      <x:c r="P1734" s="35" t="str">
        <x:v>INCONCLUSIVE</x:v>
      </x:c>
      <x:c r="Q1734" s="35" t="str">
        <x:v>Deepseek-flash-v4/Result/Chart_8/result.json</x:v>
      </x:c>
    </x:row>
    <x:row r="1735">
      <x:c r="A1735" s="35" t="str">
        <x:v>deepseek</x:v>
      </x:c>
      <x:c r="B1735" s="35" t="str">
        <x:v>Chart</x:v>
      </x:c>
      <x:c r="C1735" s="35" t="str">
        <x:v>Round1</x:v>
      </x:c>
      <x:c r="D1735" s="35" t="str">
        <x:v>Chart_9</x:v>
      </x:c>
      <x:c r="E1735" s="35" t="str">
        <x:v>Condition</x:v>
      </x:c>
      <x:c r="F1735" s="35"/>
      <x:c r="G1735" s="35" t="str">
        <x:v>A</x:v>
      </x:c>
      <x:c r="H1735" s="39" t="str">
        <x:f>IF(ISNUMBER('Data'!N27),'Data'!N27*100,"")</x:f>
      </x:c>
      <x:c r="I1735" s="35"/>
      <x:c r="J1735" s="35" t="str">
        <x:v>PASS</x:v>
      </x:c>
      <x:c r="K1735" s="35" t="str">
        <x:v>FAIL</x:v>
      </x:c>
      <x:c r="L1735" s="35" t="str">
        <x:v>NOT_RUN</x:v>
      </x:c>
      <x:c r="M1735" s="35" t="str">
        <x:v>coverage unavailable or execution/compile failed</x:v>
      </x:c>
      <x:c r="N1735" s="35" t="str">
        <x:v>Deepseek-flash-v4/Result/Chart_9/result.json</x:v>
      </x:c>
      <x:c r="O1735" s="39" t="str">
        <x:f>IF(AND(G1735="RECORDED",ISNUMBER(H1735)),H1735,"")</x:f>
      </x:c>
      <x:c r="P1735" s="35" t="str">
        <x:v>NOT_AVAILABLE</x:v>
      </x:c>
      <x:c r="Q1735" s="35" t="str">
        <x:v>Deepseek-flash-v4/Result/Chart_9/result.json</x:v>
      </x:c>
    </x:row>
    <x:row r="1736">
      <x:c r="A1736" s="35" t="str">
        <x:v>deepseek</x:v>
      </x:c>
      <x:c r="B1736" s="35" t="str">
        <x:v>Cli</x:v>
      </x:c>
      <x:c r="C1736" s="35" t="str">
        <x:v>Round1</x:v>
      </x:c>
      <x:c r="D1736" s="35" t="str">
        <x:v>Cli_1</x:v>
      </x:c>
      <x:c r="E1736" s="35" t="str">
        <x:v>Condition</x:v>
      </x:c>
      <x:c r="F1736" s="35"/>
      <x:c r="G1736" s="35" t="str">
        <x:v>A</x:v>
      </x:c>
      <x:c r="H1736" s="39" t="str">
        <x:f>IF(ISNUMBER('Data'!N28),'Data'!N28*100,"")</x:f>
      </x:c>
      <x:c r="I1736" s="35"/>
      <x:c r="J1736" s="35" t="str">
        <x:v>PASS</x:v>
      </x:c>
      <x:c r="K1736" s="35" t="str">
        <x:v>FAIL</x:v>
      </x:c>
      <x:c r="L1736" s="35" t="str">
        <x:v>NOT_RUN</x:v>
      </x:c>
      <x:c r="M1736" s="35" t="str">
        <x:v>coverage unavailable or execution/compile failed</x:v>
      </x:c>
      <x:c r="N1736" s="35" t="str">
        <x:v>Deepseek-flash-v4/Result/Cli_1/result.json</x:v>
      </x:c>
      <x:c r="O1736" s="39" t="str">
        <x:f>IF(AND(G1736="RECORDED",ISNUMBER(H1736)),H1736,"")</x:f>
      </x:c>
      <x:c r="P1736" s="35" t="str">
        <x:v>NOT_AVAILABLE</x:v>
      </x:c>
      <x:c r="Q1736" s="35" t="str">
        <x:v>Deepseek-flash-v4/Result/Cli_1/result.json</x:v>
      </x:c>
    </x:row>
    <x:row r="1737">
      <x:c r="A1737" s="35" t="str">
        <x:v>deepseek</x:v>
      </x:c>
      <x:c r="B1737" s="35" t="str">
        <x:v>Cli</x:v>
      </x:c>
      <x:c r="C1737" s="35" t="str">
        <x:v>Round1</x:v>
      </x:c>
      <x:c r="D1737" s="35" t="str">
        <x:v>Cli_10</x:v>
      </x:c>
      <x:c r="E1737" s="35" t="str">
        <x:v>Condition</x:v>
      </x:c>
      <x:c r="F1737" s="35"/>
      <x:c r="G1737" s="35" t="str">
        <x:v>A</x:v>
      </x:c>
      <x:c r="H1737" s="39" t="str">
        <x:f>IF(ISNUMBER('Data'!N29),'Data'!N29*100,"")</x:f>
      </x:c>
      <x:c r="I1737" s="35"/>
      <x:c r="J1737" s="35" t="str">
        <x:v>PASS</x:v>
      </x:c>
      <x:c r="K1737" s="35" t="str">
        <x:v>FAIL</x:v>
      </x:c>
      <x:c r="L1737" s="35" t="str">
        <x:v>NOT_RUN</x:v>
      </x:c>
      <x:c r="M1737" s="35" t="str">
        <x:v>coverage unavailable or execution/compile failed</x:v>
      </x:c>
      <x:c r="N1737" s="35" t="str">
        <x:v>Deepseek-flash-v4/Result/Cli_10/result.json</x:v>
      </x:c>
      <x:c r="O1737" s="39" t="str">
        <x:f>IF(AND(G1737="RECORDED",ISNUMBER(H1737)),H1737,"")</x:f>
      </x:c>
      <x:c r="P1737" s="35" t="str">
        <x:v>NOT_AVAILABLE</x:v>
      </x:c>
      <x:c r="Q1737" s="35" t="str">
        <x:v>Deepseek-flash-v4/Result/Cli_10/result.json</x:v>
      </x:c>
    </x:row>
    <x:row r="1738">
      <x:c r="A1738" s="35" t="str">
        <x:v>deepseek</x:v>
      </x:c>
      <x:c r="B1738" s="35" t="str">
        <x:v>Cli</x:v>
      </x:c>
      <x:c r="C1738" s="35" t="str">
        <x:v>Round1</x:v>
      </x:c>
      <x:c r="D1738" s="35" t="str">
        <x:v>Cli_11</x:v>
      </x:c>
      <x:c r="E1738" s="35" t="str">
        <x:v>Condition</x:v>
      </x:c>
      <x:c r="F1738" s="35"/>
      <x:c r="G1738" s="35" t="str">
        <x:v>A</x:v>
      </x:c>
      <x:c r="H1738" s="39" t="str">
        <x:f>IF(ISNUMBER('Data'!N30),'Data'!N30*100,"")</x:f>
      </x:c>
      <x:c r="I1738" s="35"/>
      <x:c r="J1738" s="35" t="str">
        <x:v>PASS</x:v>
      </x:c>
      <x:c r="K1738" s="35" t="str">
        <x:v>FAIL</x:v>
      </x:c>
      <x:c r="L1738" s="35" t="str">
        <x:v>NOT_RUN</x:v>
      </x:c>
      <x:c r="M1738" s="35" t="str">
        <x:v>coverage unavailable or execution/compile failed</x:v>
      </x:c>
      <x:c r="N1738" s="35" t="str">
        <x:v>Deepseek-flash-v4/Result/Cli_11/result.json</x:v>
      </x:c>
      <x:c r="O1738" s="39" t="str">
        <x:f>IF(AND(G1738="RECORDED",ISNUMBER(H1738)),H1738,"")</x:f>
      </x:c>
      <x:c r="P1738" s="35" t="str">
        <x:v>NOT_AVAILABLE</x:v>
      </x:c>
      <x:c r="Q1738" s="35" t="str">
        <x:v>Deepseek-flash-v4/Result/Cli_11/result.json</x:v>
      </x:c>
    </x:row>
    <x:row r="1739">
      <x:c r="A1739" s="35" t="str">
        <x:v>deepseek</x:v>
      </x:c>
      <x:c r="B1739" s="35" t="str">
        <x:v>Cli</x:v>
      </x:c>
      <x:c r="C1739" s="35" t="str">
        <x:v>Round1</x:v>
      </x:c>
      <x:c r="D1739" s="35" t="str">
        <x:v>Cli_12</x:v>
      </x:c>
      <x:c r="E1739" s="35" t="str">
        <x:v>Condition</x:v>
      </x:c>
      <x:c r="F1739" s="35" t="n">
        <x:v>16</x:v>
      </x:c>
      <x:c r="G1739" s="35" t="str">
        <x:v>RECORDED</x:v>
      </x:c>
      <x:c r="H1739" s="39" t="n">
        <x:f>IF(ISNUMBER('Data'!N31),'Data'!N31*100,"")</x:f>
        <x:v>0</x:v>
      </x:c>
      <x:c r="I1739" s="35" t="str">
        <x:v>PASS</x:v>
      </x:c>
      <x:c r="J1739" s="35" t="str">
        <x:v>PASS</x:v>
      </x:c>
      <x:c r="K1739" s="35" t="str">
        <x:v>PASS</x:v>
      </x:c>
      <x:c r="L1739" s="35" t="str">
        <x:v>FAIL</x:v>
      </x:c>
      <x:c r="M1739" s="35" t="str">
        <x:v>numeric coverage for applicable metric</x:v>
      </x:c>
      <x:c r="N1739" s="35" t="str">
        <x:v>Deepseek-flash-v4/Result/Cli_12/result.json</x:v>
      </x:c>
      <x:c r="O1739" s="39" t="n">
        <x:f>IF(AND(G1739="RECORDED",ISNUMBER(H1739)),H1739,"")</x:f>
        <x:v>0</x:v>
      </x:c>
      <x:c r="P1739" s="35" t="str">
        <x:v>INCONCLUSIVE</x:v>
      </x:c>
      <x:c r="Q1739" s="35" t="str">
        <x:v>Deepseek-flash-v4/Result/Cli_12/result.json</x:v>
      </x:c>
    </x:row>
    <x:row r="1740">
      <x:c r="A1740" s="35" t="str">
        <x:v>deepseek</x:v>
      </x:c>
      <x:c r="B1740" s="35" t="str">
        <x:v>Cli</x:v>
      </x:c>
      <x:c r="C1740" s="35" t="str">
        <x:v>Round1</x:v>
      </x:c>
      <x:c r="D1740" s="35" t="str">
        <x:v>Cli_13</x:v>
      </x:c>
      <x:c r="E1740" s="35" t="str">
        <x:v>Condition</x:v>
      </x:c>
      <x:c r="F1740" s="35"/>
      <x:c r="G1740" s="35" t="str">
        <x:v>A</x:v>
      </x:c>
      <x:c r="H1740" s="39" t="str">
        <x:f>IF(ISNUMBER('Data'!N32),'Data'!N32*100,"")</x:f>
      </x:c>
      <x:c r="I1740" s="35"/>
      <x:c r="J1740" s="35" t="str">
        <x:v>PASS</x:v>
      </x:c>
      <x:c r="K1740" s="35" t="str">
        <x:v>FAIL</x:v>
      </x:c>
      <x:c r="L1740" s="35" t="str">
        <x:v>NOT_RUN</x:v>
      </x:c>
      <x:c r="M1740" s="35" t="str">
        <x:v>coverage unavailable or execution/compile failed</x:v>
      </x:c>
      <x:c r="N1740" s="35" t="str">
        <x:v>Deepseek-flash-v4/Result/Cli_13/result.json</x:v>
      </x:c>
      <x:c r="O1740" s="39" t="str">
        <x:f>IF(AND(G1740="RECORDED",ISNUMBER(H1740)),H1740,"")</x:f>
      </x:c>
      <x:c r="P1740" s="35" t="str">
        <x:v>NOT_AVAILABLE</x:v>
      </x:c>
      <x:c r="Q1740" s="35" t="str">
        <x:v>Deepseek-flash-v4/Result/Cli_13/result.json</x:v>
      </x:c>
    </x:row>
    <x:row r="1741">
      <x:c r="A1741" s="35" t="str">
        <x:v>deepseek</x:v>
      </x:c>
      <x:c r="B1741" s="35" t="str">
        <x:v>Cli</x:v>
      </x:c>
      <x:c r="C1741" s="35" t="str">
        <x:v>Round1</x:v>
      </x:c>
      <x:c r="D1741" s="35" t="str">
        <x:v>Cli_14</x:v>
      </x:c>
      <x:c r="E1741" s="35" t="str">
        <x:v>Condition</x:v>
      </x:c>
      <x:c r="F1741" s="35"/>
      <x:c r="G1741" s="35" t="str">
        <x:v>A</x:v>
      </x:c>
      <x:c r="H1741" s="39" t="str">
        <x:f>IF(ISNUMBER('Data'!N33),'Data'!N33*100,"")</x:f>
      </x:c>
      <x:c r="I1741" s="35"/>
      <x:c r="J1741" s="35" t="str">
        <x:v>PASS</x:v>
      </x:c>
      <x:c r="K1741" s="35" t="str">
        <x:v>FAIL</x:v>
      </x:c>
      <x:c r="L1741" s="35" t="str">
        <x:v>NOT_RUN</x:v>
      </x:c>
      <x:c r="M1741" s="35" t="str">
        <x:v>coverage unavailable or execution/compile failed</x:v>
      </x:c>
      <x:c r="N1741" s="35" t="str">
        <x:v>Deepseek-flash-v4/Result/Cli_14/result.json</x:v>
      </x:c>
      <x:c r="O1741" s="39" t="str">
        <x:f>IF(AND(G1741="RECORDED",ISNUMBER(H1741)),H1741,"")</x:f>
      </x:c>
      <x:c r="P1741" s="35" t="str">
        <x:v>NOT_AVAILABLE</x:v>
      </x:c>
      <x:c r="Q1741" s="35" t="str">
        <x:v>Deepseek-flash-v4/Result/Cli_14/result.json</x:v>
      </x:c>
    </x:row>
    <x:row r="1742">
      <x:c r="A1742" s="35" t="str">
        <x:v>deepseek</x:v>
      </x:c>
      <x:c r="B1742" s="35" t="str">
        <x:v>Cli</x:v>
      </x:c>
      <x:c r="C1742" s="35" t="str">
        <x:v>Round1</x:v>
      </x:c>
      <x:c r="D1742" s="35" t="str">
        <x:v>Cli_15</x:v>
      </x:c>
      <x:c r="E1742" s="35" t="str">
        <x:v>Condition</x:v>
      </x:c>
      <x:c r="F1742" s="35"/>
      <x:c r="G1742" s="35" t="str">
        <x:v>A</x:v>
      </x:c>
      <x:c r="H1742" s="39" t="str">
        <x:f>IF(ISNUMBER('Data'!N34),'Data'!N34*100,"")</x:f>
      </x:c>
      <x:c r="I1742" s="35"/>
      <x:c r="J1742" s="35" t="str">
        <x:v>PASS</x:v>
      </x:c>
      <x:c r="K1742" s="35" t="str">
        <x:v>FAIL</x:v>
      </x:c>
      <x:c r="L1742" s="35" t="str">
        <x:v>NOT_RUN</x:v>
      </x:c>
      <x:c r="M1742" s="35" t="str">
        <x:v>coverage unavailable or execution/compile failed</x:v>
      </x:c>
      <x:c r="N1742" s="35" t="str">
        <x:v>Deepseek-flash-v4/Result/Cli_15/result.json</x:v>
      </x:c>
      <x:c r="O1742" s="39" t="str">
        <x:f>IF(AND(G1742="RECORDED",ISNUMBER(H1742)),H1742,"")</x:f>
      </x:c>
      <x:c r="P1742" s="35" t="str">
        <x:v>NOT_AVAILABLE</x:v>
      </x:c>
      <x:c r="Q1742" s="35" t="str">
        <x:v>Deepseek-flash-v4/Result/Cli_15/result.json</x:v>
      </x:c>
    </x:row>
    <x:row r="1743">
      <x:c r="A1743" s="35" t="str">
        <x:v>deepseek</x:v>
      </x:c>
      <x:c r="B1743" s="35" t="str">
        <x:v>Cli</x:v>
      </x:c>
      <x:c r="C1743" s="35" t="str">
        <x:v>Round1</x:v>
      </x:c>
      <x:c r="D1743" s="35" t="str">
        <x:v>Cli_16</x:v>
      </x:c>
      <x:c r="E1743" s="35" t="str">
        <x:v>Condition</x:v>
      </x:c>
      <x:c r="F1743" s="35"/>
      <x:c r="G1743" s="35" t="str">
        <x:v>A</x:v>
      </x:c>
      <x:c r="H1743" s="39" t="str">
        <x:f>IF(ISNUMBER('Data'!N35),'Data'!N35*100,"")</x:f>
      </x:c>
      <x:c r="I1743" s="35"/>
      <x:c r="J1743" s="35" t="str">
        <x:v>PASS</x:v>
      </x:c>
      <x:c r="K1743" s="35" t="str">
        <x:v>FAIL</x:v>
      </x:c>
      <x:c r="L1743" s="35" t="str">
        <x:v>NOT_RUN</x:v>
      </x:c>
      <x:c r="M1743" s="35" t="str">
        <x:v>coverage unavailable or execution/compile failed</x:v>
      </x:c>
      <x:c r="N1743" s="35" t="str">
        <x:v>Deepseek-flash-v4/Result/Cli_16/result.json</x:v>
      </x:c>
      <x:c r="O1743" s="39" t="str">
        <x:f>IF(AND(G1743="RECORDED",ISNUMBER(H1743)),H1743,"")</x:f>
      </x:c>
      <x:c r="P1743" s="35" t="str">
        <x:v>NOT_AVAILABLE</x:v>
      </x:c>
      <x:c r="Q1743" s="35" t="str">
        <x:v>Deepseek-flash-v4/Result/Cli_16/result.json</x:v>
      </x:c>
    </x:row>
    <x:row r="1744">
      <x:c r="A1744" s="35" t="str">
        <x:v>deepseek</x:v>
      </x:c>
      <x:c r="B1744" s="35" t="str">
        <x:v>Cli</x:v>
      </x:c>
      <x:c r="C1744" s="35" t="str">
        <x:v>Round1</x:v>
      </x:c>
      <x:c r="D1744" s="35" t="str">
        <x:v>Cli_17</x:v>
      </x:c>
      <x:c r="E1744" s="35" t="str">
        <x:v>Condition</x:v>
      </x:c>
      <x:c r="F1744" s="35"/>
      <x:c r="G1744" s="35" t="str">
        <x:v>A</x:v>
      </x:c>
      <x:c r="H1744" s="39" t="str">
        <x:f>IF(ISNUMBER('Data'!N36),'Data'!N36*100,"")</x:f>
      </x:c>
      <x:c r="I1744" s="35"/>
      <x:c r="J1744" s="35" t="str">
        <x:v>PASS</x:v>
      </x:c>
      <x:c r="K1744" s="35" t="str">
        <x:v>FAIL</x:v>
      </x:c>
      <x:c r="L1744" s="35" t="str">
        <x:v>NOT_RUN</x:v>
      </x:c>
      <x:c r="M1744" s="35" t="str">
        <x:v>coverage unavailable or execution/compile failed</x:v>
      </x:c>
      <x:c r="N1744" s="35" t="str">
        <x:v>Deepseek-flash-v4/Result/Cli_17/result.json</x:v>
      </x:c>
      <x:c r="O1744" s="39" t="str">
        <x:f>IF(AND(G1744="RECORDED",ISNUMBER(H1744)),H1744,"")</x:f>
      </x:c>
      <x:c r="P1744" s="35" t="str">
        <x:v>NOT_AVAILABLE</x:v>
      </x:c>
      <x:c r="Q1744" s="35" t="str">
        <x:v>Deepseek-flash-v4/Result/Cli_17/result.json</x:v>
      </x:c>
    </x:row>
    <x:row r="1745">
      <x:c r="A1745" s="35" t="str">
        <x:v>deepseek</x:v>
      </x:c>
      <x:c r="B1745" s="35" t="str">
        <x:v>Cli</x:v>
      </x:c>
      <x:c r="C1745" s="35" t="str">
        <x:v>Round1</x:v>
      </x:c>
      <x:c r="D1745" s="35" t="str">
        <x:v>Cli_18</x:v>
      </x:c>
      <x:c r="E1745" s="35" t="str">
        <x:v>Condition</x:v>
      </x:c>
      <x:c r="F1745" s="35" t="n">
        <x:v>42</x:v>
      </x:c>
      <x:c r="G1745" s="35" t="str">
        <x:v>RECORDED</x:v>
      </x:c>
      <x:c r="H1745" s="39" t="n">
        <x:f>IF(ISNUMBER('Data'!N37),'Data'!N37*100,"")</x:f>
        <x:v>0</x:v>
      </x:c>
      <x:c r="I1745" s="35" t="str">
        <x:v>PASS</x:v>
      </x:c>
      <x:c r="J1745" s="35" t="str">
        <x:v>PASS</x:v>
      </x:c>
      <x:c r="K1745" s="35" t="str">
        <x:v>PASS</x:v>
      </x:c>
      <x:c r="L1745" s="35" t="str">
        <x:v>FAIL</x:v>
      </x:c>
      <x:c r="M1745" s="35" t="str">
        <x:v>numeric coverage for applicable metric</x:v>
      </x:c>
      <x:c r="N1745" s="35" t="str">
        <x:v>Deepseek-flash-v4/Result/Cli_18/result.json</x:v>
      </x:c>
      <x:c r="O1745" s="39" t="n">
        <x:f>IF(AND(G1745="RECORDED",ISNUMBER(H1745)),H1745,"")</x:f>
        <x:v>0</x:v>
      </x:c>
      <x:c r="P1745" s="35" t="str">
        <x:v>INCONCLUSIVE</x:v>
      </x:c>
      <x:c r="Q1745" s="35" t="str">
        <x:v>Deepseek-flash-v4/Result/Cli_18/result.json</x:v>
      </x:c>
    </x:row>
    <x:row r="1746">
      <x:c r="A1746" s="35" t="str">
        <x:v>deepseek</x:v>
      </x:c>
      <x:c r="B1746" s="35" t="str">
        <x:v>Cli</x:v>
      </x:c>
      <x:c r="C1746" s="35" t="str">
        <x:v>Round1</x:v>
      </x:c>
      <x:c r="D1746" s="35" t="str">
        <x:v>Cli_19</x:v>
      </x:c>
      <x:c r="E1746" s="35" t="str">
        <x:v>Condition</x:v>
      </x:c>
      <x:c r="F1746" s="35" t="n">
        <x:v>42</x:v>
      </x:c>
      <x:c r="G1746" s="35" t="str">
        <x:v>RECORDED</x:v>
      </x:c>
      <x:c r="H1746" s="39" t="n">
        <x:f>IF(ISNUMBER('Data'!N38),'Data'!N38*100,"")</x:f>
        <x:v>0</x:v>
      </x:c>
      <x:c r="I1746" s="35" t="str">
        <x:v>PASS</x:v>
      </x:c>
      <x:c r="J1746" s="35" t="str">
        <x:v>PASS</x:v>
      </x:c>
      <x:c r="K1746" s="35" t="str">
        <x:v>PASS</x:v>
      </x:c>
      <x:c r="L1746" s="35" t="str">
        <x:v>FAIL</x:v>
      </x:c>
      <x:c r="M1746" s="35" t="str">
        <x:v>numeric coverage for applicable metric</x:v>
      </x:c>
      <x:c r="N1746" s="35" t="str">
        <x:v>Deepseek-flash-v4/Result/Cli_19/result.json</x:v>
      </x:c>
      <x:c r="O1746" s="39" t="n">
        <x:f>IF(AND(G1746="RECORDED",ISNUMBER(H1746)),H1746,"")</x:f>
        <x:v>0</x:v>
      </x:c>
      <x:c r="P1746" s="35" t="str">
        <x:v>INCONCLUSIVE</x:v>
      </x:c>
      <x:c r="Q1746" s="35" t="str">
        <x:v>Deepseek-flash-v4/Result/Cli_19/result.json</x:v>
      </x:c>
    </x:row>
    <x:row r="1747">
      <x:c r="A1747" s="35" t="str">
        <x:v>deepseek</x:v>
      </x:c>
      <x:c r="B1747" s="35" t="str">
        <x:v>Cli</x:v>
      </x:c>
      <x:c r="C1747" s="35" t="str">
        <x:v>Round1</x:v>
      </x:c>
      <x:c r="D1747" s="35" t="str">
        <x:v>Cli_2</x:v>
      </x:c>
      <x:c r="E1747" s="35" t="str">
        <x:v>Condition</x:v>
      </x:c>
      <x:c r="F1747" s="35" t="n">
        <x:v>42</x:v>
      </x:c>
      <x:c r="G1747" s="35" t="str">
        <x:v>RECORDED</x:v>
      </x:c>
      <x:c r="H1747" s="39" t="n">
        <x:f>IF(ISNUMBER('Data'!N39),'Data'!N39*100,"")</x:f>
        <x:v>0</x:v>
      </x:c>
      <x:c r="I1747" s="35" t="str">
        <x:v>PASS</x:v>
      </x:c>
      <x:c r="J1747" s="35" t="str">
        <x:v>PASS</x:v>
      </x:c>
      <x:c r="K1747" s="35" t="str">
        <x:v>PASS</x:v>
      </x:c>
      <x:c r="L1747" s="35" t="str">
        <x:v>FAIL</x:v>
      </x:c>
      <x:c r="M1747" s="35" t="str">
        <x:v>numeric coverage for applicable metric</x:v>
      </x:c>
      <x:c r="N1747" s="35" t="str">
        <x:v>Deepseek-flash-v4/Result/Cli_2/result.json</x:v>
      </x:c>
      <x:c r="O1747" s="39" t="n">
        <x:f>IF(AND(G1747="RECORDED",ISNUMBER(H1747)),H1747,"")</x:f>
        <x:v>0</x:v>
      </x:c>
      <x:c r="P1747" s="35" t="str">
        <x:v>INCONCLUSIVE</x:v>
      </x:c>
      <x:c r="Q1747" s="35" t="str">
        <x:v>Deepseek-flash-v4/Result/Cli_2/result.json</x:v>
      </x:c>
    </x:row>
    <x:row r="1748">
      <x:c r="A1748" s="35" t="str">
        <x:v>deepseek</x:v>
      </x:c>
      <x:c r="B1748" s="35" t="str">
        <x:v>Cli</x:v>
      </x:c>
      <x:c r="C1748" s="35" t="str">
        <x:v>Round1</x:v>
      </x:c>
      <x:c r="D1748" s="35" t="str">
        <x:v>Cli_20</x:v>
      </x:c>
      <x:c r="E1748" s="35" t="str">
        <x:v>Condition</x:v>
      </x:c>
      <x:c r="F1748" s="35"/>
      <x:c r="G1748" s="35" t="str">
        <x:v>A</x:v>
      </x:c>
      <x:c r="H1748" s="39" t="str">
        <x:f>IF(ISNUMBER('Data'!N40),'Data'!N40*100,"")</x:f>
      </x:c>
      <x:c r="I1748" s="35"/>
      <x:c r="J1748" s="35" t="str">
        <x:v>PASS</x:v>
      </x:c>
      <x:c r="K1748" s="35" t="str">
        <x:v>FAIL</x:v>
      </x:c>
      <x:c r="L1748" s="35" t="str">
        <x:v>NOT_RUN</x:v>
      </x:c>
      <x:c r="M1748" s="35" t="str">
        <x:v>coverage unavailable or execution/compile failed</x:v>
      </x:c>
      <x:c r="N1748" s="35" t="str">
        <x:v>Deepseek-flash-v4/Result/Cli_20/result.json</x:v>
      </x:c>
      <x:c r="O1748" s="39" t="str">
        <x:f>IF(AND(G1748="RECORDED",ISNUMBER(H1748)),H1748,"")</x:f>
      </x:c>
      <x:c r="P1748" s="35" t="str">
        <x:v>NOT_AVAILABLE</x:v>
      </x:c>
      <x:c r="Q1748" s="35" t="str">
        <x:v>Deepseek-flash-v4/Result/Cli_20/result.json</x:v>
      </x:c>
    </x:row>
    <x:row r="1749">
      <x:c r="A1749" s="35" t="str">
        <x:v>deepseek</x:v>
      </x:c>
      <x:c r="B1749" s="35" t="str">
        <x:v>Cli</x:v>
      </x:c>
      <x:c r="C1749" s="35" t="str">
        <x:v>Round1</x:v>
      </x:c>
      <x:c r="D1749" s="35" t="str">
        <x:v>Cli_21</x:v>
      </x:c>
      <x:c r="E1749" s="35" t="str">
        <x:v>Condition</x:v>
      </x:c>
      <x:c r="F1749" s="35"/>
      <x:c r="G1749" s="35" t="str">
        <x:v>A</x:v>
      </x:c>
      <x:c r="H1749" s="39" t="str">
        <x:f>IF(ISNUMBER('Data'!N41),'Data'!N41*100,"")</x:f>
      </x:c>
      <x:c r="I1749" s="35"/>
      <x:c r="J1749" s="35" t="str">
        <x:v>PASS</x:v>
      </x:c>
      <x:c r="K1749" s="35" t="str">
        <x:v>FAIL</x:v>
      </x:c>
      <x:c r="L1749" s="35" t="str">
        <x:v>NOT_RUN</x:v>
      </x:c>
      <x:c r="M1749" s="35" t="str">
        <x:v>coverage unavailable or execution/compile failed</x:v>
      </x:c>
      <x:c r="N1749" s="35" t="str">
        <x:v>Deepseek-flash-v4/Result/Cli_21/result.json</x:v>
      </x:c>
      <x:c r="O1749" s="39" t="str">
        <x:f>IF(AND(G1749="RECORDED",ISNUMBER(H1749)),H1749,"")</x:f>
      </x:c>
      <x:c r="P1749" s="35" t="str">
        <x:v>NOT_AVAILABLE</x:v>
      </x:c>
      <x:c r="Q1749" s="35" t="str">
        <x:v>Deepseek-flash-v4/Result/Cli_21/result.json</x:v>
      </x:c>
    </x:row>
    <x:row r="1750">
      <x:c r="A1750" s="35" t="str">
        <x:v>deepseek</x:v>
      </x:c>
      <x:c r="B1750" s="35" t="str">
        <x:v>Cli</x:v>
      </x:c>
      <x:c r="C1750" s="35" t="str">
        <x:v>Round1</x:v>
      </x:c>
      <x:c r="D1750" s="35" t="str">
        <x:v>Cli_22</x:v>
      </x:c>
      <x:c r="E1750" s="35" t="str">
        <x:v>Condition</x:v>
      </x:c>
      <x:c r="F1750" s="35" t="n">
        <x:v>38</x:v>
      </x:c>
      <x:c r="G1750" s="35" t="str">
        <x:v>RECORDED</x:v>
      </x:c>
      <x:c r="H1750" s="39" t="n">
        <x:f>IF(ISNUMBER('Data'!N42),'Data'!N42*100,"")</x:f>
        <x:v>0</x:v>
      </x:c>
      <x:c r="I1750" s="35" t="str">
        <x:v>PASS</x:v>
      </x:c>
      <x:c r="J1750" s="35" t="str">
        <x:v>PASS</x:v>
      </x:c>
      <x:c r="K1750" s="35" t="str">
        <x:v>PASS</x:v>
      </x:c>
      <x:c r="L1750" s="35" t="str">
        <x:v>FAIL</x:v>
      </x:c>
      <x:c r="M1750" s="35" t="str">
        <x:v>numeric coverage for applicable metric</x:v>
      </x:c>
      <x:c r="N1750" s="35" t="str">
        <x:v>Deepseek-flash-v4/Result/Cli_22/result.json</x:v>
      </x:c>
      <x:c r="O1750" s="39" t="n">
        <x:f>IF(AND(G1750="RECORDED",ISNUMBER(H1750)),H1750,"")</x:f>
        <x:v>0</x:v>
      </x:c>
      <x:c r="P1750" s="35" t="str">
        <x:v>INCONCLUSIVE</x:v>
      </x:c>
      <x:c r="Q1750" s="35" t="str">
        <x:v>Deepseek-flash-v4/Result/Cli_22/result.json</x:v>
      </x:c>
    </x:row>
    <x:row r="1751">
      <x:c r="A1751" s="35" t="str">
        <x:v>deepseek</x:v>
      </x:c>
      <x:c r="B1751" s="35" t="str">
        <x:v>Cli</x:v>
      </x:c>
      <x:c r="C1751" s="35" t="str">
        <x:v>Round1</x:v>
      </x:c>
      <x:c r="D1751" s="35" t="str">
        <x:v>Cli_23</x:v>
      </x:c>
      <x:c r="E1751" s="35" t="str">
        <x:v>Condition</x:v>
      </x:c>
      <x:c r="F1751" s="35"/>
      <x:c r="G1751" s="35" t="str">
        <x:v>A</x:v>
      </x:c>
      <x:c r="H1751" s="39" t="str">
        <x:f>IF(ISNUMBER('Data'!N43),'Data'!N43*100,"")</x:f>
      </x:c>
      <x:c r="I1751" s="35"/>
      <x:c r="J1751" s="35" t="str">
        <x:v>PASS</x:v>
      </x:c>
      <x:c r="K1751" s="35" t="str">
        <x:v>FAIL</x:v>
      </x:c>
      <x:c r="L1751" s="35" t="str">
        <x:v>NOT_RUN</x:v>
      </x:c>
      <x:c r="M1751" s="35" t="str">
        <x:v>coverage unavailable or execution/compile failed</x:v>
      </x:c>
      <x:c r="N1751" s="35" t="str">
        <x:v>Deepseek-flash-v4/Result/Cli_23/result.json</x:v>
      </x:c>
      <x:c r="O1751" s="39" t="str">
        <x:f>IF(AND(G1751="RECORDED",ISNUMBER(H1751)),H1751,"")</x:f>
      </x:c>
      <x:c r="P1751" s="35" t="str">
        <x:v>NOT_AVAILABLE</x:v>
      </x:c>
      <x:c r="Q1751" s="35" t="str">
        <x:v>Deepseek-flash-v4/Result/Cli_23/result.json</x:v>
      </x:c>
    </x:row>
    <x:row r="1752">
      <x:c r="A1752" s="35" t="str">
        <x:v>deepseek</x:v>
      </x:c>
      <x:c r="B1752" s="35" t="str">
        <x:v>Cli</x:v>
      </x:c>
      <x:c r="C1752" s="35" t="str">
        <x:v>Round1</x:v>
      </x:c>
      <x:c r="D1752" s="35" t="str">
        <x:v>Cli_24</x:v>
      </x:c>
      <x:c r="E1752" s="35" t="str">
        <x:v>Condition</x:v>
      </x:c>
      <x:c r="F1752" s="35" t="n">
        <x:v>112</x:v>
      </x:c>
      <x:c r="G1752" s="35" t="str">
        <x:v>RECORDED</x:v>
      </x:c>
      <x:c r="H1752" s="39" t="n">
        <x:f>IF(ISNUMBER('Data'!N44),'Data'!N44*100,"")</x:f>
        <x:v>0</x:v>
      </x:c>
      <x:c r="I1752" s="35" t="str">
        <x:v>PASS</x:v>
      </x:c>
      <x:c r="J1752" s="35" t="str">
        <x:v>PASS</x:v>
      </x:c>
      <x:c r="K1752" s="35" t="str">
        <x:v>PASS</x:v>
      </x:c>
      <x:c r="L1752" s="35" t="str">
        <x:v>FAIL</x:v>
      </x:c>
      <x:c r="M1752" s="35" t="str">
        <x:v>numeric coverage for applicable metric</x:v>
      </x:c>
      <x:c r="N1752" s="35" t="str">
        <x:v>Deepseek-flash-v4/Result/Cli_24/result.json</x:v>
      </x:c>
      <x:c r="O1752" s="39" t="n">
        <x:f>IF(AND(G1752="RECORDED",ISNUMBER(H1752)),H1752,"")</x:f>
        <x:v>0</x:v>
      </x:c>
      <x:c r="P1752" s="35" t="str">
        <x:v>INCONCLUSIVE</x:v>
      </x:c>
      <x:c r="Q1752" s="35" t="str">
        <x:v>Deepseek-flash-v4/Result/Cli_24/result.json</x:v>
      </x:c>
    </x:row>
    <x:row r="1753">
      <x:c r="A1753" s="35" t="str">
        <x:v>deepseek</x:v>
      </x:c>
      <x:c r="B1753" s="35" t="str">
        <x:v>Cli</x:v>
      </x:c>
      <x:c r="C1753" s="35" t="str">
        <x:v>Round1</x:v>
      </x:c>
      <x:c r="D1753" s="35" t="str">
        <x:v>Cli_25</x:v>
      </x:c>
      <x:c r="E1753" s="35" t="str">
        <x:v>Condition</x:v>
      </x:c>
      <x:c r="F1753" s="35"/>
      <x:c r="G1753" s="35" t="str">
        <x:v>A</x:v>
      </x:c>
      <x:c r="H1753" s="39" t="str">
        <x:f>IF(ISNUMBER('Data'!N45),'Data'!N45*100,"")</x:f>
      </x:c>
      <x:c r="I1753" s="35"/>
      <x:c r="J1753" s="35" t="str">
        <x:v>PASS</x:v>
      </x:c>
      <x:c r="K1753" s="35" t="str">
        <x:v>FAIL</x:v>
      </x:c>
      <x:c r="L1753" s="35" t="str">
        <x:v>NOT_RUN</x:v>
      </x:c>
      <x:c r="M1753" s="35" t="str">
        <x:v>coverage unavailable or execution/compile failed</x:v>
      </x:c>
      <x:c r="N1753" s="35" t="str">
        <x:v>Deepseek-flash-v4/Result/Cli_25/result.json</x:v>
      </x:c>
      <x:c r="O1753" s="39" t="str">
        <x:f>IF(AND(G1753="RECORDED",ISNUMBER(H1753)),H1753,"")</x:f>
      </x:c>
      <x:c r="P1753" s="35" t="str">
        <x:v>NOT_AVAILABLE</x:v>
      </x:c>
      <x:c r="Q1753" s="35" t="str">
        <x:v>Deepseek-flash-v4/Result/Cli_25/result.json</x:v>
      </x:c>
    </x:row>
    <x:row r="1754">
      <x:c r="A1754" s="35" t="str">
        <x:v>deepseek</x:v>
      </x:c>
      <x:c r="B1754" s="35" t="str">
        <x:v>Cli</x:v>
      </x:c>
      <x:c r="C1754" s="35" t="str">
        <x:v>Round1</x:v>
      </x:c>
      <x:c r="D1754" s="35" t="str">
        <x:v>Cli_26</x:v>
      </x:c>
      <x:c r="E1754" s="35" t="str">
        <x:v>Condition</x:v>
      </x:c>
      <x:c r="F1754" s="35"/>
      <x:c r="G1754" s="35" t="str">
        <x:v>A</x:v>
      </x:c>
      <x:c r="H1754" s="39" t="str">
        <x:f>IF(ISNUMBER('Data'!N46),'Data'!N46*100,"")</x:f>
      </x:c>
      <x:c r="I1754" s="35"/>
      <x:c r="J1754" s="35" t="str">
        <x:v>PASS</x:v>
      </x:c>
      <x:c r="K1754" s="35" t="str">
        <x:v>FAIL</x:v>
      </x:c>
      <x:c r="L1754" s="35" t="str">
        <x:v>NOT_RUN</x:v>
      </x:c>
      <x:c r="M1754" s="35" t="str">
        <x:v>coverage unavailable or execution/compile failed</x:v>
      </x:c>
      <x:c r="N1754" s="35" t="str">
        <x:v>Deepseek-flash-v4/Result/Cli_26/result.json</x:v>
      </x:c>
      <x:c r="O1754" s="39" t="str">
        <x:f>IF(AND(G1754="RECORDED",ISNUMBER(H1754)),H1754,"")</x:f>
      </x:c>
      <x:c r="P1754" s="35" t="str">
        <x:v>NOT_AVAILABLE</x:v>
      </x:c>
      <x:c r="Q1754" s="35" t="str">
        <x:v>Deepseek-flash-v4/Result/Cli_26/result.json</x:v>
      </x:c>
    </x:row>
    <x:row r="1755">
      <x:c r="A1755" s="35" t="str">
        <x:v>deepseek</x:v>
      </x:c>
      <x:c r="B1755" s="35" t="str">
        <x:v>Cli</x:v>
      </x:c>
      <x:c r="C1755" s="35" t="str">
        <x:v>Round1</x:v>
      </x:c>
      <x:c r="D1755" s="35" t="str">
        <x:v>Cli_27</x:v>
      </x:c>
      <x:c r="E1755" s="35" t="str">
        <x:v>Condition</x:v>
      </x:c>
      <x:c r="F1755" s="35" t="n">
        <x:v>12</x:v>
      </x:c>
      <x:c r="G1755" s="35" t="str">
        <x:v>RECORDED</x:v>
      </x:c>
      <x:c r="H1755" s="39" t="n">
        <x:f>IF(ISNUMBER('Data'!N47),'Data'!N47*100,"")</x:f>
        <x:v>0</x:v>
      </x:c>
      <x:c r="I1755" s="35" t="str">
        <x:v>PASS</x:v>
      </x:c>
      <x:c r="J1755" s="35" t="str">
        <x:v>PASS</x:v>
      </x:c>
      <x:c r="K1755" s="35" t="str">
        <x:v>PASS</x:v>
      </x:c>
      <x:c r="L1755" s="35" t="str">
        <x:v>FAIL</x:v>
      </x:c>
      <x:c r="M1755" s="35" t="str">
        <x:v>numeric coverage for applicable metric</x:v>
      </x:c>
      <x:c r="N1755" s="35" t="str">
        <x:v>Deepseek-flash-v4/Result/Cli_27/result.json</x:v>
      </x:c>
      <x:c r="O1755" s="39" t="n">
        <x:f>IF(AND(G1755="RECORDED",ISNUMBER(H1755)),H1755,"")</x:f>
        <x:v>0</x:v>
      </x:c>
      <x:c r="P1755" s="35" t="str">
        <x:v>INCONCLUSIVE</x:v>
      </x:c>
      <x:c r="Q1755" s="35" t="str">
        <x:v>Deepseek-flash-v4/Result/Cli_27/result.json</x:v>
      </x:c>
    </x:row>
    <x:row r="1756">
      <x:c r="A1756" s="35" t="str">
        <x:v>deepseek</x:v>
      </x:c>
      <x:c r="B1756" s="35" t="str">
        <x:v>Cli</x:v>
      </x:c>
      <x:c r="C1756" s="35" t="str">
        <x:v>Round1</x:v>
      </x:c>
      <x:c r="D1756" s="35" t="str">
        <x:v>Cli_28</x:v>
      </x:c>
      <x:c r="E1756" s="35" t="str">
        <x:v>Condition</x:v>
      </x:c>
      <x:c r="F1756" s="35"/>
      <x:c r="G1756" s="35" t="str">
        <x:v>A</x:v>
      </x:c>
      <x:c r="H1756" s="39" t="str">
        <x:f>IF(ISNUMBER('Data'!N48),'Data'!N48*100,"")</x:f>
      </x:c>
      <x:c r="I1756" s="35"/>
      <x:c r="J1756" s="35" t="str">
        <x:v>PASS</x:v>
      </x:c>
      <x:c r="K1756" s="35" t="str">
        <x:v>FAIL</x:v>
      </x:c>
      <x:c r="L1756" s="35" t="str">
        <x:v>NOT_RUN</x:v>
      </x:c>
      <x:c r="M1756" s="35" t="str">
        <x:v>coverage unavailable or execution/compile failed</x:v>
      </x:c>
      <x:c r="N1756" s="35" t="str">
        <x:v>Deepseek-flash-v4/Result/Cli_28/result.json</x:v>
      </x:c>
      <x:c r="O1756" s="39" t="str">
        <x:f>IF(AND(G1756="RECORDED",ISNUMBER(H1756)),H1756,"")</x:f>
      </x:c>
      <x:c r="P1756" s="35" t="str">
        <x:v>NOT_AVAILABLE</x:v>
      </x:c>
      <x:c r="Q1756" s="35" t="str">
        <x:v>Deepseek-flash-v4/Result/Cli_28/result.json</x:v>
      </x:c>
    </x:row>
    <x:row r="1757">
      <x:c r="A1757" s="35" t="str">
        <x:v>deepseek</x:v>
      </x:c>
      <x:c r="B1757" s="35" t="str">
        <x:v>Cli</x:v>
      </x:c>
      <x:c r="C1757" s="35" t="str">
        <x:v>Round1</x:v>
      </x:c>
      <x:c r="D1757" s="35" t="str">
        <x:v>Cli_29</x:v>
      </x:c>
      <x:c r="E1757" s="35" t="str">
        <x:v>Condition</x:v>
      </x:c>
      <x:c r="F1757" s="35" t="n">
        <x:v>10</x:v>
      </x:c>
      <x:c r="G1757" s="35" t="str">
        <x:v>RECORDED</x:v>
      </x:c>
      <x:c r="H1757" s="39" t="n">
        <x:f>IF(ISNUMBER('Data'!N49),'Data'!N49*100,"")</x:f>
        <x:v>0</x:v>
      </x:c>
      <x:c r="I1757" s="35" t="str">
        <x:v>PASS</x:v>
      </x:c>
      <x:c r="J1757" s="35" t="str">
        <x:v>PASS</x:v>
      </x:c>
      <x:c r="K1757" s="35" t="str">
        <x:v>PASS</x:v>
      </x:c>
      <x:c r="L1757" s="35" t="str">
        <x:v>FAIL</x:v>
      </x:c>
      <x:c r="M1757" s="35" t="str">
        <x:v>numeric coverage for applicable metric</x:v>
      </x:c>
      <x:c r="N1757" s="35" t="str">
        <x:v>Deepseek-flash-v4/Result/Cli_29/result.json</x:v>
      </x:c>
      <x:c r="O1757" s="39" t="n">
        <x:f>IF(AND(G1757="RECORDED",ISNUMBER(H1757)),H1757,"")</x:f>
        <x:v>0</x:v>
      </x:c>
      <x:c r="P1757" s="35" t="str">
        <x:v>INCONCLUSIVE</x:v>
      </x:c>
      <x:c r="Q1757" s="35" t="str">
        <x:v>Deepseek-flash-v4/Result/Cli_29/result.json</x:v>
      </x:c>
    </x:row>
    <x:row r="1758">
      <x:c r="A1758" s="35" t="str">
        <x:v>deepseek</x:v>
      </x:c>
      <x:c r="B1758" s="35" t="str">
        <x:v>Cli</x:v>
      </x:c>
      <x:c r="C1758" s="35" t="str">
        <x:v>Round1</x:v>
      </x:c>
      <x:c r="D1758" s="35" t="str">
        <x:v>Cli_3</x:v>
      </x:c>
      <x:c r="E1758" s="35" t="str">
        <x:v>Condition</x:v>
      </x:c>
      <x:c r="F1758" s="35" t="n">
        <x:v>20</x:v>
      </x:c>
      <x:c r="G1758" s="35" t="str">
        <x:v>RECORDED</x:v>
      </x:c>
      <x:c r="H1758" s="39" t="n">
        <x:f>IF(ISNUMBER('Data'!N50),'Data'!N50*100,"")</x:f>
        <x:v>0</x:v>
      </x:c>
      <x:c r="I1758" s="35" t="str">
        <x:v>PASS</x:v>
      </x:c>
      <x:c r="J1758" s="35" t="str">
        <x:v>PASS</x:v>
      </x:c>
      <x:c r="K1758" s="35" t="str">
        <x:v>PASS</x:v>
      </x:c>
      <x:c r="L1758" s="35" t="str">
        <x:v>FAIL</x:v>
      </x:c>
      <x:c r="M1758" s="35" t="str">
        <x:v>numeric coverage for applicable metric</x:v>
      </x:c>
      <x:c r="N1758" s="35" t="str">
        <x:v>Deepseek-flash-v4/Result/Cli_3/result.json</x:v>
      </x:c>
      <x:c r="O1758" s="39" t="n">
        <x:f>IF(AND(G1758="RECORDED",ISNUMBER(H1758)),H1758,"")</x:f>
        <x:v>0</x:v>
      </x:c>
      <x:c r="P1758" s="35" t="str">
        <x:v>INCONCLUSIVE</x:v>
      </x:c>
      <x:c r="Q1758" s="35" t="str">
        <x:v>Deepseek-flash-v4/Result/Cli_3/result.json</x:v>
      </x:c>
    </x:row>
    <x:row r="1759">
      <x:c r="A1759" s="35" t="str">
        <x:v>deepseek</x:v>
      </x:c>
      <x:c r="B1759" s="35" t="str">
        <x:v>Cli</x:v>
      </x:c>
      <x:c r="C1759" s="35" t="str">
        <x:v>Round1</x:v>
      </x:c>
      <x:c r="D1759" s="35" t="str">
        <x:v>Cli_30</x:v>
      </x:c>
      <x:c r="E1759" s="35" t="str">
        <x:v>Condition</x:v>
      </x:c>
      <x:c r="F1759" s="35"/>
      <x:c r="G1759" s="35" t="str">
        <x:v>A</x:v>
      </x:c>
      <x:c r="H1759" s="39" t="str">
        <x:f>IF(ISNUMBER('Data'!N51),'Data'!N51*100,"")</x:f>
      </x:c>
      <x:c r="I1759" s="35"/>
      <x:c r="J1759" s="35" t="str">
        <x:v>PASS</x:v>
      </x:c>
      <x:c r="K1759" s="35" t="str">
        <x:v>FAIL</x:v>
      </x:c>
      <x:c r="L1759" s="35" t="str">
        <x:v>NOT_RUN</x:v>
      </x:c>
      <x:c r="M1759" s="35" t="str">
        <x:v>coverage unavailable or execution/compile failed</x:v>
      </x:c>
      <x:c r="N1759" s="35" t="str">
        <x:v>Deepseek-flash-v4/Result/Cli_30/result.json</x:v>
      </x:c>
      <x:c r="O1759" s="39" t="str">
        <x:f>IF(AND(G1759="RECORDED",ISNUMBER(H1759)),H1759,"")</x:f>
      </x:c>
      <x:c r="P1759" s="35" t="str">
        <x:v>NOT_AVAILABLE</x:v>
      </x:c>
      <x:c r="Q1759" s="35" t="str">
        <x:v>Deepseek-flash-v4/Result/Cli_30/result.json</x:v>
      </x:c>
    </x:row>
    <x:row r="1760">
      <x:c r="A1760" s="35" t="str">
        <x:v>deepseek</x:v>
      </x:c>
      <x:c r="B1760" s="35" t="str">
        <x:v>Cli</x:v>
      </x:c>
      <x:c r="C1760" s="35" t="str">
        <x:v>Round1</x:v>
      </x:c>
      <x:c r="D1760" s="35" t="str">
        <x:v>Cli_31</x:v>
      </x:c>
      <x:c r="E1760" s="35" t="str">
        <x:v>Condition</x:v>
      </x:c>
      <x:c r="F1760" s="35"/>
      <x:c r="G1760" s="35" t="str">
        <x:v>A</x:v>
      </x:c>
      <x:c r="H1760" s="39" t="str">
        <x:f>IF(ISNUMBER('Data'!N52),'Data'!N52*100,"")</x:f>
      </x:c>
      <x:c r="I1760" s="35"/>
      <x:c r="J1760" s="35" t="str">
        <x:v>PASS</x:v>
      </x:c>
      <x:c r="K1760" s="35" t="str">
        <x:v>FAIL</x:v>
      </x:c>
      <x:c r="L1760" s="35" t="str">
        <x:v>NOT_RUN</x:v>
      </x:c>
      <x:c r="M1760" s="35" t="str">
        <x:v>coverage unavailable or execution/compile failed</x:v>
      </x:c>
      <x:c r="N1760" s="35" t="str">
        <x:v>Deepseek-flash-v4/Result/Cli_31/result.json</x:v>
      </x:c>
      <x:c r="O1760" s="39" t="str">
        <x:f>IF(AND(G1760="RECORDED",ISNUMBER(H1760)),H1760,"")</x:f>
      </x:c>
      <x:c r="P1760" s="35" t="str">
        <x:v>NOT_AVAILABLE</x:v>
      </x:c>
      <x:c r="Q1760" s="35" t="str">
        <x:v>Deepseek-flash-v4/Result/Cli_31/result.json</x:v>
      </x:c>
    </x:row>
    <x:row r="1761">
      <x:c r="A1761" s="35" t="str">
        <x:v>deepseek</x:v>
      </x:c>
      <x:c r="B1761" s="35" t="str">
        <x:v>Cli</x:v>
      </x:c>
      <x:c r="C1761" s="35" t="str">
        <x:v>Round1</x:v>
      </x:c>
      <x:c r="D1761" s="35" t="str">
        <x:v>Cli_32</x:v>
      </x:c>
      <x:c r="E1761" s="35" t="str">
        <x:v>Condition</x:v>
      </x:c>
      <x:c r="F1761" s="35"/>
      <x:c r="G1761" s="35" t="str">
        <x:v>A</x:v>
      </x:c>
      <x:c r="H1761" s="39" t="str">
        <x:f>IF(ISNUMBER('Data'!N53),'Data'!N53*100,"")</x:f>
      </x:c>
      <x:c r="I1761" s="35"/>
      <x:c r="J1761" s="35" t="str">
        <x:v>PASS</x:v>
      </x:c>
      <x:c r="K1761" s="35" t="str">
        <x:v>FAIL</x:v>
      </x:c>
      <x:c r="L1761" s="35" t="str">
        <x:v>NOT_RUN</x:v>
      </x:c>
      <x:c r="M1761" s="35" t="str">
        <x:v>coverage unavailable or execution/compile failed</x:v>
      </x:c>
      <x:c r="N1761" s="35" t="str">
        <x:v>Deepseek-flash-v4/Result/Cli_32/result.json</x:v>
      </x:c>
      <x:c r="O1761" s="39" t="str">
        <x:f>IF(AND(G1761="RECORDED",ISNUMBER(H1761)),H1761,"")</x:f>
      </x:c>
      <x:c r="P1761" s="35" t="str">
        <x:v>NOT_AVAILABLE</x:v>
      </x:c>
      <x:c r="Q1761" s="35" t="str">
        <x:v>Deepseek-flash-v4/Result/Cli_32/result.json</x:v>
      </x:c>
    </x:row>
    <x:row r="1762">
      <x:c r="A1762" s="35" t="str">
        <x:v>deepseek</x:v>
      </x:c>
      <x:c r="B1762" s="35" t="str">
        <x:v>Cli</x:v>
      </x:c>
      <x:c r="C1762" s="35" t="str">
        <x:v>Round1</x:v>
      </x:c>
      <x:c r="D1762" s="35" t="str">
        <x:v>Cli_33</x:v>
      </x:c>
      <x:c r="E1762" s="35" t="str">
        <x:v>Condition</x:v>
      </x:c>
      <x:c r="F1762" s="35" t="n">
        <x:v>114</x:v>
      </x:c>
      <x:c r="G1762" s="35" t="str">
        <x:v>RECORDED</x:v>
      </x:c>
      <x:c r="H1762" s="39" t="n">
        <x:f>IF(ISNUMBER('Data'!N54),'Data'!N54*100,"")</x:f>
        <x:v>0</x:v>
      </x:c>
      <x:c r="I1762" s="35" t="str">
        <x:v>PASS</x:v>
      </x:c>
      <x:c r="J1762" s="35" t="str">
        <x:v>PASS</x:v>
      </x:c>
      <x:c r="K1762" s="35" t="str">
        <x:v>PASS</x:v>
      </x:c>
      <x:c r="L1762" s="35" t="str">
        <x:v>FAIL</x:v>
      </x:c>
      <x:c r="M1762" s="35" t="str">
        <x:v>numeric coverage for applicable metric</x:v>
      </x:c>
      <x:c r="N1762" s="35" t="str">
        <x:v>Deepseek-flash-v4/Result/Cli_33/result.json</x:v>
      </x:c>
      <x:c r="O1762" s="39" t="n">
        <x:f>IF(AND(G1762="RECORDED",ISNUMBER(H1762)),H1762,"")</x:f>
        <x:v>0</x:v>
      </x:c>
      <x:c r="P1762" s="35" t="str">
        <x:v>INCONCLUSIVE</x:v>
      </x:c>
      <x:c r="Q1762" s="35" t="str">
        <x:v>Deepseek-flash-v4/Result/Cli_33/result.json</x:v>
      </x:c>
    </x:row>
    <x:row r="1763">
      <x:c r="A1763" s="35" t="str">
        <x:v>deepseek</x:v>
      </x:c>
      <x:c r="B1763" s="35" t="str">
        <x:v>Cli</x:v>
      </x:c>
      <x:c r="C1763" s="35" t="str">
        <x:v>Round1</x:v>
      </x:c>
      <x:c r="D1763" s="35" t="str">
        <x:v>Cli_34</x:v>
      </x:c>
      <x:c r="E1763" s="35" t="str">
        <x:v>Condition</x:v>
      </x:c>
      <x:c r="F1763" s="35"/>
      <x:c r="G1763" s="35" t="str">
        <x:v>A</x:v>
      </x:c>
      <x:c r="H1763" s="39" t="str">
        <x:f>IF(ISNUMBER('Data'!N55),'Data'!N55*100,"")</x:f>
      </x:c>
      <x:c r="I1763" s="35"/>
      <x:c r="J1763" s="35" t="str">
        <x:v>PASS</x:v>
      </x:c>
      <x:c r="K1763" s="35" t="str">
        <x:v>FAIL</x:v>
      </x:c>
      <x:c r="L1763" s="35" t="str">
        <x:v>NOT_RUN</x:v>
      </x:c>
      <x:c r="M1763" s="35" t="str">
        <x:v>coverage unavailable or execution/compile failed</x:v>
      </x:c>
      <x:c r="N1763" s="35" t="str">
        <x:v>Deepseek-flash-v4/Result/Cli_34/result.json</x:v>
      </x:c>
      <x:c r="O1763" s="39" t="str">
        <x:f>IF(AND(G1763="RECORDED",ISNUMBER(H1763)),H1763,"")</x:f>
      </x:c>
      <x:c r="P1763" s="35" t="str">
        <x:v>NOT_AVAILABLE</x:v>
      </x:c>
      <x:c r="Q1763" s="35" t="str">
        <x:v>Deepseek-flash-v4/Result/Cli_34/result.json</x:v>
      </x:c>
    </x:row>
    <x:row r="1764">
      <x:c r="A1764" s="35" t="str">
        <x:v>deepseek</x:v>
      </x:c>
      <x:c r="B1764" s="35" t="str">
        <x:v>Cli</x:v>
      </x:c>
      <x:c r="C1764" s="35" t="str">
        <x:v>Round1</x:v>
      </x:c>
      <x:c r="D1764" s="35" t="str">
        <x:v>Cli_35</x:v>
      </x:c>
      <x:c r="E1764" s="35" t="str">
        <x:v>Condition</x:v>
      </x:c>
      <x:c r="F1764" s="35" t="n">
        <x:v>20</x:v>
      </x:c>
      <x:c r="G1764" s="35" t="str">
        <x:v>RECORDED</x:v>
      </x:c>
      <x:c r="H1764" s="39" t="n">
        <x:f>IF(ISNUMBER('Data'!N56),'Data'!N56*100,"")</x:f>
        <x:v>95</x:v>
      </x:c>
      <x:c r="I1764" s="35" t="str">
        <x:v>PASS</x:v>
      </x:c>
      <x:c r="J1764" s="35" t="str">
        <x:v>PASS</x:v>
      </x:c>
      <x:c r="K1764" s="35" t="str">
        <x:v>PASS</x:v>
      </x:c>
      <x:c r="L1764" s="35" t="str">
        <x:v>FAIL</x:v>
      </x:c>
      <x:c r="M1764" s="35" t="str">
        <x:v>numeric coverage for applicable metric</x:v>
      </x:c>
      <x:c r="N1764" s="35" t="str">
        <x:v>Deepseek-flash-v4/Result/Cli_35/result.json</x:v>
      </x:c>
      <x:c r="O1764" s="39" t="n">
        <x:f>IF(AND(G1764="RECORDED",ISNUMBER(H1764)),H1764,"")</x:f>
        <x:v>95</x:v>
      </x:c>
      <x:c r="P1764" s="35" t="str">
        <x:v>INCONCLUSIVE</x:v>
      </x:c>
      <x:c r="Q1764" s="35" t="str">
        <x:v>Deepseek-flash-v4/Result/Cli_35/result.json</x:v>
      </x:c>
    </x:row>
    <x:row r="1765">
      <x:c r="A1765" s="35" t="str">
        <x:v>deepseek</x:v>
      </x:c>
      <x:c r="B1765" s="35" t="str">
        <x:v>Cli</x:v>
      </x:c>
      <x:c r="C1765" s="35" t="str">
        <x:v>Round1</x:v>
      </x:c>
      <x:c r="D1765" s="35" t="str">
        <x:v>Cli_36</x:v>
      </x:c>
      <x:c r="E1765" s="35" t="str">
        <x:v>Condition</x:v>
      </x:c>
      <x:c r="F1765" s="35"/>
      <x:c r="G1765" s="35" t="str">
        <x:v>A</x:v>
      </x:c>
      <x:c r="H1765" s="39" t="str">
        <x:f>IF(ISNUMBER('Data'!N57),'Data'!N57*100,"")</x:f>
      </x:c>
      <x:c r="I1765" s="35"/>
      <x:c r="J1765" s="35" t="str">
        <x:v>PASS</x:v>
      </x:c>
      <x:c r="K1765" s="35" t="str">
        <x:v>FAIL</x:v>
      </x:c>
      <x:c r="L1765" s="35" t="str">
        <x:v>NOT_RUN</x:v>
      </x:c>
      <x:c r="M1765" s="35" t="str">
        <x:v>coverage unavailable or execution/compile failed</x:v>
      </x:c>
      <x:c r="N1765" s="35" t="str">
        <x:v>Deepseek-flash-v4/Result/Cli_36/result.json</x:v>
      </x:c>
      <x:c r="O1765" s="39" t="str">
        <x:f>IF(AND(G1765="RECORDED",ISNUMBER(H1765)),H1765,"")</x:f>
      </x:c>
      <x:c r="P1765" s="35" t="str">
        <x:v>NOT_AVAILABLE</x:v>
      </x:c>
      <x:c r="Q1765" s="35" t="str">
        <x:v>Deepseek-flash-v4/Result/Cli_36/result.json</x:v>
      </x:c>
    </x:row>
    <x:row r="1766">
      <x:c r="A1766" s="35" t="str">
        <x:v>deepseek</x:v>
      </x:c>
      <x:c r="B1766" s="35" t="str">
        <x:v>Cli</x:v>
      </x:c>
      <x:c r="C1766" s="35" t="str">
        <x:v>Round1</x:v>
      </x:c>
      <x:c r="D1766" s="35" t="str">
        <x:v>Cli_37</x:v>
      </x:c>
      <x:c r="E1766" s="35" t="str">
        <x:v>Condition</x:v>
      </x:c>
      <x:c r="F1766" s="35"/>
      <x:c r="G1766" s="35" t="str">
        <x:v>A</x:v>
      </x:c>
      <x:c r="H1766" s="39" t="str">
        <x:f>IF(ISNUMBER('Data'!N58),'Data'!N58*100,"")</x:f>
      </x:c>
      <x:c r="I1766" s="35"/>
      <x:c r="J1766" s="35" t="str">
        <x:v>PASS</x:v>
      </x:c>
      <x:c r="K1766" s="35" t="str">
        <x:v>FAIL</x:v>
      </x:c>
      <x:c r="L1766" s="35" t="str">
        <x:v>NOT_RUN</x:v>
      </x:c>
      <x:c r="M1766" s="35" t="str">
        <x:v>coverage unavailable or execution/compile failed</x:v>
      </x:c>
      <x:c r="N1766" s="35" t="str">
        <x:v>Deepseek-flash-v4/Result/Cli_37/result.json</x:v>
      </x:c>
      <x:c r="O1766" s="39" t="str">
        <x:f>IF(AND(G1766="RECORDED",ISNUMBER(H1766)),H1766,"")</x:f>
      </x:c>
      <x:c r="P1766" s="35" t="str">
        <x:v>NOT_AVAILABLE</x:v>
      </x:c>
      <x:c r="Q1766" s="35" t="str">
        <x:v>Deepseek-flash-v4/Result/Cli_37/result.json</x:v>
      </x:c>
    </x:row>
    <x:row r="1767">
      <x:c r="A1767" s="35" t="str">
        <x:v>deepseek</x:v>
      </x:c>
      <x:c r="B1767" s="35" t="str">
        <x:v>Cli</x:v>
      </x:c>
      <x:c r="C1767" s="35" t="str">
        <x:v>Round1</x:v>
      </x:c>
      <x:c r="D1767" s="35" t="str">
        <x:v>Cli_38</x:v>
      </x:c>
      <x:c r="E1767" s="35" t="str">
        <x:v>Condition</x:v>
      </x:c>
      <x:c r="F1767" s="35"/>
      <x:c r="G1767" s="35" t="str">
        <x:v>A</x:v>
      </x:c>
      <x:c r="H1767" s="39" t="str">
        <x:f>IF(ISNUMBER('Data'!N59),'Data'!N59*100,"")</x:f>
      </x:c>
      <x:c r="I1767" s="35"/>
      <x:c r="J1767" s="35" t="str">
        <x:v>PASS</x:v>
      </x:c>
      <x:c r="K1767" s="35" t="str">
        <x:v>FAIL</x:v>
      </x:c>
      <x:c r="L1767" s="35" t="str">
        <x:v>NOT_RUN</x:v>
      </x:c>
      <x:c r="M1767" s="35" t="str">
        <x:v>coverage unavailable or execution/compile failed</x:v>
      </x:c>
      <x:c r="N1767" s="35" t="str">
        <x:v>Deepseek-flash-v4/Result/Cli_38/result.json</x:v>
      </x:c>
      <x:c r="O1767" s="39" t="str">
        <x:f>IF(AND(G1767="RECORDED",ISNUMBER(H1767)),H1767,"")</x:f>
      </x:c>
      <x:c r="P1767" s="35" t="str">
        <x:v>NOT_AVAILABLE</x:v>
      </x:c>
      <x:c r="Q1767" s="35" t="str">
        <x:v>Deepseek-flash-v4/Result/Cli_38/result.json</x:v>
      </x:c>
    </x:row>
    <x:row r="1768">
      <x:c r="A1768" s="35" t="str">
        <x:v>deepseek</x:v>
      </x:c>
      <x:c r="B1768" s="35" t="str">
        <x:v>Cli</x:v>
      </x:c>
      <x:c r="C1768" s="35" t="str">
        <x:v>Round1</x:v>
      </x:c>
      <x:c r="D1768" s="35" t="str">
        <x:v>Cli_39</x:v>
      </x:c>
      <x:c r="E1768" s="35" t="str">
        <x:v>Condition</x:v>
      </x:c>
      <x:c r="F1768" s="35" t="n">
        <x:v>20</x:v>
      </x:c>
      <x:c r="G1768" s="35" t="str">
        <x:v>RECORDED</x:v>
      </x:c>
      <x:c r="H1768" s="39" t="n">
        <x:f>IF(ISNUMBER('Data'!N60),'Data'!N60*100,"")</x:f>
        <x:v>80</x:v>
      </x:c>
      <x:c r="I1768" s="35" t="str">
        <x:v>PASS</x:v>
      </x:c>
      <x:c r="J1768" s="35" t="str">
        <x:v>PASS</x:v>
      </x:c>
      <x:c r="K1768" s="35" t="str">
        <x:v>PASS</x:v>
      </x:c>
      <x:c r="L1768" s="35" t="str">
        <x:v>FAIL</x:v>
      </x:c>
      <x:c r="M1768" s="35" t="str">
        <x:v>numeric coverage for applicable metric</x:v>
      </x:c>
      <x:c r="N1768" s="35" t="str">
        <x:v>Deepseek-flash-v4/Result/Cli_39/result.json</x:v>
      </x:c>
      <x:c r="O1768" s="39" t="n">
        <x:f>IF(AND(G1768="RECORDED",ISNUMBER(H1768)),H1768,"")</x:f>
        <x:v>80</x:v>
      </x:c>
      <x:c r="P1768" s="35" t="str">
        <x:v>INCONCLUSIVE</x:v>
      </x:c>
      <x:c r="Q1768" s="35" t="str">
        <x:v>Deepseek-flash-v4/Result/Cli_39/result.json</x:v>
      </x:c>
    </x:row>
    <x:row r="1769">
      <x:c r="A1769" s="35" t="str">
        <x:v>deepseek</x:v>
      </x:c>
      <x:c r="B1769" s="35" t="str">
        <x:v>Cli</x:v>
      </x:c>
      <x:c r="C1769" s="35" t="str">
        <x:v>Round1</x:v>
      </x:c>
      <x:c r="D1769" s="35" t="str">
        <x:v>Cli_4</x:v>
      </x:c>
      <x:c r="E1769" s="35" t="str">
        <x:v>Condition</x:v>
      </x:c>
      <x:c r="F1769" s="35" t="n">
        <x:v>68</x:v>
      </x:c>
      <x:c r="G1769" s="35" t="str">
        <x:v>RECORDED</x:v>
      </x:c>
      <x:c r="H1769" s="39" t="n">
        <x:f>IF(ISNUMBER('Data'!N61),'Data'!N61*100,"")</x:f>
        <x:v>0</x:v>
      </x:c>
      <x:c r="I1769" s="35" t="str">
        <x:v>PASS</x:v>
      </x:c>
      <x:c r="J1769" s="35" t="str">
        <x:v>PASS</x:v>
      </x:c>
      <x:c r="K1769" s="35" t="str">
        <x:v>PASS</x:v>
      </x:c>
      <x:c r="L1769" s="35" t="str">
        <x:v>FAIL</x:v>
      </x:c>
      <x:c r="M1769" s="35" t="str">
        <x:v>numeric coverage for applicable metric</x:v>
      </x:c>
      <x:c r="N1769" s="35" t="str">
        <x:v>Deepseek-flash-v4/Result/Cli_4/result.json</x:v>
      </x:c>
      <x:c r="O1769" s="39" t="n">
        <x:f>IF(AND(G1769="RECORDED",ISNUMBER(H1769)),H1769,"")</x:f>
        <x:v>0</x:v>
      </x:c>
      <x:c r="P1769" s="35" t="str">
        <x:v>INCONCLUSIVE</x:v>
      </x:c>
      <x:c r="Q1769" s="35" t="str">
        <x:v>Deepseek-flash-v4/Result/Cli_4/result.json</x:v>
      </x:c>
    </x:row>
    <x:row r="1770">
      <x:c r="A1770" s="35" t="str">
        <x:v>deepseek</x:v>
      </x:c>
      <x:c r="B1770" s="35" t="str">
        <x:v>Cli</x:v>
      </x:c>
      <x:c r="C1770" s="35" t="str">
        <x:v>Round1</x:v>
      </x:c>
      <x:c r="D1770" s="35" t="str">
        <x:v>Cli_40</x:v>
      </x:c>
      <x:c r="E1770" s="35" t="str">
        <x:v>Condition</x:v>
      </x:c>
      <x:c r="F1770" s="35"/>
      <x:c r="G1770" s="35" t="str">
        <x:v>A</x:v>
      </x:c>
      <x:c r="H1770" s="39" t="str">
        <x:f>IF(ISNUMBER('Data'!N62),'Data'!N62*100,"")</x:f>
      </x:c>
      <x:c r="I1770" s="35"/>
      <x:c r="J1770" s="35" t="str">
        <x:v>PASS</x:v>
      </x:c>
      <x:c r="K1770" s="35" t="str">
        <x:v>FAIL</x:v>
      </x:c>
      <x:c r="L1770" s="35" t="str">
        <x:v>NOT_RUN</x:v>
      </x:c>
      <x:c r="M1770" s="35" t="str">
        <x:v>coverage unavailable or execution/compile failed</x:v>
      </x:c>
      <x:c r="N1770" s="35" t="str">
        <x:v>Deepseek-flash-v4/Result/Cli_40/result.json</x:v>
      </x:c>
      <x:c r="O1770" s="39" t="str">
        <x:f>IF(AND(G1770="RECORDED",ISNUMBER(H1770)),H1770,"")</x:f>
      </x:c>
      <x:c r="P1770" s="35" t="str">
        <x:v>NOT_AVAILABLE</x:v>
      </x:c>
      <x:c r="Q1770" s="35" t="str">
        <x:v>Deepseek-flash-v4/Result/Cli_40/result.json</x:v>
      </x:c>
    </x:row>
    <x:row r="1771">
      <x:c r="A1771" s="35" t="str">
        <x:v>deepseek</x:v>
      </x:c>
      <x:c r="B1771" s="35" t="str">
        <x:v>Cli</x:v>
      </x:c>
      <x:c r="C1771" s="35" t="str">
        <x:v>Round1</x:v>
      </x:c>
      <x:c r="D1771" s="35" t="str">
        <x:v>Cli_5</x:v>
      </x:c>
      <x:c r="E1771" s="35" t="str">
        <x:v>Condition</x:v>
      </x:c>
      <x:c r="F1771" s="35" t="n">
        <x:v>8</x:v>
      </x:c>
      <x:c r="G1771" s="35" t="str">
        <x:v>RECORDED</x:v>
      </x:c>
      <x:c r="H1771" s="39" t="n">
        <x:f>IF(ISNUMBER('Data'!N63),'Data'!N63*100,"")</x:f>
        <x:v>0</x:v>
      </x:c>
      <x:c r="I1771" s="35" t="str">
        <x:v>PASS</x:v>
      </x:c>
      <x:c r="J1771" s="35" t="str">
        <x:v>PASS</x:v>
      </x:c>
      <x:c r="K1771" s="35"/>
      <x:c r="L1771" s="35" t="str">
        <x:v>FAIL</x:v>
      </x:c>
      <x:c r="M1771" s="35" t="str">
        <x:v>numeric coverage for applicable metric</x:v>
      </x:c>
      <x:c r="N1771" s="35" t="str">
        <x:v>Deepseek-flash-v4/Result/Cli_5/result.json</x:v>
      </x:c>
      <x:c r="O1771" s="39" t="n">
        <x:f>IF(AND(G1771="RECORDED",ISNUMBER(H1771)),H1771,"")</x:f>
        <x:v>0</x:v>
      </x:c>
      <x:c r="P1771" s="35" t="str">
        <x:v>INCONCLUSIVE</x:v>
      </x:c>
      <x:c r="Q1771" s="35" t="str">
        <x:v>Deepseek-flash-v4/Result/Cli_5/result.json</x:v>
      </x:c>
    </x:row>
    <x:row r="1772">
      <x:c r="A1772" s="35" t="str">
        <x:v>deepseek</x:v>
      </x:c>
      <x:c r="B1772" s="35" t="str">
        <x:v>Cli</x:v>
      </x:c>
      <x:c r="C1772" s="35" t="str">
        <x:v>Round1</x:v>
      </x:c>
      <x:c r="D1772" s="35" t="str">
        <x:v>Cli_7</x:v>
      </x:c>
      <x:c r="E1772" s="35" t="str">
        <x:v>Condition</x:v>
      </x:c>
      <x:c r="F1772" s="35"/>
      <x:c r="G1772" s="35" t="str">
        <x:v>A</x:v>
      </x:c>
      <x:c r="H1772" s="39" t="str">
        <x:f>IF(ISNUMBER('Data'!N64),'Data'!N64*100,"")</x:f>
      </x:c>
      <x:c r="I1772" s="35"/>
      <x:c r="J1772" s="35" t="str">
        <x:v>PASS</x:v>
      </x:c>
      <x:c r="K1772" s="35" t="str">
        <x:v>FAIL</x:v>
      </x:c>
      <x:c r="L1772" s="35" t="str">
        <x:v>NOT_RUN</x:v>
      </x:c>
      <x:c r="M1772" s="35" t="str">
        <x:v>coverage unavailable or execution/compile failed</x:v>
      </x:c>
      <x:c r="N1772" s="35" t="str">
        <x:v>Deepseek-flash-v4/Result/Cli_7/result.json</x:v>
      </x:c>
      <x:c r="O1772" s="39" t="str">
        <x:f>IF(AND(G1772="RECORDED",ISNUMBER(H1772)),H1772,"")</x:f>
      </x:c>
      <x:c r="P1772" s="35" t="str">
        <x:v>NOT_AVAILABLE</x:v>
      </x:c>
      <x:c r="Q1772" s="35" t="str">
        <x:v>Deepseek-flash-v4/Result/Cli_7/result.json</x:v>
      </x:c>
    </x:row>
    <x:row r="1773">
      <x:c r="A1773" s="35" t="str">
        <x:v>deepseek</x:v>
      </x:c>
      <x:c r="B1773" s="35" t="str">
        <x:v>Cli</x:v>
      </x:c>
      <x:c r="C1773" s="35" t="str">
        <x:v>Round1</x:v>
      </x:c>
      <x:c r="D1773" s="35" t="str">
        <x:v>Cli_8</x:v>
      </x:c>
      <x:c r="E1773" s="35" t="str">
        <x:v>Condition</x:v>
      </x:c>
      <x:c r="F1773" s="35" t="n">
        <x:v>104</x:v>
      </x:c>
      <x:c r="G1773" s="35" t="str">
        <x:v>RECORDED</x:v>
      </x:c>
      <x:c r="H1773" s="39" t="n">
        <x:f>IF(ISNUMBER('Data'!N65),'Data'!N65*100,"")</x:f>
        <x:v>0</x:v>
      </x:c>
      <x:c r="I1773" s="35" t="str">
        <x:v>PASS</x:v>
      </x:c>
      <x:c r="J1773" s="35" t="str">
        <x:v>PASS</x:v>
      </x:c>
      <x:c r="K1773" s="35" t="str">
        <x:v>PASS</x:v>
      </x:c>
      <x:c r="L1773" s="35" t="str">
        <x:v>FAIL</x:v>
      </x:c>
      <x:c r="M1773" s="35" t="str">
        <x:v>numeric coverage for applicable metric</x:v>
      </x:c>
      <x:c r="N1773" s="35" t="str">
        <x:v>Deepseek-flash-v4/Result/Cli_8/result.json</x:v>
      </x:c>
      <x:c r="O1773" s="39" t="n">
        <x:f>IF(AND(G1773="RECORDED",ISNUMBER(H1773)),H1773,"")</x:f>
        <x:v>0</x:v>
      </x:c>
      <x:c r="P1773" s="35" t="str">
        <x:v>INCONCLUSIVE</x:v>
      </x:c>
      <x:c r="Q1773" s="35" t="str">
        <x:v>Deepseek-flash-v4/Result/Cli_8/result.json</x:v>
      </x:c>
    </x:row>
    <x:row r="1774">
      <x:c r="A1774" s="35" t="str">
        <x:v>deepseek</x:v>
      </x:c>
      <x:c r="B1774" s="35" t="str">
        <x:v>Cli</x:v>
      </x:c>
      <x:c r="C1774" s="35" t="str">
        <x:v>Round1</x:v>
      </x:c>
      <x:c r="D1774" s="35" t="str">
        <x:v>Cli_9</x:v>
      </x:c>
      <x:c r="E1774" s="35" t="str">
        <x:v>Condition</x:v>
      </x:c>
      <x:c r="F1774" s="35"/>
      <x:c r="G1774" s="35" t="str">
        <x:v>A</x:v>
      </x:c>
      <x:c r="H1774" s="39" t="str">
        <x:f>IF(ISNUMBER('Data'!N66),'Data'!N66*100,"")</x:f>
      </x:c>
      <x:c r="I1774" s="35"/>
      <x:c r="J1774" s="35" t="str">
        <x:v>PASS</x:v>
      </x:c>
      <x:c r="K1774" s="35" t="str">
        <x:v>FAIL</x:v>
      </x:c>
      <x:c r="L1774" s="35" t="str">
        <x:v>NOT_RUN</x:v>
      </x:c>
      <x:c r="M1774" s="35" t="str">
        <x:v>coverage unavailable or execution/compile failed</x:v>
      </x:c>
      <x:c r="N1774" s="35" t="str">
        <x:v>Deepseek-flash-v4/Result/Cli_9/result.json</x:v>
      </x:c>
      <x:c r="O1774" s="39" t="str">
        <x:f>IF(AND(G1774="RECORDED",ISNUMBER(H1774)),H1774,"")</x:f>
      </x:c>
      <x:c r="P1774" s="35" t="str">
        <x:v>NOT_AVAILABLE</x:v>
      </x:c>
      <x:c r="Q1774" s="35" t="str">
        <x:v>Deepseek-flash-v4/Result/Cli_9/result.json</x:v>
      </x:c>
    </x:row>
    <x:row r="1775">
      <x:c r="A1775" s="35" t="str">
        <x:v>deepseek</x:v>
      </x:c>
      <x:c r="B1775" s="35" t="str">
        <x:v>Closure</x:v>
      </x:c>
      <x:c r="C1775" s="35" t="str">
        <x:v>Round1</x:v>
      </x:c>
      <x:c r="D1775" s="35" t="str">
        <x:v>Closure_1</x:v>
      </x:c>
      <x:c r="E1775" s="35" t="str">
        <x:v>Condition</x:v>
      </x:c>
      <x:c r="F1775" s="35"/>
      <x:c r="G1775" s="35" t="str">
        <x:v>A</x:v>
      </x:c>
      <x:c r="H1775" s="39" t="str">
        <x:f>IF(ISNUMBER('Data'!N67),'Data'!N67*100,"")</x:f>
      </x:c>
      <x:c r="I1775" s="35"/>
      <x:c r="J1775" s="35" t="str">
        <x:v>PASS</x:v>
      </x:c>
      <x:c r="K1775" s="35" t="str">
        <x:v>FAIL</x:v>
      </x:c>
      <x:c r="L1775" s="35" t="str">
        <x:v>NOT_RUN</x:v>
      </x:c>
      <x:c r="M1775" s="35" t="str">
        <x:v>coverage unavailable or execution/compile failed</x:v>
      </x:c>
      <x:c r="N1775" s="35" t="str">
        <x:v>Deepseek-flash-v4/Result/Closure_1/result.json</x:v>
      </x:c>
      <x:c r="O1775" s="39" t="str">
        <x:f>IF(AND(G1775="RECORDED",ISNUMBER(H1775)),H1775,"")</x:f>
      </x:c>
      <x:c r="P1775" s="35" t="str">
        <x:v>NOT_AVAILABLE</x:v>
      </x:c>
      <x:c r="Q1775" s="35" t="str">
        <x:v>Deepseek-flash-v4/Result/Closure_1/result.json</x:v>
      </x:c>
    </x:row>
    <x:row r="1776">
      <x:c r="A1776" s="35" t="str">
        <x:v>deepseek</x:v>
      </x:c>
      <x:c r="B1776" s="35" t="str">
        <x:v>Closure</x:v>
      </x:c>
      <x:c r="C1776" s="35" t="str">
        <x:v>Round1</x:v>
      </x:c>
      <x:c r="D1776" s="35" t="str">
        <x:v>Closure_10</x:v>
      </x:c>
      <x:c r="E1776" s="35" t="str">
        <x:v>Condition</x:v>
      </x:c>
      <x:c r="F1776" s="35"/>
      <x:c r="G1776" s="35" t="str">
        <x:v>A</x:v>
      </x:c>
      <x:c r="H1776" s="39" t="str">
        <x:f>IF(ISNUMBER('Data'!N68),'Data'!N68*100,"")</x:f>
      </x:c>
      <x:c r="I1776" s="35"/>
      <x:c r="J1776" s="35" t="str">
        <x:v>PASS</x:v>
      </x:c>
      <x:c r="K1776" s="35" t="str">
        <x:v>FAIL</x:v>
      </x:c>
      <x:c r="L1776" s="35" t="str">
        <x:v>NOT_RUN</x:v>
      </x:c>
      <x:c r="M1776" s="35" t="str">
        <x:v>coverage unavailable or execution/compile failed</x:v>
      </x:c>
      <x:c r="N1776" s="35" t="str">
        <x:v>Deepseek-flash-v4/Result/Closure_10/result.json</x:v>
      </x:c>
      <x:c r="O1776" s="39" t="str">
        <x:f>IF(AND(G1776="RECORDED",ISNUMBER(H1776)),H1776,"")</x:f>
      </x:c>
      <x:c r="P1776" s="35" t="str">
        <x:v>NOT_AVAILABLE</x:v>
      </x:c>
      <x:c r="Q1776" s="35" t="str">
        <x:v>Deepseek-flash-v4/Result/Closure_10/result.json</x:v>
      </x:c>
    </x:row>
    <x:row r="1777">
      <x:c r="A1777" s="35" t="str">
        <x:v>deepseek</x:v>
      </x:c>
      <x:c r="B1777" s="35" t="str">
        <x:v>Closure</x:v>
      </x:c>
      <x:c r="C1777" s="35" t="str">
        <x:v>Round1</x:v>
      </x:c>
      <x:c r="D1777" s="35" t="str">
        <x:v>Closure_100</x:v>
      </x:c>
      <x:c r="E1777" s="35" t="str">
        <x:v>Condition</x:v>
      </x:c>
      <x:c r="F1777" s="35"/>
      <x:c r="G1777" s="35" t="str">
        <x:v>A</x:v>
      </x:c>
      <x:c r="H1777" s="39" t="str">
        <x:f>IF(ISNUMBER('Data'!N69),'Data'!N69*100,"")</x:f>
      </x:c>
      <x:c r="I1777" s="35"/>
      <x:c r="J1777" s="35" t="str">
        <x:v>PASS</x:v>
      </x:c>
      <x:c r="K1777" s="35" t="str">
        <x:v>FAIL</x:v>
      </x:c>
      <x:c r="L1777" s="35" t="str">
        <x:v>NOT_RUN</x:v>
      </x:c>
      <x:c r="M1777" s="35" t="str">
        <x:v>coverage unavailable or execution/compile failed</x:v>
      </x:c>
      <x:c r="N1777" s="35" t="str">
        <x:v>Deepseek-flash-v4/Result/Closure_100/result.json</x:v>
      </x:c>
      <x:c r="O1777" s="39" t="str">
        <x:f>IF(AND(G1777="RECORDED",ISNUMBER(H1777)),H1777,"")</x:f>
      </x:c>
      <x:c r="P1777" s="35" t="str">
        <x:v>NOT_AVAILABLE</x:v>
      </x:c>
      <x:c r="Q1777" s="35" t="str">
        <x:v>Deepseek-flash-v4/Result/Closure_100/result.json</x:v>
      </x:c>
    </x:row>
    <x:row r="1778">
      <x:c r="A1778" s="35" t="str">
        <x:v>deepseek</x:v>
      </x:c>
      <x:c r="B1778" s="35" t="str">
        <x:v>Closure</x:v>
      </x:c>
      <x:c r="C1778" s="35" t="str">
        <x:v>Round1</x:v>
      </x:c>
      <x:c r="D1778" s="35" t="str">
        <x:v>Closure_101</x:v>
      </x:c>
      <x:c r="E1778" s="35" t="str">
        <x:v>Condition</x:v>
      </x:c>
      <x:c r="F1778" s="35"/>
      <x:c r="G1778" s="35" t="str">
        <x:v>A</x:v>
      </x:c>
      <x:c r="H1778" s="39" t="str">
        <x:f>IF(ISNUMBER('Data'!N70),'Data'!N70*100,"")</x:f>
      </x:c>
      <x:c r="I1778" s="35"/>
      <x:c r="J1778" s="35" t="str">
        <x:v>PASS</x:v>
      </x:c>
      <x:c r="K1778" s="35" t="str">
        <x:v>FAIL</x:v>
      </x:c>
      <x:c r="L1778" s="35" t="str">
        <x:v>NOT_RUN</x:v>
      </x:c>
      <x:c r="M1778" s="35" t="str">
        <x:v>coverage unavailable or execution/compile failed</x:v>
      </x:c>
      <x:c r="N1778" s="35" t="str">
        <x:v>Deepseek-flash-v4/Result/Closure_101/result.json</x:v>
      </x:c>
      <x:c r="O1778" s="39" t="str">
        <x:f>IF(AND(G1778="RECORDED",ISNUMBER(H1778)),H1778,"")</x:f>
      </x:c>
      <x:c r="P1778" s="35" t="str">
        <x:v>NOT_AVAILABLE</x:v>
      </x:c>
      <x:c r="Q1778" s="35" t="str">
        <x:v>Deepseek-flash-v4/Result/Closure_101/result.json</x:v>
      </x:c>
    </x:row>
    <x:row r="1779">
      <x:c r="A1779" s="35" t="str">
        <x:v>deepseek</x:v>
      </x:c>
      <x:c r="B1779" s="35" t="str">
        <x:v>Closure</x:v>
      </x:c>
      <x:c r="C1779" s="35" t="str">
        <x:v>Round1</x:v>
      </x:c>
      <x:c r="D1779" s="35" t="str">
        <x:v>Closure_102</x:v>
      </x:c>
      <x:c r="E1779" s="35" t="str">
        <x:v>Condition</x:v>
      </x:c>
      <x:c r="F1779" s="35"/>
      <x:c r="G1779" s="35" t="str">
        <x:v>A</x:v>
      </x:c>
      <x:c r="H1779" s="39" t="str">
        <x:f>IF(ISNUMBER('Data'!N71),'Data'!N71*100,"")</x:f>
      </x:c>
      <x:c r="I1779" s="35"/>
      <x:c r="J1779" s="35" t="str">
        <x:v>PASS</x:v>
      </x:c>
      <x:c r="K1779" s="35" t="str">
        <x:v>FAIL</x:v>
      </x:c>
      <x:c r="L1779" s="35" t="str">
        <x:v>NOT_RUN</x:v>
      </x:c>
      <x:c r="M1779" s="35" t="str">
        <x:v>coverage unavailable or execution/compile failed</x:v>
      </x:c>
      <x:c r="N1779" s="35" t="str">
        <x:v>Deepseek-flash-v4/Result/Closure_102/result.json</x:v>
      </x:c>
      <x:c r="O1779" s="39" t="str">
        <x:f>IF(AND(G1779="RECORDED",ISNUMBER(H1779)),H1779,"")</x:f>
      </x:c>
      <x:c r="P1779" s="35" t="str">
        <x:v>NOT_AVAILABLE</x:v>
      </x:c>
      <x:c r="Q1779" s="35" t="str">
        <x:v>Deepseek-flash-v4/Result/Closure_102/result.json</x:v>
      </x:c>
    </x:row>
    <x:row r="1780">
      <x:c r="A1780" s="35" t="str">
        <x:v>deepseek</x:v>
      </x:c>
      <x:c r="B1780" s="35" t="str">
        <x:v>Closure</x:v>
      </x:c>
      <x:c r="C1780" s="35" t="str">
        <x:v>Round1</x:v>
      </x:c>
      <x:c r="D1780" s="35" t="str">
        <x:v>Closure_103</x:v>
      </x:c>
      <x:c r="E1780" s="35" t="str">
        <x:v>Condition</x:v>
      </x:c>
      <x:c r="F1780" s="35"/>
      <x:c r="G1780" s="35" t="str">
        <x:v>A</x:v>
      </x:c>
      <x:c r="H1780" s="39" t="str">
        <x:f>IF(ISNUMBER('Data'!N72),'Data'!N72*100,"")</x:f>
      </x:c>
      <x:c r="I1780" s="35"/>
      <x:c r="J1780" s="35" t="str">
        <x:v>PASS</x:v>
      </x:c>
      <x:c r="K1780" s="35" t="str">
        <x:v>FAIL</x:v>
      </x:c>
      <x:c r="L1780" s="35" t="str">
        <x:v>NOT_RUN</x:v>
      </x:c>
      <x:c r="M1780" s="35" t="str">
        <x:v>coverage unavailable or execution/compile failed</x:v>
      </x:c>
      <x:c r="N1780" s="35" t="str">
        <x:v>Deepseek-flash-v4/Result/Closure_103/result.json</x:v>
      </x:c>
      <x:c r="O1780" s="39" t="str">
        <x:f>IF(AND(G1780="RECORDED",ISNUMBER(H1780)),H1780,"")</x:f>
      </x:c>
      <x:c r="P1780" s="35" t="str">
        <x:v>NOT_AVAILABLE</x:v>
      </x:c>
      <x:c r="Q1780" s="35" t="str">
        <x:v>Deepseek-flash-v4/Result/Closure_103/result.json</x:v>
      </x:c>
    </x:row>
    <x:row r="1781">
      <x:c r="A1781" s="35" t="str">
        <x:v>deepseek</x:v>
      </x:c>
      <x:c r="B1781" s="35" t="str">
        <x:v>Closure</x:v>
      </x:c>
      <x:c r="C1781" s="35" t="str">
        <x:v>Round1</x:v>
      </x:c>
      <x:c r="D1781" s="35" t="str">
        <x:v>Closure_104</x:v>
      </x:c>
      <x:c r="E1781" s="35" t="str">
        <x:v>Condition</x:v>
      </x:c>
      <x:c r="F1781" s="35"/>
      <x:c r="G1781" s="35" t="str">
        <x:v>A</x:v>
      </x:c>
      <x:c r="H1781" s="39" t="str">
        <x:f>IF(ISNUMBER('Data'!N73),'Data'!N73*100,"")</x:f>
      </x:c>
      <x:c r="I1781" s="35"/>
      <x:c r="J1781" s="35" t="str">
        <x:v>PASS</x:v>
      </x:c>
      <x:c r="K1781" s="35" t="str">
        <x:v>FAIL</x:v>
      </x:c>
      <x:c r="L1781" s="35" t="str">
        <x:v>NOT_RUN</x:v>
      </x:c>
      <x:c r="M1781" s="35" t="str">
        <x:v>coverage unavailable or execution/compile failed</x:v>
      </x:c>
      <x:c r="N1781" s="35" t="str">
        <x:v>Deepseek-flash-v4/Result/Closure_104/result.json</x:v>
      </x:c>
      <x:c r="O1781" s="39" t="str">
        <x:f>IF(AND(G1781="RECORDED",ISNUMBER(H1781)),H1781,"")</x:f>
      </x:c>
      <x:c r="P1781" s="35" t="str">
        <x:v>NOT_AVAILABLE</x:v>
      </x:c>
      <x:c r="Q1781" s="35" t="str">
        <x:v>Deepseek-flash-v4/Result/Closure_104/result.json</x:v>
      </x:c>
    </x:row>
    <x:row r="1782">
      <x:c r="A1782" s="35" t="str">
        <x:v>deepseek</x:v>
      </x:c>
      <x:c r="B1782" s="35" t="str">
        <x:v>Closure</x:v>
      </x:c>
      <x:c r="C1782" s="35" t="str">
        <x:v>Round1</x:v>
      </x:c>
      <x:c r="D1782" s="35" t="str">
        <x:v>Closure_105</x:v>
      </x:c>
      <x:c r="E1782" s="35" t="str">
        <x:v>Condition</x:v>
      </x:c>
      <x:c r="F1782" s="35"/>
      <x:c r="G1782" s="35" t="str">
        <x:v>A</x:v>
      </x:c>
      <x:c r="H1782" s="39" t="str">
        <x:f>IF(ISNUMBER('Data'!N74),'Data'!N74*100,"")</x:f>
      </x:c>
      <x:c r="I1782" s="35"/>
      <x:c r="J1782" s="35" t="str">
        <x:v>PASS</x:v>
      </x:c>
      <x:c r="K1782" s="35" t="str">
        <x:v>FAIL</x:v>
      </x:c>
      <x:c r="L1782" s="35" t="str">
        <x:v>NOT_RUN</x:v>
      </x:c>
      <x:c r="M1782" s="35" t="str">
        <x:v>coverage unavailable or execution/compile failed</x:v>
      </x:c>
      <x:c r="N1782" s="35" t="str">
        <x:v>Deepseek-flash-v4/Result/Closure_105/result.json</x:v>
      </x:c>
      <x:c r="O1782" s="39" t="str">
        <x:f>IF(AND(G1782="RECORDED",ISNUMBER(H1782)),H1782,"")</x:f>
      </x:c>
      <x:c r="P1782" s="35" t="str">
        <x:v>NOT_AVAILABLE</x:v>
      </x:c>
      <x:c r="Q1782" s="35" t="str">
        <x:v>Deepseek-flash-v4/Result/Closure_105/result.json</x:v>
      </x:c>
    </x:row>
    <x:row r="1783">
      <x:c r="A1783" s="35" t="str">
        <x:v>deepseek</x:v>
      </x:c>
      <x:c r="B1783" s="35" t="str">
        <x:v>Closure</x:v>
      </x:c>
      <x:c r="C1783" s="35" t="str">
        <x:v>Round1</x:v>
      </x:c>
      <x:c r="D1783" s="35" t="str">
        <x:v>Closure_106</x:v>
      </x:c>
      <x:c r="E1783" s="35" t="str">
        <x:v>Condition</x:v>
      </x:c>
      <x:c r="F1783" s="35"/>
      <x:c r="G1783" s="35" t="str">
        <x:v>A</x:v>
      </x:c>
      <x:c r="H1783" s="39" t="str">
        <x:f>IF(ISNUMBER('Data'!N75),'Data'!N75*100,"")</x:f>
      </x:c>
      <x:c r="I1783" s="35"/>
      <x:c r="J1783" s="35" t="str">
        <x:v>PASS</x:v>
      </x:c>
      <x:c r="K1783" s="35" t="str">
        <x:v>FAIL</x:v>
      </x:c>
      <x:c r="L1783" s="35" t="str">
        <x:v>NOT_RUN</x:v>
      </x:c>
      <x:c r="M1783" s="35" t="str">
        <x:v>coverage unavailable or execution/compile failed</x:v>
      </x:c>
      <x:c r="N1783" s="35" t="str">
        <x:v>Deepseek-flash-v4/Result/Closure_106/result.json</x:v>
      </x:c>
      <x:c r="O1783" s="39" t="str">
        <x:f>IF(AND(G1783="RECORDED",ISNUMBER(H1783)),H1783,"")</x:f>
      </x:c>
      <x:c r="P1783" s="35" t="str">
        <x:v>NOT_AVAILABLE</x:v>
      </x:c>
      <x:c r="Q1783" s="35" t="str">
        <x:v>Deepseek-flash-v4/Result/Closure_106/result.json</x:v>
      </x:c>
    </x:row>
    <x:row r="1784">
      <x:c r="A1784" s="35" t="str">
        <x:v>deepseek</x:v>
      </x:c>
      <x:c r="B1784" s="35" t="str">
        <x:v>Closure</x:v>
      </x:c>
      <x:c r="C1784" s="35" t="str">
        <x:v>Round1</x:v>
      </x:c>
      <x:c r="D1784" s="35" t="str">
        <x:v>Closure_107</x:v>
      </x:c>
      <x:c r="E1784" s="35" t="str">
        <x:v>Condition</x:v>
      </x:c>
      <x:c r="F1784" s="35"/>
      <x:c r="G1784" s="35" t="str">
        <x:v>A</x:v>
      </x:c>
      <x:c r="H1784" s="39" t="str">
        <x:f>IF(ISNUMBER('Data'!N76),'Data'!N76*100,"")</x:f>
      </x:c>
      <x:c r="I1784" s="35"/>
      <x:c r="J1784" s="35" t="str">
        <x:v>PASS</x:v>
      </x:c>
      <x:c r="K1784" s="35" t="str">
        <x:v>FAIL</x:v>
      </x:c>
      <x:c r="L1784" s="35" t="str">
        <x:v>NOT_RUN</x:v>
      </x:c>
      <x:c r="M1784" s="35" t="str">
        <x:v>coverage unavailable or execution/compile failed</x:v>
      </x:c>
      <x:c r="N1784" s="35" t="str">
        <x:v>Deepseek-flash-v4/Result/Closure_107/result.json</x:v>
      </x:c>
      <x:c r="O1784" s="39" t="str">
        <x:f>IF(AND(G1784="RECORDED",ISNUMBER(H1784)),H1784,"")</x:f>
      </x:c>
      <x:c r="P1784" s="35" t="str">
        <x:v>NOT_AVAILABLE</x:v>
      </x:c>
      <x:c r="Q1784" s="35" t="str">
        <x:v>Deepseek-flash-v4/Result/Closure_107/result.json</x:v>
      </x:c>
    </x:row>
    <x:row r="1785">
      <x:c r="A1785" s="35" t="str">
        <x:v>deepseek</x:v>
      </x:c>
      <x:c r="B1785" s="35" t="str">
        <x:v>Closure</x:v>
      </x:c>
      <x:c r="C1785" s="35" t="str">
        <x:v>Round1</x:v>
      </x:c>
      <x:c r="D1785" s="35" t="str">
        <x:v>Closure_108</x:v>
      </x:c>
      <x:c r="E1785" s="35" t="str">
        <x:v>Condition</x:v>
      </x:c>
      <x:c r="F1785" s="35"/>
      <x:c r="G1785" s="35" t="str">
        <x:v>A</x:v>
      </x:c>
      <x:c r="H1785" s="39" t="str">
        <x:f>IF(ISNUMBER('Data'!N77),'Data'!N77*100,"")</x:f>
      </x:c>
      <x:c r="I1785" s="35"/>
      <x:c r="J1785" s="35" t="str">
        <x:v>PASS</x:v>
      </x:c>
      <x:c r="K1785" s="35" t="str">
        <x:v>FAIL</x:v>
      </x:c>
      <x:c r="L1785" s="35" t="str">
        <x:v>NOT_RUN</x:v>
      </x:c>
      <x:c r="M1785" s="35" t="str">
        <x:v>coverage unavailable or execution/compile failed</x:v>
      </x:c>
      <x:c r="N1785" s="35" t="str">
        <x:v>Deepseek-flash-v4/Result/Closure_108/result.json</x:v>
      </x:c>
      <x:c r="O1785" s="39" t="str">
        <x:f>IF(AND(G1785="RECORDED",ISNUMBER(H1785)),H1785,"")</x:f>
      </x:c>
      <x:c r="P1785" s="35" t="str">
        <x:v>NOT_AVAILABLE</x:v>
      </x:c>
      <x:c r="Q1785" s="35" t="str">
        <x:v>Deepseek-flash-v4/Result/Closure_108/result.json</x:v>
      </x:c>
    </x:row>
    <x:row r="1786">
      <x:c r="A1786" s="35" t="str">
        <x:v>deepseek</x:v>
      </x:c>
      <x:c r="B1786" s="35" t="str">
        <x:v>Closure</x:v>
      </x:c>
      <x:c r="C1786" s="35" t="str">
        <x:v>Round1</x:v>
      </x:c>
      <x:c r="D1786" s="35" t="str">
        <x:v>Closure_109</x:v>
      </x:c>
      <x:c r="E1786" s="35" t="str">
        <x:v>Condition</x:v>
      </x:c>
      <x:c r="F1786" s="35"/>
      <x:c r="G1786" s="35" t="str">
        <x:v>A</x:v>
      </x:c>
      <x:c r="H1786" s="39" t="str">
        <x:f>IF(ISNUMBER('Data'!N78),'Data'!N78*100,"")</x:f>
      </x:c>
      <x:c r="I1786" s="35"/>
      <x:c r="J1786" s="35" t="str">
        <x:v>PASS</x:v>
      </x:c>
      <x:c r="K1786" s="35" t="str">
        <x:v>FAIL</x:v>
      </x:c>
      <x:c r="L1786" s="35" t="str">
        <x:v>NOT_RUN</x:v>
      </x:c>
      <x:c r="M1786" s="35" t="str">
        <x:v>coverage unavailable or execution/compile failed</x:v>
      </x:c>
      <x:c r="N1786" s="35" t="str">
        <x:v>Deepseek-flash-v4/Result/Closure_109/result.json</x:v>
      </x:c>
      <x:c r="O1786" s="39" t="str">
        <x:f>IF(AND(G1786="RECORDED",ISNUMBER(H1786)),H1786,"")</x:f>
      </x:c>
      <x:c r="P1786" s="35" t="str">
        <x:v>NOT_AVAILABLE</x:v>
      </x:c>
      <x:c r="Q1786" s="35" t="str">
        <x:v>Deepseek-flash-v4/Result/Closure_109/result.json</x:v>
      </x:c>
    </x:row>
    <x:row r="1787">
      <x:c r="A1787" s="35" t="str">
        <x:v>deepseek</x:v>
      </x:c>
      <x:c r="B1787" s="35" t="str">
        <x:v>Closure</x:v>
      </x:c>
      <x:c r="C1787" s="35" t="str">
        <x:v>Round1</x:v>
      </x:c>
      <x:c r="D1787" s="35" t="str">
        <x:v>Closure_11</x:v>
      </x:c>
      <x:c r="E1787" s="35" t="str">
        <x:v>Condition</x:v>
      </x:c>
      <x:c r="F1787" s="35"/>
      <x:c r="G1787" s="35" t="str">
        <x:v>A</x:v>
      </x:c>
      <x:c r="H1787" s="39" t="str">
        <x:f>IF(ISNUMBER('Data'!N79),'Data'!N79*100,"")</x:f>
      </x:c>
      <x:c r="I1787" s="35"/>
      <x:c r="J1787" s="35" t="str">
        <x:v>PASS</x:v>
      </x:c>
      <x:c r="K1787" s="35" t="str">
        <x:v>FAIL</x:v>
      </x:c>
      <x:c r="L1787" s="35" t="str">
        <x:v>NOT_RUN</x:v>
      </x:c>
      <x:c r="M1787" s="35" t="str">
        <x:v>coverage unavailable or execution/compile failed</x:v>
      </x:c>
      <x:c r="N1787" s="35" t="str">
        <x:v>Deepseek-flash-v4/Result/Closure_11/result.json</x:v>
      </x:c>
      <x:c r="O1787" s="39" t="str">
        <x:f>IF(AND(G1787="RECORDED",ISNUMBER(H1787)),H1787,"")</x:f>
      </x:c>
      <x:c r="P1787" s="35" t="str">
        <x:v>NOT_AVAILABLE</x:v>
      </x:c>
      <x:c r="Q1787" s="35" t="str">
        <x:v>Deepseek-flash-v4/Result/Closure_11/result.json</x:v>
      </x:c>
    </x:row>
    <x:row r="1788">
      <x:c r="A1788" s="35" t="str">
        <x:v>deepseek</x:v>
      </x:c>
      <x:c r="B1788" s="35" t="str">
        <x:v>Closure</x:v>
      </x:c>
      <x:c r="C1788" s="35" t="str">
        <x:v>Round1</x:v>
      </x:c>
      <x:c r="D1788" s="35" t="str">
        <x:v>Closure_110</x:v>
      </x:c>
      <x:c r="E1788" s="35" t="str">
        <x:v>Condition</x:v>
      </x:c>
      <x:c r="F1788" s="35"/>
      <x:c r="G1788" s="35" t="str">
        <x:v>A</x:v>
      </x:c>
      <x:c r="H1788" s="39" t="str">
        <x:f>IF(ISNUMBER('Data'!N80),'Data'!N80*100,"")</x:f>
      </x:c>
      <x:c r="I1788" s="35"/>
      <x:c r="J1788" s="35" t="str">
        <x:v>PASS</x:v>
      </x:c>
      <x:c r="K1788" s="35" t="str">
        <x:v>FAIL</x:v>
      </x:c>
      <x:c r="L1788" s="35" t="str">
        <x:v>NOT_RUN</x:v>
      </x:c>
      <x:c r="M1788" s="35" t="str">
        <x:v>coverage unavailable or execution/compile failed</x:v>
      </x:c>
      <x:c r="N1788" s="35" t="str">
        <x:v>Deepseek-flash-v4/Result/Closure_110/result.json</x:v>
      </x:c>
      <x:c r="O1788" s="39" t="str">
        <x:f>IF(AND(G1788="RECORDED",ISNUMBER(H1788)),H1788,"")</x:f>
      </x:c>
      <x:c r="P1788" s="35" t="str">
        <x:v>NOT_AVAILABLE</x:v>
      </x:c>
      <x:c r="Q1788" s="35" t="str">
        <x:v>Deepseek-flash-v4/Result/Closure_110/result.json</x:v>
      </x:c>
    </x:row>
    <x:row r="1789">
      <x:c r="A1789" s="35" t="str">
        <x:v>deepseek</x:v>
      </x:c>
      <x:c r="B1789" s="35" t="str">
        <x:v>Closure</x:v>
      </x:c>
      <x:c r="C1789" s="35" t="str">
        <x:v>Round1</x:v>
      </x:c>
      <x:c r="D1789" s="35" t="str">
        <x:v>Closure_111</x:v>
      </x:c>
      <x:c r="E1789" s="35" t="str">
        <x:v>Condition</x:v>
      </x:c>
      <x:c r="F1789" s="35"/>
      <x:c r="G1789" s="35" t="str">
        <x:v>A</x:v>
      </x:c>
      <x:c r="H1789" s="39" t="str">
        <x:f>IF(ISNUMBER('Data'!N81),'Data'!N81*100,"")</x:f>
      </x:c>
      <x:c r="I1789" s="35"/>
      <x:c r="J1789" s="35" t="str">
        <x:v>PASS</x:v>
      </x:c>
      <x:c r="K1789" s="35" t="str">
        <x:v>FAIL</x:v>
      </x:c>
      <x:c r="L1789" s="35" t="str">
        <x:v>NOT_RUN</x:v>
      </x:c>
      <x:c r="M1789" s="35" t="str">
        <x:v>coverage unavailable or execution/compile failed</x:v>
      </x:c>
      <x:c r="N1789" s="35" t="str">
        <x:v>Deepseek-flash-v4/Result/Closure_111/result.json</x:v>
      </x:c>
      <x:c r="O1789" s="39" t="str">
        <x:f>IF(AND(G1789="RECORDED",ISNUMBER(H1789)),H1789,"")</x:f>
      </x:c>
      <x:c r="P1789" s="35" t="str">
        <x:v>NOT_AVAILABLE</x:v>
      </x:c>
      <x:c r="Q1789" s="35" t="str">
        <x:v>Deepseek-flash-v4/Result/Closure_111/result.json</x:v>
      </x:c>
    </x:row>
    <x:row r="1790">
      <x:c r="A1790" s="35" t="str">
        <x:v>deepseek</x:v>
      </x:c>
      <x:c r="B1790" s="35" t="str">
        <x:v>Closure</x:v>
      </x:c>
      <x:c r="C1790" s="35" t="str">
        <x:v>Round1</x:v>
      </x:c>
      <x:c r="D1790" s="35" t="str">
        <x:v>Closure_112</x:v>
      </x:c>
      <x:c r="E1790" s="35" t="str">
        <x:v>Condition</x:v>
      </x:c>
      <x:c r="F1790" s="35"/>
      <x:c r="G1790" s="35" t="str">
        <x:v>A</x:v>
      </x:c>
      <x:c r="H1790" s="39" t="str">
        <x:f>IF(ISNUMBER('Data'!N82),'Data'!N82*100,"")</x:f>
      </x:c>
      <x:c r="I1790" s="35"/>
      <x:c r="J1790" s="35" t="str">
        <x:v>PASS</x:v>
      </x:c>
      <x:c r="K1790" s="35" t="str">
        <x:v>FAIL</x:v>
      </x:c>
      <x:c r="L1790" s="35" t="str">
        <x:v>NOT_RUN</x:v>
      </x:c>
      <x:c r="M1790" s="35" t="str">
        <x:v>coverage unavailable or execution/compile failed</x:v>
      </x:c>
      <x:c r="N1790" s="35" t="str">
        <x:v>Deepseek-flash-v4/Result/Closure_112/result.json</x:v>
      </x:c>
      <x:c r="O1790" s="39" t="str">
        <x:f>IF(AND(G1790="RECORDED",ISNUMBER(H1790)),H1790,"")</x:f>
      </x:c>
      <x:c r="P1790" s="35" t="str">
        <x:v>NOT_AVAILABLE</x:v>
      </x:c>
      <x:c r="Q1790" s="35" t="str">
        <x:v>Deepseek-flash-v4/Result/Closure_112/result.json</x:v>
      </x:c>
    </x:row>
    <x:row r="1791">
      <x:c r="A1791" s="35" t="str">
        <x:v>deepseek</x:v>
      </x:c>
      <x:c r="B1791" s="35" t="str">
        <x:v>Closure</x:v>
      </x:c>
      <x:c r="C1791" s="35" t="str">
        <x:v>Round1</x:v>
      </x:c>
      <x:c r="D1791" s="35" t="str">
        <x:v>Closure_113</x:v>
      </x:c>
      <x:c r="E1791" s="35" t="str">
        <x:v>Condition</x:v>
      </x:c>
      <x:c r="F1791" s="35"/>
      <x:c r="G1791" s="35" t="str">
        <x:v>A</x:v>
      </x:c>
      <x:c r="H1791" s="39" t="str">
        <x:f>IF(ISNUMBER('Data'!N83),'Data'!N83*100,"")</x:f>
      </x:c>
      <x:c r="I1791" s="35"/>
      <x:c r="J1791" s="35" t="str">
        <x:v>PASS</x:v>
      </x:c>
      <x:c r="K1791" s="35" t="str">
        <x:v>FAIL</x:v>
      </x:c>
      <x:c r="L1791" s="35" t="str">
        <x:v>NOT_RUN</x:v>
      </x:c>
      <x:c r="M1791" s="35" t="str">
        <x:v>coverage unavailable or execution/compile failed</x:v>
      </x:c>
      <x:c r="N1791" s="35" t="str">
        <x:v>Deepseek-flash-v4/Result/Closure_113/result.json</x:v>
      </x:c>
      <x:c r="O1791" s="39" t="str">
        <x:f>IF(AND(G1791="RECORDED",ISNUMBER(H1791)),H1791,"")</x:f>
      </x:c>
      <x:c r="P1791" s="35" t="str">
        <x:v>NOT_AVAILABLE</x:v>
      </x:c>
      <x:c r="Q1791" s="35" t="str">
        <x:v>Deepseek-flash-v4/Result/Closure_113/result.json</x:v>
      </x:c>
    </x:row>
    <x:row r="1792">
      <x:c r="A1792" s="35" t="str">
        <x:v>deepseek</x:v>
      </x:c>
      <x:c r="B1792" s="35" t="str">
        <x:v>Closure</x:v>
      </x:c>
      <x:c r="C1792" s="35" t="str">
        <x:v>Round1</x:v>
      </x:c>
      <x:c r="D1792" s="35" t="str">
        <x:v>Closure_114</x:v>
      </x:c>
      <x:c r="E1792" s="35" t="str">
        <x:v>Condition</x:v>
      </x:c>
      <x:c r="F1792" s="35"/>
      <x:c r="G1792" s="35" t="str">
        <x:v>A</x:v>
      </x:c>
      <x:c r="H1792" s="39" t="str">
        <x:f>IF(ISNUMBER('Data'!N84),'Data'!N84*100,"")</x:f>
      </x:c>
      <x:c r="I1792" s="35"/>
      <x:c r="J1792" s="35" t="str">
        <x:v>PASS</x:v>
      </x:c>
      <x:c r="K1792" s="35" t="str">
        <x:v>FAIL</x:v>
      </x:c>
      <x:c r="L1792" s="35" t="str">
        <x:v>NOT_RUN</x:v>
      </x:c>
      <x:c r="M1792" s="35" t="str">
        <x:v>coverage unavailable or execution/compile failed</x:v>
      </x:c>
      <x:c r="N1792" s="35" t="str">
        <x:v>Deepseek-flash-v4/Result/Closure_114/result.json</x:v>
      </x:c>
      <x:c r="O1792" s="39" t="str">
        <x:f>IF(AND(G1792="RECORDED",ISNUMBER(H1792)),H1792,"")</x:f>
      </x:c>
      <x:c r="P1792" s="35" t="str">
        <x:v>NOT_AVAILABLE</x:v>
      </x:c>
      <x:c r="Q1792" s="35" t="str">
        <x:v>Deepseek-flash-v4/Result/Closure_114/result.json</x:v>
      </x:c>
    </x:row>
    <x:row r="1793">
      <x:c r="A1793" s="35" t="str">
        <x:v>deepseek</x:v>
      </x:c>
      <x:c r="B1793" s="35" t="str">
        <x:v>Closure</x:v>
      </x:c>
      <x:c r="C1793" s="35" t="str">
        <x:v>Round1</x:v>
      </x:c>
      <x:c r="D1793" s="35" t="str">
        <x:v>Closure_115</x:v>
      </x:c>
      <x:c r="E1793" s="35" t="str">
        <x:v>Condition</x:v>
      </x:c>
      <x:c r="F1793" s="35"/>
      <x:c r="G1793" s="35" t="str">
        <x:v>A</x:v>
      </x:c>
      <x:c r="H1793" s="39" t="str">
        <x:f>IF(ISNUMBER('Data'!N85),'Data'!N85*100,"")</x:f>
      </x:c>
      <x:c r="I1793" s="35"/>
      <x:c r="J1793" s="35" t="str">
        <x:v>PASS</x:v>
      </x:c>
      <x:c r="K1793" s="35" t="str">
        <x:v>FAIL</x:v>
      </x:c>
      <x:c r="L1793" s="35" t="str">
        <x:v>NOT_RUN</x:v>
      </x:c>
      <x:c r="M1793" s="35" t="str">
        <x:v>coverage unavailable or execution/compile failed</x:v>
      </x:c>
      <x:c r="N1793" s="35" t="str">
        <x:v>Deepseek-flash-v4/Result/Closure_115/result.json</x:v>
      </x:c>
      <x:c r="O1793" s="39" t="str">
        <x:f>IF(AND(G1793="RECORDED",ISNUMBER(H1793)),H1793,"")</x:f>
      </x:c>
      <x:c r="P1793" s="35" t="str">
        <x:v>NOT_AVAILABLE</x:v>
      </x:c>
      <x:c r="Q1793" s="35" t="str">
        <x:v>Deepseek-flash-v4/Result/Closure_115/result.json</x:v>
      </x:c>
    </x:row>
    <x:row r="1794">
      <x:c r="A1794" s="35" t="str">
        <x:v>deepseek</x:v>
      </x:c>
      <x:c r="B1794" s="35" t="str">
        <x:v>Closure</x:v>
      </x:c>
      <x:c r="C1794" s="35" t="str">
        <x:v>Round1</x:v>
      </x:c>
      <x:c r="D1794" s="35" t="str">
        <x:v>Closure_116</x:v>
      </x:c>
      <x:c r="E1794" s="35" t="str">
        <x:v>Condition</x:v>
      </x:c>
      <x:c r="F1794" s="35"/>
      <x:c r="G1794" s="35" t="str">
        <x:v>A</x:v>
      </x:c>
      <x:c r="H1794" s="39" t="str">
        <x:f>IF(ISNUMBER('Data'!N86),'Data'!N86*100,"")</x:f>
      </x:c>
      <x:c r="I1794" s="35"/>
      <x:c r="J1794" s="35" t="str">
        <x:v>PASS</x:v>
      </x:c>
      <x:c r="K1794" s="35" t="str">
        <x:v>FAIL</x:v>
      </x:c>
      <x:c r="L1794" s="35" t="str">
        <x:v>NOT_RUN</x:v>
      </x:c>
      <x:c r="M1794" s="35" t="str">
        <x:v>coverage unavailable or execution/compile failed</x:v>
      </x:c>
      <x:c r="N1794" s="35" t="str">
        <x:v>Deepseek-flash-v4/Result/Closure_116/result.json</x:v>
      </x:c>
      <x:c r="O1794" s="39" t="str">
        <x:f>IF(AND(G1794="RECORDED",ISNUMBER(H1794)),H1794,"")</x:f>
      </x:c>
      <x:c r="P1794" s="35" t="str">
        <x:v>NOT_AVAILABLE</x:v>
      </x:c>
      <x:c r="Q1794" s="35" t="str">
        <x:v>Deepseek-flash-v4/Result/Closure_116/result.json</x:v>
      </x:c>
    </x:row>
    <x:row r="1795">
      <x:c r="A1795" s="35" t="str">
        <x:v>deepseek</x:v>
      </x:c>
      <x:c r="B1795" s="35" t="str">
        <x:v>Closure</x:v>
      </x:c>
      <x:c r="C1795" s="35" t="str">
        <x:v>Round1</x:v>
      </x:c>
      <x:c r="D1795" s="35" t="str">
        <x:v>Closure_117</x:v>
      </x:c>
      <x:c r="E1795" s="35" t="str">
        <x:v>Condition</x:v>
      </x:c>
      <x:c r="F1795" s="35"/>
      <x:c r="G1795" s="35" t="str">
        <x:v>A</x:v>
      </x:c>
      <x:c r="H1795" s="39" t="str">
        <x:f>IF(ISNUMBER('Data'!N87),'Data'!N87*100,"")</x:f>
      </x:c>
      <x:c r="I1795" s="35"/>
      <x:c r="J1795" s="35" t="str">
        <x:v>PASS</x:v>
      </x:c>
      <x:c r="K1795" s="35" t="str">
        <x:v>FAIL</x:v>
      </x:c>
      <x:c r="L1795" s="35" t="str">
        <x:v>NOT_RUN</x:v>
      </x:c>
      <x:c r="M1795" s="35" t="str">
        <x:v>coverage unavailable or execution/compile failed</x:v>
      </x:c>
      <x:c r="N1795" s="35" t="str">
        <x:v>Deepseek-flash-v4/Result/Closure_117/result.json</x:v>
      </x:c>
      <x:c r="O1795" s="39" t="str">
        <x:f>IF(AND(G1795="RECORDED",ISNUMBER(H1795)),H1795,"")</x:f>
      </x:c>
      <x:c r="P1795" s="35" t="str">
        <x:v>NOT_AVAILABLE</x:v>
      </x:c>
      <x:c r="Q1795" s="35" t="str">
        <x:v>Deepseek-flash-v4/Result/Closure_117/result.json</x:v>
      </x:c>
    </x:row>
    <x:row r="1796">
      <x:c r="A1796" s="35" t="str">
        <x:v>deepseek</x:v>
      </x:c>
      <x:c r="B1796" s="35" t="str">
        <x:v>Closure</x:v>
      </x:c>
      <x:c r="C1796" s="35" t="str">
        <x:v>Round1</x:v>
      </x:c>
      <x:c r="D1796" s="35" t="str">
        <x:v>Closure_118</x:v>
      </x:c>
      <x:c r="E1796" s="35" t="str">
        <x:v>Condition</x:v>
      </x:c>
      <x:c r="F1796" s="35"/>
      <x:c r="G1796" s="35" t="str">
        <x:v>A</x:v>
      </x:c>
      <x:c r="H1796" s="39" t="str">
        <x:f>IF(ISNUMBER('Data'!N88),'Data'!N88*100,"")</x:f>
      </x:c>
      <x:c r="I1796" s="35"/>
      <x:c r="J1796" s="35" t="str">
        <x:v>PASS</x:v>
      </x:c>
      <x:c r="K1796" s="35" t="str">
        <x:v>FAIL</x:v>
      </x:c>
      <x:c r="L1796" s="35" t="str">
        <x:v>NOT_RUN</x:v>
      </x:c>
      <x:c r="M1796" s="35" t="str">
        <x:v>coverage unavailable or execution/compile failed</x:v>
      </x:c>
      <x:c r="N1796" s="35" t="str">
        <x:v>Deepseek-flash-v4/Result/Closure_118/result.json</x:v>
      </x:c>
      <x:c r="O1796" s="39" t="str">
        <x:f>IF(AND(G1796="RECORDED",ISNUMBER(H1796)),H1796,"")</x:f>
      </x:c>
      <x:c r="P1796" s="35" t="str">
        <x:v>NOT_AVAILABLE</x:v>
      </x:c>
      <x:c r="Q1796" s="35" t="str">
        <x:v>Deepseek-flash-v4/Result/Closure_118/result.json</x:v>
      </x:c>
    </x:row>
    <x:row r="1797">
      <x:c r="A1797" s="35" t="str">
        <x:v>deepseek</x:v>
      </x:c>
      <x:c r="B1797" s="35" t="str">
        <x:v>Closure</x:v>
      </x:c>
      <x:c r="C1797" s="35" t="str">
        <x:v>Round1</x:v>
      </x:c>
      <x:c r="D1797" s="35" t="str">
        <x:v>Closure_119</x:v>
      </x:c>
      <x:c r="E1797" s="35" t="str">
        <x:v>Condition</x:v>
      </x:c>
      <x:c r="F1797" s="35"/>
      <x:c r="G1797" s="35" t="str">
        <x:v>A</x:v>
      </x:c>
      <x:c r="H1797" s="39" t="str">
        <x:f>IF(ISNUMBER('Data'!N89),'Data'!N89*100,"")</x:f>
      </x:c>
      <x:c r="I1797" s="35"/>
      <x:c r="J1797" s="35" t="str">
        <x:v>PASS</x:v>
      </x:c>
      <x:c r="K1797" s="35" t="str">
        <x:v>FAIL</x:v>
      </x:c>
      <x:c r="L1797" s="35" t="str">
        <x:v>NOT_RUN</x:v>
      </x:c>
      <x:c r="M1797" s="35" t="str">
        <x:v>coverage unavailable or execution/compile failed</x:v>
      </x:c>
      <x:c r="N1797" s="35" t="str">
        <x:v>Deepseek-flash-v4/Result/Closure_119/result.json</x:v>
      </x:c>
      <x:c r="O1797" s="39" t="str">
        <x:f>IF(AND(G1797="RECORDED",ISNUMBER(H1797)),H1797,"")</x:f>
      </x:c>
      <x:c r="P1797" s="35" t="str">
        <x:v>NOT_AVAILABLE</x:v>
      </x:c>
      <x:c r="Q1797" s="35" t="str">
        <x:v>Deepseek-flash-v4/Result/Closure_119/result.json</x:v>
      </x:c>
    </x:row>
    <x:row r="1798">
      <x:c r="A1798" s="35" t="str">
        <x:v>deepseek</x:v>
      </x:c>
      <x:c r="B1798" s="35" t="str">
        <x:v>Closure</x:v>
      </x:c>
      <x:c r="C1798" s="35" t="str">
        <x:v>Round1</x:v>
      </x:c>
      <x:c r="D1798" s="35" t="str">
        <x:v>Closure_12</x:v>
      </x:c>
      <x:c r="E1798" s="35" t="str">
        <x:v>Condition</x:v>
      </x:c>
      <x:c r="F1798" s="35"/>
      <x:c r="G1798" s="35" t="str">
        <x:v>A</x:v>
      </x:c>
      <x:c r="H1798" s="39" t="str">
        <x:f>IF(ISNUMBER('Data'!N90),'Data'!N90*100,"")</x:f>
      </x:c>
      <x:c r="I1798" s="35"/>
      <x:c r="J1798" s="35" t="str">
        <x:v>PASS</x:v>
      </x:c>
      <x:c r="K1798" s="35" t="str">
        <x:v>FAIL</x:v>
      </x:c>
      <x:c r="L1798" s="35" t="str">
        <x:v>NOT_RUN</x:v>
      </x:c>
      <x:c r="M1798" s="35" t="str">
        <x:v>coverage unavailable or execution/compile failed</x:v>
      </x:c>
      <x:c r="N1798" s="35" t="str">
        <x:v>Deepseek-flash-v4/Result/Closure_12/result.json</x:v>
      </x:c>
      <x:c r="O1798" s="39" t="str">
        <x:f>IF(AND(G1798="RECORDED",ISNUMBER(H1798)),H1798,"")</x:f>
      </x:c>
      <x:c r="P1798" s="35" t="str">
        <x:v>NOT_AVAILABLE</x:v>
      </x:c>
      <x:c r="Q1798" s="35" t="str">
        <x:v>Deepseek-flash-v4/Result/Closure_12/result.json</x:v>
      </x:c>
    </x:row>
    <x:row r="1799">
      <x:c r="A1799" s="35" t="str">
        <x:v>deepseek</x:v>
      </x:c>
      <x:c r="B1799" s="35" t="str">
        <x:v>Closure</x:v>
      </x:c>
      <x:c r="C1799" s="35" t="str">
        <x:v>Round1</x:v>
      </x:c>
      <x:c r="D1799" s="35" t="str">
        <x:v>Closure_120</x:v>
      </x:c>
      <x:c r="E1799" s="35" t="str">
        <x:v>Condition</x:v>
      </x:c>
      <x:c r="F1799" s="35"/>
      <x:c r="G1799" s="35" t="str">
        <x:v>A</x:v>
      </x:c>
      <x:c r="H1799" s="39" t="str">
        <x:f>IF(ISNUMBER('Data'!N91),'Data'!N91*100,"")</x:f>
      </x:c>
      <x:c r="I1799" s="35"/>
      <x:c r="J1799" s="35" t="str">
        <x:v>PASS</x:v>
      </x:c>
      <x:c r="K1799" s="35" t="str">
        <x:v>FAIL</x:v>
      </x:c>
      <x:c r="L1799" s="35" t="str">
        <x:v>NOT_RUN</x:v>
      </x:c>
      <x:c r="M1799" s="35" t="str">
        <x:v>coverage unavailable or execution/compile failed</x:v>
      </x:c>
      <x:c r="N1799" s="35" t="str">
        <x:v>Deepseek-flash-v4/Result/Closure_120/result.json</x:v>
      </x:c>
      <x:c r="O1799" s="39" t="str">
        <x:f>IF(AND(G1799="RECORDED",ISNUMBER(H1799)),H1799,"")</x:f>
      </x:c>
      <x:c r="P1799" s="35" t="str">
        <x:v>NOT_AVAILABLE</x:v>
      </x:c>
      <x:c r="Q1799" s="35" t="str">
        <x:v>Deepseek-flash-v4/Result/Closure_120/result.json</x:v>
      </x:c>
    </x:row>
    <x:row r="1800">
      <x:c r="A1800" s="35" t="str">
        <x:v>deepseek</x:v>
      </x:c>
      <x:c r="B1800" s="35" t="str">
        <x:v>Closure</x:v>
      </x:c>
      <x:c r="C1800" s="35" t="str">
        <x:v>Round1</x:v>
      </x:c>
      <x:c r="D1800" s="35" t="str">
        <x:v>Closure_121</x:v>
      </x:c>
      <x:c r="E1800" s="35" t="str">
        <x:v>Condition</x:v>
      </x:c>
      <x:c r="F1800" s="35"/>
      <x:c r="G1800" s="35" t="str">
        <x:v>A</x:v>
      </x:c>
      <x:c r="H1800" s="39" t="str">
        <x:f>IF(ISNUMBER('Data'!N92),'Data'!N92*100,"")</x:f>
      </x:c>
      <x:c r="I1800" s="35"/>
      <x:c r="J1800" s="35" t="str">
        <x:v>PASS</x:v>
      </x:c>
      <x:c r="K1800" s="35" t="str">
        <x:v>FAIL</x:v>
      </x:c>
      <x:c r="L1800" s="35" t="str">
        <x:v>NOT_RUN</x:v>
      </x:c>
      <x:c r="M1800" s="35" t="str">
        <x:v>coverage unavailable or execution/compile failed</x:v>
      </x:c>
      <x:c r="N1800" s="35" t="str">
        <x:v>Deepseek-flash-v4/Result/Closure_121/result.json</x:v>
      </x:c>
      <x:c r="O1800" s="39" t="str">
        <x:f>IF(AND(G1800="RECORDED",ISNUMBER(H1800)),H1800,"")</x:f>
      </x:c>
      <x:c r="P1800" s="35" t="str">
        <x:v>NOT_AVAILABLE</x:v>
      </x:c>
      <x:c r="Q1800" s="35" t="str">
        <x:v>Deepseek-flash-v4/Result/Closure_121/result.json</x:v>
      </x:c>
    </x:row>
    <x:row r="1801">
      <x:c r="A1801" s="35" t="str">
        <x:v>deepseek</x:v>
      </x:c>
      <x:c r="B1801" s="35" t="str">
        <x:v>Closure</x:v>
      </x:c>
      <x:c r="C1801" s="35" t="str">
        <x:v>Round1</x:v>
      </x:c>
      <x:c r="D1801" s="35" t="str">
        <x:v>Closure_122</x:v>
      </x:c>
      <x:c r="E1801" s="35" t="str">
        <x:v>Condition</x:v>
      </x:c>
      <x:c r="F1801" s="35"/>
      <x:c r="G1801" s="35" t="str">
        <x:v>A</x:v>
      </x:c>
      <x:c r="H1801" s="39" t="str">
        <x:f>IF(ISNUMBER('Data'!N93),'Data'!N93*100,"")</x:f>
      </x:c>
      <x:c r="I1801" s="35"/>
      <x:c r="J1801" s="35" t="str">
        <x:v>PASS</x:v>
      </x:c>
      <x:c r="K1801" s="35" t="str">
        <x:v>FAIL</x:v>
      </x:c>
      <x:c r="L1801" s="35" t="str">
        <x:v>NOT_RUN</x:v>
      </x:c>
      <x:c r="M1801" s="35" t="str">
        <x:v>coverage unavailable or execution/compile failed</x:v>
      </x:c>
      <x:c r="N1801" s="35" t="str">
        <x:v>Deepseek-flash-v4/Result/Closure_122/result.json</x:v>
      </x:c>
      <x:c r="O1801" s="39" t="str">
        <x:f>IF(AND(G1801="RECORDED",ISNUMBER(H1801)),H1801,"")</x:f>
      </x:c>
      <x:c r="P1801" s="35" t="str">
        <x:v>NOT_AVAILABLE</x:v>
      </x:c>
      <x:c r="Q1801" s="35" t="str">
        <x:v>Deepseek-flash-v4/Result/Closure_122/result.json</x:v>
      </x:c>
    </x:row>
    <x:row r="1802">
      <x:c r="A1802" s="35" t="str">
        <x:v>deepseek</x:v>
      </x:c>
      <x:c r="B1802" s="35" t="str">
        <x:v>Closure</x:v>
      </x:c>
      <x:c r="C1802" s="35" t="str">
        <x:v>Round1</x:v>
      </x:c>
      <x:c r="D1802" s="35" t="str">
        <x:v>Closure_123</x:v>
      </x:c>
      <x:c r="E1802" s="35" t="str">
        <x:v>Condition</x:v>
      </x:c>
      <x:c r="F1802" s="35"/>
      <x:c r="G1802" s="35" t="str">
        <x:v>A</x:v>
      </x:c>
      <x:c r="H1802" s="39" t="str">
        <x:f>IF(ISNUMBER('Data'!N94),'Data'!N94*100,"")</x:f>
      </x:c>
      <x:c r="I1802" s="35"/>
      <x:c r="J1802" s="35" t="str">
        <x:v>PASS</x:v>
      </x:c>
      <x:c r="K1802" s="35" t="str">
        <x:v>FAIL</x:v>
      </x:c>
      <x:c r="L1802" s="35" t="str">
        <x:v>NOT_RUN</x:v>
      </x:c>
      <x:c r="M1802" s="35" t="str">
        <x:v>coverage unavailable or execution/compile failed</x:v>
      </x:c>
      <x:c r="N1802" s="35" t="str">
        <x:v>Deepseek-flash-v4/Result/Closure_123/result.json</x:v>
      </x:c>
      <x:c r="O1802" s="39" t="str">
        <x:f>IF(AND(G1802="RECORDED",ISNUMBER(H1802)),H1802,"")</x:f>
      </x:c>
      <x:c r="P1802" s="35" t="str">
        <x:v>NOT_AVAILABLE</x:v>
      </x:c>
      <x:c r="Q1802" s="35" t="str">
        <x:v>Deepseek-flash-v4/Result/Closure_123/result.json</x:v>
      </x:c>
    </x:row>
    <x:row r="1803">
      <x:c r="A1803" s="35" t="str">
        <x:v>deepseek</x:v>
      </x:c>
      <x:c r="B1803" s="35" t="str">
        <x:v>Closure</x:v>
      </x:c>
      <x:c r="C1803" s="35" t="str">
        <x:v>Round1</x:v>
      </x:c>
      <x:c r="D1803" s="35" t="str">
        <x:v>Closure_124</x:v>
      </x:c>
      <x:c r="E1803" s="35" t="str">
        <x:v>Condition</x:v>
      </x:c>
      <x:c r="F1803" s="35"/>
      <x:c r="G1803" s="35" t="str">
        <x:v>A</x:v>
      </x:c>
      <x:c r="H1803" s="39" t="str">
        <x:f>IF(ISNUMBER('Data'!N95),'Data'!N95*100,"")</x:f>
      </x:c>
      <x:c r="I1803" s="35"/>
      <x:c r="J1803" s="35" t="str">
        <x:v>PASS</x:v>
      </x:c>
      <x:c r="K1803" s="35" t="str">
        <x:v>FAIL</x:v>
      </x:c>
      <x:c r="L1803" s="35" t="str">
        <x:v>NOT_RUN</x:v>
      </x:c>
      <x:c r="M1803" s="35" t="str">
        <x:v>coverage unavailable or execution/compile failed</x:v>
      </x:c>
      <x:c r="N1803" s="35" t="str">
        <x:v>Deepseek-flash-v4/Result/Closure_124/result.json</x:v>
      </x:c>
      <x:c r="O1803" s="39" t="str">
        <x:f>IF(AND(G1803="RECORDED",ISNUMBER(H1803)),H1803,"")</x:f>
      </x:c>
      <x:c r="P1803" s="35" t="str">
        <x:v>NOT_AVAILABLE</x:v>
      </x:c>
      <x:c r="Q1803" s="35" t="str">
        <x:v>Deepseek-flash-v4/Result/Closure_124/result.json</x:v>
      </x:c>
    </x:row>
    <x:row r="1804">
      <x:c r="A1804" s="35" t="str">
        <x:v>deepseek</x:v>
      </x:c>
      <x:c r="B1804" s="35" t="str">
        <x:v>Closure</x:v>
      </x:c>
      <x:c r="C1804" s="35" t="str">
        <x:v>Round1</x:v>
      </x:c>
      <x:c r="D1804" s="35" t="str">
        <x:v>Closure_125</x:v>
      </x:c>
      <x:c r="E1804" s="35" t="str">
        <x:v>Condition</x:v>
      </x:c>
      <x:c r="F1804" s="35"/>
      <x:c r="G1804" s="35" t="str">
        <x:v>A</x:v>
      </x:c>
      <x:c r="H1804" s="39" t="str">
        <x:f>IF(ISNUMBER('Data'!N96),'Data'!N96*100,"")</x:f>
      </x:c>
      <x:c r="I1804" s="35"/>
      <x:c r="J1804" s="35" t="str">
        <x:v>PASS</x:v>
      </x:c>
      <x:c r="K1804" s="35" t="str">
        <x:v>FAIL</x:v>
      </x:c>
      <x:c r="L1804" s="35" t="str">
        <x:v>NOT_RUN</x:v>
      </x:c>
      <x:c r="M1804" s="35" t="str">
        <x:v>coverage unavailable or execution/compile failed</x:v>
      </x:c>
      <x:c r="N1804" s="35" t="str">
        <x:v>Deepseek-flash-v4/Result/Closure_125/result.json</x:v>
      </x:c>
      <x:c r="O1804" s="39" t="str">
        <x:f>IF(AND(G1804="RECORDED",ISNUMBER(H1804)),H1804,"")</x:f>
      </x:c>
      <x:c r="P1804" s="35" t="str">
        <x:v>NOT_AVAILABLE</x:v>
      </x:c>
      <x:c r="Q1804" s="35" t="str">
        <x:v>Deepseek-flash-v4/Result/Closure_125/result.json</x:v>
      </x:c>
    </x:row>
    <x:row r="1805">
      <x:c r="A1805" s="35" t="str">
        <x:v>deepseek</x:v>
      </x:c>
      <x:c r="B1805" s="35" t="str">
        <x:v>Closure</x:v>
      </x:c>
      <x:c r="C1805" s="35" t="str">
        <x:v>Round1</x:v>
      </x:c>
      <x:c r="D1805" s="35" t="str">
        <x:v>Closure_126</x:v>
      </x:c>
      <x:c r="E1805" s="35" t="str">
        <x:v>Condition</x:v>
      </x:c>
      <x:c r="F1805" s="35"/>
      <x:c r="G1805" s="35" t="str">
        <x:v>A</x:v>
      </x:c>
      <x:c r="H1805" s="39" t="str">
        <x:f>IF(ISNUMBER('Data'!N97),'Data'!N97*100,"")</x:f>
      </x:c>
      <x:c r="I1805" s="35"/>
      <x:c r="J1805" s="35" t="str">
        <x:v>PASS</x:v>
      </x:c>
      <x:c r="K1805" s="35" t="str">
        <x:v>FAIL</x:v>
      </x:c>
      <x:c r="L1805" s="35" t="str">
        <x:v>NOT_RUN</x:v>
      </x:c>
      <x:c r="M1805" s="35" t="str">
        <x:v>coverage unavailable or execution/compile failed</x:v>
      </x:c>
      <x:c r="N1805" s="35" t="str">
        <x:v>Deepseek-flash-v4/Result/Closure_126/result.json</x:v>
      </x:c>
      <x:c r="O1805" s="39" t="str">
        <x:f>IF(AND(G1805="RECORDED",ISNUMBER(H1805)),H1805,"")</x:f>
      </x:c>
      <x:c r="P1805" s="35" t="str">
        <x:v>NOT_AVAILABLE</x:v>
      </x:c>
      <x:c r="Q1805" s="35" t="str">
        <x:v>Deepseek-flash-v4/Result/Closure_126/result.json</x:v>
      </x:c>
    </x:row>
    <x:row r="1806">
      <x:c r="A1806" s="35" t="str">
        <x:v>deepseek</x:v>
      </x:c>
      <x:c r="B1806" s="35" t="str">
        <x:v>Closure</x:v>
      </x:c>
      <x:c r="C1806" s="35" t="str">
        <x:v>Round1</x:v>
      </x:c>
      <x:c r="D1806" s="35" t="str">
        <x:v>Closure_127</x:v>
      </x:c>
      <x:c r="E1806" s="35" t="str">
        <x:v>Condition</x:v>
      </x:c>
      <x:c r="F1806" s="35"/>
      <x:c r="G1806" s="35" t="str">
        <x:v>A</x:v>
      </x:c>
      <x:c r="H1806" s="39" t="str">
        <x:f>IF(ISNUMBER('Data'!N98),'Data'!N98*100,"")</x:f>
      </x:c>
      <x:c r="I1806" s="35"/>
      <x:c r="J1806" s="35" t="str">
        <x:v>NOT_RUN</x:v>
      </x:c>
      <x:c r="K1806" s="35"/>
      <x:c r="L1806" s="35" t="str">
        <x:v>NOT_RUN</x:v>
      </x:c>
      <x:c r="M1806" s="35" t="str">
        <x:v>coverage unavailable or execution/compile failed</x:v>
      </x:c>
      <x:c r="N1806" s="35" t="str">
        <x:v>Deepseek-flash-v4/Result/Closure_127/result.json</x:v>
      </x:c>
      <x:c r="O1806" s="39" t="str">
        <x:f>IF(AND(G1806="RECORDED",ISNUMBER(H1806)),H1806,"")</x:f>
      </x:c>
      <x:c r="P1806" s="35" t="str">
        <x:v>NOT_AVAILABLE</x:v>
      </x:c>
      <x:c r="Q1806" s="35" t="str">
        <x:v>Deepseek-flash-v4/Result/Closure_127/result.json</x:v>
      </x:c>
    </x:row>
    <x:row r="1807">
      <x:c r="A1807" s="35" t="str">
        <x:v>deepseek</x:v>
      </x:c>
      <x:c r="B1807" s="35" t="str">
        <x:v>Closure</x:v>
      </x:c>
      <x:c r="C1807" s="35" t="str">
        <x:v>Round1</x:v>
      </x:c>
      <x:c r="D1807" s="35" t="str">
        <x:v>Closure_128</x:v>
      </x:c>
      <x:c r="E1807" s="35" t="str">
        <x:v>Condition</x:v>
      </x:c>
      <x:c r="F1807" s="35"/>
      <x:c r="G1807" s="35" t="str">
        <x:v>A</x:v>
      </x:c>
      <x:c r="H1807" s="39" t="str">
        <x:f>IF(ISNUMBER('Data'!N99),'Data'!N99*100,"")</x:f>
      </x:c>
      <x:c r="I1807" s="35"/>
      <x:c r="J1807" s="35" t="str">
        <x:v>PASS</x:v>
      </x:c>
      <x:c r="K1807" s="35" t="str">
        <x:v>FAIL</x:v>
      </x:c>
      <x:c r="L1807" s="35" t="str">
        <x:v>NOT_RUN</x:v>
      </x:c>
      <x:c r="M1807" s="35" t="str">
        <x:v>coverage unavailable or execution/compile failed</x:v>
      </x:c>
      <x:c r="N1807" s="35" t="str">
        <x:v>Deepseek-flash-v4/Result/Closure_128/result.json</x:v>
      </x:c>
      <x:c r="O1807" s="39" t="str">
        <x:f>IF(AND(G1807="RECORDED",ISNUMBER(H1807)),H1807,"")</x:f>
      </x:c>
      <x:c r="P1807" s="35" t="str">
        <x:v>NOT_AVAILABLE</x:v>
      </x:c>
      <x:c r="Q1807" s="35" t="str">
        <x:v>Deepseek-flash-v4/Result/Closure_128/result.json</x:v>
      </x:c>
    </x:row>
    <x:row r="1808">
      <x:c r="A1808" s="35" t="str">
        <x:v>deepseek</x:v>
      </x:c>
      <x:c r="B1808" s="35" t="str">
        <x:v>Closure</x:v>
      </x:c>
      <x:c r="C1808" s="35" t="str">
        <x:v>Round1</x:v>
      </x:c>
      <x:c r="D1808" s="35" t="str">
        <x:v>Closure_129</x:v>
      </x:c>
      <x:c r="E1808" s="35" t="str">
        <x:v>Condition</x:v>
      </x:c>
      <x:c r="F1808" s="35"/>
      <x:c r="G1808" s="35" t="str">
        <x:v>A</x:v>
      </x:c>
      <x:c r="H1808" s="39" t="str">
        <x:f>IF(ISNUMBER('Data'!N100),'Data'!N100*100,"")</x:f>
      </x:c>
      <x:c r="I1808" s="35"/>
      <x:c r="J1808" s="35" t="str">
        <x:v>PASS</x:v>
      </x:c>
      <x:c r="K1808" s="35" t="str">
        <x:v>FAIL</x:v>
      </x:c>
      <x:c r="L1808" s="35" t="str">
        <x:v>NOT_RUN</x:v>
      </x:c>
      <x:c r="M1808" s="35" t="str">
        <x:v>coverage unavailable or execution/compile failed</x:v>
      </x:c>
      <x:c r="N1808" s="35" t="str">
        <x:v>Deepseek-flash-v4/Result/Closure_129/result.json</x:v>
      </x:c>
      <x:c r="O1808" s="39" t="str">
        <x:f>IF(AND(G1808="RECORDED",ISNUMBER(H1808)),H1808,"")</x:f>
      </x:c>
      <x:c r="P1808" s="35" t="str">
        <x:v>NOT_AVAILABLE</x:v>
      </x:c>
      <x:c r="Q1808" s="35" t="str">
        <x:v>Deepseek-flash-v4/Result/Closure_129/result.json</x:v>
      </x:c>
    </x:row>
    <x:row r="1809">
      <x:c r="A1809" s="35" t="str">
        <x:v>deepseek</x:v>
      </x:c>
      <x:c r="B1809" s="35" t="str">
        <x:v>Closure</x:v>
      </x:c>
      <x:c r="C1809" s="35" t="str">
        <x:v>Round1</x:v>
      </x:c>
      <x:c r="D1809" s="35" t="str">
        <x:v>Closure_13</x:v>
      </x:c>
      <x:c r="E1809" s="35" t="str">
        <x:v>Condition</x:v>
      </x:c>
      <x:c r="F1809" s="35"/>
      <x:c r="G1809" s="35" t="str">
        <x:v>A</x:v>
      </x:c>
      <x:c r="H1809" s="39" t="str">
        <x:f>IF(ISNUMBER('Data'!N101),'Data'!N101*100,"")</x:f>
      </x:c>
      <x:c r="I1809" s="35"/>
      <x:c r="J1809" s="35" t="str">
        <x:v>PASS</x:v>
      </x:c>
      <x:c r="K1809" s="35" t="str">
        <x:v>FAIL</x:v>
      </x:c>
      <x:c r="L1809" s="35" t="str">
        <x:v>NOT_RUN</x:v>
      </x:c>
      <x:c r="M1809" s="35" t="str">
        <x:v>coverage unavailable or execution/compile failed</x:v>
      </x:c>
      <x:c r="N1809" s="35" t="str">
        <x:v>Deepseek-flash-v4/Result/Closure_13/result.json</x:v>
      </x:c>
      <x:c r="O1809" s="39" t="str">
        <x:f>IF(AND(G1809="RECORDED",ISNUMBER(H1809)),H1809,"")</x:f>
      </x:c>
      <x:c r="P1809" s="35" t="str">
        <x:v>NOT_AVAILABLE</x:v>
      </x:c>
      <x:c r="Q1809" s="35" t="str">
        <x:v>Deepseek-flash-v4/Result/Closure_13/result.json</x:v>
      </x:c>
    </x:row>
    <x:row r="1810">
      <x:c r="A1810" s="35" t="str">
        <x:v>deepseek</x:v>
      </x:c>
      <x:c r="B1810" s="35" t="str">
        <x:v>Closure</x:v>
      </x:c>
      <x:c r="C1810" s="35" t="str">
        <x:v>Round1</x:v>
      </x:c>
      <x:c r="D1810" s="35" t="str">
        <x:v>Closure_130</x:v>
      </x:c>
      <x:c r="E1810" s="35" t="str">
        <x:v>Condition</x:v>
      </x:c>
      <x:c r="F1810" s="35"/>
      <x:c r="G1810" s="35" t="str">
        <x:v>A</x:v>
      </x:c>
      <x:c r="H1810" s="39" t="str">
        <x:f>IF(ISNUMBER('Data'!N102),'Data'!N102*100,"")</x:f>
      </x:c>
      <x:c r="I1810" s="35"/>
      <x:c r="J1810" s="35" t="str">
        <x:v>PASS</x:v>
      </x:c>
      <x:c r="K1810" s="35" t="str">
        <x:v>FAIL</x:v>
      </x:c>
      <x:c r="L1810" s="35" t="str">
        <x:v>NOT_RUN</x:v>
      </x:c>
      <x:c r="M1810" s="35" t="str">
        <x:v>coverage unavailable or execution/compile failed</x:v>
      </x:c>
      <x:c r="N1810" s="35" t="str">
        <x:v>Deepseek-flash-v4/Result/Closure_130/result.json</x:v>
      </x:c>
      <x:c r="O1810" s="39" t="str">
        <x:f>IF(AND(G1810="RECORDED",ISNUMBER(H1810)),H1810,"")</x:f>
      </x:c>
      <x:c r="P1810" s="35" t="str">
        <x:v>NOT_AVAILABLE</x:v>
      </x:c>
      <x:c r="Q1810" s="35" t="str">
        <x:v>Deepseek-flash-v4/Result/Closure_130/result.json</x:v>
      </x:c>
    </x:row>
    <x:row r="1811">
      <x:c r="A1811" s="35" t="str">
        <x:v>deepseek</x:v>
      </x:c>
      <x:c r="B1811" s="35" t="str">
        <x:v>Closure</x:v>
      </x:c>
      <x:c r="C1811" s="35" t="str">
        <x:v>Round1</x:v>
      </x:c>
      <x:c r="D1811" s="35" t="str">
        <x:v>Closure_131</x:v>
      </x:c>
      <x:c r="E1811" s="35" t="str">
        <x:v>Condition</x:v>
      </x:c>
      <x:c r="F1811" s="35" t="n">
        <x:v>165</x:v>
      </x:c>
      <x:c r="G1811" s="35" t="str">
        <x:v>RECORDED</x:v>
      </x:c>
      <x:c r="H1811" s="39" t="n">
        <x:f>IF(ISNUMBER('Data'!N103),'Data'!N103*100,"")</x:f>
        <x:v>83.64</x:v>
      </x:c>
      <x:c r="I1811" s="35" t="str">
        <x:v>PASS</x:v>
      </x:c>
      <x:c r="J1811" s="35" t="str">
        <x:v>PASS</x:v>
      </x:c>
      <x:c r="K1811" s="35" t="str">
        <x:v>PASS</x:v>
      </x:c>
      <x:c r="L1811" s="35" t="str">
        <x:v>FAIL</x:v>
      </x:c>
      <x:c r="M1811" s="35" t="str">
        <x:v>numeric coverage for applicable metric</x:v>
      </x:c>
      <x:c r="N1811" s="35" t="str">
        <x:v>Deepseek-flash-v4/Result/Closure_131/result.json</x:v>
      </x:c>
      <x:c r="O1811" s="39" t="n">
        <x:f>IF(AND(G1811="RECORDED",ISNUMBER(H1811)),H1811,"")</x:f>
        <x:v>83.64</x:v>
      </x:c>
      <x:c r="P1811" s="35" t="str">
        <x:v>REVEALING</x:v>
      </x:c>
      <x:c r="Q1811" s="35" t="str">
        <x:v>Deepseek-flash-v4/Result/Closure_131/result.json</x:v>
      </x:c>
    </x:row>
    <x:row r="1812">
      <x:c r="A1812" s="35" t="str">
        <x:v>deepseek</x:v>
      </x:c>
      <x:c r="B1812" s="35" t="str">
        <x:v>Closure</x:v>
      </x:c>
      <x:c r="C1812" s="35" t="str">
        <x:v>Round1</x:v>
      </x:c>
      <x:c r="D1812" s="35" t="str">
        <x:v>Closure_132</x:v>
      </x:c>
      <x:c r="E1812" s="35" t="str">
        <x:v>Condition</x:v>
      </x:c>
      <x:c r="F1812" s="35"/>
      <x:c r="G1812" s="35" t="str">
        <x:v>A</x:v>
      </x:c>
      <x:c r="H1812" s="39" t="str">
        <x:f>IF(ISNUMBER('Data'!N104),'Data'!N104*100,"")</x:f>
      </x:c>
      <x:c r="I1812" s="35"/>
      <x:c r="J1812" s="35" t="str">
        <x:v>PASS</x:v>
      </x:c>
      <x:c r="K1812" s="35" t="str">
        <x:v>FAIL</x:v>
      </x:c>
      <x:c r="L1812" s="35" t="str">
        <x:v>NOT_RUN</x:v>
      </x:c>
      <x:c r="M1812" s="35" t="str">
        <x:v>coverage unavailable or execution/compile failed</x:v>
      </x:c>
      <x:c r="N1812" s="35" t="str">
        <x:v>Deepseek-flash-v4/Result/Closure_132/result.json</x:v>
      </x:c>
      <x:c r="O1812" s="39" t="str">
        <x:f>IF(AND(G1812="RECORDED",ISNUMBER(H1812)),H1812,"")</x:f>
      </x:c>
      <x:c r="P1812" s="35" t="str">
        <x:v>NOT_AVAILABLE</x:v>
      </x:c>
      <x:c r="Q1812" s="35" t="str">
        <x:v>Deepseek-flash-v4/Result/Closure_132/result.json</x:v>
      </x:c>
    </x:row>
    <x:row r="1813">
      <x:c r="A1813" s="35" t="str">
        <x:v>deepseek</x:v>
      </x:c>
      <x:c r="B1813" s="35" t="str">
        <x:v>Closure</x:v>
      </x:c>
      <x:c r="C1813" s="35" t="str">
        <x:v>Round1</x:v>
      </x:c>
      <x:c r="D1813" s="35" t="str">
        <x:v>Closure_133</x:v>
      </x:c>
      <x:c r="E1813" s="35" t="str">
        <x:v>Condition</x:v>
      </x:c>
      <x:c r="F1813" s="35"/>
      <x:c r="G1813" s="35" t="str">
        <x:v>A</x:v>
      </x:c>
      <x:c r="H1813" s="39" t="str">
        <x:f>IF(ISNUMBER('Data'!N105),'Data'!N105*100,"")</x:f>
      </x:c>
      <x:c r="I1813" s="35"/>
      <x:c r="J1813" s="35" t="str">
        <x:v>PASS</x:v>
      </x:c>
      <x:c r="K1813" s="35" t="str">
        <x:v>FAIL</x:v>
      </x:c>
      <x:c r="L1813" s="35" t="str">
        <x:v>NOT_RUN</x:v>
      </x:c>
      <x:c r="M1813" s="35" t="str">
        <x:v>coverage unavailable or execution/compile failed</x:v>
      </x:c>
      <x:c r="N1813" s="35" t="str">
        <x:v>Deepseek-flash-v4/Result/Closure_133/result.json</x:v>
      </x:c>
      <x:c r="O1813" s="39" t="str">
        <x:f>IF(AND(G1813="RECORDED",ISNUMBER(H1813)),H1813,"")</x:f>
      </x:c>
      <x:c r="P1813" s="35" t="str">
        <x:v>NOT_AVAILABLE</x:v>
      </x:c>
      <x:c r="Q1813" s="35" t="str">
        <x:v>Deepseek-flash-v4/Result/Closure_133/result.json</x:v>
      </x:c>
    </x:row>
    <x:row r="1814">
      <x:c r="A1814" s="35" t="str">
        <x:v>deepseek</x:v>
      </x:c>
      <x:c r="B1814" s="35" t="str">
        <x:v>Closure</x:v>
      </x:c>
      <x:c r="C1814" s="35" t="str">
        <x:v>Round1</x:v>
      </x:c>
      <x:c r="D1814" s="35" t="str">
        <x:v>Closure_134</x:v>
      </x:c>
      <x:c r="E1814" s="35" t="str">
        <x:v>Condition</x:v>
      </x:c>
      <x:c r="F1814" s="35"/>
      <x:c r="G1814" s="35" t="str">
        <x:v>A</x:v>
      </x:c>
      <x:c r="H1814" s="39" t="str">
        <x:f>IF(ISNUMBER('Data'!N106),'Data'!N106*100,"")</x:f>
      </x:c>
      <x:c r="I1814" s="35"/>
      <x:c r="J1814" s="35" t="str">
        <x:v>PASS</x:v>
      </x:c>
      <x:c r="K1814" s="35" t="str">
        <x:v>FAIL</x:v>
      </x:c>
      <x:c r="L1814" s="35" t="str">
        <x:v>NOT_RUN</x:v>
      </x:c>
      <x:c r="M1814" s="35" t="str">
        <x:v>coverage unavailable or execution/compile failed</x:v>
      </x:c>
      <x:c r="N1814" s="35" t="str">
        <x:v>Deepseek-flash-v4/Result/Closure_134/result.json</x:v>
      </x:c>
      <x:c r="O1814" s="39" t="str">
        <x:f>IF(AND(G1814="RECORDED",ISNUMBER(H1814)),H1814,"")</x:f>
      </x:c>
      <x:c r="P1814" s="35" t="str">
        <x:v>NOT_AVAILABLE</x:v>
      </x:c>
      <x:c r="Q1814" s="35" t="str">
        <x:v>Deepseek-flash-v4/Result/Closure_134/result.json</x:v>
      </x:c>
    </x:row>
    <x:row r="1815">
      <x:c r="A1815" s="35" t="str">
        <x:v>deepseek</x:v>
      </x:c>
      <x:c r="B1815" s="35" t="str">
        <x:v>Closure</x:v>
      </x:c>
      <x:c r="C1815" s="35" t="str">
        <x:v>Round1</x:v>
      </x:c>
      <x:c r="D1815" s="35" t="str">
        <x:v>Closure_135</x:v>
      </x:c>
      <x:c r="E1815" s="35" t="str">
        <x:v>Condition</x:v>
      </x:c>
      <x:c r="F1815" s="35"/>
      <x:c r="G1815" s="35" t="str">
        <x:v>A</x:v>
      </x:c>
      <x:c r="H1815" s="39" t="str">
        <x:f>IF(ISNUMBER('Data'!N107),'Data'!N107*100,"")</x:f>
      </x:c>
      <x:c r="I1815" s="35"/>
      <x:c r="J1815" s="35" t="str">
        <x:v>PASS</x:v>
      </x:c>
      <x:c r="K1815" s="35" t="str">
        <x:v>FAIL</x:v>
      </x:c>
      <x:c r="L1815" s="35" t="str">
        <x:v>NOT_RUN</x:v>
      </x:c>
      <x:c r="M1815" s="35" t="str">
        <x:v>coverage unavailable or execution/compile failed</x:v>
      </x:c>
      <x:c r="N1815" s="35" t="str">
        <x:v>Deepseek-flash-v4/Result/Closure_135/result.json</x:v>
      </x:c>
      <x:c r="O1815" s="39" t="str">
        <x:f>IF(AND(G1815="RECORDED",ISNUMBER(H1815)),H1815,"")</x:f>
      </x:c>
      <x:c r="P1815" s="35" t="str">
        <x:v>NOT_AVAILABLE</x:v>
      </x:c>
      <x:c r="Q1815" s="35" t="str">
        <x:v>Deepseek-flash-v4/Result/Closure_135/result.json</x:v>
      </x:c>
    </x:row>
    <x:row r="1816">
      <x:c r="A1816" s="35" t="str">
        <x:v>deepseek</x:v>
      </x:c>
      <x:c r="B1816" s="35" t="str">
        <x:v>Closure</x:v>
      </x:c>
      <x:c r="C1816" s="35" t="str">
        <x:v>Round1</x:v>
      </x:c>
      <x:c r="D1816" s="35" t="str">
        <x:v>Closure_136</x:v>
      </x:c>
      <x:c r="E1816" s="35" t="str">
        <x:v>Condition</x:v>
      </x:c>
      <x:c r="F1816" s="35"/>
      <x:c r="G1816" s="35" t="str">
        <x:v>A</x:v>
      </x:c>
      <x:c r="H1816" s="39" t="str">
        <x:f>IF(ISNUMBER('Data'!N108),'Data'!N108*100,"")</x:f>
      </x:c>
      <x:c r="I1816" s="35"/>
      <x:c r="J1816" s="35" t="str">
        <x:v>PASS</x:v>
      </x:c>
      <x:c r="K1816" s="35" t="str">
        <x:v>FAIL</x:v>
      </x:c>
      <x:c r="L1816" s="35" t="str">
        <x:v>NOT_RUN</x:v>
      </x:c>
      <x:c r="M1816" s="35" t="str">
        <x:v>coverage unavailable or execution/compile failed</x:v>
      </x:c>
      <x:c r="N1816" s="35" t="str">
        <x:v>Deepseek-flash-v4/Result/Closure_136/result.json</x:v>
      </x:c>
      <x:c r="O1816" s="39" t="str">
        <x:f>IF(AND(G1816="RECORDED",ISNUMBER(H1816)),H1816,"")</x:f>
      </x:c>
      <x:c r="P1816" s="35" t="str">
        <x:v>NOT_AVAILABLE</x:v>
      </x:c>
      <x:c r="Q1816" s="35" t="str">
        <x:v>Deepseek-flash-v4/Result/Closure_136/result.json</x:v>
      </x:c>
    </x:row>
    <x:row r="1817">
      <x:c r="A1817" s="35" t="str">
        <x:v>deepseek</x:v>
      </x:c>
      <x:c r="B1817" s="35" t="str">
        <x:v>Closure</x:v>
      </x:c>
      <x:c r="C1817" s="35" t="str">
        <x:v>Round1</x:v>
      </x:c>
      <x:c r="D1817" s="35" t="str">
        <x:v>Closure_137</x:v>
      </x:c>
      <x:c r="E1817" s="35" t="str">
        <x:v>Condition</x:v>
      </x:c>
      <x:c r="F1817" s="35"/>
      <x:c r="G1817" s="35" t="str">
        <x:v>A</x:v>
      </x:c>
      <x:c r="H1817" s="39" t="str">
        <x:f>IF(ISNUMBER('Data'!N109),'Data'!N109*100,"")</x:f>
      </x:c>
      <x:c r="I1817" s="35"/>
      <x:c r="J1817" s="35" t="str">
        <x:v>PASS</x:v>
      </x:c>
      <x:c r="K1817" s="35" t="str">
        <x:v>FAIL</x:v>
      </x:c>
      <x:c r="L1817" s="35" t="str">
        <x:v>NOT_RUN</x:v>
      </x:c>
      <x:c r="M1817" s="35" t="str">
        <x:v>coverage unavailable or execution/compile failed</x:v>
      </x:c>
      <x:c r="N1817" s="35" t="str">
        <x:v>Deepseek-flash-v4/Result/Closure_137/result.json</x:v>
      </x:c>
      <x:c r="O1817" s="39" t="str">
        <x:f>IF(AND(G1817="RECORDED",ISNUMBER(H1817)),H1817,"")</x:f>
      </x:c>
      <x:c r="P1817" s="35" t="str">
        <x:v>NOT_AVAILABLE</x:v>
      </x:c>
      <x:c r="Q1817" s="35" t="str">
        <x:v>Deepseek-flash-v4/Result/Closure_137/result.json</x:v>
      </x:c>
    </x:row>
    <x:row r="1818">
      <x:c r="A1818" s="35" t="str">
        <x:v>deepseek</x:v>
      </x:c>
      <x:c r="B1818" s="35" t="str">
        <x:v>Closure</x:v>
      </x:c>
      <x:c r="C1818" s="35" t="str">
        <x:v>Round1</x:v>
      </x:c>
      <x:c r="D1818" s="35" t="str">
        <x:v>Closure_138</x:v>
      </x:c>
      <x:c r="E1818" s="35" t="str">
        <x:v>Condition</x:v>
      </x:c>
      <x:c r="F1818" s="35"/>
      <x:c r="G1818" s="35" t="str">
        <x:v>A</x:v>
      </x:c>
      <x:c r="H1818" s="39" t="str">
        <x:f>IF(ISNUMBER('Data'!N110),'Data'!N110*100,"")</x:f>
      </x:c>
      <x:c r="I1818" s="35"/>
      <x:c r="J1818" s="35" t="str">
        <x:v>PASS</x:v>
      </x:c>
      <x:c r="K1818" s="35" t="str">
        <x:v>FAIL</x:v>
      </x:c>
      <x:c r="L1818" s="35" t="str">
        <x:v>NOT_RUN</x:v>
      </x:c>
      <x:c r="M1818" s="35" t="str">
        <x:v>coverage unavailable or execution/compile failed</x:v>
      </x:c>
      <x:c r="N1818" s="35" t="str">
        <x:v>Deepseek-flash-v4/Result/Closure_138/result.json</x:v>
      </x:c>
      <x:c r="O1818" s="39" t="str">
        <x:f>IF(AND(G1818="RECORDED",ISNUMBER(H1818)),H1818,"")</x:f>
      </x:c>
      <x:c r="P1818" s="35" t="str">
        <x:v>NOT_AVAILABLE</x:v>
      </x:c>
      <x:c r="Q1818" s="35" t="str">
        <x:v>Deepseek-flash-v4/Result/Closure_138/result.json</x:v>
      </x:c>
    </x:row>
    <x:row r="1819">
      <x:c r="A1819" s="35" t="str">
        <x:v>deepseek</x:v>
      </x:c>
      <x:c r="B1819" s="35" t="str">
        <x:v>Closure</x:v>
      </x:c>
      <x:c r="C1819" s="35" t="str">
        <x:v>Round1</x:v>
      </x:c>
      <x:c r="D1819" s="35" t="str">
        <x:v>Closure_139</x:v>
      </x:c>
      <x:c r="E1819" s="35" t="str">
        <x:v>Condition</x:v>
      </x:c>
      <x:c r="F1819" s="35"/>
      <x:c r="G1819" s="35" t="str">
        <x:v>A</x:v>
      </x:c>
      <x:c r="H1819" s="39" t="str">
        <x:f>IF(ISNUMBER('Data'!N111),'Data'!N111*100,"")</x:f>
      </x:c>
      <x:c r="I1819" s="35"/>
      <x:c r="J1819" s="35" t="str">
        <x:v>PASS</x:v>
      </x:c>
      <x:c r="K1819" s="35" t="str">
        <x:v>FAIL</x:v>
      </x:c>
      <x:c r="L1819" s="35" t="str">
        <x:v>NOT_RUN</x:v>
      </x:c>
      <x:c r="M1819" s="35" t="str">
        <x:v>coverage unavailable or execution/compile failed</x:v>
      </x:c>
      <x:c r="N1819" s="35" t="str">
        <x:v>Deepseek-flash-v4/Result/Closure_139/result.json</x:v>
      </x:c>
      <x:c r="O1819" s="39" t="str">
        <x:f>IF(AND(G1819="RECORDED",ISNUMBER(H1819)),H1819,"")</x:f>
      </x:c>
      <x:c r="P1819" s="35" t="str">
        <x:v>NOT_AVAILABLE</x:v>
      </x:c>
      <x:c r="Q1819" s="35" t="str">
        <x:v>Deepseek-flash-v4/Result/Closure_139/result.json</x:v>
      </x:c>
    </x:row>
    <x:row r="1820">
      <x:c r="A1820" s="35" t="str">
        <x:v>deepseek</x:v>
      </x:c>
      <x:c r="B1820" s="35" t="str">
        <x:v>Closure</x:v>
      </x:c>
      <x:c r="C1820" s="35" t="str">
        <x:v>Round1</x:v>
      </x:c>
      <x:c r="D1820" s="35" t="str">
        <x:v>Closure_14</x:v>
      </x:c>
      <x:c r="E1820" s="35" t="str">
        <x:v>Condition</x:v>
      </x:c>
      <x:c r="F1820" s="35"/>
      <x:c r="G1820" s="35" t="str">
        <x:v>A</x:v>
      </x:c>
      <x:c r="H1820" s="39" t="str">
        <x:f>IF(ISNUMBER('Data'!N112),'Data'!N112*100,"")</x:f>
      </x:c>
      <x:c r="I1820" s="35"/>
      <x:c r="J1820" s="35" t="str">
        <x:v>PASS</x:v>
      </x:c>
      <x:c r="K1820" s="35" t="str">
        <x:v>FAIL</x:v>
      </x:c>
      <x:c r="L1820" s="35" t="str">
        <x:v>NOT_RUN</x:v>
      </x:c>
      <x:c r="M1820" s="35" t="str">
        <x:v>coverage unavailable or execution/compile failed</x:v>
      </x:c>
      <x:c r="N1820" s="35" t="str">
        <x:v>Deepseek-flash-v4/Result/Closure_14/result.json</x:v>
      </x:c>
      <x:c r="O1820" s="39" t="str">
        <x:f>IF(AND(G1820="RECORDED",ISNUMBER(H1820)),H1820,"")</x:f>
      </x:c>
      <x:c r="P1820" s="35" t="str">
        <x:v>NOT_AVAILABLE</x:v>
      </x:c>
      <x:c r="Q1820" s="35" t="str">
        <x:v>Deepseek-flash-v4/Result/Closure_14/result.json</x:v>
      </x:c>
    </x:row>
    <x:row r="1821">
      <x:c r="A1821" s="35" t="str">
        <x:v>deepseek</x:v>
      </x:c>
      <x:c r="B1821" s="35" t="str">
        <x:v>Closure</x:v>
      </x:c>
      <x:c r="C1821" s="35" t="str">
        <x:v>Round1</x:v>
      </x:c>
      <x:c r="D1821" s="35" t="str">
        <x:v>Closure_140</x:v>
      </x:c>
      <x:c r="E1821" s="35" t="str">
        <x:v>Condition</x:v>
      </x:c>
      <x:c r="F1821" s="35"/>
      <x:c r="G1821" s="35" t="str">
        <x:v>A</x:v>
      </x:c>
      <x:c r="H1821" s="39" t="str">
        <x:f>IF(ISNUMBER('Data'!N113),'Data'!N113*100,"")</x:f>
      </x:c>
      <x:c r="I1821" s="35"/>
      <x:c r="J1821" s="35" t="str">
        <x:v>PASS</x:v>
      </x:c>
      <x:c r="K1821" s="35" t="str">
        <x:v>FAIL</x:v>
      </x:c>
      <x:c r="L1821" s="35" t="str">
        <x:v>NOT_RUN</x:v>
      </x:c>
      <x:c r="M1821" s="35" t="str">
        <x:v>coverage unavailable or execution/compile failed</x:v>
      </x:c>
      <x:c r="N1821" s="35" t="str">
        <x:v>Deepseek-flash-v4/Result/Closure_140/result.json</x:v>
      </x:c>
      <x:c r="O1821" s="39" t="str">
        <x:f>IF(AND(G1821="RECORDED",ISNUMBER(H1821)),H1821,"")</x:f>
      </x:c>
      <x:c r="P1821" s="35" t="str">
        <x:v>NOT_AVAILABLE</x:v>
      </x:c>
      <x:c r="Q1821" s="35" t="str">
        <x:v>Deepseek-flash-v4/Result/Closure_140/result.json</x:v>
      </x:c>
    </x:row>
    <x:row r="1822">
      <x:c r="A1822" s="35" t="str">
        <x:v>deepseek</x:v>
      </x:c>
      <x:c r="B1822" s="35" t="str">
        <x:v>Closure</x:v>
      </x:c>
      <x:c r="C1822" s="35" t="str">
        <x:v>Round1</x:v>
      </x:c>
      <x:c r="D1822" s="35" t="str">
        <x:v>Closure_141</x:v>
      </x:c>
      <x:c r="E1822" s="35" t="str">
        <x:v>Condition</x:v>
      </x:c>
      <x:c r="F1822" s="35"/>
      <x:c r="G1822" s="35" t="str">
        <x:v>A</x:v>
      </x:c>
      <x:c r="H1822" s="39" t="str">
        <x:f>IF(ISNUMBER('Data'!N114),'Data'!N114*100,"")</x:f>
      </x:c>
      <x:c r="I1822" s="35"/>
      <x:c r="J1822" s="35" t="str">
        <x:v>PASS</x:v>
      </x:c>
      <x:c r="K1822" s="35" t="str">
        <x:v>FAIL</x:v>
      </x:c>
      <x:c r="L1822" s="35" t="str">
        <x:v>NOT_RUN</x:v>
      </x:c>
      <x:c r="M1822" s="35" t="str">
        <x:v>coverage unavailable or execution/compile failed</x:v>
      </x:c>
      <x:c r="N1822" s="35" t="str">
        <x:v>Deepseek-flash-v4/Result/Closure_141/result.json</x:v>
      </x:c>
      <x:c r="O1822" s="39" t="str">
        <x:f>IF(AND(G1822="RECORDED",ISNUMBER(H1822)),H1822,"")</x:f>
      </x:c>
      <x:c r="P1822" s="35" t="str">
        <x:v>NOT_AVAILABLE</x:v>
      </x:c>
      <x:c r="Q1822" s="35" t="str">
        <x:v>Deepseek-flash-v4/Result/Closure_141/result.json</x:v>
      </x:c>
    </x:row>
    <x:row r="1823">
      <x:c r="A1823" s="35" t="str">
        <x:v>deepseek</x:v>
      </x:c>
      <x:c r="B1823" s="35" t="str">
        <x:v>Closure</x:v>
      </x:c>
      <x:c r="C1823" s="35" t="str">
        <x:v>Round1</x:v>
      </x:c>
      <x:c r="D1823" s="35" t="str">
        <x:v>Closure_142</x:v>
      </x:c>
      <x:c r="E1823" s="35" t="str">
        <x:v>Condition</x:v>
      </x:c>
      <x:c r="F1823" s="35"/>
      <x:c r="G1823" s="35" t="str">
        <x:v>A</x:v>
      </x:c>
      <x:c r="H1823" s="39" t="str">
        <x:f>IF(ISNUMBER('Data'!N115),'Data'!N115*100,"")</x:f>
      </x:c>
      <x:c r="I1823" s="35"/>
      <x:c r="J1823" s="35" t="str">
        <x:v>PASS</x:v>
      </x:c>
      <x:c r="K1823" s="35" t="str">
        <x:v>FAIL</x:v>
      </x:c>
      <x:c r="L1823" s="35" t="str">
        <x:v>NOT_RUN</x:v>
      </x:c>
      <x:c r="M1823" s="35" t="str">
        <x:v>coverage unavailable or execution/compile failed</x:v>
      </x:c>
      <x:c r="N1823" s="35" t="str">
        <x:v>Deepseek-flash-v4/Result/Closure_142/result.json</x:v>
      </x:c>
      <x:c r="O1823" s="39" t="str">
        <x:f>IF(AND(G1823="RECORDED",ISNUMBER(H1823)),H1823,"")</x:f>
      </x:c>
      <x:c r="P1823" s="35" t="str">
        <x:v>NOT_AVAILABLE</x:v>
      </x:c>
      <x:c r="Q1823" s="35" t="str">
        <x:v>Deepseek-flash-v4/Result/Closure_142/result.json</x:v>
      </x:c>
    </x:row>
    <x:row r="1824">
      <x:c r="A1824" s="35" t="str">
        <x:v>deepseek</x:v>
      </x:c>
      <x:c r="B1824" s="35" t="str">
        <x:v>Closure</x:v>
      </x:c>
      <x:c r="C1824" s="35" t="str">
        <x:v>Round1</x:v>
      </x:c>
      <x:c r="D1824" s="35" t="str">
        <x:v>Closure_143</x:v>
      </x:c>
      <x:c r="E1824" s="35" t="str">
        <x:v>Condition</x:v>
      </x:c>
      <x:c r="F1824" s="35"/>
      <x:c r="G1824" s="35" t="str">
        <x:v>A</x:v>
      </x:c>
      <x:c r="H1824" s="39" t="str">
        <x:f>IF(ISNUMBER('Data'!N116),'Data'!N116*100,"")</x:f>
      </x:c>
      <x:c r="I1824" s="35"/>
      <x:c r="J1824" s="35" t="str">
        <x:v>PASS</x:v>
      </x:c>
      <x:c r="K1824" s="35" t="str">
        <x:v>FAIL</x:v>
      </x:c>
      <x:c r="L1824" s="35" t="str">
        <x:v>NOT_RUN</x:v>
      </x:c>
      <x:c r="M1824" s="35" t="str">
        <x:v>coverage unavailable or execution/compile failed</x:v>
      </x:c>
      <x:c r="N1824" s="35" t="str">
        <x:v>Deepseek-flash-v4/Result/Closure_143/result.json</x:v>
      </x:c>
      <x:c r="O1824" s="39" t="str">
        <x:f>IF(AND(G1824="RECORDED",ISNUMBER(H1824)),H1824,"")</x:f>
      </x:c>
      <x:c r="P1824" s="35" t="str">
        <x:v>NOT_AVAILABLE</x:v>
      </x:c>
      <x:c r="Q1824" s="35" t="str">
        <x:v>Deepseek-flash-v4/Result/Closure_143/result.json</x:v>
      </x:c>
    </x:row>
    <x:row r="1825">
      <x:c r="A1825" s="35" t="str">
        <x:v>deepseek</x:v>
      </x:c>
      <x:c r="B1825" s="35" t="str">
        <x:v>Closure</x:v>
      </x:c>
      <x:c r="C1825" s="35" t="str">
        <x:v>Round1</x:v>
      </x:c>
      <x:c r="D1825" s="35" t="str">
        <x:v>Closure_144</x:v>
      </x:c>
      <x:c r="E1825" s="35" t="str">
        <x:v>Condition</x:v>
      </x:c>
      <x:c r="F1825" s="35"/>
      <x:c r="G1825" s="35" t="str">
        <x:v>A</x:v>
      </x:c>
      <x:c r="H1825" s="39" t="str">
        <x:f>IF(ISNUMBER('Data'!N117),'Data'!N117*100,"")</x:f>
      </x:c>
      <x:c r="I1825" s="35"/>
      <x:c r="J1825" s="35" t="str">
        <x:v>PASS</x:v>
      </x:c>
      <x:c r="K1825" s="35" t="str">
        <x:v>FAIL</x:v>
      </x:c>
      <x:c r="L1825" s="35" t="str">
        <x:v>NOT_RUN</x:v>
      </x:c>
      <x:c r="M1825" s="35" t="str">
        <x:v>coverage unavailable or execution/compile failed</x:v>
      </x:c>
      <x:c r="N1825" s="35" t="str">
        <x:v>Deepseek-flash-v4/Result/Closure_144/result.json</x:v>
      </x:c>
      <x:c r="O1825" s="39" t="str">
        <x:f>IF(AND(G1825="RECORDED",ISNUMBER(H1825)),H1825,"")</x:f>
      </x:c>
      <x:c r="P1825" s="35" t="str">
        <x:v>NOT_AVAILABLE</x:v>
      </x:c>
      <x:c r="Q1825" s="35" t="str">
        <x:v>Deepseek-flash-v4/Result/Closure_144/result.json</x:v>
      </x:c>
    </x:row>
    <x:row r="1826">
      <x:c r="A1826" s="35" t="str">
        <x:v>deepseek</x:v>
      </x:c>
      <x:c r="B1826" s="35" t="str">
        <x:v>Closure</x:v>
      </x:c>
      <x:c r="C1826" s="35" t="str">
        <x:v>Round1</x:v>
      </x:c>
      <x:c r="D1826" s="35" t="str">
        <x:v>Closure_145</x:v>
      </x:c>
      <x:c r="E1826" s="35" t="str">
        <x:v>Condition</x:v>
      </x:c>
      <x:c r="F1826" s="35"/>
      <x:c r="G1826" s="35" t="str">
        <x:v>A</x:v>
      </x:c>
      <x:c r="H1826" s="39" t="str">
        <x:f>IF(ISNUMBER('Data'!N118),'Data'!N118*100,"")</x:f>
      </x:c>
      <x:c r="I1826" s="35"/>
      <x:c r="J1826" s="35" t="str">
        <x:v>PASS</x:v>
      </x:c>
      <x:c r="K1826" s="35" t="str">
        <x:v>FAIL</x:v>
      </x:c>
      <x:c r="L1826" s="35" t="str">
        <x:v>NOT_RUN</x:v>
      </x:c>
      <x:c r="M1826" s="35" t="str">
        <x:v>coverage unavailable or execution/compile failed</x:v>
      </x:c>
      <x:c r="N1826" s="35" t="str">
        <x:v>Deepseek-flash-v4/Result/Closure_145/result.json</x:v>
      </x:c>
      <x:c r="O1826" s="39" t="str">
        <x:f>IF(AND(G1826="RECORDED",ISNUMBER(H1826)),H1826,"")</x:f>
      </x:c>
      <x:c r="P1826" s="35" t="str">
        <x:v>NOT_AVAILABLE</x:v>
      </x:c>
      <x:c r="Q1826" s="35" t="str">
        <x:v>Deepseek-flash-v4/Result/Closure_145/result.json</x:v>
      </x:c>
    </x:row>
    <x:row r="1827">
      <x:c r="A1827" s="35" t="str">
        <x:v>deepseek</x:v>
      </x:c>
      <x:c r="B1827" s="35" t="str">
        <x:v>Closure</x:v>
      </x:c>
      <x:c r="C1827" s="35" t="str">
        <x:v>Round1</x:v>
      </x:c>
      <x:c r="D1827" s="35" t="str">
        <x:v>Closure_146</x:v>
      </x:c>
      <x:c r="E1827" s="35" t="str">
        <x:v>Condition</x:v>
      </x:c>
      <x:c r="F1827" s="35"/>
      <x:c r="G1827" s="35" t="str">
        <x:v>A</x:v>
      </x:c>
      <x:c r="H1827" s="39" t="str">
        <x:f>IF(ISNUMBER('Data'!N119),'Data'!N119*100,"")</x:f>
      </x:c>
      <x:c r="I1827" s="35"/>
      <x:c r="J1827" s="35" t="str">
        <x:v>PASS</x:v>
      </x:c>
      <x:c r="K1827" s="35" t="str">
        <x:v>FAIL</x:v>
      </x:c>
      <x:c r="L1827" s="35" t="str">
        <x:v>NOT_RUN</x:v>
      </x:c>
      <x:c r="M1827" s="35" t="str">
        <x:v>coverage unavailable or execution/compile failed</x:v>
      </x:c>
      <x:c r="N1827" s="35" t="str">
        <x:v>Deepseek-flash-v4/Result/Closure_146/result.json</x:v>
      </x:c>
      <x:c r="O1827" s="39" t="str">
        <x:f>IF(AND(G1827="RECORDED",ISNUMBER(H1827)),H1827,"")</x:f>
      </x:c>
      <x:c r="P1827" s="35" t="str">
        <x:v>NOT_AVAILABLE</x:v>
      </x:c>
      <x:c r="Q1827" s="35" t="str">
        <x:v>Deepseek-flash-v4/Result/Closure_146/result.json</x:v>
      </x:c>
    </x:row>
    <x:row r="1828">
      <x:c r="A1828" s="35" t="str">
        <x:v>deepseek</x:v>
      </x:c>
      <x:c r="B1828" s="35" t="str">
        <x:v>Closure</x:v>
      </x:c>
      <x:c r="C1828" s="35" t="str">
        <x:v>Round1</x:v>
      </x:c>
      <x:c r="D1828" s="35" t="str">
        <x:v>Closure_147</x:v>
      </x:c>
      <x:c r="E1828" s="35" t="str">
        <x:v>Condition</x:v>
      </x:c>
      <x:c r="F1828" s="35"/>
      <x:c r="G1828" s="35" t="str">
        <x:v>A</x:v>
      </x:c>
      <x:c r="H1828" s="39" t="str">
        <x:f>IF(ISNUMBER('Data'!N120),'Data'!N120*100,"")</x:f>
      </x:c>
      <x:c r="I1828" s="35"/>
      <x:c r="J1828" s="35" t="str">
        <x:v>PASS</x:v>
      </x:c>
      <x:c r="K1828" s="35" t="str">
        <x:v>FAIL</x:v>
      </x:c>
      <x:c r="L1828" s="35" t="str">
        <x:v>NOT_RUN</x:v>
      </x:c>
      <x:c r="M1828" s="35" t="str">
        <x:v>coverage unavailable or execution/compile failed</x:v>
      </x:c>
      <x:c r="N1828" s="35" t="str">
        <x:v>Deepseek-flash-v4/Result/Closure_147/result.json</x:v>
      </x:c>
      <x:c r="O1828" s="39" t="str">
        <x:f>IF(AND(G1828="RECORDED",ISNUMBER(H1828)),H1828,"")</x:f>
      </x:c>
      <x:c r="P1828" s="35" t="str">
        <x:v>NOT_AVAILABLE</x:v>
      </x:c>
      <x:c r="Q1828" s="35" t="str">
        <x:v>Deepseek-flash-v4/Result/Closure_147/result.json</x:v>
      </x:c>
    </x:row>
    <x:row r="1829">
      <x:c r="A1829" s="35" t="str">
        <x:v>deepseek</x:v>
      </x:c>
      <x:c r="B1829" s="35" t="str">
        <x:v>Closure</x:v>
      </x:c>
      <x:c r="C1829" s="35" t="str">
        <x:v>Round1</x:v>
      </x:c>
      <x:c r="D1829" s="35" t="str">
        <x:v>Closure_148</x:v>
      </x:c>
      <x:c r="E1829" s="35" t="str">
        <x:v>Condition</x:v>
      </x:c>
      <x:c r="F1829" s="35"/>
      <x:c r="G1829" s="35" t="str">
        <x:v>A</x:v>
      </x:c>
      <x:c r="H1829" s="39" t="str">
        <x:f>IF(ISNUMBER('Data'!N121),'Data'!N121*100,"")</x:f>
      </x:c>
      <x:c r="I1829" s="35"/>
      <x:c r="J1829" s="35" t="str">
        <x:v>PASS</x:v>
      </x:c>
      <x:c r="K1829" s="35" t="str">
        <x:v>FAIL</x:v>
      </x:c>
      <x:c r="L1829" s="35" t="str">
        <x:v>NOT_RUN</x:v>
      </x:c>
      <x:c r="M1829" s="35" t="str">
        <x:v>coverage unavailable or execution/compile failed</x:v>
      </x:c>
      <x:c r="N1829" s="35" t="str">
        <x:v>Deepseek-flash-v4/Result/Closure_148/result.json</x:v>
      </x:c>
      <x:c r="O1829" s="39" t="str">
        <x:f>IF(AND(G1829="RECORDED",ISNUMBER(H1829)),H1829,"")</x:f>
      </x:c>
      <x:c r="P1829" s="35" t="str">
        <x:v>NOT_AVAILABLE</x:v>
      </x:c>
      <x:c r="Q1829" s="35" t="str">
        <x:v>Deepseek-flash-v4/Result/Closure_148/result.json</x:v>
      </x:c>
    </x:row>
    <x:row r="1830">
      <x:c r="A1830" s="35" t="str">
        <x:v>deepseek</x:v>
      </x:c>
      <x:c r="B1830" s="35" t="str">
        <x:v>Closure</x:v>
      </x:c>
      <x:c r="C1830" s="35" t="str">
        <x:v>Round1</x:v>
      </x:c>
      <x:c r="D1830" s="35" t="str">
        <x:v>Closure_149</x:v>
      </x:c>
      <x:c r="E1830" s="35" t="str">
        <x:v>Condition</x:v>
      </x:c>
      <x:c r="F1830" s="35"/>
      <x:c r="G1830" s="35" t="str">
        <x:v>A</x:v>
      </x:c>
      <x:c r="H1830" s="39" t="str">
        <x:f>IF(ISNUMBER('Data'!N122),'Data'!N122*100,"")</x:f>
      </x:c>
      <x:c r="I1830" s="35"/>
      <x:c r="J1830" s="35" t="str">
        <x:v>PASS</x:v>
      </x:c>
      <x:c r="K1830" s="35" t="str">
        <x:v>FAIL</x:v>
      </x:c>
      <x:c r="L1830" s="35" t="str">
        <x:v>NOT_RUN</x:v>
      </x:c>
      <x:c r="M1830" s="35" t="str">
        <x:v>coverage unavailable or execution/compile failed</x:v>
      </x:c>
      <x:c r="N1830" s="35" t="str">
        <x:v>Deepseek-flash-v4/Result/Closure_149/result.json</x:v>
      </x:c>
      <x:c r="O1830" s="39" t="str">
        <x:f>IF(AND(G1830="RECORDED",ISNUMBER(H1830)),H1830,"")</x:f>
      </x:c>
      <x:c r="P1830" s="35" t="str">
        <x:v>NOT_AVAILABLE</x:v>
      </x:c>
      <x:c r="Q1830" s="35" t="str">
        <x:v>Deepseek-flash-v4/Result/Closure_149/result.json</x:v>
      </x:c>
    </x:row>
    <x:row r="1831">
      <x:c r="A1831" s="35" t="str">
        <x:v>deepseek</x:v>
      </x:c>
      <x:c r="B1831" s="35" t="str">
        <x:v>Closure</x:v>
      </x:c>
      <x:c r="C1831" s="35" t="str">
        <x:v>Round1</x:v>
      </x:c>
      <x:c r="D1831" s="35" t="str">
        <x:v>Closure_15</x:v>
      </x:c>
      <x:c r="E1831" s="35" t="str">
        <x:v>Condition</x:v>
      </x:c>
      <x:c r="F1831" s="35"/>
      <x:c r="G1831" s="35" t="str">
        <x:v>A</x:v>
      </x:c>
      <x:c r="H1831" s="39" t="str">
        <x:f>IF(ISNUMBER('Data'!N123),'Data'!N123*100,"")</x:f>
      </x:c>
      <x:c r="I1831" s="35"/>
      <x:c r="J1831" s="35" t="str">
        <x:v>PASS</x:v>
      </x:c>
      <x:c r="K1831" s="35" t="str">
        <x:v>FAIL</x:v>
      </x:c>
      <x:c r="L1831" s="35" t="str">
        <x:v>NOT_RUN</x:v>
      </x:c>
      <x:c r="M1831" s="35" t="str">
        <x:v>coverage unavailable or execution/compile failed</x:v>
      </x:c>
      <x:c r="N1831" s="35" t="str">
        <x:v>Deepseek-flash-v4/Result/Closure_15/result.json</x:v>
      </x:c>
      <x:c r="O1831" s="39" t="str">
        <x:f>IF(AND(G1831="RECORDED",ISNUMBER(H1831)),H1831,"")</x:f>
      </x:c>
      <x:c r="P1831" s="35" t="str">
        <x:v>NOT_AVAILABLE</x:v>
      </x:c>
      <x:c r="Q1831" s="35" t="str">
        <x:v>Deepseek-flash-v4/Result/Closure_15/result.json</x:v>
      </x:c>
    </x:row>
    <x:row r="1832">
      <x:c r="A1832" s="35" t="str">
        <x:v>deepseek</x:v>
      </x:c>
      <x:c r="B1832" s="35" t="str">
        <x:v>Closure</x:v>
      </x:c>
      <x:c r="C1832" s="35" t="str">
        <x:v>Round1</x:v>
      </x:c>
      <x:c r="D1832" s="35" t="str">
        <x:v>Closure_150</x:v>
      </x:c>
      <x:c r="E1832" s="35" t="str">
        <x:v>Condition</x:v>
      </x:c>
      <x:c r="F1832" s="35"/>
      <x:c r="G1832" s="35" t="str">
        <x:v>A</x:v>
      </x:c>
      <x:c r="H1832" s="39" t="str">
        <x:f>IF(ISNUMBER('Data'!N124),'Data'!N124*100,"")</x:f>
      </x:c>
      <x:c r="I1832" s="35"/>
      <x:c r="J1832" s="35" t="str">
        <x:v>PASS</x:v>
      </x:c>
      <x:c r="K1832" s="35" t="str">
        <x:v>FAIL</x:v>
      </x:c>
      <x:c r="L1832" s="35" t="str">
        <x:v>NOT_RUN</x:v>
      </x:c>
      <x:c r="M1832" s="35" t="str">
        <x:v>coverage unavailable or execution/compile failed</x:v>
      </x:c>
      <x:c r="N1832" s="35" t="str">
        <x:v>Deepseek-flash-v4/Result/Closure_150/result.json</x:v>
      </x:c>
      <x:c r="O1832" s="39" t="str">
        <x:f>IF(AND(G1832="RECORDED",ISNUMBER(H1832)),H1832,"")</x:f>
      </x:c>
      <x:c r="P1832" s="35" t="str">
        <x:v>NOT_AVAILABLE</x:v>
      </x:c>
      <x:c r="Q1832" s="35" t="str">
        <x:v>Deepseek-flash-v4/Result/Closure_150/result.json</x:v>
      </x:c>
    </x:row>
    <x:row r="1833">
      <x:c r="A1833" s="35" t="str">
        <x:v>deepseek</x:v>
      </x:c>
      <x:c r="B1833" s="35" t="str">
        <x:v>Closure</x:v>
      </x:c>
      <x:c r="C1833" s="35" t="str">
        <x:v>Round1</x:v>
      </x:c>
      <x:c r="D1833" s="35" t="str">
        <x:v>Closure_151</x:v>
      </x:c>
      <x:c r="E1833" s="35" t="str">
        <x:v>Condition</x:v>
      </x:c>
      <x:c r="F1833" s="35"/>
      <x:c r="G1833" s="35" t="str">
        <x:v>A</x:v>
      </x:c>
      <x:c r="H1833" s="39" t="str">
        <x:f>IF(ISNUMBER('Data'!N125),'Data'!N125*100,"")</x:f>
      </x:c>
      <x:c r="I1833" s="35"/>
      <x:c r="J1833" s="35" t="str">
        <x:v>PASS</x:v>
      </x:c>
      <x:c r="K1833" s="35" t="str">
        <x:v>FAIL</x:v>
      </x:c>
      <x:c r="L1833" s="35" t="str">
        <x:v>NOT_RUN</x:v>
      </x:c>
      <x:c r="M1833" s="35" t="str">
        <x:v>coverage unavailable or execution/compile failed</x:v>
      </x:c>
      <x:c r="N1833" s="35" t="str">
        <x:v>Deepseek-flash-v4/Result/Closure_151/result.json</x:v>
      </x:c>
      <x:c r="O1833" s="39" t="str">
        <x:f>IF(AND(G1833="RECORDED",ISNUMBER(H1833)),H1833,"")</x:f>
      </x:c>
      <x:c r="P1833" s="35" t="str">
        <x:v>NOT_AVAILABLE</x:v>
      </x:c>
      <x:c r="Q1833" s="35" t="str">
        <x:v>Deepseek-flash-v4/Result/Closure_151/result.json</x:v>
      </x:c>
    </x:row>
    <x:row r="1834">
      <x:c r="A1834" s="35" t="str">
        <x:v>deepseek</x:v>
      </x:c>
      <x:c r="B1834" s="35" t="str">
        <x:v>Closure</x:v>
      </x:c>
      <x:c r="C1834" s="35" t="str">
        <x:v>Round1</x:v>
      </x:c>
      <x:c r="D1834" s="35" t="str">
        <x:v>Closure_152</x:v>
      </x:c>
      <x:c r="E1834" s="35" t="str">
        <x:v>Condition</x:v>
      </x:c>
      <x:c r="F1834" s="35"/>
      <x:c r="G1834" s="35" t="str">
        <x:v>A</x:v>
      </x:c>
      <x:c r="H1834" s="39" t="str">
        <x:f>IF(ISNUMBER('Data'!N126),'Data'!N126*100,"")</x:f>
      </x:c>
      <x:c r="I1834" s="35"/>
      <x:c r="J1834" s="35" t="str">
        <x:v>PASS</x:v>
      </x:c>
      <x:c r="K1834" s="35" t="str">
        <x:v>FAIL</x:v>
      </x:c>
      <x:c r="L1834" s="35" t="str">
        <x:v>NOT_RUN</x:v>
      </x:c>
      <x:c r="M1834" s="35" t="str">
        <x:v>coverage unavailable or execution/compile failed</x:v>
      </x:c>
      <x:c r="N1834" s="35" t="str">
        <x:v>Deepseek-flash-v4/Result/Closure_152/result.json</x:v>
      </x:c>
      <x:c r="O1834" s="39" t="str">
        <x:f>IF(AND(G1834="RECORDED",ISNUMBER(H1834)),H1834,"")</x:f>
      </x:c>
      <x:c r="P1834" s="35" t="str">
        <x:v>NOT_AVAILABLE</x:v>
      </x:c>
      <x:c r="Q1834" s="35" t="str">
        <x:v>Deepseek-flash-v4/Result/Closure_152/result.json</x:v>
      </x:c>
    </x:row>
    <x:row r="1835">
      <x:c r="A1835" s="35" t="str">
        <x:v>deepseek</x:v>
      </x:c>
      <x:c r="B1835" s="35" t="str">
        <x:v>Closure</x:v>
      </x:c>
      <x:c r="C1835" s="35" t="str">
        <x:v>Round1</x:v>
      </x:c>
      <x:c r="D1835" s="35" t="str">
        <x:v>Closure_153</x:v>
      </x:c>
      <x:c r="E1835" s="35" t="str">
        <x:v>Condition</x:v>
      </x:c>
      <x:c r="F1835" s="35"/>
      <x:c r="G1835" s="35" t="str">
        <x:v>A</x:v>
      </x:c>
      <x:c r="H1835" s="39" t="str">
        <x:f>IF(ISNUMBER('Data'!N127),'Data'!N127*100,"")</x:f>
      </x:c>
      <x:c r="I1835" s="35"/>
      <x:c r="J1835" s="35" t="str">
        <x:v>PASS</x:v>
      </x:c>
      <x:c r="K1835" s="35" t="str">
        <x:v>FAIL</x:v>
      </x:c>
      <x:c r="L1835" s="35" t="str">
        <x:v>NOT_RUN</x:v>
      </x:c>
      <x:c r="M1835" s="35" t="str">
        <x:v>coverage unavailable or execution/compile failed</x:v>
      </x:c>
      <x:c r="N1835" s="35" t="str">
        <x:v>Deepseek-flash-v4/Result/Closure_153/result.json</x:v>
      </x:c>
      <x:c r="O1835" s="39" t="str">
        <x:f>IF(AND(G1835="RECORDED",ISNUMBER(H1835)),H1835,"")</x:f>
      </x:c>
      <x:c r="P1835" s="35" t="str">
        <x:v>NOT_AVAILABLE</x:v>
      </x:c>
      <x:c r="Q1835" s="35" t="str">
        <x:v>Deepseek-flash-v4/Result/Closure_153/result.json</x:v>
      </x:c>
    </x:row>
    <x:row r="1836">
      <x:c r="A1836" s="35" t="str">
        <x:v>deepseek</x:v>
      </x:c>
      <x:c r="B1836" s="35" t="str">
        <x:v>Closure</x:v>
      </x:c>
      <x:c r="C1836" s="35" t="str">
        <x:v>Round1</x:v>
      </x:c>
      <x:c r="D1836" s="35" t="str">
        <x:v>Closure_154</x:v>
      </x:c>
      <x:c r="E1836" s="35" t="str">
        <x:v>Condition</x:v>
      </x:c>
      <x:c r="F1836" s="35"/>
      <x:c r="G1836" s="35" t="str">
        <x:v>A</x:v>
      </x:c>
      <x:c r="H1836" s="39" t="str">
        <x:f>IF(ISNUMBER('Data'!N128),'Data'!N128*100,"")</x:f>
      </x:c>
      <x:c r="I1836" s="35"/>
      <x:c r="J1836" s="35" t="str">
        <x:v>PASS</x:v>
      </x:c>
      <x:c r="K1836" s="35" t="str">
        <x:v>FAIL</x:v>
      </x:c>
      <x:c r="L1836" s="35" t="str">
        <x:v>NOT_RUN</x:v>
      </x:c>
      <x:c r="M1836" s="35" t="str">
        <x:v>coverage unavailable or execution/compile failed</x:v>
      </x:c>
      <x:c r="N1836" s="35" t="str">
        <x:v>Deepseek-flash-v4/Result/Closure_154/result.json</x:v>
      </x:c>
      <x:c r="O1836" s="39" t="str">
        <x:f>IF(AND(G1836="RECORDED",ISNUMBER(H1836)),H1836,"")</x:f>
      </x:c>
      <x:c r="P1836" s="35" t="str">
        <x:v>NOT_AVAILABLE</x:v>
      </x:c>
      <x:c r="Q1836" s="35" t="str">
        <x:v>Deepseek-flash-v4/Result/Closure_154/result.json</x:v>
      </x:c>
    </x:row>
    <x:row r="1837">
      <x:c r="A1837" s="35" t="str">
        <x:v>deepseek</x:v>
      </x:c>
      <x:c r="B1837" s="35" t="str">
        <x:v>Closure</x:v>
      </x:c>
      <x:c r="C1837" s="35" t="str">
        <x:v>Round1</x:v>
      </x:c>
      <x:c r="D1837" s="35" t="str">
        <x:v>Closure_155</x:v>
      </x:c>
      <x:c r="E1837" s="35" t="str">
        <x:v>Condition</x:v>
      </x:c>
      <x:c r="F1837" s="35"/>
      <x:c r="G1837" s="35" t="str">
        <x:v>A</x:v>
      </x:c>
      <x:c r="H1837" s="39" t="str">
        <x:f>IF(ISNUMBER('Data'!N129),'Data'!N129*100,"")</x:f>
      </x:c>
      <x:c r="I1837" s="35"/>
      <x:c r="J1837" s="35" t="str">
        <x:v>PASS</x:v>
      </x:c>
      <x:c r="K1837" s="35" t="str">
        <x:v>FAIL</x:v>
      </x:c>
      <x:c r="L1837" s="35" t="str">
        <x:v>NOT_RUN</x:v>
      </x:c>
      <x:c r="M1837" s="35" t="str">
        <x:v>coverage unavailable or execution/compile failed</x:v>
      </x:c>
      <x:c r="N1837" s="35" t="str">
        <x:v>Deepseek-flash-v4/Result/Closure_155/result.json</x:v>
      </x:c>
      <x:c r="O1837" s="39" t="str">
        <x:f>IF(AND(G1837="RECORDED",ISNUMBER(H1837)),H1837,"")</x:f>
      </x:c>
      <x:c r="P1837" s="35" t="str">
        <x:v>NOT_AVAILABLE</x:v>
      </x:c>
      <x:c r="Q1837" s="35" t="str">
        <x:v>Deepseek-flash-v4/Result/Closure_155/result.json</x:v>
      </x:c>
    </x:row>
    <x:row r="1838">
      <x:c r="A1838" s="35" t="str">
        <x:v>deepseek</x:v>
      </x:c>
      <x:c r="B1838" s="35" t="str">
        <x:v>Closure</x:v>
      </x:c>
      <x:c r="C1838" s="35" t="str">
        <x:v>Round1</x:v>
      </x:c>
      <x:c r="D1838" s="35" t="str">
        <x:v>Closure_156</x:v>
      </x:c>
      <x:c r="E1838" s="35" t="str">
        <x:v>Condition</x:v>
      </x:c>
      <x:c r="F1838" s="35"/>
      <x:c r="G1838" s="35" t="str">
        <x:v>A</x:v>
      </x:c>
      <x:c r="H1838" s="39" t="str">
        <x:f>IF(ISNUMBER('Data'!N130),'Data'!N130*100,"")</x:f>
      </x:c>
      <x:c r="I1838" s="35"/>
      <x:c r="J1838" s="35" t="str">
        <x:v>PASS</x:v>
      </x:c>
      <x:c r="K1838" s="35" t="str">
        <x:v>FAIL</x:v>
      </x:c>
      <x:c r="L1838" s="35" t="str">
        <x:v>NOT_RUN</x:v>
      </x:c>
      <x:c r="M1838" s="35" t="str">
        <x:v>coverage unavailable or execution/compile failed</x:v>
      </x:c>
      <x:c r="N1838" s="35" t="str">
        <x:v>Deepseek-flash-v4/Result/Closure_156/result.json</x:v>
      </x:c>
      <x:c r="O1838" s="39" t="str">
        <x:f>IF(AND(G1838="RECORDED",ISNUMBER(H1838)),H1838,"")</x:f>
      </x:c>
      <x:c r="P1838" s="35" t="str">
        <x:v>NOT_AVAILABLE</x:v>
      </x:c>
      <x:c r="Q1838" s="35" t="str">
        <x:v>Deepseek-flash-v4/Result/Closure_156/result.json</x:v>
      </x:c>
    </x:row>
    <x:row r="1839">
      <x:c r="A1839" s="35" t="str">
        <x:v>deepseek</x:v>
      </x:c>
      <x:c r="B1839" s="35" t="str">
        <x:v>Closure</x:v>
      </x:c>
      <x:c r="C1839" s="35" t="str">
        <x:v>Round1</x:v>
      </x:c>
      <x:c r="D1839" s="35" t="str">
        <x:v>Closure_157</x:v>
      </x:c>
      <x:c r="E1839" s="35" t="str">
        <x:v>Condition</x:v>
      </x:c>
      <x:c r="F1839" s="35"/>
      <x:c r="G1839" s="35" t="str">
        <x:v>A</x:v>
      </x:c>
      <x:c r="H1839" s="39" t="str">
        <x:f>IF(ISNUMBER('Data'!N131),'Data'!N131*100,"")</x:f>
      </x:c>
      <x:c r="I1839" s="35"/>
      <x:c r="J1839" s="35" t="str">
        <x:v>PASS</x:v>
      </x:c>
      <x:c r="K1839" s="35" t="str">
        <x:v>FAIL</x:v>
      </x:c>
      <x:c r="L1839" s="35" t="str">
        <x:v>NOT_RUN</x:v>
      </x:c>
      <x:c r="M1839" s="35" t="str">
        <x:v>coverage unavailable or execution/compile failed</x:v>
      </x:c>
      <x:c r="N1839" s="35" t="str">
        <x:v>Deepseek-flash-v4/Result/Closure_157/result.json</x:v>
      </x:c>
      <x:c r="O1839" s="39" t="str">
        <x:f>IF(AND(G1839="RECORDED",ISNUMBER(H1839)),H1839,"")</x:f>
      </x:c>
      <x:c r="P1839" s="35" t="str">
        <x:v>NOT_AVAILABLE</x:v>
      </x:c>
      <x:c r="Q1839" s="35" t="str">
        <x:v>Deepseek-flash-v4/Result/Closure_157/result.json</x:v>
      </x:c>
    </x:row>
    <x:row r="1840">
      <x:c r="A1840" s="35" t="str">
        <x:v>deepseek</x:v>
      </x:c>
      <x:c r="B1840" s="35" t="str">
        <x:v>Closure</x:v>
      </x:c>
      <x:c r="C1840" s="35" t="str">
        <x:v>Round1</x:v>
      </x:c>
      <x:c r="D1840" s="35" t="str">
        <x:v>Closure_158</x:v>
      </x:c>
      <x:c r="E1840" s="35" t="str">
        <x:v>Condition</x:v>
      </x:c>
      <x:c r="F1840" s="35"/>
      <x:c r="G1840" s="35" t="str">
        <x:v>A</x:v>
      </x:c>
      <x:c r="H1840" s="39" t="str">
        <x:f>IF(ISNUMBER('Data'!N132),'Data'!N132*100,"")</x:f>
      </x:c>
      <x:c r="I1840" s="35"/>
      <x:c r="J1840" s="35" t="str">
        <x:v>PASS</x:v>
      </x:c>
      <x:c r="K1840" s="35" t="str">
        <x:v>FAIL</x:v>
      </x:c>
      <x:c r="L1840" s="35" t="str">
        <x:v>NOT_RUN</x:v>
      </x:c>
      <x:c r="M1840" s="35" t="str">
        <x:v>coverage unavailable or execution/compile failed</x:v>
      </x:c>
      <x:c r="N1840" s="35" t="str">
        <x:v>Deepseek-flash-v4/Result/Closure_158/result.json</x:v>
      </x:c>
      <x:c r="O1840" s="39" t="str">
        <x:f>IF(AND(G1840="RECORDED",ISNUMBER(H1840)),H1840,"")</x:f>
      </x:c>
      <x:c r="P1840" s="35" t="str">
        <x:v>NOT_AVAILABLE</x:v>
      </x:c>
      <x:c r="Q1840" s="35" t="str">
        <x:v>Deepseek-flash-v4/Result/Closure_158/result.json</x:v>
      </x:c>
    </x:row>
    <x:row r="1841">
      <x:c r="A1841" s="35" t="str">
        <x:v>deepseek</x:v>
      </x:c>
      <x:c r="B1841" s="35" t="str">
        <x:v>Closure</x:v>
      </x:c>
      <x:c r="C1841" s="35" t="str">
        <x:v>Round1</x:v>
      </x:c>
      <x:c r="D1841" s="35" t="str">
        <x:v>Closure_159</x:v>
      </x:c>
      <x:c r="E1841" s="35" t="str">
        <x:v>Condition</x:v>
      </x:c>
      <x:c r="F1841" s="35"/>
      <x:c r="G1841" s="35" t="str">
        <x:v>A</x:v>
      </x:c>
      <x:c r="H1841" s="39" t="str">
        <x:f>IF(ISNUMBER('Data'!N133),'Data'!N133*100,"")</x:f>
      </x:c>
      <x:c r="I1841" s="35"/>
      <x:c r="J1841" s="35" t="str">
        <x:v>PASS</x:v>
      </x:c>
      <x:c r="K1841" s="35" t="str">
        <x:v>FAIL</x:v>
      </x:c>
      <x:c r="L1841" s="35" t="str">
        <x:v>NOT_RUN</x:v>
      </x:c>
      <x:c r="M1841" s="35" t="str">
        <x:v>coverage unavailable or execution/compile failed</x:v>
      </x:c>
      <x:c r="N1841" s="35" t="str">
        <x:v>Deepseek-flash-v4/Result/Closure_159/result.json</x:v>
      </x:c>
      <x:c r="O1841" s="39" t="str">
        <x:f>IF(AND(G1841="RECORDED",ISNUMBER(H1841)),H1841,"")</x:f>
      </x:c>
      <x:c r="P1841" s="35" t="str">
        <x:v>NOT_AVAILABLE</x:v>
      </x:c>
      <x:c r="Q1841" s="35" t="str">
        <x:v>Deepseek-flash-v4/Result/Closure_159/result.json</x:v>
      </x:c>
    </x:row>
    <x:row r="1842">
      <x:c r="A1842" s="35" t="str">
        <x:v>deepseek</x:v>
      </x:c>
      <x:c r="B1842" s="35" t="str">
        <x:v>Closure</x:v>
      </x:c>
      <x:c r="C1842" s="35" t="str">
        <x:v>Round1</x:v>
      </x:c>
      <x:c r="D1842" s="35" t="str">
        <x:v>Closure_16</x:v>
      </x:c>
      <x:c r="E1842" s="35" t="str">
        <x:v>Condition</x:v>
      </x:c>
      <x:c r="F1842" s="35"/>
      <x:c r="G1842" s="35" t="str">
        <x:v>A</x:v>
      </x:c>
      <x:c r="H1842" s="39" t="str">
        <x:f>IF(ISNUMBER('Data'!N134),'Data'!N134*100,"")</x:f>
      </x:c>
      <x:c r="I1842" s="35"/>
      <x:c r="J1842" s="35" t="str">
        <x:v>PASS</x:v>
      </x:c>
      <x:c r="K1842" s="35" t="str">
        <x:v>FAIL</x:v>
      </x:c>
      <x:c r="L1842" s="35" t="str">
        <x:v>NOT_RUN</x:v>
      </x:c>
      <x:c r="M1842" s="35" t="str">
        <x:v>coverage unavailable or execution/compile failed</x:v>
      </x:c>
      <x:c r="N1842" s="35" t="str">
        <x:v>Deepseek-flash-v4/Result/Closure_16/result.json</x:v>
      </x:c>
      <x:c r="O1842" s="39" t="str">
        <x:f>IF(AND(G1842="RECORDED",ISNUMBER(H1842)),H1842,"")</x:f>
      </x:c>
      <x:c r="P1842" s="35" t="str">
        <x:v>NOT_AVAILABLE</x:v>
      </x:c>
      <x:c r="Q1842" s="35" t="str">
        <x:v>Deepseek-flash-v4/Result/Closure_16/result.json</x:v>
      </x:c>
    </x:row>
    <x:row r="1843">
      <x:c r="A1843" s="35" t="str">
        <x:v>deepseek</x:v>
      </x:c>
      <x:c r="B1843" s="35" t="str">
        <x:v>Closure</x:v>
      </x:c>
      <x:c r="C1843" s="35" t="str">
        <x:v>Round1</x:v>
      </x:c>
      <x:c r="D1843" s="35" t="str">
        <x:v>Closure_160</x:v>
      </x:c>
      <x:c r="E1843" s="35" t="str">
        <x:v>Condition</x:v>
      </x:c>
      <x:c r="F1843" s="35"/>
      <x:c r="G1843" s="35" t="str">
        <x:v>A</x:v>
      </x:c>
      <x:c r="H1843" s="39" t="str">
        <x:f>IF(ISNUMBER('Data'!N135),'Data'!N135*100,"")</x:f>
      </x:c>
      <x:c r="I1843" s="35"/>
      <x:c r="J1843" s="35" t="str">
        <x:v>PASS</x:v>
      </x:c>
      <x:c r="K1843" s="35" t="str">
        <x:v>FAIL</x:v>
      </x:c>
      <x:c r="L1843" s="35" t="str">
        <x:v>NOT_RUN</x:v>
      </x:c>
      <x:c r="M1843" s="35" t="str">
        <x:v>coverage unavailable or execution/compile failed</x:v>
      </x:c>
      <x:c r="N1843" s="35" t="str">
        <x:v>Deepseek-flash-v4/Result/Closure_160/result.json</x:v>
      </x:c>
      <x:c r="O1843" s="39" t="str">
        <x:f>IF(AND(G1843="RECORDED",ISNUMBER(H1843)),H1843,"")</x:f>
      </x:c>
      <x:c r="P1843" s="35" t="str">
        <x:v>NOT_AVAILABLE</x:v>
      </x:c>
      <x:c r="Q1843" s="35" t="str">
        <x:v>Deepseek-flash-v4/Result/Closure_160/result.json</x:v>
      </x:c>
    </x:row>
    <x:row r="1844">
      <x:c r="A1844" s="35" t="str">
        <x:v>deepseek</x:v>
      </x:c>
      <x:c r="B1844" s="35" t="str">
        <x:v>Closure</x:v>
      </x:c>
      <x:c r="C1844" s="35" t="str">
        <x:v>Round1</x:v>
      </x:c>
      <x:c r="D1844" s="35" t="str">
        <x:v>Closure_161</x:v>
      </x:c>
      <x:c r="E1844" s="35" t="str">
        <x:v>Condition</x:v>
      </x:c>
      <x:c r="F1844" s="35" t="n">
        <x:v>498</x:v>
      </x:c>
      <x:c r="G1844" s="35" t="str">
        <x:v>RECORDED</x:v>
      </x:c>
      <x:c r="H1844" s="39" t="n">
        <x:f>IF(ISNUMBER('Data'!N136),'Data'!N136*100,"")</x:f>
        <x:v>30.72</x:v>
      </x:c>
      <x:c r="I1844" s="35" t="str">
        <x:v>PASS</x:v>
      </x:c>
      <x:c r="J1844" s="35" t="str">
        <x:v>PASS</x:v>
      </x:c>
      <x:c r="K1844" s="35" t="str">
        <x:v>PASS</x:v>
      </x:c>
      <x:c r="L1844" s="35" t="str">
        <x:v>FAIL</x:v>
      </x:c>
      <x:c r="M1844" s="35" t="str">
        <x:v>numeric coverage for applicable metric</x:v>
      </x:c>
      <x:c r="N1844" s="35" t="str">
        <x:v>Deepseek-flash-v4/Result/Closure_161/result.json</x:v>
      </x:c>
      <x:c r="O1844" s="39" t="n">
        <x:f>IF(AND(G1844="RECORDED",ISNUMBER(H1844)),H1844,"")</x:f>
        <x:v>30.72</x:v>
      </x:c>
      <x:c r="P1844" s="35" t="str">
        <x:v>INCONCLUSIVE</x:v>
      </x:c>
      <x:c r="Q1844" s="35" t="str">
        <x:v>Deepseek-flash-v4/Result/Closure_161/result.json</x:v>
      </x:c>
    </x:row>
    <x:row r="1845">
      <x:c r="A1845" s="35" t="str">
        <x:v>deepseek</x:v>
      </x:c>
      <x:c r="B1845" s="35" t="str">
        <x:v>Closure</x:v>
      </x:c>
      <x:c r="C1845" s="35" t="str">
        <x:v>Round1</x:v>
      </x:c>
      <x:c r="D1845" s="35" t="str">
        <x:v>Closure_162</x:v>
      </x:c>
      <x:c r="E1845" s="35" t="str">
        <x:v>Condition</x:v>
      </x:c>
      <x:c r="F1845" s="35"/>
      <x:c r="G1845" s="35" t="str">
        <x:v>A</x:v>
      </x:c>
      <x:c r="H1845" s="39" t="str">
        <x:f>IF(ISNUMBER('Data'!N137),'Data'!N137*100,"")</x:f>
      </x:c>
      <x:c r="I1845" s="35"/>
      <x:c r="J1845" s="35" t="str">
        <x:v>PASS</x:v>
      </x:c>
      <x:c r="K1845" s="35" t="str">
        <x:v>FAIL</x:v>
      </x:c>
      <x:c r="L1845" s="35" t="str">
        <x:v>NOT_RUN</x:v>
      </x:c>
      <x:c r="M1845" s="35" t="str">
        <x:v>coverage unavailable or execution/compile failed</x:v>
      </x:c>
      <x:c r="N1845" s="35" t="str">
        <x:v>Deepseek-flash-v4/Result/Closure_162/result.json</x:v>
      </x:c>
      <x:c r="O1845" s="39" t="str">
        <x:f>IF(AND(G1845="RECORDED",ISNUMBER(H1845)),H1845,"")</x:f>
      </x:c>
      <x:c r="P1845" s="35" t="str">
        <x:v>NOT_AVAILABLE</x:v>
      </x:c>
      <x:c r="Q1845" s="35" t="str">
        <x:v>Deepseek-flash-v4/Result/Closure_162/result.json</x:v>
      </x:c>
    </x:row>
    <x:row r="1846">
      <x:c r="A1846" s="35" t="str">
        <x:v>deepseek</x:v>
      </x:c>
      <x:c r="B1846" s="35" t="str">
        <x:v>Closure</x:v>
      </x:c>
      <x:c r="C1846" s="35" t="str">
        <x:v>Round1</x:v>
      </x:c>
      <x:c r="D1846" s="35" t="str">
        <x:v>Closure_163</x:v>
      </x:c>
      <x:c r="E1846" s="35" t="str">
        <x:v>Condition</x:v>
      </x:c>
      <x:c r="F1846" s="35"/>
      <x:c r="G1846" s="35" t="str">
        <x:v>A</x:v>
      </x:c>
      <x:c r="H1846" s="39" t="str">
        <x:f>IF(ISNUMBER('Data'!N138),'Data'!N138*100,"")</x:f>
      </x:c>
      <x:c r="I1846" s="35"/>
      <x:c r="J1846" s="35" t="str">
        <x:v>PASS</x:v>
      </x:c>
      <x:c r="K1846" s="35" t="str">
        <x:v>FAIL</x:v>
      </x:c>
      <x:c r="L1846" s="35" t="str">
        <x:v>NOT_RUN</x:v>
      </x:c>
      <x:c r="M1846" s="35" t="str">
        <x:v>coverage unavailable or execution/compile failed</x:v>
      </x:c>
      <x:c r="N1846" s="35" t="str">
        <x:v>Deepseek-flash-v4/Result/Closure_163/result.json</x:v>
      </x:c>
      <x:c r="O1846" s="39" t="str">
        <x:f>IF(AND(G1846="RECORDED",ISNUMBER(H1846)),H1846,"")</x:f>
      </x:c>
      <x:c r="P1846" s="35" t="str">
        <x:v>NOT_AVAILABLE</x:v>
      </x:c>
      <x:c r="Q1846" s="35" t="str">
        <x:v>Deepseek-flash-v4/Result/Closure_163/result.json</x:v>
      </x:c>
    </x:row>
    <x:row r="1847">
      <x:c r="A1847" s="35" t="str">
        <x:v>deepseek</x:v>
      </x:c>
      <x:c r="B1847" s="35" t="str">
        <x:v>Closure</x:v>
      </x:c>
      <x:c r="C1847" s="35" t="str">
        <x:v>Round1</x:v>
      </x:c>
      <x:c r="D1847" s="35" t="str">
        <x:v>Closure_164</x:v>
      </x:c>
      <x:c r="E1847" s="35" t="str">
        <x:v>Condition</x:v>
      </x:c>
      <x:c r="F1847" s="35"/>
      <x:c r="G1847" s="35" t="str">
        <x:v>A</x:v>
      </x:c>
      <x:c r="H1847" s="39" t="str">
        <x:f>IF(ISNUMBER('Data'!N139),'Data'!N139*100,"")</x:f>
      </x:c>
      <x:c r="I1847" s="35"/>
      <x:c r="J1847" s="35" t="str">
        <x:v>PASS</x:v>
      </x:c>
      <x:c r="K1847" s="35" t="str">
        <x:v>FAIL</x:v>
      </x:c>
      <x:c r="L1847" s="35" t="str">
        <x:v>NOT_RUN</x:v>
      </x:c>
      <x:c r="M1847" s="35" t="str">
        <x:v>coverage unavailable or execution/compile failed</x:v>
      </x:c>
      <x:c r="N1847" s="35" t="str">
        <x:v>Deepseek-flash-v4/Result/Closure_164/result.json</x:v>
      </x:c>
      <x:c r="O1847" s="39" t="str">
        <x:f>IF(AND(G1847="RECORDED",ISNUMBER(H1847)),H1847,"")</x:f>
      </x:c>
      <x:c r="P1847" s="35" t="str">
        <x:v>NOT_AVAILABLE</x:v>
      </x:c>
      <x:c r="Q1847" s="35" t="str">
        <x:v>Deepseek-flash-v4/Result/Closure_164/result.json</x:v>
      </x:c>
    </x:row>
    <x:row r="1848">
      <x:c r="A1848" s="35" t="str">
        <x:v>deepseek</x:v>
      </x:c>
      <x:c r="B1848" s="35" t="str">
        <x:v>Closure</x:v>
      </x:c>
      <x:c r="C1848" s="35" t="str">
        <x:v>Round1</x:v>
      </x:c>
      <x:c r="D1848" s="35" t="str">
        <x:v>Closure_165</x:v>
      </x:c>
      <x:c r="E1848" s="35" t="str">
        <x:v>Condition</x:v>
      </x:c>
      <x:c r="F1848" s="35"/>
      <x:c r="G1848" s="35" t="str">
        <x:v>A</x:v>
      </x:c>
      <x:c r="H1848" s="39" t="str">
        <x:f>IF(ISNUMBER('Data'!N140),'Data'!N140*100,"")</x:f>
      </x:c>
      <x:c r="I1848" s="35"/>
      <x:c r="J1848" s="35" t="str">
        <x:v>PASS</x:v>
      </x:c>
      <x:c r="K1848" s="35" t="str">
        <x:v>FAIL</x:v>
      </x:c>
      <x:c r="L1848" s="35" t="str">
        <x:v>NOT_RUN</x:v>
      </x:c>
      <x:c r="M1848" s="35" t="str">
        <x:v>coverage unavailable or execution/compile failed</x:v>
      </x:c>
      <x:c r="N1848" s="35" t="str">
        <x:v>Deepseek-flash-v4/Result/Closure_165/result.json</x:v>
      </x:c>
      <x:c r="O1848" s="39" t="str">
        <x:f>IF(AND(G1848="RECORDED",ISNUMBER(H1848)),H1848,"")</x:f>
      </x:c>
      <x:c r="P1848" s="35" t="str">
        <x:v>NOT_AVAILABLE</x:v>
      </x:c>
      <x:c r="Q1848" s="35" t="str">
        <x:v>Deepseek-flash-v4/Result/Closure_165/result.json</x:v>
      </x:c>
    </x:row>
    <x:row r="1849">
      <x:c r="A1849" s="35" t="str">
        <x:v>deepseek</x:v>
      </x:c>
      <x:c r="B1849" s="35" t="str">
        <x:v>Closure</x:v>
      </x:c>
      <x:c r="C1849" s="35" t="str">
        <x:v>Round1</x:v>
      </x:c>
      <x:c r="D1849" s="35" t="str">
        <x:v>Closure_166</x:v>
      </x:c>
      <x:c r="E1849" s="35" t="str">
        <x:v>Condition</x:v>
      </x:c>
      <x:c r="F1849" s="35"/>
      <x:c r="G1849" s="35" t="str">
        <x:v>A</x:v>
      </x:c>
      <x:c r="H1849" s="39" t="str">
        <x:f>IF(ISNUMBER('Data'!N141),'Data'!N141*100,"")</x:f>
      </x:c>
      <x:c r="I1849" s="35"/>
      <x:c r="J1849" s="35" t="str">
        <x:v>PASS</x:v>
      </x:c>
      <x:c r="K1849" s="35" t="str">
        <x:v>FAIL</x:v>
      </x:c>
      <x:c r="L1849" s="35" t="str">
        <x:v>NOT_RUN</x:v>
      </x:c>
      <x:c r="M1849" s="35" t="str">
        <x:v>coverage unavailable or execution/compile failed</x:v>
      </x:c>
      <x:c r="N1849" s="35" t="str">
        <x:v>Deepseek-flash-v4/Result/Closure_166/result.json</x:v>
      </x:c>
      <x:c r="O1849" s="39" t="str">
        <x:f>IF(AND(G1849="RECORDED",ISNUMBER(H1849)),H1849,"")</x:f>
      </x:c>
      <x:c r="P1849" s="35" t="str">
        <x:v>NOT_AVAILABLE</x:v>
      </x:c>
      <x:c r="Q1849" s="35" t="str">
        <x:v>Deepseek-flash-v4/Result/Closure_166/result.json</x:v>
      </x:c>
    </x:row>
    <x:row r="1850">
      <x:c r="A1850" s="35" t="str">
        <x:v>deepseek</x:v>
      </x:c>
      <x:c r="B1850" s="35" t="str">
        <x:v>Closure</x:v>
      </x:c>
      <x:c r="C1850" s="35" t="str">
        <x:v>Round1</x:v>
      </x:c>
      <x:c r="D1850" s="35" t="str">
        <x:v>Closure_167</x:v>
      </x:c>
      <x:c r="E1850" s="35" t="str">
        <x:v>Condition</x:v>
      </x:c>
      <x:c r="F1850" s="35"/>
      <x:c r="G1850" s="35" t="str">
        <x:v>A</x:v>
      </x:c>
      <x:c r="H1850" s="39" t="str">
        <x:f>IF(ISNUMBER('Data'!N142),'Data'!N142*100,"")</x:f>
      </x:c>
      <x:c r="I1850" s="35"/>
      <x:c r="J1850" s="35" t="str">
        <x:v>PASS</x:v>
      </x:c>
      <x:c r="K1850" s="35" t="str">
        <x:v>FAIL</x:v>
      </x:c>
      <x:c r="L1850" s="35" t="str">
        <x:v>NOT_RUN</x:v>
      </x:c>
      <x:c r="M1850" s="35" t="str">
        <x:v>coverage unavailable or execution/compile failed</x:v>
      </x:c>
      <x:c r="N1850" s="35" t="str">
        <x:v>Deepseek-flash-v4/Result/Closure_167/result.json</x:v>
      </x:c>
      <x:c r="O1850" s="39" t="str">
        <x:f>IF(AND(G1850="RECORDED",ISNUMBER(H1850)),H1850,"")</x:f>
      </x:c>
      <x:c r="P1850" s="35" t="str">
        <x:v>NOT_AVAILABLE</x:v>
      </x:c>
      <x:c r="Q1850" s="35" t="str">
        <x:v>Deepseek-flash-v4/Result/Closure_167/result.json</x:v>
      </x:c>
    </x:row>
    <x:row r="1851">
      <x:c r="A1851" s="35" t="str">
        <x:v>deepseek</x:v>
      </x:c>
      <x:c r="B1851" s="35" t="str">
        <x:v>Closure</x:v>
      </x:c>
      <x:c r="C1851" s="35" t="str">
        <x:v>Round1</x:v>
      </x:c>
      <x:c r="D1851" s="35" t="str">
        <x:v>Closure_168</x:v>
      </x:c>
      <x:c r="E1851" s="35" t="str">
        <x:v>Condition</x:v>
      </x:c>
      <x:c r="F1851" s="35"/>
      <x:c r="G1851" s="35" t="str">
        <x:v>A</x:v>
      </x:c>
      <x:c r="H1851" s="39" t="str">
        <x:f>IF(ISNUMBER('Data'!N143),'Data'!N143*100,"")</x:f>
      </x:c>
      <x:c r="I1851" s="35"/>
      <x:c r="J1851" s="35" t="str">
        <x:v>PASS</x:v>
      </x:c>
      <x:c r="K1851" s="35" t="str">
        <x:v>FAIL</x:v>
      </x:c>
      <x:c r="L1851" s="35" t="str">
        <x:v>NOT_RUN</x:v>
      </x:c>
      <x:c r="M1851" s="35" t="str">
        <x:v>coverage unavailable or execution/compile failed</x:v>
      </x:c>
      <x:c r="N1851" s="35" t="str">
        <x:v>Deepseek-flash-v4/Result/Closure_168/result.json</x:v>
      </x:c>
      <x:c r="O1851" s="39" t="str">
        <x:f>IF(AND(G1851="RECORDED",ISNUMBER(H1851)),H1851,"")</x:f>
      </x:c>
      <x:c r="P1851" s="35" t="str">
        <x:v>NOT_AVAILABLE</x:v>
      </x:c>
      <x:c r="Q1851" s="35" t="str">
        <x:v>Deepseek-flash-v4/Result/Closure_168/result.json</x:v>
      </x:c>
    </x:row>
    <x:row r="1852">
      <x:c r="A1852" s="35" t="str">
        <x:v>deepseek</x:v>
      </x:c>
      <x:c r="B1852" s="35" t="str">
        <x:v>Closure</x:v>
      </x:c>
      <x:c r="C1852" s="35" t="str">
        <x:v>Round1</x:v>
      </x:c>
      <x:c r="D1852" s="35" t="str">
        <x:v>Closure_169</x:v>
      </x:c>
      <x:c r="E1852" s="35" t="str">
        <x:v>Condition</x:v>
      </x:c>
      <x:c r="F1852" s="35"/>
      <x:c r="G1852" s="35" t="str">
        <x:v>A</x:v>
      </x:c>
      <x:c r="H1852" s="39" t="str">
        <x:f>IF(ISNUMBER('Data'!N144),'Data'!N144*100,"")</x:f>
      </x:c>
      <x:c r="I1852" s="35"/>
      <x:c r="J1852" s="35" t="str">
        <x:v>PASS</x:v>
      </x:c>
      <x:c r="K1852" s="35" t="str">
        <x:v>FAIL</x:v>
      </x:c>
      <x:c r="L1852" s="35" t="str">
        <x:v>NOT_RUN</x:v>
      </x:c>
      <x:c r="M1852" s="35" t="str">
        <x:v>coverage unavailable or execution/compile failed</x:v>
      </x:c>
      <x:c r="N1852" s="35" t="str">
        <x:v>Deepseek-flash-v4/Result/Closure_169/result.json</x:v>
      </x:c>
      <x:c r="O1852" s="39" t="str">
        <x:f>IF(AND(G1852="RECORDED",ISNUMBER(H1852)),H1852,"")</x:f>
      </x:c>
      <x:c r="P1852" s="35" t="str">
        <x:v>NOT_AVAILABLE</x:v>
      </x:c>
      <x:c r="Q1852" s="35" t="str">
        <x:v>Deepseek-flash-v4/Result/Closure_169/result.json</x:v>
      </x:c>
    </x:row>
    <x:row r="1853">
      <x:c r="A1853" s="35" t="str">
        <x:v>deepseek</x:v>
      </x:c>
      <x:c r="B1853" s="35" t="str">
        <x:v>Closure</x:v>
      </x:c>
      <x:c r="C1853" s="35" t="str">
        <x:v>Round1</x:v>
      </x:c>
      <x:c r="D1853" s="35" t="str">
        <x:v>Closure_17</x:v>
      </x:c>
      <x:c r="E1853" s="35" t="str">
        <x:v>Condition</x:v>
      </x:c>
      <x:c r="F1853" s="35"/>
      <x:c r="G1853" s="35" t="str">
        <x:v>A</x:v>
      </x:c>
      <x:c r="H1853" s="39" t="str">
        <x:f>IF(ISNUMBER('Data'!N145),'Data'!N145*100,"")</x:f>
      </x:c>
      <x:c r="I1853" s="35"/>
      <x:c r="J1853" s="35" t="str">
        <x:v>PASS</x:v>
      </x:c>
      <x:c r="K1853" s="35" t="str">
        <x:v>FAIL</x:v>
      </x:c>
      <x:c r="L1853" s="35" t="str">
        <x:v>NOT_RUN</x:v>
      </x:c>
      <x:c r="M1853" s="35" t="str">
        <x:v>coverage unavailable or execution/compile failed</x:v>
      </x:c>
      <x:c r="N1853" s="35" t="str">
        <x:v>Deepseek-flash-v4/Result/Closure_17/result.json</x:v>
      </x:c>
      <x:c r="O1853" s="39" t="str">
        <x:f>IF(AND(G1853="RECORDED",ISNUMBER(H1853)),H1853,"")</x:f>
      </x:c>
      <x:c r="P1853" s="35" t="str">
        <x:v>NOT_AVAILABLE</x:v>
      </x:c>
      <x:c r="Q1853" s="35" t="str">
        <x:v>Deepseek-flash-v4/Result/Closure_17/result.json</x:v>
      </x:c>
    </x:row>
    <x:row r="1854">
      <x:c r="A1854" s="35" t="str">
        <x:v>deepseek</x:v>
      </x:c>
      <x:c r="B1854" s="35" t="str">
        <x:v>Closure</x:v>
      </x:c>
      <x:c r="C1854" s="35" t="str">
        <x:v>Round1</x:v>
      </x:c>
      <x:c r="D1854" s="35" t="str">
        <x:v>Closure_170</x:v>
      </x:c>
      <x:c r="E1854" s="35" t="str">
        <x:v>Condition</x:v>
      </x:c>
      <x:c r="F1854" s="35"/>
      <x:c r="G1854" s="35" t="str">
        <x:v>A</x:v>
      </x:c>
      <x:c r="H1854" s="39" t="str">
        <x:f>IF(ISNUMBER('Data'!N146),'Data'!N146*100,"")</x:f>
      </x:c>
      <x:c r="I1854" s="35"/>
      <x:c r="J1854" s="35" t="str">
        <x:v>PASS</x:v>
      </x:c>
      <x:c r="K1854" s="35" t="str">
        <x:v>FAIL</x:v>
      </x:c>
      <x:c r="L1854" s="35" t="str">
        <x:v>NOT_RUN</x:v>
      </x:c>
      <x:c r="M1854" s="35" t="str">
        <x:v>coverage unavailable or execution/compile failed</x:v>
      </x:c>
      <x:c r="N1854" s="35" t="str">
        <x:v>Deepseek-flash-v4/Result/Closure_170/result.json</x:v>
      </x:c>
      <x:c r="O1854" s="39" t="str">
        <x:f>IF(AND(G1854="RECORDED",ISNUMBER(H1854)),H1854,"")</x:f>
      </x:c>
      <x:c r="P1854" s="35" t="str">
        <x:v>NOT_AVAILABLE</x:v>
      </x:c>
      <x:c r="Q1854" s="35" t="str">
        <x:v>Deepseek-flash-v4/Result/Closure_170/result.json</x:v>
      </x:c>
    </x:row>
    <x:row r="1855">
      <x:c r="A1855" s="35" t="str">
        <x:v>deepseek</x:v>
      </x:c>
      <x:c r="B1855" s="35" t="str">
        <x:v>Closure</x:v>
      </x:c>
      <x:c r="C1855" s="35" t="str">
        <x:v>Round1</x:v>
      </x:c>
      <x:c r="D1855" s="35" t="str">
        <x:v>Closure_171</x:v>
      </x:c>
      <x:c r="E1855" s="35" t="str">
        <x:v>Condition</x:v>
      </x:c>
      <x:c r="F1855" s="35"/>
      <x:c r="G1855" s="35" t="str">
        <x:v>A</x:v>
      </x:c>
      <x:c r="H1855" s="39" t="str">
        <x:f>IF(ISNUMBER('Data'!N147),'Data'!N147*100,"")</x:f>
      </x:c>
      <x:c r="I1855" s="35"/>
      <x:c r="J1855" s="35" t="str">
        <x:v>PASS</x:v>
      </x:c>
      <x:c r="K1855" s="35" t="str">
        <x:v>FAIL</x:v>
      </x:c>
      <x:c r="L1855" s="35" t="str">
        <x:v>NOT_RUN</x:v>
      </x:c>
      <x:c r="M1855" s="35" t="str">
        <x:v>coverage unavailable or execution/compile failed</x:v>
      </x:c>
      <x:c r="N1855" s="35" t="str">
        <x:v>Deepseek-flash-v4/Result/Closure_171/result.json</x:v>
      </x:c>
      <x:c r="O1855" s="39" t="str">
        <x:f>IF(AND(G1855="RECORDED",ISNUMBER(H1855)),H1855,"")</x:f>
      </x:c>
      <x:c r="P1855" s="35" t="str">
        <x:v>NOT_AVAILABLE</x:v>
      </x:c>
      <x:c r="Q1855" s="35" t="str">
        <x:v>Deepseek-flash-v4/Result/Closure_171/result.json</x:v>
      </x:c>
    </x:row>
    <x:row r="1856">
      <x:c r="A1856" s="35" t="str">
        <x:v>deepseek</x:v>
      </x:c>
      <x:c r="B1856" s="35" t="str">
        <x:v>Closure</x:v>
      </x:c>
      <x:c r="C1856" s="35" t="str">
        <x:v>Round1</x:v>
      </x:c>
      <x:c r="D1856" s="35" t="str">
        <x:v>Closure_172</x:v>
      </x:c>
      <x:c r="E1856" s="35" t="str">
        <x:v>Condition</x:v>
      </x:c>
      <x:c r="F1856" s="35" t="n">
        <x:v>762</x:v>
      </x:c>
      <x:c r="G1856" s="35" t="str">
        <x:v>RECORDED</x:v>
      </x:c>
      <x:c r="H1856" s="39" t="n">
        <x:f>IF(ISNUMBER('Data'!N148),'Data'!N148*100,"")</x:f>
        <x:v>0</x:v>
      </x:c>
      <x:c r="I1856" s="35" t="str">
        <x:v>PASS</x:v>
      </x:c>
      <x:c r="J1856" s="35" t="str">
        <x:v>PASS</x:v>
      </x:c>
      <x:c r="K1856" s="35" t="str">
        <x:v>PASS</x:v>
      </x:c>
      <x:c r="L1856" s="35" t="str">
        <x:v>FAIL</x:v>
      </x:c>
      <x:c r="M1856" s="35" t="str">
        <x:v>numeric coverage for applicable metric</x:v>
      </x:c>
      <x:c r="N1856" s="35" t="str">
        <x:v>Deepseek-flash-v4/Result/Closure_172/result.json</x:v>
      </x:c>
      <x:c r="O1856" s="39" t="n">
        <x:f>IF(AND(G1856="RECORDED",ISNUMBER(H1856)),H1856,"")</x:f>
        <x:v>0</x:v>
      </x:c>
      <x:c r="P1856" s="35" t="str">
        <x:v>INCONCLUSIVE</x:v>
      </x:c>
      <x:c r="Q1856" s="35" t="str">
        <x:v>Deepseek-flash-v4/Result/Closure_172/result.json</x:v>
      </x:c>
    </x:row>
    <x:row r="1857">
      <x:c r="A1857" s="35" t="str">
        <x:v>deepseek</x:v>
      </x:c>
      <x:c r="B1857" s="35" t="str">
        <x:v>Closure</x:v>
      </x:c>
      <x:c r="C1857" s="35" t="str">
        <x:v>Round1</x:v>
      </x:c>
      <x:c r="D1857" s="35" t="str">
        <x:v>Closure_173</x:v>
      </x:c>
      <x:c r="E1857" s="35" t="str">
        <x:v>Condition</x:v>
      </x:c>
      <x:c r="F1857" s="35"/>
      <x:c r="G1857" s="35" t="str">
        <x:v>A</x:v>
      </x:c>
      <x:c r="H1857" s="39" t="str">
        <x:f>IF(ISNUMBER('Data'!N149),'Data'!N149*100,"")</x:f>
      </x:c>
      <x:c r="I1857" s="35"/>
      <x:c r="J1857" s="35" t="str">
        <x:v>PASS</x:v>
      </x:c>
      <x:c r="K1857" s="35" t="str">
        <x:v>FAIL</x:v>
      </x:c>
      <x:c r="L1857" s="35" t="str">
        <x:v>NOT_RUN</x:v>
      </x:c>
      <x:c r="M1857" s="35" t="str">
        <x:v>coverage unavailable or execution/compile failed</x:v>
      </x:c>
      <x:c r="N1857" s="35" t="str">
        <x:v>Deepseek-flash-v4/Result/Closure_173/result.json</x:v>
      </x:c>
      <x:c r="O1857" s="39" t="str">
        <x:f>IF(AND(G1857="RECORDED",ISNUMBER(H1857)),H1857,"")</x:f>
      </x:c>
      <x:c r="P1857" s="35" t="str">
        <x:v>NOT_AVAILABLE</x:v>
      </x:c>
      <x:c r="Q1857" s="35" t="str">
        <x:v>Deepseek-flash-v4/Result/Closure_173/result.json</x:v>
      </x:c>
    </x:row>
    <x:row r="1858">
      <x:c r="A1858" s="35" t="str">
        <x:v>deepseek</x:v>
      </x:c>
      <x:c r="B1858" s="35" t="str">
        <x:v>Closure</x:v>
      </x:c>
      <x:c r="C1858" s="35" t="str">
        <x:v>Round1</x:v>
      </x:c>
      <x:c r="D1858" s="35" t="str">
        <x:v>Closure_174</x:v>
      </x:c>
      <x:c r="E1858" s="35" t="str">
        <x:v>Condition</x:v>
      </x:c>
      <x:c r="F1858" s="35"/>
      <x:c r="G1858" s="35" t="str">
        <x:v>A</x:v>
      </x:c>
      <x:c r="H1858" s="39" t="str">
        <x:f>IF(ISNUMBER('Data'!N150),'Data'!N150*100,"")</x:f>
      </x:c>
      <x:c r="I1858" s="35"/>
      <x:c r="J1858" s="35" t="str">
        <x:v>PASS</x:v>
      </x:c>
      <x:c r="K1858" s="35" t="str">
        <x:v>FAIL</x:v>
      </x:c>
      <x:c r="L1858" s="35" t="str">
        <x:v>NOT_RUN</x:v>
      </x:c>
      <x:c r="M1858" s="35" t="str">
        <x:v>coverage unavailable or execution/compile failed</x:v>
      </x:c>
      <x:c r="N1858" s="35" t="str">
        <x:v>Deepseek-flash-v4/Result/Closure_174/result.json</x:v>
      </x:c>
      <x:c r="O1858" s="39" t="str">
        <x:f>IF(AND(G1858="RECORDED",ISNUMBER(H1858)),H1858,"")</x:f>
      </x:c>
      <x:c r="P1858" s="35" t="str">
        <x:v>NOT_AVAILABLE</x:v>
      </x:c>
      <x:c r="Q1858" s="35" t="str">
        <x:v>Deepseek-flash-v4/Result/Closure_174/result.json</x:v>
      </x:c>
    </x:row>
    <x:row r="1859">
      <x:c r="A1859" s="35" t="str">
        <x:v>deepseek</x:v>
      </x:c>
      <x:c r="B1859" s="35" t="str">
        <x:v>Closure</x:v>
      </x:c>
      <x:c r="C1859" s="35" t="str">
        <x:v>Round1</x:v>
      </x:c>
      <x:c r="D1859" s="35" t="str">
        <x:v>Closure_175</x:v>
      </x:c>
      <x:c r="E1859" s="35" t="str">
        <x:v>Condition</x:v>
      </x:c>
      <x:c r="F1859" s="35"/>
      <x:c r="G1859" s="35" t="str">
        <x:v>A</x:v>
      </x:c>
      <x:c r="H1859" s="39" t="str">
        <x:f>IF(ISNUMBER('Data'!N151),'Data'!N151*100,"")</x:f>
      </x:c>
      <x:c r="I1859" s="35"/>
      <x:c r="J1859" s="35" t="str">
        <x:v>PASS</x:v>
      </x:c>
      <x:c r="K1859" s="35" t="str">
        <x:v>FAIL</x:v>
      </x:c>
      <x:c r="L1859" s="35" t="str">
        <x:v>NOT_RUN</x:v>
      </x:c>
      <x:c r="M1859" s="35" t="str">
        <x:v>coverage unavailable or execution/compile failed</x:v>
      </x:c>
      <x:c r="N1859" s="35" t="str">
        <x:v>Deepseek-flash-v4/Result/Closure_175/result.json</x:v>
      </x:c>
      <x:c r="O1859" s="39" t="str">
        <x:f>IF(AND(G1859="RECORDED",ISNUMBER(H1859)),H1859,"")</x:f>
      </x:c>
      <x:c r="P1859" s="35" t="str">
        <x:v>NOT_AVAILABLE</x:v>
      </x:c>
      <x:c r="Q1859" s="35" t="str">
        <x:v>Deepseek-flash-v4/Result/Closure_175/result.json</x:v>
      </x:c>
    </x:row>
    <x:row r="1860">
      <x:c r="A1860" s="35" t="str">
        <x:v>deepseek</x:v>
      </x:c>
      <x:c r="B1860" s="35" t="str">
        <x:v>Closure</x:v>
      </x:c>
      <x:c r="C1860" s="35" t="str">
        <x:v>Round1</x:v>
      </x:c>
      <x:c r="D1860" s="35" t="str">
        <x:v>Closure_176</x:v>
      </x:c>
      <x:c r="E1860" s="35" t="str">
        <x:v>Condition</x:v>
      </x:c>
      <x:c r="F1860" s="35"/>
      <x:c r="G1860" s="35" t="str">
        <x:v>A</x:v>
      </x:c>
      <x:c r="H1860" s="39" t="str">
        <x:f>IF(ISNUMBER('Data'!N152),'Data'!N152*100,"")</x:f>
      </x:c>
      <x:c r="I1860" s="35"/>
      <x:c r="J1860" s="35" t="str">
        <x:v>PASS</x:v>
      </x:c>
      <x:c r="K1860" s="35" t="str">
        <x:v>FAIL</x:v>
      </x:c>
      <x:c r="L1860" s="35" t="str">
        <x:v>NOT_RUN</x:v>
      </x:c>
      <x:c r="M1860" s="35" t="str">
        <x:v>coverage unavailable or execution/compile failed</x:v>
      </x:c>
      <x:c r="N1860" s="35" t="str">
        <x:v>Deepseek-flash-v4/Result/Closure_176/result.json</x:v>
      </x:c>
      <x:c r="O1860" s="39" t="str">
        <x:f>IF(AND(G1860="RECORDED",ISNUMBER(H1860)),H1860,"")</x:f>
      </x:c>
      <x:c r="P1860" s="35" t="str">
        <x:v>NOT_AVAILABLE</x:v>
      </x:c>
      <x:c r="Q1860" s="35" t="str">
        <x:v>Deepseek-flash-v4/Result/Closure_176/result.json</x:v>
      </x:c>
    </x:row>
    <x:row r="1861">
      <x:c r="A1861" s="35" t="str">
        <x:v>deepseek</x:v>
      </x:c>
      <x:c r="B1861" s="35" t="str">
        <x:v>Closure</x:v>
      </x:c>
      <x:c r="C1861" s="35" t="str">
        <x:v>Round1</x:v>
      </x:c>
      <x:c r="D1861" s="35" t="str">
        <x:v>Closure_18</x:v>
      </x:c>
      <x:c r="E1861" s="35" t="str">
        <x:v>Condition</x:v>
      </x:c>
      <x:c r="F1861" s="35"/>
      <x:c r="G1861" s="35" t="str">
        <x:v>A</x:v>
      </x:c>
      <x:c r="H1861" s="39" t="str">
        <x:f>IF(ISNUMBER('Data'!N153),'Data'!N153*100,"")</x:f>
      </x:c>
      <x:c r="I1861" s="35"/>
      <x:c r="J1861" s="35" t="str">
        <x:v>PASS</x:v>
      </x:c>
      <x:c r="K1861" s="35" t="str">
        <x:v>FAIL</x:v>
      </x:c>
      <x:c r="L1861" s="35" t="str">
        <x:v>NOT_RUN</x:v>
      </x:c>
      <x:c r="M1861" s="35" t="str">
        <x:v>coverage unavailable or execution/compile failed</x:v>
      </x:c>
      <x:c r="N1861" s="35" t="str">
        <x:v>Deepseek-flash-v4/Result/Closure_18/result.json</x:v>
      </x:c>
      <x:c r="O1861" s="39" t="str">
        <x:f>IF(AND(G1861="RECORDED",ISNUMBER(H1861)),H1861,"")</x:f>
      </x:c>
      <x:c r="P1861" s="35" t="str">
        <x:v>NOT_AVAILABLE</x:v>
      </x:c>
      <x:c r="Q1861" s="35" t="str">
        <x:v>Deepseek-flash-v4/Result/Closure_18/result.json</x:v>
      </x:c>
    </x:row>
    <x:row r="1862">
      <x:c r="A1862" s="35" t="str">
        <x:v>deepseek</x:v>
      </x:c>
      <x:c r="B1862" s="35" t="str">
        <x:v>Closure</x:v>
      </x:c>
      <x:c r="C1862" s="35" t="str">
        <x:v>Round1</x:v>
      </x:c>
      <x:c r="D1862" s="35" t="str">
        <x:v>Closure_19</x:v>
      </x:c>
      <x:c r="E1862" s="35" t="str">
        <x:v>Condition</x:v>
      </x:c>
      <x:c r="F1862" s="35"/>
      <x:c r="G1862" s="35" t="str">
        <x:v>A</x:v>
      </x:c>
      <x:c r="H1862" s="39" t="str">
        <x:f>IF(ISNUMBER('Data'!N154),'Data'!N154*100,"")</x:f>
      </x:c>
      <x:c r="I1862" s="35"/>
      <x:c r="J1862" s="35" t="str">
        <x:v>PASS</x:v>
      </x:c>
      <x:c r="K1862" s="35" t="str">
        <x:v>FAIL</x:v>
      </x:c>
      <x:c r="L1862" s="35" t="str">
        <x:v>NOT_RUN</x:v>
      </x:c>
      <x:c r="M1862" s="35" t="str">
        <x:v>coverage unavailable or execution/compile failed</x:v>
      </x:c>
      <x:c r="N1862" s="35" t="str">
        <x:v>Deepseek-flash-v4/Result/Closure_19/result.json</x:v>
      </x:c>
      <x:c r="O1862" s="39" t="str">
        <x:f>IF(AND(G1862="RECORDED",ISNUMBER(H1862)),H1862,"")</x:f>
      </x:c>
      <x:c r="P1862" s="35" t="str">
        <x:v>NOT_AVAILABLE</x:v>
      </x:c>
      <x:c r="Q1862" s="35" t="str">
        <x:v>Deepseek-flash-v4/Result/Closure_19/result.json</x:v>
      </x:c>
    </x:row>
    <x:row r="1863">
      <x:c r="A1863" s="35" t="str">
        <x:v>deepseek</x:v>
      </x:c>
      <x:c r="B1863" s="35" t="str">
        <x:v>Closure</x:v>
      </x:c>
      <x:c r="C1863" s="35" t="str">
        <x:v>Round1</x:v>
      </x:c>
      <x:c r="D1863" s="35" t="str">
        <x:v>Closure_2</x:v>
      </x:c>
      <x:c r="E1863" s="35" t="str">
        <x:v>Condition</x:v>
      </x:c>
      <x:c r="F1863" s="35"/>
      <x:c r="G1863" s="35" t="str">
        <x:v>A</x:v>
      </x:c>
      <x:c r="H1863" s="39" t="str">
        <x:f>IF(ISNUMBER('Data'!N155),'Data'!N155*100,"")</x:f>
      </x:c>
      <x:c r="I1863" s="35"/>
      <x:c r="J1863" s="35" t="str">
        <x:v>PASS</x:v>
      </x:c>
      <x:c r="K1863" s="35" t="str">
        <x:v>FAIL</x:v>
      </x:c>
      <x:c r="L1863" s="35" t="str">
        <x:v>NOT_RUN</x:v>
      </x:c>
      <x:c r="M1863" s="35" t="str">
        <x:v>coverage unavailable or execution/compile failed</x:v>
      </x:c>
      <x:c r="N1863" s="35" t="str">
        <x:v>Deepseek-flash-v4/Result/Closure_2/result.json</x:v>
      </x:c>
      <x:c r="O1863" s="39" t="str">
        <x:f>IF(AND(G1863="RECORDED",ISNUMBER(H1863)),H1863,"")</x:f>
      </x:c>
      <x:c r="P1863" s="35" t="str">
        <x:v>NOT_AVAILABLE</x:v>
      </x:c>
      <x:c r="Q1863" s="35" t="str">
        <x:v>Deepseek-flash-v4/Result/Closure_2/result.json</x:v>
      </x:c>
    </x:row>
    <x:row r="1864">
      <x:c r="A1864" s="35" t="str">
        <x:v>deepseek</x:v>
      </x:c>
      <x:c r="B1864" s="35" t="str">
        <x:v>Closure</x:v>
      </x:c>
      <x:c r="C1864" s="35" t="str">
        <x:v>Round1</x:v>
      </x:c>
      <x:c r="D1864" s="35" t="str">
        <x:v>Closure_20</x:v>
      </x:c>
      <x:c r="E1864" s="35" t="str">
        <x:v>Condition</x:v>
      </x:c>
      <x:c r="F1864" s="35" t="n">
        <x:v>526</x:v>
      </x:c>
      <x:c r="G1864" s="35" t="str">
        <x:v>RECORDED</x:v>
      </x:c>
      <x:c r="H1864" s="39" t="n">
        <x:f>IF(ISNUMBER('Data'!N156),'Data'!N156*100,"")</x:f>
        <x:v>6.08</x:v>
      </x:c>
      <x:c r="I1864" s="35" t="str">
        <x:v>PASS</x:v>
      </x:c>
      <x:c r="J1864" s="35" t="str">
        <x:v>PASS</x:v>
      </x:c>
      <x:c r="K1864" s="35" t="str">
        <x:v>PASS</x:v>
      </x:c>
      <x:c r="L1864" s="35" t="str">
        <x:v>FAIL</x:v>
      </x:c>
      <x:c r="M1864" s="35" t="str">
        <x:v>numeric coverage for applicable metric</x:v>
      </x:c>
      <x:c r="N1864" s="35" t="str">
        <x:v>Deepseek-flash-v4/Result/Closure_20/result.json</x:v>
      </x:c>
      <x:c r="O1864" s="39" t="n">
        <x:f>IF(AND(G1864="RECORDED",ISNUMBER(H1864)),H1864,"")</x:f>
        <x:v>6.08</x:v>
      </x:c>
      <x:c r="P1864" s="35" t="str">
        <x:v>INCONCLUSIVE</x:v>
      </x:c>
      <x:c r="Q1864" s="35" t="str">
        <x:v>Deepseek-flash-v4/Result/Closure_20/result.json</x:v>
      </x:c>
    </x:row>
    <x:row r="1865">
      <x:c r="A1865" s="35" t="str">
        <x:v>deepseek</x:v>
      </x:c>
      <x:c r="B1865" s="35" t="str">
        <x:v>Closure</x:v>
      </x:c>
      <x:c r="C1865" s="35" t="str">
        <x:v>Round1</x:v>
      </x:c>
      <x:c r="D1865" s="35" t="str">
        <x:v>Closure_21</x:v>
      </x:c>
      <x:c r="E1865" s="35" t="str">
        <x:v>Condition</x:v>
      </x:c>
      <x:c r="F1865" s="35"/>
      <x:c r="G1865" s="35" t="str">
        <x:v>A</x:v>
      </x:c>
      <x:c r="H1865" s="39" t="str">
        <x:f>IF(ISNUMBER('Data'!N157),'Data'!N157*100,"")</x:f>
      </x:c>
      <x:c r="I1865" s="35"/>
      <x:c r="J1865" s="35" t="str">
        <x:v>PASS</x:v>
      </x:c>
      <x:c r="K1865" s="35" t="str">
        <x:v>FAIL</x:v>
      </x:c>
      <x:c r="L1865" s="35" t="str">
        <x:v>NOT_RUN</x:v>
      </x:c>
      <x:c r="M1865" s="35" t="str">
        <x:v>coverage unavailable or execution/compile failed</x:v>
      </x:c>
      <x:c r="N1865" s="35" t="str">
        <x:v>Deepseek-flash-v4/Result/Closure_21/result.json</x:v>
      </x:c>
      <x:c r="O1865" s="39" t="str">
        <x:f>IF(AND(G1865="RECORDED",ISNUMBER(H1865)),H1865,"")</x:f>
      </x:c>
      <x:c r="P1865" s="35" t="str">
        <x:v>NOT_AVAILABLE</x:v>
      </x:c>
      <x:c r="Q1865" s="35" t="str">
        <x:v>Deepseek-flash-v4/Result/Closure_21/result.json</x:v>
      </x:c>
    </x:row>
    <x:row r="1866">
      <x:c r="A1866" s="35" t="str">
        <x:v>deepseek</x:v>
      </x:c>
      <x:c r="B1866" s="35" t="str">
        <x:v>Closure</x:v>
      </x:c>
      <x:c r="C1866" s="35" t="str">
        <x:v>Round1</x:v>
      </x:c>
      <x:c r="D1866" s="35" t="str">
        <x:v>Closure_22</x:v>
      </x:c>
      <x:c r="E1866" s="35" t="str">
        <x:v>Condition</x:v>
      </x:c>
      <x:c r="F1866" s="35"/>
      <x:c r="G1866" s="35" t="str">
        <x:v>A</x:v>
      </x:c>
      <x:c r="H1866" s="39" t="str">
        <x:f>IF(ISNUMBER('Data'!N158),'Data'!N158*100,"")</x:f>
      </x:c>
      <x:c r="I1866" s="35"/>
      <x:c r="J1866" s="35" t="str">
        <x:v>PASS</x:v>
      </x:c>
      <x:c r="K1866" s="35" t="str">
        <x:v>FAIL</x:v>
      </x:c>
      <x:c r="L1866" s="35" t="str">
        <x:v>NOT_RUN</x:v>
      </x:c>
      <x:c r="M1866" s="35" t="str">
        <x:v>coverage unavailable or execution/compile failed</x:v>
      </x:c>
      <x:c r="N1866" s="35" t="str">
        <x:v>Deepseek-flash-v4/Result/Closure_22/result.json</x:v>
      </x:c>
      <x:c r="O1866" s="39" t="str">
        <x:f>IF(AND(G1866="RECORDED",ISNUMBER(H1866)),H1866,"")</x:f>
      </x:c>
      <x:c r="P1866" s="35" t="str">
        <x:v>NOT_AVAILABLE</x:v>
      </x:c>
      <x:c r="Q1866" s="35" t="str">
        <x:v>Deepseek-flash-v4/Result/Closure_22/result.json</x:v>
      </x:c>
    </x:row>
    <x:row r="1867">
      <x:c r="A1867" s="35" t="str">
        <x:v>deepseek</x:v>
      </x:c>
      <x:c r="B1867" s="35" t="str">
        <x:v>Closure</x:v>
      </x:c>
      <x:c r="C1867" s="35" t="str">
        <x:v>Round1</x:v>
      </x:c>
      <x:c r="D1867" s="35" t="str">
        <x:v>Closure_23</x:v>
      </x:c>
      <x:c r="E1867" s="35" t="str">
        <x:v>Condition</x:v>
      </x:c>
      <x:c r="F1867" s="35"/>
      <x:c r="G1867" s="35" t="str">
        <x:v>A</x:v>
      </x:c>
      <x:c r="H1867" s="39" t="str">
        <x:f>IF(ISNUMBER('Data'!N159),'Data'!N159*100,"")</x:f>
      </x:c>
      <x:c r="I1867" s="35"/>
      <x:c r="J1867" s="35" t="str">
        <x:v>PASS</x:v>
      </x:c>
      <x:c r="K1867" s="35" t="str">
        <x:v>FAIL</x:v>
      </x:c>
      <x:c r="L1867" s="35" t="str">
        <x:v>NOT_RUN</x:v>
      </x:c>
      <x:c r="M1867" s="35" t="str">
        <x:v>coverage unavailable or execution/compile failed</x:v>
      </x:c>
      <x:c r="N1867" s="35" t="str">
        <x:v>Deepseek-flash-v4/Result/Closure_23/result.json</x:v>
      </x:c>
      <x:c r="O1867" s="39" t="str">
        <x:f>IF(AND(G1867="RECORDED",ISNUMBER(H1867)),H1867,"")</x:f>
      </x:c>
      <x:c r="P1867" s="35" t="str">
        <x:v>NOT_AVAILABLE</x:v>
      </x:c>
      <x:c r="Q1867" s="35" t="str">
        <x:v>Deepseek-flash-v4/Result/Closure_23/result.json</x:v>
      </x:c>
    </x:row>
    <x:row r="1868">
      <x:c r="A1868" s="35" t="str">
        <x:v>deepseek</x:v>
      </x:c>
      <x:c r="B1868" s="35" t="str">
        <x:v>Closure</x:v>
      </x:c>
      <x:c r="C1868" s="35" t="str">
        <x:v>Round1</x:v>
      </x:c>
      <x:c r="D1868" s="35" t="str">
        <x:v>Closure_24</x:v>
      </x:c>
      <x:c r="E1868" s="35" t="str">
        <x:v>Condition</x:v>
      </x:c>
      <x:c r="F1868" s="35"/>
      <x:c r="G1868" s="35" t="str">
        <x:v>A</x:v>
      </x:c>
      <x:c r="H1868" s="39" t="str">
        <x:f>IF(ISNUMBER('Data'!N160),'Data'!N160*100,"")</x:f>
      </x:c>
      <x:c r="I1868" s="35"/>
      <x:c r="J1868" s="35" t="str">
        <x:v>PASS</x:v>
      </x:c>
      <x:c r="K1868" s="35" t="str">
        <x:v>FAIL</x:v>
      </x:c>
      <x:c r="L1868" s="35" t="str">
        <x:v>NOT_RUN</x:v>
      </x:c>
      <x:c r="M1868" s="35" t="str">
        <x:v>coverage unavailable or execution/compile failed</x:v>
      </x:c>
      <x:c r="N1868" s="35" t="str">
        <x:v>Deepseek-flash-v4/Result/Closure_24/result.json</x:v>
      </x:c>
      <x:c r="O1868" s="39" t="str">
        <x:f>IF(AND(G1868="RECORDED",ISNUMBER(H1868)),H1868,"")</x:f>
      </x:c>
      <x:c r="P1868" s="35" t="str">
        <x:v>NOT_AVAILABLE</x:v>
      </x:c>
      <x:c r="Q1868" s="35" t="str">
        <x:v>Deepseek-flash-v4/Result/Closure_24/result.json</x:v>
      </x:c>
    </x:row>
    <x:row r="1869">
      <x:c r="A1869" s="35" t="str">
        <x:v>deepseek</x:v>
      </x:c>
      <x:c r="B1869" s="35" t="str">
        <x:v>Closure</x:v>
      </x:c>
      <x:c r="C1869" s="35" t="str">
        <x:v>Round1</x:v>
      </x:c>
      <x:c r="D1869" s="35" t="str">
        <x:v>Closure_25</x:v>
      </x:c>
      <x:c r="E1869" s="35" t="str">
        <x:v>Condition</x:v>
      </x:c>
      <x:c r="F1869" s="35"/>
      <x:c r="G1869" s="35" t="str">
        <x:v>A</x:v>
      </x:c>
      <x:c r="H1869" s="39" t="str">
        <x:f>IF(ISNUMBER('Data'!N161),'Data'!N161*100,"")</x:f>
      </x:c>
      <x:c r="I1869" s="35"/>
      <x:c r="J1869" s="35" t="str">
        <x:v>PASS</x:v>
      </x:c>
      <x:c r="K1869" s="35" t="str">
        <x:v>FAIL</x:v>
      </x:c>
      <x:c r="L1869" s="35" t="str">
        <x:v>NOT_RUN</x:v>
      </x:c>
      <x:c r="M1869" s="35" t="str">
        <x:v>coverage unavailable or execution/compile failed</x:v>
      </x:c>
      <x:c r="N1869" s="35" t="str">
        <x:v>Deepseek-flash-v4/Result/Closure_25/result.json</x:v>
      </x:c>
      <x:c r="O1869" s="39" t="str">
        <x:f>IF(AND(G1869="RECORDED",ISNUMBER(H1869)),H1869,"")</x:f>
      </x:c>
      <x:c r="P1869" s="35" t="str">
        <x:v>NOT_AVAILABLE</x:v>
      </x:c>
      <x:c r="Q1869" s="35" t="str">
        <x:v>Deepseek-flash-v4/Result/Closure_25/result.json</x:v>
      </x:c>
    </x:row>
    <x:row r="1870">
      <x:c r="A1870" s="35" t="str">
        <x:v>deepseek</x:v>
      </x:c>
      <x:c r="B1870" s="35" t="str">
        <x:v>Closure</x:v>
      </x:c>
      <x:c r="C1870" s="35" t="str">
        <x:v>Round1</x:v>
      </x:c>
      <x:c r="D1870" s="35" t="str">
        <x:v>Closure_26</x:v>
      </x:c>
      <x:c r="E1870" s="35" t="str">
        <x:v>Condition</x:v>
      </x:c>
      <x:c r="F1870" s="35"/>
      <x:c r="G1870" s="35" t="str">
        <x:v>A</x:v>
      </x:c>
      <x:c r="H1870" s="39" t="str">
        <x:f>IF(ISNUMBER('Data'!N162),'Data'!N162*100,"")</x:f>
      </x:c>
      <x:c r="I1870" s="35"/>
      <x:c r="J1870" s="35" t="str">
        <x:v>PASS</x:v>
      </x:c>
      <x:c r="K1870" s="35" t="str">
        <x:v>FAIL</x:v>
      </x:c>
      <x:c r="L1870" s="35" t="str">
        <x:v>NOT_RUN</x:v>
      </x:c>
      <x:c r="M1870" s="35" t="str">
        <x:v>coverage unavailable or execution/compile failed</x:v>
      </x:c>
      <x:c r="N1870" s="35" t="str">
        <x:v>Deepseek-flash-v4/Result/Closure_26/result.json</x:v>
      </x:c>
      <x:c r="O1870" s="39" t="str">
        <x:f>IF(AND(G1870="RECORDED",ISNUMBER(H1870)),H1870,"")</x:f>
      </x:c>
      <x:c r="P1870" s="35" t="str">
        <x:v>NOT_AVAILABLE</x:v>
      </x:c>
      <x:c r="Q1870" s="35" t="str">
        <x:v>Deepseek-flash-v4/Result/Closure_26/result.json</x:v>
      </x:c>
    </x:row>
    <x:row r="1871">
      <x:c r="A1871" s="35" t="str">
        <x:v>deepseek</x:v>
      </x:c>
      <x:c r="B1871" s="35" t="str">
        <x:v>Closure</x:v>
      </x:c>
      <x:c r="C1871" s="35" t="str">
        <x:v>Round1</x:v>
      </x:c>
      <x:c r="D1871" s="35" t="str">
        <x:v>Closure_27</x:v>
      </x:c>
      <x:c r="E1871" s="35" t="str">
        <x:v>Condition</x:v>
      </x:c>
      <x:c r="F1871" s="35"/>
      <x:c r="G1871" s="35" t="str">
        <x:v>A</x:v>
      </x:c>
      <x:c r="H1871" s="39" t="str">
        <x:f>IF(ISNUMBER('Data'!N163),'Data'!N163*100,"")</x:f>
      </x:c>
      <x:c r="I1871" s="35"/>
      <x:c r="J1871" s="35" t="str">
        <x:v>PASS</x:v>
      </x:c>
      <x:c r="K1871" s="35" t="str">
        <x:v>FAIL</x:v>
      </x:c>
      <x:c r="L1871" s="35" t="str">
        <x:v>NOT_RUN</x:v>
      </x:c>
      <x:c r="M1871" s="35" t="str">
        <x:v>coverage unavailable or execution/compile failed</x:v>
      </x:c>
      <x:c r="N1871" s="35" t="str">
        <x:v>Deepseek-flash-v4/Result/Closure_27/result.json</x:v>
      </x:c>
      <x:c r="O1871" s="39" t="str">
        <x:f>IF(AND(G1871="RECORDED",ISNUMBER(H1871)),H1871,"")</x:f>
      </x:c>
      <x:c r="P1871" s="35" t="str">
        <x:v>NOT_AVAILABLE</x:v>
      </x:c>
      <x:c r="Q1871" s="35" t="str">
        <x:v>Deepseek-flash-v4/Result/Closure_27/result.json</x:v>
      </x:c>
    </x:row>
    <x:row r="1872">
      <x:c r="A1872" s="35" t="str">
        <x:v>deepseek</x:v>
      </x:c>
      <x:c r="B1872" s="35" t="str">
        <x:v>Closure</x:v>
      </x:c>
      <x:c r="C1872" s="35" t="str">
        <x:v>Round1</x:v>
      </x:c>
      <x:c r="D1872" s="35" t="str">
        <x:v>Closure_28</x:v>
      </x:c>
      <x:c r="E1872" s="35" t="str">
        <x:v>Condition</x:v>
      </x:c>
      <x:c r="F1872" s="35"/>
      <x:c r="G1872" s="35" t="str">
        <x:v>A</x:v>
      </x:c>
      <x:c r="H1872" s="39" t="str">
        <x:f>IF(ISNUMBER('Data'!N164),'Data'!N164*100,"")</x:f>
      </x:c>
      <x:c r="I1872" s="35"/>
      <x:c r="J1872" s="35" t="str">
        <x:v>PASS</x:v>
      </x:c>
      <x:c r="K1872" s="35" t="str">
        <x:v>FAIL</x:v>
      </x:c>
      <x:c r="L1872" s="35" t="str">
        <x:v>NOT_RUN</x:v>
      </x:c>
      <x:c r="M1872" s="35" t="str">
        <x:v>coverage unavailable or execution/compile failed</x:v>
      </x:c>
      <x:c r="N1872" s="35" t="str">
        <x:v>Deepseek-flash-v4/Result/Closure_28/result.json</x:v>
      </x:c>
      <x:c r="O1872" s="39" t="str">
        <x:f>IF(AND(G1872="RECORDED",ISNUMBER(H1872)),H1872,"")</x:f>
      </x:c>
      <x:c r="P1872" s="35" t="str">
        <x:v>NOT_AVAILABLE</x:v>
      </x:c>
      <x:c r="Q1872" s="35" t="str">
        <x:v>Deepseek-flash-v4/Result/Closure_28/result.json</x:v>
      </x:c>
    </x:row>
    <x:row r="1873">
      <x:c r="A1873" s="35" t="str">
        <x:v>deepseek</x:v>
      </x:c>
      <x:c r="B1873" s="35" t="str">
        <x:v>Closure</x:v>
      </x:c>
      <x:c r="C1873" s="35" t="str">
        <x:v>Round1</x:v>
      </x:c>
      <x:c r="D1873" s="35" t="str">
        <x:v>Closure_29</x:v>
      </x:c>
      <x:c r="E1873" s="35" t="str">
        <x:v>Condition</x:v>
      </x:c>
      <x:c r="F1873" s="35"/>
      <x:c r="G1873" s="35" t="str">
        <x:v>A</x:v>
      </x:c>
      <x:c r="H1873" s="39" t="str">
        <x:f>IF(ISNUMBER('Data'!N165),'Data'!N165*100,"")</x:f>
      </x:c>
      <x:c r="I1873" s="35"/>
      <x:c r="J1873" s="35" t="str">
        <x:v>PASS</x:v>
      </x:c>
      <x:c r="K1873" s="35" t="str">
        <x:v>FAIL</x:v>
      </x:c>
      <x:c r="L1873" s="35" t="str">
        <x:v>NOT_RUN</x:v>
      </x:c>
      <x:c r="M1873" s="35" t="str">
        <x:v>coverage unavailable or execution/compile failed</x:v>
      </x:c>
      <x:c r="N1873" s="35" t="str">
        <x:v>Deepseek-flash-v4/Result/Closure_29/result.json</x:v>
      </x:c>
      <x:c r="O1873" s="39" t="str">
        <x:f>IF(AND(G1873="RECORDED",ISNUMBER(H1873)),H1873,"")</x:f>
      </x:c>
      <x:c r="P1873" s="35" t="str">
        <x:v>NOT_AVAILABLE</x:v>
      </x:c>
      <x:c r="Q1873" s="35" t="str">
        <x:v>Deepseek-flash-v4/Result/Closure_29/result.json</x:v>
      </x:c>
    </x:row>
    <x:row r="1874">
      <x:c r="A1874" s="35" t="str">
        <x:v>deepseek</x:v>
      </x:c>
      <x:c r="B1874" s="35" t="str">
        <x:v>Closure</x:v>
      </x:c>
      <x:c r="C1874" s="35" t="str">
        <x:v>Round1</x:v>
      </x:c>
      <x:c r="D1874" s="35" t="str">
        <x:v>Closure_3</x:v>
      </x:c>
      <x:c r="E1874" s="35" t="str">
        <x:v>Condition</x:v>
      </x:c>
      <x:c r="F1874" s="35"/>
      <x:c r="G1874" s="35" t="str">
        <x:v>A</x:v>
      </x:c>
      <x:c r="H1874" s="39" t="str">
        <x:f>IF(ISNUMBER('Data'!N166),'Data'!N166*100,"")</x:f>
      </x:c>
      <x:c r="I1874" s="35"/>
      <x:c r="J1874" s="35" t="str">
        <x:v>PASS</x:v>
      </x:c>
      <x:c r="K1874" s="35" t="str">
        <x:v>FAIL</x:v>
      </x:c>
      <x:c r="L1874" s="35" t="str">
        <x:v>NOT_RUN</x:v>
      </x:c>
      <x:c r="M1874" s="35" t="str">
        <x:v>coverage unavailable or execution/compile failed</x:v>
      </x:c>
      <x:c r="N1874" s="35" t="str">
        <x:v>Deepseek-flash-v4/Result/Closure_3/result.json</x:v>
      </x:c>
      <x:c r="O1874" s="39" t="str">
        <x:f>IF(AND(G1874="RECORDED",ISNUMBER(H1874)),H1874,"")</x:f>
      </x:c>
      <x:c r="P1874" s="35" t="str">
        <x:v>NOT_AVAILABLE</x:v>
      </x:c>
      <x:c r="Q1874" s="35" t="str">
        <x:v>Deepseek-flash-v4/Result/Closure_3/result.json</x:v>
      </x:c>
    </x:row>
    <x:row r="1875">
      <x:c r="A1875" s="35" t="str">
        <x:v>deepseek</x:v>
      </x:c>
      <x:c r="B1875" s="35" t="str">
        <x:v>Closure</x:v>
      </x:c>
      <x:c r="C1875" s="35" t="str">
        <x:v>Round1</x:v>
      </x:c>
      <x:c r="D1875" s="35" t="str">
        <x:v>Closure_30</x:v>
      </x:c>
      <x:c r="E1875" s="35" t="str">
        <x:v>Condition</x:v>
      </x:c>
      <x:c r="F1875" s="35"/>
      <x:c r="G1875" s="35" t="str">
        <x:v>A</x:v>
      </x:c>
      <x:c r="H1875" s="39" t="str">
        <x:f>IF(ISNUMBER('Data'!N167),'Data'!N167*100,"")</x:f>
      </x:c>
      <x:c r="I1875" s="35"/>
      <x:c r="J1875" s="35" t="str">
        <x:v>PASS</x:v>
      </x:c>
      <x:c r="K1875" s="35" t="str">
        <x:v>FAIL</x:v>
      </x:c>
      <x:c r="L1875" s="35" t="str">
        <x:v>NOT_RUN</x:v>
      </x:c>
      <x:c r="M1875" s="35" t="str">
        <x:v>coverage unavailable or execution/compile failed</x:v>
      </x:c>
      <x:c r="N1875" s="35" t="str">
        <x:v>Deepseek-flash-v4/Result/Closure_30/result.json</x:v>
      </x:c>
      <x:c r="O1875" s="39" t="str">
        <x:f>IF(AND(G1875="RECORDED",ISNUMBER(H1875)),H1875,"")</x:f>
      </x:c>
      <x:c r="P1875" s="35" t="str">
        <x:v>NOT_AVAILABLE</x:v>
      </x:c>
      <x:c r="Q1875" s="35" t="str">
        <x:v>Deepseek-flash-v4/Result/Closure_30/result.json</x:v>
      </x:c>
    </x:row>
    <x:row r="1876">
      <x:c r="A1876" s="35" t="str">
        <x:v>deepseek</x:v>
      </x:c>
      <x:c r="B1876" s="35" t="str">
        <x:v>Closure</x:v>
      </x:c>
      <x:c r="C1876" s="35" t="str">
        <x:v>Round1</x:v>
      </x:c>
      <x:c r="D1876" s="35" t="str">
        <x:v>Closure_31</x:v>
      </x:c>
      <x:c r="E1876" s="35" t="str">
        <x:v>Condition</x:v>
      </x:c>
      <x:c r="F1876" s="35"/>
      <x:c r="G1876" s="35" t="str">
        <x:v>A</x:v>
      </x:c>
      <x:c r="H1876" s="39" t="str">
        <x:f>IF(ISNUMBER('Data'!N168),'Data'!N168*100,"")</x:f>
      </x:c>
      <x:c r="I1876" s="35"/>
      <x:c r="J1876" s="35" t="str">
        <x:v>PASS</x:v>
      </x:c>
      <x:c r="K1876" s="35" t="str">
        <x:v>FAIL</x:v>
      </x:c>
      <x:c r="L1876" s="35" t="str">
        <x:v>NOT_RUN</x:v>
      </x:c>
      <x:c r="M1876" s="35" t="str">
        <x:v>coverage unavailable or execution/compile failed</x:v>
      </x:c>
      <x:c r="N1876" s="35" t="str">
        <x:v>Deepseek-flash-v4/Result/Closure_31/result.json</x:v>
      </x:c>
      <x:c r="O1876" s="39" t="str">
        <x:f>IF(AND(G1876="RECORDED",ISNUMBER(H1876)),H1876,"")</x:f>
      </x:c>
      <x:c r="P1876" s="35" t="str">
        <x:v>NOT_AVAILABLE</x:v>
      </x:c>
      <x:c r="Q1876" s="35" t="str">
        <x:v>Deepseek-flash-v4/Result/Closure_31/result.json</x:v>
      </x:c>
    </x:row>
    <x:row r="1877">
      <x:c r="A1877" s="35" t="str">
        <x:v>deepseek</x:v>
      </x:c>
      <x:c r="B1877" s="35" t="str">
        <x:v>Closure</x:v>
      </x:c>
      <x:c r="C1877" s="35" t="str">
        <x:v>Round1</x:v>
      </x:c>
      <x:c r="D1877" s="35" t="str">
        <x:v>Closure_32</x:v>
      </x:c>
      <x:c r="E1877" s="35" t="str">
        <x:v>Condition</x:v>
      </x:c>
      <x:c r="F1877" s="35"/>
      <x:c r="G1877" s="35" t="str">
        <x:v>A</x:v>
      </x:c>
      <x:c r="H1877" s="39" t="str">
        <x:f>IF(ISNUMBER('Data'!N169),'Data'!N169*100,"")</x:f>
      </x:c>
      <x:c r="I1877" s="35"/>
      <x:c r="J1877" s="35" t="str">
        <x:v>PASS</x:v>
      </x:c>
      <x:c r="K1877" s="35" t="str">
        <x:v>FAIL</x:v>
      </x:c>
      <x:c r="L1877" s="35" t="str">
        <x:v>NOT_RUN</x:v>
      </x:c>
      <x:c r="M1877" s="35" t="str">
        <x:v>coverage unavailable or execution/compile failed</x:v>
      </x:c>
      <x:c r="N1877" s="35" t="str">
        <x:v>Deepseek-flash-v4/Result/Closure_32/result.json</x:v>
      </x:c>
      <x:c r="O1877" s="39" t="str">
        <x:f>IF(AND(G1877="RECORDED",ISNUMBER(H1877)),H1877,"")</x:f>
      </x:c>
      <x:c r="P1877" s="35" t="str">
        <x:v>NOT_AVAILABLE</x:v>
      </x:c>
      <x:c r="Q1877" s="35" t="str">
        <x:v>Deepseek-flash-v4/Result/Closure_32/result.json</x:v>
      </x:c>
    </x:row>
    <x:row r="1878">
      <x:c r="A1878" s="35" t="str">
        <x:v>deepseek</x:v>
      </x:c>
      <x:c r="B1878" s="35" t="str">
        <x:v>Closure</x:v>
      </x:c>
      <x:c r="C1878" s="35" t="str">
        <x:v>Round1</x:v>
      </x:c>
      <x:c r="D1878" s="35" t="str">
        <x:v>Closure_33</x:v>
      </x:c>
      <x:c r="E1878" s="35" t="str">
        <x:v>Condition</x:v>
      </x:c>
      <x:c r="F1878" s="35"/>
      <x:c r="G1878" s="35" t="str">
        <x:v>A</x:v>
      </x:c>
      <x:c r="H1878" s="39" t="str">
        <x:f>IF(ISNUMBER('Data'!N170),'Data'!N170*100,"")</x:f>
      </x:c>
      <x:c r="I1878" s="35"/>
      <x:c r="J1878" s="35" t="str">
        <x:v>PASS</x:v>
      </x:c>
      <x:c r="K1878" s="35" t="str">
        <x:v>FAIL</x:v>
      </x:c>
      <x:c r="L1878" s="35" t="str">
        <x:v>NOT_RUN</x:v>
      </x:c>
      <x:c r="M1878" s="35" t="str">
        <x:v>coverage unavailable or execution/compile failed</x:v>
      </x:c>
      <x:c r="N1878" s="35" t="str">
        <x:v>Deepseek-flash-v4/Result/Closure_33/result.json</x:v>
      </x:c>
      <x:c r="O1878" s="39" t="str">
        <x:f>IF(AND(G1878="RECORDED",ISNUMBER(H1878)),H1878,"")</x:f>
      </x:c>
      <x:c r="P1878" s="35" t="str">
        <x:v>NOT_AVAILABLE</x:v>
      </x:c>
      <x:c r="Q1878" s="35" t="str">
        <x:v>Deepseek-flash-v4/Result/Closure_33/result.json</x:v>
      </x:c>
    </x:row>
    <x:row r="1879">
      <x:c r="A1879" s="35" t="str">
        <x:v>deepseek</x:v>
      </x:c>
      <x:c r="B1879" s="35" t="str">
        <x:v>Closure</x:v>
      </x:c>
      <x:c r="C1879" s="35" t="str">
        <x:v>Round1</x:v>
      </x:c>
      <x:c r="D1879" s="35" t="str">
        <x:v>Closure_34</x:v>
      </x:c>
      <x:c r="E1879" s="35" t="str">
        <x:v>Condition</x:v>
      </x:c>
      <x:c r="F1879" s="35"/>
      <x:c r="G1879" s="35" t="str">
        <x:v>A</x:v>
      </x:c>
      <x:c r="H1879" s="39" t="str">
        <x:f>IF(ISNUMBER('Data'!N171),'Data'!N171*100,"")</x:f>
      </x:c>
      <x:c r="I1879" s="35"/>
      <x:c r="J1879" s="35" t="str">
        <x:v>PASS</x:v>
      </x:c>
      <x:c r="K1879" s="35" t="str">
        <x:v>FAIL</x:v>
      </x:c>
      <x:c r="L1879" s="35" t="str">
        <x:v>NOT_RUN</x:v>
      </x:c>
      <x:c r="M1879" s="35" t="str">
        <x:v>coverage unavailable or execution/compile failed</x:v>
      </x:c>
      <x:c r="N1879" s="35" t="str">
        <x:v>Deepseek-flash-v4/Result/Closure_34/result.json</x:v>
      </x:c>
      <x:c r="O1879" s="39" t="str">
        <x:f>IF(AND(G1879="RECORDED",ISNUMBER(H1879)),H1879,"")</x:f>
      </x:c>
      <x:c r="P1879" s="35" t="str">
        <x:v>NOT_AVAILABLE</x:v>
      </x:c>
      <x:c r="Q1879" s="35" t="str">
        <x:v>Deepseek-flash-v4/Result/Closure_34/result.json</x:v>
      </x:c>
    </x:row>
    <x:row r="1880">
      <x:c r="A1880" s="35" t="str">
        <x:v>deepseek</x:v>
      </x:c>
      <x:c r="B1880" s="35" t="str">
        <x:v>Closure</x:v>
      </x:c>
      <x:c r="C1880" s="35" t="str">
        <x:v>Round1</x:v>
      </x:c>
      <x:c r="D1880" s="35" t="str">
        <x:v>Closure_35</x:v>
      </x:c>
      <x:c r="E1880" s="35" t="str">
        <x:v>Condition</x:v>
      </x:c>
      <x:c r="F1880" s="35"/>
      <x:c r="G1880" s="35" t="str">
        <x:v>A</x:v>
      </x:c>
      <x:c r="H1880" s="39" t="str">
        <x:f>IF(ISNUMBER('Data'!N172),'Data'!N172*100,"")</x:f>
      </x:c>
      <x:c r="I1880" s="35"/>
      <x:c r="J1880" s="35" t="str">
        <x:v>PASS</x:v>
      </x:c>
      <x:c r="K1880" s="35" t="str">
        <x:v>FAIL</x:v>
      </x:c>
      <x:c r="L1880" s="35" t="str">
        <x:v>NOT_RUN</x:v>
      </x:c>
      <x:c r="M1880" s="35" t="str">
        <x:v>coverage unavailable or execution/compile failed</x:v>
      </x:c>
      <x:c r="N1880" s="35" t="str">
        <x:v>Deepseek-flash-v4/Result/Closure_35/result.json</x:v>
      </x:c>
      <x:c r="O1880" s="39" t="str">
        <x:f>IF(AND(G1880="RECORDED",ISNUMBER(H1880)),H1880,"")</x:f>
      </x:c>
      <x:c r="P1880" s="35" t="str">
        <x:v>NOT_AVAILABLE</x:v>
      </x:c>
      <x:c r="Q1880" s="35" t="str">
        <x:v>Deepseek-flash-v4/Result/Closure_35/result.json</x:v>
      </x:c>
    </x:row>
    <x:row r="1881">
      <x:c r="A1881" s="35" t="str">
        <x:v>deepseek</x:v>
      </x:c>
      <x:c r="B1881" s="35" t="str">
        <x:v>Closure</x:v>
      </x:c>
      <x:c r="C1881" s="35" t="str">
        <x:v>Round1</x:v>
      </x:c>
      <x:c r="D1881" s="35" t="str">
        <x:v>Closure_36</x:v>
      </x:c>
      <x:c r="E1881" s="35" t="str">
        <x:v>Condition</x:v>
      </x:c>
      <x:c r="F1881" s="35"/>
      <x:c r="G1881" s="35" t="str">
        <x:v>A</x:v>
      </x:c>
      <x:c r="H1881" s="39" t="str">
        <x:f>IF(ISNUMBER('Data'!N173),'Data'!N173*100,"")</x:f>
      </x:c>
      <x:c r="I1881" s="35"/>
      <x:c r="J1881" s="35" t="str">
        <x:v>PASS</x:v>
      </x:c>
      <x:c r="K1881" s="35" t="str">
        <x:v>FAIL</x:v>
      </x:c>
      <x:c r="L1881" s="35" t="str">
        <x:v>NOT_RUN</x:v>
      </x:c>
      <x:c r="M1881" s="35" t="str">
        <x:v>coverage unavailable or execution/compile failed</x:v>
      </x:c>
      <x:c r="N1881" s="35" t="str">
        <x:v>Deepseek-flash-v4/Result/Closure_36/result.json</x:v>
      </x:c>
      <x:c r="O1881" s="39" t="str">
        <x:f>IF(AND(G1881="RECORDED",ISNUMBER(H1881)),H1881,"")</x:f>
      </x:c>
      <x:c r="P1881" s="35" t="str">
        <x:v>NOT_AVAILABLE</x:v>
      </x:c>
      <x:c r="Q1881" s="35" t="str">
        <x:v>Deepseek-flash-v4/Result/Closure_36/result.json</x:v>
      </x:c>
    </x:row>
    <x:row r="1882">
      <x:c r="A1882" s="35" t="str">
        <x:v>deepseek</x:v>
      </x:c>
      <x:c r="B1882" s="35" t="str">
        <x:v>Closure</x:v>
      </x:c>
      <x:c r="C1882" s="35" t="str">
        <x:v>Round1</x:v>
      </x:c>
      <x:c r="D1882" s="35" t="str">
        <x:v>Closure_37</x:v>
      </x:c>
      <x:c r="E1882" s="35" t="str">
        <x:v>Condition</x:v>
      </x:c>
      <x:c r="F1882" s="35"/>
      <x:c r="G1882" s="35" t="str">
        <x:v>A</x:v>
      </x:c>
      <x:c r="H1882" s="39" t="str">
        <x:f>IF(ISNUMBER('Data'!N174),'Data'!N174*100,"")</x:f>
      </x:c>
      <x:c r="I1882" s="35"/>
      <x:c r="J1882" s="35" t="str">
        <x:v>PASS</x:v>
      </x:c>
      <x:c r="K1882" s="35" t="str">
        <x:v>FAIL</x:v>
      </x:c>
      <x:c r="L1882" s="35" t="str">
        <x:v>NOT_RUN</x:v>
      </x:c>
      <x:c r="M1882" s="35" t="str">
        <x:v>coverage unavailable or execution/compile failed</x:v>
      </x:c>
      <x:c r="N1882" s="35" t="str">
        <x:v>Deepseek-flash-v4/Result/Closure_37/result.json</x:v>
      </x:c>
      <x:c r="O1882" s="39" t="str">
        <x:f>IF(AND(G1882="RECORDED",ISNUMBER(H1882)),H1882,"")</x:f>
      </x:c>
      <x:c r="P1882" s="35" t="str">
        <x:v>NOT_AVAILABLE</x:v>
      </x:c>
      <x:c r="Q1882" s="35" t="str">
        <x:v>Deepseek-flash-v4/Result/Closure_37/result.json</x:v>
      </x:c>
    </x:row>
    <x:row r="1883">
      <x:c r="A1883" s="35" t="str">
        <x:v>deepseek</x:v>
      </x:c>
      <x:c r="B1883" s="35" t="str">
        <x:v>Closure</x:v>
      </x:c>
      <x:c r="C1883" s="35" t="str">
        <x:v>Round1</x:v>
      </x:c>
      <x:c r="D1883" s="35" t="str">
        <x:v>Closure_38</x:v>
      </x:c>
      <x:c r="E1883" s="35" t="str">
        <x:v>Condition</x:v>
      </x:c>
      <x:c r="F1883" s="35" t="n">
        <x:v>64</x:v>
      </x:c>
      <x:c r="G1883" s="35" t="str">
        <x:v>RECORDED</x:v>
      </x:c>
      <x:c r="H1883" s="39" t="n">
        <x:f>IF(ISNUMBER('Data'!N175),'Data'!N175*100,"")</x:f>
        <x:v>67.19</x:v>
      </x:c>
      <x:c r="I1883" s="35" t="str">
        <x:v>PASS</x:v>
      </x:c>
      <x:c r="J1883" s="35" t="str">
        <x:v>PASS</x:v>
      </x:c>
      <x:c r="K1883" s="35" t="str">
        <x:v>PASS</x:v>
      </x:c>
      <x:c r="L1883" s="35" t="str">
        <x:v>FAIL</x:v>
      </x:c>
      <x:c r="M1883" s="35" t="str">
        <x:v>numeric coverage for applicable metric</x:v>
      </x:c>
      <x:c r="N1883" s="35" t="str">
        <x:v>Deepseek-flash-v4/Result/Closure_38/result.json</x:v>
      </x:c>
      <x:c r="O1883" s="39" t="n">
        <x:f>IF(AND(G1883="RECORDED",ISNUMBER(H1883)),H1883,"")</x:f>
        <x:v>67.19</x:v>
      </x:c>
      <x:c r="P1883" s="35" t="str">
        <x:v>INCONCLUSIVE</x:v>
      </x:c>
      <x:c r="Q1883" s="35" t="str">
        <x:v>Deepseek-flash-v4/Result/Closure_38/result.json</x:v>
      </x:c>
    </x:row>
    <x:row r="1884">
      <x:c r="A1884" s="35" t="str">
        <x:v>deepseek</x:v>
      </x:c>
      <x:c r="B1884" s="35" t="str">
        <x:v>Closure</x:v>
      </x:c>
      <x:c r="C1884" s="35" t="str">
        <x:v>Round1</x:v>
      </x:c>
      <x:c r="D1884" s="35" t="str">
        <x:v>Closure_39</x:v>
      </x:c>
      <x:c r="E1884" s="35" t="str">
        <x:v>Condition</x:v>
      </x:c>
      <x:c r="F1884" s="35"/>
      <x:c r="G1884" s="35" t="str">
        <x:v>A</x:v>
      </x:c>
      <x:c r="H1884" s="39" t="str">
        <x:f>IF(ISNUMBER('Data'!N176),'Data'!N176*100,"")</x:f>
      </x:c>
      <x:c r="I1884" s="35"/>
      <x:c r="J1884" s="35" t="str">
        <x:v>PASS</x:v>
      </x:c>
      <x:c r="K1884" s="35" t="str">
        <x:v>FAIL</x:v>
      </x:c>
      <x:c r="L1884" s="35" t="str">
        <x:v>NOT_RUN</x:v>
      </x:c>
      <x:c r="M1884" s="35" t="str">
        <x:v>coverage unavailable or execution/compile failed</x:v>
      </x:c>
      <x:c r="N1884" s="35" t="str">
        <x:v>Deepseek-flash-v4/Result/Closure_39/result.json</x:v>
      </x:c>
      <x:c r="O1884" s="39" t="str">
        <x:f>IF(AND(G1884="RECORDED",ISNUMBER(H1884)),H1884,"")</x:f>
      </x:c>
      <x:c r="P1884" s="35" t="str">
        <x:v>NOT_AVAILABLE</x:v>
      </x:c>
      <x:c r="Q1884" s="35" t="str">
        <x:v>Deepseek-flash-v4/Result/Closure_39/result.json</x:v>
      </x:c>
    </x:row>
    <x:row r="1885">
      <x:c r="A1885" s="35" t="str">
        <x:v>deepseek</x:v>
      </x:c>
      <x:c r="B1885" s="35" t="str">
        <x:v>Closure</x:v>
      </x:c>
      <x:c r="C1885" s="35" t="str">
        <x:v>Round1</x:v>
      </x:c>
      <x:c r="D1885" s="35" t="str">
        <x:v>Closure_4</x:v>
      </x:c>
      <x:c r="E1885" s="35" t="str">
        <x:v>Condition</x:v>
      </x:c>
      <x:c r="F1885" s="35"/>
      <x:c r="G1885" s="35" t="str">
        <x:v>A</x:v>
      </x:c>
      <x:c r="H1885" s="39" t="str">
        <x:f>IF(ISNUMBER('Data'!N177),'Data'!N177*100,"")</x:f>
      </x:c>
      <x:c r="I1885" s="35"/>
      <x:c r="J1885" s="35" t="str">
        <x:v>PASS</x:v>
      </x:c>
      <x:c r="K1885" s="35" t="str">
        <x:v>FAIL</x:v>
      </x:c>
      <x:c r="L1885" s="35" t="str">
        <x:v>NOT_RUN</x:v>
      </x:c>
      <x:c r="M1885" s="35" t="str">
        <x:v>coverage unavailable or execution/compile failed</x:v>
      </x:c>
      <x:c r="N1885" s="35" t="str">
        <x:v>Deepseek-flash-v4/Result/Closure_4/result.json</x:v>
      </x:c>
      <x:c r="O1885" s="39" t="str">
        <x:f>IF(AND(G1885="RECORDED",ISNUMBER(H1885)),H1885,"")</x:f>
      </x:c>
      <x:c r="P1885" s="35" t="str">
        <x:v>NOT_AVAILABLE</x:v>
      </x:c>
      <x:c r="Q1885" s="35" t="str">
        <x:v>Deepseek-flash-v4/Result/Closure_4/result.json</x:v>
      </x:c>
    </x:row>
    <x:row r="1886">
      <x:c r="A1886" s="35" t="str">
        <x:v>deepseek</x:v>
      </x:c>
      <x:c r="B1886" s="35" t="str">
        <x:v>Closure</x:v>
      </x:c>
      <x:c r="C1886" s="35" t="str">
        <x:v>Round1</x:v>
      </x:c>
      <x:c r="D1886" s="35" t="str">
        <x:v>Closure_40</x:v>
      </x:c>
      <x:c r="E1886" s="35" t="str">
        <x:v>Condition</x:v>
      </x:c>
      <x:c r="F1886" s="35"/>
      <x:c r="G1886" s="35" t="str">
        <x:v>A</x:v>
      </x:c>
      <x:c r="H1886" s="39" t="str">
        <x:f>IF(ISNUMBER('Data'!N178),'Data'!N178*100,"")</x:f>
      </x:c>
      <x:c r="I1886" s="35"/>
      <x:c r="J1886" s="35" t="str">
        <x:v>PASS</x:v>
      </x:c>
      <x:c r="K1886" s="35" t="str">
        <x:v>FAIL</x:v>
      </x:c>
      <x:c r="L1886" s="35" t="str">
        <x:v>NOT_RUN</x:v>
      </x:c>
      <x:c r="M1886" s="35" t="str">
        <x:v>coverage unavailable or execution/compile failed</x:v>
      </x:c>
      <x:c r="N1886" s="35" t="str">
        <x:v>Deepseek-flash-v4/Result/Closure_40/result.json</x:v>
      </x:c>
      <x:c r="O1886" s="39" t="str">
        <x:f>IF(AND(G1886="RECORDED",ISNUMBER(H1886)),H1886,"")</x:f>
      </x:c>
      <x:c r="P1886" s="35" t="str">
        <x:v>NOT_AVAILABLE</x:v>
      </x:c>
      <x:c r="Q1886" s="35" t="str">
        <x:v>Deepseek-flash-v4/Result/Closure_40/result.json</x:v>
      </x:c>
    </x:row>
    <x:row r="1887">
      <x:c r="A1887" s="35" t="str">
        <x:v>deepseek</x:v>
      </x:c>
      <x:c r="B1887" s="35" t="str">
        <x:v>Closure</x:v>
      </x:c>
      <x:c r="C1887" s="35" t="str">
        <x:v>Round1</x:v>
      </x:c>
      <x:c r="D1887" s="35" t="str">
        <x:v>Closure_41</x:v>
      </x:c>
      <x:c r="E1887" s="35" t="str">
        <x:v>Condition</x:v>
      </x:c>
      <x:c r="F1887" s="35"/>
      <x:c r="G1887" s="35" t="str">
        <x:v>A</x:v>
      </x:c>
      <x:c r="H1887" s="39" t="str">
        <x:f>IF(ISNUMBER('Data'!N179),'Data'!N179*100,"")</x:f>
      </x:c>
      <x:c r="I1887" s="35"/>
      <x:c r="J1887" s="35" t="str">
        <x:v>PASS</x:v>
      </x:c>
      <x:c r="K1887" s="35" t="str">
        <x:v>FAIL</x:v>
      </x:c>
      <x:c r="L1887" s="35" t="str">
        <x:v>NOT_RUN</x:v>
      </x:c>
      <x:c r="M1887" s="35" t="str">
        <x:v>coverage unavailable or execution/compile failed</x:v>
      </x:c>
      <x:c r="N1887" s="35" t="str">
        <x:v>Deepseek-flash-v4/Result/Closure_41/result.json</x:v>
      </x:c>
      <x:c r="O1887" s="39" t="str">
        <x:f>IF(AND(G1887="RECORDED",ISNUMBER(H1887)),H1887,"")</x:f>
      </x:c>
      <x:c r="P1887" s="35" t="str">
        <x:v>NOT_AVAILABLE</x:v>
      </x:c>
      <x:c r="Q1887" s="35" t="str">
        <x:v>Deepseek-flash-v4/Result/Closure_41/result.json</x:v>
      </x:c>
    </x:row>
    <x:row r="1888">
      <x:c r="A1888" s="35" t="str">
        <x:v>deepseek</x:v>
      </x:c>
      <x:c r="B1888" s="35" t="str">
        <x:v>Closure</x:v>
      </x:c>
      <x:c r="C1888" s="35" t="str">
        <x:v>Round1</x:v>
      </x:c>
      <x:c r="D1888" s="35" t="str">
        <x:v>Closure_42</x:v>
      </x:c>
      <x:c r="E1888" s="35" t="str">
        <x:v>Condition</x:v>
      </x:c>
      <x:c r="F1888" s="35"/>
      <x:c r="G1888" s="35" t="str">
        <x:v>A</x:v>
      </x:c>
      <x:c r="H1888" s="39" t="str">
        <x:f>IF(ISNUMBER('Data'!N180),'Data'!N180*100,"")</x:f>
      </x:c>
      <x:c r="I1888" s="35"/>
      <x:c r="J1888" s="35" t="str">
        <x:v>PASS</x:v>
      </x:c>
      <x:c r="K1888" s="35" t="str">
        <x:v>FAIL</x:v>
      </x:c>
      <x:c r="L1888" s="35" t="str">
        <x:v>NOT_RUN</x:v>
      </x:c>
      <x:c r="M1888" s="35" t="str">
        <x:v>coverage unavailable or execution/compile failed</x:v>
      </x:c>
      <x:c r="N1888" s="35" t="str">
        <x:v>Deepseek-flash-v4/Result/Closure_42/result.json</x:v>
      </x:c>
      <x:c r="O1888" s="39" t="str">
        <x:f>IF(AND(G1888="RECORDED",ISNUMBER(H1888)),H1888,"")</x:f>
      </x:c>
      <x:c r="P1888" s="35" t="str">
        <x:v>NOT_AVAILABLE</x:v>
      </x:c>
      <x:c r="Q1888" s="35" t="str">
        <x:v>Deepseek-flash-v4/Result/Closure_42/result.json</x:v>
      </x:c>
    </x:row>
    <x:row r="1889">
      <x:c r="A1889" s="35" t="str">
        <x:v>deepseek</x:v>
      </x:c>
      <x:c r="B1889" s="35" t="str">
        <x:v>Closure</x:v>
      </x:c>
      <x:c r="C1889" s="35" t="str">
        <x:v>Round1</x:v>
      </x:c>
      <x:c r="D1889" s="35" t="str">
        <x:v>Closure_43</x:v>
      </x:c>
      <x:c r="E1889" s="35" t="str">
        <x:v>Condition</x:v>
      </x:c>
      <x:c r="F1889" s="35"/>
      <x:c r="G1889" s="35" t="str">
        <x:v>A</x:v>
      </x:c>
      <x:c r="H1889" s="39" t="str">
        <x:f>IF(ISNUMBER('Data'!N181),'Data'!N181*100,"")</x:f>
      </x:c>
      <x:c r="I1889" s="35"/>
      <x:c r="J1889" s="35" t="str">
        <x:v>PASS</x:v>
      </x:c>
      <x:c r="K1889" s="35" t="str">
        <x:v>FAIL</x:v>
      </x:c>
      <x:c r="L1889" s="35" t="str">
        <x:v>NOT_RUN</x:v>
      </x:c>
      <x:c r="M1889" s="35" t="str">
        <x:v>coverage unavailable or execution/compile failed</x:v>
      </x:c>
      <x:c r="N1889" s="35" t="str">
        <x:v>Deepseek-flash-v4/Result/Closure_43/result.json</x:v>
      </x:c>
      <x:c r="O1889" s="39" t="str">
        <x:f>IF(AND(G1889="RECORDED",ISNUMBER(H1889)),H1889,"")</x:f>
      </x:c>
      <x:c r="P1889" s="35" t="str">
        <x:v>NOT_AVAILABLE</x:v>
      </x:c>
      <x:c r="Q1889" s="35" t="str">
        <x:v>Deepseek-flash-v4/Result/Closure_43/result.json</x:v>
      </x:c>
    </x:row>
    <x:row r="1890">
      <x:c r="A1890" s="35" t="str">
        <x:v>deepseek</x:v>
      </x:c>
      <x:c r="B1890" s="35" t="str">
        <x:v>Closure</x:v>
      </x:c>
      <x:c r="C1890" s="35" t="str">
        <x:v>Round1</x:v>
      </x:c>
      <x:c r="D1890" s="35" t="str">
        <x:v>Closure_44</x:v>
      </x:c>
      <x:c r="E1890" s="35" t="str">
        <x:v>Condition</x:v>
      </x:c>
      <x:c r="F1890" s="35" t="n">
        <x:v>60</x:v>
      </x:c>
      <x:c r="G1890" s="35" t="str">
        <x:v>RECORDED</x:v>
      </x:c>
      <x:c r="H1890" s="39" t="n">
        <x:f>IF(ISNUMBER('Data'!N182),'Data'!N182*100,"")</x:f>
        <x:v>88.33</x:v>
      </x:c>
      <x:c r="I1890" s="35" t="str">
        <x:v>PASS</x:v>
      </x:c>
      <x:c r="J1890" s="35" t="str">
        <x:v>PASS</x:v>
      </x:c>
      <x:c r="K1890" s="35" t="str">
        <x:v>PASS</x:v>
      </x:c>
      <x:c r="L1890" s="35" t="str">
        <x:v>FAIL</x:v>
      </x:c>
      <x:c r="M1890" s="35" t="str">
        <x:v>numeric coverage for applicable metric</x:v>
      </x:c>
      <x:c r="N1890" s="35" t="str">
        <x:v>Deepseek-flash-v4/Result/Closure_44/result.json</x:v>
      </x:c>
      <x:c r="O1890" s="39" t="n">
        <x:f>IF(AND(G1890="RECORDED",ISNUMBER(H1890)),H1890,"")</x:f>
        <x:v>88.33</x:v>
      </x:c>
      <x:c r="P1890" s="35" t="str">
        <x:v>INCONCLUSIVE</x:v>
      </x:c>
      <x:c r="Q1890" s="35" t="str">
        <x:v>Deepseek-flash-v4/Result/Closure_44/result.json</x:v>
      </x:c>
    </x:row>
    <x:row r="1891">
      <x:c r="A1891" s="35" t="str">
        <x:v>deepseek</x:v>
      </x:c>
      <x:c r="B1891" s="35" t="str">
        <x:v>Closure</x:v>
      </x:c>
      <x:c r="C1891" s="35" t="str">
        <x:v>Round1</x:v>
      </x:c>
      <x:c r="D1891" s="35" t="str">
        <x:v>Closure_45</x:v>
      </x:c>
      <x:c r="E1891" s="35" t="str">
        <x:v>Condition</x:v>
      </x:c>
      <x:c r="F1891" s="35"/>
      <x:c r="G1891" s="35" t="str">
        <x:v>A</x:v>
      </x:c>
      <x:c r="H1891" s="39" t="str">
        <x:f>IF(ISNUMBER('Data'!N183),'Data'!N183*100,"")</x:f>
      </x:c>
      <x:c r="I1891" s="35"/>
      <x:c r="J1891" s="35" t="str">
        <x:v>PASS</x:v>
      </x:c>
      <x:c r="K1891" s="35" t="str">
        <x:v>FAIL</x:v>
      </x:c>
      <x:c r="L1891" s="35" t="str">
        <x:v>NOT_RUN</x:v>
      </x:c>
      <x:c r="M1891" s="35" t="str">
        <x:v>coverage unavailable or execution/compile failed</x:v>
      </x:c>
      <x:c r="N1891" s="35" t="str">
        <x:v>Deepseek-flash-v4/Result/Closure_45/result.json</x:v>
      </x:c>
      <x:c r="O1891" s="39" t="str">
        <x:f>IF(AND(G1891="RECORDED",ISNUMBER(H1891)),H1891,"")</x:f>
      </x:c>
      <x:c r="P1891" s="35" t="str">
        <x:v>NOT_AVAILABLE</x:v>
      </x:c>
      <x:c r="Q1891" s="35" t="str">
        <x:v>Deepseek-flash-v4/Result/Closure_45/result.json</x:v>
      </x:c>
    </x:row>
    <x:row r="1892">
      <x:c r="A1892" s="35" t="str">
        <x:v>deepseek</x:v>
      </x:c>
      <x:c r="B1892" s="35" t="str">
        <x:v>Closure</x:v>
      </x:c>
      <x:c r="C1892" s="35" t="str">
        <x:v>Round1</x:v>
      </x:c>
      <x:c r="D1892" s="35" t="str">
        <x:v>Closure_46</x:v>
      </x:c>
      <x:c r="E1892" s="35" t="str">
        <x:v>Condition</x:v>
      </x:c>
      <x:c r="F1892" s="35"/>
      <x:c r="G1892" s="35" t="str">
        <x:v>A</x:v>
      </x:c>
      <x:c r="H1892" s="39" t="str">
        <x:f>IF(ISNUMBER('Data'!N184),'Data'!N184*100,"")</x:f>
      </x:c>
      <x:c r="I1892" s="35"/>
      <x:c r="J1892" s="35" t="str">
        <x:v>PASS</x:v>
      </x:c>
      <x:c r="K1892" s="35" t="str">
        <x:v>FAIL</x:v>
      </x:c>
      <x:c r="L1892" s="35" t="str">
        <x:v>NOT_RUN</x:v>
      </x:c>
      <x:c r="M1892" s="35" t="str">
        <x:v>coverage unavailable or execution/compile failed</x:v>
      </x:c>
      <x:c r="N1892" s="35" t="str">
        <x:v>Deepseek-flash-v4/Result/Closure_46/result.json</x:v>
      </x:c>
      <x:c r="O1892" s="39" t="str">
        <x:f>IF(AND(G1892="RECORDED",ISNUMBER(H1892)),H1892,"")</x:f>
      </x:c>
      <x:c r="P1892" s="35" t="str">
        <x:v>NOT_AVAILABLE</x:v>
      </x:c>
      <x:c r="Q1892" s="35" t="str">
        <x:v>Deepseek-flash-v4/Result/Closure_46/result.json</x:v>
      </x:c>
    </x:row>
    <x:row r="1893">
      <x:c r="A1893" s="35" t="str">
        <x:v>deepseek</x:v>
      </x:c>
      <x:c r="B1893" s="35" t="str">
        <x:v>Closure</x:v>
      </x:c>
      <x:c r="C1893" s="35" t="str">
        <x:v>Round1</x:v>
      </x:c>
      <x:c r="D1893" s="35" t="str">
        <x:v>Closure_47</x:v>
      </x:c>
      <x:c r="E1893" s="35" t="str">
        <x:v>Condition</x:v>
      </x:c>
      <x:c r="F1893" s="35"/>
      <x:c r="G1893" s="35" t="str">
        <x:v>A</x:v>
      </x:c>
      <x:c r="H1893" s="39" t="str">
        <x:f>IF(ISNUMBER('Data'!N185),'Data'!N185*100,"")</x:f>
      </x:c>
      <x:c r="I1893" s="35"/>
      <x:c r="J1893" s="35" t="str">
        <x:v>PASS</x:v>
      </x:c>
      <x:c r="K1893" s="35" t="str">
        <x:v>FAIL</x:v>
      </x:c>
      <x:c r="L1893" s="35" t="str">
        <x:v>NOT_RUN</x:v>
      </x:c>
      <x:c r="M1893" s="35" t="str">
        <x:v>coverage unavailable or execution/compile failed</x:v>
      </x:c>
      <x:c r="N1893" s="35" t="str">
        <x:v>Deepseek-flash-v4/Result/Closure_47/result.json</x:v>
      </x:c>
      <x:c r="O1893" s="39" t="str">
        <x:f>IF(AND(G1893="RECORDED",ISNUMBER(H1893)),H1893,"")</x:f>
      </x:c>
      <x:c r="P1893" s="35" t="str">
        <x:v>NOT_AVAILABLE</x:v>
      </x:c>
      <x:c r="Q1893" s="35" t="str">
        <x:v>Deepseek-flash-v4/Result/Closure_47/result.json</x:v>
      </x:c>
    </x:row>
    <x:row r="1894">
      <x:c r="A1894" s="35" t="str">
        <x:v>deepseek</x:v>
      </x:c>
      <x:c r="B1894" s="35" t="str">
        <x:v>Closure</x:v>
      </x:c>
      <x:c r="C1894" s="35" t="str">
        <x:v>Round1</x:v>
      </x:c>
      <x:c r="D1894" s="35" t="str">
        <x:v>Closure_48</x:v>
      </x:c>
      <x:c r="E1894" s="35" t="str">
        <x:v>Condition</x:v>
      </x:c>
      <x:c r="F1894" s="35"/>
      <x:c r="G1894" s="35" t="str">
        <x:v>A</x:v>
      </x:c>
      <x:c r="H1894" s="39" t="str">
        <x:f>IF(ISNUMBER('Data'!N186),'Data'!N186*100,"")</x:f>
      </x:c>
      <x:c r="I1894" s="35"/>
      <x:c r="J1894" s="35" t="str">
        <x:v>PASS</x:v>
      </x:c>
      <x:c r="K1894" s="35" t="str">
        <x:v>FAIL</x:v>
      </x:c>
      <x:c r="L1894" s="35" t="str">
        <x:v>NOT_RUN</x:v>
      </x:c>
      <x:c r="M1894" s="35" t="str">
        <x:v>coverage unavailable or execution/compile failed</x:v>
      </x:c>
      <x:c r="N1894" s="35" t="str">
        <x:v>Deepseek-flash-v4/Result/Closure_48/result.json</x:v>
      </x:c>
      <x:c r="O1894" s="39" t="str">
        <x:f>IF(AND(G1894="RECORDED",ISNUMBER(H1894)),H1894,"")</x:f>
      </x:c>
      <x:c r="P1894" s="35" t="str">
        <x:v>NOT_AVAILABLE</x:v>
      </x:c>
      <x:c r="Q1894" s="35" t="str">
        <x:v>Deepseek-flash-v4/Result/Closure_48/result.json</x:v>
      </x:c>
    </x:row>
    <x:row r="1895">
      <x:c r="A1895" s="35" t="str">
        <x:v>deepseek</x:v>
      </x:c>
      <x:c r="B1895" s="35" t="str">
        <x:v>Closure</x:v>
      </x:c>
      <x:c r="C1895" s="35" t="str">
        <x:v>Round1</x:v>
      </x:c>
      <x:c r="D1895" s="35" t="str">
        <x:v>Closure_49</x:v>
      </x:c>
      <x:c r="E1895" s="35" t="str">
        <x:v>Condition</x:v>
      </x:c>
      <x:c r="F1895" s="35"/>
      <x:c r="G1895" s="35" t="str">
        <x:v>A</x:v>
      </x:c>
      <x:c r="H1895" s="39" t="str">
        <x:f>IF(ISNUMBER('Data'!N187),'Data'!N187*100,"")</x:f>
      </x:c>
      <x:c r="I1895" s="35"/>
      <x:c r="J1895" s="35" t="str">
        <x:v>PASS</x:v>
      </x:c>
      <x:c r="K1895" s="35" t="str">
        <x:v>FAIL</x:v>
      </x:c>
      <x:c r="L1895" s="35" t="str">
        <x:v>NOT_RUN</x:v>
      </x:c>
      <x:c r="M1895" s="35" t="str">
        <x:v>coverage unavailable or execution/compile failed</x:v>
      </x:c>
      <x:c r="N1895" s="35" t="str">
        <x:v>Deepseek-flash-v4/Result/Closure_49/result.json</x:v>
      </x:c>
      <x:c r="O1895" s="39" t="str">
        <x:f>IF(AND(G1895="RECORDED",ISNUMBER(H1895)),H1895,"")</x:f>
      </x:c>
      <x:c r="P1895" s="35" t="str">
        <x:v>NOT_AVAILABLE</x:v>
      </x:c>
      <x:c r="Q1895" s="35" t="str">
        <x:v>Deepseek-flash-v4/Result/Closure_49/result.json</x:v>
      </x:c>
    </x:row>
    <x:row r="1896">
      <x:c r="A1896" s="35" t="str">
        <x:v>deepseek</x:v>
      </x:c>
      <x:c r="B1896" s="35" t="str">
        <x:v>Closure</x:v>
      </x:c>
      <x:c r="C1896" s="35" t="str">
        <x:v>Round1</x:v>
      </x:c>
      <x:c r="D1896" s="35" t="str">
        <x:v>Closure_5</x:v>
      </x:c>
      <x:c r="E1896" s="35" t="str">
        <x:v>Condition</x:v>
      </x:c>
      <x:c r="F1896" s="35"/>
      <x:c r="G1896" s="35" t="str">
        <x:v>A</x:v>
      </x:c>
      <x:c r="H1896" s="39" t="str">
        <x:f>IF(ISNUMBER('Data'!N188),'Data'!N188*100,"")</x:f>
      </x:c>
      <x:c r="I1896" s="35"/>
      <x:c r="J1896" s="35" t="str">
        <x:v>PASS</x:v>
      </x:c>
      <x:c r="K1896" s="35" t="str">
        <x:v>FAIL</x:v>
      </x:c>
      <x:c r="L1896" s="35" t="str">
        <x:v>NOT_RUN</x:v>
      </x:c>
      <x:c r="M1896" s="35" t="str">
        <x:v>coverage unavailable or execution/compile failed</x:v>
      </x:c>
      <x:c r="N1896" s="35" t="str">
        <x:v>Deepseek-flash-v4/Result/Closure_5/result.json</x:v>
      </x:c>
      <x:c r="O1896" s="39" t="str">
        <x:f>IF(AND(G1896="RECORDED",ISNUMBER(H1896)),H1896,"")</x:f>
      </x:c>
      <x:c r="P1896" s="35" t="str">
        <x:v>NOT_AVAILABLE</x:v>
      </x:c>
      <x:c r="Q1896" s="35" t="str">
        <x:v>Deepseek-flash-v4/Result/Closure_5/result.json</x:v>
      </x:c>
    </x:row>
    <x:row r="1897">
      <x:c r="A1897" s="35" t="str">
        <x:v>deepseek</x:v>
      </x:c>
      <x:c r="B1897" s="35" t="str">
        <x:v>Closure</x:v>
      </x:c>
      <x:c r="C1897" s="35" t="str">
        <x:v>Round1</x:v>
      </x:c>
      <x:c r="D1897" s="35" t="str">
        <x:v>Closure_50</x:v>
      </x:c>
      <x:c r="E1897" s="35" t="str">
        <x:v>Condition</x:v>
      </x:c>
      <x:c r="F1897" s="35" t="n">
        <x:v>245</x:v>
      </x:c>
      <x:c r="G1897" s="35" t="str">
        <x:v>RECORDED</x:v>
      </x:c>
      <x:c r="H1897" s="39" t="n">
        <x:f>IF(ISNUMBER('Data'!N189),'Data'!N189*100,"")</x:f>
        <x:v>41.63</x:v>
      </x:c>
      <x:c r="I1897" s="35" t="str">
        <x:v>PASS</x:v>
      </x:c>
      <x:c r="J1897" s="35" t="str">
        <x:v>PASS</x:v>
      </x:c>
      <x:c r="K1897" s="35" t="str">
        <x:v>PASS</x:v>
      </x:c>
      <x:c r="L1897" s="35" t="str">
        <x:v>FAIL</x:v>
      </x:c>
      <x:c r="M1897" s="35" t="str">
        <x:v>numeric coverage for applicable metric</x:v>
      </x:c>
      <x:c r="N1897" s="35" t="str">
        <x:v>Deepseek-flash-v4/Result/Closure_50/result.json</x:v>
      </x:c>
      <x:c r="O1897" s="39" t="n">
        <x:f>IF(AND(G1897="RECORDED",ISNUMBER(H1897)),H1897,"")</x:f>
        <x:v>41.63</x:v>
      </x:c>
      <x:c r="P1897" s="35" t="str">
        <x:v>INCONCLUSIVE</x:v>
      </x:c>
      <x:c r="Q1897" s="35" t="str">
        <x:v>Deepseek-flash-v4/Result/Closure_50/result.json</x:v>
      </x:c>
    </x:row>
    <x:row r="1898">
      <x:c r="A1898" s="35" t="str">
        <x:v>deepseek</x:v>
      </x:c>
      <x:c r="B1898" s="35" t="str">
        <x:v>Closure</x:v>
      </x:c>
      <x:c r="C1898" s="35" t="str">
        <x:v>Round1</x:v>
      </x:c>
      <x:c r="D1898" s="35" t="str">
        <x:v>Closure_51</x:v>
      </x:c>
      <x:c r="E1898" s="35" t="str">
        <x:v>Condition</x:v>
      </x:c>
      <x:c r="F1898" s="35"/>
      <x:c r="G1898" s="35" t="str">
        <x:v>A</x:v>
      </x:c>
      <x:c r="H1898" s="39" t="str">
        <x:f>IF(ISNUMBER('Data'!N190),'Data'!N190*100,"")</x:f>
      </x:c>
      <x:c r="I1898" s="35"/>
      <x:c r="J1898" s="35" t="str">
        <x:v>PASS</x:v>
      </x:c>
      <x:c r="K1898" s="35" t="str">
        <x:v>FAIL</x:v>
      </x:c>
      <x:c r="L1898" s="35" t="str">
        <x:v>NOT_RUN</x:v>
      </x:c>
      <x:c r="M1898" s="35" t="str">
        <x:v>coverage unavailable or execution/compile failed</x:v>
      </x:c>
      <x:c r="N1898" s="35" t="str">
        <x:v>Deepseek-flash-v4/Result/Closure_51/result.json</x:v>
      </x:c>
      <x:c r="O1898" s="39" t="str">
        <x:f>IF(AND(G1898="RECORDED",ISNUMBER(H1898)),H1898,"")</x:f>
      </x:c>
      <x:c r="P1898" s="35" t="str">
        <x:v>NOT_AVAILABLE</x:v>
      </x:c>
      <x:c r="Q1898" s="35" t="str">
        <x:v>Deepseek-flash-v4/Result/Closure_51/result.json</x:v>
      </x:c>
    </x:row>
    <x:row r="1899">
      <x:c r="A1899" s="35" t="str">
        <x:v>deepseek</x:v>
      </x:c>
      <x:c r="B1899" s="35" t="str">
        <x:v>Closure</x:v>
      </x:c>
      <x:c r="C1899" s="35" t="str">
        <x:v>Round1</x:v>
      </x:c>
      <x:c r="D1899" s="35" t="str">
        <x:v>Closure_52</x:v>
      </x:c>
      <x:c r="E1899" s="35" t="str">
        <x:v>Condition</x:v>
      </x:c>
      <x:c r="F1899" s="35"/>
      <x:c r="G1899" s="35" t="str">
        <x:v>A</x:v>
      </x:c>
      <x:c r="H1899" s="39" t="str">
        <x:f>IF(ISNUMBER('Data'!N191),'Data'!N191*100,"")</x:f>
      </x:c>
      <x:c r="I1899" s="35"/>
      <x:c r="J1899" s="35" t="str">
        <x:v>PASS</x:v>
      </x:c>
      <x:c r="K1899" s="35" t="str">
        <x:v>FAIL</x:v>
      </x:c>
      <x:c r="L1899" s="35" t="str">
        <x:v>NOT_RUN</x:v>
      </x:c>
      <x:c r="M1899" s="35" t="str">
        <x:v>coverage unavailable or execution/compile failed</x:v>
      </x:c>
      <x:c r="N1899" s="35" t="str">
        <x:v>Deepseek-flash-v4/Result/Closure_52/result.json</x:v>
      </x:c>
      <x:c r="O1899" s="39" t="str">
        <x:f>IF(AND(G1899="RECORDED",ISNUMBER(H1899)),H1899,"")</x:f>
      </x:c>
      <x:c r="P1899" s="35" t="str">
        <x:v>NOT_AVAILABLE</x:v>
      </x:c>
      <x:c r="Q1899" s="35" t="str">
        <x:v>Deepseek-flash-v4/Result/Closure_52/result.json</x:v>
      </x:c>
    </x:row>
    <x:row r="1900">
      <x:c r="A1900" s="35" t="str">
        <x:v>deepseek</x:v>
      </x:c>
      <x:c r="B1900" s="35" t="str">
        <x:v>Closure</x:v>
      </x:c>
      <x:c r="C1900" s="35" t="str">
        <x:v>Round1</x:v>
      </x:c>
      <x:c r="D1900" s="35" t="str">
        <x:v>Closure_53</x:v>
      </x:c>
      <x:c r="E1900" s="35" t="str">
        <x:v>Condition</x:v>
      </x:c>
      <x:c r="F1900" s="35"/>
      <x:c r="G1900" s="35" t="str">
        <x:v>A</x:v>
      </x:c>
      <x:c r="H1900" s="39" t="str">
        <x:f>IF(ISNUMBER('Data'!N192),'Data'!N192*100,"")</x:f>
      </x:c>
      <x:c r="I1900" s="35"/>
      <x:c r="J1900" s="35" t="str">
        <x:v>PASS</x:v>
      </x:c>
      <x:c r="K1900" s="35" t="str">
        <x:v>FAIL</x:v>
      </x:c>
      <x:c r="L1900" s="35" t="str">
        <x:v>NOT_RUN</x:v>
      </x:c>
      <x:c r="M1900" s="35" t="str">
        <x:v>coverage unavailable or execution/compile failed</x:v>
      </x:c>
      <x:c r="N1900" s="35" t="str">
        <x:v>Deepseek-flash-v4/Result/Closure_53/result.json</x:v>
      </x:c>
      <x:c r="O1900" s="39" t="str">
        <x:f>IF(AND(G1900="RECORDED",ISNUMBER(H1900)),H1900,"")</x:f>
      </x:c>
      <x:c r="P1900" s="35" t="str">
        <x:v>NOT_AVAILABLE</x:v>
      </x:c>
      <x:c r="Q1900" s="35" t="str">
        <x:v>Deepseek-flash-v4/Result/Closure_53/result.json</x:v>
      </x:c>
    </x:row>
    <x:row r="1901">
      <x:c r="A1901" s="35" t="str">
        <x:v>deepseek</x:v>
      </x:c>
      <x:c r="B1901" s="35" t="str">
        <x:v>Closure</x:v>
      </x:c>
      <x:c r="C1901" s="35" t="str">
        <x:v>Round1</x:v>
      </x:c>
      <x:c r="D1901" s="35" t="str">
        <x:v>Closure_54</x:v>
      </x:c>
      <x:c r="E1901" s="35" t="str">
        <x:v>Condition</x:v>
      </x:c>
      <x:c r="F1901" s="35"/>
      <x:c r="G1901" s="35" t="str">
        <x:v>A</x:v>
      </x:c>
      <x:c r="H1901" s="39" t="str">
        <x:f>IF(ISNUMBER('Data'!N193),'Data'!N193*100,"")</x:f>
      </x:c>
      <x:c r="I1901" s="35"/>
      <x:c r="J1901" s="35" t="str">
        <x:v>PASS</x:v>
      </x:c>
      <x:c r="K1901" s="35" t="str">
        <x:v>FAIL</x:v>
      </x:c>
      <x:c r="L1901" s="35" t="str">
        <x:v>NOT_RUN</x:v>
      </x:c>
      <x:c r="M1901" s="35" t="str">
        <x:v>coverage unavailable or execution/compile failed</x:v>
      </x:c>
      <x:c r="N1901" s="35" t="str">
        <x:v>Deepseek-flash-v4/Result/Closure_54/result.json</x:v>
      </x:c>
      <x:c r="O1901" s="39" t="str">
        <x:f>IF(AND(G1901="RECORDED",ISNUMBER(H1901)),H1901,"")</x:f>
      </x:c>
      <x:c r="P1901" s="35" t="str">
        <x:v>NOT_AVAILABLE</x:v>
      </x:c>
      <x:c r="Q1901" s="35" t="str">
        <x:v>Deepseek-flash-v4/Result/Closure_54/result.json</x:v>
      </x:c>
    </x:row>
    <x:row r="1902">
      <x:c r="A1902" s="35" t="str">
        <x:v>deepseek</x:v>
      </x:c>
      <x:c r="B1902" s="35" t="str">
        <x:v>Closure</x:v>
      </x:c>
      <x:c r="C1902" s="35" t="str">
        <x:v>Round1</x:v>
      </x:c>
      <x:c r="D1902" s="35" t="str">
        <x:v>Closure_55</x:v>
      </x:c>
      <x:c r="E1902" s="35" t="str">
        <x:v>Condition</x:v>
      </x:c>
      <x:c r="F1902" s="35"/>
      <x:c r="G1902" s="35" t="str">
        <x:v>A</x:v>
      </x:c>
      <x:c r="H1902" s="39" t="str">
        <x:f>IF(ISNUMBER('Data'!N194),'Data'!N194*100,"")</x:f>
      </x:c>
      <x:c r="I1902" s="35"/>
      <x:c r="J1902" s="35" t="str">
        <x:v>PASS</x:v>
      </x:c>
      <x:c r="K1902" s="35" t="str">
        <x:v>FAIL</x:v>
      </x:c>
      <x:c r="L1902" s="35" t="str">
        <x:v>NOT_RUN</x:v>
      </x:c>
      <x:c r="M1902" s="35" t="str">
        <x:v>coverage unavailable or execution/compile failed</x:v>
      </x:c>
      <x:c r="N1902" s="35" t="str">
        <x:v>Deepseek-flash-v4/Result/Closure_55/result.json</x:v>
      </x:c>
      <x:c r="O1902" s="39" t="str">
        <x:f>IF(AND(G1902="RECORDED",ISNUMBER(H1902)),H1902,"")</x:f>
      </x:c>
      <x:c r="P1902" s="35" t="str">
        <x:v>NOT_AVAILABLE</x:v>
      </x:c>
      <x:c r="Q1902" s="35" t="str">
        <x:v>Deepseek-flash-v4/Result/Closure_55/result.json</x:v>
      </x:c>
    </x:row>
    <x:row r="1903">
      <x:c r="A1903" s="35" t="str">
        <x:v>deepseek</x:v>
      </x:c>
      <x:c r="B1903" s="35" t="str">
        <x:v>Closure</x:v>
      </x:c>
      <x:c r="C1903" s="35" t="str">
        <x:v>Round1</x:v>
      </x:c>
      <x:c r="D1903" s="35" t="str">
        <x:v>Closure_56</x:v>
      </x:c>
      <x:c r="E1903" s="35" t="str">
        <x:v>Condition</x:v>
      </x:c>
      <x:c r="F1903" s="35"/>
      <x:c r="G1903" s="35" t="str">
        <x:v>A</x:v>
      </x:c>
      <x:c r="H1903" s="39" t="str">
        <x:f>IF(ISNUMBER('Data'!N195),'Data'!N195*100,"")</x:f>
      </x:c>
      <x:c r="I1903" s="35"/>
      <x:c r="J1903" s="35" t="str">
        <x:v>PASS</x:v>
      </x:c>
      <x:c r="K1903" s="35" t="str">
        <x:v>FAIL</x:v>
      </x:c>
      <x:c r="L1903" s="35" t="str">
        <x:v>NOT_RUN</x:v>
      </x:c>
      <x:c r="M1903" s="35" t="str">
        <x:v>coverage unavailable or execution/compile failed</x:v>
      </x:c>
      <x:c r="N1903" s="35" t="str">
        <x:v>Deepseek-flash-v4/Result/Closure_56/result.json</x:v>
      </x:c>
      <x:c r="O1903" s="39" t="str">
        <x:f>IF(AND(G1903="RECORDED",ISNUMBER(H1903)),H1903,"")</x:f>
      </x:c>
      <x:c r="P1903" s="35" t="str">
        <x:v>NOT_AVAILABLE</x:v>
      </x:c>
      <x:c r="Q1903" s="35" t="str">
        <x:v>Deepseek-flash-v4/Result/Closure_56/result.json</x:v>
      </x:c>
    </x:row>
    <x:row r="1904">
      <x:c r="A1904" s="35" t="str">
        <x:v>deepseek</x:v>
      </x:c>
      <x:c r="B1904" s="35" t="str">
        <x:v>Closure</x:v>
      </x:c>
      <x:c r="C1904" s="35" t="str">
        <x:v>Round1</x:v>
      </x:c>
      <x:c r="D1904" s="35" t="str">
        <x:v>Closure_57</x:v>
      </x:c>
      <x:c r="E1904" s="35" t="str">
        <x:v>Condition</x:v>
      </x:c>
      <x:c r="F1904" s="35"/>
      <x:c r="G1904" s="35" t="str">
        <x:v>A</x:v>
      </x:c>
      <x:c r="H1904" s="39" t="str">
        <x:f>IF(ISNUMBER('Data'!N196),'Data'!N196*100,"")</x:f>
      </x:c>
      <x:c r="I1904" s="35"/>
      <x:c r="J1904" s="35" t="str">
        <x:v>PASS</x:v>
      </x:c>
      <x:c r="K1904" s="35" t="str">
        <x:v>FAIL</x:v>
      </x:c>
      <x:c r="L1904" s="35" t="str">
        <x:v>NOT_RUN</x:v>
      </x:c>
      <x:c r="M1904" s="35" t="str">
        <x:v>coverage unavailable or execution/compile failed</x:v>
      </x:c>
      <x:c r="N1904" s="35" t="str">
        <x:v>Deepseek-flash-v4/Result/Closure_57/result.json</x:v>
      </x:c>
      <x:c r="O1904" s="39" t="str">
        <x:f>IF(AND(G1904="RECORDED",ISNUMBER(H1904)),H1904,"")</x:f>
      </x:c>
      <x:c r="P1904" s="35" t="str">
        <x:v>NOT_AVAILABLE</x:v>
      </x:c>
      <x:c r="Q1904" s="35" t="str">
        <x:v>Deepseek-flash-v4/Result/Closure_57/result.json</x:v>
      </x:c>
    </x:row>
    <x:row r="1905">
      <x:c r="A1905" s="35" t="str">
        <x:v>deepseek</x:v>
      </x:c>
      <x:c r="B1905" s="35" t="str">
        <x:v>Closure</x:v>
      </x:c>
      <x:c r="C1905" s="35" t="str">
        <x:v>Round1</x:v>
      </x:c>
      <x:c r="D1905" s="35" t="str">
        <x:v>Closure_58</x:v>
      </x:c>
      <x:c r="E1905" s="35" t="str">
        <x:v>Condition</x:v>
      </x:c>
      <x:c r="F1905" s="35"/>
      <x:c r="G1905" s="35" t="str">
        <x:v>A</x:v>
      </x:c>
      <x:c r="H1905" s="39" t="str">
        <x:f>IF(ISNUMBER('Data'!N197),'Data'!N197*100,"")</x:f>
      </x:c>
      <x:c r="I1905" s="35"/>
      <x:c r="J1905" s="35" t="str">
        <x:v>PASS</x:v>
      </x:c>
      <x:c r="K1905" s="35" t="str">
        <x:v>FAIL</x:v>
      </x:c>
      <x:c r="L1905" s="35" t="str">
        <x:v>NOT_RUN</x:v>
      </x:c>
      <x:c r="M1905" s="35" t="str">
        <x:v>coverage unavailable or execution/compile failed</x:v>
      </x:c>
      <x:c r="N1905" s="35" t="str">
        <x:v>Deepseek-flash-v4/Result/Closure_58/result.json</x:v>
      </x:c>
      <x:c r="O1905" s="39" t="str">
        <x:f>IF(AND(G1905="RECORDED",ISNUMBER(H1905)),H1905,"")</x:f>
      </x:c>
      <x:c r="P1905" s="35" t="str">
        <x:v>NOT_AVAILABLE</x:v>
      </x:c>
      <x:c r="Q1905" s="35" t="str">
        <x:v>Deepseek-flash-v4/Result/Closure_58/result.json</x:v>
      </x:c>
    </x:row>
    <x:row r="1906">
      <x:c r="A1906" s="35" t="str">
        <x:v>deepseek</x:v>
      </x:c>
      <x:c r="B1906" s="35" t="str">
        <x:v>Closure</x:v>
      </x:c>
      <x:c r="C1906" s="35" t="str">
        <x:v>Round1</x:v>
      </x:c>
      <x:c r="D1906" s="35" t="str">
        <x:v>Closure_59</x:v>
      </x:c>
      <x:c r="E1906" s="35" t="str">
        <x:v>Condition</x:v>
      </x:c>
      <x:c r="F1906" s="35"/>
      <x:c r="G1906" s="35" t="str">
        <x:v>A</x:v>
      </x:c>
      <x:c r="H1906" s="39" t="str">
        <x:f>IF(ISNUMBER('Data'!N198),'Data'!N198*100,"")</x:f>
      </x:c>
      <x:c r="I1906" s="35"/>
      <x:c r="J1906" s="35" t="str">
        <x:v>PASS</x:v>
      </x:c>
      <x:c r="K1906" s="35" t="str">
        <x:v>FAIL</x:v>
      </x:c>
      <x:c r="L1906" s="35" t="str">
        <x:v>NOT_RUN</x:v>
      </x:c>
      <x:c r="M1906" s="35" t="str">
        <x:v>coverage unavailable or execution/compile failed</x:v>
      </x:c>
      <x:c r="N1906" s="35" t="str">
        <x:v>Deepseek-flash-v4/Result/Closure_59/result.json</x:v>
      </x:c>
      <x:c r="O1906" s="39" t="str">
        <x:f>IF(AND(G1906="RECORDED",ISNUMBER(H1906)),H1906,"")</x:f>
      </x:c>
      <x:c r="P1906" s="35" t="str">
        <x:v>NOT_AVAILABLE</x:v>
      </x:c>
      <x:c r="Q1906" s="35" t="str">
        <x:v>Deepseek-flash-v4/Result/Closure_59/result.json</x:v>
      </x:c>
    </x:row>
    <x:row r="1907">
      <x:c r="A1907" s="35" t="str">
        <x:v>deepseek</x:v>
      </x:c>
      <x:c r="B1907" s="35" t="str">
        <x:v>Closure</x:v>
      </x:c>
      <x:c r="C1907" s="35" t="str">
        <x:v>Round1</x:v>
      </x:c>
      <x:c r="D1907" s="35" t="str">
        <x:v>Closure_6</x:v>
      </x:c>
      <x:c r="E1907" s="35" t="str">
        <x:v>Condition</x:v>
      </x:c>
      <x:c r="F1907" s="35"/>
      <x:c r="G1907" s="35" t="str">
        <x:v>A</x:v>
      </x:c>
      <x:c r="H1907" s="39" t="str">
        <x:f>IF(ISNUMBER('Data'!N199),'Data'!N199*100,"")</x:f>
      </x:c>
      <x:c r="I1907" s="35"/>
      <x:c r="J1907" s="35" t="str">
        <x:v>PASS</x:v>
      </x:c>
      <x:c r="K1907" s="35" t="str">
        <x:v>FAIL</x:v>
      </x:c>
      <x:c r="L1907" s="35" t="str">
        <x:v>NOT_RUN</x:v>
      </x:c>
      <x:c r="M1907" s="35" t="str">
        <x:v>coverage unavailable or execution/compile failed</x:v>
      </x:c>
      <x:c r="N1907" s="35" t="str">
        <x:v>Deepseek-flash-v4/Result/Closure_6/result.json</x:v>
      </x:c>
      <x:c r="O1907" s="39" t="str">
        <x:f>IF(AND(G1907="RECORDED",ISNUMBER(H1907)),H1907,"")</x:f>
      </x:c>
      <x:c r="P1907" s="35" t="str">
        <x:v>NOT_AVAILABLE</x:v>
      </x:c>
      <x:c r="Q1907" s="35" t="str">
        <x:v>Deepseek-flash-v4/Result/Closure_6/result.json</x:v>
      </x:c>
    </x:row>
    <x:row r="1908">
      <x:c r="A1908" s="35" t="str">
        <x:v>deepseek</x:v>
      </x:c>
      <x:c r="B1908" s="35" t="str">
        <x:v>Closure</x:v>
      </x:c>
      <x:c r="C1908" s="35" t="str">
        <x:v>Round1</x:v>
      </x:c>
      <x:c r="D1908" s="35" t="str">
        <x:v>Closure_60</x:v>
      </x:c>
      <x:c r="E1908" s="35" t="str">
        <x:v>Condition</x:v>
      </x:c>
      <x:c r="F1908" s="35"/>
      <x:c r="G1908" s="35" t="str">
        <x:v>A</x:v>
      </x:c>
      <x:c r="H1908" s="39" t="str">
        <x:f>IF(ISNUMBER('Data'!N200),'Data'!N200*100,"")</x:f>
      </x:c>
      <x:c r="I1908" s="35"/>
      <x:c r="J1908" s="35" t="str">
        <x:v>PASS</x:v>
      </x:c>
      <x:c r="K1908" s="35" t="str">
        <x:v>FAIL</x:v>
      </x:c>
      <x:c r="L1908" s="35" t="str">
        <x:v>NOT_RUN</x:v>
      </x:c>
      <x:c r="M1908" s="35" t="str">
        <x:v>coverage unavailable or execution/compile failed</x:v>
      </x:c>
      <x:c r="N1908" s="35" t="str">
        <x:v>Deepseek-flash-v4/Result/Closure_60/result.json</x:v>
      </x:c>
      <x:c r="O1908" s="39" t="str">
        <x:f>IF(AND(G1908="RECORDED",ISNUMBER(H1908)),H1908,"")</x:f>
      </x:c>
      <x:c r="P1908" s="35" t="str">
        <x:v>NOT_AVAILABLE</x:v>
      </x:c>
      <x:c r="Q1908" s="35" t="str">
        <x:v>Deepseek-flash-v4/Result/Closure_60/result.json</x:v>
      </x:c>
    </x:row>
    <x:row r="1909">
      <x:c r="A1909" s="35" t="str">
        <x:v>deepseek</x:v>
      </x:c>
      <x:c r="B1909" s="35" t="str">
        <x:v>Closure</x:v>
      </x:c>
      <x:c r="C1909" s="35" t="str">
        <x:v>Round1</x:v>
      </x:c>
      <x:c r="D1909" s="35" t="str">
        <x:v>Closure_61</x:v>
      </x:c>
      <x:c r="E1909" s="35" t="str">
        <x:v>Condition</x:v>
      </x:c>
      <x:c r="F1909" s="35"/>
      <x:c r="G1909" s="35" t="str">
        <x:v>A</x:v>
      </x:c>
      <x:c r="H1909" s="39" t="str">
        <x:f>IF(ISNUMBER('Data'!N201),'Data'!N201*100,"")</x:f>
      </x:c>
      <x:c r="I1909" s="35"/>
      <x:c r="J1909" s="35" t="str">
        <x:v>PASS</x:v>
      </x:c>
      <x:c r="K1909" s="35" t="str">
        <x:v>FAIL</x:v>
      </x:c>
      <x:c r="L1909" s="35" t="str">
        <x:v>NOT_RUN</x:v>
      </x:c>
      <x:c r="M1909" s="35" t="str">
        <x:v>coverage unavailable or execution/compile failed</x:v>
      </x:c>
      <x:c r="N1909" s="35" t="str">
        <x:v>Deepseek-flash-v4/Result/Closure_61/result.json</x:v>
      </x:c>
      <x:c r="O1909" s="39" t="str">
        <x:f>IF(AND(G1909="RECORDED",ISNUMBER(H1909)),H1909,"")</x:f>
      </x:c>
      <x:c r="P1909" s="35" t="str">
        <x:v>NOT_AVAILABLE</x:v>
      </x:c>
      <x:c r="Q1909" s="35" t="str">
        <x:v>Deepseek-flash-v4/Result/Closure_61/result.json</x:v>
      </x:c>
    </x:row>
    <x:row r="1910">
      <x:c r="A1910" s="35" t="str">
        <x:v>deepseek</x:v>
      </x:c>
      <x:c r="B1910" s="35" t="str">
        <x:v>Closure</x:v>
      </x:c>
      <x:c r="C1910" s="35" t="str">
        <x:v>Round1</x:v>
      </x:c>
      <x:c r="D1910" s="35" t="str">
        <x:v>Closure_62</x:v>
      </x:c>
      <x:c r="E1910" s="35" t="str">
        <x:v>Condition</x:v>
      </x:c>
      <x:c r="F1910" s="35"/>
      <x:c r="G1910" s="35" t="str">
        <x:v>A</x:v>
      </x:c>
      <x:c r="H1910" s="39" t="str">
        <x:f>IF(ISNUMBER('Data'!N202),'Data'!N202*100,"")</x:f>
      </x:c>
      <x:c r="I1910" s="35"/>
      <x:c r="J1910" s="35" t="str">
        <x:v>PASS</x:v>
      </x:c>
      <x:c r="K1910" s="35" t="str">
        <x:v>FAIL</x:v>
      </x:c>
      <x:c r="L1910" s="35" t="str">
        <x:v>NOT_RUN</x:v>
      </x:c>
      <x:c r="M1910" s="35" t="str">
        <x:v>coverage unavailable or execution/compile failed</x:v>
      </x:c>
      <x:c r="N1910" s="35" t="str">
        <x:v>Deepseek-flash-v4/Result/Closure_62/result.json</x:v>
      </x:c>
      <x:c r="O1910" s="39" t="str">
        <x:f>IF(AND(G1910="RECORDED",ISNUMBER(H1910)),H1910,"")</x:f>
      </x:c>
      <x:c r="P1910" s="35" t="str">
        <x:v>NOT_AVAILABLE</x:v>
      </x:c>
      <x:c r="Q1910" s="35" t="str">
        <x:v>Deepseek-flash-v4/Result/Closure_62/result.json</x:v>
      </x:c>
    </x:row>
    <x:row r="1911">
      <x:c r="A1911" s="35" t="str">
        <x:v>deepseek</x:v>
      </x:c>
      <x:c r="B1911" s="35" t="str">
        <x:v>Closure</x:v>
      </x:c>
      <x:c r="C1911" s="35" t="str">
        <x:v>Round1</x:v>
      </x:c>
      <x:c r="D1911" s="35" t="str">
        <x:v>Closure_64</x:v>
      </x:c>
      <x:c r="E1911" s="35" t="str">
        <x:v>Condition</x:v>
      </x:c>
      <x:c r="F1911" s="35"/>
      <x:c r="G1911" s="35" t="str">
        <x:v>A</x:v>
      </x:c>
      <x:c r="H1911" s="39" t="str">
        <x:f>IF(ISNUMBER('Data'!N203),'Data'!N203*100,"")</x:f>
      </x:c>
      <x:c r="I1911" s="35"/>
      <x:c r="J1911" s="35" t="str">
        <x:v>PASS</x:v>
      </x:c>
      <x:c r="K1911" s="35" t="str">
        <x:v>FAIL</x:v>
      </x:c>
      <x:c r="L1911" s="35" t="str">
        <x:v>NOT_RUN</x:v>
      </x:c>
      <x:c r="M1911" s="35" t="str">
        <x:v>coverage unavailable or execution/compile failed</x:v>
      </x:c>
      <x:c r="N1911" s="35" t="str">
        <x:v>Deepseek-flash-v4/Result/Closure_64/result.json</x:v>
      </x:c>
      <x:c r="O1911" s="39" t="str">
        <x:f>IF(AND(G1911="RECORDED",ISNUMBER(H1911)),H1911,"")</x:f>
      </x:c>
      <x:c r="P1911" s="35" t="str">
        <x:v>NOT_AVAILABLE</x:v>
      </x:c>
      <x:c r="Q1911" s="35" t="str">
        <x:v>Deepseek-flash-v4/Result/Closure_64/result.json</x:v>
      </x:c>
    </x:row>
    <x:row r="1912">
      <x:c r="A1912" s="35" t="str">
        <x:v>deepseek</x:v>
      </x:c>
      <x:c r="B1912" s="35" t="str">
        <x:v>Closure</x:v>
      </x:c>
      <x:c r="C1912" s="35" t="str">
        <x:v>Round1</x:v>
      </x:c>
      <x:c r="D1912" s="35" t="str">
        <x:v>Closure_65</x:v>
      </x:c>
      <x:c r="E1912" s="35" t="str">
        <x:v>Condition</x:v>
      </x:c>
      <x:c r="F1912" s="35"/>
      <x:c r="G1912" s="35" t="str">
        <x:v>A</x:v>
      </x:c>
      <x:c r="H1912" s="39" t="str">
        <x:f>IF(ISNUMBER('Data'!N204),'Data'!N204*100,"")</x:f>
      </x:c>
      <x:c r="I1912" s="35"/>
      <x:c r="J1912" s="35" t="str">
        <x:v>PASS</x:v>
      </x:c>
      <x:c r="K1912" s="35" t="str">
        <x:v>FAIL</x:v>
      </x:c>
      <x:c r="L1912" s="35" t="str">
        <x:v>NOT_RUN</x:v>
      </x:c>
      <x:c r="M1912" s="35" t="str">
        <x:v>coverage unavailable or execution/compile failed</x:v>
      </x:c>
      <x:c r="N1912" s="35" t="str">
        <x:v>Deepseek-flash-v4/Result/Closure_65/result.json</x:v>
      </x:c>
      <x:c r="O1912" s="39" t="str">
        <x:f>IF(AND(G1912="RECORDED",ISNUMBER(H1912)),H1912,"")</x:f>
      </x:c>
      <x:c r="P1912" s="35" t="str">
        <x:v>NOT_AVAILABLE</x:v>
      </x:c>
      <x:c r="Q1912" s="35" t="str">
        <x:v>Deepseek-flash-v4/Result/Closure_65/result.json</x:v>
      </x:c>
    </x:row>
    <x:row r="1913">
      <x:c r="A1913" s="35" t="str">
        <x:v>deepseek</x:v>
      </x:c>
      <x:c r="B1913" s="35" t="str">
        <x:v>Closure</x:v>
      </x:c>
      <x:c r="C1913" s="35" t="str">
        <x:v>Round1</x:v>
      </x:c>
      <x:c r="D1913" s="35" t="str">
        <x:v>Closure_66</x:v>
      </x:c>
      <x:c r="E1913" s="35" t="str">
        <x:v>Condition</x:v>
      </x:c>
      <x:c r="F1913" s="35"/>
      <x:c r="G1913" s="35" t="str">
        <x:v>A</x:v>
      </x:c>
      <x:c r="H1913" s="39" t="str">
        <x:f>IF(ISNUMBER('Data'!N205),'Data'!N205*100,"")</x:f>
      </x:c>
      <x:c r="I1913" s="35"/>
      <x:c r="J1913" s="35" t="str">
        <x:v>PASS</x:v>
      </x:c>
      <x:c r="K1913" s="35" t="str">
        <x:v>FAIL</x:v>
      </x:c>
      <x:c r="L1913" s="35" t="str">
        <x:v>NOT_RUN</x:v>
      </x:c>
      <x:c r="M1913" s="35" t="str">
        <x:v>coverage unavailable or execution/compile failed</x:v>
      </x:c>
      <x:c r="N1913" s="35" t="str">
        <x:v>Deepseek-flash-v4/Result/Closure_66/result.json</x:v>
      </x:c>
      <x:c r="O1913" s="39" t="str">
        <x:f>IF(AND(G1913="RECORDED",ISNUMBER(H1913)),H1913,"")</x:f>
      </x:c>
      <x:c r="P1913" s="35" t="str">
        <x:v>NOT_AVAILABLE</x:v>
      </x:c>
      <x:c r="Q1913" s="35" t="str">
        <x:v>Deepseek-flash-v4/Result/Closure_66/result.json</x:v>
      </x:c>
    </x:row>
    <x:row r="1914">
      <x:c r="A1914" s="35" t="str">
        <x:v>deepseek</x:v>
      </x:c>
      <x:c r="B1914" s="35" t="str">
        <x:v>Closure</x:v>
      </x:c>
      <x:c r="C1914" s="35" t="str">
        <x:v>Round1</x:v>
      </x:c>
      <x:c r="D1914" s="35" t="str">
        <x:v>Closure_67</x:v>
      </x:c>
      <x:c r="E1914" s="35" t="str">
        <x:v>Condition</x:v>
      </x:c>
      <x:c r="F1914" s="35"/>
      <x:c r="G1914" s="35" t="str">
        <x:v>A</x:v>
      </x:c>
      <x:c r="H1914" s="39" t="str">
        <x:f>IF(ISNUMBER('Data'!N206),'Data'!N206*100,"")</x:f>
      </x:c>
      <x:c r="I1914" s="35"/>
      <x:c r="J1914" s="35" t="str">
        <x:v>PASS</x:v>
      </x:c>
      <x:c r="K1914" s="35" t="str">
        <x:v>FAIL</x:v>
      </x:c>
      <x:c r="L1914" s="35" t="str">
        <x:v>NOT_RUN</x:v>
      </x:c>
      <x:c r="M1914" s="35" t="str">
        <x:v>coverage unavailable or execution/compile failed</x:v>
      </x:c>
      <x:c r="N1914" s="35" t="str">
        <x:v>Deepseek-flash-v4/Result/Closure_67/result.json</x:v>
      </x:c>
      <x:c r="O1914" s="39" t="str">
        <x:f>IF(AND(G1914="RECORDED",ISNUMBER(H1914)),H1914,"")</x:f>
      </x:c>
      <x:c r="P1914" s="35" t="str">
        <x:v>NOT_AVAILABLE</x:v>
      </x:c>
      <x:c r="Q1914" s="35" t="str">
        <x:v>Deepseek-flash-v4/Result/Closure_67/result.json</x:v>
      </x:c>
    </x:row>
    <x:row r="1915">
      <x:c r="A1915" s="35" t="str">
        <x:v>deepseek</x:v>
      </x:c>
      <x:c r="B1915" s="35" t="str">
        <x:v>Closure</x:v>
      </x:c>
      <x:c r="C1915" s="35" t="str">
        <x:v>Round1</x:v>
      </x:c>
      <x:c r="D1915" s="35" t="str">
        <x:v>Closure_68</x:v>
      </x:c>
      <x:c r="E1915" s="35" t="str">
        <x:v>Condition</x:v>
      </x:c>
      <x:c r="F1915" s="35"/>
      <x:c r="G1915" s="35" t="str">
        <x:v>A</x:v>
      </x:c>
      <x:c r="H1915" s="39" t="str">
        <x:f>IF(ISNUMBER('Data'!N207),'Data'!N207*100,"")</x:f>
      </x:c>
      <x:c r="I1915" s="35"/>
      <x:c r="J1915" s="35" t="str">
        <x:v>PASS</x:v>
      </x:c>
      <x:c r="K1915" s="35" t="str">
        <x:v>FAIL</x:v>
      </x:c>
      <x:c r="L1915" s="35" t="str">
        <x:v>NOT_RUN</x:v>
      </x:c>
      <x:c r="M1915" s="35" t="str">
        <x:v>coverage unavailable or execution/compile failed</x:v>
      </x:c>
      <x:c r="N1915" s="35" t="str">
        <x:v>Deepseek-flash-v4/Result/Closure_68/result.json</x:v>
      </x:c>
      <x:c r="O1915" s="39" t="str">
        <x:f>IF(AND(G1915="RECORDED",ISNUMBER(H1915)),H1915,"")</x:f>
      </x:c>
      <x:c r="P1915" s="35" t="str">
        <x:v>NOT_AVAILABLE</x:v>
      </x:c>
      <x:c r="Q1915" s="35" t="str">
        <x:v>Deepseek-flash-v4/Result/Closure_68/result.json</x:v>
      </x:c>
    </x:row>
    <x:row r="1916">
      <x:c r="A1916" s="35" t="str">
        <x:v>deepseek</x:v>
      </x:c>
      <x:c r="B1916" s="35" t="str">
        <x:v>Closure</x:v>
      </x:c>
      <x:c r="C1916" s="35" t="str">
        <x:v>Round1</x:v>
      </x:c>
      <x:c r="D1916" s="35" t="str">
        <x:v>Closure_69</x:v>
      </x:c>
      <x:c r="E1916" s="35" t="str">
        <x:v>Condition</x:v>
      </x:c>
      <x:c r="F1916" s="35"/>
      <x:c r="G1916" s="35" t="str">
        <x:v>A</x:v>
      </x:c>
      <x:c r="H1916" s="39" t="str">
        <x:f>IF(ISNUMBER('Data'!N208),'Data'!N208*100,"")</x:f>
      </x:c>
      <x:c r="I1916" s="35"/>
      <x:c r="J1916" s="35" t="str">
        <x:v>PASS</x:v>
      </x:c>
      <x:c r="K1916" s="35" t="str">
        <x:v>FAIL</x:v>
      </x:c>
      <x:c r="L1916" s="35" t="str">
        <x:v>NOT_RUN</x:v>
      </x:c>
      <x:c r="M1916" s="35" t="str">
        <x:v>coverage unavailable or execution/compile failed</x:v>
      </x:c>
      <x:c r="N1916" s="35" t="str">
        <x:v>Deepseek-flash-v4/Result/Closure_69/result.json</x:v>
      </x:c>
      <x:c r="O1916" s="39" t="str">
        <x:f>IF(AND(G1916="RECORDED",ISNUMBER(H1916)),H1916,"")</x:f>
      </x:c>
      <x:c r="P1916" s="35" t="str">
        <x:v>NOT_AVAILABLE</x:v>
      </x:c>
      <x:c r="Q1916" s="35" t="str">
        <x:v>Deepseek-flash-v4/Result/Closure_69/result.json</x:v>
      </x:c>
    </x:row>
    <x:row r="1917">
      <x:c r="A1917" s="35" t="str">
        <x:v>deepseek</x:v>
      </x:c>
      <x:c r="B1917" s="35" t="str">
        <x:v>Closure</x:v>
      </x:c>
      <x:c r="C1917" s="35" t="str">
        <x:v>Round1</x:v>
      </x:c>
      <x:c r="D1917" s="35" t="str">
        <x:v>Closure_7</x:v>
      </x:c>
      <x:c r="E1917" s="35" t="str">
        <x:v>Condition</x:v>
      </x:c>
      <x:c r="F1917" s="35"/>
      <x:c r="G1917" s="35" t="str">
        <x:v>A</x:v>
      </x:c>
      <x:c r="H1917" s="39" t="str">
        <x:f>IF(ISNUMBER('Data'!N209),'Data'!N209*100,"")</x:f>
      </x:c>
      <x:c r="I1917" s="35"/>
      <x:c r="J1917" s="35" t="str">
        <x:v>PASS</x:v>
      </x:c>
      <x:c r="K1917" s="35" t="str">
        <x:v>FAIL</x:v>
      </x:c>
      <x:c r="L1917" s="35" t="str">
        <x:v>NOT_RUN</x:v>
      </x:c>
      <x:c r="M1917" s="35" t="str">
        <x:v>coverage unavailable or execution/compile failed</x:v>
      </x:c>
      <x:c r="N1917" s="35" t="str">
        <x:v>Deepseek-flash-v4/Result/Closure_7/result.json</x:v>
      </x:c>
      <x:c r="O1917" s="39" t="str">
        <x:f>IF(AND(G1917="RECORDED",ISNUMBER(H1917)),H1917,"")</x:f>
      </x:c>
      <x:c r="P1917" s="35" t="str">
        <x:v>NOT_AVAILABLE</x:v>
      </x:c>
      <x:c r="Q1917" s="35" t="str">
        <x:v>Deepseek-flash-v4/Result/Closure_7/result.json</x:v>
      </x:c>
    </x:row>
    <x:row r="1918">
      <x:c r="A1918" s="35" t="str">
        <x:v>deepseek</x:v>
      </x:c>
      <x:c r="B1918" s="35" t="str">
        <x:v>Closure</x:v>
      </x:c>
      <x:c r="C1918" s="35" t="str">
        <x:v>Round1</x:v>
      </x:c>
      <x:c r="D1918" s="35" t="str">
        <x:v>Closure_70</x:v>
      </x:c>
      <x:c r="E1918" s="35" t="str">
        <x:v>Condition</x:v>
      </x:c>
      <x:c r="F1918" s="35"/>
      <x:c r="G1918" s="35" t="str">
        <x:v>A</x:v>
      </x:c>
      <x:c r="H1918" s="39" t="str">
        <x:f>IF(ISNUMBER('Data'!N210),'Data'!N210*100,"")</x:f>
      </x:c>
      <x:c r="I1918" s="35"/>
      <x:c r="J1918" s="35" t="str">
        <x:v>PASS</x:v>
      </x:c>
      <x:c r="K1918" s="35" t="str">
        <x:v>FAIL</x:v>
      </x:c>
      <x:c r="L1918" s="35" t="str">
        <x:v>NOT_RUN</x:v>
      </x:c>
      <x:c r="M1918" s="35" t="str">
        <x:v>coverage unavailable or execution/compile failed</x:v>
      </x:c>
      <x:c r="N1918" s="35" t="str">
        <x:v>Deepseek-flash-v4/Result/Closure_70/result.json</x:v>
      </x:c>
      <x:c r="O1918" s="39" t="str">
        <x:f>IF(AND(G1918="RECORDED",ISNUMBER(H1918)),H1918,"")</x:f>
      </x:c>
      <x:c r="P1918" s="35" t="str">
        <x:v>NOT_AVAILABLE</x:v>
      </x:c>
      <x:c r="Q1918" s="35" t="str">
        <x:v>Deepseek-flash-v4/Result/Closure_70/result.json</x:v>
      </x:c>
    </x:row>
    <x:row r="1919">
      <x:c r="A1919" s="35" t="str">
        <x:v>deepseek</x:v>
      </x:c>
      <x:c r="B1919" s="35" t="str">
        <x:v>Closure</x:v>
      </x:c>
      <x:c r="C1919" s="35" t="str">
        <x:v>Round1</x:v>
      </x:c>
      <x:c r="D1919" s="35" t="str">
        <x:v>Closure_71</x:v>
      </x:c>
      <x:c r="E1919" s="35" t="str">
        <x:v>Condition</x:v>
      </x:c>
      <x:c r="F1919" s="35"/>
      <x:c r="G1919" s="35" t="str">
        <x:v>A</x:v>
      </x:c>
      <x:c r="H1919" s="39" t="str">
        <x:f>IF(ISNUMBER('Data'!N211),'Data'!N211*100,"")</x:f>
      </x:c>
      <x:c r="I1919" s="35"/>
      <x:c r="J1919" s="35" t="str">
        <x:v>PASS</x:v>
      </x:c>
      <x:c r="K1919" s="35" t="str">
        <x:v>FAIL</x:v>
      </x:c>
      <x:c r="L1919" s="35" t="str">
        <x:v>NOT_RUN</x:v>
      </x:c>
      <x:c r="M1919" s="35" t="str">
        <x:v>coverage unavailable or execution/compile failed</x:v>
      </x:c>
      <x:c r="N1919" s="35" t="str">
        <x:v>Deepseek-flash-v4/Result/Closure_71/result.json</x:v>
      </x:c>
      <x:c r="O1919" s="39" t="str">
        <x:f>IF(AND(G1919="RECORDED",ISNUMBER(H1919)),H1919,"")</x:f>
      </x:c>
      <x:c r="P1919" s="35" t="str">
        <x:v>NOT_AVAILABLE</x:v>
      </x:c>
      <x:c r="Q1919" s="35" t="str">
        <x:v>Deepseek-flash-v4/Result/Closure_71/result.json</x:v>
      </x:c>
    </x:row>
    <x:row r="1920">
      <x:c r="A1920" s="35" t="str">
        <x:v>deepseek</x:v>
      </x:c>
      <x:c r="B1920" s="35" t="str">
        <x:v>Closure</x:v>
      </x:c>
      <x:c r="C1920" s="35" t="str">
        <x:v>Round1</x:v>
      </x:c>
      <x:c r="D1920" s="35" t="str">
        <x:v>Closure_72</x:v>
      </x:c>
      <x:c r="E1920" s="35" t="str">
        <x:v>Condition</x:v>
      </x:c>
      <x:c r="F1920" s="35"/>
      <x:c r="G1920" s="35" t="str">
        <x:v>A</x:v>
      </x:c>
      <x:c r="H1920" s="39" t="str">
        <x:f>IF(ISNUMBER('Data'!N212),'Data'!N212*100,"")</x:f>
      </x:c>
      <x:c r="I1920" s="35"/>
      <x:c r="J1920" s="35" t="str">
        <x:v>PASS</x:v>
      </x:c>
      <x:c r="K1920" s="35" t="str">
        <x:v>FAIL</x:v>
      </x:c>
      <x:c r="L1920" s="35" t="str">
        <x:v>NOT_RUN</x:v>
      </x:c>
      <x:c r="M1920" s="35" t="str">
        <x:v>coverage unavailable or execution/compile failed</x:v>
      </x:c>
      <x:c r="N1920" s="35" t="str">
        <x:v>Deepseek-flash-v4/Result/Closure_72/result.json</x:v>
      </x:c>
      <x:c r="O1920" s="39" t="str">
        <x:f>IF(AND(G1920="RECORDED",ISNUMBER(H1920)),H1920,"")</x:f>
      </x:c>
      <x:c r="P1920" s="35" t="str">
        <x:v>NOT_AVAILABLE</x:v>
      </x:c>
      <x:c r="Q1920" s="35" t="str">
        <x:v>Deepseek-flash-v4/Result/Closure_72/result.json</x:v>
      </x:c>
    </x:row>
    <x:row r="1921">
      <x:c r="A1921" s="35" t="str">
        <x:v>deepseek</x:v>
      </x:c>
      <x:c r="B1921" s="35" t="str">
        <x:v>Closure</x:v>
      </x:c>
      <x:c r="C1921" s="35" t="str">
        <x:v>Round1</x:v>
      </x:c>
      <x:c r="D1921" s="35" t="str">
        <x:v>Closure_73</x:v>
      </x:c>
      <x:c r="E1921" s="35" t="str">
        <x:v>Condition</x:v>
      </x:c>
      <x:c r="F1921" s="35"/>
      <x:c r="G1921" s="35" t="str">
        <x:v>A</x:v>
      </x:c>
      <x:c r="H1921" s="39" t="str">
        <x:f>IF(ISNUMBER('Data'!N213),'Data'!N213*100,"")</x:f>
      </x:c>
      <x:c r="I1921" s="35"/>
      <x:c r="J1921" s="35" t="str">
        <x:v>PASS</x:v>
      </x:c>
      <x:c r="K1921" s="35" t="str">
        <x:v>FAIL</x:v>
      </x:c>
      <x:c r="L1921" s="35" t="str">
        <x:v>NOT_RUN</x:v>
      </x:c>
      <x:c r="M1921" s="35" t="str">
        <x:v>coverage unavailable or execution/compile failed</x:v>
      </x:c>
      <x:c r="N1921" s="35" t="str">
        <x:v>Deepseek-flash-v4/Result/Closure_73/result.json</x:v>
      </x:c>
      <x:c r="O1921" s="39" t="str">
        <x:f>IF(AND(G1921="RECORDED",ISNUMBER(H1921)),H1921,"")</x:f>
      </x:c>
      <x:c r="P1921" s="35" t="str">
        <x:v>NOT_AVAILABLE</x:v>
      </x:c>
      <x:c r="Q1921" s="35" t="str">
        <x:v>Deepseek-flash-v4/Result/Closure_73/result.json</x:v>
      </x:c>
    </x:row>
    <x:row r="1922">
      <x:c r="A1922" s="35" t="str">
        <x:v>deepseek</x:v>
      </x:c>
      <x:c r="B1922" s="35" t="str">
        <x:v>Closure</x:v>
      </x:c>
      <x:c r="C1922" s="35" t="str">
        <x:v>Round1</x:v>
      </x:c>
      <x:c r="D1922" s="35" t="str">
        <x:v>Closure_74</x:v>
      </x:c>
      <x:c r="E1922" s="35" t="str">
        <x:v>Condition</x:v>
      </x:c>
      <x:c r="F1922" s="35"/>
      <x:c r="G1922" s="35" t="str">
        <x:v>A</x:v>
      </x:c>
      <x:c r="H1922" s="39" t="str">
        <x:f>IF(ISNUMBER('Data'!N214),'Data'!N214*100,"")</x:f>
      </x:c>
      <x:c r="I1922" s="35"/>
      <x:c r="J1922" s="35" t="str">
        <x:v>PASS</x:v>
      </x:c>
      <x:c r="K1922" s="35" t="str">
        <x:v>FAIL</x:v>
      </x:c>
      <x:c r="L1922" s="35" t="str">
        <x:v>NOT_RUN</x:v>
      </x:c>
      <x:c r="M1922" s="35" t="str">
        <x:v>coverage unavailable or execution/compile failed</x:v>
      </x:c>
      <x:c r="N1922" s="35" t="str">
        <x:v>Deepseek-flash-v4/Result/Closure_74/result.json</x:v>
      </x:c>
      <x:c r="O1922" s="39" t="str">
        <x:f>IF(AND(G1922="RECORDED",ISNUMBER(H1922)),H1922,"")</x:f>
      </x:c>
      <x:c r="P1922" s="35" t="str">
        <x:v>NOT_AVAILABLE</x:v>
      </x:c>
      <x:c r="Q1922" s="35" t="str">
        <x:v>Deepseek-flash-v4/Result/Closure_74/result.json</x:v>
      </x:c>
    </x:row>
    <x:row r="1923">
      <x:c r="A1923" s="35" t="str">
        <x:v>deepseek</x:v>
      </x:c>
      <x:c r="B1923" s="35" t="str">
        <x:v>Closure</x:v>
      </x:c>
      <x:c r="C1923" s="35" t="str">
        <x:v>Round1</x:v>
      </x:c>
      <x:c r="D1923" s="35" t="str">
        <x:v>Closure_75</x:v>
      </x:c>
      <x:c r="E1923" s="35" t="str">
        <x:v>Condition</x:v>
      </x:c>
      <x:c r="F1923" s="35"/>
      <x:c r="G1923" s="35" t="str">
        <x:v>A</x:v>
      </x:c>
      <x:c r="H1923" s="39" t="str">
        <x:f>IF(ISNUMBER('Data'!N215),'Data'!N215*100,"")</x:f>
      </x:c>
      <x:c r="I1923" s="35"/>
      <x:c r="J1923" s="35" t="str">
        <x:v>PASS</x:v>
      </x:c>
      <x:c r="K1923" s="35" t="str">
        <x:v>FAIL</x:v>
      </x:c>
      <x:c r="L1923" s="35" t="str">
        <x:v>NOT_RUN</x:v>
      </x:c>
      <x:c r="M1923" s="35" t="str">
        <x:v>coverage unavailable or execution/compile failed</x:v>
      </x:c>
      <x:c r="N1923" s="35" t="str">
        <x:v>Deepseek-flash-v4/Result/Closure_75/result.json</x:v>
      </x:c>
      <x:c r="O1923" s="39" t="str">
        <x:f>IF(AND(G1923="RECORDED",ISNUMBER(H1923)),H1923,"")</x:f>
      </x:c>
      <x:c r="P1923" s="35" t="str">
        <x:v>NOT_AVAILABLE</x:v>
      </x:c>
      <x:c r="Q1923" s="35" t="str">
        <x:v>Deepseek-flash-v4/Result/Closure_75/result.json</x:v>
      </x:c>
    </x:row>
    <x:row r="1924">
      <x:c r="A1924" s="35" t="str">
        <x:v>deepseek</x:v>
      </x:c>
      <x:c r="B1924" s="35" t="str">
        <x:v>Closure</x:v>
      </x:c>
      <x:c r="C1924" s="35" t="str">
        <x:v>Round1</x:v>
      </x:c>
      <x:c r="D1924" s="35" t="str">
        <x:v>Closure_76</x:v>
      </x:c>
      <x:c r="E1924" s="35" t="str">
        <x:v>Condition</x:v>
      </x:c>
      <x:c r="F1924" s="35"/>
      <x:c r="G1924" s="35" t="str">
        <x:v>A</x:v>
      </x:c>
      <x:c r="H1924" s="39" t="str">
        <x:f>IF(ISNUMBER('Data'!N216),'Data'!N216*100,"")</x:f>
      </x:c>
      <x:c r="I1924" s="35"/>
      <x:c r="J1924" s="35" t="str">
        <x:v>PASS</x:v>
      </x:c>
      <x:c r="K1924" s="35" t="str">
        <x:v>FAIL</x:v>
      </x:c>
      <x:c r="L1924" s="35" t="str">
        <x:v>NOT_RUN</x:v>
      </x:c>
      <x:c r="M1924" s="35" t="str">
        <x:v>coverage unavailable or execution/compile failed</x:v>
      </x:c>
      <x:c r="N1924" s="35" t="str">
        <x:v>Deepseek-flash-v4/Result/Closure_76/result.json</x:v>
      </x:c>
      <x:c r="O1924" s="39" t="str">
        <x:f>IF(AND(G1924="RECORDED",ISNUMBER(H1924)),H1924,"")</x:f>
      </x:c>
      <x:c r="P1924" s="35" t="str">
        <x:v>NOT_AVAILABLE</x:v>
      </x:c>
      <x:c r="Q1924" s="35" t="str">
        <x:v>Deepseek-flash-v4/Result/Closure_76/result.json</x:v>
      </x:c>
    </x:row>
    <x:row r="1925">
      <x:c r="A1925" s="35" t="str">
        <x:v>deepseek</x:v>
      </x:c>
      <x:c r="B1925" s="35" t="str">
        <x:v>Closure</x:v>
      </x:c>
      <x:c r="C1925" s="35" t="str">
        <x:v>Round1</x:v>
      </x:c>
      <x:c r="D1925" s="35" t="str">
        <x:v>Closure_77</x:v>
      </x:c>
      <x:c r="E1925" s="35" t="str">
        <x:v>Condition</x:v>
      </x:c>
      <x:c r="F1925" s="35"/>
      <x:c r="G1925" s="35" t="str">
        <x:v>A</x:v>
      </x:c>
      <x:c r="H1925" s="39" t="str">
        <x:f>IF(ISNUMBER('Data'!N217),'Data'!N217*100,"")</x:f>
      </x:c>
      <x:c r="I1925" s="35"/>
      <x:c r="J1925" s="35" t="str">
        <x:v>PASS</x:v>
      </x:c>
      <x:c r="K1925" s="35" t="str">
        <x:v>FAIL</x:v>
      </x:c>
      <x:c r="L1925" s="35" t="str">
        <x:v>NOT_RUN</x:v>
      </x:c>
      <x:c r="M1925" s="35" t="str">
        <x:v>coverage unavailable or execution/compile failed</x:v>
      </x:c>
      <x:c r="N1925" s="35" t="str">
        <x:v>Deepseek-flash-v4/Result/Closure_77/result.json</x:v>
      </x:c>
      <x:c r="O1925" s="39" t="str">
        <x:f>IF(AND(G1925="RECORDED",ISNUMBER(H1925)),H1925,"")</x:f>
      </x:c>
      <x:c r="P1925" s="35" t="str">
        <x:v>NOT_AVAILABLE</x:v>
      </x:c>
      <x:c r="Q1925" s="35" t="str">
        <x:v>Deepseek-flash-v4/Result/Closure_77/result.json</x:v>
      </x:c>
    </x:row>
    <x:row r="1926">
      <x:c r="A1926" s="35" t="str">
        <x:v>deepseek</x:v>
      </x:c>
      <x:c r="B1926" s="35" t="str">
        <x:v>Closure</x:v>
      </x:c>
      <x:c r="C1926" s="35" t="str">
        <x:v>Round1</x:v>
      </x:c>
      <x:c r="D1926" s="35" t="str">
        <x:v>Closure_78</x:v>
      </x:c>
      <x:c r="E1926" s="35" t="str">
        <x:v>Condition</x:v>
      </x:c>
      <x:c r="F1926" s="35"/>
      <x:c r="G1926" s="35" t="str">
        <x:v>A</x:v>
      </x:c>
      <x:c r="H1926" s="39" t="str">
        <x:f>IF(ISNUMBER('Data'!N218),'Data'!N218*100,"")</x:f>
      </x:c>
      <x:c r="I1926" s="35"/>
      <x:c r="J1926" s="35" t="str">
        <x:v>PASS</x:v>
      </x:c>
      <x:c r="K1926" s="35" t="str">
        <x:v>FAIL</x:v>
      </x:c>
      <x:c r="L1926" s="35" t="str">
        <x:v>NOT_RUN</x:v>
      </x:c>
      <x:c r="M1926" s="35" t="str">
        <x:v>coverage unavailable or execution/compile failed</x:v>
      </x:c>
      <x:c r="N1926" s="35" t="str">
        <x:v>Deepseek-flash-v4/Result/Closure_78/result.json</x:v>
      </x:c>
      <x:c r="O1926" s="39" t="str">
        <x:f>IF(AND(G1926="RECORDED",ISNUMBER(H1926)),H1926,"")</x:f>
      </x:c>
      <x:c r="P1926" s="35" t="str">
        <x:v>NOT_AVAILABLE</x:v>
      </x:c>
      <x:c r="Q1926" s="35" t="str">
        <x:v>Deepseek-flash-v4/Result/Closure_78/result.json</x:v>
      </x:c>
    </x:row>
    <x:row r="1927">
      <x:c r="A1927" s="35" t="str">
        <x:v>deepseek</x:v>
      </x:c>
      <x:c r="B1927" s="35" t="str">
        <x:v>Closure</x:v>
      </x:c>
      <x:c r="C1927" s="35" t="str">
        <x:v>Round1</x:v>
      </x:c>
      <x:c r="D1927" s="35" t="str">
        <x:v>Closure_79</x:v>
      </x:c>
      <x:c r="E1927" s="35" t="str">
        <x:v>Condition</x:v>
      </x:c>
      <x:c r="F1927" s="35"/>
      <x:c r="G1927" s="35" t="str">
        <x:v>A</x:v>
      </x:c>
      <x:c r="H1927" s="39" t="str">
        <x:f>IF(ISNUMBER('Data'!N219),'Data'!N219*100,"")</x:f>
      </x:c>
      <x:c r="I1927" s="35"/>
      <x:c r="J1927" s="35" t="str">
        <x:v>PASS</x:v>
      </x:c>
      <x:c r="K1927" s="35" t="str">
        <x:v>FAIL</x:v>
      </x:c>
      <x:c r="L1927" s="35" t="str">
        <x:v>NOT_RUN</x:v>
      </x:c>
      <x:c r="M1927" s="35" t="str">
        <x:v>coverage unavailable or execution/compile failed</x:v>
      </x:c>
      <x:c r="N1927" s="35" t="str">
        <x:v>Deepseek-flash-v4/Result/Closure_79/result.json</x:v>
      </x:c>
      <x:c r="O1927" s="39" t="str">
        <x:f>IF(AND(G1927="RECORDED",ISNUMBER(H1927)),H1927,"")</x:f>
      </x:c>
      <x:c r="P1927" s="35" t="str">
        <x:v>NOT_AVAILABLE</x:v>
      </x:c>
      <x:c r="Q1927" s="35" t="str">
        <x:v>Deepseek-flash-v4/Result/Closure_79/result.json</x:v>
      </x:c>
    </x:row>
    <x:row r="1928">
      <x:c r="A1928" s="35" t="str">
        <x:v>deepseek</x:v>
      </x:c>
      <x:c r="B1928" s="35" t="str">
        <x:v>Closure</x:v>
      </x:c>
      <x:c r="C1928" s="35" t="str">
        <x:v>Round1</x:v>
      </x:c>
      <x:c r="D1928" s="35" t="str">
        <x:v>Closure_8</x:v>
      </x:c>
      <x:c r="E1928" s="35" t="str">
        <x:v>Condition</x:v>
      </x:c>
      <x:c r="F1928" s="35"/>
      <x:c r="G1928" s="35" t="str">
        <x:v>A</x:v>
      </x:c>
      <x:c r="H1928" s="39" t="str">
        <x:f>IF(ISNUMBER('Data'!N220),'Data'!N220*100,"")</x:f>
      </x:c>
      <x:c r="I1928" s="35"/>
      <x:c r="J1928" s="35" t="str">
        <x:v>PASS</x:v>
      </x:c>
      <x:c r="K1928" s="35" t="str">
        <x:v>FAIL</x:v>
      </x:c>
      <x:c r="L1928" s="35" t="str">
        <x:v>NOT_RUN</x:v>
      </x:c>
      <x:c r="M1928" s="35" t="str">
        <x:v>coverage unavailable or execution/compile failed</x:v>
      </x:c>
      <x:c r="N1928" s="35" t="str">
        <x:v>Deepseek-flash-v4/Result/Closure_8/result.json</x:v>
      </x:c>
      <x:c r="O1928" s="39" t="str">
        <x:f>IF(AND(G1928="RECORDED",ISNUMBER(H1928)),H1928,"")</x:f>
      </x:c>
      <x:c r="P1928" s="35" t="str">
        <x:v>NOT_AVAILABLE</x:v>
      </x:c>
      <x:c r="Q1928" s="35" t="str">
        <x:v>Deepseek-flash-v4/Result/Closure_8/result.json</x:v>
      </x:c>
    </x:row>
    <x:row r="1929">
      <x:c r="A1929" s="35" t="str">
        <x:v>deepseek</x:v>
      </x:c>
      <x:c r="B1929" s="35" t="str">
        <x:v>Closure</x:v>
      </x:c>
      <x:c r="C1929" s="35" t="str">
        <x:v>Round1</x:v>
      </x:c>
      <x:c r="D1929" s="35" t="str">
        <x:v>Closure_80</x:v>
      </x:c>
      <x:c r="E1929" s="35" t="str">
        <x:v>Condition</x:v>
      </x:c>
      <x:c r="F1929" s="35"/>
      <x:c r="G1929" s="35" t="str">
        <x:v>A</x:v>
      </x:c>
      <x:c r="H1929" s="39" t="str">
        <x:f>IF(ISNUMBER('Data'!N221),'Data'!N221*100,"")</x:f>
      </x:c>
      <x:c r="I1929" s="35"/>
      <x:c r="J1929" s="35" t="str">
        <x:v>PASS</x:v>
      </x:c>
      <x:c r="K1929" s="35" t="str">
        <x:v>FAIL</x:v>
      </x:c>
      <x:c r="L1929" s="35" t="str">
        <x:v>NOT_RUN</x:v>
      </x:c>
      <x:c r="M1929" s="35" t="str">
        <x:v>coverage unavailable or execution/compile failed</x:v>
      </x:c>
      <x:c r="N1929" s="35" t="str">
        <x:v>Deepseek-flash-v4/Result/Closure_80/result.json</x:v>
      </x:c>
      <x:c r="O1929" s="39" t="str">
        <x:f>IF(AND(G1929="RECORDED",ISNUMBER(H1929)),H1929,"")</x:f>
      </x:c>
      <x:c r="P1929" s="35" t="str">
        <x:v>NOT_AVAILABLE</x:v>
      </x:c>
      <x:c r="Q1929" s="35" t="str">
        <x:v>Deepseek-flash-v4/Result/Closure_80/result.json</x:v>
      </x:c>
    </x:row>
    <x:row r="1930">
      <x:c r="A1930" s="35" t="str">
        <x:v>deepseek</x:v>
      </x:c>
      <x:c r="B1930" s="35" t="str">
        <x:v>Closure</x:v>
      </x:c>
      <x:c r="C1930" s="35" t="str">
        <x:v>Round1</x:v>
      </x:c>
      <x:c r="D1930" s="35" t="str">
        <x:v>Closure_81</x:v>
      </x:c>
      <x:c r="E1930" s="35" t="str">
        <x:v>Condition</x:v>
      </x:c>
      <x:c r="F1930" s="35"/>
      <x:c r="G1930" s="35" t="str">
        <x:v>A</x:v>
      </x:c>
      <x:c r="H1930" s="39" t="str">
        <x:f>IF(ISNUMBER('Data'!N222),'Data'!N222*100,"")</x:f>
      </x:c>
      <x:c r="I1930" s="35"/>
      <x:c r="J1930" s="35" t="str">
        <x:v>PASS</x:v>
      </x:c>
      <x:c r="K1930" s="35" t="str">
        <x:v>FAIL</x:v>
      </x:c>
      <x:c r="L1930" s="35" t="str">
        <x:v>NOT_RUN</x:v>
      </x:c>
      <x:c r="M1930" s="35" t="str">
        <x:v>coverage unavailable or execution/compile failed</x:v>
      </x:c>
      <x:c r="N1930" s="35" t="str">
        <x:v>Deepseek-flash-v4/Result/Closure_81/result.json</x:v>
      </x:c>
      <x:c r="O1930" s="39" t="str">
        <x:f>IF(AND(G1930="RECORDED",ISNUMBER(H1930)),H1930,"")</x:f>
      </x:c>
      <x:c r="P1930" s="35" t="str">
        <x:v>NOT_AVAILABLE</x:v>
      </x:c>
      <x:c r="Q1930" s="35" t="str">
        <x:v>Deepseek-flash-v4/Result/Closure_81/result.json</x:v>
      </x:c>
    </x:row>
    <x:row r="1931">
      <x:c r="A1931" s="35" t="str">
        <x:v>deepseek</x:v>
      </x:c>
      <x:c r="B1931" s="35" t="str">
        <x:v>Closure</x:v>
      </x:c>
      <x:c r="C1931" s="35" t="str">
        <x:v>Round1</x:v>
      </x:c>
      <x:c r="D1931" s="35" t="str">
        <x:v>Closure_82</x:v>
      </x:c>
      <x:c r="E1931" s="35" t="str">
        <x:v>Condition</x:v>
      </x:c>
      <x:c r="F1931" s="35"/>
      <x:c r="G1931" s="35" t="str">
        <x:v>A</x:v>
      </x:c>
      <x:c r="H1931" s="39" t="str">
        <x:f>IF(ISNUMBER('Data'!N223),'Data'!N223*100,"")</x:f>
      </x:c>
      <x:c r="I1931" s="35"/>
      <x:c r="J1931" s="35" t="str">
        <x:v>PASS</x:v>
      </x:c>
      <x:c r="K1931" s="35" t="str">
        <x:v>FAIL</x:v>
      </x:c>
      <x:c r="L1931" s="35" t="str">
        <x:v>NOT_RUN</x:v>
      </x:c>
      <x:c r="M1931" s="35" t="str">
        <x:v>coverage unavailable or execution/compile failed</x:v>
      </x:c>
      <x:c r="N1931" s="35" t="str">
        <x:v>Deepseek-flash-v4/Result/Closure_82/result.json</x:v>
      </x:c>
      <x:c r="O1931" s="39" t="str">
        <x:f>IF(AND(G1931="RECORDED",ISNUMBER(H1931)),H1931,"")</x:f>
      </x:c>
      <x:c r="P1931" s="35" t="str">
        <x:v>NOT_AVAILABLE</x:v>
      </x:c>
      <x:c r="Q1931" s="35" t="str">
        <x:v>Deepseek-flash-v4/Result/Closure_82/result.json</x:v>
      </x:c>
    </x:row>
    <x:row r="1932">
      <x:c r="A1932" s="35" t="str">
        <x:v>deepseek</x:v>
      </x:c>
      <x:c r="B1932" s="35" t="str">
        <x:v>Closure</x:v>
      </x:c>
      <x:c r="C1932" s="35" t="str">
        <x:v>Round1</x:v>
      </x:c>
      <x:c r="D1932" s="35" t="str">
        <x:v>Closure_83</x:v>
      </x:c>
      <x:c r="E1932" s="35" t="str">
        <x:v>Condition</x:v>
      </x:c>
      <x:c r="F1932" s="35"/>
      <x:c r="G1932" s="35" t="str">
        <x:v>A</x:v>
      </x:c>
      <x:c r="H1932" s="39" t="str">
        <x:f>IF(ISNUMBER('Data'!N224),'Data'!N224*100,"")</x:f>
      </x:c>
      <x:c r="I1932" s="35"/>
      <x:c r="J1932" s="35" t="str">
        <x:v>PASS</x:v>
      </x:c>
      <x:c r="K1932" s="35" t="str">
        <x:v>FAIL</x:v>
      </x:c>
      <x:c r="L1932" s="35" t="str">
        <x:v>NOT_RUN</x:v>
      </x:c>
      <x:c r="M1932" s="35" t="str">
        <x:v>coverage unavailable or execution/compile failed</x:v>
      </x:c>
      <x:c r="N1932" s="35" t="str">
        <x:v>Deepseek-flash-v4/Result/Closure_83/result.json</x:v>
      </x:c>
      <x:c r="O1932" s="39" t="str">
        <x:f>IF(AND(G1932="RECORDED",ISNUMBER(H1932)),H1932,"")</x:f>
      </x:c>
      <x:c r="P1932" s="35" t="str">
        <x:v>NOT_AVAILABLE</x:v>
      </x:c>
      <x:c r="Q1932" s="35" t="str">
        <x:v>Deepseek-flash-v4/Result/Closure_83/result.json</x:v>
      </x:c>
    </x:row>
    <x:row r="1933">
      <x:c r="A1933" s="35" t="str">
        <x:v>deepseek</x:v>
      </x:c>
      <x:c r="B1933" s="35" t="str">
        <x:v>Closure</x:v>
      </x:c>
      <x:c r="C1933" s="35" t="str">
        <x:v>Round1</x:v>
      </x:c>
      <x:c r="D1933" s="35" t="str">
        <x:v>Closure_84</x:v>
      </x:c>
      <x:c r="E1933" s="35" t="str">
        <x:v>Condition</x:v>
      </x:c>
      <x:c r="F1933" s="35"/>
      <x:c r="G1933" s="35" t="str">
        <x:v>A</x:v>
      </x:c>
      <x:c r="H1933" s="39" t="str">
        <x:f>IF(ISNUMBER('Data'!N225),'Data'!N225*100,"")</x:f>
      </x:c>
      <x:c r="I1933" s="35"/>
      <x:c r="J1933" s="35" t="str">
        <x:v>PASS</x:v>
      </x:c>
      <x:c r="K1933" s="35" t="str">
        <x:v>FAIL</x:v>
      </x:c>
      <x:c r="L1933" s="35" t="str">
        <x:v>NOT_RUN</x:v>
      </x:c>
      <x:c r="M1933" s="35" t="str">
        <x:v>coverage unavailable or execution/compile failed</x:v>
      </x:c>
      <x:c r="N1933" s="35" t="str">
        <x:v>Deepseek-flash-v4/Result/Closure_84/result.json</x:v>
      </x:c>
      <x:c r="O1933" s="39" t="str">
        <x:f>IF(AND(G1933="RECORDED",ISNUMBER(H1933)),H1933,"")</x:f>
      </x:c>
      <x:c r="P1933" s="35" t="str">
        <x:v>NOT_AVAILABLE</x:v>
      </x:c>
      <x:c r="Q1933" s="35" t="str">
        <x:v>Deepseek-flash-v4/Result/Closure_84/result.json</x:v>
      </x:c>
    </x:row>
    <x:row r="1934">
      <x:c r="A1934" s="35" t="str">
        <x:v>deepseek</x:v>
      </x:c>
      <x:c r="B1934" s="35" t="str">
        <x:v>Closure</x:v>
      </x:c>
      <x:c r="C1934" s="35" t="str">
        <x:v>Round1</x:v>
      </x:c>
      <x:c r="D1934" s="35" t="str">
        <x:v>Closure_85</x:v>
      </x:c>
      <x:c r="E1934" s="35" t="str">
        <x:v>Condition</x:v>
      </x:c>
      <x:c r="F1934" s="35"/>
      <x:c r="G1934" s="35" t="str">
        <x:v>A</x:v>
      </x:c>
      <x:c r="H1934" s="39" t="str">
        <x:f>IF(ISNUMBER('Data'!N226),'Data'!N226*100,"")</x:f>
      </x:c>
      <x:c r="I1934" s="35"/>
      <x:c r="J1934" s="35" t="str">
        <x:v>PASS</x:v>
      </x:c>
      <x:c r="K1934" s="35" t="str">
        <x:v>FAIL</x:v>
      </x:c>
      <x:c r="L1934" s="35" t="str">
        <x:v>NOT_RUN</x:v>
      </x:c>
      <x:c r="M1934" s="35" t="str">
        <x:v>coverage unavailable or execution/compile failed</x:v>
      </x:c>
      <x:c r="N1934" s="35" t="str">
        <x:v>Deepseek-flash-v4/Result/Closure_85/result.json</x:v>
      </x:c>
      <x:c r="O1934" s="39" t="str">
        <x:f>IF(AND(G1934="RECORDED",ISNUMBER(H1934)),H1934,"")</x:f>
      </x:c>
      <x:c r="P1934" s="35" t="str">
        <x:v>NOT_AVAILABLE</x:v>
      </x:c>
      <x:c r="Q1934" s="35" t="str">
        <x:v>Deepseek-flash-v4/Result/Closure_85/result.json</x:v>
      </x:c>
    </x:row>
    <x:row r="1935">
      <x:c r="A1935" s="35" t="str">
        <x:v>deepseek</x:v>
      </x:c>
      <x:c r="B1935" s="35" t="str">
        <x:v>Closure</x:v>
      </x:c>
      <x:c r="C1935" s="35" t="str">
        <x:v>Round1</x:v>
      </x:c>
      <x:c r="D1935" s="35" t="str">
        <x:v>Closure_86</x:v>
      </x:c>
      <x:c r="E1935" s="35" t="str">
        <x:v>Condition</x:v>
      </x:c>
      <x:c r="F1935" s="35"/>
      <x:c r="G1935" s="35" t="str">
        <x:v>A</x:v>
      </x:c>
      <x:c r="H1935" s="39" t="str">
        <x:f>IF(ISNUMBER('Data'!N227),'Data'!N227*100,"")</x:f>
      </x:c>
      <x:c r="I1935" s="35"/>
      <x:c r="J1935" s="35" t="str">
        <x:v>PASS</x:v>
      </x:c>
      <x:c r="K1935" s="35" t="str">
        <x:v>FAIL</x:v>
      </x:c>
      <x:c r="L1935" s="35" t="str">
        <x:v>NOT_RUN</x:v>
      </x:c>
      <x:c r="M1935" s="35" t="str">
        <x:v>coverage unavailable or execution/compile failed</x:v>
      </x:c>
      <x:c r="N1935" s="35" t="str">
        <x:v>Deepseek-flash-v4/Result/Closure_86/result.json</x:v>
      </x:c>
      <x:c r="O1935" s="39" t="str">
        <x:f>IF(AND(G1935="RECORDED",ISNUMBER(H1935)),H1935,"")</x:f>
      </x:c>
      <x:c r="P1935" s="35" t="str">
        <x:v>NOT_AVAILABLE</x:v>
      </x:c>
      <x:c r="Q1935" s="35" t="str">
        <x:v>Deepseek-flash-v4/Result/Closure_86/result.json</x:v>
      </x:c>
    </x:row>
    <x:row r="1936">
      <x:c r="A1936" s="35" t="str">
        <x:v>deepseek</x:v>
      </x:c>
      <x:c r="B1936" s="35" t="str">
        <x:v>Closure</x:v>
      </x:c>
      <x:c r="C1936" s="35" t="str">
        <x:v>Round1</x:v>
      </x:c>
      <x:c r="D1936" s="35" t="str">
        <x:v>Closure_87</x:v>
      </x:c>
      <x:c r="E1936" s="35" t="str">
        <x:v>Condition</x:v>
      </x:c>
      <x:c r="F1936" s="35"/>
      <x:c r="G1936" s="35" t="str">
        <x:v>A</x:v>
      </x:c>
      <x:c r="H1936" s="39" t="str">
        <x:f>IF(ISNUMBER('Data'!N228),'Data'!N228*100,"")</x:f>
      </x:c>
      <x:c r="I1936" s="35"/>
      <x:c r="J1936" s="35" t="str">
        <x:v>PASS</x:v>
      </x:c>
      <x:c r="K1936" s="35" t="str">
        <x:v>FAIL</x:v>
      </x:c>
      <x:c r="L1936" s="35" t="str">
        <x:v>NOT_RUN</x:v>
      </x:c>
      <x:c r="M1936" s="35" t="str">
        <x:v>coverage unavailable or execution/compile failed</x:v>
      </x:c>
      <x:c r="N1936" s="35" t="str">
        <x:v>Deepseek-flash-v4/Result/Closure_87/result.json</x:v>
      </x:c>
      <x:c r="O1936" s="39" t="str">
        <x:f>IF(AND(G1936="RECORDED",ISNUMBER(H1936)),H1936,"")</x:f>
      </x:c>
      <x:c r="P1936" s="35" t="str">
        <x:v>NOT_AVAILABLE</x:v>
      </x:c>
      <x:c r="Q1936" s="35" t="str">
        <x:v>Deepseek-flash-v4/Result/Closure_87/result.json</x:v>
      </x:c>
    </x:row>
    <x:row r="1937">
      <x:c r="A1937" s="35" t="str">
        <x:v>deepseek</x:v>
      </x:c>
      <x:c r="B1937" s="35" t="str">
        <x:v>Closure</x:v>
      </x:c>
      <x:c r="C1937" s="35" t="str">
        <x:v>Round1</x:v>
      </x:c>
      <x:c r="D1937" s="35" t="str">
        <x:v>Closure_88</x:v>
      </x:c>
      <x:c r="E1937" s="35" t="str">
        <x:v>Condition</x:v>
      </x:c>
      <x:c r="F1937" s="35"/>
      <x:c r="G1937" s="35" t="str">
        <x:v>A</x:v>
      </x:c>
      <x:c r="H1937" s="39" t="str">
        <x:f>IF(ISNUMBER('Data'!N229),'Data'!N229*100,"")</x:f>
      </x:c>
      <x:c r="I1937" s="35"/>
      <x:c r="J1937" s="35" t="str">
        <x:v>PASS</x:v>
      </x:c>
      <x:c r="K1937" s="35" t="str">
        <x:v>FAIL</x:v>
      </x:c>
      <x:c r="L1937" s="35" t="str">
        <x:v>NOT_RUN</x:v>
      </x:c>
      <x:c r="M1937" s="35" t="str">
        <x:v>coverage unavailable or execution/compile failed</x:v>
      </x:c>
      <x:c r="N1937" s="35" t="str">
        <x:v>Deepseek-flash-v4/Result/Closure_88/result.json</x:v>
      </x:c>
      <x:c r="O1937" s="39" t="str">
        <x:f>IF(AND(G1937="RECORDED",ISNUMBER(H1937)),H1937,"")</x:f>
      </x:c>
      <x:c r="P1937" s="35" t="str">
        <x:v>NOT_AVAILABLE</x:v>
      </x:c>
      <x:c r="Q1937" s="35" t="str">
        <x:v>Deepseek-flash-v4/Result/Closure_88/result.json</x:v>
      </x:c>
    </x:row>
    <x:row r="1938">
      <x:c r="A1938" s="35" t="str">
        <x:v>deepseek</x:v>
      </x:c>
      <x:c r="B1938" s="35" t="str">
        <x:v>Closure</x:v>
      </x:c>
      <x:c r="C1938" s="35" t="str">
        <x:v>Round1</x:v>
      </x:c>
      <x:c r="D1938" s="35" t="str">
        <x:v>Closure_89</x:v>
      </x:c>
      <x:c r="E1938" s="35" t="str">
        <x:v>Condition</x:v>
      </x:c>
      <x:c r="F1938" s="35"/>
      <x:c r="G1938" s="35" t="str">
        <x:v>A</x:v>
      </x:c>
      <x:c r="H1938" s="39" t="str">
        <x:f>IF(ISNUMBER('Data'!N230),'Data'!N230*100,"")</x:f>
      </x:c>
      <x:c r="I1938" s="35"/>
      <x:c r="J1938" s="35" t="str">
        <x:v>PASS</x:v>
      </x:c>
      <x:c r="K1938" s="35" t="str">
        <x:v>FAIL</x:v>
      </x:c>
      <x:c r="L1938" s="35" t="str">
        <x:v>NOT_RUN</x:v>
      </x:c>
      <x:c r="M1938" s="35" t="str">
        <x:v>coverage unavailable or execution/compile failed</x:v>
      </x:c>
      <x:c r="N1938" s="35" t="str">
        <x:v>Deepseek-flash-v4/Result/Closure_89/result.json</x:v>
      </x:c>
      <x:c r="O1938" s="39" t="str">
        <x:f>IF(AND(G1938="RECORDED",ISNUMBER(H1938)),H1938,"")</x:f>
      </x:c>
      <x:c r="P1938" s="35" t="str">
        <x:v>NOT_AVAILABLE</x:v>
      </x:c>
      <x:c r="Q1938" s="35" t="str">
        <x:v>Deepseek-flash-v4/Result/Closure_89/result.json</x:v>
      </x:c>
    </x:row>
    <x:row r="1939">
      <x:c r="A1939" s="35" t="str">
        <x:v>deepseek</x:v>
      </x:c>
      <x:c r="B1939" s="35" t="str">
        <x:v>Closure</x:v>
      </x:c>
      <x:c r="C1939" s="35" t="str">
        <x:v>Round1</x:v>
      </x:c>
      <x:c r="D1939" s="35" t="str">
        <x:v>Closure_9</x:v>
      </x:c>
      <x:c r="E1939" s="35" t="str">
        <x:v>Condition</x:v>
      </x:c>
      <x:c r="F1939" s="35"/>
      <x:c r="G1939" s="35" t="str">
        <x:v>A</x:v>
      </x:c>
      <x:c r="H1939" s="39" t="str">
        <x:f>IF(ISNUMBER('Data'!N231),'Data'!N231*100,"")</x:f>
      </x:c>
      <x:c r="I1939" s="35"/>
      <x:c r="J1939" s="35" t="str">
        <x:v>PASS</x:v>
      </x:c>
      <x:c r="K1939" s="35" t="str">
        <x:v>FAIL</x:v>
      </x:c>
      <x:c r="L1939" s="35" t="str">
        <x:v>NOT_RUN</x:v>
      </x:c>
      <x:c r="M1939" s="35" t="str">
        <x:v>coverage unavailable or execution/compile failed</x:v>
      </x:c>
      <x:c r="N1939" s="35" t="str">
        <x:v>Deepseek-flash-v4/Result/Closure_9/result.json</x:v>
      </x:c>
      <x:c r="O1939" s="39" t="str">
        <x:f>IF(AND(G1939="RECORDED",ISNUMBER(H1939)),H1939,"")</x:f>
      </x:c>
      <x:c r="P1939" s="35" t="str">
        <x:v>NOT_AVAILABLE</x:v>
      </x:c>
      <x:c r="Q1939" s="35" t="str">
        <x:v>Deepseek-flash-v4/Result/Closure_9/result.json</x:v>
      </x:c>
    </x:row>
    <x:row r="1940">
      <x:c r="A1940" s="35" t="str">
        <x:v>deepseek</x:v>
      </x:c>
      <x:c r="B1940" s="35" t="str">
        <x:v>Closure</x:v>
      </x:c>
      <x:c r="C1940" s="35" t="str">
        <x:v>Round1</x:v>
      </x:c>
      <x:c r="D1940" s="35" t="str">
        <x:v>Closure_90</x:v>
      </x:c>
      <x:c r="E1940" s="35" t="str">
        <x:v>Condition</x:v>
      </x:c>
      <x:c r="F1940" s="35"/>
      <x:c r="G1940" s="35" t="str">
        <x:v>A</x:v>
      </x:c>
      <x:c r="H1940" s="39" t="str">
        <x:f>IF(ISNUMBER('Data'!N232),'Data'!N232*100,"")</x:f>
      </x:c>
      <x:c r="I1940" s="35"/>
      <x:c r="J1940" s="35" t="str">
        <x:v>PASS</x:v>
      </x:c>
      <x:c r="K1940" s="35" t="str">
        <x:v>FAIL</x:v>
      </x:c>
      <x:c r="L1940" s="35" t="str">
        <x:v>NOT_RUN</x:v>
      </x:c>
      <x:c r="M1940" s="35" t="str">
        <x:v>coverage unavailable or execution/compile failed</x:v>
      </x:c>
      <x:c r="N1940" s="35" t="str">
        <x:v>Deepseek-flash-v4/Result/Closure_90/result.json</x:v>
      </x:c>
      <x:c r="O1940" s="39" t="str">
        <x:f>IF(AND(G1940="RECORDED",ISNUMBER(H1940)),H1940,"")</x:f>
      </x:c>
      <x:c r="P1940" s="35" t="str">
        <x:v>NOT_AVAILABLE</x:v>
      </x:c>
      <x:c r="Q1940" s="35" t="str">
        <x:v>Deepseek-flash-v4/Result/Closure_90/result.json</x:v>
      </x:c>
    </x:row>
    <x:row r="1941">
      <x:c r="A1941" s="35" t="str">
        <x:v>deepseek</x:v>
      </x:c>
      <x:c r="B1941" s="35" t="str">
        <x:v>Closure</x:v>
      </x:c>
      <x:c r="C1941" s="35" t="str">
        <x:v>Round1</x:v>
      </x:c>
      <x:c r="D1941" s="35" t="str">
        <x:v>Closure_91</x:v>
      </x:c>
      <x:c r="E1941" s="35" t="str">
        <x:v>Condition</x:v>
      </x:c>
      <x:c r="F1941" s="35"/>
      <x:c r="G1941" s="35" t="str">
        <x:v>A</x:v>
      </x:c>
      <x:c r="H1941" s="39" t="str">
        <x:f>IF(ISNUMBER('Data'!N233),'Data'!N233*100,"")</x:f>
      </x:c>
      <x:c r="I1941" s="35"/>
      <x:c r="J1941" s="35" t="str">
        <x:v>PASS</x:v>
      </x:c>
      <x:c r="K1941" s="35" t="str">
        <x:v>FAIL</x:v>
      </x:c>
      <x:c r="L1941" s="35" t="str">
        <x:v>NOT_RUN</x:v>
      </x:c>
      <x:c r="M1941" s="35" t="str">
        <x:v>coverage unavailable or execution/compile failed</x:v>
      </x:c>
      <x:c r="N1941" s="35" t="str">
        <x:v>Deepseek-flash-v4/Result/Closure_91/result.json</x:v>
      </x:c>
      <x:c r="O1941" s="39" t="str">
        <x:f>IF(AND(G1941="RECORDED",ISNUMBER(H1941)),H1941,"")</x:f>
      </x:c>
      <x:c r="P1941" s="35" t="str">
        <x:v>NOT_AVAILABLE</x:v>
      </x:c>
      <x:c r="Q1941" s="35" t="str">
        <x:v>Deepseek-flash-v4/Result/Closure_91/result.json</x:v>
      </x:c>
    </x:row>
    <x:row r="1942">
      <x:c r="A1942" s="35" t="str">
        <x:v>deepseek</x:v>
      </x:c>
      <x:c r="B1942" s="35" t="str">
        <x:v>Closure</x:v>
      </x:c>
      <x:c r="C1942" s="35" t="str">
        <x:v>Round1</x:v>
      </x:c>
      <x:c r="D1942" s="35" t="str">
        <x:v>Closure_92</x:v>
      </x:c>
      <x:c r="E1942" s="35" t="str">
        <x:v>Condition</x:v>
      </x:c>
      <x:c r="F1942" s="35"/>
      <x:c r="G1942" s="35" t="str">
        <x:v>A</x:v>
      </x:c>
      <x:c r="H1942" s="39" t="str">
        <x:f>IF(ISNUMBER('Data'!N234),'Data'!N234*100,"")</x:f>
      </x:c>
      <x:c r="I1942" s="35"/>
      <x:c r="J1942" s="35" t="str">
        <x:v>PASS</x:v>
      </x:c>
      <x:c r="K1942" s="35" t="str">
        <x:v>FAIL</x:v>
      </x:c>
      <x:c r="L1942" s="35" t="str">
        <x:v>NOT_RUN</x:v>
      </x:c>
      <x:c r="M1942" s="35" t="str">
        <x:v>coverage unavailable or execution/compile failed</x:v>
      </x:c>
      <x:c r="N1942" s="35" t="str">
        <x:v>Deepseek-flash-v4/Result/Closure_92/result.json</x:v>
      </x:c>
      <x:c r="O1942" s="39" t="str">
        <x:f>IF(AND(G1942="RECORDED",ISNUMBER(H1942)),H1942,"")</x:f>
      </x:c>
      <x:c r="P1942" s="35" t="str">
        <x:v>NOT_AVAILABLE</x:v>
      </x:c>
      <x:c r="Q1942" s="35" t="str">
        <x:v>Deepseek-flash-v4/Result/Closure_92/result.json</x:v>
      </x:c>
    </x:row>
    <x:row r="1943">
      <x:c r="A1943" s="35" t="str">
        <x:v>deepseek</x:v>
      </x:c>
      <x:c r="B1943" s="35" t="str">
        <x:v>Closure</x:v>
      </x:c>
      <x:c r="C1943" s="35" t="str">
        <x:v>Round1</x:v>
      </x:c>
      <x:c r="D1943" s="35" t="str">
        <x:v>Closure_94</x:v>
      </x:c>
      <x:c r="E1943" s="35" t="str">
        <x:v>Condition</x:v>
      </x:c>
      <x:c r="F1943" s="35"/>
      <x:c r="G1943" s="35" t="str">
        <x:v>A</x:v>
      </x:c>
      <x:c r="H1943" s="39" t="str">
        <x:f>IF(ISNUMBER('Data'!N235),'Data'!N235*100,"")</x:f>
      </x:c>
      <x:c r="I1943" s="35"/>
      <x:c r="J1943" s="35" t="str">
        <x:v>PASS</x:v>
      </x:c>
      <x:c r="K1943" s="35" t="str">
        <x:v>FAIL</x:v>
      </x:c>
      <x:c r="L1943" s="35" t="str">
        <x:v>NOT_RUN</x:v>
      </x:c>
      <x:c r="M1943" s="35" t="str">
        <x:v>coverage unavailable or execution/compile failed</x:v>
      </x:c>
      <x:c r="N1943" s="35" t="str">
        <x:v>Deepseek-flash-v4/Result/Closure_94/result.json</x:v>
      </x:c>
      <x:c r="O1943" s="39" t="str">
        <x:f>IF(AND(G1943="RECORDED",ISNUMBER(H1943)),H1943,"")</x:f>
      </x:c>
      <x:c r="P1943" s="35" t="str">
        <x:v>NOT_AVAILABLE</x:v>
      </x:c>
      <x:c r="Q1943" s="35" t="str">
        <x:v>Deepseek-flash-v4/Result/Closure_94/result.json</x:v>
      </x:c>
    </x:row>
    <x:row r="1944">
      <x:c r="A1944" s="35" t="str">
        <x:v>deepseek</x:v>
      </x:c>
      <x:c r="B1944" s="35" t="str">
        <x:v>Closure</x:v>
      </x:c>
      <x:c r="C1944" s="35" t="str">
        <x:v>Round1</x:v>
      </x:c>
      <x:c r="D1944" s="35" t="str">
        <x:v>Closure_95</x:v>
      </x:c>
      <x:c r="E1944" s="35" t="str">
        <x:v>Condition</x:v>
      </x:c>
      <x:c r="F1944" s="35"/>
      <x:c r="G1944" s="35" t="str">
        <x:v>A</x:v>
      </x:c>
      <x:c r="H1944" s="39" t="str">
        <x:f>IF(ISNUMBER('Data'!N236),'Data'!N236*100,"")</x:f>
      </x:c>
      <x:c r="I1944" s="35"/>
      <x:c r="J1944" s="35" t="str">
        <x:v>PASS</x:v>
      </x:c>
      <x:c r="K1944" s="35" t="str">
        <x:v>FAIL</x:v>
      </x:c>
      <x:c r="L1944" s="35" t="str">
        <x:v>NOT_RUN</x:v>
      </x:c>
      <x:c r="M1944" s="35" t="str">
        <x:v>coverage unavailable or execution/compile failed</x:v>
      </x:c>
      <x:c r="N1944" s="35" t="str">
        <x:v>Deepseek-flash-v4/Result/Closure_95/result.json</x:v>
      </x:c>
      <x:c r="O1944" s="39" t="str">
        <x:f>IF(AND(G1944="RECORDED",ISNUMBER(H1944)),H1944,"")</x:f>
      </x:c>
      <x:c r="P1944" s="35" t="str">
        <x:v>NOT_AVAILABLE</x:v>
      </x:c>
      <x:c r="Q1944" s="35" t="str">
        <x:v>Deepseek-flash-v4/Result/Closure_95/result.json</x:v>
      </x:c>
    </x:row>
    <x:row r="1945">
      <x:c r="A1945" s="35" t="str">
        <x:v>deepseek</x:v>
      </x:c>
      <x:c r="B1945" s="35" t="str">
        <x:v>Closure</x:v>
      </x:c>
      <x:c r="C1945" s="35" t="str">
        <x:v>Round1</x:v>
      </x:c>
      <x:c r="D1945" s="35" t="str">
        <x:v>Closure_96</x:v>
      </x:c>
      <x:c r="E1945" s="35" t="str">
        <x:v>Condition</x:v>
      </x:c>
      <x:c r="F1945" s="35"/>
      <x:c r="G1945" s="35" t="str">
        <x:v>A</x:v>
      </x:c>
      <x:c r="H1945" s="39" t="str">
        <x:f>IF(ISNUMBER('Data'!N237),'Data'!N237*100,"")</x:f>
      </x:c>
      <x:c r="I1945" s="35"/>
      <x:c r="J1945" s="35" t="str">
        <x:v>PASS</x:v>
      </x:c>
      <x:c r="K1945" s="35" t="str">
        <x:v>FAIL</x:v>
      </x:c>
      <x:c r="L1945" s="35" t="str">
        <x:v>NOT_RUN</x:v>
      </x:c>
      <x:c r="M1945" s="35" t="str">
        <x:v>coverage unavailable or execution/compile failed</x:v>
      </x:c>
      <x:c r="N1945" s="35" t="str">
        <x:v>Deepseek-flash-v4/Result/Closure_96/result.json</x:v>
      </x:c>
      <x:c r="O1945" s="39" t="str">
        <x:f>IF(AND(G1945="RECORDED",ISNUMBER(H1945)),H1945,"")</x:f>
      </x:c>
      <x:c r="P1945" s="35" t="str">
        <x:v>NOT_AVAILABLE</x:v>
      </x:c>
      <x:c r="Q1945" s="35" t="str">
        <x:v>Deepseek-flash-v4/Result/Closure_96/result.json</x:v>
      </x:c>
    </x:row>
    <x:row r="1946">
      <x:c r="A1946" s="35" t="str">
        <x:v>deepseek</x:v>
      </x:c>
      <x:c r="B1946" s="35" t="str">
        <x:v>Closure</x:v>
      </x:c>
      <x:c r="C1946" s="35" t="str">
        <x:v>Round1</x:v>
      </x:c>
      <x:c r="D1946" s="35" t="str">
        <x:v>Closure_97</x:v>
      </x:c>
      <x:c r="E1946" s="35" t="str">
        <x:v>Condition</x:v>
      </x:c>
      <x:c r="F1946" s="35"/>
      <x:c r="G1946" s="35" t="str">
        <x:v>A</x:v>
      </x:c>
      <x:c r="H1946" s="39" t="str">
        <x:f>IF(ISNUMBER('Data'!N238),'Data'!N238*100,"")</x:f>
      </x:c>
      <x:c r="I1946" s="35"/>
      <x:c r="J1946" s="35" t="str">
        <x:v>PASS</x:v>
      </x:c>
      <x:c r="K1946" s="35" t="str">
        <x:v>FAIL</x:v>
      </x:c>
      <x:c r="L1946" s="35" t="str">
        <x:v>NOT_RUN</x:v>
      </x:c>
      <x:c r="M1946" s="35" t="str">
        <x:v>coverage unavailable or execution/compile failed</x:v>
      </x:c>
      <x:c r="N1946" s="35" t="str">
        <x:v>Deepseek-flash-v4/Result/Closure_97/result.json</x:v>
      </x:c>
      <x:c r="O1946" s="39" t="str">
        <x:f>IF(AND(G1946="RECORDED",ISNUMBER(H1946)),H1946,"")</x:f>
      </x:c>
      <x:c r="P1946" s="35" t="str">
        <x:v>NOT_AVAILABLE</x:v>
      </x:c>
      <x:c r="Q1946" s="35" t="str">
        <x:v>Deepseek-flash-v4/Result/Closure_97/result.json</x:v>
      </x:c>
    </x:row>
    <x:row r="1947">
      <x:c r="A1947" s="35" t="str">
        <x:v>deepseek</x:v>
      </x:c>
      <x:c r="B1947" s="35" t="str">
        <x:v>Closure</x:v>
      </x:c>
      <x:c r="C1947" s="35" t="str">
        <x:v>Round1</x:v>
      </x:c>
      <x:c r="D1947" s="35" t="str">
        <x:v>Closure_98</x:v>
      </x:c>
      <x:c r="E1947" s="35" t="str">
        <x:v>Condition</x:v>
      </x:c>
      <x:c r="F1947" s="35"/>
      <x:c r="G1947" s="35" t="str">
        <x:v>A</x:v>
      </x:c>
      <x:c r="H1947" s="39" t="str">
        <x:f>IF(ISNUMBER('Data'!N239),'Data'!N239*100,"")</x:f>
      </x:c>
      <x:c r="I1947" s="35"/>
      <x:c r="J1947" s="35" t="str">
        <x:v>PASS</x:v>
      </x:c>
      <x:c r="K1947" s="35" t="str">
        <x:v>FAIL</x:v>
      </x:c>
      <x:c r="L1947" s="35" t="str">
        <x:v>NOT_RUN</x:v>
      </x:c>
      <x:c r="M1947" s="35" t="str">
        <x:v>coverage unavailable or execution/compile failed</x:v>
      </x:c>
      <x:c r="N1947" s="35" t="str">
        <x:v>Deepseek-flash-v4/Result/Closure_98/result.json</x:v>
      </x:c>
      <x:c r="O1947" s="39" t="str">
        <x:f>IF(AND(G1947="RECORDED",ISNUMBER(H1947)),H1947,"")</x:f>
      </x:c>
      <x:c r="P1947" s="35" t="str">
        <x:v>NOT_AVAILABLE</x:v>
      </x:c>
      <x:c r="Q1947" s="35" t="str">
        <x:v>Deepseek-flash-v4/Result/Closure_98/result.json</x:v>
      </x:c>
    </x:row>
    <x:row r="1948">
      <x:c r="A1948" s="35" t="str">
        <x:v>deepseek</x:v>
      </x:c>
      <x:c r="B1948" s="35" t="str">
        <x:v>Closure</x:v>
      </x:c>
      <x:c r="C1948" s="35" t="str">
        <x:v>Round1</x:v>
      </x:c>
      <x:c r="D1948" s="35" t="str">
        <x:v>Closure_99</x:v>
      </x:c>
      <x:c r="E1948" s="35" t="str">
        <x:v>Condition</x:v>
      </x:c>
      <x:c r="F1948" s="35"/>
      <x:c r="G1948" s="35" t="str">
        <x:v>A</x:v>
      </x:c>
      <x:c r="H1948" s="39" t="str">
        <x:f>IF(ISNUMBER('Data'!N240),'Data'!N240*100,"")</x:f>
      </x:c>
      <x:c r="I1948" s="35"/>
      <x:c r="J1948" s="35" t="str">
        <x:v>PASS</x:v>
      </x:c>
      <x:c r="K1948" s="35" t="str">
        <x:v>FAIL</x:v>
      </x:c>
      <x:c r="L1948" s="35" t="str">
        <x:v>NOT_RUN</x:v>
      </x:c>
      <x:c r="M1948" s="35" t="str">
        <x:v>coverage unavailable or execution/compile failed</x:v>
      </x:c>
      <x:c r="N1948" s="35" t="str">
        <x:v>Deepseek-flash-v4/Result/Closure_99/result.json</x:v>
      </x:c>
      <x:c r="O1948" s="39" t="str">
        <x:f>IF(AND(G1948="RECORDED",ISNUMBER(H1948)),H1948,"")</x:f>
      </x:c>
      <x:c r="P1948" s="35" t="str">
        <x:v>NOT_AVAILABLE</x:v>
      </x:c>
      <x:c r="Q1948" s="35" t="str">
        <x:v>Deepseek-flash-v4/Result/Closure_99/result.json</x:v>
      </x:c>
    </x:row>
    <x:row r="1949">
      <x:c r="A1949" s="35" t="str">
        <x:v>deepseek</x:v>
      </x:c>
      <x:c r="B1949" s="35" t="str">
        <x:v>Codec</x:v>
      </x:c>
      <x:c r="C1949" s="35" t="str">
        <x:v>Round1</x:v>
      </x:c>
      <x:c r="D1949" s="35" t="str">
        <x:v>Codec_1</x:v>
      </x:c>
      <x:c r="E1949" s="35" t="str">
        <x:v>Condition</x:v>
      </x:c>
      <x:c r="F1949" s="35"/>
      <x:c r="G1949" s="35" t="str">
        <x:v>A</x:v>
      </x:c>
      <x:c r="H1949" s="39" t="str">
        <x:f>IF(ISNUMBER('Data'!N241),'Data'!N241*100,"")</x:f>
      </x:c>
      <x:c r="I1949" s="35"/>
      <x:c r="J1949" s="35" t="str">
        <x:v>PASS</x:v>
      </x:c>
      <x:c r="K1949" s="35" t="str">
        <x:v>FAIL</x:v>
      </x:c>
      <x:c r="L1949" s="35" t="str">
        <x:v>NOT_RUN</x:v>
      </x:c>
      <x:c r="M1949" s="35" t="str">
        <x:v>coverage unavailable or execution/compile failed</x:v>
      </x:c>
      <x:c r="N1949" s="35" t="str">
        <x:v>Deepseek-flash-v4/Result/Codec_1/result.json</x:v>
      </x:c>
      <x:c r="O1949" s="39" t="str">
        <x:f>IF(AND(G1949="RECORDED",ISNUMBER(H1949)),H1949,"")</x:f>
      </x:c>
      <x:c r="P1949" s="35" t="str">
        <x:v>NOT_AVAILABLE</x:v>
      </x:c>
      <x:c r="Q1949" s="35" t="str">
        <x:v>Deepseek-flash-v4/Result/Codec_1/result.json</x:v>
      </x:c>
    </x:row>
    <x:row r="1950">
      <x:c r="A1950" s="35" t="str">
        <x:v>deepseek</x:v>
      </x:c>
      <x:c r="B1950" s="35" t="str">
        <x:v>Codec</x:v>
      </x:c>
      <x:c r="C1950" s="35" t="str">
        <x:v>Round1</x:v>
      </x:c>
      <x:c r="D1950" s="35" t="str">
        <x:v>Codec_10</x:v>
      </x:c>
      <x:c r="E1950" s="35" t="str">
        <x:v>Condition</x:v>
      </x:c>
      <x:c r="F1950" s="35" t="n">
        <x:v>6</x:v>
      </x:c>
      <x:c r="G1950" s="35" t="str">
        <x:v>RECORDED</x:v>
      </x:c>
      <x:c r="H1950" s="39" t="n">
        <x:f>IF(ISNUMBER('Data'!N242),'Data'!N242*100,"")</x:f>
        <x:v>83.33</x:v>
      </x:c>
      <x:c r="I1950" s="35" t="str">
        <x:v>PASS</x:v>
      </x:c>
      <x:c r="J1950" s="35" t="str">
        <x:v>PASS</x:v>
      </x:c>
      <x:c r="K1950" s="35" t="str">
        <x:v>PASS</x:v>
      </x:c>
      <x:c r="L1950" s="35" t="str">
        <x:v>FAIL</x:v>
      </x:c>
      <x:c r="M1950" s="35" t="str">
        <x:v>numeric coverage for applicable metric</x:v>
      </x:c>
      <x:c r="N1950" s="35" t="str">
        <x:v>Deepseek-flash-v4/Result/Codec_10/result.json</x:v>
      </x:c>
      <x:c r="O1950" s="39" t="n">
        <x:f>IF(AND(G1950="RECORDED",ISNUMBER(H1950)),H1950,"")</x:f>
        <x:v>83.33</x:v>
      </x:c>
      <x:c r="P1950" s="35" t="str">
        <x:v>NOT_AVAILABLE</x:v>
      </x:c>
      <x:c r="Q1950" s="35" t="str">
        <x:v>Deepseek-flash-v4/Result/Codec_10/result.json</x:v>
      </x:c>
    </x:row>
    <x:row r="1951">
      <x:c r="A1951" s="35" t="str">
        <x:v>deepseek</x:v>
      </x:c>
      <x:c r="B1951" s="35" t="str">
        <x:v>Codec</x:v>
      </x:c>
      <x:c r="C1951" s="35" t="str">
        <x:v>Round1</x:v>
      </x:c>
      <x:c r="D1951" s="35" t="str">
        <x:v>Codec_11</x:v>
      </x:c>
      <x:c r="E1951" s="35" t="str">
        <x:v>Condition</x:v>
      </x:c>
      <x:c r="F1951" s="35"/>
      <x:c r="G1951" s="35" t="str">
        <x:v>A</x:v>
      </x:c>
      <x:c r="H1951" s="39" t="str">
        <x:f>IF(ISNUMBER('Data'!N243),'Data'!N243*100,"")</x:f>
      </x:c>
      <x:c r="I1951" s="35"/>
      <x:c r="J1951" s="35" t="str">
        <x:v>PASS</x:v>
      </x:c>
      <x:c r="K1951" s="35" t="str">
        <x:v>FAIL</x:v>
      </x:c>
      <x:c r="L1951" s="35" t="str">
        <x:v>NOT_RUN</x:v>
      </x:c>
      <x:c r="M1951" s="35" t="str">
        <x:v>coverage unavailable or execution/compile failed</x:v>
      </x:c>
      <x:c r="N1951" s="35" t="str">
        <x:v>Deepseek-flash-v4/Result/Codec_11/result.json</x:v>
      </x:c>
      <x:c r="O1951" s="39" t="str">
        <x:f>IF(AND(G1951="RECORDED",ISNUMBER(H1951)),H1951,"")</x:f>
      </x:c>
      <x:c r="P1951" s="35" t="str">
        <x:v>NOT_AVAILABLE</x:v>
      </x:c>
      <x:c r="Q1951" s="35" t="str">
        <x:v>Deepseek-flash-v4/Result/Codec_11/result.json</x:v>
      </x:c>
    </x:row>
    <x:row r="1952">
      <x:c r="A1952" s="35" t="str">
        <x:v>deepseek</x:v>
      </x:c>
      <x:c r="B1952" s="35" t="str">
        <x:v>Codec</x:v>
      </x:c>
      <x:c r="C1952" s="35" t="str">
        <x:v>Round1</x:v>
      </x:c>
      <x:c r="D1952" s="35" t="str">
        <x:v>Codec_12</x:v>
      </x:c>
      <x:c r="E1952" s="35" t="str">
        <x:v>Condition</x:v>
      </x:c>
      <x:c r="F1952" s="35"/>
      <x:c r="G1952" s="35" t="str">
        <x:v>A</x:v>
      </x:c>
      <x:c r="H1952" s="39" t="str">
        <x:f>IF(ISNUMBER('Data'!N244),'Data'!N244*100,"")</x:f>
      </x:c>
      <x:c r="I1952" s="35"/>
      <x:c r="J1952" s="35" t="str">
        <x:v>PASS</x:v>
      </x:c>
      <x:c r="K1952" s="35" t="str">
        <x:v>FAIL</x:v>
      </x:c>
      <x:c r="L1952" s="35" t="str">
        <x:v>NOT_RUN</x:v>
      </x:c>
      <x:c r="M1952" s="35" t="str">
        <x:v>coverage unavailable or execution/compile failed</x:v>
      </x:c>
      <x:c r="N1952" s="35" t="str">
        <x:v>Deepseek-flash-v4/Result/Codec_12/result.json</x:v>
      </x:c>
      <x:c r="O1952" s="39" t="str">
        <x:f>IF(AND(G1952="RECORDED",ISNUMBER(H1952)),H1952,"")</x:f>
      </x:c>
      <x:c r="P1952" s="35" t="str">
        <x:v>NOT_AVAILABLE</x:v>
      </x:c>
      <x:c r="Q1952" s="35" t="str">
        <x:v>Deepseek-flash-v4/Result/Codec_12/result.json</x:v>
      </x:c>
    </x:row>
    <x:row r="1953">
      <x:c r="A1953" s="35" t="str">
        <x:v>deepseek</x:v>
      </x:c>
      <x:c r="B1953" s="35" t="str">
        <x:v>Codec</x:v>
      </x:c>
      <x:c r="C1953" s="35" t="str">
        <x:v>Round1</x:v>
      </x:c>
      <x:c r="D1953" s="35" t="str">
        <x:v>Codec_13</x:v>
      </x:c>
      <x:c r="E1953" s="35" t="str">
        <x:v>Condition</x:v>
      </x:c>
      <x:c r="F1953" s="35"/>
      <x:c r="G1953" s="35" t="str">
        <x:v>A</x:v>
      </x:c>
      <x:c r="H1953" s="39" t="str">
        <x:f>IF(ISNUMBER('Data'!N245),'Data'!N245*100,"")</x:f>
      </x:c>
      <x:c r="I1953" s="35"/>
      <x:c r="J1953" s="35" t="str">
        <x:v>PASS</x:v>
      </x:c>
      <x:c r="K1953" s="35" t="str">
        <x:v>FAIL</x:v>
      </x:c>
      <x:c r="L1953" s="35" t="str">
        <x:v>NOT_RUN</x:v>
      </x:c>
      <x:c r="M1953" s="35" t="str">
        <x:v>coverage unavailable or execution/compile failed</x:v>
      </x:c>
      <x:c r="N1953" s="35" t="str">
        <x:v>Deepseek-flash-v4/Result/Codec_13/result.json</x:v>
      </x:c>
      <x:c r="O1953" s="39" t="str">
        <x:f>IF(AND(G1953="RECORDED",ISNUMBER(H1953)),H1953,"")</x:f>
      </x:c>
      <x:c r="P1953" s="35" t="str">
        <x:v>NOT_AVAILABLE</x:v>
      </x:c>
      <x:c r="Q1953" s="35" t="str">
        <x:v>Deepseek-flash-v4/Result/Codec_13/result.json</x:v>
      </x:c>
    </x:row>
    <x:row r="1954">
      <x:c r="A1954" s="35" t="str">
        <x:v>deepseek</x:v>
      </x:c>
      <x:c r="B1954" s="35" t="str">
        <x:v>Codec</x:v>
      </x:c>
      <x:c r="C1954" s="35" t="str">
        <x:v>Round1</x:v>
      </x:c>
      <x:c r="D1954" s="35" t="str">
        <x:v>Codec_14</x:v>
      </x:c>
      <x:c r="E1954" s="35" t="str">
        <x:v>Condition</x:v>
      </x:c>
      <x:c r="F1954" s="35"/>
      <x:c r="G1954" s="35" t="str">
        <x:v>A</x:v>
      </x:c>
      <x:c r="H1954" s="39" t="str">
        <x:f>IF(ISNUMBER('Data'!N246),'Data'!N246*100,"")</x:f>
      </x:c>
      <x:c r="I1954" s="35"/>
      <x:c r="J1954" s="35" t="str">
        <x:v>PASS</x:v>
      </x:c>
      <x:c r="K1954" s="35" t="str">
        <x:v>FAIL</x:v>
      </x:c>
      <x:c r="L1954" s="35" t="str">
        <x:v>NOT_RUN</x:v>
      </x:c>
      <x:c r="M1954" s="35" t="str">
        <x:v>coverage unavailable or execution/compile failed</x:v>
      </x:c>
      <x:c r="N1954" s="35" t="str">
        <x:v>Deepseek-flash-v4/Result/Codec_14/result.json</x:v>
      </x:c>
      <x:c r="O1954" s="39" t="str">
        <x:f>IF(AND(G1954="RECORDED",ISNUMBER(H1954)),H1954,"")</x:f>
      </x:c>
      <x:c r="P1954" s="35" t="str">
        <x:v>NOT_AVAILABLE</x:v>
      </x:c>
      <x:c r="Q1954" s="35" t="str">
        <x:v>Deepseek-flash-v4/Result/Codec_14/result.json</x:v>
      </x:c>
    </x:row>
    <x:row r="1955">
      <x:c r="A1955" s="35" t="str">
        <x:v>deepseek</x:v>
      </x:c>
      <x:c r="B1955" s="35" t="str">
        <x:v>Codec</x:v>
      </x:c>
      <x:c r="C1955" s="35" t="str">
        <x:v>Round1</x:v>
      </x:c>
      <x:c r="D1955" s="35" t="str">
        <x:v>Codec_15</x:v>
      </x:c>
      <x:c r="E1955" s="35" t="str">
        <x:v>Condition</x:v>
      </x:c>
      <x:c r="F1955" s="35"/>
      <x:c r="G1955" s="35" t="str">
        <x:v>A</x:v>
      </x:c>
      <x:c r="H1955" s="39" t="str">
        <x:f>IF(ISNUMBER('Data'!N247),'Data'!N247*100,"")</x:f>
      </x:c>
      <x:c r="I1955" s="35" t="str">
        <x:v>FAIL</x:v>
      </x:c>
      <x:c r="J1955" s="35" t="str">
        <x:v>PASS</x:v>
      </x:c>
      <x:c r="K1955" s="35" t="str">
        <x:v>PASS</x:v>
      </x:c>
      <x:c r="L1955" s="35" t="str">
        <x:v>FAIL</x:v>
      </x:c>
      <x:c r="M1955" s="35" t="str">
        <x:v>coverage unavailable or execution/compile failed</x:v>
      </x:c>
      <x:c r="N1955" s="35" t="str">
        <x:v>Deepseek-flash-v4/Result/Codec_15/result.json</x:v>
      </x:c>
      <x:c r="O1955" s="39" t="str">
        <x:f>IF(AND(G1955="RECORDED",ISNUMBER(H1955)),H1955,"")</x:f>
      </x:c>
      <x:c r="P1955" s="35" t="str">
        <x:v>NOT_AVAILABLE</x:v>
      </x:c>
      <x:c r="Q1955" s="35" t="str">
        <x:v>Deepseek-flash-v4/Result/Codec_15/result.json</x:v>
      </x:c>
    </x:row>
    <x:row r="1956">
      <x:c r="A1956" s="35" t="str">
        <x:v>deepseek</x:v>
      </x:c>
      <x:c r="B1956" s="35" t="str">
        <x:v>Codec</x:v>
      </x:c>
      <x:c r="C1956" s="35" t="str">
        <x:v>Round1</x:v>
      </x:c>
      <x:c r="D1956" s="35" t="str">
        <x:v>Codec_16</x:v>
      </x:c>
      <x:c r="E1956" s="35" t="str">
        <x:v>Condition</x:v>
      </x:c>
      <x:c r="F1956" s="35"/>
      <x:c r="G1956" s="35" t="str">
        <x:v>A</x:v>
      </x:c>
      <x:c r="H1956" s="39" t="str">
        <x:f>IF(ISNUMBER('Data'!N248),'Data'!N248*100,"")</x:f>
      </x:c>
      <x:c r="I1956" s="35"/>
      <x:c r="J1956" s="35" t="str">
        <x:v>FAIL</x:v>
      </x:c>
      <x:c r="K1956" s="35"/>
      <x:c r="L1956" s="35" t="str">
        <x:v>NOT_RUN</x:v>
      </x:c>
      <x:c r="M1956" s="35" t="str">
        <x:v>coverage unavailable or execution/compile failed</x:v>
      </x:c>
      <x:c r="N1956" s="35" t="str">
        <x:v>Deepseek-flash-v4/Result/Codec_16/result.json</x:v>
      </x:c>
      <x:c r="O1956" s="39" t="str">
        <x:f>IF(AND(G1956="RECORDED",ISNUMBER(H1956)),H1956,"")</x:f>
      </x:c>
      <x:c r="P1956" s="35" t="str">
        <x:v>NOT_AVAILABLE</x:v>
      </x:c>
      <x:c r="Q1956" s="35" t="str">
        <x:v>Deepseek-flash-v4/Result/Codec_16/result.json</x:v>
      </x:c>
    </x:row>
    <x:row r="1957">
      <x:c r="A1957" s="35" t="str">
        <x:v>deepseek</x:v>
      </x:c>
      <x:c r="B1957" s="35" t="str">
        <x:v>Codec</x:v>
      </x:c>
      <x:c r="C1957" s="35" t="str">
        <x:v>Round1</x:v>
      </x:c>
      <x:c r="D1957" s="35" t="str">
        <x:v>Codec_17</x:v>
      </x:c>
      <x:c r="E1957" s="35" t="str">
        <x:v>Condition</x:v>
      </x:c>
      <x:c r="F1957" s="35"/>
      <x:c r="G1957" s="35" t="str">
        <x:v>A</x:v>
      </x:c>
      <x:c r="H1957" s="39" t="str">
        <x:f>IF(ISNUMBER('Data'!N249),'Data'!N249*100,"")</x:f>
      </x:c>
      <x:c r="I1957" s="35"/>
      <x:c r="J1957" s="35" t="str">
        <x:v>FAIL</x:v>
      </x:c>
      <x:c r="K1957" s="35"/>
      <x:c r="L1957" s="35" t="str">
        <x:v>NOT_RUN</x:v>
      </x:c>
      <x:c r="M1957" s="35" t="str">
        <x:v>coverage unavailable or execution/compile failed</x:v>
      </x:c>
      <x:c r="N1957" s="35" t="str">
        <x:v>Deepseek-flash-v4/Result/Codec_17/result.json</x:v>
      </x:c>
      <x:c r="O1957" s="39" t="str">
        <x:f>IF(AND(G1957="RECORDED",ISNUMBER(H1957)),H1957,"")</x:f>
      </x:c>
      <x:c r="P1957" s="35" t="str">
        <x:v>NOT_AVAILABLE</x:v>
      </x:c>
      <x:c r="Q1957" s="35" t="str">
        <x:v>Deepseek-flash-v4/Result/Codec_17/result.json</x:v>
      </x:c>
    </x:row>
    <x:row r="1958">
      <x:c r="A1958" s="35" t="str">
        <x:v>deepseek</x:v>
      </x:c>
      <x:c r="B1958" s="35" t="str">
        <x:v>Codec</x:v>
      </x:c>
      <x:c r="C1958" s="35" t="str">
        <x:v>Round1</x:v>
      </x:c>
      <x:c r="D1958" s="35" t="str">
        <x:v>Codec_18</x:v>
      </x:c>
      <x:c r="E1958" s="35" t="str">
        <x:v>Condition</x:v>
      </x:c>
      <x:c r="F1958" s="35"/>
      <x:c r="G1958" s="35" t="str">
        <x:v>A</x:v>
      </x:c>
      <x:c r="H1958" s="39" t="str">
        <x:f>IF(ISNUMBER('Data'!N250),'Data'!N250*100,"")</x:f>
      </x:c>
      <x:c r="I1958" s="35"/>
      <x:c r="J1958" s="35" t="str">
        <x:v>FAIL</x:v>
      </x:c>
      <x:c r="K1958" s="35"/>
      <x:c r="L1958" s="35" t="str">
        <x:v>NOT_RUN</x:v>
      </x:c>
      <x:c r="M1958" s="35" t="str">
        <x:v>coverage unavailable or execution/compile failed</x:v>
      </x:c>
      <x:c r="N1958" s="35" t="str">
        <x:v>Deepseek-flash-v4/Result/Codec_18/result.json</x:v>
      </x:c>
      <x:c r="O1958" s="39" t="str">
        <x:f>IF(AND(G1958="RECORDED",ISNUMBER(H1958)),H1958,"")</x:f>
      </x:c>
      <x:c r="P1958" s="35" t="str">
        <x:v>NOT_AVAILABLE</x:v>
      </x:c>
      <x:c r="Q1958" s="35" t="str">
        <x:v>Deepseek-flash-v4/Result/Codec_18/result.json</x:v>
      </x:c>
    </x:row>
    <x:row r="1959">
      <x:c r="A1959" s="35" t="str">
        <x:v>deepseek</x:v>
      </x:c>
      <x:c r="B1959" s="35" t="str">
        <x:v>Codec</x:v>
      </x:c>
      <x:c r="C1959" s="35" t="str">
        <x:v>Round1</x:v>
      </x:c>
      <x:c r="D1959" s="35" t="str">
        <x:v>Codec_2</x:v>
      </x:c>
      <x:c r="E1959" s="35" t="str">
        <x:v>Condition</x:v>
      </x:c>
      <x:c r="F1959" s="35" t="n">
        <x:v>146</x:v>
      </x:c>
      <x:c r="G1959" s="35" t="str">
        <x:v>RECORDED</x:v>
      </x:c>
      <x:c r="H1959" s="39" t="n">
        <x:f>IF(ISNUMBER('Data'!N251),'Data'!N251*100,"")</x:f>
        <x:v>69.86</x:v>
      </x:c>
      <x:c r="I1959" s="35" t="str">
        <x:v>PASS</x:v>
      </x:c>
      <x:c r="J1959" s="35" t="str">
        <x:v>PASS</x:v>
      </x:c>
      <x:c r="K1959" s="35" t="str">
        <x:v>PASS</x:v>
      </x:c>
      <x:c r="L1959" s="35" t="str">
        <x:v>FAIL</x:v>
      </x:c>
      <x:c r="M1959" s="35" t="str">
        <x:v>numeric coverage for applicable metric</x:v>
      </x:c>
      <x:c r="N1959" s="35" t="str">
        <x:v>Deepseek-flash-v4/Result/Codec_2/result.json</x:v>
      </x:c>
      <x:c r="O1959" s="39" t="n">
        <x:f>IF(AND(G1959="RECORDED",ISNUMBER(H1959)),H1959,"")</x:f>
        <x:v>69.86</x:v>
      </x:c>
      <x:c r="P1959" s="35" t="str">
        <x:v>INCONCLUSIVE</x:v>
      </x:c>
      <x:c r="Q1959" s="35" t="str">
        <x:v>Deepseek-flash-v4/Result/Codec_2/result.json</x:v>
      </x:c>
    </x:row>
    <x:row r="1960">
      <x:c r="A1960" s="35" t="str">
        <x:v>deepseek</x:v>
      </x:c>
      <x:c r="B1960" s="35" t="str">
        <x:v>Codec</x:v>
      </x:c>
      <x:c r="C1960" s="35" t="str">
        <x:v>Round1</x:v>
      </x:c>
      <x:c r="D1960" s="35" t="str">
        <x:v>Codec_3</x:v>
      </x:c>
      <x:c r="E1960" s="35" t="str">
        <x:v>Condition</x:v>
      </x:c>
      <x:c r="F1960" s="35"/>
      <x:c r="G1960" s="35" t="str">
        <x:v>A</x:v>
      </x:c>
      <x:c r="H1960" s="39" t="str">
        <x:f>IF(ISNUMBER('Data'!N252),'Data'!N252*100,"")</x:f>
      </x:c>
      <x:c r="I1960" s="35"/>
      <x:c r="J1960" s="35" t="str">
        <x:v>PASS</x:v>
      </x:c>
      <x:c r="K1960" s="35" t="str">
        <x:v>FAIL</x:v>
      </x:c>
      <x:c r="L1960" s="35" t="str">
        <x:v>NOT_RUN</x:v>
      </x:c>
      <x:c r="M1960" s="35" t="str">
        <x:v>coverage unavailable or execution/compile failed</x:v>
      </x:c>
      <x:c r="N1960" s="35" t="str">
        <x:v>Deepseek-flash-v4/Result/Codec_3/result.json</x:v>
      </x:c>
      <x:c r="O1960" s="39" t="str">
        <x:f>IF(AND(G1960="RECORDED",ISNUMBER(H1960)),H1960,"")</x:f>
      </x:c>
      <x:c r="P1960" s="35" t="str">
        <x:v>NOT_AVAILABLE</x:v>
      </x:c>
      <x:c r="Q1960" s="35" t="str">
        <x:v>Deepseek-flash-v4/Result/Codec_3/result.json</x:v>
      </x:c>
    </x:row>
    <x:row r="1961">
      <x:c r="A1961" s="35" t="str">
        <x:v>deepseek</x:v>
      </x:c>
      <x:c r="B1961" s="35" t="str">
        <x:v>Codec</x:v>
      </x:c>
      <x:c r="C1961" s="35" t="str">
        <x:v>Round1</x:v>
      </x:c>
      <x:c r="D1961" s="35" t="str">
        <x:v>Codec_4</x:v>
      </x:c>
      <x:c r="E1961" s="35" t="str">
        <x:v>Condition</x:v>
      </x:c>
      <x:c r="F1961" s="35"/>
      <x:c r="G1961" s="35" t="str">
        <x:v>A</x:v>
      </x:c>
      <x:c r="H1961" s="39" t="str">
        <x:f>IF(ISNUMBER('Data'!N253),'Data'!N253*100,"")</x:f>
      </x:c>
      <x:c r="I1961" s="35"/>
      <x:c r="J1961" s="35" t="str">
        <x:v>PASS</x:v>
      </x:c>
      <x:c r="K1961" s="35" t="str">
        <x:v>FAIL</x:v>
      </x:c>
      <x:c r="L1961" s="35" t="str">
        <x:v>NOT_RUN</x:v>
      </x:c>
      <x:c r="M1961" s="35" t="str">
        <x:v>coverage unavailable or execution/compile failed</x:v>
      </x:c>
      <x:c r="N1961" s="35" t="str">
        <x:v>Deepseek-flash-v4/Result/Codec_4/result.json</x:v>
      </x:c>
      <x:c r="O1961" s="39" t="str">
        <x:f>IF(AND(G1961="RECORDED",ISNUMBER(H1961)),H1961,"")</x:f>
      </x:c>
      <x:c r="P1961" s="35" t="str">
        <x:v>NOT_AVAILABLE</x:v>
      </x:c>
      <x:c r="Q1961" s="35" t="str">
        <x:v>Deepseek-flash-v4/Result/Codec_4/result.json</x:v>
      </x:c>
    </x:row>
    <x:row r="1962">
      <x:c r="A1962" s="35" t="str">
        <x:v>deepseek</x:v>
      </x:c>
      <x:c r="B1962" s="35" t="str">
        <x:v>Codec</x:v>
      </x:c>
      <x:c r="C1962" s="35" t="str">
        <x:v>Round1</x:v>
      </x:c>
      <x:c r="D1962" s="35" t="str">
        <x:v>Codec_5</x:v>
      </x:c>
      <x:c r="E1962" s="35" t="str">
        <x:v>Condition</x:v>
      </x:c>
      <x:c r="F1962" s="35" t="n">
        <x:v>158</x:v>
      </x:c>
      <x:c r="G1962" s="35" t="str">
        <x:v>RECORDED</x:v>
      </x:c>
      <x:c r="H1962" s="39" t="n">
        <x:f>IF(ISNUMBER('Data'!N254),'Data'!N254*100,"")</x:f>
        <x:v>74.05</x:v>
      </x:c>
      <x:c r="I1962" s="35" t="str">
        <x:v>PASS</x:v>
      </x:c>
      <x:c r="J1962" s="35" t="str">
        <x:v>PASS</x:v>
      </x:c>
      <x:c r="K1962" s="35" t="str">
        <x:v>PASS</x:v>
      </x:c>
      <x:c r="L1962" s="35" t="str">
        <x:v>FAIL</x:v>
      </x:c>
      <x:c r="M1962" s="35" t="str">
        <x:v>numeric coverage for applicable metric</x:v>
      </x:c>
      <x:c r="N1962" s="35" t="str">
        <x:v>Deepseek-flash-v4/Result/Codec_5/result.json</x:v>
      </x:c>
      <x:c r="O1962" s="39" t="n">
        <x:f>IF(AND(G1962="RECORDED",ISNUMBER(H1962)),H1962,"")</x:f>
        <x:v>74.05</x:v>
      </x:c>
      <x:c r="P1962" s="35" t="str">
        <x:v>INCONCLUSIVE</x:v>
      </x:c>
      <x:c r="Q1962" s="35" t="str">
        <x:v>Deepseek-flash-v4/Result/Codec_5/result.json</x:v>
      </x:c>
    </x:row>
    <x:row r="1963">
      <x:c r="A1963" s="35" t="str">
        <x:v>deepseek</x:v>
      </x:c>
      <x:c r="B1963" s="35" t="str">
        <x:v>Codec</x:v>
      </x:c>
      <x:c r="C1963" s="35" t="str">
        <x:v>Round1</x:v>
      </x:c>
      <x:c r="D1963" s="35" t="str">
        <x:v>Codec_6</x:v>
      </x:c>
      <x:c r="E1963" s="35" t="str">
        <x:v>Condition</x:v>
      </x:c>
      <x:c r="F1963" s="35"/>
      <x:c r="G1963" s="35" t="str">
        <x:v>A</x:v>
      </x:c>
      <x:c r="H1963" s="39" t="str">
        <x:f>IF(ISNUMBER('Data'!N255),'Data'!N255*100,"")</x:f>
      </x:c>
      <x:c r="I1963" s="35"/>
      <x:c r="J1963" s="35" t="str">
        <x:v>PASS</x:v>
      </x:c>
      <x:c r="K1963" s="35" t="str">
        <x:v>FAIL</x:v>
      </x:c>
      <x:c r="L1963" s="35" t="str">
        <x:v>NOT_RUN</x:v>
      </x:c>
      <x:c r="M1963" s="35" t="str">
        <x:v>coverage unavailable or execution/compile failed</x:v>
      </x:c>
      <x:c r="N1963" s="35" t="str">
        <x:v>Deepseek-flash-v4/Result/Codec_6/result.json</x:v>
      </x:c>
      <x:c r="O1963" s="39" t="str">
        <x:f>IF(AND(G1963="RECORDED",ISNUMBER(H1963)),H1963,"")</x:f>
      </x:c>
      <x:c r="P1963" s="35" t="str">
        <x:v>NOT_AVAILABLE</x:v>
      </x:c>
      <x:c r="Q1963" s="35" t="str">
        <x:v>Deepseek-flash-v4/Result/Codec_6/result.json</x:v>
      </x:c>
    </x:row>
    <x:row r="1964">
      <x:c r="A1964" s="35" t="str">
        <x:v>deepseek</x:v>
      </x:c>
      <x:c r="B1964" s="35" t="str">
        <x:v>Codec</x:v>
      </x:c>
      <x:c r="C1964" s="35" t="str">
        <x:v>Round1</x:v>
      </x:c>
      <x:c r="D1964" s="35" t="str">
        <x:v>Codec_7</x:v>
      </x:c>
      <x:c r="E1964" s="35" t="str">
        <x:v>Condition</x:v>
      </x:c>
      <x:c r="F1964" s="35" t="n">
        <x:v>162</x:v>
      </x:c>
      <x:c r="G1964" s="35" t="str">
        <x:v>RECORDED</x:v>
      </x:c>
      <x:c r="H1964" s="39" t="n">
        <x:f>IF(ISNUMBER('Data'!N256),'Data'!N256*100,"")</x:f>
        <x:v>73.46</x:v>
      </x:c>
      <x:c r="I1964" s="35" t="str">
        <x:v>PASS</x:v>
      </x:c>
      <x:c r="J1964" s="35" t="str">
        <x:v>PASS</x:v>
      </x:c>
      <x:c r="K1964" s="35" t="str">
        <x:v>PASS</x:v>
      </x:c>
      <x:c r="L1964" s="35" t="str">
        <x:v>FAIL</x:v>
      </x:c>
      <x:c r="M1964" s="35" t="str">
        <x:v>numeric coverage for applicable metric</x:v>
      </x:c>
      <x:c r="N1964" s="35" t="str">
        <x:v>Deepseek-flash-v4/Result/Codec_7/result.json</x:v>
      </x:c>
      <x:c r="O1964" s="39" t="n">
        <x:f>IF(AND(G1964="RECORDED",ISNUMBER(H1964)),H1964,"")</x:f>
        <x:v>73.46</x:v>
      </x:c>
      <x:c r="P1964" s="35" t="str">
        <x:v>INCONCLUSIVE</x:v>
      </x:c>
      <x:c r="Q1964" s="35" t="str">
        <x:v>Deepseek-flash-v4/Result/Codec_7/result.json</x:v>
      </x:c>
    </x:row>
    <x:row r="1965">
      <x:c r="A1965" s="35" t="str">
        <x:v>deepseek</x:v>
      </x:c>
      <x:c r="B1965" s="35" t="str">
        <x:v>Codec</x:v>
      </x:c>
      <x:c r="C1965" s="35" t="str">
        <x:v>Round1</x:v>
      </x:c>
      <x:c r="D1965" s="35" t="str">
        <x:v>Codec_8</x:v>
      </x:c>
      <x:c r="E1965" s="35" t="str">
        <x:v>Condition</x:v>
      </x:c>
      <x:c r="F1965" s="35" t="n">
        <x:v>186</x:v>
      </x:c>
      <x:c r="G1965" s="35" t="str">
        <x:v>RECORDED</x:v>
      </x:c>
      <x:c r="H1965" s="39" t="n">
        <x:f>IF(ISNUMBER('Data'!N257),'Data'!N257*100,"")</x:f>
        <x:v>77.96</x:v>
      </x:c>
      <x:c r="I1965" s="35" t="str">
        <x:v>PASS</x:v>
      </x:c>
      <x:c r="J1965" s="35" t="str">
        <x:v>PASS</x:v>
      </x:c>
      <x:c r="K1965" s="35" t="str">
        <x:v>PASS</x:v>
      </x:c>
      <x:c r="L1965" s="35" t="str">
        <x:v>FAIL</x:v>
      </x:c>
      <x:c r="M1965" s="35" t="str">
        <x:v>numeric coverage for applicable metric</x:v>
      </x:c>
      <x:c r="N1965" s="35" t="str">
        <x:v>Deepseek-flash-v4/Result/Codec_8/result.json</x:v>
      </x:c>
      <x:c r="O1965" s="39" t="n">
        <x:f>IF(AND(G1965="RECORDED",ISNUMBER(H1965)),H1965,"")</x:f>
        <x:v>77.96</x:v>
      </x:c>
      <x:c r="P1965" s="35" t="str">
        <x:v>INCONCLUSIVE</x:v>
      </x:c>
      <x:c r="Q1965" s="35" t="str">
        <x:v>Deepseek-flash-v4/Result/Codec_8/result.json</x:v>
      </x:c>
    </x:row>
    <x:row r="1966">
      <x:c r="A1966" s="35" t="str">
        <x:v>deepseek</x:v>
      </x:c>
      <x:c r="B1966" s="35" t="str">
        <x:v>Codec</x:v>
      </x:c>
      <x:c r="C1966" s="35" t="str">
        <x:v>Round1</x:v>
      </x:c>
      <x:c r="D1966" s="35" t="str">
        <x:v>Codec_9</x:v>
      </x:c>
      <x:c r="E1966" s="35" t="str">
        <x:v>Condition</x:v>
      </x:c>
      <x:c r="F1966" s="35"/>
      <x:c r="G1966" s="35" t="str">
        <x:v>A</x:v>
      </x:c>
      <x:c r="H1966" s="39" t="str">
        <x:f>IF(ISNUMBER('Data'!N258),'Data'!N258*100,"")</x:f>
      </x:c>
      <x:c r="I1966" s="35"/>
      <x:c r="J1966" s="35" t="str">
        <x:v>PASS</x:v>
      </x:c>
      <x:c r="K1966" s="35" t="str">
        <x:v>FAIL</x:v>
      </x:c>
      <x:c r="L1966" s="35" t="str">
        <x:v>NOT_RUN</x:v>
      </x:c>
      <x:c r="M1966" s="35" t="str">
        <x:v>coverage unavailable or execution/compile failed</x:v>
      </x:c>
      <x:c r="N1966" s="35" t="str">
        <x:v>Deepseek-flash-v4/Result/Codec_9/result.json</x:v>
      </x:c>
      <x:c r="O1966" s="39" t="str">
        <x:f>IF(AND(G1966="RECORDED",ISNUMBER(H1966)),H1966,"")</x:f>
      </x:c>
      <x:c r="P1966" s="35" t="str">
        <x:v>NOT_AVAILABLE</x:v>
      </x:c>
      <x:c r="Q1966" s="35" t="str">
        <x:v>Deepseek-flash-v4/Result/Codec_9/result.json</x:v>
      </x:c>
    </x:row>
    <x:row r="1967">
      <x:c r="A1967" s="35" t="str">
        <x:v>deepseek</x:v>
      </x:c>
      <x:c r="B1967" s="35" t="str">
        <x:v>Collections</x:v>
      </x:c>
      <x:c r="C1967" s="35" t="str">
        <x:v>Round1</x:v>
      </x:c>
      <x:c r="D1967" s="35" t="str">
        <x:v>Collections_1</x:v>
      </x:c>
      <x:c r="E1967" s="35" t="str">
        <x:v>Condition</x:v>
      </x:c>
      <x:c r="F1967" s="35"/>
      <x:c r="G1967" s="35" t="str">
        <x:v>A</x:v>
      </x:c>
      <x:c r="H1967" s="39" t="str">
        <x:f>IF(ISNUMBER('Data'!N259),'Data'!N259*100,"")</x:f>
      </x:c>
      <x:c r="I1967" s="35"/>
      <x:c r="J1967" s="35" t="str">
        <x:v>PASS</x:v>
      </x:c>
      <x:c r="K1967" s="35" t="str">
        <x:v>FAIL</x:v>
      </x:c>
      <x:c r="L1967" s="35" t="str">
        <x:v>NOT_RUN</x:v>
      </x:c>
      <x:c r="M1967" s="35" t="str">
        <x:v>coverage unavailable or execution/compile failed</x:v>
      </x:c>
      <x:c r="N1967" s="35" t="str">
        <x:v>Deepseek-flash-v4/Result/Collections_1/result.json</x:v>
      </x:c>
      <x:c r="O1967" s="39" t="str">
        <x:f>IF(AND(G1967="RECORDED",ISNUMBER(H1967)),H1967,"")</x:f>
      </x:c>
      <x:c r="P1967" s="35" t="str">
        <x:v>NOT_AVAILABLE</x:v>
      </x:c>
      <x:c r="Q1967" s="35" t="str">
        <x:v>Deepseek-flash-v4/Result/Collections_1/result.json</x:v>
      </x:c>
    </x:row>
    <x:row r="1968">
      <x:c r="A1968" s="35" t="str">
        <x:v>deepseek</x:v>
      </x:c>
      <x:c r="B1968" s="35" t="str">
        <x:v>Collections</x:v>
      </x:c>
      <x:c r="C1968" s="35" t="str">
        <x:v>Round1</x:v>
      </x:c>
      <x:c r="D1968" s="35" t="str">
        <x:v>Collections_10</x:v>
      </x:c>
      <x:c r="E1968" s="35" t="str">
        <x:v>Condition</x:v>
      </x:c>
      <x:c r="F1968" s="35" t="n">
        <x:v>48</x:v>
      </x:c>
      <x:c r="G1968" s="35" t="str">
        <x:v>RECORDED</x:v>
      </x:c>
      <x:c r="H1968" s="39" t="n">
        <x:f>IF(ISNUMBER('Data'!N260),'Data'!N260*100,"")</x:f>
        <x:v>83.33</x:v>
      </x:c>
      <x:c r="I1968" s="35" t="str">
        <x:v>PASS</x:v>
      </x:c>
      <x:c r="J1968" s="35" t="str">
        <x:v>PASS</x:v>
      </x:c>
      <x:c r="K1968" s="35" t="str">
        <x:v>PASS</x:v>
      </x:c>
      <x:c r="L1968" s="35" t="str">
        <x:v>PASS</x:v>
      </x:c>
      <x:c r="M1968" s="35" t="str">
        <x:v>numeric coverage for applicable metric</x:v>
      </x:c>
      <x:c r="N1968" s="35" t="str">
        <x:v>Deepseek-flash-v4/Result/Collections_10/result.json</x:v>
      </x:c>
      <x:c r="O1968" s="39" t="n">
        <x:f>IF(AND(G1968="RECORDED",ISNUMBER(H1968)),H1968,"")</x:f>
        <x:v>83.33</x:v>
      </x:c>
      <x:c r="P1968" s="35" t="str">
        <x:v>NOT_REVEALING</x:v>
      </x:c>
      <x:c r="Q1968" s="35" t="str">
        <x:v>Deepseek-flash-v4/Result/Collections_10/result.json</x:v>
      </x:c>
    </x:row>
    <x:row r="1969">
      <x:c r="A1969" s="35" t="str">
        <x:v>deepseek</x:v>
      </x:c>
      <x:c r="B1969" s="35" t="str">
        <x:v>Collections</x:v>
      </x:c>
      <x:c r="C1969" s="35" t="str">
        <x:v>Round1</x:v>
      </x:c>
      <x:c r="D1969" s="35" t="str">
        <x:v>Collections_11</x:v>
      </x:c>
      <x:c r="E1969" s="35" t="str">
        <x:v>Condition</x:v>
      </x:c>
      <x:c r="F1969" s="35" t="n">
        <x:v>12</x:v>
      </x:c>
      <x:c r="G1969" s="35" t="str">
        <x:v>RECORDED</x:v>
      </x:c>
      <x:c r="H1969" s="39" t="n">
        <x:f>IF(ISNUMBER('Data'!N261),'Data'!N261*100,"")</x:f>
        <x:v>100</x:v>
      </x:c>
      <x:c r="I1969" s="35" t="str">
        <x:v>PASS</x:v>
      </x:c>
      <x:c r="J1969" s="35" t="str">
        <x:v>PASS</x:v>
      </x:c>
      <x:c r="K1969" s="35" t="str">
        <x:v>PASS</x:v>
      </x:c>
      <x:c r="L1969" s="35" t="str">
        <x:v>FAIL</x:v>
      </x:c>
      <x:c r="M1969" s="35" t="str">
        <x:v>numeric coverage for applicable metric</x:v>
      </x:c>
      <x:c r="N1969" s="35" t="str">
        <x:v>Deepseek-flash-v4/Result/Collections_11/result.json</x:v>
      </x:c>
      <x:c r="O1969" s="39" t="n">
        <x:f>IF(AND(G1969="RECORDED",ISNUMBER(H1969)),H1969,"")</x:f>
        <x:v>100</x:v>
      </x:c>
      <x:c r="P1969" s="35" t="str">
        <x:v>INCONCLUSIVE</x:v>
      </x:c>
      <x:c r="Q1969" s="35" t="str">
        <x:v>Deepseek-flash-v4/Result/Collections_11/result.json</x:v>
      </x:c>
    </x:row>
    <x:row r="1970">
      <x:c r="A1970" s="35" t="str">
        <x:v>deepseek</x:v>
      </x:c>
      <x:c r="B1970" s="35" t="str">
        <x:v>Collections</x:v>
      </x:c>
      <x:c r="C1970" s="35" t="str">
        <x:v>Round1</x:v>
      </x:c>
      <x:c r="D1970" s="35" t="str">
        <x:v>Collections_12</x:v>
      </x:c>
      <x:c r="E1970" s="35" t="str">
        <x:v>Condition</x:v>
      </x:c>
      <x:c r="F1970" s="35"/>
      <x:c r="G1970" s="35" t="str">
        <x:v>A</x:v>
      </x:c>
      <x:c r="H1970" s="39" t="str">
        <x:f>IF(ISNUMBER('Data'!N262),'Data'!N262*100,"")</x:f>
      </x:c>
      <x:c r="I1970" s="35"/>
      <x:c r="J1970" s="35" t="str">
        <x:v>PASS</x:v>
      </x:c>
      <x:c r="K1970" s="35" t="str">
        <x:v>FAIL</x:v>
      </x:c>
      <x:c r="L1970" s="35" t="str">
        <x:v>NOT_RUN</x:v>
      </x:c>
      <x:c r="M1970" s="35" t="str">
        <x:v>coverage unavailable or execution/compile failed</x:v>
      </x:c>
      <x:c r="N1970" s="35" t="str">
        <x:v>Deepseek-flash-v4/Result/Collections_12/result.json</x:v>
      </x:c>
      <x:c r="O1970" s="39" t="str">
        <x:f>IF(AND(G1970="RECORDED",ISNUMBER(H1970)),H1970,"")</x:f>
      </x:c>
      <x:c r="P1970" s="35" t="str">
        <x:v>NOT_AVAILABLE</x:v>
      </x:c>
      <x:c r="Q1970" s="35" t="str">
        <x:v>Deepseek-flash-v4/Result/Collections_12/result.json</x:v>
      </x:c>
    </x:row>
    <x:row r="1971">
      <x:c r="A1971" s="35" t="str">
        <x:v>deepseek</x:v>
      </x:c>
      <x:c r="B1971" s="35" t="str">
        <x:v>Collections</x:v>
      </x:c>
      <x:c r="C1971" s="35" t="str">
        <x:v>Round1</x:v>
      </x:c>
      <x:c r="D1971" s="35" t="str">
        <x:v>Collections_13</x:v>
      </x:c>
      <x:c r="E1971" s="35" t="str">
        <x:v>Condition</x:v>
      </x:c>
      <x:c r="F1971" s="35"/>
      <x:c r="G1971" s="35" t="str">
        <x:v>A</x:v>
      </x:c>
      <x:c r="H1971" s="39" t="str">
        <x:f>IF(ISNUMBER('Data'!N263),'Data'!N263*100,"")</x:f>
      </x:c>
      <x:c r="I1971" s="35"/>
      <x:c r="J1971" s="35" t="str">
        <x:v>PASS</x:v>
      </x:c>
      <x:c r="K1971" s="35" t="str">
        <x:v>FAIL</x:v>
      </x:c>
      <x:c r="L1971" s="35" t="str">
        <x:v>NOT_RUN</x:v>
      </x:c>
      <x:c r="M1971" s="35" t="str">
        <x:v>coverage unavailable or execution/compile failed</x:v>
      </x:c>
      <x:c r="N1971" s="35" t="str">
        <x:v>Deepseek-flash-v4/Result/Collections_13/result.json</x:v>
      </x:c>
      <x:c r="O1971" s="39" t="str">
        <x:f>IF(AND(G1971="RECORDED",ISNUMBER(H1971)),H1971,"")</x:f>
      </x:c>
      <x:c r="P1971" s="35" t="str">
        <x:v>NOT_AVAILABLE</x:v>
      </x:c>
      <x:c r="Q1971" s="35" t="str">
        <x:v>Deepseek-flash-v4/Result/Collections_13/result.json</x:v>
      </x:c>
    </x:row>
    <x:row r="1972">
      <x:c r="A1972" s="35" t="str">
        <x:v>deepseek</x:v>
      </x:c>
      <x:c r="B1972" s="35" t="str">
        <x:v>Collections</x:v>
      </x:c>
      <x:c r="C1972" s="35" t="str">
        <x:v>Round1</x:v>
      </x:c>
      <x:c r="D1972" s="35" t="str">
        <x:v>Collections_14</x:v>
      </x:c>
      <x:c r="E1972" s="35" t="str">
        <x:v>Condition</x:v>
      </x:c>
      <x:c r="F1972" s="35"/>
      <x:c r="G1972" s="35" t="str">
        <x:v>A</x:v>
      </x:c>
      <x:c r="H1972" s="39" t="str">
        <x:f>IF(ISNUMBER('Data'!N264),'Data'!N264*100,"")</x:f>
      </x:c>
      <x:c r="I1972" s="35"/>
      <x:c r="J1972" s="35" t="str">
        <x:v>PASS</x:v>
      </x:c>
      <x:c r="K1972" s="35" t="str">
        <x:v>FAIL</x:v>
      </x:c>
      <x:c r="L1972" s="35" t="str">
        <x:v>NOT_RUN</x:v>
      </x:c>
      <x:c r="M1972" s="35" t="str">
        <x:v>coverage unavailable or execution/compile failed</x:v>
      </x:c>
      <x:c r="N1972" s="35" t="str">
        <x:v>Deepseek-flash-v4/Result/Collections_14/result.json</x:v>
      </x:c>
      <x:c r="O1972" s="39" t="str">
        <x:f>IF(AND(G1972="RECORDED",ISNUMBER(H1972)),H1972,"")</x:f>
      </x:c>
      <x:c r="P1972" s="35" t="str">
        <x:v>NOT_AVAILABLE</x:v>
      </x:c>
      <x:c r="Q1972" s="35" t="str">
        <x:v>Deepseek-flash-v4/Result/Collections_14/result.json</x:v>
      </x:c>
    </x:row>
    <x:row r="1973">
      <x:c r="A1973" s="35" t="str">
        <x:v>deepseek</x:v>
      </x:c>
      <x:c r="B1973" s="35" t="str">
        <x:v>Collections</x:v>
      </x:c>
      <x:c r="C1973" s="35" t="str">
        <x:v>Round1</x:v>
      </x:c>
      <x:c r="D1973" s="35" t="str">
        <x:v>Collections_15</x:v>
      </x:c>
      <x:c r="E1973" s="35" t="str">
        <x:v>Condition</x:v>
      </x:c>
      <x:c r="F1973" s="35"/>
      <x:c r="G1973" s="35" t="str">
        <x:v>A</x:v>
      </x:c>
      <x:c r="H1973" s="39" t="str">
        <x:f>IF(ISNUMBER('Data'!N265),'Data'!N265*100,"")</x:f>
      </x:c>
      <x:c r="I1973" s="35"/>
      <x:c r="J1973" s="35" t="str">
        <x:v>PASS</x:v>
      </x:c>
      <x:c r="K1973" s="35" t="str">
        <x:v>FAIL</x:v>
      </x:c>
      <x:c r="L1973" s="35" t="str">
        <x:v>NOT_RUN</x:v>
      </x:c>
      <x:c r="M1973" s="35" t="str">
        <x:v>coverage unavailable or execution/compile failed</x:v>
      </x:c>
      <x:c r="N1973" s="35" t="str">
        <x:v>Deepseek-flash-v4/Result/Collections_15/result.json</x:v>
      </x:c>
      <x:c r="O1973" s="39" t="str">
        <x:f>IF(AND(G1973="RECORDED",ISNUMBER(H1973)),H1973,"")</x:f>
      </x:c>
      <x:c r="P1973" s="35" t="str">
        <x:v>NOT_AVAILABLE</x:v>
      </x:c>
      <x:c r="Q1973" s="35" t="str">
        <x:v>Deepseek-flash-v4/Result/Collections_15/result.json</x:v>
      </x:c>
    </x:row>
    <x:row r="1974">
      <x:c r="A1974" s="35" t="str">
        <x:v>deepseek</x:v>
      </x:c>
      <x:c r="B1974" s="35" t="str">
        <x:v>Collections</x:v>
      </x:c>
      <x:c r="C1974" s="35" t="str">
        <x:v>Round1</x:v>
      </x:c>
      <x:c r="D1974" s="35" t="str">
        <x:v>Collections_16</x:v>
      </x:c>
      <x:c r="E1974" s="35" t="str">
        <x:v>Condition</x:v>
      </x:c>
      <x:c r="F1974" s="35"/>
      <x:c r="G1974" s="35" t="str">
        <x:v>A</x:v>
      </x:c>
      <x:c r="H1974" s="39" t="str">
        <x:f>IF(ISNUMBER('Data'!N266),'Data'!N266*100,"")</x:f>
      </x:c>
      <x:c r="I1974" s="35"/>
      <x:c r="J1974" s="35" t="str">
        <x:v>PASS</x:v>
      </x:c>
      <x:c r="K1974" s="35" t="str">
        <x:v>FAIL</x:v>
      </x:c>
      <x:c r="L1974" s="35" t="str">
        <x:v>NOT_RUN</x:v>
      </x:c>
      <x:c r="M1974" s="35" t="str">
        <x:v>coverage unavailable or execution/compile failed</x:v>
      </x:c>
      <x:c r="N1974" s="35" t="str">
        <x:v>Deepseek-flash-v4/Result/Collections_16/result.json</x:v>
      </x:c>
      <x:c r="O1974" s="39" t="str">
        <x:f>IF(AND(G1974="RECORDED",ISNUMBER(H1974)),H1974,"")</x:f>
      </x:c>
      <x:c r="P1974" s="35" t="str">
        <x:v>NOT_AVAILABLE</x:v>
      </x:c>
      <x:c r="Q1974" s="35" t="str">
        <x:v>Deepseek-flash-v4/Result/Collections_16/result.json</x:v>
      </x:c>
    </x:row>
    <x:row r="1975">
      <x:c r="A1975" s="35" t="str">
        <x:v>deepseek</x:v>
      </x:c>
      <x:c r="B1975" s="35" t="str">
        <x:v>Collections</x:v>
      </x:c>
      <x:c r="C1975" s="35" t="str">
        <x:v>Round1</x:v>
      </x:c>
      <x:c r="D1975" s="35" t="str">
        <x:v>Collections_17</x:v>
      </x:c>
      <x:c r="E1975" s="35" t="str">
        <x:v>Condition</x:v>
      </x:c>
      <x:c r="F1975" s="35"/>
      <x:c r="G1975" s="35" t="str">
        <x:v>A</x:v>
      </x:c>
      <x:c r="H1975" s="39" t="str">
        <x:f>IF(ISNUMBER('Data'!N267),'Data'!N267*100,"")</x:f>
      </x:c>
      <x:c r="I1975" s="35"/>
      <x:c r="J1975" s="35" t="str">
        <x:v>PASS</x:v>
      </x:c>
      <x:c r="K1975" s="35" t="str">
        <x:v>FAIL</x:v>
      </x:c>
      <x:c r="L1975" s="35" t="str">
        <x:v>NOT_RUN</x:v>
      </x:c>
      <x:c r="M1975" s="35" t="str">
        <x:v>coverage unavailable or execution/compile failed</x:v>
      </x:c>
      <x:c r="N1975" s="35" t="str">
        <x:v>Deepseek-flash-v4/Result/Collections_17/result.json</x:v>
      </x:c>
      <x:c r="O1975" s="39" t="str">
        <x:f>IF(AND(G1975="RECORDED",ISNUMBER(H1975)),H1975,"")</x:f>
      </x:c>
      <x:c r="P1975" s="35" t="str">
        <x:v>NOT_AVAILABLE</x:v>
      </x:c>
      <x:c r="Q1975" s="35" t="str">
        <x:v>Deepseek-flash-v4/Result/Collections_17/result.json</x:v>
      </x:c>
    </x:row>
    <x:row r="1976">
      <x:c r="A1976" s="35" t="str">
        <x:v>deepseek</x:v>
      </x:c>
      <x:c r="B1976" s="35" t="str">
        <x:v>Collections</x:v>
      </x:c>
      <x:c r="C1976" s="35" t="str">
        <x:v>Round1</x:v>
      </x:c>
      <x:c r="D1976" s="35" t="str">
        <x:v>Collections_18</x:v>
      </x:c>
      <x:c r="E1976" s="35" t="str">
        <x:v>Condition</x:v>
      </x:c>
      <x:c r="F1976" s="35"/>
      <x:c r="G1976" s="35" t="str">
        <x:v>A</x:v>
      </x:c>
      <x:c r="H1976" s="39" t="str">
        <x:f>IF(ISNUMBER('Data'!N268),'Data'!N268*100,"")</x:f>
      </x:c>
      <x:c r="I1976" s="35"/>
      <x:c r="J1976" s="35" t="str">
        <x:v>PASS</x:v>
      </x:c>
      <x:c r="K1976" s="35" t="str">
        <x:v>FAIL</x:v>
      </x:c>
      <x:c r="L1976" s="35" t="str">
        <x:v>NOT_RUN</x:v>
      </x:c>
      <x:c r="M1976" s="35" t="str">
        <x:v>coverage unavailable or execution/compile failed</x:v>
      </x:c>
      <x:c r="N1976" s="35" t="str">
        <x:v>Deepseek-flash-v4/Result/Collections_18/result.json</x:v>
      </x:c>
      <x:c r="O1976" s="39" t="str">
        <x:f>IF(AND(G1976="RECORDED",ISNUMBER(H1976)),H1976,"")</x:f>
      </x:c>
      <x:c r="P1976" s="35" t="str">
        <x:v>NOT_AVAILABLE</x:v>
      </x:c>
      <x:c r="Q1976" s="35" t="str">
        <x:v>Deepseek-flash-v4/Result/Collections_18/result.json</x:v>
      </x:c>
    </x:row>
    <x:row r="1977">
      <x:c r="A1977" s="35" t="str">
        <x:v>deepseek</x:v>
      </x:c>
      <x:c r="B1977" s="35" t="str">
        <x:v>Collections</x:v>
      </x:c>
      <x:c r="C1977" s="35" t="str">
        <x:v>Round1</x:v>
      </x:c>
      <x:c r="D1977" s="35" t="str">
        <x:v>Collections_19</x:v>
      </x:c>
      <x:c r="E1977" s="35" t="str">
        <x:v>Condition</x:v>
      </x:c>
      <x:c r="F1977" s="35"/>
      <x:c r="G1977" s="35" t="str">
        <x:v>A</x:v>
      </x:c>
      <x:c r="H1977" s="39" t="str">
        <x:f>IF(ISNUMBER('Data'!N269),'Data'!N269*100,"")</x:f>
      </x:c>
      <x:c r="I1977" s="35"/>
      <x:c r="J1977" s="35" t="str">
        <x:v>PASS</x:v>
      </x:c>
      <x:c r="K1977" s="35" t="str">
        <x:v>FAIL</x:v>
      </x:c>
      <x:c r="L1977" s="35" t="str">
        <x:v>NOT_RUN</x:v>
      </x:c>
      <x:c r="M1977" s="35" t="str">
        <x:v>coverage unavailable or execution/compile failed</x:v>
      </x:c>
      <x:c r="N1977" s="35" t="str">
        <x:v>Deepseek-flash-v4/Result/Collections_19/result.json</x:v>
      </x:c>
      <x:c r="O1977" s="39" t="str">
        <x:f>IF(AND(G1977="RECORDED",ISNUMBER(H1977)),H1977,"")</x:f>
      </x:c>
      <x:c r="P1977" s="35" t="str">
        <x:v>NOT_AVAILABLE</x:v>
      </x:c>
      <x:c r="Q1977" s="35" t="str">
        <x:v>Deepseek-flash-v4/Result/Collections_19/result.json</x:v>
      </x:c>
    </x:row>
    <x:row r="1978">
      <x:c r="A1978" s="35" t="str">
        <x:v>deepseek</x:v>
      </x:c>
      <x:c r="B1978" s="35" t="str">
        <x:v>Collections</x:v>
      </x:c>
      <x:c r="C1978" s="35" t="str">
        <x:v>Round1</x:v>
      </x:c>
      <x:c r="D1978" s="35" t="str">
        <x:v>Collections_2</x:v>
      </x:c>
      <x:c r="E1978" s="35" t="str">
        <x:v>Condition</x:v>
      </x:c>
      <x:c r="F1978" s="35"/>
      <x:c r="G1978" s="35" t="str">
        <x:v>A</x:v>
      </x:c>
      <x:c r="H1978" s="39" t="str">
        <x:f>IF(ISNUMBER('Data'!N270),'Data'!N270*100,"")</x:f>
      </x:c>
      <x:c r="I1978" s="35"/>
      <x:c r="J1978" s="35" t="str">
        <x:v>PASS</x:v>
      </x:c>
      <x:c r="K1978" s="35" t="str">
        <x:v>FAIL</x:v>
      </x:c>
      <x:c r="L1978" s="35" t="str">
        <x:v>NOT_RUN</x:v>
      </x:c>
      <x:c r="M1978" s="35" t="str">
        <x:v>coverage unavailable or execution/compile failed</x:v>
      </x:c>
      <x:c r="N1978" s="35" t="str">
        <x:v>Deepseek-flash-v4/Result/Collections_2/result.json</x:v>
      </x:c>
      <x:c r="O1978" s="39" t="str">
        <x:f>IF(AND(G1978="RECORDED",ISNUMBER(H1978)),H1978,"")</x:f>
      </x:c>
      <x:c r="P1978" s="35" t="str">
        <x:v>NOT_AVAILABLE</x:v>
      </x:c>
      <x:c r="Q1978" s="35" t="str">
        <x:v>Deepseek-flash-v4/Result/Collections_2/result.json</x:v>
      </x:c>
    </x:row>
    <x:row r="1979">
      <x:c r="A1979" s="35" t="str">
        <x:v>deepseek</x:v>
      </x:c>
      <x:c r="B1979" s="35" t="str">
        <x:v>Collections</x:v>
      </x:c>
      <x:c r="C1979" s="35" t="str">
        <x:v>Round1</x:v>
      </x:c>
      <x:c r="D1979" s="35" t="str">
        <x:v>Collections_20</x:v>
      </x:c>
      <x:c r="E1979" s="35" t="str">
        <x:v>Condition</x:v>
      </x:c>
      <x:c r="F1979" s="35" t="n">
        <x:v>154</x:v>
      </x:c>
      <x:c r="G1979" s="35" t="str">
        <x:v>RECORDED</x:v>
      </x:c>
      <x:c r="H1979" s="39" t="n">
        <x:f>IF(ISNUMBER('Data'!N271),'Data'!N271*100,"")</x:f>
        <x:v>68.83</x:v>
      </x:c>
      <x:c r="I1979" s="35" t="str">
        <x:v>PASS</x:v>
      </x:c>
      <x:c r="J1979" s="35" t="str">
        <x:v>PASS</x:v>
      </x:c>
      <x:c r="K1979" s="35" t="str">
        <x:v>PASS</x:v>
      </x:c>
      <x:c r="L1979" s="35" t="str">
        <x:v>FAIL</x:v>
      </x:c>
      <x:c r="M1979" s="35" t="str">
        <x:v>numeric coverage for applicable metric</x:v>
      </x:c>
      <x:c r="N1979" s="35" t="str">
        <x:v>Deepseek-flash-v4/Result/Collections_20/result.json</x:v>
      </x:c>
      <x:c r="O1979" s="39" t="n">
        <x:f>IF(AND(G1979="RECORDED",ISNUMBER(H1979)),H1979,"")</x:f>
        <x:v>68.83</x:v>
      </x:c>
      <x:c r="P1979" s="35" t="str">
        <x:v>INCONCLUSIVE</x:v>
      </x:c>
      <x:c r="Q1979" s="35" t="str">
        <x:v>Deepseek-flash-v4/Result/Collections_20/result.json</x:v>
      </x:c>
    </x:row>
    <x:row r="1980">
      <x:c r="A1980" s="35" t="str">
        <x:v>deepseek</x:v>
      </x:c>
      <x:c r="B1980" s="35" t="str">
        <x:v>Collections</x:v>
      </x:c>
      <x:c r="C1980" s="35" t="str">
        <x:v>Round1</x:v>
      </x:c>
      <x:c r="D1980" s="35" t="str">
        <x:v>Collections_21</x:v>
      </x:c>
      <x:c r="E1980" s="35" t="str">
        <x:v>Condition</x:v>
      </x:c>
      <x:c r="F1980" s="35" t="n">
        <x:v>38</x:v>
      </x:c>
      <x:c r="G1980" s="35" t="str">
        <x:v>RECORDED</x:v>
      </x:c>
      <x:c r="H1980" s="39" t="n">
        <x:f>IF(ISNUMBER('Data'!N272),'Data'!N272*100,"")</x:f>
        <x:v>94.74</x:v>
      </x:c>
      <x:c r="I1980" s="35" t="str">
        <x:v>PASS</x:v>
      </x:c>
      <x:c r="J1980" s="35" t="str">
        <x:v>PASS</x:v>
      </x:c>
      <x:c r="K1980" s="35" t="str">
        <x:v>PASS</x:v>
      </x:c>
      <x:c r="L1980" s="35" t="str">
        <x:v>PASS</x:v>
      </x:c>
      <x:c r="M1980" s="35" t="str">
        <x:v>numeric coverage for applicable metric</x:v>
      </x:c>
      <x:c r="N1980" s="35" t="str">
        <x:v>Deepseek-flash-v4/Result/Collections_21/result.json</x:v>
      </x:c>
      <x:c r="O1980" s="39" t="n">
        <x:f>IF(AND(G1980="RECORDED",ISNUMBER(H1980)),H1980,"")</x:f>
        <x:v>94.74</x:v>
      </x:c>
      <x:c r="P1980" s="35" t="str">
        <x:v>NOT_REVEALING</x:v>
      </x:c>
      <x:c r="Q1980" s="35" t="str">
        <x:v>Deepseek-flash-v4/Result/Collections_21/result.json</x:v>
      </x:c>
    </x:row>
    <x:row r="1981">
      <x:c r="A1981" s="35" t="str">
        <x:v>deepseek</x:v>
      </x:c>
      <x:c r="B1981" s="35" t="str">
        <x:v>Collections</x:v>
      </x:c>
      <x:c r="C1981" s="35" t="str">
        <x:v>Round1</x:v>
      </x:c>
      <x:c r="D1981" s="35" t="str">
        <x:v>Collections_22</x:v>
      </x:c>
      <x:c r="E1981" s="35" t="str">
        <x:v>Condition</x:v>
      </x:c>
      <x:c r="F1981" s="35"/>
      <x:c r="G1981" s="35" t="str">
        <x:v>A</x:v>
      </x:c>
      <x:c r="H1981" s="39" t="str">
        <x:f>IF(ISNUMBER('Data'!N273),'Data'!N273*100,"")</x:f>
      </x:c>
      <x:c r="I1981" s="35"/>
      <x:c r="J1981" s="35" t="str">
        <x:v>PASS</x:v>
      </x:c>
      <x:c r="K1981" s="35" t="str">
        <x:v>FAIL</x:v>
      </x:c>
      <x:c r="L1981" s="35" t="str">
        <x:v>NOT_RUN</x:v>
      </x:c>
      <x:c r="M1981" s="35" t="str">
        <x:v>coverage unavailable or execution/compile failed</x:v>
      </x:c>
      <x:c r="N1981" s="35" t="str">
        <x:v>Deepseek-flash-v4/Result/Collections_22/result.json</x:v>
      </x:c>
      <x:c r="O1981" s="39" t="str">
        <x:f>IF(AND(G1981="RECORDED",ISNUMBER(H1981)),H1981,"")</x:f>
      </x:c>
      <x:c r="P1981" s="35" t="str">
        <x:v>NOT_AVAILABLE</x:v>
      </x:c>
      <x:c r="Q1981" s="35" t="str">
        <x:v>Deepseek-flash-v4/Result/Collections_22/result.json</x:v>
      </x:c>
    </x:row>
    <x:row r="1982">
      <x:c r="A1982" s="35" t="str">
        <x:v>deepseek</x:v>
      </x:c>
      <x:c r="B1982" s="35" t="str">
        <x:v>Collections</x:v>
      </x:c>
      <x:c r="C1982" s="35" t="str">
        <x:v>Round1</x:v>
      </x:c>
      <x:c r="D1982" s="35" t="str">
        <x:v>Collections_23</x:v>
      </x:c>
      <x:c r="E1982" s="35" t="str">
        <x:v>Condition</x:v>
      </x:c>
      <x:c r="F1982" s="35"/>
      <x:c r="G1982" s="35" t="str">
        <x:v>A</x:v>
      </x:c>
      <x:c r="H1982" s="39" t="str">
        <x:f>IF(ISNUMBER('Data'!N274),'Data'!N274*100,"")</x:f>
      </x:c>
      <x:c r="I1982" s="35"/>
      <x:c r="J1982" s="35" t="str">
        <x:v>PASS</x:v>
      </x:c>
      <x:c r="K1982" s="35" t="str">
        <x:v>FAIL</x:v>
      </x:c>
      <x:c r="L1982" s="35" t="str">
        <x:v>NOT_RUN</x:v>
      </x:c>
      <x:c r="M1982" s="35" t="str">
        <x:v>coverage unavailable or execution/compile failed</x:v>
      </x:c>
      <x:c r="N1982" s="35" t="str">
        <x:v>Deepseek-flash-v4/Result/Collections_23/result.json</x:v>
      </x:c>
      <x:c r="O1982" s="39" t="str">
        <x:f>IF(AND(G1982="RECORDED",ISNUMBER(H1982)),H1982,"")</x:f>
      </x:c>
      <x:c r="P1982" s="35" t="str">
        <x:v>NOT_AVAILABLE</x:v>
      </x:c>
      <x:c r="Q1982" s="35" t="str">
        <x:v>Deepseek-flash-v4/Result/Collections_23/result.json</x:v>
      </x:c>
    </x:row>
    <x:row r="1983">
      <x:c r="A1983" s="35" t="str">
        <x:v>deepseek</x:v>
      </x:c>
      <x:c r="B1983" s="35" t="str">
        <x:v>Collections</x:v>
      </x:c>
      <x:c r="C1983" s="35" t="str">
        <x:v>Round1</x:v>
      </x:c>
      <x:c r="D1983" s="35" t="str">
        <x:v>Collections_24</x:v>
      </x:c>
      <x:c r="E1983" s="35" t="str">
        <x:v>Condition</x:v>
      </x:c>
      <x:c r="F1983" s="35" t="n">
        <x:v>12</x:v>
      </x:c>
      <x:c r="G1983" s="35" t="str">
        <x:v>RECORDED</x:v>
      </x:c>
      <x:c r="H1983" s="39" t="n">
        <x:f>IF(ISNUMBER('Data'!N275),'Data'!N275*100,"")</x:f>
        <x:v>100</x:v>
      </x:c>
      <x:c r="I1983" s="35" t="str">
        <x:v>PASS</x:v>
      </x:c>
      <x:c r="J1983" s="35" t="str">
        <x:v>PASS</x:v>
      </x:c>
      <x:c r="K1983" s="35" t="str">
        <x:v>PASS</x:v>
      </x:c>
      <x:c r="L1983" s="35" t="str">
        <x:v>PASS</x:v>
      </x:c>
      <x:c r="M1983" s="35" t="str">
        <x:v>numeric coverage for applicable metric</x:v>
      </x:c>
      <x:c r="N1983" s="35" t="str">
        <x:v>Deepseek-flash-v4/Result/Collections_24/result.json</x:v>
      </x:c>
      <x:c r="O1983" s="39" t="n">
        <x:f>IF(AND(G1983="RECORDED",ISNUMBER(H1983)),H1983,"")</x:f>
        <x:v>100</x:v>
      </x:c>
      <x:c r="P1983" s="35" t="str">
        <x:v>NOT_REVEALING</x:v>
      </x:c>
      <x:c r="Q1983" s="35" t="str">
        <x:v>Deepseek-flash-v4/Result/Collections_24/result.json</x:v>
      </x:c>
    </x:row>
    <x:row r="1984">
      <x:c r="A1984" s="35" t="str">
        <x:v>deepseek</x:v>
      </x:c>
      <x:c r="B1984" s="35" t="str">
        <x:v>Collections</x:v>
      </x:c>
      <x:c r="C1984" s="35" t="str">
        <x:v>Round1</x:v>
      </x:c>
      <x:c r="D1984" s="35" t="str">
        <x:v>Collections_25</x:v>
      </x:c>
      <x:c r="E1984" s="35" t="str">
        <x:v>Condition</x:v>
      </x:c>
      <x:c r="F1984" s="35"/>
      <x:c r="G1984" s="35" t="str">
        <x:v>A</x:v>
      </x:c>
      <x:c r="H1984" s="39" t="str">
        <x:f>IF(ISNUMBER('Data'!N276),'Data'!N276*100,"")</x:f>
      </x:c>
      <x:c r="I1984" s="35"/>
      <x:c r="J1984" s="35" t="str">
        <x:v>PASS</x:v>
      </x:c>
      <x:c r="K1984" s="35" t="str">
        <x:v>FAIL</x:v>
      </x:c>
      <x:c r="L1984" s="35" t="str">
        <x:v>NOT_RUN</x:v>
      </x:c>
      <x:c r="M1984" s="35" t="str">
        <x:v>coverage unavailable or execution/compile failed</x:v>
      </x:c>
      <x:c r="N1984" s="35" t="str">
        <x:v>Deepseek-flash-v4/Result/Collections_25/result.json</x:v>
      </x:c>
      <x:c r="O1984" s="39" t="str">
        <x:f>IF(AND(G1984="RECORDED",ISNUMBER(H1984)),H1984,"")</x:f>
      </x:c>
      <x:c r="P1984" s="35" t="str">
        <x:v>NOT_AVAILABLE</x:v>
      </x:c>
      <x:c r="Q1984" s="35" t="str">
        <x:v>Deepseek-flash-v4/Result/Collections_25/result.json</x:v>
      </x:c>
    </x:row>
    <x:row r="1985">
      <x:c r="A1985" s="35" t="str">
        <x:v>deepseek</x:v>
      </x:c>
      <x:c r="B1985" s="35" t="str">
        <x:v>Collections</x:v>
      </x:c>
      <x:c r="C1985" s="35" t="str">
        <x:v>Round1</x:v>
      </x:c>
      <x:c r="D1985" s="35" t="str">
        <x:v>Collections_26</x:v>
      </x:c>
      <x:c r="E1985" s="35" t="str">
        <x:v>Condition</x:v>
      </x:c>
      <x:c r="F1985" s="35" t="n">
        <x:v>12</x:v>
      </x:c>
      <x:c r="G1985" s="35" t="str">
        <x:v>RECORDED</x:v>
      </x:c>
      <x:c r="H1985" s="39" t="n">
        <x:f>IF(ISNUMBER('Data'!N277),'Data'!N277*100,"")</x:f>
        <x:v>100</x:v>
      </x:c>
      <x:c r="I1985" s="35" t="str">
        <x:v>PASS</x:v>
      </x:c>
      <x:c r="J1985" s="35" t="str">
        <x:v>PASS</x:v>
      </x:c>
      <x:c r="K1985" s="35" t="str">
        <x:v>PASS</x:v>
      </x:c>
      <x:c r="L1985" s="35" t="str">
        <x:v>PASS</x:v>
      </x:c>
      <x:c r="M1985" s="35" t="str">
        <x:v>numeric coverage for applicable metric</x:v>
      </x:c>
      <x:c r="N1985" s="35" t="str">
        <x:v>Deepseek-flash-v4/Result/Collections_26/result.json</x:v>
      </x:c>
      <x:c r="O1985" s="39" t="n">
        <x:f>IF(AND(G1985="RECORDED",ISNUMBER(H1985)),H1985,"")</x:f>
        <x:v>100</x:v>
      </x:c>
      <x:c r="P1985" s="35" t="str">
        <x:v>NOT_REVEALING</x:v>
      </x:c>
      <x:c r="Q1985" s="35" t="str">
        <x:v>Deepseek-flash-v4/Result/Collections_26/result.json</x:v>
      </x:c>
    </x:row>
    <x:row r="1986">
      <x:c r="A1986" s="35" t="str">
        <x:v>deepseek</x:v>
      </x:c>
      <x:c r="B1986" s="35" t="str">
        <x:v>Collections</x:v>
      </x:c>
      <x:c r="C1986" s="35" t="str">
        <x:v>Round1</x:v>
      </x:c>
      <x:c r="D1986" s="35" t="str">
        <x:v>Collections_27</x:v>
      </x:c>
      <x:c r="E1986" s="35" t="str">
        <x:v>Condition</x:v>
      </x:c>
      <x:c r="F1986" s="35" t="n">
        <x:v>50</x:v>
      </x:c>
      <x:c r="G1986" s="35" t="str">
        <x:v>RECORDED</x:v>
      </x:c>
      <x:c r="H1986" s="39" t="n">
        <x:f>IF(ISNUMBER('Data'!N278),'Data'!N278*100,"")</x:f>
        <x:v>82</x:v>
      </x:c>
      <x:c r="I1986" s="35" t="str">
        <x:v>PASS</x:v>
      </x:c>
      <x:c r="J1986" s="35" t="str">
        <x:v>PASS</x:v>
      </x:c>
      <x:c r="K1986" s="35" t="str">
        <x:v>PASS</x:v>
      </x:c>
      <x:c r="L1986" s="35" t="str">
        <x:v>FAIL</x:v>
      </x:c>
      <x:c r="M1986" s="35" t="str">
        <x:v>numeric coverage for applicable metric</x:v>
      </x:c>
      <x:c r="N1986" s="35" t="str">
        <x:v>Deepseek-flash-v4/Result/Collections_27/result.json</x:v>
      </x:c>
      <x:c r="O1986" s="39" t="n">
        <x:f>IF(AND(G1986="RECORDED",ISNUMBER(H1986)),H1986,"")</x:f>
        <x:v>82</x:v>
      </x:c>
      <x:c r="P1986" s="35" t="str">
        <x:v>INCONCLUSIVE</x:v>
      </x:c>
      <x:c r="Q1986" s="35" t="str">
        <x:v>Deepseek-flash-v4/Result/Collections_27/result.json</x:v>
      </x:c>
    </x:row>
    <x:row r="1987">
      <x:c r="A1987" s="35" t="str">
        <x:v>deepseek</x:v>
      </x:c>
      <x:c r="B1987" s="35" t="str">
        <x:v>Collections</x:v>
      </x:c>
      <x:c r="C1987" s="35" t="str">
        <x:v>Round1</x:v>
      </x:c>
      <x:c r="D1987" s="35" t="str">
        <x:v>Collections_28</x:v>
      </x:c>
      <x:c r="E1987" s="35" t="str">
        <x:v>Condition</x:v>
      </x:c>
      <x:c r="F1987" s="35"/>
      <x:c r="G1987" s="35" t="str">
        <x:v>A</x:v>
      </x:c>
      <x:c r="H1987" s="39" t="str">
        <x:f>IF(ISNUMBER('Data'!N279),'Data'!N279*100,"")</x:f>
      </x:c>
      <x:c r="I1987" s="35"/>
      <x:c r="J1987" s="35" t="str">
        <x:v>PASS</x:v>
      </x:c>
      <x:c r="K1987" s="35" t="str">
        <x:v>FAIL</x:v>
      </x:c>
      <x:c r="L1987" s="35" t="str">
        <x:v>NOT_RUN</x:v>
      </x:c>
      <x:c r="M1987" s="35" t="str">
        <x:v>coverage unavailable or execution/compile failed</x:v>
      </x:c>
      <x:c r="N1987" s="35" t="str">
        <x:v>Deepseek-flash-v4/Result/Collections_28/result.json</x:v>
      </x:c>
      <x:c r="O1987" s="39" t="str">
        <x:f>IF(AND(G1987="RECORDED",ISNUMBER(H1987)),H1987,"")</x:f>
      </x:c>
      <x:c r="P1987" s="35" t="str">
        <x:v>NOT_AVAILABLE</x:v>
      </x:c>
      <x:c r="Q1987" s="35" t="str">
        <x:v>Deepseek-flash-v4/Result/Collections_28/result.json</x:v>
      </x:c>
    </x:row>
    <x:row r="1988">
      <x:c r="A1988" s="35" t="str">
        <x:v>deepseek</x:v>
      </x:c>
      <x:c r="B1988" s="35" t="str">
        <x:v>Collections</x:v>
      </x:c>
      <x:c r="C1988" s="35" t="str">
        <x:v>Round1</x:v>
      </x:c>
      <x:c r="D1988" s="35" t="str">
        <x:v>Collections_3</x:v>
      </x:c>
      <x:c r="E1988" s="35" t="str">
        <x:v>Condition</x:v>
      </x:c>
      <x:c r="F1988" s="35"/>
      <x:c r="G1988" s="35" t="str">
        <x:v>A</x:v>
      </x:c>
      <x:c r="H1988" s="39" t="str">
        <x:f>IF(ISNUMBER('Data'!N280),'Data'!N280*100,"")</x:f>
      </x:c>
      <x:c r="I1988" s="35"/>
      <x:c r="J1988" s="35" t="str">
        <x:v>PASS</x:v>
      </x:c>
      <x:c r="K1988" s="35" t="str">
        <x:v>FAIL</x:v>
      </x:c>
      <x:c r="L1988" s="35" t="str">
        <x:v>NOT_RUN</x:v>
      </x:c>
      <x:c r="M1988" s="35" t="str">
        <x:v>coverage unavailable or execution/compile failed</x:v>
      </x:c>
      <x:c r="N1988" s="35" t="str">
        <x:v>Deepseek-flash-v4/Result/Collections_3/result.json</x:v>
      </x:c>
      <x:c r="O1988" s="39" t="str">
        <x:f>IF(AND(G1988="RECORDED",ISNUMBER(H1988)),H1988,"")</x:f>
      </x:c>
      <x:c r="P1988" s="35" t="str">
        <x:v>NOT_AVAILABLE</x:v>
      </x:c>
      <x:c r="Q1988" s="35" t="str">
        <x:v>Deepseek-flash-v4/Result/Collections_3/result.json</x:v>
      </x:c>
    </x:row>
    <x:row r="1989">
      <x:c r="A1989" s="35" t="str">
        <x:v>deepseek</x:v>
      </x:c>
      <x:c r="B1989" s="35" t="str">
        <x:v>Collections</x:v>
      </x:c>
      <x:c r="C1989" s="35" t="str">
        <x:v>Round1</x:v>
      </x:c>
      <x:c r="D1989" s="35" t="str">
        <x:v>Collections_4</x:v>
      </x:c>
      <x:c r="E1989" s="35" t="str">
        <x:v>Condition</x:v>
      </x:c>
      <x:c r="F1989" s="35"/>
      <x:c r="G1989" s="35" t="str">
        <x:v>A</x:v>
      </x:c>
      <x:c r="H1989" s="39" t="str">
        <x:f>IF(ISNUMBER('Data'!N281),'Data'!N281*100,"")</x:f>
      </x:c>
      <x:c r="I1989" s="35"/>
      <x:c r="J1989" s="35" t="str">
        <x:v>PASS</x:v>
      </x:c>
      <x:c r="K1989" s="35" t="str">
        <x:v>FAIL</x:v>
      </x:c>
      <x:c r="L1989" s="35" t="str">
        <x:v>NOT_RUN</x:v>
      </x:c>
      <x:c r="M1989" s="35" t="str">
        <x:v>coverage unavailable or execution/compile failed</x:v>
      </x:c>
      <x:c r="N1989" s="35" t="str">
        <x:v>Deepseek-flash-v4/Result/Collections_4/result.json</x:v>
      </x:c>
      <x:c r="O1989" s="39" t="str">
        <x:f>IF(AND(G1989="RECORDED",ISNUMBER(H1989)),H1989,"")</x:f>
      </x:c>
      <x:c r="P1989" s="35" t="str">
        <x:v>NOT_AVAILABLE</x:v>
      </x:c>
      <x:c r="Q1989" s="35" t="str">
        <x:v>Deepseek-flash-v4/Result/Collections_4/result.json</x:v>
      </x:c>
    </x:row>
    <x:row r="1990">
      <x:c r="A1990" s="35" t="str">
        <x:v>deepseek</x:v>
      </x:c>
      <x:c r="B1990" s="35" t="str">
        <x:v>Collections</x:v>
      </x:c>
      <x:c r="C1990" s="35" t="str">
        <x:v>Round1</x:v>
      </x:c>
      <x:c r="D1990" s="35" t="str">
        <x:v>Collections_5</x:v>
      </x:c>
      <x:c r="E1990" s="35" t="str">
        <x:v>Condition</x:v>
      </x:c>
      <x:c r="F1990" s="35" t="n">
        <x:v>20</x:v>
      </x:c>
      <x:c r="G1990" s="35" t="str">
        <x:v>RECORDED</x:v>
      </x:c>
      <x:c r="H1990" s="39" t="n">
        <x:f>IF(ISNUMBER('Data'!N282),'Data'!N282*100,"")</x:f>
        <x:v>95</x:v>
      </x:c>
      <x:c r="I1990" s="35" t="str">
        <x:v>PASS</x:v>
      </x:c>
      <x:c r="J1990" s="35" t="str">
        <x:v>PASS</x:v>
      </x:c>
      <x:c r="K1990" s="35" t="str">
        <x:v>PASS</x:v>
      </x:c>
      <x:c r="L1990" s="35" t="str">
        <x:v>FAIL</x:v>
      </x:c>
      <x:c r="M1990" s="35" t="str">
        <x:v>numeric coverage for applicable metric</x:v>
      </x:c>
      <x:c r="N1990" s="35" t="str">
        <x:v>Deepseek-flash-v4/Result/Collections_5/result.json</x:v>
      </x:c>
      <x:c r="O1990" s="39" t="n">
        <x:f>IF(AND(G1990="RECORDED",ISNUMBER(H1990)),H1990,"")</x:f>
        <x:v>95</x:v>
      </x:c>
      <x:c r="P1990" s="35" t="str">
        <x:v>INCONCLUSIVE</x:v>
      </x:c>
      <x:c r="Q1990" s="35" t="str">
        <x:v>Deepseek-flash-v4/Result/Collections_5/result.json</x:v>
      </x:c>
    </x:row>
    <x:row r="1991">
      <x:c r="A1991" s="35" t="str">
        <x:v>deepseek</x:v>
      </x:c>
      <x:c r="B1991" s="35" t="str">
        <x:v>Collections</x:v>
      </x:c>
      <x:c r="C1991" s="35" t="str">
        <x:v>Round1</x:v>
      </x:c>
      <x:c r="D1991" s="35" t="str">
        <x:v>Collections_6</x:v>
      </x:c>
      <x:c r="E1991" s="35" t="str">
        <x:v>Condition</x:v>
      </x:c>
      <x:c r="F1991" s="35" t="n">
        <x:v>376</x:v>
      </x:c>
      <x:c r="G1991" s="35" t="str">
        <x:v>RECORDED</x:v>
      </x:c>
      <x:c r="H1991" s="39" t="n">
        <x:f>IF(ISNUMBER('Data'!N283),'Data'!N283*100,"")</x:f>
        <x:v>51.33</x:v>
      </x:c>
      <x:c r="I1991" s="35" t="str">
        <x:v>PASS</x:v>
      </x:c>
      <x:c r="J1991" s="35" t="str">
        <x:v>PASS</x:v>
      </x:c>
      <x:c r="K1991" s="35" t="str">
        <x:v>PASS</x:v>
      </x:c>
      <x:c r="L1991" s="35" t="str">
        <x:v>FAIL</x:v>
      </x:c>
      <x:c r="M1991" s="35" t="str">
        <x:v>numeric coverage for applicable metric</x:v>
      </x:c>
      <x:c r="N1991" s="35" t="str">
        <x:v>Deepseek-flash-v4/Result/Collections_6/result.json</x:v>
      </x:c>
      <x:c r="O1991" s="39" t="n">
        <x:f>IF(AND(G1991="RECORDED",ISNUMBER(H1991)),H1991,"")</x:f>
        <x:v>51.33</x:v>
      </x:c>
      <x:c r="P1991" s="35" t="str">
        <x:v>REVEALING</x:v>
      </x:c>
      <x:c r="Q1991" s="35" t="str">
        <x:v>Deepseek-flash-v4/Result/Collections_6/result.json</x:v>
      </x:c>
    </x:row>
    <x:row r="1992">
      <x:c r="A1992" s="35" t="str">
        <x:v>deepseek</x:v>
      </x:c>
      <x:c r="B1992" s="35" t="str">
        <x:v>Collections</x:v>
      </x:c>
      <x:c r="C1992" s="35" t="str">
        <x:v>Round1</x:v>
      </x:c>
      <x:c r="D1992" s="35" t="str">
        <x:v>Collections_7</x:v>
      </x:c>
      <x:c r="E1992" s="35" t="str">
        <x:v>Condition</x:v>
      </x:c>
      <x:c r="F1992" s="35"/>
      <x:c r="G1992" s="35" t="str">
        <x:v>A</x:v>
      </x:c>
      <x:c r="H1992" s="39" t="str">
        <x:f>IF(ISNUMBER('Data'!N284),'Data'!N284*100,"")</x:f>
      </x:c>
      <x:c r="I1992" s="35"/>
      <x:c r="J1992" s="35" t="str">
        <x:v>PASS</x:v>
      </x:c>
      <x:c r="K1992" s="35" t="str">
        <x:v>FAIL</x:v>
      </x:c>
      <x:c r="L1992" s="35" t="str">
        <x:v>NOT_RUN</x:v>
      </x:c>
      <x:c r="M1992" s="35" t="str">
        <x:v>coverage unavailable or execution/compile failed</x:v>
      </x:c>
      <x:c r="N1992" s="35" t="str">
        <x:v>Deepseek-flash-v4/Result/Collections_7/result.json</x:v>
      </x:c>
      <x:c r="O1992" s="39" t="str">
        <x:f>IF(AND(G1992="RECORDED",ISNUMBER(H1992)),H1992,"")</x:f>
      </x:c>
      <x:c r="P1992" s="35" t="str">
        <x:v>NOT_AVAILABLE</x:v>
      </x:c>
      <x:c r="Q1992" s="35" t="str">
        <x:v>Deepseek-flash-v4/Result/Collections_7/result.json</x:v>
      </x:c>
    </x:row>
    <x:row r="1993">
      <x:c r="A1993" s="35" t="str">
        <x:v>deepseek</x:v>
      </x:c>
      <x:c r="B1993" s="35" t="str">
        <x:v>Collections</x:v>
      </x:c>
      <x:c r="C1993" s="35" t="str">
        <x:v>Round1</x:v>
      </x:c>
      <x:c r="D1993" s="35" t="str">
        <x:v>Collections_8</x:v>
      </x:c>
      <x:c r="E1993" s="35" t="str">
        <x:v>Condition</x:v>
      </x:c>
      <x:c r="F1993" s="35"/>
      <x:c r="G1993" s="35" t="str">
        <x:v>A</x:v>
      </x:c>
      <x:c r="H1993" s="39" t="str">
        <x:f>IF(ISNUMBER('Data'!N285),'Data'!N285*100,"")</x:f>
      </x:c>
      <x:c r="I1993" s="35"/>
      <x:c r="J1993" s="35" t="str">
        <x:v>PASS</x:v>
      </x:c>
      <x:c r="K1993" s="35" t="str">
        <x:v>FAIL</x:v>
      </x:c>
      <x:c r="L1993" s="35" t="str">
        <x:v>NOT_RUN</x:v>
      </x:c>
      <x:c r="M1993" s="35" t="str">
        <x:v>coverage unavailable or execution/compile failed</x:v>
      </x:c>
      <x:c r="N1993" s="35" t="str">
        <x:v>Deepseek-flash-v4/Result/Collections_8/result.json</x:v>
      </x:c>
      <x:c r="O1993" s="39" t="str">
        <x:f>IF(AND(G1993="RECORDED",ISNUMBER(H1993)),H1993,"")</x:f>
      </x:c>
      <x:c r="P1993" s="35" t="str">
        <x:v>NOT_AVAILABLE</x:v>
      </x:c>
      <x:c r="Q1993" s="35" t="str">
        <x:v>Deepseek-flash-v4/Result/Collections_8/result.json</x:v>
      </x:c>
    </x:row>
    <x:row r="1994">
      <x:c r="A1994" s="35" t="str">
        <x:v>deepseek</x:v>
      </x:c>
      <x:c r="B1994" s="35" t="str">
        <x:v>Collections</x:v>
      </x:c>
      <x:c r="C1994" s="35" t="str">
        <x:v>Round1</x:v>
      </x:c>
      <x:c r="D1994" s="35" t="str">
        <x:v>Collections_9</x:v>
      </x:c>
      <x:c r="E1994" s="35" t="str">
        <x:v>Condition</x:v>
      </x:c>
      <x:c r="F1994" s="35"/>
      <x:c r="G1994" s="35" t="str">
        <x:v>A</x:v>
      </x:c>
      <x:c r="H1994" s="39" t="str">
        <x:f>IF(ISNUMBER('Data'!N286),'Data'!N286*100,"")</x:f>
      </x:c>
      <x:c r="I1994" s="35"/>
      <x:c r="J1994" s="35" t="str">
        <x:v>PASS</x:v>
      </x:c>
      <x:c r="K1994" s="35" t="str">
        <x:v>FAIL</x:v>
      </x:c>
      <x:c r="L1994" s="35" t="str">
        <x:v>NOT_RUN</x:v>
      </x:c>
      <x:c r="M1994" s="35" t="str">
        <x:v>coverage unavailable or execution/compile failed</x:v>
      </x:c>
      <x:c r="N1994" s="35" t="str">
        <x:v>Deepseek-flash-v4/Result/Collections_9/result.json</x:v>
      </x:c>
      <x:c r="O1994" s="39" t="str">
        <x:f>IF(AND(G1994="RECORDED",ISNUMBER(H1994)),H1994,"")</x:f>
      </x:c>
      <x:c r="P1994" s="35" t="str">
        <x:v>NOT_AVAILABLE</x:v>
      </x:c>
      <x:c r="Q1994" s="35" t="str">
        <x:v>Deepseek-flash-v4/Result/Collections_9/result.json</x:v>
      </x:c>
    </x:row>
    <x:row r="1995">
      <x:c r="A1995" s="35" t="str">
        <x:v>deepseek</x:v>
      </x:c>
      <x:c r="B1995" s="35" t="str">
        <x:v>Compress</x:v>
      </x:c>
      <x:c r="C1995" s="35" t="str">
        <x:v>Round1</x:v>
      </x:c>
      <x:c r="D1995" s="35" t="str">
        <x:v>Compress_1</x:v>
      </x:c>
      <x:c r="E1995" s="35" t="str">
        <x:v>Condition</x:v>
      </x:c>
      <x:c r="F1995" s="35"/>
      <x:c r="G1995" s="35" t="str">
        <x:v>A</x:v>
      </x:c>
      <x:c r="H1995" s="39" t="str">
        <x:f>IF(ISNUMBER('Data'!N287),'Data'!N287*100,"")</x:f>
      </x:c>
      <x:c r="I1995" s="35"/>
      <x:c r="J1995" s="35" t="str">
        <x:v>PASS</x:v>
      </x:c>
      <x:c r="K1995" s="35" t="str">
        <x:v>FAIL</x:v>
      </x:c>
      <x:c r="L1995" s="35" t="str">
        <x:v>NOT_RUN</x:v>
      </x:c>
      <x:c r="M1995" s="35" t="str">
        <x:v>coverage unavailable or execution/compile failed</x:v>
      </x:c>
      <x:c r="N1995" s="35" t="str">
        <x:v>Deepseek-flash-v4/Result/Compress_1/result.json</x:v>
      </x:c>
      <x:c r="O1995" s="39" t="str">
        <x:f>IF(AND(G1995="RECORDED",ISNUMBER(H1995)),H1995,"")</x:f>
      </x:c>
      <x:c r="P1995" s="35" t="str">
        <x:v>NOT_AVAILABLE</x:v>
      </x:c>
      <x:c r="Q1995" s="35" t="str">
        <x:v>Deepseek-flash-v4/Result/Compress_1/result.json</x:v>
      </x:c>
    </x:row>
    <x:row r="1996">
      <x:c r="A1996" s="35" t="str">
        <x:v>deepseek</x:v>
      </x:c>
      <x:c r="B1996" s="35" t="str">
        <x:v>Compress</x:v>
      </x:c>
      <x:c r="C1996" s="35" t="str">
        <x:v>Round1</x:v>
      </x:c>
      <x:c r="D1996" s="35" t="str">
        <x:v>Compress_10</x:v>
      </x:c>
      <x:c r="E1996" s="35" t="str">
        <x:v>Condition</x:v>
      </x:c>
      <x:c r="F1996" s="35"/>
      <x:c r="G1996" s="35" t="str">
        <x:v>A</x:v>
      </x:c>
      <x:c r="H1996" s="39" t="str">
        <x:f>IF(ISNUMBER('Data'!N288),'Data'!N288*100,"")</x:f>
      </x:c>
      <x:c r="I1996" s="35"/>
      <x:c r="J1996" s="35" t="str">
        <x:v>PASS</x:v>
      </x:c>
      <x:c r="K1996" s="35" t="str">
        <x:v>FAIL</x:v>
      </x:c>
      <x:c r="L1996" s="35" t="str">
        <x:v>NOT_RUN</x:v>
      </x:c>
      <x:c r="M1996" s="35" t="str">
        <x:v>coverage unavailable or execution/compile failed</x:v>
      </x:c>
      <x:c r="N1996" s="35" t="str">
        <x:v>Deepseek-flash-v4/Result/Compress_10/result.json</x:v>
      </x:c>
      <x:c r="O1996" s="39" t="str">
        <x:f>IF(AND(G1996="RECORDED",ISNUMBER(H1996)),H1996,"")</x:f>
      </x:c>
      <x:c r="P1996" s="35" t="str">
        <x:v>NOT_AVAILABLE</x:v>
      </x:c>
      <x:c r="Q1996" s="35" t="str">
        <x:v>Deepseek-flash-v4/Result/Compress_10/result.json</x:v>
      </x:c>
    </x:row>
    <x:row r="1997">
      <x:c r="A1997" s="35" t="str">
        <x:v>deepseek</x:v>
      </x:c>
      <x:c r="B1997" s="35" t="str">
        <x:v>Compress</x:v>
      </x:c>
      <x:c r="C1997" s="35" t="str">
        <x:v>Round1</x:v>
      </x:c>
      <x:c r="D1997" s="35" t="str">
        <x:v>Compress_11</x:v>
      </x:c>
      <x:c r="E1997" s="35" t="str">
        <x:v>Condition</x:v>
      </x:c>
      <x:c r="F1997" s="35"/>
      <x:c r="G1997" s="35" t="str">
        <x:v>A</x:v>
      </x:c>
      <x:c r="H1997" s="39" t="str">
        <x:f>IF(ISNUMBER('Data'!N289),'Data'!N289*100,"")</x:f>
      </x:c>
      <x:c r="I1997" s="35"/>
      <x:c r="J1997" s="35" t="str">
        <x:v>PASS</x:v>
      </x:c>
      <x:c r="K1997" s="35" t="str">
        <x:v>FAIL</x:v>
      </x:c>
      <x:c r="L1997" s="35" t="str">
        <x:v>NOT_RUN</x:v>
      </x:c>
      <x:c r="M1997" s="35" t="str">
        <x:v>coverage unavailable or execution/compile failed</x:v>
      </x:c>
      <x:c r="N1997" s="35" t="str">
        <x:v>Deepseek-flash-v4/Result/Compress_11/result.json</x:v>
      </x:c>
      <x:c r="O1997" s="39" t="str">
        <x:f>IF(AND(G1997="RECORDED",ISNUMBER(H1997)),H1997,"")</x:f>
      </x:c>
      <x:c r="P1997" s="35" t="str">
        <x:v>NOT_AVAILABLE</x:v>
      </x:c>
      <x:c r="Q1997" s="35" t="str">
        <x:v>Deepseek-flash-v4/Result/Compress_11/result.json</x:v>
      </x:c>
    </x:row>
    <x:row r="1998">
      <x:c r="A1998" s="35" t="str">
        <x:v>deepseek</x:v>
      </x:c>
      <x:c r="B1998" s="35" t="str">
        <x:v>Compress</x:v>
      </x:c>
      <x:c r="C1998" s="35" t="str">
        <x:v>Round1</x:v>
      </x:c>
      <x:c r="D1998" s="35" t="str">
        <x:v>Compress_12</x:v>
      </x:c>
      <x:c r="E1998" s="35" t="str">
        <x:v>Condition</x:v>
      </x:c>
      <x:c r="F1998" s="35"/>
      <x:c r="G1998" s="35" t="str">
        <x:v>A</x:v>
      </x:c>
      <x:c r="H1998" s="39" t="str">
        <x:f>IF(ISNUMBER('Data'!N290),'Data'!N290*100,"")</x:f>
      </x:c>
      <x:c r="I1998" s="35"/>
      <x:c r="J1998" s="35" t="str">
        <x:v>PASS</x:v>
      </x:c>
      <x:c r="K1998" s="35" t="str">
        <x:v>FAIL</x:v>
      </x:c>
      <x:c r="L1998" s="35" t="str">
        <x:v>NOT_RUN</x:v>
      </x:c>
      <x:c r="M1998" s="35" t="str">
        <x:v>coverage unavailable or execution/compile failed</x:v>
      </x:c>
      <x:c r="N1998" s="35" t="str">
        <x:v>Deepseek-flash-v4/Result/Compress_12/result.json</x:v>
      </x:c>
      <x:c r="O1998" s="39" t="str">
        <x:f>IF(AND(G1998="RECORDED",ISNUMBER(H1998)),H1998,"")</x:f>
      </x:c>
      <x:c r="P1998" s="35" t="str">
        <x:v>NOT_AVAILABLE</x:v>
      </x:c>
      <x:c r="Q1998" s="35" t="str">
        <x:v>Deepseek-flash-v4/Result/Compress_12/result.json</x:v>
      </x:c>
    </x:row>
    <x:row r="1999">
      <x:c r="A1999" s="35" t="str">
        <x:v>deepseek</x:v>
      </x:c>
      <x:c r="B1999" s="35" t="str">
        <x:v>Compress</x:v>
      </x:c>
      <x:c r="C1999" s="35" t="str">
        <x:v>Round1</x:v>
      </x:c>
      <x:c r="D1999" s="35" t="str">
        <x:v>Compress_13</x:v>
      </x:c>
      <x:c r="E1999" s="35" t="str">
        <x:v>Condition</x:v>
      </x:c>
      <x:c r="F1999" s="35"/>
      <x:c r="G1999" s="35" t="str">
        <x:v>A</x:v>
      </x:c>
      <x:c r="H1999" s="39" t="str">
        <x:f>IF(ISNUMBER('Data'!N291),'Data'!N291*100,"")</x:f>
      </x:c>
      <x:c r="I1999" s="35"/>
      <x:c r="J1999" s="35" t="str">
        <x:v>PASS</x:v>
      </x:c>
      <x:c r="K1999" s="35" t="str">
        <x:v>FAIL</x:v>
      </x:c>
      <x:c r="L1999" s="35" t="str">
        <x:v>NOT_RUN</x:v>
      </x:c>
      <x:c r="M1999" s="35" t="str">
        <x:v>coverage unavailable or execution/compile failed</x:v>
      </x:c>
      <x:c r="N1999" s="35" t="str">
        <x:v>Deepseek-flash-v4/Result/Compress_13/result.json</x:v>
      </x:c>
      <x:c r="O1999" s="39" t="str">
        <x:f>IF(AND(G1999="RECORDED",ISNUMBER(H1999)),H1999,"")</x:f>
      </x:c>
      <x:c r="P1999" s="35" t="str">
        <x:v>NOT_AVAILABLE</x:v>
      </x:c>
      <x:c r="Q1999" s="35" t="str">
        <x:v>Deepseek-flash-v4/Result/Compress_13/result.json</x:v>
      </x:c>
    </x:row>
    <x:row r="2000">
      <x:c r="A2000" s="35" t="str">
        <x:v>deepseek</x:v>
      </x:c>
      <x:c r="B2000" s="35" t="str">
        <x:v>Compress</x:v>
      </x:c>
      <x:c r="C2000" s="35" t="str">
        <x:v>Round1</x:v>
      </x:c>
      <x:c r="D2000" s="35" t="str">
        <x:v>Compress_14</x:v>
      </x:c>
      <x:c r="E2000" s="35" t="str">
        <x:v>Condition</x:v>
      </x:c>
      <x:c r="F2000" s="35" t="n">
        <x:v>66</x:v>
      </x:c>
      <x:c r="G2000" s="35" t="str">
        <x:v>RECORDED</x:v>
      </x:c>
      <x:c r="H2000" s="39" t="n">
        <x:f>IF(ISNUMBER('Data'!N292),'Data'!N292*100,"")</x:f>
        <x:v>71.21</x:v>
      </x:c>
      <x:c r="I2000" s="35" t="str">
        <x:v>PASS</x:v>
      </x:c>
      <x:c r="J2000" s="35" t="str">
        <x:v>PASS</x:v>
      </x:c>
      <x:c r="K2000" s="35" t="str">
        <x:v>PASS</x:v>
      </x:c>
      <x:c r="L2000" s="35" t="str">
        <x:v>FAIL</x:v>
      </x:c>
      <x:c r="M2000" s="35" t="str">
        <x:v>numeric coverage for applicable metric</x:v>
      </x:c>
      <x:c r="N2000" s="35" t="str">
        <x:v>Deepseek-flash-v4/Result/Compress_14/result.json</x:v>
      </x:c>
      <x:c r="O2000" s="39" t="n">
        <x:f>IF(AND(G2000="RECORDED",ISNUMBER(H2000)),H2000,"")</x:f>
        <x:v>71.21</x:v>
      </x:c>
      <x:c r="P2000" s="35" t="str">
        <x:v>INCONCLUSIVE</x:v>
      </x:c>
      <x:c r="Q2000" s="35" t="str">
        <x:v>Deepseek-flash-v4/Result/Compress_14/result.json</x:v>
      </x:c>
    </x:row>
    <x:row r="2001">
      <x:c r="A2001" s="35" t="str">
        <x:v>deepseek</x:v>
      </x:c>
      <x:c r="B2001" s="35" t="str">
        <x:v>Compress</x:v>
      </x:c>
      <x:c r="C2001" s="35" t="str">
        <x:v>Round1</x:v>
      </x:c>
      <x:c r="D2001" s="35" t="str">
        <x:v>Compress_15</x:v>
      </x:c>
      <x:c r="E2001" s="35" t="str">
        <x:v>Condition</x:v>
      </x:c>
      <x:c r="F2001" s="35"/>
      <x:c r="G2001" s="35" t="str">
        <x:v>A</x:v>
      </x:c>
      <x:c r="H2001" s="39" t="str">
        <x:f>IF(ISNUMBER('Data'!N293),'Data'!N293*100,"")</x:f>
      </x:c>
      <x:c r="I2001" s="35"/>
      <x:c r="J2001" s="35" t="str">
        <x:v>PASS</x:v>
      </x:c>
      <x:c r="K2001" s="35" t="str">
        <x:v>FAIL</x:v>
      </x:c>
      <x:c r="L2001" s="35" t="str">
        <x:v>NOT_RUN</x:v>
      </x:c>
      <x:c r="M2001" s="35" t="str">
        <x:v>coverage unavailable or execution/compile failed</x:v>
      </x:c>
      <x:c r="N2001" s="35" t="str">
        <x:v>Deepseek-flash-v4/Result/Compress_15/result.json</x:v>
      </x:c>
      <x:c r="O2001" s="39" t="str">
        <x:f>IF(AND(G2001="RECORDED",ISNUMBER(H2001)),H2001,"")</x:f>
      </x:c>
      <x:c r="P2001" s="35" t="str">
        <x:v>NOT_AVAILABLE</x:v>
      </x:c>
      <x:c r="Q2001" s="35" t="str">
        <x:v>Deepseek-flash-v4/Result/Compress_15/result.json</x:v>
      </x:c>
    </x:row>
    <x:row r="2002">
      <x:c r="A2002" s="35" t="str">
        <x:v>deepseek</x:v>
      </x:c>
      <x:c r="B2002" s="35" t="str">
        <x:v>Compress</x:v>
      </x:c>
      <x:c r="C2002" s="35" t="str">
        <x:v>Round1</x:v>
      </x:c>
      <x:c r="D2002" s="35" t="str">
        <x:v>Compress_16</x:v>
      </x:c>
      <x:c r="E2002" s="35" t="str">
        <x:v>Condition</x:v>
      </x:c>
      <x:c r="F2002" s="35"/>
      <x:c r="G2002" s="35" t="str">
        <x:v>A</x:v>
      </x:c>
      <x:c r="H2002" s="39" t="str">
        <x:f>IF(ISNUMBER('Data'!N294),'Data'!N294*100,"")</x:f>
      </x:c>
      <x:c r="I2002" s="35"/>
      <x:c r="J2002" s="35" t="str">
        <x:v>PASS</x:v>
      </x:c>
      <x:c r="K2002" s="35" t="str">
        <x:v>FAIL</x:v>
      </x:c>
      <x:c r="L2002" s="35" t="str">
        <x:v>NOT_RUN</x:v>
      </x:c>
      <x:c r="M2002" s="35" t="str">
        <x:v>coverage unavailable or execution/compile failed</x:v>
      </x:c>
      <x:c r="N2002" s="35" t="str">
        <x:v>Deepseek-flash-v4/Result/Compress_16/result.json</x:v>
      </x:c>
      <x:c r="O2002" s="39" t="str">
        <x:f>IF(AND(G2002="RECORDED",ISNUMBER(H2002)),H2002,"")</x:f>
      </x:c>
      <x:c r="P2002" s="35" t="str">
        <x:v>NOT_AVAILABLE</x:v>
      </x:c>
      <x:c r="Q2002" s="35" t="str">
        <x:v>Deepseek-flash-v4/Result/Compress_16/result.json</x:v>
      </x:c>
    </x:row>
    <x:row r="2003">
      <x:c r="A2003" s="35" t="str">
        <x:v>deepseek</x:v>
      </x:c>
      <x:c r="B2003" s="35" t="str">
        <x:v>Compress</x:v>
      </x:c>
      <x:c r="C2003" s="35" t="str">
        <x:v>Round1</x:v>
      </x:c>
      <x:c r="D2003" s="35" t="str">
        <x:v>Compress_17</x:v>
      </x:c>
      <x:c r="E2003" s="35" t="str">
        <x:v>Condition</x:v>
      </x:c>
      <x:c r="F2003" s="35" t="n">
        <x:v>116</x:v>
      </x:c>
      <x:c r="G2003" s="35" t="str">
        <x:v>RECORDED</x:v>
      </x:c>
      <x:c r="H2003" s="39" t="n">
        <x:f>IF(ISNUMBER('Data'!N295),'Data'!N295*100,"")</x:f>
        <x:v>70.69</x:v>
      </x:c>
      <x:c r="I2003" s="35" t="str">
        <x:v>PASS</x:v>
      </x:c>
      <x:c r="J2003" s="35" t="str">
        <x:v>PASS</x:v>
      </x:c>
      <x:c r="K2003" s="35" t="str">
        <x:v>PASS</x:v>
      </x:c>
      <x:c r="L2003" s="35" t="str">
        <x:v>FAIL</x:v>
      </x:c>
      <x:c r="M2003" s="35" t="str">
        <x:v>numeric coverage for applicable metric</x:v>
      </x:c>
      <x:c r="N2003" s="35" t="str">
        <x:v>Deepseek-flash-v4/Result/Compress_17/result.json</x:v>
      </x:c>
      <x:c r="O2003" s="39" t="n">
        <x:f>IF(AND(G2003="RECORDED",ISNUMBER(H2003)),H2003,"")</x:f>
        <x:v>70.69</x:v>
      </x:c>
      <x:c r="P2003" s="35" t="str">
        <x:v>INCONCLUSIVE</x:v>
      </x:c>
      <x:c r="Q2003" s="35" t="str">
        <x:v>Deepseek-flash-v4/Result/Compress_17/result.json</x:v>
      </x:c>
    </x:row>
    <x:row r="2004">
      <x:c r="A2004" s="35" t="str">
        <x:v>deepseek</x:v>
      </x:c>
      <x:c r="B2004" s="35" t="str">
        <x:v>Compress</x:v>
      </x:c>
      <x:c r="C2004" s="35" t="str">
        <x:v>Round1</x:v>
      </x:c>
      <x:c r="D2004" s="35" t="str">
        <x:v>Compress_18</x:v>
      </x:c>
      <x:c r="E2004" s="35" t="str">
        <x:v>Condition</x:v>
      </x:c>
      <x:c r="F2004" s="35"/>
      <x:c r="G2004" s="35" t="str">
        <x:v>A</x:v>
      </x:c>
      <x:c r="H2004" s="39" t="str">
        <x:f>IF(ISNUMBER('Data'!N296),'Data'!N296*100,"")</x:f>
      </x:c>
      <x:c r="I2004" s="35"/>
      <x:c r="J2004" s="35" t="str">
        <x:v>PASS</x:v>
      </x:c>
      <x:c r="K2004" s="35" t="str">
        <x:v>FAIL</x:v>
      </x:c>
      <x:c r="L2004" s="35" t="str">
        <x:v>NOT_RUN</x:v>
      </x:c>
      <x:c r="M2004" s="35" t="str">
        <x:v>coverage unavailable or execution/compile failed</x:v>
      </x:c>
      <x:c r="N2004" s="35" t="str">
        <x:v>Deepseek-flash-v4/Result/Compress_18/result.json</x:v>
      </x:c>
      <x:c r="O2004" s="39" t="str">
        <x:f>IF(AND(G2004="RECORDED",ISNUMBER(H2004)),H2004,"")</x:f>
      </x:c>
      <x:c r="P2004" s="35" t="str">
        <x:v>NOT_AVAILABLE</x:v>
      </x:c>
      <x:c r="Q2004" s="35" t="str">
        <x:v>Deepseek-flash-v4/Result/Compress_18/result.json</x:v>
      </x:c>
    </x:row>
    <x:row r="2005">
      <x:c r="A2005" s="35" t="str">
        <x:v>deepseek</x:v>
      </x:c>
      <x:c r="B2005" s="35" t="str">
        <x:v>Compress</x:v>
      </x:c>
      <x:c r="C2005" s="35" t="str">
        <x:v>Round1</x:v>
      </x:c>
      <x:c r="D2005" s="35" t="str">
        <x:v>Compress_19</x:v>
      </x:c>
      <x:c r="E2005" s="35" t="str">
        <x:v>Condition</x:v>
      </x:c>
      <x:c r="F2005" s="35"/>
      <x:c r="G2005" s="35" t="str">
        <x:v>A</x:v>
      </x:c>
      <x:c r="H2005" s="39" t="str">
        <x:f>IF(ISNUMBER('Data'!N297),'Data'!N297*100,"")</x:f>
      </x:c>
      <x:c r="I2005" s="35"/>
      <x:c r="J2005" s="35" t="str">
        <x:v>PASS</x:v>
      </x:c>
      <x:c r="K2005" s="35" t="str">
        <x:v>FAIL</x:v>
      </x:c>
      <x:c r="L2005" s="35" t="str">
        <x:v>NOT_RUN</x:v>
      </x:c>
      <x:c r="M2005" s="35" t="str">
        <x:v>coverage unavailable or execution/compile failed</x:v>
      </x:c>
      <x:c r="N2005" s="35" t="str">
        <x:v>Deepseek-flash-v4/Result/Compress_19/result.json</x:v>
      </x:c>
      <x:c r="O2005" s="39" t="str">
        <x:f>IF(AND(G2005="RECORDED",ISNUMBER(H2005)),H2005,"")</x:f>
      </x:c>
      <x:c r="P2005" s="35" t="str">
        <x:v>NOT_AVAILABLE</x:v>
      </x:c>
      <x:c r="Q2005" s="35" t="str">
        <x:v>Deepseek-flash-v4/Result/Compress_19/result.json</x:v>
      </x:c>
    </x:row>
    <x:row r="2006">
      <x:c r="A2006" s="35" t="str">
        <x:v>deepseek</x:v>
      </x:c>
      <x:c r="B2006" s="35" t="str">
        <x:v>Compress</x:v>
      </x:c>
      <x:c r="C2006" s="35" t="str">
        <x:v>Round1</x:v>
      </x:c>
      <x:c r="D2006" s="35" t="str">
        <x:v>Compress_2</x:v>
      </x:c>
      <x:c r="E2006" s="35" t="str">
        <x:v>Condition</x:v>
      </x:c>
      <x:c r="F2006" s="35"/>
      <x:c r="G2006" s="35" t="str">
        <x:v>A</x:v>
      </x:c>
      <x:c r="H2006" s="39" t="str">
        <x:f>IF(ISNUMBER('Data'!N298),'Data'!N298*100,"")</x:f>
      </x:c>
      <x:c r="I2006" s="35"/>
      <x:c r="J2006" s="35" t="str">
        <x:v>PASS</x:v>
      </x:c>
      <x:c r="K2006" s="35" t="str">
        <x:v>FAIL</x:v>
      </x:c>
      <x:c r="L2006" s="35" t="str">
        <x:v>NOT_RUN</x:v>
      </x:c>
      <x:c r="M2006" s="35" t="str">
        <x:v>coverage unavailable or execution/compile failed</x:v>
      </x:c>
      <x:c r="N2006" s="35" t="str">
        <x:v>Deepseek-flash-v4/Result/Compress_2/result.json</x:v>
      </x:c>
      <x:c r="O2006" s="39" t="str">
        <x:f>IF(AND(G2006="RECORDED",ISNUMBER(H2006)),H2006,"")</x:f>
      </x:c>
      <x:c r="P2006" s="35" t="str">
        <x:v>NOT_AVAILABLE</x:v>
      </x:c>
      <x:c r="Q2006" s="35" t="str">
        <x:v>Deepseek-flash-v4/Result/Compress_2/result.json</x:v>
      </x:c>
    </x:row>
    <x:row r="2007">
      <x:c r="A2007" s="35" t="str">
        <x:v>deepseek</x:v>
      </x:c>
      <x:c r="B2007" s="35" t="str">
        <x:v>Compress</x:v>
      </x:c>
      <x:c r="C2007" s="35" t="str">
        <x:v>Round1</x:v>
      </x:c>
      <x:c r="D2007" s="35" t="str">
        <x:v>Compress_20</x:v>
      </x:c>
      <x:c r="E2007" s="35" t="str">
        <x:v>Condition</x:v>
      </x:c>
      <x:c r="F2007" s="35" t="n">
        <x:v>114</x:v>
      </x:c>
      <x:c r="G2007" s="35" t="str">
        <x:v>RECORDED</x:v>
      </x:c>
      <x:c r="H2007" s="39" t="n">
        <x:f>IF(ISNUMBER('Data'!N299),'Data'!N299*100,"")</x:f>
        <x:v>28.95</x:v>
      </x:c>
      <x:c r="I2007" s="35" t="str">
        <x:v>PASS</x:v>
      </x:c>
      <x:c r="J2007" s="35" t="str">
        <x:v>PASS</x:v>
      </x:c>
      <x:c r="K2007" s="35" t="str">
        <x:v>PASS</x:v>
      </x:c>
      <x:c r="L2007" s="35" t="str">
        <x:v>FAIL</x:v>
      </x:c>
      <x:c r="M2007" s="35" t="str">
        <x:v>numeric coverage for applicable metric</x:v>
      </x:c>
      <x:c r="N2007" s="35" t="str">
        <x:v>Deepseek-flash-v4/Result/Compress_20/result.json</x:v>
      </x:c>
      <x:c r="O2007" s="39" t="n">
        <x:f>IF(AND(G2007="RECORDED",ISNUMBER(H2007)),H2007,"")</x:f>
        <x:v>28.95</x:v>
      </x:c>
      <x:c r="P2007" s="35" t="str">
        <x:v>INCONCLUSIVE</x:v>
      </x:c>
      <x:c r="Q2007" s="35" t="str">
        <x:v>Deepseek-flash-v4/Result/Compress_20/result.json</x:v>
      </x:c>
    </x:row>
    <x:row r="2008">
      <x:c r="A2008" s="35" t="str">
        <x:v>deepseek</x:v>
      </x:c>
      <x:c r="B2008" s="35" t="str">
        <x:v>Compress</x:v>
      </x:c>
      <x:c r="C2008" s="35" t="str">
        <x:v>Round1</x:v>
      </x:c>
      <x:c r="D2008" s="35" t="str">
        <x:v>Compress_21</x:v>
      </x:c>
      <x:c r="E2008" s="35" t="str">
        <x:v>Condition</x:v>
      </x:c>
      <x:c r="F2008" s="35" t="n">
        <x:v>136</x:v>
      </x:c>
      <x:c r="G2008" s="35" t="str">
        <x:v>RECORDED</x:v>
      </x:c>
      <x:c r="H2008" s="39" t="n">
        <x:f>IF(ISNUMBER('Data'!N300),'Data'!N300*100,"")</x:f>
        <x:v>59.56</x:v>
      </x:c>
      <x:c r="I2008" s="35" t="str">
        <x:v>PASS</x:v>
      </x:c>
      <x:c r="J2008" s="35" t="str">
        <x:v>PASS</x:v>
      </x:c>
      <x:c r="K2008" s="35" t="str">
        <x:v>PASS</x:v>
      </x:c>
      <x:c r="L2008" s="35" t="str">
        <x:v>FAIL</x:v>
      </x:c>
      <x:c r="M2008" s="35" t="str">
        <x:v>numeric coverage for applicable metric</x:v>
      </x:c>
      <x:c r="N2008" s="35" t="str">
        <x:v>Deepseek-flash-v4/Result/Compress_21/result.json</x:v>
      </x:c>
      <x:c r="O2008" s="39" t="n">
        <x:f>IF(AND(G2008="RECORDED",ISNUMBER(H2008)),H2008,"")</x:f>
        <x:v>59.56</x:v>
      </x:c>
      <x:c r="P2008" s="35" t="str">
        <x:v>INCONCLUSIVE</x:v>
      </x:c>
      <x:c r="Q2008" s="35" t="str">
        <x:v>Deepseek-flash-v4/Result/Compress_21/result.json</x:v>
      </x:c>
    </x:row>
    <x:row r="2009">
      <x:c r="A2009" s="35" t="str">
        <x:v>deepseek</x:v>
      </x:c>
      <x:c r="B2009" s="35" t="str">
        <x:v>Compress</x:v>
      </x:c>
      <x:c r="C2009" s="35" t="str">
        <x:v>Round1</x:v>
      </x:c>
      <x:c r="D2009" s="35" t="str">
        <x:v>Compress_22</x:v>
      </x:c>
      <x:c r="E2009" s="35" t="str">
        <x:v>Condition</x:v>
      </x:c>
      <x:c r="F2009" s="35"/>
      <x:c r="G2009" s="35" t="str">
        <x:v>A</x:v>
      </x:c>
      <x:c r="H2009" s="39" t="str">
        <x:f>IF(ISNUMBER('Data'!N301),'Data'!N301*100,"")</x:f>
      </x:c>
      <x:c r="I2009" s="35"/>
      <x:c r="J2009" s="35" t="str">
        <x:v>PASS</x:v>
      </x:c>
      <x:c r="K2009" s="35" t="str">
        <x:v>FAIL</x:v>
      </x:c>
      <x:c r="L2009" s="35" t="str">
        <x:v>NOT_RUN</x:v>
      </x:c>
      <x:c r="M2009" s="35" t="str">
        <x:v>coverage unavailable or execution/compile failed</x:v>
      </x:c>
      <x:c r="N2009" s="35" t="str">
        <x:v>Deepseek-flash-v4/Result/Compress_22/result.json</x:v>
      </x:c>
      <x:c r="O2009" s="39" t="str">
        <x:f>IF(AND(G2009="RECORDED",ISNUMBER(H2009)),H2009,"")</x:f>
      </x:c>
      <x:c r="P2009" s="35" t="str">
        <x:v>NOT_AVAILABLE</x:v>
      </x:c>
      <x:c r="Q2009" s="35" t="str">
        <x:v>Deepseek-flash-v4/Result/Compress_22/result.json</x:v>
      </x:c>
    </x:row>
    <x:row r="2010">
      <x:c r="A2010" s="35" t="str">
        <x:v>deepseek</x:v>
      </x:c>
      <x:c r="B2010" s="35" t="str">
        <x:v>Compress</x:v>
      </x:c>
      <x:c r="C2010" s="35" t="str">
        <x:v>Round1</x:v>
      </x:c>
      <x:c r="D2010" s="35" t="str">
        <x:v>Compress_23</x:v>
      </x:c>
      <x:c r="E2010" s="35" t="str">
        <x:v>Condition</x:v>
      </x:c>
      <x:c r="F2010" s="35"/>
      <x:c r="G2010" s="35" t="str">
        <x:v>A</x:v>
      </x:c>
      <x:c r="H2010" s="39" t="str">
        <x:f>IF(ISNUMBER('Data'!N302),'Data'!N302*100,"")</x:f>
      </x:c>
      <x:c r="I2010" s="35"/>
      <x:c r="J2010" s="35" t="str">
        <x:v>PASS</x:v>
      </x:c>
      <x:c r="K2010" s="35" t="str">
        <x:v>FAIL</x:v>
      </x:c>
      <x:c r="L2010" s="35" t="str">
        <x:v>NOT_RUN</x:v>
      </x:c>
      <x:c r="M2010" s="35" t="str">
        <x:v>coverage unavailable or execution/compile failed</x:v>
      </x:c>
      <x:c r="N2010" s="35" t="str">
        <x:v>Deepseek-flash-v4/Result/Compress_23/result.json</x:v>
      </x:c>
      <x:c r="O2010" s="39" t="str">
        <x:f>IF(AND(G2010="RECORDED",ISNUMBER(H2010)),H2010,"")</x:f>
      </x:c>
      <x:c r="P2010" s="35" t="str">
        <x:v>NOT_AVAILABLE</x:v>
      </x:c>
      <x:c r="Q2010" s="35" t="str">
        <x:v>Deepseek-flash-v4/Result/Compress_23/result.json</x:v>
      </x:c>
    </x:row>
    <x:row r="2011">
      <x:c r="A2011" s="35" t="str">
        <x:v>deepseek</x:v>
      </x:c>
      <x:c r="B2011" s="35" t="str">
        <x:v>Compress</x:v>
      </x:c>
      <x:c r="C2011" s="35" t="str">
        <x:v>Round1</x:v>
      </x:c>
      <x:c r="D2011" s="35" t="str">
        <x:v>Compress_24</x:v>
      </x:c>
      <x:c r="E2011" s="35" t="str">
        <x:v>Condition</x:v>
      </x:c>
      <x:c r="F2011" s="35" t="n">
        <x:v>118</x:v>
      </x:c>
      <x:c r="G2011" s="35" t="str">
        <x:v>RECORDED</x:v>
      </x:c>
      <x:c r="H2011" s="39" t="n">
        <x:f>IF(ISNUMBER('Data'!N303),'Data'!N303*100,"")</x:f>
        <x:v>63.56</x:v>
      </x:c>
      <x:c r="I2011" s="35" t="str">
        <x:v>PASS</x:v>
      </x:c>
      <x:c r="J2011" s="35" t="str">
        <x:v>PASS</x:v>
      </x:c>
      <x:c r="K2011" s="35" t="str">
        <x:v>PASS</x:v>
      </x:c>
      <x:c r="L2011" s="35" t="str">
        <x:v>FAIL</x:v>
      </x:c>
      <x:c r="M2011" s="35" t="str">
        <x:v>numeric coverage for applicable metric</x:v>
      </x:c>
      <x:c r="N2011" s="35" t="str">
        <x:v>Deepseek-flash-v4/Result/Compress_24/result.json</x:v>
      </x:c>
      <x:c r="O2011" s="39" t="n">
        <x:f>IF(AND(G2011="RECORDED",ISNUMBER(H2011)),H2011,"")</x:f>
        <x:v>63.56</x:v>
      </x:c>
      <x:c r="P2011" s="35" t="str">
        <x:v>INCONCLUSIVE</x:v>
      </x:c>
      <x:c r="Q2011" s="35" t="str">
        <x:v>Deepseek-flash-v4/Result/Compress_24/result.json</x:v>
      </x:c>
    </x:row>
    <x:row r="2012">
      <x:c r="A2012" s="35" t="str">
        <x:v>deepseek</x:v>
      </x:c>
      <x:c r="B2012" s="35" t="str">
        <x:v>Compress</x:v>
      </x:c>
      <x:c r="C2012" s="35" t="str">
        <x:v>Round1</x:v>
      </x:c>
      <x:c r="D2012" s="35" t="str">
        <x:v>Compress_25</x:v>
      </x:c>
      <x:c r="E2012" s="35" t="str">
        <x:v>Condition</x:v>
      </x:c>
      <x:c r="F2012" s="35"/>
      <x:c r="G2012" s="35" t="str">
        <x:v>A</x:v>
      </x:c>
      <x:c r="H2012" s="39" t="str">
        <x:f>IF(ISNUMBER('Data'!N304),'Data'!N304*100,"")</x:f>
      </x:c>
      <x:c r="I2012" s="35"/>
      <x:c r="J2012" s="35" t="str">
        <x:v>PASS</x:v>
      </x:c>
      <x:c r="K2012" s="35" t="str">
        <x:v>FAIL</x:v>
      </x:c>
      <x:c r="L2012" s="35" t="str">
        <x:v>NOT_RUN</x:v>
      </x:c>
      <x:c r="M2012" s="35" t="str">
        <x:v>coverage unavailable or execution/compile failed</x:v>
      </x:c>
      <x:c r="N2012" s="35" t="str">
        <x:v>Deepseek-flash-v4/Result/Compress_25/result.json</x:v>
      </x:c>
      <x:c r="O2012" s="39" t="str">
        <x:f>IF(AND(G2012="RECORDED",ISNUMBER(H2012)),H2012,"")</x:f>
      </x:c>
      <x:c r="P2012" s="35" t="str">
        <x:v>NOT_AVAILABLE</x:v>
      </x:c>
      <x:c r="Q2012" s="35" t="str">
        <x:v>Deepseek-flash-v4/Result/Compress_25/result.json</x:v>
      </x:c>
    </x:row>
    <x:row r="2013">
      <x:c r="A2013" s="35" t="str">
        <x:v>deepseek</x:v>
      </x:c>
      <x:c r="B2013" s="35" t="str">
        <x:v>Compress</x:v>
      </x:c>
      <x:c r="C2013" s="35" t="str">
        <x:v>Round1</x:v>
      </x:c>
      <x:c r="D2013" s="35" t="str">
        <x:v>Compress_26</x:v>
      </x:c>
      <x:c r="E2013" s="35" t="str">
        <x:v>Condition</x:v>
      </x:c>
      <x:c r="F2013" s="35"/>
      <x:c r="G2013" s="35" t="str">
        <x:v>A</x:v>
      </x:c>
      <x:c r="H2013" s="39" t="str">
        <x:f>IF(ISNUMBER('Data'!N305),'Data'!N305*100,"")</x:f>
      </x:c>
      <x:c r="I2013" s="35"/>
      <x:c r="J2013" s="35" t="str">
        <x:v>PASS</x:v>
      </x:c>
      <x:c r="K2013" s="35" t="str">
        <x:v>PASS</x:v>
      </x:c>
      <x:c r="L2013" s="35" t="str">
        <x:v>NOT_RUN</x:v>
      </x:c>
      <x:c r="M2013" s="35" t="str">
        <x:v>coverage unavailable or execution/compile failed</x:v>
      </x:c>
      <x:c r="N2013" s="35" t="str">
        <x:v>Deepseek-flash-v4/Result/Compress_26/result.json</x:v>
      </x:c>
      <x:c r="O2013" s="39" t="str">
        <x:f>IF(AND(G2013="RECORDED",ISNUMBER(H2013)),H2013,"")</x:f>
      </x:c>
      <x:c r="P2013" s="35" t="str">
        <x:v>NOT_AVAILABLE</x:v>
      </x:c>
      <x:c r="Q2013" s="35" t="str">
        <x:v>Deepseek-flash-v4/Result/Compress_26/result.json</x:v>
      </x:c>
    </x:row>
    <x:row r="2014">
      <x:c r="A2014" s="35" t="str">
        <x:v>deepseek</x:v>
      </x:c>
      <x:c r="B2014" s="35" t="str">
        <x:v>Compress</x:v>
      </x:c>
      <x:c r="C2014" s="35" t="str">
        <x:v>Round1</x:v>
      </x:c>
      <x:c r="D2014" s="35" t="str">
        <x:v>Compress_27</x:v>
      </x:c>
      <x:c r="E2014" s="35" t="str">
        <x:v>Condition</x:v>
      </x:c>
      <x:c r="F2014" s="35"/>
      <x:c r="G2014" s="35" t="str">
        <x:v>A</x:v>
      </x:c>
      <x:c r="H2014" s="39" t="str">
        <x:f>IF(ISNUMBER('Data'!N306),'Data'!N306*100,"")</x:f>
      </x:c>
      <x:c r="I2014" s="35"/>
      <x:c r="J2014" s="35" t="str">
        <x:v>PASS</x:v>
      </x:c>
      <x:c r="K2014" s="35" t="str">
        <x:v>FAIL</x:v>
      </x:c>
      <x:c r="L2014" s="35" t="str">
        <x:v>NOT_RUN</x:v>
      </x:c>
      <x:c r="M2014" s="35" t="str">
        <x:v>coverage unavailable or execution/compile failed</x:v>
      </x:c>
      <x:c r="N2014" s="35" t="str">
        <x:v>Deepseek-flash-v4/Result/Compress_27/result.json</x:v>
      </x:c>
      <x:c r="O2014" s="39" t="str">
        <x:f>IF(AND(G2014="RECORDED",ISNUMBER(H2014)),H2014,"")</x:f>
      </x:c>
      <x:c r="P2014" s="35" t="str">
        <x:v>NOT_AVAILABLE</x:v>
      </x:c>
      <x:c r="Q2014" s="35" t="str">
        <x:v>Deepseek-flash-v4/Result/Compress_27/result.json</x:v>
      </x:c>
    </x:row>
    <x:row r="2015">
      <x:c r="A2015" s="35" t="str">
        <x:v>deepseek</x:v>
      </x:c>
      <x:c r="B2015" s="35" t="str">
        <x:v>Compress</x:v>
      </x:c>
      <x:c r="C2015" s="35" t="str">
        <x:v>Round1</x:v>
      </x:c>
      <x:c r="D2015" s="35" t="str">
        <x:v>Compress_28</x:v>
      </x:c>
      <x:c r="E2015" s="35" t="str">
        <x:v>Condition</x:v>
      </x:c>
      <x:c r="F2015" s="35"/>
      <x:c r="G2015" s="35" t="str">
        <x:v>A</x:v>
      </x:c>
      <x:c r="H2015" s="39" t="str">
        <x:f>IF(ISNUMBER('Data'!N307),'Data'!N307*100,"")</x:f>
      </x:c>
      <x:c r="I2015" s="35"/>
      <x:c r="J2015" s="35" t="str">
        <x:v>PASS</x:v>
      </x:c>
      <x:c r="K2015" s="35" t="str">
        <x:v>FAIL</x:v>
      </x:c>
      <x:c r="L2015" s="35" t="str">
        <x:v>NOT_RUN</x:v>
      </x:c>
      <x:c r="M2015" s="35" t="str">
        <x:v>coverage unavailable or execution/compile failed</x:v>
      </x:c>
      <x:c r="N2015" s="35" t="str">
        <x:v>Deepseek-flash-v4/Result/Compress_28/result.json</x:v>
      </x:c>
      <x:c r="O2015" s="39" t="str">
        <x:f>IF(AND(G2015="RECORDED",ISNUMBER(H2015)),H2015,"")</x:f>
      </x:c>
      <x:c r="P2015" s="35" t="str">
        <x:v>NOT_AVAILABLE</x:v>
      </x:c>
      <x:c r="Q2015" s="35" t="str">
        <x:v>Deepseek-flash-v4/Result/Compress_28/result.json</x:v>
      </x:c>
    </x:row>
    <x:row r="2016">
      <x:c r="A2016" s="35" t="str">
        <x:v>deepseek</x:v>
      </x:c>
      <x:c r="B2016" s="35" t="str">
        <x:v>Compress</x:v>
      </x:c>
      <x:c r="C2016" s="35" t="str">
        <x:v>Round1</x:v>
      </x:c>
      <x:c r="D2016" s="35" t="str">
        <x:v>Compress_29</x:v>
      </x:c>
      <x:c r="E2016" s="35" t="str">
        <x:v>Condition</x:v>
      </x:c>
      <x:c r="F2016" s="35"/>
      <x:c r="G2016" s="35" t="str">
        <x:v>A</x:v>
      </x:c>
      <x:c r="H2016" s="39" t="str">
        <x:f>IF(ISNUMBER('Data'!N308),'Data'!N308*100,"")</x:f>
      </x:c>
      <x:c r="I2016" s="35"/>
      <x:c r="J2016" s="35" t="str">
        <x:v>PASS</x:v>
      </x:c>
      <x:c r="K2016" s="35" t="str">
        <x:v>FAIL</x:v>
      </x:c>
      <x:c r="L2016" s="35" t="str">
        <x:v>NOT_RUN</x:v>
      </x:c>
      <x:c r="M2016" s="35" t="str">
        <x:v>coverage unavailable or execution/compile failed</x:v>
      </x:c>
      <x:c r="N2016" s="35" t="str">
        <x:v>Deepseek-flash-v4/Result/Compress_29/result.json</x:v>
      </x:c>
      <x:c r="O2016" s="39" t="str">
        <x:f>IF(AND(G2016="RECORDED",ISNUMBER(H2016)),H2016,"")</x:f>
      </x:c>
      <x:c r="P2016" s="35" t="str">
        <x:v>NOT_AVAILABLE</x:v>
      </x:c>
      <x:c r="Q2016" s="35" t="str">
        <x:v>Deepseek-flash-v4/Result/Compress_29/result.json</x:v>
      </x:c>
    </x:row>
    <x:row r="2017">
      <x:c r="A2017" s="35" t="str">
        <x:v>deepseek</x:v>
      </x:c>
      <x:c r="B2017" s="35" t="str">
        <x:v>Compress</x:v>
      </x:c>
      <x:c r="C2017" s="35" t="str">
        <x:v>Round1</x:v>
      </x:c>
      <x:c r="D2017" s="35" t="str">
        <x:v>Compress_3</x:v>
      </x:c>
      <x:c r="E2017" s="35" t="str">
        <x:v>Condition</x:v>
      </x:c>
      <x:c r="F2017" s="35"/>
      <x:c r="G2017" s="35" t="str">
        <x:v>A</x:v>
      </x:c>
      <x:c r="H2017" s="39" t="str">
        <x:f>IF(ISNUMBER('Data'!N309),'Data'!N309*100,"")</x:f>
      </x:c>
      <x:c r="I2017" s="35"/>
      <x:c r="J2017" s="35" t="str">
        <x:v>PASS</x:v>
      </x:c>
      <x:c r="K2017" s="35" t="str">
        <x:v>FAIL</x:v>
      </x:c>
      <x:c r="L2017" s="35" t="str">
        <x:v>NOT_RUN</x:v>
      </x:c>
      <x:c r="M2017" s="35" t="str">
        <x:v>coverage unavailable or execution/compile failed</x:v>
      </x:c>
      <x:c r="N2017" s="35" t="str">
        <x:v>Deepseek-flash-v4/Result/Compress_3/result.json</x:v>
      </x:c>
      <x:c r="O2017" s="39" t="str">
        <x:f>IF(AND(G2017="RECORDED",ISNUMBER(H2017)),H2017,"")</x:f>
      </x:c>
      <x:c r="P2017" s="35" t="str">
        <x:v>NOT_AVAILABLE</x:v>
      </x:c>
      <x:c r="Q2017" s="35" t="str">
        <x:v>Deepseek-flash-v4/Result/Compress_3/result.json</x:v>
      </x:c>
    </x:row>
    <x:row r="2018">
      <x:c r="A2018" s="35" t="str">
        <x:v>deepseek</x:v>
      </x:c>
      <x:c r="B2018" s="35" t="str">
        <x:v>Compress</x:v>
      </x:c>
      <x:c r="C2018" s="35" t="str">
        <x:v>Round1</x:v>
      </x:c>
      <x:c r="D2018" s="35" t="str">
        <x:v>Compress_30</x:v>
      </x:c>
      <x:c r="E2018" s="35" t="str">
        <x:v>Condition</x:v>
      </x:c>
      <x:c r="F2018" s="35" t="n">
        <x:v>265</x:v>
      </x:c>
      <x:c r="G2018" s="35" t="str">
        <x:v>RECORDED</x:v>
      </x:c>
      <x:c r="H2018" s="39" t="n">
        <x:f>IF(ISNUMBER('Data'!N310),'Data'!N310*100,"")</x:f>
        <x:v>7.17</x:v>
      </x:c>
      <x:c r="I2018" s="35" t="str">
        <x:v>PASS</x:v>
      </x:c>
      <x:c r="J2018" s="35" t="str">
        <x:v>PASS</x:v>
      </x:c>
      <x:c r="K2018" s="35" t="str">
        <x:v>PASS</x:v>
      </x:c>
      <x:c r="L2018" s="35" t="str">
        <x:v>FAIL</x:v>
      </x:c>
      <x:c r="M2018" s="35" t="str">
        <x:v>numeric coverage for applicable metric</x:v>
      </x:c>
      <x:c r="N2018" s="35" t="str">
        <x:v>Deepseek-flash-v4/Result/Compress_30/result.json</x:v>
      </x:c>
      <x:c r="O2018" s="39" t="n">
        <x:f>IF(AND(G2018="RECORDED",ISNUMBER(H2018)),H2018,"")</x:f>
        <x:v>7.17</x:v>
      </x:c>
      <x:c r="P2018" s="35" t="str">
        <x:v>INCONCLUSIVE</x:v>
      </x:c>
      <x:c r="Q2018" s="35" t="str">
        <x:v>Deepseek-flash-v4/Result/Compress_30/result.json</x:v>
      </x:c>
    </x:row>
    <x:row r="2019">
      <x:c r="A2019" s="35" t="str">
        <x:v>deepseek</x:v>
      </x:c>
      <x:c r="B2019" s="35" t="str">
        <x:v>Compress</x:v>
      </x:c>
      <x:c r="C2019" s="35" t="str">
        <x:v>Round1</x:v>
      </x:c>
      <x:c r="D2019" s="35" t="str">
        <x:v>Compress_31</x:v>
      </x:c>
      <x:c r="E2019" s="35" t="str">
        <x:v>Condition</x:v>
      </x:c>
      <x:c r="F2019" s="35" t="n">
        <x:v>116</x:v>
      </x:c>
      <x:c r="G2019" s="35" t="str">
        <x:v>RECORDED</x:v>
      </x:c>
      <x:c r="H2019" s="39" t="n">
        <x:f>IF(ISNUMBER('Data'!N311),'Data'!N311*100,"")</x:f>
        <x:v>62.93</x:v>
      </x:c>
      <x:c r="I2019" s="35" t="str">
        <x:v>PASS</x:v>
      </x:c>
      <x:c r="J2019" s="35" t="str">
        <x:v>PASS</x:v>
      </x:c>
      <x:c r="K2019" s="35" t="str">
        <x:v>PASS</x:v>
      </x:c>
      <x:c r="L2019" s="35" t="str">
        <x:v>FAIL</x:v>
      </x:c>
      <x:c r="M2019" s="35" t="str">
        <x:v>numeric coverage for applicable metric</x:v>
      </x:c>
      <x:c r="N2019" s="35" t="str">
        <x:v>Deepseek-flash-v4/Result/Compress_31/result.json</x:v>
      </x:c>
      <x:c r="O2019" s="39" t="n">
        <x:f>IF(AND(G2019="RECORDED",ISNUMBER(H2019)),H2019,"")</x:f>
        <x:v>62.93</x:v>
      </x:c>
      <x:c r="P2019" s="35" t="str">
        <x:v>INCONCLUSIVE</x:v>
      </x:c>
      <x:c r="Q2019" s="35" t="str">
        <x:v>Deepseek-flash-v4/Result/Compress_31/result.json</x:v>
      </x:c>
    </x:row>
    <x:row r="2020">
      <x:c r="A2020" s="35" t="str">
        <x:v>deepseek</x:v>
      </x:c>
      <x:c r="B2020" s="35" t="str">
        <x:v>Compress</x:v>
      </x:c>
      <x:c r="C2020" s="35" t="str">
        <x:v>Round1</x:v>
      </x:c>
      <x:c r="D2020" s="35" t="str">
        <x:v>Compress_32</x:v>
      </x:c>
      <x:c r="E2020" s="35" t="str">
        <x:v>Condition</x:v>
      </x:c>
      <x:c r="F2020" s="35" t="n">
        <x:v>126</x:v>
      </x:c>
      <x:c r="G2020" s="35" t="str">
        <x:v>RECORDED</x:v>
      </x:c>
      <x:c r="H2020" s="39" t="n">
        <x:f>IF(ISNUMBER('Data'!N312),'Data'!N312*100,"")</x:f>
        <x:v>30.159999999999997</x:v>
      </x:c>
      <x:c r="I2020" s="35" t="str">
        <x:v>PASS</x:v>
      </x:c>
      <x:c r="J2020" s="35" t="str">
        <x:v>PASS</x:v>
      </x:c>
      <x:c r="K2020" s="35" t="str">
        <x:v>PASS</x:v>
      </x:c>
      <x:c r="L2020" s="35" t="str">
        <x:v>FAIL</x:v>
      </x:c>
      <x:c r="M2020" s="35" t="str">
        <x:v>numeric coverage for applicable metric</x:v>
      </x:c>
      <x:c r="N2020" s="35" t="str">
        <x:v>Deepseek-flash-v4/Result/Compress_32/result.json</x:v>
      </x:c>
      <x:c r="O2020" s="39" t="n">
        <x:f>IF(AND(G2020="RECORDED",ISNUMBER(H2020)),H2020,"")</x:f>
        <x:v>30.159999999999997</x:v>
      </x:c>
      <x:c r="P2020" s="35" t="str">
        <x:v>INCONCLUSIVE</x:v>
      </x:c>
      <x:c r="Q2020" s="35" t="str">
        <x:v>Deepseek-flash-v4/Result/Compress_32/result.json</x:v>
      </x:c>
    </x:row>
    <x:row r="2021">
      <x:c r="A2021" s="35" t="str">
        <x:v>deepseek</x:v>
      </x:c>
      <x:c r="B2021" s="35" t="str">
        <x:v>Compress</x:v>
      </x:c>
      <x:c r="C2021" s="35" t="str">
        <x:v>Round1</x:v>
      </x:c>
      <x:c r="D2021" s="35" t="str">
        <x:v>Compress_33</x:v>
      </x:c>
      <x:c r="E2021" s="35" t="str">
        <x:v>Condition</x:v>
      </x:c>
      <x:c r="F2021" s="35"/>
      <x:c r="G2021" s="35" t="str">
        <x:v>A</x:v>
      </x:c>
      <x:c r="H2021" s="39" t="str">
        <x:f>IF(ISNUMBER('Data'!N313),'Data'!N313*100,"")</x:f>
      </x:c>
      <x:c r="I2021" s="35"/>
      <x:c r="J2021" s="35" t="str">
        <x:v>PASS</x:v>
      </x:c>
      <x:c r="K2021" s="35" t="str">
        <x:v>FAIL</x:v>
      </x:c>
      <x:c r="L2021" s="35" t="str">
        <x:v>NOT_RUN</x:v>
      </x:c>
      <x:c r="M2021" s="35" t="str">
        <x:v>coverage unavailable or execution/compile failed</x:v>
      </x:c>
      <x:c r="N2021" s="35" t="str">
        <x:v>Deepseek-flash-v4/Result/Compress_33/result.json</x:v>
      </x:c>
      <x:c r="O2021" s="39" t="str">
        <x:f>IF(AND(G2021="RECORDED",ISNUMBER(H2021)),H2021,"")</x:f>
      </x:c>
      <x:c r="P2021" s="35" t="str">
        <x:v>NOT_AVAILABLE</x:v>
      </x:c>
      <x:c r="Q2021" s="35" t="str">
        <x:v>Deepseek-flash-v4/Result/Compress_33/result.json</x:v>
      </x:c>
    </x:row>
    <x:row r="2022">
      <x:c r="A2022" s="35" t="str">
        <x:v>deepseek</x:v>
      </x:c>
      <x:c r="B2022" s="35" t="str">
        <x:v>Compress</x:v>
      </x:c>
      <x:c r="C2022" s="35" t="str">
        <x:v>Round1</x:v>
      </x:c>
      <x:c r="D2022" s="35" t="str">
        <x:v>Compress_34</x:v>
      </x:c>
      <x:c r="E2022" s="35" t="str">
        <x:v>Condition</x:v>
      </x:c>
      <x:c r="F2022" s="35"/>
      <x:c r="G2022" s="35" t="str">
        <x:v>A</x:v>
      </x:c>
      <x:c r="H2022" s="39" t="str">
        <x:f>IF(ISNUMBER('Data'!N314),'Data'!N314*100,"")</x:f>
      </x:c>
      <x:c r="I2022" s="35"/>
      <x:c r="J2022" s="35" t="str">
        <x:v>PASS</x:v>
      </x:c>
      <x:c r="K2022" s="35" t="str">
        <x:v>FAIL</x:v>
      </x:c>
      <x:c r="L2022" s="35" t="str">
        <x:v>NOT_RUN</x:v>
      </x:c>
      <x:c r="M2022" s="35" t="str">
        <x:v>coverage unavailable or execution/compile failed</x:v>
      </x:c>
      <x:c r="N2022" s="35" t="str">
        <x:v>Deepseek-flash-v4/Result/Compress_34/result.json</x:v>
      </x:c>
      <x:c r="O2022" s="39" t="str">
        <x:f>IF(AND(G2022="RECORDED",ISNUMBER(H2022)),H2022,"")</x:f>
      </x:c>
      <x:c r="P2022" s="35" t="str">
        <x:v>NOT_AVAILABLE</x:v>
      </x:c>
      <x:c r="Q2022" s="35" t="str">
        <x:v>Deepseek-flash-v4/Result/Compress_34/result.json</x:v>
      </x:c>
    </x:row>
    <x:row r="2023">
      <x:c r="A2023" s="35" t="str">
        <x:v>deepseek</x:v>
      </x:c>
      <x:c r="B2023" s="35" t="str">
        <x:v>Compress</x:v>
      </x:c>
      <x:c r="C2023" s="35" t="str">
        <x:v>Round1</x:v>
      </x:c>
      <x:c r="D2023" s="35" t="str">
        <x:v>Compress_35</x:v>
      </x:c>
      <x:c r="E2023" s="35" t="str">
        <x:v>Condition</x:v>
      </x:c>
      <x:c r="F2023" s="35"/>
      <x:c r="G2023" s="35" t="str">
        <x:v>A</x:v>
      </x:c>
      <x:c r="H2023" s="39" t="str">
        <x:f>IF(ISNUMBER('Data'!N315),'Data'!N315*100,"")</x:f>
      </x:c>
      <x:c r="I2023" s="35"/>
      <x:c r="J2023" s="35" t="str">
        <x:v>PASS</x:v>
      </x:c>
      <x:c r="K2023" s="35" t="str">
        <x:v>FAIL</x:v>
      </x:c>
      <x:c r="L2023" s="35" t="str">
        <x:v>NOT_RUN</x:v>
      </x:c>
      <x:c r="M2023" s="35" t="str">
        <x:v>coverage unavailable or execution/compile failed</x:v>
      </x:c>
      <x:c r="N2023" s="35" t="str">
        <x:v>Deepseek-flash-v4/Result/Compress_35/result.json</x:v>
      </x:c>
      <x:c r="O2023" s="39" t="str">
        <x:f>IF(AND(G2023="RECORDED",ISNUMBER(H2023)),H2023,"")</x:f>
      </x:c>
      <x:c r="P2023" s="35" t="str">
        <x:v>NOT_AVAILABLE</x:v>
      </x:c>
      <x:c r="Q2023" s="35" t="str">
        <x:v>Deepseek-flash-v4/Result/Compress_35/result.json</x:v>
      </x:c>
    </x:row>
    <x:row r="2024">
      <x:c r="A2024" s="35" t="str">
        <x:v>deepseek</x:v>
      </x:c>
      <x:c r="B2024" s="35" t="str">
        <x:v>Compress</x:v>
      </x:c>
      <x:c r="C2024" s="35" t="str">
        <x:v>Round1</x:v>
      </x:c>
      <x:c r="D2024" s="35" t="str">
        <x:v>Compress_36</x:v>
      </x:c>
      <x:c r="E2024" s="35" t="str">
        <x:v>Condition</x:v>
      </x:c>
      <x:c r="F2024" s="35" t="n">
        <x:v>303</x:v>
      </x:c>
      <x:c r="G2024" s="35" t="str">
        <x:v>RECORDED</x:v>
      </x:c>
      <x:c r="H2024" s="39" t="n">
        <x:f>IF(ISNUMBER('Data'!N316),'Data'!N316*100,"")</x:f>
        <x:v>3.3000000000000003</x:v>
      </x:c>
      <x:c r="I2024" s="35" t="str">
        <x:v>PASS</x:v>
      </x:c>
      <x:c r="J2024" s="35" t="str">
        <x:v>PASS</x:v>
      </x:c>
      <x:c r="K2024" s="35" t="str">
        <x:v>PASS</x:v>
      </x:c>
      <x:c r="L2024" s="35" t="str">
        <x:v>FAIL</x:v>
      </x:c>
      <x:c r="M2024" s="35" t="str">
        <x:v>numeric coverage for applicable metric</x:v>
      </x:c>
      <x:c r="N2024" s="35" t="str">
        <x:v>Deepseek-flash-v4/Result/Compress_36/result.json</x:v>
      </x:c>
      <x:c r="O2024" s="39" t="n">
        <x:f>IF(AND(G2024="RECORDED",ISNUMBER(H2024)),H2024,"")</x:f>
        <x:v>3.3000000000000003</x:v>
      </x:c>
      <x:c r="P2024" s="35" t="str">
        <x:v>INCONCLUSIVE</x:v>
      </x:c>
      <x:c r="Q2024" s="35" t="str">
        <x:v>Deepseek-flash-v4/Result/Compress_36/result.json</x:v>
      </x:c>
    </x:row>
    <x:row r="2025">
      <x:c r="A2025" s="35" t="str">
        <x:v>deepseek</x:v>
      </x:c>
      <x:c r="B2025" s="35" t="str">
        <x:v>Compress</x:v>
      </x:c>
      <x:c r="C2025" s="35" t="str">
        <x:v>Round1</x:v>
      </x:c>
      <x:c r="D2025" s="35" t="str">
        <x:v>Compress_37</x:v>
      </x:c>
      <x:c r="E2025" s="35" t="str">
        <x:v>Condition</x:v>
      </x:c>
      <x:c r="F2025" s="35"/>
      <x:c r="G2025" s="35" t="str">
        <x:v>A</x:v>
      </x:c>
      <x:c r="H2025" s="39" t="str">
        <x:f>IF(ISNUMBER('Data'!N317),'Data'!N317*100,"")</x:f>
      </x:c>
      <x:c r="I2025" s="35"/>
      <x:c r="J2025" s="35" t="str">
        <x:v>PASS</x:v>
      </x:c>
      <x:c r="K2025" s="35" t="str">
        <x:v>FAIL</x:v>
      </x:c>
      <x:c r="L2025" s="35" t="str">
        <x:v>NOT_RUN</x:v>
      </x:c>
      <x:c r="M2025" s="35" t="str">
        <x:v>coverage unavailable or execution/compile failed</x:v>
      </x:c>
      <x:c r="N2025" s="35" t="str">
        <x:v>Deepseek-flash-v4/Result/Compress_37/result.json</x:v>
      </x:c>
      <x:c r="O2025" s="39" t="str">
        <x:f>IF(AND(G2025="RECORDED",ISNUMBER(H2025)),H2025,"")</x:f>
      </x:c>
      <x:c r="P2025" s="35" t="str">
        <x:v>NOT_AVAILABLE</x:v>
      </x:c>
      <x:c r="Q2025" s="35" t="str">
        <x:v>Deepseek-flash-v4/Result/Compress_37/result.json</x:v>
      </x:c>
    </x:row>
    <x:row r="2026">
      <x:c r="A2026" s="35" t="str">
        <x:v>deepseek</x:v>
      </x:c>
      <x:c r="B2026" s="35" t="str">
        <x:v>Compress</x:v>
      </x:c>
      <x:c r="C2026" s="35" t="str">
        <x:v>Round1</x:v>
      </x:c>
      <x:c r="D2026" s="35" t="str">
        <x:v>Compress_38</x:v>
      </x:c>
      <x:c r="E2026" s="35" t="str">
        <x:v>Condition</x:v>
      </x:c>
      <x:c r="F2026" s="35"/>
      <x:c r="G2026" s="35" t="str">
        <x:v>A</x:v>
      </x:c>
      <x:c r="H2026" s="39" t="str">
        <x:f>IF(ISNUMBER('Data'!N318),'Data'!N318*100,"")</x:f>
      </x:c>
      <x:c r="I2026" s="35"/>
      <x:c r="J2026" s="35" t="str">
        <x:v>PASS</x:v>
      </x:c>
      <x:c r="K2026" s="35" t="str">
        <x:v>FAIL</x:v>
      </x:c>
      <x:c r="L2026" s="35" t="str">
        <x:v>NOT_RUN</x:v>
      </x:c>
      <x:c r="M2026" s="35" t="str">
        <x:v>coverage unavailable or execution/compile failed</x:v>
      </x:c>
      <x:c r="N2026" s="35" t="str">
        <x:v>Deepseek-flash-v4/Result/Compress_38/result.json</x:v>
      </x:c>
      <x:c r="O2026" s="39" t="str">
        <x:f>IF(AND(G2026="RECORDED",ISNUMBER(H2026)),H2026,"")</x:f>
      </x:c>
      <x:c r="P2026" s="35" t="str">
        <x:v>NOT_AVAILABLE</x:v>
      </x:c>
      <x:c r="Q2026" s="35" t="str">
        <x:v>Deepseek-flash-v4/Result/Compress_38/result.json</x:v>
      </x:c>
    </x:row>
    <x:row r="2027">
      <x:c r="A2027" s="35" t="str">
        <x:v>deepseek</x:v>
      </x:c>
      <x:c r="B2027" s="35" t="str">
        <x:v>Compress</x:v>
      </x:c>
      <x:c r="C2027" s="35" t="str">
        <x:v>Round1</x:v>
      </x:c>
      <x:c r="D2027" s="35" t="str">
        <x:v>Compress_39</x:v>
      </x:c>
      <x:c r="E2027" s="35" t="str">
        <x:v>Condition</x:v>
      </x:c>
      <x:c r="F2027" s="35"/>
      <x:c r="G2027" s="35" t="str">
        <x:v>A</x:v>
      </x:c>
      <x:c r="H2027" s="39" t="str">
        <x:f>IF(ISNUMBER('Data'!N319),'Data'!N319*100,"")</x:f>
      </x:c>
      <x:c r="I2027" s="35"/>
      <x:c r="J2027" s="35" t="str">
        <x:v>PASS</x:v>
      </x:c>
      <x:c r="K2027" s="35" t="str">
        <x:v>FAIL</x:v>
      </x:c>
      <x:c r="L2027" s="35" t="str">
        <x:v>NOT_RUN</x:v>
      </x:c>
      <x:c r="M2027" s="35" t="str">
        <x:v>coverage unavailable or execution/compile failed</x:v>
      </x:c>
      <x:c r="N2027" s="35" t="str">
        <x:v>Deepseek-flash-v4/Result/Compress_39/result.json</x:v>
      </x:c>
      <x:c r="O2027" s="39" t="str">
        <x:f>IF(AND(G2027="RECORDED",ISNUMBER(H2027)),H2027,"")</x:f>
      </x:c>
      <x:c r="P2027" s="35" t="str">
        <x:v>NOT_AVAILABLE</x:v>
      </x:c>
      <x:c r="Q2027" s="35" t="str">
        <x:v>Deepseek-flash-v4/Result/Compress_39/result.json</x:v>
      </x:c>
    </x:row>
    <x:row r="2028">
      <x:c r="A2028" s="35" t="str">
        <x:v>deepseek</x:v>
      </x:c>
      <x:c r="B2028" s="35" t="str">
        <x:v>Compress</x:v>
      </x:c>
      <x:c r="C2028" s="35" t="str">
        <x:v>Round1</x:v>
      </x:c>
      <x:c r="D2028" s="35" t="str">
        <x:v>Compress_4</x:v>
      </x:c>
      <x:c r="E2028" s="35" t="str">
        <x:v>Condition</x:v>
      </x:c>
      <x:c r="F2028" s="35"/>
      <x:c r="G2028" s="35" t="str">
        <x:v>A</x:v>
      </x:c>
      <x:c r="H2028" s="39" t="str">
        <x:f>IF(ISNUMBER('Data'!N320),'Data'!N320*100,"")</x:f>
      </x:c>
      <x:c r="I2028" s="35"/>
      <x:c r="J2028" s="35" t="str">
        <x:v>PASS</x:v>
      </x:c>
      <x:c r="K2028" s="35" t="str">
        <x:v>FAIL</x:v>
      </x:c>
      <x:c r="L2028" s="35" t="str">
        <x:v>NOT_RUN</x:v>
      </x:c>
      <x:c r="M2028" s="35" t="str">
        <x:v>coverage unavailable or execution/compile failed</x:v>
      </x:c>
      <x:c r="N2028" s="35" t="str">
        <x:v>Deepseek-flash-v4/Result/Compress_4/result.json</x:v>
      </x:c>
      <x:c r="O2028" s="39" t="str">
        <x:f>IF(AND(G2028="RECORDED",ISNUMBER(H2028)),H2028,"")</x:f>
      </x:c>
      <x:c r="P2028" s="35" t="str">
        <x:v>NOT_AVAILABLE</x:v>
      </x:c>
      <x:c r="Q2028" s="35" t="str">
        <x:v>Deepseek-flash-v4/Result/Compress_4/result.json</x:v>
      </x:c>
    </x:row>
    <x:row r="2029">
      <x:c r="A2029" s="35" t="str">
        <x:v>deepseek</x:v>
      </x:c>
      <x:c r="B2029" s="35" t="str">
        <x:v>Compress</x:v>
      </x:c>
      <x:c r="C2029" s="35" t="str">
        <x:v>Round1</x:v>
      </x:c>
      <x:c r="D2029" s="35" t="str">
        <x:v>Compress_40</x:v>
      </x:c>
      <x:c r="E2029" s="35" t="str">
        <x:v>Condition</x:v>
      </x:c>
      <x:c r="F2029" s="35"/>
      <x:c r="G2029" s="35" t="str">
        <x:v>A</x:v>
      </x:c>
      <x:c r="H2029" s="39" t="str">
        <x:f>IF(ISNUMBER('Data'!N321),'Data'!N321*100,"")</x:f>
      </x:c>
      <x:c r="I2029" s="35"/>
      <x:c r="J2029" s="35" t="str">
        <x:v>PASS</x:v>
      </x:c>
      <x:c r="K2029" s="35" t="str">
        <x:v>FAIL</x:v>
      </x:c>
      <x:c r="L2029" s="35" t="str">
        <x:v>NOT_RUN</x:v>
      </x:c>
      <x:c r="M2029" s="35" t="str">
        <x:v>coverage unavailable or execution/compile failed</x:v>
      </x:c>
      <x:c r="N2029" s="35" t="str">
        <x:v>Deepseek-flash-v4/Result/Compress_40/result.json</x:v>
      </x:c>
      <x:c r="O2029" s="39" t="str">
        <x:f>IF(AND(G2029="RECORDED",ISNUMBER(H2029)),H2029,"")</x:f>
      </x:c>
      <x:c r="P2029" s="35" t="str">
        <x:v>NOT_AVAILABLE</x:v>
      </x:c>
      <x:c r="Q2029" s="35" t="str">
        <x:v>Deepseek-flash-v4/Result/Compress_40/result.json</x:v>
      </x:c>
    </x:row>
    <x:row r="2030">
      <x:c r="A2030" s="35" t="str">
        <x:v>deepseek</x:v>
      </x:c>
      <x:c r="B2030" s="35" t="str">
        <x:v>Compress</x:v>
      </x:c>
      <x:c r="C2030" s="35" t="str">
        <x:v>Round1</x:v>
      </x:c>
      <x:c r="D2030" s="35" t="str">
        <x:v>Compress_41</x:v>
      </x:c>
      <x:c r="E2030" s="35" t="str">
        <x:v>Condition</x:v>
      </x:c>
      <x:c r="F2030" s="35"/>
      <x:c r="G2030" s="35" t="str">
        <x:v>A</x:v>
      </x:c>
      <x:c r="H2030" s="39" t="str">
        <x:f>IF(ISNUMBER('Data'!N322),'Data'!N322*100,"")</x:f>
      </x:c>
      <x:c r="I2030" s="35"/>
      <x:c r="J2030" s="35" t="str">
        <x:v>PASS</x:v>
      </x:c>
      <x:c r="K2030" s="35" t="str">
        <x:v>FAIL</x:v>
      </x:c>
      <x:c r="L2030" s="35" t="str">
        <x:v>NOT_RUN</x:v>
      </x:c>
      <x:c r="M2030" s="35" t="str">
        <x:v>coverage unavailable or execution/compile failed</x:v>
      </x:c>
      <x:c r="N2030" s="35" t="str">
        <x:v>Deepseek-flash-v4/Result/Compress_41/result.json</x:v>
      </x:c>
      <x:c r="O2030" s="39" t="str">
        <x:f>IF(AND(G2030="RECORDED",ISNUMBER(H2030)),H2030,"")</x:f>
      </x:c>
      <x:c r="P2030" s="35" t="str">
        <x:v>NOT_AVAILABLE</x:v>
      </x:c>
      <x:c r="Q2030" s="35" t="str">
        <x:v>Deepseek-flash-v4/Result/Compress_41/result.json</x:v>
      </x:c>
    </x:row>
    <x:row r="2031">
      <x:c r="A2031" s="35" t="str">
        <x:v>deepseek</x:v>
      </x:c>
      <x:c r="B2031" s="35" t="str">
        <x:v>Compress</x:v>
      </x:c>
      <x:c r="C2031" s="35" t="str">
        <x:v>Round1</x:v>
      </x:c>
      <x:c r="D2031" s="35" t="str">
        <x:v>Compress_42</x:v>
      </x:c>
      <x:c r="E2031" s="35" t="str">
        <x:v>Condition</x:v>
      </x:c>
      <x:c r="F2031" s="35"/>
      <x:c r="G2031" s="35" t="str">
        <x:v>A</x:v>
      </x:c>
      <x:c r="H2031" s="39" t="str">
        <x:f>IF(ISNUMBER('Data'!N323),'Data'!N323*100,"")</x:f>
      </x:c>
      <x:c r="I2031" s="35"/>
      <x:c r="J2031" s="35" t="str">
        <x:v>PASS</x:v>
      </x:c>
      <x:c r="K2031" s="35" t="str">
        <x:v>FAIL</x:v>
      </x:c>
      <x:c r="L2031" s="35" t="str">
        <x:v>NOT_RUN</x:v>
      </x:c>
      <x:c r="M2031" s="35" t="str">
        <x:v>coverage unavailable or execution/compile failed</x:v>
      </x:c>
      <x:c r="N2031" s="35" t="str">
        <x:v>Deepseek-flash-v4/Result/Compress_42/result.json</x:v>
      </x:c>
      <x:c r="O2031" s="39" t="str">
        <x:f>IF(AND(G2031="RECORDED",ISNUMBER(H2031)),H2031,"")</x:f>
      </x:c>
      <x:c r="P2031" s="35" t="str">
        <x:v>NOT_AVAILABLE</x:v>
      </x:c>
      <x:c r="Q2031" s="35" t="str">
        <x:v>Deepseek-flash-v4/Result/Compress_42/result.json</x:v>
      </x:c>
    </x:row>
    <x:row r="2032">
      <x:c r="A2032" s="35" t="str">
        <x:v>deepseek</x:v>
      </x:c>
      <x:c r="B2032" s="35" t="str">
        <x:v>Compress</x:v>
      </x:c>
      <x:c r="C2032" s="35" t="str">
        <x:v>Round1</x:v>
      </x:c>
      <x:c r="D2032" s="35" t="str">
        <x:v>Compress_43</x:v>
      </x:c>
      <x:c r="E2032" s="35" t="str">
        <x:v>Condition</x:v>
      </x:c>
      <x:c r="F2032" s="35"/>
      <x:c r="G2032" s="35" t="str">
        <x:v>A</x:v>
      </x:c>
      <x:c r="H2032" s="39" t="str">
        <x:f>IF(ISNUMBER('Data'!N324),'Data'!N324*100,"")</x:f>
      </x:c>
      <x:c r="I2032" s="35"/>
      <x:c r="J2032" s="35" t="str">
        <x:v>PASS</x:v>
      </x:c>
      <x:c r="K2032" s="35" t="str">
        <x:v>FAIL</x:v>
      </x:c>
      <x:c r="L2032" s="35" t="str">
        <x:v>NOT_RUN</x:v>
      </x:c>
      <x:c r="M2032" s="35" t="str">
        <x:v>coverage unavailable or execution/compile failed</x:v>
      </x:c>
      <x:c r="N2032" s="35" t="str">
        <x:v>Deepseek-flash-v4/Result/Compress_43/result.json</x:v>
      </x:c>
      <x:c r="O2032" s="39" t="str">
        <x:f>IF(AND(G2032="RECORDED",ISNUMBER(H2032)),H2032,"")</x:f>
      </x:c>
      <x:c r="P2032" s="35" t="str">
        <x:v>NOT_AVAILABLE</x:v>
      </x:c>
      <x:c r="Q2032" s="35" t="str">
        <x:v>Deepseek-flash-v4/Result/Compress_43/result.json</x:v>
      </x:c>
    </x:row>
    <x:row r="2033">
      <x:c r="A2033" s="35" t="str">
        <x:v>deepseek</x:v>
      </x:c>
      <x:c r="B2033" s="35" t="str">
        <x:v>Compress</x:v>
      </x:c>
      <x:c r="C2033" s="35" t="str">
        <x:v>Round1</x:v>
      </x:c>
      <x:c r="D2033" s="35" t="str">
        <x:v>Compress_44</x:v>
      </x:c>
      <x:c r="E2033" s="35" t="str">
        <x:v>Condition</x:v>
      </x:c>
      <x:c r="F2033" s="35"/>
      <x:c r="G2033" s="35" t="str">
        <x:v>A</x:v>
      </x:c>
      <x:c r="H2033" s="39" t="str">
        <x:f>IF(ISNUMBER('Data'!N325),'Data'!N325*100,"")</x:f>
      </x:c>
      <x:c r="I2033" s="35"/>
      <x:c r="J2033" s="35" t="str">
        <x:v>PASS</x:v>
      </x:c>
      <x:c r="K2033" s="35" t="str">
        <x:v>FAIL</x:v>
      </x:c>
      <x:c r="L2033" s="35" t="str">
        <x:v>NOT_RUN</x:v>
      </x:c>
      <x:c r="M2033" s="35" t="str">
        <x:v>coverage unavailable or execution/compile failed</x:v>
      </x:c>
      <x:c r="N2033" s="35" t="str">
        <x:v>Deepseek-flash-v4/Result/Compress_44/result.json</x:v>
      </x:c>
      <x:c r="O2033" s="39" t="str">
        <x:f>IF(AND(G2033="RECORDED",ISNUMBER(H2033)),H2033,"")</x:f>
      </x:c>
      <x:c r="P2033" s="35" t="str">
        <x:v>NOT_AVAILABLE</x:v>
      </x:c>
      <x:c r="Q2033" s="35" t="str">
        <x:v>Deepseek-flash-v4/Result/Compress_44/result.json</x:v>
      </x:c>
    </x:row>
    <x:row r="2034">
      <x:c r="A2034" s="35" t="str">
        <x:v>deepseek</x:v>
      </x:c>
      <x:c r="B2034" s="35" t="str">
        <x:v>Compress</x:v>
      </x:c>
      <x:c r="C2034" s="35" t="str">
        <x:v>Round1</x:v>
      </x:c>
      <x:c r="D2034" s="35" t="str">
        <x:v>Compress_45</x:v>
      </x:c>
      <x:c r="E2034" s="35" t="str">
        <x:v>Condition</x:v>
      </x:c>
      <x:c r="F2034" s="35" t="n">
        <x:v>108</x:v>
      </x:c>
      <x:c r="G2034" s="35" t="str">
        <x:v>RECORDED</x:v>
      </x:c>
      <x:c r="H2034" s="39" t="n">
        <x:f>IF(ISNUMBER('Data'!N326),'Data'!N326*100,"")</x:f>
        <x:v>61.11</x:v>
      </x:c>
      <x:c r="I2034" s="35" t="str">
        <x:v>PASS</x:v>
      </x:c>
      <x:c r="J2034" s="35" t="str">
        <x:v>PASS</x:v>
      </x:c>
      <x:c r="K2034" s="35" t="str">
        <x:v>PASS</x:v>
      </x:c>
      <x:c r="L2034" s="35" t="str">
        <x:v>FAIL</x:v>
      </x:c>
      <x:c r="M2034" s="35" t="str">
        <x:v>numeric coverage for applicable metric</x:v>
      </x:c>
      <x:c r="N2034" s="35" t="str">
        <x:v>Deepseek-flash-v4/Result/Compress_45/result.json</x:v>
      </x:c>
      <x:c r="O2034" s="39" t="n">
        <x:f>IF(AND(G2034="RECORDED",ISNUMBER(H2034)),H2034,"")</x:f>
        <x:v>61.11</x:v>
      </x:c>
      <x:c r="P2034" s="35" t="str">
        <x:v>INCONCLUSIVE</x:v>
      </x:c>
      <x:c r="Q2034" s="35" t="str">
        <x:v>Deepseek-flash-v4/Result/Compress_45/result.json</x:v>
      </x:c>
    </x:row>
    <x:row r="2035">
      <x:c r="A2035" s="35" t="str">
        <x:v>deepseek</x:v>
      </x:c>
      <x:c r="B2035" s="35" t="str">
        <x:v>Compress</x:v>
      </x:c>
      <x:c r="C2035" s="35" t="str">
        <x:v>Round1</x:v>
      </x:c>
      <x:c r="D2035" s="35" t="str">
        <x:v>Compress_46</x:v>
      </x:c>
      <x:c r="E2035" s="35" t="str">
        <x:v>Condition</x:v>
      </x:c>
      <x:c r="F2035" s="35"/>
      <x:c r="G2035" s="35" t="str">
        <x:v>A</x:v>
      </x:c>
      <x:c r="H2035" s="39" t="str">
        <x:f>IF(ISNUMBER('Data'!N327),'Data'!N327*100,"")</x:f>
      </x:c>
      <x:c r="I2035" s="35"/>
      <x:c r="J2035" s="35" t="str">
        <x:v>PASS</x:v>
      </x:c>
      <x:c r="K2035" s="35" t="str">
        <x:v>FAIL</x:v>
      </x:c>
      <x:c r="L2035" s="35" t="str">
        <x:v>NOT_RUN</x:v>
      </x:c>
      <x:c r="M2035" s="35" t="str">
        <x:v>coverage unavailable or execution/compile failed</x:v>
      </x:c>
      <x:c r="N2035" s="35" t="str">
        <x:v>Deepseek-flash-v4/Result/Compress_46/result.json</x:v>
      </x:c>
      <x:c r="O2035" s="39" t="str">
        <x:f>IF(AND(G2035="RECORDED",ISNUMBER(H2035)),H2035,"")</x:f>
      </x:c>
      <x:c r="P2035" s="35" t="str">
        <x:v>NOT_AVAILABLE</x:v>
      </x:c>
      <x:c r="Q2035" s="35" t="str">
        <x:v>Deepseek-flash-v4/Result/Compress_46/result.json</x:v>
      </x:c>
    </x:row>
    <x:row r="2036">
      <x:c r="A2036" s="35" t="str">
        <x:v>deepseek</x:v>
      </x:c>
      <x:c r="B2036" s="35" t="str">
        <x:v>Compress</x:v>
      </x:c>
      <x:c r="C2036" s="35" t="str">
        <x:v>Round1</x:v>
      </x:c>
      <x:c r="D2036" s="35" t="str">
        <x:v>Compress_47</x:v>
      </x:c>
      <x:c r="E2036" s="35" t="str">
        <x:v>Condition</x:v>
      </x:c>
      <x:c r="F2036" s="35" t="n">
        <x:v>273</x:v>
      </x:c>
      <x:c r="G2036" s="35" t="str">
        <x:v>RECORDED</x:v>
      </x:c>
      <x:c r="H2036" s="39" t="n">
        <x:f>IF(ISNUMBER('Data'!N328),'Data'!N328*100,"")</x:f>
        <x:v>47.25</x:v>
      </x:c>
      <x:c r="I2036" s="35" t="str">
        <x:v>PASS</x:v>
      </x:c>
      <x:c r="J2036" s="35" t="str">
        <x:v>PASS</x:v>
      </x:c>
      <x:c r="K2036" s="35" t="str">
        <x:v>PASS</x:v>
      </x:c>
      <x:c r="L2036" s="35" t="str">
        <x:v>FAIL</x:v>
      </x:c>
      <x:c r="M2036" s="35" t="str">
        <x:v>numeric coverage for applicable metric</x:v>
      </x:c>
      <x:c r="N2036" s="35" t="str">
        <x:v>Deepseek-flash-v4/Result/Compress_47/result.json</x:v>
      </x:c>
      <x:c r="O2036" s="39" t="n">
        <x:f>IF(AND(G2036="RECORDED",ISNUMBER(H2036)),H2036,"")</x:f>
        <x:v>47.25</x:v>
      </x:c>
      <x:c r="P2036" s="35" t="str">
        <x:v>INCONCLUSIVE</x:v>
      </x:c>
      <x:c r="Q2036" s="35" t="str">
        <x:v>Deepseek-flash-v4/Result/Compress_47/result.json</x:v>
      </x:c>
    </x:row>
    <x:row r="2037">
      <x:c r="A2037" s="35" t="str">
        <x:v>deepseek</x:v>
      </x:c>
      <x:c r="B2037" s="35" t="str">
        <x:v>Compress</x:v>
      </x:c>
      <x:c r="C2037" s="35" t="str">
        <x:v>Round1</x:v>
      </x:c>
      <x:c r="D2037" s="35" t="str">
        <x:v>Compress_5</x:v>
      </x:c>
      <x:c r="E2037" s="35" t="str">
        <x:v>Condition</x:v>
      </x:c>
      <x:c r="F2037" s="35"/>
      <x:c r="G2037" s="35" t="str">
        <x:v>A</x:v>
      </x:c>
      <x:c r="H2037" s="39" t="str">
        <x:f>IF(ISNUMBER('Data'!N329),'Data'!N329*100,"")</x:f>
      </x:c>
      <x:c r="I2037" s="35"/>
      <x:c r="J2037" s="35" t="str">
        <x:v>PASS</x:v>
      </x:c>
      <x:c r="K2037" s="35" t="str">
        <x:v>FAIL</x:v>
      </x:c>
      <x:c r="L2037" s="35" t="str">
        <x:v>NOT_RUN</x:v>
      </x:c>
      <x:c r="M2037" s="35" t="str">
        <x:v>coverage unavailable or execution/compile failed</x:v>
      </x:c>
      <x:c r="N2037" s="35" t="str">
        <x:v>Deepseek-flash-v4/Result/Compress_5/result.json</x:v>
      </x:c>
      <x:c r="O2037" s="39" t="str">
        <x:f>IF(AND(G2037="RECORDED",ISNUMBER(H2037)),H2037,"")</x:f>
      </x:c>
      <x:c r="P2037" s="35" t="str">
        <x:v>NOT_AVAILABLE</x:v>
      </x:c>
      <x:c r="Q2037" s="35" t="str">
        <x:v>Deepseek-flash-v4/Result/Compress_5/result.json</x:v>
      </x:c>
    </x:row>
    <x:row r="2038">
      <x:c r="A2038" s="35" t="str">
        <x:v>deepseek</x:v>
      </x:c>
      <x:c r="B2038" s="35" t="str">
        <x:v>Compress</x:v>
      </x:c>
      <x:c r="C2038" s="35" t="str">
        <x:v>Round1</x:v>
      </x:c>
      <x:c r="D2038" s="35" t="str">
        <x:v>Compress_6</x:v>
      </x:c>
      <x:c r="E2038" s="35" t="str">
        <x:v>Condition</x:v>
      </x:c>
      <x:c r="F2038" s="35"/>
      <x:c r="G2038" s="35" t="str">
        <x:v>A</x:v>
      </x:c>
      <x:c r="H2038" s="39" t="str">
        <x:f>IF(ISNUMBER('Data'!N330),'Data'!N330*100,"")</x:f>
      </x:c>
      <x:c r="I2038" s="35"/>
      <x:c r="J2038" s="35" t="str">
        <x:v>PASS</x:v>
      </x:c>
      <x:c r="K2038" s="35" t="str">
        <x:v>FAIL</x:v>
      </x:c>
      <x:c r="L2038" s="35" t="str">
        <x:v>NOT_RUN</x:v>
      </x:c>
      <x:c r="M2038" s="35" t="str">
        <x:v>coverage unavailable or execution/compile failed</x:v>
      </x:c>
      <x:c r="N2038" s="35" t="str">
        <x:v>Deepseek-flash-v4/Result/Compress_6/result.json</x:v>
      </x:c>
      <x:c r="O2038" s="39" t="str">
        <x:f>IF(AND(G2038="RECORDED",ISNUMBER(H2038)),H2038,"")</x:f>
      </x:c>
      <x:c r="P2038" s="35" t="str">
        <x:v>NOT_AVAILABLE</x:v>
      </x:c>
      <x:c r="Q2038" s="35" t="str">
        <x:v>Deepseek-flash-v4/Result/Compress_6/result.json</x:v>
      </x:c>
    </x:row>
    <x:row r="2039">
      <x:c r="A2039" s="35" t="str">
        <x:v>deepseek</x:v>
      </x:c>
      <x:c r="B2039" s="35" t="str">
        <x:v>Compress</x:v>
      </x:c>
      <x:c r="C2039" s="35" t="str">
        <x:v>Round1</x:v>
      </x:c>
      <x:c r="D2039" s="35" t="str">
        <x:v>Compress_7</x:v>
      </x:c>
      <x:c r="E2039" s="35" t="str">
        <x:v>Condition</x:v>
      </x:c>
      <x:c r="F2039" s="35"/>
      <x:c r="G2039" s="35" t="str">
        <x:v>A</x:v>
      </x:c>
      <x:c r="H2039" s="39" t="str">
        <x:f>IF(ISNUMBER('Data'!N331),'Data'!N331*100,"")</x:f>
      </x:c>
      <x:c r="I2039" s="35"/>
      <x:c r="J2039" s="35" t="str">
        <x:v>PASS</x:v>
      </x:c>
      <x:c r="K2039" s="35" t="str">
        <x:v>FAIL</x:v>
      </x:c>
      <x:c r="L2039" s="35" t="str">
        <x:v>NOT_RUN</x:v>
      </x:c>
      <x:c r="M2039" s="35" t="str">
        <x:v>coverage unavailable or execution/compile failed</x:v>
      </x:c>
      <x:c r="N2039" s="35" t="str">
        <x:v>Deepseek-flash-v4/Result/Compress_7/result.json</x:v>
      </x:c>
      <x:c r="O2039" s="39" t="str">
        <x:f>IF(AND(G2039="RECORDED",ISNUMBER(H2039)),H2039,"")</x:f>
      </x:c>
      <x:c r="P2039" s="35" t="str">
        <x:v>NOT_AVAILABLE</x:v>
      </x:c>
      <x:c r="Q2039" s="35" t="str">
        <x:v>Deepseek-flash-v4/Result/Compress_7/result.json</x:v>
      </x:c>
    </x:row>
    <x:row r="2040">
      <x:c r="A2040" s="35" t="str">
        <x:v>deepseek</x:v>
      </x:c>
      <x:c r="B2040" s="35" t="str">
        <x:v>Compress</x:v>
      </x:c>
      <x:c r="C2040" s="35" t="str">
        <x:v>Round1</x:v>
      </x:c>
      <x:c r="D2040" s="35" t="str">
        <x:v>Compress_8</x:v>
      </x:c>
      <x:c r="E2040" s="35" t="str">
        <x:v>Condition</x:v>
      </x:c>
      <x:c r="F2040" s="35" t="n">
        <x:v>38</x:v>
      </x:c>
      <x:c r="G2040" s="35" t="str">
        <x:v>RECORDED</x:v>
      </x:c>
      <x:c r="H2040" s="39" t="n">
        <x:f>IF(ISNUMBER('Data'!N332),'Data'!N332*100,"")</x:f>
        <x:v>92.11</x:v>
      </x:c>
      <x:c r="I2040" s="35" t="str">
        <x:v>PASS</x:v>
      </x:c>
      <x:c r="J2040" s="35" t="str">
        <x:v>PASS</x:v>
      </x:c>
      <x:c r="K2040" s="35" t="str">
        <x:v>PASS</x:v>
      </x:c>
      <x:c r="L2040" s="35" t="str">
        <x:v>FAIL</x:v>
      </x:c>
      <x:c r="M2040" s="35" t="str">
        <x:v>numeric coverage for applicable metric</x:v>
      </x:c>
      <x:c r="N2040" s="35" t="str">
        <x:v>Deepseek-flash-v4/Result/Compress_8/result.json</x:v>
      </x:c>
      <x:c r="O2040" s="39" t="n">
        <x:f>IF(AND(G2040="RECORDED",ISNUMBER(H2040)),H2040,"")</x:f>
        <x:v>92.11</x:v>
      </x:c>
      <x:c r="P2040" s="35" t="str">
        <x:v>INCONCLUSIVE</x:v>
      </x:c>
      <x:c r="Q2040" s="35" t="str">
        <x:v>Deepseek-flash-v4/Result/Compress_8/result.json</x:v>
      </x:c>
    </x:row>
    <x:row r="2041">
      <x:c r="A2041" s="35" t="str">
        <x:v>deepseek</x:v>
      </x:c>
      <x:c r="B2041" s="35" t="str">
        <x:v>Compress</x:v>
      </x:c>
      <x:c r="C2041" s="35" t="str">
        <x:v>Round1</x:v>
      </x:c>
      <x:c r="D2041" s="35" t="str">
        <x:v>Compress_9</x:v>
      </x:c>
      <x:c r="E2041" s="35" t="str">
        <x:v>Condition</x:v>
      </x:c>
      <x:c r="F2041" s="35" t="n">
        <x:v>42</x:v>
      </x:c>
      <x:c r="G2041" s="35" t="str">
        <x:v>RECORDED</x:v>
      </x:c>
      <x:c r="H2041" s="39" t="n">
        <x:f>IF(ISNUMBER('Data'!N333),'Data'!N333*100,"")</x:f>
        <x:v>83.33</x:v>
      </x:c>
      <x:c r="I2041" s="35" t="str">
        <x:v>PASS</x:v>
      </x:c>
      <x:c r="J2041" s="35" t="str">
        <x:v>PASS</x:v>
      </x:c>
      <x:c r="K2041" s="35" t="str">
        <x:v>PASS</x:v>
      </x:c>
      <x:c r="L2041" s="35" t="str">
        <x:v>FAIL</x:v>
      </x:c>
      <x:c r="M2041" s="35" t="str">
        <x:v>numeric coverage for applicable metric</x:v>
      </x:c>
      <x:c r="N2041" s="35" t="str">
        <x:v>Deepseek-flash-v4/Result/Compress_9/result.json</x:v>
      </x:c>
      <x:c r="O2041" s="39" t="n">
        <x:f>IF(AND(G2041="RECORDED",ISNUMBER(H2041)),H2041,"")</x:f>
        <x:v>83.33</x:v>
      </x:c>
      <x:c r="P2041" s="35" t="str">
        <x:v>INCONCLUSIVE</x:v>
      </x:c>
      <x:c r="Q2041" s="35" t="str">
        <x:v>Deepseek-flash-v4/Result/Compress_9/result.json</x:v>
      </x:c>
    </x:row>
    <x:row r="2042">
      <x:c r="A2042" s="35" t="str">
        <x:v>deepseek</x:v>
      </x:c>
      <x:c r="B2042" s="35" t="str">
        <x:v>Csv</x:v>
      </x:c>
      <x:c r="C2042" s="35" t="str">
        <x:v>Round1</x:v>
      </x:c>
      <x:c r="D2042" s="35" t="str">
        <x:v>Csv_1</x:v>
      </x:c>
      <x:c r="E2042" s="35" t="str">
        <x:v>Condition</x:v>
      </x:c>
      <x:c r="F2042" s="35" t="n">
        <x:v>22</x:v>
      </x:c>
      <x:c r="G2042" s="35" t="str">
        <x:v>RECORDED</x:v>
      </x:c>
      <x:c r="H2042" s="39" t="n">
        <x:f>IF(ISNUMBER('Data'!N334),'Data'!N334*100,"")</x:f>
        <x:v>95.45</x:v>
      </x:c>
      <x:c r="I2042" s="35" t="str">
        <x:v>PASS</x:v>
      </x:c>
      <x:c r="J2042" s="35" t="str">
        <x:v>PASS</x:v>
      </x:c>
      <x:c r="K2042" s="35" t="str">
        <x:v>PASS</x:v>
      </x:c>
      <x:c r="L2042" s="35" t="str">
        <x:v>FAIL</x:v>
      </x:c>
      <x:c r="M2042" s="35" t="str">
        <x:v>numeric coverage for applicable metric</x:v>
      </x:c>
      <x:c r="N2042" s="35" t="str">
        <x:v>Deepseek-flash-v4/Result/Csv_1/result.json</x:v>
      </x:c>
      <x:c r="O2042" s="39" t="n">
        <x:f>IF(AND(G2042="RECORDED",ISNUMBER(H2042)),H2042,"")</x:f>
        <x:v>95.45</x:v>
      </x:c>
      <x:c r="P2042" s="35" t="str">
        <x:v>INCONCLUSIVE</x:v>
      </x:c>
      <x:c r="Q2042" s="35" t="str">
        <x:v>Deepseek-flash-v4/Result/Csv_1/result.json</x:v>
      </x:c>
    </x:row>
    <x:row r="2043">
      <x:c r="A2043" s="35" t="str">
        <x:v>deepseek</x:v>
      </x:c>
      <x:c r="B2043" s="35" t="str">
        <x:v>Csv</x:v>
      </x:c>
      <x:c r="C2043" s="35" t="str">
        <x:v>Round1</x:v>
      </x:c>
      <x:c r="D2043" s="35" t="str">
        <x:v>Csv_10</x:v>
      </x:c>
      <x:c r="E2043" s="35" t="str">
        <x:v>Condition</x:v>
      </x:c>
      <x:c r="F2043" s="35"/>
      <x:c r="G2043" s="35" t="str">
        <x:v>A</x:v>
      </x:c>
      <x:c r="H2043" s="39" t="str">
        <x:f>IF(ISNUMBER('Data'!N335),'Data'!N335*100,"")</x:f>
      </x:c>
      <x:c r="I2043" s="35"/>
      <x:c r="J2043" s="35" t="str">
        <x:v>PASS</x:v>
      </x:c>
      <x:c r="K2043" s="35" t="str">
        <x:v>FAIL</x:v>
      </x:c>
      <x:c r="L2043" s="35" t="str">
        <x:v>NOT_RUN</x:v>
      </x:c>
      <x:c r="M2043" s="35" t="str">
        <x:v>coverage unavailable or execution/compile failed</x:v>
      </x:c>
      <x:c r="N2043" s="35" t="str">
        <x:v>Deepseek-flash-v4/Result/Csv_10/result.json</x:v>
      </x:c>
      <x:c r="O2043" s="39" t="str">
        <x:f>IF(AND(G2043="RECORDED",ISNUMBER(H2043)),H2043,"")</x:f>
      </x:c>
      <x:c r="P2043" s="35" t="str">
        <x:v>NOT_AVAILABLE</x:v>
      </x:c>
      <x:c r="Q2043" s="35" t="str">
        <x:v>Deepseek-flash-v4/Result/Csv_10/result.json</x:v>
      </x:c>
    </x:row>
    <x:row r="2044">
      <x:c r="A2044" s="35" t="str">
        <x:v>deepseek</x:v>
      </x:c>
      <x:c r="B2044" s="35" t="str">
        <x:v>Csv</x:v>
      </x:c>
      <x:c r="C2044" s="35" t="str">
        <x:v>Round1</x:v>
      </x:c>
      <x:c r="D2044" s="35" t="str">
        <x:v>Csv_11</x:v>
      </x:c>
      <x:c r="E2044" s="35" t="str">
        <x:v>Condition</x:v>
      </x:c>
      <x:c r="F2044" s="35"/>
      <x:c r="G2044" s="35" t="str">
        <x:v>A</x:v>
      </x:c>
      <x:c r="H2044" s="39" t="str">
        <x:f>IF(ISNUMBER('Data'!N336),'Data'!N336*100,"")</x:f>
      </x:c>
      <x:c r="I2044" s="35"/>
      <x:c r="J2044" s="35" t="str">
        <x:v>PASS</x:v>
      </x:c>
      <x:c r="K2044" s="35" t="str">
        <x:v>FAIL</x:v>
      </x:c>
      <x:c r="L2044" s="35" t="str">
        <x:v>NOT_RUN</x:v>
      </x:c>
      <x:c r="M2044" s="35" t="str">
        <x:v>coverage unavailable or execution/compile failed</x:v>
      </x:c>
      <x:c r="N2044" s="35" t="str">
        <x:v>Deepseek-flash-v4/Result/Csv_11/result.json</x:v>
      </x:c>
      <x:c r="O2044" s="39" t="str">
        <x:f>IF(AND(G2044="RECORDED",ISNUMBER(H2044)),H2044,"")</x:f>
      </x:c>
      <x:c r="P2044" s="35" t="str">
        <x:v>NOT_AVAILABLE</x:v>
      </x:c>
      <x:c r="Q2044" s="35" t="str">
        <x:v>Deepseek-flash-v4/Result/Csv_11/result.json</x:v>
      </x:c>
    </x:row>
    <x:row r="2045">
      <x:c r="A2045" s="35" t="str">
        <x:v>deepseek</x:v>
      </x:c>
      <x:c r="B2045" s="35" t="str">
        <x:v>Csv</x:v>
      </x:c>
      <x:c r="C2045" s="35" t="str">
        <x:v>Round1</x:v>
      </x:c>
      <x:c r="D2045" s="35" t="str">
        <x:v>Csv_12</x:v>
      </x:c>
      <x:c r="E2045" s="35" t="str">
        <x:v>Condition</x:v>
      </x:c>
      <x:c r="F2045" s="35" t="n">
        <x:v>140</x:v>
      </x:c>
      <x:c r="G2045" s="35" t="str">
        <x:v>RECORDED</x:v>
      </x:c>
      <x:c r="H2045" s="39" t="n">
        <x:f>IF(ISNUMBER('Data'!N337),'Data'!N337*100,"")</x:f>
        <x:v>58.57</x:v>
      </x:c>
      <x:c r="I2045" s="35" t="str">
        <x:v>PASS</x:v>
      </x:c>
      <x:c r="J2045" s="35" t="str">
        <x:v>PASS</x:v>
      </x:c>
      <x:c r="K2045" s="35" t="str">
        <x:v>PASS</x:v>
      </x:c>
      <x:c r="L2045" s="35" t="str">
        <x:v>FAIL</x:v>
      </x:c>
      <x:c r="M2045" s="35" t="str">
        <x:v>numeric coverage for applicable metric</x:v>
      </x:c>
      <x:c r="N2045" s="35" t="str">
        <x:v>Deepseek-flash-v4/Result/Csv_12/result.json</x:v>
      </x:c>
      <x:c r="O2045" s="39" t="n">
        <x:f>IF(AND(G2045="RECORDED",ISNUMBER(H2045)),H2045,"")</x:f>
        <x:v>58.57</x:v>
      </x:c>
      <x:c r="P2045" s="35" t="str">
        <x:v>INCONCLUSIVE</x:v>
      </x:c>
      <x:c r="Q2045" s="35" t="str">
        <x:v>Deepseek-flash-v4/Result/Csv_12/result.json</x:v>
      </x:c>
    </x:row>
    <x:row r="2046">
      <x:c r="A2046" s="35" t="str">
        <x:v>deepseek</x:v>
      </x:c>
      <x:c r="B2046" s="35" t="str">
        <x:v>Csv</x:v>
      </x:c>
      <x:c r="C2046" s="35" t="str">
        <x:v>Round1</x:v>
      </x:c>
      <x:c r="D2046" s="35" t="str">
        <x:v>Csv_13</x:v>
      </x:c>
      <x:c r="E2046" s="35" t="str">
        <x:v>Condition</x:v>
      </x:c>
      <x:c r="F2046" s="35"/>
      <x:c r="G2046" s="35" t="str">
        <x:v>A</x:v>
      </x:c>
      <x:c r="H2046" s="39" t="str">
        <x:f>IF(ISNUMBER('Data'!N338),'Data'!N338*100,"")</x:f>
      </x:c>
      <x:c r="I2046" s="35"/>
      <x:c r="J2046" s="35" t="str">
        <x:v>PASS</x:v>
      </x:c>
      <x:c r="K2046" s="35" t="str">
        <x:v>FAIL</x:v>
      </x:c>
      <x:c r="L2046" s="35" t="str">
        <x:v>NOT_RUN</x:v>
      </x:c>
      <x:c r="M2046" s="35" t="str">
        <x:v>coverage unavailable or execution/compile failed</x:v>
      </x:c>
      <x:c r="N2046" s="35" t="str">
        <x:v>Deepseek-flash-v4/Result/Csv_13/result.json</x:v>
      </x:c>
      <x:c r="O2046" s="39" t="str">
        <x:f>IF(AND(G2046="RECORDED",ISNUMBER(H2046)),H2046,"")</x:f>
      </x:c>
      <x:c r="P2046" s="35" t="str">
        <x:v>NOT_AVAILABLE</x:v>
      </x:c>
      <x:c r="Q2046" s="35" t="str">
        <x:v>Deepseek-flash-v4/Result/Csv_13/result.json</x:v>
      </x:c>
    </x:row>
    <x:row r="2047">
      <x:c r="A2047" s="35" t="str">
        <x:v>deepseek</x:v>
      </x:c>
      <x:c r="B2047" s="35" t="str">
        <x:v>Csv</x:v>
      </x:c>
      <x:c r="C2047" s="35" t="str">
        <x:v>Round1</x:v>
      </x:c>
      <x:c r="D2047" s="35" t="str">
        <x:v>Csv_14</x:v>
      </x:c>
      <x:c r="E2047" s="35" t="str">
        <x:v>Condition</x:v>
      </x:c>
      <x:c r="F2047" s="35"/>
      <x:c r="G2047" s="35" t="str">
        <x:v>A</x:v>
      </x:c>
      <x:c r="H2047" s="39" t="str">
        <x:f>IF(ISNUMBER('Data'!N339),'Data'!N339*100,"")</x:f>
      </x:c>
      <x:c r="I2047" s="35"/>
      <x:c r="J2047" s="35" t="str">
        <x:v>PASS</x:v>
      </x:c>
      <x:c r="K2047" s="35" t="str">
        <x:v>FAIL</x:v>
      </x:c>
      <x:c r="L2047" s="35" t="str">
        <x:v>NOT_RUN</x:v>
      </x:c>
      <x:c r="M2047" s="35" t="str">
        <x:v>coverage unavailable or execution/compile failed</x:v>
      </x:c>
      <x:c r="N2047" s="35" t="str">
        <x:v>Deepseek-flash-v4/Result/Csv_14/result.json</x:v>
      </x:c>
      <x:c r="O2047" s="39" t="str">
        <x:f>IF(AND(G2047="RECORDED",ISNUMBER(H2047)),H2047,"")</x:f>
      </x:c>
      <x:c r="P2047" s="35" t="str">
        <x:v>NOT_AVAILABLE</x:v>
      </x:c>
      <x:c r="Q2047" s="35" t="str">
        <x:v>Deepseek-flash-v4/Result/Csv_14/result.json</x:v>
      </x:c>
    </x:row>
    <x:row r="2048">
      <x:c r="A2048" s="35" t="str">
        <x:v>deepseek</x:v>
      </x:c>
      <x:c r="B2048" s="35" t="str">
        <x:v>Csv</x:v>
      </x:c>
      <x:c r="C2048" s="35" t="str">
        <x:v>Round1</x:v>
      </x:c>
      <x:c r="D2048" s="35" t="str">
        <x:v>Csv_15</x:v>
      </x:c>
      <x:c r="E2048" s="35" t="str">
        <x:v>Condition</x:v>
      </x:c>
      <x:c r="F2048" s="35"/>
      <x:c r="G2048" s="35" t="str">
        <x:v>A</x:v>
      </x:c>
      <x:c r="H2048" s="39" t="str">
        <x:f>IF(ISNUMBER('Data'!N340),'Data'!N340*100,"")</x:f>
      </x:c>
      <x:c r="I2048" s="35"/>
      <x:c r="J2048" s="35" t="str">
        <x:v>PASS</x:v>
      </x:c>
      <x:c r="K2048" s="35" t="str">
        <x:v>FAIL</x:v>
      </x:c>
      <x:c r="L2048" s="35" t="str">
        <x:v>NOT_RUN</x:v>
      </x:c>
      <x:c r="M2048" s="35" t="str">
        <x:v>coverage unavailable or execution/compile failed</x:v>
      </x:c>
      <x:c r="N2048" s="35" t="str">
        <x:v>Deepseek-flash-v4/Result/Csv_15/result.json</x:v>
      </x:c>
      <x:c r="O2048" s="39" t="str">
        <x:f>IF(AND(G2048="RECORDED",ISNUMBER(H2048)),H2048,"")</x:f>
      </x:c>
      <x:c r="P2048" s="35" t="str">
        <x:v>NOT_AVAILABLE</x:v>
      </x:c>
      <x:c r="Q2048" s="35" t="str">
        <x:v>Deepseek-flash-v4/Result/Csv_15/result.json</x:v>
      </x:c>
    </x:row>
    <x:row r="2049">
      <x:c r="A2049" s="35" t="str">
        <x:v>deepseek</x:v>
      </x:c>
      <x:c r="B2049" s="35" t="str">
        <x:v>Csv</x:v>
      </x:c>
      <x:c r="C2049" s="35" t="str">
        <x:v>Round1</x:v>
      </x:c>
      <x:c r="D2049" s="35" t="str">
        <x:v>Csv_16</x:v>
      </x:c>
      <x:c r="E2049" s="35" t="str">
        <x:v>Condition</x:v>
      </x:c>
      <x:c r="F2049" s="35"/>
      <x:c r="G2049" s="35" t="str">
        <x:v>A</x:v>
      </x:c>
      <x:c r="H2049" s="39" t="str">
        <x:f>IF(ISNUMBER('Data'!N341),'Data'!N341*100,"")</x:f>
      </x:c>
      <x:c r="I2049" s="35"/>
      <x:c r="J2049" s="35" t="str">
        <x:v>PASS</x:v>
      </x:c>
      <x:c r="K2049" s="35" t="str">
        <x:v>FAIL</x:v>
      </x:c>
      <x:c r="L2049" s="35" t="str">
        <x:v>NOT_RUN</x:v>
      </x:c>
      <x:c r="M2049" s="35" t="str">
        <x:v>coverage unavailable or execution/compile failed</x:v>
      </x:c>
      <x:c r="N2049" s="35" t="str">
        <x:v>Deepseek-flash-v4/Result/Csv_16/result.json</x:v>
      </x:c>
      <x:c r="O2049" s="39" t="str">
        <x:f>IF(AND(G2049="RECORDED",ISNUMBER(H2049)),H2049,"")</x:f>
      </x:c>
      <x:c r="P2049" s="35" t="str">
        <x:v>NOT_AVAILABLE</x:v>
      </x:c>
      <x:c r="Q2049" s="35" t="str">
        <x:v>Deepseek-flash-v4/Result/Csv_16/result.json</x:v>
      </x:c>
    </x:row>
    <x:row r="2050">
      <x:c r="A2050" s="35" t="str">
        <x:v>deepseek</x:v>
      </x:c>
      <x:c r="B2050" s="35" t="str">
        <x:v>Csv</x:v>
      </x:c>
      <x:c r="C2050" s="35" t="str">
        <x:v>Round1</x:v>
      </x:c>
      <x:c r="D2050" s="35" t="str">
        <x:v>Csv_2</x:v>
      </x:c>
      <x:c r="E2050" s="35" t="str">
        <x:v>Condition</x:v>
      </x:c>
      <x:c r="F2050" s="35" t="n">
        <x:v>16</x:v>
      </x:c>
      <x:c r="G2050" s="35" t="str">
        <x:v>RECORDED</x:v>
      </x:c>
      <x:c r="H2050" s="39" t="n">
        <x:f>IF(ISNUMBER('Data'!N342),'Data'!N342*100,"")</x:f>
        <x:v>100</x:v>
      </x:c>
      <x:c r="I2050" s="35" t="str">
        <x:v>PASS</x:v>
      </x:c>
      <x:c r="J2050" s="35" t="str">
        <x:v>PASS</x:v>
      </x:c>
      <x:c r="K2050" s="35" t="str">
        <x:v>PASS</x:v>
      </x:c>
      <x:c r="L2050" s="35" t="str">
        <x:v>PASS</x:v>
      </x:c>
      <x:c r="M2050" s="35" t="str">
        <x:v>numeric coverage for applicable metric</x:v>
      </x:c>
      <x:c r="N2050" s="35" t="str">
        <x:v>Deepseek-flash-v4/Result/Csv_2/result.json</x:v>
      </x:c>
      <x:c r="O2050" s="39" t="n">
        <x:f>IF(AND(G2050="RECORDED",ISNUMBER(H2050)),H2050,"")</x:f>
        <x:v>100</x:v>
      </x:c>
      <x:c r="P2050" s="35" t="str">
        <x:v>NOT_REVEALING</x:v>
      </x:c>
      <x:c r="Q2050" s="35" t="str">
        <x:v>Deepseek-flash-v4/Result/Csv_2/result.json</x:v>
      </x:c>
    </x:row>
    <x:row r="2051">
      <x:c r="A2051" s="35" t="str">
        <x:v>deepseek</x:v>
      </x:c>
      <x:c r="B2051" s="35" t="str">
        <x:v>Csv</x:v>
      </x:c>
      <x:c r="C2051" s="35" t="str">
        <x:v>Round1</x:v>
      </x:c>
      <x:c r="D2051" s="35" t="str">
        <x:v>Csv_3</x:v>
      </x:c>
      <x:c r="E2051" s="35" t="str">
        <x:v>Condition</x:v>
      </x:c>
      <x:c r="F2051" s="35"/>
      <x:c r="G2051" s="35" t="str">
        <x:v>A</x:v>
      </x:c>
      <x:c r="H2051" s="39" t="str">
        <x:f>IF(ISNUMBER('Data'!N343),'Data'!N343*100,"")</x:f>
      </x:c>
      <x:c r="I2051" s="35"/>
      <x:c r="J2051" s="35" t="str">
        <x:v>PASS</x:v>
      </x:c>
      <x:c r="K2051" s="35" t="str">
        <x:v>FAIL</x:v>
      </x:c>
      <x:c r="L2051" s="35" t="str">
        <x:v>NOT_RUN</x:v>
      </x:c>
      <x:c r="M2051" s="35" t="str">
        <x:v>coverage unavailable or execution/compile failed</x:v>
      </x:c>
      <x:c r="N2051" s="35" t="str">
        <x:v>Deepseek-flash-v4/Result/Csv_3/result.json</x:v>
      </x:c>
      <x:c r="O2051" s="39" t="str">
        <x:f>IF(AND(G2051="RECORDED",ISNUMBER(H2051)),H2051,"")</x:f>
      </x:c>
      <x:c r="P2051" s="35" t="str">
        <x:v>NOT_AVAILABLE</x:v>
      </x:c>
      <x:c r="Q2051" s="35" t="str">
        <x:v>Deepseek-flash-v4/Result/Csv_3/result.json</x:v>
      </x:c>
    </x:row>
    <x:row r="2052">
      <x:c r="A2052" s="35" t="str">
        <x:v>deepseek</x:v>
      </x:c>
      <x:c r="B2052" s="35" t="str">
        <x:v>Csv</x:v>
      </x:c>
      <x:c r="C2052" s="35" t="str">
        <x:v>Round1</x:v>
      </x:c>
      <x:c r="D2052" s="35" t="str">
        <x:v>Csv_4</x:v>
      </x:c>
      <x:c r="E2052" s="35" t="str">
        <x:v>Condition</x:v>
      </x:c>
      <x:c r="F2052" s="35"/>
      <x:c r="G2052" s="35" t="str">
        <x:v>A</x:v>
      </x:c>
      <x:c r="H2052" s="39" t="str">
        <x:f>IF(ISNUMBER('Data'!N344),'Data'!N344*100,"")</x:f>
      </x:c>
      <x:c r="I2052" s="35"/>
      <x:c r="J2052" s="35" t="str">
        <x:v>PASS</x:v>
      </x:c>
      <x:c r="K2052" s="35" t="str">
        <x:v>FAIL</x:v>
      </x:c>
      <x:c r="L2052" s="35" t="str">
        <x:v>NOT_RUN</x:v>
      </x:c>
      <x:c r="M2052" s="35" t="str">
        <x:v>coverage unavailable or execution/compile failed</x:v>
      </x:c>
      <x:c r="N2052" s="35" t="str">
        <x:v>Deepseek-flash-v4/Result/Csv_4/result.json</x:v>
      </x:c>
      <x:c r="O2052" s="39" t="str">
        <x:f>IF(AND(G2052="RECORDED",ISNUMBER(H2052)),H2052,"")</x:f>
      </x:c>
      <x:c r="P2052" s="35" t="str">
        <x:v>NOT_AVAILABLE</x:v>
      </x:c>
      <x:c r="Q2052" s="35" t="str">
        <x:v>Deepseek-flash-v4/Result/Csv_4/result.json</x:v>
      </x:c>
    </x:row>
    <x:row r="2053">
      <x:c r="A2053" s="35" t="str">
        <x:v>deepseek</x:v>
      </x:c>
      <x:c r="B2053" s="35" t="str">
        <x:v>Csv</x:v>
      </x:c>
      <x:c r="C2053" s="35" t="str">
        <x:v>Round1</x:v>
      </x:c>
      <x:c r="D2053" s="35" t="str">
        <x:v>Csv_5</x:v>
      </x:c>
      <x:c r="E2053" s="35" t="str">
        <x:v>Condition</x:v>
      </x:c>
      <x:c r="F2053" s="35"/>
      <x:c r="G2053" s="35" t="str">
        <x:v>A</x:v>
      </x:c>
      <x:c r="H2053" s="39" t="str">
        <x:f>IF(ISNUMBER('Data'!N345),'Data'!N345*100,"")</x:f>
      </x:c>
      <x:c r="I2053" s="35"/>
      <x:c r="J2053" s="35" t="str">
        <x:v>PASS</x:v>
      </x:c>
      <x:c r="K2053" s="35" t="str">
        <x:v>FAIL</x:v>
      </x:c>
      <x:c r="L2053" s="35" t="str">
        <x:v>NOT_RUN</x:v>
      </x:c>
      <x:c r="M2053" s="35" t="str">
        <x:v>coverage unavailable or execution/compile failed</x:v>
      </x:c>
      <x:c r="N2053" s="35" t="str">
        <x:v>Deepseek-flash-v4/Result/Csv_5/result.json</x:v>
      </x:c>
      <x:c r="O2053" s="39" t="str">
        <x:f>IF(AND(G2053="RECORDED",ISNUMBER(H2053)),H2053,"")</x:f>
      </x:c>
      <x:c r="P2053" s="35" t="str">
        <x:v>NOT_AVAILABLE</x:v>
      </x:c>
      <x:c r="Q2053" s="35" t="str">
        <x:v>Deepseek-flash-v4/Result/Csv_5/result.json</x:v>
      </x:c>
    </x:row>
    <x:row r="2054">
      <x:c r="A2054" s="35" t="str">
        <x:v>deepseek</x:v>
      </x:c>
      <x:c r="B2054" s="35" t="str">
        <x:v>Csv</x:v>
      </x:c>
      <x:c r="C2054" s="35" t="str">
        <x:v>Round1</x:v>
      </x:c>
      <x:c r="D2054" s="35" t="str">
        <x:v>Csv_6</x:v>
      </x:c>
      <x:c r="E2054" s="35" t="str">
        <x:v>Condition</x:v>
      </x:c>
      <x:c r="F2054" s="35" t="n">
        <x:v>18</x:v>
      </x:c>
      <x:c r="G2054" s="35" t="str">
        <x:v>RECORDED</x:v>
      </x:c>
      <x:c r="H2054" s="39" t="n">
        <x:f>IF(ISNUMBER('Data'!N346),'Data'!N346*100,"")</x:f>
        <x:v>83.33</x:v>
      </x:c>
      <x:c r="I2054" s="35" t="str">
        <x:v>PASS</x:v>
      </x:c>
      <x:c r="J2054" s="35" t="str">
        <x:v>PASS</x:v>
      </x:c>
      <x:c r="K2054" s="35" t="str">
        <x:v>PASS</x:v>
      </x:c>
      <x:c r="L2054" s="35" t="str">
        <x:v>FAIL</x:v>
      </x:c>
      <x:c r="M2054" s="35" t="str">
        <x:v>numeric coverage for applicable metric</x:v>
      </x:c>
      <x:c r="N2054" s="35" t="str">
        <x:v>Deepseek-flash-v4/Result/Csv_6/result.json</x:v>
      </x:c>
      <x:c r="O2054" s="39" t="n">
        <x:f>IF(AND(G2054="RECORDED",ISNUMBER(H2054)),H2054,"")</x:f>
        <x:v>83.33</x:v>
      </x:c>
      <x:c r="P2054" s="35" t="str">
        <x:v>INCONCLUSIVE</x:v>
      </x:c>
      <x:c r="Q2054" s="35" t="str">
        <x:v>Deepseek-flash-v4/Result/Csv_6/result.json</x:v>
      </x:c>
    </x:row>
    <x:row r="2055">
      <x:c r="A2055" s="35" t="str">
        <x:v>deepseek</x:v>
      </x:c>
      <x:c r="B2055" s="35" t="str">
        <x:v>Csv</x:v>
      </x:c>
      <x:c r="C2055" s="35" t="str">
        <x:v>Round1</x:v>
      </x:c>
      <x:c r="D2055" s="35" t="str">
        <x:v>Csv_7</x:v>
      </x:c>
      <x:c r="E2055" s="35" t="str">
        <x:v>Condition</x:v>
      </x:c>
      <x:c r="F2055" s="35" t="n">
        <x:v>50</x:v>
      </x:c>
      <x:c r="G2055" s="35" t="str">
        <x:v>RECORDED</x:v>
      </x:c>
      <x:c r="H2055" s="39" t="n">
        <x:f>IF(ISNUMBER('Data'!N347),'Data'!N347*100,"")</x:f>
        <x:v>68</x:v>
      </x:c>
      <x:c r="I2055" s="35" t="str">
        <x:v>PASS</x:v>
      </x:c>
      <x:c r="J2055" s="35" t="str">
        <x:v>PASS</x:v>
      </x:c>
      <x:c r="K2055" s="35" t="str">
        <x:v>PASS</x:v>
      </x:c>
      <x:c r="L2055" s="35" t="str">
        <x:v>FAIL</x:v>
      </x:c>
      <x:c r="M2055" s="35" t="str">
        <x:v>numeric coverage for applicable metric</x:v>
      </x:c>
      <x:c r="N2055" s="35" t="str">
        <x:v>Deepseek-flash-v4/Result/Csv_7/result.json</x:v>
      </x:c>
      <x:c r="O2055" s="39" t="n">
        <x:f>IF(AND(G2055="RECORDED",ISNUMBER(H2055)),H2055,"")</x:f>
        <x:v>68</x:v>
      </x:c>
      <x:c r="P2055" s="35" t="str">
        <x:v>INCONCLUSIVE</x:v>
      </x:c>
      <x:c r="Q2055" s="35" t="str">
        <x:v>Deepseek-flash-v4/Result/Csv_7/result.json</x:v>
      </x:c>
    </x:row>
    <x:row r="2056">
      <x:c r="A2056" s="35" t="str">
        <x:v>deepseek</x:v>
      </x:c>
      <x:c r="B2056" s="35" t="str">
        <x:v>Csv</x:v>
      </x:c>
      <x:c r="C2056" s="35" t="str">
        <x:v>Round1</x:v>
      </x:c>
      <x:c r="D2056" s="35" t="str">
        <x:v>Csv_8</x:v>
      </x:c>
      <x:c r="E2056" s="35" t="str">
        <x:v>Condition</x:v>
      </x:c>
      <x:c r="F2056" s="35"/>
      <x:c r="G2056" s="35" t="str">
        <x:v>A</x:v>
      </x:c>
      <x:c r="H2056" s="39" t="str">
        <x:f>IF(ISNUMBER('Data'!N348),'Data'!N348*100,"")</x:f>
      </x:c>
      <x:c r="I2056" s="35"/>
      <x:c r="J2056" s="35" t="str">
        <x:v>PASS</x:v>
      </x:c>
      <x:c r="K2056" s="35" t="str">
        <x:v>FAIL</x:v>
      </x:c>
      <x:c r="L2056" s="35" t="str">
        <x:v>NOT_RUN</x:v>
      </x:c>
      <x:c r="M2056" s="35" t="str">
        <x:v>coverage unavailable or execution/compile failed</x:v>
      </x:c>
      <x:c r="N2056" s="35" t="str">
        <x:v>Deepseek-flash-v4/Result/Csv_8/result.json</x:v>
      </x:c>
      <x:c r="O2056" s="39" t="str">
        <x:f>IF(AND(G2056="RECORDED",ISNUMBER(H2056)),H2056,"")</x:f>
      </x:c>
      <x:c r="P2056" s="35" t="str">
        <x:v>NOT_AVAILABLE</x:v>
      </x:c>
      <x:c r="Q2056" s="35" t="str">
        <x:v>Deepseek-flash-v4/Result/Csv_8/result.json</x:v>
      </x:c>
    </x:row>
    <x:row r="2057">
      <x:c r="A2057" s="35" t="str">
        <x:v>deepseek</x:v>
      </x:c>
      <x:c r="B2057" s="35" t="str">
        <x:v>Csv</x:v>
      </x:c>
      <x:c r="C2057" s="35" t="str">
        <x:v>Round1</x:v>
      </x:c>
      <x:c r="D2057" s="35" t="str">
        <x:v>Csv_9</x:v>
      </x:c>
      <x:c r="E2057" s="35" t="str">
        <x:v>Condition</x:v>
      </x:c>
      <x:c r="F2057" s="35" t="n">
        <x:v>22</x:v>
      </x:c>
      <x:c r="G2057" s="35" t="str">
        <x:v>RECORDED</x:v>
      </x:c>
      <x:c r="H2057" s="39" t="n">
        <x:f>IF(ISNUMBER('Data'!N349),'Data'!N349*100,"")</x:f>
        <x:v>95.45</x:v>
      </x:c>
      <x:c r="I2057" s="35" t="str">
        <x:v>PASS</x:v>
      </x:c>
      <x:c r="J2057" s="35" t="str">
        <x:v>PASS</x:v>
      </x:c>
      <x:c r="K2057" s="35" t="str">
        <x:v>PASS</x:v>
      </x:c>
      <x:c r="L2057" s="35" t="str">
        <x:v>FAIL</x:v>
      </x:c>
      <x:c r="M2057" s="35" t="str">
        <x:v>numeric coverage for applicable metric</x:v>
      </x:c>
      <x:c r="N2057" s="35" t="str">
        <x:v>Deepseek-flash-v4/Result/Csv_9/result.json</x:v>
      </x:c>
      <x:c r="O2057" s="39" t="n">
        <x:f>IF(AND(G2057="RECORDED",ISNUMBER(H2057)),H2057,"")</x:f>
        <x:v>95.45</x:v>
      </x:c>
      <x:c r="P2057" s="35" t="str">
        <x:v>INCONCLUSIVE</x:v>
      </x:c>
      <x:c r="Q2057" s="35" t="str">
        <x:v>Deepseek-flash-v4/Result/Csv_9/result.json</x:v>
      </x:c>
    </x:row>
    <x:row r="2058">
      <x:c r="A2058" s="35" t="str">
        <x:v>deepseek</x:v>
      </x:c>
      <x:c r="B2058" s="35" t="str">
        <x:v>Gson</x:v>
      </x:c>
      <x:c r="C2058" s="35" t="str">
        <x:v>Round1</x:v>
      </x:c>
      <x:c r="D2058" s="35" t="str">
        <x:v>Gson_1</x:v>
      </x:c>
      <x:c r="E2058" s="35" t="str">
        <x:v>Condition</x:v>
      </x:c>
      <x:c r="F2058" s="35" t="n">
        <x:v>22</x:v>
      </x:c>
      <x:c r="G2058" s="35" t="str">
        <x:v>RECORDED</x:v>
      </x:c>
      <x:c r="H2058" s="39" t="n">
        <x:f>IF(ISNUMBER('Data'!N350),'Data'!N350*100,"")</x:f>
        <x:v>54.55</x:v>
      </x:c>
      <x:c r="I2058" s="35" t="str">
        <x:v>PASS</x:v>
      </x:c>
      <x:c r="J2058" s="35" t="str">
        <x:v>PASS</x:v>
      </x:c>
      <x:c r="K2058" s="35" t="str">
        <x:v>PASS</x:v>
      </x:c>
      <x:c r="L2058" s="35" t="str">
        <x:v>FAIL</x:v>
      </x:c>
      <x:c r="M2058" s="35" t="str">
        <x:v>numeric coverage for applicable metric</x:v>
      </x:c>
      <x:c r="N2058" s="35" t="str">
        <x:v>Deepseek-flash-v4/Result/Gson_1/result.json</x:v>
      </x:c>
      <x:c r="O2058" s="39" t="n">
        <x:f>IF(AND(G2058="RECORDED",ISNUMBER(H2058)),H2058,"")</x:f>
        <x:v>54.55</x:v>
      </x:c>
      <x:c r="P2058" s="35" t="str">
        <x:v>INCONCLUSIVE</x:v>
      </x:c>
      <x:c r="Q2058" s="35" t="str">
        <x:v>Deepseek-flash-v4/Result/Gson_1/result.json</x:v>
      </x:c>
    </x:row>
    <x:row r="2059">
      <x:c r="A2059" s="35" t="str">
        <x:v>deepseek</x:v>
      </x:c>
      <x:c r="B2059" s="35" t="str">
        <x:v>Gson</x:v>
      </x:c>
      <x:c r="C2059" s="35" t="str">
        <x:v>Round1</x:v>
      </x:c>
      <x:c r="D2059" s="35" t="str">
        <x:v>Gson_10</x:v>
      </x:c>
      <x:c r="E2059" s="35" t="str">
        <x:v>Condition</x:v>
      </x:c>
      <x:c r="F2059" s="35"/>
      <x:c r="G2059" s="35" t="str">
        <x:v>A</x:v>
      </x:c>
      <x:c r="H2059" s="39" t="str">
        <x:f>IF(ISNUMBER('Data'!N351),'Data'!N351*100,"")</x:f>
      </x:c>
      <x:c r="I2059" s="35"/>
      <x:c r="J2059" s="35" t="str">
        <x:v>PASS</x:v>
      </x:c>
      <x:c r="K2059" s="35" t="str">
        <x:v>FAIL</x:v>
      </x:c>
      <x:c r="L2059" s="35" t="str">
        <x:v>NOT_RUN</x:v>
      </x:c>
      <x:c r="M2059" s="35" t="str">
        <x:v>coverage unavailable or execution/compile failed</x:v>
      </x:c>
      <x:c r="N2059" s="35" t="str">
        <x:v>Deepseek-flash-v4/Result/Gson_10/result.json</x:v>
      </x:c>
      <x:c r="O2059" s="39" t="str">
        <x:f>IF(AND(G2059="RECORDED",ISNUMBER(H2059)),H2059,"")</x:f>
      </x:c>
      <x:c r="P2059" s="35" t="str">
        <x:v>NOT_AVAILABLE</x:v>
      </x:c>
      <x:c r="Q2059" s="35" t="str">
        <x:v>Deepseek-flash-v4/Result/Gson_10/result.json</x:v>
      </x:c>
    </x:row>
    <x:row r="2060">
      <x:c r="A2060" s="35" t="str">
        <x:v>deepseek</x:v>
      </x:c>
      <x:c r="B2060" s="35" t="str">
        <x:v>Gson</x:v>
      </x:c>
      <x:c r="C2060" s="35" t="str">
        <x:v>Round1</x:v>
      </x:c>
      <x:c r="D2060" s="35" t="str">
        <x:v>Gson_11</x:v>
      </x:c>
      <x:c r="E2060" s="35" t="str">
        <x:v>Condition</x:v>
      </x:c>
      <x:c r="F2060" s="35"/>
      <x:c r="G2060" s="35" t="str">
        <x:v>A</x:v>
      </x:c>
      <x:c r="H2060" s="39" t="str">
        <x:f>IF(ISNUMBER('Data'!N352),'Data'!N352*100,"")</x:f>
      </x:c>
      <x:c r="I2060" s="35"/>
      <x:c r="J2060" s="35" t="str">
        <x:v>PASS</x:v>
      </x:c>
      <x:c r="K2060" s="35" t="str">
        <x:v>FAIL</x:v>
      </x:c>
      <x:c r="L2060" s="35" t="str">
        <x:v>NOT_RUN</x:v>
      </x:c>
      <x:c r="M2060" s="35" t="str">
        <x:v>coverage unavailable or execution/compile failed</x:v>
      </x:c>
      <x:c r="N2060" s="35" t="str">
        <x:v>Deepseek-flash-v4/Result/Gson_11/result.json</x:v>
      </x:c>
      <x:c r="O2060" s="39" t="str">
        <x:f>IF(AND(G2060="RECORDED",ISNUMBER(H2060)),H2060,"")</x:f>
      </x:c>
      <x:c r="P2060" s="35" t="str">
        <x:v>NOT_AVAILABLE</x:v>
      </x:c>
      <x:c r="Q2060" s="35" t="str">
        <x:v>Deepseek-flash-v4/Result/Gson_11/result.json</x:v>
      </x:c>
    </x:row>
    <x:row r="2061">
      <x:c r="A2061" s="35" t="str">
        <x:v>deepseek</x:v>
      </x:c>
      <x:c r="B2061" s="35" t="str">
        <x:v>Gson</x:v>
      </x:c>
      <x:c r="C2061" s="35" t="str">
        <x:v>Round1</x:v>
      </x:c>
      <x:c r="D2061" s="35" t="str">
        <x:v>Gson_12</x:v>
      </x:c>
      <x:c r="E2061" s="35" t="str">
        <x:v>Condition</x:v>
      </x:c>
      <x:c r="F2061" s="35"/>
      <x:c r="G2061" s="35" t="str">
        <x:v>A</x:v>
      </x:c>
      <x:c r="H2061" s="39" t="str">
        <x:f>IF(ISNUMBER('Data'!N353),'Data'!N353*100,"")</x:f>
      </x:c>
      <x:c r="I2061" s="35"/>
      <x:c r="J2061" s="35" t="str">
        <x:v>PASS</x:v>
      </x:c>
      <x:c r="K2061" s="35" t="str">
        <x:v>FAIL</x:v>
      </x:c>
      <x:c r="L2061" s="35" t="str">
        <x:v>NOT_RUN</x:v>
      </x:c>
      <x:c r="M2061" s="35" t="str">
        <x:v>coverage unavailable or execution/compile failed</x:v>
      </x:c>
      <x:c r="N2061" s="35" t="str">
        <x:v>Deepseek-flash-v4/Result/Gson_12/result.json</x:v>
      </x:c>
      <x:c r="O2061" s="39" t="str">
        <x:f>IF(AND(G2061="RECORDED",ISNUMBER(H2061)),H2061,"")</x:f>
      </x:c>
      <x:c r="P2061" s="35" t="str">
        <x:v>NOT_AVAILABLE</x:v>
      </x:c>
      <x:c r="Q2061" s="35" t="str">
        <x:v>Deepseek-flash-v4/Result/Gson_12/result.json</x:v>
      </x:c>
    </x:row>
    <x:row r="2062">
      <x:c r="A2062" s="35" t="str">
        <x:v>deepseek</x:v>
      </x:c>
      <x:c r="B2062" s="35" t="str">
        <x:v>Gson</x:v>
      </x:c>
      <x:c r="C2062" s="35" t="str">
        <x:v>Round1</x:v>
      </x:c>
      <x:c r="D2062" s="35" t="str">
        <x:v>Gson_13</x:v>
      </x:c>
      <x:c r="E2062" s="35" t="str">
        <x:v>Condition</x:v>
      </x:c>
      <x:c r="F2062" s="35"/>
      <x:c r="G2062" s="35" t="str">
        <x:v>A</x:v>
      </x:c>
      <x:c r="H2062" s="39" t="str">
        <x:f>IF(ISNUMBER('Data'!N354),'Data'!N354*100,"")</x:f>
      </x:c>
      <x:c r="I2062" s="35"/>
      <x:c r="J2062" s="35" t="str">
        <x:v>PASS</x:v>
      </x:c>
      <x:c r="K2062" s="35" t="str">
        <x:v>FAIL</x:v>
      </x:c>
      <x:c r="L2062" s="35" t="str">
        <x:v>NOT_RUN</x:v>
      </x:c>
      <x:c r="M2062" s="35" t="str">
        <x:v>coverage unavailable or execution/compile failed</x:v>
      </x:c>
      <x:c r="N2062" s="35" t="str">
        <x:v>Deepseek-flash-v4/Result/Gson_13/result.json</x:v>
      </x:c>
      <x:c r="O2062" s="39" t="str">
        <x:f>IF(AND(G2062="RECORDED",ISNUMBER(H2062)),H2062,"")</x:f>
      </x:c>
      <x:c r="P2062" s="35" t="str">
        <x:v>NOT_AVAILABLE</x:v>
      </x:c>
      <x:c r="Q2062" s="35" t="str">
        <x:v>Deepseek-flash-v4/Result/Gson_13/result.json</x:v>
      </x:c>
    </x:row>
    <x:row r="2063">
      <x:c r="A2063" s="35" t="str">
        <x:v>deepseek</x:v>
      </x:c>
      <x:c r="B2063" s="35" t="str">
        <x:v>Gson</x:v>
      </x:c>
      <x:c r="C2063" s="35" t="str">
        <x:v>Round1</x:v>
      </x:c>
      <x:c r="D2063" s="35" t="str">
        <x:v>Gson_14</x:v>
      </x:c>
      <x:c r="E2063" s="35" t="str">
        <x:v>Condition</x:v>
      </x:c>
      <x:c r="F2063" s="35"/>
      <x:c r="G2063" s="35" t="str">
        <x:v>A</x:v>
      </x:c>
      <x:c r="H2063" s="39" t="str">
        <x:f>IF(ISNUMBER('Data'!N355),'Data'!N355*100,"")</x:f>
      </x:c>
      <x:c r="I2063" s="35"/>
      <x:c r="J2063" s="35" t="str">
        <x:v>PASS</x:v>
      </x:c>
      <x:c r="K2063" s="35" t="str">
        <x:v>FAIL</x:v>
      </x:c>
      <x:c r="L2063" s="35" t="str">
        <x:v>NOT_RUN</x:v>
      </x:c>
      <x:c r="M2063" s="35" t="str">
        <x:v>coverage unavailable or execution/compile failed</x:v>
      </x:c>
      <x:c r="N2063" s="35" t="str">
        <x:v>Deepseek-flash-v4/Result/Gson_14/result.json</x:v>
      </x:c>
      <x:c r="O2063" s="39" t="str">
        <x:f>IF(AND(G2063="RECORDED",ISNUMBER(H2063)),H2063,"")</x:f>
      </x:c>
      <x:c r="P2063" s="35" t="str">
        <x:v>NOT_AVAILABLE</x:v>
      </x:c>
      <x:c r="Q2063" s="35" t="str">
        <x:v>Deepseek-flash-v4/Result/Gson_14/result.json</x:v>
      </x:c>
    </x:row>
    <x:row r="2064">
      <x:c r="A2064" s="35" t="str">
        <x:v>deepseek</x:v>
      </x:c>
      <x:c r="B2064" s="35" t="str">
        <x:v>Gson</x:v>
      </x:c>
      <x:c r="C2064" s="35" t="str">
        <x:v>Round1</x:v>
      </x:c>
      <x:c r="D2064" s="35" t="str">
        <x:v>Gson_15</x:v>
      </x:c>
      <x:c r="E2064" s="35" t="str">
        <x:v>Condition</x:v>
      </x:c>
      <x:c r="F2064" s="35"/>
      <x:c r="G2064" s="35" t="str">
        <x:v>A</x:v>
      </x:c>
      <x:c r="H2064" s="39" t="str">
        <x:f>IF(ISNUMBER('Data'!N356),'Data'!N356*100,"")</x:f>
      </x:c>
      <x:c r="I2064" s="35"/>
      <x:c r="J2064" s="35" t="str">
        <x:v>PASS</x:v>
      </x:c>
      <x:c r="K2064" s="35" t="str">
        <x:v>FAIL</x:v>
      </x:c>
      <x:c r="L2064" s="35" t="str">
        <x:v>NOT_RUN</x:v>
      </x:c>
      <x:c r="M2064" s="35" t="str">
        <x:v>coverage unavailable or execution/compile failed</x:v>
      </x:c>
      <x:c r="N2064" s="35" t="str">
        <x:v>Deepseek-flash-v4/Result/Gson_15/result.json</x:v>
      </x:c>
      <x:c r="O2064" s="39" t="str">
        <x:f>IF(AND(G2064="RECORDED",ISNUMBER(H2064)),H2064,"")</x:f>
      </x:c>
      <x:c r="P2064" s="35" t="str">
        <x:v>NOT_AVAILABLE</x:v>
      </x:c>
      <x:c r="Q2064" s="35" t="str">
        <x:v>Deepseek-flash-v4/Result/Gson_15/result.json</x:v>
      </x:c>
    </x:row>
    <x:row r="2065">
      <x:c r="A2065" s="35" t="str">
        <x:v>deepseek</x:v>
      </x:c>
      <x:c r="B2065" s="35" t="str">
        <x:v>Gson</x:v>
      </x:c>
      <x:c r="C2065" s="35" t="str">
        <x:v>Round1</x:v>
      </x:c>
      <x:c r="D2065" s="35" t="str">
        <x:v>Gson_16</x:v>
      </x:c>
      <x:c r="E2065" s="35" t="str">
        <x:v>Condition</x:v>
      </x:c>
      <x:c r="F2065" s="35"/>
      <x:c r="G2065" s="35" t="str">
        <x:v>A</x:v>
      </x:c>
      <x:c r="H2065" s="39" t="str">
        <x:f>IF(ISNUMBER('Data'!N357),'Data'!N357*100,"")</x:f>
      </x:c>
      <x:c r="I2065" s="35"/>
      <x:c r="J2065" s="35" t="str">
        <x:v>PASS</x:v>
      </x:c>
      <x:c r="K2065" s="35" t="str">
        <x:v>FAIL</x:v>
      </x:c>
      <x:c r="L2065" s="35" t="str">
        <x:v>NOT_RUN</x:v>
      </x:c>
      <x:c r="M2065" s="35" t="str">
        <x:v>coverage unavailable or execution/compile failed</x:v>
      </x:c>
      <x:c r="N2065" s="35" t="str">
        <x:v>Deepseek-flash-v4/Result/Gson_16/result.json</x:v>
      </x:c>
      <x:c r="O2065" s="39" t="str">
        <x:f>IF(AND(G2065="RECORDED",ISNUMBER(H2065)),H2065,"")</x:f>
      </x:c>
      <x:c r="P2065" s="35" t="str">
        <x:v>NOT_AVAILABLE</x:v>
      </x:c>
      <x:c r="Q2065" s="35" t="str">
        <x:v>Deepseek-flash-v4/Result/Gson_16/result.json</x:v>
      </x:c>
    </x:row>
    <x:row r="2066">
      <x:c r="A2066" s="35" t="str">
        <x:v>deepseek</x:v>
      </x:c>
      <x:c r="B2066" s="35" t="str">
        <x:v>Gson</x:v>
      </x:c>
      <x:c r="C2066" s="35" t="str">
        <x:v>Round1</x:v>
      </x:c>
      <x:c r="D2066" s="35" t="str">
        <x:v>Gson_17</x:v>
      </x:c>
      <x:c r="E2066" s="35" t="str">
        <x:v>Condition</x:v>
      </x:c>
      <x:c r="F2066" s="35"/>
      <x:c r="G2066" s="35" t="str">
        <x:v>A</x:v>
      </x:c>
      <x:c r="H2066" s="39" t="str">
        <x:f>IF(ISNUMBER('Data'!N358),'Data'!N358*100,"")</x:f>
      </x:c>
      <x:c r="I2066" s="35"/>
      <x:c r="J2066" s="35" t="str">
        <x:v>PASS</x:v>
      </x:c>
      <x:c r="K2066" s="35" t="str">
        <x:v>FAIL</x:v>
      </x:c>
      <x:c r="L2066" s="35" t="str">
        <x:v>NOT_RUN</x:v>
      </x:c>
      <x:c r="M2066" s="35" t="str">
        <x:v>coverage unavailable or execution/compile failed</x:v>
      </x:c>
      <x:c r="N2066" s="35" t="str">
        <x:v>Deepseek-flash-v4/Result/Gson_17/result.json</x:v>
      </x:c>
      <x:c r="O2066" s="39" t="str">
        <x:f>IF(AND(G2066="RECORDED",ISNUMBER(H2066)),H2066,"")</x:f>
      </x:c>
      <x:c r="P2066" s="35" t="str">
        <x:v>NOT_AVAILABLE</x:v>
      </x:c>
      <x:c r="Q2066" s="35" t="str">
        <x:v>Deepseek-flash-v4/Result/Gson_17/result.json</x:v>
      </x:c>
    </x:row>
    <x:row r="2067">
      <x:c r="A2067" s="35" t="str">
        <x:v>deepseek</x:v>
      </x:c>
      <x:c r="B2067" s="35" t="str">
        <x:v>Gson</x:v>
      </x:c>
      <x:c r="C2067" s="35" t="str">
        <x:v>Round1</x:v>
      </x:c>
      <x:c r="D2067" s="35" t="str">
        <x:v>Gson_18</x:v>
      </x:c>
      <x:c r="E2067" s="35" t="str">
        <x:v>Condition</x:v>
      </x:c>
      <x:c r="F2067" s="35"/>
      <x:c r="G2067" s="35" t="str">
        <x:v>A</x:v>
      </x:c>
      <x:c r="H2067" s="39" t="str">
        <x:f>IF(ISNUMBER('Data'!N359),'Data'!N359*100,"")</x:f>
      </x:c>
      <x:c r="I2067" s="35"/>
      <x:c r="J2067" s="35" t="str">
        <x:v>PASS</x:v>
      </x:c>
      <x:c r="K2067" s="35" t="str">
        <x:v>FAIL</x:v>
      </x:c>
      <x:c r="L2067" s="35" t="str">
        <x:v>NOT_RUN</x:v>
      </x:c>
      <x:c r="M2067" s="35" t="str">
        <x:v>coverage unavailable or execution/compile failed</x:v>
      </x:c>
      <x:c r="N2067" s="35" t="str">
        <x:v>Deepseek-flash-v4/Result/Gson_18/result.json</x:v>
      </x:c>
      <x:c r="O2067" s="39" t="str">
        <x:f>IF(AND(G2067="RECORDED",ISNUMBER(H2067)),H2067,"")</x:f>
      </x:c>
      <x:c r="P2067" s="35" t="str">
        <x:v>NOT_AVAILABLE</x:v>
      </x:c>
      <x:c r="Q2067" s="35" t="str">
        <x:v>Deepseek-flash-v4/Result/Gson_18/result.json</x:v>
      </x:c>
    </x:row>
    <x:row r="2068">
      <x:c r="A2068" s="35" t="str">
        <x:v>deepseek</x:v>
      </x:c>
      <x:c r="B2068" s="35" t="str">
        <x:v>Gson</x:v>
      </x:c>
      <x:c r="C2068" s="35" t="str">
        <x:v>Round1</x:v>
      </x:c>
      <x:c r="D2068" s="35" t="str">
        <x:v>Gson_2</x:v>
      </x:c>
      <x:c r="E2068" s="35" t="str">
        <x:v>Condition</x:v>
      </x:c>
      <x:c r="F2068" s="35"/>
      <x:c r="G2068" s="35" t="str">
        <x:v>A</x:v>
      </x:c>
      <x:c r="H2068" s="39" t="str">
        <x:f>IF(ISNUMBER('Data'!N360),'Data'!N360*100,"")</x:f>
      </x:c>
      <x:c r="I2068" s="35"/>
      <x:c r="J2068" s="35" t="str">
        <x:v>PASS</x:v>
      </x:c>
      <x:c r="K2068" s="35" t="str">
        <x:v>FAIL</x:v>
      </x:c>
      <x:c r="L2068" s="35" t="str">
        <x:v>NOT_RUN</x:v>
      </x:c>
      <x:c r="M2068" s="35" t="str">
        <x:v>coverage unavailable or execution/compile failed</x:v>
      </x:c>
      <x:c r="N2068" s="35" t="str">
        <x:v>Deepseek-flash-v4/Result/Gson_2/result.json</x:v>
      </x:c>
      <x:c r="O2068" s="39" t="str">
        <x:f>IF(AND(G2068="RECORDED",ISNUMBER(H2068)),H2068,"")</x:f>
      </x:c>
      <x:c r="P2068" s="35" t="str">
        <x:v>NOT_AVAILABLE</x:v>
      </x:c>
      <x:c r="Q2068" s="35" t="str">
        <x:v>Deepseek-flash-v4/Result/Gson_2/result.json</x:v>
      </x:c>
    </x:row>
    <x:row r="2069">
      <x:c r="A2069" s="35" t="str">
        <x:v>deepseek</x:v>
      </x:c>
      <x:c r="B2069" s="35" t="str">
        <x:v>Gson</x:v>
      </x:c>
      <x:c r="C2069" s="35" t="str">
        <x:v>Round1</x:v>
      </x:c>
      <x:c r="D2069" s="35" t="str">
        <x:v>Gson_3</x:v>
      </x:c>
      <x:c r="E2069" s="35" t="str">
        <x:v>Condition</x:v>
      </x:c>
      <x:c r="F2069" s="35" t="n">
        <x:v>32</x:v>
      </x:c>
      <x:c r="G2069" s="35" t="str">
        <x:v>RECORDED</x:v>
      </x:c>
      <x:c r="H2069" s="39" t="n">
        <x:f>IF(ISNUMBER('Data'!N361),'Data'!N361*100,"")</x:f>
        <x:v>65.62</x:v>
      </x:c>
      <x:c r="I2069" s="35" t="str">
        <x:v>PASS</x:v>
      </x:c>
      <x:c r="J2069" s="35" t="str">
        <x:v>PASS</x:v>
      </x:c>
      <x:c r="K2069" s="35" t="str">
        <x:v>PASS</x:v>
      </x:c>
      <x:c r="L2069" s="35" t="str">
        <x:v>FAIL</x:v>
      </x:c>
      <x:c r="M2069" s="35" t="str">
        <x:v>numeric coverage for applicable metric</x:v>
      </x:c>
      <x:c r="N2069" s="35" t="str">
        <x:v>Deepseek-flash-v4/Result/Gson_3/result.json</x:v>
      </x:c>
      <x:c r="O2069" s="39" t="n">
        <x:f>IF(AND(G2069="RECORDED",ISNUMBER(H2069)),H2069,"")</x:f>
        <x:v>65.62</x:v>
      </x:c>
      <x:c r="P2069" s="35" t="str">
        <x:v>INCONCLUSIVE</x:v>
      </x:c>
      <x:c r="Q2069" s="35" t="str">
        <x:v>Deepseek-flash-v4/Result/Gson_3/result.json</x:v>
      </x:c>
    </x:row>
    <x:row r="2070">
      <x:c r="A2070" s="35" t="str">
        <x:v>deepseek</x:v>
      </x:c>
      <x:c r="B2070" s="35" t="str">
        <x:v>Gson</x:v>
      </x:c>
      <x:c r="C2070" s="35" t="str">
        <x:v>Round1</x:v>
      </x:c>
      <x:c r="D2070" s="35" t="str">
        <x:v>Gson_4</x:v>
      </x:c>
      <x:c r="E2070" s="35" t="str">
        <x:v>Condition</x:v>
      </x:c>
      <x:c r="F2070" s="35"/>
      <x:c r="G2070" s="35" t="str">
        <x:v>A</x:v>
      </x:c>
      <x:c r="H2070" s="39" t="str">
        <x:f>IF(ISNUMBER('Data'!N362),'Data'!N362*100,"")</x:f>
      </x:c>
      <x:c r="I2070" s="35"/>
      <x:c r="J2070" s="35" t="str">
        <x:v>PASS</x:v>
      </x:c>
      <x:c r="K2070" s="35" t="str">
        <x:v>FAIL</x:v>
      </x:c>
      <x:c r="L2070" s="35" t="str">
        <x:v>NOT_RUN</x:v>
      </x:c>
      <x:c r="M2070" s="35" t="str">
        <x:v>coverage unavailable or execution/compile failed</x:v>
      </x:c>
      <x:c r="N2070" s="35" t="str">
        <x:v>Deepseek-flash-v4/Result/Gson_4/result.json</x:v>
      </x:c>
      <x:c r="O2070" s="39" t="str">
        <x:f>IF(AND(G2070="RECORDED",ISNUMBER(H2070)),H2070,"")</x:f>
      </x:c>
      <x:c r="P2070" s="35" t="str">
        <x:v>NOT_AVAILABLE</x:v>
      </x:c>
      <x:c r="Q2070" s="35" t="str">
        <x:v>Deepseek-flash-v4/Result/Gson_4/result.json</x:v>
      </x:c>
    </x:row>
    <x:row r="2071">
      <x:c r="A2071" s="35" t="str">
        <x:v>deepseek</x:v>
      </x:c>
      <x:c r="B2071" s="35" t="str">
        <x:v>Gson</x:v>
      </x:c>
      <x:c r="C2071" s="35" t="str">
        <x:v>Round1</x:v>
      </x:c>
      <x:c r="D2071" s="35" t="str">
        <x:v>Gson_5</x:v>
      </x:c>
      <x:c r="E2071" s="35" t="str">
        <x:v>Condition</x:v>
      </x:c>
      <x:c r="F2071" s="35" t="n">
        <x:v>89</x:v>
      </x:c>
      <x:c r="G2071" s="35" t="str">
        <x:v>RECORDED</x:v>
      </x:c>
      <x:c r="H2071" s="39" t="n">
        <x:f>IF(ISNUMBER('Data'!N363),'Data'!N363*100,"")</x:f>
        <x:v>75.28</x:v>
      </x:c>
      <x:c r="I2071" s="35" t="str">
        <x:v>PASS</x:v>
      </x:c>
      <x:c r="J2071" s="35" t="str">
        <x:v>PASS</x:v>
      </x:c>
      <x:c r="K2071" s="35" t="str">
        <x:v>PASS</x:v>
      </x:c>
      <x:c r="L2071" s="35" t="str">
        <x:v>FAIL</x:v>
      </x:c>
      <x:c r="M2071" s="35" t="str">
        <x:v>numeric coverage for applicable metric</x:v>
      </x:c>
      <x:c r="N2071" s="35" t="str">
        <x:v>Deepseek-flash-v4/Result/Gson_5/result.json</x:v>
      </x:c>
      <x:c r="O2071" s="39" t="n">
        <x:f>IF(AND(G2071="RECORDED",ISNUMBER(H2071)),H2071,"")</x:f>
        <x:v>75.28</x:v>
      </x:c>
      <x:c r="P2071" s="35" t="str">
        <x:v>INCONCLUSIVE</x:v>
      </x:c>
      <x:c r="Q2071" s="35" t="str">
        <x:v>Deepseek-flash-v4/Result/Gson_5/result.json</x:v>
      </x:c>
    </x:row>
    <x:row r="2072">
      <x:c r="A2072" s="35" t="str">
        <x:v>deepseek</x:v>
      </x:c>
      <x:c r="B2072" s="35" t="str">
        <x:v>Gson</x:v>
      </x:c>
      <x:c r="C2072" s="35" t="str">
        <x:v>Round1</x:v>
      </x:c>
      <x:c r="D2072" s="35" t="str">
        <x:v>Gson_6</x:v>
      </x:c>
      <x:c r="E2072" s="35" t="str">
        <x:v>Condition</x:v>
      </x:c>
      <x:c r="F2072" s="35"/>
      <x:c r="G2072" s="35" t="str">
        <x:v>A</x:v>
      </x:c>
      <x:c r="H2072" s="39" t="str">
        <x:f>IF(ISNUMBER('Data'!N364),'Data'!N364*100,"")</x:f>
      </x:c>
      <x:c r="I2072" s="35"/>
      <x:c r="J2072" s="35" t="str">
        <x:v>PASS</x:v>
      </x:c>
      <x:c r="K2072" s="35" t="str">
        <x:v>FAIL</x:v>
      </x:c>
      <x:c r="L2072" s="35" t="str">
        <x:v>NOT_RUN</x:v>
      </x:c>
      <x:c r="M2072" s="35" t="str">
        <x:v>coverage unavailable or execution/compile failed</x:v>
      </x:c>
      <x:c r="N2072" s="35" t="str">
        <x:v>Deepseek-flash-v4/Result/Gson_6/result.json</x:v>
      </x:c>
      <x:c r="O2072" s="39" t="str">
        <x:f>IF(AND(G2072="RECORDED",ISNUMBER(H2072)),H2072,"")</x:f>
      </x:c>
      <x:c r="P2072" s="35" t="str">
        <x:v>NOT_AVAILABLE</x:v>
      </x:c>
      <x:c r="Q2072" s="35" t="str">
        <x:v>Deepseek-flash-v4/Result/Gson_6/result.json</x:v>
      </x:c>
    </x:row>
    <x:row r="2073">
      <x:c r="A2073" s="35" t="str">
        <x:v>deepseek</x:v>
      </x:c>
      <x:c r="B2073" s="35" t="str">
        <x:v>Gson</x:v>
      </x:c>
      <x:c r="C2073" s="35" t="str">
        <x:v>Round1</x:v>
      </x:c>
      <x:c r="D2073" s="35" t="str">
        <x:v>Gson_7</x:v>
      </x:c>
      <x:c r="E2073" s="35" t="str">
        <x:v>Condition</x:v>
      </x:c>
      <x:c r="F2073" s="35"/>
      <x:c r="G2073" s="35" t="str">
        <x:v>A</x:v>
      </x:c>
      <x:c r="H2073" s="39" t="str">
        <x:f>IF(ISNUMBER('Data'!N365),'Data'!N365*100,"")</x:f>
      </x:c>
      <x:c r="I2073" s="35"/>
      <x:c r="J2073" s="35" t="str">
        <x:v>PASS</x:v>
      </x:c>
      <x:c r="K2073" s="35" t="str">
        <x:v>FAIL</x:v>
      </x:c>
      <x:c r="L2073" s="35" t="str">
        <x:v>NOT_RUN</x:v>
      </x:c>
      <x:c r="M2073" s="35" t="str">
        <x:v>coverage unavailable or execution/compile failed</x:v>
      </x:c>
      <x:c r="N2073" s="35" t="str">
        <x:v>Deepseek-flash-v4/Result/Gson_7/result.json</x:v>
      </x:c>
      <x:c r="O2073" s="39" t="str">
        <x:f>IF(AND(G2073="RECORDED",ISNUMBER(H2073)),H2073,"")</x:f>
      </x:c>
      <x:c r="P2073" s="35" t="str">
        <x:v>NOT_AVAILABLE</x:v>
      </x:c>
      <x:c r="Q2073" s="35" t="str">
        <x:v>Deepseek-flash-v4/Result/Gson_7/result.json</x:v>
      </x:c>
    </x:row>
    <x:row r="2074">
      <x:c r="A2074" s="35" t="str">
        <x:v>deepseek</x:v>
      </x:c>
      <x:c r="B2074" s="35" t="str">
        <x:v>Gson</x:v>
      </x:c>
      <x:c r="C2074" s="35" t="str">
        <x:v>Round1</x:v>
      </x:c>
      <x:c r="D2074" s="35" t="str">
        <x:v>Gson_8</x:v>
      </x:c>
      <x:c r="E2074" s="35" t="str">
        <x:v>Condition</x:v>
      </x:c>
      <x:c r="F2074" s="35" t="n">
        <x:v>0</x:v>
      </x:c>
      <x:c r="G2074" s="35" t="str">
        <x:v>B</x:v>
      </x:c>
      <x:c r="H2074" s="39" t="str">
        <x:f>IF(ISNUMBER('Data'!N366),'Data'!N366*100,"")</x:f>
      </x:c>
      <x:c r="I2074" s="35" t="str">
        <x:v>PASS</x:v>
      </x:c>
      <x:c r="J2074" s="35" t="str">
        <x:v>PASS</x:v>
      </x:c>
      <x:c r="K2074" s="35" t="str">
        <x:v>PASS</x:v>
      </x:c>
      <x:c r="L2074" s="35" t="str">
        <x:v>PASS</x:v>
      </x:c>
      <x:c r="M2074" s="35" t="str">
        <x:v>coverage completed; measurable total = 0</x:v>
      </x:c>
      <x:c r="N2074" s="35" t="str">
        <x:v>Deepseek-flash-v4/Result/Gson_8/result.json</x:v>
      </x:c>
      <x:c r="O2074" s="39" t="str">
        <x:f>IF(AND(G2074="RECORDED",ISNUMBER(H2074)),H2074,"")</x:f>
      </x:c>
      <x:c r="P2074" s="35" t="str">
        <x:v>NOT_REVEALING</x:v>
      </x:c>
      <x:c r="Q2074" s="35" t="str">
        <x:v>Deepseek-flash-v4/Result/Gson_8/result.json</x:v>
      </x:c>
    </x:row>
    <x:row r="2075">
      <x:c r="A2075" s="35" t="str">
        <x:v>deepseek</x:v>
      </x:c>
      <x:c r="B2075" s="35" t="str">
        <x:v>Gson</x:v>
      </x:c>
      <x:c r="C2075" s="35" t="str">
        <x:v>Round1</x:v>
      </x:c>
      <x:c r="D2075" s="35" t="str">
        <x:v>Gson_9</x:v>
      </x:c>
      <x:c r="E2075" s="35" t="str">
        <x:v>Condition</x:v>
      </x:c>
      <x:c r="F2075" s="35"/>
      <x:c r="G2075" s="35" t="str">
        <x:v>A</x:v>
      </x:c>
      <x:c r="H2075" s="39" t="str">
        <x:f>IF(ISNUMBER('Data'!N367),'Data'!N367*100,"")</x:f>
      </x:c>
      <x:c r="I2075" s="35"/>
      <x:c r="J2075" s="35" t="str">
        <x:v>PASS</x:v>
      </x:c>
      <x:c r="K2075" s="35" t="str">
        <x:v>FAIL</x:v>
      </x:c>
      <x:c r="L2075" s="35" t="str">
        <x:v>NOT_RUN</x:v>
      </x:c>
      <x:c r="M2075" s="35" t="str">
        <x:v>coverage unavailable or execution/compile failed</x:v>
      </x:c>
      <x:c r="N2075" s="35" t="str">
        <x:v>Deepseek-flash-v4/Result/Gson_9/result.json</x:v>
      </x:c>
      <x:c r="O2075" s="39" t="str">
        <x:f>IF(AND(G2075="RECORDED",ISNUMBER(H2075)),H2075,"")</x:f>
      </x:c>
      <x:c r="P2075" s="35" t="str">
        <x:v>NOT_AVAILABLE</x:v>
      </x:c>
      <x:c r="Q2075" s="35" t="str">
        <x:v>Deepseek-flash-v4/Result/Gson_9/result.json</x:v>
      </x:c>
    </x:row>
    <x:row r="2076">
      <x:c r="A2076" s="35" t="str">
        <x:v>deepseek</x:v>
      </x:c>
      <x:c r="B2076" s="35" t="str">
        <x:v>JacksonCore</x:v>
      </x:c>
      <x:c r="C2076" s="35" t="str">
        <x:v>Round1</x:v>
      </x:c>
      <x:c r="D2076" s="35" t="str">
        <x:v>JacksonCore_1</x:v>
      </x:c>
      <x:c r="E2076" s="35" t="str">
        <x:v>Condition</x:v>
      </x:c>
      <x:c r="F2076" s="35"/>
      <x:c r="G2076" s="35" t="str">
        <x:v>A</x:v>
      </x:c>
      <x:c r="H2076" s="39" t="str">
        <x:f>IF(ISNUMBER('Data'!N368),'Data'!N368*100,"")</x:f>
      </x:c>
      <x:c r="I2076" s="35"/>
      <x:c r="J2076" s="35" t="str">
        <x:v>PASS</x:v>
      </x:c>
      <x:c r="K2076" s="35" t="str">
        <x:v>FAIL</x:v>
      </x:c>
      <x:c r="L2076" s="35" t="str">
        <x:v>NOT_RUN</x:v>
      </x:c>
      <x:c r="M2076" s="35" t="str">
        <x:v>coverage unavailable or execution/compile failed</x:v>
      </x:c>
      <x:c r="N2076" s="35" t="str">
        <x:v>Deepseek-flash-v4/Result/JacksonCore_1/result.json</x:v>
      </x:c>
      <x:c r="O2076" s="39" t="str">
        <x:f>IF(AND(G2076="RECORDED",ISNUMBER(H2076)),H2076,"")</x:f>
      </x:c>
      <x:c r="P2076" s="35" t="str">
        <x:v>NOT_AVAILABLE</x:v>
      </x:c>
      <x:c r="Q2076" s="35" t="str">
        <x:v>Deepseek-flash-v4/Result/JacksonCore_1/result.json</x:v>
      </x:c>
    </x:row>
    <x:row r="2077">
      <x:c r="A2077" s="35" t="str">
        <x:v>deepseek</x:v>
      </x:c>
      <x:c r="B2077" s="35" t="str">
        <x:v>JacksonCore</x:v>
      </x:c>
      <x:c r="C2077" s="35" t="str">
        <x:v>Round1</x:v>
      </x:c>
      <x:c r="D2077" s="35" t="str">
        <x:v>JacksonCore_10</x:v>
      </x:c>
      <x:c r="E2077" s="35" t="str">
        <x:v>Condition</x:v>
      </x:c>
      <x:c r="F2077" s="35"/>
      <x:c r="G2077" s="35" t="str">
        <x:v>A</x:v>
      </x:c>
      <x:c r="H2077" s="39" t="str">
        <x:f>IF(ISNUMBER('Data'!N369),'Data'!N369*100,"")</x:f>
      </x:c>
      <x:c r="I2077" s="35"/>
      <x:c r="J2077" s="35" t="str">
        <x:v>PASS</x:v>
      </x:c>
      <x:c r="K2077" s="35" t="str">
        <x:v>FAIL</x:v>
      </x:c>
      <x:c r="L2077" s="35" t="str">
        <x:v>NOT_RUN</x:v>
      </x:c>
      <x:c r="M2077" s="35" t="str">
        <x:v>coverage unavailable or execution/compile failed</x:v>
      </x:c>
      <x:c r="N2077" s="35" t="str">
        <x:v>Deepseek-flash-v4/Result/JacksonCore_10/result.json</x:v>
      </x:c>
      <x:c r="O2077" s="39" t="str">
        <x:f>IF(AND(G2077="RECORDED",ISNUMBER(H2077)),H2077,"")</x:f>
      </x:c>
      <x:c r="P2077" s="35" t="str">
        <x:v>NOT_AVAILABLE</x:v>
      </x:c>
      <x:c r="Q2077" s="35" t="str">
        <x:v>Deepseek-flash-v4/Result/JacksonCore_10/result.json</x:v>
      </x:c>
    </x:row>
    <x:row r="2078">
      <x:c r="A2078" s="35" t="str">
        <x:v>deepseek</x:v>
      </x:c>
      <x:c r="B2078" s="35" t="str">
        <x:v>JacksonCore</x:v>
      </x:c>
      <x:c r="C2078" s="35" t="str">
        <x:v>Round1</x:v>
      </x:c>
      <x:c r="D2078" s="35" t="str">
        <x:v>JacksonCore_11</x:v>
      </x:c>
      <x:c r="E2078" s="35" t="str">
        <x:v>Condition</x:v>
      </x:c>
      <x:c r="F2078" s="35" t="n">
        <x:v>268</x:v>
      </x:c>
      <x:c r="G2078" s="35" t="str">
        <x:v>RECORDED</x:v>
      </x:c>
      <x:c r="H2078" s="39" t="n">
        <x:f>IF(ISNUMBER('Data'!N370),'Data'!N370*100,"")</x:f>
        <x:v>40.67</x:v>
      </x:c>
      <x:c r="I2078" s="35" t="str">
        <x:v>PASS</x:v>
      </x:c>
      <x:c r="J2078" s="35" t="str">
        <x:v>PASS</x:v>
      </x:c>
      <x:c r="K2078" s="35" t="str">
        <x:v>PASS</x:v>
      </x:c>
      <x:c r="L2078" s="35" t="str">
        <x:v>FAIL</x:v>
      </x:c>
      <x:c r="M2078" s="35" t="str">
        <x:v>numeric coverage for applicable metric</x:v>
      </x:c>
      <x:c r="N2078" s="35" t="str">
        <x:v>Deepseek-flash-v4/Result/JacksonCore_11/result.json</x:v>
      </x:c>
      <x:c r="O2078" s="39" t="n">
        <x:f>IF(AND(G2078="RECORDED",ISNUMBER(H2078)),H2078,"")</x:f>
        <x:v>40.67</x:v>
      </x:c>
      <x:c r="P2078" s="35" t="str">
        <x:v>INCONCLUSIVE</x:v>
      </x:c>
      <x:c r="Q2078" s="35" t="str">
        <x:v>Deepseek-flash-v4/Result/JacksonCore_11/result.json</x:v>
      </x:c>
    </x:row>
    <x:row r="2079">
      <x:c r="A2079" s="35" t="str">
        <x:v>deepseek</x:v>
      </x:c>
      <x:c r="B2079" s="35" t="str">
        <x:v>JacksonCore</x:v>
      </x:c>
      <x:c r="C2079" s="35" t="str">
        <x:v>Round1</x:v>
      </x:c>
      <x:c r="D2079" s="35" t="str">
        <x:v>JacksonCore_12</x:v>
      </x:c>
      <x:c r="E2079" s="35" t="str">
        <x:v>Condition</x:v>
      </x:c>
      <x:c r="F2079" s="35"/>
      <x:c r="G2079" s="35" t="str">
        <x:v>A</x:v>
      </x:c>
      <x:c r="H2079" s="39" t="str">
        <x:f>IF(ISNUMBER('Data'!N371),'Data'!N371*100,"")</x:f>
      </x:c>
      <x:c r="I2079" s="35"/>
      <x:c r="J2079" s="35" t="str">
        <x:v>PASS</x:v>
      </x:c>
      <x:c r="K2079" s="35" t="str">
        <x:v>FAIL</x:v>
      </x:c>
      <x:c r="L2079" s="35" t="str">
        <x:v>NOT_RUN</x:v>
      </x:c>
      <x:c r="M2079" s="35" t="str">
        <x:v>coverage unavailable or execution/compile failed</x:v>
      </x:c>
      <x:c r="N2079" s="35" t="str">
        <x:v>Deepseek-flash-v4/Result/JacksonCore_12/result.json</x:v>
      </x:c>
      <x:c r="O2079" s="39" t="str">
        <x:f>IF(AND(G2079="RECORDED",ISNUMBER(H2079)),H2079,"")</x:f>
      </x:c>
      <x:c r="P2079" s="35" t="str">
        <x:v>NOT_AVAILABLE</x:v>
      </x:c>
      <x:c r="Q2079" s="35" t="str">
        <x:v>Deepseek-flash-v4/Result/JacksonCore_12/result.json</x:v>
      </x:c>
    </x:row>
    <x:row r="2080">
      <x:c r="A2080" s="35" t="str">
        <x:v>deepseek</x:v>
      </x:c>
      <x:c r="B2080" s="35" t="str">
        <x:v>JacksonCore</x:v>
      </x:c>
      <x:c r="C2080" s="35" t="str">
        <x:v>Round1</x:v>
      </x:c>
      <x:c r="D2080" s="35" t="str">
        <x:v>JacksonCore_13</x:v>
      </x:c>
      <x:c r="E2080" s="35" t="str">
        <x:v>Condition</x:v>
      </x:c>
      <x:c r="F2080" s="35"/>
      <x:c r="G2080" s="35" t="str">
        <x:v>A</x:v>
      </x:c>
      <x:c r="H2080" s="39" t="str">
        <x:f>IF(ISNUMBER('Data'!N372),'Data'!N372*100,"")</x:f>
      </x:c>
      <x:c r="I2080" s="35"/>
      <x:c r="J2080" s="35" t="str">
        <x:v>PASS</x:v>
      </x:c>
      <x:c r="K2080" s="35" t="str">
        <x:v>FAIL</x:v>
      </x:c>
      <x:c r="L2080" s="35" t="str">
        <x:v>NOT_RUN</x:v>
      </x:c>
      <x:c r="M2080" s="35" t="str">
        <x:v>coverage unavailable or execution/compile failed</x:v>
      </x:c>
      <x:c r="N2080" s="35" t="str">
        <x:v>Deepseek-flash-v4/Result/JacksonCore_13/result.json</x:v>
      </x:c>
      <x:c r="O2080" s="39" t="str">
        <x:f>IF(AND(G2080="RECORDED",ISNUMBER(H2080)),H2080,"")</x:f>
      </x:c>
      <x:c r="P2080" s="35" t="str">
        <x:v>NOT_AVAILABLE</x:v>
      </x:c>
      <x:c r="Q2080" s="35" t="str">
        <x:v>Deepseek-flash-v4/Result/JacksonCore_13/result.json</x:v>
      </x:c>
    </x:row>
    <x:row r="2081">
      <x:c r="A2081" s="35" t="str">
        <x:v>deepseek</x:v>
      </x:c>
      <x:c r="B2081" s="35" t="str">
        <x:v>JacksonCore</x:v>
      </x:c>
      <x:c r="C2081" s="35" t="str">
        <x:v>Round1</x:v>
      </x:c>
      <x:c r="D2081" s="35" t="str">
        <x:v>JacksonCore_14</x:v>
      </x:c>
      <x:c r="E2081" s="35" t="str">
        <x:v>Condition</x:v>
      </x:c>
      <x:c r="F2081" s="35"/>
      <x:c r="G2081" s="35" t="str">
        <x:v>A</x:v>
      </x:c>
      <x:c r="H2081" s="39" t="str">
        <x:f>IF(ISNUMBER('Data'!N373),'Data'!N373*100,"")</x:f>
      </x:c>
      <x:c r="I2081" s="35"/>
      <x:c r="J2081" s="35" t="str">
        <x:v>PASS</x:v>
      </x:c>
      <x:c r="K2081" s="35" t="str">
        <x:v>FAIL</x:v>
      </x:c>
      <x:c r="L2081" s="35" t="str">
        <x:v>NOT_RUN</x:v>
      </x:c>
      <x:c r="M2081" s="35" t="str">
        <x:v>coverage unavailable or execution/compile failed</x:v>
      </x:c>
      <x:c r="N2081" s="35" t="str">
        <x:v>Deepseek-flash-v4/Result/JacksonCore_14/result.json</x:v>
      </x:c>
      <x:c r="O2081" s="39" t="str">
        <x:f>IF(AND(G2081="RECORDED",ISNUMBER(H2081)),H2081,"")</x:f>
      </x:c>
      <x:c r="P2081" s="35" t="str">
        <x:v>NOT_AVAILABLE</x:v>
      </x:c>
      <x:c r="Q2081" s="35" t="str">
        <x:v>Deepseek-flash-v4/Result/JacksonCore_14/result.json</x:v>
      </x:c>
    </x:row>
    <x:row r="2082">
      <x:c r="A2082" s="35" t="str">
        <x:v>deepseek</x:v>
      </x:c>
      <x:c r="B2082" s="35" t="str">
        <x:v>JacksonCore</x:v>
      </x:c>
      <x:c r="C2082" s="35" t="str">
        <x:v>Round1</x:v>
      </x:c>
      <x:c r="D2082" s="35" t="str">
        <x:v>JacksonCore_15</x:v>
      </x:c>
      <x:c r="E2082" s="35" t="str">
        <x:v>Condition</x:v>
      </x:c>
      <x:c r="F2082" s="35"/>
      <x:c r="G2082" s="35" t="str">
        <x:v>A</x:v>
      </x:c>
      <x:c r="H2082" s="39" t="str">
        <x:f>IF(ISNUMBER('Data'!N374),'Data'!N374*100,"")</x:f>
      </x:c>
      <x:c r="I2082" s="35"/>
      <x:c r="J2082" s="35" t="str">
        <x:v>PASS</x:v>
      </x:c>
      <x:c r="K2082" s="35" t="str">
        <x:v>FAIL</x:v>
      </x:c>
      <x:c r="L2082" s="35" t="str">
        <x:v>NOT_RUN</x:v>
      </x:c>
      <x:c r="M2082" s="35" t="str">
        <x:v>coverage unavailable or execution/compile failed</x:v>
      </x:c>
      <x:c r="N2082" s="35" t="str">
        <x:v>Deepseek-flash-v4/Result/JacksonCore_15/result.json</x:v>
      </x:c>
      <x:c r="O2082" s="39" t="str">
        <x:f>IF(AND(G2082="RECORDED",ISNUMBER(H2082)),H2082,"")</x:f>
      </x:c>
      <x:c r="P2082" s="35" t="str">
        <x:v>NOT_AVAILABLE</x:v>
      </x:c>
      <x:c r="Q2082" s="35" t="str">
        <x:v>Deepseek-flash-v4/Result/JacksonCore_15/result.json</x:v>
      </x:c>
    </x:row>
    <x:row r="2083">
      <x:c r="A2083" s="35" t="str">
        <x:v>deepseek</x:v>
      </x:c>
      <x:c r="B2083" s="35" t="str">
        <x:v>JacksonCore</x:v>
      </x:c>
      <x:c r="C2083" s="35" t="str">
        <x:v>Round1</x:v>
      </x:c>
      <x:c r="D2083" s="35" t="str">
        <x:v>JacksonCore_16</x:v>
      </x:c>
      <x:c r="E2083" s="35" t="str">
        <x:v>Condition</x:v>
      </x:c>
      <x:c r="F2083" s="35"/>
      <x:c r="G2083" s="35" t="str">
        <x:v>A</x:v>
      </x:c>
      <x:c r="H2083" s="39" t="str">
        <x:f>IF(ISNUMBER('Data'!N375),'Data'!N375*100,"")</x:f>
      </x:c>
      <x:c r="I2083" s="35"/>
      <x:c r="J2083" s="35" t="str">
        <x:v>PASS</x:v>
      </x:c>
      <x:c r="K2083" s="35" t="str">
        <x:v>FAIL</x:v>
      </x:c>
      <x:c r="L2083" s="35" t="str">
        <x:v>NOT_RUN</x:v>
      </x:c>
      <x:c r="M2083" s="35" t="str">
        <x:v>coverage unavailable or execution/compile failed</x:v>
      </x:c>
      <x:c r="N2083" s="35" t="str">
        <x:v>Deepseek-flash-v4/Result/JacksonCore_16/result.json</x:v>
      </x:c>
      <x:c r="O2083" s="39" t="str">
        <x:f>IF(AND(G2083="RECORDED",ISNUMBER(H2083)),H2083,"")</x:f>
      </x:c>
      <x:c r="P2083" s="35" t="str">
        <x:v>NOT_AVAILABLE</x:v>
      </x:c>
      <x:c r="Q2083" s="35" t="str">
        <x:v>Deepseek-flash-v4/Result/JacksonCore_16/result.json</x:v>
      </x:c>
    </x:row>
    <x:row r="2084">
      <x:c r="A2084" s="35" t="str">
        <x:v>deepseek</x:v>
      </x:c>
      <x:c r="B2084" s="35" t="str">
        <x:v>JacksonCore</x:v>
      </x:c>
      <x:c r="C2084" s="35" t="str">
        <x:v>Round1</x:v>
      </x:c>
      <x:c r="D2084" s="35" t="str">
        <x:v>JacksonCore_17</x:v>
      </x:c>
      <x:c r="E2084" s="35" t="str">
        <x:v>Condition</x:v>
      </x:c>
      <x:c r="F2084" s="35"/>
      <x:c r="G2084" s="35" t="str">
        <x:v>A</x:v>
      </x:c>
      <x:c r="H2084" s="39" t="str">
        <x:f>IF(ISNUMBER('Data'!N376),'Data'!N376*100,"")</x:f>
      </x:c>
      <x:c r="I2084" s="35"/>
      <x:c r="J2084" s="35" t="str">
        <x:v>PASS</x:v>
      </x:c>
      <x:c r="K2084" s="35" t="str">
        <x:v>FAIL</x:v>
      </x:c>
      <x:c r="L2084" s="35" t="str">
        <x:v>NOT_RUN</x:v>
      </x:c>
      <x:c r="M2084" s="35" t="str">
        <x:v>coverage unavailable or execution/compile failed</x:v>
      </x:c>
      <x:c r="N2084" s="35" t="str">
        <x:v>Deepseek-flash-v4/Result/JacksonCore_17/result.json</x:v>
      </x:c>
      <x:c r="O2084" s="39" t="str">
        <x:f>IF(AND(G2084="RECORDED",ISNUMBER(H2084)),H2084,"")</x:f>
      </x:c>
      <x:c r="P2084" s="35" t="str">
        <x:v>NOT_AVAILABLE</x:v>
      </x:c>
      <x:c r="Q2084" s="35" t="str">
        <x:v>Deepseek-flash-v4/Result/JacksonCore_17/result.json</x:v>
      </x:c>
    </x:row>
    <x:row r="2085">
      <x:c r="A2085" s="35" t="str">
        <x:v>deepseek</x:v>
      </x:c>
      <x:c r="B2085" s="35" t="str">
        <x:v>JacksonCore</x:v>
      </x:c>
      <x:c r="C2085" s="35" t="str">
        <x:v>Round1</x:v>
      </x:c>
      <x:c r="D2085" s="35" t="str">
        <x:v>JacksonCore_18</x:v>
      </x:c>
      <x:c r="E2085" s="35" t="str">
        <x:v>Condition</x:v>
      </x:c>
      <x:c r="F2085" s="35"/>
      <x:c r="G2085" s="35" t="str">
        <x:v>A</x:v>
      </x:c>
      <x:c r="H2085" s="39" t="str">
        <x:f>IF(ISNUMBER('Data'!N377),'Data'!N377*100,"")</x:f>
      </x:c>
      <x:c r="I2085" s="35"/>
      <x:c r="J2085" s="35" t="str">
        <x:v>PASS</x:v>
      </x:c>
      <x:c r="K2085" s="35" t="str">
        <x:v>FAIL</x:v>
      </x:c>
      <x:c r="L2085" s="35" t="str">
        <x:v>NOT_RUN</x:v>
      </x:c>
      <x:c r="M2085" s="35" t="str">
        <x:v>coverage unavailable or execution/compile failed</x:v>
      </x:c>
      <x:c r="N2085" s="35" t="str">
        <x:v>Deepseek-flash-v4/Result/JacksonCore_18/result.json</x:v>
      </x:c>
      <x:c r="O2085" s="39" t="str">
        <x:f>IF(AND(G2085="RECORDED",ISNUMBER(H2085)),H2085,"")</x:f>
      </x:c>
      <x:c r="P2085" s="35" t="str">
        <x:v>NOT_AVAILABLE</x:v>
      </x:c>
      <x:c r="Q2085" s="35" t="str">
        <x:v>Deepseek-flash-v4/Result/JacksonCore_18/result.json</x:v>
      </x:c>
    </x:row>
    <x:row r="2086">
      <x:c r="A2086" s="35" t="str">
        <x:v>deepseek</x:v>
      </x:c>
      <x:c r="B2086" s="35" t="str">
        <x:v>JacksonCore</x:v>
      </x:c>
      <x:c r="C2086" s="35" t="str">
        <x:v>Round1</x:v>
      </x:c>
      <x:c r="D2086" s="35" t="str">
        <x:v>JacksonCore_19</x:v>
      </x:c>
      <x:c r="E2086" s="35" t="str">
        <x:v>Condition</x:v>
      </x:c>
      <x:c r="F2086" s="35"/>
      <x:c r="G2086" s="35" t="str">
        <x:v>A</x:v>
      </x:c>
      <x:c r="H2086" s="39" t="str">
        <x:f>IF(ISNUMBER('Data'!N378),'Data'!N378*100,"")</x:f>
      </x:c>
      <x:c r="I2086" s="35"/>
      <x:c r="J2086" s="35" t="str">
        <x:v>PASS</x:v>
      </x:c>
      <x:c r="K2086" s="35" t="str">
        <x:v>FAIL</x:v>
      </x:c>
      <x:c r="L2086" s="35" t="str">
        <x:v>NOT_RUN</x:v>
      </x:c>
      <x:c r="M2086" s="35" t="str">
        <x:v>coverage unavailable or execution/compile failed</x:v>
      </x:c>
      <x:c r="N2086" s="35" t="str">
        <x:v>Deepseek-flash-v4/Result/JacksonCore_19/result.json</x:v>
      </x:c>
      <x:c r="O2086" s="39" t="str">
        <x:f>IF(AND(G2086="RECORDED",ISNUMBER(H2086)),H2086,"")</x:f>
      </x:c>
      <x:c r="P2086" s="35" t="str">
        <x:v>NOT_AVAILABLE</x:v>
      </x:c>
      <x:c r="Q2086" s="35" t="str">
        <x:v>Deepseek-flash-v4/Result/JacksonCore_19/result.json</x:v>
      </x:c>
    </x:row>
    <x:row r="2087">
      <x:c r="A2087" s="35" t="str">
        <x:v>deepseek</x:v>
      </x:c>
      <x:c r="B2087" s="35" t="str">
        <x:v>JacksonCore</x:v>
      </x:c>
      <x:c r="C2087" s="35" t="str">
        <x:v>Round1</x:v>
      </x:c>
      <x:c r="D2087" s="35" t="str">
        <x:v>JacksonCore_2</x:v>
      </x:c>
      <x:c r="E2087" s="35" t="str">
        <x:v>Condition</x:v>
      </x:c>
      <x:c r="F2087" s="35"/>
      <x:c r="G2087" s="35" t="str">
        <x:v>A</x:v>
      </x:c>
      <x:c r="H2087" s="39" t="str">
        <x:f>IF(ISNUMBER('Data'!N379),'Data'!N379*100,"")</x:f>
      </x:c>
      <x:c r="I2087" s="35"/>
      <x:c r="J2087" s="35" t="str">
        <x:v>PASS</x:v>
      </x:c>
      <x:c r="K2087" s="35" t="str">
        <x:v>FAIL</x:v>
      </x:c>
      <x:c r="L2087" s="35" t="str">
        <x:v>NOT_RUN</x:v>
      </x:c>
      <x:c r="M2087" s="35" t="str">
        <x:v>coverage unavailable or execution/compile failed</x:v>
      </x:c>
      <x:c r="N2087" s="35" t="str">
        <x:v>Deepseek-flash-v4/Result/JacksonCore_2/result.json</x:v>
      </x:c>
      <x:c r="O2087" s="39" t="str">
        <x:f>IF(AND(G2087="RECORDED",ISNUMBER(H2087)),H2087,"")</x:f>
      </x:c>
      <x:c r="P2087" s="35" t="str">
        <x:v>NOT_AVAILABLE</x:v>
      </x:c>
      <x:c r="Q2087" s="35" t="str">
        <x:v>Deepseek-flash-v4/Result/JacksonCore_2/result.json</x:v>
      </x:c>
    </x:row>
    <x:row r="2088">
      <x:c r="A2088" s="35" t="str">
        <x:v>deepseek</x:v>
      </x:c>
      <x:c r="B2088" s="35" t="str">
        <x:v>JacksonCore</x:v>
      </x:c>
      <x:c r="C2088" s="35" t="str">
        <x:v>Round1</x:v>
      </x:c>
      <x:c r="D2088" s="35" t="str">
        <x:v>JacksonCore_20</x:v>
      </x:c>
      <x:c r="E2088" s="35" t="str">
        <x:v>Condition</x:v>
      </x:c>
      <x:c r="F2088" s="35"/>
      <x:c r="G2088" s="35" t="str">
        <x:v>A</x:v>
      </x:c>
      <x:c r="H2088" s="39" t="str">
        <x:f>IF(ISNUMBER('Data'!N380),'Data'!N380*100,"")</x:f>
      </x:c>
      <x:c r="I2088" s="35"/>
      <x:c r="J2088" s="35" t="str">
        <x:v>PASS</x:v>
      </x:c>
      <x:c r="K2088" s="35" t="str">
        <x:v>FAIL</x:v>
      </x:c>
      <x:c r="L2088" s="35" t="str">
        <x:v>NOT_RUN</x:v>
      </x:c>
      <x:c r="M2088" s="35" t="str">
        <x:v>coverage unavailable or execution/compile failed</x:v>
      </x:c>
      <x:c r="N2088" s="35" t="str">
        <x:v>Deepseek-flash-v4/Result/JacksonCore_20/result.json</x:v>
      </x:c>
      <x:c r="O2088" s="39" t="str">
        <x:f>IF(AND(G2088="RECORDED",ISNUMBER(H2088)),H2088,"")</x:f>
      </x:c>
      <x:c r="P2088" s="35" t="str">
        <x:v>NOT_AVAILABLE</x:v>
      </x:c>
      <x:c r="Q2088" s="35" t="str">
        <x:v>Deepseek-flash-v4/Result/JacksonCore_20/result.json</x:v>
      </x:c>
    </x:row>
    <x:row r="2089">
      <x:c r="A2089" s="35" t="str">
        <x:v>deepseek</x:v>
      </x:c>
      <x:c r="B2089" s="35" t="str">
        <x:v>JacksonCore</x:v>
      </x:c>
      <x:c r="C2089" s="35" t="str">
        <x:v>Round1</x:v>
      </x:c>
      <x:c r="D2089" s="35" t="str">
        <x:v>JacksonCore_21</x:v>
      </x:c>
      <x:c r="E2089" s="35" t="str">
        <x:v>Condition</x:v>
      </x:c>
      <x:c r="F2089" s="35"/>
      <x:c r="G2089" s="35" t="str">
        <x:v>A</x:v>
      </x:c>
      <x:c r="H2089" s="39" t="str">
        <x:f>IF(ISNUMBER('Data'!N381),'Data'!N381*100,"")</x:f>
      </x:c>
      <x:c r="I2089" s="35"/>
      <x:c r="J2089" s="35" t="str">
        <x:v>PASS</x:v>
      </x:c>
      <x:c r="K2089" s="35" t="str">
        <x:v>FAIL</x:v>
      </x:c>
      <x:c r="L2089" s="35" t="str">
        <x:v>NOT_RUN</x:v>
      </x:c>
      <x:c r="M2089" s="35" t="str">
        <x:v>coverage unavailable or execution/compile failed</x:v>
      </x:c>
      <x:c r="N2089" s="35" t="str">
        <x:v>Deepseek-flash-v4/Result/JacksonCore_21/result.json</x:v>
      </x:c>
      <x:c r="O2089" s="39" t="str">
        <x:f>IF(AND(G2089="RECORDED",ISNUMBER(H2089)),H2089,"")</x:f>
      </x:c>
      <x:c r="P2089" s="35" t="str">
        <x:v>NOT_AVAILABLE</x:v>
      </x:c>
      <x:c r="Q2089" s="35" t="str">
        <x:v>Deepseek-flash-v4/Result/JacksonCore_21/result.json</x:v>
      </x:c>
    </x:row>
    <x:row r="2090">
      <x:c r="A2090" s="35" t="str">
        <x:v>deepseek</x:v>
      </x:c>
      <x:c r="B2090" s="35" t="str">
        <x:v>JacksonCore</x:v>
      </x:c>
      <x:c r="C2090" s="35" t="str">
        <x:v>Round1</x:v>
      </x:c>
      <x:c r="D2090" s="35" t="str">
        <x:v>JacksonCore_22</x:v>
      </x:c>
      <x:c r="E2090" s="35" t="str">
        <x:v>Condition</x:v>
      </x:c>
      <x:c r="F2090" s="35"/>
      <x:c r="G2090" s="35" t="str">
        <x:v>A</x:v>
      </x:c>
      <x:c r="H2090" s="39" t="str">
        <x:f>IF(ISNUMBER('Data'!N382),'Data'!N382*100,"")</x:f>
      </x:c>
      <x:c r="I2090" s="35"/>
      <x:c r="J2090" s="35" t="str">
        <x:v>PASS</x:v>
      </x:c>
      <x:c r="K2090" s="35" t="str">
        <x:v>FAIL</x:v>
      </x:c>
      <x:c r="L2090" s="35" t="str">
        <x:v>NOT_RUN</x:v>
      </x:c>
      <x:c r="M2090" s="35" t="str">
        <x:v>coverage unavailable or execution/compile failed</x:v>
      </x:c>
      <x:c r="N2090" s="35" t="str">
        <x:v>Deepseek-flash-v4/Result/JacksonCore_22/result.json</x:v>
      </x:c>
      <x:c r="O2090" s="39" t="str">
        <x:f>IF(AND(G2090="RECORDED",ISNUMBER(H2090)),H2090,"")</x:f>
      </x:c>
      <x:c r="P2090" s="35" t="str">
        <x:v>NOT_AVAILABLE</x:v>
      </x:c>
      <x:c r="Q2090" s="35" t="str">
        <x:v>Deepseek-flash-v4/Result/JacksonCore_22/result.json</x:v>
      </x:c>
    </x:row>
    <x:row r="2091">
      <x:c r="A2091" s="35" t="str">
        <x:v>deepseek</x:v>
      </x:c>
      <x:c r="B2091" s="35" t="str">
        <x:v>JacksonCore</x:v>
      </x:c>
      <x:c r="C2091" s="35" t="str">
        <x:v>Round1</x:v>
      </x:c>
      <x:c r="D2091" s="35" t="str">
        <x:v>JacksonCore_23</x:v>
      </x:c>
      <x:c r="E2091" s="35" t="str">
        <x:v>Condition</x:v>
      </x:c>
      <x:c r="F2091" s="35"/>
      <x:c r="G2091" s="35" t="str">
        <x:v>A</x:v>
      </x:c>
      <x:c r="H2091" s="39" t="str">
        <x:f>IF(ISNUMBER('Data'!N383),'Data'!N383*100,"")</x:f>
      </x:c>
      <x:c r="I2091" s="35"/>
      <x:c r="J2091" s="35" t="str">
        <x:v>PASS</x:v>
      </x:c>
      <x:c r="K2091" s="35" t="str">
        <x:v>FAIL</x:v>
      </x:c>
      <x:c r="L2091" s="35" t="str">
        <x:v>NOT_RUN</x:v>
      </x:c>
      <x:c r="M2091" s="35" t="str">
        <x:v>coverage unavailable or execution/compile failed</x:v>
      </x:c>
      <x:c r="N2091" s="35" t="str">
        <x:v>Deepseek-flash-v4/Result/JacksonCore_23/result.json</x:v>
      </x:c>
      <x:c r="O2091" s="39" t="str">
        <x:f>IF(AND(G2091="RECORDED",ISNUMBER(H2091)),H2091,"")</x:f>
      </x:c>
      <x:c r="P2091" s="35" t="str">
        <x:v>NOT_AVAILABLE</x:v>
      </x:c>
      <x:c r="Q2091" s="35" t="str">
        <x:v>Deepseek-flash-v4/Result/JacksonCore_23/result.json</x:v>
      </x:c>
    </x:row>
    <x:row r="2092">
      <x:c r="A2092" s="35" t="str">
        <x:v>deepseek</x:v>
      </x:c>
      <x:c r="B2092" s="35" t="str">
        <x:v>JacksonCore</x:v>
      </x:c>
      <x:c r="C2092" s="35" t="str">
        <x:v>Round1</x:v>
      </x:c>
      <x:c r="D2092" s="35" t="str">
        <x:v>JacksonCore_24</x:v>
      </x:c>
      <x:c r="E2092" s="35" t="str">
        <x:v>Condition</x:v>
      </x:c>
      <x:c r="F2092" s="35"/>
      <x:c r="G2092" s="35" t="str">
        <x:v>A</x:v>
      </x:c>
      <x:c r="H2092" s="39" t="str">
        <x:f>IF(ISNUMBER('Data'!N384),'Data'!N384*100,"")</x:f>
      </x:c>
      <x:c r="I2092" s="35"/>
      <x:c r="J2092" s="35" t="str">
        <x:v>PASS</x:v>
      </x:c>
      <x:c r="K2092" s="35" t="str">
        <x:v>FAIL</x:v>
      </x:c>
      <x:c r="L2092" s="35" t="str">
        <x:v>NOT_RUN</x:v>
      </x:c>
      <x:c r="M2092" s="35" t="str">
        <x:v>coverage unavailable or execution/compile failed</x:v>
      </x:c>
      <x:c r="N2092" s="35" t="str">
        <x:v>Deepseek-flash-v4/Result/JacksonCore_24/result.json</x:v>
      </x:c>
      <x:c r="O2092" s="39" t="str">
        <x:f>IF(AND(G2092="RECORDED",ISNUMBER(H2092)),H2092,"")</x:f>
      </x:c>
      <x:c r="P2092" s="35" t="str">
        <x:v>NOT_AVAILABLE</x:v>
      </x:c>
      <x:c r="Q2092" s="35" t="str">
        <x:v>Deepseek-flash-v4/Result/JacksonCore_24/result.json</x:v>
      </x:c>
    </x:row>
    <x:row r="2093">
      <x:c r="A2093" s="35" t="str">
        <x:v>deepseek</x:v>
      </x:c>
      <x:c r="B2093" s="35" t="str">
        <x:v>JacksonCore</x:v>
      </x:c>
      <x:c r="C2093" s="35" t="str">
        <x:v>Round1</x:v>
      </x:c>
      <x:c r="D2093" s="35" t="str">
        <x:v>JacksonCore_25</x:v>
      </x:c>
      <x:c r="E2093" s="35" t="str">
        <x:v>Condition</x:v>
      </x:c>
      <x:c r="F2093" s="35"/>
      <x:c r="G2093" s="35" t="str">
        <x:v>A</x:v>
      </x:c>
      <x:c r="H2093" s="39" t="str">
        <x:f>IF(ISNUMBER('Data'!N385),'Data'!N385*100,"")</x:f>
      </x:c>
      <x:c r="I2093" s="35"/>
      <x:c r="J2093" s="35" t="str">
        <x:v>PASS</x:v>
      </x:c>
      <x:c r="K2093" s="35" t="str">
        <x:v>FAIL</x:v>
      </x:c>
      <x:c r="L2093" s="35" t="str">
        <x:v>NOT_RUN</x:v>
      </x:c>
      <x:c r="M2093" s="35" t="str">
        <x:v>coverage unavailable or execution/compile failed</x:v>
      </x:c>
      <x:c r="N2093" s="35" t="str">
        <x:v>Deepseek-flash-v4/Result/JacksonCore_25/result.json</x:v>
      </x:c>
      <x:c r="O2093" s="39" t="str">
        <x:f>IF(AND(G2093="RECORDED",ISNUMBER(H2093)),H2093,"")</x:f>
      </x:c>
      <x:c r="P2093" s="35" t="str">
        <x:v>NOT_AVAILABLE</x:v>
      </x:c>
      <x:c r="Q2093" s="35" t="str">
        <x:v>Deepseek-flash-v4/Result/JacksonCore_25/result.json</x:v>
      </x:c>
    </x:row>
    <x:row r="2094">
      <x:c r="A2094" s="35" t="str">
        <x:v>deepseek</x:v>
      </x:c>
      <x:c r="B2094" s="35" t="str">
        <x:v>JacksonCore</x:v>
      </x:c>
      <x:c r="C2094" s="35" t="str">
        <x:v>Round1</x:v>
      </x:c>
      <x:c r="D2094" s="35" t="str">
        <x:v>JacksonCore_26</x:v>
      </x:c>
      <x:c r="E2094" s="35" t="str">
        <x:v>Condition</x:v>
      </x:c>
      <x:c r="F2094" s="35" t="n">
        <x:v>951</x:v>
      </x:c>
      <x:c r="G2094" s="35" t="str">
        <x:v>RECORDED</x:v>
      </x:c>
      <x:c r="H2094" s="39" t="n">
        <x:f>IF(ISNUMBER('Data'!N386),'Data'!N386*100,"")</x:f>
        <x:v>10.62</x:v>
      </x:c>
      <x:c r="I2094" s="35" t="str">
        <x:v>PASS</x:v>
      </x:c>
      <x:c r="J2094" s="35" t="str">
        <x:v>PASS</x:v>
      </x:c>
      <x:c r="K2094" s="35" t="str">
        <x:v>PASS</x:v>
      </x:c>
      <x:c r="L2094" s="35" t="str">
        <x:v>FAIL</x:v>
      </x:c>
      <x:c r="M2094" s="35" t="str">
        <x:v>numeric coverage for applicable metric</x:v>
      </x:c>
      <x:c r="N2094" s="35" t="str">
        <x:v>Deepseek-flash-v4/Result/JacksonCore_26/result.json</x:v>
      </x:c>
      <x:c r="O2094" s="39" t="n">
        <x:f>IF(AND(G2094="RECORDED",ISNUMBER(H2094)),H2094,"")</x:f>
        <x:v>10.62</x:v>
      </x:c>
      <x:c r="P2094" s="35" t="str">
        <x:v>INCONCLUSIVE</x:v>
      </x:c>
      <x:c r="Q2094" s="35" t="str">
        <x:v>Deepseek-flash-v4/Result/JacksonCore_26/result.json</x:v>
      </x:c>
    </x:row>
    <x:row r="2095">
      <x:c r="A2095" s="35" t="str">
        <x:v>deepseek</x:v>
      </x:c>
      <x:c r="B2095" s="35" t="str">
        <x:v>JacksonCore</x:v>
      </x:c>
      <x:c r="C2095" s="35" t="str">
        <x:v>Round1</x:v>
      </x:c>
      <x:c r="D2095" s="35" t="str">
        <x:v>JacksonCore_3</x:v>
      </x:c>
      <x:c r="E2095" s="35" t="str">
        <x:v>Condition</x:v>
      </x:c>
      <x:c r="F2095" s="35"/>
      <x:c r="G2095" s="35" t="str">
        <x:v>A</x:v>
      </x:c>
      <x:c r="H2095" s="39" t="str">
        <x:f>IF(ISNUMBER('Data'!N387),'Data'!N387*100,"")</x:f>
      </x:c>
      <x:c r="I2095" s="35"/>
      <x:c r="J2095" s="35" t="str">
        <x:v>PASS</x:v>
      </x:c>
      <x:c r="K2095" s="35" t="str">
        <x:v>FAIL</x:v>
      </x:c>
      <x:c r="L2095" s="35" t="str">
        <x:v>NOT_RUN</x:v>
      </x:c>
      <x:c r="M2095" s="35" t="str">
        <x:v>coverage unavailable or execution/compile failed</x:v>
      </x:c>
      <x:c r="N2095" s="35" t="str">
        <x:v>Deepseek-flash-v4/Result/JacksonCore_3/result.json</x:v>
      </x:c>
      <x:c r="O2095" s="39" t="str">
        <x:f>IF(AND(G2095="RECORDED",ISNUMBER(H2095)),H2095,"")</x:f>
      </x:c>
      <x:c r="P2095" s="35" t="str">
        <x:v>NOT_AVAILABLE</x:v>
      </x:c>
      <x:c r="Q2095" s="35" t="str">
        <x:v>Deepseek-flash-v4/Result/JacksonCore_3/result.json</x:v>
      </x:c>
    </x:row>
    <x:row r="2096">
      <x:c r="A2096" s="35" t="str">
        <x:v>deepseek</x:v>
      </x:c>
      <x:c r="B2096" s="35" t="str">
        <x:v>JacksonCore</x:v>
      </x:c>
      <x:c r="C2096" s="35" t="str">
        <x:v>Round1</x:v>
      </x:c>
      <x:c r="D2096" s="35" t="str">
        <x:v>JacksonCore_4</x:v>
      </x:c>
      <x:c r="E2096" s="35" t="str">
        <x:v>Condition</x:v>
      </x:c>
      <x:c r="F2096" s="35"/>
      <x:c r="G2096" s="35" t="str">
        <x:v>A</x:v>
      </x:c>
      <x:c r="H2096" s="39" t="str">
        <x:f>IF(ISNUMBER('Data'!N388),'Data'!N388*100,"")</x:f>
      </x:c>
      <x:c r="I2096" s="35"/>
      <x:c r="J2096" s="35" t="str">
        <x:v>PASS</x:v>
      </x:c>
      <x:c r="K2096" s="35" t="str">
        <x:v>FAIL</x:v>
      </x:c>
      <x:c r="L2096" s="35" t="str">
        <x:v>NOT_RUN</x:v>
      </x:c>
      <x:c r="M2096" s="35" t="str">
        <x:v>coverage unavailable or execution/compile failed</x:v>
      </x:c>
      <x:c r="N2096" s="35" t="str">
        <x:v>Deepseek-flash-v4/Result/JacksonCore_4/result.json</x:v>
      </x:c>
      <x:c r="O2096" s="39" t="str">
        <x:f>IF(AND(G2096="RECORDED",ISNUMBER(H2096)),H2096,"")</x:f>
      </x:c>
      <x:c r="P2096" s="35" t="str">
        <x:v>NOT_AVAILABLE</x:v>
      </x:c>
      <x:c r="Q2096" s="35" t="str">
        <x:v>Deepseek-flash-v4/Result/JacksonCore_4/result.json</x:v>
      </x:c>
    </x:row>
    <x:row r="2097">
      <x:c r="A2097" s="35" t="str">
        <x:v>deepseek</x:v>
      </x:c>
      <x:c r="B2097" s="35" t="str">
        <x:v>JacksonCore</x:v>
      </x:c>
      <x:c r="C2097" s="35" t="str">
        <x:v>Round1</x:v>
      </x:c>
      <x:c r="D2097" s="35" t="str">
        <x:v>JacksonCore_5</x:v>
      </x:c>
      <x:c r="E2097" s="35" t="str">
        <x:v>Condition</x:v>
      </x:c>
      <x:c r="F2097" s="35"/>
      <x:c r="G2097" s="35" t="str">
        <x:v>A</x:v>
      </x:c>
      <x:c r="H2097" s="39" t="str">
        <x:f>IF(ISNUMBER('Data'!N389),'Data'!N389*100,"")</x:f>
      </x:c>
      <x:c r="I2097" s="35"/>
      <x:c r="J2097" s="35" t="str">
        <x:v>PASS</x:v>
      </x:c>
      <x:c r="K2097" s="35" t="str">
        <x:v>FAIL</x:v>
      </x:c>
      <x:c r="L2097" s="35" t="str">
        <x:v>NOT_RUN</x:v>
      </x:c>
      <x:c r="M2097" s="35" t="str">
        <x:v>coverage unavailable or execution/compile failed</x:v>
      </x:c>
      <x:c r="N2097" s="35" t="str">
        <x:v>Deepseek-flash-v4/Result/JacksonCore_5/result.json</x:v>
      </x:c>
      <x:c r="O2097" s="39" t="str">
        <x:f>IF(AND(G2097="RECORDED",ISNUMBER(H2097)),H2097,"")</x:f>
      </x:c>
      <x:c r="P2097" s="35" t="str">
        <x:v>NOT_AVAILABLE</x:v>
      </x:c>
      <x:c r="Q2097" s="35" t="str">
        <x:v>Deepseek-flash-v4/Result/JacksonCore_5/result.json</x:v>
      </x:c>
    </x:row>
    <x:row r="2098">
      <x:c r="A2098" s="35" t="str">
        <x:v>deepseek</x:v>
      </x:c>
      <x:c r="B2098" s="35" t="str">
        <x:v>JacksonCore</x:v>
      </x:c>
      <x:c r="C2098" s="35" t="str">
        <x:v>Round1</x:v>
      </x:c>
      <x:c r="D2098" s="35" t="str">
        <x:v>JacksonCore_6</x:v>
      </x:c>
      <x:c r="E2098" s="35" t="str">
        <x:v>Condition</x:v>
      </x:c>
      <x:c r="F2098" s="35" t="n">
        <x:v>62</x:v>
      </x:c>
      <x:c r="G2098" s="35" t="str">
        <x:v>RECORDED</x:v>
      </x:c>
      <x:c r="H2098" s="39" t="n">
        <x:f>IF(ISNUMBER('Data'!N390),'Data'!N390*100,"")</x:f>
        <x:v>87.1</x:v>
      </x:c>
      <x:c r="I2098" s="35" t="str">
        <x:v>PASS</x:v>
      </x:c>
      <x:c r="J2098" s="35" t="str">
        <x:v>PASS</x:v>
      </x:c>
      <x:c r="K2098" s="35" t="str">
        <x:v>PASS</x:v>
      </x:c>
      <x:c r="L2098" s="35" t="str">
        <x:v>FAIL</x:v>
      </x:c>
      <x:c r="M2098" s="35" t="str">
        <x:v>numeric coverage for applicable metric</x:v>
      </x:c>
      <x:c r="N2098" s="35" t="str">
        <x:v>Deepseek-flash-v4/Result/JacksonCore_6/result.json</x:v>
      </x:c>
      <x:c r="O2098" s="39" t="n">
        <x:f>IF(AND(G2098="RECORDED",ISNUMBER(H2098)),H2098,"")</x:f>
        <x:v>87.1</x:v>
      </x:c>
      <x:c r="P2098" s="35" t="str">
        <x:v>INCONCLUSIVE</x:v>
      </x:c>
      <x:c r="Q2098" s="35" t="str">
        <x:v>Deepseek-flash-v4/Result/JacksonCore_6/result.json</x:v>
      </x:c>
    </x:row>
    <x:row r="2099">
      <x:c r="A2099" s="35" t="str">
        <x:v>deepseek</x:v>
      </x:c>
      <x:c r="B2099" s="35" t="str">
        <x:v>JacksonCore</x:v>
      </x:c>
      <x:c r="C2099" s="35" t="str">
        <x:v>Round1</x:v>
      </x:c>
      <x:c r="D2099" s="35" t="str">
        <x:v>JacksonCore_7</x:v>
      </x:c>
      <x:c r="E2099" s="35" t="str">
        <x:v>Condition</x:v>
      </x:c>
      <x:c r="F2099" s="35"/>
      <x:c r="G2099" s="35" t="str">
        <x:v>A</x:v>
      </x:c>
      <x:c r="H2099" s="39" t="str">
        <x:f>IF(ISNUMBER('Data'!N391),'Data'!N391*100,"")</x:f>
      </x:c>
      <x:c r="I2099" s="35"/>
      <x:c r="J2099" s="35" t="str">
        <x:v>PASS</x:v>
      </x:c>
      <x:c r="K2099" s="35" t="str">
        <x:v>FAIL</x:v>
      </x:c>
      <x:c r="L2099" s="35" t="str">
        <x:v>NOT_RUN</x:v>
      </x:c>
      <x:c r="M2099" s="35" t="str">
        <x:v>coverage unavailable or execution/compile failed</x:v>
      </x:c>
      <x:c r="N2099" s="35" t="str">
        <x:v>Deepseek-flash-v4/Result/JacksonCore_7/result.json</x:v>
      </x:c>
      <x:c r="O2099" s="39" t="str">
        <x:f>IF(AND(G2099="RECORDED",ISNUMBER(H2099)),H2099,"")</x:f>
      </x:c>
      <x:c r="P2099" s="35" t="str">
        <x:v>NOT_AVAILABLE</x:v>
      </x:c>
      <x:c r="Q2099" s="35" t="str">
        <x:v>Deepseek-flash-v4/Result/JacksonCore_7/result.json</x:v>
      </x:c>
    </x:row>
    <x:row r="2100">
      <x:c r="A2100" s="35" t="str">
        <x:v>deepseek</x:v>
      </x:c>
      <x:c r="B2100" s="35" t="str">
        <x:v>JacksonCore</x:v>
      </x:c>
      <x:c r="C2100" s="35" t="str">
        <x:v>Round1</x:v>
      </x:c>
      <x:c r="D2100" s="35" t="str">
        <x:v>JacksonCore_8</x:v>
      </x:c>
      <x:c r="E2100" s="35" t="str">
        <x:v>Condition</x:v>
      </x:c>
      <x:c r="F2100" s="35" t="n">
        <x:v>138</x:v>
      </x:c>
      <x:c r="G2100" s="35" t="str">
        <x:v>RECORDED</x:v>
      </x:c>
      <x:c r="H2100" s="39" t="n">
        <x:f>IF(ISNUMBER('Data'!N392),'Data'!N392*100,"")</x:f>
        <x:v>48.55</x:v>
      </x:c>
      <x:c r="I2100" s="35" t="str">
        <x:v>PASS</x:v>
      </x:c>
      <x:c r="J2100" s="35" t="str">
        <x:v>PASS</x:v>
      </x:c>
      <x:c r="K2100" s="35" t="str">
        <x:v>PASS</x:v>
      </x:c>
      <x:c r="L2100" s="35" t="str">
        <x:v>FAIL</x:v>
      </x:c>
      <x:c r="M2100" s="35" t="str">
        <x:v>numeric coverage for applicable metric</x:v>
      </x:c>
      <x:c r="N2100" s="35" t="str">
        <x:v>Deepseek-flash-v4/Result/JacksonCore_8/result.json</x:v>
      </x:c>
      <x:c r="O2100" s="39" t="n">
        <x:f>IF(AND(G2100="RECORDED",ISNUMBER(H2100)),H2100,"")</x:f>
        <x:v>48.55</x:v>
      </x:c>
      <x:c r="P2100" s="35" t="str">
        <x:v>INCONCLUSIVE</x:v>
      </x:c>
      <x:c r="Q2100" s="35" t="str">
        <x:v>Deepseek-flash-v4/Result/JacksonCore_8/result.json</x:v>
      </x:c>
    </x:row>
    <x:row r="2101">
      <x:c r="A2101" s="35" t="str">
        <x:v>deepseek</x:v>
      </x:c>
      <x:c r="B2101" s="35" t="str">
        <x:v>JacksonCore</x:v>
      </x:c>
      <x:c r="C2101" s="35" t="str">
        <x:v>Round1</x:v>
      </x:c>
      <x:c r="D2101" s="35" t="str">
        <x:v>JacksonCore_9</x:v>
      </x:c>
      <x:c r="E2101" s="35" t="str">
        <x:v>Condition</x:v>
      </x:c>
      <x:c r="F2101" s="35"/>
      <x:c r="G2101" s="35" t="str">
        <x:v>A</x:v>
      </x:c>
      <x:c r="H2101" s="39" t="str">
        <x:f>IF(ISNUMBER('Data'!N393),'Data'!N393*100,"")</x:f>
      </x:c>
      <x:c r="I2101" s="35"/>
      <x:c r="J2101" s="35" t="str">
        <x:v>PASS</x:v>
      </x:c>
      <x:c r="K2101" s="35" t="str">
        <x:v>FAIL</x:v>
      </x:c>
      <x:c r="L2101" s="35" t="str">
        <x:v>NOT_RUN</x:v>
      </x:c>
      <x:c r="M2101" s="35" t="str">
        <x:v>coverage unavailable or execution/compile failed</x:v>
      </x:c>
      <x:c r="N2101" s="35" t="str">
        <x:v>Deepseek-flash-v4/Result/JacksonCore_9/result.json</x:v>
      </x:c>
      <x:c r="O2101" s="39" t="str">
        <x:f>IF(AND(G2101="RECORDED",ISNUMBER(H2101)),H2101,"")</x:f>
      </x:c>
      <x:c r="P2101" s="35" t="str">
        <x:v>NOT_AVAILABLE</x:v>
      </x:c>
      <x:c r="Q2101" s="35" t="str">
        <x:v>Deepseek-flash-v4/Result/JacksonCore_9/result.json</x:v>
      </x:c>
    </x:row>
    <x:row r="2102">
      <x:c r="A2102" s="35" t="str">
        <x:v>deepseek</x:v>
      </x:c>
      <x:c r="B2102" s="35" t="str">
        <x:v>JacksonDatabind</x:v>
      </x:c>
      <x:c r="C2102" s="35" t="str">
        <x:v>Round1</x:v>
      </x:c>
      <x:c r="D2102" s="35" t="str">
        <x:v>JacksonDatabind_1</x:v>
      </x:c>
      <x:c r="E2102" s="35" t="str">
        <x:v>Condition</x:v>
      </x:c>
      <x:c r="F2102" s="35"/>
      <x:c r="G2102" s="35" t="str">
        <x:v>A</x:v>
      </x:c>
      <x:c r="H2102" s="39" t="str">
        <x:f>IF(ISNUMBER('Data'!N394),'Data'!N394*100,"")</x:f>
      </x:c>
      <x:c r="I2102" s="35"/>
      <x:c r="J2102" s="35" t="str">
        <x:v>PASS</x:v>
      </x:c>
      <x:c r="K2102" s="35" t="str">
        <x:v>FAIL</x:v>
      </x:c>
      <x:c r="L2102" s="35" t="str">
        <x:v>NOT_RUN</x:v>
      </x:c>
      <x:c r="M2102" s="35" t="str">
        <x:v>coverage unavailable or execution/compile failed</x:v>
      </x:c>
      <x:c r="N2102" s="35" t="str">
        <x:v>Deepseek-flash-v4/Result/JacksonDatabind_1/result.json</x:v>
      </x:c>
      <x:c r="O2102" s="39" t="str">
        <x:f>IF(AND(G2102="RECORDED",ISNUMBER(H2102)),H2102,"")</x:f>
      </x:c>
      <x:c r="P2102" s="35" t="str">
        <x:v>NOT_AVAILABLE</x:v>
      </x:c>
      <x:c r="Q2102" s="35" t="str">
        <x:v>Deepseek-flash-v4/Result/JacksonDatabind_1/result.json</x:v>
      </x:c>
    </x:row>
    <x:row r="2103">
      <x:c r="A2103" s="35" t="str">
        <x:v>deepseek</x:v>
      </x:c>
      <x:c r="B2103" s="35" t="str">
        <x:v>JacksonDatabind</x:v>
      </x:c>
      <x:c r="C2103" s="35" t="str">
        <x:v>Round1</x:v>
      </x:c>
      <x:c r="D2103" s="35" t="str">
        <x:v>JacksonDatabind_10</x:v>
      </x:c>
      <x:c r="E2103" s="35" t="str">
        <x:v>Condition</x:v>
      </x:c>
      <x:c r="F2103" s="35"/>
      <x:c r="G2103" s="35" t="str">
        <x:v>A</x:v>
      </x:c>
      <x:c r="H2103" s="39" t="str">
        <x:f>IF(ISNUMBER('Data'!N395),'Data'!N395*100,"")</x:f>
      </x:c>
      <x:c r="I2103" s="35"/>
      <x:c r="J2103" s="35" t="str">
        <x:v>PASS</x:v>
      </x:c>
      <x:c r="K2103" s="35" t="str">
        <x:v>FAIL</x:v>
      </x:c>
      <x:c r="L2103" s="35" t="str">
        <x:v>NOT_RUN</x:v>
      </x:c>
      <x:c r="M2103" s="35" t="str">
        <x:v>coverage unavailable or execution/compile failed</x:v>
      </x:c>
      <x:c r="N2103" s="35" t="str">
        <x:v>Deepseek-flash-v4/Result/JacksonDatabind_10/result.json</x:v>
      </x:c>
      <x:c r="O2103" s="39" t="str">
        <x:f>IF(AND(G2103="RECORDED",ISNUMBER(H2103)),H2103,"")</x:f>
      </x:c>
      <x:c r="P2103" s="35" t="str">
        <x:v>NOT_AVAILABLE</x:v>
      </x:c>
      <x:c r="Q2103" s="35" t="str">
        <x:v>Deepseek-flash-v4/Result/JacksonDatabind_10/result.json</x:v>
      </x:c>
    </x:row>
    <x:row r="2104">
      <x:c r="A2104" s="35" t="str">
        <x:v>deepseek</x:v>
      </x:c>
      <x:c r="B2104" s="35" t="str">
        <x:v>JacksonDatabind</x:v>
      </x:c>
      <x:c r="C2104" s="35" t="str">
        <x:v>Round1</x:v>
      </x:c>
      <x:c r="D2104" s="35" t="str">
        <x:v>JacksonDatabind_100</x:v>
      </x:c>
      <x:c r="E2104" s="35" t="str">
        <x:v>Condition</x:v>
      </x:c>
      <x:c r="F2104" s="35"/>
      <x:c r="G2104" s="35" t="str">
        <x:v>A</x:v>
      </x:c>
      <x:c r="H2104" s="39" t="str">
        <x:f>IF(ISNUMBER('Data'!N396),'Data'!N396*100,"")</x:f>
      </x:c>
      <x:c r="I2104" s="35"/>
      <x:c r="J2104" s="35" t="str">
        <x:v>PASS</x:v>
      </x:c>
      <x:c r="K2104" s="35" t="str">
        <x:v>FAIL</x:v>
      </x:c>
      <x:c r="L2104" s="35" t="str">
        <x:v>NOT_RUN</x:v>
      </x:c>
      <x:c r="M2104" s="35" t="str">
        <x:v>coverage unavailable or execution/compile failed</x:v>
      </x:c>
      <x:c r="N2104" s="35" t="str">
        <x:v>Deepseek-flash-v4/Result/JacksonDatabind_100/result.json</x:v>
      </x:c>
      <x:c r="O2104" s="39" t="str">
        <x:f>IF(AND(G2104="RECORDED",ISNUMBER(H2104)),H2104,"")</x:f>
      </x:c>
      <x:c r="P2104" s="35" t="str">
        <x:v>NOT_AVAILABLE</x:v>
      </x:c>
      <x:c r="Q2104" s="35" t="str">
        <x:v>Deepseek-flash-v4/Result/JacksonDatabind_100/result.json</x:v>
      </x:c>
    </x:row>
    <x:row r="2105">
      <x:c r="A2105" s="35" t="str">
        <x:v>deepseek</x:v>
      </x:c>
      <x:c r="B2105" s="35" t="str">
        <x:v>JacksonDatabind</x:v>
      </x:c>
      <x:c r="C2105" s="35" t="str">
        <x:v>Round1</x:v>
      </x:c>
      <x:c r="D2105" s="35" t="str">
        <x:v>JacksonDatabind_101</x:v>
      </x:c>
      <x:c r="E2105" s="35" t="str">
        <x:v>Condition</x:v>
      </x:c>
      <x:c r="F2105" s="35"/>
      <x:c r="G2105" s="35" t="str">
        <x:v>A</x:v>
      </x:c>
      <x:c r="H2105" s="39" t="str">
        <x:f>IF(ISNUMBER('Data'!N397),'Data'!N397*100,"")</x:f>
      </x:c>
      <x:c r="I2105" s="35"/>
      <x:c r="J2105" s="35" t="str">
        <x:v>PASS</x:v>
      </x:c>
      <x:c r="K2105" s="35" t="str">
        <x:v>FAIL</x:v>
      </x:c>
      <x:c r="L2105" s="35" t="str">
        <x:v>NOT_RUN</x:v>
      </x:c>
      <x:c r="M2105" s="35" t="str">
        <x:v>coverage unavailable or execution/compile failed</x:v>
      </x:c>
      <x:c r="N2105" s="35" t="str">
        <x:v>Deepseek-flash-v4/Result/JacksonDatabind_101/result.json</x:v>
      </x:c>
      <x:c r="O2105" s="39" t="str">
        <x:f>IF(AND(G2105="RECORDED",ISNUMBER(H2105)),H2105,"")</x:f>
      </x:c>
      <x:c r="P2105" s="35" t="str">
        <x:v>NOT_AVAILABLE</x:v>
      </x:c>
      <x:c r="Q2105" s="35" t="str">
        <x:v>Deepseek-flash-v4/Result/JacksonDatabind_101/result.json</x:v>
      </x:c>
    </x:row>
    <x:row r="2106">
      <x:c r="A2106" s="35" t="str">
        <x:v>deepseek</x:v>
      </x:c>
      <x:c r="B2106" s="35" t="str">
        <x:v>JacksonDatabind</x:v>
      </x:c>
      <x:c r="C2106" s="35" t="str">
        <x:v>Round1</x:v>
      </x:c>
      <x:c r="D2106" s="35" t="str">
        <x:v>JacksonDatabind_102</x:v>
      </x:c>
      <x:c r="E2106" s="35" t="str">
        <x:v>Condition</x:v>
      </x:c>
      <x:c r="F2106" s="35"/>
      <x:c r="G2106" s="35" t="str">
        <x:v>A</x:v>
      </x:c>
      <x:c r="H2106" s="39" t="str">
        <x:f>IF(ISNUMBER('Data'!N398),'Data'!N398*100,"")</x:f>
      </x:c>
      <x:c r="I2106" s="35"/>
      <x:c r="J2106" s="35" t="str">
        <x:v>PASS</x:v>
      </x:c>
      <x:c r="K2106" s="35" t="str">
        <x:v>FAIL</x:v>
      </x:c>
      <x:c r="L2106" s="35" t="str">
        <x:v>NOT_RUN</x:v>
      </x:c>
      <x:c r="M2106" s="35" t="str">
        <x:v>coverage unavailable or execution/compile failed</x:v>
      </x:c>
      <x:c r="N2106" s="35" t="str">
        <x:v>Deepseek-flash-v4/Result/JacksonDatabind_102/result.json</x:v>
      </x:c>
      <x:c r="O2106" s="39" t="str">
        <x:f>IF(AND(G2106="RECORDED",ISNUMBER(H2106)),H2106,"")</x:f>
      </x:c>
      <x:c r="P2106" s="35" t="str">
        <x:v>NOT_AVAILABLE</x:v>
      </x:c>
      <x:c r="Q2106" s="35" t="str">
        <x:v>Deepseek-flash-v4/Result/JacksonDatabind_102/result.json</x:v>
      </x:c>
    </x:row>
    <x:row r="2107">
      <x:c r="A2107" s="35" t="str">
        <x:v>deepseek</x:v>
      </x:c>
      <x:c r="B2107" s="35" t="str">
        <x:v>JacksonDatabind</x:v>
      </x:c>
      <x:c r="C2107" s="35" t="str">
        <x:v>Round1</x:v>
      </x:c>
      <x:c r="D2107" s="35" t="str">
        <x:v>JacksonDatabind_103</x:v>
      </x:c>
      <x:c r="E2107" s="35" t="str">
        <x:v>Condition</x:v>
      </x:c>
      <x:c r="F2107" s="35"/>
      <x:c r="G2107" s="35" t="str">
        <x:v>A</x:v>
      </x:c>
      <x:c r="H2107" s="39" t="str">
        <x:f>IF(ISNUMBER('Data'!N399),'Data'!N399*100,"")</x:f>
      </x:c>
      <x:c r="I2107" s="35"/>
      <x:c r="J2107" s="35" t="str">
        <x:v>PASS</x:v>
      </x:c>
      <x:c r="K2107" s="35" t="str">
        <x:v>FAIL</x:v>
      </x:c>
      <x:c r="L2107" s="35" t="str">
        <x:v>NOT_RUN</x:v>
      </x:c>
      <x:c r="M2107" s="35" t="str">
        <x:v>coverage unavailable or execution/compile failed</x:v>
      </x:c>
      <x:c r="N2107" s="35" t="str">
        <x:v>Deepseek-flash-v4/Result/JacksonDatabind_103/result.json</x:v>
      </x:c>
      <x:c r="O2107" s="39" t="str">
        <x:f>IF(AND(G2107="RECORDED",ISNUMBER(H2107)),H2107,"")</x:f>
      </x:c>
      <x:c r="P2107" s="35" t="str">
        <x:v>NOT_AVAILABLE</x:v>
      </x:c>
      <x:c r="Q2107" s="35" t="str">
        <x:v>Deepseek-flash-v4/Result/JacksonDatabind_103/result.json</x:v>
      </x:c>
    </x:row>
    <x:row r="2108">
      <x:c r="A2108" s="35" t="str">
        <x:v>deepseek</x:v>
      </x:c>
      <x:c r="B2108" s="35" t="str">
        <x:v>JacksonDatabind</x:v>
      </x:c>
      <x:c r="C2108" s="35" t="str">
        <x:v>Round1</x:v>
      </x:c>
      <x:c r="D2108" s="35" t="str">
        <x:v>JacksonDatabind_104</x:v>
      </x:c>
      <x:c r="E2108" s="35" t="str">
        <x:v>Condition</x:v>
      </x:c>
      <x:c r="F2108" s="35"/>
      <x:c r="G2108" s="35" t="str">
        <x:v>A</x:v>
      </x:c>
      <x:c r="H2108" s="39" t="str">
        <x:f>IF(ISNUMBER('Data'!N400),'Data'!N400*100,"")</x:f>
      </x:c>
      <x:c r="I2108" s="35"/>
      <x:c r="J2108" s="35" t="str">
        <x:v>PASS</x:v>
      </x:c>
      <x:c r="K2108" s="35" t="str">
        <x:v>FAIL</x:v>
      </x:c>
      <x:c r="L2108" s="35" t="str">
        <x:v>NOT_RUN</x:v>
      </x:c>
      <x:c r="M2108" s="35" t="str">
        <x:v>coverage unavailable or execution/compile failed</x:v>
      </x:c>
      <x:c r="N2108" s="35" t="str">
        <x:v>Deepseek-flash-v4/Result/JacksonDatabind_104/result.json</x:v>
      </x:c>
      <x:c r="O2108" s="39" t="str">
        <x:f>IF(AND(G2108="RECORDED",ISNUMBER(H2108)),H2108,"")</x:f>
      </x:c>
      <x:c r="P2108" s="35" t="str">
        <x:v>NOT_AVAILABLE</x:v>
      </x:c>
      <x:c r="Q2108" s="35" t="str">
        <x:v>Deepseek-flash-v4/Result/JacksonDatabind_104/result.json</x:v>
      </x:c>
    </x:row>
    <x:row r="2109">
      <x:c r="A2109" s="35" t="str">
        <x:v>deepseek</x:v>
      </x:c>
      <x:c r="B2109" s="35" t="str">
        <x:v>JacksonDatabind</x:v>
      </x:c>
      <x:c r="C2109" s="35" t="str">
        <x:v>Round1</x:v>
      </x:c>
      <x:c r="D2109" s="35" t="str">
        <x:v>JacksonDatabind_105</x:v>
      </x:c>
      <x:c r="E2109" s="35" t="str">
        <x:v>Condition</x:v>
      </x:c>
      <x:c r="F2109" s="35" t="n">
        <x:v>12</x:v>
      </x:c>
      <x:c r="G2109" s="35" t="str">
        <x:v>RECORDED</x:v>
      </x:c>
      <x:c r="H2109" s="39" t="n">
        <x:f>IF(ISNUMBER('Data'!N401),'Data'!N401*100,"")</x:f>
        <x:v>83.33</x:v>
      </x:c>
      <x:c r="I2109" s="35" t="str">
        <x:v>PASS</x:v>
      </x:c>
      <x:c r="J2109" s="35" t="str">
        <x:v>PASS</x:v>
      </x:c>
      <x:c r="K2109" s="35" t="str">
        <x:v>PASS</x:v>
      </x:c>
      <x:c r="L2109" s="35" t="str">
        <x:v>FAIL</x:v>
      </x:c>
      <x:c r="M2109" s="35" t="str">
        <x:v>numeric coverage for applicable metric</x:v>
      </x:c>
      <x:c r="N2109" s="35" t="str">
        <x:v>Deepseek-flash-v4/Result/JacksonDatabind_105/result.json</x:v>
      </x:c>
      <x:c r="O2109" s="39" t="n">
        <x:f>IF(AND(G2109="RECORDED",ISNUMBER(H2109)),H2109,"")</x:f>
        <x:v>83.33</x:v>
      </x:c>
      <x:c r="P2109" s="35" t="str">
        <x:v>INCONCLUSIVE</x:v>
      </x:c>
      <x:c r="Q2109" s="35" t="str">
        <x:v>Deepseek-flash-v4/Result/JacksonDatabind_105/result.json</x:v>
      </x:c>
    </x:row>
    <x:row r="2110">
      <x:c r="A2110" s="35" t="str">
        <x:v>deepseek</x:v>
      </x:c>
      <x:c r="B2110" s="35" t="str">
        <x:v>JacksonDatabind</x:v>
      </x:c>
      <x:c r="C2110" s="35" t="str">
        <x:v>Round1</x:v>
      </x:c>
      <x:c r="D2110" s="35" t="str">
        <x:v>JacksonDatabind_106</x:v>
      </x:c>
      <x:c r="E2110" s="35" t="str">
        <x:v>Condition</x:v>
      </x:c>
      <x:c r="F2110" s="35"/>
      <x:c r="G2110" s="35" t="str">
        <x:v>A</x:v>
      </x:c>
      <x:c r="H2110" s="39" t="str">
        <x:f>IF(ISNUMBER('Data'!N402),'Data'!N402*100,"")</x:f>
      </x:c>
      <x:c r="I2110" s="35"/>
      <x:c r="J2110" s="35" t="str">
        <x:v>PASS</x:v>
      </x:c>
      <x:c r="K2110" s="35" t="str">
        <x:v>FAIL</x:v>
      </x:c>
      <x:c r="L2110" s="35" t="str">
        <x:v>NOT_RUN</x:v>
      </x:c>
      <x:c r="M2110" s="35" t="str">
        <x:v>coverage unavailable or execution/compile failed</x:v>
      </x:c>
      <x:c r="N2110" s="35" t="str">
        <x:v>Deepseek-flash-v4/Result/JacksonDatabind_106/result.json</x:v>
      </x:c>
      <x:c r="O2110" s="39" t="str">
        <x:f>IF(AND(G2110="RECORDED",ISNUMBER(H2110)),H2110,"")</x:f>
      </x:c>
      <x:c r="P2110" s="35" t="str">
        <x:v>NOT_AVAILABLE</x:v>
      </x:c>
      <x:c r="Q2110" s="35" t="str">
        <x:v>Deepseek-flash-v4/Result/JacksonDatabind_106/result.json</x:v>
      </x:c>
    </x:row>
    <x:row r="2111">
      <x:c r="A2111" s="35" t="str">
        <x:v>deepseek</x:v>
      </x:c>
      <x:c r="B2111" s="35" t="str">
        <x:v>JacksonDatabind</x:v>
      </x:c>
      <x:c r="C2111" s="35" t="str">
        <x:v>Round1</x:v>
      </x:c>
      <x:c r="D2111" s="35" t="str">
        <x:v>JacksonDatabind_107</x:v>
      </x:c>
      <x:c r="E2111" s="35" t="str">
        <x:v>Condition</x:v>
      </x:c>
      <x:c r="F2111" s="35"/>
      <x:c r="G2111" s="35" t="str">
        <x:v>A</x:v>
      </x:c>
      <x:c r="H2111" s="39" t="str">
        <x:f>IF(ISNUMBER('Data'!N403),'Data'!N403*100,"")</x:f>
      </x:c>
      <x:c r="I2111" s="35"/>
      <x:c r="J2111" s="35" t="str">
        <x:v>PASS</x:v>
      </x:c>
      <x:c r="K2111" s="35" t="str">
        <x:v>FAIL</x:v>
      </x:c>
      <x:c r="L2111" s="35" t="str">
        <x:v>NOT_RUN</x:v>
      </x:c>
      <x:c r="M2111" s="35" t="str">
        <x:v>coverage unavailable or execution/compile failed</x:v>
      </x:c>
      <x:c r="N2111" s="35" t="str">
        <x:v>Deepseek-flash-v4/Result/JacksonDatabind_107/result.json</x:v>
      </x:c>
      <x:c r="O2111" s="39" t="str">
        <x:f>IF(AND(G2111="RECORDED",ISNUMBER(H2111)),H2111,"")</x:f>
      </x:c>
      <x:c r="P2111" s="35" t="str">
        <x:v>NOT_AVAILABLE</x:v>
      </x:c>
      <x:c r="Q2111" s="35" t="str">
        <x:v>Deepseek-flash-v4/Result/JacksonDatabind_107/result.json</x:v>
      </x:c>
    </x:row>
    <x:row r="2112">
      <x:c r="A2112" s="35" t="str">
        <x:v>deepseek</x:v>
      </x:c>
      <x:c r="B2112" s="35" t="str">
        <x:v>JacksonDatabind</x:v>
      </x:c>
      <x:c r="C2112" s="35" t="str">
        <x:v>Round1</x:v>
      </x:c>
      <x:c r="D2112" s="35" t="str">
        <x:v>JacksonDatabind_108</x:v>
      </x:c>
      <x:c r="E2112" s="35" t="str">
        <x:v>Condition</x:v>
      </x:c>
      <x:c r="F2112" s="35"/>
      <x:c r="G2112" s="35" t="str">
        <x:v>A</x:v>
      </x:c>
      <x:c r="H2112" s="39" t="str">
        <x:f>IF(ISNUMBER('Data'!N404),'Data'!N404*100,"")</x:f>
      </x:c>
      <x:c r="I2112" s="35"/>
      <x:c r="J2112" s="35" t="str">
        <x:v>PASS</x:v>
      </x:c>
      <x:c r="K2112" s="35" t="str">
        <x:v>FAIL</x:v>
      </x:c>
      <x:c r="L2112" s="35" t="str">
        <x:v>NOT_RUN</x:v>
      </x:c>
      <x:c r="M2112" s="35" t="str">
        <x:v>coverage unavailable or execution/compile failed</x:v>
      </x:c>
      <x:c r="N2112" s="35" t="str">
        <x:v>Deepseek-flash-v4/Result/JacksonDatabind_108/result.json</x:v>
      </x:c>
      <x:c r="O2112" s="39" t="str">
        <x:f>IF(AND(G2112="RECORDED",ISNUMBER(H2112)),H2112,"")</x:f>
      </x:c>
      <x:c r="P2112" s="35" t="str">
        <x:v>NOT_AVAILABLE</x:v>
      </x:c>
      <x:c r="Q2112" s="35" t="str">
        <x:v>Deepseek-flash-v4/Result/JacksonDatabind_108/result.json</x:v>
      </x:c>
    </x:row>
    <x:row r="2113">
      <x:c r="A2113" s="35" t="str">
        <x:v>deepseek</x:v>
      </x:c>
      <x:c r="B2113" s="35" t="str">
        <x:v>JacksonDatabind</x:v>
      </x:c>
      <x:c r="C2113" s="35" t="str">
        <x:v>Round1</x:v>
      </x:c>
      <x:c r="D2113" s="35" t="str">
        <x:v>JacksonDatabind_109</x:v>
      </x:c>
      <x:c r="E2113" s="35" t="str">
        <x:v>Condition</x:v>
      </x:c>
      <x:c r="F2113" s="35"/>
      <x:c r="G2113" s="35" t="str">
        <x:v>A</x:v>
      </x:c>
      <x:c r="H2113" s="39" t="str">
        <x:f>IF(ISNUMBER('Data'!N405),'Data'!N405*100,"")</x:f>
      </x:c>
      <x:c r="I2113" s="35"/>
      <x:c r="J2113" s="35" t="str">
        <x:v>PASS</x:v>
      </x:c>
      <x:c r="K2113" s="35" t="str">
        <x:v>FAIL</x:v>
      </x:c>
      <x:c r="L2113" s="35" t="str">
        <x:v>NOT_RUN</x:v>
      </x:c>
      <x:c r="M2113" s="35" t="str">
        <x:v>coverage unavailable or execution/compile failed</x:v>
      </x:c>
      <x:c r="N2113" s="35" t="str">
        <x:v>Deepseek-flash-v4/Result/JacksonDatabind_109/result.json</x:v>
      </x:c>
      <x:c r="O2113" s="39" t="str">
        <x:f>IF(AND(G2113="RECORDED",ISNUMBER(H2113)),H2113,"")</x:f>
      </x:c>
      <x:c r="P2113" s="35" t="str">
        <x:v>NOT_AVAILABLE</x:v>
      </x:c>
      <x:c r="Q2113" s="35" t="str">
        <x:v>Deepseek-flash-v4/Result/JacksonDatabind_109/result.json</x:v>
      </x:c>
    </x:row>
    <x:row r="2114">
      <x:c r="A2114" s="35" t="str">
        <x:v>deepseek</x:v>
      </x:c>
      <x:c r="B2114" s="35" t="str">
        <x:v>JacksonDatabind</x:v>
      </x:c>
      <x:c r="C2114" s="35" t="str">
        <x:v>Round1</x:v>
      </x:c>
      <x:c r="D2114" s="35" t="str">
        <x:v>JacksonDatabind_11</x:v>
      </x:c>
      <x:c r="E2114" s="35" t="str">
        <x:v>Condition</x:v>
      </x:c>
      <x:c r="F2114" s="35"/>
      <x:c r="G2114" s="35" t="str">
        <x:v>A</x:v>
      </x:c>
      <x:c r="H2114" s="39" t="str">
        <x:f>IF(ISNUMBER('Data'!N406),'Data'!N406*100,"")</x:f>
      </x:c>
      <x:c r="I2114" s="35"/>
      <x:c r="J2114" s="35" t="str">
        <x:v>PASS</x:v>
      </x:c>
      <x:c r="K2114" s="35" t="str">
        <x:v>FAIL</x:v>
      </x:c>
      <x:c r="L2114" s="35" t="str">
        <x:v>NOT_RUN</x:v>
      </x:c>
      <x:c r="M2114" s="35" t="str">
        <x:v>coverage unavailable or execution/compile failed</x:v>
      </x:c>
      <x:c r="N2114" s="35" t="str">
        <x:v>Deepseek-flash-v4/Result/JacksonDatabind_11/result.json</x:v>
      </x:c>
      <x:c r="O2114" s="39" t="str">
        <x:f>IF(AND(G2114="RECORDED",ISNUMBER(H2114)),H2114,"")</x:f>
      </x:c>
      <x:c r="P2114" s="35" t="str">
        <x:v>NOT_AVAILABLE</x:v>
      </x:c>
      <x:c r="Q2114" s="35" t="str">
        <x:v>Deepseek-flash-v4/Result/JacksonDatabind_11/result.json</x:v>
      </x:c>
    </x:row>
    <x:row r="2115">
      <x:c r="A2115" s="35" t="str">
        <x:v>deepseek</x:v>
      </x:c>
      <x:c r="B2115" s="35" t="str">
        <x:v>JacksonDatabind</x:v>
      </x:c>
      <x:c r="C2115" s="35" t="str">
        <x:v>Round1</x:v>
      </x:c>
      <x:c r="D2115" s="35" t="str">
        <x:v>JacksonDatabind_110</x:v>
      </x:c>
      <x:c r="E2115" s="35" t="str">
        <x:v>Condition</x:v>
      </x:c>
      <x:c r="F2115" s="35"/>
      <x:c r="G2115" s="35" t="str">
        <x:v>A</x:v>
      </x:c>
      <x:c r="H2115" s="39" t="str">
        <x:f>IF(ISNUMBER('Data'!N407),'Data'!N407*100,"")</x:f>
      </x:c>
      <x:c r="I2115" s="35"/>
      <x:c r="J2115" s="35" t="str">
        <x:v>PASS</x:v>
      </x:c>
      <x:c r="K2115" s="35" t="str">
        <x:v>FAIL</x:v>
      </x:c>
      <x:c r="L2115" s="35" t="str">
        <x:v>NOT_RUN</x:v>
      </x:c>
      <x:c r="M2115" s="35" t="str">
        <x:v>coverage unavailable or execution/compile failed</x:v>
      </x:c>
      <x:c r="N2115" s="35" t="str">
        <x:v>Deepseek-flash-v4/Result/JacksonDatabind_110/result.json</x:v>
      </x:c>
      <x:c r="O2115" s="39" t="str">
        <x:f>IF(AND(G2115="RECORDED",ISNUMBER(H2115)),H2115,"")</x:f>
      </x:c>
      <x:c r="P2115" s="35" t="str">
        <x:v>NOT_AVAILABLE</x:v>
      </x:c>
      <x:c r="Q2115" s="35" t="str">
        <x:v>Deepseek-flash-v4/Result/JacksonDatabind_110/result.json</x:v>
      </x:c>
    </x:row>
    <x:row r="2116">
      <x:c r="A2116" s="35" t="str">
        <x:v>deepseek</x:v>
      </x:c>
      <x:c r="B2116" s="35" t="str">
        <x:v>JacksonDatabind</x:v>
      </x:c>
      <x:c r="C2116" s="35" t="str">
        <x:v>Round1</x:v>
      </x:c>
      <x:c r="D2116" s="35" t="str">
        <x:v>JacksonDatabind_111</x:v>
      </x:c>
      <x:c r="E2116" s="35" t="str">
        <x:v>Condition</x:v>
      </x:c>
      <x:c r="F2116" s="35"/>
      <x:c r="G2116" s="35" t="str">
        <x:v>A</x:v>
      </x:c>
      <x:c r="H2116" s="39" t="str">
        <x:f>IF(ISNUMBER('Data'!N408),'Data'!N408*100,"")</x:f>
      </x:c>
      <x:c r="I2116" s="35"/>
      <x:c r="J2116" s="35" t="str">
        <x:v>PASS</x:v>
      </x:c>
      <x:c r="K2116" s="35" t="str">
        <x:v>FAIL</x:v>
      </x:c>
      <x:c r="L2116" s="35" t="str">
        <x:v>NOT_RUN</x:v>
      </x:c>
      <x:c r="M2116" s="35" t="str">
        <x:v>coverage unavailable or execution/compile failed</x:v>
      </x:c>
      <x:c r="N2116" s="35" t="str">
        <x:v>Deepseek-flash-v4/Result/JacksonDatabind_111/result.json</x:v>
      </x:c>
      <x:c r="O2116" s="39" t="str">
        <x:f>IF(AND(G2116="RECORDED",ISNUMBER(H2116)),H2116,"")</x:f>
      </x:c>
      <x:c r="P2116" s="35" t="str">
        <x:v>NOT_AVAILABLE</x:v>
      </x:c>
      <x:c r="Q2116" s="35" t="str">
        <x:v>Deepseek-flash-v4/Result/JacksonDatabind_111/result.json</x:v>
      </x:c>
    </x:row>
    <x:row r="2117">
      <x:c r="A2117" s="35" t="str">
        <x:v>deepseek</x:v>
      </x:c>
      <x:c r="B2117" s="35" t="str">
        <x:v>JacksonDatabind</x:v>
      </x:c>
      <x:c r="C2117" s="35" t="str">
        <x:v>Round1</x:v>
      </x:c>
      <x:c r="D2117" s="35" t="str">
        <x:v>JacksonDatabind_112</x:v>
      </x:c>
      <x:c r="E2117" s="35" t="str">
        <x:v>Condition</x:v>
      </x:c>
      <x:c r="F2117" s="35"/>
      <x:c r="G2117" s="35" t="str">
        <x:v>A</x:v>
      </x:c>
      <x:c r="H2117" s="39" t="str">
        <x:f>IF(ISNUMBER('Data'!N409),'Data'!N409*100,"")</x:f>
      </x:c>
      <x:c r="I2117" s="35"/>
      <x:c r="J2117" s="35" t="str">
        <x:v>PASS</x:v>
      </x:c>
      <x:c r="K2117" s="35" t="str">
        <x:v>FAIL</x:v>
      </x:c>
      <x:c r="L2117" s="35" t="str">
        <x:v>NOT_RUN</x:v>
      </x:c>
      <x:c r="M2117" s="35" t="str">
        <x:v>coverage unavailable or execution/compile failed</x:v>
      </x:c>
      <x:c r="N2117" s="35" t="str">
        <x:v>Deepseek-flash-v4/Result/JacksonDatabind_112/result.json</x:v>
      </x:c>
      <x:c r="O2117" s="39" t="str">
        <x:f>IF(AND(G2117="RECORDED",ISNUMBER(H2117)),H2117,"")</x:f>
      </x:c>
      <x:c r="P2117" s="35" t="str">
        <x:v>NOT_AVAILABLE</x:v>
      </x:c>
      <x:c r="Q2117" s="35" t="str">
        <x:v>Deepseek-flash-v4/Result/JacksonDatabind_112/result.json</x:v>
      </x:c>
    </x:row>
    <x:row r="2118">
      <x:c r="A2118" s="35" t="str">
        <x:v>deepseek</x:v>
      </x:c>
      <x:c r="B2118" s="35" t="str">
        <x:v>JacksonDatabind</x:v>
      </x:c>
      <x:c r="C2118" s="35" t="str">
        <x:v>Round1</x:v>
      </x:c>
      <x:c r="D2118" s="35" t="str">
        <x:v>JacksonDatabind_12</x:v>
      </x:c>
      <x:c r="E2118" s="35" t="str">
        <x:v>Condition</x:v>
      </x:c>
      <x:c r="F2118" s="35"/>
      <x:c r="G2118" s="35" t="str">
        <x:v>A</x:v>
      </x:c>
      <x:c r="H2118" s="39" t="str">
        <x:f>IF(ISNUMBER('Data'!N410),'Data'!N410*100,"")</x:f>
      </x:c>
      <x:c r="I2118" s="35"/>
      <x:c r="J2118" s="35" t="str">
        <x:v>PASS</x:v>
      </x:c>
      <x:c r="K2118" s="35" t="str">
        <x:v>FAIL</x:v>
      </x:c>
      <x:c r="L2118" s="35" t="str">
        <x:v>NOT_RUN</x:v>
      </x:c>
      <x:c r="M2118" s="35" t="str">
        <x:v>coverage unavailable or execution/compile failed</x:v>
      </x:c>
      <x:c r="N2118" s="35" t="str">
        <x:v>Deepseek-flash-v4/Result/JacksonDatabind_12/result.json</x:v>
      </x:c>
      <x:c r="O2118" s="39" t="str">
        <x:f>IF(AND(G2118="RECORDED",ISNUMBER(H2118)),H2118,"")</x:f>
      </x:c>
      <x:c r="P2118" s="35" t="str">
        <x:v>NOT_AVAILABLE</x:v>
      </x:c>
      <x:c r="Q2118" s="35" t="str">
        <x:v>Deepseek-flash-v4/Result/JacksonDatabind_12/result.json</x:v>
      </x:c>
    </x:row>
    <x:row r="2119">
      <x:c r="A2119" s="35" t="str">
        <x:v>deepseek</x:v>
      </x:c>
      <x:c r="B2119" s="35" t="str">
        <x:v>JacksonDatabind</x:v>
      </x:c>
      <x:c r="C2119" s="35" t="str">
        <x:v>Round1</x:v>
      </x:c>
      <x:c r="D2119" s="35" t="str">
        <x:v>JacksonDatabind_13</x:v>
      </x:c>
      <x:c r="E2119" s="35" t="str">
        <x:v>Condition</x:v>
      </x:c>
      <x:c r="F2119" s="35"/>
      <x:c r="G2119" s="35" t="str">
        <x:v>A</x:v>
      </x:c>
      <x:c r="H2119" s="39" t="str">
        <x:f>IF(ISNUMBER('Data'!N411),'Data'!N411*100,"")</x:f>
      </x:c>
      <x:c r="I2119" s="35"/>
      <x:c r="J2119" s="35" t="str">
        <x:v>PASS</x:v>
      </x:c>
      <x:c r="K2119" s="35" t="str">
        <x:v>FAIL</x:v>
      </x:c>
      <x:c r="L2119" s="35" t="str">
        <x:v>NOT_RUN</x:v>
      </x:c>
      <x:c r="M2119" s="35" t="str">
        <x:v>coverage unavailable or execution/compile failed</x:v>
      </x:c>
      <x:c r="N2119" s="35" t="str">
        <x:v>Deepseek-flash-v4/Result/JacksonDatabind_13/result.json</x:v>
      </x:c>
      <x:c r="O2119" s="39" t="str">
        <x:f>IF(AND(G2119="RECORDED",ISNUMBER(H2119)),H2119,"")</x:f>
      </x:c>
      <x:c r="P2119" s="35" t="str">
        <x:v>NOT_AVAILABLE</x:v>
      </x:c>
      <x:c r="Q2119" s="35" t="str">
        <x:v>Deepseek-flash-v4/Result/JacksonDatabind_13/result.json</x:v>
      </x:c>
    </x:row>
    <x:row r="2120">
      <x:c r="A2120" s="35" t="str">
        <x:v>deepseek</x:v>
      </x:c>
      <x:c r="B2120" s="35" t="str">
        <x:v>JacksonDatabind</x:v>
      </x:c>
      <x:c r="C2120" s="35" t="str">
        <x:v>Round1</x:v>
      </x:c>
      <x:c r="D2120" s="35" t="str">
        <x:v>JacksonDatabind_14</x:v>
      </x:c>
      <x:c r="E2120" s="35" t="str">
        <x:v>Condition</x:v>
      </x:c>
      <x:c r="F2120" s="35"/>
      <x:c r="G2120" s="35" t="str">
        <x:v>A</x:v>
      </x:c>
      <x:c r="H2120" s="39" t="str">
        <x:f>IF(ISNUMBER('Data'!N412),'Data'!N412*100,"")</x:f>
      </x:c>
      <x:c r="I2120" s="35"/>
      <x:c r="J2120" s="35" t="str">
        <x:v>PASS</x:v>
      </x:c>
      <x:c r="K2120" s="35" t="str">
        <x:v>FAIL</x:v>
      </x:c>
      <x:c r="L2120" s="35" t="str">
        <x:v>NOT_RUN</x:v>
      </x:c>
      <x:c r="M2120" s="35" t="str">
        <x:v>coverage unavailable or execution/compile failed</x:v>
      </x:c>
      <x:c r="N2120" s="35" t="str">
        <x:v>Deepseek-flash-v4/Result/JacksonDatabind_14/result.json</x:v>
      </x:c>
      <x:c r="O2120" s="39" t="str">
        <x:f>IF(AND(G2120="RECORDED",ISNUMBER(H2120)),H2120,"")</x:f>
      </x:c>
      <x:c r="P2120" s="35" t="str">
        <x:v>NOT_AVAILABLE</x:v>
      </x:c>
      <x:c r="Q2120" s="35" t="str">
        <x:v>Deepseek-flash-v4/Result/JacksonDatabind_14/result.json</x:v>
      </x:c>
    </x:row>
    <x:row r="2121">
      <x:c r="A2121" s="35" t="str">
        <x:v>deepseek</x:v>
      </x:c>
      <x:c r="B2121" s="35" t="str">
        <x:v>JacksonDatabind</x:v>
      </x:c>
      <x:c r="C2121" s="35" t="str">
        <x:v>Round1</x:v>
      </x:c>
      <x:c r="D2121" s="35" t="str">
        <x:v>JacksonDatabind_15</x:v>
      </x:c>
      <x:c r="E2121" s="35" t="str">
        <x:v>Condition</x:v>
      </x:c>
      <x:c r="F2121" s="35"/>
      <x:c r="G2121" s="35" t="str">
        <x:v>A</x:v>
      </x:c>
      <x:c r="H2121" s="39" t="str">
        <x:f>IF(ISNUMBER('Data'!N413),'Data'!N413*100,"")</x:f>
      </x:c>
      <x:c r="I2121" s="35"/>
      <x:c r="J2121" s="35" t="str">
        <x:v>PASS</x:v>
      </x:c>
      <x:c r="K2121" s="35" t="str">
        <x:v>FAIL</x:v>
      </x:c>
      <x:c r="L2121" s="35" t="str">
        <x:v>NOT_RUN</x:v>
      </x:c>
      <x:c r="M2121" s="35" t="str">
        <x:v>coverage unavailable or execution/compile failed</x:v>
      </x:c>
      <x:c r="N2121" s="35" t="str">
        <x:v>Deepseek-flash-v4/Result/JacksonDatabind_15/result.json</x:v>
      </x:c>
      <x:c r="O2121" s="39" t="str">
        <x:f>IF(AND(G2121="RECORDED",ISNUMBER(H2121)),H2121,"")</x:f>
      </x:c>
      <x:c r="P2121" s="35" t="str">
        <x:v>NOT_AVAILABLE</x:v>
      </x:c>
      <x:c r="Q2121" s="35" t="str">
        <x:v>Deepseek-flash-v4/Result/JacksonDatabind_15/result.json</x:v>
      </x:c>
    </x:row>
    <x:row r="2122">
      <x:c r="A2122" s="35" t="str">
        <x:v>deepseek</x:v>
      </x:c>
      <x:c r="B2122" s="35" t="str">
        <x:v>JacksonDatabind</x:v>
      </x:c>
      <x:c r="C2122" s="35" t="str">
        <x:v>Round1</x:v>
      </x:c>
      <x:c r="D2122" s="35" t="str">
        <x:v>JacksonDatabind_16</x:v>
      </x:c>
      <x:c r="E2122" s="35" t="str">
        <x:v>Condition</x:v>
      </x:c>
      <x:c r="F2122" s="35" t="n">
        <x:v>36</x:v>
      </x:c>
      <x:c r="G2122" s="35" t="str">
        <x:v>RECORDED</x:v>
      </x:c>
      <x:c r="H2122" s="39" t="n">
        <x:f>IF(ISNUMBER('Data'!N414),'Data'!N414*100,"")</x:f>
        <x:v>86.11</x:v>
      </x:c>
      <x:c r="I2122" s="35" t="str">
        <x:v>PASS</x:v>
      </x:c>
      <x:c r="J2122" s="35" t="str">
        <x:v>PASS</x:v>
      </x:c>
      <x:c r="K2122" s="35" t="str">
        <x:v>PASS</x:v>
      </x:c>
      <x:c r="L2122" s="35" t="str">
        <x:v>FAIL</x:v>
      </x:c>
      <x:c r="M2122" s="35" t="str">
        <x:v>numeric coverage for applicable metric</x:v>
      </x:c>
      <x:c r="N2122" s="35" t="str">
        <x:v>Deepseek-flash-v4/Result/JacksonDatabind_16/result.json</x:v>
      </x:c>
      <x:c r="O2122" s="39" t="n">
        <x:f>IF(AND(G2122="RECORDED",ISNUMBER(H2122)),H2122,"")</x:f>
        <x:v>86.11</x:v>
      </x:c>
      <x:c r="P2122" s="35" t="str">
        <x:v>INCONCLUSIVE</x:v>
      </x:c>
      <x:c r="Q2122" s="35" t="str">
        <x:v>Deepseek-flash-v4/Result/JacksonDatabind_16/result.json</x:v>
      </x:c>
    </x:row>
    <x:row r="2123">
      <x:c r="A2123" s="35" t="str">
        <x:v>deepseek</x:v>
      </x:c>
      <x:c r="B2123" s="35" t="str">
        <x:v>JacksonDatabind</x:v>
      </x:c>
      <x:c r="C2123" s="35" t="str">
        <x:v>Round1</x:v>
      </x:c>
      <x:c r="D2123" s="35" t="str">
        <x:v>JacksonDatabind_17</x:v>
      </x:c>
      <x:c r="E2123" s="35" t="str">
        <x:v>Condition</x:v>
      </x:c>
      <x:c r="F2123" s="35"/>
      <x:c r="G2123" s="35" t="str">
        <x:v>A</x:v>
      </x:c>
      <x:c r="H2123" s="39" t="str">
        <x:f>IF(ISNUMBER('Data'!N415),'Data'!N415*100,"")</x:f>
      </x:c>
      <x:c r="I2123" s="35"/>
      <x:c r="J2123" s="35" t="str">
        <x:v>PASS</x:v>
      </x:c>
      <x:c r="K2123" s="35" t="str">
        <x:v>FAIL</x:v>
      </x:c>
      <x:c r="L2123" s="35" t="str">
        <x:v>NOT_RUN</x:v>
      </x:c>
      <x:c r="M2123" s="35" t="str">
        <x:v>coverage unavailable or execution/compile failed</x:v>
      </x:c>
      <x:c r="N2123" s="35" t="str">
        <x:v>Deepseek-flash-v4/Result/JacksonDatabind_17/result.json</x:v>
      </x:c>
      <x:c r="O2123" s="39" t="str">
        <x:f>IF(AND(G2123="RECORDED",ISNUMBER(H2123)),H2123,"")</x:f>
      </x:c>
      <x:c r="P2123" s="35" t="str">
        <x:v>NOT_AVAILABLE</x:v>
      </x:c>
      <x:c r="Q2123" s="35" t="str">
        <x:v>Deepseek-flash-v4/Result/JacksonDatabind_17/result.json</x:v>
      </x:c>
    </x:row>
    <x:row r="2124">
      <x:c r="A2124" s="35" t="str">
        <x:v>deepseek</x:v>
      </x:c>
      <x:c r="B2124" s="35" t="str">
        <x:v>JacksonDatabind</x:v>
      </x:c>
      <x:c r="C2124" s="35" t="str">
        <x:v>Round1</x:v>
      </x:c>
      <x:c r="D2124" s="35" t="str">
        <x:v>JacksonDatabind_18</x:v>
      </x:c>
      <x:c r="E2124" s="35" t="str">
        <x:v>Condition</x:v>
      </x:c>
      <x:c r="F2124" s="35"/>
      <x:c r="G2124" s="35" t="str">
        <x:v>A</x:v>
      </x:c>
      <x:c r="H2124" s="39" t="str">
        <x:f>IF(ISNUMBER('Data'!N416),'Data'!N416*100,"")</x:f>
      </x:c>
      <x:c r="I2124" s="35"/>
      <x:c r="J2124" s="35" t="str">
        <x:v>PASS</x:v>
      </x:c>
      <x:c r="K2124" s="35" t="str">
        <x:v>FAIL</x:v>
      </x:c>
      <x:c r="L2124" s="35" t="str">
        <x:v>NOT_RUN</x:v>
      </x:c>
      <x:c r="M2124" s="35" t="str">
        <x:v>coverage unavailable or execution/compile failed</x:v>
      </x:c>
      <x:c r="N2124" s="35" t="str">
        <x:v>Deepseek-flash-v4/Result/JacksonDatabind_18/result.json</x:v>
      </x:c>
      <x:c r="O2124" s="39" t="str">
        <x:f>IF(AND(G2124="RECORDED",ISNUMBER(H2124)),H2124,"")</x:f>
      </x:c>
      <x:c r="P2124" s="35" t="str">
        <x:v>NOT_AVAILABLE</x:v>
      </x:c>
      <x:c r="Q2124" s="35" t="str">
        <x:v>Deepseek-flash-v4/Result/JacksonDatabind_18/result.json</x:v>
      </x:c>
    </x:row>
    <x:row r="2125">
      <x:c r="A2125" s="35" t="str">
        <x:v>deepseek</x:v>
      </x:c>
      <x:c r="B2125" s="35" t="str">
        <x:v>JacksonDatabind</x:v>
      </x:c>
      <x:c r="C2125" s="35" t="str">
        <x:v>Round1</x:v>
      </x:c>
      <x:c r="D2125" s="35" t="str">
        <x:v>JacksonDatabind_19</x:v>
      </x:c>
      <x:c r="E2125" s="35" t="str">
        <x:v>Condition</x:v>
      </x:c>
      <x:c r="F2125" s="35"/>
      <x:c r="G2125" s="35" t="str">
        <x:v>A</x:v>
      </x:c>
      <x:c r="H2125" s="39" t="str">
        <x:f>IF(ISNUMBER('Data'!N417),'Data'!N417*100,"")</x:f>
      </x:c>
      <x:c r="I2125" s="35"/>
      <x:c r="J2125" s="35" t="str">
        <x:v>PASS</x:v>
      </x:c>
      <x:c r="K2125" s="35" t="str">
        <x:v>FAIL</x:v>
      </x:c>
      <x:c r="L2125" s="35" t="str">
        <x:v>NOT_RUN</x:v>
      </x:c>
      <x:c r="M2125" s="35" t="str">
        <x:v>coverage unavailable or execution/compile failed</x:v>
      </x:c>
      <x:c r="N2125" s="35" t="str">
        <x:v>Deepseek-flash-v4/Result/JacksonDatabind_19/result.json</x:v>
      </x:c>
      <x:c r="O2125" s="39" t="str">
        <x:f>IF(AND(G2125="RECORDED",ISNUMBER(H2125)),H2125,"")</x:f>
      </x:c>
      <x:c r="P2125" s="35" t="str">
        <x:v>NOT_AVAILABLE</x:v>
      </x:c>
      <x:c r="Q2125" s="35" t="str">
        <x:v>Deepseek-flash-v4/Result/JacksonDatabind_19/result.json</x:v>
      </x:c>
    </x:row>
    <x:row r="2126">
      <x:c r="A2126" s="35" t="str">
        <x:v>deepseek</x:v>
      </x:c>
      <x:c r="B2126" s="35" t="str">
        <x:v>JacksonDatabind</x:v>
      </x:c>
      <x:c r="C2126" s="35" t="str">
        <x:v>Round1</x:v>
      </x:c>
      <x:c r="D2126" s="35" t="str">
        <x:v>JacksonDatabind_2</x:v>
      </x:c>
      <x:c r="E2126" s="35" t="str">
        <x:v>Condition</x:v>
      </x:c>
      <x:c r="F2126" s="35"/>
      <x:c r="G2126" s="35" t="str">
        <x:v>A</x:v>
      </x:c>
      <x:c r="H2126" s="39" t="str">
        <x:f>IF(ISNUMBER('Data'!N418),'Data'!N418*100,"")</x:f>
      </x:c>
      <x:c r="I2126" s="35"/>
      <x:c r="J2126" s="35" t="str">
        <x:v>PASS</x:v>
      </x:c>
      <x:c r="K2126" s="35" t="str">
        <x:v>FAIL</x:v>
      </x:c>
      <x:c r="L2126" s="35" t="str">
        <x:v>NOT_RUN</x:v>
      </x:c>
      <x:c r="M2126" s="35" t="str">
        <x:v>coverage unavailable or execution/compile failed</x:v>
      </x:c>
      <x:c r="N2126" s="35" t="str">
        <x:v>Deepseek-flash-v4/Result/JacksonDatabind_2/result.json</x:v>
      </x:c>
      <x:c r="O2126" s="39" t="str">
        <x:f>IF(AND(G2126="RECORDED",ISNUMBER(H2126)),H2126,"")</x:f>
      </x:c>
      <x:c r="P2126" s="35" t="str">
        <x:v>NOT_AVAILABLE</x:v>
      </x:c>
      <x:c r="Q2126" s="35" t="str">
        <x:v>Deepseek-flash-v4/Result/JacksonDatabind_2/result.json</x:v>
      </x:c>
    </x:row>
    <x:row r="2127">
      <x:c r="A2127" s="35" t="str">
        <x:v>deepseek</x:v>
      </x:c>
      <x:c r="B2127" s="35" t="str">
        <x:v>JacksonDatabind</x:v>
      </x:c>
      <x:c r="C2127" s="35" t="str">
        <x:v>Round1</x:v>
      </x:c>
      <x:c r="D2127" s="35" t="str">
        <x:v>JacksonDatabind_20</x:v>
      </x:c>
      <x:c r="E2127" s="35" t="str">
        <x:v>Condition</x:v>
      </x:c>
      <x:c r="F2127" s="35"/>
      <x:c r="G2127" s="35" t="str">
        <x:v>A</x:v>
      </x:c>
      <x:c r="H2127" s="39" t="str">
        <x:f>IF(ISNUMBER('Data'!N419),'Data'!N419*100,"")</x:f>
      </x:c>
      <x:c r="I2127" s="35"/>
      <x:c r="J2127" s="35" t="str">
        <x:v>PASS</x:v>
      </x:c>
      <x:c r="K2127" s="35" t="str">
        <x:v>FAIL</x:v>
      </x:c>
      <x:c r="L2127" s="35" t="str">
        <x:v>NOT_RUN</x:v>
      </x:c>
      <x:c r="M2127" s="35" t="str">
        <x:v>coverage unavailable or execution/compile failed</x:v>
      </x:c>
      <x:c r="N2127" s="35" t="str">
        <x:v>Deepseek-flash-v4/Result/JacksonDatabind_20/result.json</x:v>
      </x:c>
      <x:c r="O2127" s="39" t="str">
        <x:f>IF(AND(G2127="RECORDED",ISNUMBER(H2127)),H2127,"")</x:f>
      </x:c>
      <x:c r="P2127" s="35" t="str">
        <x:v>NOT_AVAILABLE</x:v>
      </x:c>
      <x:c r="Q2127" s="35" t="str">
        <x:v>Deepseek-flash-v4/Result/JacksonDatabind_20/result.json</x:v>
      </x:c>
    </x:row>
    <x:row r="2128">
      <x:c r="A2128" s="35" t="str">
        <x:v>deepseek</x:v>
      </x:c>
      <x:c r="B2128" s="35" t="str">
        <x:v>JacksonDatabind</x:v>
      </x:c>
      <x:c r="C2128" s="35" t="str">
        <x:v>Round1</x:v>
      </x:c>
      <x:c r="D2128" s="35" t="str">
        <x:v>JacksonDatabind_21</x:v>
      </x:c>
      <x:c r="E2128" s="35" t="str">
        <x:v>Condition</x:v>
      </x:c>
      <x:c r="F2128" s="35"/>
      <x:c r="G2128" s="35" t="str">
        <x:v>A</x:v>
      </x:c>
      <x:c r="H2128" s="39" t="str">
        <x:f>IF(ISNUMBER('Data'!N420),'Data'!N420*100,"")</x:f>
      </x:c>
      <x:c r="I2128" s="35"/>
      <x:c r="J2128" s="35" t="str">
        <x:v>PASS</x:v>
      </x:c>
      <x:c r="K2128" s="35" t="str">
        <x:v>FAIL</x:v>
      </x:c>
      <x:c r="L2128" s="35" t="str">
        <x:v>NOT_RUN</x:v>
      </x:c>
      <x:c r="M2128" s="35" t="str">
        <x:v>coverage unavailable or execution/compile failed</x:v>
      </x:c>
      <x:c r="N2128" s="35" t="str">
        <x:v>Deepseek-flash-v4/Result/JacksonDatabind_21/result.json</x:v>
      </x:c>
      <x:c r="O2128" s="39" t="str">
        <x:f>IF(AND(G2128="RECORDED",ISNUMBER(H2128)),H2128,"")</x:f>
      </x:c>
      <x:c r="P2128" s="35" t="str">
        <x:v>NOT_AVAILABLE</x:v>
      </x:c>
      <x:c r="Q2128" s="35" t="str">
        <x:v>Deepseek-flash-v4/Result/JacksonDatabind_21/result.json</x:v>
      </x:c>
    </x:row>
    <x:row r="2129">
      <x:c r="A2129" s="35" t="str">
        <x:v>deepseek</x:v>
      </x:c>
      <x:c r="B2129" s="35" t="str">
        <x:v>JacksonDatabind</x:v>
      </x:c>
      <x:c r="C2129" s="35" t="str">
        <x:v>Round1</x:v>
      </x:c>
      <x:c r="D2129" s="35" t="str">
        <x:v>JacksonDatabind_22</x:v>
      </x:c>
      <x:c r="E2129" s="35" t="str">
        <x:v>Condition</x:v>
      </x:c>
      <x:c r="F2129" s="35"/>
      <x:c r="G2129" s="35" t="str">
        <x:v>A</x:v>
      </x:c>
      <x:c r="H2129" s="39" t="str">
        <x:f>IF(ISNUMBER('Data'!N421),'Data'!N421*100,"")</x:f>
      </x:c>
      <x:c r="I2129" s="35"/>
      <x:c r="J2129" s="35" t="str">
        <x:v>PASS</x:v>
      </x:c>
      <x:c r="K2129" s="35" t="str">
        <x:v>FAIL</x:v>
      </x:c>
      <x:c r="L2129" s="35" t="str">
        <x:v>NOT_RUN</x:v>
      </x:c>
      <x:c r="M2129" s="35" t="str">
        <x:v>coverage unavailable or execution/compile failed</x:v>
      </x:c>
      <x:c r="N2129" s="35" t="str">
        <x:v>Deepseek-flash-v4/Result/JacksonDatabind_22/result.json</x:v>
      </x:c>
      <x:c r="O2129" s="39" t="str">
        <x:f>IF(AND(G2129="RECORDED",ISNUMBER(H2129)),H2129,"")</x:f>
      </x:c>
      <x:c r="P2129" s="35" t="str">
        <x:v>NOT_AVAILABLE</x:v>
      </x:c>
      <x:c r="Q2129" s="35" t="str">
        <x:v>Deepseek-flash-v4/Result/JacksonDatabind_22/result.json</x:v>
      </x:c>
    </x:row>
    <x:row r="2130">
      <x:c r="A2130" s="35" t="str">
        <x:v>deepseek</x:v>
      </x:c>
      <x:c r="B2130" s="35" t="str">
        <x:v>JacksonDatabind</x:v>
      </x:c>
      <x:c r="C2130" s="35" t="str">
        <x:v>Round1</x:v>
      </x:c>
      <x:c r="D2130" s="35" t="str">
        <x:v>JacksonDatabind_23</x:v>
      </x:c>
      <x:c r="E2130" s="35" t="str">
        <x:v>Condition</x:v>
      </x:c>
      <x:c r="F2130" s="35"/>
      <x:c r="G2130" s="35" t="str">
        <x:v>A</x:v>
      </x:c>
      <x:c r="H2130" s="39" t="str">
        <x:f>IF(ISNUMBER('Data'!N422),'Data'!N422*100,"")</x:f>
      </x:c>
      <x:c r="I2130" s="35"/>
      <x:c r="J2130" s="35" t="str">
        <x:v>PASS</x:v>
      </x:c>
      <x:c r="K2130" s="35" t="str">
        <x:v>FAIL</x:v>
      </x:c>
      <x:c r="L2130" s="35" t="str">
        <x:v>NOT_RUN</x:v>
      </x:c>
      <x:c r="M2130" s="35" t="str">
        <x:v>coverage unavailable or execution/compile failed</x:v>
      </x:c>
      <x:c r="N2130" s="35" t="str">
        <x:v>Deepseek-flash-v4/Result/JacksonDatabind_23/result.json</x:v>
      </x:c>
      <x:c r="O2130" s="39" t="str">
        <x:f>IF(AND(G2130="RECORDED",ISNUMBER(H2130)),H2130,"")</x:f>
      </x:c>
      <x:c r="P2130" s="35" t="str">
        <x:v>NOT_AVAILABLE</x:v>
      </x:c>
      <x:c r="Q2130" s="35" t="str">
        <x:v>Deepseek-flash-v4/Result/JacksonDatabind_23/result.json</x:v>
      </x:c>
    </x:row>
    <x:row r="2131">
      <x:c r="A2131" s="35" t="str">
        <x:v>deepseek</x:v>
      </x:c>
      <x:c r="B2131" s="35" t="str">
        <x:v>JacksonDatabind</x:v>
      </x:c>
      <x:c r="C2131" s="35" t="str">
        <x:v>Round1</x:v>
      </x:c>
      <x:c r="D2131" s="35" t="str">
        <x:v>JacksonDatabind_24</x:v>
      </x:c>
      <x:c r="E2131" s="35" t="str">
        <x:v>Condition</x:v>
      </x:c>
      <x:c r="F2131" s="35"/>
      <x:c r="G2131" s="35" t="str">
        <x:v>A</x:v>
      </x:c>
      <x:c r="H2131" s="39" t="str">
        <x:f>IF(ISNUMBER('Data'!N423),'Data'!N423*100,"")</x:f>
      </x:c>
      <x:c r="I2131" s="35"/>
      <x:c r="J2131" s="35" t="str">
        <x:v>PASS</x:v>
      </x:c>
      <x:c r="K2131" s="35" t="str">
        <x:v>FAIL</x:v>
      </x:c>
      <x:c r="L2131" s="35" t="str">
        <x:v>NOT_RUN</x:v>
      </x:c>
      <x:c r="M2131" s="35" t="str">
        <x:v>coverage unavailable or execution/compile failed</x:v>
      </x:c>
      <x:c r="N2131" s="35" t="str">
        <x:v>Deepseek-flash-v4/Result/JacksonDatabind_24/result.json</x:v>
      </x:c>
      <x:c r="O2131" s="39" t="str">
        <x:f>IF(AND(G2131="RECORDED",ISNUMBER(H2131)),H2131,"")</x:f>
      </x:c>
      <x:c r="P2131" s="35" t="str">
        <x:v>NOT_AVAILABLE</x:v>
      </x:c>
      <x:c r="Q2131" s="35" t="str">
        <x:v>Deepseek-flash-v4/Result/JacksonDatabind_24/result.json</x:v>
      </x:c>
    </x:row>
    <x:row r="2132">
      <x:c r="A2132" s="35" t="str">
        <x:v>deepseek</x:v>
      </x:c>
      <x:c r="B2132" s="35" t="str">
        <x:v>JacksonDatabind</x:v>
      </x:c>
      <x:c r="C2132" s="35" t="str">
        <x:v>Round1</x:v>
      </x:c>
      <x:c r="D2132" s="35" t="str">
        <x:v>JacksonDatabind_25</x:v>
      </x:c>
      <x:c r="E2132" s="35" t="str">
        <x:v>Condition</x:v>
      </x:c>
      <x:c r="F2132" s="35"/>
      <x:c r="G2132" s="35" t="str">
        <x:v>A</x:v>
      </x:c>
      <x:c r="H2132" s="39" t="str">
        <x:f>IF(ISNUMBER('Data'!N424),'Data'!N424*100,"")</x:f>
      </x:c>
      <x:c r="I2132" s="35"/>
      <x:c r="J2132" s="35" t="str">
        <x:v>PASS</x:v>
      </x:c>
      <x:c r="K2132" s="35" t="str">
        <x:v>FAIL</x:v>
      </x:c>
      <x:c r="L2132" s="35" t="str">
        <x:v>NOT_RUN</x:v>
      </x:c>
      <x:c r="M2132" s="35" t="str">
        <x:v>coverage unavailable or execution/compile failed</x:v>
      </x:c>
      <x:c r="N2132" s="35" t="str">
        <x:v>Deepseek-flash-v4/Result/JacksonDatabind_25/result.json</x:v>
      </x:c>
      <x:c r="O2132" s="39" t="str">
        <x:f>IF(AND(G2132="RECORDED",ISNUMBER(H2132)),H2132,"")</x:f>
      </x:c>
      <x:c r="P2132" s="35" t="str">
        <x:v>NOT_AVAILABLE</x:v>
      </x:c>
      <x:c r="Q2132" s="35" t="str">
        <x:v>Deepseek-flash-v4/Result/JacksonDatabind_25/result.json</x:v>
      </x:c>
    </x:row>
    <x:row r="2133">
      <x:c r="A2133" s="35" t="str">
        <x:v>deepseek</x:v>
      </x:c>
      <x:c r="B2133" s="35" t="str">
        <x:v>JacksonDatabind</x:v>
      </x:c>
      <x:c r="C2133" s="35" t="str">
        <x:v>Round1</x:v>
      </x:c>
      <x:c r="D2133" s="35" t="str">
        <x:v>JacksonDatabind_26</x:v>
      </x:c>
      <x:c r="E2133" s="35" t="str">
        <x:v>Condition</x:v>
      </x:c>
      <x:c r="F2133" s="35"/>
      <x:c r="G2133" s="35" t="str">
        <x:v>A</x:v>
      </x:c>
      <x:c r="H2133" s="39" t="str">
        <x:f>IF(ISNUMBER('Data'!N425),'Data'!N425*100,"")</x:f>
      </x:c>
      <x:c r="I2133" s="35"/>
      <x:c r="J2133" s="35" t="str">
        <x:v>PASS</x:v>
      </x:c>
      <x:c r="K2133" s="35" t="str">
        <x:v>FAIL</x:v>
      </x:c>
      <x:c r="L2133" s="35" t="str">
        <x:v>NOT_RUN</x:v>
      </x:c>
      <x:c r="M2133" s="35" t="str">
        <x:v>coverage unavailable or execution/compile failed</x:v>
      </x:c>
      <x:c r="N2133" s="35" t="str">
        <x:v>Deepseek-flash-v4/Result/JacksonDatabind_26/result.json</x:v>
      </x:c>
      <x:c r="O2133" s="39" t="str">
        <x:f>IF(AND(G2133="RECORDED",ISNUMBER(H2133)),H2133,"")</x:f>
      </x:c>
      <x:c r="P2133" s="35" t="str">
        <x:v>NOT_AVAILABLE</x:v>
      </x:c>
      <x:c r="Q2133" s="35" t="str">
        <x:v>Deepseek-flash-v4/Result/JacksonDatabind_26/result.json</x:v>
      </x:c>
    </x:row>
    <x:row r="2134">
      <x:c r="A2134" s="35" t="str">
        <x:v>deepseek</x:v>
      </x:c>
      <x:c r="B2134" s="35" t="str">
        <x:v>JacksonDatabind</x:v>
      </x:c>
      <x:c r="C2134" s="35" t="str">
        <x:v>Round1</x:v>
      </x:c>
      <x:c r="D2134" s="35" t="str">
        <x:v>JacksonDatabind_27</x:v>
      </x:c>
      <x:c r="E2134" s="35" t="str">
        <x:v>Condition</x:v>
      </x:c>
      <x:c r="F2134" s="35"/>
      <x:c r="G2134" s="35" t="str">
        <x:v>A</x:v>
      </x:c>
      <x:c r="H2134" s="39" t="str">
        <x:f>IF(ISNUMBER('Data'!N426),'Data'!N426*100,"")</x:f>
      </x:c>
      <x:c r="I2134" s="35"/>
      <x:c r="J2134" s="35" t="str">
        <x:v>PASS</x:v>
      </x:c>
      <x:c r="K2134" s="35" t="str">
        <x:v>FAIL</x:v>
      </x:c>
      <x:c r="L2134" s="35" t="str">
        <x:v>NOT_RUN</x:v>
      </x:c>
      <x:c r="M2134" s="35" t="str">
        <x:v>coverage unavailable or execution/compile failed</x:v>
      </x:c>
      <x:c r="N2134" s="35" t="str">
        <x:v>Deepseek-flash-v4/Result/JacksonDatabind_27/result.json</x:v>
      </x:c>
      <x:c r="O2134" s="39" t="str">
        <x:f>IF(AND(G2134="RECORDED",ISNUMBER(H2134)),H2134,"")</x:f>
      </x:c>
      <x:c r="P2134" s="35" t="str">
        <x:v>NOT_AVAILABLE</x:v>
      </x:c>
      <x:c r="Q2134" s="35" t="str">
        <x:v>Deepseek-flash-v4/Result/JacksonDatabind_27/result.json</x:v>
      </x:c>
    </x:row>
    <x:row r="2135">
      <x:c r="A2135" s="35" t="str">
        <x:v>deepseek</x:v>
      </x:c>
      <x:c r="B2135" s="35" t="str">
        <x:v>JacksonDatabind</x:v>
      </x:c>
      <x:c r="C2135" s="35" t="str">
        <x:v>Round1</x:v>
      </x:c>
      <x:c r="D2135" s="35" t="str">
        <x:v>JacksonDatabind_28</x:v>
      </x:c>
      <x:c r="E2135" s="35" t="str">
        <x:v>Condition</x:v>
      </x:c>
      <x:c r="F2135" s="35"/>
      <x:c r="G2135" s="35" t="str">
        <x:v>A</x:v>
      </x:c>
      <x:c r="H2135" s="39" t="str">
        <x:f>IF(ISNUMBER('Data'!N427),'Data'!N427*100,"")</x:f>
      </x:c>
      <x:c r="I2135" s="35"/>
      <x:c r="J2135" s="35" t="str">
        <x:v>PASS</x:v>
      </x:c>
      <x:c r="K2135" s="35" t="str">
        <x:v>FAIL</x:v>
      </x:c>
      <x:c r="L2135" s="35" t="str">
        <x:v>NOT_RUN</x:v>
      </x:c>
      <x:c r="M2135" s="35" t="str">
        <x:v>coverage unavailable or execution/compile failed</x:v>
      </x:c>
      <x:c r="N2135" s="35" t="str">
        <x:v>Deepseek-flash-v4/Result/JacksonDatabind_28/result.json</x:v>
      </x:c>
      <x:c r="O2135" s="39" t="str">
        <x:f>IF(AND(G2135="RECORDED",ISNUMBER(H2135)),H2135,"")</x:f>
      </x:c>
      <x:c r="P2135" s="35" t="str">
        <x:v>NOT_AVAILABLE</x:v>
      </x:c>
      <x:c r="Q2135" s="35" t="str">
        <x:v>Deepseek-flash-v4/Result/JacksonDatabind_28/result.json</x:v>
      </x:c>
    </x:row>
    <x:row r="2136">
      <x:c r="A2136" s="35" t="str">
        <x:v>deepseek</x:v>
      </x:c>
      <x:c r="B2136" s="35" t="str">
        <x:v>JacksonDatabind</x:v>
      </x:c>
      <x:c r="C2136" s="35" t="str">
        <x:v>Round1</x:v>
      </x:c>
      <x:c r="D2136" s="35" t="str">
        <x:v>JacksonDatabind_29</x:v>
      </x:c>
      <x:c r="E2136" s="35" t="str">
        <x:v>Condition</x:v>
      </x:c>
      <x:c r="F2136" s="35"/>
      <x:c r="G2136" s="35" t="str">
        <x:v>A</x:v>
      </x:c>
      <x:c r="H2136" s="39" t="str">
        <x:f>IF(ISNUMBER('Data'!N428),'Data'!N428*100,"")</x:f>
      </x:c>
      <x:c r="I2136" s="35"/>
      <x:c r="J2136" s="35" t="str">
        <x:v>PASS</x:v>
      </x:c>
      <x:c r="K2136" s="35" t="str">
        <x:v>FAIL</x:v>
      </x:c>
      <x:c r="L2136" s="35" t="str">
        <x:v>NOT_RUN</x:v>
      </x:c>
      <x:c r="M2136" s="35" t="str">
        <x:v>coverage unavailable or execution/compile failed</x:v>
      </x:c>
      <x:c r="N2136" s="35" t="str">
        <x:v>Deepseek-flash-v4/Result/JacksonDatabind_29/result.json</x:v>
      </x:c>
      <x:c r="O2136" s="39" t="str">
        <x:f>IF(AND(G2136="RECORDED",ISNUMBER(H2136)),H2136,"")</x:f>
      </x:c>
      <x:c r="P2136" s="35" t="str">
        <x:v>NOT_AVAILABLE</x:v>
      </x:c>
      <x:c r="Q2136" s="35" t="str">
        <x:v>Deepseek-flash-v4/Result/JacksonDatabind_29/result.json</x:v>
      </x:c>
    </x:row>
    <x:row r="2137">
      <x:c r="A2137" s="35" t="str">
        <x:v>deepseek</x:v>
      </x:c>
      <x:c r="B2137" s="35" t="str">
        <x:v>JacksonDatabind</x:v>
      </x:c>
      <x:c r="C2137" s="35" t="str">
        <x:v>Round1</x:v>
      </x:c>
      <x:c r="D2137" s="35" t="str">
        <x:v>JacksonDatabind_3</x:v>
      </x:c>
      <x:c r="E2137" s="35" t="str">
        <x:v>Condition</x:v>
      </x:c>
      <x:c r="F2137" s="35"/>
      <x:c r="G2137" s="35" t="str">
        <x:v>A</x:v>
      </x:c>
      <x:c r="H2137" s="39" t="str">
        <x:f>IF(ISNUMBER('Data'!N429),'Data'!N429*100,"")</x:f>
      </x:c>
      <x:c r="I2137" s="35"/>
      <x:c r="J2137" s="35" t="str">
        <x:v>PASS</x:v>
      </x:c>
      <x:c r="K2137" s="35" t="str">
        <x:v>FAIL</x:v>
      </x:c>
      <x:c r="L2137" s="35" t="str">
        <x:v>NOT_RUN</x:v>
      </x:c>
      <x:c r="M2137" s="35" t="str">
        <x:v>coverage unavailable or execution/compile failed</x:v>
      </x:c>
      <x:c r="N2137" s="35" t="str">
        <x:v>Deepseek-flash-v4/Result/JacksonDatabind_3/result.json</x:v>
      </x:c>
      <x:c r="O2137" s="39" t="str">
        <x:f>IF(AND(G2137="RECORDED",ISNUMBER(H2137)),H2137,"")</x:f>
      </x:c>
      <x:c r="P2137" s="35" t="str">
        <x:v>NOT_AVAILABLE</x:v>
      </x:c>
      <x:c r="Q2137" s="35" t="str">
        <x:v>Deepseek-flash-v4/Result/JacksonDatabind_3/result.json</x:v>
      </x:c>
    </x:row>
    <x:row r="2138">
      <x:c r="A2138" s="35" t="str">
        <x:v>deepseek</x:v>
      </x:c>
      <x:c r="B2138" s="35" t="str">
        <x:v>JacksonDatabind</x:v>
      </x:c>
      <x:c r="C2138" s="35" t="str">
        <x:v>Round1</x:v>
      </x:c>
      <x:c r="D2138" s="35" t="str">
        <x:v>JacksonDatabind_30</x:v>
      </x:c>
      <x:c r="E2138" s="35" t="str">
        <x:v>Condition</x:v>
      </x:c>
      <x:c r="F2138" s="35"/>
      <x:c r="G2138" s="35" t="str">
        <x:v>A</x:v>
      </x:c>
      <x:c r="H2138" s="39" t="str">
        <x:f>IF(ISNUMBER('Data'!N430),'Data'!N430*100,"")</x:f>
      </x:c>
      <x:c r="I2138" s="35"/>
      <x:c r="J2138" s="35" t="str">
        <x:v>PASS</x:v>
      </x:c>
      <x:c r="K2138" s="35" t="str">
        <x:v>FAIL</x:v>
      </x:c>
      <x:c r="L2138" s="35" t="str">
        <x:v>NOT_RUN</x:v>
      </x:c>
      <x:c r="M2138" s="35" t="str">
        <x:v>coverage unavailable or execution/compile failed</x:v>
      </x:c>
      <x:c r="N2138" s="35" t="str">
        <x:v>Deepseek-flash-v4/Result/JacksonDatabind_30/result.json</x:v>
      </x:c>
      <x:c r="O2138" s="39" t="str">
        <x:f>IF(AND(G2138="RECORDED",ISNUMBER(H2138)),H2138,"")</x:f>
      </x:c>
      <x:c r="P2138" s="35" t="str">
        <x:v>NOT_AVAILABLE</x:v>
      </x:c>
      <x:c r="Q2138" s="35" t="str">
        <x:v>Deepseek-flash-v4/Result/JacksonDatabind_30/result.json</x:v>
      </x:c>
    </x:row>
    <x:row r="2139">
      <x:c r="A2139" s="35" t="str">
        <x:v>deepseek</x:v>
      </x:c>
      <x:c r="B2139" s="35" t="str">
        <x:v>JacksonDatabind</x:v>
      </x:c>
      <x:c r="C2139" s="35" t="str">
        <x:v>Round1</x:v>
      </x:c>
      <x:c r="D2139" s="35" t="str">
        <x:v>JacksonDatabind_31</x:v>
      </x:c>
      <x:c r="E2139" s="35" t="str">
        <x:v>Condition</x:v>
      </x:c>
      <x:c r="F2139" s="35"/>
      <x:c r="G2139" s="35" t="str">
        <x:v>A</x:v>
      </x:c>
      <x:c r="H2139" s="39" t="str">
        <x:f>IF(ISNUMBER('Data'!N431),'Data'!N431*100,"")</x:f>
      </x:c>
      <x:c r="I2139" s="35"/>
      <x:c r="J2139" s="35" t="str">
        <x:v>PASS</x:v>
      </x:c>
      <x:c r="K2139" s="35" t="str">
        <x:v>FAIL</x:v>
      </x:c>
      <x:c r="L2139" s="35" t="str">
        <x:v>NOT_RUN</x:v>
      </x:c>
      <x:c r="M2139" s="35" t="str">
        <x:v>coverage unavailable or execution/compile failed</x:v>
      </x:c>
      <x:c r="N2139" s="35" t="str">
        <x:v>Deepseek-flash-v4/Result/JacksonDatabind_31/result.json</x:v>
      </x:c>
      <x:c r="O2139" s="39" t="str">
        <x:f>IF(AND(G2139="RECORDED",ISNUMBER(H2139)),H2139,"")</x:f>
      </x:c>
      <x:c r="P2139" s="35" t="str">
        <x:v>NOT_AVAILABLE</x:v>
      </x:c>
      <x:c r="Q2139" s="35" t="str">
        <x:v>Deepseek-flash-v4/Result/JacksonDatabind_31/result.json</x:v>
      </x:c>
    </x:row>
    <x:row r="2140">
      <x:c r="A2140" s="35" t="str">
        <x:v>deepseek</x:v>
      </x:c>
      <x:c r="B2140" s="35" t="str">
        <x:v>JacksonDatabind</x:v>
      </x:c>
      <x:c r="C2140" s="35" t="str">
        <x:v>Round1</x:v>
      </x:c>
      <x:c r="D2140" s="35" t="str">
        <x:v>JacksonDatabind_32</x:v>
      </x:c>
      <x:c r="E2140" s="35" t="str">
        <x:v>Condition</x:v>
      </x:c>
      <x:c r="F2140" s="35"/>
      <x:c r="G2140" s="35" t="str">
        <x:v>A</x:v>
      </x:c>
      <x:c r="H2140" s="39" t="str">
        <x:f>IF(ISNUMBER('Data'!N432),'Data'!N432*100,"")</x:f>
      </x:c>
      <x:c r="I2140" s="35"/>
      <x:c r="J2140" s="35" t="str">
        <x:v>PASS</x:v>
      </x:c>
      <x:c r="K2140" s="35" t="str">
        <x:v>FAIL</x:v>
      </x:c>
      <x:c r="L2140" s="35" t="str">
        <x:v>NOT_RUN</x:v>
      </x:c>
      <x:c r="M2140" s="35" t="str">
        <x:v>coverage unavailable or execution/compile failed</x:v>
      </x:c>
      <x:c r="N2140" s="35" t="str">
        <x:v>Deepseek-flash-v4/Result/JacksonDatabind_32/result.json</x:v>
      </x:c>
      <x:c r="O2140" s="39" t="str">
        <x:f>IF(AND(G2140="RECORDED",ISNUMBER(H2140)),H2140,"")</x:f>
      </x:c>
      <x:c r="P2140" s="35" t="str">
        <x:v>NOT_AVAILABLE</x:v>
      </x:c>
      <x:c r="Q2140" s="35" t="str">
        <x:v>Deepseek-flash-v4/Result/JacksonDatabind_32/result.json</x:v>
      </x:c>
    </x:row>
    <x:row r="2141">
      <x:c r="A2141" s="35" t="str">
        <x:v>deepseek</x:v>
      </x:c>
      <x:c r="B2141" s="35" t="str">
        <x:v>JacksonDatabind</x:v>
      </x:c>
      <x:c r="C2141" s="35" t="str">
        <x:v>Round1</x:v>
      </x:c>
      <x:c r="D2141" s="35" t="str">
        <x:v>JacksonDatabind_33</x:v>
      </x:c>
      <x:c r="E2141" s="35" t="str">
        <x:v>Condition</x:v>
      </x:c>
      <x:c r="F2141" s="35"/>
      <x:c r="G2141" s="35" t="str">
        <x:v>A</x:v>
      </x:c>
      <x:c r="H2141" s="39" t="str">
        <x:f>IF(ISNUMBER('Data'!N433),'Data'!N433*100,"")</x:f>
      </x:c>
      <x:c r="I2141" s="35"/>
      <x:c r="J2141" s="35" t="str">
        <x:v>PASS</x:v>
      </x:c>
      <x:c r="K2141" s="35" t="str">
        <x:v>FAIL</x:v>
      </x:c>
      <x:c r="L2141" s="35" t="str">
        <x:v>NOT_RUN</x:v>
      </x:c>
      <x:c r="M2141" s="35" t="str">
        <x:v>coverage unavailable or execution/compile failed</x:v>
      </x:c>
      <x:c r="N2141" s="35" t="str">
        <x:v>Deepseek-flash-v4/Result/JacksonDatabind_33/result.json</x:v>
      </x:c>
      <x:c r="O2141" s="39" t="str">
        <x:f>IF(AND(G2141="RECORDED",ISNUMBER(H2141)),H2141,"")</x:f>
      </x:c>
      <x:c r="P2141" s="35" t="str">
        <x:v>NOT_AVAILABLE</x:v>
      </x:c>
      <x:c r="Q2141" s="35" t="str">
        <x:v>Deepseek-flash-v4/Result/JacksonDatabind_33/result.json</x:v>
      </x:c>
    </x:row>
    <x:row r="2142">
      <x:c r="A2142" s="35" t="str">
        <x:v>deepseek</x:v>
      </x:c>
      <x:c r="B2142" s="35" t="str">
        <x:v>JacksonDatabind</x:v>
      </x:c>
      <x:c r="C2142" s="35" t="str">
        <x:v>Round1</x:v>
      </x:c>
      <x:c r="D2142" s="35" t="str">
        <x:v>JacksonDatabind_34</x:v>
      </x:c>
      <x:c r="E2142" s="35" t="str">
        <x:v>Condition</x:v>
      </x:c>
      <x:c r="F2142" s="35"/>
      <x:c r="G2142" s="35" t="str">
        <x:v>A</x:v>
      </x:c>
      <x:c r="H2142" s="39" t="str">
        <x:f>IF(ISNUMBER('Data'!N434),'Data'!N434*100,"")</x:f>
      </x:c>
      <x:c r="I2142" s="35"/>
      <x:c r="J2142" s="35" t="str">
        <x:v>PASS</x:v>
      </x:c>
      <x:c r="K2142" s="35" t="str">
        <x:v>FAIL</x:v>
      </x:c>
      <x:c r="L2142" s="35" t="str">
        <x:v>NOT_RUN</x:v>
      </x:c>
      <x:c r="M2142" s="35" t="str">
        <x:v>coverage unavailable or execution/compile failed</x:v>
      </x:c>
      <x:c r="N2142" s="35" t="str">
        <x:v>Deepseek-flash-v4/Result/JacksonDatabind_34/result.json</x:v>
      </x:c>
      <x:c r="O2142" s="39" t="str">
        <x:f>IF(AND(G2142="RECORDED",ISNUMBER(H2142)),H2142,"")</x:f>
      </x:c>
      <x:c r="P2142" s="35" t="str">
        <x:v>NOT_AVAILABLE</x:v>
      </x:c>
      <x:c r="Q2142" s="35" t="str">
        <x:v>Deepseek-flash-v4/Result/JacksonDatabind_34/result.json</x:v>
      </x:c>
    </x:row>
    <x:row r="2143">
      <x:c r="A2143" s="35" t="str">
        <x:v>deepseek</x:v>
      </x:c>
      <x:c r="B2143" s="35" t="str">
        <x:v>JacksonDatabind</x:v>
      </x:c>
      <x:c r="C2143" s="35" t="str">
        <x:v>Round1</x:v>
      </x:c>
      <x:c r="D2143" s="35" t="str">
        <x:v>JacksonDatabind_35</x:v>
      </x:c>
      <x:c r="E2143" s="35" t="str">
        <x:v>Condition</x:v>
      </x:c>
      <x:c r="F2143" s="35"/>
      <x:c r="G2143" s="35" t="str">
        <x:v>A</x:v>
      </x:c>
      <x:c r="H2143" s="39" t="str">
        <x:f>IF(ISNUMBER('Data'!N435),'Data'!N435*100,"")</x:f>
      </x:c>
      <x:c r="I2143" s="35"/>
      <x:c r="J2143" s="35" t="str">
        <x:v>PASS</x:v>
      </x:c>
      <x:c r="K2143" s="35" t="str">
        <x:v>FAIL</x:v>
      </x:c>
      <x:c r="L2143" s="35" t="str">
        <x:v>NOT_RUN</x:v>
      </x:c>
      <x:c r="M2143" s="35" t="str">
        <x:v>coverage unavailable or execution/compile failed</x:v>
      </x:c>
      <x:c r="N2143" s="35" t="str">
        <x:v>Deepseek-flash-v4/Result/JacksonDatabind_35/result.json</x:v>
      </x:c>
      <x:c r="O2143" s="39" t="str">
        <x:f>IF(AND(G2143="RECORDED",ISNUMBER(H2143)),H2143,"")</x:f>
      </x:c>
      <x:c r="P2143" s="35" t="str">
        <x:v>NOT_AVAILABLE</x:v>
      </x:c>
      <x:c r="Q2143" s="35" t="str">
        <x:v>Deepseek-flash-v4/Result/JacksonDatabind_35/result.json</x:v>
      </x:c>
    </x:row>
    <x:row r="2144">
      <x:c r="A2144" s="35" t="str">
        <x:v>deepseek</x:v>
      </x:c>
      <x:c r="B2144" s="35" t="str">
        <x:v>JacksonDatabind</x:v>
      </x:c>
      <x:c r="C2144" s="35" t="str">
        <x:v>Round1</x:v>
      </x:c>
      <x:c r="D2144" s="35" t="str">
        <x:v>JacksonDatabind_36</x:v>
      </x:c>
      <x:c r="E2144" s="35" t="str">
        <x:v>Condition</x:v>
      </x:c>
      <x:c r="F2144" s="35" t="n">
        <x:v>130</x:v>
      </x:c>
      <x:c r="G2144" s="35" t="str">
        <x:v>RECORDED</x:v>
      </x:c>
      <x:c r="H2144" s="39" t="n">
        <x:f>IF(ISNUMBER('Data'!N436),'Data'!N436*100,"")</x:f>
        <x:v>70.77</x:v>
      </x:c>
      <x:c r="I2144" s="35" t="str">
        <x:v>PASS</x:v>
      </x:c>
      <x:c r="J2144" s="35" t="str">
        <x:v>PASS</x:v>
      </x:c>
      <x:c r="K2144" s="35" t="str">
        <x:v>PASS</x:v>
      </x:c>
      <x:c r="L2144" s="35" t="str">
        <x:v>FAIL</x:v>
      </x:c>
      <x:c r="M2144" s="35" t="str">
        <x:v>numeric coverage for applicable metric</x:v>
      </x:c>
      <x:c r="N2144" s="35" t="str">
        <x:v>Deepseek-flash-v4/Result/JacksonDatabind_36/result.json</x:v>
      </x:c>
      <x:c r="O2144" s="39" t="n">
        <x:f>IF(AND(G2144="RECORDED",ISNUMBER(H2144)),H2144,"")</x:f>
        <x:v>70.77</x:v>
      </x:c>
      <x:c r="P2144" s="35" t="str">
        <x:v>INCONCLUSIVE</x:v>
      </x:c>
      <x:c r="Q2144" s="35" t="str">
        <x:v>Deepseek-flash-v4/Result/JacksonDatabind_36/result.json</x:v>
      </x:c>
    </x:row>
    <x:row r="2145">
      <x:c r="A2145" s="35" t="str">
        <x:v>deepseek</x:v>
      </x:c>
      <x:c r="B2145" s="35" t="str">
        <x:v>JacksonDatabind</x:v>
      </x:c>
      <x:c r="C2145" s="35" t="str">
        <x:v>Round1</x:v>
      </x:c>
      <x:c r="D2145" s="35" t="str">
        <x:v>JacksonDatabind_37</x:v>
      </x:c>
      <x:c r="E2145" s="35" t="str">
        <x:v>Condition</x:v>
      </x:c>
      <x:c r="F2145" s="35"/>
      <x:c r="G2145" s="35" t="str">
        <x:v>A</x:v>
      </x:c>
      <x:c r="H2145" s="39" t="str">
        <x:f>IF(ISNUMBER('Data'!N437),'Data'!N437*100,"")</x:f>
      </x:c>
      <x:c r="I2145" s="35"/>
      <x:c r="J2145" s="35" t="str">
        <x:v>PASS</x:v>
      </x:c>
      <x:c r="K2145" s="35" t="str">
        <x:v>FAIL</x:v>
      </x:c>
      <x:c r="L2145" s="35" t="str">
        <x:v>NOT_RUN</x:v>
      </x:c>
      <x:c r="M2145" s="35" t="str">
        <x:v>coverage unavailable or execution/compile failed</x:v>
      </x:c>
      <x:c r="N2145" s="35" t="str">
        <x:v>Deepseek-flash-v4/Result/JacksonDatabind_37/result.json</x:v>
      </x:c>
      <x:c r="O2145" s="39" t="str">
        <x:f>IF(AND(G2145="RECORDED",ISNUMBER(H2145)),H2145,"")</x:f>
      </x:c>
      <x:c r="P2145" s="35" t="str">
        <x:v>NOT_AVAILABLE</x:v>
      </x:c>
      <x:c r="Q2145" s="35" t="str">
        <x:v>Deepseek-flash-v4/Result/JacksonDatabind_37/result.json</x:v>
      </x:c>
    </x:row>
    <x:row r="2146">
      <x:c r="A2146" s="35" t="str">
        <x:v>deepseek</x:v>
      </x:c>
      <x:c r="B2146" s="35" t="str">
        <x:v>JacksonDatabind</x:v>
      </x:c>
      <x:c r="C2146" s="35" t="str">
        <x:v>Round1</x:v>
      </x:c>
      <x:c r="D2146" s="35" t="str">
        <x:v>JacksonDatabind_38</x:v>
      </x:c>
      <x:c r="E2146" s="35" t="str">
        <x:v>Condition</x:v>
      </x:c>
      <x:c r="F2146" s="35"/>
      <x:c r="G2146" s="35" t="str">
        <x:v>A</x:v>
      </x:c>
      <x:c r="H2146" s="39" t="str">
        <x:f>IF(ISNUMBER('Data'!N438),'Data'!N438*100,"")</x:f>
      </x:c>
      <x:c r="I2146" s="35"/>
      <x:c r="J2146" s="35" t="str">
        <x:v>PASS</x:v>
      </x:c>
      <x:c r="K2146" s="35" t="str">
        <x:v>FAIL</x:v>
      </x:c>
      <x:c r="L2146" s="35" t="str">
        <x:v>NOT_RUN</x:v>
      </x:c>
      <x:c r="M2146" s="35" t="str">
        <x:v>coverage unavailable or execution/compile failed</x:v>
      </x:c>
      <x:c r="N2146" s="35" t="str">
        <x:v>Deepseek-flash-v4/Result/JacksonDatabind_38/result.json</x:v>
      </x:c>
      <x:c r="O2146" s="39" t="str">
        <x:f>IF(AND(G2146="RECORDED",ISNUMBER(H2146)),H2146,"")</x:f>
      </x:c>
      <x:c r="P2146" s="35" t="str">
        <x:v>NOT_AVAILABLE</x:v>
      </x:c>
      <x:c r="Q2146" s="35" t="str">
        <x:v>Deepseek-flash-v4/Result/JacksonDatabind_38/result.json</x:v>
      </x:c>
    </x:row>
    <x:row r="2147">
      <x:c r="A2147" s="35" t="str">
        <x:v>deepseek</x:v>
      </x:c>
      <x:c r="B2147" s="35" t="str">
        <x:v>JacksonDatabind</x:v>
      </x:c>
      <x:c r="C2147" s="35" t="str">
        <x:v>Round1</x:v>
      </x:c>
      <x:c r="D2147" s="35" t="str">
        <x:v>JacksonDatabind_39</x:v>
      </x:c>
      <x:c r="E2147" s="35" t="str">
        <x:v>Condition</x:v>
      </x:c>
      <x:c r="F2147" s="35" t="n">
        <x:v>2</x:v>
      </x:c>
      <x:c r="G2147" s="35" t="str">
        <x:v>RECORDED</x:v>
      </x:c>
      <x:c r="H2147" s="39" t="n">
        <x:f>IF(ISNUMBER('Data'!N439),'Data'!N439*100,"")</x:f>
        <x:v>100</x:v>
      </x:c>
      <x:c r="I2147" s="35" t="str">
        <x:v>PASS</x:v>
      </x:c>
      <x:c r="J2147" s="35" t="str">
        <x:v>PASS</x:v>
      </x:c>
      <x:c r="K2147" s="35" t="str">
        <x:v>PASS</x:v>
      </x:c>
      <x:c r="L2147" s="35" t="str">
        <x:v>FAIL</x:v>
      </x:c>
      <x:c r="M2147" s="35" t="str">
        <x:v>numeric coverage for applicable metric</x:v>
      </x:c>
      <x:c r="N2147" s="35" t="str">
        <x:v>Deepseek-flash-v4/Result/JacksonDatabind_39/result.json</x:v>
      </x:c>
      <x:c r="O2147" s="39" t="n">
        <x:f>IF(AND(G2147="RECORDED",ISNUMBER(H2147)),H2147,"")</x:f>
        <x:v>100</x:v>
      </x:c>
      <x:c r="P2147" s="35" t="str">
        <x:v>INCONCLUSIVE</x:v>
      </x:c>
      <x:c r="Q2147" s="35" t="str">
        <x:v>Deepseek-flash-v4/Result/JacksonDatabind_39/result.json</x:v>
      </x:c>
    </x:row>
    <x:row r="2148">
      <x:c r="A2148" s="35" t="str">
        <x:v>deepseek</x:v>
      </x:c>
      <x:c r="B2148" s="35" t="str">
        <x:v>JacksonDatabind</x:v>
      </x:c>
      <x:c r="C2148" s="35" t="str">
        <x:v>Round1</x:v>
      </x:c>
      <x:c r="D2148" s="35" t="str">
        <x:v>JacksonDatabind_4</x:v>
      </x:c>
      <x:c r="E2148" s="35" t="str">
        <x:v>Condition</x:v>
      </x:c>
      <x:c r="F2148" s="35"/>
      <x:c r="G2148" s="35" t="str">
        <x:v>A</x:v>
      </x:c>
      <x:c r="H2148" s="39" t="str">
        <x:f>IF(ISNUMBER('Data'!N440),'Data'!N440*100,"")</x:f>
      </x:c>
      <x:c r="I2148" s="35"/>
      <x:c r="J2148" s="35" t="str">
        <x:v>PASS</x:v>
      </x:c>
      <x:c r="K2148" s="35" t="str">
        <x:v>FAIL</x:v>
      </x:c>
      <x:c r="L2148" s="35" t="str">
        <x:v>NOT_RUN</x:v>
      </x:c>
      <x:c r="M2148" s="35" t="str">
        <x:v>coverage unavailable or execution/compile failed</x:v>
      </x:c>
      <x:c r="N2148" s="35" t="str">
        <x:v>Deepseek-flash-v4/Result/JacksonDatabind_4/result.json</x:v>
      </x:c>
      <x:c r="O2148" s="39" t="str">
        <x:f>IF(AND(G2148="RECORDED",ISNUMBER(H2148)),H2148,"")</x:f>
      </x:c>
      <x:c r="P2148" s="35" t="str">
        <x:v>NOT_AVAILABLE</x:v>
      </x:c>
      <x:c r="Q2148" s="35" t="str">
        <x:v>Deepseek-flash-v4/Result/JacksonDatabind_4/result.json</x:v>
      </x:c>
    </x:row>
    <x:row r="2149">
      <x:c r="A2149" s="35" t="str">
        <x:v>deepseek</x:v>
      </x:c>
      <x:c r="B2149" s="35" t="str">
        <x:v>JacksonDatabind</x:v>
      </x:c>
      <x:c r="C2149" s="35" t="str">
        <x:v>Round1</x:v>
      </x:c>
      <x:c r="D2149" s="35" t="str">
        <x:v>JacksonDatabind_40</x:v>
      </x:c>
      <x:c r="E2149" s="35" t="str">
        <x:v>Condition</x:v>
      </x:c>
      <x:c r="F2149" s="35" t="n">
        <x:v>130</x:v>
      </x:c>
      <x:c r="G2149" s="35" t="str">
        <x:v>RECORDED</x:v>
      </x:c>
      <x:c r="H2149" s="39" t="n">
        <x:f>IF(ISNUMBER('Data'!N441),'Data'!N441*100,"")</x:f>
        <x:v>63.85000000000001</x:v>
      </x:c>
      <x:c r="I2149" s="35" t="str">
        <x:v>PASS</x:v>
      </x:c>
      <x:c r="J2149" s="35" t="str">
        <x:v>PASS</x:v>
      </x:c>
      <x:c r="K2149" s="35" t="str">
        <x:v>PASS</x:v>
      </x:c>
      <x:c r="L2149" s="35" t="str">
        <x:v>FAIL</x:v>
      </x:c>
      <x:c r="M2149" s="35" t="str">
        <x:v>numeric coverage for applicable metric</x:v>
      </x:c>
      <x:c r="N2149" s="35" t="str">
        <x:v>Deepseek-flash-v4/Result/JacksonDatabind_40/result.json</x:v>
      </x:c>
      <x:c r="O2149" s="39" t="n">
        <x:f>IF(AND(G2149="RECORDED",ISNUMBER(H2149)),H2149,"")</x:f>
        <x:v>63.85000000000001</x:v>
      </x:c>
      <x:c r="P2149" s="35" t="str">
        <x:v>INCONCLUSIVE</x:v>
      </x:c>
      <x:c r="Q2149" s="35" t="str">
        <x:v>Deepseek-flash-v4/Result/JacksonDatabind_40/result.json</x:v>
      </x:c>
    </x:row>
    <x:row r="2150">
      <x:c r="A2150" s="35" t="str">
        <x:v>deepseek</x:v>
      </x:c>
      <x:c r="B2150" s="35" t="str">
        <x:v>JacksonDatabind</x:v>
      </x:c>
      <x:c r="C2150" s="35" t="str">
        <x:v>Round1</x:v>
      </x:c>
      <x:c r="D2150" s="35" t="str">
        <x:v>JacksonDatabind_41</x:v>
      </x:c>
      <x:c r="E2150" s="35" t="str">
        <x:v>Condition</x:v>
      </x:c>
      <x:c r="F2150" s="35"/>
      <x:c r="G2150" s="35" t="str">
        <x:v>A</x:v>
      </x:c>
      <x:c r="H2150" s="39" t="str">
        <x:f>IF(ISNUMBER('Data'!N442),'Data'!N442*100,"")</x:f>
      </x:c>
      <x:c r="I2150" s="35"/>
      <x:c r="J2150" s="35" t="str">
        <x:v>PASS</x:v>
      </x:c>
      <x:c r="K2150" s="35" t="str">
        <x:v>FAIL</x:v>
      </x:c>
      <x:c r="L2150" s="35" t="str">
        <x:v>NOT_RUN</x:v>
      </x:c>
      <x:c r="M2150" s="35" t="str">
        <x:v>coverage unavailable or execution/compile failed</x:v>
      </x:c>
      <x:c r="N2150" s="35" t="str">
        <x:v>Deepseek-flash-v4/Result/JacksonDatabind_41/result.json</x:v>
      </x:c>
      <x:c r="O2150" s="39" t="str">
        <x:f>IF(AND(G2150="RECORDED",ISNUMBER(H2150)),H2150,"")</x:f>
      </x:c>
      <x:c r="P2150" s="35" t="str">
        <x:v>NOT_AVAILABLE</x:v>
      </x:c>
      <x:c r="Q2150" s="35" t="str">
        <x:v>Deepseek-flash-v4/Result/JacksonDatabind_41/result.json</x:v>
      </x:c>
    </x:row>
    <x:row r="2151">
      <x:c r="A2151" s="35" t="str">
        <x:v>deepseek</x:v>
      </x:c>
      <x:c r="B2151" s="35" t="str">
        <x:v>JacksonDatabind</x:v>
      </x:c>
      <x:c r="C2151" s="35" t="str">
        <x:v>Round1</x:v>
      </x:c>
      <x:c r="D2151" s="35" t="str">
        <x:v>JacksonDatabind_42</x:v>
      </x:c>
      <x:c r="E2151" s="35" t="str">
        <x:v>Condition</x:v>
      </x:c>
      <x:c r="F2151" s="35"/>
      <x:c r="G2151" s="35" t="str">
        <x:v>A</x:v>
      </x:c>
      <x:c r="H2151" s="39" t="str">
        <x:f>IF(ISNUMBER('Data'!N443),'Data'!N443*100,"")</x:f>
      </x:c>
      <x:c r="I2151" s="35"/>
      <x:c r="J2151" s="35" t="str">
        <x:v>PASS</x:v>
      </x:c>
      <x:c r="K2151" s="35" t="str">
        <x:v>FAIL</x:v>
      </x:c>
      <x:c r="L2151" s="35" t="str">
        <x:v>NOT_RUN</x:v>
      </x:c>
      <x:c r="M2151" s="35" t="str">
        <x:v>coverage unavailable or execution/compile failed</x:v>
      </x:c>
      <x:c r="N2151" s="35" t="str">
        <x:v>Deepseek-flash-v4/Result/JacksonDatabind_42/result.json</x:v>
      </x:c>
      <x:c r="O2151" s="39" t="str">
        <x:f>IF(AND(G2151="RECORDED",ISNUMBER(H2151)),H2151,"")</x:f>
      </x:c>
      <x:c r="P2151" s="35" t="str">
        <x:v>NOT_AVAILABLE</x:v>
      </x:c>
      <x:c r="Q2151" s="35" t="str">
        <x:v>Deepseek-flash-v4/Result/JacksonDatabind_42/result.json</x:v>
      </x:c>
    </x:row>
    <x:row r="2152">
      <x:c r="A2152" s="35" t="str">
        <x:v>deepseek</x:v>
      </x:c>
      <x:c r="B2152" s="35" t="str">
        <x:v>JacksonDatabind</x:v>
      </x:c>
      <x:c r="C2152" s="35" t="str">
        <x:v>Round1</x:v>
      </x:c>
      <x:c r="D2152" s="35" t="str">
        <x:v>JacksonDatabind_43</x:v>
      </x:c>
      <x:c r="E2152" s="35" t="str">
        <x:v>Condition</x:v>
      </x:c>
      <x:c r="F2152" s="35"/>
      <x:c r="G2152" s="35" t="str">
        <x:v>A</x:v>
      </x:c>
      <x:c r="H2152" s="39" t="str">
        <x:f>IF(ISNUMBER('Data'!N444),'Data'!N444*100,"")</x:f>
      </x:c>
      <x:c r="I2152" s="35"/>
      <x:c r="J2152" s="35" t="str">
        <x:v>PASS</x:v>
      </x:c>
      <x:c r="K2152" s="35" t="str">
        <x:v>FAIL</x:v>
      </x:c>
      <x:c r="L2152" s="35" t="str">
        <x:v>NOT_RUN</x:v>
      </x:c>
      <x:c r="M2152" s="35" t="str">
        <x:v>coverage unavailable or execution/compile failed</x:v>
      </x:c>
      <x:c r="N2152" s="35" t="str">
        <x:v>Deepseek-flash-v4/Result/JacksonDatabind_43/result.json</x:v>
      </x:c>
      <x:c r="O2152" s="39" t="str">
        <x:f>IF(AND(G2152="RECORDED",ISNUMBER(H2152)),H2152,"")</x:f>
      </x:c>
      <x:c r="P2152" s="35" t="str">
        <x:v>NOT_AVAILABLE</x:v>
      </x:c>
      <x:c r="Q2152" s="35" t="str">
        <x:v>Deepseek-flash-v4/Result/JacksonDatabind_43/result.json</x:v>
      </x:c>
    </x:row>
    <x:row r="2153">
      <x:c r="A2153" s="35" t="str">
        <x:v>deepseek</x:v>
      </x:c>
      <x:c r="B2153" s="35" t="str">
        <x:v>JacksonDatabind</x:v>
      </x:c>
      <x:c r="C2153" s="35" t="str">
        <x:v>Round1</x:v>
      </x:c>
      <x:c r="D2153" s="35" t="str">
        <x:v>JacksonDatabind_44</x:v>
      </x:c>
      <x:c r="E2153" s="35" t="str">
        <x:v>Condition</x:v>
      </x:c>
      <x:c r="F2153" s="35" t="n">
        <x:v>36</x:v>
      </x:c>
      <x:c r="G2153" s="35" t="str">
        <x:v>RECORDED</x:v>
      </x:c>
      <x:c r="H2153" s="39" t="n">
        <x:f>IF(ISNUMBER('Data'!N445),'Data'!N445*100,"")</x:f>
        <x:v>88.89</x:v>
      </x:c>
      <x:c r="I2153" s="35" t="str">
        <x:v>PASS</x:v>
      </x:c>
      <x:c r="J2153" s="35" t="str">
        <x:v>PASS</x:v>
      </x:c>
      <x:c r="K2153" s="35" t="str">
        <x:v>PASS</x:v>
      </x:c>
      <x:c r="L2153" s="35" t="str">
        <x:v>PASS</x:v>
      </x:c>
      <x:c r="M2153" s="35" t="str">
        <x:v>numeric coverage for applicable metric</x:v>
      </x:c>
      <x:c r="N2153" s="35" t="str">
        <x:v>Deepseek-flash-v4/Result/JacksonDatabind_44/result.json</x:v>
      </x:c>
      <x:c r="O2153" s="39" t="n">
        <x:f>IF(AND(G2153="RECORDED",ISNUMBER(H2153)),H2153,"")</x:f>
        <x:v>88.89</x:v>
      </x:c>
      <x:c r="P2153" s="35" t="str">
        <x:v>NOT_REVEALING</x:v>
      </x:c>
      <x:c r="Q2153" s="35" t="str">
        <x:v>Deepseek-flash-v4/Result/JacksonDatabind_44/result.json</x:v>
      </x:c>
    </x:row>
    <x:row r="2154">
      <x:c r="A2154" s="35" t="str">
        <x:v>deepseek</x:v>
      </x:c>
      <x:c r="B2154" s="35" t="str">
        <x:v>JacksonDatabind</x:v>
      </x:c>
      <x:c r="C2154" s="35" t="str">
        <x:v>Round1</x:v>
      </x:c>
      <x:c r="D2154" s="35" t="str">
        <x:v>JacksonDatabind_45</x:v>
      </x:c>
      <x:c r="E2154" s="35" t="str">
        <x:v>Condition</x:v>
      </x:c>
      <x:c r="F2154" s="35"/>
      <x:c r="G2154" s="35" t="str">
        <x:v>A</x:v>
      </x:c>
      <x:c r="H2154" s="39" t="str">
        <x:f>IF(ISNUMBER('Data'!N446),'Data'!N446*100,"")</x:f>
      </x:c>
      <x:c r="I2154" s="35"/>
      <x:c r="J2154" s="35" t="str">
        <x:v>PASS</x:v>
      </x:c>
      <x:c r="K2154" s="35" t="str">
        <x:v>FAIL</x:v>
      </x:c>
      <x:c r="L2154" s="35" t="str">
        <x:v>NOT_RUN</x:v>
      </x:c>
      <x:c r="M2154" s="35" t="str">
        <x:v>coverage unavailable or execution/compile failed</x:v>
      </x:c>
      <x:c r="N2154" s="35" t="str">
        <x:v>Deepseek-flash-v4/Result/JacksonDatabind_45/result.json</x:v>
      </x:c>
      <x:c r="O2154" s="39" t="str">
        <x:f>IF(AND(G2154="RECORDED",ISNUMBER(H2154)),H2154,"")</x:f>
      </x:c>
      <x:c r="P2154" s="35" t="str">
        <x:v>NOT_AVAILABLE</x:v>
      </x:c>
      <x:c r="Q2154" s="35" t="str">
        <x:v>Deepseek-flash-v4/Result/JacksonDatabind_45/result.json</x:v>
      </x:c>
    </x:row>
    <x:row r="2155">
      <x:c r="A2155" s="35" t="str">
        <x:v>deepseek</x:v>
      </x:c>
      <x:c r="B2155" s="35" t="str">
        <x:v>JacksonDatabind</x:v>
      </x:c>
      <x:c r="C2155" s="35" t="str">
        <x:v>Round1</x:v>
      </x:c>
      <x:c r="D2155" s="35" t="str">
        <x:v>JacksonDatabind_46</x:v>
      </x:c>
      <x:c r="E2155" s="35" t="str">
        <x:v>Condition</x:v>
      </x:c>
      <x:c r="F2155" s="35"/>
      <x:c r="G2155" s="35" t="str">
        <x:v>A</x:v>
      </x:c>
      <x:c r="H2155" s="39" t="str">
        <x:f>IF(ISNUMBER('Data'!N447),'Data'!N447*100,"")</x:f>
      </x:c>
      <x:c r="I2155" s="35"/>
      <x:c r="J2155" s="35" t="str">
        <x:v>PASS</x:v>
      </x:c>
      <x:c r="K2155" s="35" t="str">
        <x:v>FAIL</x:v>
      </x:c>
      <x:c r="L2155" s="35" t="str">
        <x:v>NOT_RUN</x:v>
      </x:c>
      <x:c r="M2155" s="35" t="str">
        <x:v>coverage unavailable or execution/compile failed</x:v>
      </x:c>
      <x:c r="N2155" s="35" t="str">
        <x:v>Deepseek-flash-v4/Result/JacksonDatabind_46/result.json</x:v>
      </x:c>
      <x:c r="O2155" s="39" t="str">
        <x:f>IF(AND(G2155="RECORDED",ISNUMBER(H2155)),H2155,"")</x:f>
      </x:c>
      <x:c r="P2155" s="35" t="str">
        <x:v>NOT_AVAILABLE</x:v>
      </x:c>
      <x:c r="Q2155" s="35" t="str">
        <x:v>Deepseek-flash-v4/Result/JacksonDatabind_46/result.json</x:v>
      </x:c>
    </x:row>
    <x:row r="2156">
      <x:c r="A2156" s="35" t="str">
        <x:v>deepseek</x:v>
      </x:c>
      <x:c r="B2156" s="35" t="str">
        <x:v>JacksonDatabind</x:v>
      </x:c>
      <x:c r="C2156" s="35" t="str">
        <x:v>Round1</x:v>
      </x:c>
      <x:c r="D2156" s="35" t="str">
        <x:v>JacksonDatabind_47</x:v>
      </x:c>
      <x:c r="E2156" s="35" t="str">
        <x:v>Condition</x:v>
      </x:c>
      <x:c r="F2156" s="35" t="n">
        <x:v>44</x:v>
      </x:c>
      <x:c r="G2156" s="35" t="str">
        <x:v>RECORDED</x:v>
      </x:c>
      <x:c r="H2156" s="39" t="n">
        <x:f>IF(ISNUMBER('Data'!N448),'Data'!N448*100,"")</x:f>
        <x:v>0</x:v>
      </x:c>
      <x:c r="I2156" s="35" t="str">
        <x:v>PASS</x:v>
      </x:c>
      <x:c r="J2156" s="35" t="str">
        <x:v>PASS</x:v>
      </x:c>
      <x:c r="K2156" s="35" t="str">
        <x:v>PASS</x:v>
      </x:c>
      <x:c r="L2156" s="35" t="str">
        <x:v>FAIL</x:v>
      </x:c>
      <x:c r="M2156" s="35" t="str">
        <x:v>numeric coverage for applicable metric</x:v>
      </x:c>
      <x:c r="N2156" s="35" t="str">
        <x:v>Deepseek-flash-v4/Result/JacksonDatabind_47/result.json</x:v>
      </x:c>
      <x:c r="O2156" s="39" t="n">
        <x:f>IF(AND(G2156="RECORDED",ISNUMBER(H2156)),H2156,"")</x:f>
        <x:v>0</x:v>
      </x:c>
      <x:c r="P2156" s="35" t="str">
        <x:v>INCONCLUSIVE</x:v>
      </x:c>
      <x:c r="Q2156" s="35" t="str">
        <x:v>Deepseek-flash-v4/Result/JacksonDatabind_47/result.json</x:v>
      </x:c>
    </x:row>
    <x:row r="2157">
      <x:c r="A2157" s="35" t="str">
        <x:v>deepseek</x:v>
      </x:c>
      <x:c r="B2157" s="35" t="str">
        <x:v>JacksonDatabind</x:v>
      </x:c>
      <x:c r="C2157" s="35" t="str">
        <x:v>Round1</x:v>
      </x:c>
      <x:c r="D2157" s="35" t="str">
        <x:v>JacksonDatabind_48</x:v>
      </x:c>
      <x:c r="E2157" s="35" t="str">
        <x:v>Condition</x:v>
      </x:c>
      <x:c r="F2157" s="35"/>
      <x:c r="G2157" s="35" t="str">
        <x:v>A</x:v>
      </x:c>
      <x:c r="H2157" s="39" t="str">
        <x:f>IF(ISNUMBER('Data'!N449),'Data'!N449*100,"")</x:f>
      </x:c>
      <x:c r="I2157" s="35"/>
      <x:c r="J2157" s="35" t="str">
        <x:v>PASS</x:v>
      </x:c>
      <x:c r="K2157" s="35" t="str">
        <x:v>FAIL</x:v>
      </x:c>
      <x:c r="L2157" s="35" t="str">
        <x:v>NOT_RUN</x:v>
      </x:c>
      <x:c r="M2157" s="35" t="str">
        <x:v>coverage unavailable or execution/compile failed</x:v>
      </x:c>
      <x:c r="N2157" s="35" t="str">
        <x:v>Deepseek-flash-v4/Result/JacksonDatabind_48/result.json</x:v>
      </x:c>
      <x:c r="O2157" s="39" t="str">
        <x:f>IF(AND(G2157="RECORDED",ISNUMBER(H2157)),H2157,"")</x:f>
      </x:c>
      <x:c r="P2157" s="35" t="str">
        <x:v>NOT_AVAILABLE</x:v>
      </x:c>
      <x:c r="Q2157" s="35" t="str">
        <x:v>Deepseek-flash-v4/Result/JacksonDatabind_48/result.json</x:v>
      </x:c>
    </x:row>
    <x:row r="2158">
      <x:c r="A2158" s="35" t="str">
        <x:v>deepseek</x:v>
      </x:c>
      <x:c r="B2158" s="35" t="str">
        <x:v>JacksonDatabind</x:v>
      </x:c>
      <x:c r="C2158" s="35" t="str">
        <x:v>Round1</x:v>
      </x:c>
      <x:c r="D2158" s="35" t="str">
        <x:v>JacksonDatabind_49</x:v>
      </x:c>
      <x:c r="E2158" s="35" t="str">
        <x:v>Condition</x:v>
      </x:c>
      <x:c r="F2158" s="35"/>
      <x:c r="G2158" s="35" t="str">
        <x:v>A</x:v>
      </x:c>
      <x:c r="H2158" s="39" t="str">
        <x:f>IF(ISNUMBER('Data'!N450),'Data'!N450*100,"")</x:f>
      </x:c>
      <x:c r="I2158" s="35"/>
      <x:c r="J2158" s="35" t="str">
        <x:v>PASS</x:v>
      </x:c>
      <x:c r="K2158" s="35" t="str">
        <x:v>FAIL</x:v>
      </x:c>
      <x:c r="L2158" s="35" t="str">
        <x:v>NOT_RUN</x:v>
      </x:c>
      <x:c r="M2158" s="35" t="str">
        <x:v>coverage unavailable or execution/compile failed</x:v>
      </x:c>
      <x:c r="N2158" s="35" t="str">
        <x:v>Deepseek-flash-v4/Result/JacksonDatabind_49/result.json</x:v>
      </x:c>
      <x:c r="O2158" s="39" t="str">
        <x:f>IF(AND(G2158="RECORDED",ISNUMBER(H2158)),H2158,"")</x:f>
      </x:c>
      <x:c r="P2158" s="35" t="str">
        <x:v>NOT_AVAILABLE</x:v>
      </x:c>
      <x:c r="Q2158" s="35" t="str">
        <x:v>Deepseek-flash-v4/Result/JacksonDatabind_49/result.json</x:v>
      </x:c>
    </x:row>
    <x:row r="2159">
      <x:c r="A2159" s="35" t="str">
        <x:v>deepseek</x:v>
      </x:c>
      <x:c r="B2159" s="35" t="str">
        <x:v>JacksonDatabind</x:v>
      </x:c>
      <x:c r="C2159" s="35" t="str">
        <x:v>Round1</x:v>
      </x:c>
      <x:c r="D2159" s="35" t="str">
        <x:v>JacksonDatabind_5</x:v>
      </x:c>
      <x:c r="E2159" s="35" t="str">
        <x:v>Condition</x:v>
      </x:c>
      <x:c r="F2159" s="35" t="n">
        <x:v>272</x:v>
      </x:c>
      <x:c r="G2159" s="35" t="str">
        <x:v>RECORDED</x:v>
      </x:c>
      <x:c r="H2159" s="39" t="n">
        <x:f>IF(ISNUMBER('Data'!N451),'Data'!N451*100,"")</x:f>
        <x:v>38.97</x:v>
      </x:c>
      <x:c r="I2159" s="35" t="str">
        <x:v>PASS</x:v>
      </x:c>
      <x:c r="J2159" s="35" t="str">
        <x:v>PASS</x:v>
      </x:c>
      <x:c r="K2159" s="35" t="str">
        <x:v>PASS</x:v>
      </x:c>
      <x:c r="L2159" s="35" t="str">
        <x:v>FAIL</x:v>
      </x:c>
      <x:c r="M2159" s="35" t="str">
        <x:v>numeric coverage for applicable metric</x:v>
      </x:c>
      <x:c r="N2159" s="35" t="str">
        <x:v>Deepseek-flash-v4/Result/JacksonDatabind_5/result.json</x:v>
      </x:c>
      <x:c r="O2159" s="39" t="n">
        <x:f>IF(AND(G2159="RECORDED",ISNUMBER(H2159)),H2159,"")</x:f>
        <x:v>38.97</x:v>
      </x:c>
      <x:c r="P2159" s="35" t="str">
        <x:v>INCONCLUSIVE</x:v>
      </x:c>
      <x:c r="Q2159" s="35" t="str">
        <x:v>Deepseek-flash-v4/Result/JacksonDatabind_5/result.json</x:v>
      </x:c>
    </x:row>
    <x:row r="2160">
      <x:c r="A2160" s="35" t="str">
        <x:v>deepseek</x:v>
      </x:c>
      <x:c r="B2160" s="35" t="str">
        <x:v>JacksonDatabind</x:v>
      </x:c>
      <x:c r="C2160" s="35" t="str">
        <x:v>Round1</x:v>
      </x:c>
      <x:c r="D2160" s="35" t="str">
        <x:v>JacksonDatabind_50</x:v>
      </x:c>
      <x:c r="E2160" s="35" t="str">
        <x:v>Condition</x:v>
      </x:c>
      <x:c r="F2160" s="35"/>
      <x:c r="G2160" s="35" t="str">
        <x:v>A</x:v>
      </x:c>
      <x:c r="H2160" s="39" t="str">
        <x:f>IF(ISNUMBER('Data'!N452),'Data'!N452*100,"")</x:f>
      </x:c>
      <x:c r="I2160" s="35"/>
      <x:c r="J2160" s="35" t="str">
        <x:v>PASS</x:v>
      </x:c>
      <x:c r="K2160" s="35" t="str">
        <x:v>FAIL</x:v>
      </x:c>
      <x:c r="L2160" s="35" t="str">
        <x:v>NOT_RUN</x:v>
      </x:c>
      <x:c r="M2160" s="35" t="str">
        <x:v>coverage unavailable or execution/compile failed</x:v>
      </x:c>
      <x:c r="N2160" s="35" t="str">
        <x:v>Deepseek-flash-v4/Result/JacksonDatabind_50/result.json</x:v>
      </x:c>
      <x:c r="O2160" s="39" t="str">
        <x:f>IF(AND(G2160="RECORDED",ISNUMBER(H2160)),H2160,"")</x:f>
      </x:c>
      <x:c r="P2160" s="35" t="str">
        <x:v>NOT_AVAILABLE</x:v>
      </x:c>
      <x:c r="Q2160" s="35" t="str">
        <x:v>Deepseek-flash-v4/Result/JacksonDatabind_50/result.json</x:v>
      </x:c>
    </x:row>
    <x:row r="2161">
      <x:c r="A2161" s="35" t="str">
        <x:v>deepseek</x:v>
      </x:c>
      <x:c r="B2161" s="35" t="str">
        <x:v>JacksonDatabind</x:v>
      </x:c>
      <x:c r="C2161" s="35" t="str">
        <x:v>Round1</x:v>
      </x:c>
      <x:c r="D2161" s="35" t="str">
        <x:v>JacksonDatabind_51</x:v>
      </x:c>
      <x:c r="E2161" s="35" t="str">
        <x:v>Condition</x:v>
      </x:c>
      <x:c r="F2161" s="35"/>
      <x:c r="G2161" s="35" t="str">
        <x:v>A</x:v>
      </x:c>
      <x:c r="H2161" s="39" t="str">
        <x:f>IF(ISNUMBER('Data'!N453),'Data'!N453*100,"")</x:f>
      </x:c>
      <x:c r="I2161" s="35"/>
      <x:c r="J2161" s="35" t="str">
        <x:v>PASS</x:v>
      </x:c>
      <x:c r="K2161" s="35" t="str">
        <x:v>FAIL</x:v>
      </x:c>
      <x:c r="L2161" s="35" t="str">
        <x:v>NOT_RUN</x:v>
      </x:c>
      <x:c r="M2161" s="35" t="str">
        <x:v>coverage unavailable or execution/compile failed</x:v>
      </x:c>
      <x:c r="N2161" s="35" t="str">
        <x:v>Deepseek-flash-v4/Result/JacksonDatabind_51/result.json</x:v>
      </x:c>
      <x:c r="O2161" s="39" t="str">
        <x:f>IF(AND(G2161="RECORDED",ISNUMBER(H2161)),H2161,"")</x:f>
      </x:c>
      <x:c r="P2161" s="35" t="str">
        <x:v>NOT_AVAILABLE</x:v>
      </x:c>
      <x:c r="Q2161" s="35" t="str">
        <x:v>Deepseek-flash-v4/Result/JacksonDatabind_51/result.json</x:v>
      </x:c>
    </x:row>
    <x:row r="2162">
      <x:c r="A2162" s="35" t="str">
        <x:v>deepseek</x:v>
      </x:c>
      <x:c r="B2162" s="35" t="str">
        <x:v>JacksonDatabind</x:v>
      </x:c>
      <x:c r="C2162" s="35" t="str">
        <x:v>Round1</x:v>
      </x:c>
      <x:c r="D2162" s="35" t="str">
        <x:v>JacksonDatabind_52</x:v>
      </x:c>
      <x:c r="E2162" s="35" t="str">
        <x:v>Condition</x:v>
      </x:c>
      <x:c r="F2162" s="35"/>
      <x:c r="G2162" s="35" t="str">
        <x:v>A</x:v>
      </x:c>
      <x:c r="H2162" s="39" t="str">
        <x:f>IF(ISNUMBER('Data'!N454),'Data'!N454*100,"")</x:f>
      </x:c>
      <x:c r="I2162" s="35"/>
      <x:c r="J2162" s="35" t="str">
        <x:v>PASS</x:v>
      </x:c>
      <x:c r="K2162" s="35" t="str">
        <x:v>FAIL</x:v>
      </x:c>
      <x:c r="L2162" s="35" t="str">
        <x:v>NOT_RUN</x:v>
      </x:c>
      <x:c r="M2162" s="35" t="str">
        <x:v>coverage unavailable or execution/compile failed</x:v>
      </x:c>
      <x:c r="N2162" s="35" t="str">
        <x:v>Deepseek-flash-v4/Result/JacksonDatabind_52/result.json</x:v>
      </x:c>
      <x:c r="O2162" s="39" t="str">
        <x:f>IF(AND(G2162="RECORDED",ISNUMBER(H2162)),H2162,"")</x:f>
      </x:c>
      <x:c r="P2162" s="35" t="str">
        <x:v>NOT_AVAILABLE</x:v>
      </x:c>
      <x:c r="Q2162" s="35" t="str">
        <x:v>Deepseek-flash-v4/Result/JacksonDatabind_52/result.json</x:v>
      </x:c>
    </x:row>
    <x:row r="2163">
      <x:c r="A2163" s="35" t="str">
        <x:v>deepseek</x:v>
      </x:c>
      <x:c r="B2163" s="35" t="str">
        <x:v>JacksonDatabind</x:v>
      </x:c>
      <x:c r="C2163" s="35" t="str">
        <x:v>Round1</x:v>
      </x:c>
      <x:c r="D2163" s="35" t="str">
        <x:v>JacksonDatabind_53</x:v>
      </x:c>
      <x:c r="E2163" s="35" t="str">
        <x:v>Condition</x:v>
      </x:c>
      <x:c r="F2163" s="35" t="n">
        <x:v>346</x:v>
      </x:c>
      <x:c r="G2163" s="35" t="str">
        <x:v>RECORDED</x:v>
      </x:c>
      <x:c r="H2163" s="39" t="n">
        <x:f>IF(ISNUMBER('Data'!N455),'Data'!N455*100,"")</x:f>
        <x:v>69.36</x:v>
      </x:c>
      <x:c r="I2163" s="35" t="str">
        <x:v>PASS</x:v>
      </x:c>
      <x:c r="J2163" s="35" t="str">
        <x:v>PASS</x:v>
      </x:c>
      <x:c r="K2163" s="35" t="str">
        <x:v>PASS</x:v>
      </x:c>
      <x:c r="L2163" s="35" t="str">
        <x:v>FAIL</x:v>
      </x:c>
      <x:c r="M2163" s="35" t="str">
        <x:v>numeric coverage for applicable metric</x:v>
      </x:c>
      <x:c r="N2163" s="35" t="str">
        <x:v>Deepseek-flash-v4/Result/JacksonDatabind_53/result.json</x:v>
      </x:c>
      <x:c r="O2163" s="39" t="n">
        <x:f>IF(AND(G2163="RECORDED",ISNUMBER(H2163)),H2163,"")</x:f>
        <x:v>69.36</x:v>
      </x:c>
      <x:c r="P2163" s="35" t="str">
        <x:v>INCONCLUSIVE</x:v>
      </x:c>
      <x:c r="Q2163" s="35" t="str">
        <x:v>Deepseek-flash-v4/Result/JacksonDatabind_53/result.json</x:v>
      </x:c>
    </x:row>
    <x:row r="2164">
      <x:c r="A2164" s="35" t="str">
        <x:v>deepseek</x:v>
      </x:c>
      <x:c r="B2164" s="35" t="str">
        <x:v>JacksonDatabind</x:v>
      </x:c>
      <x:c r="C2164" s="35" t="str">
        <x:v>Round1</x:v>
      </x:c>
      <x:c r="D2164" s="35" t="str">
        <x:v>JacksonDatabind_54</x:v>
      </x:c>
      <x:c r="E2164" s="35" t="str">
        <x:v>Condition</x:v>
      </x:c>
      <x:c r="F2164" s="35"/>
      <x:c r="G2164" s="35" t="str">
        <x:v>A</x:v>
      </x:c>
      <x:c r="H2164" s="39" t="str">
        <x:f>IF(ISNUMBER('Data'!N456),'Data'!N456*100,"")</x:f>
      </x:c>
      <x:c r="I2164" s="35"/>
      <x:c r="J2164" s="35" t="str">
        <x:v>PASS</x:v>
      </x:c>
      <x:c r="K2164" s="35" t="str">
        <x:v>FAIL</x:v>
      </x:c>
      <x:c r="L2164" s="35" t="str">
        <x:v>NOT_RUN</x:v>
      </x:c>
      <x:c r="M2164" s="35" t="str">
        <x:v>coverage unavailable or execution/compile failed</x:v>
      </x:c>
      <x:c r="N2164" s="35" t="str">
        <x:v>Deepseek-flash-v4/Result/JacksonDatabind_54/result.json</x:v>
      </x:c>
      <x:c r="O2164" s="39" t="str">
        <x:f>IF(AND(G2164="RECORDED",ISNUMBER(H2164)),H2164,"")</x:f>
      </x:c>
      <x:c r="P2164" s="35" t="str">
        <x:v>NOT_AVAILABLE</x:v>
      </x:c>
      <x:c r="Q2164" s="35" t="str">
        <x:v>Deepseek-flash-v4/Result/JacksonDatabind_54/result.json</x:v>
      </x:c>
    </x:row>
    <x:row r="2165">
      <x:c r="A2165" s="35" t="str">
        <x:v>deepseek</x:v>
      </x:c>
      <x:c r="B2165" s="35" t="str">
        <x:v>JacksonDatabind</x:v>
      </x:c>
      <x:c r="C2165" s="35" t="str">
        <x:v>Round1</x:v>
      </x:c>
      <x:c r="D2165" s="35" t="str">
        <x:v>JacksonDatabind_55</x:v>
      </x:c>
      <x:c r="E2165" s="35" t="str">
        <x:v>Condition</x:v>
      </x:c>
      <x:c r="F2165" s="35" t="n">
        <x:v>37</x:v>
      </x:c>
      <x:c r="G2165" s="35" t="str">
        <x:v>RECORDED</x:v>
      </x:c>
      <x:c r="H2165" s="39" t="n">
        <x:f>IF(ISNUMBER('Data'!N457),'Data'!N457*100,"")</x:f>
        <x:v>86.49</x:v>
      </x:c>
      <x:c r="I2165" s="35" t="str">
        <x:v>PASS</x:v>
      </x:c>
      <x:c r="J2165" s="35" t="str">
        <x:v>PASS</x:v>
      </x:c>
      <x:c r="K2165" s="35" t="str">
        <x:v>PASS</x:v>
      </x:c>
      <x:c r="L2165" s="35" t="str">
        <x:v>FAIL</x:v>
      </x:c>
      <x:c r="M2165" s="35" t="str">
        <x:v>numeric coverage for applicable metric</x:v>
      </x:c>
      <x:c r="N2165" s="35" t="str">
        <x:v>Deepseek-flash-v4/Result/JacksonDatabind_55/result.json</x:v>
      </x:c>
      <x:c r="O2165" s="39" t="n">
        <x:f>IF(AND(G2165="RECORDED",ISNUMBER(H2165)),H2165,"")</x:f>
        <x:v>86.49</x:v>
      </x:c>
      <x:c r="P2165" s="35" t="str">
        <x:v>INCONCLUSIVE</x:v>
      </x:c>
      <x:c r="Q2165" s="35" t="str">
        <x:v>Deepseek-flash-v4/Result/JacksonDatabind_55/result.json</x:v>
      </x:c>
    </x:row>
    <x:row r="2166">
      <x:c r="A2166" s="35" t="str">
        <x:v>deepseek</x:v>
      </x:c>
      <x:c r="B2166" s="35" t="str">
        <x:v>JacksonDatabind</x:v>
      </x:c>
      <x:c r="C2166" s="35" t="str">
        <x:v>Round1</x:v>
      </x:c>
      <x:c r="D2166" s="35" t="str">
        <x:v>JacksonDatabind_56</x:v>
      </x:c>
      <x:c r="E2166" s="35" t="str">
        <x:v>Condition</x:v>
      </x:c>
      <x:c r="F2166" s="35"/>
      <x:c r="G2166" s="35" t="str">
        <x:v>A</x:v>
      </x:c>
      <x:c r="H2166" s="39" t="str">
        <x:f>IF(ISNUMBER('Data'!N458),'Data'!N458*100,"")</x:f>
      </x:c>
      <x:c r="I2166" s="35"/>
      <x:c r="J2166" s="35" t="str">
        <x:v>PASS</x:v>
      </x:c>
      <x:c r="K2166" s="35" t="str">
        <x:v>FAIL</x:v>
      </x:c>
      <x:c r="L2166" s="35" t="str">
        <x:v>NOT_RUN</x:v>
      </x:c>
      <x:c r="M2166" s="35" t="str">
        <x:v>coverage unavailable or execution/compile failed</x:v>
      </x:c>
      <x:c r="N2166" s="35" t="str">
        <x:v>Deepseek-flash-v4/Result/JacksonDatabind_56/result.json</x:v>
      </x:c>
      <x:c r="O2166" s="39" t="str">
        <x:f>IF(AND(G2166="RECORDED",ISNUMBER(H2166)),H2166,"")</x:f>
      </x:c>
      <x:c r="P2166" s="35" t="str">
        <x:v>NOT_AVAILABLE</x:v>
      </x:c>
      <x:c r="Q2166" s="35" t="str">
        <x:v>Deepseek-flash-v4/Result/JacksonDatabind_56/result.json</x:v>
      </x:c>
    </x:row>
    <x:row r="2167">
      <x:c r="A2167" s="35" t="str">
        <x:v>deepseek</x:v>
      </x:c>
      <x:c r="B2167" s="35" t="str">
        <x:v>JacksonDatabind</x:v>
      </x:c>
      <x:c r="C2167" s="35" t="str">
        <x:v>Round1</x:v>
      </x:c>
      <x:c r="D2167" s="35" t="str">
        <x:v>JacksonDatabind_57</x:v>
      </x:c>
      <x:c r="E2167" s="35" t="str">
        <x:v>Condition</x:v>
      </x:c>
      <x:c r="F2167" s="35" t="n">
        <x:v>156</x:v>
      </x:c>
      <x:c r="G2167" s="35" t="str">
        <x:v>RECORDED</x:v>
      </x:c>
      <x:c r="H2167" s="39" t="n">
        <x:f>IF(ISNUMBER('Data'!N459),'Data'!N459*100,"")</x:f>
        <x:v>42.31</x:v>
      </x:c>
      <x:c r="I2167" s="35" t="str">
        <x:v>PASS</x:v>
      </x:c>
      <x:c r="J2167" s="35" t="str">
        <x:v>PASS</x:v>
      </x:c>
      <x:c r="K2167" s="35" t="str">
        <x:v>PASS</x:v>
      </x:c>
      <x:c r="L2167" s="35" t="str">
        <x:v>FAIL</x:v>
      </x:c>
      <x:c r="M2167" s="35" t="str">
        <x:v>numeric coverage for applicable metric</x:v>
      </x:c>
      <x:c r="N2167" s="35" t="str">
        <x:v>Deepseek-flash-v4/Result/JacksonDatabind_57/result.json</x:v>
      </x:c>
      <x:c r="O2167" s="39" t="n">
        <x:f>IF(AND(G2167="RECORDED",ISNUMBER(H2167)),H2167,"")</x:f>
        <x:v>42.31</x:v>
      </x:c>
      <x:c r="P2167" s="35" t="str">
        <x:v>INCONCLUSIVE</x:v>
      </x:c>
      <x:c r="Q2167" s="35" t="str">
        <x:v>Deepseek-flash-v4/Result/JacksonDatabind_57/result.json</x:v>
      </x:c>
    </x:row>
    <x:row r="2168">
      <x:c r="A2168" s="35" t="str">
        <x:v>deepseek</x:v>
      </x:c>
      <x:c r="B2168" s="35" t="str">
        <x:v>JacksonDatabind</x:v>
      </x:c>
      <x:c r="C2168" s="35" t="str">
        <x:v>Round1</x:v>
      </x:c>
      <x:c r="D2168" s="35" t="str">
        <x:v>JacksonDatabind_58</x:v>
      </x:c>
      <x:c r="E2168" s="35" t="str">
        <x:v>Condition</x:v>
      </x:c>
      <x:c r="F2168" s="35"/>
      <x:c r="G2168" s="35" t="str">
        <x:v>A</x:v>
      </x:c>
      <x:c r="H2168" s="39" t="str">
        <x:f>IF(ISNUMBER('Data'!N460),'Data'!N460*100,"")</x:f>
      </x:c>
      <x:c r="I2168" s="35"/>
      <x:c r="J2168" s="35" t="str">
        <x:v>PASS</x:v>
      </x:c>
      <x:c r="K2168" s="35" t="str">
        <x:v>FAIL</x:v>
      </x:c>
      <x:c r="L2168" s="35" t="str">
        <x:v>NOT_RUN</x:v>
      </x:c>
      <x:c r="M2168" s="35" t="str">
        <x:v>coverage unavailable or execution/compile failed</x:v>
      </x:c>
      <x:c r="N2168" s="35" t="str">
        <x:v>Deepseek-flash-v4/Result/JacksonDatabind_58/result.json</x:v>
      </x:c>
      <x:c r="O2168" s="39" t="str">
        <x:f>IF(AND(G2168="RECORDED",ISNUMBER(H2168)),H2168,"")</x:f>
      </x:c>
      <x:c r="P2168" s="35" t="str">
        <x:v>NOT_AVAILABLE</x:v>
      </x:c>
      <x:c r="Q2168" s="35" t="str">
        <x:v>Deepseek-flash-v4/Result/JacksonDatabind_58/result.json</x:v>
      </x:c>
    </x:row>
    <x:row r="2169">
      <x:c r="A2169" s="35" t="str">
        <x:v>deepseek</x:v>
      </x:c>
      <x:c r="B2169" s="35" t="str">
        <x:v>JacksonDatabind</x:v>
      </x:c>
      <x:c r="C2169" s="35" t="str">
        <x:v>Round1</x:v>
      </x:c>
      <x:c r="D2169" s="35" t="str">
        <x:v>JacksonDatabind_59</x:v>
      </x:c>
      <x:c r="E2169" s="35" t="str">
        <x:v>Condition</x:v>
      </x:c>
      <x:c r="F2169" s="35"/>
      <x:c r="G2169" s="35" t="str">
        <x:v>A</x:v>
      </x:c>
      <x:c r="H2169" s="39" t="str">
        <x:f>IF(ISNUMBER('Data'!N461),'Data'!N461*100,"")</x:f>
      </x:c>
      <x:c r="I2169" s="35"/>
      <x:c r="J2169" s="35" t="str">
        <x:v>PASS</x:v>
      </x:c>
      <x:c r="K2169" s="35" t="str">
        <x:v>FAIL</x:v>
      </x:c>
      <x:c r="L2169" s="35" t="str">
        <x:v>NOT_RUN</x:v>
      </x:c>
      <x:c r="M2169" s="35" t="str">
        <x:v>coverage unavailable or execution/compile failed</x:v>
      </x:c>
      <x:c r="N2169" s="35" t="str">
        <x:v>Deepseek-flash-v4/Result/JacksonDatabind_59/result.json</x:v>
      </x:c>
      <x:c r="O2169" s="39" t="str">
        <x:f>IF(AND(G2169="RECORDED",ISNUMBER(H2169)),H2169,"")</x:f>
      </x:c>
      <x:c r="P2169" s="35" t="str">
        <x:v>NOT_AVAILABLE</x:v>
      </x:c>
      <x:c r="Q2169" s="35" t="str">
        <x:v>Deepseek-flash-v4/Result/JacksonDatabind_59/result.json</x:v>
      </x:c>
    </x:row>
    <x:row r="2170">
      <x:c r="A2170" s="35" t="str">
        <x:v>deepseek</x:v>
      </x:c>
      <x:c r="B2170" s="35" t="str">
        <x:v>JacksonDatabind</x:v>
      </x:c>
      <x:c r="C2170" s="35" t="str">
        <x:v>Round1</x:v>
      </x:c>
      <x:c r="D2170" s="35" t="str">
        <x:v>JacksonDatabind_6</x:v>
      </x:c>
      <x:c r="E2170" s="35" t="str">
        <x:v>Condition</x:v>
      </x:c>
      <x:c r="F2170" s="35" t="n">
        <x:v>94</x:v>
      </x:c>
      <x:c r="G2170" s="35" t="str">
        <x:v>RECORDED</x:v>
      </x:c>
      <x:c r="H2170" s="39" t="n">
        <x:f>IF(ISNUMBER('Data'!N462),'Data'!N462*100,"")</x:f>
        <x:v>75.53</x:v>
      </x:c>
      <x:c r="I2170" s="35" t="str">
        <x:v>PASS</x:v>
      </x:c>
      <x:c r="J2170" s="35" t="str">
        <x:v>PASS</x:v>
      </x:c>
      <x:c r="K2170" s="35" t="str">
        <x:v>PASS</x:v>
      </x:c>
      <x:c r="L2170" s="35" t="str">
        <x:v>PASS</x:v>
      </x:c>
      <x:c r="M2170" s="35" t="str">
        <x:v>numeric coverage for applicable metric</x:v>
      </x:c>
      <x:c r="N2170" s="35" t="str">
        <x:v>Deepseek-flash-v4/Result/JacksonDatabind_6/result.json</x:v>
      </x:c>
      <x:c r="O2170" s="39" t="n">
        <x:f>IF(AND(G2170="RECORDED",ISNUMBER(H2170)),H2170,"")</x:f>
        <x:v>75.53</x:v>
      </x:c>
      <x:c r="P2170" s="35" t="str">
        <x:v>NOT_REVEALING</x:v>
      </x:c>
      <x:c r="Q2170" s="35" t="str">
        <x:v>Deepseek-flash-v4/Result/JacksonDatabind_6/result.json</x:v>
      </x:c>
    </x:row>
    <x:row r="2171">
      <x:c r="A2171" s="35" t="str">
        <x:v>deepseek</x:v>
      </x:c>
      <x:c r="B2171" s="35" t="str">
        <x:v>JacksonDatabind</x:v>
      </x:c>
      <x:c r="C2171" s="35" t="str">
        <x:v>Round1</x:v>
      </x:c>
      <x:c r="D2171" s="35" t="str">
        <x:v>JacksonDatabind_60</x:v>
      </x:c>
      <x:c r="E2171" s="35" t="str">
        <x:v>Condition</x:v>
      </x:c>
      <x:c r="F2171" s="35"/>
      <x:c r="G2171" s="35" t="str">
        <x:v>A</x:v>
      </x:c>
      <x:c r="H2171" s="39" t="str">
        <x:f>IF(ISNUMBER('Data'!N463),'Data'!N463*100,"")</x:f>
      </x:c>
      <x:c r="I2171" s="35"/>
      <x:c r="J2171" s="35" t="str">
        <x:v>PASS</x:v>
      </x:c>
      <x:c r="K2171" s="35" t="str">
        <x:v>FAIL</x:v>
      </x:c>
      <x:c r="L2171" s="35" t="str">
        <x:v>NOT_RUN</x:v>
      </x:c>
      <x:c r="M2171" s="35" t="str">
        <x:v>coverage unavailable or execution/compile failed</x:v>
      </x:c>
      <x:c r="N2171" s="35" t="str">
        <x:v>Deepseek-flash-v4/Result/JacksonDatabind_60/result.json</x:v>
      </x:c>
      <x:c r="O2171" s="39" t="str">
        <x:f>IF(AND(G2171="RECORDED",ISNUMBER(H2171)),H2171,"")</x:f>
      </x:c>
      <x:c r="P2171" s="35" t="str">
        <x:v>NOT_AVAILABLE</x:v>
      </x:c>
      <x:c r="Q2171" s="35" t="str">
        <x:v>Deepseek-flash-v4/Result/JacksonDatabind_60/result.json</x:v>
      </x:c>
    </x:row>
    <x:row r="2172">
      <x:c r="A2172" s="35" t="str">
        <x:v>deepseek</x:v>
      </x:c>
      <x:c r="B2172" s="35" t="str">
        <x:v>JacksonDatabind</x:v>
      </x:c>
      <x:c r="C2172" s="35" t="str">
        <x:v>Round1</x:v>
      </x:c>
      <x:c r="D2172" s="35" t="str">
        <x:v>JacksonDatabind_61</x:v>
      </x:c>
      <x:c r="E2172" s="35" t="str">
        <x:v>Condition</x:v>
      </x:c>
      <x:c r="F2172" s="35"/>
      <x:c r="G2172" s="35" t="str">
        <x:v>A</x:v>
      </x:c>
      <x:c r="H2172" s="39" t="str">
        <x:f>IF(ISNUMBER('Data'!N464),'Data'!N464*100,"")</x:f>
      </x:c>
      <x:c r="I2172" s="35"/>
      <x:c r="J2172" s="35" t="str">
        <x:v>PASS</x:v>
      </x:c>
      <x:c r="K2172" s="35" t="str">
        <x:v>FAIL</x:v>
      </x:c>
      <x:c r="L2172" s="35" t="str">
        <x:v>NOT_RUN</x:v>
      </x:c>
      <x:c r="M2172" s="35" t="str">
        <x:v>coverage unavailable or execution/compile failed</x:v>
      </x:c>
      <x:c r="N2172" s="35" t="str">
        <x:v>Deepseek-flash-v4/Result/JacksonDatabind_61/result.json</x:v>
      </x:c>
      <x:c r="O2172" s="39" t="str">
        <x:f>IF(AND(G2172="RECORDED",ISNUMBER(H2172)),H2172,"")</x:f>
      </x:c>
      <x:c r="P2172" s="35" t="str">
        <x:v>NOT_AVAILABLE</x:v>
      </x:c>
      <x:c r="Q2172" s="35" t="str">
        <x:v>Deepseek-flash-v4/Result/JacksonDatabind_61/result.json</x:v>
      </x:c>
    </x:row>
    <x:row r="2173">
      <x:c r="A2173" s="35" t="str">
        <x:v>deepseek</x:v>
      </x:c>
      <x:c r="B2173" s="35" t="str">
        <x:v>JacksonDatabind</x:v>
      </x:c>
      <x:c r="C2173" s="35" t="str">
        <x:v>Round1</x:v>
      </x:c>
      <x:c r="D2173" s="35" t="str">
        <x:v>JacksonDatabind_62</x:v>
      </x:c>
      <x:c r="E2173" s="35" t="str">
        <x:v>Condition</x:v>
      </x:c>
      <x:c r="F2173" s="35"/>
      <x:c r="G2173" s="35" t="str">
        <x:v>A</x:v>
      </x:c>
      <x:c r="H2173" s="39" t="str">
        <x:f>IF(ISNUMBER('Data'!N465),'Data'!N465*100,"")</x:f>
      </x:c>
      <x:c r="I2173" s="35"/>
      <x:c r="J2173" s="35" t="str">
        <x:v>PASS</x:v>
      </x:c>
      <x:c r="K2173" s="35" t="str">
        <x:v>FAIL</x:v>
      </x:c>
      <x:c r="L2173" s="35" t="str">
        <x:v>NOT_RUN</x:v>
      </x:c>
      <x:c r="M2173" s="35" t="str">
        <x:v>coverage unavailable or execution/compile failed</x:v>
      </x:c>
      <x:c r="N2173" s="35" t="str">
        <x:v>Deepseek-flash-v4/Result/JacksonDatabind_62/result.json</x:v>
      </x:c>
      <x:c r="O2173" s="39" t="str">
        <x:f>IF(AND(G2173="RECORDED",ISNUMBER(H2173)),H2173,"")</x:f>
      </x:c>
      <x:c r="P2173" s="35" t="str">
        <x:v>NOT_AVAILABLE</x:v>
      </x:c>
      <x:c r="Q2173" s="35" t="str">
        <x:v>Deepseek-flash-v4/Result/JacksonDatabind_62/result.json</x:v>
      </x:c>
    </x:row>
    <x:row r="2174">
      <x:c r="A2174" s="35" t="str">
        <x:v>deepseek</x:v>
      </x:c>
      <x:c r="B2174" s="35" t="str">
        <x:v>JacksonDatabind</x:v>
      </x:c>
      <x:c r="C2174" s="35" t="str">
        <x:v>Round1</x:v>
      </x:c>
      <x:c r="D2174" s="35" t="str">
        <x:v>JacksonDatabind_63</x:v>
      </x:c>
      <x:c r="E2174" s="35" t="str">
        <x:v>Condition</x:v>
      </x:c>
      <x:c r="F2174" s="35" t="n">
        <x:v>44</x:v>
      </x:c>
      <x:c r="G2174" s="35" t="str">
        <x:v>RECORDED</x:v>
      </x:c>
      <x:c r="H2174" s="39" t="n">
        <x:f>IF(ISNUMBER('Data'!N466),'Data'!N466*100,"")</x:f>
        <x:v>79.55</x:v>
      </x:c>
      <x:c r="I2174" s="35" t="str">
        <x:v>PASS</x:v>
      </x:c>
      <x:c r="J2174" s="35" t="str">
        <x:v>PASS</x:v>
      </x:c>
      <x:c r="K2174" s="35" t="str">
        <x:v>PASS</x:v>
      </x:c>
      <x:c r="L2174" s="35" t="str">
        <x:v>FAIL</x:v>
      </x:c>
      <x:c r="M2174" s="35" t="str">
        <x:v>numeric coverage for applicable metric</x:v>
      </x:c>
      <x:c r="N2174" s="35" t="str">
        <x:v>Deepseek-flash-v4/Result/JacksonDatabind_63/result.json</x:v>
      </x:c>
      <x:c r="O2174" s="39" t="n">
        <x:f>IF(AND(G2174="RECORDED",ISNUMBER(H2174)),H2174,"")</x:f>
        <x:v>79.55</x:v>
      </x:c>
      <x:c r="P2174" s="35" t="str">
        <x:v>INCONCLUSIVE</x:v>
      </x:c>
      <x:c r="Q2174" s="35" t="str">
        <x:v>Deepseek-flash-v4/Result/JacksonDatabind_63/result.json</x:v>
      </x:c>
    </x:row>
    <x:row r="2175">
      <x:c r="A2175" s="35" t="str">
        <x:v>deepseek</x:v>
      </x:c>
      <x:c r="B2175" s="35" t="str">
        <x:v>JacksonDatabind</x:v>
      </x:c>
      <x:c r="C2175" s="35" t="str">
        <x:v>Round1</x:v>
      </x:c>
      <x:c r="D2175" s="35" t="str">
        <x:v>JacksonDatabind_64</x:v>
      </x:c>
      <x:c r="E2175" s="35" t="str">
        <x:v>Condition</x:v>
      </x:c>
      <x:c r="F2175" s="35"/>
      <x:c r="G2175" s="35" t="str">
        <x:v>A</x:v>
      </x:c>
      <x:c r="H2175" s="39" t="str">
        <x:f>IF(ISNUMBER('Data'!N467),'Data'!N467*100,"")</x:f>
      </x:c>
      <x:c r="I2175" s="35"/>
      <x:c r="J2175" s="35" t="str">
        <x:v>PASS</x:v>
      </x:c>
      <x:c r="K2175" s="35" t="str">
        <x:v>FAIL</x:v>
      </x:c>
      <x:c r="L2175" s="35" t="str">
        <x:v>NOT_RUN</x:v>
      </x:c>
      <x:c r="M2175" s="35" t="str">
        <x:v>coverage unavailable or execution/compile failed</x:v>
      </x:c>
      <x:c r="N2175" s="35" t="str">
        <x:v>Deepseek-flash-v4/Result/JacksonDatabind_64/result.json</x:v>
      </x:c>
      <x:c r="O2175" s="39" t="str">
        <x:f>IF(AND(G2175="RECORDED",ISNUMBER(H2175)),H2175,"")</x:f>
      </x:c>
      <x:c r="P2175" s="35" t="str">
        <x:v>NOT_AVAILABLE</x:v>
      </x:c>
      <x:c r="Q2175" s="35" t="str">
        <x:v>Deepseek-flash-v4/Result/JacksonDatabind_64/result.json</x:v>
      </x:c>
    </x:row>
    <x:row r="2176">
      <x:c r="A2176" s="35" t="str">
        <x:v>deepseek</x:v>
      </x:c>
      <x:c r="B2176" s="35" t="str">
        <x:v>JacksonDatabind</x:v>
      </x:c>
      <x:c r="C2176" s="35" t="str">
        <x:v>Round1</x:v>
      </x:c>
      <x:c r="D2176" s="35" t="str">
        <x:v>JacksonDatabind_66</x:v>
      </x:c>
      <x:c r="E2176" s="35" t="str">
        <x:v>Condition</x:v>
      </x:c>
      <x:c r="F2176" s="35" t="n">
        <x:v>95</x:v>
      </x:c>
      <x:c r="G2176" s="35" t="str">
        <x:v>RECORDED</x:v>
      </x:c>
      <x:c r="H2176" s="39" t="n">
        <x:f>IF(ISNUMBER('Data'!N468),'Data'!N468*100,"")</x:f>
        <x:v>65.26</x:v>
      </x:c>
      <x:c r="I2176" s="35" t="str">
        <x:v>PASS</x:v>
      </x:c>
      <x:c r="J2176" s="35" t="str">
        <x:v>PASS</x:v>
      </x:c>
      <x:c r="K2176" s="35" t="str">
        <x:v>PASS</x:v>
      </x:c>
      <x:c r="L2176" s="35" t="str">
        <x:v>PASS</x:v>
      </x:c>
      <x:c r="M2176" s="35" t="str">
        <x:v>numeric coverage for applicable metric</x:v>
      </x:c>
      <x:c r="N2176" s="35" t="str">
        <x:v>Deepseek-flash-v4/Result/JacksonDatabind_66/result.json</x:v>
      </x:c>
      <x:c r="O2176" s="39" t="n">
        <x:f>IF(AND(G2176="RECORDED",ISNUMBER(H2176)),H2176,"")</x:f>
        <x:v>65.26</x:v>
      </x:c>
      <x:c r="P2176" s="35" t="str">
        <x:v>NOT_REVEALING</x:v>
      </x:c>
      <x:c r="Q2176" s="35" t="str">
        <x:v>Deepseek-flash-v4/Result/JacksonDatabind_66/result.json</x:v>
      </x:c>
    </x:row>
    <x:row r="2177">
      <x:c r="A2177" s="35" t="str">
        <x:v>deepseek</x:v>
      </x:c>
      <x:c r="B2177" s="35" t="str">
        <x:v>JacksonDatabind</x:v>
      </x:c>
      <x:c r="C2177" s="35" t="str">
        <x:v>Round1</x:v>
      </x:c>
      <x:c r="D2177" s="35" t="str">
        <x:v>JacksonDatabind_67</x:v>
      </x:c>
      <x:c r="E2177" s="35" t="str">
        <x:v>Condition</x:v>
      </x:c>
      <x:c r="F2177" s="35"/>
      <x:c r="G2177" s="35" t="str">
        <x:v>A</x:v>
      </x:c>
      <x:c r="H2177" s="39" t="str">
        <x:f>IF(ISNUMBER('Data'!N469),'Data'!N469*100,"")</x:f>
      </x:c>
      <x:c r="I2177" s="35"/>
      <x:c r="J2177" s="35" t="str">
        <x:v>PASS</x:v>
      </x:c>
      <x:c r="K2177" s="35" t="str">
        <x:v>FAIL</x:v>
      </x:c>
      <x:c r="L2177" s="35" t="str">
        <x:v>NOT_RUN</x:v>
      </x:c>
      <x:c r="M2177" s="35" t="str">
        <x:v>coverage unavailable or execution/compile failed</x:v>
      </x:c>
      <x:c r="N2177" s="35" t="str">
        <x:v>Deepseek-flash-v4/Result/JacksonDatabind_67/result.json</x:v>
      </x:c>
      <x:c r="O2177" s="39" t="str">
        <x:f>IF(AND(G2177="RECORDED",ISNUMBER(H2177)),H2177,"")</x:f>
      </x:c>
      <x:c r="P2177" s="35" t="str">
        <x:v>NOT_AVAILABLE</x:v>
      </x:c>
      <x:c r="Q2177" s="35" t="str">
        <x:v>Deepseek-flash-v4/Result/JacksonDatabind_67/result.json</x:v>
      </x:c>
    </x:row>
    <x:row r="2178">
      <x:c r="A2178" s="35" t="str">
        <x:v>deepseek</x:v>
      </x:c>
      <x:c r="B2178" s="35" t="str">
        <x:v>JacksonDatabind</x:v>
      </x:c>
      <x:c r="C2178" s="35" t="str">
        <x:v>Round1</x:v>
      </x:c>
      <x:c r="D2178" s="35" t="str">
        <x:v>JacksonDatabind_68</x:v>
      </x:c>
      <x:c r="E2178" s="35" t="str">
        <x:v>Condition</x:v>
      </x:c>
      <x:c r="F2178" s="35" t="n">
        <x:v>369</x:v>
      </x:c>
      <x:c r="G2178" s="35" t="str">
        <x:v>RECORDED</x:v>
      </x:c>
      <x:c r="H2178" s="39" t="n">
        <x:f>IF(ISNUMBER('Data'!N470),'Data'!N470*100,"")</x:f>
        <x:v>0</x:v>
      </x:c>
      <x:c r="I2178" s="35" t="str">
        <x:v>PASS</x:v>
      </x:c>
      <x:c r="J2178" s="35" t="str">
        <x:v>PASS</x:v>
      </x:c>
      <x:c r="K2178" s="35" t="str">
        <x:v>PASS</x:v>
      </x:c>
      <x:c r="L2178" s="35" t="str">
        <x:v>FAIL</x:v>
      </x:c>
      <x:c r="M2178" s="35" t="str">
        <x:v>numeric coverage for applicable metric</x:v>
      </x:c>
      <x:c r="N2178" s="35" t="str">
        <x:v>Deepseek-flash-v4/Result/JacksonDatabind_68/result.json</x:v>
      </x:c>
      <x:c r="O2178" s="39" t="n">
        <x:f>IF(AND(G2178="RECORDED",ISNUMBER(H2178)),H2178,"")</x:f>
        <x:v>0</x:v>
      </x:c>
      <x:c r="P2178" s="35" t="str">
        <x:v>INCONCLUSIVE</x:v>
      </x:c>
      <x:c r="Q2178" s="35" t="str">
        <x:v>Deepseek-flash-v4/Result/JacksonDatabind_68/result.json</x:v>
      </x:c>
    </x:row>
    <x:row r="2179">
      <x:c r="A2179" s="35" t="str">
        <x:v>deepseek</x:v>
      </x:c>
      <x:c r="B2179" s="35" t="str">
        <x:v>JacksonDatabind</x:v>
      </x:c>
      <x:c r="C2179" s="35" t="str">
        <x:v>Round1</x:v>
      </x:c>
      <x:c r="D2179" s="35" t="str">
        <x:v>JacksonDatabind_69</x:v>
      </x:c>
      <x:c r="E2179" s="35" t="str">
        <x:v>Condition</x:v>
      </x:c>
      <x:c r="F2179" s="35"/>
      <x:c r="G2179" s="35" t="str">
        <x:v>A</x:v>
      </x:c>
      <x:c r="H2179" s="39" t="str">
        <x:f>IF(ISNUMBER('Data'!N471),'Data'!N471*100,"")</x:f>
      </x:c>
      <x:c r="I2179" s="35"/>
      <x:c r="J2179" s="35" t="str">
        <x:v>PASS</x:v>
      </x:c>
      <x:c r="K2179" s="35" t="str">
        <x:v>FAIL</x:v>
      </x:c>
      <x:c r="L2179" s="35" t="str">
        <x:v>NOT_RUN</x:v>
      </x:c>
      <x:c r="M2179" s="35" t="str">
        <x:v>coverage unavailable or execution/compile failed</x:v>
      </x:c>
      <x:c r="N2179" s="35" t="str">
        <x:v>Deepseek-flash-v4/Result/JacksonDatabind_69/result.json</x:v>
      </x:c>
      <x:c r="O2179" s="39" t="str">
        <x:f>IF(AND(G2179="RECORDED",ISNUMBER(H2179)),H2179,"")</x:f>
      </x:c>
      <x:c r="P2179" s="35" t="str">
        <x:v>NOT_AVAILABLE</x:v>
      </x:c>
      <x:c r="Q2179" s="35" t="str">
        <x:v>Deepseek-flash-v4/Result/JacksonDatabind_69/result.json</x:v>
      </x:c>
    </x:row>
    <x:row r="2180">
      <x:c r="A2180" s="35" t="str">
        <x:v>deepseek</x:v>
      </x:c>
      <x:c r="B2180" s="35" t="str">
        <x:v>JacksonDatabind</x:v>
      </x:c>
      <x:c r="C2180" s="35" t="str">
        <x:v>Round1</x:v>
      </x:c>
      <x:c r="D2180" s="35" t="str">
        <x:v>JacksonDatabind_7</x:v>
      </x:c>
      <x:c r="E2180" s="35" t="str">
        <x:v>Condition</x:v>
      </x:c>
      <x:c r="F2180" s="35"/>
      <x:c r="G2180" s="35" t="str">
        <x:v>A</x:v>
      </x:c>
      <x:c r="H2180" s="39" t="str">
        <x:f>IF(ISNUMBER('Data'!N472),'Data'!N472*100,"")</x:f>
      </x:c>
      <x:c r="I2180" s="35"/>
      <x:c r="J2180" s="35" t="str">
        <x:v>PASS</x:v>
      </x:c>
      <x:c r="K2180" s="35" t="str">
        <x:v>FAIL</x:v>
      </x:c>
      <x:c r="L2180" s="35" t="str">
        <x:v>NOT_RUN</x:v>
      </x:c>
      <x:c r="M2180" s="35" t="str">
        <x:v>coverage unavailable or execution/compile failed</x:v>
      </x:c>
      <x:c r="N2180" s="35" t="str">
        <x:v>Deepseek-flash-v4/Result/JacksonDatabind_7/result.json</x:v>
      </x:c>
      <x:c r="O2180" s="39" t="str">
        <x:f>IF(AND(G2180="RECORDED",ISNUMBER(H2180)),H2180,"")</x:f>
      </x:c>
      <x:c r="P2180" s="35" t="str">
        <x:v>NOT_AVAILABLE</x:v>
      </x:c>
      <x:c r="Q2180" s="35" t="str">
        <x:v>Deepseek-flash-v4/Result/JacksonDatabind_7/result.json</x:v>
      </x:c>
    </x:row>
    <x:row r="2181">
      <x:c r="A2181" s="35" t="str">
        <x:v>deepseek</x:v>
      </x:c>
      <x:c r="B2181" s="35" t="str">
        <x:v>JacksonDatabind</x:v>
      </x:c>
      <x:c r="C2181" s="35" t="str">
        <x:v>Round1</x:v>
      </x:c>
      <x:c r="D2181" s="35" t="str">
        <x:v>JacksonDatabind_70</x:v>
      </x:c>
      <x:c r="E2181" s="35" t="str">
        <x:v>Condition</x:v>
      </x:c>
      <x:c r="F2181" s="35"/>
      <x:c r="G2181" s="35" t="str">
        <x:v>A</x:v>
      </x:c>
      <x:c r="H2181" s="39" t="str">
        <x:f>IF(ISNUMBER('Data'!N473),'Data'!N473*100,"")</x:f>
      </x:c>
      <x:c r="I2181" s="35"/>
      <x:c r="J2181" s="35" t="str">
        <x:v>PASS</x:v>
      </x:c>
      <x:c r="K2181" s="35" t="str">
        <x:v>FAIL</x:v>
      </x:c>
      <x:c r="L2181" s="35" t="str">
        <x:v>NOT_RUN</x:v>
      </x:c>
      <x:c r="M2181" s="35" t="str">
        <x:v>coverage unavailable or execution/compile failed</x:v>
      </x:c>
      <x:c r="N2181" s="35" t="str">
        <x:v>Deepseek-flash-v4/Result/JacksonDatabind_70/result.json</x:v>
      </x:c>
      <x:c r="O2181" s="39" t="str">
        <x:f>IF(AND(G2181="RECORDED",ISNUMBER(H2181)),H2181,"")</x:f>
      </x:c>
      <x:c r="P2181" s="35" t="str">
        <x:v>NOT_AVAILABLE</x:v>
      </x:c>
      <x:c r="Q2181" s="35" t="str">
        <x:v>Deepseek-flash-v4/Result/JacksonDatabind_70/result.json</x:v>
      </x:c>
    </x:row>
    <x:row r="2182">
      <x:c r="A2182" s="35" t="str">
        <x:v>deepseek</x:v>
      </x:c>
      <x:c r="B2182" s="35" t="str">
        <x:v>JacksonDatabind</x:v>
      </x:c>
      <x:c r="C2182" s="35" t="str">
        <x:v>Round1</x:v>
      </x:c>
      <x:c r="D2182" s="35" t="str">
        <x:v>JacksonDatabind_71</x:v>
      </x:c>
      <x:c r="E2182" s="35" t="str">
        <x:v>Condition</x:v>
      </x:c>
      <x:c r="F2182" s="35" t="n">
        <x:v>95</x:v>
      </x:c>
      <x:c r="G2182" s="35" t="str">
        <x:v>RECORDED</x:v>
      </x:c>
      <x:c r="H2182" s="39" t="n">
        <x:f>IF(ISNUMBER('Data'!N474),'Data'!N474*100,"")</x:f>
        <x:v>83.16</x:v>
      </x:c>
      <x:c r="I2182" s="35" t="str">
        <x:v>PASS</x:v>
      </x:c>
      <x:c r="J2182" s="35" t="str">
        <x:v>PASS</x:v>
      </x:c>
      <x:c r="K2182" s="35" t="str">
        <x:v>PASS</x:v>
      </x:c>
      <x:c r="L2182" s="35" t="str">
        <x:v>FAIL</x:v>
      </x:c>
      <x:c r="M2182" s="35" t="str">
        <x:v>numeric coverage for applicable metric</x:v>
      </x:c>
      <x:c r="N2182" s="35" t="str">
        <x:v>Deepseek-flash-v4/Result/JacksonDatabind_71/result.json</x:v>
      </x:c>
      <x:c r="O2182" s="39" t="n">
        <x:f>IF(AND(G2182="RECORDED",ISNUMBER(H2182)),H2182,"")</x:f>
        <x:v>83.16</x:v>
      </x:c>
      <x:c r="P2182" s="35" t="str">
        <x:v>INCONCLUSIVE</x:v>
      </x:c>
      <x:c r="Q2182" s="35" t="str">
        <x:v>Deepseek-flash-v4/Result/JacksonDatabind_71/result.json</x:v>
      </x:c>
    </x:row>
    <x:row r="2183">
      <x:c r="A2183" s="35" t="str">
        <x:v>deepseek</x:v>
      </x:c>
      <x:c r="B2183" s="35" t="str">
        <x:v>JacksonDatabind</x:v>
      </x:c>
      <x:c r="C2183" s="35" t="str">
        <x:v>Round1</x:v>
      </x:c>
      <x:c r="D2183" s="35" t="str">
        <x:v>JacksonDatabind_72</x:v>
      </x:c>
      <x:c r="E2183" s="35" t="str">
        <x:v>Condition</x:v>
      </x:c>
      <x:c r="F2183" s="35"/>
      <x:c r="G2183" s="35" t="str">
        <x:v>A</x:v>
      </x:c>
      <x:c r="H2183" s="39" t="str">
        <x:f>IF(ISNUMBER('Data'!N475),'Data'!N475*100,"")</x:f>
      </x:c>
      <x:c r="I2183" s="35"/>
      <x:c r="J2183" s="35" t="str">
        <x:v>PASS</x:v>
      </x:c>
      <x:c r="K2183" s="35" t="str">
        <x:v>FAIL</x:v>
      </x:c>
      <x:c r="L2183" s="35" t="str">
        <x:v>NOT_RUN</x:v>
      </x:c>
      <x:c r="M2183" s="35" t="str">
        <x:v>coverage unavailable or execution/compile failed</x:v>
      </x:c>
      <x:c r="N2183" s="35" t="str">
        <x:v>Deepseek-flash-v4/Result/JacksonDatabind_72/result.json</x:v>
      </x:c>
      <x:c r="O2183" s="39" t="str">
        <x:f>IF(AND(G2183="RECORDED",ISNUMBER(H2183)),H2183,"")</x:f>
      </x:c>
      <x:c r="P2183" s="35" t="str">
        <x:v>NOT_AVAILABLE</x:v>
      </x:c>
      <x:c r="Q2183" s="35" t="str">
        <x:v>Deepseek-flash-v4/Result/JacksonDatabind_72/result.json</x:v>
      </x:c>
    </x:row>
    <x:row r="2184">
      <x:c r="A2184" s="35" t="str">
        <x:v>deepseek</x:v>
      </x:c>
      <x:c r="B2184" s="35" t="str">
        <x:v>JacksonDatabind</x:v>
      </x:c>
      <x:c r="C2184" s="35" t="str">
        <x:v>Round1</x:v>
      </x:c>
      <x:c r="D2184" s="35" t="str">
        <x:v>JacksonDatabind_73</x:v>
      </x:c>
      <x:c r="E2184" s="35" t="str">
        <x:v>Condition</x:v>
      </x:c>
      <x:c r="F2184" s="35" t="n">
        <x:v>716</x:v>
      </x:c>
      <x:c r="G2184" s="35" t="str">
        <x:v>RECORDED</x:v>
      </x:c>
      <x:c r="H2184" s="39" t="n">
        <x:f>IF(ISNUMBER('Data'!N476),'Data'!N476*100,"")</x:f>
        <x:v>54.33</x:v>
      </x:c>
      <x:c r="I2184" s="35" t="str">
        <x:v>PASS</x:v>
      </x:c>
      <x:c r="J2184" s="35" t="str">
        <x:v>PASS</x:v>
      </x:c>
      <x:c r="K2184" s="35" t="str">
        <x:v>PASS</x:v>
      </x:c>
      <x:c r="L2184" s="35" t="str">
        <x:v>PASS</x:v>
      </x:c>
      <x:c r="M2184" s="35" t="str">
        <x:v>numeric coverage for applicable metric</x:v>
      </x:c>
      <x:c r="N2184" s="35" t="str">
        <x:v>Deepseek-flash-v4/Result/JacksonDatabind_73/result.json</x:v>
      </x:c>
      <x:c r="O2184" s="39" t="n">
        <x:f>IF(AND(G2184="RECORDED",ISNUMBER(H2184)),H2184,"")</x:f>
        <x:v>54.33</x:v>
      </x:c>
      <x:c r="P2184" s="35" t="str">
        <x:v>NOT_REVEALING</x:v>
      </x:c>
      <x:c r="Q2184" s="35" t="str">
        <x:v>Deepseek-flash-v4/Result/JacksonDatabind_73/result.json</x:v>
      </x:c>
    </x:row>
    <x:row r="2185">
      <x:c r="A2185" s="35" t="str">
        <x:v>deepseek</x:v>
      </x:c>
      <x:c r="B2185" s="35" t="str">
        <x:v>JacksonDatabind</x:v>
      </x:c>
      <x:c r="C2185" s="35" t="str">
        <x:v>Round1</x:v>
      </x:c>
      <x:c r="D2185" s="35" t="str">
        <x:v>JacksonDatabind_74</x:v>
      </x:c>
      <x:c r="E2185" s="35" t="str">
        <x:v>Condition</x:v>
      </x:c>
      <x:c r="F2185" s="35"/>
      <x:c r="G2185" s="35" t="str">
        <x:v>A</x:v>
      </x:c>
      <x:c r="H2185" s="39" t="str">
        <x:f>IF(ISNUMBER('Data'!N477),'Data'!N477*100,"")</x:f>
      </x:c>
      <x:c r="I2185" s="35"/>
      <x:c r="J2185" s="35" t="str">
        <x:v>PASS</x:v>
      </x:c>
      <x:c r="K2185" s="35" t="str">
        <x:v>FAIL</x:v>
      </x:c>
      <x:c r="L2185" s="35" t="str">
        <x:v>NOT_RUN</x:v>
      </x:c>
      <x:c r="M2185" s="35" t="str">
        <x:v>coverage unavailable or execution/compile failed</x:v>
      </x:c>
      <x:c r="N2185" s="35" t="str">
        <x:v>Deepseek-flash-v4/Result/JacksonDatabind_74/result.json</x:v>
      </x:c>
      <x:c r="O2185" s="39" t="str">
        <x:f>IF(AND(G2185="RECORDED",ISNUMBER(H2185)),H2185,"")</x:f>
      </x:c>
      <x:c r="P2185" s="35" t="str">
        <x:v>NOT_AVAILABLE</x:v>
      </x:c>
      <x:c r="Q2185" s="35" t="str">
        <x:v>Deepseek-flash-v4/Result/JacksonDatabind_74/result.json</x:v>
      </x:c>
    </x:row>
    <x:row r="2186">
      <x:c r="A2186" s="35" t="str">
        <x:v>deepseek</x:v>
      </x:c>
      <x:c r="B2186" s="35" t="str">
        <x:v>JacksonDatabind</x:v>
      </x:c>
      <x:c r="C2186" s="35" t="str">
        <x:v>Round1</x:v>
      </x:c>
      <x:c r="D2186" s="35" t="str">
        <x:v>JacksonDatabind_75</x:v>
      </x:c>
      <x:c r="E2186" s="35" t="str">
        <x:v>Condition</x:v>
      </x:c>
      <x:c r="F2186" s="35"/>
      <x:c r="G2186" s="35" t="str">
        <x:v>A</x:v>
      </x:c>
      <x:c r="H2186" s="39" t="str">
        <x:f>IF(ISNUMBER('Data'!N478),'Data'!N478*100,"")</x:f>
      </x:c>
      <x:c r="I2186" s="35"/>
      <x:c r="J2186" s="35" t="str">
        <x:v>PASS</x:v>
      </x:c>
      <x:c r="K2186" s="35" t="str">
        <x:v>FAIL</x:v>
      </x:c>
      <x:c r="L2186" s="35" t="str">
        <x:v>NOT_RUN</x:v>
      </x:c>
      <x:c r="M2186" s="35" t="str">
        <x:v>coverage unavailable or execution/compile failed</x:v>
      </x:c>
      <x:c r="N2186" s="35" t="str">
        <x:v>Deepseek-flash-v4/Result/JacksonDatabind_75/result.json</x:v>
      </x:c>
      <x:c r="O2186" s="39" t="str">
        <x:f>IF(AND(G2186="RECORDED",ISNUMBER(H2186)),H2186,"")</x:f>
      </x:c>
      <x:c r="P2186" s="35" t="str">
        <x:v>NOT_AVAILABLE</x:v>
      </x:c>
      <x:c r="Q2186" s="35" t="str">
        <x:v>Deepseek-flash-v4/Result/JacksonDatabind_75/result.json</x:v>
      </x:c>
    </x:row>
    <x:row r="2187">
      <x:c r="A2187" s="35" t="str">
        <x:v>deepseek</x:v>
      </x:c>
      <x:c r="B2187" s="35" t="str">
        <x:v>JacksonDatabind</x:v>
      </x:c>
      <x:c r="C2187" s="35" t="str">
        <x:v>Round1</x:v>
      </x:c>
      <x:c r="D2187" s="35" t="str">
        <x:v>JacksonDatabind_76</x:v>
      </x:c>
      <x:c r="E2187" s="35" t="str">
        <x:v>Condition</x:v>
      </x:c>
      <x:c r="F2187" s="35"/>
      <x:c r="G2187" s="35" t="str">
        <x:v>A</x:v>
      </x:c>
      <x:c r="H2187" s="39" t="str">
        <x:f>IF(ISNUMBER('Data'!N479),'Data'!N479*100,"")</x:f>
      </x:c>
      <x:c r="I2187" s="35"/>
      <x:c r="J2187" s="35" t="str">
        <x:v>PASS</x:v>
      </x:c>
      <x:c r="K2187" s="35" t="str">
        <x:v>FAIL</x:v>
      </x:c>
      <x:c r="L2187" s="35" t="str">
        <x:v>NOT_RUN</x:v>
      </x:c>
      <x:c r="M2187" s="35" t="str">
        <x:v>coverage unavailable or execution/compile failed</x:v>
      </x:c>
      <x:c r="N2187" s="35" t="str">
        <x:v>Deepseek-flash-v4/Result/JacksonDatabind_76/result.json</x:v>
      </x:c>
      <x:c r="O2187" s="39" t="str">
        <x:f>IF(AND(G2187="RECORDED",ISNUMBER(H2187)),H2187,"")</x:f>
      </x:c>
      <x:c r="P2187" s="35" t="str">
        <x:v>NOT_AVAILABLE</x:v>
      </x:c>
      <x:c r="Q2187" s="35" t="str">
        <x:v>Deepseek-flash-v4/Result/JacksonDatabind_76/result.json</x:v>
      </x:c>
    </x:row>
    <x:row r="2188">
      <x:c r="A2188" s="35" t="str">
        <x:v>deepseek</x:v>
      </x:c>
      <x:c r="B2188" s="35" t="str">
        <x:v>JacksonDatabind</x:v>
      </x:c>
      <x:c r="C2188" s="35" t="str">
        <x:v>Round1</x:v>
      </x:c>
      <x:c r="D2188" s="35" t="str">
        <x:v>JacksonDatabind_77</x:v>
      </x:c>
      <x:c r="E2188" s="35" t="str">
        <x:v>Condition</x:v>
      </x:c>
      <x:c r="F2188" s="35"/>
      <x:c r="G2188" s="35" t="str">
        <x:v>A</x:v>
      </x:c>
      <x:c r="H2188" s="39" t="str">
        <x:f>IF(ISNUMBER('Data'!N480),'Data'!N480*100,"")</x:f>
      </x:c>
      <x:c r="I2188" s="35"/>
      <x:c r="J2188" s="35" t="str">
        <x:v>PASS</x:v>
      </x:c>
      <x:c r="K2188" s="35" t="str">
        <x:v>FAIL</x:v>
      </x:c>
      <x:c r="L2188" s="35" t="str">
        <x:v>NOT_RUN</x:v>
      </x:c>
      <x:c r="M2188" s="35" t="str">
        <x:v>coverage unavailable or execution/compile failed</x:v>
      </x:c>
      <x:c r="N2188" s="35" t="str">
        <x:v>Deepseek-flash-v4/Result/JacksonDatabind_77/result.json</x:v>
      </x:c>
      <x:c r="O2188" s="39" t="str">
        <x:f>IF(AND(G2188="RECORDED",ISNUMBER(H2188)),H2188,"")</x:f>
      </x:c>
      <x:c r="P2188" s="35" t="str">
        <x:v>NOT_AVAILABLE</x:v>
      </x:c>
      <x:c r="Q2188" s="35" t="str">
        <x:v>Deepseek-flash-v4/Result/JacksonDatabind_77/result.json</x:v>
      </x:c>
    </x:row>
    <x:row r="2189">
      <x:c r="A2189" s="35" t="str">
        <x:v>deepseek</x:v>
      </x:c>
      <x:c r="B2189" s="35" t="str">
        <x:v>JacksonDatabind</x:v>
      </x:c>
      <x:c r="C2189" s="35" t="str">
        <x:v>Round1</x:v>
      </x:c>
      <x:c r="D2189" s="35" t="str">
        <x:v>JacksonDatabind_78</x:v>
      </x:c>
      <x:c r="E2189" s="35" t="str">
        <x:v>Condition</x:v>
      </x:c>
      <x:c r="F2189" s="35" t="n">
        <x:v>210</x:v>
      </x:c>
      <x:c r="G2189" s="35" t="str">
        <x:v>RECORDED</x:v>
      </x:c>
      <x:c r="H2189" s="39" t="n">
        <x:f>IF(ISNUMBER('Data'!N481),'Data'!N481*100,"")</x:f>
        <x:v>56.19</x:v>
      </x:c>
      <x:c r="I2189" s="35" t="str">
        <x:v>PASS</x:v>
      </x:c>
      <x:c r="J2189" s="35" t="str">
        <x:v>PASS</x:v>
      </x:c>
      <x:c r="K2189" s="35" t="str">
        <x:v>PASS</x:v>
      </x:c>
      <x:c r="L2189" s="35" t="str">
        <x:v>PASS</x:v>
      </x:c>
      <x:c r="M2189" s="35" t="str">
        <x:v>numeric coverage for applicable metric</x:v>
      </x:c>
      <x:c r="N2189" s="35" t="str">
        <x:v>Deepseek-flash-v4/Result/JacksonDatabind_78/result.json</x:v>
      </x:c>
      <x:c r="O2189" s="39" t="n">
        <x:f>IF(AND(G2189="RECORDED",ISNUMBER(H2189)),H2189,"")</x:f>
        <x:v>56.19</x:v>
      </x:c>
      <x:c r="P2189" s="35" t="str">
        <x:v>NOT_REVEALING</x:v>
      </x:c>
      <x:c r="Q2189" s="35" t="str">
        <x:v>Deepseek-flash-v4/Result/JacksonDatabind_78/result.json</x:v>
      </x:c>
    </x:row>
    <x:row r="2190">
      <x:c r="A2190" s="35" t="str">
        <x:v>deepseek</x:v>
      </x:c>
      <x:c r="B2190" s="35" t="str">
        <x:v>JacksonDatabind</x:v>
      </x:c>
      <x:c r="C2190" s="35" t="str">
        <x:v>Round1</x:v>
      </x:c>
      <x:c r="D2190" s="35" t="str">
        <x:v>JacksonDatabind_79</x:v>
      </x:c>
      <x:c r="E2190" s="35" t="str">
        <x:v>Condition</x:v>
      </x:c>
      <x:c r="F2190" s="35"/>
      <x:c r="G2190" s="35" t="str">
        <x:v>A</x:v>
      </x:c>
      <x:c r="H2190" s="39" t="str">
        <x:f>IF(ISNUMBER('Data'!N482),'Data'!N482*100,"")</x:f>
      </x:c>
      <x:c r="I2190" s="35"/>
      <x:c r="J2190" s="35" t="str">
        <x:v>PASS</x:v>
      </x:c>
      <x:c r="K2190" s="35" t="str">
        <x:v>FAIL</x:v>
      </x:c>
      <x:c r="L2190" s="35" t="str">
        <x:v>NOT_RUN</x:v>
      </x:c>
      <x:c r="M2190" s="35" t="str">
        <x:v>coverage unavailable or execution/compile failed</x:v>
      </x:c>
      <x:c r="N2190" s="35" t="str">
        <x:v>Deepseek-flash-v4/Result/JacksonDatabind_79/result.json</x:v>
      </x:c>
      <x:c r="O2190" s="39" t="str">
        <x:f>IF(AND(G2190="RECORDED",ISNUMBER(H2190)),H2190,"")</x:f>
      </x:c>
      <x:c r="P2190" s="35" t="str">
        <x:v>NOT_AVAILABLE</x:v>
      </x:c>
      <x:c r="Q2190" s="35" t="str">
        <x:v>Deepseek-flash-v4/Result/JacksonDatabind_79/result.json</x:v>
      </x:c>
    </x:row>
    <x:row r="2191">
      <x:c r="A2191" s="35" t="str">
        <x:v>deepseek</x:v>
      </x:c>
      <x:c r="B2191" s="35" t="str">
        <x:v>JacksonDatabind</x:v>
      </x:c>
      <x:c r="C2191" s="35" t="str">
        <x:v>Round1</x:v>
      </x:c>
      <x:c r="D2191" s="35" t="str">
        <x:v>JacksonDatabind_8</x:v>
      </x:c>
      <x:c r="E2191" s="35" t="str">
        <x:v>Condition</x:v>
      </x:c>
      <x:c r="F2191" s="35"/>
      <x:c r="G2191" s="35" t="str">
        <x:v>A</x:v>
      </x:c>
      <x:c r="H2191" s="39" t="str">
        <x:f>IF(ISNUMBER('Data'!N483),'Data'!N483*100,"")</x:f>
      </x:c>
      <x:c r="I2191" s="35"/>
      <x:c r="J2191" s="35" t="str">
        <x:v>PASS</x:v>
      </x:c>
      <x:c r="K2191" s="35" t="str">
        <x:v>FAIL</x:v>
      </x:c>
      <x:c r="L2191" s="35" t="str">
        <x:v>NOT_RUN</x:v>
      </x:c>
      <x:c r="M2191" s="35" t="str">
        <x:v>coverage unavailable or execution/compile failed</x:v>
      </x:c>
      <x:c r="N2191" s="35" t="str">
        <x:v>Deepseek-flash-v4/Result/JacksonDatabind_8/result.json</x:v>
      </x:c>
      <x:c r="O2191" s="39" t="str">
        <x:f>IF(AND(G2191="RECORDED",ISNUMBER(H2191)),H2191,"")</x:f>
      </x:c>
      <x:c r="P2191" s="35" t="str">
        <x:v>NOT_AVAILABLE</x:v>
      </x:c>
      <x:c r="Q2191" s="35" t="str">
        <x:v>Deepseek-flash-v4/Result/JacksonDatabind_8/result.json</x:v>
      </x:c>
    </x:row>
    <x:row r="2192">
      <x:c r="A2192" s="35" t="str">
        <x:v>deepseek</x:v>
      </x:c>
      <x:c r="B2192" s="35" t="str">
        <x:v>JacksonDatabind</x:v>
      </x:c>
      <x:c r="C2192" s="35" t="str">
        <x:v>Round1</x:v>
      </x:c>
      <x:c r="D2192" s="35" t="str">
        <x:v>JacksonDatabind_80</x:v>
      </x:c>
      <x:c r="E2192" s="35" t="str">
        <x:v>Condition</x:v>
      </x:c>
      <x:c r="F2192" s="35"/>
      <x:c r="G2192" s="35" t="str">
        <x:v>A</x:v>
      </x:c>
      <x:c r="H2192" s="39" t="str">
        <x:f>IF(ISNUMBER('Data'!N484),'Data'!N484*100,"")</x:f>
      </x:c>
      <x:c r="I2192" s="35"/>
      <x:c r="J2192" s="35" t="str">
        <x:v>PASS</x:v>
      </x:c>
      <x:c r="K2192" s="35" t="str">
        <x:v>FAIL</x:v>
      </x:c>
      <x:c r="L2192" s="35" t="str">
        <x:v>NOT_RUN</x:v>
      </x:c>
      <x:c r="M2192" s="35" t="str">
        <x:v>coverage unavailable or execution/compile failed</x:v>
      </x:c>
      <x:c r="N2192" s="35" t="str">
        <x:v>Deepseek-flash-v4/Result/JacksonDatabind_80/result.json</x:v>
      </x:c>
      <x:c r="O2192" s="39" t="str">
        <x:f>IF(AND(G2192="RECORDED",ISNUMBER(H2192)),H2192,"")</x:f>
      </x:c>
      <x:c r="P2192" s="35" t="str">
        <x:v>NOT_AVAILABLE</x:v>
      </x:c>
      <x:c r="Q2192" s="35" t="str">
        <x:v>Deepseek-flash-v4/Result/JacksonDatabind_80/result.json</x:v>
      </x:c>
    </x:row>
    <x:row r="2193">
      <x:c r="A2193" s="35" t="str">
        <x:v>deepseek</x:v>
      </x:c>
      <x:c r="B2193" s="35" t="str">
        <x:v>JacksonDatabind</x:v>
      </x:c>
      <x:c r="C2193" s="35" t="str">
        <x:v>Round1</x:v>
      </x:c>
      <x:c r="D2193" s="35" t="str">
        <x:v>JacksonDatabind_81</x:v>
      </x:c>
      <x:c r="E2193" s="35" t="str">
        <x:v>Condition</x:v>
      </x:c>
      <x:c r="F2193" s="35"/>
      <x:c r="G2193" s="35" t="str">
        <x:v>A</x:v>
      </x:c>
      <x:c r="H2193" s="39" t="str">
        <x:f>IF(ISNUMBER('Data'!N485),'Data'!N485*100,"")</x:f>
      </x:c>
      <x:c r="I2193" s="35"/>
      <x:c r="J2193" s="35" t="str">
        <x:v>PASS</x:v>
      </x:c>
      <x:c r="K2193" s="35" t="str">
        <x:v>FAIL</x:v>
      </x:c>
      <x:c r="L2193" s="35" t="str">
        <x:v>NOT_RUN</x:v>
      </x:c>
      <x:c r="M2193" s="35" t="str">
        <x:v>coverage unavailable or execution/compile failed</x:v>
      </x:c>
      <x:c r="N2193" s="35" t="str">
        <x:v>Deepseek-flash-v4/Result/JacksonDatabind_81/result.json</x:v>
      </x:c>
      <x:c r="O2193" s="39" t="str">
        <x:f>IF(AND(G2193="RECORDED",ISNUMBER(H2193)),H2193,"")</x:f>
      </x:c>
      <x:c r="P2193" s="35" t="str">
        <x:v>NOT_AVAILABLE</x:v>
      </x:c>
      <x:c r="Q2193" s="35" t="str">
        <x:v>Deepseek-flash-v4/Result/JacksonDatabind_81/result.json</x:v>
      </x:c>
    </x:row>
    <x:row r="2194">
      <x:c r="A2194" s="35" t="str">
        <x:v>deepseek</x:v>
      </x:c>
      <x:c r="B2194" s="35" t="str">
        <x:v>JacksonDatabind</x:v>
      </x:c>
      <x:c r="C2194" s="35" t="str">
        <x:v>Round1</x:v>
      </x:c>
      <x:c r="D2194" s="35" t="str">
        <x:v>JacksonDatabind_82</x:v>
      </x:c>
      <x:c r="E2194" s="35" t="str">
        <x:v>Condition</x:v>
      </x:c>
      <x:c r="F2194" s="35"/>
      <x:c r="G2194" s="35" t="str">
        <x:v>A</x:v>
      </x:c>
      <x:c r="H2194" s="39" t="str">
        <x:f>IF(ISNUMBER('Data'!N486),'Data'!N486*100,"")</x:f>
      </x:c>
      <x:c r="I2194" s="35"/>
      <x:c r="J2194" s="35" t="str">
        <x:v>PASS</x:v>
      </x:c>
      <x:c r="K2194" s="35" t="str">
        <x:v>FAIL</x:v>
      </x:c>
      <x:c r="L2194" s="35" t="str">
        <x:v>NOT_RUN</x:v>
      </x:c>
      <x:c r="M2194" s="35" t="str">
        <x:v>coverage unavailable or execution/compile failed</x:v>
      </x:c>
      <x:c r="N2194" s="35" t="str">
        <x:v>Deepseek-flash-v4/Result/JacksonDatabind_82/result.json</x:v>
      </x:c>
      <x:c r="O2194" s="39" t="str">
        <x:f>IF(AND(G2194="RECORDED",ISNUMBER(H2194)),H2194,"")</x:f>
      </x:c>
      <x:c r="P2194" s="35" t="str">
        <x:v>NOT_AVAILABLE</x:v>
      </x:c>
      <x:c r="Q2194" s="35" t="str">
        <x:v>Deepseek-flash-v4/Result/JacksonDatabind_82/result.json</x:v>
      </x:c>
    </x:row>
    <x:row r="2195">
      <x:c r="A2195" s="35" t="str">
        <x:v>deepseek</x:v>
      </x:c>
      <x:c r="B2195" s="35" t="str">
        <x:v>JacksonDatabind</x:v>
      </x:c>
      <x:c r="C2195" s="35" t="str">
        <x:v>Round1</x:v>
      </x:c>
      <x:c r="D2195" s="35" t="str">
        <x:v>JacksonDatabind_83</x:v>
      </x:c>
      <x:c r="E2195" s="35" t="str">
        <x:v>Condition</x:v>
      </x:c>
      <x:c r="F2195" s="35" t="n">
        <x:v>88</x:v>
      </x:c>
      <x:c r="G2195" s="35" t="str">
        <x:v>RECORDED</x:v>
      </x:c>
      <x:c r="H2195" s="39" t="n">
        <x:f>IF(ISNUMBER('Data'!N487),'Data'!N487*100,"")</x:f>
        <x:v>78.41</x:v>
      </x:c>
      <x:c r="I2195" s="35" t="str">
        <x:v>PASS</x:v>
      </x:c>
      <x:c r="J2195" s="35" t="str">
        <x:v>PASS</x:v>
      </x:c>
      <x:c r="K2195" s="35" t="str">
        <x:v>PASS</x:v>
      </x:c>
      <x:c r="L2195" s="35" t="str">
        <x:v>FAIL</x:v>
      </x:c>
      <x:c r="M2195" s="35" t="str">
        <x:v>numeric coverage for applicable metric</x:v>
      </x:c>
      <x:c r="N2195" s="35" t="str">
        <x:v>Deepseek-flash-v4/Result/JacksonDatabind_83/result.json</x:v>
      </x:c>
      <x:c r="O2195" s="39" t="n">
        <x:f>IF(AND(G2195="RECORDED",ISNUMBER(H2195)),H2195,"")</x:f>
        <x:v>78.41</x:v>
      </x:c>
      <x:c r="P2195" s="35" t="str">
        <x:v>INCONCLUSIVE</x:v>
      </x:c>
      <x:c r="Q2195" s="35" t="str">
        <x:v>Deepseek-flash-v4/Result/JacksonDatabind_83/result.json</x:v>
      </x:c>
    </x:row>
    <x:row r="2196">
      <x:c r="A2196" s="35" t="str">
        <x:v>deepseek</x:v>
      </x:c>
      <x:c r="B2196" s="35" t="str">
        <x:v>JacksonDatabind</x:v>
      </x:c>
      <x:c r="C2196" s="35" t="str">
        <x:v>Round1</x:v>
      </x:c>
      <x:c r="D2196" s="35" t="str">
        <x:v>JacksonDatabind_84</x:v>
      </x:c>
      <x:c r="E2196" s="35" t="str">
        <x:v>Condition</x:v>
      </x:c>
      <x:c r="F2196" s="35" t="n">
        <x:v>14</x:v>
      </x:c>
      <x:c r="G2196" s="35" t="str">
        <x:v>RECORDED</x:v>
      </x:c>
      <x:c r="H2196" s="39" t="n">
        <x:f>IF(ISNUMBER('Data'!N488),'Data'!N488*100,"")</x:f>
        <x:v>100</x:v>
      </x:c>
      <x:c r="I2196" s="35" t="str">
        <x:v>PASS</x:v>
      </x:c>
      <x:c r="J2196" s="35" t="str">
        <x:v>PASS</x:v>
      </x:c>
      <x:c r="K2196" s="35" t="str">
        <x:v>PASS</x:v>
      </x:c>
      <x:c r="L2196" s="35" t="str">
        <x:v>FAIL</x:v>
      </x:c>
      <x:c r="M2196" s="35" t="str">
        <x:v>numeric coverage for applicable metric</x:v>
      </x:c>
      <x:c r="N2196" s="35" t="str">
        <x:v>Deepseek-flash-v4/Result/JacksonDatabind_84/result.json</x:v>
      </x:c>
      <x:c r="O2196" s="39" t="n">
        <x:f>IF(AND(G2196="RECORDED",ISNUMBER(H2196)),H2196,"")</x:f>
        <x:v>100</x:v>
      </x:c>
      <x:c r="P2196" s="35" t="str">
        <x:v>INCONCLUSIVE</x:v>
      </x:c>
      <x:c r="Q2196" s="35" t="str">
        <x:v>Deepseek-flash-v4/Result/JacksonDatabind_84/result.json</x:v>
      </x:c>
    </x:row>
    <x:row r="2197">
      <x:c r="A2197" s="35" t="str">
        <x:v>deepseek</x:v>
      </x:c>
      <x:c r="B2197" s="35" t="str">
        <x:v>JacksonDatabind</x:v>
      </x:c>
      <x:c r="C2197" s="35" t="str">
        <x:v>Round1</x:v>
      </x:c>
      <x:c r="D2197" s="35" t="str">
        <x:v>JacksonDatabind_85</x:v>
      </x:c>
      <x:c r="E2197" s="35" t="str">
        <x:v>Condition</x:v>
      </x:c>
      <x:c r="F2197" s="35"/>
      <x:c r="G2197" s="35" t="str">
        <x:v>A</x:v>
      </x:c>
      <x:c r="H2197" s="39" t="str">
        <x:f>IF(ISNUMBER('Data'!N489),'Data'!N489*100,"")</x:f>
      </x:c>
      <x:c r="I2197" s="35"/>
      <x:c r="J2197" s="35" t="str">
        <x:v>PASS</x:v>
      </x:c>
      <x:c r="K2197" s="35" t="str">
        <x:v>FAIL</x:v>
      </x:c>
      <x:c r="L2197" s="35" t="str">
        <x:v>NOT_RUN</x:v>
      </x:c>
      <x:c r="M2197" s="35" t="str">
        <x:v>coverage unavailable or execution/compile failed</x:v>
      </x:c>
      <x:c r="N2197" s="35" t="str">
        <x:v>Deepseek-flash-v4/Result/JacksonDatabind_85/result.json</x:v>
      </x:c>
      <x:c r="O2197" s="39" t="str">
        <x:f>IF(AND(G2197="RECORDED",ISNUMBER(H2197)),H2197,"")</x:f>
      </x:c>
      <x:c r="P2197" s="35" t="str">
        <x:v>NOT_AVAILABLE</x:v>
      </x:c>
      <x:c r="Q2197" s="35" t="str">
        <x:v>Deepseek-flash-v4/Result/JacksonDatabind_85/result.json</x:v>
      </x:c>
    </x:row>
    <x:row r="2198">
      <x:c r="A2198" s="35" t="str">
        <x:v>deepseek</x:v>
      </x:c>
      <x:c r="B2198" s="35" t="str">
        <x:v>JacksonDatabind</x:v>
      </x:c>
      <x:c r="C2198" s="35" t="str">
        <x:v>Round1</x:v>
      </x:c>
      <x:c r="D2198" s="35" t="str">
        <x:v>JacksonDatabind_86</x:v>
      </x:c>
      <x:c r="E2198" s="35" t="str">
        <x:v>Condition</x:v>
      </x:c>
      <x:c r="F2198" s="35" t="n">
        <x:v>14</x:v>
      </x:c>
      <x:c r="G2198" s="35" t="str">
        <x:v>RECORDED</x:v>
      </x:c>
      <x:c r="H2198" s="39" t="n">
        <x:f>IF(ISNUMBER('Data'!N490),'Data'!N490*100,"")</x:f>
        <x:v>100</x:v>
      </x:c>
      <x:c r="I2198" s="35" t="str">
        <x:v>PASS</x:v>
      </x:c>
      <x:c r="J2198" s="35" t="str">
        <x:v>PASS</x:v>
      </x:c>
      <x:c r="K2198" s="35" t="str">
        <x:v>PASS</x:v>
      </x:c>
      <x:c r="L2198" s="35" t="str">
        <x:v>PASS</x:v>
      </x:c>
      <x:c r="M2198" s="35" t="str">
        <x:v>numeric coverage for applicable metric</x:v>
      </x:c>
      <x:c r="N2198" s="35" t="str">
        <x:v>Deepseek-flash-v4/Result/JacksonDatabind_86/result.json</x:v>
      </x:c>
      <x:c r="O2198" s="39" t="n">
        <x:f>IF(AND(G2198="RECORDED",ISNUMBER(H2198)),H2198,"")</x:f>
        <x:v>100</x:v>
      </x:c>
      <x:c r="P2198" s="35" t="str">
        <x:v>NOT_REVEALING</x:v>
      </x:c>
      <x:c r="Q2198" s="35" t="str">
        <x:v>Deepseek-flash-v4/Result/JacksonDatabind_86/result.json</x:v>
      </x:c>
    </x:row>
    <x:row r="2199">
      <x:c r="A2199" s="35" t="str">
        <x:v>deepseek</x:v>
      </x:c>
      <x:c r="B2199" s="35" t="str">
        <x:v>JacksonDatabind</x:v>
      </x:c>
      <x:c r="C2199" s="35" t="str">
        <x:v>Round1</x:v>
      </x:c>
      <x:c r="D2199" s="35" t="str">
        <x:v>JacksonDatabind_87</x:v>
      </x:c>
      <x:c r="E2199" s="35" t="str">
        <x:v>Condition</x:v>
      </x:c>
      <x:c r="F2199" s="35" t="n">
        <x:v>136</x:v>
      </x:c>
      <x:c r="G2199" s="35" t="str">
        <x:v>RECORDED</x:v>
      </x:c>
      <x:c r="H2199" s="39" t="n">
        <x:f>IF(ISNUMBER('Data'!N491),'Data'!N491*100,"")</x:f>
        <x:v>65.44</x:v>
      </x:c>
      <x:c r="I2199" s="35" t="str">
        <x:v>PASS</x:v>
      </x:c>
      <x:c r="J2199" s="35" t="str">
        <x:v>PASS</x:v>
      </x:c>
      <x:c r="K2199" s="35" t="str">
        <x:v>PASS</x:v>
      </x:c>
      <x:c r="L2199" s="35" t="str">
        <x:v>PASS</x:v>
      </x:c>
      <x:c r="M2199" s="35" t="str">
        <x:v>numeric coverage for applicable metric</x:v>
      </x:c>
      <x:c r="N2199" s="35" t="str">
        <x:v>Deepseek-flash-v4/Result/JacksonDatabind_87/result.json</x:v>
      </x:c>
      <x:c r="O2199" s="39" t="n">
        <x:f>IF(AND(G2199="RECORDED",ISNUMBER(H2199)),H2199,"")</x:f>
        <x:v>65.44</x:v>
      </x:c>
      <x:c r="P2199" s="35" t="str">
        <x:v>NOT_REVEALING</x:v>
      </x:c>
      <x:c r="Q2199" s="35" t="str">
        <x:v>Deepseek-flash-v4/Result/JacksonDatabind_87/result.json</x:v>
      </x:c>
    </x:row>
    <x:row r="2200">
      <x:c r="A2200" s="35" t="str">
        <x:v>deepseek</x:v>
      </x:c>
      <x:c r="B2200" s="35" t="str">
        <x:v>JacksonDatabind</x:v>
      </x:c>
      <x:c r="C2200" s="35" t="str">
        <x:v>Round1</x:v>
      </x:c>
      <x:c r="D2200" s="35" t="str">
        <x:v>JacksonDatabind_88</x:v>
      </x:c>
      <x:c r="E2200" s="35" t="str">
        <x:v>Condition</x:v>
      </x:c>
      <x:c r="F2200" s="35"/>
      <x:c r="G2200" s="35" t="str">
        <x:v>A</x:v>
      </x:c>
      <x:c r="H2200" s="39" t="str">
        <x:f>IF(ISNUMBER('Data'!N492),'Data'!N492*100,"")</x:f>
      </x:c>
      <x:c r="I2200" s="35"/>
      <x:c r="J2200" s="35" t="str">
        <x:v>PASS</x:v>
      </x:c>
      <x:c r="K2200" s="35" t="str">
        <x:v>FAIL</x:v>
      </x:c>
      <x:c r="L2200" s="35" t="str">
        <x:v>NOT_RUN</x:v>
      </x:c>
      <x:c r="M2200" s="35" t="str">
        <x:v>coverage unavailable or execution/compile failed</x:v>
      </x:c>
      <x:c r="N2200" s="35" t="str">
        <x:v>Deepseek-flash-v4/Result/JacksonDatabind_88/result.json</x:v>
      </x:c>
      <x:c r="O2200" s="39" t="str">
        <x:f>IF(AND(G2200="RECORDED",ISNUMBER(H2200)),H2200,"")</x:f>
      </x:c>
      <x:c r="P2200" s="35" t="str">
        <x:v>NOT_AVAILABLE</x:v>
      </x:c>
      <x:c r="Q2200" s="35" t="str">
        <x:v>Deepseek-flash-v4/Result/JacksonDatabind_88/result.json</x:v>
      </x:c>
    </x:row>
    <x:row r="2201">
      <x:c r="A2201" s="35" t="str">
        <x:v>deepseek</x:v>
      </x:c>
      <x:c r="B2201" s="35" t="str">
        <x:v>JacksonDatabind</x:v>
      </x:c>
      <x:c r="C2201" s="35" t="str">
        <x:v>Round1</x:v>
      </x:c>
      <x:c r="D2201" s="35" t="str">
        <x:v>JacksonDatabind_9</x:v>
      </x:c>
      <x:c r="E2201" s="35" t="str">
        <x:v>Condition</x:v>
      </x:c>
      <x:c r="F2201" s="35" t="n">
        <x:v>2</x:v>
      </x:c>
      <x:c r="G2201" s="35" t="str">
        <x:v>RECORDED</x:v>
      </x:c>
      <x:c r="H2201" s="39" t="n">
        <x:f>IF(ISNUMBER('Data'!N493),'Data'!N493*100,"")</x:f>
        <x:v>100</x:v>
      </x:c>
      <x:c r="I2201" s="35" t="str">
        <x:v>PASS</x:v>
      </x:c>
      <x:c r="J2201" s="35" t="str">
        <x:v>PASS</x:v>
      </x:c>
      <x:c r="K2201" s="35" t="str">
        <x:v>PASS</x:v>
      </x:c>
      <x:c r="L2201" s="35" t="str">
        <x:v>FAIL</x:v>
      </x:c>
      <x:c r="M2201" s="35" t="str">
        <x:v>numeric coverage for applicable metric</x:v>
      </x:c>
      <x:c r="N2201" s="35" t="str">
        <x:v>Deepseek-flash-v4/Result/JacksonDatabind_9/result.json</x:v>
      </x:c>
      <x:c r="O2201" s="39" t="n">
        <x:f>IF(AND(G2201="RECORDED",ISNUMBER(H2201)),H2201,"")</x:f>
        <x:v>100</x:v>
      </x:c>
      <x:c r="P2201" s="35" t="str">
        <x:v>INCONCLUSIVE</x:v>
      </x:c>
      <x:c r="Q2201" s="35" t="str">
        <x:v>Deepseek-flash-v4/Result/JacksonDatabind_9/result.json</x:v>
      </x:c>
    </x:row>
    <x:row r="2202">
      <x:c r="A2202" s="35" t="str">
        <x:v>deepseek</x:v>
      </x:c>
      <x:c r="B2202" s="35" t="str">
        <x:v>JacksonDatabind</x:v>
      </x:c>
      <x:c r="C2202" s="35" t="str">
        <x:v>Round1</x:v>
      </x:c>
      <x:c r="D2202" s="35" t="str">
        <x:v>JacksonDatabind_90</x:v>
      </x:c>
      <x:c r="E2202" s="35" t="str">
        <x:v>Condition</x:v>
      </x:c>
      <x:c r="F2202" s="35"/>
      <x:c r="G2202" s="35" t="str">
        <x:v>A</x:v>
      </x:c>
      <x:c r="H2202" s="39" t="str">
        <x:f>IF(ISNUMBER('Data'!N494),'Data'!N494*100,"")</x:f>
      </x:c>
      <x:c r="I2202" s="35"/>
      <x:c r="J2202" s="35" t="str">
        <x:v>PASS</x:v>
      </x:c>
      <x:c r="K2202" s="35" t="str">
        <x:v>FAIL</x:v>
      </x:c>
      <x:c r="L2202" s="35" t="str">
        <x:v>NOT_RUN</x:v>
      </x:c>
      <x:c r="M2202" s="35" t="str">
        <x:v>coverage unavailable or execution/compile failed</x:v>
      </x:c>
      <x:c r="N2202" s="35" t="str">
        <x:v>Deepseek-flash-v4/Result/JacksonDatabind_90/result.json</x:v>
      </x:c>
      <x:c r="O2202" s="39" t="str">
        <x:f>IF(AND(G2202="RECORDED",ISNUMBER(H2202)),H2202,"")</x:f>
      </x:c>
      <x:c r="P2202" s="35" t="str">
        <x:v>NOT_AVAILABLE</x:v>
      </x:c>
      <x:c r="Q2202" s="35" t="str">
        <x:v>Deepseek-flash-v4/Result/JacksonDatabind_90/result.json</x:v>
      </x:c>
    </x:row>
    <x:row r="2203">
      <x:c r="A2203" s="35" t="str">
        <x:v>deepseek</x:v>
      </x:c>
      <x:c r="B2203" s="35" t="str">
        <x:v>JacksonDatabind</x:v>
      </x:c>
      <x:c r="C2203" s="35" t="str">
        <x:v>Round1</x:v>
      </x:c>
      <x:c r="D2203" s="35" t="str">
        <x:v>JacksonDatabind_91</x:v>
      </x:c>
      <x:c r="E2203" s="35" t="str">
        <x:v>Condition</x:v>
      </x:c>
      <x:c r="F2203" s="35"/>
      <x:c r="G2203" s="35" t="str">
        <x:v>A</x:v>
      </x:c>
      <x:c r="H2203" s="39" t="str">
        <x:f>IF(ISNUMBER('Data'!N495),'Data'!N495*100,"")</x:f>
      </x:c>
      <x:c r="I2203" s="35"/>
      <x:c r="J2203" s="35" t="str">
        <x:v>PASS</x:v>
      </x:c>
      <x:c r="K2203" s="35" t="str">
        <x:v>FAIL</x:v>
      </x:c>
      <x:c r="L2203" s="35" t="str">
        <x:v>NOT_RUN</x:v>
      </x:c>
      <x:c r="M2203" s="35" t="str">
        <x:v>coverage unavailable or execution/compile failed</x:v>
      </x:c>
      <x:c r="N2203" s="35" t="str">
        <x:v>Deepseek-flash-v4/Result/JacksonDatabind_91/result.json</x:v>
      </x:c>
      <x:c r="O2203" s="39" t="str">
        <x:f>IF(AND(G2203="RECORDED",ISNUMBER(H2203)),H2203,"")</x:f>
      </x:c>
      <x:c r="P2203" s="35" t="str">
        <x:v>NOT_AVAILABLE</x:v>
      </x:c>
      <x:c r="Q2203" s="35" t="str">
        <x:v>Deepseek-flash-v4/Result/JacksonDatabind_91/result.json</x:v>
      </x:c>
    </x:row>
    <x:row r="2204">
      <x:c r="A2204" s="35" t="str">
        <x:v>deepseek</x:v>
      </x:c>
      <x:c r="B2204" s="35" t="str">
        <x:v>JacksonDatabind</x:v>
      </x:c>
      <x:c r="C2204" s="35" t="str">
        <x:v>Round1</x:v>
      </x:c>
      <x:c r="D2204" s="35" t="str">
        <x:v>JacksonDatabind_92</x:v>
      </x:c>
      <x:c r="E2204" s="35" t="str">
        <x:v>Condition</x:v>
      </x:c>
      <x:c r="F2204" s="35"/>
      <x:c r="G2204" s="35" t="str">
        <x:v>A</x:v>
      </x:c>
      <x:c r="H2204" s="39" t="str">
        <x:f>IF(ISNUMBER('Data'!N496),'Data'!N496*100,"")</x:f>
      </x:c>
      <x:c r="I2204" s="35"/>
      <x:c r="J2204" s="35" t="str">
        <x:v>PASS</x:v>
      </x:c>
      <x:c r="K2204" s="35" t="str">
        <x:v>FAIL</x:v>
      </x:c>
      <x:c r="L2204" s="35" t="str">
        <x:v>NOT_RUN</x:v>
      </x:c>
      <x:c r="M2204" s="35" t="str">
        <x:v>coverage unavailable or execution/compile failed</x:v>
      </x:c>
      <x:c r="N2204" s="35" t="str">
        <x:v>Deepseek-flash-v4/Result/JacksonDatabind_92/result.json</x:v>
      </x:c>
      <x:c r="O2204" s="39" t="str">
        <x:f>IF(AND(G2204="RECORDED",ISNUMBER(H2204)),H2204,"")</x:f>
      </x:c>
      <x:c r="P2204" s="35" t="str">
        <x:v>NOT_AVAILABLE</x:v>
      </x:c>
      <x:c r="Q2204" s="35" t="str">
        <x:v>Deepseek-flash-v4/Result/JacksonDatabind_92/result.json</x:v>
      </x:c>
    </x:row>
    <x:row r="2205">
      <x:c r="A2205" s="35" t="str">
        <x:v>deepseek</x:v>
      </x:c>
      <x:c r="B2205" s="35" t="str">
        <x:v>JacksonDatabind</x:v>
      </x:c>
      <x:c r="C2205" s="35" t="str">
        <x:v>Round1</x:v>
      </x:c>
      <x:c r="D2205" s="35" t="str">
        <x:v>JacksonDatabind_93</x:v>
      </x:c>
      <x:c r="E2205" s="35" t="str">
        <x:v>Condition</x:v>
      </x:c>
      <x:c r="F2205" s="35"/>
      <x:c r="G2205" s="35" t="str">
        <x:v>A</x:v>
      </x:c>
      <x:c r="H2205" s="39" t="str">
        <x:f>IF(ISNUMBER('Data'!N497),'Data'!N497*100,"")</x:f>
      </x:c>
      <x:c r="I2205" s="35"/>
      <x:c r="J2205" s="35" t="str">
        <x:v>PASS</x:v>
      </x:c>
      <x:c r="K2205" s="35" t="str">
        <x:v>FAIL</x:v>
      </x:c>
      <x:c r="L2205" s="35" t="str">
        <x:v>NOT_RUN</x:v>
      </x:c>
      <x:c r="M2205" s="35" t="str">
        <x:v>coverage unavailable or execution/compile failed</x:v>
      </x:c>
      <x:c r="N2205" s="35" t="str">
        <x:v>Deepseek-flash-v4/Result/JacksonDatabind_93/result.json</x:v>
      </x:c>
      <x:c r="O2205" s="39" t="str">
        <x:f>IF(AND(G2205="RECORDED",ISNUMBER(H2205)),H2205,"")</x:f>
      </x:c>
      <x:c r="P2205" s="35" t="str">
        <x:v>NOT_AVAILABLE</x:v>
      </x:c>
      <x:c r="Q2205" s="35" t="str">
        <x:v>Deepseek-flash-v4/Result/JacksonDatabind_93/result.json</x:v>
      </x:c>
    </x:row>
    <x:row r="2206">
      <x:c r="A2206" s="35" t="str">
        <x:v>deepseek</x:v>
      </x:c>
      <x:c r="B2206" s="35" t="str">
        <x:v>JacksonDatabind</x:v>
      </x:c>
      <x:c r="C2206" s="35" t="str">
        <x:v>Round1</x:v>
      </x:c>
      <x:c r="D2206" s="35" t="str">
        <x:v>JacksonDatabind_94</x:v>
      </x:c>
      <x:c r="E2206" s="35" t="str">
        <x:v>Condition</x:v>
      </x:c>
      <x:c r="F2206" s="35" t="n">
        <x:v>14</x:v>
      </x:c>
      <x:c r="G2206" s="35" t="str">
        <x:v>RECORDED</x:v>
      </x:c>
      <x:c r="H2206" s="39" t="n">
        <x:f>IF(ISNUMBER('Data'!N498),'Data'!N498*100,"")</x:f>
        <x:v>35.71</x:v>
      </x:c>
      <x:c r="I2206" s="35" t="str">
        <x:v>PASS</x:v>
      </x:c>
      <x:c r="J2206" s="35" t="str">
        <x:v>PASS</x:v>
      </x:c>
      <x:c r="K2206" s="35" t="str">
        <x:v>PASS</x:v>
      </x:c>
      <x:c r="L2206" s="35" t="str">
        <x:v>FAIL</x:v>
      </x:c>
      <x:c r="M2206" s="35" t="str">
        <x:v>numeric coverage for applicable metric</x:v>
      </x:c>
      <x:c r="N2206" s="35" t="str">
        <x:v>Deepseek-flash-v4/Result/JacksonDatabind_94/result.json</x:v>
      </x:c>
      <x:c r="O2206" s="39" t="n">
        <x:f>IF(AND(G2206="RECORDED",ISNUMBER(H2206)),H2206,"")</x:f>
        <x:v>35.71</x:v>
      </x:c>
      <x:c r="P2206" s="35" t="str">
        <x:v>INCONCLUSIVE</x:v>
      </x:c>
      <x:c r="Q2206" s="35" t="str">
        <x:v>Deepseek-flash-v4/Result/JacksonDatabind_94/result.json</x:v>
      </x:c>
    </x:row>
    <x:row r="2207">
      <x:c r="A2207" s="35" t="str">
        <x:v>deepseek</x:v>
      </x:c>
      <x:c r="B2207" s="35" t="str">
        <x:v>JacksonDatabind</x:v>
      </x:c>
      <x:c r="C2207" s="35" t="str">
        <x:v>Round1</x:v>
      </x:c>
      <x:c r="D2207" s="35" t="str">
        <x:v>JacksonDatabind_95</x:v>
      </x:c>
      <x:c r="E2207" s="35" t="str">
        <x:v>Condition</x:v>
      </x:c>
      <x:c r="F2207" s="35"/>
      <x:c r="G2207" s="35" t="str">
        <x:v>A</x:v>
      </x:c>
      <x:c r="H2207" s="39" t="str">
        <x:f>IF(ISNUMBER('Data'!N499),'Data'!N499*100,"")</x:f>
      </x:c>
      <x:c r="I2207" s="35"/>
      <x:c r="J2207" s="35" t="str">
        <x:v>PASS</x:v>
      </x:c>
      <x:c r="K2207" s="35" t="str">
        <x:v>FAIL</x:v>
      </x:c>
      <x:c r="L2207" s="35" t="str">
        <x:v>NOT_RUN</x:v>
      </x:c>
      <x:c r="M2207" s="35" t="str">
        <x:v>coverage unavailable or execution/compile failed</x:v>
      </x:c>
      <x:c r="N2207" s="35" t="str">
        <x:v>Deepseek-flash-v4/Result/JacksonDatabind_95/result.json</x:v>
      </x:c>
      <x:c r="O2207" s="39" t="str">
        <x:f>IF(AND(G2207="RECORDED",ISNUMBER(H2207)),H2207,"")</x:f>
      </x:c>
      <x:c r="P2207" s="35" t="str">
        <x:v>NOT_AVAILABLE</x:v>
      </x:c>
      <x:c r="Q2207" s="35" t="str">
        <x:v>Deepseek-flash-v4/Result/JacksonDatabind_95/result.json</x:v>
      </x:c>
    </x:row>
    <x:row r="2208">
      <x:c r="A2208" s="35" t="str">
        <x:v>deepseek</x:v>
      </x:c>
      <x:c r="B2208" s="35" t="str">
        <x:v>JacksonDatabind</x:v>
      </x:c>
      <x:c r="C2208" s="35" t="str">
        <x:v>Round1</x:v>
      </x:c>
      <x:c r="D2208" s="35" t="str">
        <x:v>JacksonDatabind_96</x:v>
      </x:c>
      <x:c r="E2208" s="35" t="str">
        <x:v>Condition</x:v>
      </x:c>
      <x:c r="F2208" s="35"/>
      <x:c r="G2208" s="35" t="str">
        <x:v>A</x:v>
      </x:c>
      <x:c r="H2208" s="39" t="str">
        <x:f>IF(ISNUMBER('Data'!N500),'Data'!N500*100,"")</x:f>
      </x:c>
      <x:c r="I2208" s="35"/>
      <x:c r="J2208" s="35" t="str">
        <x:v>PASS</x:v>
      </x:c>
      <x:c r="K2208" s="35" t="str">
        <x:v>FAIL</x:v>
      </x:c>
      <x:c r="L2208" s="35" t="str">
        <x:v>NOT_RUN</x:v>
      </x:c>
      <x:c r="M2208" s="35" t="str">
        <x:v>coverage unavailable or execution/compile failed</x:v>
      </x:c>
      <x:c r="N2208" s="35" t="str">
        <x:v>Deepseek-flash-v4/Result/JacksonDatabind_96/result.json</x:v>
      </x:c>
      <x:c r="O2208" s="39" t="str">
        <x:f>IF(AND(G2208="RECORDED",ISNUMBER(H2208)),H2208,"")</x:f>
      </x:c>
      <x:c r="P2208" s="35" t="str">
        <x:v>NOT_AVAILABLE</x:v>
      </x:c>
      <x:c r="Q2208" s="35" t="str">
        <x:v>Deepseek-flash-v4/Result/JacksonDatabind_96/result.json</x:v>
      </x:c>
    </x:row>
    <x:row r="2209">
      <x:c r="A2209" s="35" t="str">
        <x:v>deepseek</x:v>
      </x:c>
      <x:c r="B2209" s="35" t="str">
        <x:v>JacksonDatabind</x:v>
      </x:c>
      <x:c r="C2209" s="35" t="str">
        <x:v>Round1</x:v>
      </x:c>
      <x:c r="D2209" s="35" t="str">
        <x:v>JacksonDatabind_97</x:v>
      </x:c>
      <x:c r="E2209" s="35" t="str">
        <x:v>Condition</x:v>
      </x:c>
      <x:c r="F2209" s="35"/>
      <x:c r="G2209" s="35" t="str">
        <x:v>A</x:v>
      </x:c>
      <x:c r="H2209" s="39" t="str">
        <x:f>IF(ISNUMBER('Data'!N501),'Data'!N501*100,"")</x:f>
      </x:c>
      <x:c r="I2209" s="35"/>
      <x:c r="J2209" s="35" t="str">
        <x:v>PASS</x:v>
      </x:c>
      <x:c r="K2209" s="35" t="str">
        <x:v>FAIL</x:v>
      </x:c>
      <x:c r="L2209" s="35" t="str">
        <x:v>NOT_RUN</x:v>
      </x:c>
      <x:c r="M2209" s="35" t="str">
        <x:v>coverage unavailable or execution/compile failed</x:v>
      </x:c>
      <x:c r="N2209" s="35" t="str">
        <x:v>Deepseek-flash-v4/Result/JacksonDatabind_97/result.json</x:v>
      </x:c>
      <x:c r="O2209" s="39" t="str">
        <x:f>IF(AND(G2209="RECORDED",ISNUMBER(H2209)),H2209,"")</x:f>
      </x:c>
      <x:c r="P2209" s="35" t="str">
        <x:v>NOT_AVAILABLE</x:v>
      </x:c>
      <x:c r="Q2209" s="35" t="str">
        <x:v>Deepseek-flash-v4/Result/JacksonDatabind_97/result.json</x:v>
      </x:c>
    </x:row>
    <x:row r="2210">
      <x:c r="A2210" s="35" t="str">
        <x:v>deepseek</x:v>
      </x:c>
      <x:c r="B2210" s="35" t="str">
        <x:v>JacksonDatabind</x:v>
      </x:c>
      <x:c r="C2210" s="35" t="str">
        <x:v>Round1</x:v>
      </x:c>
      <x:c r="D2210" s="35" t="str">
        <x:v>JacksonDatabind_98</x:v>
      </x:c>
      <x:c r="E2210" s="35" t="str">
        <x:v>Condition</x:v>
      </x:c>
      <x:c r="F2210" s="35"/>
      <x:c r="G2210" s="35" t="str">
        <x:v>A</x:v>
      </x:c>
      <x:c r="H2210" s="39" t="str">
        <x:f>IF(ISNUMBER('Data'!N502),'Data'!N502*100,"")</x:f>
      </x:c>
      <x:c r="I2210" s="35"/>
      <x:c r="J2210" s="35" t="str">
        <x:v>PASS</x:v>
      </x:c>
      <x:c r="K2210" s="35" t="str">
        <x:v>FAIL</x:v>
      </x:c>
      <x:c r="L2210" s="35" t="str">
        <x:v>NOT_RUN</x:v>
      </x:c>
      <x:c r="M2210" s="35" t="str">
        <x:v>coverage unavailable or execution/compile failed</x:v>
      </x:c>
      <x:c r="N2210" s="35" t="str">
        <x:v>Deepseek-flash-v4/Result/JacksonDatabind_98/result.json</x:v>
      </x:c>
      <x:c r="O2210" s="39" t="str">
        <x:f>IF(AND(G2210="RECORDED",ISNUMBER(H2210)),H2210,"")</x:f>
      </x:c>
      <x:c r="P2210" s="35" t="str">
        <x:v>NOT_AVAILABLE</x:v>
      </x:c>
      <x:c r="Q2210" s="35" t="str">
        <x:v>Deepseek-flash-v4/Result/JacksonDatabind_98/result.json</x:v>
      </x:c>
    </x:row>
    <x:row r="2211">
      <x:c r="A2211" s="35" t="str">
        <x:v>deepseek</x:v>
      </x:c>
      <x:c r="B2211" s="35" t="str">
        <x:v>JacksonDatabind</x:v>
      </x:c>
      <x:c r="C2211" s="35" t="str">
        <x:v>Round1</x:v>
      </x:c>
      <x:c r="D2211" s="35" t="str">
        <x:v>JacksonDatabind_99</x:v>
      </x:c>
      <x:c r="E2211" s="35" t="str">
        <x:v>Condition</x:v>
      </x:c>
      <x:c r="F2211" s="35"/>
      <x:c r="G2211" s="35" t="str">
        <x:v>A</x:v>
      </x:c>
      <x:c r="H2211" s="39" t="str">
        <x:f>IF(ISNUMBER('Data'!N503),'Data'!N503*100,"")</x:f>
      </x:c>
      <x:c r="I2211" s="35"/>
      <x:c r="J2211" s="35" t="str">
        <x:v>PASS</x:v>
      </x:c>
      <x:c r="K2211" s="35" t="str">
        <x:v>FAIL</x:v>
      </x:c>
      <x:c r="L2211" s="35" t="str">
        <x:v>NOT_RUN</x:v>
      </x:c>
      <x:c r="M2211" s="35" t="str">
        <x:v>coverage unavailable or execution/compile failed</x:v>
      </x:c>
      <x:c r="N2211" s="35" t="str">
        <x:v>Deepseek-flash-v4/Result/JacksonDatabind_99/result.json</x:v>
      </x:c>
      <x:c r="O2211" s="39" t="str">
        <x:f>IF(AND(G2211="RECORDED",ISNUMBER(H2211)),H2211,"")</x:f>
      </x:c>
      <x:c r="P2211" s="35" t="str">
        <x:v>NOT_AVAILABLE</x:v>
      </x:c>
      <x:c r="Q2211" s="35" t="str">
        <x:v>Deepseek-flash-v4/Result/JacksonDatabind_99/result.json</x:v>
      </x:c>
    </x:row>
    <x:row r="2212">
      <x:c r="A2212" s="35" t="str">
        <x:v>deepseek</x:v>
      </x:c>
      <x:c r="B2212" s="35" t="str">
        <x:v>JacksonXml</x:v>
      </x:c>
      <x:c r="C2212" s="35" t="str">
        <x:v>Round1</x:v>
      </x:c>
      <x:c r="D2212" s="35" t="str">
        <x:v>JacksonXml_1</x:v>
      </x:c>
      <x:c r="E2212" s="35" t="str">
        <x:v>Condition</x:v>
      </x:c>
      <x:c r="F2212" s="35"/>
      <x:c r="G2212" s="35" t="str">
        <x:v>A</x:v>
      </x:c>
      <x:c r="H2212" s="39" t="str">
        <x:f>IF(ISNUMBER('Data'!N504),'Data'!N504*100,"")</x:f>
      </x:c>
      <x:c r="I2212" s="35"/>
      <x:c r="J2212" s="35" t="str">
        <x:v>PASS</x:v>
      </x:c>
      <x:c r="K2212" s="35" t="str">
        <x:v>FAIL</x:v>
      </x:c>
      <x:c r="L2212" s="35" t="str">
        <x:v>NOT_RUN</x:v>
      </x:c>
      <x:c r="M2212" s="35" t="str">
        <x:v>coverage unavailable or execution/compile failed</x:v>
      </x:c>
      <x:c r="N2212" s="35" t="str">
        <x:v>Deepseek-flash-v4/Result/JacksonXml_1/result.json</x:v>
      </x:c>
      <x:c r="O2212" s="39" t="str">
        <x:f>IF(AND(G2212="RECORDED",ISNUMBER(H2212)),H2212,"")</x:f>
      </x:c>
      <x:c r="P2212" s="35" t="str">
        <x:v>NOT_AVAILABLE</x:v>
      </x:c>
      <x:c r="Q2212" s="35" t="str">
        <x:v>Deepseek-flash-v4/Result/JacksonXml_1/result.json</x:v>
      </x:c>
    </x:row>
    <x:row r="2213">
      <x:c r="A2213" s="35" t="str">
        <x:v>deepseek</x:v>
      </x:c>
      <x:c r="B2213" s="35" t="str">
        <x:v>JacksonXml</x:v>
      </x:c>
      <x:c r="C2213" s="35" t="str">
        <x:v>Round1</x:v>
      </x:c>
      <x:c r="D2213" s="35" t="str">
        <x:v>JacksonXml_2</x:v>
      </x:c>
      <x:c r="E2213" s="35" t="str">
        <x:v>Condition</x:v>
      </x:c>
      <x:c r="F2213" s="35"/>
      <x:c r="G2213" s="35" t="str">
        <x:v>A</x:v>
      </x:c>
      <x:c r="H2213" s="39" t="str">
        <x:f>IF(ISNUMBER('Data'!N505),'Data'!N505*100,"")</x:f>
      </x:c>
      <x:c r="I2213" s="35"/>
      <x:c r="J2213" s="35" t="str">
        <x:v>PASS</x:v>
      </x:c>
      <x:c r="K2213" s="35" t="str">
        <x:v>FAIL</x:v>
      </x:c>
      <x:c r="L2213" s="35" t="str">
        <x:v>NOT_RUN</x:v>
      </x:c>
      <x:c r="M2213" s="35" t="str">
        <x:v>coverage unavailable or execution/compile failed</x:v>
      </x:c>
      <x:c r="N2213" s="35" t="str">
        <x:v>Deepseek-flash-v4/Result/JacksonXml_2/result.json</x:v>
      </x:c>
      <x:c r="O2213" s="39" t="str">
        <x:f>IF(AND(G2213="RECORDED",ISNUMBER(H2213)),H2213,"")</x:f>
      </x:c>
      <x:c r="P2213" s="35" t="str">
        <x:v>NOT_AVAILABLE</x:v>
      </x:c>
      <x:c r="Q2213" s="35" t="str">
        <x:v>Deepseek-flash-v4/Result/JacksonXml_2/result.json</x:v>
      </x:c>
    </x:row>
    <x:row r="2214">
      <x:c r="A2214" s="35" t="str">
        <x:v>deepseek</x:v>
      </x:c>
      <x:c r="B2214" s="35" t="str">
        <x:v>JacksonXml</x:v>
      </x:c>
      <x:c r="C2214" s="35" t="str">
        <x:v>Round1</x:v>
      </x:c>
      <x:c r="D2214" s="35" t="str">
        <x:v>JacksonXml_3</x:v>
      </x:c>
      <x:c r="E2214" s="35" t="str">
        <x:v>Condition</x:v>
      </x:c>
      <x:c r="F2214" s="35"/>
      <x:c r="G2214" s="35" t="str">
        <x:v>A</x:v>
      </x:c>
      <x:c r="H2214" s="39" t="str">
        <x:f>IF(ISNUMBER('Data'!N506),'Data'!N506*100,"")</x:f>
      </x:c>
      <x:c r="I2214" s="35"/>
      <x:c r="J2214" s="35" t="str">
        <x:v>PASS</x:v>
      </x:c>
      <x:c r="K2214" s="35" t="str">
        <x:v>FAIL</x:v>
      </x:c>
      <x:c r="L2214" s="35" t="str">
        <x:v>NOT_RUN</x:v>
      </x:c>
      <x:c r="M2214" s="35" t="str">
        <x:v>coverage unavailable or execution/compile failed</x:v>
      </x:c>
      <x:c r="N2214" s="35" t="str">
        <x:v>Deepseek-flash-v4/Result/JacksonXml_3/result.json</x:v>
      </x:c>
      <x:c r="O2214" s="39" t="str">
        <x:f>IF(AND(G2214="RECORDED",ISNUMBER(H2214)),H2214,"")</x:f>
      </x:c>
      <x:c r="P2214" s="35" t="str">
        <x:v>NOT_AVAILABLE</x:v>
      </x:c>
      <x:c r="Q2214" s="35" t="str">
        <x:v>Deepseek-flash-v4/Result/JacksonXml_3/result.json</x:v>
      </x:c>
    </x:row>
    <x:row r="2215">
      <x:c r="A2215" s="35" t="str">
        <x:v>deepseek</x:v>
      </x:c>
      <x:c r="B2215" s="35" t="str">
        <x:v>JacksonXml</x:v>
      </x:c>
      <x:c r="C2215" s="35" t="str">
        <x:v>Round1</x:v>
      </x:c>
      <x:c r="D2215" s="35" t="str">
        <x:v>JacksonXml_4</x:v>
      </x:c>
      <x:c r="E2215" s="35" t="str">
        <x:v>Condition</x:v>
      </x:c>
      <x:c r="F2215" s="35"/>
      <x:c r="G2215" s="35" t="str">
        <x:v>A</x:v>
      </x:c>
      <x:c r="H2215" s="39" t="str">
        <x:f>IF(ISNUMBER('Data'!N507),'Data'!N507*100,"")</x:f>
      </x:c>
      <x:c r="I2215" s="35"/>
      <x:c r="J2215" s="35" t="str">
        <x:v>PASS</x:v>
      </x:c>
      <x:c r="K2215" s="35" t="str">
        <x:v>FAIL</x:v>
      </x:c>
      <x:c r="L2215" s="35" t="str">
        <x:v>NOT_RUN</x:v>
      </x:c>
      <x:c r="M2215" s="35" t="str">
        <x:v>coverage unavailable or execution/compile failed</x:v>
      </x:c>
      <x:c r="N2215" s="35" t="str">
        <x:v>Deepseek-flash-v4/Result/JacksonXml_4/result.json</x:v>
      </x:c>
      <x:c r="O2215" s="39" t="str">
        <x:f>IF(AND(G2215="RECORDED",ISNUMBER(H2215)),H2215,"")</x:f>
      </x:c>
      <x:c r="P2215" s="35" t="str">
        <x:v>NOT_AVAILABLE</x:v>
      </x:c>
      <x:c r="Q2215" s="35" t="str">
        <x:v>Deepseek-flash-v4/Result/JacksonXml_4/result.json</x:v>
      </x:c>
    </x:row>
    <x:row r="2216">
      <x:c r="A2216" s="35" t="str">
        <x:v>deepseek</x:v>
      </x:c>
      <x:c r="B2216" s="35" t="str">
        <x:v>JacksonXml</x:v>
      </x:c>
      <x:c r="C2216" s="35" t="str">
        <x:v>Round1</x:v>
      </x:c>
      <x:c r="D2216" s="35" t="str">
        <x:v>JacksonXml_5</x:v>
      </x:c>
      <x:c r="E2216" s="35" t="str">
        <x:v>Condition</x:v>
      </x:c>
      <x:c r="F2216" s="35"/>
      <x:c r="G2216" s="35" t="str">
        <x:v>A</x:v>
      </x:c>
      <x:c r="H2216" s="39" t="str">
        <x:f>IF(ISNUMBER('Data'!N508),'Data'!N508*100,"")</x:f>
      </x:c>
      <x:c r="I2216" s="35"/>
      <x:c r="J2216" s="35" t="str">
        <x:v>PASS</x:v>
      </x:c>
      <x:c r="K2216" s="35" t="str">
        <x:v>FAIL</x:v>
      </x:c>
      <x:c r="L2216" s="35" t="str">
        <x:v>NOT_RUN</x:v>
      </x:c>
      <x:c r="M2216" s="35" t="str">
        <x:v>coverage unavailable or execution/compile failed</x:v>
      </x:c>
      <x:c r="N2216" s="35" t="str">
        <x:v>Deepseek-flash-v4/Result/JacksonXml_5/result.json</x:v>
      </x:c>
      <x:c r="O2216" s="39" t="str">
        <x:f>IF(AND(G2216="RECORDED",ISNUMBER(H2216)),H2216,"")</x:f>
      </x:c>
      <x:c r="P2216" s="35" t="str">
        <x:v>NOT_AVAILABLE</x:v>
      </x:c>
      <x:c r="Q2216" s="35" t="str">
        <x:v>Deepseek-flash-v4/Result/JacksonXml_5/result.json</x:v>
      </x:c>
    </x:row>
    <x:row r="2217">
      <x:c r="A2217" s="35" t="str">
        <x:v>deepseek</x:v>
      </x:c>
      <x:c r="B2217" s="35" t="str">
        <x:v>JacksonXml</x:v>
      </x:c>
      <x:c r="C2217" s="35" t="str">
        <x:v>Round1</x:v>
      </x:c>
      <x:c r="D2217" s="35" t="str">
        <x:v>JacksonXml_6</x:v>
      </x:c>
      <x:c r="E2217" s="35" t="str">
        <x:v>Condition</x:v>
      </x:c>
      <x:c r="F2217" s="35"/>
      <x:c r="G2217" s="35" t="str">
        <x:v>A</x:v>
      </x:c>
      <x:c r="H2217" s="39" t="str">
        <x:f>IF(ISNUMBER('Data'!N509),'Data'!N509*100,"")</x:f>
      </x:c>
      <x:c r="I2217" s="35"/>
      <x:c r="J2217" s="35" t="str">
        <x:v>PASS</x:v>
      </x:c>
      <x:c r="K2217" s="35" t="str">
        <x:v>FAIL</x:v>
      </x:c>
      <x:c r="L2217" s="35" t="str">
        <x:v>NOT_RUN</x:v>
      </x:c>
      <x:c r="M2217" s="35" t="str">
        <x:v>coverage unavailable or execution/compile failed</x:v>
      </x:c>
      <x:c r="N2217" s="35" t="str">
        <x:v>Deepseek-flash-v4/Result/JacksonXml_6/result.json</x:v>
      </x:c>
      <x:c r="O2217" s="39" t="str">
        <x:f>IF(AND(G2217="RECORDED",ISNUMBER(H2217)),H2217,"")</x:f>
      </x:c>
      <x:c r="P2217" s="35" t="str">
        <x:v>NOT_AVAILABLE</x:v>
      </x:c>
      <x:c r="Q2217" s="35" t="str">
        <x:v>Deepseek-flash-v4/Result/JacksonXml_6/result.json</x:v>
      </x:c>
    </x:row>
    <x:row r="2218">
      <x:c r="A2218" s="35" t="str">
        <x:v>deepseek</x:v>
      </x:c>
      <x:c r="B2218" s="35" t="str">
        <x:v>Jsoup</x:v>
      </x:c>
      <x:c r="C2218" s="35" t="str">
        <x:v>Round1</x:v>
      </x:c>
      <x:c r="D2218" s="35" t="str">
        <x:v>Jsoup_1</x:v>
      </x:c>
      <x:c r="E2218" s="35" t="str">
        <x:v>Condition</x:v>
      </x:c>
      <x:c r="F2218" s="35" t="n">
        <x:v>18</x:v>
      </x:c>
      <x:c r="G2218" s="35" t="str">
        <x:v>RECORDED</x:v>
      </x:c>
      <x:c r="H2218" s="39" t="n">
        <x:f>IF(ISNUMBER('Data'!N510),'Data'!N510*100,"")</x:f>
        <x:v>94.44</x:v>
      </x:c>
      <x:c r="I2218" s="35" t="str">
        <x:v>PASS</x:v>
      </x:c>
      <x:c r="J2218" s="35" t="str">
        <x:v>PASS</x:v>
      </x:c>
      <x:c r="K2218" s="35" t="str">
        <x:v>PASS</x:v>
      </x:c>
      <x:c r="L2218" s="35" t="str">
        <x:v>FAIL</x:v>
      </x:c>
      <x:c r="M2218" s="35" t="str">
        <x:v>numeric coverage for applicable metric</x:v>
      </x:c>
      <x:c r="N2218" s="35" t="str">
        <x:v>Deepseek-flash-v4/Result/Jsoup_1/result.json</x:v>
      </x:c>
      <x:c r="O2218" s="39" t="n">
        <x:f>IF(AND(G2218="RECORDED",ISNUMBER(H2218)),H2218,"")</x:f>
        <x:v>94.44</x:v>
      </x:c>
      <x:c r="P2218" s="35" t="str">
        <x:v>INCONCLUSIVE</x:v>
      </x:c>
      <x:c r="Q2218" s="35" t="str">
        <x:v>Deepseek-flash-v4/Result/Jsoup_1/result.json</x:v>
      </x:c>
    </x:row>
    <x:row r="2219">
      <x:c r="A2219" s="35" t="str">
        <x:v>deepseek</x:v>
      </x:c>
      <x:c r="B2219" s="35" t="str">
        <x:v>Jsoup</x:v>
      </x:c>
      <x:c r="C2219" s="35" t="str">
        <x:v>Round1</x:v>
      </x:c>
      <x:c r="D2219" s="35" t="str">
        <x:v>Jsoup_10</x:v>
      </x:c>
      <x:c r="E2219" s="35" t="str">
        <x:v>Condition</x:v>
      </x:c>
      <x:c r="F2219" s="35"/>
      <x:c r="G2219" s="35" t="str">
        <x:v>A</x:v>
      </x:c>
      <x:c r="H2219" s="39" t="str">
        <x:f>IF(ISNUMBER('Data'!N511),'Data'!N511*100,"")</x:f>
      </x:c>
      <x:c r="I2219" s="35"/>
      <x:c r="J2219" s="35" t="str">
        <x:v>PASS</x:v>
      </x:c>
      <x:c r="K2219" s="35" t="str">
        <x:v>FAIL</x:v>
      </x:c>
      <x:c r="L2219" s="35" t="str">
        <x:v>NOT_RUN</x:v>
      </x:c>
      <x:c r="M2219" s="35" t="str">
        <x:v>coverage unavailable or execution/compile failed</x:v>
      </x:c>
      <x:c r="N2219" s="35" t="str">
        <x:v>Deepseek-flash-v4/Result/Jsoup_10/result.json</x:v>
      </x:c>
      <x:c r="O2219" s="39" t="str">
        <x:f>IF(AND(G2219="RECORDED",ISNUMBER(H2219)),H2219,"")</x:f>
      </x:c>
      <x:c r="P2219" s="35" t="str">
        <x:v>NOT_AVAILABLE</x:v>
      </x:c>
      <x:c r="Q2219" s="35" t="str">
        <x:v>Deepseek-flash-v4/Result/Jsoup_10/result.json</x:v>
      </x:c>
    </x:row>
    <x:row r="2220">
      <x:c r="A2220" s="35" t="str">
        <x:v>deepseek</x:v>
      </x:c>
      <x:c r="B2220" s="35" t="str">
        <x:v>Jsoup</x:v>
      </x:c>
      <x:c r="C2220" s="35" t="str">
        <x:v>Round1</x:v>
      </x:c>
      <x:c r="D2220" s="35" t="str">
        <x:v>Jsoup_11</x:v>
      </x:c>
      <x:c r="E2220" s="35" t="str">
        <x:v>Condition</x:v>
      </x:c>
      <x:c r="F2220" s="35" t="n">
        <x:v>120</x:v>
      </x:c>
      <x:c r="G2220" s="35" t="str">
        <x:v>RECORDED</x:v>
      </x:c>
      <x:c r="H2220" s="39" t="n">
        <x:f>IF(ISNUMBER('Data'!N512),'Data'!N512*100,"")</x:f>
        <x:v>69.17</x:v>
      </x:c>
      <x:c r="I2220" s="35" t="str">
        <x:v>PASS</x:v>
      </x:c>
      <x:c r="J2220" s="35" t="str">
        <x:v>PASS</x:v>
      </x:c>
      <x:c r="K2220" s="35" t="str">
        <x:v>PASS</x:v>
      </x:c>
      <x:c r="L2220" s="35" t="str">
        <x:v>FAIL</x:v>
      </x:c>
      <x:c r="M2220" s="35" t="str">
        <x:v>numeric coverage for applicable metric</x:v>
      </x:c>
      <x:c r="N2220" s="35" t="str">
        <x:v>Deepseek-flash-v4/Result/Jsoup_11/result.json</x:v>
      </x:c>
      <x:c r="O2220" s="39" t="n">
        <x:f>IF(AND(G2220="RECORDED",ISNUMBER(H2220)),H2220,"")</x:f>
        <x:v>69.17</x:v>
      </x:c>
      <x:c r="P2220" s="35" t="str">
        <x:v>INCONCLUSIVE</x:v>
      </x:c>
      <x:c r="Q2220" s="35" t="str">
        <x:v>Deepseek-flash-v4/Result/Jsoup_11/result.json</x:v>
      </x:c>
    </x:row>
    <x:row r="2221">
      <x:c r="A2221" s="35" t="str">
        <x:v>deepseek</x:v>
      </x:c>
      <x:c r="B2221" s="35" t="str">
        <x:v>Jsoup</x:v>
      </x:c>
      <x:c r="C2221" s="35" t="str">
        <x:v>Round1</x:v>
      </x:c>
      <x:c r="D2221" s="35" t="str">
        <x:v>Jsoup_12</x:v>
      </x:c>
      <x:c r="E2221" s="35" t="str">
        <x:v>Condition</x:v>
      </x:c>
      <x:c r="F2221" s="35" t="n">
        <x:v>132</x:v>
      </x:c>
      <x:c r="G2221" s="35" t="str">
        <x:v>RECORDED</x:v>
      </x:c>
      <x:c r="H2221" s="39" t="n">
        <x:f>IF(ISNUMBER('Data'!N513),'Data'!N513*100,"")</x:f>
        <x:v>89.39</x:v>
      </x:c>
      <x:c r="I2221" s="35" t="str">
        <x:v>PASS</x:v>
      </x:c>
      <x:c r="J2221" s="35" t="str">
        <x:v>PASS</x:v>
      </x:c>
      <x:c r="K2221" s="35" t="str">
        <x:v>PASS</x:v>
      </x:c>
      <x:c r="L2221" s="35" t="str">
        <x:v>FAIL</x:v>
      </x:c>
      <x:c r="M2221" s="35" t="str">
        <x:v>numeric coverage for applicable metric</x:v>
      </x:c>
      <x:c r="N2221" s="35" t="str">
        <x:v>Deepseek-flash-v4/Result/Jsoup_12/result.json</x:v>
      </x:c>
      <x:c r="O2221" s="39" t="n">
        <x:f>IF(AND(G2221="RECORDED",ISNUMBER(H2221)),H2221,"")</x:f>
        <x:v>89.39</x:v>
      </x:c>
      <x:c r="P2221" s="35" t="str">
        <x:v>INCONCLUSIVE</x:v>
      </x:c>
      <x:c r="Q2221" s="35" t="str">
        <x:v>Deepseek-flash-v4/Result/Jsoup_12/result.json</x:v>
      </x:c>
    </x:row>
    <x:row r="2222">
      <x:c r="A2222" s="35" t="str">
        <x:v>deepseek</x:v>
      </x:c>
      <x:c r="B2222" s="35" t="str">
        <x:v>Jsoup</x:v>
      </x:c>
      <x:c r="C2222" s="35" t="str">
        <x:v>Round1</x:v>
      </x:c>
      <x:c r="D2222" s="35" t="str">
        <x:v>Jsoup_13</x:v>
      </x:c>
      <x:c r="E2222" s="35" t="str">
        <x:v>Condition</x:v>
      </x:c>
      <x:c r="F2222" s="35"/>
      <x:c r="G2222" s="35" t="str">
        <x:v>A</x:v>
      </x:c>
      <x:c r="H2222" s="39" t="str">
        <x:f>IF(ISNUMBER('Data'!N514),'Data'!N514*100,"")</x:f>
      </x:c>
      <x:c r="I2222" s="35"/>
      <x:c r="J2222" s="35" t="str">
        <x:v>PASS</x:v>
      </x:c>
      <x:c r="K2222" s="35" t="str">
        <x:v>FAIL</x:v>
      </x:c>
      <x:c r="L2222" s="35" t="str">
        <x:v>NOT_RUN</x:v>
      </x:c>
      <x:c r="M2222" s="35" t="str">
        <x:v>coverage unavailable or execution/compile failed</x:v>
      </x:c>
      <x:c r="N2222" s="35" t="str">
        <x:v>Deepseek-flash-v4/Result/Jsoup_13/result.json</x:v>
      </x:c>
      <x:c r="O2222" s="39" t="str">
        <x:f>IF(AND(G2222="RECORDED",ISNUMBER(H2222)),H2222,"")</x:f>
      </x:c>
      <x:c r="P2222" s="35" t="str">
        <x:v>NOT_AVAILABLE</x:v>
      </x:c>
      <x:c r="Q2222" s="35" t="str">
        <x:v>Deepseek-flash-v4/Result/Jsoup_13/result.json</x:v>
      </x:c>
    </x:row>
    <x:row r="2223">
      <x:c r="A2223" s="35" t="str">
        <x:v>deepseek</x:v>
      </x:c>
      <x:c r="B2223" s="35" t="str">
        <x:v>Jsoup</x:v>
      </x:c>
      <x:c r="C2223" s="35" t="str">
        <x:v>Round1</x:v>
      </x:c>
      <x:c r="D2223" s="35" t="str">
        <x:v>Jsoup_14</x:v>
      </x:c>
      <x:c r="E2223" s="35" t="str">
        <x:v>Condition</x:v>
      </x:c>
      <x:c r="F2223" s="35"/>
      <x:c r="G2223" s="35" t="str">
        <x:v>A</x:v>
      </x:c>
      <x:c r="H2223" s="39" t="str">
        <x:f>IF(ISNUMBER('Data'!N515),'Data'!N515*100,"")</x:f>
      </x:c>
      <x:c r="I2223" s="35"/>
      <x:c r="J2223" s="35" t="str">
        <x:v>PASS</x:v>
      </x:c>
      <x:c r="K2223" s="35" t="str">
        <x:v>FAIL</x:v>
      </x:c>
      <x:c r="L2223" s="35" t="str">
        <x:v>NOT_RUN</x:v>
      </x:c>
      <x:c r="M2223" s="35" t="str">
        <x:v>coverage unavailable or execution/compile failed</x:v>
      </x:c>
      <x:c r="N2223" s="35" t="str">
        <x:v>Deepseek-flash-v4/Result/Jsoup_14/result.json</x:v>
      </x:c>
      <x:c r="O2223" s="39" t="str">
        <x:f>IF(AND(G2223="RECORDED",ISNUMBER(H2223)),H2223,"")</x:f>
      </x:c>
      <x:c r="P2223" s="35" t="str">
        <x:v>NOT_AVAILABLE</x:v>
      </x:c>
      <x:c r="Q2223" s="35" t="str">
        <x:v>Deepseek-flash-v4/Result/Jsoup_14/result.json</x:v>
      </x:c>
    </x:row>
    <x:row r="2224">
      <x:c r="A2224" s="35" t="str">
        <x:v>deepseek</x:v>
      </x:c>
      <x:c r="B2224" s="35" t="str">
        <x:v>Jsoup</x:v>
      </x:c>
      <x:c r="C2224" s="35" t="str">
        <x:v>Round1</x:v>
      </x:c>
      <x:c r="D2224" s="35" t="str">
        <x:v>Jsoup_15</x:v>
      </x:c>
      <x:c r="E2224" s="35" t="str">
        <x:v>Condition</x:v>
      </x:c>
      <x:c r="F2224" s="35"/>
      <x:c r="G2224" s="35" t="str">
        <x:v>A</x:v>
      </x:c>
      <x:c r="H2224" s="39" t="str">
        <x:f>IF(ISNUMBER('Data'!N516),'Data'!N516*100,"")</x:f>
      </x:c>
      <x:c r="I2224" s="35"/>
      <x:c r="J2224" s="35" t="str">
        <x:v>PASS</x:v>
      </x:c>
      <x:c r="K2224" s="35" t="str">
        <x:v>FAIL</x:v>
      </x:c>
      <x:c r="L2224" s="35" t="str">
        <x:v>NOT_RUN</x:v>
      </x:c>
      <x:c r="M2224" s="35" t="str">
        <x:v>coverage unavailable or execution/compile failed</x:v>
      </x:c>
      <x:c r="N2224" s="35" t="str">
        <x:v>Deepseek-flash-v4/Result/Jsoup_15/result.json</x:v>
      </x:c>
      <x:c r="O2224" s="39" t="str">
        <x:f>IF(AND(G2224="RECORDED",ISNUMBER(H2224)),H2224,"")</x:f>
      </x:c>
      <x:c r="P2224" s="35" t="str">
        <x:v>NOT_AVAILABLE</x:v>
      </x:c>
      <x:c r="Q2224" s="35" t="str">
        <x:v>Deepseek-flash-v4/Result/Jsoup_15/result.json</x:v>
      </x:c>
    </x:row>
    <x:row r="2225">
      <x:c r="A2225" s="35" t="str">
        <x:v>deepseek</x:v>
      </x:c>
      <x:c r="B2225" s="35" t="str">
        <x:v>Jsoup</x:v>
      </x:c>
      <x:c r="C2225" s="35" t="str">
        <x:v>Round1</x:v>
      </x:c>
      <x:c r="D2225" s="35" t="str">
        <x:v>Jsoup_16</x:v>
      </x:c>
      <x:c r="E2225" s="35" t="str">
        <x:v>Condition</x:v>
      </x:c>
      <x:c r="F2225" s="35" t="n">
        <x:v>4</x:v>
      </x:c>
      <x:c r="G2225" s="35" t="str">
        <x:v>RECORDED</x:v>
      </x:c>
      <x:c r="H2225" s="39" t="n">
        <x:f>IF(ISNUMBER('Data'!N517),'Data'!N517*100,"")</x:f>
        <x:v>100</x:v>
      </x:c>
      <x:c r="I2225" s="35" t="str">
        <x:v>PASS</x:v>
      </x:c>
      <x:c r="J2225" s="35" t="str">
        <x:v>PASS</x:v>
      </x:c>
      <x:c r="K2225" s="35" t="str">
        <x:v>PASS</x:v>
      </x:c>
      <x:c r="L2225" s="35" t="str">
        <x:v>FAIL</x:v>
      </x:c>
      <x:c r="M2225" s="35" t="str">
        <x:v>numeric coverage for applicable metric</x:v>
      </x:c>
      <x:c r="N2225" s="35" t="str">
        <x:v>Deepseek-flash-v4/Result/Jsoup_16/result.json</x:v>
      </x:c>
      <x:c r="O2225" s="39" t="n">
        <x:f>IF(AND(G2225="RECORDED",ISNUMBER(H2225)),H2225,"")</x:f>
        <x:v>100</x:v>
      </x:c>
      <x:c r="P2225" s="35" t="str">
        <x:v>INCONCLUSIVE</x:v>
      </x:c>
      <x:c r="Q2225" s="35" t="str">
        <x:v>Deepseek-flash-v4/Result/Jsoup_16/result.json</x:v>
      </x:c>
    </x:row>
    <x:row r="2226">
      <x:c r="A2226" s="35" t="str">
        <x:v>deepseek</x:v>
      </x:c>
      <x:c r="B2226" s="35" t="str">
        <x:v>Jsoup</x:v>
      </x:c>
      <x:c r="C2226" s="35" t="str">
        <x:v>Round1</x:v>
      </x:c>
      <x:c r="D2226" s="35" t="str">
        <x:v>Jsoup_17</x:v>
      </x:c>
      <x:c r="E2226" s="35" t="str">
        <x:v>Condition</x:v>
      </x:c>
      <x:c r="F2226" s="35"/>
      <x:c r="G2226" s="35" t="str">
        <x:v>A</x:v>
      </x:c>
      <x:c r="H2226" s="39" t="str">
        <x:f>IF(ISNUMBER('Data'!N518),'Data'!N518*100,"")</x:f>
      </x:c>
      <x:c r="I2226" s="35"/>
      <x:c r="J2226" s="35" t="str">
        <x:v>PASS</x:v>
      </x:c>
      <x:c r="K2226" s="35" t="str">
        <x:v>FAIL</x:v>
      </x:c>
      <x:c r="L2226" s="35" t="str">
        <x:v>NOT_RUN</x:v>
      </x:c>
      <x:c r="M2226" s="35" t="str">
        <x:v>coverage unavailable or execution/compile failed</x:v>
      </x:c>
      <x:c r="N2226" s="35" t="str">
        <x:v>Deepseek-flash-v4/Result/Jsoup_17/result.json</x:v>
      </x:c>
      <x:c r="O2226" s="39" t="str">
        <x:f>IF(AND(G2226="RECORDED",ISNUMBER(H2226)),H2226,"")</x:f>
      </x:c>
      <x:c r="P2226" s="35" t="str">
        <x:v>NOT_AVAILABLE</x:v>
      </x:c>
      <x:c r="Q2226" s="35" t="str">
        <x:v>Deepseek-flash-v4/Result/Jsoup_17/result.json</x:v>
      </x:c>
    </x:row>
    <x:row r="2227">
      <x:c r="A2227" s="35" t="str">
        <x:v>deepseek</x:v>
      </x:c>
      <x:c r="B2227" s="35" t="str">
        <x:v>Jsoup</x:v>
      </x:c>
      <x:c r="C2227" s="35" t="str">
        <x:v>Round1</x:v>
      </x:c>
      <x:c r="D2227" s="35" t="str">
        <x:v>Jsoup_18</x:v>
      </x:c>
      <x:c r="E2227" s="35" t="str">
        <x:v>Condition</x:v>
      </x:c>
      <x:c r="F2227" s="35" t="n">
        <x:v>82</x:v>
      </x:c>
      <x:c r="G2227" s="35" t="str">
        <x:v>RECORDED</x:v>
      </x:c>
      <x:c r="H2227" s="39" t="n">
        <x:f>IF(ISNUMBER('Data'!N519),'Data'!N519*100,"")</x:f>
        <x:v>82.93</x:v>
      </x:c>
      <x:c r="I2227" s="35" t="str">
        <x:v>PASS</x:v>
      </x:c>
      <x:c r="J2227" s="35" t="str">
        <x:v>PASS</x:v>
      </x:c>
      <x:c r="K2227" s="35" t="str">
        <x:v>PASS</x:v>
      </x:c>
      <x:c r="L2227" s="35" t="str">
        <x:v>FAIL</x:v>
      </x:c>
      <x:c r="M2227" s="35" t="str">
        <x:v>numeric coverage for applicable metric</x:v>
      </x:c>
      <x:c r="N2227" s="35" t="str">
        <x:v>Deepseek-flash-v4/Result/Jsoup_18/result.json</x:v>
      </x:c>
      <x:c r="O2227" s="39" t="n">
        <x:f>IF(AND(G2227="RECORDED",ISNUMBER(H2227)),H2227,"")</x:f>
        <x:v>82.93</x:v>
      </x:c>
      <x:c r="P2227" s="35" t="str">
        <x:v>INCONCLUSIVE</x:v>
      </x:c>
      <x:c r="Q2227" s="35" t="str">
        <x:v>Deepseek-flash-v4/Result/Jsoup_18/result.json</x:v>
      </x:c>
    </x:row>
    <x:row r="2228">
      <x:c r="A2228" s="35" t="str">
        <x:v>deepseek</x:v>
      </x:c>
      <x:c r="B2228" s="35" t="str">
        <x:v>Jsoup</x:v>
      </x:c>
      <x:c r="C2228" s="35" t="str">
        <x:v>Round1</x:v>
      </x:c>
      <x:c r="D2228" s="35" t="str">
        <x:v>Jsoup_19</x:v>
      </x:c>
      <x:c r="E2228" s="35" t="str">
        <x:v>Condition</x:v>
      </x:c>
      <x:c r="F2228" s="35"/>
      <x:c r="G2228" s="35" t="str">
        <x:v>A</x:v>
      </x:c>
      <x:c r="H2228" s="39" t="str">
        <x:f>IF(ISNUMBER('Data'!N520),'Data'!N520*100,"")</x:f>
      </x:c>
      <x:c r="I2228" s="35"/>
      <x:c r="J2228" s="35" t="str">
        <x:v>PASS</x:v>
      </x:c>
      <x:c r="K2228" s="35" t="str">
        <x:v>FAIL</x:v>
      </x:c>
      <x:c r="L2228" s="35" t="str">
        <x:v>NOT_RUN</x:v>
      </x:c>
      <x:c r="M2228" s="35" t="str">
        <x:v>coverage unavailable or execution/compile failed</x:v>
      </x:c>
      <x:c r="N2228" s="35" t="str">
        <x:v>Deepseek-flash-v4/Result/Jsoup_19/result.json</x:v>
      </x:c>
      <x:c r="O2228" s="39" t="str">
        <x:f>IF(AND(G2228="RECORDED",ISNUMBER(H2228)),H2228,"")</x:f>
      </x:c>
      <x:c r="P2228" s="35" t="str">
        <x:v>NOT_AVAILABLE</x:v>
      </x:c>
      <x:c r="Q2228" s="35" t="str">
        <x:v>Deepseek-flash-v4/Result/Jsoup_19/result.json</x:v>
      </x:c>
    </x:row>
    <x:row r="2229">
      <x:c r="A2229" s="35" t="str">
        <x:v>deepseek</x:v>
      </x:c>
      <x:c r="B2229" s="35" t="str">
        <x:v>Jsoup</x:v>
      </x:c>
      <x:c r="C2229" s="35" t="str">
        <x:v>Round1</x:v>
      </x:c>
      <x:c r="D2229" s="35" t="str">
        <x:v>Jsoup_2</x:v>
      </x:c>
      <x:c r="E2229" s="35" t="str">
        <x:v>Condition</x:v>
      </x:c>
      <x:c r="F2229" s="35"/>
      <x:c r="G2229" s="35" t="str">
        <x:v>A</x:v>
      </x:c>
      <x:c r="H2229" s="39" t="str">
        <x:f>IF(ISNUMBER('Data'!N521),'Data'!N521*100,"")</x:f>
      </x:c>
      <x:c r="I2229" s="35"/>
      <x:c r="J2229" s="35" t="str">
        <x:v>PASS</x:v>
      </x:c>
      <x:c r="K2229" s="35" t="str">
        <x:v>FAIL</x:v>
      </x:c>
      <x:c r="L2229" s="35" t="str">
        <x:v>NOT_RUN</x:v>
      </x:c>
      <x:c r="M2229" s="35" t="str">
        <x:v>coverage unavailable or execution/compile failed</x:v>
      </x:c>
      <x:c r="N2229" s="35" t="str">
        <x:v>Deepseek-flash-v4/Result/Jsoup_2/result.json</x:v>
      </x:c>
      <x:c r="O2229" s="39" t="str">
        <x:f>IF(AND(G2229="RECORDED",ISNUMBER(H2229)),H2229,"")</x:f>
      </x:c>
      <x:c r="P2229" s="35" t="str">
        <x:v>NOT_AVAILABLE</x:v>
      </x:c>
      <x:c r="Q2229" s="35" t="str">
        <x:v>Deepseek-flash-v4/Result/Jsoup_2/result.json</x:v>
      </x:c>
    </x:row>
    <x:row r="2230">
      <x:c r="A2230" s="35" t="str">
        <x:v>deepseek</x:v>
      </x:c>
      <x:c r="B2230" s="35" t="str">
        <x:v>Jsoup</x:v>
      </x:c>
      <x:c r="C2230" s="35" t="str">
        <x:v>Round1</x:v>
      </x:c>
      <x:c r="D2230" s="35" t="str">
        <x:v>Jsoup_20</x:v>
      </x:c>
      <x:c r="E2230" s="35" t="str">
        <x:v>Condition</x:v>
      </x:c>
      <x:c r="F2230" s="35" t="n">
        <x:v>22</x:v>
      </x:c>
      <x:c r="G2230" s="35" t="str">
        <x:v>RECORDED</x:v>
      </x:c>
      <x:c r="H2230" s="39" t="n">
        <x:f>IF(ISNUMBER('Data'!N522),'Data'!N522*100,"")</x:f>
        <x:v>86.36</x:v>
      </x:c>
      <x:c r="I2230" s="35" t="str">
        <x:v>PASS</x:v>
      </x:c>
      <x:c r="J2230" s="35" t="str">
        <x:v>PASS</x:v>
      </x:c>
      <x:c r="K2230" s="35" t="str">
        <x:v>PASS</x:v>
      </x:c>
      <x:c r="L2230" s="35" t="str">
        <x:v>FAIL</x:v>
      </x:c>
      <x:c r="M2230" s="35" t="str">
        <x:v>numeric coverage for applicable metric</x:v>
      </x:c>
      <x:c r="N2230" s="35" t="str">
        <x:v>Deepseek-flash-v4/Result/Jsoup_20/result.json</x:v>
      </x:c>
      <x:c r="O2230" s="39" t="n">
        <x:f>IF(AND(G2230="RECORDED",ISNUMBER(H2230)),H2230,"")</x:f>
        <x:v>86.36</x:v>
      </x:c>
      <x:c r="P2230" s="35" t="str">
        <x:v>INCONCLUSIVE</x:v>
      </x:c>
      <x:c r="Q2230" s="35" t="str">
        <x:v>Deepseek-flash-v4/Result/Jsoup_20/result.json</x:v>
      </x:c>
    </x:row>
    <x:row r="2231">
      <x:c r="A2231" s="35" t="str">
        <x:v>deepseek</x:v>
      </x:c>
      <x:c r="B2231" s="35" t="str">
        <x:v>Jsoup</x:v>
      </x:c>
      <x:c r="C2231" s="35" t="str">
        <x:v>Round1</x:v>
      </x:c>
      <x:c r="D2231" s="35" t="str">
        <x:v>Jsoup_21</x:v>
      </x:c>
      <x:c r="E2231" s="35" t="str">
        <x:v>Condition</x:v>
      </x:c>
      <x:c r="F2231" s="35"/>
      <x:c r="G2231" s="35" t="str">
        <x:v>A</x:v>
      </x:c>
      <x:c r="H2231" s="39" t="str">
        <x:f>IF(ISNUMBER('Data'!N523),'Data'!N523*100,"")</x:f>
      </x:c>
      <x:c r="I2231" s="35"/>
      <x:c r="J2231" s="35" t="str">
        <x:v>PASS</x:v>
      </x:c>
      <x:c r="K2231" s="35" t="str">
        <x:v>FAIL</x:v>
      </x:c>
      <x:c r="L2231" s="35" t="str">
        <x:v>NOT_RUN</x:v>
      </x:c>
      <x:c r="M2231" s="35" t="str">
        <x:v>coverage unavailable or execution/compile failed</x:v>
      </x:c>
      <x:c r="N2231" s="35" t="str">
        <x:v>Deepseek-flash-v4/Result/Jsoup_21/result.json</x:v>
      </x:c>
      <x:c r="O2231" s="39" t="str">
        <x:f>IF(AND(G2231="RECORDED",ISNUMBER(H2231)),H2231,"")</x:f>
      </x:c>
      <x:c r="P2231" s="35" t="str">
        <x:v>NOT_AVAILABLE</x:v>
      </x:c>
      <x:c r="Q2231" s="35" t="str">
        <x:v>Deepseek-flash-v4/Result/Jsoup_21/result.json</x:v>
      </x:c>
    </x:row>
    <x:row r="2232">
      <x:c r="A2232" s="35" t="str">
        <x:v>deepseek</x:v>
      </x:c>
      <x:c r="B2232" s="35" t="str">
        <x:v>Jsoup</x:v>
      </x:c>
      <x:c r="C2232" s="35" t="str">
        <x:v>Round1</x:v>
      </x:c>
      <x:c r="D2232" s="35" t="str">
        <x:v>Jsoup_22</x:v>
      </x:c>
      <x:c r="E2232" s="35" t="str">
        <x:v>Condition</x:v>
      </x:c>
      <x:c r="F2232" s="35"/>
      <x:c r="G2232" s="35" t="str">
        <x:v>A</x:v>
      </x:c>
      <x:c r="H2232" s="39" t="str">
        <x:f>IF(ISNUMBER('Data'!N524),'Data'!N524*100,"")</x:f>
      </x:c>
      <x:c r="I2232" s="35"/>
      <x:c r="J2232" s="35" t="str">
        <x:v>PASS</x:v>
      </x:c>
      <x:c r="K2232" s="35" t="str">
        <x:v>FAIL</x:v>
      </x:c>
      <x:c r="L2232" s="35" t="str">
        <x:v>NOT_RUN</x:v>
      </x:c>
      <x:c r="M2232" s="35" t="str">
        <x:v>coverage unavailable or execution/compile failed</x:v>
      </x:c>
      <x:c r="N2232" s="35" t="str">
        <x:v>Deepseek-flash-v4/Result/Jsoup_22/result.json</x:v>
      </x:c>
      <x:c r="O2232" s="39" t="str">
        <x:f>IF(AND(G2232="RECORDED",ISNUMBER(H2232)),H2232,"")</x:f>
      </x:c>
      <x:c r="P2232" s="35" t="str">
        <x:v>NOT_AVAILABLE</x:v>
      </x:c>
      <x:c r="Q2232" s="35" t="str">
        <x:v>Deepseek-flash-v4/Result/Jsoup_22/result.json</x:v>
      </x:c>
    </x:row>
    <x:row r="2233">
      <x:c r="A2233" s="35" t="str">
        <x:v>deepseek</x:v>
      </x:c>
      <x:c r="B2233" s="35" t="str">
        <x:v>Jsoup</x:v>
      </x:c>
      <x:c r="C2233" s="35" t="str">
        <x:v>Round1</x:v>
      </x:c>
      <x:c r="D2233" s="35" t="str">
        <x:v>Jsoup_23</x:v>
      </x:c>
      <x:c r="E2233" s="35" t="str">
        <x:v>Condition</x:v>
      </x:c>
      <x:c r="F2233" s="35"/>
      <x:c r="G2233" s="35" t="str">
        <x:v>A</x:v>
      </x:c>
      <x:c r="H2233" s="39" t="str">
        <x:f>IF(ISNUMBER('Data'!N525),'Data'!N525*100,"")</x:f>
      </x:c>
      <x:c r="I2233" s="35"/>
      <x:c r="J2233" s="35" t="str">
        <x:v>PASS</x:v>
      </x:c>
      <x:c r="K2233" s="35" t="str">
        <x:v>FAIL</x:v>
      </x:c>
      <x:c r="L2233" s="35" t="str">
        <x:v>NOT_RUN</x:v>
      </x:c>
      <x:c r="M2233" s="35" t="str">
        <x:v>coverage unavailable or execution/compile failed</x:v>
      </x:c>
      <x:c r="N2233" s="35" t="str">
        <x:v>Deepseek-flash-v4/Result/Jsoup_23/result.json</x:v>
      </x:c>
      <x:c r="O2233" s="39" t="str">
        <x:f>IF(AND(G2233="RECORDED",ISNUMBER(H2233)),H2233,"")</x:f>
      </x:c>
      <x:c r="P2233" s="35" t="str">
        <x:v>NOT_AVAILABLE</x:v>
      </x:c>
      <x:c r="Q2233" s="35" t="str">
        <x:v>Deepseek-flash-v4/Result/Jsoup_23/result.json</x:v>
      </x:c>
    </x:row>
    <x:row r="2234">
      <x:c r="A2234" s="35" t="str">
        <x:v>deepseek</x:v>
      </x:c>
      <x:c r="B2234" s="35" t="str">
        <x:v>Jsoup</x:v>
      </x:c>
      <x:c r="C2234" s="35" t="str">
        <x:v>Round1</x:v>
      </x:c>
      <x:c r="D2234" s="35" t="str">
        <x:v>Jsoup_24</x:v>
      </x:c>
      <x:c r="E2234" s="35" t="str">
        <x:v>Condition</x:v>
      </x:c>
      <x:c r="F2234" s="35"/>
      <x:c r="G2234" s="35" t="str">
        <x:v>A</x:v>
      </x:c>
      <x:c r="H2234" s="39" t="str">
        <x:f>IF(ISNUMBER('Data'!N526),'Data'!N526*100,"")</x:f>
      </x:c>
      <x:c r="I2234" s="35"/>
      <x:c r="J2234" s="35" t="str">
        <x:v>PASS</x:v>
      </x:c>
      <x:c r="K2234" s="35" t="str">
        <x:v>FAIL</x:v>
      </x:c>
      <x:c r="L2234" s="35" t="str">
        <x:v>NOT_RUN</x:v>
      </x:c>
      <x:c r="M2234" s="35" t="str">
        <x:v>coverage unavailable or execution/compile failed</x:v>
      </x:c>
      <x:c r="N2234" s="35" t="str">
        <x:v>Deepseek-flash-v4/Result/Jsoup_24/result.json</x:v>
      </x:c>
      <x:c r="O2234" s="39" t="str">
        <x:f>IF(AND(G2234="RECORDED",ISNUMBER(H2234)),H2234,"")</x:f>
      </x:c>
      <x:c r="P2234" s="35" t="str">
        <x:v>NOT_AVAILABLE</x:v>
      </x:c>
      <x:c r="Q2234" s="35" t="str">
        <x:v>Deepseek-flash-v4/Result/Jsoup_24/result.json</x:v>
      </x:c>
    </x:row>
    <x:row r="2235">
      <x:c r="A2235" s="35" t="str">
        <x:v>deepseek</x:v>
      </x:c>
      <x:c r="B2235" s="35" t="str">
        <x:v>Jsoup</x:v>
      </x:c>
      <x:c r="C2235" s="35" t="str">
        <x:v>Round1</x:v>
      </x:c>
      <x:c r="D2235" s="35" t="str">
        <x:v>Jsoup_25</x:v>
      </x:c>
      <x:c r="E2235" s="35" t="str">
        <x:v>Condition</x:v>
      </x:c>
      <x:c r="F2235" s="35"/>
      <x:c r="G2235" s="35" t="str">
        <x:v>A</x:v>
      </x:c>
      <x:c r="H2235" s="39" t="str">
        <x:f>IF(ISNUMBER('Data'!N527),'Data'!N527*100,"")</x:f>
      </x:c>
      <x:c r="I2235" s="35"/>
      <x:c r="J2235" s="35" t="str">
        <x:v>PASS</x:v>
      </x:c>
      <x:c r="K2235" s="35" t="str">
        <x:v>FAIL</x:v>
      </x:c>
      <x:c r="L2235" s="35" t="str">
        <x:v>NOT_RUN</x:v>
      </x:c>
      <x:c r="M2235" s="35" t="str">
        <x:v>coverage unavailable or execution/compile failed</x:v>
      </x:c>
      <x:c r="N2235" s="35" t="str">
        <x:v>Deepseek-flash-v4/Result/Jsoup_25/result.json</x:v>
      </x:c>
      <x:c r="O2235" s="39" t="str">
        <x:f>IF(AND(G2235="RECORDED",ISNUMBER(H2235)),H2235,"")</x:f>
      </x:c>
      <x:c r="P2235" s="35" t="str">
        <x:v>NOT_AVAILABLE</x:v>
      </x:c>
      <x:c r="Q2235" s="35" t="str">
        <x:v>Deepseek-flash-v4/Result/Jsoup_25/result.json</x:v>
      </x:c>
    </x:row>
    <x:row r="2236">
      <x:c r="A2236" s="35" t="str">
        <x:v>deepseek</x:v>
      </x:c>
      <x:c r="B2236" s="35" t="str">
        <x:v>Jsoup</x:v>
      </x:c>
      <x:c r="C2236" s="35" t="str">
        <x:v>Round1</x:v>
      </x:c>
      <x:c r="D2236" s="35" t="str">
        <x:v>Jsoup_26</x:v>
      </x:c>
      <x:c r="E2236" s="35" t="str">
        <x:v>Condition</x:v>
      </x:c>
      <x:c r="F2236" s="35"/>
      <x:c r="G2236" s="35" t="str">
        <x:v>A</x:v>
      </x:c>
      <x:c r="H2236" s="39" t="str">
        <x:f>IF(ISNUMBER('Data'!N528),'Data'!N528*100,"")</x:f>
      </x:c>
      <x:c r="I2236" s="35"/>
      <x:c r="J2236" s="35" t="str">
        <x:v>PASS</x:v>
      </x:c>
      <x:c r="K2236" s="35" t="str">
        <x:v>FAIL</x:v>
      </x:c>
      <x:c r="L2236" s="35" t="str">
        <x:v>NOT_RUN</x:v>
      </x:c>
      <x:c r="M2236" s="35" t="str">
        <x:v>coverage unavailable or execution/compile failed</x:v>
      </x:c>
      <x:c r="N2236" s="35" t="str">
        <x:v>Deepseek-flash-v4/Result/Jsoup_26/result.json</x:v>
      </x:c>
      <x:c r="O2236" s="39" t="str">
        <x:f>IF(AND(G2236="RECORDED",ISNUMBER(H2236)),H2236,"")</x:f>
      </x:c>
      <x:c r="P2236" s="35" t="str">
        <x:v>NOT_AVAILABLE</x:v>
      </x:c>
      <x:c r="Q2236" s="35" t="str">
        <x:v>Deepseek-flash-v4/Result/Jsoup_26/result.json</x:v>
      </x:c>
    </x:row>
    <x:row r="2237">
      <x:c r="A2237" s="35" t="str">
        <x:v>deepseek</x:v>
      </x:c>
      <x:c r="B2237" s="35" t="str">
        <x:v>Jsoup</x:v>
      </x:c>
      <x:c r="C2237" s="35" t="str">
        <x:v>Round1</x:v>
      </x:c>
      <x:c r="D2237" s="35" t="str">
        <x:v>Jsoup_27</x:v>
      </x:c>
      <x:c r="E2237" s="35" t="str">
        <x:v>Condition</x:v>
      </x:c>
      <x:c r="F2237" s="35"/>
      <x:c r="G2237" s="35" t="str">
        <x:v>A</x:v>
      </x:c>
      <x:c r="H2237" s="39" t="str">
        <x:f>IF(ISNUMBER('Data'!N529),'Data'!N529*100,"")</x:f>
      </x:c>
      <x:c r="I2237" s="35"/>
      <x:c r="J2237" s="35" t="str">
        <x:v>PASS</x:v>
      </x:c>
      <x:c r="K2237" s="35" t="str">
        <x:v>FAIL</x:v>
      </x:c>
      <x:c r="L2237" s="35" t="str">
        <x:v>NOT_RUN</x:v>
      </x:c>
      <x:c r="M2237" s="35" t="str">
        <x:v>coverage unavailable or execution/compile failed</x:v>
      </x:c>
      <x:c r="N2237" s="35" t="str">
        <x:v>Deepseek-flash-v4/Result/Jsoup_27/result.json</x:v>
      </x:c>
      <x:c r="O2237" s="39" t="str">
        <x:f>IF(AND(G2237="RECORDED",ISNUMBER(H2237)),H2237,"")</x:f>
      </x:c>
      <x:c r="P2237" s="35" t="str">
        <x:v>NOT_AVAILABLE</x:v>
      </x:c>
      <x:c r="Q2237" s="35" t="str">
        <x:v>Deepseek-flash-v4/Result/Jsoup_27/result.json</x:v>
      </x:c>
    </x:row>
    <x:row r="2238">
      <x:c r="A2238" s="35" t="str">
        <x:v>deepseek</x:v>
      </x:c>
      <x:c r="B2238" s="35" t="str">
        <x:v>Jsoup</x:v>
      </x:c>
      <x:c r="C2238" s="35" t="str">
        <x:v>Round1</x:v>
      </x:c>
      <x:c r="D2238" s="35" t="str">
        <x:v>Jsoup_28</x:v>
      </x:c>
      <x:c r="E2238" s="35" t="str">
        <x:v>Condition</x:v>
      </x:c>
      <x:c r="F2238" s="35"/>
      <x:c r="G2238" s="35" t="str">
        <x:v>A</x:v>
      </x:c>
      <x:c r="H2238" s="39" t="str">
        <x:f>IF(ISNUMBER('Data'!N530),'Data'!N530*100,"")</x:f>
      </x:c>
      <x:c r="I2238" s="35"/>
      <x:c r="J2238" s="35" t="str">
        <x:v>PASS</x:v>
      </x:c>
      <x:c r="K2238" s="35" t="str">
        <x:v>FAIL</x:v>
      </x:c>
      <x:c r="L2238" s="35" t="str">
        <x:v>NOT_RUN</x:v>
      </x:c>
      <x:c r="M2238" s="35" t="str">
        <x:v>coverage unavailable or execution/compile failed</x:v>
      </x:c>
      <x:c r="N2238" s="35" t="str">
        <x:v>Deepseek-flash-v4/Result/Jsoup_28/result.json</x:v>
      </x:c>
      <x:c r="O2238" s="39" t="str">
        <x:f>IF(AND(G2238="RECORDED",ISNUMBER(H2238)),H2238,"")</x:f>
      </x:c>
      <x:c r="P2238" s="35" t="str">
        <x:v>NOT_AVAILABLE</x:v>
      </x:c>
      <x:c r="Q2238" s="35" t="str">
        <x:v>Deepseek-flash-v4/Result/Jsoup_28/result.json</x:v>
      </x:c>
    </x:row>
    <x:row r="2239">
      <x:c r="A2239" s="35" t="str">
        <x:v>deepseek</x:v>
      </x:c>
      <x:c r="B2239" s="35" t="str">
        <x:v>Jsoup</x:v>
      </x:c>
      <x:c r="C2239" s="35" t="str">
        <x:v>Round1</x:v>
      </x:c>
      <x:c r="D2239" s="35" t="str">
        <x:v>Jsoup_29</x:v>
      </x:c>
      <x:c r="E2239" s="35" t="str">
        <x:v>Condition</x:v>
      </x:c>
      <x:c r="F2239" s="35"/>
      <x:c r="G2239" s="35" t="str">
        <x:v>A</x:v>
      </x:c>
      <x:c r="H2239" s="39" t="str">
        <x:f>IF(ISNUMBER('Data'!N531),'Data'!N531*100,"")</x:f>
      </x:c>
      <x:c r="I2239" s="35"/>
      <x:c r="J2239" s="35" t="str">
        <x:v>PASS</x:v>
      </x:c>
      <x:c r="K2239" s="35" t="str">
        <x:v>FAIL</x:v>
      </x:c>
      <x:c r="L2239" s="35" t="str">
        <x:v>NOT_RUN</x:v>
      </x:c>
      <x:c r="M2239" s="35" t="str">
        <x:v>coverage unavailable or execution/compile failed</x:v>
      </x:c>
      <x:c r="N2239" s="35" t="str">
        <x:v>Deepseek-flash-v4/Result/Jsoup_29/result.json</x:v>
      </x:c>
      <x:c r="O2239" s="39" t="str">
        <x:f>IF(AND(G2239="RECORDED",ISNUMBER(H2239)),H2239,"")</x:f>
      </x:c>
      <x:c r="P2239" s="35" t="str">
        <x:v>NOT_AVAILABLE</x:v>
      </x:c>
      <x:c r="Q2239" s="35" t="str">
        <x:v>Deepseek-flash-v4/Result/Jsoup_29/result.json</x:v>
      </x:c>
    </x:row>
    <x:row r="2240">
      <x:c r="A2240" s="35" t="str">
        <x:v>deepseek</x:v>
      </x:c>
      <x:c r="B2240" s="35" t="str">
        <x:v>Jsoup</x:v>
      </x:c>
      <x:c r="C2240" s="35" t="str">
        <x:v>Round1</x:v>
      </x:c>
      <x:c r="D2240" s="35" t="str">
        <x:v>Jsoup_3</x:v>
      </x:c>
      <x:c r="E2240" s="35" t="str">
        <x:v>Condition</x:v>
      </x:c>
      <x:c r="F2240" s="35"/>
      <x:c r="G2240" s="35" t="str">
        <x:v>A</x:v>
      </x:c>
      <x:c r="H2240" s="39" t="str">
        <x:f>IF(ISNUMBER('Data'!N532),'Data'!N532*100,"")</x:f>
      </x:c>
      <x:c r="I2240" s="35"/>
      <x:c r="J2240" s="35" t="str">
        <x:v>PASS</x:v>
      </x:c>
      <x:c r="K2240" s="35" t="str">
        <x:v>FAIL</x:v>
      </x:c>
      <x:c r="L2240" s="35" t="str">
        <x:v>NOT_RUN</x:v>
      </x:c>
      <x:c r="M2240" s="35" t="str">
        <x:v>coverage unavailable or execution/compile failed</x:v>
      </x:c>
      <x:c r="N2240" s="35" t="str">
        <x:v>Deepseek-flash-v4/Result/Jsoup_3/result.json</x:v>
      </x:c>
      <x:c r="O2240" s="39" t="str">
        <x:f>IF(AND(G2240="RECORDED",ISNUMBER(H2240)),H2240,"")</x:f>
      </x:c>
      <x:c r="P2240" s="35" t="str">
        <x:v>NOT_AVAILABLE</x:v>
      </x:c>
      <x:c r="Q2240" s="35" t="str">
        <x:v>Deepseek-flash-v4/Result/Jsoup_3/result.json</x:v>
      </x:c>
    </x:row>
    <x:row r="2241">
      <x:c r="A2241" s="35" t="str">
        <x:v>deepseek</x:v>
      </x:c>
      <x:c r="B2241" s="35" t="str">
        <x:v>Jsoup</x:v>
      </x:c>
      <x:c r="C2241" s="35" t="str">
        <x:v>Round1</x:v>
      </x:c>
      <x:c r="D2241" s="35" t="str">
        <x:v>Jsoup_30</x:v>
      </x:c>
      <x:c r="E2241" s="35" t="str">
        <x:v>Condition</x:v>
      </x:c>
      <x:c r="F2241" s="35"/>
      <x:c r="G2241" s="35" t="str">
        <x:v>A</x:v>
      </x:c>
      <x:c r="H2241" s="39" t="str">
        <x:f>IF(ISNUMBER('Data'!N533),'Data'!N533*100,"")</x:f>
      </x:c>
      <x:c r="I2241" s="35"/>
      <x:c r="J2241" s="35" t="str">
        <x:v>PASS</x:v>
      </x:c>
      <x:c r="K2241" s="35" t="str">
        <x:v>FAIL</x:v>
      </x:c>
      <x:c r="L2241" s="35" t="str">
        <x:v>NOT_RUN</x:v>
      </x:c>
      <x:c r="M2241" s="35" t="str">
        <x:v>coverage unavailable or execution/compile failed</x:v>
      </x:c>
      <x:c r="N2241" s="35" t="str">
        <x:v>Deepseek-flash-v4/Result/Jsoup_30/result.json</x:v>
      </x:c>
      <x:c r="O2241" s="39" t="str">
        <x:f>IF(AND(G2241="RECORDED",ISNUMBER(H2241)),H2241,"")</x:f>
      </x:c>
      <x:c r="P2241" s="35" t="str">
        <x:v>NOT_AVAILABLE</x:v>
      </x:c>
      <x:c r="Q2241" s="35" t="str">
        <x:v>Deepseek-flash-v4/Result/Jsoup_30/result.json</x:v>
      </x:c>
    </x:row>
    <x:row r="2242">
      <x:c r="A2242" s="35" t="str">
        <x:v>deepseek</x:v>
      </x:c>
      <x:c r="B2242" s="35" t="str">
        <x:v>Jsoup</x:v>
      </x:c>
      <x:c r="C2242" s="35" t="str">
        <x:v>Round1</x:v>
      </x:c>
      <x:c r="D2242" s="35" t="str">
        <x:v>Jsoup_31</x:v>
      </x:c>
      <x:c r="E2242" s="35" t="str">
        <x:v>Condition</x:v>
      </x:c>
      <x:c r="F2242" s="35"/>
      <x:c r="G2242" s="35" t="str">
        <x:v>A</x:v>
      </x:c>
      <x:c r="H2242" s="39" t="str">
        <x:f>IF(ISNUMBER('Data'!N534),'Data'!N534*100,"")</x:f>
      </x:c>
      <x:c r="I2242" s="35"/>
      <x:c r="J2242" s="35" t="str">
        <x:v>PASS</x:v>
      </x:c>
      <x:c r="K2242" s="35" t="str">
        <x:v>FAIL</x:v>
      </x:c>
      <x:c r="L2242" s="35" t="str">
        <x:v>NOT_RUN</x:v>
      </x:c>
      <x:c r="M2242" s="35" t="str">
        <x:v>coverage unavailable or execution/compile failed</x:v>
      </x:c>
      <x:c r="N2242" s="35" t="str">
        <x:v>Deepseek-flash-v4/Result/Jsoup_31/result.json</x:v>
      </x:c>
      <x:c r="O2242" s="39" t="str">
        <x:f>IF(AND(G2242="RECORDED",ISNUMBER(H2242)),H2242,"")</x:f>
      </x:c>
      <x:c r="P2242" s="35" t="str">
        <x:v>NOT_AVAILABLE</x:v>
      </x:c>
      <x:c r="Q2242" s="35" t="str">
        <x:v>Deepseek-flash-v4/Result/Jsoup_31/result.json</x:v>
      </x:c>
    </x:row>
    <x:row r="2243">
      <x:c r="A2243" s="35" t="str">
        <x:v>deepseek</x:v>
      </x:c>
      <x:c r="B2243" s="35" t="str">
        <x:v>Jsoup</x:v>
      </x:c>
      <x:c r="C2243" s="35" t="str">
        <x:v>Round1</x:v>
      </x:c>
      <x:c r="D2243" s="35" t="str">
        <x:v>Jsoup_32</x:v>
      </x:c>
      <x:c r="E2243" s="35" t="str">
        <x:v>Condition</x:v>
      </x:c>
      <x:c r="F2243" s="35"/>
      <x:c r="G2243" s="35" t="str">
        <x:v>A</x:v>
      </x:c>
      <x:c r="H2243" s="39" t="str">
        <x:f>IF(ISNUMBER('Data'!N535),'Data'!N535*100,"")</x:f>
      </x:c>
      <x:c r="I2243" s="35"/>
      <x:c r="J2243" s="35" t="str">
        <x:v>PASS</x:v>
      </x:c>
      <x:c r="K2243" s="35" t="str">
        <x:v>FAIL</x:v>
      </x:c>
      <x:c r="L2243" s="35" t="str">
        <x:v>NOT_RUN</x:v>
      </x:c>
      <x:c r="M2243" s="35" t="str">
        <x:v>coverage unavailable or execution/compile failed</x:v>
      </x:c>
      <x:c r="N2243" s="35" t="str">
        <x:v>Deepseek-flash-v4/Result/Jsoup_32/result.json</x:v>
      </x:c>
      <x:c r="O2243" s="39" t="str">
        <x:f>IF(AND(G2243="RECORDED",ISNUMBER(H2243)),H2243,"")</x:f>
      </x:c>
      <x:c r="P2243" s="35" t="str">
        <x:v>NOT_AVAILABLE</x:v>
      </x:c>
      <x:c r="Q2243" s="35" t="str">
        <x:v>Deepseek-flash-v4/Result/Jsoup_32/result.json</x:v>
      </x:c>
    </x:row>
    <x:row r="2244">
      <x:c r="A2244" s="35" t="str">
        <x:v>deepseek</x:v>
      </x:c>
      <x:c r="B2244" s="35" t="str">
        <x:v>Jsoup</x:v>
      </x:c>
      <x:c r="C2244" s="35" t="str">
        <x:v>Round1</x:v>
      </x:c>
      <x:c r="D2244" s="35" t="str">
        <x:v>Jsoup_33</x:v>
      </x:c>
      <x:c r="E2244" s="35" t="str">
        <x:v>Condition</x:v>
      </x:c>
      <x:c r="F2244" s="35" t="n">
        <x:v>202</x:v>
      </x:c>
      <x:c r="G2244" s="35" t="str">
        <x:v>RECORDED</x:v>
      </x:c>
      <x:c r="H2244" s="39" t="n">
        <x:f>IF(ISNUMBER('Data'!N536),'Data'!N536*100,"")</x:f>
        <x:v>39.11</x:v>
      </x:c>
      <x:c r="I2244" s="35" t="str">
        <x:v>PASS</x:v>
      </x:c>
      <x:c r="J2244" s="35" t="str">
        <x:v>PASS</x:v>
      </x:c>
      <x:c r="K2244" s="35" t="str">
        <x:v>PASS</x:v>
      </x:c>
      <x:c r="L2244" s="35" t="str">
        <x:v>FAIL</x:v>
      </x:c>
      <x:c r="M2244" s="35" t="str">
        <x:v>numeric coverage for applicable metric</x:v>
      </x:c>
      <x:c r="N2244" s="35" t="str">
        <x:v>Deepseek-flash-v4/Result/Jsoup_33/result.json</x:v>
      </x:c>
      <x:c r="O2244" s="39" t="n">
        <x:f>IF(AND(G2244="RECORDED",ISNUMBER(H2244)),H2244,"")</x:f>
        <x:v>39.11</x:v>
      </x:c>
      <x:c r="P2244" s="35" t="str">
        <x:v>INCONCLUSIVE</x:v>
      </x:c>
      <x:c r="Q2244" s="35" t="str">
        <x:v>Deepseek-flash-v4/Result/Jsoup_33/result.json</x:v>
      </x:c>
    </x:row>
    <x:row r="2245">
      <x:c r="A2245" s="35" t="str">
        <x:v>deepseek</x:v>
      </x:c>
      <x:c r="B2245" s="35" t="str">
        <x:v>Jsoup</x:v>
      </x:c>
      <x:c r="C2245" s="35" t="str">
        <x:v>Round1</x:v>
      </x:c>
      <x:c r="D2245" s="35" t="str">
        <x:v>Jsoup_34</x:v>
      </x:c>
      <x:c r="E2245" s="35" t="str">
        <x:v>Condition</x:v>
      </x:c>
      <x:c r="F2245" s="35" t="n">
        <x:v>130</x:v>
      </x:c>
      <x:c r="G2245" s="35" t="str">
        <x:v>RECORDED</x:v>
      </x:c>
      <x:c r="H2245" s="39" t="n">
        <x:f>IF(ISNUMBER('Data'!N537),'Data'!N537*100,"")</x:f>
        <x:v>82.31</x:v>
      </x:c>
      <x:c r="I2245" s="35" t="str">
        <x:v>PASS</x:v>
      </x:c>
      <x:c r="J2245" s="35" t="str">
        <x:v>PASS</x:v>
      </x:c>
      <x:c r="K2245" s="35" t="str">
        <x:v>PASS</x:v>
      </x:c>
      <x:c r="L2245" s="35" t="str">
        <x:v>FAIL</x:v>
      </x:c>
      <x:c r="M2245" s="35" t="str">
        <x:v>numeric coverage for applicable metric</x:v>
      </x:c>
      <x:c r="N2245" s="35" t="str">
        <x:v>Deepseek-flash-v4/Result/Jsoup_34/result.json</x:v>
      </x:c>
      <x:c r="O2245" s="39" t="n">
        <x:f>IF(AND(G2245="RECORDED",ISNUMBER(H2245)),H2245,"")</x:f>
        <x:v>82.31</x:v>
      </x:c>
      <x:c r="P2245" s="35" t="str">
        <x:v>INCONCLUSIVE</x:v>
      </x:c>
      <x:c r="Q2245" s="35" t="str">
        <x:v>Deepseek-flash-v4/Result/Jsoup_34/result.json</x:v>
      </x:c>
    </x:row>
    <x:row r="2246">
      <x:c r="A2246" s="35" t="str">
        <x:v>deepseek</x:v>
      </x:c>
      <x:c r="B2246" s="35" t="str">
        <x:v>Jsoup</x:v>
      </x:c>
      <x:c r="C2246" s="35" t="str">
        <x:v>Round1</x:v>
      </x:c>
      <x:c r="D2246" s="35" t="str">
        <x:v>Jsoup_35</x:v>
      </x:c>
      <x:c r="E2246" s="35" t="str">
        <x:v>Condition</x:v>
      </x:c>
      <x:c r="F2246" s="35"/>
      <x:c r="G2246" s="35" t="str">
        <x:v>A</x:v>
      </x:c>
      <x:c r="H2246" s="39" t="str">
        <x:f>IF(ISNUMBER('Data'!N538),'Data'!N538*100,"")</x:f>
      </x:c>
      <x:c r="I2246" s="35"/>
      <x:c r="J2246" s="35" t="str">
        <x:v>PASS</x:v>
      </x:c>
      <x:c r="K2246" s="35" t="str">
        <x:v>FAIL</x:v>
      </x:c>
      <x:c r="L2246" s="35" t="str">
        <x:v>NOT_RUN</x:v>
      </x:c>
      <x:c r="M2246" s="35" t="str">
        <x:v>coverage unavailable or execution/compile failed</x:v>
      </x:c>
      <x:c r="N2246" s="35" t="str">
        <x:v>Deepseek-flash-v4/Result/Jsoup_35/result.json</x:v>
      </x:c>
      <x:c r="O2246" s="39" t="str">
        <x:f>IF(AND(G2246="RECORDED",ISNUMBER(H2246)),H2246,"")</x:f>
      </x:c>
      <x:c r="P2246" s="35" t="str">
        <x:v>NOT_AVAILABLE</x:v>
      </x:c>
      <x:c r="Q2246" s="35" t="str">
        <x:v>Deepseek-flash-v4/Result/Jsoup_35/result.json</x:v>
      </x:c>
    </x:row>
    <x:row r="2247">
      <x:c r="A2247" s="35" t="str">
        <x:v>deepseek</x:v>
      </x:c>
      <x:c r="B2247" s="35" t="str">
        <x:v>Jsoup</x:v>
      </x:c>
      <x:c r="C2247" s="35" t="str">
        <x:v>Round1</x:v>
      </x:c>
      <x:c r="D2247" s="35" t="str">
        <x:v>Jsoup_36</x:v>
      </x:c>
      <x:c r="E2247" s="35" t="str">
        <x:v>Condition</x:v>
      </x:c>
      <x:c r="F2247" s="35"/>
      <x:c r="G2247" s="35" t="str">
        <x:v>A</x:v>
      </x:c>
      <x:c r="H2247" s="39" t="str">
        <x:f>IF(ISNUMBER('Data'!N539),'Data'!N539*100,"")</x:f>
      </x:c>
      <x:c r="I2247" s="35"/>
      <x:c r="J2247" s="35" t="str">
        <x:v>PASS</x:v>
      </x:c>
      <x:c r="K2247" s="35" t="str">
        <x:v>FAIL</x:v>
      </x:c>
      <x:c r="L2247" s="35" t="str">
        <x:v>NOT_RUN</x:v>
      </x:c>
      <x:c r="M2247" s="35" t="str">
        <x:v>coverage unavailable or execution/compile failed</x:v>
      </x:c>
      <x:c r="N2247" s="35" t="str">
        <x:v>Deepseek-flash-v4/Result/Jsoup_36/result.json</x:v>
      </x:c>
      <x:c r="O2247" s="39" t="str">
        <x:f>IF(AND(G2247="RECORDED",ISNUMBER(H2247)),H2247,"")</x:f>
      </x:c>
      <x:c r="P2247" s="35" t="str">
        <x:v>NOT_AVAILABLE</x:v>
      </x:c>
      <x:c r="Q2247" s="35" t="str">
        <x:v>Deepseek-flash-v4/Result/Jsoup_36/result.json</x:v>
      </x:c>
    </x:row>
    <x:row r="2248">
      <x:c r="A2248" s="35" t="str">
        <x:v>deepseek</x:v>
      </x:c>
      <x:c r="B2248" s="35" t="str">
        <x:v>Jsoup</x:v>
      </x:c>
      <x:c r="C2248" s="35" t="str">
        <x:v>Round1</x:v>
      </x:c>
      <x:c r="D2248" s="35" t="str">
        <x:v>Jsoup_37</x:v>
      </x:c>
      <x:c r="E2248" s="35" t="str">
        <x:v>Condition</x:v>
      </x:c>
      <x:c r="F2248" s="35"/>
      <x:c r="G2248" s="35" t="str">
        <x:v>A</x:v>
      </x:c>
      <x:c r="H2248" s="39" t="str">
        <x:f>IF(ISNUMBER('Data'!N540),'Data'!N540*100,"")</x:f>
      </x:c>
      <x:c r="I2248" s="35"/>
      <x:c r="J2248" s="35" t="str">
        <x:v>PASS</x:v>
      </x:c>
      <x:c r="K2248" s="35" t="str">
        <x:v>FAIL</x:v>
      </x:c>
      <x:c r="L2248" s="35" t="str">
        <x:v>NOT_RUN</x:v>
      </x:c>
      <x:c r="M2248" s="35" t="str">
        <x:v>coverage unavailable or execution/compile failed</x:v>
      </x:c>
      <x:c r="N2248" s="35" t="str">
        <x:v>Deepseek-flash-v4/Result/Jsoup_37/result.json</x:v>
      </x:c>
      <x:c r="O2248" s="39" t="str">
        <x:f>IF(AND(G2248="RECORDED",ISNUMBER(H2248)),H2248,"")</x:f>
      </x:c>
      <x:c r="P2248" s="35" t="str">
        <x:v>NOT_AVAILABLE</x:v>
      </x:c>
      <x:c r="Q2248" s="35" t="str">
        <x:v>Deepseek-flash-v4/Result/Jsoup_37/result.json</x:v>
      </x:c>
    </x:row>
    <x:row r="2249">
      <x:c r="A2249" s="35" t="str">
        <x:v>deepseek</x:v>
      </x:c>
      <x:c r="B2249" s="35" t="str">
        <x:v>Jsoup</x:v>
      </x:c>
      <x:c r="C2249" s="35" t="str">
        <x:v>Round1</x:v>
      </x:c>
      <x:c r="D2249" s="35" t="str">
        <x:v>Jsoup_38</x:v>
      </x:c>
      <x:c r="E2249" s="35" t="str">
        <x:v>Condition</x:v>
      </x:c>
      <x:c r="F2249" s="35"/>
      <x:c r="G2249" s="35" t="str">
        <x:v>A</x:v>
      </x:c>
      <x:c r="H2249" s="39" t="str">
        <x:f>IF(ISNUMBER('Data'!N541),'Data'!N541*100,"")</x:f>
      </x:c>
      <x:c r="I2249" s="35"/>
      <x:c r="J2249" s="35" t="str">
        <x:v>PASS</x:v>
      </x:c>
      <x:c r="K2249" s="35" t="str">
        <x:v>FAIL</x:v>
      </x:c>
      <x:c r="L2249" s="35" t="str">
        <x:v>NOT_RUN</x:v>
      </x:c>
      <x:c r="M2249" s="35" t="str">
        <x:v>coverage unavailable or execution/compile failed</x:v>
      </x:c>
      <x:c r="N2249" s="35" t="str">
        <x:v>Deepseek-flash-v4/Result/Jsoup_38/result.json</x:v>
      </x:c>
      <x:c r="O2249" s="39" t="str">
        <x:f>IF(AND(G2249="RECORDED",ISNUMBER(H2249)),H2249,"")</x:f>
      </x:c>
      <x:c r="P2249" s="35" t="str">
        <x:v>NOT_AVAILABLE</x:v>
      </x:c>
      <x:c r="Q2249" s="35" t="str">
        <x:v>Deepseek-flash-v4/Result/Jsoup_38/result.json</x:v>
      </x:c>
    </x:row>
    <x:row r="2250">
      <x:c r="A2250" s="35" t="str">
        <x:v>deepseek</x:v>
      </x:c>
      <x:c r="B2250" s="35" t="str">
        <x:v>Jsoup</x:v>
      </x:c>
      <x:c r="C2250" s="35" t="str">
        <x:v>Round1</x:v>
      </x:c>
      <x:c r="D2250" s="35" t="str">
        <x:v>Jsoup_39</x:v>
      </x:c>
      <x:c r="E2250" s="35" t="str">
        <x:v>Condition</x:v>
      </x:c>
      <x:c r="F2250" s="35" t="n">
        <x:v>46</x:v>
      </x:c>
      <x:c r="G2250" s="35" t="str">
        <x:v>RECORDED</x:v>
      </x:c>
      <x:c r="H2250" s="39" t="n">
        <x:f>IF(ISNUMBER('Data'!N542),'Data'!N542*100,"")</x:f>
        <x:v>71.74</x:v>
      </x:c>
      <x:c r="I2250" s="35" t="str">
        <x:v>PASS</x:v>
      </x:c>
      <x:c r="J2250" s="35" t="str">
        <x:v>PASS</x:v>
      </x:c>
      <x:c r="K2250" s="35" t="str">
        <x:v>PASS</x:v>
      </x:c>
      <x:c r="L2250" s="35" t="str">
        <x:v>FAIL</x:v>
      </x:c>
      <x:c r="M2250" s="35" t="str">
        <x:v>numeric coverage for applicable metric</x:v>
      </x:c>
      <x:c r="N2250" s="35" t="str">
        <x:v>Deepseek-flash-v4/Result/Jsoup_39/result.json</x:v>
      </x:c>
      <x:c r="O2250" s="39" t="n">
        <x:f>IF(AND(G2250="RECORDED",ISNUMBER(H2250)),H2250,"")</x:f>
        <x:v>71.74</x:v>
      </x:c>
      <x:c r="P2250" s="35" t="str">
        <x:v>INCONCLUSIVE</x:v>
      </x:c>
      <x:c r="Q2250" s="35" t="str">
        <x:v>Deepseek-flash-v4/Result/Jsoup_39/result.json</x:v>
      </x:c>
    </x:row>
    <x:row r="2251">
      <x:c r="A2251" s="35" t="str">
        <x:v>deepseek</x:v>
      </x:c>
      <x:c r="B2251" s="35" t="str">
        <x:v>Jsoup</x:v>
      </x:c>
      <x:c r="C2251" s="35" t="str">
        <x:v>Round1</x:v>
      </x:c>
      <x:c r="D2251" s="35" t="str">
        <x:v>Jsoup_4</x:v>
      </x:c>
      <x:c r="E2251" s="35" t="str">
        <x:v>Condition</x:v>
      </x:c>
      <x:c r="F2251" s="35"/>
      <x:c r="G2251" s="35" t="str">
        <x:v>A</x:v>
      </x:c>
      <x:c r="H2251" s="39" t="str">
        <x:f>IF(ISNUMBER('Data'!N543),'Data'!N543*100,"")</x:f>
      </x:c>
      <x:c r="I2251" s="35"/>
      <x:c r="J2251" s="35" t="str">
        <x:v>PASS</x:v>
      </x:c>
      <x:c r="K2251" s="35" t="str">
        <x:v>FAIL</x:v>
      </x:c>
      <x:c r="L2251" s="35" t="str">
        <x:v>NOT_RUN</x:v>
      </x:c>
      <x:c r="M2251" s="35" t="str">
        <x:v>coverage unavailable or execution/compile failed</x:v>
      </x:c>
      <x:c r="N2251" s="35" t="str">
        <x:v>Deepseek-flash-v4/Result/Jsoup_4/result.json</x:v>
      </x:c>
      <x:c r="O2251" s="39" t="str">
        <x:f>IF(AND(G2251="RECORDED",ISNUMBER(H2251)),H2251,"")</x:f>
      </x:c>
      <x:c r="P2251" s="35" t="str">
        <x:v>NOT_AVAILABLE</x:v>
      </x:c>
      <x:c r="Q2251" s="35" t="str">
        <x:v>Deepseek-flash-v4/Result/Jsoup_4/result.json</x:v>
      </x:c>
    </x:row>
    <x:row r="2252">
      <x:c r="A2252" s="35" t="str">
        <x:v>deepseek</x:v>
      </x:c>
      <x:c r="B2252" s="35" t="str">
        <x:v>Jsoup</x:v>
      </x:c>
      <x:c r="C2252" s="35" t="str">
        <x:v>Round1</x:v>
      </x:c>
      <x:c r="D2252" s="35" t="str">
        <x:v>Jsoup_40</x:v>
      </x:c>
      <x:c r="E2252" s="35" t="str">
        <x:v>Condition</x:v>
      </x:c>
      <x:c r="F2252" s="35" t="n">
        <x:v>6</x:v>
      </x:c>
      <x:c r="G2252" s="35" t="str">
        <x:v>RECORDED</x:v>
      </x:c>
      <x:c r="H2252" s="39" t="n">
        <x:f>IF(ISNUMBER('Data'!N544),'Data'!N544*100,"")</x:f>
        <x:v>100</x:v>
      </x:c>
      <x:c r="I2252" s="35" t="str">
        <x:v>PASS</x:v>
      </x:c>
      <x:c r="J2252" s="35" t="str">
        <x:v>PASS</x:v>
      </x:c>
      <x:c r="K2252" s="35" t="str">
        <x:v>PASS</x:v>
      </x:c>
      <x:c r="L2252" s="35" t="str">
        <x:v>FAIL</x:v>
      </x:c>
      <x:c r="M2252" s="35" t="str">
        <x:v>numeric coverage for applicable metric</x:v>
      </x:c>
      <x:c r="N2252" s="35" t="str">
        <x:v>Deepseek-flash-v4/Result/Jsoup_40/result.json</x:v>
      </x:c>
      <x:c r="O2252" s="39" t="n">
        <x:f>IF(AND(G2252="RECORDED",ISNUMBER(H2252)),H2252,"")</x:f>
        <x:v>100</x:v>
      </x:c>
      <x:c r="P2252" s="35" t="str">
        <x:v>INCONCLUSIVE</x:v>
      </x:c>
      <x:c r="Q2252" s="35" t="str">
        <x:v>Deepseek-flash-v4/Result/Jsoup_40/result.json</x:v>
      </x:c>
    </x:row>
    <x:row r="2253">
      <x:c r="A2253" s="35" t="str">
        <x:v>deepseek</x:v>
      </x:c>
      <x:c r="B2253" s="35" t="str">
        <x:v>Jsoup</x:v>
      </x:c>
      <x:c r="C2253" s="35" t="str">
        <x:v>Round1</x:v>
      </x:c>
      <x:c r="D2253" s="35" t="str">
        <x:v>Jsoup_41</x:v>
      </x:c>
      <x:c r="E2253" s="35" t="str">
        <x:v>Condition</x:v>
      </x:c>
      <x:c r="F2253" s="35"/>
      <x:c r="G2253" s="35" t="str">
        <x:v>A</x:v>
      </x:c>
      <x:c r="H2253" s="39" t="str">
        <x:f>IF(ISNUMBER('Data'!N545),'Data'!N545*100,"")</x:f>
      </x:c>
      <x:c r="I2253" s="35"/>
      <x:c r="J2253" s="35" t="str">
        <x:v>PASS</x:v>
      </x:c>
      <x:c r="K2253" s="35" t="str">
        <x:v>FAIL</x:v>
      </x:c>
      <x:c r="L2253" s="35" t="str">
        <x:v>NOT_RUN</x:v>
      </x:c>
      <x:c r="M2253" s="35" t="str">
        <x:v>coverage unavailable or execution/compile failed</x:v>
      </x:c>
      <x:c r="N2253" s="35" t="str">
        <x:v>Deepseek-flash-v4/Result/Jsoup_41/result.json</x:v>
      </x:c>
      <x:c r="O2253" s="39" t="str">
        <x:f>IF(AND(G2253="RECORDED",ISNUMBER(H2253)),H2253,"")</x:f>
      </x:c>
      <x:c r="P2253" s="35" t="str">
        <x:v>NOT_AVAILABLE</x:v>
      </x:c>
      <x:c r="Q2253" s="35" t="str">
        <x:v>Deepseek-flash-v4/Result/Jsoup_41/result.json</x:v>
      </x:c>
    </x:row>
    <x:row r="2254">
      <x:c r="A2254" s="35" t="str">
        <x:v>deepseek</x:v>
      </x:c>
      <x:c r="B2254" s="35" t="str">
        <x:v>Jsoup</x:v>
      </x:c>
      <x:c r="C2254" s="35" t="str">
        <x:v>Round1</x:v>
      </x:c>
      <x:c r="D2254" s="35" t="str">
        <x:v>Jsoup_42</x:v>
      </x:c>
      <x:c r="E2254" s="35" t="str">
        <x:v>Condition</x:v>
      </x:c>
      <x:c r="F2254" s="35"/>
      <x:c r="G2254" s="35" t="str">
        <x:v>A</x:v>
      </x:c>
      <x:c r="H2254" s="39" t="str">
        <x:f>IF(ISNUMBER('Data'!N546),'Data'!N546*100,"")</x:f>
      </x:c>
      <x:c r="I2254" s="35"/>
      <x:c r="J2254" s="35" t="str">
        <x:v>PASS</x:v>
      </x:c>
      <x:c r="K2254" s="35" t="str">
        <x:v>FAIL</x:v>
      </x:c>
      <x:c r="L2254" s="35" t="str">
        <x:v>NOT_RUN</x:v>
      </x:c>
      <x:c r="M2254" s="35" t="str">
        <x:v>coverage unavailable or execution/compile failed</x:v>
      </x:c>
      <x:c r="N2254" s="35" t="str">
        <x:v>Deepseek-flash-v4/Result/Jsoup_42/result.json</x:v>
      </x:c>
      <x:c r="O2254" s="39" t="str">
        <x:f>IF(AND(G2254="RECORDED",ISNUMBER(H2254)),H2254,"")</x:f>
      </x:c>
      <x:c r="P2254" s="35" t="str">
        <x:v>NOT_AVAILABLE</x:v>
      </x:c>
      <x:c r="Q2254" s="35" t="str">
        <x:v>Deepseek-flash-v4/Result/Jsoup_42/result.json</x:v>
      </x:c>
    </x:row>
    <x:row r="2255">
      <x:c r="A2255" s="35" t="str">
        <x:v>deepseek</x:v>
      </x:c>
      <x:c r="B2255" s="35" t="str">
        <x:v>Jsoup</x:v>
      </x:c>
      <x:c r="C2255" s="35" t="str">
        <x:v>Round1</x:v>
      </x:c>
      <x:c r="D2255" s="35" t="str">
        <x:v>Jsoup_43</x:v>
      </x:c>
      <x:c r="E2255" s="35" t="str">
        <x:v>Condition</x:v>
      </x:c>
      <x:c r="F2255" s="35"/>
      <x:c r="G2255" s="35" t="str">
        <x:v>A</x:v>
      </x:c>
      <x:c r="H2255" s="39" t="str">
        <x:f>IF(ISNUMBER('Data'!N547),'Data'!N547*100,"")</x:f>
      </x:c>
      <x:c r="I2255" s="35"/>
      <x:c r="J2255" s="35" t="str">
        <x:v>PASS</x:v>
      </x:c>
      <x:c r="K2255" s="35" t="str">
        <x:v>FAIL</x:v>
      </x:c>
      <x:c r="L2255" s="35" t="str">
        <x:v>NOT_RUN</x:v>
      </x:c>
      <x:c r="M2255" s="35" t="str">
        <x:v>coverage unavailable or execution/compile failed</x:v>
      </x:c>
      <x:c r="N2255" s="35" t="str">
        <x:v>Deepseek-flash-v4/Result/Jsoup_43/result.json</x:v>
      </x:c>
      <x:c r="O2255" s="39" t="str">
        <x:f>IF(AND(G2255="RECORDED",ISNUMBER(H2255)),H2255,"")</x:f>
      </x:c>
      <x:c r="P2255" s="35" t="str">
        <x:v>NOT_AVAILABLE</x:v>
      </x:c>
      <x:c r="Q2255" s="35" t="str">
        <x:v>Deepseek-flash-v4/Result/Jsoup_43/result.json</x:v>
      </x:c>
    </x:row>
    <x:row r="2256">
      <x:c r="A2256" s="35" t="str">
        <x:v>deepseek</x:v>
      </x:c>
      <x:c r="B2256" s="35" t="str">
        <x:v>Jsoup</x:v>
      </x:c>
      <x:c r="C2256" s="35" t="str">
        <x:v>Round1</x:v>
      </x:c>
      <x:c r="D2256" s="35" t="str">
        <x:v>Jsoup_44</x:v>
      </x:c>
      <x:c r="E2256" s="35" t="str">
        <x:v>Condition</x:v>
      </x:c>
      <x:c r="F2256" s="35"/>
      <x:c r="G2256" s="35" t="str">
        <x:v>A</x:v>
      </x:c>
      <x:c r="H2256" s="39" t="str">
        <x:f>IF(ISNUMBER('Data'!N548),'Data'!N548*100,"")</x:f>
      </x:c>
      <x:c r="I2256" s="35"/>
      <x:c r="J2256" s="35" t="str">
        <x:v>PASS</x:v>
      </x:c>
      <x:c r="K2256" s="35" t="str">
        <x:v>FAIL</x:v>
      </x:c>
      <x:c r="L2256" s="35" t="str">
        <x:v>NOT_RUN</x:v>
      </x:c>
      <x:c r="M2256" s="35" t="str">
        <x:v>coverage unavailable or execution/compile failed</x:v>
      </x:c>
      <x:c r="N2256" s="35" t="str">
        <x:v>Deepseek-flash-v4/Result/Jsoup_44/result.json</x:v>
      </x:c>
      <x:c r="O2256" s="39" t="str">
        <x:f>IF(AND(G2256="RECORDED",ISNUMBER(H2256)),H2256,"")</x:f>
      </x:c>
      <x:c r="P2256" s="35" t="str">
        <x:v>NOT_AVAILABLE</x:v>
      </x:c>
      <x:c r="Q2256" s="35" t="str">
        <x:v>Deepseek-flash-v4/Result/Jsoup_44/result.json</x:v>
      </x:c>
    </x:row>
    <x:row r="2257">
      <x:c r="A2257" s="35" t="str">
        <x:v>deepseek</x:v>
      </x:c>
      <x:c r="B2257" s="35" t="str">
        <x:v>Jsoup</x:v>
      </x:c>
      <x:c r="C2257" s="35" t="str">
        <x:v>Round1</x:v>
      </x:c>
      <x:c r="D2257" s="35" t="str">
        <x:v>Jsoup_45</x:v>
      </x:c>
      <x:c r="E2257" s="35" t="str">
        <x:v>Condition</x:v>
      </x:c>
      <x:c r="F2257" s="35"/>
      <x:c r="G2257" s="35" t="str">
        <x:v>A</x:v>
      </x:c>
      <x:c r="H2257" s="39" t="str">
        <x:f>IF(ISNUMBER('Data'!N549),'Data'!N549*100,"")</x:f>
      </x:c>
      <x:c r="I2257" s="35"/>
      <x:c r="J2257" s="35" t="str">
        <x:v>PASS</x:v>
      </x:c>
      <x:c r="K2257" s="35" t="str">
        <x:v>FAIL</x:v>
      </x:c>
      <x:c r="L2257" s="35" t="str">
        <x:v>NOT_RUN</x:v>
      </x:c>
      <x:c r="M2257" s="35" t="str">
        <x:v>coverage unavailable or execution/compile failed</x:v>
      </x:c>
      <x:c r="N2257" s="35" t="str">
        <x:v>Deepseek-flash-v4/Result/Jsoup_45/result.json</x:v>
      </x:c>
      <x:c r="O2257" s="39" t="str">
        <x:f>IF(AND(G2257="RECORDED",ISNUMBER(H2257)),H2257,"")</x:f>
      </x:c>
      <x:c r="P2257" s="35" t="str">
        <x:v>NOT_AVAILABLE</x:v>
      </x:c>
      <x:c r="Q2257" s="35" t="str">
        <x:v>Deepseek-flash-v4/Result/Jsoup_45/result.json</x:v>
      </x:c>
    </x:row>
    <x:row r="2258">
      <x:c r="A2258" s="35" t="str">
        <x:v>deepseek</x:v>
      </x:c>
      <x:c r="B2258" s="35" t="str">
        <x:v>Jsoup</x:v>
      </x:c>
      <x:c r="C2258" s="35" t="str">
        <x:v>Round1</x:v>
      </x:c>
      <x:c r="D2258" s="35" t="str">
        <x:v>Jsoup_46</x:v>
      </x:c>
      <x:c r="E2258" s="35" t="str">
        <x:v>Condition</x:v>
      </x:c>
      <x:c r="F2258" s="35" t="n">
        <x:v>51</x:v>
      </x:c>
      <x:c r="G2258" s="35" t="str">
        <x:v>RECORDED</x:v>
      </x:c>
      <x:c r="H2258" s="39" t="n">
        <x:f>IF(ISNUMBER('Data'!N550),'Data'!N550*100,"")</x:f>
        <x:v>62.74999999999999</x:v>
      </x:c>
      <x:c r="I2258" s="35" t="str">
        <x:v>PASS</x:v>
      </x:c>
      <x:c r="J2258" s="35" t="str">
        <x:v>PASS</x:v>
      </x:c>
      <x:c r="K2258" s="35" t="str">
        <x:v>PASS</x:v>
      </x:c>
      <x:c r="L2258" s="35" t="str">
        <x:v>FAIL</x:v>
      </x:c>
      <x:c r="M2258" s="35" t="str">
        <x:v>numeric coverage for applicable metric</x:v>
      </x:c>
      <x:c r="N2258" s="35" t="str">
        <x:v>Deepseek-flash-v4/Result/Jsoup_46/result.json</x:v>
      </x:c>
      <x:c r="O2258" s="39" t="n">
        <x:f>IF(AND(G2258="RECORDED",ISNUMBER(H2258)),H2258,"")</x:f>
        <x:v>62.74999999999999</x:v>
      </x:c>
      <x:c r="P2258" s="35" t="str">
        <x:v>INCONCLUSIVE</x:v>
      </x:c>
      <x:c r="Q2258" s="35" t="str">
        <x:v>Deepseek-flash-v4/Result/Jsoup_46/result.json</x:v>
      </x:c>
    </x:row>
    <x:row r="2259">
      <x:c r="A2259" s="35" t="str">
        <x:v>deepseek</x:v>
      </x:c>
      <x:c r="B2259" s="35" t="str">
        <x:v>Jsoup</x:v>
      </x:c>
      <x:c r="C2259" s="35" t="str">
        <x:v>Round1</x:v>
      </x:c>
      <x:c r="D2259" s="35" t="str">
        <x:v>Jsoup_47</x:v>
      </x:c>
      <x:c r="E2259" s="35" t="str">
        <x:v>Condition</x:v>
      </x:c>
      <x:c r="F2259" s="35"/>
      <x:c r="G2259" s="35" t="str">
        <x:v>A</x:v>
      </x:c>
      <x:c r="H2259" s="39" t="str">
        <x:f>IF(ISNUMBER('Data'!N551),'Data'!N551*100,"")</x:f>
      </x:c>
      <x:c r="I2259" s="35"/>
      <x:c r="J2259" s="35" t="str">
        <x:v>PASS</x:v>
      </x:c>
      <x:c r="K2259" s="35" t="str">
        <x:v>FAIL</x:v>
      </x:c>
      <x:c r="L2259" s="35" t="str">
        <x:v>NOT_RUN</x:v>
      </x:c>
      <x:c r="M2259" s="35" t="str">
        <x:v>coverage unavailable or execution/compile failed</x:v>
      </x:c>
      <x:c r="N2259" s="35" t="str">
        <x:v>Deepseek-flash-v4/Result/Jsoup_47/result.json</x:v>
      </x:c>
      <x:c r="O2259" s="39" t="str">
        <x:f>IF(AND(G2259="RECORDED",ISNUMBER(H2259)),H2259,"")</x:f>
      </x:c>
      <x:c r="P2259" s="35" t="str">
        <x:v>NOT_AVAILABLE</x:v>
      </x:c>
      <x:c r="Q2259" s="35" t="str">
        <x:v>Deepseek-flash-v4/Result/Jsoup_47/result.json</x:v>
      </x:c>
    </x:row>
    <x:row r="2260">
      <x:c r="A2260" s="35" t="str">
        <x:v>deepseek</x:v>
      </x:c>
      <x:c r="B2260" s="35" t="str">
        <x:v>Jsoup</x:v>
      </x:c>
      <x:c r="C2260" s="35" t="str">
        <x:v>Round1</x:v>
      </x:c>
      <x:c r="D2260" s="35" t="str">
        <x:v>Jsoup_48</x:v>
      </x:c>
      <x:c r="E2260" s="35" t="str">
        <x:v>Condition</x:v>
      </x:c>
      <x:c r="F2260" s="35"/>
      <x:c r="G2260" s="35" t="str">
        <x:v>A</x:v>
      </x:c>
      <x:c r="H2260" s="39" t="str">
        <x:f>IF(ISNUMBER('Data'!N552),'Data'!N552*100,"")</x:f>
      </x:c>
      <x:c r="I2260" s="35"/>
      <x:c r="J2260" s="35" t="str">
        <x:v>PASS</x:v>
      </x:c>
      <x:c r="K2260" s="35" t="str">
        <x:v>FAIL</x:v>
      </x:c>
      <x:c r="L2260" s="35" t="str">
        <x:v>NOT_RUN</x:v>
      </x:c>
      <x:c r="M2260" s="35" t="str">
        <x:v>coverage unavailable or execution/compile failed</x:v>
      </x:c>
      <x:c r="N2260" s="35" t="str">
        <x:v>Deepseek-flash-v4/Result/Jsoup_48/result.json</x:v>
      </x:c>
      <x:c r="O2260" s="39" t="str">
        <x:f>IF(AND(G2260="RECORDED",ISNUMBER(H2260)),H2260,"")</x:f>
      </x:c>
      <x:c r="P2260" s="35" t="str">
        <x:v>NOT_AVAILABLE</x:v>
      </x:c>
      <x:c r="Q2260" s="35" t="str">
        <x:v>Deepseek-flash-v4/Result/Jsoup_48/result.json</x:v>
      </x:c>
    </x:row>
    <x:row r="2261">
      <x:c r="A2261" s="35" t="str">
        <x:v>deepseek</x:v>
      </x:c>
      <x:c r="B2261" s="35" t="str">
        <x:v>Jsoup</x:v>
      </x:c>
      <x:c r="C2261" s="35" t="str">
        <x:v>Round1</x:v>
      </x:c>
      <x:c r="D2261" s="35" t="str">
        <x:v>Jsoup_49</x:v>
      </x:c>
      <x:c r="E2261" s="35" t="str">
        <x:v>Condition</x:v>
      </x:c>
      <x:c r="F2261" s="35"/>
      <x:c r="G2261" s="35" t="str">
        <x:v>A</x:v>
      </x:c>
      <x:c r="H2261" s="39" t="str">
        <x:f>IF(ISNUMBER('Data'!N553),'Data'!N553*100,"")</x:f>
      </x:c>
      <x:c r="I2261" s="35"/>
      <x:c r="J2261" s="35" t="str">
        <x:v>PASS</x:v>
      </x:c>
      <x:c r="K2261" s="35" t="str">
        <x:v>FAIL</x:v>
      </x:c>
      <x:c r="L2261" s="35" t="str">
        <x:v>NOT_RUN</x:v>
      </x:c>
      <x:c r="M2261" s="35" t="str">
        <x:v>coverage unavailable or execution/compile failed</x:v>
      </x:c>
      <x:c r="N2261" s="35" t="str">
        <x:v>Deepseek-flash-v4/Result/Jsoup_49/result.json</x:v>
      </x:c>
      <x:c r="O2261" s="39" t="str">
        <x:f>IF(AND(G2261="RECORDED",ISNUMBER(H2261)),H2261,"")</x:f>
      </x:c>
      <x:c r="P2261" s="35" t="str">
        <x:v>NOT_AVAILABLE</x:v>
      </x:c>
      <x:c r="Q2261" s="35" t="str">
        <x:v>Deepseek-flash-v4/Result/Jsoup_49/result.json</x:v>
      </x:c>
    </x:row>
    <x:row r="2262">
      <x:c r="A2262" s="35" t="str">
        <x:v>deepseek</x:v>
      </x:c>
      <x:c r="B2262" s="35" t="str">
        <x:v>Jsoup</x:v>
      </x:c>
      <x:c r="C2262" s="35" t="str">
        <x:v>Round1</x:v>
      </x:c>
      <x:c r="D2262" s="35" t="str">
        <x:v>Jsoup_5</x:v>
      </x:c>
      <x:c r="E2262" s="35" t="str">
        <x:v>Condition</x:v>
      </x:c>
      <x:c r="F2262" s="35" t="n">
        <x:v>92</x:v>
      </x:c>
      <x:c r="G2262" s="35" t="str">
        <x:v>RECORDED</x:v>
      </x:c>
      <x:c r="H2262" s="39" t="n">
        <x:f>IF(ISNUMBER('Data'!N554),'Data'!N554*100,"")</x:f>
        <x:v>48.91</x:v>
      </x:c>
      <x:c r="I2262" s="35" t="str">
        <x:v>PASS</x:v>
      </x:c>
      <x:c r="J2262" s="35" t="str">
        <x:v>PASS</x:v>
      </x:c>
      <x:c r="K2262" s="35" t="str">
        <x:v>PASS</x:v>
      </x:c>
      <x:c r="L2262" s="35" t="str">
        <x:v>PASS</x:v>
      </x:c>
      <x:c r="M2262" s="35" t="str">
        <x:v>numeric coverage for applicable metric</x:v>
      </x:c>
      <x:c r="N2262" s="35" t="str">
        <x:v>Deepseek-flash-v4/Result/Jsoup_5/result.json</x:v>
      </x:c>
      <x:c r="O2262" s="39" t="n">
        <x:f>IF(AND(G2262="RECORDED",ISNUMBER(H2262)),H2262,"")</x:f>
        <x:v>48.91</x:v>
      </x:c>
      <x:c r="P2262" s="35" t="str">
        <x:v>NOT_REVEALING</x:v>
      </x:c>
      <x:c r="Q2262" s="35" t="str">
        <x:v>Deepseek-flash-v4/Result/Jsoup_5/result.json</x:v>
      </x:c>
    </x:row>
    <x:row r="2263">
      <x:c r="A2263" s="35" t="str">
        <x:v>deepseek</x:v>
      </x:c>
      <x:c r="B2263" s="35" t="str">
        <x:v>Jsoup</x:v>
      </x:c>
      <x:c r="C2263" s="35" t="str">
        <x:v>Round1</x:v>
      </x:c>
      <x:c r="D2263" s="35" t="str">
        <x:v>Jsoup_50</x:v>
      </x:c>
      <x:c r="E2263" s="35" t="str">
        <x:v>Condition</x:v>
      </x:c>
      <x:c r="F2263" s="35"/>
      <x:c r="G2263" s="35" t="str">
        <x:v>A</x:v>
      </x:c>
      <x:c r="H2263" s="39" t="str">
        <x:f>IF(ISNUMBER('Data'!N555),'Data'!N555*100,"")</x:f>
      </x:c>
      <x:c r="I2263" s="35"/>
      <x:c r="J2263" s="35" t="str">
        <x:v>PASS</x:v>
      </x:c>
      <x:c r="K2263" s="35" t="str">
        <x:v>FAIL</x:v>
      </x:c>
      <x:c r="L2263" s="35" t="str">
        <x:v>NOT_RUN</x:v>
      </x:c>
      <x:c r="M2263" s="35" t="str">
        <x:v>coverage unavailable or execution/compile failed</x:v>
      </x:c>
      <x:c r="N2263" s="35" t="str">
        <x:v>Deepseek-flash-v4/Result/Jsoup_50/result.json</x:v>
      </x:c>
      <x:c r="O2263" s="39" t="str">
        <x:f>IF(AND(G2263="RECORDED",ISNUMBER(H2263)),H2263,"")</x:f>
      </x:c>
      <x:c r="P2263" s="35" t="str">
        <x:v>NOT_AVAILABLE</x:v>
      </x:c>
      <x:c r="Q2263" s="35" t="str">
        <x:v>Deepseek-flash-v4/Result/Jsoup_50/result.json</x:v>
      </x:c>
    </x:row>
    <x:row r="2264">
      <x:c r="A2264" s="35" t="str">
        <x:v>deepseek</x:v>
      </x:c>
      <x:c r="B2264" s="35" t="str">
        <x:v>Jsoup</x:v>
      </x:c>
      <x:c r="C2264" s="35" t="str">
        <x:v>Round1</x:v>
      </x:c>
      <x:c r="D2264" s="35" t="str">
        <x:v>Jsoup_51</x:v>
      </x:c>
      <x:c r="E2264" s="35" t="str">
        <x:v>Condition</x:v>
      </x:c>
      <x:c r="F2264" s="35" t="n">
        <x:v>186</x:v>
      </x:c>
      <x:c r="G2264" s="35" t="str">
        <x:v>RECORDED</x:v>
      </x:c>
      <x:c r="H2264" s="39" t="n">
        <x:f>IF(ISNUMBER('Data'!N556),'Data'!N556*100,"")</x:f>
        <x:v>80.11</x:v>
      </x:c>
      <x:c r="I2264" s="35" t="str">
        <x:v>PASS</x:v>
      </x:c>
      <x:c r="J2264" s="35" t="str">
        <x:v>PASS</x:v>
      </x:c>
      <x:c r="K2264" s="35" t="str">
        <x:v>PASS</x:v>
      </x:c>
      <x:c r="L2264" s="35" t="str">
        <x:v>FAIL</x:v>
      </x:c>
      <x:c r="M2264" s="35" t="str">
        <x:v>numeric coverage for applicable metric</x:v>
      </x:c>
      <x:c r="N2264" s="35" t="str">
        <x:v>Deepseek-flash-v4/Result/Jsoup_51/result.json</x:v>
      </x:c>
      <x:c r="O2264" s="39" t="n">
        <x:f>IF(AND(G2264="RECORDED",ISNUMBER(H2264)),H2264,"")</x:f>
        <x:v>80.11</x:v>
      </x:c>
      <x:c r="P2264" s="35" t="str">
        <x:v>INCONCLUSIVE</x:v>
      </x:c>
      <x:c r="Q2264" s="35" t="str">
        <x:v>Deepseek-flash-v4/Result/Jsoup_51/result.json</x:v>
      </x:c>
    </x:row>
    <x:row r="2265">
      <x:c r="A2265" s="35" t="str">
        <x:v>deepseek</x:v>
      </x:c>
      <x:c r="B2265" s="35" t="str">
        <x:v>Jsoup</x:v>
      </x:c>
      <x:c r="C2265" s="35" t="str">
        <x:v>Round1</x:v>
      </x:c>
      <x:c r="D2265" s="35" t="str">
        <x:v>Jsoup_52</x:v>
      </x:c>
      <x:c r="E2265" s="35" t="str">
        <x:v>Condition</x:v>
      </x:c>
      <x:c r="F2265" s="35"/>
      <x:c r="G2265" s="35" t="str">
        <x:v>A</x:v>
      </x:c>
      <x:c r="H2265" s="39" t="str">
        <x:f>IF(ISNUMBER('Data'!N557),'Data'!N557*100,"")</x:f>
      </x:c>
      <x:c r="I2265" s="35"/>
      <x:c r="J2265" s="35" t="str">
        <x:v>PASS</x:v>
      </x:c>
      <x:c r="K2265" s="35" t="str">
        <x:v>FAIL</x:v>
      </x:c>
      <x:c r="L2265" s="35" t="str">
        <x:v>NOT_RUN</x:v>
      </x:c>
      <x:c r="M2265" s="35" t="str">
        <x:v>coverage unavailable or execution/compile failed</x:v>
      </x:c>
      <x:c r="N2265" s="35" t="str">
        <x:v>Deepseek-flash-v4/Result/Jsoup_52/result.json</x:v>
      </x:c>
      <x:c r="O2265" s="39" t="str">
        <x:f>IF(AND(G2265="RECORDED",ISNUMBER(H2265)),H2265,"")</x:f>
      </x:c>
      <x:c r="P2265" s="35" t="str">
        <x:v>NOT_AVAILABLE</x:v>
      </x:c>
      <x:c r="Q2265" s="35" t="str">
        <x:v>Deepseek-flash-v4/Result/Jsoup_52/result.json</x:v>
      </x:c>
    </x:row>
    <x:row r="2266">
      <x:c r="A2266" s="35" t="str">
        <x:v>deepseek</x:v>
      </x:c>
      <x:c r="B2266" s="35" t="str">
        <x:v>Jsoup</x:v>
      </x:c>
      <x:c r="C2266" s="35" t="str">
        <x:v>Round1</x:v>
      </x:c>
      <x:c r="D2266" s="35" t="str">
        <x:v>Jsoup_53</x:v>
      </x:c>
      <x:c r="E2266" s="35" t="str">
        <x:v>Condition</x:v>
      </x:c>
      <x:c r="F2266" s="35" t="n">
        <x:v>108</x:v>
      </x:c>
      <x:c r="G2266" s="35" t="str">
        <x:v>RECORDED</x:v>
      </x:c>
      <x:c r="H2266" s="39" t="n">
        <x:f>IF(ISNUMBER('Data'!N558),'Data'!N558*100,"")</x:f>
        <x:v>81.48</x:v>
      </x:c>
      <x:c r="I2266" s="35" t="str">
        <x:v>PASS</x:v>
      </x:c>
      <x:c r="J2266" s="35" t="str">
        <x:v>PASS</x:v>
      </x:c>
      <x:c r="K2266" s="35" t="str">
        <x:v>PASS</x:v>
      </x:c>
      <x:c r="L2266" s="35" t="str">
        <x:v>FAIL</x:v>
      </x:c>
      <x:c r="M2266" s="35" t="str">
        <x:v>numeric coverage for applicable metric</x:v>
      </x:c>
      <x:c r="N2266" s="35" t="str">
        <x:v>Deepseek-flash-v4/Result/Jsoup_53/result.json</x:v>
      </x:c>
      <x:c r="O2266" s="39" t="n">
        <x:f>IF(AND(G2266="RECORDED",ISNUMBER(H2266)),H2266,"")</x:f>
        <x:v>81.48</x:v>
      </x:c>
      <x:c r="P2266" s="35" t="str">
        <x:v>INCONCLUSIVE</x:v>
      </x:c>
      <x:c r="Q2266" s="35" t="str">
        <x:v>Deepseek-flash-v4/Result/Jsoup_53/result.json</x:v>
      </x:c>
    </x:row>
    <x:row r="2267">
      <x:c r="A2267" s="35" t="str">
        <x:v>deepseek</x:v>
      </x:c>
      <x:c r="B2267" s="35" t="str">
        <x:v>Jsoup</x:v>
      </x:c>
      <x:c r="C2267" s="35" t="str">
        <x:v>Round1</x:v>
      </x:c>
      <x:c r="D2267" s="35" t="str">
        <x:v>Jsoup_54</x:v>
      </x:c>
      <x:c r="E2267" s="35" t="str">
        <x:v>Condition</x:v>
      </x:c>
      <x:c r="F2267" s="35"/>
      <x:c r="G2267" s="35" t="str">
        <x:v>A</x:v>
      </x:c>
      <x:c r="H2267" s="39" t="str">
        <x:f>IF(ISNUMBER('Data'!N559),'Data'!N559*100,"")</x:f>
      </x:c>
      <x:c r="I2267" s="35"/>
      <x:c r="J2267" s="35" t="str">
        <x:v>PASS</x:v>
      </x:c>
      <x:c r="K2267" s="35" t="str">
        <x:v>FAIL</x:v>
      </x:c>
      <x:c r="L2267" s="35" t="str">
        <x:v>NOT_RUN</x:v>
      </x:c>
      <x:c r="M2267" s="35" t="str">
        <x:v>coverage unavailable or execution/compile failed</x:v>
      </x:c>
      <x:c r="N2267" s="35" t="str">
        <x:v>Deepseek-flash-v4/Result/Jsoup_54/result.json</x:v>
      </x:c>
      <x:c r="O2267" s="39" t="str">
        <x:f>IF(AND(G2267="RECORDED",ISNUMBER(H2267)),H2267,"")</x:f>
      </x:c>
      <x:c r="P2267" s="35" t="str">
        <x:v>NOT_AVAILABLE</x:v>
      </x:c>
      <x:c r="Q2267" s="35" t="str">
        <x:v>Deepseek-flash-v4/Result/Jsoup_54/result.json</x:v>
      </x:c>
    </x:row>
    <x:row r="2268">
      <x:c r="A2268" s="35" t="str">
        <x:v>deepseek</x:v>
      </x:c>
      <x:c r="B2268" s="35" t="str">
        <x:v>Jsoup</x:v>
      </x:c>
      <x:c r="C2268" s="35" t="str">
        <x:v>Round1</x:v>
      </x:c>
      <x:c r="D2268" s="35" t="str">
        <x:v>Jsoup_55</x:v>
      </x:c>
      <x:c r="E2268" s="35" t="str">
        <x:v>Condition</x:v>
      </x:c>
      <x:c r="F2268" s="35"/>
      <x:c r="G2268" s="35" t="str">
        <x:v>A</x:v>
      </x:c>
      <x:c r="H2268" s="39" t="str">
        <x:f>IF(ISNUMBER('Data'!N560),'Data'!N560*100,"")</x:f>
      </x:c>
      <x:c r="I2268" s="35"/>
      <x:c r="J2268" s="35" t="str">
        <x:v>PASS</x:v>
      </x:c>
      <x:c r="K2268" s="35" t="str">
        <x:v>FAIL</x:v>
      </x:c>
      <x:c r="L2268" s="35" t="str">
        <x:v>NOT_RUN</x:v>
      </x:c>
      <x:c r="M2268" s="35" t="str">
        <x:v>coverage unavailable or execution/compile failed</x:v>
      </x:c>
      <x:c r="N2268" s="35" t="str">
        <x:v>Deepseek-flash-v4/Result/Jsoup_55/result.json</x:v>
      </x:c>
      <x:c r="O2268" s="39" t="str">
        <x:f>IF(AND(G2268="RECORDED",ISNUMBER(H2268)),H2268,"")</x:f>
      </x:c>
      <x:c r="P2268" s="35" t="str">
        <x:v>NOT_AVAILABLE</x:v>
      </x:c>
      <x:c r="Q2268" s="35" t="str">
        <x:v>Deepseek-flash-v4/Result/Jsoup_55/result.json</x:v>
      </x:c>
    </x:row>
    <x:row r="2269">
      <x:c r="A2269" s="35" t="str">
        <x:v>deepseek</x:v>
      </x:c>
      <x:c r="B2269" s="35" t="str">
        <x:v>Jsoup</x:v>
      </x:c>
      <x:c r="C2269" s="35" t="str">
        <x:v>Round1</x:v>
      </x:c>
      <x:c r="D2269" s="35" t="str">
        <x:v>Jsoup_56</x:v>
      </x:c>
      <x:c r="E2269" s="35" t="str">
        <x:v>Condition</x:v>
      </x:c>
      <x:c r="F2269" s="35"/>
      <x:c r="G2269" s="35" t="str">
        <x:v>A</x:v>
      </x:c>
      <x:c r="H2269" s="39" t="str">
        <x:f>IF(ISNUMBER('Data'!N561),'Data'!N561*100,"")</x:f>
      </x:c>
      <x:c r="I2269" s="35"/>
      <x:c r="J2269" s="35" t="str">
        <x:v>PASS</x:v>
      </x:c>
      <x:c r="K2269" s="35" t="str">
        <x:v>FAIL</x:v>
      </x:c>
      <x:c r="L2269" s="35" t="str">
        <x:v>NOT_RUN</x:v>
      </x:c>
      <x:c r="M2269" s="35" t="str">
        <x:v>coverage unavailable or execution/compile failed</x:v>
      </x:c>
      <x:c r="N2269" s="35" t="str">
        <x:v>Deepseek-flash-v4/Result/Jsoup_56/result.json</x:v>
      </x:c>
      <x:c r="O2269" s="39" t="str">
        <x:f>IF(AND(G2269="RECORDED",ISNUMBER(H2269)),H2269,"")</x:f>
      </x:c>
      <x:c r="P2269" s="35" t="str">
        <x:v>NOT_AVAILABLE</x:v>
      </x:c>
      <x:c r="Q2269" s="35" t="str">
        <x:v>Deepseek-flash-v4/Result/Jsoup_56/result.json</x:v>
      </x:c>
    </x:row>
    <x:row r="2270">
      <x:c r="A2270" s="35" t="str">
        <x:v>deepseek</x:v>
      </x:c>
      <x:c r="B2270" s="35" t="str">
        <x:v>Jsoup</x:v>
      </x:c>
      <x:c r="C2270" s="35" t="str">
        <x:v>Round1</x:v>
      </x:c>
      <x:c r="D2270" s="35" t="str">
        <x:v>Jsoup_57</x:v>
      </x:c>
      <x:c r="E2270" s="35" t="str">
        <x:v>Condition</x:v>
      </x:c>
      <x:c r="F2270" s="35" t="n">
        <x:v>76</x:v>
      </x:c>
      <x:c r="G2270" s="35" t="str">
        <x:v>RECORDED</x:v>
      </x:c>
      <x:c r="H2270" s="39" t="n">
        <x:f>IF(ISNUMBER('Data'!N562),'Data'!N562*100,"")</x:f>
        <x:v>93.42</x:v>
      </x:c>
      <x:c r="I2270" s="35" t="str">
        <x:v>PASS</x:v>
      </x:c>
      <x:c r="J2270" s="35" t="str">
        <x:v>PASS</x:v>
      </x:c>
      <x:c r="K2270" s="35" t="str">
        <x:v>PASS</x:v>
      </x:c>
      <x:c r="L2270" s="35" t="str">
        <x:v>PASS</x:v>
      </x:c>
      <x:c r="M2270" s="35" t="str">
        <x:v>numeric coverage for applicable metric</x:v>
      </x:c>
      <x:c r="N2270" s="35" t="str">
        <x:v>Deepseek-flash-v4/Result/Jsoup_57/result.json</x:v>
      </x:c>
      <x:c r="O2270" s="39" t="n">
        <x:f>IF(AND(G2270="RECORDED",ISNUMBER(H2270)),H2270,"")</x:f>
        <x:v>93.42</x:v>
      </x:c>
      <x:c r="P2270" s="35" t="str">
        <x:v>NOT_REVEALING</x:v>
      </x:c>
      <x:c r="Q2270" s="35" t="str">
        <x:v>Deepseek-flash-v4/Result/Jsoup_57/result.json</x:v>
      </x:c>
    </x:row>
    <x:row r="2271">
      <x:c r="A2271" s="35" t="str">
        <x:v>deepseek</x:v>
      </x:c>
      <x:c r="B2271" s="35" t="str">
        <x:v>Jsoup</x:v>
      </x:c>
      <x:c r="C2271" s="35" t="str">
        <x:v>Round1</x:v>
      </x:c>
      <x:c r="D2271" s="35" t="str">
        <x:v>Jsoup_58</x:v>
      </x:c>
      <x:c r="E2271" s="35" t="str">
        <x:v>Condition</x:v>
      </x:c>
      <x:c r="F2271" s="35" t="n">
        <x:v>32</x:v>
      </x:c>
      <x:c r="G2271" s="35" t="str">
        <x:v>RECORDED</x:v>
      </x:c>
      <x:c r="H2271" s="39" t="n">
        <x:f>IF(ISNUMBER('Data'!N563),'Data'!N563*100,"")</x:f>
        <x:v>100</x:v>
      </x:c>
      <x:c r="I2271" s="35" t="str">
        <x:v>PASS</x:v>
      </x:c>
      <x:c r="J2271" s="35" t="str">
        <x:v>PASS</x:v>
      </x:c>
      <x:c r="K2271" s="35" t="str">
        <x:v>PASS</x:v>
      </x:c>
      <x:c r="L2271" s="35" t="str">
        <x:v>FAIL</x:v>
      </x:c>
      <x:c r="M2271" s="35" t="str">
        <x:v>numeric coverage for applicable metric</x:v>
      </x:c>
      <x:c r="N2271" s="35" t="str">
        <x:v>Deepseek-flash-v4/Result/Jsoup_58/result.json</x:v>
      </x:c>
      <x:c r="O2271" s="39" t="n">
        <x:f>IF(AND(G2271="RECORDED",ISNUMBER(H2271)),H2271,"")</x:f>
        <x:v>100</x:v>
      </x:c>
      <x:c r="P2271" s="35" t="str">
        <x:v>INCONCLUSIVE</x:v>
      </x:c>
      <x:c r="Q2271" s="35" t="str">
        <x:v>Deepseek-flash-v4/Result/Jsoup_58/result.json</x:v>
      </x:c>
    </x:row>
    <x:row r="2272">
      <x:c r="A2272" s="35" t="str">
        <x:v>deepseek</x:v>
      </x:c>
      <x:c r="B2272" s="35" t="str">
        <x:v>Jsoup</x:v>
      </x:c>
      <x:c r="C2272" s="35" t="str">
        <x:v>Round1</x:v>
      </x:c>
      <x:c r="D2272" s="35" t="str">
        <x:v>Jsoup_59</x:v>
      </x:c>
      <x:c r="E2272" s="35" t="str">
        <x:v>Condition</x:v>
      </x:c>
      <x:c r="F2272" s="35"/>
      <x:c r="G2272" s="35" t="str">
        <x:v>A</x:v>
      </x:c>
      <x:c r="H2272" s="39" t="str">
        <x:f>IF(ISNUMBER('Data'!N564),'Data'!N564*100,"")</x:f>
      </x:c>
      <x:c r="I2272" s="35"/>
      <x:c r="J2272" s="35" t="str">
        <x:v>PASS</x:v>
      </x:c>
      <x:c r="K2272" s="35" t="str">
        <x:v>FAIL</x:v>
      </x:c>
      <x:c r="L2272" s="35" t="str">
        <x:v>NOT_RUN</x:v>
      </x:c>
      <x:c r="M2272" s="35" t="str">
        <x:v>coverage unavailable or execution/compile failed</x:v>
      </x:c>
      <x:c r="N2272" s="35" t="str">
        <x:v>Deepseek-flash-v4/Result/Jsoup_59/result.json</x:v>
      </x:c>
      <x:c r="O2272" s="39" t="str">
        <x:f>IF(AND(G2272="RECORDED",ISNUMBER(H2272)),H2272,"")</x:f>
      </x:c>
      <x:c r="P2272" s="35" t="str">
        <x:v>NOT_AVAILABLE</x:v>
      </x:c>
      <x:c r="Q2272" s="35" t="str">
        <x:v>Deepseek-flash-v4/Result/Jsoup_59/result.json</x:v>
      </x:c>
    </x:row>
    <x:row r="2273">
      <x:c r="A2273" s="35" t="str">
        <x:v>deepseek</x:v>
      </x:c>
      <x:c r="B2273" s="35" t="str">
        <x:v>Jsoup</x:v>
      </x:c>
      <x:c r="C2273" s="35" t="str">
        <x:v>Round1</x:v>
      </x:c>
      <x:c r="D2273" s="35" t="str">
        <x:v>Jsoup_6</x:v>
      </x:c>
      <x:c r="E2273" s="35" t="str">
        <x:v>Condition</x:v>
      </x:c>
      <x:c r="F2273" s="35"/>
      <x:c r="G2273" s="35" t="str">
        <x:v>A</x:v>
      </x:c>
      <x:c r="H2273" s="39" t="str">
        <x:f>IF(ISNUMBER('Data'!N565),'Data'!N565*100,"")</x:f>
      </x:c>
      <x:c r="I2273" s="35"/>
      <x:c r="J2273" s="35" t="str">
        <x:v>PASS</x:v>
      </x:c>
      <x:c r="K2273" s="35" t="str">
        <x:v>FAIL</x:v>
      </x:c>
      <x:c r="L2273" s="35" t="str">
        <x:v>NOT_RUN</x:v>
      </x:c>
      <x:c r="M2273" s="35" t="str">
        <x:v>coverage unavailable or execution/compile failed</x:v>
      </x:c>
      <x:c r="N2273" s="35" t="str">
        <x:v>Deepseek-flash-v4/Result/Jsoup_6/result.json</x:v>
      </x:c>
      <x:c r="O2273" s="39" t="str">
        <x:f>IF(AND(G2273="RECORDED",ISNUMBER(H2273)),H2273,"")</x:f>
      </x:c>
      <x:c r="P2273" s="35" t="str">
        <x:v>NOT_AVAILABLE</x:v>
      </x:c>
      <x:c r="Q2273" s="35" t="str">
        <x:v>Deepseek-flash-v4/Result/Jsoup_6/result.json</x:v>
      </x:c>
    </x:row>
    <x:row r="2274">
      <x:c r="A2274" s="35" t="str">
        <x:v>deepseek</x:v>
      </x:c>
      <x:c r="B2274" s="35" t="str">
        <x:v>Jsoup</x:v>
      </x:c>
      <x:c r="C2274" s="35" t="str">
        <x:v>Round1</x:v>
      </x:c>
      <x:c r="D2274" s="35" t="str">
        <x:v>Jsoup_60</x:v>
      </x:c>
      <x:c r="E2274" s="35" t="str">
        <x:v>Condition</x:v>
      </x:c>
      <x:c r="F2274" s="35"/>
      <x:c r="G2274" s="35" t="str">
        <x:v>A</x:v>
      </x:c>
      <x:c r="H2274" s="39" t="str">
        <x:f>IF(ISNUMBER('Data'!N566),'Data'!N566*100,"")</x:f>
      </x:c>
      <x:c r="I2274" s="35"/>
      <x:c r="J2274" s="35" t="str">
        <x:v>PASS</x:v>
      </x:c>
      <x:c r="K2274" s="35" t="str">
        <x:v>FAIL</x:v>
      </x:c>
      <x:c r="L2274" s="35" t="str">
        <x:v>NOT_RUN</x:v>
      </x:c>
      <x:c r="M2274" s="35" t="str">
        <x:v>coverage unavailable or execution/compile failed</x:v>
      </x:c>
      <x:c r="N2274" s="35" t="str">
        <x:v>Deepseek-flash-v4/Result/Jsoup_60/result.json</x:v>
      </x:c>
      <x:c r="O2274" s="39" t="str">
        <x:f>IF(AND(G2274="RECORDED",ISNUMBER(H2274)),H2274,"")</x:f>
      </x:c>
      <x:c r="P2274" s="35" t="str">
        <x:v>NOT_AVAILABLE</x:v>
      </x:c>
      <x:c r="Q2274" s="35" t="str">
        <x:v>Deepseek-flash-v4/Result/Jsoup_60/result.json</x:v>
      </x:c>
    </x:row>
    <x:row r="2275">
      <x:c r="A2275" s="35" t="str">
        <x:v>deepseek</x:v>
      </x:c>
      <x:c r="B2275" s="35" t="str">
        <x:v>Jsoup</x:v>
      </x:c>
      <x:c r="C2275" s="35" t="str">
        <x:v>Round1</x:v>
      </x:c>
      <x:c r="D2275" s="35" t="str">
        <x:v>Jsoup_61</x:v>
      </x:c>
      <x:c r="E2275" s="35" t="str">
        <x:v>Condition</x:v>
      </x:c>
      <x:c r="F2275" s="35"/>
      <x:c r="G2275" s="35" t="str">
        <x:v>A</x:v>
      </x:c>
      <x:c r="H2275" s="39" t="str">
        <x:f>IF(ISNUMBER('Data'!N567),'Data'!N567*100,"")</x:f>
      </x:c>
      <x:c r="I2275" s="35"/>
      <x:c r="J2275" s="35" t="str">
        <x:v>PASS</x:v>
      </x:c>
      <x:c r="K2275" s="35" t="str">
        <x:v>FAIL</x:v>
      </x:c>
      <x:c r="L2275" s="35" t="str">
        <x:v>NOT_RUN</x:v>
      </x:c>
      <x:c r="M2275" s="35" t="str">
        <x:v>coverage unavailable or execution/compile failed</x:v>
      </x:c>
      <x:c r="N2275" s="35" t="str">
        <x:v>Deepseek-flash-v4/Result/Jsoup_61/result.json</x:v>
      </x:c>
      <x:c r="O2275" s="39" t="str">
        <x:f>IF(AND(G2275="RECORDED",ISNUMBER(H2275)),H2275,"")</x:f>
      </x:c>
      <x:c r="P2275" s="35" t="str">
        <x:v>NOT_AVAILABLE</x:v>
      </x:c>
      <x:c r="Q2275" s="35" t="str">
        <x:v>Deepseek-flash-v4/Result/Jsoup_61/result.json</x:v>
      </x:c>
    </x:row>
    <x:row r="2276">
      <x:c r="A2276" s="35" t="str">
        <x:v>deepseek</x:v>
      </x:c>
      <x:c r="B2276" s="35" t="str">
        <x:v>Jsoup</x:v>
      </x:c>
      <x:c r="C2276" s="35" t="str">
        <x:v>Round1</x:v>
      </x:c>
      <x:c r="D2276" s="35" t="str">
        <x:v>Jsoup_62</x:v>
      </x:c>
      <x:c r="E2276" s="35" t="str">
        <x:v>Condition</x:v>
      </x:c>
      <x:c r="F2276" s="35"/>
      <x:c r="G2276" s="35" t="str">
        <x:v>A</x:v>
      </x:c>
      <x:c r="H2276" s="39" t="str">
        <x:f>IF(ISNUMBER('Data'!N568),'Data'!N568*100,"")</x:f>
      </x:c>
      <x:c r="I2276" s="35"/>
      <x:c r="J2276" s="35" t="str">
        <x:v>PASS</x:v>
      </x:c>
      <x:c r="K2276" s="35" t="str">
        <x:v>FAIL</x:v>
      </x:c>
      <x:c r="L2276" s="35" t="str">
        <x:v>NOT_RUN</x:v>
      </x:c>
      <x:c r="M2276" s="35" t="str">
        <x:v>coverage unavailable or execution/compile failed</x:v>
      </x:c>
      <x:c r="N2276" s="35" t="str">
        <x:v>Deepseek-flash-v4/Result/Jsoup_62/result.json</x:v>
      </x:c>
      <x:c r="O2276" s="39" t="str">
        <x:f>IF(AND(G2276="RECORDED",ISNUMBER(H2276)),H2276,"")</x:f>
      </x:c>
      <x:c r="P2276" s="35" t="str">
        <x:v>NOT_AVAILABLE</x:v>
      </x:c>
      <x:c r="Q2276" s="35" t="str">
        <x:v>Deepseek-flash-v4/Result/Jsoup_62/result.json</x:v>
      </x:c>
    </x:row>
    <x:row r="2277">
      <x:c r="A2277" s="35" t="str">
        <x:v>deepseek</x:v>
      </x:c>
      <x:c r="B2277" s="35" t="str">
        <x:v>Jsoup</x:v>
      </x:c>
      <x:c r="C2277" s="35" t="str">
        <x:v>Round1</x:v>
      </x:c>
      <x:c r="D2277" s="35" t="str">
        <x:v>Jsoup_63</x:v>
      </x:c>
      <x:c r="E2277" s="35" t="str">
        <x:v>Condition</x:v>
      </x:c>
      <x:c r="F2277" s="35"/>
      <x:c r="G2277" s="35" t="str">
        <x:v>A</x:v>
      </x:c>
      <x:c r="H2277" s="39" t="str">
        <x:f>IF(ISNUMBER('Data'!N569),'Data'!N569*100,"")</x:f>
      </x:c>
      <x:c r="I2277" s="35"/>
      <x:c r="J2277" s="35" t="str">
        <x:v>PASS</x:v>
      </x:c>
      <x:c r="K2277" s="35" t="str">
        <x:v>FAIL</x:v>
      </x:c>
      <x:c r="L2277" s="35" t="str">
        <x:v>NOT_RUN</x:v>
      </x:c>
      <x:c r="M2277" s="35" t="str">
        <x:v>coverage unavailable or execution/compile failed</x:v>
      </x:c>
      <x:c r="N2277" s="35" t="str">
        <x:v>Deepseek-flash-v4/Result/Jsoup_63/result.json</x:v>
      </x:c>
      <x:c r="O2277" s="39" t="str">
        <x:f>IF(AND(G2277="RECORDED",ISNUMBER(H2277)),H2277,"")</x:f>
      </x:c>
      <x:c r="P2277" s="35" t="str">
        <x:v>NOT_AVAILABLE</x:v>
      </x:c>
      <x:c r="Q2277" s="35" t="str">
        <x:v>Deepseek-flash-v4/Result/Jsoup_63/result.json</x:v>
      </x:c>
    </x:row>
    <x:row r="2278">
      <x:c r="A2278" s="35" t="str">
        <x:v>deepseek</x:v>
      </x:c>
      <x:c r="B2278" s="35" t="str">
        <x:v>Jsoup</x:v>
      </x:c>
      <x:c r="C2278" s="35" t="str">
        <x:v>Round1</x:v>
      </x:c>
      <x:c r="D2278" s="35" t="str">
        <x:v>Jsoup_64</x:v>
      </x:c>
      <x:c r="E2278" s="35" t="str">
        <x:v>Condition</x:v>
      </x:c>
      <x:c r="F2278" s="35"/>
      <x:c r="G2278" s="35" t="str">
        <x:v>A</x:v>
      </x:c>
      <x:c r="H2278" s="39" t="str">
        <x:f>IF(ISNUMBER('Data'!N570),'Data'!N570*100,"")</x:f>
      </x:c>
      <x:c r="I2278" s="35"/>
      <x:c r="J2278" s="35" t="str">
        <x:v>PASS</x:v>
      </x:c>
      <x:c r="K2278" s="35" t="str">
        <x:v>FAIL</x:v>
      </x:c>
      <x:c r="L2278" s="35" t="str">
        <x:v>NOT_RUN</x:v>
      </x:c>
      <x:c r="M2278" s="35" t="str">
        <x:v>coverage unavailable or execution/compile failed</x:v>
      </x:c>
      <x:c r="N2278" s="35" t="str">
        <x:v>Deepseek-flash-v4/Result/Jsoup_64/result.json</x:v>
      </x:c>
      <x:c r="O2278" s="39" t="str">
        <x:f>IF(AND(G2278="RECORDED",ISNUMBER(H2278)),H2278,"")</x:f>
      </x:c>
      <x:c r="P2278" s="35" t="str">
        <x:v>NOT_AVAILABLE</x:v>
      </x:c>
      <x:c r="Q2278" s="35" t="str">
        <x:v>Deepseek-flash-v4/Result/Jsoup_64/result.json</x:v>
      </x:c>
    </x:row>
    <x:row r="2279">
      <x:c r="A2279" s="35" t="str">
        <x:v>deepseek</x:v>
      </x:c>
      <x:c r="B2279" s="35" t="str">
        <x:v>Jsoup</x:v>
      </x:c>
      <x:c r="C2279" s="35" t="str">
        <x:v>Round1</x:v>
      </x:c>
      <x:c r="D2279" s="35" t="str">
        <x:v>Jsoup_65</x:v>
      </x:c>
      <x:c r="E2279" s="35" t="str">
        <x:v>Condition</x:v>
      </x:c>
      <x:c r="F2279" s="35"/>
      <x:c r="G2279" s="35" t="str">
        <x:v>A</x:v>
      </x:c>
      <x:c r="H2279" s="39" t="str">
        <x:f>IF(ISNUMBER('Data'!N571),'Data'!N571*100,"")</x:f>
      </x:c>
      <x:c r="I2279" s="35"/>
      <x:c r="J2279" s="35" t="str">
        <x:v>PASS</x:v>
      </x:c>
      <x:c r="K2279" s="35" t="str">
        <x:v>FAIL</x:v>
      </x:c>
      <x:c r="L2279" s="35" t="str">
        <x:v>NOT_RUN</x:v>
      </x:c>
      <x:c r="M2279" s="35" t="str">
        <x:v>coverage unavailable or execution/compile failed</x:v>
      </x:c>
      <x:c r="N2279" s="35" t="str">
        <x:v>Deepseek-flash-v4/Result/Jsoup_65/result.json</x:v>
      </x:c>
      <x:c r="O2279" s="39" t="str">
        <x:f>IF(AND(G2279="RECORDED",ISNUMBER(H2279)),H2279,"")</x:f>
      </x:c>
      <x:c r="P2279" s="35" t="str">
        <x:v>NOT_AVAILABLE</x:v>
      </x:c>
      <x:c r="Q2279" s="35" t="str">
        <x:v>Deepseek-flash-v4/Result/Jsoup_65/result.json</x:v>
      </x:c>
    </x:row>
    <x:row r="2280">
      <x:c r="A2280" s="35" t="str">
        <x:v>deepseek</x:v>
      </x:c>
      <x:c r="B2280" s="35" t="str">
        <x:v>Jsoup</x:v>
      </x:c>
      <x:c r="C2280" s="35" t="str">
        <x:v>Round1</x:v>
      </x:c>
      <x:c r="D2280" s="35" t="str">
        <x:v>Jsoup_66</x:v>
      </x:c>
      <x:c r="E2280" s="35" t="str">
        <x:v>Condition</x:v>
      </x:c>
      <x:c r="F2280" s="35"/>
      <x:c r="G2280" s="35" t="str">
        <x:v>A</x:v>
      </x:c>
      <x:c r="H2280" s="39" t="str">
        <x:f>IF(ISNUMBER('Data'!N572),'Data'!N572*100,"")</x:f>
      </x:c>
      <x:c r="I2280" s="35"/>
      <x:c r="J2280" s="35" t="str">
        <x:v>PASS</x:v>
      </x:c>
      <x:c r="K2280" s="35" t="str">
        <x:v>FAIL</x:v>
      </x:c>
      <x:c r="L2280" s="35" t="str">
        <x:v>NOT_RUN</x:v>
      </x:c>
      <x:c r="M2280" s="35" t="str">
        <x:v>coverage unavailable or execution/compile failed</x:v>
      </x:c>
      <x:c r="N2280" s="35" t="str">
        <x:v>Deepseek-flash-v4/Result/Jsoup_66/result.json</x:v>
      </x:c>
      <x:c r="O2280" s="39" t="str">
        <x:f>IF(AND(G2280="RECORDED",ISNUMBER(H2280)),H2280,"")</x:f>
      </x:c>
      <x:c r="P2280" s="35" t="str">
        <x:v>NOT_AVAILABLE</x:v>
      </x:c>
      <x:c r="Q2280" s="35" t="str">
        <x:v>Deepseek-flash-v4/Result/Jsoup_66/result.json</x:v>
      </x:c>
    </x:row>
    <x:row r="2281">
      <x:c r="A2281" s="35" t="str">
        <x:v>deepseek</x:v>
      </x:c>
      <x:c r="B2281" s="35" t="str">
        <x:v>Jsoup</x:v>
      </x:c>
      <x:c r="C2281" s="35" t="str">
        <x:v>Round1</x:v>
      </x:c>
      <x:c r="D2281" s="35" t="str">
        <x:v>Jsoup_67</x:v>
      </x:c>
      <x:c r="E2281" s="35" t="str">
        <x:v>Condition</x:v>
      </x:c>
      <x:c r="F2281" s="35"/>
      <x:c r="G2281" s="35" t="str">
        <x:v>A</x:v>
      </x:c>
      <x:c r="H2281" s="39" t="str">
        <x:f>IF(ISNUMBER('Data'!N573),'Data'!N573*100,"")</x:f>
      </x:c>
      <x:c r="I2281" s="35"/>
      <x:c r="J2281" s="35" t="str">
        <x:v>PASS</x:v>
      </x:c>
      <x:c r="K2281" s="35" t="str">
        <x:v>FAIL</x:v>
      </x:c>
      <x:c r="L2281" s="35" t="str">
        <x:v>NOT_RUN</x:v>
      </x:c>
      <x:c r="M2281" s="35" t="str">
        <x:v>coverage unavailable or execution/compile failed</x:v>
      </x:c>
      <x:c r="N2281" s="35" t="str">
        <x:v>Deepseek-flash-v4/Result/Jsoup_67/result.json</x:v>
      </x:c>
      <x:c r="O2281" s="39" t="str">
        <x:f>IF(AND(G2281="RECORDED",ISNUMBER(H2281)),H2281,"")</x:f>
      </x:c>
      <x:c r="P2281" s="35" t="str">
        <x:v>NOT_AVAILABLE</x:v>
      </x:c>
      <x:c r="Q2281" s="35" t="str">
        <x:v>Deepseek-flash-v4/Result/Jsoup_67/result.json</x:v>
      </x:c>
    </x:row>
    <x:row r="2282">
      <x:c r="A2282" s="35" t="str">
        <x:v>deepseek</x:v>
      </x:c>
      <x:c r="B2282" s="35" t="str">
        <x:v>Jsoup</x:v>
      </x:c>
      <x:c r="C2282" s="35" t="str">
        <x:v>Round1</x:v>
      </x:c>
      <x:c r="D2282" s="35" t="str">
        <x:v>Jsoup_68</x:v>
      </x:c>
      <x:c r="E2282" s="35" t="str">
        <x:v>Condition</x:v>
      </x:c>
      <x:c r="F2282" s="35"/>
      <x:c r="G2282" s="35" t="str">
        <x:v>A</x:v>
      </x:c>
      <x:c r="H2282" s="39" t="str">
        <x:f>IF(ISNUMBER('Data'!N574),'Data'!N574*100,"")</x:f>
      </x:c>
      <x:c r="I2282" s="35"/>
      <x:c r="J2282" s="35" t="str">
        <x:v>PASS</x:v>
      </x:c>
      <x:c r="K2282" s="35" t="str">
        <x:v>FAIL</x:v>
      </x:c>
      <x:c r="L2282" s="35" t="str">
        <x:v>NOT_RUN</x:v>
      </x:c>
      <x:c r="M2282" s="35" t="str">
        <x:v>coverage unavailable or execution/compile failed</x:v>
      </x:c>
      <x:c r="N2282" s="35" t="str">
        <x:v>Deepseek-flash-v4/Result/Jsoup_68/result.json</x:v>
      </x:c>
      <x:c r="O2282" s="39" t="str">
        <x:f>IF(AND(G2282="RECORDED",ISNUMBER(H2282)),H2282,"")</x:f>
      </x:c>
      <x:c r="P2282" s="35" t="str">
        <x:v>NOT_AVAILABLE</x:v>
      </x:c>
      <x:c r="Q2282" s="35" t="str">
        <x:v>Deepseek-flash-v4/Result/Jsoup_68/result.json</x:v>
      </x:c>
    </x:row>
    <x:row r="2283">
      <x:c r="A2283" s="35" t="str">
        <x:v>deepseek</x:v>
      </x:c>
      <x:c r="B2283" s="35" t="str">
        <x:v>Jsoup</x:v>
      </x:c>
      <x:c r="C2283" s="35" t="str">
        <x:v>Round1</x:v>
      </x:c>
      <x:c r="D2283" s="35" t="str">
        <x:v>Jsoup_69</x:v>
      </x:c>
      <x:c r="E2283" s="35" t="str">
        <x:v>Condition</x:v>
      </x:c>
      <x:c r="F2283" s="35" t="n">
        <x:v>28</x:v>
      </x:c>
      <x:c r="G2283" s="35" t="str">
        <x:v>RECORDED</x:v>
      </x:c>
      <x:c r="H2283" s="39" t="n">
        <x:f>IF(ISNUMBER('Data'!N575),'Data'!N575*100,"")</x:f>
        <x:v>85.71</x:v>
      </x:c>
      <x:c r="I2283" s="35" t="str">
        <x:v>PASS</x:v>
      </x:c>
      <x:c r="J2283" s="35" t="str">
        <x:v>PASS</x:v>
      </x:c>
      <x:c r="K2283" s="35" t="str">
        <x:v>PASS</x:v>
      </x:c>
      <x:c r="L2283" s="35" t="str">
        <x:v>FAIL</x:v>
      </x:c>
      <x:c r="M2283" s="35" t="str">
        <x:v>numeric coverage for applicable metric</x:v>
      </x:c>
      <x:c r="N2283" s="35" t="str">
        <x:v>Deepseek-flash-v4/Result/Jsoup_69/result.json</x:v>
      </x:c>
      <x:c r="O2283" s="39" t="n">
        <x:f>IF(AND(G2283="RECORDED",ISNUMBER(H2283)),H2283,"")</x:f>
        <x:v>85.71</x:v>
      </x:c>
      <x:c r="P2283" s="35" t="str">
        <x:v>INCONCLUSIVE</x:v>
      </x:c>
      <x:c r="Q2283" s="35" t="str">
        <x:v>Deepseek-flash-v4/Result/Jsoup_69/result.json</x:v>
      </x:c>
    </x:row>
    <x:row r="2284">
      <x:c r="A2284" s="35" t="str">
        <x:v>deepseek</x:v>
      </x:c>
      <x:c r="B2284" s="35" t="str">
        <x:v>Jsoup</x:v>
      </x:c>
      <x:c r="C2284" s="35" t="str">
        <x:v>Round1</x:v>
      </x:c>
      <x:c r="D2284" s="35" t="str">
        <x:v>Jsoup_7</x:v>
      </x:c>
      <x:c r="E2284" s="35" t="str">
        <x:v>Condition</x:v>
      </x:c>
      <x:c r="F2284" s="35"/>
      <x:c r="G2284" s="35" t="str">
        <x:v>A</x:v>
      </x:c>
      <x:c r="H2284" s="39" t="str">
        <x:f>IF(ISNUMBER('Data'!N576),'Data'!N576*100,"")</x:f>
      </x:c>
      <x:c r="I2284" s="35"/>
      <x:c r="J2284" s="35" t="str">
        <x:v>PASS</x:v>
      </x:c>
      <x:c r="K2284" s="35" t="str">
        <x:v>FAIL</x:v>
      </x:c>
      <x:c r="L2284" s="35" t="str">
        <x:v>NOT_RUN</x:v>
      </x:c>
      <x:c r="M2284" s="35" t="str">
        <x:v>coverage unavailable or execution/compile failed</x:v>
      </x:c>
      <x:c r="N2284" s="35" t="str">
        <x:v>Deepseek-flash-v4/Result/Jsoup_7/result.json</x:v>
      </x:c>
      <x:c r="O2284" s="39" t="str">
        <x:f>IF(AND(G2284="RECORDED",ISNUMBER(H2284)),H2284,"")</x:f>
      </x:c>
      <x:c r="P2284" s="35" t="str">
        <x:v>NOT_AVAILABLE</x:v>
      </x:c>
      <x:c r="Q2284" s="35" t="str">
        <x:v>Deepseek-flash-v4/Result/Jsoup_7/result.json</x:v>
      </x:c>
    </x:row>
    <x:row r="2285">
      <x:c r="A2285" s="35" t="str">
        <x:v>deepseek</x:v>
      </x:c>
      <x:c r="B2285" s="35" t="str">
        <x:v>Jsoup</x:v>
      </x:c>
      <x:c r="C2285" s="35" t="str">
        <x:v>Round1</x:v>
      </x:c>
      <x:c r="D2285" s="35" t="str">
        <x:v>Jsoup_70</x:v>
      </x:c>
      <x:c r="E2285" s="35" t="str">
        <x:v>Condition</x:v>
      </x:c>
      <x:c r="F2285" s="35"/>
      <x:c r="G2285" s="35" t="str">
        <x:v>A</x:v>
      </x:c>
      <x:c r="H2285" s="39" t="str">
        <x:f>IF(ISNUMBER('Data'!N577),'Data'!N577*100,"")</x:f>
      </x:c>
      <x:c r="I2285" s="35"/>
      <x:c r="J2285" s="35" t="str">
        <x:v>PASS</x:v>
      </x:c>
      <x:c r="K2285" s="35" t="str">
        <x:v>FAIL</x:v>
      </x:c>
      <x:c r="L2285" s="35" t="str">
        <x:v>NOT_RUN</x:v>
      </x:c>
      <x:c r="M2285" s="35" t="str">
        <x:v>coverage unavailable or execution/compile failed</x:v>
      </x:c>
      <x:c r="N2285" s="35" t="str">
        <x:v>Deepseek-flash-v4/Result/Jsoup_70/result.json</x:v>
      </x:c>
      <x:c r="O2285" s="39" t="str">
        <x:f>IF(AND(G2285="RECORDED",ISNUMBER(H2285)),H2285,"")</x:f>
      </x:c>
      <x:c r="P2285" s="35" t="str">
        <x:v>NOT_AVAILABLE</x:v>
      </x:c>
      <x:c r="Q2285" s="35" t="str">
        <x:v>Deepseek-flash-v4/Result/Jsoup_70/result.json</x:v>
      </x:c>
    </x:row>
    <x:row r="2286">
      <x:c r="A2286" s="35" t="str">
        <x:v>deepseek</x:v>
      </x:c>
      <x:c r="B2286" s="35" t="str">
        <x:v>Jsoup</x:v>
      </x:c>
      <x:c r="C2286" s="35" t="str">
        <x:v>Round1</x:v>
      </x:c>
      <x:c r="D2286" s="35" t="str">
        <x:v>Jsoup_71</x:v>
      </x:c>
      <x:c r="E2286" s="35" t="str">
        <x:v>Condition</x:v>
      </x:c>
      <x:c r="F2286" s="35"/>
      <x:c r="G2286" s="35" t="str">
        <x:v>A</x:v>
      </x:c>
      <x:c r="H2286" s="39" t="str">
        <x:f>IF(ISNUMBER('Data'!N578),'Data'!N578*100,"")</x:f>
      </x:c>
      <x:c r="I2286" s="35"/>
      <x:c r="J2286" s="35" t="str">
        <x:v>PASS</x:v>
      </x:c>
      <x:c r="K2286" s="35" t="str">
        <x:v>FAIL</x:v>
      </x:c>
      <x:c r="L2286" s="35" t="str">
        <x:v>NOT_RUN</x:v>
      </x:c>
      <x:c r="M2286" s="35" t="str">
        <x:v>coverage unavailable or execution/compile failed</x:v>
      </x:c>
      <x:c r="N2286" s="35" t="str">
        <x:v>Deepseek-flash-v4/Result/Jsoup_71/result.json</x:v>
      </x:c>
      <x:c r="O2286" s="39" t="str">
        <x:f>IF(AND(G2286="RECORDED",ISNUMBER(H2286)),H2286,"")</x:f>
      </x:c>
      <x:c r="P2286" s="35" t="str">
        <x:v>NOT_AVAILABLE</x:v>
      </x:c>
      <x:c r="Q2286" s="35" t="str">
        <x:v>Deepseek-flash-v4/Result/Jsoup_71/result.json</x:v>
      </x:c>
    </x:row>
    <x:row r="2287">
      <x:c r="A2287" s="35" t="str">
        <x:v>deepseek</x:v>
      </x:c>
      <x:c r="B2287" s="35" t="str">
        <x:v>Jsoup</x:v>
      </x:c>
      <x:c r="C2287" s="35" t="str">
        <x:v>Round1</x:v>
      </x:c>
      <x:c r="D2287" s="35" t="str">
        <x:v>Jsoup_72</x:v>
      </x:c>
      <x:c r="E2287" s="35" t="str">
        <x:v>Condition</x:v>
      </x:c>
      <x:c r="F2287" s="35" t="n">
        <x:v>198</x:v>
      </x:c>
      <x:c r="G2287" s="35" t="str">
        <x:v>RECORDED</x:v>
      </x:c>
      <x:c r="H2287" s="39" t="n">
        <x:f>IF(ISNUMBER('Data'!N579),'Data'!N579*100,"")</x:f>
        <x:v>80.3</x:v>
      </x:c>
      <x:c r="I2287" s="35" t="str">
        <x:v>PASS</x:v>
      </x:c>
      <x:c r="J2287" s="35" t="str">
        <x:v>PASS</x:v>
      </x:c>
      <x:c r="K2287" s="35" t="str">
        <x:v>PASS</x:v>
      </x:c>
      <x:c r="L2287" s="35" t="str">
        <x:v>FAIL</x:v>
      </x:c>
      <x:c r="M2287" s="35" t="str">
        <x:v>numeric coverage for applicable metric</x:v>
      </x:c>
      <x:c r="N2287" s="35" t="str">
        <x:v>Deepseek-flash-v4/Result/Jsoup_72/result.json</x:v>
      </x:c>
      <x:c r="O2287" s="39" t="n">
        <x:f>IF(AND(G2287="RECORDED",ISNUMBER(H2287)),H2287,"")</x:f>
        <x:v>80.3</x:v>
      </x:c>
      <x:c r="P2287" s="35" t="str">
        <x:v>INCONCLUSIVE</x:v>
      </x:c>
      <x:c r="Q2287" s="35" t="str">
        <x:v>Deepseek-flash-v4/Result/Jsoup_72/result.json</x:v>
      </x:c>
    </x:row>
    <x:row r="2288">
      <x:c r="A2288" s="35" t="str">
        <x:v>deepseek</x:v>
      </x:c>
      <x:c r="B2288" s="35" t="str">
        <x:v>Jsoup</x:v>
      </x:c>
      <x:c r="C2288" s="35" t="str">
        <x:v>Round1</x:v>
      </x:c>
      <x:c r="D2288" s="35" t="str">
        <x:v>Jsoup_73</x:v>
      </x:c>
      <x:c r="E2288" s="35" t="str">
        <x:v>Condition</x:v>
      </x:c>
      <x:c r="F2288" s="35"/>
      <x:c r="G2288" s="35" t="str">
        <x:v>A</x:v>
      </x:c>
      <x:c r="H2288" s="39" t="str">
        <x:f>IF(ISNUMBER('Data'!N580),'Data'!N580*100,"")</x:f>
      </x:c>
      <x:c r="I2288" s="35"/>
      <x:c r="J2288" s="35" t="str">
        <x:v>PASS</x:v>
      </x:c>
      <x:c r="K2288" s="35" t="str">
        <x:v>FAIL</x:v>
      </x:c>
      <x:c r="L2288" s="35" t="str">
        <x:v>NOT_RUN</x:v>
      </x:c>
      <x:c r="M2288" s="35" t="str">
        <x:v>coverage unavailable or execution/compile failed</x:v>
      </x:c>
      <x:c r="N2288" s="35" t="str">
        <x:v>Deepseek-flash-v4/Result/Jsoup_73/result.json</x:v>
      </x:c>
      <x:c r="O2288" s="39" t="str">
        <x:f>IF(AND(G2288="RECORDED",ISNUMBER(H2288)),H2288,"")</x:f>
      </x:c>
      <x:c r="P2288" s="35" t="str">
        <x:v>NOT_AVAILABLE</x:v>
      </x:c>
      <x:c r="Q2288" s="35" t="str">
        <x:v>Deepseek-flash-v4/Result/Jsoup_73/result.json</x:v>
      </x:c>
    </x:row>
    <x:row r="2289">
      <x:c r="A2289" s="35" t="str">
        <x:v>deepseek</x:v>
      </x:c>
      <x:c r="B2289" s="35" t="str">
        <x:v>Jsoup</x:v>
      </x:c>
      <x:c r="C2289" s="35" t="str">
        <x:v>Round1</x:v>
      </x:c>
      <x:c r="D2289" s="35" t="str">
        <x:v>Jsoup_74</x:v>
      </x:c>
      <x:c r="E2289" s="35" t="str">
        <x:v>Condition</x:v>
      </x:c>
      <x:c r="F2289" s="35" t="n">
        <x:v>74</x:v>
      </x:c>
      <x:c r="G2289" s="35" t="str">
        <x:v>RECORDED</x:v>
      </x:c>
      <x:c r="H2289" s="39" t="n">
        <x:f>IF(ISNUMBER('Data'!N581),'Data'!N581*100,"")</x:f>
        <x:v>90.54</x:v>
      </x:c>
      <x:c r="I2289" s="35" t="str">
        <x:v>PASS</x:v>
      </x:c>
      <x:c r="J2289" s="35" t="str">
        <x:v>PASS</x:v>
      </x:c>
      <x:c r="K2289" s="35" t="str">
        <x:v>PASS</x:v>
      </x:c>
      <x:c r="L2289" s="35" t="str">
        <x:v>FAIL</x:v>
      </x:c>
      <x:c r="M2289" s="35" t="str">
        <x:v>numeric coverage for applicable metric</x:v>
      </x:c>
      <x:c r="N2289" s="35" t="str">
        <x:v>Deepseek-flash-v4/Result/Jsoup_74/result.json</x:v>
      </x:c>
      <x:c r="O2289" s="39" t="n">
        <x:f>IF(AND(G2289="RECORDED",ISNUMBER(H2289)),H2289,"")</x:f>
        <x:v>90.54</x:v>
      </x:c>
      <x:c r="P2289" s="35" t="str">
        <x:v>INCONCLUSIVE</x:v>
      </x:c>
      <x:c r="Q2289" s="35" t="str">
        <x:v>Deepseek-flash-v4/Result/Jsoup_74/result.json</x:v>
      </x:c>
    </x:row>
    <x:row r="2290">
      <x:c r="A2290" s="35" t="str">
        <x:v>deepseek</x:v>
      </x:c>
      <x:c r="B2290" s="35" t="str">
        <x:v>Jsoup</x:v>
      </x:c>
      <x:c r="C2290" s="35" t="str">
        <x:v>Round1</x:v>
      </x:c>
      <x:c r="D2290" s="35" t="str">
        <x:v>Jsoup_75</x:v>
      </x:c>
      <x:c r="E2290" s="35" t="str">
        <x:v>Condition</x:v>
      </x:c>
      <x:c r="F2290" s="35" t="n">
        <x:v>84</x:v>
      </x:c>
      <x:c r="G2290" s="35" t="str">
        <x:v>RECORDED</x:v>
      </x:c>
      <x:c r="H2290" s="39" t="n">
        <x:f>IF(ISNUMBER('Data'!N582),'Data'!N582*100,"")</x:f>
        <x:v>89.29</x:v>
      </x:c>
      <x:c r="I2290" s="35" t="str">
        <x:v>PASS</x:v>
      </x:c>
      <x:c r="J2290" s="35" t="str">
        <x:v>PASS</x:v>
      </x:c>
      <x:c r="K2290" s="35" t="str">
        <x:v>PASS</x:v>
      </x:c>
      <x:c r="L2290" s="35" t="str">
        <x:v>FAIL</x:v>
      </x:c>
      <x:c r="M2290" s="35" t="str">
        <x:v>numeric coverage for applicable metric</x:v>
      </x:c>
      <x:c r="N2290" s="35" t="str">
        <x:v>Deepseek-flash-v4/Result/Jsoup_75/result.json</x:v>
      </x:c>
      <x:c r="O2290" s="39" t="n">
        <x:f>IF(AND(G2290="RECORDED",ISNUMBER(H2290)),H2290,"")</x:f>
        <x:v>89.29</x:v>
      </x:c>
      <x:c r="P2290" s="35" t="str">
        <x:v>INCONCLUSIVE</x:v>
      </x:c>
      <x:c r="Q2290" s="35" t="str">
        <x:v>Deepseek-flash-v4/Result/Jsoup_75/result.json</x:v>
      </x:c>
    </x:row>
    <x:row r="2291">
      <x:c r="A2291" s="35" t="str">
        <x:v>deepseek</x:v>
      </x:c>
      <x:c r="B2291" s="35" t="str">
        <x:v>Jsoup</x:v>
      </x:c>
      <x:c r="C2291" s="35" t="str">
        <x:v>Round1</x:v>
      </x:c>
      <x:c r="D2291" s="35" t="str">
        <x:v>Jsoup_76</x:v>
      </x:c>
      <x:c r="E2291" s="35" t="str">
        <x:v>Condition</x:v>
      </x:c>
      <x:c r="F2291" s="35"/>
      <x:c r="G2291" s="35" t="str">
        <x:v>A</x:v>
      </x:c>
      <x:c r="H2291" s="39" t="str">
        <x:f>IF(ISNUMBER('Data'!N583),'Data'!N583*100,"")</x:f>
      </x:c>
      <x:c r="I2291" s="35"/>
      <x:c r="J2291" s="35" t="str">
        <x:v>PASS</x:v>
      </x:c>
      <x:c r="K2291" s="35" t="str">
        <x:v>FAIL</x:v>
      </x:c>
      <x:c r="L2291" s="35" t="str">
        <x:v>NOT_RUN</x:v>
      </x:c>
      <x:c r="M2291" s="35" t="str">
        <x:v>coverage unavailable or execution/compile failed</x:v>
      </x:c>
      <x:c r="N2291" s="35" t="str">
        <x:v>Deepseek-flash-v4/Result/Jsoup_76/result.json</x:v>
      </x:c>
      <x:c r="O2291" s="39" t="str">
        <x:f>IF(AND(G2291="RECORDED",ISNUMBER(H2291)),H2291,"")</x:f>
      </x:c>
      <x:c r="P2291" s="35" t="str">
        <x:v>NOT_AVAILABLE</x:v>
      </x:c>
      <x:c r="Q2291" s="35" t="str">
        <x:v>Deepseek-flash-v4/Result/Jsoup_76/result.json</x:v>
      </x:c>
    </x:row>
    <x:row r="2292">
      <x:c r="A2292" s="35" t="str">
        <x:v>deepseek</x:v>
      </x:c>
      <x:c r="B2292" s="35" t="str">
        <x:v>Jsoup</x:v>
      </x:c>
      <x:c r="C2292" s="35" t="str">
        <x:v>Round1</x:v>
      </x:c>
      <x:c r="D2292" s="35" t="str">
        <x:v>Jsoup_77</x:v>
      </x:c>
      <x:c r="E2292" s="35" t="str">
        <x:v>Condition</x:v>
      </x:c>
      <x:c r="F2292" s="35"/>
      <x:c r="G2292" s="35" t="str">
        <x:v>A</x:v>
      </x:c>
      <x:c r="H2292" s="39" t="str">
        <x:f>IF(ISNUMBER('Data'!N584),'Data'!N584*100,"")</x:f>
      </x:c>
      <x:c r="I2292" s="35"/>
      <x:c r="J2292" s="35" t="str">
        <x:v>PASS</x:v>
      </x:c>
      <x:c r="K2292" s="35" t="str">
        <x:v>FAIL</x:v>
      </x:c>
      <x:c r="L2292" s="35" t="str">
        <x:v>NOT_RUN</x:v>
      </x:c>
      <x:c r="M2292" s="35" t="str">
        <x:v>coverage unavailable or execution/compile failed</x:v>
      </x:c>
      <x:c r="N2292" s="35" t="str">
        <x:v>Deepseek-flash-v4/Result/Jsoup_77/result.json</x:v>
      </x:c>
      <x:c r="O2292" s="39" t="str">
        <x:f>IF(AND(G2292="RECORDED",ISNUMBER(H2292)),H2292,"")</x:f>
      </x:c>
      <x:c r="P2292" s="35" t="str">
        <x:v>NOT_AVAILABLE</x:v>
      </x:c>
      <x:c r="Q2292" s="35" t="str">
        <x:v>Deepseek-flash-v4/Result/Jsoup_77/result.json</x:v>
      </x:c>
    </x:row>
    <x:row r="2293">
      <x:c r="A2293" s="35" t="str">
        <x:v>deepseek</x:v>
      </x:c>
      <x:c r="B2293" s="35" t="str">
        <x:v>Jsoup</x:v>
      </x:c>
      <x:c r="C2293" s="35" t="str">
        <x:v>Round1</x:v>
      </x:c>
      <x:c r="D2293" s="35" t="str">
        <x:v>Jsoup_78</x:v>
      </x:c>
      <x:c r="E2293" s="35" t="str">
        <x:v>Condition</x:v>
      </x:c>
      <x:c r="F2293" s="35" t="n">
        <x:v>88</x:v>
      </x:c>
      <x:c r="G2293" s="35" t="str">
        <x:v>RECORDED</x:v>
      </x:c>
      <x:c r="H2293" s="39" t="n">
        <x:f>IF(ISNUMBER('Data'!N585),'Data'!N585*100,"")</x:f>
        <x:v>43.18</x:v>
      </x:c>
      <x:c r="I2293" s="35" t="str">
        <x:v>PASS</x:v>
      </x:c>
      <x:c r="J2293" s="35" t="str">
        <x:v>PASS</x:v>
      </x:c>
      <x:c r="K2293" s="35" t="str">
        <x:v>PASS</x:v>
      </x:c>
      <x:c r="L2293" s="35" t="str">
        <x:v>FAIL</x:v>
      </x:c>
      <x:c r="M2293" s="35" t="str">
        <x:v>numeric coverage for applicable metric</x:v>
      </x:c>
      <x:c r="N2293" s="35" t="str">
        <x:v>Deepseek-flash-v4/Result/Jsoup_78/result.json</x:v>
      </x:c>
      <x:c r="O2293" s="39" t="n">
        <x:f>IF(AND(G2293="RECORDED",ISNUMBER(H2293)),H2293,"")</x:f>
        <x:v>43.18</x:v>
      </x:c>
      <x:c r="P2293" s="35" t="str">
        <x:v>INCONCLUSIVE</x:v>
      </x:c>
      <x:c r="Q2293" s="35" t="str">
        <x:v>Deepseek-flash-v4/Result/Jsoup_78/result.json</x:v>
      </x:c>
    </x:row>
    <x:row r="2294">
      <x:c r="A2294" s="35" t="str">
        <x:v>deepseek</x:v>
      </x:c>
      <x:c r="B2294" s="35" t="str">
        <x:v>Jsoup</x:v>
      </x:c>
      <x:c r="C2294" s="35" t="str">
        <x:v>Round1</x:v>
      </x:c>
      <x:c r="D2294" s="35" t="str">
        <x:v>Jsoup_79</x:v>
      </x:c>
      <x:c r="E2294" s="35" t="str">
        <x:v>Condition</x:v>
      </x:c>
      <x:c r="F2294" s="35"/>
      <x:c r="G2294" s="35" t="str">
        <x:v>A</x:v>
      </x:c>
      <x:c r="H2294" s="39" t="str">
        <x:f>IF(ISNUMBER('Data'!N586),'Data'!N586*100,"")</x:f>
      </x:c>
      <x:c r="I2294" s="35"/>
      <x:c r="J2294" s="35" t="str">
        <x:v>PASS</x:v>
      </x:c>
      <x:c r="K2294" s="35" t="str">
        <x:v>FAIL</x:v>
      </x:c>
      <x:c r="L2294" s="35" t="str">
        <x:v>NOT_RUN</x:v>
      </x:c>
      <x:c r="M2294" s="35" t="str">
        <x:v>coverage unavailable or execution/compile failed</x:v>
      </x:c>
      <x:c r="N2294" s="35" t="str">
        <x:v>Deepseek-flash-v4/Result/Jsoup_79/result.json</x:v>
      </x:c>
      <x:c r="O2294" s="39" t="str">
        <x:f>IF(AND(G2294="RECORDED",ISNUMBER(H2294)),H2294,"")</x:f>
      </x:c>
      <x:c r="P2294" s="35" t="str">
        <x:v>NOT_AVAILABLE</x:v>
      </x:c>
      <x:c r="Q2294" s="35" t="str">
        <x:v>Deepseek-flash-v4/Result/Jsoup_79/result.json</x:v>
      </x:c>
    </x:row>
    <x:row r="2295">
      <x:c r="A2295" s="35" t="str">
        <x:v>deepseek</x:v>
      </x:c>
      <x:c r="B2295" s="35" t="str">
        <x:v>Jsoup</x:v>
      </x:c>
      <x:c r="C2295" s="35" t="str">
        <x:v>Round1</x:v>
      </x:c>
      <x:c r="D2295" s="35" t="str">
        <x:v>Jsoup_8</x:v>
      </x:c>
      <x:c r="E2295" s="35" t="str">
        <x:v>Condition</x:v>
      </x:c>
      <x:c r="F2295" s="35"/>
      <x:c r="G2295" s="35" t="str">
        <x:v>A</x:v>
      </x:c>
      <x:c r="H2295" s="39" t="str">
        <x:f>IF(ISNUMBER('Data'!N587),'Data'!N587*100,"")</x:f>
      </x:c>
      <x:c r="I2295" s="35"/>
      <x:c r="J2295" s="35" t="str">
        <x:v>PASS</x:v>
      </x:c>
      <x:c r="K2295" s="35" t="str">
        <x:v>FAIL</x:v>
      </x:c>
      <x:c r="L2295" s="35" t="str">
        <x:v>NOT_RUN</x:v>
      </x:c>
      <x:c r="M2295" s="35" t="str">
        <x:v>coverage unavailable or execution/compile failed</x:v>
      </x:c>
      <x:c r="N2295" s="35" t="str">
        <x:v>Deepseek-flash-v4/Result/Jsoup_8/result.json</x:v>
      </x:c>
      <x:c r="O2295" s="39" t="str">
        <x:f>IF(AND(G2295="RECORDED",ISNUMBER(H2295)),H2295,"")</x:f>
      </x:c>
      <x:c r="P2295" s="35" t="str">
        <x:v>NOT_AVAILABLE</x:v>
      </x:c>
      <x:c r="Q2295" s="35" t="str">
        <x:v>Deepseek-flash-v4/Result/Jsoup_8/result.json</x:v>
      </x:c>
    </x:row>
    <x:row r="2296">
      <x:c r="A2296" s="35" t="str">
        <x:v>deepseek</x:v>
      </x:c>
      <x:c r="B2296" s="35" t="str">
        <x:v>Jsoup</x:v>
      </x:c>
      <x:c r="C2296" s="35" t="str">
        <x:v>Round1</x:v>
      </x:c>
      <x:c r="D2296" s="35" t="str">
        <x:v>Jsoup_80</x:v>
      </x:c>
      <x:c r="E2296" s="35" t="str">
        <x:v>Condition</x:v>
      </x:c>
      <x:c r="F2296" s="35"/>
      <x:c r="G2296" s="35" t="str">
        <x:v>A</x:v>
      </x:c>
      <x:c r="H2296" s="39" t="str">
        <x:f>IF(ISNUMBER('Data'!N588),'Data'!N588*100,"")</x:f>
      </x:c>
      <x:c r="I2296" s="35"/>
      <x:c r="J2296" s="35" t="str">
        <x:v>PASS</x:v>
      </x:c>
      <x:c r="K2296" s="35" t="str">
        <x:v>FAIL</x:v>
      </x:c>
      <x:c r="L2296" s="35" t="str">
        <x:v>NOT_RUN</x:v>
      </x:c>
      <x:c r="M2296" s="35" t="str">
        <x:v>coverage unavailable or execution/compile failed</x:v>
      </x:c>
      <x:c r="N2296" s="35" t="str">
        <x:v>Deepseek-flash-v4/Result/Jsoup_80/result.json</x:v>
      </x:c>
      <x:c r="O2296" s="39" t="str">
        <x:f>IF(AND(G2296="RECORDED",ISNUMBER(H2296)),H2296,"")</x:f>
      </x:c>
      <x:c r="P2296" s="35" t="str">
        <x:v>NOT_AVAILABLE</x:v>
      </x:c>
      <x:c r="Q2296" s="35" t="str">
        <x:v>Deepseek-flash-v4/Result/Jsoup_80/result.json</x:v>
      </x:c>
    </x:row>
    <x:row r="2297">
      <x:c r="A2297" s="35" t="str">
        <x:v>deepseek</x:v>
      </x:c>
      <x:c r="B2297" s="35" t="str">
        <x:v>Jsoup</x:v>
      </x:c>
      <x:c r="C2297" s="35" t="str">
        <x:v>Round1</x:v>
      </x:c>
      <x:c r="D2297" s="35" t="str">
        <x:v>Jsoup_81</x:v>
      </x:c>
      <x:c r="E2297" s="35" t="str">
        <x:v>Condition</x:v>
      </x:c>
      <x:c r="F2297" s="35"/>
      <x:c r="G2297" s="35" t="str">
        <x:v>A</x:v>
      </x:c>
      <x:c r="H2297" s="39" t="str">
        <x:f>IF(ISNUMBER('Data'!N589),'Data'!N589*100,"")</x:f>
      </x:c>
      <x:c r="I2297" s="35"/>
      <x:c r="J2297" s="35" t="str">
        <x:v>PASS</x:v>
      </x:c>
      <x:c r="K2297" s="35" t="str">
        <x:v>FAIL</x:v>
      </x:c>
      <x:c r="L2297" s="35" t="str">
        <x:v>NOT_RUN</x:v>
      </x:c>
      <x:c r="M2297" s="35" t="str">
        <x:v>coverage unavailable or execution/compile failed</x:v>
      </x:c>
      <x:c r="N2297" s="35" t="str">
        <x:v>Deepseek-flash-v4/Result/Jsoup_81/result.json</x:v>
      </x:c>
      <x:c r="O2297" s="39" t="str">
        <x:f>IF(AND(G2297="RECORDED",ISNUMBER(H2297)),H2297,"")</x:f>
      </x:c>
      <x:c r="P2297" s="35" t="str">
        <x:v>NOT_AVAILABLE</x:v>
      </x:c>
      <x:c r="Q2297" s="35" t="str">
        <x:v>Deepseek-flash-v4/Result/Jsoup_81/result.json</x:v>
      </x:c>
    </x:row>
    <x:row r="2298">
      <x:c r="A2298" s="35" t="str">
        <x:v>deepseek</x:v>
      </x:c>
      <x:c r="B2298" s="35" t="str">
        <x:v>Jsoup</x:v>
      </x:c>
      <x:c r="C2298" s="35" t="str">
        <x:v>Round1</x:v>
      </x:c>
      <x:c r="D2298" s="35" t="str">
        <x:v>Jsoup_82</x:v>
      </x:c>
      <x:c r="E2298" s="35" t="str">
        <x:v>Condition</x:v>
      </x:c>
      <x:c r="F2298" s="35" t="n">
        <x:v>96</x:v>
      </x:c>
      <x:c r="G2298" s="35" t="str">
        <x:v>RECORDED</x:v>
      </x:c>
      <x:c r="H2298" s="39" t="n">
        <x:f>IF(ISNUMBER('Data'!N590),'Data'!N590*100,"")</x:f>
        <x:v>45.83</x:v>
      </x:c>
      <x:c r="I2298" s="35" t="str">
        <x:v>PASS</x:v>
      </x:c>
      <x:c r="J2298" s="35" t="str">
        <x:v>PASS</x:v>
      </x:c>
      <x:c r="K2298" s="35" t="str">
        <x:v>PASS</x:v>
      </x:c>
      <x:c r="L2298" s="35" t="str">
        <x:v>FAIL</x:v>
      </x:c>
      <x:c r="M2298" s="35" t="str">
        <x:v>numeric coverage for applicable metric</x:v>
      </x:c>
      <x:c r="N2298" s="35" t="str">
        <x:v>Deepseek-flash-v4/Result/Jsoup_82/result.json</x:v>
      </x:c>
      <x:c r="O2298" s="39" t="n">
        <x:f>IF(AND(G2298="RECORDED",ISNUMBER(H2298)),H2298,"")</x:f>
        <x:v>45.83</x:v>
      </x:c>
      <x:c r="P2298" s="35" t="str">
        <x:v>INCONCLUSIVE</x:v>
      </x:c>
      <x:c r="Q2298" s="35" t="str">
        <x:v>Deepseek-flash-v4/Result/Jsoup_82/result.json</x:v>
      </x:c>
    </x:row>
    <x:row r="2299">
      <x:c r="A2299" s="35" t="str">
        <x:v>deepseek</x:v>
      </x:c>
      <x:c r="B2299" s="35" t="str">
        <x:v>Jsoup</x:v>
      </x:c>
      <x:c r="C2299" s="35" t="str">
        <x:v>Round1</x:v>
      </x:c>
      <x:c r="D2299" s="35" t="str">
        <x:v>Jsoup_83</x:v>
      </x:c>
      <x:c r="E2299" s="35" t="str">
        <x:v>Condition</x:v>
      </x:c>
      <x:c r="F2299" s="35"/>
      <x:c r="G2299" s="35" t="str">
        <x:v>A</x:v>
      </x:c>
      <x:c r="H2299" s="39" t="str">
        <x:f>IF(ISNUMBER('Data'!N591),'Data'!N591*100,"")</x:f>
      </x:c>
      <x:c r="I2299" s="35"/>
      <x:c r="J2299" s="35" t="str">
        <x:v>PASS</x:v>
      </x:c>
      <x:c r="K2299" s="35" t="str">
        <x:v>FAIL</x:v>
      </x:c>
      <x:c r="L2299" s="35" t="str">
        <x:v>NOT_RUN</x:v>
      </x:c>
      <x:c r="M2299" s="35" t="str">
        <x:v>coverage unavailable or execution/compile failed</x:v>
      </x:c>
      <x:c r="N2299" s="35" t="str">
        <x:v>Deepseek-flash-v4/Result/Jsoup_83/result.json</x:v>
      </x:c>
      <x:c r="O2299" s="39" t="str">
        <x:f>IF(AND(G2299="RECORDED",ISNUMBER(H2299)),H2299,"")</x:f>
      </x:c>
      <x:c r="P2299" s="35" t="str">
        <x:v>NOT_AVAILABLE</x:v>
      </x:c>
      <x:c r="Q2299" s="35" t="str">
        <x:v>Deepseek-flash-v4/Result/Jsoup_83/result.json</x:v>
      </x:c>
    </x:row>
    <x:row r="2300">
      <x:c r="A2300" s="35" t="str">
        <x:v>deepseek</x:v>
      </x:c>
      <x:c r="B2300" s="35" t="str">
        <x:v>Jsoup</x:v>
      </x:c>
      <x:c r="C2300" s="35" t="str">
        <x:v>Round1</x:v>
      </x:c>
      <x:c r="D2300" s="35" t="str">
        <x:v>Jsoup_84</x:v>
      </x:c>
      <x:c r="E2300" s="35" t="str">
        <x:v>Condition</x:v>
      </x:c>
      <x:c r="F2300" s="35"/>
      <x:c r="G2300" s="35" t="str">
        <x:v>A</x:v>
      </x:c>
      <x:c r="H2300" s="39" t="str">
        <x:f>IF(ISNUMBER('Data'!N592),'Data'!N592*100,"")</x:f>
      </x:c>
      <x:c r="I2300" s="35"/>
      <x:c r="J2300" s="35" t="str">
        <x:v>PASS</x:v>
      </x:c>
      <x:c r="K2300" s="35" t="str">
        <x:v>FAIL</x:v>
      </x:c>
      <x:c r="L2300" s="35" t="str">
        <x:v>NOT_RUN</x:v>
      </x:c>
      <x:c r="M2300" s="35" t="str">
        <x:v>coverage unavailable or execution/compile failed</x:v>
      </x:c>
      <x:c r="N2300" s="35" t="str">
        <x:v>Deepseek-flash-v4/Result/Jsoup_84/result.json</x:v>
      </x:c>
      <x:c r="O2300" s="39" t="str">
        <x:f>IF(AND(G2300="RECORDED",ISNUMBER(H2300)),H2300,"")</x:f>
      </x:c>
      <x:c r="P2300" s="35" t="str">
        <x:v>NOT_AVAILABLE</x:v>
      </x:c>
      <x:c r="Q2300" s="35" t="str">
        <x:v>Deepseek-flash-v4/Result/Jsoup_84/result.json</x:v>
      </x:c>
    </x:row>
    <x:row r="2301">
      <x:c r="A2301" s="35" t="str">
        <x:v>deepseek</x:v>
      </x:c>
      <x:c r="B2301" s="35" t="str">
        <x:v>Jsoup</x:v>
      </x:c>
      <x:c r="C2301" s="35" t="str">
        <x:v>Round1</x:v>
      </x:c>
      <x:c r="D2301" s="35" t="str">
        <x:v>Jsoup_85</x:v>
      </x:c>
      <x:c r="E2301" s="35" t="str">
        <x:v>Condition</x:v>
      </x:c>
      <x:c r="F2301" s="35" t="n">
        <x:v>50</x:v>
      </x:c>
      <x:c r="G2301" s="35" t="str">
        <x:v>RECORDED</x:v>
      </x:c>
      <x:c r="H2301" s="39" t="n">
        <x:f>IF(ISNUMBER('Data'!N593),'Data'!N593*100,"")</x:f>
        <x:v>74</x:v>
      </x:c>
      <x:c r="I2301" s="35" t="str">
        <x:v>PASS</x:v>
      </x:c>
      <x:c r="J2301" s="35" t="str">
        <x:v>PASS</x:v>
      </x:c>
      <x:c r="K2301" s="35" t="str">
        <x:v>PASS</x:v>
      </x:c>
      <x:c r="L2301" s="35" t="str">
        <x:v>FAIL</x:v>
      </x:c>
      <x:c r="M2301" s="35" t="str">
        <x:v>numeric coverage for applicable metric</x:v>
      </x:c>
      <x:c r="N2301" s="35" t="str">
        <x:v>Deepseek-flash-v4/Result/Jsoup_85/result.json</x:v>
      </x:c>
      <x:c r="O2301" s="39" t="n">
        <x:f>IF(AND(G2301="RECORDED",ISNUMBER(H2301)),H2301,"")</x:f>
        <x:v>74</x:v>
      </x:c>
      <x:c r="P2301" s="35" t="str">
        <x:v>INCONCLUSIVE</x:v>
      </x:c>
      <x:c r="Q2301" s="35" t="str">
        <x:v>Deepseek-flash-v4/Result/Jsoup_85/result.json</x:v>
      </x:c>
    </x:row>
    <x:row r="2302">
      <x:c r="A2302" s="35" t="str">
        <x:v>deepseek</x:v>
      </x:c>
      <x:c r="B2302" s="35" t="str">
        <x:v>Jsoup</x:v>
      </x:c>
      <x:c r="C2302" s="35" t="str">
        <x:v>Round1</x:v>
      </x:c>
      <x:c r="D2302" s="35" t="str">
        <x:v>Jsoup_86</x:v>
      </x:c>
      <x:c r="E2302" s="35" t="str">
        <x:v>Condition</x:v>
      </x:c>
      <x:c r="F2302" s="35" t="n">
        <x:v>10</x:v>
      </x:c>
      <x:c r="G2302" s="35" t="str">
        <x:v>RECORDED</x:v>
      </x:c>
      <x:c r="H2302" s="39" t="n">
        <x:f>IF(ISNUMBER('Data'!N594),'Data'!N594*100,"")</x:f>
        <x:v>80</x:v>
      </x:c>
      <x:c r="I2302" s="35" t="str">
        <x:v>PASS</x:v>
      </x:c>
      <x:c r="J2302" s="35" t="str">
        <x:v>PASS</x:v>
      </x:c>
      <x:c r="K2302" s="35" t="str">
        <x:v>PASS</x:v>
      </x:c>
      <x:c r="L2302" s="35" t="str">
        <x:v>FAIL</x:v>
      </x:c>
      <x:c r="M2302" s="35" t="str">
        <x:v>numeric coverage for applicable metric</x:v>
      </x:c>
      <x:c r="N2302" s="35" t="str">
        <x:v>Deepseek-flash-v4/Result/Jsoup_86/result.json</x:v>
      </x:c>
      <x:c r="O2302" s="39" t="n">
        <x:f>IF(AND(G2302="RECORDED",ISNUMBER(H2302)),H2302,"")</x:f>
        <x:v>80</x:v>
      </x:c>
      <x:c r="P2302" s="35" t="str">
        <x:v>INCONCLUSIVE</x:v>
      </x:c>
      <x:c r="Q2302" s="35" t="str">
        <x:v>Deepseek-flash-v4/Result/Jsoup_86/result.json</x:v>
      </x:c>
    </x:row>
    <x:row r="2303">
      <x:c r="A2303" s="35" t="str">
        <x:v>deepseek</x:v>
      </x:c>
      <x:c r="B2303" s="35" t="str">
        <x:v>Jsoup</x:v>
      </x:c>
      <x:c r="C2303" s="35" t="str">
        <x:v>Round1</x:v>
      </x:c>
      <x:c r="D2303" s="35" t="str">
        <x:v>Jsoup_87</x:v>
      </x:c>
      <x:c r="E2303" s="35" t="str">
        <x:v>Condition</x:v>
      </x:c>
      <x:c r="F2303" s="35"/>
      <x:c r="G2303" s="35" t="str">
        <x:v>A</x:v>
      </x:c>
      <x:c r="H2303" s="39" t="str">
        <x:f>IF(ISNUMBER('Data'!N595),'Data'!N595*100,"")</x:f>
      </x:c>
      <x:c r="I2303" s="35"/>
      <x:c r="J2303" s="35" t="str">
        <x:v>PASS</x:v>
      </x:c>
      <x:c r="K2303" s="35" t="str">
        <x:v>FAIL</x:v>
      </x:c>
      <x:c r="L2303" s="35" t="str">
        <x:v>NOT_RUN</x:v>
      </x:c>
      <x:c r="M2303" s="35" t="str">
        <x:v>coverage unavailable or execution/compile failed</x:v>
      </x:c>
      <x:c r="N2303" s="35" t="str">
        <x:v>Deepseek-flash-v4/Result/Jsoup_87/result.json</x:v>
      </x:c>
      <x:c r="O2303" s="39" t="str">
        <x:f>IF(AND(G2303="RECORDED",ISNUMBER(H2303)),H2303,"")</x:f>
      </x:c>
      <x:c r="P2303" s="35" t="str">
        <x:v>NOT_AVAILABLE</x:v>
      </x:c>
      <x:c r="Q2303" s="35" t="str">
        <x:v>Deepseek-flash-v4/Result/Jsoup_87/result.json</x:v>
      </x:c>
    </x:row>
    <x:row r="2304">
      <x:c r="A2304" s="35" t="str">
        <x:v>deepseek</x:v>
      </x:c>
      <x:c r="B2304" s="35" t="str">
        <x:v>Jsoup</x:v>
      </x:c>
      <x:c r="C2304" s="35" t="str">
        <x:v>Round1</x:v>
      </x:c>
      <x:c r="D2304" s="35" t="str">
        <x:v>Jsoup_88</x:v>
      </x:c>
      <x:c r="E2304" s="35" t="str">
        <x:v>Condition</x:v>
      </x:c>
      <x:c r="F2304" s="35" t="n">
        <x:v>50</x:v>
      </x:c>
      <x:c r="G2304" s="35" t="str">
        <x:v>RECORDED</x:v>
      </x:c>
      <x:c r="H2304" s="39" t="n">
        <x:f>IF(ISNUMBER('Data'!N596),'Data'!N596*100,"")</x:f>
        <x:v>72</x:v>
      </x:c>
      <x:c r="I2304" s="35" t="str">
        <x:v>PASS</x:v>
      </x:c>
      <x:c r="J2304" s="35" t="str">
        <x:v>PASS</x:v>
      </x:c>
      <x:c r="K2304" s="35" t="str">
        <x:v>PASS</x:v>
      </x:c>
      <x:c r="L2304" s="35" t="str">
        <x:v>PASS</x:v>
      </x:c>
      <x:c r="M2304" s="35" t="str">
        <x:v>numeric coverage for applicable metric</x:v>
      </x:c>
      <x:c r="N2304" s="35" t="str">
        <x:v>Deepseek-flash-v4/Result/Jsoup_88/result.json</x:v>
      </x:c>
      <x:c r="O2304" s="39" t="n">
        <x:f>IF(AND(G2304="RECORDED",ISNUMBER(H2304)),H2304,"")</x:f>
        <x:v>72</x:v>
      </x:c>
      <x:c r="P2304" s="35" t="str">
        <x:v>NOT_REVEALING</x:v>
      </x:c>
      <x:c r="Q2304" s="35" t="str">
        <x:v>Deepseek-flash-v4/Result/Jsoup_88/result.json</x:v>
      </x:c>
    </x:row>
    <x:row r="2305">
      <x:c r="A2305" s="35" t="str">
        <x:v>deepseek</x:v>
      </x:c>
      <x:c r="B2305" s="35" t="str">
        <x:v>Jsoup</x:v>
      </x:c>
      <x:c r="C2305" s="35" t="str">
        <x:v>Round1</x:v>
      </x:c>
      <x:c r="D2305" s="35" t="str">
        <x:v>Jsoup_89</x:v>
      </x:c>
      <x:c r="E2305" s="35" t="str">
        <x:v>Condition</x:v>
      </x:c>
      <x:c r="F2305" s="35" t="n">
        <x:v>50</x:v>
      </x:c>
      <x:c r="G2305" s="35" t="str">
        <x:v>RECORDED</x:v>
      </x:c>
      <x:c r="H2305" s="39" t="n">
        <x:f>IF(ISNUMBER('Data'!N597),'Data'!N597*100,"")</x:f>
        <x:v>76</x:v>
      </x:c>
      <x:c r="I2305" s="35" t="str">
        <x:v>PASS</x:v>
      </x:c>
      <x:c r="J2305" s="35" t="str">
        <x:v>PASS</x:v>
      </x:c>
      <x:c r="K2305" s="35" t="str">
        <x:v>PASS</x:v>
      </x:c>
      <x:c r="L2305" s="35" t="str">
        <x:v>FAIL</x:v>
      </x:c>
      <x:c r="M2305" s="35" t="str">
        <x:v>numeric coverage for applicable metric</x:v>
      </x:c>
      <x:c r="N2305" s="35" t="str">
        <x:v>Deepseek-flash-v4/Result/Jsoup_89/result.json</x:v>
      </x:c>
      <x:c r="O2305" s="39" t="n">
        <x:f>IF(AND(G2305="RECORDED",ISNUMBER(H2305)),H2305,"")</x:f>
        <x:v>76</x:v>
      </x:c>
      <x:c r="P2305" s="35" t="str">
        <x:v>INCONCLUSIVE</x:v>
      </x:c>
      <x:c r="Q2305" s="35" t="str">
        <x:v>Deepseek-flash-v4/Result/Jsoup_89/result.json</x:v>
      </x:c>
    </x:row>
    <x:row r="2306">
      <x:c r="A2306" s="35" t="str">
        <x:v>deepseek</x:v>
      </x:c>
      <x:c r="B2306" s="35" t="str">
        <x:v>Jsoup</x:v>
      </x:c>
      <x:c r="C2306" s="35" t="str">
        <x:v>Round1</x:v>
      </x:c>
      <x:c r="D2306" s="35" t="str">
        <x:v>Jsoup_9</x:v>
      </x:c>
      <x:c r="E2306" s="35" t="str">
        <x:v>Condition</x:v>
      </x:c>
      <x:c r="F2306" s="35"/>
      <x:c r="G2306" s="35" t="str">
        <x:v>A</x:v>
      </x:c>
      <x:c r="H2306" s="39" t="str">
        <x:f>IF(ISNUMBER('Data'!N598),'Data'!N598*100,"")</x:f>
      </x:c>
      <x:c r="I2306" s="35" t="str">
        <x:v>FAIL</x:v>
      </x:c>
      <x:c r="J2306" s="35" t="str">
        <x:v>PASS</x:v>
      </x:c>
      <x:c r="K2306" s="35" t="str">
        <x:v>PASS</x:v>
      </x:c>
      <x:c r="L2306" s="35" t="str">
        <x:v>PASS</x:v>
      </x:c>
      <x:c r="M2306" s="35" t="str">
        <x:v>coverage unavailable or execution/compile failed</x:v>
      </x:c>
      <x:c r="N2306" s="35" t="str">
        <x:v>Deepseek-flash-v4/Result/Jsoup_9/result.json</x:v>
      </x:c>
      <x:c r="O2306" s="39" t="str">
        <x:f>IF(AND(G2306="RECORDED",ISNUMBER(H2306)),H2306,"")</x:f>
      </x:c>
      <x:c r="P2306" s="35" t="str">
        <x:v>NOT_AVAILABLE</x:v>
      </x:c>
      <x:c r="Q2306" s="35" t="str">
        <x:v>Deepseek-flash-v4/Result/Jsoup_9/result.json</x:v>
      </x:c>
    </x:row>
    <x:row r="2307">
      <x:c r="A2307" s="35" t="str">
        <x:v>deepseek</x:v>
      </x:c>
      <x:c r="B2307" s="35" t="str">
        <x:v>Jsoup</x:v>
      </x:c>
      <x:c r="C2307" s="35" t="str">
        <x:v>Round1</x:v>
      </x:c>
      <x:c r="D2307" s="35" t="str">
        <x:v>Jsoup_90</x:v>
      </x:c>
      <x:c r="E2307" s="35" t="str">
        <x:v>Condition</x:v>
      </x:c>
      <x:c r="F2307" s="35"/>
      <x:c r="G2307" s="35" t="str">
        <x:v>A</x:v>
      </x:c>
      <x:c r="H2307" s="39" t="str">
        <x:f>IF(ISNUMBER('Data'!N599),'Data'!N599*100,"")</x:f>
      </x:c>
      <x:c r="I2307" s="35"/>
      <x:c r="J2307" s="35" t="str">
        <x:v>PASS</x:v>
      </x:c>
      <x:c r="K2307" s="35" t="str">
        <x:v>FAIL</x:v>
      </x:c>
      <x:c r="L2307" s="35" t="str">
        <x:v>NOT_RUN</x:v>
      </x:c>
      <x:c r="M2307" s="35" t="str">
        <x:v>coverage unavailable or execution/compile failed</x:v>
      </x:c>
      <x:c r="N2307" s="35" t="str">
        <x:v>Deepseek-flash-v4/Result/Jsoup_90/result.json</x:v>
      </x:c>
      <x:c r="O2307" s="39" t="str">
        <x:f>IF(AND(G2307="RECORDED",ISNUMBER(H2307)),H2307,"")</x:f>
      </x:c>
      <x:c r="P2307" s="35" t="str">
        <x:v>NOT_AVAILABLE</x:v>
      </x:c>
      <x:c r="Q2307" s="35" t="str">
        <x:v>Deepseek-flash-v4/Result/Jsoup_90/result.json</x:v>
      </x:c>
    </x:row>
    <x:row r="2308">
      <x:c r="A2308" s="35" t="str">
        <x:v>deepseek</x:v>
      </x:c>
      <x:c r="B2308" s="35" t="str">
        <x:v>Jsoup</x:v>
      </x:c>
      <x:c r="C2308" s="35" t="str">
        <x:v>Round1</x:v>
      </x:c>
      <x:c r="D2308" s="35" t="str">
        <x:v>Jsoup_91</x:v>
      </x:c>
      <x:c r="E2308" s="35" t="str">
        <x:v>Condition</x:v>
      </x:c>
      <x:c r="F2308" s="35" t="n">
        <x:v>190</x:v>
      </x:c>
      <x:c r="G2308" s="35" t="str">
        <x:v>RECORDED</x:v>
      </x:c>
      <x:c r="H2308" s="39" t="n">
        <x:f>IF(ISNUMBER('Data'!N600),'Data'!N600*100,"")</x:f>
        <x:v>80.53</x:v>
      </x:c>
      <x:c r="I2308" s="35" t="str">
        <x:v>PASS</x:v>
      </x:c>
      <x:c r="J2308" s="35" t="str">
        <x:v>PASS</x:v>
      </x:c>
      <x:c r="K2308" s="35" t="str">
        <x:v>PASS</x:v>
      </x:c>
      <x:c r="L2308" s="35" t="str">
        <x:v>PASS</x:v>
      </x:c>
      <x:c r="M2308" s="35" t="str">
        <x:v>numeric coverage for applicable metric</x:v>
      </x:c>
      <x:c r="N2308" s="35" t="str">
        <x:v>Deepseek-flash-v4/Result/Jsoup_91/result.json</x:v>
      </x:c>
      <x:c r="O2308" s="39" t="n">
        <x:f>IF(AND(G2308="RECORDED",ISNUMBER(H2308)),H2308,"")</x:f>
        <x:v>80.53</x:v>
      </x:c>
      <x:c r="P2308" s="35" t="str">
        <x:v>NOT_AVAILABLE</x:v>
      </x:c>
      <x:c r="Q2308" s="35" t="str">
        <x:v>Deepseek-flash-v4/Result/Jsoup_91/result.json</x:v>
      </x:c>
    </x:row>
    <x:row r="2309">
      <x:c r="A2309" s="35" t="str">
        <x:v>deepseek</x:v>
      </x:c>
      <x:c r="B2309" s="35" t="str">
        <x:v>Jsoup</x:v>
      </x:c>
      <x:c r="C2309" s="35" t="str">
        <x:v>Round1</x:v>
      </x:c>
      <x:c r="D2309" s="35" t="str">
        <x:v>Jsoup_92</x:v>
      </x:c>
      <x:c r="E2309" s="35" t="str">
        <x:v>Condition</x:v>
      </x:c>
      <x:c r="F2309" s="35"/>
      <x:c r="G2309" s="35" t="str">
        <x:v>A</x:v>
      </x:c>
      <x:c r="H2309" s="39" t="str">
        <x:f>IF(ISNUMBER('Data'!N601),'Data'!N601*100,"")</x:f>
      </x:c>
      <x:c r="I2309" s="35"/>
      <x:c r="J2309" s="35" t="str">
        <x:v>PASS</x:v>
      </x:c>
      <x:c r="K2309" s="35" t="str">
        <x:v>FAIL</x:v>
      </x:c>
      <x:c r="L2309" s="35" t="str">
        <x:v>NOT_RUN</x:v>
      </x:c>
      <x:c r="M2309" s="35" t="str">
        <x:v>coverage unavailable or execution/compile failed</x:v>
      </x:c>
      <x:c r="N2309" s="35" t="str">
        <x:v>Deepseek-flash-v4/Result/Jsoup_92/result.json</x:v>
      </x:c>
      <x:c r="O2309" s="39" t="str">
        <x:f>IF(AND(G2309="RECORDED",ISNUMBER(H2309)),H2309,"")</x:f>
      </x:c>
      <x:c r="P2309" s="35" t="str">
        <x:v>NOT_AVAILABLE</x:v>
      </x:c>
      <x:c r="Q2309" s="35" t="str">
        <x:v>Deepseek-flash-v4/Result/Jsoup_92/result.json</x:v>
      </x:c>
    </x:row>
    <x:row r="2310">
      <x:c r="A2310" s="35" t="str">
        <x:v>deepseek</x:v>
      </x:c>
      <x:c r="B2310" s="35" t="str">
        <x:v>Jsoup</x:v>
      </x:c>
      <x:c r="C2310" s="35" t="str">
        <x:v>Round1</x:v>
      </x:c>
      <x:c r="D2310" s="35" t="str">
        <x:v>Jsoup_93</x:v>
      </x:c>
      <x:c r="E2310" s="35" t="str">
        <x:v>Condition</x:v>
      </x:c>
      <x:c r="F2310" s="35"/>
      <x:c r="G2310" s="35" t="str">
        <x:v>A</x:v>
      </x:c>
      <x:c r="H2310" s="39" t="str">
        <x:f>IF(ISNUMBER('Data'!N602),'Data'!N602*100,"")</x:f>
      </x:c>
      <x:c r="I2310" s="35"/>
      <x:c r="J2310" s="35" t="str">
        <x:v>PASS</x:v>
      </x:c>
      <x:c r="K2310" s="35" t="str">
        <x:v>FAIL</x:v>
      </x:c>
      <x:c r="L2310" s="35" t="str">
        <x:v>NOT_RUN</x:v>
      </x:c>
      <x:c r="M2310" s="35" t="str">
        <x:v>coverage unavailable or execution/compile failed</x:v>
      </x:c>
      <x:c r="N2310" s="35" t="str">
        <x:v>Deepseek-flash-v4/Result/Jsoup_93/result.json</x:v>
      </x:c>
      <x:c r="O2310" s="39" t="str">
        <x:f>IF(AND(G2310="RECORDED",ISNUMBER(H2310)),H2310,"")</x:f>
      </x:c>
      <x:c r="P2310" s="35" t="str">
        <x:v>NOT_AVAILABLE</x:v>
      </x:c>
      <x:c r="Q2310" s="35" t="str">
        <x:v>Deepseek-flash-v4/Result/Jsoup_93/result.json</x:v>
      </x:c>
    </x:row>
    <x:row r="2311">
      <x:c r="A2311" s="35" t="str">
        <x:v>deepseek</x:v>
      </x:c>
      <x:c r="B2311" s="35" t="str">
        <x:v>JxPath</x:v>
      </x:c>
      <x:c r="C2311" s="35" t="str">
        <x:v>Round1</x:v>
      </x:c>
      <x:c r="D2311" s="35" t="str">
        <x:v>JxPath_1</x:v>
      </x:c>
      <x:c r="E2311" s="35" t="str">
        <x:v>Condition</x:v>
      </x:c>
      <x:c r="F2311" s="35"/>
      <x:c r="G2311" s="35" t="str">
        <x:v>A</x:v>
      </x:c>
      <x:c r="H2311" s="39" t="str">
        <x:f>IF(ISNUMBER('Data'!N603),'Data'!N603*100,"")</x:f>
      </x:c>
      <x:c r="I2311" s="35"/>
      <x:c r="J2311" s="35" t="str">
        <x:v>PASS</x:v>
      </x:c>
      <x:c r="K2311" s="35" t="str">
        <x:v>FAIL</x:v>
      </x:c>
      <x:c r="L2311" s="35" t="str">
        <x:v>NOT_RUN</x:v>
      </x:c>
      <x:c r="M2311" s="35" t="str">
        <x:v>coverage unavailable or execution/compile failed</x:v>
      </x:c>
      <x:c r="N2311" s="35" t="str">
        <x:v>Deepseek-flash-v4/Result/JxPath_1/result.json</x:v>
      </x:c>
      <x:c r="O2311" s="39" t="str">
        <x:f>IF(AND(G2311="RECORDED",ISNUMBER(H2311)),H2311,"")</x:f>
      </x:c>
      <x:c r="P2311" s="35" t="str">
        <x:v>NOT_AVAILABLE</x:v>
      </x:c>
      <x:c r="Q2311" s="35" t="str">
        <x:v>Deepseek-flash-v4/Result/JxPath_1/result.json</x:v>
      </x:c>
    </x:row>
    <x:row r="2312">
      <x:c r="A2312" s="35" t="str">
        <x:v>deepseek</x:v>
      </x:c>
      <x:c r="B2312" s="35" t="str">
        <x:v>JxPath</x:v>
      </x:c>
      <x:c r="C2312" s="35" t="str">
        <x:v>Round1</x:v>
      </x:c>
      <x:c r="D2312" s="35" t="str">
        <x:v>JxPath_10</x:v>
      </x:c>
      <x:c r="E2312" s="35" t="str">
        <x:v>Condition</x:v>
      </x:c>
      <x:c r="F2312" s="35"/>
      <x:c r="G2312" s="35" t="str">
        <x:v>A</x:v>
      </x:c>
      <x:c r="H2312" s="39" t="str">
        <x:f>IF(ISNUMBER('Data'!N604),'Data'!N604*100,"")</x:f>
      </x:c>
      <x:c r="I2312" s="35"/>
      <x:c r="J2312" s="35" t="str">
        <x:v>PASS</x:v>
      </x:c>
      <x:c r="K2312" s="35" t="str">
        <x:v>FAIL</x:v>
      </x:c>
      <x:c r="L2312" s="35" t="str">
        <x:v>NOT_RUN</x:v>
      </x:c>
      <x:c r="M2312" s="35" t="str">
        <x:v>coverage unavailable or execution/compile failed</x:v>
      </x:c>
      <x:c r="N2312" s="35" t="str">
        <x:v>Deepseek-flash-v4/Result/JxPath_10/result.json</x:v>
      </x:c>
      <x:c r="O2312" s="39" t="str">
        <x:f>IF(AND(G2312="RECORDED",ISNUMBER(H2312)),H2312,"")</x:f>
      </x:c>
      <x:c r="P2312" s="35" t="str">
        <x:v>NOT_AVAILABLE</x:v>
      </x:c>
      <x:c r="Q2312" s="35" t="str">
        <x:v>Deepseek-flash-v4/Result/JxPath_10/result.json</x:v>
      </x:c>
    </x:row>
    <x:row r="2313">
      <x:c r="A2313" s="35" t="str">
        <x:v>deepseek</x:v>
      </x:c>
      <x:c r="B2313" s="35" t="str">
        <x:v>JxPath</x:v>
      </x:c>
      <x:c r="C2313" s="35" t="str">
        <x:v>Round1</x:v>
      </x:c>
      <x:c r="D2313" s="35" t="str">
        <x:v>JxPath_11</x:v>
      </x:c>
      <x:c r="E2313" s="35" t="str">
        <x:v>Condition</x:v>
      </x:c>
      <x:c r="F2313" s="35"/>
      <x:c r="G2313" s="35" t="str">
        <x:v>A</x:v>
      </x:c>
      <x:c r="H2313" s="39" t="str">
        <x:f>IF(ISNUMBER('Data'!N605),'Data'!N605*100,"")</x:f>
      </x:c>
      <x:c r="I2313" s="35"/>
      <x:c r="J2313" s="35" t="str">
        <x:v>PASS</x:v>
      </x:c>
      <x:c r="K2313" s="35" t="str">
        <x:v>FAIL</x:v>
      </x:c>
      <x:c r="L2313" s="35" t="str">
        <x:v>NOT_RUN</x:v>
      </x:c>
      <x:c r="M2313" s="35" t="str">
        <x:v>coverage unavailable or execution/compile failed</x:v>
      </x:c>
      <x:c r="N2313" s="35" t="str">
        <x:v>Deepseek-flash-v4/Result/JxPath_11/result.json</x:v>
      </x:c>
      <x:c r="O2313" s="39" t="str">
        <x:f>IF(AND(G2313="RECORDED",ISNUMBER(H2313)),H2313,"")</x:f>
      </x:c>
      <x:c r="P2313" s="35" t="str">
        <x:v>NOT_AVAILABLE</x:v>
      </x:c>
      <x:c r="Q2313" s="35" t="str">
        <x:v>Deepseek-flash-v4/Result/JxPath_11/result.json</x:v>
      </x:c>
    </x:row>
    <x:row r="2314">
      <x:c r="A2314" s="35" t="str">
        <x:v>deepseek</x:v>
      </x:c>
      <x:c r="B2314" s="35" t="str">
        <x:v>JxPath</x:v>
      </x:c>
      <x:c r="C2314" s="35" t="str">
        <x:v>Round1</x:v>
      </x:c>
      <x:c r="D2314" s="35" t="str">
        <x:v>JxPath_12</x:v>
      </x:c>
      <x:c r="E2314" s="35" t="str">
        <x:v>Condition</x:v>
      </x:c>
      <x:c r="F2314" s="35"/>
      <x:c r="G2314" s="35" t="str">
        <x:v>A</x:v>
      </x:c>
      <x:c r="H2314" s="39" t="str">
        <x:f>IF(ISNUMBER('Data'!N606),'Data'!N606*100,"")</x:f>
      </x:c>
      <x:c r="I2314" s="35"/>
      <x:c r="J2314" s="35" t="str">
        <x:v>PASS</x:v>
      </x:c>
      <x:c r="K2314" s="35" t="str">
        <x:v>FAIL</x:v>
      </x:c>
      <x:c r="L2314" s="35" t="str">
        <x:v>NOT_RUN</x:v>
      </x:c>
      <x:c r="M2314" s="35" t="str">
        <x:v>coverage unavailable or execution/compile failed</x:v>
      </x:c>
      <x:c r="N2314" s="35" t="str">
        <x:v>Deepseek-flash-v4/Result/JxPath_12/result.json</x:v>
      </x:c>
      <x:c r="O2314" s="39" t="str">
        <x:f>IF(AND(G2314="RECORDED",ISNUMBER(H2314)),H2314,"")</x:f>
      </x:c>
      <x:c r="P2314" s="35" t="str">
        <x:v>NOT_AVAILABLE</x:v>
      </x:c>
      <x:c r="Q2314" s="35" t="str">
        <x:v>Deepseek-flash-v4/Result/JxPath_12/result.json</x:v>
      </x:c>
    </x:row>
    <x:row r="2315">
      <x:c r="A2315" s="35" t="str">
        <x:v>deepseek</x:v>
      </x:c>
      <x:c r="B2315" s="35" t="str">
        <x:v>JxPath</x:v>
      </x:c>
      <x:c r="C2315" s="35" t="str">
        <x:v>Round1</x:v>
      </x:c>
      <x:c r="D2315" s="35" t="str">
        <x:v>JxPath_13</x:v>
      </x:c>
      <x:c r="E2315" s="35" t="str">
        <x:v>Condition</x:v>
      </x:c>
      <x:c r="F2315" s="35"/>
      <x:c r="G2315" s="35" t="str">
        <x:v>A</x:v>
      </x:c>
      <x:c r="H2315" s="39" t="str">
        <x:f>IF(ISNUMBER('Data'!N607),'Data'!N607*100,"")</x:f>
      </x:c>
      <x:c r="I2315" s="35"/>
      <x:c r="J2315" s="35" t="str">
        <x:v>PASS</x:v>
      </x:c>
      <x:c r="K2315" s="35" t="str">
        <x:v>FAIL</x:v>
      </x:c>
      <x:c r="L2315" s="35" t="str">
        <x:v>NOT_RUN</x:v>
      </x:c>
      <x:c r="M2315" s="35" t="str">
        <x:v>coverage unavailable or execution/compile failed</x:v>
      </x:c>
      <x:c r="N2315" s="35" t="str">
        <x:v>Deepseek-flash-v4/Result/JxPath_13/result.json</x:v>
      </x:c>
      <x:c r="O2315" s="39" t="str">
        <x:f>IF(AND(G2315="RECORDED",ISNUMBER(H2315)),H2315,"")</x:f>
      </x:c>
      <x:c r="P2315" s="35" t="str">
        <x:v>NOT_AVAILABLE</x:v>
      </x:c>
      <x:c r="Q2315" s="35" t="str">
        <x:v>Deepseek-flash-v4/Result/JxPath_13/result.json</x:v>
      </x:c>
    </x:row>
    <x:row r="2316">
      <x:c r="A2316" s="35" t="str">
        <x:v>deepseek</x:v>
      </x:c>
      <x:c r="B2316" s="35" t="str">
        <x:v>JxPath</x:v>
      </x:c>
      <x:c r="C2316" s="35" t="str">
        <x:v>Round1</x:v>
      </x:c>
      <x:c r="D2316" s="35" t="str">
        <x:v>JxPath_14</x:v>
      </x:c>
      <x:c r="E2316" s="35" t="str">
        <x:v>Condition</x:v>
      </x:c>
      <x:c r="F2316" s="35"/>
      <x:c r="G2316" s="35" t="str">
        <x:v>A</x:v>
      </x:c>
      <x:c r="H2316" s="39" t="str">
        <x:f>IF(ISNUMBER('Data'!N608),'Data'!N608*100,"")</x:f>
      </x:c>
      <x:c r="I2316" s="35"/>
      <x:c r="J2316" s="35" t="str">
        <x:v>PASS</x:v>
      </x:c>
      <x:c r="K2316" s="35" t="str">
        <x:v>FAIL</x:v>
      </x:c>
      <x:c r="L2316" s="35" t="str">
        <x:v>NOT_RUN</x:v>
      </x:c>
      <x:c r="M2316" s="35" t="str">
        <x:v>coverage unavailable or execution/compile failed</x:v>
      </x:c>
      <x:c r="N2316" s="35" t="str">
        <x:v>Deepseek-flash-v4/Result/JxPath_14/result.json</x:v>
      </x:c>
      <x:c r="O2316" s="39" t="str">
        <x:f>IF(AND(G2316="RECORDED",ISNUMBER(H2316)),H2316,"")</x:f>
      </x:c>
      <x:c r="P2316" s="35" t="str">
        <x:v>NOT_AVAILABLE</x:v>
      </x:c>
      <x:c r="Q2316" s="35" t="str">
        <x:v>Deepseek-flash-v4/Result/JxPath_14/result.json</x:v>
      </x:c>
    </x:row>
    <x:row r="2317">
      <x:c r="A2317" s="35" t="str">
        <x:v>deepseek</x:v>
      </x:c>
      <x:c r="B2317" s="35" t="str">
        <x:v>JxPath</x:v>
      </x:c>
      <x:c r="C2317" s="35" t="str">
        <x:v>Round1</x:v>
      </x:c>
      <x:c r="D2317" s="35" t="str">
        <x:v>JxPath_15</x:v>
      </x:c>
      <x:c r="E2317" s="35" t="str">
        <x:v>Condition</x:v>
      </x:c>
      <x:c r="F2317" s="35"/>
      <x:c r="G2317" s="35" t="str">
        <x:v>A</x:v>
      </x:c>
      <x:c r="H2317" s="39" t="str">
        <x:f>IF(ISNUMBER('Data'!N609),'Data'!N609*100,"")</x:f>
      </x:c>
      <x:c r="I2317" s="35"/>
      <x:c r="J2317" s="35" t="str">
        <x:v>PASS</x:v>
      </x:c>
      <x:c r="K2317" s="35" t="str">
        <x:v>FAIL</x:v>
      </x:c>
      <x:c r="L2317" s="35" t="str">
        <x:v>NOT_RUN</x:v>
      </x:c>
      <x:c r="M2317" s="35" t="str">
        <x:v>coverage unavailable or execution/compile failed</x:v>
      </x:c>
      <x:c r="N2317" s="35" t="str">
        <x:v>Deepseek-flash-v4/Result/JxPath_15/result.json</x:v>
      </x:c>
      <x:c r="O2317" s="39" t="str">
        <x:f>IF(AND(G2317="RECORDED",ISNUMBER(H2317)),H2317,"")</x:f>
      </x:c>
      <x:c r="P2317" s="35" t="str">
        <x:v>NOT_AVAILABLE</x:v>
      </x:c>
      <x:c r="Q2317" s="35" t="str">
        <x:v>Deepseek-flash-v4/Result/JxPath_15/result.json</x:v>
      </x:c>
    </x:row>
    <x:row r="2318">
      <x:c r="A2318" s="35" t="str">
        <x:v>deepseek</x:v>
      </x:c>
      <x:c r="B2318" s="35" t="str">
        <x:v>JxPath</x:v>
      </x:c>
      <x:c r="C2318" s="35" t="str">
        <x:v>Round1</x:v>
      </x:c>
      <x:c r="D2318" s="35" t="str">
        <x:v>JxPath_16</x:v>
      </x:c>
      <x:c r="E2318" s="35" t="str">
        <x:v>Condition</x:v>
      </x:c>
      <x:c r="F2318" s="35"/>
      <x:c r="G2318" s="35" t="str">
        <x:v>A</x:v>
      </x:c>
      <x:c r="H2318" s="39" t="str">
        <x:f>IF(ISNUMBER('Data'!N610),'Data'!N610*100,"")</x:f>
      </x:c>
      <x:c r="I2318" s="35"/>
      <x:c r="J2318" s="35" t="str">
        <x:v>PASS</x:v>
      </x:c>
      <x:c r="K2318" s="35" t="str">
        <x:v>FAIL</x:v>
      </x:c>
      <x:c r="L2318" s="35" t="str">
        <x:v>NOT_RUN</x:v>
      </x:c>
      <x:c r="M2318" s="35" t="str">
        <x:v>coverage unavailable or execution/compile failed</x:v>
      </x:c>
      <x:c r="N2318" s="35" t="str">
        <x:v>Deepseek-flash-v4/Result/JxPath_16/result.json</x:v>
      </x:c>
      <x:c r="O2318" s="39" t="str">
        <x:f>IF(AND(G2318="RECORDED",ISNUMBER(H2318)),H2318,"")</x:f>
      </x:c>
      <x:c r="P2318" s="35" t="str">
        <x:v>NOT_AVAILABLE</x:v>
      </x:c>
      <x:c r="Q2318" s="35" t="str">
        <x:v>Deepseek-flash-v4/Result/JxPath_16/result.json</x:v>
      </x:c>
    </x:row>
    <x:row r="2319">
      <x:c r="A2319" s="35" t="str">
        <x:v>deepseek</x:v>
      </x:c>
      <x:c r="B2319" s="35" t="str">
        <x:v>JxPath</x:v>
      </x:c>
      <x:c r="C2319" s="35" t="str">
        <x:v>Round1</x:v>
      </x:c>
      <x:c r="D2319" s="35" t="str">
        <x:v>JxPath_17</x:v>
      </x:c>
      <x:c r="E2319" s="35" t="str">
        <x:v>Condition</x:v>
      </x:c>
      <x:c r="F2319" s="35"/>
      <x:c r="G2319" s="35" t="str">
        <x:v>A</x:v>
      </x:c>
      <x:c r="H2319" s="39" t="str">
        <x:f>IF(ISNUMBER('Data'!N611),'Data'!N611*100,"")</x:f>
      </x:c>
      <x:c r="I2319" s="35"/>
      <x:c r="J2319" s="35" t="str">
        <x:v>PASS</x:v>
      </x:c>
      <x:c r="K2319" s="35" t="str">
        <x:v>FAIL</x:v>
      </x:c>
      <x:c r="L2319" s="35" t="str">
        <x:v>NOT_RUN</x:v>
      </x:c>
      <x:c r="M2319" s="35" t="str">
        <x:v>coverage unavailable or execution/compile failed</x:v>
      </x:c>
      <x:c r="N2319" s="35" t="str">
        <x:v>Deepseek-flash-v4/Result/JxPath_17/result.json</x:v>
      </x:c>
      <x:c r="O2319" s="39" t="str">
        <x:f>IF(AND(G2319="RECORDED",ISNUMBER(H2319)),H2319,"")</x:f>
      </x:c>
      <x:c r="P2319" s="35" t="str">
        <x:v>NOT_AVAILABLE</x:v>
      </x:c>
      <x:c r="Q2319" s="35" t="str">
        <x:v>Deepseek-flash-v4/Result/JxPath_17/result.json</x:v>
      </x:c>
    </x:row>
    <x:row r="2320">
      <x:c r="A2320" s="35" t="str">
        <x:v>deepseek</x:v>
      </x:c>
      <x:c r="B2320" s="35" t="str">
        <x:v>JxPath</x:v>
      </x:c>
      <x:c r="C2320" s="35" t="str">
        <x:v>Round1</x:v>
      </x:c>
      <x:c r="D2320" s="35" t="str">
        <x:v>JxPath_18</x:v>
      </x:c>
      <x:c r="E2320" s="35" t="str">
        <x:v>Condition</x:v>
      </x:c>
      <x:c r="F2320" s="35"/>
      <x:c r="G2320" s="35" t="str">
        <x:v>A</x:v>
      </x:c>
      <x:c r="H2320" s="39" t="str">
        <x:f>IF(ISNUMBER('Data'!N612),'Data'!N612*100,"")</x:f>
      </x:c>
      <x:c r="I2320" s="35"/>
      <x:c r="J2320" s="35" t="str">
        <x:v>PASS</x:v>
      </x:c>
      <x:c r="K2320" s="35" t="str">
        <x:v>FAIL</x:v>
      </x:c>
      <x:c r="L2320" s="35" t="str">
        <x:v>NOT_RUN</x:v>
      </x:c>
      <x:c r="M2320" s="35" t="str">
        <x:v>coverage unavailable or execution/compile failed</x:v>
      </x:c>
      <x:c r="N2320" s="35" t="str">
        <x:v>Deepseek-flash-v4/Result/JxPath_18/result.json</x:v>
      </x:c>
      <x:c r="O2320" s="39" t="str">
        <x:f>IF(AND(G2320="RECORDED",ISNUMBER(H2320)),H2320,"")</x:f>
      </x:c>
      <x:c r="P2320" s="35" t="str">
        <x:v>NOT_AVAILABLE</x:v>
      </x:c>
      <x:c r="Q2320" s="35" t="str">
        <x:v>Deepseek-flash-v4/Result/JxPath_18/result.json</x:v>
      </x:c>
    </x:row>
    <x:row r="2321">
      <x:c r="A2321" s="35" t="str">
        <x:v>deepseek</x:v>
      </x:c>
      <x:c r="B2321" s="35" t="str">
        <x:v>JxPath</x:v>
      </x:c>
      <x:c r="C2321" s="35" t="str">
        <x:v>Round1</x:v>
      </x:c>
      <x:c r="D2321" s="35" t="str">
        <x:v>JxPath_19</x:v>
      </x:c>
      <x:c r="E2321" s="35" t="str">
        <x:v>Condition</x:v>
      </x:c>
      <x:c r="F2321" s="35"/>
      <x:c r="G2321" s="35" t="str">
        <x:v>A</x:v>
      </x:c>
      <x:c r="H2321" s="39" t="str">
        <x:f>IF(ISNUMBER('Data'!N613),'Data'!N613*100,"")</x:f>
      </x:c>
      <x:c r="I2321" s="35"/>
      <x:c r="J2321" s="35" t="str">
        <x:v>PASS</x:v>
      </x:c>
      <x:c r="K2321" s="35" t="str">
        <x:v>FAIL</x:v>
      </x:c>
      <x:c r="L2321" s="35" t="str">
        <x:v>NOT_RUN</x:v>
      </x:c>
      <x:c r="M2321" s="35" t="str">
        <x:v>coverage unavailable or execution/compile failed</x:v>
      </x:c>
      <x:c r="N2321" s="35" t="str">
        <x:v>Deepseek-flash-v4/Result/JxPath_19/result.json</x:v>
      </x:c>
      <x:c r="O2321" s="39" t="str">
        <x:f>IF(AND(G2321="RECORDED",ISNUMBER(H2321)),H2321,"")</x:f>
      </x:c>
      <x:c r="P2321" s="35" t="str">
        <x:v>NOT_AVAILABLE</x:v>
      </x:c>
      <x:c r="Q2321" s="35" t="str">
        <x:v>Deepseek-flash-v4/Result/JxPath_19/result.json</x:v>
      </x:c>
    </x:row>
    <x:row r="2322">
      <x:c r="A2322" s="35" t="str">
        <x:v>deepseek</x:v>
      </x:c>
      <x:c r="B2322" s="35" t="str">
        <x:v>JxPath</x:v>
      </x:c>
      <x:c r="C2322" s="35" t="str">
        <x:v>Round1</x:v>
      </x:c>
      <x:c r="D2322" s="35" t="str">
        <x:v>JxPath_2</x:v>
      </x:c>
      <x:c r="E2322" s="35" t="str">
        <x:v>Condition</x:v>
      </x:c>
      <x:c r="F2322" s="35"/>
      <x:c r="G2322" s="35" t="str">
        <x:v>A</x:v>
      </x:c>
      <x:c r="H2322" s="39" t="str">
        <x:f>IF(ISNUMBER('Data'!N614),'Data'!N614*100,"")</x:f>
      </x:c>
      <x:c r="I2322" s="35"/>
      <x:c r="J2322" s="35" t="str">
        <x:v>PASS</x:v>
      </x:c>
      <x:c r="K2322" s="35" t="str">
        <x:v>FAIL</x:v>
      </x:c>
      <x:c r="L2322" s="35" t="str">
        <x:v>NOT_RUN</x:v>
      </x:c>
      <x:c r="M2322" s="35" t="str">
        <x:v>coverage unavailable or execution/compile failed</x:v>
      </x:c>
      <x:c r="N2322" s="35" t="str">
        <x:v>Deepseek-flash-v4/Result/JxPath_2/result.json</x:v>
      </x:c>
      <x:c r="O2322" s="39" t="str">
        <x:f>IF(AND(G2322="RECORDED",ISNUMBER(H2322)),H2322,"")</x:f>
      </x:c>
      <x:c r="P2322" s="35" t="str">
        <x:v>NOT_AVAILABLE</x:v>
      </x:c>
      <x:c r="Q2322" s="35" t="str">
        <x:v>Deepseek-flash-v4/Result/JxPath_2/result.json</x:v>
      </x:c>
    </x:row>
    <x:row r="2323">
      <x:c r="A2323" s="35" t="str">
        <x:v>deepseek</x:v>
      </x:c>
      <x:c r="B2323" s="35" t="str">
        <x:v>JxPath</x:v>
      </x:c>
      <x:c r="C2323" s="35" t="str">
        <x:v>Round1</x:v>
      </x:c>
      <x:c r="D2323" s="35" t="str">
        <x:v>JxPath_20</x:v>
      </x:c>
      <x:c r="E2323" s="35" t="str">
        <x:v>Condition</x:v>
      </x:c>
      <x:c r="F2323" s="35"/>
      <x:c r="G2323" s="35" t="str">
        <x:v>A</x:v>
      </x:c>
      <x:c r="H2323" s="39" t="str">
        <x:f>IF(ISNUMBER('Data'!N615),'Data'!N615*100,"")</x:f>
      </x:c>
      <x:c r="I2323" s="35"/>
      <x:c r="J2323" s="35" t="str">
        <x:v>PASS</x:v>
      </x:c>
      <x:c r="K2323" s="35" t="str">
        <x:v>FAIL</x:v>
      </x:c>
      <x:c r="L2323" s="35" t="str">
        <x:v>NOT_RUN</x:v>
      </x:c>
      <x:c r="M2323" s="35" t="str">
        <x:v>coverage unavailable or execution/compile failed</x:v>
      </x:c>
      <x:c r="N2323" s="35" t="str">
        <x:v>Deepseek-flash-v4/Result/JxPath_20/result.json</x:v>
      </x:c>
      <x:c r="O2323" s="39" t="str">
        <x:f>IF(AND(G2323="RECORDED",ISNUMBER(H2323)),H2323,"")</x:f>
      </x:c>
      <x:c r="P2323" s="35" t="str">
        <x:v>NOT_AVAILABLE</x:v>
      </x:c>
      <x:c r="Q2323" s="35" t="str">
        <x:v>Deepseek-flash-v4/Result/JxPath_20/result.json</x:v>
      </x:c>
    </x:row>
    <x:row r="2324">
      <x:c r="A2324" s="35" t="str">
        <x:v>deepseek</x:v>
      </x:c>
      <x:c r="B2324" s="35" t="str">
        <x:v>JxPath</x:v>
      </x:c>
      <x:c r="C2324" s="35" t="str">
        <x:v>Round1</x:v>
      </x:c>
      <x:c r="D2324" s="35" t="str">
        <x:v>JxPath_21</x:v>
      </x:c>
      <x:c r="E2324" s="35" t="str">
        <x:v>Condition</x:v>
      </x:c>
      <x:c r="F2324" s="35"/>
      <x:c r="G2324" s="35" t="str">
        <x:v>A</x:v>
      </x:c>
      <x:c r="H2324" s="39" t="str">
        <x:f>IF(ISNUMBER('Data'!N616),'Data'!N616*100,"")</x:f>
      </x:c>
      <x:c r="I2324" s="35"/>
      <x:c r="J2324" s="35" t="str">
        <x:v>PASS</x:v>
      </x:c>
      <x:c r="K2324" s="35" t="str">
        <x:v>FAIL</x:v>
      </x:c>
      <x:c r="L2324" s="35" t="str">
        <x:v>NOT_RUN</x:v>
      </x:c>
      <x:c r="M2324" s="35" t="str">
        <x:v>coverage unavailable or execution/compile failed</x:v>
      </x:c>
      <x:c r="N2324" s="35" t="str">
        <x:v>Deepseek-flash-v4/Result/JxPath_21/result.json</x:v>
      </x:c>
      <x:c r="O2324" s="39" t="str">
        <x:f>IF(AND(G2324="RECORDED",ISNUMBER(H2324)),H2324,"")</x:f>
      </x:c>
      <x:c r="P2324" s="35" t="str">
        <x:v>NOT_AVAILABLE</x:v>
      </x:c>
      <x:c r="Q2324" s="35" t="str">
        <x:v>Deepseek-flash-v4/Result/JxPath_21/result.json</x:v>
      </x:c>
    </x:row>
    <x:row r="2325">
      <x:c r="A2325" s="35" t="str">
        <x:v>deepseek</x:v>
      </x:c>
      <x:c r="B2325" s="35" t="str">
        <x:v>JxPath</x:v>
      </x:c>
      <x:c r="C2325" s="35" t="str">
        <x:v>Round1</x:v>
      </x:c>
      <x:c r="D2325" s="35" t="str">
        <x:v>JxPath_22</x:v>
      </x:c>
      <x:c r="E2325" s="35" t="str">
        <x:v>Condition</x:v>
      </x:c>
      <x:c r="F2325" s="35"/>
      <x:c r="G2325" s="35" t="str">
        <x:v>A</x:v>
      </x:c>
      <x:c r="H2325" s="39" t="str">
        <x:f>IF(ISNUMBER('Data'!N617),'Data'!N617*100,"")</x:f>
      </x:c>
      <x:c r="I2325" s="35"/>
      <x:c r="J2325" s="35" t="str">
        <x:v>PASS</x:v>
      </x:c>
      <x:c r="K2325" s="35" t="str">
        <x:v>FAIL</x:v>
      </x:c>
      <x:c r="L2325" s="35" t="str">
        <x:v>NOT_RUN</x:v>
      </x:c>
      <x:c r="M2325" s="35" t="str">
        <x:v>coverage unavailable or execution/compile failed</x:v>
      </x:c>
      <x:c r="N2325" s="35" t="str">
        <x:v>Deepseek-flash-v4/Result/JxPath_22/result.json</x:v>
      </x:c>
      <x:c r="O2325" s="39" t="str">
        <x:f>IF(AND(G2325="RECORDED",ISNUMBER(H2325)),H2325,"")</x:f>
      </x:c>
      <x:c r="P2325" s="35" t="str">
        <x:v>NOT_AVAILABLE</x:v>
      </x:c>
      <x:c r="Q2325" s="35" t="str">
        <x:v>Deepseek-flash-v4/Result/JxPath_22/result.json</x:v>
      </x:c>
    </x:row>
    <x:row r="2326">
      <x:c r="A2326" s="35" t="str">
        <x:v>deepseek</x:v>
      </x:c>
      <x:c r="B2326" s="35" t="str">
        <x:v>JxPath</x:v>
      </x:c>
      <x:c r="C2326" s="35" t="str">
        <x:v>Round1</x:v>
      </x:c>
      <x:c r="D2326" s="35" t="str">
        <x:v>JxPath_3</x:v>
      </x:c>
      <x:c r="E2326" s="35" t="str">
        <x:v>Condition</x:v>
      </x:c>
      <x:c r="F2326" s="35"/>
      <x:c r="G2326" s="35" t="str">
        <x:v>A</x:v>
      </x:c>
      <x:c r="H2326" s="39" t="str">
        <x:f>IF(ISNUMBER('Data'!N618),'Data'!N618*100,"")</x:f>
      </x:c>
      <x:c r="I2326" s="35"/>
      <x:c r="J2326" s="35" t="str">
        <x:v>PASS</x:v>
      </x:c>
      <x:c r="K2326" s="35" t="str">
        <x:v>FAIL</x:v>
      </x:c>
      <x:c r="L2326" s="35" t="str">
        <x:v>NOT_RUN</x:v>
      </x:c>
      <x:c r="M2326" s="35" t="str">
        <x:v>coverage unavailable or execution/compile failed</x:v>
      </x:c>
      <x:c r="N2326" s="35" t="str">
        <x:v>Deepseek-flash-v4/Result/JxPath_3/result.json</x:v>
      </x:c>
      <x:c r="O2326" s="39" t="str">
        <x:f>IF(AND(G2326="RECORDED",ISNUMBER(H2326)),H2326,"")</x:f>
      </x:c>
      <x:c r="P2326" s="35" t="str">
        <x:v>NOT_AVAILABLE</x:v>
      </x:c>
      <x:c r="Q2326" s="35" t="str">
        <x:v>Deepseek-flash-v4/Result/JxPath_3/result.json</x:v>
      </x:c>
    </x:row>
    <x:row r="2327">
      <x:c r="A2327" s="35" t="str">
        <x:v>deepseek</x:v>
      </x:c>
      <x:c r="B2327" s="35" t="str">
        <x:v>JxPath</x:v>
      </x:c>
      <x:c r="C2327" s="35" t="str">
        <x:v>Round1</x:v>
      </x:c>
      <x:c r="D2327" s="35" t="str">
        <x:v>JxPath_4</x:v>
      </x:c>
      <x:c r="E2327" s="35" t="str">
        <x:v>Condition</x:v>
      </x:c>
      <x:c r="F2327" s="35"/>
      <x:c r="G2327" s="35" t="str">
        <x:v>A</x:v>
      </x:c>
      <x:c r="H2327" s="39" t="str">
        <x:f>IF(ISNUMBER('Data'!N619),'Data'!N619*100,"")</x:f>
      </x:c>
      <x:c r="I2327" s="35"/>
      <x:c r="J2327" s="35" t="str">
        <x:v>PASS</x:v>
      </x:c>
      <x:c r="K2327" s="35" t="str">
        <x:v>FAIL</x:v>
      </x:c>
      <x:c r="L2327" s="35" t="str">
        <x:v>NOT_RUN</x:v>
      </x:c>
      <x:c r="M2327" s="35" t="str">
        <x:v>coverage unavailable or execution/compile failed</x:v>
      </x:c>
      <x:c r="N2327" s="35" t="str">
        <x:v>Deepseek-flash-v4/Result/JxPath_4/result.json</x:v>
      </x:c>
      <x:c r="O2327" s="39" t="str">
        <x:f>IF(AND(G2327="RECORDED",ISNUMBER(H2327)),H2327,"")</x:f>
      </x:c>
      <x:c r="P2327" s="35" t="str">
        <x:v>NOT_AVAILABLE</x:v>
      </x:c>
      <x:c r="Q2327" s="35" t="str">
        <x:v>Deepseek-flash-v4/Result/JxPath_4/result.json</x:v>
      </x:c>
    </x:row>
    <x:row r="2328">
      <x:c r="A2328" s="35" t="str">
        <x:v>deepseek</x:v>
      </x:c>
      <x:c r="B2328" s="35" t="str">
        <x:v>JxPath</x:v>
      </x:c>
      <x:c r="C2328" s="35" t="str">
        <x:v>Round1</x:v>
      </x:c>
      <x:c r="D2328" s="35" t="str">
        <x:v>JxPath_5</x:v>
      </x:c>
      <x:c r="E2328" s="35" t="str">
        <x:v>Condition</x:v>
      </x:c>
      <x:c r="F2328" s="35"/>
      <x:c r="G2328" s="35" t="str">
        <x:v>A</x:v>
      </x:c>
      <x:c r="H2328" s="39" t="str">
        <x:f>IF(ISNUMBER('Data'!N620),'Data'!N620*100,"")</x:f>
      </x:c>
      <x:c r="I2328" s="35"/>
      <x:c r="J2328" s="35" t="str">
        <x:v>PASS</x:v>
      </x:c>
      <x:c r="K2328" s="35" t="str">
        <x:v>FAIL</x:v>
      </x:c>
      <x:c r="L2328" s="35" t="str">
        <x:v>NOT_RUN</x:v>
      </x:c>
      <x:c r="M2328" s="35" t="str">
        <x:v>coverage unavailable or execution/compile failed</x:v>
      </x:c>
      <x:c r="N2328" s="35" t="str">
        <x:v>Deepseek-flash-v4/Result/JxPath_5/result.json</x:v>
      </x:c>
      <x:c r="O2328" s="39" t="str">
        <x:f>IF(AND(G2328="RECORDED",ISNUMBER(H2328)),H2328,"")</x:f>
      </x:c>
      <x:c r="P2328" s="35" t="str">
        <x:v>NOT_AVAILABLE</x:v>
      </x:c>
      <x:c r="Q2328" s="35" t="str">
        <x:v>Deepseek-flash-v4/Result/JxPath_5/result.json</x:v>
      </x:c>
    </x:row>
    <x:row r="2329">
      <x:c r="A2329" s="35" t="str">
        <x:v>deepseek</x:v>
      </x:c>
      <x:c r="B2329" s="35" t="str">
        <x:v>JxPath</x:v>
      </x:c>
      <x:c r="C2329" s="35" t="str">
        <x:v>Round1</x:v>
      </x:c>
      <x:c r="D2329" s="35" t="str">
        <x:v>JxPath_6</x:v>
      </x:c>
      <x:c r="E2329" s="35" t="str">
        <x:v>Condition</x:v>
      </x:c>
      <x:c r="F2329" s="35"/>
      <x:c r="G2329" s="35" t="str">
        <x:v>A</x:v>
      </x:c>
      <x:c r="H2329" s="39" t="str">
        <x:f>IF(ISNUMBER('Data'!N621),'Data'!N621*100,"")</x:f>
      </x:c>
      <x:c r="I2329" s="35"/>
      <x:c r="J2329" s="35" t="str">
        <x:v>PASS</x:v>
      </x:c>
      <x:c r="K2329" s="35" t="str">
        <x:v>FAIL</x:v>
      </x:c>
      <x:c r="L2329" s="35" t="str">
        <x:v>NOT_RUN</x:v>
      </x:c>
      <x:c r="M2329" s="35" t="str">
        <x:v>coverage unavailable or execution/compile failed</x:v>
      </x:c>
      <x:c r="N2329" s="35" t="str">
        <x:v>Deepseek-flash-v4/Result/JxPath_6/result.json</x:v>
      </x:c>
      <x:c r="O2329" s="39" t="str">
        <x:f>IF(AND(G2329="RECORDED",ISNUMBER(H2329)),H2329,"")</x:f>
      </x:c>
      <x:c r="P2329" s="35" t="str">
        <x:v>NOT_AVAILABLE</x:v>
      </x:c>
      <x:c r="Q2329" s="35" t="str">
        <x:v>Deepseek-flash-v4/Result/JxPath_6/result.json</x:v>
      </x:c>
    </x:row>
    <x:row r="2330">
      <x:c r="A2330" s="35" t="str">
        <x:v>deepseek</x:v>
      </x:c>
      <x:c r="B2330" s="35" t="str">
        <x:v>JxPath</x:v>
      </x:c>
      <x:c r="C2330" s="35" t="str">
        <x:v>Round1</x:v>
      </x:c>
      <x:c r="D2330" s="35" t="str">
        <x:v>JxPath_7</x:v>
      </x:c>
      <x:c r="E2330" s="35" t="str">
        <x:v>Condition</x:v>
      </x:c>
      <x:c r="F2330" s="35"/>
      <x:c r="G2330" s="35" t="str">
        <x:v>A</x:v>
      </x:c>
      <x:c r="H2330" s="39" t="str">
        <x:f>IF(ISNUMBER('Data'!N622),'Data'!N622*100,"")</x:f>
      </x:c>
      <x:c r="I2330" s="35"/>
      <x:c r="J2330" s="35" t="str">
        <x:v>PASS</x:v>
      </x:c>
      <x:c r="K2330" s="35" t="str">
        <x:v>FAIL</x:v>
      </x:c>
      <x:c r="L2330" s="35" t="str">
        <x:v>NOT_RUN</x:v>
      </x:c>
      <x:c r="M2330" s="35" t="str">
        <x:v>coverage unavailable or execution/compile failed</x:v>
      </x:c>
      <x:c r="N2330" s="35" t="str">
        <x:v>Deepseek-flash-v4/Result/JxPath_7/result.json</x:v>
      </x:c>
      <x:c r="O2330" s="39" t="str">
        <x:f>IF(AND(G2330="RECORDED",ISNUMBER(H2330)),H2330,"")</x:f>
      </x:c>
      <x:c r="P2330" s="35" t="str">
        <x:v>NOT_AVAILABLE</x:v>
      </x:c>
      <x:c r="Q2330" s="35" t="str">
        <x:v>Deepseek-flash-v4/Result/JxPath_7/result.json</x:v>
      </x:c>
    </x:row>
    <x:row r="2331">
      <x:c r="A2331" s="35" t="str">
        <x:v>deepseek</x:v>
      </x:c>
      <x:c r="B2331" s="35" t="str">
        <x:v>JxPath</x:v>
      </x:c>
      <x:c r="C2331" s="35" t="str">
        <x:v>Round1</x:v>
      </x:c>
      <x:c r="D2331" s="35" t="str">
        <x:v>JxPath_8</x:v>
      </x:c>
      <x:c r="E2331" s="35" t="str">
        <x:v>Condition</x:v>
      </x:c>
      <x:c r="F2331" s="35"/>
      <x:c r="G2331" s="35" t="str">
        <x:v>A</x:v>
      </x:c>
      <x:c r="H2331" s="39" t="str">
        <x:f>IF(ISNUMBER('Data'!N623),'Data'!N623*100,"")</x:f>
      </x:c>
      <x:c r="I2331" s="35"/>
      <x:c r="J2331" s="35" t="str">
        <x:v>PASS</x:v>
      </x:c>
      <x:c r="K2331" s="35" t="str">
        <x:v>FAIL</x:v>
      </x:c>
      <x:c r="L2331" s="35" t="str">
        <x:v>NOT_RUN</x:v>
      </x:c>
      <x:c r="M2331" s="35" t="str">
        <x:v>coverage unavailable or execution/compile failed</x:v>
      </x:c>
      <x:c r="N2331" s="35" t="str">
        <x:v>Deepseek-flash-v4/Result/JxPath_8/result.json</x:v>
      </x:c>
      <x:c r="O2331" s="39" t="str">
        <x:f>IF(AND(G2331="RECORDED",ISNUMBER(H2331)),H2331,"")</x:f>
      </x:c>
      <x:c r="P2331" s="35" t="str">
        <x:v>NOT_AVAILABLE</x:v>
      </x:c>
      <x:c r="Q2331" s="35" t="str">
        <x:v>Deepseek-flash-v4/Result/JxPath_8/result.json</x:v>
      </x:c>
    </x:row>
    <x:row r="2332">
      <x:c r="A2332" s="35" t="str">
        <x:v>deepseek</x:v>
      </x:c>
      <x:c r="B2332" s="35" t="str">
        <x:v>JxPath</x:v>
      </x:c>
      <x:c r="C2332" s="35" t="str">
        <x:v>Round1</x:v>
      </x:c>
      <x:c r="D2332" s="35" t="str">
        <x:v>JxPath_9</x:v>
      </x:c>
      <x:c r="E2332" s="35" t="str">
        <x:v>Condition</x:v>
      </x:c>
      <x:c r="F2332" s="35"/>
      <x:c r="G2332" s="35" t="str">
        <x:v>A</x:v>
      </x:c>
      <x:c r="H2332" s="39" t="str">
        <x:f>IF(ISNUMBER('Data'!N624),'Data'!N624*100,"")</x:f>
      </x:c>
      <x:c r="I2332" s="35"/>
      <x:c r="J2332" s="35" t="str">
        <x:v>PASS</x:v>
      </x:c>
      <x:c r="K2332" s="35" t="str">
        <x:v>FAIL</x:v>
      </x:c>
      <x:c r="L2332" s="35" t="str">
        <x:v>NOT_RUN</x:v>
      </x:c>
      <x:c r="M2332" s="35" t="str">
        <x:v>coverage unavailable or execution/compile failed</x:v>
      </x:c>
      <x:c r="N2332" s="35" t="str">
        <x:v>Deepseek-flash-v4/Result/JxPath_9/result.json</x:v>
      </x:c>
      <x:c r="O2332" s="39" t="str">
        <x:f>IF(AND(G2332="RECORDED",ISNUMBER(H2332)),H2332,"")</x:f>
      </x:c>
      <x:c r="P2332" s="35" t="str">
        <x:v>NOT_AVAILABLE</x:v>
      </x:c>
      <x:c r="Q2332" s="35" t="str">
        <x:v>Deepseek-flash-v4/Result/JxPath_9/result.json</x:v>
      </x:c>
    </x:row>
    <x:row r="2333">
      <x:c r="A2333" s="35" t="str">
        <x:v>deepseek</x:v>
      </x:c>
      <x:c r="B2333" s="35" t="str">
        <x:v>Lang</x:v>
      </x:c>
      <x:c r="C2333" s="35" t="str">
        <x:v>Round1</x:v>
      </x:c>
      <x:c r="D2333" s="35" t="str">
        <x:v>Lang_1</x:v>
      </x:c>
      <x:c r="E2333" s="35" t="str">
        <x:v>Condition</x:v>
      </x:c>
      <x:c r="F2333" s="35"/>
      <x:c r="G2333" s="35" t="str">
        <x:v>A</x:v>
      </x:c>
      <x:c r="H2333" s="39" t="str">
        <x:f>IF(ISNUMBER('Data'!N625),'Data'!N625*100,"")</x:f>
      </x:c>
      <x:c r="I2333" s="35"/>
      <x:c r="J2333" s="35" t="str">
        <x:v>PASS</x:v>
      </x:c>
      <x:c r="K2333" s="35" t="str">
        <x:v>FAIL</x:v>
      </x:c>
      <x:c r="L2333" s="35" t="str">
        <x:v>NOT_RUN</x:v>
      </x:c>
      <x:c r="M2333" s="35" t="str">
        <x:v>coverage unavailable or execution/compile failed</x:v>
      </x:c>
      <x:c r="N2333" s="35" t="str">
        <x:v>Deepseek-flash-v4/Result/Lang_1/result.json</x:v>
      </x:c>
      <x:c r="O2333" s="39" t="str">
        <x:f>IF(AND(G2333="RECORDED",ISNUMBER(H2333)),H2333,"")</x:f>
      </x:c>
      <x:c r="P2333" s="35" t="str">
        <x:v>NOT_AVAILABLE</x:v>
      </x:c>
      <x:c r="Q2333" s="35" t="str">
        <x:v>Deepseek-flash-v4/Result/Lang_1/result.json</x:v>
      </x:c>
    </x:row>
    <x:row r="2334">
      <x:c r="A2334" s="35" t="str">
        <x:v>deepseek</x:v>
      </x:c>
      <x:c r="B2334" s="35" t="str">
        <x:v>Lang</x:v>
      </x:c>
      <x:c r="C2334" s="35" t="str">
        <x:v>Round1</x:v>
      </x:c>
      <x:c r="D2334" s="35" t="str">
        <x:v>Lang_10</x:v>
      </x:c>
      <x:c r="E2334" s="35" t="str">
        <x:v>Condition</x:v>
      </x:c>
      <x:c r="F2334" s="35" t="n">
        <x:v>127</x:v>
      </x:c>
      <x:c r="G2334" s="35" t="str">
        <x:v>RECORDED</x:v>
      </x:c>
      <x:c r="H2334" s="39" t="n">
        <x:f>IF(ISNUMBER('Data'!N626),'Data'!N626*100,"")</x:f>
        <x:v>69.29</x:v>
      </x:c>
      <x:c r="I2334" s="35" t="str">
        <x:v>PASS</x:v>
      </x:c>
      <x:c r="J2334" s="35" t="str">
        <x:v>PASS</x:v>
      </x:c>
      <x:c r="K2334" s="35" t="str">
        <x:v>PASS</x:v>
      </x:c>
      <x:c r="L2334" s="35" t="str">
        <x:v>PASS</x:v>
      </x:c>
      <x:c r="M2334" s="35" t="str">
        <x:v>numeric coverage for applicable metric</x:v>
      </x:c>
      <x:c r="N2334" s="35" t="str">
        <x:v>Deepseek-flash-v4/Result/Lang_10/result.json</x:v>
      </x:c>
      <x:c r="O2334" s="39" t="n">
        <x:f>IF(AND(G2334="RECORDED",ISNUMBER(H2334)),H2334,"")</x:f>
        <x:v>69.29</x:v>
      </x:c>
      <x:c r="P2334" s="35" t="str">
        <x:v>NOT_REVEALING</x:v>
      </x:c>
      <x:c r="Q2334" s="35" t="str">
        <x:v>Deepseek-flash-v4/Result/Lang_10/result.json</x:v>
      </x:c>
    </x:row>
    <x:row r="2335">
      <x:c r="A2335" s="35" t="str">
        <x:v>deepseek</x:v>
      </x:c>
      <x:c r="B2335" s="35" t="str">
        <x:v>Lang</x:v>
      </x:c>
      <x:c r="C2335" s="35" t="str">
        <x:v>Round1</x:v>
      </x:c>
      <x:c r="D2335" s="35" t="str">
        <x:v>Lang_11</x:v>
      </x:c>
      <x:c r="E2335" s="35" t="str">
        <x:v>Condition</x:v>
      </x:c>
      <x:c r="F2335" s="35"/>
      <x:c r="G2335" s="35" t="str">
        <x:v>A</x:v>
      </x:c>
      <x:c r="H2335" s="39" t="str">
        <x:f>IF(ISNUMBER('Data'!N627),'Data'!N627*100,"")</x:f>
      </x:c>
      <x:c r="I2335" s="35"/>
      <x:c r="J2335" s="35" t="str">
        <x:v>PASS</x:v>
      </x:c>
      <x:c r="K2335" s="35" t="str">
        <x:v>PASS</x:v>
      </x:c>
      <x:c r="L2335" s="35" t="str">
        <x:v>NOT_RUN</x:v>
      </x:c>
      <x:c r="M2335" s="35" t="str">
        <x:v>coverage unavailable or execution/compile failed</x:v>
      </x:c>
      <x:c r="N2335" s="35" t="str">
        <x:v>Deepseek-flash-v4/Result/Lang_11/result.json</x:v>
      </x:c>
      <x:c r="O2335" s="39" t="str">
        <x:f>IF(AND(G2335="RECORDED",ISNUMBER(H2335)),H2335,"")</x:f>
      </x:c>
      <x:c r="P2335" s="35" t="str">
        <x:v>NOT_AVAILABLE</x:v>
      </x:c>
      <x:c r="Q2335" s="35" t="str">
        <x:v>Deepseek-flash-v4/Result/Lang_11/result.json</x:v>
      </x:c>
    </x:row>
    <x:row r="2336">
      <x:c r="A2336" s="35" t="str">
        <x:v>deepseek</x:v>
      </x:c>
      <x:c r="B2336" s="35" t="str">
        <x:v>Lang</x:v>
      </x:c>
      <x:c r="C2336" s="35" t="str">
        <x:v>Round1</x:v>
      </x:c>
      <x:c r="D2336" s="35" t="str">
        <x:v>Lang_12</x:v>
      </x:c>
      <x:c r="E2336" s="35" t="str">
        <x:v>Condition</x:v>
      </x:c>
      <x:c r="F2336" s="35"/>
      <x:c r="G2336" s="35" t="str">
        <x:v>A</x:v>
      </x:c>
      <x:c r="H2336" s="39" t="str">
        <x:f>IF(ISNUMBER('Data'!N628),'Data'!N628*100,"")</x:f>
      </x:c>
      <x:c r="I2336" s="35"/>
      <x:c r="J2336" s="35" t="str">
        <x:v>PASS</x:v>
      </x:c>
      <x:c r="K2336" s="35" t="str">
        <x:v>FAIL</x:v>
      </x:c>
      <x:c r="L2336" s="35" t="str">
        <x:v>NOT_RUN</x:v>
      </x:c>
      <x:c r="M2336" s="35" t="str">
        <x:v>coverage unavailable or execution/compile failed</x:v>
      </x:c>
      <x:c r="N2336" s="35" t="str">
        <x:v>Deepseek-flash-v4/Result/Lang_12/result.json</x:v>
      </x:c>
      <x:c r="O2336" s="39" t="str">
        <x:f>IF(AND(G2336="RECORDED",ISNUMBER(H2336)),H2336,"")</x:f>
      </x:c>
      <x:c r="P2336" s="35" t="str">
        <x:v>NOT_AVAILABLE</x:v>
      </x:c>
      <x:c r="Q2336" s="35" t="str">
        <x:v>Deepseek-flash-v4/Result/Lang_12/result.json</x:v>
      </x:c>
    </x:row>
    <x:row r="2337">
      <x:c r="A2337" s="35" t="str">
        <x:v>deepseek</x:v>
      </x:c>
      <x:c r="B2337" s="35" t="str">
        <x:v>Lang</x:v>
      </x:c>
      <x:c r="C2337" s="35" t="str">
        <x:v>Round1</x:v>
      </x:c>
      <x:c r="D2337" s="35" t="str">
        <x:v>Lang_13</x:v>
      </x:c>
      <x:c r="E2337" s="35" t="str">
        <x:v>Condition</x:v>
      </x:c>
      <x:c r="F2337" s="35" t="n">
        <x:v>14</x:v>
      </x:c>
      <x:c r="G2337" s="35" t="str">
        <x:v>RECORDED</x:v>
      </x:c>
      <x:c r="H2337" s="39" t="n">
        <x:f>IF(ISNUMBER('Data'!N629),'Data'!N629*100,"")</x:f>
        <x:v>85.71</x:v>
      </x:c>
      <x:c r="I2337" s="35" t="str">
        <x:v>PASS</x:v>
      </x:c>
      <x:c r="J2337" s="35" t="str">
        <x:v>PASS</x:v>
      </x:c>
      <x:c r="K2337" s="35" t="str">
        <x:v>PASS</x:v>
      </x:c>
      <x:c r="L2337" s="35" t="str">
        <x:v>FAIL</x:v>
      </x:c>
      <x:c r="M2337" s="35" t="str">
        <x:v>numeric coverage for applicable metric</x:v>
      </x:c>
      <x:c r="N2337" s="35" t="str">
        <x:v>Deepseek-flash-v4/Result/Lang_13/result.json</x:v>
      </x:c>
      <x:c r="O2337" s="39" t="n">
        <x:f>IF(AND(G2337="RECORDED",ISNUMBER(H2337)),H2337,"")</x:f>
        <x:v>85.71</x:v>
      </x:c>
      <x:c r="P2337" s="35" t="str">
        <x:v>INCONCLUSIVE</x:v>
      </x:c>
      <x:c r="Q2337" s="35" t="str">
        <x:v>Deepseek-flash-v4/Result/Lang_13/result.json</x:v>
      </x:c>
    </x:row>
    <x:row r="2338">
      <x:c r="A2338" s="35" t="str">
        <x:v>deepseek</x:v>
      </x:c>
      <x:c r="B2338" s="35" t="str">
        <x:v>Lang</x:v>
      </x:c>
      <x:c r="C2338" s="35" t="str">
        <x:v>Round1</x:v>
      </x:c>
      <x:c r="D2338" s="35" t="str">
        <x:v>Lang_14</x:v>
      </x:c>
      <x:c r="E2338" s="35" t="str">
        <x:v>Condition</x:v>
      </x:c>
      <x:c r="F2338" s="35"/>
      <x:c r="G2338" s="35" t="str">
        <x:v>A</x:v>
      </x:c>
      <x:c r="H2338" s="39" t="str">
        <x:f>IF(ISNUMBER('Data'!N630),'Data'!N630*100,"")</x:f>
      </x:c>
      <x:c r="I2338" s="35"/>
      <x:c r="J2338" s="35" t="str">
        <x:v>PASS</x:v>
      </x:c>
      <x:c r="K2338" s="35" t="str">
        <x:v>FAIL</x:v>
      </x:c>
      <x:c r="L2338" s="35" t="str">
        <x:v>NOT_RUN</x:v>
      </x:c>
      <x:c r="M2338" s="35" t="str">
        <x:v>coverage unavailable or execution/compile failed</x:v>
      </x:c>
      <x:c r="N2338" s="35" t="str">
        <x:v>Deepseek-flash-v4/Result/Lang_14/result.json</x:v>
      </x:c>
      <x:c r="O2338" s="39" t="str">
        <x:f>IF(AND(G2338="RECORDED",ISNUMBER(H2338)),H2338,"")</x:f>
      </x:c>
      <x:c r="P2338" s="35" t="str">
        <x:v>NOT_AVAILABLE</x:v>
      </x:c>
      <x:c r="Q2338" s="35" t="str">
        <x:v>Deepseek-flash-v4/Result/Lang_14/result.json</x:v>
      </x:c>
    </x:row>
    <x:row r="2339">
      <x:c r="A2339" s="35" t="str">
        <x:v>deepseek</x:v>
      </x:c>
      <x:c r="B2339" s="35" t="str">
        <x:v>Lang</x:v>
      </x:c>
      <x:c r="C2339" s="35" t="str">
        <x:v>Round1</x:v>
      </x:c>
      <x:c r="D2339" s="35" t="str">
        <x:v>Lang_15</x:v>
      </x:c>
      <x:c r="E2339" s="35" t="str">
        <x:v>Condition</x:v>
      </x:c>
      <x:c r="F2339" s="35"/>
      <x:c r="G2339" s="35" t="str">
        <x:v>A</x:v>
      </x:c>
      <x:c r="H2339" s="39" t="str">
        <x:f>IF(ISNUMBER('Data'!N631),'Data'!N631*100,"")</x:f>
      </x:c>
      <x:c r="I2339" s="35"/>
      <x:c r="J2339" s="35" t="str">
        <x:v>PASS</x:v>
      </x:c>
      <x:c r="K2339" s="35" t="str">
        <x:v>FAIL</x:v>
      </x:c>
      <x:c r="L2339" s="35" t="str">
        <x:v>NOT_RUN</x:v>
      </x:c>
      <x:c r="M2339" s="35" t="str">
        <x:v>coverage unavailable or execution/compile failed</x:v>
      </x:c>
      <x:c r="N2339" s="35" t="str">
        <x:v>Deepseek-flash-v4/Result/Lang_15/result.json</x:v>
      </x:c>
      <x:c r="O2339" s="39" t="str">
        <x:f>IF(AND(G2339="RECORDED",ISNUMBER(H2339)),H2339,"")</x:f>
      </x:c>
      <x:c r="P2339" s="35" t="str">
        <x:v>NOT_AVAILABLE</x:v>
      </x:c>
      <x:c r="Q2339" s="35" t="str">
        <x:v>Deepseek-flash-v4/Result/Lang_15/result.json</x:v>
      </x:c>
    </x:row>
    <x:row r="2340">
      <x:c r="A2340" s="35" t="str">
        <x:v>deepseek</x:v>
      </x:c>
      <x:c r="B2340" s="35" t="str">
        <x:v>Lang</x:v>
      </x:c>
      <x:c r="C2340" s="35" t="str">
        <x:v>Round1</x:v>
      </x:c>
      <x:c r="D2340" s="35" t="str">
        <x:v>Lang_16</x:v>
      </x:c>
      <x:c r="E2340" s="35" t="str">
        <x:v>Condition</x:v>
      </x:c>
      <x:c r="F2340" s="35" t="n">
        <x:v>358</x:v>
      </x:c>
      <x:c r="G2340" s="35" t="str">
        <x:v>RECORDED</x:v>
      </x:c>
      <x:c r="H2340" s="39" t="n">
        <x:f>IF(ISNUMBER('Data'!N632),'Data'!N632*100,"")</x:f>
        <x:v>62.01</x:v>
      </x:c>
      <x:c r="I2340" s="35" t="str">
        <x:v>PASS</x:v>
      </x:c>
      <x:c r="J2340" s="35" t="str">
        <x:v>PASS</x:v>
      </x:c>
      <x:c r="K2340" s="35" t="str">
        <x:v>PASS</x:v>
      </x:c>
      <x:c r="L2340" s="35" t="str">
        <x:v>FAIL</x:v>
      </x:c>
      <x:c r="M2340" s="35" t="str">
        <x:v>numeric coverage for applicable metric</x:v>
      </x:c>
      <x:c r="N2340" s="35" t="str">
        <x:v>Deepseek-flash-v4/Result/Lang_16/result.json</x:v>
      </x:c>
      <x:c r="O2340" s="39" t="n">
        <x:f>IF(AND(G2340="RECORDED",ISNUMBER(H2340)),H2340,"")</x:f>
        <x:v>62.01</x:v>
      </x:c>
      <x:c r="P2340" s="35" t="str">
        <x:v>INCONCLUSIVE</x:v>
      </x:c>
      <x:c r="Q2340" s="35" t="str">
        <x:v>Deepseek-flash-v4/Result/Lang_16/result.json</x:v>
      </x:c>
    </x:row>
    <x:row r="2341">
      <x:c r="A2341" s="35" t="str">
        <x:v>deepseek</x:v>
      </x:c>
      <x:c r="B2341" s="35" t="str">
        <x:v>Lang</x:v>
      </x:c>
      <x:c r="C2341" s="35" t="str">
        <x:v>Round1</x:v>
      </x:c>
      <x:c r="D2341" s="35" t="str">
        <x:v>Lang_17</x:v>
      </x:c>
      <x:c r="E2341" s="35" t="str">
        <x:v>Condition</x:v>
      </x:c>
      <x:c r="F2341" s="35"/>
      <x:c r="G2341" s="35" t="str">
        <x:v>A</x:v>
      </x:c>
      <x:c r="H2341" s="39" t="str">
        <x:f>IF(ISNUMBER('Data'!N633),'Data'!N633*100,"")</x:f>
      </x:c>
      <x:c r="I2341" s="35"/>
      <x:c r="J2341" s="35" t="str">
        <x:v>PASS</x:v>
      </x:c>
      <x:c r="K2341" s="35" t="str">
        <x:v>FAIL</x:v>
      </x:c>
      <x:c r="L2341" s="35" t="str">
        <x:v>NOT_RUN</x:v>
      </x:c>
      <x:c r="M2341" s="35" t="str">
        <x:v>coverage unavailable or execution/compile failed</x:v>
      </x:c>
      <x:c r="N2341" s="35" t="str">
        <x:v>Deepseek-flash-v4/Result/Lang_17/result.json</x:v>
      </x:c>
      <x:c r="O2341" s="39" t="str">
        <x:f>IF(AND(G2341="RECORDED",ISNUMBER(H2341)),H2341,"")</x:f>
      </x:c>
      <x:c r="P2341" s="35" t="str">
        <x:v>NOT_AVAILABLE</x:v>
      </x:c>
      <x:c r="Q2341" s="35" t="str">
        <x:v>Deepseek-flash-v4/Result/Lang_17/result.json</x:v>
      </x:c>
    </x:row>
    <x:row r="2342">
      <x:c r="A2342" s="35" t="str">
        <x:v>deepseek</x:v>
      </x:c>
      <x:c r="B2342" s="35" t="str">
        <x:v>Lang</x:v>
      </x:c>
      <x:c r="C2342" s="35" t="str">
        <x:v>Round1</x:v>
      </x:c>
      <x:c r="D2342" s="35" t="str">
        <x:v>Lang_19</x:v>
      </x:c>
      <x:c r="E2342" s="35" t="str">
        <x:v>Condition</x:v>
      </x:c>
      <x:c r="F2342" s="35" t="n">
        <x:v>18</x:v>
      </x:c>
      <x:c r="G2342" s="35" t="str">
        <x:v>RECORDED</x:v>
      </x:c>
      <x:c r="H2342" s="39" t="n">
        <x:f>IF(ISNUMBER('Data'!N634),'Data'!N634*100,"")</x:f>
        <x:v>94.44</x:v>
      </x:c>
      <x:c r="I2342" s="35" t="str">
        <x:v>PASS</x:v>
      </x:c>
      <x:c r="J2342" s="35" t="str">
        <x:v>PASS</x:v>
      </x:c>
      <x:c r="K2342" s="35" t="str">
        <x:v>PASS</x:v>
      </x:c>
      <x:c r="L2342" s="35" t="str">
        <x:v>FAIL</x:v>
      </x:c>
      <x:c r="M2342" s="35" t="str">
        <x:v>numeric coverage for applicable metric</x:v>
      </x:c>
      <x:c r="N2342" s="35" t="str">
        <x:v>Deepseek-flash-v4/Result/Lang_19/result.json</x:v>
      </x:c>
      <x:c r="O2342" s="39" t="n">
        <x:f>IF(AND(G2342="RECORDED",ISNUMBER(H2342)),H2342,"")</x:f>
        <x:v>94.44</x:v>
      </x:c>
      <x:c r="P2342" s="35" t="str">
        <x:v>INCONCLUSIVE</x:v>
      </x:c>
      <x:c r="Q2342" s="35" t="str">
        <x:v>Deepseek-flash-v4/Result/Lang_19/result.json</x:v>
      </x:c>
    </x:row>
    <x:row r="2343">
      <x:c r="A2343" s="35" t="str">
        <x:v>deepseek</x:v>
      </x:c>
      <x:c r="B2343" s="35" t="str">
        <x:v>Lang</x:v>
      </x:c>
      <x:c r="C2343" s="35" t="str">
        <x:v>Round1</x:v>
      </x:c>
      <x:c r="D2343" s="35" t="str">
        <x:v>Lang_20</x:v>
      </x:c>
      <x:c r="E2343" s="35" t="str">
        <x:v>Condition</x:v>
      </x:c>
      <x:c r="F2343" s="35"/>
      <x:c r="G2343" s="35" t="str">
        <x:v>A</x:v>
      </x:c>
      <x:c r="H2343" s="39" t="str">
        <x:f>IF(ISNUMBER('Data'!N635),'Data'!N635*100,"")</x:f>
      </x:c>
      <x:c r="I2343" s="35"/>
      <x:c r="J2343" s="35" t="str">
        <x:v>PASS</x:v>
      </x:c>
      <x:c r="K2343" s="35" t="str">
        <x:v>FAIL</x:v>
      </x:c>
      <x:c r="L2343" s="35" t="str">
        <x:v>NOT_RUN</x:v>
      </x:c>
      <x:c r="M2343" s="35" t="str">
        <x:v>coverage unavailable or execution/compile failed</x:v>
      </x:c>
      <x:c r="N2343" s="35" t="str">
        <x:v>Deepseek-flash-v4/Result/Lang_20/result.json</x:v>
      </x:c>
      <x:c r="O2343" s="39" t="str">
        <x:f>IF(AND(G2343="RECORDED",ISNUMBER(H2343)),H2343,"")</x:f>
      </x:c>
      <x:c r="P2343" s="35" t="str">
        <x:v>NOT_AVAILABLE</x:v>
      </x:c>
      <x:c r="Q2343" s="35" t="str">
        <x:v>Deepseek-flash-v4/Result/Lang_20/result.json</x:v>
      </x:c>
    </x:row>
    <x:row r="2344">
      <x:c r="A2344" s="35" t="str">
        <x:v>deepseek</x:v>
      </x:c>
      <x:c r="B2344" s="35" t="str">
        <x:v>Lang</x:v>
      </x:c>
      <x:c r="C2344" s="35" t="str">
        <x:v>Round1</x:v>
      </x:c>
      <x:c r="D2344" s="35" t="str">
        <x:v>Lang_21</x:v>
      </x:c>
      <x:c r="E2344" s="35" t="str">
        <x:v>Condition</x:v>
      </x:c>
      <x:c r="F2344" s="35"/>
      <x:c r="G2344" s="35" t="str">
        <x:v>A</x:v>
      </x:c>
      <x:c r="H2344" s="39" t="str">
        <x:f>IF(ISNUMBER('Data'!N636),'Data'!N636*100,"")</x:f>
      </x:c>
      <x:c r="I2344" s="35"/>
      <x:c r="J2344" s="35" t="str">
        <x:v>PASS</x:v>
      </x:c>
      <x:c r="K2344" s="35" t="str">
        <x:v>FAIL</x:v>
      </x:c>
      <x:c r="L2344" s="35" t="str">
        <x:v>NOT_RUN</x:v>
      </x:c>
      <x:c r="M2344" s="35" t="str">
        <x:v>coverage unavailable or execution/compile failed</x:v>
      </x:c>
      <x:c r="N2344" s="35" t="str">
        <x:v>Deepseek-flash-v4/Result/Lang_21/result.json</x:v>
      </x:c>
      <x:c r="O2344" s="39" t="str">
        <x:f>IF(AND(G2344="RECORDED",ISNUMBER(H2344)),H2344,"")</x:f>
      </x:c>
      <x:c r="P2344" s="35" t="str">
        <x:v>NOT_AVAILABLE</x:v>
      </x:c>
      <x:c r="Q2344" s="35" t="str">
        <x:v>Deepseek-flash-v4/Result/Lang_21/result.json</x:v>
      </x:c>
    </x:row>
    <x:row r="2345">
      <x:c r="A2345" s="35" t="str">
        <x:v>deepseek</x:v>
      </x:c>
      <x:c r="B2345" s="35" t="str">
        <x:v>Lang</x:v>
      </x:c>
      <x:c r="C2345" s="35" t="str">
        <x:v>Round1</x:v>
      </x:c>
      <x:c r="D2345" s="35" t="str">
        <x:v>Lang_22</x:v>
      </x:c>
      <x:c r="E2345" s="35" t="str">
        <x:v>Condition</x:v>
      </x:c>
      <x:c r="F2345" s="35"/>
      <x:c r="G2345" s="35" t="str">
        <x:v>A</x:v>
      </x:c>
      <x:c r="H2345" s="39" t="str">
        <x:f>IF(ISNUMBER('Data'!N637),'Data'!N637*100,"")</x:f>
      </x:c>
      <x:c r="I2345" s="35"/>
      <x:c r="J2345" s="35" t="str">
        <x:v>PASS</x:v>
      </x:c>
      <x:c r="K2345" s="35" t="str">
        <x:v>FAIL</x:v>
      </x:c>
      <x:c r="L2345" s="35" t="str">
        <x:v>NOT_RUN</x:v>
      </x:c>
      <x:c r="M2345" s="35" t="str">
        <x:v>coverage unavailable or execution/compile failed</x:v>
      </x:c>
      <x:c r="N2345" s="35" t="str">
        <x:v>Deepseek-flash-v4/Result/Lang_22/result.json</x:v>
      </x:c>
      <x:c r="O2345" s="39" t="str">
        <x:f>IF(AND(G2345="RECORDED",ISNUMBER(H2345)),H2345,"")</x:f>
      </x:c>
      <x:c r="P2345" s="35" t="str">
        <x:v>NOT_AVAILABLE</x:v>
      </x:c>
      <x:c r="Q2345" s="35" t="str">
        <x:v>Deepseek-flash-v4/Result/Lang_22/result.json</x:v>
      </x:c>
    </x:row>
    <x:row r="2346">
      <x:c r="A2346" s="35" t="str">
        <x:v>deepseek</x:v>
      </x:c>
      <x:c r="B2346" s="35" t="str">
        <x:v>Lang</x:v>
      </x:c>
      <x:c r="C2346" s="35" t="str">
        <x:v>Round1</x:v>
      </x:c>
      <x:c r="D2346" s="35" t="str">
        <x:v>Lang_23</x:v>
      </x:c>
      <x:c r="E2346" s="35" t="str">
        <x:v>Condition</x:v>
      </x:c>
      <x:c r="F2346" s="35" t="n">
        <x:v>99</x:v>
      </x:c>
      <x:c r="G2346" s="35" t="str">
        <x:v>RECORDED</x:v>
      </x:c>
      <x:c r="H2346" s="39" t="n">
        <x:f>IF(ISNUMBER('Data'!N638),'Data'!N638*100,"")</x:f>
        <x:v>30.3</x:v>
      </x:c>
      <x:c r="I2346" s="35" t="str">
        <x:v>PASS</x:v>
      </x:c>
      <x:c r="J2346" s="35" t="str">
        <x:v>PASS</x:v>
      </x:c>
      <x:c r="K2346" s="35" t="str">
        <x:v>PASS</x:v>
      </x:c>
      <x:c r="L2346" s="35" t="str">
        <x:v>FAIL</x:v>
      </x:c>
      <x:c r="M2346" s="35" t="str">
        <x:v>numeric coverage for applicable metric</x:v>
      </x:c>
      <x:c r="N2346" s="35" t="str">
        <x:v>Deepseek-flash-v4/Result/Lang_23/result.json</x:v>
      </x:c>
      <x:c r="O2346" s="39" t="n">
        <x:f>IF(AND(G2346="RECORDED",ISNUMBER(H2346)),H2346,"")</x:f>
        <x:v>30.3</x:v>
      </x:c>
      <x:c r="P2346" s="35" t="str">
        <x:v>INCONCLUSIVE</x:v>
      </x:c>
      <x:c r="Q2346" s="35" t="str">
        <x:v>Deepseek-flash-v4/Result/Lang_23/result.json</x:v>
      </x:c>
    </x:row>
    <x:row r="2347">
      <x:c r="A2347" s="35" t="str">
        <x:v>deepseek</x:v>
      </x:c>
      <x:c r="B2347" s="35" t="str">
        <x:v>Lang</x:v>
      </x:c>
      <x:c r="C2347" s="35" t="str">
        <x:v>Round1</x:v>
      </x:c>
      <x:c r="D2347" s="35" t="str">
        <x:v>Lang_24</x:v>
      </x:c>
      <x:c r="E2347" s="35" t="str">
        <x:v>Condition</x:v>
      </x:c>
      <x:c r="F2347" s="35" t="n">
        <x:v>356</x:v>
      </x:c>
      <x:c r="G2347" s="35" t="str">
        <x:v>RECORDED</x:v>
      </x:c>
      <x:c r="H2347" s="39" t="n">
        <x:f>IF(ISNUMBER('Data'!N639),'Data'!N639*100,"")</x:f>
        <x:v>45.22</x:v>
      </x:c>
      <x:c r="I2347" s="35" t="str">
        <x:v>PASS</x:v>
      </x:c>
      <x:c r="J2347" s="35" t="str">
        <x:v>PASS</x:v>
      </x:c>
      <x:c r="K2347" s="35" t="str">
        <x:v>PASS</x:v>
      </x:c>
      <x:c r="L2347" s="35" t="str">
        <x:v>FAIL</x:v>
      </x:c>
      <x:c r="M2347" s="35" t="str">
        <x:v>numeric coverage for applicable metric</x:v>
      </x:c>
      <x:c r="N2347" s="35" t="str">
        <x:v>Deepseek-flash-v4/Result/Lang_24/result.json</x:v>
      </x:c>
      <x:c r="O2347" s="39" t="n">
        <x:f>IF(AND(G2347="RECORDED",ISNUMBER(H2347)),H2347,"")</x:f>
        <x:v>45.22</x:v>
      </x:c>
      <x:c r="P2347" s="35" t="str">
        <x:v>INCONCLUSIVE</x:v>
      </x:c>
      <x:c r="Q2347" s="35" t="str">
        <x:v>Deepseek-flash-v4/Result/Lang_24/result.json</x:v>
      </x:c>
    </x:row>
    <x:row r="2348">
      <x:c r="A2348" s="35" t="str">
        <x:v>deepseek</x:v>
      </x:c>
      <x:c r="B2348" s="35" t="str">
        <x:v>Lang</x:v>
      </x:c>
      <x:c r="C2348" s="35" t="str">
        <x:v>Round1</x:v>
      </x:c>
      <x:c r="D2348" s="35" t="str">
        <x:v>Lang_26</x:v>
      </x:c>
      <x:c r="E2348" s="35" t="str">
        <x:v>Condition</x:v>
      </x:c>
      <x:c r="F2348" s="35" t="n">
        <x:v>228</x:v>
      </x:c>
      <x:c r="G2348" s="35" t="str">
        <x:v>RECORDED</x:v>
      </x:c>
      <x:c r="H2348" s="39" t="n">
        <x:f>IF(ISNUMBER('Data'!N640),'Data'!N640*100,"")</x:f>
        <x:v>68.42</x:v>
      </x:c>
      <x:c r="I2348" s="35" t="str">
        <x:v>PASS</x:v>
      </x:c>
      <x:c r="J2348" s="35" t="str">
        <x:v>PASS</x:v>
      </x:c>
      <x:c r="K2348" s="35" t="str">
        <x:v>PASS</x:v>
      </x:c>
      <x:c r="L2348" s="35" t="str">
        <x:v>FAIL</x:v>
      </x:c>
      <x:c r="M2348" s="35" t="str">
        <x:v>numeric coverage for applicable metric</x:v>
      </x:c>
      <x:c r="N2348" s="35" t="str">
        <x:v>Deepseek-flash-v4/Result/Lang_26/result.json</x:v>
      </x:c>
      <x:c r="O2348" s="39" t="n">
        <x:f>IF(AND(G2348="RECORDED",ISNUMBER(H2348)),H2348,"")</x:f>
        <x:v>68.42</x:v>
      </x:c>
      <x:c r="P2348" s="35" t="str">
        <x:v>INCONCLUSIVE</x:v>
      </x:c>
      <x:c r="Q2348" s="35" t="str">
        <x:v>Deepseek-flash-v4/Result/Lang_26/result.json</x:v>
      </x:c>
    </x:row>
    <x:row r="2349">
      <x:c r="A2349" s="35" t="str">
        <x:v>deepseek</x:v>
      </x:c>
      <x:c r="B2349" s="35" t="str">
        <x:v>Lang</x:v>
      </x:c>
      <x:c r="C2349" s="35" t="str">
        <x:v>Round1</x:v>
      </x:c>
      <x:c r="D2349" s="35" t="str">
        <x:v>Lang_27</x:v>
      </x:c>
      <x:c r="E2349" s="35" t="str">
        <x:v>Condition</x:v>
      </x:c>
      <x:c r="F2349" s="35" t="n">
        <x:v>352</x:v>
      </x:c>
      <x:c r="G2349" s="35" t="str">
        <x:v>RECORDED</x:v>
      </x:c>
      <x:c r="H2349" s="39" t="n">
        <x:f>IF(ISNUMBER('Data'!N641),'Data'!N641*100,"")</x:f>
        <x:v>55.97</x:v>
      </x:c>
      <x:c r="I2349" s="35" t="str">
        <x:v>PASS</x:v>
      </x:c>
      <x:c r="J2349" s="35" t="str">
        <x:v>PASS</x:v>
      </x:c>
      <x:c r="K2349" s="35" t="str">
        <x:v>PASS</x:v>
      </x:c>
      <x:c r="L2349" s="35" t="str">
        <x:v>FAIL</x:v>
      </x:c>
      <x:c r="M2349" s="35" t="str">
        <x:v>numeric coverage for applicable metric</x:v>
      </x:c>
      <x:c r="N2349" s="35" t="str">
        <x:v>Deepseek-flash-v4/Result/Lang_27/result.json</x:v>
      </x:c>
      <x:c r="O2349" s="39" t="n">
        <x:f>IF(AND(G2349="RECORDED",ISNUMBER(H2349)),H2349,"")</x:f>
        <x:v>55.97</x:v>
      </x:c>
      <x:c r="P2349" s="35" t="str">
        <x:v>INCONCLUSIVE</x:v>
      </x:c>
      <x:c r="Q2349" s="35" t="str">
        <x:v>Deepseek-flash-v4/Result/Lang_27/result.json</x:v>
      </x:c>
    </x:row>
    <x:row r="2350">
      <x:c r="A2350" s="35" t="str">
        <x:v>deepseek</x:v>
      </x:c>
      <x:c r="B2350" s="35" t="str">
        <x:v>Lang</x:v>
      </x:c>
      <x:c r="C2350" s="35" t="str">
        <x:v>Round1</x:v>
      </x:c>
      <x:c r="D2350" s="35" t="str">
        <x:v>Lang_28</x:v>
      </x:c>
      <x:c r="E2350" s="35" t="str">
        <x:v>Condition</x:v>
      </x:c>
      <x:c r="F2350" s="35" t="n">
        <x:v>14</x:v>
      </x:c>
      <x:c r="G2350" s="35" t="str">
        <x:v>RECORDED</x:v>
      </x:c>
      <x:c r="H2350" s="39" t="n">
        <x:f>IF(ISNUMBER('Data'!N642),'Data'!N642*100,"")</x:f>
        <x:v>85.71</x:v>
      </x:c>
      <x:c r="I2350" s="35" t="str">
        <x:v>PASS</x:v>
      </x:c>
      <x:c r="J2350" s="35" t="str">
        <x:v>PASS</x:v>
      </x:c>
      <x:c r="K2350" s="35" t="str">
        <x:v>PASS</x:v>
      </x:c>
      <x:c r="L2350" s="35" t="str">
        <x:v>FAIL</x:v>
      </x:c>
      <x:c r="M2350" s="35" t="str">
        <x:v>numeric coverage for applicable metric</x:v>
      </x:c>
      <x:c r="N2350" s="35" t="str">
        <x:v>Deepseek-flash-v4/Result/Lang_28/result.json</x:v>
      </x:c>
      <x:c r="O2350" s="39" t="n">
        <x:f>IF(AND(G2350="RECORDED",ISNUMBER(H2350)),H2350,"")</x:f>
        <x:v>85.71</x:v>
      </x:c>
      <x:c r="P2350" s="35" t="str">
        <x:v>INCONCLUSIVE</x:v>
      </x:c>
      <x:c r="Q2350" s="35" t="str">
        <x:v>Deepseek-flash-v4/Result/Lang_28/result.json</x:v>
      </x:c>
    </x:row>
    <x:row r="2351">
      <x:c r="A2351" s="35" t="str">
        <x:v>deepseek</x:v>
      </x:c>
      <x:c r="B2351" s="35" t="str">
        <x:v>Lang</x:v>
      </x:c>
      <x:c r="C2351" s="35" t="str">
        <x:v>Round1</x:v>
      </x:c>
      <x:c r="D2351" s="35" t="str">
        <x:v>Lang_29</x:v>
      </x:c>
      <x:c r="E2351" s="35" t="str">
        <x:v>Condition</x:v>
      </x:c>
      <x:c r="F2351" s="35"/>
      <x:c r="G2351" s="35" t="str">
        <x:v>A</x:v>
      </x:c>
      <x:c r="H2351" s="39" t="str">
        <x:f>IF(ISNUMBER('Data'!N643),'Data'!N643*100,"")</x:f>
      </x:c>
      <x:c r="I2351" s="35"/>
      <x:c r="J2351" s="35" t="str">
        <x:v>PASS</x:v>
      </x:c>
      <x:c r="K2351" s="35" t="str">
        <x:v>FAIL</x:v>
      </x:c>
      <x:c r="L2351" s="35" t="str">
        <x:v>NOT_RUN</x:v>
      </x:c>
      <x:c r="M2351" s="35" t="str">
        <x:v>coverage unavailable or execution/compile failed</x:v>
      </x:c>
      <x:c r="N2351" s="35" t="str">
        <x:v>Deepseek-flash-v4/Result/Lang_29/result.json</x:v>
      </x:c>
      <x:c r="O2351" s="39" t="str">
        <x:f>IF(AND(G2351="RECORDED",ISNUMBER(H2351)),H2351,"")</x:f>
      </x:c>
      <x:c r="P2351" s="35" t="str">
        <x:v>NOT_AVAILABLE</x:v>
      </x:c>
      <x:c r="Q2351" s="35" t="str">
        <x:v>Deepseek-flash-v4/Result/Lang_29/result.json</x:v>
      </x:c>
    </x:row>
    <x:row r="2352">
      <x:c r="A2352" s="35" t="str">
        <x:v>deepseek</x:v>
      </x:c>
      <x:c r="B2352" s="35" t="str">
        <x:v>Lang</x:v>
      </x:c>
      <x:c r="C2352" s="35" t="str">
        <x:v>Round1</x:v>
      </x:c>
      <x:c r="D2352" s="35" t="str">
        <x:v>Lang_3</x:v>
      </x:c>
      <x:c r="E2352" s="35" t="str">
        <x:v>Condition</x:v>
      </x:c>
      <x:c r="F2352" s="35"/>
      <x:c r="G2352" s="35" t="str">
        <x:v>A</x:v>
      </x:c>
      <x:c r="H2352" s="39" t="str">
        <x:f>IF(ISNUMBER('Data'!N644),'Data'!N644*100,"")</x:f>
      </x:c>
      <x:c r="I2352" s="35"/>
      <x:c r="J2352" s="35" t="str">
        <x:v>PASS</x:v>
      </x:c>
      <x:c r="K2352" s="35" t="str">
        <x:v>FAIL</x:v>
      </x:c>
      <x:c r="L2352" s="35" t="str">
        <x:v>NOT_RUN</x:v>
      </x:c>
      <x:c r="M2352" s="35" t="str">
        <x:v>coverage unavailable or execution/compile failed</x:v>
      </x:c>
      <x:c r="N2352" s="35" t="str">
        <x:v>Deepseek-flash-v4/Result/Lang_3/result.json</x:v>
      </x:c>
      <x:c r="O2352" s="39" t="str">
        <x:f>IF(AND(G2352="RECORDED",ISNUMBER(H2352)),H2352,"")</x:f>
      </x:c>
      <x:c r="P2352" s="35" t="str">
        <x:v>NOT_AVAILABLE</x:v>
      </x:c>
      <x:c r="Q2352" s="35" t="str">
        <x:v>Deepseek-flash-v4/Result/Lang_3/result.json</x:v>
      </x:c>
    </x:row>
    <x:row r="2353">
      <x:c r="A2353" s="35" t="str">
        <x:v>deepseek</x:v>
      </x:c>
      <x:c r="B2353" s="35" t="str">
        <x:v>Lang</x:v>
      </x:c>
      <x:c r="C2353" s="35" t="str">
        <x:v>Round1</x:v>
      </x:c>
      <x:c r="D2353" s="35" t="str">
        <x:v>Lang_30</x:v>
      </x:c>
      <x:c r="E2353" s="35" t="str">
        <x:v>Condition</x:v>
      </x:c>
      <x:c r="F2353" s="35"/>
      <x:c r="G2353" s="35" t="str">
        <x:v>A</x:v>
      </x:c>
      <x:c r="H2353" s="39" t="str">
        <x:f>IF(ISNUMBER('Data'!N645),'Data'!N645*100,"")</x:f>
      </x:c>
      <x:c r="I2353" s="35"/>
      <x:c r="J2353" s="35" t="str">
        <x:v>PASS</x:v>
      </x:c>
      <x:c r="K2353" s="35" t="str">
        <x:v>FAIL</x:v>
      </x:c>
      <x:c r="L2353" s="35" t="str">
        <x:v>NOT_RUN</x:v>
      </x:c>
      <x:c r="M2353" s="35" t="str">
        <x:v>coverage unavailable or execution/compile failed</x:v>
      </x:c>
      <x:c r="N2353" s="35" t="str">
        <x:v>Deepseek-flash-v4/Result/Lang_30/result.json</x:v>
      </x:c>
      <x:c r="O2353" s="39" t="str">
        <x:f>IF(AND(G2353="RECORDED",ISNUMBER(H2353)),H2353,"")</x:f>
      </x:c>
      <x:c r="P2353" s="35" t="str">
        <x:v>NOT_AVAILABLE</x:v>
      </x:c>
      <x:c r="Q2353" s="35" t="str">
        <x:v>Deepseek-flash-v4/Result/Lang_30/result.json</x:v>
      </x:c>
    </x:row>
    <x:row r="2354">
      <x:c r="A2354" s="35" t="str">
        <x:v>deepseek</x:v>
      </x:c>
      <x:c r="B2354" s="35" t="str">
        <x:v>Lang</x:v>
      </x:c>
      <x:c r="C2354" s="35" t="str">
        <x:v>Round1</x:v>
      </x:c>
      <x:c r="D2354" s="35" t="str">
        <x:v>Lang_31</x:v>
      </x:c>
      <x:c r="E2354" s="35" t="str">
        <x:v>Condition</x:v>
      </x:c>
      <x:c r="F2354" s="35"/>
      <x:c r="G2354" s="35" t="str">
        <x:v>A</x:v>
      </x:c>
      <x:c r="H2354" s="39" t="str">
        <x:f>IF(ISNUMBER('Data'!N646),'Data'!N646*100,"")</x:f>
      </x:c>
      <x:c r="I2354" s="35"/>
      <x:c r="J2354" s="35" t="str">
        <x:v>PASS</x:v>
      </x:c>
      <x:c r="K2354" s="35" t="str">
        <x:v>FAIL</x:v>
      </x:c>
      <x:c r="L2354" s="35" t="str">
        <x:v>NOT_RUN</x:v>
      </x:c>
      <x:c r="M2354" s="35" t="str">
        <x:v>coverage unavailable or execution/compile failed</x:v>
      </x:c>
      <x:c r="N2354" s="35" t="str">
        <x:v>Deepseek-flash-v4/Result/Lang_31/result.json</x:v>
      </x:c>
      <x:c r="O2354" s="39" t="str">
        <x:f>IF(AND(G2354="RECORDED",ISNUMBER(H2354)),H2354,"")</x:f>
      </x:c>
      <x:c r="P2354" s="35" t="str">
        <x:v>NOT_AVAILABLE</x:v>
      </x:c>
      <x:c r="Q2354" s="35" t="str">
        <x:v>Deepseek-flash-v4/Result/Lang_31/result.json</x:v>
      </x:c>
    </x:row>
    <x:row r="2355">
      <x:c r="A2355" s="35" t="str">
        <x:v>deepseek</x:v>
      </x:c>
      <x:c r="B2355" s="35" t="str">
        <x:v>Lang</x:v>
      </x:c>
      <x:c r="C2355" s="35" t="str">
        <x:v>Round1</x:v>
      </x:c>
      <x:c r="D2355" s="35" t="str">
        <x:v>Lang_32</x:v>
      </x:c>
      <x:c r="E2355" s="35" t="str">
        <x:v>Condition</x:v>
      </x:c>
      <x:c r="F2355" s="35"/>
      <x:c r="G2355" s="35" t="str">
        <x:v>A</x:v>
      </x:c>
      <x:c r="H2355" s="39" t="str">
        <x:f>IF(ISNUMBER('Data'!N647),'Data'!N647*100,"")</x:f>
      </x:c>
      <x:c r="I2355" s="35"/>
      <x:c r="J2355" s="35" t="str">
        <x:v>PASS</x:v>
      </x:c>
      <x:c r="K2355" s="35" t="str">
        <x:v>FAIL</x:v>
      </x:c>
      <x:c r="L2355" s="35" t="str">
        <x:v>NOT_RUN</x:v>
      </x:c>
      <x:c r="M2355" s="35" t="str">
        <x:v>coverage unavailable or execution/compile failed</x:v>
      </x:c>
      <x:c r="N2355" s="35" t="str">
        <x:v>Deepseek-flash-v4/Result/Lang_32/result.json</x:v>
      </x:c>
      <x:c r="O2355" s="39" t="str">
        <x:f>IF(AND(G2355="RECORDED",ISNUMBER(H2355)),H2355,"")</x:f>
      </x:c>
      <x:c r="P2355" s="35" t="str">
        <x:v>NOT_AVAILABLE</x:v>
      </x:c>
      <x:c r="Q2355" s="35" t="str">
        <x:v>Deepseek-flash-v4/Result/Lang_32/result.json</x:v>
      </x:c>
    </x:row>
    <x:row r="2356">
      <x:c r="A2356" s="35" t="str">
        <x:v>deepseek</x:v>
      </x:c>
      <x:c r="B2356" s="35" t="str">
        <x:v>Lang</x:v>
      </x:c>
      <x:c r="C2356" s="35" t="str">
        <x:v>Round1</x:v>
      </x:c>
      <x:c r="D2356" s="35" t="str">
        <x:v>Lang_33</x:v>
      </x:c>
      <x:c r="E2356" s="35" t="str">
        <x:v>Condition</x:v>
      </x:c>
      <x:c r="F2356" s="35"/>
      <x:c r="G2356" s="35" t="str">
        <x:v>A</x:v>
      </x:c>
      <x:c r="H2356" s="39" t="str">
        <x:f>IF(ISNUMBER('Data'!N648),'Data'!N648*100,"")</x:f>
      </x:c>
      <x:c r="I2356" s="35"/>
      <x:c r="J2356" s="35" t="str">
        <x:v>PASS</x:v>
      </x:c>
      <x:c r="K2356" s="35" t="str">
        <x:v>FAIL</x:v>
      </x:c>
      <x:c r="L2356" s="35" t="str">
        <x:v>NOT_RUN</x:v>
      </x:c>
      <x:c r="M2356" s="35" t="str">
        <x:v>coverage unavailable or execution/compile failed</x:v>
      </x:c>
      <x:c r="N2356" s="35" t="str">
        <x:v>Deepseek-flash-v4/Result/Lang_33/result.json</x:v>
      </x:c>
      <x:c r="O2356" s="39" t="str">
        <x:f>IF(AND(G2356="RECORDED",ISNUMBER(H2356)),H2356,"")</x:f>
      </x:c>
      <x:c r="P2356" s="35" t="str">
        <x:v>NOT_AVAILABLE</x:v>
      </x:c>
      <x:c r="Q2356" s="35" t="str">
        <x:v>Deepseek-flash-v4/Result/Lang_33/result.json</x:v>
      </x:c>
    </x:row>
    <x:row r="2357">
      <x:c r="A2357" s="35" t="str">
        <x:v>deepseek</x:v>
      </x:c>
      <x:c r="B2357" s="35" t="str">
        <x:v>Lang</x:v>
      </x:c>
      <x:c r="C2357" s="35" t="str">
        <x:v>Round1</x:v>
      </x:c>
      <x:c r="D2357" s="35" t="str">
        <x:v>Lang_34</x:v>
      </x:c>
      <x:c r="E2357" s="35" t="str">
        <x:v>Condition</x:v>
      </x:c>
      <x:c r="F2357" s="35"/>
      <x:c r="G2357" s="35" t="str">
        <x:v>A</x:v>
      </x:c>
      <x:c r="H2357" s="39" t="str">
        <x:f>IF(ISNUMBER('Data'!N649),'Data'!N649*100,"")</x:f>
      </x:c>
      <x:c r="I2357" s="35"/>
      <x:c r="J2357" s="35" t="str">
        <x:v>PASS</x:v>
      </x:c>
      <x:c r="K2357" s="35" t="str">
        <x:v>FAIL</x:v>
      </x:c>
      <x:c r="L2357" s="35" t="str">
        <x:v>NOT_RUN</x:v>
      </x:c>
      <x:c r="M2357" s="35" t="str">
        <x:v>coverage unavailable or execution/compile failed</x:v>
      </x:c>
      <x:c r="N2357" s="35" t="str">
        <x:v>Deepseek-flash-v4/Result/Lang_34/result.json</x:v>
      </x:c>
      <x:c r="O2357" s="39" t="str">
        <x:f>IF(AND(G2357="RECORDED",ISNUMBER(H2357)),H2357,"")</x:f>
      </x:c>
      <x:c r="P2357" s="35" t="str">
        <x:v>NOT_AVAILABLE</x:v>
      </x:c>
      <x:c r="Q2357" s="35" t="str">
        <x:v>Deepseek-flash-v4/Result/Lang_34/result.json</x:v>
      </x:c>
    </x:row>
    <x:row r="2358">
      <x:c r="A2358" s="35" t="str">
        <x:v>deepseek</x:v>
      </x:c>
      <x:c r="B2358" s="35" t="str">
        <x:v>Lang</x:v>
      </x:c>
      <x:c r="C2358" s="35" t="str">
        <x:v>Round1</x:v>
      </x:c>
      <x:c r="D2358" s="35" t="str">
        <x:v>Lang_35</x:v>
      </x:c>
      <x:c r="E2358" s="35" t="str">
        <x:v>Condition</x:v>
      </x:c>
      <x:c r="F2358" s="35"/>
      <x:c r="G2358" s="35" t="str">
        <x:v>A</x:v>
      </x:c>
      <x:c r="H2358" s="39" t="str">
        <x:f>IF(ISNUMBER('Data'!N650),'Data'!N650*100,"")</x:f>
      </x:c>
      <x:c r="I2358" s="35"/>
      <x:c r="J2358" s="35" t="str">
        <x:v>PASS</x:v>
      </x:c>
      <x:c r="K2358" s="35" t="str">
        <x:v>FAIL</x:v>
      </x:c>
      <x:c r="L2358" s="35" t="str">
        <x:v>NOT_RUN</x:v>
      </x:c>
      <x:c r="M2358" s="35" t="str">
        <x:v>coverage unavailable or execution/compile failed</x:v>
      </x:c>
      <x:c r="N2358" s="35" t="str">
        <x:v>Deepseek-flash-v4/Result/Lang_35/result.json</x:v>
      </x:c>
      <x:c r="O2358" s="39" t="str">
        <x:f>IF(AND(G2358="RECORDED",ISNUMBER(H2358)),H2358,"")</x:f>
      </x:c>
      <x:c r="P2358" s="35" t="str">
        <x:v>NOT_AVAILABLE</x:v>
      </x:c>
      <x:c r="Q2358" s="35" t="str">
        <x:v>Deepseek-flash-v4/Result/Lang_35/result.json</x:v>
      </x:c>
    </x:row>
    <x:row r="2359">
      <x:c r="A2359" s="35" t="str">
        <x:v>deepseek</x:v>
      </x:c>
      <x:c r="B2359" s="35" t="str">
        <x:v>Lang</x:v>
      </x:c>
      <x:c r="C2359" s="35" t="str">
        <x:v>Round1</x:v>
      </x:c>
      <x:c r="D2359" s="35" t="str">
        <x:v>Lang_36</x:v>
      </x:c>
      <x:c r="E2359" s="35" t="str">
        <x:v>Condition</x:v>
      </x:c>
      <x:c r="F2359" s="35"/>
      <x:c r="G2359" s="35" t="str">
        <x:v>A</x:v>
      </x:c>
      <x:c r="H2359" s="39" t="str">
        <x:f>IF(ISNUMBER('Data'!N651),'Data'!N651*100,"")</x:f>
      </x:c>
      <x:c r="I2359" s="35"/>
      <x:c r="J2359" s="35" t="str">
        <x:v>PASS</x:v>
      </x:c>
      <x:c r="K2359" s="35" t="str">
        <x:v>FAIL</x:v>
      </x:c>
      <x:c r="L2359" s="35" t="str">
        <x:v>NOT_RUN</x:v>
      </x:c>
      <x:c r="M2359" s="35" t="str">
        <x:v>coverage unavailable or execution/compile failed</x:v>
      </x:c>
      <x:c r="N2359" s="35" t="str">
        <x:v>Deepseek-flash-v4/Result/Lang_36/result.json</x:v>
      </x:c>
      <x:c r="O2359" s="39" t="str">
        <x:f>IF(AND(G2359="RECORDED",ISNUMBER(H2359)),H2359,"")</x:f>
      </x:c>
      <x:c r="P2359" s="35" t="str">
        <x:v>NOT_AVAILABLE</x:v>
      </x:c>
      <x:c r="Q2359" s="35" t="str">
        <x:v>Deepseek-flash-v4/Result/Lang_36/result.json</x:v>
      </x:c>
    </x:row>
    <x:row r="2360">
      <x:c r="A2360" s="35" t="str">
        <x:v>deepseek</x:v>
      </x:c>
      <x:c r="B2360" s="35" t="str">
        <x:v>Lang</x:v>
      </x:c>
      <x:c r="C2360" s="35" t="str">
        <x:v>Round1</x:v>
      </x:c>
      <x:c r="D2360" s="35" t="str">
        <x:v>Lang_37</x:v>
      </x:c>
      <x:c r="E2360" s="35" t="str">
        <x:v>Condition</x:v>
      </x:c>
      <x:c r="F2360" s="35"/>
      <x:c r="G2360" s="35" t="str">
        <x:v>A</x:v>
      </x:c>
      <x:c r="H2360" s="39" t="str">
        <x:f>IF(ISNUMBER('Data'!N652),'Data'!N652*100,"")</x:f>
      </x:c>
      <x:c r="I2360" s="35"/>
      <x:c r="J2360" s="35" t="str">
        <x:v>PASS</x:v>
      </x:c>
      <x:c r="K2360" s="35" t="str">
        <x:v>FAIL</x:v>
      </x:c>
      <x:c r="L2360" s="35" t="str">
        <x:v>NOT_RUN</x:v>
      </x:c>
      <x:c r="M2360" s="35" t="str">
        <x:v>coverage unavailable or execution/compile failed</x:v>
      </x:c>
      <x:c r="N2360" s="35" t="str">
        <x:v>Deepseek-flash-v4/Result/Lang_37/result.json</x:v>
      </x:c>
      <x:c r="O2360" s="39" t="str">
        <x:f>IF(AND(G2360="RECORDED",ISNUMBER(H2360)),H2360,"")</x:f>
      </x:c>
      <x:c r="P2360" s="35" t="str">
        <x:v>NOT_AVAILABLE</x:v>
      </x:c>
      <x:c r="Q2360" s="35" t="str">
        <x:v>Deepseek-flash-v4/Result/Lang_37/result.json</x:v>
      </x:c>
    </x:row>
    <x:row r="2361">
      <x:c r="A2361" s="35" t="str">
        <x:v>deepseek</x:v>
      </x:c>
      <x:c r="B2361" s="35" t="str">
        <x:v>Lang</x:v>
      </x:c>
      <x:c r="C2361" s="35" t="str">
        <x:v>Round1</x:v>
      </x:c>
      <x:c r="D2361" s="35" t="str">
        <x:v>Lang_38</x:v>
      </x:c>
      <x:c r="E2361" s="35" t="str">
        <x:v>Condition</x:v>
      </x:c>
      <x:c r="F2361" s="35" t="n">
        <x:v>228</x:v>
      </x:c>
      <x:c r="G2361" s="35" t="str">
        <x:v>RECORDED</x:v>
      </x:c>
      <x:c r="H2361" s="39" t="n">
        <x:f>IF(ISNUMBER('Data'!N653),'Data'!N653*100,"")</x:f>
        <x:v>59.650000000000006</x:v>
      </x:c>
      <x:c r="I2361" s="35" t="str">
        <x:v>PASS</x:v>
      </x:c>
      <x:c r="J2361" s="35" t="str">
        <x:v>PASS</x:v>
      </x:c>
      <x:c r="K2361" s="35" t="str">
        <x:v>PASS</x:v>
      </x:c>
      <x:c r="L2361" s="35" t="str">
        <x:v>FAIL</x:v>
      </x:c>
      <x:c r="M2361" s="35" t="str">
        <x:v>numeric coverage for applicable metric</x:v>
      </x:c>
      <x:c r="N2361" s="35" t="str">
        <x:v>Deepseek-flash-v4/Result/Lang_38/result.json</x:v>
      </x:c>
      <x:c r="O2361" s="39" t="n">
        <x:f>IF(AND(G2361="RECORDED",ISNUMBER(H2361)),H2361,"")</x:f>
        <x:v>59.650000000000006</x:v>
      </x:c>
      <x:c r="P2361" s="35" t="str">
        <x:v>REVEALING</x:v>
      </x:c>
      <x:c r="Q2361" s="35" t="str">
        <x:v>Deepseek-flash-v4/Result/Lang_38/result.json</x:v>
      </x:c>
    </x:row>
    <x:row r="2362">
      <x:c r="A2362" s="35" t="str">
        <x:v>deepseek</x:v>
      </x:c>
      <x:c r="B2362" s="35" t="str">
        <x:v>Lang</x:v>
      </x:c>
      <x:c r="C2362" s="35" t="str">
        <x:v>Round1</x:v>
      </x:c>
      <x:c r="D2362" s="35" t="str">
        <x:v>Lang_39</x:v>
      </x:c>
      <x:c r="E2362" s="35" t="str">
        <x:v>Condition</x:v>
      </x:c>
      <x:c r="F2362" s="35"/>
      <x:c r="G2362" s="35" t="str">
        <x:v>A</x:v>
      </x:c>
      <x:c r="H2362" s="39" t="str">
        <x:f>IF(ISNUMBER('Data'!N654),'Data'!N654*100,"")</x:f>
      </x:c>
      <x:c r="I2362" s="35"/>
      <x:c r="J2362" s="35" t="str">
        <x:v>PASS</x:v>
      </x:c>
      <x:c r="K2362" s="35" t="str">
        <x:v>FAIL</x:v>
      </x:c>
      <x:c r="L2362" s="35" t="str">
        <x:v>NOT_RUN</x:v>
      </x:c>
      <x:c r="M2362" s="35" t="str">
        <x:v>coverage unavailable or execution/compile failed</x:v>
      </x:c>
      <x:c r="N2362" s="35" t="str">
        <x:v>Deepseek-flash-v4/Result/Lang_39/result.json</x:v>
      </x:c>
      <x:c r="O2362" s="39" t="str">
        <x:f>IF(AND(G2362="RECORDED",ISNUMBER(H2362)),H2362,"")</x:f>
      </x:c>
      <x:c r="P2362" s="35" t="str">
        <x:v>NOT_AVAILABLE</x:v>
      </x:c>
      <x:c r="Q2362" s="35" t="str">
        <x:v>Deepseek-flash-v4/Result/Lang_39/result.json</x:v>
      </x:c>
    </x:row>
    <x:row r="2363">
      <x:c r="A2363" s="35" t="str">
        <x:v>deepseek</x:v>
      </x:c>
      <x:c r="B2363" s="35" t="str">
        <x:v>Lang</x:v>
      </x:c>
      <x:c r="C2363" s="35" t="str">
        <x:v>Round1</x:v>
      </x:c>
      <x:c r="D2363" s="35" t="str">
        <x:v>Lang_4</x:v>
      </x:c>
      <x:c r="E2363" s="35" t="str">
        <x:v>Condition</x:v>
      </x:c>
      <x:c r="F2363" s="35" t="n">
        <x:v>14</x:v>
      </x:c>
      <x:c r="G2363" s="35" t="str">
        <x:v>RECORDED</x:v>
      </x:c>
      <x:c r="H2363" s="39" t="n">
        <x:f>IF(ISNUMBER('Data'!N655),'Data'!N655*100,"")</x:f>
        <x:v>100</x:v>
      </x:c>
      <x:c r="I2363" s="35" t="str">
        <x:v>PASS</x:v>
      </x:c>
      <x:c r="J2363" s="35" t="str">
        <x:v>PASS</x:v>
      </x:c>
      <x:c r="K2363" s="35" t="str">
        <x:v>PASS</x:v>
      </x:c>
      <x:c r="L2363" s="35" t="str">
        <x:v>FAIL</x:v>
      </x:c>
      <x:c r="M2363" s="35" t="str">
        <x:v>numeric coverage for applicable metric</x:v>
      </x:c>
      <x:c r="N2363" s="35" t="str">
        <x:v>Deepseek-flash-v4/Result/Lang_4/result.json</x:v>
      </x:c>
      <x:c r="O2363" s="39" t="n">
        <x:f>IF(AND(G2363="RECORDED",ISNUMBER(H2363)),H2363,"")</x:f>
        <x:v>100</x:v>
      </x:c>
      <x:c r="P2363" s="35" t="str">
        <x:v>INCONCLUSIVE</x:v>
      </x:c>
      <x:c r="Q2363" s="35" t="str">
        <x:v>Deepseek-flash-v4/Result/Lang_4/result.json</x:v>
      </x:c>
    </x:row>
    <x:row r="2364">
      <x:c r="A2364" s="35" t="str">
        <x:v>deepseek</x:v>
      </x:c>
      <x:c r="B2364" s="35" t="str">
        <x:v>Lang</x:v>
      </x:c>
      <x:c r="C2364" s="35" t="str">
        <x:v>Round1</x:v>
      </x:c>
      <x:c r="D2364" s="35" t="str">
        <x:v>Lang_40</x:v>
      </x:c>
      <x:c r="E2364" s="35" t="str">
        <x:v>Condition</x:v>
      </x:c>
      <x:c r="F2364" s="35"/>
      <x:c r="G2364" s="35" t="str">
        <x:v>A</x:v>
      </x:c>
      <x:c r="H2364" s="39" t="str">
        <x:f>IF(ISNUMBER('Data'!N656),'Data'!N656*100,"")</x:f>
      </x:c>
      <x:c r="I2364" s="35"/>
      <x:c r="J2364" s="35" t="str">
        <x:v>PASS</x:v>
      </x:c>
      <x:c r="K2364" s="35" t="str">
        <x:v>FAIL</x:v>
      </x:c>
      <x:c r="L2364" s="35" t="str">
        <x:v>NOT_RUN</x:v>
      </x:c>
      <x:c r="M2364" s="35" t="str">
        <x:v>coverage unavailable or execution/compile failed</x:v>
      </x:c>
      <x:c r="N2364" s="35" t="str">
        <x:v>Deepseek-flash-v4/Result/Lang_40/result.json</x:v>
      </x:c>
      <x:c r="O2364" s="39" t="str">
        <x:f>IF(AND(G2364="RECORDED",ISNUMBER(H2364)),H2364,"")</x:f>
      </x:c>
      <x:c r="P2364" s="35" t="str">
        <x:v>NOT_AVAILABLE</x:v>
      </x:c>
      <x:c r="Q2364" s="35" t="str">
        <x:v>Deepseek-flash-v4/Result/Lang_40/result.json</x:v>
      </x:c>
    </x:row>
    <x:row r="2365">
      <x:c r="A2365" s="35" t="str">
        <x:v>deepseek</x:v>
      </x:c>
      <x:c r="B2365" s="35" t="str">
        <x:v>Lang</x:v>
      </x:c>
      <x:c r="C2365" s="35" t="str">
        <x:v>Round1</x:v>
      </x:c>
      <x:c r="D2365" s="35" t="str">
        <x:v>Lang_41</x:v>
      </x:c>
      <x:c r="E2365" s="35" t="str">
        <x:v>Condition</x:v>
      </x:c>
      <x:c r="F2365" s="35"/>
      <x:c r="G2365" s="35" t="str">
        <x:v>A</x:v>
      </x:c>
      <x:c r="H2365" s="39" t="str">
        <x:f>IF(ISNUMBER('Data'!N657),'Data'!N657*100,"")</x:f>
      </x:c>
      <x:c r="I2365" s="35"/>
      <x:c r="J2365" s="35" t="str">
        <x:v>PASS</x:v>
      </x:c>
      <x:c r="K2365" s="35" t="str">
        <x:v>FAIL</x:v>
      </x:c>
      <x:c r="L2365" s="35" t="str">
        <x:v>NOT_RUN</x:v>
      </x:c>
      <x:c r="M2365" s="35" t="str">
        <x:v>coverage unavailable or execution/compile failed</x:v>
      </x:c>
      <x:c r="N2365" s="35" t="str">
        <x:v>Deepseek-flash-v4/Result/Lang_41/result.json</x:v>
      </x:c>
      <x:c r="O2365" s="39" t="str">
        <x:f>IF(AND(G2365="RECORDED",ISNUMBER(H2365)),H2365,"")</x:f>
      </x:c>
      <x:c r="P2365" s="35" t="str">
        <x:v>NOT_AVAILABLE</x:v>
      </x:c>
      <x:c r="Q2365" s="35" t="str">
        <x:v>Deepseek-flash-v4/Result/Lang_41/result.json</x:v>
      </x:c>
    </x:row>
    <x:row r="2366">
      <x:c r="A2366" s="35" t="str">
        <x:v>deepseek</x:v>
      </x:c>
      <x:c r="B2366" s="35" t="str">
        <x:v>Lang</x:v>
      </x:c>
      <x:c r="C2366" s="35" t="str">
        <x:v>Round1</x:v>
      </x:c>
      <x:c r="D2366" s="35" t="str">
        <x:v>Lang_42</x:v>
      </x:c>
      <x:c r="E2366" s="35" t="str">
        <x:v>Condition</x:v>
      </x:c>
      <x:c r="F2366" s="35"/>
      <x:c r="G2366" s="35" t="str">
        <x:v>A</x:v>
      </x:c>
      <x:c r="H2366" s="39" t="str">
        <x:f>IF(ISNUMBER('Data'!N658),'Data'!N658*100,"")</x:f>
      </x:c>
      <x:c r="I2366" s="35"/>
      <x:c r="J2366" s="35" t="str">
        <x:v>PASS</x:v>
      </x:c>
      <x:c r="K2366" s="35" t="str">
        <x:v>FAIL</x:v>
      </x:c>
      <x:c r="L2366" s="35" t="str">
        <x:v>NOT_RUN</x:v>
      </x:c>
      <x:c r="M2366" s="35" t="str">
        <x:v>coverage unavailable or execution/compile failed</x:v>
      </x:c>
      <x:c r="N2366" s="35" t="str">
        <x:v>Deepseek-flash-v4/Result/Lang_42/result.json</x:v>
      </x:c>
      <x:c r="O2366" s="39" t="str">
        <x:f>IF(AND(G2366="RECORDED",ISNUMBER(H2366)),H2366,"")</x:f>
      </x:c>
      <x:c r="P2366" s="35" t="str">
        <x:v>NOT_AVAILABLE</x:v>
      </x:c>
      <x:c r="Q2366" s="35" t="str">
        <x:v>Deepseek-flash-v4/Result/Lang_42/result.json</x:v>
      </x:c>
    </x:row>
    <x:row r="2367">
      <x:c r="A2367" s="35" t="str">
        <x:v>deepseek</x:v>
      </x:c>
      <x:c r="B2367" s="35" t="str">
        <x:v>Lang</x:v>
      </x:c>
      <x:c r="C2367" s="35" t="str">
        <x:v>Round1</x:v>
      </x:c>
      <x:c r="D2367" s="35" t="str">
        <x:v>Lang_43</x:v>
      </x:c>
      <x:c r="E2367" s="35" t="str">
        <x:v>Condition</x:v>
      </x:c>
      <x:c r="F2367" s="35"/>
      <x:c r="G2367" s="35" t="str">
        <x:v>A</x:v>
      </x:c>
      <x:c r="H2367" s="39" t="str">
        <x:f>IF(ISNUMBER('Data'!N659),'Data'!N659*100,"")</x:f>
      </x:c>
      <x:c r="I2367" s="35"/>
      <x:c r="J2367" s="35" t="str">
        <x:v>PASS</x:v>
      </x:c>
      <x:c r="K2367" s="35" t="str">
        <x:v>FAIL</x:v>
      </x:c>
      <x:c r="L2367" s="35" t="str">
        <x:v>NOT_RUN</x:v>
      </x:c>
      <x:c r="M2367" s="35" t="str">
        <x:v>coverage unavailable or execution/compile failed</x:v>
      </x:c>
      <x:c r="N2367" s="35" t="str">
        <x:v>Deepseek-flash-v4/Result/Lang_43/result.json</x:v>
      </x:c>
      <x:c r="O2367" s="39" t="str">
        <x:f>IF(AND(G2367="RECORDED",ISNUMBER(H2367)),H2367,"")</x:f>
      </x:c>
      <x:c r="P2367" s="35" t="str">
        <x:v>NOT_AVAILABLE</x:v>
      </x:c>
      <x:c r="Q2367" s="35" t="str">
        <x:v>Deepseek-flash-v4/Result/Lang_43/result.json</x:v>
      </x:c>
    </x:row>
    <x:row r="2368">
      <x:c r="A2368" s="35" t="str">
        <x:v>deepseek</x:v>
      </x:c>
      <x:c r="B2368" s="35" t="str">
        <x:v>Lang</x:v>
      </x:c>
      <x:c r="C2368" s="35" t="str">
        <x:v>Round1</x:v>
      </x:c>
      <x:c r="D2368" s="35" t="str">
        <x:v>Lang_44</x:v>
      </x:c>
      <x:c r="E2368" s="35" t="str">
        <x:v>Condition</x:v>
      </x:c>
      <x:c r="F2368" s="35" t="n">
        <x:v>216</x:v>
      </x:c>
      <x:c r="G2368" s="35" t="str">
        <x:v>RECORDED</x:v>
      </x:c>
      <x:c r="H2368" s="39" t="n">
        <x:f>IF(ISNUMBER('Data'!N660),'Data'!N660*100,"")</x:f>
        <x:v>43.06</x:v>
      </x:c>
      <x:c r="I2368" s="35" t="str">
        <x:v>PASS</x:v>
      </x:c>
      <x:c r="J2368" s="35" t="str">
        <x:v>PASS</x:v>
      </x:c>
      <x:c r="K2368" s="35" t="str">
        <x:v>PASS</x:v>
      </x:c>
      <x:c r="L2368" s="35" t="str">
        <x:v>FAIL</x:v>
      </x:c>
      <x:c r="M2368" s="35" t="str">
        <x:v>numeric coverage for applicable metric</x:v>
      </x:c>
      <x:c r="N2368" s="35" t="str">
        <x:v>Deepseek-flash-v4/Result/Lang_44/result.json</x:v>
      </x:c>
      <x:c r="O2368" s="39" t="n">
        <x:f>IF(AND(G2368="RECORDED",ISNUMBER(H2368)),H2368,"")</x:f>
        <x:v>43.06</x:v>
      </x:c>
      <x:c r="P2368" s="35" t="str">
        <x:v>INCONCLUSIVE</x:v>
      </x:c>
      <x:c r="Q2368" s="35" t="str">
        <x:v>Deepseek-flash-v4/Result/Lang_44/result.json</x:v>
      </x:c>
    </x:row>
    <x:row r="2369">
      <x:c r="A2369" s="35" t="str">
        <x:v>deepseek</x:v>
      </x:c>
      <x:c r="B2369" s="35" t="str">
        <x:v>Lang</x:v>
      </x:c>
      <x:c r="C2369" s="35" t="str">
        <x:v>Round1</x:v>
      </x:c>
      <x:c r="D2369" s="35" t="str">
        <x:v>Lang_45</x:v>
      </x:c>
      <x:c r="E2369" s="35" t="str">
        <x:v>Condition</x:v>
      </x:c>
      <x:c r="F2369" s="35" t="n">
        <x:v>102</x:v>
      </x:c>
      <x:c r="G2369" s="35" t="str">
        <x:v>RECORDED</x:v>
      </x:c>
      <x:c r="H2369" s="39" t="n">
        <x:f>IF(ISNUMBER('Data'!N661),'Data'!N661*100,"")</x:f>
        <x:v>95.1</x:v>
      </x:c>
      <x:c r="I2369" s="35" t="str">
        <x:v>PASS</x:v>
      </x:c>
      <x:c r="J2369" s="35" t="str">
        <x:v>PASS</x:v>
      </x:c>
      <x:c r="K2369" s="35" t="str">
        <x:v>PASS</x:v>
      </x:c>
      <x:c r="L2369" s="35" t="str">
        <x:v>FAIL</x:v>
      </x:c>
      <x:c r="M2369" s="35" t="str">
        <x:v>numeric coverage for applicable metric</x:v>
      </x:c>
      <x:c r="N2369" s="35" t="str">
        <x:v>Deepseek-flash-v4/Result/Lang_45/result.json</x:v>
      </x:c>
      <x:c r="O2369" s="39" t="n">
        <x:f>IF(AND(G2369="RECORDED",ISNUMBER(H2369)),H2369,"")</x:f>
        <x:v>95.1</x:v>
      </x:c>
      <x:c r="P2369" s="35" t="str">
        <x:v>INCONCLUSIVE</x:v>
      </x:c>
      <x:c r="Q2369" s="35" t="str">
        <x:v>Deepseek-flash-v4/Result/Lang_45/result.json</x:v>
      </x:c>
    </x:row>
    <x:row r="2370">
      <x:c r="A2370" s="35" t="str">
        <x:v>deepseek</x:v>
      </x:c>
      <x:c r="B2370" s="35" t="str">
        <x:v>Lang</x:v>
      </x:c>
      <x:c r="C2370" s="35" t="str">
        <x:v>Round1</x:v>
      </x:c>
      <x:c r="D2370" s="35" t="str">
        <x:v>Lang_46</x:v>
      </x:c>
      <x:c r="E2370" s="35" t="str">
        <x:v>Condition</x:v>
      </x:c>
      <x:c r="F2370" s="35"/>
      <x:c r="G2370" s="35" t="str">
        <x:v>A</x:v>
      </x:c>
      <x:c r="H2370" s="39" t="str">
        <x:f>IF(ISNUMBER('Data'!N662),'Data'!N662*100,"")</x:f>
      </x:c>
      <x:c r="I2370" s="35"/>
      <x:c r="J2370" s="35" t="str">
        <x:v>PASS</x:v>
      </x:c>
      <x:c r="K2370" s="35" t="str">
        <x:v>FAIL</x:v>
      </x:c>
      <x:c r="L2370" s="35" t="str">
        <x:v>NOT_RUN</x:v>
      </x:c>
      <x:c r="M2370" s="35" t="str">
        <x:v>coverage unavailable or execution/compile failed</x:v>
      </x:c>
      <x:c r="N2370" s="35" t="str">
        <x:v>Deepseek-flash-v4/Result/Lang_46/result.json</x:v>
      </x:c>
      <x:c r="O2370" s="39" t="str">
        <x:f>IF(AND(G2370="RECORDED",ISNUMBER(H2370)),H2370,"")</x:f>
      </x:c>
      <x:c r="P2370" s="35" t="str">
        <x:v>NOT_AVAILABLE</x:v>
      </x:c>
      <x:c r="Q2370" s="35" t="str">
        <x:v>Deepseek-flash-v4/Result/Lang_46/result.json</x:v>
      </x:c>
    </x:row>
    <x:row r="2371">
      <x:c r="A2371" s="35" t="str">
        <x:v>deepseek</x:v>
      </x:c>
      <x:c r="B2371" s="35" t="str">
        <x:v>Lang</x:v>
      </x:c>
      <x:c r="C2371" s="35" t="str">
        <x:v>Round1</x:v>
      </x:c>
      <x:c r="D2371" s="35" t="str">
        <x:v>Lang_47</x:v>
      </x:c>
      <x:c r="E2371" s="35" t="str">
        <x:v>Condition</x:v>
      </x:c>
      <x:c r="F2371" s="35"/>
      <x:c r="G2371" s="35" t="str">
        <x:v>A</x:v>
      </x:c>
      <x:c r="H2371" s="39" t="str">
        <x:f>IF(ISNUMBER('Data'!N663),'Data'!N663*100,"")</x:f>
      </x:c>
      <x:c r="I2371" s="35"/>
      <x:c r="J2371" s="35" t="str">
        <x:v>PASS</x:v>
      </x:c>
      <x:c r="K2371" s="35" t="str">
        <x:v>FAIL</x:v>
      </x:c>
      <x:c r="L2371" s="35" t="str">
        <x:v>NOT_RUN</x:v>
      </x:c>
      <x:c r="M2371" s="35" t="str">
        <x:v>coverage unavailable or execution/compile failed</x:v>
      </x:c>
      <x:c r="N2371" s="35" t="str">
        <x:v>Deepseek-flash-v4/Result/Lang_47/result.json</x:v>
      </x:c>
      <x:c r="O2371" s="39" t="str">
        <x:f>IF(AND(G2371="RECORDED",ISNUMBER(H2371)),H2371,"")</x:f>
      </x:c>
      <x:c r="P2371" s="35" t="str">
        <x:v>NOT_AVAILABLE</x:v>
      </x:c>
      <x:c r="Q2371" s="35" t="str">
        <x:v>Deepseek-flash-v4/Result/Lang_47/result.json</x:v>
      </x:c>
    </x:row>
    <x:row r="2372">
      <x:c r="A2372" s="35" t="str">
        <x:v>deepseek</x:v>
      </x:c>
      <x:c r="B2372" s="35" t="str">
        <x:v>Lang</x:v>
      </x:c>
      <x:c r="C2372" s="35" t="str">
        <x:v>Round1</x:v>
      </x:c>
      <x:c r="D2372" s="35" t="str">
        <x:v>Lang_49</x:v>
      </x:c>
      <x:c r="E2372" s="35" t="str">
        <x:v>Condition</x:v>
      </x:c>
      <x:c r="F2372" s="35" t="n">
        <x:v>184</x:v>
      </x:c>
      <x:c r="G2372" s="35" t="str">
        <x:v>RECORDED</x:v>
      </x:c>
      <x:c r="H2372" s="39" t="n">
        <x:f>IF(ISNUMBER('Data'!N664),'Data'!N664*100,"")</x:f>
        <x:v>80.43</x:v>
      </x:c>
      <x:c r="I2372" s="35" t="str">
        <x:v>PASS</x:v>
      </x:c>
      <x:c r="J2372" s="35" t="str">
        <x:v>PASS</x:v>
      </x:c>
      <x:c r="K2372" s="35" t="str">
        <x:v>PASS</x:v>
      </x:c>
      <x:c r="L2372" s="35" t="str">
        <x:v>FAIL</x:v>
      </x:c>
      <x:c r="M2372" s="35" t="str">
        <x:v>numeric coverage for applicable metric</x:v>
      </x:c>
      <x:c r="N2372" s="35" t="str">
        <x:v>Deepseek-flash-v4/Result/Lang_49/result.json</x:v>
      </x:c>
      <x:c r="O2372" s="39" t="n">
        <x:f>IF(AND(G2372="RECORDED",ISNUMBER(H2372)),H2372,"")</x:f>
        <x:v>80.43</x:v>
      </x:c>
      <x:c r="P2372" s="35" t="str">
        <x:v>INCONCLUSIVE</x:v>
      </x:c>
      <x:c r="Q2372" s="35" t="str">
        <x:v>Deepseek-flash-v4/Result/Lang_49/result.json</x:v>
      </x:c>
    </x:row>
    <x:row r="2373">
      <x:c r="A2373" s="35" t="str">
        <x:v>deepseek</x:v>
      </x:c>
      <x:c r="B2373" s="35" t="str">
        <x:v>Lang</x:v>
      </x:c>
      <x:c r="C2373" s="35" t="str">
        <x:v>Round1</x:v>
      </x:c>
      <x:c r="D2373" s="35" t="str">
        <x:v>Lang_5</x:v>
      </x:c>
      <x:c r="E2373" s="35" t="str">
        <x:v>Condition</x:v>
      </x:c>
      <x:c r="F2373" s="35" t="n">
        <x:v>56</x:v>
      </x:c>
      <x:c r="G2373" s="35" t="str">
        <x:v>RECORDED</x:v>
      </x:c>
      <x:c r="H2373" s="39" t="n">
        <x:f>IF(ISNUMBER('Data'!N665),'Data'!N665*100,"")</x:f>
        <x:v>87.5</x:v>
      </x:c>
      <x:c r="I2373" s="35" t="str">
        <x:v>PASS</x:v>
      </x:c>
      <x:c r="J2373" s="35" t="str">
        <x:v>PASS</x:v>
      </x:c>
      <x:c r="K2373" s="35" t="str">
        <x:v>PASS</x:v>
      </x:c>
      <x:c r="L2373" s="35" t="str">
        <x:v>FAIL</x:v>
      </x:c>
      <x:c r="M2373" s="35" t="str">
        <x:v>numeric coverage for applicable metric</x:v>
      </x:c>
      <x:c r="N2373" s="35" t="str">
        <x:v>Deepseek-flash-v4/Result/Lang_5/result.json</x:v>
      </x:c>
      <x:c r="O2373" s="39" t="n">
        <x:f>IF(AND(G2373="RECORDED",ISNUMBER(H2373)),H2373,"")</x:f>
        <x:v>87.5</x:v>
      </x:c>
      <x:c r="P2373" s="35" t="str">
        <x:v>INCONCLUSIVE</x:v>
      </x:c>
      <x:c r="Q2373" s="35" t="str">
        <x:v>Deepseek-flash-v4/Result/Lang_5/result.json</x:v>
      </x:c>
    </x:row>
    <x:row r="2374">
      <x:c r="A2374" s="35" t="str">
        <x:v>deepseek</x:v>
      </x:c>
      <x:c r="B2374" s="35" t="str">
        <x:v>Lang</x:v>
      </x:c>
      <x:c r="C2374" s="35" t="str">
        <x:v>Round1</x:v>
      </x:c>
      <x:c r="D2374" s="35" t="str">
        <x:v>Lang_50</x:v>
      </x:c>
      <x:c r="E2374" s="35" t="str">
        <x:v>Condition</x:v>
      </x:c>
      <x:c r="F2374" s="35"/>
      <x:c r="G2374" s="35" t="str">
        <x:v>A</x:v>
      </x:c>
      <x:c r="H2374" s="39" t="str">
        <x:f>IF(ISNUMBER('Data'!N666),'Data'!N666*100,"")</x:f>
      </x:c>
      <x:c r="I2374" s="35"/>
      <x:c r="J2374" s="35" t="str">
        <x:v>PASS</x:v>
      </x:c>
      <x:c r="K2374" s="35" t="str">
        <x:v>FAIL</x:v>
      </x:c>
      <x:c r="L2374" s="35" t="str">
        <x:v>NOT_RUN</x:v>
      </x:c>
      <x:c r="M2374" s="35" t="str">
        <x:v>coverage unavailable or execution/compile failed</x:v>
      </x:c>
      <x:c r="N2374" s="35" t="str">
        <x:v>Deepseek-flash-v4/Result/Lang_50/result.json</x:v>
      </x:c>
      <x:c r="O2374" s="39" t="str">
        <x:f>IF(AND(G2374="RECORDED",ISNUMBER(H2374)),H2374,"")</x:f>
      </x:c>
      <x:c r="P2374" s="35" t="str">
        <x:v>NOT_AVAILABLE</x:v>
      </x:c>
      <x:c r="Q2374" s="35" t="str">
        <x:v>Deepseek-flash-v4/Result/Lang_50/result.json</x:v>
      </x:c>
    </x:row>
    <x:row r="2375">
      <x:c r="A2375" s="35" t="str">
        <x:v>deepseek</x:v>
      </x:c>
      <x:c r="B2375" s="35" t="str">
        <x:v>Lang</x:v>
      </x:c>
      <x:c r="C2375" s="35" t="str">
        <x:v>Round1</x:v>
      </x:c>
      <x:c r="D2375" s="35" t="str">
        <x:v>Lang_51</x:v>
      </x:c>
      <x:c r="E2375" s="35" t="str">
        <x:v>Condition</x:v>
      </x:c>
      <x:c r="F2375" s="35" t="n">
        <x:v>212</x:v>
      </x:c>
      <x:c r="G2375" s="35" t="str">
        <x:v>RECORDED</x:v>
      </x:c>
      <x:c r="H2375" s="39" t="n">
        <x:f>IF(ISNUMBER('Data'!N667),'Data'!N667*100,"")</x:f>
        <x:v>75.94</x:v>
      </x:c>
      <x:c r="I2375" s="35" t="str">
        <x:v>PASS</x:v>
      </x:c>
      <x:c r="J2375" s="35" t="str">
        <x:v>PASS</x:v>
      </x:c>
      <x:c r="K2375" s="35" t="str">
        <x:v>PASS</x:v>
      </x:c>
      <x:c r="L2375" s="35" t="str">
        <x:v>FAIL</x:v>
      </x:c>
      <x:c r="M2375" s="35" t="str">
        <x:v>numeric coverage for applicable metric</x:v>
      </x:c>
      <x:c r="N2375" s="35" t="str">
        <x:v>Deepseek-flash-v4/Result/Lang_51/result.json</x:v>
      </x:c>
      <x:c r="O2375" s="39" t="n">
        <x:f>IF(AND(G2375="RECORDED",ISNUMBER(H2375)),H2375,"")</x:f>
        <x:v>75.94</x:v>
      </x:c>
      <x:c r="P2375" s="35" t="str">
        <x:v>INCONCLUSIVE</x:v>
      </x:c>
      <x:c r="Q2375" s="35" t="str">
        <x:v>Deepseek-flash-v4/Result/Lang_51/result.json</x:v>
      </x:c>
    </x:row>
    <x:row r="2376">
      <x:c r="A2376" s="35" t="str">
        <x:v>deepseek</x:v>
      </x:c>
      <x:c r="B2376" s="35" t="str">
        <x:v>Lang</x:v>
      </x:c>
      <x:c r="C2376" s="35" t="str">
        <x:v>Round1</x:v>
      </x:c>
      <x:c r="D2376" s="35" t="str">
        <x:v>Lang_52</x:v>
      </x:c>
      <x:c r="E2376" s="35" t="str">
        <x:v>Condition</x:v>
      </x:c>
      <x:c r="F2376" s="35"/>
      <x:c r="G2376" s="35" t="str">
        <x:v>A</x:v>
      </x:c>
      <x:c r="H2376" s="39" t="str">
        <x:f>IF(ISNUMBER('Data'!N668),'Data'!N668*100,"")</x:f>
      </x:c>
      <x:c r="I2376" s="35"/>
      <x:c r="J2376" s="35" t="str">
        <x:v>PASS</x:v>
      </x:c>
      <x:c r="K2376" s="35" t="str">
        <x:v>FAIL</x:v>
      </x:c>
      <x:c r="L2376" s="35" t="str">
        <x:v>NOT_RUN</x:v>
      </x:c>
      <x:c r="M2376" s="35" t="str">
        <x:v>coverage unavailable or execution/compile failed</x:v>
      </x:c>
      <x:c r="N2376" s="35" t="str">
        <x:v>Deepseek-flash-v4/Result/Lang_52/result.json</x:v>
      </x:c>
      <x:c r="O2376" s="39" t="str">
        <x:f>IF(AND(G2376="RECORDED",ISNUMBER(H2376)),H2376,"")</x:f>
      </x:c>
      <x:c r="P2376" s="35" t="str">
        <x:v>NOT_AVAILABLE</x:v>
      </x:c>
      <x:c r="Q2376" s="35" t="str">
        <x:v>Deepseek-flash-v4/Result/Lang_52/result.json</x:v>
      </x:c>
    </x:row>
    <x:row r="2377">
      <x:c r="A2377" s="35" t="str">
        <x:v>deepseek</x:v>
      </x:c>
      <x:c r="B2377" s="35" t="str">
        <x:v>Lang</x:v>
      </x:c>
      <x:c r="C2377" s="35" t="str">
        <x:v>Round1</x:v>
      </x:c>
      <x:c r="D2377" s="35" t="str">
        <x:v>Lang_53</x:v>
      </x:c>
      <x:c r="E2377" s="35" t="str">
        <x:v>Condition</x:v>
      </x:c>
      <x:c r="F2377" s="35"/>
      <x:c r="G2377" s="35" t="str">
        <x:v>A</x:v>
      </x:c>
      <x:c r="H2377" s="39" t="str">
        <x:f>IF(ISNUMBER('Data'!N669),'Data'!N669*100,"")</x:f>
      </x:c>
      <x:c r="I2377" s="35"/>
      <x:c r="J2377" s="35" t="str">
        <x:v>PASS</x:v>
      </x:c>
      <x:c r="K2377" s="35" t="str">
        <x:v>FAIL</x:v>
      </x:c>
      <x:c r="L2377" s="35" t="str">
        <x:v>NOT_RUN</x:v>
      </x:c>
      <x:c r="M2377" s="35" t="str">
        <x:v>coverage unavailable or execution/compile failed</x:v>
      </x:c>
      <x:c r="N2377" s="35" t="str">
        <x:v>Deepseek-flash-v4/Result/Lang_53/result.json</x:v>
      </x:c>
      <x:c r="O2377" s="39" t="str">
        <x:f>IF(AND(G2377="RECORDED",ISNUMBER(H2377)),H2377,"")</x:f>
      </x:c>
      <x:c r="P2377" s="35" t="str">
        <x:v>NOT_AVAILABLE</x:v>
      </x:c>
      <x:c r="Q2377" s="35" t="str">
        <x:v>Deepseek-flash-v4/Result/Lang_53/result.json</x:v>
      </x:c>
    </x:row>
    <x:row r="2378">
      <x:c r="A2378" s="35" t="str">
        <x:v>deepseek</x:v>
      </x:c>
      <x:c r="B2378" s="35" t="str">
        <x:v>Lang</x:v>
      </x:c>
      <x:c r="C2378" s="35" t="str">
        <x:v>Round1</x:v>
      </x:c>
      <x:c r="D2378" s="35" t="str">
        <x:v>Lang_54</x:v>
      </x:c>
      <x:c r="E2378" s="35" t="str">
        <x:v>Condition</x:v>
      </x:c>
      <x:c r="F2378" s="35" t="n">
        <x:v>64</x:v>
      </x:c>
      <x:c r="G2378" s="35" t="str">
        <x:v>RECORDED</x:v>
      </x:c>
      <x:c r="H2378" s="39" t="n">
        <x:f>IF(ISNUMBER('Data'!N670),'Data'!N670*100,"")</x:f>
        <x:v>81.25</x:v>
      </x:c>
      <x:c r="I2378" s="35" t="str">
        <x:v>PASS</x:v>
      </x:c>
      <x:c r="J2378" s="35" t="str">
        <x:v>PASS</x:v>
      </x:c>
      <x:c r="K2378" s="35" t="str">
        <x:v>PASS</x:v>
      </x:c>
      <x:c r="L2378" s="35" t="str">
        <x:v>FAIL</x:v>
      </x:c>
      <x:c r="M2378" s="35" t="str">
        <x:v>numeric coverage for applicable metric</x:v>
      </x:c>
      <x:c r="N2378" s="35" t="str">
        <x:v>Deepseek-flash-v4/Result/Lang_54/result.json</x:v>
      </x:c>
      <x:c r="O2378" s="39" t="n">
        <x:f>IF(AND(G2378="RECORDED",ISNUMBER(H2378)),H2378,"")</x:f>
        <x:v>81.25</x:v>
      </x:c>
      <x:c r="P2378" s="35" t="str">
        <x:v>INCONCLUSIVE</x:v>
      </x:c>
      <x:c r="Q2378" s="35" t="str">
        <x:v>Deepseek-flash-v4/Result/Lang_54/result.json</x:v>
      </x:c>
    </x:row>
    <x:row r="2379">
      <x:c r="A2379" s="35" t="str">
        <x:v>deepseek</x:v>
      </x:c>
      <x:c r="B2379" s="35" t="str">
        <x:v>Lang</x:v>
      </x:c>
      <x:c r="C2379" s="35" t="str">
        <x:v>Round1</x:v>
      </x:c>
      <x:c r="D2379" s="35" t="str">
        <x:v>Lang_55</x:v>
      </x:c>
      <x:c r="E2379" s="35" t="str">
        <x:v>Condition</x:v>
      </x:c>
      <x:c r="F2379" s="35" t="n">
        <x:v>26</x:v>
      </x:c>
      <x:c r="G2379" s="35" t="str">
        <x:v>RECORDED</x:v>
      </x:c>
      <x:c r="H2379" s="39" t="n">
        <x:f>IF(ISNUMBER('Data'!N671),'Data'!N671*100,"")</x:f>
        <x:v>88.46</x:v>
      </x:c>
      <x:c r="I2379" s="35" t="str">
        <x:v>PASS</x:v>
      </x:c>
      <x:c r="J2379" s="35" t="str">
        <x:v>PASS</x:v>
      </x:c>
      <x:c r="K2379" s="35" t="str">
        <x:v>PASS</x:v>
      </x:c>
      <x:c r="L2379" s="35" t="str">
        <x:v>FAIL</x:v>
      </x:c>
      <x:c r="M2379" s="35" t="str">
        <x:v>numeric coverage for applicable metric</x:v>
      </x:c>
      <x:c r="N2379" s="35" t="str">
        <x:v>Deepseek-flash-v4/Result/Lang_55/result.json</x:v>
      </x:c>
      <x:c r="O2379" s="39" t="n">
        <x:f>IF(AND(G2379="RECORDED",ISNUMBER(H2379)),H2379,"")</x:f>
        <x:v>88.46</x:v>
      </x:c>
      <x:c r="P2379" s="35" t="str">
        <x:v>INCONCLUSIVE</x:v>
      </x:c>
      <x:c r="Q2379" s="35" t="str">
        <x:v>Deepseek-flash-v4/Result/Lang_55/result.json</x:v>
      </x:c>
    </x:row>
    <x:row r="2380">
      <x:c r="A2380" s="35" t="str">
        <x:v>deepseek</x:v>
      </x:c>
      <x:c r="B2380" s="35" t="str">
        <x:v>Lang</x:v>
      </x:c>
      <x:c r="C2380" s="35" t="str">
        <x:v>Round1</x:v>
      </x:c>
      <x:c r="D2380" s="35" t="str">
        <x:v>Lang_56</x:v>
      </x:c>
      <x:c r="E2380" s="35" t="str">
        <x:v>Condition</x:v>
      </x:c>
      <x:c r="F2380" s="35"/>
      <x:c r="G2380" s="35" t="str">
        <x:v>A</x:v>
      </x:c>
      <x:c r="H2380" s="39" t="str">
        <x:f>IF(ISNUMBER('Data'!N672),'Data'!N672*100,"")</x:f>
      </x:c>
      <x:c r="I2380" s="35"/>
      <x:c r="J2380" s="35" t="str">
        <x:v>PASS</x:v>
      </x:c>
      <x:c r="K2380" s="35" t="str">
        <x:v>FAIL</x:v>
      </x:c>
      <x:c r="L2380" s="35" t="str">
        <x:v>NOT_RUN</x:v>
      </x:c>
      <x:c r="M2380" s="35" t="str">
        <x:v>coverage unavailable or execution/compile failed</x:v>
      </x:c>
      <x:c r="N2380" s="35" t="str">
        <x:v>Deepseek-flash-v4/Result/Lang_56/result.json</x:v>
      </x:c>
      <x:c r="O2380" s="39" t="str">
        <x:f>IF(AND(G2380="RECORDED",ISNUMBER(H2380)),H2380,"")</x:f>
      </x:c>
      <x:c r="P2380" s="35" t="str">
        <x:v>NOT_AVAILABLE</x:v>
      </x:c>
      <x:c r="Q2380" s="35" t="str">
        <x:v>Deepseek-flash-v4/Result/Lang_56/result.json</x:v>
      </x:c>
    </x:row>
    <x:row r="2381">
      <x:c r="A2381" s="35" t="str">
        <x:v>deepseek</x:v>
      </x:c>
      <x:c r="B2381" s="35" t="str">
        <x:v>Lang</x:v>
      </x:c>
      <x:c r="C2381" s="35" t="str">
        <x:v>Round1</x:v>
      </x:c>
      <x:c r="D2381" s="35" t="str">
        <x:v>Lang_57</x:v>
      </x:c>
      <x:c r="E2381" s="35" t="str">
        <x:v>Condition</x:v>
      </x:c>
      <x:c r="F2381" s="35" t="n">
        <x:v>64</x:v>
      </x:c>
      <x:c r="G2381" s="35" t="str">
        <x:v>RECORDED</x:v>
      </x:c>
      <x:c r="H2381" s="39" t="n">
        <x:f>IF(ISNUMBER('Data'!N673),'Data'!N673*100,"")</x:f>
        <x:v>82.81</x:v>
      </x:c>
      <x:c r="I2381" s="35" t="str">
        <x:v>PASS</x:v>
      </x:c>
      <x:c r="J2381" s="35" t="str">
        <x:v>PASS</x:v>
      </x:c>
      <x:c r="K2381" s="35" t="str">
        <x:v>PASS</x:v>
      </x:c>
      <x:c r="L2381" s="35" t="str">
        <x:v>FAIL</x:v>
      </x:c>
      <x:c r="M2381" s="35" t="str">
        <x:v>numeric coverage for applicable metric</x:v>
      </x:c>
      <x:c r="N2381" s="35" t="str">
        <x:v>Deepseek-flash-v4/Result/Lang_57/result.json</x:v>
      </x:c>
      <x:c r="O2381" s="39" t="n">
        <x:f>IF(AND(G2381="RECORDED",ISNUMBER(H2381)),H2381,"")</x:f>
        <x:v>82.81</x:v>
      </x:c>
      <x:c r="P2381" s="35" t="str">
        <x:v>INCONCLUSIVE</x:v>
      </x:c>
      <x:c r="Q2381" s="35" t="str">
        <x:v>Deepseek-flash-v4/Result/Lang_57/result.json</x:v>
      </x:c>
    </x:row>
    <x:row r="2382">
      <x:c r="A2382" s="35" t="str">
        <x:v>deepseek</x:v>
      </x:c>
      <x:c r="B2382" s="35" t="str">
        <x:v>Lang</x:v>
      </x:c>
      <x:c r="C2382" s="35" t="str">
        <x:v>Round1</x:v>
      </x:c>
      <x:c r="D2382" s="35" t="str">
        <x:v>Lang_58</x:v>
      </x:c>
      <x:c r="E2382" s="35" t="str">
        <x:v>Condition</x:v>
      </x:c>
      <x:c r="F2382" s="35" t="n">
        <x:v>420</x:v>
      </x:c>
      <x:c r="G2382" s="35" t="str">
        <x:v>RECORDED</x:v>
      </x:c>
      <x:c r="H2382" s="39" t="n">
        <x:f>IF(ISNUMBER('Data'!N674),'Data'!N674*100,"")</x:f>
        <x:v>68.81</x:v>
      </x:c>
      <x:c r="I2382" s="35" t="str">
        <x:v>PASS</x:v>
      </x:c>
      <x:c r="J2382" s="35" t="str">
        <x:v>PASS</x:v>
      </x:c>
      <x:c r="K2382" s="35" t="str">
        <x:v>PASS</x:v>
      </x:c>
      <x:c r="L2382" s="35" t="str">
        <x:v>FAIL</x:v>
      </x:c>
      <x:c r="M2382" s="35" t="str">
        <x:v>numeric coverage for applicable metric</x:v>
      </x:c>
      <x:c r="N2382" s="35" t="str">
        <x:v>Deepseek-flash-v4/Result/Lang_58/result.json</x:v>
      </x:c>
      <x:c r="O2382" s="39" t="n">
        <x:f>IF(AND(G2382="RECORDED",ISNUMBER(H2382)),H2382,"")</x:f>
        <x:v>68.81</x:v>
      </x:c>
      <x:c r="P2382" s="35" t="str">
        <x:v>INCONCLUSIVE</x:v>
      </x:c>
      <x:c r="Q2382" s="35" t="str">
        <x:v>Deepseek-flash-v4/Result/Lang_58/result.json</x:v>
      </x:c>
    </x:row>
    <x:row r="2383">
      <x:c r="A2383" s="35" t="str">
        <x:v>deepseek</x:v>
      </x:c>
      <x:c r="B2383" s="35" t="str">
        <x:v>Lang</x:v>
      </x:c>
      <x:c r="C2383" s="35" t="str">
        <x:v>Round1</x:v>
      </x:c>
      <x:c r="D2383" s="35" t="str">
        <x:v>Lang_59</x:v>
      </x:c>
      <x:c r="E2383" s="35" t="str">
        <x:v>Condition</x:v>
      </x:c>
      <x:c r="F2383" s="35"/>
      <x:c r="G2383" s="35" t="str">
        <x:v>A</x:v>
      </x:c>
      <x:c r="H2383" s="39" t="str">
        <x:f>IF(ISNUMBER('Data'!N675),'Data'!N675*100,"")</x:f>
      </x:c>
      <x:c r="I2383" s="35"/>
      <x:c r="J2383" s="35" t="str">
        <x:v>PASS</x:v>
      </x:c>
      <x:c r="K2383" s="35" t="str">
        <x:v>FAIL</x:v>
      </x:c>
      <x:c r="L2383" s="35" t="str">
        <x:v>NOT_RUN</x:v>
      </x:c>
      <x:c r="M2383" s="35" t="str">
        <x:v>coverage unavailable or execution/compile failed</x:v>
      </x:c>
      <x:c r="N2383" s="35" t="str">
        <x:v>Deepseek-flash-v4/Result/Lang_59/result.json</x:v>
      </x:c>
      <x:c r="O2383" s="39" t="str">
        <x:f>IF(AND(G2383="RECORDED",ISNUMBER(H2383)),H2383,"")</x:f>
      </x:c>
      <x:c r="P2383" s="35" t="str">
        <x:v>NOT_AVAILABLE</x:v>
      </x:c>
      <x:c r="Q2383" s="35" t="str">
        <x:v>Deepseek-flash-v4/Result/Lang_59/result.json</x:v>
      </x:c>
    </x:row>
    <x:row r="2384">
      <x:c r="A2384" s="35" t="str">
        <x:v>deepseek</x:v>
      </x:c>
      <x:c r="B2384" s="35" t="str">
        <x:v>Lang</x:v>
      </x:c>
      <x:c r="C2384" s="35" t="str">
        <x:v>Round1</x:v>
      </x:c>
      <x:c r="D2384" s="35" t="str">
        <x:v>Lang_6</x:v>
      </x:c>
      <x:c r="E2384" s="35" t="str">
        <x:v>Condition</x:v>
      </x:c>
      <x:c r="F2384" s="35" t="n">
        <x:v>12</x:v>
      </x:c>
      <x:c r="G2384" s="35" t="str">
        <x:v>RECORDED</x:v>
      </x:c>
      <x:c r="H2384" s="39" t="n">
        <x:f>IF(ISNUMBER('Data'!N676),'Data'!N676*100,"")</x:f>
        <x:v>100</x:v>
      </x:c>
      <x:c r="I2384" s="35" t="str">
        <x:v>PASS</x:v>
      </x:c>
      <x:c r="J2384" s="35" t="str">
        <x:v>PASS</x:v>
      </x:c>
      <x:c r="K2384" s="35" t="str">
        <x:v>PASS</x:v>
      </x:c>
      <x:c r="L2384" s="35" t="str">
        <x:v>FAIL</x:v>
      </x:c>
      <x:c r="M2384" s="35" t="str">
        <x:v>numeric coverage for applicable metric</x:v>
      </x:c>
      <x:c r="N2384" s="35" t="str">
        <x:v>Deepseek-flash-v4/Result/Lang_6/result.json</x:v>
      </x:c>
      <x:c r="O2384" s="39" t="n">
        <x:f>IF(AND(G2384="RECORDED",ISNUMBER(H2384)),H2384,"")</x:f>
        <x:v>100</x:v>
      </x:c>
      <x:c r="P2384" s="35" t="str">
        <x:v>INCONCLUSIVE</x:v>
      </x:c>
      <x:c r="Q2384" s="35" t="str">
        <x:v>Deepseek-flash-v4/Result/Lang_6/result.json</x:v>
      </x:c>
    </x:row>
    <x:row r="2385">
      <x:c r="A2385" s="35" t="str">
        <x:v>deepseek</x:v>
      </x:c>
      <x:c r="B2385" s="35" t="str">
        <x:v>Lang</x:v>
      </x:c>
      <x:c r="C2385" s="35" t="str">
        <x:v>Round1</x:v>
      </x:c>
      <x:c r="D2385" s="35" t="str">
        <x:v>Lang_60</x:v>
      </x:c>
      <x:c r="E2385" s="35" t="str">
        <x:v>Condition</x:v>
      </x:c>
      <x:c r="F2385" s="35"/>
      <x:c r="G2385" s="35" t="str">
        <x:v>A</x:v>
      </x:c>
      <x:c r="H2385" s="39" t="str">
        <x:f>IF(ISNUMBER('Data'!N677),'Data'!N677*100,"")</x:f>
      </x:c>
      <x:c r="I2385" s="35"/>
      <x:c r="J2385" s="35" t="str">
        <x:v>PASS</x:v>
      </x:c>
      <x:c r="K2385" s="35" t="str">
        <x:v>FAIL</x:v>
      </x:c>
      <x:c r="L2385" s="35" t="str">
        <x:v>NOT_RUN</x:v>
      </x:c>
      <x:c r="M2385" s="35" t="str">
        <x:v>coverage unavailable or execution/compile failed</x:v>
      </x:c>
      <x:c r="N2385" s="35" t="str">
        <x:v>Deepseek-flash-v4/Result/Lang_60/result.json</x:v>
      </x:c>
      <x:c r="O2385" s="39" t="str">
        <x:f>IF(AND(G2385="RECORDED",ISNUMBER(H2385)),H2385,"")</x:f>
      </x:c>
      <x:c r="P2385" s="35" t="str">
        <x:v>NOT_AVAILABLE</x:v>
      </x:c>
      <x:c r="Q2385" s="35" t="str">
        <x:v>Deepseek-flash-v4/Result/Lang_60/result.json</x:v>
      </x:c>
    </x:row>
    <x:row r="2386">
      <x:c r="A2386" s="35" t="str">
        <x:v>deepseek</x:v>
      </x:c>
      <x:c r="B2386" s="35" t="str">
        <x:v>Lang</x:v>
      </x:c>
      <x:c r="C2386" s="35" t="str">
        <x:v>Round1</x:v>
      </x:c>
      <x:c r="D2386" s="35" t="str">
        <x:v>Lang_61</x:v>
      </x:c>
      <x:c r="E2386" s="35" t="str">
        <x:v>Condition</x:v>
      </x:c>
      <x:c r="F2386" s="35"/>
      <x:c r="G2386" s="35" t="str">
        <x:v>A</x:v>
      </x:c>
      <x:c r="H2386" s="39" t="str">
        <x:f>IF(ISNUMBER('Data'!N678),'Data'!N678*100,"")</x:f>
      </x:c>
      <x:c r="I2386" s="35"/>
      <x:c r="J2386" s="35" t="str">
        <x:v>PASS</x:v>
      </x:c>
      <x:c r="K2386" s="35" t="str">
        <x:v>FAIL</x:v>
      </x:c>
      <x:c r="L2386" s="35" t="str">
        <x:v>NOT_RUN</x:v>
      </x:c>
      <x:c r="M2386" s="35" t="str">
        <x:v>coverage unavailable or execution/compile failed</x:v>
      </x:c>
      <x:c r="N2386" s="35" t="str">
        <x:v>Deepseek-flash-v4/Result/Lang_61/result.json</x:v>
      </x:c>
      <x:c r="O2386" s="39" t="str">
        <x:f>IF(AND(G2386="RECORDED",ISNUMBER(H2386)),H2386,"")</x:f>
      </x:c>
      <x:c r="P2386" s="35" t="str">
        <x:v>NOT_AVAILABLE</x:v>
      </x:c>
      <x:c r="Q2386" s="35" t="str">
        <x:v>Deepseek-flash-v4/Result/Lang_61/result.json</x:v>
      </x:c>
    </x:row>
    <x:row r="2387">
      <x:c r="A2387" s="35" t="str">
        <x:v>deepseek</x:v>
      </x:c>
      <x:c r="B2387" s="35" t="str">
        <x:v>Lang</x:v>
      </x:c>
      <x:c r="C2387" s="35" t="str">
        <x:v>Round1</x:v>
      </x:c>
      <x:c r="D2387" s="35" t="str">
        <x:v>Lang_62</x:v>
      </x:c>
      <x:c r="E2387" s="35" t="str">
        <x:v>Condition</x:v>
      </x:c>
      <x:c r="F2387" s="35"/>
      <x:c r="G2387" s="35" t="str">
        <x:v>A</x:v>
      </x:c>
      <x:c r="H2387" s="39" t="str">
        <x:f>IF(ISNUMBER('Data'!N679),'Data'!N679*100,"")</x:f>
      </x:c>
      <x:c r="I2387" s="35"/>
      <x:c r="J2387" s="35" t="str">
        <x:v>PASS</x:v>
      </x:c>
      <x:c r="K2387" s="35" t="str">
        <x:v>FAIL</x:v>
      </x:c>
      <x:c r="L2387" s="35" t="str">
        <x:v>NOT_RUN</x:v>
      </x:c>
      <x:c r="M2387" s="35" t="str">
        <x:v>coverage unavailable or execution/compile failed</x:v>
      </x:c>
      <x:c r="N2387" s="35" t="str">
        <x:v>Deepseek-flash-v4/Result/Lang_62/result.json</x:v>
      </x:c>
      <x:c r="O2387" s="39" t="str">
        <x:f>IF(AND(G2387="RECORDED",ISNUMBER(H2387)),H2387,"")</x:f>
      </x:c>
      <x:c r="P2387" s="35" t="str">
        <x:v>NOT_AVAILABLE</x:v>
      </x:c>
      <x:c r="Q2387" s="35" t="str">
        <x:v>Deepseek-flash-v4/Result/Lang_62/result.json</x:v>
      </x:c>
    </x:row>
    <x:row r="2388">
      <x:c r="A2388" s="35" t="str">
        <x:v>deepseek</x:v>
      </x:c>
      <x:c r="B2388" s="35" t="str">
        <x:v>Lang</x:v>
      </x:c>
      <x:c r="C2388" s="35" t="str">
        <x:v>Round1</x:v>
      </x:c>
      <x:c r="D2388" s="35" t="str">
        <x:v>Lang_63</x:v>
      </x:c>
      <x:c r="E2388" s="35" t="str">
        <x:v>Condition</x:v>
      </x:c>
      <x:c r="F2388" s="35" t="n">
        <x:v>135</x:v>
      </x:c>
      <x:c r="G2388" s="35" t="str">
        <x:v>RECORDED</x:v>
      </x:c>
      <x:c r="H2388" s="39" t="n">
        <x:f>IF(ISNUMBER('Data'!N680),'Data'!N680*100,"")</x:f>
        <x:v>60.74</x:v>
      </x:c>
      <x:c r="I2388" s="35" t="str">
        <x:v>PASS</x:v>
      </x:c>
      <x:c r="J2388" s="35" t="str">
        <x:v>PASS</x:v>
      </x:c>
      <x:c r="K2388" s="35" t="str">
        <x:v>PASS</x:v>
      </x:c>
      <x:c r="L2388" s="35" t="str">
        <x:v>FAIL</x:v>
      </x:c>
      <x:c r="M2388" s="35" t="str">
        <x:v>numeric coverage for applicable metric</x:v>
      </x:c>
      <x:c r="N2388" s="35" t="str">
        <x:v>Deepseek-flash-v4/Result/Lang_63/result.json</x:v>
      </x:c>
      <x:c r="O2388" s="39" t="n">
        <x:f>IF(AND(G2388="RECORDED",ISNUMBER(H2388)),H2388,"")</x:f>
        <x:v>60.74</x:v>
      </x:c>
      <x:c r="P2388" s="35" t="str">
        <x:v>INCONCLUSIVE</x:v>
      </x:c>
      <x:c r="Q2388" s="35" t="str">
        <x:v>Deepseek-flash-v4/Result/Lang_63/result.json</x:v>
      </x:c>
    </x:row>
    <x:row r="2389">
      <x:c r="A2389" s="35" t="str">
        <x:v>deepseek</x:v>
      </x:c>
      <x:c r="B2389" s="35" t="str">
        <x:v>Lang</x:v>
      </x:c>
      <x:c r="C2389" s="35" t="str">
        <x:v>Round1</x:v>
      </x:c>
      <x:c r="D2389" s="35" t="str">
        <x:v>Lang_64</x:v>
      </x:c>
      <x:c r="E2389" s="35" t="str">
        <x:v>Condition</x:v>
      </x:c>
      <x:c r="F2389" s="35" t="n">
        <x:v>8</x:v>
      </x:c>
      <x:c r="G2389" s="35" t="str">
        <x:v>RECORDED</x:v>
      </x:c>
      <x:c r="H2389" s="39" t="n">
        <x:f>IF(ISNUMBER('Data'!N681),'Data'!N681*100,"")</x:f>
        <x:v>0</x:v>
      </x:c>
      <x:c r="I2389" s="35" t="str">
        <x:v>PASS</x:v>
      </x:c>
      <x:c r="J2389" s="35" t="str">
        <x:v>PASS</x:v>
      </x:c>
      <x:c r="K2389" s="35" t="str">
        <x:v>PASS</x:v>
      </x:c>
      <x:c r="L2389" s="35" t="str">
        <x:v>FAIL</x:v>
      </x:c>
      <x:c r="M2389" s="35" t="str">
        <x:v>numeric coverage for applicable metric</x:v>
      </x:c>
      <x:c r="N2389" s="35" t="str">
        <x:v>Deepseek-flash-v4/Result/Lang_64/result.json</x:v>
      </x:c>
      <x:c r="O2389" s="39" t="n">
        <x:f>IF(AND(G2389="RECORDED",ISNUMBER(H2389)),H2389,"")</x:f>
        <x:v>0</x:v>
      </x:c>
      <x:c r="P2389" s="35" t="str">
        <x:v>INCONCLUSIVE</x:v>
      </x:c>
      <x:c r="Q2389" s="35" t="str">
        <x:v>Deepseek-flash-v4/Result/Lang_64/result.json</x:v>
      </x:c>
    </x:row>
    <x:row r="2390">
      <x:c r="A2390" s="35" t="str">
        <x:v>deepseek</x:v>
      </x:c>
      <x:c r="B2390" s="35" t="str">
        <x:v>Lang</x:v>
      </x:c>
      <x:c r="C2390" s="35" t="str">
        <x:v>Round1</x:v>
      </x:c>
      <x:c r="D2390" s="35" t="str">
        <x:v>Lang_65</x:v>
      </x:c>
      <x:c r="E2390" s="35" t="str">
        <x:v>Condition</x:v>
      </x:c>
      <x:c r="F2390" s="35"/>
      <x:c r="G2390" s="35" t="str">
        <x:v>A</x:v>
      </x:c>
      <x:c r="H2390" s="39" t="str">
        <x:f>IF(ISNUMBER('Data'!N682),'Data'!N682*100,"")</x:f>
      </x:c>
      <x:c r="I2390" s="35"/>
      <x:c r="J2390" s="35" t="str">
        <x:v>PASS</x:v>
      </x:c>
      <x:c r="K2390" s="35" t="str">
        <x:v>FAIL</x:v>
      </x:c>
      <x:c r="L2390" s="35" t="str">
        <x:v>NOT_RUN</x:v>
      </x:c>
      <x:c r="M2390" s="35" t="str">
        <x:v>coverage unavailable or execution/compile failed</x:v>
      </x:c>
      <x:c r="N2390" s="35" t="str">
        <x:v>Deepseek-flash-v4/Result/Lang_65/result.json</x:v>
      </x:c>
      <x:c r="O2390" s="39" t="str">
        <x:f>IF(AND(G2390="RECORDED",ISNUMBER(H2390)),H2390,"")</x:f>
      </x:c>
      <x:c r="P2390" s="35" t="str">
        <x:v>NOT_AVAILABLE</x:v>
      </x:c>
      <x:c r="Q2390" s="35" t="str">
        <x:v>Deepseek-flash-v4/Result/Lang_65/result.json</x:v>
      </x:c>
    </x:row>
    <x:row r="2391">
      <x:c r="A2391" s="35" t="str">
        <x:v>deepseek</x:v>
      </x:c>
      <x:c r="B2391" s="35" t="str">
        <x:v>Lang</x:v>
      </x:c>
      <x:c r="C2391" s="35" t="str">
        <x:v>Round1</x:v>
      </x:c>
      <x:c r="D2391" s="35" t="str">
        <x:v>Lang_7</x:v>
      </x:c>
      <x:c r="E2391" s="35" t="str">
        <x:v>Condition</x:v>
      </x:c>
      <x:c r="F2391" s="35" t="n">
        <x:v>366</x:v>
      </x:c>
      <x:c r="G2391" s="35" t="str">
        <x:v>RECORDED</x:v>
      </x:c>
      <x:c r="H2391" s="39" t="n">
        <x:f>IF(ISNUMBER('Data'!N683),'Data'!N683*100,"")</x:f>
        <x:v>54.64</x:v>
      </x:c>
      <x:c r="I2391" s="35" t="str">
        <x:v>PASS</x:v>
      </x:c>
      <x:c r="J2391" s="35" t="str">
        <x:v>PASS</x:v>
      </x:c>
      <x:c r="K2391" s="35" t="str">
        <x:v>PASS</x:v>
      </x:c>
      <x:c r="L2391" s="35" t="str">
        <x:v>FAIL</x:v>
      </x:c>
      <x:c r="M2391" s="35" t="str">
        <x:v>numeric coverage for applicable metric</x:v>
      </x:c>
      <x:c r="N2391" s="35" t="str">
        <x:v>Deepseek-flash-v4/Result/Lang_7/result.json</x:v>
      </x:c>
      <x:c r="O2391" s="39" t="n">
        <x:f>IF(AND(G2391="RECORDED",ISNUMBER(H2391)),H2391,"")</x:f>
        <x:v>54.64</x:v>
      </x:c>
      <x:c r="P2391" s="35" t="str">
        <x:v>INCONCLUSIVE</x:v>
      </x:c>
      <x:c r="Q2391" s="35" t="str">
        <x:v>Deepseek-flash-v4/Result/Lang_7/result.json</x:v>
      </x:c>
    </x:row>
    <x:row r="2392">
      <x:c r="A2392" s="35" t="str">
        <x:v>deepseek</x:v>
      </x:c>
      <x:c r="B2392" s="35" t="str">
        <x:v>Lang</x:v>
      </x:c>
      <x:c r="C2392" s="35" t="str">
        <x:v>Round1</x:v>
      </x:c>
      <x:c r="D2392" s="35" t="str">
        <x:v>Lang_8</x:v>
      </x:c>
      <x:c r="E2392" s="35" t="str">
        <x:v>Condition</x:v>
      </x:c>
      <x:c r="F2392" s="35" t="n">
        <x:v>150</x:v>
      </x:c>
      <x:c r="G2392" s="35" t="str">
        <x:v>RECORDED</x:v>
      </x:c>
      <x:c r="H2392" s="39" t="n">
        <x:f>IF(ISNUMBER('Data'!N684),'Data'!N684*100,"")</x:f>
        <x:v>53.33</x:v>
      </x:c>
      <x:c r="I2392" s="35" t="str">
        <x:v>PASS</x:v>
      </x:c>
      <x:c r="J2392" s="35" t="str">
        <x:v>PASS</x:v>
      </x:c>
      <x:c r="K2392" s="35" t="str">
        <x:v>PASS</x:v>
      </x:c>
      <x:c r="L2392" s="35" t="str">
        <x:v>PASS</x:v>
      </x:c>
      <x:c r="M2392" s="35" t="str">
        <x:v>numeric coverage for applicable metric</x:v>
      </x:c>
      <x:c r="N2392" s="35" t="str">
        <x:v>Deepseek-flash-v4/Result/Lang_8/result.json</x:v>
      </x:c>
      <x:c r="O2392" s="39" t="n">
        <x:f>IF(AND(G2392="RECORDED",ISNUMBER(H2392)),H2392,"")</x:f>
        <x:v>53.33</x:v>
      </x:c>
      <x:c r="P2392" s="35" t="str">
        <x:v>NOT_REVEALING</x:v>
      </x:c>
      <x:c r="Q2392" s="35" t="str">
        <x:v>Deepseek-flash-v4/Result/Lang_8/result.json</x:v>
      </x:c>
    </x:row>
    <x:row r="2393">
      <x:c r="A2393" s="35" t="str">
        <x:v>deepseek</x:v>
      </x:c>
      <x:c r="B2393" s="35" t="str">
        <x:v>Lang</x:v>
      </x:c>
      <x:c r="C2393" s="35" t="str">
        <x:v>Round1</x:v>
      </x:c>
      <x:c r="D2393" s="35" t="str">
        <x:v>Lang_9</x:v>
      </x:c>
      <x:c r="E2393" s="35" t="str">
        <x:v>Condition</x:v>
      </x:c>
      <x:c r="F2393" s="35"/>
      <x:c r="G2393" s="35" t="str">
        <x:v>A</x:v>
      </x:c>
      <x:c r="H2393" s="39" t="str">
        <x:f>IF(ISNUMBER('Data'!N685),'Data'!N685*100,"")</x:f>
      </x:c>
      <x:c r="I2393" s="35"/>
      <x:c r="J2393" s="35" t="str">
        <x:v>PASS</x:v>
      </x:c>
      <x:c r="K2393" s="35" t="str">
        <x:v>FAIL</x:v>
      </x:c>
      <x:c r="L2393" s="35" t="str">
        <x:v>NOT_RUN</x:v>
      </x:c>
      <x:c r="M2393" s="35" t="str">
        <x:v>coverage unavailable or execution/compile failed</x:v>
      </x:c>
      <x:c r="N2393" s="35" t="str">
        <x:v>Deepseek-flash-v4/Result/Lang_9/result.json</x:v>
      </x:c>
      <x:c r="O2393" s="39" t="str">
        <x:f>IF(AND(G2393="RECORDED",ISNUMBER(H2393)),H2393,"")</x:f>
      </x:c>
      <x:c r="P2393" s="35" t="str">
        <x:v>NOT_AVAILABLE</x:v>
      </x:c>
      <x:c r="Q2393" s="35" t="str">
        <x:v>Deepseek-flash-v4/Result/Lang_9/result.json</x:v>
      </x:c>
    </x:row>
    <x:row r="2394">
      <x:c r="A2394" s="35" t="str">
        <x:v>deepseek</x:v>
      </x:c>
      <x:c r="B2394" s="35" t="str">
        <x:v>Math</x:v>
      </x:c>
      <x:c r="C2394" s="35" t="str">
        <x:v>Round1</x:v>
      </x:c>
      <x:c r="D2394" s="35" t="str">
        <x:v>Math_1</x:v>
      </x:c>
      <x:c r="E2394" s="35" t="str">
        <x:v>Condition</x:v>
      </x:c>
      <x:c r="F2394" s="35" t="n">
        <x:v>192</x:v>
      </x:c>
      <x:c r="G2394" s="35" t="str">
        <x:v>RECORDED</x:v>
      </x:c>
      <x:c r="H2394" s="39" t="n">
        <x:f>IF(ISNUMBER('Data'!N686),'Data'!N686*100,"")</x:f>
        <x:v>78.65</x:v>
      </x:c>
      <x:c r="I2394" s="35" t="str">
        <x:v>PASS</x:v>
      </x:c>
      <x:c r="J2394" s="35" t="str">
        <x:v>PASS</x:v>
      </x:c>
      <x:c r="K2394" s="35" t="str">
        <x:v>PASS</x:v>
      </x:c>
      <x:c r="L2394" s="35" t="str">
        <x:v>FAIL</x:v>
      </x:c>
      <x:c r="M2394" s="35" t="str">
        <x:v>numeric coverage for applicable metric</x:v>
      </x:c>
      <x:c r="N2394" s="35" t="str">
        <x:v>Deepseek-flash-v4/Result/Math_1/result.json</x:v>
      </x:c>
      <x:c r="O2394" s="39" t="n">
        <x:f>IF(AND(G2394="RECORDED",ISNUMBER(H2394)),H2394,"")</x:f>
        <x:v>78.65</x:v>
      </x:c>
      <x:c r="P2394" s="35" t="str">
        <x:v>INCONCLUSIVE</x:v>
      </x:c>
      <x:c r="Q2394" s="35" t="str">
        <x:v>Deepseek-flash-v4/Result/Math_1/result.json</x:v>
      </x:c>
    </x:row>
    <x:row r="2395">
      <x:c r="A2395" s="35" t="str">
        <x:v>deepseek</x:v>
      </x:c>
      <x:c r="B2395" s="35" t="str">
        <x:v>Math</x:v>
      </x:c>
      <x:c r="C2395" s="35" t="str">
        <x:v>Round1</x:v>
      </x:c>
      <x:c r="D2395" s="35" t="str">
        <x:v>Math_10</x:v>
      </x:c>
      <x:c r="E2395" s="35" t="str">
        <x:v>Condition</x:v>
      </x:c>
      <x:c r="F2395" s="35" t="n">
        <x:v>286</x:v>
      </x:c>
      <x:c r="G2395" s="35" t="str">
        <x:v>RECORDED</x:v>
      </x:c>
      <x:c r="H2395" s="39" t="n">
        <x:f>IF(ISNUMBER('Data'!N687),'Data'!N687*100,"")</x:f>
        <x:v>66.08</x:v>
      </x:c>
      <x:c r="I2395" s="35" t="str">
        <x:v>PASS</x:v>
      </x:c>
      <x:c r="J2395" s="35" t="str">
        <x:v>PASS</x:v>
      </x:c>
      <x:c r="K2395" s="35" t="str">
        <x:v>PASS</x:v>
      </x:c>
      <x:c r="L2395" s="35" t="str">
        <x:v>FAIL</x:v>
      </x:c>
      <x:c r="M2395" s="35" t="str">
        <x:v>numeric coverage for applicable metric</x:v>
      </x:c>
      <x:c r="N2395" s="35" t="str">
        <x:v>Deepseek-flash-v4/Result/Math_10/result.json</x:v>
      </x:c>
      <x:c r="O2395" s="39" t="n">
        <x:f>IF(AND(G2395="RECORDED",ISNUMBER(H2395)),H2395,"")</x:f>
        <x:v>66.08</x:v>
      </x:c>
      <x:c r="P2395" s="35" t="str">
        <x:v>INCONCLUSIVE</x:v>
      </x:c>
      <x:c r="Q2395" s="35" t="str">
        <x:v>Deepseek-flash-v4/Result/Math_10/result.json</x:v>
      </x:c>
    </x:row>
    <x:row r="2396">
      <x:c r="A2396" s="35" t="str">
        <x:v>deepseek</x:v>
      </x:c>
      <x:c r="B2396" s="35" t="str">
        <x:v>Math</x:v>
      </x:c>
      <x:c r="C2396" s="35" t="str">
        <x:v>Round1</x:v>
      </x:c>
      <x:c r="D2396" s="35" t="str">
        <x:v>Math_100</x:v>
      </x:c>
      <x:c r="E2396" s="35" t="str">
        <x:v>Condition</x:v>
      </x:c>
      <x:c r="F2396" s="35"/>
      <x:c r="G2396" s="35" t="str">
        <x:v>A</x:v>
      </x:c>
      <x:c r="H2396" s="39" t="str">
        <x:f>IF(ISNUMBER('Data'!N688),'Data'!N688*100,"")</x:f>
      </x:c>
      <x:c r="I2396" s="35"/>
      <x:c r="J2396" s="35" t="str">
        <x:v>PASS</x:v>
      </x:c>
      <x:c r="K2396" s="35" t="str">
        <x:v>FAIL</x:v>
      </x:c>
      <x:c r="L2396" s="35" t="str">
        <x:v>NOT_RUN</x:v>
      </x:c>
      <x:c r="M2396" s="35" t="str">
        <x:v>coverage unavailable or execution/compile failed</x:v>
      </x:c>
      <x:c r="N2396" s="35" t="str">
        <x:v>Deepseek-flash-v4/Result/Math_100/result.json</x:v>
      </x:c>
      <x:c r="O2396" s="39" t="str">
        <x:f>IF(AND(G2396="RECORDED",ISNUMBER(H2396)),H2396,"")</x:f>
      </x:c>
      <x:c r="P2396" s="35" t="str">
        <x:v>NOT_AVAILABLE</x:v>
      </x:c>
      <x:c r="Q2396" s="35" t="str">
        <x:v>Deepseek-flash-v4/Result/Math_100/result.json</x:v>
      </x:c>
    </x:row>
    <x:row r="2397">
      <x:c r="A2397" s="35" t="str">
        <x:v>deepseek</x:v>
      </x:c>
      <x:c r="B2397" s="35" t="str">
        <x:v>Math</x:v>
      </x:c>
      <x:c r="C2397" s="35" t="str">
        <x:v>Round1</x:v>
      </x:c>
      <x:c r="D2397" s="35" t="str">
        <x:v>Math_101</x:v>
      </x:c>
      <x:c r="E2397" s="35" t="str">
        <x:v>Condition</x:v>
      </x:c>
      <x:c r="F2397" s="35" t="n">
        <x:v>52</x:v>
      </x:c>
      <x:c r="G2397" s="35" t="str">
        <x:v>RECORDED</x:v>
      </x:c>
      <x:c r="H2397" s="39" t="n">
        <x:f>IF(ISNUMBER('Data'!N689),'Data'!N689*100,"")</x:f>
        <x:v>94.23</x:v>
      </x:c>
      <x:c r="I2397" s="35" t="str">
        <x:v>PASS</x:v>
      </x:c>
      <x:c r="J2397" s="35" t="str">
        <x:v>PASS</x:v>
      </x:c>
      <x:c r="K2397" s="35" t="str">
        <x:v>PASS</x:v>
      </x:c>
      <x:c r="L2397" s="35" t="str">
        <x:v>PASS</x:v>
      </x:c>
      <x:c r="M2397" s="35" t="str">
        <x:v>numeric coverage for applicable metric</x:v>
      </x:c>
      <x:c r="N2397" s="35" t="str">
        <x:v>Deepseek-flash-v4/Result/Math_101/result.json</x:v>
      </x:c>
      <x:c r="O2397" s="39" t="n">
        <x:f>IF(AND(G2397="RECORDED",ISNUMBER(H2397)),H2397,"")</x:f>
        <x:v>94.23</x:v>
      </x:c>
      <x:c r="P2397" s="35" t="str">
        <x:v>NOT_REVEALING</x:v>
      </x:c>
      <x:c r="Q2397" s="35" t="str">
        <x:v>Deepseek-flash-v4/Result/Math_101/result.json</x:v>
      </x:c>
    </x:row>
    <x:row r="2398">
      <x:c r="A2398" s="35" t="str">
        <x:v>deepseek</x:v>
      </x:c>
      <x:c r="B2398" s="35" t="str">
        <x:v>Math</x:v>
      </x:c>
      <x:c r="C2398" s="35" t="str">
        <x:v>Round1</x:v>
      </x:c>
      <x:c r="D2398" s="35" t="str">
        <x:v>Math_102</x:v>
      </x:c>
      <x:c r="E2398" s="35" t="str">
        <x:v>Condition</x:v>
      </x:c>
      <x:c r="F2398" s="35"/>
      <x:c r="G2398" s="35" t="str">
        <x:v>A</x:v>
      </x:c>
      <x:c r="H2398" s="39" t="str">
        <x:f>IF(ISNUMBER('Data'!N690),'Data'!N690*100,"")</x:f>
      </x:c>
      <x:c r="I2398" s="35"/>
      <x:c r="J2398" s="35" t="str">
        <x:v>PASS</x:v>
      </x:c>
      <x:c r="K2398" s="35" t="str">
        <x:v>FAIL</x:v>
      </x:c>
      <x:c r="L2398" s="35" t="str">
        <x:v>NOT_RUN</x:v>
      </x:c>
      <x:c r="M2398" s="35" t="str">
        <x:v>coverage unavailable or execution/compile failed</x:v>
      </x:c>
      <x:c r="N2398" s="35" t="str">
        <x:v>Deepseek-flash-v4/Result/Math_102/result.json</x:v>
      </x:c>
      <x:c r="O2398" s="39" t="str">
        <x:f>IF(AND(G2398="RECORDED",ISNUMBER(H2398)),H2398,"")</x:f>
      </x:c>
      <x:c r="P2398" s="35" t="str">
        <x:v>NOT_AVAILABLE</x:v>
      </x:c>
      <x:c r="Q2398" s="35" t="str">
        <x:v>Deepseek-flash-v4/Result/Math_102/result.json</x:v>
      </x:c>
    </x:row>
    <x:row r="2399">
      <x:c r="A2399" s="35" t="str">
        <x:v>deepseek</x:v>
      </x:c>
      <x:c r="B2399" s="35" t="str">
        <x:v>Math</x:v>
      </x:c>
      <x:c r="C2399" s="35" t="str">
        <x:v>Round1</x:v>
      </x:c>
      <x:c r="D2399" s="35" t="str">
        <x:v>Math_103</x:v>
      </x:c>
      <x:c r="E2399" s="35" t="str">
        <x:v>Condition</x:v>
      </x:c>
      <x:c r="F2399" s="35" t="n">
        <x:v>14</x:v>
      </x:c>
      <x:c r="G2399" s="35" t="str">
        <x:v>RECORDED</x:v>
      </x:c>
      <x:c r="H2399" s="39" t="n">
        <x:f>IF(ISNUMBER('Data'!N691),'Data'!N691*100,"")</x:f>
        <x:v>100</x:v>
      </x:c>
      <x:c r="I2399" s="35" t="str">
        <x:v>PASS</x:v>
      </x:c>
      <x:c r="J2399" s="35" t="str">
        <x:v>PASS</x:v>
      </x:c>
      <x:c r="K2399" s="35" t="str">
        <x:v>PASS</x:v>
      </x:c>
      <x:c r="L2399" s="35" t="str">
        <x:v>FAIL</x:v>
      </x:c>
      <x:c r="M2399" s="35" t="str">
        <x:v>numeric coverage for applicable metric</x:v>
      </x:c>
      <x:c r="N2399" s="35" t="str">
        <x:v>Deepseek-flash-v4/Result/Math_103/result.json</x:v>
      </x:c>
      <x:c r="O2399" s="39" t="n">
        <x:f>IF(AND(G2399="RECORDED",ISNUMBER(H2399)),H2399,"")</x:f>
        <x:v>100</x:v>
      </x:c>
      <x:c r="P2399" s="35" t="str">
        <x:v>INCONCLUSIVE</x:v>
      </x:c>
      <x:c r="Q2399" s="35" t="str">
        <x:v>Deepseek-flash-v4/Result/Math_103/result.json</x:v>
      </x:c>
    </x:row>
    <x:row r="2400">
      <x:c r="A2400" s="35" t="str">
        <x:v>deepseek</x:v>
      </x:c>
      <x:c r="B2400" s="35" t="str">
        <x:v>Math</x:v>
      </x:c>
      <x:c r="C2400" s="35" t="str">
        <x:v>Round1</x:v>
      </x:c>
      <x:c r="D2400" s="35" t="str">
        <x:v>Math_104</x:v>
      </x:c>
      <x:c r="E2400" s="35" t="str">
        <x:v>Condition</x:v>
      </x:c>
      <x:c r="F2400" s="35" t="n">
        <x:v>40</x:v>
      </x:c>
      <x:c r="G2400" s="35" t="str">
        <x:v>RECORDED</x:v>
      </x:c>
      <x:c r="H2400" s="39" t="n">
        <x:f>IF(ISNUMBER('Data'!N692),'Data'!N692*100,"")</x:f>
        <x:v>90</x:v>
      </x:c>
      <x:c r="I2400" s="35" t="str">
        <x:v>PASS</x:v>
      </x:c>
      <x:c r="J2400" s="35" t="str">
        <x:v>PASS</x:v>
      </x:c>
      <x:c r="K2400" s="35" t="str">
        <x:v>PASS</x:v>
      </x:c>
      <x:c r="L2400" s="35" t="str">
        <x:v>FAIL</x:v>
      </x:c>
      <x:c r="M2400" s="35" t="str">
        <x:v>numeric coverage for applicable metric</x:v>
      </x:c>
      <x:c r="N2400" s="35" t="str">
        <x:v>Deepseek-flash-v4/Result/Math_104/result.json</x:v>
      </x:c>
      <x:c r="O2400" s="39" t="n">
        <x:f>IF(AND(G2400="RECORDED",ISNUMBER(H2400)),H2400,"")</x:f>
        <x:v>90</x:v>
      </x:c>
      <x:c r="P2400" s="35" t="str">
        <x:v>INCONCLUSIVE</x:v>
      </x:c>
      <x:c r="Q2400" s="35" t="str">
        <x:v>Deepseek-flash-v4/Result/Math_104/result.json</x:v>
      </x:c>
    </x:row>
    <x:row r="2401">
      <x:c r="A2401" s="35" t="str">
        <x:v>deepseek</x:v>
      </x:c>
      <x:c r="B2401" s="35" t="str">
        <x:v>Math</x:v>
      </x:c>
      <x:c r="C2401" s="35" t="str">
        <x:v>Round1</x:v>
      </x:c>
      <x:c r="D2401" s="35" t="str">
        <x:v>Math_105</x:v>
      </x:c>
      <x:c r="E2401" s="35" t="str">
        <x:v>Condition</x:v>
      </x:c>
      <x:c r="F2401" s="35" t="n">
        <x:v>18</x:v>
      </x:c>
      <x:c r="G2401" s="35" t="str">
        <x:v>RECORDED</x:v>
      </x:c>
      <x:c r="H2401" s="39" t="n">
        <x:f>IF(ISNUMBER('Data'!N693),'Data'!N693*100,"")</x:f>
        <x:v>100</x:v>
      </x:c>
      <x:c r="I2401" s="35" t="str">
        <x:v>PASS</x:v>
      </x:c>
      <x:c r="J2401" s="35" t="str">
        <x:v>PASS</x:v>
      </x:c>
      <x:c r="K2401" s="35" t="str">
        <x:v>PASS</x:v>
      </x:c>
      <x:c r="L2401" s="35" t="str">
        <x:v>FAIL</x:v>
      </x:c>
      <x:c r="M2401" s="35" t="str">
        <x:v>numeric coverage for applicable metric</x:v>
      </x:c>
      <x:c r="N2401" s="35" t="str">
        <x:v>Deepseek-flash-v4/Result/Math_105/result.json</x:v>
      </x:c>
      <x:c r="O2401" s="39" t="n">
        <x:f>IF(AND(G2401="RECORDED",ISNUMBER(H2401)),H2401,"")</x:f>
        <x:v>100</x:v>
      </x:c>
      <x:c r="P2401" s="35" t="str">
        <x:v>INCONCLUSIVE</x:v>
      </x:c>
      <x:c r="Q2401" s="35" t="str">
        <x:v>Deepseek-flash-v4/Result/Math_105/result.json</x:v>
      </x:c>
    </x:row>
    <x:row r="2402">
      <x:c r="A2402" s="35" t="str">
        <x:v>deepseek</x:v>
      </x:c>
      <x:c r="B2402" s="35" t="str">
        <x:v>Math</x:v>
      </x:c>
      <x:c r="C2402" s="35" t="str">
        <x:v>Round1</x:v>
      </x:c>
      <x:c r="D2402" s="35" t="str">
        <x:v>Math_106</x:v>
      </x:c>
      <x:c r="E2402" s="35" t="str">
        <x:v>Condition</x:v>
      </x:c>
      <x:c r="F2402" s="35" t="n">
        <x:v>15</x:v>
      </x:c>
      <x:c r="G2402" s="35" t="str">
        <x:v>RECORDED</x:v>
      </x:c>
      <x:c r="H2402" s="39" t="n">
        <x:f>IF(ISNUMBER('Data'!N694),'Data'!N694*100,"")</x:f>
        <x:v>80</x:v>
      </x:c>
      <x:c r="I2402" s="35" t="str">
        <x:v>PASS</x:v>
      </x:c>
      <x:c r="J2402" s="35" t="str">
        <x:v>PASS</x:v>
      </x:c>
      <x:c r="K2402" s="35" t="str">
        <x:v>PASS</x:v>
      </x:c>
      <x:c r="L2402" s="35" t="str">
        <x:v>FAIL</x:v>
      </x:c>
      <x:c r="M2402" s="35" t="str">
        <x:v>numeric coverage for applicable metric</x:v>
      </x:c>
      <x:c r="N2402" s="35" t="str">
        <x:v>Deepseek-flash-v4/Result/Math_106/result.json</x:v>
      </x:c>
      <x:c r="O2402" s="39" t="n">
        <x:f>IF(AND(G2402="RECORDED",ISNUMBER(H2402)),H2402,"")</x:f>
        <x:v>80</x:v>
      </x:c>
      <x:c r="P2402" s="35" t="str">
        <x:v>INCONCLUSIVE</x:v>
      </x:c>
      <x:c r="Q2402" s="35" t="str">
        <x:v>Deepseek-flash-v4/Result/Math_106/result.json</x:v>
      </x:c>
    </x:row>
    <x:row r="2403">
      <x:c r="A2403" s="35" t="str">
        <x:v>deepseek</x:v>
      </x:c>
      <x:c r="B2403" s="35" t="str">
        <x:v>Math</x:v>
      </x:c>
      <x:c r="C2403" s="35" t="str">
        <x:v>Round1</x:v>
      </x:c>
      <x:c r="D2403" s="35" t="str">
        <x:v>Math_11</x:v>
      </x:c>
      <x:c r="E2403" s="35" t="str">
        <x:v>Condition</x:v>
      </x:c>
      <x:c r="F2403" s="35"/>
      <x:c r="G2403" s="35" t="str">
        <x:v>A</x:v>
      </x:c>
      <x:c r="H2403" s="39" t="str">
        <x:f>IF(ISNUMBER('Data'!N695),'Data'!N695*100,"")</x:f>
      </x:c>
      <x:c r="I2403" s="35"/>
      <x:c r="J2403" s="35" t="str">
        <x:v>PASS</x:v>
      </x:c>
      <x:c r="K2403" s="35" t="str">
        <x:v>FAIL</x:v>
      </x:c>
      <x:c r="L2403" s="35" t="str">
        <x:v>NOT_RUN</x:v>
      </x:c>
      <x:c r="M2403" s="35" t="str">
        <x:v>coverage unavailable or execution/compile failed</x:v>
      </x:c>
      <x:c r="N2403" s="35" t="str">
        <x:v>Deepseek-flash-v4/Result/Math_11/result.json</x:v>
      </x:c>
      <x:c r="O2403" s="39" t="str">
        <x:f>IF(AND(G2403="RECORDED",ISNUMBER(H2403)),H2403,"")</x:f>
      </x:c>
      <x:c r="P2403" s="35" t="str">
        <x:v>NOT_AVAILABLE</x:v>
      </x:c>
      <x:c r="Q2403" s="35" t="str">
        <x:v>Deepseek-flash-v4/Result/Math_11/result.json</x:v>
      </x:c>
    </x:row>
    <x:row r="2404">
      <x:c r="A2404" s="35" t="str">
        <x:v>deepseek</x:v>
      </x:c>
      <x:c r="B2404" s="35" t="str">
        <x:v>Math</x:v>
      </x:c>
      <x:c r="C2404" s="35" t="str">
        <x:v>Round1</x:v>
      </x:c>
      <x:c r="D2404" s="35" t="str">
        <x:v>Math_12</x:v>
      </x:c>
      <x:c r="E2404" s="35" t="str">
        <x:v>Condition</x:v>
      </x:c>
      <x:c r="F2404" s="35" t="n">
        <x:v>14</x:v>
      </x:c>
      <x:c r="G2404" s="35" t="str">
        <x:v>RECORDED</x:v>
      </x:c>
      <x:c r="H2404" s="39" t="n">
        <x:f>IF(ISNUMBER('Data'!N696),'Data'!N696*100,"")</x:f>
        <x:v>85.71</x:v>
      </x:c>
      <x:c r="I2404" s="35" t="str">
        <x:v>PASS</x:v>
      </x:c>
      <x:c r="J2404" s="35" t="str">
        <x:v>PASS</x:v>
      </x:c>
      <x:c r="K2404" s="35" t="str">
        <x:v>PASS</x:v>
      </x:c>
      <x:c r="L2404" s="35" t="str">
        <x:v>FAIL</x:v>
      </x:c>
      <x:c r="M2404" s="35" t="str">
        <x:v>numeric coverage for applicable metric</x:v>
      </x:c>
      <x:c r="N2404" s="35" t="str">
        <x:v>Deepseek-flash-v4/Result/Math_12/result.json</x:v>
      </x:c>
      <x:c r="O2404" s="39" t="n">
        <x:f>IF(AND(G2404="RECORDED",ISNUMBER(H2404)),H2404,"")</x:f>
        <x:v>85.71</x:v>
      </x:c>
      <x:c r="P2404" s="35" t="str">
        <x:v>INCONCLUSIVE</x:v>
      </x:c>
      <x:c r="Q2404" s="35" t="str">
        <x:v>Deepseek-flash-v4/Result/Math_12/result.json</x:v>
      </x:c>
    </x:row>
    <x:row r="2405">
      <x:c r="A2405" s="35" t="str">
        <x:v>deepseek</x:v>
      </x:c>
      <x:c r="B2405" s="35" t="str">
        <x:v>Math</x:v>
      </x:c>
      <x:c r="C2405" s="35" t="str">
        <x:v>Round1</x:v>
      </x:c>
      <x:c r="D2405" s="35" t="str">
        <x:v>Math_13</x:v>
      </x:c>
      <x:c r="E2405" s="35" t="str">
        <x:v>Condition</x:v>
      </x:c>
      <x:c r="F2405" s="35"/>
      <x:c r="G2405" s="35" t="str">
        <x:v>A</x:v>
      </x:c>
      <x:c r="H2405" s="39" t="str">
        <x:f>IF(ISNUMBER('Data'!N697),'Data'!N697*100,"")</x:f>
      </x:c>
      <x:c r="I2405" s="35"/>
      <x:c r="J2405" s="35" t="str">
        <x:v>PASS</x:v>
      </x:c>
      <x:c r="K2405" s="35" t="str">
        <x:v>FAIL</x:v>
      </x:c>
      <x:c r="L2405" s="35" t="str">
        <x:v>NOT_RUN</x:v>
      </x:c>
      <x:c r="M2405" s="35" t="str">
        <x:v>coverage unavailable or execution/compile failed</x:v>
      </x:c>
      <x:c r="N2405" s="35" t="str">
        <x:v>Deepseek-flash-v4/Result/Math_13/result.json</x:v>
      </x:c>
      <x:c r="O2405" s="39" t="str">
        <x:f>IF(AND(G2405="RECORDED",ISNUMBER(H2405)),H2405,"")</x:f>
      </x:c>
      <x:c r="P2405" s="35" t="str">
        <x:v>NOT_AVAILABLE</x:v>
      </x:c>
      <x:c r="Q2405" s="35" t="str">
        <x:v>Deepseek-flash-v4/Result/Math_13/result.json</x:v>
      </x:c>
    </x:row>
    <x:row r="2406">
      <x:c r="A2406" s="35" t="str">
        <x:v>deepseek</x:v>
      </x:c>
      <x:c r="B2406" s="35" t="str">
        <x:v>Math</x:v>
      </x:c>
      <x:c r="C2406" s="35" t="str">
        <x:v>Round1</x:v>
      </x:c>
      <x:c r="D2406" s="35" t="str">
        <x:v>Math_14</x:v>
      </x:c>
      <x:c r="E2406" s="35" t="str">
        <x:v>Condition</x:v>
      </x:c>
      <x:c r="F2406" s="35"/>
      <x:c r="G2406" s="35" t="str">
        <x:v>A</x:v>
      </x:c>
      <x:c r="H2406" s="39" t="str">
        <x:f>IF(ISNUMBER('Data'!N698),'Data'!N698*100,"")</x:f>
      </x:c>
      <x:c r="I2406" s="35"/>
      <x:c r="J2406" s="35" t="str">
        <x:v>PASS</x:v>
      </x:c>
      <x:c r="K2406" s="35" t="str">
        <x:v>FAIL</x:v>
      </x:c>
      <x:c r="L2406" s="35" t="str">
        <x:v>NOT_RUN</x:v>
      </x:c>
      <x:c r="M2406" s="35" t="str">
        <x:v>coverage unavailable or execution/compile failed</x:v>
      </x:c>
      <x:c r="N2406" s="35" t="str">
        <x:v>Deepseek-flash-v4/Result/Math_14/result.json</x:v>
      </x:c>
      <x:c r="O2406" s="39" t="str">
        <x:f>IF(AND(G2406="RECORDED",ISNUMBER(H2406)),H2406,"")</x:f>
      </x:c>
      <x:c r="P2406" s="35" t="str">
        <x:v>NOT_AVAILABLE</x:v>
      </x:c>
      <x:c r="Q2406" s="35" t="str">
        <x:v>Deepseek-flash-v4/Result/Math_14/result.json</x:v>
      </x:c>
    </x:row>
    <x:row r="2407">
      <x:c r="A2407" s="35" t="str">
        <x:v>deepseek</x:v>
      </x:c>
      <x:c r="B2407" s="35" t="str">
        <x:v>Math</x:v>
      </x:c>
      <x:c r="C2407" s="35" t="str">
        <x:v>Round1</x:v>
      </x:c>
      <x:c r="D2407" s="35" t="str">
        <x:v>Math_15</x:v>
      </x:c>
      <x:c r="E2407" s="35" t="str">
        <x:v>Condition</x:v>
      </x:c>
      <x:c r="F2407" s="35" t="n">
        <x:v>798</x:v>
      </x:c>
      <x:c r="G2407" s="35" t="str">
        <x:v>RECORDED</x:v>
      </x:c>
      <x:c r="H2407" s="39" t="n">
        <x:f>IF(ISNUMBER('Data'!N699),'Data'!N699*100,"")</x:f>
        <x:v>33.46</x:v>
      </x:c>
      <x:c r="I2407" s="35" t="str">
        <x:v>PASS</x:v>
      </x:c>
      <x:c r="J2407" s="35" t="str">
        <x:v>PASS</x:v>
      </x:c>
      <x:c r="K2407" s="35" t="str">
        <x:v>PASS</x:v>
      </x:c>
      <x:c r="L2407" s="35" t="str">
        <x:v>FAIL</x:v>
      </x:c>
      <x:c r="M2407" s="35" t="str">
        <x:v>numeric coverage for applicable metric</x:v>
      </x:c>
      <x:c r="N2407" s="35" t="str">
        <x:v>Deepseek-flash-v4/Result/Math_15/result.json</x:v>
      </x:c>
      <x:c r="O2407" s="39" t="n">
        <x:f>IF(AND(G2407="RECORDED",ISNUMBER(H2407)),H2407,"")</x:f>
        <x:v>33.46</x:v>
      </x:c>
      <x:c r="P2407" s="35" t="str">
        <x:v>INCONCLUSIVE</x:v>
      </x:c>
      <x:c r="Q2407" s="35" t="str">
        <x:v>Deepseek-flash-v4/Result/Math_15/result.json</x:v>
      </x:c>
    </x:row>
    <x:row r="2408">
      <x:c r="A2408" s="35" t="str">
        <x:v>deepseek</x:v>
      </x:c>
      <x:c r="B2408" s="35" t="str">
        <x:v>Math</x:v>
      </x:c>
      <x:c r="C2408" s="35" t="str">
        <x:v>Round1</x:v>
      </x:c>
      <x:c r="D2408" s="35" t="str">
        <x:v>Math_16</x:v>
      </x:c>
      <x:c r="E2408" s="35" t="str">
        <x:v>Condition</x:v>
      </x:c>
      <x:c r="F2408" s="35" t="n">
        <x:v>790</x:v>
      </x:c>
      <x:c r="G2408" s="35" t="str">
        <x:v>RECORDED</x:v>
      </x:c>
      <x:c r="H2408" s="39" t="n">
        <x:f>IF(ISNUMBER('Data'!N700),'Data'!N700*100,"")</x:f>
        <x:v>36.46</x:v>
      </x:c>
      <x:c r="I2408" s="35" t="str">
        <x:v>PASS</x:v>
      </x:c>
      <x:c r="J2408" s="35" t="str">
        <x:v>PASS</x:v>
      </x:c>
      <x:c r="K2408" s="35" t="str">
        <x:v>PASS</x:v>
      </x:c>
      <x:c r="L2408" s="35" t="str">
        <x:v>FAIL</x:v>
      </x:c>
      <x:c r="M2408" s="35" t="str">
        <x:v>numeric coverage for applicable metric</x:v>
      </x:c>
      <x:c r="N2408" s="35" t="str">
        <x:v>Deepseek-flash-v4/Result/Math_16/result.json</x:v>
      </x:c>
      <x:c r="O2408" s="39" t="n">
        <x:f>IF(AND(G2408="RECORDED",ISNUMBER(H2408)),H2408,"")</x:f>
        <x:v>36.46</x:v>
      </x:c>
      <x:c r="P2408" s="35" t="str">
        <x:v>INCONCLUSIVE</x:v>
      </x:c>
      <x:c r="Q2408" s="35" t="str">
        <x:v>Deepseek-flash-v4/Result/Math_16/result.json</x:v>
      </x:c>
    </x:row>
    <x:row r="2409">
      <x:c r="A2409" s="35" t="str">
        <x:v>deepseek</x:v>
      </x:c>
      <x:c r="B2409" s="35" t="str">
        <x:v>Math</x:v>
      </x:c>
      <x:c r="C2409" s="35" t="str">
        <x:v>Round1</x:v>
      </x:c>
      <x:c r="D2409" s="35" t="str">
        <x:v>Math_17</x:v>
      </x:c>
      <x:c r="E2409" s="35" t="str">
        <x:v>Condition</x:v>
      </x:c>
      <x:c r="F2409" s="35"/>
      <x:c r="G2409" s="35" t="str">
        <x:v>A</x:v>
      </x:c>
      <x:c r="H2409" s="39" t="str">
        <x:f>IF(ISNUMBER('Data'!N701),'Data'!N701*100,"")</x:f>
      </x:c>
      <x:c r="I2409" s="35"/>
      <x:c r="J2409" s="35" t="str">
        <x:v>PASS</x:v>
      </x:c>
      <x:c r="K2409" s="35" t="str">
        <x:v>FAIL</x:v>
      </x:c>
      <x:c r="L2409" s="35" t="str">
        <x:v>NOT_RUN</x:v>
      </x:c>
      <x:c r="M2409" s="35" t="str">
        <x:v>coverage unavailable or execution/compile failed</x:v>
      </x:c>
      <x:c r="N2409" s="35" t="str">
        <x:v>Deepseek-flash-v4/Result/Math_17/result.json</x:v>
      </x:c>
      <x:c r="O2409" s="39" t="str">
        <x:f>IF(AND(G2409="RECORDED",ISNUMBER(H2409)),H2409,"")</x:f>
      </x:c>
      <x:c r="P2409" s="35" t="str">
        <x:v>NOT_AVAILABLE</x:v>
      </x:c>
      <x:c r="Q2409" s="35" t="str">
        <x:v>Deepseek-flash-v4/Result/Math_17/result.json</x:v>
      </x:c>
    </x:row>
    <x:row r="2410">
      <x:c r="A2410" s="35" t="str">
        <x:v>deepseek</x:v>
      </x:c>
      <x:c r="B2410" s="35" t="str">
        <x:v>Math</x:v>
      </x:c>
      <x:c r="C2410" s="35" t="str">
        <x:v>Round1</x:v>
      </x:c>
      <x:c r="D2410" s="35" t="str">
        <x:v>Math_18</x:v>
      </x:c>
      <x:c r="E2410" s="35" t="str">
        <x:v>Condition</x:v>
      </x:c>
      <x:c r="F2410" s="35"/>
      <x:c r="G2410" s="35" t="str">
        <x:v>A</x:v>
      </x:c>
      <x:c r="H2410" s="39" t="str">
        <x:f>IF(ISNUMBER('Data'!N702),'Data'!N702*100,"")</x:f>
      </x:c>
      <x:c r="I2410" s="35"/>
      <x:c r="J2410" s="35" t="str">
        <x:v>PASS</x:v>
      </x:c>
      <x:c r="K2410" s="35" t="str">
        <x:v>FAIL</x:v>
      </x:c>
      <x:c r="L2410" s="35" t="str">
        <x:v>NOT_RUN</x:v>
      </x:c>
      <x:c r="M2410" s="35" t="str">
        <x:v>coverage unavailable or execution/compile failed</x:v>
      </x:c>
      <x:c r="N2410" s="35" t="str">
        <x:v>Deepseek-flash-v4/Result/Math_18/result.json</x:v>
      </x:c>
      <x:c r="O2410" s="39" t="str">
        <x:f>IF(AND(G2410="RECORDED",ISNUMBER(H2410)),H2410,"")</x:f>
      </x:c>
      <x:c r="P2410" s="35" t="str">
        <x:v>NOT_AVAILABLE</x:v>
      </x:c>
      <x:c r="Q2410" s="35" t="str">
        <x:v>Deepseek-flash-v4/Result/Math_18/result.json</x:v>
      </x:c>
    </x:row>
    <x:row r="2411">
      <x:c r="A2411" s="35" t="str">
        <x:v>deepseek</x:v>
      </x:c>
      <x:c r="B2411" s="35" t="str">
        <x:v>Math</x:v>
      </x:c>
      <x:c r="C2411" s="35" t="str">
        <x:v>Round1</x:v>
      </x:c>
      <x:c r="D2411" s="35" t="str">
        <x:v>Math_19</x:v>
      </x:c>
      <x:c r="E2411" s="35" t="str">
        <x:v>Condition</x:v>
      </x:c>
      <x:c r="F2411" s="35"/>
      <x:c r="G2411" s="35" t="str">
        <x:v>A</x:v>
      </x:c>
      <x:c r="H2411" s="39" t="str">
        <x:f>IF(ISNUMBER('Data'!N703),'Data'!N703*100,"")</x:f>
      </x:c>
      <x:c r="I2411" s="35"/>
      <x:c r="J2411" s="35" t="str">
        <x:v>PASS</x:v>
      </x:c>
      <x:c r="K2411" s="35" t="str">
        <x:v>FAIL</x:v>
      </x:c>
      <x:c r="L2411" s="35" t="str">
        <x:v>NOT_RUN</x:v>
      </x:c>
      <x:c r="M2411" s="35" t="str">
        <x:v>coverage unavailable or execution/compile failed</x:v>
      </x:c>
      <x:c r="N2411" s="35" t="str">
        <x:v>Deepseek-flash-v4/Result/Math_19/result.json</x:v>
      </x:c>
      <x:c r="O2411" s="39" t="str">
        <x:f>IF(AND(G2411="RECORDED",ISNUMBER(H2411)),H2411,"")</x:f>
      </x:c>
      <x:c r="P2411" s="35" t="str">
        <x:v>NOT_AVAILABLE</x:v>
      </x:c>
      <x:c r="Q2411" s="35" t="str">
        <x:v>Deepseek-flash-v4/Result/Math_19/result.json</x:v>
      </x:c>
    </x:row>
    <x:row r="2412">
      <x:c r="A2412" s="35" t="str">
        <x:v>deepseek</x:v>
      </x:c>
      <x:c r="B2412" s="35" t="str">
        <x:v>Math</x:v>
      </x:c>
      <x:c r="C2412" s="35" t="str">
        <x:v>Round1</x:v>
      </x:c>
      <x:c r="D2412" s="35" t="str">
        <x:v>Math_2</x:v>
      </x:c>
      <x:c r="E2412" s="35" t="str">
        <x:v>Condition</x:v>
      </x:c>
      <x:c r="F2412" s="35" t="n">
        <x:v>26</x:v>
      </x:c>
      <x:c r="G2412" s="35" t="str">
        <x:v>RECORDED</x:v>
      </x:c>
      <x:c r="H2412" s="39" t="n">
        <x:f>IF(ISNUMBER('Data'!N704),'Data'!N704*100,"")</x:f>
        <x:v>88.46</x:v>
      </x:c>
      <x:c r="I2412" s="35" t="str">
        <x:v>PASS</x:v>
      </x:c>
      <x:c r="J2412" s="35" t="str">
        <x:v>PASS</x:v>
      </x:c>
      <x:c r="K2412" s="35" t="str">
        <x:v>PASS</x:v>
      </x:c>
      <x:c r="L2412" s="35" t="str">
        <x:v>FAIL</x:v>
      </x:c>
      <x:c r="M2412" s="35" t="str">
        <x:v>numeric coverage for applicable metric</x:v>
      </x:c>
      <x:c r="N2412" s="35" t="str">
        <x:v>Deepseek-flash-v4/Result/Math_2/result.json</x:v>
      </x:c>
      <x:c r="O2412" s="39" t="n">
        <x:f>IF(AND(G2412="RECORDED",ISNUMBER(H2412)),H2412,"")</x:f>
        <x:v>88.46</x:v>
      </x:c>
      <x:c r="P2412" s="35" t="str">
        <x:v>INCONCLUSIVE</x:v>
      </x:c>
      <x:c r="Q2412" s="35" t="str">
        <x:v>Deepseek-flash-v4/Result/Math_2/result.json</x:v>
      </x:c>
    </x:row>
    <x:row r="2413">
      <x:c r="A2413" s="35" t="str">
        <x:v>deepseek</x:v>
      </x:c>
      <x:c r="B2413" s="35" t="str">
        <x:v>Math</x:v>
      </x:c>
      <x:c r="C2413" s="35" t="str">
        <x:v>Round1</x:v>
      </x:c>
      <x:c r="D2413" s="35" t="str">
        <x:v>Math_20</x:v>
      </x:c>
      <x:c r="E2413" s="35" t="str">
        <x:v>Condition</x:v>
      </x:c>
      <x:c r="F2413" s="35"/>
      <x:c r="G2413" s="35" t="str">
        <x:v>A</x:v>
      </x:c>
      <x:c r="H2413" s="39" t="str">
        <x:f>IF(ISNUMBER('Data'!N705),'Data'!N705*100,"")</x:f>
      </x:c>
      <x:c r="I2413" s="35"/>
      <x:c r="J2413" s="35" t="str">
        <x:v>PASS</x:v>
      </x:c>
      <x:c r="K2413" s="35" t="str">
        <x:v>FAIL</x:v>
      </x:c>
      <x:c r="L2413" s="35" t="str">
        <x:v>NOT_RUN</x:v>
      </x:c>
      <x:c r="M2413" s="35" t="str">
        <x:v>coverage unavailable or execution/compile failed</x:v>
      </x:c>
      <x:c r="N2413" s="35" t="str">
        <x:v>Deepseek-flash-v4/Result/Math_20/result.json</x:v>
      </x:c>
      <x:c r="O2413" s="39" t="str">
        <x:f>IF(AND(G2413="RECORDED",ISNUMBER(H2413)),H2413,"")</x:f>
      </x:c>
      <x:c r="P2413" s="35" t="str">
        <x:v>NOT_AVAILABLE</x:v>
      </x:c>
      <x:c r="Q2413" s="35" t="str">
        <x:v>Deepseek-flash-v4/Result/Math_20/result.json</x:v>
      </x:c>
    </x:row>
    <x:row r="2414">
      <x:c r="A2414" s="35" t="str">
        <x:v>deepseek</x:v>
      </x:c>
      <x:c r="B2414" s="35" t="str">
        <x:v>Math</x:v>
      </x:c>
      <x:c r="C2414" s="35" t="str">
        <x:v>Round1</x:v>
      </x:c>
      <x:c r="D2414" s="35" t="str">
        <x:v>Math_21</x:v>
      </x:c>
      <x:c r="E2414" s="35" t="str">
        <x:v>Condition</x:v>
      </x:c>
      <x:c r="F2414" s="35" t="n">
        <x:v>28</x:v>
      </x:c>
      <x:c r="G2414" s="35" t="str">
        <x:v>RECORDED</x:v>
      </x:c>
      <x:c r="H2414" s="39" t="n">
        <x:f>IF(ISNUMBER('Data'!N706),'Data'!N706*100,"")</x:f>
        <x:v>100</x:v>
      </x:c>
      <x:c r="I2414" s="35" t="str">
        <x:v>PASS</x:v>
      </x:c>
      <x:c r="J2414" s="35" t="str">
        <x:v>PASS</x:v>
      </x:c>
      <x:c r="K2414" s="35" t="str">
        <x:v>PASS</x:v>
      </x:c>
      <x:c r="L2414" s="35" t="str">
        <x:v>FAIL</x:v>
      </x:c>
      <x:c r="M2414" s="35" t="str">
        <x:v>numeric coverage for applicable metric</x:v>
      </x:c>
      <x:c r="N2414" s="35" t="str">
        <x:v>Deepseek-flash-v4/Result/Math_21/result.json</x:v>
      </x:c>
      <x:c r="O2414" s="39" t="n">
        <x:f>IF(AND(G2414="RECORDED",ISNUMBER(H2414)),H2414,"")</x:f>
        <x:v>100</x:v>
      </x:c>
      <x:c r="P2414" s="35" t="str">
        <x:v>INCONCLUSIVE</x:v>
      </x:c>
      <x:c r="Q2414" s="35" t="str">
        <x:v>Deepseek-flash-v4/Result/Math_21/result.json</x:v>
      </x:c>
    </x:row>
    <x:row r="2415">
      <x:c r="A2415" s="35" t="str">
        <x:v>deepseek</x:v>
      </x:c>
      <x:c r="B2415" s="35" t="str">
        <x:v>Math</x:v>
      </x:c>
      <x:c r="C2415" s="35" t="str">
        <x:v>Round1</x:v>
      </x:c>
      <x:c r="D2415" s="35" t="str">
        <x:v>Math_22</x:v>
      </x:c>
      <x:c r="E2415" s="35" t="str">
        <x:v>Condition</x:v>
      </x:c>
      <x:c r="F2415" s="35"/>
      <x:c r="G2415" s="35" t="str">
        <x:v>A</x:v>
      </x:c>
      <x:c r="H2415" s="39" t="str">
        <x:f>IF(ISNUMBER('Data'!N707),'Data'!N707*100,"")</x:f>
      </x:c>
      <x:c r="I2415" s="35"/>
      <x:c r="J2415" s="35" t="str">
        <x:v>PASS</x:v>
      </x:c>
      <x:c r="K2415" s="35" t="str">
        <x:v>FAIL</x:v>
      </x:c>
      <x:c r="L2415" s="35" t="str">
        <x:v>NOT_RUN</x:v>
      </x:c>
      <x:c r="M2415" s="35" t="str">
        <x:v>coverage unavailable or execution/compile failed</x:v>
      </x:c>
      <x:c r="N2415" s="35" t="str">
        <x:v>Deepseek-flash-v4/Result/Math_22/result.json</x:v>
      </x:c>
      <x:c r="O2415" s="39" t="str">
        <x:f>IF(AND(G2415="RECORDED",ISNUMBER(H2415)),H2415,"")</x:f>
      </x:c>
      <x:c r="P2415" s="35" t="str">
        <x:v>NOT_AVAILABLE</x:v>
      </x:c>
      <x:c r="Q2415" s="35" t="str">
        <x:v>Deepseek-flash-v4/Result/Math_22/result.json</x:v>
      </x:c>
    </x:row>
    <x:row r="2416">
      <x:c r="A2416" s="35" t="str">
        <x:v>deepseek</x:v>
      </x:c>
      <x:c r="B2416" s="35" t="str">
        <x:v>Math</x:v>
      </x:c>
      <x:c r="C2416" s="35" t="str">
        <x:v>Round1</x:v>
      </x:c>
      <x:c r="D2416" s="35" t="str">
        <x:v>Math_23</x:v>
      </x:c>
      <x:c r="E2416" s="35" t="str">
        <x:v>Condition</x:v>
      </x:c>
      <x:c r="F2416" s="35"/>
      <x:c r="G2416" s="35" t="str">
        <x:v>A</x:v>
      </x:c>
      <x:c r="H2416" s="39" t="str">
        <x:f>IF(ISNUMBER('Data'!N708),'Data'!N708*100,"")</x:f>
      </x:c>
      <x:c r="I2416" s="35"/>
      <x:c r="J2416" s="35" t="str">
        <x:v>PASS</x:v>
      </x:c>
      <x:c r="K2416" s="35" t="str">
        <x:v>FAIL</x:v>
      </x:c>
      <x:c r="L2416" s="35" t="str">
        <x:v>NOT_RUN</x:v>
      </x:c>
      <x:c r="M2416" s="35" t="str">
        <x:v>coverage unavailable or execution/compile failed</x:v>
      </x:c>
      <x:c r="N2416" s="35" t="str">
        <x:v>Deepseek-flash-v4/Result/Math_23/result.json</x:v>
      </x:c>
      <x:c r="O2416" s="39" t="str">
        <x:f>IF(AND(G2416="RECORDED",ISNUMBER(H2416)),H2416,"")</x:f>
      </x:c>
      <x:c r="P2416" s="35" t="str">
        <x:v>NOT_AVAILABLE</x:v>
      </x:c>
      <x:c r="Q2416" s="35" t="str">
        <x:v>Deepseek-flash-v4/Result/Math_23/result.json</x:v>
      </x:c>
    </x:row>
    <x:row r="2417">
      <x:c r="A2417" s="35" t="str">
        <x:v>deepseek</x:v>
      </x:c>
      <x:c r="B2417" s="35" t="str">
        <x:v>Math</x:v>
      </x:c>
      <x:c r="C2417" s="35" t="str">
        <x:v>Round1</x:v>
      </x:c>
      <x:c r="D2417" s="35" t="str">
        <x:v>Math_24</x:v>
      </x:c>
      <x:c r="E2417" s="35" t="str">
        <x:v>Condition</x:v>
      </x:c>
      <x:c r="F2417" s="35"/>
      <x:c r="G2417" s="35" t="str">
        <x:v>A</x:v>
      </x:c>
      <x:c r="H2417" s="39" t="str">
        <x:f>IF(ISNUMBER('Data'!N709),'Data'!N709*100,"")</x:f>
      </x:c>
      <x:c r="I2417" s="35"/>
      <x:c r="J2417" s="35" t="str">
        <x:v>PASS</x:v>
      </x:c>
      <x:c r="K2417" s="35" t="str">
        <x:v>FAIL</x:v>
      </x:c>
      <x:c r="L2417" s="35" t="str">
        <x:v>NOT_RUN</x:v>
      </x:c>
      <x:c r="M2417" s="35" t="str">
        <x:v>coverage unavailable or execution/compile failed</x:v>
      </x:c>
      <x:c r="N2417" s="35" t="str">
        <x:v>Deepseek-flash-v4/Result/Math_24/result.json</x:v>
      </x:c>
      <x:c r="O2417" s="39" t="str">
        <x:f>IF(AND(G2417="RECORDED",ISNUMBER(H2417)),H2417,"")</x:f>
      </x:c>
      <x:c r="P2417" s="35" t="str">
        <x:v>NOT_AVAILABLE</x:v>
      </x:c>
      <x:c r="Q2417" s="35" t="str">
        <x:v>Deepseek-flash-v4/Result/Math_24/result.json</x:v>
      </x:c>
    </x:row>
    <x:row r="2418">
      <x:c r="A2418" s="35" t="str">
        <x:v>deepseek</x:v>
      </x:c>
      <x:c r="B2418" s="35" t="str">
        <x:v>Math</x:v>
      </x:c>
      <x:c r="C2418" s="35" t="str">
        <x:v>Round1</x:v>
      </x:c>
      <x:c r="D2418" s="35" t="str">
        <x:v>Math_25</x:v>
      </x:c>
      <x:c r="E2418" s="35" t="str">
        <x:v>Condition</x:v>
      </x:c>
      <x:c r="F2418" s="35" t="n">
        <x:v>28</x:v>
      </x:c>
      <x:c r="G2418" s="35" t="str">
        <x:v>RECORDED</x:v>
      </x:c>
      <x:c r="H2418" s="39" t="n">
        <x:f>IF(ISNUMBER('Data'!N710),'Data'!N710*100,"")</x:f>
        <x:v>92.86</x:v>
      </x:c>
      <x:c r="I2418" s="35" t="str">
        <x:v>PASS</x:v>
      </x:c>
      <x:c r="J2418" s="35" t="str">
        <x:v>PASS</x:v>
      </x:c>
      <x:c r="K2418" s="35" t="str">
        <x:v>PASS</x:v>
      </x:c>
      <x:c r="L2418" s="35" t="str">
        <x:v>FAIL</x:v>
      </x:c>
      <x:c r="M2418" s="35" t="str">
        <x:v>numeric coverage for applicable metric</x:v>
      </x:c>
      <x:c r="N2418" s="35" t="str">
        <x:v>Deepseek-flash-v4/Result/Math_25/result.json</x:v>
      </x:c>
      <x:c r="O2418" s="39" t="n">
        <x:f>IF(AND(G2418="RECORDED",ISNUMBER(H2418)),H2418,"")</x:f>
        <x:v>92.86</x:v>
      </x:c>
      <x:c r="P2418" s="35" t="str">
        <x:v>INCONCLUSIVE</x:v>
      </x:c>
      <x:c r="Q2418" s="35" t="str">
        <x:v>Deepseek-flash-v4/Result/Math_25/result.json</x:v>
      </x:c>
    </x:row>
    <x:row r="2419">
      <x:c r="A2419" s="35" t="str">
        <x:v>deepseek</x:v>
      </x:c>
      <x:c r="B2419" s="35" t="str">
        <x:v>Math</x:v>
      </x:c>
      <x:c r="C2419" s="35" t="str">
        <x:v>Round1</x:v>
      </x:c>
      <x:c r="D2419" s="35" t="str">
        <x:v>Math_26</x:v>
      </x:c>
      <x:c r="E2419" s="35" t="str">
        <x:v>Condition</x:v>
      </x:c>
      <x:c r="F2419" s="35"/>
      <x:c r="G2419" s="35" t="str">
        <x:v>A</x:v>
      </x:c>
      <x:c r="H2419" s="39" t="str">
        <x:f>IF(ISNUMBER('Data'!N711),'Data'!N711*100,"")</x:f>
      </x:c>
      <x:c r="I2419" s="35"/>
      <x:c r="J2419" s="35" t="str">
        <x:v>PASS</x:v>
      </x:c>
      <x:c r="K2419" s="35" t="str">
        <x:v>FAIL</x:v>
      </x:c>
      <x:c r="L2419" s="35" t="str">
        <x:v>NOT_RUN</x:v>
      </x:c>
      <x:c r="M2419" s="35" t="str">
        <x:v>coverage unavailable or execution/compile failed</x:v>
      </x:c>
      <x:c r="N2419" s="35" t="str">
        <x:v>Deepseek-flash-v4/Result/Math_26/result.json</x:v>
      </x:c>
      <x:c r="O2419" s="39" t="str">
        <x:f>IF(AND(G2419="RECORDED",ISNUMBER(H2419)),H2419,"")</x:f>
      </x:c>
      <x:c r="P2419" s="35" t="str">
        <x:v>NOT_AVAILABLE</x:v>
      </x:c>
      <x:c r="Q2419" s="35" t="str">
        <x:v>Deepseek-flash-v4/Result/Math_26/result.json</x:v>
      </x:c>
    </x:row>
    <x:row r="2420">
      <x:c r="A2420" s="35" t="str">
        <x:v>deepseek</x:v>
      </x:c>
      <x:c r="B2420" s="35" t="str">
        <x:v>Math</x:v>
      </x:c>
      <x:c r="C2420" s="35" t="str">
        <x:v>Round1</x:v>
      </x:c>
      <x:c r="D2420" s="35" t="str">
        <x:v>Math_27</x:v>
      </x:c>
      <x:c r="E2420" s="35" t="str">
        <x:v>Condition</x:v>
      </x:c>
      <x:c r="F2420" s="35" t="n">
        <x:v>94</x:v>
      </x:c>
      <x:c r="G2420" s="35" t="str">
        <x:v>RECORDED</x:v>
      </x:c>
      <x:c r="H2420" s="39" t="n">
        <x:f>IF(ISNUMBER('Data'!N712),'Data'!N712*100,"")</x:f>
        <x:v>8.51</x:v>
      </x:c>
      <x:c r="I2420" s="35" t="str">
        <x:v>PASS</x:v>
      </x:c>
      <x:c r="J2420" s="35" t="str">
        <x:v>PASS</x:v>
      </x:c>
      <x:c r="K2420" s="35" t="str">
        <x:v>PASS</x:v>
      </x:c>
      <x:c r="L2420" s="35" t="str">
        <x:v>FAIL</x:v>
      </x:c>
      <x:c r="M2420" s="35" t="str">
        <x:v>numeric coverage for applicable metric</x:v>
      </x:c>
      <x:c r="N2420" s="35" t="str">
        <x:v>Deepseek-flash-v4/Result/Math_27/result.json</x:v>
      </x:c>
      <x:c r="O2420" s="39" t="n">
        <x:f>IF(AND(G2420="RECORDED",ISNUMBER(H2420)),H2420,"")</x:f>
        <x:v>8.51</x:v>
      </x:c>
      <x:c r="P2420" s="35" t="str">
        <x:v>INCONCLUSIVE</x:v>
      </x:c>
      <x:c r="Q2420" s="35" t="str">
        <x:v>Deepseek-flash-v4/Result/Math_27/result.json</x:v>
      </x:c>
    </x:row>
    <x:row r="2421">
      <x:c r="A2421" s="35" t="str">
        <x:v>deepseek</x:v>
      </x:c>
      <x:c r="B2421" s="35" t="str">
        <x:v>Math</x:v>
      </x:c>
      <x:c r="C2421" s="35" t="str">
        <x:v>Round1</x:v>
      </x:c>
      <x:c r="D2421" s="35" t="str">
        <x:v>Math_28</x:v>
      </x:c>
      <x:c r="E2421" s="35" t="str">
        <x:v>Condition</x:v>
      </x:c>
      <x:c r="F2421" s="35"/>
      <x:c r="G2421" s="35" t="str">
        <x:v>A</x:v>
      </x:c>
      <x:c r="H2421" s="39" t="str">
        <x:f>IF(ISNUMBER('Data'!N713),'Data'!N713*100,"")</x:f>
      </x:c>
      <x:c r="I2421" s="35"/>
      <x:c r="J2421" s="35" t="str">
        <x:v>PASS</x:v>
      </x:c>
      <x:c r="K2421" s="35" t="str">
        <x:v>FAIL</x:v>
      </x:c>
      <x:c r="L2421" s="35" t="str">
        <x:v>NOT_RUN</x:v>
      </x:c>
      <x:c r="M2421" s="35" t="str">
        <x:v>coverage unavailable or execution/compile failed</x:v>
      </x:c>
      <x:c r="N2421" s="35" t="str">
        <x:v>Deepseek-flash-v4/Result/Math_28/result.json</x:v>
      </x:c>
      <x:c r="O2421" s="39" t="str">
        <x:f>IF(AND(G2421="RECORDED",ISNUMBER(H2421)),H2421,"")</x:f>
      </x:c>
      <x:c r="P2421" s="35" t="str">
        <x:v>NOT_AVAILABLE</x:v>
      </x:c>
      <x:c r="Q2421" s="35" t="str">
        <x:v>Deepseek-flash-v4/Result/Math_28/result.json</x:v>
      </x:c>
    </x:row>
    <x:row r="2422">
      <x:c r="A2422" s="35" t="str">
        <x:v>deepseek</x:v>
      </x:c>
      <x:c r="B2422" s="35" t="str">
        <x:v>Math</x:v>
      </x:c>
      <x:c r="C2422" s="35" t="str">
        <x:v>Round1</x:v>
      </x:c>
      <x:c r="D2422" s="35" t="str">
        <x:v>Math_29</x:v>
      </x:c>
      <x:c r="E2422" s="35" t="str">
        <x:v>Condition</x:v>
      </x:c>
      <x:c r="F2422" s="35" t="n">
        <x:v>134</x:v>
      </x:c>
      <x:c r="G2422" s="35" t="str">
        <x:v>RECORDED</x:v>
      </x:c>
      <x:c r="H2422" s="39" t="n">
        <x:f>IF(ISNUMBER('Data'!N714),'Data'!N714*100,"")</x:f>
        <x:v>75.37</x:v>
      </x:c>
      <x:c r="I2422" s="35" t="str">
        <x:v>PASS</x:v>
      </x:c>
      <x:c r="J2422" s="35" t="str">
        <x:v>PASS</x:v>
      </x:c>
      <x:c r="K2422" s="35" t="str">
        <x:v>PASS</x:v>
      </x:c>
      <x:c r="L2422" s="35" t="str">
        <x:v>FAIL</x:v>
      </x:c>
      <x:c r="M2422" s="35" t="str">
        <x:v>numeric coverage for applicable metric</x:v>
      </x:c>
      <x:c r="N2422" s="35" t="str">
        <x:v>Deepseek-flash-v4/Result/Math_29/result.json</x:v>
      </x:c>
      <x:c r="O2422" s="39" t="n">
        <x:f>IF(AND(G2422="RECORDED",ISNUMBER(H2422)),H2422,"")</x:f>
        <x:v>75.37</x:v>
      </x:c>
      <x:c r="P2422" s="35" t="str">
        <x:v>INCONCLUSIVE</x:v>
      </x:c>
      <x:c r="Q2422" s="35" t="str">
        <x:v>Deepseek-flash-v4/Result/Math_29/result.json</x:v>
      </x:c>
    </x:row>
    <x:row r="2423">
      <x:c r="A2423" s="35" t="str">
        <x:v>deepseek</x:v>
      </x:c>
      <x:c r="B2423" s="35" t="str">
        <x:v>Math</x:v>
      </x:c>
      <x:c r="C2423" s="35" t="str">
        <x:v>Round1</x:v>
      </x:c>
      <x:c r="D2423" s="35" t="str">
        <x:v>Math_3</x:v>
      </x:c>
      <x:c r="E2423" s="35" t="str">
        <x:v>Condition</x:v>
      </x:c>
      <x:c r="F2423" s="35" t="n">
        <x:v>234</x:v>
      </x:c>
      <x:c r="G2423" s="35" t="str">
        <x:v>RECORDED</x:v>
      </x:c>
      <x:c r="H2423" s="39" t="n">
        <x:f>IF(ISNUMBER('Data'!N715),'Data'!N715*100,"")</x:f>
        <x:v>81.2</x:v>
      </x:c>
      <x:c r="I2423" s="35" t="str">
        <x:v>PASS</x:v>
      </x:c>
      <x:c r="J2423" s="35" t="str">
        <x:v>PASS</x:v>
      </x:c>
      <x:c r="K2423" s="35" t="str">
        <x:v>PASS</x:v>
      </x:c>
      <x:c r="L2423" s="35" t="str">
        <x:v>FAIL</x:v>
      </x:c>
      <x:c r="M2423" s="35" t="str">
        <x:v>numeric coverage for applicable metric</x:v>
      </x:c>
      <x:c r="N2423" s="35" t="str">
        <x:v>Deepseek-flash-v4/Result/Math_3/result.json</x:v>
      </x:c>
      <x:c r="O2423" s="39" t="n">
        <x:f>IF(AND(G2423="RECORDED",ISNUMBER(H2423)),H2423,"")</x:f>
        <x:v>81.2</x:v>
      </x:c>
      <x:c r="P2423" s="35" t="str">
        <x:v>INCONCLUSIVE</x:v>
      </x:c>
      <x:c r="Q2423" s="35" t="str">
        <x:v>Deepseek-flash-v4/Result/Math_3/result.json</x:v>
      </x:c>
    </x:row>
    <x:row r="2424">
      <x:c r="A2424" s="35" t="str">
        <x:v>deepseek</x:v>
      </x:c>
      <x:c r="B2424" s="35" t="str">
        <x:v>Math</x:v>
      </x:c>
      <x:c r="C2424" s="35" t="str">
        <x:v>Round1</x:v>
      </x:c>
      <x:c r="D2424" s="35" t="str">
        <x:v>Math_30</x:v>
      </x:c>
      <x:c r="E2424" s="35" t="str">
        <x:v>Condition</x:v>
      </x:c>
      <x:c r="F2424" s="35" t="n">
        <x:v>10</x:v>
      </x:c>
      <x:c r="G2424" s="35" t="str">
        <x:v>RECORDED</x:v>
      </x:c>
      <x:c r="H2424" s="39" t="n">
        <x:f>IF(ISNUMBER('Data'!N716),'Data'!N716*100,"")</x:f>
        <x:v>100</x:v>
      </x:c>
      <x:c r="I2424" s="35" t="str">
        <x:v>PASS</x:v>
      </x:c>
      <x:c r="J2424" s="35" t="str">
        <x:v>PASS</x:v>
      </x:c>
      <x:c r="K2424" s="35" t="str">
        <x:v>PASS</x:v>
      </x:c>
      <x:c r="L2424" s="35" t="str">
        <x:v>FAIL</x:v>
      </x:c>
      <x:c r="M2424" s="35" t="str">
        <x:v>numeric coverage for applicable metric</x:v>
      </x:c>
      <x:c r="N2424" s="35" t="str">
        <x:v>Deepseek-flash-v4/Result/Math_30/result.json</x:v>
      </x:c>
      <x:c r="O2424" s="39" t="n">
        <x:f>IF(AND(G2424="RECORDED",ISNUMBER(H2424)),H2424,"")</x:f>
        <x:v>100</x:v>
      </x:c>
      <x:c r="P2424" s="35" t="str">
        <x:v>INCONCLUSIVE</x:v>
      </x:c>
      <x:c r="Q2424" s="35" t="str">
        <x:v>Deepseek-flash-v4/Result/Math_30/result.json</x:v>
      </x:c>
    </x:row>
    <x:row r="2425">
      <x:c r="A2425" s="35" t="str">
        <x:v>deepseek</x:v>
      </x:c>
      <x:c r="B2425" s="35" t="str">
        <x:v>Math</x:v>
      </x:c>
      <x:c r="C2425" s="35" t="str">
        <x:v>Round1</x:v>
      </x:c>
      <x:c r="D2425" s="35" t="str">
        <x:v>Math_31</x:v>
      </x:c>
      <x:c r="E2425" s="35" t="str">
        <x:v>Condition</x:v>
      </x:c>
      <x:c r="F2425" s="35" t="n">
        <x:v>30</x:v>
      </x:c>
      <x:c r="G2425" s="35" t="str">
        <x:v>RECORDED</x:v>
      </x:c>
      <x:c r="H2425" s="39" t="n">
        <x:f>IF(ISNUMBER('Data'!N717),'Data'!N717*100,"")</x:f>
        <x:v>73.33</x:v>
      </x:c>
      <x:c r="I2425" s="35" t="str">
        <x:v>PASS</x:v>
      </x:c>
      <x:c r="J2425" s="35" t="str">
        <x:v>PASS</x:v>
      </x:c>
      <x:c r="K2425" s="35" t="str">
        <x:v>PASS</x:v>
      </x:c>
      <x:c r="L2425" s="35" t="str">
        <x:v>FAIL</x:v>
      </x:c>
      <x:c r="M2425" s="35" t="str">
        <x:v>numeric coverage for applicable metric</x:v>
      </x:c>
      <x:c r="N2425" s="35" t="str">
        <x:v>Deepseek-flash-v4/Result/Math_31/result.json</x:v>
      </x:c>
      <x:c r="O2425" s="39" t="n">
        <x:f>IF(AND(G2425="RECORDED",ISNUMBER(H2425)),H2425,"")</x:f>
        <x:v>73.33</x:v>
      </x:c>
      <x:c r="P2425" s="35" t="str">
        <x:v>INCONCLUSIVE</x:v>
      </x:c>
      <x:c r="Q2425" s="35" t="str">
        <x:v>Deepseek-flash-v4/Result/Math_31/result.json</x:v>
      </x:c>
    </x:row>
    <x:row r="2426">
      <x:c r="A2426" s="35" t="str">
        <x:v>deepseek</x:v>
      </x:c>
      <x:c r="B2426" s="35" t="str">
        <x:v>Math</x:v>
      </x:c>
      <x:c r="C2426" s="35" t="str">
        <x:v>Round1</x:v>
      </x:c>
      <x:c r="D2426" s="35" t="str">
        <x:v>Math_32</x:v>
      </x:c>
      <x:c r="E2426" s="35" t="str">
        <x:v>Condition</x:v>
      </x:c>
      <x:c r="F2426" s="35"/>
      <x:c r="G2426" s="35" t="str">
        <x:v>A</x:v>
      </x:c>
      <x:c r="H2426" s="39" t="str">
        <x:f>IF(ISNUMBER('Data'!N718),'Data'!N718*100,"")</x:f>
      </x:c>
      <x:c r="I2426" s="35"/>
      <x:c r="J2426" s="35" t="str">
        <x:v>PASS</x:v>
      </x:c>
      <x:c r="K2426" s="35" t="str">
        <x:v>FAIL</x:v>
      </x:c>
      <x:c r="L2426" s="35" t="str">
        <x:v>NOT_RUN</x:v>
      </x:c>
      <x:c r="M2426" s="35" t="str">
        <x:v>coverage unavailable or execution/compile failed</x:v>
      </x:c>
      <x:c r="N2426" s="35" t="str">
        <x:v>Deepseek-flash-v4/Result/Math_32/result.json</x:v>
      </x:c>
      <x:c r="O2426" s="39" t="str">
        <x:f>IF(AND(G2426="RECORDED",ISNUMBER(H2426)),H2426,"")</x:f>
      </x:c>
      <x:c r="P2426" s="35" t="str">
        <x:v>NOT_AVAILABLE</x:v>
      </x:c>
      <x:c r="Q2426" s="35" t="str">
        <x:v>Deepseek-flash-v4/Result/Math_32/result.json</x:v>
      </x:c>
    </x:row>
    <x:row r="2427">
      <x:c r="A2427" s="35" t="str">
        <x:v>deepseek</x:v>
      </x:c>
      <x:c r="B2427" s="35" t="str">
        <x:v>Math</x:v>
      </x:c>
      <x:c r="C2427" s="35" t="str">
        <x:v>Round1</x:v>
      </x:c>
      <x:c r="D2427" s="35" t="str">
        <x:v>Math_33</x:v>
      </x:c>
      <x:c r="E2427" s="35" t="str">
        <x:v>Condition</x:v>
      </x:c>
      <x:c r="F2427" s="35"/>
      <x:c r="G2427" s="35" t="str">
        <x:v>A</x:v>
      </x:c>
      <x:c r="H2427" s="39" t="str">
        <x:f>IF(ISNUMBER('Data'!N719),'Data'!N719*100,"")</x:f>
      </x:c>
      <x:c r="I2427" s="35"/>
      <x:c r="J2427" s="35" t="str">
        <x:v>PASS</x:v>
      </x:c>
      <x:c r="K2427" s="35" t="str">
        <x:v>FAIL</x:v>
      </x:c>
      <x:c r="L2427" s="35" t="str">
        <x:v>NOT_RUN</x:v>
      </x:c>
      <x:c r="M2427" s="35" t="str">
        <x:v>coverage unavailable or execution/compile failed</x:v>
      </x:c>
      <x:c r="N2427" s="35" t="str">
        <x:v>Deepseek-flash-v4/Result/Math_33/result.json</x:v>
      </x:c>
      <x:c r="O2427" s="39" t="str">
        <x:f>IF(AND(G2427="RECORDED",ISNUMBER(H2427)),H2427,"")</x:f>
      </x:c>
      <x:c r="P2427" s="35" t="str">
        <x:v>NOT_AVAILABLE</x:v>
      </x:c>
      <x:c r="Q2427" s="35" t="str">
        <x:v>Deepseek-flash-v4/Result/Math_33/result.json</x:v>
      </x:c>
    </x:row>
    <x:row r="2428">
      <x:c r="A2428" s="35" t="str">
        <x:v>deepseek</x:v>
      </x:c>
      <x:c r="B2428" s="35" t="str">
        <x:v>Math</x:v>
      </x:c>
      <x:c r="C2428" s="35" t="str">
        <x:v>Round1</x:v>
      </x:c>
      <x:c r="D2428" s="35" t="str">
        <x:v>Math_34</x:v>
      </x:c>
      <x:c r="E2428" s="35" t="str">
        <x:v>Condition</x:v>
      </x:c>
      <x:c r="F2428" s="35"/>
      <x:c r="G2428" s="35" t="str">
        <x:v>A</x:v>
      </x:c>
      <x:c r="H2428" s="39" t="str">
        <x:f>IF(ISNUMBER('Data'!N720),'Data'!N720*100,"")</x:f>
      </x:c>
      <x:c r="I2428" s="35"/>
      <x:c r="J2428" s="35" t="str">
        <x:v>PASS</x:v>
      </x:c>
      <x:c r="K2428" s="35" t="str">
        <x:v>FAIL</x:v>
      </x:c>
      <x:c r="L2428" s="35" t="str">
        <x:v>NOT_RUN</x:v>
      </x:c>
      <x:c r="M2428" s="35" t="str">
        <x:v>coverage unavailable or execution/compile failed</x:v>
      </x:c>
      <x:c r="N2428" s="35" t="str">
        <x:v>Deepseek-flash-v4/Result/Math_34/result.json</x:v>
      </x:c>
      <x:c r="O2428" s="39" t="str">
        <x:f>IF(AND(G2428="RECORDED",ISNUMBER(H2428)),H2428,"")</x:f>
      </x:c>
      <x:c r="P2428" s="35" t="str">
        <x:v>NOT_AVAILABLE</x:v>
      </x:c>
      <x:c r="Q2428" s="35" t="str">
        <x:v>Deepseek-flash-v4/Result/Math_34/result.json</x:v>
      </x:c>
    </x:row>
    <x:row r="2429">
      <x:c r="A2429" s="35" t="str">
        <x:v>deepseek</x:v>
      </x:c>
      <x:c r="B2429" s="35" t="str">
        <x:v>Math</x:v>
      </x:c>
      <x:c r="C2429" s="35" t="str">
        <x:v>Round1</x:v>
      </x:c>
      <x:c r="D2429" s="35" t="str">
        <x:v>Math_35</x:v>
      </x:c>
      <x:c r="E2429" s="35" t="str">
        <x:v>Condition</x:v>
      </x:c>
      <x:c r="F2429" s="35"/>
      <x:c r="G2429" s="35" t="str">
        <x:v>A</x:v>
      </x:c>
      <x:c r="H2429" s="39" t="str">
        <x:f>IF(ISNUMBER('Data'!N721),'Data'!N721*100,"")</x:f>
      </x:c>
      <x:c r="I2429" s="35"/>
      <x:c r="J2429" s="35" t="str">
        <x:v>PASS</x:v>
      </x:c>
      <x:c r="K2429" s="35" t="str">
        <x:v>FAIL</x:v>
      </x:c>
      <x:c r="L2429" s="35" t="str">
        <x:v>NOT_RUN</x:v>
      </x:c>
      <x:c r="M2429" s="35" t="str">
        <x:v>coverage unavailable or execution/compile failed</x:v>
      </x:c>
      <x:c r="N2429" s="35" t="str">
        <x:v>Deepseek-flash-v4/Result/Math_35/result.json</x:v>
      </x:c>
      <x:c r="O2429" s="39" t="str">
        <x:f>IF(AND(G2429="RECORDED",ISNUMBER(H2429)),H2429,"")</x:f>
      </x:c>
      <x:c r="P2429" s="35" t="str">
        <x:v>NOT_AVAILABLE</x:v>
      </x:c>
      <x:c r="Q2429" s="35" t="str">
        <x:v>Deepseek-flash-v4/Result/Math_35/result.json</x:v>
      </x:c>
    </x:row>
    <x:row r="2430">
      <x:c r="A2430" s="35" t="str">
        <x:v>deepseek</x:v>
      </x:c>
      <x:c r="B2430" s="35" t="str">
        <x:v>Math</x:v>
      </x:c>
      <x:c r="C2430" s="35" t="str">
        <x:v>Round1</x:v>
      </x:c>
      <x:c r="D2430" s="35" t="str">
        <x:v>Math_36</x:v>
      </x:c>
      <x:c r="E2430" s="35" t="str">
        <x:v>Condition</x:v>
      </x:c>
      <x:c r="F2430" s="35"/>
      <x:c r="G2430" s="35" t="str">
        <x:v>A</x:v>
      </x:c>
      <x:c r="H2430" s="39" t="str">
        <x:f>IF(ISNUMBER('Data'!N722),'Data'!N722*100,"")</x:f>
      </x:c>
      <x:c r="I2430" s="35"/>
      <x:c r="J2430" s="35" t="str">
        <x:v>PASS</x:v>
      </x:c>
      <x:c r="K2430" s="35" t="str">
        <x:v>FAIL</x:v>
      </x:c>
      <x:c r="L2430" s="35" t="str">
        <x:v>NOT_RUN</x:v>
      </x:c>
      <x:c r="M2430" s="35" t="str">
        <x:v>coverage unavailable or execution/compile failed</x:v>
      </x:c>
      <x:c r="N2430" s="35" t="str">
        <x:v>Deepseek-flash-v4/Result/Math_36/result.json</x:v>
      </x:c>
      <x:c r="O2430" s="39" t="str">
        <x:f>IF(AND(G2430="RECORDED",ISNUMBER(H2430)),H2430,"")</x:f>
      </x:c>
      <x:c r="P2430" s="35" t="str">
        <x:v>NOT_AVAILABLE</x:v>
      </x:c>
      <x:c r="Q2430" s="35" t="str">
        <x:v>Deepseek-flash-v4/Result/Math_36/result.json</x:v>
      </x:c>
    </x:row>
    <x:row r="2431">
      <x:c r="A2431" s="35" t="str">
        <x:v>deepseek</x:v>
      </x:c>
      <x:c r="B2431" s="35" t="str">
        <x:v>Math</x:v>
      </x:c>
      <x:c r="C2431" s="35" t="str">
        <x:v>Round1</x:v>
      </x:c>
      <x:c r="D2431" s="35" t="str">
        <x:v>Math_37</x:v>
      </x:c>
      <x:c r="E2431" s="35" t="str">
        <x:v>Condition</x:v>
      </x:c>
      <x:c r="F2431" s="35"/>
      <x:c r="G2431" s="35" t="str">
        <x:v>A</x:v>
      </x:c>
      <x:c r="H2431" s="39" t="str">
        <x:f>IF(ISNUMBER('Data'!N723),'Data'!N723*100,"")</x:f>
      </x:c>
      <x:c r="I2431" s="35"/>
      <x:c r="J2431" s="35" t="str">
        <x:v>PASS</x:v>
      </x:c>
      <x:c r="K2431" s="35" t="str">
        <x:v>FAIL</x:v>
      </x:c>
      <x:c r="L2431" s="35" t="str">
        <x:v>NOT_RUN</x:v>
      </x:c>
      <x:c r="M2431" s="35" t="str">
        <x:v>coverage unavailable or execution/compile failed</x:v>
      </x:c>
      <x:c r="N2431" s="35" t="str">
        <x:v>Deepseek-flash-v4/Result/Math_37/result.json</x:v>
      </x:c>
      <x:c r="O2431" s="39" t="str">
        <x:f>IF(AND(G2431="RECORDED",ISNUMBER(H2431)),H2431,"")</x:f>
      </x:c>
      <x:c r="P2431" s="35" t="str">
        <x:v>NOT_AVAILABLE</x:v>
      </x:c>
      <x:c r="Q2431" s="35" t="str">
        <x:v>Deepseek-flash-v4/Result/Math_37/result.json</x:v>
      </x:c>
    </x:row>
    <x:row r="2432">
      <x:c r="A2432" s="35" t="str">
        <x:v>deepseek</x:v>
      </x:c>
      <x:c r="B2432" s="35" t="str">
        <x:v>Math</x:v>
      </x:c>
      <x:c r="C2432" s="35" t="str">
        <x:v>Round1</x:v>
      </x:c>
      <x:c r="D2432" s="35" t="str">
        <x:v>Math_38</x:v>
      </x:c>
      <x:c r="E2432" s="35" t="str">
        <x:v>Condition</x:v>
      </x:c>
      <x:c r="F2432" s="35"/>
      <x:c r="G2432" s="35" t="str">
        <x:v>A</x:v>
      </x:c>
      <x:c r="H2432" s="39" t="str">
        <x:f>IF(ISNUMBER('Data'!N724),'Data'!N724*100,"")</x:f>
      </x:c>
      <x:c r="I2432" s="35"/>
      <x:c r="J2432" s="35" t="str">
        <x:v>PASS</x:v>
      </x:c>
      <x:c r="K2432" s="35" t="str">
        <x:v>FAIL</x:v>
      </x:c>
      <x:c r="L2432" s="35" t="str">
        <x:v>NOT_RUN</x:v>
      </x:c>
      <x:c r="M2432" s="35" t="str">
        <x:v>coverage unavailable or execution/compile failed</x:v>
      </x:c>
      <x:c r="N2432" s="35" t="str">
        <x:v>Deepseek-flash-v4/Result/Math_38/result.json</x:v>
      </x:c>
      <x:c r="O2432" s="39" t="str">
        <x:f>IF(AND(G2432="RECORDED",ISNUMBER(H2432)),H2432,"")</x:f>
      </x:c>
      <x:c r="P2432" s="35" t="str">
        <x:v>NOT_AVAILABLE</x:v>
      </x:c>
      <x:c r="Q2432" s="35" t="str">
        <x:v>Deepseek-flash-v4/Result/Math_38/result.json</x:v>
      </x:c>
    </x:row>
    <x:row r="2433">
      <x:c r="A2433" s="35" t="str">
        <x:v>deepseek</x:v>
      </x:c>
      <x:c r="B2433" s="35" t="str">
        <x:v>Math</x:v>
      </x:c>
      <x:c r="C2433" s="35" t="str">
        <x:v>Round1</x:v>
      </x:c>
      <x:c r="D2433" s="35" t="str">
        <x:v>Math_39</x:v>
      </x:c>
      <x:c r="E2433" s="35" t="str">
        <x:v>Condition</x:v>
      </x:c>
      <x:c r="F2433" s="35"/>
      <x:c r="G2433" s="35" t="str">
        <x:v>A</x:v>
      </x:c>
      <x:c r="H2433" s="39" t="str">
        <x:f>IF(ISNUMBER('Data'!N725),'Data'!N725*100,"")</x:f>
      </x:c>
      <x:c r="I2433" s="35"/>
      <x:c r="J2433" s="35" t="str">
        <x:v>PASS</x:v>
      </x:c>
      <x:c r="K2433" s="35" t="str">
        <x:v>FAIL</x:v>
      </x:c>
      <x:c r="L2433" s="35" t="str">
        <x:v>NOT_RUN</x:v>
      </x:c>
      <x:c r="M2433" s="35" t="str">
        <x:v>coverage unavailable or execution/compile failed</x:v>
      </x:c>
      <x:c r="N2433" s="35" t="str">
        <x:v>Deepseek-flash-v4/Result/Math_39/result.json</x:v>
      </x:c>
      <x:c r="O2433" s="39" t="str">
        <x:f>IF(AND(G2433="RECORDED",ISNUMBER(H2433)),H2433,"")</x:f>
      </x:c>
      <x:c r="P2433" s="35" t="str">
        <x:v>NOT_AVAILABLE</x:v>
      </x:c>
      <x:c r="Q2433" s="35" t="str">
        <x:v>Deepseek-flash-v4/Result/Math_39/result.json</x:v>
      </x:c>
    </x:row>
    <x:row r="2434">
      <x:c r="A2434" s="35" t="str">
        <x:v>deepseek</x:v>
      </x:c>
      <x:c r="B2434" s="35" t="str">
        <x:v>Math</x:v>
      </x:c>
      <x:c r="C2434" s="35" t="str">
        <x:v>Round1</x:v>
      </x:c>
      <x:c r="D2434" s="35" t="str">
        <x:v>Math_4</x:v>
      </x:c>
      <x:c r="E2434" s="35" t="str">
        <x:v>Condition</x:v>
      </x:c>
      <x:c r="F2434" s="35"/>
      <x:c r="G2434" s="35" t="str">
        <x:v>A</x:v>
      </x:c>
      <x:c r="H2434" s="39" t="str">
        <x:f>IF(ISNUMBER('Data'!N726),'Data'!N726*100,"")</x:f>
      </x:c>
      <x:c r="I2434" s="35"/>
      <x:c r="J2434" s="35" t="str">
        <x:v>PASS</x:v>
      </x:c>
      <x:c r="K2434" s="35" t="str">
        <x:v>FAIL</x:v>
      </x:c>
      <x:c r="L2434" s="35" t="str">
        <x:v>NOT_RUN</x:v>
      </x:c>
      <x:c r="M2434" s="35" t="str">
        <x:v>coverage unavailable or execution/compile failed</x:v>
      </x:c>
      <x:c r="N2434" s="35" t="str">
        <x:v>Deepseek-flash-v4/Result/Math_4/result.json</x:v>
      </x:c>
      <x:c r="O2434" s="39" t="str">
        <x:f>IF(AND(G2434="RECORDED",ISNUMBER(H2434)),H2434,"")</x:f>
      </x:c>
      <x:c r="P2434" s="35" t="str">
        <x:v>NOT_AVAILABLE</x:v>
      </x:c>
      <x:c r="Q2434" s="35" t="str">
        <x:v>Deepseek-flash-v4/Result/Math_4/result.json</x:v>
      </x:c>
    </x:row>
    <x:row r="2435">
      <x:c r="A2435" s="35" t="str">
        <x:v>deepseek</x:v>
      </x:c>
      <x:c r="B2435" s="35" t="str">
        <x:v>Math</x:v>
      </x:c>
      <x:c r="C2435" s="35" t="str">
        <x:v>Round1</x:v>
      </x:c>
      <x:c r="D2435" s="35" t="str">
        <x:v>Math_40</x:v>
      </x:c>
      <x:c r="E2435" s="35" t="str">
        <x:v>Condition</x:v>
      </x:c>
      <x:c r="F2435" s="35" t="n">
        <x:v>66</x:v>
      </x:c>
      <x:c r="G2435" s="35" t="str">
        <x:v>RECORDED</x:v>
      </x:c>
      <x:c r="H2435" s="39" t="n">
        <x:f>IF(ISNUMBER('Data'!N727),'Data'!N727*100,"")</x:f>
        <x:v>68.18</x:v>
      </x:c>
      <x:c r="I2435" s="35" t="str">
        <x:v>PASS</x:v>
      </x:c>
      <x:c r="J2435" s="35" t="str">
        <x:v>PASS</x:v>
      </x:c>
      <x:c r="K2435" s="35" t="str">
        <x:v>PASS</x:v>
      </x:c>
      <x:c r="L2435" s="35" t="str">
        <x:v>FAIL</x:v>
      </x:c>
      <x:c r="M2435" s="35" t="str">
        <x:v>numeric coverage for applicable metric</x:v>
      </x:c>
      <x:c r="N2435" s="35" t="str">
        <x:v>Deepseek-flash-v4/Result/Math_40/result.json</x:v>
      </x:c>
      <x:c r="O2435" s="39" t="n">
        <x:f>IF(AND(G2435="RECORDED",ISNUMBER(H2435)),H2435,"")</x:f>
        <x:v>68.18</x:v>
      </x:c>
      <x:c r="P2435" s="35" t="str">
        <x:v>INCONCLUSIVE</x:v>
      </x:c>
      <x:c r="Q2435" s="35" t="str">
        <x:v>Deepseek-flash-v4/Result/Math_40/result.json</x:v>
      </x:c>
    </x:row>
    <x:row r="2436">
      <x:c r="A2436" s="35" t="str">
        <x:v>deepseek</x:v>
      </x:c>
      <x:c r="B2436" s="35" t="str">
        <x:v>Math</x:v>
      </x:c>
      <x:c r="C2436" s="35" t="str">
        <x:v>Round1</x:v>
      </x:c>
      <x:c r="D2436" s="35" t="str">
        <x:v>Math_41</x:v>
      </x:c>
      <x:c r="E2436" s="35" t="str">
        <x:v>Condition</x:v>
      </x:c>
      <x:c r="F2436" s="35" t="n">
        <x:v>46</x:v>
      </x:c>
      <x:c r="G2436" s="35" t="str">
        <x:v>RECORDED</x:v>
      </x:c>
      <x:c r="H2436" s="39" t="n">
        <x:f>IF(ISNUMBER('Data'!N728),'Data'!N728*100,"")</x:f>
        <x:v>71.74</x:v>
      </x:c>
      <x:c r="I2436" s="35" t="str">
        <x:v>PASS</x:v>
      </x:c>
      <x:c r="J2436" s="35" t="str">
        <x:v>PASS</x:v>
      </x:c>
      <x:c r="K2436" s="35" t="str">
        <x:v>PASS</x:v>
      </x:c>
      <x:c r="L2436" s="35" t="str">
        <x:v>FAIL</x:v>
      </x:c>
      <x:c r="M2436" s="35" t="str">
        <x:v>numeric coverage for applicable metric</x:v>
      </x:c>
      <x:c r="N2436" s="35" t="str">
        <x:v>Deepseek-flash-v4/Result/Math_41/result.json</x:v>
      </x:c>
      <x:c r="O2436" s="39" t="n">
        <x:f>IF(AND(G2436="RECORDED",ISNUMBER(H2436)),H2436,"")</x:f>
        <x:v>71.74</x:v>
      </x:c>
      <x:c r="P2436" s="35" t="str">
        <x:v>INCONCLUSIVE</x:v>
      </x:c>
      <x:c r="Q2436" s="35" t="str">
        <x:v>Deepseek-flash-v4/Result/Math_41/result.json</x:v>
      </x:c>
    </x:row>
    <x:row r="2437">
      <x:c r="A2437" s="35" t="str">
        <x:v>deepseek</x:v>
      </x:c>
      <x:c r="B2437" s="35" t="str">
        <x:v>Math</x:v>
      </x:c>
      <x:c r="C2437" s="35" t="str">
        <x:v>Round1</x:v>
      </x:c>
      <x:c r="D2437" s="35" t="str">
        <x:v>Math_42</x:v>
      </x:c>
      <x:c r="E2437" s="35" t="str">
        <x:v>Condition</x:v>
      </x:c>
      <x:c r="F2437" s="35" t="n">
        <x:v>120</x:v>
      </x:c>
      <x:c r="G2437" s="35" t="str">
        <x:v>RECORDED</x:v>
      </x:c>
      <x:c r="H2437" s="39" t="n">
        <x:f>IF(ISNUMBER('Data'!N729),'Data'!N729*100,"")</x:f>
        <x:v>56.67</x:v>
      </x:c>
      <x:c r="I2437" s="35" t="str">
        <x:v>PASS</x:v>
      </x:c>
      <x:c r="J2437" s="35" t="str">
        <x:v>PASS</x:v>
      </x:c>
      <x:c r="K2437" s="35" t="str">
        <x:v>PASS</x:v>
      </x:c>
      <x:c r="L2437" s="35" t="str">
        <x:v>FAIL</x:v>
      </x:c>
      <x:c r="M2437" s="35" t="str">
        <x:v>numeric coverage for applicable metric</x:v>
      </x:c>
      <x:c r="N2437" s="35" t="str">
        <x:v>Deepseek-flash-v4/Result/Math_42/result.json</x:v>
      </x:c>
      <x:c r="O2437" s="39" t="n">
        <x:f>IF(AND(G2437="RECORDED",ISNUMBER(H2437)),H2437,"")</x:f>
        <x:v>56.67</x:v>
      </x:c>
      <x:c r="P2437" s="35" t="str">
        <x:v>INCONCLUSIVE</x:v>
      </x:c>
      <x:c r="Q2437" s="35" t="str">
        <x:v>Deepseek-flash-v4/Result/Math_42/result.json</x:v>
      </x:c>
    </x:row>
    <x:row r="2438">
      <x:c r="A2438" s="35" t="str">
        <x:v>deepseek</x:v>
      </x:c>
      <x:c r="B2438" s="35" t="str">
        <x:v>Math</x:v>
      </x:c>
      <x:c r="C2438" s="35" t="str">
        <x:v>Round1</x:v>
      </x:c>
      <x:c r="D2438" s="35" t="str">
        <x:v>Math_43</x:v>
      </x:c>
      <x:c r="E2438" s="35" t="str">
        <x:v>Condition</x:v>
      </x:c>
      <x:c r="F2438" s="35" t="n">
        <x:v>58</x:v>
      </x:c>
      <x:c r="G2438" s="35" t="str">
        <x:v>RECORDED</x:v>
      </x:c>
      <x:c r="H2438" s="39" t="n">
        <x:f>IF(ISNUMBER('Data'!N730),'Data'!N730*100,"")</x:f>
        <x:v>58.62</x:v>
      </x:c>
      <x:c r="I2438" s="35" t="str">
        <x:v>PASS</x:v>
      </x:c>
      <x:c r="J2438" s="35" t="str">
        <x:v>PASS</x:v>
      </x:c>
      <x:c r="K2438" s="35" t="str">
        <x:v>PASS</x:v>
      </x:c>
      <x:c r="L2438" s="35" t="str">
        <x:v>FAIL</x:v>
      </x:c>
      <x:c r="M2438" s="35" t="str">
        <x:v>numeric coverage for applicable metric</x:v>
      </x:c>
      <x:c r="N2438" s="35" t="str">
        <x:v>Deepseek-flash-v4/Result/Math_43/result.json</x:v>
      </x:c>
      <x:c r="O2438" s="39" t="n">
        <x:f>IF(AND(G2438="RECORDED",ISNUMBER(H2438)),H2438,"")</x:f>
        <x:v>58.62</x:v>
      </x:c>
      <x:c r="P2438" s="35" t="str">
        <x:v>INCONCLUSIVE</x:v>
      </x:c>
      <x:c r="Q2438" s="35" t="str">
        <x:v>Deepseek-flash-v4/Result/Math_43/result.json</x:v>
      </x:c>
    </x:row>
    <x:row r="2439">
      <x:c r="A2439" s="35" t="str">
        <x:v>deepseek</x:v>
      </x:c>
      <x:c r="B2439" s="35" t="str">
        <x:v>Math</x:v>
      </x:c>
      <x:c r="C2439" s="35" t="str">
        <x:v>Round1</x:v>
      </x:c>
      <x:c r="D2439" s="35" t="str">
        <x:v>Math_44</x:v>
      </x:c>
      <x:c r="E2439" s="35" t="str">
        <x:v>Condition</x:v>
      </x:c>
      <x:c r="F2439" s="35"/>
      <x:c r="G2439" s="35" t="str">
        <x:v>A</x:v>
      </x:c>
      <x:c r="H2439" s="39" t="str">
        <x:f>IF(ISNUMBER('Data'!N731),'Data'!N731*100,"")</x:f>
      </x:c>
      <x:c r="I2439" s="35"/>
      <x:c r="J2439" s="35" t="str">
        <x:v>PASS</x:v>
      </x:c>
      <x:c r="K2439" s="35" t="str">
        <x:v>FAIL</x:v>
      </x:c>
      <x:c r="L2439" s="35" t="str">
        <x:v>NOT_RUN</x:v>
      </x:c>
      <x:c r="M2439" s="35" t="str">
        <x:v>coverage unavailable or execution/compile failed</x:v>
      </x:c>
      <x:c r="N2439" s="35" t="str">
        <x:v>Deepseek-flash-v4/Result/Math_44/result.json</x:v>
      </x:c>
      <x:c r="O2439" s="39" t="str">
        <x:f>IF(AND(G2439="RECORDED",ISNUMBER(H2439)),H2439,"")</x:f>
      </x:c>
      <x:c r="P2439" s="35" t="str">
        <x:v>NOT_AVAILABLE</x:v>
      </x:c>
      <x:c r="Q2439" s="35" t="str">
        <x:v>Deepseek-flash-v4/Result/Math_44/result.json</x:v>
      </x:c>
    </x:row>
    <x:row r="2440">
      <x:c r="A2440" s="35" t="str">
        <x:v>deepseek</x:v>
      </x:c>
      <x:c r="B2440" s="35" t="str">
        <x:v>Math</x:v>
      </x:c>
      <x:c r="C2440" s="35" t="str">
        <x:v>Round1</x:v>
      </x:c>
      <x:c r="D2440" s="35" t="str">
        <x:v>Math_45</x:v>
      </x:c>
      <x:c r="E2440" s="35" t="str">
        <x:v>Condition</x:v>
      </x:c>
      <x:c r="F2440" s="35" t="n">
        <x:v>22</x:v>
      </x:c>
      <x:c r="G2440" s="35" t="str">
        <x:v>RECORDED</x:v>
      </x:c>
      <x:c r="H2440" s="39" t="n">
        <x:f>IF(ISNUMBER('Data'!N732),'Data'!N732*100,"")</x:f>
        <x:v>95.45</x:v>
      </x:c>
      <x:c r="I2440" s="35" t="str">
        <x:v>PASS</x:v>
      </x:c>
      <x:c r="J2440" s="35" t="str">
        <x:v>PASS</x:v>
      </x:c>
      <x:c r="K2440" s="35" t="str">
        <x:v>PASS</x:v>
      </x:c>
      <x:c r="L2440" s="35" t="str">
        <x:v>FAIL</x:v>
      </x:c>
      <x:c r="M2440" s="35" t="str">
        <x:v>numeric coverage for applicable metric</x:v>
      </x:c>
      <x:c r="N2440" s="35" t="str">
        <x:v>Deepseek-flash-v4/Result/Math_45/result.json</x:v>
      </x:c>
      <x:c r="O2440" s="39" t="n">
        <x:f>IF(AND(G2440="RECORDED",ISNUMBER(H2440)),H2440,"")</x:f>
        <x:v>95.45</x:v>
      </x:c>
      <x:c r="P2440" s="35" t="str">
        <x:v>INCONCLUSIVE</x:v>
      </x:c>
      <x:c r="Q2440" s="35" t="str">
        <x:v>Deepseek-flash-v4/Result/Math_45/result.json</x:v>
      </x:c>
    </x:row>
    <x:row r="2441">
      <x:c r="A2441" s="35" t="str">
        <x:v>deepseek</x:v>
      </x:c>
      <x:c r="B2441" s="35" t="str">
        <x:v>Math</x:v>
      </x:c>
      <x:c r="C2441" s="35" t="str">
        <x:v>Round1</x:v>
      </x:c>
      <x:c r="D2441" s="35" t="str">
        <x:v>Math_46</x:v>
      </x:c>
      <x:c r="E2441" s="35" t="str">
        <x:v>Condition</x:v>
      </x:c>
      <x:c r="F2441" s="35"/>
      <x:c r="G2441" s="35" t="str">
        <x:v>A</x:v>
      </x:c>
      <x:c r="H2441" s="39" t="str">
        <x:f>IF(ISNUMBER('Data'!N733),'Data'!N733*100,"")</x:f>
      </x:c>
      <x:c r="I2441" s="35"/>
      <x:c r="J2441" s="35" t="str">
        <x:v>PASS</x:v>
      </x:c>
      <x:c r="K2441" s="35" t="str">
        <x:v>FAIL</x:v>
      </x:c>
      <x:c r="L2441" s="35" t="str">
        <x:v>NOT_RUN</x:v>
      </x:c>
      <x:c r="M2441" s="35" t="str">
        <x:v>coverage unavailable or execution/compile failed</x:v>
      </x:c>
      <x:c r="N2441" s="35" t="str">
        <x:v>Deepseek-flash-v4/Result/Math_46/result.json</x:v>
      </x:c>
      <x:c r="O2441" s="39" t="str">
        <x:f>IF(AND(G2441="RECORDED",ISNUMBER(H2441)),H2441,"")</x:f>
      </x:c>
      <x:c r="P2441" s="35" t="str">
        <x:v>NOT_AVAILABLE</x:v>
      </x:c>
      <x:c r="Q2441" s="35" t="str">
        <x:v>Deepseek-flash-v4/Result/Math_46/result.json</x:v>
      </x:c>
    </x:row>
    <x:row r="2442">
      <x:c r="A2442" s="35" t="str">
        <x:v>deepseek</x:v>
      </x:c>
      <x:c r="B2442" s="35" t="str">
        <x:v>Math</x:v>
      </x:c>
      <x:c r="C2442" s="35" t="str">
        <x:v>Round1</x:v>
      </x:c>
      <x:c r="D2442" s="35" t="str">
        <x:v>Math_47</x:v>
      </x:c>
      <x:c r="E2442" s="35" t="str">
        <x:v>Condition</x:v>
      </x:c>
      <x:c r="F2442" s="35"/>
      <x:c r="G2442" s="35" t="str">
        <x:v>A</x:v>
      </x:c>
      <x:c r="H2442" s="39" t="str">
        <x:f>IF(ISNUMBER('Data'!N734),'Data'!N734*100,"")</x:f>
      </x:c>
      <x:c r="I2442" s="35"/>
      <x:c r="J2442" s="35" t="str">
        <x:v>PASS</x:v>
      </x:c>
      <x:c r="K2442" s="35" t="str">
        <x:v>FAIL</x:v>
      </x:c>
      <x:c r="L2442" s="35" t="str">
        <x:v>NOT_RUN</x:v>
      </x:c>
      <x:c r="M2442" s="35" t="str">
        <x:v>coverage unavailable or execution/compile failed</x:v>
      </x:c>
      <x:c r="N2442" s="35" t="str">
        <x:v>Deepseek-flash-v4/Result/Math_47/result.json</x:v>
      </x:c>
      <x:c r="O2442" s="39" t="str">
        <x:f>IF(AND(G2442="RECORDED",ISNUMBER(H2442)),H2442,"")</x:f>
      </x:c>
      <x:c r="P2442" s="35" t="str">
        <x:v>NOT_AVAILABLE</x:v>
      </x:c>
      <x:c r="Q2442" s="35" t="str">
        <x:v>Deepseek-flash-v4/Result/Math_47/result.json</x:v>
      </x:c>
    </x:row>
    <x:row r="2443">
      <x:c r="A2443" s="35" t="str">
        <x:v>deepseek</x:v>
      </x:c>
      <x:c r="B2443" s="35" t="str">
        <x:v>Math</x:v>
      </x:c>
      <x:c r="C2443" s="35" t="str">
        <x:v>Round1</x:v>
      </x:c>
      <x:c r="D2443" s="35" t="str">
        <x:v>Math_48</x:v>
      </x:c>
      <x:c r="E2443" s="35" t="str">
        <x:v>Condition</x:v>
      </x:c>
      <x:c r="F2443" s="35"/>
      <x:c r="G2443" s="35" t="str">
        <x:v>A</x:v>
      </x:c>
      <x:c r="H2443" s="39" t="str">
        <x:f>IF(ISNUMBER('Data'!N735),'Data'!N735*100,"")</x:f>
      </x:c>
      <x:c r="I2443" s="35"/>
      <x:c r="J2443" s="35" t="str">
        <x:v>PASS</x:v>
      </x:c>
      <x:c r="K2443" s="35" t="str">
        <x:v>FAIL</x:v>
      </x:c>
      <x:c r="L2443" s="35" t="str">
        <x:v>NOT_RUN</x:v>
      </x:c>
      <x:c r="M2443" s="35" t="str">
        <x:v>coverage unavailable or execution/compile failed</x:v>
      </x:c>
      <x:c r="N2443" s="35" t="str">
        <x:v>Deepseek-flash-v4/Result/Math_48/result.json</x:v>
      </x:c>
      <x:c r="O2443" s="39" t="str">
        <x:f>IF(AND(G2443="RECORDED",ISNUMBER(H2443)),H2443,"")</x:f>
      </x:c>
      <x:c r="P2443" s="35" t="str">
        <x:v>NOT_AVAILABLE</x:v>
      </x:c>
      <x:c r="Q2443" s="35" t="str">
        <x:v>Deepseek-flash-v4/Result/Math_48/result.json</x:v>
      </x:c>
    </x:row>
    <x:row r="2444">
      <x:c r="A2444" s="35" t="str">
        <x:v>deepseek</x:v>
      </x:c>
      <x:c r="B2444" s="35" t="str">
        <x:v>Math</x:v>
      </x:c>
      <x:c r="C2444" s="35" t="str">
        <x:v>Round1</x:v>
      </x:c>
      <x:c r="D2444" s="35" t="str">
        <x:v>Math_49</x:v>
      </x:c>
      <x:c r="E2444" s="35" t="str">
        <x:v>Condition</x:v>
      </x:c>
      <x:c r="F2444" s="35"/>
      <x:c r="G2444" s="35" t="str">
        <x:v>A</x:v>
      </x:c>
      <x:c r="H2444" s="39" t="str">
        <x:f>IF(ISNUMBER('Data'!N736),'Data'!N736*100,"")</x:f>
      </x:c>
      <x:c r="I2444" s="35"/>
      <x:c r="J2444" s="35" t="str">
        <x:v>PASS</x:v>
      </x:c>
      <x:c r="K2444" s="35" t="str">
        <x:v>FAIL</x:v>
      </x:c>
      <x:c r="L2444" s="35" t="str">
        <x:v>NOT_RUN</x:v>
      </x:c>
      <x:c r="M2444" s="35" t="str">
        <x:v>coverage unavailable or execution/compile failed</x:v>
      </x:c>
      <x:c r="N2444" s="35" t="str">
        <x:v>Deepseek-flash-v4/Result/Math_49/result.json</x:v>
      </x:c>
      <x:c r="O2444" s="39" t="str">
        <x:f>IF(AND(G2444="RECORDED",ISNUMBER(H2444)),H2444,"")</x:f>
      </x:c>
      <x:c r="P2444" s="35" t="str">
        <x:v>NOT_AVAILABLE</x:v>
      </x:c>
      <x:c r="Q2444" s="35" t="str">
        <x:v>Deepseek-flash-v4/Result/Math_49/result.json</x:v>
      </x:c>
    </x:row>
    <x:row r="2445">
      <x:c r="A2445" s="35" t="str">
        <x:v>deepseek</x:v>
      </x:c>
      <x:c r="B2445" s="35" t="str">
        <x:v>Math</x:v>
      </x:c>
      <x:c r="C2445" s="35" t="str">
        <x:v>Round1</x:v>
      </x:c>
      <x:c r="D2445" s="35" t="str">
        <x:v>Math_5</x:v>
      </x:c>
      <x:c r="E2445" s="35" t="str">
        <x:v>Condition</x:v>
      </x:c>
      <x:c r="F2445" s="35"/>
      <x:c r="G2445" s="35" t="str">
        <x:v>A</x:v>
      </x:c>
      <x:c r="H2445" s="39" t="str">
        <x:f>IF(ISNUMBER('Data'!N737),'Data'!N737*100,"")</x:f>
      </x:c>
      <x:c r="I2445" s="35"/>
      <x:c r="J2445" s="35" t="str">
        <x:v>PASS</x:v>
      </x:c>
      <x:c r="K2445" s="35" t="str">
        <x:v>FAIL</x:v>
      </x:c>
      <x:c r="L2445" s="35" t="str">
        <x:v>NOT_RUN</x:v>
      </x:c>
      <x:c r="M2445" s="35" t="str">
        <x:v>coverage unavailable or execution/compile failed</x:v>
      </x:c>
      <x:c r="N2445" s="35" t="str">
        <x:v>Deepseek-flash-v4/Result/Math_5/result.json</x:v>
      </x:c>
      <x:c r="O2445" s="39" t="str">
        <x:f>IF(AND(G2445="RECORDED",ISNUMBER(H2445)),H2445,"")</x:f>
      </x:c>
      <x:c r="P2445" s="35" t="str">
        <x:v>NOT_AVAILABLE</x:v>
      </x:c>
      <x:c r="Q2445" s="35" t="str">
        <x:v>Deepseek-flash-v4/Result/Math_5/result.json</x:v>
      </x:c>
    </x:row>
    <x:row r="2446">
      <x:c r="A2446" s="35" t="str">
        <x:v>deepseek</x:v>
      </x:c>
      <x:c r="B2446" s="35" t="str">
        <x:v>Math</x:v>
      </x:c>
      <x:c r="C2446" s="35" t="str">
        <x:v>Round1</x:v>
      </x:c>
      <x:c r="D2446" s="35" t="str">
        <x:v>Math_50</x:v>
      </x:c>
      <x:c r="E2446" s="35" t="str">
        <x:v>Condition</x:v>
      </x:c>
      <x:c r="F2446" s="35"/>
      <x:c r="G2446" s="35" t="str">
        <x:v>A</x:v>
      </x:c>
      <x:c r="H2446" s="39" t="str">
        <x:f>IF(ISNUMBER('Data'!N738),'Data'!N738*100,"")</x:f>
      </x:c>
      <x:c r="I2446" s="35"/>
      <x:c r="J2446" s="35" t="str">
        <x:v>PASS</x:v>
      </x:c>
      <x:c r="K2446" s="35" t="str">
        <x:v>FAIL</x:v>
      </x:c>
      <x:c r="L2446" s="35" t="str">
        <x:v>NOT_RUN</x:v>
      </x:c>
      <x:c r="M2446" s="35" t="str">
        <x:v>coverage unavailable or execution/compile failed</x:v>
      </x:c>
      <x:c r="N2446" s="35" t="str">
        <x:v>Deepseek-flash-v4/Result/Math_50/result.json</x:v>
      </x:c>
      <x:c r="O2446" s="39" t="str">
        <x:f>IF(AND(G2446="RECORDED",ISNUMBER(H2446)),H2446,"")</x:f>
      </x:c>
      <x:c r="P2446" s="35" t="str">
        <x:v>NOT_AVAILABLE</x:v>
      </x:c>
      <x:c r="Q2446" s="35" t="str">
        <x:v>Deepseek-flash-v4/Result/Math_50/result.json</x:v>
      </x:c>
    </x:row>
    <x:row r="2447">
      <x:c r="A2447" s="35" t="str">
        <x:v>deepseek</x:v>
      </x:c>
      <x:c r="B2447" s="35" t="str">
        <x:v>Math</x:v>
      </x:c>
      <x:c r="C2447" s="35" t="str">
        <x:v>Round1</x:v>
      </x:c>
      <x:c r="D2447" s="35" t="str">
        <x:v>Math_51</x:v>
      </x:c>
      <x:c r="E2447" s="35" t="str">
        <x:v>Condition</x:v>
      </x:c>
      <x:c r="F2447" s="35"/>
      <x:c r="G2447" s="35" t="str">
        <x:v>A</x:v>
      </x:c>
      <x:c r="H2447" s="39" t="str">
        <x:f>IF(ISNUMBER('Data'!N739),'Data'!N739*100,"")</x:f>
      </x:c>
      <x:c r="I2447" s="35"/>
      <x:c r="J2447" s="35" t="str">
        <x:v>PASS</x:v>
      </x:c>
      <x:c r="K2447" s="35" t="str">
        <x:v>FAIL</x:v>
      </x:c>
      <x:c r="L2447" s="35" t="str">
        <x:v>NOT_RUN</x:v>
      </x:c>
      <x:c r="M2447" s="35" t="str">
        <x:v>coverage unavailable or execution/compile failed</x:v>
      </x:c>
      <x:c r="N2447" s="35" t="str">
        <x:v>Deepseek-flash-v4/Result/Math_51/result.json</x:v>
      </x:c>
      <x:c r="O2447" s="39" t="str">
        <x:f>IF(AND(G2447="RECORDED",ISNUMBER(H2447)),H2447,"")</x:f>
      </x:c>
      <x:c r="P2447" s="35" t="str">
        <x:v>NOT_AVAILABLE</x:v>
      </x:c>
      <x:c r="Q2447" s="35" t="str">
        <x:v>Deepseek-flash-v4/Result/Math_51/result.json</x:v>
      </x:c>
    </x:row>
    <x:row r="2448">
      <x:c r="A2448" s="35" t="str">
        <x:v>deepseek</x:v>
      </x:c>
      <x:c r="B2448" s="35" t="str">
        <x:v>Math</x:v>
      </x:c>
      <x:c r="C2448" s="35" t="str">
        <x:v>Round1</x:v>
      </x:c>
      <x:c r="D2448" s="35" t="str">
        <x:v>Math_52</x:v>
      </x:c>
      <x:c r="E2448" s="35" t="str">
        <x:v>Condition</x:v>
      </x:c>
      <x:c r="F2448" s="35"/>
      <x:c r="G2448" s="35" t="str">
        <x:v>A</x:v>
      </x:c>
      <x:c r="H2448" s="39" t="str">
        <x:f>IF(ISNUMBER('Data'!N740),'Data'!N740*100,"")</x:f>
      </x:c>
      <x:c r="I2448" s="35"/>
      <x:c r="J2448" s="35" t="str">
        <x:v>PASS</x:v>
      </x:c>
      <x:c r="K2448" s="35" t="str">
        <x:v>FAIL</x:v>
      </x:c>
      <x:c r="L2448" s="35" t="str">
        <x:v>NOT_RUN</x:v>
      </x:c>
      <x:c r="M2448" s="35" t="str">
        <x:v>coverage unavailable or execution/compile failed</x:v>
      </x:c>
      <x:c r="N2448" s="35" t="str">
        <x:v>Deepseek-flash-v4/Result/Math_52/result.json</x:v>
      </x:c>
      <x:c r="O2448" s="39" t="str">
        <x:f>IF(AND(G2448="RECORDED",ISNUMBER(H2448)),H2448,"")</x:f>
      </x:c>
      <x:c r="P2448" s="35" t="str">
        <x:v>NOT_AVAILABLE</x:v>
      </x:c>
      <x:c r="Q2448" s="35" t="str">
        <x:v>Deepseek-flash-v4/Result/Math_52/result.json</x:v>
      </x:c>
    </x:row>
    <x:row r="2449">
      <x:c r="A2449" s="35" t="str">
        <x:v>deepseek</x:v>
      </x:c>
      <x:c r="B2449" s="35" t="str">
        <x:v>Math</x:v>
      </x:c>
      <x:c r="C2449" s="35" t="str">
        <x:v>Round1</x:v>
      </x:c>
      <x:c r="D2449" s="35" t="str">
        <x:v>Math_53</x:v>
      </x:c>
      <x:c r="E2449" s="35" t="str">
        <x:v>Condition</x:v>
      </x:c>
      <x:c r="F2449" s="35"/>
      <x:c r="G2449" s="35" t="str">
        <x:v>A</x:v>
      </x:c>
      <x:c r="H2449" s="39" t="str">
        <x:f>IF(ISNUMBER('Data'!N741),'Data'!N741*100,"")</x:f>
      </x:c>
      <x:c r="I2449" s="35"/>
      <x:c r="J2449" s="35" t="str">
        <x:v>PASS</x:v>
      </x:c>
      <x:c r="K2449" s="35" t="str">
        <x:v>FAIL</x:v>
      </x:c>
      <x:c r="L2449" s="35" t="str">
        <x:v>NOT_RUN</x:v>
      </x:c>
      <x:c r="M2449" s="35" t="str">
        <x:v>coverage unavailable or execution/compile failed</x:v>
      </x:c>
      <x:c r="N2449" s="35" t="str">
        <x:v>Deepseek-flash-v4/Result/Math_53/result.json</x:v>
      </x:c>
      <x:c r="O2449" s="39" t="str">
        <x:f>IF(AND(G2449="RECORDED",ISNUMBER(H2449)),H2449,"")</x:f>
      </x:c>
      <x:c r="P2449" s="35" t="str">
        <x:v>NOT_AVAILABLE</x:v>
      </x:c>
      <x:c r="Q2449" s="35" t="str">
        <x:v>Deepseek-flash-v4/Result/Math_53/result.json</x:v>
      </x:c>
    </x:row>
    <x:row r="2450">
      <x:c r="A2450" s="35" t="str">
        <x:v>deepseek</x:v>
      </x:c>
      <x:c r="B2450" s="35" t="str">
        <x:v>Math</x:v>
      </x:c>
      <x:c r="C2450" s="35" t="str">
        <x:v>Round1</x:v>
      </x:c>
      <x:c r="D2450" s="35" t="str">
        <x:v>Math_54</x:v>
      </x:c>
      <x:c r="E2450" s="35" t="str">
        <x:v>Condition</x:v>
      </x:c>
      <x:c r="F2450" s="35"/>
      <x:c r="G2450" s="35" t="str">
        <x:v>A</x:v>
      </x:c>
      <x:c r="H2450" s="39" t="str">
        <x:f>IF(ISNUMBER('Data'!N742),'Data'!N742*100,"")</x:f>
      </x:c>
      <x:c r="I2450" s="35"/>
      <x:c r="J2450" s="35" t="str">
        <x:v>PASS</x:v>
      </x:c>
      <x:c r="K2450" s="35" t="str">
        <x:v>FAIL</x:v>
      </x:c>
      <x:c r="L2450" s="35" t="str">
        <x:v>NOT_RUN</x:v>
      </x:c>
      <x:c r="M2450" s="35" t="str">
        <x:v>coverage unavailable or execution/compile failed</x:v>
      </x:c>
      <x:c r="N2450" s="35" t="str">
        <x:v>Deepseek-flash-v4/Result/Math_54/result.json</x:v>
      </x:c>
      <x:c r="O2450" s="39" t="str">
        <x:f>IF(AND(G2450="RECORDED",ISNUMBER(H2450)),H2450,"")</x:f>
      </x:c>
      <x:c r="P2450" s="35" t="str">
        <x:v>NOT_AVAILABLE</x:v>
      </x:c>
      <x:c r="Q2450" s="35" t="str">
        <x:v>Deepseek-flash-v4/Result/Math_54/result.json</x:v>
      </x:c>
    </x:row>
    <x:row r="2451">
      <x:c r="A2451" s="35" t="str">
        <x:v>deepseek</x:v>
      </x:c>
      <x:c r="B2451" s="35" t="str">
        <x:v>Math</x:v>
      </x:c>
      <x:c r="C2451" s="35" t="str">
        <x:v>Round1</x:v>
      </x:c>
      <x:c r="D2451" s="35" t="str">
        <x:v>Math_55</x:v>
      </x:c>
      <x:c r="E2451" s="35" t="str">
        <x:v>Condition</x:v>
      </x:c>
      <x:c r="F2451" s="35"/>
      <x:c r="G2451" s="35" t="str">
        <x:v>A</x:v>
      </x:c>
      <x:c r="H2451" s="39" t="str">
        <x:f>IF(ISNUMBER('Data'!N743),'Data'!N743*100,"")</x:f>
      </x:c>
      <x:c r="I2451" s="35"/>
      <x:c r="J2451" s="35" t="str">
        <x:v>PASS</x:v>
      </x:c>
      <x:c r="K2451" s="35" t="str">
        <x:v>FAIL</x:v>
      </x:c>
      <x:c r="L2451" s="35" t="str">
        <x:v>NOT_RUN</x:v>
      </x:c>
      <x:c r="M2451" s="35" t="str">
        <x:v>coverage unavailable or execution/compile failed</x:v>
      </x:c>
      <x:c r="N2451" s="35" t="str">
        <x:v>Deepseek-flash-v4/Result/Math_55/result.json</x:v>
      </x:c>
      <x:c r="O2451" s="39" t="str">
        <x:f>IF(AND(G2451="RECORDED",ISNUMBER(H2451)),H2451,"")</x:f>
      </x:c>
      <x:c r="P2451" s="35" t="str">
        <x:v>NOT_AVAILABLE</x:v>
      </x:c>
      <x:c r="Q2451" s="35" t="str">
        <x:v>Deepseek-flash-v4/Result/Math_55/result.json</x:v>
      </x:c>
    </x:row>
    <x:row r="2452">
      <x:c r="A2452" s="35" t="str">
        <x:v>deepseek</x:v>
      </x:c>
      <x:c r="B2452" s="35" t="str">
        <x:v>Math</x:v>
      </x:c>
      <x:c r="C2452" s="35" t="str">
        <x:v>Round1</x:v>
      </x:c>
      <x:c r="D2452" s="35" t="str">
        <x:v>Math_56</x:v>
      </x:c>
      <x:c r="E2452" s="35" t="str">
        <x:v>Condition</x:v>
      </x:c>
      <x:c r="F2452" s="35" t="n">
        <x:v>34</x:v>
      </x:c>
      <x:c r="G2452" s="35" t="str">
        <x:v>RECORDED</x:v>
      </x:c>
      <x:c r="H2452" s="39" t="n">
        <x:f>IF(ISNUMBER('Data'!N744),'Data'!N744*100,"")</x:f>
        <x:v>94.12</x:v>
      </x:c>
      <x:c r="I2452" s="35" t="str">
        <x:v>PASS</x:v>
      </x:c>
      <x:c r="J2452" s="35" t="str">
        <x:v>PASS</x:v>
      </x:c>
      <x:c r="K2452" s="35" t="str">
        <x:v>PASS</x:v>
      </x:c>
      <x:c r="L2452" s="35" t="str">
        <x:v>FAIL</x:v>
      </x:c>
      <x:c r="M2452" s="35" t="str">
        <x:v>numeric coverage for applicable metric</x:v>
      </x:c>
      <x:c r="N2452" s="35" t="str">
        <x:v>Deepseek-flash-v4/Result/Math_56/result.json</x:v>
      </x:c>
      <x:c r="O2452" s="39" t="n">
        <x:f>IF(AND(G2452="RECORDED",ISNUMBER(H2452)),H2452,"")</x:f>
        <x:v>94.12</x:v>
      </x:c>
      <x:c r="P2452" s="35" t="str">
        <x:v>INCONCLUSIVE</x:v>
      </x:c>
      <x:c r="Q2452" s="35" t="str">
        <x:v>Deepseek-flash-v4/Result/Math_56/result.json</x:v>
      </x:c>
    </x:row>
    <x:row r="2453">
      <x:c r="A2453" s="35" t="str">
        <x:v>deepseek</x:v>
      </x:c>
      <x:c r="B2453" s="35" t="str">
        <x:v>Math</x:v>
      </x:c>
      <x:c r="C2453" s="35" t="str">
        <x:v>Round1</x:v>
      </x:c>
      <x:c r="D2453" s="35" t="str">
        <x:v>Math_57</x:v>
      </x:c>
      <x:c r="E2453" s="35" t="str">
        <x:v>Condition</x:v>
      </x:c>
      <x:c r="F2453" s="35"/>
      <x:c r="G2453" s="35" t="str">
        <x:v>A</x:v>
      </x:c>
      <x:c r="H2453" s="39" t="str">
        <x:f>IF(ISNUMBER('Data'!N745),'Data'!N745*100,"")</x:f>
      </x:c>
      <x:c r="I2453" s="35"/>
      <x:c r="J2453" s="35" t="str">
        <x:v>PASS</x:v>
      </x:c>
      <x:c r="K2453" s="35" t="str">
        <x:v>FAIL</x:v>
      </x:c>
      <x:c r="L2453" s="35" t="str">
        <x:v>NOT_RUN</x:v>
      </x:c>
      <x:c r="M2453" s="35" t="str">
        <x:v>coverage unavailable or execution/compile failed</x:v>
      </x:c>
      <x:c r="N2453" s="35" t="str">
        <x:v>Deepseek-flash-v4/Result/Math_57/result.json</x:v>
      </x:c>
      <x:c r="O2453" s="39" t="str">
        <x:f>IF(AND(G2453="RECORDED",ISNUMBER(H2453)),H2453,"")</x:f>
      </x:c>
      <x:c r="P2453" s="35" t="str">
        <x:v>NOT_AVAILABLE</x:v>
      </x:c>
      <x:c r="Q2453" s="35" t="str">
        <x:v>Deepseek-flash-v4/Result/Math_57/result.json</x:v>
      </x:c>
    </x:row>
    <x:row r="2454">
      <x:c r="A2454" s="35" t="str">
        <x:v>deepseek</x:v>
      </x:c>
      <x:c r="B2454" s="35" t="str">
        <x:v>Math</x:v>
      </x:c>
      <x:c r="C2454" s="35" t="str">
        <x:v>Round1</x:v>
      </x:c>
      <x:c r="D2454" s="35" t="str">
        <x:v>Math_58</x:v>
      </x:c>
      <x:c r="E2454" s="35" t="str">
        <x:v>Condition</x:v>
      </x:c>
      <x:c r="F2454" s="35"/>
      <x:c r="G2454" s="35" t="str">
        <x:v>A</x:v>
      </x:c>
      <x:c r="H2454" s="39" t="str">
        <x:f>IF(ISNUMBER('Data'!N746),'Data'!N746*100,"")</x:f>
      </x:c>
      <x:c r="I2454" s="35"/>
      <x:c r="J2454" s="35" t="str">
        <x:v>PASS</x:v>
      </x:c>
      <x:c r="K2454" s="35" t="str">
        <x:v>FAIL</x:v>
      </x:c>
      <x:c r="L2454" s="35" t="str">
        <x:v>NOT_RUN</x:v>
      </x:c>
      <x:c r="M2454" s="35" t="str">
        <x:v>coverage unavailable or execution/compile failed</x:v>
      </x:c>
      <x:c r="N2454" s="35" t="str">
        <x:v>Deepseek-flash-v4/Result/Math_58/result.json</x:v>
      </x:c>
      <x:c r="O2454" s="39" t="str">
        <x:f>IF(AND(G2454="RECORDED",ISNUMBER(H2454)),H2454,"")</x:f>
      </x:c>
      <x:c r="P2454" s="35" t="str">
        <x:v>NOT_AVAILABLE</x:v>
      </x:c>
      <x:c r="Q2454" s="35" t="str">
        <x:v>Deepseek-flash-v4/Result/Math_58/result.json</x:v>
      </x:c>
    </x:row>
    <x:row r="2455">
      <x:c r="A2455" s="35" t="str">
        <x:v>deepseek</x:v>
      </x:c>
      <x:c r="B2455" s="35" t="str">
        <x:v>Math</x:v>
      </x:c>
      <x:c r="C2455" s="35" t="str">
        <x:v>Round1</x:v>
      </x:c>
      <x:c r="D2455" s="35" t="str">
        <x:v>Math_59</x:v>
      </x:c>
      <x:c r="E2455" s="35" t="str">
        <x:v>Condition</x:v>
      </x:c>
      <x:c r="F2455" s="35" t="n">
        <x:v>652</x:v>
      </x:c>
      <x:c r="G2455" s="35" t="str">
        <x:v>RECORDED</x:v>
      </x:c>
      <x:c r="H2455" s="39" t="n">
        <x:f>IF(ISNUMBER('Data'!N747),'Data'!N747*100,"")</x:f>
        <x:v>43.56</x:v>
      </x:c>
      <x:c r="I2455" s="35" t="str">
        <x:v>PASS</x:v>
      </x:c>
      <x:c r="J2455" s="35" t="str">
        <x:v>PASS</x:v>
      </x:c>
      <x:c r="K2455" s="35" t="str">
        <x:v>PASS</x:v>
      </x:c>
      <x:c r="L2455" s="35" t="str">
        <x:v>FAIL</x:v>
      </x:c>
      <x:c r="M2455" s="35" t="str">
        <x:v>numeric coverage for applicable metric</x:v>
      </x:c>
      <x:c r="N2455" s="35" t="str">
        <x:v>Deepseek-flash-v4/Result/Math_59/result.json</x:v>
      </x:c>
      <x:c r="O2455" s="39" t="n">
        <x:f>IF(AND(G2455="RECORDED",ISNUMBER(H2455)),H2455,"")</x:f>
        <x:v>43.56</x:v>
      </x:c>
      <x:c r="P2455" s="35" t="str">
        <x:v>INCONCLUSIVE</x:v>
      </x:c>
      <x:c r="Q2455" s="35" t="str">
        <x:v>Deepseek-flash-v4/Result/Math_59/result.json</x:v>
      </x:c>
    </x:row>
    <x:row r="2456">
      <x:c r="A2456" s="35" t="str">
        <x:v>deepseek</x:v>
      </x:c>
      <x:c r="B2456" s="35" t="str">
        <x:v>Math</x:v>
      </x:c>
      <x:c r="C2456" s="35" t="str">
        <x:v>Round1</x:v>
      </x:c>
      <x:c r="D2456" s="35" t="str">
        <x:v>Math_6</x:v>
      </x:c>
      <x:c r="E2456" s="35" t="str">
        <x:v>Condition</x:v>
      </x:c>
      <x:c r="F2456" s="35"/>
      <x:c r="G2456" s="35" t="str">
        <x:v>A</x:v>
      </x:c>
      <x:c r="H2456" s="39" t="str">
        <x:f>IF(ISNUMBER('Data'!N748),'Data'!N748*100,"")</x:f>
      </x:c>
      <x:c r="I2456" s="35"/>
      <x:c r="J2456" s="35" t="str">
        <x:v>PASS</x:v>
      </x:c>
      <x:c r="K2456" s="35" t="str">
        <x:v>FAIL</x:v>
      </x:c>
      <x:c r="L2456" s="35" t="str">
        <x:v>NOT_RUN</x:v>
      </x:c>
      <x:c r="M2456" s="35" t="str">
        <x:v>coverage unavailable or execution/compile failed</x:v>
      </x:c>
      <x:c r="N2456" s="35" t="str">
        <x:v>Deepseek-flash-v4/Result/Math_6/result.json</x:v>
      </x:c>
      <x:c r="O2456" s="39" t="str">
        <x:f>IF(AND(G2456="RECORDED",ISNUMBER(H2456)),H2456,"")</x:f>
      </x:c>
      <x:c r="P2456" s="35" t="str">
        <x:v>NOT_AVAILABLE</x:v>
      </x:c>
      <x:c r="Q2456" s="35" t="str">
        <x:v>Deepseek-flash-v4/Result/Math_6/result.json</x:v>
      </x:c>
    </x:row>
    <x:row r="2457">
      <x:c r="A2457" s="35" t="str">
        <x:v>deepseek</x:v>
      </x:c>
      <x:c r="B2457" s="35" t="str">
        <x:v>Math</x:v>
      </x:c>
      <x:c r="C2457" s="35" t="str">
        <x:v>Round1</x:v>
      </x:c>
      <x:c r="D2457" s="35" t="str">
        <x:v>Math_60</x:v>
      </x:c>
      <x:c r="E2457" s="35" t="str">
        <x:v>Condition</x:v>
      </x:c>
      <x:c r="F2457" s="35" t="n">
        <x:v>18</x:v>
      </x:c>
      <x:c r="G2457" s="35" t="str">
        <x:v>RECORDED</x:v>
      </x:c>
      <x:c r="H2457" s="39" t="n">
        <x:f>IF(ISNUMBER('Data'!N749),'Data'!N749*100,"")</x:f>
        <x:v>77.78</x:v>
      </x:c>
      <x:c r="I2457" s="35" t="str">
        <x:v>PASS</x:v>
      </x:c>
      <x:c r="J2457" s="35" t="str">
        <x:v>PASS</x:v>
      </x:c>
      <x:c r="K2457" s="35" t="str">
        <x:v>PASS</x:v>
      </x:c>
      <x:c r="L2457" s="35" t="str">
        <x:v>PASS</x:v>
      </x:c>
      <x:c r="M2457" s="35" t="str">
        <x:v>numeric coverage for applicable metric</x:v>
      </x:c>
      <x:c r="N2457" s="35" t="str">
        <x:v>Deepseek-flash-v4/Result/Math_60/result.json</x:v>
      </x:c>
      <x:c r="O2457" s="39" t="n">
        <x:f>IF(AND(G2457="RECORDED",ISNUMBER(H2457)),H2457,"")</x:f>
        <x:v>77.78</x:v>
      </x:c>
      <x:c r="P2457" s="35" t="str">
        <x:v>NOT_REVEALING</x:v>
      </x:c>
      <x:c r="Q2457" s="35" t="str">
        <x:v>Deepseek-flash-v4/Result/Math_60/result.json</x:v>
      </x:c>
    </x:row>
    <x:row r="2458">
      <x:c r="A2458" s="35" t="str">
        <x:v>deepseek</x:v>
      </x:c>
      <x:c r="B2458" s="35" t="str">
        <x:v>Math</x:v>
      </x:c>
      <x:c r="C2458" s="35" t="str">
        <x:v>Round1</x:v>
      </x:c>
      <x:c r="D2458" s="35" t="str">
        <x:v>Math_61</x:v>
      </x:c>
      <x:c r="E2458" s="35" t="str">
        <x:v>Condition</x:v>
      </x:c>
      <x:c r="F2458" s="35" t="n">
        <x:v>12</x:v>
      </x:c>
      <x:c r="G2458" s="35" t="str">
        <x:v>RECORDED</x:v>
      </x:c>
      <x:c r="H2458" s="39" t="n">
        <x:f>IF(ISNUMBER('Data'!N750),'Data'!N750*100,"")</x:f>
        <x:v>100</x:v>
      </x:c>
      <x:c r="I2458" s="35" t="str">
        <x:v>PASS</x:v>
      </x:c>
      <x:c r="J2458" s="35" t="str">
        <x:v>PASS</x:v>
      </x:c>
      <x:c r="K2458" s="35" t="str">
        <x:v>PASS</x:v>
      </x:c>
      <x:c r="L2458" s="35" t="str">
        <x:v>PASS</x:v>
      </x:c>
      <x:c r="M2458" s="35" t="str">
        <x:v>numeric coverage for applicable metric</x:v>
      </x:c>
      <x:c r="N2458" s="35" t="str">
        <x:v>Deepseek-flash-v4/Result/Math_61/result.json</x:v>
      </x:c>
      <x:c r="O2458" s="39" t="n">
        <x:f>IF(AND(G2458="RECORDED",ISNUMBER(H2458)),H2458,"")</x:f>
        <x:v>100</x:v>
      </x:c>
      <x:c r="P2458" s="35" t="str">
        <x:v>NOT_REVEALING</x:v>
      </x:c>
      <x:c r="Q2458" s="35" t="str">
        <x:v>Deepseek-flash-v4/Result/Math_61/result.json</x:v>
      </x:c>
    </x:row>
    <x:row r="2459">
      <x:c r="A2459" s="35" t="str">
        <x:v>deepseek</x:v>
      </x:c>
      <x:c r="B2459" s="35" t="str">
        <x:v>Math</x:v>
      </x:c>
      <x:c r="C2459" s="35" t="str">
        <x:v>Round1</x:v>
      </x:c>
      <x:c r="D2459" s="35" t="str">
        <x:v>Math_62</x:v>
      </x:c>
      <x:c r="E2459" s="35" t="str">
        <x:v>Condition</x:v>
      </x:c>
      <x:c r="F2459" s="35"/>
      <x:c r="G2459" s="35" t="str">
        <x:v>A</x:v>
      </x:c>
      <x:c r="H2459" s="39" t="str">
        <x:f>IF(ISNUMBER('Data'!N751),'Data'!N751*100,"")</x:f>
      </x:c>
      <x:c r="I2459" s="35"/>
      <x:c r="J2459" s="35" t="str">
        <x:v>PASS</x:v>
      </x:c>
      <x:c r="K2459" s="35" t="str">
        <x:v>FAIL</x:v>
      </x:c>
      <x:c r="L2459" s="35" t="str">
        <x:v>NOT_RUN</x:v>
      </x:c>
      <x:c r="M2459" s="35" t="str">
        <x:v>coverage unavailable or execution/compile failed</x:v>
      </x:c>
      <x:c r="N2459" s="35" t="str">
        <x:v>Deepseek-flash-v4/Result/Math_62/result.json</x:v>
      </x:c>
      <x:c r="O2459" s="39" t="str">
        <x:f>IF(AND(G2459="RECORDED",ISNUMBER(H2459)),H2459,"")</x:f>
      </x:c>
      <x:c r="P2459" s="35" t="str">
        <x:v>NOT_AVAILABLE</x:v>
      </x:c>
      <x:c r="Q2459" s="35" t="str">
        <x:v>Deepseek-flash-v4/Result/Math_62/result.json</x:v>
      </x:c>
    </x:row>
    <x:row r="2460">
      <x:c r="A2460" s="35" t="str">
        <x:v>deepseek</x:v>
      </x:c>
      <x:c r="B2460" s="35" t="str">
        <x:v>Math</x:v>
      </x:c>
      <x:c r="C2460" s="35" t="str">
        <x:v>Round1</x:v>
      </x:c>
      <x:c r="D2460" s="35" t="str">
        <x:v>Math_63</x:v>
      </x:c>
      <x:c r="E2460" s="35" t="str">
        <x:v>Condition</x:v>
      </x:c>
      <x:c r="F2460" s="35" t="n">
        <x:v>441</x:v>
      </x:c>
      <x:c r="G2460" s="35" t="str">
        <x:v>RECORDED</x:v>
      </x:c>
      <x:c r="H2460" s="39" t="n">
        <x:f>IF(ISNUMBER('Data'!N752),'Data'!N752*100,"")</x:f>
        <x:v>57.60000000000001</x:v>
      </x:c>
      <x:c r="I2460" s="35" t="str">
        <x:v>PASS</x:v>
      </x:c>
      <x:c r="J2460" s="35" t="str">
        <x:v>PASS</x:v>
      </x:c>
      <x:c r="K2460" s="35" t="str">
        <x:v>PASS</x:v>
      </x:c>
      <x:c r="L2460" s="35" t="str">
        <x:v>FAIL</x:v>
      </x:c>
      <x:c r="M2460" s="35" t="str">
        <x:v>numeric coverage for applicable metric</x:v>
      </x:c>
      <x:c r="N2460" s="35" t="str">
        <x:v>Deepseek-flash-v4/Result/Math_63/result.json</x:v>
      </x:c>
      <x:c r="O2460" s="39" t="n">
        <x:f>IF(AND(G2460="RECORDED",ISNUMBER(H2460)),H2460,"")</x:f>
        <x:v>57.60000000000001</x:v>
      </x:c>
      <x:c r="P2460" s="35" t="str">
        <x:v>INCONCLUSIVE</x:v>
      </x:c>
      <x:c r="Q2460" s="35" t="str">
        <x:v>Deepseek-flash-v4/Result/Math_63/result.json</x:v>
      </x:c>
    </x:row>
    <x:row r="2461">
      <x:c r="A2461" s="35" t="str">
        <x:v>deepseek</x:v>
      </x:c>
      <x:c r="B2461" s="35" t="str">
        <x:v>Math</x:v>
      </x:c>
      <x:c r="C2461" s="35" t="str">
        <x:v>Round1</x:v>
      </x:c>
      <x:c r="D2461" s="35" t="str">
        <x:v>Math_64</x:v>
      </x:c>
      <x:c r="E2461" s="35" t="str">
        <x:v>Condition</x:v>
      </x:c>
      <x:c r="F2461" s="35"/>
      <x:c r="G2461" s="35" t="str">
        <x:v>A</x:v>
      </x:c>
      <x:c r="H2461" s="39" t="str">
        <x:f>IF(ISNUMBER('Data'!N753),'Data'!N753*100,"")</x:f>
      </x:c>
      <x:c r="I2461" s="35"/>
      <x:c r="J2461" s="35" t="str">
        <x:v>PASS</x:v>
      </x:c>
      <x:c r="K2461" s="35" t="str">
        <x:v>FAIL</x:v>
      </x:c>
      <x:c r="L2461" s="35" t="str">
        <x:v>NOT_RUN</x:v>
      </x:c>
      <x:c r="M2461" s="35" t="str">
        <x:v>coverage unavailable or execution/compile failed</x:v>
      </x:c>
      <x:c r="N2461" s="35" t="str">
        <x:v>Deepseek-flash-v4/Result/Math_64/result.json</x:v>
      </x:c>
      <x:c r="O2461" s="39" t="str">
        <x:f>IF(AND(G2461="RECORDED",ISNUMBER(H2461)),H2461,"")</x:f>
      </x:c>
      <x:c r="P2461" s="35" t="str">
        <x:v>NOT_AVAILABLE</x:v>
      </x:c>
      <x:c r="Q2461" s="35" t="str">
        <x:v>Deepseek-flash-v4/Result/Math_64/result.json</x:v>
      </x:c>
    </x:row>
    <x:row r="2462">
      <x:c r="A2462" s="35" t="str">
        <x:v>deepseek</x:v>
      </x:c>
      <x:c r="B2462" s="35" t="str">
        <x:v>Math</x:v>
      </x:c>
      <x:c r="C2462" s="35" t="str">
        <x:v>Round1</x:v>
      </x:c>
      <x:c r="D2462" s="35" t="str">
        <x:v>Math_65</x:v>
      </x:c>
      <x:c r="E2462" s="35" t="str">
        <x:v>Condition</x:v>
      </x:c>
      <x:c r="F2462" s="35"/>
      <x:c r="G2462" s="35" t="str">
        <x:v>A</x:v>
      </x:c>
      <x:c r="H2462" s="39" t="str">
        <x:f>IF(ISNUMBER('Data'!N754),'Data'!N754*100,"")</x:f>
      </x:c>
      <x:c r="I2462" s="35"/>
      <x:c r="J2462" s="35" t="str">
        <x:v>PASS</x:v>
      </x:c>
      <x:c r="K2462" s="35" t="str">
        <x:v>FAIL</x:v>
      </x:c>
      <x:c r="L2462" s="35" t="str">
        <x:v>NOT_RUN</x:v>
      </x:c>
      <x:c r="M2462" s="35" t="str">
        <x:v>coverage unavailable or execution/compile failed</x:v>
      </x:c>
      <x:c r="N2462" s="35" t="str">
        <x:v>Deepseek-flash-v4/Result/Math_65/result.json</x:v>
      </x:c>
      <x:c r="O2462" s="39" t="str">
        <x:f>IF(AND(G2462="RECORDED",ISNUMBER(H2462)),H2462,"")</x:f>
      </x:c>
      <x:c r="P2462" s="35" t="str">
        <x:v>NOT_AVAILABLE</x:v>
      </x:c>
      <x:c r="Q2462" s="35" t="str">
        <x:v>Deepseek-flash-v4/Result/Math_65/result.json</x:v>
      </x:c>
    </x:row>
    <x:row r="2463">
      <x:c r="A2463" s="35" t="str">
        <x:v>deepseek</x:v>
      </x:c>
      <x:c r="B2463" s="35" t="str">
        <x:v>Math</x:v>
      </x:c>
      <x:c r="C2463" s="35" t="str">
        <x:v>Round1</x:v>
      </x:c>
      <x:c r="D2463" s="35" t="str">
        <x:v>Math_66</x:v>
      </x:c>
      <x:c r="E2463" s="35" t="str">
        <x:v>Condition</x:v>
      </x:c>
      <x:c r="F2463" s="35" t="n">
        <x:v>58</x:v>
      </x:c>
      <x:c r="G2463" s="35" t="str">
        <x:v>RECORDED</x:v>
      </x:c>
      <x:c r="H2463" s="39" t="n">
        <x:f>IF(ISNUMBER('Data'!N755),'Data'!N755*100,"")</x:f>
        <x:v>94.83</x:v>
      </x:c>
      <x:c r="I2463" s="35" t="str">
        <x:v>PASS</x:v>
      </x:c>
      <x:c r="J2463" s="35" t="str">
        <x:v>PASS</x:v>
      </x:c>
      <x:c r="K2463" s="35" t="str">
        <x:v>PASS</x:v>
      </x:c>
      <x:c r="L2463" s="35" t="str">
        <x:v>PASS</x:v>
      </x:c>
      <x:c r="M2463" s="35" t="str">
        <x:v>numeric coverage for applicable metric</x:v>
      </x:c>
      <x:c r="N2463" s="35" t="str">
        <x:v>Deepseek-flash-v4/Result/Math_66/result.json</x:v>
      </x:c>
      <x:c r="O2463" s="39" t="n">
        <x:f>IF(AND(G2463="RECORDED",ISNUMBER(H2463)),H2463,"")</x:f>
        <x:v>94.83</x:v>
      </x:c>
      <x:c r="P2463" s="35" t="str">
        <x:v>INCONCLUSIVE</x:v>
      </x:c>
      <x:c r="Q2463" s="35" t="str">
        <x:v>Deepseek-flash-v4/Result/Math_66/result.json</x:v>
      </x:c>
    </x:row>
    <x:row r="2464">
      <x:c r="A2464" s="35" t="str">
        <x:v>deepseek</x:v>
      </x:c>
      <x:c r="B2464" s="35" t="str">
        <x:v>Math</x:v>
      </x:c>
      <x:c r="C2464" s="35" t="str">
        <x:v>Round1</x:v>
      </x:c>
      <x:c r="D2464" s="35" t="str">
        <x:v>Math_67</x:v>
      </x:c>
      <x:c r="E2464" s="35" t="str">
        <x:v>Condition</x:v>
      </x:c>
      <x:c r="F2464" s="35" t="n">
        <x:v>34</x:v>
      </x:c>
      <x:c r="G2464" s="35" t="str">
        <x:v>RECORDED</x:v>
      </x:c>
      <x:c r="H2464" s="39" t="n">
        <x:f>IF(ISNUMBER('Data'!N756),'Data'!N756*100,"")</x:f>
        <x:v>85.29</x:v>
      </x:c>
      <x:c r="I2464" s="35" t="str">
        <x:v>PASS</x:v>
      </x:c>
      <x:c r="J2464" s="35" t="str">
        <x:v>PASS</x:v>
      </x:c>
      <x:c r="K2464" s="35" t="str">
        <x:v>PASS</x:v>
      </x:c>
      <x:c r="L2464" s="35" t="str">
        <x:v>FAIL</x:v>
      </x:c>
      <x:c r="M2464" s="35" t="str">
        <x:v>numeric coverage for applicable metric</x:v>
      </x:c>
      <x:c r="N2464" s="35" t="str">
        <x:v>Deepseek-flash-v4/Result/Math_67/result.json</x:v>
      </x:c>
      <x:c r="O2464" s="39" t="n">
        <x:f>IF(AND(G2464="RECORDED",ISNUMBER(H2464)),H2464,"")</x:f>
        <x:v>85.29</x:v>
      </x:c>
      <x:c r="P2464" s="35" t="str">
        <x:v>INCONCLUSIVE</x:v>
      </x:c>
      <x:c r="Q2464" s="35" t="str">
        <x:v>Deepseek-flash-v4/Result/Math_67/result.json</x:v>
      </x:c>
    </x:row>
    <x:row r="2465">
      <x:c r="A2465" s="35" t="str">
        <x:v>deepseek</x:v>
      </x:c>
      <x:c r="B2465" s="35" t="str">
        <x:v>Math</x:v>
      </x:c>
      <x:c r="C2465" s="35" t="str">
        <x:v>Round1</x:v>
      </x:c>
      <x:c r="D2465" s="35" t="str">
        <x:v>Math_68</x:v>
      </x:c>
      <x:c r="E2465" s="35" t="str">
        <x:v>Condition</x:v>
      </x:c>
      <x:c r="F2465" s="35"/>
      <x:c r="G2465" s="35" t="str">
        <x:v>A</x:v>
      </x:c>
      <x:c r="H2465" s="39" t="str">
        <x:f>IF(ISNUMBER('Data'!N757),'Data'!N757*100,"")</x:f>
      </x:c>
      <x:c r="I2465" s="35"/>
      <x:c r="J2465" s="35" t="str">
        <x:v>PASS</x:v>
      </x:c>
      <x:c r="K2465" s="35" t="str">
        <x:v>FAIL</x:v>
      </x:c>
      <x:c r="L2465" s="35" t="str">
        <x:v>NOT_RUN</x:v>
      </x:c>
      <x:c r="M2465" s="35" t="str">
        <x:v>coverage unavailable or execution/compile failed</x:v>
      </x:c>
      <x:c r="N2465" s="35" t="str">
        <x:v>Deepseek-flash-v4/Result/Math_68/result.json</x:v>
      </x:c>
      <x:c r="O2465" s="39" t="str">
        <x:f>IF(AND(G2465="RECORDED",ISNUMBER(H2465)),H2465,"")</x:f>
      </x:c>
      <x:c r="P2465" s="35" t="str">
        <x:v>NOT_AVAILABLE</x:v>
      </x:c>
      <x:c r="Q2465" s="35" t="str">
        <x:v>Deepseek-flash-v4/Result/Math_68/result.json</x:v>
      </x:c>
    </x:row>
    <x:row r="2466">
      <x:c r="A2466" s="35" t="str">
        <x:v>deepseek</x:v>
      </x:c>
      <x:c r="B2466" s="35" t="str">
        <x:v>Math</x:v>
      </x:c>
      <x:c r="C2466" s="35" t="str">
        <x:v>Round1</x:v>
      </x:c>
      <x:c r="D2466" s="35" t="str">
        <x:v>Math_69</x:v>
      </x:c>
      <x:c r="E2466" s="35" t="str">
        <x:v>Condition</x:v>
      </x:c>
      <x:c r="F2466" s="35" t="n">
        <x:v>30</x:v>
      </x:c>
      <x:c r="G2466" s="35" t="str">
        <x:v>RECORDED</x:v>
      </x:c>
      <x:c r="H2466" s="39" t="n">
        <x:f>IF(ISNUMBER('Data'!N758),'Data'!N758*100,"")</x:f>
        <x:v>96.67</x:v>
      </x:c>
      <x:c r="I2466" s="35" t="str">
        <x:v>PASS</x:v>
      </x:c>
      <x:c r="J2466" s="35" t="str">
        <x:v>PASS</x:v>
      </x:c>
      <x:c r="K2466" s="35" t="str">
        <x:v>PASS</x:v>
      </x:c>
      <x:c r="L2466" s="35" t="str">
        <x:v>PASS</x:v>
      </x:c>
      <x:c r="M2466" s="35" t="str">
        <x:v>numeric coverage for applicable metric</x:v>
      </x:c>
      <x:c r="N2466" s="35" t="str">
        <x:v>Deepseek-flash-v4/Result/Math_69/result.json</x:v>
      </x:c>
      <x:c r="O2466" s="39" t="n">
        <x:f>IF(AND(G2466="RECORDED",ISNUMBER(H2466)),H2466,"")</x:f>
        <x:v>96.67</x:v>
      </x:c>
      <x:c r="P2466" s="35" t="str">
        <x:v>NOT_REVEALING</x:v>
      </x:c>
      <x:c r="Q2466" s="35" t="str">
        <x:v>Deepseek-flash-v4/Result/Math_69/result.json</x:v>
      </x:c>
    </x:row>
    <x:row r="2467">
      <x:c r="A2467" s="35" t="str">
        <x:v>deepseek</x:v>
      </x:c>
      <x:c r="B2467" s="35" t="str">
        <x:v>Math</x:v>
      </x:c>
      <x:c r="C2467" s="35" t="str">
        <x:v>Round1</x:v>
      </x:c>
      <x:c r="D2467" s="35" t="str">
        <x:v>Math_7</x:v>
      </x:c>
      <x:c r="E2467" s="35" t="str">
        <x:v>Condition</x:v>
      </x:c>
      <x:c r="F2467" s="35"/>
      <x:c r="G2467" s="35" t="str">
        <x:v>A</x:v>
      </x:c>
      <x:c r="H2467" s="39" t="str">
        <x:f>IF(ISNUMBER('Data'!N759),'Data'!N759*100,"")</x:f>
      </x:c>
      <x:c r="I2467" s="35"/>
      <x:c r="J2467" s="35" t="str">
        <x:v>PASS</x:v>
      </x:c>
      <x:c r="K2467" s="35" t="str">
        <x:v>FAIL</x:v>
      </x:c>
      <x:c r="L2467" s="35" t="str">
        <x:v>NOT_RUN</x:v>
      </x:c>
      <x:c r="M2467" s="35" t="str">
        <x:v>coverage unavailable or execution/compile failed</x:v>
      </x:c>
      <x:c r="N2467" s="35" t="str">
        <x:v>Deepseek-flash-v4/Result/Math_7/result.json</x:v>
      </x:c>
      <x:c r="O2467" s="39" t="str">
        <x:f>IF(AND(G2467="RECORDED",ISNUMBER(H2467)),H2467,"")</x:f>
      </x:c>
      <x:c r="P2467" s="35" t="str">
        <x:v>NOT_AVAILABLE</x:v>
      </x:c>
      <x:c r="Q2467" s="35" t="str">
        <x:v>Deepseek-flash-v4/Result/Math_7/result.json</x:v>
      </x:c>
    </x:row>
    <x:row r="2468">
      <x:c r="A2468" s="35" t="str">
        <x:v>deepseek</x:v>
      </x:c>
      <x:c r="B2468" s="35" t="str">
        <x:v>Math</x:v>
      </x:c>
      <x:c r="C2468" s="35" t="str">
        <x:v>Round1</x:v>
      </x:c>
      <x:c r="D2468" s="35" t="str">
        <x:v>Math_70</x:v>
      </x:c>
      <x:c r="E2468" s="35" t="str">
        <x:v>Condition</x:v>
      </x:c>
      <x:c r="F2468" s="35" t="n">
        <x:v>6</x:v>
      </x:c>
      <x:c r="G2468" s="35" t="str">
        <x:v>RECORDED</x:v>
      </x:c>
      <x:c r="H2468" s="39" t="n">
        <x:f>IF(ISNUMBER('Data'!N760),'Data'!N760*100,"")</x:f>
        <x:v>100</x:v>
      </x:c>
      <x:c r="I2468" s="35" t="str">
        <x:v>PASS</x:v>
      </x:c>
      <x:c r="J2468" s="35" t="str">
        <x:v>PASS</x:v>
      </x:c>
      <x:c r="K2468" s="35" t="str">
        <x:v>PASS</x:v>
      </x:c>
      <x:c r="L2468" s="35" t="str">
        <x:v>FAIL</x:v>
      </x:c>
      <x:c r="M2468" s="35" t="str">
        <x:v>numeric coverage for applicable metric</x:v>
      </x:c>
      <x:c r="N2468" s="35" t="str">
        <x:v>Deepseek-flash-v4/Result/Math_70/result.json</x:v>
      </x:c>
      <x:c r="O2468" s="39" t="n">
        <x:f>IF(AND(G2468="RECORDED",ISNUMBER(H2468)),H2468,"")</x:f>
        <x:v>100</x:v>
      </x:c>
      <x:c r="P2468" s="35" t="str">
        <x:v>INCONCLUSIVE</x:v>
      </x:c>
      <x:c r="Q2468" s="35" t="str">
        <x:v>Deepseek-flash-v4/Result/Math_70/result.json</x:v>
      </x:c>
    </x:row>
    <x:row r="2469">
      <x:c r="A2469" s="35" t="str">
        <x:v>deepseek</x:v>
      </x:c>
      <x:c r="B2469" s="35" t="str">
        <x:v>Math</x:v>
      </x:c>
      <x:c r="C2469" s="35" t="str">
        <x:v>Round1</x:v>
      </x:c>
      <x:c r="D2469" s="35" t="str">
        <x:v>Math_71</x:v>
      </x:c>
      <x:c r="E2469" s="35" t="str">
        <x:v>Condition</x:v>
      </x:c>
      <x:c r="F2469" s="35"/>
      <x:c r="G2469" s="35" t="str">
        <x:v>A</x:v>
      </x:c>
      <x:c r="H2469" s="39" t="str">
        <x:f>IF(ISNUMBER('Data'!N761),'Data'!N761*100,"")</x:f>
      </x:c>
      <x:c r="I2469" s="35"/>
      <x:c r="J2469" s="35" t="str">
        <x:v>PASS</x:v>
      </x:c>
      <x:c r="K2469" s="35" t="str">
        <x:v>FAIL</x:v>
      </x:c>
      <x:c r="L2469" s="35" t="str">
        <x:v>NOT_RUN</x:v>
      </x:c>
      <x:c r="M2469" s="35" t="str">
        <x:v>coverage unavailable or execution/compile failed</x:v>
      </x:c>
      <x:c r="N2469" s="35" t="str">
        <x:v>Deepseek-flash-v4/Result/Math_71/result.json</x:v>
      </x:c>
      <x:c r="O2469" s="39" t="str">
        <x:f>IF(AND(G2469="RECORDED",ISNUMBER(H2469)),H2469,"")</x:f>
      </x:c>
      <x:c r="P2469" s="35" t="str">
        <x:v>NOT_AVAILABLE</x:v>
      </x:c>
      <x:c r="Q2469" s="35" t="str">
        <x:v>Deepseek-flash-v4/Result/Math_71/result.json</x:v>
      </x:c>
    </x:row>
    <x:row r="2470">
      <x:c r="A2470" s="35" t="str">
        <x:v>deepseek</x:v>
      </x:c>
      <x:c r="B2470" s="35" t="str">
        <x:v>Math</x:v>
      </x:c>
      <x:c r="C2470" s="35" t="str">
        <x:v>Round1</x:v>
      </x:c>
      <x:c r="D2470" s="35" t="str">
        <x:v>Math_72</x:v>
      </x:c>
      <x:c r="E2470" s="35" t="str">
        <x:v>Condition</x:v>
      </x:c>
      <x:c r="F2470" s="35" t="n">
        <x:v>54</x:v>
      </x:c>
      <x:c r="G2470" s="35" t="str">
        <x:v>RECORDED</x:v>
      </x:c>
      <x:c r="H2470" s="39" t="n">
        <x:f>IF(ISNUMBER('Data'!N762),'Data'!N762*100,"")</x:f>
        <x:v>81.48</x:v>
      </x:c>
      <x:c r="I2470" s="35" t="str">
        <x:v>PASS</x:v>
      </x:c>
      <x:c r="J2470" s="35" t="str">
        <x:v>PASS</x:v>
      </x:c>
      <x:c r="K2470" s="35" t="str">
        <x:v>PASS</x:v>
      </x:c>
      <x:c r="L2470" s="35" t="str">
        <x:v>FAIL</x:v>
      </x:c>
      <x:c r="M2470" s="35" t="str">
        <x:v>numeric coverage for applicable metric</x:v>
      </x:c>
      <x:c r="N2470" s="35" t="str">
        <x:v>Deepseek-flash-v4/Result/Math_72/result.json</x:v>
      </x:c>
      <x:c r="O2470" s="39" t="n">
        <x:f>IF(AND(G2470="RECORDED",ISNUMBER(H2470)),H2470,"")</x:f>
        <x:v>81.48</x:v>
      </x:c>
      <x:c r="P2470" s="35" t="str">
        <x:v>INCONCLUSIVE</x:v>
      </x:c>
      <x:c r="Q2470" s="35" t="str">
        <x:v>Deepseek-flash-v4/Result/Math_72/result.json</x:v>
      </x:c>
    </x:row>
    <x:row r="2471">
      <x:c r="A2471" s="35" t="str">
        <x:v>deepseek</x:v>
      </x:c>
      <x:c r="B2471" s="35" t="str">
        <x:v>Math</x:v>
      </x:c>
      <x:c r="C2471" s="35" t="str">
        <x:v>Round1</x:v>
      </x:c>
      <x:c r="D2471" s="35" t="str">
        <x:v>Math_73</x:v>
      </x:c>
      <x:c r="E2471" s="35" t="str">
        <x:v>Condition</x:v>
      </x:c>
      <x:c r="F2471" s="35" t="n">
        <x:v>52</x:v>
      </x:c>
      <x:c r="G2471" s="35" t="str">
        <x:v>RECORDED</x:v>
      </x:c>
      <x:c r="H2471" s="39" t="n">
        <x:f>IF(ISNUMBER('Data'!N763),'Data'!N763*100,"")</x:f>
        <x:v>80.77</x:v>
      </x:c>
      <x:c r="I2471" s="35" t="str">
        <x:v>PASS</x:v>
      </x:c>
      <x:c r="J2471" s="35" t="str">
        <x:v>PASS</x:v>
      </x:c>
      <x:c r="K2471" s="35" t="str">
        <x:v>PASS</x:v>
      </x:c>
      <x:c r="L2471" s="35" t="str">
        <x:v>PASS</x:v>
      </x:c>
      <x:c r="M2471" s="35" t="str">
        <x:v>numeric coverage for applicable metric</x:v>
      </x:c>
      <x:c r="N2471" s="35" t="str">
        <x:v>Deepseek-flash-v4/Result/Math_73/result.json</x:v>
      </x:c>
      <x:c r="O2471" s="39" t="n">
        <x:f>IF(AND(G2471="RECORDED",ISNUMBER(H2471)),H2471,"")</x:f>
        <x:v>80.77</x:v>
      </x:c>
      <x:c r="P2471" s="35" t="str">
        <x:v>NOT_REVEALING</x:v>
      </x:c>
      <x:c r="Q2471" s="35" t="str">
        <x:v>Deepseek-flash-v4/Result/Math_73/result.json</x:v>
      </x:c>
    </x:row>
    <x:row r="2472">
      <x:c r="A2472" s="35" t="str">
        <x:v>deepseek</x:v>
      </x:c>
      <x:c r="B2472" s="35" t="str">
        <x:v>Math</x:v>
      </x:c>
      <x:c r="C2472" s="35" t="str">
        <x:v>Round1</x:v>
      </x:c>
      <x:c r="D2472" s="35" t="str">
        <x:v>Math_74</x:v>
      </x:c>
      <x:c r="E2472" s="35" t="str">
        <x:v>Condition</x:v>
      </x:c>
      <x:c r="F2472" s="35"/>
      <x:c r="G2472" s="35" t="str">
        <x:v>A</x:v>
      </x:c>
      <x:c r="H2472" s="39" t="str">
        <x:f>IF(ISNUMBER('Data'!N764),'Data'!N764*100,"")</x:f>
      </x:c>
      <x:c r="I2472" s="35"/>
      <x:c r="J2472" s="35" t="str">
        <x:v>PASS</x:v>
      </x:c>
      <x:c r="K2472" s="35" t="str">
        <x:v>FAIL</x:v>
      </x:c>
      <x:c r="L2472" s="35" t="str">
        <x:v>NOT_RUN</x:v>
      </x:c>
      <x:c r="M2472" s="35" t="str">
        <x:v>coverage unavailable or execution/compile failed</x:v>
      </x:c>
      <x:c r="N2472" s="35" t="str">
        <x:v>Deepseek-flash-v4/Result/Math_74/result.json</x:v>
      </x:c>
      <x:c r="O2472" s="39" t="str">
        <x:f>IF(AND(G2472="RECORDED",ISNUMBER(H2472)),H2472,"")</x:f>
      </x:c>
      <x:c r="P2472" s="35" t="str">
        <x:v>NOT_AVAILABLE</x:v>
      </x:c>
      <x:c r="Q2472" s="35" t="str">
        <x:v>Deepseek-flash-v4/Result/Math_74/result.json</x:v>
      </x:c>
    </x:row>
    <x:row r="2473">
      <x:c r="A2473" s="35" t="str">
        <x:v>deepseek</x:v>
      </x:c>
      <x:c r="B2473" s="35" t="str">
        <x:v>Math</x:v>
      </x:c>
      <x:c r="C2473" s="35" t="str">
        <x:v>Round1</x:v>
      </x:c>
      <x:c r="D2473" s="35" t="str">
        <x:v>Math_75</x:v>
      </x:c>
      <x:c r="E2473" s="35" t="str">
        <x:v>Condition</x:v>
      </x:c>
      <x:c r="F2473" s="35" t="n">
        <x:v>48</x:v>
      </x:c>
      <x:c r="G2473" s="35" t="str">
        <x:v>RECORDED</x:v>
      </x:c>
      <x:c r="H2473" s="39" t="n">
        <x:f>IF(ISNUMBER('Data'!N765),'Data'!N765*100,"")</x:f>
        <x:v>77.08</x:v>
      </x:c>
      <x:c r="I2473" s="35" t="str">
        <x:v>PASS</x:v>
      </x:c>
      <x:c r="J2473" s="35" t="str">
        <x:v>PASS</x:v>
      </x:c>
      <x:c r="K2473" s="35" t="str">
        <x:v>PASS</x:v>
      </x:c>
      <x:c r="L2473" s="35" t="str">
        <x:v>FAIL</x:v>
      </x:c>
      <x:c r="M2473" s="35" t="str">
        <x:v>numeric coverage for applicable metric</x:v>
      </x:c>
      <x:c r="N2473" s="35" t="str">
        <x:v>Deepseek-flash-v4/Result/Math_75/result.json</x:v>
      </x:c>
      <x:c r="O2473" s="39" t="n">
        <x:f>IF(AND(G2473="RECORDED",ISNUMBER(H2473)),H2473,"")</x:f>
        <x:v>77.08</x:v>
      </x:c>
      <x:c r="P2473" s="35" t="str">
        <x:v>INCONCLUSIVE</x:v>
      </x:c>
      <x:c r="Q2473" s="35" t="str">
        <x:v>Deepseek-flash-v4/Result/Math_75/result.json</x:v>
      </x:c>
    </x:row>
    <x:row r="2474">
      <x:c r="A2474" s="35" t="str">
        <x:v>deepseek</x:v>
      </x:c>
      <x:c r="B2474" s="35" t="str">
        <x:v>Math</x:v>
      </x:c>
      <x:c r="C2474" s="35" t="str">
        <x:v>Round1</x:v>
      </x:c>
      <x:c r="D2474" s="35" t="str">
        <x:v>Math_76</x:v>
      </x:c>
      <x:c r="E2474" s="35" t="str">
        <x:v>Condition</x:v>
      </x:c>
      <x:c r="F2474" s="35" t="n">
        <x:v>54</x:v>
      </x:c>
      <x:c r="G2474" s="35" t="str">
        <x:v>RECORDED</x:v>
      </x:c>
      <x:c r="H2474" s="39" t="n">
        <x:f>IF(ISNUMBER('Data'!N766),'Data'!N766*100,"")</x:f>
        <x:v>66.67</x:v>
      </x:c>
      <x:c r="I2474" s="35" t="str">
        <x:v>PASS</x:v>
      </x:c>
      <x:c r="J2474" s="35" t="str">
        <x:v>PASS</x:v>
      </x:c>
      <x:c r="K2474" s="35" t="str">
        <x:v>PASS</x:v>
      </x:c>
      <x:c r="L2474" s="35" t="str">
        <x:v>FAIL</x:v>
      </x:c>
      <x:c r="M2474" s="35" t="str">
        <x:v>numeric coverage for applicable metric</x:v>
      </x:c>
      <x:c r="N2474" s="35" t="str">
        <x:v>Deepseek-flash-v4/Result/Math_76/result.json</x:v>
      </x:c>
      <x:c r="O2474" s="39" t="n">
        <x:f>IF(AND(G2474="RECORDED",ISNUMBER(H2474)),H2474,"")</x:f>
        <x:v>66.67</x:v>
      </x:c>
      <x:c r="P2474" s="35" t="str">
        <x:v>INCONCLUSIVE</x:v>
      </x:c>
      <x:c r="Q2474" s="35" t="str">
        <x:v>Deepseek-flash-v4/Result/Math_76/result.json</x:v>
      </x:c>
    </x:row>
    <x:row r="2475">
      <x:c r="A2475" s="35" t="str">
        <x:v>deepseek</x:v>
      </x:c>
      <x:c r="B2475" s="35" t="str">
        <x:v>Math</x:v>
      </x:c>
      <x:c r="C2475" s="35" t="str">
        <x:v>Round1</x:v>
      </x:c>
      <x:c r="D2475" s="35" t="str">
        <x:v>Math_77</x:v>
      </x:c>
      <x:c r="E2475" s="35" t="str">
        <x:v>Condition</x:v>
      </x:c>
      <x:c r="F2475" s="35"/>
      <x:c r="G2475" s="35" t="str">
        <x:v>A</x:v>
      </x:c>
      <x:c r="H2475" s="39" t="str">
        <x:f>IF(ISNUMBER('Data'!N767),'Data'!N767*100,"")</x:f>
      </x:c>
      <x:c r="I2475" s="35"/>
      <x:c r="J2475" s="35" t="str">
        <x:v>PASS</x:v>
      </x:c>
      <x:c r="K2475" s="35" t="str">
        <x:v>FAIL</x:v>
      </x:c>
      <x:c r="L2475" s="35" t="str">
        <x:v>NOT_RUN</x:v>
      </x:c>
      <x:c r="M2475" s="35" t="str">
        <x:v>coverage unavailable or execution/compile failed</x:v>
      </x:c>
      <x:c r="N2475" s="35" t="str">
        <x:v>Deepseek-flash-v4/Result/Math_77/result.json</x:v>
      </x:c>
      <x:c r="O2475" s="39" t="str">
        <x:f>IF(AND(G2475="RECORDED",ISNUMBER(H2475)),H2475,"")</x:f>
      </x:c>
      <x:c r="P2475" s="35" t="str">
        <x:v>NOT_AVAILABLE</x:v>
      </x:c>
      <x:c r="Q2475" s="35" t="str">
        <x:v>Deepseek-flash-v4/Result/Math_77/result.json</x:v>
      </x:c>
    </x:row>
    <x:row r="2476">
      <x:c r="A2476" s="35" t="str">
        <x:v>deepseek</x:v>
      </x:c>
      <x:c r="B2476" s="35" t="str">
        <x:v>Math</x:v>
      </x:c>
      <x:c r="C2476" s="35" t="str">
        <x:v>Round1</x:v>
      </x:c>
      <x:c r="D2476" s="35" t="str">
        <x:v>Math_78</x:v>
      </x:c>
      <x:c r="E2476" s="35" t="str">
        <x:v>Condition</x:v>
      </x:c>
      <x:c r="F2476" s="35"/>
      <x:c r="G2476" s="35" t="str">
        <x:v>A</x:v>
      </x:c>
      <x:c r="H2476" s="39" t="str">
        <x:f>IF(ISNUMBER('Data'!N768),'Data'!N768*100,"")</x:f>
      </x:c>
      <x:c r="I2476" s="35"/>
      <x:c r="J2476" s="35" t="str">
        <x:v>PASS</x:v>
      </x:c>
      <x:c r="K2476" s="35" t="str">
        <x:v>FAIL</x:v>
      </x:c>
      <x:c r="L2476" s="35" t="str">
        <x:v>NOT_RUN</x:v>
      </x:c>
      <x:c r="M2476" s="35" t="str">
        <x:v>coverage unavailable or execution/compile failed</x:v>
      </x:c>
      <x:c r="N2476" s="35" t="str">
        <x:v>Deepseek-flash-v4/Result/Math_78/result.json</x:v>
      </x:c>
      <x:c r="O2476" s="39" t="str">
        <x:f>IF(AND(G2476="RECORDED",ISNUMBER(H2476)),H2476,"")</x:f>
      </x:c>
      <x:c r="P2476" s="35" t="str">
        <x:v>NOT_AVAILABLE</x:v>
      </x:c>
      <x:c r="Q2476" s="35" t="str">
        <x:v>Deepseek-flash-v4/Result/Math_78/result.json</x:v>
      </x:c>
    </x:row>
    <x:row r="2477">
      <x:c r="A2477" s="35" t="str">
        <x:v>deepseek</x:v>
      </x:c>
      <x:c r="B2477" s="35" t="str">
        <x:v>Math</x:v>
      </x:c>
      <x:c r="C2477" s="35" t="str">
        <x:v>Round1</x:v>
      </x:c>
      <x:c r="D2477" s="35" t="str">
        <x:v>Math_79</x:v>
      </x:c>
      <x:c r="E2477" s="35" t="str">
        <x:v>Condition</x:v>
      </x:c>
      <x:c r="F2477" s="35" t="n">
        <x:v>345</x:v>
      </x:c>
      <x:c r="G2477" s="35" t="str">
        <x:v>RECORDED</x:v>
      </x:c>
      <x:c r="H2477" s="39" t="n">
        <x:f>IF(ISNUMBER('Data'!N769),'Data'!N769*100,"")</x:f>
        <x:v>62.61</x:v>
      </x:c>
      <x:c r="I2477" s="35" t="str">
        <x:v>PASS</x:v>
      </x:c>
      <x:c r="J2477" s="35" t="str">
        <x:v>PASS</x:v>
      </x:c>
      <x:c r="K2477" s="35" t="str">
        <x:v>PASS</x:v>
      </x:c>
      <x:c r="L2477" s="35" t="str">
        <x:v>FAIL</x:v>
      </x:c>
      <x:c r="M2477" s="35" t="str">
        <x:v>numeric coverage for applicable metric</x:v>
      </x:c>
      <x:c r="N2477" s="35" t="str">
        <x:v>Deepseek-flash-v4/Result/Math_79/result.json</x:v>
      </x:c>
      <x:c r="O2477" s="39" t="n">
        <x:f>IF(AND(G2477="RECORDED",ISNUMBER(H2477)),H2477,"")</x:f>
        <x:v>62.61</x:v>
      </x:c>
      <x:c r="P2477" s="35" t="str">
        <x:v>INCONCLUSIVE</x:v>
      </x:c>
      <x:c r="Q2477" s="35" t="str">
        <x:v>Deepseek-flash-v4/Result/Math_79/result.json</x:v>
      </x:c>
    </x:row>
    <x:row r="2478">
      <x:c r="A2478" s="35" t="str">
        <x:v>deepseek</x:v>
      </x:c>
      <x:c r="B2478" s="35" t="str">
        <x:v>Math</x:v>
      </x:c>
      <x:c r="C2478" s="35" t="str">
        <x:v>Round1</x:v>
      </x:c>
      <x:c r="D2478" s="35" t="str">
        <x:v>Math_8</x:v>
      </x:c>
      <x:c r="E2478" s="35" t="str">
        <x:v>Condition</x:v>
      </x:c>
      <x:c r="F2478" s="35" t="n">
        <x:v>24</x:v>
      </x:c>
      <x:c r="G2478" s="35" t="str">
        <x:v>RECORDED</x:v>
      </x:c>
      <x:c r="H2478" s="39" t="n">
        <x:f>IF(ISNUMBER('Data'!N770),'Data'!N770*100,"")</x:f>
        <x:v>95.83</x:v>
      </x:c>
      <x:c r="I2478" s="35" t="str">
        <x:v>PASS</x:v>
      </x:c>
      <x:c r="J2478" s="35" t="str">
        <x:v>PASS</x:v>
      </x:c>
      <x:c r="K2478" s="35" t="str">
        <x:v>PASS</x:v>
      </x:c>
      <x:c r="L2478" s="35" t="str">
        <x:v>PASS</x:v>
      </x:c>
      <x:c r="M2478" s="35" t="str">
        <x:v>numeric coverage for applicable metric</x:v>
      </x:c>
      <x:c r="N2478" s="35" t="str">
        <x:v>Deepseek-flash-v4/Result/Math_8/result.json</x:v>
      </x:c>
      <x:c r="O2478" s="39" t="n">
        <x:f>IF(AND(G2478="RECORDED",ISNUMBER(H2478)),H2478,"")</x:f>
        <x:v>95.83</x:v>
      </x:c>
      <x:c r="P2478" s="35" t="str">
        <x:v>NOT_AVAILABLE</x:v>
      </x:c>
      <x:c r="Q2478" s="35" t="str">
        <x:v>Deepseek-flash-v4/Result/Math_8/result.json</x:v>
      </x:c>
    </x:row>
    <x:row r="2479">
      <x:c r="A2479" s="35" t="str">
        <x:v>deepseek</x:v>
      </x:c>
      <x:c r="B2479" s="35" t="str">
        <x:v>Math</x:v>
      </x:c>
      <x:c r="C2479" s="35" t="str">
        <x:v>Round1</x:v>
      </x:c>
      <x:c r="D2479" s="35" t="str">
        <x:v>Math_80</x:v>
      </x:c>
      <x:c r="E2479" s="35" t="str">
        <x:v>Condition</x:v>
      </x:c>
      <x:c r="F2479" s="35" t="n">
        <x:v>414</x:v>
      </x:c>
      <x:c r="G2479" s="35" t="str">
        <x:v>RECORDED</x:v>
      </x:c>
      <x:c r="H2479" s="39" t="n">
        <x:f>IF(ISNUMBER('Data'!N771),'Data'!N771*100,"")</x:f>
        <x:v>19.32</x:v>
      </x:c>
      <x:c r="I2479" s="35" t="str">
        <x:v>PASS</x:v>
      </x:c>
      <x:c r="J2479" s="35" t="str">
        <x:v>PASS</x:v>
      </x:c>
      <x:c r="K2479" s="35" t="str">
        <x:v>PASS</x:v>
      </x:c>
      <x:c r="L2479" s="35" t="str">
        <x:v>FAIL</x:v>
      </x:c>
      <x:c r="M2479" s="35" t="str">
        <x:v>numeric coverage for applicable metric</x:v>
      </x:c>
      <x:c r="N2479" s="35" t="str">
        <x:v>Deepseek-flash-v4/Result/Math_80/result.json</x:v>
      </x:c>
      <x:c r="O2479" s="39" t="n">
        <x:f>IF(AND(G2479="RECORDED",ISNUMBER(H2479)),H2479,"")</x:f>
        <x:v>19.32</x:v>
      </x:c>
      <x:c r="P2479" s="35" t="str">
        <x:v>INCONCLUSIVE</x:v>
      </x:c>
      <x:c r="Q2479" s="35" t="str">
        <x:v>Deepseek-flash-v4/Result/Math_80/result.json</x:v>
      </x:c>
    </x:row>
    <x:row r="2480">
      <x:c r="A2480" s="35" t="str">
        <x:v>deepseek</x:v>
      </x:c>
      <x:c r="B2480" s="35" t="str">
        <x:v>Math</x:v>
      </x:c>
      <x:c r="C2480" s="35" t="str">
        <x:v>Round1</x:v>
      </x:c>
      <x:c r="D2480" s="35" t="str">
        <x:v>Math_81</x:v>
      </x:c>
      <x:c r="E2480" s="35" t="str">
        <x:v>Condition</x:v>
      </x:c>
      <x:c r="F2480" s="35" t="n">
        <x:v>414</x:v>
      </x:c>
      <x:c r="G2480" s="35" t="str">
        <x:v>RECORDED</x:v>
      </x:c>
      <x:c r="H2480" s="39" t="n">
        <x:f>IF(ISNUMBER('Data'!N772),'Data'!N772*100,"")</x:f>
        <x:v>20.29</x:v>
      </x:c>
      <x:c r="I2480" s="35" t="str">
        <x:v>PASS</x:v>
      </x:c>
      <x:c r="J2480" s="35" t="str">
        <x:v>PASS</x:v>
      </x:c>
      <x:c r="K2480" s="35" t="str">
        <x:v>PASS</x:v>
      </x:c>
      <x:c r="L2480" s="35" t="str">
        <x:v>PASS</x:v>
      </x:c>
      <x:c r="M2480" s="35" t="str">
        <x:v>numeric coverage for applicable metric</x:v>
      </x:c>
      <x:c r="N2480" s="35" t="str">
        <x:v>Deepseek-flash-v4/Result/Math_81/result.json</x:v>
      </x:c>
      <x:c r="O2480" s="39" t="n">
        <x:f>IF(AND(G2480="RECORDED",ISNUMBER(H2480)),H2480,"")</x:f>
        <x:v>20.29</x:v>
      </x:c>
      <x:c r="P2480" s="35" t="str">
        <x:v>NOT_REVEALING</x:v>
      </x:c>
      <x:c r="Q2480" s="35" t="str">
        <x:v>Deepseek-flash-v4/Result/Math_81/result.json</x:v>
      </x:c>
    </x:row>
    <x:row r="2481">
      <x:c r="A2481" s="35" t="str">
        <x:v>deepseek</x:v>
      </x:c>
      <x:c r="B2481" s="35" t="str">
        <x:v>Math</x:v>
      </x:c>
      <x:c r="C2481" s="35" t="str">
        <x:v>Round1</x:v>
      </x:c>
      <x:c r="D2481" s="35" t="str">
        <x:v>Math_82</x:v>
      </x:c>
      <x:c r="E2481" s="35" t="str">
        <x:v>Condition</x:v>
      </x:c>
      <x:c r="F2481" s="35"/>
      <x:c r="G2481" s="35" t="str">
        <x:v>A</x:v>
      </x:c>
      <x:c r="H2481" s="39" t="str">
        <x:f>IF(ISNUMBER('Data'!N773),'Data'!N773*100,"")</x:f>
      </x:c>
      <x:c r="I2481" s="35"/>
      <x:c r="J2481" s="35" t="str">
        <x:v>PASS</x:v>
      </x:c>
      <x:c r="K2481" s="35" t="str">
        <x:v>FAIL</x:v>
      </x:c>
      <x:c r="L2481" s="35" t="str">
        <x:v>NOT_RUN</x:v>
      </x:c>
      <x:c r="M2481" s="35" t="str">
        <x:v>coverage unavailable or execution/compile failed</x:v>
      </x:c>
      <x:c r="N2481" s="35" t="str">
        <x:v>Deepseek-flash-v4/Result/Math_82/result.json</x:v>
      </x:c>
      <x:c r="O2481" s="39" t="str">
        <x:f>IF(AND(G2481="RECORDED",ISNUMBER(H2481)),H2481,"")</x:f>
      </x:c>
      <x:c r="P2481" s="35" t="str">
        <x:v>NOT_AVAILABLE</x:v>
      </x:c>
      <x:c r="Q2481" s="35" t="str">
        <x:v>Deepseek-flash-v4/Result/Math_82/result.json</x:v>
      </x:c>
    </x:row>
    <x:row r="2482">
      <x:c r="A2482" s="35" t="str">
        <x:v>deepseek</x:v>
      </x:c>
      <x:c r="B2482" s="35" t="str">
        <x:v>Math</x:v>
      </x:c>
      <x:c r="C2482" s="35" t="str">
        <x:v>Round1</x:v>
      </x:c>
      <x:c r="D2482" s="35" t="str">
        <x:v>Math_83</x:v>
      </x:c>
      <x:c r="E2482" s="35" t="str">
        <x:v>Condition</x:v>
      </x:c>
      <x:c r="F2482" s="35"/>
      <x:c r="G2482" s="35" t="str">
        <x:v>A</x:v>
      </x:c>
      <x:c r="H2482" s="39" t="str">
        <x:f>IF(ISNUMBER('Data'!N774),'Data'!N774*100,"")</x:f>
      </x:c>
      <x:c r="I2482" s="35"/>
      <x:c r="J2482" s="35" t="str">
        <x:v>PASS</x:v>
      </x:c>
      <x:c r="K2482" s="35" t="str">
        <x:v>FAIL</x:v>
      </x:c>
      <x:c r="L2482" s="35" t="str">
        <x:v>NOT_RUN</x:v>
      </x:c>
      <x:c r="M2482" s="35" t="str">
        <x:v>coverage unavailable or execution/compile failed</x:v>
      </x:c>
      <x:c r="N2482" s="35" t="str">
        <x:v>Deepseek-flash-v4/Result/Math_83/result.json</x:v>
      </x:c>
      <x:c r="O2482" s="39" t="str">
        <x:f>IF(AND(G2482="RECORDED",ISNUMBER(H2482)),H2482,"")</x:f>
      </x:c>
      <x:c r="P2482" s="35" t="str">
        <x:v>NOT_AVAILABLE</x:v>
      </x:c>
      <x:c r="Q2482" s="35" t="str">
        <x:v>Deepseek-flash-v4/Result/Math_83/result.json</x:v>
      </x:c>
    </x:row>
    <x:row r="2483">
      <x:c r="A2483" s="35" t="str">
        <x:v>deepseek</x:v>
      </x:c>
      <x:c r="B2483" s="35" t="str">
        <x:v>Math</x:v>
      </x:c>
      <x:c r="C2483" s="35" t="str">
        <x:v>Round1</x:v>
      </x:c>
      <x:c r="D2483" s="35" t="str">
        <x:v>Math_84</x:v>
      </x:c>
      <x:c r="E2483" s="35" t="str">
        <x:v>Condition</x:v>
      </x:c>
      <x:c r="F2483" s="35"/>
      <x:c r="G2483" s="35" t="str">
        <x:v>A</x:v>
      </x:c>
      <x:c r="H2483" s="39" t="str">
        <x:f>IF(ISNUMBER('Data'!N775),'Data'!N775*100,"")</x:f>
      </x:c>
      <x:c r="I2483" s="35"/>
      <x:c r="J2483" s="35" t="str">
        <x:v>PASS</x:v>
      </x:c>
      <x:c r="K2483" s="35" t="str">
        <x:v>FAIL</x:v>
      </x:c>
      <x:c r="L2483" s="35" t="str">
        <x:v>NOT_RUN</x:v>
      </x:c>
      <x:c r="M2483" s="35" t="str">
        <x:v>coverage unavailable or execution/compile failed</x:v>
      </x:c>
      <x:c r="N2483" s="35" t="str">
        <x:v>Deepseek-flash-v4/Result/Math_84/result.json</x:v>
      </x:c>
      <x:c r="O2483" s="39" t="str">
        <x:f>IF(AND(G2483="RECORDED",ISNUMBER(H2483)),H2483,"")</x:f>
      </x:c>
      <x:c r="P2483" s="35" t="str">
        <x:v>NOT_AVAILABLE</x:v>
      </x:c>
      <x:c r="Q2483" s="35" t="str">
        <x:v>Deepseek-flash-v4/Result/Math_84/result.json</x:v>
      </x:c>
    </x:row>
    <x:row r="2484">
      <x:c r="A2484" s="35" t="str">
        <x:v>deepseek</x:v>
      </x:c>
      <x:c r="B2484" s="35" t="str">
        <x:v>Math</x:v>
      </x:c>
      <x:c r="C2484" s="35" t="str">
        <x:v>Round1</x:v>
      </x:c>
      <x:c r="D2484" s="35" t="str">
        <x:v>Math_85</x:v>
      </x:c>
      <x:c r="E2484" s="35" t="str">
        <x:v>Condition</x:v>
      </x:c>
      <x:c r="F2484" s="35" t="n">
        <x:v>22</x:v>
      </x:c>
      <x:c r="G2484" s="35" t="str">
        <x:v>RECORDED</x:v>
      </x:c>
      <x:c r="H2484" s="39" t="n">
        <x:f>IF(ISNUMBER('Data'!N776),'Data'!N776*100,"")</x:f>
        <x:v>86.36</x:v>
      </x:c>
      <x:c r="I2484" s="35" t="str">
        <x:v>PASS</x:v>
      </x:c>
      <x:c r="J2484" s="35" t="str">
        <x:v>PASS</x:v>
      </x:c>
      <x:c r="K2484" s="35" t="str">
        <x:v>PASS</x:v>
      </x:c>
      <x:c r="L2484" s="35" t="str">
        <x:v>FAIL</x:v>
      </x:c>
      <x:c r="M2484" s="35" t="str">
        <x:v>numeric coverage for applicable metric</x:v>
      </x:c>
      <x:c r="N2484" s="35" t="str">
        <x:v>Deepseek-flash-v4/Result/Math_85/result.json</x:v>
      </x:c>
      <x:c r="O2484" s="39" t="n">
        <x:f>IF(AND(G2484="RECORDED",ISNUMBER(H2484)),H2484,"")</x:f>
        <x:v>86.36</x:v>
      </x:c>
      <x:c r="P2484" s="35" t="str">
        <x:v>REVEALING</x:v>
      </x:c>
      <x:c r="Q2484" s="35" t="str">
        <x:v>Deepseek-flash-v4/Result/Math_85/result.json</x:v>
      </x:c>
    </x:row>
    <x:row r="2485">
      <x:c r="A2485" s="35" t="str">
        <x:v>deepseek</x:v>
      </x:c>
      <x:c r="B2485" s="35" t="str">
        <x:v>Math</x:v>
      </x:c>
      <x:c r="C2485" s="35" t="str">
        <x:v>Round1</x:v>
      </x:c>
      <x:c r="D2485" s="35" t="str">
        <x:v>Math_86</x:v>
      </x:c>
      <x:c r="E2485" s="35" t="str">
        <x:v>Condition</x:v>
      </x:c>
      <x:c r="F2485" s="35"/>
      <x:c r="G2485" s="35" t="str">
        <x:v>A</x:v>
      </x:c>
      <x:c r="H2485" s="39" t="str">
        <x:f>IF(ISNUMBER('Data'!N777),'Data'!N777*100,"")</x:f>
      </x:c>
      <x:c r="I2485" s="35"/>
      <x:c r="J2485" s="35" t="str">
        <x:v>PASS</x:v>
      </x:c>
      <x:c r="K2485" s="35" t="str">
        <x:v>FAIL</x:v>
      </x:c>
      <x:c r="L2485" s="35" t="str">
        <x:v>NOT_RUN</x:v>
      </x:c>
      <x:c r="M2485" s="35" t="str">
        <x:v>coverage unavailable or execution/compile failed</x:v>
      </x:c>
      <x:c r="N2485" s="35" t="str">
        <x:v>Deepseek-flash-v4/Result/Math_86/result.json</x:v>
      </x:c>
      <x:c r="O2485" s="39" t="str">
        <x:f>IF(AND(G2485="RECORDED",ISNUMBER(H2485)),H2485,"")</x:f>
      </x:c>
      <x:c r="P2485" s="35" t="str">
        <x:v>NOT_AVAILABLE</x:v>
      </x:c>
      <x:c r="Q2485" s="35" t="str">
        <x:v>Deepseek-flash-v4/Result/Math_86/result.json</x:v>
      </x:c>
    </x:row>
    <x:row r="2486">
      <x:c r="A2486" s="35" t="str">
        <x:v>deepseek</x:v>
      </x:c>
      <x:c r="B2486" s="35" t="str">
        <x:v>Math</x:v>
      </x:c>
      <x:c r="C2486" s="35" t="str">
        <x:v>Round1</x:v>
      </x:c>
      <x:c r="D2486" s="35" t="str">
        <x:v>Math_87</x:v>
      </x:c>
      <x:c r="E2486" s="35" t="str">
        <x:v>Condition</x:v>
      </x:c>
      <x:c r="F2486" s="35" t="n">
        <x:v>90</x:v>
      </x:c>
      <x:c r="G2486" s="35" t="str">
        <x:v>RECORDED</x:v>
      </x:c>
      <x:c r="H2486" s="39" t="n">
        <x:f>IF(ISNUMBER('Data'!N778),'Data'!N778*100,"")</x:f>
        <x:v>7.780000000000001</x:v>
      </x:c>
      <x:c r="I2486" s="35" t="str">
        <x:v>PASS</x:v>
      </x:c>
      <x:c r="J2486" s="35" t="str">
        <x:v>PASS</x:v>
      </x:c>
      <x:c r="K2486" s="35" t="str">
        <x:v>PASS</x:v>
      </x:c>
      <x:c r="L2486" s="35" t="str">
        <x:v>PASS</x:v>
      </x:c>
      <x:c r="M2486" s="35" t="str">
        <x:v>numeric coverage for applicable metric</x:v>
      </x:c>
      <x:c r="N2486" s="35" t="str">
        <x:v>Deepseek-flash-v4/Result/Math_87/result.json</x:v>
      </x:c>
      <x:c r="O2486" s="39" t="n">
        <x:f>IF(AND(G2486="RECORDED",ISNUMBER(H2486)),H2486,"")</x:f>
        <x:v>7.780000000000001</x:v>
      </x:c>
      <x:c r="P2486" s="35" t="str">
        <x:v>NOT_REVEALING</x:v>
      </x:c>
      <x:c r="Q2486" s="35" t="str">
        <x:v>Deepseek-flash-v4/Result/Math_87/result.json</x:v>
      </x:c>
    </x:row>
    <x:row r="2487">
      <x:c r="A2487" s="35" t="str">
        <x:v>deepseek</x:v>
      </x:c>
      <x:c r="B2487" s="35" t="str">
        <x:v>Math</x:v>
      </x:c>
      <x:c r="C2487" s="35" t="str">
        <x:v>Round1</x:v>
      </x:c>
      <x:c r="D2487" s="35" t="str">
        <x:v>Math_88</x:v>
      </x:c>
      <x:c r="E2487" s="35" t="str">
        <x:v>Condition</x:v>
      </x:c>
      <x:c r="F2487" s="35"/>
      <x:c r="G2487" s="35" t="str">
        <x:v>A</x:v>
      </x:c>
      <x:c r="H2487" s="39" t="str">
        <x:f>IF(ISNUMBER('Data'!N779),'Data'!N779*100,"")</x:f>
      </x:c>
      <x:c r="I2487" s="35"/>
      <x:c r="J2487" s="35" t="str">
        <x:v>PASS</x:v>
      </x:c>
      <x:c r="K2487" s="35" t="str">
        <x:v>FAIL</x:v>
      </x:c>
      <x:c r="L2487" s="35" t="str">
        <x:v>NOT_RUN</x:v>
      </x:c>
      <x:c r="M2487" s="35" t="str">
        <x:v>coverage unavailable or execution/compile failed</x:v>
      </x:c>
      <x:c r="N2487" s="35" t="str">
        <x:v>Deepseek-flash-v4/Result/Math_88/result.json</x:v>
      </x:c>
      <x:c r="O2487" s="39" t="str">
        <x:f>IF(AND(G2487="RECORDED",ISNUMBER(H2487)),H2487,"")</x:f>
      </x:c>
      <x:c r="P2487" s="35" t="str">
        <x:v>NOT_AVAILABLE</x:v>
      </x:c>
      <x:c r="Q2487" s="35" t="str">
        <x:v>Deepseek-flash-v4/Result/Math_88/result.json</x:v>
      </x:c>
    </x:row>
    <x:row r="2488">
      <x:c r="A2488" s="35" t="str">
        <x:v>deepseek</x:v>
      </x:c>
      <x:c r="B2488" s="35" t="str">
        <x:v>Math</x:v>
      </x:c>
      <x:c r="C2488" s="35" t="str">
        <x:v>Round1</x:v>
      </x:c>
      <x:c r="D2488" s="35" t="str">
        <x:v>Math_89</x:v>
      </x:c>
      <x:c r="E2488" s="35" t="str">
        <x:v>Condition</x:v>
      </x:c>
      <x:c r="F2488" s="35" t="n">
        <x:v>32</x:v>
      </x:c>
      <x:c r="G2488" s="35" t="str">
        <x:v>RECORDED</x:v>
      </x:c>
      <x:c r="H2488" s="39" t="n">
        <x:f>IF(ISNUMBER('Data'!N780),'Data'!N780*100,"")</x:f>
        <x:v>93.75</x:v>
      </x:c>
      <x:c r="I2488" s="35" t="str">
        <x:v>PASS</x:v>
      </x:c>
      <x:c r="J2488" s="35" t="str">
        <x:v>PASS</x:v>
      </x:c>
      <x:c r="K2488" s="35" t="str">
        <x:v>PASS</x:v>
      </x:c>
      <x:c r="L2488" s="35" t="str">
        <x:v>PASS</x:v>
      </x:c>
      <x:c r="M2488" s="35" t="str">
        <x:v>numeric coverage for applicable metric</x:v>
      </x:c>
      <x:c r="N2488" s="35" t="str">
        <x:v>Deepseek-flash-v4/Result/Math_89/result.json</x:v>
      </x:c>
      <x:c r="O2488" s="39" t="n">
        <x:f>IF(AND(G2488="RECORDED",ISNUMBER(H2488)),H2488,"")</x:f>
        <x:v>93.75</x:v>
      </x:c>
      <x:c r="P2488" s="35" t="str">
        <x:v>NOT_REVEALING</x:v>
      </x:c>
      <x:c r="Q2488" s="35" t="str">
        <x:v>Deepseek-flash-v4/Result/Math_89/result.json</x:v>
      </x:c>
    </x:row>
    <x:row r="2489">
      <x:c r="A2489" s="35" t="str">
        <x:v>deepseek</x:v>
      </x:c>
      <x:c r="B2489" s="35" t="str">
        <x:v>Math</x:v>
      </x:c>
      <x:c r="C2489" s="35" t="str">
        <x:v>Round1</x:v>
      </x:c>
      <x:c r="D2489" s="35" t="str">
        <x:v>Math_9</x:v>
      </x:c>
      <x:c r="E2489" s="35" t="str">
        <x:v>Condition</x:v>
      </x:c>
      <x:c r="F2489" s="35"/>
      <x:c r="G2489" s="35" t="str">
        <x:v>A</x:v>
      </x:c>
      <x:c r="H2489" s="39" t="str">
        <x:f>IF(ISNUMBER('Data'!N781),'Data'!N781*100,"")</x:f>
      </x:c>
      <x:c r="I2489" s="35"/>
      <x:c r="J2489" s="35" t="str">
        <x:v>PASS</x:v>
      </x:c>
      <x:c r="K2489" s="35" t="str">
        <x:v>FAIL</x:v>
      </x:c>
      <x:c r="L2489" s="35" t="str">
        <x:v>NOT_RUN</x:v>
      </x:c>
      <x:c r="M2489" s="35" t="str">
        <x:v>coverage unavailable or execution/compile failed</x:v>
      </x:c>
      <x:c r="N2489" s="35" t="str">
        <x:v>Deepseek-flash-v4/Result/Math_9/result.json</x:v>
      </x:c>
      <x:c r="O2489" s="39" t="str">
        <x:f>IF(AND(G2489="RECORDED",ISNUMBER(H2489)),H2489,"")</x:f>
      </x:c>
      <x:c r="P2489" s="35" t="str">
        <x:v>NOT_AVAILABLE</x:v>
      </x:c>
      <x:c r="Q2489" s="35" t="str">
        <x:v>Deepseek-flash-v4/Result/Math_9/result.json</x:v>
      </x:c>
    </x:row>
    <x:row r="2490">
      <x:c r="A2490" s="35" t="str">
        <x:v>deepseek</x:v>
      </x:c>
      <x:c r="B2490" s="35" t="str">
        <x:v>Math</x:v>
      </x:c>
      <x:c r="C2490" s="35" t="str">
        <x:v>Round1</x:v>
      </x:c>
      <x:c r="D2490" s="35" t="str">
        <x:v>Math_90</x:v>
      </x:c>
      <x:c r="E2490" s="35" t="str">
        <x:v>Condition</x:v>
      </x:c>
      <x:c r="F2490" s="35" t="n">
        <x:v>32</x:v>
      </x:c>
      <x:c r="G2490" s="35" t="str">
        <x:v>RECORDED</x:v>
      </x:c>
      <x:c r="H2490" s="39" t="n">
        <x:f>IF(ISNUMBER('Data'!N782),'Data'!N782*100,"")</x:f>
        <x:v>90.62</x:v>
      </x:c>
      <x:c r="I2490" s="35" t="str">
        <x:v>PASS</x:v>
      </x:c>
      <x:c r="J2490" s="35" t="str">
        <x:v>PASS</x:v>
      </x:c>
      <x:c r="K2490" s="35" t="str">
        <x:v>PASS</x:v>
      </x:c>
      <x:c r="L2490" s="35" t="str">
        <x:v>FAIL</x:v>
      </x:c>
      <x:c r="M2490" s="35" t="str">
        <x:v>numeric coverage for applicable metric</x:v>
      </x:c>
      <x:c r="N2490" s="35" t="str">
        <x:v>Deepseek-flash-v4/Result/Math_90/result.json</x:v>
      </x:c>
      <x:c r="O2490" s="39" t="n">
        <x:f>IF(AND(G2490="RECORDED",ISNUMBER(H2490)),H2490,"")</x:f>
        <x:v>90.62</x:v>
      </x:c>
      <x:c r="P2490" s="35" t="str">
        <x:v>INCONCLUSIVE</x:v>
      </x:c>
      <x:c r="Q2490" s="35" t="str">
        <x:v>Deepseek-flash-v4/Result/Math_90/result.json</x:v>
      </x:c>
    </x:row>
    <x:row r="2491">
      <x:c r="A2491" s="35" t="str">
        <x:v>deepseek</x:v>
      </x:c>
      <x:c r="B2491" s="35" t="str">
        <x:v>Math</x:v>
      </x:c>
      <x:c r="C2491" s="35" t="str">
        <x:v>Round1</x:v>
      </x:c>
      <x:c r="D2491" s="35" t="str">
        <x:v>Math_91</x:v>
      </x:c>
      <x:c r="E2491" s="35" t="str">
        <x:v>Condition</x:v>
      </x:c>
      <x:c r="F2491" s="35" t="n">
        <x:v>90</x:v>
      </x:c>
      <x:c r="G2491" s="35" t="str">
        <x:v>RECORDED</x:v>
      </x:c>
      <x:c r="H2491" s="39" t="n">
        <x:f>IF(ISNUMBER('Data'!N783),'Data'!N783*100,"")</x:f>
        <x:v>94.44</x:v>
      </x:c>
      <x:c r="I2491" s="35" t="str">
        <x:v>PASS</x:v>
      </x:c>
      <x:c r="J2491" s="35" t="str">
        <x:v>PASS</x:v>
      </x:c>
      <x:c r="K2491" s="35" t="str">
        <x:v>PASS</x:v>
      </x:c>
      <x:c r="L2491" s="35" t="str">
        <x:v>PASS</x:v>
      </x:c>
      <x:c r="M2491" s="35" t="str">
        <x:v>numeric coverage for applicable metric</x:v>
      </x:c>
      <x:c r="N2491" s="35" t="str">
        <x:v>Deepseek-flash-v4/Result/Math_91/result.json</x:v>
      </x:c>
      <x:c r="O2491" s="39" t="n">
        <x:f>IF(AND(G2491="RECORDED",ISNUMBER(H2491)),H2491,"")</x:f>
        <x:v>94.44</x:v>
      </x:c>
      <x:c r="P2491" s="35" t="str">
        <x:v>NOT_REVEALING</x:v>
      </x:c>
      <x:c r="Q2491" s="35" t="str">
        <x:v>Deepseek-flash-v4/Result/Math_91/result.json</x:v>
      </x:c>
    </x:row>
    <x:row r="2492">
      <x:c r="A2492" s="35" t="str">
        <x:v>deepseek</x:v>
      </x:c>
      <x:c r="B2492" s="35" t="str">
        <x:v>Math</x:v>
      </x:c>
      <x:c r="C2492" s="35" t="str">
        <x:v>Round1</x:v>
      </x:c>
      <x:c r="D2492" s="35" t="str">
        <x:v>Math_92</x:v>
      </x:c>
      <x:c r="E2492" s="35" t="str">
        <x:v>Condition</x:v>
      </x:c>
      <x:c r="F2492" s="35" t="n">
        <x:v>223</x:v>
      </x:c>
      <x:c r="G2492" s="35" t="str">
        <x:v>RECORDED</x:v>
      </x:c>
      <x:c r="H2492" s="39" t="n">
        <x:f>IF(ISNUMBER('Data'!N784),'Data'!N784*100,"")</x:f>
        <x:v>81.17</x:v>
      </x:c>
      <x:c r="I2492" s="35" t="str">
        <x:v>PASS</x:v>
      </x:c>
      <x:c r="J2492" s="35" t="str">
        <x:v>PASS</x:v>
      </x:c>
      <x:c r="K2492" s="35" t="str">
        <x:v>PASS</x:v>
      </x:c>
      <x:c r="L2492" s="35" t="str">
        <x:v>FAIL</x:v>
      </x:c>
      <x:c r="M2492" s="35" t="str">
        <x:v>numeric coverage for applicable metric</x:v>
      </x:c>
      <x:c r="N2492" s="35" t="str">
        <x:v>Deepseek-flash-v4/Result/Math_92/result.json</x:v>
      </x:c>
      <x:c r="O2492" s="39" t="n">
        <x:f>IF(AND(G2492="RECORDED",ISNUMBER(H2492)),H2492,"")</x:f>
        <x:v>81.17</x:v>
      </x:c>
      <x:c r="P2492" s="35" t="str">
        <x:v>INCONCLUSIVE</x:v>
      </x:c>
      <x:c r="Q2492" s="35" t="str">
        <x:v>Deepseek-flash-v4/Result/Math_92/result.json</x:v>
      </x:c>
    </x:row>
    <x:row r="2493">
      <x:c r="A2493" s="35" t="str">
        <x:v>deepseek</x:v>
      </x:c>
      <x:c r="B2493" s="35" t="str">
        <x:v>Math</x:v>
      </x:c>
      <x:c r="C2493" s="35" t="str">
        <x:v>Round1</x:v>
      </x:c>
      <x:c r="D2493" s="35" t="str">
        <x:v>Math_93</x:v>
      </x:c>
      <x:c r="E2493" s="35" t="str">
        <x:v>Condition</x:v>
      </x:c>
      <x:c r="F2493" s="35" t="n">
        <x:v>217</x:v>
      </x:c>
      <x:c r="G2493" s="35" t="str">
        <x:v>RECORDED</x:v>
      </x:c>
      <x:c r="H2493" s="39" t="n">
        <x:f>IF(ISNUMBER('Data'!N785),'Data'!N785*100,"")</x:f>
        <x:v>93.09</x:v>
      </x:c>
      <x:c r="I2493" s="35" t="str">
        <x:v>PASS</x:v>
      </x:c>
      <x:c r="J2493" s="35" t="str">
        <x:v>PASS</x:v>
      </x:c>
      <x:c r="K2493" s="35" t="str">
        <x:v>PASS</x:v>
      </x:c>
      <x:c r="L2493" s="35" t="str">
        <x:v>PASS</x:v>
      </x:c>
      <x:c r="M2493" s="35" t="str">
        <x:v>numeric coverage for applicable metric</x:v>
      </x:c>
      <x:c r="N2493" s="35" t="str">
        <x:v>Deepseek-flash-v4/Result/Math_93/result.json</x:v>
      </x:c>
      <x:c r="O2493" s="39" t="n">
        <x:f>IF(AND(G2493="RECORDED",ISNUMBER(H2493)),H2493,"")</x:f>
        <x:v>93.09</x:v>
      </x:c>
      <x:c r="P2493" s="35" t="str">
        <x:v>NOT_REVEALING</x:v>
      </x:c>
      <x:c r="Q2493" s="35" t="str">
        <x:v>Deepseek-flash-v4/Result/Math_93/result.json</x:v>
      </x:c>
    </x:row>
    <x:row r="2494">
      <x:c r="A2494" s="35" t="str">
        <x:v>deepseek</x:v>
      </x:c>
      <x:c r="B2494" s="35" t="str">
        <x:v>Math</x:v>
      </x:c>
      <x:c r="C2494" s="35" t="str">
        <x:v>Round1</x:v>
      </x:c>
      <x:c r="D2494" s="35" t="str">
        <x:v>Math_94</x:v>
      </x:c>
      <x:c r="E2494" s="35" t="str">
        <x:v>Condition</x:v>
      </x:c>
      <x:c r="F2494" s="35" t="n">
        <x:v>215</x:v>
      </x:c>
      <x:c r="G2494" s="35" t="str">
        <x:v>RECORDED</x:v>
      </x:c>
      <x:c r="H2494" s="39" t="n">
        <x:f>IF(ISNUMBER('Data'!N786),'Data'!N786*100,"")</x:f>
        <x:v>81.4</x:v>
      </x:c>
      <x:c r="I2494" s="35" t="str">
        <x:v>PASS</x:v>
      </x:c>
      <x:c r="J2494" s="35" t="str">
        <x:v>PASS</x:v>
      </x:c>
      <x:c r="K2494" s="35" t="str">
        <x:v>PASS</x:v>
      </x:c>
      <x:c r="L2494" s="35" t="str">
        <x:v>PASS</x:v>
      </x:c>
      <x:c r="M2494" s="35" t="str">
        <x:v>numeric coverage for applicable metric</x:v>
      </x:c>
      <x:c r="N2494" s="35" t="str">
        <x:v>Deepseek-flash-v4/Result/Math_94/result.json</x:v>
      </x:c>
      <x:c r="O2494" s="39" t="n">
        <x:f>IF(AND(G2494="RECORDED",ISNUMBER(H2494)),H2494,"")</x:f>
        <x:v>81.4</x:v>
      </x:c>
      <x:c r="P2494" s="35" t="str">
        <x:v>NOT_REVEALING</x:v>
      </x:c>
      <x:c r="Q2494" s="35" t="str">
        <x:v>Deepseek-flash-v4/Result/Math_94/result.json</x:v>
      </x:c>
    </x:row>
    <x:row r="2495">
      <x:c r="A2495" s="35" t="str">
        <x:v>deepseek</x:v>
      </x:c>
      <x:c r="B2495" s="35" t="str">
        <x:v>Math</x:v>
      </x:c>
      <x:c r="C2495" s="35" t="str">
        <x:v>Round1</x:v>
      </x:c>
      <x:c r="D2495" s="35" t="str">
        <x:v>Math_95</x:v>
      </x:c>
      <x:c r="E2495" s="35" t="str">
        <x:v>Condition</x:v>
      </x:c>
      <x:c r="F2495" s="35" t="n">
        <x:v>10</x:v>
      </x:c>
      <x:c r="G2495" s="35" t="str">
        <x:v>RECORDED</x:v>
      </x:c>
      <x:c r="H2495" s="39" t="n">
        <x:f>IF(ISNUMBER('Data'!N787),'Data'!N787*100,"")</x:f>
        <x:v>100</x:v>
      </x:c>
      <x:c r="I2495" s="35" t="str">
        <x:v>PASS</x:v>
      </x:c>
      <x:c r="J2495" s="35" t="str">
        <x:v>PASS</x:v>
      </x:c>
      <x:c r="K2495" s="35" t="str">
        <x:v>PASS</x:v>
      </x:c>
      <x:c r="L2495" s="35" t="str">
        <x:v>PASS</x:v>
      </x:c>
      <x:c r="M2495" s="35" t="str">
        <x:v>numeric coverage for applicable metric</x:v>
      </x:c>
      <x:c r="N2495" s="35" t="str">
        <x:v>Deepseek-flash-v4/Result/Math_95/result.json</x:v>
      </x:c>
      <x:c r="O2495" s="39" t="n">
        <x:f>IF(AND(G2495="RECORDED",ISNUMBER(H2495)),H2495,"")</x:f>
        <x:v>100</x:v>
      </x:c>
      <x:c r="P2495" s="35" t="str">
        <x:v>NOT_REVEALING</x:v>
      </x:c>
      <x:c r="Q2495" s="35" t="str">
        <x:v>Deepseek-flash-v4/Result/Math_95/result.json</x:v>
      </x:c>
    </x:row>
    <x:row r="2496">
      <x:c r="A2496" s="35" t="str">
        <x:v>deepseek</x:v>
      </x:c>
      <x:c r="B2496" s="35" t="str">
        <x:v>Math</x:v>
      </x:c>
      <x:c r="C2496" s="35" t="str">
        <x:v>Round1</x:v>
      </x:c>
      <x:c r="D2496" s="35" t="str">
        <x:v>Math_96</x:v>
      </x:c>
      <x:c r="E2496" s="35" t="str">
        <x:v>Condition</x:v>
      </x:c>
      <x:c r="F2496" s="35" t="n">
        <x:v>102</x:v>
      </x:c>
      <x:c r="G2496" s="35" t="str">
        <x:v>RECORDED</x:v>
      </x:c>
      <x:c r="H2496" s="39" t="n">
        <x:f>IF(ISNUMBER('Data'!N788),'Data'!N788*100,"")</x:f>
        <x:v>89.22</x:v>
      </x:c>
      <x:c r="I2496" s="35" t="str">
        <x:v>PASS</x:v>
      </x:c>
      <x:c r="J2496" s="35" t="str">
        <x:v>PASS</x:v>
      </x:c>
      <x:c r="K2496" s="35" t="str">
        <x:v>PASS</x:v>
      </x:c>
      <x:c r="L2496" s="35" t="str">
        <x:v>PASS</x:v>
      </x:c>
      <x:c r="M2496" s="35" t="str">
        <x:v>numeric coverage for applicable metric</x:v>
      </x:c>
      <x:c r="N2496" s="35" t="str">
        <x:v>Deepseek-flash-v4/Result/Math_96/result.json</x:v>
      </x:c>
      <x:c r="O2496" s="39" t="n">
        <x:f>IF(AND(G2496="RECORDED",ISNUMBER(H2496)),H2496,"")</x:f>
        <x:v>89.22</x:v>
      </x:c>
      <x:c r="P2496" s="35" t="str">
        <x:v>INCONCLUSIVE</x:v>
      </x:c>
      <x:c r="Q2496" s="35" t="str">
        <x:v>Deepseek-flash-v4/Result/Math_96/result.json</x:v>
      </x:c>
    </x:row>
    <x:row r="2497">
      <x:c r="A2497" s="35" t="str">
        <x:v>deepseek</x:v>
      </x:c>
      <x:c r="B2497" s="35" t="str">
        <x:v>Math</x:v>
      </x:c>
      <x:c r="C2497" s="35" t="str">
        <x:v>Round1</x:v>
      </x:c>
      <x:c r="D2497" s="35" t="str">
        <x:v>Math_97</x:v>
      </x:c>
      <x:c r="E2497" s="35" t="str">
        <x:v>Condition</x:v>
      </x:c>
      <x:c r="F2497" s="35" t="n">
        <x:v>46</x:v>
      </x:c>
      <x:c r="G2497" s="35" t="str">
        <x:v>RECORDED</x:v>
      </x:c>
      <x:c r="H2497" s="39" t="n">
        <x:f>IF(ISNUMBER('Data'!N789),'Data'!N789*100,"")</x:f>
        <x:v>89.13</x:v>
      </x:c>
      <x:c r="I2497" s="35" t="str">
        <x:v>PASS</x:v>
      </x:c>
      <x:c r="J2497" s="35" t="str">
        <x:v>PASS</x:v>
      </x:c>
      <x:c r="K2497" s="35" t="str">
        <x:v>PASS</x:v>
      </x:c>
      <x:c r="L2497" s="35" t="str">
        <x:v>PASS</x:v>
      </x:c>
      <x:c r="M2497" s="35" t="str">
        <x:v>numeric coverage for applicable metric</x:v>
      </x:c>
      <x:c r="N2497" s="35" t="str">
        <x:v>Deepseek-flash-v4/Result/Math_97/result.json</x:v>
      </x:c>
      <x:c r="O2497" s="39" t="n">
        <x:f>IF(AND(G2497="RECORDED",ISNUMBER(H2497)),H2497,"")</x:f>
        <x:v>89.13</x:v>
      </x:c>
      <x:c r="P2497" s="35" t="str">
        <x:v>NOT_REVEALING</x:v>
      </x:c>
      <x:c r="Q2497" s="35" t="str">
        <x:v>Deepseek-flash-v4/Result/Math_97/result.json</x:v>
      </x:c>
    </x:row>
    <x:row r="2498">
      <x:c r="A2498" s="35" t="str">
        <x:v>deepseek</x:v>
      </x:c>
      <x:c r="B2498" s="35" t="str">
        <x:v>Math</x:v>
      </x:c>
      <x:c r="C2498" s="35" t="str">
        <x:v>Round1</x:v>
      </x:c>
      <x:c r="D2498" s="35" t="str">
        <x:v>Math_98</x:v>
      </x:c>
      <x:c r="E2498" s="35" t="str">
        <x:v>Condition</x:v>
      </x:c>
      <x:c r="F2498" s="35" t="n">
        <x:v>554</x:v>
      </x:c>
      <x:c r="G2498" s="35" t="str">
        <x:v>RECORDED</x:v>
      </x:c>
      <x:c r="H2498" s="39" t="n">
        <x:f>IF(ISNUMBER('Data'!N790),'Data'!N790*100,"")</x:f>
        <x:v>79.42</x:v>
      </x:c>
      <x:c r="I2498" s="35" t="str">
        <x:v>PASS</x:v>
      </x:c>
      <x:c r="J2498" s="35" t="str">
        <x:v>PASS</x:v>
      </x:c>
      <x:c r="K2498" s="35" t="str">
        <x:v>PASS</x:v>
      </x:c>
      <x:c r="L2498" s="35" t="str">
        <x:v>FAIL</x:v>
      </x:c>
      <x:c r="M2498" s="35" t="str">
        <x:v>numeric coverage for applicable metric</x:v>
      </x:c>
      <x:c r="N2498" s="35" t="str">
        <x:v>Deepseek-flash-v4/Result/Math_98/result.json</x:v>
      </x:c>
      <x:c r="O2498" s="39" t="n">
        <x:f>IF(AND(G2498="RECORDED",ISNUMBER(H2498)),H2498,"")</x:f>
        <x:v>79.42</x:v>
      </x:c>
      <x:c r="P2498" s="35" t="str">
        <x:v>INCONCLUSIVE</x:v>
      </x:c>
      <x:c r="Q2498" s="35" t="str">
        <x:v>Deepseek-flash-v4/Result/Math_98/result.json</x:v>
      </x:c>
    </x:row>
    <x:row r="2499">
      <x:c r="A2499" s="35" t="str">
        <x:v>deepseek</x:v>
      </x:c>
      <x:c r="B2499" s="35" t="str">
        <x:v>Math</x:v>
      </x:c>
      <x:c r="C2499" s="35" t="str">
        <x:v>Round1</x:v>
      </x:c>
      <x:c r="D2499" s="35" t="str">
        <x:v>Math_99</x:v>
      </x:c>
      <x:c r="E2499" s="35" t="str">
        <x:v>Condition</x:v>
      </x:c>
      <x:c r="F2499" s="35" t="n">
        <x:v>271</x:v>
      </x:c>
      <x:c r="G2499" s="35" t="str">
        <x:v>RECORDED</x:v>
      </x:c>
      <x:c r="H2499" s="39" t="n">
        <x:f>IF(ISNUMBER('Data'!N791),'Data'!N791*100,"")</x:f>
        <x:v>90.41</x:v>
      </x:c>
      <x:c r="I2499" s="35" t="str">
        <x:v>PASS</x:v>
      </x:c>
      <x:c r="J2499" s="35" t="str">
        <x:v>PASS</x:v>
      </x:c>
      <x:c r="K2499" s="35" t="str">
        <x:v>PASS</x:v>
      </x:c>
      <x:c r="L2499" s="35" t="str">
        <x:v>PASS</x:v>
      </x:c>
      <x:c r="M2499" s="35" t="str">
        <x:v>numeric coverage for applicable metric</x:v>
      </x:c>
      <x:c r="N2499" s="35" t="str">
        <x:v>Deepseek-flash-v4/Result/Math_99/result.json</x:v>
      </x:c>
      <x:c r="O2499" s="39" t="n">
        <x:f>IF(AND(G2499="RECORDED",ISNUMBER(H2499)),H2499,"")</x:f>
        <x:v>90.41</x:v>
      </x:c>
      <x:c r="P2499" s="35" t="str">
        <x:v>NOT_REVEALING</x:v>
      </x:c>
      <x:c r="Q2499" s="35" t="str">
        <x:v>Deepseek-flash-v4/Result/Math_99/result.json</x:v>
      </x:c>
    </x:row>
    <x:row r="2500">
      <x:c r="A2500" s="35" t="str">
        <x:v>deepseek</x:v>
      </x:c>
      <x:c r="B2500" s="35" t="str">
        <x:v>Mockito</x:v>
      </x:c>
      <x:c r="C2500" s="35" t="str">
        <x:v>Round1</x:v>
      </x:c>
      <x:c r="D2500" s="35" t="str">
        <x:v>Mockito_1</x:v>
      </x:c>
      <x:c r="E2500" s="35" t="str">
        <x:v>Condition</x:v>
      </x:c>
      <x:c r="F2500" s="35"/>
      <x:c r="G2500" s="35" t="str">
        <x:v>A</x:v>
      </x:c>
      <x:c r="H2500" s="39" t="str">
        <x:f>IF(ISNUMBER('Data'!N792),'Data'!N792*100,"")</x:f>
      </x:c>
      <x:c r="I2500" s="35"/>
      <x:c r="J2500" s="35" t="str">
        <x:v>PASS</x:v>
      </x:c>
      <x:c r="K2500" s="35" t="str">
        <x:v>FAIL</x:v>
      </x:c>
      <x:c r="L2500" s="35" t="str">
        <x:v>NOT_RUN</x:v>
      </x:c>
      <x:c r="M2500" s="35" t="str">
        <x:v>coverage unavailable or execution/compile failed</x:v>
      </x:c>
      <x:c r="N2500" s="35" t="str">
        <x:v>Deepseek-flash-v4/Result/Mockito_1/result.json</x:v>
      </x:c>
      <x:c r="O2500" s="39" t="str">
        <x:f>IF(AND(G2500="RECORDED",ISNUMBER(H2500)),H2500,"")</x:f>
      </x:c>
      <x:c r="P2500" s="35" t="str">
        <x:v>NOT_AVAILABLE</x:v>
      </x:c>
      <x:c r="Q2500" s="35" t="str">
        <x:v>Deepseek-flash-v4/Result/Mockito_1/result.json</x:v>
      </x:c>
    </x:row>
    <x:row r="2501">
      <x:c r="A2501" s="35" t="str">
        <x:v>deepseek</x:v>
      </x:c>
      <x:c r="B2501" s="35" t="str">
        <x:v>Mockito</x:v>
      </x:c>
      <x:c r="C2501" s="35" t="str">
        <x:v>Round1</x:v>
      </x:c>
      <x:c r="D2501" s="35" t="str">
        <x:v>Mockito_10</x:v>
      </x:c>
      <x:c r="E2501" s="35" t="str">
        <x:v>Condition</x:v>
      </x:c>
      <x:c r="F2501" s="35"/>
      <x:c r="G2501" s="35" t="str">
        <x:v>A</x:v>
      </x:c>
      <x:c r="H2501" s="39" t="str">
        <x:f>IF(ISNUMBER('Data'!N793),'Data'!N793*100,"")</x:f>
      </x:c>
      <x:c r="I2501" s="35"/>
      <x:c r="J2501" s="35" t="str">
        <x:v>PASS</x:v>
      </x:c>
      <x:c r="K2501" s="35" t="str">
        <x:v>FAIL</x:v>
      </x:c>
      <x:c r="L2501" s="35" t="str">
        <x:v>NOT_RUN</x:v>
      </x:c>
      <x:c r="M2501" s="35" t="str">
        <x:v>coverage unavailable or execution/compile failed</x:v>
      </x:c>
      <x:c r="N2501" s="35" t="str">
        <x:v>Deepseek-flash-v4/Result/Mockito_10/result.json</x:v>
      </x:c>
      <x:c r="O2501" s="39" t="str">
        <x:f>IF(AND(G2501="RECORDED",ISNUMBER(H2501)),H2501,"")</x:f>
      </x:c>
      <x:c r="P2501" s="35" t="str">
        <x:v>NOT_AVAILABLE</x:v>
      </x:c>
      <x:c r="Q2501" s="35" t="str">
        <x:v>Deepseek-flash-v4/Result/Mockito_10/result.json</x:v>
      </x:c>
    </x:row>
    <x:row r="2502">
      <x:c r="A2502" s="35" t="str">
        <x:v>deepseek</x:v>
      </x:c>
      <x:c r="B2502" s="35" t="str">
        <x:v>Mockito</x:v>
      </x:c>
      <x:c r="C2502" s="35" t="str">
        <x:v>Round1</x:v>
      </x:c>
      <x:c r="D2502" s="35" t="str">
        <x:v>Mockito_11</x:v>
      </x:c>
      <x:c r="E2502" s="35" t="str">
        <x:v>Condition</x:v>
      </x:c>
      <x:c r="F2502" s="35" t="n">
        <x:v>6</x:v>
      </x:c>
      <x:c r="G2502" s="35" t="str">
        <x:v>RECORDED</x:v>
      </x:c>
      <x:c r="H2502" s="39" t="n">
        <x:f>IF(ISNUMBER('Data'!N794),'Data'!N794*100,"")</x:f>
        <x:v>50</x:v>
      </x:c>
      <x:c r="I2502" s="35" t="str">
        <x:v>PASS</x:v>
      </x:c>
      <x:c r="J2502" s="35" t="str">
        <x:v>PASS</x:v>
      </x:c>
      <x:c r="K2502" s="35" t="str">
        <x:v>PASS</x:v>
      </x:c>
      <x:c r="L2502" s="35" t="str">
        <x:v>FAIL</x:v>
      </x:c>
      <x:c r="M2502" s="35" t="str">
        <x:v>numeric coverage for applicable metric</x:v>
      </x:c>
      <x:c r="N2502" s="35" t="str">
        <x:v>Deepseek-flash-v4/Result/Mockito_11/result.json</x:v>
      </x:c>
      <x:c r="O2502" s="39" t="n">
        <x:f>IF(AND(G2502="RECORDED",ISNUMBER(H2502)),H2502,"")</x:f>
        <x:v>50</x:v>
      </x:c>
      <x:c r="P2502" s="35" t="str">
        <x:v>INCONCLUSIVE</x:v>
      </x:c>
      <x:c r="Q2502" s="35" t="str">
        <x:v>Deepseek-flash-v4/Result/Mockito_11/result.json</x:v>
      </x:c>
    </x:row>
    <x:row r="2503">
      <x:c r="A2503" s="35" t="str">
        <x:v>deepseek</x:v>
      </x:c>
      <x:c r="B2503" s="35" t="str">
        <x:v>Mockito</x:v>
      </x:c>
      <x:c r="C2503" s="35" t="str">
        <x:v>Round1</x:v>
      </x:c>
      <x:c r="D2503" s="35" t="str">
        <x:v>Mockito_12</x:v>
      </x:c>
      <x:c r="E2503" s="35" t="str">
        <x:v>Condition</x:v>
      </x:c>
      <x:c r="F2503" s="35" t="n">
        <x:v>4</x:v>
      </x:c>
      <x:c r="G2503" s="35" t="str">
        <x:v>RECORDED</x:v>
      </x:c>
      <x:c r="H2503" s="39" t="n">
        <x:f>IF(ISNUMBER('Data'!N795),'Data'!N795*100,"")</x:f>
        <x:v>75</x:v>
      </x:c>
      <x:c r="I2503" s="35" t="str">
        <x:v>PASS</x:v>
      </x:c>
      <x:c r="J2503" s="35" t="str">
        <x:v>PASS</x:v>
      </x:c>
      <x:c r="K2503" s="35" t="str">
        <x:v>PASS</x:v>
      </x:c>
      <x:c r="L2503" s="35" t="str">
        <x:v>FAIL</x:v>
      </x:c>
      <x:c r="M2503" s="35" t="str">
        <x:v>numeric coverage for applicable metric</x:v>
      </x:c>
      <x:c r="N2503" s="35" t="str">
        <x:v>Deepseek-flash-v4/Result/Mockito_12/result.json</x:v>
      </x:c>
      <x:c r="O2503" s="39" t="n">
        <x:f>IF(AND(G2503="RECORDED",ISNUMBER(H2503)),H2503,"")</x:f>
        <x:v>75</x:v>
      </x:c>
      <x:c r="P2503" s="35" t="str">
        <x:v>INCONCLUSIVE</x:v>
      </x:c>
      <x:c r="Q2503" s="35" t="str">
        <x:v>Deepseek-flash-v4/Result/Mockito_12/result.json</x:v>
      </x:c>
    </x:row>
    <x:row r="2504">
      <x:c r="A2504" s="35" t="str">
        <x:v>deepseek</x:v>
      </x:c>
      <x:c r="B2504" s="35" t="str">
        <x:v>Mockito</x:v>
      </x:c>
      <x:c r="C2504" s="35" t="str">
        <x:v>Round1</x:v>
      </x:c>
      <x:c r="D2504" s="35" t="str">
        <x:v>Mockito_13</x:v>
      </x:c>
      <x:c r="E2504" s="35" t="str">
        <x:v>Condition</x:v>
      </x:c>
      <x:c r="F2504" s="35"/>
      <x:c r="G2504" s="35" t="str">
        <x:v>A</x:v>
      </x:c>
      <x:c r="H2504" s="39" t="str">
        <x:f>IF(ISNUMBER('Data'!N796),'Data'!N796*100,"")</x:f>
      </x:c>
      <x:c r="I2504" s="35"/>
      <x:c r="J2504" s="35" t="str">
        <x:v>PASS</x:v>
      </x:c>
      <x:c r="K2504" s="35" t="str">
        <x:v>FAIL</x:v>
      </x:c>
      <x:c r="L2504" s="35" t="str">
        <x:v>NOT_RUN</x:v>
      </x:c>
      <x:c r="M2504" s="35" t="str">
        <x:v>coverage unavailable or execution/compile failed</x:v>
      </x:c>
      <x:c r="N2504" s="35" t="str">
        <x:v>Deepseek-flash-v4/Result/Mockito_13/result.json</x:v>
      </x:c>
      <x:c r="O2504" s="39" t="str">
        <x:f>IF(AND(G2504="RECORDED",ISNUMBER(H2504)),H2504,"")</x:f>
      </x:c>
      <x:c r="P2504" s="35" t="str">
        <x:v>NOT_AVAILABLE</x:v>
      </x:c>
      <x:c r="Q2504" s="35" t="str">
        <x:v>Deepseek-flash-v4/Result/Mockito_13/result.json</x:v>
      </x:c>
    </x:row>
    <x:row r="2505">
      <x:c r="A2505" s="35" t="str">
        <x:v>deepseek</x:v>
      </x:c>
      <x:c r="B2505" s="35" t="str">
        <x:v>Mockito</x:v>
      </x:c>
      <x:c r="C2505" s="35" t="str">
        <x:v>Round1</x:v>
      </x:c>
      <x:c r="D2505" s="35" t="str">
        <x:v>Mockito_14</x:v>
      </x:c>
      <x:c r="E2505" s="35" t="str">
        <x:v>Condition</x:v>
      </x:c>
      <x:c r="F2505" s="35"/>
      <x:c r="G2505" s="35" t="str">
        <x:v>A</x:v>
      </x:c>
      <x:c r="H2505" s="39" t="str">
        <x:f>IF(ISNUMBER('Data'!N797),'Data'!N797*100,"")</x:f>
      </x:c>
      <x:c r="I2505" s="35"/>
      <x:c r="J2505" s="35" t="str">
        <x:v>PASS</x:v>
      </x:c>
      <x:c r="K2505" s="35" t="str">
        <x:v>FAIL</x:v>
      </x:c>
      <x:c r="L2505" s="35" t="str">
        <x:v>NOT_RUN</x:v>
      </x:c>
      <x:c r="M2505" s="35" t="str">
        <x:v>coverage unavailable or execution/compile failed</x:v>
      </x:c>
      <x:c r="N2505" s="35" t="str">
        <x:v>Deepseek-flash-v4/Result/Mockito_14/result.json</x:v>
      </x:c>
      <x:c r="O2505" s="39" t="str">
        <x:f>IF(AND(G2505="RECORDED",ISNUMBER(H2505)),H2505,"")</x:f>
      </x:c>
      <x:c r="P2505" s="35" t="str">
        <x:v>NOT_AVAILABLE</x:v>
      </x:c>
      <x:c r="Q2505" s="35" t="str">
        <x:v>Deepseek-flash-v4/Result/Mockito_14/result.json</x:v>
      </x:c>
    </x:row>
    <x:row r="2506">
      <x:c r="A2506" s="35" t="str">
        <x:v>deepseek</x:v>
      </x:c>
      <x:c r="B2506" s="35" t="str">
        <x:v>Mockito</x:v>
      </x:c>
      <x:c r="C2506" s="35" t="str">
        <x:v>Round1</x:v>
      </x:c>
      <x:c r="D2506" s="35" t="str">
        <x:v>Mockito_15</x:v>
      </x:c>
      <x:c r="E2506" s="35" t="str">
        <x:v>Condition</x:v>
      </x:c>
      <x:c r="F2506" s="35" t="n">
        <x:v>2</x:v>
      </x:c>
      <x:c r="G2506" s="35" t="str">
        <x:v>RECORDED</x:v>
      </x:c>
      <x:c r="H2506" s="39" t="n">
        <x:f>IF(ISNUMBER('Data'!N798),'Data'!N798*100,"")</x:f>
        <x:v>100</x:v>
      </x:c>
      <x:c r="I2506" s="35" t="str">
        <x:v>PASS</x:v>
      </x:c>
      <x:c r="J2506" s="35" t="str">
        <x:v>PASS</x:v>
      </x:c>
      <x:c r="K2506" s="35" t="str">
        <x:v>PASS</x:v>
      </x:c>
      <x:c r="L2506" s="35" t="str">
        <x:v>PASS</x:v>
      </x:c>
      <x:c r="M2506" s="35" t="str">
        <x:v>numeric coverage for applicable metric</x:v>
      </x:c>
      <x:c r="N2506" s="35" t="str">
        <x:v>Deepseek-flash-v4/Result/Mockito_15/result.json</x:v>
      </x:c>
      <x:c r="O2506" s="39" t="n">
        <x:f>IF(AND(G2506="RECORDED",ISNUMBER(H2506)),H2506,"")</x:f>
        <x:v>100</x:v>
      </x:c>
      <x:c r="P2506" s="35" t="str">
        <x:v>NOT_REVEALING</x:v>
      </x:c>
      <x:c r="Q2506" s="35" t="str">
        <x:v>Deepseek-flash-v4/Result/Mockito_15/result.json</x:v>
      </x:c>
    </x:row>
    <x:row r="2507">
      <x:c r="A2507" s="35" t="str">
        <x:v>deepseek</x:v>
      </x:c>
      <x:c r="B2507" s="35" t="str">
        <x:v>Mockito</x:v>
      </x:c>
      <x:c r="C2507" s="35" t="str">
        <x:v>Round1</x:v>
      </x:c>
      <x:c r="D2507" s="35" t="str">
        <x:v>Mockito_16</x:v>
      </x:c>
      <x:c r="E2507" s="35" t="str">
        <x:v>Condition</x:v>
      </x:c>
      <x:c r="F2507" s="35"/>
      <x:c r="G2507" s="35" t="str">
        <x:v>A</x:v>
      </x:c>
      <x:c r="H2507" s="39" t="str">
        <x:f>IF(ISNUMBER('Data'!N799),'Data'!N799*100,"")</x:f>
      </x:c>
      <x:c r="I2507" s="35"/>
      <x:c r="J2507" s="35" t="str">
        <x:v>PASS</x:v>
      </x:c>
      <x:c r="K2507" s="35" t="str">
        <x:v>FAIL</x:v>
      </x:c>
      <x:c r="L2507" s="35" t="str">
        <x:v>NOT_RUN</x:v>
      </x:c>
      <x:c r="M2507" s="35" t="str">
        <x:v>coverage unavailable or execution/compile failed</x:v>
      </x:c>
      <x:c r="N2507" s="35" t="str">
        <x:v>Deepseek-flash-v4/Result/Mockito_16/result.json</x:v>
      </x:c>
      <x:c r="O2507" s="39" t="str">
        <x:f>IF(AND(G2507="RECORDED",ISNUMBER(H2507)),H2507,"")</x:f>
      </x:c>
      <x:c r="P2507" s="35" t="str">
        <x:v>NOT_AVAILABLE</x:v>
      </x:c>
      <x:c r="Q2507" s="35" t="str">
        <x:v>Deepseek-flash-v4/Result/Mockito_16/result.json</x:v>
      </x:c>
    </x:row>
    <x:row r="2508">
      <x:c r="A2508" s="35" t="str">
        <x:v>deepseek</x:v>
      </x:c>
      <x:c r="B2508" s="35" t="str">
        <x:v>Mockito</x:v>
      </x:c>
      <x:c r="C2508" s="35" t="str">
        <x:v>Round1</x:v>
      </x:c>
      <x:c r="D2508" s="35" t="str">
        <x:v>Mockito_17</x:v>
      </x:c>
      <x:c r="E2508" s="35" t="str">
        <x:v>Condition</x:v>
      </x:c>
      <x:c r="F2508" s="35"/>
      <x:c r="G2508" s="35" t="str">
        <x:v>A</x:v>
      </x:c>
      <x:c r="H2508" s="39" t="str">
        <x:f>IF(ISNUMBER('Data'!N800),'Data'!N800*100,"")</x:f>
      </x:c>
      <x:c r="I2508" s="35"/>
      <x:c r="J2508" s="35" t="str">
        <x:v>PASS</x:v>
      </x:c>
      <x:c r="K2508" s="35" t="str">
        <x:v>FAIL</x:v>
      </x:c>
      <x:c r="L2508" s="35" t="str">
        <x:v>NOT_RUN</x:v>
      </x:c>
      <x:c r="M2508" s="35" t="str">
        <x:v>coverage unavailable or execution/compile failed</x:v>
      </x:c>
      <x:c r="N2508" s="35" t="str">
        <x:v>Deepseek-flash-v4/Result/Mockito_17/result.json</x:v>
      </x:c>
      <x:c r="O2508" s="39" t="str">
        <x:f>IF(AND(G2508="RECORDED",ISNUMBER(H2508)),H2508,"")</x:f>
      </x:c>
      <x:c r="P2508" s="35" t="str">
        <x:v>NOT_AVAILABLE</x:v>
      </x:c>
      <x:c r="Q2508" s="35" t="str">
        <x:v>Deepseek-flash-v4/Result/Mockito_17/result.json</x:v>
      </x:c>
    </x:row>
    <x:row r="2509">
      <x:c r="A2509" s="35" t="str">
        <x:v>deepseek</x:v>
      </x:c>
      <x:c r="B2509" s="35" t="str">
        <x:v>Mockito</x:v>
      </x:c>
      <x:c r="C2509" s="35" t="str">
        <x:v>Round1</x:v>
      </x:c>
      <x:c r="D2509" s="35" t="str">
        <x:v>Mockito_18</x:v>
      </x:c>
      <x:c r="E2509" s="35" t="str">
        <x:v>Condition</x:v>
      </x:c>
      <x:c r="F2509" s="35"/>
      <x:c r="G2509" s="35" t="str">
        <x:v>A</x:v>
      </x:c>
      <x:c r="H2509" s="39" t="str">
        <x:f>IF(ISNUMBER('Data'!N801),'Data'!N801*100,"")</x:f>
      </x:c>
      <x:c r="I2509" s="35"/>
      <x:c r="J2509" s="35" t="str">
        <x:v>PASS</x:v>
      </x:c>
      <x:c r="K2509" s="35" t="str">
        <x:v>FAIL</x:v>
      </x:c>
      <x:c r="L2509" s="35" t="str">
        <x:v>NOT_RUN</x:v>
      </x:c>
      <x:c r="M2509" s="35" t="str">
        <x:v>coverage unavailable or execution/compile failed</x:v>
      </x:c>
      <x:c r="N2509" s="35" t="str">
        <x:v>Deepseek-flash-v4/Result/Mockito_18/result.json</x:v>
      </x:c>
      <x:c r="O2509" s="39" t="str">
        <x:f>IF(AND(G2509="RECORDED",ISNUMBER(H2509)),H2509,"")</x:f>
      </x:c>
      <x:c r="P2509" s="35" t="str">
        <x:v>NOT_AVAILABLE</x:v>
      </x:c>
      <x:c r="Q2509" s="35" t="str">
        <x:v>Deepseek-flash-v4/Result/Mockito_18/result.json</x:v>
      </x:c>
    </x:row>
    <x:row r="2510">
      <x:c r="A2510" s="35" t="str">
        <x:v>deepseek</x:v>
      </x:c>
      <x:c r="B2510" s="35" t="str">
        <x:v>Mockito</x:v>
      </x:c>
      <x:c r="C2510" s="35" t="str">
        <x:v>Round1</x:v>
      </x:c>
      <x:c r="D2510" s="35" t="str">
        <x:v>Mockito_19</x:v>
      </x:c>
      <x:c r="E2510" s="35" t="str">
        <x:v>Condition</x:v>
      </x:c>
      <x:c r="F2510" s="35"/>
      <x:c r="G2510" s="35" t="str">
        <x:v>A</x:v>
      </x:c>
      <x:c r="H2510" s="39" t="str">
        <x:f>IF(ISNUMBER('Data'!N802),'Data'!N802*100,"")</x:f>
      </x:c>
      <x:c r="I2510" s="35"/>
      <x:c r="J2510" s="35" t="str">
        <x:v>PASS</x:v>
      </x:c>
      <x:c r="K2510" s="35" t="str">
        <x:v>FAIL</x:v>
      </x:c>
      <x:c r="L2510" s="35" t="str">
        <x:v>NOT_RUN</x:v>
      </x:c>
      <x:c r="M2510" s="35" t="str">
        <x:v>coverage unavailable or execution/compile failed</x:v>
      </x:c>
      <x:c r="N2510" s="35" t="str">
        <x:v>Deepseek-flash-v4/Result/Mockito_19/result.json</x:v>
      </x:c>
      <x:c r="O2510" s="39" t="str">
        <x:f>IF(AND(G2510="RECORDED",ISNUMBER(H2510)),H2510,"")</x:f>
      </x:c>
      <x:c r="P2510" s="35" t="str">
        <x:v>NOT_AVAILABLE</x:v>
      </x:c>
      <x:c r="Q2510" s="35" t="str">
        <x:v>Deepseek-flash-v4/Result/Mockito_19/result.json</x:v>
      </x:c>
    </x:row>
    <x:row r="2511">
      <x:c r="A2511" s="35" t="str">
        <x:v>deepseek</x:v>
      </x:c>
      <x:c r="B2511" s="35" t="str">
        <x:v>Mockito</x:v>
      </x:c>
      <x:c r="C2511" s="35" t="str">
        <x:v>Round1</x:v>
      </x:c>
      <x:c r="D2511" s="35" t="str">
        <x:v>Mockito_2</x:v>
      </x:c>
      <x:c r="E2511" s="35" t="str">
        <x:v>Condition</x:v>
      </x:c>
      <x:c r="F2511" s="35" t="n">
        <x:v>6</x:v>
      </x:c>
      <x:c r="G2511" s="35" t="str">
        <x:v>RECORDED</x:v>
      </x:c>
      <x:c r="H2511" s="39" t="n">
        <x:f>IF(ISNUMBER('Data'!N803),'Data'!N803*100,"")</x:f>
        <x:v>50</x:v>
      </x:c>
      <x:c r="I2511" s="35" t="str">
        <x:v>PASS</x:v>
      </x:c>
      <x:c r="J2511" s="35" t="str">
        <x:v>PASS</x:v>
      </x:c>
      <x:c r="K2511" s="35" t="str">
        <x:v>PASS</x:v>
      </x:c>
      <x:c r="L2511" s="35" t="str">
        <x:v>FAIL</x:v>
      </x:c>
      <x:c r="M2511" s="35" t="str">
        <x:v>numeric coverage for applicable metric</x:v>
      </x:c>
      <x:c r="N2511" s="35" t="str">
        <x:v>Deepseek-flash-v4/Result/Mockito_2/result.json</x:v>
      </x:c>
      <x:c r="O2511" s="39" t="n">
        <x:f>IF(AND(G2511="RECORDED",ISNUMBER(H2511)),H2511,"")</x:f>
        <x:v>50</x:v>
      </x:c>
      <x:c r="P2511" s="35" t="str">
        <x:v>INCONCLUSIVE</x:v>
      </x:c>
      <x:c r="Q2511" s="35" t="str">
        <x:v>Deepseek-flash-v4/Result/Mockito_2/result.json</x:v>
      </x:c>
    </x:row>
    <x:row r="2512">
      <x:c r="A2512" s="35" t="str">
        <x:v>deepseek</x:v>
      </x:c>
      <x:c r="B2512" s="35" t="str">
        <x:v>Mockito</x:v>
      </x:c>
      <x:c r="C2512" s="35" t="str">
        <x:v>Round1</x:v>
      </x:c>
      <x:c r="D2512" s="35" t="str">
        <x:v>Mockito_20</x:v>
      </x:c>
      <x:c r="E2512" s="35" t="str">
        <x:v>Condition</x:v>
      </x:c>
      <x:c r="F2512" s="35"/>
      <x:c r="G2512" s="35" t="str">
        <x:v>A</x:v>
      </x:c>
      <x:c r="H2512" s="39" t="str">
        <x:f>IF(ISNUMBER('Data'!N804),'Data'!N804*100,"")</x:f>
      </x:c>
      <x:c r="I2512" s="35"/>
      <x:c r="J2512" s="35" t="str">
        <x:v>PASS</x:v>
      </x:c>
      <x:c r="K2512" s="35" t="str">
        <x:v>FAIL</x:v>
      </x:c>
      <x:c r="L2512" s="35" t="str">
        <x:v>NOT_RUN</x:v>
      </x:c>
      <x:c r="M2512" s="35" t="str">
        <x:v>coverage unavailable or execution/compile failed</x:v>
      </x:c>
      <x:c r="N2512" s="35" t="str">
        <x:v>Deepseek-flash-v4/Result/Mockito_20/result.json</x:v>
      </x:c>
      <x:c r="O2512" s="39" t="str">
        <x:f>IF(AND(G2512="RECORDED",ISNUMBER(H2512)),H2512,"")</x:f>
      </x:c>
      <x:c r="P2512" s="35" t="str">
        <x:v>NOT_AVAILABLE</x:v>
      </x:c>
      <x:c r="Q2512" s="35" t="str">
        <x:v>Deepseek-flash-v4/Result/Mockito_20/result.json</x:v>
      </x:c>
    </x:row>
    <x:row r="2513">
      <x:c r="A2513" s="35" t="str">
        <x:v>deepseek</x:v>
      </x:c>
      <x:c r="B2513" s="35" t="str">
        <x:v>Mockito</x:v>
      </x:c>
      <x:c r="C2513" s="35" t="str">
        <x:v>Round1</x:v>
      </x:c>
      <x:c r="D2513" s="35" t="str">
        <x:v>Mockito_21</x:v>
      </x:c>
      <x:c r="E2513" s="35" t="str">
        <x:v>Condition</x:v>
      </x:c>
      <x:c r="F2513" s="35" t="n">
        <x:v>2</x:v>
      </x:c>
      <x:c r="G2513" s="35" t="str">
        <x:v>RECORDED</x:v>
      </x:c>
      <x:c r="H2513" s="39" t="n">
        <x:f>IF(ISNUMBER('Data'!N805),'Data'!N805*100,"")</x:f>
        <x:v>100</x:v>
      </x:c>
      <x:c r="I2513" s="35" t="str">
        <x:v>PASS</x:v>
      </x:c>
      <x:c r="J2513" s="35" t="str">
        <x:v>PASS</x:v>
      </x:c>
      <x:c r="K2513" s="35" t="str">
        <x:v>PASS</x:v>
      </x:c>
      <x:c r="L2513" s="35" t="str">
        <x:v>FAIL</x:v>
      </x:c>
      <x:c r="M2513" s="35" t="str">
        <x:v>numeric coverage for applicable metric</x:v>
      </x:c>
      <x:c r="N2513" s="35" t="str">
        <x:v>Deepseek-flash-v4/Result/Mockito_21/result.json</x:v>
      </x:c>
      <x:c r="O2513" s="39" t="n">
        <x:f>IF(AND(G2513="RECORDED",ISNUMBER(H2513)),H2513,"")</x:f>
        <x:v>100</x:v>
      </x:c>
      <x:c r="P2513" s="35" t="str">
        <x:v>INCONCLUSIVE</x:v>
      </x:c>
      <x:c r="Q2513" s="35" t="str">
        <x:v>Deepseek-flash-v4/Result/Mockito_21/result.json</x:v>
      </x:c>
    </x:row>
    <x:row r="2514">
      <x:c r="A2514" s="35" t="str">
        <x:v>deepseek</x:v>
      </x:c>
      <x:c r="B2514" s="35" t="str">
        <x:v>Mockito</x:v>
      </x:c>
      <x:c r="C2514" s="35" t="str">
        <x:v>Round1</x:v>
      </x:c>
      <x:c r="D2514" s="35" t="str">
        <x:v>Mockito_22</x:v>
      </x:c>
      <x:c r="E2514" s="35" t="str">
        <x:v>Condition</x:v>
      </x:c>
      <x:c r="F2514" s="35" t="n">
        <x:v>24</x:v>
      </x:c>
      <x:c r="G2514" s="35" t="str">
        <x:v>RECORDED</x:v>
      </x:c>
      <x:c r="H2514" s="39" t="n">
        <x:f>IF(ISNUMBER('Data'!N806),'Data'!N806*100,"")</x:f>
        <x:v>100</x:v>
      </x:c>
      <x:c r="I2514" s="35" t="str">
        <x:v>PASS</x:v>
      </x:c>
      <x:c r="J2514" s="35" t="str">
        <x:v>PASS</x:v>
      </x:c>
      <x:c r="K2514" s="35" t="str">
        <x:v>PASS</x:v>
      </x:c>
      <x:c r="L2514" s="35" t="str">
        <x:v>PASS</x:v>
      </x:c>
      <x:c r="M2514" s="35" t="str">
        <x:v>numeric coverage for applicable metric</x:v>
      </x:c>
      <x:c r="N2514" s="35" t="str">
        <x:v>Deepseek-flash-v4/Result/Mockito_22/result.json</x:v>
      </x:c>
      <x:c r="O2514" s="39" t="n">
        <x:f>IF(AND(G2514="RECORDED",ISNUMBER(H2514)),H2514,"")</x:f>
        <x:v>100</x:v>
      </x:c>
      <x:c r="P2514" s="35" t="str">
        <x:v>NOT_REVEALING</x:v>
      </x:c>
      <x:c r="Q2514" s="35" t="str">
        <x:v>Deepseek-flash-v4/Result/Mockito_22/result.json</x:v>
      </x:c>
    </x:row>
    <x:row r="2515">
      <x:c r="A2515" s="35" t="str">
        <x:v>deepseek</x:v>
      </x:c>
      <x:c r="B2515" s="35" t="str">
        <x:v>Mockito</x:v>
      </x:c>
      <x:c r="C2515" s="35" t="str">
        <x:v>Round1</x:v>
      </x:c>
      <x:c r="D2515" s="35" t="str">
        <x:v>Mockito_23</x:v>
      </x:c>
      <x:c r="E2515" s="35" t="str">
        <x:v>Condition</x:v>
      </x:c>
      <x:c r="F2515" s="35"/>
      <x:c r="G2515" s="35" t="str">
        <x:v>A</x:v>
      </x:c>
      <x:c r="H2515" s="39" t="str">
        <x:f>IF(ISNUMBER('Data'!N807),'Data'!N807*100,"")</x:f>
      </x:c>
      <x:c r="I2515" s="35"/>
      <x:c r="J2515" s="35" t="str">
        <x:v>PASS</x:v>
      </x:c>
      <x:c r="K2515" s="35" t="str">
        <x:v>FAIL</x:v>
      </x:c>
      <x:c r="L2515" s="35" t="str">
        <x:v>NOT_RUN</x:v>
      </x:c>
      <x:c r="M2515" s="35" t="str">
        <x:v>coverage unavailable or execution/compile failed</x:v>
      </x:c>
      <x:c r="N2515" s="35" t="str">
        <x:v>Deepseek-flash-v4/Result/Mockito_23/result.json</x:v>
      </x:c>
      <x:c r="O2515" s="39" t="str">
        <x:f>IF(AND(G2515="RECORDED",ISNUMBER(H2515)),H2515,"")</x:f>
      </x:c>
      <x:c r="P2515" s="35" t="str">
        <x:v>NOT_AVAILABLE</x:v>
      </x:c>
      <x:c r="Q2515" s="35" t="str">
        <x:v>Deepseek-flash-v4/Result/Mockito_23/result.json</x:v>
      </x:c>
    </x:row>
    <x:row r="2516">
      <x:c r="A2516" s="35" t="str">
        <x:v>deepseek</x:v>
      </x:c>
      <x:c r="B2516" s="35" t="str">
        <x:v>Mockito</x:v>
      </x:c>
      <x:c r="C2516" s="35" t="str">
        <x:v>Round1</x:v>
      </x:c>
      <x:c r="D2516" s="35" t="str">
        <x:v>Mockito_24</x:v>
      </x:c>
      <x:c r="E2516" s="35" t="str">
        <x:v>Condition</x:v>
      </x:c>
      <x:c r="F2516" s="35"/>
      <x:c r="G2516" s="35" t="str">
        <x:v>A</x:v>
      </x:c>
      <x:c r="H2516" s="39" t="str">
        <x:f>IF(ISNUMBER('Data'!N808),'Data'!N808*100,"")</x:f>
      </x:c>
      <x:c r="I2516" s="35"/>
      <x:c r="J2516" s="35" t="str">
        <x:v>PASS</x:v>
      </x:c>
      <x:c r="K2516" s="35" t="str">
        <x:v>FAIL</x:v>
      </x:c>
      <x:c r="L2516" s="35" t="str">
        <x:v>NOT_RUN</x:v>
      </x:c>
      <x:c r="M2516" s="35" t="str">
        <x:v>coverage unavailable or execution/compile failed</x:v>
      </x:c>
      <x:c r="N2516" s="35" t="str">
        <x:v>Deepseek-flash-v4/Result/Mockito_24/result.json</x:v>
      </x:c>
      <x:c r="O2516" s="39" t="str">
        <x:f>IF(AND(G2516="RECORDED",ISNUMBER(H2516)),H2516,"")</x:f>
      </x:c>
      <x:c r="P2516" s="35" t="str">
        <x:v>NOT_AVAILABLE</x:v>
      </x:c>
      <x:c r="Q2516" s="35" t="str">
        <x:v>Deepseek-flash-v4/Result/Mockito_24/result.json</x:v>
      </x:c>
    </x:row>
    <x:row r="2517">
      <x:c r="A2517" s="35" t="str">
        <x:v>deepseek</x:v>
      </x:c>
      <x:c r="B2517" s="35" t="str">
        <x:v>Mockito</x:v>
      </x:c>
      <x:c r="C2517" s="35" t="str">
        <x:v>Round1</x:v>
      </x:c>
      <x:c r="D2517" s="35" t="str">
        <x:v>Mockito_25</x:v>
      </x:c>
      <x:c r="E2517" s="35" t="str">
        <x:v>Condition</x:v>
      </x:c>
      <x:c r="F2517" s="35"/>
      <x:c r="G2517" s="35" t="str">
        <x:v>A</x:v>
      </x:c>
      <x:c r="H2517" s="39" t="str">
        <x:f>IF(ISNUMBER('Data'!N809),'Data'!N809*100,"")</x:f>
      </x:c>
      <x:c r="I2517" s="35"/>
      <x:c r="J2517" s="35" t="str">
        <x:v>PASS</x:v>
      </x:c>
      <x:c r="K2517" s="35" t="str">
        <x:v>FAIL</x:v>
      </x:c>
      <x:c r="L2517" s="35" t="str">
        <x:v>NOT_RUN</x:v>
      </x:c>
      <x:c r="M2517" s="35" t="str">
        <x:v>coverage unavailable or execution/compile failed</x:v>
      </x:c>
      <x:c r="N2517" s="35" t="str">
        <x:v>Deepseek-flash-v4/Result/Mockito_25/result.json</x:v>
      </x:c>
      <x:c r="O2517" s="39" t="str">
        <x:f>IF(AND(G2517="RECORDED",ISNUMBER(H2517)),H2517,"")</x:f>
      </x:c>
      <x:c r="P2517" s="35" t="str">
        <x:v>NOT_AVAILABLE</x:v>
      </x:c>
      <x:c r="Q2517" s="35" t="str">
        <x:v>Deepseek-flash-v4/Result/Mockito_25/result.json</x:v>
      </x:c>
    </x:row>
    <x:row r="2518">
      <x:c r="A2518" s="35" t="str">
        <x:v>deepseek</x:v>
      </x:c>
      <x:c r="B2518" s="35" t="str">
        <x:v>Mockito</x:v>
      </x:c>
      <x:c r="C2518" s="35" t="str">
        <x:v>Round1</x:v>
      </x:c>
      <x:c r="D2518" s="35" t="str">
        <x:v>Mockito_26</x:v>
      </x:c>
      <x:c r="E2518" s="35" t="str">
        <x:v>Condition</x:v>
      </x:c>
      <x:c r="F2518" s="35"/>
      <x:c r="G2518" s="35" t="str">
        <x:v>A</x:v>
      </x:c>
      <x:c r="H2518" s="39" t="str">
        <x:f>IF(ISNUMBER('Data'!N810),'Data'!N810*100,"")</x:f>
      </x:c>
      <x:c r="I2518" s="35"/>
      <x:c r="J2518" s="35" t="str">
        <x:v>PASS</x:v>
      </x:c>
      <x:c r="K2518" s="35" t="str">
        <x:v>FAIL</x:v>
      </x:c>
      <x:c r="L2518" s="35" t="str">
        <x:v>NOT_RUN</x:v>
      </x:c>
      <x:c r="M2518" s="35" t="str">
        <x:v>coverage unavailable or execution/compile failed</x:v>
      </x:c>
      <x:c r="N2518" s="35" t="str">
        <x:v>Deepseek-flash-v4/Result/Mockito_26/result.json</x:v>
      </x:c>
      <x:c r="O2518" s="39" t="str">
        <x:f>IF(AND(G2518="RECORDED",ISNUMBER(H2518)),H2518,"")</x:f>
      </x:c>
      <x:c r="P2518" s="35" t="str">
        <x:v>NOT_AVAILABLE</x:v>
      </x:c>
      <x:c r="Q2518" s="35" t="str">
        <x:v>Deepseek-flash-v4/Result/Mockito_26/result.json</x:v>
      </x:c>
    </x:row>
    <x:row r="2519">
      <x:c r="A2519" s="35" t="str">
        <x:v>deepseek</x:v>
      </x:c>
      <x:c r="B2519" s="35" t="str">
        <x:v>Mockito</x:v>
      </x:c>
      <x:c r="C2519" s="35" t="str">
        <x:v>Round1</x:v>
      </x:c>
      <x:c r="D2519" s="35" t="str">
        <x:v>Mockito_27</x:v>
      </x:c>
      <x:c r="E2519" s="35" t="str">
        <x:v>Condition</x:v>
      </x:c>
      <x:c r="F2519" s="35"/>
      <x:c r="G2519" s="35" t="str">
        <x:v>A</x:v>
      </x:c>
      <x:c r="H2519" s="39" t="str">
        <x:f>IF(ISNUMBER('Data'!N811),'Data'!N811*100,"")</x:f>
      </x:c>
      <x:c r="I2519" s="35"/>
      <x:c r="J2519" s="35" t="str">
        <x:v>PASS</x:v>
      </x:c>
      <x:c r="K2519" s="35" t="str">
        <x:v>FAIL</x:v>
      </x:c>
      <x:c r="L2519" s="35" t="str">
        <x:v>NOT_RUN</x:v>
      </x:c>
      <x:c r="M2519" s="35" t="str">
        <x:v>coverage unavailable or execution/compile failed</x:v>
      </x:c>
      <x:c r="N2519" s="35" t="str">
        <x:v>Deepseek-flash-v4/Result/Mockito_27/result.json</x:v>
      </x:c>
      <x:c r="O2519" s="39" t="str">
        <x:f>IF(AND(G2519="RECORDED",ISNUMBER(H2519)),H2519,"")</x:f>
      </x:c>
      <x:c r="P2519" s="35" t="str">
        <x:v>NOT_AVAILABLE</x:v>
      </x:c>
      <x:c r="Q2519" s="35" t="str">
        <x:v>Deepseek-flash-v4/Result/Mockito_27/result.json</x:v>
      </x:c>
    </x:row>
    <x:row r="2520">
      <x:c r="A2520" s="35" t="str">
        <x:v>deepseek</x:v>
      </x:c>
      <x:c r="B2520" s="35" t="str">
        <x:v>Mockito</x:v>
      </x:c>
      <x:c r="C2520" s="35" t="str">
        <x:v>Round1</x:v>
      </x:c>
      <x:c r="D2520" s="35" t="str">
        <x:v>Mockito_28</x:v>
      </x:c>
      <x:c r="E2520" s="35" t="str">
        <x:v>Condition</x:v>
      </x:c>
      <x:c r="F2520" s="35"/>
      <x:c r="G2520" s="35" t="str">
        <x:v>A</x:v>
      </x:c>
      <x:c r="H2520" s="39" t="str">
        <x:f>IF(ISNUMBER('Data'!N812),'Data'!N812*100,"")</x:f>
      </x:c>
      <x:c r="I2520" s="35"/>
      <x:c r="J2520" s="35" t="str">
        <x:v>PASS</x:v>
      </x:c>
      <x:c r="K2520" s="35" t="str">
        <x:v>FAIL</x:v>
      </x:c>
      <x:c r="L2520" s="35" t="str">
        <x:v>NOT_RUN</x:v>
      </x:c>
      <x:c r="M2520" s="35" t="str">
        <x:v>coverage unavailable or execution/compile failed</x:v>
      </x:c>
      <x:c r="N2520" s="35" t="str">
        <x:v>Deepseek-flash-v4/Result/Mockito_28/result.json</x:v>
      </x:c>
      <x:c r="O2520" s="39" t="str">
        <x:f>IF(AND(G2520="RECORDED",ISNUMBER(H2520)),H2520,"")</x:f>
      </x:c>
      <x:c r="P2520" s="35" t="str">
        <x:v>NOT_AVAILABLE</x:v>
      </x:c>
      <x:c r="Q2520" s="35" t="str">
        <x:v>Deepseek-flash-v4/Result/Mockito_28/result.json</x:v>
      </x:c>
    </x:row>
    <x:row r="2521">
      <x:c r="A2521" s="35" t="str">
        <x:v>deepseek</x:v>
      </x:c>
      <x:c r="B2521" s="35" t="str">
        <x:v>Mockito</x:v>
      </x:c>
      <x:c r="C2521" s="35" t="str">
        <x:v>Round1</x:v>
      </x:c>
      <x:c r="D2521" s="35" t="str">
        <x:v>Mockito_29</x:v>
      </x:c>
      <x:c r="E2521" s="35" t="str">
        <x:v>Condition</x:v>
      </x:c>
      <x:c r="F2521" s="35"/>
      <x:c r="G2521" s="35" t="str">
        <x:v>A</x:v>
      </x:c>
      <x:c r="H2521" s="39" t="str">
        <x:f>IF(ISNUMBER('Data'!N813),'Data'!N813*100,"")</x:f>
      </x:c>
      <x:c r="I2521" s="35"/>
      <x:c r="J2521" s="35" t="str">
        <x:v>PASS</x:v>
      </x:c>
      <x:c r="K2521" s="35" t="str">
        <x:v>FAIL</x:v>
      </x:c>
      <x:c r="L2521" s="35" t="str">
        <x:v>NOT_RUN</x:v>
      </x:c>
      <x:c r="M2521" s="35" t="str">
        <x:v>coverage unavailable or execution/compile failed</x:v>
      </x:c>
      <x:c r="N2521" s="35" t="str">
        <x:v>Deepseek-flash-v4/Result/Mockito_29/result.json</x:v>
      </x:c>
      <x:c r="O2521" s="39" t="str">
        <x:f>IF(AND(G2521="RECORDED",ISNUMBER(H2521)),H2521,"")</x:f>
      </x:c>
      <x:c r="P2521" s="35" t="str">
        <x:v>NOT_AVAILABLE</x:v>
      </x:c>
      <x:c r="Q2521" s="35" t="str">
        <x:v>Deepseek-flash-v4/Result/Mockito_29/result.json</x:v>
      </x:c>
    </x:row>
    <x:row r="2522">
      <x:c r="A2522" s="35" t="str">
        <x:v>deepseek</x:v>
      </x:c>
      <x:c r="B2522" s="35" t="str">
        <x:v>Mockito</x:v>
      </x:c>
      <x:c r="C2522" s="35" t="str">
        <x:v>Round1</x:v>
      </x:c>
      <x:c r="D2522" s="35" t="str">
        <x:v>Mockito_3</x:v>
      </x:c>
      <x:c r="E2522" s="35" t="str">
        <x:v>Condition</x:v>
      </x:c>
      <x:c r="F2522" s="35"/>
      <x:c r="G2522" s="35" t="str">
        <x:v>A</x:v>
      </x:c>
      <x:c r="H2522" s="39" t="str">
        <x:f>IF(ISNUMBER('Data'!N814),'Data'!N814*100,"")</x:f>
      </x:c>
      <x:c r="I2522" s="35"/>
      <x:c r="J2522" s="35" t="str">
        <x:v>PASS</x:v>
      </x:c>
      <x:c r="K2522" s="35" t="str">
        <x:v>FAIL</x:v>
      </x:c>
      <x:c r="L2522" s="35" t="str">
        <x:v>NOT_RUN</x:v>
      </x:c>
      <x:c r="M2522" s="35" t="str">
        <x:v>coverage unavailable or execution/compile failed</x:v>
      </x:c>
      <x:c r="N2522" s="35" t="str">
        <x:v>Deepseek-flash-v4/Result/Mockito_3/result.json</x:v>
      </x:c>
      <x:c r="O2522" s="39" t="str">
        <x:f>IF(AND(G2522="RECORDED",ISNUMBER(H2522)),H2522,"")</x:f>
      </x:c>
      <x:c r="P2522" s="35" t="str">
        <x:v>NOT_AVAILABLE</x:v>
      </x:c>
      <x:c r="Q2522" s="35" t="str">
        <x:v>Deepseek-flash-v4/Result/Mockito_3/result.json</x:v>
      </x:c>
    </x:row>
    <x:row r="2523">
      <x:c r="A2523" s="35" t="str">
        <x:v>deepseek</x:v>
      </x:c>
      <x:c r="B2523" s="35" t="str">
        <x:v>Mockito</x:v>
      </x:c>
      <x:c r="C2523" s="35" t="str">
        <x:v>Round1</x:v>
      </x:c>
      <x:c r="D2523" s="35" t="str">
        <x:v>Mockito_30</x:v>
      </x:c>
      <x:c r="E2523" s="35" t="str">
        <x:v>Condition</x:v>
      </x:c>
      <x:c r="F2523" s="35"/>
      <x:c r="G2523" s="35" t="str">
        <x:v>A</x:v>
      </x:c>
      <x:c r="H2523" s="39" t="str">
        <x:f>IF(ISNUMBER('Data'!N815),'Data'!N815*100,"")</x:f>
      </x:c>
      <x:c r="I2523" s="35"/>
      <x:c r="J2523" s="35" t="str">
        <x:v>PASS</x:v>
      </x:c>
      <x:c r="K2523" s="35" t="str">
        <x:v>FAIL</x:v>
      </x:c>
      <x:c r="L2523" s="35" t="str">
        <x:v>NOT_RUN</x:v>
      </x:c>
      <x:c r="M2523" s="35" t="str">
        <x:v>coverage unavailable or execution/compile failed</x:v>
      </x:c>
      <x:c r="N2523" s="35" t="str">
        <x:v>Deepseek-flash-v4/Result/Mockito_30/result.json</x:v>
      </x:c>
      <x:c r="O2523" s="39" t="str">
        <x:f>IF(AND(G2523="RECORDED",ISNUMBER(H2523)),H2523,"")</x:f>
      </x:c>
      <x:c r="P2523" s="35" t="str">
        <x:v>NOT_AVAILABLE</x:v>
      </x:c>
      <x:c r="Q2523" s="35" t="str">
        <x:v>Deepseek-flash-v4/Result/Mockito_30/result.json</x:v>
      </x:c>
    </x:row>
    <x:row r="2524">
      <x:c r="A2524" s="35" t="str">
        <x:v>deepseek</x:v>
      </x:c>
      <x:c r="B2524" s="35" t="str">
        <x:v>Mockito</x:v>
      </x:c>
      <x:c r="C2524" s="35" t="str">
        <x:v>Round1</x:v>
      </x:c>
      <x:c r="D2524" s="35" t="str">
        <x:v>Mockito_31</x:v>
      </x:c>
      <x:c r="E2524" s="35" t="str">
        <x:v>Condition</x:v>
      </x:c>
      <x:c r="F2524" s="35"/>
      <x:c r="G2524" s="35" t="str">
        <x:v>A</x:v>
      </x:c>
      <x:c r="H2524" s="39" t="str">
        <x:f>IF(ISNUMBER('Data'!N816),'Data'!N816*100,"")</x:f>
      </x:c>
      <x:c r="I2524" s="35"/>
      <x:c r="J2524" s="35" t="str">
        <x:v>PASS</x:v>
      </x:c>
      <x:c r="K2524" s="35" t="str">
        <x:v>FAIL</x:v>
      </x:c>
      <x:c r="L2524" s="35" t="str">
        <x:v>NOT_RUN</x:v>
      </x:c>
      <x:c r="M2524" s="35" t="str">
        <x:v>coverage unavailable or execution/compile failed</x:v>
      </x:c>
      <x:c r="N2524" s="35" t="str">
        <x:v>Deepseek-flash-v4/Result/Mockito_31/result.json</x:v>
      </x:c>
      <x:c r="O2524" s="39" t="str">
        <x:f>IF(AND(G2524="RECORDED",ISNUMBER(H2524)),H2524,"")</x:f>
      </x:c>
      <x:c r="P2524" s="35" t="str">
        <x:v>NOT_AVAILABLE</x:v>
      </x:c>
      <x:c r="Q2524" s="35" t="str">
        <x:v>Deepseek-flash-v4/Result/Mockito_31/result.json</x:v>
      </x:c>
    </x:row>
    <x:row r="2525">
      <x:c r="A2525" s="35" t="str">
        <x:v>deepseek</x:v>
      </x:c>
      <x:c r="B2525" s="35" t="str">
        <x:v>Mockito</x:v>
      </x:c>
      <x:c r="C2525" s="35" t="str">
        <x:v>Round1</x:v>
      </x:c>
      <x:c r="D2525" s="35" t="str">
        <x:v>Mockito_32</x:v>
      </x:c>
      <x:c r="E2525" s="35" t="str">
        <x:v>Condition</x:v>
      </x:c>
      <x:c r="F2525" s="35"/>
      <x:c r="G2525" s="35" t="str">
        <x:v>A</x:v>
      </x:c>
      <x:c r="H2525" s="39" t="str">
        <x:f>IF(ISNUMBER('Data'!N817),'Data'!N817*100,"")</x:f>
      </x:c>
      <x:c r="I2525" s="35"/>
      <x:c r="J2525" s="35" t="str">
        <x:v>PASS</x:v>
      </x:c>
      <x:c r="K2525" s="35" t="str">
        <x:v>FAIL</x:v>
      </x:c>
      <x:c r="L2525" s="35" t="str">
        <x:v>NOT_RUN</x:v>
      </x:c>
      <x:c r="M2525" s="35" t="str">
        <x:v>coverage unavailable or execution/compile failed</x:v>
      </x:c>
      <x:c r="N2525" s="35" t="str">
        <x:v>Deepseek-flash-v4/Result/Mockito_32/result.json</x:v>
      </x:c>
      <x:c r="O2525" s="39" t="str">
        <x:f>IF(AND(G2525="RECORDED",ISNUMBER(H2525)),H2525,"")</x:f>
      </x:c>
      <x:c r="P2525" s="35" t="str">
        <x:v>NOT_AVAILABLE</x:v>
      </x:c>
      <x:c r="Q2525" s="35" t="str">
        <x:v>Deepseek-flash-v4/Result/Mockito_32/result.json</x:v>
      </x:c>
    </x:row>
    <x:row r="2526">
      <x:c r="A2526" s="35" t="str">
        <x:v>deepseek</x:v>
      </x:c>
      <x:c r="B2526" s="35" t="str">
        <x:v>Mockito</x:v>
      </x:c>
      <x:c r="C2526" s="35" t="str">
        <x:v>Round1</x:v>
      </x:c>
      <x:c r="D2526" s="35" t="str">
        <x:v>Mockito_33</x:v>
      </x:c>
      <x:c r="E2526" s="35" t="str">
        <x:v>Condition</x:v>
      </x:c>
      <x:c r="F2526" s="35"/>
      <x:c r="G2526" s="35" t="str">
        <x:v>A</x:v>
      </x:c>
      <x:c r="H2526" s="39" t="str">
        <x:f>IF(ISNUMBER('Data'!N818),'Data'!N818*100,"")</x:f>
      </x:c>
      <x:c r="I2526" s="35"/>
      <x:c r="J2526" s="35" t="str">
        <x:v>PASS</x:v>
      </x:c>
      <x:c r="K2526" s="35" t="str">
        <x:v>FAIL</x:v>
      </x:c>
      <x:c r="L2526" s="35" t="str">
        <x:v>NOT_RUN</x:v>
      </x:c>
      <x:c r="M2526" s="35" t="str">
        <x:v>coverage unavailable or execution/compile failed</x:v>
      </x:c>
      <x:c r="N2526" s="35" t="str">
        <x:v>Deepseek-flash-v4/Result/Mockito_33/result.json</x:v>
      </x:c>
      <x:c r="O2526" s="39" t="str">
        <x:f>IF(AND(G2526="RECORDED",ISNUMBER(H2526)),H2526,"")</x:f>
      </x:c>
      <x:c r="P2526" s="35" t="str">
        <x:v>NOT_AVAILABLE</x:v>
      </x:c>
      <x:c r="Q2526" s="35" t="str">
        <x:v>Deepseek-flash-v4/Result/Mockito_33/result.json</x:v>
      </x:c>
    </x:row>
    <x:row r="2527">
      <x:c r="A2527" s="35" t="str">
        <x:v>deepseek</x:v>
      </x:c>
      <x:c r="B2527" s="35" t="str">
        <x:v>Mockito</x:v>
      </x:c>
      <x:c r="C2527" s="35" t="str">
        <x:v>Round1</x:v>
      </x:c>
      <x:c r="D2527" s="35" t="str">
        <x:v>Mockito_34</x:v>
      </x:c>
      <x:c r="E2527" s="35" t="str">
        <x:v>Condition</x:v>
      </x:c>
      <x:c r="F2527" s="35"/>
      <x:c r="G2527" s="35" t="str">
        <x:v>A</x:v>
      </x:c>
      <x:c r="H2527" s="39" t="str">
        <x:f>IF(ISNUMBER('Data'!N819),'Data'!N819*100,"")</x:f>
      </x:c>
      <x:c r="I2527" s="35"/>
      <x:c r="J2527" s="35" t="str">
        <x:v>PASS</x:v>
      </x:c>
      <x:c r="K2527" s="35" t="str">
        <x:v>FAIL</x:v>
      </x:c>
      <x:c r="L2527" s="35" t="str">
        <x:v>NOT_RUN</x:v>
      </x:c>
      <x:c r="M2527" s="35" t="str">
        <x:v>coverage unavailable or execution/compile failed</x:v>
      </x:c>
      <x:c r="N2527" s="35" t="str">
        <x:v>Deepseek-flash-v4/Result/Mockito_34/result.json</x:v>
      </x:c>
      <x:c r="O2527" s="39" t="str">
        <x:f>IF(AND(G2527="RECORDED",ISNUMBER(H2527)),H2527,"")</x:f>
      </x:c>
      <x:c r="P2527" s="35" t="str">
        <x:v>NOT_AVAILABLE</x:v>
      </x:c>
      <x:c r="Q2527" s="35" t="str">
        <x:v>Deepseek-flash-v4/Result/Mockito_34/result.json</x:v>
      </x:c>
    </x:row>
    <x:row r="2528">
      <x:c r="A2528" s="35" t="str">
        <x:v>deepseek</x:v>
      </x:c>
      <x:c r="B2528" s="35" t="str">
        <x:v>Mockito</x:v>
      </x:c>
      <x:c r="C2528" s="35" t="str">
        <x:v>Round1</x:v>
      </x:c>
      <x:c r="D2528" s="35" t="str">
        <x:v>Mockito_35</x:v>
      </x:c>
      <x:c r="E2528" s="35" t="str">
        <x:v>Condition</x:v>
      </x:c>
      <x:c r="F2528" s="35"/>
      <x:c r="G2528" s="35" t="str">
        <x:v>A</x:v>
      </x:c>
      <x:c r="H2528" s="39" t="str">
        <x:f>IF(ISNUMBER('Data'!N820),'Data'!N820*100,"")</x:f>
      </x:c>
      <x:c r="I2528" s="35"/>
      <x:c r="J2528" s="35" t="str">
        <x:v>PASS</x:v>
      </x:c>
      <x:c r="K2528" s="35" t="str">
        <x:v>FAIL</x:v>
      </x:c>
      <x:c r="L2528" s="35" t="str">
        <x:v>NOT_RUN</x:v>
      </x:c>
      <x:c r="M2528" s="35" t="str">
        <x:v>coverage unavailable or execution/compile failed</x:v>
      </x:c>
      <x:c r="N2528" s="35" t="str">
        <x:v>Deepseek-flash-v4/Result/Mockito_35/result.json</x:v>
      </x:c>
      <x:c r="O2528" s="39" t="str">
        <x:f>IF(AND(G2528="RECORDED",ISNUMBER(H2528)),H2528,"")</x:f>
      </x:c>
      <x:c r="P2528" s="35" t="str">
        <x:v>NOT_AVAILABLE</x:v>
      </x:c>
      <x:c r="Q2528" s="35" t="str">
        <x:v>Deepseek-flash-v4/Result/Mockito_35/result.json</x:v>
      </x:c>
    </x:row>
    <x:row r="2529">
      <x:c r="A2529" s="35" t="str">
        <x:v>deepseek</x:v>
      </x:c>
      <x:c r="B2529" s="35" t="str">
        <x:v>Mockito</x:v>
      </x:c>
      <x:c r="C2529" s="35" t="str">
        <x:v>Round1</x:v>
      </x:c>
      <x:c r="D2529" s="35" t="str">
        <x:v>Mockito_36</x:v>
      </x:c>
      <x:c r="E2529" s="35" t="str">
        <x:v>Condition</x:v>
      </x:c>
      <x:c r="F2529" s="35"/>
      <x:c r="G2529" s="35" t="str">
        <x:v>A</x:v>
      </x:c>
      <x:c r="H2529" s="39" t="str">
        <x:f>IF(ISNUMBER('Data'!N821),'Data'!N821*100,"")</x:f>
      </x:c>
      <x:c r="I2529" s="35"/>
      <x:c r="J2529" s="35" t="str">
        <x:v>PASS</x:v>
      </x:c>
      <x:c r="K2529" s="35" t="str">
        <x:v>FAIL</x:v>
      </x:c>
      <x:c r="L2529" s="35" t="str">
        <x:v>NOT_RUN</x:v>
      </x:c>
      <x:c r="M2529" s="35" t="str">
        <x:v>coverage unavailable or execution/compile failed</x:v>
      </x:c>
      <x:c r="N2529" s="35" t="str">
        <x:v>Deepseek-flash-v4/Result/Mockito_36/result.json</x:v>
      </x:c>
      <x:c r="O2529" s="39" t="str">
        <x:f>IF(AND(G2529="RECORDED",ISNUMBER(H2529)),H2529,"")</x:f>
      </x:c>
      <x:c r="P2529" s="35" t="str">
        <x:v>NOT_AVAILABLE</x:v>
      </x:c>
      <x:c r="Q2529" s="35" t="str">
        <x:v>Deepseek-flash-v4/Result/Mockito_36/result.json</x:v>
      </x:c>
    </x:row>
    <x:row r="2530">
      <x:c r="A2530" s="35" t="str">
        <x:v>deepseek</x:v>
      </x:c>
      <x:c r="B2530" s="35" t="str">
        <x:v>Mockito</x:v>
      </x:c>
      <x:c r="C2530" s="35" t="str">
        <x:v>Round1</x:v>
      </x:c>
      <x:c r="D2530" s="35" t="str">
        <x:v>Mockito_37</x:v>
      </x:c>
      <x:c r="E2530" s="35" t="str">
        <x:v>Condition</x:v>
      </x:c>
      <x:c r="F2530" s="35" t="n">
        <x:v>26</x:v>
      </x:c>
      <x:c r="G2530" s="35" t="str">
        <x:v>RECORDED</x:v>
      </x:c>
      <x:c r="H2530" s="39" t="n">
        <x:f>IF(ISNUMBER('Data'!N822),'Data'!N822*100,"")</x:f>
        <x:v>96.15</x:v>
      </x:c>
      <x:c r="I2530" s="35" t="str">
        <x:v>PASS</x:v>
      </x:c>
      <x:c r="J2530" s="35" t="str">
        <x:v>PASS</x:v>
      </x:c>
      <x:c r="K2530" s="35" t="str">
        <x:v>PASS</x:v>
      </x:c>
      <x:c r="L2530" s="35" t="str">
        <x:v>FAIL</x:v>
      </x:c>
      <x:c r="M2530" s="35" t="str">
        <x:v>numeric coverage for applicable metric</x:v>
      </x:c>
      <x:c r="N2530" s="35" t="str">
        <x:v>Deepseek-flash-v4/Result/Mockito_37/result.json</x:v>
      </x:c>
      <x:c r="O2530" s="39" t="n">
        <x:f>IF(AND(G2530="RECORDED",ISNUMBER(H2530)),H2530,"")</x:f>
        <x:v>96.15</x:v>
      </x:c>
      <x:c r="P2530" s="35" t="str">
        <x:v>INCONCLUSIVE</x:v>
      </x:c>
      <x:c r="Q2530" s="35" t="str">
        <x:v>Deepseek-flash-v4/Result/Mockito_37/result.json</x:v>
      </x:c>
    </x:row>
    <x:row r="2531">
      <x:c r="A2531" s="35" t="str">
        <x:v>deepseek</x:v>
      </x:c>
      <x:c r="B2531" s="35" t="str">
        <x:v>Mockito</x:v>
      </x:c>
      <x:c r="C2531" s="35" t="str">
        <x:v>Round1</x:v>
      </x:c>
      <x:c r="D2531" s="35" t="str">
        <x:v>Mockito_38</x:v>
      </x:c>
      <x:c r="E2531" s="35" t="str">
        <x:v>Condition</x:v>
      </x:c>
      <x:c r="F2531" s="35"/>
      <x:c r="G2531" s="35" t="str">
        <x:v>A</x:v>
      </x:c>
      <x:c r="H2531" s="39" t="str">
        <x:f>IF(ISNUMBER('Data'!N823),'Data'!N823*100,"")</x:f>
      </x:c>
      <x:c r="I2531" s="35"/>
      <x:c r="J2531" s="35" t="str">
        <x:v>PASS</x:v>
      </x:c>
      <x:c r="K2531" s="35" t="str">
        <x:v>FAIL</x:v>
      </x:c>
      <x:c r="L2531" s="35" t="str">
        <x:v>NOT_RUN</x:v>
      </x:c>
      <x:c r="M2531" s="35" t="str">
        <x:v>coverage unavailable or execution/compile failed</x:v>
      </x:c>
      <x:c r="N2531" s="35" t="str">
        <x:v>Deepseek-flash-v4/Result/Mockito_38/result.json</x:v>
      </x:c>
      <x:c r="O2531" s="39" t="str">
        <x:f>IF(AND(G2531="RECORDED",ISNUMBER(H2531)),H2531,"")</x:f>
      </x:c>
      <x:c r="P2531" s="35" t="str">
        <x:v>NOT_AVAILABLE</x:v>
      </x:c>
      <x:c r="Q2531" s="35" t="str">
        <x:v>Deepseek-flash-v4/Result/Mockito_38/result.json</x:v>
      </x:c>
    </x:row>
    <x:row r="2532">
      <x:c r="A2532" s="35" t="str">
        <x:v>deepseek</x:v>
      </x:c>
      <x:c r="B2532" s="35" t="str">
        <x:v>Mockito</x:v>
      </x:c>
      <x:c r="C2532" s="35" t="str">
        <x:v>Round1</x:v>
      </x:c>
      <x:c r="D2532" s="35" t="str">
        <x:v>Mockito_4</x:v>
      </x:c>
      <x:c r="E2532" s="35" t="str">
        <x:v>Condition</x:v>
      </x:c>
      <x:c r="F2532" s="35"/>
      <x:c r="G2532" s="35" t="str">
        <x:v>A</x:v>
      </x:c>
      <x:c r="H2532" s="39" t="str">
        <x:f>IF(ISNUMBER('Data'!N824),'Data'!N824*100,"")</x:f>
      </x:c>
      <x:c r="I2532" s="35"/>
      <x:c r="J2532" s="35" t="str">
        <x:v>PASS</x:v>
      </x:c>
      <x:c r="K2532" s="35" t="str">
        <x:v>FAIL</x:v>
      </x:c>
      <x:c r="L2532" s="35" t="str">
        <x:v>NOT_RUN</x:v>
      </x:c>
      <x:c r="M2532" s="35" t="str">
        <x:v>coverage unavailable or execution/compile failed</x:v>
      </x:c>
      <x:c r="N2532" s="35" t="str">
        <x:v>Deepseek-flash-v4/Result/Mockito_4/result.json</x:v>
      </x:c>
      <x:c r="O2532" s="39" t="str">
        <x:f>IF(AND(G2532="RECORDED",ISNUMBER(H2532)),H2532,"")</x:f>
      </x:c>
      <x:c r="P2532" s="35" t="str">
        <x:v>NOT_AVAILABLE</x:v>
      </x:c>
      <x:c r="Q2532" s="35" t="str">
        <x:v>Deepseek-flash-v4/Result/Mockito_4/result.json</x:v>
      </x:c>
    </x:row>
    <x:row r="2533">
      <x:c r="A2533" s="35" t="str">
        <x:v>deepseek</x:v>
      </x:c>
      <x:c r="B2533" s="35" t="str">
        <x:v>Mockito</x:v>
      </x:c>
      <x:c r="C2533" s="35" t="str">
        <x:v>Round1</x:v>
      </x:c>
      <x:c r="D2533" s="35" t="str">
        <x:v>Mockito_5</x:v>
      </x:c>
      <x:c r="E2533" s="35" t="str">
        <x:v>Condition</x:v>
      </x:c>
      <x:c r="F2533" s="35"/>
      <x:c r="G2533" s="35" t="str">
        <x:v>A</x:v>
      </x:c>
      <x:c r="H2533" s="39" t="str">
        <x:f>IF(ISNUMBER('Data'!N825),'Data'!N825*100,"")</x:f>
      </x:c>
      <x:c r="I2533" s="35"/>
      <x:c r="J2533" s="35" t="str">
        <x:v>PASS</x:v>
      </x:c>
      <x:c r="K2533" s="35" t="str">
        <x:v>FAIL</x:v>
      </x:c>
      <x:c r="L2533" s="35" t="str">
        <x:v>NOT_RUN</x:v>
      </x:c>
      <x:c r="M2533" s="35" t="str">
        <x:v>coverage unavailable or execution/compile failed</x:v>
      </x:c>
      <x:c r="N2533" s="35" t="str">
        <x:v>Deepseek-flash-v4/Result/Mockito_5/result.json</x:v>
      </x:c>
      <x:c r="O2533" s="39" t="str">
        <x:f>IF(AND(G2533="RECORDED",ISNUMBER(H2533)),H2533,"")</x:f>
      </x:c>
      <x:c r="P2533" s="35" t="str">
        <x:v>NOT_AVAILABLE</x:v>
      </x:c>
      <x:c r="Q2533" s="35" t="str">
        <x:v>Deepseek-flash-v4/Result/Mockito_5/result.json</x:v>
      </x:c>
    </x:row>
    <x:row r="2534">
      <x:c r="A2534" s="35" t="str">
        <x:v>deepseek</x:v>
      </x:c>
      <x:c r="B2534" s="35" t="str">
        <x:v>Mockito</x:v>
      </x:c>
      <x:c r="C2534" s="35" t="str">
        <x:v>Round1</x:v>
      </x:c>
      <x:c r="D2534" s="35" t="str">
        <x:v>Mockito_6</x:v>
      </x:c>
      <x:c r="E2534" s="35" t="str">
        <x:v>Condition</x:v>
      </x:c>
      <x:c r="F2534" s="35" t="n">
        <x:v>0</x:v>
      </x:c>
      <x:c r="G2534" s="35" t="str">
        <x:v>B</x:v>
      </x:c>
      <x:c r="H2534" s="39" t="str">
        <x:f>IF(ISNUMBER('Data'!N826),'Data'!N826*100,"")</x:f>
      </x:c>
      <x:c r="I2534" s="35" t="str">
        <x:v>PASS</x:v>
      </x:c>
      <x:c r="J2534" s="35" t="str">
        <x:v>PASS</x:v>
      </x:c>
      <x:c r="K2534" s="35" t="str">
        <x:v>PASS</x:v>
      </x:c>
      <x:c r="L2534" s="35" t="str">
        <x:v>FAIL</x:v>
      </x:c>
      <x:c r="M2534" s="35" t="str">
        <x:v>coverage completed; measurable total = 0</x:v>
      </x:c>
      <x:c r="N2534" s="35" t="str">
        <x:v>Deepseek-flash-v4/Result/Mockito_6/result.json</x:v>
      </x:c>
      <x:c r="O2534" s="39" t="str">
        <x:f>IF(AND(G2534="RECORDED",ISNUMBER(H2534)),H2534,"")</x:f>
      </x:c>
      <x:c r="P2534" s="35" t="str">
        <x:v>INCONCLUSIVE</x:v>
      </x:c>
      <x:c r="Q2534" s="35" t="str">
        <x:v>Deepseek-flash-v4/Result/Mockito_6/result.json</x:v>
      </x:c>
    </x:row>
    <x:row r="2535">
      <x:c r="A2535" s="35" t="str">
        <x:v>deepseek</x:v>
      </x:c>
      <x:c r="B2535" s="35" t="str">
        <x:v>Mockito</x:v>
      </x:c>
      <x:c r="C2535" s="35" t="str">
        <x:v>Round1</x:v>
      </x:c>
      <x:c r="D2535" s="35" t="str">
        <x:v>Mockito_7</x:v>
      </x:c>
      <x:c r="E2535" s="35" t="str">
        <x:v>Condition</x:v>
      </x:c>
      <x:c r="F2535" s="35" t="n">
        <x:v>82</x:v>
      </x:c>
      <x:c r="G2535" s="35" t="str">
        <x:v>RECORDED</x:v>
      </x:c>
      <x:c r="H2535" s="39" t="n">
        <x:f>IF(ISNUMBER('Data'!N827),'Data'!N827*100,"")</x:f>
        <x:v>47.56</x:v>
      </x:c>
      <x:c r="I2535" s="35" t="str">
        <x:v>PASS</x:v>
      </x:c>
      <x:c r="J2535" s="35" t="str">
        <x:v>PASS</x:v>
      </x:c>
      <x:c r="K2535" s="35" t="str">
        <x:v>PASS</x:v>
      </x:c>
      <x:c r="L2535" s="35" t="str">
        <x:v>FAIL</x:v>
      </x:c>
      <x:c r="M2535" s="35" t="str">
        <x:v>numeric coverage for applicable metric</x:v>
      </x:c>
      <x:c r="N2535" s="35" t="str">
        <x:v>Deepseek-flash-v4/Result/Mockito_7/result.json</x:v>
      </x:c>
      <x:c r="O2535" s="39" t="n">
        <x:f>IF(AND(G2535="RECORDED",ISNUMBER(H2535)),H2535,"")</x:f>
        <x:v>47.56</x:v>
      </x:c>
      <x:c r="P2535" s="35" t="str">
        <x:v>INCONCLUSIVE</x:v>
      </x:c>
      <x:c r="Q2535" s="35" t="str">
        <x:v>Deepseek-flash-v4/Result/Mockito_7/result.json</x:v>
      </x:c>
    </x:row>
    <x:row r="2536">
      <x:c r="A2536" s="35" t="str">
        <x:v>deepseek</x:v>
      </x:c>
      <x:c r="B2536" s="35" t="str">
        <x:v>Mockito</x:v>
      </x:c>
      <x:c r="C2536" s="35" t="str">
        <x:v>Round1</x:v>
      </x:c>
      <x:c r="D2536" s="35" t="str">
        <x:v>Mockito_8</x:v>
      </x:c>
      <x:c r="E2536" s="35" t="str">
        <x:v>Condition</x:v>
      </x:c>
      <x:c r="F2536" s="35" t="n">
        <x:v>80</x:v>
      </x:c>
      <x:c r="G2536" s="35" t="str">
        <x:v>RECORDED</x:v>
      </x:c>
      <x:c r="H2536" s="39" t="n">
        <x:f>IF(ISNUMBER('Data'!N828),'Data'!N828*100,"")</x:f>
        <x:v>46.25</x:v>
      </x:c>
      <x:c r="I2536" s="35" t="str">
        <x:v>PASS</x:v>
      </x:c>
      <x:c r="J2536" s="35" t="str">
        <x:v>PASS</x:v>
      </x:c>
      <x:c r="K2536" s="35" t="str">
        <x:v>PASS</x:v>
      </x:c>
      <x:c r="L2536" s="35" t="str">
        <x:v>FAIL</x:v>
      </x:c>
      <x:c r="M2536" s="35" t="str">
        <x:v>numeric coverage for applicable metric</x:v>
      </x:c>
      <x:c r="N2536" s="35" t="str">
        <x:v>Deepseek-flash-v4/Result/Mockito_8/result.json</x:v>
      </x:c>
      <x:c r="O2536" s="39" t="n">
        <x:f>IF(AND(G2536="RECORDED",ISNUMBER(H2536)),H2536,"")</x:f>
        <x:v>46.25</x:v>
      </x:c>
      <x:c r="P2536" s="35" t="str">
        <x:v>INCONCLUSIVE</x:v>
      </x:c>
      <x:c r="Q2536" s="35" t="str">
        <x:v>Deepseek-flash-v4/Result/Mockito_8/result.json</x:v>
      </x:c>
    </x:row>
    <x:row r="2537">
      <x:c r="A2537" s="35" t="str">
        <x:v>deepseek</x:v>
      </x:c>
      <x:c r="B2537" s="35" t="str">
        <x:v>Mockito</x:v>
      </x:c>
      <x:c r="C2537" s="35" t="str">
        <x:v>Round1</x:v>
      </x:c>
      <x:c r="D2537" s="35" t="str">
        <x:v>Mockito_9</x:v>
      </x:c>
      <x:c r="E2537" s="35" t="str">
        <x:v>Condition</x:v>
      </x:c>
      <x:c r="F2537" s="35" t="n">
        <x:v>0</x:v>
      </x:c>
      <x:c r="G2537" s="35" t="str">
        <x:v>B</x:v>
      </x:c>
      <x:c r="H2537" s="39" t="str">
        <x:f>IF(ISNUMBER('Data'!N829),'Data'!N829*100,"")</x:f>
      </x:c>
      <x:c r="I2537" s="35" t="str">
        <x:v>PASS</x:v>
      </x:c>
      <x:c r="J2537" s="35" t="str">
        <x:v>PASS</x:v>
      </x:c>
      <x:c r="K2537" s="35" t="str">
        <x:v>PASS</x:v>
      </x:c>
      <x:c r="L2537" s="35" t="str">
        <x:v>PASS</x:v>
      </x:c>
      <x:c r="M2537" s="35" t="str">
        <x:v>coverage completed; measurable total = 0</x:v>
      </x:c>
      <x:c r="N2537" s="35" t="str">
        <x:v>Deepseek-flash-v4/Result/Mockito_9/result.json</x:v>
      </x:c>
      <x:c r="O2537" s="39" t="str">
        <x:f>IF(AND(G2537="RECORDED",ISNUMBER(H2537)),H2537,"")</x:f>
      </x:c>
      <x:c r="P2537" s="35" t="str">
        <x:v>INCONCLUSIVE</x:v>
      </x:c>
      <x:c r="Q2537" s="35" t="str">
        <x:v>Deepseek-flash-v4/Result/Mockito_9/result.json</x:v>
      </x:c>
    </x:row>
    <x:row r="2538">
      <x:c r="A2538" s="35" t="str">
        <x:v>deepseek</x:v>
      </x:c>
      <x:c r="B2538" s="35" t="str">
        <x:v>Time</x:v>
      </x:c>
      <x:c r="C2538" s="35" t="str">
        <x:v>Round1</x:v>
      </x:c>
      <x:c r="D2538" s="35" t="str">
        <x:v>Time_1</x:v>
      </x:c>
      <x:c r="E2538" s="35" t="str">
        <x:v>Condition</x:v>
      </x:c>
      <x:c r="F2538" s="35"/>
      <x:c r="G2538" s="35" t="str">
        <x:v>A</x:v>
      </x:c>
      <x:c r="H2538" s="39" t="str">
        <x:f>IF(ISNUMBER('Data'!N830),'Data'!N830*100,"")</x:f>
      </x:c>
      <x:c r="I2538" s="35"/>
      <x:c r="J2538" s="35" t="str">
        <x:v>PASS</x:v>
      </x:c>
      <x:c r="K2538" s="35" t="str">
        <x:v>FAIL</x:v>
      </x:c>
      <x:c r="L2538" s="35" t="str">
        <x:v>NOT_RUN</x:v>
      </x:c>
      <x:c r="M2538" s="35" t="str">
        <x:v>coverage unavailable or execution/compile failed</x:v>
      </x:c>
      <x:c r="N2538" s="35" t="str">
        <x:v>Deepseek-flash-v4/Result/Time_1/result.json</x:v>
      </x:c>
      <x:c r="O2538" s="39" t="str">
        <x:f>IF(AND(G2538="RECORDED",ISNUMBER(H2538)),H2538,"")</x:f>
      </x:c>
      <x:c r="P2538" s="35" t="str">
        <x:v>NOT_AVAILABLE</x:v>
      </x:c>
      <x:c r="Q2538" s="35" t="str">
        <x:v>Deepseek-flash-v4/Result/Time_1/result.json</x:v>
      </x:c>
    </x:row>
    <x:row r="2539">
      <x:c r="A2539" s="35" t="str">
        <x:v>deepseek</x:v>
      </x:c>
      <x:c r="B2539" s="35" t="str">
        <x:v>Time</x:v>
      </x:c>
      <x:c r="C2539" s="35" t="str">
        <x:v>Round1</x:v>
      </x:c>
      <x:c r="D2539" s="35" t="str">
        <x:v>Time_10</x:v>
      </x:c>
      <x:c r="E2539" s="35" t="str">
        <x:v>Condition</x:v>
      </x:c>
      <x:c r="F2539" s="35"/>
      <x:c r="G2539" s="35" t="str">
        <x:v>A</x:v>
      </x:c>
      <x:c r="H2539" s="39" t="str">
        <x:f>IF(ISNUMBER('Data'!N831),'Data'!N831*100,"")</x:f>
      </x:c>
      <x:c r="I2539" s="35"/>
      <x:c r="J2539" s="35" t="str">
        <x:v>PASS</x:v>
      </x:c>
      <x:c r="K2539" s="35" t="str">
        <x:v>FAIL</x:v>
      </x:c>
      <x:c r="L2539" s="35" t="str">
        <x:v>NOT_RUN</x:v>
      </x:c>
      <x:c r="M2539" s="35" t="str">
        <x:v>coverage unavailable or execution/compile failed</x:v>
      </x:c>
      <x:c r="N2539" s="35" t="str">
        <x:v>Deepseek-flash-v4/Result/Time_10/result.json</x:v>
      </x:c>
      <x:c r="O2539" s="39" t="str">
        <x:f>IF(AND(G2539="RECORDED",ISNUMBER(H2539)),H2539,"")</x:f>
      </x:c>
      <x:c r="P2539" s="35" t="str">
        <x:v>NOT_AVAILABLE</x:v>
      </x:c>
      <x:c r="Q2539" s="35" t="str">
        <x:v>Deepseek-flash-v4/Result/Time_10/result.json</x:v>
      </x:c>
    </x:row>
    <x:row r="2540">
      <x:c r="A2540" s="35" t="str">
        <x:v>deepseek</x:v>
      </x:c>
      <x:c r="B2540" s="35" t="str">
        <x:v>Time</x:v>
      </x:c>
      <x:c r="C2540" s="35" t="str">
        <x:v>Round1</x:v>
      </x:c>
      <x:c r="D2540" s="35" t="str">
        <x:v>Time_11</x:v>
      </x:c>
      <x:c r="E2540" s="35" t="str">
        <x:v>Condition</x:v>
      </x:c>
      <x:c r="F2540" s="35"/>
      <x:c r="G2540" s="35" t="str">
        <x:v>A</x:v>
      </x:c>
      <x:c r="H2540" s="39" t="str">
        <x:f>IF(ISNUMBER('Data'!N832),'Data'!N832*100,"")</x:f>
      </x:c>
      <x:c r="I2540" s="35"/>
      <x:c r="J2540" s="35" t="str">
        <x:v>PASS</x:v>
      </x:c>
      <x:c r="K2540" s="35" t="str">
        <x:v>FAIL</x:v>
      </x:c>
      <x:c r="L2540" s="35" t="str">
        <x:v>NOT_RUN</x:v>
      </x:c>
      <x:c r="M2540" s="35" t="str">
        <x:v>coverage unavailable or execution/compile failed</x:v>
      </x:c>
      <x:c r="N2540" s="35" t="str">
        <x:v>Deepseek-flash-v4/Result/Time_11/result.json</x:v>
      </x:c>
      <x:c r="O2540" s="39" t="str">
        <x:f>IF(AND(G2540="RECORDED",ISNUMBER(H2540)),H2540,"")</x:f>
      </x:c>
      <x:c r="P2540" s="35" t="str">
        <x:v>NOT_AVAILABLE</x:v>
      </x:c>
      <x:c r="Q2540" s="35" t="str">
        <x:v>Deepseek-flash-v4/Result/Time_11/result.json</x:v>
      </x:c>
    </x:row>
    <x:row r="2541">
      <x:c r="A2541" s="35" t="str">
        <x:v>deepseek</x:v>
      </x:c>
      <x:c r="B2541" s="35" t="str">
        <x:v>Time</x:v>
      </x:c>
      <x:c r="C2541" s="35" t="str">
        <x:v>Round1</x:v>
      </x:c>
      <x:c r="D2541" s="35" t="str">
        <x:v>Time_12</x:v>
      </x:c>
      <x:c r="E2541" s="35" t="str">
        <x:v>Condition</x:v>
      </x:c>
      <x:c r="F2541" s="35"/>
      <x:c r="G2541" s="35" t="str">
        <x:v>A</x:v>
      </x:c>
      <x:c r="H2541" s="39" t="str">
        <x:f>IF(ISNUMBER('Data'!N833),'Data'!N833*100,"")</x:f>
      </x:c>
      <x:c r="I2541" s="35"/>
      <x:c r="J2541" s="35" t="str">
        <x:v>PASS</x:v>
      </x:c>
      <x:c r="K2541" s="35" t="str">
        <x:v>FAIL</x:v>
      </x:c>
      <x:c r="L2541" s="35" t="str">
        <x:v>NOT_RUN</x:v>
      </x:c>
      <x:c r="M2541" s="35" t="str">
        <x:v>coverage unavailable or execution/compile failed</x:v>
      </x:c>
      <x:c r="N2541" s="35" t="str">
        <x:v>Deepseek-flash-v4/Result/Time_12/result.json</x:v>
      </x:c>
      <x:c r="O2541" s="39" t="str">
        <x:f>IF(AND(G2541="RECORDED",ISNUMBER(H2541)),H2541,"")</x:f>
      </x:c>
      <x:c r="P2541" s="35" t="str">
        <x:v>NOT_AVAILABLE</x:v>
      </x:c>
      <x:c r="Q2541" s="35" t="str">
        <x:v>Deepseek-flash-v4/Result/Time_12/result.json</x:v>
      </x:c>
    </x:row>
    <x:row r="2542">
      <x:c r="A2542" s="35" t="str">
        <x:v>deepseek</x:v>
      </x:c>
      <x:c r="B2542" s="35" t="str">
        <x:v>Time</x:v>
      </x:c>
      <x:c r="C2542" s="35" t="str">
        <x:v>Round1</x:v>
      </x:c>
      <x:c r="D2542" s="35" t="str">
        <x:v>Time_13</x:v>
      </x:c>
      <x:c r="E2542" s="35" t="str">
        <x:v>Condition</x:v>
      </x:c>
      <x:c r="F2542" s="35" t="n">
        <x:v>452</x:v>
      </x:c>
      <x:c r="G2542" s="35" t="str">
        <x:v>RECORDED</x:v>
      </x:c>
      <x:c r="H2542" s="39" t="n">
        <x:f>IF(ISNUMBER('Data'!N834),'Data'!N834*100,"")</x:f>
        <x:v>13.5</x:v>
      </x:c>
      <x:c r="I2542" s="35" t="str">
        <x:v>PASS</x:v>
      </x:c>
      <x:c r="J2542" s="35" t="str">
        <x:v>PASS</x:v>
      </x:c>
      <x:c r="K2542" s="35" t="str">
        <x:v>PASS</x:v>
      </x:c>
      <x:c r="L2542" s="35" t="str">
        <x:v>FAIL</x:v>
      </x:c>
      <x:c r="M2542" s="35" t="str">
        <x:v>numeric coverage for applicable metric</x:v>
      </x:c>
      <x:c r="N2542" s="35" t="str">
        <x:v>Deepseek-flash-v4/Result/Time_13/result.json</x:v>
      </x:c>
      <x:c r="O2542" s="39" t="n">
        <x:f>IF(AND(G2542="RECORDED",ISNUMBER(H2542)),H2542,"")</x:f>
        <x:v>13.5</x:v>
      </x:c>
      <x:c r="P2542" s="35" t="str">
        <x:v>INCONCLUSIVE</x:v>
      </x:c>
      <x:c r="Q2542" s="35" t="str">
        <x:v>Deepseek-flash-v4/Result/Time_13/result.json</x:v>
      </x:c>
    </x:row>
    <x:row r="2543">
      <x:c r="A2543" s="35" t="str">
        <x:v>deepseek</x:v>
      </x:c>
      <x:c r="B2543" s="35" t="str">
        <x:v>Time</x:v>
      </x:c>
      <x:c r="C2543" s="35" t="str">
        <x:v>Round1</x:v>
      </x:c>
      <x:c r="D2543" s="35" t="str">
        <x:v>Time_14</x:v>
      </x:c>
      <x:c r="E2543" s="35" t="str">
        <x:v>Condition</x:v>
      </x:c>
      <x:c r="F2543" s="35"/>
      <x:c r="G2543" s="35" t="str">
        <x:v>A</x:v>
      </x:c>
      <x:c r="H2543" s="39" t="str">
        <x:f>IF(ISNUMBER('Data'!N835),'Data'!N835*100,"")</x:f>
      </x:c>
      <x:c r="I2543" s="35"/>
      <x:c r="J2543" s="35" t="str">
        <x:v>PASS</x:v>
      </x:c>
      <x:c r="K2543" s="35" t="str">
        <x:v>FAIL</x:v>
      </x:c>
      <x:c r="L2543" s="35" t="str">
        <x:v>NOT_RUN</x:v>
      </x:c>
      <x:c r="M2543" s="35" t="str">
        <x:v>coverage unavailable or execution/compile failed</x:v>
      </x:c>
      <x:c r="N2543" s="35" t="str">
        <x:v>Deepseek-flash-v4/Result/Time_14/result.json</x:v>
      </x:c>
      <x:c r="O2543" s="39" t="str">
        <x:f>IF(AND(G2543="RECORDED",ISNUMBER(H2543)),H2543,"")</x:f>
      </x:c>
      <x:c r="P2543" s="35" t="str">
        <x:v>NOT_AVAILABLE</x:v>
      </x:c>
      <x:c r="Q2543" s="35" t="str">
        <x:v>Deepseek-flash-v4/Result/Time_14/result.json</x:v>
      </x:c>
    </x:row>
    <x:row r="2544">
      <x:c r="A2544" s="35" t="str">
        <x:v>deepseek</x:v>
      </x:c>
      <x:c r="B2544" s="35" t="str">
        <x:v>Time</x:v>
      </x:c>
      <x:c r="C2544" s="35" t="str">
        <x:v>Round1</x:v>
      </x:c>
      <x:c r="D2544" s="35" t="str">
        <x:v>Time_15</x:v>
      </x:c>
      <x:c r="E2544" s="35" t="str">
        <x:v>Condition</x:v>
      </x:c>
      <x:c r="F2544" s="35"/>
      <x:c r="G2544" s="35" t="str">
        <x:v>A</x:v>
      </x:c>
      <x:c r="H2544" s="39" t="str">
        <x:f>IF(ISNUMBER('Data'!N836),'Data'!N836*100,"")</x:f>
      </x:c>
      <x:c r="I2544" s="35"/>
      <x:c r="J2544" s="35" t="str">
        <x:v>PASS</x:v>
      </x:c>
      <x:c r="K2544" s="35" t="str">
        <x:v>FAIL</x:v>
      </x:c>
      <x:c r="L2544" s="35" t="str">
        <x:v>NOT_RUN</x:v>
      </x:c>
      <x:c r="M2544" s="35" t="str">
        <x:v>coverage unavailable or execution/compile failed</x:v>
      </x:c>
      <x:c r="N2544" s="35" t="str">
        <x:v>Deepseek-flash-v4/Result/Time_15/result.json</x:v>
      </x:c>
      <x:c r="O2544" s="39" t="str">
        <x:f>IF(AND(G2544="RECORDED",ISNUMBER(H2544)),H2544,"")</x:f>
      </x:c>
      <x:c r="P2544" s="35" t="str">
        <x:v>NOT_AVAILABLE</x:v>
      </x:c>
      <x:c r="Q2544" s="35" t="str">
        <x:v>Deepseek-flash-v4/Result/Time_15/result.json</x:v>
      </x:c>
    </x:row>
    <x:row r="2545">
      <x:c r="A2545" s="35" t="str">
        <x:v>deepseek</x:v>
      </x:c>
      <x:c r="B2545" s="35" t="str">
        <x:v>Time</x:v>
      </x:c>
      <x:c r="C2545" s="35" t="str">
        <x:v>Round1</x:v>
      </x:c>
      <x:c r="D2545" s="35" t="str">
        <x:v>Time_16</x:v>
      </x:c>
      <x:c r="E2545" s="35" t="str">
        <x:v>Condition</x:v>
      </x:c>
      <x:c r="F2545" s="35"/>
      <x:c r="G2545" s="35" t="str">
        <x:v>A</x:v>
      </x:c>
      <x:c r="H2545" s="39" t="str">
        <x:f>IF(ISNUMBER('Data'!N837),'Data'!N837*100,"")</x:f>
      </x:c>
      <x:c r="I2545" s="35"/>
      <x:c r="J2545" s="35" t="str">
        <x:v>PASS</x:v>
      </x:c>
      <x:c r="K2545" s="35" t="str">
        <x:v>FAIL</x:v>
      </x:c>
      <x:c r="L2545" s="35" t="str">
        <x:v>NOT_RUN</x:v>
      </x:c>
      <x:c r="M2545" s="35" t="str">
        <x:v>coverage unavailable or execution/compile failed</x:v>
      </x:c>
      <x:c r="N2545" s="35" t="str">
        <x:v>Deepseek-flash-v4/Result/Time_16/result.json</x:v>
      </x:c>
      <x:c r="O2545" s="39" t="str">
        <x:f>IF(AND(G2545="RECORDED",ISNUMBER(H2545)),H2545,"")</x:f>
      </x:c>
      <x:c r="P2545" s="35" t="str">
        <x:v>NOT_AVAILABLE</x:v>
      </x:c>
      <x:c r="Q2545" s="35" t="str">
        <x:v>Deepseek-flash-v4/Result/Time_16/result.json</x:v>
      </x:c>
    </x:row>
    <x:row r="2546">
      <x:c r="A2546" s="35" t="str">
        <x:v>deepseek</x:v>
      </x:c>
      <x:c r="B2546" s="35" t="str">
        <x:v>Time</x:v>
      </x:c>
      <x:c r="C2546" s="35" t="str">
        <x:v>Round1</x:v>
      </x:c>
      <x:c r="D2546" s="35" t="str">
        <x:v>Time_17</x:v>
      </x:c>
      <x:c r="E2546" s="35" t="str">
        <x:v>Condition</x:v>
      </x:c>
      <x:c r="F2546" s="35"/>
      <x:c r="G2546" s="35" t="str">
        <x:v>A</x:v>
      </x:c>
      <x:c r="H2546" s="39" t="str">
        <x:f>IF(ISNUMBER('Data'!N838),'Data'!N838*100,"")</x:f>
      </x:c>
      <x:c r="I2546" s="35"/>
      <x:c r="J2546" s="35" t="str">
        <x:v>PASS</x:v>
      </x:c>
      <x:c r="K2546" s="35" t="str">
        <x:v>FAIL</x:v>
      </x:c>
      <x:c r="L2546" s="35" t="str">
        <x:v>NOT_RUN</x:v>
      </x:c>
      <x:c r="M2546" s="35" t="str">
        <x:v>coverage unavailable or execution/compile failed</x:v>
      </x:c>
      <x:c r="N2546" s="35" t="str">
        <x:v>Deepseek-flash-v4/Result/Time_17/result.json</x:v>
      </x:c>
      <x:c r="O2546" s="39" t="str">
        <x:f>IF(AND(G2546="RECORDED",ISNUMBER(H2546)),H2546,"")</x:f>
      </x:c>
      <x:c r="P2546" s="35" t="str">
        <x:v>NOT_AVAILABLE</x:v>
      </x:c>
      <x:c r="Q2546" s="35" t="str">
        <x:v>Deepseek-flash-v4/Result/Time_17/result.json</x:v>
      </x:c>
    </x:row>
    <x:row r="2547">
      <x:c r="A2547" s="35" t="str">
        <x:v>deepseek</x:v>
      </x:c>
      <x:c r="B2547" s="35" t="str">
        <x:v>Time</x:v>
      </x:c>
      <x:c r="C2547" s="35" t="str">
        <x:v>Round1</x:v>
      </x:c>
      <x:c r="D2547" s="35" t="str">
        <x:v>Time_18</x:v>
      </x:c>
      <x:c r="E2547" s="35" t="str">
        <x:v>Condition</x:v>
      </x:c>
      <x:c r="F2547" s="35"/>
      <x:c r="G2547" s="35" t="str">
        <x:v>A</x:v>
      </x:c>
      <x:c r="H2547" s="39" t="str">
        <x:f>IF(ISNUMBER('Data'!N839),'Data'!N839*100,"")</x:f>
      </x:c>
      <x:c r="I2547" s="35"/>
      <x:c r="J2547" s="35" t="str">
        <x:v>PASS</x:v>
      </x:c>
      <x:c r="K2547" s="35" t="str">
        <x:v>FAIL</x:v>
      </x:c>
      <x:c r="L2547" s="35" t="str">
        <x:v>NOT_RUN</x:v>
      </x:c>
      <x:c r="M2547" s="35" t="str">
        <x:v>coverage unavailable or execution/compile failed</x:v>
      </x:c>
      <x:c r="N2547" s="35" t="str">
        <x:v>Deepseek-flash-v4/Result/Time_18/result.json</x:v>
      </x:c>
      <x:c r="O2547" s="39" t="str">
        <x:f>IF(AND(G2547="RECORDED",ISNUMBER(H2547)),H2547,"")</x:f>
      </x:c>
      <x:c r="P2547" s="35" t="str">
        <x:v>NOT_AVAILABLE</x:v>
      </x:c>
      <x:c r="Q2547" s="35" t="str">
        <x:v>Deepseek-flash-v4/Result/Time_18/result.json</x:v>
      </x:c>
    </x:row>
    <x:row r="2548">
      <x:c r="A2548" s="35" t="str">
        <x:v>deepseek</x:v>
      </x:c>
      <x:c r="B2548" s="35" t="str">
        <x:v>Time</x:v>
      </x:c>
      <x:c r="C2548" s="35" t="str">
        <x:v>Round1</x:v>
      </x:c>
      <x:c r="D2548" s="35" t="str">
        <x:v>Time_19</x:v>
      </x:c>
      <x:c r="E2548" s="35" t="str">
        <x:v>Condition</x:v>
      </x:c>
      <x:c r="F2548" s="35"/>
      <x:c r="G2548" s="35" t="str">
        <x:v>A</x:v>
      </x:c>
      <x:c r="H2548" s="39" t="str">
        <x:f>IF(ISNUMBER('Data'!N840),'Data'!N840*100,"")</x:f>
      </x:c>
      <x:c r="I2548" s="35"/>
      <x:c r="J2548" s="35" t="str">
        <x:v>PASS</x:v>
      </x:c>
      <x:c r="K2548" s="35" t="str">
        <x:v>FAIL</x:v>
      </x:c>
      <x:c r="L2548" s="35" t="str">
        <x:v>NOT_RUN</x:v>
      </x:c>
      <x:c r="M2548" s="35" t="str">
        <x:v>coverage unavailable or execution/compile failed</x:v>
      </x:c>
      <x:c r="N2548" s="35" t="str">
        <x:v>Deepseek-flash-v4/Result/Time_19/result.json</x:v>
      </x:c>
      <x:c r="O2548" s="39" t="str">
        <x:f>IF(AND(G2548="RECORDED",ISNUMBER(H2548)),H2548,"")</x:f>
      </x:c>
      <x:c r="P2548" s="35" t="str">
        <x:v>NOT_AVAILABLE</x:v>
      </x:c>
      <x:c r="Q2548" s="35" t="str">
        <x:v>Deepseek-flash-v4/Result/Time_19/result.json</x:v>
      </x:c>
    </x:row>
    <x:row r="2549">
      <x:c r="A2549" s="35" t="str">
        <x:v>deepseek</x:v>
      </x:c>
      <x:c r="B2549" s="35" t="str">
        <x:v>Time</x:v>
      </x:c>
      <x:c r="C2549" s="35" t="str">
        <x:v>Round1</x:v>
      </x:c>
      <x:c r="D2549" s="35" t="str">
        <x:v>Time_2</x:v>
      </x:c>
      <x:c r="E2549" s="35" t="str">
        <x:v>Condition</x:v>
      </x:c>
      <x:c r="F2549" s="35"/>
      <x:c r="G2549" s="35" t="str">
        <x:v>A</x:v>
      </x:c>
      <x:c r="H2549" s="39" t="str">
        <x:f>IF(ISNUMBER('Data'!N841),'Data'!N841*100,"")</x:f>
      </x:c>
      <x:c r="I2549" s="35"/>
      <x:c r="J2549" s="35" t="str">
        <x:v>PASS</x:v>
      </x:c>
      <x:c r="K2549" s="35" t="str">
        <x:v>FAIL</x:v>
      </x:c>
      <x:c r="L2549" s="35" t="str">
        <x:v>NOT_RUN</x:v>
      </x:c>
      <x:c r="M2549" s="35" t="str">
        <x:v>coverage unavailable or execution/compile failed</x:v>
      </x:c>
      <x:c r="N2549" s="35" t="str">
        <x:v>Deepseek-flash-v4/Result/Time_2/result.json</x:v>
      </x:c>
      <x:c r="O2549" s="39" t="str">
        <x:f>IF(AND(G2549="RECORDED",ISNUMBER(H2549)),H2549,"")</x:f>
      </x:c>
      <x:c r="P2549" s="35" t="str">
        <x:v>NOT_AVAILABLE</x:v>
      </x:c>
      <x:c r="Q2549" s="35" t="str">
        <x:v>Deepseek-flash-v4/Result/Time_2/result.json</x:v>
      </x:c>
    </x:row>
    <x:row r="2550">
      <x:c r="A2550" s="35" t="str">
        <x:v>deepseek</x:v>
      </x:c>
      <x:c r="B2550" s="35" t="str">
        <x:v>Time</x:v>
      </x:c>
      <x:c r="C2550" s="35" t="str">
        <x:v>Round1</x:v>
      </x:c>
      <x:c r="D2550" s="35" t="str">
        <x:v>Time_20</x:v>
      </x:c>
      <x:c r="E2550" s="35" t="str">
        <x:v>Condition</x:v>
      </x:c>
      <x:c r="F2550" s="35"/>
      <x:c r="G2550" s="35" t="str">
        <x:v>A</x:v>
      </x:c>
      <x:c r="H2550" s="39" t="str">
        <x:f>IF(ISNUMBER('Data'!N842),'Data'!N842*100,"")</x:f>
      </x:c>
      <x:c r="I2550" s="35"/>
      <x:c r="J2550" s="35" t="str">
        <x:v>PASS</x:v>
      </x:c>
      <x:c r="K2550" s="35" t="str">
        <x:v>FAIL</x:v>
      </x:c>
      <x:c r="L2550" s="35" t="str">
        <x:v>NOT_RUN</x:v>
      </x:c>
      <x:c r="M2550" s="35" t="str">
        <x:v>coverage unavailable or execution/compile failed</x:v>
      </x:c>
      <x:c r="N2550" s="35" t="str">
        <x:v>Deepseek-flash-v4/Result/Time_20/result.json</x:v>
      </x:c>
      <x:c r="O2550" s="39" t="str">
        <x:f>IF(AND(G2550="RECORDED",ISNUMBER(H2550)),H2550,"")</x:f>
      </x:c>
      <x:c r="P2550" s="35" t="str">
        <x:v>NOT_AVAILABLE</x:v>
      </x:c>
      <x:c r="Q2550" s="35" t="str">
        <x:v>Deepseek-flash-v4/Result/Time_20/result.json</x:v>
      </x:c>
    </x:row>
    <x:row r="2551">
      <x:c r="A2551" s="35" t="str">
        <x:v>deepseek</x:v>
      </x:c>
      <x:c r="B2551" s="35" t="str">
        <x:v>Time</x:v>
      </x:c>
      <x:c r="C2551" s="35" t="str">
        <x:v>Round1</x:v>
      </x:c>
      <x:c r="D2551" s="35" t="str">
        <x:v>Time_22</x:v>
      </x:c>
      <x:c r="E2551" s="35" t="str">
        <x:v>Condition</x:v>
      </x:c>
      <x:c r="F2551" s="35"/>
      <x:c r="G2551" s="35" t="str">
        <x:v>A</x:v>
      </x:c>
      <x:c r="H2551" s="39" t="str">
        <x:f>IF(ISNUMBER('Data'!N843),'Data'!N843*100,"")</x:f>
      </x:c>
      <x:c r="I2551" s="35"/>
      <x:c r="J2551" s="35" t="str">
        <x:v>PASS</x:v>
      </x:c>
      <x:c r="K2551" s="35" t="str">
        <x:v>FAIL</x:v>
      </x:c>
      <x:c r="L2551" s="35" t="str">
        <x:v>NOT_RUN</x:v>
      </x:c>
      <x:c r="M2551" s="35" t="str">
        <x:v>coverage unavailable or execution/compile failed</x:v>
      </x:c>
      <x:c r="N2551" s="35" t="str">
        <x:v>Deepseek-flash-v4/Result/Time_22/result.json</x:v>
      </x:c>
      <x:c r="O2551" s="39" t="str">
        <x:f>IF(AND(G2551="RECORDED",ISNUMBER(H2551)),H2551,"")</x:f>
      </x:c>
      <x:c r="P2551" s="35" t="str">
        <x:v>NOT_AVAILABLE</x:v>
      </x:c>
      <x:c r="Q2551" s="35" t="str">
        <x:v>Deepseek-flash-v4/Result/Time_22/result.json</x:v>
      </x:c>
    </x:row>
    <x:row r="2552">
      <x:c r="A2552" s="35" t="str">
        <x:v>deepseek</x:v>
      </x:c>
      <x:c r="B2552" s="35" t="str">
        <x:v>Time</x:v>
      </x:c>
      <x:c r="C2552" s="35" t="str">
        <x:v>Round1</x:v>
      </x:c>
      <x:c r="D2552" s="35" t="str">
        <x:v>Time_23</x:v>
      </x:c>
      <x:c r="E2552" s="35" t="str">
        <x:v>Condition</x:v>
      </x:c>
      <x:c r="F2552" s="35"/>
      <x:c r="G2552" s="35" t="str">
        <x:v>A</x:v>
      </x:c>
      <x:c r="H2552" s="39" t="str">
        <x:f>IF(ISNUMBER('Data'!N844),'Data'!N844*100,"")</x:f>
      </x:c>
      <x:c r="I2552" s="35"/>
      <x:c r="J2552" s="35" t="str">
        <x:v>PASS</x:v>
      </x:c>
      <x:c r="K2552" s="35" t="str">
        <x:v>FAIL</x:v>
      </x:c>
      <x:c r="L2552" s="35" t="str">
        <x:v>NOT_RUN</x:v>
      </x:c>
      <x:c r="M2552" s="35" t="str">
        <x:v>coverage unavailable or execution/compile failed</x:v>
      </x:c>
      <x:c r="N2552" s="35" t="str">
        <x:v>Deepseek-flash-v4/Result/Time_23/result.json</x:v>
      </x:c>
      <x:c r="O2552" s="39" t="str">
        <x:f>IF(AND(G2552="RECORDED",ISNUMBER(H2552)),H2552,"")</x:f>
      </x:c>
      <x:c r="P2552" s="35" t="str">
        <x:v>NOT_AVAILABLE</x:v>
      </x:c>
      <x:c r="Q2552" s="35" t="str">
        <x:v>Deepseek-flash-v4/Result/Time_23/result.json</x:v>
      </x:c>
    </x:row>
    <x:row r="2553">
      <x:c r="A2553" s="35" t="str">
        <x:v>deepseek</x:v>
      </x:c>
      <x:c r="B2553" s="35" t="str">
        <x:v>Time</x:v>
      </x:c>
      <x:c r="C2553" s="35" t="str">
        <x:v>Round1</x:v>
      </x:c>
      <x:c r="D2553" s="35" t="str">
        <x:v>Time_24</x:v>
      </x:c>
      <x:c r="E2553" s="35" t="str">
        <x:v>Condition</x:v>
      </x:c>
      <x:c r="F2553" s="35"/>
      <x:c r="G2553" s="35" t="str">
        <x:v>A</x:v>
      </x:c>
      <x:c r="H2553" s="39" t="str">
        <x:f>IF(ISNUMBER('Data'!N845),'Data'!N845*100,"")</x:f>
      </x:c>
      <x:c r="I2553" s="35"/>
      <x:c r="J2553" s="35" t="str">
        <x:v>PASS</x:v>
      </x:c>
      <x:c r="K2553" s="35" t="str">
        <x:v>FAIL</x:v>
      </x:c>
      <x:c r="L2553" s="35" t="str">
        <x:v>NOT_RUN</x:v>
      </x:c>
      <x:c r="M2553" s="35" t="str">
        <x:v>coverage unavailable or execution/compile failed</x:v>
      </x:c>
      <x:c r="N2553" s="35" t="str">
        <x:v>Deepseek-flash-v4/Result/Time_24/result.json</x:v>
      </x:c>
      <x:c r="O2553" s="39" t="str">
        <x:f>IF(AND(G2553="RECORDED",ISNUMBER(H2553)),H2553,"")</x:f>
      </x:c>
      <x:c r="P2553" s="35" t="str">
        <x:v>NOT_AVAILABLE</x:v>
      </x:c>
      <x:c r="Q2553" s="35" t="str">
        <x:v>Deepseek-flash-v4/Result/Time_24/result.json</x:v>
      </x:c>
    </x:row>
    <x:row r="2554">
      <x:c r="A2554" s="35" t="str">
        <x:v>deepseek</x:v>
      </x:c>
      <x:c r="B2554" s="35" t="str">
        <x:v>Time</x:v>
      </x:c>
      <x:c r="C2554" s="35" t="str">
        <x:v>Round1</x:v>
      </x:c>
      <x:c r="D2554" s="35" t="str">
        <x:v>Time_25</x:v>
      </x:c>
      <x:c r="E2554" s="35" t="str">
        <x:v>Condition</x:v>
      </x:c>
      <x:c r="F2554" s="35" t="n">
        <x:v>152</x:v>
      </x:c>
      <x:c r="G2554" s="35" t="str">
        <x:v>RECORDED</x:v>
      </x:c>
      <x:c r="H2554" s="39" t="n">
        <x:f>IF(ISNUMBER('Data'!N846),'Data'!N846*100,"")</x:f>
        <x:v>53.290000000000006</x:v>
      </x:c>
      <x:c r="I2554" s="35" t="str">
        <x:v>PASS</x:v>
      </x:c>
      <x:c r="J2554" s="35" t="str">
        <x:v>PASS</x:v>
      </x:c>
      <x:c r="K2554" s="35" t="str">
        <x:v>PASS</x:v>
      </x:c>
      <x:c r="L2554" s="35" t="str">
        <x:v>FAIL</x:v>
      </x:c>
      <x:c r="M2554" s="35" t="str">
        <x:v>numeric coverage for applicable metric</x:v>
      </x:c>
      <x:c r="N2554" s="35" t="str">
        <x:v>Deepseek-flash-v4/Result/Time_25/result.json</x:v>
      </x:c>
      <x:c r="O2554" s="39" t="n">
        <x:f>IF(AND(G2554="RECORDED",ISNUMBER(H2554)),H2554,"")</x:f>
        <x:v>53.290000000000006</x:v>
      </x:c>
      <x:c r="P2554" s="35" t="str">
        <x:v>INCONCLUSIVE</x:v>
      </x:c>
      <x:c r="Q2554" s="35" t="str">
        <x:v>Deepseek-flash-v4/Result/Time_25/result.json</x:v>
      </x:c>
    </x:row>
    <x:row r="2555">
      <x:c r="A2555" s="35" t="str">
        <x:v>deepseek</x:v>
      </x:c>
      <x:c r="B2555" s="35" t="str">
        <x:v>Time</x:v>
      </x:c>
      <x:c r="C2555" s="35" t="str">
        <x:v>Round1</x:v>
      </x:c>
      <x:c r="D2555" s="35" t="str">
        <x:v>Time_26</x:v>
      </x:c>
      <x:c r="E2555" s="35" t="str">
        <x:v>Condition</x:v>
      </x:c>
      <x:c r="F2555" s="35"/>
      <x:c r="G2555" s="35" t="str">
        <x:v>A</x:v>
      </x:c>
      <x:c r="H2555" s="39" t="str">
        <x:f>IF(ISNUMBER('Data'!N847),'Data'!N847*100,"")</x:f>
      </x:c>
      <x:c r="I2555" s="35"/>
      <x:c r="J2555" s="35" t="str">
        <x:v>PASS</x:v>
      </x:c>
      <x:c r="K2555" s="35" t="str">
        <x:v>FAIL</x:v>
      </x:c>
      <x:c r="L2555" s="35" t="str">
        <x:v>NOT_RUN</x:v>
      </x:c>
      <x:c r="M2555" s="35" t="str">
        <x:v>coverage unavailable or execution/compile failed</x:v>
      </x:c>
      <x:c r="N2555" s="35" t="str">
        <x:v>Deepseek-flash-v4/Result/Time_26/result.json</x:v>
      </x:c>
      <x:c r="O2555" s="39" t="str">
        <x:f>IF(AND(G2555="RECORDED",ISNUMBER(H2555)),H2555,"")</x:f>
      </x:c>
      <x:c r="P2555" s="35" t="str">
        <x:v>NOT_AVAILABLE</x:v>
      </x:c>
      <x:c r="Q2555" s="35" t="str">
        <x:v>Deepseek-flash-v4/Result/Time_26/result.json</x:v>
      </x:c>
    </x:row>
    <x:row r="2556">
      <x:c r="A2556" s="35" t="str">
        <x:v>deepseek</x:v>
      </x:c>
      <x:c r="B2556" s="35" t="str">
        <x:v>Time</x:v>
      </x:c>
      <x:c r="C2556" s="35" t="str">
        <x:v>Round1</x:v>
      </x:c>
      <x:c r="D2556" s="35" t="str">
        <x:v>Time_27</x:v>
      </x:c>
      <x:c r="E2556" s="35" t="str">
        <x:v>Condition</x:v>
      </x:c>
      <x:c r="F2556" s="35" t="n">
        <x:v>446</x:v>
      </x:c>
      <x:c r="G2556" s="35" t="str">
        <x:v>RECORDED</x:v>
      </x:c>
      <x:c r="H2556" s="39" t="n">
        <x:f>IF(ISNUMBER('Data'!N848),'Data'!N848*100,"")</x:f>
        <x:v>19.73</x:v>
      </x:c>
      <x:c r="I2556" s="35" t="str">
        <x:v>PASS</x:v>
      </x:c>
      <x:c r="J2556" s="35" t="str">
        <x:v>PASS</x:v>
      </x:c>
      <x:c r="K2556" s="35" t="str">
        <x:v>PASS</x:v>
      </x:c>
      <x:c r="L2556" s="35" t="str">
        <x:v>FAIL</x:v>
      </x:c>
      <x:c r="M2556" s="35" t="str">
        <x:v>numeric coverage for applicable metric</x:v>
      </x:c>
      <x:c r="N2556" s="35" t="str">
        <x:v>Deepseek-flash-v4/Result/Time_27/result.json</x:v>
      </x:c>
      <x:c r="O2556" s="39" t="n">
        <x:f>IF(AND(G2556="RECORDED",ISNUMBER(H2556)),H2556,"")</x:f>
        <x:v>19.73</x:v>
      </x:c>
      <x:c r="P2556" s="35" t="str">
        <x:v>INCONCLUSIVE</x:v>
      </x:c>
      <x:c r="Q2556" s="35" t="str">
        <x:v>Deepseek-flash-v4/Result/Time_27/result.json</x:v>
      </x:c>
    </x:row>
    <x:row r="2557">
      <x:c r="A2557" s="35" t="str">
        <x:v>deepseek</x:v>
      </x:c>
      <x:c r="B2557" s="35" t="str">
        <x:v>Time</x:v>
      </x:c>
      <x:c r="C2557" s="35" t="str">
        <x:v>Round1</x:v>
      </x:c>
      <x:c r="D2557" s="35" t="str">
        <x:v>Time_3</x:v>
      </x:c>
      <x:c r="E2557" s="35" t="str">
        <x:v>Condition</x:v>
      </x:c>
      <x:c r="F2557" s="35"/>
      <x:c r="G2557" s="35" t="str">
        <x:v>A</x:v>
      </x:c>
      <x:c r="H2557" s="39" t="str">
        <x:f>IF(ISNUMBER('Data'!N849),'Data'!N849*100,"")</x:f>
      </x:c>
      <x:c r="I2557" s="35"/>
      <x:c r="J2557" s="35" t="str">
        <x:v>PASS</x:v>
      </x:c>
      <x:c r="K2557" s="35" t="str">
        <x:v>FAIL</x:v>
      </x:c>
      <x:c r="L2557" s="35" t="str">
        <x:v>NOT_RUN</x:v>
      </x:c>
      <x:c r="M2557" s="35" t="str">
        <x:v>coverage unavailable or execution/compile failed</x:v>
      </x:c>
      <x:c r="N2557" s="35" t="str">
        <x:v>Deepseek-flash-v4/Result/Time_3/result.json</x:v>
      </x:c>
      <x:c r="O2557" s="39" t="str">
        <x:f>IF(AND(G2557="RECORDED",ISNUMBER(H2557)),H2557,"")</x:f>
      </x:c>
      <x:c r="P2557" s="35" t="str">
        <x:v>NOT_AVAILABLE</x:v>
      </x:c>
      <x:c r="Q2557" s="35" t="str">
        <x:v>Deepseek-flash-v4/Result/Time_3/result.json</x:v>
      </x:c>
    </x:row>
    <x:row r="2558">
      <x:c r="A2558" s="35" t="str">
        <x:v>deepseek</x:v>
      </x:c>
      <x:c r="B2558" s="35" t="str">
        <x:v>Time</x:v>
      </x:c>
      <x:c r="C2558" s="35" t="str">
        <x:v>Round1</x:v>
      </x:c>
      <x:c r="D2558" s="35" t="str">
        <x:v>Time_4</x:v>
      </x:c>
      <x:c r="E2558" s="35" t="str">
        <x:v>Condition</x:v>
      </x:c>
      <x:c r="F2558" s="35" t="n">
        <x:v>106</x:v>
      </x:c>
      <x:c r="G2558" s="35" t="str">
        <x:v>RECORDED</x:v>
      </x:c>
      <x:c r="H2558" s="39" t="n">
        <x:f>IF(ISNUMBER('Data'!N850),'Data'!N850*100,"")</x:f>
        <x:v>69.81</x:v>
      </x:c>
      <x:c r="I2558" s="35" t="str">
        <x:v>PASS</x:v>
      </x:c>
      <x:c r="J2558" s="35" t="str">
        <x:v>PASS</x:v>
      </x:c>
      <x:c r="K2558" s="35" t="str">
        <x:v>PASS</x:v>
      </x:c>
      <x:c r="L2558" s="35" t="str">
        <x:v>PASS</x:v>
      </x:c>
      <x:c r="M2558" s="35" t="str">
        <x:v>numeric coverage for applicable metric</x:v>
      </x:c>
      <x:c r="N2558" s="35" t="str">
        <x:v>Deepseek-flash-v4/Result/Time_4/result.json</x:v>
      </x:c>
      <x:c r="O2558" s="39" t="n">
        <x:f>IF(AND(G2558="RECORDED",ISNUMBER(H2558)),H2558,"")</x:f>
        <x:v>69.81</x:v>
      </x:c>
      <x:c r="P2558" s="35" t="str">
        <x:v>NOT_REVEALING</x:v>
      </x:c>
      <x:c r="Q2558" s="35" t="str">
        <x:v>Deepseek-flash-v4/Result/Time_4/result.json</x:v>
      </x:c>
    </x:row>
    <x:row r="2559">
      <x:c r="A2559" s="35" t="str">
        <x:v>deepseek</x:v>
      </x:c>
      <x:c r="B2559" s="35" t="str">
        <x:v>Time</x:v>
      </x:c>
      <x:c r="C2559" s="35" t="str">
        <x:v>Round1</x:v>
      </x:c>
      <x:c r="D2559" s="35" t="str">
        <x:v>Time_5</x:v>
      </x:c>
      <x:c r="E2559" s="35" t="str">
        <x:v>Condition</x:v>
      </x:c>
      <x:c r="F2559" s="35"/>
      <x:c r="G2559" s="35" t="str">
        <x:v>A</x:v>
      </x:c>
      <x:c r="H2559" s="39" t="str">
        <x:f>IF(ISNUMBER('Data'!N851),'Data'!N851*100,"")</x:f>
      </x:c>
      <x:c r="I2559" s="35"/>
      <x:c r="J2559" s="35" t="str">
        <x:v>PASS</x:v>
      </x:c>
      <x:c r="K2559" s="35" t="str">
        <x:v>FAIL</x:v>
      </x:c>
      <x:c r="L2559" s="35" t="str">
        <x:v>NOT_RUN</x:v>
      </x:c>
      <x:c r="M2559" s="35" t="str">
        <x:v>coverage unavailable or execution/compile failed</x:v>
      </x:c>
      <x:c r="N2559" s="35" t="str">
        <x:v>Deepseek-flash-v4/Result/Time_5/result.json</x:v>
      </x:c>
      <x:c r="O2559" s="39" t="str">
        <x:f>IF(AND(G2559="RECORDED",ISNUMBER(H2559)),H2559,"")</x:f>
      </x:c>
      <x:c r="P2559" s="35" t="str">
        <x:v>NOT_AVAILABLE</x:v>
      </x:c>
      <x:c r="Q2559" s="35" t="str">
        <x:v>Deepseek-flash-v4/Result/Time_5/result.json</x:v>
      </x:c>
    </x:row>
    <x:row r="2560">
      <x:c r="A2560" s="35" t="str">
        <x:v>deepseek</x:v>
      </x:c>
      <x:c r="B2560" s="35" t="str">
        <x:v>Time</x:v>
      </x:c>
      <x:c r="C2560" s="35" t="str">
        <x:v>Round1</x:v>
      </x:c>
      <x:c r="D2560" s="35" t="str">
        <x:v>Time_6</x:v>
      </x:c>
      <x:c r="E2560" s="35" t="str">
        <x:v>Condition</x:v>
      </x:c>
      <x:c r="F2560" s="35" t="n">
        <x:v>168</x:v>
      </x:c>
      <x:c r="G2560" s="35" t="str">
        <x:v>RECORDED</x:v>
      </x:c>
      <x:c r="H2560" s="39" t="n">
        <x:f>IF(ISNUMBER('Data'!N852),'Data'!N852*100,"")</x:f>
        <x:v>27.38</x:v>
      </x:c>
      <x:c r="I2560" s="35" t="str">
        <x:v>PASS</x:v>
      </x:c>
      <x:c r="J2560" s="35" t="str">
        <x:v>PASS</x:v>
      </x:c>
      <x:c r="K2560" s="35" t="str">
        <x:v>PASS</x:v>
      </x:c>
      <x:c r="L2560" s="35" t="str">
        <x:v>PASS</x:v>
      </x:c>
      <x:c r="M2560" s="35" t="str">
        <x:v>numeric coverage for applicable metric</x:v>
      </x:c>
      <x:c r="N2560" s="35" t="str">
        <x:v>Deepseek-flash-v4/Result/Time_6/result.json</x:v>
      </x:c>
      <x:c r="O2560" s="39" t="n">
        <x:f>IF(AND(G2560="RECORDED",ISNUMBER(H2560)),H2560,"")</x:f>
        <x:v>27.38</x:v>
      </x:c>
      <x:c r="P2560" s="35" t="str">
        <x:v>NOT_REVEALING</x:v>
      </x:c>
      <x:c r="Q2560" s="35" t="str">
        <x:v>Deepseek-flash-v4/Result/Time_6/result.json</x:v>
      </x:c>
    </x:row>
    <x:row r="2561">
      <x:c r="A2561" s="35" t="str">
        <x:v>deepseek</x:v>
      </x:c>
      <x:c r="B2561" s="35" t="str">
        <x:v>Time</x:v>
      </x:c>
      <x:c r="C2561" s="35" t="str">
        <x:v>Round1</x:v>
      </x:c>
      <x:c r="D2561" s="35" t="str">
        <x:v>Time_7</x:v>
      </x:c>
      <x:c r="E2561" s="35" t="str">
        <x:v>Condition</x:v>
      </x:c>
      <x:c r="F2561" s="35"/>
      <x:c r="G2561" s="35" t="str">
        <x:v>A</x:v>
      </x:c>
      <x:c r="H2561" s="39" t="str">
        <x:f>IF(ISNUMBER('Data'!N853),'Data'!N853*100,"")</x:f>
      </x:c>
      <x:c r="I2561" s="35"/>
      <x:c r="J2561" s="35" t="str">
        <x:v>PASS</x:v>
      </x:c>
      <x:c r="K2561" s="35" t="str">
        <x:v>FAIL</x:v>
      </x:c>
      <x:c r="L2561" s="35" t="str">
        <x:v>NOT_RUN</x:v>
      </x:c>
      <x:c r="M2561" s="35" t="str">
        <x:v>coverage unavailable or execution/compile failed</x:v>
      </x:c>
      <x:c r="N2561" s="35" t="str">
        <x:v>Deepseek-flash-v4/Result/Time_7/result.json</x:v>
      </x:c>
      <x:c r="O2561" s="39" t="str">
        <x:f>IF(AND(G2561="RECORDED",ISNUMBER(H2561)),H2561,"")</x:f>
      </x:c>
      <x:c r="P2561" s="35" t="str">
        <x:v>NOT_AVAILABLE</x:v>
      </x:c>
      <x:c r="Q2561" s="35" t="str">
        <x:v>Deepseek-flash-v4/Result/Time_7/result.json</x:v>
      </x:c>
    </x:row>
    <x:row r="2562">
      <x:c r="A2562" s="35" t="str">
        <x:v>deepseek</x:v>
      </x:c>
      <x:c r="B2562" s="35" t="str">
        <x:v>Time</x:v>
      </x:c>
      <x:c r="C2562" s="35" t="str">
        <x:v>Round1</x:v>
      </x:c>
      <x:c r="D2562" s="35" t="str">
        <x:v>Time_8</x:v>
      </x:c>
      <x:c r="E2562" s="35" t="str">
        <x:v>Condition</x:v>
      </x:c>
      <x:c r="F2562" s="35" t="n">
        <x:v>178</x:v>
      </x:c>
      <x:c r="G2562" s="35" t="str">
        <x:v>RECORDED</x:v>
      </x:c>
      <x:c r="H2562" s="39" t="n">
        <x:f>IF(ISNUMBER('Data'!N854),'Data'!N854*100,"")</x:f>
        <x:v>51.12</x:v>
      </x:c>
      <x:c r="I2562" s="35" t="str">
        <x:v>PASS</x:v>
      </x:c>
      <x:c r="J2562" s="35" t="str">
        <x:v>PASS</x:v>
      </x:c>
      <x:c r="K2562" s="35" t="str">
        <x:v>PASS</x:v>
      </x:c>
      <x:c r="L2562" s="35" t="str">
        <x:v>PASS</x:v>
      </x:c>
      <x:c r="M2562" s="35" t="str">
        <x:v>numeric coverage for applicable metric</x:v>
      </x:c>
      <x:c r="N2562" s="35" t="str">
        <x:v>Deepseek-flash-v4/Result/Time_8/result.json</x:v>
      </x:c>
      <x:c r="O2562" s="39" t="n">
        <x:f>IF(AND(G2562="RECORDED",ISNUMBER(H2562)),H2562,"")</x:f>
        <x:v>51.12</x:v>
      </x:c>
      <x:c r="P2562" s="35" t="str">
        <x:v>NOT_REVEALING</x:v>
      </x:c>
      <x:c r="Q2562" s="35" t="str">
        <x:v>Deepseek-flash-v4/Result/Time_8/result.json</x:v>
      </x:c>
    </x:row>
    <x:row r="2563">
      <x:c r="A2563" s="35" t="str">
        <x:v>deepseek</x:v>
      </x:c>
      <x:c r="B2563" s="35" t="str">
        <x:v>Time</x:v>
      </x:c>
      <x:c r="C2563" s="35" t="str">
        <x:v>Round1</x:v>
      </x:c>
      <x:c r="D2563" s="35" t="str">
        <x:v>Time_9</x:v>
      </x:c>
      <x:c r="E2563" s="35" t="str">
        <x:v>Condition</x:v>
      </x:c>
      <x:c r="F2563" s="35"/>
      <x:c r="G2563" s="35" t="str">
        <x:v>A</x:v>
      </x:c>
      <x:c r="H2563" s="39" t="str">
        <x:f>IF(ISNUMBER('Data'!N855),'Data'!N855*100,"")</x:f>
      </x:c>
      <x:c r="I2563" s="35"/>
      <x:c r="J2563" s="35" t="str">
        <x:v>PASS</x:v>
      </x:c>
      <x:c r="K2563" s="35" t="str">
        <x:v>FAIL</x:v>
      </x:c>
      <x:c r="L2563" s="35" t="str">
        <x:v>NOT_RUN</x:v>
      </x:c>
      <x:c r="M2563" s="35" t="str">
        <x:v>coverage unavailable or execution/compile failed</x:v>
      </x:c>
      <x:c r="N2563" s="35" t="str">
        <x:v>Deepseek-flash-v4/Result/Time_9/result.json</x:v>
      </x:c>
      <x:c r="O2563" s="39" t="str">
        <x:f>IF(AND(G2563="RECORDED",ISNUMBER(H2563)),H2563,"")</x:f>
      </x:c>
      <x:c r="P2563" s="35" t="str">
        <x:v>NOT_AVAILABLE</x:v>
      </x:c>
      <x:c r="Q2563" s="35" t="str">
        <x:v>Deepseek-flash-v4/Result/Time_9/result.json</x:v>
      </x:c>
    </x:row>
    <x:row r="2564">
      <x:c r="A2564" s="35" t="str">
        <x:v>deepseek</x:v>
      </x:c>
      <x:c r="B2564" s="35" t="str">
        <x:v>Chart</x:v>
      </x:c>
      <x:c r="C2564" s="35" t="str">
        <x:v>Round2</x:v>
      </x:c>
      <x:c r="D2564" s="35" t="str">
        <x:v>Chart_1</x:v>
      </x:c>
      <x:c r="E2564" s="35" t="str">
        <x:v>Condition</x:v>
      </x:c>
      <x:c r="F2564" s="35"/>
      <x:c r="G2564" s="35" t="str">
        <x:v>A</x:v>
      </x:c>
      <x:c r="H2564" s="39" t="str">
        <x:f>IF(ISNUMBER('Data'!N856),'Data'!N856*100,"")</x:f>
      </x:c>
      <x:c r="I2564" s="35"/>
      <x:c r="J2564" s="35" t="str">
        <x:v>PASS</x:v>
      </x:c>
      <x:c r="K2564" s="35" t="str">
        <x:v>FAIL</x:v>
      </x:c>
      <x:c r="L2564" s="35" t="str">
        <x:v>NOT_RUN</x:v>
      </x:c>
      <x:c r="M2564" s="35" t="str">
        <x:v>coverage unavailable or execution/compile failed</x:v>
      </x:c>
      <x:c r="N2564" s="35" t="str">
        <x:v>Deepseek-flash-v4/Result2/Chart_1/result.json</x:v>
      </x:c>
      <x:c r="O2564" s="39" t="str">
        <x:f>IF(AND(G2564="RECORDED",ISNUMBER(H2564)),H2564,"")</x:f>
      </x:c>
      <x:c r="P2564" s="35" t="str">
        <x:v>NOT_AVAILABLE</x:v>
      </x:c>
      <x:c r="Q2564" s="35" t="str">
        <x:v>Deepseek-flash-v4/Result2/Chart_1/result.json</x:v>
      </x:c>
    </x:row>
    <x:row r="2565">
      <x:c r="A2565" s="35" t="str">
        <x:v>deepseek</x:v>
      </x:c>
      <x:c r="B2565" s="35" t="str">
        <x:v>Chart</x:v>
      </x:c>
      <x:c r="C2565" s="35" t="str">
        <x:v>Round2</x:v>
      </x:c>
      <x:c r="D2565" s="35" t="str">
        <x:v>Chart_10</x:v>
      </x:c>
      <x:c r="E2565" s="35" t="str">
        <x:v>Condition</x:v>
      </x:c>
      <x:c r="F2565" s="35" t="n">
        <x:v>0</x:v>
      </x:c>
      <x:c r="G2565" s="35" t="str">
        <x:v>B</x:v>
      </x:c>
      <x:c r="H2565" s="39" t="str">
        <x:f>IF(ISNUMBER('Data'!N857),'Data'!N857*100,"")</x:f>
      </x:c>
      <x:c r="I2565" s="35" t="str">
        <x:v>PASS</x:v>
      </x:c>
      <x:c r="J2565" s="35" t="str">
        <x:v>PASS</x:v>
      </x:c>
      <x:c r="K2565" s="35" t="str">
        <x:v>PASS</x:v>
      </x:c>
      <x:c r="L2565" s="35" t="str">
        <x:v>FAIL</x:v>
      </x:c>
      <x:c r="M2565" s="35" t="str">
        <x:v>coverage completed; measurable total = 0</x:v>
      </x:c>
      <x:c r="N2565" s="35" t="str">
        <x:v>Deepseek-flash-v4/Result2/Chart_10/result.json</x:v>
      </x:c>
      <x:c r="O2565" s="39" t="str">
        <x:f>IF(AND(G2565="RECORDED",ISNUMBER(H2565)),H2565,"")</x:f>
      </x:c>
      <x:c r="P2565" s="35" t="str">
        <x:v>INCONCLUSIVE</x:v>
      </x:c>
      <x:c r="Q2565" s="35" t="str">
        <x:v>Deepseek-flash-v4/Result2/Chart_10/result.json</x:v>
      </x:c>
    </x:row>
    <x:row r="2566">
      <x:c r="A2566" s="35" t="str">
        <x:v>deepseek</x:v>
      </x:c>
      <x:c r="B2566" s="35" t="str">
        <x:v>Chart</x:v>
      </x:c>
      <x:c r="C2566" s="35" t="str">
        <x:v>Round2</x:v>
      </x:c>
      <x:c r="D2566" s="35" t="str">
        <x:v>Chart_11</x:v>
      </x:c>
      <x:c r="E2566" s="35" t="str">
        <x:v>Condition</x:v>
      </x:c>
      <x:c r="F2566" s="35"/>
      <x:c r="G2566" s="35" t="str">
        <x:v>A</x:v>
      </x:c>
      <x:c r="H2566" s="39" t="str">
        <x:f>IF(ISNUMBER('Data'!N858),'Data'!N858*100,"")</x:f>
      </x:c>
      <x:c r="I2566" s="35"/>
      <x:c r="J2566" s="35" t="str">
        <x:v>PASS</x:v>
      </x:c>
      <x:c r="K2566" s="35" t="str">
        <x:v>FAIL</x:v>
      </x:c>
      <x:c r="L2566" s="35" t="str">
        <x:v>NOT_RUN</x:v>
      </x:c>
      <x:c r="M2566" s="35" t="str">
        <x:v>coverage unavailable or execution/compile failed</x:v>
      </x:c>
      <x:c r="N2566" s="35" t="str">
        <x:v>Deepseek-flash-v4/Result2/Chart_11/result.json</x:v>
      </x:c>
      <x:c r="O2566" s="39" t="str">
        <x:f>IF(AND(G2566="RECORDED",ISNUMBER(H2566)),H2566,"")</x:f>
      </x:c>
      <x:c r="P2566" s="35" t="str">
        <x:v>NOT_AVAILABLE</x:v>
      </x:c>
      <x:c r="Q2566" s="35" t="str">
        <x:v>Deepseek-flash-v4/Result2/Chart_11/result.json</x:v>
      </x:c>
    </x:row>
    <x:row r="2567">
      <x:c r="A2567" s="35" t="str">
        <x:v>deepseek</x:v>
      </x:c>
      <x:c r="B2567" s="35" t="str">
        <x:v>Chart</x:v>
      </x:c>
      <x:c r="C2567" s="35" t="str">
        <x:v>Round2</x:v>
      </x:c>
      <x:c r="D2567" s="35" t="str">
        <x:v>Chart_12</x:v>
      </x:c>
      <x:c r="E2567" s="35" t="str">
        <x:v>Condition</x:v>
      </x:c>
      <x:c r="F2567" s="35"/>
      <x:c r="G2567" s="35" t="str">
        <x:v>A</x:v>
      </x:c>
      <x:c r="H2567" s="39" t="str">
        <x:f>IF(ISNUMBER('Data'!N859),'Data'!N859*100,"")</x:f>
      </x:c>
      <x:c r="I2567" s="35"/>
      <x:c r="J2567" s="35" t="str">
        <x:v>PASS</x:v>
      </x:c>
      <x:c r="K2567" s="35" t="str">
        <x:v>FAIL</x:v>
      </x:c>
      <x:c r="L2567" s="35" t="str">
        <x:v>NOT_RUN</x:v>
      </x:c>
      <x:c r="M2567" s="35" t="str">
        <x:v>coverage unavailable or execution/compile failed</x:v>
      </x:c>
      <x:c r="N2567" s="35" t="str">
        <x:v>Deepseek-flash-v4/Result2/Chart_12/result.json</x:v>
      </x:c>
      <x:c r="O2567" s="39" t="str">
        <x:f>IF(AND(G2567="RECORDED",ISNUMBER(H2567)),H2567,"")</x:f>
      </x:c>
      <x:c r="P2567" s="35" t="str">
        <x:v>NOT_AVAILABLE</x:v>
      </x:c>
      <x:c r="Q2567" s="35" t="str">
        <x:v>Deepseek-flash-v4/Result2/Chart_12/result.json</x:v>
      </x:c>
    </x:row>
    <x:row r="2568">
      <x:c r="A2568" s="35" t="str">
        <x:v>deepseek</x:v>
      </x:c>
      <x:c r="B2568" s="35" t="str">
        <x:v>Chart</x:v>
      </x:c>
      <x:c r="C2568" s="35" t="str">
        <x:v>Round2</x:v>
      </x:c>
      <x:c r="D2568" s="35" t="str">
        <x:v>Chart_13</x:v>
      </x:c>
      <x:c r="E2568" s="35" t="str">
        <x:v>Condition</x:v>
      </x:c>
      <x:c r="F2568" s="35"/>
      <x:c r="G2568" s="35" t="str">
        <x:v>A</x:v>
      </x:c>
      <x:c r="H2568" s="39" t="str">
        <x:f>IF(ISNUMBER('Data'!N860),'Data'!N860*100,"")</x:f>
      </x:c>
      <x:c r="I2568" s="35"/>
      <x:c r="J2568" s="35" t="str">
        <x:v>PASS</x:v>
      </x:c>
      <x:c r="K2568" s="35" t="str">
        <x:v>FAIL</x:v>
      </x:c>
      <x:c r="L2568" s="35" t="str">
        <x:v>NOT_RUN</x:v>
      </x:c>
      <x:c r="M2568" s="35" t="str">
        <x:v>coverage unavailable or execution/compile failed</x:v>
      </x:c>
      <x:c r="N2568" s="35" t="str">
        <x:v>Deepseek-flash-v4/Result2/Chart_13/result.json</x:v>
      </x:c>
      <x:c r="O2568" s="39" t="str">
        <x:f>IF(AND(G2568="RECORDED",ISNUMBER(H2568)),H2568,"")</x:f>
      </x:c>
      <x:c r="P2568" s="35" t="str">
        <x:v>NOT_AVAILABLE</x:v>
      </x:c>
      <x:c r="Q2568" s="35" t="str">
        <x:v>Deepseek-flash-v4/Result2/Chart_13/result.json</x:v>
      </x:c>
    </x:row>
    <x:row r="2569">
      <x:c r="A2569" s="35" t="str">
        <x:v>deepseek</x:v>
      </x:c>
      <x:c r="B2569" s="35" t="str">
        <x:v>Chart</x:v>
      </x:c>
      <x:c r="C2569" s="35" t="str">
        <x:v>Round2</x:v>
      </x:c>
      <x:c r="D2569" s="35" t="str">
        <x:v>Chart_14</x:v>
      </x:c>
      <x:c r="E2569" s="35" t="str">
        <x:v>Condition</x:v>
      </x:c>
      <x:c r="F2569" s="35"/>
      <x:c r="G2569" s="35" t="str">
        <x:v>A</x:v>
      </x:c>
      <x:c r="H2569" s="39" t="str">
        <x:f>IF(ISNUMBER('Data'!N861),'Data'!N861*100,"")</x:f>
      </x:c>
      <x:c r="I2569" s="35"/>
      <x:c r="J2569" s="35" t="str">
        <x:v>PASS</x:v>
      </x:c>
      <x:c r="K2569" s="35" t="str">
        <x:v>FAIL</x:v>
      </x:c>
      <x:c r="L2569" s="35" t="str">
        <x:v>NOT_RUN</x:v>
      </x:c>
      <x:c r="M2569" s="35" t="str">
        <x:v>coverage unavailable or execution/compile failed</x:v>
      </x:c>
      <x:c r="N2569" s="35" t="str">
        <x:v>Deepseek-flash-v4/Result2/Chart_14/result.json</x:v>
      </x:c>
      <x:c r="O2569" s="39" t="str">
        <x:f>IF(AND(G2569="RECORDED",ISNUMBER(H2569)),H2569,"")</x:f>
      </x:c>
      <x:c r="P2569" s="35" t="str">
        <x:v>NOT_AVAILABLE</x:v>
      </x:c>
      <x:c r="Q2569" s="35" t="str">
        <x:v>Deepseek-flash-v4/Result2/Chart_14/result.json</x:v>
      </x:c>
    </x:row>
    <x:row r="2570">
      <x:c r="A2570" s="35" t="str">
        <x:v>deepseek</x:v>
      </x:c>
      <x:c r="B2570" s="35" t="str">
        <x:v>Chart</x:v>
      </x:c>
      <x:c r="C2570" s="35" t="str">
        <x:v>Round2</x:v>
      </x:c>
      <x:c r="D2570" s="35" t="str">
        <x:v>Chart_15</x:v>
      </x:c>
      <x:c r="E2570" s="35" t="str">
        <x:v>Condition</x:v>
      </x:c>
      <x:c r="F2570" s="35" t="n">
        <x:v>312</x:v>
      </x:c>
      <x:c r="G2570" s="35" t="str">
        <x:v>RECORDED</x:v>
      </x:c>
      <x:c r="H2570" s="39" t="n">
        <x:f>IF(ISNUMBER('Data'!N862),'Data'!N862*100,"")</x:f>
        <x:v>26.280000000000005</x:v>
      </x:c>
      <x:c r="I2570" s="35" t="str">
        <x:v>PASS</x:v>
      </x:c>
      <x:c r="J2570" s="35" t="str">
        <x:v>PASS</x:v>
      </x:c>
      <x:c r="K2570" s="35" t="str">
        <x:v>PASS</x:v>
      </x:c>
      <x:c r="L2570" s="35" t="str">
        <x:v>FAIL</x:v>
      </x:c>
      <x:c r="M2570" s="35" t="str">
        <x:v>numeric coverage for applicable metric</x:v>
      </x:c>
      <x:c r="N2570" s="35" t="str">
        <x:v>Deepseek-flash-v4/Result2/Chart_15/result.json</x:v>
      </x:c>
      <x:c r="O2570" s="39" t="n">
        <x:f>IF(AND(G2570="RECORDED",ISNUMBER(H2570)),H2570,"")</x:f>
        <x:v>26.280000000000005</x:v>
      </x:c>
      <x:c r="P2570" s="35" t="str">
        <x:v>INCONCLUSIVE</x:v>
      </x:c>
      <x:c r="Q2570" s="35" t="str">
        <x:v>Deepseek-flash-v4/Result2/Chart_15/result.json</x:v>
      </x:c>
    </x:row>
    <x:row r="2571">
      <x:c r="A2571" s="35" t="str">
        <x:v>deepseek</x:v>
      </x:c>
      <x:c r="B2571" s="35" t="str">
        <x:v>Chart</x:v>
      </x:c>
      <x:c r="C2571" s="35" t="str">
        <x:v>Round2</x:v>
      </x:c>
      <x:c r="D2571" s="35" t="str">
        <x:v>Chart_16</x:v>
      </x:c>
      <x:c r="E2571" s="35" t="str">
        <x:v>Condition</x:v>
      </x:c>
      <x:c r="F2571" s="35" t="n">
        <x:v>128</x:v>
      </x:c>
      <x:c r="G2571" s="35" t="str">
        <x:v>RECORDED</x:v>
      </x:c>
      <x:c r="H2571" s="39" t="n">
        <x:f>IF(ISNUMBER('Data'!N863),'Data'!N863*100,"")</x:f>
        <x:v>88.28</x:v>
      </x:c>
      <x:c r="I2571" s="35" t="str">
        <x:v>PASS</x:v>
      </x:c>
      <x:c r="J2571" s="35" t="str">
        <x:v>PASS</x:v>
      </x:c>
      <x:c r="K2571" s="35" t="str">
        <x:v>PASS</x:v>
      </x:c>
      <x:c r="L2571" s="35" t="str">
        <x:v>PASS</x:v>
      </x:c>
      <x:c r="M2571" s="35" t="str">
        <x:v>numeric coverage for applicable metric</x:v>
      </x:c>
      <x:c r="N2571" s="35" t="str">
        <x:v>Deepseek-flash-v4/Result2/Chart_16/result.json</x:v>
      </x:c>
      <x:c r="O2571" s="39" t="n">
        <x:f>IF(AND(G2571="RECORDED",ISNUMBER(H2571)),H2571,"")</x:f>
        <x:v>88.28</x:v>
      </x:c>
      <x:c r="P2571" s="35" t="str">
        <x:v>NOT_REVEALING</x:v>
      </x:c>
      <x:c r="Q2571" s="35" t="str">
        <x:v>Deepseek-flash-v4/Result2/Chart_16/result.json</x:v>
      </x:c>
    </x:row>
    <x:row r="2572">
      <x:c r="A2572" s="35" t="str">
        <x:v>deepseek</x:v>
      </x:c>
      <x:c r="B2572" s="35" t="str">
        <x:v>Chart</x:v>
      </x:c>
      <x:c r="C2572" s="35" t="str">
        <x:v>Round2</x:v>
      </x:c>
      <x:c r="D2572" s="35" t="str">
        <x:v>Chart_17</x:v>
      </x:c>
      <x:c r="E2572" s="35" t="str">
        <x:v>Condition</x:v>
      </x:c>
      <x:c r="F2572" s="35" t="n">
        <x:v>128</x:v>
      </x:c>
      <x:c r="G2572" s="35" t="str">
        <x:v>RECORDED</x:v>
      </x:c>
      <x:c r="H2572" s="39" t="n">
        <x:f>IF(ISNUMBER('Data'!N864),'Data'!N864*100,"")</x:f>
        <x:v>73.44</x:v>
      </x:c>
      <x:c r="I2572" s="35" t="str">
        <x:v>PASS</x:v>
      </x:c>
      <x:c r="J2572" s="35" t="str">
        <x:v>PASS</x:v>
      </x:c>
      <x:c r="K2572" s="35" t="str">
        <x:v>PASS</x:v>
      </x:c>
      <x:c r="L2572" s="35" t="str">
        <x:v>PASS</x:v>
      </x:c>
      <x:c r="M2572" s="35" t="str">
        <x:v>numeric coverage for applicable metric</x:v>
      </x:c>
      <x:c r="N2572" s="35" t="str">
        <x:v>Deepseek-flash-v4/Result2/Chart_17/result.json</x:v>
      </x:c>
      <x:c r="O2572" s="39" t="n">
        <x:f>IF(AND(G2572="RECORDED",ISNUMBER(H2572)),H2572,"")</x:f>
        <x:v>73.44</x:v>
      </x:c>
      <x:c r="P2572" s="35" t="str">
        <x:v>NOT_REVEALING</x:v>
      </x:c>
      <x:c r="Q2572" s="35" t="str">
        <x:v>Deepseek-flash-v4/Result2/Chart_17/result.json</x:v>
      </x:c>
    </x:row>
    <x:row r="2573">
      <x:c r="A2573" s="35" t="str">
        <x:v>deepseek</x:v>
      </x:c>
      <x:c r="B2573" s="35" t="str">
        <x:v>Chart</x:v>
      </x:c>
      <x:c r="C2573" s="35" t="str">
        <x:v>Round2</x:v>
      </x:c>
      <x:c r="D2573" s="35" t="str">
        <x:v>Chart_18</x:v>
      </x:c>
      <x:c r="E2573" s="35" t="str">
        <x:v>Condition</x:v>
      </x:c>
      <x:c r="F2573" s="35" t="n">
        <x:v>122</x:v>
      </x:c>
      <x:c r="G2573" s="35" t="str">
        <x:v>RECORDED</x:v>
      </x:c>
      <x:c r="H2573" s="39" t="n">
        <x:f>IF(ISNUMBER('Data'!N865),'Data'!N865*100,"")</x:f>
        <x:v>83.61</x:v>
      </x:c>
      <x:c r="I2573" s="35" t="str">
        <x:v>PASS</x:v>
      </x:c>
      <x:c r="J2573" s="35" t="str">
        <x:v>PASS</x:v>
      </x:c>
      <x:c r="K2573" s="35" t="str">
        <x:v>PASS</x:v>
      </x:c>
      <x:c r="L2573" s="35" t="str">
        <x:v>FAIL</x:v>
      </x:c>
      <x:c r="M2573" s="35" t="str">
        <x:v>numeric coverage for applicable metric</x:v>
      </x:c>
      <x:c r="N2573" s="35" t="str">
        <x:v>Deepseek-flash-v4/Result2/Chart_18/result.json</x:v>
      </x:c>
      <x:c r="O2573" s="39" t="n">
        <x:f>IF(AND(G2573="RECORDED",ISNUMBER(H2573)),H2573,"")</x:f>
        <x:v>83.61</x:v>
      </x:c>
      <x:c r="P2573" s="35" t="str">
        <x:v>INCONCLUSIVE</x:v>
      </x:c>
      <x:c r="Q2573" s="35" t="str">
        <x:v>Deepseek-flash-v4/Result2/Chart_18/result.json</x:v>
      </x:c>
    </x:row>
    <x:row r="2574">
      <x:c r="A2574" s="35" t="str">
        <x:v>deepseek</x:v>
      </x:c>
      <x:c r="B2574" s="35" t="str">
        <x:v>Chart</x:v>
      </x:c>
      <x:c r="C2574" s="35" t="str">
        <x:v>Round2</x:v>
      </x:c>
      <x:c r="D2574" s="35" t="str">
        <x:v>Chart_19</x:v>
      </x:c>
      <x:c r="E2574" s="35" t="str">
        <x:v>Condition</x:v>
      </x:c>
      <x:c r="F2574" s="35"/>
      <x:c r="G2574" s="35" t="str">
        <x:v>A</x:v>
      </x:c>
      <x:c r="H2574" s="39" t="str">
        <x:f>IF(ISNUMBER('Data'!N866),'Data'!N866*100,"")</x:f>
      </x:c>
      <x:c r="I2574" s="35"/>
      <x:c r="J2574" s="35" t="str">
        <x:v>PASS</x:v>
      </x:c>
      <x:c r="K2574" s="35" t="str">
        <x:v>FAIL</x:v>
      </x:c>
      <x:c r="L2574" s="35" t="str">
        <x:v>NOT_RUN</x:v>
      </x:c>
      <x:c r="M2574" s="35" t="str">
        <x:v>coverage unavailable or execution/compile failed</x:v>
      </x:c>
      <x:c r="N2574" s="35" t="str">
        <x:v>Deepseek-flash-v4/Result2/Chart_19/result.json</x:v>
      </x:c>
      <x:c r="O2574" s="39" t="str">
        <x:f>IF(AND(G2574="RECORDED",ISNUMBER(H2574)),H2574,"")</x:f>
      </x:c>
      <x:c r="P2574" s="35" t="str">
        <x:v>NOT_AVAILABLE</x:v>
      </x:c>
      <x:c r="Q2574" s="35" t="str">
        <x:v>Deepseek-flash-v4/Result2/Chart_19/result.json</x:v>
      </x:c>
    </x:row>
    <x:row r="2575">
      <x:c r="A2575" s="35" t="str">
        <x:v>deepseek</x:v>
      </x:c>
      <x:c r="B2575" s="35" t="str">
        <x:v>Chart</x:v>
      </x:c>
      <x:c r="C2575" s="35" t="str">
        <x:v>Round2</x:v>
      </x:c>
      <x:c r="D2575" s="35" t="str">
        <x:v>Chart_2</x:v>
      </x:c>
      <x:c r="E2575" s="35" t="str">
        <x:v>Condition</x:v>
      </x:c>
      <x:c r="F2575" s="35"/>
      <x:c r="G2575" s="35" t="str">
        <x:v>A</x:v>
      </x:c>
      <x:c r="H2575" s="39" t="str">
        <x:f>IF(ISNUMBER('Data'!N867),'Data'!N867*100,"")</x:f>
      </x:c>
      <x:c r="I2575" s="35"/>
      <x:c r="J2575" s="35" t="str">
        <x:v>PASS</x:v>
      </x:c>
      <x:c r="K2575" s="35" t="str">
        <x:v>FAIL</x:v>
      </x:c>
      <x:c r="L2575" s="35" t="str">
        <x:v>NOT_RUN</x:v>
      </x:c>
      <x:c r="M2575" s="35" t="str">
        <x:v>coverage unavailable or execution/compile failed</x:v>
      </x:c>
      <x:c r="N2575" s="35" t="str">
        <x:v>Deepseek-flash-v4/Result2/Chart_2/result.json</x:v>
      </x:c>
      <x:c r="O2575" s="39" t="str">
        <x:f>IF(AND(G2575="RECORDED",ISNUMBER(H2575)),H2575,"")</x:f>
      </x:c>
      <x:c r="P2575" s="35" t="str">
        <x:v>NOT_AVAILABLE</x:v>
      </x:c>
      <x:c r="Q2575" s="35" t="str">
        <x:v>Deepseek-flash-v4/Result2/Chart_2/result.json</x:v>
      </x:c>
    </x:row>
    <x:row r="2576">
      <x:c r="A2576" s="35" t="str">
        <x:v>deepseek</x:v>
      </x:c>
      <x:c r="B2576" s="35" t="str">
        <x:v>Chart</x:v>
      </x:c>
      <x:c r="C2576" s="35" t="str">
        <x:v>Round2</x:v>
      </x:c>
      <x:c r="D2576" s="35" t="str">
        <x:v>Chart_20</x:v>
      </x:c>
      <x:c r="E2576" s="35" t="str">
        <x:v>Condition</x:v>
      </x:c>
      <x:c r="F2576" s="35" t="n">
        <x:v>8</x:v>
      </x:c>
      <x:c r="G2576" s="35" t="str">
        <x:v>RECORDED</x:v>
      </x:c>
      <x:c r="H2576" s="39" t="n">
        <x:f>IF(ISNUMBER('Data'!N868),'Data'!N868*100,"")</x:f>
        <x:v>87.5</x:v>
      </x:c>
      <x:c r="I2576" s="35" t="str">
        <x:v>PASS</x:v>
      </x:c>
      <x:c r="J2576" s="35" t="str">
        <x:v>PASS</x:v>
      </x:c>
      <x:c r="K2576" s="35" t="str">
        <x:v>PASS</x:v>
      </x:c>
      <x:c r="L2576" s="35" t="str">
        <x:v>FAIL</x:v>
      </x:c>
      <x:c r="M2576" s="35" t="str">
        <x:v>numeric coverage for applicable metric</x:v>
      </x:c>
      <x:c r="N2576" s="35" t="str">
        <x:v>Deepseek-flash-v4/Result2/Chart_20/result.json</x:v>
      </x:c>
      <x:c r="O2576" s="39" t="n">
        <x:f>IF(AND(G2576="RECORDED",ISNUMBER(H2576)),H2576,"")</x:f>
        <x:v>87.5</x:v>
      </x:c>
      <x:c r="P2576" s="35" t="str">
        <x:v>REVEALING</x:v>
      </x:c>
      <x:c r="Q2576" s="35" t="str">
        <x:v>Deepseek-flash-v4/Result2/Chart_20/result.json</x:v>
      </x:c>
    </x:row>
    <x:row r="2577">
      <x:c r="A2577" s="35" t="str">
        <x:v>deepseek</x:v>
      </x:c>
      <x:c r="B2577" s="35" t="str">
        <x:v>Chart</x:v>
      </x:c>
      <x:c r="C2577" s="35" t="str">
        <x:v>Round2</x:v>
      </x:c>
      <x:c r="D2577" s="35" t="str">
        <x:v>Chart_21</x:v>
      </x:c>
      <x:c r="E2577" s="35" t="str">
        <x:v>Condition</x:v>
      </x:c>
      <x:c r="F2577" s="35" t="n">
        <x:v>60</x:v>
      </x:c>
      <x:c r="G2577" s="35" t="str">
        <x:v>RECORDED</x:v>
      </x:c>
      <x:c r="H2577" s="39" t="n">
        <x:f>IF(ISNUMBER('Data'!N869),'Data'!N869*100,"")</x:f>
        <x:v>40</x:v>
      </x:c>
      <x:c r="I2577" s="35" t="str">
        <x:v>PASS</x:v>
      </x:c>
      <x:c r="J2577" s="35" t="str">
        <x:v>PASS</x:v>
      </x:c>
      <x:c r="K2577" s="35" t="str">
        <x:v>PASS</x:v>
      </x:c>
      <x:c r="L2577" s="35" t="str">
        <x:v>FAIL</x:v>
      </x:c>
      <x:c r="M2577" s="35" t="str">
        <x:v>numeric coverage for applicable metric</x:v>
      </x:c>
      <x:c r="N2577" s="35" t="str">
        <x:v>Deepseek-flash-v4/Result2/Chart_21/result.json</x:v>
      </x:c>
      <x:c r="O2577" s="39" t="n">
        <x:f>IF(AND(G2577="RECORDED",ISNUMBER(H2577)),H2577,"")</x:f>
        <x:v>40</x:v>
      </x:c>
      <x:c r="P2577" s="35" t="str">
        <x:v>INCONCLUSIVE</x:v>
      </x:c>
      <x:c r="Q2577" s="35" t="str">
        <x:v>Deepseek-flash-v4/Result2/Chart_21/result.json</x:v>
      </x:c>
    </x:row>
    <x:row r="2578">
      <x:c r="A2578" s="35" t="str">
        <x:v>deepseek</x:v>
      </x:c>
      <x:c r="B2578" s="35" t="str">
        <x:v>Chart</x:v>
      </x:c>
      <x:c r="C2578" s="35" t="str">
        <x:v>Round2</x:v>
      </x:c>
      <x:c r="D2578" s="35" t="str">
        <x:v>Chart_22</x:v>
      </x:c>
      <x:c r="E2578" s="35" t="str">
        <x:v>Condition</x:v>
      </x:c>
      <x:c r="F2578" s="35" t="n">
        <x:v>58</x:v>
      </x:c>
      <x:c r="G2578" s="35" t="str">
        <x:v>RECORDED</x:v>
      </x:c>
      <x:c r="H2578" s="39" t="n">
        <x:f>IF(ISNUMBER('Data'!N870),'Data'!N870*100,"")</x:f>
        <x:v>81.03</x:v>
      </x:c>
      <x:c r="I2578" s="35" t="str">
        <x:v>PASS</x:v>
      </x:c>
      <x:c r="J2578" s="35" t="str">
        <x:v>PASS</x:v>
      </x:c>
      <x:c r="K2578" s="35" t="str">
        <x:v>PASS</x:v>
      </x:c>
      <x:c r="L2578" s="35" t="str">
        <x:v>FAIL</x:v>
      </x:c>
      <x:c r="M2578" s="35" t="str">
        <x:v>numeric coverage for applicable metric</x:v>
      </x:c>
      <x:c r="N2578" s="35" t="str">
        <x:v>Deepseek-flash-v4/Result2/Chart_22/result.json</x:v>
      </x:c>
      <x:c r="O2578" s="39" t="n">
        <x:f>IF(AND(G2578="RECORDED",ISNUMBER(H2578)),H2578,"")</x:f>
        <x:v>81.03</x:v>
      </x:c>
      <x:c r="P2578" s="35" t="str">
        <x:v>INCONCLUSIVE</x:v>
      </x:c>
      <x:c r="Q2578" s="35" t="str">
        <x:v>Deepseek-flash-v4/Result2/Chart_22/result.json</x:v>
      </x:c>
    </x:row>
    <x:row r="2579">
      <x:c r="A2579" s="35" t="str">
        <x:v>deepseek</x:v>
      </x:c>
      <x:c r="B2579" s="35" t="str">
        <x:v>Chart</x:v>
      </x:c>
      <x:c r="C2579" s="35" t="str">
        <x:v>Round2</x:v>
      </x:c>
      <x:c r="D2579" s="35" t="str">
        <x:v>Chart_23</x:v>
      </x:c>
      <x:c r="E2579" s="35" t="str">
        <x:v>Condition</x:v>
      </x:c>
      <x:c r="F2579" s="35" t="n">
        <x:v>46</x:v>
      </x:c>
      <x:c r="G2579" s="35" t="str">
        <x:v>RECORDED</x:v>
      </x:c>
      <x:c r="H2579" s="39" t="n">
        <x:f>IF(ISNUMBER('Data'!N871),'Data'!N871*100,"")</x:f>
        <x:v>26.090000000000003</x:v>
      </x:c>
      <x:c r="I2579" s="35" t="str">
        <x:v>PASS</x:v>
      </x:c>
      <x:c r="J2579" s="35" t="str">
        <x:v>PASS</x:v>
      </x:c>
      <x:c r="K2579" s="35" t="str">
        <x:v>PASS</x:v>
      </x:c>
      <x:c r="L2579" s="35" t="str">
        <x:v>FAIL</x:v>
      </x:c>
      <x:c r="M2579" s="35" t="str">
        <x:v>numeric coverage for applicable metric</x:v>
      </x:c>
      <x:c r="N2579" s="35" t="str">
        <x:v>Deepseek-flash-v4/Result2/Chart_23/result.json</x:v>
      </x:c>
      <x:c r="O2579" s="39" t="n">
        <x:f>IF(AND(G2579="RECORDED",ISNUMBER(H2579)),H2579,"")</x:f>
        <x:v>26.090000000000003</x:v>
      </x:c>
      <x:c r="P2579" s="35" t="str">
        <x:v>REVEALING</x:v>
      </x:c>
      <x:c r="Q2579" s="35" t="str">
        <x:v>Deepseek-flash-v4/Result2/Chart_23/result.json</x:v>
      </x:c>
    </x:row>
    <x:row r="2580">
      <x:c r="A2580" s="35" t="str">
        <x:v>deepseek</x:v>
      </x:c>
      <x:c r="B2580" s="35" t="str">
        <x:v>Chart</x:v>
      </x:c>
      <x:c r="C2580" s="35" t="str">
        <x:v>Round2</x:v>
      </x:c>
      <x:c r="D2580" s="35" t="str">
        <x:v>Chart_24</x:v>
      </x:c>
      <x:c r="E2580" s="35" t="str">
        <x:v>Condition</x:v>
      </x:c>
      <x:c r="F2580" s="35" t="n">
        <x:v>10</x:v>
      </x:c>
      <x:c r="G2580" s="35" t="str">
        <x:v>RECORDED</x:v>
      </x:c>
      <x:c r="H2580" s="39" t="n">
        <x:f>IF(ISNUMBER('Data'!N872),'Data'!N872*100,"")</x:f>
        <x:v>100</x:v>
      </x:c>
      <x:c r="I2580" s="35" t="str">
        <x:v>PASS</x:v>
      </x:c>
      <x:c r="J2580" s="35" t="str">
        <x:v>PASS</x:v>
      </x:c>
      <x:c r="K2580" s="35" t="str">
        <x:v>PASS</x:v>
      </x:c>
      <x:c r="L2580" s="35" t="str">
        <x:v>FAIL</x:v>
      </x:c>
      <x:c r="M2580" s="35" t="str">
        <x:v>numeric coverage for applicable metric</x:v>
      </x:c>
      <x:c r="N2580" s="35" t="str">
        <x:v>Deepseek-flash-v4/Result2/Chart_24/result.json</x:v>
      </x:c>
      <x:c r="O2580" s="39" t="n">
        <x:f>IF(AND(G2580="RECORDED",ISNUMBER(H2580)),H2580,"")</x:f>
        <x:v>100</x:v>
      </x:c>
      <x:c r="P2580" s="35" t="str">
        <x:v>INCONCLUSIVE</x:v>
      </x:c>
      <x:c r="Q2580" s="35" t="str">
        <x:v>Deepseek-flash-v4/Result2/Chart_24/result.json</x:v>
      </x:c>
    </x:row>
    <x:row r="2581">
      <x:c r="A2581" s="35" t="str">
        <x:v>deepseek</x:v>
      </x:c>
      <x:c r="B2581" s="35" t="str">
        <x:v>Chart</x:v>
      </x:c>
      <x:c r="C2581" s="35" t="str">
        <x:v>Round2</x:v>
      </x:c>
      <x:c r="D2581" s="35" t="str">
        <x:v>Chart_25</x:v>
      </x:c>
      <x:c r="E2581" s="35" t="str">
        <x:v>Condition</x:v>
      </x:c>
      <x:c r="F2581" s="35"/>
      <x:c r="G2581" s="35" t="str">
        <x:v>A</x:v>
      </x:c>
      <x:c r="H2581" s="39" t="str">
        <x:f>IF(ISNUMBER('Data'!N873),'Data'!N873*100,"")</x:f>
      </x:c>
      <x:c r="I2581" s="35"/>
      <x:c r="J2581" s="35" t="str">
        <x:v>PASS</x:v>
      </x:c>
      <x:c r="K2581" s="35" t="str">
        <x:v>FAIL</x:v>
      </x:c>
      <x:c r="L2581" s="35" t="str">
        <x:v>NOT_RUN</x:v>
      </x:c>
      <x:c r="M2581" s="35" t="str">
        <x:v>coverage unavailable or execution/compile failed</x:v>
      </x:c>
      <x:c r="N2581" s="35" t="str">
        <x:v>Deepseek-flash-v4/Result2/Chart_25/result.json</x:v>
      </x:c>
      <x:c r="O2581" s="39" t="str">
        <x:f>IF(AND(G2581="RECORDED",ISNUMBER(H2581)),H2581,"")</x:f>
      </x:c>
      <x:c r="P2581" s="35" t="str">
        <x:v>NOT_AVAILABLE</x:v>
      </x:c>
      <x:c r="Q2581" s="35" t="str">
        <x:v>Deepseek-flash-v4/Result2/Chart_25/result.json</x:v>
      </x:c>
    </x:row>
    <x:row r="2582">
      <x:c r="A2582" s="35" t="str">
        <x:v>deepseek</x:v>
      </x:c>
      <x:c r="B2582" s="35" t="str">
        <x:v>Chart</x:v>
      </x:c>
      <x:c r="C2582" s="35" t="str">
        <x:v>Round2</x:v>
      </x:c>
      <x:c r="D2582" s="35" t="str">
        <x:v>Chart_26</x:v>
      </x:c>
      <x:c r="E2582" s="35" t="str">
        <x:v>Condition</x:v>
      </x:c>
      <x:c r="F2582" s="35" t="n">
        <x:v>128</x:v>
      </x:c>
      <x:c r="G2582" s="35" t="str">
        <x:v>RECORDED</x:v>
      </x:c>
      <x:c r="H2582" s="39" t="n">
        <x:f>IF(ISNUMBER('Data'!N874),'Data'!N874*100,"")</x:f>
        <x:v>50.78</x:v>
      </x:c>
      <x:c r="I2582" s="35" t="str">
        <x:v>PASS</x:v>
      </x:c>
      <x:c r="J2582" s="35" t="str">
        <x:v>PASS</x:v>
      </x:c>
      <x:c r="K2582" s="35" t="str">
        <x:v>PASS</x:v>
      </x:c>
      <x:c r="L2582" s="35" t="str">
        <x:v>PASS</x:v>
      </x:c>
      <x:c r="M2582" s="35" t="str">
        <x:v>numeric coverage for applicable metric</x:v>
      </x:c>
      <x:c r="N2582" s="35" t="str">
        <x:v>Deepseek-flash-v4/Result2/Chart_26/result.json</x:v>
      </x:c>
      <x:c r="O2582" s="39" t="n">
        <x:f>IF(AND(G2582="RECORDED",ISNUMBER(H2582)),H2582,"")</x:f>
        <x:v>50.78</x:v>
      </x:c>
      <x:c r="P2582" s="35" t="str">
        <x:v>NOT_REVEALING</x:v>
      </x:c>
      <x:c r="Q2582" s="35" t="str">
        <x:v>Deepseek-flash-v4/Result2/Chart_26/result.json</x:v>
      </x:c>
    </x:row>
    <x:row r="2583">
      <x:c r="A2583" s="35" t="str">
        <x:v>deepseek</x:v>
      </x:c>
      <x:c r="B2583" s="35" t="str">
        <x:v>Chart</x:v>
      </x:c>
      <x:c r="C2583" s="35" t="str">
        <x:v>Round2</x:v>
      </x:c>
      <x:c r="D2583" s="35" t="str">
        <x:v>Chart_3</x:v>
      </x:c>
      <x:c r="E2583" s="35" t="str">
        <x:v>Condition</x:v>
      </x:c>
      <x:c r="F2583" s="35"/>
      <x:c r="G2583" s="35" t="str">
        <x:v>A</x:v>
      </x:c>
      <x:c r="H2583" s="39" t="str">
        <x:f>IF(ISNUMBER('Data'!N875),'Data'!N875*100,"")</x:f>
      </x:c>
      <x:c r="I2583" s="35"/>
      <x:c r="J2583" s="35" t="str">
        <x:v>PASS</x:v>
      </x:c>
      <x:c r="K2583" s="35" t="str">
        <x:v>FAIL</x:v>
      </x:c>
      <x:c r="L2583" s="35" t="str">
        <x:v>NOT_RUN</x:v>
      </x:c>
      <x:c r="M2583" s="35" t="str">
        <x:v>coverage unavailable or execution/compile failed</x:v>
      </x:c>
      <x:c r="N2583" s="35" t="str">
        <x:v>Deepseek-flash-v4/Result2/Chart_3/result.json</x:v>
      </x:c>
      <x:c r="O2583" s="39" t="str">
        <x:f>IF(AND(G2583="RECORDED",ISNUMBER(H2583)),H2583,"")</x:f>
      </x:c>
      <x:c r="P2583" s="35" t="str">
        <x:v>NOT_AVAILABLE</x:v>
      </x:c>
      <x:c r="Q2583" s="35" t="str">
        <x:v>Deepseek-flash-v4/Result2/Chart_3/result.json</x:v>
      </x:c>
    </x:row>
    <x:row r="2584">
      <x:c r="A2584" s="35" t="str">
        <x:v>deepseek</x:v>
      </x:c>
      <x:c r="B2584" s="35" t="str">
        <x:v>Chart</x:v>
      </x:c>
      <x:c r="C2584" s="35" t="str">
        <x:v>Round2</x:v>
      </x:c>
      <x:c r="D2584" s="35" t="str">
        <x:v>Chart_4</x:v>
      </x:c>
      <x:c r="E2584" s="35" t="str">
        <x:v>Condition</x:v>
      </x:c>
      <x:c r="F2584" s="35"/>
      <x:c r="G2584" s="35" t="str">
        <x:v>A</x:v>
      </x:c>
      <x:c r="H2584" s="39" t="str">
        <x:f>IF(ISNUMBER('Data'!N876),'Data'!N876*100,"")</x:f>
      </x:c>
      <x:c r="I2584" s="35"/>
      <x:c r="J2584" s="35" t="str">
        <x:v>PASS</x:v>
      </x:c>
      <x:c r="K2584" s="35" t="str">
        <x:v>FAIL</x:v>
      </x:c>
      <x:c r="L2584" s="35" t="str">
        <x:v>NOT_RUN</x:v>
      </x:c>
      <x:c r="M2584" s="35" t="str">
        <x:v>coverage unavailable or execution/compile failed</x:v>
      </x:c>
      <x:c r="N2584" s="35" t="str">
        <x:v>Deepseek-flash-v4/Result2/Chart_4/result.json</x:v>
      </x:c>
      <x:c r="O2584" s="39" t="str">
        <x:f>IF(AND(G2584="RECORDED",ISNUMBER(H2584)),H2584,"")</x:f>
      </x:c>
      <x:c r="P2584" s="35" t="str">
        <x:v>NOT_AVAILABLE</x:v>
      </x:c>
      <x:c r="Q2584" s="35" t="str">
        <x:v>Deepseek-flash-v4/Result2/Chart_4/result.json</x:v>
      </x:c>
    </x:row>
    <x:row r="2585">
      <x:c r="A2585" s="35" t="str">
        <x:v>deepseek</x:v>
      </x:c>
      <x:c r="B2585" s="35" t="str">
        <x:v>Chart</x:v>
      </x:c>
      <x:c r="C2585" s="35" t="str">
        <x:v>Round2</x:v>
      </x:c>
      <x:c r="D2585" s="35" t="str">
        <x:v>Chart_5</x:v>
      </x:c>
      <x:c r="E2585" s="35" t="str">
        <x:v>Condition</x:v>
      </x:c>
      <x:c r="F2585" s="35" t="n">
        <x:v>80</x:v>
      </x:c>
      <x:c r="G2585" s="35" t="str">
        <x:v>RECORDED</x:v>
      </x:c>
      <x:c r="H2585" s="39" t="n">
        <x:f>IF(ISNUMBER('Data'!N877),'Data'!N877*100,"")</x:f>
        <x:v>86.25</x:v>
      </x:c>
      <x:c r="I2585" s="35" t="str">
        <x:v>PASS</x:v>
      </x:c>
      <x:c r="J2585" s="35" t="str">
        <x:v>PASS</x:v>
      </x:c>
      <x:c r="K2585" s="35" t="str">
        <x:v>PASS</x:v>
      </x:c>
      <x:c r="L2585" s="35" t="str">
        <x:v>FAIL</x:v>
      </x:c>
      <x:c r="M2585" s="35" t="str">
        <x:v>numeric coverage for applicable metric</x:v>
      </x:c>
      <x:c r="N2585" s="35" t="str">
        <x:v>Deepseek-flash-v4/Result2/Chart_5/result.json</x:v>
      </x:c>
      <x:c r="O2585" s="39" t="n">
        <x:f>IF(AND(G2585="RECORDED",ISNUMBER(H2585)),H2585,"")</x:f>
        <x:v>86.25</x:v>
      </x:c>
      <x:c r="P2585" s="35" t="str">
        <x:v>INCONCLUSIVE</x:v>
      </x:c>
      <x:c r="Q2585" s="35" t="str">
        <x:v>Deepseek-flash-v4/Result2/Chart_5/result.json</x:v>
      </x:c>
    </x:row>
    <x:row r="2586">
      <x:c r="A2586" s="35" t="str">
        <x:v>deepseek</x:v>
      </x:c>
      <x:c r="B2586" s="35" t="str">
        <x:v>Chart</x:v>
      </x:c>
      <x:c r="C2586" s="35" t="str">
        <x:v>Round2</x:v>
      </x:c>
      <x:c r="D2586" s="35" t="str">
        <x:v>Chart_6</x:v>
      </x:c>
      <x:c r="E2586" s="35" t="str">
        <x:v>Condition</x:v>
      </x:c>
      <x:c r="F2586" s="35"/>
      <x:c r="G2586" s="35" t="str">
        <x:v>A</x:v>
      </x:c>
      <x:c r="H2586" s="39" t="str">
        <x:f>IF(ISNUMBER('Data'!N878),'Data'!N878*100,"")</x:f>
      </x:c>
      <x:c r="I2586" s="35"/>
      <x:c r="J2586" s="35" t="str">
        <x:v>PASS</x:v>
      </x:c>
      <x:c r="K2586" s="35" t="str">
        <x:v>FAIL</x:v>
      </x:c>
      <x:c r="L2586" s="35" t="str">
        <x:v>NOT_RUN</x:v>
      </x:c>
      <x:c r="M2586" s="35" t="str">
        <x:v>coverage unavailable or execution/compile failed</x:v>
      </x:c>
      <x:c r="N2586" s="35" t="str">
        <x:v>Deepseek-flash-v4/Result2/Chart_6/result.json</x:v>
      </x:c>
      <x:c r="O2586" s="39" t="str">
        <x:f>IF(AND(G2586="RECORDED",ISNUMBER(H2586)),H2586,"")</x:f>
      </x:c>
      <x:c r="P2586" s="35" t="str">
        <x:v>NOT_AVAILABLE</x:v>
      </x:c>
      <x:c r="Q2586" s="35" t="str">
        <x:v>Deepseek-flash-v4/Result2/Chart_6/result.json</x:v>
      </x:c>
    </x:row>
    <x:row r="2587">
      <x:c r="A2587" s="35" t="str">
        <x:v>deepseek</x:v>
      </x:c>
      <x:c r="B2587" s="35" t="str">
        <x:v>Chart</x:v>
      </x:c>
      <x:c r="C2587" s="35" t="str">
        <x:v>Round2</x:v>
      </x:c>
      <x:c r="D2587" s="35" t="str">
        <x:v>Chart_7</x:v>
      </x:c>
      <x:c r="E2587" s="35" t="str">
        <x:v>Condition</x:v>
      </x:c>
      <x:c r="F2587" s="35"/>
      <x:c r="G2587" s="35" t="str">
        <x:v>A</x:v>
      </x:c>
      <x:c r="H2587" s="39" t="str">
        <x:f>IF(ISNUMBER('Data'!N879),'Data'!N879*100,"")</x:f>
      </x:c>
      <x:c r="I2587" s="35"/>
      <x:c r="J2587" s="35" t="str">
        <x:v>PASS</x:v>
      </x:c>
      <x:c r="K2587" s="35" t="str">
        <x:v>FAIL</x:v>
      </x:c>
      <x:c r="L2587" s="35" t="str">
        <x:v>NOT_RUN</x:v>
      </x:c>
      <x:c r="M2587" s="35" t="str">
        <x:v>coverage unavailable or execution/compile failed</x:v>
      </x:c>
      <x:c r="N2587" s="35" t="str">
        <x:v>Deepseek-flash-v4/Result2/Chart_7/result.json</x:v>
      </x:c>
      <x:c r="O2587" s="39" t="str">
        <x:f>IF(AND(G2587="RECORDED",ISNUMBER(H2587)),H2587,"")</x:f>
      </x:c>
      <x:c r="P2587" s="35" t="str">
        <x:v>NOT_AVAILABLE</x:v>
      </x:c>
      <x:c r="Q2587" s="35" t="str">
        <x:v>Deepseek-flash-v4/Result2/Chart_7/result.json</x:v>
      </x:c>
    </x:row>
    <x:row r="2588">
      <x:c r="A2588" s="35" t="str">
        <x:v>deepseek</x:v>
      </x:c>
      <x:c r="B2588" s="35" t="str">
        <x:v>Chart</x:v>
      </x:c>
      <x:c r="C2588" s="35" t="str">
        <x:v>Round2</x:v>
      </x:c>
      <x:c r="D2588" s="35" t="str">
        <x:v>Chart_8</x:v>
      </x:c>
      <x:c r="E2588" s="35" t="str">
        <x:v>Condition</x:v>
      </x:c>
      <x:c r="F2588" s="35" t="n">
        <x:v>68</x:v>
      </x:c>
      <x:c r="G2588" s="35" t="str">
        <x:v>RECORDED</x:v>
      </x:c>
      <x:c r="H2588" s="39" t="n">
        <x:f>IF(ISNUMBER('Data'!N880),'Data'!N880*100,"")</x:f>
        <x:v>51.46999999999999</x:v>
      </x:c>
      <x:c r="I2588" s="35" t="str">
        <x:v>PASS</x:v>
      </x:c>
      <x:c r="J2588" s="35" t="str">
        <x:v>PASS</x:v>
      </x:c>
      <x:c r="K2588" s="35" t="str">
        <x:v>PASS</x:v>
      </x:c>
      <x:c r="L2588" s="35" t="str">
        <x:v>FAIL</x:v>
      </x:c>
      <x:c r="M2588" s="35" t="str">
        <x:v>numeric coverage for applicable metric</x:v>
      </x:c>
      <x:c r="N2588" s="35" t="str">
        <x:v>Deepseek-flash-v4/Result2/Chart_8/result.json</x:v>
      </x:c>
      <x:c r="O2588" s="39" t="n">
        <x:f>IF(AND(G2588="RECORDED",ISNUMBER(H2588)),H2588,"")</x:f>
        <x:v>51.46999999999999</x:v>
      </x:c>
      <x:c r="P2588" s="35" t="str">
        <x:v>INCONCLUSIVE</x:v>
      </x:c>
      <x:c r="Q2588" s="35" t="str">
        <x:v>Deepseek-flash-v4/Result2/Chart_8/result.json</x:v>
      </x:c>
    </x:row>
    <x:row r="2589">
      <x:c r="A2589" s="35" t="str">
        <x:v>deepseek</x:v>
      </x:c>
      <x:c r="B2589" s="35" t="str">
        <x:v>Chart</x:v>
      </x:c>
      <x:c r="C2589" s="35" t="str">
        <x:v>Round2</x:v>
      </x:c>
      <x:c r="D2589" s="35" t="str">
        <x:v>Chart_9</x:v>
      </x:c>
      <x:c r="E2589" s="35" t="str">
        <x:v>Condition</x:v>
      </x:c>
      <x:c r="F2589" s="35" t="n">
        <x:v>128</x:v>
      </x:c>
      <x:c r="G2589" s="35" t="str">
        <x:v>RECORDED</x:v>
      </x:c>
      <x:c r="H2589" s="39" t="n">
        <x:f>IF(ISNUMBER('Data'!N881),'Data'!N881*100,"")</x:f>
        <x:v>68.75</x:v>
      </x:c>
      <x:c r="I2589" s="35" t="str">
        <x:v>PASS</x:v>
      </x:c>
      <x:c r="J2589" s="35" t="str">
        <x:v>PASS</x:v>
      </x:c>
      <x:c r="K2589" s="35" t="str">
        <x:v>PASS</x:v>
      </x:c>
      <x:c r="L2589" s="35" t="str">
        <x:v>PASS</x:v>
      </x:c>
      <x:c r="M2589" s="35" t="str">
        <x:v>numeric coverage for applicable metric</x:v>
      </x:c>
      <x:c r="N2589" s="35" t="str">
        <x:v>Deepseek-flash-v4/Result2/Chart_9/result.json</x:v>
      </x:c>
      <x:c r="O2589" s="39" t="n">
        <x:f>IF(AND(G2589="RECORDED",ISNUMBER(H2589)),H2589,"")</x:f>
        <x:v>68.75</x:v>
      </x:c>
      <x:c r="P2589" s="35" t="str">
        <x:v>NOT_REVEALING</x:v>
      </x:c>
      <x:c r="Q2589" s="35" t="str">
        <x:v>Deepseek-flash-v4/Result2/Chart_9/result.json</x:v>
      </x:c>
    </x:row>
    <x:row r="2590">
      <x:c r="A2590" s="35" t="str">
        <x:v>deepseek</x:v>
      </x:c>
      <x:c r="B2590" s="35" t="str">
        <x:v>Cli</x:v>
      </x:c>
      <x:c r="C2590" s="35" t="str">
        <x:v>Round2</x:v>
      </x:c>
      <x:c r="D2590" s="35" t="str">
        <x:v>Cli_1</x:v>
      </x:c>
      <x:c r="E2590" s="35" t="str">
        <x:v>Condition</x:v>
      </x:c>
      <x:c r="F2590" s="35" t="n">
        <x:v>14</x:v>
      </x:c>
      <x:c r="G2590" s="35" t="str">
        <x:v>RECORDED</x:v>
      </x:c>
      <x:c r="H2590" s="39" t="n">
        <x:f>IF(ISNUMBER('Data'!N882),'Data'!N882*100,"")</x:f>
        <x:v>0</x:v>
      </x:c>
      <x:c r="I2590" s="35" t="str">
        <x:v>PASS</x:v>
      </x:c>
      <x:c r="J2590" s="35" t="str">
        <x:v>PASS</x:v>
      </x:c>
      <x:c r="K2590" s="35" t="str">
        <x:v>PASS</x:v>
      </x:c>
      <x:c r="L2590" s="35" t="str">
        <x:v>FAIL</x:v>
      </x:c>
      <x:c r="M2590" s="35" t="str">
        <x:v>numeric coverage for applicable metric</x:v>
      </x:c>
      <x:c r="N2590" s="35" t="str">
        <x:v>Deepseek-flash-v4/Result2/Cli_1/result.json</x:v>
      </x:c>
      <x:c r="O2590" s="39" t="n">
        <x:f>IF(AND(G2590="RECORDED",ISNUMBER(H2590)),H2590,"")</x:f>
        <x:v>0</x:v>
      </x:c>
      <x:c r="P2590" s="35" t="str">
        <x:v>INCONCLUSIVE</x:v>
      </x:c>
      <x:c r="Q2590" s="35" t="str">
        <x:v>Deepseek-flash-v4/Result2/Cli_1/result.json</x:v>
      </x:c>
    </x:row>
    <x:row r="2591">
      <x:c r="A2591" s="35" t="str">
        <x:v>deepseek</x:v>
      </x:c>
      <x:c r="B2591" s="35" t="str">
        <x:v>Cli</x:v>
      </x:c>
      <x:c r="C2591" s="35" t="str">
        <x:v>Round2</x:v>
      </x:c>
      <x:c r="D2591" s="35" t="str">
        <x:v>Cli_10</x:v>
      </x:c>
      <x:c r="E2591" s="35" t="str">
        <x:v>Condition</x:v>
      </x:c>
      <x:c r="F2591" s="35" t="n">
        <x:v>70</x:v>
      </x:c>
      <x:c r="G2591" s="35" t="str">
        <x:v>RECORDED</x:v>
      </x:c>
      <x:c r="H2591" s="39" t="n">
        <x:f>IF(ISNUMBER('Data'!N883),'Data'!N883*100,"")</x:f>
        <x:v>0</x:v>
      </x:c>
      <x:c r="I2591" s="35" t="str">
        <x:v>PASS</x:v>
      </x:c>
      <x:c r="J2591" s="35" t="str">
        <x:v>PASS</x:v>
      </x:c>
      <x:c r="K2591" s="35" t="str">
        <x:v>PASS</x:v>
      </x:c>
      <x:c r="L2591" s="35" t="str">
        <x:v>FAIL</x:v>
      </x:c>
      <x:c r="M2591" s="35" t="str">
        <x:v>numeric coverage for applicable metric</x:v>
      </x:c>
      <x:c r="N2591" s="35" t="str">
        <x:v>Deepseek-flash-v4/Result2/Cli_10/result.json</x:v>
      </x:c>
      <x:c r="O2591" s="39" t="n">
        <x:f>IF(AND(G2591="RECORDED",ISNUMBER(H2591)),H2591,"")</x:f>
        <x:v>0</x:v>
      </x:c>
      <x:c r="P2591" s="35" t="str">
        <x:v>INCONCLUSIVE</x:v>
      </x:c>
      <x:c r="Q2591" s="35" t="str">
        <x:v>Deepseek-flash-v4/Result2/Cli_10/result.json</x:v>
      </x:c>
    </x:row>
    <x:row r="2592">
      <x:c r="A2592" s="35" t="str">
        <x:v>deepseek</x:v>
      </x:c>
      <x:c r="B2592" s="35" t="str">
        <x:v>Cli</x:v>
      </x:c>
      <x:c r="C2592" s="35" t="str">
        <x:v>Round2</x:v>
      </x:c>
      <x:c r="D2592" s="35" t="str">
        <x:v>Cli_11</x:v>
      </x:c>
      <x:c r="E2592" s="35" t="str">
        <x:v>Condition</x:v>
      </x:c>
      <x:c r="F2592" s="35" t="n">
        <x:v>106</x:v>
      </x:c>
      <x:c r="G2592" s="35" t="str">
        <x:v>RECORDED</x:v>
      </x:c>
      <x:c r="H2592" s="39" t="n">
        <x:f>IF(ISNUMBER('Data'!N884),'Data'!N884*100,"")</x:f>
        <x:v>0</x:v>
      </x:c>
      <x:c r="I2592" s="35" t="str">
        <x:v>PASS</x:v>
      </x:c>
      <x:c r="J2592" s="35" t="str">
        <x:v>PASS</x:v>
      </x:c>
      <x:c r="K2592" s="35" t="str">
        <x:v>PASS</x:v>
      </x:c>
      <x:c r="L2592" s="35" t="str">
        <x:v>FAIL</x:v>
      </x:c>
      <x:c r="M2592" s="35" t="str">
        <x:v>numeric coverage for applicable metric</x:v>
      </x:c>
      <x:c r="N2592" s="35" t="str">
        <x:v>Deepseek-flash-v4/Result2/Cli_11/result.json</x:v>
      </x:c>
      <x:c r="O2592" s="39" t="n">
        <x:f>IF(AND(G2592="RECORDED",ISNUMBER(H2592)),H2592,"")</x:f>
        <x:v>0</x:v>
      </x:c>
      <x:c r="P2592" s="35" t="str">
        <x:v>INCONCLUSIVE</x:v>
      </x:c>
      <x:c r="Q2592" s="35" t="str">
        <x:v>Deepseek-flash-v4/Result2/Cli_11/result.json</x:v>
      </x:c>
    </x:row>
    <x:row r="2593">
      <x:c r="A2593" s="35" t="str">
        <x:v>deepseek</x:v>
      </x:c>
      <x:c r="B2593" s="35" t="str">
        <x:v>Cli</x:v>
      </x:c>
      <x:c r="C2593" s="35" t="str">
        <x:v>Round2</x:v>
      </x:c>
      <x:c r="D2593" s="35" t="str">
        <x:v>Cli_12</x:v>
      </x:c>
      <x:c r="E2593" s="35" t="str">
        <x:v>Condition</x:v>
      </x:c>
      <x:c r="F2593" s="35" t="n">
        <x:v>16</x:v>
      </x:c>
      <x:c r="G2593" s="35" t="str">
        <x:v>RECORDED</x:v>
      </x:c>
      <x:c r="H2593" s="39" t="n">
        <x:f>IF(ISNUMBER('Data'!N885),'Data'!N885*100,"")</x:f>
        <x:v>0</x:v>
      </x:c>
      <x:c r="I2593" s="35" t="str">
        <x:v>PASS</x:v>
      </x:c>
      <x:c r="J2593" s="35" t="str">
        <x:v>PASS</x:v>
      </x:c>
      <x:c r="K2593" s="35" t="str">
        <x:v>PASS</x:v>
      </x:c>
      <x:c r="L2593" s="35" t="str">
        <x:v>FAIL</x:v>
      </x:c>
      <x:c r="M2593" s="35" t="str">
        <x:v>numeric coverage for applicable metric</x:v>
      </x:c>
      <x:c r="N2593" s="35" t="str">
        <x:v>Deepseek-flash-v4/Result2/Cli_12/result.json</x:v>
      </x:c>
      <x:c r="O2593" s="39" t="n">
        <x:f>IF(AND(G2593="RECORDED",ISNUMBER(H2593)),H2593,"")</x:f>
        <x:v>0</x:v>
      </x:c>
      <x:c r="P2593" s="35" t="str">
        <x:v>INCONCLUSIVE</x:v>
      </x:c>
      <x:c r="Q2593" s="35" t="str">
        <x:v>Deepseek-flash-v4/Result2/Cli_12/result.json</x:v>
      </x:c>
    </x:row>
    <x:row r="2594">
      <x:c r="A2594" s="35" t="str">
        <x:v>deepseek</x:v>
      </x:c>
      <x:c r="B2594" s="35" t="str">
        <x:v>Cli</x:v>
      </x:c>
      <x:c r="C2594" s="35" t="str">
        <x:v>Round2</x:v>
      </x:c>
      <x:c r="D2594" s="35" t="str">
        <x:v>Cli_13</x:v>
      </x:c>
      <x:c r="E2594" s="35" t="str">
        <x:v>Condition</x:v>
      </x:c>
      <x:c r="F2594" s="35"/>
      <x:c r="G2594" s="35" t="str">
        <x:v>A</x:v>
      </x:c>
      <x:c r="H2594" s="39" t="str">
        <x:f>IF(ISNUMBER('Data'!N886),'Data'!N886*100,"")</x:f>
      </x:c>
      <x:c r="I2594" s="35"/>
      <x:c r="J2594" s="35" t="str">
        <x:v>PASS</x:v>
      </x:c>
      <x:c r="K2594" s="35" t="str">
        <x:v>FAIL</x:v>
      </x:c>
      <x:c r="L2594" s="35" t="str">
        <x:v>NOT_RUN</x:v>
      </x:c>
      <x:c r="M2594" s="35" t="str">
        <x:v>coverage unavailable or execution/compile failed</x:v>
      </x:c>
      <x:c r="N2594" s="35" t="str">
        <x:v>Deepseek-flash-v4/Result2/Cli_13/result.json</x:v>
      </x:c>
      <x:c r="O2594" s="39" t="str">
        <x:f>IF(AND(G2594="RECORDED",ISNUMBER(H2594)),H2594,"")</x:f>
      </x:c>
      <x:c r="P2594" s="35" t="str">
        <x:v>NOT_AVAILABLE</x:v>
      </x:c>
      <x:c r="Q2594" s="35" t="str">
        <x:v>Deepseek-flash-v4/Result2/Cli_13/result.json</x:v>
      </x:c>
    </x:row>
    <x:row r="2595">
      <x:c r="A2595" s="35" t="str">
        <x:v>deepseek</x:v>
      </x:c>
      <x:c r="B2595" s="35" t="str">
        <x:v>Cli</x:v>
      </x:c>
      <x:c r="C2595" s="35" t="str">
        <x:v>Round2</x:v>
      </x:c>
      <x:c r="D2595" s="35" t="str">
        <x:v>Cli_14</x:v>
      </x:c>
      <x:c r="E2595" s="35" t="str">
        <x:v>Condition</x:v>
      </x:c>
      <x:c r="F2595" s="35"/>
      <x:c r="G2595" s="35" t="str">
        <x:v>A</x:v>
      </x:c>
      <x:c r="H2595" s="39" t="str">
        <x:f>IF(ISNUMBER('Data'!N887),'Data'!N887*100,"")</x:f>
      </x:c>
      <x:c r="I2595" s="35"/>
      <x:c r="J2595" s="35" t="str">
        <x:v>PASS</x:v>
      </x:c>
      <x:c r="K2595" s="35" t="str">
        <x:v>FAIL</x:v>
      </x:c>
      <x:c r="L2595" s="35" t="str">
        <x:v>NOT_RUN</x:v>
      </x:c>
      <x:c r="M2595" s="35" t="str">
        <x:v>coverage unavailable or execution/compile failed</x:v>
      </x:c>
      <x:c r="N2595" s="35" t="str">
        <x:v>Deepseek-flash-v4/Result2/Cli_14/result.json</x:v>
      </x:c>
      <x:c r="O2595" s="39" t="str">
        <x:f>IF(AND(G2595="RECORDED",ISNUMBER(H2595)),H2595,"")</x:f>
      </x:c>
      <x:c r="P2595" s="35" t="str">
        <x:v>NOT_AVAILABLE</x:v>
      </x:c>
      <x:c r="Q2595" s="35" t="str">
        <x:v>Deepseek-flash-v4/Result2/Cli_14/result.json</x:v>
      </x:c>
    </x:row>
    <x:row r="2596">
      <x:c r="A2596" s="35" t="str">
        <x:v>deepseek</x:v>
      </x:c>
      <x:c r="B2596" s="35" t="str">
        <x:v>Cli</x:v>
      </x:c>
      <x:c r="C2596" s="35" t="str">
        <x:v>Round2</x:v>
      </x:c>
      <x:c r="D2596" s="35" t="str">
        <x:v>Cli_15</x:v>
      </x:c>
      <x:c r="E2596" s="35" t="str">
        <x:v>Condition</x:v>
      </x:c>
      <x:c r="F2596" s="35"/>
      <x:c r="G2596" s="35" t="str">
        <x:v>A</x:v>
      </x:c>
      <x:c r="H2596" s="39" t="str">
        <x:f>IF(ISNUMBER('Data'!N888),'Data'!N888*100,"")</x:f>
      </x:c>
      <x:c r="I2596" s="35"/>
      <x:c r="J2596" s="35" t="str">
        <x:v>PASS</x:v>
      </x:c>
      <x:c r="K2596" s="35" t="str">
        <x:v>FAIL</x:v>
      </x:c>
      <x:c r="L2596" s="35" t="str">
        <x:v>NOT_RUN</x:v>
      </x:c>
      <x:c r="M2596" s="35" t="str">
        <x:v>coverage unavailable or execution/compile failed</x:v>
      </x:c>
      <x:c r="N2596" s="35" t="str">
        <x:v>Deepseek-flash-v4/Result2/Cli_15/result.json</x:v>
      </x:c>
      <x:c r="O2596" s="39" t="str">
        <x:f>IF(AND(G2596="RECORDED",ISNUMBER(H2596)),H2596,"")</x:f>
      </x:c>
      <x:c r="P2596" s="35" t="str">
        <x:v>NOT_AVAILABLE</x:v>
      </x:c>
      <x:c r="Q2596" s="35" t="str">
        <x:v>Deepseek-flash-v4/Result2/Cli_15/result.json</x:v>
      </x:c>
    </x:row>
    <x:row r="2597">
      <x:c r="A2597" s="35" t="str">
        <x:v>deepseek</x:v>
      </x:c>
      <x:c r="B2597" s="35" t="str">
        <x:v>Cli</x:v>
      </x:c>
      <x:c r="C2597" s="35" t="str">
        <x:v>Round2</x:v>
      </x:c>
      <x:c r="D2597" s="35" t="str">
        <x:v>Cli_16</x:v>
      </x:c>
      <x:c r="E2597" s="35" t="str">
        <x:v>Condition</x:v>
      </x:c>
      <x:c r="F2597" s="35"/>
      <x:c r="G2597" s="35" t="str">
        <x:v>A</x:v>
      </x:c>
      <x:c r="H2597" s="39" t="str">
        <x:f>IF(ISNUMBER('Data'!N889),'Data'!N889*100,"")</x:f>
      </x:c>
      <x:c r="I2597" s="35"/>
      <x:c r="J2597" s="35" t="str">
        <x:v>PASS</x:v>
      </x:c>
      <x:c r="K2597" s="35" t="str">
        <x:v>FAIL</x:v>
      </x:c>
      <x:c r="L2597" s="35" t="str">
        <x:v>NOT_RUN</x:v>
      </x:c>
      <x:c r="M2597" s="35" t="str">
        <x:v>coverage unavailable or execution/compile failed</x:v>
      </x:c>
      <x:c r="N2597" s="35" t="str">
        <x:v>Deepseek-flash-v4/Result2/Cli_16/result.json</x:v>
      </x:c>
      <x:c r="O2597" s="39" t="str">
        <x:f>IF(AND(G2597="RECORDED",ISNUMBER(H2597)),H2597,"")</x:f>
      </x:c>
      <x:c r="P2597" s="35" t="str">
        <x:v>NOT_AVAILABLE</x:v>
      </x:c>
      <x:c r="Q2597" s="35" t="str">
        <x:v>Deepseek-flash-v4/Result2/Cli_16/result.json</x:v>
      </x:c>
    </x:row>
    <x:row r="2598">
      <x:c r="A2598" s="35" t="str">
        <x:v>deepseek</x:v>
      </x:c>
      <x:c r="B2598" s="35" t="str">
        <x:v>Cli</x:v>
      </x:c>
      <x:c r="C2598" s="35" t="str">
        <x:v>Round2</x:v>
      </x:c>
      <x:c r="D2598" s="35" t="str">
        <x:v>Cli_17</x:v>
      </x:c>
      <x:c r="E2598" s="35" t="str">
        <x:v>Condition</x:v>
      </x:c>
      <x:c r="F2598" s="35" t="n">
        <x:v>42</x:v>
      </x:c>
      <x:c r="G2598" s="35" t="str">
        <x:v>RECORDED</x:v>
      </x:c>
      <x:c r="H2598" s="39" t="n">
        <x:f>IF(ISNUMBER('Data'!N890),'Data'!N890*100,"")</x:f>
        <x:v>0</x:v>
      </x:c>
      <x:c r="I2598" s="35" t="str">
        <x:v>PASS</x:v>
      </x:c>
      <x:c r="J2598" s="35" t="str">
        <x:v>PASS</x:v>
      </x:c>
      <x:c r="K2598" s="35" t="str">
        <x:v>PASS</x:v>
      </x:c>
      <x:c r="L2598" s="35" t="str">
        <x:v>FAIL</x:v>
      </x:c>
      <x:c r="M2598" s="35" t="str">
        <x:v>numeric coverage for applicable metric</x:v>
      </x:c>
      <x:c r="N2598" s="35" t="str">
        <x:v>Deepseek-flash-v4/Result2/Cli_17/result.json</x:v>
      </x:c>
      <x:c r="O2598" s="39" t="n">
        <x:f>IF(AND(G2598="RECORDED",ISNUMBER(H2598)),H2598,"")</x:f>
        <x:v>0</x:v>
      </x:c>
      <x:c r="P2598" s="35" t="str">
        <x:v>INCONCLUSIVE</x:v>
      </x:c>
      <x:c r="Q2598" s="35" t="str">
        <x:v>Deepseek-flash-v4/Result2/Cli_17/result.json</x:v>
      </x:c>
    </x:row>
    <x:row r="2599">
      <x:c r="A2599" s="35" t="str">
        <x:v>deepseek</x:v>
      </x:c>
      <x:c r="B2599" s="35" t="str">
        <x:v>Cli</x:v>
      </x:c>
      <x:c r="C2599" s="35" t="str">
        <x:v>Round2</x:v>
      </x:c>
      <x:c r="D2599" s="35" t="str">
        <x:v>Cli_18</x:v>
      </x:c>
      <x:c r="E2599" s="35" t="str">
        <x:v>Condition</x:v>
      </x:c>
      <x:c r="F2599" s="35" t="n">
        <x:v>42</x:v>
      </x:c>
      <x:c r="G2599" s="35" t="str">
        <x:v>RECORDED</x:v>
      </x:c>
      <x:c r="H2599" s="39" t="n">
        <x:f>IF(ISNUMBER('Data'!N891),'Data'!N891*100,"")</x:f>
        <x:v>0</x:v>
      </x:c>
      <x:c r="I2599" s="35" t="str">
        <x:v>PASS</x:v>
      </x:c>
      <x:c r="J2599" s="35" t="str">
        <x:v>PASS</x:v>
      </x:c>
      <x:c r="K2599" s="35" t="str">
        <x:v>PASS</x:v>
      </x:c>
      <x:c r="L2599" s="35" t="str">
        <x:v>FAIL</x:v>
      </x:c>
      <x:c r="M2599" s="35" t="str">
        <x:v>numeric coverage for applicable metric</x:v>
      </x:c>
      <x:c r="N2599" s="35" t="str">
        <x:v>Deepseek-flash-v4/Result2/Cli_18/result.json</x:v>
      </x:c>
      <x:c r="O2599" s="39" t="n">
        <x:f>IF(AND(G2599="RECORDED",ISNUMBER(H2599)),H2599,"")</x:f>
        <x:v>0</x:v>
      </x:c>
      <x:c r="P2599" s="35" t="str">
        <x:v>INCONCLUSIVE</x:v>
      </x:c>
      <x:c r="Q2599" s="35" t="str">
        <x:v>Deepseek-flash-v4/Result2/Cli_18/result.json</x:v>
      </x:c>
    </x:row>
    <x:row r="2600">
      <x:c r="A2600" s="35" t="str">
        <x:v>deepseek</x:v>
      </x:c>
      <x:c r="B2600" s="35" t="str">
        <x:v>Cli</x:v>
      </x:c>
      <x:c r="C2600" s="35" t="str">
        <x:v>Round2</x:v>
      </x:c>
      <x:c r="D2600" s="35" t="str">
        <x:v>Cli_19</x:v>
      </x:c>
      <x:c r="E2600" s="35" t="str">
        <x:v>Condition</x:v>
      </x:c>
      <x:c r="F2600" s="35" t="n">
        <x:v>42</x:v>
      </x:c>
      <x:c r="G2600" s="35" t="str">
        <x:v>RECORDED</x:v>
      </x:c>
      <x:c r="H2600" s="39" t="n">
        <x:f>IF(ISNUMBER('Data'!N892),'Data'!N892*100,"")</x:f>
        <x:v>0</x:v>
      </x:c>
      <x:c r="I2600" s="35" t="str">
        <x:v>PASS</x:v>
      </x:c>
      <x:c r="J2600" s="35" t="str">
        <x:v>PASS</x:v>
      </x:c>
      <x:c r="K2600" s="35" t="str">
        <x:v>PASS</x:v>
      </x:c>
      <x:c r="L2600" s="35" t="str">
        <x:v>FAIL</x:v>
      </x:c>
      <x:c r="M2600" s="35" t="str">
        <x:v>numeric coverage for applicable metric</x:v>
      </x:c>
      <x:c r="N2600" s="35" t="str">
        <x:v>Deepseek-flash-v4/Result2/Cli_19/result.json</x:v>
      </x:c>
      <x:c r="O2600" s="39" t="n">
        <x:f>IF(AND(G2600="RECORDED",ISNUMBER(H2600)),H2600,"")</x:f>
        <x:v>0</x:v>
      </x:c>
      <x:c r="P2600" s="35" t="str">
        <x:v>INCONCLUSIVE</x:v>
      </x:c>
      <x:c r="Q2600" s="35" t="str">
        <x:v>Deepseek-flash-v4/Result2/Cli_19/result.json</x:v>
      </x:c>
    </x:row>
    <x:row r="2601">
      <x:c r="A2601" s="35" t="str">
        <x:v>deepseek</x:v>
      </x:c>
      <x:c r="B2601" s="35" t="str">
        <x:v>Cli</x:v>
      </x:c>
      <x:c r="C2601" s="35" t="str">
        <x:v>Round2</x:v>
      </x:c>
      <x:c r="D2601" s="35" t="str">
        <x:v>Cli_2</x:v>
      </x:c>
      <x:c r="E2601" s="35" t="str">
        <x:v>Condition</x:v>
      </x:c>
      <x:c r="F2601" s="35" t="n">
        <x:v>42</x:v>
      </x:c>
      <x:c r="G2601" s="35" t="str">
        <x:v>RECORDED</x:v>
      </x:c>
      <x:c r="H2601" s="39" t="n">
        <x:f>IF(ISNUMBER('Data'!N893),'Data'!N893*100,"")</x:f>
        <x:v>0</x:v>
      </x:c>
      <x:c r="I2601" s="35" t="str">
        <x:v>PASS</x:v>
      </x:c>
      <x:c r="J2601" s="35" t="str">
        <x:v>PASS</x:v>
      </x:c>
      <x:c r="K2601" s="35" t="str">
        <x:v>PASS</x:v>
      </x:c>
      <x:c r="L2601" s="35" t="str">
        <x:v>FAIL</x:v>
      </x:c>
      <x:c r="M2601" s="35" t="str">
        <x:v>numeric coverage for applicable metric</x:v>
      </x:c>
      <x:c r="N2601" s="35" t="str">
        <x:v>Deepseek-flash-v4/Result2/Cli_2/result.json</x:v>
      </x:c>
      <x:c r="O2601" s="39" t="n">
        <x:f>IF(AND(G2601="RECORDED",ISNUMBER(H2601)),H2601,"")</x:f>
        <x:v>0</x:v>
      </x:c>
      <x:c r="P2601" s="35" t="str">
        <x:v>INCONCLUSIVE</x:v>
      </x:c>
      <x:c r="Q2601" s="35" t="str">
        <x:v>Deepseek-flash-v4/Result2/Cli_2/result.json</x:v>
      </x:c>
    </x:row>
    <x:row r="2602">
      <x:c r="A2602" s="35" t="str">
        <x:v>deepseek</x:v>
      </x:c>
      <x:c r="B2602" s="35" t="str">
        <x:v>Cli</x:v>
      </x:c>
      <x:c r="C2602" s="35" t="str">
        <x:v>Round2</x:v>
      </x:c>
      <x:c r="D2602" s="35" t="str">
        <x:v>Cli_20</x:v>
      </x:c>
      <x:c r="E2602" s="35" t="str">
        <x:v>Condition</x:v>
      </x:c>
      <x:c r="F2602" s="35" t="n">
        <x:v>42</x:v>
      </x:c>
      <x:c r="G2602" s="35" t="str">
        <x:v>RECORDED</x:v>
      </x:c>
      <x:c r="H2602" s="39" t="n">
        <x:f>IF(ISNUMBER('Data'!N894),'Data'!N894*100,"")</x:f>
        <x:v>0</x:v>
      </x:c>
      <x:c r="I2602" s="35" t="str">
        <x:v>PASS</x:v>
      </x:c>
      <x:c r="J2602" s="35" t="str">
        <x:v>PASS</x:v>
      </x:c>
      <x:c r="K2602" s="35" t="str">
        <x:v>PASS</x:v>
      </x:c>
      <x:c r="L2602" s="35" t="str">
        <x:v>FAIL</x:v>
      </x:c>
      <x:c r="M2602" s="35" t="str">
        <x:v>numeric coverage for applicable metric</x:v>
      </x:c>
      <x:c r="N2602" s="35" t="str">
        <x:v>Deepseek-flash-v4/Result2/Cli_20/result.json</x:v>
      </x:c>
      <x:c r="O2602" s="39" t="n">
        <x:f>IF(AND(G2602="RECORDED",ISNUMBER(H2602)),H2602,"")</x:f>
        <x:v>0</x:v>
      </x:c>
      <x:c r="P2602" s="35" t="str">
        <x:v>INCONCLUSIVE</x:v>
      </x:c>
      <x:c r="Q2602" s="35" t="str">
        <x:v>Deepseek-flash-v4/Result2/Cli_20/result.json</x:v>
      </x:c>
    </x:row>
    <x:row r="2603">
      <x:c r="A2603" s="35" t="str">
        <x:v>deepseek</x:v>
      </x:c>
      <x:c r="B2603" s="35" t="str">
        <x:v>Cli</x:v>
      </x:c>
      <x:c r="C2603" s="35" t="str">
        <x:v>Round2</x:v>
      </x:c>
      <x:c r="D2603" s="35" t="str">
        <x:v>Cli_21</x:v>
      </x:c>
      <x:c r="E2603" s="35" t="str">
        <x:v>Condition</x:v>
      </x:c>
      <x:c r="F2603" s="35"/>
      <x:c r="G2603" s="35" t="str">
        <x:v>A</x:v>
      </x:c>
      <x:c r="H2603" s="39" t="str">
        <x:f>IF(ISNUMBER('Data'!N895),'Data'!N895*100,"")</x:f>
      </x:c>
      <x:c r="I2603" s="35"/>
      <x:c r="J2603" s="35" t="str">
        <x:v>PASS</x:v>
      </x:c>
      <x:c r="K2603" s="35" t="str">
        <x:v>FAIL</x:v>
      </x:c>
      <x:c r="L2603" s="35" t="str">
        <x:v>NOT_RUN</x:v>
      </x:c>
      <x:c r="M2603" s="35" t="str">
        <x:v>coverage unavailable or execution/compile failed</x:v>
      </x:c>
      <x:c r="N2603" s="35" t="str">
        <x:v>Deepseek-flash-v4/Result2/Cli_21/result.json</x:v>
      </x:c>
      <x:c r="O2603" s="39" t="str">
        <x:f>IF(AND(G2603="RECORDED",ISNUMBER(H2603)),H2603,"")</x:f>
      </x:c>
      <x:c r="P2603" s="35" t="str">
        <x:v>NOT_AVAILABLE</x:v>
      </x:c>
      <x:c r="Q2603" s="35" t="str">
        <x:v>Deepseek-flash-v4/Result2/Cli_21/result.json</x:v>
      </x:c>
    </x:row>
    <x:row r="2604">
      <x:c r="A2604" s="35" t="str">
        <x:v>deepseek</x:v>
      </x:c>
      <x:c r="B2604" s="35" t="str">
        <x:v>Cli</x:v>
      </x:c>
      <x:c r="C2604" s="35" t="str">
        <x:v>Round2</x:v>
      </x:c>
      <x:c r="D2604" s="35" t="str">
        <x:v>Cli_22</x:v>
      </x:c>
      <x:c r="E2604" s="35" t="str">
        <x:v>Condition</x:v>
      </x:c>
      <x:c r="F2604" s="35" t="n">
        <x:v>38</x:v>
      </x:c>
      <x:c r="G2604" s="35" t="str">
        <x:v>RECORDED</x:v>
      </x:c>
      <x:c r="H2604" s="39" t="n">
        <x:f>IF(ISNUMBER('Data'!N896),'Data'!N896*100,"")</x:f>
        <x:v>0</x:v>
      </x:c>
      <x:c r="I2604" s="35" t="str">
        <x:v>PASS</x:v>
      </x:c>
      <x:c r="J2604" s="35" t="str">
        <x:v>PASS</x:v>
      </x:c>
      <x:c r="K2604" s="35" t="str">
        <x:v>PASS</x:v>
      </x:c>
      <x:c r="L2604" s="35" t="str">
        <x:v>FAIL</x:v>
      </x:c>
      <x:c r="M2604" s="35" t="str">
        <x:v>numeric coverage for applicable metric</x:v>
      </x:c>
      <x:c r="N2604" s="35" t="str">
        <x:v>Deepseek-flash-v4/Result2/Cli_22/result.json</x:v>
      </x:c>
      <x:c r="O2604" s="39" t="n">
        <x:f>IF(AND(G2604="RECORDED",ISNUMBER(H2604)),H2604,"")</x:f>
        <x:v>0</x:v>
      </x:c>
      <x:c r="P2604" s="35" t="str">
        <x:v>INCONCLUSIVE</x:v>
      </x:c>
      <x:c r="Q2604" s="35" t="str">
        <x:v>Deepseek-flash-v4/Result2/Cli_22/result.json</x:v>
      </x:c>
    </x:row>
    <x:row r="2605">
      <x:c r="A2605" s="35" t="str">
        <x:v>deepseek</x:v>
      </x:c>
      <x:c r="B2605" s="35" t="str">
        <x:v>Cli</x:v>
      </x:c>
      <x:c r="C2605" s="35" t="str">
        <x:v>Round2</x:v>
      </x:c>
      <x:c r="D2605" s="35" t="str">
        <x:v>Cli_23</x:v>
      </x:c>
      <x:c r="E2605" s="35" t="str">
        <x:v>Condition</x:v>
      </x:c>
      <x:c r="F2605" s="35" t="n">
        <x:v>108</x:v>
      </x:c>
      <x:c r="G2605" s="35" t="str">
        <x:v>RECORDED</x:v>
      </x:c>
      <x:c r="H2605" s="39" t="n">
        <x:f>IF(ISNUMBER('Data'!N897),'Data'!N897*100,"")</x:f>
        <x:v>0</x:v>
      </x:c>
      <x:c r="I2605" s="35" t="str">
        <x:v>PASS</x:v>
      </x:c>
      <x:c r="J2605" s="35" t="str">
        <x:v>PASS</x:v>
      </x:c>
      <x:c r="K2605" s="35" t="str">
        <x:v>PASS</x:v>
      </x:c>
      <x:c r="L2605" s="35" t="str">
        <x:v>FAIL</x:v>
      </x:c>
      <x:c r="M2605" s="35" t="str">
        <x:v>numeric coverage for applicable metric</x:v>
      </x:c>
      <x:c r="N2605" s="35" t="str">
        <x:v>Deepseek-flash-v4/Result2/Cli_23/result.json</x:v>
      </x:c>
      <x:c r="O2605" s="39" t="n">
        <x:f>IF(AND(G2605="RECORDED",ISNUMBER(H2605)),H2605,"")</x:f>
        <x:v>0</x:v>
      </x:c>
      <x:c r="P2605" s="35" t="str">
        <x:v>INCONCLUSIVE</x:v>
      </x:c>
      <x:c r="Q2605" s="35" t="str">
        <x:v>Deepseek-flash-v4/Result2/Cli_23/result.json</x:v>
      </x:c>
    </x:row>
    <x:row r="2606">
      <x:c r="A2606" s="35" t="str">
        <x:v>deepseek</x:v>
      </x:c>
      <x:c r="B2606" s="35" t="str">
        <x:v>Cli</x:v>
      </x:c>
      <x:c r="C2606" s="35" t="str">
        <x:v>Round2</x:v>
      </x:c>
      <x:c r="D2606" s="35" t="str">
        <x:v>Cli_24</x:v>
      </x:c>
      <x:c r="E2606" s="35" t="str">
        <x:v>Condition</x:v>
      </x:c>
      <x:c r="F2606" s="35" t="n">
        <x:v>112</x:v>
      </x:c>
      <x:c r="G2606" s="35" t="str">
        <x:v>RECORDED</x:v>
      </x:c>
      <x:c r="H2606" s="39" t="n">
        <x:f>IF(ISNUMBER('Data'!N898),'Data'!N898*100,"")</x:f>
        <x:v>0</x:v>
      </x:c>
      <x:c r="I2606" s="35" t="str">
        <x:v>PASS</x:v>
      </x:c>
      <x:c r="J2606" s="35" t="str">
        <x:v>PASS</x:v>
      </x:c>
      <x:c r="K2606" s="35" t="str">
        <x:v>PASS</x:v>
      </x:c>
      <x:c r="L2606" s="35" t="str">
        <x:v>FAIL</x:v>
      </x:c>
      <x:c r="M2606" s="35" t="str">
        <x:v>numeric coverage for applicable metric</x:v>
      </x:c>
      <x:c r="N2606" s="35" t="str">
        <x:v>Deepseek-flash-v4/Result2/Cli_24/result.json</x:v>
      </x:c>
      <x:c r="O2606" s="39" t="n">
        <x:f>IF(AND(G2606="RECORDED",ISNUMBER(H2606)),H2606,"")</x:f>
        <x:v>0</x:v>
      </x:c>
      <x:c r="P2606" s="35" t="str">
        <x:v>INCONCLUSIVE</x:v>
      </x:c>
      <x:c r="Q2606" s="35" t="str">
        <x:v>Deepseek-flash-v4/Result2/Cli_24/result.json</x:v>
      </x:c>
    </x:row>
    <x:row r="2607">
      <x:c r="A2607" s="35" t="str">
        <x:v>deepseek</x:v>
      </x:c>
      <x:c r="B2607" s="35" t="str">
        <x:v>Cli</x:v>
      </x:c>
      <x:c r="C2607" s="35" t="str">
        <x:v>Round2</x:v>
      </x:c>
      <x:c r="D2607" s="35" t="str">
        <x:v>Cli_25</x:v>
      </x:c>
      <x:c r="E2607" s="35" t="str">
        <x:v>Condition</x:v>
      </x:c>
      <x:c r="F2607" s="35" t="n">
        <x:v>112</x:v>
      </x:c>
      <x:c r="G2607" s="35" t="str">
        <x:v>RECORDED</x:v>
      </x:c>
      <x:c r="H2607" s="39" t="n">
        <x:f>IF(ISNUMBER('Data'!N899),'Data'!N899*100,"")</x:f>
        <x:v>0</x:v>
      </x:c>
      <x:c r="I2607" s="35" t="str">
        <x:v>PASS</x:v>
      </x:c>
      <x:c r="J2607" s="35" t="str">
        <x:v>PASS</x:v>
      </x:c>
      <x:c r="K2607" s="35" t="str">
        <x:v>PASS</x:v>
      </x:c>
      <x:c r="L2607" s="35" t="str">
        <x:v>FAIL</x:v>
      </x:c>
      <x:c r="M2607" s="35" t="str">
        <x:v>numeric coverage for applicable metric</x:v>
      </x:c>
      <x:c r="N2607" s="35" t="str">
        <x:v>Deepseek-flash-v4/Result2/Cli_25/result.json</x:v>
      </x:c>
      <x:c r="O2607" s="39" t="n">
        <x:f>IF(AND(G2607="RECORDED",ISNUMBER(H2607)),H2607,"")</x:f>
        <x:v>0</x:v>
      </x:c>
      <x:c r="P2607" s="35" t="str">
        <x:v>INCONCLUSIVE</x:v>
      </x:c>
      <x:c r="Q2607" s="35" t="str">
        <x:v>Deepseek-flash-v4/Result2/Cli_25/result.json</x:v>
      </x:c>
    </x:row>
    <x:row r="2608">
      <x:c r="A2608" s="35" t="str">
        <x:v>deepseek</x:v>
      </x:c>
      <x:c r="B2608" s="35" t="str">
        <x:v>Cli</x:v>
      </x:c>
      <x:c r="C2608" s="35" t="str">
        <x:v>Round2</x:v>
      </x:c>
      <x:c r="D2608" s="35" t="str">
        <x:v>Cli_26</x:v>
      </x:c>
      <x:c r="E2608" s="35" t="str">
        <x:v>Condition</x:v>
      </x:c>
      <x:c r="F2608" s="35"/>
      <x:c r="G2608" s="35" t="str">
        <x:v>A</x:v>
      </x:c>
      <x:c r="H2608" s="39" t="str">
        <x:f>IF(ISNUMBER('Data'!N900),'Data'!N900*100,"")</x:f>
      </x:c>
      <x:c r="I2608" s="35"/>
      <x:c r="J2608" s="35" t="str">
        <x:v>PASS</x:v>
      </x:c>
      <x:c r="K2608" s="35" t="str">
        <x:v>FAIL</x:v>
      </x:c>
      <x:c r="L2608" s="35" t="str">
        <x:v>NOT_RUN</x:v>
      </x:c>
      <x:c r="M2608" s="35" t="str">
        <x:v>coverage unavailable or execution/compile failed</x:v>
      </x:c>
      <x:c r="N2608" s="35" t="str">
        <x:v>Deepseek-flash-v4/Result2/Cli_26/result.json</x:v>
      </x:c>
      <x:c r="O2608" s="39" t="str">
        <x:f>IF(AND(G2608="RECORDED",ISNUMBER(H2608)),H2608,"")</x:f>
      </x:c>
      <x:c r="P2608" s="35" t="str">
        <x:v>NOT_AVAILABLE</x:v>
      </x:c>
      <x:c r="Q2608" s="35" t="str">
        <x:v>Deepseek-flash-v4/Result2/Cli_26/result.json</x:v>
      </x:c>
    </x:row>
    <x:row r="2609">
      <x:c r="A2609" s="35" t="str">
        <x:v>deepseek</x:v>
      </x:c>
      <x:c r="B2609" s="35" t="str">
        <x:v>Cli</x:v>
      </x:c>
      <x:c r="C2609" s="35" t="str">
        <x:v>Round2</x:v>
      </x:c>
      <x:c r="D2609" s="35" t="str">
        <x:v>Cli_27</x:v>
      </x:c>
      <x:c r="E2609" s="35" t="str">
        <x:v>Condition</x:v>
      </x:c>
      <x:c r="F2609" s="35" t="n">
        <x:v>12</x:v>
      </x:c>
      <x:c r="G2609" s="35" t="str">
        <x:v>RECORDED</x:v>
      </x:c>
      <x:c r="H2609" s="39" t="n">
        <x:f>IF(ISNUMBER('Data'!N901),'Data'!N901*100,"")</x:f>
        <x:v>0</x:v>
      </x:c>
      <x:c r="I2609" s="35" t="str">
        <x:v>PASS</x:v>
      </x:c>
      <x:c r="J2609" s="35" t="str">
        <x:v>PASS</x:v>
      </x:c>
      <x:c r="K2609" s="35" t="str">
        <x:v>PASS</x:v>
      </x:c>
      <x:c r="L2609" s="35" t="str">
        <x:v>FAIL</x:v>
      </x:c>
      <x:c r="M2609" s="35" t="str">
        <x:v>numeric coverage for applicable metric</x:v>
      </x:c>
      <x:c r="N2609" s="35" t="str">
        <x:v>Deepseek-flash-v4/Result2/Cli_27/result.json</x:v>
      </x:c>
      <x:c r="O2609" s="39" t="n">
        <x:f>IF(AND(G2609="RECORDED",ISNUMBER(H2609)),H2609,"")</x:f>
        <x:v>0</x:v>
      </x:c>
      <x:c r="P2609" s="35" t="str">
        <x:v>INCONCLUSIVE</x:v>
      </x:c>
      <x:c r="Q2609" s="35" t="str">
        <x:v>Deepseek-flash-v4/Result2/Cli_27/result.json</x:v>
      </x:c>
    </x:row>
    <x:row r="2610">
      <x:c r="A2610" s="35" t="str">
        <x:v>deepseek</x:v>
      </x:c>
      <x:c r="B2610" s="35" t="str">
        <x:v>Cli</x:v>
      </x:c>
      <x:c r="C2610" s="35" t="str">
        <x:v>Round2</x:v>
      </x:c>
      <x:c r="D2610" s="35" t="str">
        <x:v>Cli_28</x:v>
      </x:c>
      <x:c r="E2610" s="35" t="str">
        <x:v>Condition</x:v>
      </x:c>
      <x:c r="F2610" s="35" t="n">
        <x:v>68</x:v>
      </x:c>
      <x:c r="G2610" s="35" t="str">
        <x:v>RECORDED</x:v>
      </x:c>
      <x:c r="H2610" s="39" t="n">
        <x:f>IF(ISNUMBER('Data'!N902),'Data'!N902*100,"")</x:f>
        <x:v>0</x:v>
      </x:c>
      <x:c r="I2610" s="35" t="str">
        <x:v>PASS</x:v>
      </x:c>
      <x:c r="J2610" s="35" t="str">
        <x:v>PASS</x:v>
      </x:c>
      <x:c r="K2610" s="35" t="str">
        <x:v>PASS</x:v>
      </x:c>
      <x:c r="L2610" s="35" t="str">
        <x:v>FAIL</x:v>
      </x:c>
      <x:c r="M2610" s="35" t="str">
        <x:v>numeric coverage for applicable metric</x:v>
      </x:c>
      <x:c r="N2610" s="35" t="str">
        <x:v>Deepseek-flash-v4/Result2/Cli_28/result.json</x:v>
      </x:c>
      <x:c r="O2610" s="39" t="n">
        <x:f>IF(AND(G2610="RECORDED",ISNUMBER(H2610)),H2610,"")</x:f>
        <x:v>0</x:v>
      </x:c>
      <x:c r="P2610" s="35" t="str">
        <x:v>INCONCLUSIVE</x:v>
      </x:c>
      <x:c r="Q2610" s="35" t="str">
        <x:v>Deepseek-flash-v4/Result2/Cli_28/result.json</x:v>
      </x:c>
    </x:row>
    <x:row r="2611">
      <x:c r="A2611" s="35" t="str">
        <x:v>deepseek</x:v>
      </x:c>
      <x:c r="B2611" s="35" t="str">
        <x:v>Cli</x:v>
      </x:c>
      <x:c r="C2611" s="35" t="str">
        <x:v>Round2</x:v>
      </x:c>
      <x:c r="D2611" s="35" t="str">
        <x:v>Cli_29</x:v>
      </x:c>
      <x:c r="E2611" s="35" t="str">
        <x:v>Condition</x:v>
      </x:c>
      <x:c r="F2611" s="35" t="n">
        <x:v>10</x:v>
      </x:c>
      <x:c r="G2611" s="35" t="str">
        <x:v>RECORDED</x:v>
      </x:c>
      <x:c r="H2611" s="39" t="n">
        <x:f>IF(ISNUMBER('Data'!N903),'Data'!N903*100,"")</x:f>
        <x:v>0</x:v>
      </x:c>
      <x:c r="I2611" s="35" t="str">
        <x:v>PASS</x:v>
      </x:c>
      <x:c r="J2611" s="35" t="str">
        <x:v>PASS</x:v>
      </x:c>
      <x:c r="K2611" s="35" t="str">
        <x:v>PASS</x:v>
      </x:c>
      <x:c r="L2611" s="35" t="str">
        <x:v>FAIL</x:v>
      </x:c>
      <x:c r="M2611" s="35" t="str">
        <x:v>numeric coverage for applicable metric</x:v>
      </x:c>
      <x:c r="N2611" s="35" t="str">
        <x:v>Deepseek-flash-v4/Result2/Cli_29/result.json</x:v>
      </x:c>
      <x:c r="O2611" s="39" t="n">
        <x:f>IF(AND(G2611="RECORDED",ISNUMBER(H2611)),H2611,"")</x:f>
        <x:v>0</x:v>
      </x:c>
      <x:c r="P2611" s="35" t="str">
        <x:v>INCONCLUSIVE</x:v>
      </x:c>
      <x:c r="Q2611" s="35" t="str">
        <x:v>Deepseek-flash-v4/Result2/Cli_29/result.json</x:v>
      </x:c>
    </x:row>
    <x:row r="2612">
      <x:c r="A2612" s="35" t="str">
        <x:v>deepseek</x:v>
      </x:c>
      <x:c r="B2612" s="35" t="str">
        <x:v>Cli</x:v>
      </x:c>
      <x:c r="C2612" s="35" t="str">
        <x:v>Round2</x:v>
      </x:c>
      <x:c r="D2612" s="35" t="str">
        <x:v>Cli_3</x:v>
      </x:c>
      <x:c r="E2612" s="35" t="str">
        <x:v>Condition</x:v>
      </x:c>
      <x:c r="F2612" s="35" t="n">
        <x:v>20</x:v>
      </x:c>
      <x:c r="G2612" s="35" t="str">
        <x:v>RECORDED</x:v>
      </x:c>
      <x:c r="H2612" s="39" t="n">
        <x:f>IF(ISNUMBER('Data'!N904),'Data'!N904*100,"")</x:f>
        <x:v>0</x:v>
      </x:c>
      <x:c r="I2612" s="35" t="str">
        <x:v>PASS</x:v>
      </x:c>
      <x:c r="J2612" s="35" t="str">
        <x:v>PASS</x:v>
      </x:c>
      <x:c r="K2612" s="35" t="str">
        <x:v>PASS</x:v>
      </x:c>
      <x:c r="L2612" s="35" t="str">
        <x:v>FAIL</x:v>
      </x:c>
      <x:c r="M2612" s="35" t="str">
        <x:v>numeric coverage for applicable metric</x:v>
      </x:c>
      <x:c r="N2612" s="35" t="str">
        <x:v>Deepseek-flash-v4/Result2/Cli_3/result.json</x:v>
      </x:c>
      <x:c r="O2612" s="39" t="n">
        <x:f>IF(AND(G2612="RECORDED",ISNUMBER(H2612)),H2612,"")</x:f>
        <x:v>0</x:v>
      </x:c>
      <x:c r="P2612" s="35" t="str">
        <x:v>INCONCLUSIVE</x:v>
      </x:c>
      <x:c r="Q2612" s="35" t="str">
        <x:v>Deepseek-flash-v4/Result2/Cli_3/result.json</x:v>
      </x:c>
    </x:row>
    <x:row r="2613">
      <x:c r="A2613" s="35" t="str">
        <x:v>deepseek</x:v>
      </x:c>
      <x:c r="B2613" s="35" t="str">
        <x:v>Cli</x:v>
      </x:c>
      <x:c r="C2613" s="35" t="str">
        <x:v>Round2</x:v>
      </x:c>
      <x:c r="D2613" s="35" t="str">
        <x:v>Cli_30</x:v>
      </x:c>
      <x:c r="E2613" s="35" t="str">
        <x:v>Condition</x:v>
      </x:c>
      <x:c r="F2613" s="35" t="n">
        <x:v>218</x:v>
      </x:c>
      <x:c r="G2613" s="35" t="str">
        <x:v>RECORDED</x:v>
      </x:c>
      <x:c r="H2613" s="39" t="n">
        <x:f>IF(ISNUMBER('Data'!N905),'Data'!N905*100,"")</x:f>
        <x:v>0</x:v>
      </x:c>
      <x:c r="I2613" s="35" t="str">
        <x:v>PASS</x:v>
      </x:c>
      <x:c r="J2613" s="35" t="str">
        <x:v>PASS</x:v>
      </x:c>
      <x:c r="K2613" s="35" t="str">
        <x:v>PASS</x:v>
      </x:c>
      <x:c r="L2613" s="35" t="str">
        <x:v>FAIL</x:v>
      </x:c>
      <x:c r="M2613" s="35" t="str">
        <x:v>numeric coverage for applicable metric</x:v>
      </x:c>
      <x:c r="N2613" s="35" t="str">
        <x:v>Deepseek-flash-v4/Result2/Cli_30/result.json</x:v>
      </x:c>
      <x:c r="O2613" s="39" t="n">
        <x:f>IF(AND(G2613="RECORDED",ISNUMBER(H2613)),H2613,"")</x:f>
        <x:v>0</x:v>
      </x:c>
      <x:c r="P2613" s="35" t="str">
        <x:v>INCONCLUSIVE</x:v>
      </x:c>
      <x:c r="Q2613" s="35" t="str">
        <x:v>Deepseek-flash-v4/Result2/Cli_30/result.json</x:v>
      </x:c>
    </x:row>
    <x:row r="2614">
      <x:c r="A2614" s="35" t="str">
        <x:v>deepseek</x:v>
      </x:c>
      <x:c r="B2614" s="35" t="str">
        <x:v>Cli</x:v>
      </x:c>
      <x:c r="C2614" s="35" t="str">
        <x:v>Round2</x:v>
      </x:c>
      <x:c r="D2614" s="35" t="str">
        <x:v>Cli_31</x:v>
      </x:c>
      <x:c r="E2614" s="35" t="str">
        <x:v>Condition</x:v>
      </x:c>
      <x:c r="F2614" s="35"/>
      <x:c r="G2614" s="35" t="str">
        <x:v>A</x:v>
      </x:c>
      <x:c r="H2614" s="39" t="str">
        <x:f>IF(ISNUMBER('Data'!N906),'Data'!N906*100,"")</x:f>
      </x:c>
      <x:c r="I2614" s="35"/>
      <x:c r="J2614" s="35" t="str">
        <x:v>PASS</x:v>
      </x:c>
      <x:c r="K2614" s="35" t="str">
        <x:v>FAIL</x:v>
      </x:c>
      <x:c r="L2614" s="35" t="str">
        <x:v>NOT_RUN</x:v>
      </x:c>
      <x:c r="M2614" s="35" t="str">
        <x:v>coverage unavailable or execution/compile failed</x:v>
      </x:c>
      <x:c r="N2614" s="35" t="str">
        <x:v>Deepseek-flash-v4/Result2/Cli_31/result.json</x:v>
      </x:c>
      <x:c r="O2614" s="39" t="str">
        <x:f>IF(AND(G2614="RECORDED",ISNUMBER(H2614)),H2614,"")</x:f>
      </x:c>
      <x:c r="P2614" s="35" t="str">
        <x:v>NOT_AVAILABLE</x:v>
      </x:c>
      <x:c r="Q2614" s="35" t="str">
        <x:v>Deepseek-flash-v4/Result2/Cli_31/result.json</x:v>
      </x:c>
    </x:row>
    <x:row r="2615">
      <x:c r="A2615" s="35" t="str">
        <x:v>deepseek</x:v>
      </x:c>
      <x:c r="B2615" s="35" t="str">
        <x:v>Cli</x:v>
      </x:c>
      <x:c r="C2615" s="35" t="str">
        <x:v>Round2</x:v>
      </x:c>
      <x:c r="D2615" s="35" t="str">
        <x:v>Cli_32</x:v>
      </x:c>
      <x:c r="E2615" s="35" t="str">
        <x:v>Condition</x:v>
      </x:c>
      <x:c r="F2615" s="35" t="n">
        <x:v>122</x:v>
      </x:c>
      <x:c r="G2615" s="35" t="str">
        <x:v>RECORDED</x:v>
      </x:c>
      <x:c r="H2615" s="39" t="n">
        <x:f>IF(ISNUMBER('Data'!N907),'Data'!N907*100,"")</x:f>
        <x:v>0</x:v>
      </x:c>
      <x:c r="I2615" s="35" t="str">
        <x:v>PASS</x:v>
      </x:c>
      <x:c r="J2615" s="35" t="str">
        <x:v>PASS</x:v>
      </x:c>
      <x:c r="K2615" s="35" t="str">
        <x:v>PASS</x:v>
      </x:c>
      <x:c r="L2615" s="35" t="str">
        <x:v>FAIL</x:v>
      </x:c>
      <x:c r="M2615" s="35" t="str">
        <x:v>numeric coverage for applicable metric</x:v>
      </x:c>
      <x:c r="N2615" s="35" t="str">
        <x:v>Deepseek-flash-v4/Result2/Cli_32/result.json</x:v>
      </x:c>
      <x:c r="O2615" s="39" t="n">
        <x:f>IF(AND(G2615="RECORDED",ISNUMBER(H2615)),H2615,"")</x:f>
        <x:v>0</x:v>
      </x:c>
      <x:c r="P2615" s="35" t="str">
        <x:v>INCONCLUSIVE</x:v>
      </x:c>
      <x:c r="Q2615" s="35" t="str">
        <x:v>Deepseek-flash-v4/Result2/Cli_32/result.json</x:v>
      </x:c>
    </x:row>
    <x:row r="2616">
      <x:c r="A2616" s="35" t="str">
        <x:v>deepseek</x:v>
      </x:c>
      <x:c r="B2616" s="35" t="str">
        <x:v>Cli</x:v>
      </x:c>
      <x:c r="C2616" s="35" t="str">
        <x:v>Round2</x:v>
      </x:c>
      <x:c r="D2616" s="35" t="str">
        <x:v>Cli_33</x:v>
      </x:c>
      <x:c r="E2616" s="35" t="str">
        <x:v>Condition</x:v>
      </x:c>
      <x:c r="F2616" s="35" t="n">
        <x:v>114</x:v>
      </x:c>
      <x:c r="G2616" s="35" t="str">
        <x:v>RECORDED</x:v>
      </x:c>
      <x:c r="H2616" s="39" t="n">
        <x:f>IF(ISNUMBER('Data'!N908),'Data'!N908*100,"")</x:f>
        <x:v>0</x:v>
      </x:c>
      <x:c r="I2616" s="35" t="str">
        <x:v>PASS</x:v>
      </x:c>
      <x:c r="J2616" s="35" t="str">
        <x:v>PASS</x:v>
      </x:c>
      <x:c r="K2616" s="35" t="str">
        <x:v>PASS</x:v>
      </x:c>
      <x:c r="L2616" s="35" t="str">
        <x:v>FAIL</x:v>
      </x:c>
      <x:c r="M2616" s="35" t="str">
        <x:v>numeric coverage for applicable metric</x:v>
      </x:c>
      <x:c r="N2616" s="35" t="str">
        <x:v>Deepseek-flash-v4/Result2/Cli_33/result.json</x:v>
      </x:c>
      <x:c r="O2616" s="39" t="n">
        <x:f>IF(AND(G2616="RECORDED",ISNUMBER(H2616)),H2616,"")</x:f>
        <x:v>0</x:v>
      </x:c>
      <x:c r="P2616" s="35" t="str">
        <x:v>INCONCLUSIVE</x:v>
      </x:c>
      <x:c r="Q2616" s="35" t="str">
        <x:v>Deepseek-flash-v4/Result2/Cli_33/result.json</x:v>
      </x:c>
    </x:row>
    <x:row r="2617">
      <x:c r="A2617" s="35" t="str">
        <x:v>deepseek</x:v>
      </x:c>
      <x:c r="B2617" s="35" t="str">
        <x:v>Cli</x:v>
      </x:c>
      <x:c r="C2617" s="35" t="str">
        <x:v>Round2</x:v>
      </x:c>
      <x:c r="D2617" s="35" t="str">
        <x:v>Cli_34</x:v>
      </x:c>
      <x:c r="E2617" s="35" t="str">
        <x:v>Condition</x:v>
      </x:c>
      <x:c r="F2617" s="35"/>
      <x:c r="G2617" s="35" t="str">
        <x:v>A</x:v>
      </x:c>
      <x:c r="H2617" s="39" t="str">
        <x:f>IF(ISNUMBER('Data'!N909),'Data'!N909*100,"")</x:f>
      </x:c>
      <x:c r="I2617" s="35"/>
      <x:c r="J2617" s="35" t="str">
        <x:v>PASS</x:v>
      </x:c>
      <x:c r="K2617" s="35" t="str">
        <x:v>FAIL</x:v>
      </x:c>
      <x:c r="L2617" s="35" t="str">
        <x:v>NOT_RUN</x:v>
      </x:c>
      <x:c r="M2617" s="35" t="str">
        <x:v>coverage unavailable or execution/compile failed</x:v>
      </x:c>
      <x:c r="N2617" s="35" t="str">
        <x:v>Deepseek-flash-v4/Result2/Cli_34/result.json</x:v>
      </x:c>
      <x:c r="O2617" s="39" t="str">
        <x:f>IF(AND(G2617="RECORDED",ISNUMBER(H2617)),H2617,"")</x:f>
      </x:c>
      <x:c r="P2617" s="35" t="str">
        <x:v>NOT_AVAILABLE</x:v>
      </x:c>
      <x:c r="Q2617" s="35" t="str">
        <x:v>Deepseek-flash-v4/Result2/Cli_34/result.json</x:v>
      </x:c>
    </x:row>
    <x:row r="2618">
      <x:c r="A2618" s="35" t="str">
        <x:v>deepseek</x:v>
      </x:c>
      <x:c r="B2618" s="35" t="str">
        <x:v>Cli</x:v>
      </x:c>
      <x:c r="C2618" s="35" t="str">
        <x:v>Round2</x:v>
      </x:c>
      <x:c r="D2618" s="35" t="str">
        <x:v>Cli_35</x:v>
      </x:c>
      <x:c r="E2618" s="35" t="str">
        <x:v>Condition</x:v>
      </x:c>
      <x:c r="F2618" s="35" t="n">
        <x:v>20</x:v>
      </x:c>
      <x:c r="G2618" s="35" t="str">
        <x:v>RECORDED</x:v>
      </x:c>
      <x:c r="H2618" s="39" t="n">
        <x:f>IF(ISNUMBER('Data'!N910),'Data'!N910*100,"")</x:f>
        <x:v>95</x:v>
      </x:c>
      <x:c r="I2618" s="35" t="str">
        <x:v>PASS</x:v>
      </x:c>
      <x:c r="J2618" s="35" t="str">
        <x:v>PASS</x:v>
      </x:c>
      <x:c r="K2618" s="35" t="str">
        <x:v>PASS</x:v>
      </x:c>
      <x:c r="L2618" s="35" t="str">
        <x:v>FAIL</x:v>
      </x:c>
      <x:c r="M2618" s="35" t="str">
        <x:v>numeric coverage for applicable metric</x:v>
      </x:c>
      <x:c r="N2618" s="35" t="str">
        <x:v>Deepseek-flash-v4/Result2/Cli_35/result.json</x:v>
      </x:c>
      <x:c r="O2618" s="39" t="n">
        <x:f>IF(AND(G2618="RECORDED",ISNUMBER(H2618)),H2618,"")</x:f>
        <x:v>95</x:v>
      </x:c>
      <x:c r="P2618" s="35" t="str">
        <x:v>INCONCLUSIVE</x:v>
      </x:c>
      <x:c r="Q2618" s="35" t="str">
        <x:v>Deepseek-flash-v4/Result2/Cli_35/result.json</x:v>
      </x:c>
    </x:row>
    <x:row r="2619">
      <x:c r="A2619" s="35" t="str">
        <x:v>deepseek</x:v>
      </x:c>
      <x:c r="B2619" s="35" t="str">
        <x:v>Cli</x:v>
      </x:c>
      <x:c r="C2619" s="35" t="str">
        <x:v>Round2</x:v>
      </x:c>
      <x:c r="D2619" s="35" t="str">
        <x:v>Cli_36</x:v>
      </x:c>
      <x:c r="E2619" s="35" t="str">
        <x:v>Condition</x:v>
      </x:c>
      <x:c r="F2619" s="35"/>
      <x:c r="G2619" s="35" t="str">
        <x:v>A</x:v>
      </x:c>
      <x:c r="H2619" s="39" t="str">
        <x:f>IF(ISNUMBER('Data'!N911),'Data'!N911*100,"")</x:f>
      </x:c>
      <x:c r="I2619" s="35"/>
      <x:c r="J2619" s="35" t="str">
        <x:v>PASS</x:v>
      </x:c>
      <x:c r="K2619" s="35" t="str">
        <x:v>FAIL</x:v>
      </x:c>
      <x:c r="L2619" s="35" t="str">
        <x:v>NOT_RUN</x:v>
      </x:c>
      <x:c r="M2619" s="35" t="str">
        <x:v>coverage unavailable or execution/compile failed</x:v>
      </x:c>
      <x:c r="N2619" s="35" t="str">
        <x:v>Deepseek-flash-v4/Result2/Cli_36/result.json</x:v>
      </x:c>
      <x:c r="O2619" s="39" t="str">
        <x:f>IF(AND(G2619="RECORDED",ISNUMBER(H2619)),H2619,"")</x:f>
      </x:c>
      <x:c r="P2619" s="35" t="str">
        <x:v>NOT_AVAILABLE</x:v>
      </x:c>
      <x:c r="Q2619" s="35" t="str">
        <x:v>Deepseek-flash-v4/Result2/Cli_36/result.json</x:v>
      </x:c>
    </x:row>
    <x:row r="2620">
      <x:c r="A2620" s="35" t="str">
        <x:v>deepseek</x:v>
      </x:c>
      <x:c r="B2620" s="35" t="str">
        <x:v>Cli</x:v>
      </x:c>
      <x:c r="C2620" s="35" t="str">
        <x:v>Round2</x:v>
      </x:c>
      <x:c r="D2620" s="35" t="str">
        <x:v>Cli_37</x:v>
      </x:c>
      <x:c r="E2620" s="35" t="str">
        <x:v>Condition</x:v>
      </x:c>
      <x:c r="F2620" s="35" t="n">
        <x:v>158</x:v>
      </x:c>
      <x:c r="G2620" s="35" t="str">
        <x:v>RECORDED</x:v>
      </x:c>
      <x:c r="H2620" s="39" t="n">
        <x:f>IF(ISNUMBER('Data'!N912),'Data'!N912*100,"")</x:f>
        <x:v>64.56</x:v>
      </x:c>
      <x:c r="I2620" s="35" t="str">
        <x:v>PASS</x:v>
      </x:c>
      <x:c r="J2620" s="35" t="str">
        <x:v>PASS</x:v>
      </x:c>
      <x:c r="K2620" s="35" t="str">
        <x:v>PASS</x:v>
      </x:c>
      <x:c r="L2620" s="35" t="str">
        <x:v>PASS</x:v>
      </x:c>
      <x:c r="M2620" s="35" t="str">
        <x:v>numeric coverage for applicable metric</x:v>
      </x:c>
      <x:c r="N2620" s="35" t="str">
        <x:v>Deepseek-flash-v4/Result2/Cli_37/result.json</x:v>
      </x:c>
      <x:c r="O2620" s="39" t="n">
        <x:f>IF(AND(G2620="RECORDED",ISNUMBER(H2620)),H2620,"")</x:f>
        <x:v>64.56</x:v>
      </x:c>
      <x:c r="P2620" s="35" t="str">
        <x:v>NOT_REVEALING</x:v>
      </x:c>
      <x:c r="Q2620" s="35" t="str">
        <x:v>Deepseek-flash-v4/Result2/Cli_37/result.json</x:v>
      </x:c>
    </x:row>
    <x:row r="2621">
      <x:c r="A2621" s="35" t="str">
        <x:v>deepseek</x:v>
      </x:c>
      <x:c r="B2621" s="35" t="str">
        <x:v>Cli</x:v>
      </x:c>
      <x:c r="C2621" s="35" t="str">
        <x:v>Round2</x:v>
      </x:c>
      <x:c r="D2621" s="35" t="str">
        <x:v>Cli_38</x:v>
      </x:c>
      <x:c r="E2621" s="35" t="str">
        <x:v>Condition</x:v>
      </x:c>
      <x:c r="F2621" s="35" t="n">
        <x:v>158</x:v>
      </x:c>
      <x:c r="G2621" s="35" t="str">
        <x:v>RECORDED</x:v>
      </x:c>
      <x:c r="H2621" s="39" t="n">
        <x:f>IF(ISNUMBER('Data'!N913),'Data'!N913*100,"")</x:f>
        <x:v>63.92</x:v>
      </x:c>
      <x:c r="I2621" s="35" t="str">
        <x:v>PASS</x:v>
      </x:c>
      <x:c r="J2621" s="35" t="str">
        <x:v>PASS</x:v>
      </x:c>
      <x:c r="K2621" s="35" t="str">
        <x:v>PASS</x:v>
      </x:c>
      <x:c r="L2621" s="35" t="str">
        <x:v>PASS</x:v>
      </x:c>
      <x:c r="M2621" s="35" t="str">
        <x:v>numeric coverage for applicable metric</x:v>
      </x:c>
      <x:c r="N2621" s="35" t="str">
        <x:v>Deepseek-flash-v4/Result2/Cli_38/result.json</x:v>
      </x:c>
      <x:c r="O2621" s="39" t="n">
        <x:f>IF(AND(G2621="RECORDED",ISNUMBER(H2621)),H2621,"")</x:f>
        <x:v>63.92</x:v>
      </x:c>
      <x:c r="P2621" s="35" t="str">
        <x:v>NOT_REVEALING</x:v>
      </x:c>
      <x:c r="Q2621" s="35" t="str">
        <x:v>Deepseek-flash-v4/Result2/Cli_38/result.json</x:v>
      </x:c>
    </x:row>
    <x:row r="2622">
      <x:c r="A2622" s="35" t="str">
        <x:v>deepseek</x:v>
      </x:c>
      <x:c r="B2622" s="35" t="str">
        <x:v>Cli</x:v>
      </x:c>
      <x:c r="C2622" s="35" t="str">
        <x:v>Round2</x:v>
      </x:c>
      <x:c r="D2622" s="35" t="str">
        <x:v>Cli_39</x:v>
      </x:c>
      <x:c r="E2622" s="35" t="str">
        <x:v>Condition</x:v>
      </x:c>
      <x:c r="F2622" s="35" t="n">
        <x:v>20</x:v>
      </x:c>
      <x:c r="G2622" s="35" t="str">
        <x:v>RECORDED</x:v>
      </x:c>
      <x:c r="H2622" s="39" t="n">
        <x:f>IF(ISNUMBER('Data'!N914),'Data'!N914*100,"")</x:f>
        <x:v>80</x:v>
      </x:c>
      <x:c r="I2622" s="35" t="str">
        <x:v>PASS</x:v>
      </x:c>
      <x:c r="J2622" s="35" t="str">
        <x:v>PASS</x:v>
      </x:c>
      <x:c r="K2622" s="35" t="str">
        <x:v>PASS</x:v>
      </x:c>
      <x:c r="L2622" s="35" t="str">
        <x:v>FAIL</x:v>
      </x:c>
      <x:c r="M2622" s="35" t="str">
        <x:v>numeric coverage for applicable metric</x:v>
      </x:c>
      <x:c r="N2622" s="35" t="str">
        <x:v>Deepseek-flash-v4/Result2/Cli_39/result.json</x:v>
      </x:c>
      <x:c r="O2622" s="39" t="n">
        <x:f>IF(AND(G2622="RECORDED",ISNUMBER(H2622)),H2622,"")</x:f>
        <x:v>80</x:v>
      </x:c>
      <x:c r="P2622" s="35" t="str">
        <x:v>INCONCLUSIVE</x:v>
      </x:c>
      <x:c r="Q2622" s="35" t="str">
        <x:v>Deepseek-flash-v4/Result2/Cli_39/result.json</x:v>
      </x:c>
    </x:row>
    <x:row r="2623">
      <x:c r="A2623" s="35" t="str">
        <x:v>deepseek</x:v>
      </x:c>
      <x:c r="B2623" s="35" t="str">
        <x:v>Cli</x:v>
      </x:c>
      <x:c r="C2623" s="35" t="str">
        <x:v>Round2</x:v>
      </x:c>
      <x:c r="D2623" s="35" t="str">
        <x:v>Cli_4</x:v>
      </x:c>
      <x:c r="E2623" s="35" t="str">
        <x:v>Condition</x:v>
      </x:c>
      <x:c r="F2623" s="35" t="n">
        <x:v>68</x:v>
      </x:c>
      <x:c r="G2623" s="35" t="str">
        <x:v>RECORDED</x:v>
      </x:c>
      <x:c r="H2623" s="39" t="n">
        <x:f>IF(ISNUMBER('Data'!N915),'Data'!N915*100,"")</x:f>
        <x:v>0</x:v>
      </x:c>
      <x:c r="I2623" s="35" t="str">
        <x:v>PASS</x:v>
      </x:c>
      <x:c r="J2623" s="35" t="str">
        <x:v>PASS</x:v>
      </x:c>
      <x:c r="K2623" s="35" t="str">
        <x:v>PASS</x:v>
      </x:c>
      <x:c r="L2623" s="35" t="str">
        <x:v>FAIL</x:v>
      </x:c>
      <x:c r="M2623" s="35" t="str">
        <x:v>numeric coverage for applicable metric</x:v>
      </x:c>
      <x:c r="N2623" s="35" t="str">
        <x:v>Deepseek-flash-v4/Result2/Cli_4/result.json</x:v>
      </x:c>
      <x:c r="O2623" s="39" t="n">
        <x:f>IF(AND(G2623="RECORDED",ISNUMBER(H2623)),H2623,"")</x:f>
        <x:v>0</x:v>
      </x:c>
      <x:c r="P2623" s="35" t="str">
        <x:v>INCONCLUSIVE</x:v>
      </x:c>
      <x:c r="Q2623" s="35" t="str">
        <x:v>Deepseek-flash-v4/Result2/Cli_4/result.json</x:v>
      </x:c>
    </x:row>
    <x:row r="2624">
      <x:c r="A2624" s="35" t="str">
        <x:v>deepseek</x:v>
      </x:c>
      <x:c r="B2624" s="35" t="str">
        <x:v>Cli</x:v>
      </x:c>
      <x:c r="C2624" s="35" t="str">
        <x:v>Round2</x:v>
      </x:c>
      <x:c r="D2624" s="35" t="str">
        <x:v>Cli_40</x:v>
      </x:c>
      <x:c r="E2624" s="35" t="str">
        <x:v>Condition</x:v>
      </x:c>
      <x:c r="F2624" s="35"/>
      <x:c r="G2624" s="35" t="str">
        <x:v>A</x:v>
      </x:c>
      <x:c r="H2624" s="39" t="str">
        <x:f>IF(ISNUMBER('Data'!N916),'Data'!N916*100,"")</x:f>
      </x:c>
      <x:c r="I2624" s="35"/>
      <x:c r="J2624" s="35" t="str">
        <x:v>PASS</x:v>
      </x:c>
      <x:c r="K2624" s="35" t="str">
        <x:v>FAIL</x:v>
      </x:c>
      <x:c r="L2624" s="35" t="str">
        <x:v>NOT_RUN</x:v>
      </x:c>
      <x:c r="M2624" s="35" t="str">
        <x:v>coverage unavailable or execution/compile failed</x:v>
      </x:c>
      <x:c r="N2624" s="35" t="str">
        <x:v>Deepseek-flash-v4/Result2/Cli_40/result.json</x:v>
      </x:c>
      <x:c r="O2624" s="39" t="str">
        <x:f>IF(AND(G2624="RECORDED",ISNUMBER(H2624)),H2624,"")</x:f>
      </x:c>
      <x:c r="P2624" s="35" t="str">
        <x:v>NOT_AVAILABLE</x:v>
      </x:c>
      <x:c r="Q2624" s="35" t="str">
        <x:v>Deepseek-flash-v4/Result2/Cli_40/result.json</x:v>
      </x:c>
    </x:row>
    <x:row r="2625">
      <x:c r="A2625" s="35" t="str">
        <x:v>deepseek</x:v>
      </x:c>
      <x:c r="B2625" s="35" t="str">
        <x:v>Cli</x:v>
      </x:c>
      <x:c r="C2625" s="35" t="str">
        <x:v>Round2</x:v>
      </x:c>
      <x:c r="D2625" s="35" t="str">
        <x:v>Cli_5</x:v>
      </x:c>
      <x:c r="E2625" s="35" t="str">
        <x:v>Condition</x:v>
      </x:c>
      <x:c r="F2625" s="35" t="n">
        <x:v>8</x:v>
      </x:c>
      <x:c r="G2625" s="35" t="str">
        <x:v>RECORDED</x:v>
      </x:c>
      <x:c r="H2625" s="39" t="n">
        <x:f>IF(ISNUMBER('Data'!N917),'Data'!N917*100,"")</x:f>
        <x:v>0</x:v>
      </x:c>
      <x:c r="I2625" s="35" t="str">
        <x:v>PASS</x:v>
      </x:c>
      <x:c r="J2625" s="35" t="str">
        <x:v>PASS</x:v>
      </x:c>
      <x:c r="K2625" s="35"/>
      <x:c r="L2625" s="35" t="str">
        <x:v>FAIL</x:v>
      </x:c>
      <x:c r="M2625" s="35" t="str">
        <x:v>numeric coverage for applicable metric</x:v>
      </x:c>
      <x:c r="N2625" s="35" t="str">
        <x:v>Deepseek-flash-v4/Result2/Cli_5/result.json</x:v>
      </x:c>
      <x:c r="O2625" s="39" t="n">
        <x:f>IF(AND(G2625="RECORDED",ISNUMBER(H2625)),H2625,"")</x:f>
        <x:v>0</x:v>
      </x:c>
      <x:c r="P2625" s="35" t="str">
        <x:v>INCONCLUSIVE</x:v>
      </x:c>
      <x:c r="Q2625" s="35" t="str">
        <x:v>Deepseek-flash-v4/Result2/Cli_5/result.json</x:v>
      </x:c>
    </x:row>
    <x:row r="2626">
      <x:c r="A2626" s="35" t="str">
        <x:v>deepseek</x:v>
      </x:c>
      <x:c r="B2626" s="35" t="str">
        <x:v>Cli</x:v>
      </x:c>
      <x:c r="C2626" s="35" t="str">
        <x:v>Round2</x:v>
      </x:c>
      <x:c r="D2626" s="35" t="str">
        <x:v>Cli_7</x:v>
      </x:c>
      <x:c r="E2626" s="35" t="str">
        <x:v>Condition</x:v>
      </x:c>
      <x:c r="F2626" s="35"/>
      <x:c r="G2626" s="35" t="str">
        <x:v>A</x:v>
      </x:c>
      <x:c r="H2626" s="39" t="str">
        <x:f>IF(ISNUMBER('Data'!N918),'Data'!N918*100,"")</x:f>
      </x:c>
      <x:c r="I2626" s="35"/>
      <x:c r="J2626" s="35" t="str">
        <x:v>PASS</x:v>
      </x:c>
      <x:c r="K2626" s="35" t="str">
        <x:v>FAIL</x:v>
      </x:c>
      <x:c r="L2626" s="35" t="str">
        <x:v>NOT_RUN</x:v>
      </x:c>
      <x:c r="M2626" s="35" t="str">
        <x:v>coverage unavailable or execution/compile failed</x:v>
      </x:c>
      <x:c r="N2626" s="35" t="str">
        <x:v>Deepseek-flash-v4/Result2/Cli_7/result.json</x:v>
      </x:c>
      <x:c r="O2626" s="39" t="str">
        <x:f>IF(AND(G2626="RECORDED",ISNUMBER(H2626)),H2626,"")</x:f>
      </x:c>
      <x:c r="P2626" s="35" t="str">
        <x:v>NOT_AVAILABLE</x:v>
      </x:c>
      <x:c r="Q2626" s="35" t="str">
        <x:v>Deepseek-flash-v4/Result2/Cli_7/result.json</x:v>
      </x:c>
    </x:row>
    <x:row r="2627">
      <x:c r="A2627" s="35" t="str">
        <x:v>deepseek</x:v>
      </x:c>
      <x:c r="B2627" s="35" t="str">
        <x:v>Cli</x:v>
      </x:c>
      <x:c r="C2627" s="35" t="str">
        <x:v>Round2</x:v>
      </x:c>
      <x:c r="D2627" s="35" t="str">
        <x:v>Cli_8</x:v>
      </x:c>
      <x:c r="E2627" s="35" t="str">
        <x:v>Condition</x:v>
      </x:c>
      <x:c r="F2627" s="35" t="n">
        <x:v>104</x:v>
      </x:c>
      <x:c r="G2627" s="35" t="str">
        <x:v>RECORDED</x:v>
      </x:c>
      <x:c r="H2627" s="39" t="n">
        <x:f>IF(ISNUMBER('Data'!N919),'Data'!N919*100,"")</x:f>
        <x:v>0</x:v>
      </x:c>
      <x:c r="I2627" s="35" t="str">
        <x:v>PASS</x:v>
      </x:c>
      <x:c r="J2627" s="35" t="str">
        <x:v>PASS</x:v>
      </x:c>
      <x:c r="K2627" s="35" t="str">
        <x:v>PASS</x:v>
      </x:c>
      <x:c r="L2627" s="35" t="str">
        <x:v>FAIL</x:v>
      </x:c>
      <x:c r="M2627" s="35" t="str">
        <x:v>numeric coverage for applicable metric</x:v>
      </x:c>
      <x:c r="N2627" s="35" t="str">
        <x:v>Deepseek-flash-v4/Result2/Cli_8/result.json</x:v>
      </x:c>
      <x:c r="O2627" s="39" t="n">
        <x:f>IF(AND(G2627="RECORDED",ISNUMBER(H2627)),H2627,"")</x:f>
        <x:v>0</x:v>
      </x:c>
      <x:c r="P2627" s="35" t="str">
        <x:v>INCONCLUSIVE</x:v>
      </x:c>
      <x:c r="Q2627" s="35" t="str">
        <x:v>Deepseek-flash-v4/Result2/Cli_8/result.json</x:v>
      </x:c>
    </x:row>
    <x:row r="2628">
      <x:c r="A2628" s="35" t="str">
        <x:v>deepseek</x:v>
      </x:c>
      <x:c r="B2628" s="35" t="str">
        <x:v>Cli</x:v>
      </x:c>
      <x:c r="C2628" s="35" t="str">
        <x:v>Round2</x:v>
      </x:c>
      <x:c r="D2628" s="35" t="str">
        <x:v>Cli_9</x:v>
      </x:c>
      <x:c r="E2628" s="35" t="str">
        <x:v>Condition</x:v>
      </x:c>
      <x:c r="F2628" s="35"/>
      <x:c r="G2628" s="35" t="str">
        <x:v>A</x:v>
      </x:c>
      <x:c r="H2628" s="39" t="str">
        <x:f>IF(ISNUMBER('Data'!N920),'Data'!N920*100,"")</x:f>
      </x:c>
      <x:c r="I2628" s="35"/>
      <x:c r="J2628" s="35" t="str">
        <x:v>PASS</x:v>
      </x:c>
      <x:c r="K2628" s="35" t="str">
        <x:v>FAIL</x:v>
      </x:c>
      <x:c r="L2628" s="35" t="str">
        <x:v>NOT_RUN</x:v>
      </x:c>
      <x:c r="M2628" s="35" t="str">
        <x:v>coverage unavailable or execution/compile failed</x:v>
      </x:c>
      <x:c r="N2628" s="35" t="str">
        <x:v>Deepseek-flash-v4/Result2/Cli_9/result.json</x:v>
      </x:c>
      <x:c r="O2628" s="39" t="str">
        <x:f>IF(AND(G2628="RECORDED",ISNUMBER(H2628)),H2628,"")</x:f>
      </x:c>
      <x:c r="P2628" s="35" t="str">
        <x:v>NOT_AVAILABLE</x:v>
      </x:c>
      <x:c r="Q2628" s="35" t="str">
        <x:v>Deepseek-flash-v4/Result2/Cli_9/result.json</x:v>
      </x:c>
    </x:row>
    <x:row r="2629">
      <x:c r="A2629" s="35" t="str">
        <x:v>deepseek</x:v>
      </x:c>
      <x:c r="B2629" s="35" t="str">
        <x:v>Closure</x:v>
      </x:c>
      <x:c r="C2629" s="35" t="str">
        <x:v>Round2</x:v>
      </x:c>
      <x:c r="D2629" s="35" t="str">
        <x:v>Closure_1</x:v>
      </x:c>
      <x:c r="E2629" s="35" t="str">
        <x:v>Condition</x:v>
      </x:c>
      <x:c r="F2629" s="35"/>
      <x:c r="G2629" s="35" t="str">
        <x:v>A</x:v>
      </x:c>
      <x:c r="H2629" s="39" t="str">
        <x:f>IF(ISNUMBER('Data'!N921),'Data'!N921*100,"")</x:f>
      </x:c>
      <x:c r="I2629" s="35"/>
      <x:c r="J2629" s="35" t="str">
        <x:v>PASS</x:v>
      </x:c>
      <x:c r="K2629" s="35" t="str">
        <x:v>FAIL</x:v>
      </x:c>
      <x:c r="L2629" s="35" t="str">
        <x:v>NOT_RUN</x:v>
      </x:c>
      <x:c r="M2629" s="35" t="str">
        <x:v>coverage unavailable or execution/compile failed</x:v>
      </x:c>
      <x:c r="N2629" s="35" t="str">
        <x:v>Deepseek-flash-v4/Result2/Closure_1/result.json</x:v>
      </x:c>
      <x:c r="O2629" s="39" t="str">
        <x:f>IF(AND(G2629="RECORDED",ISNUMBER(H2629)),H2629,"")</x:f>
      </x:c>
      <x:c r="P2629" s="35" t="str">
        <x:v>NOT_AVAILABLE</x:v>
      </x:c>
      <x:c r="Q2629" s="35" t="str">
        <x:v>Deepseek-flash-v4/Result2/Closure_1/result.json</x:v>
      </x:c>
    </x:row>
    <x:row r="2630">
      <x:c r="A2630" s="35" t="str">
        <x:v>deepseek</x:v>
      </x:c>
      <x:c r="B2630" s="35" t="str">
        <x:v>Closure</x:v>
      </x:c>
      <x:c r="C2630" s="35" t="str">
        <x:v>Round2</x:v>
      </x:c>
      <x:c r="D2630" s="35" t="str">
        <x:v>Closure_10</x:v>
      </x:c>
      <x:c r="E2630" s="35" t="str">
        <x:v>Condition</x:v>
      </x:c>
      <x:c r="F2630" s="35" t="n">
        <x:v>1028</x:v>
      </x:c>
      <x:c r="G2630" s="35" t="str">
        <x:v>RECORDED</x:v>
      </x:c>
      <x:c r="H2630" s="39" t="n">
        <x:f>IF(ISNUMBER('Data'!N922),'Data'!N922*100,"")</x:f>
        <x:v>4.28</x:v>
      </x:c>
      <x:c r="I2630" s="35" t="str">
        <x:v>PASS</x:v>
      </x:c>
      <x:c r="J2630" s="35" t="str">
        <x:v>PASS</x:v>
      </x:c>
      <x:c r="K2630" s="35" t="str">
        <x:v>PASS</x:v>
      </x:c>
      <x:c r="L2630" s="35" t="str">
        <x:v>FAIL</x:v>
      </x:c>
      <x:c r="M2630" s="35" t="str">
        <x:v>numeric coverage for applicable metric</x:v>
      </x:c>
      <x:c r="N2630" s="35" t="str">
        <x:v>Deepseek-flash-v4/Result2/Closure_10/result.json</x:v>
      </x:c>
      <x:c r="O2630" s="39" t="n">
        <x:f>IF(AND(G2630="RECORDED",ISNUMBER(H2630)),H2630,"")</x:f>
        <x:v>4.28</x:v>
      </x:c>
      <x:c r="P2630" s="35" t="str">
        <x:v>INCONCLUSIVE</x:v>
      </x:c>
      <x:c r="Q2630" s="35" t="str">
        <x:v>Deepseek-flash-v4/Result2/Closure_10/result.json</x:v>
      </x:c>
    </x:row>
    <x:row r="2631">
      <x:c r="A2631" s="35" t="str">
        <x:v>deepseek</x:v>
      </x:c>
      <x:c r="B2631" s="35" t="str">
        <x:v>Closure</x:v>
      </x:c>
      <x:c r="C2631" s="35" t="str">
        <x:v>Round2</x:v>
      </x:c>
      <x:c r="D2631" s="35" t="str">
        <x:v>Closure_100</x:v>
      </x:c>
      <x:c r="E2631" s="35" t="str">
        <x:v>Condition</x:v>
      </x:c>
      <x:c r="F2631" s="35"/>
      <x:c r="G2631" s="35" t="str">
        <x:v>A</x:v>
      </x:c>
      <x:c r="H2631" s="39" t="str">
        <x:f>IF(ISNUMBER('Data'!N923),'Data'!N923*100,"")</x:f>
      </x:c>
      <x:c r="I2631" s="35"/>
      <x:c r="J2631" s="35" t="str">
        <x:v>PASS</x:v>
      </x:c>
      <x:c r="K2631" s="35" t="str">
        <x:v>FAIL</x:v>
      </x:c>
      <x:c r="L2631" s="35" t="str">
        <x:v>NOT_RUN</x:v>
      </x:c>
      <x:c r="M2631" s="35" t="str">
        <x:v>coverage unavailable or execution/compile failed</x:v>
      </x:c>
      <x:c r="N2631" s="35" t="str">
        <x:v>Deepseek-flash-v4/Result2/Closure_100/result.json</x:v>
      </x:c>
      <x:c r="O2631" s="39" t="str">
        <x:f>IF(AND(G2631="RECORDED",ISNUMBER(H2631)),H2631,"")</x:f>
      </x:c>
      <x:c r="P2631" s="35" t="str">
        <x:v>NOT_AVAILABLE</x:v>
      </x:c>
      <x:c r="Q2631" s="35" t="str">
        <x:v>Deepseek-flash-v4/Result2/Closure_100/result.json</x:v>
      </x:c>
    </x:row>
    <x:row r="2632">
      <x:c r="A2632" s="35" t="str">
        <x:v>deepseek</x:v>
      </x:c>
      <x:c r="B2632" s="35" t="str">
        <x:v>Closure</x:v>
      </x:c>
      <x:c r="C2632" s="35" t="str">
        <x:v>Round2</x:v>
      </x:c>
      <x:c r="D2632" s="35" t="str">
        <x:v>Closure_101</x:v>
      </x:c>
      <x:c r="E2632" s="35" t="str">
        <x:v>Condition</x:v>
      </x:c>
      <x:c r="F2632" s="35"/>
      <x:c r="G2632" s="35" t="str">
        <x:v>A</x:v>
      </x:c>
      <x:c r="H2632" s="39" t="str">
        <x:f>IF(ISNUMBER('Data'!N924),'Data'!N924*100,"")</x:f>
      </x:c>
      <x:c r="I2632" s="35"/>
      <x:c r="J2632" s="35" t="str">
        <x:v>PASS</x:v>
      </x:c>
      <x:c r="K2632" s="35" t="str">
        <x:v>FAIL</x:v>
      </x:c>
      <x:c r="L2632" s="35" t="str">
        <x:v>NOT_RUN</x:v>
      </x:c>
      <x:c r="M2632" s="35" t="str">
        <x:v>coverage unavailable or execution/compile failed</x:v>
      </x:c>
      <x:c r="N2632" s="35" t="str">
        <x:v>Deepseek-flash-v4/Result2/Closure_101/result.json</x:v>
      </x:c>
      <x:c r="O2632" s="39" t="str">
        <x:f>IF(AND(G2632="RECORDED",ISNUMBER(H2632)),H2632,"")</x:f>
      </x:c>
      <x:c r="P2632" s="35" t="str">
        <x:v>NOT_AVAILABLE</x:v>
      </x:c>
      <x:c r="Q2632" s="35" t="str">
        <x:v>Deepseek-flash-v4/Result2/Closure_101/result.json</x:v>
      </x:c>
    </x:row>
    <x:row r="2633">
      <x:c r="A2633" s="35" t="str">
        <x:v>deepseek</x:v>
      </x:c>
      <x:c r="B2633" s="35" t="str">
        <x:v>Closure</x:v>
      </x:c>
      <x:c r="C2633" s="35" t="str">
        <x:v>Round2</x:v>
      </x:c>
      <x:c r="D2633" s="35" t="str">
        <x:v>Closure_102</x:v>
      </x:c>
      <x:c r="E2633" s="35" t="str">
        <x:v>Condition</x:v>
      </x:c>
      <x:c r="F2633" s="35" t="n">
        <x:v>109</x:v>
      </x:c>
      <x:c r="G2633" s="35" t="str">
        <x:v>RECORDED</x:v>
      </x:c>
      <x:c r="H2633" s="39" t="n">
        <x:f>IF(ISNUMBER('Data'!N925),'Data'!N925*100,"")</x:f>
        <x:v>22.94</x:v>
      </x:c>
      <x:c r="I2633" s="35" t="str">
        <x:v>PASS</x:v>
      </x:c>
      <x:c r="J2633" s="35" t="str">
        <x:v>PASS</x:v>
      </x:c>
      <x:c r="K2633" s="35" t="str">
        <x:v>PASS</x:v>
      </x:c>
      <x:c r="L2633" s="35" t="str">
        <x:v>FAIL</x:v>
      </x:c>
      <x:c r="M2633" s="35" t="str">
        <x:v>numeric coverage for applicable metric</x:v>
      </x:c>
      <x:c r="N2633" s="35" t="str">
        <x:v>Deepseek-flash-v4/Result2/Closure_102/result.json</x:v>
      </x:c>
      <x:c r="O2633" s="39" t="n">
        <x:f>IF(AND(G2633="RECORDED",ISNUMBER(H2633)),H2633,"")</x:f>
        <x:v>22.94</x:v>
      </x:c>
      <x:c r="P2633" s="35" t="str">
        <x:v>INCONCLUSIVE</x:v>
      </x:c>
      <x:c r="Q2633" s="35" t="str">
        <x:v>Deepseek-flash-v4/Result2/Closure_102/result.json</x:v>
      </x:c>
    </x:row>
    <x:row r="2634">
      <x:c r="A2634" s="35" t="str">
        <x:v>deepseek</x:v>
      </x:c>
      <x:c r="B2634" s="35" t="str">
        <x:v>Closure</x:v>
      </x:c>
      <x:c r="C2634" s="35" t="str">
        <x:v>Round2</x:v>
      </x:c>
      <x:c r="D2634" s="35" t="str">
        <x:v>Closure_103</x:v>
      </x:c>
      <x:c r="E2634" s="35" t="str">
        <x:v>Condition</x:v>
      </x:c>
      <x:c r="F2634" s="35"/>
      <x:c r="G2634" s="35" t="str">
        <x:v>A</x:v>
      </x:c>
      <x:c r="H2634" s="39" t="str">
        <x:f>IF(ISNUMBER('Data'!N926),'Data'!N926*100,"")</x:f>
      </x:c>
      <x:c r="I2634" s="35"/>
      <x:c r="J2634" s="35" t="str">
        <x:v>PASS</x:v>
      </x:c>
      <x:c r="K2634" s="35" t="str">
        <x:v>FAIL</x:v>
      </x:c>
      <x:c r="L2634" s="35" t="str">
        <x:v>NOT_RUN</x:v>
      </x:c>
      <x:c r="M2634" s="35" t="str">
        <x:v>coverage unavailable or execution/compile failed</x:v>
      </x:c>
      <x:c r="N2634" s="35" t="str">
        <x:v>Deepseek-flash-v4/Result2/Closure_103/result.json</x:v>
      </x:c>
      <x:c r="O2634" s="39" t="str">
        <x:f>IF(AND(G2634="RECORDED",ISNUMBER(H2634)),H2634,"")</x:f>
      </x:c>
      <x:c r="P2634" s="35" t="str">
        <x:v>NOT_AVAILABLE</x:v>
      </x:c>
      <x:c r="Q2634" s="35" t="str">
        <x:v>Deepseek-flash-v4/Result2/Closure_103/result.json</x:v>
      </x:c>
    </x:row>
    <x:row r="2635">
      <x:c r="A2635" s="35" t="str">
        <x:v>deepseek</x:v>
      </x:c>
      <x:c r="B2635" s="35" t="str">
        <x:v>Closure</x:v>
      </x:c>
      <x:c r="C2635" s="35" t="str">
        <x:v>Round2</x:v>
      </x:c>
      <x:c r="D2635" s="35" t="str">
        <x:v>Closure_104</x:v>
      </x:c>
      <x:c r="E2635" s="35" t="str">
        <x:v>Condition</x:v>
      </x:c>
      <x:c r="F2635" s="35"/>
      <x:c r="G2635" s="35" t="str">
        <x:v>A</x:v>
      </x:c>
      <x:c r="H2635" s="39" t="str">
        <x:f>IF(ISNUMBER('Data'!N927),'Data'!N927*100,"")</x:f>
      </x:c>
      <x:c r="I2635" s="35"/>
      <x:c r="J2635" s="35" t="str">
        <x:v>PASS</x:v>
      </x:c>
      <x:c r="K2635" s="35" t="str">
        <x:v>FAIL</x:v>
      </x:c>
      <x:c r="L2635" s="35" t="str">
        <x:v>NOT_RUN</x:v>
      </x:c>
      <x:c r="M2635" s="35" t="str">
        <x:v>coverage unavailable or execution/compile failed</x:v>
      </x:c>
      <x:c r="N2635" s="35" t="str">
        <x:v>Deepseek-flash-v4/Result2/Closure_104/result.json</x:v>
      </x:c>
      <x:c r="O2635" s="39" t="str">
        <x:f>IF(AND(G2635="RECORDED",ISNUMBER(H2635)),H2635,"")</x:f>
      </x:c>
      <x:c r="P2635" s="35" t="str">
        <x:v>NOT_AVAILABLE</x:v>
      </x:c>
      <x:c r="Q2635" s="35" t="str">
        <x:v>Deepseek-flash-v4/Result2/Closure_104/result.json</x:v>
      </x:c>
    </x:row>
    <x:row r="2636">
      <x:c r="A2636" s="35" t="str">
        <x:v>deepseek</x:v>
      </x:c>
      <x:c r="B2636" s="35" t="str">
        <x:v>Closure</x:v>
      </x:c>
      <x:c r="C2636" s="35" t="str">
        <x:v>Round2</x:v>
      </x:c>
      <x:c r="D2636" s="35" t="str">
        <x:v>Closure_105</x:v>
      </x:c>
      <x:c r="E2636" s="35" t="str">
        <x:v>Condition</x:v>
      </x:c>
      <x:c r="F2636" s="35"/>
      <x:c r="G2636" s="35" t="str">
        <x:v>A</x:v>
      </x:c>
      <x:c r="H2636" s="39" t="str">
        <x:f>IF(ISNUMBER('Data'!N928),'Data'!N928*100,"")</x:f>
      </x:c>
      <x:c r="I2636" s="35"/>
      <x:c r="J2636" s="35" t="str">
        <x:v>PASS</x:v>
      </x:c>
      <x:c r="K2636" s="35" t="str">
        <x:v>FAIL</x:v>
      </x:c>
      <x:c r="L2636" s="35" t="str">
        <x:v>NOT_RUN</x:v>
      </x:c>
      <x:c r="M2636" s="35" t="str">
        <x:v>coverage unavailable or execution/compile failed</x:v>
      </x:c>
      <x:c r="N2636" s="35" t="str">
        <x:v>Deepseek-flash-v4/Result2/Closure_105/result.json</x:v>
      </x:c>
      <x:c r="O2636" s="39" t="str">
        <x:f>IF(AND(G2636="RECORDED",ISNUMBER(H2636)),H2636,"")</x:f>
      </x:c>
      <x:c r="P2636" s="35" t="str">
        <x:v>NOT_AVAILABLE</x:v>
      </x:c>
      <x:c r="Q2636" s="35" t="str">
        <x:v>Deepseek-flash-v4/Result2/Closure_105/result.json</x:v>
      </x:c>
    </x:row>
    <x:row r="2637">
      <x:c r="A2637" s="35" t="str">
        <x:v>deepseek</x:v>
      </x:c>
      <x:c r="B2637" s="35" t="str">
        <x:v>Closure</x:v>
      </x:c>
      <x:c r="C2637" s="35" t="str">
        <x:v>Round2</x:v>
      </x:c>
      <x:c r="D2637" s="35" t="str">
        <x:v>Closure_106</x:v>
      </x:c>
      <x:c r="E2637" s="35" t="str">
        <x:v>Condition</x:v>
      </x:c>
      <x:c r="F2637" s="35"/>
      <x:c r="G2637" s="35" t="str">
        <x:v>A</x:v>
      </x:c>
      <x:c r="H2637" s="39" t="str">
        <x:f>IF(ISNUMBER('Data'!N929),'Data'!N929*100,"")</x:f>
      </x:c>
      <x:c r="I2637" s="35"/>
      <x:c r="J2637" s="35" t="str">
        <x:v>PASS</x:v>
      </x:c>
      <x:c r="K2637" s="35" t="str">
        <x:v>FAIL</x:v>
      </x:c>
      <x:c r="L2637" s="35" t="str">
        <x:v>NOT_RUN</x:v>
      </x:c>
      <x:c r="M2637" s="35" t="str">
        <x:v>coverage unavailable or execution/compile failed</x:v>
      </x:c>
      <x:c r="N2637" s="35" t="str">
        <x:v>Deepseek-flash-v4/Result2/Closure_106/result.json</x:v>
      </x:c>
      <x:c r="O2637" s="39" t="str">
        <x:f>IF(AND(G2637="RECORDED",ISNUMBER(H2637)),H2637,"")</x:f>
      </x:c>
      <x:c r="P2637" s="35" t="str">
        <x:v>NOT_AVAILABLE</x:v>
      </x:c>
      <x:c r="Q2637" s="35" t="str">
        <x:v>Deepseek-flash-v4/Result2/Closure_106/result.json</x:v>
      </x:c>
    </x:row>
    <x:row r="2638">
      <x:c r="A2638" s="35" t="str">
        <x:v>deepseek</x:v>
      </x:c>
      <x:c r="B2638" s="35" t="str">
        <x:v>Closure</x:v>
      </x:c>
      <x:c r="C2638" s="35" t="str">
        <x:v>Round2</x:v>
      </x:c>
      <x:c r="D2638" s="35" t="str">
        <x:v>Closure_107</x:v>
      </x:c>
      <x:c r="E2638" s="35" t="str">
        <x:v>Condition</x:v>
      </x:c>
      <x:c r="F2638" s="35"/>
      <x:c r="G2638" s="35" t="str">
        <x:v>A</x:v>
      </x:c>
      <x:c r="H2638" s="39" t="str">
        <x:f>IF(ISNUMBER('Data'!N930),'Data'!N930*100,"")</x:f>
      </x:c>
      <x:c r="I2638" s="35"/>
      <x:c r="J2638" s="35" t="str">
        <x:v>PASS</x:v>
      </x:c>
      <x:c r="K2638" s="35" t="str">
        <x:v>FAIL</x:v>
      </x:c>
      <x:c r="L2638" s="35" t="str">
        <x:v>NOT_RUN</x:v>
      </x:c>
      <x:c r="M2638" s="35" t="str">
        <x:v>coverage unavailable or execution/compile failed</x:v>
      </x:c>
      <x:c r="N2638" s="35" t="str">
        <x:v>Deepseek-flash-v4/Result2/Closure_107/result.json</x:v>
      </x:c>
      <x:c r="O2638" s="39" t="str">
        <x:f>IF(AND(G2638="RECORDED",ISNUMBER(H2638)),H2638,"")</x:f>
      </x:c>
      <x:c r="P2638" s="35" t="str">
        <x:v>NOT_AVAILABLE</x:v>
      </x:c>
      <x:c r="Q2638" s="35" t="str">
        <x:v>Deepseek-flash-v4/Result2/Closure_107/result.json</x:v>
      </x:c>
    </x:row>
    <x:row r="2639">
      <x:c r="A2639" s="35" t="str">
        <x:v>deepseek</x:v>
      </x:c>
      <x:c r="B2639" s="35" t="str">
        <x:v>Closure</x:v>
      </x:c>
      <x:c r="C2639" s="35" t="str">
        <x:v>Round2</x:v>
      </x:c>
      <x:c r="D2639" s="35" t="str">
        <x:v>Closure_108</x:v>
      </x:c>
      <x:c r="E2639" s="35" t="str">
        <x:v>Condition</x:v>
      </x:c>
      <x:c r="F2639" s="35"/>
      <x:c r="G2639" s="35" t="str">
        <x:v>A</x:v>
      </x:c>
      <x:c r="H2639" s="39" t="str">
        <x:f>IF(ISNUMBER('Data'!N931),'Data'!N931*100,"")</x:f>
      </x:c>
      <x:c r="I2639" s="35"/>
      <x:c r="J2639" s="35" t="str">
        <x:v>PASS</x:v>
      </x:c>
      <x:c r="K2639" s="35" t="str">
        <x:v>FAIL</x:v>
      </x:c>
      <x:c r="L2639" s="35" t="str">
        <x:v>NOT_RUN</x:v>
      </x:c>
      <x:c r="M2639" s="35" t="str">
        <x:v>coverage unavailable or execution/compile failed</x:v>
      </x:c>
      <x:c r="N2639" s="35" t="str">
        <x:v>Deepseek-flash-v4/Result2/Closure_108/result.json</x:v>
      </x:c>
      <x:c r="O2639" s="39" t="str">
        <x:f>IF(AND(G2639="RECORDED",ISNUMBER(H2639)),H2639,"")</x:f>
      </x:c>
      <x:c r="P2639" s="35" t="str">
        <x:v>NOT_AVAILABLE</x:v>
      </x:c>
      <x:c r="Q2639" s="35" t="str">
        <x:v>Deepseek-flash-v4/Result2/Closure_108/result.json</x:v>
      </x:c>
    </x:row>
    <x:row r="2640">
      <x:c r="A2640" s="35" t="str">
        <x:v>deepseek</x:v>
      </x:c>
      <x:c r="B2640" s="35" t="str">
        <x:v>Closure</x:v>
      </x:c>
      <x:c r="C2640" s="35" t="str">
        <x:v>Round2</x:v>
      </x:c>
      <x:c r="D2640" s="35" t="str">
        <x:v>Closure_109</x:v>
      </x:c>
      <x:c r="E2640" s="35" t="str">
        <x:v>Condition</x:v>
      </x:c>
      <x:c r="F2640" s="35"/>
      <x:c r="G2640" s="35" t="str">
        <x:v>A</x:v>
      </x:c>
      <x:c r="H2640" s="39" t="str">
        <x:f>IF(ISNUMBER('Data'!N932),'Data'!N932*100,"")</x:f>
      </x:c>
      <x:c r="I2640" s="35"/>
      <x:c r="J2640" s="35" t="str">
        <x:v>PASS</x:v>
      </x:c>
      <x:c r="K2640" s="35" t="str">
        <x:v>FAIL</x:v>
      </x:c>
      <x:c r="L2640" s="35" t="str">
        <x:v>NOT_RUN</x:v>
      </x:c>
      <x:c r="M2640" s="35" t="str">
        <x:v>coverage unavailable or execution/compile failed</x:v>
      </x:c>
      <x:c r="N2640" s="35" t="str">
        <x:v>Deepseek-flash-v4/Result2/Closure_109/result.json</x:v>
      </x:c>
      <x:c r="O2640" s="39" t="str">
        <x:f>IF(AND(G2640="RECORDED",ISNUMBER(H2640)),H2640,"")</x:f>
      </x:c>
      <x:c r="P2640" s="35" t="str">
        <x:v>NOT_AVAILABLE</x:v>
      </x:c>
      <x:c r="Q2640" s="35" t="str">
        <x:v>Deepseek-flash-v4/Result2/Closure_109/result.json</x:v>
      </x:c>
    </x:row>
    <x:row r="2641">
      <x:c r="A2641" s="35" t="str">
        <x:v>deepseek</x:v>
      </x:c>
      <x:c r="B2641" s="35" t="str">
        <x:v>Closure</x:v>
      </x:c>
      <x:c r="C2641" s="35" t="str">
        <x:v>Round2</x:v>
      </x:c>
      <x:c r="D2641" s="35" t="str">
        <x:v>Closure_11</x:v>
      </x:c>
      <x:c r="E2641" s="35" t="str">
        <x:v>Condition</x:v>
      </x:c>
      <x:c r="F2641" s="35"/>
      <x:c r="G2641" s="35" t="str">
        <x:v>A</x:v>
      </x:c>
      <x:c r="H2641" s="39" t="str">
        <x:f>IF(ISNUMBER('Data'!N933),'Data'!N933*100,"")</x:f>
      </x:c>
      <x:c r="I2641" s="35"/>
      <x:c r="J2641" s="35" t="str">
        <x:v>PASS</x:v>
      </x:c>
      <x:c r="K2641" s="35" t="str">
        <x:v>FAIL</x:v>
      </x:c>
      <x:c r="L2641" s="35" t="str">
        <x:v>NOT_RUN</x:v>
      </x:c>
      <x:c r="M2641" s="35" t="str">
        <x:v>coverage unavailable or execution/compile failed</x:v>
      </x:c>
      <x:c r="N2641" s="35" t="str">
        <x:v>Deepseek-flash-v4/Result2/Closure_11/result.json</x:v>
      </x:c>
      <x:c r="O2641" s="39" t="str">
        <x:f>IF(AND(G2641="RECORDED",ISNUMBER(H2641)),H2641,"")</x:f>
      </x:c>
      <x:c r="P2641" s="35" t="str">
        <x:v>NOT_AVAILABLE</x:v>
      </x:c>
      <x:c r="Q2641" s="35" t="str">
        <x:v>Deepseek-flash-v4/Result2/Closure_11/result.json</x:v>
      </x:c>
    </x:row>
    <x:row r="2642">
      <x:c r="A2642" s="35" t="str">
        <x:v>deepseek</x:v>
      </x:c>
      <x:c r="B2642" s="35" t="str">
        <x:v>Closure</x:v>
      </x:c>
      <x:c r="C2642" s="35" t="str">
        <x:v>Round2</x:v>
      </x:c>
      <x:c r="D2642" s="35" t="str">
        <x:v>Closure_110</x:v>
      </x:c>
      <x:c r="E2642" s="35" t="str">
        <x:v>Condition</x:v>
      </x:c>
      <x:c r="F2642" s="35"/>
      <x:c r="G2642" s="35" t="str">
        <x:v>A</x:v>
      </x:c>
      <x:c r="H2642" s="39" t="str">
        <x:f>IF(ISNUMBER('Data'!N934),'Data'!N934*100,"")</x:f>
      </x:c>
      <x:c r="I2642" s="35"/>
      <x:c r="J2642" s="35" t="str">
        <x:v>PASS</x:v>
      </x:c>
      <x:c r="K2642" s="35" t="str">
        <x:v>FAIL</x:v>
      </x:c>
      <x:c r="L2642" s="35" t="str">
        <x:v>NOT_RUN</x:v>
      </x:c>
      <x:c r="M2642" s="35" t="str">
        <x:v>coverage unavailable or execution/compile failed</x:v>
      </x:c>
      <x:c r="N2642" s="35" t="str">
        <x:v>Deepseek-flash-v4/Result2/Closure_110/result.json</x:v>
      </x:c>
      <x:c r="O2642" s="39" t="str">
        <x:f>IF(AND(G2642="RECORDED",ISNUMBER(H2642)),H2642,"")</x:f>
      </x:c>
      <x:c r="P2642" s="35" t="str">
        <x:v>NOT_AVAILABLE</x:v>
      </x:c>
      <x:c r="Q2642" s="35" t="str">
        <x:v>Deepseek-flash-v4/Result2/Closure_110/result.json</x:v>
      </x:c>
    </x:row>
    <x:row r="2643">
      <x:c r="A2643" s="35" t="str">
        <x:v>deepseek</x:v>
      </x:c>
      <x:c r="B2643" s="35" t="str">
        <x:v>Closure</x:v>
      </x:c>
      <x:c r="C2643" s="35" t="str">
        <x:v>Round2</x:v>
      </x:c>
      <x:c r="D2643" s="35" t="str">
        <x:v>Closure_111</x:v>
      </x:c>
      <x:c r="E2643" s="35" t="str">
        <x:v>Condition</x:v>
      </x:c>
      <x:c r="F2643" s="35"/>
      <x:c r="G2643" s="35" t="str">
        <x:v>A</x:v>
      </x:c>
      <x:c r="H2643" s="39" t="str">
        <x:f>IF(ISNUMBER('Data'!N935),'Data'!N935*100,"")</x:f>
      </x:c>
      <x:c r="I2643" s="35"/>
      <x:c r="J2643" s="35" t="str">
        <x:v>PASS</x:v>
      </x:c>
      <x:c r="K2643" s="35" t="str">
        <x:v>FAIL</x:v>
      </x:c>
      <x:c r="L2643" s="35" t="str">
        <x:v>NOT_RUN</x:v>
      </x:c>
      <x:c r="M2643" s="35" t="str">
        <x:v>coverage unavailable or execution/compile failed</x:v>
      </x:c>
      <x:c r="N2643" s="35" t="str">
        <x:v>Deepseek-flash-v4/Result2/Closure_111/result.json</x:v>
      </x:c>
      <x:c r="O2643" s="39" t="str">
        <x:f>IF(AND(G2643="RECORDED",ISNUMBER(H2643)),H2643,"")</x:f>
      </x:c>
      <x:c r="P2643" s="35" t="str">
        <x:v>NOT_AVAILABLE</x:v>
      </x:c>
      <x:c r="Q2643" s="35" t="str">
        <x:v>Deepseek-flash-v4/Result2/Closure_111/result.json</x:v>
      </x:c>
    </x:row>
    <x:row r="2644">
      <x:c r="A2644" s="35" t="str">
        <x:v>deepseek</x:v>
      </x:c>
      <x:c r="B2644" s="35" t="str">
        <x:v>Closure</x:v>
      </x:c>
      <x:c r="C2644" s="35" t="str">
        <x:v>Round2</x:v>
      </x:c>
      <x:c r="D2644" s="35" t="str">
        <x:v>Closure_112</x:v>
      </x:c>
      <x:c r="E2644" s="35" t="str">
        <x:v>Condition</x:v>
      </x:c>
      <x:c r="F2644" s="35"/>
      <x:c r="G2644" s="35" t="str">
        <x:v>A</x:v>
      </x:c>
      <x:c r="H2644" s="39" t="str">
        <x:f>IF(ISNUMBER('Data'!N936),'Data'!N936*100,"")</x:f>
      </x:c>
      <x:c r="I2644" s="35"/>
      <x:c r="J2644" s="35" t="str">
        <x:v>PASS</x:v>
      </x:c>
      <x:c r="K2644" s="35" t="str">
        <x:v>FAIL</x:v>
      </x:c>
      <x:c r="L2644" s="35" t="str">
        <x:v>NOT_RUN</x:v>
      </x:c>
      <x:c r="M2644" s="35" t="str">
        <x:v>coverage unavailable or execution/compile failed</x:v>
      </x:c>
      <x:c r="N2644" s="35" t="str">
        <x:v>Deepseek-flash-v4/Result2/Closure_112/result.json</x:v>
      </x:c>
      <x:c r="O2644" s="39" t="str">
        <x:f>IF(AND(G2644="RECORDED",ISNUMBER(H2644)),H2644,"")</x:f>
      </x:c>
      <x:c r="P2644" s="35" t="str">
        <x:v>NOT_AVAILABLE</x:v>
      </x:c>
      <x:c r="Q2644" s="35" t="str">
        <x:v>Deepseek-flash-v4/Result2/Closure_112/result.json</x:v>
      </x:c>
    </x:row>
    <x:row r="2645">
      <x:c r="A2645" s="35" t="str">
        <x:v>deepseek</x:v>
      </x:c>
      <x:c r="B2645" s="35" t="str">
        <x:v>Closure</x:v>
      </x:c>
      <x:c r="C2645" s="35" t="str">
        <x:v>Round2</x:v>
      </x:c>
      <x:c r="D2645" s="35" t="str">
        <x:v>Closure_113</x:v>
      </x:c>
      <x:c r="E2645" s="35" t="str">
        <x:v>Condition</x:v>
      </x:c>
      <x:c r="F2645" s="35"/>
      <x:c r="G2645" s="35" t="str">
        <x:v>A</x:v>
      </x:c>
      <x:c r="H2645" s="39" t="str">
        <x:f>IF(ISNUMBER('Data'!N937),'Data'!N937*100,"")</x:f>
      </x:c>
      <x:c r="I2645" s="35"/>
      <x:c r="J2645" s="35" t="str">
        <x:v>PASS</x:v>
      </x:c>
      <x:c r="K2645" s="35" t="str">
        <x:v>FAIL</x:v>
      </x:c>
      <x:c r="L2645" s="35" t="str">
        <x:v>NOT_RUN</x:v>
      </x:c>
      <x:c r="M2645" s="35" t="str">
        <x:v>coverage unavailable or execution/compile failed</x:v>
      </x:c>
      <x:c r="N2645" s="35" t="str">
        <x:v>Deepseek-flash-v4/Result2/Closure_113/result.json</x:v>
      </x:c>
      <x:c r="O2645" s="39" t="str">
        <x:f>IF(AND(G2645="RECORDED",ISNUMBER(H2645)),H2645,"")</x:f>
      </x:c>
      <x:c r="P2645" s="35" t="str">
        <x:v>NOT_AVAILABLE</x:v>
      </x:c>
      <x:c r="Q2645" s="35" t="str">
        <x:v>Deepseek-flash-v4/Result2/Closure_113/result.json</x:v>
      </x:c>
    </x:row>
    <x:row r="2646">
      <x:c r="A2646" s="35" t="str">
        <x:v>deepseek</x:v>
      </x:c>
      <x:c r="B2646" s="35" t="str">
        <x:v>Closure</x:v>
      </x:c>
      <x:c r="C2646" s="35" t="str">
        <x:v>Round2</x:v>
      </x:c>
      <x:c r="D2646" s="35" t="str">
        <x:v>Closure_114</x:v>
      </x:c>
      <x:c r="E2646" s="35" t="str">
        <x:v>Condition</x:v>
      </x:c>
      <x:c r="F2646" s="35"/>
      <x:c r="G2646" s="35" t="str">
        <x:v>A</x:v>
      </x:c>
      <x:c r="H2646" s="39" t="str">
        <x:f>IF(ISNUMBER('Data'!N938),'Data'!N938*100,"")</x:f>
      </x:c>
      <x:c r="I2646" s="35"/>
      <x:c r="J2646" s="35" t="str">
        <x:v>PASS</x:v>
      </x:c>
      <x:c r="K2646" s="35" t="str">
        <x:v>FAIL</x:v>
      </x:c>
      <x:c r="L2646" s="35" t="str">
        <x:v>NOT_RUN</x:v>
      </x:c>
      <x:c r="M2646" s="35" t="str">
        <x:v>coverage unavailable or execution/compile failed</x:v>
      </x:c>
      <x:c r="N2646" s="35" t="str">
        <x:v>Deepseek-flash-v4/Result2/Closure_114/result.json</x:v>
      </x:c>
      <x:c r="O2646" s="39" t="str">
        <x:f>IF(AND(G2646="RECORDED",ISNUMBER(H2646)),H2646,"")</x:f>
      </x:c>
      <x:c r="P2646" s="35" t="str">
        <x:v>NOT_AVAILABLE</x:v>
      </x:c>
      <x:c r="Q2646" s="35" t="str">
        <x:v>Deepseek-flash-v4/Result2/Closure_114/result.json</x:v>
      </x:c>
    </x:row>
    <x:row r="2647">
      <x:c r="A2647" s="35" t="str">
        <x:v>deepseek</x:v>
      </x:c>
      <x:c r="B2647" s="35" t="str">
        <x:v>Closure</x:v>
      </x:c>
      <x:c r="C2647" s="35" t="str">
        <x:v>Round2</x:v>
      </x:c>
      <x:c r="D2647" s="35" t="str">
        <x:v>Closure_115</x:v>
      </x:c>
      <x:c r="E2647" s="35" t="str">
        <x:v>Condition</x:v>
      </x:c>
      <x:c r="F2647" s="35"/>
      <x:c r="G2647" s="35" t="str">
        <x:v>A</x:v>
      </x:c>
      <x:c r="H2647" s="39" t="str">
        <x:f>IF(ISNUMBER('Data'!N939),'Data'!N939*100,"")</x:f>
      </x:c>
      <x:c r="I2647" s="35"/>
      <x:c r="J2647" s="35" t="str">
        <x:v>PASS</x:v>
      </x:c>
      <x:c r="K2647" s="35" t="str">
        <x:v>FAIL</x:v>
      </x:c>
      <x:c r="L2647" s="35" t="str">
        <x:v>NOT_RUN</x:v>
      </x:c>
      <x:c r="M2647" s="35" t="str">
        <x:v>coverage unavailable or execution/compile failed</x:v>
      </x:c>
      <x:c r="N2647" s="35" t="str">
        <x:v>Deepseek-flash-v4/Result2/Closure_115/result.json</x:v>
      </x:c>
      <x:c r="O2647" s="39" t="str">
        <x:f>IF(AND(G2647="RECORDED",ISNUMBER(H2647)),H2647,"")</x:f>
      </x:c>
      <x:c r="P2647" s="35" t="str">
        <x:v>NOT_AVAILABLE</x:v>
      </x:c>
      <x:c r="Q2647" s="35" t="str">
        <x:v>Deepseek-flash-v4/Result2/Closure_115/result.json</x:v>
      </x:c>
    </x:row>
    <x:row r="2648">
      <x:c r="A2648" s="35" t="str">
        <x:v>deepseek</x:v>
      </x:c>
      <x:c r="B2648" s="35" t="str">
        <x:v>Closure</x:v>
      </x:c>
      <x:c r="C2648" s="35" t="str">
        <x:v>Round2</x:v>
      </x:c>
      <x:c r="D2648" s="35" t="str">
        <x:v>Closure_116</x:v>
      </x:c>
      <x:c r="E2648" s="35" t="str">
        <x:v>Condition</x:v>
      </x:c>
      <x:c r="F2648" s="35"/>
      <x:c r="G2648" s="35" t="str">
        <x:v>A</x:v>
      </x:c>
      <x:c r="H2648" s="39" t="str">
        <x:f>IF(ISNUMBER('Data'!N940),'Data'!N940*100,"")</x:f>
      </x:c>
      <x:c r="I2648" s="35"/>
      <x:c r="J2648" s="35" t="str">
        <x:v>PASS</x:v>
      </x:c>
      <x:c r="K2648" s="35" t="str">
        <x:v>FAIL</x:v>
      </x:c>
      <x:c r="L2648" s="35" t="str">
        <x:v>NOT_RUN</x:v>
      </x:c>
      <x:c r="M2648" s="35" t="str">
        <x:v>coverage unavailable or execution/compile failed</x:v>
      </x:c>
      <x:c r="N2648" s="35" t="str">
        <x:v>Deepseek-flash-v4/Result2/Closure_116/result.json</x:v>
      </x:c>
      <x:c r="O2648" s="39" t="str">
        <x:f>IF(AND(G2648="RECORDED",ISNUMBER(H2648)),H2648,"")</x:f>
      </x:c>
      <x:c r="P2648" s="35" t="str">
        <x:v>NOT_AVAILABLE</x:v>
      </x:c>
      <x:c r="Q2648" s="35" t="str">
        <x:v>Deepseek-flash-v4/Result2/Closure_116/result.json</x:v>
      </x:c>
    </x:row>
    <x:row r="2649">
      <x:c r="A2649" s="35" t="str">
        <x:v>deepseek</x:v>
      </x:c>
      <x:c r="B2649" s="35" t="str">
        <x:v>Closure</x:v>
      </x:c>
      <x:c r="C2649" s="35" t="str">
        <x:v>Round2</x:v>
      </x:c>
      <x:c r="D2649" s="35" t="str">
        <x:v>Closure_117</x:v>
      </x:c>
      <x:c r="E2649" s="35" t="str">
        <x:v>Condition</x:v>
      </x:c>
      <x:c r="F2649" s="35"/>
      <x:c r="G2649" s="35" t="str">
        <x:v>A</x:v>
      </x:c>
      <x:c r="H2649" s="39" t="str">
        <x:f>IF(ISNUMBER('Data'!N941),'Data'!N941*100,"")</x:f>
      </x:c>
      <x:c r="I2649" s="35"/>
      <x:c r="J2649" s="35" t="str">
        <x:v>PASS</x:v>
      </x:c>
      <x:c r="K2649" s="35" t="str">
        <x:v>FAIL</x:v>
      </x:c>
      <x:c r="L2649" s="35" t="str">
        <x:v>NOT_RUN</x:v>
      </x:c>
      <x:c r="M2649" s="35" t="str">
        <x:v>coverage unavailable or execution/compile failed</x:v>
      </x:c>
      <x:c r="N2649" s="35" t="str">
        <x:v>Deepseek-flash-v4/Result2/Closure_117/result.json</x:v>
      </x:c>
      <x:c r="O2649" s="39" t="str">
        <x:f>IF(AND(G2649="RECORDED",ISNUMBER(H2649)),H2649,"")</x:f>
      </x:c>
      <x:c r="P2649" s="35" t="str">
        <x:v>NOT_AVAILABLE</x:v>
      </x:c>
      <x:c r="Q2649" s="35" t="str">
        <x:v>Deepseek-flash-v4/Result2/Closure_117/result.json</x:v>
      </x:c>
    </x:row>
    <x:row r="2650">
      <x:c r="A2650" s="35" t="str">
        <x:v>deepseek</x:v>
      </x:c>
      <x:c r="B2650" s="35" t="str">
        <x:v>Closure</x:v>
      </x:c>
      <x:c r="C2650" s="35" t="str">
        <x:v>Round2</x:v>
      </x:c>
      <x:c r="D2650" s="35" t="str">
        <x:v>Closure_118</x:v>
      </x:c>
      <x:c r="E2650" s="35" t="str">
        <x:v>Condition</x:v>
      </x:c>
      <x:c r="F2650" s="35"/>
      <x:c r="G2650" s="35" t="str">
        <x:v>A</x:v>
      </x:c>
      <x:c r="H2650" s="39" t="str">
        <x:f>IF(ISNUMBER('Data'!N942),'Data'!N942*100,"")</x:f>
      </x:c>
      <x:c r="I2650" s="35"/>
      <x:c r="J2650" s="35" t="str">
        <x:v>PASS</x:v>
      </x:c>
      <x:c r="K2650" s="35" t="str">
        <x:v>FAIL</x:v>
      </x:c>
      <x:c r="L2650" s="35" t="str">
        <x:v>NOT_RUN</x:v>
      </x:c>
      <x:c r="M2650" s="35" t="str">
        <x:v>coverage unavailable or execution/compile failed</x:v>
      </x:c>
      <x:c r="N2650" s="35" t="str">
        <x:v>Deepseek-flash-v4/Result2/Closure_118/result.json</x:v>
      </x:c>
      <x:c r="O2650" s="39" t="str">
        <x:f>IF(AND(G2650="RECORDED",ISNUMBER(H2650)),H2650,"")</x:f>
      </x:c>
      <x:c r="P2650" s="35" t="str">
        <x:v>NOT_AVAILABLE</x:v>
      </x:c>
      <x:c r="Q2650" s="35" t="str">
        <x:v>Deepseek-flash-v4/Result2/Closure_118/result.json</x:v>
      </x:c>
    </x:row>
    <x:row r="2651">
      <x:c r="A2651" s="35" t="str">
        <x:v>deepseek</x:v>
      </x:c>
      <x:c r="B2651" s="35" t="str">
        <x:v>Closure</x:v>
      </x:c>
      <x:c r="C2651" s="35" t="str">
        <x:v>Round2</x:v>
      </x:c>
      <x:c r="D2651" s="35" t="str">
        <x:v>Closure_119</x:v>
      </x:c>
      <x:c r="E2651" s="35" t="str">
        <x:v>Condition</x:v>
      </x:c>
      <x:c r="F2651" s="35"/>
      <x:c r="G2651" s="35" t="str">
        <x:v>A</x:v>
      </x:c>
      <x:c r="H2651" s="39" t="str">
        <x:f>IF(ISNUMBER('Data'!N943),'Data'!N943*100,"")</x:f>
      </x:c>
      <x:c r="I2651" s="35"/>
      <x:c r="J2651" s="35" t="str">
        <x:v>PASS</x:v>
      </x:c>
      <x:c r="K2651" s="35" t="str">
        <x:v>FAIL</x:v>
      </x:c>
      <x:c r="L2651" s="35" t="str">
        <x:v>NOT_RUN</x:v>
      </x:c>
      <x:c r="M2651" s="35" t="str">
        <x:v>coverage unavailable or execution/compile failed</x:v>
      </x:c>
      <x:c r="N2651" s="35" t="str">
        <x:v>Deepseek-flash-v4/Result2/Closure_119/result.json</x:v>
      </x:c>
      <x:c r="O2651" s="39" t="str">
        <x:f>IF(AND(G2651="RECORDED",ISNUMBER(H2651)),H2651,"")</x:f>
      </x:c>
      <x:c r="P2651" s="35" t="str">
        <x:v>NOT_AVAILABLE</x:v>
      </x:c>
      <x:c r="Q2651" s="35" t="str">
        <x:v>Deepseek-flash-v4/Result2/Closure_119/result.json</x:v>
      </x:c>
    </x:row>
    <x:row r="2652">
      <x:c r="A2652" s="35" t="str">
        <x:v>deepseek</x:v>
      </x:c>
      <x:c r="B2652" s="35" t="str">
        <x:v>Closure</x:v>
      </x:c>
      <x:c r="C2652" s="35" t="str">
        <x:v>Round2</x:v>
      </x:c>
      <x:c r="D2652" s="35" t="str">
        <x:v>Closure_12</x:v>
      </x:c>
      <x:c r="E2652" s="35" t="str">
        <x:v>Condition</x:v>
      </x:c>
      <x:c r="F2652" s="35"/>
      <x:c r="G2652" s="35" t="str">
        <x:v>A</x:v>
      </x:c>
      <x:c r="H2652" s="39" t="str">
        <x:f>IF(ISNUMBER('Data'!N944),'Data'!N944*100,"")</x:f>
      </x:c>
      <x:c r="I2652" s="35"/>
      <x:c r="J2652" s="35" t="str">
        <x:v>PASS</x:v>
      </x:c>
      <x:c r="K2652" s="35" t="str">
        <x:v>FAIL</x:v>
      </x:c>
      <x:c r="L2652" s="35" t="str">
        <x:v>NOT_RUN</x:v>
      </x:c>
      <x:c r="M2652" s="35" t="str">
        <x:v>coverage unavailable or execution/compile failed</x:v>
      </x:c>
      <x:c r="N2652" s="35" t="str">
        <x:v>Deepseek-flash-v4/Result2/Closure_12/result.json</x:v>
      </x:c>
      <x:c r="O2652" s="39" t="str">
        <x:f>IF(AND(G2652="RECORDED",ISNUMBER(H2652)),H2652,"")</x:f>
      </x:c>
      <x:c r="P2652" s="35" t="str">
        <x:v>NOT_AVAILABLE</x:v>
      </x:c>
      <x:c r="Q2652" s="35" t="str">
        <x:v>Deepseek-flash-v4/Result2/Closure_12/result.json</x:v>
      </x:c>
    </x:row>
    <x:row r="2653">
      <x:c r="A2653" s="35" t="str">
        <x:v>deepseek</x:v>
      </x:c>
      <x:c r="B2653" s="35" t="str">
        <x:v>Closure</x:v>
      </x:c>
      <x:c r="C2653" s="35" t="str">
        <x:v>Round2</x:v>
      </x:c>
      <x:c r="D2653" s="35" t="str">
        <x:v>Closure_120</x:v>
      </x:c>
      <x:c r="E2653" s="35" t="str">
        <x:v>Condition</x:v>
      </x:c>
      <x:c r="F2653" s="35"/>
      <x:c r="G2653" s="35" t="str">
        <x:v>A</x:v>
      </x:c>
      <x:c r="H2653" s="39" t="str">
        <x:f>IF(ISNUMBER('Data'!N945),'Data'!N945*100,"")</x:f>
      </x:c>
      <x:c r="I2653" s="35"/>
      <x:c r="J2653" s="35" t="str">
        <x:v>PASS</x:v>
      </x:c>
      <x:c r="K2653" s="35" t="str">
        <x:v>FAIL</x:v>
      </x:c>
      <x:c r="L2653" s="35" t="str">
        <x:v>NOT_RUN</x:v>
      </x:c>
      <x:c r="M2653" s="35" t="str">
        <x:v>coverage unavailable or execution/compile failed</x:v>
      </x:c>
      <x:c r="N2653" s="35" t="str">
        <x:v>Deepseek-flash-v4/Result2/Closure_120/result.json</x:v>
      </x:c>
      <x:c r="O2653" s="39" t="str">
        <x:f>IF(AND(G2653="RECORDED",ISNUMBER(H2653)),H2653,"")</x:f>
      </x:c>
      <x:c r="P2653" s="35" t="str">
        <x:v>NOT_AVAILABLE</x:v>
      </x:c>
      <x:c r="Q2653" s="35" t="str">
        <x:v>Deepseek-flash-v4/Result2/Closure_120/result.json</x:v>
      </x:c>
    </x:row>
    <x:row r="2654">
      <x:c r="A2654" s="35" t="str">
        <x:v>deepseek</x:v>
      </x:c>
      <x:c r="B2654" s="35" t="str">
        <x:v>Closure</x:v>
      </x:c>
      <x:c r="C2654" s="35" t="str">
        <x:v>Round2</x:v>
      </x:c>
      <x:c r="D2654" s="35" t="str">
        <x:v>Closure_121</x:v>
      </x:c>
      <x:c r="E2654" s="35" t="str">
        <x:v>Condition</x:v>
      </x:c>
      <x:c r="F2654" s="35" t="n">
        <x:v>236</x:v>
      </x:c>
      <x:c r="G2654" s="35" t="str">
        <x:v>RECORDED</x:v>
      </x:c>
      <x:c r="H2654" s="39" t="n">
        <x:f>IF(ISNUMBER('Data'!N946),'Data'!N946*100,"")</x:f>
        <x:v>46.19</x:v>
      </x:c>
      <x:c r="I2654" s="35" t="str">
        <x:v>PASS</x:v>
      </x:c>
      <x:c r="J2654" s="35" t="str">
        <x:v>PASS</x:v>
      </x:c>
      <x:c r="K2654" s="35" t="str">
        <x:v>PASS</x:v>
      </x:c>
      <x:c r="L2654" s="35" t="str">
        <x:v>FAIL</x:v>
      </x:c>
      <x:c r="M2654" s="35" t="str">
        <x:v>numeric coverage for applicable metric</x:v>
      </x:c>
      <x:c r="N2654" s="35" t="str">
        <x:v>Deepseek-flash-v4/Result2/Closure_121/result.json</x:v>
      </x:c>
      <x:c r="O2654" s="39" t="n">
        <x:f>IF(AND(G2654="RECORDED",ISNUMBER(H2654)),H2654,"")</x:f>
        <x:v>46.19</x:v>
      </x:c>
      <x:c r="P2654" s="35" t="str">
        <x:v>INCONCLUSIVE</x:v>
      </x:c>
      <x:c r="Q2654" s="35" t="str">
        <x:v>Deepseek-flash-v4/Result2/Closure_121/result.json</x:v>
      </x:c>
    </x:row>
    <x:row r="2655">
      <x:c r="A2655" s="35" t="str">
        <x:v>deepseek</x:v>
      </x:c>
      <x:c r="B2655" s="35" t="str">
        <x:v>Closure</x:v>
      </x:c>
      <x:c r="C2655" s="35" t="str">
        <x:v>Round2</x:v>
      </x:c>
      <x:c r="D2655" s="35" t="str">
        <x:v>Closure_122</x:v>
      </x:c>
      <x:c r="E2655" s="35" t="str">
        <x:v>Condition</x:v>
      </x:c>
      <x:c r="F2655" s="35"/>
      <x:c r="G2655" s="35" t="str">
        <x:v>A</x:v>
      </x:c>
      <x:c r="H2655" s="39" t="str">
        <x:f>IF(ISNUMBER('Data'!N947),'Data'!N947*100,"")</x:f>
      </x:c>
      <x:c r="I2655" s="35"/>
      <x:c r="J2655" s="35" t="str">
        <x:v>PASS</x:v>
      </x:c>
      <x:c r="K2655" s="35" t="str">
        <x:v>FAIL</x:v>
      </x:c>
      <x:c r="L2655" s="35" t="str">
        <x:v>NOT_RUN</x:v>
      </x:c>
      <x:c r="M2655" s="35" t="str">
        <x:v>coverage unavailable or execution/compile failed</x:v>
      </x:c>
      <x:c r="N2655" s="35" t="str">
        <x:v>Deepseek-flash-v4/Result2/Closure_122/result.json</x:v>
      </x:c>
      <x:c r="O2655" s="39" t="str">
        <x:f>IF(AND(G2655="RECORDED",ISNUMBER(H2655)),H2655,"")</x:f>
      </x:c>
      <x:c r="P2655" s="35" t="str">
        <x:v>NOT_AVAILABLE</x:v>
      </x:c>
      <x:c r="Q2655" s="35" t="str">
        <x:v>Deepseek-flash-v4/Result2/Closure_122/result.json</x:v>
      </x:c>
    </x:row>
    <x:row r="2656">
      <x:c r="A2656" s="35" t="str">
        <x:v>deepseek</x:v>
      </x:c>
      <x:c r="B2656" s="35" t="str">
        <x:v>Closure</x:v>
      </x:c>
      <x:c r="C2656" s="35" t="str">
        <x:v>Round2</x:v>
      </x:c>
      <x:c r="D2656" s="35" t="str">
        <x:v>Closure_123</x:v>
      </x:c>
      <x:c r="E2656" s="35" t="str">
        <x:v>Condition</x:v>
      </x:c>
      <x:c r="F2656" s="35"/>
      <x:c r="G2656" s="35" t="str">
        <x:v>A</x:v>
      </x:c>
      <x:c r="H2656" s="39" t="str">
        <x:f>IF(ISNUMBER('Data'!N948),'Data'!N948*100,"")</x:f>
      </x:c>
      <x:c r="I2656" s="35"/>
      <x:c r="J2656" s="35" t="str">
        <x:v>PASS</x:v>
      </x:c>
      <x:c r="K2656" s="35" t="str">
        <x:v>FAIL</x:v>
      </x:c>
      <x:c r="L2656" s="35" t="str">
        <x:v>NOT_RUN</x:v>
      </x:c>
      <x:c r="M2656" s="35" t="str">
        <x:v>coverage unavailable or execution/compile failed</x:v>
      </x:c>
      <x:c r="N2656" s="35" t="str">
        <x:v>Deepseek-flash-v4/Result2/Closure_123/result.json</x:v>
      </x:c>
      <x:c r="O2656" s="39" t="str">
        <x:f>IF(AND(G2656="RECORDED",ISNUMBER(H2656)),H2656,"")</x:f>
      </x:c>
      <x:c r="P2656" s="35" t="str">
        <x:v>NOT_AVAILABLE</x:v>
      </x:c>
      <x:c r="Q2656" s="35" t="str">
        <x:v>Deepseek-flash-v4/Result2/Closure_123/result.json</x:v>
      </x:c>
    </x:row>
    <x:row r="2657">
      <x:c r="A2657" s="35" t="str">
        <x:v>deepseek</x:v>
      </x:c>
      <x:c r="B2657" s="35" t="str">
        <x:v>Closure</x:v>
      </x:c>
      <x:c r="C2657" s="35" t="str">
        <x:v>Round2</x:v>
      </x:c>
      <x:c r="D2657" s="35" t="str">
        <x:v>Closure_124</x:v>
      </x:c>
      <x:c r="E2657" s="35" t="str">
        <x:v>Condition</x:v>
      </x:c>
      <x:c r="F2657" s="35"/>
      <x:c r="G2657" s="35" t="str">
        <x:v>A</x:v>
      </x:c>
      <x:c r="H2657" s="39" t="str">
        <x:f>IF(ISNUMBER('Data'!N949),'Data'!N949*100,"")</x:f>
      </x:c>
      <x:c r="I2657" s="35"/>
      <x:c r="J2657" s="35" t="str">
        <x:v>PASS</x:v>
      </x:c>
      <x:c r="K2657" s="35" t="str">
        <x:v>FAIL</x:v>
      </x:c>
      <x:c r="L2657" s="35" t="str">
        <x:v>NOT_RUN</x:v>
      </x:c>
      <x:c r="M2657" s="35" t="str">
        <x:v>coverage unavailable or execution/compile failed</x:v>
      </x:c>
      <x:c r="N2657" s="35" t="str">
        <x:v>Deepseek-flash-v4/Result2/Closure_124/result.json</x:v>
      </x:c>
      <x:c r="O2657" s="39" t="str">
        <x:f>IF(AND(G2657="RECORDED",ISNUMBER(H2657)),H2657,"")</x:f>
      </x:c>
      <x:c r="P2657" s="35" t="str">
        <x:v>NOT_AVAILABLE</x:v>
      </x:c>
      <x:c r="Q2657" s="35" t="str">
        <x:v>Deepseek-flash-v4/Result2/Closure_124/result.json</x:v>
      </x:c>
    </x:row>
    <x:row r="2658">
      <x:c r="A2658" s="35" t="str">
        <x:v>deepseek</x:v>
      </x:c>
      <x:c r="B2658" s="35" t="str">
        <x:v>Closure</x:v>
      </x:c>
      <x:c r="C2658" s="35" t="str">
        <x:v>Round2</x:v>
      </x:c>
      <x:c r="D2658" s="35" t="str">
        <x:v>Closure_125</x:v>
      </x:c>
      <x:c r="E2658" s="35" t="str">
        <x:v>Condition</x:v>
      </x:c>
      <x:c r="F2658" s="35"/>
      <x:c r="G2658" s="35" t="str">
        <x:v>A</x:v>
      </x:c>
      <x:c r="H2658" s="39" t="str">
        <x:f>IF(ISNUMBER('Data'!N950),'Data'!N950*100,"")</x:f>
      </x:c>
      <x:c r="I2658" s="35"/>
      <x:c r="J2658" s="35" t="str">
        <x:v>PASS</x:v>
      </x:c>
      <x:c r="K2658" s="35" t="str">
        <x:v>FAIL</x:v>
      </x:c>
      <x:c r="L2658" s="35" t="str">
        <x:v>NOT_RUN</x:v>
      </x:c>
      <x:c r="M2658" s="35" t="str">
        <x:v>coverage unavailable or execution/compile failed</x:v>
      </x:c>
      <x:c r="N2658" s="35" t="str">
        <x:v>Deepseek-flash-v4/Result2/Closure_125/result.json</x:v>
      </x:c>
      <x:c r="O2658" s="39" t="str">
        <x:f>IF(AND(G2658="RECORDED",ISNUMBER(H2658)),H2658,"")</x:f>
      </x:c>
      <x:c r="P2658" s="35" t="str">
        <x:v>NOT_AVAILABLE</x:v>
      </x:c>
      <x:c r="Q2658" s="35" t="str">
        <x:v>Deepseek-flash-v4/Result2/Closure_125/result.json</x:v>
      </x:c>
    </x:row>
    <x:row r="2659">
      <x:c r="A2659" s="35" t="str">
        <x:v>deepseek</x:v>
      </x:c>
      <x:c r="B2659" s="35" t="str">
        <x:v>Closure</x:v>
      </x:c>
      <x:c r="C2659" s="35" t="str">
        <x:v>Round2</x:v>
      </x:c>
      <x:c r="D2659" s="35" t="str">
        <x:v>Closure_126</x:v>
      </x:c>
      <x:c r="E2659" s="35" t="str">
        <x:v>Condition</x:v>
      </x:c>
      <x:c r="F2659" s="35"/>
      <x:c r="G2659" s="35" t="str">
        <x:v>A</x:v>
      </x:c>
      <x:c r="H2659" s="39" t="str">
        <x:f>IF(ISNUMBER('Data'!N951),'Data'!N951*100,"")</x:f>
      </x:c>
      <x:c r="I2659" s="35"/>
      <x:c r="J2659" s="35" t="str">
        <x:v>PASS</x:v>
      </x:c>
      <x:c r="K2659" s="35" t="str">
        <x:v>FAIL</x:v>
      </x:c>
      <x:c r="L2659" s="35" t="str">
        <x:v>NOT_RUN</x:v>
      </x:c>
      <x:c r="M2659" s="35" t="str">
        <x:v>coverage unavailable or execution/compile failed</x:v>
      </x:c>
      <x:c r="N2659" s="35" t="str">
        <x:v>Deepseek-flash-v4/Result2/Closure_126/result.json</x:v>
      </x:c>
      <x:c r="O2659" s="39" t="str">
        <x:f>IF(AND(G2659="RECORDED",ISNUMBER(H2659)),H2659,"")</x:f>
      </x:c>
      <x:c r="P2659" s="35" t="str">
        <x:v>NOT_AVAILABLE</x:v>
      </x:c>
      <x:c r="Q2659" s="35" t="str">
        <x:v>Deepseek-flash-v4/Result2/Closure_126/result.json</x:v>
      </x:c>
    </x:row>
    <x:row r="2660">
      <x:c r="A2660" s="35" t="str">
        <x:v>deepseek</x:v>
      </x:c>
      <x:c r="B2660" s="35" t="str">
        <x:v>Closure</x:v>
      </x:c>
      <x:c r="C2660" s="35" t="str">
        <x:v>Round2</x:v>
      </x:c>
      <x:c r="D2660" s="35" t="str">
        <x:v>Closure_127</x:v>
      </x:c>
      <x:c r="E2660" s="35" t="str">
        <x:v>Condition</x:v>
      </x:c>
      <x:c r="F2660" s="35"/>
      <x:c r="G2660" s="35" t="str">
        <x:v>A</x:v>
      </x:c>
      <x:c r="H2660" s="39" t="str">
        <x:f>IF(ISNUMBER('Data'!N952),'Data'!N952*100,"")</x:f>
      </x:c>
      <x:c r="I2660" s="35"/>
      <x:c r="J2660" s="35" t="str">
        <x:v>PASS</x:v>
      </x:c>
      <x:c r="K2660" s="35" t="str">
        <x:v>FAIL</x:v>
      </x:c>
      <x:c r="L2660" s="35" t="str">
        <x:v>NOT_RUN</x:v>
      </x:c>
      <x:c r="M2660" s="35" t="str">
        <x:v>coverage unavailable or execution/compile failed</x:v>
      </x:c>
      <x:c r="N2660" s="35" t="str">
        <x:v>Deepseek-flash-v4/Result2/Closure_127/result.json</x:v>
      </x:c>
      <x:c r="O2660" s="39" t="str">
        <x:f>IF(AND(G2660="RECORDED",ISNUMBER(H2660)),H2660,"")</x:f>
      </x:c>
      <x:c r="P2660" s="35" t="str">
        <x:v>NOT_AVAILABLE</x:v>
      </x:c>
      <x:c r="Q2660" s="35" t="str">
        <x:v>Deepseek-flash-v4/Result2/Closure_127/result.json</x:v>
      </x:c>
    </x:row>
    <x:row r="2661">
      <x:c r="A2661" s="35" t="str">
        <x:v>deepseek</x:v>
      </x:c>
      <x:c r="B2661" s="35" t="str">
        <x:v>Closure</x:v>
      </x:c>
      <x:c r="C2661" s="35" t="str">
        <x:v>Round2</x:v>
      </x:c>
      <x:c r="D2661" s="35" t="str">
        <x:v>Closure_128</x:v>
      </x:c>
      <x:c r="E2661" s="35" t="str">
        <x:v>Condition</x:v>
      </x:c>
      <x:c r="F2661" s="35"/>
      <x:c r="G2661" s="35" t="str">
        <x:v>A</x:v>
      </x:c>
      <x:c r="H2661" s="39" t="str">
        <x:f>IF(ISNUMBER('Data'!N953),'Data'!N953*100,"")</x:f>
      </x:c>
      <x:c r="I2661" s="35"/>
      <x:c r="J2661" s="35" t="str">
        <x:v>PASS</x:v>
      </x:c>
      <x:c r="K2661" s="35" t="str">
        <x:v>FAIL</x:v>
      </x:c>
      <x:c r="L2661" s="35" t="str">
        <x:v>NOT_RUN</x:v>
      </x:c>
      <x:c r="M2661" s="35" t="str">
        <x:v>coverage unavailable or execution/compile failed</x:v>
      </x:c>
      <x:c r="N2661" s="35" t="str">
        <x:v>Deepseek-flash-v4/Result2/Closure_128/result.json</x:v>
      </x:c>
      <x:c r="O2661" s="39" t="str">
        <x:f>IF(AND(G2661="RECORDED",ISNUMBER(H2661)),H2661,"")</x:f>
      </x:c>
      <x:c r="P2661" s="35" t="str">
        <x:v>NOT_AVAILABLE</x:v>
      </x:c>
      <x:c r="Q2661" s="35" t="str">
        <x:v>Deepseek-flash-v4/Result2/Closure_128/result.json</x:v>
      </x:c>
    </x:row>
    <x:row r="2662">
      <x:c r="A2662" s="35" t="str">
        <x:v>deepseek</x:v>
      </x:c>
      <x:c r="B2662" s="35" t="str">
        <x:v>Closure</x:v>
      </x:c>
      <x:c r="C2662" s="35" t="str">
        <x:v>Round2</x:v>
      </x:c>
      <x:c r="D2662" s="35" t="str">
        <x:v>Closure_129</x:v>
      </x:c>
      <x:c r="E2662" s="35" t="str">
        <x:v>Condition</x:v>
      </x:c>
      <x:c r="F2662" s="35"/>
      <x:c r="G2662" s="35" t="str">
        <x:v>A</x:v>
      </x:c>
      <x:c r="H2662" s="39" t="str">
        <x:f>IF(ISNUMBER('Data'!N954),'Data'!N954*100,"")</x:f>
      </x:c>
      <x:c r="I2662" s="35"/>
      <x:c r="J2662" s="35" t="str">
        <x:v>PASS</x:v>
      </x:c>
      <x:c r="K2662" s="35" t="str">
        <x:v>FAIL</x:v>
      </x:c>
      <x:c r="L2662" s="35" t="str">
        <x:v>NOT_RUN</x:v>
      </x:c>
      <x:c r="M2662" s="35" t="str">
        <x:v>coverage unavailable or execution/compile failed</x:v>
      </x:c>
      <x:c r="N2662" s="35" t="str">
        <x:v>Deepseek-flash-v4/Result2/Closure_129/result.json</x:v>
      </x:c>
      <x:c r="O2662" s="39" t="str">
        <x:f>IF(AND(G2662="RECORDED",ISNUMBER(H2662)),H2662,"")</x:f>
      </x:c>
      <x:c r="P2662" s="35" t="str">
        <x:v>NOT_AVAILABLE</x:v>
      </x:c>
      <x:c r="Q2662" s="35" t="str">
        <x:v>Deepseek-flash-v4/Result2/Closure_129/result.json</x:v>
      </x:c>
    </x:row>
    <x:row r="2663">
      <x:c r="A2663" s="35" t="str">
        <x:v>deepseek</x:v>
      </x:c>
      <x:c r="B2663" s="35" t="str">
        <x:v>Closure</x:v>
      </x:c>
      <x:c r="C2663" s="35" t="str">
        <x:v>Round2</x:v>
      </x:c>
      <x:c r="D2663" s="35" t="str">
        <x:v>Closure_13</x:v>
      </x:c>
      <x:c r="E2663" s="35" t="str">
        <x:v>Condition</x:v>
      </x:c>
      <x:c r="F2663" s="35"/>
      <x:c r="G2663" s="35" t="str">
        <x:v>A</x:v>
      </x:c>
      <x:c r="H2663" s="39" t="str">
        <x:f>IF(ISNUMBER('Data'!N955),'Data'!N955*100,"")</x:f>
      </x:c>
      <x:c r="I2663" s="35"/>
      <x:c r="J2663" s="35" t="str">
        <x:v>PASS</x:v>
      </x:c>
      <x:c r="K2663" s="35" t="str">
        <x:v>FAIL</x:v>
      </x:c>
      <x:c r="L2663" s="35" t="str">
        <x:v>NOT_RUN</x:v>
      </x:c>
      <x:c r="M2663" s="35" t="str">
        <x:v>coverage unavailable or execution/compile failed</x:v>
      </x:c>
      <x:c r="N2663" s="35" t="str">
        <x:v>Deepseek-flash-v4/Result2/Closure_13/result.json</x:v>
      </x:c>
      <x:c r="O2663" s="39" t="str">
        <x:f>IF(AND(G2663="RECORDED",ISNUMBER(H2663)),H2663,"")</x:f>
      </x:c>
      <x:c r="P2663" s="35" t="str">
        <x:v>NOT_AVAILABLE</x:v>
      </x:c>
      <x:c r="Q2663" s="35" t="str">
        <x:v>Deepseek-flash-v4/Result2/Closure_13/result.json</x:v>
      </x:c>
    </x:row>
    <x:row r="2664">
      <x:c r="A2664" s="35" t="str">
        <x:v>deepseek</x:v>
      </x:c>
      <x:c r="B2664" s="35" t="str">
        <x:v>Closure</x:v>
      </x:c>
      <x:c r="C2664" s="35" t="str">
        <x:v>Round2</x:v>
      </x:c>
      <x:c r="D2664" s="35" t="str">
        <x:v>Closure_130</x:v>
      </x:c>
      <x:c r="E2664" s="35" t="str">
        <x:v>Condition</x:v>
      </x:c>
      <x:c r="F2664" s="35"/>
      <x:c r="G2664" s="35" t="str">
        <x:v>A</x:v>
      </x:c>
      <x:c r="H2664" s="39" t="str">
        <x:f>IF(ISNUMBER('Data'!N956),'Data'!N956*100,"")</x:f>
      </x:c>
      <x:c r="I2664" s="35"/>
      <x:c r="J2664" s="35" t="str">
        <x:v>PASS</x:v>
      </x:c>
      <x:c r="K2664" s="35" t="str">
        <x:v>FAIL</x:v>
      </x:c>
      <x:c r="L2664" s="35" t="str">
        <x:v>NOT_RUN</x:v>
      </x:c>
      <x:c r="M2664" s="35" t="str">
        <x:v>coverage unavailable or execution/compile failed</x:v>
      </x:c>
      <x:c r="N2664" s="35" t="str">
        <x:v>Deepseek-flash-v4/Result2/Closure_130/result.json</x:v>
      </x:c>
      <x:c r="O2664" s="39" t="str">
        <x:f>IF(AND(G2664="RECORDED",ISNUMBER(H2664)),H2664,"")</x:f>
      </x:c>
      <x:c r="P2664" s="35" t="str">
        <x:v>NOT_AVAILABLE</x:v>
      </x:c>
      <x:c r="Q2664" s="35" t="str">
        <x:v>Deepseek-flash-v4/Result2/Closure_130/result.json</x:v>
      </x:c>
    </x:row>
    <x:row r="2665">
      <x:c r="A2665" s="35" t="str">
        <x:v>deepseek</x:v>
      </x:c>
      <x:c r="B2665" s="35" t="str">
        <x:v>Closure</x:v>
      </x:c>
      <x:c r="C2665" s="35" t="str">
        <x:v>Round2</x:v>
      </x:c>
      <x:c r="D2665" s="35" t="str">
        <x:v>Closure_131</x:v>
      </x:c>
      <x:c r="E2665" s="35" t="str">
        <x:v>Condition</x:v>
      </x:c>
      <x:c r="F2665" s="35" t="n">
        <x:v>165</x:v>
      </x:c>
      <x:c r="G2665" s="35" t="str">
        <x:v>RECORDED</x:v>
      </x:c>
      <x:c r="H2665" s="39" t="n">
        <x:f>IF(ISNUMBER('Data'!N957),'Data'!N957*100,"")</x:f>
        <x:v>83.64</x:v>
      </x:c>
      <x:c r="I2665" s="35" t="str">
        <x:v>PASS</x:v>
      </x:c>
      <x:c r="J2665" s="35" t="str">
        <x:v>PASS</x:v>
      </x:c>
      <x:c r="K2665" s="35" t="str">
        <x:v>PASS</x:v>
      </x:c>
      <x:c r="L2665" s="35" t="str">
        <x:v>FAIL</x:v>
      </x:c>
      <x:c r="M2665" s="35" t="str">
        <x:v>numeric coverage for applicable metric</x:v>
      </x:c>
      <x:c r="N2665" s="35" t="str">
        <x:v>Deepseek-flash-v4/Result2/Closure_131/result.json</x:v>
      </x:c>
      <x:c r="O2665" s="39" t="n">
        <x:f>IF(AND(G2665="RECORDED",ISNUMBER(H2665)),H2665,"")</x:f>
        <x:v>83.64</x:v>
      </x:c>
      <x:c r="P2665" s="35" t="str">
        <x:v>REVEALING</x:v>
      </x:c>
      <x:c r="Q2665" s="35" t="str">
        <x:v>Deepseek-flash-v4/Result2/Closure_131/result.json</x:v>
      </x:c>
    </x:row>
    <x:row r="2666">
      <x:c r="A2666" s="35" t="str">
        <x:v>deepseek</x:v>
      </x:c>
      <x:c r="B2666" s="35" t="str">
        <x:v>Closure</x:v>
      </x:c>
      <x:c r="C2666" s="35" t="str">
        <x:v>Round2</x:v>
      </x:c>
      <x:c r="D2666" s="35" t="str">
        <x:v>Closure_132</x:v>
      </x:c>
      <x:c r="E2666" s="35" t="str">
        <x:v>Condition</x:v>
      </x:c>
      <x:c r="F2666" s="35"/>
      <x:c r="G2666" s="35" t="str">
        <x:v>A</x:v>
      </x:c>
      <x:c r="H2666" s="39" t="str">
        <x:f>IF(ISNUMBER('Data'!N958),'Data'!N958*100,"")</x:f>
      </x:c>
      <x:c r="I2666" s="35"/>
      <x:c r="J2666" s="35" t="str">
        <x:v>PASS</x:v>
      </x:c>
      <x:c r="K2666" s="35" t="str">
        <x:v>FAIL</x:v>
      </x:c>
      <x:c r="L2666" s="35" t="str">
        <x:v>NOT_RUN</x:v>
      </x:c>
      <x:c r="M2666" s="35" t="str">
        <x:v>coverage unavailable or execution/compile failed</x:v>
      </x:c>
      <x:c r="N2666" s="35" t="str">
        <x:v>Deepseek-flash-v4/Result2/Closure_132/result.json</x:v>
      </x:c>
      <x:c r="O2666" s="39" t="str">
        <x:f>IF(AND(G2666="RECORDED",ISNUMBER(H2666)),H2666,"")</x:f>
      </x:c>
      <x:c r="P2666" s="35" t="str">
        <x:v>NOT_AVAILABLE</x:v>
      </x:c>
      <x:c r="Q2666" s="35" t="str">
        <x:v>Deepseek-flash-v4/Result2/Closure_132/result.json</x:v>
      </x:c>
    </x:row>
    <x:row r="2667">
      <x:c r="A2667" s="35" t="str">
        <x:v>deepseek</x:v>
      </x:c>
      <x:c r="B2667" s="35" t="str">
        <x:v>Closure</x:v>
      </x:c>
      <x:c r="C2667" s="35" t="str">
        <x:v>Round2</x:v>
      </x:c>
      <x:c r="D2667" s="35" t="str">
        <x:v>Closure_133</x:v>
      </x:c>
      <x:c r="E2667" s="35" t="str">
        <x:v>Condition</x:v>
      </x:c>
      <x:c r="F2667" s="35"/>
      <x:c r="G2667" s="35" t="str">
        <x:v>A</x:v>
      </x:c>
      <x:c r="H2667" s="39" t="str">
        <x:f>IF(ISNUMBER('Data'!N959),'Data'!N959*100,"")</x:f>
      </x:c>
      <x:c r="I2667" s="35"/>
      <x:c r="J2667" s="35" t="str">
        <x:v>PASS</x:v>
      </x:c>
      <x:c r="K2667" s="35" t="str">
        <x:v>FAIL</x:v>
      </x:c>
      <x:c r="L2667" s="35" t="str">
        <x:v>NOT_RUN</x:v>
      </x:c>
      <x:c r="M2667" s="35" t="str">
        <x:v>coverage unavailable or execution/compile failed</x:v>
      </x:c>
      <x:c r="N2667" s="35" t="str">
        <x:v>Deepseek-flash-v4/Result2/Closure_133/result.json</x:v>
      </x:c>
      <x:c r="O2667" s="39" t="str">
        <x:f>IF(AND(G2667="RECORDED",ISNUMBER(H2667)),H2667,"")</x:f>
      </x:c>
      <x:c r="P2667" s="35" t="str">
        <x:v>NOT_AVAILABLE</x:v>
      </x:c>
      <x:c r="Q2667" s="35" t="str">
        <x:v>Deepseek-flash-v4/Result2/Closure_133/result.json</x:v>
      </x:c>
    </x:row>
    <x:row r="2668">
      <x:c r="A2668" s="35" t="str">
        <x:v>deepseek</x:v>
      </x:c>
      <x:c r="B2668" s="35" t="str">
        <x:v>Closure</x:v>
      </x:c>
      <x:c r="C2668" s="35" t="str">
        <x:v>Round2</x:v>
      </x:c>
      <x:c r="D2668" s="35" t="str">
        <x:v>Closure_134</x:v>
      </x:c>
      <x:c r="E2668" s="35" t="str">
        <x:v>Condition</x:v>
      </x:c>
      <x:c r="F2668" s="35"/>
      <x:c r="G2668" s="35" t="str">
        <x:v>A</x:v>
      </x:c>
      <x:c r="H2668" s="39" t="str">
        <x:f>IF(ISNUMBER('Data'!N960),'Data'!N960*100,"")</x:f>
      </x:c>
      <x:c r="I2668" s="35"/>
      <x:c r="J2668" s="35" t="str">
        <x:v>PASS</x:v>
      </x:c>
      <x:c r="K2668" s="35" t="str">
        <x:v>FAIL</x:v>
      </x:c>
      <x:c r="L2668" s="35" t="str">
        <x:v>NOT_RUN</x:v>
      </x:c>
      <x:c r="M2668" s="35" t="str">
        <x:v>coverage unavailable or execution/compile failed</x:v>
      </x:c>
      <x:c r="N2668" s="35" t="str">
        <x:v>Deepseek-flash-v4/Result2/Closure_134/result.json</x:v>
      </x:c>
      <x:c r="O2668" s="39" t="str">
        <x:f>IF(AND(G2668="RECORDED",ISNUMBER(H2668)),H2668,"")</x:f>
      </x:c>
      <x:c r="P2668" s="35" t="str">
        <x:v>NOT_AVAILABLE</x:v>
      </x:c>
      <x:c r="Q2668" s="35" t="str">
        <x:v>Deepseek-flash-v4/Result2/Closure_134/result.json</x:v>
      </x:c>
    </x:row>
    <x:row r="2669">
      <x:c r="A2669" s="35" t="str">
        <x:v>deepseek</x:v>
      </x:c>
      <x:c r="B2669" s="35" t="str">
        <x:v>Closure</x:v>
      </x:c>
      <x:c r="C2669" s="35" t="str">
        <x:v>Round2</x:v>
      </x:c>
      <x:c r="D2669" s="35" t="str">
        <x:v>Closure_135</x:v>
      </x:c>
      <x:c r="E2669" s="35" t="str">
        <x:v>Condition</x:v>
      </x:c>
      <x:c r="F2669" s="35"/>
      <x:c r="G2669" s="35" t="str">
        <x:v>A</x:v>
      </x:c>
      <x:c r="H2669" s="39" t="str">
        <x:f>IF(ISNUMBER('Data'!N961),'Data'!N961*100,"")</x:f>
      </x:c>
      <x:c r="I2669" s="35"/>
      <x:c r="J2669" s="35" t="str">
        <x:v>PASS</x:v>
      </x:c>
      <x:c r="K2669" s="35" t="str">
        <x:v>FAIL</x:v>
      </x:c>
      <x:c r="L2669" s="35" t="str">
        <x:v>NOT_RUN</x:v>
      </x:c>
      <x:c r="M2669" s="35" t="str">
        <x:v>coverage unavailable or execution/compile failed</x:v>
      </x:c>
      <x:c r="N2669" s="35" t="str">
        <x:v>Deepseek-flash-v4/Result2/Closure_135/result.json</x:v>
      </x:c>
      <x:c r="O2669" s="39" t="str">
        <x:f>IF(AND(G2669="RECORDED",ISNUMBER(H2669)),H2669,"")</x:f>
      </x:c>
      <x:c r="P2669" s="35" t="str">
        <x:v>NOT_AVAILABLE</x:v>
      </x:c>
      <x:c r="Q2669" s="35" t="str">
        <x:v>Deepseek-flash-v4/Result2/Closure_135/result.json</x:v>
      </x:c>
    </x:row>
    <x:row r="2670">
      <x:c r="A2670" s="35" t="str">
        <x:v>deepseek</x:v>
      </x:c>
      <x:c r="B2670" s="35" t="str">
        <x:v>Closure</x:v>
      </x:c>
      <x:c r="C2670" s="35" t="str">
        <x:v>Round2</x:v>
      </x:c>
      <x:c r="D2670" s="35" t="str">
        <x:v>Closure_136</x:v>
      </x:c>
      <x:c r="E2670" s="35" t="str">
        <x:v>Condition</x:v>
      </x:c>
      <x:c r="F2670" s="35"/>
      <x:c r="G2670" s="35" t="str">
        <x:v>A</x:v>
      </x:c>
      <x:c r="H2670" s="39" t="str">
        <x:f>IF(ISNUMBER('Data'!N962),'Data'!N962*100,"")</x:f>
      </x:c>
      <x:c r="I2670" s="35"/>
      <x:c r="J2670" s="35" t="str">
        <x:v>PASS</x:v>
      </x:c>
      <x:c r="K2670" s="35" t="str">
        <x:v>FAIL</x:v>
      </x:c>
      <x:c r="L2670" s="35" t="str">
        <x:v>NOT_RUN</x:v>
      </x:c>
      <x:c r="M2670" s="35" t="str">
        <x:v>coverage unavailable or execution/compile failed</x:v>
      </x:c>
      <x:c r="N2670" s="35" t="str">
        <x:v>Deepseek-flash-v4/Result2/Closure_136/result.json</x:v>
      </x:c>
      <x:c r="O2670" s="39" t="str">
        <x:f>IF(AND(G2670="RECORDED",ISNUMBER(H2670)),H2670,"")</x:f>
      </x:c>
      <x:c r="P2670" s="35" t="str">
        <x:v>NOT_AVAILABLE</x:v>
      </x:c>
      <x:c r="Q2670" s="35" t="str">
        <x:v>Deepseek-flash-v4/Result2/Closure_136/result.json</x:v>
      </x:c>
    </x:row>
    <x:row r="2671">
      <x:c r="A2671" s="35" t="str">
        <x:v>deepseek</x:v>
      </x:c>
      <x:c r="B2671" s="35" t="str">
        <x:v>Closure</x:v>
      </x:c>
      <x:c r="C2671" s="35" t="str">
        <x:v>Round2</x:v>
      </x:c>
      <x:c r="D2671" s="35" t="str">
        <x:v>Closure_137</x:v>
      </x:c>
      <x:c r="E2671" s="35" t="str">
        <x:v>Condition</x:v>
      </x:c>
      <x:c r="F2671" s="35"/>
      <x:c r="G2671" s="35" t="str">
        <x:v>A</x:v>
      </x:c>
      <x:c r="H2671" s="39" t="str">
        <x:f>IF(ISNUMBER('Data'!N963),'Data'!N963*100,"")</x:f>
      </x:c>
      <x:c r="I2671" s="35"/>
      <x:c r="J2671" s="35" t="str">
        <x:v>PASS</x:v>
      </x:c>
      <x:c r="K2671" s="35" t="str">
        <x:v>FAIL</x:v>
      </x:c>
      <x:c r="L2671" s="35" t="str">
        <x:v>NOT_RUN</x:v>
      </x:c>
      <x:c r="M2671" s="35" t="str">
        <x:v>coverage unavailable or execution/compile failed</x:v>
      </x:c>
      <x:c r="N2671" s="35" t="str">
        <x:v>Deepseek-flash-v4/Result2/Closure_137/result.json</x:v>
      </x:c>
      <x:c r="O2671" s="39" t="str">
        <x:f>IF(AND(G2671="RECORDED",ISNUMBER(H2671)),H2671,"")</x:f>
      </x:c>
      <x:c r="P2671" s="35" t="str">
        <x:v>NOT_AVAILABLE</x:v>
      </x:c>
      <x:c r="Q2671" s="35" t="str">
        <x:v>Deepseek-flash-v4/Result2/Closure_137/result.json</x:v>
      </x:c>
    </x:row>
    <x:row r="2672">
      <x:c r="A2672" s="35" t="str">
        <x:v>deepseek</x:v>
      </x:c>
      <x:c r="B2672" s="35" t="str">
        <x:v>Closure</x:v>
      </x:c>
      <x:c r="C2672" s="35" t="str">
        <x:v>Round2</x:v>
      </x:c>
      <x:c r="D2672" s="35" t="str">
        <x:v>Closure_138</x:v>
      </x:c>
      <x:c r="E2672" s="35" t="str">
        <x:v>Condition</x:v>
      </x:c>
      <x:c r="F2672" s="35"/>
      <x:c r="G2672" s="35" t="str">
        <x:v>A</x:v>
      </x:c>
      <x:c r="H2672" s="39" t="str">
        <x:f>IF(ISNUMBER('Data'!N964),'Data'!N964*100,"")</x:f>
      </x:c>
      <x:c r="I2672" s="35"/>
      <x:c r="J2672" s="35" t="str">
        <x:v>PASS</x:v>
      </x:c>
      <x:c r="K2672" s="35" t="str">
        <x:v>FAIL</x:v>
      </x:c>
      <x:c r="L2672" s="35" t="str">
        <x:v>NOT_RUN</x:v>
      </x:c>
      <x:c r="M2672" s="35" t="str">
        <x:v>coverage unavailable or execution/compile failed</x:v>
      </x:c>
      <x:c r="N2672" s="35" t="str">
        <x:v>Deepseek-flash-v4/Result2/Closure_138/result.json</x:v>
      </x:c>
      <x:c r="O2672" s="39" t="str">
        <x:f>IF(AND(G2672="RECORDED",ISNUMBER(H2672)),H2672,"")</x:f>
      </x:c>
      <x:c r="P2672" s="35" t="str">
        <x:v>NOT_AVAILABLE</x:v>
      </x:c>
      <x:c r="Q2672" s="35" t="str">
        <x:v>Deepseek-flash-v4/Result2/Closure_138/result.json</x:v>
      </x:c>
    </x:row>
    <x:row r="2673">
      <x:c r="A2673" s="35" t="str">
        <x:v>deepseek</x:v>
      </x:c>
      <x:c r="B2673" s="35" t="str">
        <x:v>Closure</x:v>
      </x:c>
      <x:c r="C2673" s="35" t="str">
        <x:v>Round2</x:v>
      </x:c>
      <x:c r="D2673" s="35" t="str">
        <x:v>Closure_139</x:v>
      </x:c>
      <x:c r="E2673" s="35" t="str">
        <x:v>Condition</x:v>
      </x:c>
      <x:c r="F2673" s="35"/>
      <x:c r="G2673" s="35" t="str">
        <x:v>A</x:v>
      </x:c>
      <x:c r="H2673" s="39" t="str">
        <x:f>IF(ISNUMBER('Data'!N965),'Data'!N965*100,"")</x:f>
      </x:c>
      <x:c r="I2673" s="35"/>
      <x:c r="J2673" s="35" t="str">
        <x:v>PASS</x:v>
      </x:c>
      <x:c r="K2673" s="35" t="str">
        <x:v>FAIL</x:v>
      </x:c>
      <x:c r="L2673" s="35" t="str">
        <x:v>NOT_RUN</x:v>
      </x:c>
      <x:c r="M2673" s="35" t="str">
        <x:v>coverage unavailable or execution/compile failed</x:v>
      </x:c>
      <x:c r="N2673" s="35" t="str">
        <x:v>Deepseek-flash-v4/Result2/Closure_139/result.json</x:v>
      </x:c>
      <x:c r="O2673" s="39" t="str">
        <x:f>IF(AND(G2673="RECORDED",ISNUMBER(H2673)),H2673,"")</x:f>
      </x:c>
      <x:c r="P2673" s="35" t="str">
        <x:v>NOT_AVAILABLE</x:v>
      </x:c>
      <x:c r="Q2673" s="35" t="str">
        <x:v>Deepseek-flash-v4/Result2/Closure_139/result.json</x:v>
      </x:c>
    </x:row>
    <x:row r="2674">
      <x:c r="A2674" s="35" t="str">
        <x:v>deepseek</x:v>
      </x:c>
      <x:c r="B2674" s="35" t="str">
        <x:v>Closure</x:v>
      </x:c>
      <x:c r="C2674" s="35" t="str">
        <x:v>Round2</x:v>
      </x:c>
      <x:c r="D2674" s="35" t="str">
        <x:v>Closure_14</x:v>
      </x:c>
      <x:c r="E2674" s="35" t="str">
        <x:v>Condition</x:v>
      </x:c>
      <x:c r="F2674" s="35"/>
      <x:c r="G2674" s="35" t="str">
        <x:v>A</x:v>
      </x:c>
      <x:c r="H2674" s="39" t="str">
        <x:f>IF(ISNUMBER('Data'!N966),'Data'!N966*100,"")</x:f>
      </x:c>
      <x:c r="I2674" s="35"/>
      <x:c r="J2674" s="35" t="str">
        <x:v>PASS</x:v>
      </x:c>
      <x:c r="K2674" s="35" t="str">
        <x:v>FAIL</x:v>
      </x:c>
      <x:c r="L2674" s="35" t="str">
        <x:v>NOT_RUN</x:v>
      </x:c>
      <x:c r="M2674" s="35" t="str">
        <x:v>coverage unavailable or execution/compile failed</x:v>
      </x:c>
      <x:c r="N2674" s="35" t="str">
        <x:v>Deepseek-flash-v4/Result2/Closure_14/result.json</x:v>
      </x:c>
      <x:c r="O2674" s="39" t="str">
        <x:f>IF(AND(G2674="RECORDED",ISNUMBER(H2674)),H2674,"")</x:f>
      </x:c>
      <x:c r="P2674" s="35" t="str">
        <x:v>NOT_AVAILABLE</x:v>
      </x:c>
      <x:c r="Q2674" s="35" t="str">
        <x:v>Deepseek-flash-v4/Result2/Closure_14/result.json</x:v>
      </x:c>
    </x:row>
    <x:row r="2675">
      <x:c r="A2675" s="35" t="str">
        <x:v>deepseek</x:v>
      </x:c>
      <x:c r="B2675" s="35" t="str">
        <x:v>Closure</x:v>
      </x:c>
      <x:c r="C2675" s="35" t="str">
        <x:v>Round2</x:v>
      </x:c>
      <x:c r="D2675" s="35" t="str">
        <x:v>Closure_140</x:v>
      </x:c>
      <x:c r="E2675" s="35" t="str">
        <x:v>Condition</x:v>
      </x:c>
      <x:c r="F2675" s="35"/>
      <x:c r="G2675" s="35" t="str">
        <x:v>A</x:v>
      </x:c>
      <x:c r="H2675" s="39" t="str">
        <x:f>IF(ISNUMBER('Data'!N967),'Data'!N967*100,"")</x:f>
      </x:c>
      <x:c r="I2675" s="35"/>
      <x:c r="J2675" s="35" t="str">
        <x:v>PASS</x:v>
      </x:c>
      <x:c r="K2675" s="35" t="str">
        <x:v>FAIL</x:v>
      </x:c>
      <x:c r="L2675" s="35" t="str">
        <x:v>NOT_RUN</x:v>
      </x:c>
      <x:c r="M2675" s="35" t="str">
        <x:v>coverage unavailable or execution/compile failed</x:v>
      </x:c>
      <x:c r="N2675" s="35" t="str">
        <x:v>Deepseek-flash-v4/Result2/Closure_140/result.json</x:v>
      </x:c>
      <x:c r="O2675" s="39" t="str">
        <x:f>IF(AND(G2675="RECORDED",ISNUMBER(H2675)),H2675,"")</x:f>
      </x:c>
      <x:c r="P2675" s="35" t="str">
        <x:v>NOT_AVAILABLE</x:v>
      </x:c>
      <x:c r="Q2675" s="35" t="str">
        <x:v>Deepseek-flash-v4/Result2/Closure_140/result.json</x:v>
      </x:c>
    </x:row>
    <x:row r="2676">
      <x:c r="A2676" s="35" t="str">
        <x:v>deepseek</x:v>
      </x:c>
      <x:c r="B2676" s="35" t="str">
        <x:v>Closure</x:v>
      </x:c>
      <x:c r="C2676" s="35" t="str">
        <x:v>Round2</x:v>
      </x:c>
      <x:c r="D2676" s="35" t="str">
        <x:v>Closure_141</x:v>
      </x:c>
      <x:c r="E2676" s="35" t="str">
        <x:v>Condition</x:v>
      </x:c>
      <x:c r="F2676" s="35"/>
      <x:c r="G2676" s="35" t="str">
        <x:v>A</x:v>
      </x:c>
      <x:c r="H2676" s="39" t="str">
        <x:f>IF(ISNUMBER('Data'!N968),'Data'!N968*100,"")</x:f>
      </x:c>
      <x:c r="I2676" s="35"/>
      <x:c r="J2676" s="35" t="str">
        <x:v>PASS</x:v>
      </x:c>
      <x:c r="K2676" s="35" t="str">
        <x:v>FAIL</x:v>
      </x:c>
      <x:c r="L2676" s="35" t="str">
        <x:v>NOT_RUN</x:v>
      </x:c>
      <x:c r="M2676" s="35" t="str">
        <x:v>coverage unavailable or execution/compile failed</x:v>
      </x:c>
      <x:c r="N2676" s="35" t="str">
        <x:v>Deepseek-flash-v4/Result2/Closure_141/result.json</x:v>
      </x:c>
      <x:c r="O2676" s="39" t="str">
        <x:f>IF(AND(G2676="RECORDED",ISNUMBER(H2676)),H2676,"")</x:f>
      </x:c>
      <x:c r="P2676" s="35" t="str">
        <x:v>NOT_AVAILABLE</x:v>
      </x:c>
      <x:c r="Q2676" s="35" t="str">
        <x:v>Deepseek-flash-v4/Result2/Closure_141/result.json</x:v>
      </x:c>
    </x:row>
    <x:row r="2677">
      <x:c r="A2677" s="35" t="str">
        <x:v>deepseek</x:v>
      </x:c>
      <x:c r="B2677" s="35" t="str">
        <x:v>Closure</x:v>
      </x:c>
      <x:c r="C2677" s="35" t="str">
        <x:v>Round2</x:v>
      </x:c>
      <x:c r="D2677" s="35" t="str">
        <x:v>Closure_142</x:v>
      </x:c>
      <x:c r="E2677" s="35" t="str">
        <x:v>Condition</x:v>
      </x:c>
      <x:c r="F2677" s="35"/>
      <x:c r="G2677" s="35" t="str">
        <x:v>A</x:v>
      </x:c>
      <x:c r="H2677" s="39" t="str">
        <x:f>IF(ISNUMBER('Data'!N969),'Data'!N969*100,"")</x:f>
      </x:c>
      <x:c r="I2677" s="35"/>
      <x:c r="J2677" s="35" t="str">
        <x:v>PASS</x:v>
      </x:c>
      <x:c r="K2677" s="35" t="str">
        <x:v>FAIL</x:v>
      </x:c>
      <x:c r="L2677" s="35" t="str">
        <x:v>NOT_RUN</x:v>
      </x:c>
      <x:c r="M2677" s="35" t="str">
        <x:v>coverage unavailable or execution/compile failed</x:v>
      </x:c>
      <x:c r="N2677" s="35" t="str">
        <x:v>Deepseek-flash-v4/Result2/Closure_142/result.json</x:v>
      </x:c>
      <x:c r="O2677" s="39" t="str">
        <x:f>IF(AND(G2677="RECORDED",ISNUMBER(H2677)),H2677,"")</x:f>
      </x:c>
      <x:c r="P2677" s="35" t="str">
        <x:v>NOT_AVAILABLE</x:v>
      </x:c>
      <x:c r="Q2677" s="35" t="str">
        <x:v>Deepseek-flash-v4/Result2/Closure_142/result.json</x:v>
      </x:c>
    </x:row>
    <x:row r="2678">
      <x:c r="A2678" s="35" t="str">
        <x:v>deepseek</x:v>
      </x:c>
      <x:c r="B2678" s="35" t="str">
        <x:v>Closure</x:v>
      </x:c>
      <x:c r="C2678" s="35" t="str">
        <x:v>Round2</x:v>
      </x:c>
      <x:c r="D2678" s="35" t="str">
        <x:v>Closure_143</x:v>
      </x:c>
      <x:c r="E2678" s="35" t="str">
        <x:v>Condition</x:v>
      </x:c>
      <x:c r="F2678" s="35"/>
      <x:c r="G2678" s="35" t="str">
        <x:v>A</x:v>
      </x:c>
      <x:c r="H2678" s="39" t="str">
        <x:f>IF(ISNUMBER('Data'!N970),'Data'!N970*100,"")</x:f>
      </x:c>
      <x:c r="I2678" s="35"/>
      <x:c r="J2678" s="35" t="str">
        <x:v>PASS</x:v>
      </x:c>
      <x:c r="K2678" s="35" t="str">
        <x:v>FAIL</x:v>
      </x:c>
      <x:c r="L2678" s="35" t="str">
        <x:v>NOT_RUN</x:v>
      </x:c>
      <x:c r="M2678" s="35" t="str">
        <x:v>coverage unavailable or execution/compile failed</x:v>
      </x:c>
      <x:c r="N2678" s="35" t="str">
        <x:v>Deepseek-flash-v4/Result2/Closure_143/result.json</x:v>
      </x:c>
      <x:c r="O2678" s="39" t="str">
        <x:f>IF(AND(G2678="RECORDED",ISNUMBER(H2678)),H2678,"")</x:f>
      </x:c>
      <x:c r="P2678" s="35" t="str">
        <x:v>NOT_AVAILABLE</x:v>
      </x:c>
      <x:c r="Q2678" s="35" t="str">
        <x:v>Deepseek-flash-v4/Result2/Closure_143/result.json</x:v>
      </x:c>
    </x:row>
    <x:row r="2679">
      <x:c r="A2679" s="35" t="str">
        <x:v>deepseek</x:v>
      </x:c>
      <x:c r="B2679" s="35" t="str">
        <x:v>Closure</x:v>
      </x:c>
      <x:c r="C2679" s="35" t="str">
        <x:v>Round2</x:v>
      </x:c>
      <x:c r="D2679" s="35" t="str">
        <x:v>Closure_144</x:v>
      </x:c>
      <x:c r="E2679" s="35" t="str">
        <x:v>Condition</x:v>
      </x:c>
      <x:c r="F2679" s="35"/>
      <x:c r="G2679" s="35" t="str">
        <x:v>A</x:v>
      </x:c>
      <x:c r="H2679" s="39" t="str">
        <x:f>IF(ISNUMBER('Data'!N971),'Data'!N971*100,"")</x:f>
      </x:c>
      <x:c r="I2679" s="35"/>
      <x:c r="J2679" s="35" t="str">
        <x:v>PASS</x:v>
      </x:c>
      <x:c r="K2679" s="35" t="str">
        <x:v>FAIL</x:v>
      </x:c>
      <x:c r="L2679" s="35" t="str">
        <x:v>NOT_RUN</x:v>
      </x:c>
      <x:c r="M2679" s="35" t="str">
        <x:v>coverage unavailable or execution/compile failed</x:v>
      </x:c>
      <x:c r="N2679" s="35" t="str">
        <x:v>Deepseek-flash-v4/Result2/Closure_144/result.json</x:v>
      </x:c>
      <x:c r="O2679" s="39" t="str">
        <x:f>IF(AND(G2679="RECORDED",ISNUMBER(H2679)),H2679,"")</x:f>
      </x:c>
      <x:c r="P2679" s="35" t="str">
        <x:v>NOT_AVAILABLE</x:v>
      </x:c>
      <x:c r="Q2679" s="35" t="str">
        <x:v>Deepseek-flash-v4/Result2/Closure_144/result.json</x:v>
      </x:c>
    </x:row>
    <x:row r="2680">
      <x:c r="A2680" s="35" t="str">
        <x:v>deepseek</x:v>
      </x:c>
      <x:c r="B2680" s="35" t="str">
        <x:v>Closure</x:v>
      </x:c>
      <x:c r="C2680" s="35" t="str">
        <x:v>Round2</x:v>
      </x:c>
      <x:c r="D2680" s="35" t="str">
        <x:v>Closure_145</x:v>
      </x:c>
      <x:c r="E2680" s="35" t="str">
        <x:v>Condition</x:v>
      </x:c>
      <x:c r="F2680" s="35"/>
      <x:c r="G2680" s="35" t="str">
        <x:v>A</x:v>
      </x:c>
      <x:c r="H2680" s="39" t="str">
        <x:f>IF(ISNUMBER('Data'!N972),'Data'!N972*100,"")</x:f>
      </x:c>
      <x:c r="I2680" s="35"/>
      <x:c r="J2680" s="35" t="str">
        <x:v>PASS</x:v>
      </x:c>
      <x:c r="K2680" s="35" t="str">
        <x:v>FAIL</x:v>
      </x:c>
      <x:c r="L2680" s="35" t="str">
        <x:v>NOT_RUN</x:v>
      </x:c>
      <x:c r="M2680" s="35" t="str">
        <x:v>coverage unavailable or execution/compile failed</x:v>
      </x:c>
      <x:c r="N2680" s="35" t="str">
        <x:v>Deepseek-flash-v4/Result2/Closure_145/result.json</x:v>
      </x:c>
      <x:c r="O2680" s="39" t="str">
        <x:f>IF(AND(G2680="RECORDED",ISNUMBER(H2680)),H2680,"")</x:f>
      </x:c>
      <x:c r="P2680" s="35" t="str">
        <x:v>NOT_AVAILABLE</x:v>
      </x:c>
      <x:c r="Q2680" s="35" t="str">
        <x:v>Deepseek-flash-v4/Result2/Closure_145/result.json</x:v>
      </x:c>
    </x:row>
    <x:row r="2681">
      <x:c r="A2681" s="35" t="str">
        <x:v>deepseek</x:v>
      </x:c>
      <x:c r="B2681" s="35" t="str">
        <x:v>Closure</x:v>
      </x:c>
      <x:c r="C2681" s="35" t="str">
        <x:v>Round2</x:v>
      </x:c>
      <x:c r="D2681" s="35" t="str">
        <x:v>Closure_146</x:v>
      </x:c>
      <x:c r="E2681" s="35" t="str">
        <x:v>Condition</x:v>
      </x:c>
      <x:c r="F2681" s="35"/>
      <x:c r="G2681" s="35" t="str">
        <x:v>A</x:v>
      </x:c>
      <x:c r="H2681" s="39" t="str">
        <x:f>IF(ISNUMBER('Data'!N973),'Data'!N973*100,"")</x:f>
      </x:c>
      <x:c r="I2681" s="35"/>
      <x:c r="J2681" s="35" t="str">
        <x:v>PASS</x:v>
      </x:c>
      <x:c r="K2681" s="35" t="str">
        <x:v>FAIL</x:v>
      </x:c>
      <x:c r="L2681" s="35" t="str">
        <x:v>NOT_RUN</x:v>
      </x:c>
      <x:c r="M2681" s="35" t="str">
        <x:v>coverage unavailable or execution/compile failed</x:v>
      </x:c>
      <x:c r="N2681" s="35" t="str">
        <x:v>Deepseek-flash-v4/Result2/Closure_146/result.json</x:v>
      </x:c>
      <x:c r="O2681" s="39" t="str">
        <x:f>IF(AND(G2681="RECORDED",ISNUMBER(H2681)),H2681,"")</x:f>
      </x:c>
      <x:c r="P2681" s="35" t="str">
        <x:v>NOT_AVAILABLE</x:v>
      </x:c>
      <x:c r="Q2681" s="35" t="str">
        <x:v>Deepseek-flash-v4/Result2/Closure_146/result.json</x:v>
      </x:c>
    </x:row>
    <x:row r="2682">
      <x:c r="A2682" s="35" t="str">
        <x:v>deepseek</x:v>
      </x:c>
      <x:c r="B2682" s="35" t="str">
        <x:v>Closure</x:v>
      </x:c>
      <x:c r="C2682" s="35" t="str">
        <x:v>Round2</x:v>
      </x:c>
      <x:c r="D2682" s="35" t="str">
        <x:v>Closure_147</x:v>
      </x:c>
      <x:c r="E2682" s="35" t="str">
        <x:v>Condition</x:v>
      </x:c>
      <x:c r="F2682" s="35"/>
      <x:c r="G2682" s="35" t="str">
        <x:v>A</x:v>
      </x:c>
      <x:c r="H2682" s="39" t="str">
        <x:f>IF(ISNUMBER('Data'!N974),'Data'!N974*100,"")</x:f>
      </x:c>
      <x:c r="I2682" s="35"/>
      <x:c r="J2682" s="35" t="str">
        <x:v>PASS</x:v>
      </x:c>
      <x:c r="K2682" s="35" t="str">
        <x:v>FAIL</x:v>
      </x:c>
      <x:c r="L2682" s="35" t="str">
        <x:v>NOT_RUN</x:v>
      </x:c>
      <x:c r="M2682" s="35" t="str">
        <x:v>coverage unavailable or execution/compile failed</x:v>
      </x:c>
      <x:c r="N2682" s="35" t="str">
        <x:v>Deepseek-flash-v4/Result2/Closure_147/result.json</x:v>
      </x:c>
      <x:c r="O2682" s="39" t="str">
        <x:f>IF(AND(G2682="RECORDED",ISNUMBER(H2682)),H2682,"")</x:f>
      </x:c>
      <x:c r="P2682" s="35" t="str">
        <x:v>NOT_AVAILABLE</x:v>
      </x:c>
      <x:c r="Q2682" s="35" t="str">
        <x:v>Deepseek-flash-v4/Result2/Closure_147/result.json</x:v>
      </x:c>
    </x:row>
    <x:row r="2683">
      <x:c r="A2683" s="35" t="str">
        <x:v>deepseek</x:v>
      </x:c>
      <x:c r="B2683" s="35" t="str">
        <x:v>Closure</x:v>
      </x:c>
      <x:c r="C2683" s="35" t="str">
        <x:v>Round2</x:v>
      </x:c>
      <x:c r="D2683" s="35" t="str">
        <x:v>Closure_148</x:v>
      </x:c>
      <x:c r="E2683" s="35" t="str">
        <x:v>Condition</x:v>
      </x:c>
      <x:c r="F2683" s="35"/>
      <x:c r="G2683" s="35" t="str">
        <x:v>A</x:v>
      </x:c>
      <x:c r="H2683" s="39" t="str">
        <x:f>IF(ISNUMBER('Data'!N975),'Data'!N975*100,"")</x:f>
      </x:c>
      <x:c r="I2683" s="35"/>
      <x:c r="J2683" s="35" t="str">
        <x:v>PASS</x:v>
      </x:c>
      <x:c r="K2683" s="35" t="str">
        <x:v>FAIL</x:v>
      </x:c>
      <x:c r="L2683" s="35" t="str">
        <x:v>NOT_RUN</x:v>
      </x:c>
      <x:c r="M2683" s="35" t="str">
        <x:v>coverage unavailable or execution/compile failed</x:v>
      </x:c>
      <x:c r="N2683" s="35" t="str">
        <x:v>Deepseek-flash-v4/Result2/Closure_148/result.json</x:v>
      </x:c>
      <x:c r="O2683" s="39" t="str">
        <x:f>IF(AND(G2683="RECORDED",ISNUMBER(H2683)),H2683,"")</x:f>
      </x:c>
      <x:c r="P2683" s="35" t="str">
        <x:v>NOT_AVAILABLE</x:v>
      </x:c>
      <x:c r="Q2683" s="35" t="str">
        <x:v>Deepseek-flash-v4/Result2/Closure_148/result.json</x:v>
      </x:c>
    </x:row>
    <x:row r="2684">
      <x:c r="A2684" s="35" t="str">
        <x:v>deepseek</x:v>
      </x:c>
      <x:c r="B2684" s="35" t="str">
        <x:v>Closure</x:v>
      </x:c>
      <x:c r="C2684" s="35" t="str">
        <x:v>Round2</x:v>
      </x:c>
      <x:c r="D2684" s="35" t="str">
        <x:v>Closure_149</x:v>
      </x:c>
      <x:c r="E2684" s="35" t="str">
        <x:v>Condition</x:v>
      </x:c>
      <x:c r="F2684" s="35"/>
      <x:c r="G2684" s="35" t="str">
        <x:v>A</x:v>
      </x:c>
      <x:c r="H2684" s="39" t="str">
        <x:f>IF(ISNUMBER('Data'!N976),'Data'!N976*100,"")</x:f>
      </x:c>
      <x:c r="I2684" s="35"/>
      <x:c r="J2684" s="35" t="str">
        <x:v>PASS</x:v>
      </x:c>
      <x:c r="K2684" s="35" t="str">
        <x:v>FAIL</x:v>
      </x:c>
      <x:c r="L2684" s="35" t="str">
        <x:v>NOT_RUN</x:v>
      </x:c>
      <x:c r="M2684" s="35" t="str">
        <x:v>coverage unavailable or execution/compile failed</x:v>
      </x:c>
      <x:c r="N2684" s="35" t="str">
        <x:v>Deepseek-flash-v4/Result2/Closure_149/result.json</x:v>
      </x:c>
      <x:c r="O2684" s="39" t="str">
        <x:f>IF(AND(G2684="RECORDED",ISNUMBER(H2684)),H2684,"")</x:f>
      </x:c>
      <x:c r="P2684" s="35" t="str">
        <x:v>NOT_AVAILABLE</x:v>
      </x:c>
      <x:c r="Q2684" s="35" t="str">
        <x:v>Deepseek-flash-v4/Result2/Closure_149/result.json</x:v>
      </x:c>
    </x:row>
    <x:row r="2685">
      <x:c r="A2685" s="35" t="str">
        <x:v>deepseek</x:v>
      </x:c>
      <x:c r="B2685" s="35" t="str">
        <x:v>Closure</x:v>
      </x:c>
      <x:c r="C2685" s="35" t="str">
        <x:v>Round2</x:v>
      </x:c>
      <x:c r="D2685" s="35" t="str">
        <x:v>Closure_15</x:v>
      </x:c>
      <x:c r="E2685" s="35" t="str">
        <x:v>Condition</x:v>
      </x:c>
      <x:c r="F2685" s="35"/>
      <x:c r="G2685" s="35" t="str">
        <x:v>A</x:v>
      </x:c>
      <x:c r="H2685" s="39" t="str">
        <x:f>IF(ISNUMBER('Data'!N977),'Data'!N977*100,"")</x:f>
      </x:c>
      <x:c r="I2685" s="35"/>
      <x:c r="J2685" s="35" t="str">
        <x:v>PASS</x:v>
      </x:c>
      <x:c r="K2685" s="35" t="str">
        <x:v>FAIL</x:v>
      </x:c>
      <x:c r="L2685" s="35" t="str">
        <x:v>NOT_RUN</x:v>
      </x:c>
      <x:c r="M2685" s="35" t="str">
        <x:v>coverage unavailable or execution/compile failed</x:v>
      </x:c>
      <x:c r="N2685" s="35" t="str">
        <x:v>Deepseek-flash-v4/Result2/Closure_15/result.json</x:v>
      </x:c>
      <x:c r="O2685" s="39" t="str">
        <x:f>IF(AND(G2685="RECORDED",ISNUMBER(H2685)),H2685,"")</x:f>
      </x:c>
      <x:c r="P2685" s="35" t="str">
        <x:v>NOT_AVAILABLE</x:v>
      </x:c>
      <x:c r="Q2685" s="35" t="str">
        <x:v>Deepseek-flash-v4/Result2/Closure_15/result.json</x:v>
      </x:c>
    </x:row>
    <x:row r="2686">
      <x:c r="A2686" s="35" t="str">
        <x:v>deepseek</x:v>
      </x:c>
      <x:c r="B2686" s="35" t="str">
        <x:v>Closure</x:v>
      </x:c>
      <x:c r="C2686" s="35" t="str">
        <x:v>Round2</x:v>
      </x:c>
      <x:c r="D2686" s="35" t="str">
        <x:v>Closure_150</x:v>
      </x:c>
      <x:c r="E2686" s="35" t="str">
        <x:v>Condition</x:v>
      </x:c>
      <x:c r="F2686" s="35"/>
      <x:c r="G2686" s="35" t="str">
        <x:v>A</x:v>
      </x:c>
      <x:c r="H2686" s="39" t="str">
        <x:f>IF(ISNUMBER('Data'!N978),'Data'!N978*100,"")</x:f>
      </x:c>
      <x:c r="I2686" s="35"/>
      <x:c r="J2686" s="35" t="str">
        <x:v>PASS</x:v>
      </x:c>
      <x:c r="K2686" s="35" t="str">
        <x:v>FAIL</x:v>
      </x:c>
      <x:c r="L2686" s="35" t="str">
        <x:v>NOT_RUN</x:v>
      </x:c>
      <x:c r="M2686" s="35" t="str">
        <x:v>coverage unavailable or execution/compile failed</x:v>
      </x:c>
      <x:c r="N2686" s="35" t="str">
        <x:v>Deepseek-flash-v4/Result2/Closure_150/result.json</x:v>
      </x:c>
      <x:c r="O2686" s="39" t="str">
        <x:f>IF(AND(G2686="RECORDED",ISNUMBER(H2686)),H2686,"")</x:f>
      </x:c>
      <x:c r="P2686" s="35" t="str">
        <x:v>NOT_AVAILABLE</x:v>
      </x:c>
      <x:c r="Q2686" s="35" t="str">
        <x:v>Deepseek-flash-v4/Result2/Closure_150/result.json</x:v>
      </x:c>
    </x:row>
    <x:row r="2687">
      <x:c r="A2687" s="35" t="str">
        <x:v>deepseek</x:v>
      </x:c>
      <x:c r="B2687" s="35" t="str">
        <x:v>Closure</x:v>
      </x:c>
      <x:c r="C2687" s="35" t="str">
        <x:v>Round2</x:v>
      </x:c>
      <x:c r="D2687" s="35" t="str">
        <x:v>Closure_151</x:v>
      </x:c>
      <x:c r="E2687" s="35" t="str">
        <x:v>Condition</x:v>
      </x:c>
      <x:c r="F2687" s="35" t="n">
        <x:v>34</x:v>
      </x:c>
      <x:c r="G2687" s="35" t="str">
        <x:v>RECORDED</x:v>
      </x:c>
      <x:c r="H2687" s="39" t="n">
        <x:f>IF(ISNUMBER('Data'!N979),'Data'!N979*100,"")</x:f>
        <x:v>52.94</x:v>
      </x:c>
      <x:c r="I2687" s="35" t="str">
        <x:v>PASS</x:v>
      </x:c>
      <x:c r="J2687" s="35" t="str">
        <x:v>PASS</x:v>
      </x:c>
      <x:c r="K2687" s="35" t="str">
        <x:v>PASS</x:v>
      </x:c>
      <x:c r="L2687" s="35" t="str">
        <x:v>FAIL</x:v>
      </x:c>
      <x:c r="M2687" s="35" t="str">
        <x:v>numeric coverage for applicable metric</x:v>
      </x:c>
      <x:c r="N2687" s="35" t="str">
        <x:v>Deepseek-flash-v4/Result2/Closure_151/result.json</x:v>
      </x:c>
      <x:c r="O2687" s="39" t="n">
        <x:f>IF(AND(G2687="RECORDED",ISNUMBER(H2687)),H2687,"")</x:f>
        <x:v>52.94</x:v>
      </x:c>
      <x:c r="P2687" s="35" t="str">
        <x:v>INCONCLUSIVE</x:v>
      </x:c>
      <x:c r="Q2687" s="35" t="str">
        <x:v>Deepseek-flash-v4/Result2/Closure_151/result.json</x:v>
      </x:c>
    </x:row>
    <x:row r="2688">
      <x:c r="A2688" s="35" t="str">
        <x:v>deepseek</x:v>
      </x:c>
      <x:c r="B2688" s="35" t="str">
        <x:v>Closure</x:v>
      </x:c>
      <x:c r="C2688" s="35" t="str">
        <x:v>Round2</x:v>
      </x:c>
      <x:c r="D2688" s="35" t="str">
        <x:v>Closure_152</x:v>
      </x:c>
      <x:c r="E2688" s="35" t="str">
        <x:v>Condition</x:v>
      </x:c>
      <x:c r="F2688" s="35"/>
      <x:c r="G2688" s="35" t="str">
        <x:v>A</x:v>
      </x:c>
      <x:c r="H2688" s="39" t="str">
        <x:f>IF(ISNUMBER('Data'!N980),'Data'!N980*100,"")</x:f>
      </x:c>
      <x:c r="I2688" s="35"/>
      <x:c r="J2688" s="35" t="str">
        <x:v>PASS</x:v>
      </x:c>
      <x:c r="K2688" s="35" t="str">
        <x:v>FAIL</x:v>
      </x:c>
      <x:c r="L2688" s="35" t="str">
        <x:v>NOT_RUN</x:v>
      </x:c>
      <x:c r="M2688" s="35" t="str">
        <x:v>coverage unavailable or execution/compile failed</x:v>
      </x:c>
      <x:c r="N2688" s="35" t="str">
        <x:v>Deepseek-flash-v4/Result2/Closure_152/result.json</x:v>
      </x:c>
      <x:c r="O2688" s="39" t="str">
        <x:f>IF(AND(G2688="RECORDED",ISNUMBER(H2688)),H2688,"")</x:f>
      </x:c>
      <x:c r="P2688" s="35" t="str">
        <x:v>NOT_AVAILABLE</x:v>
      </x:c>
      <x:c r="Q2688" s="35" t="str">
        <x:v>Deepseek-flash-v4/Result2/Closure_152/result.json</x:v>
      </x:c>
    </x:row>
    <x:row r="2689">
      <x:c r="A2689" s="35" t="str">
        <x:v>deepseek</x:v>
      </x:c>
      <x:c r="B2689" s="35" t="str">
        <x:v>Closure</x:v>
      </x:c>
      <x:c r="C2689" s="35" t="str">
        <x:v>Round2</x:v>
      </x:c>
      <x:c r="D2689" s="35" t="str">
        <x:v>Closure_153</x:v>
      </x:c>
      <x:c r="E2689" s="35" t="str">
        <x:v>Condition</x:v>
      </x:c>
      <x:c r="F2689" s="35"/>
      <x:c r="G2689" s="35" t="str">
        <x:v>A</x:v>
      </x:c>
      <x:c r="H2689" s="39" t="str">
        <x:f>IF(ISNUMBER('Data'!N981),'Data'!N981*100,"")</x:f>
      </x:c>
      <x:c r="I2689" s="35"/>
      <x:c r="J2689" s="35" t="str">
        <x:v>PASS</x:v>
      </x:c>
      <x:c r="K2689" s="35" t="str">
        <x:v>FAIL</x:v>
      </x:c>
      <x:c r="L2689" s="35" t="str">
        <x:v>NOT_RUN</x:v>
      </x:c>
      <x:c r="M2689" s="35" t="str">
        <x:v>coverage unavailable or execution/compile failed</x:v>
      </x:c>
      <x:c r="N2689" s="35" t="str">
        <x:v>Deepseek-flash-v4/Result2/Closure_153/result.json</x:v>
      </x:c>
      <x:c r="O2689" s="39" t="str">
        <x:f>IF(AND(G2689="RECORDED",ISNUMBER(H2689)),H2689,"")</x:f>
      </x:c>
      <x:c r="P2689" s="35" t="str">
        <x:v>NOT_AVAILABLE</x:v>
      </x:c>
      <x:c r="Q2689" s="35" t="str">
        <x:v>Deepseek-flash-v4/Result2/Closure_153/result.json</x:v>
      </x:c>
    </x:row>
    <x:row r="2690">
      <x:c r="A2690" s="35" t="str">
        <x:v>deepseek</x:v>
      </x:c>
      <x:c r="B2690" s="35" t="str">
        <x:v>Closure</x:v>
      </x:c>
      <x:c r="C2690" s="35" t="str">
        <x:v>Round2</x:v>
      </x:c>
      <x:c r="D2690" s="35" t="str">
        <x:v>Closure_154</x:v>
      </x:c>
      <x:c r="E2690" s="35" t="str">
        <x:v>Condition</x:v>
      </x:c>
      <x:c r="F2690" s="35"/>
      <x:c r="G2690" s="35" t="str">
        <x:v>A</x:v>
      </x:c>
      <x:c r="H2690" s="39" t="str">
        <x:f>IF(ISNUMBER('Data'!N982),'Data'!N982*100,"")</x:f>
      </x:c>
      <x:c r="I2690" s="35"/>
      <x:c r="J2690" s="35" t="str">
        <x:v>PASS</x:v>
      </x:c>
      <x:c r="K2690" s="35" t="str">
        <x:v>FAIL</x:v>
      </x:c>
      <x:c r="L2690" s="35" t="str">
        <x:v>NOT_RUN</x:v>
      </x:c>
      <x:c r="M2690" s="35" t="str">
        <x:v>coverage unavailable or execution/compile failed</x:v>
      </x:c>
      <x:c r="N2690" s="35" t="str">
        <x:v>Deepseek-flash-v4/Result2/Closure_154/result.json</x:v>
      </x:c>
      <x:c r="O2690" s="39" t="str">
        <x:f>IF(AND(G2690="RECORDED",ISNUMBER(H2690)),H2690,"")</x:f>
      </x:c>
      <x:c r="P2690" s="35" t="str">
        <x:v>NOT_AVAILABLE</x:v>
      </x:c>
      <x:c r="Q2690" s="35" t="str">
        <x:v>Deepseek-flash-v4/Result2/Closure_154/result.json</x:v>
      </x:c>
    </x:row>
    <x:row r="2691">
      <x:c r="A2691" s="35" t="str">
        <x:v>deepseek</x:v>
      </x:c>
      <x:c r="B2691" s="35" t="str">
        <x:v>Closure</x:v>
      </x:c>
      <x:c r="C2691" s="35" t="str">
        <x:v>Round2</x:v>
      </x:c>
      <x:c r="D2691" s="35" t="str">
        <x:v>Closure_155</x:v>
      </x:c>
      <x:c r="E2691" s="35" t="str">
        <x:v>Condition</x:v>
      </x:c>
      <x:c r="F2691" s="35"/>
      <x:c r="G2691" s="35" t="str">
        <x:v>A</x:v>
      </x:c>
      <x:c r="H2691" s="39" t="str">
        <x:f>IF(ISNUMBER('Data'!N983),'Data'!N983*100,"")</x:f>
      </x:c>
      <x:c r="I2691" s="35"/>
      <x:c r="J2691" s="35" t="str">
        <x:v>PASS</x:v>
      </x:c>
      <x:c r="K2691" s="35" t="str">
        <x:v>FAIL</x:v>
      </x:c>
      <x:c r="L2691" s="35" t="str">
        <x:v>NOT_RUN</x:v>
      </x:c>
      <x:c r="M2691" s="35" t="str">
        <x:v>coverage unavailable or execution/compile failed</x:v>
      </x:c>
      <x:c r="N2691" s="35" t="str">
        <x:v>Deepseek-flash-v4/Result2/Closure_155/result.json</x:v>
      </x:c>
      <x:c r="O2691" s="39" t="str">
        <x:f>IF(AND(G2691="RECORDED",ISNUMBER(H2691)),H2691,"")</x:f>
      </x:c>
      <x:c r="P2691" s="35" t="str">
        <x:v>NOT_AVAILABLE</x:v>
      </x:c>
      <x:c r="Q2691" s="35" t="str">
        <x:v>Deepseek-flash-v4/Result2/Closure_155/result.json</x:v>
      </x:c>
    </x:row>
    <x:row r="2692">
      <x:c r="A2692" s="35" t="str">
        <x:v>deepseek</x:v>
      </x:c>
      <x:c r="B2692" s="35" t="str">
        <x:v>Closure</x:v>
      </x:c>
      <x:c r="C2692" s="35" t="str">
        <x:v>Round2</x:v>
      </x:c>
      <x:c r="D2692" s="35" t="str">
        <x:v>Closure_156</x:v>
      </x:c>
      <x:c r="E2692" s="35" t="str">
        <x:v>Condition</x:v>
      </x:c>
      <x:c r="F2692" s="35"/>
      <x:c r="G2692" s="35" t="str">
        <x:v>A</x:v>
      </x:c>
      <x:c r="H2692" s="39" t="str">
        <x:f>IF(ISNUMBER('Data'!N984),'Data'!N984*100,"")</x:f>
      </x:c>
      <x:c r="I2692" s="35"/>
      <x:c r="J2692" s="35" t="str">
        <x:v>PASS</x:v>
      </x:c>
      <x:c r="K2692" s="35" t="str">
        <x:v>FAIL</x:v>
      </x:c>
      <x:c r="L2692" s="35" t="str">
        <x:v>NOT_RUN</x:v>
      </x:c>
      <x:c r="M2692" s="35" t="str">
        <x:v>coverage unavailable or execution/compile failed</x:v>
      </x:c>
      <x:c r="N2692" s="35" t="str">
        <x:v>Deepseek-flash-v4/Result2/Closure_156/result.json</x:v>
      </x:c>
      <x:c r="O2692" s="39" t="str">
        <x:f>IF(AND(G2692="RECORDED",ISNUMBER(H2692)),H2692,"")</x:f>
      </x:c>
      <x:c r="P2692" s="35" t="str">
        <x:v>NOT_AVAILABLE</x:v>
      </x:c>
      <x:c r="Q2692" s="35" t="str">
        <x:v>Deepseek-flash-v4/Result2/Closure_156/result.json</x:v>
      </x:c>
    </x:row>
    <x:row r="2693">
      <x:c r="A2693" s="35" t="str">
        <x:v>deepseek</x:v>
      </x:c>
      <x:c r="B2693" s="35" t="str">
        <x:v>Closure</x:v>
      </x:c>
      <x:c r="C2693" s="35" t="str">
        <x:v>Round2</x:v>
      </x:c>
      <x:c r="D2693" s="35" t="str">
        <x:v>Closure_157</x:v>
      </x:c>
      <x:c r="E2693" s="35" t="str">
        <x:v>Condition</x:v>
      </x:c>
      <x:c r="F2693" s="35"/>
      <x:c r="G2693" s="35" t="str">
        <x:v>A</x:v>
      </x:c>
      <x:c r="H2693" s="39" t="str">
        <x:f>IF(ISNUMBER('Data'!N985),'Data'!N985*100,"")</x:f>
      </x:c>
      <x:c r="I2693" s="35"/>
      <x:c r="J2693" s="35" t="str">
        <x:v>PASS</x:v>
      </x:c>
      <x:c r="K2693" s="35" t="str">
        <x:v>FAIL</x:v>
      </x:c>
      <x:c r="L2693" s="35" t="str">
        <x:v>NOT_RUN</x:v>
      </x:c>
      <x:c r="M2693" s="35" t="str">
        <x:v>coverage unavailable or execution/compile failed</x:v>
      </x:c>
      <x:c r="N2693" s="35" t="str">
        <x:v>Deepseek-flash-v4/Result2/Closure_157/result.json</x:v>
      </x:c>
      <x:c r="O2693" s="39" t="str">
        <x:f>IF(AND(G2693="RECORDED",ISNUMBER(H2693)),H2693,"")</x:f>
      </x:c>
      <x:c r="P2693" s="35" t="str">
        <x:v>NOT_AVAILABLE</x:v>
      </x:c>
      <x:c r="Q2693" s="35" t="str">
        <x:v>Deepseek-flash-v4/Result2/Closure_157/result.json</x:v>
      </x:c>
    </x:row>
    <x:row r="2694">
      <x:c r="A2694" s="35" t="str">
        <x:v>deepseek</x:v>
      </x:c>
      <x:c r="B2694" s="35" t="str">
        <x:v>Closure</x:v>
      </x:c>
      <x:c r="C2694" s="35" t="str">
        <x:v>Round2</x:v>
      </x:c>
      <x:c r="D2694" s="35" t="str">
        <x:v>Closure_158</x:v>
      </x:c>
      <x:c r="E2694" s="35" t="str">
        <x:v>Condition</x:v>
      </x:c>
      <x:c r="F2694" s="35"/>
      <x:c r="G2694" s="35" t="str">
        <x:v>A</x:v>
      </x:c>
      <x:c r="H2694" s="39" t="str">
        <x:f>IF(ISNUMBER('Data'!N986),'Data'!N986*100,"")</x:f>
      </x:c>
      <x:c r="I2694" s="35"/>
      <x:c r="J2694" s="35" t="str">
        <x:v>PASS</x:v>
      </x:c>
      <x:c r="K2694" s="35" t="str">
        <x:v>FAIL</x:v>
      </x:c>
      <x:c r="L2694" s="35" t="str">
        <x:v>NOT_RUN</x:v>
      </x:c>
      <x:c r="M2694" s="35" t="str">
        <x:v>coverage unavailable or execution/compile failed</x:v>
      </x:c>
      <x:c r="N2694" s="35" t="str">
        <x:v>Deepseek-flash-v4/Result2/Closure_158/result.json</x:v>
      </x:c>
      <x:c r="O2694" s="39" t="str">
        <x:f>IF(AND(G2694="RECORDED",ISNUMBER(H2694)),H2694,"")</x:f>
      </x:c>
      <x:c r="P2694" s="35" t="str">
        <x:v>NOT_AVAILABLE</x:v>
      </x:c>
      <x:c r="Q2694" s="35" t="str">
        <x:v>Deepseek-flash-v4/Result2/Closure_158/result.json</x:v>
      </x:c>
    </x:row>
    <x:row r="2695">
      <x:c r="A2695" s="35" t="str">
        <x:v>deepseek</x:v>
      </x:c>
      <x:c r="B2695" s="35" t="str">
        <x:v>Closure</x:v>
      </x:c>
      <x:c r="C2695" s="35" t="str">
        <x:v>Round2</x:v>
      </x:c>
      <x:c r="D2695" s="35" t="str">
        <x:v>Closure_159</x:v>
      </x:c>
      <x:c r="E2695" s="35" t="str">
        <x:v>Condition</x:v>
      </x:c>
      <x:c r="F2695" s="35"/>
      <x:c r="G2695" s="35" t="str">
        <x:v>A</x:v>
      </x:c>
      <x:c r="H2695" s="39" t="str">
        <x:f>IF(ISNUMBER('Data'!N987),'Data'!N987*100,"")</x:f>
      </x:c>
      <x:c r="I2695" s="35"/>
      <x:c r="J2695" s="35" t="str">
        <x:v>PASS</x:v>
      </x:c>
      <x:c r="K2695" s="35" t="str">
        <x:v>FAIL</x:v>
      </x:c>
      <x:c r="L2695" s="35" t="str">
        <x:v>NOT_RUN</x:v>
      </x:c>
      <x:c r="M2695" s="35" t="str">
        <x:v>coverage unavailable or execution/compile failed</x:v>
      </x:c>
      <x:c r="N2695" s="35" t="str">
        <x:v>Deepseek-flash-v4/Result2/Closure_159/result.json</x:v>
      </x:c>
      <x:c r="O2695" s="39" t="str">
        <x:f>IF(AND(G2695="RECORDED",ISNUMBER(H2695)),H2695,"")</x:f>
      </x:c>
      <x:c r="P2695" s="35" t="str">
        <x:v>NOT_AVAILABLE</x:v>
      </x:c>
      <x:c r="Q2695" s="35" t="str">
        <x:v>Deepseek-flash-v4/Result2/Closure_159/result.json</x:v>
      </x:c>
    </x:row>
    <x:row r="2696">
      <x:c r="A2696" s="35" t="str">
        <x:v>deepseek</x:v>
      </x:c>
      <x:c r="B2696" s="35" t="str">
        <x:v>Closure</x:v>
      </x:c>
      <x:c r="C2696" s="35" t="str">
        <x:v>Round2</x:v>
      </x:c>
      <x:c r="D2696" s="35" t="str">
        <x:v>Closure_16</x:v>
      </x:c>
      <x:c r="E2696" s="35" t="str">
        <x:v>Condition</x:v>
      </x:c>
      <x:c r="F2696" s="35"/>
      <x:c r="G2696" s="35" t="str">
        <x:v>A</x:v>
      </x:c>
      <x:c r="H2696" s="39" t="str">
        <x:f>IF(ISNUMBER('Data'!N988),'Data'!N988*100,"")</x:f>
      </x:c>
      <x:c r="I2696" s="35"/>
      <x:c r="J2696" s="35" t="str">
        <x:v>PASS</x:v>
      </x:c>
      <x:c r="K2696" s="35" t="str">
        <x:v>FAIL</x:v>
      </x:c>
      <x:c r="L2696" s="35" t="str">
        <x:v>NOT_RUN</x:v>
      </x:c>
      <x:c r="M2696" s="35" t="str">
        <x:v>coverage unavailable or execution/compile failed</x:v>
      </x:c>
      <x:c r="N2696" s="35" t="str">
        <x:v>Deepseek-flash-v4/Result2/Closure_16/result.json</x:v>
      </x:c>
      <x:c r="O2696" s="39" t="str">
        <x:f>IF(AND(G2696="RECORDED",ISNUMBER(H2696)),H2696,"")</x:f>
      </x:c>
      <x:c r="P2696" s="35" t="str">
        <x:v>NOT_AVAILABLE</x:v>
      </x:c>
      <x:c r="Q2696" s="35" t="str">
        <x:v>Deepseek-flash-v4/Result2/Closure_16/result.json</x:v>
      </x:c>
    </x:row>
    <x:row r="2697">
      <x:c r="A2697" s="35" t="str">
        <x:v>deepseek</x:v>
      </x:c>
      <x:c r="B2697" s="35" t="str">
        <x:v>Closure</x:v>
      </x:c>
      <x:c r="C2697" s="35" t="str">
        <x:v>Round2</x:v>
      </x:c>
      <x:c r="D2697" s="35" t="str">
        <x:v>Closure_160</x:v>
      </x:c>
      <x:c r="E2697" s="35" t="str">
        <x:v>Condition</x:v>
      </x:c>
      <x:c r="F2697" s="35"/>
      <x:c r="G2697" s="35" t="str">
        <x:v>A</x:v>
      </x:c>
      <x:c r="H2697" s="39" t="str">
        <x:f>IF(ISNUMBER('Data'!N989),'Data'!N989*100,"")</x:f>
      </x:c>
      <x:c r="I2697" s="35"/>
      <x:c r="J2697" s="35" t="str">
        <x:v>PASS</x:v>
      </x:c>
      <x:c r="K2697" s="35" t="str">
        <x:v>FAIL</x:v>
      </x:c>
      <x:c r="L2697" s="35" t="str">
        <x:v>NOT_RUN</x:v>
      </x:c>
      <x:c r="M2697" s="35" t="str">
        <x:v>coverage unavailable or execution/compile failed</x:v>
      </x:c>
      <x:c r="N2697" s="35" t="str">
        <x:v>Deepseek-flash-v4/Result2/Closure_160/result.json</x:v>
      </x:c>
      <x:c r="O2697" s="39" t="str">
        <x:f>IF(AND(G2697="RECORDED",ISNUMBER(H2697)),H2697,"")</x:f>
      </x:c>
      <x:c r="P2697" s="35" t="str">
        <x:v>NOT_AVAILABLE</x:v>
      </x:c>
      <x:c r="Q2697" s="35" t="str">
        <x:v>Deepseek-flash-v4/Result2/Closure_160/result.json</x:v>
      </x:c>
    </x:row>
    <x:row r="2698">
      <x:c r="A2698" s="35" t="str">
        <x:v>deepseek</x:v>
      </x:c>
      <x:c r="B2698" s="35" t="str">
        <x:v>Closure</x:v>
      </x:c>
      <x:c r="C2698" s="35" t="str">
        <x:v>Round2</x:v>
      </x:c>
      <x:c r="D2698" s="35" t="str">
        <x:v>Closure_161</x:v>
      </x:c>
      <x:c r="E2698" s="35" t="str">
        <x:v>Condition</x:v>
      </x:c>
      <x:c r="F2698" s="35" t="n">
        <x:v>498</x:v>
      </x:c>
      <x:c r="G2698" s="35" t="str">
        <x:v>RECORDED</x:v>
      </x:c>
      <x:c r="H2698" s="39" t="n">
        <x:f>IF(ISNUMBER('Data'!N990),'Data'!N990*100,"")</x:f>
        <x:v>30.72</x:v>
      </x:c>
      <x:c r="I2698" s="35" t="str">
        <x:v>PASS</x:v>
      </x:c>
      <x:c r="J2698" s="35" t="str">
        <x:v>PASS</x:v>
      </x:c>
      <x:c r="K2698" s="35" t="str">
        <x:v>PASS</x:v>
      </x:c>
      <x:c r="L2698" s="35" t="str">
        <x:v>FAIL</x:v>
      </x:c>
      <x:c r="M2698" s="35" t="str">
        <x:v>numeric coverage for applicable metric</x:v>
      </x:c>
      <x:c r="N2698" s="35" t="str">
        <x:v>Deepseek-flash-v4/Result2/Closure_161/result.json</x:v>
      </x:c>
      <x:c r="O2698" s="39" t="n">
        <x:f>IF(AND(G2698="RECORDED",ISNUMBER(H2698)),H2698,"")</x:f>
        <x:v>30.72</x:v>
      </x:c>
      <x:c r="P2698" s="35" t="str">
        <x:v>INCONCLUSIVE</x:v>
      </x:c>
      <x:c r="Q2698" s="35" t="str">
        <x:v>Deepseek-flash-v4/Result2/Closure_161/result.json</x:v>
      </x:c>
    </x:row>
    <x:row r="2699">
      <x:c r="A2699" s="35" t="str">
        <x:v>deepseek</x:v>
      </x:c>
      <x:c r="B2699" s="35" t="str">
        <x:v>Closure</x:v>
      </x:c>
      <x:c r="C2699" s="35" t="str">
        <x:v>Round2</x:v>
      </x:c>
      <x:c r="D2699" s="35" t="str">
        <x:v>Closure_162</x:v>
      </x:c>
      <x:c r="E2699" s="35" t="str">
        <x:v>Condition</x:v>
      </x:c>
      <x:c r="F2699" s="35"/>
      <x:c r="G2699" s="35" t="str">
        <x:v>A</x:v>
      </x:c>
      <x:c r="H2699" s="39" t="str">
        <x:f>IF(ISNUMBER('Data'!N991),'Data'!N991*100,"")</x:f>
      </x:c>
      <x:c r="I2699" s="35"/>
      <x:c r="J2699" s="35" t="str">
        <x:v>PASS</x:v>
      </x:c>
      <x:c r="K2699" s="35" t="str">
        <x:v>FAIL</x:v>
      </x:c>
      <x:c r="L2699" s="35" t="str">
        <x:v>NOT_RUN</x:v>
      </x:c>
      <x:c r="M2699" s="35" t="str">
        <x:v>coverage unavailable or execution/compile failed</x:v>
      </x:c>
      <x:c r="N2699" s="35" t="str">
        <x:v>Deepseek-flash-v4/Result2/Closure_162/result.json</x:v>
      </x:c>
      <x:c r="O2699" s="39" t="str">
        <x:f>IF(AND(G2699="RECORDED",ISNUMBER(H2699)),H2699,"")</x:f>
      </x:c>
      <x:c r="P2699" s="35" t="str">
        <x:v>NOT_AVAILABLE</x:v>
      </x:c>
      <x:c r="Q2699" s="35" t="str">
        <x:v>Deepseek-flash-v4/Result2/Closure_162/result.json</x:v>
      </x:c>
    </x:row>
    <x:row r="2700">
      <x:c r="A2700" s="35" t="str">
        <x:v>deepseek</x:v>
      </x:c>
      <x:c r="B2700" s="35" t="str">
        <x:v>Closure</x:v>
      </x:c>
      <x:c r="C2700" s="35" t="str">
        <x:v>Round2</x:v>
      </x:c>
      <x:c r="D2700" s="35" t="str">
        <x:v>Closure_163</x:v>
      </x:c>
      <x:c r="E2700" s="35" t="str">
        <x:v>Condition</x:v>
      </x:c>
      <x:c r="F2700" s="35"/>
      <x:c r="G2700" s="35" t="str">
        <x:v>A</x:v>
      </x:c>
      <x:c r="H2700" s="39" t="str">
        <x:f>IF(ISNUMBER('Data'!N992),'Data'!N992*100,"")</x:f>
      </x:c>
      <x:c r="I2700" s="35"/>
      <x:c r="J2700" s="35" t="str">
        <x:v>PASS</x:v>
      </x:c>
      <x:c r="K2700" s="35" t="str">
        <x:v>FAIL</x:v>
      </x:c>
      <x:c r="L2700" s="35" t="str">
        <x:v>NOT_RUN</x:v>
      </x:c>
      <x:c r="M2700" s="35" t="str">
        <x:v>coverage unavailable or execution/compile failed</x:v>
      </x:c>
      <x:c r="N2700" s="35" t="str">
        <x:v>Deepseek-flash-v4/Result2/Closure_163/result.json</x:v>
      </x:c>
      <x:c r="O2700" s="39" t="str">
        <x:f>IF(AND(G2700="RECORDED",ISNUMBER(H2700)),H2700,"")</x:f>
      </x:c>
      <x:c r="P2700" s="35" t="str">
        <x:v>NOT_AVAILABLE</x:v>
      </x:c>
      <x:c r="Q2700" s="35" t="str">
        <x:v>Deepseek-flash-v4/Result2/Closure_163/result.json</x:v>
      </x:c>
    </x:row>
    <x:row r="2701">
      <x:c r="A2701" s="35" t="str">
        <x:v>deepseek</x:v>
      </x:c>
      <x:c r="B2701" s="35" t="str">
        <x:v>Closure</x:v>
      </x:c>
      <x:c r="C2701" s="35" t="str">
        <x:v>Round2</x:v>
      </x:c>
      <x:c r="D2701" s="35" t="str">
        <x:v>Closure_164</x:v>
      </x:c>
      <x:c r="E2701" s="35" t="str">
        <x:v>Condition</x:v>
      </x:c>
      <x:c r="F2701" s="35"/>
      <x:c r="G2701" s="35" t="str">
        <x:v>A</x:v>
      </x:c>
      <x:c r="H2701" s="39" t="str">
        <x:f>IF(ISNUMBER('Data'!N993),'Data'!N993*100,"")</x:f>
      </x:c>
      <x:c r="I2701" s="35"/>
      <x:c r="J2701" s="35" t="str">
        <x:v>PASS</x:v>
      </x:c>
      <x:c r="K2701" s="35" t="str">
        <x:v>FAIL</x:v>
      </x:c>
      <x:c r="L2701" s="35" t="str">
        <x:v>NOT_RUN</x:v>
      </x:c>
      <x:c r="M2701" s="35" t="str">
        <x:v>coverage unavailable or execution/compile failed</x:v>
      </x:c>
      <x:c r="N2701" s="35" t="str">
        <x:v>Deepseek-flash-v4/Result2/Closure_164/result.json</x:v>
      </x:c>
      <x:c r="O2701" s="39" t="str">
        <x:f>IF(AND(G2701="RECORDED",ISNUMBER(H2701)),H2701,"")</x:f>
      </x:c>
      <x:c r="P2701" s="35" t="str">
        <x:v>NOT_AVAILABLE</x:v>
      </x:c>
      <x:c r="Q2701" s="35" t="str">
        <x:v>Deepseek-flash-v4/Result2/Closure_164/result.json</x:v>
      </x:c>
    </x:row>
    <x:row r="2702">
      <x:c r="A2702" s="35" t="str">
        <x:v>deepseek</x:v>
      </x:c>
      <x:c r="B2702" s="35" t="str">
        <x:v>Closure</x:v>
      </x:c>
      <x:c r="C2702" s="35" t="str">
        <x:v>Round2</x:v>
      </x:c>
      <x:c r="D2702" s="35" t="str">
        <x:v>Closure_165</x:v>
      </x:c>
      <x:c r="E2702" s="35" t="str">
        <x:v>Condition</x:v>
      </x:c>
      <x:c r="F2702" s="35"/>
      <x:c r="G2702" s="35" t="str">
        <x:v>A</x:v>
      </x:c>
      <x:c r="H2702" s="39" t="str">
        <x:f>IF(ISNUMBER('Data'!N994),'Data'!N994*100,"")</x:f>
      </x:c>
      <x:c r="I2702" s="35"/>
      <x:c r="J2702" s="35" t="str">
        <x:v>PASS</x:v>
      </x:c>
      <x:c r="K2702" s="35" t="str">
        <x:v>FAIL</x:v>
      </x:c>
      <x:c r="L2702" s="35" t="str">
        <x:v>NOT_RUN</x:v>
      </x:c>
      <x:c r="M2702" s="35" t="str">
        <x:v>coverage unavailable or execution/compile failed</x:v>
      </x:c>
      <x:c r="N2702" s="35" t="str">
        <x:v>Deepseek-flash-v4/Result2/Closure_165/result.json</x:v>
      </x:c>
      <x:c r="O2702" s="39" t="str">
        <x:f>IF(AND(G2702="RECORDED",ISNUMBER(H2702)),H2702,"")</x:f>
      </x:c>
      <x:c r="P2702" s="35" t="str">
        <x:v>NOT_AVAILABLE</x:v>
      </x:c>
      <x:c r="Q2702" s="35" t="str">
        <x:v>Deepseek-flash-v4/Result2/Closure_165/result.json</x:v>
      </x:c>
    </x:row>
    <x:row r="2703">
      <x:c r="A2703" s="35" t="str">
        <x:v>deepseek</x:v>
      </x:c>
      <x:c r="B2703" s="35" t="str">
        <x:v>Closure</x:v>
      </x:c>
      <x:c r="C2703" s="35" t="str">
        <x:v>Round2</x:v>
      </x:c>
      <x:c r="D2703" s="35" t="str">
        <x:v>Closure_166</x:v>
      </x:c>
      <x:c r="E2703" s="35" t="str">
        <x:v>Condition</x:v>
      </x:c>
      <x:c r="F2703" s="35"/>
      <x:c r="G2703" s="35" t="str">
        <x:v>A</x:v>
      </x:c>
      <x:c r="H2703" s="39" t="str">
        <x:f>IF(ISNUMBER('Data'!N995),'Data'!N995*100,"")</x:f>
      </x:c>
      <x:c r="I2703" s="35"/>
      <x:c r="J2703" s="35" t="str">
        <x:v>PASS</x:v>
      </x:c>
      <x:c r="K2703" s="35" t="str">
        <x:v>FAIL</x:v>
      </x:c>
      <x:c r="L2703" s="35" t="str">
        <x:v>NOT_RUN</x:v>
      </x:c>
      <x:c r="M2703" s="35" t="str">
        <x:v>coverage unavailable or execution/compile failed</x:v>
      </x:c>
      <x:c r="N2703" s="35" t="str">
        <x:v>Deepseek-flash-v4/Result2/Closure_166/result.json</x:v>
      </x:c>
      <x:c r="O2703" s="39" t="str">
        <x:f>IF(AND(G2703="RECORDED",ISNUMBER(H2703)),H2703,"")</x:f>
      </x:c>
      <x:c r="P2703" s="35" t="str">
        <x:v>NOT_AVAILABLE</x:v>
      </x:c>
      <x:c r="Q2703" s="35" t="str">
        <x:v>Deepseek-flash-v4/Result2/Closure_166/result.json</x:v>
      </x:c>
    </x:row>
    <x:row r="2704">
      <x:c r="A2704" s="35" t="str">
        <x:v>deepseek</x:v>
      </x:c>
      <x:c r="B2704" s="35" t="str">
        <x:v>Closure</x:v>
      </x:c>
      <x:c r="C2704" s="35" t="str">
        <x:v>Round2</x:v>
      </x:c>
      <x:c r="D2704" s="35" t="str">
        <x:v>Closure_167</x:v>
      </x:c>
      <x:c r="E2704" s="35" t="str">
        <x:v>Condition</x:v>
      </x:c>
      <x:c r="F2704" s="35"/>
      <x:c r="G2704" s="35" t="str">
        <x:v>A</x:v>
      </x:c>
      <x:c r="H2704" s="39" t="str">
        <x:f>IF(ISNUMBER('Data'!N996),'Data'!N996*100,"")</x:f>
      </x:c>
      <x:c r="I2704" s="35"/>
      <x:c r="J2704" s="35" t="str">
        <x:v>PASS</x:v>
      </x:c>
      <x:c r="K2704" s="35" t="str">
        <x:v>FAIL</x:v>
      </x:c>
      <x:c r="L2704" s="35" t="str">
        <x:v>NOT_RUN</x:v>
      </x:c>
      <x:c r="M2704" s="35" t="str">
        <x:v>coverage unavailable or execution/compile failed</x:v>
      </x:c>
      <x:c r="N2704" s="35" t="str">
        <x:v>Deepseek-flash-v4/Result2/Closure_167/result.json</x:v>
      </x:c>
      <x:c r="O2704" s="39" t="str">
        <x:f>IF(AND(G2704="RECORDED",ISNUMBER(H2704)),H2704,"")</x:f>
      </x:c>
      <x:c r="P2704" s="35" t="str">
        <x:v>NOT_AVAILABLE</x:v>
      </x:c>
      <x:c r="Q2704" s="35" t="str">
        <x:v>Deepseek-flash-v4/Result2/Closure_167/result.json</x:v>
      </x:c>
    </x:row>
    <x:row r="2705">
      <x:c r="A2705" s="35" t="str">
        <x:v>deepseek</x:v>
      </x:c>
      <x:c r="B2705" s="35" t="str">
        <x:v>Closure</x:v>
      </x:c>
      <x:c r="C2705" s="35" t="str">
        <x:v>Round2</x:v>
      </x:c>
      <x:c r="D2705" s="35" t="str">
        <x:v>Closure_168</x:v>
      </x:c>
      <x:c r="E2705" s="35" t="str">
        <x:v>Condition</x:v>
      </x:c>
      <x:c r="F2705" s="35"/>
      <x:c r="G2705" s="35" t="str">
        <x:v>A</x:v>
      </x:c>
      <x:c r="H2705" s="39" t="str">
        <x:f>IF(ISNUMBER('Data'!N997),'Data'!N997*100,"")</x:f>
      </x:c>
      <x:c r="I2705" s="35"/>
      <x:c r="J2705" s="35" t="str">
        <x:v>PASS</x:v>
      </x:c>
      <x:c r="K2705" s="35" t="str">
        <x:v>FAIL</x:v>
      </x:c>
      <x:c r="L2705" s="35" t="str">
        <x:v>NOT_RUN</x:v>
      </x:c>
      <x:c r="M2705" s="35" t="str">
        <x:v>coverage unavailable or execution/compile failed</x:v>
      </x:c>
      <x:c r="N2705" s="35" t="str">
        <x:v>Deepseek-flash-v4/Result2/Closure_168/result.json</x:v>
      </x:c>
      <x:c r="O2705" s="39" t="str">
        <x:f>IF(AND(G2705="RECORDED",ISNUMBER(H2705)),H2705,"")</x:f>
      </x:c>
      <x:c r="P2705" s="35" t="str">
        <x:v>NOT_AVAILABLE</x:v>
      </x:c>
      <x:c r="Q2705" s="35" t="str">
        <x:v>Deepseek-flash-v4/Result2/Closure_168/result.json</x:v>
      </x:c>
    </x:row>
    <x:row r="2706">
      <x:c r="A2706" s="35" t="str">
        <x:v>deepseek</x:v>
      </x:c>
      <x:c r="B2706" s="35" t="str">
        <x:v>Closure</x:v>
      </x:c>
      <x:c r="C2706" s="35" t="str">
        <x:v>Round2</x:v>
      </x:c>
      <x:c r="D2706" s="35" t="str">
        <x:v>Closure_169</x:v>
      </x:c>
      <x:c r="E2706" s="35" t="str">
        <x:v>Condition</x:v>
      </x:c>
      <x:c r="F2706" s="35"/>
      <x:c r="G2706" s="35" t="str">
        <x:v>A</x:v>
      </x:c>
      <x:c r="H2706" s="39" t="str">
        <x:f>IF(ISNUMBER('Data'!N998),'Data'!N998*100,"")</x:f>
      </x:c>
      <x:c r="I2706" s="35"/>
      <x:c r="J2706" s="35" t="str">
        <x:v>PASS</x:v>
      </x:c>
      <x:c r="K2706" s="35" t="str">
        <x:v>FAIL</x:v>
      </x:c>
      <x:c r="L2706" s="35" t="str">
        <x:v>NOT_RUN</x:v>
      </x:c>
      <x:c r="M2706" s="35" t="str">
        <x:v>coverage unavailable or execution/compile failed</x:v>
      </x:c>
      <x:c r="N2706" s="35" t="str">
        <x:v>Deepseek-flash-v4/Result2/Closure_169/result.json</x:v>
      </x:c>
      <x:c r="O2706" s="39" t="str">
        <x:f>IF(AND(G2706="RECORDED",ISNUMBER(H2706)),H2706,"")</x:f>
      </x:c>
      <x:c r="P2706" s="35" t="str">
        <x:v>NOT_AVAILABLE</x:v>
      </x:c>
      <x:c r="Q2706" s="35" t="str">
        <x:v>Deepseek-flash-v4/Result2/Closure_169/result.json</x:v>
      </x:c>
    </x:row>
    <x:row r="2707">
      <x:c r="A2707" s="35" t="str">
        <x:v>deepseek</x:v>
      </x:c>
      <x:c r="B2707" s="35" t="str">
        <x:v>Closure</x:v>
      </x:c>
      <x:c r="C2707" s="35" t="str">
        <x:v>Round2</x:v>
      </x:c>
      <x:c r="D2707" s="35" t="str">
        <x:v>Closure_17</x:v>
      </x:c>
      <x:c r="E2707" s="35" t="str">
        <x:v>Condition</x:v>
      </x:c>
      <x:c r="F2707" s="35"/>
      <x:c r="G2707" s="35" t="str">
        <x:v>A</x:v>
      </x:c>
      <x:c r="H2707" s="39" t="str">
        <x:f>IF(ISNUMBER('Data'!N999),'Data'!N999*100,"")</x:f>
      </x:c>
      <x:c r="I2707" s="35"/>
      <x:c r="J2707" s="35" t="str">
        <x:v>PASS</x:v>
      </x:c>
      <x:c r="K2707" s="35" t="str">
        <x:v>FAIL</x:v>
      </x:c>
      <x:c r="L2707" s="35" t="str">
        <x:v>NOT_RUN</x:v>
      </x:c>
      <x:c r="M2707" s="35" t="str">
        <x:v>coverage unavailable or execution/compile failed</x:v>
      </x:c>
      <x:c r="N2707" s="35" t="str">
        <x:v>Deepseek-flash-v4/Result2/Closure_17/result.json</x:v>
      </x:c>
      <x:c r="O2707" s="39" t="str">
        <x:f>IF(AND(G2707="RECORDED",ISNUMBER(H2707)),H2707,"")</x:f>
      </x:c>
      <x:c r="P2707" s="35" t="str">
        <x:v>NOT_AVAILABLE</x:v>
      </x:c>
      <x:c r="Q2707" s="35" t="str">
        <x:v>Deepseek-flash-v4/Result2/Closure_17/result.json</x:v>
      </x:c>
    </x:row>
    <x:row r="2708">
      <x:c r="A2708" s="35" t="str">
        <x:v>deepseek</x:v>
      </x:c>
      <x:c r="B2708" s="35" t="str">
        <x:v>Closure</x:v>
      </x:c>
      <x:c r="C2708" s="35" t="str">
        <x:v>Round2</x:v>
      </x:c>
      <x:c r="D2708" s="35" t="str">
        <x:v>Closure_170</x:v>
      </x:c>
      <x:c r="E2708" s="35" t="str">
        <x:v>Condition</x:v>
      </x:c>
      <x:c r="F2708" s="35" t="n">
        <x:v>132</x:v>
      </x:c>
      <x:c r="G2708" s="35" t="str">
        <x:v>RECORDED</x:v>
      </x:c>
      <x:c r="H2708" s="39" t="n">
        <x:f>IF(ISNUMBER('Data'!N1000),'Data'!N1000*100,"")</x:f>
        <x:v>0</x:v>
      </x:c>
      <x:c r="I2708" s="35" t="str">
        <x:v>PASS</x:v>
      </x:c>
      <x:c r="J2708" s="35" t="str">
        <x:v>PASS</x:v>
      </x:c>
      <x:c r="K2708" s="35" t="str">
        <x:v>PASS</x:v>
      </x:c>
      <x:c r="L2708" s="35" t="str">
        <x:v>FAIL</x:v>
      </x:c>
      <x:c r="M2708" s="35" t="str">
        <x:v>numeric coverage for applicable metric</x:v>
      </x:c>
      <x:c r="N2708" s="35" t="str">
        <x:v>Deepseek-flash-v4/Result2/Closure_170/result.json</x:v>
      </x:c>
      <x:c r="O2708" s="39" t="n">
        <x:f>IF(AND(G2708="RECORDED",ISNUMBER(H2708)),H2708,"")</x:f>
        <x:v>0</x:v>
      </x:c>
      <x:c r="P2708" s="35" t="str">
        <x:v>INCONCLUSIVE</x:v>
      </x:c>
      <x:c r="Q2708" s="35" t="str">
        <x:v>Deepseek-flash-v4/Result2/Closure_170/result.json</x:v>
      </x:c>
    </x:row>
    <x:row r="2709">
      <x:c r="A2709" s="35" t="str">
        <x:v>deepseek</x:v>
      </x:c>
      <x:c r="B2709" s="35" t="str">
        <x:v>Closure</x:v>
      </x:c>
      <x:c r="C2709" s="35" t="str">
        <x:v>Round2</x:v>
      </x:c>
      <x:c r="D2709" s="35" t="str">
        <x:v>Closure_171</x:v>
      </x:c>
      <x:c r="E2709" s="35" t="str">
        <x:v>Condition</x:v>
      </x:c>
      <x:c r="F2709" s="35"/>
      <x:c r="G2709" s="35" t="str">
        <x:v>A</x:v>
      </x:c>
      <x:c r="H2709" s="39" t="str">
        <x:f>IF(ISNUMBER('Data'!N1001),'Data'!N1001*100,"")</x:f>
      </x:c>
      <x:c r="I2709" s="35"/>
      <x:c r="J2709" s="35" t="str">
        <x:v>PASS</x:v>
      </x:c>
      <x:c r="K2709" s="35" t="str">
        <x:v>FAIL</x:v>
      </x:c>
      <x:c r="L2709" s="35" t="str">
        <x:v>NOT_RUN</x:v>
      </x:c>
      <x:c r="M2709" s="35" t="str">
        <x:v>coverage unavailable or execution/compile failed</x:v>
      </x:c>
      <x:c r="N2709" s="35" t="str">
        <x:v>Deepseek-flash-v4/Result2/Closure_171/result.json</x:v>
      </x:c>
      <x:c r="O2709" s="39" t="str">
        <x:f>IF(AND(G2709="RECORDED",ISNUMBER(H2709)),H2709,"")</x:f>
      </x:c>
      <x:c r="P2709" s="35" t="str">
        <x:v>NOT_AVAILABLE</x:v>
      </x:c>
      <x:c r="Q2709" s="35" t="str">
        <x:v>Deepseek-flash-v4/Result2/Closure_171/result.json</x:v>
      </x:c>
    </x:row>
    <x:row r="2710">
      <x:c r="A2710" s="35" t="str">
        <x:v>deepseek</x:v>
      </x:c>
      <x:c r="B2710" s="35" t="str">
        <x:v>Closure</x:v>
      </x:c>
      <x:c r="C2710" s="35" t="str">
        <x:v>Round2</x:v>
      </x:c>
      <x:c r="D2710" s="35" t="str">
        <x:v>Closure_172</x:v>
      </x:c>
      <x:c r="E2710" s="35" t="str">
        <x:v>Condition</x:v>
      </x:c>
      <x:c r="F2710" s="35" t="n">
        <x:v>762</x:v>
      </x:c>
      <x:c r="G2710" s="35" t="str">
        <x:v>RECORDED</x:v>
      </x:c>
      <x:c r="H2710" s="39" t="n">
        <x:f>IF(ISNUMBER('Data'!N1002),'Data'!N1002*100,"")</x:f>
        <x:v>0</x:v>
      </x:c>
      <x:c r="I2710" s="35" t="str">
        <x:v>PASS</x:v>
      </x:c>
      <x:c r="J2710" s="35" t="str">
        <x:v>PASS</x:v>
      </x:c>
      <x:c r="K2710" s="35" t="str">
        <x:v>PASS</x:v>
      </x:c>
      <x:c r="L2710" s="35" t="str">
        <x:v>FAIL</x:v>
      </x:c>
      <x:c r="M2710" s="35" t="str">
        <x:v>numeric coverage for applicable metric</x:v>
      </x:c>
      <x:c r="N2710" s="35" t="str">
        <x:v>Deepseek-flash-v4/Result2/Closure_172/result.json</x:v>
      </x:c>
      <x:c r="O2710" s="39" t="n">
        <x:f>IF(AND(G2710="RECORDED",ISNUMBER(H2710)),H2710,"")</x:f>
        <x:v>0</x:v>
      </x:c>
      <x:c r="P2710" s="35" t="str">
        <x:v>INCONCLUSIVE</x:v>
      </x:c>
      <x:c r="Q2710" s="35" t="str">
        <x:v>Deepseek-flash-v4/Result2/Closure_172/result.json</x:v>
      </x:c>
    </x:row>
    <x:row r="2711">
      <x:c r="A2711" s="35" t="str">
        <x:v>deepseek</x:v>
      </x:c>
      <x:c r="B2711" s="35" t="str">
        <x:v>Closure</x:v>
      </x:c>
      <x:c r="C2711" s="35" t="str">
        <x:v>Round2</x:v>
      </x:c>
      <x:c r="D2711" s="35" t="str">
        <x:v>Closure_173</x:v>
      </x:c>
      <x:c r="E2711" s="35" t="str">
        <x:v>Condition</x:v>
      </x:c>
      <x:c r="F2711" s="35" t="n">
        <x:v>685</x:v>
      </x:c>
      <x:c r="G2711" s="35" t="str">
        <x:v>RECORDED</x:v>
      </x:c>
      <x:c r="H2711" s="39" t="n">
        <x:f>IF(ISNUMBER('Data'!N1003),'Data'!N1003*100,"")</x:f>
        <x:v>4.23</x:v>
      </x:c>
      <x:c r="I2711" s="35" t="str">
        <x:v>PASS</x:v>
      </x:c>
      <x:c r="J2711" s="35" t="str">
        <x:v>PASS</x:v>
      </x:c>
      <x:c r="K2711" s="35" t="str">
        <x:v>PASS</x:v>
      </x:c>
      <x:c r="L2711" s="35" t="str">
        <x:v>FAIL</x:v>
      </x:c>
      <x:c r="M2711" s="35" t="str">
        <x:v>numeric coverage for applicable metric</x:v>
      </x:c>
      <x:c r="N2711" s="35" t="str">
        <x:v>Deepseek-flash-v4/Result2/Closure_173/result.json</x:v>
      </x:c>
      <x:c r="O2711" s="39" t="n">
        <x:f>IF(AND(G2711="RECORDED",ISNUMBER(H2711)),H2711,"")</x:f>
        <x:v>4.23</x:v>
      </x:c>
      <x:c r="P2711" s="35" t="str">
        <x:v>INCONCLUSIVE</x:v>
      </x:c>
      <x:c r="Q2711" s="35" t="str">
        <x:v>Deepseek-flash-v4/Result2/Closure_173/result.json</x:v>
      </x:c>
    </x:row>
    <x:row r="2712">
      <x:c r="A2712" s="35" t="str">
        <x:v>deepseek</x:v>
      </x:c>
      <x:c r="B2712" s="35" t="str">
        <x:v>Closure</x:v>
      </x:c>
      <x:c r="C2712" s="35" t="str">
        <x:v>Round2</x:v>
      </x:c>
      <x:c r="D2712" s="35" t="str">
        <x:v>Closure_174</x:v>
      </x:c>
      <x:c r="E2712" s="35" t="str">
        <x:v>Condition</x:v>
      </x:c>
      <x:c r="F2712" s="35"/>
      <x:c r="G2712" s="35" t="str">
        <x:v>A</x:v>
      </x:c>
      <x:c r="H2712" s="39" t="str">
        <x:f>IF(ISNUMBER('Data'!N1004),'Data'!N1004*100,"")</x:f>
      </x:c>
      <x:c r="I2712" s="35"/>
      <x:c r="J2712" s="35" t="str">
        <x:v>PASS</x:v>
      </x:c>
      <x:c r="K2712" s="35" t="str">
        <x:v>FAIL</x:v>
      </x:c>
      <x:c r="L2712" s="35" t="str">
        <x:v>NOT_RUN</x:v>
      </x:c>
      <x:c r="M2712" s="35" t="str">
        <x:v>coverage unavailable or execution/compile failed</x:v>
      </x:c>
      <x:c r="N2712" s="35" t="str">
        <x:v>Deepseek-flash-v4/Result2/Closure_174/result.json</x:v>
      </x:c>
      <x:c r="O2712" s="39" t="str">
        <x:f>IF(AND(G2712="RECORDED",ISNUMBER(H2712)),H2712,"")</x:f>
      </x:c>
      <x:c r="P2712" s="35" t="str">
        <x:v>NOT_AVAILABLE</x:v>
      </x:c>
      <x:c r="Q2712" s="35" t="str">
        <x:v>Deepseek-flash-v4/Result2/Closure_174/result.json</x:v>
      </x:c>
    </x:row>
    <x:row r="2713">
      <x:c r="A2713" s="35" t="str">
        <x:v>deepseek</x:v>
      </x:c>
      <x:c r="B2713" s="35" t="str">
        <x:v>Closure</x:v>
      </x:c>
      <x:c r="C2713" s="35" t="str">
        <x:v>Round2</x:v>
      </x:c>
      <x:c r="D2713" s="35" t="str">
        <x:v>Closure_175</x:v>
      </x:c>
      <x:c r="E2713" s="35" t="str">
        <x:v>Condition</x:v>
      </x:c>
      <x:c r="F2713" s="35"/>
      <x:c r="G2713" s="35" t="str">
        <x:v>A</x:v>
      </x:c>
      <x:c r="H2713" s="39" t="str">
        <x:f>IF(ISNUMBER('Data'!N1005),'Data'!N1005*100,"")</x:f>
      </x:c>
      <x:c r="I2713" s="35"/>
      <x:c r="J2713" s="35" t="str">
        <x:v>PASS</x:v>
      </x:c>
      <x:c r="K2713" s="35" t="str">
        <x:v>FAIL</x:v>
      </x:c>
      <x:c r="L2713" s="35" t="str">
        <x:v>NOT_RUN</x:v>
      </x:c>
      <x:c r="M2713" s="35" t="str">
        <x:v>coverage unavailable or execution/compile failed</x:v>
      </x:c>
      <x:c r="N2713" s="35" t="str">
        <x:v>Deepseek-flash-v4/Result2/Closure_175/result.json</x:v>
      </x:c>
      <x:c r="O2713" s="39" t="str">
        <x:f>IF(AND(G2713="RECORDED",ISNUMBER(H2713)),H2713,"")</x:f>
      </x:c>
      <x:c r="P2713" s="35" t="str">
        <x:v>NOT_AVAILABLE</x:v>
      </x:c>
      <x:c r="Q2713" s="35" t="str">
        <x:v>Deepseek-flash-v4/Result2/Closure_175/result.json</x:v>
      </x:c>
    </x:row>
    <x:row r="2714">
      <x:c r="A2714" s="35" t="str">
        <x:v>deepseek</x:v>
      </x:c>
      <x:c r="B2714" s="35" t="str">
        <x:v>Closure</x:v>
      </x:c>
      <x:c r="C2714" s="35" t="str">
        <x:v>Round2</x:v>
      </x:c>
      <x:c r="D2714" s="35" t="str">
        <x:v>Closure_176</x:v>
      </x:c>
      <x:c r="E2714" s="35" t="str">
        <x:v>Condition</x:v>
      </x:c>
      <x:c r="F2714" s="35"/>
      <x:c r="G2714" s="35" t="str">
        <x:v>A</x:v>
      </x:c>
      <x:c r="H2714" s="39" t="str">
        <x:f>IF(ISNUMBER('Data'!N1006),'Data'!N1006*100,"")</x:f>
      </x:c>
      <x:c r="I2714" s="35"/>
      <x:c r="J2714" s="35" t="str">
        <x:v>PASS</x:v>
      </x:c>
      <x:c r="K2714" s="35" t="str">
        <x:v>FAIL</x:v>
      </x:c>
      <x:c r="L2714" s="35" t="str">
        <x:v>NOT_RUN</x:v>
      </x:c>
      <x:c r="M2714" s="35" t="str">
        <x:v>coverage unavailable or execution/compile failed</x:v>
      </x:c>
      <x:c r="N2714" s="35" t="str">
        <x:v>Deepseek-flash-v4/Result2/Closure_176/result.json</x:v>
      </x:c>
      <x:c r="O2714" s="39" t="str">
        <x:f>IF(AND(G2714="RECORDED",ISNUMBER(H2714)),H2714,"")</x:f>
      </x:c>
      <x:c r="P2714" s="35" t="str">
        <x:v>NOT_AVAILABLE</x:v>
      </x:c>
      <x:c r="Q2714" s="35" t="str">
        <x:v>Deepseek-flash-v4/Result2/Closure_176/result.json</x:v>
      </x:c>
    </x:row>
    <x:row r="2715">
      <x:c r="A2715" s="35" t="str">
        <x:v>deepseek</x:v>
      </x:c>
      <x:c r="B2715" s="35" t="str">
        <x:v>Closure</x:v>
      </x:c>
      <x:c r="C2715" s="35" t="str">
        <x:v>Round2</x:v>
      </x:c>
      <x:c r="D2715" s="35" t="str">
        <x:v>Closure_18</x:v>
      </x:c>
      <x:c r="E2715" s="35" t="str">
        <x:v>Condition</x:v>
      </x:c>
      <x:c r="F2715" s="35"/>
      <x:c r="G2715" s="35" t="str">
        <x:v>A</x:v>
      </x:c>
      <x:c r="H2715" s="39" t="str">
        <x:f>IF(ISNUMBER('Data'!N1007),'Data'!N1007*100,"")</x:f>
      </x:c>
      <x:c r="I2715" s="35"/>
      <x:c r="J2715" s="35" t="str">
        <x:v>PASS</x:v>
      </x:c>
      <x:c r="K2715" s="35" t="str">
        <x:v>FAIL</x:v>
      </x:c>
      <x:c r="L2715" s="35" t="str">
        <x:v>NOT_RUN</x:v>
      </x:c>
      <x:c r="M2715" s="35" t="str">
        <x:v>coverage unavailable or execution/compile failed</x:v>
      </x:c>
      <x:c r="N2715" s="35" t="str">
        <x:v>Deepseek-flash-v4/Result2/Closure_18/result.json</x:v>
      </x:c>
      <x:c r="O2715" s="39" t="str">
        <x:f>IF(AND(G2715="RECORDED",ISNUMBER(H2715)),H2715,"")</x:f>
      </x:c>
      <x:c r="P2715" s="35" t="str">
        <x:v>NOT_AVAILABLE</x:v>
      </x:c>
      <x:c r="Q2715" s="35" t="str">
        <x:v>Deepseek-flash-v4/Result2/Closure_18/result.json</x:v>
      </x:c>
    </x:row>
    <x:row r="2716">
      <x:c r="A2716" s="35" t="str">
        <x:v>deepseek</x:v>
      </x:c>
      <x:c r="B2716" s="35" t="str">
        <x:v>Closure</x:v>
      </x:c>
      <x:c r="C2716" s="35" t="str">
        <x:v>Round2</x:v>
      </x:c>
      <x:c r="D2716" s="35" t="str">
        <x:v>Closure_19</x:v>
      </x:c>
      <x:c r="E2716" s="35" t="str">
        <x:v>Condition</x:v>
      </x:c>
      <x:c r="F2716" s="35"/>
      <x:c r="G2716" s="35" t="str">
        <x:v>A</x:v>
      </x:c>
      <x:c r="H2716" s="39" t="str">
        <x:f>IF(ISNUMBER('Data'!N1008),'Data'!N1008*100,"")</x:f>
      </x:c>
      <x:c r="I2716" s="35"/>
      <x:c r="J2716" s="35" t="str">
        <x:v>PASS</x:v>
      </x:c>
      <x:c r="K2716" s="35" t="str">
        <x:v>FAIL</x:v>
      </x:c>
      <x:c r="L2716" s="35" t="str">
        <x:v>NOT_RUN</x:v>
      </x:c>
      <x:c r="M2716" s="35" t="str">
        <x:v>coverage unavailable or execution/compile failed</x:v>
      </x:c>
      <x:c r="N2716" s="35" t="str">
        <x:v>Deepseek-flash-v4/Result2/Closure_19/result.json</x:v>
      </x:c>
      <x:c r="O2716" s="39" t="str">
        <x:f>IF(AND(G2716="RECORDED",ISNUMBER(H2716)),H2716,"")</x:f>
      </x:c>
      <x:c r="P2716" s="35" t="str">
        <x:v>NOT_AVAILABLE</x:v>
      </x:c>
      <x:c r="Q2716" s="35" t="str">
        <x:v>Deepseek-flash-v4/Result2/Closure_19/result.json</x:v>
      </x:c>
    </x:row>
    <x:row r="2717">
      <x:c r="A2717" s="35" t="str">
        <x:v>deepseek</x:v>
      </x:c>
      <x:c r="B2717" s="35" t="str">
        <x:v>Closure</x:v>
      </x:c>
      <x:c r="C2717" s="35" t="str">
        <x:v>Round2</x:v>
      </x:c>
      <x:c r="D2717" s="35" t="str">
        <x:v>Closure_2</x:v>
      </x:c>
      <x:c r="E2717" s="35" t="str">
        <x:v>Condition</x:v>
      </x:c>
      <x:c r="F2717" s="35"/>
      <x:c r="G2717" s="35" t="str">
        <x:v>A</x:v>
      </x:c>
      <x:c r="H2717" s="39" t="str">
        <x:f>IF(ISNUMBER('Data'!N1009),'Data'!N1009*100,"")</x:f>
      </x:c>
      <x:c r="I2717" s="35"/>
      <x:c r="J2717" s="35" t="str">
        <x:v>PASS</x:v>
      </x:c>
      <x:c r="K2717" s="35" t="str">
        <x:v>FAIL</x:v>
      </x:c>
      <x:c r="L2717" s="35" t="str">
        <x:v>NOT_RUN</x:v>
      </x:c>
      <x:c r="M2717" s="35" t="str">
        <x:v>coverage unavailable or execution/compile failed</x:v>
      </x:c>
      <x:c r="N2717" s="35" t="str">
        <x:v>Deepseek-flash-v4/Result2/Closure_2/result.json</x:v>
      </x:c>
      <x:c r="O2717" s="39" t="str">
        <x:f>IF(AND(G2717="RECORDED",ISNUMBER(H2717)),H2717,"")</x:f>
      </x:c>
      <x:c r="P2717" s="35" t="str">
        <x:v>NOT_AVAILABLE</x:v>
      </x:c>
      <x:c r="Q2717" s="35" t="str">
        <x:v>Deepseek-flash-v4/Result2/Closure_2/result.json</x:v>
      </x:c>
    </x:row>
    <x:row r="2718">
      <x:c r="A2718" s="35" t="str">
        <x:v>deepseek</x:v>
      </x:c>
      <x:c r="B2718" s="35" t="str">
        <x:v>Closure</x:v>
      </x:c>
      <x:c r="C2718" s="35" t="str">
        <x:v>Round2</x:v>
      </x:c>
      <x:c r="D2718" s="35" t="str">
        <x:v>Closure_20</x:v>
      </x:c>
      <x:c r="E2718" s="35" t="str">
        <x:v>Condition</x:v>
      </x:c>
      <x:c r="F2718" s="35" t="n">
        <x:v>526</x:v>
      </x:c>
      <x:c r="G2718" s="35" t="str">
        <x:v>RECORDED</x:v>
      </x:c>
      <x:c r="H2718" s="39" t="n">
        <x:f>IF(ISNUMBER('Data'!N1010),'Data'!N1010*100,"")</x:f>
        <x:v>6.08</x:v>
      </x:c>
      <x:c r="I2718" s="35" t="str">
        <x:v>PASS</x:v>
      </x:c>
      <x:c r="J2718" s="35" t="str">
        <x:v>PASS</x:v>
      </x:c>
      <x:c r="K2718" s="35" t="str">
        <x:v>PASS</x:v>
      </x:c>
      <x:c r="L2718" s="35" t="str">
        <x:v>FAIL</x:v>
      </x:c>
      <x:c r="M2718" s="35" t="str">
        <x:v>numeric coverage for applicable metric</x:v>
      </x:c>
      <x:c r="N2718" s="35" t="str">
        <x:v>Deepseek-flash-v4/Result2/Closure_20/result.json</x:v>
      </x:c>
      <x:c r="O2718" s="39" t="n">
        <x:f>IF(AND(G2718="RECORDED",ISNUMBER(H2718)),H2718,"")</x:f>
        <x:v>6.08</x:v>
      </x:c>
      <x:c r="P2718" s="35" t="str">
        <x:v>INCONCLUSIVE</x:v>
      </x:c>
      <x:c r="Q2718" s="35" t="str">
        <x:v>Deepseek-flash-v4/Result2/Closure_20/result.json</x:v>
      </x:c>
    </x:row>
    <x:row r="2719">
      <x:c r="A2719" s="35" t="str">
        <x:v>deepseek</x:v>
      </x:c>
      <x:c r="B2719" s="35" t="str">
        <x:v>Closure</x:v>
      </x:c>
      <x:c r="C2719" s="35" t="str">
        <x:v>Round2</x:v>
      </x:c>
      <x:c r="D2719" s="35" t="str">
        <x:v>Closure_21</x:v>
      </x:c>
      <x:c r="E2719" s="35" t="str">
        <x:v>Condition</x:v>
      </x:c>
      <x:c r="F2719" s="35"/>
      <x:c r="G2719" s="35" t="str">
        <x:v>A</x:v>
      </x:c>
      <x:c r="H2719" s="39" t="str">
        <x:f>IF(ISNUMBER('Data'!N1011),'Data'!N1011*100,"")</x:f>
      </x:c>
      <x:c r="I2719" s="35"/>
      <x:c r="J2719" s="35" t="str">
        <x:v>PASS</x:v>
      </x:c>
      <x:c r="K2719" s="35" t="str">
        <x:v>FAIL</x:v>
      </x:c>
      <x:c r="L2719" s="35" t="str">
        <x:v>NOT_RUN</x:v>
      </x:c>
      <x:c r="M2719" s="35" t="str">
        <x:v>coverage unavailable or execution/compile failed</x:v>
      </x:c>
      <x:c r="N2719" s="35" t="str">
        <x:v>Deepseek-flash-v4/Result2/Closure_21/result.json</x:v>
      </x:c>
      <x:c r="O2719" s="39" t="str">
        <x:f>IF(AND(G2719="RECORDED",ISNUMBER(H2719)),H2719,"")</x:f>
      </x:c>
      <x:c r="P2719" s="35" t="str">
        <x:v>NOT_AVAILABLE</x:v>
      </x:c>
      <x:c r="Q2719" s="35" t="str">
        <x:v>Deepseek-flash-v4/Result2/Closure_21/result.json</x:v>
      </x:c>
    </x:row>
    <x:row r="2720">
      <x:c r="A2720" s="35" t="str">
        <x:v>deepseek</x:v>
      </x:c>
      <x:c r="B2720" s="35" t="str">
        <x:v>Closure</x:v>
      </x:c>
      <x:c r="C2720" s="35" t="str">
        <x:v>Round2</x:v>
      </x:c>
      <x:c r="D2720" s="35" t="str">
        <x:v>Closure_22</x:v>
      </x:c>
      <x:c r="E2720" s="35" t="str">
        <x:v>Condition</x:v>
      </x:c>
      <x:c r="F2720" s="35"/>
      <x:c r="G2720" s="35" t="str">
        <x:v>A</x:v>
      </x:c>
      <x:c r="H2720" s="39" t="str">
        <x:f>IF(ISNUMBER('Data'!N1012),'Data'!N1012*100,"")</x:f>
      </x:c>
      <x:c r="I2720" s="35"/>
      <x:c r="J2720" s="35" t="str">
        <x:v>PASS</x:v>
      </x:c>
      <x:c r="K2720" s="35" t="str">
        <x:v>FAIL</x:v>
      </x:c>
      <x:c r="L2720" s="35" t="str">
        <x:v>NOT_RUN</x:v>
      </x:c>
      <x:c r="M2720" s="35" t="str">
        <x:v>coverage unavailable or execution/compile failed</x:v>
      </x:c>
      <x:c r="N2720" s="35" t="str">
        <x:v>Deepseek-flash-v4/Result2/Closure_22/result.json</x:v>
      </x:c>
      <x:c r="O2720" s="39" t="str">
        <x:f>IF(AND(G2720="RECORDED",ISNUMBER(H2720)),H2720,"")</x:f>
      </x:c>
      <x:c r="P2720" s="35" t="str">
        <x:v>NOT_AVAILABLE</x:v>
      </x:c>
      <x:c r="Q2720" s="35" t="str">
        <x:v>Deepseek-flash-v4/Result2/Closure_22/result.json</x:v>
      </x:c>
    </x:row>
    <x:row r="2721">
      <x:c r="A2721" s="35" t="str">
        <x:v>deepseek</x:v>
      </x:c>
      <x:c r="B2721" s="35" t="str">
        <x:v>Closure</x:v>
      </x:c>
      <x:c r="C2721" s="35" t="str">
        <x:v>Round2</x:v>
      </x:c>
      <x:c r="D2721" s="35" t="str">
        <x:v>Closure_23</x:v>
      </x:c>
      <x:c r="E2721" s="35" t="str">
        <x:v>Condition</x:v>
      </x:c>
      <x:c r="F2721" s="35"/>
      <x:c r="G2721" s="35" t="str">
        <x:v>A</x:v>
      </x:c>
      <x:c r="H2721" s="39" t="str">
        <x:f>IF(ISNUMBER('Data'!N1013),'Data'!N1013*100,"")</x:f>
      </x:c>
      <x:c r="I2721" s="35"/>
      <x:c r="J2721" s="35" t="str">
        <x:v>PASS</x:v>
      </x:c>
      <x:c r="K2721" s="35" t="str">
        <x:v>FAIL</x:v>
      </x:c>
      <x:c r="L2721" s="35" t="str">
        <x:v>NOT_RUN</x:v>
      </x:c>
      <x:c r="M2721" s="35" t="str">
        <x:v>coverage unavailable or execution/compile failed</x:v>
      </x:c>
      <x:c r="N2721" s="35" t="str">
        <x:v>Deepseek-flash-v4/Result2/Closure_23/result.json</x:v>
      </x:c>
      <x:c r="O2721" s="39" t="str">
        <x:f>IF(AND(G2721="RECORDED",ISNUMBER(H2721)),H2721,"")</x:f>
      </x:c>
      <x:c r="P2721" s="35" t="str">
        <x:v>NOT_AVAILABLE</x:v>
      </x:c>
      <x:c r="Q2721" s="35" t="str">
        <x:v>Deepseek-flash-v4/Result2/Closure_23/result.json</x:v>
      </x:c>
    </x:row>
    <x:row r="2722">
      <x:c r="A2722" s="35" t="str">
        <x:v>deepseek</x:v>
      </x:c>
      <x:c r="B2722" s="35" t="str">
        <x:v>Closure</x:v>
      </x:c>
      <x:c r="C2722" s="35" t="str">
        <x:v>Round2</x:v>
      </x:c>
      <x:c r="D2722" s="35" t="str">
        <x:v>Closure_24</x:v>
      </x:c>
      <x:c r="E2722" s="35" t="str">
        <x:v>Condition</x:v>
      </x:c>
      <x:c r="F2722" s="35"/>
      <x:c r="G2722" s="35" t="str">
        <x:v>A</x:v>
      </x:c>
      <x:c r="H2722" s="39" t="str">
        <x:f>IF(ISNUMBER('Data'!N1014),'Data'!N1014*100,"")</x:f>
      </x:c>
      <x:c r="I2722" s="35"/>
      <x:c r="J2722" s="35" t="str">
        <x:v>PASS</x:v>
      </x:c>
      <x:c r="K2722" s="35" t="str">
        <x:v>FAIL</x:v>
      </x:c>
      <x:c r="L2722" s="35" t="str">
        <x:v>NOT_RUN</x:v>
      </x:c>
      <x:c r="M2722" s="35" t="str">
        <x:v>coverage unavailable or execution/compile failed</x:v>
      </x:c>
      <x:c r="N2722" s="35" t="str">
        <x:v>Deepseek-flash-v4/Result2/Closure_24/result.json</x:v>
      </x:c>
      <x:c r="O2722" s="39" t="str">
        <x:f>IF(AND(G2722="RECORDED",ISNUMBER(H2722)),H2722,"")</x:f>
      </x:c>
      <x:c r="P2722" s="35" t="str">
        <x:v>NOT_AVAILABLE</x:v>
      </x:c>
      <x:c r="Q2722" s="35" t="str">
        <x:v>Deepseek-flash-v4/Result2/Closure_24/result.json</x:v>
      </x:c>
    </x:row>
    <x:row r="2723">
      <x:c r="A2723" s="35" t="str">
        <x:v>deepseek</x:v>
      </x:c>
      <x:c r="B2723" s="35" t="str">
        <x:v>Closure</x:v>
      </x:c>
      <x:c r="C2723" s="35" t="str">
        <x:v>Round2</x:v>
      </x:c>
      <x:c r="D2723" s="35" t="str">
        <x:v>Closure_25</x:v>
      </x:c>
      <x:c r="E2723" s="35" t="str">
        <x:v>Condition</x:v>
      </x:c>
      <x:c r="F2723" s="35"/>
      <x:c r="G2723" s="35" t="str">
        <x:v>A</x:v>
      </x:c>
      <x:c r="H2723" s="39" t="str">
        <x:f>IF(ISNUMBER('Data'!N1015),'Data'!N1015*100,"")</x:f>
      </x:c>
      <x:c r="I2723" s="35"/>
      <x:c r="J2723" s="35" t="str">
        <x:v>PASS</x:v>
      </x:c>
      <x:c r="K2723" s="35" t="str">
        <x:v>FAIL</x:v>
      </x:c>
      <x:c r="L2723" s="35" t="str">
        <x:v>NOT_RUN</x:v>
      </x:c>
      <x:c r="M2723" s="35" t="str">
        <x:v>coverage unavailable or execution/compile failed</x:v>
      </x:c>
      <x:c r="N2723" s="35" t="str">
        <x:v>Deepseek-flash-v4/Result2/Closure_25/result.json</x:v>
      </x:c>
      <x:c r="O2723" s="39" t="str">
        <x:f>IF(AND(G2723="RECORDED",ISNUMBER(H2723)),H2723,"")</x:f>
      </x:c>
      <x:c r="P2723" s="35" t="str">
        <x:v>NOT_AVAILABLE</x:v>
      </x:c>
      <x:c r="Q2723" s="35" t="str">
        <x:v>Deepseek-flash-v4/Result2/Closure_25/result.json</x:v>
      </x:c>
    </x:row>
    <x:row r="2724">
      <x:c r="A2724" s="35" t="str">
        <x:v>deepseek</x:v>
      </x:c>
      <x:c r="B2724" s="35" t="str">
        <x:v>Closure</x:v>
      </x:c>
      <x:c r="C2724" s="35" t="str">
        <x:v>Round2</x:v>
      </x:c>
      <x:c r="D2724" s="35" t="str">
        <x:v>Closure_26</x:v>
      </x:c>
      <x:c r="E2724" s="35" t="str">
        <x:v>Condition</x:v>
      </x:c>
      <x:c r="F2724" s="35" t="n">
        <x:v>40</x:v>
      </x:c>
      <x:c r="G2724" s="35" t="str">
        <x:v>RECORDED</x:v>
      </x:c>
      <x:c r="H2724" s="39" t="n">
        <x:f>IF(ISNUMBER('Data'!N1016),'Data'!N1016*100,"")</x:f>
        <x:v>17.5</x:v>
      </x:c>
      <x:c r="I2724" s="35" t="str">
        <x:v>PASS</x:v>
      </x:c>
      <x:c r="J2724" s="35" t="str">
        <x:v>PASS</x:v>
      </x:c>
      <x:c r="K2724" s="35" t="str">
        <x:v>PASS</x:v>
      </x:c>
      <x:c r="L2724" s="35" t="str">
        <x:v>FAIL</x:v>
      </x:c>
      <x:c r="M2724" s="35" t="str">
        <x:v>numeric coverage for applicable metric</x:v>
      </x:c>
      <x:c r="N2724" s="35" t="str">
        <x:v>Deepseek-flash-v4/Result2/Closure_26/result.json</x:v>
      </x:c>
      <x:c r="O2724" s="39" t="n">
        <x:f>IF(AND(G2724="RECORDED",ISNUMBER(H2724)),H2724,"")</x:f>
        <x:v>17.5</x:v>
      </x:c>
      <x:c r="P2724" s="35" t="str">
        <x:v>INCONCLUSIVE</x:v>
      </x:c>
      <x:c r="Q2724" s="35" t="str">
        <x:v>Deepseek-flash-v4/Result2/Closure_26/result.json</x:v>
      </x:c>
    </x:row>
    <x:row r="2725">
      <x:c r="A2725" s="35" t="str">
        <x:v>deepseek</x:v>
      </x:c>
      <x:c r="B2725" s="35" t="str">
        <x:v>Closure</x:v>
      </x:c>
      <x:c r="C2725" s="35" t="str">
        <x:v>Round2</x:v>
      </x:c>
      <x:c r="D2725" s="35" t="str">
        <x:v>Closure_27</x:v>
      </x:c>
      <x:c r="E2725" s="35" t="str">
        <x:v>Condition</x:v>
      </x:c>
      <x:c r="F2725" s="35" t="n">
        <x:v>60</x:v>
      </x:c>
      <x:c r="G2725" s="35" t="str">
        <x:v>RECORDED</x:v>
      </x:c>
      <x:c r="H2725" s="39" t="n">
        <x:f>IF(ISNUMBER('Data'!N1017),'Data'!N1017*100,"")</x:f>
        <x:v>56.67</x:v>
      </x:c>
      <x:c r="I2725" s="35" t="str">
        <x:v>PASS</x:v>
      </x:c>
      <x:c r="J2725" s="35" t="str">
        <x:v>PASS</x:v>
      </x:c>
      <x:c r="K2725" s="35" t="str">
        <x:v>PASS</x:v>
      </x:c>
      <x:c r="L2725" s="35" t="str">
        <x:v>FAIL</x:v>
      </x:c>
      <x:c r="M2725" s="35" t="str">
        <x:v>numeric coverage for applicable metric</x:v>
      </x:c>
      <x:c r="N2725" s="35" t="str">
        <x:v>Deepseek-flash-v4/Result2/Closure_27/result.json</x:v>
      </x:c>
      <x:c r="O2725" s="39" t="n">
        <x:f>IF(AND(G2725="RECORDED",ISNUMBER(H2725)),H2725,"")</x:f>
        <x:v>56.67</x:v>
      </x:c>
      <x:c r="P2725" s="35" t="str">
        <x:v>INCONCLUSIVE</x:v>
      </x:c>
      <x:c r="Q2725" s="35" t="str">
        <x:v>Deepseek-flash-v4/Result2/Closure_27/result.json</x:v>
      </x:c>
    </x:row>
    <x:row r="2726">
      <x:c r="A2726" s="35" t="str">
        <x:v>deepseek</x:v>
      </x:c>
      <x:c r="B2726" s="35" t="str">
        <x:v>Closure</x:v>
      </x:c>
      <x:c r="C2726" s="35" t="str">
        <x:v>Round2</x:v>
      </x:c>
      <x:c r="D2726" s="35" t="str">
        <x:v>Closure_28</x:v>
      </x:c>
      <x:c r="E2726" s="35" t="str">
        <x:v>Condition</x:v>
      </x:c>
      <x:c r="F2726" s="35"/>
      <x:c r="G2726" s="35" t="str">
        <x:v>A</x:v>
      </x:c>
      <x:c r="H2726" s="39" t="str">
        <x:f>IF(ISNUMBER('Data'!N1018),'Data'!N1018*100,"")</x:f>
      </x:c>
      <x:c r="I2726" s="35"/>
      <x:c r="J2726" s="35" t="str">
        <x:v>PASS</x:v>
      </x:c>
      <x:c r="K2726" s="35" t="str">
        <x:v>FAIL</x:v>
      </x:c>
      <x:c r="L2726" s="35" t="str">
        <x:v>NOT_RUN</x:v>
      </x:c>
      <x:c r="M2726" s="35" t="str">
        <x:v>coverage unavailable or execution/compile failed</x:v>
      </x:c>
      <x:c r="N2726" s="35" t="str">
        <x:v>Deepseek-flash-v4/Result2/Closure_28/result.json</x:v>
      </x:c>
      <x:c r="O2726" s="39" t="str">
        <x:f>IF(AND(G2726="RECORDED",ISNUMBER(H2726)),H2726,"")</x:f>
      </x:c>
      <x:c r="P2726" s="35" t="str">
        <x:v>NOT_AVAILABLE</x:v>
      </x:c>
      <x:c r="Q2726" s="35" t="str">
        <x:v>Deepseek-flash-v4/Result2/Closure_28/result.json</x:v>
      </x:c>
    </x:row>
    <x:row r="2727">
      <x:c r="A2727" s="35" t="str">
        <x:v>deepseek</x:v>
      </x:c>
      <x:c r="B2727" s="35" t="str">
        <x:v>Closure</x:v>
      </x:c>
      <x:c r="C2727" s="35" t="str">
        <x:v>Round2</x:v>
      </x:c>
      <x:c r="D2727" s="35" t="str">
        <x:v>Closure_29</x:v>
      </x:c>
      <x:c r="E2727" s="35" t="str">
        <x:v>Condition</x:v>
      </x:c>
      <x:c r="F2727" s="35" t="n">
        <x:v>104</x:v>
      </x:c>
      <x:c r="G2727" s="35" t="str">
        <x:v>RECORDED</x:v>
      </x:c>
      <x:c r="H2727" s="39" t="n">
        <x:f>IF(ISNUMBER('Data'!N1019),'Data'!N1019*100,"")</x:f>
        <x:v>0</x:v>
      </x:c>
      <x:c r="I2727" s="35" t="str">
        <x:v>PASS</x:v>
      </x:c>
      <x:c r="J2727" s="35" t="str">
        <x:v>PASS</x:v>
      </x:c>
      <x:c r="K2727" s="35" t="str">
        <x:v>PASS</x:v>
      </x:c>
      <x:c r="L2727" s="35" t="str">
        <x:v>FAIL</x:v>
      </x:c>
      <x:c r="M2727" s="35" t="str">
        <x:v>numeric coverage for applicable metric</x:v>
      </x:c>
      <x:c r="N2727" s="35" t="str">
        <x:v>Deepseek-flash-v4/Result2/Closure_29/result.json</x:v>
      </x:c>
      <x:c r="O2727" s="39" t="n">
        <x:f>IF(AND(G2727="RECORDED",ISNUMBER(H2727)),H2727,"")</x:f>
        <x:v>0</x:v>
      </x:c>
      <x:c r="P2727" s="35" t="str">
        <x:v>INCONCLUSIVE</x:v>
      </x:c>
      <x:c r="Q2727" s="35" t="str">
        <x:v>Deepseek-flash-v4/Result2/Closure_29/result.json</x:v>
      </x:c>
    </x:row>
    <x:row r="2728">
      <x:c r="A2728" s="35" t="str">
        <x:v>deepseek</x:v>
      </x:c>
      <x:c r="B2728" s="35" t="str">
        <x:v>Closure</x:v>
      </x:c>
      <x:c r="C2728" s="35" t="str">
        <x:v>Round2</x:v>
      </x:c>
      <x:c r="D2728" s="35" t="str">
        <x:v>Closure_3</x:v>
      </x:c>
      <x:c r="E2728" s="35" t="str">
        <x:v>Condition</x:v>
      </x:c>
      <x:c r="F2728" s="35" t="n">
        <x:v>127</x:v>
      </x:c>
      <x:c r="G2728" s="35" t="str">
        <x:v>RECORDED</x:v>
      </x:c>
      <x:c r="H2728" s="39" t="n">
        <x:f>IF(ISNUMBER('Data'!N1020),'Data'!N1020*100,"")</x:f>
        <x:v>7.090000000000001</x:v>
      </x:c>
      <x:c r="I2728" s="35" t="str">
        <x:v>PASS</x:v>
      </x:c>
      <x:c r="J2728" s="35" t="str">
        <x:v>PASS</x:v>
      </x:c>
      <x:c r="K2728" s="35" t="str">
        <x:v>PASS</x:v>
      </x:c>
      <x:c r="L2728" s="35" t="str">
        <x:v>PASS</x:v>
      </x:c>
      <x:c r="M2728" s="35" t="str">
        <x:v>numeric coverage for applicable metric</x:v>
      </x:c>
      <x:c r="N2728" s="35" t="str">
        <x:v>Deepseek-flash-v4/Result2/Closure_3/result.json</x:v>
      </x:c>
      <x:c r="O2728" s="39" t="n">
        <x:f>IF(AND(G2728="RECORDED",ISNUMBER(H2728)),H2728,"")</x:f>
        <x:v>7.090000000000001</x:v>
      </x:c>
      <x:c r="P2728" s="35" t="str">
        <x:v>NOT_REVEALING</x:v>
      </x:c>
      <x:c r="Q2728" s="35" t="str">
        <x:v>Deepseek-flash-v4/Result2/Closure_3/result.json</x:v>
      </x:c>
    </x:row>
    <x:row r="2729">
      <x:c r="A2729" s="35" t="str">
        <x:v>deepseek</x:v>
      </x:c>
      <x:c r="B2729" s="35" t="str">
        <x:v>Closure</x:v>
      </x:c>
      <x:c r="C2729" s="35" t="str">
        <x:v>Round2</x:v>
      </x:c>
      <x:c r="D2729" s="35" t="str">
        <x:v>Closure_30</x:v>
      </x:c>
      <x:c r="E2729" s="35" t="str">
        <x:v>Condition</x:v>
      </x:c>
      <x:c r="F2729" s="35" t="n">
        <x:v>222</x:v>
      </x:c>
      <x:c r="G2729" s="35" t="str">
        <x:v>RECORDED</x:v>
      </x:c>
      <x:c r="H2729" s="39" t="n">
        <x:f>IF(ISNUMBER('Data'!N1021),'Data'!N1021*100,"")</x:f>
        <x:v>2.25</x:v>
      </x:c>
      <x:c r="I2729" s="35" t="str">
        <x:v>PASS</x:v>
      </x:c>
      <x:c r="J2729" s="35" t="str">
        <x:v>PASS</x:v>
      </x:c>
      <x:c r="K2729" s="35" t="str">
        <x:v>PASS</x:v>
      </x:c>
      <x:c r="L2729" s="35" t="str">
        <x:v>FAIL</x:v>
      </x:c>
      <x:c r="M2729" s="35" t="str">
        <x:v>numeric coverage for applicable metric</x:v>
      </x:c>
      <x:c r="N2729" s="35" t="str">
        <x:v>Deepseek-flash-v4/Result2/Closure_30/result.json</x:v>
      </x:c>
      <x:c r="O2729" s="39" t="n">
        <x:f>IF(AND(G2729="RECORDED",ISNUMBER(H2729)),H2729,"")</x:f>
        <x:v>2.25</x:v>
      </x:c>
      <x:c r="P2729" s="35" t="str">
        <x:v>INCONCLUSIVE</x:v>
      </x:c>
      <x:c r="Q2729" s="35" t="str">
        <x:v>Deepseek-flash-v4/Result2/Closure_30/result.json</x:v>
      </x:c>
    </x:row>
    <x:row r="2730">
      <x:c r="A2730" s="35" t="str">
        <x:v>deepseek</x:v>
      </x:c>
      <x:c r="B2730" s="35" t="str">
        <x:v>Closure</x:v>
      </x:c>
      <x:c r="C2730" s="35" t="str">
        <x:v>Round2</x:v>
      </x:c>
      <x:c r="D2730" s="35" t="str">
        <x:v>Closure_31</x:v>
      </x:c>
      <x:c r="E2730" s="35" t="str">
        <x:v>Condition</x:v>
      </x:c>
      <x:c r="F2730" s="35" t="n">
        <x:v>400</x:v>
      </x:c>
      <x:c r="G2730" s="35" t="str">
        <x:v>RECORDED</x:v>
      </x:c>
      <x:c r="H2730" s="39" t="n">
        <x:f>IF(ISNUMBER('Data'!N1022),'Data'!N1022*100,"")</x:f>
        <x:v>33.5</x:v>
      </x:c>
      <x:c r="I2730" s="35" t="str">
        <x:v>PASS</x:v>
      </x:c>
      <x:c r="J2730" s="35" t="str">
        <x:v>PASS</x:v>
      </x:c>
      <x:c r="K2730" s="35" t="str">
        <x:v>PASS</x:v>
      </x:c>
      <x:c r="L2730" s="35" t="str">
        <x:v>FAIL</x:v>
      </x:c>
      <x:c r="M2730" s="35" t="str">
        <x:v>numeric coverage for applicable metric</x:v>
      </x:c>
      <x:c r="N2730" s="35" t="str">
        <x:v>Deepseek-flash-v4/Result2/Closure_31/result.json</x:v>
      </x:c>
      <x:c r="O2730" s="39" t="n">
        <x:f>IF(AND(G2730="RECORDED",ISNUMBER(H2730)),H2730,"")</x:f>
        <x:v>33.5</x:v>
      </x:c>
      <x:c r="P2730" s="35" t="str">
        <x:v>INCONCLUSIVE</x:v>
      </x:c>
      <x:c r="Q2730" s="35" t="str">
        <x:v>Deepseek-flash-v4/Result2/Closure_31/result.json</x:v>
      </x:c>
    </x:row>
    <x:row r="2731">
      <x:c r="A2731" s="35" t="str">
        <x:v>deepseek</x:v>
      </x:c>
      <x:c r="B2731" s="35" t="str">
        <x:v>Closure</x:v>
      </x:c>
      <x:c r="C2731" s="35" t="str">
        <x:v>Round2</x:v>
      </x:c>
      <x:c r="D2731" s="35" t="str">
        <x:v>Closure_32</x:v>
      </x:c>
      <x:c r="E2731" s="35" t="str">
        <x:v>Condition</x:v>
      </x:c>
      <x:c r="F2731" s="35"/>
      <x:c r="G2731" s="35" t="str">
        <x:v>A</x:v>
      </x:c>
      <x:c r="H2731" s="39" t="str">
        <x:f>IF(ISNUMBER('Data'!N1023),'Data'!N1023*100,"")</x:f>
      </x:c>
      <x:c r="I2731" s="35"/>
      <x:c r="J2731" s="35" t="str">
        <x:v>PASS</x:v>
      </x:c>
      <x:c r="K2731" s="35" t="str">
        <x:v>FAIL</x:v>
      </x:c>
      <x:c r="L2731" s="35" t="str">
        <x:v>NOT_RUN</x:v>
      </x:c>
      <x:c r="M2731" s="35" t="str">
        <x:v>coverage unavailable or execution/compile failed</x:v>
      </x:c>
      <x:c r="N2731" s="35" t="str">
        <x:v>Deepseek-flash-v4/Result2/Closure_32/result.json</x:v>
      </x:c>
      <x:c r="O2731" s="39" t="str">
        <x:f>IF(AND(G2731="RECORDED",ISNUMBER(H2731)),H2731,"")</x:f>
      </x:c>
      <x:c r="P2731" s="35" t="str">
        <x:v>NOT_AVAILABLE</x:v>
      </x:c>
      <x:c r="Q2731" s="35" t="str">
        <x:v>Deepseek-flash-v4/Result2/Closure_32/result.json</x:v>
      </x:c>
    </x:row>
    <x:row r="2732">
      <x:c r="A2732" s="35" t="str">
        <x:v>deepseek</x:v>
      </x:c>
      <x:c r="B2732" s="35" t="str">
        <x:v>Closure</x:v>
      </x:c>
      <x:c r="C2732" s="35" t="str">
        <x:v>Round2</x:v>
      </x:c>
      <x:c r="D2732" s="35" t="str">
        <x:v>Closure_33</x:v>
      </x:c>
      <x:c r="E2732" s="35" t="str">
        <x:v>Condition</x:v>
      </x:c>
      <x:c r="F2732" s="35"/>
      <x:c r="G2732" s="35" t="str">
        <x:v>A</x:v>
      </x:c>
      <x:c r="H2732" s="39" t="str">
        <x:f>IF(ISNUMBER('Data'!N1024),'Data'!N1024*100,"")</x:f>
      </x:c>
      <x:c r="I2732" s="35"/>
      <x:c r="J2732" s="35" t="str">
        <x:v>PASS</x:v>
      </x:c>
      <x:c r="K2732" s="35" t="str">
        <x:v>FAIL</x:v>
      </x:c>
      <x:c r="L2732" s="35" t="str">
        <x:v>NOT_RUN</x:v>
      </x:c>
      <x:c r="M2732" s="35" t="str">
        <x:v>coverage unavailable or execution/compile failed</x:v>
      </x:c>
      <x:c r="N2732" s="35" t="str">
        <x:v>Deepseek-flash-v4/Result2/Closure_33/result.json</x:v>
      </x:c>
      <x:c r="O2732" s="39" t="str">
        <x:f>IF(AND(G2732="RECORDED",ISNUMBER(H2732)),H2732,"")</x:f>
      </x:c>
      <x:c r="P2732" s="35" t="str">
        <x:v>NOT_AVAILABLE</x:v>
      </x:c>
      <x:c r="Q2732" s="35" t="str">
        <x:v>Deepseek-flash-v4/Result2/Closure_33/result.json</x:v>
      </x:c>
    </x:row>
    <x:row r="2733">
      <x:c r="A2733" s="35" t="str">
        <x:v>deepseek</x:v>
      </x:c>
      <x:c r="B2733" s="35" t="str">
        <x:v>Closure</x:v>
      </x:c>
      <x:c r="C2733" s="35" t="str">
        <x:v>Round2</x:v>
      </x:c>
      <x:c r="D2733" s="35" t="str">
        <x:v>Closure_34</x:v>
      </x:c>
      <x:c r="E2733" s="35" t="str">
        <x:v>Condition</x:v>
      </x:c>
      <x:c r="F2733" s="35"/>
      <x:c r="G2733" s="35" t="str">
        <x:v>A</x:v>
      </x:c>
      <x:c r="H2733" s="39" t="str">
        <x:f>IF(ISNUMBER('Data'!N1025),'Data'!N1025*100,"")</x:f>
      </x:c>
      <x:c r="I2733" s="35"/>
      <x:c r="J2733" s="35" t="str">
        <x:v>PASS</x:v>
      </x:c>
      <x:c r="K2733" s="35" t="str">
        <x:v>FAIL</x:v>
      </x:c>
      <x:c r="L2733" s="35" t="str">
        <x:v>NOT_RUN</x:v>
      </x:c>
      <x:c r="M2733" s="35" t="str">
        <x:v>coverage unavailable or execution/compile failed</x:v>
      </x:c>
      <x:c r="N2733" s="35" t="str">
        <x:v>Deepseek-flash-v4/Result2/Closure_34/result.json</x:v>
      </x:c>
      <x:c r="O2733" s="39" t="str">
        <x:f>IF(AND(G2733="RECORDED",ISNUMBER(H2733)),H2733,"")</x:f>
      </x:c>
      <x:c r="P2733" s="35" t="str">
        <x:v>NOT_AVAILABLE</x:v>
      </x:c>
      <x:c r="Q2733" s="35" t="str">
        <x:v>Deepseek-flash-v4/Result2/Closure_34/result.json</x:v>
      </x:c>
    </x:row>
    <x:row r="2734">
      <x:c r="A2734" s="35" t="str">
        <x:v>deepseek</x:v>
      </x:c>
      <x:c r="B2734" s="35" t="str">
        <x:v>Closure</x:v>
      </x:c>
      <x:c r="C2734" s="35" t="str">
        <x:v>Round2</x:v>
      </x:c>
      <x:c r="D2734" s="35" t="str">
        <x:v>Closure_35</x:v>
      </x:c>
      <x:c r="E2734" s="35" t="str">
        <x:v>Condition</x:v>
      </x:c>
      <x:c r="F2734" s="35" t="n">
        <x:v>422</x:v>
      </x:c>
      <x:c r="G2734" s="35" t="str">
        <x:v>RECORDED</x:v>
      </x:c>
      <x:c r="H2734" s="39" t="n">
        <x:f>IF(ISNUMBER('Data'!N1026),'Data'!N1026*100,"")</x:f>
        <x:v>0</x:v>
      </x:c>
      <x:c r="I2734" s="35" t="str">
        <x:v>PASS</x:v>
      </x:c>
      <x:c r="J2734" s="35" t="str">
        <x:v>PASS</x:v>
      </x:c>
      <x:c r="K2734" s="35" t="str">
        <x:v>PASS</x:v>
      </x:c>
      <x:c r="L2734" s="35" t="str">
        <x:v>FAIL</x:v>
      </x:c>
      <x:c r="M2734" s="35" t="str">
        <x:v>numeric coverage for applicable metric</x:v>
      </x:c>
      <x:c r="N2734" s="35" t="str">
        <x:v>Deepseek-flash-v4/Result2/Closure_35/result.json</x:v>
      </x:c>
      <x:c r="O2734" s="39" t="n">
        <x:f>IF(AND(G2734="RECORDED",ISNUMBER(H2734)),H2734,"")</x:f>
        <x:v>0</x:v>
      </x:c>
      <x:c r="P2734" s="35" t="str">
        <x:v>INCONCLUSIVE</x:v>
      </x:c>
      <x:c r="Q2734" s="35" t="str">
        <x:v>Deepseek-flash-v4/Result2/Closure_35/result.json</x:v>
      </x:c>
    </x:row>
    <x:row r="2735">
      <x:c r="A2735" s="35" t="str">
        <x:v>deepseek</x:v>
      </x:c>
      <x:c r="B2735" s="35" t="str">
        <x:v>Closure</x:v>
      </x:c>
      <x:c r="C2735" s="35" t="str">
        <x:v>Round2</x:v>
      </x:c>
      <x:c r="D2735" s="35" t="str">
        <x:v>Closure_36</x:v>
      </x:c>
      <x:c r="E2735" s="35" t="str">
        <x:v>Condition</x:v>
      </x:c>
      <x:c r="F2735" s="35"/>
      <x:c r="G2735" s="35" t="str">
        <x:v>A</x:v>
      </x:c>
      <x:c r="H2735" s="39" t="str">
        <x:f>IF(ISNUMBER('Data'!N1027),'Data'!N1027*100,"")</x:f>
      </x:c>
      <x:c r="I2735" s="35"/>
      <x:c r="J2735" s="35" t="str">
        <x:v>PASS</x:v>
      </x:c>
      <x:c r="K2735" s="35" t="str">
        <x:v>FAIL</x:v>
      </x:c>
      <x:c r="L2735" s="35" t="str">
        <x:v>NOT_RUN</x:v>
      </x:c>
      <x:c r="M2735" s="35" t="str">
        <x:v>coverage unavailable or execution/compile failed</x:v>
      </x:c>
      <x:c r="N2735" s="35" t="str">
        <x:v>Deepseek-flash-v4/Result2/Closure_36/result.json</x:v>
      </x:c>
      <x:c r="O2735" s="39" t="str">
        <x:f>IF(AND(G2735="RECORDED",ISNUMBER(H2735)),H2735,"")</x:f>
      </x:c>
      <x:c r="P2735" s="35" t="str">
        <x:v>NOT_AVAILABLE</x:v>
      </x:c>
      <x:c r="Q2735" s="35" t="str">
        <x:v>Deepseek-flash-v4/Result2/Closure_36/result.json</x:v>
      </x:c>
    </x:row>
    <x:row r="2736">
      <x:c r="A2736" s="35" t="str">
        <x:v>deepseek</x:v>
      </x:c>
      <x:c r="B2736" s="35" t="str">
        <x:v>Closure</x:v>
      </x:c>
      <x:c r="C2736" s="35" t="str">
        <x:v>Round2</x:v>
      </x:c>
      <x:c r="D2736" s="35" t="str">
        <x:v>Closure_37</x:v>
      </x:c>
      <x:c r="E2736" s="35" t="str">
        <x:v>Condition</x:v>
      </x:c>
      <x:c r="F2736" s="35"/>
      <x:c r="G2736" s="35" t="str">
        <x:v>A</x:v>
      </x:c>
      <x:c r="H2736" s="39" t="str">
        <x:f>IF(ISNUMBER('Data'!N1028),'Data'!N1028*100,"")</x:f>
      </x:c>
      <x:c r="I2736" s="35"/>
      <x:c r="J2736" s="35" t="str">
        <x:v>PASS</x:v>
      </x:c>
      <x:c r="K2736" s="35" t="str">
        <x:v>FAIL</x:v>
      </x:c>
      <x:c r="L2736" s="35" t="str">
        <x:v>NOT_RUN</x:v>
      </x:c>
      <x:c r="M2736" s="35" t="str">
        <x:v>coverage unavailable or execution/compile failed</x:v>
      </x:c>
      <x:c r="N2736" s="35" t="str">
        <x:v>Deepseek-flash-v4/Result2/Closure_37/result.json</x:v>
      </x:c>
      <x:c r="O2736" s="39" t="str">
        <x:f>IF(AND(G2736="RECORDED",ISNUMBER(H2736)),H2736,"")</x:f>
      </x:c>
      <x:c r="P2736" s="35" t="str">
        <x:v>NOT_AVAILABLE</x:v>
      </x:c>
      <x:c r="Q2736" s="35" t="str">
        <x:v>Deepseek-flash-v4/Result2/Closure_37/result.json</x:v>
      </x:c>
    </x:row>
    <x:row r="2737">
      <x:c r="A2737" s="35" t="str">
        <x:v>deepseek</x:v>
      </x:c>
      <x:c r="B2737" s="35" t="str">
        <x:v>Closure</x:v>
      </x:c>
      <x:c r="C2737" s="35" t="str">
        <x:v>Round2</x:v>
      </x:c>
      <x:c r="D2737" s="35" t="str">
        <x:v>Closure_38</x:v>
      </x:c>
      <x:c r="E2737" s="35" t="str">
        <x:v>Condition</x:v>
      </x:c>
      <x:c r="F2737" s="35" t="n">
        <x:v>64</x:v>
      </x:c>
      <x:c r="G2737" s="35" t="str">
        <x:v>RECORDED</x:v>
      </x:c>
      <x:c r="H2737" s="39" t="n">
        <x:f>IF(ISNUMBER('Data'!N1029),'Data'!N1029*100,"")</x:f>
        <x:v>67.19</x:v>
      </x:c>
      <x:c r="I2737" s="35" t="str">
        <x:v>PASS</x:v>
      </x:c>
      <x:c r="J2737" s="35" t="str">
        <x:v>PASS</x:v>
      </x:c>
      <x:c r="K2737" s="35" t="str">
        <x:v>PASS</x:v>
      </x:c>
      <x:c r="L2737" s="35" t="str">
        <x:v>FAIL</x:v>
      </x:c>
      <x:c r="M2737" s="35" t="str">
        <x:v>numeric coverage for applicable metric</x:v>
      </x:c>
      <x:c r="N2737" s="35" t="str">
        <x:v>Deepseek-flash-v4/Result2/Closure_38/result.json</x:v>
      </x:c>
      <x:c r="O2737" s="39" t="n">
        <x:f>IF(AND(G2737="RECORDED",ISNUMBER(H2737)),H2737,"")</x:f>
        <x:v>67.19</x:v>
      </x:c>
      <x:c r="P2737" s="35" t="str">
        <x:v>INCONCLUSIVE</x:v>
      </x:c>
      <x:c r="Q2737" s="35" t="str">
        <x:v>Deepseek-flash-v4/Result2/Closure_38/result.json</x:v>
      </x:c>
    </x:row>
    <x:row r="2738">
      <x:c r="A2738" s="35" t="str">
        <x:v>deepseek</x:v>
      </x:c>
      <x:c r="B2738" s="35" t="str">
        <x:v>Closure</x:v>
      </x:c>
      <x:c r="C2738" s="35" t="str">
        <x:v>Round2</x:v>
      </x:c>
      <x:c r="D2738" s="35" t="str">
        <x:v>Closure_39</x:v>
      </x:c>
      <x:c r="E2738" s="35" t="str">
        <x:v>Condition</x:v>
      </x:c>
      <x:c r="F2738" s="35"/>
      <x:c r="G2738" s="35" t="str">
        <x:v>A</x:v>
      </x:c>
      <x:c r="H2738" s="39" t="str">
        <x:f>IF(ISNUMBER('Data'!N1030),'Data'!N1030*100,"")</x:f>
      </x:c>
      <x:c r="I2738" s="35"/>
      <x:c r="J2738" s="35" t="str">
        <x:v>PASS</x:v>
      </x:c>
      <x:c r="K2738" s="35" t="str">
        <x:v>FAIL</x:v>
      </x:c>
      <x:c r="L2738" s="35" t="str">
        <x:v>NOT_RUN</x:v>
      </x:c>
      <x:c r="M2738" s="35" t="str">
        <x:v>coverage unavailable or execution/compile failed</x:v>
      </x:c>
      <x:c r="N2738" s="35" t="str">
        <x:v>Deepseek-flash-v4/Result2/Closure_39/result.json</x:v>
      </x:c>
      <x:c r="O2738" s="39" t="str">
        <x:f>IF(AND(G2738="RECORDED",ISNUMBER(H2738)),H2738,"")</x:f>
      </x:c>
      <x:c r="P2738" s="35" t="str">
        <x:v>NOT_AVAILABLE</x:v>
      </x:c>
      <x:c r="Q2738" s="35" t="str">
        <x:v>Deepseek-flash-v4/Result2/Closure_39/result.json</x:v>
      </x:c>
    </x:row>
    <x:row r="2739">
      <x:c r="A2739" s="35" t="str">
        <x:v>deepseek</x:v>
      </x:c>
      <x:c r="B2739" s="35" t="str">
        <x:v>Closure</x:v>
      </x:c>
      <x:c r="C2739" s="35" t="str">
        <x:v>Round2</x:v>
      </x:c>
      <x:c r="D2739" s="35" t="str">
        <x:v>Closure_4</x:v>
      </x:c>
      <x:c r="E2739" s="35" t="str">
        <x:v>Condition</x:v>
      </x:c>
      <x:c r="F2739" s="35" t="n">
        <x:v>86</x:v>
      </x:c>
      <x:c r="G2739" s="35" t="str">
        <x:v>RECORDED</x:v>
      </x:c>
      <x:c r="H2739" s="39" t="n">
        <x:f>IF(ISNUMBER('Data'!N1031),'Data'!N1031*100,"")</x:f>
        <x:v>2.33</x:v>
      </x:c>
      <x:c r="I2739" s="35" t="str">
        <x:v>PASS</x:v>
      </x:c>
      <x:c r="J2739" s="35" t="str">
        <x:v>PASS</x:v>
      </x:c>
      <x:c r="K2739" s="35" t="str">
        <x:v>PASS</x:v>
      </x:c>
      <x:c r="L2739" s="35" t="str">
        <x:v>PASS</x:v>
      </x:c>
      <x:c r="M2739" s="35" t="str">
        <x:v>numeric coverage for applicable metric</x:v>
      </x:c>
      <x:c r="N2739" s="35" t="str">
        <x:v>Deepseek-flash-v4/Result2/Closure_4/result.json</x:v>
      </x:c>
      <x:c r="O2739" s="39" t="n">
        <x:f>IF(AND(G2739="RECORDED",ISNUMBER(H2739)),H2739,"")</x:f>
        <x:v>2.33</x:v>
      </x:c>
      <x:c r="P2739" s="35" t="str">
        <x:v>NOT_REVEALING</x:v>
      </x:c>
      <x:c r="Q2739" s="35" t="str">
        <x:v>Deepseek-flash-v4/Result2/Closure_4/result.json</x:v>
      </x:c>
    </x:row>
    <x:row r="2740">
      <x:c r="A2740" s="35" t="str">
        <x:v>deepseek</x:v>
      </x:c>
      <x:c r="B2740" s="35" t="str">
        <x:v>Closure</x:v>
      </x:c>
      <x:c r="C2740" s="35" t="str">
        <x:v>Round2</x:v>
      </x:c>
      <x:c r="D2740" s="35" t="str">
        <x:v>Closure_40</x:v>
      </x:c>
      <x:c r="E2740" s="35" t="str">
        <x:v>Condition</x:v>
      </x:c>
      <x:c r="F2740" s="35"/>
      <x:c r="G2740" s="35" t="str">
        <x:v>A</x:v>
      </x:c>
      <x:c r="H2740" s="39" t="str">
        <x:f>IF(ISNUMBER('Data'!N1032),'Data'!N1032*100,"")</x:f>
      </x:c>
      <x:c r="I2740" s="35"/>
      <x:c r="J2740" s="35" t="str">
        <x:v>PASS</x:v>
      </x:c>
      <x:c r="K2740" s="35" t="str">
        <x:v>FAIL</x:v>
      </x:c>
      <x:c r="L2740" s="35" t="str">
        <x:v>NOT_RUN</x:v>
      </x:c>
      <x:c r="M2740" s="35" t="str">
        <x:v>coverage unavailable or execution/compile failed</x:v>
      </x:c>
      <x:c r="N2740" s="35" t="str">
        <x:v>Deepseek-flash-v4/Result2/Closure_40/result.json</x:v>
      </x:c>
      <x:c r="O2740" s="39" t="str">
        <x:f>IF(AND(G2740="RECORDED",ISNUMBER(H2740)),H2740,"")</x:f>
      </x:c>
      <x:c r="P2740" s="35" t="str">
        <x:v>NOT_AVAILABLE</x:v>
      </x:c>
      <x:c r="Q2740" s="35" t="str">
        <x:v>Deepseek-flash-v4/Result2/Closure_40/result.json</x:v>
      </x:c>
    </x:row>
    <x:row r="2741">
      <x:c r="A2741" s="35" t="str">
        <x:v>deepseek</x:v>
      </x:c>
      <x:c r="B2741" s="35" t="str">
        <x:v>Closure</x:v>
      </x:c>
      <x:c r="C2741" s="35" t="str">
        <x:v>Round2</x:v>
      </x:c>
      <x:c r="D2741" s="35" t="str">
        <x:v>Closure_41</x:v>
      </x:c>
      <x:c r="E2741" s="35" t="str">
        <x:v>Condition</x:v>
      </x:c>
      <x:c r="F2741" s="35"/>
      <x:c r="G2741" s="35" t="str">
        <x:v>A</x:v>
      </x:c>
      <x:c r="H2741" s="39" t="str">
        <x:f>IF(ISNUMBER('Data'!N1033),'Data'!N1033*100,"")</x:f>
      </x:c>
      <x:c r="I2741" s="35"/>
      <x:c r="J2741" s="35" t="str">
        <x:v>PASS</x:v>
      </x:c>
      <x:c r="K2741" s="35" t="str">
        <x:v>FAIL</x:v>
      </x:c>
      <x:c r="L2741" s="35" t="str">
        <x:v>NOT_RUN</x:v>
      </x:c>
      <x:c r="M2741" s="35" t="str">
        <x:v>coverage unavailable or execution/compile failed</x:v>
      </x:c>
      <x:c r="N2741" s="35" t="str">
        <x:v>Deepseek-flash-v4/Result2/Closure_41/result.json</x:v>
      </x:c>
      <x:c r="O2741" s="39" t="str">
        <x:f>IF(AND(G2741="RECORDED",ISNUMBER(H2741)),H2741,"")</x:f>
      </x:c>
      <x:c r="P2741" s="35" t="str">
        <x:v>NOT_AVAILABLE</x:v>
      </x:c>
      <x:c r="Q2741" s="35" t="str">
        <x:v>Deepseek-flash-v4/Result2/Closure_41/result.json</x:v>
      </x:c>
    </x:row>
    <x:row r="2742">
      <x:c r="A2742" s="35" t="str">
        <x:v>deepseek</x:v>
      </x:c>
      <x:c r="B2742" s="35" t="str">
        <x:v>Closure</x:v>
      </x:c>
      <x:c r="C2742" s="35" t="str">
        <x:v>Round2</x:v>
      </x:c>
      <x:c r="D2742" s="35" t="str">
        <x:v>Closure_42</x:v>
      </x:c>
      <x:c r="E2742" s="35" t="str">
        <x:v>Condition</x:v>
      </x:c>
      <x:c r="F2742" s="35"/>
      <x:c r="G2742" s="35" t="str">
        <x:v>A</x:v>
      </x:c>
      <x:c r="H2742" s="39" t="str">
        <x:f>IF(ISNUMBER('Data'!N1034),'Data'!N1034*100,"")</x:f>
      </x:c>
      <x:c r="I2742" s="35"/>
      <x:c r="J2742" s="35" t="str">
        <x:v>PASS</x:v>
      </x:c>
      <x:c r="K2742" s="35" t="str">
        <x:v>FAIL</x:v>
      </x:c>
      <x:c r="L2742" s="35" t="str">
        <x:v>NOT_RUN</x:v>
      </x:c>
      <x:c r="M2742" s="35" t="str">
        <x:v>coverage unavailable or execution/compile failed</x:v>
      </x:c>
      <x:c r="N2742" s="35" t="str">
        <x:v>Deepseek-flash-v4/Result2/Closure_42/result.json</x:v>
      </x:c>
      <x:c r="O2742" s="39" t="str">
        <x:f>IF(AND(G2742="RECORDED",ISNUMBER(H2742)),H2742,"")</x:f>
      </x:c>
      <x:c r="P2742" s="35" t="str">
        <x:v>NOT_AVAILABLE</x:v>
      </x:c>
      <x:c r="Q2742" s="35" t="str">
        <x:v>Deepseek-flash-v4/Result2/Closure_42/result.json</x:v>
      </x:c>
    </x:row>
    <x:row r="2743">
      <x:c r="A2743" s="35" t="str">
        <x:v>deepseek</x:v>
      </x:c>
      <x:c r="B2743" s="35" t="str">
        <x:v>Closure</x:v>
      </x:c>
      <x:c r="C2743" s="35" t="str">
        <x:v>Round2</x:v>
      </x:c>
      <x:c r="D2743" s="35" t="str">
        <x:v>Closure_43</x:v>
      </x:c>
      <x:c r="E2743" s="35" t="str">
        <x:v>Condition</x:v>
      </x:c>
      <x:c r="F2743" s="35"/>
      <x:c r="G2743" s="35" t="str">
        <x:v>A</x:v>
      </x:c>
      <x:c r="H2743" s="39" t="str">
        <x:f>IF(ISNUMBER('Data'!N1035),'Data'!N1035*100,"")</x:f>
      </x:c>
      <x:c r="I2743" s="35"/>
      <x:c r="J2743" s="35" t="str">
        <x:v>PASS</x:v>
      </x:c>
      <x:c r="K2743" s="35" t="str">
        <x:v>FAIL</x:v>
      </x:c>
      <x:c r="L2743" s="35" t="str">
        <x:v>NOT_RUN</x:v>
      </x:c>
      <x:c r="M2743" s="35" t="str">
        <x:v>coverage unavailable or execution/compile failed</x:v>
      </x:c>
      <x:c r="N2743" s="35" t="str">
        <x:v>Deepseek-flash-v4/Result2/Closure_43/result.json</x:v>
      </x:c>
      <x:c r="O2743" s="39" t="str">
        <x:f>IF(AND(G2743="RECORDED",ISNUMBER(H2743)),H2743,"")</x:f>
      </x:c>
      <x:c r="P2743" s="35" t="str">
        <x:v>NOT_AVAILABLE</x:v>
      </x:c>
      <x:c r="Q2743" s="35" t="str">
        <x:v>Deepseek-flash-v4/Result2/Closure_43/result.json</x:v>
      </x:c>
    </x:row>
    <x:row r="2744">
      <x:c r="A2744" s="35" t="str">
        <x:v>deepseek</x:v>
      </x:c>
      <x:c r="B2744" s="35" t="str">
        <x:v>Closure</x:v>
      </x:c>
      <x:c r="C2744" s="35" t="str">
        <x:v>Round2</x:v>
      </x:c>
      <x:c r="D2744" s="35" t="str">
        <x:v>Closure_44</x:v>
      </x:c>
      <x:c r="E2744" s="35" t="str">
        <x:v>Condition</x:v>
      </x:c>
      <x:c r="F2744" s="35" t="n">
        <x:v>60</x:v>
      </x:c>
      <x:c r="G2744" s="35" t="str">
        <x:v>RECORDED</x:v>
      </x:c>
      <x:c r="H2744" s="39" t="n">
        <x:f>IF(ISNUMBER('Data'!N1036),'Data'!N1036*100,"")</x:f>
        <x:v>88.33</x:v>
      </x:c>
      <x:c r="I2744" s="35" t="str">
        <x:v>PASS</x:v>
      </x:c>
      <x:c r="J2744" s="35" t="str">
        <x:v>PASS</x:v>
      </x:c>
      <x:c r="K2744" s="35" t="str">
        <x:v>PASS</x:v>
      </x:c>
      <x:c r="L2744" s="35" t="str">
        <x:v>FAIL</x:v>
      </x:c>
      <x:c r="M2744" s="35" t="str">
        <x:v>numeric coverage for applicable metric</x:v>
      </x:c>
      <x:c r="N2744" s="35" t="str">
        <x:v>Deepseek-flash-v4/Result2/Closure_44/result.json</x:v>
      </x:c>
      <x:c r="O2744" s="39" t="n">
        <x:f>IF(AND(G2744="RECORDED",ISNUMBER(H2744)),H2744,"")</x:f>
        <x:v>88.33</x:v>
      </x:c>
      <x:c r="P2744" s="35" t="str">
        <x:v>INCONCLUSIVE</x:v>
      </x:c>
      <x:c r="Q2744" s="35" t="str">
        <x:v>Deepseek-flash-v4/Result2/Closure_44/result.json</x:v>
      </x:c>
    </x:row>
    <x:row r="2745">
      <x:c r="A2745" s="35" t="str">
        <x:v>deepseek</x:v>
      </x:c>
      <x:c r="B2745" s="35" t="str">
        <x:v>Closure</x:v>
      </x:c>
      <x:c r="C2745" s="35" t="str">
        <x:v>Round2</x:v>
      </x:c>
      <x:c r="D2745" s="35" t="str">
        <x:v>Closure_45</x:v>
      </x:c>
      <x:c r="E2745" s="35" t="str">
        <x:v>Condition</x:v>
      </x:c>
      <x:c r="F2745" s="35"/>
      <x:c r="G2745" s="35" t="str">
        <x:v>A</x:v>
      </x:c>
      <x:c r="H2745" s="39" t="str">
        <x:f>IF(ISNUMBER('Data'!N1037),'Data'!N1037*100,"")</x:f>
      </x:c>
      <x:c r="I2745" s="35"/>
      <x:c r="J2745" s="35" t="str">
        <x:v>PASS</x:v>
      </x:c>
      <x:c r="K2745" s="35" t="str">
        <x:v>FAIL</x:v>
      </x:c>
      <x:c r="L2745" s="35" t="str">
        <x:v>NOT_RUN</x:v>
      </x:c>
      <x:c r="M2745" s="35" t="str">
        <x:v>coverage unavailable or execution/compile failed</x:v>
      </x:c>
      <x:c r="N2745" s="35" t="str">
        <x:v>Deepseek-flash-v4/Result2/Closure_45/result.json</x:v>
      </x:c>
      <x:c r="O2745" s="39" t="str">
        <x:f>IF(AND(G2745="RECORDED",ISNUMBER(H2745)),H2745,"")</x:f>
      </x:c>
      <x:c r="P2745" s="35" t="str">
        <x:v>NOT_AVAILABLE</x:v>
      </x:c>
      <x:c r="Q2745" s="35" t="str">
        <x:v>Deepseek-flash-v4/Result2/Closure_45/result.json</x:v>
      </x:c>
    </x:row>
    <x:row r="2746">
      <x:c r="A2746" s="35" t="str">
        <x:v>deepseek</x:v>
      </x:c>
      <x:c r="B2746" s="35" t="str">
        <x:v>Closure</x:v>
      </x:c>
      <x:c r="C2746" s="35" t="str">
        <x:v>Round2</x:v>
      </x:c>
      <x:c r="D2746" s="35" t="str">
        <x:v>Closure_46</x:v>
      </x:c>
      <x:c r="E2746" s="35" t="str">
        <x:v>Condition</x:v>
      </x:c>
      <x:c r="F2746" s="35"/>
      <x:c r="G2746" s="35" t="str">
        <x:v>A</x:v>
      </x:c>
      <x:c r="H2746" s="39" t="str">
        <x:f>IF(ISNUMBER('Data'!N1038),'Data'!N1038*100,"")</x:f>
      </x:c>
      <x:c r="I2746" s="35"/>
      <x:c r="J2746" s="35" t="str">
        <x:v>PASS</x:v>
      </x:c>
      <x:c r="K2746" s="35" t="str">
        <x:v>FAIL</x:v>
      </x:c>
      <x:c r="L2746" s="35" t="str">
        <x:v>NOT_RUN</x:v>
      </x:c>
      <x:c r="M2746" s="35" t="str">
        <x:v>coverage unavailable or execution/compile failed</x:v>
      </x:c>
      <x:c r="N2746" s="35" t="str">
        <x:v>Deepseek-flash-v4/Result2/Closure_46/result.json</x:v>
      </x:c>
      <x:c r="O2746" s="39" t="str">
        <x:f>IF(AND(G2746="RECORDED",ISNUMBER(H2746)),H2746,"")</x:f>
      </x:c>
      <x:c r="P2746" s="35" t="str">
        <x:v>NOT_AVAILABLE</x:v>
      </x:c>
      <x:c r="Q2746" s="35" t="str">
        <x:v>Deepseek-flash-v4/Result2/Closure_46/result.json</x:v>
      </x:c>
    </x:row>
    <x:row r="2747">
      <x:c r="A2747" s="35" t="str">
        <x:v>deepseek</x:v>
      </x:c>
      <x:c r="B2747" s="35" t="str">
        <x:v>Closure</x:v>
      </x:c>
      <x:c r="C2747" s="35" t="str">
        <x:v>Round2</x:v>
      </x:c>
      <x:c r="D2747" s="35" t="str">
        <x:v>Closure_47</x:v>
      </x:c>
      <x:c r="E2747" s="35" t="str">
        <x:v>Condition</x:v>
      </x:c>
      <x:c r="F2747" s="35"/>
      <x:c r="G2747" s="35" t="str">
        <x:v>A</x:v>
      </x:c>
      <x:c r="H2747" s="39" t="str">
        <x:f>IF(ISNUMBER('Data'!N1039),'Data'!N1039*100,"")</x:f>
      </x:c>
      <x:c r="I2747" s="35"/>
      <x:c r="J2747" s="35" t="str">
        <x:v>PASS</x:v>
      </x:c>
      <x:c r="K2747" s="35" t="str">
        <x:v>FAIL</x:v>
      </x:c>
      <x:c r="L2747" s="35" t="str">
        <x:v>NOT_RUN</x:v>
      </x:c>
      <x:c r="M2747" s="35" t="str">
        <x:v>coverage unavailable or execution/compile failed</x:v>
      </x:c>
      <x:c r="N2747" s="35" t="str">
        <x:v>Deepseek-flash-v4/Result2/Closure_47/result.json</x:v>
      </x:c>
      <x:c r="O2747" s="39" t="str">
        <x:f>IF(AND(G2747="RECORDED",ISNUMBER(H2747)),H2747,"")</x:f>
      </x:c>
      <x:c r="P2747" s="35" t="str">
        <x:v>NOT_AVAILABLE</x:v>
      </x:c>
      <x:c r="Q2747" s="35" t="str">
        <x:v>Deepseek-flash-v4/Result2/Closure_47/result.json</x:v>
      </x:c>
    </x:row>
    <x:row r="2748">
      <x:c r="A2748" s="35" t="str">
        <x:v>deepseek</x:v>
      </x:c>
      <x:c r="B2748" s="35" t="str">
        <x:v>Closure</x:v>
      </x:c>
      <x:c r="C2748" s="35" t="str">
        <x:v>Round2</x:v>
      </x:c>
      <x:c r="D2748" s="35" t="str">
        <x:v>Closure_48</x:v>
      </x:c>
      <x:c r="E2748" s="35" t="str">
        <x:v>Condition</x:v>
      </x:c>
      <x:c r="F2748" s="35" t="n">
        <x:v>641</x:v>
      </x:c>
      <x:c r="G2748" s="35" t="str">
        <x:v>RECORDED</x:v>
      </x:c>
      <x:c r="H2748" s="39" t="n">
        <x:f>IF(ISNUMBER('Data'!N1040),'Data'!N1040*100,"")</x:f>
        <x:v>1.56</x:v>
      </x:c>
      <x:c r="I2748" s="35" t="str">
        <x:v>PASS</x:v>
      </x:c>
      <x:c r="J2748" s="35" t="str">
        <x:v>PASS</x:v>
      </x:c>
      <x:c r="K2748" s="35" t="str">
        <x:v>PASS</x:v>
      </x:c>
      <x:c r="L2748" s="35" t="str">
        <x:v>FAIL</x:v>
      </x:c>
      <x:c r="M2748" s="35" t="str">
        <x:v>numeric coverage for applicable metric</x:v>
      </x:c>
      <x:c r="N2748" s="35" t="str">
        <x:v>Deepseek-flash-v4/Result2/Closure_48/result.json</x:v>
      </x:c>
      <x:c r="O2748" s="39" t="n">
        <x:f>IF(AND(G2748="RECORDED",ISNUMBER(H2748)),H2748,"")</x:f>
        <x:v>1.56</x:v>
      </x:c>
      <x:c r="P2748" s="35" t="str">
        <x:v>INCONCLUSIVE</x:v>
      </x:c>
      <x:c r="Q2748" s="35" t="str">
        <x:v>Deepseek-flash-v4/Result2/Closure_48/result.json</x:v>
      </x:c>
    </x:row>
    <x:row r="2749">
      <x:c r="A2749" s="35" t="str">
        <x:v>deepseek</x:v>
      </x:c>
      <x:c r="B2749" s="35" t="str">
        <x:v>Closure</x:v>
      </x:c>
      <x:c r="C2749" s="35" t="str">
        <x:v>Round2</x:v>
      </x:c>
      <x:c r="D2749" s="35" t="str">
        <x:v>Closure_49</x:v>
      </x:c>
      <x:c r="E2749" s="35" t="str">
        <x:v>Condition</x:v>
      </x:c>
      <x:c r="F2749" s="35"/>
      <x:c r="G2749" s="35" t="str">
        <x:v>A</x:v>
      </x:c>
      <x:c r="H2749" s="39" t="str">
        <x:f>IF(ISNUMBER('Data'!N1041),'Data'!N1041*100,"")</x:f>
      </x:c>
      <x:c r="I2749" s="35"/>
      <x:c r="J2749" s="35" t="str">
        <x:v>PASS</x:v>
      </x:c>
      <x:c r="K2749" s="35" t="str">
        <x:v>FAIL</x:v>
      </x:c>
      <x:c r="L2749" s="35" t="str">
        <x:v>NOT_RUN</x:v>
      </x:c>
      <x:c r="M2749" s="35" t="str">
        <x:v>coverage unavailable or execution/compile failed</x:v>
      </x:c>
      <x:c r="N2749" s="35" t="str">
        <x:v>Deepseek-flash-v4/Result2/Closure_49/result.json</x:v>
      </x:c>
      <x:c r="O2749" s="39" t="str">
        <x:f>IF(AND(G2749="RECORDED",ISNUMBER(H2749)),H2749,"")</x:f>
      </x:c>
      <x:c r="P2749" s="35" t="str">
        <x:v>NOT_AVAILABLE</x:v>
      </x:c>
      <x:c r="Q2749" s="35" t="str">
        <x:v>Deepseek-flash-v4/Result2/Closure_49/result.json</x:v>
      </x:c>
    </x:row>
    <x:row r="2750">
      <x:c r="A2750" s="35" t="str">
        <x:v>deepseek</x:v>
      </x:c>
      <x:c r="B2750" s="35" t="str">
        <x:v>Closure</x:v>
      </x:c>
      <x:c r="C2750" s="35" t="str">
        <x:v>Round2</x:v>
      </x:c>
      <x:c r="D2750" s="35" t="str">
        <x:v>Closure_5</x:v>
      </x:c>
      <x:c r="E2750" s="35" t="str">
        <x:v>Condition</x:v>
      </x:c>
      <x:c r="F2750" s="35" t="n">
        <x:v>108</x:v>
      </x:c>
      <x:c r="G2750" s="35" t="str">
        <x:v>RECORDED</x:v>
      </x:c>
      <x:c r="H2750" s="39" t="n">
        <x:f>IF(ISNUMBER('Data'!N1042),'Data'!N1042*100,"")</x:f>
        <x:v>0</x:v>
      </x:c>
      <x:c r="I2750" s="35" t="str">
        <x:v>PASS</x:v>
      </x:c>
      <x:c r="J2750" s="35" t="str">
        <x:v>PASS</x:v>
      </x:c>
      <x:c r="K2750" s="35" t="str">
        <x:v>PASS</x:v>
      </x:c>
      <x:c r="L2750" s="35" t="str">
        <x:v>FAIL</x:v>
      </x:c>
      <x:c r="M2750" s="35" t="str">
        <x:v>numeric coverage for applicable metric</x:v>
      </x:c>
      <x:c r="N2750" s="35" t="str">
        <x:v>Deepseek-flash-v4/Result2/Closure_5/result.json</x:v>
      </x:c>
      <x:c r="O2750" s="39" t="n">
        <x:f>IF(AND(G2750="RECORDED",ISNUMBER(H2750)),H2750,"")</x:f>
        <x:v>0</x:v>
      </x:c>
      <x:c r="P2750" s="35" t="str">
        <x:v>INCONCLUSIVE</x:v>
      </x:c>
      <x:c r="Q2750" s="35" t="str">
        <x:v>Deepseek-flash-v4/Result2/Closure_5/result.json</x:v>
      </x:c>
    </x:row>
    <x:row r="2751">
      <x:c r="A2751" s="35" t="str">
        <x:v>deepseek</x:v>
      </x:c>
      <x:c r="B2751" s="35" t="str">
        <x:v>Closure</x:v>
      </x:c>
      <x:c r="C2751" s="35" t="str">
        <x:v>Round2</x:v>
      </x:c>
      <x:c r="D2751" s="35" t="str">
        <x:v>Closure_50</x:v>
      </x:c>
      <x:c r="E2751" s="35" t="str">
        <x:v>Condition</x:v>
      </x:c>
      <x:c r="F2751" s="35" t="n">
        <x:v>245</x:v>
      </x:c>
      <x:c r="G2751" s="35" t="str">
        <x:v>RECORDED</x:v>
      </x:c>
      <x:c r="H2751" s="39" t="n">
        <x:f>IF(ISNUMBER('Data'!N1043),'Data'!N1043*100,"")</x:f>
        <x:v>41.63</x:v>
      </x:c>
      <x:c r="I2751" s="35" t="str">
        <x:v>PASS</x:v>
      </x:c>
      <x:c r="J2751" s="35" t="str">
        <x:v>PASS</x:v>
      </x:c>
      <x:c r="K2751" s="35" t="str">
        <x:v>PASS</x:v>
      </x:c>
      <x:c r="L2751" s="35" t="str">
        <x:v>FAIL</x:v>
      </x:c>
      <x:c r="M2751" s="35" t="str">
        <x:v>numeric coverage for applicable metric</x:v>
      </x:c>
      <x:c r="N2751" s="35" t="str">
        <x:v>Deepseek-flash-v4/Result2/Closure_50/result.json</x:v>
      </x:c>
      <x:c r="O2751" s="39" t="n">
        <x:f>IF(AND(G2751="RECORDED",ISNUMBER(H2751)),H2751,"")</x:f>
        <x:v>41.63</x:v>
      </x:c>
      <x:c r="P2751" s="35" t="str">
        <x:v>INCONCLUSIVE</x:v>
      </x:c>
      <x:c r="Q2751" s="35" t="str">
        <x:v>Deepseek-flash-v4/Result2/Closure_50/result.json</x:v>
      </x:c>
    </x:row>
    <x:row r="2752">
      <x:c r="A2752" s="35" t="str">
        <x:v>deepseek</x:v>
      </x:c>
      <x:c r="B2752" s="35" t="str">
        <x:v>Closure</x:v>
      </x:c>
      <x:c r="C2752" s="35" t="str">
        <x:v>Round2</x:v>
      </x:c>
      <x:c r="D2752" s="35" t="str">
        <x:v>Closure_51</x:v>
      </x:c>
      <x:c r="E2752" s="35" t="str">
        <x:v>Condition</x:v>
      </x:c>
      <x:c r="F2752" s="35" t="n">
        <x:v>54</x:v>
      </x:c>
      <x:c r="G2752" s="35" t="str">
        <x:v>RECORDED</x:v>
      </x:c>
      <x:c r="H2752" s="39" t="n">
        <x:f>IF(ISNUMBER('Data'!N1044),'Data'!N1044*100,"")</x:f>
        <x:v>96.3</x:v>
      </x:c>
      <x:c r="I2752" s="35" t="str">
        <x:v>PASS</x:v>
      </x:c>
      <x:c r="J2752" s="35" t="str">
        <x:v>PASS</x:v>
      </x:c>
      <x:c r="K2752" s="35" t="str">
        <x:v>PASS</x:v>
      </x:c>
      <x:c r="L2752" s="35" t="str">
        <x:v>FAIL</x:v>
      </x:c>
      <x:c r="M2752" s="35" t="str">
        <x:v>numeric coverage for applicable metric</x:v>
      </x:c>
      <x:c r="N2752" s="35" t="str">
        <x:v>Deepseek-flash-v4/Result2/Closure_51/result.json</x:v>
      </x:c>
      <x:c r="O2752" s="39" t="n">
        <x:f>IF(AND(G2752="RECORDED",ISNUMBER(H2752)),H2752,"")</x:f>
        <x:v>96.3</x:v>
      </x:c>
      <x:c r="P2752" s="35" t="str">
        <x:v>INCONCLUSIVE</x:v>
      </x:c>
      <x:c r="Q2752" s="35" t="str">
        <x:v>Deepseek-flash-v4/Result2/Closure_51/result.json</x:v>
      </x:c>
    </x:row>
    <x:row r="2753">
      <x:c r="A2753" s="35" t="str">
        <x:v>deepseek</x:v>
      </x:c>
      <x:c r="B2753" s="35" t="str">
        <x:v>Closure</x:v>
      </x:c>
      <x:c r="C2753" s="35" t="str">
        <x:v>Round2</x:v>
      </x:c>
      <x:c r="D2753" s="35" t="str">
        <x:v>Closure_52</x:v>
      </x:c>
      <x:c r="E2753" s="35" t="str">
        <x:v>Condition</x:v>
      </x:c>
      <x:c r="F2753" s="35"/>
      <x:c r="G2753" s="35" t="str">
        <x:v>A</x:v>
      </x:c>
      <x:c r="H2753" s="39" t="str">
        <x:f>IF(ISNUMBER('Data'!N1045),'Data'!N1045*100,"")</x:f>
      </x:c>
      <x:c r="I2753" s="35"/>
      <x:c r="J2753" s="35" t="str">
        <x:v>PASS</x:v>
      </x:c>
      <x:c r="K2753" s="35" t="str">
        <x:v>FAIL</x:v>
      </x:c>
      <x:c r="L2753" s="35" t="str">
        <x:v>NOT_RUN</x:v>
      </x:c>
      <x:c r="M2753" s="35" t="str">
        <x:v>coverage unavailable or execution/compile failed</x:v>
      </x:c>
      <x:c r="N2753" s="35" t="str">
        <x:v>Deepseek-flash-v4/Result2/Closure_52/result.json</x:v>
      </x:c>
      <x:c r="O2753" s="39" t="str">
        <x:f>IF(AND(G2753="RECORDED",ISNUMBER(H2753)),H2753,"")</x:f>
      </x:c>
      <x:c r="P2753" s="35" t="str">
        <x:v>NOT_AVAILABLE</x:v>
      </x:c>
      <x:c r="Q2753" s="35" t="str">
        <x:v>Deepseek-flash-v4/Result2/Closure_52/result.json</x:v>
      </x:c>
    </x:row>
    <x:row r="2754">
      <x:c r="A2754" s="35" t="str">
        <x:v>deepseek</x:v>
      </x:c>
      <x:c r="B2754" s="35" t="str">
        <x:v>Closure</x:v>
      </x:c>
      <x:c r="C2754" s="35" t="str">
        <x:v>Round2</x:v>
      </x:c>
      <x:c r="D2754" s="35" t="str">
        <x:v>Closure_53</x:v>
      </x:c>
      <x:c r="E2754" s="35" t="str">
        <x:v>Condition</x:v>
      </x:c>
      <x:c r="F2754" s="35"/>
      <x:c r="G2754" s="35" t="str">
        <x:v>A</x:v>
      </x:c>
      <x:c r="H2754" s="39" t="str">
        <x:f>IF(ISNUMBER('Data'!N1046),'Data'!N1046*100,"")</x:f>
      </x:c>
      <x:c r="I2754" s="35"/>
      <x:c r="J2754" s="35" t="str">
        <x:v>PASS</x:v>
      </x:c>
      <x:c r="K2754" s="35" t="str">
        <x:v>FAIL</x:v>
      </x:c>
      <x:c r="L2754" s="35" t="str">
        <x:v>NOT_RUN</x:v>
      </x:c>
      <x:c r="M2754" s="35" t="str">
        <x:v>coverage unavailable or execution/compile failed</x:v>
      </x:c>
      <x:c r="N2754" s="35" t="str">
        <x:v>Deepseek-flash-v4/Result2/Closure_53/result.json</x:v>
      </x:c>
      <x:c r="O2754" s="39" t="str">
        <x:f>IF(AND(G2754="RECORDED",ISNUMBER(H2754)),H2754,"")</x:f>
      </x:c>
      <x:c r="P2754" s="35" t="str">
        <x:v>NOT_AVAILABLE</x:v>
      </x:c>
      <x:c r="Q2754" s="35" t="str">
        <x:v>Deepseek-flash-v4/Result2/Closure_53/result.json</x:v>
      </x:c>
    </x:row>
    <x:row r="2755">
      <x:c r="A2755" s="35" t="str">
        <x:v>deepseek</x:v>
      </x:c>
      <x:c r="B2755" s="35" t="str">
        <x:v>Closure</x:v>
      </x:c>
      <x:c r="C2755" s="35" t="str">
        <x:v>Round2</x:v>
      </x:c>
      <x:c r="D2755" s="35" t="str">
        <x:v>Closure_54</x:v>
      </x:c>
      <x:c r="E2755" s="35" t="str">
        <x:v>Condition</x:v>
      </x:c>
      <x:c r="F2755" s="35"/>
      <x:c r="G2755" s="35" t="str">
        <x:v>A</x:v>
      </x:c>
      <x:c r="H2755" s="39" t="str">
        <x:f>IF(ISNUMBER('Data'!N1047),'Data'!N1047*100,"")</x:f>
      </x:c>
      <x:c r="I2755" s="35"/>
      <x:c r="J2755" s="35" t="str">
        <x:v>PASS</x:v>
      </x:c>
      <x:c r="K2755" s="35" t="str">
        <x:v>FAIL</x:v>
      </x:c>
      <x:c r="L2755" s="35" t="str">
        <x:v>NOT_RUN</x:v>
      </x:c>
      <x:c r="M2755" s="35" t="str">
        <x:v>coverage unavailable or execution/compile failed</x:v>
      </x:c>
      <x:c r="N2755" s="35" t="str">
        <x:v>Deepseek-flash-v4/Result2/Closure_54/result.json</x:v>
      </x:c>
      <x:c r="O2755" s="39" t="str">
        <x:f>IF(AND(G2755="RECORDED",ISNUMBER(H2755)),H2755,"")</x:f>
      </x:c>
      <x:c r="P2755" s="35" t="str">
        <x:v>NOT_AVAILABLE</x:v>
      </x:c>
      <x:c r="Q2755" s="35" t="str">
        <x:v>Deepseek-flash-v4/Result2/Closure_54/result.json</x:v>
      </x:c>
    </x:row>
    <x:row r="2756">
      <x:c r="A2756" s="35" t="str">
        <x:v>deepseek</x:v>
      </x:c>
      <x:c r="B2756" s="35" t="str">
        <x:v>Closure</x:v>
      </x:c>
      <x:c r="C2756" s="35" t="str">
        <x:v>Round2</x:v>
      </x:c>
      <x:c r="D2756" s="35" t="str">
        <x:v>Closure_55</x:v>
      </x:c>
      <x:c r="E2756" s="35" t="str">
        <x:v>Condition</x:v>
      </x:c>
      <x:c r="F2756" s="35"/>
      <x:c r="G2756" s="35" t="str">
        <x:v>A</x:v>
      </x:c>
      <x:c r="H2756" s="39" t="str">
        <x:f>IF(ISNUMBER('Data'!N1048),'Data'!N1048*100,"")</x:f>
      </x:c>
      <x:c r="I2756" s="35"/>
      <x:c r="J2756" s="35" t="str">
        <x:v>PASS</x:v>
      </x:c>
      <x:c r="K2756" s="35" t="str">
        <x:v>FAIL</x:v>
      </x:c>
      <x:c r="L2756" s="35" t="str">
        <x:v>NOT_RUN</x:v>
      </x:c>
      <x:c r="M2756" s="35" t="str">
        <x:v>coverage unavailable or execution/compile failed</x:v>
      </x:c>
      <x:c r="N2756" s="35" t="str">
        <x:v>Deepseek-flash-v4/Result2/Closure_55/result.json</x:v>
      </x:c>
      <x:c r="O2756" s="39" t="str">
        <x:f>IF(AND(G2756="RECORDED",ISNUMBER(H2756)),H2756,"")</x:f>
      </x:c>
      <x:c r="P2756" s="35" t="str">
        <x:v>NOT_AVAILABLE</x:v>
      </x:c>
      <x:c r="Q2756" s="35" t="str">
        <x:v>Deepseek-flash-v4/Result2/Closure_55/result.json</x:v>
      </x:c>
    </x:row>
    <x:row r="2757">
      <x:c r="A2757" s="35" t="str">
        <x:v>deepseek</x:v>
      </x:c>
      <x:c r="B2757" s="35" t="str">
        <x:v>Closure</x:v>
      </x:c>
      <x:c r="C2757" s="35" t="str">
        <x:v>Round2</x:v>
      </x:c>
      <x:c r="D2757" s="35" t="str">
        <x:v>Closure_56</x:v>
      </x:c>
      <x:c r="E2757" s="35" t="str">
        <x:v>Condition</x:v>
      </x:c>
      <x:c r="F2757" s="35"/>
      <x:c r="G2757" s="35" t="str">
        <x:v>A</x:v>
      </x:c>
      <x:c r="H2757" s="39" t="str">
        <x:f>IF(ISNUMBER('Data'!N1049),'Data'!N1049*100,"")</x:f>
      </x:c>
      <x:c r="I2757" s="35"/>
      <x:c r="J2757" s="35" t="str">
        <x:v>PASS</x:v>
      </x:c>
      <x:c r="K2757" s="35" t="str">
        <x:v>FAIL</x:v>
      </x:c>
      <x:c r="L2757" s="35" t="str">
        <x:v>NOT_RUN</x:v>
      </x:c>
      <x:c r="M2757" s="35" t="str">
        <x:v>coverage unavailable or execution/compile failed</x:v>
      </x:c>
      <x:c r="N2757" s="35" t="str">
        <x:v>Deepseek-flash-v4/Result2/Closure_56/result.json</x:v>
      </x:c>
      <x:c r="O2757" s="39" t="str">
        <x:f>IF(AND(G2757="RECORDED",ISNUMBER(H2757)),H2757,"")</x:f>
      </x:c>
      <x:c r="P2757" s="35" t="str">
        <x:v>NOT_AVAILABLE</x:v>
      </x:c>
      <x:c r="Q2757" s="35" t="str">
        <x:v>Deepseek-flash-v4/Result2/Closure_56/result.json</x:v>
      </x:c>
    </x:row>
    <x:row r="2758">
      <x:c r="A2758" s="35" t="str">
        <x:v>deepseek</x:v>
      </x:c>
      <x:c r="B2758" s="35" t="str">
        <x:v>Closure</x:v>
      </x:c>
      <x:c r="C2758" s="35" t="str">
        <x:v>Round2</x:v>
      </x:c>
      <x:c r="D2758" s="35" t="str">
        <x:v>Closure_57</x:v>
      </x:c>
      <x:c r="E2758" s="35" t="str">
        <x:v>Condition</x:v>
      </x:c>
      <x:c r="F2758" s="35"/>
      <x:c r="G2758" s="35" t="str">
        <x:v>A</x:v>
      </x:c>
      <x:c r="H2758" s="39" t="str">
        <x:f>IF(ISNUMBER('Data'!N1050),'Data'!N1050*100,"")</x:f>
      </x:c>
      <x:c r="I2758" s="35"/>
      <x:c r="J2758" s="35" t="str">
        <x:v>PASS</x:v>
      </x:c>
      <x:c r="K2758" s="35" t="str">
        <x:v>FAIL</x:v>
      </x:c>
      <x:c r="L2758" s="35" t="str">
        <x:v>NOT_RUN</x:v>
      </x:c>
      <x:c r="M2758" s="35" t="str">
        <x:v>coverage unavailable or execution/compile failed</x:v>
      </x:c>
      <x:c r="N2758" s="35" t="str">
        <x:v>Deepseek-flash-v4/Result2/Closure_57/result.json</x:v>
      </x:c>
      <x:c r="O2758" s="39" t="str">
        <x:f>IF(AND(G2758="RECORDED",ISNUMBER(H2758)),H2758,"")</x:f>
      </x:c>
      <x:c r="P2758" s="35" t="str">
        <x:v>NOT_AVAILABLE</x:v>
      </x:c>
      <x:c r="Q2758" s="35" t="str">
        <x:v>Deepseek-flash-v4/Result2/Closure_57/result.json</x:v>
      </x:c>
    </x:row>
    <x:row r="2759">
      <x:c r="A2759" s="35" t="str">
        <x:v>deepseek</x:v>
      </x:c>
      <x:c r="B2759" s="35" t="str">
        <x:v>Closure</x:v>
      </x:c>
      <x:c r="C2759" s="35" t="str">
        <x:v>Round2</x:v>
      </x:c>
      <x:c r="D2759" s="35" t="str">
        <x:v>Closure_58</x:v>
      </x:c>
      <x:c r="E2759" s="35" t="str">
        <x:v>Condition</x:v>
      </x:c>
      <x:c r="F2759" s="35"/>
      <x:c r="G2759" s="35" t="str">
        <x:v>A</x:v>
      </x:c>
      <x:c r="H2759" s="39" t="str">
        <x:f>IF(ISNUMBER('Data'!N1051),'Data'!N1051*100,"")</x:f>
      </x:c>
      <x:c r="I2759" s="35"/>
      <x:c r="J2759" s="35" t="str">
        <x:v>PASS</x:v>
      </x:c>
      <x:c r="K2759" s="35" t="str">
        <x:v>FAIL</x:v>
      </x:c>
      <x:c r="L2759" s="35" t="str">
        <x:v>NOT_RUN</x:v>
      </x:c>
      <x:c r="M2759" s="35" t="str">
        <x:v>coverage unavailable or execution/compile failed</x:v>
      </x:c>
      <x:c r="N2759" s="35" t="str">
        <x:v>Deepseek-flash-v4/Result2/Closure_58/result.json</x:v>
      </x:c>
      <x:c r="O2759" s="39" t="str">
        <x:f>IF(AND(G2759="RECORDED",ISNUMBER(H2759)),H2759,"")</x:f>
      </x:c>
      <x:c r="P2759" s="35" t="str">
        <x:v>NOT_AVAILABLE</x:v>
      </x:c>
      <x:c r="Q2759" s="35" t="str">
        <x:v>Deepseek-flash-v4/Result2/Closure_58/result.json</x:v>
      </x:c>
    </x:row>
    <x:row r="2760">
      <x:c r="A2760" s="35" t="str">
        <x:v>deepseek</x:v>
      </x:c>
      <x:c r="B2760" s="35" t="str">
        <x:v>Closure</x:v>
      </x:c>
      <x:c r="C2760" s="35" t="str">
        <x:v>Round2</x:v>
      </x:c>
      <x:c r="D2760" s="35" t="str">
        <x:v>Closure_59</x:v>
      </x:c>
      <x:c r="E2760" s="35" t="str">
        <x:v>Condition</x:v>
      </x:c>
      <x:c r="F2760" s="35"/>
      <x:c r="G2760" s="35" t="str">
        <x:v>A</x:v>
      </x:c>
      <x:c r="H2760" s="39" t="str">
        <x:f>IF(ISNUMBER('Data'!N1052),'Data'!N1052*100,"")</x:f>
      </x:c>
      <x:c r="I2760" s="35"/>
      <x:c r="J2760" s="35" t="str">
        <x:v>PASS</x:v>
      </x:c>
      <x:c r="K2760" s="35" t="str">
        <x:v>FAIL</x:v>
      </x:c>
      <x:c r="L2760" s="35" t="str">
        <x:v>NOT_RUN</x:v>
      </x:c>
      <x:c r="M2760" s="35" t="str">
        <x:v>coverage unavailable or execution/compile failed</x:v>
      </x:c>
      <x:c r="N2760" s="35" t="str">
        <x:v>Deepseek-flash-v4/Result2/Closure_59/result.json</x:v>
      </x:c>
      <x:c r="O2760" s="39" t="str">
        <x:f>IF(AND(G2760="RECORDED",ISNUMBER(H2760)),H2760,"")</x:f>
      </x:c>
      <x:c r="P2760" s="35" t="str">
        <x:v>NOT_AVAILABLE</x:v>
      </x:c>
      <x:c r="Q2760" s="35" t="str">
        <x:v>Deepseek-flash-v4/Result2/Closure_59/result.json</x:v>
      </x:c>
    </x:row>
    <x:row r="2761">
      <x:c r="A2761" s="35" t="str">
        <x:v>deepseek</x:v>
      </x:c>
      <x:c r="B2761" s="35" t="str">
        <x:v>Closure</x:v>
      </x:c>
      <x:c r="C2761" s="35" t="str">
        <x:v>Round2</x:v>
      </x:c>
      <x:c r="D2761" s="35" t="str">
        <x:v>Closure_6</x:v>
      </x:c>
      <x:c r="E2761" s="35" t="str">
        <x:v>Condition</x:v>
      </x:c>
      <x:c r="F2761" s="35"/>
      <x:c r="G2761" s="35" t="str">
        <x:v>A</x:v>
      </x:c>
      <x:c r="H2761" s="39" t="str">
        <x:f>IF(ISNUMBER('Data'!N1053),'Data'!N1053*100,"")</x:f>
      </x:c>
      <x:c r="I2761" s="35"/>
      <x:c r="J2761" s="35" t="str">
        <x:v>PASS</x:v>
      </x:c>
      <x:c r="K2761" s="35" t="str">
        <x:v>FAIL</x:v>
      </x:c>
      <x:c r="L2761" s="35" t="str">
        <x:v>NOT_RUN</x:v>
      </x:c>
      <x:c r="M2761" s="35" t="str">
        <x:v>coverage unavailable or execution/compile failed</x:v>
      </x:c>
      <x:c r="N2761" s="35" t="str">
        <x:v>Deepseek-flash-v4/Result2/Closure_6/result.json</x:v>
      </x:c>
      <x:c r="O2761" s="39" t="str">
        <x:f>IF(AND(G2761="RECORDED",ISNUMBER(H2761)),H2761,"")</x:f>
      </x:c>
      <x:c r="P2761" s="35" t="str">
        <x:v>NOT_AVAILABLE</x:v>
      </x:c>
      <x:c r="Q2761" s="35" t="str">
        <x:v>Deepseek-flash-v4/Result2/Closure_6/result.json</x:v>
      </x:c>
    </x:row>
    <x:row r="2762">
      <x:c r="A2762" s="35" t="str">
        <x:v>deepseek</x:v>
      </x:c>
      <x:c r="B2762" s="35" t="str">
        <x:v>Closure</x:v>
      </x:c>
      <x:c r="C2762" s="35" t="str">
        <x:v>Round2</x:v>
      </x:c>
      <x:c r="D2762" s="35" t="str">
        <x:v>Closure_60</x:v>
      </x:c>
      <x:c r="E2762" s="35" t="str">
        <x:v>Condition</x:v>
      </x:c>
      <x:c r="F2762" s="35"/>
      <x:c r="G2762" s="35" t="str">
        <x:v>A</x:v>
      </x:c>
      <x:c r="H2762" s="39" t="str">
        <x:f>IF(ISNUMBER('Data'!N1054),'Data'!N1054*100,"")</x:f>
      </x:c>
      <x:c r="I2762" s="35"/>
      <x:c r="J2762" s="35" t="str">
        <x:v>PASS</x:v>
      </x:c>
      <x:c r="K2762" s="35" t="str">
        <x:v>FAIL</x:v>
      </x:c>
      <x:c r="L2762" s="35" t="str">
        <x:v>NOT_RUN</x:v>
      </x:c>
      <x:c r="M2762" s="35" t="str">
        <x:v>coverage unavailable or execution/compile failed</x:v>
      </x:c>
      <x:c r="N2762" s="35" t="str">
        <x:v>Deepseek-flash-v4/Result2/Closure_60/result.json</x:v>
      </x:c>
      <x:c r="O2762" s="39" t="str">
        <x:f>IF(AND(G2762="RECORDED",ISNUMBER(H2762)),H2762,"")</x:f>
      </x:c>
      <x:c r="P2762" s="35" t="str">
        <x:v>NOT_AVAILABLE</x:v>
      </x:c>
      <x:c r="Q2762" s="35" t="str">
        <x:v>Deepseek-flash-v4/Result2/Closure_60/result.json</x:v>
      </x:c>
    </x:row>
    <x:row r="2763">
      <x:c r="A2763" s="35" t="str">
        <x:v>deepseek</x:v>
      </x:c>
      <x:c r="B2763" s="35" t="str">
        <x:v>Closure</x:v>
      </x:c>
      <x:c r="C2763" s="35" t="str">
        <x:v>Round2</x:v>
      </x:c>
      <x:c r="D2763" s="35" t="str">
        <x:v>Closure_61</x:v>
      </x:c>
      <x:c r="E2763" s="35" t="str">
        <x:v>Condition</x:v>
      </x:c>
      <x:c r="F2763" s="35"/>
      <x:c r="G2763" s="35" t="str">
        <x:v>A</x:v>
      </x:c>
      <x:c r="H2763" s="39" t="str">
        <x:f>IF(ISNUMBER('Data'!N1055),'Data'!N1055*100,"")</x:f>
      </x:c>
      <x:c r="I2763" s="35"/>
      <x:c r="J2763" s="35" t="str">
        <x:v>PASS</x:v>
      </x:c>
      <x:c r="K2763" s="35" t="str">
        <x:v>FAIL</x:v>
      </x:c>
      <x:c r="L2763" s="35" t="str">
        <x:v>NOT_RUN</x:v>
      </x:c>
      <x:c r="M2763" s="35" t="str">
        <x:v>coverage unavailable or execution/compile failed</x:v>
      </x:c>
      <x:c r="N2763" s="35" t="str">
        <x:v>Deepseek-flash-v4/Result2/Closure_61/result.json</x:v>
      </x:c>
      <x:c r="O2763" s="39" t="str">
        <x:f>IF(AND(G2763="RECORDED",ISNUMBER(H2763)),H2763,"")</x:f>
      </x:c>
      <x:c r="P2763" s="35" t="str">
        <x:v>NOT_AVAILABLE</x:v>
      </x:c>
      <x:c r="Q2763" s="35" t="str">
        <x:v>Deepseek-flash-v4/Result2/Closure_61/result.json</x:v>
      </x:c>
    </x:row>
    <x:row r="2764">
      <x:c r="A2764" s="35" t="str">
        <x:v>deepseek</x:v>
      </x:c>
      <x:c r="B2764" s="35" t="str">
        <x:v>Closure</x:v>
      </x:c>
      <x:c r="C2764" s="35" t="str">
        <x:v>Round2</x:v>
      </x:c>
      <x:c r="D2764" s="35" t="str">
        <x:v>Closure_62</x:v>
      </x:c>
      <x:c r="E2764" s="35" t="str">
        <x:v>Condition</x:v>
      </x:c>
      <x:c r="F2764" s="35"/>
      <x:c r="G2764" s="35" t="str">
        <x:v>A</x:v>
      </x:c>
      <x:c r="H2764" s="39" t="str">
        <x:f>IF(ISNUMBER('Data'!N1056),'Data'!N1056*100,"")</x:f>
      </x:c>
      <x:c r="I2764" s="35"/>
      <x:c r="J2764" s="35" t="str">
        <x:v>PASS</x:v>
      </x:c>
      <x:c r="K2764" s="35" t="str">
        <x:v>FAIL</x:v>
      </x:c>
      <x:c r="L2764" s="35" t="str">
        <x:v>NOT_RUN</x:v>
      </x:c>
      <x:c r="M2764" s="35" t="str">
        <x:v>coverage unavailable or execution/compile failed</x:v>
      </x:c>
      <x:c r="N2764" s="35" t="str">
        <x:v>Deepseek-flash-v4/Result2/Closure_62/result.json</x:v>
      </x:c>
      <x:c r="O2764" s="39" t="str">
        <x:f>IF(AND(G2764="RECORDED",ISNUMBER(H2764)),H2764,"")</x:f>
      </x:c>
      <x:c r="P2764" s="35" t="str">
        <x:v>NOT_AVAILABLE</x:v>
      </x:c>
      <x:c r="Q2764" s="35" t="str">
        <x:v>Deepseek-flash-v4/Result2/Closure_62/result.json</x:v>
      </x:c>
    </x:row>
    <x:row r="2765">
      <x:c r="A2765" s="35" t="str">
        <x:v>deepseek</x:v>
      </x:c>
      <x:c r="B2765" s="35" t="str">
        <x:v>Closure</x:v>
      </x:c>
      <x:c r="C2765" s="35" t="str">
        <x:v>Round2</x:v>
      </x:c>
      <x:c r="D2765" s="35" t="str">
        <x:v>Closure_64</x:v>
      </x:c>
      <x:c r="E2765" s="35" t="str">
        <x:v>Condition</x:v>
      </x:c>
      <x:c r="F2765" s="35"/>
      <x:c r="G2765" s="35" t="str">
        <x:v>A</x:v>
      </x:c>
      <x:c r="H2765" s="39" t="str">
        <x:f>IF(ISNUMBER('Data'!N1057),'Data'!N1057*100,"")</x:f>
      </x:c>
      <x:c r="I2765" s="35"/>
      <x:c r="J2765" s="35" t="str">
        <x:v>PASS</x:v>
      </x:c>
      <x:c r="K2765" s="35" t="str">
        <x:v>FAIL</x:v>
      </x:c>
      <x:c r="L2765" s="35" t="str">
        <x:v>NOT_RUN</x:v>
      </x:c>
      <x:c r="M2765" s="35" t="str">
        <x:v>coverage unavailable or execution/compile failed</x:v>
      </x:c>
      <x:c r="N2765" s="35" t="str">
        <x:v>Deepseek-flash-v4/Result2/Closure_64/result.json</x:v>
      </x:c>
      <x:c r="O2765" s="39" t="str">
        <x:f>IF(AND(G2765="RECORDED",ISNUMBER(H2765)),H2765,"")</x:f>
      </x:c>
      <x:c r="P2765" s="35" t="str">
        <x:v>NOT_AVAILABLE</x:v>
      </x:c>
      <x:c r="Q2765" s="35" t="str">
        <x:v>Deepseek-flash-v4/Result2/Closure_64/result.json</x:v>
      </x:c>
    </x:row>
    <x:row r="2766">
      <x:c r="A2766" s="35" t="str">
        <x:v>deepseek</x:v>
      </x:c>
      <x:c r="B2766" s="35" t="str">
        <x:v>Closure</x:v>
      </x:c>
      <x:c r="C2766" s="35" t="str">
        <x:v>Round2</x:v>
      </x:c>
      <x:c r="D2766" s="35" t="str">
        <x:v>Closure_65</x:v>
      </x:c>
      <x:c r="E2766" s="35" t="str">
        <x:v>Condition</x:v>
      </x:c>
      <x:c r="F2766" s="35"/>
      <x:c r="G2766" s="35" t="str">
        <x:v>A</x:v>
      </x:c>
      <x:c r="H2766" s="39" t="str">
        <x:f>IF(ISNUMBER('Data'!N1058),'Data'!N1058*100,"")</x:f>
      </x:c>
      <x:c r="I2766" s="35"/>
      <x:c r="J2766" s="35" t="str">
        <x:v>PASS</x:v>
      </x:c>
      <x:c r="K2766" s="35" t="str">
        <x:v>FAIL</x:v>
      </x:c>
      <x:c r="L2766" s="35" t="str">
        <x:v>NOT_RUN</x:v>
      </x:c>
      <x:c r="M2766" s="35" t="str">
        <x:v>coverage unavailable or execution/compile failed</x:v>
      </x:c>
      <x:c r="N2766" s="35" t="str">
        <x:v>Deepseek-flash-v4/Result2/Closure_65/result.json</x:v>
      </x:c>
      <x:c r="O2766" s="39" t="str">
        <x:f>IF(AND(G2766="RECORDED",ISNUMBER(H2766)),H2766,"")</x:f>
      </x:c>
      <x:c r="P2766" s="35" t="str">
        <x:v>NOT_AVAILABLE</x:v>
      </x:c>
      <x:c r="Q2766" s="35" t="str">
        <x:v>Deepseek-flash-v4/Result2/Closure_65/result.json</x:v>
      </x:c>
    </x:row>
    <x:row r="2767">
      <x:c r="A2767" s="35" t="str">
        <x:v>deepseek</x:v>
      </x:c>
      <x:c r="B2767" s="35" t="str">
        <x:v>Closure</x:v>
      </x:c>
      <x:c r="C2767" s="35" t="str">
        <x:v>Round2</x:v>
      </x:c>
      <x:c r="D2767" s="35" t="str">
        <x:v>Closure_66</x:v>
      </x:c>
      <x:c r="E2767" s="35" t="str">
        <x:v>Condition</x:v>
      </x:c>
      <x:c r="F2767" s="35"/>
      <x:c r="G2767" s="35" t="str">
        <x:v>A</x:v>
      </x:c>
      <x:c r="H2767" s="39" t="str">
        <x:f>IF(ISNUMBER('Data'!N1059),'Data'!N1059*100,"")</x:f>
      </x:c>
      <x:c r="I2767" s="35"/>
      <x:c r="J2767" s="35" t="str">
        <x:v>PASS</x:v>
      </x:c>
      <x:c r="K2767" s="35" t="str">
        <x:v>FAIL</x:v>
      </x:c>
      <x:c r="L2767" s="35" t="str">
        <x:v>NOT_RUN</x:v>
      </x:c>
      <x:c r="M2767" s="35" t="str">
        <x:v>coverage unavailable or execution/compile failed</x:v>
      </x:c>
      <x:c r="N2767" s="35" t="str">
        <x:v>Deepseek-flash-v4/Result2/Closure_66/result.json</x:v>
      </x:c>
      <x:c r="O2767" s="39" t="str">
        <x:f>IF(AND(G2767="RECORDED",ISNUMBER(H2767)),H2767,"")</x:f>
      </x:c>
      <x:c r="P2767" s="35" t="str">
        <x:v>NOT_AVAILABLE</x:v>
      </x:c>
      <x:c r="Q2767" s="35" t="str">
        <x:v>Deepseek-flash-v4/Result2/Closure_66/result.json</x:v>
      </x:c>
    </x:row>
    <x:row r="2768">
      <x:c r="A2768" s="35" t="str">
        <x:v>deepseek</x:v>
      </x:c>
      <x:c r="B2768" s="35" t="str">
        <x:v>Closure</x:v>
      </x:c>
      <x:c r="C2768" s="35" t="str">
        <x:v>Round2</x:v>
      </x:c>
      <x:c r="D2768" s="35" t="str">
        <x:v>Closure_67</x:v>
      </x:c>
      <x:c r="E2768" s="35" t="str">
        <x:v>Condition</x:v>
      </x:c>
      <x:c r="F2768" s="35"/>
      <x:c r="G2768" s="35" t="str">
        <x:v>A</x:v>
      </x:c>
      <x:c r="H2768" s="39" t="str">
        <x:f>IF(ISNUMBER('Data'!N1060),'Data'!N1060*100,"")</x:f>
      </x:c>
      <x:c r="I2768" s="35"/>
      <x:c r="J2768" s="35" t="str">
        <x:v>PASS</x:v>
      </x:c>
      <x:c r="K2768" s="35" t="str">
        <x:v>FAIL</x:v>
      </x:c>
      <x:c r="L2768" s="35" t="str">
        <x:v>NOT_RUN</x:v>
      </x:c>
      <x:c r="M2768" s="35" t="str">
        <x:v>coverage unavailable or execution/compile failed</x:v>
      </x:c>
      <x:c r="N2768" s="35" t="str">
        <x:v>Deepseek-flash-v4/Result2/Closure_67/result.json</x:v>
      </x:c>
      <x:c r="O2768" s="39" t="str">
        <x:f>IF(AND(G2768="RECORDED",ISNUMBER(H2768)),H2768,"")</x:f>
      </x:c>
      <x:c r="P2768" s="35" t="str">
        <x:v>NOT_AVAILABLE</x:v>
      </x:c>
      <x:c r="Q2768" s="35" t="str">
        <x:v>Deepseek-flash-v4/Result2/Closure_67/result.json</x:v>
      </x:c>
    </x:row>
    <x:row r="2769">
      <x:c r="A2769" s="35" t="str">
        <x:v>deepseek</x:v>
      </x:c>
      <x:c r="B2769" s="35" t="str">
        <x:v>Closure</x:v>
      </x:c>
      <x:c r="C2769" s="35" t="str">
        <x:v>Round2</x:v>
      </x:c>
      <x:c r="D2769" s="35" t="str">
        <x:v>Closure_68</x:v>
      </x:c>
      <x:c r="E2769" s="35" t="str">
        <x:v>Condition</x:v>
      </x:c>
      <x:c r="F2769" s="35"/>
      <x:c r="G2769" s="35" t="str">
        <x:v>A</x:v>
      </x:c>
      <x:c r="H2769" s="39" t="str">
        <x:f>IF(ISNUMBER('Data'!N1061),'Data'!N1061*100,"")</x:f>
      </x:c>
      <x:c r="I2769" s="35"/>
      <x:c r="J2769" s="35" t="str">
        <x:v>PASS</x:v>
      </x:c>
      <x:c r="K2769" s="35" t="str">
        <x:v>FAIL</x:v>
      </x:c>
      <x:c r="L2769" s="35" t="str">
        <x:v>NOT_RUN</x:v>
      </x:c>
      <x:c r="M2769" s="35" t="str">
        <x:v>coverage unavailable or execution/compile failed</x:v>
      </x:c>
      <x:c r="N2769" s="35" t="str">
        <x:v>Deepseek-flash-v4/Result2/Closure_68/result.json</x:v>
      </x:c>
      <x:c r="O2769" s="39" t="str">
        <x:f>IF(AND(G2769="RECORDED",ISNUMBER(H2769)),H2769,"")</x:f>
      </x:c>
      <x:c r="P2769" s="35" t="str">
        <x:v>NOT_AVAILABLE</x:v>
      </x:c>
      <x:c r="Q2769" s="35" t="str">
        <x:v>Deepseek-flash-v4/Result2/Closure_68/result.json</x:v>
      </x:c>
    </x:row>
    <x:row r="2770">
      <x:c r="A2770" s="35" t="str">
        <x:v>deepseek</x:v>
      </x:c>
      <x:c r="B2770" s="35" t="str">
        <x:v>Closure</x:v>
      </x:c>
      <x:c r="C2770" s="35" t="str">
        <x:v>Round2</x:v>
      </x:c>
      <x:c r="D2770" s="35" t="str">
        <x:v>Closure_69</x:v>
      </x:c>
      <x:c r="E2770" s="35" t="str">
        <x:v>Condition</x:v>
      </x:c>
      <x:c r="F2770" s="35"/>
      <x:c r="G2770" s="35" t="str">
        <x:v>A</x:v>
      </x:c>
      <x:c r="H2770" s="39" t="str">
        <x:f>IF(ISNUMBER('Data'!N1062),'Data'!N1062*100,"")</x:f>
      </x:c>
      <x:c r="I2770" s="35"/>
      <x:c r="J2770" s="35" t="str">
        <x:v>PASS</x:v>
      </x:c>
      <x:c r="K2770" s="35" t="str">
        <x:v>FAIL</x:v>
      </x:c>
      <x:c r="L2770" s="35" t="str">
        <x:v>NOT_RUN</x:v>
      </x:c>
      <x:c r="M2770" s="35" t="str">
        <x:v>coverage unavailable or execution/compile failed</x:v>
      </x:c>
      <x:c r="N2770" s="35" t="str">
        <x:v>Deepseek-flash-v4/Result2/Closure_69/result.json</x:v>
      </x:c>
      <x:c r="O2770" s="39" t="str">
        <x:f>IF(AND(G2770="RECORDED",ISNUMBER(H2770)),H2770,"")</x:f>
      </x:c>
      <x:c r="P2770" s="35" t="str">
        <x:v>NOT_AVAILABLE</x:v>
      </x:c>
      <x:c r="Q2770" s="35" t="str">
        <x:v>Deepseek-flash-v4/Result2/Closure_69/result.json</x:v>
      </x:c>
    </x:row>
    <x:row r="2771">
      <x:c r="A2771" s="35" t="str">
        <x:v>deepseek</x:v>
      </x:c>
      <x:c r="B2771" s="35" t="str">
        <x:v>Closure</x:v>
      </x:c>
      <x:c r="C2771" s="35" t="str">
        <x:v>Round2</x:v>
      </x:c>
      <x:c r="D2771" s="35" t="str">
        <x:v>Closure_7</x:v>
      </x:c>
      <x:c r="E2771" s="35" t="str">
        <x:v>Condition</x:v>
      </x:c>
      <x:c r="F2771" s="35"/>
      <x:c r="G2771" s="35" t="str">
        <x:v>A</x:v>
      </x:c>
      <x:c r="H2771" s="39" t="str">
        <x:f>IF(ISNUMBER('Data'!N1063),'Data'!N1063*100,"")</x:f>
      </x:c>
      <x:c r="I2771" s="35"/>
      <x:c r="J2771" s="35" t="str">
        <x:v>PASS</x:v>
      </x:c>
      <x:c r="K2771" s="35" t="str">
        <x:v>FAIL</x:v>
      </x:c>
      <x:c r="L2771" s="35" t="str">
        <x:v>NOT_RUN</x:v>
      </x:c>
      <x:c r="M2771" s="35" t="str">
        <x:v>coverage unavailable or execution/compile failed</x:v>
      </x:c>
      <x:c r="N2771" s="35" t="str">
        <x:v>Deepseek-flash-v4/Result2/Closure_7/result.json</x:v>
      </x:c>
      <x:c r="O2771" s="39" t="str">
        <x:f>IF(AND(G2771="RECORDED",ISNUMBER(H2771)),H2771,"")</x:f>
      </x:c>
      <x:c r="P2771" s="35" t="str">
        <x:v>NOT_AVAILABLE</x:v>
      </x:c>
      <x:c r="Q2771" s="35" t="str">
        <x:v>Deepseek-flash-v4/Result2/Closure_7/result.json</x:v>
      </x:c>
    </x:row>
    <x:row r="2772">
      <x:c r="A2772" s="35" t="str">
        <x:v>deepseek</x:v>
      </x:c>
      <x:c r="B2772" s="35" t="str">
        <x:v>Closure</x:v>
      </x:c>
      <x:c r="C2772" s="35" t="str">
        <x:v>Round2</x:v>
      </x:c>
      <x:c r="D2772" s="35" t="str">
        <x:v>Closure_70</x:v>
      </x:c>
      <x:c r="E2772" s="35" t="str">
        <x:v>Condition</x:v>
      </x:c>
      <x:c r="F2772" s="35"/>
      <x:c r="G2772" s="35" t="str">
        <x:v>A</x:v>
      </x:c>
      <x:c r="H2772" s="39" t="str">
        <x:f>IF(ISNUMBER('Data'!N1064),'Data'!N1064*100,"")</x:f>
      </x:c>
      <x:c r="I2772" s="35"/>
      <x:c r="J2772" s="35" t="str">
        <x:v>PASS</x:v>
      </x:c>
      <x:c r="K2772" s="35" t="str">
        <x:v>FAIL</x:v>
      </x:c>
      <x:c r="L2772" s="35" t="str">
        <x:v>NOT_RUN</x:v>
      </x:c>
      <x:c r="M2772" s="35" t="str">
        <x:v>coverage unavailable or execution/compile failed</x:v>
      </x:c>
      <x:c r="N2772" s="35" t="str">
        <x:v>Deepseek-flash-v4/Result2/Closure_70/result.json</x:v>
      </x:c>
      <x:c r="O2772" s="39" t="str">
        <x:f>IF(AND(G2772="RECORDED",ISNUMBER(H2772)),H2772,"")</x:f>
      </x:c>
      <x:c r="P2772" s="35" t="str">
        <x:v>NOT_AVAILABLE</x:v>
      </x:c>
      <x:c r="Q2772" s="35" t="str">
        <x:v>Deepseek-flash-v4/Result2/Closure_70/result.json</x:v>
      </x:c>
    </x:row>
    <x:row r="2773">
      <x:c r="A2773" s="35" t="str">
        <x:v>deepseek</x:v>
      </x:c>
      <x:c r="B2773" s="35" t="str">
        <x:v>Closure</x:v>
      </x:c>
      <x:c r="C2773" s="35" t="str">
        <x:v>Round2</x:v>
      </x:c>
      <x:c r="D2773" s="35" t="str">
        <x:v>Closure_71</x:v>
      </x:c>
      <x:c r="E2773" s="35" t="str">
        <x:v>Condition</x:v>
      </x:c>
      <x:c r="F2773" s="35"/>
      <x:c r="G2773" s="35" t="str">
        <x:v>A</x:v>
      </x:c>
      <x:c r="H2773" s="39" t="str">
        <x:f>IF(ISNUMBER('Data'!N1065),'Data'!N1065*100,"")</x:f>
      </x:c>
      <x:c r="I2773" s="35"/>
      <x:c r="J2773" s="35" t="str">
        <x:v>PASS</x:v>
      </x:c>
      <x:c r="K2773" s="35" t="str">
        <x:v>FAIL</x:v>
      </x:c>
      <x:c r="L2773" s="35" t="str">
        <x:v>NOT_RUN</x:v>
      </x:c>
      <x:c r="M2773" s="35" t="str">
        <x:v>coverage unavailable or execution/compile failed</x:v>
      </x:c>
      <x:c r="N2773" s="35" t="str">
        <x:v>Deepseek-flash-v4/Result2/Closure_71/result.json</x:v>
      </x:c>
      <x:c r="O2773" s="39" t="str">
        <x:f>IF(AND(G2773="RECORDED",ISNUMBER(H2773)),H2773,"")</x:f>
      </x:c>
      <x:c r="P2773" s="35" t="str">
        <x:v>NOT_AVAILABLE</x:v>
      </x:c>
      <x:c r="Q2773" s="35" t="str">
        <x:v>Deepseek-flash-v4/Result2/Closure_71/result.json</x:v>
      </x:c>
    </x:row>
    <x:row r="2774">
      <x:c r="A2774" s="35" t="str">
        <x:v>deepseek</x:v>
      </x:c>
      <x:c r="B2774" s="35" t="str">
        <x:v>Closure</x:v>
      </x:c>
      <x:c r="C2774" s="35" t="str">
        <x:v>Round2</x:v>
      </x:c>
      <x:c r="D2774" s="35" t="str">
        <x:v>Closure_72</x:v>
      </x:c>
      <x:c r="E2774" s="35" t="str">
        <x:v>Condition</x:v>
      </x:c>
      <x:c r="F2774" s="35"/>
      <x:c r="G2774" s="35" t="str">
        <x:v>A</x:v>
      </x:c>
      <x:c r="H2774" s="39" t="str">
        <x:f>IF(ISNUMBER('Data'!N1066),'Data'!N1066*100,"")</x:f>
      </x:c>
      <x:c r="I2774" s="35"/>
      <x:c r="J2774" s="35" t="str">
        <x:v>PASS</x:v>
      </x:c>
      <x:c r="K2774" s="35" t="str">
        <x:v>FAIL</x:v>
      </x:c>
      <x:c r="L2774" s="35" t="str">
        <x:v>NOT_RUN</x:v>
      </x:c>
      <x:c r="M2774" s="35" t="str">
        <x:v>coverage unavailable or execution/compile failed</x:v>
      </x:c>
      <x:c r="N2774" s="35" t="str">
        <x:v>Deepseek-flash-v4/Result2/Closure_72/result.json</x:v>
      </x:c>
      <x:c r="O2774" s="39" t="str">
        <x:f>IF(AND(G2774="RECORDED",ISNUMBER(H2774)),H2774,"")</x:f>
      </x:c>
      <x:c r="P2774" s="35" t="str">
        <x:v>NOT_AVAILABLE</x:v>
      </x:c>
      <x:c r="Q2774" s="35" t="str">
        <x:v>Deepseek-flash-v4/Result2/Closure_72/result.json</x:v>
      </x:c>
    </x:row>
    <x:row r="2775">
      <x:c r="A2775" s="35" t="str">
        <x:v>deepseek</x:v>
      </x:c>
      <x:c r="B2775" s="35" t="str">
        <x:v>Closure</x:v>
      </x:c>
      <x:c r="C2775" s="35" t="str">
        <x:v>Round2</x:v>
      </x:c>
      <x:c r="D2775" s="35" t="str">
        <x:v>Closure_73</x:v>
      </x:c>
      <x:c r="E2775" s="35" t="str">
        <x:v>Condition</x:v>
      </x:c>
      <x:c r="F2775" s="35"/>
      <x:c r="G2775" s="35" t="str">
        <x:v>A</x:v>
      </x:c>
      <x:c r="H2775" s="39" t="str">
        <x:f>IF(ISNUMBER('Data'!N1067),'Data'!N1067*100,"")</x:f>
      </x:c>
      <x:c r="I2775" s="35"/>
      <x:c r="J2775" s="35" t="str">
        <x:v>PASS</x:v>
      </x:c>
      <x:c r="K2775" s="35" t="str">
        <x:v>FAIL</x:v>
      </x:c>
      <x:c r="L2775" s="35" t="str">
        <x:v>NOT_RUN</x:v>
      </x:c>
      <x:c r="M2775" s="35" t="str">
        <x:v>coverage unavailable or execution/compile failed</x:v>
      </x:c>
      <x:c r="N2775" s="35" t="str">
        <x:v>Deepseek-flash-v4/Result2/Closure_73/result.json</x:v>
      </x:c>
      <x:c r="O2775" s="39" t="str">
        <x:f>IF(AND(G2775="RECORDED",ISNUMBER(H2775)),H2775,"")</x:f>
      </x:c>
      <x:c r="P2775" s="35" t="str">
        <x:v>NOT_AVAILABLE</x:v>
      </x:c>
      <x:c r="Q2775" s="35" t="str">
        <x:v>Deepseek-flash-v4/Result2/Closure_73/result.json</x:v>
      </x:c>
    </x:row>
    <x:row r="2776">
      <x:c r="A2776" s="35" t="str">
        <x:v>deepseek</x:v>
      </x:c>
      <x:c r="B2776" s="35" t="str">
        <x:v>Closure</x:v>
      </x:c>
      <x:c r="C2776" s="35" t="str">
        <x:v>Round2</x:v>
      </x:c>
      <x:c r="D2776" s="35" t="str">
        <x:v>Closure_74</x:v>
      </x:c>
      <x:c r="E2776" s="35" t="str">
        <x:v>Condition</x:v>
      </x:c>
      <x:c r="F2776" s="35" t="n">
        <x:v>619</x:v>
      </x:c>
      <x:c r="G2776" s="35" t="str">
        <x:v>RECORDED</x:v>
      </x:c>
      <x:c r="H2776" s="39" t="n">
        <x:f>IF(ISNUMBER('Data'!N1068),'Data'!N1068*100,"")</x:f>
        <x:v>43.46</x:v>
      </x:c>
      <x:c r="I2776" s="35" t="str">
        <x:v>PASS</x:v>
      </x:c>
      <x:c r="J2776" s="35" t="str">
        <x:v>PASS</x:v>
      </x:c>
      <x:c r="K2776" s="35" t="str">
        <x:v>PASS</x:v>
      </x:c>
      <x:c r="L2776" s="35" t="str">
        <x:v>FAIL</x:v>
      </x:c>
      <x:c r="M2776" s="35" t="str">
        <x:v>numeric coverage for applicable metric</x:v>
      </x:c>
      <x:c r="N2776" s="35" t="str">
        <x:v>Deepseek-flash-v4/Result2/Closure_74/result.json</x:v>
      </x:c>
      <x:c r="O2776" s="39" t="n">
        <x:f>IF(AND(G2776="RECORDED",ISNUMBER(H2776)),H2776,"")</x:f>
        <x:v>43.46</x:v>
      </x:c>
      <x:c r="P2776" s="35" t="str">
        <x:v>INCONCLUSIVE</x:v>
      </x:c>
      <x:c r="Q2776" s="35" t="str">
        <x:v>Deepseek-flash-v4/Result2/Closure_74/result.json</x:v>
      </x:c>
    </x:row>
    <x:row r="2777">
      <x:c r="A2777" s="35" t="str">
        <x:v>deepseek</x:v>
      </x:c>
      <x:c r="B2777" s="35" t="str">
        <x:v>Closure</x:v>
      </x:c>
      <x:c r="C2777" s="35" t="str">
        <x:v>Round2</x:v>
      </x:c>
      <x:c r="D2777" s="35" t="str">
        <x:v>Closure_75</x:v>
      </x:c>
      <x:c r="E2777" s="35" t="str">
        <x:v>Condition</x:v>
      </x:c>
      <x:c r="F2777" s="35"/>
      <x:c r="G2777" s="35" t="str">
        <x:v>A</x:v>
      </x:c>
      <x:c r="H2777" s="39" t="str">
        <x:f>IF(ISNUMBER('Data'!N1069),'Data'!N1069*100,"")</x:f>
      </x:c>
      <x:c r="I2777" s="35"/>
      <x:c r="J2777" s="35" t="str">
        <x:v>PASS</x:v>
      </x:c>
      <x:c r="K2777" s="35" t="str">
        <x:v>FAIL</x:v>
      </x:c>
      <x:c r="L2777" s="35" t="str">
        <x:v>NOT_RUN</x:v>
      </x:c>
      <x:c r="M2777" s="35" t="str">
        <x:v>coverage unavailable or execution/compile failed</x:v>
      </x:c>
      <x:c r="N2777" s="35" t="str">
        <x:v>Deepseek-flash-v4/Result2/Closure_75/result.json</x:v>
      </x:c>
      <x:c r="O2777" s="39" t="str">
        <x:f>IF(AND(G2777="RECORDED",ISNUMBER(H2777)),H2777,"")</x:f>
      </x:c>
      <x:c r="P2777" s="35" t="str">
        <x:v>NOT_AVAILABLE</x:v>
      </x:c>
      <x:c r="Q2777" s="35" t="str">
        <x:v>Deepseek-flash-v4/Result2/Closure_75/result.json</x:v>
      </x:c>
    </x:row>
    <x:row r="2778">
      <x:c r="A2778" s="35" t="str">
        <x:v>deepseek</x:v>
      </x:c>
      <x:c r="B2778" s="35" t="str">
        <x:v>Closure</x:v>
      </x:c>
      <x:c r="C2778" s="35" t="str">
        <x:v>Round2</x:v>
      </x:c>
      <x:c r="D2778" s="35" t="str">
        <x:v>Closure_76</x:v>
      </x:c>
      <x:c r="E2778" s="35" t="str">
        <x:v>Condition</x:v>
      </x:c>
      <x:c r="F2778" s="35"/>
      <x:c r="G2778" s="35" t="str">
        <x:v>A</x:v>
      </x:c>
      <x:c r="H2778" s="39" t="str">
        <x:f>IF(ISNUMBER('Data'!N1070),'Data'!N1070*100,"")</x:f>
      </x:c>
      <x:c r="I2778" s="35"/>
      <x:c r="J2778" s="35" t="str">
        <x:v>PASS</x:v>
      </x:c>
      <x:c r="K2778" s="35" t="str">
        <x:v>FAIL</x:v>
      </x:c>
      <x:c r="L2778" s="35" t="str">
        <x:v>NOT_RUN</x:v>
      </x:c>
      <x:c r="M2778" s="35" t="str">
        <x:v>coverage unavailable or execution/compile failed</x:v>
      </x:c>
      <x:c r="N2778" s="35" t="str">
        <x:v>Deepseek-flash-v4/Result2/Closure_76/result.json</x:v>
      </x:c>
      <x:c r="O2778" s="39" t="str">
        <x:f>IF(AND(G2778="RECORDED",ISNUMBER(H2778)),H2778,"")</x:f>
      </x:c>
      <x:c r="P2778" s="35" t="str">
        <x:v>NOT_AVAILABLE</x:v>
      </x:c>
      <x:c r="Q2778" s="35" t="str">
        <x:v>Deepseek-flash-v4/Result2/Closure_76/result.json</x:v>
      </x:c>
    </x:row>
    <x:row r="2779">
      <x:c r="A2779" s="35" t="str">
        <x:v>deepseek</x:v>
      </x:c>
      <x:c r="B2779" s="35" t="str">
        <x:v>Closure</x:v>
      </x:c>
      <x:c r="C2779" s="35" t="str">
        <x:v>Round2</x:v>
      </x:c>
      <x:c r="D2779" s="35" t="str">
        <x:v>Closure_77</x:v>
      </x:c>
      <x:c r="E2779" s="35" t="str">
        <x:v>Condition</x:v>
      </x:c>
      <x:c r="F2779" s="35"/>
      <x:c r="G2779" s="35" t="str">
        <x:v>A</x:v>
      </x:c>
      <x:c r="H2779" s="39" t="str">
        <x:f>IF(ISNUMBER('Data'!N1071),'Data'!N1071*100,"")</x:f>
      </x:c>
      <x:c r="I2779" s="35"/>
      <x:c r="J2779" s="35" t="str">
        <x:v>PASS</x:v>
      </x:c>
      <x:c r="K2779" s="35" t="str">
        <x:v>FAIL</x:v>
      </x:c>
      <x:c r="L2779" s="35" t="str">
        <x:v>NOT_RUN</x:v>
      </x:c>
      <x:c r="M2779" s="35" t="str">
        <x:v>coverage unavailable or execution/compile failed</x:v>
      </x:c>
      <x:c r="N2779" s="35" t="str">
        <x:v>Deepseek-flash-v4/Result2/Closure_77/result.json</x:v>
      </x:c>
      <x:c r="O2779" s="39" t="str">
        <x:f>IF(AND(G2779="RECORDED",ISNUMBER(H2779)),H2779,"")</x:f>
      </x:c>
      <x:c r="P2779" s="35" t="str">
        <x:v>NOT_AVAILABLE</x:v>
      </x:c>
      <x:c r="Q2779" s="35" t="str">
        <x:v>Deepseek-flash-v4/Result2/Closure_77/result.json</x:v>
      </x:c>
    </x:row>
    <x:row r="2780">
      <x:c r="A2780" s="35" t="str">
        <x:v>deepseek</x:v>
      </x:c>
      <x:c r="B2780" s="35" t="str">
        <x:v>Closure</x:v>
      </x:c>
      <x:c r="C2780" s="35" t="str">
        <x:v>Round2</x:v>
      </x:c>
      <x:c r="D2780" s="35" t="str">
        <x:v>Closure_78</x:v>
      </x:c>
      <x:c r="E2780" s="35" t="str">
        <x:v>Condition</x:v>
      </x:c>
      <x:c r="F2780" s="35"/>
      <x:c r="G2780" s="35" t="str">
        <x:v>A</x:v>
      </x:c>
      <x:c r="H2780" s="39" t="str">
        <x:f>IF(ISNUMBER('Data'!N1072),'Data'!N1072*100,"")</x:f>
      </x:c>
      <x:c r="I2780" s="35"/>
      <x:c r="J2780" s="35" t="str">
        <x:v>PASS</x:v>
      </x:c>
      <x:c r="K2780" s="35" t="str">
        <x:v>FAIL</x:v>
      </x:c>
      <x:c r="L2780" s="35" t="str">
        <x:v>NOT_RUN</x:v>
      </x:c>
      <x:c r="M2780" s="35" t="str">
        <x:v>coverage unavailable or execution/compile failed</x:v>
      </x:c>
      <x:c r="N2780" s="35" t="str">
        <x:v>Deepseek-flash-v4/Result2/Closure_78/result.json</x:v>
      </x:c>
      <x:c r="O2780" s="39" t="str">
        <x:f>IF(AND(G2780="RECORDED",ISNUMBER(H2780)),H2780,"")</x:f>
      </x:c>
      <x:c r="P2780" s="35" t="str">
        <x:v>NOT_AVAILABLE</x:v>
      </x:c>
      <x:c r="Q2780" s="35" t="str">
        <x:v>Deepseek-flash-v4/Result2/Closure_78/result.json</x:v>
      </x:c>
    </x:row>
    <x:row r="2781">
      <x:c r="A2781" s="35" t="str">
        <x:v>deepseek</x:v>
      </x:c>
      <x:c r="B2781" s="35" t="str">
        <x:v>Closure</x:v>
      </x:c>
      <x:c r="C2781" s="35" t="str">
        <x:v>Round2</x:v>
      </x:c>
      <x:c r="D2781" s="35" t="str">
        <x:v>Closure_79</x:v>
      </x:c>
      <x:c r="E2781" s="35" t="str">
        <x:v>Condition</x:v>
      </x:c>
      <x:c r="F2781" s="35"/>
      <x:c r="G2781" s="35" t="str">
        <x:v>A</x:v>
      </x:c>
      <x:c r="H2781" s="39" t="str">
        <x:f>IF(ISNUMBER('Data'!N1073),'Data'!N1073*100,"")</x:f>
      </x:c>
      <x:c r="I2781" s="35"/>
      <x:c r="J2781" s="35" t="str">
        <x:v>PASS</x:v>
      </x:c>
      <x:c r="K2781" s="35" t="str">
        <x:v>FAIL</x:v>
      </x:c>
      <x:c r="L2781" s="35" t="str">
        <x:v>NOT_RUN</x:v>
      </x:c>
      <x:c r="M2781" s="35" t="str">
        <x:v>coverage unavailable or execution/compile failed</x:v>
      </x:c>
      <x:c r="N2781" s="35" t="str">
        <x:v>Deepseek-flash-v4/Result2/Closure_79/result.json</x:v>
      </x:c>
      <x:c r="O2781" s="39" t="str">
        <x:f>IF(AND(G2781="RECORDED",ISNUMBER(H2781)),H2781,"")</x:f>
      </x:c>
      <x:c r="P2781" s="35" t="str">
        <x:v>NOT_AVAILABLE</x:v>
      </x:c>
      <x:c r="Q2781" s="35" t="str">
        <x:v>Deepseek-flash-v4/Result2/Closure_79/result.json</x:v>
      </x:c>
    </x:row>
    <x:row r="2782">
      <x:c r="A2782" s="35" t="str">
        <x:v>deepseek</x:v>
      </x:c>
      <x:c r="B2782" s="35" t="str">
        <x:v>Closure</x:v>
      </x:c>
      <x:c r="C2782" s="35" t="str">
        <x:v>Round2</x:v>
      </x:c>
      <x:c r="D2782" s="35" t="str">
        <x:v>Closure_8</x:v>
      </x:c>
      <x:c r="E2782" s="35" t="str">
        <x:v>Condition</x:v>
      </x:c>
      <x:c r="F2782" s="35"/>
      <x:c r="G2782" s="35" t="str">
        <x:v>A</x:v>
      </x:c>
      <x:c r="H2782" s="39" t="str">
        <x:f>IF(ISNUMBER('Data'!N1074),'Data'!N1074*100,"")</x:f>
      </x:c>
      <x:c r="I2782" s="35"/>
      <x:c r="J2782" s="35" t="str">
        <x:v>PASS</x:v>
      </x:c>
      <x:c r="K2782" s="35" t="str">
        <x:v>FAIL</x:v>
      </x:c>
      <x:c r="L2782" s="35" t="str">
        <x:v>NOT_RUN</x:v>
      </x:c>
      <x:c r="M2782" s="35" t="str">
        <x:v>coverage unavailable or execution/compile failed</x:v>
      </x:c>
      <x:c r="N2782" s="35" t="str">
        <x:v>Deepseek-flash-v4/Result2/Closure_8/result.json</x:v>
      </x:c>
      <x:c r="O2782" s="39" t="str">
        <x:f>IF(AND(G2782="RECORDED",ISNUMBER(H2782)),H2782,"")</x:f>
      </x:c>
      <x:c r="P2782" s="35" t="str">
        <x:v>NOT_AVAILABLE</x:v>
      </x:c>
      <x:c r="Q2782" s="35" t="str">
        <x:v>Deepseek-flash-v4/Result2/Closure_8/result.json</x:v>
      </x:c>
    </x:row>
    <x:row r="2783">
      <x:c r="A2783" s="35" t="str">
        <x:v>deepseek</x:v>
      </x:c>
      <x:c r="B2783" s="35" t="str">
        <x:v>Closure</x:v>
      </x:c>
      <x:c r="C2783" s="35" t="str">
        <x:v>Round2</x:v>
      </x:c>
      <x:c r="D2783" s="35" t="str">
        <x:v>Closure_80</x:v>
      </x:c>
      <x:c r="E2783" s="35" t="str">
        <x:v>Condition</x:v>
      </x:c>
      <x:c r="F2783" s="35"/>
      <x:c r="G2783" s="35" t="str">
        <x:v>A</x:v>
      </x:c>
      <x:c r="H2783" s="39" t="str">
        <x:f>IF(ISNUMBER('Data'!N1075),'Data'!N1075*100,"")</x:f>
      </x:c>
      <x:c r="I2783" s="35"/>
      <x:c r="J2783" s="35" t="str">
        <x:v>PASS</x:v>
      </x:c>
      <x:c r="K2783" s="35" t="str">
        <x:v>FAIL</x:v>
      </x:c>
      <x:c r="L2783" s="35" t="str">
        <x:v>NOT_RUN</x:v>
      </x:c>
      <x:c r="M2783" s="35" t="str">
        <x:v>coverage unavailable or execution/compile failed</x:v>
      </x:c>
      <x:c r="N2783" s="35" t="str">
        <x:v>Deepseek-flash-v4/Result2/Closure_80/result.json</x:v>
      </x:c>
      <x:c r="O2783" s="39" t="str">
        <x:f>IF(AND(G2783="RECORDED",ISNUMBER(H2783)),H2783,"")</x:f>
      </x:c>
      <x:c r="P2783" s="35" t="str">
        <x:v>NOT_AVAILABLE</x:v>
      </x:c>
      <x:c r="Q2783" s="35" t="str">
        <x:v>Deepseek-flash-v4/Result2/Closure_80/result.json</x:v>
      </x:c>
    </x:row>
    <x:row r="2784">
      <x:c r="A2784" s="35" t="str">
        <x:v>deepseek</x:v>
      </x:c>
      <x:c r="B2784" s="35" t="str">
        <x:v>Closure</x:v>
      </x:c>
      <x:c r="C2784" s="35" t="str">
        <x:v>Round2</x:v>
      </x:c>
      <x:c r="D2784" s="35" t="str">
        <x:v>Closure_81</x:v>
      </x:c>
      <x:c r="E2784" s="35" t="str">
        <x:v>Condition</x:v>
      </x:c>
      <x:c r="F2784" s="35"/>
      <x:c r="G2784" s="35" t="str">
        <x:v>A</x:v>
      </x:c>
      <x:c r="H2784" s="39" t="str">
        <x:f>IF(ISNUMBER('Data'!N1076),'Data'!N1076*100,"")</x:f>
      </x:c>
      <x:c r="I2784" s="35"/>
      <x:c r="J2784" s="35" t="str">
        <x:v>PASS</x:v>
      </x:c>
      <x:c r="K2784" s="35" t="str">
        <x:v>FAIL</x:v>
      </x:c>
      <x:c r="L2784" s="35" t="str">
        <x:v>NOT_RUN</x:v>
      </x:c>
      <x:c r="M2784" s="35" t="str">
        <x:v>coverage unavailable or execution/compile failed</x:v>
      </x:c>
      <x:c r="N2784" s="35" t="str">
        <x:v>Deepseek-flash-v4/Result2/Closure_81/result.json</x:v>
      </x:c>
      <x:c r="O2784" s="39" t="str">
        <x:f>IF(AND(G2784="RECORDED",ISNUMBER(H2784)),H2784,"")</x:f>
      </x:c>
      <x:c r="P2784" s="35" t="str">
        <x:v>NOT_AVAILABLE</x:v>
      </x:c>
      <x:c r="Q2784" s="35" t="str">
        <x:v>Deepseek-flash-v4/Result2/Closure_81/result.json</x:v>
      </x:c>
    </x:row>
    <x:row r="2785">
      <x:c r="A2785" s="35" t="str">
        <x:v>deepseek</x:v>
      </x:c>
      <x:c r="B2785" s="35" t="str">
        <x:v>Closure</x:v>
      </x:c>
      <x:c r="C2785" s="35" t="str">
        <x:v>Round2</x:v>
      </x:c>
      <x:c r="D2785" s="35" t="str">
        <x:v>Closure_82</x:v>
      </x:c>
      <x:c r="E2785" s="35" t="str">
        <x:v>Condition</x:v>
      </x:c>
      <x:c r="F2785" s="35"/>
      <x:c r="G2785" s="35" t="str">
        <x:v>A</x:v>
      </x:c>
      <x:c r="H2785" s="39" t="str">
        <x:f>IF(ISNUMBER('Data'!N1077),'Data'!N1077*100,"")</x:f>
      </x:c>
      <x:c r="I2785" s="35"/>
      <x:c r="J2785" s="35" t="str">
        <x:v>PASS</x:v>
      </x:c>
      <x:c r="K2785" s="35" t="str">
        <x:v>FAIL</x:v>
      </x:c>
      <x:c r="L2785" s="35" t="str">
        <x:v>NOT_RUN</x:v>
      </x:c>
      <x:c r="M2785" s="35" t="str">
        <x:v>coverage unavailable or execution/compile failed</x:v>
      </x:c>
      <x:c r="N2785" s="35" t="str">
        <x:v>Deepseek-flash-v4/Result2/Closure_82/result.json</x:v>
      </x:c>
      <x:c r="O2785" s="39" t="str">
        <x:f>IF(AND(G2785="RECORDED",ISNUMBER(H2785)),H2785,"")</x:f>
      </x:c>
      <x:c r="P2785" s="35" t="str">
        <x:v>NOT_AVAILABLE</x:v>
      </x:c>
      <x:c r="Q2785" s="35" t="str">
        <x:v>Deepseek-flash-v4/Result2/Closure_82/result.json</x:v>
      </x:c>
    </x:row>
    <x:row r="2786">
      <x:c r="A2786" s="35" t="str">
        <x:v>deepseek</x:v>
      </x:c>
      <x:c r="B2786" s="35" t="str">
        <x:v>Closure</x:v>
      </x:c>
      <x:c r="C2786" s="35" t="str">
        <x:v>Round2</x:v>
      </x:c>
      <x:c r="D2786" s="35" t="str">
        <x:v>Closure_83</x:v>
      </x:c>
      <x:c r="E2786" s="35" t="str">
        <x:v>Condition</x:v>
      </x:c>
      <x:c r="F2786" s="35" t="n">
        <x:v>36</x:v>
      </x:c>
      <x:c r="G2786" s="35" t="str">
        <x:v>RECORDED</x:v>
      </x:c>
      <x:c r="H2786" s="39" t="n">
        <x:f>IF(ISNUMBER('Data'!N1078),'Data'!N1078*100,"")</x:f>
        <x:v>52.78</x:v>
      </x:c>
      <x:c r="I2786" s="35" t="str">
        <x:v>PASS</x:v>
      </x:c>
      <x:c r="J2786" s="35" t="str">
        <x:v>PASS</x:v>
      </x:c>
      <x:c r="K2786" s="35" t="str">
        <x:v>PASS</x:v>
      </x:c>
      <x:c r="L2786" s="35" t="str">
        <x:v>FAIL</x:v>
      </x:c>
      <x:c r="M2786" s="35" t="str">
        <x:v>numeric coverage for applicable metric</x:v>
      </x:c>
      <x:c r="N2786" s="35" t="str">
        <x:v>Deepseek-flash-v4/Result2/Closure_83/result.json</x:v>
      </x:c>
      <x:c r="O2786" s="39" t="n">
        <x:f>IF(AND(G2786="RECORDED",ISNUMBER(H2786)),H2786,"")</x:f>
        <x:v>52.78</x:v>
      </x:c>
      <x:c r="P2786" s="35" t="str">
        <x:v>INCONCLUSIVE</x:v>
      </x:c>
      <x:c r="Q2786" s="35" t="str">
        <x:v>Deepseek-flash-v4/Result2/Closure_83/result.json</x:v>
      </x:c>
    </x:row>
    <x:row r="2787">
      <x:c r="A2787" s="35" t="str">
        <x:v>deepseek</x:v>
      </x:c>
      <x:c r="B2787" s="35" t="str">
        <x:v>Closure</x:v>
      </x:c>
      <x:c r="C2787" s="35" t="str">
        <x:v>Round2</x:v>
      </x:c>
      <x:c r="D2787" s="35" t="str">
        <x:v>Closure_84</x:v>
      </x:c>
      <x:c r="E2787" s="35" t="str">
        <x:v>Condition</x:v>
      </x:c>
      <x:c r="F2787" s="35"/>
      <x:c r="G2787" s="35" t="str">
        <x:v>A</x:v>
      </x:c>
      <x:c r="H2787" s="39" t="str">
        <x:f>IF(ISNUMBER('Data'!N1079),'Data'!N1079*100,"")</x:f>
      </x:c>
      <x:c r="I2787" s="35"/>
      <x:c r="J2787" s="35" t="str">
        <x:v>PASS</x:v>
      </x:c>
      <x:c r="K2787" s="35" t="str">
        <x:v>FAIL</x:v>
      </x:c>
      <x:c r="L2787" s="35" t="str">
        <x:v>NOT_RUN</x:v>
      </x:c>
      <x:c r="M2787" s="35" t="str">
        <x:v>coverage unavailable or execution/compile failed</x:v>
      </x:c>
      <x:c r="N2787" s="35" t="str">
        <x:v>Deepseek-flash-v4/Result2/Closure_84/result.json</x:v>
      </x:c>
      <x:c r="O2787" s="39" t="str">
        <x:f>IF(AND(G2787="RECORDED",ISNUMBER(H2787)),H2787,"")</x:f>
      </x:c>
      <x:c r="P2787" s="35" t="str">
        <x:v>NOT_AVAILABLE</x:v>
      </x:c>
      <x:c r="Q2787" s="35" t="str">
        <x:v>Deepseek-flash-v4/Result2/Closure_84/result.json</x:v>
      </x:c>
    </x:row>
    <x:row r="2788">
      <x:c r="A2788" s="35" t="str">
        <x:v>deepseek</x:v>
      </x:c>
      <x:c r="B2788" s="35" t="str">
        <x:v>Closure</x:v>
      </x:c>
      <x:c r="C2788" s="35" t="str">
        <x:v>Round2</x:v>
      </x:c>
      <x:c r="D2788" s="35" t="str">
        <x:v>Closure_85</x:v>
      </x:c>
      <x:c r="E2788" s="35" t="str">
        <x:v>Condition</x:v>
      </x:c>
      <x:c r="F2788" s="35"/>
      <x:c r="G2788" s="35" t="str">
        <x:v>A</x:v>
      </x:c>
      <x:c r="H2788" s="39" t="str">
        <x:f>IF(ISNUMBER('Data'!N1080),'Data'!N1080*100,"")</x:f>
      </x:c>
      <x:c r="I2788" s="35"/>
      <x:c r="J2788" s="35" t="str">
        <x:v>PASS</x:v>
      </x:c>
      <x:c r="K2788" s="35" t="str">
        <x:v>FAIL</x:v>
      </x:c>
      <x:c r="L2788" s="35" t="str">
        <x:v>NOT_RUN</x:v>
      </x:c>
      <x:c r="M2788" s="35" t="str">
        <x:v>coverage unavailable or execution/compile failed</x:v>
      </x:c>
      <x:c r="N2788" s="35" t="str">
        <x:v>Deepseek-flash-v4/Result2/Closure_85/result.json</x:v>
      </x:c>
      <x:c r="O2788" s="39" t="str">
        <x:f>IF(AND(G2788="RECORDED",ISNUMBER(H2788)),H2788,"")</x:f>
      </x:c>
      <x:c r="P2788" s="35" t="str">
        <x:v>NOT_AVAILABLE</x:v>
      </x:c>
      <x:c r="Q2788" s="35" t="str">
        <x:v>Deepseek-flash-v4/Result2/Closure_85/result.json</x:v>
      </x:c>
    </x:row>
    <x:row r="2789">
      <x:c r="A2789" s="35" t="str">
        <x:v>deepseek</x:v>
      </x:c>
      <x:c r="B2789" s="35" t="str">
        <x:v>Closure</x:v>
      </x:c>
      <x:c r="C2789" s="35" t="str">
        <x:v>Round2</x:v>
      </x:c>
      <x:c r="D2789" s="35" t="str">
        <x:v>Closure_86</x:v>
      </x:c>
      <x:c r="E2789" s="35" t="str">
        <x:v>Condition</x:v>
      </x:c>
      <x:c r="F2789" s="35"/>
      <x:c r="G2789" s="35" t="str">
        <x:v>A</x:v>
      </x:c>
      <x:c r="H2789" s="39" t="str">
        <x:f>IF(ISNUMBER('Data'!N1081),'Data'!N1081*100,"")</x:f>
      </x:c>
      <x:c r="I2789" s="35"/>
      <x:c r="J2789" s="35" t="str">
        <x:v>PASS</x:v>
      </x:c>
      <x:c r="K2789" s="35" t="str">
        <x:v>FAIL</x:v>
      </x:c>
      <x:c r="L2789" s="35" t="str">
        <x:v>NOT_RUN</x:v>
      </x:c>
      <x:c r="M2789" s="35" t="str">
        <x:v>coverage unavailable or execution/compile failed</x:v>
      </x:c>
      <x:c r="N2789" s="35" t="str">
        <x:v>Deepseek-flash-v4/Result2/Closure_86/result.json</x:v>
      </x:c>
      <x:c r="O2789" s="39" t="str">
        <x:f>IF(AND(G2789="RECORDED",ISNUMBER(H2789)),H2789,"")</x:f>
      </x:c>
      <x:c r="P2789" s="35" t="str">
        <x:v>NOT_AVAILABLE</x:v>
      </x:c>
      <x:c r="Q2789" s="35" t="str">
        <x:v>Deepseek-flash-v4/Result2/Closure_86/result.json</x:v>
      </x:c>
    </x:row>
    <x:row r="2790">
      <x:c r="A2790" s="35" t="str">
        <x:v>deepseek</x:v>
      </x:c>
      <x:c r="B2790" s="35" t="str">
        <x:v>Closure</x:v>
      </x:c>
      <x:c r="C2790" s="35" t="str">
        <x:v>Round2</x:v>
      </x:c>
      <x:c r="D2790" s="35" t="str">
        <x:v>Closure_87</x:v>
      </x:c>
      <x:c r="E2790" s="35" t="str">
        <x:v>Condition</x:v>
      </x:c>
      <x:c r="F2790" s="35"/>
      <x:c r="G2790" s="35" t="str">
        <x:v>A</x:v>
      </x:c>
      <x:c r="H2790" s="39" t="str">
        <x:f>IF(ISNUMBER('Data'!N1082),'Data'!N1082*100,"")</x:f>
      </x:c>
      <x:c r="I2790" s="35"/>
      <x:c r="J2790" s="35" t="str">
        <x:v>PASS</x:v>
      </x:c>
      <x:c r="K2790" s="35" t="str">
        <x:v>FAIL</x:v>
      </x:c>
      <x:c r="L2790" s="35" t="str">
        <x:v>NOT_RUN</x:v>
      </x:c>
      <x:c r="M2790" s="35" t="str">
        <x:v>coverage unavailable or execution/compile failed</x:v>
      </x:c>
      <x:c r="N2790" s="35" t="str">
        <x:v>Deepseek-flash-v4/Result2/Closure_87/result.json</x:v>
      </x:c>
      <x:c r="O2790" s="39" t="str">
        <x:f>IF(AND(G2790="RECORDED",ISNUMBER(H2790)),H2790,"")</x:f>
      </x:c>
      <x:c r="P2790" s="35" t="str">
        <x:v>NOT_AVAILABLE</x:v>
      </x:c>
      <x:c r="Q2790" s="35" t="str">
        <x:v>Deepseek-flash-v4/Result2/Closure_87/result.json</x:v>
      </x:c>
    </x:row>
    <x:row r="2791">
      <x:c r="A2791" s="35" t="str">
        <x:v>deepseek</x:v>
      </x:c>
      <x:c r="B2791" s="35" t="str">
        <x:v>Closure</x:v>
      </x:c>
      <x:c r="C2791" s="35" t="str">
        <x:v>Round2</x:v>
      </x:c>
      <x:c r="D2791" s="35" t="str">
        <x:v>Closure_88</x:v>
      </x:c>
      <x:c r="E2791" s="35" t="str">
        <x:v>Condition</x:v>
      </x:c>
      <x:c r="F2791" s="35"/>
      <x:c r="G2791" s="35" t="str">
        <x:v>A</x:v>
      </x:c>
      <x:c r="H2791" s="39" t="str">
        <x:f>IF(ISNUMBER('Data'!N1083),'Data'!N1083*100,"")</x:f>
      </x:c>
      <x:c r="I2791" s="35"/>
      <x:c r="J2791" s="35" t="str">
        <x:v>PASS</x:v>
      </x:c>
      <x:c r="K2791" s="35" t="str">
        <x:v>FAIL</x:v>
      </x:c>
      <x:c r="L2791" s="35" t="str">
        <x:v>NOT_RUN</x:v>
      </x:c>
      <x:c r="M2791" s="35" t="str">
        <x:v>coverage unavailable or execution/compile failed</x:v>
      </x:c>
      <x:c r="N2791" s="35" t="str">
        <x:v>Deepseek-flash-v4/Result2/Closure_88/result.json</x:v>
      </x:c>
      <x:c r="O2791" s="39" t="str">
        <x:f>IF(AND(G2791="RECORDED",ISNUMBER(H2791)),H2791,"")</x:f>
      </x:c>
      <x:c r="P2791" s="35" t="str">
        <x:v>NOT_AVAILABLE</x:v>
      </x:c>
      <x:c r="Q2791" s="35" t="str">
        <x:v>Deepseek-flash-v4/Result2/Closure_88/result.json</x:v>
      </x:c>
    </x:row>
    <x:row r="2792">
      <x:c r="A2792" s="35" t="str">
        <x:v>deepseek</x:v>
      </x:c>
      <x:c r="B2792" s="35" t="str">
        <x:v>Closure</x:v>
      </x:c>
      <x:c r="C2792" s="35" t="str">
        <x:v>Round2</x:v>
      </x:c>
      <x:c r="D2792" s="35" t="str">
        <x:v>Closure_89</x:v>
      </x:c>
      <x:c r="E2792" s="35" t="str">
        <x:v>Condition</x:v>
      </x:c>
      <x:c r="F2792" s="35"/>
      <x:c r="G2792" s="35" t="str">
        <x:v>A</x:v>
      </x:c>
      <x:c r="H2792" s="39" t="str">
        <x:f>IF(ISNUMBER('Data'!N1084),'Data'!N1084*100,"")</x:f>
      </x:c>
      <x:c r="I2792" s="35"/>
      <x:c r="J2792" s="35" t="str">
        <x:v>PASS</x:v>
      </x:c>
      <x:c r="K2792" s="35" t="str">
        <x:v>FAIL</x:v>
      </x:c>
      <x:c r="L2792" s="35" t="str">
        <x:v>NOT_RUN</x:v>
      </x:c>
      <x:c r="M2792" s="35" t="str">
        <x:v>coverage unavailable or execution/compile failed</x:v>
      </x:c>
      <x:c r="N2792" s="35" t="str">
        <x:v>Deepseek-flash-v4/Result2/Closure_89/result.json</x:v>
      </x:c>
      <x:c r="O2792" s="39" t="str">
        <x:f>IF(AND(G2792="RECORDED",ISNUMBER(H2792)),H2792,"")</x:f>
      </x:c>
      <x:c r="P2792" s="35" t="str">
        <x:v>NOT_AVAILABLE</x:v>
      </x:c>
      <x:c r="Q2792" s="35" t="str">
        <x:v>Deepseek-flash-v4/Result2/Closure_89/result.json</x:v>
      </x:c>
    </x:row>
    <x:row r="2793">
      <x:c r="A2793" s="35" t="str">
        <x:v>deepseek</x:v>
      </x:c>
      <x:c r="B2793" s="35" t="str">
        <x:v>Closure</x:v>
      </x:c>
      <x:c r="C2793" s="35" t="str">
        <x:v>Round2</x:v>
      </x:c>
      <x:c r="D2793" s="35" t="str">
        <x:v>Closure_9</x:v>
      </x:c>
      <x:c r="E2793" s="35" t="str">
        <x:v>Condition</x:v>
      </x:c>
      <x:c r="F2793" s="35"/>
      <x:c r="G2793" s="35" t="str">
        <x:v>A</x:v>
      </x:c>
      <x:c r="H2793" s="39" t="str">
        <x:f>IF(ISNUMBER('Data'!N1085),'Data'!N1085*100,"")</x:f>
      </x:c>
      <x:c r="I2793" s="35"/>
      <x:c r="J2793" s="35" t="str">
        <x:v>PASS</x:v>
      </x:c>
      <x:c r="K2793" s="35" t="str">
        <x:v>FAIL</x:v>
      </x:c>
      <x:c r="L2793" s="35" t="str">
        <x:v>NOT_RUN</x:v>
      </x:c>
      <x:c r="M2793" s="35" t="str">
        <x:v>coverage unavailable or execution/compile failed</x:v>
      </x:c>
      <x:c r="N2793" s="35" t="str">
        <x:v>Deepseek-flash-v4/Result2/Closure_9/result.json</x:v>
      </x:c>
      <x:c r="O2793" s="39" t="str">
        <x:f>IF(AND(G2793="RECORDED",ISNUMBER(H2793)),H2793,"")</x:f>
      </x:c>
      <x:c r="P2793" s="35" t="str">
        <x:v>NOT_AVAILABLE</x:v>
      </x:c>
      <x:c r="Q2793" s="35" t="str">
        <x:v>Deepseek-flash-v4/Result2/Closure_9/result.json</x:v>
      </x:c>
    </x:row>
    <x:row r="2794">
      <x:c r="A2794" s="35" t="str">
        <x:v>deepseek</x:v>
      </x:c>
      <x:c r="B2794" s="35" t="str">
        <x:v>Closure</x:v>
      </x:c>
      <x:c r="C2794" s="35" t="str">
        <x:v>Round2</x:v>
      </x:c>
      <x:c r="D2794" s="35" t="str">
        <x:v>Closure_90</x:v>
      </x:c>
      <x:c r="E2794" s="35" t="str">
        <x:v>Condition</x:v>
      </x:c>
      <x:c r="F2794" s="35"/>
      <x:c r="G2794" s="35" t="str">
        <x:v>A</x:v>
      </x:c>
      <x:c r="H2794" s="39" t="str">
        <x:f>IF(ISNUMBER('Data'!N1086),'Data'!N1086*100,"")</x:f>
      </x:c>
      <x:c r="I2794" s="35"/>
      <x:c r="J2794" s="35" t="str">
        <x:v>PASS</x:v>
      </x:c>
      <x:c r="K2794" s="35" t="str">
        <x:v>FAIL</x:v>
      </x:c>
      <x:c r="L2794" s="35" t="str">
        <x:v>NOT_RUN</x:v>
      </x:c>
      <x:c r="M2794" s="35" t="str">
        <x:v>coverage unavailable or execution/compile failed</x:v>
      </x:c>
      <x:c r="N2794" s="35" t="str">
        <x:v>Deepseek-flash-v4/Result2/Closure_90/result.json</x:v>
      </x:c>
      <x:c r="O2794" s="39" t="str">
        <x:f>IF(AND(G2794="RECORDED",ISNUMBER(H2794)),H2794,"")</x:f>
      </x:c>
      <x:c r="P2794" s="35" t="str">
        <x:v>NOT_AVAILABLE</x:v>
      </x:c>
      <x:c r="Q2794" s="35" t="str">
        <x:v>Deepseek-flash-v4/Result2/Closure_90/result.json</x:v>
      </x:c>
    </x:row>
    <x:row r="2795">
      <x:c r="A2795" s="35" t="str">
        <x:v>deepseek</x:v>
      </x:c>
      <x:c r="B2795" s="35" t="str">
        <x:v>Closure</x:v>
      </x:c>
      <x:c r="C2795" s="35" t="str">
        <x:v>Round2</x:v>
      </x:c>
      <x:c r="D2795" s="35" t="str">
        <x:v>Closure_91</x:v>
      </x:c>
      <x:c r="E2795" s="35" t="str">
        <x:v>Condition</x:v>
      </x:c>
      <x:c r="F2795" s="35"/>
      <x:c r="G2795" s="35" t="str">
        <x:v>A</x:v>
      </x:c>
      <x:c r="H2795" s="39" t="str">
        <x:f>IF(ISNUMBER('Data'!N1087),'Data'!N1087*100,"")</x:f>
      </x:c>
      <x:c r="I2795" s="35"/>
      <x:c r="J2795" s="35" t="str">
        <x:v>PASS</x:v>
      </x:c>
      <x:c r="K2795" s="35" t="str">
        <x:v>FAIL</x:v>
      </x:c>
      <x:c r="L2795" s="35" t="str">
        <x:v>NOT_RUN</x:v>
      </x:c>
      <x:c r="M2795" s="35" t="str">
        <x:v>coverage unavailable or execution/compile failed</x:v>
      </x:c>
      <x:c r="N2795" s="35" t="str">
        <x:v>Deepseek-flash-v4/Result2/Closure_91/result.json</x:v>
      </x:c>
      <x:c r="O2795" s="39" t="str">
        <x:f>IF(AND(G2795="RECORDED",ISNUMBER(H2795)),H2795,"")</x:f>
      </x:c>
      <x:c r="P2795" s="35" t="str">
        <x:v>NOT_AVAILABLE</x:v>
      </x:c>
      <x:c r="Q2795" s="35" t="str">
        <x:v>Deepseek-flash-v4/Result2/Closure_91/result.json</x:v>
      </x:c>
    </x:row>
    <x:row r="2796">
      <x:c r="A2796" s="35" t="str">
        <x:v>deepseek</x:v>
      </x:c>
      <x:c r="B2796" s="35" t="str">
        <x:v>Closure</x:v>
      </x:c>
      <x:c r="C2796" s="35" t="str">
        <x:v>Round2</x:v>
      </x:c>
      <x:c r="D2796" s="35" t="str">
        <x:v>Closure_92</x:v>
      </x:c>
      <x:c r="E2796" s="35" t="str">
        <x:v>Condition</x:v>
      </x:c>
      <x:c r="F2796" s="35"/>
      <x:c r="G2796" s="35" t="str">
        <x:v>A</x:v>
      </x:c>
      <x:c r="H2796" s="39" t="str">
        <x:f>IF(ISNUMBER('Data'!N1088),'Data'!N1088*100,"")</x:f>
      </x:c>
      <x:c r="I2796" s="35"/>
      <x:c r="J2796" s="35" t="str">
        <x:v>PASS</x:v>
      </x:c>
      <x:c r="K2796" s="35" t="str">
        <x:v>FAIL</x:v>
      </x:c>
      <x:c r="L2796" s="35" t="str">
        <x:v>NOT_RUN</x:v>
      </x:c>
      <x:c r="M2796" s="35" t="str">
        <x:v>coverage unavailable or execution/compile failed</x:v>
      </x:c>
      <x:c r="N2796" s="35" t="str">
        <x:v>Deepseek-flash-v4/Result2/Closure_92/result.json</x:v>
      </x:c>
      <x:c r="O2796" s="39" t="str">
        <x:f>IF(AND(G2796="RECORDED",ISNUMBER(H2796)),H2796,"")</x:f>
      </x:c>
      <x:c r="P2796" s="35" t="str">
        <x:v>NOT_AVAILABLE</x:v>
      </x:c>
      <x:c r="Q2796" s="35" t="str">
        <x:v>Deepseek-flash-v4/Result2/Closure_92/result.json</x:v>
      </x:c>
    </x:row>
    <x:row r="2797">
      <x:c r="A2797" s="35" t="str">
        <x:v>deepseek</x:v>
      </x:c>
      <x:c r="B2797" s="35" t="str">
        <x:v>Closure</x:v>
      </x:c>
      <x:c r="C2797" s="35" t="str">
        <x:v>Round2</x:v>
      </x:c>
      <x:c r="D2797" s="35" t="str">
        <x:v>Closure_94</x:v>
      </x:c>
      <x:c r="E2797" s="35" t="str">
        <x:v>Condition</x:v>
      </x:c>
      <x:c r="F2797" s="35"/>
      <x:c r="G2797" s="35" t="str">
        <x:v>A</x:v>
      </x:c>
      <x:c r="H2797" s="39" t="str">
        <x:f>IF(ISNUMBER('Data'!N1089),'Data'!N1089*100,"")</x:f>
      </x:c>
      <x:c r="I2797" s="35"/>
      <x:c r="J2797" s="35" t="str">
        <x:v>PASS</x:v>
      </x:c>
      <x:c r="K2797" s="35" t="str">
        <x:v>FAIL</x:v>
      </x:c>
      <x:c r="L2797" s="35" t="str">
        <x:v>NOT_RUN</x:v>
      </x:c>
      <x:c r="M2797" s="35" t="str">
        <x:v>coverage unavailable or execution/compile failed</x:v>
      </x:c>
      <x:c r="N2797" s="35" t="str">
        <x:v>Deepseek-flash-v4/Result2/Closure_94/result.json</x:v>
      </x:c>
      <x:c r="O2797" s="39" t="str">
        <x:f>IF(AND(G2797="RECORDED",ISNUMBER(H2797)),H2797,"")</x:f>
      </x:c>
      <x:c r="P2797" s="35" t="str">
        <x:v>NOT_AVAILABLE</x:v>
      </x:c>
      <x:c r="Q2797" s="35" t="str">
        <x:v>Deepseek-flash-v4/Result2/Closure_94/result.json</x:v>
      </x:c>
    </x:row>
    <x:row r="2798">
      <x:c r="A2798" s="35" t="str">
        <x:v>deepseek</x:v>
      </x:c>
      <x:c r="B2798" s="35" t="str">
        <x:v>Closure</x:v>
      </x:c>
      <x:c r="C2798" s="35" t="str">
        <x:v>Round2</x:v>
      </x:c>
      <x:c r="D2798" s="35" t="str">
        <x:v>Closure_95</x:v>
      </x:c>
      <x:c r="E2798" s="35" t="str">
        <x:v>Condition</x:v>
      </x:c>
      <x:c r="F2798" s="35"/>
      <x:c r="G2798" s="35" t="str">
        <x:v>A</x:v>
      </x:c>
      <x:c r="H2798" s="39" t="str">
        <x:f>IF(ISNUMBER('Data'!N1090),'Data'!N1090*100,"")</x:f>
      </x:c>
      <x:c r="I2798" s="35"/>
      <x:c r="J2798" s="35" t="str">
        <x:v>PASS</x:v>
      </x:c>
      <x:c r="K2798" s="35" t="str">
        <x:v>FAIL</x:v>
      </x:c>
      <x:c r="L2798" s="35" t="str">
        <x:v>NOT_RUN</x:v>
      </x:c>
      <x:c r="M2798" s="35" t="str">
        <x:v>coverage unavailable or execution/compile failed</x:v>
      </x:c>
      <x:c r="N2798" s="35" t="str">
        <x:v>Deepseek-flash-v4/Result2/Closure_95/result.json</x:v>
      </x:c>
      <x:c r="O2798" s="39" t="str">
        <x:f>IF(AND(G2798="RECORDED",ISNUMBER(H2798)),H2798,"")</x:f>
      </x:c>
      <x:c r="P2798" s="35" t="str">
        <x:v>NOT_AVAILABLE</x:v>
      </x:c>
      <x:c r="Q2798" s="35" t="str">
        <x:v>Deepseek-flash-v4/Result2/Closure_95/result.json</x:v>
      </x:c>
    </x:row>
    <x:row r="2799">
      <x:c r="A2799" s="35" t="str">
        <x:v>deepseek</x:v>
      </x:c>
      <x:c r="B2799" s="35" t="str">
        <x:v>Closure</x:v>
      </x:c>
      <x:c r="C2799" s="35" t="str">
        <x:v>Round2</x:v>
      </x:c>
      <x:c r="D2799" s="35" t="str">
        <x:v>Closure_96</x:v>
      </x:c>
      <x:c r="E2799" s="35" t="str">
        <x:v>Condition</x:v>
      </x:c>
      <x:c r="F2799" s="35"/>
      <x:c r="G2799" s="35" t="str">
        <x:v>A</x:v>
      </x:c>
      <x:c r="H2799" s="39" t="str">
        <x:f>IF(ISNUMBER('Data'!N1091),'Data'!N1091*100,"")</x:f>
      </x:c>
      <x:c r="I2799" s="35"/>
      <x:c r="J2799" s="35" t="str">
        <x:v>PASS</x:v>
      </x:c>
      <x:c r="K2799" s="35" t="str">
        <x:v>FAIL</x:v>
      </x:c>
      <x:c r="L2799" s="35" t="str">
        <x:v>NOT_RUN</x:v>
      </x:c>
      <x:c r="M2799" s="35" t="str">
        <x:v>coverage unavailable or execution/compile failed</x:v>
      </x:c>
      <x:c r="N2799" s="35" t="str">
        <x:v>Deepseek-flash-v4/Result2/Closure_96/result.json</x:v>
      </x:c>
      <x:c r="O2799" s="39" t="str">
        <x:f>IF(AND(G2799="RECORDED",ISNUMBER(H2799)),H2799,"")</x:f>
      </x:c>
      <x:c r="P2799" s="35" t="str">
        <x:v>NOT_AVAILABLE</x:v>
      </x:c>
      <x:c r="Q2799" s="35" t="str">
        <x:v>Deepseek-flash-v4/Result2/Closure_96/result.json</x:v>
      </x:c>
    </x:row>
    <x:row r="2800">
      <x:c r="A2800" s="35" t="str">
        <x:v>deepseek</x:v>
      </x:c>
      <x:c r="B2800" s="35" t="str">
        <x:v>Closure</x:v>
      </x:c>
      <x:c r="C2800" s="35" t="str">
        <x:v>Round2</x:v>
      </x:c>
      <x:c r="D2800" s="35" t="str">
        <x:v>Closure_97</x:v>
      </x:c>
      <x:c r="E2800" s="35" t="str">
        <x:v>Condition</x:v>
      </x:c>
      <x:c r="F2800" s="35"/>
      <x:c r="G2800" s="35" t="str">
        <x:v>A</x:v>
      </x:c>
      <x:c r="H2800" s="39" t="str">
        <x:f>IF(ISNUMBER('Data'!N1092),'Data'!N1092*100,"")</x:f>
      </x:c>
      <x:c r="I2800" s="35"/>
      <x:c r="J2800" s="35" t="str">
        <x:v>PASS</x:v>
      </x:c>
      <x:c r="K2800" s="35" t="str">
        <x:v>FAIL</x:v>
      </x:c>
      <x:c r="L2800" s="35" t="str">
        <x:v>NOT_RUN</x:v>
      </x:c>
      <x:c r="M2800" s="35" t="str">
        <x:v>coverage unavailable or execution/compile failed</x:v>
      </x:c>
      <x:c r="N2800" s="35" t="str">
        <x:v>Deepseek-flash-v4/Result2/Closure_97/result.json</x:v>
      </x:c>
      <x:c r="O2800" s="39" t="str">
        <x:f>IF(AND(G2800="RECORDED",ISNUMBER(H2800)),H2800,"")</x:f>
      </x:c>
      <x:c r="P2800" s="35" t="str">
        <x:v>NOT_AVAILABLE</x:v>
      </x:c>
      <x:c r="Q2800" s="35" t="str">
        <x:v>Deepseek-flash-v4/Result2/Closure_97/result.json</x:v>
      </x:c>
    </x:row>
    <x:row r="2801">
      <x:c r="A2801" s="35" t="str">
        <x:v>deepseek</x:v>
      </x:c>
      <x:c r="B2801" s="35" t="str">
        <x:v>Closure</x:v>
      </x:c>
      <x:c r="C2801" s="35" t="str">
        <x:v>Round2</x:v>
      </x:c>
      <x:c r="D2801" s="35" t="str">
        <x:v>Closure_98</x:v>
      </x:c>
      <x:c r="E2801" s="35" t="str">
        <x:v>Condition</x:v>
      </x:c>
      <x:c r="F2801" s="35"/>
      <x:c r="G2801" s="35" t="str">
        <x:v>A</x:v>
      </x:c>
      <x:c r="H2801" s="39" t="str">
        <x:f>IF(ISNUMBER('Data'!N1093),'Data'!N1093*100,"")</x:f>
      </x:c>
      <x:c r="I2801" s="35"/>
      <x:c r="J2801" s="35" t="str">
        <x:v>PASS</x:v>
      </x:c>
      <x:c r="K2801" s="35" t="str">
        <x:v>FAIL</x:v>
      </x:c>
      <x:c r="L2801" s="35" t="str">
        <x:v>NOT_RUN</x:v>
      </x:c>
      <x:c r="M2801" s="35" t="str">
        <x:v>coverage unavailable or execution/compile failed</x:v>
      </x:c>
      <x:c r="N2801" s="35" t="str">
        <x:v>Deepseek-flash-v4/Result2/Closure_98/result.json</x:v>
      </x:c>
      <x:c r="O2801" s="39" t="str">
        <x:f>IF(AND(G2801="RECORDED",ISNUMBER(H2801)),H2801,"")</x:f>
      </x:c>
      <x:c r="P2801" s="35" t="str">
        <x:v>NOT_AVAILABLE</x:v>
      </x:c>
      <x:c r="Q2801" s="35" t="str">
        <x:v>Deepseek-flash-v4/Result2/Closure_98/result.json</x:v>
      </x:c>
    </x:row>
    <x:row r="2802">
      <x:c r="A2802" s="35" t="str">
        <x:v>deepseek</x:v>
      </x:c>
      <x:c r="B2802" s="35" t="str">
        <x:v>Closure</x:v>
      </x:c>
      <x:c r="C2802" s="35" t="str">
        <x:v>Round2</x:v>
      </x:c>
      <x:c r="D2802" s="35" t="str">
        <x:v>Closure_99</x:v>
      </x:c>
      <x:c r="E2802" s="35" t="str">
        <x:v>Condition</x:v>
      </x:c>
      <x:c r="F2802" s="35"/>
      <x:c r="G2802" s="35" t="str">
        <x:v>A</x:v>
      </x:c>
      <x:c r="H2802" s="39" t="str">
        <x:f>IF(ISNUMBER('Data'!N1094),'Data'!N1094*100,"")</x:f>
      </x:c>
      <x:c r="I2802" s="35"/>
      <x:c r="J2802" s="35" t="str">
        <x:v>PASS</x:v>
      </x:c>
      <x:c r="K2802" s="35" t="str">
        <x:v>FAIL</x:v>
      </x:c>
      <x:c r="L2802" s="35" t="str">
        <x:v>NOT_RUN</x:v>
      </x:c>
      <x:c r="M2802" s="35" t="str">
        <x:v>coverage unavailable or execution/compile failed</x:v>
      </x:c>
      <x:c r="N2802" s="35" t="str">
        <x:v>Deepseek-flash-v4/Result2/Closure_99/result.json</x:v>
      </x:c>
      <x:c r="O2802" s="39" t="str">
        <x:f>IF(AND(G2802="RECORDED",ISNUMBER(H2802)),H2802,"")</x:f>
      </x:c>
      <x:c r="P2802" s="35" t="str">
        <x:v>NOT_AVAILABLE</x:v>
      </x:c>
      <x:c r="Q2802" s="35" t="str">
        <x:v>Deepseek-flash-v4/Result2/Closure_99/result.json</x:v>
      </x:c>
    </x:row>
    <x:row r="2803">
      <x:c r="A2803" s="35" t="str">
        <x:v>deepseek</x:v>
      </x:c>
      <x:c r="B2803" s="35" t="str">
        <x:v>Codec</x:v>
      </x:c>
      <x:c r="C2803" s="35" t="str">
        <x:v>Round2</x:v>
      </x:c>
      <x:c r="D2803" s="35" t="str">
        <x:v>Codec_1</x:v>
      </x:c>
      <x:c r="E2803" s="35" t="str">
        <x:v>Condition</x:v>
      </x:c>
      <x:c r="F2803" s="35" t="n">
        <x:v>184</x:v>
      </x:c>
      <x:c r="G2803" s="35" t="str">
        <x:v>RECORDED</x:v>
      </x:c>
      <x:c r="H2803" s="39" t="n">
        <x:f>IF(ISNUMBER('Data'!N1095),'Data'!N1095*100,"")</x:f>
        <x:v>53.26</x:v>
      </x:c>
      <x:c r="I2803" s="35" t="str">
        <x:v>PASS</x:v>
      </x:c>
      <x:c r="J2803" s="35" t="str">
        <x:v>PASS</x:v>
      </x:c>
      <x:c r="K2803" s="35" t="str">
        <x:v>PASS</x:v>
      </x:c>
      <x:c r="L2803" s="35" t="str">
        <x:v>FAIL</x:v>
      </x:c>
      <x:c r="M2803" s="35" t="str">
        <x:v>numeric coverage for applicable metric</x:v>
      </x:c>
      <x:c r="N2803" s="35" t="str">
        <x:v>Deepseek-flash-v4/Result2/Codec_1/result.json</x:v>
      </x:c>
      <x:c r="O2803" s="39" t="n">
        <x:f>IF(AND(G2803="RECORDED",ISNUMBER(H2803)),H2803,"")</x:f>
        <x:v>53.26</x:v>
      </x:c>
      <x:c r="P2803" s="35" t="str">
        <x:v>INCONCLUSIVE</x:v>
      </x:c>
      <x:c r="Q2803" s="35" t="str">
        <x:v>Deepseek-flash-v4/Result2/Codec_1/result.json</x:v>
      </x:c>
    </x:row>
    <x:row r="2804">
      <x:c r="A2804" s="35" t="str">
        <x:v>deepseek</x:v>
      </x:c>
      <x:c r="B2804" s="35" t="str">
        <x:v>Codec</x:v>
      </x:c>
      <x:c r="C2804" s="35" t="str">
        <x:v>Round2</x:v>
      </x:c>
      <x:c r="D2804" s="35" t="str">
        <x:v>Codec_10</x:v>
      </x:c>
      <x:c r="E2804" s="35" t="str">
        <x:v>Condition</x:v>
      </x:c>
      <x:c r="F2804" s="35" t="n">
        <x:v>6</x:v>
      </x:c>
      <x:c r="G2804" s="35" t="str">
        <x:v>RECORDED</x:v>
      </x:c>
      <x:c r="H2804" s="39" t="n">
        <x:f>IF(ISNUMBER('Data'!N1096),'Data'!N1096*100,"")</x:f>
        <x:v>100</x:v>
      </x:c>
      <x:c r="I2804" s="35" t="str">
        <x:v>PASS</x:v>
      </x:c>
      <x:c r="J2804" s="35" t="str">
        <x:v>PASS</x:v>
      </x:c>
      <x:c r="K2804" s="35" t="str">
        <x:v>PASS</x:v>
      </x:c>
      <x:c r="L2804" s="35" t="str">
        <x:v>PASS</x:v>
      </x:c>
      <x:c r="M2804" s="35" t="str">
        <x:v>numeric coverage for applicable metric</x:v>
      </x:c>
      <x:c r="N2804" s="35" t="str">
        <x:v>Deepseek-flash-v4/Result2/Codec_10/result.json</x:v>
      </x:c>
      <x:c r="O2804" s="39" t="n">
        <x:f>IF(AND(G2804="RECORDED",ISNUMBER(H2804)),H2804,"")</x:f>
        <x:v>100</x:v>
      </x:c>
      <x:c r="P2804" s="35" t="str">
        <x:v>NOT_REVEALING</x:v>
      </x:c>
      <x:c r="Q2804" s="35" t="str">
        <x:v>Deepseek-flash-v4/Result2/Codec_10/result.json</x:v>
      </x:c>
    </x:row>
    <x:row r="2805">
      <x:c r="A2805" s="35" t="str">
        <x:v>deepseek</x:v>
      </x:c>
      <x:c r="B2805" s="35" t="str">
        <x:v>Codec</x:v>
      </x:c>
      <x:c r="C2805" s="35" t="str">
        <x:v>Round2</x:v>
      </x:c>
      <x:c r="D2805" s="35" t="str">
        <x:v>Codec_11</x:v>
      </x:c>
      <x:c r="E2805" s="35" t="str">
        <x:v>Condition</x:v>
      </x:c>
      <x:c r="F2805" s="35" t="n">
        <x:v>36</x:v>
      </x:c>
      <x:c r="G2805" s="35" t="str">
        <x:v>RECORDED</x:v>
      </x:c>
      <x:c r="H2805" s="39" t="n">
        <x:f>IF(ISNUMBER('Data'!N1097),'Data'!N1097*100,"")</x:f>
        <x:v>94.44</x:v>
      </x:c>
      <x:c r="I2805" s="35" t="str">
        <x:v>PASS</x:v>
      </x:c>
      <x:c r="J2805" s="35" t="str">
        <x:v>PASS</x:v>
      </x:c>
      <x:c r="K2805" s="35" t="str">
        <x:v>PASS</x:v>
      </x:c>
      <x:c r="L2805" s="35" t="str">
        <x:v>PASS</x:v>
      </x:c>
      <x:c r="M2805" s="35" t="str">
        <x:v>numeric coverage for applicable metric</x:v>
      </x:c>
      <x:c r="N2805" s="35" t="str">
        <x:v>Deepseek-flash-v4/Result2/Codec_11/result.json</x:v>
      </x:c>
      <x:c r="O2805" s="39" t="n">
        <x:f>IF(AND(G2805="RECORDED",ISNUMBER(H2805)),H2805,"")</x:f>
        <x:v>94.44</x:v>
      </x:c>
      <x:c r="P2805" s="35" t="str">
        <x:v>INCONCLUSIVE</x:v>
      </x:c>
      <x:c r="Q2805" s="35" t="str">
        <x:v>Deepseek-flash-v4/Result2/Codec_11/result.json</x:v>
      </x:c>
    </x:row>
    <x:row r="2806">
      <x:c r="A2806" s="35" t="str">
        <x:v>deepseek</x:v>
      </x:c>
      <x:c r="B2806" s="35" t="str">
        <x:v>Codec</x:v>
      </x:c>
      <x:c r="C2806" s="35" t="str">
        <x:v>Round2</x:v>
      </x:c>
      <x:c r="D2806" s="35" t="str">
        <x:v>Codec_12</x:v>
      </x:c>
      <x:c r="E2806" s="35" t="str">
        <x:v>Condition</x:v>
      </x:c>
      <x:c r="F2806" s="35" t="n">
        <x:v>26</x:v>
      </x:c>
      <x:c r="G2806" s="35" t="str">
        <x:v>RECORDED</x:v>
      </x:c>
      <x:c r="H2806" s="39" t="n">
        <x:f>IF(ISNUMBER('Data'!N1098),'Data'!N1098*100,"")</x:f>
        <x:v>96.15</x:v>
      </x:c>
      <x:c r="I2806" s="35" t="str">
        <x:v>PASS</x:v>
      </x:c>
      <x:c r="J2806" s="35" t="str">
        <x:v>PASS</x:v>
      </x:c>
      <x:c r="K2806" s="35" t="str">
        <x:v>PASS</x:v>
      </x:c>
      <x:c r="L2806" s="35" t="str">
        <x:v>FAIL</x:v>
      </x:c>
      <x:c r="M2806" s="35" t="str">
        <x:v>numeric coverage for applicable metric</x:v>
      </x:c>
      <x:c r="N2806" s="35" t="str">
        <x:v>Deepseek-flash-v4/Result2/Codec_12/result.json</x:v>
      </x:c>
      <x:c r="O2806" s="39" t="n">
        <x:f>IF(AND(G2806="RECORDED",ISNUMBER(H2806)),H2806,"")</x:f>
        <x:v>96.15</x:v>
      </x:c>
      <x:c r="P2806" s="35" t="str">
        <x:v>INCONCLUSIVE</x:v>
      </x:c>
      <x:c r="Q2806" s="35" t="str">
        <x:v>Deepseek-flash-v4/Result2/Codec_12/result.json</x:v>
      </x:c>
    </x:row>
    <x:row r="2807">
      <x:c r="A2807" s="35" t="str">
        <x:v>deepseek</x:v>
      </x:c>
      <x:c r="B2807" s="35" t="str">
        <x:v>Codec</x:v>
      </x:c>
      <x:c r="C2807" s="35" t="str">
        <x:v>Round2</x:v>
      </x:c>
      <x:c r="D2807" s="35" t="str">
        <x:v>Codec_13</x:v>
      </x:c>
      <x:c r="E2807" s="35" t="str">
        <x:v>Condition</x:v>
      </x:c>
      <x:c r="F2807" s="35"/>
      <x:c r="G2807" s="35" t="str">
        <x:v>A</x:v>
      </x:c>
      <x:c r="H2807" s="39" t="str">
        <x:f>IF(ISNUMBER('Data'!N1099),'Data'!N1099*100,"")</x:f>
      </x:c>
      <x:c r="I2807" s="35"/>
      <x:c r="J2807" s="35" t="str">
        <x:v>PASS</x:v>
      </x:c>
      <x:c r="K2807" s="35" t="str">
        <x:v>FAIL</x:v>
      </x:c>
      <x:c r="L2807" s="35" t="str">
        <x:v>NOT_RUN</x:v>
      </x:c>
      <x:c r="M2807" s="35" t="str">
        <x:v>coverage unavailable or execution/compile failed</x:v>
      </x:c>
      <x:c r="N2807" s="35" t="str">
        <x:v>Deepseek-flash-v4/Result2/Codec_13/result.json</x:v>
      </x:c>
      <x:c r="O2807" s="39" t="str">
        <x:f>IF(AND(G2807="RECORDED",ISNUMBER(H2807)),H2807,"")</x:f>
      </x:c>
      <x:c r="P2807" s="35" t="str">
        <x:v>NOT_AVAILABLE</x:v>
      </x:c>
      <x:c r="Q2807" s="35" t="str">
        <x:v>Deepseek-flash-v4/Result2/Codec_13/result.json</x:v>
      </x:c>
    </x:row>
    <x:row r="2808">
      <x:c r="A2808" s="35" t="str">
        <x:v>deepseek</x:v>
      </x:c>
      <x:c r="B2808" s="35" t="str">
        <x:v>Codec</x:v>
      </x:c>
      <x:c r="C2808" s="35" t="str">
        <x:v>Round2</x:v>
      </x:c>
      <x:c r="D2808" s="35" t="str">
        <x:v>Codec_14</x:v>
      </x:c>
      <x:c r="E2808" s="35" t="str">
        <x:v>Condition</x:v>
      </x:c>
      <x:c r="F2808" s="35"/>
      <x:c r="G2808" s="35" t="str">
        <x:v>A</x:v>
      </x:c>
      <x:c r="H2808" s="39" t="str">
        <x:f>IF(ISNUMBER('Data'!N1100),'Data'!N1100*100,"")</x:f>
      </x:c>
      <x:c r="I2808" s="35"/>
      <x:c r="J2808" s="35" t="str">
        <x:v>PASS</x:v>
      </x:c>
      <x:c r="K2808" s="35" t="str">
        <x:v>FAIL</x:v>
      </x:c>
      <x:c r="L2808" s="35" t="str">
        <x:v>NOT_RUN</x:v>
      </x:c>
      <x:c r="M2808" s="35" t="str">
        <x:v>coverage unavailable or execution/compile failed</x:v>
      </x:c>
      <x:c r="N2808" s="35" t="str">
        <x:v>Deepseek-flash-v4/Result2/Codec_14/result.json</x:v>
      </x:c>
      <x:c r="O2808" s="39" t="str">
        <x:f>IF(AND(G2808="RECORDED",ISNUMBER(H2808)),H2808,"")</x:f>
      </x:c>
      <x:c r="P2808" s="35" t="str">
        <x:v>NOT_AVAILABLE</x:v>
      </x:c>
      <x:c r="Q2808" s="35" t="str">
        <x:v>Deepseek-flash-v4/Result2/Codec_14/result.json</x:v>
      </x:c>
    </x:row>
    <x:row r="2809">
      <x:c r="A2809" s="35" t="str">
        <x:v>deepseek</x:v>
      </x:c>
      <x:c r="B2809" s="35" t="str">
        <x:v>Codec</x:v>
      </x:c>
      <x:c r="C2809" s="35" t="str">
        <x:v>Round2</x:v>
      </x:c>
      <x:c r="D2809" s="35" t="str">
        <x:v>Codec_15</x:v>
      </x:c>
      <x:c r="E2809" s="35" t="str">
        <x:v>Condition</x:v>
      </x:c>
      <x:c r="F2809" s="35" t="n">
        <x:v>34</x:v>
      </x:c>
      <x:c r="G2809" s="35" t="str">
        <x:v>RECORDED</x:v>
      </x:c>
      <x:c r="H2809" s="39" t="n">
        <x:f>IF(ISNUMBER('Data'!N1101),'Data'!N1101*100,"")</x:f>
        <x:v>76.47</x:v>
      </x:c>
      <x:c r="I2809" s="35" t="str">
        <x:v>PASS</x:v>
      </x:c>
      <x:c r="J2809" s="35" t="str">
        <x:v>PASS</x:v>
      </x:c>
      <x:c r="K2809" s="35" t="str">
        <x:v>PASS</x:v>
      </x:c>
      <x:c r="L2809" s="35" t="str">
        <x:v>FAIL</x:v>
      </x:c>
      <x:c r="M2809" s="35" t="str">
        <x:v>numeric coverage for applicable metric</x:v>
      </x:c>
      <x:c r="N2809" s="35" t="str">
        <x:v>Deepseek-flash-v4/Result2/Codec_15/result.json</x:v>
      </x:c>
      <x:c r="O2809" s="39" t="n">
        <x:f>IF(AND(G2809="RECORDED",ISNUMBER(H2809)),H2809,"")</x:f>
        <x:v>76.47</x:v>
      </x:c>
      <x:c r="P2809" s="35" t="str">
        <x:v>INCONCLUSIVE</x:v>
      </x:c>
      <x:c r="Q2809" s="35" t="str">
        <x:v>Deepseek-flash-v4/Result2/Codec_15/result.json</x:v>
      </x:c>
    </x:row>
    <x:row r="2810">
      <x:c r="A2810" s="35" t="str">
        <x:v>deepseek</x:v>
      </x:c>
      <x:c r="B2810" s="35" t="str">
        <x:v>Codec</x:v>
      </x:c>
      <x:c r="C2810" s="35" t="str">
        <x:v>Round2</x:v>
      </x:c>
      <x:c r="D2810" s="35" t="str">
        <x:v>Codec_16</x:v>
      </x:c>
      <x:c r="E2810" s="35" t="str">
        <x:v>Condition</x:v>
      </x:c>
      <x:c r="F2810" s="35" t="n">
        <x:v>75</x:v>
      </x:c>
      <x:c r="G2810" s="35" t="str">
        <x:v>RECORDED</x:v>
      </x:c>
      <x:c r="H2810" s="39" t="n">
        <x:f>IF(ISNUMBER('Data'!N1102),'Data'!N1102*100,"")</x:f>
        <x:v>80</x:v>
      </x:c>
      <x:c r="I2810" s="35" t="str">
        <x:v>PASS</x:v>
      </x:c>
      <x:c r="J2810" s="35" t="str">
        <x:v>PASS</x:v>
      </x:c>
      <x:c r="K2810" s="35" t="str">
        <x:v>PASS</x:v>
      </x:c>
      <x:c r="L2810" s="35" t="str">
        <x:v>FAIL</x:v>
      </x:c>
      <x:c r="M2810" s="35" t="str">
        <x:v>numeric coverage for applicable metric</x:v>
      </x:c>
      <x:c r="N2810" s="35" t="str">
        <x:v>Deepseek-flash-v4/Result2/Codec_16/result.json</x:v>
      </x:c>
      <x:c r="O2810" s="39" t="n">
        <x:f>IF(AND(G2810="RECORDED",ISNUMBER(H2810)),H2810,"")</x:f>
        <x:v>80</x:v>
      </x:c>
      <x:c r="P2810" s="35" t="str">
        <x:v>INCONCLUSIVE</x:v>
      </x:c>
      <x:c r="Q2810" s="35" t="str">
        <x:v>Deepseek-flash-v4/Result2/Codec_16/result.json</x:v>
      </x:c>
    </x:row>
    <x:row r="2811">
      <x:c r="A2811" s="35" t="str">
        <x:v>deepseek</x:v>
      </x:c>
      <x:c r="B2811" s="35" t="str">
        <x:v>Codec</x:v>
      </x:c>
      <x:c r="C2811" s="35" t="str">
        <x:v>Round2</x:v>
      </x:c>
      <x:c r="D2811" s="35" t="str">
        <x:v>Codec_17</x:v>
      </x:c>
      <x:c r="E2811" s="35" t="str">
        <x:v>Condition</x:v>
      </x:c>
      <x:c r="F2811" s="35"/>
      <x:c r="G2811" s="35" t="str">
        <x:v>A</x:v>
      </x:c>
      <x:c r="H2811" s="39" t="str">
        <x:f>IF(ISNUMBER('Data'!N1103),'Data'!N1103*100,"")</x:f>
      </x:c>
      <x:c r="I2811" s="35"/>
      <x:c r="J2811" s="35" t="str">
        <x:v>PASS</x:v>
      </x:c>
      <x:c r="K2811" s="35" t="str">
        <x:v>FAIL</x:v>
      </x:c>
      <x:c r="L2811" s="35" t="str">
        <x:v>NOT_RUN</x:v>
      </x:c>
      <x:c r="M2811" s="35" t="str">
        <x:v>coverage unavailable or execution/compile failed</x:v>
      </x:c>
      <x:c r="N2811" s="35" t="str">
        <x:v>Deepseek-flash-v4/Result2/Codec_17/result.json</x:v>
      </x:c>
      <x:c r="O2811" s="39" t="str">
        <x:f>IF(AND(G2811="RECORDED",ISNUMBER(H2811)),H2811,"")</x:f>
      </x:c>
      <x:c r="P2811" s="35" t="str">
        <x:v>NOT_AVAILABLE</x:v>
      </x:c>
      <x:c r="Q2811" s="35" t="str">
        <x:v>Deepseek-flash-v4/Result2/Codec_17/result.json</x:v>
      </x:c>
    </x:row>
    <x:row r="2812">
      <x:c r="A2812" s="35" t="str">
        <x:v>deepseek</x:v>
      </x:c>
      <x:c r="B2812" s="35" t="str">
        <x:v>Codec</x:v>
      </x:c>
      <x:c r="C2812" s="35" t="str">
        <x:v>Round2</x:v>
      </x:c>
      <x:c r="D2812" s="35" t="str">
        <x:v>Codec_18</x:v>
      </x:c>
      <x:c r="E2812" s="35" t="str">
        <x:v>Condition</x:v>
      </x:c>
      <x:c r="F2812" s="35" t="n">
        <x:v>20</x:v>
      </x:c>
      <x:c r="G2812" s="35" t="str">
        <x:v>RECORDED</x:v>
      </x:c>
      <x:c r="H2812" s="39" t="n">
        <x:f>IF(ISNUMBER('Data'!N1104),'Data'!N1104*100,"")</x:f>
        <x:v>95</x:v>
      </x:c>
      <x:c r="I2812" s="35" t="str">
        <x:v>PASS</x:v>
      </x:c>
      <x:c r="J2812" s="35" t="str">
        <x:v>PASS</x:v>
      </x:c>
      <x:c r="K2812" s="35" t="str">
        <x:v>PASS</x:v>
      </x:c>
      <x:c r="L2812" s="35" t="str">
        <x:v>PASS</x:v>
      </x:c>
      <x:c r="M2812" s="35" t="str">
        <x:v>numeric coverage for applicable metric</x:v>
      </x:c>
      <x:c r="N2812" s="35" t="str">
        <x:v>Deepseek-flash-v4/Result2/Codec_18/result.json</x:v>
      </x:c>
      <x:c r="O2812" s="39" t="n">
        <x:f>IF(AND(G2812="RECORDED",ISNUMBER(H2812)),H2812,"")</x:f>
        <x:v>95</x:v>
      </x:c>
      <x:c r="P2812" s="35" t="str">
        <x:v>NOT_REVEALING</x:v>
      </x:c>
      <x:c r="Q2812" s="35" t="str">
        <x:v>Deepseek-flash-v4/Result2/Codec_18/result.json</x:v>
      </x:c>
    </x:row>
    <x:row r="2813">
      <x:c r="A2813" s="35" t="str">
        <x:v>deepseek</x:v>
      </x:c>
      <x:c r="B2813" s="35" t="str">
        <x:v>Codec</x:v>
      </x:c>
      <x:c r="C2813" s="35" t="str">
        <x:v>Round2</x:v>
      </x:c>
      <x:c r="D2813" s="35" t="str">
        <x:v>Codec_2</x:v>
      </x:c>
      <x:c r="E2813" s="35" t="str">
        <x:v>Condition</x:v>
      </x:c>
      <x:c r="F2813" s="35" t="n">
        <x:v>146</x:v>
      </x:c>
      <x:c r="G2813" s="35" t="str">
        <x:v>RECORDED</x:v>
      </x:c>
      <x:c r="H2813" s="39" t="n">
        <x:f>IF(ISNUMBER('Data'!N1105),'Data'!N1105*100,"")</x:f>
        <x:v>69.86</x:v>
      </x:c>
      <x:c r="I2813" s="35" t="str">
        <x:v>PASS</x:v>
      </x:c>
      <x:c r="J2813" s="35" t="str">
        <x:v>PASS</x:v>
      </x:c>
      <x:c r="K2813" s="35" t="str">
        <x:v>PASS</x:v>
      </x:c>
      <x:c r="L2813" s="35" t="str">
        <x:v>FAIL</x:v>
      </x:c>
      <x:c r="M2813" s="35" t="str">
        <x:v>numeric coverage for applicable metric</x:v>
      </x:c>
      <x:c r="N2813" s="35" t="str">
        <x:v>Deepseek-flash-v4/Result2/Codec_2/result.json</x:v>
      </x:c>
      <x:c r="O2813" s="39" t="n">
        <x:f>IF(AND(G2813="RECORDED",ISNUMBER(H2813)),H2813,"")</x:f>
        <x:v>69.86</x:v>
      </x:c>
      <x:c r="P2813" s="35" t="str">
        <x:v>INCONCLUSIVE</x:v>
      </x:c>
      <x:c r="Q2813" s="35" t="str">
        <x:v>Deepseek-flash-v4/Result2/Codec_2/result.json</x:v>
      </x:c>
    </x:row>
    <x:row r="2814">
      <x:c r="A2814" s="35" t="str">
        <x:v>deepseek</x:v>
      </x:c>
      <x:c r="B2814" s="35" t="str">
        <x:v>Codec</x:v>
      </x:c>
      <x:c r="C2814" s="35" t="str">
        <x:v>Round2</x:v>
      </x:c>
      <x:c r="D2814" s="35" t="str">
        <x:v>Codec_3</x:v>
      </x:c>
      <x:c r="E2814" s="35" t="str">
        <x:v>Condition</x:v>
      </x:c>
      <x:c r="F2814" s="35" t="n">
        <x:v>450</x:v>
      </x:c>
      <x:c r="G2814" s="35" t="str">
        <x:v>RECORDED</x:v>
      </x:c>
      <x:c r="H2814" s="39" t="n">
        <x:f>IF(ISNUMBER('Data'!N1106),'Data'!N1106*100,"")</x:f>
        <x:v>80.89</x:v>
      </x:c>
      <x:c r="I2814" s="35" t="str">
        <x:v>PASS</x:v>
      </x:c>
      <x:c r="J2814" s="35" t="str">
        <x:v>PASS</x:v>
      </x:c>
      <x:c r="K2814" s="35" t="str">
        <x:v>PASS</x:v>
      </x:c>
      <x:c r="L2814" s="35" t="str">
        <x:v>FAIL</x:v>
      </x:c>
      <x:c r="M2814" s="35" t="str">
        <x:v>numeric coverage for applicable metric</x:v>
      </x:c>
      <x:c r="N2814" s="35" t="str">
        <x:v>Deepseek-flash-v4/Result2/Codec_3/result.json</x:v>
      </x:c>
      <x:c r="O2814" s="39" t="n">
        <x:f>IF(AND(G2814="RECORDED",ISNUMBER(H2814)),H2814,"")</x:f>
        <x:v>80.89</x:v>
      </x:c>
      <x:c r="P2814" s="35" t="str">
        <x:v>INCONCLUSIVE</x:v>
      </x:c>
      <x:c r="Q2814" s="35" t="str">
        <x:v>Deepseek-flash-v4/Result2/Codec_3/result.json</x:v>
      </x:c>
    </x:row>
    <x:row r="2815">
      <x:c r="A2815" s="35" t="str">
        <x:v>deepseek</x:v>
      </x:c>
      <x:c r="B2815" s="35" t="str">
        <x:v>Codec</x:v>
      </x:c>
      <x:c r="C2815" s="35" t="str">
        <x:v>Round2</x:v>
      </x:c>
      <x:c r="D2815" s="35" t="str">
        <x:v>Codec_4</x:v>
      </x:c>
      <x:c r="E2815" s="35" t="str">
        <x:v>Condition</x:v>
      </x:c>
      <x:c r="F2815" s="35" t="n">
        <x:v>158</x:v>
      </x:c>
      <x:c r="G2815" s="35" t="str">
        <x:v>RECORDED</x:v>
      </x:c>
      <x:c r="H2815" s="39" t="n">
        <x:f>IF(ISNUMBER('Data'!N1107),'Data'!N1107*100,"")</x:f>
        <x:v>79.11</x:v>
      </x:c>
      <x:c r="I2815" s="35" t="str">
        <x:v>PASS</x:v>
      </x:c>
      <x:c r="J2815" s="35" t="str">
        <x:v>PASS</x:v>
      </x:c>
      <x:c r="K2815" s="35" t="str">
        <x:v>PASS</x:v>
      </x:c>
      <x:c r="L2815" s="35" t="str">
        <x:v>FAIL</x:v>
      </x:c>
      <x:c r="M2815" s="35" t="str">
        <x:v>numeric coverage for applicable metric</x:v>
      </x:c>
      <x:c r="N2815" s="35" t="str">
        <x:v>Deepseek-flash-v4/Result2/Codec_4/result.json</x:v>
      </x:c>
      <x:c r="O2815" s="39" t="n">
        <x:f>IF(AND(G2815="RECORDED",ISNUMBER(H2815)),H2815,"")</x:f>
        <x:v>79.11</x:v>
      </x:c>
      <x:c r="P2815" s="35" t="str">
        <x:v>INCONCLUSIVE</x:v>
      </x:c>
      <x:c r="Q2815" s="35" t="str">
        <x:v>Deepseek-flash-v4/Result2/Codec_4/result.json</x:v>
      </x:c>
    </x:row>
    <x:row r="2816">
      <x:c r="A2816" s="35" t="str">
        <x:v>deepseek</x:v>
      </x:c>
      <x:c r="B2816" s="35" t="str">
        <x:v>Codec</x:v>
      </x:c>
      <x:c r="C2816" s="35" t="str">
        <x:v>Round2</x:v>
      </x:c>
      <x:c r="D2816" s="35" t="str">
        <x:v>Codec_5</x:v>
      </x:c>
      <x:c r="E2816" s="35" t="str">
        <x:v>Condition</x:v>
      </x:c>
      <x:c r="F2816" s="35" t="n">
        <x:v>158</x:v>
      </x:c>
      <x:c r="G2816" s="35" t="str">
        <x:v>RECORDED</x:v>
      </x:c>
      <x:c r="H2816" s="39" t="n">
        <x:f>IF(ISNUMBER('Data'!N1108),'Data'!N1108*100,"")</x:f>
        <x:v>74.05</x:v>
      </x:c>
      <x:c r="I2816" s="35" t="str">
        <x:v>PASS</x:v>
      </x:c>
      <x:c r="J2816" s="35" t="str">
        <x:v>PASS</x:v>
      </x:c>
      <x:c r="K2816" s="35" t="str">
        <x:v>PASS</x:v>
      </x:c>
      <x:c r="L2816" s="35" t="str">
        <x:v>FAIL</x:v>
      </x:c>
      <x:c r="M2816" s="35" t="str">
        <x:v>numeric coverage for applicable metric</x:v>
      </x:c>
      <x:c r="N2816" s="35" t="str">
        <x:v>Deepseek-flash-v4/Result2/Codec_5/result.json</x:v>
      </x:c>
      <x:c r="O2816" s="39" t="n">
        <x:f>IF(AND(G2816="RECORDED",ISNUMBER(H2816)),H2816,"")</x:f>
        <x:v>74.05</x:v>
      </x:c>
      <x:c r="P2816" s="35" t="str">
        <x:v>INCONCLUSIVE</x:v>
      </x:c>
      <x:c r="Q2816" s="35" t="str">
        <x:v>Deepseek-flash-v4/Result2/Codec_5/result.json</x:v>
      </x:c>
    </x:row>
    <x:row r="2817">
      <x:c r="A2817" s="35" t="str">
        <x:v>deepseek</x:v>
      </x:c>
      <x:c r="B2817" s="35" t="str">
        <x:v>Codec</x:v>
      </x:c>
      <x:c r="C2817" s="35" t="str">
        <x:v>Round2</x:v>
      </x:c>
      <x:c r="D2817" s="35" t="str">
        <x:v>Codec_6</x:v>
      </x:c>
      <x:c r="E2817" s="35" t="str">
        <x:v>Condition</x:v>
      </x:c>
      <x:c r="F2817" s="35" t="n">
        <x:v>28</x:v>
      </x:c>
      <x:c r="G2817" s="35" t="str">
        <x:v>RECORDED</x:v>
      </x:c>
      <x:c r="H2817" s="39" t="n">
        <x:f>IF(ISNUMBER('Data'!N1109),'Data'!N1109*100,"")</x:f>
        <x:v>92.86</x:v>
      </x:c>
      <x:c r="I2817" s="35" t="str">
        <x:v>PASS</x:v>
      </x:c>
      <x:c r="J2817" s="35" t="str">
        <x:v>PASS</x:v>
      </x:c>
      <x:c r="K2817" s="35" t="str">
        <x:v>PASS</x:v>
      </x:c>
      <x:c r="L2817" s="35" t="str">
        <x:v>FAIL</x:v>
      </x:c>
      <x:c r="M2817" s="35" t="str">
        <x:v>numeric coverage for applicable metric</x:v>
      </x:c>
      <x:c r="N2817" s="35" t="str">
        <x:v>Deepseek-flash-v4/Result2/Codec_6/result.json</x:v>
      </x:c>
      <x:c r="O2817" s="39" t="n">
        <x:f>IF(AND(G2817="RECORDED",ISNUMBER(H2817)),H2817,"")</x:f>
        <x:v>92.86</x:v>
      </x:c>
      <x:c r="P2817" s="35" t="str">
        <x:v>INCONCLUSIVE</x:v>
      </x:c>
      <x:c r="Q2817" s="35" t="str">
        <x:v>Deepseek-flash-v4/Result2/Codec_6/result.json</x:v>
      </x:c>
    </x:row>
    <x:row r="2818">
      <x:c r="A2818" s="35" t="str">
        <x:v>deepseek</x:v>
      </x:c>
      <x:c r="B2818" s="35" t="str">
        <x:v>Codec</x:v>
      </x:c>
      <x:c r="C2818" s="35" t="str">
        <x:v>Round2</x:v>
      </x:c>
      <x:c r="D2818" s="35" t="str">
        <x:v>Codec_7</x:v>
      </x:c>
      <x:c r="E2818" s="35" t="str">
        <x:v>Condition</x:v>
      </x:c>
      <x:c r="F2818" s="35" t="n">
        <x:v>162</x:v>
      </x:c>
      <x:c r="G2818" s="35" t="str">
        <x:v>RECORDED</x:v>
      </x:c>
      <x:c r="H2818" s="39" t="n">
        <x:f>IF(ISNUMBER('Data'!N1110),'Data'!N1110*100,"")</x:f>
        <x:v>73.46</x:v>
      </x:c>
      <x:c r="I2818" s="35" t="str">
        <x:v>PASS</x:v>
      </x:c>
      <x:c r="J2818" s="35" t="str">
        <x:v>PASS</x:v>
      </x:c>
      <x:c r="K2818" s="35" t="str">
        <x:v>PASS</x:v>
      </x:c>
      <x:c r="L2818" s="35" t="str">
        <x:v>FAIL</x:v>
      </x:c>
      <x:c r="M2818" s="35" t="str">
        <x:v>numeric coverage for applicable metric</x:v>
      </x:c>
      <x:c r="N2818" s="35" t="str">
        <x:v>Deepseek-flash-v4/Result2/Codec_7/result.json</x:v>
      </x:c>
      <x:c r="O2818" s="39" t="n">
        <x:f>IF(AND(G2818="RECORDED",ISNUMBER(H2818)),H2818,"")</x:f>
        <x:v>73.46</x:v>
      </x:c>
      <x:c r="P2818" s="35" t="str">
        <x:v>INCONCLUSIVE</x:v>
      </x:c>
      <x:c r="Q2818" s="35" t="str">
        <x:v>Deepseek-flash-v4/Result2/Codec_7/result.json</x:v>
      </x:c>
    </x:row>
    <x:row r="2819">
      <x:c r="A2819" s="35" t="str">
        <x:v>deepseek</x:v>
      </x:c>
      <x:c r="B2819" s="35" t="str">
        <x:v>Codec</x:v>
      </x:c>
      <x:c r="C2819" s="35" t="str">
        <x:v>Round2</x:v>
      </x:c>
      <x:c r="D2819" s="35" t="str">
        <x:v>Codec_8</x:v>
      </x:c>
      <x:c r="E2819" s="35" t="str">
        <x:v>Condition</x:v>
      </x:c>
      <x:c r="F2819" s="35" t="n">
        <x:v>186</x:v>
      </x:c>
      <x:c r="G2819" s="35" t="str">
        <x:v>RECORDED</x:v>
      </x:c>
      <x:c r="H2819" s="39" t="n">
        <x:f>IF(ISNUMBER('Data'!N1111),'Data'!N1111*100,"")</x:f>
        <x:v>77.96</x:v>
      </x:c>
      <x:c r="I2819" s="35" t="str">
        <x:v>PASS</x:v>
      </x:c>
      <x:c r="J2819" s="35" t="str">
        <x:v>PASS</x:v>
      </x:c>
      <x:c r="K2819" s="35" t="str">
        <x:v>PASS</x:v>
      </x:c>
      <x:c r="L2819" s="35" t="str">
        <x:v>FAIL</x:v>
      </x:c>
      <x:c r="M2819" s="35" t="str">
        <x:v>numeric coverage for applicable metric</x:v>
      </x:c>
      <x:c r="N2819" s="35" t="str">
        <x:v>Deepseek-flash-v4/Result2/Codec_8/result.json</x:v>
      </x:c>
      <x:c r="O2819" s="39" t="n">
        <x:f>IF(AND(G2819="RECORDED",ISNUMBER(H2819)),H2819,"")</x:f>
        <x:v>77.96</x:v>
      </x:c>
      <x:c r="P2819" s="35" t="str">
        <x:v>INCONCLUSIVE</x:v>
      </x:c>
      <x:c r="Q2819" s="35" t="str">
        <x:v>Deepseek-flash-v4/Result2/Codec_8/result.json</x:v>
      </x:c>
    </x:row>
    <x:row r="2820">
      <x:c r="A2820" s="35" t="str">
        <x:v>deepseek</x:v>
      </x:c>
      <x:c r="B2820" s="35" t="str">
        <x:v>Codec</x:v>
      </x:c>
      <x:c r="C2820" s="35" t="str">
        <x:v>Round2</x:v>
      </x:c>
      <x:c r="D2820" s="35" t="str">
        <x:v>Codec_9</x:v>
      </x:c>
      <x:c r="E2820" s="35" t="str">
        <x:v>Condition</x:v>
      </x:c>
      <x:c r="F2820" s="35"/>
      <x:c r="G2820" s="35" t="str">
        <x:v>A</x:v>
      </x:c>
      <x:c r="H2820" s="39" t="str">
        <x:f>IF(ISNUMBER('Data'!N1112),'Data'!N1112*100,"")</x:f>
      </x:c>
      <x:c r="I2820" s="35"/>
      <x:c r="J2820" s="35" t="str">
        <x:v>PASS</x:v>
      </x:c>
      <x:c r="K2820" s="35" t="str">
        <x:v>FAIL</x:v>
      </x:c>
      <x:c r="L2820" s="35" t="str">
        <x:v>NOT_RUN</x:v>
      </x:c>
      <x:c r="M2820" s="35" t="str">
        <x:v>coverage unavailable or execution/compile failed</x:v>
      </x:c>
      <x:c r="N2820" s="35" t="str">
        <x:v>Deepseek-flash-v4/Result2/Codec_9/result.json</x:v>
      </x:c>
      <x:c r="O2820" s="39" t="str">
        <x:f>IF(AND(G2820="RECORDED",ISNUMBER(H2820)),H2820,"")</x:f>
      </x:c>
      <x:c r="P2820" s="35" t="str">
        <x:v>NOT_AVAILABLE</x:v>
      </x:c>
      <x:c r="Q2820" s="35" t="str">
        <x:v>Deepseek-flash-v4/Result2/Codec_9/result.json</x:v>
      </x:c>
    </x:row>
    <x:row r="2821">
      <x:c r="A2821" s="35" t="str">
        <x:v>deepseek</x:v>
      </x:c>
      <x:c r="B2821" s="35" t="str">
        <x:v>Collections</x:v>
      </x:c>
      <x:c r="C2821" s="35" t="str">
        <x:v>Round2</x:v>
      </x:c>
      <x:c r="D2821" s="35" t="str">
        <x:v>Collections_1</x:v>
      </x:c>
      <x:c r="E2821" s="35" t="str">
        <x:v>Condition</x:v>
      </x:c>
      <x:c r="F2821" s="35" t="n">
        <x:v>376</x:v>
      </x:c>
      <x:c r="G2821" s="35" t="str">
        <x:v>RECORDED</x:v>
      </x:c>
      <x:c r="H2821" s="39" t="n">
        <x:f>IF(ISNUMBER('Data'!N1113),'Data'!N1113*100,"")</x:f>
        <x:v>42.55</x:v>
      </x:c>
      <x:c r="I2821" s="35" t="str">
        <x:v>PASS</x:v>
      </x:c>
      <x:c r="J2821" s="35" t="str">
        <x:v>PASS</x:v>
      </x:c>
      <x:c r="K2821" s="35" t="str">
        <x:v>PASS</x:v>
      </x:c>
      <x:c r="L2821" s="35" t="str">
        <x:v>FAIL</x:v>
      </x:c>
      <x:c r="M2821" s="35" t="str">
        <x:v>numeric coverage for applicable metric</x:v>
      </x:c>
      <x:c r="N2821" s="35" t="str">
        <x:v>Deepseek-flash-v4/Result2/Collections_1/result.json</x:v>
      </x:c>
      <x:c r="O2821" s="39" t="n">
        <x:f>IF(AND(G2821="RECORDED",ISNUMBER(H2821)),H2821,"")</x:f>
        <x:v>42.55</x:v>
      </x:c>
      <x:c r="P2821" s="35" t="str">
        <x:v>INCONCLUSIVE</x:v>
      </x:c>
      <x:c r="Q2821" s="35" t="str">
        <x:v>Deepseek-flash-v4/Result2/Collections_1/result.json</x:v>
      </x:c>
    </x:row>
    <x:row r="2822">
      <x:c r="A2822" s="35" t="str">
        <x:v>deepseek</x:v>
      </x:c>
      <x:c r="B2822" s="35" t="str">
        <x:v>Collections</x:v>
      </x:c>
      <x:c r="C2822" s="35" t="str">
        <x:v>Round2</x:v>
      </x:c>
      <x:c r="D2822" s="35" t="str">
        <x:v>Collections_10</x:v>
      </x:c>
      <x:c r="E2822" s="35" t="str">
        <x:v>Condition</x:v>
      </x:c>
      <x:c r="F2822" s="35" t="n">
        <x:v>48</x:v>
      </x:c>
      <x:c r="G2822" s="35" t="str">
        <x:v>RECORDED</x:v>
      </x:c>
      <x:c r="H2822" s="39" t="n">
        <x:f>IF(ISNUMBER('Data'!N1114),'Data'!N1114*100,"")</x:f>
        <x:v>83.33</x:v>
      </x:c>
      <x:c r="I2822" s="35" t="str">
        <x:v>PASS</x:v>
      </x:c>
      <x:c r="J2822" s="35" t="str">
        <x:v>PASS</x:v>
      </x:c>
      <x:c r="K2822" s="35" t="str">
        <x:v>PASS</x:v>
      </x:c>
      <x:c r="L2822" s="35" t="str">
        <x:v>PASS</x:v>
      </x:c>
      <x:c r="M2822" s="35" t="str">
        <x:v>numeric coverage for applicable metric</x:v>
      </x:c>
      <x:c r="N2822" s="35" t="str">
        <x:v>Deepseek-flash-v4/Result2/Collections_10/result.json</x:v>
      </x:c>
      <x:c r="O2822" s="39" t="n">
        <x:f>IF(AND(G2822="RECORDED",ISNUMBER(H2822)),H2822,"")</x:f>
        <x:v>83.33</x:v>
      </x:c>
      <x:c r="P2822" s="35" t="str">
        <x:v>NOT_REVEALING</x:v>
      </x:c>
      <x:c r="Q2822" s="35" t="str">
        <x:v>Deepseek-flash-v4/Result2/Collections_10/result.json</x:v>
      </x:c>
    </x:row>
    <x:row r="2823">
      <x:c r="A2823" s="35" t="str">
        <x:v>deepseek</x:v>
      </x:c>
      <x:c r="B2823" s="35" t="str">
        <x:v>Collections</x:v>
      </x:c>
      <x:c r="C2823" s="35" t="str">
        <x:v>Round2</x:v>
      </x:c>
      <x:c r="D2823" s="35" t="str">
        <x:v>Collections_11</x:v>
      </x:c>
      <x:c r="E2823" s="35" t="str">
        <x:v>Condition</x:v>
      </x:c>
      <x:c r="F2823" s="35" t="n">
        <x:v>12</x:v>
      </x:c>
      <x:c r="G2823" s="35" t="str">
        <x:v>RECORDED</x:v>
      </x:c>
      <x:c r="H2823" s="39" t="n">
        <x:f>IF(ISNUMBER('Data'!N1115),'Data'!N1115*100,"")</x:f>
        <x:v>100</x:v>
      </x:c>
      <x:c r="I2823" s="35" t="str">
        <x:v>PASS</x:v>
      </x:c>
      <x:c r="J2823" s="35" t="str">
        <x:v>PASS</x:v>
      </x:c>
      <x:c r="K2823" s="35" t="str">
        <x:v>PASS</x:v>
      </x:c>
      <x:c r="L2823" s="35" t="str">
        <x:v>FAIL</x:v>
      </x:c>
      <x:c r="M2823" s="35" t="str">
        <x:v>numeric coverage for applicable metric</x:v>
      </x:c>
      <x:c r="N2823" s="35" t="str">
        <x:v>Deepseek-flash-v4/Result2/Collections_11/result.json</x:v>
      </x:c>
      <x:c r="O2823" s="39" t="n">
        <x:f>IF(AND(G2823="RECORDED",ISNUMBER(H2823)),H2823,"")</x:f>
        <x:v>100</x:v>
      </x:c>
      <x:c r="P2823" s="35" t="str">
        <x:v>INCONCLUSIVE</x:v>
      </x:c>
      <x:c r="Q2823" s="35" t="str">
        <x:v>Deepseek-flash-v4/Result2/Collections_11/result.json</x:v>
      </x:c>
    </x:row>
    <x:row r="2824">
      <x:c r="A2824" s="35" t="str">
        <x:v>deepseek</x:v>
      </x:c>
      <x:c r="B2824" s="35" t="str">
        <x:v>Collections</x:v>
      </x:c>
      <x:c r="C2824" s="35" t="str">
        <x:v>Round2</x:v>
      </x:c>
      <x:c r="D2824" s="35" t="str">
        <x:v>Collections_12</x:v>
      </x:c>
      <x:c r="E2824" s="35" t="str">
        <x:v>Condition</x:v>
      </x:c>
      <x:c r="F2824" s="35"/>
      <x:c r="G2824" s="35" t="str">
        <x:v>A</x:v>
      </x:c>
      <x:c r="H2824" s="39" t="str">
        <x:f>IF(ISNUMBER('Data'!N1116),'Data'!N1116*100,"")</x:f>
      </x:c>
      <x:c r="I2824" s="35"/>
      <x:c r="J2824" s="35" t="str">
        <x:v>PASS</x:v>
      </x:c>
      <x:c r="K2824" s="35" t="str">
        <x:v>FAIL</x:v>
      </x:c>
      <x:c r="L2824" s="35" t="str">
        <x:v>NOT_RUN</x:v>
      </x:c>
      <x:c r="M2824" s="35" t="str">
        <x:v>coverage unavailable or execution/compile failed</x:v>
      </x:c>
      <x:c r="N2824" s="35" t="str">
        <x:v>Deepseek-flash-v4/Result2/Collections_12/result.json</x:v>
      </x:c>
      <x:c r="O2824" s="39" t="str">
        <x:f>IF(AND(G2824="RECORDED",ISNUMBER(H2824)),H2824,"")</x:f>
      </x:c>
      <x:c r="P2824" s="35" t="str">
        <x:v>NOT_AVAILABLE</x:v>
      </x:c>
      <x:c r="Q2824" s="35" t="str">
        <x:v>Deepseek-flash-v4/Result2/Collections_12/result.json</x:v>
      </x:c>
    </x:row>
    <x:row r="2825">
      <x:c r="A2825" s="35" t="str">
        <x:v>deepseek</x:v>
      </x:c>
      <x:c r="B2825" s="35" t="str">
        <x:v>Collections</x:v>
      </x:c>
      <x:c r="C2825" s="35" t="str">
        <x:v>Round2</x:v>
      </x:c>
      <x:c r="D2825" s="35" t="str">
        <x:v>Collections_13</x:v>
      </x:c>
      <x:c r="E2825" s="35" t="str">
        <x:v>Condition</x:v>
      </x:c>
      <x:c r="F2825" s="35"/>
      <x:c r="G2825" s="35" t="str">
        <x:v>A</x:v>
      </x:c>
      <x:c r="H2825" s="39" t="str">
        <x:f>IF(ISNUMBER('Data'!N1117),'Data'!N1117*100,"")</x:f>
      </x:c>
      <x:c r="I2825" s="35"/>
      <x:c r="J2825" s="35" t="str">
        <x:v>PASS</x:v>
      </x:c>
      <x:c r="K2825" s="35" t="str">
        <x:v>FAIL</x:v>
      </x:c>
      <x:c r="L2825" s="35" t="str">
        <x:v>NOT_RUN</x:v>
      </x:c>
      <x:c r="M2825" s="35" t="str">
        <x:v>coverage unavailable or execution/compile failed</x:v>
      </x:c>
      <x:c r="N2825" s="35" t="str">
        <x:v>Deepseek-flash-v4/Result2/Collections_13/result.json</x:v>
      </x:c>
      <x:c r="O2825" s="39" t="str">
        <x:f>IF(AND(G2825="RECORDED",ISNUMBER(H2825)),H2825,"")</x:f>
      </x:c>
      <x:c r="P2825" s="35" t="str">
        <x:v>NOT_AVAILABLE</x:v>
      </x:c>
      <x:c r="Q2825" s="35" t="str">
        <x:v>Deepseek-flash-v4/Result2/Collections_13/result.json</x:v>
      </x:c>
    </x:row>
    <x:row r="2826">
      <x:c r="A2826" s="35" t="str">
        <x:v>deepseek</x:v>
      </x:c>
      <x:c r="B2826" s="35" t="str">
        <x:v>Collections</x:v>
      </x:c>
      <x:c r="C2826" s="35" t="str">
        <x:v>Round2</x:v>
      </x:c>
      <x:c r="D2826" s="35" t="str">
        <x:v>Collections_14</x:v>
      </x:c>
      <x:c r="E2826" s="35" t="str">
        <x:v>Condition</x:v>
      </x:c>
      <x:c r="F2826" s="35" t="n">
        <x:v>2</x:v>
      </x:c>
      <x:c r="G2826" s="35" t="str">
        <x:v>RECORDED</x:v>
      </x:c>
      <x:c r="H2826" s="39" t="n">
        <x:f>IF(ISNUMBER('Data'!N1118),'Data'!N1118*100,"")</x:f>
        <x:v>100</x:v>
      </x:c>
      <x:c r="I2826" s="35" t="str">
        <x:v>PASS</x:v>
      </x:c>
      <x:c r="J2826" s="35" t="str">
        <x:v>PASS</x:v>
      </x:c>
      <x:c r="K2826" s="35" t="str">
        <x:v>PASS</x:v>
      </x:c>
      <x:c r="L2826" s="35" t="str">
        <x:v>PASS</x:v>
      </x:c>
      <x:c r="M2826" s="35" t="str">
        <x:v>numeric coverage for applicable metric</x:v>
      </x:c>
      <x:c r="N2826" s="35" t="str">
        <x:v>Deepseek-flash-v4/Result2/Collections_14/result.json</x:v>
      </x:c>
      <x:c r="O2826" s="39" t="n">
        <x:f>IF(AND(G2826="RECORDED",ISNUMBER(H2826)),H2826,"")</x:f>
        <x:v>100</x:v>
      </x:c>
      <x:c r="P2826" s="35" t="str">
        <x:v>NOT_REVEALING</x:v>
      </x:c>
      <x:c r="Q2826" s="35" t="str">
        <x:v>Deepseek-flash-v4/Result2/Collections_14/result.json</x:v>
      </x:c>
    </x:row>
    <x:row r="2827">
      <x:c r="A2827" s="35" t="str">
        <x:v>deepseek</x:v>
      </x:c>
      <x:c r="B2827" s="35" t="str">
        <x:v>Collections</x:v>
      </x:c>
      <x:c r="C2827" s="35" t="str">
        <x:v>Round2</x:v>
      </x:c>
      <x:c r="D2827" s="35" t="str">
        <x:v>Collections_15</x:v>
      </x:c>
      <x:c r="E2827" s="35" t="str">
        <x:v>Condition</x:v>
      </x:c>
      <x:c r="F2827" s="35" t="n">
        <x:v>22</x:v>
      </x:c>
      <x:c r="G2827" s="35" t="str">
        <x:v>RECORDED</x:v>
      </x:c>
      <x:c r="H2827" s="39" t="n">
        <x:f>IF(ISNUMBER('Data'!N1119),'Data'!N1119*100,"")</x:f>
        <x:v>100</x:v>
      </x:c>
      <x:c r="I2827" s="35" t="str">
        <x:v>PASS</x:v>
      </x:c>
      <x:c r="J2827" s="35" t="str">
        <x:v>PASS</x:v>
      </x:c>
      <x:c r="K2827" s="35" t="str">
        <x:v>PASS</x:v>
      </x:c>
      <x:c r="L2827" s="35" t="str">
        <x:v>PASS</x:v>
      </x:c>
      <x:c r="M2827" s="35" t="str">
        <x:v>numeric coverage for applicable metric</x:v>
      </x:c>
      <x:c r="N2827" s="35" t="str">
        <x:v>Deepseek-flash-v4/Result2/Collections_15/result.json</x:v>
      </x:c>
      <x:c r="O2827" s="39" t="n">
        <x:f>IF(AND(G2827="RECORDED",ISNUMBER(H2827)),H2827,"")</x:f>
        <x:v>100</x:v>
      </x:c>
      <x:c r="P2827" s="35" t="str">
        <x:v>NOT_REVEALING</x:v>
      </x:c>
      <x:c r="Q2827" s="35" t="str">
        <x:v>Deepseek-flash-v4/Result2/Collections_15/result.json</x:v>
      </x:c>
    </x:row>
    <x:row r="2828">
      <x:c r="A2828" s="35" t="str">
        <x:v>deepseek</x:v>
      </x:c>
      <x:c r="B2828" s="35" t="str">
        <x:v>Collections</x:v>
      </x:c>
      <x:c r="C2828" s="35" t="str">
        <x:v>Round2</x:v>
      </x:c>
      <x:c r="D2828" s="35" t="str">
        <x:v>Collections_16</x:v>
      </x:c>
      <x:c r="E2828" s="35" t="str">
        <x:v>Condition</x:v>
      </x:c>
      <x:c r="F2828" s="35"/>
      <x:c r="G2828" s="35" t="str">
        <x:v>A</x:v>
      </x:c>
      <x:c r="H2828" s="39" t="str">
        <x:f>IF(ISNUMBER('Data'!N1120),'Data'!N1120*100,"")</x:f>
      </x:c>
      <x:c r="I2828" s="35"/>
      <x:c r="J2828" s="35" t="str">
        <x:v>PASS</x:v>
      </x:c>
      <x:c r="K2828" s="35" t="str">
        <x:v>FAIL</x:v>
      </x:c>
      <x:c r="L2828" s="35" t="str">
        <x:v>NOT_RUN</x:v>
      </x:c>
      <x:c r="M2828" s="35" t="str">
        <x:v>coverage unavailable or execution/compile failed</x:v>
      </x:c>
      <x:c r="N2828" s="35" t="str">
        <x:v>Deepseek-flash-v4/Result2/Collections_16/result.json</x:v>
      </x:c>
      <x:c r="O2828" s="39" t="str">
        <x:f>IF(AND(G2828="RECORDED",ISNUMBER(H2828)),H2828,"")</x:f>
      </x:c>
      <x:c r="P2828" s="35" t="str">
        <x:v>NOT_AVAILABLE</x:v>
      </x:c>
      <x:c r="Q2828" s="35" t="str">
        <x:v>Deepseek-flash-v4/Result2/Collections_16/result.json</x:v>
      </x:c>
    </x:row>
    <x:row r="2829">
      <x:c r="A2829" s="35" t="str">
        <x:v>deepseek</x:v>
      </x:c>
      <x:c r="B2829" s="35" t="str">
        <x:v>Collections</x:v>
      </x:c>
      <x:c r="C2829" s="35" t="str">
        <x:v>Round2</x:v>
      </x:c>
      <x:c r="D2829" s="35" t="str">
        <x:v>Collections_17</x:v>
      </x:c>
      <x:c r="E2829" s="35" t="str">
        <x:v>Condition</x:v>
      </x:c>
      <x:c r="F2829" s="35"/>
      <x:c r="G2829" s="35" t="str">
        <x:v>A</x:v>
      </x:c>
      <x:c r="H2829" s="39" t="str">
        <x:f>IF(ISNUMBER('Data'!N1121),'Data'!N1121*100,"")</x:f>
      </x:c>
      <x:c r="I2829" s="35"/>
      <x:c r="J2829" s="35" t="str">
        <x:v>PASS</x:v>
      </x:c>
      <x:c r="K2829" s="35" t="str">
        <x:v>FAIL</x:v>
      </x:c>
      <x:c r="L2829" s="35" t="str">
        <x:v>NOT_RUN</x:v>
      </x:c>
      <x:c r="M2829" s="35" t="str">
        <x:v>coverage unavailable or execution/compile failed</x:v>
      </x:c>
      <x:c r="N2829" s="35" t="str">
        <x:v>Deepseek-flash-v4/Result2/Collections_17/result.json</x:v>
      </x:c>
      <x:c r="O2829" s="39" t="str">
        <x:f>IF(AND(G2829="RECORDED",ISNUMBER(H2829)),H2829,"")</x:f>
      </x:c>
      <x:c r="P2829" s="35" t="str">
        <x:v>NOT_AVAILABLE</x:v>
      </x:c>
      <x:c r="Q2829" s="35" t="str">
        <x:v>Deepseek-flash-v4/Result2/Collections_17/result.json</x:v>
      </x:c>
    </x:row>
    <x:row r="2830">
      <x:c r="A2830" s="35" t="str">
        <x:v>deepseek</x:v>
      </x:c>
      <x:c r="B2830" s="35" t="str">
        <x:v>Collections</x:v>
      </x:c>
      <x:c r="C2830" s="35" t="str">
        <x:v>Round2</x:v>
      </x:c>
      <x:c r="D2830" s="35" t="str">
        <x:v>Collections_18</x:v>
      </x:c>
      <x:c r="E2830" s="35" t="str">
        <x:v>Condition</x:v>
      </x:c>
      <x:c r="F2830" s="35" t="n">
        <x:v>36</x:v>
      </x:c>
      <x:c r="G2830" s="35" t="str">
        <x:v>RECORDED</x:v>
      </x:c>
      <x:c r="H2830" s="39" t="n">
        <x:f>IF(ISNUMBER('Data'!N1122),'Data'!N1122*100,"")</x:f>
        <x:v>94.44</x:v>
      </x:c>
      <x:c r="I2830" s="35" t="str">
        <x:v>PASS</x:v>
      </x:c>
      <x:c r="J2830" s="35" t="str">
        <x:v>PASS</x:v>
      </x:c>
      <x:c r="K2830" s="35" t="str">
        <x:v>PASS</x:v>
      </x:c>
      <x:c r="L2830" s="35" t="str">
        <x:v>FAIL</x:v>
      </x:c>
      <x:c r="M2830" s="35" t="str">
        <x:v>numeric coverage for applicable metric</x:v>
      </x:c>
      <x:c r="N2830" s="35" t="str">
        <x:v>Deepseek-flash-v4/Result2/Collections_18/result.json</x:v>
      </x:c>
      <x:c r="O2830" s="39" t="n">
        <x:f>IF(AND(G2830="RECORDED",ISNUMBER(H2830)),H2830,"")</x:f>
        <x:v>94.44</x:v>
      </x:c>
      <x:c r="P2830" s="35" t="str">
        <x:v>INCONCLUSIVE</x:v>
      </x:c>
      <x:c r="Q2830" s="35" t="str">
        <x:v>Deepseek-flash-v4/Result2/Collections_18/result.json</x:v>
      </x:c>
    </x:row>
    <x:row r="2831">
      <x:c r="A2831" s="35" t="str">
        <x:v>deepseek</x:v>
      </x:c>
      <x:c r="B2831" s="35" t="str">
        <x:v>Collections</x:v>
      </x:c>
      <x:c r="C2831" s="35" t="str">
        <x:v>Round2</x:v>
      </x:c>
      <x:c r="D2831" s="35" t="str">
        <x:v>Collections_19</x:v>
      </x:c>
      <x:c r="E2831" s="35" t="str">
        <x:v>Condition</x:v>
      </x:c>
      <x:c r="F2831" s="35" t="n">
        <x:v>38</x:v>
      </x:c>
      <x:c r="G2831" s="35" t="str">
        <x:v>RECORDED</x:v>
      </x:c>
      <x:c r="H2831" s="39" t="n">
        <x:f>IF(ISNUMBER('Data'!N1123),'Data'!N1123*100,"")</x:f>
        <x:v>92.11</x:v>
      </x:c>
      <x:c r="I2831" s="35" t="str">
        <x:v>PASS</x:v>
      </x:c>
      <x:c r="J2831" s="35" t="str">
        <x:v>PASS</x:v>
      </x:c>
      <x:c r="K2831" s="35" t="str">
        <x:v>PASS</x:v>
      </x:c>
      <x:c r="L2831" s="35" t="str">
        <x:v>PASS</x:v>
      </x:c>
      <x:c r="M2831" s="35" t="str">
        <x:v>numeric coverage for applicable metric</x:v>
      </x:c>
      <x:c r="N2831" s="35" t="str">
        <x:v>Deepseek-flash-v4/Result2/Collections_19/result.json</x:v>
      </x:c>
      <x:c r="O2831" s="39" t="n">
        <x:f>IF(AND(G2831="RECORDED",ISNUMBER(H2831)),H2831,"")</x:f>
        <x:v>92.11</x:v>
      </x:c>
      <x:c r="P2831" s="35" t="str">
        <x:v>NOT_REVEALING</x:v>
      </x:c>
      <x:c r="Q2831" s="35" t="str">
        <x:v>Deepseek-flash-v4/Result2/Collections_19/result.json</x:v>
      </x:c>
    </x:row>
    <x:row r="2832">
      <x:c r="A2832" s="35" t="str">
        <x:v>deepseek</x:v>
      </x:c>
      <x:c r="B2832" s="35" t="str">
        <x:v>Collections</x:v>
      </x:c>
      <x:c r="C2832" s="35" t="str">
        <x:v>Round2</x:v>
      </x:c>
      <x:c r="D2832" s="35" t="str">
        <x:v>Collections_2</x:v>
      </x:c>
      <x:c r="E2832" s="35" t="str">
        <x:v>Condition</x:v>
      </x:c>
      <x:c r="F2832" s="35"/>
      <x:c r="G2832" s="35" t="str">
        <x:v>A</x:v>
      </x:c>
      <x:c r="H2832" s="39" t="str">
        <x:f>IF(ISNUMBER('Data'!N1124),'Data'!N1124*100,"")</x:f>
      </x:c>
      <x:c r="I2832" s="35"/>
      <x:c r="J2832" s="35" t="str">
        <x:v>PASS</x:v>
      </x:c>
      <x:c r="K2832" s="35" t="str">
        <x:v>FAIL</x:v>
      </x:c>
      <x:c r="L2832" s="35" t="str">
        <x:v>NOT_RUN</x:v>
      </x:c>
      <x:c r="M2832" s="35" t="str">
        <x:v>coverage unavailable or execution/compile failed</x:v>
      </x:c>
      <x:c r="N2832" s="35" t="str">
        <x:v>Deepseek-flash-v4/Result2/Collections_2/result.json</x:v>
      </x:c>
      <x:c r="O2832" s="39" t="str">
        <x:f>IF(AND(G2832="RECORDED",ISNUMBER(H2832)),H2832,"")</x:f>
      </x:c>
      <x:c r="P2832" s="35" t="str">
        <x:v>NOT_AVAILABLE</x:v>
      </x:c>
      <x:c r="Q2832" s="35" t="str">
        <x:v>Deepseek-flash-v4/Result2/Collections_2/result.json</x:v>
      </x:c>
    </x:row>
    <x:row r="2833">
      <x:c r="A2833" s="35" t="str">
        <x:v>deepseek</x:v>
      </x:c>
      <x:c r="B2833" s="35" t="str">
        <x:v>Collections</x:v>
      </x:c>
      <x:c r="C2833" s="35" t="str">
        <x:v>Round2</x:v>
      </x:c>
      <x:c r="D2833" s="35" t="str">
        <x:v>Collections_20</x:v>
      </x:c>
      <x:c r="E2833" s="35" t="str">
        <x:v>Condition</x:v>
      </x:c>
      <x:c r="F2833" s="35" t="n">
        <x:v>154</x:v>
      </x:c>
      <x:c r="G2833" s="35" t="str">
        <x:v>RECORDED</x:v>
      </x:c>
      <x:c r="H2833" s="39" t="n">
        <x:f>IF(ISNUMBER('Data'!N1125),'Data'!N1125*100,"")</x:f>
        <x:v>68.83</x:v>
      </x:c>
      <x:c r="I2833" s="35" t="str">
        <x:v>PASS</x:v>
      </x:c>
      <x:c r="J2833" s="35" t="str">
        <x:v>PASS</x:v>
      </x:c>
      <x:c r="K2833" s="35" t="str">
        <x:v>PASS</x:v>
      </x:c>
      <x:c r="L2833" s="35" t="str">
        <x:v>FAIL</x:v>
      </x:c>
      <x:c r="M2833" s="35" t="str">
        <x:v>numeric coverage for applicable metric</x:v>
      </x:c>
      <x:c r="N2833" s="35" t="str">
        <x:v>Deepseek-flash-v4/Result2/Collections_20/result.json</x:v>
      </x:c>
      <x:c r="O2833" s="39" t="n">
        <x:f>IF(AND(G2833="RECORDED",ISNUMBER(H2833)),H2833,"")</x:f>
        <x:v>68.83</x:v>
      </x:c>
      <x:c r="P2833" s="35" t="str">
        <x:v>INCONCLUSIVE</x:v>
      </x:c>
      <x:c r="Q2833" s="35" t="str">
        <x:v>Deepseek-flash-v4/Result2/Collections_20/result.json</x:v>
      </x:c>
    </x:row>
    <x:row r="2834">
      <x:c r="A2834" s="35" t="str">
        <x:v>deepseek</x:v>
      </x:c>
      <x:c r="B2834" s="35" t="str">
        <x:v>Collections</x:v>
      </x:c>
      <x:c r="C2834" s="35" t="str">
        <x:v>Round2</x:v>
      </x:c>
      <x:c r="D2834" s="35" t="str">
        <x:v>Collections_21</x:v>
      </x:c>
      <x:c r="E2834" s="35" t="str">
        <x:v>Condition</x:v>
      </x:c>
      <x:c r="F2834" s="35" t="n">
        <x:v>38</x:v>
      </x:c>
      <x:c r="G2834" s="35" t="str">
        <x:v>RECORDED</x:v>
      </x:c>
      <x:c r="H2834" s="39" t="n">
        <x:f>IF(ISNUMBER('Data'!N1126),'Data'!N1126*100,"")</x:f>
        <x:v>94.74</x:v>
      </x:c>
      <x:c r="I2834" s="35" t="str">
        <x:v>PASS</x:v>
      </x:c>
      <x:c r="J2834" s="35" t="str">
        <x:v>PASS</x:v>
      </x:c>
      <x:c r="K2834" s="35" t="str">
        <x:v>PASS</x:v>
      </x:c>
      <x:c r="L2834" s="35" t="str">
        <x:v>PASS</x:v>
      </x:c>
      <x:c r="M2834" s="35" t="str">
        <x:v>numeric coverage for applicable metric</x:v>
      </x:c>
      <x:c r="N2834" s="35" t="str">
        <x:v>Deepseek-flash-v4/Result2/Collections_21/result.json</x:v>
      </x:c>
      <x:c r="O2834" s="39" t="n">
        <x:f>IF(AND(G2834="RECORDED",ISNUMBER(H2834)),H2834,"")</x:f>
        <x:v>94.74</x:v>
      </x:c>
      <x:c r="P2834" s="35" t="str">
        <x:v>NOT_REVEALING</x:v>
      </x:c>
      <x:c r="Q2834" s="35" t="str">
        <x:v>Deepseek-flash-v4/Result2/Collections_21/result.json</x:v>
      </x:c>
    </x:row>
    <x:row r="2835">
      <x:c r="A2835" s="35" t="str">
        <x:v>deepseek</x:v>
      </x:c>
      <x:c r="B2835" s="35" t="str">
        <x:v>Collections</x:v>
      </x:c>
      <x:c r="C2835" s="35" t="str">
        <x:v>Round2</x:v>
      </x:c>
      <x:c r="D2835" s="35" t="str">
        <x:v>Collections_22</x:v>
      </x:c>
      <x:c r="E2835" s="35" t="str">
        <x:v>Condition</x:v>
      </x:c>
      <x:c r="F2835" s="35" t="n">
        <x:v>52</x:v>
      </x:c>
      <x:c r="G2835" s="35" t="str">
        <x:v>RECORDED</x:v>
      </x:c>
      <x:c r="H2835" s="39" t="n">
        <x:f>IF(ISNUMBER('Data'!N1127),'Data'!N1127*100,"")</x:f>
        <x:v>51.92</x:v>
      </x:c>
      <x:c r="I2835" s="35" t="str">
        <x:v>PASS</x:v>
      </x:c>
      <x:c r="J2835" s="35" t="str">
        <x:v>PASS</x:v>
      </x:c>
      <x:c r="K2835" s="35" t="str">
        <x:v>PASS</x:v>
      </x:c>
      <x:c r="L2835" s="35" t="str">
        <x:v>PASS</x:v>
      </x:c>
      <x:c r="M2835" s="35" t="str">
        <x:v>numeric coverage for applicable metric</x:v>
      </x:c>
      <x:c r="N2835" s="35" t="str">
        <x:v>Deepseek-flash-v4/Result2/Collections_22/result.json</x:v>
      </x:c>
      <x:c r="O2835" s="39" t="n">
        <x:f>IF(AND(G2835="RECORDED",ISNUMBER(H2835)),H2835,"")</x:f>
        <x:v>51.92</x:v>
      </x:c>
      <x:c r="P2835" s="35" t="str">
        <x:v>NOT_REVEALING</x:v>
      </x:c>
      <x:c r="Q2835" s="35" t="str">
        <x:v>Deepseek-flash-v4/Result2/Collections_22/result.json</x:v>
      </x:c>
    </x:row>
    <x:row r="2836">
      <x:c r="A2836" s="35" t="str">
        <x:v>deepseek</x:v>
      </x:c>
      <x:c r="B2836" s="35" t="str">
        <x:v>Collections</x:v>
      </x:c>
      <x:c r="C2836" s="35" t="str">
        <x:v>Round2</x:v>
      </x:c>
      <x:c r="D2836" s="35" t="str">
        <x:v>Collections_23</x:v>
      </x:c>
      <x:c r="E2836" s="35" t="str">
        <x:v>Condition</x:v>
      </x:c>
      <x:c r="F2836" s="35"/>
      <x:c r="G2836" s="35" t="str">
        <x:v>A</x:v>
      </x:c>
      <x:c r="H2836" s="39" t="str">
        <x:f>IF(ISNUMBER('Data'!N1128),'Data'!N1128*100,"")</x:f>
      </x:c>
      <x:c r="I2836" s="35"/>
      <x:c r="J2836" s="35" t="str">
        <x:v>PASS</x:v>
      </x:c>
      <x:c r="K2836" s="35" t="str">
        <x:v>FAIL</x:v>
      </x:c>
      <x:c r="L2836" s="35" t="str">
        <x:v>NOT_RUN</x:v>
      </x:c>
      <x:c r="M2836" s="35" t="str">
        <x:v>coverage unavailable or execution/compile failed</x:v>
      </x:c>
      <x:c r="N2836" s="35" t="str">
        <x:v>Deepseek-flash-v4/Result2/Collections_23/result.json</x:v>
      </x:c>
      <x:c r="O2836" s="39" t="str">
        <x:f>IF(AND(G2836="RECORDED",ISNUMBER(H2836)),H2836,"")</x:f>
      </x:c>
      <x:c r="P2836" s="35" t="str">
        <x:v>NOT_AVAILABLE</x:v>
      </x:c>
      <x:c r="Q2836" s="35" t="str">
        <x:v>Deepseek-flash-v4/Result2/Collections_23/result.json</x:v>
      </x:c>
    </x:row>
    <x:row r="2837">
      <x:c r="A2837" s="35" t="str">
        <x:v>deepseek</x:v>
      </x:c>
      <x:c r="B2837" s="35" t="str">
        <x:v>Collections</x:v>
      </x:c>
      <x:c r="C2837" s="35" t="str">
        <x:v>Round2</x:v>
      </x:c>
      <x:c r="D2837" s="35" t="str">
        <x:v>Collections_24</x:v>
      </x:c>
      <x:c r="E2837" s="35" t="str">
        <x:v>Condition</x:v>
      </x:c>
      <x:c r="F2837" s="35" t="n">
        <x:v>12</x:v>
      </x:c>
      <x:c r="G2837" s="35" t="str">
        <x:v>RECORDED</x:v>
      </x:c>
      <x:c r="H2837" s="39" t="n">
        <x:f>IF(ISNUMBER('Data'!N1129),'Data'!N1129*100,"")</x:f>
        <x:v>100</x:v>
      </x:c>
      <x:c r="I2837" s="35" t="str">
        <x:v>PASS</x:v>
      </x:c>
      <x:c r="J2837" s="35" t="str">
        <x:v>PASS</x:v>
      </x:c>
      <x:c r="K2837" s="35" t="str">
        <x:v>PASS</x:v>
      </x:c>
      <x:c r="L2837" s="35" t="str">
        <x:v>PASS</x:v>
      </x:c>
      <x:c r="M2837" s="35" t="str">
        <x:v>numeric coverage for applicable metric</x:v>
      </x:c>
      <x:c r="N2837" s="35" t="str">
        <x:v>Deepseek-flash-v4/Result2/Collections_24/result.json</x:v>
      </x:c>
      <x:c r="O2837" s="39" t="n">
        <x:f>IF(AND(G2837="RECORDED",ISNUMBER(H2837)),H2837,"")</x:f>
        <x:v>100</x:v>
      </x:c>
      <x:c r="P2837" s="35" t="str">
        <x:v>NOT_REVEALING</x:v>
      </x:c>
      <x:c r="Q2837" s="35" t="str">
        <x:v>Deepseek-flash-v4/Result2/Collections_24/result.json</x:v>
      </x:c>
    </x:row>
    <x:row r="2838">
      <x:c r="A2838" s="35" t="str">
        <x:v>deepseek</x:v>
      </x:c>
      <x:c r="B2838" s="35" t="str">
        <x:v>Collections</x:v>
      </x:c>
      <x:c r="C2838" s="35" t="str">
        <x:v>Round2</x:v>
      </x:c>
      <x:c r="D2838" s="35" t="str">
        <x:v>Collections_25</x:v>
      </x:c>
      <x:c r="E2838" s="35" t="str">
        <x:v>Condition</x:v>
      </x:c>
      <x:c r="F2838" s="35"/>
      <x:c r="G2838" s="35" t="str">
        <x:v>A</x:v>
      </x:c>
      <x:c r="H2838" s="39" t="str">
        <x:f>IF(ISNUMBER('Data'!N1130),'Data'!N1130*100,"")</x:f>
      </x:c>
      <x:c r="I2838" s="35"/>
      <x:c r="J2838" s="35" t="str">
        <x:v>PASS</x:v>
      </x:c>
      <x:c r="K2838" s="35" t="str">
        <x:v>FAIL</x:v>
      </x:c>
      <x:c r="L2838" s="35" t="str">
        <x:v>NOT_RUN</x:v>
      </x:c>
      <x:c r="M2838" s="35" t="str">
        <x:v>coverage unavailable or execution/compile failed</x:v>
      </x:c>
      <x:c r="N2838" s="35" t="str">
        <x:v>Deepseek-flash-v4/Result2/Collections_25/result.json</x:v>
      </x:c>
      <x:c r="O2838" s="39" t="str">
        <x:f>IF(AND(G2838="RECORDED",ISNUMBER(H2838)),H2838,"")</x:f>
      </x:c>
      <x:c r="P2838" s="35" t="str">
        <x:v>NOT_AVAILABLE</x:v>
      </x:c>
      <x:c r="Q2838" s="35" t="str">
        <x:v>Deepseek-flash-v4/Result2/Collections_25/result.json</x:v>
      </x:c>
    </x:row>
    <x:row r="2839">
      <x:c r="A2839" s="35" t="str">
        <x:v>deepseek</x:v>
      </x:c>
      <x:c r="B2839" s="35" t="str">
        <x:v>Collections</x:v>
      </x:c>
      <x:c r="C2839" s="35" t="str">
        <x:v>Round2</x:v>
      </x:c>
      <x:c r="D2839" s="35" t="str">
        <x:v>Collections_26</x:v>
      </x:c>
      <x:c r="E2839" s="35" t="str">
        <x:v>Condition</x:v>
      </x:c>
      <x:c r="F2839" s="35" t="n">
        <x:v>12</x:v>
      </x:c>
      <x:c r="G2839" s="35" t="str">
        <x:v>RECORDED</x:v>
      </x:c>
      <x:c r="H2839" s="39" t="n">
        <x:f>IF(ISNUMBER('Data'!N1131),'Data'!N1131*100,"")</x:f>
        <x:v>100</x:v>
      </x:c>
      <x:c r="I2839" s="35" t="str">
        <x:v>PASS</x:v>
      </x:c>
      <x:c r="J2839" s="35" t="str">
        <x:v>PASS</x:v>
      </x:c>
      <x:c r="K2839" s="35" t="str">
        <x:v>PASS</x:v>
      </x:c>
      <x:c r="L2839" s="35" t="str">
        <x:v>PASS</x:v>
      </x:c>
      <x:c r="M2839" s="35" t="str">
        <x:v>numeric coverage for applicable metric</x:v>
      </x:c>
      <x:c r="N2839" s="35" t="str">
        <x:v>Deepseek-flash-v4/Result2/Collections_26/result.json</x:v>
      </x:c>
      <x:c r="O2839" s="39" t="n">
        <x:f>IF(AND(G2839="RECORDED",ISNUMBER(H2839)),H2839,"")</x:f>
        <x:v>100</x:v>
      </x:c>
      <x:c r="P2839" s="35" t="str">
        <x:v>NOT_REVEALING</x:v>
      </x:c>
      <x:c r="Q2839" s="35" t="str">
        <x:v>Deepseek-flash-v4/Result2/Collections_26/result.json</x:v>
      </x:c>
    </x:row>
    <x:row r="2840">
      <x:c r="A2840" s="35" t="str">
        <x:v>deepseek</x:v>
      </x:c>
      <x:c r="B2840" s="35" t="str">
        <x:v>Collections</x:v>
      </x:c>
      <x:c r="C2840" s="35" t="str">
        <x:v>Round2</x:v>
      </x:c>
      <x:c r="D2840" s="35" t="str">
        <x:v>Collections_27</x:v>
      </x:c>
      <x:c r="E2840" s="35" t="str">
        <x:v>Condition</x:v>
      </x:c>
      <x:c r="F2840" s="35" t="n">
        <x:v>50</x:v>
      </x:c>
      <x:c r="G2840" s="35" t="str">
        <x:v>RECORDED</x:v>
      </x:c>
      <x:c r="H2840" s="39" t="n">
        <x:f>IF(ISNUMBER('Data'!N1132),'Data'!N1132*100,"")</x:f>
        <x:v>82</x:v>
      </x:c>
      <x:c r="I2840" s="35" t="str">
        <x:v>PASS</x:v>
      </x:c>
      <x:c r="J2840" s="35" t="str">
        <x:v>PASS</x:v>
      </x:c>
      <x:c r="K2840" s="35" t="str">
        <x:v>PASS</x:v>
      </x:c>
      <x:c r="L2840" s="35" t="str">
        <x:v>FAIL</x:v>
      </x:c>
      <x:c r="M2840" s="35" t="str">
        <x:v>numeric coverage for applicable metric</x:v>
      </x:c>
      <x:c r="N2840" s="35" t="str">
        <x:v>Deepseek-flash-v4/Result2/Collections_27/result.json</x:v>
      </x:c>
      <x:c r="O2840" s="39" t="n">
        <x:f>IF(AND(G2840="RECORDED",ISNUMBER(H2840)),H2840,"")</x:f>
        <x:v>82</x:v>
      </x:c>
      <x:c r="P2840" s="35" t="str">
        <x:v>INCONCLUSIVE</x:v>
      </x:c>
      <x:c r="Q2840" s="35" t="str">
        <x:v>Deepseek-flash-v4/Result2/Collections_27/result.json</x:v>
      </x:c>
    </x:row>
    <x:row r="2841">
      <x:c r="A2841" s="35" t="str">
        <x:v>deepseek</x:v>
      </x:c>
      <x:c r="B2841" s="35" t="str">
        <x:v>Collections</x:v>
      </x:c>
      <x:c r="C2841" s="35" t="str">
        <x:v>Round2</x:v>
      </x:c>
      <x:c r="D2841" s="35" t="str">
        <x:v>Collections_28</x:v>
      </x:c>
      <x:c r="E2841" s="35" t="str">
        <x:v>Condition</x:v>
      </x:c>
      <x:c r="F2841" s="35"/>
      <x:c r="G2841" s="35" t="str">
        <x:v>A</x:v>
      </x:c>
      <x:c r="H2841" s="39" t="str">
        <x:f>IF(ISNUMBER('Data'!N1133),'Data'!N1133*100,"")</x:f>
      </x:c>
      <x:c r="I2841" s="35"/>
      <x:c r="J2841" s="35" t="str">
        <x:v>PASS</x:v>
      </x:c>
      <x:c r="K2841" s="35" t="str">
        <x:v>FAIL</x:v>
      </x:c>
      <x:c r="L2841" s="35" t="str">
        <x:v>NOT_RUN</x:v>
      </x:c>
      <x:c r="M2841" s="35" t="str">
        <x:v>coverage unavailable or execution/compile failed</x:v>
      </x:c>
      <x:c r="N2841" s="35" t="str">
        <x:v>Deepseek-flash-v4/Result2/Collections_28/result.json</x:v>
      </x:c>
      <x:c r="O2841" s="39" t="str">
        <x:f>IF(AND(G2841="RECORDED",ISNUMBER(H2841)),H2841,"")</x:f>
      </x:c>
      <x:c r="P2841" s="35" t="str">
        <x:v>NOT_AVAILABLE</x:v>
      </x:c>
      <x:c r="Q2841" s="35" t="str">
        <x:v>Deepseek-flash-v4/Result2/Collections_28/result.json</x:v>
      </x:c>
    </x:row>
    <x:row r="2842">
      <x:c r="A2842" s="35" t="str">
        <x:v>deepseek</x:v>
      </x:c>
      <x:c r="B2842" s="35" t="str">
        <x:v>Collections</x:v>
      </x:c>
      <x:c r="C2842" s="35" t="str">
        <x:v>Round2</x:v>
      </x:c>
      <x:c r="D2842" s="35" t="str">
        <x:v>Collections_3</x:v>
      </x:c>
      <x:c r="E2842" s="35" t="str">
        <x:v>Condition</x:v>
      </x:c>
      <x:c r="F2842" s="35"/>
      <x:c r="G2842" s="35" t="str">
        <x:v>A</x:v>
      </x:c>
      <x:c r="H2842" s="39" t="str">
        <x:f>IF(ISNUMBER('Data'!N1134),'Data'!N1134*100,"")</x:f>
      </x:c>
      <x:c r="I2842" s="35"/>
      <x:c r="J2842" s="35" t="str">
        <x:v>PASS</x:v>
      </x:c>
      <x:c r="K2842" s="35" t="str">
        <x:v>FAIL</x:v>
      </x:c>
      <x:c r="L2842" s="35" t="str">
        <x:v>NOT_RUN</x:v>
      </x:c>
      <x:c r="M2842" s="35" t="str">
        <x:v>coverage unavailable or execution/compile failed</x:v>
      </x:c>
      <x:c r="N2842" s="35" t="str">
        <x:v>Deepseek-flash-v4/Result2/Collections_3/result.json</x:v>
      </x:c>
      <x:c r="O2842" s="39" t="str">
        <x:f>IF(AND(G2842="RECORDED",ISNUMBER(H2842)),H2842,"")</x:f>
      </x:c>
      <x:c r="P2842" s="35" t="str">
        <x:v>NOT_AVAILABLE</x:v>
      </x:c>
      <x:c r="Q2842" s="35" t="str">
        <x:v>Deepseek-flash-v4/Result2/Collections_3/result.json</x:v>
      </x:c>
    </x:row>
    <x:row r="2843">
      <x:c r="A2843" s="35" t="str">
        <x:v>deepseek</x:v>
      </x:c>
      <x:c r="B2843" s="35" t="str">
        <x:v>Collections</x:v>
      </x:c>
      <x:c r="C2843" s="35" t="str">
        <x:v>Round2</x:v>
      </x:c>
      <x:c r="D2843" s="35" t="str">
        <x:v>Collections_4</x:v>
      </x:c>
      <x:c r="E2843" s="35" t="str">
        <x:v>Condition</x:v>
      </x:c>
      <x:c r="F2843" s="35" t="n">
        <x:v>48</x:v>
      </x:c>
      <x:c r="G2843" s="35" t="str">
        <x:v>RECORDED</x:v>
      </x:c>
      <x:c r="H2843" s="39" t="n">
        <x:f>IF(ISNUMBER('Data'!N1135),'Data'!N1135*100,"")</x:f>
        <x:v>85.42</x:v>
      </x:c>
      <x:c r="I2843" s="35" t="str">
        <x:v>PASS</x:v>
      </x:c>
      <x:c r="J2843" s="35" t="str">
        <x:v>PASS</x:v>
      </x:c>
      <x:c r="K2843" s="35" t="str">
        <x:v>PASS</x:v>
      </x:c>
      <x:c r="L2843" s="35" t="str">
        <x:v>FAIL</x:v>
      </x:c>
      <x:c r="M2843" s="35" t="str">
        <x:v>numeric coverage for applicable metric</x:v>
      </x:c>
      <x:c r="N2843" s="35" t="str">
        <x:v>Deepseek-flash-v4/Result2/Collections_4/result.json</x:v>
      </x:c>
      <x:c r="O2843" s="39" t="n">
        <x:f>IF(AND(G2843="RECORDED",ISNUMBER(H2843)),H2843,"")</x:f>
        <x:v>85.42</x:v>
      </x:c>
      <x:c r="P2843" s="35" t="str">
        <x:v>INCONCLUSIVE</x:v>
      </x:c>
      <x:c r="Q2843" s="35" t="str">
        <x:v>Deepseek-flash-v4/Result2/Collections_4/result.json</x:v>
      </x:c>
    </x:row>
    <x:row r="2844">
      <x:c r="A2844" s="35" t="str">
        <x:v>deepseek</x:v>
      </x:c>
      <x:c r="B2844" s="35" t="str">
        <x:v>Collections</x:v>
      </x:c>
      <x:c r="C2844" s="35" t="str">
        <x:v>Round2</x:v>
      </x:c>
      <x:c r="D2844" s="35" t="str">
        <x:v>Collections_5</x:v>
      </x:c>
      <x:c r="E2844" s="35" t="str">
        <x:v>Condition</x:v>
      </x:c>
      <x:c r="F2844" s="35" t="n">
        <x:v>20</x:v>
      </x:c>
      <x:c r="G2844" s="35" t="str">
        <x:v>RECORDED</x:v>
      </x:c>
      <x:c r="H2844" s="39" t="n">
        <x:f>IF(ISNUMBER('Data'!N1136),'Data'!N1136*100,"")</x:f>
        <x:v>95</x:v>
      </x:c>
      <x:c r="I2844" s="35" t="str">
        <x:v>PASS</x:v>
      </x:c>
      <x:c r="J2844" s="35" t="str">
        <x:v>PASS</x:v>
      </x:c>
      <x:c r="K2844" s="35" t="str">
        <x:v>PASS</x:v>
      </x:c>
      <x:c r="L2844" s="35" t="str">
        <x:v>FAIL</x:v>
      </x:c>
      <x:c r="M2844" s="35" t="str">
        <x:v>numeric coverage for applicable metric</x:v>
      </x:c>
      <x:c r="N2844" s="35" t="str">
        <x:v>Deepseek-flash-v4/Result2/Collections_5/result.json</x:v>
      </x:c>
      <x:c r="O2844" s="39" t="n">
        <x:f>IF(AND(G2844="RECORDED",ISNUMBER(H2844)),H2844,"")</x:f>
        <x:v>95</x:v>
      </x:c>
      <x:c r="P2844" s="35" t="str">
        <x:v>INCONCLUSIVE</x:v>
      </x:c>
      <x:c r="Q2844" s="35" t="str">
        <x:v>Deepseek-flash-v4/Result2/Collections_5/result.json</x:v>
      </x:c>
    </x:row>
    <x:row r="2845">
      <x:c r="A2845" s="35" t="str">
        <x:v>deepseek</x:v>
      </x:c>
      <x:c r="B2845" s="35" t="str">
        <x:v>Collections</x:v>
      </x:c>
      <x:c r="C2845" s="35" t="str">
        <x:v>Round2</x:v>
      </x:c>
      <x:c r="D2845" s="35" t="str">
        <x:v>Collections_6</x:v>
      </x:c>
      <x:c r="E2845" s="35" t="str">
        <x:v>Condition</x:v>
      </x:c>
      <x:c r="F2845" s="35" t="n">
        <x:v>376</x:v>
      </x:c>
      <x:c r="G2845" s="35" t="str">
        <x:v>RECORDED</x:v>
      </x:c>
      <x:c r="H2845" s="39" t="n">
        <x:f>IF(ISNUMBER('Data'!N1137),'Data'!N1137*100,"")</x:f>
        <x:v>51.33</x:v>
      </x:c>
      <x:c r="I2845" s="35" t="str">
        <x:v>PASS</x:v>
      </x:c>
      <x:c r="J2845" s="35" t="str">
        <x:v>PASS</x:v>
      </x:c>
      <x:c r="K2845" s="35" t="str">
        <x:v>PASS</x:v>
      </x:c>
      <x:c r="L2845" s="35" t="str">
        <x:v>FAIL</x:v>
      </x:c>
      <x:c r="M2845" s="35" t="str">
        <x:v>numeric coverage for applicable metric</x:v>
      </x:c>
      <x:c r="N2845" s="35" t="str">
        <x:v>Deepseek-flash-v4/Result2/Collections_6/result.json</x:v>
      </x:c>
      <x:c r="O2845" s="39" t="n">
        <x:f>IF(AND(G2845="RECORDED",ISNUMBER(H2845)),H2845,"")</x:f>
        <x:v>51.33</x:v>
      </x:c>
      <x:c r="P2845" s="35" t="str">
        <x:v>REVEALING</x:v>
      </x:c>
      <x:c r="Q2845" s="35" t="str">
        <x:v>Deepseek-flash-v4/Result2/Collections_6/result.json</x:v>
      </x:c>
    </x:row>
    <x:row r="2846">
      <x:c r="A2846" s="35" t="str">
        <x:v>deepseek</x:v>
      </x:c>
      <x:c r="B2846" s="35" t="str">
        <x:v>Collections</x:v>
      </x:c>
      <x:c r="C2846" s="35" t="str">
        <x:v>Round2</x:v>
      </x:c>
      <x:c r="D2846" s="35" t="str">
        <x:v>Collections_7</x:v>
      </x:c>
      <x:c r="E2846" s="35" t="str">
        <x:v>Condition</x:v>
      </x:c>
      <x:c r="F2846" s="35"/>
      <x:c r="G2846" s="35" t="str">
        <x:v>A</x:v>
      </x:c>
      <x:c r="H2846" s="39" t="str">
        <x:f>IF(ISNUMBER('Data'!N1138),'Data'!N1138*100,"")</x:f>
      </x:c>
      <x:c r="I2846" s="35"/>
      <x:c r="J2846" s="35" t="str">
        <x:v>PASS</x:v>
      </x:c>
      <x:c r="K2846" s="35" t="str">
        <x:v>FAIL</x:v>
      </x:c>
      <x:c r="L2846" s="35" t="str">
        <x:v>NOT_RUN</x:v>
      </x:c>
      <x:c r="M2846" s="35" t="str">
        <x:v>coverage unavailable or execution/compile failed</x:v>
      </x:c>
      <x:c r="N2846" s="35" t="str">
        <x:v>Deepseek-flash-v4/Result2/Collections_7/result.json</x:v>
      </x:c>
      <x:c r="O2846" s="39" t="str">
        <x:f>IF(AND(G2846="RECORDED",ISNUMBER(H2846)),H2846,"")</x:f>
      </x:c>
      <x:c r="P2846" s="35" t="str">
        <x:v>NOT_AVAILABLE</x:v>
      </x:c>
      <x:c r="Q2846" s="35" t="str">
        <x:v>Deepseek-flash-v4/Result2/Collections_7/result.json</x:v>
      </x:c>
    </x:row>
    <x:row r="2847">
      <x:c r="A2847" s="35" t="str">
        <x:v>deepseek</x:v>
      </x:c>
      <x:c r="B2847" s="35" t="str">
        <x:v>Collections</x:v>
      </x:c>
      <x:c r="C2847" s="35" t="str">
        <x:v>Round2</x:v>
      </x:c>
      <x:c r="D2847" s="35" t="str">
        <x:v>Collections_8</x:v>
      </x:c>
      <x:c r="E2847" s="35" t="str">
        <x:v>Condition</x:v>
      </x:c>
      <x:c r="F2847" s="35" t="n">
        <x:v>36</x:v>
      </x:c>
      <x:c r="G2847" s="35" t="str">
        <x:v>RECORDED</x:v>
      </x:c>
      <x:c r="H2847" s="39" t="n">
        <x:f>IF(ISNUMBER('Data'!N1139),'Data'!N1139*100,"")</x:f>
        <x:v>83.33</x:v>
      </x:c>
      <x:c r="I2847" s="35" t="str">
        <x:v>PASS</x:v>
      </x:c>
      <x:c r="J2847" s="35" t="str">
        <x:v>PASS</x:v>
      </x:c>
      <x:c r="K2847" s="35" t="str">
        <x:v>PASS</x:v>
      </x:c>
      <x:c r="L2847" s="35" t="str">
        <x:v>PASS</x:v>
      </x:c>
      <x:c r="M2847" s="35" t="str">
        <x:v>numeric coverage for applicable metric</x:v>
      </x:c>
      <x:c r="N2847" s="35" t="str">
        <x:v>Deepseek-flash-v4/Result2/Collections_8/result.json</x:v>
      </x:c>
      <x:c r="O2847" s="39" t="n">
        <x:f>IF(AND(G2847="RECORDED",ISNUMBER(H2847)),H2847,"")</x:f>
        <x:v>83.33</x:v>
      </x:c>
      <x:c r="P2847" s="35" t="str">
        <x:v>NOT_REVEALING</x:v>
      </x:c>
      <x:c r="Q2847" s="35" t="str">
        <x:v>Deepseek-flash-v4/Result2/Collections_8/result.json</x:v>
      </x:c>
    </x:row>
    <x:row r="2848">
      <x:c r="A2848" s="35" t="str">
        <x:v>deepseek</x:v>
      </x:c>
      <x:c r="B2848" s="35" t="str">
        <x:v>Collections</x:v>
      </x:c>
      <x:c r="C2848" s="35" t="str">
        <x:v>Round2</x:v>
      </x:c>
      <x:c r="D2848" s="35" t="str">
        <x:v>Collections_9</x:v>
      </x:c>
      <x:c r="E2848" s="35" t="str">
        <x:v>Condition</x:v>
      </x:c>
      <x:c r="F2848" s="35"/>
      <x:c r="G2848" s="35" t="str">
        <x:v>A</x:v>
      </x:c>
      <x:c r="H2848" s="39" t="str">
        <x:f>IF(ISNUMBER('Data'!N1140),'Data'!N1140*100,"")</x:f>
      </x:c>
      <x:c r="I2848" s="35"/>
      <x:c r="J2848" s="35" t="str">
        <x:v>PASS</x:v>
      </x:c>
      <x:c r="K2848" s="35" t="str">
        <x:v>FAIL</x:v>
      </x:c>
      <x:c r="L2848" s="35" t="str">
        <x:v>NOT_RUN</x:v>
      </x:c>
      <x:c r="M2848" s="35" t="str">
        <x:v>coverage unavailable or execution/compile failed</x:v>
      </x:c>
      <x:c r="N2848" s="35" t="str">
        <x:v>Deepseek-flash-v4/Result2/Collections_9/result.json</x:v>
      </x:c>
      <x:c r="O2848" s="39" t="str">
        <x:f>IF(AND(G2848="RECORDED",ISNUMBER(H2848)),H2848,"")</x:f>
      </x:c>
      <x:c r="P2848" s="35" t="str">
        <x:v>NOT_AVAILABLE</x:v>
      </x:c>
      <x:c r="Q2848" s="35" t="str">
        <x:v>Deepseek-flash-v4/Result2/Collections_9/result.json</x:v>
      </x:c>
    </x:row>
    <x:row r="2849">
      <x:c r="A2849" s="35" t="str">
        <x:v>deepseek</x:v>
      </x:c>
      <x:c r="B2849" s="35" t="str">
        <x:v>Compress</x:v>
      </x:c>
      <x:c r="C2849" s="35" t="str">
        <x:v>Round2</x:v>
      </x:c>
      <x:c r="D2849" s="35" t="str">
        <x:v>Compress_1</x:v>
      </x:c>
      <x:c r="E2849" s="35" t="str">
        <x:v>Condition</x:v>
      </x:c>
      <x:c r="F2849" s="35"/>
      <x:c r="G2849" s="35" t="str">
        <x:v>A</x:v>
      </x:c>
      <x:c r="H2849" s="39" t="str">
        <x:f>IF(ISNUMBER('Data'!N1141),'Data'!N1141*100,"")</x:f>
      </x:c>
      <x:c r="I2849" s="35"/>
      <x:c r="J2849" s="35" t="str">
        <x:v>PASS</x:v>
      </x:c>
      <x:c r="K2849" s="35" t="str">
        <x:v>FAIL</x:v>
      </x:c>
      <x:c r="L2849" s="35" t="str">
        <x:v>NOT_RUN</x:v>
      </x:c>
      <x:c r="M2849" s="35" t="str">
        <x:v>coverage unavailable or execution/compile failed</x:v>
      </x:c>
      <x:c r="N2849" s="35" t="str">
        <x:v>Deepseek-flash-v4/Result2/Compress_1/result.json</x:v>
      </x:c>
      <x:c r="O2849" s="39" t="str">
        <x:f>IF(AND(G2849="RECORDED",ISNUMBER(H2849)),H2849,"")</x:f>
      </x:c>
      <x:c r="P2849" s="35" t="str">
        <x:v>NOT_AVAILABLE</x:v>
      </x:c>
      <x:c r="Q2849" s="35" t="str">
        <x:v>Deepseek-flash-v4/Result2/Compress_1/result.json</x:v>
      </x:c>
    </x:row>
    <x:row r="2850">
      <x:c r="A2850" s="35" t="str">
        <x:v>deepseek</x:v>
      </x:c>
      <x:c r="B2850" s="35" t="str">
        <x:v>Compress</x:v>
      </x:c>
      <x:c r="C2850" s="35" t="str">
        <x:v>Round2</x:v>
      </x:c>
      <x:c r="D2850" s="35" t="str">
        <x:v>Compress_10</x:v>
      </x:c>
      <x:c r="E2850" s="35" t="str">
        <x:v>Condition</x:v>
      </x:c>
      <x:c r="F2850" s="35" t="n">
        <x:v>113</x:v>
      </x:c>
      <x:c r="G2850" s="35" t="str">
        <x:v>RECORDED</x:v>
      </x:c>
      <x:c r="H2850" s="39" t="n">
        <x:f>IF(ISNUMBER('Data'!N1142),'Data'!N1142*100,"")</x:f>
        <x:v>34.51</x:v>
      </x:c>
      <x:c r="I2850" s="35" t="str">
        <x:v>PASS</x:v>
      </x:c>
      <x:c r="J2850" s="35" t="str">
        <x:v>PASS</x:v>
      </x:c>
      <x:c r="K2850" s="35" t="str">
        <x:v>PASS</x:v>
      </x:c>
      <x:c r="L2850" s="35" t="str">
        <x:v>FAIL</x:v>
      </x:c>
      <x:c r="M2850" s="35" t="str">
        <x:v>numeric coverage for applicable metric</x:v>
      </x:c>
      <x:c r="N2850" s="35" t="str">
        <x:v>Deepseek-flash-v4/Result2/Compress_10/result.json</x:v>
      </x:c>
      <x:c r="O2850" s="39" t="n">
        <x:f>IF(AND(G2850="RECORDED",ISNUMBER(H2850)),H2850,"")</x:f>
        <x:v>34.51</x:v>
      </x:c>
      <x:c r="P2850" s="35" t="str">
        <x:v>INCONCLUSIVE</x:v>
      </x:c>
      <x:c r="Q2850" s="35" t="str">
        <x:v>Deepseek-flash-v4/Result2/Compress_10/result.json</x:v>
      </x:c>
    </x:row>
    <x:row r="2851">
      <x:c r="A2851" s="35" t="str">
        <x:v>deepseek</x:v>
      </x:c>
      <x:c r="B2851" s="35" t="str">
        <x:v>Compress</x:v>
      </x:c>
      <x:c r="C2851" s="35" t="str">
        <x:v>Round2</x:v>
      </x:c>
      <x:c r="D2851" s="35" t="str">
        <x:v>Compress_11</x:v>
      </x:c>
      <x:c r="E2851" s="35" t="str">
        <x:v>Condition</x:v>
      </x:c>
      <x:c r="F2851" s="35" t="n">
        <x:v>46</x:v>
      </x:c>
      <x:c r="G2851" s="35" t="str">
        <x:v>RECORDED</x:v>
      </x:c>
      <x:c r="H2851" s="39" t="n">
        <x:f>IF(ISNUMBER('Data'!N1143),'Data'!N1143*100,"")</x:f>
        <x:v>71.74</x:v>
      </x:c>
      <x:c r="I2851" s="35" t="str">
        <x:v>PASS</x:v>
      </x:c>
      <x:c r="J2851" s="35" t="str">
        <x:v>PASS</x:v>
      </x:c>
      <x:c r="K2851" s="35" t="str">
        <x:v>PASS</x:v>
      </x:c>
      <x:c r="L2851" s="35" t="str">
        <x:v>FAIL</x:v>
      </x:c>
      <x:c r="M2851" s="35" t="str">
        <x:v>numeric coverage for applicable metric</x:v>
      </x:c>
      <x:c r="N2851" s="35" t="str">
        <x:v>Deepseek-flash-v4/Result2/Compress_11/result.json</x:v>
      </x:c>
      <x:c r="O2851" s="39" t="n">
        <x:f>IF(AND(G2851="RECORDED",ISNUMBER(H2851)),H2851,"")</x:f>
        <x:v>71.74</x:v>
      </x:c>
      <x:c r="P2851" s="35" t="str">
        <x:v>INCONCLUSIVE</x:v>
      </x:c>
      <x:c r="Q2851" s="35" t="str">
        <x:v>Deepseek-flash-v4/Result2/Compress_11/result.json</x:v>
      </x:c>
    </x:row>
    <x:row r="2852">
      <x:c r="A2852" s="35" t="str">
        <x:v>deepseek</x:v>
      </x:c>
      <x:c r="B2852" s="35" t="str">
        <x:v>Compress</x:v>
      </x:c>
      <x:c r="C2852" s="35" t="str">
        <x:v>Round2</x:v>
      </x:c>
      <x:c r="D2852" s="35" t="str">
        <x:v>Compress_12</x:v>
      </x:c>
      <x:c r="E2852" s="35" t="str">
        <x:v>Condition</x:v>
      </x:c>
      <x:c r="F2852" s="35"/>
      <x:c r="G2852" s="35" t="str">
        <x:v>A</x:v>
      </x:c>
      <x:c r="H2852" s="39" t="str">
        <x:f>IF(ISNUMBER('Data'!N1144),'Data'!N1144*100,"")</x:f>
      </x:c>
      <x:c r="I2852" s="35"/>
      <x:c r="J2852" s="35" t="str">
        <x:v>PASS</x:v>
      </x:c>
      <x:c r="K2852" s="35" t="str">
        <x:v>FAIL</x:v>
      </x:c>
      <x:c r="L2852" s="35" t="str">
        <x:v>NOT_RUN</x:v>
      </x:c>
      <x:c r="M2852" s="35" t="str">
        <x:v>coverage unavailable or execution/compile failed</x:v>
      </x:c>
      <x:c r="N2852" s="35" t="str">
        <x:v>Deepseek-flash-v4/Result2/Compress_12/result.json</x:v>
      </x:c>
      <x:c r="O2852" s="39" t="str">
        <x:f>IF(AND(G2852="RECORDED",ISNUMBER(H2852)),H2852,"")</x:f>
      </x:c>
      <x:c r="P2852" s="35" t="str">
        <x:v>NOT_AVAILABLE</x:v>
      </x:c>
      <x:c r="Q2852" s="35" t="str">
        <x:v>Deepseek-flash-v4/Result2/Compress_12/result.json</x:v>
      </x:c>
    </x:row>
    <x:row r="2853">
      <x:c r="A2853" s="35" t="str">
        <x:v>deepseek</x:v>
      </x:c>
      <x:c r="B2853" s="35" t="str">
        <x:v>Compress</x:v>
      </x:c>
      <x:c r="C2853" s="35" t="str">
        <x:v>Round2</x:v>
      </x:c>
      <x:c r="D2853" s="35" t="str">
        <x:v>Compress_13</x:v>
      </x:c>
      <x:c r="E2853" s="35" t="str">
        <x:v>Condition</x:v>
      </x:c>
      <x:c r="F2853" s="35"/>
      <x:c r="G2853" s="35" t="str">
        <x:v>A</x:v>
      </x:c>
      <x:c r="H2853" s="39" t="str">
        <x:f>IF(ISNUMBER('Data'!N1145),'Data'!N1145*100,"")</x:f>
      </x:c>
      <x:c r="I2853" s="35"/>
      <x:c r="J2853" s="35" t="str">
        <x:v>PASS</x:v>
      </x:c>
      <x:c r="K2853" s="35" t="str">
        <x:v>FAIL</x:v>
      </x:c>
      <x:c r="L2853" s="35" t="str">
        <x:v>NOT_RUN</x:v>
      </x:c>
      <x:c r="M2853" s="35" t="str">
        <x:v>coverage unavailable or execution/compile failed</x:v>
      </x:c>
      <x:c r="N2853" s="35" t="str">
        <x:v>Deepseek-flash-v4/Result2/Compress_13/result.json</x:v>
      </x:c>
      <x:c r="O2853" s="39" t="str">
        <x:f>IF(AND(G2853="RECORDED",ISNUMBER(H2853)),H2853,"")</x:f>
      </x:c>
      <x:c r="P2853" s="35" t="str">
        <x:v>NOT_AVAILABLE</x:v>
      </x:c>
      <x:c r="Q2853" s="35" t="str">
        <x:v>Deepseek-flash-v4/Result2/Compress_13/result.json</x:v>
      </x:c>
    </x:row>
    <x:row r="2854">
      <x:c r="A2854" s="35" t="str">
        <x:v>deepseek</x:v>
      </x:c>
      <x:c r="B2854" s="35" t="str">
        <x:v>Compress</x:v>
      </x:c>
      <x:c r="C2854" s="35" t="str">
        <x:v>Round2</x:v>
      </x:c>
      <x:c r="D2854" s="35" t="str">
        <x:v>Compress_14</x:v>
      </x:c>
      <x:c r="E2854" s="35" t="str">
        <x:v>Condition</x:v>
      </x:c>
      <x:c r="F2854" s="35" t="n">
        <x:v>66</x:v>
      </x:c>
      <x:c r="G2854" s="35" t="str">
        <x:v>RECORDED</x:v>
      </x:c>
      <x:c r="H2854" s="39" t="n">
        <x:f>IF(ISNUMBER('Data'!N1146),'Data'!N1146*100,"")</x:f>
        <x:v>71.21</x:v>
      </x:c>
      <x:c r="I2854" s="35" t="str">
        <x:v>PASS</x:v>
      </x:c>
      <x:c r="J2854" s="35" t="str">
        <x:v>PASS</x:v>
      </x:c>
      <x:c r="K2854" s="35" t="str">
        <x:v>PASS</x:v>
      </x:c>
      <x:c r="L2854" s="35" t="str">
        <x:v>FAIL</x:v>
      </x:c>
      <x:c r="M2854" s="35" t="str">
        <x:v>numeric coverage for applicable metric</x:v>
      </x:c>
      <x:c r="N2854" s="35" t="str">
        <x:v>Deepseek-flash-v4/Result2/Compress_14/result.json</x:v>
      </x:c>
      <x:c r="O2854" s="39" t="n">
        <x:f>IF(AND(G2854="RECORDED",ISNUMBER(H2854)),H2854,"")</x:f>
        <x:v>71.21</x:v>
      </x:c>
      <x:c r="P2854" s="35" t="str">
        <x:v>INCONCLUSIVE</x:v>
      </x:c>
      <x:c r="Q2854" s="35" t="str">
        <x:v>Deepseek-flash-v4/Result2/Compress_14/result.json</x:v>
      </x:c>
    </x:row>
    <x:row r="2855">
      <x:c r="A2855" s="35" t="str">
        <x:v>deepseek</x:v>
      </x:c>
      <x:c r="B2855" s="35" t="str">
        <x:v>Compress</x:v>
      </x:c>
      <x:c r="C2855" s="35" t="str">
        <x:v>Round2</x:v>
      </x:c>
      <x:c r="D2855" s="35" t="str">
        <x:v>Compress_15</x:v>
      </x:c>
      <x:c r="E2855" s="35" t="str">
        <x:v>Condition</x:v>
      </x:c>
      <x:c r="F2855" s="35"/>
      <x:c r="G2855" s="35" t="str">
        <x:v>A</x:v>
      </x:c>
      <x:c r="H2855" s="39" t="str">
        <x:f>IF(ISNUMBER('Data'!N1147),'Data'!N1147*100,"")</x:f>
      </x:c>
      <x:c r="I2855" s="35"/>
      <x:c r="J2855" s="35" t="str">
        <x:v>PASS</x:v>
      </x:c>
      <x:c r="K2855" s="35" t="str">
        <x:v>FAIL</x:v>
      </x:c>
      <x:c r="L2855" s="35" t="str">
        <x:v>NOT_RUN</x:v>
      </x:c>
      <x:c r="M2855" s="35" t="str">
        <x:v>coverage unavailable or execution/compile failed</x:v>
      </x:c>
      <x:c r="N2855" s="35" t="str">
        <x:v>Deepseek-flash-v4/Result2/Compress_15/result.json</x:v>
      </x:c>
      <x:c r="O2855" s="39" t="str">
        <x:f>IF(AND(G2855="RECORDED",ISNUMBER(H2855)),H2855,"")</x:f>
      </x:c>
      <x:c r="P2855" s="35" t="str">
        <x:v>NOT_AVAILABLE</x:v>
      </x:c>
      <x:c r="Q2855" s="35" t="str">
        <x:v>Deepseek-flash-v4/Result2/Compress_15/result.json</x:v>
      </x:c>
    </x:row>
    <x:row r="2856">
      <x:c r="A2856" s="35" t="str">
        <x:v>deepseek</x:v>
      </x:c>
      <x:c r="B2856" s="35" t="str">
        <x:v>Compress</x:v>
      </x:c>
      <x:c r="C2856" s="35" t="str">
        <x:v>Round2</x:v>
      </x:c>
      <x:c r="D2856" s="35" t="str">
        <x:v>Compress_16</x:v>
      </x:c>
      <x:c r="E2856" s="35" t="str">
        <x:v>Condition</x:v>
      </x:c>
      <x:c r="F2856" s="35"/>
      <x:c r="G2856" s="35" t="str">
        <x:v>A</x:v>
      </x:c>
      <x:c r="H2856" s="39" t="str">
        <x:f>IF(ISNUMBER('Data'!N1148),'Data'!N1148*100,"")</x:f>
      </x:c>
      <x:c r="I2856" s="35"/>
      <x:c r="J2856" s="35" t="str">
        <x:v>PASS</x:v>
      </x:c>
      <x:c r="K2856" s="35" t="str">
        <x:v>FAIL</x:v>
      </x:c>
      <x:c r="L2856" s="35" t="str">
        <x:v>NOT_RUN</x:v>
      </x:c>
      <x:c r="M2856" s="35" t="str">
        <x:v>coverage unavailable or execution/compile failed</x:v>
      </x:c>
      <x:c r="N2856" s="35" t="str">
        <x:v>Deepseek-flash-v4/Result2/Compress_16/result.json</x:v>
      </x:c>
      <x:c r="O2856" s="39" t="str">
        <x:f>IF(AND(G2856="RECORDED",ISNUMBER(H2856)),H2856,"")</x:f>
      </x:c>
      <x:c r="P2856" s="35" t="str">
        <x:v>NOT_AVAILABLE</x:v>
      </x:c>
      <x:c r="Q2856" s="35" t="str">
        <x:v>Deepseek-flash-v4/Result2/Compress_16/result.json</x:v>
      </x:c>
    </x:row>
    <x:row r="2857">
      <x:c r="A2857" s="35" t="str">
        <x:v>deepseek</x:v>
      </x:c>
      <x:c r="B2857" s="35" t="str">
        <x:v>Compress</x:v>
      </x:c>
      <x:c r="C2857" s="35" t="str">
        <x:v>Round2</x:v>
      </x:c>
      <x:c r="D2857" s="35" t="str">
        <x:v>Compress_17</x:v>
      </x:c>
      <x:c r="E2857" s="35" t="str">
        <x:v>Condition</x:v>
      </x:c>
      <x:c r="F2857" s="35" t="n">
        <x:v>116</x:v>
      </x:c>
      <x:c r="G2857" s="35" t="str">
        <x:v>RECORDED</x:v>
      </x:c>
      <x:c r="H2857" s="39" t="n">
        <x:f>IF(ISNUMBER('Data'!N1149),'Data'!N1149*100,"")</x:f>
        <x:v>70.69</x:v>
      </x:c>
      <x:c r="I2857" s="35" t="str">
        <x:v>PASS</x:v>
      </x:c>
      <x:c r="J2857" s="35" t="str">
        <x:v>PASS</x:v>
      </x:c>
      <x:c r="K2857" s="35" t="str">
        <x:v>PASS</x:v>
      </x:c>
      <x:c r="L2857" s="35" t="str">
        <x:v>FAIL</x:v>
      </x:c>
      <x:c r="M2857" s="35" t="str">
        <x:v>numeric coverage for applicable metric</x:v>
      </x:c>
      <x:c r="N2857" s="35" t="str">
        <x:v>Deepseek-flash-v4/Result2/Compress_17/result.json</x:v>
      </x:c>
      <x:c r="O2857" s="39" t="n">
        <x:f>IF(AND(G2857="RECORDED",ISNUMBER(H2857)),H2857,"")</x:f>
        <x:v>70.69</x:v>
      </x:c>
      <x:c r="P2857" s="35" t="str">
        <x:v>INCONCLUSIVE</x:v>
      </x:c>
      <x:c r="Q2857" s="35" t="str">
        <x:v>Deepseek-flash-v4/Result2/Compress_17/result.json</x:v>
      </x:c>
    </x:row>
    <x:row r="2858">
      <x:c r="A2858" s="35" t="str">
        <x:v>deepseek</x:v>
      </x:c>
      <x:c r="B2858" s="35" t="str">
        <x:v>Compress</x:v>
      </x:c>
      <x:c r="C2858" s="35" t="str">
        <x:v>Round2</x:v>
      </x:c>
      <x:c r="D2858" s="35" t="str">
        <x:v>Compress_18</x:v>
      </x:c>
      <x:c r="E2858" s="35" t="str">
        <x:v>Condition</x:v>
      </x:c>
      <x:c r="F2858" s="35"/>
      <x:c r="G2858" s="35" t="str">
        <x:v>A</x:v>
      </x:c>
      <x:c r="H2858" s="39" t="str">
        <x:f>IF(ISNUMBER('Data'!N1150),'Data'!N1150*100,"")</x:f>
      </x:c>
      <x:c r="I2858" s="35"/>
      <x:c r="J2858" s="35" t="str">
        <x:v>PASS</x:v>
      </x:c>
      <x:c r="K2858" s="35" t="str">
        <x:v>FAIL</x:v>
      </x:c>
      <x:c r="L2858" s="35" t="str">
        <x:v>NOT_RUN</x:v>
      </x:c>
      <x:c r="M2858" s="35" t="str">
        <x:v>coverage unavailable or execution/compile failed</x:v>
      </x:c>
      <x:c r="N2858" s="35" t="str">
        <x:v>Deepseek-flash-v4/Result2/Compress_18/result.json</x:v>
      </x:c>
      <x:c r="O2858" s="39" t="str">
        <x:f>IF(AND(G2858="RECORDED",ISNUMBER(H2858)),H2858,"")</x:f>
      </x:c>
      <x:c r="P2858" s="35" t="str">
        <x:v>NOT_AVAILABLE</x:v>
      </x:c>
      <x:c r="Q2858" s="35" t="str">
        <x:v>Deepseek-flash-v4/Result2/Compress_18/result.json</x:v>
      </x:c>
    </x:row>
    <x:row r="2859">
      <x:c r="A2859" s="35" t="str">
        <x:v>deepseek</x:v>
      </x:c>
      <x:c r="B2859" s="35" t="str">
        <x:v>Compress</x:v>
      </x:c>
      <x:c r="C2859" s="35" t="str">
        <x:v>Round2</x:v>
      </x:c>
      <x:c r="D2859" s="35" t="str">
        <x:v>Compress_19</x:v>
      </x:c>
      <x:c r="E2859" s="35" t="str">
        <x:v>Condition</x:v>
      </x:c>
      <x:c r="F2859" s="35" t="n">
        <x:v>60</x:v>
      </x:c>
      <x:c r="G2859" s="35" t="str">
        <x:v>RECORDED</x:v>
      </x:c>
      <x:c r="H2859" s="39" t="n">
        <x:f>IF(ISNUMBER('Data'!N1151),'Data'!N1151*100,"")</x:f>
        <x:v>98.33</x:v>
      </x:c>
      <x:c r="I2859" s="35" t="str">
        <x:v>PASS</x:v>
      </x:c>
      <x:c r="J2859" s="35" t="str">
        <x:v>PASS</x:v>
      </x:c>
      <x:c r="K2859" s="35" t="str">
        <x:v>PASS</x:v>
      </x:c>
      <x:c r="L2859" s="35" t="str">
        <x:v>FAIL</x:v>
      </x:c>
      <x:c r="M2859" s="35" t="str">
        <x:v>numeric coverage for applicable metric</x:v>
      </x:c>
      <x:c r="N2859" s="35" t="str">
        <x:v>Deepseek-flash-v4/Result2/Compress_19/result.json</x:v>
      </x:c>
      <x:c r="O2859" s="39" t="n">
        <x:f>IF(AND(G2859="RECORDED",ISNUMBER(H2859)),H2859,"")</x:f>
        <x:v>98.33</x:v>
      </x:c>
      <x:c r="P2859" s="35" t="str">
        <x:v>INCONCLUSIVE</x:v>
      </x:c>
      <x:c r="Q2859" s="35" t="str">
        <x:v>Deepseek-flash-v4/Result2/Compress_19/result.json</x:v>
      </x:c>
    </x:row>
    <x:row r="2860">
      <x:c r="A2860" s="35" t="str">
        <x:v>deepseek</x:v>
      </x:c>
      <x:c r="B2860" s="35" t="str">
        <x:v>Compress</x:v>
      </x:c>
      <x:c r="C2860" s="35" t="str">
        <x:v>Round2</x:v>
      </x:c>
      <x:c r="D2860" s="35" t="str">
        <x:v>Compress_2</x:v>
      </x:c>
      <x:c r="E2860" s="35" t="str">
        <x:v>Condition</x:v>
      </x:c>
      <x:c r="F2860" s="35"/>
      <x:c r="G2860" s="35" t="str">
        <x:v>A</x:v>
      </x:c>
      <x:c r="H2860" s="39" t="str">
        <x:f>IF(ISNUMBER('Data'!N1152),'Data'!N1152*100,"")</x:f>
      </x:c>
      <x:c r="I2860" s="35"/>
      <x:c r="J2860" s="35" t="str">
        <x:v>PASS</x:v>
      </x:c>
      <x:c r="K2860" s="35" t="str">
        <x:v>FAIL</x:v>
      </x:c>
      <x:c r="L2860" s="35" t="str">
        <x:v>NOT_RUN</x:v>
      </x:c>
      <x:c r="M2860" s="35" t="str">
        <x:v>coverage unavailable or execution/compile failed</x:v>
      </x:c>
      <x:c r="N2860" s="35" t="str">
        <x:v>Deepseek-flash-v4/Result2/Compress_2/result.json</x:v>
      </x:c>
      <x:c r="O2860" s="39" t="str">
        <x:f>IF(AND(G2860="RECORDED",ISNUMBER(H2860)),H2860,"")</x:f>
      </x:c>
      <x:c r="P2860" s="35" t="str">
        <x:v>NOT_AVAILABLE</x:v>
      </x:c>
      <x:c r="Q2860" s="35" t="str">
        <x:v>Deepseek-flash-v4/Result2/Compress_2/result.json</x:v>
      </x:c>
    </x:row>
    <x:row r="2861">
      <x:c r="A2861" s="35" t="str">
        <x:v>deepseek</x:v>
      </x:c>
      <x:c r="B2861" s="35" t="str">
        <x:v>Compress</x:v>
      </x:c>
      <x:c r="C2861" s="35" t="str">
        <x:v>Round2</x:v>
      </x:c>
      <x:c r="D2861" s="35" t="str">
        <x:v>Compress_20</x:v>
      </x:c>
      <x:c r="E2861" s="35" t="str">
        <x:v>Condition</x:v>
      </x:c>
      <x:c r="F2861" s="35" t="n">
        <x:v>114</x:v>
      </x:c>
      <x:c r="G2861" s="35" t="str">
        <x:v>RECORDED</x:v>
      </x:c>
      <x:c r="H2861" s="39" t="n">
        <x:f>IF(ISNUMBER('Data'!N1153),'Data'!N1153*100,"")</x:f>
        <x:v>28.95</x:v>
      </x:c>
      <x:c r="I2861" s="35" t="str">
        <x:v>PASS</x:v>
      </x:c>
      <x:c r="J2861" s="35" t="str">
        <x:v>PASS</x:v>
      </x:c>
      <x:c r="K2861" s="35" t="str">
        <x:v>PASS</x:v>
      </x:c>
      <x:c r="L2861" s="35" t="str">
        <x:v>FAIL</x:v>
      </x:c>
      <x:c r="M2861" s="35" t="str">
        <x:v>numeric coverage for applicable metric</x:v>
      </x:c>
      <x:c r="N2861" s="35" t="str">
        <x:v>Deepseek-flash-v4/Result2/Compress_20/result.json</x:v>
      </x:c>
      <x:c r="O2861" s="39" t="n">
        <x:f>IF(AND(G2861="RECORDED",ISNUMBER(H2861)),H2861,"")</x:f>
        <x:v>28.95</x:v>
      </x:c>
      <x:c r="P2861" s="35" t="str">
        <x:v>INCONCLUSIVE</x:v>
      </x:c>
      <x:c r="Q2861" s="35" t="str">
        <x:v>Deepseek-flash-v4/Result2/Compress_20/result.json</x:v>
      </x:c>
    </x:row>
    <x:row r="2862">
      <x:c r="A2862" s="35" t="str">
        <x:v>deepseek</x:v>
      </x:c>
      <x:c r="B2862" s="35" t="str">
        <x:v>Compress</x:v>
      </x:c>
      <x:c r="C2862" s="35" t="str">
        <x:v>Round2</x:v>
      </x:c>
      <x:c r="D2862" s="35" t="str">
        <x:v>Compress_21</x:v>
      </x:c>
      <x:c r="E2862" s="35" t="str">
        <x:v>Condition</x:v>
      </x:c>
      <x:c r="F2862" s="35" t="n">
        <x:v>136</x:v>
      </x:c>
      <x:c r="G2862" s="35" t="str">
        <x:v>RECORDED</x:v>
      </x:c>
      <x:c r="H2862" s="39" t="n">
        <x:f>IF(ISNUMBER('Data'!N1154),'Data'!N1154*100,"")</x:f>
        <x:v>59.56</x:v>
      </x:c>
      <x:c r="I2862" s="35" t="str">
        <x:v>PASS</x:v>
      </x:c>
      <x:c r="J2862" s="35" t="str">
        <x:v>PASS</x:v>
      </x:c>
      <x:c r="K2862" s="35" t="str">
        <x:v>PASS</x:v>
      </x:c>
      <x:c r="L2862" s="35" t="str">
        <x:v>FAIL</x:v>
      </x:c>
      <x:c r="M2862" s="35" t="str">
        <x:v>numeric coverage for applicable metric</x:v>
      </x:c>
      <x:c r="N2862" s="35" t="str">
        <x:v>Deepseek-flash-v4/Result2/Compress_21/result.json</x:v>
      </x:c>
      <x:c r="O2862" s="39" t="n">
        <x:f>IF(AND(G2862="RECORDED",ISNUMBER(H2862)),H2862,"")</x:f>
        <x:v>59.56</x:v>
      </x:c>
      <x:c r="P2862" s="35" t="str">
        <x:v>INCONCLUSIVE</x:v>
      </x:c>
      <x:c r="Q2862" s="35" t="str">
        <x:v>Deepseek-flash-v4/Result2/Compress_21/result.json</x:v>
      </x:c>
    </x:row>
    <x:row r="2863">
      <x:c r="A2863" s="35" t="str">
        <x:v>deepseek</x:v>
      </x:c>
      <x:c r="B2863" s="35" t="str">
        <x:v>Compress</x:v>
      </x:c>
      <x:c r="C2863" s="35" t="str">
        <x:v>Round2</x:v>
      </x:c>
      <x:c r="D2863" s="35" t="str">
        <x:v>Compress_22</x:v>
      </x:c>
      <x:c r="E2863" s="35" t="str">
        <x:v>Condition</x:v>
      </x:c>
      <x:c r="F2863" s="35" t="n">
        <x:v>265</x:v>
      </x:c>
      <x:c r="G2863" s="35" t="str">
        <x:v>RECORDED</x:v>
      </x:c>
      <x:c r="H2863" s="39" t="n">
        <x:f>IF(ISNUMBER('Data'!N1155),'Data'!N1155*100,"")</x:f>
        <x:v>8.3</x:v>
      </x:c>
      <x:c r="I2863" s="35" t="str">
        <x:v>PASS</x:v>
      </x:c>
      <x:c r="J2863" s="35" t="str">
        <x:v>PASS</x:v>
      </x:c>
      <x:c r="K2863" s="35" t="str">
        <x:v>PASS</x:v>
      </x:c>
      <x:c r="L2863" s="35" t="str">
        <x:v>FAIL</x:v>
      </x:c>
      <x:c r="M2863" s="35" t="str">
        <x:v>numeric coverage for applicable metric</x:v>
      </x:c>
      <x:c r="N2863" s="35" t="str">
        <x:v>Deepseek-flash-v4/Result2/Compress_22/result.json</x:v>
      </x:c>
      <x:c r="O2863" s="39" t="n">
        <x:f>IF(AND(G2863="RECORDED",ISNUMBER(H2863)),H2863,"")</x:f>
        <x:v>8.3</x:v>
      </x:c>
      <x:c r="P2863" s="35" t="str">
        <x:v>INCONCLUSIVE</x:v>
      </x:c>
      <x:c r="Q2863" s="35" t="str">
        <x:v>Deepseek-flash-v4/Result2/Compress_22/result.json</x:v>
      </x:c>
    </x:row>
    <x:row r="2864">
      <x:c r="A2864" s="35" t="str">
        <x:v>deepseek</x:v>
      </x:c>
      <x:c r="B2864" s="35" t="str">
        <x:v>Compress</x:v>
      </x:c>
      <x:c r="C2864" s="35" t="str">
        <x:v>Round2</x:v>
      </x:c>
      <x:c r="D2864" s="35" t="str">
        <x:v>Compress_23</x:v>
      </x:c>
      <x:c r="E2864" s="35" t="str">
        <x:v>Condition</x:v>
      </x:c>
      <x:c r="F2864" s="35"/>
      <x:c r="G2864" s="35" t="str">
        <x:v>A</x:v>
      </x:c>
      <x:c r="H2864" s="39" t="str">
        <x:f>IF(ISNUMBER('Data'!N1156),'Data'!N1156*100,"")</x:f>
      </x:c>
      <x:c r="I2864" s="35"/>
      <x:c r="J2864" s="35" t="str">
        <x:v>PASS</x:v>
      </x:c>
      <x:c r="K2864" s="35" t="str">
        <x:v>FAIL</x:v>
      </x:c>
      <x:c r="L2864" s="35" t="str">
        <x:v>NOT_RUN</x:v>
      </x:c>
      <x:c r="M2864" s="35" t="str">
        <x:v>coverage unavailable or execution/compile failed</x:v>
      </x:c>
      <x:c r="N2864" s="35" t="str">
        <x:v>Deepseek-flash-v4/Result2/Compress_23/result.json</x:v>
      </x:c>
      <x:c r="O2864" s="39" t="str">
        <x:f>IF(AND(G2864="RECORDED",ISNUMBER(H2864)),H2864,"")</x:f>
      </x:c>
      <x:c r="P2864" s="35" t="str">
        <x:v>NOT_AVAILABLE</x:v>
      </x:c>
      <x:c r="Q2864" s="35" t="str">
        <x:v>Deepseek-flash-v4/Result2/Compress_23/result.json</x:v>
      </x:c>
    </x:row>
    <x:row r="2865">
      <x:c r="A2865" s="35" t="str">
        <x:v>deepseek</x:v>
      </x:c>
      <x:c r="B2865" s="35" t="str">
        <x:v>Compress</x:v>
      </x:c>
      <x:c r="C2865" s="35" t="str">
        <x:v>Round2</x:v>
      </x:c>
      <x:c r="D2865" s="35" t="str">
        <x:v>Compress_24</x:v>
      </x:c>
      <x:c r="E2865" s="35" t="str">
        <x:v>Condition</x:v>
      </x:c>
      <x:c r="F2865" s="35" t="n">
        <x:v>118</x:v>
      </x:c>
      <x:c r="G2865" s="35" t="str">
        <x:v>RECORDED</x:v>
      </x:c>
      <x:c r="H2865" s="39" t="n">
        <x:f>IF(ISNUMBER('Data'!N1157),'Data'!N1157*100,"")</x:f>
        <x:v>63.56</x:v>
      </x:c>
      <x:c r="I2865" s="35" t="str">
        <x:v>PASS</x:v>
      </x:c>
      <x:c r="J2865" s="35" t="str">
        <x:v>PASS</x:v>
      </x:c>
      <x:c r="K2865" s="35" t="str">
        <x:v>PASS</x:v>
      </x:c>
      <x:c r="L2865" s="35" t="str">
        <x:v>FAIL</x:v>
      </x:c>
      <x:c r="M2865" s="35" t="str">
        <x:v>numeric coverage for applicable metric</x:v>
      </x:c>
      <x:c r="N2865" s="35" t="str">
        <x:v>Deepseek-flash-v4/Result2/Compress_24/result.json</x:v>
      </x:c>
      <x:c r="O2865" s="39" t="n">
        <x:f>IF(AND(G2865="RECORDED",ISNUMBER(H2865)),H2865,"")</x:f>
        <x:v>63.56</x:v>
      </x:c>
      <x:c r="P2865" s="35" t="str">
        <x:v>INCONCLUSIVE</x:v>
      </x:c>
      <x:c r="Q2865" s="35" t="str">
        <x:v>Deepseek-flash-v4/Result2/Compress_24/result.json</x:v>
      </x:c>
    </x:row>
    <x:row r="2866">
      <x:c r="A2866" s="35" t="str">
        <x:v>deepseek</x:v>
      </x:c>
      <x:c r="B2866" s="35" t="str">
        <x:v>Compress</x:v>
      </x:c>
      <x:c r="C2866" s="35" t="str">
        <x:v>Round2</x:v>
      </x:c>
      <x:c r="D2866" s="35" t="str">
        <x:v>Compress_25</x:v>
      </x:c>
      <x:c r="E2866" s="35" t="str">
        <x:v>Condition</x:v>
      </x:c>
      <x:c r="F2866" s="35" t="n">
        <x:v>252</x:v>
      </x:c>
      <x:c r="G2866" s="35" t="str">
        <x:v>RECORDED</x:v>
      </x:c>
      <x:c r="H2866" s="39" t="n">
        <x:f>IF(ISNUMBER('Data'!N1158),'Data'!N1158*100,"")</x:f>
        <x:v>48.02</x:v>
      </x:c>
      <x:c r="I2866" s="35" t="str">
        <x:v>PASS</x:v>
      </x:c>
      <x:c r="J2866" s="35" t="str">
        <x:v>PASS</x:v>
      </x:c>
      <x:c r="K2866" s="35" t="str">
        <x:v>PASS</x:v>
      </x:c>
      <x:c r="L2866" s="35" t="str">
        <x:v>FAIL</x:v>
      </x:c>
      <x:c r="M2866" s="35" t="str">
        <x:v>numeric coverage for applicable metric</x:v>
      </x:c>
      <x:c r="N2866" s="35" t="str">
        <x:v>Deepseek-flash-v4/Result2/Compress_25/result.json</x:v>
      </x:c>
      <x:c r="O2866" s="39" t="n">
        <x:f>IF(AND(G2866="RECORDED",ISNUMBER(H2866)),H2866,"")</x:f>
        <x:v>48.02</x:v>
      </x:c>
      <x:c r="P2866" s="35" t="str">
        <x:v>INCONCLUSIVE</x:v>
      </x:c>
      <x:c r="Q2866" s="35" t="str">
        <x:v>Deepseek-flash-v4/Result2/Compress_25/result.json</x:v>
      </x:c>
    </x:row>
    <x:row r="2867">
      <x:c r="A2867" s="35" t="str">
        <x:v>deepseek</x:v>
      </x:c>
      <x:c r="B2867" s="35" t="str">
        <x:v>Compress</x:v>
      </x:c>
      <x:c r="C2867" s="35" t="str">
        <x:v>Round2</x:v>
      </x:c>
      <x:c r="D2867" s="35" t="str">
        <x:v>Compress_26</x:v>
      </x:c>
      <x:c r="E2867" s="35" t="str">
        <x:v>Condition</x:v>
      </x:c>
      <x:c r="F2867" s="35" t="n">
        <x:v>18</x:v>
      </x:c>
      <x:c r="G2867" s="35" t="str">
        <x:v>RECORDED</x:v>
      </x:c>
      <x:c r="H2867" s="39" t="n">
        <x:f>IF(ISNUMBER('Data'!N1159),'Data'!N1159*100,"")</x:f>
        <x:v>100</x:v>
      </x:c>
      <x:c r="I2867" s="35" t="str">
        <x:v>PASS</x:v>
      </x:c>
      <x:c r="J2867" s="35" t="str">
        <x:v>PASS</x:v>
      </x:c>
      <x:c r="K2867" s="35" t="str">
        <x:v>PASS</x:v>
      </x:c>
      <x:c r="L2867" s="35" t="str">
        <x:v>PASS</x:v>
      </x:c>
      <x:c r="M2867" s="35" t="str">
        <x:v>numeric coverage for applicable metric</x:v>
      </x:c>
      <x:c r="N2867" s="35" t="str">
        <x:v>Deepseek-flash-v4/Result2/Compress_26/result.json</x:v>
      </x:c>
      <x:c r="O2867" s="39" t="n">
        <x:f>IF(AND(G2867="RECORDED",ISNUMBER(H2867)),H2867,"")</x:f>
        <x:v>100</x:v>
      </x:c>
      <x:c r="P2867" s="35" t="str">
        <x:v>NOT_REVEALING</x:v>
      </x:c>
      <x:c r="Q2867" s="35" t="str">
        <x:v>Deepseek-flash-v4/Result2/Compress_26/result.json</x:v>
      </x:c>
    </x:row>
    <x:row r="2868">
      <x:c r="A2868" s="35" t="str">
        <x:v>deepseek</x:v>
      </x:c>
      <x:c r="B2868" s="35" t="str">
        <x:v>Compress</x:v>
      </x:c>
      <x:c r="C2868" s="35" t="str">
        <x:v>Round2</x:v>
      </x:c>
      <x:c r="D2868" s="35" t="str">
        <x:v>Compress_27</x:v>
      </x:c>
      <x:c r="E2868" s="35" t="str">
        <x:v>Condition</x:v>
      </x:c>
      <x:c r="F2868" s="35"/>
      <x:c r="G2868" s="35" t="str">
        <x:v>A</x:v>
      </x:c>
      <x:c r="H2868" s="39" t="str">
        <x:f>IF(ISNUMBER('Data'!N1160),'Data'!N1160*100,"")</x:f>
      </x:c>
      <x:c r="I2868" s="35"/>
      <x:c r="J2868" s="35" t="str">
        <x:v>PASS</x:v>
      </x:c>
      <x:c r="K2868" s="35" t="str">
        <x:v>FAIL</x:v>
      </x:c>
      <x:c r="L2868" s="35" t="str">
        <x:v>NOT_RUN</x:v>
      </x:c>
      <x:c r="M2868" s="35" t="str">
        <x:v>coverage unavailable or execution/compile failed</x:v>
      </x:c>
      <x:c r="N2868" s="35" t="str">
        <x:v>Deepseek-flash-v4/Result2/Compress_27/result.json</x:v>
      </x:c>
      <x:c r="O2868" s="39" t="str">
        <x:f>IF(AND(G2868="RECORDED",ISNUMBER(H2868)),H2868,"")</x:f>
      </x:c>
      <x:c r="P2868" s="35" t="str">
        <x:v>NOT_AVAILABLE</x:v>
      </x:c>
      <x:c r="Q2868" s="35" t="str">
        <x:v>Deepseek-flash-v4/Result2/Compress_27/result.json</x:v>
      </x:c>
    </x:row>
    <x:row r="2869">
      <x:c r="A2869" s="35" t="str">
        <x:v>deepseek</x:v>
      </x:c>
      <x:c r="B2869" s="35" t="str">
        <x:v>Compress</x:v>
      </x:c>
      <x:c r="C2869" s="35" t="str">
        <x:v>Round2</x:v>
      </x:c>
      <x:c r="D2869" s="35" t="str">
        <x:v>Compress_28</x:v>
      </x:c>
      <x:c r="E2869" s="35" t="str">
        <x:v>Condition</x:v>
      </x:c>
      <x:c r="F2869" s="35"/>
      <x:c r="G2869" s="35" t="str">
        <x:v>A</x:v>
      </x:c>
      <x:c r="H2869" s="39" t="str">
        <x:f>IF(ISNUMBER('Data'!N1161),'Data'!N1161*100,"")</x:f>
      </x:c>
      <x:c r="I2869" s="35"/>
      <x:c r="J2869" s="35" t="str">
        <x:v>PASS</x:v>
      </x:c>
      <x:c r="K2869" s="35" t="str">
        <x:v>FAIL</x:v>
      </x:c>
      <x:c r="L2869" s="35" t="str">
        <x:v>NOT_RUN</x:v>
      </x:c>
      <x:c r="M2869" s="35" t="str">
        <x:v>coverage unavailable or execution/compile failed</x:v>
      </x:c>
      <x:c r="N2869" s="35" t="str">
        <x:v>Deepseek-flash-v4/Result2/Compress_28/result.json</x:v>
      </x:c>
      <x:c r="O2869" s="39" t="str">
        <x:f>IF(AND(G2869="RECORDED",ISNUMBER(H2869)),H2869,"")</x:f>
      </x:c>
      <x:c r="P2869" s="35" t="str">
        <x:v>NOT_AVAILABLE</x:v>
      </x:c>
      <x:c r="Q2869" s="35" t="str">
        <x:v>Deepseek-flash-v4/Result2/Compress_28/result.json</x:v>
      </x:c>
    </x:row>
    <x:row r="2870">
      <x:c r="A2870" s="35" t="str">
        <x:v>deepseek</x:v>
      </x:c>
      <x:c r="B2870" s="35" t="str">
        <x:v>Compress</x:v>
      </x:c>
      <x:c r="C2870" s="35" t="str">
        <x:v>Round2</x:v>
      </x:c>
      <x:c r="D2870" s="35" t="str">
        <x:v>Compress_29</x:v>
      </x:c>
      <x:c r="E2870" s="35" t="str">
        <x:v>Condition</x:v>
      </x:c>
      <x:c r="F2870" s="35"/>
      <x:c r="G2870" s="35" t="str">
        <x:v>A</x:v>
      </x:c>
      <x:c r="H2870" s="39" t="str">
        <x:f>IF(ISNUMBER('Data'!N1162),'Data'!N1162*100,"")</x:f>
      </x:c>
      <x:c r="I2870" s="35"/>
      <x:c r="J2870" s="35" t="str">
        <x:v>PASS</x:v>
      </x:c>
      <x:c r="K2870" s="35" t="str">
        <x:v>FAIL</x:v>
      </x:c>
      <x:c r="L2870" s="35" t="str">
        <x:v>NOT_RUN</x:v>
      </x:c>
      <x:c r="M2870" s="35" t="str">
        <x:v>coverage unavailable or execution/compile failed</x:v>
      </x:c>
      <x:c r="N2870" s="35" t="str">
        <x:v>Deepseek-flash-v4/Result2/Compress_29/result.json</x:v>
      </x:c>
      <x:c r="O2870" s="39" t="str">
        <x:f>IF(AND(G2870="RECORDED",ISNUMBER(H2870)),H2870,"")</x:f>
      </x:c>
      <x:c r="P2870" s="35" t="str">
        <x:v>NOT_AVAILABLE</x:v>
      </x:c>
      <x:c r="Q2870" s="35" t="str">
        <x:v>Deepseek-flash-v4/Result2/Compress_29/result.json</x:v>
      </x:c>
    </x:row>
    <x:row r="2871">
      <x:c r="A2871" s="35" t="str">
        <x:v>deepseek</x:v>
      </x:c>
      <x:c r="B2871" s="35" t="str">
        <x:v>Compress</x:v>
      </x:c>
      <x:c r="C2871" s="35" t="str">
        <x:v>Round2</x:v>
      </x:c>
      <x:c r="D2871" s="35" t="str">
        <x:v>Compress_3</x:v>
      </x:c>
      <x:c r="E2871" s="35" t="str">
        <x:v>Condition</x:v>
      </x:c>
      <x:c r="F2871" s="35" t="n">
        <x:v>28</x:v>
      </x:c>
      <x:c r="G2871" s="35" t="str">
        <x:v>RECORDED</x:v>
      </x:c>
      <x:c r="H2871" s="39" t="n">
        <x:f>IF(ISNUMBER('Data'!N1163),'Data'!N1163*100,"")</x:f>
        <x:v>96.43</x:v>
      </x:c>
      <x:c r="I2871" s="35" t="str">
        <x:v>PASS</x:v>
      </x:c>
      <x:c r="J2871" s="35" t="str">
        <x:v>PASS</x:v>
      </x:c>
      <x:c r="K2871" s="35" t="str">
        <x:v>PASS</x:v>
      </x:c>
      <x:c r="L2871" s="35" t="str">
        <x:v>PASS</x:v>
      </x:c>
      <x:c r="M2871" s="35" t="str">
        <x:v>numeric coverage for applicable metric</x:v>
      </x:c>
      <x:c r="N2871" s="35" t="str">
        <x:v>Deepseek-flash-v4/Result2/Compress_3/result.json</x:v>
      </x:c>
      <x:c r="O2871" s="39" t="n">
        <x:f>IF(AND(G2871="RECORDED",ISNUMBER(H2871)),H2871,"")</x:f>
        <x:v>96.43</x:v>
      </x:c>
      <x:c r="P2871" s="35" t="str">
        <x:v>INCONCLUSIVE</x:v>
      </x:c>
      <x:c r="Q2871" s="35" t="str">
        <x:v>Deepseek-flash-v4/Result2/Compress_3/result.json</x:v>
      </x:c>
    </x:row>
    <x:row r="2872">
      <x:c r="A2872" s="35" t="str">
        <x:v>deepseek</x:v>
      </x:c>
      <x:c r="B2872" s="35" t="str">
        <x:v>Compress</x:v>
      </x:c>
      <x:c r="C2872" s="35" t="str">
        <x:v>Round2</x:v>
      </x:c>
      <x:c r="D2872" s="35" t="str">
        <x:v>Compress_30</x:v>
      </x:c>
      <x:c r="E2872" s="35" t="str">
        <x:v>Condition</x:v>
      </x:c>
      <x:c r="F2872" s="35" t="n">
        <x:v>265</x:v>
      </x:c>
      <x:c r="G2872" s="35" t="str">
        <x:v>RECORDED</x:v>
      </x:c>
      <x:c r="H2872" s="39" t="n">
        <x:f>IF(ISNUMBER('Data'!N1164),'Data'!N1164*100,"")</x:f>
        <x:v>7.17</x:v>
      </x:c>
      <x:c r="I2872" s="35" t="str">
        <x:v>PASS</x:v>
      </x:c>
      <x:c r="J2872" s="35" t="str">
        <x:v>PASS</x:v>
      </x:c>
      <x:c r="K2872" s="35" t="str">
        <x:v>PASS</x:v>
      </x:c>
      <x:c r="L2872" s="35" t="str">
        <x:v>FAIL</x:v>
      </x:c>
      <x:c r="M2872" s="35" t="str">
        <x:v>numeric coverage for applicable metric</x:v>
      </x:c>
      <x:c r="N2872" s="35" t="str">
        <x:v>Deepseek-flash-v4/Result2/Compress_30/result.json</x:v>
      </x:c>
      <x:c r="O2872" s="39" t="n">
        <x:f>IF(AND(G2872="RECORDED",ISNUMBER(H2872)),H2872,"")</x:f>
        <x:v>7.17</x:v>
      </x:c>
      <x:c r="P2872" s="35" t="str">
        <x:v>INCONCLUSIVE</x:v>
      </x:c>
      <x:c r="Q2872" s="35" t="str">
        <x:v>Deepseek-flash-v4/Result2/Compress_30/result.json</x:v>
      </x:c>
    </x:row>
    <x:row r="2873">
      <x:c r="A2873" s="35" t="str">
        <x:v>deepseek</x:v>
      </x:c>
      <x:c r="B2873" s="35" t="str">
        <x:v>Compress</x:v>
      </x:c>
      <x:c r="C2873" s="35" t="str">
        <x:v>Round2</x:v>
      </x:c>
      <x:c r="D2873" s="35" t="str">
        <x:v>Compress_31</x:v>
      </x:c>
      <x:c r="E2873" s="35" t="str">
        <x:v>Condition</x:v>
      </x:c>
      <x:c r="F2873" s="35" t="n">
        <x:v>116</x:v>
      </x:c>
      <x:c r="G2873" s="35" t="str">
        <x:v>RECORDED</x:v>
      </x:c>
      <x:c r="H2873" s="39" t="n">
        <x:f>IF(ISNUMBER('Data'!N1165),'Data'!N1165*100,"")</x:f>
        <x:v>62.93</x:v>
      </x:c>
      <x:c r="I2873" s="35" t="str">
        <x:v>PASS</x:v>
      </x:c>
      <x:c r="J2873" s="35" t="str">
        <x:v>PASS</x:v>
      </x:c>
      <x:c r="K2873" s="35" t="str">
        <x:v>PASS</x:v>
      </x:c>
      <x:c r="L2873" s="35" t="str">
        <x:v>FAIL</x:v>
      </x:c>
      <x:c r="M2873" s="35" t="str">
        <x:v>numeric coverage for applicable metric</x:v>
      </x:c>
      <x:c r="N2873" s="35" t="str">
        <x:v>Deepseek-flash-v4/Result2/Compress_31/result.json</x:v>
      </x:c>
      <x:c r="O2873" s="39" t="n">
        <x:f>IF(AND(G2873="RECORDED",ISNUMBER(H2873)),H2873,"")</x:f>
        <x:v>62.93</x:v>
      </x:c>
      <x:c r="P2873" s="35" t="str">
        <x:v>INCONCLUSIVE</x:v>
      </x:c>
      <x:c r="Q2873" s="35" t="str">
        <x:v>Deepseek-flash-v4/Result2/Compress_31/result.json</x:v>
      </x:c>
    </x:row>
    <x:row r="2874">
      <x:c r="A2874" s="35" t="str">
        <x:v>deepseek</x:v>
      </x:c>
      <x:c r="B2874" s="35" t="str">
        <x:v>Compress</x:v>
      </x:c>
      <x:c r="C2874" s="35" t="str">
        <x:v>Round2</x:v>
      </x:c>
      <x:c r="D2874" s="35" t="str">
        <x:v>Compress_32</x:v>
      </x:c>
      <x:c r="E2874" s="35" t="str">
        <x:v>Condition</x:v>
      </x:c>
      <x:c r="F2874" s="35" t="n">
        <x:v>126</x:v>
      </x:c>
      <x:c r="G2874" s="35" t="str">
        <x:v>RECORDED</x:v>
      </x:c>
      <x:c r="H2874" s="39" t="n">
        <x:f>IF(ISNUMBER('Data'!N1166),'Data'!N1166*100,"")</x:f>
        <x:v>30.159999999999997</x:v>
      </x:c>
      <x:c r="I2874" s="35" t="str">
        <x:v>PASS</x:v>
      </x:c>
      <x:c r="J2874" s="35" t="str">
        <x:v>PASS</x:v>
      </x:c>
      <x:c r="K2874" s="35" t="str">
        <x:v>PASS</x:v>
      </x:c>
      <x:c r="L2874" s="35" t="str">
        <x:v>FAIL</x:v>
      </x:c>
      <x:c r="M2874" s="35" t="str">
        <x:v>numeric coverage for applicable metric</x:v>
      </x:c>
      <x:c r="N2874" s="35" t="str">
        <x:v>Deepseek-flash-v4/Result2/Compress_32/result.json</x:v>
      </x:c>
      <x:c r="O2874" s="39" t="n">
        <x:f>IF(AND(G2874="RECORDED",ISNUMBER(H2874)),H2874,"")</x:f>
        <x:v>30.159999999999997</x:v>
      </x:c>
      <x:c r="P2874" s="35" t="str">
        <x:v>INCONCLUSIVE</x:v>
      </x:c>
      <x:c r="Q2874" s="35" t="str">
        <x:v>Deepseek-flash-v4/Result2/Compress_32/result.json</x:v>
      </x:c>
    </x:row>
    <x:row r="2875">
      <x:c r="A2875" s="35" t="str">
        <x:v>deepseek</x:v>
      </x:c>
      <x:c r="B2875" s="35" t="str">
        <x:v>Compress</x:v>
      </x:c>
      <x:c r="C2875" s="35" t="str">
        <x:v>Round2</x:v>
      </x:c>
      <x:c r="D2875" s="35" t="str">
        <x:v>Compress_33</x:v>
      </x:c>
      <x:c r="E2875" s="35" t="str">
        <x:v>Condition</x:v>
      </x:c>
      <x:c r="F2875" s="35"/>
      <x:c r="G2875" s="35" t="str">
        <x:v>A</x:v>
      </x:c>
      <x:c r="H2875" s="39" t="str">
        <x:f>IF(ISNUMBER('Data'!N1167),'Data'!N1167*100,"")</x:f>
      </x:c>
      <x:c r="I2875" s="35"/>
      <x:c r="J2875" s="35" t="str">
        <x:v>PASS</x:v>
      </x:c>
      <x:c r="K2875" s="35" t="str">
        <x:v>FAIL</x:v>
      </x:c>
      <x:c r="L2875" s="35" t="str">
        <x:v>NOT_RUN</x:v>
      </x:c>
      <x:c r="M2875" s="35" t="str">
        <x:v>coverage unavailable or execution/compile failed</x:v>
      </x:c>
      <x:c r="N2875" s="35" t="str">
        <x:v>Deepseek-flash-v4/Result2/Compress_33/result.json</x:v>
      </x:c>
      <x:c r="O2875" s="39" t="str">
        <x:f>IF(AND(G2875="RECORDED",ISNUMBER(H2875)),H2875,"")</x:f>
      </x:c>
      <x:c r="P2875" s="35" t="str">
        <x:v>NOT_AVAILABLE</x:v>
      </x:c>
      <x:c r="Q2875" s="35" t="str">
        <x:v>Deepseek-flash-v4/Result2/Compress_33/result.json</x:v>
      </x:c>
    </x:row>
    <x:row r="2876">
      <x:c r="A2876" s="35" t="str">
        <x:v>deepseek</x:v>
      </x:c>
      <x:c r="B2876" s="35" t="str">
        <x:v>Compress</x:v>
      </x:c>
      <x:c r="C2876" s="35" t="str">
        <x:v>Round2</x:v>
      </x:c>
      <x:c r="D2876" s="35" t="str">
        <x:v>Compress_34</x:v>
      </x:c>
      <x:c r="E2876" s="35" t="str">
        <x:v>Condition</x:v>
      </x:c>
      <x:c r="F2876" s="35" t="n">
        <x:v>14</x:v>
      </x:c>
      <x:c r="G2876" s="35" t="str">
        <x:v>RECORDED</x:v>
      </x:c>
      <x:c r="H2876" s="39" t="n">
        <x:f>IF(ISNUMBER('Data'!N1168),'Data'!N1168*100,"")</x:f>
        <x:v>92.86</x:v>
      </x:c>
      <x:c r="I2876" s="35" t="str">
        <x:v>PASS</x:v>
      </x:c>
      <x:c r="J2876" s="35" t="str">
        <x:v>PASS</x:v>
      </x:c>
      <x:c r="K2876" s="35" t="str">
        <x:v>PASS</x:v>
      </x:c>
      <x:c r="L2876" s="35" t="str">
        <x:v>FAIL</x:v>
      </x:c>
      <x:c r="M2876" s="35" t="str">
        <x:v>numeric coverage for applicable metric</x:v>
      </x:c>
      <x:c r="N2876" s="35" t="str">
        <x:v>Deepseek-flash-v4/Result2/Compress_34/result.json</x:v>
      </x:c>
      <x:c r="O2876" s="39" t="n">
        <x:f>IF(AND(G2876="RECORDED",ISNUMBER(H2876)),H2876,"")</x:f>
        <x:v>92.86</x:v>
      </x:c>
      <x:c r="P2876" s="35" t="str">
        <x:v>INCONCLUSIVE</x:v>
      </x:c>
      <x:c r="Q2876" s="35" t="str">
        <x:v>Deepseek-flash-v4/Result2/Compress_34/result.json</x:v>
      </x:c>
    </x:row>
    <x:row r="2877">
      <x:c r="A2877" s="35" t="str">
        <x:v>deepseek</x:v>
      </x:c>
      <x:c r="B2877" s="35" t="str">
        <x:v>Compress</x:v>
      </x:c>
      <x:c r="C2877" s="35" t="str">
        <x:v>Round2</x:v>
      </x:c>
      <x:c r="D2877" s="35" t="str">
        <x:v>Compress_35</x:v>
      </x:c>
      <x:c r="E2877" s="35" t="str">
        <x:v>Condition</x:v>
      </x:c>
      <x:c r="F2877" s="35" t="n">
        <x:v>112</x:v>
      </x:c>
      <x:c r="G2877" s="35" t="str">
        <x:v>RECORDED</x:v>
      </x:c>
      <x:c r="H2877" s="39" t="n">
        <x:f>IF(ISNUMBER('Data'!N1169),'Data'!N1169*100,"")</x:f>
        <x:v>60.709999999999994</x:v>
      </x:c>
      <x:c r="I2877" s="35" t="str">
        <x:v>PASS</x:v>
      </x:c>
      <x:c r="J2877" s="35" t="str">
        <x:v>PASS</x:v>
      </x:c>
      <x:c r="K2877" s="35" t="str">
        <x:v>PASS</x:v>
      </x:c>
      <x:c r="L2877" s="35" t="str">
        <x:v>FAIL</x:v>
      </x:c>
      <x:c r="M2877" s="35" t="str">
        <x:v>numeric coverage for applicable metric</x:v>
      </x:c>
      <x:c r="N2877" s="35" t="str">
        <x:v>Deepseek-flash-v4/Result2/Compress_35/result.json</x:v>
      </x:c>
      <x:c r="O2877" s="39" t="n">
        <x:f>IF(AND(G2877="RECORDED",ISNUMBER(H2877)),H2877,"")</x:f>
        <x:v>60.709999999999994</x:v>
      </x:c>
      <x:c r="P2877" s="35" t="str">
        <x:v>INCONCLUSIVE</x:v>
      </x:c>
      <x:c r="Q2877" s="35" t="str">
        <x:v>Deepseek-flash-v4/Result2/Compress_35/result.json</x:v>
      </x:c>
    </x:row>
    <x:row r="2878">
      <x:c r="A2878" s="35" t="str">
        <x:v>deepseek</x:v>
      </x:c>
      <x:c r="B2878" s="35" t="str">
        <x:v>Compress</x:v>
      </x:c>
      <x:c r="C2878" s="35" t="str">
        <x:v>Round2</x:v>
      </x:c>
      <x:c r="D2878" s="35" t="str">
        <x:v>Compress_36</x:v>
      </x:c>
      <x:c r="E2878" s="35" t="str">
        <x:v>Condition</x:v>
      </x:c>
      <x:c r="F2878" s="35" t="n">
        <x:v>303</x:v>
      </x:c>
      <x:c r="G2878" s="35" t="str">
        <x:v>RECORDED</x:v>
      </x:c>
      <x:c r="H2878" s="39" t="n">
        <x:f>IF(ISNUMBER('Data'!N1170),'Data'!N1170*100,"")</x:f>
        <x:v>3.3000000000000003</x:v>
      </x:c>
      <x:c r="I2878" s="35" t="str">
        <x:v>PASS</x:v>
      </x:c>
      <x:c r="J2878" s="35" t="str">
        <x:v>PASS</x:v>
      </x:c>
      <x:c r="K2878" s="35" t="str">
        <x:v>PASS</x:v>
      </x:c>
      <x:c r="L2878" s="35" t="str">
        <x:v>FAIL</x:v>
      </x:c>
      <x:c r="M2878" s="35" t="str">
        <x:v>numeric coverage for applicable metric</x:v>
      </x:c>
      <x:c r="N2878" s="35" t="str">
        <x:v>Deepseek-flash-v4/Result2/Compress_36/result.json</x:v>
      </x:c>
      <x:c r="O2878" s="39" t="n">
        <x:f>IF(AND(G2878="RECORDED",ISNUMBER(H2878)),H2878,"")</x:f>
        <x:v>3.3000000000000003</x:v>
      </x:c>
      <x:c r="P2878" s="35" t="str">
        <x:v>INCONCLUSIVE</x:v>
      </x:c>
      <x:c r="Q2878" s="35" t="str">
        <x:v>Deepseek-flash-v4/Result2/Compress_36/result.json</x:v>
      </x:c>
    </x:row>
    <x:row r="2879">
      <x:c r="A2879" s="35" t="str">
        <x:v>deepseek</x:v>
      </x:c>
      <x:c r="B2879" s="35" t="str">
        <x:v>Compress</x:v>
      </x:c>
      <x:c r="C2879" s="35" t="str">
        <x:v>Round2</x:v>
      </x:c>
      <x:c r="D2879" s="35" t="str">
        <x:v>Compress_37</x:v>
      </x:c>
      <x:c r="E2879" s="35" t="str">
        <x:v>Condition</x:v>
      </x:c>
      <x:c r="F2879" s="35"/>
      <x:c r="G2879" s="35" t="str">
        <x:v>A</x:v>
      </x:c>
      <x:c r="H2879" s="39" t="str">
        <x:f>IF(ISNUMBER('Data'!N1171),'Data'!N1171*100,"")</x:f>
      </x:c>
      <x:c r="I2879" s="35"/>
      <x:c r="J2879" s="35" t="str">
        <x:v>PASS</x:v>
      </x:c>
      <x:c r="K2879" s="35" t="str">
        <x:v>FAIL</x:v>
      </x:c>
      <x:c r="L2879" s="35" t="str">
        <x:v>NOT_RUN</x:v>
      </x:c>
      <x:c r="M2879" s="35" t="str">
        <x:v>coverage unavailable or execution/compile failed</x:v>
      </x:c>
      <x:c r="N2879" s="35" t="str">
        <x:v>Deepseek-flash-v4/Result2/Compress_37/result.json</x:v>
      </x:c>
      <x:c r="O2879" s="39" t="str">
        <x:f>IF(AND(G2879="RECORDED",ISNUMBER(H2879)),H2879,"")</x:f>
      </x:c>
      <x:c r="P2879" s="35" t="str">
        <x:v>NOT_AVAILABLE</x:v>
      </x:c>
      <x:c r="Q2879" s="35" t="str">
        <x:v>Deepseek-flash-v4/Result2/Compress_37/result.json</x:v>
      </x:c>
    </x:row>
    <x:row r="2880">
      <x:c r="A2880" s="35" t="str">
        <x:v>deepseek</x:v>
      </x:c>
      <x:c r="B2880" s="35" t="str">
        <x:v>Compress</x:v>
      </x:c>
      <x:c r="C2880" s="35" t="str">
        <x:v>Round2</x:v>
      </x:c>
      <x:c r="D2880" s="35" t="str">
        <x:v>Compress_38</x:v>
      </x:c>
      <x:c r="E2880" s="35" t="str">
        <x:v>Condition</x:v>
      </x:c>
      <x:c r="F2880" s="35"/>
      <x:c r="G2880" s="35" t="str">
        <x:v>A</x:v>
      </x:c>
      <x:c r="H2880" s="39" t="str">
        <x:f>IF(ISNUMBER('Data'!N1172),'Data'!N1172*100,"")</x:f>
      </x:c>
      <x:c r="I2880" s="35"/>
      <x:c r="J2880" s="35" t="str">
        <x:v>PASS</x:v>
      </x:c>
      <x:c r="K2880" s="35" t="str">
        <x:v>FAIL</x:v>
      </x:c>
      <x:c r="L2880" s="35" t="str">
        <x:v>NOT_RUN</x:v>
      </x:c>
      <x:c r="M2880" s="35" t="str">
        <x:v>coverage unavailable or execution/compile failed</x:v>
      </x:c>
      <x:c r="N2880" s="35" t="str">
        <x:v>Deepseek-flash-v4/Result2/Compress_38/result.json</x:v>
      </x:c>
      <x:c r="O2880" s="39" t="str">
        <x:f>IF(AND(G2880="RECORDED",ISNUMBER(H2880)),H2880,"")</x:f>
      </x:c>
      <x:c r="P2880" s="35" t="str">
        <x:v>NOT_AVAILABLE</x:v>
      </x:c>
      <x:c r="Q2880" s="35" t="str">
        <x:v>Deepseek-flash-v4/Result2/Compress_38/result.json</x:v>
      </x:c>
    </x:row>
    <x:row r="2881">
      <x:c r="A2881" s="35" t="str">
        <x:v>deepseek</x:v>
      </x:c>
      <x:c r="B2881" s="35" t="str">
        <x:v>Compress</x:v>
      </x:c>
      <x:c r="C2881" s="35" t="str">
        <x:v>Round2</x:v>
      </x:c>
      <x:c r="D2881" s="35" t="str">
        <x:v>Compress_39</x:v>
      </x:c>
      <x:c r="E2881" s="35" t="str">
        <x:v>Condition</x:v>
      </x:c>
      <x:c r="F2881" s="35"/>
      <x:c r="G2881" s="35" t="str">
        <x:v>A</x:v>
      </x:c>
      <x:c r="H2881" s="39" t="str">
        <x:f>IF(ISNUMBER('Data'!N1173),'Data'!N1173*100,"")</x:f>
      </x:c>
      <x:c r="I2881" s="35"/>
      <x:c r="J2881" s="35" t="str">
        <x:v>PASS</x:v>
      </x:c>
      <x:c r="K2881" s="35" t="str">
        <x:v>FAIL</x:v>
      </x:c>
      <x:c r="L2881" s="35" t="str">
        <x:v>NOT_RUN</x:v>
      </x:c>
      <x:c r="M2881" s="35" t="str">
        <x:v>coverage unavailable or execution/compile failed</x:v>
      </x:c>
      <x:c r="N2881" s="35" t="str">
        <x:v>Deepseek-flash-v4/Result2/Compress_39/result.json</x:v>
      </x:c>
      <x:c r="O2881" s="39" t="str">
        <x:f>IF(AND(G2881="RECORDED",ISNUMBER(H2881)),H2881,"")</x:f>
      </x:c>
      <x:c r="P2881" s="35" t="str">
        <x:v>NOT_AVAILABLE</x:v>
      </x:c>
      <x:c r="Q2881" s="35" t="str">
        <x:v>Deepseek-flash-v4/Result2/Compress_39/result.json</x:v>
      </x:c>
    </x:row>
    <x:row r="2882">
      <x:c r="A2882" s="35" t="str">
        <x:v>deepseek</x:v>
      </x:c>
      <x:c r="B2882" s="35" t="str">
        <x:v>Compress</x:v>
      </x:c>
      <x:c r="C2882" s="35" t="str">
        <x:v>Round2</x:v>
      </x:c>
      <x:c r="D2882" s="35" t="str">
        <x:v>Compress_4</x:v>
      </x:c>
      <x:c r="E2882" s="35" t="str">
        <x:v>Condition</x:v>
      </x:c>
      <x:c r="F2882" s="35"/>
      <x:c r="G2882" s="35" t="str">
        <x:v>A</x:v>
      </x:c>
      <x:c r="H2882" s="39" t="str">
        <x:f>IF(ISNUMBER('Data'!N1174),'Data'!N1174*100,"")</x:f>
      </x:c>
      <x:c r="I2882" s="35"/>
      <x:c r="J2882" s="35" t="str">
        <x:v>PASS</x:v>
      </x:c>
      <x:c r="K2882" s="35" t="str">
        <x:v>FAIL</x:v>
      </x:c>
      <x:c r="L2882" s="35" t="str">
        <x:v>NOT_RUN</x:v>
      </x:c>
      <x:c r="M2882" s="35" t="str">
        <x:v>coverage unavailable or execution/compile failed</x:v>
      </x:c>
      <x:c r="N2882" s="35" t="str">
        <x:v>Deepseek-flash-v4/Result2/Compress_4/result.json</x:v>
      </x:c>
      <x:c r="O2882" s="39" t="str">
        <x:f>IF(AND(G2882="RECORDED",ISNUMBER(H2882)),H2882,"")</x:f>
      </x:c>
      <x:c r="P2882" s="35" t="str">
        <x:v>NOT_AVAILABLE</x:v>
      </x:c>
      <x:c r="Q2882" s="35" t="str">
        <x:v>Deepseek-flash-v4/Result2/Compress_4/result.json</x:v>
      </x:c>
    </x:row>
    <x:row r="2883">
      <x:c r="A2883" s="35" t="str">
        <x:v>deepseek</x:v>
      </x:c>
      <x:c r="B2883" s="35" t="str">
        <x:v>Compress</x:v>
      </x:c>
      <x:c r="C2883" s="35" t="str">
        <x:v>Round2</x:v>
      </x:c>
      <x:c r="D2883" s="35" t="str">
        <x:v>Compress_40</x:v>
      </x:c>
      <x:c r="E2883" s="35" t="str">
        <x:v>Condition</x:v>
      </x:c>
      <x:c r="F2883" s="35" t="n">
        <x:v>12</x:v>
      </x:c>
      <x:c r="G2883" s="35" t="str">
        <x:v>RECORDED</x:v>
      </x:c>
      <x:c r="H2883" s="39" t="n">
        <x:f>IF(ISNUMBER('Data'!N1175),'Data'!N1175*100,"")</x:f>
        <x:v>100</x:v>
      </x:c>
      <x:c r="I2883" s="35" t="str">
        <x:v>PASS</x:v>
      </x:c>
      <x:c r="J2883" s="35" t="str">
        <x:v>PASS</x:v>
      </x:c>
      <x:c r="K2883" s="35" t="str">
        <x:v>PASS</x:v>
      </x:c>
      <x:c r="L2883" s="35" t="str">
        <x:v>PASS</x:v>
      </x:c>
      <x:c r="M2883" s="35" t="str">
        <x:v>numeric coverage for applicable metric</x:v>
      </x:c>
      <x:c r="N2883" s="35" t="str">
        <x:v>Deepseek-flash-v4/Result2/Compress_40/result.json</x:v>
      </x:c>
      <x:c r="O2883" s="39" t="n">
        <x:f>IF(AND(G2883="RECORDED",ISNUMBER(H2883)),H2883,"")</x:f>
        <x:v>100</x:v>
      </x:c>
      <x:c r="P2883" s="35" t="str">
        <x:v>NOT_REVEALING</x:v>
      </x:c>
      <x:c r="Q2883" s="35" t="str">
        <x:v>Deepseek-flash-v4/Result2/Compress_40/result.json</x:v>
      </x:c>
    </x:row>
    <x:row r="2884">
      <x:c r="A2884" s="35" t="str">
        <x:v>deepseek</x:v>
      </x:c>
      <x:c r="B2884" s="35" t="str">
        <x:v>Compress</x:v>
      </x:c>
      <x:c r="C2884" s="35" t="str">
        <x:v>Round2</x:v>
      </x:c>
      <x:c r="D2884" s="35" t="str">
        <x:v>Compress_41</x:v>
      </x:c>
      <x:c r="E2884" s="35" t="str">
        <x:v>Condition</x:v>
      </x:c>
      <x:c r="F2884" s="35"/>
      <x:c r="G2884" s="35" t="str">
        <x:v>A</x:v>
      </x:c>
      <x:c r="H2884" s="39" t="str">
        <x:f>IF(ISNUMBER('Data'!N1176),'Data'!N1176*100,"")</x:f>
      </x:c>
      <x:c r="I2884" s="35"/>
      <x:c r="J2884" s="35" t="str">
        <x:v>PASS</x:v>
      </x:c>
      <x:c r="K2884" s="35" t="str">
        <x:v>FAIL</x:v>
      </x:c>
      <x:c r="L2884" s="35" t="str">
        <x:v>NOT_RUN</x:v>
      </x:c>
      <x:c r="M2884" s="35" t="str">
        <x:v>coverage unavailable or execution/compile failed</x:v>
      </x:c>
      <x:c r="N2884" s="35" t="str">
        <x:v>Deepseek-flash-v4/Result2/Compress_41/result.json</x:v>
      </x:c>
      <x:c r="O2884" s="39" t="str">
        <x:f>IF(AND(G2884="RECORDED",ISNUMBER(H2884)),H2884,"")</x:f>
      </x:c>
      <x:c r="P2884" s="35" t="str">
        <x:v>NOT_AVAILABLE</x:v>
      </x:c>
      <x:c r="Q2884" s="35" t="str">
        <x:v>Deepseek-flash-v4/Result2/Compress_41/result.json</x:v>
      </x:c>
    </x:row>
    <x:row r="2885">
      <x:c r="A2885" s="35" t="str">
        <x:v>deepseek</x:v>
      </x:c>
      <x:c r="B2885" s="35" t="str">
        <x:v>Compress</x:v>
      </x:c>
      <x:c r="C2885" s="35" t="str">
        <x:v>Round2</x:v>
      </x:c>
      <x:c r="D2885" s="35" t="str">
        <x:v>Compress_42</x:v>
      </x:c>
      <x:c r="E2885" s="35" t="str">
        <x:v>Condition</x:v>
      </x:c>
      <x:c r="F2885" s="35" t="n">
        <x:v>132</x:v>
      </x:c>
      <x:c r="G2885" s="35" t="str">
        <x:v>RECORDED</x:v>
      </x:c>
      <x:c r="H2885" s="39" t="n">
        <x:f>IF(ISNUMBER('Data'!N1177),'Data'!N1177*100,"")</x:f>
        <x:v>66.67</x:v>
      </x:c>
      <x:c r="I2885" s="35" t="str">
        <x:v>PASS</x:v>
      </x:c>
      <x:c r="J2885" s="35" t="str">
        <x:v>PASS</x:v>
      </x:c>
      <x:c r="K2885" s="35" t="str">
        <x:v>PASS</x:v>
      </x:c>
      <x:c r="L2885" s="35" t="str">
        <x:v>FAIL</x:v>
      </x:c>
      <x:c r="M2885" s="35" t="str">
        <x:v>numeric coverage for applicable metric</x:v>
      </x:c>
      <x:c r="N2885" s="35" t="str">
        <x:v>Deepseek-flash-v4/Result2/Compress_42/result.json</x:v>
      </x:c>
      <x:c r="O2885" s="39" t="n">
        <x:f>IF(AND(G2885="RECORDED",ISNUMBER(H2885)),H2885,"")</x:f>
        <x:v>66.67</x:v>
      </x:c>
      <x:c r="P2885" s="35" t="str">
        <x:v>INCONCLUSIVE</x:v>
      </x:c>
      <x:c r="Q2885" s="35" t="str">
        <x:v>Deepseek-flash-v4/Result2/Compress_42/result.json</x:v>
      </x:c>
    </x:row>
    <x:row r="2886">
      <x:c r="A2886" s="35" t="str">
        <x:v>deepseek</x:v>
      </x:c>
      <x:c r="B2886" s="35" t="str">
        <x:v>Compress</x:v>
      </x:c>
      <x:c r="C2886" s="35" t="str">
        <x:v>Round2</x:v>
      </x:c>
      <x:c r="D2886" s="35" t="str">
        <x:v>Compress_43</x:v>
      </x:c>
      <x:c r="E2886" s="35" t="str">
        <x:v>Condition</x:v>
      </x:c>
      <x:c r="F2886" s="35"/>
      <x:c r="G2886" s="35" t="str">
        <x:v>A</x:v>
      </x:c>
      <x:c r="H2886" s="39" t="str">
        <x:f>IF(ISNUMBER('Data'!N1178),'Data'!N1178*100,"")</x:f>
      </x:c>
      <x:c r="I2886" s="35"/>
      <x:c r="J2886" s="35" t="str">
        <x:v>PASS</x:v>
      </x:c>
      <x:c r="K2886" s="35" t="str">
        <x:v>FAIL</x:v>
      </x:c>
      <x:c r="L2886" s="35" t="str">
        <x:v>NOT_RUN</x:v>
      </x:c>
      <x:c r="M2886" s="35" t="str">
        <x:v>coverage unavailable or execution/compile failed</x:v>
      </x:c>
      <x:c r="N2886" s="35" t="str">
        <x:v>Deepseek-flash-v4/Result2/Compress_43/result.json</x:v>
      </x:c>
      <x:c r="O2886" s="39" t="str">
        <x:f>IF(AND(G2886="RECORDED",ISNUMBER(H2886)),H2886,"")</x:f>
      </x:c>
      <x:c r="P2886" s="35" t="str">
        <x:v>NOT_AVAILABLE</x:v>
      </x:c>
      <x:c r="Q2886" s="35" t="str">
        <x:v>Deepseek-flash-v4/Result2/Compress_43/result.json</x:v>
      </x:c>
    </x:row>
    <x:row r="2887">
      <x:c r="A2887" s="35" t="str">
        <x:v>deepseek</x:v>
      </x:c>
      <x:c r="B2887" s="35" t="str">
        <x:v>Compress</x:v>
      </x:c>
      <x:c r="C2887" s="35" t="str">
        <x:v>Round2</x:v>
      </x:c>
      <x:c r="D2887" s="35" t="str">
        <x:v>Compress_44</x:v>
      </x:c>
      <x:c r="E2887" s="35" t="str">
        <x:v>Condition</x:v>
      </x:c>
      <x:c r="F2887" s="35" t="n">
        <x:v>6</x:v>
      </x:c>
      <x:c r="G2887" s="35" t="str">
        <x:v>RECORDED</x:v>
      </x:c>
      <x:c r="H2887" s="39" t="n">
        <x:f>IF(ISNUMBER('Data'!N1179),'Data'!N1179*100,"")</x:f>
        <x:v>100</x:v>
      </x:c>
      <x:c r="I2887" s="35" t="str">
        <x:v>PASS</x:v>
      </x:c>
      <x:c r="J2887" s="35" t="str">
        <x:v>PASS</x:v>
      </x:c>
      <x:c r="K2887" s="35" t="str">
        <x:v>PASS</x:v>
      </x:c>
      <x:c r="L2887" s="35" t="str">
        <x:v>FAIL</x:v>
      </x:c>
      <x:c r="M2887" s="35" t="str">
        <x:v>numeric coverage for applicable metric</x:v>
      </x:c>
      <x:c r="N2887" s="35" t="str">
        <x:v>Deepseek-flash-v4/Result2/Compress_44/result.json</x:v>
      </x:c>
      <x:c r="O2887" s="39" t="n">
        <x:f>IF(AND(G2887="RECORDED",ISNUMBER(H2887)),H2887,"")</x:f>
        <x:v>100</x:v>
      </x:c>
      <x:c r="P2887" s="35" t="str">
        <x:v>INCONCLUSIVE</x:v>
      </x:c>
      <x:c r="Q2887" s="35" t="str">
        <x:v>Deepseek-flash-v4/Result2/Compress_44/result.json</x:v>
      </x:c>
    </x:row>
    <x:row r="2888">
      <x:c r="A2888" s="35" t="str">
        <x:v>deepseek</x:v>
      </x:c>
      <x:c r="B2888" s="35" t="str">
        <x:v>Compress</x:v>
      </x:c>
      <x:c r="C2888" s="35" t="str">
        <x:v>Round2</x:v>
      </x:c>
      <x:c r="D2888" s="35" t="str">
        <x:v>Compress_45</x:v>
      </x:c>
      <x:c r="E2888" s="35" t="str">
        <x:v>Condition</x:v>
      </x:c>
      <x:c r="F2888" s="35" t="n">
        <x:v>108</x:v>
      </x:c>
      <x:c r="G2888" s="35" t="str">
        <x:v>RECORDED</x:v>
      </x:c>
      <x:c r="H2888" s="39" t="n">
        <x:f>IF(ISNUMBER('Data'!N1180),'Data'!N1180*100,"")</x:f>
        <x:v>61.11</x:v>
      </x:c>
      <x:c r="I2888" s="35" t="str">
        <x:v>PASS</x:v>
      </x:c>
      <x:c r="J2888" s="35" t="str">
        <x:v>PASS</x:v>
      </x:c>
      <x:c r="K2888" s="35" t="str">
        <x:v>PASS</x:v>
      </x:c>
      <x:c r="L2888" s="35" t="str">
        <x:v>FAIL</x:v>
      </x:c>
      <x:c r="M2888" s="35" t="str">
        <x:v>numeric coverage for applicable metric</x:v>
      </x:c>
      <x:c r="N2888" s="35" t="str">
        <x:v>Deepseek-flash-v4/Result2/Compress_45/result.json</x:v>
      </x:c>
      <x:c r="O2888" s="39" t="n">
        <x:f>IF(AND(G2888="RECORDED",ISNUMBER(H2888)),H2888,"")</x:f>
        <x:v>61.11</x:v>
      </x:c>
      <x:c r="P2888" s="35" t="str">
        <x:v>INCONCLUSIVE</x:v>
      </x:c>
      <x:c r="Q2888" s="35" t="str">
        <x:v>Deepseek-flash-v4/Result2/Compress_45/result.json</x:v>
      </x:c>
    </x:row>
    <x:row r="2889">
      <x:c r="A2889" s="35" t="str">
        <x:v>deepseek</x:v>
      </x:c>
      <x:c r="B2889" s="35" t="str">
        <x:v>Compress</x:v>
      </x:c>
      <x:c r="C2889" s="35" t="str">
        <x:v>Round2</x:v>
      </x:c>
      <x:c r="D2889" s="35" t="str">
        <x:v>Compress_46</x:v>
      </x:c>
      <x:c r="E2889" s="35" t="str">
        <x:v>Condition</x:v>
      </x:c>
      <x:c r="F2889" s="35" t="n">
        <x:v>96</x:v>
      </x:c>
      <x:c r="G2889" s="35" t="str">
        <x:v>RECORDED</x:v>
      </x:c>
      <x:c r="H2889" s="39" t="n">
        <x:f>IF(ISNUMBER('Data'!N1181),'Data'!N1181*100,"")</x:f>
        <x:v>75</x:v>
      </x:c>
      <x:c r="I2889" s="35" t="str">
        <x:v>PASS</x:v>
      </x:c>
      <x:c r="J2889" s="35" t="str">
        <x:v>PASS</x:v>
      </x:c>
      <x:c r="K2889" s="35" t="str">
        <x:v>PASS</x:v>
      </x:c>
      <x:c r="L2889" s="35" t="str">
        <x:v>FAIL</x:v>
      </x:c>
      <x:c r="M2889" s="35" t="str">
        <x:v>numeric coverage for applicable metric</x:v>
      </x:c>
      <x:c r="N2889" s="35" t="str">
        <x:v>Deepseek-flash-v4/Result2/Compress_46/result.json</x:v>
      </x:c>
      <x:c r="O2889" s="39" t="n">
        <x:f>IF(AND(G2889="RECORDED",ISNUMBER(H2889)),H2889,"")</x:f>
        <x:v>75</x:v>
      </x:c>
      <x:c r="P2889" s="35" t="str">
        <x:v>INCONCLUSIVE</x:v>
      </x:c>
      <x:c r="Q2889" s="35" t="str">
        <x:v>Deepseek-flash-v4/Result2/Compress_46/result.json</x:v>
      </x:c>
    </x:row>
    <x:row r="2890">
      <x:c r="A2890" s="35" t="str">
        <x:v>deepseek</x:v>
      </x:c>
      <x:c r="B2890" s="35" t="str">
        <x:v>Compress</x:v>
      </x:c>
      <x:c r="C2890" s="35" t="str">
        <x:v>Round2</x:v>
      </x:c>
      <x:c r="D2890" s="35" t="str">
        <x:v>Compress_47</x:v>
      </x:c>
      <x:c r="E2890" s="35" t="str">
        <x:v>Condition</x:v>
      </x:c>
      <x:c r="F2890" s="35" t="n">
        <x:v>273</x:v>
      </x:c>
      <x:c r="G2890" s="35" t="str">
        <x:v>RECORDED</x:v>
      </x:c>
      <x:c r="H2890" s="39" t="n">
        <x:f>IF(ISNUMBER('Data'!N1182),'Data'!N1182*100,"")</x:f>
        <x:v>47.25</x:v>
      </x:c>
      <x:c r="I2890" s="35" t="str">
        <x:v>PASS</x:v>
      </x:c>
      <x:c r="J2890" s="35" t="str">
        <x:v>PASS</x:v>
      </x:c>
      <x:c r="K2890" s="35" t="str">
        <x:v>PASS</x:v>
      </x:c>
      <x:c r="L2890" s="35" t="str">
        <x:v>FAIL</x:v>
      </x:c>
      <x:c r="M2890" s="35" t="str">
        <x:v>numeric coverage for applicable metric</x:v>
      </x:c>
      <x:c r="N2890" s="35" t="str">
        <x:v>Deepseek-flash-v4/Result2/Compress_47/result.json</x:v>
      </x:c>
      <x:c r="O2890" s="39" t="n">
        <x:f>IF(AND(G2890="RECORDED",ISNUMBER(H2890)),H2890,"")</x:f>
        <x:v>47.25</x:v>
      </x:c>
      <x:c r="P2890" s="35" t="str">
        <x:v>INCONCLUSIVE</x:v>
      </x:c>
      <x:c r="Q2890" s="35" t="str">
        <x:v>Deepseek-flash-v4/Result2/Compress_47/result.json</x:v>
      </x:c>
    </x:row>
    <x:row r="2891">
      <x:c r="A2891" s="35" t="str">
        <x:v>deepseek</x:v>
      </x:c>
      <x:c r="B2891" s="35" t="str">
        <x:v>Compress</x:v>
      </x:c>
      <x:c r="C2891" s="35" t="str">
        <x:v>Round2</x:v>
      </x:c>
      <x:c r="D2891" s="35" t="str">
        <x:v>Compress_5</x:v>
      </x:c>
      <x:c r="E2891" s="35" t="str">
        <x:v>Condition</x:v>
      </x:c>
      <x:c r="F2891" s="35" t="n">
        <x:v>94</x:v>
      </x:c>
      <x:c r="G2891" s="35" t="str">
        <x:v>RECORDED</x:v>
      </x:c>
      <x:c r="H2891" s="39" t="n">
        <x:f>IF(ISNUMBER('Data'!N1183),'Data'!N1183*100,"")</x:f>
        <x:v>74.47</x:v>
      </x:c>
      <x:c r="I2891" s="35" t="str">
        <x:v>PASS</x:v>
      </x:c>
      <x:c r="J2891" s="35" t="str">
        <x:v>PASS</x:v>
      </x:c>
      <x:c r="K2891" s="35" t="str">
        <x:v>PASS</x:v>
      </x:c>
      <x:c r="L2891" s="35" t="str">
        <x:v>FAIL</x:v>
      </x:c>
      <x:c r="M2891" s="35" t="str">
        <x:v>numeric coverage for applicable metric</x:v>
      </x:c>
      <x:c r="N2891" s="35" t="str">
        <x:v>Deepseek-flash-v4/Result2/Compress_5/result.json</x:v>
      </x:c>
      <x:c r="O2891" s="39" t="n">
        <x:f>IF(AND(G2891="RECORDED",ISNUMBER(H2891)),H2891,"")</x:f>
        <x:v>74.47</x:v>
      </x:c>
      <x:c r="P2891" s="35" t="str">
        <x:v>INCONCLUSIVE</x:v>
      </x:c>
      <x:c r="Q2891" s="35" t="str">
        <x:v>Deepseek-flash-v4/Result2/Compress_5/result.json</x:v>
      </x:c>
    </x:row>
    <x:row r="2892">
      <x:c r="A2892" s="35" t="str">
        <x:v>deepseek</x:v>
      </x:c>
      <x:c r="B2892" s="35" t="str">
        <x:v>Compress</x:v>
      </x:c>
      <x:c r="C2892" s="35" t="str">
        <x:v>Round2</x:v>
      </x:c>
      <x:c r="D2892" s="35" t="str">
        <x:v>Compress_6</x:v>
      </x:c>
      <x:c r="E2892" s="35" t="str">
        <x:v>Condition</x:v>
      </x:c>
      <x:c r="F2892" s="35"/>
      <x:c r="G2892" s="35" t="str">
        <x:v>A</x:v>
      </x:c>
      <x:c r="H2892" s="39" t="str">
        <x:f>IF(ISNUMBER('Data'!N1184),'Data'!N1184*100,"")</x:f>
      </x:c>
      <x:c r="I2892" s="35"/>
      <x:c r="J2892" s="35" t="str">
        <x:v>PASS</x:v>
      </x:c>
      <x:c r="K2892" s="35" t="str">
        <x:v>FAIL</x:v>
      </x:c>
      <x:c r="L2892" s="35" t="str">
        <x:v>NOT_RUN</x:v>
      </x:c>
      <x:c r="M2892" s="35" t="str">
        <x:v>coverage unavailable or execution/compile failed</x:v>
      </x:c>
      <x:c r="N2892" s="35" t="str">
        <x:v>Deepseek-flash-v4/Result2/Compress_6/result.json</x:v>
      </x:c>
      <x:c r="O2892" s="39" t="str">
        <x:f>IF(AND(G2892="RECORDED",ISNUMBER(H2892)),H2892,"")</x:f>
      </x:c>
      <x:c r="P2892" s="35" t="str">
        <x:v>NOT_AVAILABLE</x:v>
      </x:c>
      <x:c r="Q2892" s="35" t="str">
        <x:v>Deepseek-flash-v4/Result2/Compress_6/result.json</x:v>
      </x:c>
    </x:row>
    <x:row r="2893">
      <x:c r="A2893" s="35" t="str">
        <x:v>deepseek</x:v>
      </x:c>
      <x:c r="B2893" s="35" t="str">
        <x:v>Compress</x:v>
      </x:c>
      <x:c r="C2893" s="35" t="str">
        <x:v>Round2</x:v>
      </x:c>
      <x:c r="D2893" s="35" t="str">
        <x:v>Compress_7</x:v>
      </x:c>
      <x:c r="E2893" s="35" t="str">
        <x:v>Condition</x:v>
      </x:c>
      <x:c r="F2893" s="35" t="n">
        <x:v>38</x:v>
      </x:c>
      <x:c r="G2893" s="35" t="str">
        <x:v>RECORDED</x:v>
      </x:c>
      <x:c r="H2893" s="39" t="n">
        <x:f>IF(ISNUMBER('Data'!N1185),'Data'!N1185*100,"")</x:f>
        <x:v>92.11</x:v>
      </x:c>
      <x:c r="I2893" s="35" t="str">
        <x:v>PASS</x:v>
      </x:c>
      <x:c r="J2893" s="35" t="str">
        <x:v>PASS</x:v>
      </x:c>
      <x:c r="K2893" s="35" t="str">
        <x:v>PASS</x:v>
      </x:c>
      <x:c r="L2893" s="35" t="str">
        <x:v>FAIL</x:v>
      </x:c>
      <x:c r="M2893" s="35" t="str">
        <x:v>numeric coverage for applicable metric</x:v>
      </x:c>
      <x:c r="N2893" s="35" t="str">
        <x:v>Deepseek-flash-v4/Result2/Compress_7/result.json</x:v>
      </x:c>
      <x:c r="O2893" s="39" t="n">
        <x:f>IF(AND(G2893="RECORDED",ISNUMBER(H2893)),H2893,"")</x:f>
        <x:v>92.11</x:v>
      </x:c>
      <x:c r="P2893" s="35" t="str">
        <x:v>INCONCLUSIVE</x:v>
      </x:c>
      <x:c r="Q2893" s="35" t="str">
        <x:v>Deepseek-flash-v4/Result2/Compress_7/result.json</x:v>
      </x:c>
    </x:row>
    <x:row r="2894">
      <x:c r="A2894" s="35" t="str">
        <x:v>deepseek</x:v>
      </x:c>
      <x:c r="B2894" s="35" t="str">
        <x:v>Compress</x:v>
      </x:c>
      <x:c r="C2894" s="35" t="str">
        <x:v>Round2</x:v>
      </x:c>
      <x:c r="D2894" s="35" t="str">
        <x:v>Compress_8</x:v>
      </x:c>
      <x:c r="E2894" s="35" t="str">
        <x:v>Condition</x:v>
      </x:c>
      <x:c r="F2894" s="35" t="n">
        <x:v>38</x:v>
      </x:c>
      <x:c r="G2894" s="35" t="str">
        <x:v>RECORDED</x:v>
      </x:c>
      <x:c r="H2894" s="39" t="n">
        <x:f>IF(ISNUMBER('Data'!N1186),'Data'!N1186*100,"")</x:f>
        <x:v>92.11</x:v>
      </x:c>
      <x:c r="I2894" s="35" t="str">
        <x:v>PASS</x:v>
      </x:c>
      <x:c r="J2894" s="35" t="str">
        <x:v>PASS</x:v>
      </x:c>
      <x:c r="K2894" s="35" t="str">
        <x:v>PASS</x:v>
      </x:c>
      <x:c r="L2894" s="35" t="str">
        <x:v>FAIL</x:v>
      </x:c>
      <x:c r="M2894" s="35" t="str">
        <x:v>numeric coverage for applicable metric</x:v>
      </x:c>
      <x:c r="N2894" s="35" t="str">
        <x:v>Deepseek-flash-v4/Result2/Compress_8/result.json</x:v>
      </x:c>
      <x:c r="O2894" s="39" t="n">
        <x:f>IF(AND(G2894="RECORDED",ISNUMBER(H2894)),H2894,"")</x:f>
        <x:v>92.11</x:v>
      </x:c>
      <x:c r="P2894" s="35" t="str">
        <x:v>INCONCLUSIVE</x:v>
      </x:c>
      <x:c r="Q2894" s="35" t="str">
        <x:v>Deepseek-flash-v4/Result2/Compress_8/result.json</x:v>
      </x:c>
    </x:row>
    <x:row r="2895">
      <x:c r="A2895" s="35" t="str">
        <x:v>deepseek</x:v>
      </x:c>
      <x:c r="B2895" s="35" t="str">
        <x:v>Compress</x:v>
      </x:c>
      <x:c r="C2895" s="35" t="str">
        <x:v>Round2</x:v>
      </x:c>
      <x:c r="D2895" s="35" t="str">
        <x:v>Compress_9</x:v>
      </x:c>
      <x:c r="E2895" s="35" t="str">
        <x:v>Condition</x:v>
      </x:c>
      <x:c r="F2895" s="35" t="n">
        <x:v>42</x:v>
      </x:c>
      <x:c r="G2895" s="35" t="str">
        <x:v>RECORDED</x:v>
      </x:c>
      <x:c r="H2895" s="39" t="n">
        <x:f>IF(ISNUMBER('Data'!N1187),'Data'!N1187*100,"")</x:f>
        <x:v>83.33</x:v>
      </x:c>
      <x:c r="I2895" s="35" t="str">
        <x:v>PASS</x:v>
      </x:c>
      <x:c r="J2895" s="35" t="str">
        <x:v>PASS</x:v>
      </x:c>
      <x:c r="K2895" s="35" t="str">
        <x:v>PASS</x:v>
      </x:c>
      <x:c r="L2895" s="35" t="str">
        <x:v>FAIL</x:v>
      </x:c>
      <x:c r="M2895" s="35" t="str">
        <x:v>numeric coverage for applicable metric</x:v>
      </x:c>
      <x:c r="N2895" s="35" t="str">
        <x:v>Deepseek-flash-v4/Result2/Compress_9/result.json</x:v>
      </x:c>
      <x:c r="O2895" s="39" t="n">
        <x:f>IF(AND(G2895="RECORDED",ISNUMBER(H2895)),H2895,"")</x:f>
        <x:v>83.33</x:v>
      </x:c>
      <x:c r="P2895" s="35" t="str">
        <x:v>INCONCLUSIVE</x:v>
      </x:c>
      <x:c r="Q2895" s="35" t="str">
        <x:v>Deepseek-flash-v4/Result2/Compress_9/result.json</x:v>
      </x:c>
    </x:row>
    <x:row r="2896">
      <x:c r="A2896" s="35" t="str">
        <x:v>deepseek</x:v>
      </x:c>
      <x:c r="B2896" s="35" t="str">
        <x:v>Csv</x:v>
      </x:c>
      <x:c r="C2896" s="35" t="str">
        <x:v>Round2</x:v>
      </x:c>
      <x:c r="D2896" s="35" t="str">
        <x:v>Csv_1</x:v>
      </x:c>
      <x:c r="E2896" s="35" t="str">
        <x:v>Condition</x:v>
      </x:c>
      <x:c r="F2896" s="35" t="n">
        <x:v>22</x:v>
      </x:c>
      <x:c r="G2896" s="35" t="str">
        <x:v>RECORDED</x:v>
      </x:c>
      <x:c r="H2896" s="39" t="n">
        <x:f>IF(ISNUMBER('Data'!N1188),'Data'!N1188*100,"")</x:f>
        <x:v>95.45</x:v>
      </x:c>
      <x:c r="I2896" s="35" t="str">
        <x:v>PASS</x:v>
      </x:c>
      <x:c r="J2896" s="35" t="str">
        <x:v>PASS</x:v>
      </x:c>
      <x:c r="K2896" s="35" t="str">
        <x:v>PASS</x:v>
      </x:c>
      <x:c r="L2896" s="35" t="str">
        <x:v>FAIL</x:v>
      </x:c>
      <x:c r="M2896" s="35" t="str">
        <x:v>numeric coverage for applicable metric</x:v>
      </x:c>
      <x:c r="N2896" s="35" t="str">
        <x:v>Deepseek-flash-v4/Result2/Csv_1/result.json</x:v>
      </x:c>
      <x:c r="O2896" s="39" t="n">
        <x:f>IF(AND(G2896="RECORDED",ISNUMBER(H2896)),H2896,"")</x:f>
        <x:v>95.45</x:v>
      </x:c>
      <x:c r="P2896" s="35" t="str">
        <x:v>INCONCLUSIVE</x:v>
      </x:c>
      <x:c r="Q2896" s="35" t="str">
        <x:v>Deepseek-flash-v4/Result2/Csv_1/result.json</x:v>
      </x:c>
    </x:row>
    <x:row r="2897">
      <x:c r="A2897" s="35" t="str">
        <x:v>deepseek</x:v>
      </x:c>
      <x:c r="B2897" s="35" t="str">
        <x:v>Csv</x:v>
      </x:c>
      <x:c r="C2897" s="35" t="str">
        <x:v>Round2</x:v>
      </x:c>
      <x:c r="D2897" s="35" t="str">
        <x:v>Csv_10</x:v>
      </x:c>
      <x:c r="E2897" s="35" t="str">
        <x:v>Condition</x:v>
      </x:c>
      <x:c r="F2897" s="35"/>
      <x:c r="G2897" s="35" t="str">
        <x:v>A</x:v>
      </x:c>
      <x:c r="H2897" s="39" t="str">
        <x:f>IF(ISNUMBER('Data'!N1189),'Data'!N1189*100,"")</x:f>
      </x:c>
      <x:c r="I2897" s="35"/>
      <x:c r="J2897" s="35" t="str">
        <x:v>PASS</x:v>
      </x:c>
      <x:c r="K2897" s="35" t="str">
        <x:v>FAIL</x:v>
      </x:c>
      <x:c r="L2897" s="35" t="str">
        <x:v>NOT_RUN</x:v>
      </x:c>
      <x:c r="M2897" s="35" t="str">
        <x:v>coverage unavailable or execution/compile failed</x:v>
      </x:c>
      <x:c r="N2897" s="35" t="str">
        <x:v>Deepseek-flash-v4/Result2/Csv_10/result.json</x:v>
      </x:c>
      <x:c r="O2897" s="39" t="str">
        <x:f>IF(AND(G2897="RECORDED",ISNUMBER(H2897)),H2897,"")</x:f>
      </x:c>
      <x:c r="P2897" s="35" t="str">
        <x:v>NOT_AVAILABLE</x:v>
      </x:c>
      <x:c r="Q2897" s="35" t="str">
        <x:v>Deepseek-flash-v4/Result2/Csv_10/result.json</x:v>
      </x:c>
    </x:row>
    <x:row r="2898">
      <x:c r="A2898" s="35" t="str">
        <x:v>deepseek</x:v>
      </x:c>
      <x:c r="B2898" s="35" t="str">
        <x:v>Csv</x:v>
      </x:c>
      <x:c r="C2898" s="35" t="str">
        <x:v>Round2</x:v>
      </x:c>
      <x:c r="D2898" s="35" t="str">
        <x:v>Csv_11</x:v>
      </x:c>
      <x:c r="E2898" s="35" t="str">
        <x:v>Condition</x:v>
      </x:c>
      <x:c r="F2898" s="35"/>
      <x:c r="G2898" s="35" t="str">
        <x:v>A</x:v>
      </x:c>
      <x:c r="H2898" s="39" t="str">
        <x:f>IF(ISNUMBER('Data'!N1190),'Data'!N1190*100,"")</x:f>
      </x:c>
      <x:c r="I2898" s="35"/>
      <x:c r="J2898" s="35" t="str">
        <x:v>PASS</x:v>
      </x:c>
      <x:c r="K2898" s="35" t="str">
        <x:v>FAIL</x:v>
      </x:c>
      <x:c r="L2898" s="35" t="str">
        <x:v>NOT_RUN</x:v>
      </x:c>
      <x:c r="M2898" s="35" t="str">
        <x:v>coverage unavailable or execution/compile failed</x:v>
      </x:c>
      <x:c r="N2898" s="35" t="str">
        <x:v>Deepseek-flash-v4/Result2/Csv_11/result.json</x:v>
      </x:c>
      <x:c r="O2898" s="39" t="str">
        <x:f>IF(AND(G2898="RECORDED",ISNUMBER(H2898)),H2898,"")</x:f>
      </x:c>
      <x:c r="P2898" s="35" t="str">
        <x:v>NOT_AVAILABLE</x:v>
      </x:c>
      <x:c r="Q2898" s="35" t="str">
        <x:v>Deepseek-flash-v4/Result2/Csv_11/result.json</x:v>
      </x:c>
    </x:row>
    <x:row r="2899">
      <x:c r="A2899" s="35" t="str">
        <x:v>deepseek</x:v>
      </x:c>
      <x:c r="B2899" s="35" t="str">
        <x:v>Csv</x:v>
      </x:c>
      <x:c r="C2899" s="35" t="str">
        <x:v>Round2</x:v>
      </x:c>
      <x:c r="D2899" s="35" t="str">
        <x:v>Csv_12</x:v>
      </x:c>
      <x:c r="E2899" s="35" t="str">
        <x:v>Condition</x:v>
      </x:c>
      <x:c r="F2899" s="35" t="n">
        <x:v>140</x:v>
      </x:c>
      <x:c r="G2899" s="35" t="str">
        <x:v>RECORDED</x:v>
      </x:c>
      <x:c r="H2899" s="39" t="n">
        <x:f>IF(ISNUMBER('Data'!N1191),'Data'!N1191*100,"")</x:f>
        <x:v>58.57</x:v>
      </x:c>
      <x:c r="I2899" s="35" t="str">
        <x:v>PASS</x:v>
      </x:c>
      <x:c r="J2899" s="35" t="str">
        <x:v>PASS</x:v>
      </x:c>
      <x:c r="K2899" s="35" t="str">
        <x:v>PASS</x:v>
      </x:c>
      <x:c r="L2899" s="35" t="str">
        <x:v>FAIL</x:v>
      </x:c>
      <x:c r="M2899" s="35" t="str">
        <x:v>numeric coverage for applicable metric</x:v>
      </x:c>
      <x:c r="N2899" s="35" t="str">
        <x:v>Deepseek-flash-v4/Result2/Csv_12/result.json</x:v>
      </x:c>
      <x:c r="O2899" s="39" t="n">
        <x:f>IF(AND(G2899="RECORDED",ISNUMBER(H2899)),H2899,"")</x:f>
        <x:v>58.57</x:v>
      </x:c>
      <x:c r="P2899" s="35" t="str">
        <x:v>INCONCLUSIVE</x:v>
      </x:c>
      <x:c r="Q2899" s="35" t="str">
        <x:v>Deepseek-flash-v4/Result2/Csv_12/result.json</x:v>
      </x:c>
    </x:row>
    <x:row r="2900">
      <x:c r="A2900" s="35" t="str">
        <x:v>deepseek</x:v>
      </x:c>
      <x:c r="B2900" s="35" t="str">
        <x:v>Csv</x:v>
      </x:c>
      <x:c r="C2900" s="35" t="str">
        <x:v>Round2</x:v>
      </x:c>
      <x:c r="D2900" s="35" t="str">
        <x:v>Csv_13</x:v>
      </x:c>
      <x:c r="E2900" s="35" t="str">
        <x:v>Condition</x:v>
      </x:c>
      <x:c r="F2900" s="35"/>
      <x:c r="G2900" s="35" t="str">
        <x:v>A</x:v>
      </x:c>
      <x:c r="H2900" s="39" t="str">
        <x:f>IF(ISNUMBER('Data'!N1192),'Data'!N1192*100,"")</x:f>
      </x:c>
      <x:c r="I2900" s="35"/>
      <x:c r="J2900" s="35" t="str">
        <x:v>PASS</x:v>
      </x:c>
      <x:c r="K2900" s="35" t="str">
        <x:v>FAIL</x:v>
      </x:c>
      <x:c r="L2900" s="35" t="str">
        <x:v>NOT_RUN</x:v>
      </x:c>
      <x:c r="M2900" s="35" t="str">
        <x:v>coverage unavailable or execution/compile failed</x:v>
      </x:c>
      <x:c r="N2900" s="35" t="str">
        <x:v>Deepseek-flash-v4/Result2/Csv_13/result.json</x:v>
      </x:c>
      <x:c r="O2900" s="39" t="str">
        <x:f>IF(AND(G2900="RECORDED",ISNUMBER(H2900)),H2900,"")</x:f>
      </x:c>
      <x:c r="P2900" s="35" t="str">
        <x:v>NOT_AVAILABLE</x:v>
      </x:c>
      <x:c r="Q2900" s="35" t="str">
        <x:v>Deepseek-flash-v4/Result2/Csv_13/result.json</x:v>
      </x:c>
    </x:row>
    <x:row r="2901">
      <x:c r="A2901" s="35" t="str">
        <x:v>deepseek</x:v>
      </x:c>
      <x:c r="B2901" s="35" t="str">
        <x:v>Csv</x:v>
      </x:c>
      <x:c r="C2901" s="35" t="str">
        <x:v>Round2</x:v>
      </x:c>
      <x:c r="D2901" s="35" t="str">
        <x:v>Csv_14</x:v>
      </x:c>
      <x:c r="E2901" s="35" t="str">
        <x:v>Condition</x:v>
      </x:c>
      <x:c r="F2901" s="35"/>
      <x:c r="G2901" s="35" t="str">
        <x:v>A</x:v>
      </x:c>
      <x:c r="H2901" s="39" t="str">
        <x:f>IF(ISNUMBER('Data'!N1193),'Data'!N1193*100,"")</x:f>
      </x:c>
      <x:c r="I2901" s="35"/>
      <x:c r="J2901" s="35" t="str">
        <x:v>PASS</x:v>
      </x:c>
      <x:c r="K2901" s="35" t="str">
        <x:v>FAIL</x:v>
      </x:c>
      <x:c r="L2901" s="35" t="str">
        <x:v>NOT_RUN</x:v>
      </x:c>
      <x:c r="M2901" s="35" t="str">
        <x:v>coverage unavailable or execution/compile failed</x:v>
      </x:c>
      <x:c r="N2901" s="35" t="str">
        <x:v>Deepseek-flash-v4/Result2/Csv_14/result.json</x:v>
      </x:c>
      <x:c r="O2901" s="39" t="str">
        <x:f>IF(AND(G2901="RECORDED",ISNUMBER(H2901)),H2901,"")</x:f>
      </x:c>
      <x:c r="P2901" s="35" t="str">
        <x:v>NOT_AVAILABLE</x:v>
      </x:c>
      <x:c r="Q2901" s="35" t="str">
        <x:v>Deepseek-flash-v4/Result2/Csv_14/result.json</x:v>
      </x:c>
    </x:row>
    <x:row r="2902">
      <x:c r="A2902" s="35" t="str">
        <x:v>deepseek</x:v>
      </x:c>
      <x:c r="B2902" s="35" t="str">
        <x:v>Csv</x:v>
      </x:c>
      <x:c r="C2902" s="35" t="str">
        <x:v>Round2</x:v>
      </x:c>
      <x:c r="D2902" s="35" t="str">
        <x:v>Csv_15</x:v>
      </x:c>
      <x:c r="E2902" s="35" t="str">
        <x:v>Condition</x:v>
      </x:c>
      <x:c r="F2902" s="35" t="n">
        <x:v>279</x:v>
      </x:c>
      <x:c r="G2902" s="35" t="str">
        <x:v>RECORDED</x:v>
      </x:c>
      <x:c r="H2902" s="39" t="n">
        <x:f>IF(ISNUMBER('Data'!N1194),'Data'!N1194*100,"")</x:f>
        <x:v>48.39</x:v>
      </x:c>
      <x:c r="I2902" s="35" t="str">
        <x:v>PASS</x:v>
      </x:c>
      <x:c r="J2902" s="35" t="str">
        <x:v>PASS</x:v>
      </x:c>
      <x:c r="K2902" s="35" t="str">
        <x:v>PASS</x:v>
      </x:c>
      <x:c r="L2902" s="35" t="str">
        <x:v>FAIL</x:v>
      </x:c>
      <x:c r="M2902" s="35" t="str">
        <x:v>numeric coverage for applicable metric</x:v>
      </x:c>
      <x:c r="N2902" s="35" t="str">
        <x:v>Deepseek-flash-v4/Result2/Csv_15/result.json</x:v>
      </x:c>
      <x:c r="O2902" s="39" t="n">
        <x:f>IF(AND(G2902="RECORDED",ISNUMBER(H2902)),H2902,"")</x:f>
        <x:v>48.39</x:v>
      </x:c>
      <x:c r="P2902" s="35" t="str">
        <x:v>INCONCLUSIVE</x:v>
      </x:c>
      <x:c r="Q2902" s="35" t="str">
        <x:v>Deepseek-flash-v4/Result2/Csv_15/result.json</x:v>
      </x:c>
    </x:row>
    <x:row r="2903">
      <x:c r="A2903" s="35" t="str">
        <x:v>deepseek</x:v>
      </x:c>
      <x:c r="B2903" s="35" t="str">
        <x:v>Csv</x:v>
      </x:c>
      <x:c r="C2903" s="35" t="str">
        <x:v>Round2</x:v>
      </x:c>
      <x:c r="D2903" s="35" t="str">
        <x:v>Csv_16</x:v>
      </x:c>
      <x:c r="E2903" s="35" t="str">
        <x:v>Condition</x:v>
      </x:c>
      <x:c r="F2903" s="35" t="n">
        <x:v>68</x:v>
      </x:c>
      <x:c r="G2903" s="35" t="str">
        <x:v>RECORDED</x:v>
      </x:c>
      <x:c r="H2903" s="39" t="n">
        <x:f>IF(ISNUMBER('Data'!N1195),'Data'!N1195*100,"")</x:f>
        <x:v>61.75999999999999</x:v>
      </x:c>
      <x:c r="I2903" s="35" t="str">
        <x:v>PASS</x:v>
      </x:c>
      <x:c r="J2903" s="35" t="str">
        <x:v>PASS</x:v>
      </x:c>
      <x:c r="K2903" s="35" t="str">
        <x:v>PASS</x:v>
      </x:c>
      <x:c r="L2903" s="35" t="str">
        <x:v>FAIL</x:v>
      </x:c>
      <x:c r="M2903" s="35" t="str">
        <x:v>numeric coverage for applicable metric</x:v>
      </x:c>
      <x:c r="N2903" s="35" t="str">
        <x:v>Deepseek-flash-v4/Result2/Csv_16/result.json</x:v>
      </x:c>
      <x:c r="O2903" s="39" t="n">
        <x:f>IF(AND(G2903="RECORDED",ISNUMBER(H2903)),H2903,"")</x:f>
        <x:v>61.75999999999999</x:v>
      </x:c>
      <x:c r="P2903" s="35" t="str">
        <x:v>INCONCLUSIVE</x:v>
      </x:c>
      <x:c r="Q2903" s="35" t="str">
        <x:v>Deepseek-flash-v4/Result2/Csv_16/result.json</x:v>
      </x:c>
    </x:row>
    <x:row r="2904">
      <x:c r="A2904" s="35" t="str">
        <x:v>deepseek</x:v>
      </x:c>
      <x:c r="B2904" s="35" t="str">
        <x:v>Csv</x:v>
      </x:c>
      <x:c r="C2904" s="35" t="str">
        <x:v>Round2</x:v>
      </x:c>
      <x:c r="D2904" s="35" t="str">
        <x:v>Csv_2</x:v>
      </x:c>
      <x:c r="E2904" s="35" t="str">
        <x:v>Condition</x:v>
      </x:c>
      <x:c r="F2904" s="35" t="n">
        <x:v>16</x:v>
      </x:c>
      <x:c r="G2904" s="35" t="str">
        <x:v>RECORDED</x:v>
      </x:c>
      <x:c r="H2904" s="39" t="n">
        <x:f>IF(ISNUMBER('Data'!N1196),'Data'!N1196*100,"")</x:f>
        <x:v>100</x:v>
      </x:c>
      <x:c r="I2904" s="35" t="str">
        <x:v>PASS</x:v>
      </x:c>
      <x:c r="J2904" s="35" t="str">
        <x:v>PASS</x:v>
      </x:c>
      <x:c r="K2904" s="35" t="str">
        <x:v>PASS</x:v>
      </x:c>
      <x:c r="L2904" s="35" t="str">
        <x:v>PASS</x:v>
      </x:c>
      <x:c r="M2904" s="35" t="str">
        <x:v>numeric coverage for applicable metric</x:v>
      </x:c>
      <x:c r="N2904" s="35" t="str">
        <x:v>Deepseek-flash-v4/Result2/Csv_2/result.json</x:v>
      </x:c>
      <x:c r="O2904" s="39" t="n">
        <x:f>IF(AND(G2904="RECORDED",ISNUMBER(H2904)),H2904,"")</x:f>
        <x:v>100</x:v>
      </x:c>
      <x:c r="P2904" s="35" t="str">
        <x:v>NOT_REVEALING</x:v>
      </x:c>
      <x:c r="Q2904" s="35" t="str">
        <x:v>Deepseek-flash-v4/Result2/Csv_2/result.json</x:v>
      </x:c>
    </x:row>
    <x:row r="2905">
      <x:c r="A2905" s="35" t="str">
        <x:v>deepseek</x:v>
      </x:c>
      <x:c r="B2905" s="35" t="str">
        <x:v>Csv</x:v>
      </x:c>
      <x:c r="C2905" s="35" t="str">
        <x:v>Round2</x:v>
      </x:c>
      <x:c r="D2905" s="35" t="str">
        <x:v>Csv_3</x:v>
      </x:c>
      <x:c r="E2905" s="35" t="str">
        <x:v>Condition</x:v>
      </x:c>
      <x:c r="F2905" s="35"/>
      <x:c r="G2905" s="35" t="str">
        <x:v>A</x:v>
      </x:c>
      <x:c r="H2905" s="39" t="str">
        <x:f>IF(ISNUMBER('Data'!N1197),'Data'!N1197*100,"")</x:f>
      </x:c>
      <x:c r="I2905" s="35"/>
      <x:c r="J2905" s="35" t="str">
        <x:v>PASS</x:v>
      </x:c>
      <x:c r="K2905" s="35" t="str">
        <x:v>FAIL</x:v>
      </x:c>
      <x:c r="L2905" s="35" t="str">
        <x:v>NOT_RUN</x:v>
      </x:c>
      <x:c r="M2905" s="35" t="str">
        <x:v>coverage unavailable or execution/compile failed</x:v>
      </x:c>
      <x:c r="N2905" s="35" t="str">
        <x:v>Deepseek-flash-v4/Result2/Csv_3/result.json</x:v>
      </x:c>
      <x:c r="O2905" s="39" t="str">
        <x:f>IF(AND(G2905="RECORDED",ISNUMBER(H2905)),H2905,"")</x:f>
      </x:c>
      <x:c r="P2905" s="35" t="str">
        <x:v>NOT_AVAILABLE</x:v>
      </x:c>
      <x:c r="Q2905" s="35" t="str">
        <x:v>Deepseek-flash-v4/Result2/Csv_3/result.json</x:v>
      </x:c>
    </x:row>
    <x:row r="2906">
      <x:c r="A2906" s="35" t="str">
        <x:v>deepseek</x:v>
      </x:c>
      <x:c r="B2906" s="35" t="str">
        <x:v>Csv</x:v>
      </x:c>
      <x:c r="C2906" s="35" t="str">
        <x:v>Round2</x:v>
      </x:c>
      <x:c r="D2906" s="35" t="str">
        <x:v>Csv_4</x:v>
      </x:c>
      <x:c r="E2906" s="35" t="str">
        <x:v>Condition</x:v>
      </x:c>
      <x:c r="F2906" s="35"/>
      <x:c r="G2906" s="35" t="str">
        <x:v>A</x:v>
      </x:c>
      <x:c r="H2906" s="39" t="str">
        <x:f>IF(ISNUMBER('Data'!N1198),'Data'!N1198*100,"")</x:f>
      </x:c>
      <x:c r="I2906" s="35"/>
      <x:c r="J2906" s="35" t="str">
        <x:v>PASS</x:v>
      </x:c>
      <x:c r="K2906" s="35" t="str">
        <x:v>FAIL</x:v>
      </x:c>
      <x:c r="L2906" s="35" t="str">
        <x:v>NOT_RUN</x:v>
      </x:c>
      <x:c r="M2906" s="35" t="str">
        <x:v>coverage unavailable or execution/compile failed</x:v>
      </x:c>
      <x:c r="N2906" s="35" t="str">
        <x:v>Deepseek-flash-v4/Result2/Csv_4/result.json</x:v>
      </x:c>
      <x:c r="O2906" s="39" t="str">
        <x:f>IF(AND(G2906="RECORDED",ISNUMBER(H2906)),H2906,"")</x:f>
      </x:c>
      <x:c r="P2906" s="35" t="str">
        <x:v>NOT_AVAILABLE</x:v>
      </x:c>
      <x:c r="Q2906" s="35" t="str">
        <x:v>Deepseek-flash-v4/Result2/Csv_4/result.json</x:v>
      </x:c>
    </x:row>
    <x:row r="2907">
      <x:c r="A2907" s="35" t="str">
        <x:v>deepseek</x:v>
      </x:c>
      <x:c r="B2907" s="35" t="str">
        <x:v>Csv</x:v>
      </x:c>
      <x:c r="C2907" s="35" t="str">
        <x:v>Round2</x:v>
      </x:c>
      <x:c r="D2907" s="35" t="str">
        <x:v>Csv_5</x:v>
      </x:c>
      <x:c r="E2907" s="35" t="str">
        <x:v>Condition</x:v>
      </x:c>
      <x:c r="F2907" s="35"/>
      <x:c r="G2907" s="35" t="str">
        <x:v>A</x:v>
      </x:c>
      <x:c r="H2907" s="39" t="str">
        <x:f>IF(ISNUMBER('Data'!N1199),'Data'!N1199*100,"")</x:f>
      </x:c>
      <x:c r="I2907" s="35"/>
      <x:c r="J2907" s="35" t="str">
        <x:v>PASS</x:v>
      </x:c>
      <x:c r="K2907" s="35" t="str">
        <x:v>FAIL</x:v>
      </x:c>
      <x:c r="L2907" s="35" t="str">
        <x:v>NOT_RUN</x:v>
      </x:c>
      <x:c r="M2907" s="35" t="str">
        <x:v>coverage unavailable or execution/compile failed</x:v>
      </x:c>
      <x:c r="N2907" s="35" t="str">
        <x:v>Deepseek-flash-v4/Result2/Csv_5/result.json</x:v>
      </x:c>
      <x:c r="O2907" s="39" t="str">
        <x:f>IF(AND(G2907="RECORDED",ISNUMBER(H2907)),H2907,"")</x:f>
      </x:c>
      <x:c r="P2907" s="35" t="str">
        <x:v>NOT_AVAILABLE</x:v>
      </x:c>
      <x:c r="Q2907" s="35" t="str">
        <x:v>Deepseek-flash-v4/Result2/Csv_5/result.json</x:v>
      </x:c>
    </x:row>
    <x:row r="2908">
      <x:c r="A2908" s="35" t="str">
        <x:v>deepseek</x:v>
      </x:c>
      <x:c r="B2908" s="35" t="str">
        <x:v>Csv</x:v>
      </x:c>
      <x:c r="C2908" s="35" t="str">
        <x:v>Round2</x:v>
      </x:c>
      <x:c r="D2908" s="35" t="str">
        <x:v>Csv_6</x:v>
      </x:c>
      <x:c r="E2908" s="35" t="str">
        <x:v>Condition</x:v>
      </x:c>
      <x:c r="F2908" s="35" t="n">
        <x:v>18</x:v>
      </x:c>
      <x:c r="G2908" s="35" t="str">
        <x:v>RECORDED</x:v>
      </x:c>
      <x:c r="H2908" s="39" t="n">
        <x:f>IF(ISNUMBER('Data'!N1200),'Data'!N1200*100,"")</x:f>
        <x:v>83.33</x:v>
      </x:c>
      <x:c r="I2908" s="35" t="str">
        <x:v>PASS</x:v>
      </x:c>
      <x:c r="J2908" s="35" t="str">
        <x:v>PASS</x:v>
      </x:c>
      <x:c r="K2908" s="35" t="str">
        <x:v>PASS</x:v>
      </x:c>
      <x:c r="L2908" s="35" t="str">
        <x:v>FAIL</x:v>
      </x:c>
      <x:c r="M2908" s="35" t="str">
        <x:v>numeric coverage for applicable metric</x:v>
      </x:c>
      <x:c r="N2908" s="35" t="str">
        <x:v>Deepseek-flash-v4/Result2/Csv_6/result.json</x:v>
      </x:c>
      <x:c r="O2908" s="39" t="n">
        <x:f>IF(AND(G2908="RECORDED",ISNUMBER(H2908)),H2908,"")</x:f>
        <x:v>83.33</x:v>
      </x:c>
      <x:c r="P2908" s="35" t="str">
        <x:v>INCONCLUSIVE</x:v>
      </x:c>
      <x:c r="Q2908" s="35" t="str">
        <x:v>Deepseek-flash-v4/Result2/Csv_6/result.json</x:v>
      </x:c>
    </x:row>
    <x:row r="2909">
      <x:c r="A2909" s="35" t="str">
        <x:v>deepseek</x:v>
      </x:c>
      <x:c r="B2909" s="35" t="str">
        <x:v>Csv</x:v>
      </x:c>
      <x:c r="C2909" s="35" t="str">
        <x:v>Round2</x:v>
      </x:c>
      <x:c r="D2909" s="35" t="str">
        <x:v>Csv_7</x:v>
      </x:c>
      <x:c r="E2909" s="35" t="str">
        <x:v>Condition</x:v>
      </x:c>
      <x:c r="F2909" s="35" t="n">
        <x:v>50</x:v>
      </x:c>
      <x:c r="G2909" s="35" t="str">
        <x:v>RECORDED</x:v>
      </x:c>
      <x:c r="H2909" s="39" t="n">
        <x:f>IF(ISNUMBER('Data'!N1201),'Data'!N1201*100,"")</x:f>
        <x:v>68</x:v>
      </x:c>
      <x:c r="I2909" s="35" t="str">
        <x:v>PASS</x:v>
      </x:c>
      <x:c r="J2909" s="35" t="str">
        <x:v>PASS</x:v>
      </x:c>
      <x:c r="K2909" s="35" t="str">
        <x:v>PASS</x:v>
      </x:c>
      <x:c r="L2909" s="35" t="str">
        <x:v>FAIL</x:v>
      </x:c>
      <x:c r="M2909" s="35" t="str">
        <x:v>numeric coverage for applicable metric</x:v>
      </x:c>
      <x:c r="N2909" s="35" t="str">
        <x:v>Deepseek-flash-v4/Result2/Csv_7/result.json</x:v>
      </x:c>
      <x:c r="O2909" s="39" t="n">
        <x:f>IF(AND(G2909="RECORDED",ISNUMBER(H2909)),H2909,"")</x:f>
        <x:v>68</x:v>
      </x:c>
      <x:c r="P2909" s="35" t="str">
        <x:v>INCONCLUSIVE</x:v>
      </x:c>
      <x:c r="Q2909" s="35" t="str">
        <x:v>Deepseek-flash-v4/Result2/Csv_7/result.json</x:v>
      </x:c>
    </x:row>
    <x:row r="2910">
      <x:c r="A2910" s="35" t="str">
        <x:v>deepseek</x:v>
      </x:c>
      <x:c r="B2910" s="35" t="str">
        <x:v>Csv</x:v>
      </x:c>
      <x:c r="C2910" s="35" t="str">
        <x:v>Round2</x:v>
      </x:c>
      <x:c r="D2910" s="35" t="str">
        <x:v>Csv_8</x:v>
      </x:c>
      <x:c r="E2910" s="35" t="str">
        <x:v>Condition</x:v>
      </x:c>
      <x:c r="F2910" s="35" t="n">
        <x:v>140</x:v>
      </x:c>
      <x:c r="G2910" s="35" t="str">
        <x:v>RECORDED</x:v>
      </x:c>
      <x:c r="H2910" s="39" t="n">
        <x:f>IF(ISNUMBER('Data'!N1202),'Data'!N1202*100,"")</x:f>
        <x:v>68.57</x:v>
      </x:c>
      <x:c r="I2910" s="35" t="str">
        <x:v>PASS</x:v>
      </x:c>
      <x:c r="J2910" s="35" t="str">
        <x:v>PASS</x:v>
      </x:c>
      <x:c r="K2910" s="35" t="str">
        <x:v>PASS</x:v>
      </x:c>
      <x:c r="L2910" s="35" t="str">
        <x:v>PASS</x:v>
      </x:c>
      <x:c r="M2910" s="35" t="str">
        <x:v>numeric coverage for applicable metric</x:v>
      </x:c>
      <x:c r="N2910" s="35" t="str">
        <x:v>Deepseek-flash-v4/Result2/Csv_8/result.json</x:v>
      </x:c>
      <x:c r="O2910" s="39" t="n">
        <x:f>IF(AND(G2910="RECORDED",ISNUMBER(H2910)),H2910,"")</x:f>
        <x:v>68.57</x:v>
      </x:c>
      <x:c r="P2910" s="35" t="str">
        <x:v>INCONCLUSIVE</x:v>
      </x:c>
      <x:c r="Q2910" s="35" t="str">
        <x:v>Deepseek-flash-v4/Result2/Csv_8/result.json</x:v>
      </x:c>
    </x:row>
    <x:row r="2911">
      <x:c r="A2911" s="35" t="str">
        <x:v>deepseek</x:v>
      </x:c>
      <x:c r="B2911" s="35" t="str">
        <x:v>Csv</x:v>
      </x:c>
      <x:c r="C2911" s="35" t="str">
        <x:v>Round2</x:v>
      </x:c>
      <x:c r="D2911" s="35" t="str">
        <x:v>Csv_9</x:v>
      </x:c>
      <x:c r="E2911" s="35" t="str">
        <x:v>Condition</x:v>
      </x:c>
      <x:c r="F2911" s="35" t="n">
        <x:v>22</x:v>
      </x:c>
      <x:c r="G2911" s="35" t="str">
        <x:v>RECORDED</x:v>
      </x:c>
      <x:c r="H2911" s="39" t="n">
        <x:f>IF(ISNUMBER('Data'!N1203),'Data'!N1203*100,"")</x:f>
        <x:v>95.45</x:v>
      </x:c>
      <x:c r="I2911" s="35" t="str">
        <x:v>PASS</x:v>
      </x:c>
      <x:c r="J2911" s="35" t="str">
        <x:v>PASS</x:v>
      </x:c>
      <x:c r="K2911" s="35" t="str">
        <x:v>PASS</x:v>
      </x:c>
      <x:c r="L2911" s="35" t="str">
        <x:v>FAIL</x:v>
      </x:c>
      <x:c r="M2911" s="35" t="str">
        <x:v>numeric coverage for applicable metric</x:v>
      </x:c>
      <x:c r="N2911" s="35" t="str">
        <x:v>Deepseek-flash-v4/Result2/Csv_9/result.json</x:v>
      </x:c>
      <x:c r="O2911" s="39" t="n">
        <x:f>IF(AND(G2911="RECORDED",ISNUMBER(H2911)),H2911,"")</x:f>
        <x:v>95.45</x:v>
      </x:c>
      <x:c r="P2911" s="35" t="str">
        <x:v>INCONCLUSIVE</x:v>
      </x:c>
      <x:c r="Q2911" s="35" t="str">
        <x:v>Deepseek-flash-v4/Result2/Csv_9/result.json</x:v>
      </x:c>
    </x:row>
    <x:row r="2912">
      <x:c r="A2912" s="35" t="str">
        <x:v>deepseek</x:v>
      </x:c>
      <x:c r="B2912" s="35" t="str">
        <x:v>Gson</x:v>
      </x:c>
      <x:c r="C2912" s="35" t="str">
        <x:v>Round2</x:v>
      </x:c>
      <x:c r="D2912" s="35" t="str">
        <x:v>Gson_1</x:v>
      </x:c>
      <x:c r="E2912" s="35" t="str">
        <x:v>Condition</x:v>
      </x:c>
      <x:c r="F2912" s="35" t="n">
        <x:v>22</x:v>
      </x:c>
      <x:c r="G2912" s="35" t="str">
        <x:v>RECORDED</x:v>
      </x:c>
      <x:c r="H2912" s="39" t="n">
        <x:f>IF(ISNUMBER('Data'!N1204),'Data'!N1204*100,"")</x:f>
        <x:v>54.55</x:v>
      </x:c>
      <x:c r="I2912" s="35" t="str">
        <x:v>PASS</x:v>
      </x:c>
      <x:c r="J2912" s="35" t="str">
        <x:v>PASS</x:v>
      </x:c>
      <x:c r="K2912" s="35" t="str">
        <x:v>PASS</x:v>
      </x:c>
      <x:c r="L2912" s="35" t="str">
        <x:v>FAIL</x:v>
      </x:c>
      <x:c r="M2912" s="35" t="str">
        <x:v>numeric coverage for applicable metric</x:v>
      </x:c>
      <x:c r="N2912" s="35" t="str">
        <x:v>Deepseek-flash-v4/Result2/Gson_1/result.json</x:v>
      </x:c>
      <x:c r="O2912" s="39" t="n">
        <x:f>IF(AND(G2912="RECORDED",ISNUMBER(H2912)),H2912,"")</x:f>
        <x:v>54.55</x:v>
      </x:c>
      <x:c r="P2912" s="35" t="str">
        <x:v>INCONCLUSIVE</x:v>
      </x:c>
      <x:c r="Q2912" s="35" t="str">
        <x:v>Deepseek-flash-v4/Result2/Gson_1/result.json</x:v>
      </x:c>
    </x:row>
    <x:row r="2913">
      <x:c r="A2913" s="35" t="str">
        <x:v>deepseek</x:v>
      </x:c>
      <x:c r="B2913" s="35" t="str">
        <x:v>Gson</x:v>
      </x:c>
      <x:c r="C2913" s="35" t="str">
        <x:v>Round2</x:v>
      </x:c>
      <x:c r="D2913" s="35" t="str">
        <x:v>Gson_10</x:v>
      </x:c>
      <x:c r="E2913" s="35" t="str">
        <x:v>Condition</x:v>
      </x:c>
      <x:c r="F2913" s="35"/>
      <x:c r="G2913" s="35" t="str">
        <x:v>A</x:v>
      </x:c>
      <x:c r="H2913" s="39" t="str">
        <x:f>IF(ISNUMBER('Data'!N1205),'Data'!N1205*100,"")</x:f>
      </x:c>
      <x:c r="I2913" s="35"/>
      <x:c r="J2913" s="35" t="str">
        <x:v>PASS</x:v>
      </x:c>
      <x:c r="K2913" s="35" t="str">
        <x:v>FAIL</x:v>
      </x:c>
      <x:c r="L2913" s="35" t="str">
        <x:v>NOT_RUN</x:v>
      </x:c>
      <x:c r="M2913" s="35" t="str">
        <x:v>coverage unavailable or execution/compile failed</x:v>
      </x:c>
      <x:c r="N2913" s="35" t="str">
        <x:v>Deepseek-flash-v4/Result2/Gson_10/result.json</x:v>
      </x:c>
      <x:c r="O2913" s="39" t="str">
        <x:f>IF(AND(G2913="RECORDED",ISNUMBER(H2913)),H2913,"")</x:f>
      </x:c>
      <x:c r="P2913" s="35" t="str">
        <x:v>NOT_AVAILABLE</x:v>
      </x:c>
      <x:c r="Q2913" s="35" t="str">
        <x:v>Deepseek-flash-v4/Result2/Gson_10/result.json</x:v>
      </x:c>
    </x:row>
    <x:row r="2914">
      <x:c r="A2914" s="35" t="str">
        <x:v>deepseek</x:v>
      </x:c>
      <x:c r="B2914" s="35" t="str">
        <x:v>Gson</x:v>
      </x:c>
      <x:c r="C2914" s="35" t="str">
        <x:v>Round2</x:v>
      </x:c>
      <x:c r="D2914" s="35" t="str">
        <x:v>Gson_11</x:v>
      </x:c>
      <x:c r="E2914" s="35" t="str">
        <x:v>Condition</x:v>
      </x:c>
      <x:c r="F2914" s="35" t="n">
        <x:v>196</x:v>
      </x:c>
      <x:c r="G2914" s="35" t="str">
        <x:v>RECORDED</x:v>
      </x:c>
      <x:c r="H2914" s="39" t="n">
        <x:f>IF(ISNUMBER('Data'!N1206),'Data'!N1206*100,"")</x:f>
        <x:v>80.1</x:v>
      </x:c>
      <x:c r="I2914" s="35" t="str">
        <x:v>PASS</x:v>
      </x:c>
      <x:c r="J2914" s="35" t="str">
        <x:v>PASS</x:v>
      </x:c>
      <x:c r="K2914" s="35" t="str">
        <x:v>PASS</x:v>
      </x:c>
      <x:c r="L2914" s="35" t="str">
        <x:v>PASS</x:v>
      </x:c>
      <x:c r="M2914" s="35" t="str">
        <x:v>numeric coverage for applicable metric</x:v>
      </x:c>
      <x:c r="N2914" s="35" t="str">
        <x:v>Deepseek-flash-v4/Result2/Gson_11/result.json</x:v>
      </x:c>
      <x:c r="O2914" s="39" t="n">
        <x:f>IF(AND(G2914="RECORDED",ISNUMBER(H2914)),H2914,"")</x:f>
        <x:v>80.1</x:v>
      </x:c>
      <x:c r="P2914" s="35" t="str">
        <x:v>INCONCLUSIVE</x:v>
      </x:c>
      <x:c r="Q2914" s="35" t="str">
        <x:v>Deepseek-flash-v4/Result2/Gson_11/result.json</x:v>
      </x:c>
    </x:row>
    <x:row r="2915">
      <x:c r="A2915" s="35" t="str">
        <x:v>deepseek</x:v>
      </x:c>
      <x:c r="B2915" s="35" t="str">
        <x:v>Gson</x:v>
      </x:c>
      <x:c r="C2915" s="35" t="str">
        <x:v>Round2</x:v>
      </x:c>
      <x:c r="D2915" s="35" t="str">
        <x:v>Gson_12</x:v>
      </x:c>
      <x:c r="E2915" s="35" t="str">
        <x:v>Condition</x:v>
      </x:c>
      <x:c r="F2915" s="35" t="n">
        <x:v>86</x:v>
      </x:c>
      <x:c r="G2915" s="35" t="str">
        <x:v>RECORDED</x:v>
      </x:c>
      <x:c r="H2915" s="39" t="n">
        <x:f>IF(ISNUMBER('Data'!N1207),'Data'!N1207*100,"")</x:f>
        <x:v>74.42</x:v>
      </x:c>
      <x:c r="I2915" s="35" t="str">
        <x:v>PASS</x:v>
      </x:c>
      <x:c r="J2915" s="35" t="str">
        <x:v>PASS</x:v>
      </x:c>
      <x:c r="K2915" s="35" t="str">
        <x:v>PASS</x:v>
      </x:c>
      <x:c r="L2915" s="35" t="str">
        <x:v>PASS</x:v>
      </x:c>
      <x:c r="M2915" s="35" t="str">
        <x:v>numeric coverage for applicable metric</x:v>
      </x:c>
      <x:c r="N2915" s="35" t="str">
        <x:v>Deepseek-flash-v4/Result2/Gson_12/result.json</x:v>
      </x:c>
      <x:c r="O2915" s="39" t="n">
        <x:f>IF(AND(G2915="RECORDED",ISNUMBER(H2915)),H2915,"")</x:f>
        <x:v>74.42</x:v>
      </x:c>
      <x:c r="P2915" s="35" t="str">
        <x:v>NOT_REVEALING</x:v>
      </x:c>
      <x:c r="Q2915" s="35" t="str">
        <x:v>Deepseek-flash-v4/Result2/Gson_12/result.json</x:v>
      </x:c>
    </x:row>
    <x:row r="2916">
      <x:c r="A2916" s="35" t="str">
        <x:v>deepseek</x:v>
      </x:c>
      <x:c r="B2916" s="35" t="str">
        <x:v>Gson</x:v>
      </x:c>
      <x:c r="C2916" s="35" t="str">
        <x:v>Round2</x:v>
      </x:c>
      <x:c r="D2916" s="35" t="str">
        <x:v>Gson_13</x:v>
      </x:c>
      <x:c r="E2916" s="35" t="str">
        <x:v>Condition</x:v>
      </x:c>
      <x:c r="F2916" s="35" t="n">
        <x:v>484</x:v>
      </x:c>
      <x:c r="G2916" s="35" t="str">
        <x:v>RECORDED</x:v>
      </x:c>
      <x:c r="H2916" s="39" t="n">
        <x:f>IF(ISNUMBER('Data'!N1208),'Data'!N1208*100,"")</x:f>
        <x:v>50.83</x:v>
      </x:c>
      <x:c r="I2916" s="35" t="str">
        <x:v>PASS</x:v>
      </x:c>
      <x:c r="J2916" s="35" t="str">
        <x:v>PASS</x:v>
      </x:c>
      <x:c r="K2916" s="35" t="str">
        <x:v>PASS</x:v>
      </x:c>
      <x:c r="L2916" s="35" t="str">
        <x:v>FAIL</x:v>
      </x:c>
      <x:c r="M2916" s="35" t="str">
        <x:v>numeric coverage for applicable metric</x:v>
      </x:c>
      <x:c r="N2916" s="35" t="str">
        <x:v>Deepseek-flash-v4/Result2/Gson_13/result.json</x:v>
      </x:c>
      <x:c r="O2916" s="39" t="n">
        <x:f>IF(AND(G2916="RECORDED",ISNUMBER(H2916)),H2916,"")</x:f>
        <x:v>50.83</x:v>
      </x:c>
      <x:c r="P2916" s="35" t="str">
        <x:v>INCONCLUSIVE</x:v>
      </x:c>
      <x:c r="Q2916" s="35" t="str">
        <x:v>Deepseek-flash-v4/Result2/Gson_13/result.json</x:v>
      </x:c>
    </x:row>
    <x:row r="2917">
      <x:c r="A2917" s="35" t="str">
        <x:v>deepseek</x:v>
      </x:c>
      <x:c r="B2917" s="35" t="str">
        <x:v>Gson</x:v>
      </x:c>
      <x:c r="C2917" s="35" t="str">
        <x:v>Round2</x:v>
      </x:c>
      <x:c r="D2917" s="35" t="str">
        <x:v>Gson_14</x:v>
      </x:c>
      <x:c r="E2917" s="35" t="str">
        <x:v>Condition</x:v>
      </x:c>
      <x:c r="F2917" s="35" t="n">
        <x:v>190</x:v>
      </x:c>
      <x:c r="G2917" s="35" t="str">
        <x:v>RECORDED</x:v>
      </x:c>
      <x:c r="H2917" s="39" t="n">
        <x:f>IF(ISNUMBER('Data'!N1209),'Data'!N1209*100,"")</x:f>
        <x:v>64.74</x:v>
      </x:c>
      <x:c r="I2917" s="35" t="str">
        <x:v>PASS</x:v>
      </x:c>
      <x:c r="J2917" s="35" t="str">
        <x:v>PASS</x:v>
      </x:c>
      <x:c r="K2917" s="35" t="str">
        <x:v>PASS</x:v>
      </x:c>
      <x:c r="L2917" s="35" t="str">
        <x:v>FAIL</x:v>
      </x:c>
      <x:c r="M2917" s="35" t="str">
        <x:v>numeric coverage for applicable metric</x:v>
      </x:c>
      <x:c r="N2917" s="35" t="str">
        <x:v>Deepseek-flash-v4/Result2/Gson_14/result.json</x:v>
      </x:c>
      <x:c r="O2917" s="39" t="n">
        <x:f>IF(AND(G2917="RECORDED",ISNUMBER(H2917)),H2917,"")</x:f>
        <x:v>64.74</x:v>
      </x:c>
      <x:c r="P2917" s="35" t="str">
        <x:v>INCONCLUSIVE</x:v>
      </x:c>
      <x:c r="Q2917" s="35" t="str">
        <x:v>Deepseek-flash-v4/Result2/Gson_14/result.json</x:v>
      </x:c>
    </x:row>
    <x:row r="2918">
      <x:c r="A2918" s="35" t="str">
        <x:v>deepseek</x:v>
      </x:c>
      <x:c r="B2918" s="35" t="str">
        <x:v>Gson</x:v>
      </x:c>
      <x:c r="C2918" s="35" t="str">
        <x:v>Round2</x:v>
      </x:c>
      <x:c r="D2918" s="35" t="str">
        <x:v>Gson_15</x:v>
      </x:c>
      <x:c r="E2918" s="35" t="str">
        <x:v>Condition</x:v>
      </x:c>
      <x:c r="F2918" s="35" t="n">
        <x:v>92</x:v>
      </x:c>
      <x:c r="G2918" s="35" t="str">
        <x:v>RECORDED</x:v>
      </x:c>
      <x:c r="H2918" s="39" t="n">
        <x:f>IF(ISNUMBER('Data'!N1210),'Data'!N1210*100,"")</x:f>
        <x:v>60.870000000000005</x:v>
      </x:c>
      <x:c r="I2918" s="35" t="str">
        <x:v>PASS</x:v>
      </x:c>
      <x:c r="J2918" s="35" t="str">
        <x:v>PASS</x:v>
      </x:c>
      <x:c r="K2918" s="35" t="str">
        <x:v>PASS</x:v>
      </x:c>
      <x:c r="L2918" s="35" t="str">
        <x:v>FAIL</x:v>
      </x:c>
      <x:c r="M2918" s="35" t="str">
        <x:v>numeric coverage for applicable metric</x:v>
      </x:c>
      <x:c r="N2918" s="35" t="str">
        <x:v>Deepseek-flash-v4/Result2/Gson_15/result.json</x:v>
      </x:c>
      <x:c r="O2918" s="39" t="n">
        <x:f>IF(AND(G2918="RECORDED",ISNUMBER(H2918)),H2918,"")</x:f>
        <x:v>60.870000000000005</x:v>
      </x:c>
      <x:c r="P2918" s="35" t="str">
        <x:v>INCONCLUSIVE</x:v>
      </x:c>
      <x:c r="Q2918" s="35" t="str">
        <x:v>Deepseek-flash-v4/Result2/Gson_15/result.json</x:v>
      </x:c>
    </x:row>
    <x:row r="2919">
      <x:c r="A2919" s="35" t="str">
        <x:v>deepseek</x:v>
      </x:c>
      <x:c r="B2919" s="35" t="str">
        <x:v>Gson</x:v>
      </x:c>
      <x:c r="C2919" s="35" t="str">
        <x:v>Round2</x:v>
      </x:c>
      <x:c r="D2919" s="35" t="str">
        <x:v>Gson_16</x:v>
      </x:c>
      <x:c r="E2919" s="35" t="str">
        <x:v>Condition</x:v>
      </x:c>
      <x:c r="F2919" s="35" t="n">
        <x:v>194</x:v>
      </x:c>
      <x:c r="G2919" s="35" t="str">
        <x:v>RECORDED</x:v>
      </x:c>
      <x:c r="H2919" s="39" t="n">
        <x:f>IF(ISNUMBER('Data'!N1211),'Data'!N1211*100,"")</x:f>
        <x:v>66.49</x:v>
      </x:c>
      <x:c r="I2919" s="35" t="str">
        <x:v>PASS</x:v>
      </x:c>
      <x:c r="J2919" s="35" t="str">
        <x:v>PASS</x:v>
      </x:c>
      <x:c r="K2919" s="35" t="str">
        <x:v>PASS</x:v>
      </x:c>
      <x:c r="L2919" s="35" t="str">
        <x:v>PASS</x:v>
      </x:c>
      <x:c r="M2919" s="35" t="str">
        <x:v>numeric coverage for applicable metric</x:v>
      </x:c>
      <x:c r="N2919" s="35" t="str">
        <x:v>Deepseek-flash-v4/Result2/Gson_16/result.json</x:v>
      </x:c>
      <x:c r="O2919" s="39" t="n">
        <x:f>IF(AND(G2919="RECORDED",ISNUMBER(H2919)),H2919,"")</x:f>
        <x:v>66.49</x:v>
      </x:c>
      <x:c r="P2919" s="35" t="str">
        <x:v>NOT_REVEALING</x:v>
      </x:c>
      <x:c r="Q2919" s="35" t="str">
        <x:v>Deepseek-flash-v4/Result2/Gson_16/result.json</x:v>
      </x:c>
    </x:row>
    <x:row r="2920">
      <x:c r="A2920" s="35" t="str">
        <x:v>deepseek</x:v>
      </x:c>
      <x:c r="B2920" s="35" t="str">
        <x:v>Gson</x:v>
      </x:c>
      <x:c r="C2920" s="35" t="str">
        <x:v>Round2</x:v>
      </x:c>
      <x:c r="D2920" s="35" t="str">
        <x:v>Gson_17</x:v>
      </x:c>
      <x:c r="E2920" s="35" t="str">
        <x:v>Condition</x:v>
      </x:c>
      <x:c r="F2920" s="35"/>
      <x:c r="G2920" s="35" t="str">
        <x:v>A</x:v>
      </x:c>
      <x:c r="H2920" s="39" t="str">
        <x:f>IF(ISNUMBER('Data'!N1212),'Data'!N1212*100,"")</x:f>
      </x:c>
      <x:c r="I2920" s="35"/>
      <x:c r="J2920" s="35" t="str">
        <x:v>PASS</x:v>
      </x:c>
      <x:c r="K2920" s="35" t="str">
        <x:v>FAIL</x:v>
      </x:c>
      <x:c r="L2920" s="35" t="str">
        <x:v>NOT_RUN</x:v>
      </x:c>
      <x:c r="M2920" s="35" t="str">
        <x:v>coverage unavailable or execution/compile failed</x:v>
      </x:c>
      <x:c r="N2920" s="35" t="str">
        <x:v>Deepseek-flash-v4/Result2/Gson_17/result.json</x:v>
      </x:c>
      <x:c r="O2920" s="39" t="str">
        <x:f>IF(AND(G2920="RECORDED",ISNUMBER(H2920)),H2920,"")</x:f>
      </x:c>
      <x:c r="P2920" s="35" t="str">
        <x:v>NOT_AVAILABLE</x:v>
      </x:c>
      <x:c r="Q2920" s="35" t="str">
        <x:v>Deepseek-flash-v4/Result2/Gson_17/result.json</x:v>
      </x:c>
    </x:row>
    <x:row r="2921">
      <x:c r="A2921" s="35" t="str">
        <x:v>deepseek</x:v>
      </x:c>
      <x:c r="B2921" s="35" t="str">
        <x:v>Gson</x:v>
      </x:c>
      <x:c r="C2921" s="35" t="str">
        <x:v>Round2</x:v>
      </x:c>
      <x:c r="D2921" s="35" t="str">
        <x:v>Gson_18</x:v>
      </x:c>
      <x:c r="E2921" s="35" t="str">
        <x:v>Condition</x:v>
      </x:c>
      <x:c r="F2921" s="35"/>
      <x:c r="G2921" s="35" t="str">
        <x:v>A</x:v>
      </x:c>
      <x:c r="H2921" s="39" t="str">
        <x:f>IF(ISNUMBER('Data'!N1213),'Data'!N1213*100,"")</x:f>
      </x:c>
      <x:c r="I2921" s="35"/>
      <x:c r="J2921" s="35" t="str">
        <x:v>PASS</x:v>
      </x:c>
      <x:c r="K2921" s="35" t="str">
        <x:v>FAIL</x:v>
      </x:c>
      <x:c r="L2921" s="35" t="str">
        <x:v>NOT_RUN</x:v>
      </x:c>
      <x:c r="M2921" s="35" t="str">
        <x:v>coverage unavailable or execution/compile failed</x:v>
      </x:c>
      <x:c r="N2921" s="35" t="str">
        <x:v>Deepseek-flash-v4/Result2/Gson_18/result.json</x:v>
      </x:c>
      <x:c r="O2921" s="39" t="str">
        <x:f>IF(AND(G2921="RECORDED",ISNUMBER(H2921)),H2921,"")</x:f>
      </x:c>
      <x:c r="P2921" s="35" t="str">
        <x:v>NOT_AVAILABLE</x:v>
      </x:c>
      <x:c r="Q2921" s="35" t="str">
        <x:v>Deepseek-flash-v4/Result2/Gson_18/result.json</x:v>
      </x:c>
    </x:row>
    <x:row r="2922">
      <x:c r="A2922" s="35" t="str">
        <x:v>deepseek</x:v>
      </x:c>
      <x:c r="B2922" s="35" t="str">
        <x:v>Gson</x:v>
      </x:c>
      <x:c r="C2922" s="35" t="str">
        <x:v>Round2</x:v>
      </x:c>
      <x:c r="D2922" s="35" t="str">
        <x:v>Gson_2</x:v>
      </x:c>
      <x:c r="E2922" s="35" t="str">
        <x:v>Condition</x:v>
      </x:c>
      <x:c r="F2922" s="35"/>
      <x:c r="G2922" s="35" t="str">
        <x:v>A</x:v>
      </x:c>
      <x:c r="H2922" s="39" t="str">
        <x:f>IF(ISNUMBER('Data'!N1214),'Data'!N1214*100,"")</x:f>
      </x:c>
      <x:c r="I2922" s="35"/>
      <x:c r="J2922" s="35" t="str">
        <x:v>PASS</x:v>
      </x:c>
      <x:c r="K2922" s="35" t="str">
        <x:v>FAIL</x:v>
      </x:c>
      <x:c r="L2922" s="35" t="str">
        <x:v>NOT_RUN</x:v>
      </x:c>
      <x:c r="M2922" s="35" t="str">
        <x:v>coverage unavailable or execution/compile failed</x:v>
      </x:c>
      <x:c r="N2922" s="35" t="str">
        <x:v>Deepseek-flash-v4/Result2/Gson_2/result.json</x:v>
      </x:c>
      <x:c r="O2922" s="39" t="str">
        <x:f>IF(AND(G2922="RECORDED",ISNUMBER(H2922)),H2922,"")</x:f>
      </x:c>
      <x:c r="P2922" s="35" t="str">
        <x:v>NOT_AVAILABLE</x:v>
      </x:c>
      <x:c r="Q2922" s="35" t="str">
        <x:v>Deepseek-flash-v4/Result2/Gson_2/result.json</x:v>
      </x:c>
    </x:row>
    <x:row r="2923">
      <x:c r="A2923" s="35" t="str">
        <x:v>deepseek</x:v>
      </x:c>
      <x:c r="B2923" s="35" t="str">
        <x:v>Gson</x:v>
      </x:c>
      <x:c r="C2923" s="35" t="str">
        <x:v>Round2</x:v>
      </x:c>
      <x:c r="D2923" s="35" t="str">
        <x:v>Gson_3</x:v>
      </x:c>
      <x:c r="E2923" s="35" t="str">
        <x:v>Condition</x:v>
      </x:c>
      <x:c r="F2923" s="35" t="n">
        <x:v>32</x:v>
      </x:c>
      <x:c r="G2923" s="35" t="str">
        <x:v>RECORDED</x:v>
      </x:c>
      <x:c r="H2923" s="39" t="n">
        <x:f>IF(ISNUMBER('Data'!N1215),'Data'!N1215*100,"")</x:f>
        <x:v>65.62</x:v>
      </x:c>
      <x:c r="I2923" s="35" t="str">
        <x:v>PASS</x:v>
      </x:c>
      <x:c r="J2923" s="35" t="str">
        <x:v>PASS</x:v>
      </x:c>
      <x:c r="K2923" s="35" t="str">
        <x:v>PASS</x:v>
      </x:c>
      <x:c r="L2923" s="35" t="str">
        <x:v>FAIL</x:v>
      </x:c>
      <x:c r="M2923" s="35" t="str">
        <x:v>numeric coverage for applicable metric</x:v>
      </x:c>
      <x:c r="N2923" s="35" t="str">
        <x:v>Deepseek-flash-v4/Result2/Gson_3/result.json</x:v>
      </x:c>
      <x:c r="O2923" s="39" t="n">
        <x:f>IF(AND(G2923="RECORDED",ISNUMBER(H2923)),H2923,"")</x:f>
        <x:v>65.62</x:v>
      </x:c>
      <x:c r="P2923" s="35" t="str">
        <x:v>INCONCLUSIVE</x:v>
      </x:c>
      <x:c r="Q2923" s="35" t="str">
        <x:v>Deepseek-flash-v4/Result2/Gson_3/result.json</x:v>
      </x:c>
    </x:row>
    <x:row r="2924">
      <x:c r="A2924" s="35" t="str">
        <x:v>deepseek</x:v>
      </x:c>
      <x:c r="B2924" s="35" t="str">
        <x:v>Gson</x:v>
      </x:c>
      <x:c r="C2924" s="35" t="str">
        <x:v>Round2</x:v>
      </x:c>
      <x:c r="D2924" s="35" t="str">
        <x:v>Gson_4</x:v>
      </x:c>
      <x:c r="E2924" s="35" t="str">
        <x:v>Condition</x:v>
      </x:c>
      <x:c r="F2924" s="35" t="n">
        <x:v>565</x:v>
      </x:c>
      <x:c r="G2924" s="35" t="str">
        <x:v>RECORDED</x:v>
      </x:c>
      <x:c r="H2924" s="39" t="n">
        <x:f>IF(ISNUMBER('Data'!N1216),'Data'!N1216*100,"")</x:f>
        <x:v>48.67</x:v>
      </x:c>
      <x:c r="I2924" s="35" t="str">
        <x:v>PASS</x:v>
      </x:c>
      <x:c r="J2924" s="35" t="str">
        <x:v>PASS</x:v>
      </x:c>
      <x:c r="K2924" s="35" t="str">
        <x:v>PASS</x:v>
      </x:c>
      <x:c r="L2924" s="35" t="str">
        <x:v>FAIL</x:v>
      </x:c>
      <x:c r="M2924" s="35" t="str">
        <x:v>numeric coverage for applicable metric</x:v>
      </x:c>
      <x:c r="N2924" s="35" t="str">
        <x:v>Deepseek-flash-v4/Result2/Gson_4/result.json</x:v>
      </x:c>
      <x:c r="O2924" s="39" t="n">
        <x:f>IF(AND(G2924="RECORDED",ISNUMBER(H2924)),H2924,"")</x:f>
        <x:v>48.67</x:v>
      </x:c>
      <x:c r="P2924" s="35" t="str">
        <x:v>INCONCLUSIVE</x:v>
      </x:c>
      <x:c r="Q2924" s="35" t="str">
        <x:v>Deepseek-flash-v4/Result2/Gson_4/result.json</x:v>
      </x:c>
    </x:row>
    <x:row r="2925">
      <x:c r="A2925" s="35" t="str">
        <x:v>deepseek</x:v>
      </x:c>
      <x:c r="B2925" s="35" t="str">
        <x:v>Gson</x:v>
      </x:c>
      <x:c r="C2925" s="35" t="str">
        <x:v>Round2</x:v>
      </x:c>
      <x:c r="D2925" s="35" t="str">
        <x:v>Gson_5</x:v>
      </x:c>
      <x:c r="E2925" s="35" t="str">
        <x:v>Condition</x:v>
      </x:c>
      <x:c r="F2925" s="35" t="n">
        <x:v>89</x:v>
      </x:c>
      <x:c r="G2925" s="35" t="str">
        <x:v>RECORDED</x:v>
      </x:c>
      <x:c r="H2925" s="39" t="n">
        <x:f>IF(ISNUMBER('Data'!N1217),'Data'!N1217*100,"")</x:f>
        <x:v>75.28</x:v>
      </x:c>
      <x:c r="I2925" s="35" t="str">
        <x:v>PASS</x:v>
      </x:c>
      <x:c r="J2925" s="35" t="str">
        <x:v>PASS</x:v>
      </x:c>
      <x:c r="K2925" s="35" t="str">
        <x:v>PASS</x:v>
      </x:c>
      <x:c r="L2925" s="35" t="str">
        <x:v>FAIL</x:v>
      </x:c>
      <x:c r="M2925" s="35" t="str">
        <x:v>numeric coverage for applicable metric</x:v>
      </x:c>
      <x:c r="N2925" s="35" t="str">
        <x:v>Deepseek-flash-v4/Result2/Gson_5/result.json</x:v>
      </x:c>
      <x:c r="O2925" s="39" t="n">
        <x:f>IF(AND(G2925="RECORDED",ISNUMBER(H2925)),H2925,"")</x:f>
        <x:v>75.28</x:v>
      </x:c>
      <x:c r="P2925" s="35" t="str">
        <x:v>INCONCLUSIVE</x:v>
      </x:c>
      <x:c r="Q2925" s="35" t="str">
        <x:v>Deepseek-flash-v4/Result2/Gson_5/result.json</x:v>
      </x:c>
    </x:row>
    <x:row r="2926">
      <x:c r="A2926" s="35" t="str">
        <x:v>deepseek</x:v>
      </x:c>
      <x:c r="B2926" s="35" t="str">
        <x:v>Gson</x:v>
      </x:c>
      <x:c r="C2926" s="35" t="str">
        <x:v>Round2</x:v>
      </x:c>
      <x:c r="D2926" s="35" t="str">
        <x:v>Gson_6</x:v>
      </x:c>
      <x:c r="E2926" s="35" t="str">
        <x:v>Condition</x:v>
      </x:c>
      <x:c r="F2926" s="35"/>
      <x:c r="G2926" s="35" t="str">
        <x:v>A</x:v>
      </x:c>
      <x:c r="H2926" s="39" t="str">
        <x:f>IF(ISNUMBER('Data'!N1218),'Data'!N1218*100,"")</x:f>
      </x:c>
      <x:c r="I2926" s="35"/>
      <x:c r="J2926" s="35" t="str">
        <x:v>PASS</x:v>
      </x:c>
      <x:c r="K2926" s="35" t="str">
        <x:v>FAIL</x:v>
      </x:c>
      <x:c r="L2926" s="35" t="str">
        <x:v>NOT_RUN</x:v>
      </x:c>
      <x:c r="M2926" s="35" t="str">
        <x:v>coverage unavailable or execution/compile failed</x:v>
      </x:c>
      <x:c r="N2926" s="35" t="str">
        <x:v>Deepseek-flash-v4/Result2/Gson_6/result.json</x:v>
      </x:c>
      <x:c r="O2926" s="39" t="str">
        <x:f>IF(AND(G2926="RECORDED",ISNUMBER(H2926)),H2926,"")</x:f>
      </x:c>
      <x:c r="P2926" s="35" t="str">
        <x:v>NOT_AVAILABLE</x:v>
      </x:c>
      <x:c r="Q2926" s="35" t="str">
        <x:v>Deepseek-flash-v4/Result2/Gson_6/result.json</x:v>
      </x:c>
    </x:row>
    <x:row r="2927">
      <x:c r="A2927" s="35" t="str">
        <x:v>deepseek</x:v>
      </x:c>
      <x:c r="B2927" s="35" t="str">
        <x:v>Gson</x:v>
      </x:c>
      <x:c r="C2927" s="35" t="str">
        <x:v>Round2</x:v>
      </x:c>
      <x:c r="D2927" s="35" t="str">
        <x:v>Gson_7</x:v>
      </x:c>
      <x:c r="E2927" s="35" t="str">
        <x:v>Condition</x:v>
      </x:c>
      <x:c r="F2927" s="35" t="n">
        <x:v>469</x:v>
      </x:c>
      <x:c r="G2927" s="35" t="str">
        <x:v>RECORDED</x:v>
      </x:c>
      <x:c r="H2927" s="39" t="n">
        <x:f>IF(ISNUMBER('Data'!N1219),'Data'!N1219*100,"")</x:f>
        <x:v>54.16</x:v>
      </x:c>
      <x:c r="I2927" s="35" t="str">
        <x:v>PASS</x:v>
      </x:c>
      <x:c r="J2927" s="35" t="str">
        <x:v>PASS</x:v>
      </x:c>
      <x:c r="K2927" s="35" t="str">
        <x:v>PASS</x:v>
      </x:c>
      <x:c r="L2927" s="35" t="str">
        <x:v>PASS</x:v>
      </x:c>
      <x:c r="M2927" s="35" t="str">
        <x:v>numeric coverage for applicable metric</x:v>
      </x:c>
      <x:c r="N2927" s="35" t="str">
        <x:v>Deepseek-flash-v4/Result2/Gson_7/result.json</x:v>
      </x:c>
      <x:c r="O2927" s="39" t="n">
        <x:f>IF(AND(G2927="RECORDED",ISNUMBER(H2927)),H2927,"")</x:f>
        <x:v>54.16</x:v>
      </x:c>
      <x:c r="P2927" s="35" t="str">
        <x:v>NOT_REVEALING</x:v>
      </x:c>
      <x:c r="Q2927" s="35" t="str">
        <x:v>Deepseek-flash-v4/Result2/Gson_7/result.json</x:v>
      </x:c>
    </x:row>
    <x:row r="2928">
      <x:c r="A2928" s="35" t="str">
        <x:v>deepseek</x:v>
      </x:c>
      <x:c r="B2928" s="35" t="str">
        <x:v>Gson</x:v>
      </x:c>
      <x:c r="C2928" s="35" t="str">
        <x:v>Round2</x:v>
      </x:c>
      <x:c r="D2928" s="35" t="str">
        <x:v>Gson_8</x:v>
      </x:c>
      <x:c r="E2928" s="35" t="str">
        <x:v>Condition</x:v>
      </x:c>
      <x:c r="F2928" s="35" t="n">
        <x:v>0</x:v>
      </x:c>
      <x:c r="G2928" s="35" t="str">
        <x:v>B</x:v>
      </x:c>
      <x:c r="H2928" s="39" t="str">
        <x:f>IF(ISNUMBER('Data'!N1220),'Data'!N1220*100,"")</x:f>
      </x:c>
      <x:c r="I2928" s="35" t="str">
        <x:v>PASS</x:v>
      </x:c>
      <x:c r="J2928" s="35" t="str">
        <x:v>PASS</x:v>
      </x:c>
      <x:c r="K2928" s="35" t="str">
        <x:v>PASS</x:v>
      </x:c>
      <x:c r="L2928" s="35" t="str">
        <x:v>PASS</x:v>
      </x:c>
      <x:c r="M2928" s="35" t="str">
        <x:v>coverage completed; measurable total = 0</x:v>
      </x:c>
      <x:c r="N2928" s="35" t="str">
        <x:v>Deepseek-flash-v4/Result2/Gson_8/result.json</x:v>
      </x:c>
      <x:c r="O2928" s="39" t="str">
        <x:f>IF(AND(G2928="RECORDED",ISNUMBER(H2928)),H2928,"")</x:f>
      </x:c>
      <x:c r="P2928" s="35" t="str">
        <x:v>NOT_REVEALING</x:v>
      </x:c>
      <x:c r="Q2928" s="35" t="str">
        <x:v>Deepseek-flash-v4/Result2/Gson_8/result.json</x:v>
      </x:c>
    </x:row>
    <x:row r="2929">
      <x:c r="A2929" s="35" t="str">
        <x:v>deepseek</x:v>
      </x:c>
      <x:c r="B2929" s="35" t="str">
        <x:v>Gson</x:v>
      </x:c>
      <x:c r="C2929" s="35" t="str">
        <x:v>Round2</x:v>
      </x:c>
      <x:c r="D2929" s="35" t="str">
        <x:v>Gson_9</x:v>
      </x:c>
      <x:c r="E2929" s="35" t="str">
        <x:v>Condition</x:v>
      </x:c>
      <x:c r="F2929" s="35"/>
      <x:c r="G2929" s="35" t="str">
        <x:v>A</x:v>
      </x:c>
      <x:c r="H2929" s="39" t="str">
        <x:f>IF(ISNUMBER('Data'!N1221),'Data'!N1221*100,"")</x:f>
      </x:c>
      <x:c r="I2929" s="35"/>
      <x:c r="J2929" s="35" t="str">
        <x:v>PASS</x:v>
      </x:c>
      <x:c r="K2929" s="35" t="str">
        <x:v>FAIL</x:v>
      </x:c>
      <x:c r="L2929" s="35" t="str">
        <x:v>NOT_RUN</x:v>
      </x:c>
      <x:c r="M2929" s="35" t="str">
        <x:v>coverage unavailable or execution/compile failed</x:v>
      </x:c>
      <x:c r="N2929" s="35" t="str">
        <x:v>Deepseek-flash-v4/Result2/Gson_9/result.json</x:v>
      </x:c>
      <x:c r="O2929" s="39" t="str">
        <x:f>IF(AND(G2929="RECORDED",ISNUMBER(H2929)),H2929,"")</x:f>
      </x:c>
      <x:c r="P2929" s="35" t="str">
        <x:v>NOT_AVAILABLE</x:v>
      </x:c>
      <x:c r="Q2929" s="35" t="str">
        <x:v>Deepseek-flash-v4/Result2/Gson_9/result.json</x:v>
      </x:c>
    </x:row>
    <x:row r="2930">
      <x:c r="A2930" s="35" t="str">
        <x:v>deepseek</x:v>
      </x:c>
      <x:c r="B2930" s="35" t="str">
        <x:v>JacksonCore</x:v>
      </x:c>
      <x:c r="C2930" s="35" t="str">
        <x:v>Round2</x:v>
      </x:c>
      <x:c r="D2930" s="35" t="str">
        <x:v>JacksonCore_1</x:v>
      </x:c>
      <x:c r="E2930" s="35" t="str">
        <x:v>Condition</x:v>
      </x:c>
      <x:c r="F2930" s="35"/>
      <x:c r="G2930" s="35" t="str">
        <x:v>A</x:v>
      </x:c>
      <x:c r="H2930" s="39" t="str">
        <x:f>IF(ISNUMBER('Data'!N1222),'Data'!N1222*100,"")</x:f>
      </x:c>
      <x:c r="I2930" s="35"/>
      <x:c r="J2930" s="35" t="str">
        <x:v>PASS</x:v>
      </x:c>
      <x:c r="K2930" s="35" t="str">
        <x:v>FAIL</x:v>
      </x:c>
      <x:c r="L2930" s="35" t="str">
        <x:v>NOT_RUN</x:v>
      </x:c>
      <x:c r="M2930" s="35" t="str">
        <x:v>coverage unavailable or execution/compile failed</x:v>
      </x:c>
      <x:c r="N2930" s="35" t="str">
        <x:v>Deepseek-flash-v4/Result2/JacksonCore_1/result.json</x:v>
      </x:c>
      <x:c r="O2930" s="39" t="str">
        <x:f>IF(AND(G2930="RECORDED",ISNUMBER(H2930)),H2930,"")</x:f>
      </x:c>
      <x:c r="P2930" s="35" t="str">
        <x:v>NOT_AVAILABLE</x:v>
      </x:c>
      <x:c r="Q2930" s="35" t="str">
        <x:v>Deepseek-flash-v4/Result2/JacksonCore_1/result.json</x:v>
      </x:c>
    </x:row>
    <x:row r="2931">
      <x:c r="A2931" s="35" t="str">
        <x:v>deepseek</x:v>
      </x:c>
      <x:c r="B2931" s="35" t="str">
        <x:v>JacksonCore</x:v>
      </x:c>
      <x:c r="C2931" s="35" t="str">
        <x:v>Round2</x:v>
      </x:c>
      <x:c r="D2931" s="35" t="str">
        <x:v>JacksonCore_10</x:v>
      </x:c>
      <x:c r="E2931" s="35" t="str">
        <x:v>Condition</x:v>
      </x:c>
      <x:c r="F2931" s="35" t="n">
        <x:v>266</x:v>
      </x:c>
      <x:c r="G2931" s="35" t="str">
        <x:v>RECORDED</x:v>
      </x:c>
      <x:c r="H2931" s="39" t="n">
        <x:f>IF(ISNUMBER('Data'!N1223),'Data'!N1223*100,"")</x:f>
        <x:v>23.68</x:v>
      </x:c>
      <x:c r="I2931" s="35" t="str">
        <x:v>PASS</x:v>
      </x:c>
      <x:c r="J2931" s="35" t="str">
        <x:v>PASS</x:v>
      </x:c>
      <x:c r="K2931" s="35" t="str">
        <x:v>PASS</x:v>
      </x:c>
      <x:c r="L2931" s="35" t="str">
        <x:v>FAIL</x:v>
      </x:c>
      <x:c r="M2931" s="35" t="str">
        <x:v>numeric coverage for applicable metric</x:v>
      </x:c>
      <x:c r="N2931" s="35" t="str">
        <x:v>Deepseek-flash-v4/Result2/JacksonCore_10/result.json</x:v>
      </x:c>
      <x:c r="O2931" s="39" t="n">
        <x:f>IF(AND(G2931="RECORDED",ISNUMBER(H2931)),H2931,"")</x:f>
        <x:v>23.68</x:v>
      </x:c>
      <x:c r="P2931" s="35" t="str">
        <x:v>INCONCLUSIVE</x:v>
      </x:c>
      <x:c r="Q2931" s="35" t="str">
        <x:v>Deepseek-flash-v4/Result2/JacksonCore_10/result.json</x:v>
      </x:c>
    </x:row>
    <x:row r="2932">
      <x:c r="A2932" s="35" t="str">
        <x:v>deepseek</x:v>
      </x:c>
      <x:c r="B2932" s="35" t="str">
        <x:v>JacksonCore</x:v>
      </x:c>
      <x:c r="C2932" s="35" t="str">
        <x:v>Round2</x:v>
      </x:c>
      <x:c r="D2932" s="35" t="str">
        <x:v>JacksonCore_11</x:v>
      </x:c>
      <x:c r="E2932" s="35" t="str">
        <x:v>Condition</x:v>
      </x:c>
      <x:c r="F2932" s="35" t="n">
        <x:v>268</x:v>
      </x:c>
      <x:c r="G2932" s="35" t="str">
        <x:v>RECORDED</x:v>
      </x:c>
      <x:c r="H2932" s="39" t="n">
        <x:f>IF(ISNUMBER('Data'!N1224),'Data'!N1224*100,"")</x:f>
        <x:v>40.67</x:v>
      </x:c>
      <x:c r="I2932" s="35" t="str">
        <x:v>PASS</x:v>
      </x:c>
      <x:c r="J2932" s="35" t="str">
        <x:v>PASS</x:v>
      </x:c>
      <x:c r="K2932" s="35" t="str">
        <x:v>PASS</x:v>
      </x:c>
      <x:c r="L2932" s="35" t="str">
        <x:v>FAIL</x:v>
      </x:c>
      <x:c r="M2932" s="35" t="str">
        <x:v>numeric coverage for applicable metric</x:v>
      </x:c>
      <x:c r="N2932" s="35" t="str">
        <x:v>Deepseek-flash-v4/Result2/JacksonCore_11/result.json</x:v>
      </x:c>
      <x:c r="O2932" s="39" t="n">
        <x:f>IF(AND(G2932="RECORDED",ISNUMBER(H2932)),H2932,"")</x:f>
        <x:v>40.67</x:v>
      </x:c>
      <x:c r="P2932" s="35" t="str">
        <x:v>INCONCLUSIVE</x:v>
      </x:c>
      <x:c r="Q2932" s="35" t="str">
        <x:v>Deepseek-flash-v4/Result2/JacksonCore_11/result.json</x:v>
      </x:c>
    </x:row>
    <x:row r="2933">
      <x:c r="A2933" s="35" t="str">
        <x:v>deepseek</x:v>
      </x:c>
      <x:c r="B2933" s="35" t="str">
        <x:v>JacksonCore</x:v>
      </x:c>
      <x:c r="C2933" s="35" t="str">
        <x:v>Round2</x:v>
      </x:c>
      <x:c r="D2933" s="35" t="str">
        <x:v>JacksonCore_12</x:v>
      </x:c>
      <x:c r="E2933" s="35" t="str">
        <x:v>Condition</x:v>
      </x:c>
      <x:c r="F2933" s="35"/>
      <x:c r="G2933" s="35" t="str">
        <x:v>A</x:v>
      </x:c>
      <x:c r="H2933" s="39" t="str">
        <x:f>IF(ISNUMBER('Data'!N1225),'Data'!N1225*100,"")</x:f>
      </x:c>
      <x:c r="I2933" s="35"/>
      <x:c r="J2933" s="35" t="str">
        <x:v>PASS</x:v>
      </x:c>
      <x:c r="K2933" s="35" t="str">
        <x:v>FAIL</x:v>
      </x:c>
      <x:c r="L2933" s="35" t="str">
        <x:v>NOT_RUN</x:v>
      </x:c>
      <x:c r="M2933" s="35" t="str">
        <x:v>coverage unavailable or execution/compile failed</x:v>
      </x:c>
      <x:c r="N2933" s="35" t="str">
        <x:v>Deepseek-flash-v4/Result2/JacksonCore_12/result.json</x:v>
      </x:c>
      <x:c r="O2933" s="39" t="str">
        <x:f>IF(AND(G2933="RECORDED",ISNUMBER(H2933)),H2933,"")</x:f>
      </x:c>
      <x:c r="P2933" s="35" t="str">
        <x:v>NOT_AVAILABLE</x:v>
      </x:c>
      <x:c r="Q2933" s="35" t="str">
        <x:v>Deepseek-flash-v4/Result2/JacksonCore_12/result.json</x:v>
      </x:c>
    </x:row>
    <x:row r="2934">
      <x:c r="A2934" s="35" t="str">
        <x:v>deepseek</x:v>
      </x:c>
      <x:c r="B2934" s="35" t="str">
        <x:v>JacksonCore</x:v>
      </x:c>
      <x:c r="C2934" s="35" t="str">
        <x:v>Round2</x:v>
      </x:c>
      <x:c r="D2934" s="35" t="str">
        <x:v>JacksonCore_13</x:v>
      </x:c>
      <x:c r="E2934" s="35" t="str">
        <x:v>Condition</x:v>
      </x:c>
      <x:c r="F2934" s="35"/>
      <x:c r="G2934" s="35" t="str">
        <x:v>A</x:v>
      </x:c>
      <x:c r="H2934" s="39" t="str">
        <x:f>IF(ISNUMBER('Data'!N1226),'Data'!N1226*100,"")</x:f>
      </x:c>
      <x:c r="I2934" s="35"/>
      <x:c r="J2934" s="35" t="str">
        <x:v>PASS</x:v>
      </x:c>
      <x:c r="K2934" s="35" t="str">
        <x:v>FAIL</x:v>
      </x:c>
      <x:c r="L2934" s="35" t="str">
        <x:v>NOT_RUN</x:v>
      </x:c>
      <x:c r="M2934" s="35" t="str">
        <x:v>coverage unavailable or execution/compile failed</x:v>
      </x:c>
      <x:c r="N2934" s="35" t="str">
        <x:v>Deepseek-flash-v4/Result2/JacksonCore_13/result.json</x:v>
      </x:c>
      <x:c r="O2934" s="39" t="str">
        <x:f>IF(AND(G2934="RECORDED",ISNUMBER(H2934)),H2934,"")</x:f>
      </x:c>
      <x:c r="P2934" s="35" t="str">
        <x:v>NOT_AVAILABLE</x:v>
      </x:c>
      <x:c r="Q2934" s="35" t="str">
        <x:v>Deepseek-flash-v4/Result2/JacksonCore_13/result.json</x:v>
      </x:c>
    </x:row>
    <x:row r="2935">
      <x:c r="A2935" s="35" t="str">
        <x:v>deepseek</x:v>
      </x:c>
      <x:c r="B2935" s="35" t="str">
        <x:v>JacksonCore</x:v>
      </x:c>
      <x:c r="C2935" s="35" t="str">
        <x:v>Round2</x:v>
      </x:c>
      <x:c r="D2935" s="35" t="str">
        <x:v>JacksonCore_14</x:v>
      </x:c>
      <x:c r="E2935" s="35" t="str">
        <x:v>Condition</x:v>
      </x:c>
      <x:c r="F2935" s="35"/>
      <x:c r="G2935" s="35" t="str">
        <x:v>A</x:v>
      </x:c>
      <x:c r="H2935" s="39" t="str">
        <x:f>IF(ISNUMBER('Data'!N1227),'Data'!N1227*100,"")</x:f>
      </x:c>
      <x:c r="I2935" s="35"/>
      <x:c r="J2935" s="35" t="str">
        <x:v>PASS</x:v>
      </x:c>
      <x:c r="K2935" s="35" t="str">
        <x:v>FAIL</x:v>
      </x:c>
      <x:c r="L2935" s="35" t="str">
        <x:v>NOT_RUN</x:v>
      </x:c>
      <x:c r="M2935" s="35" t="str">
        <x:v>coverage unavailable or execution/compile failed</x:v>
      </x:c>
      <x:c r="N2935" s="35" t="str">
        <x:v>Deepseek-flash-v4/Result2/JacksonCore_14/result.json</x:v>
      </x:c>
      <x:c r="O2935" s="39" t="str">
        <x:f>IF(AND(G2935="RECORDED",ISNUMBER(H2935)),H2935,"")</x:f>
      </x:c>
      <x:c r="P2935" s="35" t="str">
        <x:v>NOT_AVAILABLE</x:v>
      </x:c>
      <x:c r="Q2935" s="35" t="str">
        <x:v>Deepseek-flash-v4/Result2/JacksonCore_14/result.json</x:v>
      </x:c>
    </x:row>
    <x:row r="2936">
      <x:c r="A2936" s="35" t="str">
        <x:v>deepseek</x:v>
      </x:c>
      <x:c r="B2936" s="35" t="str">
        <x:v>JacksonCore</x:v>
      </x:c>
      <x:c r="C2936" s="35" t="str">
        <x:v>Round2</x:v>
      </x:c>
      <x:c r="D2936" s="35" t="str">
        <x:v>JacksonCore_15</x:v>
      </x:c>
      <x:c r="E2936" s="35" t="str">
        <x:v>Condition</x:v>
      </x:c>
      <x:c r="F2936" s="35"/>
      <x:c r="G2936" s="35" t="str">
        <x:v>A</x:v>
      </x:c>
      <x:c r="H2936" s="39" t="str">
        <x:f>IF(ISNUMBER('Data'!N1228),'Data'!N1228*100,"")</x:f>
      </x:c>
      <x:c r="I2936" s="35"/>
      <x:c r="J2936" s="35" t="str">
        <x:v>PASS</x:v>
      </x:c>
      <x:c r="K2936" s="35" t="str">
        <x:v>FAIL</x:v>
      </x:c>
      <x:c r="L2936" s="35" t="str">
        <x:v>NOT_RUN</x:v>
      </x:c>
      <x:c r="M2936" s="35" t="str">
        <x:v>coverage unavailable or execution/compile failed</x:v>
      </x:c>
      <x:c r="N2936" s="35" t="str">
        <x:v>Deepseek-flash-v4/Result2/JacksonCore_15/result.json</x:v>
      </x:c>
      <x:c r="O2936" s="39" t="str">
        <x:f>IF(AND(G2936="RECORDED",ISNUMBER(H2936)),H2936,"")</x:f>
      </x:c>
      <x:c r="P2936" s="35" t="str">
        <x:v>NOT_AVAILABLE</x:v>
      </x:c>
      <x:c r="Q2936" s="35" t="str">
        <x:v>Deepseek-flash-v4/Result2/JacksonCore_15/result.json</x:v>
      </x:c>
    </x:row>
    <x:row r="2937">
      <x:c r="A2937" s="35" t="str">
        <x:v>deepseek</x:v>
      </x:c>
      <x:c r="B2937" s="35" t="str">
        <x:v>JacksonCore</x:v>
      </x:c>
      <x:c r="C2937" s="35" t="str">
        <x:v>Round2</x:v>
      </x:c>
      <x:c r="D2937" s="35" t="str">
        <x:v>JacksonCore_16</x:v>
      </x:c>
      <x:c r="E2937" s="35" t="str">
        <x:v>Condition</x:v>
      </x:c>
      <x:c r="F2937" s="35"/>
      <x:c r="G2937" s="35" t="str">
        <x:v>A</x:v>
      </x:c>
      <x:c r="H2937" s="39" t="str">
        <x:f>IF(ISNUMBER('Data'!N1229),'Data'!N1229*100,"")</x:f>
      </x:c>
      <x:c r="I2937" s="35"/>
      <x:c r="J2937" s="35" t="str">
        <x:v>PASS</x:v>
      </x:c>
      <x:c r="K2937" s="35" t="str">
        <x:v>FAIL</x:v>
      </x:c>
      <x:c r="L2937" s="35" t="str">
        <x:v>NOT_RUN</x:v>
      </x:c>
      <x:c r="M2937" s="35" t="str">
        <x:v>coverage unavailable or execution/compile failed</x:v>
      </x:c>
      <x:c r="N2937" s="35" t="str">
        <x:v>Deepseek-flash-v4/Result2/JacksonCore_16/result.json</x:v>
      </x:c>
      <x:c r="O2937" s="39" t="str">
        <x:f>IF(AND(G2937="RECORDED",ISNUMBER(H2937)),H2937,"")</x:f>
      </x:c>
      <x:c r="P2937" s="35" t="str">
        <x:v>NOT_AVAILABLE</x:v>
      </x:c>
      <x:c r="Q2937" s="35" t="str">
        <x:v>Deepseek-flash-v4/Result2/JacksonCore_16/result.json</x:v>
      </x:c>
    </x:row>
    <x:row r="2938">
      <x:c r="A2938" s="35" t="str">
        <x:v>deepseek</x:v>
      </x:c>
      <x:c r="B2938" s="35" t="str">
        <x:v>JacksonCore</x:v>
      </x:c>
      <x:c r="C2938" s="35" t="str">
        <x:v>Round2</x:v>
      </x:c>
      <x:c r="D2938" s="35" t="str">
        <x:v>JacksonCore_17</x:v>
      </x:c>
      <x:c r="E2938" s="35" t="str">
        <x:v>Condition</x:v>
      </x:c>
      <x:c r="F2938" s="35"/>
      <x:c r="G2938" s="35" t="str">
        <x:v>A</x:v>
      </x:c>
      <x:c r="H2938" s="39" t="str">
        <x:f>IF(ISNUMBER('Data'!N1230),'Data'!N1230*100,"")</x:f>
      </x:c>
      <x:c r="I2938" s="35"/>
      <x:c r="J2938" s="35" t="str">
        <x:v>PASS</x:v>
      </x:c>
      <x:c r="K2938" s="35" t="str">
        <x:v>FAIL</x:v>
      </x:c>
      <x:c r="L2938" s="35" t="str">
        <x:v>NOT_RUN</x:v>
      </x:c>
      <x:c r="M2938" s="35" t="str">
        <x:v>coverage unavailable or execution/compile failed</x:v>
      </x:c>
      <x:c r="N2938" s="35" t="str">
        <x:v>Deepseek-flash-v4/Result2/JacksonCore_17/result.json</x:v>
      </x:c>
      <x:c r="O2938" s="39" t="str">
        <x:f>IF(AND(G2938="RECORDED",ISNUMBER(H2938)),H2938,"")</x:f>
      </x:c>
      <x:c r="P2938" s="35" t="str">
        <x:v>NOT_AVAILABLE</x:v>
      </x:c>
      <x:c r="Q2938" s="35" t="str">
        <x:v>Deepseek-flash-v4/Result2/JacksonCore_17/result.json</x:v>
      </x:c>
    </x:row>
    <x:row r="2939">
      <x:c r="A2939" s="35" t="str">
        <x:v>deepseek</x:v>
      </x:c>
      <x:c r="B2939" s="35" t="str">
        <x:v>JacksonCore</x:v>
      </x:c>
      <x:c r="C2939" s="35" t="str">
        <x:v>Round2</x:v>
      </x:c>
      <x:c r="D2939" s="35" t="str">
        <x:v>JacksonCore_18</x:v>
      </x:c>
      <x:c r="E2939" s="35" t="str">
        <x:v>Condition</x:v>
      </x:c>
      <x:c r="F2939" s="35"/>
      <x:c r="G2939" s="35" t="str">
        <x:v>A</x:v>
      </x:c>
      <x:c r="H2939" s="39" t="str">
        <x:f>IF(ISNUMBER('Data'!N1231),'Data'!N1231*100,"")</x:f>
      </x:c>
      <x:c r="I2939" s="35"/>
      <x:c r="J2939" s="35" t="str">
        <x:v>PASS</x:v>
      </x:c>
      <x:c r="K2939" s="35" t="str">
        <x:v>FAIL</x:v>
      </x:c>
      <x:c r="L2939" s="35" t="str">
        <x:v>NOT_RUN</x:v>
      </x:c>
      <x:c r="M2939" s="35" t="str">
        <x:v>coverage unavailable or execution/compile failed</x:v>
      </x:c>
      <x:c r="N2939" s="35" t="str">
        <x:v>Deepseek-flash-v4/Result2/JacksonCore_18/result.json</x:v>
      </x:c>
      <x:c r="O2939" s="39" t="str">
        <x:f>IF(AND(G2939="RECORDED",ISNUMBER(H2939)),H2939,"")</x:f>
      </x:c>
      <x:c r="P2939" s="35" t="str">
        <x:v>NOT_AVAILABLE</x:v>
      </x:c>
      <x:c r="Q2939" s="35" t="str">
        <x:v>Deepseek-flash-v4/Result2/JacksonCore_18/result.json</x:v>
      </x:c>
    </x:row>
    <x:row r="2940">
      <x:c r="A2940" s="35" t="str">
        <x:v>deepseek</x:v>
      </x:c>
      <x:c r="B2940" s="35" t="str">
        <x:v>JacksonCore</x:v>
      </x:c>
      <x:c r="C2940" s="35" t="str">
        <x:v>Round2</x:v>
      </x:c>
      <x:c r="D2940" s="35" t="str">
        <x:v>JacksonCore_19</x:v>
      </x:c>
      <x:c r="E2940" s="35" t="str">
        <x:v>Condition</x:v>
      </x:c>
      <x:c r="F2940" s="35"/>
      <x:c r="G2940" s="35" t="str">
        <x:v>A</x:v>
      </x:c>
      <x:c r="H2940" s="39" t="str">
        <x:f>IF(ISNUMBER('Data'!N1232),'Data'!N1232*100,"")</x:f>
      </x:c>
      <x:c r="I2940" s="35"/>
      <x:c r="J2940" s="35" t="str">
        <x:v>PASS</x:v>
      </x:c>
      <x:c r="K2940" s="35" t="str">
        <x:v>FAIL</x:v>
      </x:c>
      <x:c r="L2940" s="35" t="str">
        <x:v>NOT_RUN</x:v>
      </x:c>
      <x:c r="M2940" s="35" t="str">
        <x:v>coverage unavailable or execution/compile failed</x:v>
      </x:c>
      <x:c r="N2940" s="35" t="str">
        <x:v>Deepseek-flash-v4/Result2/JacksonCore_19/result.json</x:v>
      </x:c>
      <x:c r="O2940" s="39" t="str">
        <x:f>IF(AND(G2940="RECORDED",ISNUMBER(H2940)),H2940,"")</x:f>
      </x:c>
      <x:c r="P2940" s="35" t="str">
        <x:v>NOT_AVAILABLE</x:v>
      </x:c>
      <x:c r="Q2940" s="35" t="str">
        <x:v>Deepseek-flash-v4/Result2/JacksonCore_19/result.json</x:v>
      </x:c>
    </x:row>
    <x:row r="2941">
      <x:c r="A2941" s="35" t="str">
        <x:v>deepseek</x:v>
      </x:c>
      <x:c r="B2941" s="35" t="str">
        <x:v>JacksonCore</x:v>
      </x:c>
      <x:c r="C2941" s="35" t="str">
        <x:v>Round2</x:v>
      </x:c>
      <x:c r="D2941" s="35" t="str">
        <x:v>JacksonCore_2</x:v>
      </x:c>
      <x:c r="E2941" s="35" t="str">
        <x:v>Condition</x:v>
      </x:c>
      <x:c r="F2941" s="35" t="n">
        <x:v>1698</x:v>
      </x:c>
      <x:c r="G2941" s="35" t="str">
        <x:v>RECORDED</x:v>
      </x:c>
      <x:c r="H2941" s="39" t="n">
        <x:f>IF(ISNUMBER('Data'!N1233),'Data'!N1233*100,"")</x:f>
        <x:v>32.92</x:v>
      </x:c>
      <x:c r="I2941" s="35" t="str">
        <x:v>PASS</x:v>
      </x:c>
      <x:c r="J2941" s="35" t="str">
        <x:v>PASS</x:v>
      </x:c>
      <x:c r="K2941" s="35" t="str">
        <x:v>PASS</x:v>
      </x:c>
      <x:c r="L2941" s="35" t="str">
        <x:v>FAIL</x:v>
      </x:c>
      <x:c r="M2941" s="35" t="str">
        <x:v>numeric coverage for applicable metric</x:v>
      </x:c>
      <x:c r="N2941" s="35" t="str">
        <x:v>Deepseek-flash-v4/Result2/JacksonCore_2/result.json</x:v>
      </x:c>
      <x:c r="O2941" s="39" t="n">
        <x:f>IF(AND(G2941="RECORDED",ISNUMBER(H2941)),H2941,"")</x:f>
        <x:v>32.92</x:v>
      </x:c>
      <x:c r="P2941" s="35" t="str">
        <x:v>INCONCLUSIVE</x:v>
      </x:c>
      <x:c r="Q2941" s="35" t="str">
        <x:v>Deepseek-flash-v4/Result2/JacksonCore_2/result.json</x:v>
      </x:c>
    </x:row>
    <x:row r="2942">
      <x:c r="A2942" s="35" t="str">
        <x:v>deepseek</x:v>
      </x:c>
      <x:c r="B2942" s="35" t="str">
        <x:v>JacksonCore</x:v>
      </x:c>
      <x:c r="C2942" s="35" t="str">
        <x:v>Round2</x:v>
      </x:c>
      <x:c r="D2942" s="35" t="str">
        <x:v>JacksonCore_20</x:v>
      </x:c>
      <x:c r="E2942" s="35" t="str">
        <x:v>Condition</x:v>
      </x:c>
      <x:c r="F2942" s="35"/>
      <x:c r="G2942" s="35" t="str">
        <x:v>A</x:v>
      </x:c>
      <x:c r="H2942" s="39" t="str">
        <x:f>IF(ISNUMBER('Data'!N1234),'Data'!N1234*100,"")</x:f>
      </x:c>
      <x:c r="I2942" s="35"/>
      <x:c r="J2942" s="35" t="str">
        <x:v>PASS</x:v>
      </x:c>
      <x:c r="K2942" s="35" t="str">
        <x:v>FAIL</x:v>
      </x:c>
      <x:c r="L2942" s="35" t="str">
        <x:v>NOT_RUN</x:v>
      </x:c>
      <x:c r="M2942" s="35" t="str">
        <x:v>coverage unavailable or execution/compile failed</x:v>
      </x:c>
      <x:c r="N2942" s="35" t="str">
        <x:v>Deepseek-flash-v4/Result2/JacksonCore_20/result.json</x:v>
      </x:c>
      <x:c r="O2942" s="39" t="str">
        <x:f>IF(AND(G2942="RECORDED",ISNUMBER(H2942)),H2942,"")</x:f>
      </x:c>
      <x:c r="P2942" s="35" t="str">
        <x:v>NOT_AVAILABLE</x:v>
      </x:c>
      <x:c r="Q2942" s="35" t="str">
        <x:v>Deepseek-flash-v4/Result2/JacksonCore_20/result.json</x:v>
      </x:c>
    </x:row>
    <x:row r="2943">
      <x:c r="A2943" s="35" t="str">
        <x:v>deepseek</x:v>
      </x:c>
      <x:c r="B2943" s="35" t="str">
        <x:v>JacksonCore</x:v>
      </x:c>
      <x:c r="C2943" s="35" t="str">
        <x:v>Round2</x:v>
      </x:c>
      <x:c r="D2943" s="35" t="str">
        <x:v>JacksonCore_21</x:v>
      </x:c>
      <x:c r="E2943" s="35" t="str">
        <x:v>Condition</x:v>
      </x:c>
      <x:c r="F2943" s="35" t="n">
        <x:v>269</x:v>
      </x:c>
      <x:c r="G2943" s="35" t="str">
        <x:v>RECORDED</x:v>
      </x:c>
      <x:c r="H2943" s="39" t="n">
        <x:f>IF(ISNUMBER('Data'!N1235),'Data'!N1235*100,"")</x:f>
        <x:v>6.69</x:v>
      </x:c>
      <x:c r="I2943" s="35" t="str">
        <x:v>PASS</x:v>
      </x:c>
      <x:c r="J2943" s="35" t="str">
        <x:v>PASS</x:v>
      </x:c>
      <x:c r="K2943" s="35" t="str">
        <x:v>PASS</x:v>
      </x:c>
      <x:c r="L2943" s="35" t="str">
        <x:v>FAIL</x:v>
      </x:c>
      <x:c r="M2943" s="35" t="str">
        <x:v>numeric coverage for applicable metric</x:v>
      </x:c>
      <x:c r="N2943" s="35" t="str">
        <x:v>Deepseek-flash-v4/Result2/JacksonCore_21/result.json</x:v>
      </x:c>
      <x:c r="O2943" s="39" t="n">
        <x:f>IF(AND(G2943="RECORDED",ISNUMBER(H2943)),H2943,"")</x:f>
        <x:v>6.69</x:v>
      </x:c>
      <x:c r="P2943" s="35" t="str">
        <x:v>INCONCLUSIVE</x:v>
      </x:c>
      <x:c r="Q2943" s="35" t="str">
        <x:v>Deepseek-flash-v4/Result2/JacksonCore_21/result.json</x:v>
      </x:c>
    </x:row>
    <x:row r="2944">
      <x:c r="A2944" s="35" t="str">
        <x:v>deepseek</x:v>
      </x:c>
      <x:c r="B2944" s="35" t="str">
        <x:v>JacksonCore</x:v>
      </x:c>
      <x:c r="C2944" s="35" t="str">
        <x:v>Round2</x:v>
      </x:c>
      <x:c r="D2944" s="35" t="str">
        <x:v>JacksonCore_22</x:v>
      </x:c>
      <x:c r="E2944" s="35" t="str">
        <x:v>Condition</x:v>
      </x:c>
      <x:c r="F2944" s="35" t="n">
        <x:v>267</x:v>
      </x:c>
      <x:c r="G2944" s="35" t="str">
        <x:v>RECORDED</x:v>
      </x:c>
      <x:c r="H2944" s="39" t="n">
        <x:f>IF(ISNUMBER('Data'!N1236),'Data'!N1236*100,"")</x:f>
        <x:v>31.09</x:v>
      </x:c>
      <x:c r="I2944" s="35" t="str">
        <x:v>PASS</x:v>
      </x:c>
      <x:c r="J2944" s="35" t="str">
        <x:v>PASS</x:v>
      </x:c>
      <x:c r="K2944" s="35" t="str">
        <x:v>PASS</x:v>
      </x:c>
      <x:c r="L2944" s="35" t="str">
        <x:v>FAIL</x:v>
      </x:c>
      <x:c r="M2944" s="35" t="str">
        <x:v>numeric coverage for applicable metric</x:v>
      </x:c>
      <x:c r="N2944" s="35" t="str">
        <x:v>Deepseek-flash-v4/Result2/JacksonCore_22/result.json</x:v>
      </x:c>
      <x:c r="O2944" s="39" t="n">
        <x:f>IF(AND(G2944="RECORDED",ISNUMBER(H2944)),H2944,"")</x:f>
        <x:v>31.09</x:v>
      </x:c>
      <x:c r="P2944" s="35" t="str">
        <x:v>INCONCLUSIVE</x:v>
      </x:c>
      <x:c r="Q2944" s="35" t="str">
        <x:v>Deepseek-flash-v4/Result2/JacksonCore_22/result.json</x:v>
      </x:c>
    </x:row>
    <x:row r="2945">
      <x:c r="A2945" s="35" t="str">
        <x:v>deepseek</x:v>
      </x:c>
      <x:c r="B2945" s="35" t="str">
        <x:v>JacksonCore</x:v>
      </x:c>
      <x:c r="C2945" s="35" t="str">
        <x:v>Round2</x:v>
      </x:c>
      <x:c r="D2945" s="35" t="str">
        <x:v>JacksonCore_23</x:v>
      </x:c>
      <x:c r="E2945" s="35" t="str">
        <x:v>Condition</x:v>
      </x:c>
      <x:c r="F2945" s="35"/>
      <x:c r="G2945" s="35" t="str">
        <x:v>A</x:v>
      </x:c>
      <x:c r="H2945" s="39" t="str">
        <x:f>IF(ISNUMBER('Data'!N1237),'Data'!N1237*100,"")</x:f>
      </x:c>
      <x:c r="I2945" s="35"/>
      <x:c r="J2945" s="35" t="str">
        <x:v>PASS</x:v>
      </x:c>
      <x:c r="K2945" s="35" t="str">
        <x:v>FAIL</x:v>
      </x:c>
      <x:c r="L2945" s="35" t="str">
        <x:v>NOT_RUN</x:v>
      </x:c>
      <x:c r="M2945" s="35" t="str">
        <x:v>coverage unavailable or execution/compile failed</x:v>
      </x:c>
      <x:c r="N2945" s="35" t="str">
        <x:v>Deepseek-flash-v4/Result2/JacksonCore_23/result.json</x:v>
      </x:c>
      <x:c r="O2945" s="39" t="str">
        <x:f>IF(AND(G2945="RECORDED",ISNUMBER(H2945)),H2945,"")</x:f>
      </x:c>
      <x:c r="P2945" s="35" t="str">
        <x:v>NOT_AVAILABLE</x:v>
      </x:c>
      <x:c r="Q2945" s="35" t="str">
        <x:v>Deepseek-flash-v4/Result2/JacksonCore_23/result.json</x:v>
      </x:c>
    </x:row>
    <x:row r="2946">
      <x:c r="A2946" s="35" t="str">
        <x:v>deepseek</x:v>
      </x:c>
      <x:c r="B2946" s="35" t="str">
        <x:v>JacksonCore</x:v>
      </x:c>
      <x:c r="C2946" s="35" t="str">
        <x:v>Round2</x:v>
      </x:c>
      <x:c r="D2946" s="35" t="str">
        <x:v>JacksonCore_24</x:v>
      </x:c>
      <x:c r="E2946" s="35" t="str">
        <x:v>Condition</x:v>
      </x:c>
      <x:c r="F2946" s="35"/>
      <x:c r="G2946" s="35" t="str">
        <x:v>A</x:v>
      </x:c>
      <x:c r="H2946" s="39" t="str">
        <x:f>IF(ISNUMBER('Data'!N1238),'Data'!N1238*100,"")</x:f>
      </x:c>
      <x:c r="I2946" s="35"/>
      <x:c r="J2946" s="35" t="str">
        <x:v>PASS</x:v>
      </x:c>
      <x:c r="K2946" s="35" t="str">
        <x:v>FAIL</x:v>
      </x:c>
      <x:c r="L2946" s="35" t="str">
        <x:v>NOT_RUN</x:v>
      </x:c>
      <x:c r="M2946" s="35" t="str">
        <x:v>coverage unavailable or execution/compile failed</x:v>
      </x:c>
      <x:c r="N2946" s="35" t="str">
        <x:v>Deepseek-flash-v4/Result2/JacksonCore_24/result.json</x:v>
      </x:c>
      <x:c r="O2946" s="39" t="str">
        <x:f>IF(AND(G2946="RECORDED",ISNUMBER(H2946)),H2946,"")</x:f>
      </x:c>
      <x:c r="P2946" s="35" t="str">
        <x:v>NOT_AVAILABLE</x:v>
      </x:c>
      <x:c r="Q2946" s="35" t="str">
        <x:v>Deepseek-flash-v4/Result2/JacksonCore_24/result.json</x:v>
      </x:c>
    </x:row>
    <x:row r="2947">
      <x:c r="A2947" s="35" t="str">
        <x:v>deepseek</x:v>
      </x:c>
      <x:c r="B2947" s="35" t="str">
        <x:v>JacksonCore</x:v>
      </x:c>
      <x:c r="C2947" s="35" t="str">
        <x:v>Round2</x:v>
      </x:c>
      <x:c r="D2947" s="35" t="str">
        <x:v>JacksonCore_25</x:v>
      </x:c>
      <x:c r="E2947" s="35" t="str">
        <x:v>Condition</x:v>
      </x:c>
      <x:c r="F2947" s="35"/>
      <x:c r="G2947" s="35" t="str">
        <x:v>A</x:v>
      </x:c>
      <x:c r="H2947" s="39" t="str">
        <x:f>IF(ISNUMBER('Data'!N1239),'Data'!N1239*100,"")</x:f>
      </x:c>
      <x:c r="I2947" s="35"/>
      <x:c r="J2947" s="35" t="str">
        <x:v>PASS</x:v>
      </x:c>
      <x:c r="K2947" s="35" t="str">
        <x:v>FAIL</x:v>
      </x:c>
      <x:c r="L2947" s="35" t="str">
        <x:v>NOT_RUN</x:v>
      </x:c>
      <x:c r="M2947" s="35" t="str">
        <x:v>coverage unavailable or execution/compile failed</x:v>
      </x:c>
      <x:c r="N2947" s="35" t="str">
        <x:v>Deepseek-flash-v4/Result2/JacksonCore_25/result.json</x:v>
      </x:c>
      <x:c r="O2947" s="39" t="str">
        <x:f>IF(AND(G2947="RECORDED",ISNUMBER(H2947)),H2947,"")</x:f>
      </x:c>
      <x:c r="P2947" s="35" t="str">
        <x:v>NOT_AVAILABLE</x:v>
      </x:c>
      <x:c r="Q2947" s="35" t="str">
        <x:v>Deepseek-flash-v4/Result2/JacksonCore_25/result.json</x:v>
      </x:c>
    </x:row>
    <x:row r="2948">
      <x:c r="A2948" s="35" t="str">
        <x:v>deepseek</x:v>
      </x:c>
      <x:c r="B2948" s="35" t="str">
        <x:v>JacksonCore</x:v>
      </x:c>
      <x:c r="C2948" s="35" t="str">
        <x:v>Round2</x:v>
      </x:c>
      <x:c r="D2948" s="35" t="str">
        <x:v>JacksonCore_26</x:v>
      </x:c>
      <x:c r="E2948" s="35" t="str">
        <x:v>Condition</x:v>
      </x:c>
      <x:c r="F2948" s="35" t="n">
        <x:v>951</x:v>
      </x:c>
      <x:c r="G2948" s="35" t="str">
        <x:v>RECORDED</x:v>
      </x:c>
      <x:c r="H2948" s="39" t="n">
        <x:f>IF(ISNUMBER('Data'!N1240),'Data'!N1240*100,"")</x:f>
        <x:v>10.62</x:v>
      </x:c>
      <x:c r="I2948" s="35" t="str">
        <x:v>PASS</x:v>
      </x:c>
      <x:c r="J2948" s="35" t="str">
        <x:v>PASS</x:v>
      </x:c>
      <x:c r="K2948" s="35" t="str">
        <x:v>PASS</x:v>
      </x:c>
      <x:c r="L2948" s="35" t="str">
        <x:v>FAIL</x:v>
      </x:c>
      <x:c r="M2948" s="35" t="str">
        <x:v>numeric coverage for applicable metric</x:v>
      </x:c>
      <x:c r="N2948" s="35" t="str">
        <x:v>Deepseek-flash-v4/Result2/JacksonCore_26/result.json</x:v>
      </x:c>
      <x:c r="O2948" s="39" t="n">
        <x:f>IF(AND(G2948="RECORDED",ISNUMBER(H2948)),H2948,"")</x:f>
        <x:v>10.62</x:v>
      </x:c>
      <x:c r="P2948" s="35" t="str">
        <x:v>INCONCLUSIVE</x:v>
      </x:c>
      <x:c r="Q2948" s="35" t="str">
        <x:v>Deepseek-flash-v4/Result2/JacksonCore_26/result.json</x:v>
      </x:c>
    </x:row>
    <x:row r="2949">
      <x:c r="A2949" s="35" t="str">
        <x:v>deepseek</x:v>
      </x:c>
      <x:c r="B2949" s="35" t="str">
        <x:v>JacksonCore</x:v>
      </x:c>
      <x:c r="C2949" s="35" t="str">
        <x:v>Round2</x:v>
      </x:c>
      <x:c r="D2949" s="35" t="str">
        <x:v>JacksonCore_3</x:v>
      </x:c>
      <x:c r="E2949" s="35" t="str">
        <x:v>Condition</x:v>
      </x:c>
      <x:c r="F2949" s="35"/>
      <x:c r="G2949" s="35" t="str">
        <x:v>A</x:v>
      </x:c>
      <x:c r="H2949" s="39" t="str">
        <x:f>IF(ISNUMBER('Data'!N1241),'Data'!N1241*100,"")</x:f>
      </x:c>
      <x:c r="I2949" s="35"/>
      <x:c r="J2949" s="35" t="str">
        <x:v>PASS</x:v>
      </x:c>
      <x:c r="K2949" s="35" t="str">
        <x:v>FAIL</x:v>
      </x:c>
      <x:c r="L2949" s="35" t="str">
        <x:v>NOT_RUN</x:v>
      </x:c>
      <x:c r="M2949" s="35" t="str">
        <x:v>coverage unavailable or execution/compile failed</x:v>
      </x:c>
      <x:c r="N2949" s="35" t="str">
        <x:v>Deepseek-flash-v4/Result2/JacksonCore_3/result.json</x:v>
      </x:c>
      <x:c r="O2949" s="39" t="str">
        <x:f>IF(AND(G2949="RECORDED",ISNUMBER(H2949)),H2949,"")</x:f>
      </x:c>
      <x:c r="P2949" s="35" t="str">
        <x:v>NOT_AVAILABLE</x:v>
      </x:c>
      <x:c r="Q2949" s="35" t="str">
        <x:v>Deepseek-flash-v4/Result2/JacksonCore_3/result.json</x:v>
      </x:c>
    </x:row>
    <x:row r="2950">
      <x:c r="A2950" s="35" t="str">
        <x:v>deepseek</x:v>
      </x:c>
      <x:c r="B2950" s="35" t="str">
        <x:v>JacksonCore</x:v>
      </x:c>
      <x:c r="C2950" s="35" t="str">
        <x:v>Round2</x:v>
      </x:c>
      <x:c r="D2950" s="35" t="str">
        <x:v>JacksonCore_4</x:v>
      </x:c>
      <x:c r="E2950" s="35" t="str">
        <x:v>Condition</x:v>
      </x:c>
      <x:c r="F2950" s="35"/>
      <x:c r="G2950" s="35" t="str">
        <x:v>A</x:v>
      </x:c>
      <x:c r="H2950" s="39" t="str">
        <x:f>IF(ISNUMBER('Data'!N1242),'Data'!N1242*100,"")</x:f>
      </x:c>
      <x:c r="I2950" s="35"/>
      <x:c r="J2950" s="35" t="str">
        <x:v>PASS</x:v>
      </x:c>
      <x:c r="K2950" s="35" t="str">
        <x:v>FAIL</x:v>
      </x:c>
      <x:c r="L2950" s="35" t="str">
        <x:v>NOT_RUN</x:v>
      </x:c>
      <x:c r="M2950" s="35" t="str">
        <x:v>coverage unavailable or execution/compile failed</x:v>
      </x:c>
      <x:c r="N2950" s="35" t="str">
        <x:v>Deepseek-flash-v4/Result2/JacksonCore_4/result.json</x:v>
      </x:c>
      <x:c r="O2950" s="39" t="str">
        <x:f>IF(AND(G2950="RECORDED",ISNUMBER(H2950)),H2950,"")</x:f>
      </x:c>
      <x:c r="P2950" s="35" t="str">
        <x:v>NOT_AVAILABLE</x:v>
      </x:c>
      <x:c r="Q2950" s="35" t="str">
        <x:v>Deepseek-flash-v4/Result2/JacksonCore_4/result.json</x:v>
      </x:c>
    </x:row>
    <x:row r="2951">
      <x:c r="A2951" s="35" t="str">
        <x:v>deepseek</x:v>
      </x:c>
      <x:c r="B2951" s="35" t="str">
        <x:v>JacksonCore</x:v>
      </x:c>
      <x:c r="C2951" s="35" t="str">
        <x:v>Round2</x:v>
      </x:c>
      <x:c r="D2951" s="35" t="str">
        <x:v>JacksonCore_5</x:v>
      </x:c>
      <x:c r="E2951" s="35" t="str">
        <x:v>Condition</x:v>
      </x:c>
      <x:c r="F2951" s="35" t="n">
        <x:v>62</x:v>
      </x:c>
      <x:c r="G2951" s="35" t="str">
        <x:v>RECORDED</x:v>
      </x:c>
      <x:c r="H2951" s="39" t="n">
        <x:f>IF(ISNUMBER('Data'!N1243),'Data'!N1243*100,"")</x:f>
        <x:v>90.32</x:v>
      </x:c>
      <x:c r="I2951" s="35" t="str">
        <x:v>PASS</x:v>
      </x:c>
      <x:c r="J2951" s="35" t="str">
        <x:v>PASS</x:v>
      </x:c>
      <x:c r="K2951" s="35" t="str">
        <x:v>PASS</x:v>
      </x:c>
      <x:c r="L2951" s="35" t="str">
        <x:v>PASS</x:v>
      </x:c>
      <x:c r="M2951" s="35" t="str">
        <x:v>numeric coverage for applicable metric</x:v>
      </x:c>
      <x:c r="N2951" s="35" t="str">
        <x:v>Deepseek-flash-v4/Result2/JacksonCore_5/result.json</x:v>
      </x:c>
      <x:c r="O2951" s="39" t="n">
        <x:f>IF(AND(G2951="RECORDED",ISNUMBER(H2951)),H2951,"")</x:f>
        <x:v>90.32</x:v>
      </x:c>
      <x:c r="P2951" s="35" t="str">
        <x:v>NOT_REVEALING</x:v>
      </x:c>
      <x:c r="Q2951" s="35" t="str">
        <x:v>Deepseek-flash-v4/Result2/JacksonCore_5/result.json</x:v>
      </x:c>
    </x:row>
    <x:row r="2952">
      <x:c r="A2952" s="35" t="str">
        <x:v>deepseek</x:v>
      </x:c>
      <x:c r="B2952" s="35" t="str">
        <x:v>JacksonCore</x:v>
      </x:c>
      <x:c r="C2952" s="35" t="str">
        <x:v>Round2</x:v>
      </x:c>
      <x:c r="D2952" s="35" t="str">
        <x:v>JacksonCore_6</x:v>
      </x:c>
      <x:c r="E2952" s="35" t="str">
        <x:v>Condition</x:v>
      </x:c>
      <x:c r="F2952" s="35" t="n">
        <x:v>62</x:v>
      </x:c>
      <x:c r="G2952" s="35" t="str">
        <x:v>RECORDED</x:v>
      </x:c>
      <x:c r="H2952" s="39" t="n">
        <x:f>IF(ISNUMBER('Data'!N1244),'Data'!N1244*100,"")</x:f>
        <x:v>87.1</x:v>
      </x:c>
      <x:c r="I2952" s="35" t="str">
        <x:v>PASS</x:v>
      </x:c>
      <x:c r="J2952" s="35" t="str">
        <x:v>PASS</x:v>
      </x:c>
      <x:c r="K2952" s="35" t="str">
        <x:v>PASS</x:v>
      </x:c>
      <x:c r="L2952" s="35" t="str">
        <x:v>FAIL</x:v>
      </x:c>
      <x:c r="M2952" s="35" t="str">
        <x:v>numeric coverage for applicable metric</x:v>
      </x:c>
      <x:c r="N2952" s="35" t="str">
        <x:v>Deepseek-flash-v4/Result2/JacksonCore_6/result.json</x:v>
      </x:c>
      <x:c r="O2952" s="39" t="n">
        <x:f>IF(AND(G2952="RECORDED",ISNUMBER(H2952)),H2952,"")</x:f>
        <x:v>87.1</x:v>
      </x:c>
      <x:c r="P2952" s="35" t="str">
        <x:v>INCONCLUSIVE</x:v>
      </x:c>
      <x:c r="Q2952" s="35" t="str">
        <x:v>Deepseek-flash-v4/Result2/JacksonCore_6/result.json</x:v>
      </x:c>
    </x:row>
    <x:row r="2953">
      <x:c r="A2953" s="35" t="str">
        <x:v>deepseek</x:v>
      </x:c>
      <x:c r="B2953" s="35" t="str">
        <x:v>JacksonCore</x:v>
      </x:c>
      <x:c r="C2953" s="35" t="str">
        <x:v>Round2</x:v>
      </x:c>
      <x:c r="D2953" s="35" t="str">
        <x:v>JacksonCore_7</x:v>
      </x:c>
      <x:c r="E2953" s="35" t="str">
        <x:v>Condition</x:v>
      </x:c>
      <x:c r="F2953" s="35"/>
      <x:c r="G2953" s="35" t="str">
        <x:v>A</x:v>
      </x:c>
      <x:c r="H2953" s="39" t="str">
        <x:f>IF(ISNUMBER('Data'!N1245),'Data'!N1245*100,"")</x:f>
      </x:c>
      <x:c r="I2953" s="35"/>
      <x:c r="J2953" s="35" t="str">
        <x:v>PASS</x:v>
      </x:c>
      <x:c r="K2953" s="35" t="str">
        <x:v>FAIL</x:v>
      </x:c>
      <x:c r="L2953" s="35" t="str">
        <x:v>NOT_RUN</x:v>
      </x:c>
      <x:c r="M2953" s="35" t="str">
        <x:v>coverage unavailable or execution/compile failed</x:v>
      </x:c>
      <x:c r="N2953" s="35" t="str">
        <x:v>Deepseek-flash-v4/Result2/JacksonCore_7/result.json</x:v>
      </x:c>
      <x:c r="O2953" s="39" t="str">
        <x:f>IF(AND(G2953="RECORDED",ISNUMBER(H2953)),H2953,"")</x:f>
      </x:c>
      <x:c r="P2953" s="35" t="str">
        <x:v>NOT_AVAILABLE</x:v>
      </x:c>
      <x:c r="Q2953" s="35" t="str">
        <x:v>Deepseek-flash-v4/Result2/JacksonCore_7/result.json</x:v>
      </x:c>
    </x:row>
    <x:row r="2954">
      <x:c r="A2954" s="35" t="str">
        <x:v>deepseek</x:v>
      </x:c>
      <x:c r="B2954" s="35" t="str">
        <x:v>JacksonCore</x:v>
      </x:c>
      <x:c r="C2954" s="35" t="str">
        <x:v>Round2</x:v>
      </x:c>
      <x:c r="D2954" s="35" t="str">
        <x:v>JacksonCore_8</x:v>
      </x:c>
      <x:c r="E2954" s="35" t="str">
        <x:v>Condition</x:v>
      </x:c>
      <x:c r="F2954" s="35" t="n">
        <x:v>138</x:v>
      </x:c>
      <x:c r="G2954" s="35" t="str">
        <x:v>RECORDED</x:v>
      </x:c>
      <x:c r="H2954" s="39" t="n">
        <x:f>IF(ISNUMBER('Data'!N1246),'Data'!N1246*100,"")</x:f>
        <x:v>48.55</x:v>
      </x:c>
      <x:c r="I2954" s="35" t="str">
        <x:v>PASS</x:v>
      </x:c>
      <x:c r="J2954" s="35" t="str">
        <x:v>PASS</x:v>
      </x:c>
      <x:c r="K2954" s="35" t="str">
        <x:v>PASS</x:v>
      </x:c>
      <x:c r="L2954" s="35" t="str">
        <x:v>FAIL</x:v>
      </x:c>
      <x:c r="M2954" s="35" t="str">
        <x:v>numeric coverage for applicable metric</x:v>
      </x:c>
      <x:c r="N2954" s="35" t="str">
        <x:v>Deepseek-flash-v4/Result2/JacksonCore_8/result.json</x:v>
      </x:c>
      <x:c r="O2954" s="39" t="n">
        <x:f>IF(AND(G2954="RECORDED",ISNUMBER(H2954)),H2954,"")</x:f>
        <x:v>48.55</x:v>
      </x:c>
      <x:c r="P2954" s="35" t="str">
        <x:v>INCONCLUSIVE</x:v>
      </x:c>
      <x:c r="Q2954" s="35" t="str">
        <x:v>Deepseek-flash-v4/Result2/JacksonCore_8/result.json</x:v>
      </x:c>
    </x:row>
    <x:row r="2955">
      <x:c r="A2955" s="35" t="str">
        <x:v>deepseek</x:v>
      </x:c>
      <x:c r="B2955" s="35" t="str">
        <x:v>JacksonCore</x:v>
      </x:c>
      <x:c r="C2955" s="35" t="str">
        <x:v>Round2</x:v>
      </x:c>
      <x:c r="D2955" s="35" t="str">
        <x:v>JacksonCore_9</x:v>
      </x:c>
      <x:c r="E2955" s="35" t="str">
        <x:v>Condition</x:v>
      </x:c>
      <x:c r="F2955" s="35"/>
      <x:c r="G2955" s="35" t="str">
        <x:v>A</x:v>
      </x:c>
      <x:c r="H2955" s="39" t="str">
        <x:f>IF(ISNUMBER('Data'!N1247),'Data'!N1247*100,"")</x:f>
      </x:c>
      <x:c r="I2955" s="35"/>
      <x:c r="J2955" s="35" t="str">
        <x:v>PASS</x:v>
      </x:c>
      <x:c r="K2955" s="35" t="str">
        <x:v>FAIL</x:v>
      </x:c>
      <x:c r="L2955" s="35" t="str">
        <x:v>NOT_RUN</x:v>
      </x:c>
      <x:c r="M2955" s="35" t="str">
        <x:v>coverage unavailable or execution/compile failed</x:v>
      </x:c>
      <x:c r="N2955" s="35" t="str">
        <x:v>Deepseek-flash-v4/Result2/JacksonCore_9/result.json</x:v>
      </x:c>
      <x:c r="O2955" s="39" t="str">
        <x:f>IF(AND(G2955="RECORDED",ISNUMBER(H2955)),H2955,"")</x:f>
      </x:c>
      <x:c r="P2955" s="35" t="str">
        <x:v>NOT_AVAILABLE</x:v>
      </x:c>
      <x:c r="Q2955" s="35" t="str">
        <x:v>Deepseek-flash-v4/Result2/JacksonCore_9/result.json</x:v>
      </x:c>
    </x:row>
    <x:row r="2956">
      <x:c r="A2956" s="35" t="str">
        <x:v>deepseek</x:v>
      </x:c>
      <x:c r="B2956" s="35" t="str">
        <x:v>JacksonDatabind</x:v>
      </x:c>
      <x:c r="C2956" s="35" t="str">
        <x:v>Round2</x:v>
      </x:c>
      <x:c r="D2956" s="35" t="str">
        <x:v>JacksonDatabind_1</x:v>
      </x:c>
      <x:c r="E2956" s="35" t="str">
        <x:v>Condition</x:v>
      </x:c>
      <x:c r="F2956" s="35"/>
      <x:c r="G2956" s="35" t="str">
        <x:v>A</x:v>
      </x:c>
      <x:c r="H2956" s="39" t="str">
        <x:f>IF(ISNUMBER('Data'!N1248),'Data'!N1248*100,"")</x:f>
      </x:c>
      <x:c r="I2956" s="35"/>
      <x:c r="J2956" s="35" t="str">
        <x:v>PASS</x:v>
      </x:c>
      <x:c r="K2956" s="35" t="str">
        <x:v>FAIL</x:v>
      </x:c>
      <x:c r="L2956" s="35" t="str">
        <x:v>NOT_RUN</x:v>
      </x:c>
      <x:c r="M2956" s="35" t="str">
        <x:v>coverage unavailable or execution/compile failed</x:v>
      </x:c>
      <x:c r="N2956" s="35" t="str">
        <x:v>Deepseek-flash-v4/Result2/JacksonDatabind_1/result.json</x:v>
      </x:c>
      <x:c r="O2956" s="39" t="str">
        <x:f>IF(AND(G2956="RECORDED",ISNUMBER(H2956)),H2956,"")</x:f>
      </x:c>
      <x:c r="P2956" s="35" t="str">
        <x:v>NOT_AVAILABLE</x:v>
      </x:c>
      <x:c r="Q2956" s="35" t="str">
        <x:v>Deepseek-flash-v4/Result2/JacksonDatabind_1/result.json</x:v>
      </x:c>
    </x:row>
    <x:row r="2957">
      <x:c r="A2957" s="35" t="str">
        <x:v>deepseek</x:v>
      </x:c>
      <x:c r="B2957" s="35" t="str">
        <x:v>JacksonDatabind</x:v>
      </x:c>
      <x:c r="C2957" s="35" t="str">
        <x:v>Round2</x:v>
      </x:c>
      <x:c r="D2957" s="35" t="str">
        <x:v>JacksonDatabind_10</x:v>
      </x:c>
      <x:c r="E2957" s="35" t="str">
        <x:v>Condition</x:v>
      </x:c>
      <x:c r="F2957" s="35"/>
      <x:c r="G2957" s="35" t="str">
        <x:v>A</x:v>
      </x:c>
      <x:c r="H2957" s="39" t="str">
        <x:f>IF(ISNUMBER('Data'!N1249),'Data'!N1249*100,"")</x:f>
      </x:c>
      <x:c r="I2957" s="35"/>
      <x:c r="J2957" s="35" t="str">
        <x:v>PASS</x:v>
      </x:c>
      <x:c r="K2957" s="35" t="str">
        <x:v>FAIL</x:v>
      </x:c>
      <x:c r="L2957" s="35" t="str">
        <x:v>NOT_RUN</x:v>
      </x:c>
      <x:c r="M2957" s="35" t="str">
        <x:v>coverage unavailable or execution/compile failed</x:v>
      </x:c>
      <x:c r="N2957" s="35" t="str">
        <x:v>Deepseek-flash-v4/Result2/JacksonDatabind_10/result.json</x:v>
      </x:c>
      <x:c r="O2957" s="39" t="str">
        <x:f>IF(AND(G2957="RECORDED",ISNUMBER(H2957)),H2957,"")</x:f>
      </x:c>
      <x:c r="P2957" s="35" t="str">
        <x:v>NOT_AVAILABLE</x:v>
      </x:c>
      <x:c r="Q2957" s="35" t="str">
        <x:v>Deepseek-flash-v4/Result2/JacksonDatabind_10/result.json</x:v>
      </x:c>
    </x:row>
    <x:row r="2958">
      <x:c r="A2958" s="35" t="str">
        <x:v>deepseek</x:v>
      </x:c>
      <x:c r="B2958" s="35" t="str">
        <x:v>JacksonDatabind</x:v>
      </x:c>
      <x:c r="C2958" s="35" t="str">
        <x:v>Round2</x:v>
      </x:c>
      <x:c r="D2958" s="35" t="str">
        <x:v>JacksonDatabind_100</x:v>
      </x:c>
      <x:c r="E2958" s="35" t="str">
        <x:v>Condition</x:v>
      </x:c>
      <x:c r="F2958" s="35"/>
      <x:c r="G2958" s="35" t="str">
        <x:v>A</x:v>
      </x:c>
      <x:c r="H2958" s="39" t="str">
        <x:f>IF(ISNUMBER('Data'!N1250),'Data'!N1250*100,"")</x:f>
      </x:c>
      <x:c r="I2958" s="35"/>
      <x:c r="J2958" s="35" t="str">
        <x:v>PASS</x:v>
      </x:c>
      <x:c r="K2958" s="35" t="str">
        <x:v>FAIL</x:v>
      </x:c>
      <x:c r="L2958" s="35" t="str">
        <x:v>NOT_RUN</x:v>
      </x:c>
      <x:c r="M2958" s="35" t="str">
        <x:v>coverage unavailable or execution/compile failed</x:v>
      </x:c>
      <x:c r="N2958" s="35" t="str">
        <x:v>Deepseek-flash-v4/Result2/JacksonDatabind_100/result.json</x:v>
      </x:c>
      <x:c r="O2958" s="39" t="str">
        <x:f>IF(AND(G2958="RECORDED",ISNUMBER(H2958)),H2958,"")</x:f>
      </x:c>
      <x:c r="P2958" s="35" t="str">
        <x:v>NOT_AVAILABLE</x:v>
      </x:c>
      <x:c r="Q2958" s="35" t="str">
        <x:v>Deepseek-flash-v4/Result2/JacksonDatabind_100/result.json</x:v>
      </x:c>
    </x:row>
    <x:row r="2959">
      <x:c r="A2959" s="35" t="str">
        <x:v>deepseek</x:v>
      </x:c>
      <x:c r="B2959" s="35" t="str">
        <x:v>JacksonDatabind</x:v>
      </x:c>
      <x:c r="C2959" s="35" t="str">
        <x:v>Round2</x:v>
      </x:c>
      <x:c r="D2959" s="35" t="str">
        <x:v>JacksonDatabind_101</x:v>
      </x:c>
      <x:c r="E2959" s="35" t="str">
        <x:v>Condition</x:v>
      </x:c>
      <x:c r="F2959" s="35"/>
      <x:c r="G2959" s="35" t="str">
        <x:v>A</x:v>
      </x:c>
      <x:c r="H2959" s="39" t="str">
        <x:f>IF(ISNUMBER('Data'!N1251),'Data'!N1251*100,"")</x:f>
      </x:c>
      <x:c r="I2959" s="35"/>
      <x:c r="J2959" s="35" t="str">
        <x:v>PASS</x:v>
      </x:c>
      <x:c r="K2959" s="35" t="str">
        <x:v>FAIL</x:v>
      </x:c>
      <x:c r="L2959" s="35" t="str">
        <x:v>NOT_RUN</x:v>
      </x:c>
      <x:c r="M2959" s="35" t="str">
        <x:v>coverage unavailable or execution/compile failed</x:v>
      </x:c>
      <x:c r="N2959" s="35" t="str">
        <x:v>Deepseek-flash-v4/Result2/JacksonDatabind_101/result.json</x:v>
      </x:c>
      <x:c r="O2959" s="39" t="str">
        <x:f>IF(AND(G2959="RECORDED",ISNUMBER(H2959)),H2959,"")</x:f>
      </x:c>
      <x:c r="P2959" s="35" t="str">
        <x:v>NOT_AVAILABLE</x:v>
      </x:c>
      <x:c r="Q2959" s="35" t="str">
        <x:v>Deepseek-flash-v4/Result2/JacksonDatabind_101/result.json</x:v>
      </x:c>
    </x:row>
    <x:row r="2960">
      <x:c r="A2960" s="35" t="str">
        <x:v>deepseek</x:v>
      </x:c>
      <x:c r="B2960" s="35" t="str">
        <x:v>JacksonDatabind</x:v>
      </x:c>
      <x:c r="C2960" s="35" t="str">
        <x:v>Round2</x:v>
      </x:c>
      <x:c r="D2960" s="35" t="str">
        <x:v>JacksonDatabind_102</x:v>
      </x:c>
      <x:c r="E2960" s="35" t="str">
        <x:v>Condition</x:v>
      </x:c>
      <x:c r="F2960" s="35"/>
      <x:c r="G2960" s="35" t="str">
        <x:v>A</x:v>
      </x:c>
      <x:c r="H2960" s="39" t="str">
        <x:f>IF(ISNUMBER('Data'!N1252),'Data'!N1252*100,"")</x:f>
      </x:c>
      <x:c r="I2960" s="35"/>
      <x:c r="J2960" s="35" t="str">
        <x:v>PASS</x:v>
      </x:c>
      <x:c r="K2960" s="35" t="str">
        <x:v>FAIL</x:v>
      </x:c>
      <x:c r="L2960" s="35" t="str">
        <x:v>NOT_RUN</x:v>
      </x:c>
      <x:c r="M2960" s="35" t="str">
        <x:v>coverage unavailable or execution/compile failed</x:v>
      </x:c>
      <x:c r="N2960" s="35" t="str">
        <x:v>Deepseek-flash-v4/Result2/JacksonDatabind_102/result.json</x:v>
      </x:c>
      <x:c r="O2960" s="39" t="str">
        <x:f>IF(AND(G2960="RECORDED",ISNUMBER(H2960)),H2960,"")</x:f>
      </x:c>
      <x:c r="P2960" s="35" t="str">
        <x:v>NOT_AVAILABLE</x:v>
      </x:c>
      <x:c r="Q2960" s="35" t="str">
        <x:v>Deepseek-flash-v4/Result2/JacksonDatabind_102/result.json</x:v>
      </x:c>
    </x:row>
    <x:row r="2961">
      <x:c r="A2961" s="35" t="str">
        <x:v>deepseek</x:v>
      </x:c>
      <x:c r="B2961" s="35" t="str">
        <x:v>JacksonDatabind</x:v>
      </x:c>
      <x:c r="C2961" s="35" t="str">
        <x:v>Round2</x:v>
      </x:c>
      <x:c r="D2961" s="35" t="str">
        <x:v>JacksonDatabind_103</x:v>
      </x:c>
      <x:c r="E2961" s="35" t="str">
        <x:v>Condition</x:v>
      </x:c>
      <x:c r="F2961" s="35"/>
      <x:c r="G2961" s="35" t="str">
        <x:v>A</x:v>
      </x:c>
      <x:c r="H2961" s="39" t="str">
        <x:f>IF(ISNUMBER('Data'!N1253),'Data'!N1253*100,"")</x:f>
      </x:c>
      <x:c r="I2961" s="35"/>
      <x:c r="J2961" s="35" t="str">
        <x:v>PASS</x:v>
      </x:c>
      <x:c r="K2961" s="35" t="str">
        <x:v>FAIL</x:v>
      </x:c>
      <x:c r="L2961" s="35" t="str">
        <x:v>NOT_RUN</x:v>
      </x:c>
      <x:c r="M2961" s="35" t="str">
        <x:v>coverage unavailable or execution/compile failed</x:v>
      </x:c>
      <x:c r="N2961" s="35" t="str">
        <x:v>Deepseek-flash-v4/Result2/JacksonDatabind_103/result.json</x:v>
      </x:c>
      <x:c r="O2961" s="39" t="str">
        <x:f>IF(AND(G2961="RECORDED",ISNUMBER(H2961)),H2961,"")</x:f>
      </x:c>
      <x:c r="P2961" s="35" t="str">
        <x:v>NOT_AVAILABLE</x:v>
      </x:c>
      <x:c r="Q2961" s="35" t="str">
        <x:v>Deepseek-flash-v4/Result2/JacksonDatabind_103/result.json</x:v>
      </x:c>
    </x:row>
    <x:row r="2962">
      <x:c r="A2962" s="35" t="str">
        <x:v>deepseek</x:v>
      </x:c>
      <x:c r="B2962" s="35" t="str">
        <x:v>JacksonDatabind</x:v>
      </x:c>
      <x:c r="C2962" s="35" t="str">
        <x:v>Round2</x:v>
      </x:c>
      <x:c r="D2962" s="35" t="str">
        <x:v>JacksonDatabind_104</x:v>
      </x:c>
      <x:c r="E2962" s="35" t="str">
        <x:v>Condition</x:v>
      </x:c>
      <x:c r="F2962" s="35"/>
      <x:c r="G2962" s="35" t="str">
        <x:v>A</x:v>
      </x:c>
      <x:c r="H2962" s="39" t="str">
        <x:f>IF(ISNUMBER('Data'!N1254),'Data'!N1254*100,"")</x:f>
      </x:c>
      <x:c r="I2962" s="35"/>
      <x:c r="J2962" s="35" t="str">
        <x:v>PASS</x:v>
      </x:c>
      <x:c r="K2962" s="35" t="str">
        <x:v>FAIL</x:v>
      </x:c>
      <x:c r="L2962" s="35" t="str">
        <x:v>NOT_RUN</x:v>
      </x:c>
      <x:c r="M2962" s="35" t="str">
        <x:v>coverage unavailable or execution/compile failed</x:v>
      </x:c>
      <x:c r="N2962" s="35" t="str">
        <x:v>Deepseek-flash-v4/Result2/JacksonDatabind_104/result.json</x:v>
      </x:c>
      <x:c r="O2962" s="39" t="str">
        <x:f>IF(AND(G2962="RECORDED",ISNUMBER(H2962)),H2962,"")</x:f>
      </x:c>
      <x:c r="P2962" s="35" t="str">
        <x:v>NOT_AVAILABLE</x:v>
      </x:c>
      <x:c r="Q2962" s="35" t="str">
        <x:v>Deepseek-flash-v4/Result2/JacksonDatabind_104/result.json</x:v>
      </x:c>
    </x:row>
    <x:row r="2963">
      <x:c r="A2963" s="35" t="str">
        <x:v>deepseek</x:v>
      </x:c>
      <x:c r="B2963" s="35" t="str">
        <x:v>JacksonDatabind</x:v>
      </x:c>
      <x:c r="C2963" s="35" t="str">
        <x:v>Round2</x:v>
      </x:c>
      <x:c r="D2963" s="35" t="str">
        <x:v>JacksonDatabind_105</x:v>
      </x:c>
      <x:c r="E2963" s="35" t="str">
        <x:v>Condition</x:v>
      </x:c>
      <x:c r="F2963" s="35" t="n">
        <x:v>12</x:v>
      </x:c>
      <x:c r="G2963" s="35" t="str">
        <x:v>RECORDED</x:v>
      </x:c>
      <x:c r="H2963" s="39" t="n">
        <x:f>IF(ISNUMBER('Data'!N1255),'Data'!N1255*100,"")</x:f>
        <x:v>83.33</x:v>
      </x:c>
      <x:c r="I2963" s="35" t="str">
        <x:v>PASS</x:v>
      </x:c>
      <x:c r="J2963" s="35" t="str">
        <x:v>PASS</x:v>
      </x:c>
      <x:c r="K2963" s="35" t="str">
        <x:v>PASS</x:v>
      </x:c>
      <x:c r="L2963" s="35" t="str">
        <x:v>FAIL</x:v>
      </x:c>
      <x:c r="M2963" s="35" t="str">
        <x:v>numeric coverage for applicable metric</x:v>
      </x:c>
      <x:c r="N2963" s="35" t="str">
        <x:v>Deepseek-flash-v4/Result2/JacksonDatabind_105/result.json</x:v>
      </x:c>
      <x:c r="O2963" s="39" t="n">
        <x:f>IF(AND(G2963="RECORDED",ISNUMBER(H2963)),H2963,"")</x:f>
        <x:v>83.33</x:v>
      </x:c>
      <x:c r="P2963" s="35" t="str">
        <x:v>INCONCLUSIVE</x:v>
      </x:c>
      <x:c r="Q2963" s="35" t="str">
        <x:v>Deepseek-flash-v4/Result2/JacksonDatabind_105/result.json</x:v>
      </x:c>
    </x:row>
    <x:row r="2964">
      <x:c r="A2964" s="35" t="str">
        <x:v>deepseek</x:v>
      </x:c>
      <x:c r="B2964" s="35" t="str">
        <x:v>JacksonDatabind</x:v>
      </x:c>
      <x:c r="C2964" s="35" t="str">
        <x:v>Round2</x:v>
      </x:c>
      <x:c r="D2964" s="35" t="str">
        <x:v>JacksonDatabind_106</x:v>
      </x:c>
      <x:c r="E2964" s="35" t="str">
        <x:v>Condition</x:v>
      </x:c>
      <x:c r="F2964" s="35"/>
      <x:c r="G2964" s="35" t="str">
        <x:v>A</x:v>
      </x:c>
      <x:c r="H2964" s="39" t="str">
        <x:f>IF(ISNUMBER('Data'!N1256),'Data'!N1256*100,"")</x:f>
      </x:c>
      <x:c r="I2964" s="35"/>
      <x:c r="J2964" s="35" t="str">
        <x:v>PASS</x:v>
      </x:c>
      <x:c r="K2964" s="35" t="str">
        <x:v>FAIL</x:v>
      </x:c>
      <x:c r="L2964" s="35" t="str">
        <x:v>NOT_RUN</x:v>
      </x:c>
      <x:c r="M2964" s="35" t="str">
        <x:v>coverage unavailable or execution/compile failed</x:v>
      </x:c>
      <x:c r="N2964" s="35" t="str">
        <x:v>Deepseek-flash-v4/Result2/JacksonDatabind_106/result.json</x:v>
      </x:c>
      <x:c r="O2964" s="39" t="str">
        <x:f>IF(AND(G2964="RECORDED",ISNUMBER(H2964)),H2964,"")</x:f>
      </x:c>
      <x:c r="P2964" s="35" t="str">
        <x:v>NOT_AVAILABLE</x:v>
      </x:c>
      <x:c r="Q2964" s="35" t="str">
        <x:v>Deepseek-flash-v4/Result2/JacksonDatabind_106/result.json</x:v>
      </x:c>
    </x:row>
    <x:row r="2965">
      <x:c r="A2965" s="35" t="str">
        <x:v>deepseek</x:v>
      </x:c>
      <x:c r="B2965" s="35" t="str">
        <x:v>JacksonDatabind</x:v>
      </x:c>
      <x:c r="C2965" s="35" t="str">
        <x:v>Round2</x:v>
      </x:c>
      <x:c r="D2965" s="35" t="str">
        <x:v>JacksonDatabind_107</x:v>
      </x:c>
      <x:c r="E2965" s="35" t="str">
        <x:v>Condition</x:v>
      </x:c>
      <x:c r="F2965" s="35"/>
      <x:c r="G2965" s="35" t="str">
        <x:v>A</x:v>
      </x:c>
      <x:c r="H2965" s="39" t="str">
        <x:f>IF(ISNUMBER('Data'!N1257),'Data'!N1257*100,"")</x:f>
      </x:c>
      <x:c r="I2965" s="35"/>
      <x:c r="J2965" s="35" t="str">
        <x:v>PASS</x:v>
      </x:c>
      <x:c r="K2965" s="35" t="str">
        <x:v>FAIL</x:v>
      </x:c>
      <x:c r="L2965" s="35" t="str">
        <x:v>NOT_RUN</x:v>
      </x:c>
      <x:c r="M2965" s="35" t="str">
        <x:v>coverage unavailable or execution/compile failed</x:v>
      </x:c>
      <x:c r="N2965" s="35" t="str">
        <x:v>Deepseek-flash-v4/Result2/JacksonDatabind_107/result.json</x:v>
      </x:c>
      <x:c r="O2965" s="39" t="str">
        <x:f>IF(AND(G2965="RECORDED",ISNUMBER(H2965)),H2965,"")</x:f>
      </x:c>
      <x:c r="P2965" s="35" t="str">
        <x:v>NOT_AVAILABLE</x:v>
      </x:c>
      <x:c r="Q2965" s="35" t="str">
        <x:v>Deepseek-flash-v4/Result2/JacksonDatabind_107/result.json</x:v>
      </x:c>
    </x:row>
    <x:row r="2966">
      <x:c r="A2966" s="35" t="str">
        <x:v>deepseek</x:v>
      </x:c>
      <x:c r="B2966" s="35" t="str">
        <x:v>JacksonDatabind</x:v>
      </x:c>
      <x:c r="C2966" s="35" t="str">
        <x:v>Round2</x:v>
      </x:c>
      <x:c r="D2966" s="35" t="str">
        <x:v>JacksonDatabind_108</x:v>
      </x:c>
      <x:c r="E2966" s="35" t="str">
        <x:v>Condition</x:v>
      </x:c>
      <x:c r="F2966" s="35" t="n">
        <x:v>182</x:v>
      </x:c>
      <x:c r="G2966" s="35" t="str">
        <x:v>RECORDED</x:v>
      </x:c>
      <x:c r="H2966" s="39" t="n">
        <x:f>IF(ISNUMBER('Data'!N1258),'Data'!N1258*100,"")</x:f>
        <x:v>36.26</x:v>
      </x:c>
      <x:c r="I2966" s="35" t="str">
        <x:v>PASS</x:v>
      </x:c>
      <x:c r="J2966" s="35" t="str">
        <x:v>PASS</x:v>
      </x:c>
      <x:c r="K2966" s="35" t="str">
        <x:v>PASS</x:v>
      </x:c>
      <x:c r="L2966" s="35" t="str">
        <x:v>FAIL</x:v>
      </x:c>
      <x:c r="M2966" s="35" t="str">
        <x:v>numeric coverage for applicable metric</x:v>
      </x:c>
      <x:c r="N2966" s="35" t="str">
        <x:v>Deepseek-flash-v4/Result2/JacksonDatabind_108/result.json</x:v>
      </x:c>
      <x:c r="O2966" s="39" t="n">
        <x:f>IF(AND(G2966="RECORDED",ISNUMBER(H2966)),H2966,"")</x:f>
        <x:v>36.26</x:v>
      </x:c>
      <x:c r="P2966" s="35" t="str">
        <x:v>INCONCLUSIVE</x:v>
      </x:c>
      <x:c r="Q2966" s="35" t="str">
        <x:v>Deepseek-flash-v4/Result2/JacksonDatabind_108/result.json</x:v>
      </x:c>
    </x:row>
    <x:row r="2967">
      <x:c r="A2967" s="35" t="str">
        <x:v>deepseek</x:v>
      </x:c>
      <x:c r="B2967" s="35" t="str">
        <x:v>JacksonDatabind</x:v>
      </x:c>
      <x:c r="C2967" s="35" t="str">
        <x:v>Round2</x:v>
      </x:c>
      <x:c r="D2967" s="35" t="str">
        <x:v>JacksonDatabind_109</x:v>
      </x:c>
      <x:c r="E2967" s="35" t="str">
        <x:v>Condition</x:v>
      </x:c>
      <x:c r="F2967" s="35"/>
      <x:c r="G2967" s="35" t="str">
        <x:v>A</x:v>
      </x:c>
      <x:c r="H2967" s="39" t="str">
        <x:f>IF(ISNUMBER('Data'!N1259),'Data'!N1259*100,"")</x:f>
      </x:c>
      <x:c r="I2967" s="35"/>
      <x:c r="J2967" s="35" t="str">
        <x:v>PASS</x:v>
      </x:c>
      <x:c r="K2967" s="35" t="str">
        <x:v>FAIL</x:v>
      </x:c>
      <x:c r="L2967" s="35" t="str">
        <x:v>NOT_RUN</x:v>
      </x:c>
      <x:c r="M2967" s="35" t="str">
        <x:v>coverage unavailable or execution/compile failed</x:v>
      </x:c>
      <x:c r="N2967" s="35" t="str">
        <x:v>Deepseek-flash-v4/Result2/JacksonDatabind_109/result.json</x:v>
      </x:c>
      <x:c r="O2967" s="39" t="str">
        <x:f>IF(AND(G2967="RECORDED",ISNUMBER(H2967)),H2967,"")</x:f>
      </x:c>
      <x:c r="P2967" s="35" t="str">
        <x:v>NOT_AVAILABLE</x:v>
      </x:c>
      <x:c r="Q2967" s="35" t="str">
        <x:v>Deepseek-flash-v4/Result2/JacksonDatabind_109/result.json</x:v>
      </x:c>
    </x:row>
    <x:row r="2968">
      <x:c r="A2968" s="35" t="str">
        <x:v>deepseek</x:v>
      </x:c>
      <x:c r="B2968" s="35" t="str">
        <x:v>JacksonDatabind</x:v>
      </x:c>
      <x:c r="C2968" s="35" t="str">
        <x:v>Round2</x:v>
      </x:c>
      <x:c r="D2968" s="35" t="str">
        <x:v>JacksonDatabind_11</x:v>
      </x:c>
      <x:c r="E2968" s="35" t="str">
        <x:v>Condition</x:v>
      </x:c>
      <x:c r="F2968" s="35" t="n">
        <x:v>198</x:v>
      </x:c>
      <x:c r="G2968" s="35" t="str">
        <x:v>RECORDED</x:v>
      </x:c>
      <x:c r="H2968" s="39" t="n">
        <x:f>IF(ISNUMBER('Data'!N1260),'Data'!N1260*100,"")</x:f>
        <x:v>42.42</x:v>
      </x:c>
      <x:c r="I2968" s="35" t="str">
        <x:v>PASS</x:v>
      </x:c>
      <x:c r="J2968" s="35" t="str">
        <x:v>PASS</x:v>
      </x:c>
      <x:c r="K2968" s="35" t="str">
        <x:v>PASS</x:v>
      </x:c>
      <x:c r="L2968" s="35" t="str">
        <x:v>PASS</x:v>
      </x:c>
      <x:c r="M2968" s="35" t="str">
        <x:v>numeric coverage for applicable metric</x:v>
      </x:c>
      <x:c r="N2968" s="35" t="str">
        <x:v>Deepseek-flash-v4/Result2/JacksonDatabind_11/result.json</x:v>
      </x:c>
      <x:c r="O2968" s="39" t="n">
        <x:f>IF(AND(G2968="RECORDED",ISNUMBER(H2968)),H2968,"")</x:f>
        <x:v>42.42</x:v>
      </x:c>
      <x:c r="P2968" s="35" t="str">
        <x:v>NOT_REVEALING</x:v>
      </x:c>
      <x:c r="Q2968" s="35" t="str">
        <x:v>Deepseek-flash-v4/Result2/JacksonDatabind_11/result.json</x:v>
      </x:c>
    </x:row>
    <x:row r="2969">
      <x:c r="A2969" s="35" t="str">
        <x:v>deepseek</x:v>
      </x:c>
      <x:c r="B2969" s="35" t="str">
        <x:v>JacksonDatabind</x:v>
      </x:c>
      <x:c r="C2969" s="35" t="str">
        <x:v>Round2</x:v>
      </x:c>
      <x:c r="D2969" s="35" t="str">
        <x:v>JacksonDatabind_110</x:v>
      </x:c>
      <x:c r="E2969" s="35" t="str">
        <x:v>Condition</x:v>
      </x:c>
      <x:c r="F2969" s="35"/>
      <x:c r="G2969" s="35" t="str">
        <x:v>A</x:v>
      </x:c>
      <x:c r="H2969" s="39" t="str">
        <x:f>IF(ISNUMBER('Data'!N1261),'Data'!N1261*100,"")</x:f>
      </x:c>
      <x:c r="I2969" s="35"/>
      <x:c r="J2969" s="35" t="str">
        <x:v>PASS</x:v>
      </x:c>
      <x:c r="K2969" s="35" t="str">
        <x:v>FAIL</x:v>
      </x:c>
      <x:c r="L2969" s="35" t="str">
        <x:v>NOT_RUN</x:v>
      </x:c>
      <x:c r="M2969" s="35" t="str">
        <x:v>coverage unavailable or execution/compile failed</x:v>
      </x:c>
      <x:c r="N2969" s="35" t="str">
        <x:v>Deepseek-flash-v4/Result2/JacksonDatabind_110/result.json</x:v>
      </x:c>
      <x:c r="O2969" s="39" t="str">
        <x:f>IF(AND(G2969="RECORDED",ISNUMBER(H2969)),H2969,"")</x:f>
      </x:c>
      <x:c r="P2969" s="35" t="str">
        <x:v>NOT_AVAILABLE</x:v>
      </x:c>
      <x:c r="Q2969" s="35" t="str">
        <x:v>Deepseek-flash-v4/Result2/JacksonDatabind_110/result.json</x:v>
      </x:c>
    </x:row>
    <x:row r="2970">
      <x:c r="A2970" s="35" t="str">
        <x:v>deepseek</x:v>
      </x:c>
      <x:c r="B2970" s="35" t="str">
        <x:v>JacksonDatabind</x:v>
      </x:c>
      <x:c r="C2970" s="35" t="str">
        <x:v>Round2</x:v>
      </x:c>
      <x:c r="D2970" s="35" t="str">
        <x:v>JacksonDatabind_111</x:v>
      </x:c>
      <x:c r="E2970" s="35" t="str">
        <x:v>Condition</x:v>
      </x:c>
      <x:c r="F2970" s="35"/>
      <x:c r="G2970" s="35" t="str">
        <x:v>A</x:v>
      </x:c>
      <x:c r="H2970" s="39" t="str">
        <x:f>IF(ISNUMBER('Data'!N1262),'Data'!N1262*100,"")</x:f>
      </x:c>
      <x:c r="I2970" s="35"/>
      <x:c r="J2970" s="35" t="str">
        <x:v>PASS</x:v>
      </x:c>
      <x:c r="K2970" s="35" t="str">
        <x:v>FAIL</x:v>
      </x:c>
      <x:c r="L2970" s="35" t="str">
        <x:v>NOT_RUN</x:v>
      </x:c>
      <x:c r="M2970" s="35" t="str">
        <x:v>coverage unavailable or execution/compile failed</x:v>
      </x:c>
      <x:c r="N2970" s="35" t="str">
        <x:v>Deepseek-flash-v4/Result2/JacksonDatabind_111/result.json</x:v>
      </x:c>
      <x:c r="O2970" s="39" t="str">
        <x:f>IF(AND(G2970="RECORDED",ISNUMBER(H2970)),H2970,"")</x:f>
      </x:c>
      <x:c r="P2970" s="35" t="str">
        <x:v>NOT_AVAILABLE</x:v>
      </x:c>
      <x:c r="Q2970" s="35" t="str">
        <x:v>Deepseek-flash-v4/Result2/JacksonDatabind_111/result.json</x:v>
      </x:c>
    </x:row>
    <x:row r="2971">
      <x:c r="A2971" s="35" t="str">
        <x:v>deepseek</x:v>
      </x:c>
      <x:c r="B2971" s="35" t="str">
        <x:v>JacksonDatabind</x:v>
      </x:c>
      <x:c r="C2971" s="35" t="str">
        <x:v>Round2</x:v>
      </x:c>
      <x:c r="D2971" s="35" t="str">
        <x:v>JacksonDatabind_112</x:v>
      </x:c>
      <x:c r="E2971" s="35" t="str">
        <x:v>Condition</x:v>
      </x:c>
      <x:c r="F2971" s="35"/>
      <x:c r="G2971" s="35" t="str">
        <x:v>A</x:v>
      </x:c>
      <x:c r="H2971" s="39" t="str">
        <x:f>IF(ISNUMBER('Data'!N1263),'Data'!N1263*100,"")</x:f>
      </x:c>
      <x:c r="I2971" s="35"/>
      <x:c r="J2971" s="35" t="str">
        <x:v>PASS</x:v>
      </x:c>
      <x:c r="K2971" s="35" t="str">
        <x:v>FAIL</x:v>
      </x:c>
      <x:c r="L2971" s="35" t="str">
        <x:v>NOT_RUN</x:v>
      </x:c>
      <x:c r="M2971" s="35" t="str">
        <x:v>coverage unavailable or execution/compile failed</x:v>
      </x:c>
      <x:c r="N2971" s="35" t="str">
        <x:v>Deepseek-flash-v4/Result2/JacksonDatabind_112/result.json</x:v>
      </x:c>
      <x:c r="O2971" s="39" t="str">
        <x:f>IF(AND(G2971="RECORDED",ISNUMBER(H2971)),H2971,"")</x:f>
      </x:c>
      <x:c r="P2971" s="35" t="str">
        <x:v>NOT_AVAILABLE</x:v>
      </x:c>
      <x:c r="Q2971" s="35" t="str">
        <x:v>Deepseek-flash-v4/Result2/JacksonDatabind_112/result.json</x:v>
      </x:c>
    </x:row>
    <x:row r="2972">
      <x:c r="A2972" s="35" t="str">
        <x:v>deepseek</x:v>
      </x:c>
      <x:c r="B2972" s="35" t="str">
        <x:v>JacksonDatabind</x:v>
      </x:c>
      <x:c r="C2972" s="35" t="str">
        <x:v>Round2</x:v>
      </x:c>
      <x:c r="D2972" s="35" t="str">
        <x:v>JacksonDatabind_12</x:v>
      </x:c>
      <x:c r="E2972" s="35" t="str">
        <x:v>Condition</x:v>
      </x:c>
      <x:c r="F2972" s="35"/>
      <x:c r="G2972" s="35" t="str">
        <x:v>A</x:v>
      </x:c>
      <x:c r="H2972" s="39" t="str">
        <x:f>IF(ISNUMBER('Data'!N1264),'Data'!N1264*100,"")</x:f>
      </x:c>
      <x:c r="I2972" s="35"/>
      <x:c r="J2972" s="35" t="str">
        <x:v>PASS</x:v>
      </x:c>
      <x:c r="K2972" s="35" t="str">
        <x:v>FAIL</x:v>
      </x:c>
      <x:c r="L2972" s="35" t="str">
        <x:v>NOT_RUN</x:v>
      </x:c>
      <x:c r="M2972" s="35" t="str">
        <x:v>coverage unavailable or execution/compile failed</x:v>
      </x:c>
      <x:c r="N2972" s="35" t="str">
        <x:v>Deepseek-flash-v4/Result2/JacksonDatabind_12/result.json</x:v>
      </x:c>
      <x:c r="O2972" s="39" t="str">
        <x:f>IF(AND(G2972="RECORDED",ISNUMBER(H2972)),H2972,"")</x:f>
      </x:c>
      <x:c r="P2972" s="35" t="str">
        <x:v>NOT_AVAILABLE</x:v>
      </x:c>
      <x:c r="Q2972" s="35" t="str">
        <x:v>Deepseek-flash-v4/Result2/JacksonDatabind_12/result.json</x:v>
      </x:c>
    </x:row>
    <x:row r="2973">
      <x:c r="A2973" s="35" t="str">
        <x:v>deepseek</x:v>
      </x:c>
      <x:c r="B2973" s="35" t="str">
        <x:v>JacksonDatabind</x:v>
      </x:c>
      <x:c r="C2973" s="35" t="str">
        <x:v>Round2</x:v>
      </x:c>
      <x:c r="D2973" s="35" t="str">
        <x:v>JacksonDatabind_13</x:v>
      </x:c>
      <x:c r="E2973" s="35" t="str">
        <x:v>Condition</x:v>
      </x:c>
      <x:c r="F2973" s="35"/>
      <x:c r="G2973" s="35" t="str">
        <x:v>A</x:v>
      </x:c>
      <x:c r="H2973" s="39" t="str">
        <x:f>IF(ISNUMBER('Data'!N1265),'Data'!N1265*100,"")</x:f>
      </x:c>
      <x:c r="I2973" s="35"/>
      <x:c r="J2973" s="35" t="str">
        <x:v>PASS</x:v>
      </x:c>
      <x:c r="K2973" s="35" t="str">
        <x:v>FAIL</x:v>
      </x:c>
      <x:c r="L2973" s="35" t="str">
        <x:v>NOT_RUN</x:v>
      </x:c>
      <x:c r="M2973" s="35" t="str">
        <x:v>coverage unavailable or execution/compile failed</x:v>
      </x:c>
      <x:c r="N2973" s="35" t="str">
        <x:v>Deepseek-flash-v4/Result2/JacksonDatabind_13/result.json</x:v>
      </x:c>
      <x:c r="O2973" s="39" t="str">
        <x:f>IF(AND(G2973="RECORDED",ISNUMBER(H2973)),H2973,"")</x:f>
      </x:c>
      <x:c r="P2973" s="35" t="str">
        <x:v>NOT_AVAILABLE</x:v>
      </x:c>
      <x:c r="Q2973" s="35" t="str">
        <x:v>Deepseek-flash-v4/Result2/JacksonDatabind_13/result.json</x:v>
      </x:c>
    </x:row>
    <x:row r="2974">
      <x:c r="A2974" s="35" t="str">
        <x:v>deepseek</x:v>
      </x:c>
      <x:c r="B2974" s="35" t="str">
        <x:v>JacksonDatabind</x:v>
      </x:c>
      <x:c r="C2974" s="35" t="str">
        <x:v>Round2</x:v>
      </x:c>
      <x:c r="D2974" s="35" t="str">
        <x:v>JacksonDatabind_14</x:v>
      </x:c>
      <x:c r="E2974" s="35" t="str">
        <x:v>Condition</x:v>
      </x:c>
      <x:c r="F2974" s="35"/>
      <x:c r="G2974" s="35" t="str">
        <x:v>A</x:v>
      </x:c>
      <x:c r="H2974" s="39" t="str">
        <x:f>IF(ISNUMBER('Data'!N1266),'Data'!N1266*100,"")</x:f>
      </x:c>
      <x:c r="I2974" s="35"/>
      <x:c r="J2974" s="35" t="str">
        <x:v>PASS</x:v>
      </x:c>
      <x:c r="K2974" s="35" t="str">
        <x:v>FAIL</x:v>
      </x:c>
      <x:c r="L2974" s="35" t="str">
        <x:v>NOT_RUN</x:v>
      </x:c>
      <x:c r="M2974" s="35" t="str">
        <x:v>coverage unavailable or execution/compile failed</x:v>
      </x:c>
      <x:c r="N2974" s="35" t="str">
        <x:v>Deepseek-flash-v4/Result2/JacksonDatabind_14/result.json</x:v>
      </x:c>
      <x:c r="O2974" s="39" t="str">
        <x:f>IF(AND(G2974="RECORDED",ISNUMBER(H2974)),H2974,"")</x:f>
      </x:c>
      <x:c r="P2974" s="35" t="str">
        <x:v>NOT_AVAILABLE</x:v>
      </x:c>
      <x:c r="Q2974" s="35" t="str">
        <x:v>Deepseek-flash-v4/Result2/JacksonDatabind_14/result.json</x:v>
      </x:c>
    </x:row>
    <x:row r="2975">
      <x:c r="A2975" s="35" t="str">
        <x:v>deepseek</x:v>
      </x:c>
      <x:c r="B2975" s="35" t="str">
        <x:v>JacksonDatabind</x:v>
      </x:c>
      <x:c r="C2975" s="35" t="str">
        <x:v>Round2</x:v>
      </x:c>
      <x:c r="D2975" s="35" t="str">
        <x:v>JacksonDatabind_15</x:v>
      </x:c>
      <x:c r="E2975" s="35" t="str">
        <x:v>Condition</x:v>
      </x:c>
      <x:c r="F2975" s="35"/>
      <x:c r="G2975" s="35" t="str">
        <x:v>A</x:v>
      </x:c>
      <x:c r="H2975" s="39" t="str">
        <x:f>IF(ISNUMBER('Data'!N1267),'Data'!N1267*100,"")</x:f>
      </x:c>
      <x:c r="I2975" s="35"/>
      <x:c r="J2975" s="35" t="str">
        <x:v>PASS</x:v>
      </x:c>
      <x:c r="K2975" s="35" t="str">
        <x:v>FAIL</x:v>
      </x:c>
      <x:c r="L2975" s="35" t="str">
        <x:v>NOT_RUN</x:v>
      </x:c>
      <x:c r="M2975" s="35" t="str">
        <x:v>coverage unavailable or execution/compile failed</x:v>
      </x:c>
      <x:c r="N2975" s="35" t="str">
        <x:v>Deepseek-flash-v4/Result2/JacksonDatabind_15/result.json</x:v>
      </x:c>
      <x:c r="O2975" s="39" t="str">
        <x:f>IF(AND(G2975="RECORDED",ISNUMBER(H2975)),H2975,"")</x:f>
      </x:c>
      <x:c r="P2975" s="35" t="str">
        <x:v>NOT_AVAILABLE</x:v>
      </x:c>
      <x:c r="Q2975" s="35" t="str">
        <x:v>Deepseek-flash-v4/Result2/JacksonDatabind_15/result.json</x:v>
      </x:c>
    </x:row>
    <x:row r="2976">
      <x:c r="A2976" s="35" t="str">
        <x:v>deepseek</x:v>
      </x:c>
      <x:c r="B2976" s="35" t="str">
        <x:v>JacksonDatabind</x:v>
      </x:c>
      <x:c r="C2976" s="35" t="str">
        <x:v>Round2</x:v>
      </x:c>
      <x:c r="D2976" s="35" t="str">
        <x:v>JacksonDatabind_16</x:v>
      </x:c>
      <x:c r="E2976" s="35" t="str">
        <x:v>Condition</x:v>
      </x:c>
      <x:c r="F2976" s="35" t="n">
        <x:v>36</x:v>
      </x:c>
      <x:c r="G2976" s="35" t="str">
        <x:v>RECORDED</x:v>
      </x:c>
      <x:c r="H2976" s="39" t="n">
        <x:f>IF(ISNUMBER('Data'!N1268),'Data'!N1268*100,"")</x:f>
        <x:v>86.11</x:v>
      </x:c>
      <x:c r="I2976" s="35" t="str">
        <x:v>PASS</x:v>
      </x:c>
      <x:c r="J2976" s="35" t="str">
        <x:v>PASS</x:v>
      </x:c>
      <x:c r="K2976" s="35" t="str">
        <x:v>PASS</x:v>
      </x:c>
      <x:c r="L2976" s="35" t="str">
        <x:v>FAIL</x:v>
      </x:c>
      <x:c r="M2976" s="35" t="str">
        <x:v>numeric coverage for applicable metric</x:v>
      </x:c>
      <x:c r="N2976" s="35" t="str">
        <x:v>Deepseek-flash-v4/Result2/JacksonDatabind_16/result.json</x:v>
      </x:c>
      <x:c r="O2976" s="39" t="n">
        <x:f>IF(AND(G2976="RECORDED",ISNUMBER(H2976)),H2976,"")</x:f>
        <x:v>86.11</x:v>
      </x:c>
      <x:c r="P2976" s="35" t="str">
        <x:v>INCONCLUSIVE</x:v>
      </x:c>
      <x:c r="Q2976" s="35" t="str">
        <x:v>Deepseek-flash-v4/Result2/JacksonDatabind_16/result.json</x:v>
      </x:c>
    </x:row>
    <x:row r="2977">
      <x:c r="A2977" s="35" t="str">
        <x:v>deepseek</x:v>
      </x:c>
      <x:c r="B2977" s="35" t="str">
        <x:v>JacksonDatabind</x:v>
      </x:c>
      <x:c r="C2977" s="35" t="str">
        <x:v>Round2</x:v>
      </x:c>
      <x:c r="D2977" s="35" t="str">
        <x:v>JacksonDatabind_17</x:v>
      </x:c>
      <x:c r="E2977" s="35" t="str">
        <x:v>Condition</x:v>
      </x:c>
      <x:c r="F2977" s="35"/>
      <x:c r="G2977" s="35" t="str">
        <x:v>A</x:v>
      </x:c>
      <x:c r="H2977" s="39" t="str">
        <x:f>IF(ISNUMBER('Data'!N1269),'Data'!N1269*100,"")</x:f>
      </x:c>
      <x:c r="I2977" s="35"/>
      <x:c r="J2977" s="35" t="str">
        <x:v>PASS</x:v>
      </x:c>
      <x:c r="K2977" s="35" t="str">
        <x:v>FAIL</x:v>
      </x:c>
      <x:c r="L2977" s="35" t="str">
        <x:v>NOT_RUN</x:v>
      </x:c>
      <x:c r="M2977" s="35" t="str">
        <x:v>coverage unavailable or execution/compile failed</x:v>
      </x:c>
      <x:c r="N2977" s="35" t="str">
        <x:v>Deepseek-flash-v4/Result2/JacksonDatabind_17/result.json</x:v>
      </x:c>
      <x:c r="O2977" s="39" t="str">
        <x:f>IF(AND(G2977="RECORDED",ISNUMBER(H2977)),H2977,"")</x:f>
      </x:c>
      <x:c r="P2977" s="35" t="str">
        <x:v>NOT_AVAILABLE</x:v>
      </x:c>
      <x:c r="Q2977" s="35" t="str">
        <x:v>Deepseek-flash-v4/Result2/JacksonDatabind_17/result.json</x:v>
      </x:c>
    </x:row>
    <x:row r="2978">
      <x:c r="A2978" s="35" t="str">
        <x:v>deepseek</x:v>
      </x:c>
      <x:c r="B2978" s="35" t="str">
        <x:v>JacksonDatabind</x:v>
      </x:c>
      <x:c r="C2978" s="35" t="str">
        <x:v>Round2</x:v>
      </x:c>
      <x:c r="D2978" s="35" t="str">
        <x:v>JacksonDatabind_18</x:v>
      </x:c>
      <x:c r="E2978" s="35" t="str">
        <x:v>Condition</x:v>
      </x:c>
      <x:c r="F2978" s="35"/>
      <x:c r="G2978" s="35" t="str">
        <x:v>A</x:v>
      </x:c>
      <x:c r="H2978" s="39" t="str">
        <x:f>IF(ISNUMBER('Data'!N1270),'Data'!N1270*100,"")</x:f>
      </x:c>
      <x:c r="I2978" s="35"/>
      <x:c r="J2978" s="35" t="str">
        <x:v>PASS</x:v>
      </x:c>
      <x:c r="K2978" s="35" t="str">
        <x:v>FAIL</x:v>
      </x:c>
      <x:c r="L2978" s="35" t="str">
        <x:v>NOT_RUN</x:v>
      </x:c>
      <x:c r="M2978" s="35" t="str">
        <x:v>coverage unavailable or execution/compile failed</x:v>
      </x:c>
      <x:c r="N2978" s="35" t="str">
        <x:v>Deepseek-flash-v4/Result2/JacksonDatabind_18/result.json</x:v>
      </x:c>
      <x:c r="O2978" s="39" t="str">
        <x:f>IF(AND(G2978="RECORDED",ISNUMBER(H2978)),H2978,"")</x:f>
      </x:c>
      <x:c r="P2978" s="35" t="str">
        <x:v>NOT_AVAILABLE</x:v>
      </x:c>
      <x:c r="Q2978" s="35" t="str">
        <x:v>Deepseek-flash-v4/Result2/JacksonDatabind_18/result.json</x:v>
      </x:c>
    </x:row>
    <x:row r="2979">
      <x:c r="A2979" s="35" t="str">
        <x:v>deepseek</x:v>
      </x:c>
      <x:c r="B2979" s="35" t="str">
        <x:v>JacksonDatabind</x:v>
      </x:c>
      <x:c r="C2979" s="35" t="str">
        <x:v>Round2</x:v>
      </x:c>
      <x:c r="D2979" s="35" t="str">
        <x:v>JacksonDatabind_19</x:v>
      </x:c>
      <x:c r="E2979" s="35" t="str">
        <x:v>Condition</x:v>
      </x:c>
      <x:c r="F2979" s="35"/>
      <x:c r="G2979" s="35" t="str">
        <x:v>A</x:v>
      </x:c>
      <x:c r="H2979" s="39" t="str">
        <x:f>IF(ISNUMBER('Data'!N1271),'Data'!N1271*100,"")</x:f>
      </x:c>
      <x:c r="I2979" s="35"/>
      <x:c r="J2979" s="35" t="str">
        <x:v>PASS</x:v>
      </x:c>
      <x:c r="K2979" s="35" t="str">
        <x:v>FAIL</x:v>
      </x:c>
      <x:c r="L2979" s="35" t="str">
        <x:v>NOT_RUN</x:v>
      </x:c>
      <x:c r="M2979" s="35" t="str">
        <x:v>coverage unavailable or execution/compile failed</x:v>
      </x:c>
      <x:c r="N2979" s="35" t="str">
        <x:v>Deepseek-flash-v4/Result2/JacksonDatabind_19/result.json</x:v>
      </x:c>
      <x:c r="O2979" s="39" t="str">
        <x:f>IF(AND(G2979="RECORDED",ISNUMBER(H2979)),H2979,"")</x:f>
      </x:c>
      <x:c r="P2979" s="35" t="str">
        <x:v>NOT_AVAILABLE</x:v>
      </x:c>
      <x:c r="Q2979" s="35" t="str">
        <x:v>Deepseek-flash-v4/Result2/JacksonDatabind_19/result.json</x:v>
      </x:c>
    </x:row>
    <x:row r="2980">
      <x:c r="A2980" s="35" t="str">
        <x:v>deepseek</x:v>
      </x:c>
      <x:c r="B2980" s="35" t="str">
        <x:v>JacksonDatabind</x:v>
      </x:c>
      <x:c r="C2980" s="35" t="str">
        <x:v>Round2</x:v>
      </x:c>
      <x:c r="D2980" s="35" t="str">
        <x:v>JacksonDatabind_2</x:v>
      </x:c>
      <x:c r="E2980" s="35" t="str">
        <x:v>Condition</x:v>
      </x:c>
      <x:c r="F2980" s="35"/>
      <x:c r="G2980" s="35" t="str">
        <x:v>A</x:v>
      </x:c>
      <x:c r="H2980" s="39" t="str">
        <x:f>IF(ISNUMBER('Data'!N1272),'Data'!N1272*100,"")</x:f>
      </x:c>
      <x:c r="I2980" s="35"/>
      <x:c r="J2980" s="35" t="str">
        <x:v>PASS</x:v>
      </x:c>
      <x:c r="K2980" s="35" t="str">
        <x:v>FAIL</x:v>
      </x:c>
      <x:c r="L2980" s="35" t="str">
        <x:v>NOT_RUN</x:v>
      </x:c>
      <x:c r="M2980" s="35" t="str">
        <x:v>coverage unavailable or execution/compile failed</x:v>
      </x:c>
      <x:c r="N2980" s="35" t="str">
        <x:v>Deepseek-flash-v4/Result2/JacksonDatabind_2/result.json</x:v>
      </x:c>
      <x:c r="O2980" s="39" t="str">
        <x:f>IF(AND(G2980="RECORDED",ISNUMBER(H2980)),H2980,"")</x:f>
      </x:c>
      <x:c r="P2980" s="35" t="str">
        <x:v>NOT_AVAILABLE</x:v>
      </x:c>
      <x:c r="Q2980" s="35" t="str">
        <x:v>Deepseek-flash-v4/Result2/JacksonDatabind_2/result.json</x:v>
      </x:c>
    </x:row>
    <x:row r="2981">
      <x:c r="A2981" s="35" t="str">
        <x:v>deepseek</x:v>
      </x:c>
      <x:c r="B2981" s="35" t="str">
        <x:v>JacksonDatabind</x:v>
      </x:c>
      <x:c r="C2981" s="35" t="str">
        <x:v>Round2</x:v>
      </x:c>
      <x:c r="D2981" s="35" t="str">
        <x:v>JacksonDatabind_20</x:v>
      </x:c>
      <x:c r="E2981" s="35" t="str">
        <x:v>Condition</x:v>
      </x:c>
      <x:c r="F2981" s="35"/>
      <x:c r="G2981" s="35" t="str">
        <x:v>A</x:v>
      </x:c>
      <x:c r="H2981" s="39" t="str">
        <x:f>IF(ISNUMBER('Data'!N1273),'Data'!N1273*100,"")</x:f>
      </x:c>
      <x:c r="I2981" s="35"/>
      <x:c r="J2981" s="35" t="str">
        <x:v>PASS</x:v>
      </x:c>
      <x:c r="K2981" s="35" t="str">
        <x:v>FAIL</x:v>
      </x:c>
      <x:c r="L2981" s="35" t="str">
        <x:v>NOT_RUN</x:v>
      </x:c>
      <x:c r="M2981" s="35" t="str">
        <x:v>coverage unavailable or execution/compile failed</x:v>
      </x:c>
      <x:c r="N2981" s="35" t="str">
        <x:v>Deepseek-flash-v4/Result2/JacksonDatabind_20/result.json</x:v>
      </x:c>
      <x:c r="O2981" s="39" t="str">
        <x:f>IF(AND(G2981="RECORDED",ISNUMBER(H2981)),H2981,"")</x:f>
      </x:c>
      <x:c r="P2981" s="35" t="str">
        <x:v>NOT_AVAILABLE</x:v>
      </x:c>
      <x:c r="Q2981" s="35" t="str">
        <x:v>Deepseek-flash-v4/Result2/JacksonDatabind_20/result.json</x:v>
      </x:c>
    </x:row>
    <x:row r="2982">
      <x:c r="A2982" s="35" t="str">
        <x:v>deepseek</x:v>
      </x:c>
      <x:c r="B2982" s="35" t="str">
        <x:v>JacksonDatabind</x:v>
      </x:c>
      <x:c r="C2982" s="35" t="str">
        <x:v>Round2</x:v>
      </x:c>
      <x:c r="D2982" s="35" t="str">
        <x:v>JacksonDatabind_21</x:v>
      </x:c>
      <x:c r="E2982" s="35" t="str">
        <x:v>Condition</x:v>
      </x:c>
      <x:c r="F2982" s="35"/>
      <x:c r="G2982" s="35" t="str">
        <x:v>A</x:v>
      </x:c>
      <x:c r="H2982" s="39" t="str">
        <x:f>IF(ISNUMBER('Data'!N1274),'Data'!N1274*100,"")</x:f>
      </x:c>
      <x:c r="I2982" s="35"/>
      <x:c r="J2982" s="35" t="str">
        <x:v>PASS</x:v>
      </x:c>
      <x:c r="K2982" s="35" t="str">
        <x:v>FAIL</x:v>
      </x:c>
      <x:c r="L2982" s="35" t="str">
        <x:v>NOT_RUN</x:v>
      </x:c>
      <x:c r="M2982" s="35" t="str">
        <x:v>coverage unavailable or execution/compile failed</x:v>
      </x:c>
      <x:c r="N2982" s="35" t="str">
        <x:v>Deepseek-flash-v4/Result2/JacksonDatabind_21/result.json</x:v>
      </x:c>
      <x:c r="O2982" s="39" t="str">
        <x:f>IF(AND(G2982="RECORDED",ISNUMBER(H2982)),H2982,"")</x:f>
      </x:c>
      <x:c r="P2982" s="35" t="str">
        <x:v>NOT_AVAILABLE</x:v>
      </x:c>
      <x:c r="Q2982" s="35" t="str">
        <x:v>Deepseek-flash-v4/Result2/JacksonDatabind_21/result.json</x:v>
      </x:c>
    </x:row>
    <x:row r="2983">
      <x:c r="A2983" s="35" t="str">
        <x:v>deepseek</x:v>
      </x:c>
      <x:c r="B2983" s="35" t="str">
        <x:v>JacksonDatabind</x:v>
      </x:c>
      <x:c r="C2983" s="35" t="str">
        <x:v>Round2</x:v>
      </x:c>
      <x:c r="D2983" s="35" t="str">
        <x:v>JacksonDatabind_22</x:v>
      </x:c>
      <x:c r="E2983" s="35" t="str">
        <x:v>Condition</x:v>
      </x:c>
      <x:c r="F2983" s="35"/>
      <x:c r="G2983" s="35" t="str">
        <x:v>A</x:v>
      </x:c>
      <x:c r="H2983" s="39" t="str">
        <x:f>IF(ISNUMBER('Data'!N1275),'Data'!N1275*100,"")</x:f>
      </x:c>
      <x:c r="I2983" s="35"/>
      <x:c r="J2983" s="35" t="str">
        <x:v>PASS</x:v>
      </x:c>
      <x:c r="K2983" s="35" t="str">
        <x:v>FAIL</x:v>
      </x:c>
      <x:c r="L2983" s="35" t="str">
        <x:v>NOT_RUN</x:v>
      </x:c>
      <x:c r="M2983" s="35" t="str">
        <x:v>coverage unavailable or execution/compile failed</x:v>
      </x:c>
      <x:c r="N2983" s="35" t="str">
        <x:v>Deepseek-flash-v4/Result2/JacksonDatabind_22/result.json</x:v>
      </x:c>
      <x:c r="O2983" s="39" t="str">
        <x:f>IF(AND(G2983="RECORDED",ISNUMBER(H2983)),H2983,"")</x:f>
      </x:c>
      <x:c r="P2983" s="35" t="str">
        <x:v>NOT_AVAILABLE</x:v>
      </x:c>
      <x:c r="Q2983" s="35" t="str">
        <x:v>Deepseek-flash-v4/Result2/JacksonDatabind_22/result.json</x:v>
      </x:c>
    </x:row>
    <x:row r="2984">
      <x:c r="A2984" s="35" t="str">
        <x:v>deepseek</x:v>
      </x:c>
      <x:c r="B2984" s="35" t="str">
        <x:v>JacksonDatabind</x:v>
      </x:c>
      <x:c r="C2984" s="35" t="str">
        <x:v>Round2</x:v>
      </x:c>
      <x:c r="D2984" s="35" t="str">
        <x:v>JacksonDatabind_23</x:v>
      </x:c>
      <x:c r="E2984" s="35" t="str">
        <x:v>Condition</x:v>
      </x:c>
      <x:c r="F2984" s="35"/>
      <x:c r="G2984" s="35" t="str">
        <x:v>A</x:v>
      </x:c>
      <x:c r="H2984" s="39" t="str">
        <x:f>IF(ISNUMBER('Data'!N1276),'Data'!N1276*100,"")</x:f>
      </x:c>
      <x:c r="I2984" s="35"/>
      <x:c r="J2984" s="35" t="str">
        <x:v>PASS</x:v>
      </x:c>
      <x:c r="K2984" s="35" t="str">
        <x:v>FAIL</x:v>
      </x:c>
      <x:c r="L2984" s="35" t="str">
        <x:v>NOT_RUN</x:v>
      </x:c>
      <x:c r="M2984" s="35" t="str">
        <x:v>coverage unavailable or execution/compile failed</x:v>
      </x:c>
      <x:c r="N2984" s="35" t="str">
        <x:v>Deepseek-flash-v4/Result2/JacksonDatabind_23/result.json</x:v>
      </x:c>
      <x:c r="O2984" s="39" t="str">
        <x:f>IF(AND(G2984="RECORDED",ISNUMBER(H2984)),H2984,"")</x:f>
      </x:c>
      <x:c r="P2984" s="35" t="str">
        <x:v>NOT_AVAILABLE</x:v>
      </x:c>
      <x:c r="Q2984" s="35" t="str">
        <x:v>Deepseek-flash-v4/Result2/JacksonDatabind_23/result.json</x:v>
      </x:c>
    </x:row>
    <x:row r="2985">
      <x:c r="A2985" s="35" t="str">
        <x:v>deepseek</x:v>
      </x:c>
      <x:c r="B2985" s="35" t="str">
        <x:v>JacksonDatabind</x:v>
      </x:c>
      <x:c r="C2985" s="35" t="str">
        <x:v>Round2</x:v>
      </x:c>
      <x:c r="D2985" s="35" t="str">
        <x:v>JacksonDatabind_24</x:v>
      </x:c>
      <x:c r="E2985" s="35" t="str">
        <x:v>Condition</x:v>
      </x:c>
      <x:c r="F2985" s="35"/>
      <x:c r="G2985" s="35" t="str">
        <x:v>A</x:v>
      </x:c>
      <x:c r="H2985" s="39" t="str">
        <x:f>IF(ISNUMBER('Data'!N1277),'Data'!N1277*100,"")</x:f>
      </x:c>
      <x:c r="I2985" s="35"/>
      <x:c r="J2985" s="35" t="str">
        <x:v>PASS</x:v>
      </x:c>
      <x:c r="K2985" s="35" t="str">
        <x:v>FAIL</x:v>
      </x:c>
      <x:c r="L2985" s="35" t="str">
        <x:v>NOT_RUN</x:v>
      </x:c>
      <x:c r="M2985" s="35" t="str">
        <x:v>coverage unavailable or execution/compile failed</x:v>
      </x:c>
      <x:c r="N2985" s="35" t="str">
        <x:v>Deepseek-flash-v4/Result2/JacksonDatabind_24/result.json</x:v>
      </x:c>
      <x:c r="O2985" s="39" t="str">
        <x:f>IF(AND(G2985="RECORDED",ISNUMBER(H2985)),H2985,"")</x:f>
      </x:c>
      <x:c r="P2985" s="35" t="str">
        <x:v>NOT_AVAILABLE</x:v>
      </x:c>
      <x:c r="Q2985" s="35" t="str">
        <x:v>Deepseek-flash-v4/Result2/JacksonDatabind_24/result.json</x:v>
      </x:c>
    </x:row>
    <x:row r="2986">
      <x:c r="A2986" s="35" t="str">
        <x:v>deepseek</x:v>
      </x:c>
      <x:c r="B2986" s="35" t="str">
        <x:v>JacksonDatabind</x:v>
      </x:c>
      <x:c r="C2986" s="35" t="str">
        <x:v>Round2</x:v>
      </x:c>
      <x:c r="D2986" s="35" t="str">
        <x:v>JacksonDatabind_25</x:v>
      </x:c>
      <x:c r="E2986" s="35" t="str">
        <x:v>Condition</x:v>
      </x:c>
      <x:c r="F2986" s="35"/>
      <x:c r="G2986" s="35" t="str">
        <x:v>A</x:v>
      </x:c>
      <x:c r="H2986" s="39" t="str">
        <x:f>IF(ISNUMBER('Data'!N1278),'Data'!N1278*100,"")</x:f>
      </x:c>
      <x:c r="I2986" s="35"/>
      <x:c r="J2986" s="35" t="str">
        <x:v>PASS</x:v>
      </x:c>
      <x:c r="K2986" s="35" t="str">
        <x:v>FAIL</x:v>
      </x:c>
      <x:c r="L2986" s="35" t="str">
        <x:v>NOT_RUN</x:v>
      </x:c>
      <x:c r="M2986" s="35" t="str">
        <x:v>coverage unavailable or execution/compile failed</x:v>
      </x:c>
      <x:c r="N2986" s="35" t="str">
        <x:v>Deepseek-flash-v4/Result2/JacksonDatabind_25/result.json</x:v>
      </x:c>
      <x:c r="O2986" s="39" t="str">
        <x:f>IF(AND(G2986="RECORDED",ISNUMBER(H2986)),H2986,"")</x:f>
      </x:c>
      <x:c r="P2986" s="35" t="str">
        <x:v>NOT_AVAILABLE</x:v>
      </x:c>
      <x:c r="Q2986" s="35" t="str">
        <x:v>Deepseek-flash-v4/Result2/JacksonDatabind_25/result.json</x:v>
      </x:c>
    </x:row>
    <x:row r="2987">
      <x:c r="A2987" s="35" t="str">
        <x:v>deepseek</x:v>
      </x:c>
      <x:c r="B2987" s="35" t="str">
        <x:v>JacksonDatabind</x:v>
      </x:c>
      <x:c r="C2987" s="35" t="str">
        <x:v>Round2</x:v>
      </x:c>
      <x:c r="D2987" s="35" t="str">
        <x:v>JacksonDatabind_26</x:v>
      </x:c>
      <x:c r="E2987" s="35" t="str">
        <x:v>Condition</x:v>
      </x:c>
      <x:c r="F2987" s="35"/>
      <x:c r="G2987" s="35" t="str">
        <x:v>A</x:v>
      </x:c>
      <x:c r="H2987" s="39" t="str">
        <x:f>IF(ISNUMBER('Data'!N1279),'Data'!N1279*100,"")</x:f>
      </x:c>
      <x:c r="I2987" s="35"/>
      <x:c r="J2987" s="35" t="str">
        <x:v>PASS</x:v>
      </x:c>
      <x:c r="K2987" s="35" t="str">
        <x:v>FAIL</x:v>
      </x:c>
      <x:c r="L2987" s="35" t="str">
        <x:v>NOT_RUN</x:v>
      </x:c>
      <x:c r="M2987" s="35" t="str">
        <x:v>coverage unavailable or execution/compile failed</x:v>
      </x:c>
      <x:c r="N2987" s="35" t="str">
        <x:v>Deepseek-flash-v4/Result2/JacksonDatabind_26/result.json</x:v>
      </x:c>
      <x:c r="O2987" s="39" t="str">
        <x:f>IF(AND(G2987="RECORDED",ISNUMBER(H2987)),H2987,"")</x:f>
      </x:c>
      <x:c r="P2987" s="35" t="str">
        <x:v>NOT_AVAILABLE</x:v>
      </x:c>
      <x:c r="Q2987" s="35" t="str">
        <x:v>Deepseek-flash-v4/Result2/JacksonDatabind_26/result.json</x:v>
      </x:c>
    </x:row>
    <x:row r="2988">
      <x:c r="A2988" s="35" t="str">
        <x:v>deepseek</x:v>
      </x:c>
      <x:c r="B2988" s="35" t="str">
        <x:v>JacksonDatabind</x:v>
      </x:c>
      <x:c r="C2988" s="35" t="str">
        <x:v>Round2</x:v>
      </x:c>
      <x:c r="D2988" s="35" t="str">
        <x:v>JacksonDatabind_27</x:v>
      </x:c>
      <x:c r="E2988" s="35" t="str">
        <x:v>Condition</x:v>
      </x:c>
      <x:c r="F2988" s="35"/>
      <x:c r="G2988" s="35" t="str">
        <x:v>A</x:v>
      </x:c>
      <x:c r="H2988" s="39" t="str">
        <x:f>IF(ISNUMBER('Data'!N1280),'Data'!N1280*100,"")</x:f>
      </x:c>
      <x:c r="I2988" s="35"/>
      <x:c r="J2988" s="35" t="str">
        <x:v>PASS</x:v>
      </x:c>
      <x:c r="K2988" s="35" t="str">
        <x:v>FAIL</x:v>
      </x:c>
      <x:c r="L2988" s="35" t="str">
        <x:v>NOT_RUN</x:v>
      </x:c>
      <x:c r="M2988" s="35" t="str">
        <x:v>coverage unavailable or execution/compile failed</x:v>
      </x:c>
      <x:c r="N2988" s="35" t="str">
        <x:v>Deepseek-flash-v4/Result2/JacksonDatabind_27/result.json</x:v>
      </x:c>
      <x:c r="O2988" s="39" t="str">
        <x:f>IF(AND(G2988="RECORDED",ISNUMBER(H2988)),H2988,"")</x:f>
      </x:c>
      <x:c r="P2988" s="35" t="str">
        <x:v>NOT_AVAILABLE</x:v>
      </x:c>
      <x:c r="Q2988" s="35" t="str">
        <x:v>Deepseek-flash-v4/Result2/JacksonDatabind_27/result.json</x:v>
      </x:c>
    </x:row>
    <x:row r="2989">
      <x:c r="A2989" s="35" t="str">
        <x:v>deepseek</x:v>
      </x:c>
      <x:c r="B2989" s="35" t="str">
        <x:v>JacksonDatabind</x:v>
      </x:c>
      <x:c r="C2989" s="35" t="str">
        <x:v>Round2</x:v>
      </x:c>
      <x:c r="D2989" s="35" t="str">
        <x:v>JacksonDatabind_28</x:v>
      </x:c>
      <x:c r="E2989" s="35" t="str">
        <x:v>Condition</x:v>
      </x:c>
      <x:c r="F2989" s="35"/>
      <x:c r="G2989" s="35" t="str">
        <x:v>A</x:v>
      </x:c>
      <x:c r="H2989" s="39" t="str">
        <x:f>IF(ISNUMBER('Data'!N1281),'Data'!N1281*100,"")</x:f>
      </x:c>
      <x:c r="I2989" s="35"/>
      <x:c r="J2989" s="35" t="str">
        <x:v>PASS</x:v>
      </x:c>
      <x:c r="K2989" s="35" t="str">
        <x:v>FAIL</x:v>
      </x:c>
      <x:c r="L2989" s="35" t="str">
        <x:v>NOT_RUN</x:v>
      </x:c>
      <x:c r="M2989" s="35" t="str">
        <x:v>coverage unavailable or execution/compile failed</x:v>
      </x:c>
      <x:c r="N2989" s="35" t="str">
        <x:v>Deepseek-flash-v4/Result2/JacksonDatabind_28/result.json</x:v>
      </x:c>
      <x:c r="O2989" s="39" t="str">
        <x:f>IF(AND(G2989="RECORDED",ISNUMBER(H2989)),H2989,"")</x:f>
      </x:c>
      <x:c r="P2989" s="35" t="str">
        <x:v>NOT_AVAILABLE</x:v>
      </x:c>
      <x:c r="Q2989" s="35" t="str">
        <x:v>Deepseek-flash-v4/Result2/JacksonDatabind_28/result.json</x:v>
      </x:c>
    </x:row>
    <x:row r="2990">
      <x:c r="A2990" s="35" t="str">
        <x:v>deepseek</x:v>
      </x:c>
      <x:c r="B2990" s="35" t="str">
        <x:v>JacksonDatabind</x:v>
      </x:c>
      <x:c r="C2990" s="35" t="str">
        <x:v>Round2</x:v>
      </x:c>
      <x:c r="D2990" s="35" t="str">
        <x:v>JacksonDatabind_29</x:v>
      </x:c>
      <x:c r="E2990" s="35" t="str">
        <x:v>Condition</x:v>
      </x:c>
      <x:c r="F2990" s="35"/>
      <x:c r="G2990" s="35" t="str">
        <x:v>A</x:v>
      </x:c>
      <x:c r="H2990" s="39" t="str">
        <x:f>IF(ISNUMBER('Data'!N1282),'Data'!N1282*100,"")</x:f>
      </x:c>
      <x:c r="I2990" s="35"/>
      <x:c r="J2990" s="35" t="str">
        <x:v>PASS</x:v>
      </x:c>
      <x:c r="K2990" s="35" t="str">
        <x:v>FAIL</x:v>
      </x:c>
      <x:c r="L2990" s="35" t="str">
        <x:v>NOT_RUN</x:v>
      </x:c>
      <x:c r="M2990" s="35" t="str">
        <x:v>coverage unavailable or execution/compile failed</x:v>
      </x:c>
      <x:c r="N2990" s="35" t="str">
        <x:v>Deepseek-flash-v4/Result2/JacksonDatabind_29/result.json</x:v>
      </x:c>
      <x:c r="O2990" s="39" t="str">
        <x:f>IF(AND(G2990="RECORDED",ISNUMBER(H2990)),H2990,"")</x:f>
      </x:c>
      <x:c r="P2990" s="35" t="str">
        <x:v>NOT_AVAILABLE</x:v>
      </x:c>
      <x:c r="Q2990" s="35" t="str">
        <x:v>Deepseek-flash-v4/Result2/JacksonDatabind_29/result.json</x:v>
      </x:c>
    </x:row>
    <x:row r="2991">
      <x:c r="A2991" s="35" t="str">
        <x:v>deepseek</x:v>
      </x:c>
      <x:c r="B2991" s="35" t="str">
        <x:v>JacksonDatabind</x:v>
      </x:c>
      <x:c r="C2991" s="35" t="str">
        <x:v>Round2</x:v>
      </x:c>
      <x:c r="D2991" s="35" t="str">
        <x:v>JacksonDatabind_3</x:v>
      </x:c>
      <x:c r="E2991" s="35" t="str">
        <x:v>Condition</x:v>
      </x:c>
      <x:c r="F2991" s="35"/>
      <x:c r="G2991" s="35" t="str">
        <x:v>A</x:v>
      </x:c>
      <x:c r="H2991" s="39" t="str">
        <x:f>IF(ISNUMBER('Data'!N1283),'Data'!N1283*100,"")</x:f>
      </x:c>
      <x:c r="I2991" s="35"/>
      <x:c r="J2991" s="35" t="str">
        <x:v>PASS</x:v>
      </x:c>
      <x:c r="K2991" s="35" t="str">
        <x:v>FAIL</x:v>
      </x:c>
      <x:c r="L2991" s="35" t="str">
        <x:v>NOT_RUN</x:v>
      </x:c>
      <x:c r="M2991" s="35" t="str">
        <x:v>coverage unavailable or execution/compile failed</x:v>
      </x:c>
      <x:c r="N2991" s="35" t="str">
        <x:v>Deepseek-flash-v4/Result2/JacksonDatabind_3/result.json</x:v>
      </x:c>
      <x:c r="O2991" s="39" t="str">
        <x:f>IF(AND(G2991="RECORDED",ISNUMBER(H2991)),H2991,"")</x:f>
      </x:c>
      <x:c r="P2991" s="35" t="str">
        <x:v>NOT_AVAILABLE</x:v>
      </x:c>
      <x:c r="Q2991" s="35" t="str">
        <x:v>Deepseek-flash-v4/Result2/JacksonDatabind_3/result.json</x:v>
      </x:c>
    </x:row>
    <x:row r="2992">
      <x:c r="A2992" s="35" t="str">
        <x:v>deepseek</x:v>
      </x:c>
      <x:c r="B2992" s="35" t="str">
        <x:v>JacksonDatabind</x:v>
      </x:c>
      <x:c r="C2992" s="35" t="str">
        <x:v>Round2</x:v>
      </x:c>
      <x:c r="D2992" s="35" t="str">
        <x:v>JacksonDatabind_30</x:v>
      </x:c>
      <x:c r="E2992" s="35" t="str">
        <x:v>Condition</x:v>
      </x:c>
      <x:c r="F2992" s="35"/>
      <x:c r="G2992" s="35" t="str">
        <x:v>A</x:v>
      </x:c>
      <x:c r="H2992" s="39" t="str">
        <x:f>IF(ISNUMBER('Data'!N1284),'Data'!N1284*100,"")</x:f>
      </x:c>
      <x:c r="I2992" s="35"/>
      <x:c r="J2992" s="35" t="str">
        <x:v>PASS</x:v>
      </x:c>
      <x:c r="K2992" s="35" t="str">
        <x:v>FAIL</x:v>
      </x:c>
      <x:c r="L2992" s="35" t="str">
        <x:v>NOT_RUN</x:v>
      </x:c>
      <x:c r="M2992" s="35" t="str">
        <x:v>coverage unavailable or execution/compile failed</x:v>
      </x:c>
      <x:c r="N2992" s="35" t="str">
        <x:v>Deepseek-flash-v4/Result2/JacksonDatabind_30/result.json</x:v>
      </x:c>
      <x:c r="O2992" s="39" t="str">
        <x:f>IF(AND(G2992="RECORDED",ISNUMBER(H2992)),H2992,"")</x:f>
      </x:c>
      <x:c r="P2992" s="35" t="str">
        <x:v>NOT_AVAILABLE</x:v>
      </x:c>
      <x:c r="Q2992" s="35" t="str">
        <x:v>Deepseek-flash-v4/Result2/JacksonDatabind_30/result.json</x:v>
      </x:c>
    </x:row>
    <x:row r="2993">
      <x:c r="A2993" s="35" t="str">
        <x:v>deepseek</x:v>
      </x:c>
      <x:c r="B2993" s="35" t="str">
        <x:v>JacksonDatabind</x:v>
      </x:c>
      <x:c r="C2993" s="35" t="str">
        <x:v>Round2</x:v>
      </x:c>
      <x:c r="D2993" s="35" t="str">
        <x:v>JacksonDatabind_31</x:v>
      </x:c>
      <x:c r="E2993" s="35" t="str">
        <x:v>Condition</x:v>
      </x:c>
      <x:c r="F2993" s="35"/>
      <x:c r="G2993" s="35" t="str">
        <x:v>A</x:v>
      </x:c>
      <x:c r="H2993" s="39" t="str">
        <x:f>IF(ISNUMBER('Data'!N1285),'Data'!N1285*100,"")</x:f>
      </x:c>
      <x:c r="I2993" s="35"/>
      <x:c r="J2993" s="35" t="str">
        <x:v>PASS</x:v>
      </x:c>
      <x:c r="K2993" s="35" t="str">
        <x:v>FAIL</x:v>
      </x:c>
      <x:c r="L2993" s="35" t="str">
        <x:v>NOT_RUN</x:v>
      </x:c>
      <x:c r="M2993" s="35" t="str">
        <x:v>coverage unavailable or execution/compile failed</x:v>
      </x:c>
      <x:c r="N2993" s="35" t="str">
        <x:v>Deepseek-flash-v4/Result2/JacksonDatabind_31/result.json</x:v>
      </x:c>
      <x:c r="O2993" s="39" t="str">
        <x:f>IF(AND(G2993="RECORDED",ISNUMBER(H2993)),H2993,"")</x:f>
      </x:c>
      <x:c r="P2993" s="35" t="str">
        <x:v>NOT_AVAILABLE</x:v>
      </x:c>
      <x:c r="Q2993" s="35" t="str">
        <x:v>Deepseek-flash-v4/Result2/JacksonDatabind_31/result.json</x:v>
      </x:c>
    </x:row>
    <x:row r="2994">
      <x:c r="A2994" s="35" t="str">
        <x:v>deepseek</x:v>
      </x:c>
      <x:c r="B2994" s="35" t="str">
        <x:v>JacksonDatabind</x:v>
      </x:c>
      <x:c r="C2994" s="35" t="str">
        <x:v>Round2</x:v>
      </x:c>
      <x:c r="D2994" s="35" t="str">
        <x:v>JacksonDatabind_32</x:v>
      </x:c>
      <x:c r="E2994" s="35" t="str">
        <x:v>Condition</x:v>
      </x:c>
      <x:c r="F2994" s="35"/>
      <x:c r="G2994" s="35" t="str">
        <x:v>A</x:v>
      </x:c>
      <x:c r="H2994" s="39" t="str">
        <x:f>IF(ISNUMBER('Data'!N1286),'Data'!N1286*100,"")</x:f>
      </x:c>
      <x:c r="I2994" s="35"/>
      <x:c r="J2994" s="35" t="str">
        <x:v>PASS</x:v>
      </x:c>
      <x:c r="K2994" s="35" t="str">
        <x:v>FAIL</x:v>
      </x:c>
      <x:c r="L2994" s="35" t="str">
        <x:v>NOT_RUN</x:v>
      </x:c>
      <x:c r="M2994" s="35" t="str">
        <x:v>coverage unavailable or execution/compile failed</x:v>
      </x:c>
      <x:c r="N2994" s="35" t="str">
        <x:v>Deepseek-flash-v4/Result2/JacksonDatabind_32/result.json</x:v>
      </x:c>
      <x:c r="O2994" s="39" t="str">
        <x:f>IF(AND(G2994="RECORDED",ISNUMBER(H2994)),H2994,"")</x:f>
      </x:c>
      <x:c r="P2994" s="35" t="str">
        <x:v>NOT_AVAILABLE</x:v>
      </x:c>
      <x:c r="Q2994" s="35" t="str">
        <x:v>Deepseek-flash-v4/Result2/JacksonDatabind_32/result.json</x:v>
      </x:c>
    </x:row>
    <x:row r="2995">
      <x:c r="A2995" s="35" t="str">
        <x:v>deepseek</x:v>
      </x:c>
      <x:c r="B2995" s="35" t="str">
        <x:v>JacksonDatabind</x:v>
      </x:c>
      <x:c r="C2995" s="35" t="str">
        <x:v>Round2</x:v>
      </x:c>
      <x:c r="D2995" s="35" t="str">
        <x:v>JacksonDatabind_33</x:v>
      </x:c>
      <x:c r="E2995" s="35" t="str">
        <x:v>Condition</x:v>
      </x:c>
      <x:c r="F2995" s="35"/>
      <x:c r="G2995" s="35" t="str">
        <x:v>A</x:v>
      </x:c>
      <x:c r="H2995" s="39" t="str">
        <x:f>IF(ISNUMBER('Data'!N1287),'Data'!N1287*100,"")</x:f>
      </x:c>
      <x:c r="I2995" s="35"/>
      <x:c r="J2995" s="35" t="str">
        <x:v>PASS</x:v>
      </x:c>
      <x:c r="K2995" s="35" t="str">
        <x:v>FAIL</x:v>
      </x:c>
      <x:c r="L2995" s="35" t="str">
        <x:v>NOT_RUN</x:v>
      </x:c>
      <x:c r="M2995" s="35" t="str">
        <x:v>coverage unavailable or execution/compile failed</x:v>
      </x:c>
      <x:c r="N2995" s="35" t="str">
        <x:v>Deepseek-flash-v4/Result2/JacksonDatabind_33/result.json</x:v>
      </x:c>
      <x:c r="O2995" s="39" t="str">
        <x:f>IF(AND(G2995="RECORDED",ISNUMBER(H2995)),H2995,"")</x:f>
      </x:c>
      <x:c r="P2995" s="35" t="str">
        <x:v>NOT_AVAILABLE</x:v>
      </x:c>
      <x:c r="Q2995" s="35" t="str">
        <x:v>Deepseek-flash-v4/Result2/JacksonDatabind_33/result.json</x:v>
      </x:c>
    </x:row>
    <x:row r="2996">
      <x:c r="A2996" s="35" t="str">
        <x:v>deepseek</x:v>
      </x:c>
      <x:c r="B2996" s="35" t="str">
        <x:v>JacksonDatabind</x:v>
      </x:c>
      <x:c r="C2996" s="35" t="str">
        <x:v>Round2</x:v>
      </x:c>
      <x:c r="D2996" s="35" t="str">
        <x:v>JacksonDatabind_34</x:v>
      </x:c>
      <x:c r="E2996" s="35" t="str">
        <x:v>Condition</x:v>
      </x:c>
      <x:c r="F2996" s="35"/>
      <x:c r="G2996" s="35" t="str">
        <x:v>A</x:v>
      </x:c>
      <x:c r="H2996" s="39" t="str">
        <x:f>IF(ISNUMBER('Data'!N1288),'Data'!N1288*100,"")</x:f>
      </x:c>
      <x:c r="I2996" s="35"/>
      <x:c r="J2996" s="35" t="str">
        <x:v>PASS</x:v>
      </x:c>
      <x:c r="K2996" s="35" t="str">
        <x:v>FAIL</x:v>
      </x:c>
      <x:c r="L2996" s="35" t="str">
        <x:v>NOT_RUN</x:v>
      </x:c>
      <x:c r="M2996" s="35" t="str">
        <x:v>coverage unavailable or execution/compile failed</x:v>
      </x:c>
      <x:c r="N2996" s="35" t="str">
        <x:v>Deepseek-flash-v4/Result2/JacksonDatabind_34/result.json</x:v>
      </x:c>
      <x:c r="O2996" s="39" t="str">
        <x:f>IF(AND(G2996="RECORDED",ISNUMBER(H2996)),H2996,"")</x:f>
      </x:c>
      <x:c r="P2996" s="35" t="str">
        <x:v>NOT_AVAILABLE</x:v>
      </x:c>
      <x:c r="Q2996" s="35" t="str">
        <x:v>Deepseek-flash-v4/Result2/JacksonDatabind_34/result.json</x:v>
      </x:c>
    </x:row>
    <x:row r="2997">
      <x:c r="A2997" s="35" t="str">
        <x:v>deepseek</x:v>
      </x:c>
      <x:c r="B2997" s="35" t="str">
        <x:v>JacksonDatabind</x:v>
      </x:c>
      <x:c r="C2997" s="35" t="str">
        <x:v>Round2</x:v>
      </x:c>
      <x:c r="D2997" s="35" t="str">
        <x:v>JacksonDatabind_35</x:v>
      </x:c>
      <x:c r="E2997" s="35" t="str">
        <x:v>Condition</x:v>
      </x:c>
      <x:c r="F2997" s="35"/>
      <x:c r="G2997" s="35" t="str">
        <x:v>A</x:v>
      </x:c>
      <x:c r="H2997" s="39" t="str">
        <x:f>IF(ISNUMBER('Data'!N1289),'Data'!N1289*100,"")</x:f>
      </x:c>
      <x:c r="I2997" s="35"/>
      <x:c r="J2997" s="35" t="str">
        <x:v>PASS</x:v>
      </x:c>
      <x:c r="K2997" s="35" t="str">
        <x:v>FAIL</x:v>
      </x:c>
      <x:c r="L2997" s="35" t="str">
        <x:v>NOT_RUN</x:v>
      </x:c>
      <x:c r="M2997" s="35" t="str">
        <x:v>coverage unavailable or execution/compile failed</x:v>
      </x:c>
      <x:c r="N2997" s="35" t="str">
        <x:v>Deepseek-flash-v4/Result2/JacksonDatabind_35/result.json</x:v>
      </x:c>
      <x:c r="O2997" s="39" t="str">
        <x:f>IF(AND(G2997="RECORDED",ISNUMBER(H2997)),H2997,"")</x:f>
      </x:c>
      <x:c r="P2997" s="35" t="str">
        <x:v>NOT_AVAILABLE</x:v>
      </x:c>
      <x:c r="Q2997" s="35" t="str">
        <x:v>Deepseek-flash-v4/Result2/JacksonDatabind_35/result.json</x:v>
      </x:c>
    </x:row>
    <x:row r="2998">
      <x:c r="A2998" s="35" t="str">
        <x:v>deepseek</x:v>
      </x:c>
      <x:c r="B2998" s="35" t="str">
        <x:v>JacksonDatabind</x:v>
      </x:c>
      <x:c r="C2998" s="35" t="str">
        <x:v>Round2</x:v>
      </x:c>
      <x:c r="D2998" s="35" t="str">
        <x:v>JacksonDatabind_36</x:v>
      </x:c>
      <x:c r="E2998" s="35" t="str">
        <x:v>Condition</x:v>
      </x:c>
      <x:c r="F2998" s="35" t="n">
        <x:v>130</x:v>
      </x:c>
      <x:c r="G2998" s="35" t="str">
        <x:v>RECORDED</x:v>
      </x:c>
      <x:c r="H2998" s="39" t="n">
        <x:f>IF(ISNUMBER('Data'!N1290),'Data'!N1290*100,"")</x:f>
        <x:v>70.77</x:v>
      </x:c>
      <x:c r="I2998" s="35" t="str">
        <x:v>PASS</x:v>
      </x:c>
      <x:c r="J2998" s="35" t="str">
        <x:v>PASS</x:v>
      </x:c>
      <x:c r="K2998" s="35" t="str">
        <x:v>PASS</x:v>
      </x:c>
      <x:c r="L2998" s="35" t="str">
        <x:v>FAIL</x:v>
      </x:c>
      <x:c r="M2998" s="35" t="str">
        <x:v>numeric coverage for applicable metric</x:v>
      </x:c>
      <x:c r="N2998" s="35" t="str">
        <x:v>Deepseek-flash-v4/Result2/JacksonDatabind_36/result.json</x:v>
      </x:c>
      <x:c r="O2998" s="39" t="n">
        <x:f>IF(AND(G2998="RECORDED",ISNUMBER(H2998)),H2998,"")</x:f>
        <x:v>70.77</x:v>
      </x:c>
      <x:c r="P2998" s="35" t="str">
        <x:v>INCONCLUSIVE</x:v>
      </x:c>
      <x:c r="Q2998" s="35" t="str">
        <x:v>Deepseek-flash-v4/Result2/JacksonDatabind_36/result.json</x:v>
      </x:c>
    </x:row>
    <x:row r="2999">
      <x:c r="A2999" s="35" t="str">
        <x:v>deepseek</x:v>
      </x:c>
      <x:c r="B2999" s="35" t="str">
        <x:v>JacksonDatabind</x:v>
      </x:c>
      <x:c r="C2999" s="35" t="str">
        <x:v>Round2</x:v>
      </x:c>
      <x:c r="D2999" s="35" t="str">
        <x:v>JacksonDatabind_37</x:v>
      </x:c>
      <x:c r="E2999" s="35" t="str">
        <x:v>Condition</x:v>
      </x:c>
      <x:c r="F2999" s="35" t="n">
        <x:v>32</x:v>
      </x:c>
      <x:c r="G2999" s="35" t="str">
        <x:v>RECORDED</x:v>
      </x:c>
      <x:c r="H2999" s="39" t="n">
        <x:f>IF(ISNUMBER('Data'!N1291),'Data'!N1291*100,"")</x:f>
        <x:v>68.75</x:v>
      </x:c>
      <x:c r="I2999" s="35" t="str">
        <x:v>PASS</x:v>
      </x:c>
      <x:c r="J2999" s="35" t="str">
        <x:v>PASS</x:v>
      </x:c>
      <x:c r="K2999" s="35" t="str">
        <x:v>PASS</x:v>
      </x:c>
      <x:c r="L2999" s="35" t="str">
        <x:v>PASS</x:v>
      </x:c>
      <x:c r="M2999" s="35" t="str">
        <x:v>numeric coverage for applicable metric</x:v>
      </x:c>
      <x:c r="N2999" s="35" t="str">
        <x:v>Deepseek-flash-v4/Result2/JacksonDatabind_37/result.json</x:v>
      </x:c>
      <x:c r="O2999" s="39" t="n">
        <x:f>IF(AND(G2999="RECORDED",ISNUMBER(H2999)),H2999,"")</x:f>
        <x:v>68.75</x:v>
      </x:c>
      <x:c r="P2999" s="35" t="str">
        <x:v>NOT_REVEALING</x:v>
      </x:c>
      <x:c r="Q2999" s="35" t="str">
        <x:v>Deepseek-flash-v4/Result2/JacksonDatabind_37/result.json</x:v>
      </x:c>
    </x:row>
    <x:row r="3000">
      <x:c r="A3000" s="35" t="str">
        <x:v>deepseek</x:v>
      </x:c>
      <x:c r="B3000" s="35" t="str">
        <x:v>JacksonDatabind</x:v>
      </x:c>
      <x:c r="C3000" s="35" t="str">
        <x:v>Round2</x:v>
      </x:c>
      <x:c r="D3000" s="35" t="str">
        <x:v>JacksonDatabind_38</x:v>
      </x:c>
      <x:c r="E3000" s="35" t="str">
        <x:v>Condition</x:v>
      </x:c>
      <x:c r="F3000" s="35"/>
      <x:c r="G3000" s="35" t="str">
        <x:v>A</x:v>
      </x:c>
      <x:c r="H3000" s="39" t="str">
        <x:f>IF(ISNUMBER('Data'!N1292),'Data'!N1292*100,"")</x:f>
      </x:c>
      <x:c r="I3000" s="35"/>
      <x:c r="J3000" s="35" t="str">
        <x:v>PASS</x:v>
      </x:c>
      <x:c r="K3000" s="35" t="str">
        <x:v>FAIL</x:v>
      </x:c>
      <x:c r="L3000" s="35" t="str">
        <x:v>NOT_RUN</x:v>
      </x:c>
      <x:c r="M3000" s="35" t="str">
        <x:v>coverage unavailable or execution/compile failed</x:v>
      </x:c>
      <x:c r="N3000" s="35" t="str">
        <x:v>Deepseek-flash-v4/Result2/JacksonDatabind_38/result.json</x:v>
      </x:c>
      <x:c r="O3000" s="39" t="str">
        <x:f>IF(AND(G3000="RECORDED",ISNUMBER(H3000)),H3000,"")</x:f>
      </x:c>
      <x:c r="P3000" s="35" t="str">
        <x:v>NOT_AVAILABLE</x:v>
      </x:c>
      <x:c r="Q3000" s="35" t="str">
        <x:v>Deepseek-flash-v4/Result2/JacksonDatabind_38/result.json</x:v>
      </x:c>
    </x:row>
    <x:row r="3001">
      <x:c r="A3001" s="35" t="str">
        <x:v>deepseek</x:v>
      </x:c>
      <x:c r="B3001" s="35" t="str">
        <x:v>JacksonDatabind</x:v>
      </x:c>
      <x:c r="C3001" s="35" t="str">
        <x:v>Round2</x:v>
      </x:c>
      <x:c r="D3001" s="35" t="str">
        <x:v>JacksonDatabind_39</x:v>
      </x:c>
      <x:c r="E3001" s="35" t="str">
        <x:v>Condition</x:v>
      </x:c>
      <x:c r="F3001" s="35" t="n">
        <x:v>2</x:v>
      </x:c>
      <x:c r="G3001" s="35" t="str">
        <x:v>RECORDED</x:v>
      </x:c>
      <x:c r="H3001" s="39" t="n">
        <x:f>IF(ISNUMBER('Data'!N1293),'Data'!N1293*100,"")</x:f>
        <x:v>100</x:v>
      </x:c>
      <x:c r="I3001" s="35" t="str">
        <x:v>PASS</x:v>
      </x:c>
      <x:c r="J3001" s="35" t="str">
        <x:v>PASS</x:v>
      </x:c>
      <x:c r="K3001" s="35" t="str">
        <x:v>PASS</x:v>
      </x:c>
      <x:c r="L3001" s="35" t="str">
        <x:v>FAIL</x:v>
      </x:c>
      <x:c r="M3001" s="35" t="str">
        <x:v>numeric coverage for applicable metric</x:v>
      </x:c>
      <x:c r="N3001" s="35" t="str">
        <x:v>Deepseek-flash-v4/Result2/JacksonDatabind_39/result.json</x:v>
      </x:c>
      <x:c r="O3001" s="39" t="n">
        <x:f>IF(AND(G3001="RECORDED",ISNUMBER(H3001)),H3001,"")</x:f>
        <x:v>100</x:v>
      </x:c>
      <x:c r="P3001" s="35" t="str">
        <x:v>INCONCLUSIVE</x:v>
      </x:c>
      <x:c r="Q3001" s="35" t="str">
        <x:v>Deepseek-flash-v4/Result2/JacksonDatabind_39/result.json</x:v>
      </x:c>
    </x:row>
    <x:row r="3002">
      <x:c r="A3002" s="35" t="str">
        <x:v>deepseek</x:v>
      </x:c>
      <x:c r="B3002" s="35" t="str">
        <x:v>JacksonDatabind</x:v>
      </x:c>
      <x:c r="C3002" s="35" t="str">
        <x:v>Round2</x:v>
      </x:c>
      <x:c r="D3002" s="35" t="str">
        <x:v>JacksonDatabind_4</x:v>
      </x:c>
      <x:c r="E3002" s="35" t="str">
        <x:v>Condition</x:v>
      </x:c>
      <x:c r="F3002" s="35"/>
      <x:c r="G3002" s="35" t="str">
        <x:v>A</x:v>
      </x:c>
      <x:c r="H3002" s="39" t="str">
        <x:f>IF(ISNUMBER('Data'!N1294),'Data'!N1294*100,"")</x:f>
      </x:c>
      <x:c r="I3002" s="35"/>
      <x:c r="J3002" s="35" t="str">
        <x:v>PASS</x:v>
      </x:c>
      <x:c r="K3002" s="35" t="str">
        <x:v>FAIL</x:v>
      </x:c>
      <x:c r="L3002" s="35" t="str">
        <x:v>NOT_RUN</x:v>
      </x:c>
      <x:c r="M3002" s="35" t="str">
        <x:v>coverage unavailable or execution/compile failed</x:v>
      </x:c>
      <x:c r="N3002" s="35" t="str">
        <x:v>Deepseek-flash-v4/Result2/JacksonDatabind_4/result.json</x:v>
      </x:c>
      <x:c r="O3002" s="39" t="str">
        <x:f>IF(AND(G3002="RECORDED",ISNUMBER(H3002)),H3002,"")</x:f>
      </x:c>
      <x:c r="P3002" s="35" t="str">
        <x:v>NOT_AVAILABLE</x:v>
      </x:c>
      <x:c r="Q3002" s="35" t="str">
        <x:v>Deepseek-flash-v4/Result2/JacksonDatabind_4/result.json</x:v>
      </x:c>
    </x:row>
    <x:row r="3003">
      <x:c r="A3003" s="35" t="str">
        <x:v>deepseek</x:v>
      </x:c>
      <x:c r="B3003" s="35" t="str">
        <x:v>JacksonDatabind</x:v>
      </x:c>
      <x:c r="C3003" s="35" t="str">
        <x:v>Round2</x:v>
      </x:c>
      <x:c r="D3003" s="35" t="str">
        <x:v>JacksonDatabind_40</x:v>
      </x:c>
      <x:c r="E3003" s="35" t="str">
        <x:v>Condition</x:v>
      </x:c>
      <x:c r="F3003" s="35" t="n">
        <x:v>130</x:v>
      </x:c>
      <x:c r="G3003" s="35" t="str">
        <x:v>RECORDED</x:v>
      </x:c>
      <x:c r="H3003" s="39" t="n">
        <x:f>IF(ISNUMBER('Data'!N1295),'Data'!N1295*100,"")</x:f>
        <x:v>63.85000000000001</x:v>
      </x:c>
      <x:c r="I3003" s="35" t="str">
        <x:v>PASS</x:v>
      </x:c>
      <x:c r="J3003" s="35" t="str">
        <x:v>PASS</x:v>
      </x:c>
      <x:c r="K3003" s="35" t="str">
        <x:v>PASS</x:v>
      </x:c>
      <x:c r="L3003" s="35" t="str">
        <x:v>FAIL</x:v>
      </x:c>
      <x:c r="M3003" s="35" t="str">
        <x:v>numeric coverage for applicable metric</x:v>
      </x:c>
      <x:c r="N3003" s="35" t="str">
        <x:v>Deepseek-flash-v4/Result2/JacksonDatabind_40/result.json</x:v>
      </x:c>
      <x:c r="O3003" s="39" t="n">
        <x:f>IF(AND(G3003="RECORDED",ISNUMBER(H3003)),H3003,"")</x:f>
        <x:v>63.85000000000001</x:v>
      </x:c>
      <x:c r="P3003" s="35" t="str">
        <x:v>INCONCLUSIVE</x:v>
      </x:c>
      <x:c r="Q3003" s="35" t="str">
        <x:v>Deepseek-flash-v4/Result2/JacksonDatabind_40/result.json</x:v>
      </x:c>
    </x:row>
    <x:row r="3004">
      <x:c r="A3004" s="35" t="str">
        <x:v>deepseek</x:v>
      </x:c>
      <x:c r="B3004" s="35" t="str">
        <x:v>JacksonDatabind</x:v>
      </x:c>
      <x:c r="C3004" s="35" t="str">
        <x:v>Round2</x:v>
      </x:c>
      <x:c r="D3004" s="35" t="str">
        <x:v>JacksonDatabind_41</x:v>
      </x:c>
      <x:c r="E3004" s="35" t="str">
        <x:v>Condition</x:v>
      </x:c>
      <x:c r="F3004" s="35"/>
      <x:c r="G3004" s="35" t="str">
        <x:v>A</x:v>
      </x:c>
      <x:c r="H3004" s="39" t="str">
        <x:f>IF(ISNUMBER('Data'!N1296),'Data'!N1296*100,"")</x:f>
      </x:c>
      <x:c r="I3004" s="35"/>
      <x:c r="J3004" s="35" t="str">
        <x:v>PASS</x:v>
      </x:c>
      <x:c r="K3004" s="35" t="str">
        <x:v>FAIL</x:v>
      </x:c>
      <x:c r="L3004" s="35" t="str">
        <x:v>NOT_RUN</x:v>
      </x:c>
      <x:c r="M3004" s="35" t="str">
        <x:v>coverage unavailable or execution/compile failed</x:v>
      </x:c>
      <x:c r="N3004" s="35" t="str">
        <x:v>Deepseek-flash-v4/Result2/JacksonDatabind_41/result.json</x:v>
      </x:c>
      <x:c r="O3004" s="39" t="str">
        <x:f>IF(AND(G3004="RECORDED",ISNUMBER(H3004)),H3004,"")</x:f>
      </x:c>
      <x:c r="P3004" s="35" t="str">
        <x:v>NOT_AVAILABLE</x:v>
      </x:c>
      <x:c r="Q3004" s="35" t="str">
        <x:v>Deepseek-flash-v4/Result2/JacksonDatabind_41/result.json</x:v>
      </x:c>
    </x:row>
    <x:row r="3005">
      <x:c r="A3005" s="35" t="str">
        <x:v>deepseek</x:v>
      </x:c>
      <x:c r="B3005" s="35" t="str">
        <x:v>JacksonDatabind</x:v>
      </x:c>
      <x:c r="C3005" s="35" t="str">
        <x:v>Round2</x:v>
      </x:c>
      <x:c r="D3005" s="35" t="str">
        <x:v>JacksonDatabind_42</x:v>
      </x:c>
      <x:c r="E3005" s="35" t="str">
        <x:v>Condition</x:v>
      </x:c>
      <x:c r="F3005" s="35" t="n">
        <x:v>79</x:v>
      </x:c>
      <x:c r="G3005" s="35" t="str">
        <x:v>RECORDED</x:v>
      </x:c>
      <x:c r="H3005" s="39" t="n">
        <x:f>IF(ISNUMBER('Data'!N1297),'Data'!N1297*100,"")</x:f>
        <x:v>83.54</x:v>
      </x:c>
      <x:c r="I3005" s="35" t="str">
        <x:v>PASS</x:v>
      </x:c>
      <x:c r="J3005" s="35" t="str">
        <x:v>PASS</x:v>
      </x:c>
      <x:c r="K3005" s="35" t="str">
        <x:v>PASS</x:v>
      </x:c>
      <x:c r="L3005" s="35" t="str">
        <x:v>FAIL</x:v>
      </x:c>
      <x:c r="M3005" s="35" t="str">
        <x:v>numeric coverage for applicable metric</x:v>
      </x:c>
      <x:c r="N3005" s="35" t="str">
        <x:v>Deepseek-flash-v4/Result2/JacksonDatabind_42/result.json</x:v>
      </x:c>
      <x:c r="O3005" s="39" t="n">
        <x:f>IF(AND(G3005="RECORDED",ISNUMBER(H3005)),H3005,"")</x:f>
        <x:v>83.54</x:v>
      </x:c>
      <x:c r="P3005" s="35" t="str">
        <x:v>INCONCLUSIVE</x:v>
      </x:c>
      <x:c r="Q3005" s="35" t="str">
        <x:v>Deepseek-flash-v4/Result2/JacksonDatabind_42/result.json</x:v>
      </x:c>
    </x:row>
    <x:row r="3006">
      <x:c r="A3006" s="35" t="str">
        <x:v>deepseek</x:v>
      </x:c>
      <x:c r="B3006" s="35" t="str">
        <x:v>JacksonDatabind</x:v>
      </x:c>
      <x:c r="C3006" s="35" t="str">
        <x:v>Round2</x:v>
      </x:c>
      <x:c r="D3006" s="35" t="str">
        <x:v>JacksonDatabind_43</x:v>
      </x:c>
      <x:c r="E3006" s="35" t="str">
        <x:v>Condition</x:v>
      </x:c>
      <x:c r="F3006" s="35"/>
      <x:c r="G3006" s="35" t="str">
        <x:v>A</x:v>
      </x:c>
      <x:c r="H3006" s="39" t="str">
        <x:f>IF(ISNUMBER('Data'!N1298),'Data'!N1298*100,"")</x:f>
      </x:c>
      <x:c r="I3006" s="35"/>
      <x:c r="J3006" s="35" t="str">
        <x:v>PASS</x:v>
      </x:c>
      <x:c r="K3006" s="35" t="str">
        <x:v>FAIL</x:v>
      </x:c>
      <x:c r="L3006" s="35" t="str">
        <x:v>NOT_RUN</x:v>
      </x:c>
      <x:c r="M3006" s="35" t="str">
        <x:v>coverage unavailable or execution/compile failed</x:v>
      </x:c>
      <x:c r="N3006" s="35" t="str">
        <x:v>Deepseek-flash-v4/Result2/JacksonDatabind_43/result.json</x:v>
      </x:c>
      <x:c r="O3006" s="39" t="str">
        <x:f>IF(AND(G3006="RECORDED",ISNUMBER(H3006)),H3006,"")</x:f>
      </x:c>
      <x:c r="P3006" s="35" t="str">
        <x:v>NOT_AVAILABLE</x:v>
      </x:c>
      <x:c r="Q3006" s="35" t="str">
        <x:v>Deepseek-flash-v4/Result2/JacksonDatabind_43/result.json</x:v>
      </x:c>
    </x:row>
    <x:row r="3007">
      <x:c r="A3007" s="35" t="str">
        <x:v>deepseek</x:v>
      </x:c>
      <x:c r="B3007" s="35" t="str">
        <x:v>JacksonDatabind</x:v>
      </x:c>
      <x:c r="C3007" s="35" t="str">
        <x:v>Round2</x:v>
      </x:c>
      <x:c r="D3007" s="35" t="str">
        <x:v>JacksonDatabind_44</x:v>
      </x:c>
      <x:c r="E3007" s="35" t="str">
        <x:v>Condition</x:v>
      </x:c>
      <x:c r="F3007" s="35" t="n">
        <x:v>36</x:v>
      </x:c>
      <x:c r="G3007" s="35" t="str">
        <x:v>RECORDED</x:v>
      </x:c>
      <x:c r="H3007" s="39" t="n">
        <x:f>IF(ISNUMBER('Data'!N1299),'Data'!N1299*100,"")</x:f>
        <x:v>88.89</x:v>
      </x:c>
      <x:c r="I3007" s="35" t="str">
        <x:v>PASS</x:v>
      </x:c>
      <x:c r="J3007" s="35" t="str">
        <x:v>PASS</x:v>
      </x:c>
      <x:c r="K3007" s="35" t="str">
        <x:v>PASS</x:v>
      </x:c>
      <x:c r="L3007" s="35" t="str">
        <x:v>PASS</x:v>
      </x:c>
      <x:c r="M3007" s="35" t="str">
        <x:v>numeric coverage for applicable metric</x:v>
      </x:c>
      <x:c r="N3007" s="35" t="str">
        <x:v>Deepseek-flash-v4/Result2/JacksonDatabind_44/result.json</x:v>
      </x:c>
      <x:c r="O3007" s="39" t="n">
        <x:f>IF(AND(G3007="RECORDED",ISNUMBER(H3007)),H3007,"")</x:f>
        <x:v>88.89</x:v>
      </x:c>
      <x:c r="P3007" s="35" t="str">
        <x:v>NOT_REVEALING</x:v>
      </x:c>
      <x:c r="Q3007" s="35" t="str">
        <x:v>Deepseek-flash-v4/Result2/JacksonDatabind_44/result.json</x:v>
      </x:c>
    </x:row>
    <x:row r="3008">
      <x:c r="A3008" s="35" t="str">
        <x:v>deepseek</x:v>
      </x:c>
      <x:c r="B3008" s="35" t="str">
        <x:v>JacksonDatabind</x:v>
      </x:c>
      <x:c r="C3008" s="35" t="str">
        <x:v>Round2</x:v>
      </x:c>
      <x:c r="D3008" s="35" t="str">
        <x:v>JacksonDatabind_45</x:v>
      </x:c>
      <x:c r="E3008" s="35" t="str">
        <x:v>Condition</x:v>
      </x:c>
      <x:c r="F3008" s="35"/>
      <x:c r="G3008" s="35" t="str">
        <x:v>A</x:v>
      </x:c>
      <x:c r="H3008" s="39" t="str">
        <x:f>IF(ISNUMBER('Data'!N1300),'Data'!N1300*100,"")</x:f>
      </x:c>
      <x:c r="I3008" s="35"/>
      <x:c r="J3008" s="35" t="str">
        <x:v>PASS</x:v>
      </x:c>
      <x:c r="K3008" s="35" t="str">
        <x:v>FAIL</x:v>
      </x:c>
      <x:c r="L3008" s="35" t="str">
        <x:v>NOT_RUN</x:v>
      </x:c>
      <x:c r="M3008" s="35" t="str">
        <x:v>coverage unavailable or execution/compile failed</x:v>
      </x:c>
      <x:c r="N3008" s="35" t="str">
        <x:v>Deepseek-flash-v4/Result2/JacksonDatabind_45/result.json</x:v>
      </x:c>
      <x:c r="O3008" s="39" t="str">
        <x:f>IF(AND(G3008="RECORDED",ISNUMBER(H3008)),H3008,"")</x:f>
      </x:c>
      <x:c r="P3008" s="35" t="str">
        <x:v>NOT_AVAILABLE</x:v>
      </x:c>
      <x:c r="Q3008" s="35" t="str">
        <x:v>Deepseek-flash-v4/Result2/JacksonDatabind_45/result.json</x:v>
      </x:c>
    </x:row>
    <x:row r="3009">
      <x:c r="A3009" s="35" t="str">
        <x:v>deepseek</x:v>
      </x:c>
      <x:c r="B3009" s="35" t="str">
        <x:v>JacksonDatabind</x:v>
      </x:c>
      <x:c r="C3009" s="35" t="str">
        <x:v>Round2</x:v>
      </x:c>
      <x:c r="D3009" s="35" t="str">
        <x:v>JacksonDatabind_46</x:v>
      </x:c>
      <x:c r="E3009" s="35" t="str">
        <x:v>Condition</x:v>
      </x:c>
      <x:c r="F3009" s="35"/>
      <x:c r="G3009" s="35" t="str">
        <x:v>A</x:v>
      </x:c>
      <x:c r="H3009" s="39" t="str">
        <x:f>IF(ISNUMBER('Data'!N1301),'Data'!N1301*100,"")</x:f>
      </x:c>
      <x:c r="I3009" s="35"/>
      <x:c r="J3009" s="35" t="str">
        <x:v>PASS</x:v>
      </x:c>
      <x:c r="K3009" s="35" t="str">
        <x:v>FAIL</x:v>
      </x:c>
      <x:c r="L3009" s="35" t="str">
        <x:v>NOT_RUN</x:v>
      </x:c>
      <x:c r="M3009" s="35" t="str">
        <x:v>coverage unavailable or execution/compile failed</x:v>
      </x:c>
      <x:c r="N3009" s="35" t="str">
        <x:v>Deepseek-flash-v4/Result2/JacksonDatabind_46/result.json</x:v>
      </x:c>
      <x:c r="O3009" s="39" t="str">
        <x:f>IF(AND(G3009="RECORDED",ISNUMBER(H3009)),H3009,"")</x:f>
      </x:c>
      <x:c r="P3009" s="35" t="str">
        <x:v>NOT_AVAILABLE</x:v>
      </x:c>
      <x:c r="Q3009" s="35" t="str">
        <x:v>Deepseek-flash-v4/Result2/JacksonDatabind_46/result.json</x:v>
      </x:c>
    </x:row>
    <x:row r="3010">
      <x:c r="A3010" s="35" t="str">
        <x:v>deepseek</x:v>
      </x:c>
      <x:c r="B3010" s="35" t="str">
        <x:v>JacksonDatabind</x:v>
      </x:c>
      <x:c r="C3010" s="35" t="str">
        <x:v>Round2</x:v>
      </x:c>
      <x:c r="D3010" s="35" t="str">
        <x:v>JacksonDatabind_47</x:v>
      </x:c>
      <x:c r="E3010" s="35" t="str">
        <x:v>Condition</x:v>
      </x:c>
      <x:c r="F3010" s="35" t="n">
        <x:v>44</x:v>
      </x:c>
      <x:c r="G3010" s="35" t="str">
        <x:v>RECORDED</x:v>
      </x:c>
      <x:c r="H3010" s="39" t="n">
        <x:f>IF(ISNUMBER('Data'!N1302),'Data'!N1302*100,"")</x:f>
        <x:v>0</x:v>
      </x:c>
      <x:c r="I3010" s="35" t="str">
        <x:v>PASS</x:v>
      </x:c>
      <x:c r="J3010" s="35" t="str">
        <x:v>PASS</x:v>
      </x:c>
      <x:c r="K3010" s="35" t="str">
        <x:v>PASS</x:v>
      </x:c>
      <x:c r="L3010" s="35" t="str">
        <x:v>FAIL</x:v>
      </x:c>
      <x:c r="M3010" s="35" t="str">
        <x:v>numeric coverage for applicable metric</x:v>
      </x:c>
      <x:c r="N3010" s="35" t="str">
        <x:v>Deepseek-flash-v4/Result2/JacksonDatabind_47/result.json</x:v>
      </x:c>
      <x:c r="O3010" s="39" t="n">
        <x:f>IF(AND(G3010="RECORDED",ISNUMBER(H3010)),H3010,"")</x:f>
        <x:v>0</x:v>
      </x:c>
      <x:c r="P3010" s="35" t="str">
        <x:v>INCONCLUSIVE</x:v>
      </x:c>
      <x:c r="Q3010" s="35" t="str">
        <x:v>Deepseek-flash-v4/Result2/JacksonDatabind_47/result.json</x:v>
      </x:c>
    </x:row>
    <x:row r="3011">
      <x:c r="A3011" s="35" t="str">
        <x:v>deepseek</x:v>
      </x:c>
      <x:c r="B3011" s="35" t="str">
        <x:v>JacksonDatabind</x:v>
      </x:c>
      <x:c r="C3011" s="35" t="str">
        <x:v>Round2</x:v>
      </x:c>
      <x:c r="D3011" s="35" t="str">
        <x:v>JacksonDatabind_48</x:v>
      </x:c>
      <x:c r="E3011" s="35" t="str">
        <x:v>Condition</x:v>
      </x:c>
      <x:c r="F3011" s="35"/>
      <x:c r="G3011" s="35" t="str">
        <x:v>A</x:v>
      </x:c>
      <x:c r="H3011" s="39" t="str">
        <x:f>IF(ISNUMBER('Data'!N1303),'Data'!N1303*100,"")</x:f>
      </x:c>
      <x:c r="I3011" s="35"/>
      <x:c r="J3011" s="35" t="str">
        <x:v>PASS</x:v>
      </x:c>
      <x:c r="K3011" s="35" t="str">
        <x:v>FAIL</x:v>
      </x:c>
      <x:c r="L3011" s="35" t="str">
        <x:v>NOT_RUN</x:v>
      </x:c>
      <x:c r="M3011" s="35" t="str">
        <x:v>coverage unavailable or execution/compile failed</x:v>
      </x:c>
      <x:c r="N3011" s="35" t="str">
        <x:v>Deepseek-flash-v4/Result2/JacksonDatabind_48/result.json</x:v>
      </x:c>
      <x:c r="O3011" s="39" t="str">
        <x:f>IF(AND(G3011="RECORDED",ISNUMBER(H3011)),H3011,"")</x:f>
      </x:c>
      <x:c r="P3011" s="35" t="str">
        <x:v>NOT_AVAILABLE</x:v>
      </x:c>
      <x:c r="Q3011" s="35" t="str">
        <x:v>Deepseek-flash-v4/Result2/JacksonDatabind_48/result.json</x:v>
      </x:c>
    </x:row>
    <x:row r="3012">
      <x:c r="A3012" s="35" t="str">
        <x:v>deepseek</x:v>
      </x:c>
      <x:c r="B3012" s="35" t="str">
        <x:v>JacksonDatabind</x:v>
      </x:c>
      <x:c r="C3012" s="35" t="str">
        <x:v>Round2</x:v>
      </x:c>
      <x:c r="D3012" s="35" t="str">
        <x:v>JacksonDatabind_49</x:v>
      </x:c>
      <x:c r="E3012" s="35" t="str">
        <x:v>Condition</x:v>
      </x:c>
      <x:c r="F3012" s="35"/>
      <x:c r="G3012" s="35" t="str">
        <x:v>A</x:v>
      </x:c>
      <x:c r="H3012" s="39" t="str">
        <x:f>IF(ISNUMBER('Data'!N1304),'Data'!N1304*100,"")</x:f>
      </x:c>
      <x:c r="I3012" s="35"/>
      <x:c r="J3012" s="35" t="str">
        <x:v>PASS</x:v>
      </x:c>
      <x:c r="K3012" s="35" t="str">
        <x:v>FAIL</x:v>
      </x:c>
      <x:c r="L3012" s="35" t="str">
        <x:v>NOT_RUN</x:v>
      </x:c>
      <x:c r="M3012" s="35" t="str">
        <x:v>coverage unavailable or execution/compile failed</x:v>
      </x:c>
      <x:c r="N3012" s="35" t="str">
        <x:v>Deepseek-flash-v4/Result2/JacksonDatabind_49/result.json</x:v>
      </x:c>
      <x:c r="O3012" s="39" t="str">
        <x:f>IF(AND(G3012="RECORDED",ISNUMBER(H3012)),H3012,"")</x:f>
      </x:c>
      <x:c r="P3012" s="35" t="str">
        <x:v>NOT_AVAILABLE</x:v>
      </x:c>
      <x:c r="Q3012" s="35" t="str">
        <x:v>Deepseek-flash-v4/Result2/JacksonDatabind_49/result.json</x:v>
      </x:c>
    </x:row>
    <x:row r="3013">
      <x:c r="A3013" s="35" t="str">
        <x:v>deepseek</x:v>
      </x:c>
      <x:c r="B3013" s="35" t="str">
        <x:v>JacksonDatabind</x:v>
      </x:c>
      <x:c r="C3013" s="35" t="str">
        <x:v>Round2</x:v>
      </x:c>
      <x:c r="D3013" s="35" t="str">
        <x:v>JacksonDatabind_5</x:v>
      </x:c>
      <x:c r="E3013" s="35" t="str">
        <x:v>Condition</x:v>
      </x:c>
      <x:c r="F3013" s="35" t="n">
        <x:v>272</x:v>
      </x:c>
      <x:c r="G3013" s="35" t="str">
        <x:v>RECORDED</x:v>
      </x:c>
      <x:c r="H3013" s="39" t="n">
        <x:f>IF(ISNUMBER('Data'!N1305),'Data'!N1305*100,"")</x:f>
        <x:v>38.97</x:v>
      </x:c>
      <x:c r="I3013" s="35" t="str">
        <x:v>PASS</x:v>
      </x:c>
      <x:c r="J3013" s="35" t="str">
        <x:v>PASS</x:v>
      </x:c>
      <x:c r="K3013" s="35" t="str">
        <x:v>PASS</x:v>
      </x:c>
      <x:c r="L3013" s="35" t="str">
        <x:v>FAIL</x:v>
      </x:c>
      <x:c r="M3013" s="35" t="str">
        <x:v>numeric coverage for applicable metric</x:v>
      </x:c>
      <x:c r="N3013" s="35" t="str">
        <x:v>Deepseek-flash-v4/Result2/JacksonDatabind_5/result.json</x:v>
      </x:c>
      <x:c r="O3013" s="39" t="n">
        <x:f>IF(AND(G3013="RECORDED",ISNUMBER(H3013)),H3013,"")</x:f>
        <x:v>38.97</x:v>
      </x:c>
      <x:c r="P3013" s="35" t="str">
        <x:v>INCONCLUSIVE</x:v>
      </x:c>
      <x:c r="Q3013" s="35" t="str">
        <x:v>Deepseek-flash-v4/Result2/JacksonDatabind_5/result.json</x:v>
      </x:c>
    </x:row>
    <x:row r="3014">
      <x:c r="A3014" s="35" t="str">
        <x:v>deepseek</x:v>
      </x:c>
      <x:c r="B3014" s="35" t="str">
        <x:v>JacksonDatabind</x:v>
      </x:c>
      <x:c r="C3014" s="35" t="str">
        <x:v>Round2</x:v>
      </x:c>
      <x:c r="D3014" s="35" t="str">
        <x:v>JacksonDatabind_50</x:v>
      </x:c>
      <x:c r="E3014" s="35" t="str">
        <x:v>Condition</x:v>
      </x:c>
      <x:c r="F3014" s="35"/>
      <x:c r="G3014" s="35" t="str">
        <x:v>A</x:v>
      </x:c>
      <x:c r="H3014" s="39" t="str">
        <x:f>IF(ISNUMBER('Data'!N1306),'Data'!N1306*100,"")</x:f>
      </x:c>
      <x:c r="I3014" s="35"/>
      <x:c r="J3014" s="35" t="str">
        <x:v>PASS</x:v>
      </x:c>
      <x:c r="K3014" s="35" t="str">
        <x:v>FAIL</x:v>
      </x:c>
      <x:c r="L3014" s="35" t="str">
        <x:v>NOT_RUN</x:v>
      </x:c>
      <x:c r="M3014" s="35" t="str">
        <x:v>coverage unavailable or execution/compile failed</x:v>
      </x:c>
      <x:c r="N3014" s="35" t="str">
        <x:v>Deepseek-flash-v4/Result2/JacksonDatabind_50/result.json</x:v>
      </x:c>
      <x:c r="O3014" s="39" t="str">
        <x:f>IF(AND(G3014="RECORDED",ISNUMBER(H3014)),H3014,"")</x:f>
      </x:c>
      <x:c r="P3014" s="35" t="str">
        <x:v>NOT_AVAILABLE</x:v>
      </x:c>
      <x:c r="Q3014" s="35" t="str">
        <x:v>Deepseek-flash-v4/Result2/JacksonDatabind_50/result.json</x:v>
      </x:c>
    </x:row>
    <x:row r="3015">
      <x:c r="A3015" s="35" t="str">
        <x:v>deepseek</x:v>
      </x:c>
      <x:c r="B3015" s="35" t="str">
        <x:v>JacksonDatabind</x:v>
      </x:c>
      <x:c r="C3015" s="35" t="str">
        <x:v>Round2</x:v>
      </x:c>
      <x:c r="D3015" s="35" t="str">
        <x:v>JacksonDatabind_51</x:v>
      </x:c>
      <x:c r="E3015" s="35" t="str">
        <x:v>Condition</x:v>
      </x:c>
      <x:c r="F3015" s="35"/>
      <x:c r="G3015" s="35" t="str">
        <x:v>A</x:v>
      </x:c>
      <x:c r="H3015" s="39" t="str">
        <x:f>IF(ISNUMBER('Data'!N1307),'Data'!N1307*100,"")</x:f>
      </x:c>
      <x:c r="I3015" s="35"/>
      <x:c r="J3015" s="35" t="str">
        <x:v>PASS</x:v>
      </x:c>
      <x:c r="K3015" s="35" t="str">
        <x:v>FAIL</x:v>
      </x:c>
      <x:c r="L3015" s="35" t="str">
        <x:v>NOT_RUN</x:v>
      </x:c>
      <x:c r="M3015" s="35" t="str">
        <x:v>coverage unavailable or execution/compile failed</x:v>
      </x:c>
      <x:c r="N3015" s="35" t="str">
        <x:v>Deepseek-flash-v4/Result2/JacksonDatabind_51/result.json</x:v>
      </x:c>
      <x:c r="O3015" s="39" t="str">
        <x:f>IF(AND(G3015="RECORDED",ISNUMBER(H3015)),H3015,"")</x:f>
      </x:c>
      <x:c r="P3015" s="35" t="str">
        <x:v>NOT_AVAILABLE</x:v>
      </x:c>
      <x:c r="Q3015" s="35" t="str">
        <x:v>Deepseek-flash-v4/Result2/JacksonDatabind_51/result.json</x:v>
      </x:c>
    </x:row>
    <x:row r="3016">
      <x:c r="A3016" s="35" t="str">
        <x:v>deepseek</x:v>
      </x:c>
      <x:c r="B3016" s="35" t="str">
        <x:v>JacksonDatabind</x:v>
      </x:c>
      <x:c r="C3016" s="35" t="str">
        <x:v>Round2</x:v>
      </x:c>
      <x:c r="D3016" s="35" t="str">
        <x:v>JacksonDatabind_52</x:v>
      </x:c>
      <x:c r="E3016" s="35" t="str">
        <x:v>Condition</x:v>
      </x:c>
      <x:c r="F3016" s="35"/>
      <x:c r="G3016" s="35" t="str">
        <x:v>A</x:v>
      </x:c>
      <x:c r="H3016" s="39" t="str">
        <x:f>IF(ISNUMBER('Data'!N1308),'Data'!N1308*100,"")</x:f>
      </x:c>
      <x:c r="I3016" s="35"/>
      <x:c r="J3016" s="35" t="str">
        <x:v>PASS</x:v>
      </x:c>
      <x:c r="K3016" s="35" t="str">
        <x:v>FAIL</x:v>
      </x:c>
      <x:c r="L3016" s="35" t="str">
        <x:v>NOT_RUN</x:v>
      </x:c>
      <x:c r="M3016" s="35" t="str">
        <x:v>coverage unavailable or execution/compile failed</x:v>
      </x:c>
      <x:c r="N3016" s="35" t="str">
        <x:v>Deepseek-flash-v4/Result2/JacksonDatabind_52/result.json</x:v>
      </x:c>
      <x:c r="O3016" s="39" t="str">
        <x:f>IF(AND(G3016="RECORDED",ISNUMBER(H3016)),H3016,"")</x:f>
      </x:c>
      <x:c r="P3016" s="35" t="str">
        <x:v>NOT_AVAILABLE</x:v>
      </x:c>
      <x:c r="Q3016" s="35" t="str">
        <x:v>Deepseek-flash-v4/Result2/JacksonDatabind_52/result.json</x:v>
      </x:c>
    </x:row>
    <x:row r="3017">
      <x:c r="A3017" s="35" t="str">
        <x:v>deepseek</x:v>
      </x:c>
      <x:c r="B3017" s="35" t="str">
        <x:v>JacksonDatabind</x:v>
      </x:c>
      <x:c r="C3017" s="35" t="str">
        <x:v>Round2</x:v>
      </x:c>
      <x:c r="D3017" s="35" t="str">
        <x:v>JacksonDatabind_53</x:v>
      </x:c>
      <x:c r="E3017" s="35" t="str">
        <x:v>Condition</x:v>
      </x:c>
      <x:c r="F3017" s="35" t="n">
        <x:v>346</x:v>
      </x:c>
      <x:c r="G3017" s="35" t="str">
        <x:v>RECORDED</x:v>
      </x:c>
      <x:c r="H3017" s="39" t="n">
        <x:f>IF(ISNUMBER('Data'!N1309),'Data'!N1309*100,"")</x:f>
        <x:v>69.36</x:v>
      </x:c>
      <x:c r="I3017" s="35" t="str">
        <x:v>PASS</x:v>
      </x:c>
      <x:c r="J3017" s="35" t="str">
        <x:v>PASS</x:v>
      </x:c>
      <x:c r="K3017" s="35" t="str">
        <x:v>PASS</x:v>
      </x:c>
      <x:c r="L3017" s="35" t="str">
        <x:v>FAIL</x:v>
      </x:c>
      <x:c r="M3017" s="35" t="str">
        <x:v>numeric coverage for applicable metric</x:v>
      </x:c>
      <x:c r="N3017" s="35" t="str">
        <x:v>Deepseek-flash-v4/Result2/JacksonDatabind_53/result.json</x:v>
      </x:c>
      <x:c r="O3017" s="39" t="n">
        <x:f>IF(AND(G3017="RECORDED",ISNUMBER(H3017)),H3017,"")</x:f>
        <x:v>69.36</x:v>
      </x:c>
      <x:c r="P3017" s="35" t="str">
        <x:v>INCONCLUSIVE</x:v>
      </x:c>
      <x:c r="Q3017" s="35" t="str">
        <x:v>Deepseek-flash-v4/Result2/JacksonDatabind_53/result.json</x:v>
      </x:c>
    </x:row>
    <x:row r="3018">
      <x:c r="A3018" s="35" t="str">
        <x:v>deepseek</x:v>
      </x:c>
      <x:c r="B3018" s="35" t="str">
        <x:v>JacksonDatabind</x:v>
      </x:c>
      <x:c r="C3018" s="35" t="str">
        <x:v>Round2</x:v>
      </x:c>
      <x:c r="D3018" s="35" t="str">
        <x:v>JacksonDatabind_54</x:v>
      </x:c>
      <x:c r="E3018" s="35" t="str">
        <x:v>Condition</x:v>
      </x:c>
      <x:c r="F3018" s="35"/>
      <x:c r="G3018" s="35" t="str">
        <x:v>A</x:v>
      </x:c>
      <x:c r="H3018" s="39" t="str">
        <x:f>IF(ISNUMBER('Data'!N1310),'Data'!N1310*100,"")</x:f>
      </x:c>
      <x:c r="I3018" s="35"/>
      <x:c r="J3018" s="35" t="str">
        <x:v>PASS</x:v>
      </x:c>
      <x:c r="K3018" s="35" t="str">
        <x:v>FAIL</x:v>
      </x:c>
      <x:c r="L3018" s="35" t="str">
        <x:v>NOT_RUN</x:v>
      </x:c>
      <x:c r="M3018" s="35" t="str">
        <x:v>coverage unavailable or execution/compile failed</x:v>
      </x:c>
      <x:c r="N3018" s="35" t="str">
        <x:v>Deepseek-flash-v4/Result2/JacksonDatabind_54/result.json</x:v>
      </x:c>
      <x:c r="O3018" s="39" t="str">
        <x:f>IF(AND(G3018="RECORDED",ISNUMBER(H3018)),H3018,"")</x:f>
      </x:c>
      <x:c r="P3018" s="35" t="str">
        <x:v>NOT_AVAILABLE</x:v>
      </x:c>
      <x:c r="Q3018" s="35" t="str">
        <x:v>Deepseek-flash-v4/Result2/JacksonDatabind_54/result.json</x:v>
      </x:c>
    </x:row>
    <x:row r="3019">
      <x:c r="A3019" s="35" t="str">
        <x:v>deepseek</x:v>
      </x:c>
      <x:c r="B3019" s="35" t="str">
        <x:v>JacksonDatabind</x:v>
      </x:c>
      <x:c r="C3019" s="35" t="str">
        <x:v>Round2</x:v>
      </x:c>
      <x:c r="D3019" s="35" t="str">
        <x:v>JacksonDatabind_55</x:v>
      </x:c>
      <x:c r="E3019" s="35" t="str">
        <x:v>Condition</x:v>
      </x:c>
      <x:c r="F3019" s="35" t="n">
        <x:v>37</x:v>
      </x:c>
      <x:c r="G3019" s="35" t="str">
        <x:v>RECORDED</x:v>
      </x:c>
      <x:c r="H3019" s="39" t="n">
        <x:f>IF(ISNUMBER('Data'!N1311),'Data'!N1311*100,"")</x:f>
        <x:v>86.49</x:v>
      </x:c>
      <x:c r="I3019" s="35" t="str">
        <x:v>PASS</x:v>
      </x:c>
      <x:c r="J3019" s="35" t="str">
        <x:v>PASS</x:v>
      </x:c>
      <x:c r="K3019" s="35" t="str">
        <x:v>PASS</x:v>
      </x:c>
      <x:c r="L3019" s="35" t="str">
        <x:v>FAIL</x:v>
      </x:c>
      <x:c r="M3019" s="35" t="str">
        <x:v>numeric coverage for applicable metric</x:v>
      </x:c>
      <x:c r="N3019" s="35" t="str">
        <x:v>Deepseek-flash-v4/Result2/JacksonDatabind_55/result.json</x:v>
      </x:c>
      <x:c r="O3019" s="39" t="n">
        <x:f>IF(AND(G3019="RECORDED",ISNUMBER(H3019)),H3019,"")</x:f>
        <x:v>86.49</x:v>
      </x:c>
      <x:c r="P3019" s="35" t="str">
        <x:v>INCONCLUSIVE</x:v>
      </x:c>
      <x:c r="Q3019" s="35" t="str">
        <x:v>Deepseek-flash-v4/Result2/JacksonDatabind_55/result.json</x:v>
      </x:c>
    </x:row>
    <x:row r="3020">
      <x:c r="A3020" s="35" t="str">
        <x:v>deepseek</x:v>
      </x:c>
      <x:c r="B3020" s="35" t="str">
        <x:v>JacksonDatabind</x:v>
      </x:c>
      <x:c r="C3020" s="35" t="str">
        <x:v>Round2</x:v>
      </x:c>
      <x:c r="D3020" s="35" t="str">
        <x:v>JacksonDatabind_56</x:v>
      </x:c>
      <x:c r="E3020" s="35" t="str">
        <x:v>Condition</x:v>
      </x:c>
      <x:c r="F3020" s="35" t="n">
        <x:v>81</x:v>
      </x:c>
      <x:c r="G3020" s="35" t="str">
        <x:v>RECORDED</x:v>
      </x:c>
      <x:c r="H3020" s="39" t="n">
        <x:f>IF(ISNUMBER('Data'!N1312),'Data'!N1312*100,"")</x:f>
        <x:v>91.36</x:v>
      </x:c>
      <x:c r="I3020" s="35" t="str">
        <x:v>PASS</x:v>
      </x:c>
      <x:c r="J3020" s="35" t="str">
        <x:v>PASS</x:v>
      </x:c>
      <x:c r="K3020" s="35" t="str">
        <x:v>PASS</x:v>
      </x:c>
      <x:c r="L3020" s="35" t="str">
        <x:v>FAIL</x:v>
      </x:c>
      <x:c r="M3020" s="35" t="str">
        <x:v>numeric coverage for applicable metric</x:v>
      </x:c>
      <x:c r="N3020" s="35" t="str">
        <x:v>Deepseek-flash-v4/Result2/JacksonDatabind_56/result.json</x:v>
      </x:c>
      <x:c r="O3020" s="39" t="n">
        <x:f>IF(AND(G3020="RECORDED",ISNUMBER(H3020)),H3020,"")</x:f>
        <x:v>91.36</x:v>
      </x:c>
      <x:c r="P3020" s="35" t="str">
        <x:v>INCONCLUSIVE</x:v>
      </x:c>
      <x:c r="Q3020" s="35" t="str">
        <x:v>Deepseek-flash-v4/Result2/JacksonDatabind_56/result.json</x:v>
      </x:c>
    </x:row>
    <x:row r="3021">
      <x:c r="A3021" s="35" t="str">
        <x:v>deepseek</x:v>
      </x:c>
      <x:c r="B3021" s="35" t="str">
        <x:v>JacksonDatabind</x:v>
      </x:c>
      <x:c r="C3021" s="35" t="str">
        <x:v>Round2</x:v>
      </x:c>
      <x:c r="D3021" s="35" t="str">
        <x:v>JacksonDatabind_57</x:v>
      </x:c>
      <x:c r="E3021" s="35" t="str">
        <x:v>Condition</x:v>
      </x:c>
      <x:c r="F3021" s="35" t="n">
        <x:v>156</x:v>
      </x:c>
      <x:c r="G3021" s="35" t="str">
        <x:v>RECORDED</x:v>
      </x:c>
      <x:c r="H3021" s="39" t="n">
        <x:f>IF(ISNUMBER('Data'!N1313),'Data'!N1313*100,"")</x:f>
        <x:v>42.31</x:v>
      </x:c>
      <x:c r="I3021" s="35" t="str">
        <x:v>PASS</x:v>
      </x:c>
      <x:c r="J3021" s="35" t="str">
        <x:v>PASS</x:v>
      </x:c>
      <x:c r="K3021" s="35" t="str">
        <x:v>PASS</x:v>
      </x:c>
      <x:c r="L3021" s="35" t="str">
        <x:v>FAIL</x:v>
      </x:c>
      <x:c r="M3021" s="35" t="str">
        <x:v>numeric coverage for applicable metric</x:v>
      </x:c>
      <x:c r="N3021" s="35" t="str">
        <x:v>Deepseek-flash-v4/Result2/JacksonDatabind_57/result.json</x:v>
      </x:c>
      <x:c r="O3021" s="39" t="n">
        <x:f>IF(AND(G3021="RECORDED",ISNUMBER(H3021)),H3021,"")</x:f>
        <x:v>42.31</x:v>
      </x:c>
      <x:c r="P3021" s="35" t="str">
        <x:v>INCONCLUSIVE</x:v>
      </x:c>
      <x:c r="Q3021" s="35" t="str">
        <x:v>Deepseek-flash-v4/Result2/JacksonDatabind_57/result.json</x:v>
      </x:c>
    </x:row>
    <x:row r="3022">
      <x:c r="A3022" s="35" t="str">
        <x:v>deepseek</x:v>
      </x:c>
      <x:c r="B3022" s="35" t="str">
        <x:v>JacksonDatabind</x:v>
      </x:c>
      <x:c r="C3022" s="35" t="str">
        <x:v>Round2</x:v>
      </x:c>
      <x:c r="D3022" s="35" t="str">
        <x:v>JacksonDatabind_58</x:v>
      </x:c>
      <x:c r="E3022" s="35" t="str">
        <x:v>Condition</x:v>
      </x:c>
      <x:c r="F3022" s="35"/>
      <x:c r="G3022" s="35" t="str">
        <x:v>A</x:v>
      </x:c>
      <x:c r="H3022" s="39" t="str">
        <x:f>IF(ISNUMBER('Data'!N1314),'Data'!N1314*100,"")</x:f>
      </x:c>
      <x:c r="I3022" s="35"/>
      <x:c r="J3022" s="35" t="str">
        <x:v>PASS</x:v>
      </x:c>
      <x:c r="K3022" s="35" t="str">
        <x:v>FAIL</x:v>
      </x:c>
      <x:c r="L3022" s="35" t="str">
        <x:v>NOT_RUN</x:v>
      </x:c>
      <x:c r="M3022" s="35" t="str">
        <x:v>coverage unavailable or execution/compile failed</x:v>
      </x:c>
      <x:c r="N3022" s="35" t="str">
        <x:v>Deepseek-flash-v4/Result2/JacksonDatabind_58/result.json</x:v>
      </x:c>
      <x:c r="O3022" s="39" t="str">
        <x:f>IF(AND(G3022="RECORDED",ISNUMBER(H3022)),H3022,"")</x:f>
      </x:c>
      <x:c r="P3022" s="35" t="str">
        <x:v>NOT_AVAILABLE</x:v>
      </x:c>
      <x:c r="Q3022" s="35" t="str">
        <x:v>Deepseek-flash-v4/Result2/JacksonDatabind_58/result.json</x:v>
      </x:c>
    </x:row>
    <x:row r="3023">
      <x:c r="A3023" s="35" t="str">
        <x:v>deepseek</x:v>
      </x:c>
      <x:c r="B3023" s="35" t="str">
        <x:v>JacksonDatabind</x:v>
      </x:c>
      <x:c r="C3023" s="35" t="str">
        <x:v>Round2</x:v>
      </x:c>
      <x:c r="D3023" s="35" t="str">
        <x:v>JacksonDatabind_59</x:v>
      </x:c>
      <x:c r="E3023" s="35" t="str">
        <x:v>Condition</x:v>
      </x:c>
      <x:c r="F3023" s="35"/>
      <x:c r="G3023" s="35" t="str">
        <x:v>A</x:v>
      </x:c>
      <x:c r="H3023" s="39" t="str">
        <x:f>IF(ISNUMBER('Data'!N1315),'Data'!N1315*100,"")</x:f>
      </x:c>
      <x:c r="I3023" s="35"/>
      <x:c r="J3023" s="35" t="str">
        <x:v>PASS</x:v>
      </x:c>
      <x:c r="K3023" s="35" t="str">
        <x:v>FAIL</x:v>
      </x:c>
      <x:c r="L3023" s="35" t="str">
        <x:v>NOT_RUN</x:v>
      </x:c>
      <x:c r="M3023" s="35" t="str">
        <x:v>coverage unavailable or execution/compile failed</x:v>
      </x:c>
      <x:c r="N3023" s="35" t="str">
        <x:v>Deepseek-flash-v4/Result2/JacksonDatabind_59/result.json</x:v>
      </x:c>
      <x:c r="O3023" s="39" t="str">
        <x:f>IF(AND(G3023="RECORDED",ISNUMBER(H3023)),H3023,"")</x:f>
      </x:c>
      <x:c r="P3023" s="35" t="str">
        <x:v>NOT_AVAILABLE</x:v>
      </x:c>
      <x:c r="Q3023" s="35" t="str">
        <x:v>Deepseek-flash-v4/Result2/JacksonDatabind_59/result.json</x:v>
      </x:c>
    </x:row>
    <x:row r="3024">
      <x:c r="A3024" s="35" t="str">
        <x:v>deepseek</x:v>
      </x:c>
      <x:c r="B3024" s="35" t="str">
        <x:v>JacksonDatabind</x:v>
      </x:c>
      <x:c r="C3024" s="35" t="str">
        <x:v>Round2</x:v>
      </x:c>
      <x:c r="D3024" s="35" t="str">
        <x:v>JacksonDatabind_6</x:v>
      </x:c>
      <x:c r="E3024" s="35" t="str">
        <x:v>Condition</x:v>
      </x:c>
      <x:c r="F3024" s="35" t="n">
        <x:v>94</x:v>
      </x:c>
      <x:c r="G3024" s="35" t="str">
        <x:v>RECORDED</x:v>
      </x:c>
      <x:c r="H3024" s="39" t="n">
        <x:f>IF(ISNUMBER('Data'!N1316),'Data'!N1316*100,"")</x:f>
        <x:v>75.53</x:v>
      </x:c>
      <x:c r="I3024" s="35" t="str">
        <x:v>PASS</x:v>
      </x:c>
      <x:c r="J3024" s="35" t="str">
        <x:v>PASS</x:v>
      </x:c>
      <x:c r="K3024" s="35" t="str">
        <x:v>PASS</x:v>
      </x:c>
      <x:c r="L3024" s="35" t="str">
        <x:v>PASS</x:v>
      </x:c>
      <x:c r="M3024" s="35" t="str">
        <x:v>numeric coverage for applicable metric</x:v>
      </x:c>
      <x:c r="N3024" s="35" t="str">
        <x:v>Deepseek-flash-v4/Result2/JacksonDatabind_6/result.json</x:v>
      </x:c>
      <x:c r="O3024" s="39" t="n">
        <x:f>IF(AND(G3024="RECORDED",ISNUMBER(H3024)),H3024,"")</x:f>
        <x:v>75.53</x:v>
      </x:c>
      <x:c r="P3024" s="35" t="str">
        <x:v>NOT_REVEALING</x:v>
      </x:c>
      <x:c r="Q3024" s="35" t="str">
        <x:v>Deepseek-flash-v4/Result2/JacksonDatabind_6/result.json</x:v>
      </x:c>
    </x:row>
    <x:row r="3025">
      <x:c r="A3025" s="35" t="str">
        <x:v>deepseek</x:v>
      </x:c>
      <x:c r="B3025" s="35" t="str">
        <x:v>JacksonDatabind</x:v>
      </x:c>
      <x:c r="C3025" s="35" t="str">
        <x:v>Round2</x:v>
      </x:c>
      <x:c r="D3025" s="35" t="str">
        <x:v>JacksonDatabind_60</x:v>
      </x:c>
      <x:c r="E3025" s="35" t="str">
        <x:v>Condition</x:v>
      </x:c>
      <x:c r="F3025" s="35"/>
      <x:c r="G3025" s="35" t="str">
        <x:v>A</x:v>
      </x:c>
      <x:c r="H3025" s="39" t="str">
        <x:f>IF(ISNUMBER('Data'!N1317),'Data'!N1317*100,"")</x:f>
      </x:c>
      <x:c r="I3025" s="35"/>
      <x:c r="J3025" s="35" t="str">
        <x:v>PASS</x:v>
      </x:c>
      <x:c r="K3025" s="35" t="str">
        <x:v>FAIL</x:v>
      </x:c>
      <x:c r="L3025" s="35" t="str">
        <x:v>NOT_RUN</x:v>
      </x:c>
      <x:c r="M3025" s="35" t="str">
        <x:v>coverage unavailable or execution/compile failed</x:v>
      </x:c>
      <x:c r="N3025" s="35" t="str">
        <x:v>Deepseek-flash-v4/Result2/JacksonDatabind_60/result.json</x:v>
      </x:c>
      <x:c r="O3025" s="39" t="str">
        <x:f>IF(AND(G3025="RECORDED",ISNUMBER(H3025)),H3025,"")</x:f>
      </x:c>
      <x:c r="P3025" s="35" t="str">
        <x:v>NOT_AVAILABLE</x:v>
      </x:c>
      <x:c r="Q3025" s="35" t="str">
        <x:v>Deepseek-flash-v4/Result2/JacksonDatabind_60/result.json</x:v>
      </x:c>
    </x:row>
    <x:row r="3026">
      <x:c r="A3026" s="35" t="str">
        <x:v>deepseek</x:v>
      </x:c>
      <x:c r="B3026" s="35" t="str">
        <x:v>JacksonDatabind</x:v>
      </x:c>
      <x:c r="C3026" s="35" t="str">
        <x:v>Round2</x:v>
      </x:c>
      <x:c r="D3026" s="35" t="str">
        <x:v>JacksonDatabind_61</x:v>
      </x:c>
      <x:c r="E3026" s="35" t="str">
        <x:v>Condition</x:v>
      </x:c>
      <x:c r="F3026" s="35"/>
      <x:c r="G3026" s="35" t="str">
        <x:v>A</x:v>
      </x:c>
      <x:c r="H3026" s="39" t="str">
        <x:f>IF(ISNUMBER('Data'!N1318),'Data'!N1318*100,"")</x:f>
      </x:c>
      <x:c r="I3026" s="35"/>
      <x:c r="J3026" s="35" t="str">
        <x:v>PASS</x:v>
      </x:c>
      <x:c r="K3026" s="35" t="str">
        <x:v>FAIL</x:v>
      </x:c>
      <x:c r="L3026" s="35" t="str">
        <x:v>NOT_RUN</x:v>
      </x:c>
      <x:c r="M3026" s="35" t="str">
        <x:v>coverage unavailable or execution/compile failed</x:v>
      </x:c>
      <x:c r="N3026" s="35" t="str">
        <x:v>Deepseek-flash-v4/Result2/JacksonDatabind_61/result.json</x:v>
      </x:c>
      <x:c r="O3026" s="39" t="str">
        <x:f>IF(AND(G3026="RECORDED",ISNUMBER(H3026)),H3026,"")</x:f>
      </x:c>
      <x:c r="P3026" s="35" t="str">
        <x:v>NOT_AVAILABLE</x:v>
      </x:c>
      <x:c r="Q3026" s="35" t="str">
        <x:v>Deepseek-flash-v4/Result2/JacksonDatabind_61/result.json</x:v>
      </x:c>
    </x:row>
    <x:row r="3027">
      <x:c r="A3027" s="35" t="str">
        <x:v>deepseek</x:v>
      </x:c>
      <x:c r="B3027" s="35" t="str">
        <x:v>JacksonDatabind</x:v>
      </x:c>
      <x:c r="C3027" s="35" t="str">
        <x:v>Round2</x:v>
      </x:c>
      <x:c r="D3027" s="35" t="str">
        <x:v>JacksonDatabind_62</x:v>
      </x:c>
      <x:c r="E3027" s="35" t="str">
        <x:v>Condition</x:v>
      </x:c>
      <x:c r="F3027" s="35"/>
      <x:c r="G3027" s="35" t="str">
        <x:v>A</x:v>
      </x:c>
      <x:c r="H3027" s="39" t="str">
        <x:f>IF(ISNUMBER('Data'!N1319),'Data'!N1319*100,"")</x:f>
      </x:c>
      <x:c r="I3027" s="35"/>
      <x:c r="J3027" s="35" t="str">
        <x:v>PASS</x:v>
      </x:c>
      <x:c r="K3027" s="35" t="str">
        <x:v>FAIL</x:v>
      </x:c>
      <x:c r="L3027" s="35" t="str">
        <x:v>NOT_RUN</x:v>
      </x:c>
      <x:c r="M3027" s="35" t="str">
        <x:v>coverage unavailable or execution/compile failed</x:v>
      </x:c>
      <x:c r="N3027" s="35" t="str">
        <x:v>Deepseek-flash-v4/Result2/JacksonDatabind_62/result.json</x:v>
      </x:c>
      <x:c r="O3027" s="39" t="str">
        <x:f>IF(AND(G3027="RECORDED",ISNUMBER(H3027)),H3027,"")</x:f>
      </x:c>
      <x:c r="P3027" s="35" t="str">
        <x:v>NOT_AVAILABLE</x:v>
      </x:c>
      <x:c r="Q3027" s="35" t="str">
        <x:v>Deepseek-flash-v4/Result2/JacksonDatabind_62/result.json</x:v>
      </x:c>
    </x:row>
    <x:row r="3028">
      <x:c r="A3028" s="35" t="str">
        <x:v>deepseek</x:v>
      </x:c>
      <x:c r="B3028" s="35" t="str">
        <x:v>JacksonDatabind</x:v>
      </x:c>
      <x:c r="C3028" s="35" t="str">
        <x:v>Round2</x:v>
      </x:c>
      <x:c r="D3028" s="35" t="str">
        <x:v>JacksonDatabind_63</x:v>
      </x:c>
      <x:c r="E3028" s="35" t="str">
        <x:v>Condition</x:v>
      </x:c>
      <x:c r="F3028" s="35" t="n">
        <x:v>44</x:v>
      </x:c>
      <x:c r="G3028" s="35" t="str">
        <x:v>RECORDED</x:v>
      </x:c>
      <x:c r="H3028" s="39" t="n">
        <x:f>IF(ISNUMBER('Data'!N1320),'Data'!N1320*100,"")</x:f>
        <x:v>79.55</x:v>
      </x:c>
      <x:c r="I3028" s="35" t="str">
        <x:v>PASS</x:v>
      </x:c>
      <x:c r="J3028" s="35" t="str">
        <x:v>PASS</x:v>
      </x:c>
      <x:c r="K3028" s="35" t="str">
        <x:v>PASS</x:v>
      </x:c>
      <x:c r="L3028" s="35" t="str">
        <x:v>FAIL</x:v>
      </x:c>
      <x:c r="M3028" s="35" t="str">
        <x:v>numeric coverage for applicable metric</x:v>
      </x:c>
      <x:c r="N3028" s="35" t="str">
        <x:v>Deepseek-flash-v4/Result2/JacksonDatabind_63/result.json</x:v>
      </x:c>
      <x:c r="O3028" s="39" t="n">
        <x:f>IF(AND(G3028="RECORDED",ISNUMBER(H3028)),H3028,"")</x:f>
        <x:v>79.55</x:v>
      </x:c>
      <x:c r="P3028" s="35" t="str">
        <x:v>INCONCLUSIVE</x:v>
      </x:c>
      <x:c r="Q3028" s="35" t="str">
        <x:v>Deepseek-flash-v4/Result2/JacksonDatabind_63/result.json</x:v>
      </x:c>
    </x:row>
    <x:row r="3029">
      <x:c r="A3029" s="35" t="str">
        <x:v>deepseek</x:v>
      </x:c>
      <x:c r="B3029" s="35" t="str">
        <x:v>JacksonDatabind</x:v>
      </x:c>
      <x:c r="C3029" s="35" t="str">
        <x:v>Round2</x:v>
      </x:c>
      <x:c r="D3029" s="35" t="str">
        <x:v>JacksonDatabind_64</x:v>
      </x:c>
      <x:c r="E3029" s="35" t="str">
        <x:v>Condition</x:v>
      </x:c>
      <x:c r="F3029" s="35"/>
      <x:c r="G3029" s="35" t="str">
        <x:v>A</x:v>
      </x:c>
      <x:c r="H3029" s="39" t="str">
        <x:f>IF(ISNUMBER('Data'!N1321),'Data'!N1321*100,"")</x:f>
      </x:c>
      <x:c r="I3029" s="35"/>
      <x:c r="J3029" s="35" t="str">
        <x:v>PASS</x:v>
      </x:c>
      <x:c r="K3029" s="35" t="str">
        <x:v>FAIL</x:v>
      </x:c>
      <x:c r="L3029" s="35" t="str">
        <x:v>NOT_RUN</x:v>
      </x:c>
      <x:c r="M3029" s="35" t="str">
        <x:v>coverage unavailable or execution/compile failed</x:v>
      </x:c>
      <x:c r="N3029" s="35" t="str">
        <x:v>Deepseek-flash-v4/Result2/JacksonDatabind_64/result.json</x:v>
      </x:c>
      <x:c r="O3029" s="39" t="str">
        <x:f>IF(AND(G3029="RECORDED",ISNUMBER(H3029)),H3029,"")</x:f>
      </x:c>
      <x:c r="P3029" s="35" t="str">
        <x:v>NOT_AVAILABLE</x:v>
      </x:c>
      <x:c r="Q3029" s="35" t="str">
        <x:v>Deepseek-flash-v4/Result2/JacksonDatabind_64/result.json</x:v>
      </x:c>
    </x:row>
    <x:row r="3030">
      <x:c r="A3030" s="35" t="str">
        <x:v>deepseek</x:v>
      </x:c>
      <x:c r="B3030" s="35" t="str">
        <x:v>JacksonDatabind</x:v>
      </x:c>
      <x:c r="C3030" s="35" t="str">
        <x:v>Round2</x:v>
      </x:c>
      <x:c r="D3030" s="35" t="str">
        <x:v>JacksonDatabind_66</x:v>
      </x:c>
      <x:c r="E3030" s="35" t="str">
        <x:v>Condition</x:v>
      </x:c>
      <x:c r="F3030" s="35" t="n">
        <x:v>95</x:v>
      </x:c>
      <x:c r="G3030" s="35" t="str">
        <x:v>RECORDED</x:v>
      </x:c>
      <x:c r="H3030" s="39" t="n">
        <x:f>IF(ISNUMBER('Data'!N1322),'Data'!N1322*100,"")</x:f>
        <x:v>65.26</x:v>
      </x:c>
      <x:c r="I3030" s="35" t="str">
        <x:v>PASS</x:v>
      </x:c>
      <x:c r="J3030" s="35" t="str">
        <x:v>PASS</x:v>
      </x:c>
      <x:c r="K3030" s="35" t="str">
        <x:v>PASS</x:v>
      </x:c>
      <x:c r="L3030" s="35" t="str">
        <x:v>PASS</x:v>
      </x:c>
      <x:c r="M3030" s="35" t="str">
        <x:v>numeric coverage for applicable metric</x:v>
      </x:c>
      <x:c r="N3030" s="35" t="str">
        <x:v>Deepseek-flash-v4/Result2/JacksonDatabind_66/result.json</x:v>
      </x:c>
      <x:c r="O3030" s="39" t="n">
        <x:f>IF(AND(G3030="RECORDED",ISNUMBER(H3030)),H3030,"")</x:f>
        <x:v>65.26</x:v>
      </x:c>
      <x:c r="P3030" s="35" t="str">
        <x:v>NOT_REVEALING</x:v>
      </x:c>
      <x:c r="Q3030" s="35" t="str">
        <x:v>Deepseek-flash-v4/Result2/JacksonDatabind_66/result.json</x:v>
      </x:c>
    </x:row>
    <x:row r="3031">
      <x:c r="A3031" s="35" t="str">
        <x:v>deepseek</x:v>
      </x:c>
      <x:c r="B3031" s="35" t="str">
        <x:v>JacksonDatabind</x:v>
      </x:c>
      <x:c r="C3031" s="35" t="str">
        <x:v>Round2</x:v>
      </x:c>
      <x:c r="D3031" s="35" t="str">
        <x:v>JacksonDatabind_67</x:v>
      </x:c>
      <x:c r="E3031" s="35" t="str">
        <x:v>Condition</x:v>
      </x:c>
      <x:c r="F3031" s="35"/>
      <x:c r="G3031" s="35" t="str">
        <x:v>A</x:v>
      </x:c>
      <x:c r="H3031" s="39" t="str">
        <x:f>IF(ISNUMBER('Data'!N1323),'Data'!N1323*100,"")</x:f>
      </x:c>
      <x:c r="I3031" s="35"/>
      <x:c r="J3031" s="35" t="str">
        <x:v>PASS</x:v>
      </x:c>
      <x:c r="K3031" s="35" t="str">
        <x:v>FAIL</x:v>
      </x:c>
      <x:c r="L3031" s="35" t="str">
        <x:v>NOT_RUN</x:v>
      </x:c>
      <x:c r="M3031" s="35" t="str">
        <x:v>coverage unavailable or execution/compile failed</x:v>
      </x:c>
      <x:c r="N3031" s="35" t="str">
        <x:v>Deepseek-flash-v4/Result2/JacksonDatabind_67/result.json</x:v>
      </x:c>
      <x:c r="O3031" s="39" t="str">
        <x:f>IF(AND(G3031="RECORDED",ISNUMBER(H3031)),H3031,"")</x:f>
      </x:c>
      <x:c r="P3031" s="35" t="str">
        <x:v>NOT_AVAILABLE</x:v>
      </x:c>
      <x:c r="Q3031" s="35" t="str">
        <x:v>Deepseek-flash-v4/Result2/JacksonDatabind_67/result.json</x:v>
      </x:c>
    </x:row>
    <x:row r="3032">
      <x:c r="A3032" s="35" t="str">
        <x:v>deepseek</x:v>
      </x:c>
      <x:c r="B3032" s="35" t="str">
        <x:v>JacksonDatabind</x:v>
      </x:c>
      <x:c r="C3032" s="35" t="str">
        <x:v>Round2</x:v>
      </x:c>
      <x:c r="D3032" s="35" t="str">
        <x:v>JacksonDatabind_68</x:v>
      </x:c>
      <x:c r="E3032" s="35" t="str">
        <x:v>Condition</x:v>
      </x:c>
      <x:c r="F3032" s="35" t="n">
        <x:v>369</x:v>
      </x:c>
      <x:c r="G3032" s="35" t="str">
        <x:v>RECORDED</x:v>
      </x:c>
      <x:c r="H3032" s="39" t="n">
        <x:f>IF(ISNUMBER('Data'!N1324),'Data'!N1324*100,"")</x:f>
        <x:v>0</x:v>
      </x:c>
      <x:c r="I3032" s="35" t="str">
        <x:v>PASS</x:v>
      </x:c>
      <x:c r="J3032" s="35" t="str">
        <x:v>PASS</x:v>
      </x:c>
      <x:c r="K3032" s="35" t="str">
        <x:v>PASS</x:v>
      </x:c>
      <x:c r="L3032" s="35" t="str">
        <x:v>FAIL</x:v>
      </x:c>
      <x:c r="M3032" s="35" t="str">
        <x:v>numeric coverage for applicable metric</x:v>
      </x:c>
      <x:c r="N3032" s="35" t="str">
        <x:v>Deepseek-flash-v4/Result2/JacksonDatabind_68/result.json</x:v>
      </x:c>
      <x:c r="O3032" s="39" t="n">
        <x:f>IF(AND(G3032="RECORDED",ISNUMBER(H3032)),H3032,"")</x:f>
        <x:v>0</x:v>
      </x:c>
      <x:c r="P3032" s="35" t="str">
        <x:v>INCONCLUSIVE</x:v>
      </x:c>
      <x:c r="Q3032" s="35" t="str">
        <x:v>Deepseek-flash-v4/Result2/JacksonDatabind_68/result.json</x:v>
      </x:c>
    </x:row>
    <x:row r="3033">
      <x:c r="A3033" s="35" t="str">
        <x:v>deepseek</x:v>
      </x:c>
      <x:c r="B3033" s="35" t="str">
        <x:v>JacksonDatabind</x:v>
      </x:c>
      <x:c r="C3033" s="35" t="str">
        <x:v>Round2</x:v>
      </x:c>
      <x:c r="D3033" s="35" t="str">
        <x:v>JacksonDatabind_69</x:v>
      </x:c>
      <x:c r="E3033" s="35" t="str">
        <x:v>Condition</x:v>
      </x:c>
      <x:c r="F3033" s="35"/>
      <x:c r="G3033" s="35" t="str">
        <x:v>A</x:v>
      </x:c>
      <x:c r="H3033" s="39" t="str">
        <x:f>IF(ISNUMBER('Data'!N1325),'Data'!N1325*100,"")</x:f>
      </x:c>
      <x:c r="I3033" s="35"/>
      <x:c r="J3033" s="35" t="str">
        <x:v>PASS</x:v>
      </x:c>
      <x:c r="K3033" s="35" t="str">
        <x:v>FAIL</x:v>
      </x:c>
      <x:c r="L3033" s="35" t="str">
        <x:v>NOT_RUN</x:v>
      </x:c>
      <x:c r="M3033" s="35" t="str">
        <x:v>coverage unavailable or execution/compile failed</x:v>
      </x:c>
      <x:c r="N3033" s="35" t="str">
        <x:v>Deepseek-flash-v4/Result2/JacksonDatabind_69/result.json</x:v>
      </x:c>
      <x:c r="O3033" s="39" t="str">
        <x:f>IF(AND(G3033="RECORDED",ISNUMBER(H3033)),H3033,"")</x:f>
      </x:c>
      <x:c r="P3033" s="35" t="str">
        <x:v>NOT_AVAILABLE</x:v>
      </x:c>
      <x:c r="Q3033" s="35" t="str">
        <x:v>Deepseek-flash-v4/Result2/JacksonDatabind_69/result.json</x:v>
      </x:c>
    </x:row>
    <x:row r="3034">
      <x:c r="A3034" s="35" t="str">
        <x:v>deepseek</x:v>
      </x:c>
      <x:c r="B3034" s="35" t="str">
        <x:v>JacksonDatabind</x:v>
      </x:c>
      <x:c r="C3034" s="35" t="str">
        <x:v>Round2</x:v>
      </x:c>
      <x:c r="D3034" s="35" t="str">
        <x:v>JacksonDatabind_7</x:v>
      </x:c>
      <x:c r="E3034" s="35" t="str">
        <x:v>Condition</x:v>
      </x:c>
      <x:c r="F3034" s="35"/>
      <x:c r="G3034" s="35" t="str">
        <x:v>A</x:v>
      </x:c>
      <x:c r="H3034" s="39" t="str">
        <x:f>IF(ISNUMBER('Data'!N1326),'Data'!N1326*100,"")</x:f>
      </x:c>
      <x:c r="I3034" s="35"/>
      <x:c r="J3034" s="35" t="str">
        <x:v>PASS</x:v>
      </x:c>
      <x:c r="K3034" s="35" t="str">
        <x:v>FAIL</x:v>
      </x:c>
      <x:c r="L3034" s="35" t="str">
        <x:v>NOT_RUN</x:v>
      </x:c>
      <x:c r="M3034" s="35" t="str">
        <x:v>coverage unavailable or execution/compile failed</x:v>
      </x:c>
      <x:c r="N3034" s="35" t="str">
        <x:v>Deepseek-flash-v4/Result2/JacksonDatabind_7/result.json</x:v>
      </x:c>
      <x:c r="O3034" s="39" t="str">
        <x:f>IF(AND(G3034="RECORDED",ISNUMBER(H3034)),H3034,"")</x:f>
      </x:c>
      <x:c r="P3034" s="35" t="str">
        <x:v>NOT_AVAILABLE</x:v>
      </x:c>
      <x:c r="Q3034" s="35" t="str">
        <x:v>Deepseek-flash-v4/Result2/JacksonDatabind_7/result.json</x:v>
      </x:c>
    </x:row>
    <x:row r="3035">
      <x:c r="A3035" s="35" t="str">
        <x:v>deepseek</x:v>
      </x:c>
      <x:c r="B3035" s="35" t="str">
        <x:v>JacksonDatabind</x:v>
      </x:c>
      <x:c r="C3035" s="35" t="str">
        <x:v>Round2</x:v>
      </x:c>
      <x:c r="D3035" s="35" t="str">
        <x:v>JacksonDatabind_70</x:v>
      </x:c>
      <x:c r="E3035" s="35" t="str">
        <x:v>Condition</x:v>
      </x:c>
      <x:c r="F3035" s="35"/>
      <x:c r="G3035" s="35" t="str">
        <x:v>A</x:v>
      </x:c>
      <x:c r="H3035" s="39" t="str">
        <x:f>IF(ISNUMBER('Data'!N1327),'Data'!N1327*100,"")</x:f>
      </x:c>
      <x:c r="I3035" s="35"/>
      <x:c r="J3035" s="35" t="str">
        <x:v>PASS</x:v>
      </x:c>
      <x:c r="K3035" s="35" t="str">
        <x:v>FAIL</x:v>
      </x:c>
      <x:c r="L3035" s="35" t="str">
        <x:v>NOT_RUN</x:v>
      </x:c>
      <x:c r="M3035" s="35" t="str">
        <x:v>coverage unavailable or execution/compile failed</x:v>
      </x:c>
      <x:c r="N3035" s="35" t="str">
        <x:v>Deepseek-flash-v4/Result2/JacksonDatabind_70/result.json</x:v>
      </x:c>
      <x:c r="O3035" s="39" t="str">
        <x:f>IF(AND(G3035="RECORDED",ISNUMBER(H3035)),H3035,"")</x:f>
      </x:c>
      <x:c r="P3035" s="35" t="str">
        <x:v>NOT_AVAILABLE</x:v>
      </x:c>
      <x:c r="Q3035" s="35" t="str">
        <x:v>Deepseek-flash-v4/Result2/JacksonDatabind_70/result.json</x:v>
      </x:c>
    </x:row>
    <x:row r="3036">
      <x:c r="A3036" s="35" t="str">
        <x:v>deepseek</x:v>
      </x:c>
      <x:c r="B3036" s="35" t="str">
        <x:v>JacksonDatabind</x:v>
      </x:c>
      <x:c r="C3036" s="35" t="str">
        <x:v>Round2</x:v>
      </x:c>
      <x:c r="D3036" s="35" t="str">
        <x:v>JacksonDatabind_71</x:v>
      </x:c>
      <x:c r="E3036" s="35" t="str">
        <x:v>Condition</x:v>
      </x:c>
      <x:c r="F3036" s="35" t="n">
        <x:v>95</x:v>
      </x:c>
      <x:c r="G3036" s="35" t="str">
        <x:v>RECORDED</x:v>
      </x:c>
      <x:c r="H3036" s="39" t="n">
        <x:f>IF(ISNUMBER('Data'!N1328),'Data'!N1328*100,"")</x:f>
        <x:v>83.16</x:v>
      </x:c>
      <x:c r="I3036" s="35" t="str">
        <x:v>PASS</x:v>
      </x:c>
      <x:c r="J3036" s="35" t="str">
        <x:v>PASS</x:v>
      </x:c>
      <x:c r="K3036" s="35" t="str">
        <x:v>PASS</x:v>
      </x:c>
      <x:c r="L3036" s="35" t="str">
        <x:v>FAIL</x:v>
      </x:c>
      <x:c r="M3036" s="35" t="str">
        <x:v>numeric coverage for applicable metric</x:v>
      </x:c>
      <x:c r="N3036" s="35" t="str">
        <x:v>Deepseek-flash-v4/Result2/JacksonDatabind_71/result.json</x:v>
      </x:c>
      <x:c r="O3036" s="39" t="n">
        <x:f>IF(AND(G3036="RECORDED",ISNUMBER(H3036)),H3036,"")</x:f>
        <x:v>83.16</x:v>
      </x:c>
      <x:c r="P3036" s="35" t="str">
        <x:v>INCONCLUSIVE</x:v>
      </x:c>
      <x:c r="Q3036" s="35" t="str">
        <x:v>Deepseek-flash-v4/Result2/JacksonDatabind_71/result.json</x:v>
      </x:c>
    </x:row>
    <x:row r="3037">
      <x:c r="A3037" s="35" t="str">
        <x:v>deepseek</x:v>
      </x:c>
      <x:c r="B3037" s="35" t="str">
        <x:v>JacksonDatabind</x:v>
      </x:c>
      <x:c r="C3037" s="35" t="str">
        <x:v>Round2</x:v>
      </x:c>
      <x:c r="D3037" s="35" t="str">
        <x:v>JacksonDatabind_72</x:v>
      </x:c>
      <x:c r="E3037" s="35" t="str">
        <x:v>Condition</x:v>
      </x:c>
      <x:c r="F3037" s="35"/>
      <x:c r="G3037" s="35" t="str">
        <x:v>A</x:v>
      </x:c>
      <x:c r="H3037" s="39" t="str">
        <x:f>IF(ISNUMBER('Data'!N1329),'Data'!N1329*100,"")</x:f>
      </x:c>
      <x:c r="I3037" s="35"/>
      <x:c r="J3037" s="35" t="str">
        <x:v>PASS</x:v>
      </x:c>
      <x:c r="K3037" s="35" t="str">
        <x:v>FAIL</x:v>
      </x:c>
      <x:c r="L3037" s="35" t="str">
        <x:v>NOT_RUN</x:v>
      </x:c>
      <x:c r="M3037" s="35" t="str">
        <x:v>coverage unavailable or execution/compile failed</x:v>
      </x:c>
      <x:c r="N3037" s="35" t="str">
        <x:v>Deepseek-flash-v4/Result2/JacksonDatabind_72/result.json</x:v>
      </x:c>
      <x:c r="O3037" s="39" t="str">
        <x:f>IF(AND(G3037="RECORDED",ISNUMBER(H3037)),H3037,"")</x:f>
      </x:c>
      <x:c r="P3037" s="35" t="str">
        <x:v>NOT_AVAILABLE</x:v>
      </x:c>
      <x:c r="Q3037" s="35" t="str">
        <x:v>Deepseek-flash-v4/Result2/JacksonDatabind_72/result.json</x:v>
      </x:c>
    </x:row>
    <x:row r="3038">
      <x:c r="A3038" s="35" t="str">
        <x:v>deepseek</x:v>
      </x:c>
      <x:c r="B3038" s="35" t="str">
        <x:v>JacksonDatabind</x:v>
      </x:c>
      <x:c r="C3038" s="35" t="str">
        <x:v>Round2</x:v>
      </x:c>
      <x:c r="D3038" s="35" t="str">
        <x:v>JacksonDatabind_73</x:v>
      </x:c>
      <x:c r="E3038" s="35" t="str">
        <x:v>Condition</x:v>
      </x:c>
      <x:c r="F3038" s="35" t="n">
        <x:v>716</x:v>
      </x:c>
      <x:c r="G3038" s="35" t="str">
        <x:v>RECORDED</x:v>
      </x:c>
      <x:c r="H3038" s="39" t="n">
        <x:f>IF(ISNUMBER('Data'!N1330),'Data'!N1330*100,"")</x:f>
        <x:v>54.33</x:v>
      </x:c>
      <x:c r="I3038" s="35" t="str">
        <x:v>PASS</x:v>
      </x:c>
      <x:c r="J3038" s="35" t="str">
        <x:v>PASS</x:v>
      </x:c>
      <x:c r="K3038" s="35" t="str">
        <x:v>PASS</x:v>
      </x:c>
      <x:c r="L3038" s="35" t="str">
        <x:v>PASS</x:v>
      </x:c>
      <x:c r="M3038" s="35" t="str">
        <x:v>numeric coverage for applicable metric</x:v>
      </x:c>
      <x:c r="N3038" s="35" t="str">
        <x:v>Deepseek-flash-v4/Result2/JacksonDatabind_73/result.json</x:v>
      </x:c>
      <x:c r="O3038" s="39" t="n">
        <x:f>IF(AND(G3038="RECORDED",ISNUMBER(H3038)),H3038,"")</x:f>
        <x:v>54.33</x:v>
      </x:c>
      <x:c r="P3038" s="35" t="str">
        <x:v>NOT_REVEALING</x:v>
      </x:c>
      <x:c r="Q3038" s="35" t="str">
        <x:v>Deepseek-flash-v4/Result2/JacksonDatabind_73/result.json</x:v>
      </x:c>
    </x:row>
    <x:row r="3039">
      <x:c r="A3039" s="35" t="str">
        <x:v>deepseek</x:v>
      </x:c>
      <x:c r="B3039" s="35" t="str">
        <x:v>JacksonDatabind</x:v>
      </x:c>
      <x:c r="C3039" s="35" t="str">
        <x:v>Round2</x:v>
      </x:c>
      <x:c r="D3039" s="35" t="str">
        <x:v>JacksonDatabind_74</x:v>
      </x:c>
      <x:c r="E3039" s="35" t="str">
        <x:v>Condition</x:v>
      </x:c>
      <x:c r="F3039" s="35"/>
      <x:c r="G3039" s="35" t="str">
        <x:v>A</x:v>
      </x:c>
      <x:c r="H3039" s="39" t="str">
        <x:f>IF(ISNUMBER('Data'!N1331),'Data'!N1331*100,"")</x:f>
      </x:c>
      <x:c r="I3039" s="35"/>
      <x:c r="J3039" s="35" t="str">
        <x:v>PASS</x:v>
      </x:c>
      <x:c r="K3039" s="35" t="str">
        <x:v>FAIL</x:v>
      </x:c>
      <x:c r="L3039" s="35" t="str">
        <x:v>NOT_RUN</x:v>
      </x:c>
      <x:c r="M3039" s="35" t="str">
        <x:v>coverage unavailable or execution/compile failed</x:v>
      </x:c>
      <x:c r="N3039" s="35" t="str">
        <x:v>Deepseek-flash-v4/Result2/JacksonDatabind_74/result.json</x:v>
      </x:c>
      <x:c r="O3039" s="39" t="str">
        <x:f>IF(AND(G3039="RECORDED",ISNUMBER(H3039)),H3039,"")</x:f>
      </x:c>
      <x:c r="P3039" s="35" t="str">
        <x:v>NOT_AVAILABLE</x:v>
      </x:c>
      <x:c r="Q3039" s="35" t="str">
        <x:v>Deepseek-flash-v4/Result2/JacksonDatabind_74/result.json</x:v>
      </x:c>
    </x:row>
    <x:row r="3040">
      <x:c r="A3040" s="35" t="str">
        <x:v>deepseek</x:v>
      </x:c>
      <x:c r="B3040" s="35" t="str">
        <x:v>JacksonDatabind</x:v>
      </x:c>
      <x:c r="C3040" s="35" t="str">
        <x:v>Round2</x:v>
      </x:c>
      <x:c r="D3040" s="35" t="str">
        <x:v>JacksonDatabind_75</x:v>
      </x:c>
      <x:c r="E3040" s="35" t="str">
        <x:v>Condition</x:v>
      </x:c>
      <x:c r="F3040" s="35"/>
      <x:c r="G3040" s="35" t="str">
        <x:v>A</x:v>
      </x:c>
      <x:c r="H3040" s="39" t="str">
        <x:f>IF(ISNUMBER('Data'!N1332),'Data'!N1332*100,"")</x:f>
      </x:c>
      <x:c r="I3040" s="35"/>
      <x:c r="J3040" s="35" t="str">
        <x:v>PASS</x:v>
      </x:c>
      <x:c r="K3040" s="35" t="str">
        <x:v>FAIL</x:v>
      </x:c>
      <x:c r="L3040" s="35" t="str">
        <x:v>NOT_RUN</x:v>
      </x:c>
      <x:c r="M3040" s="35" t="str">
        <x:v>coverage unavailable or execution/compile failed</x:v>
      </x:c>
      <x:c r="N3040" s="35" t="str">
        <x:v>Deepseek-flash-v4/Result2/JacksonDatabind_75/result.json</x:v>
      </x:c>
      <x:c r="O3040" s="39" t="str">
        <x:f>IF(AND(G3040="RECORDED",ISNUMBER(H3040)),H3040,"")</x:f>
      </x:c>
      <x:c r="P3040" s="35" t="str">
        <x:v>NOT_AVAILABLE</x:v>
      </x:c>
      <x:c r="Q3040" s="35" t="str">
        <x:v>Deepseek-flash-v4/Result2/JacksonDatabind_75/result.json</x:v>
      </x:c>
    </x:row>
    <x:row r="3041">
      <x:c r="A3041" s="35" t="str">
        <x:v>deepseek</x:v>
      </x:c>
      <x:c r="B3041" s="35" t="str">
        <x:v>JacksonDatabind</x:v>
      </x:c>
      <x:c r="C3041" s="35" t="str">
        <x:v>Round2</x:v>
      </x:c>
      <x:c r="D3041" s="35" t="str">
        <x:v>JacksonDatabind_76</x:v>
      </x:c>
      <x:c r="E3041" s="35" t="str">
        <x:v>Condition</x:v>
      </x:c>
      <x:c r="F3041" s="35"/>
      <x:c r="G3041" s="35" t="str">
        <x:v>A</x:v>
      </x:c>
      <x:c r="H3041" s="39" t="str">
        <x:f>IF(ISNUMBER('Data'!N1333),'Data'!N1333*100,"")</x:f>
      </x:c>
      <x:c r="I3041" s="35"/>
      <x:c r="J3041" s="35" t="str">
        <x:v>PASS</x:v>
      </x:c>
      <x:c r="K3041" s="35" t="str">
        <x:v>FAIL</x:v>
      </x:c>
      <x:c r="L3041" s="35" t="str">
        <x:v>NOT_RUN</x:v>
      </x:c>
      <x:c r="M3041" s="35" t="str">
        <x:v>coverage unavailable or execution/compile failed</x:v>
      </x:c>
      <x:c r="N3041" s="35" t="str">
        <x:v>Deepseek-flash-v4/Result2/JacksonDatabind_76/result.json</x:v>
      </x:c>
      <x:c r="O3041" s="39" t="str">
        <x:f>IF(AND(G3041="RECORDED",ISNUMBER(H3041)),H3041,"")</x:f>
      </x:c>
      <x:c r="P3041" s="35" t="str">
        <x:v>NOT_AVAILABLE</x:v>
      </x:c>
      <x:c r="Q3041" s="35" t="str">
        <x:v>Deepseek-flash-v4/Result2/JacksonDatabind_76/result.json</x:v>
      </x:c>
    </x:row>
    <x:row r="3042">
      <x:c r="A3042" s="35" t="str">
        <x:v>deepseek</x:v>
      </x:c>
      <x:c r="B3042" s="35" t="str">
        <x:v>JacksonDatabind</x:v>
      </x:c>
      <x:c r="C3042" s="35" t="str">
        <x:v>Round2</x:v>
      </x:c>
      <x:c r="D3042" s="35" t="str">
        <x:v>JacksonDatabind_77</x:v>
      </x:c>
      <x:c r="E3042" s="35" t="str">
        <x:v>Condition</x:v>
      </x:c>
      <x:c r="F3042" s="35"/>
      <x:c r="G3042" s="35" t="str">
        <x:v>A</x:v>
      </x:c>
      <x:c r="H3042" s="39" t="str">
        <x:f>IF(ISNUMBER('Data'!N1334),'Data'!N1334*100,"")</x:f>
      </x:c>
      <x:c r="I3042" s="35"/>
      <x:c r="J3042" s="35" t="str">
        <x:v>PASS</x:v>
      </x:c>
      <x:c r="K3042" s="35" t="str">
        <x:v>FAIL</x:v>
      </x:c>
      <x:c r="L3042" s="35" t="str">
        <x:v>NOT_RUN</x:v>
      </x:c>
      <x:c r="M3042" s="35" t="str">
        <x:v>coverage unavailable or execution/compile failed</x:v>
      </x:c>
      <x:c r="N3042" s="35" t="str">
        <x:v>Deepseek-flash-v4/Result2/JacksonDatabind_77/result.json</x:v>
      </x:c>
      <x:c r="O3042" s="39" t="str">
        <x:f>IF(AND(G3042="RECORDED",ISNUMBER(H3042)),H3042,"")</x:f>
      </x:c>
      <x:c r="P3042" s="35" t="str">
        <x:v>NOT_AVAILABLE</x:v>
      </x:c>
      <x:c r="Q3042" s="35" t="str">
        <x:v>Deepseek-flash-v4/Result2/JacksonDatabind_77/result.json</x:v>
      </x:c>
    </x:row>
    <x:row r="3043">
      <x:c r="A3043" s="35" t="str">
        <x:v>deepseek</x:v>
      </x:c>
      <x:c r="B3043" s="35" t="str">
        <x:v>JacksonDatabind</x:v>
      </x:c>
      <x:c r="C3043" s="35" t="str">
        <x:v>Round2</x:v>
      </x:c>
      <x:c r="D3043" s="35" t="str">
        <x:v>JacksonDatabind_78</x:v>
      </x:c>
      <x:c r="E3043" s="35" t="str">
        <x:v>Condition</x:v>
      </x:c>
      <x:c r="F3043" s="35" t="n">
        <x:v>210</x:v>
      </x:c>
      <x:c r="G3043" s="35" t="str">
        <x:v>RECORDED</x:v>
      </x:c>
      <x:c r="H3043" s="39" t="n">
        <x:f>IF(ISNUMBER('Data'!N1335),'Data'!N1335*100,"")</x:f>
        <x:v>56.19</x:v>
      </x:c>
      <x:c r="I3043" s="35" t="str">
        <x:v>PASS</x:v>
      </x:c>
      <x:c r="J3043" s="35" t="str">
        <x:v>PASS</x:v>
      </x:c>
      <x:c r="K3043" s="35" t="str">
        <x:v>PASS</x:v>
      </x:c>
      <x:c r="L3043" s="35" t="str">
        <x:v>PASS</x:v>
      </x:c>
      <x:c r="M3043" s="35" t="str">
        <x:v>numeric coverage for applicable metric</x:v>
      </x:c>
      <x:c r="N3043" s="35" t="str">
        <x:v>Deepseek-flash-v4/Result2/JacksonDatabind_78/result.json</x:v>
      </x:c>
      <x:c r="O3043" s="39" t="n">
        <x:f>IF(AND(G3043="RECORDED",ISNUMBER(H3043)),H3043,"")</x:f>
        <x:v>56.19</x:v>
      </x:c>
      <x:c r="P3043" s="35" t="str">
        <x:v>NOT_REVEALING</x:v>
      </x:c>
      <x:c r="Q3043" s="35" t="str">
        <x:v>Deepseek-flash-v4/Result2/JacksonDatabind_78/result.json</x:v>
      </x:c>
    </x:row>
    <x:row r="3044">
      <x:c r="A3044" s="35" t="str">
        <x:v>deepseek</x:v>
      </x:c>
      <x:c r="B3044" s="35" t="str">
        <x:v>JacksonDatabind</x:v>
      </x:c>
      <x:c r="C3044" s="35" t="str">
        <x:v>Round2</x:v>
      </x:c>
      <x:c r="D3044" s="35" t="str">
        <x:v>JacksonDatabind_79</x:v>
      </x:c>
      <x:c r="E3044" s="35" t="str">
        <x:v>Condition</x:v>
      </x:c>
      <x:c r="F3044" s="35"/>
      <x:c r="G3044" s="35" t="str">
        <x:v>A</x:v>
      </x:c>
      <x:c r="H3044" s="39" t="str">
        <x:f>IF(ISNUMBER('Data'!N1336),'Data'!N1336*100,"")</x:f>
      </x:c>
      <x:c r="I3044" s="35"/>
      <x:c r="J3044" s="35" t="str">
        <x:v>PASS</x:v>
      </x:c>
      <x:c r="K3044" s="35" t="str">
        <x:v>FAIL</x:v>
      </x:c>
      <x:c r="L3044" s="35" t="str">
        <x:v>NOT_RUN</x:v>
      </x:c>
      <x:c r="M3044" s="35" t="str">
        <x:v>coverage unavailable or execution/compile failed</x:v>
      </x:c>
      <x:c r="N3044" s="35" t="str">
        <x:v>Deepseek-flash-v4/Result2/JacksonDatabind_79/result.json</x:v>
      </x:c>
      <x:c r="O3044" s="39" t="str">
        <x:f>IF(AND(G3044="RECORDED",ISNUMBER(H3044)),H3044,"")</x:f>
      </x:c>
      <x:c r="P3044" s="35" t="str">
        <x:v>NOT_AVAILABLE</x:v>
      </x:c>
      <x:c r="Q3044" s="35" t="str">
        <x:v>Deepseek-flash-v4/Result2/JacksonDatabind_79/result.json</x:v>
      </x:c>
    </x:row>
    <x:row r="3045">
      <x:c r="A3045" s="35" t="str">
        <x:v>deepseek</x:v>
      </x:c>
      <x:c r="B3045" s="35" t="str">
        <x:v>JacksonDatabind</x:v>
      </x:c>
      <x:c r="C3045" s="35" t="str">
        <x:v>Round2</x:v>
      </x:c>
      <x:c r="D3045" s="35" t="str">
        <x:v>JacksonDatabind_8</x:v>
      </x:c>
      <x:c r="E3045" s="35" t="str">
        <x:v>Condition</x:v>
      </x:c>
      <x:c r="F3045" s="35"/>
      <x:c r="G3045" s="35" t="str">
        <x:v>A</x:v>
      </x:c>
      <x:c r="H3045" s="39" t="str">
        <x:f>IF(ISNUMBER('Data'!N1337),'Data'!N1337*100,"")</x:f>
      </x:c>
      <x:c r="I3045" s="35"/>
      <x:c r="J3045" s="35" t="str">
        <x:v>PASS</x:v>
      </x:c>
      <x:c r="K3045" s="35" t="str">
        <x:v>FAIL</x:v>
      </x:c>
      <x:c r="L3045" s="35" t="str">
        <x:v>NOT_RUN</x:v>
      </x:c>
      <x:c r="M3045" s="35" t="str">
        <x:v>coverage unavailable or execution/compile failed</x:v>
      </x:c>
      <x:c r="N3045" s="35" t="str">
        <x:v>Deepseek-flash-v4/Result2/JacksonDatabind_8/result.json</x:v>
      </x:c>
      <x:c r="O3045" s="39" t="str">
        <x:f>IF(AND(G3045="RECORDED",ISNUMBER(H3045)),H3045,"")</x:f>
      </x:c>
      <x:c r="P3045" s="35" t="str">
        <x:v>NOT_AVAILABLE</x:v>
      </x:c>
      <x:c r="Q3045" s="35" t="str">
        <x:v>Deepseek-flash-v4/Result2/JacksonDatabind_8/result.json</x:v>
      </x:c>
    </x:row>
    <x:row r="3046">
      <x:c r="A3046" s="35" t="str">
        <x:v>deepseek</x:v>
      </x:c>
      <x:c r="B3046" s="35" t="str">
        <x:v>JacksonDatabind</x:v>
      </x:c>
      <x:c r="C3046" s="35" t="str">
        <x:v>Round2</x:v>
      </x:c>
      <x:c r="D3046" s="35" t="str">
        <x:v>JacksonDatabind_80</x:v>
      </x:c>
      <x:c r="E3046" s="35" t="str">
        <x:v>Condition</x:v>
      </x:c>
      <x:c r="F3046" s="35"/>
      <x:c r="G3046" s="35" t="str">
        <x:v>A</x:v>
      </x:c>
      <x:c r="H3046" s="39" t="str">
        <x:f>IF(ISNUMBER('Data'!N1338),'Data'!N1338*100,"")</x:f>
      </x:c>
      <x:c r="I3046" s="35"/>
      <x:c r="J3046" s="35" t="str">
        <x:v>PASS</x:v>
      </x:c>
      <x:c r="K3046" s="35" t="str">
        <x:v>FAIL</x:v>
      </x:c>
      <x:c r="L3046" s="35" t="str">
        <x:v>NOT_RUN</x:v>
      </x:c>
      <x:c r="M3046" s="35" t="str">
        <x:v>coverage unavailable or execution/compile failed</x:v>
      </x:c>
      <x:c r="N3046" s="35" t="str">
        <x:v>Deepseek-flash-v4/Result2/JacksonDatabind_80/result.json</x:v>
      </x:c>
      <x:c r="O3046" s="39" t="str">
        <x:f>IF(AND(G3046="RECORDED",ISNUMBER(H3046)),H3046,"")</x:f>
      </x:c>
      <x:c r="P3046" s="35" t="str">
        <x:v>NOT_AVAILABLE</x:v>
      </x:c>
      <x:c r="Q3046" s="35" t="str">
        <x:v>Deepseek-flash-v4/Result2/JacksonDatabind_80/result.json</x:v>
      </x:c>
    </x:row>
    <x:row r="3047">
      <x:c r="A3047" s="35" t="str">
        <x:v>deepseek</x:v>
      </x:c>
      <x:c r="B3047" s="35" t="str">
        <x:v>JacksonDatabind</x:v>
      </x:c>
      <x:c r="C3047" s="35" t="str">
        <x:v>Round2</x:v>
      </x:c>
      <x:c r="D3047" s="35" t="str">
        <x:v>JacksonDatabind_81</x:v>
      </x:c>
      <x:c r="E3047" s="35" t="str">
        <x:v>Condition</x:v>
      </x:c>
      <x:c r="F3047" s="35"/>
      <x:c r="G3047" s="35" t="str">
        <x:v>A</x:v>
      </x:c>
      <x:c r="H3047" s="39" t="str">
        <x:f>IF(ISNUMBER('Data'!N1339),'Data'!N1339*100,"")</x:f>
      </x:c>
      <x:c r="I3047" s="35"/>
      <x:c r="J3047" s="35" t="str">
        <x:v>PASS</x:v>
      </x:c>
      <x:c r="K3047" s="35" t="str">
        <x:v>FAIL</x:v>
      </x:c>
      <x:c r="L3047" s="35" t="str">
        <x:v>NOT_RUN</x:v>
      </x:c>
      <x:c r="M3047" s="35" t="str">
        <x:v>coverage unavailable or execution/compile failed</x:v>
      </x:c>
      <x:c r="N3047" s="35" t="str">
        <x:v>Deepseek-flash-v4/Result2/JacksonDatabind_81/result.json</x:v>
      </x:c>
      <x:c r="O3047" s="39" t="str">
        <x:f>IF(AND(G3047="RECORDED",ISNUMBER(H3047)),H3047,"")</x:f>
      </x:c>
      <x:c r="P3047" s="35" t="str">
        <x:v>NOT_AVAILABLE</x:v>
      </x:c>
      <x:c r="Q3047" s="35" t="str">
        <x:v>Deepseek-flash-v4/Result2/JacksonDatabind_81/result.json</x:v>
      </x:c>
    </x:row>
    <x:row r="3048">
      <x:c r="A3048" s="35" t="str">
        <x:v>deepseek</x:v>
      </x:c>
      <x:c r="B3048" s="35" t="str">
        <x:v>JacksonDatabind</x:v>
      </x:c>
      <x:c r="C3048" s="35" t="str">
        <x:v>Round2</x:v>
      </x:c>
      <x:c r="D3048" s="35" t="str">
        <x:v>JacksonDatabind_82</x:v>
      </x:c>
      <x:c r="E3048" s="35" t="str">
        <x:v>Condition</x:v>
      </x:c>
      <x:c r="F3048" s="35" t="n">
        <x:v>212</x:v>
      </x:c>
      <x:c r="G3048" s="35" t="str">
        <x:v>RECORDED</x:v>
      </x:c>
      <x:c r="H3048" s="39" t="n">
        <x:f>IF(ISNUMBER('Data'!N1340),'Data'!N1340*100,"")</x:f>
        <x:v>49.53</x:v>
      </x:c>
      <x:c r="I3048" s="35" t="str">
        <x:v>PASS</x:v>
      </x:c>
      <x:c r="J3048" s="35" t="str">
        <x:v>PASS</x:v>
      </x:c>
      <x:c r="K3048" s="35" t="str">
        <x:v>PASS</x:v>
      </x:c>
      <x:c r="L3048" s="35" t="str">
        <x:v>FAIL</x:v>
      </x:c>
      <x:c r="M3048" s="35" t="str">
        <x:v>numeric coverage for applicable metric</x:v>
      </x:c>
      <x:c r="N3048" s="35" t="str">
        <x:v>Deepseek-flash-v4/Result2/JacksonDatabind_82/result.json</x:v>
      </x:c>
      <x:c r="O3048" s="39" t="n">
        <x:f>IF(AND(G3048="RECORDED",ISNUMBER(H3048)),H3048,"")</x:f>
        <x:v>49.53</x:v>
      </x:c>
      <x:c r="P3048" s="35" t="str">
        <x:v>INCONCLUSIVE</x:v>
      </x:c>
      <x:c r="Q3048" s="35" t="str">
        <x:v>Deepseek-flash-v4/Result2/JacksonDatabind_82/result.json</x:v>
      </x:c>
    </x:row>
    <x:row r="3049">
      <x:c r="A3049" s="35" t="str">
        <x:v>deepseek</x:v>
      </x:c>
      <x:c r="B3049" s="35" t="str">
        <x:v>JacksonDatabind</x:v>
      </x:c>
      <x:c r="C3049" s="35" t="str">
        <x:v>Round2</x:v>
      </x:c>
      <x:c r="D3049" s="35" t="str">
        <x:v>JacksonDatabind_83</x:v>
      </x:c>
      <x:c r="E3049" s="35" t="str">
        <x:v>Condition</x:v>
      </x:c>
      <x:c r="F3049" s="35" t="n">
        <x:v>88</x:v>
      </x:c>
      <x:c r="G3049" s="35" t="str">
        <x:v>RECORDED</x:v>
      </x:c>
      <x:c r="H3049" s="39" t="n">
        <x:f>IF(ISNUMBER('Data'!N1341),'Data'!N1341*100,"")</x:f>
        <x:v>78.41</x:v>
      </x:c>
      <x:c r="I3049" s="35" t="str">
        <x:v>PASS</x:v>
      </x:c>
      <x:c r="J3049" s="35" t="str">
        <x:v>PASS</x:v>
      </x:c>
      <x:c r="K3049" s="35" t="str">
        <x:v>PASS</x:v>
      </x:c>
      <x:c r="L3049" s="35" t="str">
        <x:v>FAIL</x:v>
      </x:c>
      <x:c r="M3049" s="35" t="str">
        <x:v>numeric coverage for applicable metric</x:v>
      </x:c>
      <x:c r="N3049" s="35" t="str">
        <x:v>Deepseek-flash-v4/Result2/JacksonDatabind_83/result.json</x:v>
      </x:c>
      <x:c r="O3049" s="39" t="n">
        <x:f>IF(AND(G3049="RECORDED",ISNUMBER(H3049)),H3049,"")</x:f>
        <x:v>78.41</x:v>
      </x:c>
      <x:c r="P3049" s="35" t="str">
        <x:v>INCONCLUSIVE</x:v>
      </x:c>
      <x:c r="Q3049" s="35" t="str">
        <x:v>Deepseek-flash-v4/Result2/JacksonDatabind_83/result.json</x:v>
      </x:c>
    </x:row>
    <x:row r="3050">
      <x:c r="A3050" s="35" t="str">
        <x:v>deepseek</x:v>
      </x:c>
      <x:c r="B3050" s="35" t="str">
        <x:v>JacksonDatabind</x:v>
      </x:c>
      <x:c r="C3050" s="35" t="str">
        <x:v>Round2</x:v>
      </x:c>
      <x:c r="D3050" s="35" t="str">
        <x:v>JacksonDatabind_84</x:v>
      </x:c>
      <x:c r="E3050" s="35" t="str">
        <x:v>Condition</x:v>
      </x:c>
      <x:c r="F3050" s="35" t="n">
        <x:v>14</x:v>
      </x:c>
      <x:c r="G3050" s="35" t="str">
        <x:v>RECORDED</x:v>
      </x:c>
      <x:c r="H3050" s="39" t="n">
        <x:f>IF(ISNUMBER('Data'!N1342),'Data'!N1342*100,"")</x:f>
        <x:v>100</x:v>
      </x:c>
      <x:c r="I3050" s="35" t="str">
        <x:v>PASS</x:v>
      </x:c>
      <x:c r="J3050" s="35" t="str">
        <x:v>PASS</x:v>
      </x:c>
      <x:c r="K3050" s="35" t="str">
        <x:v>PASS</x:v>
      </x:c>
      <x:c r="L3050" s="35" t="str">
        <x:v>FAIL</x:v>
      </x:c>
      <x:c r="M3050" s="35" t="str">
        <x:v>numeric coverage for applicable metric</x:v>
      </x:c>
      <x:c r="N3050" s="35" t="str">
        <x:v>Deepseek-flash-v4/Result2/JacksonDatabind_84/result.json</x:v>
      </x:c>
      <x:c r="O3050" s="39" t="n">
        <x:f>IF(AND(G3050="RECORDED",ISNUMBER(H3050)),H3050,"")</x:f>
        <x:v>100</x:v>
      </x:c>
      <x:c r="P3050" s="35" t="str">
        <x:v>INCONCLUSIVE</x:v>
      </x:c>
      <x:c r="Q3050" s="35" t="str">
        <x:v>Deepseek-flash-v4/Result2/JacksonDatabind_84/result.json</x:v>
      </x:c>
    </x:row>
    <x:row r="3051">
      <x:c r="A3051" s="35" t="str">
        <x:v>deepseek</x:v>
      </x:c>
      <x:c r="B3051" s="35" t="str">
        <x:v>JacksonDatabind</x:v>
      </x:c>
      <x:c r="C3051" s="35" t="str">
        <x:v>Round2</x:v>
      </x:c>
      <x:c r="D3051" s="35" t="str">
        <x:v>JacksonDatabind_85</x:v>
      </x:c>
      <x:c r="E3051" s="35" t="str">
        <x:v>Condition</x:v>
      </x:c>
      <x:c r="F3051" s="35"/>
      <x:c r="G3051" s="35" t="str">
        <x:v>A</x:v>
      </x:c>
      <x:c r="H3051" s="39" t="str">
        <x:f>IF(ISNUMBER('Data'!N1343),'Data'!N1343*100,"")</x:f>
      </x:c>
      <x:c r="I3051" s="35"/>
      <x:c r="J3051" s="35" t="str">
        <x:v>PASS</x:v>
      </x:c>
      <x:c r="K3051" s="35" t="str">
        <x:v>FAIL</x:v>
      </x:c>
      <x:c r="L3051" s="35" t="str">
        <x:v>NOT_RUN</x:v>
      </x:c>
      <x:c r="M3051" s="35" t="str">
        <x:v>coverage unavailable or execution/compile failed</x:v>
      </x:c>
      <x:c r="N3051" s="35" t="str">
        <x:v>Deepseek-flash-v4/Result2/JacksonDatabind_85/result.json</x:v>
      </x:c>
      <x:c r="O3051" s="39" t="str">
        <x:f>IF(AND(G3051="RECORDED",ISNUMBER(H3051)),H3051,"")</x:f>
      </x:c>
      <x:c r="P3051" s="35" t="str">
        <x:v>NOT_AVAILABLE</x:v>
      </x:c>
      <x:c r="Q3051" s="35" t="str">
        <x:v>Deepseek-flash-v4/Result2/JacksonDatabind_85/result.json</x:v>
      </x:c>
    </x:row>
    <x:row r="3052">
      <x:c r="A3052" s="35" t="str">
        <x:v>deepseek</x:v>
      </x:c>
      <x:c r="B3052" s="35" t="str">
        <x:v>JacksonDatabind</x:v>
      </x:c>
      <x:c r="C3052" s="35" t="str">
        <x:v>Round2</x:v>
      </x:c>
      <x:c r="D3052" s="35" t="str">
        <x:v>JacksonDatabind_86</x:v>
      </x:c>
      <x:c r="E3052" s="35" t="str">
        <x:v>Condition</x:v>
      </x:c>
      <x:c r="F3052" s="35" t="n">
        <x:v>14</x:v>
      </x:c>
      <x:c r="G3052" s="35" t="str">
        <x:v>RECORDED</x:v>
      </x:c>
      <x:c r="H3052" s="39" t="n">
        <x:f>IF(ISNUMBER('Data'!N1344),'Data'!N1344*100,"")</x:f>
        <x:v>100</x:v>
      </x:c>
      <x:c r="I3052" s="35" t="str">
        <x:v>PASS</x:v>
      </x:c>
      <x:c r="J3052" s="35" t="str">
        <x:v>PASS</x:v>
      </x:c>
      <x:c r="K3052" s="35" t="str">
        <x:v>PASS</x:v>
      </x:c>
      <x:c r="L3052" s="35" t="str">
        <x:v>PASS</x:v>
      </x:c>
      <x:c r="M3052" s="35" t="str">
        <x:v>numeric coverage for applicable metric</x:v>
      </x:c>
      <x:c r="N3052" s="35" t="str">
        <x:v>Deepseek-flash-v4/Result2/JacksonDatabind_86/result.json</x:v>
      </x:c>
      <x:c r="O3052" s="39" t="n">
        <x:f>IF(AND(G3052="RECORDED",ISNUMBER(H3052)),H3052,"")</x:f>
        <x:v>100</x:v>
      </x:c>
      <x:c r="P3052" s="35" t="str">
        <x:v>NOT_REVEALING</x:v>
      </x:c>
      <x:c r="Q3052" s="35" t="str">
        <x:v>Deepseek-flash-v4/Result2/JacksonDatabind_86/result.json</x:v>
      </x:c>
    </x:row>
    <x:row r="3053">
      <x:c r="A3053" s="35" t="str">
        <x:v>deepseek</x:v>
      </x:c>
      <x:c r="B3053" s="35" t="str">
        <x:v>JacksonDatabind</x:v>
      </x:c>
      <x:c r="C3053" s="35" t="str">
        <x:v>Round2</x:v>
      </x:c>
      <x:c r="D3053" s="35" t="str">
        <x:v>JacksonDatabind_87</x:v>
      </x:c>
      <x:c r="E3053" s="35" t="str">
        <x:v>Condition</x:v>
      </x:c>
      <x:c r="F3053" s="35" t="n">
        <x:v>136</x:v>
      </x:c>
      <x:c r="G3053" s="35" t="str">
        <x:v>RECORDED</x:v>
      </x:c>
      <x:c r="H3053" s="39" t="n">
        <x:f>IF(ISNUMBER('Data'!N1345),'Data'!N1345*100,"")</x:f>
        <x:v>65.44</x:v>
      </x:c>
      <x:c r="I3053" s="35" t="str">
        <x:v>PASS</x:v>
      </x:c>
      <x:c r="J3053" s="35" t="str">
        <x:v>PASS</x:v>
      </x:c>
      <x:c r="K3053" s="35" t="str">
        <x:v>PASS</x:v>
      </x:c>
      <x:c r="L3053" s="35" t="str">
        <x:v>PASS</x:v>
      </x:c>
      <x:c r="M3053" s="35" t="str">
        <x:v>numeric coverage for applicable metric</x:v>
      </x:c>
      <x:c r="N3053" s="35" t="str">
        <x:v>Deepseek-flash-v4/Result2/JacksonDatabind_87/result.json</x:v>
      </x:c>
      <x:c r="O3053" s="39" t="n">
        <x:f>IF(AND(G3053="RECORDED",ISNUMBER(H3053)),H3053,"")</x:f>
        <x:v>65.44</x:v>
      </x:c>
      <x:c r="P3053" s="35" t="str">
        <x:v>NOT_REVEALING</x:v>
      </x:c>
      <x:c r="Q3053" s="35" t="str">
        <x:v>Deepseek-flash-v4/Result2/JacksonDatabind_87/result.json</x:v>
      </x:c>
    </x:row>
    <x:row r="3054">
      <x:c r="A3054" s="35" t="str">
        <x:v>deepseek</x:v>
      </x:c>
      <x:c r="B3054" s="35" t="str">
        <x:v>JacksonDatabind</x:v>
      </x:c>
      <x:c r="C3054" s="35" t="str">
        <x:v>Round2</x:v>
      </x:c>
      <x:c r="D3054" s="35" t="str">
        <x:v>JacksonDatabind_88</x:v>
      </x:c>
      <x:c r="E3054" s="35" t="str">
        <x:v>Condition</x:v>
      </x:c>
      <x:c r="F3054" s="35"/>
      <x:c r="G3054" s="35" t="str">
        <x:v>A</x:v>
      </x:c>
      <x:c r="H3054" s="39" t="str">
        <x:f>IF(ISNUMBER('Data'!N1346),'Data'!N1346*100,"")</x:f>
      </x:c>
      <x:c r="I3054" s="35"/>
      <x:c r="J3054" s="35" t="str">
        <x:v>PASS</x:v>
      </x:c>
      <x:c r="K3054" s="35" t="str">
        <x:v>FAIL</x:v>
      </x:c>
      <x:c r="L3054" s="35" t="str">
        <x:v>NOT_RUN</x:v>
      </x:c>
      <x:c r="M3054" s="35" t="str">
        <x:v>coverage unavailable or execution/compile failed</x:v>
      </x:c>
      <x:c r="N3054" s="35" t="str">
        <x:v>Deepseek-flash-v4/Result2/JacksonDatabind_88/result.json</x:v>
      </x:c>
      <x:c r="O3054" s="39" t="str">
        <x:f>IF(AND(G3054="RECORDED",ISNUMBER(H3054)),H3054,"")</x:f>
      </x:c>
      <x:c r="P3054" s="35" t="str">
        <x:v>NOT_AVAILABLE</x:v>
      </x:c>
      <x:c r="Q3054" s="35" t="str">
        <x:v>Deepseek-flash-v4/Result2/JacksonDatabind_88/result.json</x:v>
      </x:c>
    </x:row>
    <x:row r="3055">
      <x:c r="A3055" s="35" t="str">
        <x:v>deepseek</x:v>
      </x:c>
      <x:c r="B3055" s="35" t="str">
        <x:v>JacksonDatabind</x:v>
      </x:c>
      <x:c r="C3055" s="35" t="str">
        <x:v>Round2</x:v>
      </x:c>
      <x:c r="D3055" s="35" t="str">
        <x:v>JacksonDatabind_9</x:v>
      </x:c>
      <x:c r="E3055" s="35" t="str">
        <x:v>Condition</x:v>
      </x:c>
      <x:c r="F3055" s="35" t="n">
        <x:v>2</x:v>
      </x:c>
      <x:c r="G3055" s="35" t="str">
        <x:v>RECORDED</x:v>
      </x:c>
      <x:c r="H3055" s="39" t="n">
        <x:f>IF(ISNUMBER('Data'!N1347),'Data'!N1347*100,"")</x:f>
        <x:v>100</x:v>
      </x:c>
      <x:c r="I3055" s="35" t="str">
        <x:v>PASS</x:v>
      </x:c>
      <x:c r="J3055" s="35" t="str">
        <x:v>PASS</x:v>
      </x:c>
      <x:c r="K3055" s="35" t="str">
        <x:v>PASS</x:v>
      </x:c>
      <x:c r="L3055" s="35" t="str">
        <x:v>FAIL</x:v>
      </x:c>
      <x:c r="M3055" s="35" t="str">
        <x:v>numeric coverage for applicable metric</x:v>
      </x:c>
      <x:c r="N3055" s="35" t="str">
        <x:v>Deepseek-flash-v4/Result2/JacksonDatabind_9/result.json</x:v>
      </x:c>
      <x:c r="O3055" s="39" t="n">
        <x:f>IF(AND(G3055="RECORDED",ISNUMBER(H3055)),H3055,"")</x:f>
        <x:v>100</x:v>
      </x:c>
      <x:c r="P3055" s="35" t="str">
        <x:v>INCONCLUSIVE</x:v>
      </x:c>
      <x:c r="Q3055" s="35" t="str">
        <x:v>Deepseek-flash-v4/Result2/JacksonDatabind_9/result.json</x:v>
      </x:c>
    </x:row>
    <x:row r="3056">
      <x:c r="A3056" s="35" t="str">
        <x:v>deepseek</x:v>
      </x:c>
      <x:c r="B3056" s="35" t="str">
        <x:v>JacksonDatabind</x:v>
      </x:c>
      <x:c r="C3056" s="35" t="str">
        <x:v>Round2</x:v>
      </x:c>
      <x:c r="D3056" s="35" t="str">
        <x:v>JacksonDatabind_90</x:v>
      </x:c>
      <x:c r="E3056" s="35" t="str">
        <x:v>Condition</x:v>
      </x:c>
      <x:c r="F3056" s="35"/>
      <x:c r="G3056" s="35" t="str">
        <x:v>A</x:v>
      </x:c>
      <x:c r="H3056" s="39" t="str">
        <x:f>IF(ISNUMBER('Data'!N1348),'Data'!N1348*100,"")</x:f>
      </x:c>
      <x:c r="I3056" s="35"/>
      <x:c r="J3056" s="35" t="str">
        <x:v>PASS</x:v>
      </x:c>
      <x:c r="K3056" s="35" t="str">
        <x:v>FAIL</x:v>
      </x:c>
      <x:c r="L3056" s="35" t="str">
        <x:v>NOT_RUN</x:v>
      </x:c>
      <x:c r="M3056" s="35" t="str">
        <x:v>coverage unavailable or execution/compile failed</x:v>
      </x:c>
      <x:c r="N3056" s="35" t="str">
        <x:v>Deepseek-flash-v4/Result2/JacksonDatabind_90/result.json</x:v>
      </x:c>
      <x:c r="O3056" s="39" t="str">
        <x:f>IF(AND(G3056="RECORDED",ISNUMBER(H3056)),H3056,"")</x:f>
      </x:c>
      <x:c r="P3056" s="35" t="str">
        <x:v>NOT_AVAILABLE</x:v>
      </x:c>
      <x:c r="Q3056" s="35" t="str">
        <x:v>Deepseek-flash-v4/Result2/JacksonDatabind_90/result.json</x:v>
      </x:c>
    </x:row>
    <x:row r="3057">
      <x:c r="A3057" s="35" t="str">
        <x:v>deepseek</x:v>
      </x:c>
      <x:c r="B3057" s="35" t="str">
        <x:v>JacksonDatabind</x:v>
      </x:c>
      <x:c r="C3057" s="35" t="str">
        <x:v>Round2</x:v>
      </x:c>
      <x:c r="D3057" s="35" t="str">
        <x:v>JacksonDatabind_91</x:v>
      </x:c>
      <x:c r="E3057" s="35" t="str">
        <x:v>Condition</x:v>
      </x:c>
      <x:c r="F3057" s="35"/>
      <x:c r="G3057" s="35" t="str">
        <x:v>A</x:v>
      </x:c>
      <x:c r="H3057" s="39" t="str">
        <x:f>IF(ISNUMBER('Data'!N1349),'Data'!N1349*100,"")</x:f>
      </x:c>
      <x:c r="I3057" s="35"/>
      <x:c r="J3057" s="35" t="str">
        <x:v>PASS</x:v>
      </x:c>
      <x:c r="K3057" s="35" t="str">
        <x:v>FAIL</x:v>
      </x:c>
      <x:c r="L3057" s="35" t="str">
        <x:v>NOT_RUN</x:v>
      </x:c>
      <x:c r="M3057" s="35" t="str">
        <x:v>coverage unavailable or execution/compile failed</x:v>
      </x:c>
      <x:c r="N3057" s="35" t="str">
        <x:v>Deepseek-flash-v4/Result2/JacksonDatabind_91/result.json</x:v>
      </x:c>
      <x:c r="O3057" s="39" t="str">
        <x:f>IF(AND(G3057="RECORDED",ISNUMBER(H3057)),H3057,"")</x:f>
      </x:c>
      <x:c r="P3057" s="35" t="str">
        <x:v>NOT_AVAILABLE</x:v>
      </x:c>
      <x:c r="Q3057" s="35" t="str">
        <x:v>Deepseek-flash-v4/Result2/JacksonDatabind_91/result.json</x:v>
      </x:c>
    </x:row>
    <x:row r="3058">
      <x:c r="A3058" s="35" t="str">
        <x:v>deepseek</x:v>
      </x:c>
      <x:c r="B3058" s="35" t="str">
        <x:v>JacksonDatabind</x:v>
      </x:c>
      <x:c r="C3058" s="35" t="str">
        <x:v>Round2</x:v>
      </x:c>
      <x:c r="D3058" s="35" t="str">
        <x:v>JacksonDatabind_92</x:v>
      </x:c>
      <x:c r="E3058" s="35" t="str">
        <x:v>Condition</x:v>
      </x:c>
      <x:c r="F3058" s="35" t="n">
        <x:v>204</x:v>
      </x:c>
      <x:c r="G3058" s="35" t="str">
        <x:v>RECORDED</x:v>
      </x:c>
      <x:c r="H3058" s="39" t="n">
        <x:f>IF(ISNUMBER('Data'!N1350),'Data'!N1350*100,"")</x:f>
        <x:v>10.78</x:v>
      </x:c>
      <x:c r="I3058" s="35" t="str">
        <x:v>PASS</x:v>
      </x:c>
      <x:c r="J3058" s="35" t="str">
        <x:v>PASS</x:v>
      </x:c>
      <x:c r="K3058" s="35" t="str">
        <x:v>PASS</x:v>
      </x:c>
      <x:c r="L3058" s="35" t="str">
        <x:v>FAIL</x:v>
      </x:c>
      <x:c r="M3058" s="35" t="str">
        <x:v>numeric coverage for applicable metric</x:v>
      </x:c>
      <x:c r="N3058" s="35" t="str">
        <x:v>Deepseek-flash-v4/Result2/JacksonDatabind_92/result.json</x:v>
      </x:c>
      <x:c r="O3058" s="39" t="n">
        <x:f>IF(AND(G3058="RECORDED",ISNUMBER(H3058)),H3058,"")</x:f>
        <x:v>10.78</x:v>
      </x:c>
      <x:c r="P3058" s="35" t="str">
        <x:v>INCONCLUSIVE</x:v>
      </x:c>
      <x:c r="Q3058" s="35" t="str">
        <x:v>Deepseek-flash-v4/Result2/JacksonDatabind_92/result.json</x:v>
      </x:c>
    </x:row>
    <x:row r="3059">
      <x:c r="A3059" s="35" t="str">
        <x:v>deepseek</x:v>
      </x:c>
      <x:c r="B3059" s="35" t="str">
        <x:v>JacksonDatabind</x:v>
      </x:c>
      <x:c r="C3059" s="35" t="str">
        <x:v>Round2</x:v>
      </x:c>
      <x:c r="D3059" s="35" t="str">
        <x:v>JacksonDatabind_93</x:v>
      </x:c>
      <x:c r="E3059" s="35" t="str">
        <x:v>Condition</x:v>
      </x:c>
      <x:c r="F3059" s="35" t="n">
        <x:v>10</x:v>
      </x:c>
      <x:c r="G3059" s="35" t="str">
        <x:v>RECORDED</x:v>
      </x:c>
      <x:c r="H3059" s="39" t="n">
        <x:f>IF(ISNUMBER('Data'!N1351),'Data'!N1351*100,"")</x:f>
        <x:v>30</x:v>
      </x:c>
      <x:c r="I3059" s="35" t="str">
        <x:v>PASS</x:v>
      </x:c>
      <x:c r="J3059" s="35" t="str">
        <x:v>PASS</x:v>
      </x:c>
      <x:c r="K3059" s="35" t="str">
        <x:v>PASS</x:v>
      </x:c>
      <x:c r="L3059" s="35" t="str">
        <x:v>FAIL</x:v>
      </x:c>
      <x:c r="M3059" s="35" t="str">
        <x:v>numeric coverage for applicable metric</x:v>
      </x:c>
      <x:c r="N3059" s="35" t="str">
        <x:v>Deepseek-flash-v4/Result2/JacksonDatabind_93/result.json</x:v>
      </x:c>
      <x:c r="O3059" s="39" t="n">
        <x:f>IF(AND(G3059="RECORDED",ISNUMBER(H3059)),H3059,"")</x:f>
        <x:v>30</x:v>
      </x:c>
      <x:c r="P3059" s="35" t="str">
        <x:v>INCONCLUSIVE</x:v>
      </x:c>
      <x:c r="Q3059" s="35" t="str">
        <x:v>Deepseek-flash-v4/Result2/JacksonDatabind_93/result.json</x:v>
      </x:c>
    </x:row>
    <x:row r="3060">
      <x:c r="A3060" s="35" t="str">
        <x:v>deepseek</x:v>
      </x:c>
      <x:c r="B3060" s="35" t="str">
        <x:v>JacksonDatabind</x:v>
      </x:c>
      <x:c r="C3060" s="35" t="str">
        <x:v>Round2</x:v>
      </x:c>
      <x:c r="D3060" s="35" t="str">
        <x:v>JacksonDatabind_94</x:v>
      </x:c>
      <x:c r="E3060" s="35" t="str">
        <x:v>Condition</x:v>
      </x:c>
      <x:c r="F3060" s="35" t="n">
        <x:v>14</x:v>
      </x:c>
      <x:c r="G3060" s="35" t="str">
        <x:v>RECORDED</x:v>
      </x:c>
      <x:c r="H3060" s="39" t="n">
        <x:f>IF(ISNUMBER('Data'!N1352),'Data'!N1352*100,"")</x:f>
        <x:v>35.71</x:v>
      </x:c>
      <x:c r="I3060" s="35" t="str">
        <x:v>PASS</x:v>
      </x:c>
      <x:c r="J3060" s="35" t="str">
        <x:v>PASS</x:v>
      </x:c>
      <x:c r="K3060" s="35" t="str">
        <x:v>PASS</x:v>
      </x:c>
      <x:c r="L3060" s="35" t="str">
        <x:v>FAIL</x:v>
      </x:c>
      <x:c r="M3060" s="35" t="str">
        <x:v>numeric coverage for applicable metric</x:v>
      </x:c>
      <x:c r="N3060" s="35" t="str">
        <x:v>Deepseek-flash-v4/Result2/JacksonDatabind_94/result.json</x:v>
      </x:c>
      <x:c r="O3060" s="39" t="n">
        <x:f>IF(AND(G3060="RECORDED",ISNUMBER(H3060)),H3060,"")</x:f>
        <x:v>35.71</x:v>
      </x:c>
      <x:c r="P3060" s="35" t="str">
        <x:v>INCONCLUSIVE</x:v>
      </x:c>
      <x:c r="Q3060" s="35" t="str">
        <x:v>Deepseek-flash-v4/Result2/JacksonDatabind_94/result.json</x:v>
      </x:c>
    </x:row>
    <x:row r="3061">
      <x:c r="A3061" s="35" t="str">
        <x:v>deepseek</x:v>
      </x:c>
      <x:c r="B3061" s="35" t="str">
        <x:v>JacksonDatabind</x:v>
      </x:c>
      <x:c r="C3061" s="35" t="str">
        <x:v>Round2</x:v>
      </x:c>
      <x:c r="D3061" s="35" t="str">
        <x:v>JacksonDatabind_95</x:v>
      </x:c>
      <x:c r="E3061" s="35" t="str">
        <x:v>Condition</x:v>
      </x:c>
      <x:c r="F3061" s="35"/>
      <x:c r="G3061" s="35" t="str">
        <x:v>A</x:v>
      </x:c>
      <x:c r="H3061" s="39" t="str">
        <x:f>IF(ISNUMBER('Data'!N1353),'Data'!N1353*100,"")</x:f>
      </x:c>
      <x:c r="I3061" s="35"/>
      <x:c r="J3061" s="35" t="str">
        <x:v>PASS</x:v>
      </x:c>
      <x:c r="K3061" s="35" t="str">
        <x:v>FAIL</x:v>
      </x:c>
      <x:c r="L3061" s="35" t="str">
        <x:v>NOT_RUN</x:v>
      </x:c>
      <x:c r="M3061" s="35" t="str">
        <x:v>coverage unavailable or execution/compile failed</x:v>
      </x:c>
      <x:c r="N3061" s="35" t="str">
        <x:v>Deepseek-flash-v4/Result2/JacksonDatabind_95/result.json</x:v>
      </x:c>
      <x:c r="O3061" s="39" t="str">
        <x:f>IF(AND(G3061="RECORDED",ISNUMBER(H3061)),H3061,"")</x:f>
      </x:c>
      <x:c r="P3061" s="35" t="str">
        <x:v>NOT_AVAILABLE</x:v>
      </x:c>
      <x:c r="Q3061" s="35" t="str">
        <x:v>Deepseek-flash-v4/Result2/JacksonDatabind_95/result.json</x:v>
      </x:c>
    </x:row>
    <x:row r="3062">
      <x:c r="A3062" s="35" t="str">
        <x:v>deepseek</x:v>
      </x:c>
      <x:c r="B3062" s="35" t="str">
        <x:v>JacksonDatabind</x:v>
      </x:c>
      <x:c r="C3062" s="35" t="str">
        <x:v>Round2</x:v>
      </x:c>
      <x:c r="D3062" s="35" t="str">
        <x:v>JacksonDatabind_96</x:v>
      </x:c>
      <x:c r="E3062" s="35" t="str">
        <x:v>Condition</x:v>
      </x:c>
      <x:c r="F3062" s="35"/>
      <x:c r="G3062" s="35" t="str">
        <x:v>A</x:v>
      </x:c>
      <x:c r="H3062" s="39" t="str">
        <x:f>IF(ISNUMBER('Data'!N1354),'Data'!N1354*100,"")</x:f>
      </x:c>
      <x:c r="I3062" s="35"/>
      <x:c r="J3062" s="35" t="str">
        <x:v>PASS</x:v>
      </x:c>
      <x:c r="K3062" s="35" t="str">
        <x:v>FAIL</x:v>
      </x:c>
      <x:c r="L3062" s="35" t="str">
        <x:v>NOT_RUN</x:v>
      </x:c>
      <x:c r="M3062" s="35" t="str">
        <x:v>coverage unavailable or execution/compile failed</x:v>
      </x:c>
      <x:c r="N3062" s="35" t="str">
        <x:v>Deepseek-flash-v4/Result2/JacksonDatabind_96/result.json</x:v>
      </x:c>
      <x:c r="O3062" s="39" t="str">
        <x:f>IF(AND(G3062="RECORDED",ISNUMBER(H3062)),H3062,"")</x:f>
      </x:c>
      <x:c r="P3062" s="35" t="str">
        <x:v>NOT_AVAILABLE</x:v>
      </x:c>
      <x:c r="Q3062" s="35" t="str">
        <x:v>Deepseek-flash-v4/Result2/JacksonDatabind_96/result.json</x:v>
      </x:c>
    </x:row>
    <x:row r="3063">
      <x:c r="A3063" s="35" t="str">
        <x:v>deepseek</x:v>
      </x:c>
      <x:c r="B3063" s="35" t="str">
        <x:v>JacksonDatabind</x:v>
      </x:c>
      <x:c r="C3063" s="35" t="str">
        <x:v>Round2</x:v>
      </x:c>
      <x:c r="D3063" s="35" t="str">
        <x:v>JacksonDatabind_97</x:v>
      </x:c>
      <x:c r="E3063" s="35" t="str">
        <x:v>Condition</x:v>
      </x:c>
      <x:c r="F3063" s="35"/>
      <x:c r="G3063" s="35" t="str">
        <x:v>A</x:v>
      </x:c>
      <x:c r="H3063" s="39" t="str">
        <x:f>IF(ISNUMBER('Data'!N1355),'Data'!N1355*100,"")</x:f>
      </x:c>
      <x:c r="I3063" s="35"/>
      <x:c r="J3063" s="35" t="str">
        <x:v>PASS</x:v>
      </x:c>
      <x:c r="K3063" s="35" t="str">
        <x:v>FAIL</x:v>
      </x:c>
      <x:c r="L3063" s="35" t="str">
        <x:v>NOT_RUN</x:v>
      </x:c>
      <x:c r="M3063" s="35" t="str">
        <x:v>coverage unavailable or execution/compile failed</x:v>
      </x:c>
      <x:c r="N3063" s="35" t="str">
        <x:v>Deepseek-flash-v4/Result2/JacksonDatabind_97/result.json</x:v>
      </x:c>
      <x:c r="O3063" s="39" t="str">
        <x:f>IF(AND(G3063="RECORDED",ISNUMBER(H3063)),H3063,"")</x:f>
      </x:c>
      <x:c r="P3063" s="35" t="str">
        <x:v>NOT_AVAILABLE</x:v>
      </x:c>
      <x:c r="Q3063" s="35" t="str">
        <x:v>Deepseek-flash-v4/Result2/JacksonDatabind_97/result.json</x:v>
      </x:c>
    </x:row>
    <x:row r="3064">
      <x:c r="A3064" s="35" t="str">
        <x:v>deepseek</x:v>
      </x:c>
      <x:c r="B3064" s="35" t="str">
        <x:v>JacksonDatabind</x:v>
      </x:c>
      <x:c r="C3064" s="35" t="str">
        <x:v>Round2</x:v>
      </x:c>
      <x:c r="D3064" s="35" t="str">
        <x:v>JacksonDatabind_98</x:v>
      </x:c>
      <x:c r="E3064" s="35" t="str">
        <x:v>Condition</x:v>
      </x:c>
      <x:c r="F3064" s="35" t="n">
        <x:v>92</x:v>
      </x:c>
      <x:c r="G3064" s="35" t="str">
        <x:v>RECORDED</x:v>
      </x:c>
      <x:c r="H3064" s="39" t="n">
        <x:f>IF(ISNUMBER('Data'!N1356),'Data'!N1356*100,"")</x:f>
        <x:v>33.7</x:v>
      </x:c>
      <x:c r="I3064" s="35" t="str">
        <x:v>PASS</x:v>
      </x:c>
      <x:c r="J3064" s="35" t="str">
        <x:v>PASS</x:v>
      </x:c>
      <x:c r="K3064" s="35" t="str">
        <x:v>PASS</x:v>
      </x:c>
      <x:c r="L3064" s="35" t="str">
        <x:v>FAIL</x:v>
      </x:c>
      <x:c r="M3064" s="35" t="str">
        <x:v>numeric coverage for applicable metric</x:v>
      </x:c>
      <x:c r="N3064" s="35" t="str">
        <x:v>Deepseek-flash-v4/Result2/JacksonDatabind_98/result.json</x:v>
      </x:c>
      <x:c r="O3064" s="39" t="n">
        <x:f>IF(AND(G3064="RECORDED",ISNUMBER(H3064)),H3064,"")</x:f>
        <x:v>33.7</x:v>
      </x:c>
      <x:c r="P3064" s="35" t="str">
        <x:v>INCONCLUSIVE</x:v>
      </x:c>
      <x:c r="Q3064" s="35" t="str">
        <x:v>Deepseek-flash-v4/Result2/JacksonDatabind_98/result.json</x:v>
      </x:c>
    </x:row>
    <x:row r="3065">
      <x:c r="A3065" s="35" t="str">
        <x:v>deepseek</x:v>
      </x:c>
      <x:c r="B3065" s="35" t="str">
        <x:v>JacksonDatabind</x:v>
      </x:c>
      <x:c r="C3065" s="35" t="str">
        <x:v>Round2</x:v>
      </x:c>
      <x:c r="D3065" s="35" t="str">
        <x:v>JacksonDatabind_99</x:v>
      </x:c>
      <x:c r="E3065" s="35" t="str">
        <x:v>Condition</x:v>
      </x:c>
      <x:c r="F3065" s="35"/>
      <x:c r="G3065" s="35" t="str">
        <x:v>A</x:v>
      </x:c>
      <x:c r="H3065" s="39" t="str">
        <x:f>IF(ISNUMBER('Data'!N1357),'Data'!N1357*100,"")</x:f>
      </x:c>
      <x:c r="I3065" s="35"/>
      <x:c r="J3065" s="35" t="str">
        <x:v>PASS</x:v>
      </x:c>
      <x:c r="K3065" s="35" t="str">
        <x:v>FAIL</x:v>
      </x:c>
      <x:c r="L3065" s="35" t="str">
        <x:v>NOT_RUN</x:v>
      </x:c>
      <x:c r="M3065" s="35" t="str">
        <x:v>coverage unavailable or execution/compile failed</x:v>
      </x:c>
      <x:c r="N3065" s="35" t="str">
        <x:v>Deepseek-flash-v4/Result2/JacksonDatabind_99/result.json</x:v>
      </x:c>
      <x:c r="O3065" s="39" t="str">
        <x:f>IF(AND(G3065="RECORDED",ISNUMBER(H3065)),H3065,"")</x:f>
      </x:c>
      <x:c r="P3065" s="35" t="str">
        <x:v>NOT_AVAILABLE</x:v>
      </x:c>
      <x:c r="Q3065" s="35" t="str">
        <x:v>Deepseek-flash-v4/Result2/JacksonDatabind_99/result.json</x:v>
      </x:c>
    </x:row>
    <x:row r="3066">
      <x:c r="A3066" s="35" t="str">
        <x:v>deepseek</x:v>
      </x:c>
      <x:c r="B3066" s="35" t="str">
        <x:v>JacksonXml</x:v>
      </x:c>
      <x:c r="C3066" s="35" t="str">
        <x:v>Round2</x:v>
      </x:c>
      <x:c r="D3066" s="35" t="str">
        <x:v>JacksonXml_1</x:v>
      </x:c>
      <x:c r="E3066" s="35" t="str">
        <x:v>Condition</x:v>
      </x:c>
      <x:c r="F3066" s="35"/>
      <x:c r="G3066" s="35" t="str">
        <x:v>A</x:v>
      </x:c>
      <x:c r="H3066" s="39" t="str">
        <x:f>IF(ISNUMBER('Data'!N1358),'Data'!N1358*100,"")</x:f>
      </x:c>
      <x:c r="I3066" s="35"/>
      <x:c r="J3066" s="35" t="str">
        <x:v>PASS</x:v>
      </x:c>
      <x:c r="K3066" s="35" t="str">
        <x:v>FAIL</x:v>
      </x:c>
      <x:c r="L3066" s="35" t="str">
        <x:v>NOT_RUN</x:v>
      </x:c>
      <x:c r="M3066" s="35" t="str">
        <x:v>coverage unavailable or execution/compile failed</x:v>
      </x:c>
      <x:c r="N3066" s="35" t="str">
        <x:v>Deepseek-flash-v4/Result2/JacksonXml_1/result.json</x:v>
      </x:c>
      <x:c r="O3066" s="39" t="str">
        <x:f>IF(AND(G3066="RECORDED",ISNUMBER(H3066)),H3066,"")</x:f>
      </x:c>
      <x:c r="P3066" s="35" t="str">
        <x:v>NOT_AVAILABLE</x:v>
      </x:c>
      <x:c r="Q3066" s="35" t="str">
        <x:v>Deepseek-flash-v4/Result2/JacksonXml_1/result.json</x:v>
      </x:c>
    </x:row>
    <x:row r="3067">
      <x:c r="A3067" s="35" t="str">
        <x:v>deepseek</x:v>
      </x:c>
      <x:c r="B3067" s="35" t="str">
        <x:v>JacksonXml</x:v>
      </x:c>
      <x:c r="C3067" s="35" t="str">
        <x:v>Round2</x:v>
      </x:c>
      <x:c r="D3067" s="35" t="str">
        <x:v>JacksonXml_2</x:v>
      </x:c>
      <x:c r="E3067" s="35" t="str">
        <x:v>Condition</x:v>
      </x:c>
      <x:c r="F3067" s="35"/>
      <x:c r="G3067" s="35" t="str">
        <x:v>A</x:v>
      </x:c>
      <x:c r="H3067" s="39" t="str">
        <x:f>IF(ISNUMBER('Data'!N1359),'Data'!N1359*100,"")</x:f>
      </x:c>
      <x:c r="I3067" s="35"/>
      <x:c r="J3067" s="35" t="str">
        <x:v>PASS</x:v>
      </x:c>
      <x:c r="K3067" s="35" t="str">
        <x:v>FAIL</x:v>
      </x:c>
      <x:c r="L3067" s="35" t="str">
        <x:v>NOT_RUN</x:v>
      </x:c>
      <x:c r="M3067" s="35" t="str">
        <x:v>coverage unavailable or execution/compile failed</x:v>
      </x:c>
      <x:c r="N3067" s="35" t="str">
        <x:v>Deepseek-flash-v4/Result2/JacksonXml_2/result.json</x:v>
      </x:c>
      <x:c r="O3067" s="39" t="str">
        <x:f>IF(AND(G3067="RECORDED",ISNUMBER(H3067)),H3067,"")</x:f>
      </x:c>
      <x:c r="P3067" s="35" t="str">
        <x:v>NOT_AVAILABLE</x:v>
      </x:c>
      <x:c r="Q3067" s="35" t="str">
        <x:v>Deepseek-flash-v4/Result2/JacksonXml_2/result.json</x:v>
      </x:c>
    </x:row>
    <x:row r="3068">
      <x:c r="A3068" s="35" t="str">
        <x:v>deepseek</x:v>
      </x:c>
      <x:c r="B3068" s="35" t="str">
        <x:v>JacksonXml</x:v>
      </x:c>
      <x:c r="C3068" s="35" t="str">
        <x:v>Round2</x:v>
      </x:c>
      <x:c r="D3068" s="35" t="str">
        <x:v>JacksonXml_3</x:v>
      </x:c>
      <x:c r="E3068" s="35" t="str">
        <x:v>Condition</x:v>
      </x:c>
      <x:c r="F3068" s="35"/>
      <x:c r="G3068" s="35" t="str">
        <x:v>A</x:v>
      </x:c>
      <x:c r="H3068" s="39" t="str">
        <x:f>IF(ISNUMBER('Data'!N1360),'Data'!N1360*100,"")</x:f>
      </x:c>
      <x:c r="I3068" s="35"/>
      <x:c r="J3068" s="35" t="str">
        <x:v>PASS</x:v>
      </x:c>
      <x:c r="K3068" s="35" t="str">
        <x:v>FAIL</x:v>
      </x:c>
      <x:c r="L3068" s="35" t="str">
        <x:v>NOT_RUN</x:v>
      </x:c>
      <x:c r="M3068" s="35" t="str">
        <x:v>coverage unavailable or execution/compile failed</x:v>
      </x:c>
      <x:c r="N3068" s="35" t="str">
        <x:v>Deepseek-flash-v4/Result2/JacksonXml_3/result.json</x:v>
      </x:c>
      <x:c r="O3068" s="39" t="str">
        <x:f>IF(AND(G3068="RECORDED",ISNUMBER(H3068)),H3068,"")</x:f>
      </x:c>
      <x:c r="P3068" s="35" t="str">
        <x:v>NOT_AVAILABLE</x:v>
      </x:c>
      <x:c r="Q3068" s="35" t="str">
        <x:v>Deepseek-flash-v4/Result2/JacksonXml_3/result.json</x:v>
      </x:c>
    </x:row>
    <x:row r="3069">
      <x:c r="A3069" s="35" t="str">
        <x:v>deepseek</x:v>
      </x:c>
      <x:c r="B3069" s="35" t="str">
        <x:v>JacksonXml</x:v>
      </x:c>
      <x:c r="C3069" s="35" t="str">
        <x:v>Round2</x:v>
      </x:c>
      <x:c r="D3069" s="35" t="str">
        <x:v>JacksonXml_4</x:v>
      </x:c>
      <x:c r="E3069" s="35" t="str">
        <x:v>Condition</x:v>
      </x:c>
      <x:c r="F3069" s="35"/>
      <x:c r="G3069" s="35" t="str">
        <x:v>A</x:v>
      </x:c>
      <x:c r="H3069" s="39" t="str">
        <x:f>IF(ISNUMBER('Data'!N1361),'Data'!N1361*100,"")</x:f>
      </x:c>
      <x:c r="I3069" s="35"/>
      <x:c r="J3069" s="35" t="str">
        <x:v>PASS</x:v>
      </x:c>
      <x:c r="K3069" s="35" t="str">
        <x:v>FAIL</x:v>
      </x:c>
      <x:c r="L3069" s="35" t="str">
        <x:v>NOT_RUN</x:v>
      </x:c>
      <x:c r="M3069" s="35" t="str">
        <x:v>coverage unavailable or execution/compile failed</x:v>
      </x:c>
      <x:c r="N3069" s="35" t="str">
        <x:v>Deepseek-flash-v4/Result2/JacksonXml_4/result.json</x:v>
      </x:c>
      <x:c r="O3069" s="39" t="str">
        <x:f>IF(AND(G3069="RECORDED",ISNUMBER(H3069)),H3069,"")</x:f>
      </x:c>
      <x:c r="P3069" s="35" t="str">
        <x:v>NOT_AVAILABLE</x:v>
      </x:c>
      <x:c r="Q3069" s="35" t="str">
        <x:v>Deepseek-flash-v4/Result2/JacksonXml_4/result.json</x:v>
      </x:c>
    </x:row>
    <x:row r="3070">
      <x:c r="A3070" s="35" t="str">
        <x:v>deepseek</x:v>
      </x:c>
      <x:c r="B3070" s="35" t="str">
        <x:v>JacksonXml</x:v>
      </x:c>
      <x:c r="C3070" s="35" t="str">
        <x:v>Round2</x:v>
      </x:c>
      <x:c r="D3070" s="35" t="str">
        <x:v>JacksonXml_5</x:v>
      </x:c>
      <x:c r="E3070" s="35" t="str">
        <x:v>Condition</x:v>
      </x:c>
      <x:c r="F3070" s="35"/>
      <x:c r="G3070" s="35" t="str">
        <x:v>A</x:v>
      </x:c>
      <x:c r="H3070" s="39" t="str">
        <x:f>IF(ISNUMBER('Data'!N1362),'Data'!N1362*100,"")</x:f>
      </x:c>
      <x:c r="I3070" s="35"/>
      <x:c r="J3070" s="35" t="str">
        <x:v>PASS</x:v>
      </x:c>
      <x:c r="K3070" s="35" t="str">
        <x:v>FAIL</x:v>
      </x:c>
      <x:c r="L3070" s="35" t="str">
        <x:v>NOT_RUN</x:v>
      </x:c>
      <x:c r="M3070" s="35" t="str">
        <x:v>coverage unavailable or execution/compile failed</x:v>
      </x:c>
      <x:c r="N3070" s="35" t="str">
        <x:v>Deepseek-flash-v4/Result2/JacksonXml_5/result.json</x:v>
      </x:c>
      <x:c r="O3070" s="39" t="str">
        <x:f>IF(AND(G3070="RECORDED",ISNUMBER(H3070)),H3070,"")</x:f>
      </x:c>
      <x:c r="P3070" s="35" t="str">
        <x:v>NOT_AVAILABLE</x:v>
      </x:c>
      <x:c r="Q3070" s="35" t="str">
        <x:v>Deepseek-flash-v4/Result2/JacksonXml_5/result.json</x:v>
      </x:c>
    </x:row>
    <x:row r="3071">
      <x:c r="A3071" s="35" t="str">
        <x:v>deepseek</x:v>
      </x:c>
      <x:c r="B3071" s="35" t="str">
        <x:v>JacksonXml</x:v>
      </x:c>
      <x:c r="C3071" s="35" t="str">
        <x:v>Round2</x:v>
      </x:c>
      <x:c r="D3071" s="35" t="str">
        <x:v>JacksonXml_6</x:v>
      </x:c>
      <x:c r="E3071" s="35" t="str">
        <x:v>Condition</x:v>
      </x:c>
      <x:c r="F3071" s="35"/>
      <x:c r="G3071" s="35" t="str">
        <x:v>A</x:v>
      </x:c>
      <x:c r="H3071" s="39" t="str">
        <x:f>IF(ISNUMBER('Data'!N1363),'Data'!N1363*100,"")</x:f>
      </x:c>
      <x:c r="I3071" s="35"/>
      <x:c r="J3071" s="35" t="str">
        <x:v>PASS</x:v>
      </x:c>
      <x:c r="K3071" s="35" t="str">
        <x:v>FAIL</x:v>
      </x:c>
      <x:c r="L3071" s="35" t="str">
        <x:v>NOT_RUN</x:v>
      </x:c>
      <x:c r="M3071" s="35" t="str">
        <x:v>coverage unavailable or execution/compile failed</x:v>
      </x:c>
      <x:c r="N3071" s="35" t="str">
        <x:v>Deepseek-flash-v4/Result2/JacksonXml_6/result.json</x:v>
      </x:c>
      <x:c r="O3071" s="39" t="str">
        <x:f>IF(AND(G3071="RECORDED",ISNUMBER(H3071)),H3071,"")</x:f>
      </x:c>
      <x:c r="P3071" s="35" t="str">
        <x:v>NOT_AVAILABLE</x:v>
      </x:c>
      <x:c r="Q3071" s="35" t="str">
        <x:v>Deepseek-flash-v4/Result2/JacksonXml_6/result.json</x:v>
      </x:c>
    </x:row>
    <x:row r="3072">
      <x:c r="A3072" s="35" t="str">
        <x:v>deepseek</x:v>
      </x:c>
      <x:c r="B3072" s="35" t="str">
        <x:v>Jsoup</x:v>
      </x:c>
      <x:c r="C3072" s="35" t="str">
        <x:v>Round2</x:v>
      </x:c>
      <x:c r="D3072" s="35" t="str">
        <x:v>Jsoup_1</x:v>
      </x:c>
      <x:c r="E3072" s="35" t="str">
        <x:v>Condition</x:v>
      </x:c>
      <x:c r="F3072" s="35" t="n">
        <x:v>18</x:v>
      </x:c>
      <x:c r="G3072" s="35" t="str">
        <x:v>RECORDED</x:v>
      </x:c>
      <x:c r="H3072" s="39" t="n">
        <x:f>IF(ISNUMBER('Data'!N1364),'Data'!N1364*100,"")</x:f>
        <x:v>94.44</x:v>
      </x:c>
      <x:c r="I3072" s="35" t="str">
        <x:v>PASS</x:v>
      </x:c>
      <x:c r="J3072" s="35" t="str">
        <x:v>PASS</x:v>
      </x:c>
      <x:c r="K3072" s="35" t="str">
        <x:v>PASS</x:v>
      </x:c>
      <x:c r="L3072" s="35" t="str">
        <x:v>FAIL</x:v>
      </x:c>
      <x:c r="M3072" s="35" t="str">
        <x:v>numeric coverage for applicable metric</x:v>
      </x:c>
      <x:c r="N3072" s="35" t="str">
        <x:v>Deepseek-flash-v4/Result2/Jsoup_1/result.json</x:v>
      </x:c>
      <x:c r="O3072" s="39" t="n">
        <x:f>IF(AND(G3072="RECORDED",ISNUMBER(H3072)),H3072,"")</x:f>
        <x:v>94.44</x:v>
      </x:c>
      <x:c r="P3072" s="35" t="str">
        <x:v>INCONCLUSIVE</x:v>
      </x:c>
      <x:c r="Q3072" s="35" t="str">
        <x:v>Deepseek-flash-v4/Result2/Jsoup_1/result.json</x:v>
      </x:c>
    </x:row>
    <x:row r="3073">
      <x:c r="A3073" s="35" t="str">
        <x:v>deepseek</x:v>
      </x:c>
      <x:c r="B3073" s="35" t="str">
        <x:v>Jsoup</x:v>
      </x:c>
      <x:c r="C3073" s="35" t="str">
        <x:v>Round2</x:v>
      </x:c>
      <x:c r="D3073" s="35" t="str">
        <x:v>Jsoup_10</x:v>
      </x:c>
      <x:c r="E3073" s="35" t="str">
        <x:v>Condition</x:v>
      </x:c>
      <x:c r="F3073" s="35"/>
      <x:c r="G3073" s="35" t="str">
        <x:v>A</x:v>
      </x:c>
      <x:c r="H3073" s="39" t="str">
        <x:f>IF(ISNUMBER('Data'!N1365),'Data'!N1365*100,"")</x:f>
      </x:c>
      <x:c r="I3073" s="35"/>
      <x:c r="J3073" s="35" t="str">
        <x:v>PASS</x:v>
      </x:c>
      <x:c r="K3073" s="35" t="str">
        <x:v>FAIL</x:v>
      </x:c>
      <x:c r="L3073" s="35" t="str">
        <x:v>NOT_RUN</x:v>
      </x:c>
      <x:c r="M3073" s="35" t="str">
        <x:v>coverage unavailable or execution/compile failed</x:v>
      </x:c>
      <x:c r="N3073" s="35" t="str">
        <x:v>Deepseek-flash-v4/Result2/Jsoup_10/result.json</x:v>
      </x:c>
      <x:c r="O3073" s="39" t="str">
        <x:f>IF(AND(G3073="RECORDED",ISNUMBER(H3073)),H3073,"")</x:f>
      </x:c>
      <x:c r="P3073" s="35" t="str">
        <x:v>NOT_AVAILABLE</x:v>
      </x:c>
      <x:c r="Q3073" s="35" t="str">
        <x:v>Deepseek-flash-v4/Result2/Jsoup_10/result.json</x:v>
      </x:c>
    </x:row>
    <x:row r="3074">
      <x:c r="A3074" s="35" t="str">
        <x:v>deepseek</x:v>
      </x:c>
      <x:c r="B3074" s="35" t="str">
        <x:v>Jsoup</x:v>
      </x:c>
      <x:c r="C3074" s="35" t="str">
        <x:v>Round2</x:v>
      </x:c>
      <x:c r="D3074" s="35" t="str">
        <x:v>Jsoup_11</x:v>
      </x:c>
      <x:c r="E3074" s="35" t="str">
        <x:v>Condition</x:v>
      </x:c>
      <x:c r="F3074" s="35" t="n">
        <x:v>120</x:v>
      </x:c>
      <x:c r="G3074" s="35" t="str">
        <x:v>RECORDED</x:v>
      </x:c>
      <x:c r="H3074" s="39" t="n">
        <x:f>IF(ISNUMBER('Data'!N1366),'Data'!N1366*100,"")</x:f>
        <x:v>69.17</x:v>
      </x:c>
      <x:c r="I3074" s="35" t="str">
        <x:v>PASS</x:v>
      </x:c>
      <x:c r="J3074" s="35" t="str">
        <x:v>PASS</x:v>
      </x:c>
      <x:c r="K3074" s="35" t="str">
        <x:v>PASS</x:v>
      </x:c>
      <x:c r="L3074" s="35" t="str">
        <x:v>FAIL</x:v>
      </x:c>
      <x:c r="M3074" s="35" t="str">
        <x:v>numeric coverage for applicable metric</x:v>
      </x:c>
      <x:c r="N3074" s="35" t="str">
        <x:v>Deepseek-flash-v4/Result2/Jsoup_11/result.json</x:v>
      </x:c>
      <x:c r="O3074" s="39" t="n">
        <x:f>IF(AND(G3074="RECORDED",ISNUMBER(H3074)),H3074,"")</x:f>
        <x:v>69.17</x:v>
      </x:c>
      <x:c r="P3074" s="35" t="str">
        <x:v>INCONCLUSIVE</x:v>
      </x:c>
      <x:c r="Q3074" s="35" t="str">
        <x:v>Deepseek-flash-v4/Result2/Jsoup_11/result.json</x:v>
      </x:c>
    </x:row>
    <x:row r="3075">
      <x:c r="A3075" s="35" t="str">
        <x:v>deepseek</x:v>
      </x:c>
      <x:c r="B3075" s="35" t="str">
        <x:v>Jsoup</x:v>
      </x:c>
      <x:c r="C3075" s="35" t="str">
        <x:v>Round2</x:v>
      </x:c>
      <x:c r="D3075" s="35" t="str">
        <x:v>Jsoup_12</x:v>
      </x:c>
      <x:c r="E3075" s="35" t="str">
        <x:v>Condition</x:v>
      </x:c>
      <x:c r="F3075" s="35" t="n">
        <x:v>132</x:v>
      </x:c>
      <x:c r="G3075" s="35" t="str">
        <x:v>RECORDED</x:v>
      </x:c>
      <x:c r="H3075" s="39" t="n">
        <x:f>IF(ISNUMBER('Data'!N1367),'Data'!N1367*100,"")</x:f>
        <x:v>89.39</x:v>
      </x:c>
      <x:c r="I3075" s="35" t="str">
        <x:v>PASS</x:v>
      </x:c>
      <x:c r="J3075" s="35" t="str">
        <x:v>PASS</x:v>
      </x:c>
      <x:c r="K3075" s="35" t="str">
        <x:v>PASS</x:v>
      </x:c>
      <x:c r="L3075" s="35" t="str">
        <x:v>FAIL</x:v>
      </x:c>
      <x:c r="M3075" s="35" t="str">
        <x:v>numeric coverage for applicable metric</x:v>
      </x:c>
      <x:c r="N3075" s="35" t="str">
        <x:v>Deepseek-flash-v4/Result2/Jsoup_12/result.json</x:v>
      </x:c>
      <x:c r="O3075" s="39" t="n">
        <x:f>IF(AND(G3075="RECORDED",ISNUMBER(H3075)),H3075,"")</x:f>
        <x:v>89.39</x:v>
      </x:c>
      <x:c r="P3075" s="35" t="str">
        <x:v>INCONCLUSIVE</x:v>
      </x:c>
      <x:c r="Q3075" s="35" t="str">
        <x:v>Deepseek-flash-v4/Result2/Jsoup_12/result.json</x:v>
      </x:c>
    </x:row>
    <x:row r="3076">
      <x:c r="A3076" s="35" t="str">
        <x:v>deepseek</x:v>
      </x:c>
      <x:c r="B3076" s="35" t="str">
        <x:v>Jsoup</x:v>
      </x:c>
      <x:c r="C3076" s="35" t="str">
        <x:v>Round2</x:v>
      </x:c>
      <x:c r="D3076" s="35" t="str">
        <x:v>Jsoup_13</x:v>
      </x:c>
      <x:c r="E3076" s="35" t="str">
        <x:v>Condition</x:v>
      </x:c>
      <x:c r="F3076" s="35"/>
      <x:c r="G3076" s="35" t="str">
        <x:v>A</x:v>
      </x:c>
      <x:c r="H3076" s="39" t="str">
        <x:f>IF(ISNUMBER('Data'!N1368),'Data'!N1368*100,"")</x:f>
      </x:c>
      <x:c r="I3076" s="35"/>
      <x:c r="J3076" s="35" t="str">
        <x:v>PASS</x:v>
      </x:c>
      <x:c r="K3076" s="35" t="str">
        <x:v>FAIL</x:v>
      </x:c>
      <x:c r="L3076" s="35" t="str">
        <x:v>NOT_RUN</x:v>
      </x:c>
      <x:c r="M3076" s="35" t="str">
        <x:v>coverage unavailable or execution/compile failed</x:v>
      </x:c>
      <x:c r="N3076" s="35" t="str">
        <x:v>Deepseek-flash-v4/Result2/Jsoup_13/result.json</x:v>
      </x:c>
      <x:c r="O3076" s="39" t="str">
        <x:f>IF(AND(G3076="RECORDED",ISNUMBER(H3076)),H3076,"")</x:f>
      </x:c>
      <x:c r="P3076" s="35" t="str">
        <x:v>NOT_AVAILABLE</x:v>
      </x:c>
      <x:c r="Q3076" s="35" t="str">
        <x:v>Deepseek-flash-v4/Result2/Jsoup_13/result.json</x:v>
      </x:c>
    </x:row>
    <x:row r="3077">
      <x:c r="A3077" s="35" t="str">
        <x:v>deepseek</x:v>
      </x:c>
      <x:c r="B3077" s="35" t="str">
        <x:v>Jsoup</x:v>
      </x:c>
      <x:c r="C3077" s="35" t="str">
        <x:v>Round2</x:v>
      </x:c>
      <x:c r="D3077" s="35" t="str">
        <x:v>Jsoup_14</x:v>
      </x:c>
      <x:c r="E3077" s="35" t="str">
        <x:v>Condition</x:v>
      </x:c>
      <x:c r="F3077" s="35"/>
      <x:c r="G3077" s="35" t="str">
        <x:v>A</x:v>
      </x:c>
      <x:c r="H3077" s="39" t="str">
        <x:f>IF(ISNUMBER('Data'!N1369),'Data'!N1369*100,"")</x:f>
      </x:c>
      <x:c r="I3077" s="35"/>
      <x:c r="J3077" s="35" t="str">
        <x:v>PASS</x:v>
      </x:c>
      <x:c r="K3077" s="35" t="str">
        <x:v>FAIL</x:v>
      </x:c>
      <x:c r="L3077" s="35" t="str">
        <x:v>NOT_RUN</x:v>
      </x:c>
      <x:c r="M3077" s="35" t="str">
        <x:v>coverage unavailable or execution/compile failed</x:v>
      </x:c>
      <x:c r="N3077" s="35" t="str">
        <x:v>Deepseek-flash-v4/Result2/Jsoup_14/result.json</x:v>
      </x:c>
      <x:c r="O3077" s="39" t="str">
        <x:f>IF(AND(G3077="RECORDED",ISNUMBER(H3077)),H3077,"")</x:f>
      </x:c>
      <x:c r="P3077" s="35" t="str">
        <x:v>NOT_AVAILABLE</x:v>
      </x:c>
      <x:c r="Q3077" s="35" t="str">
        <x:v>Deepseek-flash-v4/Result2/Jsoup_14/result.json</x:v>
      </x:c>
    </x:row>
    <x:row r="3078">
      <x:c r="A3078" s="35" t="str">
        <x:v>deepseek</x:v>
      </x:c>
      <x:c r="B3078" s="35" t="str">
        <x:v>Jsoup</x:v>
      </x:c>
      <x:c r="C3078" s="35" t="str">
        <x:v>Round2</x:v>
      </x:c>
      <x:c r="D3078" s="35" t="str">
        <x:v>Jsoup_15</x:v>
      </x:c>
      <x:c r="E3078" s="35" t="str">
        <x:v>Condition</x:v>
      </x:c>
      <x:c r="F3078" s="35"/>
      <x:c r="G3078" s="35" t="str">
        <x:v>A</x:v>
      </x:c>
      <x:c r="H3078" s="39" t="str">
        <x:f>IF(ISNUMBER('Data'!N1370),'Data'!N1370*100,"")</x:f>
      </x:c>
      <x:c r="I3078" s="35"/>
      <x:c r="J3078" s="35" t="str">
        <x:v>PASS</x:v>
      </x:c>
      <x:c r="K3078" s="35" t="str">
        <x:v>FAIL</x:v>
      </x:c>
      <x:c r="L3078" s="35" t="str">
        <x:v>NOT_RUN</x:v>
      </x:c>
      <x:c r="M3078" s="35" t="str">
        <x:v>coverage unavailable or execution/compile failed</x:v>
      </x:c>
      <x:c r="N3078" s="35" t="str">
        <x:v>Deepseek-flash-v4/Result2/Jsoup_15/result.json</x:v>
      </x:c>
      <x:c r="O3078" s="39" t="str">
        <x:f>IF(AND(G3078="RECORDED",ISNUMBER(H3078)),H3078,"")</x:f>
      </x:c>
      <x:c r="P3078" s="35" t="str">
        <x:v>NOT_AVAILABLE</x:v>
      </x:c>
      <x:c r="Q3078" s="35" t="str">
        <x:v>Deepseek-flash-v4/Result2/Jsoup_15/result.json</x:v>
      </x:c>
    </x:row>
    <x:row r="3079">
      <x:c r="A3079" s="35" t="str">
        <x:v>deepseek</x:v>
      </x:c>
      <x:c r="B3079" s="35" t="str">
        <x:v>Jsoup</x:v>
      </x:c>
      <x:c r="C3079" s="35" t="str">
        <x:v>Round2</x:v>
      </x:c>
      <x:c r="D3079" s="35" t="str">
        <x:v>Jsoup_16</x:v>
      </x:c>
      <x:c r="E3079" s="35" t="str">
        <x:v>Condition</x:v>
      </x:c>
      <x:c r="F3079" s="35" t="n">
        <x:v>4</x:v>
      </x:c>
      <x:c r="G3079" s="35" t="str">
        <x:v>RECORDED</x:v>
      </x:c>
      <x:c r="H3079" s="39" t="n">
        <x:f>IF(ISNUMBER('Data'!N1371),'Data'!N1371*100,"")</x:f>
        <x:v>100</x:v>
      </x:c>
      <x:c r="I3079" s="35" t="str">
        <x:v>PASS</x:v>
      </x:c>
      <x:c r="J3079" s="35" t="str">
        <x:v>PASS</x:v>
      </x:c>
      <x:c r="K3079" s="35" t="str">
        <x:v>PASS</x:v>
      </x:c>
      <x:c r="L3079" s="35" t="str">
        <x:v>FAIL</x:v>
      </x:c>
      <x:c r="M3079" s="35" t="str">
        <x:v>numeric coverage for applicable metric</x:v>
      </x:c>
      <x:c r="N3079" s="35" t="str">
        <x:v>Deepseek-flash-v4/Result2/Jsoup_16/result.json</x:v>
      </x:c>
      <x:c r="O3079" s="39" t="n">
        <x:f>IF(AND(G3079="RECORDED",ISNUMBER(H3079)),H3079,"")</x:f>
        <x:v>100</x:v>
      </x:c>
      <x:c r="P3079" s="35" t="str">
        <x:v>INCONCLUSIVE</x:v>
      </x:c>
      <x:c r="Q3079" s="35" t="str">
        <x:v>Deepseek-flash-v4/Result2/Jsoup_16/result.json</x:v>
      </x:c>
    </x:row>
    <x:row r="3080">
      <x:c r="A3080" s="35" t="str">
        <x:v>deepseek</x:v>
      </x:c>
      <x:c r="B3080" s="35" t="str">
        <x:v>Jsoup</x:v>
      </x:c>
      <x:c r="C3080" s="35" t="str">
        <x:v>Round2</x:v>
      </x:c>
      <x:c r="D3080" s="35" t="str">
        <x:v>Jsoup_17</x:v>
      </x:c>
      <x:c r="E3080" s="35" t="str">
        <x:v>Condition</x:v>
      </x:c>
      <x:c r="F3080" s="35"/>
      <x:c r="G3080" s="35" t="str">
        <x:v>A</x:v>
      </x:c>
      <x:c r="H3080" s="39" t="str">
        <x:f>IF(ISNUMBER('Data'!N1372),'Data'!N1372*100,"")</x:f>
      </x:c>
      <x:c r="I3080" s="35"/>
      <x:c r="J3080" s="35" t="str">
        <x:v>PASS</x:v>
      </x:c>
      <x:c r="K3080" s="35" t="str">
        <x:v>FAIL</x:v>
      </x:c>
      <x:c r="L3080" s="35" t="str">
        <x:v>NOT_RUN</x:v>
      </x:c>
      <x:c r="M3080" s="35" t="str">
        <x:v>coverage unavailable or execution/compile failed</x:v>
      </x:c>
      <x:c r="N3080" s="35" t="str">
        <x:v>Deepseek-flash-v4/Result2/Jsoup_17/result.json</x:v>
      </x:c>
      <x:c r="O3080" s="39" t="str">
        <x:f>IF(AND(G3080="RECORDED",ISNUMBER(H3080)),H3080,"")</x:f>
      </x:c>
      <x:c r="P3080" s="35" t="str">
        <x:v>NOT_AVAILABLE</x:v>
      </x:c>
      <x:c r="Q3080" s="35" t="str">
        <x:v>Deepseek-flash-v4/Result2/Jsoup_17/result.json</x:v>
      </x:c>
    </x:row>
    <x:row r="3081">
      <x:c r="A3081" s="35" t="str">
        <x:v>deepseek</x:v>
      </x:c>
      <x:c r="B3081" s="35" t="str">
        <x:v>Jsoup</x:v>
      </x:c>
      <x:c r="C3081" s="35" t="str">
        <x:v>Round2</x:v>
      </x:c>
      <x:c r="D3081" s="35" t="str">
        <x:v>Jsoup_18</x:v>
      </x:c>
      <x:c r="E3081" s="35" t="str">
        <x:v>Condition</x:v>
      </x:c>
      <x:c r="F3081" s="35" t="n">
        <x:v>82</x:v>
      </x:c>
      <x:c r="G3081" s="35" t="str">
        <x:v>RECORDED</x:v>
      </x:c>
      <x:c r="H3081" s="39" t="n">
        <x:f>IF(ISNUMBER('Data'!N1373),'Data'!N1373*100,"")</x:f>
        <x:v>82.93</x:v>
      </x:c>
      <x:c r="I3081" s="35" t="str">
        <x:v>PASS</x:v>
      </x:c>
      <x:c r="J3081" s="35" t="str">
        <x:v>PASS</x:v>
      </x:c>
      <x:c r="K3081" s="35" t="str">
        <x:v>PASS</x:v>
      </x:c>
      <x:c r="L3081" s="35" t="str">
        <x:v>FAIL</x:v>
      </x:c>
      <x:c r="M3081" s="35" t="str">
        <x:v>numeric coverage for applicable metric</x:v>
      </x:c>
      <x:c r="N3081" s="35" t="str">
        <x:v>Deepseek-flash-v4/Result2/Jsoup_18/result.json</x:v>
      </x:c>
      <x:c r="O3081" s="39" t="n">
        <x:f>IF(AND(G3081="RECORDED",ISNUMBER(H3081)),H3081,"")</x:f>
        <x:v>82.93</x:v>
      </x:c>
      <x:c r="P3081" s="35" t="str">
        <x:v>INCONCLUSIVE</x:v>
      </x:c>
      <x:c r="Q3081" s="35" t="str">
        <x:v>Deepseek-flash-v4/Result2/Jsoup_18/result.json</x:v>
      </x:c>
    </x:row>
    <x:row r="3082">
      <x:c r="A3082" s="35" t="str">
        <x:v>deepseek</x:v>
      </x:c>
      <x:c r="B3082" s="35" t="str">
        <x:v>Jsoup</x:v>
      </x:c>
      <x:c r="C3082" s="35" t="str">
        <x:v>Round2</x:v>
      </x:c>
      <x:c r="D3082" s="35" t="str">
        <x:v>Jsoup_19</x:v>
      </x:c>
      <x:c r="E3082" s="35" t="str">
        <x:v>Condition</x:v>
      </x:c>
      <x:c r="F3082" s="35"/>
      <x:c r="G3082" s="35" t="str">
        <x:v>A</x:v>
      </x:c>
      <x:c r="H3082" s="39" t="str">
        <x:f>IF(ISNUMBER('Data'!N1374),'Data'!N1374*100,"")</x:f>
      </x:c>
      <x:c r="I3082" s="35"/>
      <x:c r="J3082" s="35" t="str">
        <x:v>PASS</x:v>
      </x:c>
      <x:c r="K3082" s="35" t="str">
        <x:v>FAIL</x:v>
      </x:c>
      <x:c r="L3082" s="35" t="str">
        <x:v>NOT_RUN</x:v>
      </x:c>
      <x:c r="M3082" s="35" t="str">
        <x:v>coverage unavailable or execution/compile failed</x:v>
      </x:c>
      <x:c r="N3082" s="35" t="str">
        <x:v>Deepseek-flash-v4/Result2/Jsoup_19/result.json</x:v>
      </x:c>
      <x:c r="O3082" s="39" t="str">
        <x:f>IF(AND(G3082="RECORDED",ISNUMBER(H3082)),H3082,"")</x:f>
      </x:c>
      <x:c r="P3082" s="35" t="str">
        <x:v>NOT_AVAILABLE</x:v>
      </x:c>
      <x:c r="Q3082" s="35" t="str">
        <x:v>Deepseek-flash-v4/Result2/Jsoup_19/result.json</x:v>
      </x:c>
    </x:row>
    <x:row r="3083">
      <x:c r="A3083" s="35" t="str">
        <x:v>deepseek</x:v>
      </x:c>
      <x:c r="B3083" s="35" t="str">
        <x:v>Jsoup</x:v>
      </x:c>
      <x:c r="C3083" s="35" t="str">
        <x:v>Round2</x:v>
      </x:c>
      <x:c r="D3083" s="35" t="str">
        <x:v>Jsoup_2</x:v>
      </x:c>
      <x:c r="E3083" s="35" t="str">
        <x:v>Condition</x:v>
      </x:c>
      <x:c r="F3083" s="35"/>
      <x:c r="G3083" s="35" t="str">
        <x:v>A</x:v>
      </x:c>
      <x:c r="H3083" s="39" t="str">
        <x:f>IF(ISNUMBER('Data'!N1375),'Data'!N1375*100,"")</x:f>
      </x:c>
      <x:c r="I3083" s="35"/>
      <x:c r="J3083" s="35" t="str">
        <x:v>PASS</x:v>
      </x:c>
      <x:c r="K3083" s="35" t="str">
        <x:v>FAIL</x:v>
      </x:c>
      <x:c r="L3083" s="35" t="str">
        <x:v>NOT_RUN</x:v>
      </x:c>
      <x:c r="M3083" s="35" t="str">
        <x:v>coverage unavailable or execution/compile failed</x:v>
      </x:c>
      <x:c r="N3083" s="35" t="str">
        <x:v>Deepseek-flash-v4/Result2/Jsoup_2/result.json</x:v>
      </x:c>
      <x:c r="O3083" s="39" t="str">
        <x:f>IF(AND(G3083="RECORDED",ISNUMBER(H3083)),H3083,"")</x:f>
      </x:c>
      <x:c r="P3083" s="35" t="str">
        <x:v>NOT_AVAILABLE</x:v>
      </x:c>
      <x:c r="Q3083" s="35" t="str">
        <x:v>Deepseek-flash-v4/Result2/Jsoup_2/result.json</x:v>
      </x:c>
    </x:row>
    <x:row r="3084">
      <x:c r="A3084" s="35" t="str">
        <x:v>deepseek</x:v>
      </x:c>
      <x:c r="B3084" s="35" t="str">
        <x:v>Jsoup</x:v>
      </x:c>
      <x:c r="C3084" s="35" t="str">
        <x:v>Round2</x:v>
      </x:c>
      <x:c r="D3084" s="35" t="str">
        <x:v>Jsoup_20</x:v>
      </x:c>
      <x:c r="E3084" s="35" t="str">
        <x:v>Condition</x:v>
      </x:c>
      <x:c r="F3084" s="35" t="n">
        <x:v>22</x:v>
      </x:c>
      <x:c r="G3084" s="35" t="str">
        <x:v>RECORDED</x:v>
      </x:c>
      <x:c r="H3084" s="39" t="n">
        <x:f>IF(ISNUMBER('Data'!N1376),'Data'!N1376*100,"")</x:f>
        <x:v>86.36</x:v>
      </x:c>
      <x:c r="I3084" s="35" t="str">
        <x:v>PASS</x:v>
      </x:c>
      <x:c r="J3084" s="35" t="str">
        <x:v>PASS</x:v>
      </x:c>
      <x:c r="K3084" s="35" t="str">
        <x:v>PASS</x:v>
      </x:c>
      <x:c r="L3084" s="35" t="str">
        <x:v>FAIL</x:v>
      </x:c>
      <x:c r="M3084" s="35" t="str">
        <x:v>numeric coverage for applicable metric</x:v>
      </x:c>
      <x:c r="N3084" s="35" t="str">
        <x:v>Deepseek-flash-v4/Result2/Jsoup_20/result.json</x:v>
      </x:c>
      <x:c r="O3084" s="39" t="n">
        <x:f>IF(AND(G3084="RECORDED",ISNUMBER(H3084)),H3084,"")</x:f>
        <x:v>86.36</x:v>
      </x:c>
      <x:c r="P3084" s="35" t="str">
        <x:v>INCONCLUSIVE</x:v>
      </x:c>
      <x:c r="Q3084" s="35" t="str">
        <x:v>Deepseek-flash-v4/Result2/Jsoup_20/result.json</x:v>
      </x:c>
    </x:row>
    <x:row r="3085">
      <x:c r="A3085" s="35" t="str">
        <x:v>deepseek</x:v>
      </x:c>
      <x:c r="B3085" s="35" t="str">
        <x:v>Jsoup</x:v>
      </x:c>
      <x:c r="C3085" s="35" t="str">
        <x:v>Round2</x:v>
      </x:c>
      <x:c r="D3085" s="35" t="str">
        <x:v>Jsoup_21</x:v>
      </x:c>
      <x:c r="E3085" s="35" t="str">
        <x:v>Condition</x:v>
      </x:c>
      <x:c r="F3085" s="35" t="n">
        <x:v>96</x:v>
      </x:c>
      <x:c r="G3085" s="35" t="str">
        <x:v>RECORDED</x:v>
      </x:c>
      <x:c r="H3085" s="39" t="n">
        <x:f>IF(ISNUMBER('Data'!N1377),'Data'!N1377*100,"")</x:f>
        <x:v>98.96</x:v>
      </x:c>
      <x:c r="I3085" s="35" t="str">
        <x:v>PASS</x:v>
      </x:c>
      <x:c r="J3085" s="35" t="str">
        <x:v>PASS</x:v>
      </x:c>
      <x:c r="K3085" s="35" t="str">
        <x:v>PASS</x:v>
      </x:c>
      <x:c r="L3085" s="35" t="str">
        <x:v>PASS</x:v>
      </x:c>
      <x:c r="M3085" s="35" t="str">
        <x:v>numeric coverage for applicable metric</x:v>
      </x:c>
      <x:c r="N3085" s="35" t="str">
        <x:v>Deepseek-flash-v4/Result2/Jsoup_21/result.json</x:v>
      </x:c>
      <x:c r="O3085" s="39" t="n">
        <x:f>IF(AND(G3085="RECORDED",ISNUMBER(H3085)),H3085,"")</x:f>
        <x:v>98.96</x:v>
      </x:c>
      <x:c r="P3085" s="35" t="str">
        <x:v>INCONCLUSIVE</x:v>
      </x:c>
      <x:c r="Q3085" s="35" t="str">
        <x:v>Deepseek-flash-v4/Result2/Jsoup_21/result.json</x:v>
      </x:c>
    </x:row>
    <x:row r="3086">
      <x:c r="A3086" s="35" t="str">
        <x:v>deepseek</x:v>
      </x:c>
      <x:c r="B3086" s="35" t="str">
        <x:v>Jsoup</x:v>
      </x:c>
      <x:c r="C3086" s="35" t="str">
        <x:v>Round2</x:v>
      </x:c>
      <x:c r="D3086" s="35" t="str">
        <x:v>Jsoup_22</x:v>
      </x:c>
      <x:c r="E3086" s="35" t="str">
        <x:v>Condition</x:v>
      </x:c>
      <x:c r="F3086" s="35"/>
      <x:c r="G3086" s="35" t="str">
        <x:v>A</x:v>
      </x:c>
      <x:c r="H3086" s="39" t="str">
        <x:f>IF(ISNUMBER('Data'!N1378),'Data'!N1378*100,"")</x:f>
      </x:c>
      <x:c r="I3086" s="35"/>
      <x:c r="J3086" s="35" t="str">
        <x:v>PASS</x:v>
      </x:c>
      <x:c r="K3086" s="35" t="str">
        <x:v>FAIL</x:v>
      </x:c>
      <x:c r="L3086" s="35" t="str">
        <x:v>NOT_RUN</x:v>
      </x:c>
      <x:c r="M3086" s="35" t="str">
        <x:v>coverage unavailable or execution/compile failed</x:v>
      </x:c>
      <x:c r="N3086" s="35" t="str">
        <x:v>Deepseek-flash-v4/Result2/Jsoup_22/result.json</x:v>
      </x:c>
      <x:c r="O3086" s="39" t="str">
        <x:f>IF(AND(G3086="RECORDED",ISNUMBER(H3086)),H3086,"")</x:f>
      </x:c>
      <x:c r="P3086" s="35" t="str">
        <x:v>NOT_AVAILABLE</x:v>
      </x:c>
      <x:c r="Q3086" s="35" t="str">
        <x:v>Deepseek-flash-v4/Result2/Jsoup_22/result.json</x:v>
      </x:c>
    </x:row>
    <x:row r="3087">
      <x:c r="A3087" s="35" t="str">
        <x:v>deepseek</x:v>
      </x:c>
      <x:c r="B3087" s="35" t="str">
        <x:v>Jsoup</x:v>
      </x:c>
      <x:c r="C3087" s="35" t="str">
        <x:v>Round2</x:v>
      </x:c>
      <x:c r="D3087" s="35" t="str">
        <x:v>Jsoup_23</x:v>
      </x:c>
      <x:c r="E3087" s="35" t="str">
        <x:v>Condition</x:v>
      </x:c>
      <x:c r="F3087" s="35"/>
      <x:c r="G3087" s="35" t="str">
        <x:v>A</x:v>
      </x:c>
      <x:c r="H3087" s="39" t="str">
        <x:f>IF(ISNUMBER('Data'!N1379),'Data'!N1379*100,"")</x:f>
      </x:c>
      <x:c r="I3087" s="35"/>
      <x:c r="J3087" s="35" t="str">
        <x:v>PASS</x:v>
      </x:c>
      <x:c r="K3087" s="35" t="str">
        <x:v>FAIL</x:v>
      </x:c>
      <x:c r="L3087" s="35" t="str">
        <x:v>NOT_RUN</x:v>
      </x:c>
      <x:c r="M3087" s="35" t="str">
        <x:v>coverage unavailable or execution/compile failed</x:v>
      </x:c>
      <x:c r="N3087" s="35" t="str">
        <x:v>Deepseek-flash-v4/Result2/Jsoup_23/result.json</x:v>
      </x:c>
      <x:c r="O3087" s="39" t="str">
        <x:f>IF(AND(G3087="RECORDED",ISNUMBER(H3087)),H3087,"")</x:f>
      </x:c>
      <x:c r="P3087" s="35" t="str">
        <x:v>NOT_AVAILABLE</x:v>
      </x:c>
      <x:c r="Q3087" s="35" t="str">
        <x:v>Deepseek-flash-v4/Result2/Jsoup_23/result.json</x:v>
      </x:c>
    </x:row>
    <x:row r="3088">
      <x:c r="A3088" s="35" t="str">
        <x:v>deepseek</x:v>
      </x:c>
      <x:c r="B3088" s="35" t="str">
        <x:v>Jsoup</x:v>
      </x:c>
      <x:c r="C3088" s="35" t="str">
        <x:v>Round2</x:v>
      </x:c>
      <x:c r="D3088" s="35" t="str">
        <x:v>Jsoup_24</x:v>
      </x:c>
      <x:c r="E3088" s="35" t="str">
        <x:v>Condition</x:v>
      </x:c>
      <x:c r="F3088" s="35"/>
      <x:c r="G3088" s="35" t="str">
        <x:v>A</x:v>
      </x:c>
      <x:c r="H3088" s="39" t="str">
        <x:f>IF(ISNUMBER('Data'!N1380),'Data'!N1380*100,"")</x:f>
      </x:c>
      <x:c r="I3088" s="35"/>
      <x:c r="J3088" s="35" t="str">
        <x:v>PASS</x:v>
      </x:c>
      <x:c r="K3088" s="35" t="str">
        <x:v>FAIL</x:v>
      </x:c>
      <x:c r="L3088" s="35" t="str">
        <x:v>NOT_RUN</x:v>
      </x:c>
      <x:c r="M3088" s="35" t="str">
        <x:v>coverage unavailable or execution/compile failed</x:v>
      </x:c>
      <x:c r="N3088" s="35" t="str">
        <x:v>Deepseek-flash-v4/Result2/Jsoup_24/result.json</x:v>
      </x:c>
      <x:c r="O3088" s="39" t="str">
        <x:f>IF(AND(G3088="RECORDED",ISNUMBER(H3088)),H3088,"")</x:f>
      </x:c>
      <x:c r="P3088" s="35" t="str">
        <x:v>NOT_AVAILABLE</x:v>
      </x:c>
      <x:c r="Q3088" s="35" t="str">
        <x:v>Deepseek-flash-v4/Result2/Jsoup_24/result.json</x:v>
      </x:c>
    </x:row>
    <x:row r="3089">
      <x:c r="A3089" s="35" t="str">
        <x:v>deepseek</x:v>
      </x:c>
      <x:c r="B3089" s="35" t="str">
        <x:v>Jsoup</x:v>
      </x:c>
      <x:c r="C3089" s="35" t="str">
        <x:v>Round2</x:v>
      </x:c>
      <x:c r="D3089" s="35" t="str">
        <x:v>Jsoup_25</x:v>
      </x:c>
      <x:c r="E3089" s="35" t="str">
        <x:v>Condition</x:v>
      </x:c>
      <x:c r="F3089" s="35"/>
      <x:c r="G3089" s="35" t="str">
        <x:v>A</x:v>
      </x:c>
      <x:c r="H3089" s="39" t="str">
        <x:f>IF(ISNUMBER('Data'!N1381),'Data'!N1381*100,"")</x:f>
      </x:c>
      <x:c r="I3089" s="35"/>
      <x:c r="J3089" s="35" t="str">
        <x:v>PASS</x:v>
      </x:c>
      <x:c r="K3089" s="35" t="str">
        <x:v>FAIL</x:v>
      </x:c>
      <x:c r="L3089" s="35" t="str">
        <x:v>NOT_RUN</x:v>
      </x:c>
      <x:c r="M3089" s="35" t="str">
        <x:v>coverage unavailable or execution/compile failed</x:v>
      </x:c>
      <x:c r="N3089" s="35" t="str">
        <x:v>Deepseek-flash-v4/Result2/Jsoup_25/result.json</x:v>
      </x:c>
      <x:c r="O3089" s="39" t="str">
        <x:f>IF(AND(G3089="RECORDED",ISNUMBER(H3089)),H3089,"")</x:f>
      </x:c>
      <x:c r="P3089" s="35" t="str">
        <x:v>NOT_AVAILABLE</x:v>
      </x:c>
      <x:c r="Q3089" s="35" t="str">
        <x:v>Deepseek-flash-v4/Result2/Jsoup_25/result.json</x:v>
      </x:c>
    </x:row>
    <x:row r="3090">
      <x:c r="A3090" s="35" t="str">
        <x:v>deepseek</x:v>
      </x:c>
      <x:c r="B3090" s="35" t="str">
        <x:v>Jsoup</x:v>
      </x:c>
      <x:c r="C3090" s="35" t="str">
        <x:v>Round2</x:v>
      </x:c>
      <x:c r="D3090" s="35" t="str">
        <x:v>Jsoup_26</x:v>
      </x:c>
      <x:c r="E3090" s="35" t="str">
        <x:v>Condition</x:v>
      </x:c>
      <x:c r="F3090" s="35"/>
      <x:c r="G3090" s="35" t="str">
        <x:v>A</x:v>
      </x:c>
      <x:c r="H3090" s="39" t="str">
        <x:f>IF(ISNUMBER('Data'!N1382),'Data'!N1382*100,"")</x:f>
      </x:c>
      <x:c r="I3090" s="35"/>
      <x:c r="J3090" s="35" t="str">
        <x:v>PASS</x:v>
      </x:c>
      <x:c r="K3090" s="35" t="str">
        <x:v>FAIL</x:v>
      </x:c>
      <x:c r="L3090" s="35" t="str">
        <x:v>NOT_RUN</x:v>
      </x:c>
      <x:c r="M3090" s="35" t="str">
        <x:v>coverage unavailable or execution/compile failed</x:v>
      </x:c>
      <x:c r="N3090" s="35" t="str">
        <x:v>Deepseek-flash-v4/Result2/Jsoup_26/result.json</x:v>
      </x:c>
      <x:c r="O3090" s="39" t="str">
        <x:f>IF(AND(G3090="RECORDED",ISNUMBER(H3090)),H3090,"")</x:f>
      </x:c>
      <x:c r="P3090" s="35" t="str">
        <x:v>NOT_AVAILABLE</x:v>
      </x:c>
      <x:c r="Q3090" s="35" t="str">
        <x:v>Deepseek-flash-v4/Result2/Jsoup_26/result.json</x:v>
      </x:c>
    </x:row>
    <x:row r="3091">
      <x:c r="A3091" s="35" t="str">
        <x:v>deepseek</x:v>
      </x:c>
      <x:c r="B3091" s="35" t="str">
        <x:v>Jsoup</x:v>
      </x:c>
      <x:c r="C3091" s="35" t="str">
        <x:v>Round2</x:v>
      </x:c>
      <x:c r="D3091" s="35" t="str">
        <x:v>Jsoup_27</x:v>
      </x:c>
      <x:c r="E3091" s="35" t="str">
        <x:v>Condition</x:v>
      </x:c>
      <x:c r="F3091" s="35"/>
      <x:c r="G3091" s="35" t="str">
        <x:v>A</x:v>
      </x:c>
      <x:c r="H3091" s="39" t="str">
        <x:f>IF(ISNUMBER('Data'!N1383),'Data'!N1383*100,"")</x:f>
      </x:c>
      <x:c r="I3091" s="35"/>
      <x:c r="J3091" s="35" t="str">
        <x:v>PASS</x:v>
      </x:c>
      <x:c r="K3091" s="35" t="str">
        <x:v>FAIL</x:v>
      </x:c>
      <x:c r="L3091" s="35" t="str">
        <x:v>NOT_RUN</x:v>
      </x:c>
      <x:c r="M3091" s="35" t="str">
        <x:v>coverage unavailable or execution/compile failed</x:v>
      </x:c>
      <x:c r="N3091" s="35" t="str">
        <x:v>Deepseek-flash-v4/Result2/Jsoup_27/result.json</x:v>
      </x:c>
      <x:c r="O3091" s="39" t="str">
        <x:f>IF(AND(G3091="RECORDED",ISNUMBER(H3091)),H3091,"")</x:f>
      </x:c>
      <x:c r="P3091" s="35" t="str">
        <x:v>NOT_AVAILABLE</x:v>
      </x:c>
      <x:c r="Q3091" s="35" t="str">
        <x:v>Deepseek-flash-v4/Result2/Jsoup_27/result.json</x:v>
      </x:c>
    </x:row>
    <x:row r="3092">
      <x:c r="A3092" s="35" t="str">
        <x:v>deepseek</x:v>
      </x:c>
      <x:c r="B3092" s="35" t="str">
        <x:v>Jsoup</x:v>
      </x:c>
      <x:c r="C3092" s="35" t="str">
        <x:v>Round2</x:v>
      </x:c>
      <x:c r="D3092" s="35" t="str">
        <x:v>Jsoup_28</x:v>
      </x:c>
      <x:c r="E3092" s="35" t="str">
        <x:v>Condition</x:v>
      </x:c>
      <x:c r="F3092" s="35"/>
      <x:c r="G3092" s="35" t="str">
        <x:v>A</x:v>
      </x:c>
      <x:c r="H3092" s="39" t="str">
        <x:f>IF(ISNUMBER('Data'!N1384),'Data'!N1384*100,"")</x:f>
      </x:c>
      <x:c r="I3092" s="35"/>
      <x:c r="J3092" s="35" t="str">
        <x:v>PASS</x:v>
      </x:c>
      <x:c r="K3092" s="35" t="str">
        <x:v>FAIL</x:v>
      </x:c>
      <x:c r="L3092" s="35" t="str">
        <x:v>NOT_RUN</x:v>
      </x:c>
      <x:c r="M3092" s="35" t="str">
        <x:v>coverage unavailable or execution/compile failed</x:v>
      </x:c>
      <x:c r="N3092" s="35" t="str">
        <x:v>Deepseek-flash-v4/Result2/Jsoup_28/result.json</x:v>
      </x:c>
      <x:c r="O3092" s="39" t="str">
        <x:f>IF(AND(G3092="RECORDED",ISNUMBER(H3092)),H3092,"")</x:f>
      </x:c>
      <x:c r="P3092" s="35" t="str">
        <x:v>NOT_AVAILABLE</x:v>
      </x:c>
      <x:c r="Q3092" s="35" t="str">
        <x:v>Deepseek-flash-v4/Result2/Jsoup_28/result.json</x:v>
      </x:c>
    </x:row>
    <x:row r="3093">
      <x:c r="A3093" s="35" t="str">
        <x:v>deepseek</x:v>
      </x:c>
      <x:c r="B3093" s="35" t="str">
        <x:v>Jsoup</x:v>
      </x:c>
      <x:c r="C3093" s="35" t="str">
        <x:v>Round2</x:v>
      </x:c>
      <x:c r="D3093" s="35" t="str">
        <x:v>Jsoup_29</x:v>
      </x:c>
      <x:c r="E3093" s="35" t="str">
        <x:v>Condition</x:v>
      </x:c>
      <x:c r="F3093" s="35"/>
      <x:c r="G3093" s="35" t="str">
        <x:v>A</x:v>
      </x:c>
      <x:c r="H3093" s="39" t="str">
        <x:f>IF(ISNUMBER('Data'!N1385),'Data'!N1385*100,"")</x:f>
      </x:c>
      <x:c r="I3093" s="35"/>
      <x:c r="J3093" s="35" t="str">
        <x:v>PASS</x:v>
      </x:c>
      <x:c r="K3093" s="35" t="str">
        <x:v>FAIL</x:v>
      </x:c>
      <x:c r="L3093" s="35" t="str">
        <x:v>NOT_RUN</x:v>
      </x:c>
      <x:c r="M3093" s="35" t="str">
        <x:v>coverage unavailable or execution/compile failed</x:v>
      </x:c>
      <x:c r="N3093" s="35" t="str">
        <x:v>Deepseek-flash-v4/Result2/Jsoup_29/result.json</x:v>
      </x:c>
      <x:c r="O3093" s="39" t="str">
        <x:f>IF(AND(G3093="RECORDED",ISNUMBER(H3093)),H3093,"")</x:f>
      </x:c>
      <x:c r="P3093" s="35" t="str">
        <x:v>NOT_AVAILABLE</x:v>
      </x:c>
      <x:c r="Q3093" s="35" t="str">
        <x:v>Deepseek-flash-v4/Result2/Jsoup_29/result.json</x:v>
      </x:c>
    </x:row>
    <x:row r="3094">
      <x:c r="A3094" s="35" t="str">
        <x:v>deepseek</x:v>
      </x:c>
      <x:c r="B3094" s="35" t="str">
        <x:v>Jsoup</x:v>
      </x:c>
      <x:c r="C3094" s="35" t="str">
        <x:v>Round2</x:v>
      </x:c>
      <x:c r="D3094" s="35" t="str">
        <x:v>Jsoup_3</x:v>
      </x:c>
      <x:c r="E3094" s="35" t="str">
        <x:v>Condition</x:v>
      </x:c>
      <x:c r="F3094" s="35"/>
      <x:c r="G3094" s="35" t="str">
        <x:v>A</x:v>
      </x:c>
      <x:c r="H3094" s="39" t="str">
        <x:f>IF(ISNUMBER('Data'!N1386),'Data'!N1386*100,"")</x:f>
      </x:c>
      <x:c r="I3094" s="35"/>
      <x:c r="J3094" s="35" t="str">
        <x:v>PASS</x:v>
      </x:c>
      <x:c r="K3094" s="35" t="str">
        <x:v>FAIL</x:v>
      </x:c>
      <x:c r="L3094" s="35" t="str">
        <x:v>NOT_RUN</x:v>
      </x:c>
      <x:c r="M3094" s="35" t="str">
        <x:v>coverage unavailable or execution/compile failed</x:v>
      </x:c>
      <x:c r="N3094" s="35" t="str">
        <x:v>Deepseek-flash-v4/Result2/Jsoup_3/result.json</x:v>
      </x:c>
      <x:c r="O3094" s="39" t="str">
        <x:f>IF(AND(G3094="RECORDED",ISNUMBER(H3094)),H3094,"")</x:f>
      </x:c>
      <x:c r="P3094" s="35" t="str">
        <x:v>NOT_AVAILABLE</x:v>
      </x:c>
      <x:c r="Q3094" s="35" t="str">
        <x:v>Deepseek-flash-v4/Result2/Jsoup_3/result.json</x:v>
      </x:c>
    </x:row>
    <x:row r="3095">
      <x:c r="A3095" s="35" t="str">
        <x:v>deepseek</x:v>
      </x:c>
      <x:c r="B3095" s="35" t="str">
        <x:v>Jsoup</x:v>
      </x:c>
      <x:c r="C3095" s="35" t="str">
        <x:v>Round2</x:v>
      </x:c>
      <x:c r="D3095" s="35" t="str">
        <x:v>Jsoup_30</x:v>
      </x:c>
      <x:c r="E3095" s="35" t="str">
        <x:v>Condition</x:v>
      </x:c>
      <x:c r="F3095" s="35" t="n">
        <x:v>16</x:v>
      </x:c>
      <x:c r="G3095" s="35" t="str">
        <x:v>RECORDED</x:v>
      </x:c>
      <x:c r="H3095" s="39" t="n">
        <x:f>IF(ISNUMBER('Data'!N1387),'Data'!N1387*100,"")</x:f>
        <x:v>100</x:v>
      </x:c>
      <x:c r="I3095" s="35" t="str">
        <x:v>PASS</x:v>
      </x:c>
      <x:c r="J3095" s="35" t="str">
        <x:v>PASS</x:v>
      </x:c>
      <x:c r="K3095" s="35" t="str">
        <x:v>PASS</x:v>
      </x:c>
      <x:c r="L3095" s="35" t="str">
        <x:v>FAIL</x:v>
      </x:c>
      <x:c r="M3095" s="35" t="str">
        <x:v>numeric coverage for applicable metric</x:v>
      </x:c>
      <x:c r="N3095" s="35" t="str">
        <x:v>Deepseek-flash-v4/Result2/Jsoup_30/result.json</x:v>
      </x:c>
      <x:c r="O3095" s="39" t="n">
        <x:f>IF(AND(G3095="RECORDED",ISNUMBER(H3095)),H3095,"")</x:f>
        <x:v>100</x:v>
      </x:c>
      <x:c r="P3095" s="35" t="str">
        <x:v>INCONCLUSIVE</x:v>
      </x:c>
      <x:c r="Q3095" s="35" t="str">
        <x:v>Deepseek-flash-v4/Result2/Jsoup_30/result.json</x:v>
      </x:c>
    </x:row>
    <x:row r="3096">
      <x:c r="A3096" s="35" t="str">
        <x:v>deepseek</x:v>
      </x:c>
      <x:c r="B3096" s="35" t="str">
        <x:v>Jsoup</x:v>
      </x:c>
      <x:c r="C3096" s="35" t="str">
        <x:v>Round2</x:v>
      </x:c>
      <x:c r="D3096" s="35" t="str">
        <x:v>Jsoup_31</x:v>
      </x:c>
      <x:c r="E3096" s="35" t="str">
        <x:v>Condition</x:v>
      </x:c>
      <x:c r="F3096" s="35"/>
      <x:c r="G3096" s="35" t="str">
        <x:v>A</x:v>
      </x:c>
      <x:c r="H3096" s="39" t="str">
        <x:f>IF(ISNUMBER('Data'!N1388),'Data'!N1388*100,"")</x:f>
      </x:c>
      <x:c r="I3096" s="35"/>
      <x:c r="J3096" s="35" t="str">
        <x:v>PASS</x:v>
      </x:c>
      <x:c r="K3096" s="35" t="str">
        <x:v>FAIL</x:v>
      </x:c>
      <x:c r="L3096" s="35" t="str">
        <x:v>NOT_RUN</x:v>
      </x:c>
      <x:c r="M3096" s="35" t="str">
        <x:v>coverage unavailable or execution/compile failed</x:v>
      </x:c>
      <x:c r="N3096" s="35" t="str">
        <x:v>Deepseek-flash-v4/Result2/Jsoup_31/result.json</x:v>
      </x:c>
      <x:c r="O3096" s="39" t="str">
        <x:f>IF(AND(G3096="RECORDED",ISNUMBER(H3096)),H3096,"")</x:f>
      </x:c>
      <x:c r="P3096" s="35" t="str">
        <x:v>NOT_AVAILABLE</x:v>
      </x:c>
      <x:c r="Q3096" s="35" t="str">
        <x:v>Deepseek-flash-v4/Result2/Jsoup_31/result.json</x:v>
      </x:c>
    </x:row>
    <x:row r="3097">
      <x:c r="A3097" s="35" t="str">
        <x:v>deepseek</x:v>
      </x:c>
      <x:c r="B3097" s="35" t="str">
        <x:v>Jsoup</x:v>
      </x:c>
      <x:c r="C3097" s="35" t="str">
        <x:v>Round2</x:v>
      </x:c>
      <x:c r="D3097" s="35" t="str">
        <x:v>Jsoup_32</x:v>
      </x:c>
      <x:c r="E3097" s="35" t="str">
        <x:v>Condition</x:v>
      </x:c>
      <x:c r="F3097" s="35" t="n">
        <x:v>140</x:v>
      </x:c>
      <x:c r="G3097" s="35" t="str">
        <x:v>RECORDED</x:v>
      </x:c>
      <x:c r="H3097" s="39" t="n">
        <x:f>IF(ISNUMBER('Data'!N1389),'Data'!N1389*100,"")</x:f>
        <x:v>56.43</x:v>
      </x:c>
      <x:c r="I3097" s="35" t="str">
        <x:v>PASS</x:v>
      </x:c>
      <x:c r="J3097" s="35" t="str">
        <x:v>PASS</x:v>
      </x:c>
      <x:c r="K3097" s="35" t="str">
        <x:v>PASS</x:v>
      </x:c>
      <x:c r="L3097" s="35" t="str">
        <x:v>FAIL</x:v>
      </x:c>
      <x:c r="M3097" s="35" t="str">
        <x:v>numeric coverage for applicable metric</x:v>
      </x:c>
      <x:c r="N3097" s="35" t="str">
        <x:v>Deepseek-flash-v4/Result2/Jsoup_32/result.json</x:v>
      </x:c>
      <x:c r="O3097" s="39" t="n">
        <x:f>IF(AND(G3097="RECORDED",ISNUMBER(H3097)),H3097,"")</x:f>
        <x:v>56.43</x:v>
      </x:c>
      <x:c r="P3097" s="35" t="str">
        <x:v>INCONCLUSIVE</x:v>
      </x:c>
      <x:c r="Q3097" s="35" t="str">
        <x:v>Deepseek-flash-v4/Result2/Jsoup_32/result.json</x:v>
      </x:c>
    </x:row>
    <x:row r="3098">
      <x:c r="A3098" s="35" t="str">
        <x:v>deepseek</x:v>
      </x:c>
      <x:c r="B3098" s="35" t="str">
        <x:v>Jsoup</x:v>
      </x:c>
      <x:c r="C3098" s="35" t="str">
        <x:v>Round2</x:v>
      </x:c>
      <x:c r="D3098" s="35" t="str">
        <x:v>Jsoup_33</x:v>
      </x:c>
      <x:c r="E3098" s="35" t="str">
        <x:v>Condition</x:v>
      </x:c>
      <x:c r="F3098" s="35" t="n">
        <x:v>202</x:v>
      </x:c>
      <x:c r="G3098" s="35" t="str">
        <x:v>RECORDED</x:v>
      </x:c>
      <x:c r="H3098" s="39" t="n">
        <x:f>IF(ISNUMBER('Data'!N1390),'Data'!N1390*100,"")</x:f>
        <x:v>39.11</x:v>
      </x:c>
      <x:c r="I3098" s="35" t="str">
        <x:v>PASS</x:v>
      </x:c>
      <x:c r="J3098" s="35" t="str">
        <x:v>PASS</x:v>
      </x:c>
      <x:c r="K3098" s="35" t="str">
        <x:v>PASS</x:v>
      </x:c>
      <x:c r="L3098" s="35" t="str">
        <x:v>FAIL</x:v>
      </x:c>
      <x:c r="M3098" s="35" t="str">
        <x:v>numeric coverage for applicable metric</x:v>
      </x:c>
      <x:c r="N3098" s="35" t="str">
        <x:v>Deepseek-flash-v4/Result2/Jsoup_33/result.json</x:v>
      </x:c>
      <x:c r="O3098" s="39" t="n">
        <x:f>IF(AND(G3098="RECORDED",ISNUMBER(H3098)),H3098,"")</x:f>
        <x:v>39.11</x:v>
      </x:c>
      <x:c r="P3098" s="35" t="str">
        <x:v>INCONCLUSIVE</x:v>
      </x:c>
      <x:c r="Q3098" s="35" t="str">
        <x:v>Deepseek-flash-v4/Result2/Jsoup_33/result.json</x:v>
      </x:c>
    </x:row>
    <x:row r="3099">
      <x:c r="A3099" s="35" t="str">
        <x:v>deepseek</x:v>
      </x:c>
      <x:c r="B3099" s="35" t="str">
        <x:v>Jsoup</x:v>
      </x:c>
      <x:c r="C3099" s="35" t="str">
        <x:v>Round2</x:v>
      </x:c>
      <x:c r="D3099" s="35" t="str">
        <x:v>Jsoup_34</x:v>
      </x:c>
      <x:c r="E3099" s="35" t="str">
        <x:v>Condition</x:v>
      </x:c>
      <x:c r="F3099" s="35" t="n">
        <x:v>130</x:v>
      </x:c>
      <x:c r="G3099" s="35" t="str">
        <x:v>RECORDED</x:v>
      </x:c>
      <x:c r="H3099" s="39" t="n">
        <x:f>IF(ISNUMBER('Data'!N1391),'Data'!N1391*100,"")</x:f>
        <x:v>82.31</x:v>
      </x:c>
      <x:c r="I3099" s="35" t="str">
        <x:v>PASS</x:v>
      </x:c>
      <x:c r="J3099" s="35" t="str">
        <x:v>PASS</x:v>
      </x:c>
      <x:c r="K3099" s="35" t="str">
        <x:v>PASS</x:v>
      </x:c>
      <x:c r="L3099" s="35" t="str">
        <x:v>FAIL</x:v>
      </x:c>
      <x:c r="M3099" s="35" t="str">
        <x:v>numeric coverage for applicable metric</x:v>
      </x:c>
      <x:c r="N3099" s="35" t="str">
        <x:v>Deepseek-flash-v4/Result2/Jsoup_34/result.json</x:v>
      </x:c>
      <x:c r="O3099" s="39" t="n">
        <x:f>IF(AND(G3099="RECORDED",ISNUMBER(H3099)),H3099,"")</x:f>
        <x:v>82.31</x:v>
      </x:c>
      <x:c r="P3099" s="35" t="str">
        <x:v>INCONCLUSIVE</x:v>
      </x:c>
      <x:c r="Q3099" s="35" t="str">
        <x:v>Deepseek-flash-v4/Result2/Jsoup_34/result.json</x:v>
      </x:c>
    </x:row>
    <x:row r="3100">
      <x:c r="A3100" s="35" t="str">
        <x:v>deepseek</x:v>
      </x:c>
      <x:c r="B3100" s="35" t="str">
        <x:v>Jsoup</x:v>
      </x:c>
      <x:c r="C3100" s="35" t="str">
        <x:v>Round2</x:v>
      </x:c>
      <x:c r="D3100" s="35" t="str">
        <x:v>Jsoup_35</x:v>
      </x:c>
      <x:c r="E3100" s="35" t="str">
        <x:v>Condition</x:v>
      </x:c>
      <x:c r="F3100" s="35"/>
      <x:c r="G3100" s="35" t="str">
        <x:v>A</x:v>
      </x:c>
      <x:c r="H3100" s="39" t="str">
        <x:f>IF(ISNUMBER('Data'!N1392),'Data'!N1392*100,"")</x:f>
      </x:c>
      <x:c r="I3100" s="35"/>
      <x:c r="J3100" s="35" t="str">
        <x:v>PASS</x:v>
      </x:c>
      <x:c r="K3100" s="35" t="str">
        <x:v>FAIL</x:v>
      </x:c>
      <x:c r="L3100" s="35" t="str">
        <x:v>NOT_RUN</x:v>
      </x:c>
      <x:c r="M3100" s="35" t="str">
        <x:v>coverage unavailable or execution/compile failed</x:v>
      </x:c>
      <x:c r="N3100" s="35" t="str">
        <x:v>Deepseek-flash-v4/Result2/Jsoup_35/result.json</x:v>
      </x:c>
      <x:c r="O3100" s="39" t="str">
        <x:f>IF(AND(G3100="RECORDED",ISNUMBER(H3100)),H3100,"")</x:f>
      </x:c>
      <x:c r="P3100" s="35" t="str">
        <x:v>NOT_AVAILABLE</x:v>
      </x:c>
      <x:c r="Q3100" s="35" t="str">
        <x:v>Deepseek-flash-v4/Result2/Jsoup_35/result.json</x:v>
      </x:c>
    </x:row>
    <x:row r="3101">
      <x:c r="A3101" s="35" t="str">
        <x:v>deepseek</x:v>
      </x:c>
      <x:c r="B3101" s="35" t="str">
        <x:v>Jsoup</x:v>
      </x:c>
      <x:c r="C3101" s="35" t="str">
        <x:v>Round2</x:v>
      </x:c>
      <x:c r="D3101" s="35" t="str">
        <x:v>Jsoup_36</x:v>
      </x:c>
      <x:c r="E3101" s="35" t="str">
        <x:v>Condition</x:v>
      </x:c>
      <x:c r="F3101" s="35" t="n">
        <x:v>38</x:v>
      </x:c>
      <x:c r="G3101" s="35" t="str">
        <x:v>RECORDED</x:v>
      </x:c>
      <x:c r="H3101" s="39" t="n">
        <x:f>IF(ISNUMBER('Data'!N1393),'Data'!N1393*100,"")</x:f>
        <x:v>76.32</x:v>
      </x:c>
      <x:c r="I3101" s="35" t="str">
        <x:v>PASS</x:v>
      </x:c>
      <x:c r="J3101" s="35" t="str">
        <x:v>PASS</x:v>
      </x:c>
      <x:c r="K3101" s="35" t="str">
        <x:v>PASS</x:v>
      </x:c>
      <x:c r="L3101" s="35" t="str">
        <x:v>FAIL</x:v>
      </x:c>
      <x:c r="M3101" s="35" t="str">
        <x:v>numeric coverage for applicable metric</x:v>
      </x:c>
      <x:c r="N3101" s="35" t="str">
        <x:v>Deepseek-flash-v4/Result2/Jsoup_36/result.json</x:v>
      </x:c>
      <x:c r="O3101" s="39" t="n">
        <x:f>IF(AND(G3101="RECORDED",ISNUMBER(H3101)),H3101,"")</x:f>
        <x:v>76.32</x:v>
      </x:c>
      <x:c r="P3101" s="35" t="str">
        <x:v>INCONCLUSIVE</x:v>
      </x:c>
      <x:c r="Q3101" s="35" t="str">
        <x:v>Deepseek-flash-v4/Result2/Jsoup_36/result.json</x:v>
      </x:c>
    </x:row>
    <x:row r="3102">
      <x:c r="A3102" s="35" t="str">
        <x:v>deepseek</x:v>
      </x:c>
      <x:c r="B3102" s="35" t="str">
        <x:v>Jsoup</x:v>
      </x:c>
      <x:c r="C3102" s="35" t="str">
        <x:v>Round2</x:v>
      </x:c>
      <x:c r="D3102" s="35" t="str">
        <x:v>Jsoup_37</x:v>
      </x:c>
      <x:c r="E3102" s="35" t="str">
        <x:v>Condition</x:v>
      </x:c>
      <x:c r="F3102" s="35" t="n">
        <x:v>152</x:v>
      </x:c>
      <x:c r="G3102" s="35" t="str">
        <x:v>RECORDED</x:v>
      </x:c>
      <x:c r="H3102" s="39" t="n">
        <x:f>IF(ISNUMBER('Data'!N1394),'Data'!N1394*100,"")</x:f>
        <x:v>62.5</x:v>
      </x:c>
      <x:c r="I3102" s="35" t="str">
        <x:v>PASS</x:v>
      </x:c>
      <x:c r="J3102" s="35" t="str">
        <x:v>PASS</x:v>
      </x:c>
      <x:c r="K3102" s="35" t="str">
        <x:v>PASS</x:v>
      </x:c>
      <x:c r="L3102" s="35" t="str">
        <x:v>FAIL</x:v>
      </x:c>
      <x:c r="M3102" s="35" t="str">
        <x:v>numeric coverage for applicable metric</x:v>
      </x:c>
      <x:c r="N3102" s="35" t="str">
        <x:v>Deepseek-flash-v4/Result2/Jsoup_37/result.json</x:v>
      </x:c>
      <x:c r="O3102" s="39" t="n">
        <x:f>IF(AND(G3102="RECORDED",ISNUMBER(H3102)),H3102,"")</x:f>
        <x:v>62.5</x:v>
      </x:c>
      <x:c r="P3102" s="35" t="str">
        <x:v>INCONCLUSIVE</x:v>
      </x:c>
      <x:c r="Q3102" s="35" t="str">
        <x:v>Deepseek-flash-v4/Result2/Jsoup_37/result.json</x:v>
      </x:c>
    </x:row>
    <x:row r="3103">
      <x:c r="A3103" s="35" t="str">
        <x:v>deepseek</x:v>
      </x:c>
      <x:c r="B3103" s="35" t="str">
        <x:v>Jsoup</x:v>
      </x:c>
      <x:c r="C3103" s="35" t="str">
        <x:v>Round2</x:v>
      </x:c>
      <x:c r="D3103" s="35" t="str">
        <x:v>Jsoup_38</x:v>
      </x:c>
      <x:c r="E3103" s="35" t="str">
        <x:v>Condition</x:v>
      </x:c>
      <x:c r="F3103" s="35"/>
      <x:c r="G3103" s="35" t="str">
        <x:v>A</x:v>
      </x:c>
      <x:c r="H3103" s="39" t="str">
        <x:f>IF(ISNUMBER('Data'!N1395),'Data'!N1395*100,"")</x:f>
      </x:c>
      <x:c r="I3103" s="35"/>
      <x:c r="J3103" s="35" t="str">
        <x:v>PASS</x:v>
      </x:c>
      <x:c r="K3103" s="35" t="str">
        <x:v>FAIL</x:v>
      </x:c>
      <x:c r="L3103" s="35" t="str">
        <x:v>NOT_RUN</x:v>
      </x:c>
      <x:c r="M3103" s="35" t="str">
        <x:v>coverage unavailable or execution/compile failed</x:v>
      </x:c>
      <x:c r="N3103" s="35" t="str">
        <x:v>Deepseek-flash-v4/Result2/Jsoup_38/result.json</x:v>
      </x:c>
      <x:c r="O3103" s="39" t="str">
        <x:f>IF(AND(G3103="RECORDED",ISNUMBER(H3103)),H3103,"")</x:f>
      </x:c>
      <x:c r="P3103" s="35" t="str">
        <x:v>NOT_AVAILABLE</x:v>
      </x:c>
      <x:c r="Q3103" s="35" t="str">
        <x:v>Deepseek-flash-v4/Result2/Jsoup_38/result.json</x:v>
      </x:c>
    </x:row>
    <x:row r="3104">
      <x:c r="A3104" s="35" t="str">
        <x:v>deepseek</x:v>
      </x:c>
      <x:c r="B3104" s="35" t="str">
        <x:v>Jsoup</x:v>
      </x:c>
      <x:c r="C3104" s="35" t="str">
        <x:v>Round2</x:v>
      </x:c>
      <x:c r="D3104" s="35" t="str">
        <x:v>Jsoup_39</x:v>
      </x:c>
      <x:c r="E3104" s="35" t="str">
        <x:v>Condition</x:v>
      </x:c>
      <x:c r="F3104" s="35" t="n">
        <x:v>46</x:v>
      </x:c>
      <x:c r="G3104" s="35" t="str">
        <x:v>RECORDED</x:v>
      </x:c>
      <x:c r="H3104" s="39" t="n">
        <x:f>IF(ISNUMBER('Data'!N1396),'Data'!N1396*100,"")</x:f>
        <x:v>71.74</x:v>
      </x:c>
      <x:c r="I3104" s="35" t="str">
        <x:v>PASS</x:v>
      </x:c>
      <x:c r="J3104" s="35" t="str">
        <x:v>PASS</x:v>
      </x:c>
      <x:c r="K3104" s="35" t="str">
        <x:v>PASS</x:v>
      </x:c>
      <x:c r="L3104" s="35" t="str">
        <x:v>FAIL</x:v>
      </x:c>
      <x:c r="M3104" s="35" t="str">
        <x:v>numeric coverage for applicable metric</x:v>
      </x:c>
      <x:c r="N3104" s="35" t="str">
        <x:v>Deepseek-flash-v4/Result2/Jsoup_39/result.json</x:v>
      </x:c>
      <x:c r="O3104" s="39" t="n">
        <x:f>IF(AND(G3104="RECORDED",ISNUMBER(H3104)),H3104,"")</x:f>
        <x:v>71.74</x:v>
      </x:c>
      <x:c r="P3104" s="35" t="str">
        <x:v>INCONCLUSIVE</x:v>
      </x:c>
      <x:c r="Q3104" s="35" t="str">
        <x:v>Deepseek-flash-v4/Result2/Jsoup_39/result.json</x:v>
      </x:c>
    </x:row>
    <x:row r="3105">
      <x:c r="A3105" s="35" t="str">
        <x:v>deepseek</x:v>
      </x:c>
      <x:c r="B3105" s="35" t="str">
        <x:v>Jsoup</x:v>
      </x:c>
      <x:c r="C3105" s="35" t="str">
        <x:v>Round2</x:v>
      </x:c>
      <x:c r="D3105" s="35" t="str">
        <x:v>Jsoup_4</x:v>
      </x:c>
      <x:c r="E3105" s="35" t="str">
        <x:v>Condition</x:v>
      </x:c>
      <x:c r="F3105" s="35"/>
      <x:c r="G3105" s="35" t="str">
        <x:v>A</x:v>
      </x:c>
      <x:c r="H3105" s="39" t="str">
        <x:f>IF(ISNUMBER('Data'!N1397),'Data'!N1397*100,"")</x:f>
      </x:c>
      <x:c r="I3105" s="35" t="str">
        <x:v>FAIL</x:v>
      </x:c>
      <x:c r="J3105" s="35" t="str">
        <x:v>PASS</x:v>
      </x:c>
      <x:c r="K3105" s="35" t="str">
        <x:v>PASS</x:v>
      </x:c>
      <x:c r="L3105" s="35" t="str">
        <x:v>PASS</x:v>
      </x:c>
      <x:c r="M3105" s="35" t="str">
        <x:v>coverage unavailable or execution/compile failed</x:v>
      </x:c>
      <x:c r="N3105" s="35" t="str">
        <x:v>Deepseek-flash-v4/Result2/Jsoup_4/result.json</x:v>
      </x:c>
      <x:c r="O3105" s="39" t="str">
        <x:f>IF(AND(G3105="RECORDED",ISNUMBER(H3105)),H3105,"")</x:f>
      </x:c>
      <x:c r="P3105" s="35" t="str">
        <x:v>NOT_AVAILABLE</x:v>
      </x:c>
      <x:c r="Q3105" s="35" t="str">
        <x:v>Deepseek-flash-v4/Result2/Jsoup_4/result.json</x:v>
      </x:c>
    </x:row>
    <x:row r="3106">
      <x:c r="A3106" s="35" t="str">
        <x:v>deepseek</x:v>
      </x:c>
      <x:c r="B3106" s="35" t="str">
        <x:v>Jsoup</x:v>
      </x:c>
      <x:c r="C3106" s="35" t="str">
        <x:v>Round2</x:v>
      </x:c>
      <x:c r="D3106" s="35" t="str">
        <x:v>Jsoup_40</x:v>
      </x:c>
      <x:c r="E3106" s="35" t="str">
        <x:v>Condition</x:v>
      </x:c>
      <x:c r="F3106" s="35" t="n">
        <x:v>6</x:v>
      </x:c>
      <x:c r="G3106" s="35" t="str">
        <x:v>RECORDED</x:v>
      </x:c>
      <x:c r="H3106" s="39" t="n">
        <x:f>IF(ISNUMBER('Data'!N1398),'Data'!N1398*100,"")</x:f>
        <x:v>100</x:v>
      </x:c>
      <x:c r="I3106" s="35" t="str">
        <x:v>PASS</x:v>
      </x:c>
      <x:c r="J3106" s="35" t="str">
        <x:v>PASS</x:v>
      </x:c>
      <x:c r="K3106" s="35" t="str">
        <x:v>PASS</x:v>
      </x:c>
      <x:c r="L3106" s="35" t="str">
        <x:v>FAIL</x:v>
      </x:c>
      <x:c r="M3106" s="35" t="str">
        <x:v>numeric coverage for applicable metric</x:v>
      </x:c>
      <x:c r="N3106" s="35" t="str">
        <x:v>Deepseek-flash-v4/Result2/Jsoup_40/result.json</x:v>
      </x:c>
      <x:c r="O3106" s="39" t="n">
        <x:f>IF(AND(G3106="RECORDED",ISNUMBER(H3106)),H3106,"")</x:f>
        <x:v>100</x:v>
      </x:c>
      <x:c r="P3106" s="35" t="str">
        <x:v>INCONCLUSIVE</x:v>
      </x:c>
      <x:c r="Q3106" s="35" t="str">
        <x:v>Deepseek-flash-v4/Result2/Jsoup_40/result.json</x:v>
      </x:c>
    </x:row>
    <x:row r="3107">
      <x:c r="A3107" s="35" t="str">
        <x:v>deepseek</x:v>
      </x:c>
      <x:c r="B3107" s="35" t="str">
        <x:v>Jsoup</x:v>
      </x:c>
      <x:c r="C3107" s="35" t="str">
        <x:v>Round2</x:v>
      </x:c>
      <x:c r="D3107" s="35" t="str">
        <x:v>Jsoup_41</x:v>
      </x:c>
      <x:c r="E3107" s="35" t="str">
        <x:v>Condition</x:v>
      </x:c>
      <x:c r="F3107" s="35" t="n">
        <x:v>174</x:v>
      </x:c>
      <x:c r="G3107" s="35" t="str">
        <x:v>RECORDED</x:v>
      </x:c>
      <x:c r="H3107" s="39" t="n">
        <x:f>IF(ISNUMBER('Data'!N1399),'Data'!N1399*100,"")</x:f>
        <x:v>56.32</x:v>
      </x:c>
      <x:c r="I3107" s="35" t="str">
        <x:v>PASS</x:v>
      </x:c>
      <x:c r="J3107" s="35" t="str">
        <x:v>PASS</x:v>
      </x:c>
      <x:c r="K3107" s="35" t="str">
        <x:v>PASS</x:v>
      </x:c>
      <x:c r="L3107" s="35" t="str">
        <x:v>FAIL</x:v>
      </x:c>
      <x:c r="M3107" s="35" t="str">
        <x:v>numeric coverage for applicable metric</x:v>
      </x:c>
      <x:c r="N3107" s="35" t="str">
        <x:v>Deepseek-flash-v4/Result2/Jsoup_41/result.json</x:v>
      </x:c>
      <x:c r="O3107" s="39" t="n">
        <x:f>IF(AND(G3107="RECORDED",ISNUMBER(H3107)),H3107,"")</x:f>
        <x:v>56.32</x:v>
      </x:c>
      <x:c r="P3107" s="35" t="str">
        <x:v>INCONCLUSIVE</x:v>
      </x:c>
      <x:c r="Q3107" s="35" t="str">
        <x:v>Deepseek-flash-v4/Result2/Jsoup_41/result.json</x:v>
      </x:c>
    </x:row>
    <x:row r="3108">
      <x:c r="A3108" s="35" t="str">
        <x:v>deepseek</x:v>
      </x:c>
      <x:c r="B3108" s="35" t="str">
        <x:v>Jsoup</x:v>
      </x:c>
      <x:c r="C3108" s="35" t="str">
        <x:v>Round2</x:v>
      </x:c>
      <x:c r="D3108" s="35" t="str">
        <x:v>Jsoup_42</x:v>
      </x:c>
      <x:c r="E3108" s="35" t="str">
        <x:v>Condition</x:v>
      </x:c>
      <x:c r="F3108" s="35"/>
      <x:c r="G3108" s="35" t="str">
        <x:v>A</x:v>
      </x:c>
      <x:c r="H3108" s="39" t="str">
        <x:f>IF(ISNUMBER('Data'!N1400),'Data'!N1400*100,"")</x:f>
      </x:c>
      <x:c r="I3108" s="35"/>
      <x:c r="J3108" s="35" t="str">
        <x:v>PASS</x:v>
      </x:c>
      <x:c r="K3108" s="35" t="str">
        <x:v>FAIL</x:v>
      </x:c>
      <x:c r="L3108" s="35" t="str">
        <x:v>NOT_RUN</x:v>
      </x:c>
      <x:c r="M3108" s="35" t="str">
        <x:v>coverage unavailable or execution/compile failed</x:v>
      </x:c>
      <x:c r="N3108" s="35" t="str">
        <x:v>Deepseek-flash-v4/Result2/Jsoup_42/result.json</x:v>
      </x:c>
      <x:c r="O3108" s="39" t="str">
        <x:f>IF(AND(G3108="RECORDED",ISNUMBER(H3108)),H3108,"")</x:f>
      </x:c>
      <x:c r="P3108" s="35" t="str">
        <x:v>NOT_AVAILABLE</x:v>
      </x:c>
      <x:c r="Q3108" s="35" t="str">
        <x:v>Deepseek-flash-v4/Result2/Jsoup_42/result.json</x:v>
      </x:c>
    </x:row>
    <x:row r="3109">
      <x:c r="A3109" s="35" t="str">
        <x:v>deepseek</x:v>
      </x:c>
      <x:c r="B3109" s="35" t="str">
        <x:v>Jsoup</x:v>
      </x:c>
      <x:c r="C3109" s="35" t="str">
        <x:v>Round2</x:v>
      </x:c>
      <x:c r="D3109" s="35" t="str">
        <x:v>Jsoup_43</x:v>
      </x:c>
      <x:c r="E3109" s="35" t="str">
        <x:v>Condition</x:v>
      </x:c>
      <x:c r="F3109" s="35"/>
      <x:c r="G3109" s="35" t="str">
        <x:v>A</x:v>
      </x:c>
      <x:c r="H3109" s="39" t="str">
        <x:f>IF(ISNUMBER('Data'!N1401),'Data'!N1401*100,"")</x:f>
      </x:c>
      <x:c r="I3109" s="35"/>
      <x:c r="J3109" s="35" t="str">
        <x:v>PASS</x:v>
      </x:c>
      <x:c r="K3109" s="35" t="str">
        <x:v>FAIL</x:v>
      </x:c>
      <x:c r="L3109" s="35" t="str">
        <x:v>NOT_RUN</x:v>
      </x:c>
      <x:c r="M3109" s="35" t="str">
        <x:v>coverage unavailable or execution/compile failed</x:v>
      </x:c>
      <x:c r="N3109" s="35" t="str">
        <x:v>Deepseek-flash-v4/Result2/Jsoup_43/result.json</x:v>
      </x:c>
      <x:c r="O3109" s="39" t="str">
        <x:f>IF(AND(G3109="RECORDED",ISNUMBER(H3109)),H3109,"")</x:f>
      </x:c>
      <x:c r="P3109" s="35" t="str">
        <x:v>NOT_AVAILABLE</x:v>
      </x:c>
      <x:c r="Q3109" s="35" t="str">
        <x:v>Deepseek-flash-v4/Result2/Jsoup_43/result.json</x:v>
      </x:c>
    </x:row>
    <x:row r="3110">
      <x:c r="A3110" s="35" t="str">
        <x:v>deepseek</x:v>
      </x:c>
      <x:c r="B3110" s="35" t="str">
        <x:v>Jsoup</x:v>
      </x:c>
      <x:c r="C3110" s="35" t="str">
        <x:v>Round2</x:v>
      </x:c>
      <x:c r="D3110" s="35" t="str">
        <x:v>Jsoup_44</x:v>
      </x:c>
      <x:c r="E3110" s="35" t="str">
        <x:v>Condition</x:v>
      </x:c>
      <x:c r="F3110" s="35"/>
      <x:c r="G3110" s="35" t="str">
        <x:v>A</x:v>
      </x:c>
      <x:c r="H3110" s="39" t="str">
        <x:f>IF(ISNUMBER('Data'!N1402),'Data'!N1402*100,"")</x:f>
      </x:c>
      <x:c r="I3110" s="35"/>
      <x:c r="J3110" s="35" t="str">
        <x:v>PASS</x:v>
      </x:c>
      <x:c r="K3110" s="35" t="str">
        <x:v>FAIL</x:v>
      </x:c>
      <x:c r="L3110" s="35" t="str">
        <x:v>NOT_RUN</x:v>
      </x:c>
      <x:c r="M3110" s="35" t="str">
        <x:v>coverage unavailable or execution/compile failed</x:v>
      </x:c>
      <x:c r="N3110" s="35" t="str">
        <x:v>Deepseek-flash-v4/Result2/Jsoup_44/result.json</x:v>
      </x:c>
      <x:c r="O3110" s="39" t="str">
        <x:f>IF(AND(G3110="RECORDED",ISNUMBER(H3110)),H3110,"")</x:f>
      </x:c>
      <x:c r="P3110" s="35" t="str">
        <x:v>NOT_AVAILABLE</x:v>
      </x:c>
      <x:c r="Q3110" s="35" t="str">
        <x:v>Deepseek-flash-v4/Result2/Jsoup_44/result.json</x:v>
      </x:c>
    </x:row>
    <x:row r="3111">
      <x:c r="A3111" s="35" t="str">
        <x:v>deepseek</x:v>
      </x:c>
      <x:c r="B3111" s="35" t="str">
        <x:v>Jsoup</x:v>
      </x:c>
      <x:c r="C3111" s="35" t="str">
        <x:v>Round2</x:v>
      </x:c>
      <x:c r="D3111" s="35" t="str">
        <x:v>Jsoup_45</x:v>
      </x:c>
      <x:c r="E3111" s="35" t="str">
        <x:v>Condition</x:v>
      </x:c>
      <x:c r="F3111" s="35"/>
      <x:c r="G3111" s="35" t="str">
        <x:v>A</x:v>
      </x:c>
      <x:c r="H3111" s="39" t="str">
        <x:f>IF(ISNUMBER('Data'!N1403),'Data'!N1403*100,"")</x:f>
      </x:c>
      <x:c r="I3111" s="35"/>
      <x:c r="J3111" s="35" t="str">
        <x:v>PASS</x:v>
      </x:c>
      <x:c r="K3111" s="35" t="str">
        <x:v>FAIL</x:v>
      </x:c>
      <x:c r="L3111" s="35" t="str">
        <x:v>NOT_RUN</x:v>
      </x:c>
      <x:c r="M3111" s="35" t="str">
        <x:v>coverage unavailable or execution/compile failed</x:v>
      </x:c>
      <x:c r="N3111" s="35" t="str">
        <x:v>Deepseek-flash-v4/Result2/Jsoup_45/result.json</x:v>
      </x:c>
      <x:c r="O3111" s="39" t="str">
        <x:f>IF(AND(G3111="RECORDED",ISNUMBER(H3111)),H3111,"")</x:f>
      </x:c>
      <x:c r="P3111" s="35" t="str">
        <x:v>NOT_AVAILABLE</x:v>
      </x:c>
      <x:c r="Q3111" s="35" t="str">
        <x:v>Deepseek-flash-v4/Result2/Jsoup_45/result.json</x:v>
      </x:c>
    </x:row>
    <x:row r="3112">
      <x:c r="A3112" s="35" t="str">
        <x:v>deepseek</x:v>
      </x:c>
      <x:c r="B3112" s="35" t="str">
        <x:v>Jsoup</x:v>
      </x:c>
      <x:c r="C3112" s="35" t="str">
        <x:v>Round2</x:v>
      </x:c>
      <x:c r="D3112" s="35" t="str">
        <x:v>Jsoup_46</x:v>
      </x:c>
      <x:c r="E3112" s="35" t="str">
        <x:v>Condition</x:v>
      </x:c>
      <x:c r="F3112" s="35" t="n">
        <x:v>51</x:v>
      </x:c>
      <x:c r="G3112" s="35" t="str">
        <x:v>RECORDED</x:v>
      </x:c>
      <x:c r="H3112" s="39" t="n">
        <x:f>IF(ISNUMBER('Data'!N1404),'Data'!N1404*100,"")</x:f>
        <x:v>62.74999999999999</x:v>
      </x:c>
      <x:c r="I3112" s="35" t="str">
        <x:v>PASS</x:v>
      </x:c>
      <x:c r="J3112" s="35" t="str">
        <x:v>PASS</x:v>
      </x:c>
      <x:c r="K3112" s="35" t="str">
        <x:v>PASS</x:v>
      </x:c>
      <x:c r="L3112" s="35" t="str">
        <x:v>FAIL</x:v>
      </x:c>
      <x:c r="M3112" s="35" t="str">
        <x:v>numeric coverage for applicable metric</x:v>
      </x:c>
      <x:c r="N3112" s="35" t="str">
        <x:v>Deepseek-flash-v4/Result2/Jsoup_46/result.json</x:v>
      </x:c>
      <x:c r="O3112" s="39" t="n">
        <x:f>IF(AND(G3112="RECORDED",ISNUMBER(H3112)),H3112,"")</x:f>
        <x:v>62.74999999999999</x:v>
      </x:c>
      <x:c r="P3112" s="35" t="str">
        <x:v>INCONCLUSIVE</x:v>
      </x:c>
      <x:c r="Q3112" s="35" t="str">
        <x:v>Deepseek-flash-v4/Result2/Jsoup_46/result.json</x:v>
      </x:c>
    </x:row>
    <x:row r="3113">
      <x:c r="A3113" s="35" t="str">
        <x:v>deepseek</x:v>
      </x:c>
      <x:c r="B3113" s="35" t="str">
        <x:v>Jsoup</x:v>
      </x:c>
      <x:c r="C3113" s="35" t="str">
        <x:v>Round2</x:v>
      </x:c>
      <x:c r="D3113" s="35" t="str">
        <x:v>Jsoup_47</x:v>
      </x:c>
      <x:c r="E3113" s="35" t="str">
        <x:v>Condition</x:v>
      </x:c>
      <x:c r="F3113" s="35" t="n">
        <x:v>51</x:v>
      </x:c>
      <x:c r="G3113" s="35" t="str">
        <x:v>RECORDED</x:v>
      </x:c>
      <x:c r="H3113" s="39" t="n">
        <x:f>IF(ISNUMBER('Data'!N1405),'Data'!N1405*100,"")</x:f>
        <x:v>96.08</x:v>
      </x:c>
      <x:c r="I3113" s="35" t="str">
        <x:v>PASS</x:v>
      </x:c>
      <x:c r="J3113" s="35" t="str">
        <x:v>PASS</x:v>
      </x:c>
      <x:c r="K3113" s="35" t="str">
        <x:v>PASS</x:v>
      </x:c>
      <x:c r="L3113" s="35" t="str">
        <x:v>PASS</x:v>
      </x:c>
      <x:c r="M3113" s="35" t="str">
        <x:v>numeric coverage for applicable metric</x:v>
      </x:c>
      <x:c r="N3113" s="35" t="str">
        <x:v>Deepseek-flash-v4/Result2/Jsoup_47/result.json</x:v>
      </x:c>
      <x:c r="O3113" s="39" t="n">
        <x:f>IF(AND(G3113="RECORDED",ISNUMBER(H3113)),H3113,"")</x:f>
        <x:v>96.08</x:v>
      </x:c>
      <x:c r="P3113" s="35" t="str">
        <x:v>NOT_REVEALING</x:v>
      </x:c>
      <x:c r="Q3113" s="35" t="str">
        <x:v>Deepseek-flash-v4/Result2/Jsoup_47/result.json</x:v>
      </x:c>
    </x:row>
    <x:row r="3114">
      <x:c r="A3114" s="35" t="str">
        <x:v>deepseek</x:v>
      </x:c>
      <x:c r="B3114" s="35" t="str">
        <x:v>Jsoup</x:v>
      </x:c>
      <x:c r="C3114" s="35" t="str">
        <x:v>Round2</x:v>
      </x:c>
      <x:c r="D3114" s="35" t="str">
        <x:v>Jsoup_48</x:v>
      </x:c>
      <x:c r="E3114" s="35" t="str">
        <x:v>Condition</x:v>
      </x:c>
      <x:c r="F3114" s="35"/>
      <x:c r="G3114" s="35" t="str">
        <x:v>A</x:v>
      </x:c>
      <x:c r="H3114" s="39" t="str">
        <x:f>IF(ISNUMBER('Data'!N1406),'Data'!N1406*100,"")</x:f>
      </x:c>
      <x:c r="I3114" s="35"/>
      <x:c r="J3114" s="35" t="str">
        <x:v>PASS</x:v>
      </x:c>
      <x:c r="K3114" s="35" t="str">
        <x:v>FAIL</x:v>
      </x:c>
      <x:c r="L3114" s="35" t="str">
        <x:v>NOT_RUN</x:v>
      </x:c>
      <x:c r="M3114" s="35" t="str">
        <x:v>coverage unavailable or execution/compile failed</x:v>
      </x:c>
      <x:c r="N3114" s="35" t="str">
        <x:v>Deepseek-flash-v4/Result2/Jsoup_48/result.json</x:v>
      </x:c>
      <x:c r="O3114" s="39" t="str">
        <x:f>IF(AND(G3114="RECORDED",ISNUMBER(H3114)),H3114,"")</x:f>
      </x:c>
      <x:c r="P3114" s="35" t="str">
        <x:v>NOT_AVAILABLE</x:v>
      </x:c>
      <x:c r="Q3114" s="35" t="str">
        <x:v>Deepseek-flash-v4/Result2/Jsoup_48/result.json</x:v>
      </x:c>
    </x:row>
    <x:row r="3115">
      <x:c r="A3115" s="35" t="str">
        <x:v>deepseek</x:v>
      </x:c>
      <x:c r="B3115" s="35" t="str">
        <x:v>Jsoup</x:v>
      </x:c>
      <x:c r="C3115" s="35" t="str">
        <x:v>Round2</x:v>
      </x:c>
      <x:c r="D3115" s="35" t="str">
        <x:v>Jsoup_49</x:v>
      </x:c>
      <x:c r="E3115" s="35" t="str">
        <x:v>Condition</x:v>
      </x:c>
      <x:c r="F3115" s="35"/>
      <x:c r="G3115" s="35" t="str">
        <x:v>A</x:v>
      </x:c>
      <x:c r="H3115" s="39" t="str">
        <x:f>IF(ISNUMBER('Data'!N1407),'Data'!N1407*100,"")</x:f>
      </x:c>
      <x:c r="I3115" s="35"/>
      <x:c r="J3115" s="35" t="str">
        <x:v>PASS</x:v>
      </x:c>
      <x:c r="K3115" s="35" t="str">
        <x:v>FAIL</x:v>
      </x:c>
      <x:c r="L3115" s="35" t="str">
        <x:v>NOT_RUN</x:v>
      </x:c>
      <x:c r="M3115" s="35" t="str">
        <x:v>coverage unavailable or execution/compile failed</x:v>
      </x:c>
      <x:c r="N3115" s="35" t="str">
        <x:v>Deepseek-flash-v4/Result2/Jsoup_49/result.json</x:v>
      </x:c>
      <x:c r="O3115" s="39" t="str">
        <x:f>IF(AND(G3115="RECORDED",ISNUMBER(H3115)),H3115,"")</x:f>
      </x:c>
      <x:c r="P3115" s="35" t="str">
        <x:v>NOT_AVAILABLE</x:v>
      </x:c>
      <x:c r="Q3115" s="35" t="str">
        <x:v>Deepseek-flash-v4/Result2/Jsoup_49/result.json</x:v>
      </x:c>
    </x:row>
    <x:row r="3116">
      <x:c r="A3116" s="35" t="str">
        <x:v>deepseek</x:v>
      </x:c>
      <x:c r="B3116" s="35" t="str">
        <x:v>Jsoup</x:v>
      </x:c>
      <x:c r="C3116" s="35" t="str">
        <x:v>Round2</x:v>
      </x:c>
      <x:c r="D3116" s="35" t="str">
        <x:v>Jsoup_5</x:v>
      </x:c>
      <x:c r="E3116" s="35" t="str">
        <x:v>Condition</x:v>
      </x:c>
      <x:c r="F3116" s="35" t="n">
        <x:v>92</x:v>
      </x:c>
      <x:c r="G3116" s="35" t="str">
        <x:v>RECORDED</x:v>
      </x:c>
      <x:c r="H3116" s="39" t="n">
        <x:f>IF(ISNUMBER('Data'!N1408),'Data'!N1408*100,"")</x:f>
        <x:v>48.91</x:v>
      </x:c>
      <x:c r="I3116" s="35" t="str">
        <x:v>PASS</x:v>
      </x:c>
      <x:c r="J3116" s="35" t="str">
        <x:v>PASS</x:v>
      </x:c>
      <x:c r="K3116" s="35" t="str">
        <x:v>PASS</x:v>
      </x:c>
      <x:c r="L3116" s="35" t="str">
        <x:v>PASS</x:v>
      </x:c>
      <x:c r="M3116" s="35" t="str">
        <x:v>numeric coverage for applicable metric</x:v>
      </x:c>
      <x:c r="N3116" s="35" t="str">
        <x:v>Deepseek-flash-v4/Result2/Jsoup_5/result.json</x:v>
      </x:c>
      <x:c r="O3116" s="39" t="n">
        <x:f>IF(AND(G3116="RECORDED",ISNUMBER(H3116)),H3116,"")</x:f>
        <x:v>48.91</x:v>
      </x:c>
      <x:c r="P3116" s="35" t="str">
        <x:v>NOT_REVEALING</x:v>
      </x:c>
      <x:c r="Q3116" s="35" t="str">
        <x:v>Deepseek-flash-v4/Result2/Jsoup_5/result.json</x:v>
      </x:c>
    </x:row>
    <x:row r="3117">
      <x:c r="A3117" s="35" t="str">
        <x:v>deepseek</x:v>
      </x:c>
      <x:c r="B3117" s="35" t="str">
        <x:v>Jsoup</x:v>
      </x:c>
      <x:c r="C3117" s="35" t="str">
        <x:v>Round2</x:v>
      </x:c>
      <x:c r="D3117" s="35" t="str">
        <x:v>Jsoup_50</x:v>
      </x:c>
      <x:c r="E3117" s="35" t="str">
        <x:v>Condition</x:v>
      </x:c>
      <x:c r="F3117" s="35" t="n">
        <x:v>50</x:v>
      </x:c>
      <x:c r="G3117" s="35" t="str">
        <x:v>RECORDED</x:v>
      </x:c>
      <x:c r="H3117" s="39" t="n">
        <x:f>IF(ISNUMBER('Data'!N1409),'Data'!N1409*100,"")</x:f>
        <x:v>86</x:v>
      </x:c>
      <x:c r="I3117" s="35" t="str">
        <x:v>PASS</x:v>
      </x:c>
      <x:c r="J3117" s="35" t="str">
        <x:v>PASS</x:v>
      </x:c>
      <x:c r="K3117" s="35" t="str">
        <x:v>PASS</x:v>
      </x:c>
      <x:c r="L3117" s="35" t="str">
        <x:v>FAIL</x:v>
      </x:c>
      <x:c r="M3117" s="35" t="str">
        <x:v>numeric coverage for applicable metric</x:v>
      </x:c>
      <x:c r="N3117" s="35" t="str">
        <x:v>Deepseek-flash-v4/Result2/Jsoup_50/result.json</x:v>
      </x:c>
      <x:c r="O3117" s="39" t="n">
        <x:f>IF(AND(G3117="RECORDED",ISNUMBER(H3117)),H3117,"")</x:f>
        <x:v>86</x:v>
      </x:c>
      <x:c r="P3117" s="35" t="str">
        <x:v>INCONCLUSIVE</x:v>
      </x:c>
      <x:c r="Q3117" s="35" t="str">
        <x:v>Deepseek-flash-v4/Result2/Jsoup_50/result.json</x:v>
      </x:c>
    </x:row>
    <x:row r="3118">
      <x:c r="A3118" s="35" t="str">
        <x:v>deepseek</x:v>
      </x:c>
      <x:c r="B3118" s="35" t="str">
        <x:v>Jsoup</x:v>
      </x:c>
      <x:c r="C3118" s="35" t="str">
        <x:v>Round2</x:v>
      </x:c>
      <x:c r="D3118" s="35" t="str">
        <x:v>Jsoup_51</x:v>
      </x:c>
      <x:c r="E3118" s="35" t="str">
        <x:v>Condition</x:v>
      </x:c>
      <x:c r="F3118" s="35" t="n">
        <x:v>186</x:v>
      </x:c>
      <x:c r="G3118" s="35" t="str">
        <x:v>RECORDED</x:v>
      </x:c>
      <x:c r="H3118" s="39" t="n">
        <x:f>IF(ISNUMBER('Data'!N1410),'Data'!N1410*100,"")</x:f>
        <x:v>80.11</x:v>
      </x:c>
      <x:c r="I3118" s="35" t="str">
        <x:v>PASS</x:v>
      </x:c>
      <x:c r="J3118" s="35" t="str">
        <x:v>PASS</x:v>
      </x:c>
      <x:c r="K3118" s="35" t="str">
        <x:v>PASS</x:v>
      </x:c>
      <x:c r="L3118" s="35" t="str">
        <x:v>FAIL</x:v>
      </x:c>
      <x:c r="M3118" s="35" t="str">
        <x:v>numeric coverage for applicable metric</x:v>
      </x:c>
      <x:c r="N3118" s="35" t="str">
        <x:v>Deepseek-flash-v4/Result2/Jsoup_51/result.json</x:v>
      </x:c>
      <x:c r="O3118" s="39" t="n">
        <x:f>IF(AND(G3118="RECORDED",ISNUMBER(H3118)),H3118,"")</x:f>
        <x:v>80.11</x:v>
      </x:c>
      <x:c r="P3118" s="35" t="str">
        <x:v>INCONCLUSIVE</x:v>
      </x:c>
      <x:c r="Q3118" s="35" t="str">
        <x:v>Deepseek-flash-v4/Result2/Jsoup_51/result.json</x:v>
      </x:c>
    </x:row>
    <x:row r="3119">
      <x:c r="A3119" s="35" t="str">
        <x:v>deepseek</x:v>
      </x:c>
      <x:c r="B3119" s="35" t="str">
        <x:v>Jsoup</x:v>
      </x:c>
      <x:c r="C3119" s="35" t="str">
        <x:v>Round2</x:v>
      </x:c>
      <x:c r="D3119" s="35" t="str">
        <x:v>Jsoup_52</x:v>
      </x:c>
      <x:c r="E3119" s="35" t="str">
        <x:v>Condition</x:v>
      </x:c>
      <x:c r="F3119" s="35"/>
      <x:c r="G3119" s="35" t="str">
        <x:v>A</x:v>
      </x:c>
      <x:c r="H3119" s="39" t="str">
        <x:f>IF(ISNUMBER('Data'!N1411),'Data'!N1411*100,"")</x:f>
      </x:c>
      <x:c r="I3119" s="35"/>
      <x:c r="J3119" s="35" t="str">
        <x:v>PASS</x:v>
      </x:c>
      <x:c r="K3119" s="35" t="str">
        <x:v>FAIL</x:v>
      </x:c>
      <x:c r="L3119" s="35" t="str">
        <x:v>NOT_RUN</x:v>
      </x:c>
      <x:c r="M3119" s="35" t="str">
        <x:v>coverage unavailable or execution/compile failed</x:v>
      </x:c>
      <x:c r="N3119" s="35" t="str">
        <x:v>Deepseek-flash-v4/Result2/Jsoup_52/result.json</x:v>
      </x:c>
      <x:c r="O3119" s="39" t="str">
        <x:f>IF(AND(G3119="RECORDED",ISNUMBER(H3119)),H3119,"")</x:f>
      </x:c>
      <x:c r="P3119" s="35" t="str">
        <x:v>NOT_AVAILABLE</x:v>
      </x:c>
      <x:c r="Q3119" s="35" t="str">
        <x:v>Deepseek-flash-v4/Result2/Jsoup_52/result.json</x:v>
      </x:c>
    </x:row>
    <x:row r="3120">
      <x:c r="A3120" s="35" t="str">
        <x:v>deepseek</x:v>
      </x:c>
      <x:c r="B3120" s="35" t="str">
        <x:v>Jsoup</x:v>
      </x:c>
      <x:c r="C3120" s="35" t="str">
        <x:v>Round2</x:v>
      </x:c>
      <x:c r="D3120" s="35" t="str">
        <x:v>Jsoup_53</x:v>
      </x:c>
      <x:c r="E3120" s="35" t="str">
        <x:v>Condition</x:v>
      </x:c>
      <x:c r="F3120" s="35" t="n">
        <x:v>108</x:v>
      </x:c>
      <x:c r="G3120" s="35" t="str">
        <x:v>RECORDED</x:v>
      </x:c>
      <x:c r="H3120" s="39" t="n">
        <x:f>IF(ISNUMBER('Data'!N1412),'Data'!N1412*100,"")</x:f>
        <x:v>81.48</x:v>
      </x:c>
      <x:c r="I3120" s="35" t="str">
        <x:v>PASS</x:v>
      </x:c>
      <x:c r="J3120" s="35" t="str">
        <x:v>PASS</x:v>
      </x:c>
      <x:c r="K3120" s="35" t="str">
        <x:v>PASS</x:v>
      </x:c>
      <x:c r="L3120" s="35" t="str">
        <x:v>FAIL</x:v>
      </x:c>
      <x:c r="M3120" s="35" t="str">
        <x:v>numeric coverage for applicable metric</x:v>
      </x:c>
      <x:c r="N3120" s="35" t="str">
        <x:v>Deepseek-flash-v4/Result2/Jsoup_53/result.json</x:v>
      </x:c>
      <x:c r="O3120" s="39" t="n">
        <x:f>IF(AND(G3120="RECORDED",ISNUMBER(H3120)),H3120,"")</x:f>
        <x:v>81.48</x:v>
      </x:c>
      <x:c r="P3120" s="35" t="str">
        <x:v>INCONCLUSIVE</x:v>
      </x:c>
      <x:c r="Q3120" s="35" t="str">
        <x:v>Deepseek-flash-v4/Result2/Jsoup_53/result.json</x:v>
      </x:c>
    </x:row>
    <x:row r="3121">
      <x:c r="A3121" s="35" t="str">
        <x:v>deepseek</x:v>
      </x:c>
      <x:c r="B3121" s="35" t="str">
        <x:v>Jsoup</x:v>
      </x:c>
      <x:c r="C3121" s="35" t="str">
        <x:v>Round2</x:v>
      </x:c>
      <x:c r="D3121" s="35" t="str">
        <x:v>Jsoup_54</x:v>
      </x:c>
      <x:c r="E3121" s="35" t="str">
        <x:v>Condition</x:v>
      </x:c>
      <x:c r="F3121" s="35"/>
      <x:c r="G3121" s="35" t="str">
        <x:v>A</x:v>
      </x:c>
      <x:c r="H3121" s="39" t="str">
        <x:f>IF(ISNUMBER('Data'!N1413),'Data'!N1413*100,"")</x:f>
      </x:c>
      <x:c r="I3121" s="35"/>
      <x:c r="J3121" s="35" t="str">
        <x:v>PASS</x:v>
      </x:c>
      <x:c r="K3121" s="35" t="str">
        <x:v>FAIL</x:v>
      </x:c>
      <x:c r="L3121" s="35" t="str">
        <x:v>NOT_RUN</x:v>
      </x:c>
      <x:c r="M3121" s="35" t="str">
        <x:v>coverage unavailable or execution/compile failed</x:v>
      </x:c>
      <x:c r="N3121" s="35" t="str">
        <x:v>Deepseek-flash-v4/Result2/Jsoup_54/result.json</x:v>
      </x:c>
      <x:c r="O3121" s="39" t="str">
        <x:f>IF(AND(G3121="RECORDED",ISNUMBER(H3121)),H3121,"")</x:f>
      </x:c>
      <x:c r="P3121" s="35" t="str">
        <x:v>NOT_AVAILABLE</x:v>
      </x:c>
      <x:c r="Q3121" s="35" t="str">
        <x:v>Deepseek-flash-v4/Result2/Jsoup_54/result.json</x:v>
      </x:c>
    </x:row>
    <x:row r="3122">
      <x:c r="A3122" s="35" t="str">
        <x:v>deepseek</x:v>
      </x:c>
      <x:c r="B3122" s="35" t="str">
        <x:v>Jsoup</x:v>
      </x:c>
      <x:c r="C3122" s="35" t="str">
        <x:v>Round2</x:v>
      </x:c>
      <x:c r="D3122" s="35" t="str">
        <x:v>Jsoup_55</x:v>
      </x:c>
      <x:c r="E3122" s="35" t="str">
        <x:v>Condition</x:v>
      </x:c>
      <x:c r="F3122" s="35"/>
      <x:c r="G3122" s="35" t="str">
        <x:v>A</x:v>
      </x:c>
      <x:c r="H3122" s="39" t="str">
        <x:f>IF(ISNUMBER('Data'!N1414),'Data'!N1414*100,"")</x:f>
      </x:c>
      <x:c r="I3122" s="35"/>
      <x:c r="J3122" s="35" t="str">
        <x:v>PASS</x:v>
      </x:c>
      <x:c r="K3122" s="35" t="str">
        <x:v>FAIL</x:v>
      </x:c>
      <x:c r="L3122" s="35" t="str">
        <x:v>NOT_RUN</x:v>
      </x:c>
      <x:c r="M3122" s="35" t="str">
        <x:v>coverage unavailable or execution/compile failed</x:v>
      </x:c>
      <x:c r="N3122" s="35" t="str">
        <x:v>Deepseek-flash-v4/Result2/Jsoup_55/result.json</x:v>
      </x:c>
      <x:c r="O3122" s="39" t="str">
        <x:f>IF(AND(G3122="RECORDED",ISNUMBER(H3122)),H3122,"")</x:f>
      </x:c>
      <x:c r="P3122" s="35" t="str">
        <x:v>NOT_AVAILABLE</x:v>
      </x:c>
      <x:c r="Q3122" s="35" t="str">
        <x:v>Deepseek-flash-v4/Result2/Jsoup_55/result.json</x:v>
      </x:c>
    </x:row>
    <x:row r="3123">
      <x:c r="A3123" s="35" t="str">
        <x:v>deepseek</x:v>
      </x:c>
      <x:c r="B3123" s="35" t="str">
        <x:v>Jsoup</x:v>
      </x:c>
      <x:c r="C3123" s="35" t="str">
        <x:v>Round2</x:v>
      </x:c>
      <x:c r="D3123" s="35" t="str">
        <x:v>Jsoup_56</x:v>
      </x:c>
      <x:c r="E3123" s="35" t="str">
        <x:v>Condition</x:v>
      </x:c>
      <x:c r="F3123" s="35"/>
      <x:c r="G3123" s="35" t="str">
        <x:v>A</x:v>
      </x:c>
      <x:c r="H3123" s="39" t="str">
        <x:f>IF(ISNUMBER('Data'!N1415),'Data'!N1415*100,"")</x:f>
      </x:c>
      <x:c r="I3123" s="35"/>
      <x:c r="J3123" s="35" t="str">
        <x:v>PASS</x:v>
      </x:c>
      <x:c r="K3123" s="35" t="str">
        <x:v>FAIL</x:v>
      </x:c>
      <x:c r="L3123" s="35" t="str">
        <x:v>NOT_RUN</x:v>
      </x:c>
      <x:c r="M3123" s="35" t="str">
        <x:v>coverage unavailable or execution/compile failed</x:v>
      </x:c>
      <x:c r="N3123" s="35" t="str">
        <x:v>Deepseek-flash-v4/Result2/Jsoup_56/result.json</x:v>
      </x:c>
      <x:c r="O3123" s="39" t="str">
        <x:f>IF(AND(G3123="RECORDED",ISNUMBER(H3123)),H3123,"")</x:f>
      </x:c>
      <x:c r="P3123" s="35" t="str">
        <x:v>NOT_AVAILABLE</x:v>
      </x:c>
      <x:c r="Q3123" s="35" t="str">
        <x:v>Deepseek-flash-v4/Result2/Jsoup_56/result.json</x:v>
      </x:c>
    </x:row>
    <x:row r="3124">
      <x:c r="A3124" s="35" t="str">
        <x:v>deepseek</x:v>
      </x:c>
      <x:c r="B3124" s="35" t="str">
        <x:v>Jsoup</x:v>
      </x:c>
      <x:c r="C3124" s="35" t="str">
        <x:v>Round2</x:v>
      </x:c>
      <x:c r="D3124" s="35" t="str">
        <x:v>Jsoup_57</x:v>
      </x:c>
      <x:c r="E3124" s="35" t="str">
        <x:v>Condition</x:v>
      </x:c>
      <x:c r="F3124" s="35" t="n">
        <x:v>76</x:v>
      </x:c>
      <x:c r="G3124" s="35" t="str">
        <x:v>RECORDED</x:v>
      </x:c>
      <x:c r="H3124" s="39" t="n">
        <x:f>IF(ISNUMBER('Data'!N1416),'Data'!N1416*100,"")</x:f>
        <x:v>93.42</x:v>
      </x:c>
      <x:c r="I3124" s="35" t="str">
        <x:v>PASS</x:v>
      </x:c>
      <x:c r="J3124" s="35" t="str">
        <x:v>PASS</x:v>
      </x:c>
      <x:c r="K3124" s="35" t="str">
        <x:v>PASS</x:v>
      </x:c>
      <x:c r="L3124" s="35" t="str">
        <x:v>PASS</x:v>
      </x:c>
      <x:c r="M3124" s="35" t="str">
        <x:v>numeric coverage for applicable metric</x:v>
      </x:c>
      <x:c r="N3124" s="35" t="str">
        <x:v>Deepseek-flash-v4/Result2/Jsoup_57/result.json</x:v>
      </x:c>
      <x:c r="O3124" s="39" t="n">
        <x:f>IF(AND(G3124="RECORDED",ISNUMBER(H3124)),H3124,"")</x:f>
        <x:v>93.42</x:v>
      </x:c>
      <x:c r="P3124" s="35" t="str">
        <x:v>NOT_REVEALING</x:v>
      </x:c>
      <x:c r="Q3124" s="35" t="str">
        <x:v>Deepseek-flash-v4/Result2/Jsoup_57/result.json</x:v>
      </x:c>
    </x:row>
    <x:row r="3125">
      <x:c r="A3125" s="35" t="str">
        <x:v>deepseek</x:v>
      </x:c>
      <x:c r="B3125" s="35" t="str">
        <x:v>Jsoup</x:v>
      </x:c>
      <x:c r="C3125" s="35" t="str">
        <x:v>Round2</x:v>
      </x:c>
      <x:c r="D3125" s="35" t="str">
        <x:v>Jsoup_58</x:v>
      </x:c>
      <x:c r="E3125" s="35" t="str">
        <x:v>Condition</x:v>
      </x:c>
      <x:c r="F3125" s="35" t="n">
        <x:v>32</x:v>
      </x:c>
      <x:c r="G3125" s="35" t="str">
        <x:v>RECORDED</x:v>
      </x:c>
      <x:c r="H3125" s="39" t="n">
        <x:f>IF(ISNUMBER('Data'!N1417),'Data'!N1417*100,"")</x:f>
        <x:v>100</x:v>
      </x:c>
      <x:c r="I3125" s="35" t="str">
        <x:v>PASS</x:v>
      </x:c>
      <x:c r="J3125" s="35" t="str">
        <x:v>PASS</x:v>
      </x:c>
      <x:c r="K3125" s="35" t="str">
        <x:v>PASS</x:v>
      </x:c>
      <x:c r="L3125" s="35" t="str">
        <x:v>FAIL</x:v>
      </x:c>
      <x:c r="M3125" s="35" t="str">
        <x:v>numeric coverage for applicable metric</x:v>
      </x:c>
      <x:c r="N3125" s="35" t="str">
        <x:v>Deepseek-flash-v4/Result2/Jsoup_58/result.json</x:v>
      </x:c>
      <x:c r="O3125" s="39" t="n">
        <x:f>IF(AND(G3125="RECORDED",ISNUMBER(H3125)),H3125,"")</x:f>
        <x:v>100</x:v>
      </x:c>
      <x:c r="P3125" s="35" t="str">
        <x:v>INCONCLUSIVE</x:v>
      </x:c>
      <x:c r="Q3125" s="35" t="str">
        <x:v>Deepseek-flash-v4/Result2/Jsoup_58/result.json</x:v>
      </x:c>
    </x:row>
    <x:row r="3126">
      <x:c r="A3126" s="35" t="str">
        <x:v>deepseek</x:v>
      </x:c>
      <x:c r="B3126" s="35" t="str">
        <x:v>Jsoup</x:v>
      </x:c>
      <x:c r="C3126" s="35" t="str">
        <x:v>Round2</x:v>
      </x:c>
      <x:c r="D3126" s="35" t="str">
        <x:v>Jsoup_59</x:v>
      </x:c>
      <x:c r="E3126" s="35" t="str">
        <x:v>Condition</x:v>
      </x:c>
      <x:c r="F3126" s="35" t="n">
        <x:v>44</x:v>
      </x:c>
      <x:c r="G3126" s="35" t="str">
        <x:v>RECORDED</x:v>
      </x:c>
      <x:c r="H3126" s="39" t="n">
        <x:f>IF(ISNUMBER('Data'!N1418),'Data'!N1418*100,"")</x:f>
        <x:v>93.18</x:v>
      </x:c>
      <x:c r="I3126" s="35" t="str">
        <x:v>PASS</x:v>
      </x:c>
      <x:c r="J3126" s="35" t="str">
        <x:v>PASS</x:v>
      </x:c>
      <x:c r="K3126" s="35" t="str">
        <x:v>PASS</x:v>
      </x:c>
      <x:c r="L3126" s="35" t="str">
        <x:v>PASS</x:v>
      </x:c>
      <x:c r="M3126" s="35" t="str">
        <x:v>numeric coverage for applicable metric</x:v>
      </x:c>
      <x:c r="N3126" s="35" t="str">
        <x:v>Deepseek-flash-v4/Result2/Jsoup_59/result.json</x:v>
      </x:c>
      <x:c r="O3126" s="39" t="n">
        <x:f>IF(AND(G3126="RECORDED",ISNUMBER(H3126)),H3126,"")</x:f>
        <x:v>93.18</x:v>
      </x:c>
      <x:c r="P3126" s="35" t="str">
        <x:v>NOT_REVEALING</x:v>
      </x:c>
      <x:c r="Q3126" s="35" t="str">
        <x:v>Deepseek-flash-v4/Result2/Jsoup_59/result.json</x:v>
      </x:c>
    </x:row>
    <x:row r="3127">
      <x:c r="A3127" s="35" t="str">
        <x:v>deepseek</x:v>
      </x:c>
      <x:c r="B3127" s="35" t="str">
        <x:v>Jsoup</x:v>
      </x:c>
      <x:c r="C3127" s="35" t="str">
        <x:v>Round2</x:v>
      </x:c>
      <x:c r="D3127" s="35" t="str">
        <x:v>Jsoup_6</x:v>
      </x:c>
      <x:c r="E3127" s="35" t="str">
        <x:v>Condition</x:v>
      </x:c>
      <x:c r="F3127" s="35"/>
      <x:c r="G3127" s="35" t="str">
        <x:v>A</x:v>
      </x:c>
      <x:c r="H3127" s="39" t="str">
        <x:f>IF(ISNUMBER('Data'!N1419),'Data'!N1419*100,"")</x:f>
      </x:c>
      <x:c r="I3127" s="35" t="str">
        <x:v>FAIL</x:v>
      </x:c>
      <x:c r="J3127" s="35" t="str">
        <x:v>PASS</x:v>
      </x:c>
      <x:c r="K3127" s="35" t="str">
        <x:v>PASS</x:v>
      </x:c>
      <x:c r="L3127" s="35" t="str">
        <x:v>PASS</x:v>
      </x:c>
      <x:c r="M3127" s="35" t="str">
        <x:v>coverage unavailable or execution/compile failed</x:v>
      </x:c>
      <x:c r="N3127" s="35" t="str">
        <x:v>Deepseek-flash-v4/Result2/Jsoup_6/result.json</x:v>
      </x:c>
      <x:c r="O3127" s="39" t="str">
        <x:f>IF(AND(G3127="RECORDED",ISNUMBER(H3127)),H3127,"")</x:f>
      </x:c>
      <x:c r="P3127" s="35" t="str">
        <x:v>NOT_AVAILABLE</x:v>
      </x:c>
      <x:c r="Q3127" s="35" t="str">
        <x:v>Deepseek-flash-v4/Result2/Jsoup_6/result.json</x:v>
      </x:c>
    </x:row>
    <x:row r="3128">
      <x:c r="A3128" s="35" t="str">
        <x:v>deepseek</x:v>
      </x:c>
      <x:c r="B3128" s="35" t="str">
        <x:v>Jsoup</x:v>
      </x:c>
      <x:c r="C3128" s="35" t="str">
        <x:v>Round2</x:v>
      </x:c>
      <x:c r="D3128" s="35" t="str">
        <x:v>Jsoup_60</x:v>
      </x:c>
      <x:c r="E3128" s="35" t="str">
        <x:v>Condition</x:v>
      </x:c>
      <x:c r="F3128" s="35" t="n">
        <x:v>258</x:v>
      </x:c>
      <x:c r="G3128" s="35" t="str">
        <x:v>RECORDED</x:v>
      </x:c>
      <x:c r="H3128" s="39" t="n">
        <x:f>IF(ISNUMBER('Data'!N1420),'Data'!N1420*100,"")</x:f>
        <x:v>70.54</x:v>
      </x:c>
      <x:c r="I3128" s="35" t="str">
        <x:v>PASS</x:v>
      </x:c>
      <x:c r="J3128" s="35" t="str">
        <x:v>PASS</x:v>
      </x:c>
      <x:c r="K3128" s="35" t="str">
        <x:v>PASS</x:v>
      </x:c>
      <x:c r="L3128" s="35" t="str">
        <x:v>FAIL</x:v>
      </x:c>
      <x:c r="M3128" s="35" t="str">
        <x:v>numeric coverage for applicable metric</x:v>
      </x:c>
      <x:c r="N3128" s="35" t="str">
        <x:v>Deepseek-flash-v4/Result2/Jsoup_60/result.json</x:v>
      </x:c>
      <x:c r="O3128" s="39" t="n">
        <x:f>IF(AND(G3128="RECORDED",ISNUMBER(H3128)),H3128,"")</x:f>
        <x:v>70.54</x:v>
      </x:c>
      <x:c r="P3128" s="35" t="str">
        <x:v>INCONCLUSIVE</x:v>
      </x:c>
      <x:c r="Q3128" s="35" t="str">
        <x:v>Deepseek-flash-v4/Result2/Jsoup_60/result.json</x:v>
      </x:c>
    </x:row>
    <x:row r="3129">
      <x:c r="A3129" s="35" t="str">
        <x:v>deepseek</x:v>
      </x:c>
      <x:c r="B3129" s="35" t="str">
        <x:v>Jsoup</x:v>
      </x:c>
      <x:c r="C3129" s="35" t="str">
        <x:v>Round2</x:v>
      </x:c>
      <x:c r="D3129" s="35" t="str">
        <x:v>Jsoup_61</x:v>
      </x:c>
      <x:c r="E3129" s="35" t="str">
        <x:v>Condition</x:v>
      </x:c>
      <x:c r="F3129" s="35"/>
      <x:c r="G3129" s="35" t="str">
        <x:v>A</x:v>
      </x:c>
      <x:c r="H3129" s="39" t="str">
        <x:f>IF(ISNUMBER('Data'!N1421),'Data'!N1421*100,"")</x:f>
      </x:c>
      <x:c r="I3129" s="35"/>
      <x:c r="J3129" s="35" t="str">
        <x:v>PASS</x:v>
      </x:c>
      <x:c r="K3129" s="35" t="str">
        <x:v>FAIL</x:v>
      </x:c>
      <x:c r="L3129" s="35" t="str">
        <x:v>NOT_RUN</x:v>
      </x:c>
      <x:c r="M3129" s="35" t="str">
        <x:v>coverage unavailable or execution/compile failed</x:v>
      </x:c>
      <x:c r="N3129" s="35" t="str">
        <x:v>Deepseek-flash-v4/Result2/Jsoup_61/result.json</x:v>
      </x:c>
      <x:c r="O3129" s="39" t="str">
        <x:f>IF(AND(G3129="RECORDED",ISNUMBER(H3129)),H3129,"")</x:f>
      </x:c>
      <x:c r="P3129" s="35" t="str">
        <x:v>NOT_AVAILABLE</x:v>
      </x:c>
      <x:c r="Q3129" s="35" t="str">
        <x:v>Deepseek-flash-v4/Result2/Jsoup_61/result.json</x:v>
      </x:c>
    </x:row>
    <x:row r="3130">
      <x:c r="A3130" s="35" t="str">
        <x:v>deepseek</x:v>
      </x:c>
      <x:c r="B3130" s="35" t="str">
        <x:v>Jsoup</x:v>
      </x:c>
      <x:c r="C3130" s="35" t="str">
        <x:v>Round2</x:v>
      </x:c>
      <x:c r="D3130" s="35" t="str">
        <x:v>Jsoup_62</x:v>
      </x:c>
      <x:c r="E3130" s="35" t="str">
        <x:v>Condition</x:v>
      </x:c>
      <x:c r="F3130" s="35"/>
      <x:c r="G3130" s="35" t="str">
        <x:v>A</x:v>
      </x:c>
      <x:c r="H3130" s="39" t="str">
        <x:f>IF(ISNUMBER('Data'!N1422),'Data'!N1422*100,"")</x:f>
      </x:c>
      <x:c r="I3130" s="35"/>
      <x:c r="J3130" s="35" t="str">
        <x:v>PASS</x:v>
      </x:c>
      <x:c r="K3130" s="35" t="str">
        <x:v>FAIL</x:v>
      </x:c>
      <x:c r="L3130" s="35" t="str">
        <x:v>NOT_RUN</x:v>
      </x:c>
      <x:c r="M3130" s="35" t="str">
        <x:v>coverage unavailable or execution/compile failed</x:v>
      </x:c>
      <x:c r="N3130" s="35" t="str">
        <x:v>Deepseek-flash-v4/Result2/Jsoup_62/result.json</x:v>
      </x:c>
      <x:c r="O3130" s="39" t="str">
        <x:f>IF(AND(G3130="RECORDED",ISNUMBER(H3130)),H3130,"")</x:f>
      </x:c>
      <x:c r="P3130" s="35" t="str">
        <x:v>NOT_AVAILABLE</x:v>
      </x:c>
      <x:c r="Q3130" s="35" t="str">
        <x:v>Deepseek-flash-v4/Result2/Jsoup_62/result.json</x:v>
      </x:c>
    </x:row>
    <x:row r="3131">
      <x:c r="A3131" s="35" t="str">
        <x:v>deepseek</x:v>
      </x:c>
      <x:c r="B3131" s="35" t="str">
        <x:v>Jsoup</x:v>
      </x:c>
      <x:c r="C3131" s="35" t="str">
        <x:v>Round2</x:v>
      </x:c>
      <x:c r="D3131" s="35" t="str">
        <x:v>Jsoup_63</x:v>
      </x:c>
      <x:c r="E3131" s="35" t="str">
        <x:v>Condition</x:v>
      </x:c>
      <x:c r="F3131" s="35"/>
      <x:c r="G3131" s="35" t="str">
        <x:v>A</x:v>
      </x:c>
      <x:c r="H3131" s="39" t="str">
        <x:f>IF(ISNUMBER('Data'!N1423),'Data'!N1423*100,"")</x:f>
      </x:c>
      <x:c r="I3131" s="35"/>
      <x:c r="J3131" s="35" t="str">
        <x:v>PASS</x:v>
      </x:c>
      <x:c r="K3131" s="35" t="str">
        <x:v>FAIL</x:v>
      </x:c>
      <x:c r="L3131" s="35" t="str">
        <x:v>NOT_RUN</x:v>
      </x:c>
      <x:c r="M3131" s="35" t="str">
        <x:v>coverage unavailable or execution/compile failed</x:v>
      </x:c>
      <x:c r="N3131" s="35" t="str">
        <x:v>Deepseek-flash-v4/Result2/Jsoup_63/result.json</x:v>
      </x:c>
      <x:c r="O3131" s="39" t="str">
        <x:f>IF(AND(G3131="RECORDED",ISNUMBER(H3131)),H3131,"")</x:f>
      </x:c>
      <x:c r="P3131" s="35" t="str">
        <x:v>NOT_AVAILABLE</x:v>
      </x:c>
      <x:c r="Q3131" s="35" t="str">
        <x:v>Deepseek-flash-v4/Result2/Jsoup_63/result.json</x:v>
      </x:c>
    </x:row>
    <x:row r="3132">
      <x:c r="A3132" s="35" t="str">
        <x:v>deepseek</x:v>
      </x:c>
      <x:c r="B3132" s="35" t="str">
        <x:v>Jsoup</x:v>
      </x:c>
      <x:c r="C3132" s="35" t="str">
        <x:v>Round2</x:v>
      </x:c>
      <x:c r="D3132" s="35" t="str">
        <x:v>Jsoup_64</x:v>
      </x:c>
      <x:c r="E3132" s="35" t="str">
        <x:v>Condition</x:v>
      </x:c>
      <x:c r="F3132" s="35"/>
      <x:c r="G3132" s="35" t="str">
        <x:v>A</x:v>
      </x:c>
      <x:c r="H3132" s="39" t="str">
        <x:f>IF(ISNUMBER('Data'!N1424),'Data'!N1424*100,"")</x:f>
      </x:c>
      <x:c r="I3132" s="35"/>
      <x:c r="J3132" s="35" t="str">
        <x:v>PASS</x:v>
      </x:c>
      <x:c r="K3132" s="35" t="str">
        <x:v>FAIL</x:v>
      </x:c>
      <x:c r="L3132" s="35" t="str">
        <x:v>NOT_RUN</x:v>
      </x:c>
      <x:c r="M3132" s="35" t="str">
        <x:v>coverage unavailable or execution/compile failed</x:v>
      </x:c>
      <x:c r="N3132" s="35" t="str">
        <x:v>Deepseek-flash-v4/Result2/Jsoup_64/result.json</x:v>
      </x:c>
      <x:c r="O3132" s="39" t="str">
        <x:f>IF(AND(G3132="RECORDED",ISNUMBER(H3132)),H3132,"")</x:f>
      </x:c>
      <x:c r="P3132" s="35" t="str">
        <x:v>NOT_AVAILABLE</x:v>
      </x:c>
      <x:c r="Q3132" s="35" t="str">
        <x:v>Deepseek-flash-v4/Result2/Jsoup_64/result.json</x:v>
      </x:c>
    </x:row>
    <x:row r="3133">
      <x:c r="A3133" s="35" t="str">
        <x:v>deepseek</x:v>
      </x:c>
      <x:c r="B3133" s="35" t="str">
        <x:v>Jsoup</x:v>
      </x:c>
      <x:c r="C3133" s="35" t="str">
        <x:v>Round2</x:v>
      </x:c>
      <x:c r="D3133" s="35" t="str">
        <x:v>Jsoup_65</x:v>
      </x:c>
      <x:c r="E3133" s="35" t="str">
        <x:v>Condition</x:v>
      </x:c>
      <x:c r="F3133" s="35"/>
      <x:c r="G3133" s="35" t="str">
        <x:v>A</x:v>
      </x:c>
      <x:c r="H3133" s="39" t="str">
        <x:f>IF(ISNUMBER('Data'!N1425),'Data'!N1425*100,"")</x:f>
      </x:c>
      <x:c r="I3133" s="35"/>
      <x:c r="J3133" s="35" t="str">
        <x:v>PASS</x:v>
      </x:c>
      <x:c r="K3133" s="35" t="str">
        <x:v>FAIL</x:v>
      </x:c>
      <x:c r="L3133" s="35" t="str">
        <x:v>NOT_RUN</x:v>
      </x:c>
      <x:c r="M3133" s="35" t="str">
        <x:v>coverage unavailable or execution/compile failed</x:v>
      </x:c>
      <x:c r="N3133" s="35" t="str">
        <x:v>Deepseek-flash-v4/Result2/Jsoup_65/result.json</x:v>
      </x:c>
      <x:c r="O3133" s="39" t="str">
        <x:f>IF(AND(G3133="RECORDED",ISNUMBER(H3133)),H3133,"")</x:f>
      </x:c>
      <x:c r="P3133" s="35" t="str">
        <x:v>NOT_AVAILABLE</x:v>
      </x:c>
      <x:c r="Q3133" s="35" t="str">
        <x:v>Deepseek-flash-v4/Result2/Jsoup_65/result.json</x:v>
      </x:c>
    </x:row>
    <x:row r="3134">
      <x:c r="A3134" s="35" t="str">
        <x:v>deepseek</x:v>
      </x:c>
      <x:c r="B3134" s="35" t="str">
        <x:v>Jsoup</x:v>
      </x:c>
      <x:c r="C3134" s="35" t="str">
        <x:v>Round2</x:v>
      </x:c>
      <x:c r="D3134" s="35" t="str">
        <x:v>Jsoup_66</x:v>
      </x:c>
      <x:c r="E3134" s="35" t="str">
        <x:v>Condition</x:v>
      </x:c>
      <x:c r="F3134" s="35"/>
      <x:c r="G3134" s="35" t="str">
        <x:v>A</x:v>
      </x:c>
      <x:c r="H3134" s="39" t="str">
        <x:f>IF(ISNUMBER('Data'!N1426),'Data'!N1426*100,"")</x:f>
      </x:c>
      <x:c r="I3134" s="35"/>
      <x:c r="J3134" s="35" t="str">
        <x:v>PASS</x:v>
      </x:c>
      <x:c r="K3134" s="35" t="str">
        <x:v>FAIL</x:v>
      </x:c>
      <x:c r="L3134" s="35" t="str">
        <x:v>NOT_RUN</x:v>
      </x:c>
      <x:c r="M3134" s="35" t="str">
        <x:v>coverage unavailable or execution/compile failed</x:v>
      </x:c>
      <x:c r="N3134" s="35" t="str">
        <x:v>Deepseek-flash-v4/Result2/Jsoup_66/result.json</x:v>
      </x:c>
      <x:c r="O3134" s="39" t="str">
        <x:f>IF(AND(G3134="RECORDED",ISNUMBER(H3134)),H3134,"")</x:f>
      </x:c>
      <x:c r="P3134" s="35" t="str">
        <x:v>NOT_AVAILABLE</x:v>
      </x:c>
      <x:c r="Q3134" s="35" t="str">
        <x:v>Deepseek-flash-v4/Result2/Jsoup_66/result.json</x:v>
      </x:c>
    </x:row>
    <x:row r="3135">
      <x:c r="A3135" s="35" t="str">
        <x:v>deepseek</x:v>
      </x:c>
      <x:c r="B3135" s="35" t="str">
        <x:v>Jsoup</x:v>
      </x:c>
      <x:c r="C3135" s="35" t="str">
        <x:v>Round2</x:v>
      </x:c>
      <x:c r="D3135" s="35" t="str">
        <x:v>Jsoup_67</x:v>
      </x:c>
      <x:c r="E3135" s="35" t="str">
        <x:v>Condition</x:v>
      </x:c>
      <x:c r="F3135" s="35" t="n">
        <x:v>200</x:v>
      </x:c>
      <x:c r="G3135" s="35" t="str">
        <x:v>RECORDED</x:v>
      </x:c>
      <x:c r="H3135" s="39" t="n">
        <x:f>IF(ISNUMBER('Data'!N1427),'Data'!N1427*100,"")</x:f>
        <x:v>59</x:v>
      </x:c>
      <x:c r="I3135" s="35" t="str">
        <x:v>PASS</x:v>
      </x:c>
      <x:c r="J3135" s="35" t="str">
        <x:v>PASS</x:v>
      </x:c>
      <x:c r="K3135" s="35" t="str">
        <x:v>PASS</x:v>
      </x:c>
      <x:c r="L3135" s="35" t="str">
        <x:v>FAIL</x:v>
      </x:c>
      <x:c r="M3135" s="35" t="str">
        <x:v>numeric coverage for applicable metric</x:v>
      </x:c>
      <x:c r="N3135" s="35" t="str">
        <x:v>Deepseek-flash-v4/Result2/Jsoup_67/result.json</x:v>
      </x:c>
      <x:c r="O3135" s="39" t="n">
        <x:f>IF(AND(G3135="RECORDED",ISNUMBER(H3135)),H3135,"")</x:f>
        <x:v>59</x:v>
      </x:c>
      <x:c r="P3135" s="35" t="str">
        <x:v>INCONCLUSIVE</x:v>
      </x:c>
      <x:c r="Q3135" s="35" t="str">
        <x:v>Deepseek-flash-v4/Result2/Jsoup_67/result.json</x:v>
      </x:c>
    </x:row>
    <x:row r="3136">
      <x:c r="A3136" s="35" t="str">
        <x:v>deepseek</x:v>
      </x:c>
      <x:c r="B3136" s="35" t="str">
        <x:v>Jsoup</x:v>
      </x:c>
      <x:c r="C3136" s="35" t="str">
        <x:v>Round2</x:v>
      </x:c>
      <x:c r="D3136" s="35" t="str">
        <x:v>Jsoup_68</x:v>
      </x:c>
      <x:c r="E3136" s="35" t="str">
        <x:v>Condition</x:v>
      </x:c>
      <x:c r="F3136" s="35"/>
      <x:c r="G3136" s="35" t="str">
        <x:v>A</x:v>
      </x:c>
      <x:c r="H3136" s="39" t="str">
        <x:f>IF(ISNUMBER('Data'!N1428),'Data'!N1428*100,"")</x:f>
      </x:c>
      <x:c r="I3136" s="35"/>
      <x:c r="J3136" s="35" t="str">
        <x:v>PASS</x:v>
      </x:c>
      <x:c r="K3136" s="35" t="str">
        <x:v>FAIL</x:v>
      </x:c>
      <x:c r="L3136" s="35" t="str">
        <x:v>NOT_RUN</x:v>
      </x:c>
      <x:c r="M3136" s="35" t="str">
        <x:v>coverage unavailable or execution/compile failed</x:v>
      </x:c>
      <x:c r="N3136" s="35" t="str">
        <x:v>Deepseek-flash-v4/Result2/Jsoup_68/result.json</x:v>
      </x:c>
      <x:c r="O3136" s="39" t="str">
        <x:f>IF(AND(G3136="RECORDED",ISNUMBER(H3136)),H3136,"")</x:f>
      </x:c>
      <x:c r="P3136" s="35" t="str">
        <x:v>NOT_AVAILABLE</x:v>
      </x:c>
      <x:c r="Q3136" s="35" t="str">
        <x:v>Deepseek-flash-v4/Result2/Jsoup_68/result.json</x:v>
      </x:c>
    </x:row>
    <x:row r="3137">
      <x:c r="A3137" s="35" t="str">
        <x:v>deepseek</x:v>
      </x:c>
      <x:c r="B3137" s="35" t="str">
        <x:v>Jsoup</x:v>
      </x:c>
      <x:c r="C3137" s="35" t="str">
        <x:v>Round2</x:v>
      </x:c>
      <x:c r="D3137" s="35" t="str">
        <x:v>Jsoup_69</x:v>
      </x:c>
      <x:c r="E3137" s="35" t="str">
        <x:v>Condition</x:v>
      </x:c>
      <x:c r="F3137" s="35" t="n">
        <x:v>28</x:v>
      </x:c>
      <x:c r="G3137" s="35" t="str">
        <x:v>RECORDED</x:v>
      </x:c>
      <x:c r="H3137" s="39" t="n">
        <x:f>IF(ISNUMBER('Data'!N1429),'Data'!N1429*100,"")</x:f>
        <x:v>85.71</x:v>
      </x:c>
      <x:c r="I3137" s="35" t="str">
        <x:v>PASS</x:v>
      </x:c>
      <x:c r="J3137" s="35" t="str">
        <x:v>PASS</x:v>
      </x:c>
      <x:c r="K3137" s="35" t="str">
        <x:v>PASS</x:v>
      </x:c>
      <x:c r="L3137" s="35" t="str">
        <x:v>FAIL</x:v>
      </x:c>
      <x:c r="M3137" s="35" t="str">
        <x:v>numeric coverage for applicable metric</x:v>
      </x:c>
      <x:c r="N3137" s="35" t="str">
        <x:v>Deepseek-flash-v4/Result2/Jsoup_69/result.json</x:v>
      </x:c>
      <x:c r="O3137" s="39" t="n">
        <x:f>IF(AND(G3137="RECORDED",ISNUMBER(H3137)),H3137,"")</x:f>
        <x:v>85.71</x:v>
      </x:c>
      <x:c r="P3137" s="35" t="str">
        <x:v>INCONCLUSIVE</x:v>
      </x:c>
      <x:c r="Q3137" s="35" t="str">
        <x:v>Deepseek-flash-v4/Result2/Jsoup_69/result.json</x:v>
      </x:c>
    </x:row>
    <x:row r="3138">
      <x:c r="A3138" s="35" t="str">
        <x:v>deepseek</x:v>
      </x:c>
      <x:c r="B3138" s="35" t="str">
        <x:v>Jsoup</x:v>
      </x:c>
      <x:c r="C3138" s="35" t="str">
        <x:v>Round2</x:v>
      </x:c>
      <x:c r="D3138" s="35" t="str">
        <x:v>Jsoup_7</x:v>
      </x:c>
      <x:c r="E3138" s="35" t="str">
        <x:v>Condition</x:v>
      </x:c>
      <x:c r="F3138" s="35" t="n">
        <x:v>26</x:v>
      </x:c>
      <x:c r="G3138" s="35" t="str">
        <x:v>RECORDED</x:v>
      </x:c>
      <x:c r="H3138" s="39" t="n">
        <x:f>IF(ISNUMBER('Data'!N1430),'Data'!N1430*100,"")</x:f>
        <x:v>100</x:v>
      </x:c>
      <x:c r="I3138" s="35" t="str">
        <x:v>PASS</x:v>
      </x:c>
      <x:c r="J3138" s="35" t="str">
        <x:v>PASS</x:v>
      </x:c>
      <x:c r="K3138" s="35" t="str">
        <x:v>PASS</x:v>
      </x:c>
      <x:c r="L3138" s="35" t="str">
        <x:v>PASS</x:v>
      </x:c>
      <x:c r="M3138" s="35" t="str">
        <x:v>numeric coverage for applicable metric</x:v>
      </x:c>
      <x:c r="N3138" s="35" t="str">
        <x:v>Deepseek-flash-v4/Result2/Jsoup_7/result.json</x:v>
      </x:c>
      <x:c r="O3138" s="39" t="n">
        <x:f>IF(AND(G3138="RECORDED",ISNUMBER(H3138)),H3138,"")</x:f>
        <x:v>100</x:v>
      </x:c>
      <x:c r="P3138" s="35" t="str">
        <x:v>NOT_REVEALING</x:v>
      </x:c>
      <x:c r="Q3138" s="35" t="str">
        <x:v>Deepseek-flash-v4/Result2/Jsoup_7/result.json</x:v>
      </x:c>
    </x:row>
    <x:row r="3139">
      <x:c r="A3139" s="35" t="str">
        <x:v>deepseek</x:v>
      </x:c>
      <x:c r="B3139" s="35" t="str">
        <x:v>Jsoup</x:v>
      </x:c>
      <x:c r="C3139" s="35" t="str">
        <x:v>Round2</x:v>
      </x:c>
      <x:c r="D3139" s="35" t="str">
        <x:v>Jsoup_70</x:v>
      </x:c>
      <x:c r="E3139" s="35" t="str">
        <x:v>Condition</x:v>
      </x:c>
      <x:c r="F3139" s="35"/>
      <x:c r="G3139" s="35" t="str">
        <x:v>A</x:v>
      </x:c>
      <x:c r="H3139" s="39" t="str">
        <x:f>IF(ISNUMBER('Data'!N1431),'Data'!N1431*100,"")</x:f>
      </x:c>
      <x:c r="I3139" s="35"/>
      <x:c r="J3139" s="35" t="str">
        <x:v>PASS</x:v>
      </x:c>
      <x:c r="K3139" s="35" t="str">
        <x:v>FAIL</x:v>
      </x:c>
      <x:c r="L3139" s="35" t="str">
        <x:v>NOT_RUN</x:v>
      </x:c>
      <x:c r="M3139" s="35" t="str">
        <x:v>coverage unavailable or execution/compile failed</x:v>
      </x:c>
      <x:c r="N3139" s="35" t="str">
        <x:v>Deepseek-flash-v4/Result2/Jsoup_70/result.json</x:v>
      </x:c>
      <x:c r="O3139" s="39" t="str">
        <x:f>IF(AND(G3139="RECORDED",ISNUMBER(H3139)),H3139,"")</x:f>
      </x:c>
      <x:c r="P3139" s="35" t="str">
        <x:v>NOT_AVAILABLE</x:v>
      </x:c>
      <x:c r="Q3139" s="35" t="str">
        <x:v>Deepseek-flash-v4/Result2/Jsoup_70/result.json</x:v>
      </x:c>
    </x:row>
    <x:row r="3140">
      <x:c r="A3140" s="35" t="str">
        <x:v>deepseek</x:v>
      </x:c>
      <x:c r="B3140" s="35" t="str">
        <x:v>Jsoup</x:v>
      </x:c>
      <x:c r="C3140" s="35" t="str">
        <x:v>Round2</x:v>
      </x:c>
      <x:c r="D3140" s="35" t="str">
        <x:v>Jsoup_71</x:v>
      </x:c>
      <x:c r="E3140" s="35" t="str">
        <x:v>Condition</x:v>
      </x:c>
      <x:c r="F3140" s="35" t="n">
        <x:v>248</x:v>
      </x:c>
      <x:c r="G3140" s="35" t="str">
        <x:v>RECORDED</x:v>
      </x:c>
      <x:c r="H3140" s="39" t="n">
        <x:f>IF(ISNUMBER('Data'!N1432),'Data'!N1432*100,"")</x:f>
        <x:v>62.9</x:v>
      </x:c>
      <x:c r="I3140" s="35" t="str">
        <x:v>PASS</x:v>
      </x:c>
      <x:c r="J3140" s="35" t="str">
        <x:v>PASS</x:v>
      </x:c>
      <x:c r="K3140" s="35" t="str">
        <x:v>PASS</x:v>
      </x:c>
      <x:c r="L3140" s="35" t="str">
        <x:v>FAIL</x:v>
      </x:c>
      <x:c r="M3140" s="35" t="str">
        <x:v>numeric coverage for applicable metric</x:v>
      </x:c>
      <x:c r="N3140" s="35" t="str">
        <x:v>Deepseek-flash-v4/Result2/Jsoup_71/result.json</x:v>
      </x:c>
      <x:c r="O3140" s="39" t="n">
        <x:f>IF(AND(G3140="RECORDED",ISNUMBER(H3140)),H3140,"")</x:f>
        <x:v>62.9</x:v>
      </x:c>
      <x:c r="P3140" s="35" t="str">
        <x:v>INCONCLUSIVE</x:v>
      </x:c>
      <x:c r="Q3140" s="35" t="str">
        <x:v>Deepseek-flash-v4/Result2/Jsoup_71/result.json</x:v>
      </x:c>
    </x:row>
    <x:row r="3141">
      <x:c r="A3141" s="35" t="str">
        <x:v>deepseek</x:v>
      </x:c>
      <x:c r="B3141" s="35" t="str">
        <x:v>Jsoup</x:v>
      </x:c>
      <x:c r="C3141" s="35" t="str">
        <x:v>Round2</x:v>
      </x:c>
      <x:c r="D3141" s="35" t="str">
        <x:v>Jsoup_72</x:v>
      </x:c>
      <x:c r="E3141" s="35" t="str">
        <x:v>Condition</x:v>
      </x:c>
      <x:c r="F3141" s="35" t="n">
        <x:v>198</x:v>
      </x:c>
      <x:c r="G3141" s="35" t="str">
        <x:v>RECORDED</x:v>
      </x:c>
      <x:c r="H3141" s="39" t="n">
        <x:f>IF(ISNUMBER('Data'!N1433),'Data'!N1433*100,"")</x:f>
        <x:v>80.3</x:v>
      </x:c>
      <x:c r="I3141" s="35" t="str">
        <x:v>PASS</x:v>
      </x:c>
      <x:c r="J3141" s="35" t="str">
        <x:v>PASS</x:v>
      </x:c>
      <x:c r="K3141" s="35" t="str">
        <x:v>PASS</x:v>
      </x:c>
      <x:c r="L3141" s="35" t="str">
        <x:v>FAIL</x:v>
      </x:c>
      <x:c r="M3141" s="35" t="str">
        <x:v>numeric coverage for applicable metric</x:v>
      </x:c>
      <x:c r="N3141" s="35" t="str">
        <x:v>Deepseek-flash-v4/Result2/Jsoup_72/result.json</x:v>
      </x:c>
      <x:c r="O3141" s="39" t="n">
        <x:f>IF(AND(G3141="RECORDED",ISNUMBER(H3141)),H3141,"")</x:f>
        <x:v>80.3</x:v>
      </x:c>
      <x:c r="P3141" s="35" t="str">
        <x:v>INCONCLUSIVE</x:v>
      </x:c>
      <x:c r="Q3141" s="35" t="str">
        <x:v>Deepseek-flash-v4/Result2/Jsoup_72/result.json</x:v>
      </x:c>
    </x:row>
    <x:row r="3142">
      <x:c r="A3142" s="35" t="str">
        <x:v>deepseek</x:v>
      </x:c>
      <x:c r="B3142" s="35" t="str">
        <x:v>Jsoup</x:v>
      </x:c>
      <x:c r="C3142" s="35" t="str">
        <x:v>Round2</x:v>
      </x:c>
      <x:c r="D3142" s="35" t="str">
        <x:v>Jsoup_73</x:v>
      </x:c>
      <x:c r="E3142" s="35" t="str">
        <x:v>Condition</x:v>
      </x:c>
      <x:c r="F3142" s="35" t="n">
        <x:v>28</x:v>
      </x:c>
      <x:c r="G3142" s="35" t="str">
        <x:v>RECORDED</x:v>
      </x:c>
      <x:c r="H3142" s="39" t="n">
        <x:f>IF(ISNUMBER('Data'!N1434),'Data'!N1434*100,"")</x:f>
        <x:v>85.71</x:v>
      </x:c>
      <x:c r="I3142" s="35" t="str">
        <x:v>PASS</x:v>
      </x:c>
      <x:c r="J3142" s="35" t="str">
        <x:v>PASS</x:v>
      </x:c>
      <x:c r="K3142" s="35" t="str">
        <x:v>PASS</x:v>
      </x:c>
      <x:c r="L3142" s="35" t="str">
        <x:v>PASS</x:v>
      </x:c>
      <x:c r="M3142" s="35" t="str">
        <x:v>numeric coverage for applicable metric</x:v>
      </x:c>
      <x:c r="N3142" s="35" t="str">
        <x:v>Deepseek-flash-v4/Result2/Jsoup_73/result.json</x:v>
      </x:c>
      <x:c r="O3142" s="39" t="n">
        <x:f>IF(AND(G3142="RECORDED",ISNUMBER(H3142)),H3142,"")</x:f>
        <x:v>85.71</x:v>
      </x:c>
      <x:c r="P3142" s="35" t="str">
        <x:v>NOT_REVEALING</x:v>
      </x:c>
      <x:c r="Q3142" s="35" t="str">
        <x:v>Deepseek-flash-v4/Result2/Jsoup_73/result.json</x:v>
      </x:c>
    </x:row>
    <x:row r="3143">
      <x:c r="A3143" s="35" t="str">
        <x:v>deepseek</x:v>
      </x:c>
      <x:c r="B3143" s="35" t="str">
        <x:v>Jsoup</x:v>
      </x:c>
      <x:c r="C3143" s="35" t="str">
        <x:v>Round2</x:v>
      </x:c>
      <x:c r="D3143" s="35" t="str">
        <x:v>Jsoup_74</x:v>
      </x:c>
      <x:c r="E3143" s="35" t="str">
        <x:v>Condition</x:v>
      </x:c>
      <x:c r="F3143" s="35" t="n">
        <x:v>74</x:v>
      </x:c>
      <x:c r="G3143" s="35" t="str">
        <x:v>RECORDED</x:v>
      </x:c>
      <x:c r="H3143" s="39" t="n">
        <x:f>IF(ISNUMBER('Data'!N1435),'Data'!N1435*100,"")</x:f>
        <x:v>90.54</x:v>
      </x:c>
      <x:c r="I3143" s="35" t="str">
        <x:v>PASS</x:v>
      </x:c>
      <x:c r="J3143" s="35" t="str">
        <x:v>PASS</x:v>
      </x:c>
      <x:c r="K3143" s="35" t="str">
        <x:v>PASS</x:v>
      </x:c>
      <x:c r="L3143" s="35" t="str">
        <x:v>FAIL</x:v>
      </x:c>
      <x:c r="M3143" s="35" t="str">
        <x:v>numeric coverage for applicable metric</x:v>
      </x:c>
      <x:c r="N3143" s="35" t="str">
        <x:v>Deepseek-flash-v4/Result2/Jsoup_74/result.json</x:v>
      </x:c>
      <x:c r="O3143" s="39" t="n">
        <x:f>IF(AND(G3143="RECORDED",ISNUMBER(H3143)),H3143,"")</x:f>
        <x:v>90.54</x:v>
      </x:c>
      <x:c r="P3143" s="35" t="str">
        <x:v>INCONCLUSIVE</x:v>
      </x:c>
      <x:c r="Q3143" s="35" t="str">
        <x:v>Deepseek-flash-v4/Result2/Jsoup_74/result.json</x:v>
      </x:c>
    </x:row>
    <x:row r="3144">
      <x:c r="A3144" s="35" t="str">
        <x:v>deepseek</x:v>
      </x:c>
      <x:c r="B3144" s="35" t="str">
        <x:v>Jsoup</x:v>
      </x:c>
      <x:c r="C3144" s="35" t="str">
        <x:v>Round2</x:v>
      </x:c>
      <x:c r="D3144" s="35" t="str">
        <x:v>Jsoup_75</x:v>
      </x:c>
      <x:c r="E3144" s="35" t="str">
        <x:v>Condition</x:v>
      </x:c>
      <x:c r="F3144" s="35" t="n">
        <x:v>84</x:v>
      </x:c>
      <x:c r="G3144" s="35" t="str">
        <x:v>RECORDED</x:v>
      </x:c>
      <x:c r="H3144" s="39" t="n">
        <x:f>IF(ISNUMBER('Data'!N1436),'Data'!N1436*100,"")</x:f>
        <x:v>89.29</x:v>
      </x:c>
      <x:c r="I3144" s="35" t="str">
        <x:v>PASS</x:v>
      </x:c>
      <x:c r="J3144" s="35" t="str">
        <x:v>PASS</x:v>
      </x:c>
      <x:c r="K3144" s="35" t="str">
        <x:v>PASS</x:v>
      </x:c>
      <x:c r="L3144" s="35" t="str">
        <x:v>FAIL</x:v>
      </x:c>
      <x:c r="M3144" s="35" t="str">
        <x:v>numeric coverage for applicable metric</x:v>
      </x:c>
      <x:c r="N3144" s="35" t="str">
        <x:v>Deepseek-flash-v4/Result2/Jsoup_75/result.json</x:v>
      </x:c>
      <x:c r="O3144" s="39" t="n">
        <x:f>IF(AND(G3144="RECORDED",ISNUMBER(H3144)),H3144,"")</x:f>
        <x:v>89.29</x:v>
      </x:c>
      <x:c r="P3144" s="35" t="str">
        <x:v>INCONCLUSIVE</x:v>
      </x:c>
      <x:c r="Q3144" s="35" t="str">
        <x:v>Deepseek-flash-v4/Result2/Jsoup_75/result.json</x:v>
      </x:c>
    </x:row>
    <x:row r="3145">
      <x:c r="A3145" s="35" t="str">
        <x:v>deepseek</x:v>
      </x:c>
      <x:c r="B3145" s="35" t="str">
        <x:v>Jsoup</x:v>
      </x:c>
      <x:c r="C3145" s="35" t="str">
        <x:v>Round2</x:v>
      </x:c>
      <x:c r="D3145" s="35" t="str">
        <x:v>Jsoup_76</x:v>
      </x:c>
      <x:c r="E3145" s="35" t="str">
        <x:v>Condition</x:v>
      </x:c>
      <x:c r="F3145" s="35"/>
      <x:c r="G3145" s="35" t="str">
        <x:v>A</x:v>
      </x:c>
      <x:c r="H3145" s="39" t="str">
        <x:f>IF(ISNUMBER('Data'!N1437),'Data'!N1437*100,"")</x:f>
      </x:c>
      <x:c r="I3145" s="35"/>
      <x:c r="J3145" s="35" t="str">
        <x:v>PASS</x:v>
      </x:c>
      <x:c r="K3145" s="35" t="str">
        <x:v>FAIL</x:v>
      </x:c>
      <x:c r="L3145" s="35" t="str">
        <x:v>NOT_RUN</x:v>
      </x:c>
      <x:c r="M3145" s="35" t="str">
        <x:v>coverage unavailable or execution/compile failed</x:v>
      </x:c>
      <x:c r="N3145" s="35" t="str">
        <x:v>Deepseek-flash-v4/Result2/Jsoup_76/result.json</x:v>
      </x:c>
      <x:c r="O3145" s="39" t="str">
        <x:f>IF(AND(G3145="RECORDED",ISNUMBER(H3145)),H3145,"")</x:f>
      </x:c>
      <x:c r="P3145" s="35" t="str">
        <x:v>NOT_AVAILABLE</x:v>
      </x:c>
      <x:c r="Q3145" s="35" t="str">
        <x:v>Deepseek-flash-v4/Result2/Jsoup_76/result.json</x:v>
      </x:c>
    </x:row>
    <x:row r="3146">
      <x:c r="A3146" s="35" t="str">
        <x:v>deepseek</x:v>
      </x:c>
      <x:c r="B3146" s="35" t="str">
        <x:v>Jsoup</x:v>
      </x:c>
      <x:c r="C3146" s="35" t="str">
        <x:v>Round2</x:v>
      </x:c>
      <x:c r="D3146" s="35" t="str">
        <x:v>Jsoup_77</x:v>
      </x:c>
      <x:c r="E3146" s="35" t="str">
        <x:v>Condition</x:v>
      </x:c>
      <x:c r="F3146" s="35" t="n">
        <x:v>31</x:v>
      </x:c>
      <x:c r="G3146" s="35" t="str">
        <x:v>RECORDED</x:v>
      </x:c>
      <x:c r="H3146" s="39" t="n">
        <x:f>IF(ISNUMBER('Data'!N1438),'Data'!N1438*100,"")</x:f>
        <x:v>83.87</x:v>
      </x:c>
      <x:c r="I3146" s="35" t="str">
        <x:v>PASS</x:v>
      </x:c>
      <x:c r="J3146" s="35" t="str">
        <x:v>PASS</x:v>
      </x:c>
      <x:c r="K3146" s="35" t="str">
        <x:v>PASS</x:v>
      </x:c>
      <x:c r="L3146" s="35" t="str">
        <x:v>PASS</x:v>
      </x:c>
      <x:c r="M3146" s="35" t="str">
        <x:v>numeric coverage for applicable metric</x:v>
      </x:c>
      <x:c r="N3146" s="35" t="str">
        <x:v>Deepseek-flash-v4/Result2/Jsoup_77/result.json</x:v>
      </x:c>
      <x:c r="O3146" s="39" t="n">
        <x:f>IF(AND(G3146="RECORDED",ISNUMBER(H3146)),H3146,"")</x:f>
        <x:v>83.87</x:v>
      </x:c>
      <x:c r="P3146" s="35" t="str">
        <x:v>NOT_REVEALING</x:v>
      </x:c>
      <x:c r="Q3146" s="35" t="str">
        <x:v>Deepseek-flash-v4/Result2/Jsoup_77/result.json</x:v>
      </x:c>
    </x:row>
    <x:row r="3147">
      <x:c r="A3147" s="35" t="str">
        <x:v>deepseek</x:v>
      </x:c>
      <x:c r="B3147" s="35" t="str">
        <x:v>Jsoup</x:v>
      </x:c>
      <x:c r="C3147" s="35" t="str">
        <x:v>Round2</x:v>
      </x:c>
      <x:c r="D3147" s="35" t="str">
        <x:v>Jsoup_78</x:v>
      </x:c>
      <x:c r="E3147" s="35" t="str">
        <x:v>Condition</x:v>
      </x:c>
      <x:c r="F3147" s="35" t="n">
        <x:v>88</x:v>
      </x:c>
      <x:c r="G3147" s="35" t="str">
        <x:v>RECORDED</x:v>
      </x:c>
      <x:c r="H3147" s="39" t="n">
        <x:f>IF(ISNUMBER('Data'!N1439),'Data'!N1439*100,"")</x:f>
        <x:v>43.18</x:v>
      </x:c>
      <x:c r="I3147" s="35" t="str">
        <x:v>PASS</x:v>
      </x:c>
      <x:c r="J3147" s="35" t="str">
        <x:v>PASS</x:v>
      </x:c>
      <x:c r="K3147" s="35" t="str">
        <x:v>PASS</x:v>
      </x:c>
      <x:c r="L3147" s="35" t="str">
        <x:v>FAIL</x:v>
      </x:c>
      <x:c r="M3147" s="35" t="str">
        <x:v>numeric coverage for applicable metric</x:v>
      </x:c>
      <x:c r="N3147" s="35" t="str">
        <x:v>Deepseek-flash-v4/Result2/Jsoup_78/result.json</x:v>
      </x:c>
      <x:c r="O3147" s="39" t="n">
        <x:f>IF(AND(G3147="RECORDED",ISNUMBER(H3147)),H3147,"")</x:f>
        <x:v>43.18</x:v>
      </x:c>
      <x:c r="P3147" s="35" t="str">
        <x:v>INCONCLUSIVE</x:v>
      </x:c>
      <x:c r="Q3147" s="35" t="str">
        <x:v>Deepseek-flash-v4/Result2/Jsoup_78/result.json</x:v>
      </x:c>
    </x:row>
    <x:row r="3148">
      <x:c r="A3148" s="35" t="str">
        <x:v>deepseek</x:v>
      </x:c>
      <x:c r="B3148" s="35" t="str">
        <x:v>Jsoup</x:v>
      </x:c>
      <x:c r="C3148" s="35" t="str">
        <x:v>Round2</x:v>
      </x:c>
      <x:c r="D3148" s="35" t="str">
        <x:v>Jsoup_79</x:v>
      </x:c>
      <x:c r="E3148" s="35" t="str">
        <x:v>Condition</x:v>
      </x:c>
      <x:c r="F3148" s="35"/>
      <x:c r="G3148" s="35" t="str">
        <x:v>A</x:v>
      </x:c>
      <x:c r="H3148" s="39" t="str">
        <x:f>IF(ISNUMBER('Data'!N1440),'Data'!N1440*100,"")</x:f>
      </x:c>
      <x:c r="I3148" s="35"/>
      <x:c r="J3148" s="35" t="str">
        <x:v>PASS</x:v>
      </x:c>
      <x:c r="K3148" s="35" t="str">
        <x:v>FAIL</x:v>
      </x:c>
      <x:c r="L3148" s="35" t="str">
        <x:v>NOT_RUN</x:v>
      </x:c>
      <x:c r="M3148" s="35" t="str">
        <x:v>coverage unavailable or execution/compile failed</x:v>
      </x:c>
      <x:c r="N3148" s="35" t="str">
        <x:v>Deepseek-flash-v4/Result2/Jsoup_79/result.json</x:v>
      </x:c>
      <x:c r="O3148" s="39" t="str">
        <x:f>IF(AND(G3148="RECORDED",ISNUMBER(H3148)),H3148,"")</x:f>
      </x:c>
      <x:c r="P3148" s="35" t="str">
        <x:v>NOT_AVAILABLE</x:v>
      </x:c>
      <x:c r="Q3148" s="35" t="str">
        <x:v>Deepseek-flash-v4/Result2/Jsoup_79/result.json</x:v>
      </x:c>
    </x:row>
    <x:row r="3149">
      <x:c r="A3149" s="35" t="str">
        <x:v>deepseek</x:v>
      </x:c>
      <x:c r="B3149" s="35" t="str">
        <x:v>Jsoup</x:v>
      </x:c>
      <x:c r="C3149" s="35" t="str">
        <x:v>Round2</x:v>
      </x:c>
      <x:c r="D3149" s="35" t="str">
        <x:v>Jsoup_8</x:v>
      </x:c>
      <x:c r="E3149" s="35" t="str">
        <x:v>Condition</x:v>
      </x:c>
      <x:c r="F3149" s="35" t="n">
        <x:v>40</x:v>
      </x:c>
      <x:c r="G3149" s="35" t="str">
        <x:v>RECORDED</x:v>
      </x:c>
      <x:c r="H3149" s="39" t="n">
        <x:f>IF(ISNUMBER('Data'!N1441),'Data'!N1441*100,"")</x:f>
        <x:v>72.5</x:v>
      </x:c>
      <x:c r="I3149" s="35" t="str">
        <x:v>PASS</x:v>
      </x:c>
      <x:c r="J3149" s="35" t="str">
        <x:v>PASS</x:v>
      </x:c>
      <x:c r="K3149" s="35" t="str">
        <x:v>PASS</x:v>
      </x:c>
      <x:c r="L3149" s="35" t="str">
        <x:v>FAIL</x:v>
      </x:c>
      <x:c r="M3149" s="35" t="str">
        <x:v>numeric coverage for applicable metric</x:v>
      </x:c>
      <x:c r="N3149" s="35" t="str">
        <x:v>Deepseek-flash-v4/Result2/Jsoup_8/result.json</x:v>
      </x:c>
      <x:c r="O3149" s="39" t="n">
        <x:f>IF(AND(G3149="RECORDED",ISNUMBER(H3149)),H3149,"")</x:f>
        <x:v>72.5</x:v>
      </x:c>
      <x:c r="P3149" s="35" t="str">
        <x:v>INCONCLUSIVE</x:v>
      </x:c>
      <x:c r="Q3149" s="35" t="str">
        <x:v>Deepseek-flash-v4/Result2/Jsoup_8/result.json</x:v>
      </x:c>
    </x:row>
    <x:row r="3150">
      <x:c r="A3150" s="35" t="str">
        <x:v>deepseek</x:v>
      </x:c>
      <x:c r="B3150" s="35" t="str">
        <x:v>Jsoup</x:v>
      </x:c>
      <x:c r="C3150" s="35" t="str">
        <x:v>Round2</x:v>
      </x:c>
      <x:c r="D3150" s="35" t="str">
        <x:v>Jsoup_80</x:v>
      </x:c>
      <x:c r="E3150" s="35" t="str">
        <x:v>Condition</x:v>
      </x:c>
      <x:c r="F3150" s="35"/>
      <x:c r="G3150" s="35" t="str">
        <x:v>A</x:v>
      </x:c>
      <x:c r="H3150" s="39" t="str">
        <x:f>IF(ISNUMBER('Data'!N1442),'Data'!N1442*100,"")</x:f>
      </x:c>
      <x:c r="I3150" s="35"/>
      <x:c r="J3150" s="35" t="str">
        <x:v>PASS</x:v>
      </x:c>
      <x:c r="K3150" s="35" t="str">
        <x:v>FAIL</x:v>
      </x:c>
      <x:c r="L3150" s="35" t="str">
        <x:v>NOT_RUN</x:v>
      </x:c>
      <x:c r="M3150" s="35" t="str">
        <x:v>coverage unavailable or execution/compile failed</x:v>
      </x:c>
      <x:c r="N3150" s="35" t="str">
        <x:v>Deepseek-flash-v4/Result2/Jsoup_80/result.json</x:v>
      </x:c>
      <x:c r="O3150" s="39" t="str">
        <x:f>IF(AND(G3150="RECORDED",ISNUMBER(H3150)),H3150,"")</x:f>
      </x:c>
      <x:c r="P3150" s="35" t="str">
        <x:v>NOT_AVAILABLE</x:v>
      </x:c>
      <x:c r="Q3150" s="35" t="str">
        <x:v>Deepseek-flash-v4/Result2/Jsoup_80/result.json</x:v>
      </x:c>
    </x:row>
    <x:row r="3151">
      <x:c r="A3151" s="35" t="str">
        <x:v>deepseek</x:v>
      </x:c>
      <x:c r="B3151" s="35" t="str">
        <x:v>Jsoup</x:v>
      </x:c>
      <x:c r="C3151" s="35" t="str">
        <x:v>Round2</x:v>
      </x:c>
      <x:c r="D3151" s="35" t="str">
        <x:v>Jsoup_81</x:v>
      </x:c>
      <x:c r="E3151" s="35" t="str">
        <x:v>Condition</x:v>
      </x:c>
      <x:c r="F3151" s="35" t="n">
        <x:v>94</x:v>
      </x:c>
      <x:c r="G3151" s="35" t="str">
        <x:v>RECORDED</x:v>
      </x:c>
      <x:c r="H3151" s="39" t="n">
        <x:f>IF(ISNUMBER('Data'!N1443),'Data'!N1443*100,"")</x:f>
        <x:v>57.45</x:v>
      </x:c>
      <x:c r="I3151" s="35" t="str">
        <x:v>PASS</x:v>
      </x:c>
      <x:c r="J3151" s="35" t="str">
        <x:v>PASS</x:v>
      </x:c>
      <x:c r="K3151" s="35" t="str">
        <x:v>PASS</x:v>
      </x:c>
      <x:c r="L3151" s="35" t="str">
        <x:v>PASS</x:v>
      </x:c>
      <x:c r="M3151" s="35" t="str">
        <x:v>numeric coverage for applicable metric</x:v>
      </x:c>
      <x:c r="N3151" s="35" t="str">
        <x:v>Deepseek-flash-v4/Result2/Jsoup_81/result.json</x:v>
      </x:c>
      <x:c r="O3151" s="39" t="n">
        <x:f>IF(AND(G3151="RECORDED",ISNUMBER(H3151)),H3151,"")</x:f>
        <x:v>57.45</x:v>
      </x:c>
      <x:c r="P3151" s="35" t="str">
        <x:v>NOT_REVEALING</x:v>
      </x:c>
      <x:c r="Q3151" s="35" t="str">
        <x:v>Deepseek-flash-v4/Result2/Jsoup_81/result.json</x:v>
      </x:c>
    </x:row>
    <x:row r="3152">
      <x:c r="A3152" s="35" t="str">
        <x:v>deepseek</x:v>
      </x:c>
      <x:c r="B3152" s="35" t="str">
        <x:v>Jsoup</x:v>
      </x:c>
      <x:c r="C3152" s="35" t="str">
        <x:v>Round2</x:v>
      </x:c>
      <x:c r="D3152" s="35" t="str">
        <x:v>Jsoup_82</x:v>
      </x:c>
      <x:c r="E3152" s="35" t="str">
        <x:v>Condition</x:v>
      </x:c>
      <x:c r="F3152" s="35" t="n">
        <x:v>96</x:v>
      </x:c>
      <x:c r="G3152" s="35" t="str">
        <x:v>RECORDED</x:v>
      </x:c>
      <x:c r="H3152" s="39" t="n">
        <x:f>IF(ISNUMBER('Data'!N1444),'Data'!N1444*100,"")</x:f>
        <x:v>45.83</x:v>
      </x:c>
      <x:c r="I3152" s="35" t="str">
        <x:v>PASS</x:v>
      </x:c>
      <x:c r="J3152" s="35" t="str">
        <x:v>PASS</x:v>
      </x:c>
      <x:c r="K3152" s="35" t="str">
        <x:v>PASS</x:v>
      </x:c>
      <x:c r="L3152" s="35" t="str">
        <x:v>FAIL</x:v>
      </x:c>
      <x:c r="M3152" s="35" t="str">
        <x:v>numeric coverage for applicable metric</x:v>
      </x:c>
      <x:c r="N3152" s="35" t="str">
        <x:v>Deepseek-flash-v4/Result2/Jsoup_82/result.json</x:v>
      </x:c>
      <x:c r="O3152" s="39" t="n">
        <x:f>IF(AND(G3152="RECORDED",ISNUMBER(H3152)),H3152,"")</x:f>
        <x:v>45.83</x:v>
      </x:c>
      <x:c r="P3152" s="35" t="str">
        <x:v>INCONCLUSIVE</x:v>
      </x:c>
      <x:c r="Q3152" s="35" t="str">
        <x:v>Deepseek-flash-v4/Result2/Jsoup_82/result.json</x:v>
      </x:c>
    </x:row>
    <x:row r="3153">
      <x:c r="A3153" s="35" t="str">
        <x:v>deepseek</x:v>
      </x:c>
      <x:c r="B3153" s="35" t="str">
        <x:v>Jsoup</x:v>
      </x:c>
      <x:c r="C3153" s="35" t="str">
        <x:v>Round2</x:v>
      </x:c>
      <x:c r="D3153" s="35" t="str">
        <x:v>Jsoup_83</x:v>
      </x:c>
      <x:c r="E3153" s="35" t="str">
        <x:v>Condition</x:v>
      </x:c>
      <x:c r="F3153" s="35"/>
      <x:c r="G3153" s="35" t="str">
        <x:v>A</x:v>
      </x:c>
      <x:c r="H3153" s="39" t="str">
        <x:f>IF(ISNUMBER('Data'!N1445),'Data'!N1445*100,"")</x:f>
      </x:c>
      <x:c r="I3153" s="35"/>
      <x:c r="J3153" s="35" t="str">
        <x:v>PASS</x:v>
      </x:c>
      <x:c r="K3153" s="35" t="str">
        <x:v>FAIL</x:v>
      </x:c>
      <x:c r="L3153" s="35" t="str">
        <x:v>NOT_RUN</x:v>
      </x:c>
      <x:c r="M3153" s="35" t="str">
        <x:v>coverage unavailable or execution/compile failed</x:v>
      </x:c>
      <x:c r="N3153" s="35" t="str">
        <x:v>Deepseek-flash-v4/Result2/Jsoup_83/result.json</x:v>
      </x:c>
      <x:c r="O3153" s="39" t="str">
        <x:f>IF(AND(G3153="RECORDED",ISNUMBER(H3153)),H3153,"")</x:f>
      </x:c>
      <x:c r="P3153" s="35" t="str">
        <x:v>NOT_AVAILABLE</x:v>
      </x:c>
      <x:c r="Q3153" s="35" t="str">
        <x:v>Deepseek-flash-v4/Result2/Jsoup_83/result.json</x:v>
      </x:c>
    </x:row>
    <x:row r="3154">
      <x:c r="A3154" s="35" t="str">
        <x:v>deepseek</x:v>
      </x:c>
      <x:c r="B3154" s="35" t="str">
        <x:v>Jsoup</x:v>
      </x:c>
      <x:c r="C3154" s="35" t="str">
        <x:v>Round2</x:v>
      </x:c>
      <x:c r="D3154" s="35" t="str">
        <x:v>Jsoup_84</x:v>
      </x:c>
      <x:c r="E3154" s="35" t="str">
        <x:v>Condition</x:v>
      </x:c>
      <x:c r="F3154" s="35" t="n">
        <x:v>28</x:v>
      </x:c>
      <x:c r="G3154" s="35" t="str">
        <x:v>RECORDED</x:v>
      </x:c>
      <x:c r="H3154" s="39" t="n">
        <x:f>IF(ISNUMBER('Data'!N1446),'Data'!N1446*100,"")</x:f>
        <x:v>89.29</x:v>
      </x:c>
      <x:c r="I3154" s="35" t="str">
        <x:v>PASS</x:v>
      </x:c>
      <x:c r="J3154" s="35" t="str">
        <x:v>PASS</x:v>
      </x:c>
      <x:c r="K3154" s="35" t="str">
        <x:v>PASS</x:v>
      </x:c>
      <x:c r="L3154" s="35" t="str">
        <x:v>PASS</x:v>
      </x:c>
      <x:c r="M3154" s="35" t="str">
        <x:v>numeric coverage for applicable metric</x:v>
      </x:c>
      <x:c r="N3154" s="35" t="str">
        <x:v>Deepseek-flash-v4/Result2/Jsoup_84/result.json</x:v>
      </x:c>
      <x:c r="O3154" s="39" t="n">
        <x:f>IF(AND(G3154="RECORDED",ISNUMBER(H3154)),H3154,"")</x:f>
        <x:v>89.29</x:v>
      </x:c>
      <x:c r="P3154" s="35" t="str">
        <x:v>NOT_REVEALING</x:v>
      </x:c>
      <x:c r="Q3154" s="35" t="str">
        <x:v>Deepseek-flash-v4/Result2/Jsoup_84/result.json</x:v>
      </x:c>
    </x:row>
    <x:row r="3155">
      <x:c r="A3155" s="35" t="str">
        <x:v>deepseek</x:v>
      </x:c>
      <x:c r="B3155" s="35" t="str">
        <x:v>Jsoup</x:v>
      </x:c>
      <x:c r="C3155" s="35" t="str">
        <x:v>Round2</x:v>
      </x:c>
      <x:c r="D3155" s="35" t="str">
        <x:v>Jsoup_85</x:v>
      </x:c>
      <x:c r="E3155" s="35" t="str">
        <x:v>Condition</x:v>
      </x:c>
      <x:c r="F3155" s="35" t="n">
        <x:v>50</x:v>
      </x:c>
      <x:c r="G3155" s="35" t="str">
        <x:v>RECORDED</x:v>
      </x:c>
      <x:c r="H3155" s="39" t="n">
        <x:f>IF(ISNUMBER('Data'!N1447),'Data'!N1447*100,"")</x:f>
        <x:v>74</x:v>
      </x:c>
      <x:c r="I3155" s="35" t="str">
        <x:v>PASS</x:v>
      </x:c>
      <x:c r="J3155" s="35" t="str">
        <x:v>PASS</x:v>
      </x:c>
      <x:c r="K3155" s="35" t="str">
        <x:v>PASS</x:v>
      </x:c>
      <x:c r="L3155" s="35" t="str">
        <x:v>FAIL</x:v>
      </x:c>
      <x:c r="M3155" s="35" t="str">
        <x:v>numeric coverage for applicable metric</x:v>
      </x:c>
      <x:c r="N3155" s="35" t="str">
        <x:v>Deepseek-flash-v4/Result2/Jsoup_85/result.json</x:v>
      </x:c>
      <x:c r="O3155" s="39" t="n">
        <x:f>IF(AND(G3155="RECORDED",ISNUMBER(H3155)),H3155,"")</x:f>
        <x:v>74</x:v>
      </x:c>
      <x:c r="P3155" s="35" t="str">
        <x:v>INCONCLUSIVE</x:v>
      </x:c>
      <x:c r="Q3155" s="35" t="str">
        <x:v>Deepseek-flash-v4/Result2/Jsoup_85/result.json</x:v>
      </x:c>
    </x:row>
    <x:row r="3156">
      <x:c r="A3156" s="35" t="str">
        <x:v>deepseek</x:v>
      </x:c>
      <x:c r="B3156" s="35" t="str">
        <x:v>Jsoup</x:v>
      </x:c>
      <x:c r="C3156" s="35" t="str">
        <x:v>Round2</x:v>
      </x:c>
      <x:c r="D3156" s="35" t="str">
        <x:v>Jsoup_86</x:v>
      </x:c>
      <x:c r="E3156" s="35" t="str">
        <x:v>Condition</x:v>
      </x:c>
      <x:c r="F3156" s="35" t="n">
        <x:v>10</x:v>
      </x:c>
      <x:c r="G3156" s="35" t="str">
        <x:v>RECORDED</x:v>
      </x:c>
      <x:c r="H3156" s="39" t="n">
        <x:f>IF(ISNUMBER('Data'!N1448),'Data'!N1448*100,"")</x:f>
        <x:v>80</x:v>
      </x:c>
      <x:c r="I3156" s="35" t="str">
        <x:v>PASS</x:v>
      </x:c>
      <x:c r="J3156" s="35" t="str">
        <x:v>PASS</x:v>
      </x:c>
      <x:c r="K3156" s="35" t="str">
        <x:v>PASS</x:v>
      </x:c>
      <x:c r="L3156" s="35" t="str">
        <x:v>FAIL</x:v>
      </x:c>
      <x:c r="M3156" s="35" t="str">
        <x:v>numeric coverage for applicable metric</x:v>
      </x:c>
      <x:c r="N3156" s="35" t="str">
        <x:v>Deepseek-flash-v4/Result2/Jsoup_86/result.json</x:v>
      </x:c>
      <x:c r="O3156" s="39" t="n">
        <x:f>IF(AND(G3156="RECORDED",ISNUMBER(H3156)),H3156,"")</x:f>
        <x:v>80</x:v>
      </x:c>
      <x:c r="P3156" s="35" t="str">
        <x:v>INCONCLUSIVE</x:v>
      </x:c>
      <x:c r="Q3156" s="35" t="str">
        <x:v>Deepseek-flash-v4/Result2/Jsoup_86/result.json</x:v>
      </x:c>
    </x:row>
    <x:row r="3157">
      <x:c r="A3157" s="35" t="str">
        <x:v>deepseek</x:v>
      </x:c>
      <x:c r="B3157" s="35" t="str">
        <x:v>Jsoup</x:v>
      </x:c>
      <x:c r="C3157" s="35" t="str">
        <x:v>Round2</x:v>
      </x:c>
      <x:c r="D3157" s="35" t="str">
        <x:v>Jsoup_87</x:v>
      </x:c>
      <x:c r="E3157" s="35" t="str">
        <x:v>Condition</x:v>
      </x:c>
      <x:c r="F3157" s="35"/>
      <x:c r="G3157" s="35" t="str">
        <x:v>A</x:v>
      </x:c>
      <x:c r="H3157" s="39" t="str">
        <x:f>IF(ISNUMBER('Data'!N1449),'Data'!N1449*100,"")</x:f>
      </x:c>
      <x:c r="I3157" s="35"/>
      <x:c r="J3157" s="35" t="str">
        <x:v>PASS</x:v>
      </x:c>
      <x:c r="K3157" s="35" t="str">
        <x:v>FAIL</x:v>
      </x:c>
      <x:c r="L3157" s="35" t="str">
        <x:v>NOT_RUN</x:v>
      </x:c>
      <x:c r="M3157" s="35" t="str">
        <x:v>coverage unavailable or execution/compile failed</x:v>
      </x:c>
      <x:c r="N3157" s="35" t="str">
        <x:v>Deepseek-flash-v4/Result2/Jsoup_87/result.json</x:v>
      </x:c>
      <x:c r="O3157" s="39" t="str">
        <x:f>IF(AND(G3157="RECORDED",ISNUMBER(H3157)),H3157,"")</x:f>
      </x:c>
      <x:c r="P3157" s="35" t="str">
        <x:v>NOT_AVAILABLE</x:v>
      </x:c>
      <x:c r="Q3157" s="35" t="str">
        <x:v>Deepseek-flash-v4/Result2/Jsoup_87/result.json</x:v>
      </x:c>
    </x:row>
    <x:row r="3158">
      <x:c r="A3158" s="35" t="str">
        <x:v>deepseek</x:v>
      </x:c>
      <x:c r="B3158" s="35" t="str">
        <x:v>Jsoup</x:v>
      </x:c>
      <x:c r="C3158" s="35" t="str">
        <x:v>Round2</x:v>
      </x:c>
      <x:c r="D3158" s="35" t="str">
        <x:v>Jsoup_88</x:v>
      </x:c>
      <x:c r="E3158" s="35" t="str">
        <x:v>Condition</x:v>
      </x:c>
      <x:c r="F3158" s="35" t="n">
        <x:v>50</x:v>
      </x:c>
      <x:c r="G3158" s="35" t="str">
        <x:v>RECORDED</x:v>
      </x:c>
      <x:c r="H3158" s="39" t="n">
        <x:f>IF(ISNUMBER('Data'!N1450),'Data'!N1450*100,"")</x:f>
        <x:v>72</x:v>
      </x:c>
      <x:c r="I3158" s="35" t="str">
        <x:v>PASS</x:v>
      </x:c>
      <x:c r="J3158" s="35" t="str">
        <x:v>PASS</x:v>
      </x:c>
      <x:c r="K3158" s="35" t="str">
        <x:v>PASS</x:v>
      </x:c>
      <x:c r="L3158" s="35" t="str">
        <x:v>PASS</x:v>
      </x:c>
      <x:c r="M3158" s="35" t="str">
        <x:v>numeric coverage for applicable metric</x:v>
      </x:c>
      <x:c r="N3158" s="35" t="str">
        <x:v>Deepseek-flash-v4/Result2/Jsoup_88/result.json</x:v>
      </x:c>
      <x:c r="O3158" s="39" t="n">
        <x:f>IF(AND(G3158="RECORDED",ISNUMBER(H3158)),H3158,"")</x:f>
        <x:v>72</x:v>
      </x:c>
      <x:c r="P3158" s="35" t="str">
        <x:v>NOT_REVEALING</x:v>
      </x:c>
      <x:c r="Q3158" s="35" t="str">
        <x:v>Deepseek-flash-v4/Result2/Jsoup_88/result.json</x:v>
      </x:c>
    </x:row>
    <x:row r="3159">
      <x:c r="A3159" s="35" t="str">
        <x:v>deepseek</x:v>
      </x:c>
      <x:c r="B3159" s="35" t="str">
        <x:v>Jsoup</x:v>
      </x:c>
      <x:c r="C3159" s="35" t="str">
        <x:v>Round2</x:v>
      </x:c>
      <x:c r="D3159" s="35" t="str">
        <x:v>Jsoup_89</x:v>
      </x:c>
      <x:c r="E3159" s="35" t="str">
        <x:v>Condition</x:v>
      </x:c>
      <x:c r="F3159" s="35" t="n">
        <x:v>50</x:v>
      </x:c>
      <x:c r="G3159" s="35" t="str">
        <x:v>RECORDED</x:v>
      </x:c>
      <x:c r="H3159" s="39" t="n">
        <x:f>IF(ISNUMBER('Data'!N1451),'Data'!N1451*100,"")</x:f>
        <x:v>76</x:v>
      </x:c>
      <x:c r="I3159" s="35" t="str">
        <x:v>PASS</x:v>
      </x:c>
      <x:c r="J3159" s="35" t="str">
        <x:v>PASS</x:v>
      </x:c>
      <x:c r="K3159" s="35" t="str">
        <x:v>PASS</x:v>
      </x:c>
      <x:c r="L3159" s="35" t="str">
        <x:v>FAIL</x:v>
      </x:c>
      <x:c r="M3159" s="35" t="str">
        <x:v>numeric coverage for applicable metric</x:v>
      </x:c>
      <x:c r="N3159" s="35" t="str">
        <x:v>Deepseek-flash-v4/Result2/Jsoup_89/result.json</x:v>
      </x:c>
      <x:c r="O3159" s="39" t="n">
        <x:f>IF(AND(G3159="RECORDED",ISNUMBER(H3159)),H3159,"")</x:f>
        <x:v>76</x:v>
      </x:c>
      <x:c r="P3159" s="35" t="str">
        <x:v>INCONCLUSIVE</x:v>
      </x:c>
      <x:c r="Q3159" s="35" t="str">
        <x:v>Deepseek-flash-v4/Result2/Jsoup_89/result.json</x:v>
      </x:c>
    </x:row>
    <x:row r="3160">
      <x:c r="A3160" s="35" t="str">
        <x:v>deepseek</x:v>
      </x:c>
      <x:c r="B3160" s="35" t="str">
        <x:v>Jsoup</x:v>
      </x:c>
      <x:c r="C3160" s="35" t="str">
        <x:v>Round2</x:v>
      </x:c>
      <x:c r="D3160" s="35" t="str">
        <x:v>Jsoup_9</x:v>
      </x:c>
      <x:c r="E3160" s="35" t="str">
        <x:v>Condition</x:v>
      </x:c>
      <x:c r="F3160" s="35"/>
      <x:c r="G3160" s="35" t="str">
        <x:v>A</x:v>
      </x:c>
      <x:c r="H3160" s="39" t="str">
        <x:f>IF(ISNUMBER('Data'!N1452),'Data'!N1452*100,"")</x:f>
      </x:c>
      <x:c r="I3160" s="35" t="str">
        <x:v>FAIL</x:v>
      </x:c>
      <x:c r="J3160" s="35" t="str">
        <x:v>PASS</x:v>
      </x:c>
      <x:c r="K3160" s="35" t="str">
        <x:v>PASS</x:v>
      </x:c>
      <x:c r="L3160" s="35" t="str">
        <x:v>PASS</x:v>
      </x:c>
      <x:c r="M3160" s="35" t="str">
        <x:v>coverage unavailable or execution/compile failed</x:v>
      </x:c>
      <x:c r="N3160" s="35" t="str">
        <x:v>Deepseek-flash-v4/Result2/Jsoup_9/result.json</x:v>
      </x:c>
      <x:c r="O3160" s="39" t="str">
        <x:f>IF(AND(G3160="RECORDED",ISNUMBER(H3160)),H3160,"")</x:f>
      </x:c>
      <x:c r="P3160" s="35" t="str">
        <x:v>NOT_AVAILABLE</x:v>
      </x:c>
      <x:c r="Q3160" s="35" t="str">
        <x:v>Deepseek-flash-v4/Result2/Jsoup_9/result.json</x:v>
      </x:c>
    </x:row>
    <x:row r="3161">
      <x:c r="A3161" s="35" t="str">
        <x:v>deepseek</x:v>
      </x:c>
      <x:c r="B3161" s="35" t="str">
        <x:v>Jsoup</x:v>
      </x:c>
      <x:c r="C3161" s="35" t="str">
        <x:v>Round2</x:v>
      </x:c>
      <x:c r="D3161" s="35" t="str">
        <x:v>Jsoup_90</x:v>
      </x:c>
      <x:c r="E3161" s="35" t="str">
        <x:v>Condition</x:v>
      </x:c>
      <x:c r="F3161" s="35"/>
      <x:c r="G3161" s="35" t="str">
        <x:v>A</x:v>
      </x:c>
      <x:c r="H3161" s="39" t="str">
        <x:f>IF(ISNUMBER('Data'!N1453),'Data'!N1453*100,"")</x:f>
      </x:c>
      <x:c r="I3161" s="35"/>
      <x:c r="J3161" s="35" t="str">
        <x:v>PASS</x:v>
      </x:c>
      <x:c r="K3161" s="35" t="str">
        <x:v>FAIL</x:v>
      </x:c>
      <x:c r="L3161" s="35" t="str">
        <x:v>NOT_RUN</x:v>
      </x:c>
      <x:c r="M3161" s="35" t="str">
        <x:v>coverage unavailable or execution/compile failed</x:v>
      </x:c>
      <x:c r="N3161" s="35" t="str">
        <x:v>Deepseek-flash-v4/Result2/Jsoup_90/result.json</x:v>
      </x:c>
      <x:c r="O3161" s="39" t="str">
        <x:f>IF(AND(G3161="RECORDED",ISNUMBER(H3161)),H3161,"")</x:f>
      </x:c>
      <x:c r="P3161" s="35" t="str">
        <x:v>NOT_AVAILABLE</x:v>
      </x:c>
      <x:c r="Q3161" s="35" t="str">
        <x:v>Deepseek-flash-v4/Result2/Jsoup_90/result.json</x:v>
      </x:c>
    </x:row>
    <x:row r="3162">
      <x:c r="A3162" s="35" t="str">
        <x:v>deepseek</x:v>
      </x:c>
      <x:c r="B3162" s="35" t="str">
        <x:v>Jsoup</x:v>
      </x:c>
      <x:c r="C3162" s="35" t="str">
        <x:v>Round2</x:v>
      </x:c>
      <x:c r="D3162" s="35" t="str">
        <x:v>Jsoup_91</x:v>
      </x:c>
      <x:c r="E3162" s="35" t="str">
        <x:v>Condition</x:v>
      </x:c>
      <x:c r="F3162" s="35"/>
      <x:c r="G3162" s="35" t="str">
        <x:v>A</x:v>
      </x:c>
      <x:c r="H3162" s="39" t="str">
        <x:f>IF(ISNUMBER('Data'!N1454),'Data'!N1454*100,"")</x:f>
      </x:c>
      <x:c r="I3162" s="35"/>
      <x:c r="J3162" s="35" t="str">
        <x:v>PASS</x:v>
      </x:c>
      <x:c r="K3162" s="35" t="str">
        <x:v>FAIL</x:v>
      </x:c>
      <x:c r="L3162" s="35" t="str">
        <x:v>NOT_RUN</x:v>
      </x:c>
      <x:c r="M3162" s="35" t="str">
        <x:v>coverage unavailable or execution/compile failed</x:v>
      </x:c>
      <x:c r="N3162" s="35" t="str">
        <x:v>Deepseek-flash-v4/Result2/Jsoup_91/result.json</x:v>
      </x:c>
      <x:c r="O3162" s="39" t="str">
        <x:f>IF(AND(G3162="RECORDED",ISNUMBER(H3162)),H3162,"")</x:f>
      </x:c>
      <x:c r="P3162" s="35" t="str">
        <x:v>NOT_AVAILABLE</x:v>
      </x:c>
      <x:c r="Q3162" s="35" t="str">
        <x:v>Deepseek-flash-v4/Result2/Jsoup_91/result.json</x:v>
      </x:c>
    </x:row>
    <x:row r="3163">
      <x:c r="A3163" s="35" t="str">
        <x:v>deepseek</x:v>
      </x:c>
      <x:c r="B3163" s="35" t="str">
        <x:v>Jsoup</x:v>
      </x:c>
      <x:c r="C3163" s="35" t="str">
        <x:v>Round2</x:v>
      </x:c>
      <x:c r="D3163" s="35" t="str">
        <x:v>Jsoup_92</x:v>
      </x:c>
      <x:c r="E3163" s="35" t="str">
        <x:v>Condition</x:v>
      </x:c>
      <x:c r="F3163" s="35"/>
      <x:c r="G3163" s="35" t="str">
        <x:v>A</x:v>
      </x:c>
      <x:c r="H3163" s="39" t="str">
        <x:f>IF(ISNUMBER('Data'!N1455),'Data'!N1455*100,"")</x:f>
      </x:c>
      <x:c r="I3163" s="35"/>
      <x:c r="J3163" s="35" t="str">
        <x:v>PASS</x:v>
      </x:c>
      <x:c r="K3163" s="35" t="str">
        <x:v>FAIL</x:v>
      </x:c>
      <x:c r="L3163" s="35" t="str">
        <x:v>NOT_RUN</x:v>
      </x:c>
      <x:c r="M3163" s="35" t="str">
        <x:v>coverage unavailable or execution/compile failed</x:v>
      </x:c>
      <x:c r="N3163" s="35" t="str">
        <x:v>Deepseek-flash-v4/Result2/Jsoup_92/result.json</x:v>
      </x:c>
      <x:c r="O3163" s="39" t="str">
        <x:f>IF(AND(G3163="RECORDED",ISNUMBER(H3163)),H3163,"")</x:f>
      </x:c>
      <x:c r="P3163" s="35" t="str">
        <x:v>NOT_AVAILABLE</x:v>
      </x:c>
      <x:c r="Q3163" s="35" t="str">
        <x:v>Deepseek-flash-v4/Result2/Jsoup_92/result.json</x:v>
      </x:c>
    </x:row>
    <x:row r="3164">
      <x:c r="A3164" s="35" t="str">
        <x:v>deepseek</x:v>
      </x:c>
      <x:c r="B3164" s="35" t="str">
        <x:v>Jsoup</x:v>
      </x:c>
      <x:c r="C3164" s="35" t="str">
        <x:v>Round2</x:v>
      </x:c>
      <x:c r="D3164" s="35" t="str">
        <x:v>Jsoup_93</x:v>
      </x:c>
      <x:c r="E3164" s="35" t="str">
        <x:v>Condition</x:v>
      </x:c>
      <x:c r="F3164" s="35" t="n">
        <x:v>28</x:v>
      </x:c>
      <x:c r="G3164" s="35" t="str">
        <x:v>RECORDED</x:v>
      </x:c>
      <x:c r="H3164" s="39" t="n">
        <x:f>IF(ISNUMBER('Data'!N1456),'Data'!N1456*100,"")</x:f>
        <x:v>100</x:v>
      </x:c>
      <x:c r="I3164" s="35" t="str">
        <x:v>PASS</x:v>
      </x:c>
      <x:c r="J3164" s="35" t="str">
        <x:v>PASS</x:v>
      </x:c>
      <x:c r="K3164" s="35" t="str">
        <x:v>PASS</x:v>
      </x:c>
      <x:c r="L3164" s="35" t="str">
        <x:v>PASS</x:v>
      </x:c>
      <x:c r="M3164" s="35" t="str">
        <x:v>numeric coverage for applicable metric</x:v>
      </x:c>
      <x:c r="N3164" s="35" t="str">
        <x:v>Deepseek-flash-v4/Result2/Jsoup_93/result.json</x:v>
      </x:c>
      <x:c r="O3164" s="39" t="n">
        <x:f>IF(AND(G3164="RECORDED",ISNUMBER(H3164)),H3164,"")</x:f>
        <x:v>100</x:v>
      </x:c>
      <x:c r="P3164" s="35" t="str">
        <x:v>NOT_REVEALING</x:v>
      </x:c>
      <x:c r="Q3164" s="35" t="str">
        <x:v>Deepseek-flash-v4/Result2/Jsoup_93/result.json</x:v>
      </x:c>
    </x:row>
    <x:row r="3165">
      <x:c r="A3165" s="35" t="str">
        <x:v>deepseek</x:v>
      </x:c>
      <x:c r="B3165" s="35" t="str">
        <x:v>JxPath</x:v>
      </x:c>
      <x:c r="C3165" s="35" t="str">
        <x:v>Round2</x:v>
      </x:c>
      <x:c r="D3165" s="35" t="str">
        <x:v>JxPath_1</x:v>
      </x:c>
      <x:c r="E3165" s="35" t="str">
        <x:v>Condition</x:v>
      </x:c>
      <x:c r="F3165" s="35"/>
      <x:c r="G3165" s="35" t="str">
        <x:v>A</x:v>
      </x:c>
      <x:c r="H3165" s="39" t="str">
        <x:f>IF(ISNUMBER('Data'!N1457),'Data'!N1457*100,"")</x:f>
      </x:c>
      <x:c r="I3165" s="35"/>
      <x:c r="J3165" s="35" t="str">
        <x:v>PASS</x:v>
      </x:c>
      <x:c r="K3165" s="35" t="str">
        <x:v>FAIL</x:v>
      </x:c>
      <x:c r="L3165" s="35" t="str">
        <x:v>NOT_RUN</x:v>
      </x:c>
      <x:c r="M3165" s="35" t="str">
        <x:v>coverage unavailable or execution/compile failed</x:v>
      </x:c>
      <x:c r="N3165" s="35" t="str">
        <x:v>Deepseek-flash-v4/Result2/JxPath_1/result.json</x:v>
      </x:c>
      <x:c r="O3165" s="39" t="str">
        <x:f>IF(AND(G3165="RECORDED",ISNUMBER(H3165)),H3165,"")</x:f>
      </x:c>
      <x:c r="P3165" s="35" t="str">
        <x:v>NOT_AVAILABLE</x:v>
      </x:c>
      <x:c r="Q3165" s="35" t="str">
        <x:v>Deepseek-flash-v4/Result2/JxPath_1/result.json</x:v>
      </x:c>
    </x:row>
    <x:row r="3166">
      <x:c r="A3166" s="35" t="str">
        <x:v>deepseek</x:v>
      </x:c>
      <x:c r="B3166" s="35" t="str">
        <x:v>JxPath</x:v>
      </x:c>
      <x:c r="C3166" s="35" t="str">
        <x:v>Round2</x:v>
      </x:c>
      <x:c r="D3166" s="35" t="str">
        <x:v>JxPath_10</x:v>
      </x:c>
      <x:c r="E3166" s="35" t="str">
        <x:v>Condition</x:v>
      </x:c>
      <x:c r="F3166" s="35"/>
      <x:c r="G3166" s="35" t="str">
        <x:v>A</x:v>
      </x:c>
      <x:c r="H3166" s="39" t="str">
        <x:f>IF(ISNUMBER('Data'!N1458),'Data'!N1458*100,"")</x:f>
      </x:c>
      <x:c r="I3166" s="35"/>
      <x:c r="J3166" s="35" t="str">
        <x:v>PASS</x:v>
      </x:c>
      <x:c r="K3166" s="35" t="str">
        <x:v>FAIL</x:v>
      </x:c>
      <x:c r="L3166" s="35" t="str">
        <x:v>NOT_RUN</x:v>
      </x:c>
      <x:c r="M3166" s="35" t="str">
        <x:v>coverage unavailable or execution/compile failed</x:v>
      </x:c>
      <x:c r="N3166" s="35" t="str">
        <x:v>Deepseek-flash-v4/Result2/JxPath_10/result.json</x:v>
      </x:c>
      <x:c r="O3166" s="39" t="str">
        <x:f>IF(AND(G3166="RECORDED",ISNUMBER(H3166)),H3166,"")</x:f>
      </x:c>
      <x:c r="P3166" s="35" t="str">
        <x:v>NOT_AVAILABLE</x:v>
      </x:c>
      <x:c r="Q3166" s="35" t="str">
        <x:v>Deepseek-flash-v4/Result2/JxPath_10/result.json</x:v>
      </x:c>
    </x:row>
    <x:row r="3167">
      <x:c r="A3167" s="35" t="str">
        <x:v>deepseek</x:v>
      </x:c>
      <x:c r="B3167" s="35" t="str">
        <x:v>JxPath</x:v>
      </x:c>
      <x:c r="C3167" s="35" t="str">
        <x:v>Round2</x:v>
      </x:c>
      <x:c r="D3167" s="35" t="str">
        <x:v>JxPath_11</x:v>
      </x:c>
      <x:c r="E3167" s="35" t="str">
        <x:v>Condition</x:v>
      </x:c>
      <x:c r="F3167" s="35"/>
      <x:c r="G3167" s="35" t="str">
        <x:v>A</x:v>
      </x:c>
      <x:c r="H3167" s="39" t="str">
        <x:f>IF(ISNUMBER('Data'!N1459),'Data'!N1459*100,"")</x:f>
      </x:c>
      <x:c r="I3167" s="35"/>
      <x:c r="J3167" s="35" t="str">
        <x:v>PASS</x:v>
      </x:c>
      <x:c r="K3167" s="35" t="str">
        <x:v>FAIL</x:v>
      </x:c>
      <x:c r="L3167" s="35" t="str">
        <x:v>NOT_RUN</x:v>
      </x:c>
      <x:c r="M3167" s="35" t="str">
        <x:v>coverage unavailable or execution/compile failed</x:v>
      </x:c>
      <x:c r="N3167" s="35" t="str">
        <x:v>Deepseek-flash-v4/Result2/JxPath_11/result.json</x:v>
      </x:c>
      <x:c r="O3167" s="39" t="str">
        <x:f>IF(AND(G3167="RECORDED",ISNUMBER(H3167)),H3167,"")</x:f>
      </x:c>
      <x:c r="P3167" s="35" t="str">
        <x:v>NOT_AVAILABLE</x:v>
      </x:c>
      <x:c r="Q3167" s="35" t="str">
        <x:v>Deepseek-flash-v4/Result2/JxPath_11/result.json</x:v>
      </x:c>
    </x:row>
    <x:row r="3168">
      <x:c r="A3168" s="35" t="str">
        <x:v>deepseek</x:v>
      </x:c>
      <x:c r="B3168" s="35" t="str">
        <x:v>JxPath</x:v>
      </x:c>
      <x:c r="C3168" s="35" t="str">
        <x:v>Round2</x:v>
      </x:c>
      <x:c r="D3168" s="35" t="str">
        <x:v>JxPath_12</x:v>
      </x:c>
      <x:c r="E3168" s="35" t="str">
        <x:v>Condition</x:v>
      </x:c>
      <x:c r="F3168" s="35"/>
      <x:c r="G3168" s="35" t="str">
        <x:v>A</x:v>
      </x:c>
      <x:c r="H3168" s="39" t="str">
        <x:f>IF(ISNUMBER('Data'!N1460),'Data'!N1460*100,"")</x:f>
      </x:c>
      <x:c r="I3168" s="35"/>
      <x:c r="J3168" s="35" t="str">
        <x:v>PASS</x:v>
      </x:c>
      <x:c r="K3168" s="35" t="str">
        <x:v>FAIL</x:v>
      </x:c>
      <x:c r="L3168" s="35" t="str">
        <x:v>NOT_RUN</x:v>
      </x:c>
      <x:c r="M3168" s="35" t="str">
        <x:v>coverage unavailable or execution/compile failed</x:v>
      </x:c>
      <x:c r="N3168" s="35" t="str">
        <x:v>Deepseek-flash-v4/Result2/JxPath_12/result.json</x:v>
      </x:c>
      <x:c r="O3168" s="39" t="str">
        <x:f>IF(AND(G3168="RECORDED",ISNUMBER(H3168)),H3168,"")</x:f>
      </x:c>
      <x:c r="P3168" s="35" t="str">
        <x:v>NOT_AVAILABLE</x:v>
      </x:c>
      <x:c r="Q3168" s="35" t="str">
        <x:v>Deepseek-flash-v4/Result2/JxPath_12/result.json</x:v>
      </x:c>
    </x:row>
    <x:row r="3169">
      <x:c r="A3169" s="35" t="str">
        <x:v>deepseek</x:v>
      </x:c>
      <x:c r="B3169" s="35" t="str">
        <x:v>JxPath</x:v>
      </x:c>
      <x:c r="C3169" s="35" t="str">
        <x:v>Round2</x:v>
      </x:c>
      <x:c r="D3169" s="35" t="str">
        <x:v>JxPath_13</x:v>
      </x:c>
      <x:c r="E3169" s="35" t="str">
        <x:v>Condition</x:v>
      </x:c>
      <x:c r="F3169" s="35"/>
      <x:c r="G3169" s="35" t="str">
        <x:v>A</x:v>
      </x:c>
      <x:c r="H3169" s="39" t="str">
        <x:f>IF(ISNUMBER('Data'!N1461),'Data'!N1461*100,"")</x:f>
      </x:c>
      <x:c r="I3169" s="35"/>
      <x:c r="J3169" s="35" t="str">
        <x:v>PASS</x:v>
      </x:c>
      <x:c r="K3169" s="35" t="str">
        <x:v>FAIL</x:v>
      </x:c>
      <x:c r="L3169" s="35" t="str">
        <x:v>NOT_RUN</x:v>
      </x:c>
      <x:c r="M3169" s="35" t="str">
        <x:v>coverage unavailable or execution/compile failed</x:v>
      </x:c>
      <x:c r="N3169" s="35" t="str">
        <x:v>Deepseek-flash-v4/Result2/JxPath_13/result.json</x:v>
      </x:c>
      <x:c r="O3169" s="39" t="str">
        <x:f>IF(AND(G3169="RECORDED",ISNUMBER(H3169)),H3169,"")</x:f>
      </x:c>
      <x:c r="P3169" s="35" t="str">
        <x:v>NOT_AVAILABLE</x:v>
      </x:c>
      <x:c r="Q3169" s="35" t="str">
        <x:v>Deepseek-flash-v4/Result2/JxPath_13/result.json</x:v>
      </x:c>
    </x:row>
    <x:row r="3170">
      <x:c r="A3170" s="35" t="str">
        <x:v>deepseek</x:v>
      </x:c>
      <x:c r="B3170" s="35" t="str">
        <x:v>JxPath</x:v>
      </x:c>
      <x:c r="C3170" s="35" t="str">
        <x:v>Round2</x:v>
      </x:c>
      <x:c r="D3170" s="35" t="str">
        <x:v>JxPath_14</x:v>
      </x:c>
      <x:c r="E3170" s="35" t="str">
        <x:v>Condition</x:v>
      </x:c>
      <x:c r="F3170" s="35"/>
      <x:c r="G3170" s="35" t="str">
        <x:v>A</x:v>
      </x:c>
      <x:c r="H3170" s="39" t="str">
        <x:f>IF(ISNUMBER('Data'!N1462),'Data'!N1462*100,"")</x:f>
      </x:c>
      <x:c r="I3170" s="35"/>
      <x:c r="J3170" s="35" t="str">
        <x:v>PASS</x:v>
      </x:c>
      <x:c r="K3170" s="35" t="str">
        <x:v>FAIL</x:v>
      </x:c>
      <x:c r="L3170" s="35" t="str">
        <x:v>NOT_RUN</x:v>
      </x:c>
      <x:c r="M3170" s="35" t="str">
        <x:v>coverage unavailable or execution/compile failed</x:v>
      </x:c>
      <x:c r="N3170" s="35" t="str">
        <x:v>Deepseek-flash-v4/Result2/JxPath_14/result.json</x:v>
      </x:c>
      <x:c r="O3170" s="39" t="str">
        <x:f>IF(AND(G3170="RECORDED",ISNUMBER(H3170)),H3170,"")</x:f>
      </x:c>
      <x:c r="P3170" s="35" t="str">
        <x:v>NOT_AVAILABLE</x:v>
      </x:c>
      <x:c r="Q3170" s="35" t="str">
        <x:v>Deepseek-flash-v4/Result2/JxPath_14/result.json</x:v>
      </x:c>
    </x:row>
    <x:row r="3171">
      <x:c r="A3171" s="35" t="str">
        <x:v>deepseek</x:v>
      </x:c>
      <x:c r="B3171" s="35" t="str">
        <x:v>JxPath</x:v>
      </x:c>
      <x:c r="C3171" s="35" t="str">
        <x:v>Round2</x:v>
      </x:c>
      <x:c r="D3171" s="35" t="str">
        <x:v>JxPath_15</x:v>
      </x:c>
      <x:c r="E3171" s="35" t="str">
        <x:v>Condition</x:v>
      </x:c>
      <x:c r="F3171" s="35"/>
      <x:c r="G3171" s="35" t="str">
        <x:v>A</x:v>
      </x:c>
      <x:c r="H3171" s="39" t="str">
        <x:f>IF(ISNUMBER('Data'!N1463),'Data'!N1463*100,"")</x:f>
      </x:c>
      <x:c r="I3171" s="35"/>
      <x:c r="J3171" s="35" t="str">
        <x:v>PASS</x:v>
      </x:c>
      <x:c r="K3171" s="35" t="str">
        <x:v>FAIL</x:v>
      </x:c>
      <x:c r="L3171" s="35" t="str">
        <x:v>NOT_RUN</x:v>
      </x:c>
      <x:c r="M3171" s="35" t="str">
        <x:v>coverage unavailable or execution/compile failed</x:v>
      </x:c>
      <x:c r="N3171" s="35" t="str">
        <x:v>Deepseek-flash-v4/Result2/JxPath_15/result.json</x:v>
      </x:c>
      <x:c r="O3171" s="39" t="str">
        <x:f>IF(AND(G3171="RECORDED",ISNUMBER(H3171)),H3171,"")</x:f>
      </x:c>
      <x:c r="P3171" s="35" t="str">
        <x:v>NOT_AVAILABLE</x:v>
      </x:c>
      <x:c r="Q3171" s="35" t="str">
        <x:v>Deepseek-flash-v4/Result2/JxPath_15/result.json</x:v>
      </x:c>
    </x:row>
    <x:row r="3172">
      <x:c r="A3172" s="35" t="str">
        <x:v>deepseek</x:v>
      </x:c>
      <x:c r="B3172" s="35" t="str">
        <x:v>JxPath</x:v>
      </x:c>
      <x:c r="C3172" s="35" t="str">
        <x:v>Round2</x:v>
      </x:c>
      <x:c r="D3172" s="35" t="str">
        <x:v>JxPath_16</x:v>
      </x:c>
      <x:c r="E3172" s="35" t="str">
        <x:v>Condition</x:v>
      </x:c>
      <x:c r="F3172" s="35"/>
      <x:c r="G3172" s="35" t="str">
        <x:v>A</x:v>
      </x:c>
      <x:c r="H3172" s="39" t="str">
        <x:f>IF(ISNUMBER('Data'!N1464),'Data'!N1464*100,"")</x:f>
      </x:c>
      <x:c r="I3172" s="35"/>
      <x:c r="J3172" s="35" t="str">
        <x:v>PASS</x:v>
      </x:c>
      <x:c r="K3172" s="35" t="str">
        <x:v>FAIL</x:v>
      </x:c>
      <x:c r="L3172" s="35" t="str">
        <x:v>NOT_RUN</x:v>
      </x:c>
      <x:c r="M3172" s="35" t="str">
        <x:v>coverage unavailable or execution/compile failed</x:v>
      </x:c>
      <x:c r="N3172" s="35" t="str">
        <x:v>Deepseek-flash-v4/Result2/JxPath_16/result.json</x:v>
      </x:c>
      <x:c r="O3172" s="39" t="str">
        <x:f>IF(AND(G3172="RECORDED",ISNUMBER(H3172)),H3172,"")</x:f>
      </x:c>
      <x:c r="P3172" s="35" t="str">
        <x:v>NOT_AVAILABLE</x:v>
      </x:c>
      <x:c r="Q3172" s="35" t="str">
        <x:v>Deepseek-flash-v4/Result2/JxPath_16/result.json</x:v>
      </x:c>
    </x:row>
    <x:row r="3173">
      <x:c r="A3173" s="35" t="str">
        <x:v>deepseek</x:v>
      </x:c>
      <x:c r="B3173" s="35" t="str">
        <x:v>JxPath</x:v>
      </x:c>
      <x:c r="C3173" s="35" t="str">
        <x:v>Round2</x:v>
      </x:c>
      <x:c r="D3173" s="35" t="str">
        <x:v>JxPath_17</x:v>
      </x:c>
      <x:c r="E3173" s="35" t="str">
        <x:v>Condition</x:v>
      </x:c>
      <x:c r="F3173" s="35"/>
      <x:c r="G3173" s="35" t="str">
        <x:v>A</x:v>
      </x:c>
      <x:c r="H3173" s="39" t="str">
        <x:f>IF(ISNUMBER('Data'!N1465),'Data'!N1465*100,"")</x:f>
      </x:c>
      <x:c r="I3173" s="35"/>
      <x:c r="J3173" s="35" t="str">
        <x:v>PASS</x:v>
      </x:c>
      <x:c r="K3173" s="35" t="str">
        <x:v>FAIL</x:v>
      </x:c>
      <x:c r="L3173" s="35" t="str">
        <x:v>NOT_RUN</x:v>
      </x:c>
      <x:c r="M3173" s="35" t="str">
        <x:v>coverage unavailable or execution/compile failed</x:v>
      </x:c>
      <x:c r="N3173" s="35" t="str">
        <x:v>Deepseek-flash-v4/Result2/JxPath_17/result.json</x:v>
      </x:c>
      <x:c r="O3173" s="39" t="str">
        <x:f>IF(AND(G3173="RECORDED",ISNUMBER(H3173)),H3173,"")</x:f>
      </x:c>
      <x:c r="P3173" s="35" t="str">
        <x:v>NOT_AVAILABLE</x:v>
      </x:c>
      <x:c r="Q3173" s="35" t="str">
        <x:v>Deepseek-flash-v4/Result2/JxPath_17/result.json</x:v>
      </x:c>
    </x:row>
    <x:row r="3174">
      <x:c r="A3174" s="35" t="str">
        <x:v>deepseek</x:v>
      </x:c>
      <x:c r="B3174" s="35" t="str">
        <x:v>JxPath</x:v>
      </x:c>
      <x:c r="C3174" s="35" t="str">
        <x:v>Round2</x:v>
      </x:c>
      <x:c r="D3174" s="35" t="str">
        <x:v>JxPath_18</x:v>
      </x:c>
      <x:c r="E3174" s="35" t="str">
        <x:v>Condition</x:v>
      </x:c>
      <x:c r="F3174" s="35"/>
      <x:c r="G3174" s="35" t="str">
        <x:v>A</x:v>
      </x:c>
      <x:c r="H3174" s="39" t="str">
        <x:f>IF(ISNUMBER('Data'!N1466),'Data'!N1466*100,"")</x:f>
      </x:c>
      <x:c r="I3174" s="35"/>
      <x:c r="J3174" s="35" t="str">
        <x:v>PASS</x:v>
      </x:c>
      <x:c r="K3174" s="35" t="str">
        <x:v>FAIL</x:v>
      </x:c>
      <x:c r="L3174" s="35" t="str">
        <x:v>NOT_RUN</x:v>
      </x:c>
      <x:c r="M3174" s="35" t="str">
        <x:v>coverage unavailable or execution/compile failed</x:v>
      </x:c>
      <x:c r="N3174" s="35" t="str">
        <x:v>Deepseek-flash-v4/Result2/JxPath_18/result.json</x:v>
      </x:c>
      <x:c r="O3174" s="39" t="str">
        <x:f>IF(AND(G3174="RECORDED",ISNUMBER(H3174)),H3174,"")</x:f>
      </x:c>
      <x:c r="P3174" s="35" t="str">
        <x:v>NOT_AVAILABLE</x:v>
      </x:c>
      <x:c r="Q3174" s="35" t="str">
        <x:v>Deepseek-flash-v4/Result2/JxPath_18/result.json</x:v>
      </x:c>
    </x:row>
    <x:row r="3175">
      <x:c r="A3175" s="35" t="str">
        <x:v>deepseek</x:v>
      </x:c>
      <x:c r="B3175" s="35" t="str">
        <x:v>JxPath</x:v>
      </x:c>
      <x:c r="C3175" s="35" t="str">
        <x:v>Round2</x:v>
      </x:c>
      <x:c r="D3175" s="35" t="str">
        <x:v>JxPath_19</x:v>
      </x:c>
      <x:c r="E3175" s="35" t="str">
        <x:v>Condition</x:v>
      </x:c>
      <x:c r="F3175" s="35"/>
      <x:c r="G3175" s="35" t="str">
        <x:v>A</x:v>
      </x:c>
      <x:c r="H3175" s="39" t="str">
        <x:f>IF(ISNUMBER('Data'!N1467),'Data'!N1467*100,"")</x:f>
      </x:c>
      <x:c r="I3175" s="35"/>
      <x:c r="J3175" s="35" t="str">
        <x:v>PASS</x:v>
      </x:c>
      <x:c r="K3175" s="35" t="str">
        <x:v>FAIL</x:v>
      </x:c>
      <x:c r="L3175" s="35" t="str">
        <x:v>NOT_RUN</x:v>
      </x:c>
      <x:c r="M3175" s="35" t="str">
        <x:v>coverage unavailable or execution/compile failed</x:v>
      </x:c>
      <x:c r="N3175" s="35" t="str">
        <x:v>Deepseek-flash-v4/Result2/JxPath_19/result.json</x:v>
      </x:c>
      <x:c r="O3175" s="39" t="str">
        <x:f>IF(AND(G3175="RECORDED",ISNUMBER(H3175)),H3175,"")</x:f>
      </x:c>
      <x:c r="P3175" s="35" t="str">
        <x:v>NOT_AVAILABLE</x:v>
      </x:c>
      <x:c r="Q3175" s="35" t="str">
        <x:v>Deepseek-flash-v4/Result2/JxPath_19/result.json</x:v>
      </x:c>
    </x:row>
    <x:row r="3176">
      <x:c r="A3176" s="35" t="str">
        <x:v>deepseek</x:v>
      </x:c>
      <x:c r="B3176" s="35" t="str">
        <x:v>JxPath</x:v>
      </x:c>
      <x:c r="C3176" s="35" t="str">
        <x:v>Round2</x:v>
      </x:c>
      <x:c r="D3176" s="35" t="str">
        <x:v>JxPath_2</x:v>
      </x:c>
      <x:c r="E3176" s="35" t="str">
        <x:v>Condition</x:v>
      </x:c>
      <x:c r="F3176" s="35"/>
      <x:c r="G3176" s="35" t="str">
        <x:v>A</x:v>
      </x:c>
      <x:c r="H3176" s="39" t="str">
        <x:f>IF(ISNUMBER('Data'!N1468),'Data'!N1468*100,"")</x:f>
      </x:c>
      <x:c r="I3176" s="35"/>
      <x:c r="J3176" s="35" t="str">
        <x:v>PASS</x:v>
      </x:c>
      <x:c r="K3176" s="35" t="str">
        <x:v>FAIL</x:v>
      </x:c>
      <x:c r="L3176" s="35" t="str">
        <x:v>NOT_RUN</x:v>
      </x:c>
      <x:c r="M3176" s="35" t="str">
        <x:v>coverage unavailable or execution/compile failed</x:v>
      </x:c>
      <x:c r="N3176" s="35" t="str">
        <x:v>Deepseek-flash-v4/Result2/JxPath_2/result.json</x:v>
      </x:c>
      <x:c r="O3176" s="39" t="str">
        <x:f>IF(AND(G3176="RECORDED",ISNUMBER(H3176)),H3176,"")</x:f>
      </x:c>
      <x:c r="P3176" s="35" t="str">
        <x:v>NOT_AVAILABLE</x:v>
      </x:c>
      <x:c r="Q3176" s="35" t="str">
        <x:v>Deepseek-flash-v4/Result2/JxPath_2/result.json</x:v>
      </x:c>
    </x:row>
    <x:row r="3177">
      <x:c r="A3177" s="35" t="str">
        <x:v>deepseek</x:v>
      </x:c>
      <x:c r="B3177" s="35" t="str">
        <x:v>JxPath</x:v>
      </x:c>
      <x:c r="C3177" s="35" t="str">
        <x:v>Round2</x:v>
      </x:c>
      <x:c r="D3177" s="35" t="str">
        <x:v>JxPath_20</x:v>
      </x:c>
      <x:c r="E3177" s="35" t="str">
        <x:v>Condition</x:v>
      </x:c>
      <x:c r="F3177" s="35"/>
      <x:c r="G3177" s="35" t="str">
        <x:v>A</x:v>
      </x:c>
      <x:c r="H3177" s="39" t="str">
        <x:f>IF(ISNUMBER('Data'!N1469),'Data'!N1469*100,"")</x:f>
      </x:c>
      <x:c r="I3177" s="35"/>
      <x:c r="J3177" s="35" t="str">
        <x:v>PASS</x:v>
      </x:c>
      <x:c r="K3177" s="35" t="str">
        <x:v>FAIL</x:v>
      </x:c>
      <x:c r="L3177" s="35" t="str">
        <x:v>NOT_RUN</x:v>
      </x:c>
      <x:c r="M3177" s="35" t="str">
        <x:v>coverage unavailable or execution/compile failed</x:v>
      </x:c>
      <x:c r="N3177" s="35" t="str">
        <x:v>Deepseek-flash-v4/Result2/JxPath_20/result.json</x:v>
      </x:c>
      <x:c r="O3177" s="39" t="str">
        <x:f>IF(AND(G3177="RECORDED",ISNUMBER(H3177)),H3177,"")</x:f>
      </x:c>
      <x:c r="P3177" s="35" t="str">
        <x:v>NOT_AVAILABLE</x:v>
      </x:c>
      <x:c r="Q3177" s="35" t="str">
        <x:v>Deepseek-flash-v4/Result2/JxPath_20/result.json</x:v>
      </x:c>
    </x:row>
    <x:row r="3178">
      <x:c r="A3178" s="35" t="str">
        <x:v>deepseek</x:v>
      </x:c>
      <x:c r="B3178" s="35" t="str">
        <x:v>JxPath</x:v>
      </x:c>
      <x:c r="C3178" s="35" t="str">
        <x:v>Round2</x:v>
      </x:c>
      <x:c r="D3178" s="35" t="str">
        <x:v>JxPath_21</x:v>
      </x:c>
      <x:c r="E3178" s="35" t="str">
        <x:v>Condition</x:v>
      </x:c>
      <x:c r="F3178" s="35"/>
      <x:c r="G3178" s="35" t="str">
        <x:v>A</x:v>
      </x:c>
      <x:c r="H3178" s="39" t="str">
        <x:f>IF(ISNUMBER('Data'!N1470),'Data'!N1470*100,"")</x:f>
      </x:c>
      <x:c r="I3178" s="35"/>
      <x:c r="J3178" s="35" t="str">
        <x:v>PASS</x:v>
      </x:c>
      <x:c r="K3178" s="35" t="str">
        <x:v>FAIL</x:v>
      </x:c>
      <x:c r="L3178" s="35" t="str">
        <x:v>NOT_RUN</x:v>
      </x:c>
      <x:c r="M3178" s="35" t="str">
        <x:v>coverage unavailable or execution/compile failed</x:v>
      </x:c>
      <x:c r="N3178" s="35" t="str">
        <x:v>Deepseek-flash-v4/Result2/JxPath_21/result.json</x:v>
      </x:c>
      <x:c r="O3178" s="39" t="str">
        <x:f>IF(AND(G3178="RECORDED",ISNUMBER(H3178)),H3178,"")</x:f>
      </x:c>
      <x:c r="P3178" s="35" t="str">
        <x:v>NOT_AVAILABLE</x:v>
      </x:c>
      <x:c r="Q3178" s="35" t="str">
        <x:v>Deepseek-flash-v4/Result2/JxPath_21/result.json</x:v>
      </x:c>
    </x:row>
    <x:row r="3179">
      <x:c r="A3179" s="35" t="str">
        <x:v>deepseek</x:v>
      </x:c>
      <x:c r="B3179" s="35" t="str">
        <x:v>JxPath</x:v>
      </x:c>
      <x:c r="C3179" s="35" t="str">
        <x:v>Round2</x:v>
      </x:c>
      <x:c r="D3179" s="35" t="str">
        <x:v>JxPath_22</x:v>
      </x:c>
      <x:c r="E3179" s="35" t="str">
        <x:v>Condition</x:v>
      </x:c>
      <x:c r="F3179" s="35"/>
      <x:c r="G3179" s="35" t="str">
        <x:v>A</x:v>
      </x:c>
      <x:c r="H3179" s="39" t="str">
        <x:f>IF(ISNUMBER('Data'!N1471),'Data'!N1471*100,"")</x:f>
      </x:c>
      <x:c r="I3179" s="35"/>
      <x:c r="J3179" s="35" t="str">
        <x:v>PASS</x:v>
      </x:c>
      <x:c r="K3179" s="35" t="str">
        <x:v>FAIL</x:v>
      </x:c>
      <x:c r="L3179" s="35" t="str">
        <x:v>NOT_RUN</x:v>
      </x:c>
      <x:c r="M3179" s="35" t="str">
        <x:v>coverage unavailable or execution/compile failed</x:v>
      </x:c>
      <x:c r="N3179" s="35" t="str">
        <x:v>Deepseek-flash-v4/Result2/JxPath_22/result.json</x:v>
      </x:c>
      <x:c r="O3179" s="39" t="str">
        <x:f>IF(AND(G3179="RECORDED",ISNUMBER(H3179)),H3179,"")</x:f>
      </x:c>
      <x:c r="P3179" s="35" t="str">
        <x:v>NOT_AVAILABLE</x:v>
      </x:c>
      <x:c r="Q3179" s="35" t="str">
        <x:v>Deepseek-flash-v4/Result2/JxPath_22/result.json</x:v>
      </x:c>
    </x:row>
    <x:row r="3180">
      <x:c r="A3180" s="35" t="str">
        <x:v>deepseek</x:v>
      </x:c>
      <x:c r="B3180" s="35" t="str">
        <x:v>JxPath</x:v>
      </x:c>
      <x:c r="C3180" s="35" t="str">
        <x:v>Round2</x:v>
      </x:c>
      <x:c r="D3180" s="35" t="str">
        <x:v>JxPath_3</x:v>
      </x:c>
      <x:c r="E3180" s="35" t="str">
        <x:v>Condition</x:v>
      </x:c>
      <x:c r="F3180" s="35" t="n">
        <x:v>26</x:v>
      </x:c>
      <x:c r="G3180" s="35" t="str">
        <x:v>RECORDED</x:v>
      </x:c>
      <x:c r="H3180" s="39" t="n">
        <x:f>IF(ISNUMBER('Data'!N1472),'Data'!N1472*100,"")</x:f>
        <x:v>50</x:v>
      </x:c>
      <x:c r="I3180" s="35" t="str">
        <x:v>PASS</x:v>
      </x:c>
      <x:c r="J3180" s="35" t="str">
        <x:v>PASS</x:v>
      </x:c>
      <x:c r="K3180" s="35" t="str">
        <x:v>PASS</x:v>
      </x:c>
      <x:c r="L3180" s="35" t="str">
        <x:v>FAIL</x:v>
      </x:c>
      <x:c r="M3180" s="35" t="str">
        <x:v>numeric coverage for applicable metric</x:v>
      </x:c>
      <x:c r="N3180" s="35" t="str">
        <x:v>Deepseek-flash-v4/Result2/JxPath_3/result.json</x:v>
      </x:c>
      <x:c r="O3180" s="39" t="n">
        <x:f>IF(AND(G3180="RECORDED",ISNUMBER(H3180)),H3180,"")</x:f>
        <x:v>50</x:v>
      </x:c>
      <x:c r="P3180" s="35" t="str">
        <x:v>INCONCLUSIVE</x:v>
      </x:c>
      <x:c r="Q3180" s="35" t="str">
        <x:v>Deepseek-flash-v4/Result2/JxPath_3/result.json</x:v>
      </x:c>
    </x:row>
    <x:row r="3181">
      <x:c r="A3181" s="35" t="str">
        <x:v>deepseek</x:v>
      </x:c>
      <x:c r="B3181" s="35" t="str">
        <x:v>JxPath</x:v>
      </x:c>
      <x:c r="C3181" s="35" t="str">
        <x:v>Round2</x:v>
      </x:c>
      <x:c r="D3181" s="35" t="str">
        <x:v>JxPath_4</x:v>
      </x:c>
      <x:c r="E3181" s="35" t="str">
        <x:v>Condition</x:v>
      </x:c>
      <x:c r="F3181" s="35"/>
      <x:c r="G3181" s="35" t="str">
        <x:v>A</x:v>
      </x:c>
      <x:c r="H3181" s="39" t="str">
        <x:f>IF(ISNUMBER('Data'!N1473),'Data'!N1473*100,"")</x:f>
      </x:c>
      <x:c r="I3181" s="35"/>
      <x:c r="J3181" s="35" t="str">
        <x:v>PASS</x:v>
      </x:c>
      <x:c r="K3181" s="35" t="str">
        <x:v>FAIL</x:v>
      </x:c>
      <x:c r="L3181" s="35" t="str">
        <x:v>NOT_RUN</x:v>
      </x:c>
      <x:c r="M3181" s="35" t="str">
        <x:v>coverage unavailable or execution/compile failed</x:v>
      </x:c>
      <x:c r="N3181" s="35" t="str">
        <x:v>Deepseek-flash-v4/Result2/JxPath_4/result.json</x:v>
      </x:c>
      <x:c r="O3181" s="39" t="str">
        <x:f>IF(AND(G3181="RECORDED",ISNUMBER(H3181)),H3181,"")</x:f>
      </x:c>
      <x:c r="P3181" s="35" t="str">
        <x:v>NOT_AVAILABLE</x:v>
      </x:c>
      <x:c r="Q3181" s="35" t="str">
        <x:v>Deepseek-flash-v4/Result2/JxPath_4/result.json</x:v>
      </x:c>
    </x:row>
    <x:row r="3182">
      <x:c r="A3182" s="35" t="str">
        <x:v>deepseek</x:v>
      </x:c>
      <x:c r="B3182" s="35" t="str">
        <x:v>JxPath</x:v>
      </x:c>
      <x:c r="C3182" s="35" t="str">
        <x:v>Round2</x:v>
      </x:c>
      <x:c r="D3182" s="35" t="str">
        <x:v>JxPath_5</x:v>
      </x:c>
      <x:c r="E3182" s="35" t="str">
        <x:v>Condition</x:v>
      </x:c>
      <x:c r="F3182" s="35"/>
      <x:c r="G3182" s="35" t="str">
        <x:v>A</x:v>
      </x:c>
      <x:c r="H3182" s="39" t="str">
        <x:f>IF(ISNUMBER('Data'!N1474),'Data'!N1474*100,"")</x:f>
      </x:c>
      <x:c r="I3182" s="35"/>
      <x:c r="J3182" s="35" t="str">
        <x:v>PASS</x:v>
      </x:c>
      <x:c r="K3182" s="35" t="str">
        <x:v>FAIL</x:v>
      </x:c>
      <x:c r="L3182" s="35" t="str">
        <x:v>NOT_RUN</x:v>
      </x:c>
      <x:c r="M3182" s="35" t="str">
        <x:v>coverage unavailable or execution/compile failed</x:v>
      </x:c>
      <x:c r="N3182" s="35" t="str">
        <x:v>Deepseek-flash-v4/Result2/JxPath_5/result.json</x:v>
      </x:c>
      <x:c r="O3182" s="39" t="str">
        <x:f>IF(AND(G3182="RECORDED",ISNUMBER(H3182)),H3182,"")</x:f>
      </x:c>
      <x:c r="P3182" s="35" t="str">
        <x:v>NOT_AVAILABLE</x:v>
      </x:c>
      <x:c r="Q3182" s="35" t="str">
        <x:v>Deepseek-flash-v4/Result2/JxPath_5/result.json</x:v>
      </x:c>
    </x:row>
    <x:row r="3183">
      <x:c r="A3183" s="35" t="str">
        <x:v>deepseek</x:v>
      </x:c>
      <x:c r="B3183" s="35" t="str">
        <x:v>JxPath</x:v>
      </x:c>
      <x:c r="C3183" s="35" t="str">
        <x:v>Round2</x:v>
      </x:c>
      <x:c r="D3183" s="35" t="str">
        <x:v>JxPath_6</x:v>
      </x:c>
      <x:c r="E3183" s="35" t="str">
        <x:v>Condition</x:v>
      </x:c>
      <x:c r="F3183" s="35"/>
      <x:c r="G3183" s="35" t="str">
        <x:v>A</x:v>
      </x:c>
      <x:c r="H3183" s="39" t="str">
        <x:f>IF(ISNUMBER('Data'!N1475),'Data'!N1475*100,"")</x:f>
      </x:c>
      <x:c r="I3183" s="35"/>
      <x:c r="J3183" s="35" t="str">
        <x:v>PASS</x:v>
      </x:c>
      <x:c r="K3183" s="35" t="str">
        <x:v>FAIL</x:v>
      </x:c>
      <x:c r="L3183" s="35" t="str">
        <x:v>NOT_RUN</x:v>
      </x:c>
      <x:c r="M3183" s="35" t="str">
        <x:v>coverage unavailable or execution/compile failed</x:v>
      </x:c>
      <x:c r="N3183" s="35" t="str">
        <x:v>Deepseek-flash-v4/Result2/JxPath_6/result.json</x:v>
      </x:c>
      <x:c r="O3183" s="39" t="str">
        <x:f>IF(AND(G3183="RECORDED",ISNUMBER(H3183)),H3183,"")</x:f>
      </x:c>
      <x:c r="P3183" s="35" t="str">
        <x:v>NOT_AVAILABLE</x:v>
      </x:c>
      <x:c r="Q3183" s="35" t="str">
        <x:v>Deepseek-flash-v4/Result2/JxPath_6/result.json</x:v>
      </x:c>
    </x:row>
    <x:row r="3184">
      <x:c r="A3184" s="35" t="str">
        <x:v>deepseek</x:v>
      </x:c>
      <x:c r="B3184" s="35" t="str">
        <x:v>JxPath</x:v>
      </x:c>
      <x:c r="C3184" s="35" t="str">
        <x:v>Round2</x:v>
      </x:c>
      <x:c r="D3184" s="35" t="str">
        <x:v>JxPath_7</x:v>
      </x:c>
      <x:c r="E3184" s="35" t="str">
        <x:v>Condition</x:v>
      </x:c>
      <x:c r="F3184" s="35"/>
      <x:c r="G3184" s="35" t="str">
        <x:v>A</x:v>
      </x:c>
      <x:c r="H3184" s="39" t="str">
        <x:f>IF(ISNUMBER('Data'!N1476),'Data'!N1476*100,"")</x:f>
      </x:c>
      <x:c r="I3184" s="35"/>
      <x:c r="J3184" s="35" t="str">
        <x:v>PASS</x:v>
      </x:c>
      <x:c r="K3184" s="35" t="str">
        <x:v>FAIL</x:v>
      </x:c>
      <x:c r="L3184" s="35" t="str">
        <x:v>NOT_RUN</x:v>
      </x:c>
      <x:c r="M3184" s="35" t="str">
        <x:v>coverage unavailable or execution/compile failed</x:v>
      </x:c>
      <x:c r="N3184" s="35" t="str">
        <x:v>Deepseek-flash-v4/Result2/JxPath_7/result.json</x:v>
      </x:c>
      <x:c r="O3184" s="39" t="str">
        <x:f>IF(AND(G3184="RECORDED",ISNUMBER(H3184)),H3184,"")</x:f>
      </x:c>
      <x:c r="P3184" s="35" t="str">
        <x:v>NOT_AVAILABLE</x:v>
      </x:c>
      <x:c r="Q3184" s="35" t="str">
        <x:v>Deepseek-flash-v4/Result2/JxPath_7/result.json</x:v>
      </x:c>
    </x:row>
    <x:row r="3185">
      <x:c r="A3185" s="35" t="str">
        <x:v>deepseek</x:v>
      </x:c>
      <x:c r="B3185" s="35" t="str">
        <x:v>JxPath</x:v>
      </x:c>
      <x:c r="C3185" s="35" t="str">
        <x:v>Round2</x:v>
      </x:c>
      <x:c r="D3185" s="35" t="str">
        <x:v>JxPath_8</x:v>
      </x:c>
      <x:c r="E3185" s="35" t="str">
        <x:v>Condition</x:v>
      </x:c>
      <x:c r="F3185" s="35"/>
      <x:c r="G3185" s="35" t="str">
        <x:v>A</x:v>
      </x:c>
      <x:c r="H3185" s="39" t="str">
        <x:f>IF(ISNUMBER('Data'!N1477),'Data'!N1477*100,"")</x:f>
      </x:c>
      <x:c r="I3185" s="35"/>
      <x:c r="J3185" s="35" t="str">
        <x:v>PASS</x:v>
      </x:c>
      <x:c r="K3185" s="35" t="str">
        <x:v>FAIL</x:v>
      </x:c>
      <x:c r="L3185" s="35" t="str">
        <x:v>NOT_RUN</x:v>
      </x:c>
      <x:c r="M3185" s="35" t="str">
        <x:v>coverage unavailable or execution/compile failed</x:v>
      </x:c>
      <x:c r="N3185" s="35" t="str">
        <x:v>Deepseek-flash-v4/Result2/JxPath_8/result.json</x:v>
      </x:c>
      <x:c r="O3185" s="39" t="str">
        <x:f>IF(AND(G3185="RECORDED",ISNUMBER(H3185)),H3185,"")</x:f>
      </x:c>
      <x:c r="P3185" s="35" t="str">
        <x:v>NOT_AVAILABLE</x:v>
      </x:c>
      <x:c r="Q3185" s="35" t="str">
        <x:v>Deepseek-flash-v4/Result2/JxPath_8/result.json</x:v>
      </x:c>
    </x:row>
    <x:row r="3186">
      <x:c r="A3186" s="35" t="str">
        <x:v>deepseek</x:v>
      </x:c>
      <x:c r="B3186" s="35" t="str">
        <x:v>JxPath</x:v>
      </x:c>
      <x:c r="C3186" s="35" t="str">
        <x:v>Round2</x:v>
      </x:c>
      <x:c r="D3186" s="35" t="str">
        <x:v>JxPath_9</x:v>
      </x:c>
      <x:c r="E3186" s="35" t="str">
        <x:v>Condition</x:v>
      </x:c>
      <x:c r="F3186" s="35"/>
      <x:c r="G3186" s="35" t="str">
        <x:v>A</x:v>
      </x:c>
      <x:c r="H3186" s="39" t="str">
        <x:f>IF(ISNUMBER('Data'!N1478),'Data'!N1478*100,"")</x:f>
      </x:c>
      <x:c r="I3186" s="35"/>
      <x:c r="J3186" s="35" t="str">
        <x:v>PASS</x:v>
      </x:c>
      <x:c r="K3186" s="35" t="str">
        <x:v>FAIL</x:v>
      </x:c>
      <x:c r="L3186" s="35" t="str">
        <x:v>NOT_RUN</x:v>
      </x:c>
      <x:c r="M3186" s="35" t="str">
        <x:v>coverage unavailable or execution/compile failed</x:v>
      </x:c>
      <x:c r="N3186" s="35" t="str">
        <x:v>Deepseek-flash-v4/Result2/JxPath_9/result.json</x:v>
      </x:c>
      <x:c r="O3186" s="39" t="str">
        <x:f>IF(AND(G3186="RECORDED",ISNUMBER(H3186)),H3186,"")</x:f>
      </x:c>
      <x:c r="P3186" s="35" t="str">
        <x:v>NOT_AVAILABLE</x:v>
      </x:c>
      <x:c r="Q3186" s="35" t="str">
        <x:v>Deepseek-flash-v4/Result2/JxPath_9/result.json</x:v>
      </x:c>
    </x:row>
    <x:row r="3187">
      <x:c r="A3187" s="35" t="str">
        <x:v>deepseek</x:v>
      </x:c>
      <x:c r="B3187" s="35" t="str">
        <x:v>Lang</x:v>
      </x:c>
      <x:c r="C3187" s="35" t="str">
        <x:v>Round2</x:v>
      </x:c>
      <x:c r="D3187" s="35" t="str">
        <x:v>Lang_1</x:v>
      </x:c>
      <x:c r="E3187" s="35" t="str">
        <x:v>Condition</x:v>
      </x:c>
      <x:c r="F3187" s="35" t="n">
        <x:v>338</x:v>
      </x:c>
      <x:c r="G3187" s="35" t="str">
        <x:v>RECORDED</x:v>
      </x:c>
      <x:c r="H3187" s="39" t="n">
        <x:f>IF(ISNUMBER('Data'!N1479),'Data'!N1479*100,"")</x:f>
        <x:v>60.650000000000006</x:v>
      </x:c>
      <x:c r="I3187" s="35" t="str">
        <x:v>PASS</x:v>
      </x:c>
      <x:c r="J3187" s="35" t="str">
        <x:v>PASS</x:v>
      </x:c>
      <x:c r="K3187" s="35" t="str">
        <x:v>PASS</x:v>
      </x:c>
      <x:c r="L3187" s="35" t="str">
        <x:v>PASS</x:v>
      </x:c>
      <x:c r="M3187" s="35" t="str">
        <x:v>numeric coverage for applicable metric</x:v>
      </x:c>
      <x:c r="N3187" s="35" t="str">
        <x:v>Deepseek-flash-v4/Result2/Lang_1/result.json</x:v>
      </x:c>
      <x:c r="O3187" s="39" t="n">
        <x:f>IF(AND(G3187="RECORDED",ISNUMBER(H3187)),H3187,"")</x:f>
        <x:v>60.650000000000006</x:v>
      </x:c>
      <x:c r="P3187" s="35" t="str">
        <x:v>NOT_REVEALING</x:v>
      </x:c>
      <x:c r="Q3187" s="35" t="str">
        <x:v>Deepseek-flash-v4/Result2/Lang_1/result.json</x:v>
      </x:c>
    </x:row>
    <x:row r="3188">
      <x:c r="A3188" s="35" t="str">
        <x:v>deepseek</x:v>
      </x:c>
      <x:c r="B3188" s="35" t="str">
        <x:v>Lang</x:v>
      </x:c>
      <x:c r="C3188" s="35" t="str">
        <x:v>Round2</x:v>
      </x:c>
      <x:c r="D3188" s="35" t="str">
        <x:v>Lang_10</x:v>
      </x:c>
      <x:c r="E3188" s="35" t="str">
        <x:v>Condition</x:v>
      </x:c>
      <x:c r="F3188" s="35" t="n">
        <x:v>127</x:v>
      </x:c>
      <x:c r="G3188" s="35" t="str">
        <x:v>RECORDED</x:v>
      </x:c>
      <x:c r="H3188" s="39" t="n">
        <x:f>IF(ISNUMBER('Data'!N1480),'Data'!N1480*100,"")</x:f>
        <x:v>69.29</x:v>
      </x:c>
      <x:c r="I3188" s="35" t="str">
        <x:v>PASS</x:v>
      </x:c>
      <x:c r="J3188" s="35" t="str">
        <x:v>PASS</x:v>
      </x:c>
      <x:c r="K3188" s="35" t="str">
        <x:v>PASS</x:v>
      </x:c>
      <x:c r="L3188" s="35" t="str">
        <x:v>PASS</x:v>
      </x:c>
      <x:c r="M3188" s="35" t="str">
        <x:v>numeric coverage for applicable metric</x:v>
      </x:c>
      <x:c r="N3188" s="35" t="str">
        <x:v>Deepseek-flash-v4/Result2/Lang_10/result.json</x:v>
      </x:c>
      <x:c r="O3188" s="39" t="n">
        <x:f>IF(AND(G3188="RECORDED",ISNUMBER(H3188)),H3188,"")</x:f>
        <x:v>69.29</x:v>
      </x:c>
      <x:c r="P3188" s="35" t="str">
        <x:v>NOT_REVEALING</x:v>
      </x:c>
      <x:c r="Q3188" s="35" t="str">
        <x:v>Deepseek-flash-v4/Result2/Lang_10/result.json</x:v>
      </x:c>
    </x:row>
    <x:row r="3189">
      <x:c r="A3189" s="35" t="str">
        <x:v>deepseek</x:v>
      </x:c>
      <x:c r="B3189" s="35" t="str">
        <x:v>Lang</x:v>
      </x:c>
      <x:c r="C3189" s="35" t="str">
        <x:v>Round2</x:v>
      </x:c>
      <x:c r="D3189" s="35" t="str">
        <x:v>Lang_11</x:v>
      </x:c>
      <x:c r="E3189" s="35" t="str">
        <x:v>Condition</x:v>
      </x:c>
      <x:c r="F3189" s="35" t="n">
        <x:v>54</x:v>
      </x:c>
      <x:c r="G3189" s="35" t="str">
        <x:v>RECORDED</x:v>
      </x:c>
      <x:c r="H3189" s="39" t="n">
        <x:f>IF(ISNUMBER('Data'!N1481),'Data'!N1481*100,"")</x:f>
        <x:v>90.74</x:v>
      </x:c>
      <x:c r="I3189" s="35" t="str">
        <x:v>PASS</x:v>
      </x:c>
      <x:c r="J3189" s="35" t="str">
        <x:v>PASS</x:v>
      </x:c>
      <x:c r="K3189" s="35" t="str">
        <x:v>PASS</x:v>
      </x:c>
      <x:c r="L3189" s="35" t="str">
        <x:v>PASS</x:v>
      </x:c>
      <x:c r="M3189" s="35" t="str">
        <x:v>numeric coverage for applicable metric</x:v>
      </x:c>
      <x:c r="N3189" s="35" t="str">
        <x:v>Deepseek-flash-v4/Result2/Lang_11/result.json</x:v>
      </x:c>
      <x:c r="O3189" s="39" t="n">
        <x:f>IF(AND(G3189="RECORDED",ISNUMBER(H3189)),H3189,"")</x:f>
        <x:v>90.74</x:v>
      </x:c>
      <x:c r="P3189" s="35" t="str">
        <x:v>NOT_REVEALING</x:v>
      </x:c>
      <x:c r="Q3189" s="35" t="str">
        <x:v>Deepseek-flash-v4/Result2/Lang_11/result.json</x:v>
      </x:c>
    </x:row>
    <x:row r="3190">
      <x:c r="A3190" s="35" t="str">
        <x:v>deepseek</x:v>
      </x:c>
      <x:c r="B3190" s="35" t="str">
        <x:v>Lang</x:v>
      </x:c>
      <x:c r="C3190" s="35" t="str">
        <x:v>Round2</x:v>
      </x:c>
      <x:c r="D3190" s="35" t="str">
        <x:v>Lang_12</x:v>
      </x:c>
      <x:c r="E3190" s="35" t="str">
        <x:v>Condition</x:v>
      </x:c>
      <x:c r="F3190" s="35"/>
      <x:c r="G3190" s="35" t="str">
        <x:v>A</x:v>
      </x:c>
      <x:c r="H3190" s="39" t="str">
        <x:f>IF(ISNUMBER('Data'!N1482),'Data'!N1482*100,"")</x:f>
      </x:c>
      <x:c r="I3190" s="35"/>
      <x:c r="J3190" s="35" t="str">
        <x:v>PASS</x:v>
      </x:c>
      <x:c r="K3190" s="35" t="str">
        <x:v>PASS</x:v>
      </x:c>
      <x:c r="L3190" s="35" t="str">
        <x:v>NOT_RUN</x:v>
      </x:c>
      <x:c r="M3190" s="35" t="str">
        <x:v>coverage unavailable or execution/compile failed</x:v>
      </x:c>
      <x:c r="N3190" s="35" t="str">
        <x:v>Deepseek-flash-v4/Result2/Lang_12/result.json</x:v>
      </x:c>
      <x:c r="O3190" s="39" t="str">
        <x:f>IF(AND(G3190="RECORDED",ISNUMBER(H3190)),H3190,"")</x:f>
      </x:c>
      <x:c r="P3190" s="35" t="str">
        <x:v>NOT_AVAILABLE</x:v>
      </x:c>
      <x:c r="Q3190" s="35" t="str">
        <x:v>Deepseek-flash-v4/Result2/Lang_12/result.json</x:v>
      </x:c>
    </x:row>
    <x:row r="3191">
      <x:c r="A3191" s="35" t="str">
        <x:v>deepseek</x:v>
      </x:c>
      <x:c r="B3191" s="35" t="str">
        <x:v>Lang</x:v>
      </x:c>
      <x:c r="C3191" s="35" t="str">
        <x:v>Round2</x:v>
      </x:c>
      <x:c r="D3191" s="35" t="str">
        <x:v>Lang_13</x:v>
      </x:c>
      <x:c r="E3191" s="35" t="str">
        <x:v>Condition</x:v>
      </x:c>
      <x:c r="F3191" s="35" t="n">
        <x:v>14</x:v>
      </x:c>
      <x:c r="G3191" s="35" t="str">
        <x:v>RECORDED</x:v>
      </x:c>
      <x:c r="H3191" s="39" t="n">
        <x:f>IF(ISNUMBER('Data'!N1483),'Data'!N1483*100,"")</x:f>
        <x:v>85.71</x:v>
      </x:c>
      <x:c r="I3191" s="35" t="str">
        <x:v>PASS</x:v>
      </x:c>
      <x:c r="J3191" s="35" t="str">
        <x:v>PASS</x:v>
      </x:c>
      <x:c r="K3191" s="35" t="str">
        <x:v>PASS</x:v>
      </x:c>
      <x:c r="L3191" s="35" t="str">
        <x:v>FAIL</x:v>
      </x:c>
      <x:c r="M3191" s="35" t="str">
        <x:v>numeric coverage for applicable metric</x:v>
      </x:c>
      <x:c r="N3191" s="35" t="str">
        <x:v>Deepseek-flash-v4/Result2/Lang_13/result.json</x:v>
      </x:c>
      <x:c r="O3191" s="39" t="n">
        <x:f>IF(AND(G3191="RECORDED",ISNUMBER(H3191)),H3191,"")</x:f>
        <x:v>85.71</x:v>
      </x:c>
      <x:c r="P3191" s="35" t="str">
        <x:v>INCONCLUSIVE</x:v>
      </x:c>
      <x:c r="Q3191" s="35" t="str">
        <x:v>Deepseek-flash-v4/Result2/Lang_13/result.json</x:v>
      </x:c>
    </x:row>
    <x:row r="3192">
      <x:c r="A3192" s="35" t="str">
        <x:v>deepseek</x:v>
      </x:c>
      <x:c r="B3192" s="35" t="str">
        <x:v>Lang</x:v>
      </x:c>
      <x:c r="C3192" s="35" t="str">
        <x:v>Round2</x:v>
      </x:c>
      <x:c r="D3192" s="35" t="str">
        <x:v>Lang_14</x:v>
      </x:c>
      <x:c r="E3192" s="35" t="str">
        <x:v>Condition</x:v>
      </x:c>
      <x:c r="F3192" s="35" t="n">
        <x:v>1141</x:v>
      </x:c>
      <x:c r="G3192" s="35" t="str">
        <x:v>RECORDED</x:v>
      </x:c>
      <x:c r="H3192" s="39" t="n">
        <x:f>IF(ISNUMBER('Data'!N1484),'Data'!N1484*100,"")</x:f>
        <x:v>70.64</x:v>
      </x:c>
      <x:c r="I3192" s="35" t="str">
        <x:v>PASS</x:v>
      </x:c>
      <x:c r="J3192" s="35" t="str">
        <x:v>PASS</x:v>
      </x:c>
      <x:c r="K3192" s="35" t="str">
        <x:v>PASS</x:v>
      </x:c>
      <x:c r="L3192" s="35" t="str">
        <x:v>FAIL</x:v>
      </x:c>
      <x:c r="M3192" s="35" t="str">
        <x:v>numeric coverage for applicable metric</x:v>
      </x:c>
      <x:c r="N3192" s="35" t="str">
        <x:v>Deepseek-flash-v4/Result2/Lang_14/result.json</x:v>
      </x:c>
      <x:c r="O3192" s="39" t="n">
        <x:f>IF(AND(G3192="RECORDED",ISNUMBER(H3192)),H3192,"")</x:f>
        <x:v>70.64</x:v>
      </x:c>
      <x:c r="P3192" s="35" t="str">
        <x:v>INCONCLUSIVE</x:v>
      </x:c>
      <x:c r="Q3192" s="35" t="str">
        <x:v>Deepseek-flash-v4/Result2/Lang_14/result.json</x:v>
      </x:c>
    </x:row>
    <x:row r="3193">
      <x:c r="A3193" s="35" t="str">
        <x:v>deepseek</x:v>
      </x:c>
      <x:c r="B3193" s="35" t="str">
        <x:v>Lang</x:v>
      </x:c>
      <x:c r="C3193" s="35" t="str">
        <x:v>Round2</x:v>
      </x:c>
      <x:c r="D3193" s="35" t="str">
        <x:v>Lang_15</x:v>
      </x:c>
      <x:c r="E3193" s="35" t="str">
        <x:v>Condition</x:v>
      </x:c>
      <x:c r="F3193" s="35" t="n">
        <x:v>284</x:v>
      </x:c>
      <x:c r="G3193" s="35" t="str">
        <x:v>RECORDED</x:v>
      </x:c>
      <x:c r="H3193" s="39" t="n">
        <x:f>IF(ISNUMBER('Data'!N1485),'Data'!N1485*100,"")</x:f>
        <x:v>50.7</x:v>
      </x:c>
      <x:c r="I3193" s="35" t="str">
        <x:v>PASS</x:v>
      </x:c>
      <x:c r="J3193" s="35" t="str">
        <x:v>PASS</x:v>
      </x:c>
      <x:c r="K3193" s="35" t="str">
        <x:v>PASS</x:v>
      </x:c>
      <x:c r="L3193" s="35" t="str">
        <x:v>FAIL</x:v>
      </x:c>
      <x:c r="M3193" s="35" t="str">
        <x:v>numeric coverage for applicable metric</x:v>
      </x:c>
      <x:c r="N3193" s="35" t="str">
        <x:v>Deepseek-flash-v4/Result2/Lang_15/result.json</x:v>
      </x:c>
      <x:c r="O3193" s="39" t="n">
        <x:f>IF(AND(G3193="RECORDED",ISNUMBER(H3193)),H3193,"")</x:f>
        <x:v>50.7</x:v>
      </x:c>
      <x:c r="P3193" s="35" t="str">
        <x:v>INCONCLUSIVE</x:v>
      </x:c>
      <x:c r="Q3193" s="35" t="str">
        <x:v>Deepseek-flash-v4/Result2/Lang_15/result.json</x:v>
      </x:c>
    </x:row>
    <x:row r="3194">
      <x:c r="A3194" s="35" t="str">
        <x:v>deepseek</x:v>
      </x:c>
      <x:c r="B3194" s="35" t="str">
        <x:v>Lang</x:v>
      </x:c>
      <x:c r="C3194" s="35" t="str">
        <x:v>Round2</x:v>
      </x:c>
      <x:c r="D3194" s="35" t="str">
        <x:v>Lang_16</x:v>
      </x:c>
      <x:c r="E3194" s="35" t="str">
        <x:v>Condition</x:v>
      </x:c>
      <x:c r="F3194" s="35" t="n">
        <x:v>358</x:v>
      </x:c>
      <x:c r="G3194" s="35" t="str">
        <x:v>RECORDED</x:v>
      </x:c>
      <x:c r="H3194" s="39" t="n">
        <x:f>IF(ISNUMBER('Data'!N1486),'Data'!N1486*100,"")</x:f>
        <x:v>62.01</x:v>
      </x:c>
      <x:c r="I3194" s="35" t="str">
        <x:v>PASS</x:v>
      </x:c>
      <x:c r="J3194" s="35" t="str">
        <x:v>PASS</x:v>
      </x:c>
      <x:c r="K3194" s="35" t="str">
        <x:v>PASS</x:v>
      </x:c>
      <x:c r="L3194" s="35" t="str">
        <x:v>FAIL</x:v>
      </x:c>
      <x:c r="M3194" s="35" t="str">
        <x:v>numeric coverage for applicable metric</x:v>
      </x:c>
      <x:c r="N3194" s="35" t="str">
        <x:v>Deepseek-flash-v4/Result2/Lang_16/result.json</x:v>
      </x:c>
      <x:c r="O3194" s="39" t="n">
        <x:f>IF(AND(G3194="RECORDED",ISNUMBER(H3194)),H3194,"")</x:f>
        <x:v>62.01</x:v>
      </x:c>
      <x:c r="P3194" s="35" t="str">
        <x:v>INCONCLUSIVE</x:v>
      </x:c>
      <x:c r="Q3194" s="35" t="str">
        <x:v>Deepseek-flash-v4/Result2/Lang_16/result.json</x:v>
      </x:c>
    </x:row>
    <x:row r="3195">
      <x:c r="A3195" s="35" t="str">
        <x:v>deepseek</x:v>
      </x:c>
      <x:c r="B3195" s="35" t="str">
        <x:v>Lang</x:v>
      </x:c>
      <x:c r="C3195" s="35" t="str">
        <x:v>Round2</x:v>
      </x:c>
      <x:c r="D3195" s="35" t="str">
        <x:v>Lang_17</x:v>
      </x:c>
      <x:c r="E3195" s="35" t="str">
        <x:v>Condition</x:v>
      </x:c>
      <x:c r="F3195" s="35"/>
      <x:c r="G3195" s="35" t="str">
        <x:v>A</x:v>
      </x:c>
      <x:c r="H3195" s="39" t="str">
        <x:f>IF(ISNUMBER('Data'!N1487),'Data'!N1487*100,"")</x:f>
      </x:c>
      <x:c r="I3195" s="35"/>
      <x:c r="J3195" s="35" t="str">
        <x:v>PASS</x:v>
      </x:c>
      <x:c r="K3195" s="35" t="str">
        <x:v>FAIL</x:v>
      </x:c>
      <x:c r="L3195" s="35" t="str">
        <x:v>NOT_RUN</x:v>
      </x:c>
      <x:c r="M3195" s="35" t="str">
        <x:v>coverage unavailable or execution/compile failed</x:v>
      </x:c>
      <x:c r="N3195" s="35" t="str">
        <x:v>Deepseek-flash-v4/Result2/Lang_17/result.json</x:v>
      </x:c>
      <x:c r="O3195" s="39" t="str">
        <x:f>IF(AND(G3195="RECORDED",ISNUMBER(H3195)),H3195,"")</x:f>
      </x:c>
      <x:c r="P3195" s="35" t="str">
        <x:v>NOT_AVAILABLE</x:v>
      </x:c>
      <x:c r="Q3195" s="35" t="str">
        <x:v>Deepseek-flash-v4/Result2/Lang_17/result.json</x:v>
      </x:c>
    </x:row>
    <x:row r="3196">
      <x:c r="A3196" s="35" t="str">
        <x:v>deepseek</x:v>
      </x:c>
      <x:c r="B3196" s="35" t="str">
        <x:v>Lang</x:v>
      </x:c>
      <x:c r="C3196" s="35" t="str">
        <x:v>Round2</x:v>
      </x:c>
      <x:c r="D3196" s="35" t="str">
        <x:v>Lang_19</x:v>
      </x:c>
      <x:c r="E3196" s="35" t="str">
        <x:v>Condition</x:v>
      </x:c>
      <x:c r="F3196" s="35" t="n">
        <x:v>18</x:v>
      </x:c>
      <x:c r="G3196" s="35" t="str">
        <x:v>RECORDED</x:v>
      </x:c>
      <x:c r="H3196" s="39" t="n">
        <x:f>IF(ISNUMBER('Data'!N1488),'Data'!N1488*100,"")</x:f>
        <x:v>94.44</x:v>
      </x:c>
      <x:c r="I3196" s="35" t="str">
        <x:v>PASS</x:v>
      </x:c>
      <x:c r="J3196" s="35" t="str">
        <x:v>PASS</x:v>
      </x:c>
      <x:c r="K3196" s="35" t="str">
        <x:v>PASS</x:v>
      </x:c>
      <x:c r="L3196" s="35" t="str">
        <x:v>FAIL</x:v>
      </x:c>
      <x:c r="M3196" s="35" t="str">
        <x:v>numeric coverage for applicable metric</x:v>
      </x:c>
      <x:c r="N3196" s="35" t="str">
        <x:v>Deepseek-flash-v4/Result2/Lang_19/result.json</x:v>
      </x:c>
      <x:c r="O3196" s="39" t="n">
        <x:f>IF(AND(G3196="RECORDED",ISNUMBER(H3196)),H3196,"")</x:f>
        <x:v>94.44</x:v>
      </x:c>
      <x:c r="P3196" s="35" t="str">
        <x:v>INCONCLUSIVE</x:v>
      </x:c>
      <x:c r="Q3196" s="35" t="str">
        <x:v>Deepseek-flash-v4/Result2/Lang_19/result.json</x:v>
      </x:c>
    </x:row>
    <x:row r="3197">
      <x:c r="A3197" s="35" t="str">
        <x:v>deepseek</x:v>
      </x:c>
      <x:c r="B3197" s="35" t="str">
        <x:v>Lang</x:v>
      </x:c>
      <x:c r="C3197" s="35" t="str">
        <x:v>Round2</x:v>
      </x:c>
      <x:c r="D3197" s="35" t="str">
        <x:v>Lang_20</x:v>
      </x:c>
      <x:c r="E3197" s="35" t="str">
        <x:v>Condition</x:v>
      </x:c>
      <x:c r="F3197" s="35" t="n">
        <x:v>1149</x:v>
      </x:c>
      <x:c r="G3197" s="35" t="str">
        <x:v>RECORDED</x:v>
      </x:c>
      <x:c r="H3197" s="39" t="n">
        <x:f>IF(ISNUMBER('Data'!N1489),'Data'!N1489*100,"")</x:f>
        <x:v>34.73</x:v>
      </x:c>
      <x:c r="I3197" s="35" t="str">
        <x:v>PASS</x:v>
      </x:c>
      <x:c r="J3197" s="35" t="str">
        <x:v>PASS</x:v>
      </x:c>
      <x:c r="K3197" s="35" t="str">
        <x:v>PASS</x:v>
      </x:c>
      <x:c r="L3197" s="35" t="str">
        <x:v>PASS</x:v>
      </x:c>
      <x:c r="M3197" s="35" t="str">
        <x:v>numeric coverage for applicable metric</x:v>
      </x:c>
      <x:c r="N3197" s="35" t="str">
        <x:v>Deepseek-flash-v4/Result2/Lang_20/result.json</x:v>
      </x:c>
      <x:c r="O3197" s="39" t="n">
        <x:f>IF(AND(G3197="RECORDED",ISNUMBER(H3197)),H3197,"")</x:f>
        <x:v>34.73</x:v>
      </x:c>
      <x:c r="P3197" s="35" t="str">
        <x:v>NOT_REVEALING</x:v>
      </x:c>
      <x:c r="Q3197" s="35" t="str">
        <x:v>Deepseek-flash-v4/Result2/Lang_20/result.json</x:v>
      </x:c>
    </x:row>
    <x:row r="3198">
      <x:c r="A3198" s="35" t="str">
        <x:v>deepseek</x:v>
      </x:c>
      <x:c r="B3198" s="35" t="str">
        <x:v>Lang</x:v>
      </x:c>
      <x:c r="C3198" s="35" t="str">
        <x:v>Round2</x:v>
      </x:c>
      <x:c r="D3198" s="35" t="str">
        <x:v>Lang_21</x:v>
      </x:c>
      <x:c r="E3198" s="35" t="str">
        <x:v>Condition</x:v>
      </x:c>
      <x:c r="F3198" s="35"/>
      <x:c r="G3198" s="35" t="str">
        <x:v>A</x:v>
      </x:c>
      <x:c r="H3198" s="39" t="str">
        <x:f>IF(ISNUMBER('Data'!N1490),'Data'!N1490*100,"")</x:f>
      </x:c>
      <x:c r="I3198" s="35"/>
      <x:c r="J3198" s="35" t="str">
        <x:v>PASS</x:v>
      </x:c>
      <x:c r="K3198" s="35" t="str">
        <x:v>FAIL</x:v>
      </x:c>
      <x:c r="L3198" s="35" t="str">
        <x:v>NOT_RUN</x:v>
      </x:c>
      <x:c r="M3198" s="35" t="str">
        <x:v>coverage unavailable or execution/compile failed</x:v>
      </x:c>
      <x:c r="N3198" s="35" t="str">
        <x:v>Deepseek-flash-v4/Result2/Lang_21/result.json</x:v>
      </x:c>
      <x:c r="O3198" s="39" t="str">
        <x:f>IF(AND(G3198="RECORDED",ISNUMBER(H3198)),H3198,"")</x:f>
      </x:c>
      <x:c r="P3198" s="35" t="str">
        <x:v>NOT_AVAILABLE</x:v>
      </x:c>
      <x:c r="Q3198" s="35" t="str">
        <x:v>Deepseek-flash-v4/Result2/Lang_21/result.json</x:v>
      </x:c>
    </x:row>
    <x:row r="3199">
      <x:c r="A3199" s="35" t="str">
        <x:v>deepseek</x:v>
      </x:c>
      <x:c r="B3199" s="35" t="str">
        <x:v>Lang</x:v>
      </x:c>
      <x:c r="C3199" s="35" t="str">
        <x:v>Round2</x:v>
      </x:c>
      <x:c r="D3199" s="35" t="str">
        <x:v>Lang_22</x:v>
      </x:c>
      <x:c r="E3199" s="35" t="str">
        <x:v>Condition</x:v>
      </x:c>
      <x:c r="F3199" s="35"/>
      <x:c r="G3199" s="35" t="str">
        <x:v>A</x:v>
      </x:c>
      <x:c r="H3199" s="39" t="str">
        <x:f>IF(ISNUMBER('Data'!N1491),'Data'!N1491*100,"")</x:f>
      </x:c>
      <x:c r="I3199" s="35"/>
      <x:c r="J3199" s="35" t="str">
        <x:v>PASS</x:v>
      </x:c>
      <x:c r="K3199" s="35" t="str">
        <x:v>FAIL</x:v>
      </x:c>
      <x:c r="L3199" s="35" t="str">
        <x:v>NOT_RUN</x:v>
      </x:c>
      <x:c r="M3199" s="35" t="str">
        <x:v>coverage unavailable or execution/compile failed</x:v>
      </x:c>
      <x:c r="N3199" s="35" t="str">
        <x:v>Deepseek-flash-v4/Result2/Lang_22/result.json</x:v>
      </x:c>
      <x:c r="O3199" s="39" t="str">
        <x:f>IF(AND(G3199="RECORDED",ISNUMBER(H3199)),H3199,"")</x:f>
      </x:c>
      <x:c r="P3199" s="35" t="str">
        <x:v>NOT_AVAILABLE</x:v>
      </x:c>
      <x:c r="Q3199" s="35" t="str">
        <x:v>Deepseek-flash-v4/Result2/Lang_22/result.json</x:v>
      </x:c>
    </x:row>
    <x:row r="3200">
      <x:c r="A3200" s="35" t="str">
        <x:v>deepseek</x:v>
      </x:c>
      <x:c r="B3200" s="35" t="str">
        <x:v>Lang</x:v>
      </x:c>
      <x:c r="C3200" s="35" t="str">
        <x:v>Round2</x:v>
      </x:c>
      <x:c r="D3200" s="35" t="str">
        <x:v>Lang_23</x:v>
      </x:c>
      <x:c r="E3200" s="35" t="str">
        <x:v>Condition</x:v>
      </x:c>
      <x:c r="F3200" s="35" t="n">
        <x:v>99</x:v>
      </x:c>
      <x:c r="G3200" s="35" t="str">
        <x:v>RECORDED</x:v>
      </x:c>
      <x:c r="H3200" s="39" t="n">
        <x:f>IF(ISNUMBER('Data'!N1492),'Data'!N1492*100,"")</x:f>
        <x:v>30.3</x:v>
      </x:c>
      <x:c r="I3200" s="35" t="str">
        <x:v>PASS</x:v>
      </x:c>
      <x:c r="J3200" s="35" t="str">
        <x:v>PASS</x:v>
      </x:c>
      <x:c r="K3200" s="35" t="str">
        <x:v>PASS</x:v>
      </x:c>
      <x:c r="L3200" s="35" t="str">
        <x:v>FAIL</x:v>
      </x:c>
      <x:c r="M3200" s="35" t="str">
        <x:v>numeric coverage for applicable metric</x:v>
      </x:c>
      <x:c r="N3200" s="35" t="str">
        <x:v>Deepseek-flash-v4/Result2/Lang_23/result.json</x:v>
      </x:c>
      <x:c r="O3200" s="39" t="n">
        <x:f>IF(AND(G3200="RECORDED",ISNUMBER(H3200)),H3200,"")</x:f>
        <x:v>30.3</x:v>
      </x:c>
      <x:c r="P3200" s="35" t="str">
        <x:v>INCONCLUSIVE</x:v>
      </x:c>
      <x:c r="Q3200" s="35" t="str">
        <x:v>Deepseek-flash-v4/Result2/Lang_23/result.json</x:v>
      </x:c>
    </x:row>
    <x:row r="3201">
      <x:c r="A3201" s="35" t="str">
        <x:v>deepseek</x:v>
      </x:c>
      <x:c r="B3201" s="35" t="str">
        <x:v>Lang</x:v>
      </x:c>
      <x:c r="C3201" s="35" t="str">
        <x:v>Round2</x:v>
      </x:c>
      <x:c r="D3201" s="35" t="str">
        <x:v>Lang_24</x:v>
      </x:c>
      <x:c r="E3201" s="35" t="str">
        <x:v>Condition</x:v>
      </x:c>
      <x:c r="F3201" s="35" t="n">
        <x:v>356</x:v>
      </x:c>
      <x:c r="G3201" s="35" t="str">
        <x:v>RECORDED</x:v>
      </x:c>
      <x:c r="H3201" s="39" t="n">
        <x:f>IF(ISNUMBER('Data'!N1493),'Data'!N1493*100,"")</x:f>
        <x:v>45.22</x:v>
      </x:c>
      <x:c r="I3201" s="35" t="str">
        <x:v>PASS</x:v>
      </x:c>
      <x:c r="J3201" s="35" t="str">
        <x:v>PASS</x:v>
      </x:c>
      <x:c r="K3201" s="35" t="str">
        <x:v>PASS</x:v>
      </x:c>
      <x:c r="L3201" s="35" t="str">
        <x:v>FAIL</x:v>
      </x:c>
      <x:c r="M3201" s="35" t="str">
        <x:v>numeric coverage for applicable metric</x:v>
      </x:c>
      <x:c r="N3201" s="35" t="str">
        <x:v>Deepseek-flash-v4/Result2/Lang_24/result.json</x:v>
      </x:c>
      <x:c r="O3201" s="39" t="n">
        <x:f>IF(AND(G3201="RECORDED",ISNUMBER(H3201)),H3201,"")</x:f>
        <x:v>45.22</x:v>
      </x:c>
      <x:c r="P3201" s="35" t="str">
        <x:v>INCONCLUSIVE</x:v>
      </x:c>
      <x:c r="Q3201" s="35" t="str">
        <x:v>Deepseek-flash-v4/Result2/Lang_24/result.json</x:v>
      </x:c>
    </x:row>
    <x:row r="3202">
      <x:c r="A3202" s="35" t="str">
        <x:v>deepseek</x:v>
      </x:c>
      <x:c r="B3202" s="35" t="str">
        <x:v>Lang</x:v>
      </x:c>
      <x:c r="C3202" s="35" t="str">
        <x:v>Round2</x:v>
      </x:c>
      <x:c r="D3202" s="35" t="str">
        <x:v>Lang_26</x:v>
      </x:c>
      <x:c r="E3202" s="35" t="str">
        <x:v>Condition</x:v>
      </x:c>
      <x:c r="F3202" s="35" t="n">
        <x:v>228</x:v>
      </x:c>
      <x:c r="G3202" s="35" t="str">
        <x:v>RECORDED</x:v>
      </x:c>
      <x:c r="H3202" s="39" t="n">
        <x:f>IF(ISNUMBER('Data'!N1494),'Data'!N1494*100,"")</x:f>
        <x:v>68.42</x:v>
      </x:c>
      <x:c r="I3202" s="35" t="str">
        <x:v>PASS</x:v>
      </x:c>
      <x:c r="J3202" s="35" t="str">
        <x:v>PASS</x:v>
      </x:c>
      <x:c r="K3202" s="35" t="str">
        <x:v>PASS</x:v>
      </x:c>
      <x:c r="L3202" s="35" t="str">
        <x:v>FAIL</x:v>
      </x:c>
      <x:c r="M3202" s="35" t="str">
        <x:v>numeric coverage for applicable metric</x:v>
      </x:c>
      <x:c r="N3202" s="35" t="str">
        <x:v>Deepseek-flash-v4/Result2/Lang_26/result.json</x:v>
      </x:c>
      <x:c r="O3202" s="39" t="n">
        <x:f>IF(AND(G3202="RECORDED",ISNUMBER(H3202)),H3202,"")</x:f>
        <x:v>68.42</x:v>
      </x:c>
      <x:c r="P3202" s="35" t="str">
        <x:v>INCONCLUSIVE</x:v>
      </x:c>
      <x:c r="Q3202" s="35" t="str">
        <x:v>Deepseek-flash-v4/Result2/Lang_26/result.json</x:v>
      </x:c>
    </x:row>
    <x:row r="3203">
      <x:c r="A3203" s="35" t="str">
        <x:v>deepseek</x:v>
      </x:c>
      <x:c r="B3203" s="35" t="str">
        <x:v>Lang</x:v>
      </x:c>
      <x:c r="C3203" s="35" t="str">
        <x:v>Round2</x:v>
      </x:c>
      <x:c r="D3203" s="35" t="str">
        <x:v>Lang_27</x:v>
      </x:c>
      <x:c r="E3203" s="35" t="str">
        <x:v>Condition</x:v>
      </x:c>
      <x:c r="F3203" s="35" t="n">
        <x:v>352</x:v>
      </x:c>
      <x:c r="G3203" s="35" t="str">
        <x:v>RECORDED</x:v>
      </x:c>
      <x:c r="H3203" s="39" t="n">
        <x:f>IF(ISNUMBER('Data'!N1495),'Data'!N1495*100,"")</x:f>
        <x:v>55.97</x:v>
      </x:c>
      <x:c r="I3203" s="35" t="str">
        <x:v>PASS</x:v>
      </x:c>
      <x:c r="J3203" s="35" t="str">
        <x:v>PASS</x:v>
      </x:c>
      <x:c r="K3203" s="35" t="str">
        <x:v>PASS</x:v>
      </x:c>
      <x:c r="L3203" s="35" t="str">
        <x:v>FAIL</x:v>
      </x:c>
      <x:c r="M3203" s="35" t="str">
        <x:v>numeric coverage for applicable metric</x:v>
      </x:c>
      <x:c r="N3203" s="35" t="str">
        <x:v>Deepseek-flash-v4/Result2/Lang_27/result.json</x:v>
      </x:c>
      <x:c r="O3203" s="39" t="n">
        <x:f>IF(AND(G3203="RECORDED",ISNUMBER(H3203)),H3203,"")</x:f>
        <x:v>55.97</x:v>
      </x:c>
      <x:c r="P3203" s="35" t="str">
        <x:v>INCONCLUSIVE</x:v>
      </x:c>
      <x:c r="Q3203" s="35" t="str">
        <x:v>Deepseek-flash-v4/Result2/Lang_27/result.json</x:v>
      </x:c>
    </x:row>
    <x:row r="3204">
      <x:c r="A3204" s="35" t="str">
        <x:v>deepseek</x:v>
      </x:c>
      <x:c r="B3204" s="35" t="str">
        <x:v>Lang</x:v>
      </x:c>
      <x:c r="C3204" s="35" t="str">
        <x:v>Round2</x:v>
      </x:c>
      <x:c r="D3204" s="35" t="str">
        <x:v>Lang_28</x:v>
      </x:c>
      <x:c r="E3204" s="35" t="str">
        <x:v>Condition</x:v>
      </x:c>
      <x:c r="F3204" s="35" t="n">
        <x:v>14</x:v>
      </x:c>
      <x:c r="G3204" s="35" t="str">
        <x:v>RECORDED</x:v>
      </x:c>
      <x:c r="H3204" s="39" t="n">
        <x:f>IF(ISNUMBER('Data'!N1496),'Data'!N1496*100,"")</x:f>
        <x:v>85.71</x:v>
      </x:c>
      <x:c r="I3204" s="35" t="str">
        <x:v>PASS</x:v>
      </x:c>
      <x:c r="J3204" s="35" t="str">
        <x:v>PASS</x:v>
      </x:c>
      <x:c r="K3204" s="35" t="str">
        <x:v>PASS</x:v>
      </x:c>
      <x:c r="L3204" s="35" t="str">
        <x:v>FAIL</x:v>
      </x:c>
      <x:c r="M3204" s="35" t="str">
        <x:v>numeric coverage for applicable metric</x:v>
      </x:c>
      <x:c r="N3204" s="35" t="str">
        <x:v>Deepseek-flash-v4/Result2/Lang_28/result.json</x:v>
      </x:c>
      <x:c r="O3204" s="39" t="n">
        <x:f>IF(AND(G3204="RECORDED",ISNUMBER(H3204)),H3204,"")</x:f>
        <x:v>85.71</x:v>
      </x:c>
      <x:c r="P3204" s="35" t="str">
        <x:v>INCONCLUSIVE</x:v>
      </x:c>
      <x:c r="Q3204" s="35" t="str">
        <x:v>Deepseek-flash-v4/Result2/Lang_28/result.json</x:v>
      </x:c>
    </x:row>
    <x:row r="3205">
      <x:c r="A3205" s="35" t="str">
        <x:v>deepseek</x:v>
      </x:c>
      <x:c r="B3205" s="35" t="str">
        <x:v>Lang</x:v>
      </x:c>
      <x:c r="C3205" s="35" t="str">
        <x:v>Round2</x:v>
      </x:c>
      <x:c r="D3205" s="35" t="str">
        <x:v>Lang_29</x:v>
      </x:c>
      <x:c r="E3205" s="35" t="str">
        <x:v>Condition</x:v>
      </x:c>
      <x:c r="F3205" s="35" t="n">
        <x:v>50</x:v>
      </x:c>
      <x:c r="G3205" s="35" t="str">
        <x:v>RECORDED</x:v>
      </x:c>
      <x:c r="H3205" s="39" t="n">
        <x:f>IF(ISNUMBER('Data'!N1497),'Data'!N1497*100,"")</x:f>
        <x:v>86</x:v>
      </x:c>
      <x:c r="I3205" s="35" t="str">
        <x:v>PASS</x:v>
      </x:c>
      <x:c r="J3205" s="35" t="str">
        <x:v>PASS</x:v>
      </x:c>
      <x:c r="K3205" s="35" t="str">
        <x:v>PASS</x:v>
      </x:c>
      <x:c r="L3205" s="35" t="str">
        <x:v>PASS</x:v>
      </x:c>
      <x:c r="M3205" s="35" t="str">
        <x:v>numeric coverage for applicable metric</x:v>
      </x:c>
      <x:c r="N3205" s="35" t="str">
        <x:v>Deepseek-flash-v4/Result2/Lang_29/result.json</x:v>
      </x:c>
      <x:c r="O3205" s="39" t="n">
        <x:f>IF(AND(G3205="RECORDED",ISNUMBER(H3205)),H3205,"")</x:f>
        <x:v>86</x:v>
      </x:c>
      <x:c r="P3205" s="35" t="str">
        <x:v>NOT_REVEALING</x:v>
      </x:c>
      <x:c r="Q3205" s="35" t="str">
        <x:v>Deepseek-flash-v4/Result2/Lang_29/result.json</x:v>
      </x:c>
    </x:row>
    <x:row r="3206">
      <x:c r="A3206" s="35" t="str">
        <x:v>deepseek</x:v>
      </x:c>
      <x:c r="B3206" s="35" t="str">
        <x:v>Lang</x:v>
      </x:c>
      <x:c r="C3206" s="35" t="str">
        <x:v>Round2</x:v>
      </x:c>
      <x:c r="D3206" s="35" t="str">
        <x:v>Lang_3</x:v>
      </x:c>
      <x:c r="E3206" s="35" t="str">
        <x:v>Condition</x:v>
      </x:c>
      <x:c r="F3206" s="35" t="n">
        <x:v>334</x:v>
      </x:c>
      <x:c r="G3206" s="35" t="str">
        <x:v>RECORDED</x:v>
      </x:c>
      <x:c r="H3206" s="39" t="n">
        <x:f>IF(ISNUMBER('Data'!N1498),'Data'!N1498*100,"")</x:f>
        <x:v>52.68999999999999</x:v>
      </x:c>
      <x:c r="I3206" s="35" t="str">
        <x:v>PASS</x:v>
      </x:c>
      <x:c r="J3206" s="35" t="str">
        <x:v>PASS</x:v>
      </x:c>
      <x:c r="K3206" s="35" t="str">
        <x:v>PASS</x:v>
      </x:c>
      <x:c r="L3206" s="35" t="str">
        <x:v>FAIL</x:v>
      </x:c>
      <x:c r="M3206" s="35" t="str">
        <x:v>numeric coverage for applicable metric</x:v>
      </x:c>
      <x:c r="N3206" s="35" t="str">
        <x:v>Deepseek-flash-v4/Result2/Lang_3/result.json</x:v>
      </x:c>
      <x:c r="O3206" s="39" t="n">
        <x:f>IF(AND(G3206="RECORDED",ISNUMBER(H3206)),H3206,"")</x:f>
        <x:v>52.68999999999999</x:v>
      </x:c>
      <x:c r="P3206" s="35" t="str">
        <x:v>INCONCLUSIVE</x:v>
      </x:c>
      <x:c r="Q3206" s="35" t="str">
        <x:v>Deepseek-flash-v4/Result2/Lang_3/result.json</x:v>
      </x:c>
    </x:row>
    <x:row r="3207">
      <x:c r="A3207" s="35" t="str">
        <x:v>deepseek</x:v>
      </x:c>
      <x:c r="B3207" s="35" t="str">
        <x:v>Lang</x:v>
      </x:c>
      <x:c r="C3207" s="35" t="str">
        <x:v>Round2</x:v>
      </x:c>
      <x:c r="D3207" s="35" t="str">
        <x:v>Lang_30</x:v>
      </x:c>
      <x:c r="E3207" s="35" t="str">
        <x:v>Condition</x:v>
      </x:c>
      <x:c r="F3207" s="35"/>
      <x:c r="G3207" s="35" t="str">
        <x:v>A</x:v>
      </x:c>
      <x:c r="H3207" s="39" t="str">
        <x:f>IF(ISNUMBER('Data'!N1499),'Data'!N1499*100,"")</x:f>
      </x:c>
      <x:c r="I3207" s="35"/>
      <x:c r="J3207" s="35" t="str">
        <x:v>PASS</x:v>
      </x:c>
      <x:c r="K3207" s="35" t="str">
        <x:v>FAIL</x:v>
      </x:c>
      <x:c r="L3207" s="35" t="str">
        <x:v>NOT_RUN</x:v>
      </x:c>
      <x:c r="M3207" s="35" t="str">
        <x:v>coverage unavailable or execution/compile failed</x:v>
      </x:c>
      <x:c r="N3207" s="35" t="str">
        <x:v>Deepseek-flash-v4/Result2/Lang_30/result.json</x:v>
      </x:c>
      <x:c r="O3207" s="39" t="str">
        <x:f>IF(AND(G3207="RECORDED",ISNUMBER(H3207)),H3207,"")</x:f>
      </x:c>
      <x:c r="P3207" s="35" t="str">
        <x:v>NOT_AVAILABLE</x:v>
      </x:c>
      <x:c r="Q3207" s="35" t="str">
        <x:v>Deepseek-flash-v4/Result2/Lang_30/result.json</x:v>
      </x:c>
    </x:row>
    <x:row r="3208">
      <x:c r="A3208" s="35" t="str">
        <x:v>deepseek</x:v>
      </x:c>
      <x:c r="B3208" s="35" t="str">
        <x:v>Lang</x:v>
      </x:c>
      <x:c r="C3208" s="35" t="str">
        <x:v>Round2</x:v>
      </x:c>
      <x:c r="D3208" s="35" t="str">
        <x:v>Lang_31</x:v>
      </x:c>
      <x:c r="E3208" s="35" t="str">
        <x:v>Condition</x:v>
      </x:c>
      <x:c r="F3208" s="35" t="n">
        <x:v>1045</x:v>
      </x:c>
      <x:c r="G3208" s="35" t="str">
        <x:v>RECORDED</x:v>
      </x:c>
      <x:c r="H3208" s="39" t="n">
        <x:f>IF(ISNUMBER('Data'!N1500),'Data'!N1500*100,"")</x:f>
        <x:v>17.89</x:v>
      </x:c>
      <x:c r="I3208" s="35" t="str">
        <x:v>PASS</x:v>
      </x:c>
      <x:c r="J3208" s="35" t="str">
        <x:v>PASS</x:v>
      </x:c>
      <x:c r="K3208" s="35" t="str">
        <x:v>PASS</x:v>
      </x:c>
      <x:c r="L3208" s="35" t="str">
        <x:v>FAIL</x:v>
      </x:c>
      <x:c r="M3208" s="35" t="str">
        <x:v>numeric coverage for applicable metric</x:v>
      </x:c>
      <x:c r="N3208" s="35" t="str">
        <x:v>Deepseek-flash-v4/Result2/Lang_31/result.json</x:v>
      </x:c>
      <x:c r="O3208" s="39" t="n">
        <x:f>IF(AND(G3208="RECORDED",ISNUMBER(H3208)),H3208,"")</x:f>
        <x:v>17.89</x:v>
      </x:c>
      <x:c r="P3208" s="35" t="str">
        <x:v>INCONCLUSIVE</x:v>
      </x:c>
      <x:c r="Q3208" s="35" t="str">
        <x:v>Deepseek-flash-v4/Result2/Lang_31/result.json</x:v>
      </x:c>
    </x:row>
    <x:row r="3209">
      <x:c r="A3209" s="35" t="str">
        <x:v>deepseek</x:v>
      </x:c>
      <x:c r="B3209" s="35" t="str">
        <x:v>Lang</x:v>
      </x:c>
      <x:c r="C3209" s="35" t="str">
        <x:v>Round2</x:v>
      </x:c>
      <x:c r="D3209" s="35" t="str">
        <x:v>Lang_32</x:v>
      </x:c>
      <x:c r="E3209" s="35" t="str">
        <x:v>Condition</x:v>
      </x:c>
      <x:c r="F3209" s="35" t="n">
        <x:v>86</x:v>
      </x:c>
      <x:c r="G3209" s="35" t="str">
        <x:v>RECORDED</x:v>
      </x:c>
      <x:c r="H3209" s="39" t="n">
        <x:f>IF(ISNUMBER('Data'!N1501),'Data'!N1501*100,"")</x:f>
        <x:v>79.07</x:v>
      </x:c>
      <x:c r="I3209" s="35" t="str">
        <x:v>PASS</x:v>
      </x:c>
      <x:c r="J3209" s="35" t="str">
        <x:v>PASS</x:v>
      </x:c>
      <x:c r="K3209" s="35" t="str">
        <x:v>PASS</x:v>
      </x:c>
      <x:c r="L3209" s="35" t="str">
        <x:v>FAIL</x:v>
      </x:c>
      <x:c r="M3209" s="35" t="str">
        <x:v>numeric coverage for applicable metric</x:v>
      </x:c>
      <x:c r="N3209" s="35" t="str">
        <x:v>Deepseek-flash-v4/Result2/Lang_32/result.json</x:v>
      </x:c>
      <x:c r="O3209" s="39" t="n">
        <x:f>IF(AND(G3209="RECORDED",ISNUMBER(H3209)),H3209,"")</x:f>
        <x:v>79.07</x:v>
      </x:c>
      <x:c r="P3209" s="35" t="str">
        <x:v>INCONCLUSIVE</x:v>
      </x:c>
      <x:c r="Q3209" s="35" t="str">
        <x:v>Deepseek-flash-v4/Result2/Lang_32/result.json</x:v>
      </x:c>
    </x:row>
    <x:row r="3210">
      <x:c r="A3210" s="35" t="str">
        <x:v>deepseek</x:v>
      </x:c>
      <x:c r="B3210" s="35" t="str">
        <x:v>Lang</x:v>
      </x:c>
      <x:c r="C3210" s="35" t="str">
        <x:v>Round2</x:v>
      </x:c>
      <x:c r="D3210" s="35" t="str">
        <x:v>Lang_33</x:v>
      </x:c>
      <x:c r="E3210" s="35" t="str">
        <x:v>Condition</x:v>
      </x:c>
      <x:c r="F3210" s="35"/>
      <x:c r="G3210" s="35" t="str">
        <x:v>A</x:v>
      </x:c>
      <x:c r="H3210" s="39" t="str">
        <x:f>IF(ISNUMBER('Data'!N1502),'Data'!N1502*100,"")</x:f>
      </x:c>
      <x:c r="I3210" s="35"/>
      <x:c r="J3210" s="35" t="str">
        <x:v>PASS</x:v>
      </x:c>
      <x:c r="K3210" s="35" t="str">
        <x:v>FAIL</x:v>
      </x:c>
      <x:c r="L3210" s="35" t="str">
        <x:v>NOT_RUN</x:v>
      </x:c>
      <x:c r="M3210" s="35" t="str">
        <x:v>coverage unavailable or execution/compile failed</x:v>
      </x:c>
      <x:c r="N3210" s="35" t="str">
        <x:v>Deepseek-flash-v4/Result2/Lang_33/result.json</x:v>
      </x:c>
      <x:c r="O3210" s="39" t="str">
        <x:f>IF(AND(G3210="RECORDED",ISNUMBER(H3210)),H3210,"")</x:f>
      </x:c>
      <x:c r="P3210" s="35" t="str">
        <x:v>NOT_AVAILABLE</x:v>
      </x:c>
      <x:c r="Q3210" s="35" t="str">
        <x:v>Deepseek-flash-v4/Result2/Lang_33/result.json</x:v>
      </x:c>
    </x:row>
    <x:row r="3211">
      <x:c r="A3211" s="35" t="str">
        <x:v>deepseek</x:v>
      </x:c>
      <x:c r="B3211" s="35" t="str">
        <x:v>Lang</x:v>
      </x:c>
      <x:c r="C3211" s="35" t="str">
        <x:v>Round2</x:v>
      </x:c>
      <x:c r="D3211" s="35" t="str">
        <x:v>Lang_34</x:v>
      </x:c>
      <x:c r="E3211" s="35" t="str">
        <x:v>Condition</x:v>
      </x:c>
      <x:c r="F3211" s="35" t="n">
        <x:v>216</x:v>
      </x:c>
      <x:c r="G3211" s="35" t="str">
        <x:v>RECORDED</x:v>
      </x:c>
      <x:c r="H3211" s="39" t="n">
        <x:f>IF(ISNUMBER('Data'!N1503),'Data'!N1503*100,"")</x:f>
        <x:v>72.22</x:v>
      </x:c>
      <x:c r="I3211" s="35" t="str">
        <x:v>PASS</x:v>
      </x:c>
      <x:c r="J3211" s="35" t="str">
        <x:v>PASS</x:v>
      </x:c>
      <x:c r="K3211" s="35" t="str">
        <x:v>PASS</x:v>
      </x:c>
      <x:c r="L3211" s="35" t="str">
        <x:v>FAIL</x:v>
      </x:c>
      <x:c r="M3211" s="35" t="str">
        <x:v>numeric coverage for applicable metric</x:v>
      </x:c>
      <x:c r="N3211" s="35" t="str">
        <x:v>Deepseek-flash-v4/Result2/Lang_34/result.json</x:v>
      </x:c>
      <x:c r="O3211" s="39" t="n">
        <x:f>IF(AND(G3211="RECORDED",ISNUMBER(H3211)),H3211,"")</x:f>
        <x:v>72.22</x:v>
      </x:c>
      <x:c r="P3211" s="35" t="str">
        <x:v>INCONCLUSIVE</x:v>
      </x:c>
      <x:c r="Q3211" s="35" t="str">
        <x:v>Deepseek-flash-v4/Result2/Lang_34/result.json</x:v>
      </x:c>
    </x:row>
    <x:row r="3212">
      <x:c r="A3212" s="35" t="str">
        <x:v>deepseek</x:v>
      </x:c>
      <x:c r="B3212" s="35" t="str">
        <x:v>Lang</x:v>
      </x:c>
      <x:c r="C3212" s="35" t="str">
        <x:v>Round2</x:v>
      </x:c>
      <x:c r="D3212" s="35" t="str">
        <x:v>Lang_35</x:v>
      </x:c>
      <x:c r="E3212" s="35" t="str">
        <x:v>Condition</x:v>
      </x:c>
      <x:c r="F3212" s="35" t="n">
        <x:v>806</x:v>
      </x:c>
      <x:c r="G3212" s="35" t="str">
        <x:v>RECORDED</x:v>
      </x:c>
      <x:c r="H3212" s="39" t="n">
        <x:f>IF(ISNUMBER('Data'!N1504),'Data'!N1504*100,"")</x:f>
        <x:v>13.65</x:v>
      </x:c>
      <x:c r="I3212" s="35" t="str">
        <x:v>PASS</x:v>
      </x:c>
      <x:c r="J3212" s="35" t="str">
        <x:v>PASS</x:v>
      </x:c>
      <x:c r="K3212" s="35" t="str">
        <x:v>PASS</x:v>
      </x:c>
      <x:c r="L3212" s="35" t="str">
        <x:v>FAIL</x:v>
      </x:c>
      <x:c r="M3212" s="35" t="str">
        <x:v>numeric coverage for applicable metric</x:v>
      </x:c>
      <x:c r="N3212" s="35" t="str">
        <x:v>Deepseek-flash-v4/Result2/Lang_35/result.json</x:v>
      </x:c>
      <x:c r="O3212" s="39" t="n">
        <x:f>IF(AND(G3212="RECORDED",ISNUMBER(H3212)),H3212,"")</x:f>
        <x:v>13.65</x:v>
      </x:c>
      <x:c r="P3212" s="35" t="str">
        <x:v>INCONCLUSIVE</x:v>
      </x:c>
      <x:c r="Q3212" s="35" t="str">
        <x:v>Deepseek-flash-v4/Result2/Lang_35/result.json</x:v>
      </x:c>
    </x:row>
    <x:row r="3213">
      <x:c r="A3213" s="35" t="str">
        <x:v>deepseek</x:v>
      </x:c>
      <x:c r="B3213" s="35" t="str">
        <x:v>Lang</x:v>
      </x:c>
      <x:c r="C3213" s="35" t="str">
        <x:v>Round2</x:v>
      </x:c>
      <x:c r="D3213" s="35" t="str">
        <x:v>Lang_36</x:v>
      </x:c>
      <x:c r="E3213" s="35" t="str">
        <x:v>Condition</x:v>
      </x:c>
      <x:c r="F3213" s="35"/>
      <x:c r="G3213" s="35" t="str">
        <x:v>A</x:v>
      </x:c>
      <x:c r="H3213" s="39" t="str">
        <x:f>IF(ISNUMBER('Data'!N1505),'Data'!N1505*100,"")</x:f>
      </x:c>
      <x:c r="I3213" s="35"/>
      <x:c r="J3213" s="35" t="str">
        <x:v>PASS</x:v>
      </x:c>
      <x:c r="K3213" s="35" t="str">
        <x:v>FAIL</x:v>
      </x:c>
      <x:c r="L3213" s="35" t="str">
        <x:v>NOT_RUN</x:v>
      </x:c>
      <x:c r="M3213" s="35" t="str">
        <x:v>coverage unavailable or execution/compile failed</x:v>
      </x:c>
      <x:c r="N3213" s="35" t="str">
        <x:v>Deepseek-flash-v4/Result2/Lang_36/result.json</x:v>
      </x:c>
      <x:c r="O3213" s="39" t="str">
        <x:f>IF(AND(G3213="RECORDED",ISNUMBER(H3213)),H3213,"")</x:f>
      </x:c>
      <x:c r="P3213" s="35" t="str">
        <x:v>NOT_AVAILABLE</x:v>
      </x:c>
      <x:c r="Q3213" s="35" t="str">
        <x:v>Deepseek-flash-v4/Result2/Lang_36/result.json</x:v>
      </x:c>
    </x:row>
    <x:row r="3214">
      <x:c r="A3214" s="35" t="str">
        <x:v>deepseek</x:v>
      </x:c>
      <x:c r="B3214" s="35" t="str">
        <x:v>Lang</x:v>
      </x:c>
      <x:c r="C3214" s="35" t="str">
        <x:v>Round2</x:v>
      </x:c>
      <x:c r="D3214" s="35" t="str">
        <x:v>Lang_37</x:v>
      </x:c>
      <x:c r="E3214" s="35" t="str">
        <x:v>Condition</x:v>
      </x:c>
      <x:c r="F3214" s="35" t="n">
        <x:v>804</x:v>
      </x:c>
      <x:c r="G3214" s="35" t="str">
        <x:v>RECORDED</x:v>
      </x:c>
      <x:c r="H3214" s="39" t="n">
        <x:f>IF(ISNUMBER('Data'!N1506),'Data'!N1506*100,"")</x:f>
        <x:v>16.79</x:v>
      </x:c>
      <x:c r="I3214" s="35" t="str">
        <x:v>PASS</x:v>
      </x:c>
      <x:c r="J3214" s="35" t="str">
        <x:v>PASS</x:v>
      </x:c>
      <x:c r="K3214" s="35" t="str">
        <x:v>PASS</x:v>
      </x:c>
      <x:c r="L3214" s="35" t="str">
        <x:v>PASS</x:v>
      </x:c>
      <x:c r="M3214" s="35" t="str">
        <x:v>numeric coverage for applicable metric</x:v>
      </x:c>
      <x:c r="N3214" s="35" t="str">
        <x:v>Deepseek-flash-v4/Result2/Lang_37/result.json</x:v>
      </x:c>
      <x:c r="O3214" s="39" t="n">
        <x:f>IF(AND(G3214="RECORDED",ISNUMBER(H3214)),H3214,"")</x:f>
        <x:v>16.79</x:v>
      </x:c>
      <x:c r="P3214" s="35" t="str">
        <x:v>NOT_REVEALING</x:v>
      </x:c>
      <x:c r="Q3214" s="35" t="str">
        <x:v>Deepseek-flash-v4/Result2/Lang_37/result.json</x:v>
      </x:c>
    </x:row>
    <x:row r="3215">
      <x:c r="A3215" s="35" t="str">
        <x:v>deepseek</x:v>
      </x:c>
      <x:c r="B3215" s="35" t="str">
        <x:v>Lang</x:v>
      </x:c>
      <x:c r="C3215" s="35" t="str">
        <x:v>Round2</x:v>
      </x:c>
      <x:c r="D3215" s="35" t="str">
        <x:v>Lang_38</x:v>
      </x:c>
      <x:c r="E3215" s="35" t="str">
        <x:v>Condition</x:v>
      </x:c>
      <x:c r="F3215" s="35" t="n">
        <x:v>228</x:v>
      </x:c>
      <x:c r="G3215" s="35" t="str">
        <x:v>RECORDED</x:v>
      </x:c>
      <x:c r="H3215" s="39" t="n">
        <x:f>IF(ISNUMBER('Data'!N1507),'Data'!N1507*100,"")</x:f>
        <x:v>59.650000000000006</x:v>
      </x:c>
      <x:c r="I3215" s="35" t="str">
        <x:v>PASS</x:v>
      </x:c>
      <x:c r="J3215" s="35" t="str">
        <x:v>PASS</x:v>
      </x:c>
      <x:c r="K3215" s="35" t="str">
        <x:v>PASS</x:v>
      </x:c>
      <x:c r="L3215" s="35" t="str">
        <x:v>FAIL</x:v>
      </x:c>
      <x:c r="M3215" s="35" t="str">
        <x:v>numeric coverage for applicable metric</x:v>
      </x:c>
      <x:c r="N3215" s="35" t="str">
        <x:v>Deepseek-flash-v4/Result2/Lang_38/result.json</x:v>
      </x:c>
      <x:c r="O3215" s="39" t="n">
        <x:f>IF(AND(G3215="RECORDED",ISNUMBER(H3215)),H3215,"")</x:f>
        <x:v>59.650000000000006</x:v>
      </x:c>
      <x:c r="P3215" s="35" t="str">
        <x:v>REVEALING</x:v>
      </x:c>
      <x:c r="Q3215" s="35" t="str">
        <x:v>Deepseek-flash-v4/Result2/Lang_38/result.json</x:v>
      </x:c>
    </x:row>
    <x:row r="3216">
      <x:c r="A3216" s="35" t="str">
        <x:v>deepseek</x:v>
      </x:c>
      <x:c r="B3216" s="35" t="str">
        <x:v>Lang</x:v>
      </x:c>
      <x:c r="C3216" s="35" t="str">
        <x:v>Round2</x:v>
      </x:c>
      <x:c r="D3216" s="35" t="str">
        <x:v>Lang_39</x:v>
      </x:c>
      <x:c r="E3216" s="35" t="str">
        <x:v>Condition</x:v>
      </x:c>
      <x:c r="F3216" s="35" t="n">
        <x:v>1005</x:v>
      </x:c>
      <x:c r="G3216" s="35" t="str">
        <x:v>RECORDED</x:v>
      </x:c>
      <x:c r="H3216" s="39" t="n">
        <x:f>IF(ISNUMBER('Data'!N1508),'Data'!N1508*100,"")</x:f>
        <x:v>21.89</x:v>
      </x:c>
      <x:c r="I3216" s="35" t="str">
        <x:v>PASS</x:v>
      </x:c>
      <x:c r="J3216" s="35" t="str">
        <x:v>PASS</x:v>
      </x:c>
      <x:c r="K3216" s="35" t="str">
        <x:v>PASS</x:v>
      </x:c>
      <x:c r="L3216" s="35" t="str">
        <x:v>FAIL</x:v>
      </x:c>
      <x:c r="M3216" s="35" t="str">
        <x:v>numeric coverage for applicable metric</x:v>
      </x:c>
      <x:c r="N3216" s="35" t="str">
        <x:v>Deepseek-flash-v4/Result2/Lang_39/result.json</x:v>
      </x:c>
      <x:c r="O3216" s="39" t="n">
        <x:f>IF(AND(G3216="RECORDED",ISNUMBER(H3216)),H3216,"")</x:f>
        <x:v>21.89</x:v>
      </x:c>
      <x:c r="P3216" s="35" t="str">
        <x:v>INCONCLUSIVE</x:v>
      </x:c>
      <x:c r="Q3216" s="35" t="str">
        <x:v>Deepseek-flash-v4/Result2/Lang_39/result.json</x:v>
      </x:c>
    </x:row>
    <x:row r="3217">
      <x:c r="A3217" s="35" t="str">
        <x:v>deepseek</x:v>
      </x:c>
      <x:c r="B3217" s="35" t="str">
        <x:v>Lang</x:v>
      </x:c>
      <x:c r="C3217" s="35" t="str">
        <x:v>Round2</x:v>
      </x:c>
      <x:c r="D3217" s="35" t="str">
        <x:v>Lang_4</x:v>
      </x:c>
      <x:c r="E3217" s="35" t="str">
        <x:v>Condition</x:v>
      </x:c>
      <x:c r="F3217" s="35" t="n">
        <x:v>14</x:v>
      </x:c>
      <x:c r="G3217" s="35" t="str">
        <x:v>RECORDED</x:v>
      </x:c>
      <x:c r="H3217" s="39" t="n">
        <x:f>IF(ISNUMBER('Data'!N1509),'Data'!N1509*100,"")</x:f>
        <x:v>100</x:v>
      </x:c>
      <x:c r="I3217" s="35" t="str">
        <x:v>PASS</x:v>
      </x:c>
      <x:c r="J3217" s="35" t="str">
        <x:v>PASS</x:v>
      </x:c>
      <x:c r="K3217" s="35" t="str">
        <x:v>PASS</x:v>
      </x:c>
      <x:c r="L3217" s="35" t="str">
        <x:v>FAIL</x:v>
      </x:c>
      <x:c r="M3217" s="35" t="str">
        <x:v>numeric coverage for applicable metric</x:v>
      </x:c>
      <x:c r="N3217" s="35" t="str">
        <x:v>Deepseek-flash-v4/Result2/Lang_4/result.json</x:v>
      </x:c>
      <x:c r="O3217" s="39" t="n">
        <x:f>IF(AND(G3217="RECORDED",ISNUMBER(H3217)),H3217,"")</x:f>
        <x:v>100</x:v>
      </x:c>
      <x:c r="P3217" s="35" t="str">
        <x:v>INCONCLUSIVE</x:v>
      </x:c>
      <x:c r="Q3217" s="35" t="str">
        <x:v>Deepseek-flash-v4/Result2/Lang_4/result.json</x:v>
      </x:c>
    </x:row>
    <x:row r="3218">
      <x:c r="A3218" s="35" t="str">
        <x:v>deepseek</x:v>
      </x:c>
      <x:c r="B3218" s="35" t="str">
        <x:v>Lang</x:v>
      </x:c>
      <x:c r="C3218" s="35" t="str">
        <x:v>Round2</x:v>
      </x:c>
      <x:c r="D3218" s="35" t="str">
        <x:v>Lang_40</x:v>
      </x:c>
      <x:c r="E3218" s="35" t="str">
        <x:v>Condition</x:v>
      </x:c>
      <x:c r="F3218" s="35" t="n">
        <x:v>997</x:v>
      </x:c>
      <x:c r="G3218" s="35" t="str">
        <x:v>RECORDED</x:v>
      </x:c>
      <x:c r="H3218" s="39" t="n">
        <x:f>IF(ISNUMBER('Data'!N1510),'Data'!N1510*100,"")</x:f>
        <x:v>20.96</x:v>
      </x:c>
      <x:c r="I3218" s="35" t="str">
        <x:v>PASS</x:v>
      </x:c>
      <x:c r="J3218" s="35" t="str">
        <x:v>PASS</x:v>
      </x:c>
      <x:c r="K3218" s="35" t="str">
        <x:v>PASS</x:v>
      </x:c>
      <x:c r="L3218" s="35" t="str">
        <x:v>FAIL</x:v>
      </x:c>
      <x:c r="M3218" s="35" t="str">
        <x:v>numeric coverage for applicable metric</x:v>
      </x:c>
      <x:c r="N3218" s="35" t="str">
        <x:v>Deepseek-flash-v4/Result2/Lang_40/result.json</x:v>
      </x:c>
      <x:c r="O3218" s="39" t="n">
        <x:f>IF(AND(G3218="RECORDED",ISNUMBER(H3218)),H3218,"")</x:f>
        <x:v>20.96</x:v>
      </x:c>
      <x:c r="P3218" s="35" t="str">
        <x:v>INCONCLUSIVE</x:v>
      </x:c>
      <x:c r="Q3218" s="35" t="str">
        <x:v>Deepseek-flash-v4/Result2/Lang_40/result.json</x:v>
      </x:c>
    </x:row>
    <x:row r="3219">
      <x:c r="A3219" s="35" t="str">
        <x:v>deepseek</x:v>
      </x:c>
      <x:c r="B3219" s="35" t="str">
        <x:v>Lang</x:v>
      </x:c>
      <x:c r="C3219" s="35" t="str">
        <x:v>Round2</x:v>
      </x:c>
      <x:c r="D3219" s="35" t="str">
        <x:v>Lang_41</x:v>
      </x:c>
      <x:c r="E3219" s="35" t="str">
        <x:v>Condition</x:v>
      </x:c>
      <x:c r="F3219" s="35"/>
      <x:c r="G3219" s="35" t="str">
        <x:v>A</x:v>
      </x:c>
      <x:c r="H3219" s="39" t="str">
        <x:f>IF(ISNUMBER('Data'!N1511),'Data'!N1511*100,"")</x:f>
      </x:c>
      <x:c r="I3219" s="35"/>
      <x:c r="J3219" s="35" t="str">
        <x:v>PASS</x:v>
      </x:c>
      <x:c r="K3219" s="35" t="str">
        <x:v>FAIL</x:v>
      </x:c>
      <x:c r="L3219" s="35" t="str">
        <x:v>NOT_RUN</x:v>
      </x:c>
      <x:c r="M3219" s="35" t="str">
        <x:v>coverage unavailable or execution/compile failed</x:v>
      </x:c>
      <x:c r="N3219" s="35" t="str">
        <x:v>Deepseek-flash-v4/Result2/Lang_41/result.json</x:v>
      </x:c>
      <x:c r="O3219" s="39" t="str">
        <x:f>IF(AND(G3219="RECORDED",ISNUMBER(H3219)),H3219,"")</x:f>
      </x:c>
      <x:c r="P3219" s="35" t="str">
        <x:v>NOT_AVAILABLE</x:v>
      </x:c>
      <x:c r="Q3219" s="35" t="str">
        <x:v>Deepseek-flash-v4/Result2/Lang_41/result.json</x:v>
      </x:c>
    </x:row>
    <x:row r="3220">
      <x:c r="A3220" s="35" t="str">
        <x:v>deepseek</x:v>
      </x:c>
      <x:c r="B3220" s="35" t="str">
        <x:v>Lang</x:v>
      </x:c>
      <x:c r="C3220" s="35" t="str">
        <x:v>Round2</x:v>
      </x:c>
      <x:c r="D3220" s="35" t="str">
        <x:v>Lang_42</x:v>
      </x:c>
      <x:c r="E3220" s="35" t="str">
        <x:v>Condition</x:v>
      </x:c>
      <x:c r="F3220" s="35" t="n">
        <x:v>64</x:v>
      </x:c>
      <x:c r="G3220" s="35" t="str">
        <x:v>RECORDED</x:v>
      </x:c>
      <x:c r="H3220" s="39" t="n">
        <x:f>IF(ISNUMBER('Data'!N1512),'Data'!N1512*100,"")</x:f>
        <x:v>59.38</x:v>
      </x:c>
      <x:c r="I3220" s="35" t="str">
        <x:v>PASS</x:v>
      </x:c>
      <x:c r="J3220" s="35" t="str">
        <x:v>PASS</x:v>
      </x:c>
      <x:c r="K3220" s="35" t="str">
        <x:v>PASS</x:v>
      </x:c>
      <x:c r="L3220" s="35" t="str">
        <x:v>FAIL</x:v>
      </x:c>
      <x:c r="M3220" s="35" t="str">
        <x:v>numeric coverage for applicable metric</x:v>
      </x:c>
      <x:c r="N3220" s="35" t="str">
        <x:v>Deepseek-flash-v4/Result2/Lang_42/result.json</x:v>
      </x:c>
      <x:c r="O3220" s="39" t="n">
        <x:f>IF(AND(G3220="RECORDED",ISNUMBER(H3220)),H3220,"")</x:f>
        <x:v>59.38</x:v>
      </x:c>
      <x:c r="P3220" s="35" t="str">
        <x:v>INCONCLUSIVE</x:v>
      </x:c>
      <x:c r="Q3220" s="35" t="str">
        <x:v>Deepseek-flash-v4/Result2/Lang_42/result.json</x:v>
      </x:c>
    </x:row>
    <x:row r="3221">
      <x:c r="A3221" s="35" t="str">
        <x:v>deepseek</x:v>
      </x:c>
      <x:c r="B3221" s="35" t="str">
        <x:v>Lang</x:v>
      </x:c>
      <x:c r="C3221" s="35" t="str">
        <x:v>Round2</x:v>
      </x:c>
      <x:c r="D3221" s="35" t="str">
        <x:v>Lang_43</x:v>
      </x:c>
      <x:c r="E3221" s="35" t="str">
        <x:v>Condition</x:v>
      </x:c>
      <x:c r="F3221" s="35"/>
      <x:c r="G3221" s="35" t="str">
        <x:v>A</x:v>
      </x:c>
      <x:c r="H3221" s="39" t="str">
        <x:f>IF(ISNUMBER('Data'!N1513),'Data'!N1513*100,"")</x:f>
      </x:c>
      <x:c r="I3221" s="35"/>
      <x:c r="J3221" s="35" t="str">
        <x:v>PASS</x:v>
      </x:c>
      <x:c r="K3221" s="35" t="str">
        <x:v>FAIL</x:v>
      </x:c>
      <x:c r="L3221" s="35" t="str">
        <x:v>NOT_RUN</x:v>
      </x:c>
      <x:c r="M3221" s="35" t="str">
        <x:v>coverage unavailable or execution/compile failed</x:v>
      </x:c>
      <x:c r="N3221" s="35" t="str">
        <x:v>Deepseek-flash-v4/Result2/Lang_43/result.json</x:v>
      </x:c>
      <x:c r="O3221" s="39" t="str">
        <x:f>IF(AND(G3221="RECORDED",ISNUMBER(H3221)),H3221,"")</x:f>
      </x:c>
      <x:c r="P3221" s="35" t="str">
        <x:v>NOT_AVAILABLE</x:v>
      </x:c>
      <x:c r="Q3221" s="35" t="str">
        <x:v>Deepseek-flash-v4/Result2/Lang_43/result.json</x:v>
      </x:c>
    </x:row>
    <x:row r="3222">
      <x:c r="A3222" s="35" t="str">
        <x:v>deepseek</x:v>
      </x:c>
      <x:c r="B3222" s="35" t="str">
        <x:v>Lang</x:v>
      </x:c>
      <x:c r="C3222" s="35" t="str">
        <x:v>Round2</x:v>
      </x:c>
      <x:c r="D3222" s="35" t="str">
        <x:v>Lang_44</x:v>
      </x:c>
      <x:c r="E3222" s="35" t="str">
        <x:v>Condition</x:v>
      </x:c>
      <x:c r="F3222" s="35" t="n">
        <x:v>216</x:v>
      </x:c>
      <x:c r="G3222" s="35" t="str">
        <x:v>RECORDED</x:v>
      </x:c>
      <x:c r="H3222" s="39" t="n">
        <x:f>IF(ISNUMBER('Data'!N1514),'Data'!N1514*100,"")</x:f>
        <x:v>43.06</x:v>
      </x:c>
      <x:c r="I3222" s="35" t="str">
        <x:v>PASS</x:v>
      </x:c>
      <x:c r="J3222" s="35" t="str">
        <x:v>PASS</x:v>
      </x:c>
      <x:c r="K3222" s="35" t="str">
        <x:v>PASS</x:v>
      </x:c>
      <x:c r="L3222" s="35" t="str">
        <x:v>FAIL</x:v>
      </x:c>
      <x:c r="M3222" s="35" t="str">
        <x:v>numeric coverage for applicable metric</x:v>
      </x:c>
      <x:c r="N3222" s="35" t="str">
        <x:v>Deepseek-flash-v4/Result2/Lang_44/result.json</x:v>
      </x:c>
      <x:c r="O3222" s="39" t="n">
        <x:f>IF(AND(G3222="RECORDED",ISNUMBER(H3222)),H3222,"")</x:f>
        <x:v>43.06</x:v>
      </x:c>
      <x:c r="P3222" s="35" t="str">
        <x:v>INCONCLUSIVE</x:v>
      </x:c>
      <x:c r="Q3222" s="35" t="str">
        <x:v>Deepseek-flash-v4/Result2/Lang_44/result.json</x:v>
      </x:c>
    </x:row>
    <x:row r="3223">
      <x:c r="A3223" s="35" t="str">
        <x:v>deepseek</x:v>
      </x:c>
      <x:c r="B3223" s="35" t="str">
        <x:v>Lang</x:v>
      </x:c>
      <x:c r="C3223" s="35" t="str">
        <x:v>Round2</x:v>
      </x:c>
      <x:c r="D3223" s="35" t="str">
        <x:v>Lang_45</x:v>
      </x:c>
      <x:c r="E3223" s="35" t="str">
        <x:v>Condition</x:v>
      </x:c>
      <x:c r="F3223" s="35" t="n">
        <x:v>102</x:v>
      </x:c>
      <x:c r="G3223" s="35" t="str">
        <x:v>RECORDED</x:v>
      </x:c>
      <x:c r="H3223" s="39" t="n">
        <x:f>IF(ISNUMBER('Data'!N1515),'Data'!N1515*100,"")</x:f>
        <x:v>95.1</x:v>
      </x:c>
      <x:c r="I3223" s="35" t="str">
        <x:v>PASS</x:v>
      </x:c>
      <x:c r="J3223" s="35" t="str">
        <x:v>PASS</x:v>
      </x:c>
      <x:c r="K3223" s="35" t="str">
        <x:v>PASS</x:v>
      </x:c>
      <x:c r="L3223" s="35" t="str">
        <x:v>FAIL</x:v>
      </x:c>
      <x:c r="M3223" s="35" t="str">
        <x:v>numeric coverage for applicable metric</x:v>
      </x:c>
      <x:c r="N3223" s="35" t="str">
        <x:v>Deepseek-flash-v4/Result2/Lang_45/result.json</x:v>
      </x:c>
      <x:c r="O3223" s="39" t="n">
        <x:f>IF(AND(G3223="RECORDED",ISNUMBER(H3223)),H3223,"")</x:f>
        <x:v>95.1</x:v>
      </x:c>
      <x:c r="P3223" s="35" t="str">
        <x:v>INCONCLUSIVE</x:v>
      </x:c>
      <x:c r="Q3223" s="35" t="str">
        <x:v>Deepseek-flash-v4/Result2/Lang_45/result.json</x:v>
      </x:c>
    </x:row>
    <x:row r="3224">
      <x:c r="A3224" s="35" t="str">
        <x:v>deepseek</x:v>
      </x:c>
      <x:c r="B3224" s="35" t="str">
        <x:v>Lang</x:v>
      </x:c>
      <x:c r="C3224" s="35" t="str">
        <x:v>Round2</x:v>
      </x:c>
      <x:c r="D3224" s="35" t="str">
        <x:v>Lang_46</x:v>
      </x:c>
      <x:c r="E3224" s="35" t="str">
        <x:v>Condition</x:v>
      </x:c>
      <x:c r="F3224" s="35" t="n">
        <x:v>107</x:v>
      </x:c>
      <x:c r="G3224" s="35" t="str">
        <x:v>RECORDED</x:v>
      </x:c>
      <x:c r="H3224" s="39" t="n">
        <x:f>IF(ISNUMBER('Data'!N1516),'Data'!N1516*100,"")</x:f>
        <x:v>82.24</x:v>
      </x:c>
      <x:c r="I3224" s="35" t="str">
        <x:v>PASS</x:v>
      </x:c>
      <x:c r="J3224" s="35" t="str">
        <x:v>PASS</x:v>
      </x:c>
      <x:c r="K3224" s="35" t="str">
        <x:v>PASS</x:v>
      </x:c>
      <x:c r="L3224" s="35" t="str">
        <x:v>FAIL</x:v>
      </x:c>
      <x:c r="M3224" s="35" t="str">
        <x:v>numeric coverage for applicable metric</x:v>
      </x:c>
      <x:c r="N3224" s="35" t="str">
        <x:v>Deepseek-flash-v4/Result2/Lang_46/result.json</x:v>
      </x:c>
      <x:c r="O3224" s="39" t="n">
        <x:f>IF(AND(G3224="RECORDED",ISNUMBER(H3224)),H3224,"")</x:f>
        <x:v>82.24</x:v>
      </x:c>
      <x:c r="P3224" s="35" t="str">
        <x:v>INCONCLUSIVE</x:v>
      </x:c>
      <x:c r="Q3224" s="35" t="str">
        <x:v>Deepseek-flash-v4/Result2/Lang_46/result.json</x:v>
      </x:c>
    </x:row>
    <x:row r="3225">
      <x:c r="A3225" s="35" t="str">
        <x:v>deepseek</x:v>
      </x:c>
      <x:c r="B3225" s="35" t="str">
        <x:v>Lang</x:v>
      </x:c>
      <x:c r="C3225" s="35" t="str">
        <x:v>Round2</x:v>
      </x:c>
      <x:c r="D3225" s="35" t="str">
        <x:v>Lang_47</x:v>
      </x:c>
      <x:c r="E3225" s="35" t="str">
        <x:v>Condition</x:v>
      </x:c>
      <x:c r="F3225" s="35"/>
      <x:c r="G3225" s="35" t="str">
        <x:v>A</x:v>
      </x:c>
      <x:c r="H3225" s="39" t="str">
        <x:f>IF(ISNUMBER('Data'!N1517),'Data'!N1517*100,"")</x:f>
      </x:c>
      <x:c r="I3225" s="35"/>
      <x:c r="J3225" s="35" t="str">
        <x:v>PASS</x:v>
      </x:c>
      <x:c r="K3225" s="35" t="str">
        <x:v>FAIL</x:v>
      </x:c>
      <x:c r="L3225" s="35" t="str">
        <x:v>NOT_RUN</x:v>
      </x:c>
      <x:c r="M3225" s="35" t="str">
        <x:v>coverage unavailable or execution/compile failed</x:v>
      </x:c>
      <x:c r="N3225" s="35" t="str">
        <x:v>Deepseek-flash-v4/Result2/Lang_47/result.json</x:v>
      </x:c>
      <x:c r="O3225" s="39" t="str">
        <x:f>IF(AND(G3225="RECORDED",ISNUMBER(H3225)),H3225,"")</x:f>
      </x:c>
      <x:c r="P3225" s="35" t="str">
        <x:v>NOT_AVAILABLE</x:v>
      </x:c>
      <x:c r="Q3225" s="35" t="str">
        <x:v>Deepseek-flash-v4/Result2/Lang_47/result.json</x:v>
      </x:c>
    </x:row>
    <x:row r="3226">
      <x:c r="A3226" s="35" t="str">
        <x:v>deepseek</x:v>
      </x:c>
      <x:c r="B3226" s="35" t="str">
        <x:v>Lang</x:v>
      </x:c>
      <x:c r="C3226" s="35" t="str">
        <x:v>Round2</x:v>
      </x:c>
      <x:c r="D3226" s="35" t="str">
        <x:v>Lang_49</x:v>
      </x:c>
      <x:c r="E3226" s="35" t="str">
        <x:v>Condition</x:v>
      </x:c>
      <x:c r="F3226" s="35" t="n">
        <x:v>184</x:v>
      </x:c>
      <x:c r="G3226" s="35" t="str">
        <x:v>RECORDED</x:v>
      </x:c>
      <x:c r="H3226" s="39" t="n">
        <x:f>IF(ISNUMBER('Data'!N1518),'Data'!N1518*100,"")</x:f>
        <x:v>80.43</x:v>
      </x:c>
      <x:c r="I3226" s="35" t="str">
        <x:v>PASS</x:v>
      </x:c>
      <x:c r="J3226" s="35" t="str">
        <x:v>PASS</x:v>
      </x:c>
      <x:c r="K3226" s="35" t="str">
        <x:v>PASS</x:v>
      </x:c>
      <x:c r="L3226" s="35" t="str">
        <x:v>FAIL</x:v>
      </x:c>
      <x:c r="M3226" s="35" t="str">
        <x:v>numeric coverage for applicable metric</x:v>
      </x:c>
      <x:c r="N3226" s="35" t="str">
        <x:v>Deepseek-flash-v4/Result2/Lang_49/result.json</x:v>
      </x:c>
      <x:c r="O3226" s="39" t="n">
        <x:f>IF(AND(G3226="RECORDED",ISNUMBER(H3226)),H3226,"")</x:f>
        <x:v>80.43</x:v>
      </x:c>
      <x:c r="P3226" s="35" t="str">
        <x:v>INCONCLUSIVE</x:v>
      </x:c>
      <x:c r="Q3226" s="35" t="str">
        <x:v>Deepseek-flash-v4/Result2/Lang_49/result.json</x:v>
      </x:c>
    </x:row>
    <x:row r="3227">
      <x:c r="A3227" s="35" t="str">
        <x:v>deepseek</x:v>
      </x:c>
      <x:c r="B3227" s="35" t="str">
        <x:v>Lang</x:v>
      </x:c>
      <x:c r="C3227" s="35" t="str">
        <x:v>Round2</x:v>
      </x:c>
      <x:c r="D3227" s="35" t="str">
        <x:v>Lang_5</x:v>
      </x:c>
      <x:c r="E3227" s="35" t="str">
        <x:v>Condition</x:v>
      </x:c>
      <x:c r="F3227" s="35" t="n">
        <x:v>56</x:v>
      </x:c>
      <x:c r="G3227" s="35" t="str">
        <x:v>RECORDED</x:v>
      </x:c>
      <x:c r="H3227" s="39" t="n">
        <x:f>IF(ISNUMBER('Data'!N1519),'Data'!N1519*100,"")</x:f>
        <x:v>87.5</x:v>
      </x:c>
      <x:c r="I3227" s="35" t="str">
        <x:v>PASS</x:v>
      </x:c>
      <x:c r="J3227" s="35" t="str">
        <x:v>PASS</x:v>
      </x:c>
      <x:c r="K3227" s="35" t="str">
        <x:v>PASS</x:v>
      </x:c>
      <x:c r="L3227" s="35" t="str">
        <x:v>FAIL</x:v>
      </x:c>
      <x:c r="M3227" s="35" t="str">
        <x:v>numeric coverage for applicable metric</x:v>
      </x:c>
      <x:c r="N3227" s="35" t="str">
        <x:v>Deepseek-flash-v4/Result2/Lang_5/result.json</x:v>
      </x:c>
      <x:c r="O3227" s="39" t="n">
        <x:f>IF(AND(G3227="RECORDED",ISNUMBER(H3227)),H3227,"")</x:f>
        <x:v>87.5</x:v>
      </x:c>
      <x:c r="P3227" s="35" t="str">
        <x:v>INCONCLUSIVE</x:v>
      </x:c>
      <x:c r="Q3227" s="35" t="str">
        <x:v>Deepseek-flash-v4/Result2/Lang_5/result.json</x:v>
      </x:c>
    </x:row>
    <x:row r="3228">
      <x:c r="A3228" s="35" t="str">
        <x:v>deepseek</x:v>
      </x:c>
      <x:c r="B3228" s="35" t="str">
        <x:v>Lang</x:v>
      </x:c>
      <x:c r="C3228" s="35" t="str">
        <x:v>Round2</x:v>
      </x:c>
      <x:c r="D3228" s="35" t="str">
        <x:v>Lang_50</x:v>
      </x:c>
      <x:c r="E3228" s="35" t="str">
        <x:v>Condition</x:v>
      </x:c>
      <x:c r="F3228" s="35" t="n">
        <x:v>232</x:v>
      </x:c>
      <x:c r="G3228" s="35" t="str">
        <x:v>RECORDED</x:v>
      </x:c>
      <x:c r="H3228" s="39" t="n">
        <x:f>IF(ISNUMBER('Data'!N1520),'Data'!N1520*100,"")</x:f>
        <x:v>54.74</x:v>
      </x:c>
      <x:c r="I3228" s="35" t="str">
        <x:v>PASS</x:v>
      </x:c>
      <x:c r="J3228" s="35" t="str">
        <x:v>PASS</x:v>
      </x:c>
      <x:c r="K3228" s="35" t="str">
        <x:v>PASS</x:v>
      </x:c>
      <x:c r="L3228" s="35" t="str">
        <x:v>FAIL</x:v>
      </x:c>
      <x:c r="M3228" s="35" t="str">
        <x:v>numeric coverage for applicable metric</x:v>
      </x:c>
      <x:c r="N3228" s="35" t="str">
        <x:v>Deepseek-flash-v4/Result2/Lang_50/result.json</x:v>
      </x:c>
      <x:c r="O3228" s="39" t="n">
        <x:f>IF(AND(G3228="RECORDED",ISNUMBER(H3228)),H3228,"")</x:f>
        <x:v>54.74</x:v>
      </x:c>
      <x:c r="P3228" s="35" t="str">
        <x:v>INCONCLUSIVE</x:v>
      </x:c>
      <x:c r="Q3228" s="35" t="str">
        <x:v>Deepseek-flash-v4/Result2/Lang_50/result.json</x:v>
      </x:c>
    </x:row>
    <x:row r="3229">
      <x:c r="A3229" s="35" t="str">
        <x:v>deepseek</x:v>
      </x:c>
      <x:c r="B3229" s="35" t="str">
        <x:v>Lang</x:v>
      </x:c>
      <x:c r="C3229" s="35" t="str">
        <x:v>Round2</x:v>
      </x:c>
      <x:c r="D3229" s="35" t="str">
        <x:v>Lang_51</x:v>
      </x:c>
      <x:c r="E3229" s="35" t="str">
        <x:v>Condition</x:v>
      </x:c>
      <x:c r="F3229" s="35" t="n">
        <x:v>212</x:v>
      </x:c>
      <x:c r="G3229" s="35" t="str">
        <x:v>RECORDED</x:v>
      </x:c>
      <x:c r="H3229" s="39" t="n">
        <x:f>IF(ISNUMBER('Data'!N1521),'Data'!N1521*100,"")</x:f>
        <x:v>75.94</x:v>
      </x:c>
      <x:c r="I3229" s="35" t="str">
        <x:v>PASS</x:v>
      </x:c>
      <x:c r="J3229" s="35" t="str">
        <x:v>PASS</x:v>
      </x:c>
      <x:c r="K3229" s="35" t="str">
        <x:v>PASS</x:v>
      </x:c>
      <x:c r="L3229" s="35" t="str">
        <x:v>FAIL</x:v>
      </x:c>
      <x:c r="M3229" s="35" t="str">
        <x:v>numeric coverage for applicable metric</x:v>
      </x:c>
      <x:c r="N3229" s="35" t="str">
        <x:v>Deepseek-flash-v4/Result2/Lang_51/result.json</x:v>
      </x:c>
      <x:c r="O3229" s="39" t="n">
        <x:f>IF(AND(G3229="RECORDED",ISNUMBER(H3229)),H3229,"")</x:f>
        <x:v>75.94</x:v>
      </x:c>
      <x:c r="P3229" s="35" t="str">
        <x:v>INCONCLUSIVE</x:v>
      </x:c>
      <x:c r="Q3229" s="35" t="str">
        <x:v>Deepseek-flash-v4/Result2/Lang_51/result.json</x:v>
      </x:c>
    </x:row>
    <x:row r="3230">
      <x:c r="A3230" s="35" t="str">
        <x:v>deepseek</x:v>
      </x:c>
      <x:c r="B3230" s="35" t="str">
        <x:v>Lang</x:v>
      </x:c>
      <x:c r="C3230" s="35" t="str">
        <x:v>Round2</x:v>
      </x:c>
      <x:c r="D3230" s="35" t="str">
        <x:v>Lang_52</x:v>
      </x:c>
      <x:c r="E3230" s="35" t="str">
        <x:v>Condition</x:v>
      </x:c>
      <x:c r="F3230" s="35"/>
      <x:c r="G3230" s="35" t="str">
        <x:v>A</x:v>
      </x:c>
      <x:c r="H3230" s="39" t="str">
        <x:f>IF(ISNUMBER('Data'!N1522),'Data'!N1522*100,"")</x:f>
      </x:c>
      <x:c r="I3230" s="35"/>
      <x:c r="J3230" s="35" t="str">
        <x:v>PASS</x:v>
      </x:c>
      <x:c r="K3230" s="35" t="str">
        <x:v>FAIL</x:v>
      </x:c>
      <x:c r="L3230" s="35" t="str">
        <x:v>NOT_RUN</x:v>
      </x:c>
      <x:c r="M3230" s="35" t="str">
        <x:v>coverage unavailable or execution/compile failed</x:v>
      </x:c>
      <x:c r="N3230" s="35" t="str">
        <x:v>Deepseek-flash-v4/Result2/Lang_52/result.json</x:v>
      </x:c>
      <x:c r="O3230" s="39" t="str">
        <x:f>IF(AND(G3230="RECORDED",ISNUMBER(H3230)),H3230,"")</x:f>
      </x:c>
      <x:c r="P3230" s="35" t="str">
        <x:v>NOT_AVAILABLE</x:v>
      </x:c>
      <x:c r="Q3230" s="35" t="str">
        <x:v>Deepseek-flash-v4/Result2/Lang_52/result.json</x:v>
      </x:c>
    </x:row>
    <x:row r="3231">
      <x:c r="A3231" s="35" t="str">
        <x:v>deepseek</x:v>
      </x:c>
      <x:c r="B3231" s="35" t="str">
        <x:v>Lang</x:v>
      </x:c>
      <x:c r="C3231" s="35" t="str">
        <x:v>Round2</x:v>
      </x:c>
      <x:c r="D3231" s="35" t="str">
        <x:v>Lang_53</x:v>
      </x:c>
      <x:c r="E3231" s="35" t="str">
        <x:v>Condition</x:v>
      </x:c>
      <x:c r="F3231" s="35"/>
      <x:c r="G3231" s="35" t="str">
        <x:v>A</x:v>
      </x:c>
      <x:c r="H3231" s="39" t="str">
        <x:f>IF(ISNUMBER('Data'!N1523),'Data'!N1523*100,"")</x:f>
      </x:c>
      <x:c r="I3231" s="35"/>
      <x:c r="J3231" s="35" t="str">
        <x:v>PASS</x:v>
      </x:c>
      <x:c r="K3231" s="35" t="str">
        <x:v>FAIL</x:v>
      </x:c>
      <x:c r="L3231" s="35" t="str">
        <x:v>NOT_RUN</x:v>
      </x:c>
      <x:c r="M3231" s="35" t="str">
        <x:v>coverage unavailable or execution/compile failed</x:v>
      </x:c>
      <x:c r="N3231" s="35" t="str">
        <x:v>Deepseek-flash-v4/Result2/Lang_53/result.json</x:v>
      </x:c>
      <x:c r="O3231" s="39" t="str">
        <x:f>IF(AND(G3231="RECORDED",ISNUMBER(H3231)),H3231,"")</x:f>
      </x:c>
      <x:c r="P3231" s="35" t="str">
        <x:v>NOT_AVAILABLE</x:v>
      </x:c>
      <x:c r="Q3231" s="35" t="str">
        <x:v>Deepseek-flash-v4/Result2/Lang_53/result.json</x:v>
      </x:c>
    </x:row>
    <x:row r="3232">
      <x:c r="A3232" s="35" t="str">
        <x:v>deepseek</x:v>
      </x:c>
      <x:c r="B3232" s="35" t="str">
        <x:v>Lang</x:v>
      </x:c>
      <x:c r="C3232" s="35" t="str">
        <x:v>Round2</x:v>
      </x:c>
      <x:c r="D3232" s="35" t="str">
        <x:v>Lang_54</x:v>
      </x:c>
      <x:c r="E3232" s="35" t="str">
        <x:v>Condition</x:v>
      </x:c>
      <x:c r="F3232" s="35" t="n">
        <x:v>64</x:v>
      </x:c>
      <x:c r="G3232" s="35" t="str">
        <x:v>RECORDED</x:v>
      </x:c>
      <x:c r="H3232" s="39" t="n">
        <x:f>IF(ISNUMBER('Data'!N1524),'Data'!N1524*100,"")</x:f>
        <x:v>81.25</x:v>
      </x:c>
      <x:c r="I3232" s="35" t="str">
        <x:v>PASS</x:v>
      </x:c>
      <x:c r="J3232" s="35" t="str">
        <x:v>PASS</x:v>
      </x:c>
      <x:c r="K3232" s="35" t="str">
        <x:v>PASS</x:v>
      </x:c>
      <x:c r="L3232" s="35" t="str">
        <x:v>FAIL</x:v>
      </x:c>
      <x:c r="M3232" s="35" t="str">
        <x:v>numeric coverage for applicable metric</x:v>
      </x:c>
      <x:c r="N3232" s="35" t="str">
        <x:v>Deepseek-flash-v4/Result2/Lang_54/result.json</x:v>
      </x:c>
      <x:c r="O3232" s="39" t="n">
        <x:f>IF(AND(G3232="RECORDED",ISNUMBER(H3232)),H3232,"")</x:f>
        <x:v>81.25</x:v>
      </x:c>
      <x:c r="P3232" s="35" t="str">
        <x:v>INCONCLUSIVE</x:v>
      </x:c>
      <x:c r="Q3232" s="35" t="str">
        <x:v>Deepseek-flash-v4/Result2/Lang_54/result.json</x:v>
      </x:c>
    </x:row>
    <x:row r="3233">
      <x:c r="A3233" s="35" t="str">
        <x:v>deepseek</x:v>
      </x:c>
      <x:c r="B3233" s="35" t="str">
        <x:v>Lang</x:v>
      </x:c>
      <x:c r="C3233" s="35" t="str">
        <x:v>Round2</x:v>
      </x:c>
      <x:c r="D3233" s="35" t="str">
        <x:v>Lang_55</x:v>
      </x:c>
      <x:c r="E3233" s="35" t="str">
        <x:v>Condition</x:v>
      </x:c>
      <x:c r="F3233" s="35" t="n">
        <x:v>26</x:v>
      </x:c>
      <x:c r="G3233" s="35" t="str">
        <x:v>RECORDED</x:v>
      </x:c>
      <x:c r="H3233" s="39" t="n">
        <x:f>IF(ISNUMBER('Data'!N1525),'Data'!N1525*100,"")</x:f>
        <x:v>88.46</x:v>
      </x:c>
      <x:c r="I3233" s="35" t="str">
        <x:v>PASS</x:v>
      </x:c>
      <x:c r="J3233" s="35" t="str">
        <x:v>PASS</x:v>
      </x:c>
      <x:c r="K3233" s="35" t="str">
        <x:v>PASS</x:v>
      </x:c>
      <x:c r="L3233" s="35" t="str">
        <x:v>FAIL</x:v>
      </x:c>
      <x:c r="M3233" s="35" t="str">
        <x:v>numeric coverage for applicable metric</x:v>
      </x:c>
      <x:c r="N3233" s="35" t="str">
        <x:v>Deepseek-flash-v4/Result2/Lang_55/result.json</x:v>
      </x:c>
      <x:c r="O3233" s="39" t="n">
        <x:f>IF(AND(G3233="RECORDED",ISNUMBER(H3233)),H3233,"")</x:f>
        <x:v>88.46</x:v>
      </x:c>
      <x:c r="P3233" s="35" t="str">
        <x:v>INCONCLUSIVE</x:v>
      </x:c>
      <x:c r="Q3233" s="35" t="str">
        <x:v>Deepseek-flash-v4/Result2/Lang_55/result.json</x:v>
      </x:c>
    </x:row>
    <x:row r="3234">
      <x:c r="A3234" s="35" t="str">
        <x:v>deepseek</x:v>
      </x:c>
      <x:c r="B3234" s="35" t="str">
        <x:v>Lang</x:v>
      </x:c>
      <x:c r="C3234" s="35" t="str">
        <x:v>Round2</x:v>
      </x:c>
      <x:c r="D3234" s="35" t="str">
        <x:v>Lang_56</x:v>
      </x:c>
      <x:c r="E3234" s="35" t="str">
        <x:v>Condition</x:v>
      </x:c>
      <x:c r="F3234" s="35" t="n">
        <x:v>232</x:v>
      </x:c>
      <x:c r="G3234" s="35" t="str">
        <x:v>RECORDED</x:v>
      </x:c>
      <x:c r="H3234" s="39" t="n">
        <x:f>IF(ISNUMBER('Data'!N1526),'Data'!N1526*100,"")</x:f>
        <x:v>53.449999999999996</x:v>
      </x:c>
      <x:c r="I3234" s="35" t="str">
        <x:v>PASS</x:v>
      </x:c>
      <x:c r="J3234" s="35" t="str">
        <x:v>PASS</x:v>
      </x:c>
      <x:c r="K3234" s="35" t="str">
        <x:v>PASS</x:v>
      </x:c>
      <x:c r="L3234" s="35" t="str">
        <x:v>PASS</x:v>
      </x:c>
      <x:c r="M3234" s="35" t="str">
        <x:v>numeric coverage for applicable metric</x:v>
      </x:c>
      <x:c r="N3234" s="35" t="str">
        <x:v>Deepseek-flash-v4/Result2/Lang_56/result.json</x:v>
      </x:c>
      <x:c r="O3234" s="39" t="n">
        <x:f>IF(AND(G3234="RECORDED",ISNUMBER(H3234)),H3234,"")</x:f>
        <x:v>53.449999999999996</x:v>
      </x:c>
      <x:c r="P3234" s="35" t="str">
        <x:v>NOT_REVEALING</x:v>
      </x:c>
      <x:c r="Q3234" s="35" t="str">
        <x:v>Deepseek-flash-v4/Result2/Lang_56/result.json</x:v>
      </x:c>
    </x:row>
    <x:row r="3235">
      <x:c r="A3235" s="35" t="str">
        <x:v>deepseek</x:v>
      </x:c>
      <x:c r="B3235" s="35" t="str">
        <x:v>Lang</x:v>
      </x:c>
      <x:c r="C3235" s="35" t="str">
        <x:v>Round2</x:v>
      </x:c>
      <x:c r="D3235" s="35" t="str">
        <x:v>Lang_57</x:v>
      </x:c>
      <x:c r="E3235" s="35" t="str">
        <x:v>Condition</x:v>
      </x:c>
      <x:c r="F3235" s="35" t="n">
        <x:v>64</x:v>
      </x:c>
      <x:c r="G3235" s="35" t="str">
        <x:v>RECORDED</x:v>
      </x:c>
      <x:c r="H3235" s="39" t="n">
        <x:f>IF(ISNUMBER('Data'!N1527),'Data'!N1527*100,"")</x:f>
        <x:v>82.81</x:v>
      </x:c>
      <x:c r="I3235" s="35" t="str">
        <x:v>PASS</x:v>
      </x:c>
      <x:c r="J3235" s="35" t="str">
        <x:v>PASS</x:v>
      </x:c>
      <x:c r="K3235" s="35" t="str">
        <x:v>PASS</x:v>
      </x:c>
      <x:c r="L3235" s="35" t="str">
        <x:v>FAIL</x:v>
      </x:c>
      <x:c r="M3235" s="35" t="str">
        <x:v>numeric coverage for applicable metric</x:v>
      </x:c>
      <x:c r="N3235" s="35" t="str">
        <x:v>Deepseek-flash-v4/Result2/Lang_57/result.json</x:v>
      </x:c>
      <x:c r="O3235" s="39" t="n">
        <x:f>IF(AND(G3235="RECORDED",ISNUMBER(H3235)),H3235,"")</x:f>
        <x:v>82.81</x:v>
      </x:c>
      <x:c r="P3235" s="35" t="str">
        <x:v>INCONCLUSIVE</x:v>
      </x:c>
      <x:c r="Q3235" s="35" t="str">
        <x:v>Deepseek-flash-v4/Result2/Lang_57/result.json</x:v>
      </x:c>
    </x:row>
    <x:row r="3236">
      <x:c r="A3236" s="35" t="str">
        <x:v>deepseek</x:v>
      </x:c>
      <x:c r="B3236" s="35" t="str">
        <x:v>Lang</x:v>
      </x:c>
      <x:c r="C3236" s="35" t="str">
        <x:v>Round2</x:v>
      </x:c>
      <x:c r="D3236" s="35" t="str">
        <x:v>Lang_58</x:v>
      </x:c>
      <x:c r="E3236" s="35" t="str">
        <x:v>Condition</x:v>
      </x:c>
      <x:c r="F3236" s="35" t="n">
        <x:v>420</x:v>
      </x:c>
      <x:c r="G3236" s="35" t="str">
        <x:v>RECORDED</x:v>
      </x:c>
      <x:c r="H3236" s="39" t="n">
        <x:f>IF(ISNUMBER('Data'!N1528),'Data'!N1528*100,"")</x:f>
        <x:v>68.81</x:v>
      </x:c>
      <x:c r="I3236" s="35" t="str">
        <x:v>PASS</x:v>
      </x:c>
      <x:c r="J3236" s="35" t="str">
        <x:v>PASS</x:v>
      </x:c>
      <x:c r="K3236" s="35" t="str">
        <x:v>PASS</x:v>
      </x:c>
      <x:c r="L3236" s="35" t="str">
        <x:v>FAIL</x:v>
      </x:c>
      <x:c r="M3236" s="35" t="str">
        <x:v>numeric coverage for applicable metric</x:v>
      </x:c>
      <x:c r="N3236" s="35" t="str">
        <x:v>Deepseek-flash-v4/Result2/Lang_58/result.json</x:v>
      </x:c>
      <x:c r="O3236" s="39" t="n">
        <x:f>IF(AND(G3236="RECORDED",ISNUMBER(H3236)),H3236,"")</x:f>
        <x:v>68.81</x:v>
      </x:c>
      <x:c r="P3236" s="35" t="str">
        <x:v>INCONCLUSIVE</x:v>
      </x:c>
      <x:c r="Q3236" s="35" t="str">
        <x:v>Deepseek-flash-v4/Result2/Lang_58/result.json</x:v>
      </x:c>
    </x:row>
    <x:row r="3237">
      <x:c r="A3237" s="35" t="str">
        <x:v>deepseek</x:v>
      </x:c>
      <x:c r="B3237" s="35" t="str">
        <x:v>Lang</x:v>
      </x:c>
      <x:c r="C3237" s="35" t="str">
        <x:v>Round2</x:v>
      </x:c>
      <x:c r="D3237" s="35" t="str">
        <x:v>Lang_59</x:v>
      </x:c>
      <x:c r="E3237" s="35" t="str">
        <x:v>Condition</x:v>
      </x:c>
      <x:c r="F3237" s="35"/>
      <x:c r="G3237" s="35" t="str">
        <x:v>A</x:v>
      </x:c>
      <x:c r="H3237" s="39" t="str">
        <x:f>IF(ISNUMBER('Data'!N1529),'Data'!N1529*100,"")</x:f>
      </x:c>
      <x:c r="I3237" s="35"/>
      <x:c r="J3237" s="35" t="str">
        <x:v>PASS</x:v>
      </x:c>
      <x:c r="K3237" s="35" t="str">
        <x:v>FAIL</x:v>
      </x:c>
      <x:c r="L3237" s="35" t="str">
        <x:v>NOT_RUN</x:v>
      </x:c>
      <x:c r="M3237" s="35" t="str">
        <x:v>coverage unavailable or execution/compile failed</x:v>
      </x:c>
      <x:c r="N3237" s="35" t="str">
        <x:v>Deepseek-flash-v4/Result2/Lang_59/result.json</x:v>
      </x:c>
      <x:c r="O3237" s="39" t="str">
        <x:f>IF(AND(G3237="RECORDED",ISNUMBER(H3237)),H3237,"")</x:f>
      </x:c>
      <x:c r="P3237" s="35" t="str">
        <x:v>NOT_AVAILABLE</x:v>
      </x:c>
      <x:c r="Q3237" s="35" t="str">
        <x:v>Deepseek-flash-v4/Result2/Lang_59/result.json</x:v>
      </x:c>
    </x:row>
    <x:row r="3238">
      <x:c r="A3238" s="35" t="str">
        <x:v>deepseek</x:v>
      </x:c>
      <x:c r="B3238" s="35" t="str">
        <x:v>Lang</x:v>
      </x:c>
      <x:c r="C3238" s="35" t="str">
        <x:v>Round2</x:v>
      </x:c>
      <x:c r="D3238" s="35" t="str">
        <x:v>Lang_6</x:v>
      </x:c>
      <x:c r="E3238" s="35" t="str">
        <x:v>Condition</x:v>
      </x:c>
      <x:c r="F3238" s="35" t="n">
        <x:v>12</x:v>
      </x:c>
      <x:c r="G3238" s="35" t="str">
        <x:v>RECORDED</x:v>
      </x:c>
      <x:c r="H3238" s="39" t="n">
        <x:f>IF(ISNUMBER('Data'!N1530),'Data'!N1530*100,"")</x:f>
        <x:v>100</x:v>
      </x:c>
      <x:c r="I3238" s="35" t="str">
        <x:v>PASS</x:v>
      </x:c>
      <x:c r="J3238" s="35" t="str">
        <x:v>PASS</x:v>
      </x:c>
      <x:c r="K3238" s="35" t="str">
        <x:v>PASS</x:v>
      </x:c>
      <x:c r="L3238" s="35" t="str">
        <x:v>FAIL</x:v>
      </x:c>
      <x:c r="M3238" s="35" t="str">
        <x:v>numeric coverage for applicable metric</x:v>
      </x:c>
      <x:c r="N3238" s="35" t="str">
        <x:v>Deepseek-flash-v4/Result2/Lang_6/result.json</x:v>
      </x:c>
      <x:c r="O3238" s="39" t="n">
        <x:f>IF(AND(G3238="RECORDED",ISNUMBER(H3238)),H3238,"")</x:f>
        <x:v>100</x:v>
      </x:c>
      <x:c r="P3238" s="35" t="str">
        <x:v>INCONCLUSIVE</x:v>
      </x:c>
      <x:c r="Q3238" s="35" t="str">
        <x:v>Deepseek-flash-v4/Result2/Lang_6/result.json</x:v>
      </x:c>
    </x:row>
    <x:row r="3239">
      <x:c r="A3239" s="35" t="str">
        <x:v>deepseek</x:v>
      </x:c>
      <x:c r="B3239" s="35" t="str">
        <x:v>Lang</x:v>
      </x:c>
      <x:c r="C3239" s="35" t="str">
        <x:v>Round2</x:v>
      </x:c>
      <x:c r="D3239" s="35" t="str">
        <x:v>Lang_60</x:v>
      </x:c>
      <x:c r="E3239" s="35" t="str">
        <x:v>Condition</x:v>
      </x:c>
      <x:c r="F3239" s="35"/>
      <x:c r="G3239" s="35" t="str">
        <x:v>A</x:v>
      </x:c>
      <x:c r="H3239" s="39" t="str">
        <x:f>IF(ISNUMBER('Data'!N1531),'Data'!N1531*100,"")</x:f>
      </x:c>
      <x:c r="I3239" s="35"/>
      <x:c r="J3239" s="35" t="str">
        <x:v>PASS</x:v>
      </x:c>
      <x:c r="K3239" s="35" t="str">
        <x:v>FAIL</x:v>
      </x:c>
      <x:c r="L3239" s="35" t="str">
        <x:v>NOT_RUN</x:v>
      </x:c>
      <x:c r="M3239" s="35" t="str">
        <x:v>coverage unavailable or execution/compile failed</x:v>
      </x:c>
      <x:c r="N3239" s="35" t="str">
        <x:v>Deepseek-flash-v4/Result2/Lang_60/result.json</x:v>
      </x:c>
      <x:c r="O3239" s="39" t="str">
        <x:f>IF(AND(G3239="RECORDED",ISNUMBER(H3239)),H3239,"")</x:f>
      </x:c>
      <x:c r="P3239" s="35" t="str">
        <x:v>NOT_AVAILABLE</x:v>
      </x:c>
      <x:c r="Q3239" s="35" t="str">
        <x:v>Deepseek-flash-v4/Result2/Lang_60/result.json</x:v>
      </x:c>
    </x:row>
    <x:row r="3240">
      <x:c r="A3240" s="35" t="str">
        <x:v>deepseek</x:v>
      </x:c>
      <x:c r="B3240" s="35" t="str">
        <x:v>Lang</x:v>
      </x:c>
      <x:c r="C3240" s="35" t="str">
        <x:v>Round2</x:v>
      </x:c>
      <x:c r="D3240" s="35" t="str">
        <x:v>Lang_61</x:v>
      </x:c>
      <x:c r="E3240" s="35" t="str">
        <x:v>Condition</x:v>
      </x:c>
      <x:c r="F3240" s="35"/>
      <x:c r="G3240" s="35" t="str">
        <x:v>A</x:v>
      </x:c>
      <x:c r="H3240" s="39" t="str">
        <x:f>IF(ISNUMBER('Data'!N1532),'Data'!N1532*100,"")</x:f>
      </x:c>
      <x:c r="I3240" s="35"/>
      <x:c r="J3240" s="35" t="str">
        <x:v>PASS</x:v>
      </x:c>
      <x:c r="K3240" s="35" t="str">
        <x:v>FAIL</x:v>
      </x:c>
      <x:c r="L3240" s="35" t="str">
        <x:v>NOT_RUN</x:v>
      </x:c>
      <x:c r="M3240" s="35" t="str">
        <x:v>coverage unavailable or execution/compile failed</x:v>
      </x:c>
      <x:c r="N3240" s="35" t="str">
        <x:v>Deepseek-flash-v4/Result2/Lang_61/result.json</x:v>
      </x:c>
      <x:c r="O3240" s="39" t="str">
        <x:f>IF(AND(G3240="RECORDED",ISNUMBER(H3240)),H3240,"")</x:f>
      </x:c>
      <x:c r="P3240" s="35" t="str">
        <x:v>NOT_AVAILABLE</x:v>
      </x:c>
      <x:c r="Q3240" s="35" t="str">
        <x:v>Deepseek-flash-v4/Result2/Lang_61/result.json</x:v>
      </x:c>
    </x:row>
    <x:row r="3241">
      <x:c r="A3241" s="35" t="str">
        <x:v>deepseek</x:v>
      </x:c>
      <x:c r="B3241" s="35" t="str">
        <x:v>Lang</x:v>
      </x:c>
      <x:c r="C3241" s="35" t="str">
        <x:v>Round2</x:v>
      </x:c>
      <x:c r="D3241" s="35" t="str">
        <x:v>Lang_62</x:v>
      </x:c>
      <x:c r="E3241" s="35" t="str">
        <x:v>Condition</x:v>
      </x:c>
      <x:c r="F3241" s="35" t="n">
        <x:v>90</x:v>
      </x:c>
      <x:c r="G3241" s="35" t="str">
        <x:v>RECORDED</x:v>
      </x:c>
      <x:c r="H3241" s="39" t="n">
        <x:f>IF(ISNUMBER('Data'!N1533),'Data'!N1533*100,"")</x:f>
        <x:v>60</x:v>
      </x:c>
      <x:c r="I3241" s="35" t="str">
        <x:v>PASS</x:v>
      </x:c>
      <x:c r="J3241" s="35" t="str">
        <x:v>PASS</x:v>
      </x:c>
      <x:c r="K3241" s="35" t="str">
        <x:v>PASS</x:v>
      </x:c>
      <x:c r="L3241" s="35" t="str">
        <x:v>FAIL</x:v>
      </x:c>
      <x:c r="M3241" s="35" t="str">
        <x:v>numeric coverage for applicable metric</x:v>
      </x:c>
      <x:c r="N3241" s="35" t="str">
        <x:v>Deepseek-flash-v4/Result2/Lang_62/result.json</x:v>
      </x:c>
      <x:c r="O3241" s="39" t="n">
        <x:f>IF(AND(G3241="RECORDED",ISNUMBER(H3241)),H3241,"")</x:f>
        <x:v>60</x:v>
      </x:c>
      <x:c r="P3241" s="35" t="str">
        <x:v>INCONCLUSIVE</x:v>
      </x:c>
      <x:c r="Q3241" s="35" t="str">
        <x:v>Deepseek-flash-v4/Result2/Lang_62/result.json</x:v>
      </x:c>
    </x:row>
    <x:row r="3242">
      <x:c r="A3242" s="35" t="str">
        <x:v>deepseek</x:v>
      </x:c>
      <x:c r="B3242" s="35" t="str">
        <x:v>Lang</x:v>
      </x:c>
      <x:c r="C3242" s="35" t="str">
        <x:v>Round2</x:v>
      </x:c>
      <x:c r="D3242" s="35" t="str">
        <x:v>Lang_63</x:v>
      </x:c>
      <x:c r="E3242" s="35" t="str">
        <x:v>Condition</x:v>
      </x:c>
      <x:c r="F3242" s="35" t="n">
        <x:v>135</x:v>
      </x:c>
      <x:c r="G3242" s="35" t="str">
        <x:v>RECORDED</x:v>
      </x:c>
      <x:c r="H3242" s="39" t="n">
        <x:f>IF(ISNUMBER('Data'!N1534),'Data'!N1534*100,"")</x:f>
        <x:v>60.74</x:v>
      </x:c>
      <x:c r="I3242" s="35" t="str">
        <x:v>PASS</x:v>
      </x:c>
      <x:c r="J3242" s="35" t="str">
        <x:v>PASS</x:v>
      </x:c>
      <x:c r="K3242" s="35" t="str">
        <x:v>PASS</x:v>
      </x:c>
      <x:c r="L3242" s="35" t="str">
        <x:v>FAIL</x:v>
      </x:c>
      <x:c r="M3242" s="35" t="str">
        <x:v>numeric coverage for applicable metric</x:v>
      </x:c>
      <x:c r="N3242" s="35" t="str">
        <x:v>Deepseek-flash-v4/Result2/Lang_63/result.json</x:v>
      </x:c>
      <x:c r="O3242" s="39" t="n">
        <x:f>IF(AND(G3242="RECORDED",ISNUMBER(H3242)),H3242,"")</x:f>
        <x:v>60.74</x:v>
      </x:c>
      <x:c r="P3242" s="35" t="str">
        <x:v>INCONCLUSIVE</x:v>
      </x:c>
      <x:c r="Q3242" s="35" t="str">
        <x:v>Deepseek-flash-v4/Result2/Lang_63/result.json</x:v>
      </x:c>
    </x:row>
    <x:row r="3243">
      <x:c r="A3243" s="35" t="str">
        <x:v>deepseek</x:v>
      </x:c>
      <x:c r="B3243" s="35" t="str">
        <x:v>Lang</x:v>
      </x:c>
      <x:c r="C3243" s="35" t="str">
        <x:v>Round2</x:v>
      </x:c>
      <x:c r="D3243" s="35" t="str">
        <x:v>Lang_64</x:v>
      </x:c>
      <x:c r="E3243" s="35" t="str">
        <x:v>Condition</x:v>
      </x:c>
      <x:c r="F3243" s="35" t="n">
        <x:v>8</x:v>
      </x:c>
      <x:c r="G3243" s="35" t="str">
        <x:v>RECORDED</x:v>
      </x:c>
      <x:c r="H3243" s="39" t="n">
        <x:f>IF(ISNUMBER('Data'!N1535),'Data'!N1535*100,"")</x:f>
        <x:v>0</x:v>
      </x:c>
      <x:c r="I3243" s="35" t="str">
        <x:v>PASS</x:v>
      </x:c>
      <x:c r="J3243" s="35" t="str">
        <x:v>PASS</x:v>
      </x:c>
      <x:c r="K3243" s="35" t="str">
        <x:v>PASS</x:v>
      </x:c>
      <x:c r="L3243" s="35" t="str">
        <x:v>FAIL</x:v>
      </x:c>
      <x:c r="M3243" s="35" t="str">
        <x:v>numeric coverage for applicable metric</x:v>
      </x:c>
      <x:c r="N3243" s="35" t="str">
        <x:v>Deepseek-flash-v4/Result2/Lang_64/result.json</x:v>
      </x:c>
      <x:c r="O3243" s="39" t="n">
        <x:f>IF(AND(G3243="RECORDED",ISNUMBER(H3243)),H3243,"")</x:f>
        <x:v>0</x:v>
      </x:c>
      <x:c r="P3243" s="35" t="str">
        <x:v>INCONCLUSIVE</x:v>
      </x:c>
      <x:c r="Q3243" s="35" t="str">
        <x:v>Deepseek-flash-v4/Result2/Lang_64/result.json</x:v>
      </x:c>
    </x:row>
    <x:row r="3244">
      <x:c r="A3244" s="35" t="str">
        <x:v>deepseek</x:v>
      </x:c>
      <x:c r="B3244" s="35" t="str">
        <x:v>Lang</x:v>
      </x:c>
      <x:c r="C3244" s="35" t="str">
        <x:v>Round2</x:v>
      </x:c>
      <x:c r="D3244" s="35" t="str">
        <x:v>Lang_65</x:v>
      </x:c>
      <x:c r="E3244" s="35" t="str">
        <x:v>Condition</x:v>
      </x:c>
      <x:c r="F3244" s="35"/>
      <x:c r="G3244" s="35" t="str">
        <x:v>A</x:v>
      </x:c>
      <x:c r="H3244" s="39" t="str">
        <x:f>IF(ISNUMBER('Data'!N1536),'Data'!N1536*100,"")</x:f>
      </x:c>
      <x:c r="I3244" s="35"/>
      <x:c r="J3244" s="35" t="str">
        <x:v>PASS</x:v>
      </x:c>
      <x:c r="K3244" s="35" t="str">
        <x:v>FAIL</x:v>
      </x:c>
      <x:c r="L3244" s="35" t="str">
        <x:v>NOT_RUN</x:v>
      </x:c>
      <x:c r="M3244" s="35" t="str">
        <x:v>coverage unavailable or execution/compile failed</x:v>
      </x:c>
      <x:c r="N3244" s="35" t="str">
        <x:v>Deepseek-flash-v4/Result2/Lang_65/result.json</x:v>
      </x:c>
      <x:c r="O3244" s="39" t="str">
        <x:f>IF(AND(G3244="RECORDED",ISNUMBER(H3244)),H3244,"")</x:f>
      </x:c>
      <x:c r="P3244" s="35" t="str">
        <x:v>NOT_AVAILABLE</x:v>
      </x:c>
      <x:c r="Q3244" s="35" t="str">
        <x:v>Deepseek-flash-v4/Result2/Lang_65/result.json</x:v>
      </x:c>
    </x:row>
    <x:row r="3245">
      <x:c r="A3245" s="35" t="str">
        <x:v>deepseek</x:v>
      </x:c>
      <x:c r="B3245" s="35" t="str">
        <x:v>Lang</x:v>
      </x:c>
      <x:c r="C3245" s="35" t="str">
        <x:v>Round2</x:v>
      </x:c>
      <x:c r="D3245" s="35" t="str">
        <x:v>Lang_7</x:v>
      </x:c>
      <x:c r="E3245" s="35" t="str">
        <x:v>Condition</x:v>
      </x:c>
      <x:c r="F3245" s="35" t="n">
        <x:v>366</x:v>
      </x:c>
      <x:c r="G3245" s="35" t="str">
        <x:v>RECORDED</x:v>
      </x:c>
      <x:c r="H3245" s="39" t="n">
        <x:f>IF(ISNUMBER('Data'!N1537),'Data'!N1537*100,"")</x:f>
        <x:v>54.64</x:v>
      </x:c>
      <x:c r="I3245" s="35" t="str">
        <x:v>PASS</x:v>
      </x:c>
      <x:c r="J3245" s="35" t="str">
        <x:v>PASS</x:v>
      </x:c>
      <x:c r="K3245" s="35" t="str">
        <x:v>PASS</x:v>
      </x:c>
      <x:c r="L3245" s="35" t="str">
        <x:v>FAIL</x:v>
      </x:c>
      <x:c r="M3245" s="35" t="str">
        <x:v>numeric coverage for applicable metric</x:v>
      </x:c>
      <x:c r="N3245" s="35" t="str">
        <x:v>Deepseek-flash-v4/Result2/Lang_7/result.json</x:v>
      </x:c>
      <x:c r="O3245" s="39" t="n">
        <x:f>IF(AND(G3245="RECORDED",ISNUMBER(H3245)),H3245,"")</x:f>
        <x:v>54.64</x:v>
      </x:c>
      <x:c r="P3245" s="35" t="str">
        <x:v>INCONCLUSIVE</x:v>
      </x:c>
      <x:c r="Q3245" s="35" t="str">
        <x:v>Deepseek-flash-v4/Result2/Lang_7/result.json</x:v>
      </x:c>
    </x:row>
    <x:row r="3246">
      <x:c r="A3246" s="35" t="str">
        <x:v>deepseek</x:v>
      </x:c>
      <x:c r="B3246" s="35" t="str">
        <x:v>Lang</x:v>
      </x:c>
      <x:c r="C3246" s="35" t="str">
        <x:v>Round2</x:v>
      </x:c>
      <x:c r="D3246" s="35" t="str">
        <x:v>Lang_8</x:v>
      </x:c>
      <x:c r="E3246" s="35" t="str">
        <x:v>Condition</x:v>
      </x:c>
      <x:c r="F3246" s="35" t="n">
        <x:v>150</x:v>
      </x:c>
      <x:c r="G3246" s="35" t="str">
        <x:v>RECORDED</x:v>
      </x:c>
      <x:c r="H3246" s="39" t="n">
        <x:f>IF(ISNUMBER('Data'!N1538),'Data'!N1538*100,"")</x:f>
        <x:v>53.33</x:v>
      </x:c>
      <x:c r="I3246" s="35" t="str">
        <x:v>PASS</x:v>
      </x:c>
      <x:c r="J3246" s="35" t="str">
        <x:v>PASS</x:v>
      </x:c>
      <x:c r="K3246" s="35" t="str">
        <x:v>PASS</x:v>
      </x:c>
      <x:c r="L3246" s="35" t="str">
        <x:v>PASS</x:v>
      </x:c>
      <x:c r="M3246" s="35" t="str">
        <x:v>numeric coverage for applicable metric</x:v>
      </x:c>
      <x:c r="N3246" s="35" t="str">
        <x:v>Deepseek-flash-v4/Result2/Lang_8/result.json</x:v>
      </x:c>
      <x:c r="O3246" s="39" t="n">
        <x:f>IF(AND(G3246="RECORDED",ISNUMBER(H3246)),H3246,"")</x:f>
        <x:v>53.33</x:v>
      </x:c>
      <x:c r="P3246" s="35" t="str">
        <x:v>NOT_REVEALING</x:v>
      </x:c>
      <x:c r="Q3246" s="35" t="str">
        <x:v>Deepseek-flash-v4/Result2/Lang_8/result.json</x:v>
      </x:c>
    </x:row>
    <x:row r="3247">
      <x:c r="A3247" s="35" t="str">
        <x:v>deepseek</x:v>
      </x:c>
      <x:c r="B3247" s="35" t="str">
        <x:v>Lang</x:v>
      </x:c>
      <x:c r="C3247" s="35" t="str">
        <x:v>Round2</x:v>
      </x:c>
      <x:c r="D3247" s="35" t="str">
        <x:v>Lang_9</x:v>
      </x:c>
      <x:c r="E3247" s="35" t="str">
        <x:v>Condition</x:v>
      </x:c>
      <x:c r="F3247" s="35" t="n">
        <x:v>123</x:v>
      </x:c>
      <x:c r="G3247" s="35" t="str">
        <x:v>RECORDED</x:v>
      </x:c>
      <x:c r="H3247" s="39" t="n">
        <x:f>IF(ISNUMBER('Data'!N1539),'Data'!N1539*100,"")</x:f>
        <x:v>69.11</x:v>
      </x:c>
      <x:c r="I3247" s="35" t="str">
        <x:v>PASS</x:v>
      </x:c>
      <x:c r="J3247" s="35" t="str">
        <x:v>PASS</x:v>
      </x:c>
      <x:c r="K3247" s="35" t="str">
        <x:v>PASS</x:v>
      </x:c>
      <x:c r="L3247" s="35" t="str">
        <x:v>FAIL</x:v>
      </x:c>
      <x:c r="M3247" s="35" t="str">
        <x:v>numeric coverage for applicable metric</x:v>
      </x:c>
      <x:c r="N3247" s="35" t="str">
        <x:v>Deepseek-flash-v4/Result2/Lang_9/result.json</x:v>
      </x:c>
      <x:c r="O3247" s="39" t="n">
        <x:f>IF(AND(G3247="RECORDED",ISNUMBER(H3247)),H3247,"")</x:f>
        <x:v>69.11</x:v>
      </x:c>
      <x:c r="P3247" s="35" t="str">
        <x:v>INCONCLUSIVE</x:v>
      </x:c>
      <x:c r="Q3247" s="35" t="str">
        <x:v>Deepseek-flash-v4/Result2/Lang_9/result.json</x:v>
      </x:c>
    </x:row>
    <x:row r="3248">
      <x:c r="A3248" s="35" t="str">
        <x:v>deepseek</x:v>
      </x:c>
      <x:c r="B3248" s="35" t="str">
        <x:v>Math</x:v>
      </x:c>
      <x:c r="C3248" s="35" t="str">
        <x:v>Round2</x:v>
      </x:c>
      <x:c r="D3248" s="35" t="str">
        <x:v>Math_1</x:v>
      </x:c>
      <x:c r="E3248" s="35" t="str">
        <x:v>Condition</x:v>
      </x:c>
      <x:c r="F3248" s="35" t="n">
        <x:v>192</x:v>
      </x:c>
      <x:c r="G3248" s="35" t="str">
        <x:v>RECORDED</x:v>
      </x:c>
      <x:c r="H3248" s="39" t="n">
        <x:f>IF(ISNUMBER('Data'!N1540),'Data'!N1540*100,"")</x:f>
        <x:v>78.65</x:v>
      </x:c>
      <x:c r="I3248" s="35" t="str">
        <x:v>PASS</x:v>
      </x:c>
      <x:c r="J3248" s="35" t="str">
        <x:v>PASS</x:v>
      </x:c>
      <x:c r="K3248" s="35" t="str">
        <x:v>PASS</x:v>
      </x:c>
      <x:c r="L3248" s="35" t="str">
        <x:v>FAIL</x:v>
      </x:c>
      <x:c r="M3248" s="35" t="str">
        <x:v>numeric coverage for applicable metric</x:v>
      </x:c>
      <x:c r="N3248" s="35" t="str">
        <x:v>Deepseek-flash-v4/Result2/Math_1/result.json</x:v>
      </x:c>
      <x:c r="O3248" s="39" t="n">
        <x:f>IF(AND(G3248="RECORDED",ISNUMBER(H3248)),H3248,"")</x:f>
        <x:v>78.65</x:v>
      </x:c>
      <x:c r="P3248" s="35" t="str">
        <x:v>INCONCLUSIVE</x:v>
      </x:c>
      <x:c r="Q3248" s="35" t="str">
        <x:v>Deepseek-flash-v4/Result2/Math_1/result.json</x:v>
      </x:c>
    </x:row>
    <x:row r="3249">
      <x:c r="A3249" s="35" t="str">
        <x:v>deepseek</x:v>
      </x:c>
      <x:c r="B3249" s="35" t="str">
        <x:v>Math</x:v>
      </x:c>
      <x:c r="C3249" s="35" t="str">
        <x:v>Round2</x:v>
      </x:c>
      <x:c r="D3249" s="35" t="str">
        <x:v>Math_10</x:v>
      </x:c>
      <x:c r="E3249" s="35" t="str">
        <x:v>Condition</x:v>
      </x:c>
      <x:c r="F3249" s="35" t="n">
        <x:v>286</x:v>
      </x:c>
      <x:c r="G3249" s="35" t="str">
        <x:v>RECORDED</x:v>
      </x:c>
      <x:c r="H3249" s="39" t="n">
        <x:f>IF(ISNUMBER('Data'!N1541),'Data'!N1541*100,"")</x:f>
        <x:v>66.08</x:v>
      </x:c>
      <x:c r="I3249" s="35" t="str">
        <x:v>PASS</x:v>
      </x:c>
      <x:c r="J3249" s="35" t="str">
        <x:v>PASS</x:v>
      </x:c>
      <x:c r="K3249" s="35" t="str">
        <x:v>PASS</x:v>
      </x:c>
      <x:c r="L3249" s="35" t="str">
        <x:v>FAIL</x:v>
      </x:c>
      <x:c r="M3249" s="35" t="str">
        <x:v>numeric coverage for applicable metric</x:v>
      </x:c>
      <x:c r="N3249" s="35" t="str">
        <x:v>Deepseek-flash-v4/Result2/Math_10/result.json</x:v>
      </x:c>
      <x:c r="O3249" s="39" t="n">
        <x:f>IF(AND(G3249="RECORDED",ISNUMBER(H3249)),H3249,"")</x:f>
        <x:v>66.08</x:v>
      </x:c>
      <x:c r="P3249" s="35" t="str">
        <x:v>INCONCLUSIVE</x:v>
      </x:c>
      <x:c r="Q3249" s="35" t="str">
        <x:v>Deepseek-flash-v4/Result2/Math_10/result.json</x:v>
      </x:c>
    </x:row>
    <x:row r="3250">
      <x:c r="A3250" s="35" t="str">
        <x:v>deepseek</x:v>
      </x:c>
      <x:c r="B3250" s="35" t="str">
        <x:v>Math</x:v>
      </x:c>
      <x:c r="C3250" s="35" t="str">
        <x:v>Round2</x:v>
      </x:c>
      <x:c r="D3250" s="35" t="str">
        <x:v>Math_100</x:v>
      </x:c>
      <x:c r="E3250" s="35" t="str">
        <x:v>Condition</x:v>
      </x:c>
      <x:c r="F3250" s="35"/>
      <x:c r="G3250" s="35" t="str">
        <x:v>A</x:v>
      </x:c>
      <x:c r="H3250" s="39" t="str">
        <x:f>IF(ISNUMBER('Data'!N1542),'Data'!N1542*100,"")</x:f>
      </x:c>
      <x:c r="I3250" s="35"/>
      <x:c r="J3250" s="35" t="str">
        <x:v>PASS</x:v>
      </x:c>
      <x:c r="K3250" s="35" t="str">
        <x:v>FAIL</x:v>
      </x:c>
      <x:c r="L3250" s="35" t="str">
        <x:v>NOT_RUN</x:v>
      </x:c>
      <x:c r="M3250" s="35" t="str">
        <x:v>coverage unavailable or execution/compile failed</x:v>
      </x:c>
      <x:c r="N3250" s="35" t="str">
        <x:v>Deepseek-flash-v4/Result2/Math_100/result.json</x:v>
      </x:c>
      <x:c r="O3250" s="39" t="str">
        <x:f>IF(AND(G3250="RECORDED",ISNUMBER(H3250)),H3250,"")</x:f>
      </x:c>
      <x:c r="P3250" s="35" t="str">
        <x:v>NOT_AVAILABLE</x:v>
      </x:c>
      <x:c r="Q3250" s="35" t="str">
        <x:v>Deepseek-flash-v4/Result2/Math_100/result.json</x:v>
      </x:c>
    </x:row>
    <x:row r="3251">
      <x:c r="A3251" s="35" t="str">
        <x:v>deepseek</x:v>
      </x:c>
      <x:c r="B3251" s="35" t="str">
        <x:v>Math</x:v>
      </x:c>
      <x:c r="C3251" s="35" t="str">
        <x:v>Round2</x:v>
      </x:c>
      <x:c r="D3251" s="35" t="str">
        <x:v>Math_101</x:v>
      </x:c>
      <x:c r="E3251" s="35" t="str">
        <x:v>Condition</x:v>
      </x:c>
      <x:c r="F3251" s="35" t="n">
        <x:v>52</x:v>
      </x:c>
      <x:c r="G3251" s="35" t="str">
        <x:v>RECORDED</x:v>
      </x:c>
      <x:c r="H3251" s="39" t="n">
        <x:f>IF(ISNUMBER('Data'!N1543),'Data'!N1543*100,"")</x:f>
        <x:v>94.23</x:v>
      </x:c>
      <x:c r="I3251" s="35" t="str">
        <x:v>PASS</x:v>
      </x:c>
      <x:c r="J3251" s="35" t="str">
        <x:v>PASS</x:v>
      </x:c>
      <x:c r="K3251" s="35" t="str">
        <x:v>PASS</x:v>
      </x:c>
      <x:c r="L3251" s="35" t="str">
        <x:v>PASS</x:v>
      </x:c>
      <x:c r="M3251" s="35" t="str">
        <x:v>numeric coverage for applicable metric</x:v>
      </x:c>
      <x:c r="N3251" s="35" t="str">
        <x:v>Deepseek-flash-v4/Result2/Math_101/result.json</x:v>
      </x:c>
      <x:c r="O3251" s="39" t="n">
        <x:f>IF(AND(G3251="RECORDED",ISNUMBER(H3251)),H3251,"")</x:f>
        <x:v>94.23</x:v>
      </x:c>
      <x:c r="P3251" s="35" t="str">
        <x:v>NOT_REVEALING</x:v>
      </x:c>
      <x:c r="Q3251" s="35" t="str">
        <x:v>Deepseek-flash-v4/Result2/Math_101/result.json</x:v>
      </x:c>
    </x:row>
    <x:row r="3252">
      <x:c r="A3252" s="35" t="str">
        <x:v>deepseek</x:v>
      </x:c>
      <x:c r="B3252" s="35" t="str">
        <x:v>Math</x:v>
      </x:c>
      <x:c r="C3252" s="35" t="str">
        <x:v>Round2</x:v>
      </x:c>
      <x:c r="D3252" s="35" t="str">
        <x:v>Math_102</x:v>
      </x:c>
      <x:c r="E3252" s="35" t="str">
        <x:v>Condition</x:v>
      </x:c>
      <x:c r="F3252" s="35" t="n">
        <x:v>86</x:v>
      </x:c>
      <x:c r="G3252" s="35" t="str">
        <x:v>RECORDED</x:v>
      </x:c>
      <x:c r="H3252" s="39" t="n">
        <x:f>IF(ISNUMBER('Data'!N1544),'Data'!N1544*100,"")</x:f>
        <x:v>90.7</x:v>
      </x:c>
      <x:c r="I3252" s="35" t="str">
        <x:v>PASS</x:v>
      </x:c>
      <x:c r="J3252" s="35" t="str">
        <x:v>PASS</x:v>
      </x:c>
      <x:c r="K3252" s="35" t="str">
        <x:v>PASS</x:v>
      </x:c>
      <x:c r="L3252" s="35" t="str">
        <x:v>PASS</x:v>
      </x:c>
      <x:c r="M3252" s="35" t="str">
        <x:v>numeric coverage for applicable metric</x:v>
      </x:c>
      <x:c r="N3252" s="35" t="str">
        <x:v>Deepseek-flash-v4/Result2/Math_102/result.json</x:v>
      </x:c>
      <x:c r="O3252" s="39" t="n">
        <x:f>IF(AND(G3252="RECORDED",ISNUMBER(H3252)),H3252,"")</x:f>
        <x:v>90.7</x:v>
      </x:c>
      <x:c r="P3252" s="35" t="str">
        <x:v>INCONCLUSIVE</x:v>
      </x:c>
      <x:c r="Q3252" s="35" t="str">
        <x:v>Deepseek-flash-v4/Result2/Math_102/result.json</x:v>
      </x:c>
    </x:row>
    <x:row r="3253">
      <x:c r="A3253" s="35" t="str">
        <x:v>deepseek</x:v>
      </x:c>
      <x:c r="B3253" s="35" t="str">
        <x:v>Math</x:v>
      </x:c>
      <x:c r="C3253" s="35" t="str">
        <x:v>Round2</x:v>
      </x:c>
      <x:c r="D3253" s="35" t="str">
        <x:v>Math_103</x:v>
      </x:c>
      <x:c r="E3253" s="35" t="str">
        <x:v>Condition</x:v>
      </x:c>
      <x:c r="F3253" s="35" t="n">
        <x:v>14</x:v>
      </x:c>
      <x:c r="G3253" s="35" t="str">
        <x:v>RECORDED</x:v>
      </x:c>
      <x:c r="H3253" s="39" t="n">
        <x:f>IF(ISNUMBER('Data'!N1545),'Data'!N1545*100,"")</x:f>
        <x:v>100</x:v>
      </x:c>
      <x:c r="I3253" s="35" t="str">
        <x:v>PASS</x:v>
      </x:c>
      <x:c r="J3253" s="35" t="str">
        <x:v>PASS</x:v>
      </x:c>
      <x:c r="K3253" s="35" t="str">
        <x:v>PASS</x:v>
      </x:c>
      <x:c r="L3253" s="35" t="str">
        <x:v>FAIL</x:v>
      </x:c>
      <x:c r="M3253" s="35" t="str">
        <x:v>numeric coverage for applicable metric</x:v>
      </x:c>
      <x:c r="N3253" s="35" t="str">
        <x:v>Deepseek-flash-v4/Result2/Math_103/result.json</x:v>
      </x:c>
      <x:c r="O3253" s="39" t="n">
        <x:f>IF(AND(G3253="RECORDED",ISNUMBER(H3253)),H3253,"")</x:f>
        <x:v>100</x:v>
      </x:c>
      <x:c r="P3253" s="35" t="str">
        <x:v>INCONCLUSIVE</x:v>
      </x:c>
      <x:c r="Q3253" s="35" t="str">
        <x:v>Deepseek-flash-v4/Result2/Math_103/result.json</x:v>
      </x:c>
    </x:row>
    <x:row r="3254">
      <x:c r="A3254" s="35" t="str">
        <x:v>deepseek</x:v>
      </x:c>
      <x:c r="B3254" s="35" t="str">
        <x:v>Math</x:v>
      </x:c>
      <x:c r="C3254" s="35" t="str">
        <x:v>Round2</x:v>
      </x:c>
      <x:c r="D3254" s="35" t="str">
        <x:v>Math_104</x:v>
      </x:c>
      <x:c r="E3254" s="35" t="str">
        <x:v>Condition</x:v>
      </x:c>
      <x:c r="F3254" s="35" t="n">
        <x:v>40</x:v>
      </x:c>
      <x:c r="G3254" s="35" t="str">
        <x:v>RECORDED</x:v>
      </x:c>
      <x:c r="H3254" s="39" t="n">
        <x:f>IF(ISNUMBER('Data'!N1546),'Data'!N1546*100,"")</x:f>
        <x:v>90</x:v>
      </x:c>
      <x:c r="I3254" s="35" t="str">
        <x:v>PASS</x:v>
      </x:c>
      <x:c r="J3254" s="35" t="str">
        <x:v>PASS</x:v>
      </x:c>
      <x:c r="K3254" s="35" t="str">
        <x:v>PASS</x:v>
      </x:c>
      <x:c r="L3254" s="35" t="str">
        <x:v>FAIL</x:v>
      </x:c>
      <x:c r="M3254" s="35" t="str">
        <x:v>numeric coverage for applicable metric</x:v>
      </x:c>
      <x:c r="N3254" s="35" t="str">
        <x:v>Deepseek-flash-v4/Result2/Math_104/result.json</x:v>
      </x:c>
      <x:c r="O3254" s="39" t="n">
        <x:f>IF(AND(G3254="RECORDED",ISNUMBER(H3254)),H3254,"")</x:f>
        <x:v>90</x:v>
      </x:c>
      <x:c r="P3254" s="35" t="str">
        <x:v>INCONCLUSIVE</x:v>
      </x:c>
      <x:c r="Q3254" s="35" t="str">
        <x:v>Deepseek-flash-v4/Result2/Math_104/result.json</x:v>
      </x:c>
    </x:row>
    <x:row r="3255">
      <x:c r="A3255" s="35" t="str">
        <x:v>deepseek</x:v>
      </x:c>
      <x:c r="B3255" s="35" t="str">
        <x:v>Math</x:v>
      </x:c>
      <x:c r="C3255" s="35" t="str">
        <x:v>Round2</x:v>
      </x:c>
      <x:c r="D3255" s="35" t="str">
        <x:v>Math_105</x:v>
      </x:c>
      <x:c r="E3255" s="35" t="str">
        <x:v>Condition</x:v>
      </x:c>
      <x:c r="F3255" s="35" t="n">
        <x:v>18</x:v>
      </x:c>
      <x:c r="G3255" s="35" t="str">
        <x:v>RECORDED</x:v>
      </x:c>
      <x:c r="H3255" s="39" t="n">
        <x:f>IF(ISNUMBER('Data'!N1547),'Data'!N1547*100,"")</x:f>
        <x:v>100</x:v>
      </x:c>
      <x:c r="I3255" s="35" t="str">
        <x:v>PASS</x:v>
      </x:c>
      <x:c r="J3255" s="35" t="str">
        <x:v>PASS</x:v>
      </x:c>
      <x:c r="K3255" s="35" t="str">
        <x:v>PASS</x:v>
      </x:c>
      <x:c r="L3255" s="35" t="str">
        <x:v>FAIL</x:v>
      </x:c>
      <x:c r="M3255" s="35" t="str">
        <x:v>numeric coverage for applicable metric</x:v>
      </x:c>
      <x:c r="N3255" s="35" t="str">
        <x:v>Deepseek-flash-v4/Result2/Math_105/result.json</x:v>
      </x:c>
      <x:c r="O3255" s="39" t="n">
        <x:f>IF(AND(G3255="RECORDED",ISNUMBER(H3255)),H3255,"")</x:f>
        <x:v>100</x:v>
      </x:c>
      <x:c r="P3255" s="35" t="str">
        <x:v>INCONCLUSIVE</x:v>
      </x:c>
      <x:c r="Q3255" s="35" t="str">
        <x:v>Deepseek-flash-v4/Result2/Math_105/result.json</x:v>
      </x:c>
    </x:row>
    <x:row r="3256">
      <x:c r="A3256" s="35" t="str">
        <x:v>deepseek</x:v>
      </x:c>
      <x:c r="B3256" s="35" t="str">
        <x:v>Math</x:v>
      </x:c>
      <x:c r="C3256" s="35" t="str">
        <x:v>Round2</x:v>
      </x:c>
      <x:c r="D3256" s="35" t="str">
        <x:v>Math_106</x:v>
      </x:c>
      <x:c r="E3256" s="35" t="str">
        <x:v>Condition</x:v>
      </x:c>
      <x:c r="F3256" s="35" t="n">
        <x:v>15</x:v>
      </x:c>
      <x:c r="G3256" s="35" t="str">
        <x:v>RECORDED</x:v>
      </x:c>
      <x:c r="H3256" s="39" t="n">
        <x:f>IF(ISNUMBER('Data'!N1548),'Data'!N1548*100,"")</x:f>
        <x:v>80</x:v>
      </x:c>
      <x:c r="I3256" s="35" t="str">
        <x:v>PASS</x:v>
      </x:c>
      <x:c r="J3256" s="35" t="str">
        <x:v>PASS</x:v>
      </x:c>
      <x:c r="K3256" s="35" t="str">
        <x:v>PASS</x:v>
      </x:c>
      <x:c r="L3256" s="35" t="str">
        <x:v>FAIL</x:v>
      </x:c>
      <x:c r="M3256" s="35" t="str">
        <x:v>numeric coverage for applicable metric</x:v>
      </x:c>
      <x:c r="N3256" s="35" t="str">
        <x:v>Deepseek-flash-v4/Result2/Math_106/result.json</x:v>
      </x:c>
      <x:c r="O3256" s="39" t="n">
        <x:f>IF(AND(G3256="RECORDED",ISNUMBER(H3256)),H3256,"")</x:f>
        <x:v>80</x:v>
      </x:c>
      <x:c r="P3256" s="35" t="str">
        <x:v>INCONCLUSIVE</x:v>
      </x:c>
      <x:c r="Q3256" s="35" t="str">
        <x:v>Deepseek-flash-v4/Result2/Math_106/result.json</x:v>
      </x:c>
    </x:row>
    <x:row r="3257">
      <x:c r="A3257" s="35" t="str">
        <x:v>deepseek</x:v>
      </x:c>
      <x:c r="B3257" s="35" t="str">
        <x:v>Math</x:v>
      </x:c>
      <x:c r="C3257" s="35" t="str">
        <x:v>Round2</x:v>
      </x:c>
      <x:c r="D3257" s="35" t="str">
        <x:v>Math_11</x:v>
      </x:c>
      <x:c r="E3257" s="35" t="str">
        <x:v>Condition</x:v>
      </x:c>
      <x:c r="F3257" s="35" t="n">
        <x:v>28</x:v>
      </x:c>
      <x:c r="G3257" s="35" t="str">
        <x:v>RECORDED</x:v>
      </x:c>
      <x:c r="H3257" s="39" t="n">
        <x:f>IF(ISNUMBER('Data'!N1549),'Data'!N1549*100,"")</x:f>
        <x:v>100</x:v>
      </x:c>
      <x:c r="I3257" s="35" t="str">
        <x:v>PASS</x:v>
      </x:c>
      <x:c r="J3257" s="35" t="str">
        <x:v>PASS</x:v>
      </x:c>
      <x:c r="K3257" s="35" t="str">
        <x:v>PASS</x:v>
      </x:c>
      <x:c r="L3257" s="35" t="str">
        <x:v>FAIL</x:v>
      </x:c>
      <x:c r="M3257" s="35" t="str">
        <x:v>numeric coverage for applicable metric</x:v>
      </x:c>
      <x:c r="N3257" s="35" t="str">
        <x:v>Deepseek-flash-v4/Result2/Math_11/result.json</x:v>
      </x:c>
      <x:c r="O3257" s="39" t="n">
        <x:f>IF(AND(G3257="RECORDED",ISNUMBER(H3257)),H3257,"")</x:f>
        <x:v>100</x:v>
      </x:c>
      <x:c r="P3257" s="35" t="str">
        <x:v>INCONCLUSIVE</x:v>
      </x:c>
      <x:c r="Q3257" s="35" t="str">
        <x:v>Deepseek-flash-v4/Result2/Math_11/result.json</x:v>
      </x:c>
    </x:row>
    <x:row r="3258">
      <x:c r="A3258" s="35" t="str">
        <x:v>deepseek</x:v>
      </x:c>
      <x:c r="B3258" s="35" t="str">
        <x:v>Math</x:v>
      </x:c>
      <x:c r="C3258" s="35" t="str">
        <x:v>Round2</x:v>
      </x:c>
      <x:c r="D3258" s="35" t="str">
        <x:v>Math_12</x:v>
      </x:c>
      <x:c r="E3258" s="35" t="str">
        <x:v>Condition</x:v>
      </x:c>
      <x:c r="F3258" s="35" t="n">
        <x:v>14</x:v>
      </x:c>
      <x:c r="G3258" s="35" t="str">
        <x:v>RECORDED</x:v>
      </x:c>
      <x:c r="H3258" s="39" t="n">
        <x:f>IF(ISNUMBER('Data'!N1550),'Data'!N1550*100,"")</x:f>
        <x:v>85.71</x:v>
      </x:c>
      <x:c r="I3258" s="35" t="str">
        <x:v>PASS</x:v>
      </x:c>
      <x:c r="J3258" s="35" t="str">
        <x:v>PASS</x:v>
      </x:c>
      <x:c r="K3258" s="35" t="str">
        <x:v>PASS</x:v>
      </x:c>
      <x:c r="L3258" s="35" t="str">
        <x:v>FAIL</x:v>
      </x:c>
      <x:c r="M3258" s="35" t="str">
        <x:v>numeric coverage for applicable metric</x:v>
      </x:c>
      <x:c r="N3258" s="35" t="str">
        <x:v>Deepseek-flash-v4/Result2/Math_12/result.json</x:v>
      </x:c>
      <x:c r="O3258" s="39" t="n">
        <x:f>IF(AND(G3258="RECORDED",ISNUMBER(H3258)),H3258,"")</x:f>
        <x:v>85.71</x:v>
      </x:c>
      <x:c r="P3258" s="35" t="str">
        <x:v>INCONCLUSIVE</x:v>
      </x:c>
      <x:c r="Q3258" s="35" t="str">
        <x:v>Deepseek-flash-v4/Result2/Math_12/result.json</x:v>
      </x:c>
    </x:row>
    <x:row r="3259">
      <x:c r="A3259" s="35" t="str">
        <x:v>deepseek</x:v>
      </x:c>
      <x:c r="B3259" s="35" t="str">
        <x:v>Math</x:v>
      </x:c>
      <x:c r="C3259" s="35" t="str">
        <x:v>Round2</x:v>
      </x:c>
      <x:c r="D3259" s="35" t="str">
        <x:v>Math_13</x:v>
      </x:c>
      <x:c r="E3259" s="35" t="str">
        <x:v>Condition</x:v>
      </x:c>
      <x:c r="F3259" s="35"/>
      <x:c r="G3259" s="35" t="str">
        <x:v>A</x:v>
      </x:c>
      <x:c r="H3259" s="39" t="str">
        <x:f>IF(ISNUMBER('Data'!N1551),'Data'!N1551*100,"")</x:f>
      </x:c>
      <x:c r="I3259" s="35"/>
      <x:c r="J3259" s="35" t="str">
        <x:v>PASS</x:v>
      </x:c>
      <x:c r="K3259" s="35" t="str">
        <x:v>FAIL</x:v>
      </x:c>
      <x:c r="L3259" s="35" t="str">
        <x:v>NOT_RUN</x:v>
      </x:c>
      <x:c r="M3259" s="35" t="str">
        <x:v>coverage unavailable or execution/compile failed</x:v>
      </x:c>
      <x:c r="N3259" s="35" t="str">
        <x:v>Deepseek-flash-v4/Result2/Math_13/result.json</x:v>
      </x:c>
      <x:c r="O3259" s="39" t="str">
        <x:f>IF(AND(G3259="RECORDED",ISNUMBER(H3259)),H3259,"")</x:f>
      </x:c>
      <x:c r="P3259" s="35" t="str">
        <x:v>NOT_AVAILABLE</x:v>
      </x:c>
      <x:c r="Q3259" s="35" t="str">
        <x:v>Deepseek-flash-v4/Result2/Math_13/result.json</x:v>
      </x:c>
    </x:row>
    <x:row r="3260">
      <x:c r="A3260" s="35" t="str">
        <x:v>deepseek</x:v>
      </x:c>
      <x:c r="B3260" s="35" t="str">
        <x:v>Math</x:v>
      </x:c>
      <x:c r="C3260" s="35" t="str">
        <x:v>Round2</x:v>
      </x:c>
      <x:c r="D3260" s="35" t="str">
        <x:v>Math_14</x:v>
      </x:c>
      <x:c r="E3260" s="35" t="str">
        <x:v>Condition</x:v>
      </x:c>
      <x:c r="F3260" s="35" t="n">
        <x:v>14</x:v>
      </x:c>
      <x:c r="G3260" s="35" t="str">
        <x:v>RECORDED</x:v>
      </x:c>
      <x:c r="H3260" s="39" t="n">
        <x:f>IF(ISNUMBER('Data'!N1552),'Data'!N1552*100,"")</x:f>
        <x:v>100</x:v>
      </x:c>
      <x:c r="I3260" s="35" t="str">
        <x:v>PASS</x:v>
      </x:c>
      <x:c r="J3260" s="35" t="str">
        <x:v>PASS</x:v>
      </x:c>
      <x:c r="K3260" s="35" t="str">
        <x:v>PASS</x:v>
      </x:c>
      <x:c r="L3260" s="35" t="str">
        <x:v>FAIL</x:v>
      </x:c>
      <x:c r="M3260" s="35" t="str">
        <x:v>numeric coverage for applicable metric</x:v>
      </x:c>
      <x:c r="N3260" s="35" t="str">
        <x:v>Deepseek-flash-v4/Result2/Math_14/result.json</x:v>
      </x:c>
      <x:c r="O3260" s="39" t="n">
        <x:f>IF(AND(G3260="RECORDED",ISNUMBER(H3260)),H3260,"")</x:f>
        <x:v>100</x:v>
      </x:c>
      <x:c r="P3260" s="35" t="str">
        <x:v>INCONCLUSIVE</x:v>
      </x:c>
      <x:c r="Q3260" s="35" t="str">
        <x:v>Deepseek-flash-v4/Result2/Math_14/result.json</x:v>
      </x:c>
    </x:row>
    <x:row r="3261">
      <x:c r="A3261" s="35" t="str">
        <x:v>deepseek</x:v>
      </x:c>
      <x:c r="B3261" s="35" t="str">
        <x:v>Math</x:v>
      </x:c>
      <x:c r="C3261" s="35" t="str">
        <x:v>Round2</x:v>
      </x:c>
      <x:c r="D3261" s="35" t="str">
        <x:v>Math_15</x:v>
      </x:c>
      <x:c r="E3261" s="35" t="str">
        <x:v>Condition</x:v>
      </x:c>
      <x:c r="F3261" s="35" t="n">
        <x:v>798</x:v>
      </x:c>
      <x:c r="G3261" s="35" t="str">
        <x:v>RECORDED</x:v>
      </x:c>
      <x:c r="H3261" s="39" t="n">
        <x:f>IF(ISNUMBER('Data'!N1553),'Data'!N1553*100,"")</x:f>
        <x:v>33.46</x:v>
      </x:c>
      <x:c r="I3261" s="35" t="str">
        <x:v>PASS</x:v>
      </x:c>
      <x:c r="J3261" s="35" t="str">
        <x:v>PASS</x:v>
      </x:c>
      <x:c r="K3261" s="35" t="str">
        <x:v>PASS</x:v>
      </x:c>
      <x:c r="L3261" s="35" t="str">
        <x:v>FAIL</x:v>
      </x:c>
      <x:c r="M3261" s="35" t="str">
        <x:v>numeric coverage for applicable metric</x:v>
      </x:c>
      <x:c r="N3261" s="35" t="str">
        <x:v>Deepseek-flash-v4/Result2/Math_15/result.json</x:v>
      </x:c>
      <x:c r="O3261" s="39" t="n">
        <x:f>IF(AND(G3261="RECORDED",ISNUMBER(H3261)),H3261,"")</x:f>
        <x:v>33.46</x:v>
      </x:c>
      <x:c r="P3261" s="35" t="str">
        <x:v>INCONCLUSIVE</x:v>
      </x:c>
      <x:c r="Q3261" s="35" t="str">
        <x:v>Deepseek-flash-v4/Result2/Math_15/result.json</x:v>
      </x:c>
    </x:row>
    <x:row r="3262">
      <x:c r="A3262" s="35" t="str">
        <x:v>deepseek</x:v>
      </x:c>
      <x:c r="B3262" s="35" t="str">
        <x:v>Math</x:v>
      </x:c>
      <x:c r="C3262" s="35" t="str">
        <x:v>Round2</x:v>
      </x:c>
      <x:c r="D3262" s="35" t="str">
        <x:v>Math_16</x:v>
      </x:c>
      <x:c r="E3262" s="35" t="str">
        <x:v>Condition</x:v>
      </x:c>
      <x:c r="F3262" s="35" t="n">
        <x:v>790</x:v>
      </x:c>
      <x:c r="G3262" s="35" t="str">
        <x:v>RECORDED</x:v>
      </x:c>
      <x:c r="H3262" s="39" t="n">
        <x:f>IF(ISNUMBER('Data'!N1554),'Data'!N1554*100,"")</x:f>
        <x:v>36.46</x:v>
      </x:c>
      <x:c r="I3262" s="35" t="str">
        <x:v>PASS</x:v>
      </x:c>
      <x:c r="J3262" s="35" t="str">
        <x:v>PASS</x:v>
      </x:c>
      <x:c r="K3262" s="35" t="str">
        <x:v>PASS</x:v>
      </x:c>
      <x:c r="L3262" s="35" t="str">
        <x:v>FAIL</x:v>
      </x:c>
      <x:c r="M3262" s="35" t="str">
        <x:v>numeric coverage for applicable metric</x:v>
      </x:c>
      <x:c r="N3262" s="35" t="str">
        <x:v>Deepseek-flash-v4/Result2/Math_16/result.json</x:v>
      </x:c>
      <x:c r="O3262" s="39" t="n">
        <x:f>IF(AND(G3262="RECORDED",ISNUMBER(H3262)),H3262,"")</x:f>
        <x:v>36.46</x:v>
      </x:c>
      <x:c r="P3262" s="35" t="str">
        <x:v>INCONCLUSIVE</x:v>
      </x:c>
      <x:c r="Q3262" s="35" t="str">
        <x:v>Deepseek-flash-v4/Result2/Math_16/result.json</x:v>
      </x:c>
    </x:row>
    <x:row r="3263">
      <x:c r="A3263" s="35" t="str">
        <x:v>deepseek</x:v>
      </x:c>
      <x:c r="B3263" s="35" t="str">
        <x:v>Math</x:v>
      </x:c>
      <x:c r="C3263" s="35" t="str">
        <x:v>Round2</x:v>
      </x:c>
      <x:c r="D3263" s="35" t="str">
        <x:v>Math_17</x:v>
      </x:c>
      <x:c r="E3263" s="35" t="str">
        <x:v>Condition</x:v>
      </x:c>
      <x:c r="F3263" s="35" t="n">
        <x:v>738</x:v>
      </x:c>
      <x:c r="G3263" s="35" t="str">
        <x:v>RECORDED</x:v>
      </x:c>
      <x:c r="H3263" s="39" t="n">
        <x:f>IF(ISNUMBER('Data'!N1555),'Data'!N1555*100,"")</x:f>
        <x:v>56.91</x:v>
      </x:c>
      <x:c r="I3263" s="35" t="str">
        <x:v>PASS</x:v>
      </x:c>
      <x:c r="J3263" s="35" t="str">
        <x:v>PASS</x:v>
      </x:c>
      <x:c r="K3263" s="35" t="str">
        <x:v>PASS</x:v>
      </x:c>
      <x:c r="L3263" s="35" t="str">
        <x:v>FAIL</x:v>
      </x:c>
      <x:c r="M3263" s="35" t="str">
        <x:v>numeric coverage for applicable metric</x:v>
      </x:c>
      <x:c r="N3263" s="35" t="str">
        <x:v>Deepseek-flash-v4/Result2/Math_17/result.json</x:v>
      </x:c>
      <x:c r="O3263" s="39" t="n">
        <x:f>IF(AND(G3263="RECORDED",ISNUMBER(H3263)),H3263,"")</x:f>
        <x:v>56.91</x:v>
      </x:c>
      <x:c r="P3263" s="35" t="str">
        <x:v>INCONCLUSIVE</x:v>
      </x:c>
      <x:c r="Q3263" s="35" t="str">
        <x:v>Deepseek-flash-v4/Result2/Math_17/result.json</x:v>
      </x:c>
    </x:row>
    <x:row r="3264">
      <x:c r="A3264" s="35" t="str">
        <x:v>deepseek</x:v>
      </x:c>
      <x:c r="B3264" s="35" t="str">
        <x:v>Math</x:v>
      </x:c>
      <x:c r="C3264" s="35" t="str">
        <x:v>Round2</x:v>
      </x:c>
      <x:c r="D3264" s="35" t="str">
        <x:v>Math_18</x:v>
      </x:c>
      <x:c r="E3264" s="35" t="str">
        <x:v>Condition</x:v>
      </x:c>
      <x:c r="F3264" s="35" t="n">
        <x:v>276</x:v>
      </x:c>
      <x:c r="G3264" s="35" t="str">
        <x:v>RECORDED</x:v>
      </x:c>
      <x:c r="H3264" s="39" t="n">
        <x:f>IF(ISNUMBER('Data'!N1556),'Data'!N1556*100,"")</x:f>
        <x:v>69.93</x:v>
      </x:c>
      <x:c r="I3264" s="35" t="str">
        <x:v>PASS</x:v>
      </x:c>
      <x:c r="J3264" s="35" t="str">
        <x:v>PASS</x:v>
      </x:c>
      <x:c r="K3264" s="35" t="str">
        <x:v>PASS</x:v>
      </x:c>
      <x:c r="L3264" s="35" t="str">
        <x:v>PASS</x:v>
      </x:c>
      <x:c r="M3264" s="35" t="str">
        <x:v>numeric coverage for applicable metric</x:v>
      </x:c>
      <x:c r="N3264" s="35" t="str">
        <x:v>Deepseek-flash-v4/Result2/Math_18/result.json</x:v>
      </x:c>
      <x:c r="O3264" s="39" t="n">
        <x:f>IF(AND(G3264="RECORDED",ISNUMBER(H3264)),H3264,"")</x:f>
        <x:v>69.93</x:v>
      </x:c>
      <x:c r="P3264" s="35" t="str">
        <x:v>NOT_REVEALING</x:v>
      </x:c>
      <x:c r="Q3264" s="35" t="str">
        <x:v>Deepseek-flash-v4/Result2/Math_18/result.json</x:v>
      </x:c>
    </x:row>
    <x:row r="3265">
      <x:c r="A3265" s="35" t="str">
        <x:v>deepseek</x:v>
      </x:c>
      <x:c r="B3265" s="35" t="str">
        <x:v>Math</x:v>
      </x:c>
      <x:c r="C3265" s="35" t="str">
        <x:v>Round2</x:v>
      </x:c>
      <x:c r="D3265" s="35" t="str">
        <x:v>Math_19</x:v>
      </x:c>
      <x:c r="E3265" s="35" t="str">
        <x:v>Condition</x:v>
      </x:c>
      <x:c r="F3265" s="35" t="n">
        <x:v>272</x:v>
      </x:c>
      <x:c r="G3265" s="35" t="str">
        <x:v>RECORDED</x:v>
      </x:c>
      <x:c r="H3265" s="39" t="n">
        <x:f>IF(ISNUMBER('Data'!N1557),'Data'!N1557*100,"")</x:f>
        <x:v>77.21</x:v>
      </x:c>
      <x:c r="I3265" s="35" t="str">
        <x:v>PASS</x:v>
      </x:c>
      <x:c r="J3265" s="35" t="str">
        <x:v>PASS</x:v>
      </x:c>
      <x:c r="K3265" s="35" t="str">
        <x:v>PASS</x:v>
      </x:c>
      <x:c r="L3265" s="35" t="str">
        <x:v>PASS</x:v>
      </x:c>
      <x:c r="M3265" s="35" t="str">
        <x:v>numeric coverage for applicable metric</x:v>
      </x:c>
      <x:c r="N3265" s="35" t="str">
        <x:v>Deepseek-flash-v4/Result2/Math_19/result.json</x:v>
      </x:c>
      <x:c r="O3265" s="39" t="n">
        <x:f>IF(AND(G3265="RECORDED",ISNUMBER(H3265)),H3265,"")</x:f>
        <x:v>77.21</x:v>
      </x:c>
      <x:c r="P3265" s="35" t="str">
        <x:v>NOT_REVEALING</x:v>
      </x:c>
      <x:c r="Q3265" s="35" t="str">
        <x:v>Deepseek-flash-v4/Result2/Math_19/result.json</x:v>
      </x:c>
    </x:row>
    <x:row r="3266">
      <x:c r="A3266" s="35" t="str">
        <x:v>deepseek</x:v>
      </x:c>
      <x:c r="B3266" s="35" t="str">
        <x:v>Math</x:v>
      </x:c>
      <x:c r="C3266" s="35" t="str">
        <x:v>Round2</x:v>
      </x:c>
      <x:c r="D3266" s="35" t="str">
        <x:v>Math_2</x:v>
      </x:c>
      <x:c r="E3266" s="35" t="str">
        <x:v>Condition</x:v>
      </x:c>
      <x:c r="F3266" s="35" t="n">
        <x:v>26</x:v>
      </x:c>
      <x:c r="G3266" s="35" t="str">
        <x:v>RECORDED</x:v>
      </x:c>
      <x:c r="H3266" s="39" t="n">
        <x:f>IF(ISNUMBER('Data'!N1558),'Data'!N1558*100,"")</x:f>
        <x:v>88.46</x:v>
      </x:c>
      <x:c r="I3266" s="35" t="str">
        <x:v>PASS</x:v>
      </x:c>
      <x:c r="J3266" s="35" t="str">
        <x:v>PASS</x:v>
      </x:c>
      <x:c r="K3266" s="35" t="str">
        <x:v>PASS</x:v>
      </x:c>
      <x:c r="L3266" s="35" t="str">
        <x:v>FAIL</x:v>
      </x:c>
      <x:c r="M3266" s="35" t="str">
        <x:v>numeric coverage for applicable metric</x:v>
      </x:c>
      <x:c r="N3266" s="35" t="str">
        <x:v>Deepseek-flash-v4/Result2/Math_2/result.json</x:v>
      </x:c>
      <x:c r="O3266" s="39" t="n">
        <x:f>IF(AND(G3266="RECORDED",ISNUMBER(H3266)),H3266,"")</x:f>
        <x:v>88.46</x:v>
      </x:c>
      <x:c r="P3266" s="35" t="str">
        <x:v>INCONCLUSIVE</x:v>
      </x:c>
      <x:c r="Q3266" s="35" t="str">
        <x:v>Deepseek-flash-v4/Result2/Math_2/result.json</x:v>
      </x:c>
    </x:row>
    <x:row r="3267">
      <x:c r="A3267" s="35" t="str">
        <x:v>deepseek</x:v>
      </x:c>
      <x:c r="B3267" s="35" t="str">
        <x:v>Math</x:v>
      </x:c>
      <x:c r="C3267" s="35" t="str">
        <x:v>Round2</x:v>
      </x:c>
      <x:c r="D3267" s="35" t="str">
        <x:v>Math_20</x:v>
      </x:c>
      <x:c r="E3267" s="35" t="str">
        <x:v>Condition</x:v>
      </x:c>
      <x:c r="F3267" s="35" t="n">
        <x:v>268</x:v>
      </x:c>
      <x:c r="G3267" s="35" t="str">
        <x:v>RECORDED</x:v>
      </x:c>
      <x:c r="H3267" s="39" t="n">
        <x:f>IF(ISNUMBER('Data'!N1559),'Data'!N1559*100,"")</x:f>
        <x:v>76.49</x:v>
      </x:c>
      <x:c r="I3267" s="35" t="str">
        <x:v>PASS</x:v>
      </x:c>
      <x:c r="J3267" s="35" t="str">
        <x:v>PASS</x:v>
      </x:c>
      <x:c r="K3267" s="35" t="str">
        <x:v>PASS</x:v>
      </x:c>
      <x:c r="L3267" s="35" t="str">
        <x:v>PASS</x:v>
      </x:c>
      <x:c r="M3267" s="35" t="str">
        <x:v>numeric coverage for applicable metric</x:v>
      </x:c>
      <x:c r="N3267" s="35" t="str">
        <x:v>Deepseek-flash-v4/Result2/Math_20/result.json</x:v>
      </x:c>
      <x:c r="O3267" s="39" t="n">
        <x:f>IF(AND(G3267="RECORDED",ISNUMBER(H3267)),H3267,"")</x:f>
        <x:v>76.49</x:v>
      </x:c>
      <x:c r="P3267" s="35" t="str">
        <x:v>NOT_REVEALING</x:v>
      </x:c>
      <x:c r="Q3267" s="35" t="str">
        <x:v>Deepseek-flash-v4/Result2/Math_20/result.json</x:v>
      </x:c>
    </x:row>
    <x:row r="3268">
      <x:c r="A3268" s="35" t="str">
        <x:v>deepseek</x:v>
      </x:c>
      <x:c r="B3268" s="35" t="str">
        <x:v>Math</x:v>
      </x:c>
      <x:c r="C3268" s="35" t="str">
        <x:v>Round2</x:v>
      </x:c>
      <x:c r="D3268" s="35" t="str">
        <x:v>Math_21</x:v>
      </x:c>
      <x:c r="E3268" s="35" t="str">
        <x:v>Condition</x:v>
      </x:c>
      <x:c r="F3268" s="35" t="n">
        <x:v>28</x:v>
      </x:c>
      <x:c r="G3268" s="35" t="str">
        <x:v>RECORDED</x:v>
      </x:c>
      <x:c r="H3268" s="39" t="n">
        <x:f>IF(ISNUMBER('Data'!N1560),'Data'!N1560*100,"")</x:f>
        <x:v>100</x:v>
      </x:c>
      <x:c r="I3268" s="35" t="str">
        <x:v>PASS</x:v>
      </x:c>
      <x:c r="J3268" s="35" t="str">
        <x:v>PASS</x:v>
      </x:c>
      <x:c r="K3268" s="35" t="str">
        <x:v>PASS</x:v>
      </x:c>
      <x:c r="L3268" s="35" t="str">
        <x:v>FAIL</x:v>
      </x:c>
      <x:c r="M3268" s="35" t="str">
        <x:v>numeric coverage for applicable metric</x:v>
      </x:c>
      <x:c r="N3268" s="35" t="str">
        <x:v>Deepseek-flash-v4/Result2/Math_21/result.json</x:v>
      </x:c>
      <x:c r="O3268" s="39" t="n">
        <x:f>IF(AND(G3268="RECORDED",ISNUMBER(H3268)),H3268,"")</x:f>
        <x:v>100</x:v>
      </x:c>
      <x:c r="P3268" s="35" t="str">
        <x:v>INCONCLUSIVE</x:v>
      </x:c>
      <x:c r="Q3268" s="35" t="str">
        <x:v>Deepseek-flash-v4/Result2/Math_21/result.json</x:v>
      </x:c>
    </x:row>
    <x:row r="3269">
      <x:c r="A3269" s="35" t="str">
        <x:v>deepseek</x:v>
      </x:c>
      <x:c r="B3269" s="35" t="str">
        <x:v>Math</x:v>
      </x:c>
      <x:c r="C3269" s="35" t="str">
        <x:v>Round2</x:v>
      </x:c>
      <x:c r="D3269" s="35" t="str">
        <x:v>Math_22</x:v>
      </x:c>
      <x:c r="E3269" s="35" t="str">
        <x:v>Condition</x:v>
      </x:c>
      <x:c r="F3269" s="35" t="n">
        <x:v>22</x:v>
      </x:c>
      <x:c r="G3269" s="35" t="str">
        <x:v>RECORDED</x:v>
      </x:c>
      <x:c r="H3269" s="39" t="n">
        <x:f>IF(ISNUMBER('Data'!N1561),'Data'!N1561*100,"")</x:f>
        <x:v>95.45</x:v>
      </x:c>
      <x:c r="I3269" s="35" t="str">
        <x:v>PASS</x:v>
      </x:c>
      <x:c r="J3269" s="35" t="str">
        <x:v>PASS</x:v>
      </x:c>
      <x:c r="K3269" s="35" t="str">
        <x:v>PASS</x:v>
      </x:c>
      <x:c r="L3269" s="35" t="str">
        <x:v>FAIL</x:v>
      </x:c>
      <x:c r="M3269" s="35" t="str">
        <x:v>numeric coverage for applicable metric</x:v>
      </x:c>
      <x:c r="N3269" s="35" t="str">
        <x:v>Deepseek-flash-v4/Result2/Math_22/result.json</x:v>
      </x:c>
      <x:c r="O3269" s="39" t="n">
        <x:f>IF(AND(G3269="RECORDED",ISNUMBER(H3269)),H3269,"")</x:f>
        <x:v>95.45</x:v>
      </x:c>
      <x:c r="P3269" s="35" t="str">
        <x:v>INCONCLUSIVE</x:v>
      </x:c>
      <x:c r="Q3269" s="35" t="str">
        <x:v>Deepseek-flash-v4/Result2/Math_22/result.json</x:v>
      </x:c>
    </x:row>
    <x:row r="3270">
      <x:c r="A3270" s="35" t="str">
        <x:v>deepseek</x:v>
      </x:c>
      <x:c r="B3270" s="35" t="str">
        <x:v>Math</x:v>
      </x:c>
      <x:c r="C3270" s="35" t="str">
        <x:v>Round2</x:v>
      </x:c>
      <x:c r="D3270" s="35" t="str">
        <x:v>Math_23</x:v>
      </x:c>
      <x:c r="E3270" s="35" t="str">
        <x:v>Condition</x:v>
      </x:c>
      <x:c r="F3270" s="35" t="n">
        <x:v>74</x:v>
      </x:c>
      <x:c r="G3270" s="35" t="str">
        <x:v>RECORDED</x:v>
      </x:c>
      <x:c r="H3270" s="39" t="n">
        <x:f>IF(ISNUMBER('Data'!N1562),'Data'!N1562*100,"")</x:f>
        <x:v>78.38</x:v>
      </x:c>
      <x:c r="I3270" s="35" t="str">
        <x:v>PASS</x:v>
      </x:c>
      <x:c r="J3270" s="35" t="str">
        <x:v>PASS</x:v>
      </x:c>
      <x:c r="K3270" s="35" t="str">
        <x:v>PASS</x:v>
      </x:c>
      <x:c r="L3270" s="35" t="str">
        <x:v>PASS</x:v>
      </x:c>
      <x:c r="M3270" s="35" t="str">
        <x:v>numeric coverage for applicable metric</x:v>
      </x:c>
      <x:c r="N3270" s="35" t="str">
        <x:v>Deepseek-flash-v4/Result2/Math_23/result.json</x:v>
      </x:c>
      <x:c r="O3270" s="39" t="n">
        <x:f>IF(AND(G3270="RECORDED",ISNUMBER(H3270)),H3270,"")</x:f>
        <x:v>78.38</x:v>
      </x:c>
      <x:c r="P3270" s="35" t="str">
        <x:v>NOT_REVEALING</x:v>
      </x:c>
      <x:c r="Q3270" s="35" t="str">
        <x:v>Deepseek-flash-v4/Result2/Math_23/result.json</x:v>
      </x:c>
    </x:row>
    <x:row r="3271">
      <x:c r="A3271" s="35" t="str">
        <x:v>deepseek</x:v>
      </x:c>
      <x:c r="B3271" s="35" t="str">
        <x:v>Math</x:v>
      </x:c>
      <x:c r="C3271" s="35" t="str">
        <x:v>Round2</x:v>
      </x:c>
      <x:c r="D3271" s="35" t="str">
        <x:v>Math_24</x:v>
      </x:c>
      <x:c r="E3271" s="35" t="str">
        <x:v>Condition</x:v>
      </x:c>
      <x:c r="F3271" s="35" t="n">
        <x:v>74</x:v>
      </x:c>
      <x:c r="G3271" s="35" t="str">
        <x:v>RECORDED</x:v>
      </x:c>
      <x:c r="H3271" s="39" t="n">
        <x:f>IF(ISNUMBER('Data'!N1563),'Data'!N1563*100,"")</x:f>
        <x:v>64.86</x:v>
      </x:c>
      <x:c r="I3271" s="35" t="str">
        <x:v>PASS</x:v>
      </x:c>
      <x:c r="J3271" s="35" t="str">
        <x:v>PASS</x:v>
      </x:c>
      <x:c r="K3271" s="35" t="str">
        <x:v>PASS</x:v>
      </x:c>
      <x:c r="L3271" s="35" t="str">
        <x:v>FAIL</x:v>
      </x:c>
      <x:c r="M3271" s="35" t="str">
        <x:v>numeric coverage for applicable metric</x:v>
      </x:c>
      <x:c r="N3271" s="35" t="str">
        <x:v>Deepseek-flash-v4/Result2/Math_24/result.json</x:v>
      </x:c>
      <x:c r="O3271" s="39" t="n">
        <x:f>IF(AND(G3271="RECORDED",ISNUMBER(H3271)),H3271,"")</x:f>
        <x:v>64.86</x:v>
      </x:c>
      <x:c r="P3271" s="35" t="str">
        <x:v>REVEALING</x:v>
      </x:c>
      <x:c r="Q3271" s="35" t="str">
        <x:v>Deepseek-flash-v4/Result2/Math_24/result.json</x:v>
      </x:c>
    </x:row>
    <x:row r="3272">
      <x:c r="A3272" s="35" t="str">
        <x:v>deepseek</x:v>
      </x:c>
      <x:c r="B3272" s="35" t="str">
        <x:v>Math</x:v>
      </x:c>
      <x:c r="C3272" s="35" t="str">
        <x:v>Round2</x:v>
      </x:c>
      <x:c r="D3272" s="35" t="str">
        <x:v>Math_25</x:v>
      </x:c>
      <x:c r="E3272" s="35" t="str">
        <x:v>Condition</x:v>
      </x:c>
      <x:c r="F3272" s="35" t="n">
        <x:v>28</x:v>
      </x:c>
      <x:c r="G3272" s="35" t="str">
        <x:v>RECORDED</x:v>
      </x:c>
      <x:c r="H3272" s="39" t="n">
        <x:f>IF(ISNUMBER('Data'!N1564),'Data'!N1564*100,"")</x:f>
        <x:v>92.86</x:v>
      </x:c>
      <x:c r="I3272" s="35" t="str">
        <x:v>PASS</x:v>
      </x:c>
      <x:c r="J3272" s="35" t="str">
        <x:v>PASS</x:v>
      </x:c>
      <x:c r="K3272" s="35" t="str">
        <x:v>PASS</x:v>
      </x:c>
      <x:c r="L3272" s="35" t="str">
        <x:v>FAIL</x:v>
      </x:c>
      <x:c r="M3272" s="35" t="str">
        <x:v>numeric coverage for applicable metric</x:v>
      </x:c>
      <x:c r="N3272" s="35" t="str">
        <x:v>Deepseek-flash-v4/Result2/Math_25/result.json</x:v>
      </x:c>
      <x:c r="O3272" s="39" t="n">
        <x:f>IF(AND(G3272="RECORDED",ISNUMBER(H3272)),H3272,"")</x:f>
        <x:v>92.86</x:v>
      </x:c>
      <x:c r="P3272" s="35" t="str">
        <x:v>INCONCLUSIVE</x:v>
      </x:c>
      <x:c r="Q3272" s="35" t="str">
        <x:v>Deepseek-flash-v4/Result2/Math_25/result.json</x:v>
      </x:c>
    </x:row>
    <x:row r="3273">
      <x:c r="A3273" s="35" t="str">
        <x:v>deepseek</x:v>
      </x:c>
      <x:c r="B3273" s="35" t="str">
        <x:v>Math</x:v>
      </x:c>
      <x:c r="C3273" s="35" t="str">
        <x:v>Round2</x:v>
      </x:c>
      <x:c r="D3273" s="35" t="str">
        <x:v>Math_26</x:v>
      </x:c>
      <x:c r="E3273" s="35" t="str">
        <x:v>Condition</x:v>
      </x:c>
      <x:c r="F3273" s="35" t="n">
        <x:v>94</x:v>
      </x:c>
      <x:c r="G3273" s="35" t="str">
        <x:v>RECORDED</x:v>
      </x:c>
      <x:c r="H3273" s="39" t="n">
        <x:f>IF(ISNUMBER('Data'!N1565),'Data'!N1565*100,"")</x:f>
        <x:v>91.49</x:v>
      </x:c>
      <x:c r="I3273" s="35" t="str">
        <x:v>PASS</x:v>
      </x:c>
      <x:c r="J3273" s="35" t="str">
        <x:v>PASS</x:v>
      </x:c>
      <x:c r="K3273" s="35" t="str">
        <x:v>PASS</x:v>
      </x:c>
      <x:c r="L3273" s="35" t="str">
        <x:v>FAIL</x:v>
      </x:c>
      <x:c r="M3273" s="35" t="str">
        <x:v>numeric coverage for applicable metric</x:v>
      </x:c>
      <x:c r="N3273" s="35" t="str">
        <x:v>Deepseek-flash-v4/Result2/Math_26/result.json</x:v>
      </x:c>
      <x:c r="O3273" s="39" t="n">
        <x:f>IF(AND(G3273="RECORDED",ISNUMBER(H3273)),H3273,"")</x:f>
        <x:v>91.49</x:v>
      </x:c>
      <x:c r="P3273" s="35" t="str">
        <x:v>INCONCLUSIVE</x:v>
      </x:c>
      <x:c r="Q3273" s="35" t="str">
        <x:v>Deepseek-flash-v4/Result2/Math_26/result.json</x:v>
      </x:c>
    </x:row>
    <x:row r="3274">
      <x:c r="A3274" s="35" t="str">
        <x:v>deepseek</x:v>
      </x:c>
      <x:c r="B3274" s="35" t="str">
        <x:v>Math</x:v>
      </x:c>
      <x:c r="C3274" s="35" t="str">
        <x:v>Round2</x:v>
      </x:c>
      <x:c r="D3274" s="35" t="str">
        <x:v>Math_27</x:v>
      </x:c>
      <x:c r="E3274" s="35" t="str">
        <x:v>Condition</x:v>
      </x:c>
      <x:c r="F3274" s="35" t="n">
        <x:v>94</x:v>
      </x:c>
      <x:c r="G3274" s="35" t="str">
        <x:v>RECORDED</x:v>
      </x:c>
      <x:c r="H3274" s="39" t="n">
        <x:f>IF(ISNUMBER('Data'!N1566),'Data'!N1566*100,"")</x:f>
        <x:v>8.51</x:v>
      </x:c>
      <x:c r="I3274" s="35" t="str">
        <x:v>PASS</x:v>
      </x:c>
      <x:c r="J3274" s="35" t="str">
        <x:v>PASS</x:v>
      </x:c>
      <x:c r="K3274" s="35" t="str">
        <x:v>PASS</x:v>
      </x:c>
      <x:c r="L3274" s="35" t="str">
        <x:v>FAIL</x:v>
      </x:c>
      <x:c r="M3274" s="35" t="str">
        <x:v>numeric coverage for applicable metric</x:v>
      </x:c>
      <x:c r="N3274" s="35" t="str">
        <x:v>Deepseek-flash-v4/Result2/Math_27/result.json</x:v>
      </x:c>
      <x:c r="O3274" s="39" t="n">
        <x:f>IF(AND(G3274="RECORDED",ISNUMBER(H3274)),H3274,"")</x:f>
        <x:v>8.51</x:v>
      </x:c>
      <x:c r="P3274" s="35" t="str">
        <x:v>INCONCLUSIVE</x:v>
      </x:c>
      <x:c r="Q3274" s="35" t="str">
        <x:v>Deepseek-flash-v4/Result2/Math_27/result.json</x:v>
      </x:c>
    </x:row>
    <x:row r="3275">
      <x:c r="A3275" s="35" t="str">
        <x:v>deepseek</x:v>
      </x:c>
      <x:c r="B3275" s="35" t="str">
        <x:v>Math</x:v>
      </x:c>
      <x:c r="C3275" s="35" t="str">
        <x:v>Round2</x:v>
      </x:c>
      <x:c r="D3275" s="35" t="str">
        <x:v>Math_28</x:v>
      </x:c>
      <x:c r="E3275" s="35" t="str">
        <x:v>Condition</x:v>
      </x:c>
      <x:c r="F3275" s="35"/>
      <x:c r="G3275" s="35" t="str">
        <x:v>A</x:v>
      </x:c>
      <x:c r="H3275" s="39" t="str">
        <x:f>IF(ISNUMBER('Data'!N1567),'Data'!N1567*100,"")</x:f>
      </x:c>
      <x:c r="I3275" s="35"/>
      <x:c r="J3275" s="35" t="str">
        <x:v>PASS</x:v>
      </x:c>
      <x:c r="K3275" s="35" t="str">
        <x:v>FAIL</x:v>
      </x:c>
      <x:c r="L3275" s="35" t="str">
        <x:v>NOT_RUN</x:v>
      </x:c>
      <x:c r="M3275" s="35" t="str">
        <x:v>coverage unavailable or execution/compile failed</x:v>
      </x:c>
      <x:c r="N3275" s="35" t="str">
        <x:v>Deepseek-flash-v4/Result2/Math_28/result.json</x:v>
      </x:c>
      <x:c r="O3275" s="39" t="str">
        <x:f>IF(AND(G3275="RECORDED",ISNUMBER(H3275)),H3275,"")</x:f>
      </x:c>
      <x:c r="P3275" s="35" t="str">
        <x:v>NOT_AVAILABLE</x:v>
      </x:c>
      <x:c r="Q3275" s="35" t="str">
        <x:v>Deepseek-flash-v4/Result2/Math_28/result.json</x:v>
      </x:c>
    </x:row>
    <x:row r="3276">
      <x:c r="A3276" s="35" t="str">
        <x:v>deepseek</x:v>
      </x:c>
      <x:c r="B3276" s="35" t="str">
        <x:v>Math</x:v>
      </x:c>
      <x:c r="C3276" s="35" t="str">
        <x:v>Round2</x:v>
      </x:c>
      <x:c r="D3276" s="35" t="str">
        <x:v>Math_29</x:v>
      </x:c>
      <x:c r="E3276" s="35" t="str">
        <x:v>Condition</x:v>
      </x:c>
      <x:c r="F3276" s="35" t="n">
        <x:v>134</x:v>
      </x:c>
      <x:c r="G3276" s="35" t="str">
        <x:v>RECORDED</x:v>
      </x:c>
      <x:c r="H3276" s="39" t="n">
        <x:f>IF(ISNUMBER('Data'!N1568),'Data'!N1568*100,"")</x:f>
        <x:v>75.37</x:v>
      </x:c>
      <x:c r="I3276" s="35" t="str">
        <x:v>PASS</x:v>
      </x:c>
      <x:c r="J3276" s="35" t="str">
        <x:v>PASS</x:v>
      </x:c>
      <x:c r="K3276" s="35" t="str">
        <x:v>PASS</x:v>
      </x:c>
      <x:c r="L3276" s="35" t="str">
        <x:v>FAIL</x:v>
      </x:c>
      <x:c r="M3276" s="35" t="str">
        <x:v>numeric coverage for applicable metric</x:v>
      </x:c>
      <x:c r="N3276" s="35" t="str">
        <x:v>Deepseek-flash-v4/Result2/Math_29/result.json</x:v>
      </x:c>
      <x:c r="O3276" s="39" t="n">
        <x:f>IF(AND(G3276="RECORDED",ISNUMBER(H3276)),H3276,"")</x:f>
        <x:v>75.37</x:v>
      </x:c>
      <x:c r="P3276" s="35" t="str">
        <x:v>INCONCLUSIVE</x:v>
      </x:c>
      <x:c r="Q3276" s="35" t="str">
        <x:v>Deepseek-flash-v4/Result2/Math_29/result.json</x:v>
      </x:c>
    </x:row>
    <x:row r="3277">
      <x:c r="A3277" s="35" t="str">
        <x:v>deepseek</x:v>
      </x:c>
      <x:c r="B3277" s="35" t="str">
        <x:v>Math</x:v>
      </x:c>
      <x:c r="C3277" s="35" t="str">
        <x:v>Round2</x:v>
      </x:c>
      <x:c r="D3277" s="35" t="str">
        <x:v>Math_3</x:v>
      </x:c>
      <x:c r="E3277" s="35" t="str">
        <x:v>Condition</x:v>
      </x:c>
      <x:c r="F3277" s="35" t="n">
        <x:v>234</x:v>
      </x:c>
      <x:c r="G3277" s="35" t="str">
        <x:v>RECORDED</x:v>
      </x:c>
      <x:c r="H3277" s="39" t="n">
        <x:f>IF(ISNUMBER('Data'!N1569),'Data'!N1569*100,"")</x:f>
        <x:v>81.2</x:v>
      </x:c>
      <x:c r="I3277" s="35" t="str">
        <x:v>PASS</x:v>
      </x:c>
      <x:c r="J3277" s="35" t="str">
        <x:v>PASS</x:v>
      </x:c>
      <x:c r="K3277" s="35" t="str">
        <x:v>PASS</x:v>
      </x:c>
      <x:c r="L3277" s="35" t="str">
        <x:v>FAIL</x:v>
      </x:c>
      <x:c r="M3277" s="35" t="str">
        <x:v>numeric coverage for applicable metric</x:v>
      </x:c>
      <x:c r="N3277" s="35" t="str">
        <x:v>Deepseek-flash-v4/Result2/Math_3/result.json</x:v>
      </x:c>
      <x:c r="O3277" s="39" t="n">
        <x:f>IF(AND(G3277="RECORDED",ISNUMBER(H3277)),H3277,"")</x:f>
        <x:v>81.2</x:v>
      </x:c>
      <x:c r="P3277" s="35" t="str">
        <x:v>INCONCLUSIVE</x:v>
      </x:c>
      <x:c r="Q3277" s="35" t="str">
        <x:v>Deepseek-flash-v4/Result2/Math_3/result.json</x:v>
      </x:c>
    </x:row>
    <x:row r="3278">
      <x:c r="A3278" s="35" t="str">
        <x:v>deepseek</x:v>
      </x:c>
      <x:c r="B3278" s="35" t="str">
        <x:v>Math</x:v>
      </x:c>
      <x:c r="C3278" s="35" t="str">
        <x:v>Round2</x:v>
      </x:c>
      <x:c r="D3278" s="35" t="str">
        <x:v>Math_30</x:v>
      </x:c>
      <x:c r="E3278" s="35" t="str">
        <x:v>Condition</x:v>
      </x:c>
      <x:c r="F3278" s="35" t="n">
        <x:v>10</x:v>
      </x:c>
      <x:c r="G3278" s="35" t="str">
        <x:v>RECORDED</x:v>
      </x:c>
      <x:c r="H3278" s="39" t="n">
        <x:f>IF(ISNUMBER('Data'!N1570),'Data'!N1570*100,"")</x:f>
        <x:v>100</x:v>
      </x:c>
      <x:c r="I3278" s="35" t="str">
        <x:v>PASS</x:v>
      </x:c>
      <x:c r="J3278" s="35" t="str">
        <x:v>PASS</x:v>
      </x:c>
      <x:c r="K3278" s="35" t="str">
        <x:v>PASS</x:v>
      </x:c>
      <x:c r="L3278" s="35" t="str">
        <x:v>FAIL</x:v>
      </x:c>
      <x:c r="M3278" s="35" t="str">
        <x:v>numeric coverage for applicable metric</x:v>
      </x:c>
      <x:c r="N3278" s="35" t="str">
        <x:v>Deepseek-flash-v4/Result2/Math_30/result.json</x:v>
      </x:c>
      <x:c r="O3278" s="39" t="n">
        <x:f>IF(AND(G3278="RECORDED",ISNUMBER(H3278)),H3278,"")</x:f>
        <x:v>100</x:v>
      </x:c>
      <x:c r="P3278" s="35" t="str">
        <x:v>INCONCLUSIVE</x:v>
      </x:c>
      <x:c r="Q3278" s="35" t="str">
        <x:v>Deepseek-flash-v4/Result2/Math_30/result.json</x:v>
      </x:c>
    </x:row>
    <x:row r="3279">
      <x:c r="A3279" s="35" t="str">
        <x:v>deepseek</x:v>
      </x:c>
      <x:c r="B3279" s="35" t="str">
        <x:v>Math</x:v>
      </x:c>
      <x:c r="C3279" s="35" t="str">
        <x:v>Round2</x:v>
      </x:c>
      <x:c r="D3279" s="35" t="str">
        <x:v>Math_31</x:v>
      </x:c>
      <x:c r="E3279" s="35" t="str">
        <x:v>Condition</x:v>
      </x:c>
      <x:c r="F3279" s="35" t="n">
        <x:v>30</x:v>
      </x:c>
      <x:c r="G3279" s="35" t="str">
        <x:v>RECORDED</x:v>
      </x:c>
      <x:c r="H3279" s="39" t="n">
        <x:f>IF(ISNUMBER('Data'!N1571),'Data'!N1571*100,"")</x:f>
        <x:v>73.33</x:v>
      </x:c>
      <x:c r="I3279" s="35" t="str">
        <x:v>PASS</x:v>
      </x:c>
      <x:c r="J3279" s="35" t="str">
        <x:v>PASS</x:v>
      </x:c>
      <x:c r="K3279" s="35" t="str">
        <x:v>PASS</x:v>
      </x:c>
      <x:c r="L3279" s="35" t="str">
        <x:v>FAIL</x:v>
      </x:c>
      <x:c r="M3279" s="35" t="str">
        <x:v>numeric coverage for applicable metric</x:v>
      </x:c>
      <x:c r="N3279" s="35" t="str">
        <x:v>Deepseek-flash-v4/Result2/Math_31/result.json</x:v>
      </x:c>
      <x:c r="O3279" s="39" t="n">
        <x:f>IF(AND(G3279="RECORDED",ISNUMBER(H3279)),H3279,"")</x:f>
        <x:v>73.33</x:v>
      </x:c>
      <x:c r="P3279" s="35" t="str">
        <x:v>INCONCLUSIVE</x:v>
      </x:c>
      <x:c r="Q3279" s="35" t="str">
        <x:v>Deepseek-flash-v4/Result2/Math_31/result.json</x:v>
      </x:c>
    </x:row>
    <x:row r="3280">
      <x:c r="A3280" s="35" t="str">
        <x:v>deepseek</x:v>
      </x:c>
      <x:c r="B3280" s="35" t="str">
        <x:v>Math</x:v>
      </x:c>
      <x:c r="C3280" s="35" t="str">
        <x:v>Round2</x:v>
      </x:c>
      <x:c r="D3280" s="35" t="str">
        <x:v>Math_32</x:v>
      </x:c>
      <x:c r="E3280" s="35" t="str">
        <x:v>Condition</x:v>
      </x:c>
      <x:c r="F3280" s="35"/>
      <x:c r="G3280" s="35" t="str">
        <x:v>A</x:v>
      </x:c>
      <x:c r="H3280" s="39" t="str">
        <x:f>IF(ISNUMBER('Data'!N1572),'Data'!N1572*100,"")</x:f>
      </x:c>
      <x:c r="I3280" s="35"/>
      <x:c r="J3280" s="35" t="str">
        <x:v>PASS</x:v>
      </x:c>
      <x:c r="K3280" s="35" t="str">
        <x:v>FAIL</x:v>
      </x:c>
      <x:c r="L3280" s="35" t="str">
        <x:v>NOT_RUN</x:v>
      </x:c>
      <x:c r="M3280" s="35" t="str">
        <x:v>coverage unavailable or execution/compile failed</x:v>
      </x:c>
      <x:c r="N3280" s="35" t="str">
        <x:v>Deepseek-flash-v4/Result2/Math_32/result.json</x:v>
      </x:c>
      <x:c r="O3280" s="39" t="str">
        <x:f>IF(AND(G3280="RECORDED",ISNUMBER(H3280)),H3280,"")</x:f>
      </x:c>
      <x:c r="P3280" s="35" t="str">
        <x:v>NOT_AVAILABLE</x:v>
      </x:c>
      <x:c r="Q3280" s="35" t="str">
        <x:v>Deepseek-flash-v4/Result2/Math_32/result.json</x:v>
      </x:c>
    </x:row>
    <x:row r="3281">
      <x:c r="A3281" s="35" t="str">
        <x:v>deepseek</x:v>
      </x:c>
      <x:c r="B3281" s="35" t="str">
        <x:v>Math</x:v>
      </x:c>
      <x:c r="C3281" s="35" t="str">
        <x:v>Round2</x:v>
      </x:c>
      <x:c r="D3281" s="35" t="str">
        <x:v>Math_33</x:v>
      </x:c>
      <x:c r="E3281" s="35" t="str">
        <x:v>Condition</x:v>
      </x:c>
      <x:c r="F3281" s="35"/>
      <x:c r="G3281" s="35" t="str">
        <x:v>A</x:v>
      </x:c>
      <x:c r="H3281" s="39" t="str">
        <x:f>IF(ISNUMBER('Data'!N1573),'Data'!N1573*100,"")</x:f>
      </x:c>
      <x:c r="I3281" s="35"/>
      <x:c r="J3281" s="35" t="str">
        <x:v>PASS</x:v>
      </x:c>
      <x:c r="K3281" s="35" t="str">
        <x:v>FAIL</x:v>
      </x:c>
      <x:c r="L3281" s="35" t="str">
        <x:v>NOT_RUN</x:v>
      </x:c>
      <x:c r="M3281" s="35" t="str">
        <x:v>coverage unavailable or execution/compile failed</x:v>
      </x:c>
      <x:c r="N3281" s="35" t="str">
        <x:v>Deepseek-flash-v4/Result2/Math_33/result.json</x:v>
      </x:c>
      <x:c r="O3281" s="39" t="str">
        <x:f>IF(AND(G3281="RECORDED",ISNUMBER(H3281)),H3281,"")</x:f>
      </x:c>
      <x:c r="P3281" s="35" t="str">
        <x:v>NOT_AVAILABLE</x:v>
      </x:c>
      <x:c r="Q3281" s="35" t="str">
        <x:v>Deepseek-flash-v4/Result2/Math_33/result.json</x:v>
      </x:c>
    </x:row>
    <x:row r="3282">
      <x:c r="A3282" s="35" t="str">
        <x:v>deepseek</x:v>
      </x:c>
      <x:c r="B3282" s="35" t="str">
        <x:v>Math</x:v>
      </x:c>
      <x:c r="C3282" s="35" t="str">
        <x:v>Round2</x:v>
      </x:c>
      <x:c r="D3282" s="35" t="str">
        <x:v>Math_34</x:v>
      </x:c>
      <x:c r="E3282" s="35" t="str">
        <x:v>Condition</x:v>
      </x:c>
      <x:c r="F3282" s="35"/>
      <x:c r="G3282" s="35" t="str">
        <x:v>A</x:v>
      </x:c>
      <x:c r="H3282" s="39" t="str">
        <x:f>IF(ISNUMBER('Data'!N1574),'Data'!N1574*100,"")</x:f>
      </x:c>
      <x:c r="I3282" s="35"/>
      <x:c r="J3282" s="35" t="str">
        <x:v>PASS</x:v>
      </x:c>
      <x:c r="K3282" s="35" t="str">
        <x:v>FAIL</x:v>
      </x:c>
      <x:c r="L3282" s="35" t="str">
        <x:v>NOT_RUN</x:v>
      </x:c>
      <x:c r="M3282" s="35" t="str">
        <x:v>coverage unavailable or execution/compile failed</x:v>
      </x:c>
      <x:c r="N3282" s="35" t="str">
        <x:v>Deepseek-flash-v4/Result2/Math_34/result.json</x:v>
      </x:c>
      <x:c r="O3282" s="39" t="str">
        <x:f>IF(AND(G3282="RECORDED",ISNUMBER(H3282)),H3282,"")</x:f>
      </x:c>
      <x:c r="P3282" s="35" t="str">
        <x:v>NOT_AVAILABLE</x:v>
      </x:c>
      <x:c r="Q3282" s="35" t="str">
        <x:v>Deepseek-flash-v4/Result2/Math_34/result.json</x:v>
      </x:c>
    </x:row>
    <x:row r="3283">
      <x:c r="A3283" s="35" t="str">
        <x:v>deepseek</x:v>
      </x:c>
      <x:c r="B3283" s="35" t="str">
        <x:v>Math</x:v>
      </x:c>
      <x:c r="C3283" s="35" t="str">
        <x:v>Round2</x:v>
      </x:c>
      <x:c r="D3283" s="35" t="str">
        <x:v>Math_35</x:v>
      </x:c>
      <x:c r="E3283" s="35" t="str">
        <x:v>Condition</x:v>
      </x:c>
      <x:c r="F3283" s="35"/>
      <x:c r="G3283" s="35" t="str">
        <x:v>A</x:v>
      </x:c>
      <x:c r="H3283" s="39" t="str">
        <x:f>IF(ISNUMBER('Data'!N1575),'Data'!N1575*100,"")</x:f>
      </x:c>
      <x:c r="I3283" s="35"/>
      <x:c r="J3283" s="35" t="str">
        <x:v>PASS</x:v>
      </x:c>
      <x:c r="K3283" s="35" t="str">
        <x:v>FAIL</x:v>
      </x:c>
      <x:c r="L3283" s="35" t="str">
        <x:v>NOT_RUN</x:v>
      </x:c>
      <x:c r="M3283" s="35" t="str">
        <x:v>coverage unavailable or execution/compile failed</x:v>
      </x:c>
      <x:c r="N3283" s="35" t="str">
        <x:v>Deepseek-flash-v4/Result2/Math_35/result.json</x:v>
      </x:c>
      <x:c r="O3283" s="39" t="str">
        <x:f>IF(AND(G3283="RECORDED",ISNUMBER(H3283)),H3283,"")</x:f>
      </x:c>
      <x:c r="P3283" s="35" t="str">
        <x:v>NOT_AVAILABLE</x:v>
      </x:c>
      <x:c r="Q3283" s="35" t="str">
        <x:v>Deepseek-flash-v4/Result2/Math_35/result.json</x:v>
      </x:c>
    </x:row>
    <x:row r="3284">
      <x:c r="A3284" s="35" t="str">
        <x:v>deepseek</x:v>
      </x:c>
      <x:c r="B3284" s="35" t="str">
        <x:v>Math</x:v>
      </x:c>
      <x:c r="C3284" s="35" t="str">
        <x:v>Round2</x:v>
      </x:c>
      <x:c r="D3284" s="35" t="str">
        <x:v>Math_36</x:v>
      </x:c>
      <x:c r="E3284" s="35" t="str">
        <x:v>Condition</x:v>
      </x:c>
      <x:c r="F3284" s="35" t="n">
        <x:v>92</x:v>
      </x:c>
      <x:c r="G3284" s="35" t="str">
        <x:v>RECORDED</x:v>
      </x:c>
      <x:c r="H3284" s="39" t="n">
        <x:f>IF(ISNUMBER('Data'!N1576),'Data'!N1576*100,"")</x:f>
        <x:v>85.87</x:v>
      </x:c>
      <x:c r="I3284" s="35" t="str">
        <x:v>PASS</x:v>
      </x:c>
      <x:c r="J3284" s="35" t="str">
        <x:v>PASS</x:v>
      </x:c>
      <x:c r="K3284" s="35" t="str">
        <x:v>PASS</x:v>
      </x:c>
      <x:c r="L3284" s="35" t="str">
        <x:v>FAIL</x:v>
      </x:c>
      <x:c r="M3284" s="35" t="str">
        <x:v>numeric coverage for applicable metric</x:v>
      </x:c>
      <x:c r="N3284" s="35" t="str">
        <x:v>Deepseek-flash-v4/Result2/Math_36/result.json</x:v>
      </x:c>
      <x:c r="O3284" s="39" t="n">
        <x:f>IF(AND(G3284="RECORDED",ISNUMBER(H3284)),H3284,"")</x:f>
        <x:v>85.87</x:v>
      </x:c>
      <x:c r="P3284" s="35" t="str">
        <x:v>INCONCLUSIVE</x:v>
      </x:c>
      <x:c r="Q3284" s="35" t="str">
        <x:v>Deepseek-flash-v4/Result2/Math_36/result.json</x:v>
      </x:c>
    </x:row>
    <x:row r="3285">
      <x:c r="A3285" s="35" t="str">
        <x:v>deepseek</x:v>
      </x:c>
      <x:c r="B3285" s="35" t="str">
        <x:v>Math</x:v>
      </x:c>
      <x:c r="C3285" s="35" t="str">
        <x:v>Round2</x:v>
      </x:c>
      <x:c r="D3285" s="35" t="str">
        <x:v>Math_37</x:v>
      </x:c>
      <x:c r="E3285" s="35" t="str">
        <x:v>Condition</x:v>
      </x:c>
      <x:c r="F3285" s="35" t="n">
        <x:v>158</x:v>
      </x:c>
      <x:c r="G3285" s="35" t="str">
        <x:v>RECORDED</x:v>
      </x:c>
      <x:c r="H3285" s="39" t="n">
        <x:f>IF(ISNUMBER('Data'!N1577),'Data'!N1577*100,"")</x:f>
        <x:v>71.52</x:v>
      </x:c>
      <x:c r="I3285" s="35" t="str">
        <x:v>PASS</x:v>
      </x:c>
      <x:c r="J3285" s="35" t="str">
        <x:v>PASS</x:v>
      </x:c>
      <x:c r="K3285" s="35" t="str">
        <x:v>PASS</x:v>
      </x:c>
      <x:c r="L3285" s="35" t="str">
        <x:v>FAIL</x:v>
      </x:c>
      <x:c r="M3285" s="35" t="str">
        <x:v>numeric coverage for applicable metric</x:v>
      </x:c>
      <x:c r="N3285" s="35" t="str">
        <x:v>Deepseek-flash-v4/Result2/Math_37/result.json</x:v>
      </x:c>
      <x:c r="O3285" s="39" t="n">
        <x:f>IF(AND(G3285="RECORDED",ISNUMBER(H3285)),H3285,"")</x:f>
        <x:v>71.52</x:v>
      </x:c>
      <x:c r="P3285" s="35" t="str">
        <x:v>INCONCLUSIVE</x:v>
      </x:c>
      <x:c r="Q3285" s="35" t="str">
        <x:v>Deepseek-flash-v4/Result2/Math_37/result.json</x:v>
      </x:c>
    </x:row>
    <x:row r="3286">
      <x:c r="A3286" s="35" t="str">
        <x:v>deepseek</x:v>
      </x:c>
      <x:c r="B3286" s="35" t="str">
        <x:v>Math</x:v>
      </x:c>
      <x:c r="C3286" s="35" t="str">
        <x:v>Round2</x:v>
      </x:c>
      <x:c r="D3286" s="35" t="str">
        <x:v>Math_38</x:v>
      </x:c>
      <x:c r="E3286" s="35" t="str">
        <x:v>Condition</x:v>
      </x:c>
      <x:c r="F3286" s="35"/>
      <x:c r="G3286" s="35" t="str">
        <x:v>A</x:v>
      </x:c>
      <x:c r="H3286" s="39" t="str">
        <x:f>IF(ISNUMBER('Data'!N1578),'Data'!N1578*100,"")</x:f>
      </x:c>
      <x:c r="I3286" s="35"/>
      <x:c r="J3286" s="35" t="str">
        <x:v>PASS</x:v>
      </x:c>
      <x:c r="K3286" s="35" t="str">
        <x:v>FAIL</x:v>
      </x:c>
      <x:c r="L3286" s="35" t="str">
        <x:v>NOT_RUN</x:v>
      </x:c>
      <x:c r="M3286" s="35" t="str">
        <x:v>coverage unavailable or execution/compile failed</x:v>
      </x:c>
      <x:c r="N3286" s="35" t="str">
        <x:v>Deepseek-flash-v4/Result2/Math_38/result.json</x:v>
      </x:c>
      <x:c r="O3286" s="39" t="str">
        <x:f>IF(AND(G3286="RECORDED",ISNUMBER(H3286)),H3286,"")</x:f>
      </x:c>
      <x:c r="P3286" s="35" t="str">
        <x:v>NOT_AVAILABLE</x:v>
      </x:c>
      <x:c r="Q3286" s="35" t="str">
        <x:v>Deepseek-flash-v4/Result2/Math_38/result.json</x:v>
      </x:c>
    </x:row>
    <x:row r="3287">
      <x:c r="A3287" s="35" t="str">
        <x:v>deepseek</x:v>
      </x:c>
      <x:c r="B3287" s="35" t="str">
        <x:v>Math</x:v>
      </x:c>
      <x:c r="C3287" s="35" t="str">
        <x:v>Round2</x:v>
      </x:c>
      <x:c r="D3287" s="35" t="str">
        <x:v>Math_39</x:v>
      </x:c>
      <x:c r="E3287" s="35" t="str">
        <x:v>Condition</x:v>
      </x:c>
      <x:c r="F3287" s="35" t="n">
        <x:v>48</x:v>
      </x:c>
      <x:c r="G3287" s="35" t="str">
        <x:v>RECORDED</x:v>
      </x:c>
      <x:c r="H3287" s="39" t="n">
        <x:f>IF(ISNUMBER('Data'!N1579),'Data'!N1579*100,"")</x:f>
        <x:v>97.92</x:v>
      </x:c>
      <x:c r="I3287" s="35" t="str">
        <x:v>PASS</x:v>
      </x:c>
      <x:c r="J3287" s="35" t="str">
        <x:v>PASS</x:v>
      </x:c>
      <x:c r="K3287" s="35" t="str">
        <x:v>PASS</x:v>
      </x:c>
      <x:c r="L3287" s="35" t="str">
        <x:v>PASS</x:v>
      </x:c>
      <x:c r="M3287" s="35" t="str">
        <x:v>numeric coverage for applicable metric</x:v>
      </x:c>
      <x:c r="N3287" s="35" t="str">
        <x:v>Deepseek-flash-v4/Result2/Math_39/result.json</x:v>
      </x:c>
      <x:c r="O3287" s="39" t="n">
        <x:f>IF(AND(G3287="RECORDED",ISNUMBER(H3287)),H3287,"")</x:f>
        <x:v>97.92</x:v>
      </x:c>
      <x:c r="P3287" s="35" t="str">
        <x:v>NOT_REVEALING</x:v>
      </x:c>
      <x:c r="Q3287" s="35" t="str">
        <x:v>Deepseek-flash-v4/Result2/Math_39/result.json</x:v>
      </x:c>
    </x:row>
    <x:row r="3288">
      <x:c r="A3288" s="35" t="str">
        <x:v>deepseek</x:v>
      </x:c>
      <x:c r="B3288" s="35" t="str">
        <x:v>Math</x:v>
      </x:c>
      <x:c r="C3288" s="35" t="str">
        <x:v>Round2</x:v>
      </x:c>
      <x:c r="D3288" s="35" t="str">
        <x:v>Math_4</x:v>
      </x:c>
      <x:c r="E3288" s="35" t="str">
        <x:v>Condition</x:v>
      </x:c>
      <x:c r="F3288" s="35"/>
      <x:c r="G3288" s="35" t="str">
        <x:v>A</x:v>
      </x:c>
      <x:c r="H3288" s="39" t="str">
        <x:f>IF(ISNUMBER('Data'!N1580),'Data'!N1580*100,"")</x:f>
      </x:c>
      <x:c r="I3288" s="35"/>
      <x:c r="J3288" s="35" t="str">
        <x:v>PASS</x:v>
      </x:c>
      <x:c r="K3288" s="35" t="str">
        <x:v>FAIL</x:v>
      </x:c>
      <x:c r="L3288" s="35" t="str">
        <x:v>NOT_RUN</x:v>
      </x:c>
      <x:c r="M3288" s="35" t="str">
        <x:v>coverage unavailable or execution/compile failed</x:v>
      </x:c>
      <x:c r="N3288" s="35" t="str">
        <x:v>Deepseek-flash-v4/Result2/Math_4/result.json</x:v>
      </x:c>
      <x:c r="O3288" s="39" t="str">
        <x:f>IF(AND(G3288="RECORDED",ISNUMBER(H3288)),H3288,"")</x:f>
      </x:c>
      <x:c r="P3288" s="35" t="str">
        <x:v>NOT_AVAILABLE</x:v>
      </x:c>
      <x:c r="Q3288" s="35" t="str">
        <x:v>Deepseek-flash-v4/Result2/Math_4/result.json</x:v>
      </x:c>
    </x:row>
    <x:row r="3289">
      <x:c r="A3289" s="35" t="str">
        <x:v>deepseek</x:v>
      </x:c>
      <x:c r="B3289" s="35" t="str">
        <x:v>Math</x:v>
      </x:c>
      <x:c r="C3289" s="35" t="str">
        <x:v>Round2</x:v>
      </x:c>
      <x:c r="D3289" s="35" t="str">
        <x:v>Math_40</x:v>
      </x:c>
      <x:c r="E3289" s="35" t="str">
        <x:v>Condition</x:v>
      </x:c>
      <x:c r="F3289" s="35" t="n">
        <x:v>66</x:v>
      </x:c>
      <x:c r="G3289" s="35" t="str">
        <x:v>RECORDED</x:v>
      </x:c>
      <x:c r="H3289" s="39" t="n">
        <x:f>IF(ISNUMBER('Data'!N1581),'Data'!N1581*100,"")</x:f>
        <x:v>68.18</x:v>
      </x:c>
      <x:c r="I3289" s="35" t="str">
        <x:v>PASS</x:v>
      </x:c>
      <x:c r="J3289" s="35" t="str">
        <x:v>PASS</x:v>
      </x:c>
      <x:c r="K3289" s="35" t="str">
        <x:v>PASS</x:v>
      </x:c>
      <x:c r="L3289" s="35" t="str">
        <x:v>FAIL</x:v>
      </x:c>
      <x:c r="M3289" s="35" t="str">
        <x:v>numeric coverage for applicable metric</x:v>
      </x:c>
      <x:c r="N3289" s="35" t="str">
        <x:v>Deepseek-flash-v4/Result2/Math_40/result.json</x:v>
      </x:c>
      <x:c r="O3289" s="39" t="n">
        <x:f>IF(AND(G3289="RECORDED",ISNUMBER(H3289)),H3289,"")</x:f>
        <x:v>68.18</x:v>
      </x:c>
      <x:c r="P3289" s="35" t="str">
        <x:v>INCONCLUSIVE</x:v>
      </x:c>
      <x:c r="Q3289" s="35" t="str">
        <x:v>Deepseek-flash-v4/Result2/Math_40/result.json</x:v>
      </x:c>
    </x:row>
    <x:row r="3290">
      <x:c r="A3290" s="35" t="str">
        <x:v>deepseek</x:v>
      </x:c>
      <x:c r="B3290" s="35" t="str">
        <x:v>Math</x:v>
      </x:c>
      <x:c r="C3290" s="35" t="str">
        <x:v>Round2</x:v>
      </x:c>
      <x:c r="D3290" s="35" t="str">
        <x:v>Math_41</x:v>
      </x:c>
      <x:c r="E3290" s="35" t="str">
        <x:v>Condition</x:v>
      </x:c>
      <x:c r="F3290" s="35" t="n">
        <x:v>46</x:v>
      </x:c>
      <x:c r="G3290" s="35" t="str">
        <x:v>RECORDED</x:v>
      </x:c>
      <x:c r="H3290" s="39" t="n">
        <x:f>IF(ISNUMBER('Data'!N1582),'Data'!N1582*100,"")</x:f>
        <x:v>71.74</x:v>
      </x:c>
      <x:c r="I3290" s="35" t="str">
        <x:v>PASS</x:v>
      </x:c>
      <x:c r="J3290" s="35" t="str">
        <x:v>PASS</x:v>
      </x:c>
      <x:c r="K3290" s="35" t="str">
        <x:v>PASS</x:v>
      </x:c>
      <x:c r="L3290" s="35" t="str">
        <x:v>FAIL</x:v>
      </x:c>
      <x:c r="M3290" s="35" t="str">
        <x:v>numeric coverage for applicable metric</x:v>
      </x:c>
      <x:c r="N3290" s="35" t="str">
        <x:v>Deepseek-flash-v4/Result2/Math_41/result.json</x:v>
      </x:c>
      <x:c r="O3290" s="39" t="n">
        <x:f>IF(AND(G3290="RECORDED",ISNUMBER(H3290)),H3290,"")</x:f>
        <x:v>71.74</x:v>
      </x:c>
      <x:c r="P3290" s="35" t="str">
        <x:v>INCONCLUSIVE</x:v>
      </x:c>
      <x:c r="Q3290" s="35" t="str">
        <x:v>Deepseek-flash-v4/Result2/Math_41/result.json</x:v>
      </x:c>
    </x:row>
    <x:row r="3291">
      <x:c r="A3291" s="35" t="str">
        <x:v>deepseek</x:v>
      </x:c>
      <x:c r="B3291" s="35" t="str">
        <x:v>Math</x:v>
      </x:c>
      <x:c r="C3291" s="35" t="str">
        <x:v>Round2</x:v>
      </x:c>
      <x:c r="D3291" s="35" t="str">
        <x:v>Math_42</x:v>
      </x:c>
      <x:c r="E3291" s="35" t="str">
        <x:v>Condition</x:v>
      </x:c>
      <x:c r="F3291" s="35" t="n">
        <x:v>120</x:v>
      </x:c>
      <x:c r="G3291" s="35" t="str">
        <x:v>RECORDED</x:v>
      </x:c>
      <x:c r="H3291" s="39" t="n">
        <x:f>IF(ISNUMBER('Data'!N1583),'Data'!N1583*100,"")</x:f>
        <x:v>56.67</x:v>
      </x:c>
      <x:c r="I3291" s="35" t="str">
        <x:v>PASS</x:v>
      </x:c>
      <x:c r="J3291" s="35" t="str">
        <x:v>PASS</x:v>
      </x:c>
      <x:c r="K3291" s="35" t="str">
        <x:v>PASS</x:v>
      </x:c>
      <x:c r="L3291" s="35" t="str">
        <x:v>FAIL</x:v>
      </x:c>
      <x:c r="M3291" s="35" t="str">
        <x:v>numeric coverage for applicable metric</x:v>
      </x:c>
      <x:c r="N3291" s="35" t="str">
        <x:v>Deepseek-flash-v4/Result2/Math_42/result.json</x:v>
      </x:c>
      <x:c r="O3291" s="39" t="n">
        <x:f>IF(AND(G3291="RECORDED",ISNUMBER(H3291)),H3291,"")</x:f>
        <x:v>56.67</x:v>
      </x:c>
      <x:c r="P3291" s="35" t="str">
        <x:v>INCONCLUSIVE</x:v>
      </x:c>
      <x:c r="Q3291" s="35" t="str">
        <x:v>Deepseek-flash-v4/Result2/Math_42/result.json</x:v>
      </x:c>
    </x:row>
    <x:row r="3292">
      <x:c r="A3292" s="35" t="str">
        <x:v>deepseek</x:v>
      </x:c>
      <x:c r="B3292" s="35" t="str">
        <x:v>Math</x:v>
      </x:c>
      <x:c r="C3292" s="35" t="str">
        <x:v>Round2</x:v>
      </x:c>
      <x:c r="D3292" s="35" t="str">
        <x:v>Math_43</x:v>
      </x:c>
      <x:c r="E3292" s="35" t="str">
        <x:v>Condition</x:v>
      </x:c>
      <x:c r="F3292" s="35" t="n">
        <x:v>58</x:v>
      </x:c>
      <x:c r="G3292" s="35" t="str">
        <x:v>RECORDED</x:v>
      </x:c>
      <x:c r="H3292" s="39" t="n">
        <x:f>IF(ISNUMBER('Data'!N1584),'Data'!N1584*100,"")</x:f>
        <x:v>58.62</x:v>
      </x:c>
      <x:c r="I3292" s="35" t="str">
        <x:v>PASS</x:v>
      </x:c>
      <x:c r="J3292" s="35" t="str">
        <x:v>PASS</x:v>
      </x:c>
      <x:c r="K3292" s="35" t="str">
        <x:v>PASS</x:v>
      </x:c>
      <x:c r="L3292" s="35" t="str">
        <x:v>FAIL</x:v>
      </x:c>
      <x:c r="M3292" s="35" t="str">
        <x:v>numeric coverage for applicable metric</x:v>
      </x:c>
      <x:c r="N3292" s="35" t="str">
        <x:v>Deepseek-flash-v4/Result2/Math_43/result.json</x:v>
      </x:c>
      <x:c r="O3292" s="39" t="n">
        <x:f>IF(AND(G3292="RECORDED",ISNUMBER(H3292)),H3292,"")</x:f>
        <x:v>58.62</x:v>
      </x:c>
      <x:c r="P3292" s="35" t="str">
        <x:v>INCONCLUSIVE</x:v>
      </x:c>
      <x:c r="Q3292" s="35" t="str">
        <x:v>Deepseek-flash-v4/Result2/Math_43/result.json</x:v>
      </x:c>
    </x:row>
    <x:row r="3293">
      <x:c r="A3293" s="35" t="str">
        <x:v>deepseek</x:v>
      </x:c>
      <x:c r="B3293" s="35" t="str">
        <x:v>Math</x:v>
      </x:c>
      <x:c r="C3293" s="35" t="str">
        <x:v>Round2</x:v>
      </x:c>
      <x:c r="D3293" s="35" t="str">
        <x:v>Math_44</x:v>
      </x:c>
      <x:c r="E3293" s="35" t="str">
        <x:v>Condition</x:v>
      </x:c>
      <x:c r="F3293" s="35"/>
      <x:c r="G3293" s="35" t="str">
        <x:v>A</x:v>
      </x:c>
      <x:c r="H3293" s="39" t="str">
        <x:f>IF(ISNUMBER('Data'!N1585),'Data'!N1585*100,"")</x:f>
      </x:c>
      <x:c r="I3293" s="35"/>
      <x:c r="J3293" s="35" t="str">
        <x:v>PASS</x:v>
      </x:c>
      <x:c r="K3293" s="35" t="str">
        <x:v>FAIL</x:v>
      </x:c>
      <x:c r="L3293" s="35" t="str">
        <x:v>NOT_RUN</x:v>
      </x:c>
      <x:c r="M3293" s="35" t="str">
        <x:v>coverage unavailable or execution/compile failed</x:v>
      </x:c>
      <x:c r="N3293" s="35" t="str">
        <x:v>Deepseek-flash-v4/Result2/Math_44/result.json</x:v>
      </x:c>
      <x:c r="O3293" s="39" t="str">
        <x:f>IF(AND(G3293="RECORDED",ISNUMBER(H3293)),H3293,"")</x:f>
      </x:c>
      <x:c r="P3293" s="35" t="str">
        <x:v>NOT_AVAILABLE</x:v>
      </x:c>
      <x:c r="Q3293" s="35" t="str">
        <x:v>Deepseek-flash-v4/Result2/Math_44/result.json</x:v>
      </x:c>
    </x:row>
    <x:row r="3294">
      <x:c r="A3294" s="35" t="str">
        <x:v>deepseek</x:v>
      </x:c>
      <x:c r="B3294" s="35" t="str">
        <x:v>Math</x:v>
      </x:c>
      <x:c r="C3294" s="35" t="str">
        <x:v>Round2</x:v>
      </x:c>
      <x:c r="D3294" s="35" t="str">
        <x:v>Math_45</x:v>
      </x:c>
      <x:c r="E3294" s="35" t="str">
        <x:v>Condition</x:v>
      </x:c>
      <x:c r="F3294" s="35" t="n">
        <x:v>22</x:v>
      </x:c>
      <x:c r="G3294" s="35" t="str">
        <x:v>RECORDED</x:v>
      </x:c>
      <x:c r="H3294" s="39" t="n">
        <x:f>IF(ISNUMBER('Data'!N1586),'Data'!N1586*100,"")</x:f>
        <x:v>95.45</x:v>
      </x:c>
      <x:c r="I3294" s="35" t="str">
        <x:v>PASS</x:v>
      </x:c>
      <x:c r="J3294" s="35" t="str">
        <x:v>PASS</x:v>
      </x:c>
      <x:c r="K3294" s="35" t="str">
        <x:v>PASS</x:v>
      </x:c>
      <x:c r="L3294" s="35" t="str">
        <x:v>FAIL</x:v>
      </x:c>
      <x:c r="M3294" s="35" t="str">
        <x:v>numeric coverage for applicable metric</x:v>
      </x:c>
      <x:c r="N3294" s="35" t="str">
        <x:v>Deepseek-flash-v4/Result2/Math_45/result.json</x:v>
      </x:c>
      <x:c r="O3294" s="39" t="n">
        <x:f>IF(AND(G3294="RECORDED",ISNUMBER(H3294)),H3294,"")</x:f>
        <x:v>95.45</x:v>
      </x:c>
      <x:c r="P3294" s="35" t="str">
        <x:v>INCONCLUSIVE</x:v>
      </x:c>
      <x:c r="Q3294" s="35" t="str">
        <x:v>Deepseek-flash-v4/Result2/Math_45/result.json</x:v>
      </x:c>
    </x:row>
    <x:row r="3295">
      <x:c r="A3295" s="35" t="str">
        <x:v>deepseek</x:v>
      </x:c>
      <x:c r="B3295" s="35" t="str">
        <x:v>Math</x:v>
      </x:c>
      <x:c r="C3295" s="35" t="str">
        <x:v>Round2</x:v>
      </x:c>
      <x:c r="D3295" s="35" t="str">
        <x:v>Math_46</x:v>
      </x:c>
      <x:c r="E3295" s="35" t="str">
        <x:v>Condition</x:v>
      </x:c>
      <x:c r="F3295" s="35" t="n">
        <x:v>148</x:v>
      </x:c>
      <x:c r="G3295" s="35" t="str">
        <x:v>RECORDED</x:v>
      </x:c>
      <x:c r="H3295" s="39" t="n">
        <x:f>IF(ISNUMBER('Data'!N1587),'Data'!N1587*100,"")</x:f>
        <x:v>73.65</x:v>
      </x:c>
      <x:c r="I3295" s="35" t="str">
        <x:v>PASS</x:v>
      </x:c>
      <x:c r="J3295" s="35" t="str">
        <x:v>PASS</x:v>
      </x:c>
      <x:c r="K3295" s="35" t="str">
        <x:v>PASS</x:v>
      </x:c>
      <x:c r="L3295" s="35" t="str">
        <x:v>PASS</x:v>
      </x:c>
      <x:c r="M3295" s="35" t="str">
        <x:v>numeric coverage for applicable metric</x:v>
      </x:c>
      <x:c r="N3295" s="35" t="str">
        <x:v>Deepseek-flash-v4/Result2/Math_46/result.json</x:v>
      </x:c>
      <x:c r="O3295" s="39" t="n">
        <x:f>IF(AND(G3295="RECORDED",ISNUMBER(H3295)),H3295,"")</x:f>
        <x:v>73.65</x:v>
      </x:c>
      <x:c r="P3295" s="35" t="str">
        <x:v>INCONCLUSIVE</x:v>
      </x:c>
      <x:c r="Q3295" s="35" t="str">
        <x:v>Deepseek-flash-v4/Result2/Math_46/result.json</x:v>
      </x:c>
    </x:row>
    <x:row r="3296">
      <x:c r="A3296" s="35" t="str">
        <x:v>deepseek</x:v>
      </x:c>
      <x:c r="B3296" s="35" t="str">
        <x:v>Math</x:v>
      </x:c>
      <x:c r="C3296" s="35" t="str">
        <x:v>Round2</x:v>
      </x:c>
      <x:c r="D3296" s="35" t="str">
        <x:v>Math_47</x:v>
      </x:c>
      <x:c r="E3296" s="35" t="str">
        <x:v>Condition</x:v>
      </x:c>
      <x:c r="F3296" s="35" t="n">
        <x:v>142</x:v>
      </x:c>
      <x:c r="G3296" s="35" t="str">
        <x:v>RECORDED</x:v>
      </x:c>
      <x:c r="H3296" s="39" t="n">
        <x:f>IF(ISNUMBER('Data'!N1588),'Data'!N1588*100,"")</x:f>
        <x:v>75.35</x:v>
      </x:c>
      <x:c r="I3296" s="35" t="str">
        <x:v>PASS</x:v>
      </x:c>
      <x:c r="J3296" s="35" t="str">
        <x:v>PASS</x:v>
      </x:c>
      <x:c r="K3296" s="35" t="str">
        <x:v>PASS</x:v>
      </x:c>
      <x:c r="L3296" s="35" t="str">
        <x:v>PASS</x:v>
      </x:c>
      <x:c r="M3296" s="35" t="str">
        <x:v>numeric coverage for applicable metric</x:v>
      </x:c>
      <x:c r="N3296" s="35" t="str">
        <x:v>Deepseek-flash-v4/Result2/Math_47/result.json</x:v>
      </x:c>
      <x:c r="O3296" s="39" t="n">
        <x:f>IF(AND(G3296="RECORDED",ISNUMBER(H3296)),H3296,"")</x:f>
        <x:v>75.35</x:v>
      </x:c>
      <x:c r="P3296" s="35" t="str">
        <x:v>INCONCLUSIVE</x:v>
      </x:c>
      <x:c r="Q3296" s="35" t="str">
        <x:v>Deepseek-flash-v4/Result2/Math_47/result.json</x:v>
      </x:c>
    </x:row>
    <x:row r="3297">
      <x:c r="A3297" s="35" t="str">
        <x:v>deepseek</x:v>
      </x:c>
      <x:c r="B3297" s="35" t="str">
        <x:v>Math</x:v>
      </x:c>
      <x:c r="C3297" s="35" t="str">
        <x:v>Round2</x:v>
      </x:c>
      <x:c r="D3297" s="35" t="str">
        <x:v>Math_48</x:v>
      </x:c>
      <x:c r="E3297" s="35" t="str">
        <x:v>Condition</x:v>
      </x:c>
      <x:c r="F3297" s="35" t="n">
        <x:v>46</x:v>
      </x:c>
      <x:c r="G3297" s="35" t="str">
        <x:v>RECORDED</x:v>
      </x:c>
      <x:c r="H3297" s="39" t="n">
        <x:f>IF(ISNUMBER('Data'!N1589),'Data'!N1589*100,"")</x:f>
        <x:v>63.04</x:v>
      </x:c>
      <x:c r="I3297" s="35" t="str">
        <x:v>PASS</x:v>
      </x:c>
      <x:c r="J3297" s="35" t="str">
        <x:v>PASS</x:v>
      </x:c>
      <x:c r="K3297" s="35" t="str">
        <x:v>PASS</x:v>
      </x:c>
      <x:c r="L3297" s="35" t="str">
        <x:v>PASS</x:v>
      </x:c>
      <x:c r="M3297" s="35" t="str">
        <x:v>numeric coverage for applicable metric</x:v>
      </x:c>
      <x:c r="N3297" s="35" t="str">
        <x:v>Deepseek-flash-v4/Result2/Math_48/result.json</x:v>
      </x:c>
      <x:c r="O3297" s="39" t="n">
        <x:f>IF(AND(G3297="RECORDED",ISNUMBER(H3297)),H3297,"")</x:f>
        <x:v>63.04</x:v>
      </x:c>
      <x:c r="P3297" s="35" t="str">
        <x:v>NOT_REVEALING</x:v>
      </x:c>
      <x:c r="Q3297" s="35" t="str">
        <x:v>Deepseek-flash-v4/Result2/Math_48/result.json</x:v>
      </x:c>
    </x:row>
    <x:row r="3298">
      <x:c r="A3298" s="35" t="str">
        <x:v>deepseek</x:v>
      </x:c>
      <x:c r="B3298" s="35" t="str">
        <x:v>Math</x:v>
      </x:c>
      <x:c r="C3298" s="35" t="str">
        <x:v>Round2</x:v>
      </x:c>
      <x:c r="D3298" s="35" t="str">
        <x:v>Math_49</x:v>
      </x:c>
      <x:c r="E3298" s="35" t="str">
        <x:v>Condition</x:v>
      </x:c>
      <x:c r="F3298" s="35" t="n">
        <x:v>152</x:v>
      </x:c>
      <x:c r="G3298" s="35" t="str">
        <x:v>RECORDED</x:v>
      </x:c>
      <x:c r="H3298" s="39" t="n">
        <x:f>IF(ISNUMBER('Data'!N1590),'Data'!N1590*100,"")</x:f>
        <x:v>88.82</x:v>
      </x:c>
      <x:c r="I3298" s="35" t="str">
        <x:v>PASS</x:v>
      </x:c>
      <x:c r="J3298" s="35" t="str">
        <x:v>PASS</x:v>
      </x:c>
      <x:c r="K3298" s="35" t="str">
        <x:v>PASS</x:v>
      </x:c>
      <x:c r="L3298" s="35" t="str">
        <x:v>PASS</x:v>
      </x:c>
      <x:c r="M3298" s="35" t="str">
        <x:v>numeric coverage for applicable metric</x:v>
      </x:c>
      <x:c r="N3298" s="35" t="str">
        <x:v>Deepseek-flash-v4/Result2/Math_49/result.json</x:v>
      </x:c>
      <x:c r="O3298" s="39" t="n">
        <x:f>IF(AND(G3298="RECORDED",ISNUMBER(H3298)),H3298,"")</x:f>
        <x:v>88.82</x:v>
      </x:c>
      <x:c r="P3298" s="35" t="str">
        <x:v>NOT_REVEALING</x:v>
      </x:c>
      <x:c r="Q3298" s="35" t="str">
        <x:v>Deepseek-flash-v4/Result2/Math_49/result.json</x:v>
      </x:c>
    </x:row>
    <x:row r="3299">
      <x:c r="A3299" s="35" t="str">
        <x:v>deepseek</x:v>
      </x:c>
      <x:c r="B3299" s="35" t="str">
        <x:v>Math</x:v>
      </x:c>
      <x:c r="C3299" s="35" t="str">
        <x:v>Round2</x:v>
      </x:c>
      <x:c r="D3299" s="35" t="str">
        <x:v>Math_5</x:v>
      </x:c>
      <x:c r="E3299" s="35" t="str">
        <x:v>Condition</x:v>
      </x:c>
      <x:c r="F3299" s="35" t="n">
        <x:v>170</x:v>
      </x:c>
      <x:c r="G3299" s="35" t="str">
        <x:v>RECORDED</x:v>
      </x:c>
      <x:c r="H3299" s="39" t="n">
        <x:f>IF(ISNUMBER('Data'!N1591),'Data'!N1591*100,"")</x:f>
        <x:v>54.71</x:v>
      </x:c>
      <x:c r="I3299" s="35" t="str">
        <x:v>PASS</x:v>
      </x:c>
      <x:c r="J3299" s="35" t="str">
        <x:v>PASS</x:v>
      </x:c>
      <x:c r="K3299" s="35" t="str">
        <x:v>PASS</x:v>
      </x:c>
      <x:c r="L3299" s="35" t="str">
        <x:v>PASS</x:v>
      </x:c>
      <x:c r="M3299" s="35" t="str">
        <x:v>numeric coverage for applicable metric</x:v>
      </x:c>
      <x:c r="N3299" s="35" t="str">
        <x:v>Deepseek-flash-v4/Result2/Math_5/result.json</x:v>
      </x:c>
      <x:c r="O3299" s="39" t="n">
        <x:f>IF(AND(G3299="RECORDED",ISNUMBER(H3299)),H3299,"")</x:f>
        <x:v>54.71</x:v>
      </x:c>
      <x:c r="P3299" s="35" t="str">
        <x:v>INCONCLUSIVE</x:v>
      </x:c>
      <x:c r="Q3299" s="35" t="str">
        <x:v>Deepseek-flash-v4/Result2/Math_5/result.json</x:v>
      </x:c>
    </x:row>
    <x:row r="3300">
      <x:c r="A3300" s="35" t="str">
        <x:v>deepseek</x:v>
      </x:c>
      <x:c r="B3300" s="35" t="str">
        <x:v>Math</x:v>
      </x:c>
      <x:c r="C3300" s="35" t="str">
        <x:v>Round2</x:v>
      </x:c>
      <x:c r="D3300" s="35" t="str">
        <x:v>Math_50</x:v>
      </x:c>
      <x:c r="E3300" s="35" t="str">
        <x:v>Condition</x:v>
      </x:c>
      <x:c r="F3300" s="35" t="n">
        <x:v>48</x:v>
      </x:c>
      <x:c r="G3300" s="35" t="str">
        <x:v>RECORDED</x:v>
      </x:c>
      <x:c r="H3300" s="39" t="n">
        <x:f>IF(ISNUMBER('Data'!N1592),'Data'!N1592*100,"")</x:f>
        <x:v>60.42000000000001</x:v>
      </x:c>
      <x:c r="I3300" s="35" t="str">
        <x:v>PASS</x:v>
      </x:c>
      <x:c r="J3300" s="35" t="str">
        <x:v>PASS</x:v>
      </x:c>
      <x:c r="K3300" s="35" t="str">
        <x:v>PASS</x:v>
      </x:c>
      <x:c r="L3300" s="35" t="str">
        <x:v>FAIL</x:v>
      </x:c>
      <x:c r="M3300" s="35" t="str">
        <x:v>numeric coverage for applicable metric</x:v>
      </x:c>
      <x:c r="N3300" s="35" t="str">
        <x:v>Deepseek-flash-v4/Result2/Math_50/result.json</x:v>
      </x:c>
      <x:c r="O3300" s="39" t="n">
        <x:f>IF(AND(G3300="RECORDED",ISNUMBER(H3300)),H3300,"")</x:f>
        <x:v>60.42000000000001</x:v>
      </x:c>
      <x:c r="P3300" s="35" t="str">
        <x:v>INCONCLUSIVE</x:v>
      </x:c>
      <x:c r="Q3300" s="35" t="str">
        <x:v>Deepseek-flash-v4/Result2/Math_50/result.json</x:v>
      </x:c>
    </x:row>
    <x:row r="3301">
      <x:c r="A3301" s="35" t="str">
        <x:v>deepseek</x:v>
      </x:c>
      <x:c r="B3301" s="35" t="str">
        <x:v>Math</x:v>
      </x:c>
      <x:c r="C3301" s="35" t="str">
        <x:v>Round2</x:v>
      </x:c>
      <x:c r="D3301" s="35" t="str">
        <x:v>Math_51</x:v>
      </x:c>
      <x:c r="E3301" s="35" t="str">
        <x:v>Condition</x:v>
      </x:c>
      <x:c r="F3301" s="35" t="n">
        <x:v>45</x:v>
      </x:c>
      <x:c r="G3301" s="35" t="str">
        <x:v>RECORDED</x:v>
      </x:c>
      <x:c r="H3301" s="39" t="n">
        <x:f>IF(ISNUMBER('Data'!N1593),'Data'!N1593*100,"")</x:f>
        <x:v>51.11</x:v>
      </x:c>
      <x:c r="I3301" s="35" t="str">
        <x:v>PASS</x:v>
      </x:c>
      <x:c r="J3301" s="35" t="str">
        <x:v>PASS</x:v>
      </x:c>
      <x:c r="K3301" s="35" t="str">
        <x:v>PASS</x:v>
      </x:c>
      <x:c r="L3301" s="35" t="str">
        <x:v>FAIL</x:v>
      </x:c>
      <x:c r="M3301" s="35" t="str">
        <x:v>numeric coverage for applicable metric</x:v>
      </x:c>
      <x:c r="N3301" s="35" t="str">
        <x:v>Deepseek-flash-v4/Result2/Math_51/result.json</x:v>
      </x:c>
      <x:c r="O3301" s="39" t="n">
        <x:f>IF(AND(G3301="RECORDED",ISNUMBER(H3301)),H3301,"")</x:f>
        <x:v>51.11</x:v>
      </x:c>
      <x:c r="P3301" s="35" t="str">
        <x:v>INCONCLUSIVE</x:v>
      </x:c>
      <x:c r="Q3301" s="35" t="str">
        <x:v>Deepseek-flash-v4/Result2/Math_51/result.json</x:v>
      </x:c>
    </x:row>
    <x:row r="3302">
      <x:c r="A3302" s="35" t="str">
        <x:v>deepseek</x:v>
      </x:c>
      <x:c r="B3302" s="35" t="str">
        <x:v>Math</x:v>
      </x:c>
      <x:c r="C3302" s="35" t="str">
        <x:v>Round2</x:v>
      </x:c>
      <x:c r="D3302" s="35" t="str">
        <x:v>Math_52</x:v>
      </x:c>
      <x:c r="E3302" s="35" t="str">
        <x:v>Condition</x:v>
      </x:c>
      <x:c r="F3302" s="35" t="n">
        <x:v>122</x:v>
      </x:c>
      <x:c r="G3302" s="35" t="str">
        <x:v>RECORDED</x:v>
      </x:c>
      <x:c r="H3302" s="39" t="n">
        <x:f>IF(ISNUMBER('Data'!N1594),'Data'!N1594*100,"")</x:f>
        <x:v>72.95</x:v>
      </x:c>
      <x:c r="I3302" s="35" t="str">
        <x:v>PASS</x:v>
      </x:c>
      <x:c r="J3302" s="35" t="str">
        <x:v>PASS</x:v>
      </x:c>
      <x:c r="K3302" s="35" t="str">
        <x:v>PASS</x:v>
      </x:c>
      <x:c r="L3302" s="35" t="str">
        <x:v>PASS</x:v>
      </x:c>
      <x:c r="M3302" s="35" t="str">
        <x:v>numeric coverage for applicable metric</x:v>
      </x:c>
      <x:c r="N3302" s="35" t="str">
        <x:v>Deepseek-flash-v4/Result2/Math_52/result.json</x:v>
      </x:c>
      <x:c r="O3302" s="39" t="n">
        <x:f>IF(AND(G3302="RECORDED",ISNUMBER(H3302)),H3302,"")</x:f>
        <x:v>72.95</x:v>
      </x:c>
      <x:c r="P3302" s="35" t="str">
        <x:v>NOT_REVEALING</x:v>
      </x:c>
      <x:c r="Q3302" s="35" t="str">
        <x:v>Deepseek-flash-v4/Result2/Math_52/result.json</x:v>
      </x:c>
    </x:row>
    <x:row r="3303">
      <x:c r="A3303" s="35" t="str">
        <x:v>deepseek</x:v>
      </x:c>
      <x:c r="B3303" s="35" t="str">
        <x:v>Math</x:v>
      </x:c>
      <x:c r="C3303" s="35" t="str">
        <x:v>Round2</x:v>
      </x:c>
      <x:c r="D3303" s="35" t="str">
        <x:v>Math_53</x:v>
      </x:c>
      <x:c r="E3303" s="35" t="str">
        <x:v>Condition</x:v>
      </x:c>
      <x:c r="F3303" s="35" t="n">
        <x:v>114</x:v>
      </x:c>
      <x:c r="G3303" s="35" t="str">
        <x:v>RECORDED</x:v>
      </x:c>
      <x:c r="H3303" s="39" t="n">
        <x:f>IF(ISNUMBER('Data'!N1595),'Data'!N1595*100,"")</x:f>
        <x:v>87.72</x:v>
      </x:c>
      <x:c r="I3303" s="35" t="str">
        <x:v>PASS</x:v>
      </x:c>
      <x:c r="J3303" s="35" t="str">
        <x:v>PASS</x:v>
      </x:c>
      <x:c r="K3303" s="35" t="str">
        <x:v>PASS</x:v>
      </x:c>
      <x:c r="L3303" s="35" t="str">
        <x:v>PASS</x:v>
      </x:c>
      <x:c r="M3303" s="35" t="str">
        <x:v>numeric coverage for applicable metric</x:v>
      </x:c>
      <x:c r="N3303" s="35" t="str">
        <x:v>Deepseek-flash-v4/Result2/Math_53/result.json</x:v>
      </x:c>
      <x:c r="O3303" s="39" t="n">
        <x:f>IF(AND(G3303="RECORDED",ISNUMBER(H3303)),H3303,"")</x:f>
        <x:v>87.72</x:v>
      </x:c>
      <x:c r="P3303" s="35" t="str">
        <x:v>NOT_REVEALING</x:v>
      </x:c>
      <x:c r="Q3303" s="35" t="str">
        <x:v>Deepseek-flash-v4/Result2/Math_53/result.json</x:v>
      </x:c>
    </x:row>
    <x:row r="3304">
      <x:c r="A3304" s="35" t="str">
        <x:v>deepseek</x:v>
      </x:c>
      <x:c r="B3304" s="35" t="str">
        <x:v>Math</x:v>
      </x:c>
      <x:c r="C3304" s="35" t="str">
        <x:v>Round2</x:v>
      </x:c>
      <x:c r="D3304" s="35" t="str">
        <x:v>Math_54</x:v>
      </x:c>
      <x:c r="E3304" s="35" t="str">
        <x:v>Condition</x:v>
      </x:c>
      <x:c r="F3304" s="35" t="n">
        <x:v>694</x:v>
      </x:c>
      <x:c r="G3304" s="35" t="str">
        <x:v>RECORDED</x:v>
      </x:c>
      <x:c r="H3304" s="39" t="n">
        <x:f>IF(ISNUMBER('Data'!N1596),'Data'!N1596*100,"")</x:f>
        <x:v>65.99</x:v>
      </x:c>
      <x:c r="I3304" s="35" t="str">
        <x:v>PASS</x:v>
      </x:c>
      <x:c r="J3304" s="35" t="str">
        <x:v>PASS</x:v>
      </x:c>
      <x:c r="K3304" s="35" t="str">
        <x:v>PASS</x:v>
      </x:c>
      <x:c r="L3304" s="35" t="str">
        <x:v>FAIL</x:v>
      </x:c>
      <x:c r="M3304" s="35" t="str">
        <x:v>numeric coverage for applicable metric</x:v>
      </x:c>
      <x:c r="N3304" s="35" t="str">
        <x:v>Deepseek-flash-v4/Result2/Math_54/result.json</x:v>
      </x:c>
      <x:c r="O3304" s="39" t="n">
        <x:f>IF(AND(G3304="RECORDED",ISNUMBER(H3304)),H3304,"")</x:f>
        <x:v>65.99</x:v>
      </x:c>
      <x:c r="P3304" s="35" t="str">
        <x:v>REVEALING</x:v>
      </x:c>
      <x:c r="Q3304" s="35" t="str">
        <x:v>Deepseek-flash-v4/Result2/Math_54/result.json</x:v>
      </x:c>
    </x:row>
    <x:row r="3305">
      <x:c r="A3305" s="35" t="str">
        <x:v>deepseek</x:v>
      </x:c>
      <x:c r="B3305" s="35" t="str">
        <x:v>Math</x:v>
      </x:c>
      <x:c r="C3305" s="35" t="str">
        <x:v>Round2</x:v>
      </x:c>
      <x:c r="D3305" s="35" t="str">
        <x:v>Math_55</x:v>
      </x:c>
      <x:c r="E3305" s="35" t="str">
        <x:v>Condition</x:v>
      </x:c>
      <x:c r="F3305" s="35" t="n">
        <x:v>48</x:v>
      </x:c>
      <x:c r="G3305" s="35" t="str">
        <x:v>RECORDED</x:v>
      </x:c>
      <x:c r="H3305" s="39" t="n">
        <x:f>IF(ISNUMBER('Data'!N1597),'Data'!N1597*100,"")</x:f>
        <x:v>83.33</x:v>
      </x:c>
      <x:c r="I3305" s="35" t="str">
        <x:v>PASS</x:v>
      </x:c>
      <x:c r="J3305" s="35" t="str">
        <x:v>PASS</x:v>
      </x:c>
      <x:c r="K3305" s="35" t="str">
        <x:v>PASS</x:v>
      </x:c>
      <x:c r="L3305" s="35" t="str">
        <x:v>PASS</x:v>
      </x:c>
      <x:c r="M3305" s="35" t="str">
        <x:v>numeric coverage for applicable metric</x:v>
      </x:c>
      <x:c r="N3305" s="35" t="str">
        <x:v>Deepseek-flash-v4/Result2/Math_55/result.json</x:v>
      </x:c>
      <x:c r="O3305" s="39" t="n">
        <x:f>IF(AND(G3305="RECORDED",ISNUMBER(H3305)),H3305,"")</x:f>
        <x:v>83.33</x:v>
      </x:c>
      <x:c r="P3305" s="35" t="str">
        <x:v>NOT_REVEALING</x:v>
      </x:c>
      <x:c r="Q3305" s="35" t="str">
        <x:v>Deepseek-flash-v4/Result2/Math_55/result.json</x:v>
      </x:c>
    </x:row>
    <x:row r="3306">
      <x:c r="A3306" s="35" t="str">
        <x:v>deepseek</x:v>
      </x:c>
      <x:c r="B3306" s="35" t="str">
        <x:v>Math</x:v>
      </x:c>
      <x:c r="C3306" s="35" t="str">
        <x:v>Round2</x:v>
      </x:c>
      <x:c r="D3306" s="35" t="str">
        <x:v>Math_56</x:v>
      </x:c>
      <x:c r="E3306" s="35" t="str">
        <x:v>Condition</x:v>
      </x:c>
      <x:c r="F3306" s="35" t="n">
        <x:v>34</x:v>
      </x:c>
      <x:c r="G3306" s="35" t="str">
        <x:v>RECORDED</x:v>
      </x:c>
      <x:c r="H3306" s="39" t="n">
        <x:f>IF(ISNUMBER('Data'!N1598),'Data'!N1598*100,"")</x:f>
        <x:v>94.12</x:v>
      </x:c>
      <x:c r="I3306" s="35" t="str">
        <x:v>PASS</x:v>
      </x:c>
      <x:c r="J3306" s="35" t="str">
        <x:v>PASS</x:v>
      </x:c>
      <x:c r="K3306" s="35" t="str">
        <x:v>PASS</x:v>
      </x:c>
      <x:c r="L3306" s="35" t="str">
        <x:v>FAIL</x:v>
      </x:c>
      <x:c r="M3306" s="35" t="str">
        <x:v>numeric coverage for applicable metric</x:v>
      </x:c>
      <x:c r="N3306" s="35" t="str">
        <x:v>Deepseek-flash-v4/Result2/Math_56/result.json</x:v>
      </x:c>
      <x:c r="O3306" s="39" t="n">
        <x:f>IF(AND(G3306="RECORDED",ISNUMBER(H3306)),H3306,"")</x:f>
        <x:v>94.12</x:v>
      </x:c>
      <x:c r="P3306" s="35" t="str">
        <x:v>INCONCLUSIVE</x:v>
      </x:c>
      <x:c r="Q3306" s="35" t="str">
        <x:v>Deepseek-flash-v4/Result2/Math_56/result.json</x:v>
      </x:c>
    </x:row>
    <x:row r="3307">
      <x:c r="A3307" s="35" t="str">
        <x:v>deepseek</x:v>
      </x:c>
      <x:c r="B3307" s="35" t="str">
        <x:v>Math</x:v>
      </x:c>
      <x:c r="C3307" s="35" t="str">
        <x:v>Round2</x:v>
      </x:c>
      <x:c r="D3307" s="35" t="str">
        <x:v>Math_57</x:v>
      </x:c>
      <x:c r="E3307" s="35" t="str">
        <x:v>Condition</x:v>
      </x:c>
      <x:c r="F3307" s="35" t="n">
        <x:v>54</x:v>
      </x:c>
      <x:c r="G3307" s="35" t="str">
        <x:v>RECORDED</x:v>
      </x:c>
      <x:c r="H3307" s="39" t="n">
        <x:f>IF(ISNUMBER('Data'!N1599),'Data'!N1599*100,"")</x:f>
        <x:v>90.74</x:v>
      </x:c>
      <x:c r="I3307" s="35" t="str">
        <x:v>PASS</x:v>
      </x:c>
      <x:c r="J3307" s="35" t="str">
        <x:v>PASS</x:v>
      </x:c>
      <x:c r="K3307" s="35" t="str">
        <x:v>PASS</x:v>
      </x:c>
      <x:c r="L3307" s="35" t="str">
        <x:v>PASS</x:v>
      </x:c>
      <x:c r="M3307" s="35" t="str">
        <x:v>numeric coverage for applicable metric</x:v>
      </x:c>
      <x:c r="N3307" s="35" t="str">
        <x:v>Deepseek-flash-v4/Result2/Math_57/result.json</x:v>
      </x:c>
      <x:c r="O3307" s="39" t="n">
        <x:f>IF(AND(G3307="RECORDED",ISNUMBER(H3307)),H3307,"")</x:f>
        <x:v>90.74</x:v>
      </x:c>
      <x:c r="P3307" s="35" t="str">
        <x:v>NOT_REVEALING</x:v>
      </x:c>
      <x:c r="Q3307" s="35" t="str">
        <x:v>Deepseek-flash-v4/Result2/Math_57/result.json</x:v>
      </x:c>
    </x:row>
    <x:row r="3308">
      <x:c r="A3308" s="35" t="str">
        <x:v>deepseek</x:v>
      </x:c>
      <x:c r="B3308" s="35" t="str">
        <x:v>Math</x:v>
      </x:c>
      <x:c r="C3308" s="35" t="str">
        <x:v>Round2</x:v>
      </x:c>
      <x:c r="D3308" s="35" t="str">
        <x:v>Math_58</x:v>
      </x:c>
      <x:c r="E3308" s="35" t="str">
        <x:v>Condition</x:v>
      </x:c>
      <x:c r="F3308" s="35" t="n">
        <x:v>58</x:v>
      </x:c>
      <x:c r="G3308" s="35" t="str">
        <x:v>RECORDED</x:v>
      </x:c>
      <x:c r="H3308" s="39" t="n">
        <x:f>IF(ISNUMBER('Data'!N1600),'Data'!N1600*100,"")</x:f>
        <x:v>62.07</x:v>
      </x:c>
      <x:c r="I3308" s="35" t="str">
        <x:v>PASS</x:v>
      </x:c>
      <x:c r="J3308" s="35" t="str">
        <x:v>PASS</x:v>
      </x:c>
      <x:c r="K3308" s="35" t="str">
        <x:v>PASS</x:v>
      </x:c>
      <x:c r="L3308" s="35" t="str">
        <x:v>PASS</x:v>
      </x:c>
      <x:c r="M3308" s="35" t="str">
        <x:v>numeric coverage for applicable metric</x:v>
      </x:c>
      <x:c r="N3308" s="35" t="str">
        <x:v>Deepseek-flash-v4/Result2/Math_58/result.json</x:v>
      </x:c>
      <x:c r="O3308" s="39" t="n">
        <x:f>IF(AND(G3308="RECORDED",ISNUMBER(H3308)),H3308,"")</x:f>
        <x:v>62.07</x:v>
      </x:c>
      <x:c r="P3308" s="35" t="str">
        <x:v>NOT_REVEALING</x:v>
      </x:c>
      <x:c r="Q3308" s="35" t="str">
        <x:v>Deepseek-flash-v4/Result2/Math_58/result.json</x:v>
      </x:c>
    </x:row>
    <x:row r="3309">
      <x:c r="A3309" s="35" t="str">
        <x:v>deepseek</x:v>
      </x:c>
      <x:c r="B3309" s="35" t="str">
        <x:v>Math</x:v>
      </x:c>
      <x:c r="C3309" s="35" t="str">
        <x:v>Round2</x:v>
      </x:c>
      <x:c r="D3309" s="35" t="str">
        <x:v>Math_59</x:v>
      </x:c>
      <x:c r="E3309" s="35" t="str">
        <x:v>Condition</x:v>
      </x:c>
      <x:c r="F3309" s="35" t="n">
        <x:v>652</x:v>
      </x:c>
      <x:c r="G3309" s="35" t="str">
        <x:v>RECORDED</x:v>
      </x:c>
      <x:c r="H3309" s="39" t="n">
        <x:f>IF(ISNUMBER('Data'!N1601),'Data'!N1601*100,"")</x:f>
        <x:v>43.56</x:v>
      </x:c>
      <x:c r="I3309" s="35" t="str">
        <x:v>PASS</x:v>
      </x:c>
      <x:c r="J3309" s="35" t="str">
        <x:v>PASS</x:v>
      </x:c>
      <x:c r="K3309" s="35" t="str">
        <x:v>PASS</x:v>
      </x:c>
      <x:c r="L3309" s="35" t="str">
        <x:v>FAIL</x:v>
      </x:c>
      <x:c r="M3309" s="35" t="str">
        <x:v>numeric coverage for applicable metric</x:v>
      </x:c>
      <x:c r="N3309" s="35" t="str">
        <x:v>Deepseek-flash-v4/Result2/Math_59/result.json</x:v>
      </x:c>
      <x:c r="O3309" s="39" t="n">
        <x:f>IF(AND(G3309="RECORDED",ISNUMBER(H3309)),H3309,"")</x:f>
        <x:v>43.56</x:v>
      </x:c>
      <x:c r="P3309" s="35" t="str">
        <x:v>INCONCLUSIVE</x:v>
      </x:c>
      <x:c r="Q3309" s="35" t="str">
        <x:v>Deepseek-flash-v4/Result2/Math_59/result.json</x:v>
      </x:c>
    </x:row>
    <x:row r="3310">
      <x:c r="A3310" s="35" t="str">
        <x:v>deepseek</x:v>
      </x:c>
      <x:c r="B3310" s="35" t="str">
        <x:v>Math</x:v>
      </x:c>
      <x:c r="C3310" s="35" t="str">
        <x:v>Round2</x:v>
      </x:c>
      <x:c r="D3310" s="35" t="str">
        <x:v>Math_6</x:v>
      </x:c>
      <x:c r="E3310" s="35" t="str">
        <x:v>Condition</x:v>
      </x:c>
      <x:c r="F3310" s="35"/>
      <x:c r="G3310" s="35" t="str">
        <x:v>A</x:v>
      </x:c>
      <x:c r="H3310" s="39" t="str">
        <x:f>IF(ISNUMBER('Data'!N1602),'Data'!N1602*100,"")</x:f>
      </x:c>
      <x:c r="I3310" s="35"/>
      <x:c r="J3310" s="35" t="str">
        <x:v>PASS</x:v>
      </x:c>
      <x:c r="K3310" s="35" t="str">
        <x:v>FAIL</x:v>
      </x:c>
      <x:c r="L3310" s="35" t="str">
        <x:v>NOT_RUN</x:v>
      </x:c>
      <x:c r="M3310" s="35" t="str">
        <x:v>coverage unavailable or execution/compile failed</x:v>
      </x:c>
      <x:c r="N3310" s="35" t="str">
        <x:v>Deepseek-flash-v4/Result2/Math_6/result.json</x:v>
      </x:c>
      <x:c r="O3310" s="39" t="str">
        <x:f>IF(AND(G3310="RECORDED",ISNUMBER(H3310)),H3310,"")</x:f>
      </x:c>
      <x:c r="P3310" s="35" t="str">
        <x:v>NOT_AVAILABLE</x:v>
      </x:c>
      <x:c r="Q3310" s="35" t="str">
        <x:v>Deepseek-flash-v4/Result2/Math_6/result.json</x:v>
      </x:c>
    </x:row>
    <x:row r="3311">
      <x:c r="A3311" s="35" t="str">
        <x:v>deepseek</x:v>
      </x:c>
      <x:c r="B3311" s="35" t="str">
        <x:v>Math</x:v>
      </x:c>
      <x:c r="C3311" s="35" t="str">
        <x:v>Round2</x:v>
      </x:c>
      <x:c r="D3311" s="35" t="str">
        <x:v>Math_60</x:v>
      </x:c>
      <x:c r="E3311" s="35" t="str">
        <x:v>Condition</x:v>
      </x:c>
      <x:c r="F3311" s="35" t="n">
        <x:v>18</x:v>
      </x:c>
      <x:c r="G3311" s="35" t="str">
        <x:v>RECORDED</x:v>
      </x:c>
      <x:c r="H3311" s="39" t="n">
        <x:f>IF(ISNUMBER('Data'!N1603),'Data'!N1603*100,"")</x:f>
        <x:v>77.78</x:v>
      </x:c>
      <x:c r="I3311" s="35" t="str">
        <x:v>PASS</x:v>
      </x:c>
      <x:c r="J3311" s="35" t="str">
        <x:v>PASS</x:v>
      </x:c>
      <x:c r="K3311" s="35" t="str">
        <x:v>PASS</x:v>
      </x:c>
      <x:c r="L3311" s="35" t="str">
        <x:v>PASS</x:v>
      </x:c>
      <x:c r="M3311" s="35" t="str">
        <x:v>numeric coverage for applicable metric</x:v>
      </x:c>
      <x:c r="N3311" s="35" t="str">
        <x:v>Deepseek-flash-v4/Result2/Math_60/result.json</x:v>
      </x:c>
      <x:c r="O3311" s="39" t="n">
        <x:f>IF(AND(G3311="RECORDED",ISNUMBER(H3311)),H3311,"")</x:f>
        <x:v>77.78</x:v>
      </x:c>
      <x:c r="P3311" s="35" t="str">
        <x:v>NOT_REVEALING</x:v>
      </x:c>
      <x:c r="Q3311" s="35" t="str">
        <x:v>Deepseek-flash-v4/Result2/Math_60/result.json</x:v>
      </x:c>
    </x:row>
    <x:row r="3312">
      <x:c r="A3312" s="35" t="str">
        <x:v>deepseek</x:v>
      </x:c>
      <x:c r="B3312" s="35" t="str">
        <x:v>Math</x:v>
      </x:c>
      <x:c r="C3312" s="35" t="str">
        <x:v>Round2</x:v>
      </x:c>
      <x:c r="D3312" s="35" t="str">
        <x:v>Math_61</x:v>
      </x:c>
      <x:c r="E3312" s="35" t="str">
        <x:v>Condition</x:v>
      </x:c>
      <x:c r="F3312" s="35" t="n">
        <x:v>12</x:v>
      </x:c>
      <x:c r="G3312" s="35" t="str">
        <x:v>RECORDED</x:v>
      </x:c>
      <x:c r="H3312" s="39" t="n">
        <x:f>IF(ISNUMBER('Data'!N1604),'Data'!N1604*100,"")</x:f>
        <x:v>100</x:v>
      </x:c>
      <x:c r="I3312" s="35" t="str">
        <x:v>PASS</x:v>
      </x:c>
      <x:c r="J3312" s="35" t="str">
        <x:v>PASS</x:v>
      </x:c>
      <x:c r="K3312" s="35" t="str">
        <x:v>PASS</x:v>
      </x:c>
      <x:c r="L3312" s="35" t="str">
        <x:v>PASS</x:v>
      </x:c>
      <x:c r="M3312" s="35" t="str">
        <x:v>numeric coverage for applicable metric</x:v>
      </x:c>
      <x:c r="N3312" s="35" t="str">
        <x:v>Deepseek-flash-v4/Result2/Math_61/result.json</x:v>
      </x:c>
      <x:c r="O3312" s="39" t="n">
        <x:f>IF(AND(G3312="RECORDED",ISNUMBER(H3312)),H3312,"")</x:f>
        <x:v>100</x:v>
      </x:c>
      <x:c r="P3312" s="35" t="str">
        <x:v>NOT_REVEALING</x:v>
      </x:c>
      <x:c r="Q3312" s="35" t="str">
        <x:v>Deepseek-flash-v4/Result2/Math_61/result.json</x:v>
      </x:c>
    </x:row>
    <x:row r="3313">
      <x:c r="A3313" s="35" t="str">
        <x:v>deepseek</x:v>
      </x:c>
      <x:c r="B3313" s="35" t="str">
        <x:v>Math</x:v>
      </x:c>
      <x:c r="C3313" s="35" t="str">
        <x:v>Round2</x:v>
      </x:c>
      <x:c r="D3313" s="35" t="str">
        <x:v>Math_62</x:v>
      </x:c>
      <x:c r="E3313" s="35" t="str">
        <x:v>Condition</x:v>
      </x:c>
      <x:c r="F3313" s="35" t="n">
        <x:v>18</x:v>
      </x:c>
      <x:c r="G3313" s="35" t="str">
        <x:v>RECORDED</x:v>
      </x:c>
      <x:c r="H3313" s="39" t="n">
        <x:f>IF(ISNUMBER('Data'!N1605),'Data'!N1605*100,"")</x:f>
        <x:v>94.44</x:v>
      </x:c>
      <x:c r="I3313" s="35" t="str">
        <x:v>PASS</x:v>
      </x:c>
      <x:c r="J3313" s="35" t="str">
        <x:v>PASS</x:v>
      </x:c>
      <x:c r="K3313" s="35" t="str">
        <x:v>PASS</x:v>
      </x:c>
      <x:c r="L3313" s="35" t="str">
        <x:v>PASS</x:v>
      </x:c>
      <x:c r="M3313" s="35" t="str">
        <x:v>numeric coverage for applicable metric</x:v>
      </x:c>
      <x:c r="N3313" s="35" t="str">
        <x:v>Deepseek-flash-v4/Result2/Math_62/result.json</x:v>
      </x:c>
      <x:c r="O3313" s="39" t="n">
        <x:f>IF(AND(G3313="RECORDED",ISNUMBER(H3313)),H3313,"")</x:f>
        <x:v>94.44</x:v>
      </x:c>
      <x:c r="P3313" s="35" t="str">
        <x:v>NOT_REVEALING</x:v>
      </x:c>
      <x:c r="Q3313" s="35" t="str">
        <x:v>Deepseek-flash-v4/Result2/Math_62/result.json</x:v>
      </x:c>
    </x:row>
    <x:row r="3314">
      <x:c r="A3314" s="35" t="str">
        <x:v>deepseek</x:v>
      </x:c>
      <x:c r="B3314" s="35" t="str">
        <x:v>Math</x:v>
      </x:c>
      <x:c r="C3314" s="35" t="str">
        <x:v>Round2</x:v>
      </x:c>
      <x:c r="D3314" s="35" t="str">
        <x:v>Math_63</x:v>
      </x:c>
      <x:c r="E3314" s="35" t="str">
        <x:v>Condition</x:v>
      </x:c>
      <x:c r="F3314" s="35" t="n">
        <x:v>441</x:v>
      </x:c>
      <x:c r="G3314" s="35" t="str">
        <x:v>RECORDED</x:v>
      </x:c>
      <x:c r="H3314" s="39" t="n">
        <x:f>IF(ISNUMBER('Data'!N1606),'Data'!N1606*100,"")</x:f>
        <x:v>57.60000000000001</x:v>
      </x:c>
      <x:c r="I3314" s="35" t="str">
        <x:v>PASS</x:v>
      </x:c>
      <x:c r="J3314" s="35" t="str">
        <x:v>PASS</x:v>
      </x:c>
      <x:c r="K3314" s="35" t="str">
        <x:v>PASS</x:v>
      </x:c>
      <x:c r="L3314" s="35" t="str">
        <x:v>FAIL</x:v>
      </x:c>
      <x:c r="M3314" s="35" t="str">
        <x:v>numeric coverage for applicable metric</x:v>
      </x:c>
      <x:c r="N3314" s="35" t="str">
        <x:v>Deepseek-flash-v4/Result2/Math_63/result.json</x:v>
      </x:c>
      <x:c r="O3314" s="39" t="n">
        <x:f>IF(AND(G3314="RECORDED",ISNUMBER(H3314)),H3314,"")</x:f>
        <x:v>57.60000000000001</x:v>
      </x:c>
      <x:c r="P3314" s="35" t="str">
        <x:v>INCONCLUSIVE</x:v>
      </x:c>
      <x:c r="Q3314" s="35" t="str">
        <x:v>Deepseek-flash-v4/Result2/Math_63/result.json</x:v>
      </x:c>
    </x:row>
    <x:row r="3315">
      <x:c r="A3315" s="35" t="str">
        <x:v>deepseek</x:v>
      </x:c>
      <x:c r="B3315" s="35" t="str">
        <x:v>Math</x:v>
      </x:c>
      <x:c r="C3315" s="35" t="str">
        <x:v>Round2</x:v>
      </x:c>
      <x:c r="D3315" s="35" t="str">
        <x:v>Math_64</x:v>
      </x:c>
      <x:c r="E3315" s="35" t="str">
        <x:v>Condition</x:v>
      </x:c>
      <x:c r="F3315" s="35" t="n">
        <x:v>200</x:v>
      </x:c>
      <x:c r="G3315" s="35" t="str">
        <x:v>RECORDED</x:v>
      </x:c>
      <x:c r="H3315" s="39" t="n">
        <x:f>IF(ISNUMBER('Data'!N1607),'Data'!N1607*100,"")</x:f>
        <x:v>44</x:v>
      </x:c>
      <x:c r="I3315" s="35" t="str">
        <x:v>PASS</x:v>
      </x:c>
      <x:c r="J3315" s="35" t="str">
        <x:v>PASS</x:v>
      </x:c>
      <x:c r="K3315" s="35" t="str">
        <x:v>PASS</x:v>
      </x:c>
      <x:c r="L3315" s="35" t="str">
        <x:v>FAIL</x:v>
      </x:c>
      <x:c r="M3315" s="35" t="str">
        <x:v>numeric coverage for applicable metric</x:v>
      </x:c>
      <x:c r="N3315" s="35" t="str">
        <x:v>Deepseek-flash-v4/Result2/Math_64/result.json</x:v>
      </x:c>
      <x:c r="O3315" s="39" t="n">
        <x:f>IF(AND(G3315="RECORDED",ISNUMBER(H3315)),H3315,"")</x:f>
        <x:v>44</x:v>
      </x:c>
      <x:c r="P3315" s="35" t="str">
        <x:v>INCONCLUSIVE</x:v>
      </x:c>
      <x:c r="Q3315" s="35" t="str">
        <x:v>Deepseek-flash-v4/Result2/Math_64/result.json</x:v>
      </x:c>
    </x:row>
    <x:row r="3316">
      <x:c r="A3316" s="35" t="str">
        <x:v>deepseek</x:v>
      </x:c>
      <x:c r="B3316" s="35" t="str">
        <x:v>Math</x:v>
      </x:c>
      <x:c r="C3316" s="35" t="str">
        <x:v>Round2</x:v>
      </x:c>
      <x:c r="D3316" s="35" t="str">
        <x:v>Math_65</x:v>
      </x:c>
      <x:c r="E3316" s="35" t="str">
        <x:v>Condition</x:v>
      </x:c>
      <x:c r="F3316" s="35"/>
      <x:c r="G3316" s="35" t="str">
        <x:v>A</x:v>
      </x:c>
      <x:c r="H3316" s="39" t="str">
        <x:f>IF(ISNUMBER('Data'!N1608),'Data'!N1608*100,"")</x:f>
      </x:c>
      <x:c r="I3316" s="35"/>
      <x:c r="J3316" s="35" t="str">
        <x:v>PASS</x:v>
      </x:c>
      <x:c r="K3316" s="35" t="str">
        <x:v>FAIL</x:v>
      </x:c>
      <x:c r="L3316" s="35" t="str">
        <x:v>NOT_RUN</x:v>
      </x:c>
      <x:c r="M3316" s="35" t="str">
        <x:v>coverage unavailable or execution/compile failed</x:v>
      </x:c>
      <x:c r="N3316" s="35" t="str">
        <x:v>Deepseek-flash-v4/Result2/Math_65/result.json</x:v>
      </x:c>
      <x:c r="O3316" s="39" t="str">
        <x:f>IF(AND(G3316="RECORDED",ISNUMBER(H3316)),H3316,"")</x:f>
      </x:c>
      <x:c r="P3316" s="35" t="str">
        <x:v>NOT_AVAILABLE</x:v>
      </x:c>
      <x:c r="Q3316" s="35" t="str">
        <x:v>Deepseek-flash-v4/Result2/Math_65/result.json</x:v>
      </x:c>
    </x:row>
    <x:row r="3317">
      <x:c r="A3317" s="35" t="str">
        <x:v>deepseek</x:v>
      </x:c>
      <x:c r="B3317" s="35" t="str">
        <x:v>Math</x:v>
      </x:c>
      <x:c r="C3317" s="35" t="str">
        <x:v>Round2</x:v>
      </x:c>
      <x:c r="D3317" s="35" t="str">
        <x:v>Math_66</x:v>
      </x:c>
      <x:c r="E3317" s="35" t="str">
        <x:v>Condition</x:v>
      </x:c>
      <x:c r="F3317" s="35" t="n">
        <x:v>58</x:v>
      </x:c>
      <x:c r="G3317" s="35" t="str">
        <x:v>RECORDED</x:v>
      </x:c>
      <x:c r="H3317" s="39" t="n">
        <x:f>IF(ISNUMBER('Data'!N1609),'Data'!N1609*100,"")</x:f>
        <x:v>94.83</x:v>
      </x:c>
      <x:c r="I3317" s="35" t="str">
        <x:v>PASS</x:v>
      </x:c>
      <x:c r="J3317" s="35" t="str">
        <x:v>PASS</x:v>
      </x:c>
      <x:c r="K3317" s="35" t="str">
        <x:v>PASS</x:v>
      </x:c>
      <x:c r="L3317" s="35" t="str">
        <x:v>PASS</x:v>
      </x:c>
      <x:c r="M3317" s="35" t="str">
        <x:v>numeric coverage for applicable metric</x:v>
      </x:c>
      <x:c r="N3317" s="35" t="str">
        <x:v>Deepseek-flash-v4/Result2/Math_66/result.json</x:v>
      </x:c>
      <x:c r="O3317" s="39" t="n">
        <x:f>IF(AND(G3317="RECORDED",ISNUMBER(H3317)),H3317,"")</x:f>
        <x:v>94.83</x:v>
      </x:c>
      <x:c r="P3317" s="35" t="str">
        <x:v>INCONCLUSIVE</x:v>
      </x:c>
      <x:c r="Q3317" s="35" t="str">
        <x:v>Deepseek-flash-v4/Result2/Math_66/result.json</x:v>
      </x:c>
    </x:row>
    <x:row r="3318">
      <x:c r="A3318" s="35" t="str">
        <x:v>deepseek</x:v>
      </x:c>
      <x:c r="B3318" s="35" t="str">
        <x:v>Math</x:v>
      </x:c>
      <x:c r="C3318" s="35" t="str">
        <x:v>Round2</x:v>
      </x:c>
      <x:c r="D3318" s="35" t="str">
        <x:v>Math_67</x:v>
      </x:c>
      <x:c r="E3318" s="35" t="str">
        <x:v>Condition</x:v>
      </x:c>
      <x:c r="F3318" s="35" t="n">
        <x:v>34</x:v>
      </x:c>
      <x:c r="G3318" s="35" t="str">
        <x:v>RECORDED</x:v>
      </x:c>
      <x:c r="H3318" s="39" t="n">
        <x:f>IF(ISNUMBER('Data'!N1610),'Data'!N1610*100,"")</x:f>
        <x:v>85.29</x:v>
      </x:c>
      <x:c r="I3318" s="35" t="str">
        <x:v>PASS</x:v>
      </x:c>
      <x:c r="J3318" s="35" t="str">
        <x:v>PASS</x:v>
      </x:c>
      <x:c r="K3318" s="35" t="str">
        <x:v>PASS</x:v>
      </x:c>
      <x:c r="L3318" s="35" t="str">
        <x:v>FAIL</x:v>
      </x:c>
      <x:c r="M3318" s="35" t="str">
        <x:v>numeric coverage for applicable metric</x:v>
      </x:c>
      <x:c r="N3318" s="35" t="str">
        <x:v>Deepseek-flash-v4/Result2/Math_67/result.json</x:v>
      </x:c>
      <x:c r="O3318" s="39" t="n">
        <x:f>IF(AND(G3318="RECORDED",ISNUMBER(H3318)),H3318,"")</x:f>
        <x:v>85.29</x:v>
      </x:c>
      <x:c r="P3318" s="35" t="str">
        <x:v>INCONCLUSIVE</x:v>
      </x:c>
      <x:c r="Q3318" s="35" t="str">
        <x:v>Deepseek-flash-v4/Result2/Math_67/result.json</x:v>
      </x:c>
    </x:row>
    <x:row r="3319">
      <x:c r="A3319" s="35" t="str">
        <x:v>deepseek</x:v>
      </x:c>
      <x:c r="B3319" s="35" t="str">
        <x:v>Math</x:v>
      </x:c>
      <x:c r="C3319" s="35" t="str">
        <x:v>Round2</x:v>
      </x:c>
      <x:c r="D3319" s="35" t="str">
        <x:v>Math_68</x:v>
      </x:c>
      <x:c r="E3319" s="35" t="str">
        <x:v>Condition</x:v>
      </x:c>
      <x:c r="F3319" s="35" t="n">
        <x:v>196</x:v>
      </x:c>
      <x:c r="G3319" s="35" t="str">
        <x:v>RECORDED</x:v>
      </x:c>
      <x:c r="H3319" s="39" t="n">
        <x:f>IF(ISNUMBER('Data'!N1611),'Data'!N1611*100,"")</x:f>
        <x:v>42.86</x:v>
      </x:c>
      <x:c r="I3319" s="35" t="str">
        <x:v>PASS</x:v>
      </x:c>
      <x:c r="J3319" s="35" t="str">
        <x:v>PASS</x:v>
      </x:c>
      <x:c r="K3319" s="35" t="str">
        <x:v>PASS</x:v>
      </x:c>
      <x:c r="L3319" s="35" t="str">
        <x:v>PASS</x:v>
      </x:c>
      <x:c r="M3319" s="35" t="str">
        <x:v>numeric coverage for applicable metric</x:v>
      </x:c>
      <x:c r="N3319" s="35" t="str">
        <x:v>Deepseek-flash-v4/Result2/Math_68/result.json</x:v>
      </x:c>
      <x:c r="O3319" s="39" t="n">
        <x:f>IF(AND(G3319="RECORDED",ISNUMBER(H3319)),H3319,"")</x:f>
        <x:v>42.86</x:v>
      </x:c>
      <x:c r="P3319" s="35" t="str">
        <x:v>NOT_REVEALING</x:v>
      </x:c>
      <x:c r="Q3319" s="35" t="str">
        <x:v>Deepseek-flash-v4/Result2/Math_68/result.json</x:v>
      </x:c>
    </x:row>
    <x:row r="3320">
      <x:c r="A3320" s="35" t="str">
        <x:v>deepseek</x:v>
      </x:c>
      <x:c r="B3320" s="35" t="str">
        <x:v>Math</x:v>
      </x:c>
      <x:c r="C3320" s="35" t="str">
        <x:v>Round2</x:v>
      </x:c>
      <x:c r="D3320" s="35" t="str">
        <x:v>Math_69</x:v>
      </x:c>
      <x:c r="E3320" s="35" t="str">
        <x:v>Condition</x:v>
      </x:c>
      <x:c r="F3320" s="35" t="n">
        <x:v>30</x:v>
      </x:c>
      <x:c r="G3320" s="35" t="str">
        <x:v>RECORDED</x:v>
      </x:c>
      <x:c r="H3320" s="39" t="n">
        <x:f>IF(ISNUMBER('Data'!N1612),'Data'!N1612*100,"")</x:f>
        <x:v>96.67</x:v>
      </x:c>
      <x:c r="I3320" s="35" t="str">
        <x:v>PASS</x:v>
      </x:c>
      <x:c r="J3320" s="35" t="str">
        <x:v>PASS</x:v>
      </x:c>
      <x:c r="K3320" s="35" t="str">
        <x:v>PASS</x:v>
      </x:c>
      <x:c r="L3320" s="35" t="str">
        <x:v>PASS</x:v>
      </x:c>
      <x:c r="M3320" s="35" t="str">
        <x:v>numeric coverage for applicable metric</x:v>
      </x:c>
      <x:c r="N3320" s="35" t="str">
        <x:v>Deepseek-flash-v4/Result2/Math_69/result.json</x:v>
      </x:c>
      <x:c r="O3320" s="39" t="n">
        <x:f>IF(AND(G3320="RECORDED",ISNUMBER(H3320)),H3320,"")</x:f>
        <x:v>96.67</x:v>
      </x:c>
      <x:c r="P3320" s="35" t="str">
        <x:v>NOT_REVEALING</x:v>
      </x:c>
      <x:c r="Q3320" s="35" t="str">
        <x:v>Deepseek-flash-v4/Result2/Math_69/result.json</x:v>
      </x:c>
    </x:row>
    <x:row r="3321">
      <x:c r="A3321" s="35" t="str">
        <x:v>deepseek</x:v>
      </x:c>
      <x:c r="B3321" s="35" t="str">
        <x:v>Math</x:v>
      </x:c>
      <x:c r="C3321" s="35" t="str">
        <x:v>Round2</x:v>
      </x:c>
      <x:c r="D3321" s="35" t="str">
        <x:v>Math_7</x:v>
      </x:c>
      <x:c r="E3321" s="35" t="str">
        <x:v>Condition</x:v>
      </x:c>
      <x:c r="F3321" s="35" t="n">
        <x:v>50</x:v>
      </x:c>
      <x:c r="G3321" s="35" t="str">
        <x:v>RECORDED</x:v>
      </x:c>
      <x:c r="H3321" s="39" t="n">
        <x:f>IF(ISNUMBER('Data'!N1613),'Data'!N1613*100,"")</x:f>
        <x:v>28.000000000000004</x:v>
      </x:c>
      <x:c r="I3321" s="35" t="str">
        <x:v>PASS</x:v>
      </x:c>
      <x:c r="J3321" s="35" t="str">
        <x:v>PASS</x:v>
      </x:c>
      <x:c r="K3321" s="35" t="str">
        <x:v>PASS</x:v>
      </x:c>
      <x:c r="L3321" s="35" t="str">
        <x:v>PASS</x:v>
      </x:c>
      <x:c r="M3321" s="35" t="str">
        <x:v>numeric coverage for applicable metric</x:v>
      </x:c>
      <x:c r="N3321" s="35" t="str">
        <x:v>Deepseek-flash-v4/Result2/Math_7/result.json</x:v>
      </x:c>
      <x:c r="O3321" s="39" t="n">
        <x:f>IF(AND(G3321="RECORDED",ISNUMBER(H3321)),H3321,"")</x:f>
        <x:v>28.000000000000004</x:v>
      </x:c>
      <x:c r="P3321" s="35" t="str">
        <x:v>NOT_REVEALING</x:v>
      </x:c>
      <x:c r="Q3321" s="35" t="str">
        <x:v>Deepseek-flash-v4/Result2/Math_7/result.json</x:v>
      </x:c>
    </x:row>
    <x:row r="3322">
      <x:c r="A3322" s="35" t="str">
        <x:v>deepseek</x:v>
      </x:c>
      <x:c r="B3322" s="35" t="str">
        <x:v>Math</x:v>
      </x:c>
      <x:c r="C3322" s="35" t="str">
        <x:v>Round2</x:v>
      </x:c>
      <x:c r="D3322" s="35" t="str">
        <x:v>Math_70</x:v>
      </x:c>
      <x:c r="E3322" s="35" t="str">
        <x:v>Condition</x:v>
      </x:c>
      <x:c r="F3322" s="35" t="n">
        <x:v>6</x:v>
      </x:c>
      <x:c r="G3322" s="35" t="str">
        <x:v>RECORDED</x:v>
      </x:c>
      <x:c r="H3322" s="39" t="n">
        <x:f>IF(ISNUMBER('Data'!N1614),'Data'!N1614*100,"")</x:f>
        <x:v>100</x:v>
      </x:c>
      <x:c r="I3322" s="35" t="str">
        <x:v>PASS</x:v>
      </x:c>
      <x:c r="J3322" s="35" t="str">
        <x:v>PASS</x:v>
      </x:c>
      <x:c r="K3322" s="35" t="str">
        <x:v>PASS</x:v>
      </x:c>
      <x:c r="L3322" s="35" t="str">
        <x:v>FAIL</x:v>
      </x:c>
      <x:c r="M3322" s="35" t="str">
        <x:v>numeric coverage for applicable metric</x:v>
      </x:c>
      <x:c r="N3322" s="35" t="str">
        <x:v>Deepseek-flash-v4/Result2/Math_70/result.json</x:v>
      </x:c>
      <x:c r="O3322" s="39" t="n">
        <x:f>IF(AND(G3322="RECORDED",ISNUMBER(H3322)),H3322,"")</x:f>
        <x:v>100</x:v>
      </x:c>
      <x:c r="P3322" s="35" t="str">
        <x:v>INCONCLUSIVE</x:v>
      </x:c>
      <x:c r="Q3322" s="35" t="str">
        <x:v>Deepseek-flash-v4/Result2/Math_70/result.json</x:v>
      </x:c>
    </x:row>
    <x:row r="3323">
      <x:c r="A3323" s="35" t="str">
        <x:v>deepseek</x:v>
      </x:c>
      <x:c r="B3323" s="35" t="str">
        <x:v>Math</x:v>
      </x:c>
      <x:c r="C3323" s="35" t="str">
        <x:v>Round2</x:v>
      </x:c>
      <x:c r="D3323" s="35" t="str">
        <x:v>Math_71</x:v>
      </x:c>
      <x:c r="E3323" s="35" t="str">
        <x:v>Condition</x:v>
      </x:c>
      <x:c r="F3323" s="35" t="n">
        <x:v>98</x:v>
      </x:c>
      <x:c r="G3323" s="35" t="str">
        <x:v>RECORDED</x:v>
      </x:c>
      <x:c r="H3323" s="39" t="n">
        <x:f>IF(ISNUMBER('Data'!N1615),'Data'!N1615*100,"")</x:f>
        <x:v>80.61</x:v>
      </x:c>
      <x:c r="I3323" s="35" t="str">
        <x:v>PASS</x:v>
      </x:c>
      <x:c r="J3323" s="35" t="str">
        <x:v>PASS</x:v>
      </x:c>
      <x:c r="K3323" s="35" t="str">
        <x:v>PASS</x:v>
      </x:c>
      <x:c r="L3323" s="35" t="str">
        <x:v>PASS</x:v>
      </x:c>
      <x:c r="M3323" s="35" t="str">
        <x:v>numeric coverage for applicable metric</x:v>
      </x:c>
      <x:c r="N3323" s="35" t="str">
        <x:v>Deepseek-flash-v4/Result2/Math_71/result.json</x:v>
      </x:c>
      <x:c r="O3323" s="39" t="n">
        <x:f>IF(AND(G3323="RECORDED",ISNUMBER(H3323)),H3323,"")</x:f>
        <x:v>80.61</x:v>
      </x:c>
      <x:c r="P3323" s="35" t="str">
        <x:v>INCONCLUSIVE</x:v>
      </x:c>
      <x:c r="Q3323" s="35" t="str">
        <x:v>Deepseek-flash-v4/Result2/Math_71/result.json</x:v>
      </x:c>
    </x:row>
    <x:row r="3324">
      <x:c r="A3324" s="35" t="str">
        <x:v>deepseek</x:v>
      </x:c>
      <x:c r="B3324" s="35" t="str">
        <x:v>Math</x:v>
      </x:c>
      <x:c r="C3324" s="35" t="str">
        <x:v>Round2</x:v>
      </x:c>
      <x:c r="D3324" s="35" t="str">
        <x:v>Math_72</x:v>
      </x:c>
      <x:c r="E3324" s="35" t="str">
        <x:v>Condition</x:v>
      </x:c>
      <x:c r="F3324" s="35" t="n">
        <x:v>54</x:v>
      </x:c>
      <x:c r="G3324" s="35" t="str">
        <x:v>RECORDED</x:v>
      </x:c>
      <x:c r="H3324" s="39" t="n">
        <x:f>IF(ISNUMBER('Data'!N1616),'Data'!N1616*100,"")</x:f>
        <x:v>81.48</x:v>
      </x:c>
      <x:c r="I3324" s="35" t="str">
        <x:v>PASS</x:v>
      </x:c>
      <x:c r="J3324" s="35" t="str">
        <x:v>PASS</x:v>
      </x:c>
      <x:c r="K3324" s="35" t="str">
        <x:v>PASS</x:v>
      </x:c>
      <x:c r="L3324" s="35" t="str">
        <x:v>FAIL</x:v>
      </x:c>
      <x:c r="M3324" s="35" t="str">
        <x:v>numeric coverage for applicable metric</x:v>
      </x:c>
      <x:c r="N3324" s="35" t="str">
        <x:v>Deepseek-flash-v4/Result2/Math_72/result.json</x:v>
      </x:c>
      <x:c r="O3324" s="39" t="n">
        <x:f>IF(AND(G3324="RECORDED",ISNUMBER(H3324)),H3324,"")</x:f>
        <x:v>81.48</x:v>
      </x:c>
      <x:c r="P3324" s="35" t="str">
        <x:v>INCONCLUSIVE</x:v>
      </x:c>
      <x:c r="Q3324" s="35" t="str">
        <x:v>Deepseek-flash-v4/Result2/Math_72/result.json</x:v>
      </x:c>
    </x:row>
    <x:row r="3325">
      <x:c r="A3325" s="35" t="str">
        <x:v>deepseek</x:v>
      </x:c>
      <x:c r="B3325" s="35" t="str">
        <x:v>Math</x:v>
      </x:c>
      <x:c r="C3325" s="35" t="str">
        <x:v>Round2</x:v>
      </x:c>
      <x:c r="D3325" s="35" t="str">
        <x:v>Math_73</x:v>
      </x:c>
      <x:c r="E3325" s="35" t="str">
        <x:v>Condition</x:v>
      </x:c>
      <x:c r="F3325" s="35" t="n">
        <x:v>52</x:v>
      </x:c>
      <x:c r="G3325" s="35" t="str">
        <x:v>RECORDED</x:v>
      </x:c>
      <x:c r="H3325" s="39" t="n">
        <x:f>IF(ISNUMBER('Data'!N1617),'Data'!N1617*100,"")</x:f>
        <x:v>80.77</x:v>
      </x:c>
      <x:c r="I3325" s="35" t="str">
        <x:v>PASS</x:v>
      </x:c>
      <x:c r="J3325" s="35" t="str">
        <x:v>PASS</x:v>
      </x:c>
      <x:c r="K3325" s="35" t="str">
        <x:v>PASS</x:v>
      </x:c>
      <x:c r="L3325" s="35" t="str">
        <x:v>PASS</x:v>
      </x:c>
      <x:c r="M3325" s="35" t="str">
        <x:v>numeric coverage for applicable metric</x:v>
      </x:c>
      <x:c r="N3325" s="35" t="str">
        <x:v>Deepseek-flash-v4/Result2/Math_73/result.json</x:v>
      </x:c>
      <x:c r="O3325" s="39" t="n">
        <x:f>IF(AND(G3325="RECORDED",ISNUMBER(H3325)),H3325,"")</x:f>
        <x:v>80.77</x:v>
      </x:c>
      <x:c r="P3325" s="35" t="str">
        <x:v>NOT_REVEALING</x:v>
      </x:c>
      <x:c r="Q3325" s="35" t="str">
        <x:v>Deepseek-flash-v4/Result2/Math_73/result.json</x:v>
      </x:c>
    </x:row>
    <x:row r="3326">
      <x:c r="A3326" s="35" t="str">
        <x:v>deepseek</x:v>
      </x:c>
      <x:c r="B3326" s="35" t="str">
        <x:v>Math</x:v>
      </x:c>
      <x:c r="C3326" s="35" t="str">
        <x:v>Round2</x:v>
      </x:c>
      <x:c r="D3326" s="35" t="str">
        <x:v>Math_74</x:v>
      </x:c>
      <x:c r="E3326" s="35" t="str">
        <x:v>Condition</x:v>
      </x:c>
      <x:c r="F3326" s="35" t="n">
        <x:v>54</x:v>
      </x:c>
      <x:c r="G3326" s="35" t="str">
        <x:v>RECORDED</x:v>
      </x:c>
      <x:c r="H3326" s="39" t="n">
        <x:f>IF(ISNUMBER('Data'!N1618),'Data'!N1618*100,"")</x:f>
        <x:v>85.19</x:v>
      </x:c>
      <x:c r="I3326" s="35" t="str">
        <x:v>PASS</x:v>
      </x:c>
      <x:c r="J3326" s="35" t="str">
        <x:v>PASS</x:v>
      </x:c>
      <x:c r="K3326" s="35" t="str">
        <x:v>PASS</x:v>
      </x:c>
      <x:c r="L3326" s="35" t="str">
        <x:v>PASS</x:v>
      </x:c>
      <x:c r="M3326" s="35" t="str">
        <x:v>numeric coverage for applicable metric</x:v>
      </x:c>
      <x:c r="N3326" s="35" t="str">
        <x:v>Deepseek-flash-v4/Result2/Math_74/result.json</x:v>
      </x:c>
      <x:c r="O3326" s="39" t="n">
        <x:f>IF(AND(G3326="RECORDED",ISNUMBER(H3326)),H3326,"")</x:f>
        <x:v>85.19</x:v>
      </x:c>
      <x:c r="P3326" s="35" t="str">
        <x:v>NOT_REVEALING</x:v>
      </x:c>
      <x:c r="Q3326" s="35" t="str">
        <x:v>Deepseek-flash-v4/Result2/Math_74/result.json</x:v>
      </x:c>
    </x:row>
    <x:row r="3327">
      <x:c r="A3327" s="35" t="str">
        <x:v>deepseek</x:v>
      </x:c>
      <x:c r="B3327" s="35" t="str">
        <x:v>Math</x:v>
      </x:c>
      <x:c r="C3327" s="35" t="str">
        <x:v>Round2</x:v>
      </x:c>
      <x:c r="D3327" s="35" t="str">
        <x:v>Math_75</x:v>
      </x:c>
      <x:c r="E3327" s="35" t="str">
        <x:v>Condition</x:v>
      </x:c>
      <x:c r="F3327" s="35" t="n">
        <x:v>48</x:v>
      </x:c>
      <x:c r="G3327" s="35" t="str">
        <x:v>RECORDED</x:v>
      </x:c>
      <x:c r="H3327" s="39" t="n">
        <x:f>IF(ISNUMBER('Data'!N1619),'Data'!N1619*100,"")</x:f>
        <x:v>77.08</x:v>
      </x:c>
      <x:c r="I3327" s="35" t="str">
        <x:v>PASS</x:v>
      </x:c>
      <x:c r="J3327" s="35" t="str">
        <x:v>PASS</x:v>
      </x:c>
      <x:c r="K3327" s="35" t="str">
        <x:v>PASS</x:v>
      </x:c>
      <x:c r="L3327" s="35" t="str">
        <x:v>FAIL</x:v>
      </x:c>
      <x:c r="M3327" s="35" t="str">
        <x:v>numeric coverage for applicable metric</x:v>
      </x:c>
      <x:c r="N3327" s="35" t="str">
        <x:v>Deepseek-flash-v4/Result2/Math_75/result.json</x:v>
      </x:c>
      <x:c r="O3327" s="39" t="n">
        <x:f>IF(AND(G3327="RECORDED",ISNUMBER(H3327)),H3327,"")</x:f>
        <x:v>77.08</x:v>
      </x:c>
      <x:c r="P3327" s="35" t="str">
        <x:v>INCONCLUSIVE</x:v>
      </x:c>
      <x:c r="Q3327" s="35" t="str">
        <x:v>Deepseek-flash-v4/Result2/Math_75/result.json</x:v>
      </x:c>
    </x:row>
    <x:row r="3328">
      <x:c r="A3328" s="35" t="str">
        <x:v>deepseek</x:v>
      </x:c>
      <x:c r="B3328" s="35" t="str">
        <x:v>Math</x:v>
      </x:c>
      <x:c r="C3328" s="35" t="str">
        <x:v>Round2</x:v>
      </x:c>
      <x:c r="D3328" s="35" t="str">
        <x:v>Math_76</x:v>
      </x:c>
      <x:c r="E3328" s="35" t="str">
        <x:v>Condition</x:v>
      </x:c>
      <x:c r="F3328" s="35" t="n">
        <x:v>54</x:v>
      </x:c>
      <x:c r="G3328" s="35" t="str">
        <x:v>RECORDED</x:v>
      </x:c>
      <x:c r="H3328" s="39" t="n">
        <x:f>IF(ISNUMBER('Data'!N1620),'Data'!N1620*100,"")</x:f>
        <x:v>66.67</x:v>
      </x:c>
      <x:c r="I3328" s="35" t="str">
        <x:v>PASS</x:v>
      </x:c>
      <x:c r="J3328" s="35" t="str">
        <x:v>PASS</x:v>
      </x:c>
      <x:c r="K3328" s="35" t="str">
        <x:v>PASS</x:v>
      </x:c>
      <x:c r="L3328" s="35" t="str">
        <x:v>FAIL</x:v>
      </x:c>
      <x:c r="M3328" s="35" t="str">
        <x:v>numeric coverage for applicable metric</x:v>
      </x:c>
      <x:c r="N3328" s="35" t="str">
        <x:v>Deepseek-flash-v4/Result2/Math_76/result.json</x:v>
      </x:c>
      <x:c r="O3328" s="39" t="n">
        <x:f>IF(AND(G3328="RECORDED",ISNUMBER(H3328)),H3328,"")</x:f>
        <x:v>66.67</x:v>
      </x:c>
      <x:c r="P3328" s="35" t="str">
        <x:v>INCONCLUSIVE</x:v>
      </x:c>
      <x:c r="Q3328" s="35" t="str">
        <x:v>Deepseek-flash-v4/Result2/Math_76/result.json</x:v>
      </x:c>
    </x:row>
    <x:row r="3329">
      <x:c r="A3329" s="35" t="str">
        <x:v>deepseek</x:v>
      </x:c>
      <x:c r="B3329" s="35" t="str">
        <x:v>Math</x:v>
      </x:c>
      <x:c r="C3329" s="35" t="str">
        <x:v>Round2</x:v>
      </x:c>
      <x:c r="D3329" s="35" t="str">
        <x:v>Math_77</x:v>
      </x:c>
      <x:c r="E3329" s="35" t="str">
        <x:v>Condition</x:v>
      </x:c>
      <x:c r="F3329" s="35" t="n">
        <x:v>338</x:v>
      </x:c>
      <x:c r="G3329" s="35" t="str">
        <x:v>RECORDED</x:v>
      </x:c>
      <x:c r="H3329" s="39" t="n">
        <x:f>IF(ISNUMBER('Data'!N1621),'Data'!N1621*100,"")</x:f>
        <x:v>68.93</x:v>
      </x:c>
      <x:c r="I3329" s="35" t="str">
        <x:v>PASS</x:v>
      </x:c>
      <x:c r="J3329" s="35" t="str">
        <x:v>PASS</x:v>
      </x:c>
      <x:c r="K3329" s="35" t="str">
        <x:v>PASS</x:v>
      </x:c>
      <x:c r="L3329" s="35" t="str">
        <x:v>FAIL</x:v>
      </x:c>
      <x:c r="M3329" s="35" t="str">
        <x:v>numeric coverage for applicable metric</x:v>
      </x:c>
      <x:c r="N3329" s="35" t="str">
        <x:v>Deepseek-flash-v4/Result2/Math_77/result.json</x:v>
      </x:c>
      <x:c r="O3329" s="39" t="n">
        <x:f>IF(AND(G3329="RECORDED",ISNUMBER(H3329)),H3329,"")</x:f>
        <x:v>68.93</x:v>
      </x:c>
      <x:c r="P3329" s="35" t="str">
        <x:v>REVEALING</x:v>
      </x:c>
      <x:c r="Q3329" s="35" t="str">
        <x:v>Deepseek-flash-v4/Result2/Math_77/result.json</x:v>
      </x:c>
    </x:row>
    <x:row r="3330">
      <x:c r="A3330" s="35" t="str">
        <x:v>deepseek</x:v>
      </x:c>
      <x:c r="B3330" s="35" t="str">
        <x:v>Math</x:v>
      </x:c>
      <x:c r="C3330" s="35" t="str">
        <x:v>Round2</x:v>
      </x:c>
      <x:c r="D3330" s="35" t="str">
        <x:v>Math_78</x:v>
      </x:c>
      <x:c r="E3330" s="35" t="str">
        <x:v>Condition</x:v>
      </x:c>
      <x:c r="F3330" s="35"/>
      <x:c r="G3330" s="35" t="str">
        <x:v>A</x:v>
      </x:c>
      <x:c r="H3330" s="39" t="str">
        <x:f>IF(ISNUMBER('Data'!N1622),'Data'!N1622*100,"")</x:f>
      </x:c>
      <x:c r="I3330" s="35"/>
      <x:c r="J3330" s="35" t="str">
        <x:v>PASS</x:v>
      </x:c>
      <x:c r="K3330" s="35" t="str">
        <x:v>FAIL</x:v>
      </x:c>
      <x:c r="L3330" s="35" t="str">
        <x:v>NOT_RUN</x:v>
      </x:c>
      <x:c r="M3330" s="35" t="str">
        <x:v>coverage unavailable or execution/compile failed</x:v>
      </x:c>
      <x:c r="N3330" s="35" t="str">
        <x:v>Deepseek-flash-v4/Result2/Math_78/result.json</x:v>
      </x:c>
      <x:c r="O3330" s="39" t="str">
        <x:f>IF(AND(G3330="RECORDED",ISNUMBER(H3330)),H3330,"")</x:f>
      </x:c>
      <x:c r="P3330" s="35" t="str">
        <x:v>NOT_AVAILABLE</x:v>
      </x:c>
      <x:c r="Q3330" s="35" t="str">
        <x:v>Deepseek-flash-v4/Result2/Math_78/result.json</x:v>
      </x:c>
    </x:row>
    <x:row r="3331">
      <x:c r="A3331" s="35" t="str">
        <x:v>deepseek</x:v>
      </x:c>
      <x:c r="B3331" s="35" t="str">
        <x:v>Math</x:v>
      </x:c>
      <x:c r="C3331" s="35" t="str">
        <x:v>Round2</x:v>
      </x:c>
      <x:c r="D3331" s="35" t="str">
        <x:v>Math_79</x:v>
      </x:c>
      <x:c r="E3331" s="35" t="str">
        <x:v>Condition</x:v>
      </x:c>
      <x:c r="F3331" s="35" t="n">
        <x:v>345</x:v>
      </x:c>
      <x:c r="G3331" s="35" t="str">
        <x:v>RECORDED</x:v>
      </x:c>
      <x:c r="H3331" s="39" t="n">
        <x:f>IF(ISNUMBER('Data'!N1623),'Data'!N1623*100,"")</x:f>
        <x:v>62.61</x:v>
      </x:c>
      <x:c r="I3331" s="35" t="str">
        <x:v>PASS</x:v>
      </x:c>
      <x:c r="J3331" s="35" t="str">
        <x:v>PASS</x:v>
      </x:c>
      <x:c r="K3331" s="35" t="str">
        <x:v>PASS</x:v>
      </x:c>
      <x:c r="L3331" s="35" t="str">
        <x:v>FAIL</x:v>
      </x:c>
      <x:c r="M3331" s="35" t="str">
        <x:v>numeric coverage for applicable metric</x:v>
      </x:c>
      <x:c r="N3331" s="35" t="str">
        <x:v>Deepseek-flash-v4/Result2/Math_79/result.json</x:v>
      </x:c>
      <x:c r="O3331" s="39" t="n">
        <x:f>IF(AND(G3331="RECORDED",ISNUMBER(H3331)),H3331,"")</x:f>
        <x:v>62.61</x:v>
      </x:c>
      <x:c r="P3331" s="35" t="str">
        <x:v>INCONCLUSIVE</x:v>
      </x:c>
      <x:c r="Q3331" s="35" t="str">
        <x:v>Deepseek-flash-v4/Result2/Math_79/result.json</x:v>
      </x:c>
    </x:row>
    <x:row r="3332">
      <x:c r="A3332" s="35" t="str">
        <x:v>deepseek</x:v>
      </x:c>
      <x:c r="B3332" s="35" t="str">
        <x:v>Math</x:v>
      </x:c>
      <x:c r="C3332" s="35" t="str">
        <x:v>Round2</x:v>
      </x:c>
      <x:c r="D3332" s="35" t="str">
        <x:v>Math_8</x:v>
      </x:c>
      <x:c r="E3332" s="35" t="str">
        <x:v>Condition</x:v>
      </x:c>
      <x:c r="F3332" s="35" t="n">
        <x:v>24</x:v>
      </x:c>
      <x:c r="G3332" s="35" t="str">
        <x:v>RECORDED</x:v>
      </x:c>
      <x:c r="H3332" s="39" t="n">
        <x:f>IF(ISNUMBER('Data'!N1624),'Data'!N1624*100,"")</x:f>
        <x:v>100</x:v>
      </x:c>
      <x:c r="I3332" s="35" t="str">
        <x:v>PASS</x:v>
      </x:c>
      <x:c r="J3332" s="35" t="str">
        <x:v>PASS</x:v>
      </x:c>
      <x:c r="K3332" s="35" t="str">
        <x:v>PASS</x:v>
      </x:c>
      <x:c r="L3332" s="35" t="str">
        <x:v>PASS</x:v>
      </x:c>
      <x:c r="M3332" s="35" t="str">
        <x:v>numeric coverage for applicable metric</x:v>
      </x:c>
      <x:c r="N3332" s="35" t="str">
        <x:v>Deepseek-flash-v4/Result2/Math_8/result.json</x:v>
      </x:c>
      <x:c r="O3332" s="39" t="n">
        <x:f>IF(AND(G3332="RECORDED",ISNUMBER(H3332)),H3332,"")</x:f>
        <x:v>100</x:v>
      </x:c>
      <x:c r="P3332" s="35" t="str">
        <x:v>NOT_AVAILABLE</x:v>
      </x:c>
      <x:c r="Q3332" s="35" t="str">
        <x:v>Deepseek-flash-v4/Result2/Math_8/result.json</x:v>
      </x:c>
    </x:row>
    <x:row r="3333">
      <x:c r="A3333" s="35" t="str">
        <x:v>deepseek</x:v>
      </x:c>
      <x:c r="B3333" s="35" t="str">
        <x:v>Math</x:v>
      </x:c>
      <x:c r="C3333" s="35" t="str">
        <x:v>Round2</x:v>
      </x:c>
      <x:c r="D3333" s="35" t="str">
        <x:v>Math_80</x:v>
      </x:c>
      <x:c r="E3333" s="35" t="str">
        <x:v>Condition</x:v>
      </x:c>
      <x:c r="F3333" s="35" t="n">
        <x:v>414</x:v>
      </x:c>
      <x:c r="G3333" s="35" t="str">
        <x:v>RECORDED</x:v>
      </x:c>
      <x:c r="H3333" s="39" t="n">
        <x:f>IF(ISNUMBER('Data'!N1625),'Data'!N1625*100,"")</x:f>
        <x:v>19.32</x:v>
      </x:c>
      <x:c r="I3333" s="35" t="str">
        <x:v>PASS</x:v>
      </x:c>
      <x:c r="J3333" s="35" t="str">
        <x:v>PASS</x:v>
      </x:c>
      <x:c r="K3333" s="35" t="str">
        <x:v>PASS</x:v>
      </x:c>
      <x:c r="L3333" s="35" t="str">
        <x:v>FAIL</x:v>
      </x:c>
      <x:c r="M3333" s="35" t="str">
        <x:v>numeric coverage for applicable metric</x:v>
      </x:c>
      <x:c r="N3333" s="35" t="str">
        <x:v>Deepseek-flash-v4/Result2/Math_80/result.json</x:v>
      </x:c>
      <x:c r="O3333" s="39" t="n">
        <x:f>IF(AND(G3333="RECORDED",ISNUMBER(H3333)),H3333,"")</x:f>
        <x:v>19.32</x:v>
      </x:c>
      <x:c r="P3333" s="35" t="str">
        <x:v>INCONCLUSIVE</x:v>
      </x:c>
      <x:c r="Q3333" s="35" t="str">
        <x:v>Deepseek-flash-v4/Result2/Math_80/result.json</x:v>
      </x:c>
    </x:row>
    <x:row r="3334">
      <x:c r="A3334" s="35" t="str">
        <x:v>deepseek</x:v>
      </x:c>
      <x:c r="B3334" s="35" t="str">
        <x:v>Math</x:v>
      </x:c>
      <x:c r="C3334" s="35" t="str">
        <x:v>Round2</x:v>
      </x:c>
      <x:c r="D3334" s="35" t="str">
        <x:v>Math_81</x:v>
      </x:c>
      <x:c r="E3334" s="35" t="str">
        <x:v>Condition</x:v>
      </x:c>
      <x:c r="F3334" s="35" t="n">
        <x:v>414</x:v>
      </x:c>
      <x:c r="G3334" s="35" t="str">
        <x:v>RECORDED</x:v>
      </x:c>
      <x:c r="H3334" s="39" t="n">
        <x:f>IF(ISNUMBER('Data'!N1626),'Data'!N1626*100,"")</x:f>
        <x:v>20.29</x:v>
      </x:c>
      <x:c r="I3334" s="35" t="str">
        <x:v>PASS</x:v>
      </x:c>
      <x:c r="J3334" s="35" t="str">
        <x:v>PASS</x:v>
      </x:c>
      <x:c r="K3334" s="35" t="str">
        <x:v>PASS</x:v>
      </x:c>
      <x:c r="L3334" s="35" t="str">
        <x:v>PASS</x:v>
      </x:c>
      <x:c r="M3334" s="35" t="str">
        <x:v>numeric coverage for applicable metric</x:v>
      </x:c>
      <x:c r="N3334" s="35" t="str">
        <x:v>Deepseek-flash-v4/Result2/Math_81/result.json</x:v>
      </x:c>
      <x:c r="O3334" s="39" t="n">
        <x:f>IF(AND(G3334="RECORDED",ISNUMBER(H3334)),H3334,"")</x:f>
        <x:v>20.29</x:v>
      </x:c>
      <x:c r="P3334" s="35" t="str">
        <x:v>NOT_REVEALING</x:v>
      </x:c>
      <x:c r="Q3334" s="35" t="str">
        <x:v>Deepseek-flash-v4/Result2/Math_81/result.json</x:v>
      </x:c>
    </x:row>
    <x:row r="3335">
      <x:c r="A3335" s="35" t="str">
        <x:v>deepseek</x:v>
      </x:c>
      <x:c r="B3335" s="35" t="str">
        <x:v>Math</x:v>
      </x:c>
      <x:c r="C3335" s="35" t="str">
        <x:v>Round2</x:v>
      </x:c>
      <x:c r="D3335" s="35" t="str">
        <x:v>Math_82</x:v>
      </x:c>
      <x:c r="E3335" s="35" t="str">
        <x:v>Condition</x:v>
      </x:c>
      <x:c r="F3335" s="35" t="n">
        <x:v>36</x:v>
      </x:c>
      <x:c r="G3335" s="35" t="str">
        <x:v>RECORDED</x:v>
      </x:c>
      <x:c r="H3335" s="39" t="n">
        <x:f>IF(ISNUMBER('Data'!N1627),'Data'!N1627*100,"")</x:f>
        <x:v>91.67</x:v>
      </x:c>
      <x:c r="I3335" s="35" t="str">
        <x:v>PASS</x:v>
      </x:c>
      <x:c r="J3335" s="35" t="str">
        <x:v>PASS</x:v>
      </x:c>
      <x:c r="K3335" s="35" t="str">
        <x:v>PASS</x:v>
      </x:c>
      <x:c r="L3335" s="35" t="str">
        <x:v>PASS</x:v>
      </x:c>
      <x:c r="M3335" s="35" t="str">
        <x:v>numeric coverage for applicable metric</x:v>
      </x:c>
      <x:c r="N3335" s="35" t="str">
        <x:v>Deepseek-flash-v4/Result2/Math_82/result.json</x:v>
      </x:c>
      <x:c r="O3335" s="39" t="n">
        <x:f>IF(AND(G3335="RECORDED",ISNUMBER(H3335)),H3335,"")</x:f>
        <x:v>91.67</x:v>
      </x:c>
      <x:c r="P3335" s="35" t="str">
        <x:v>NOT_REVEALING</x:v>
      </x:c>
      <x:c r="Q3335" s="35" t="str">
        <x:v>Deepseek-flash-v4/Result2/Math_82/result.json</x:v>
      </x:c>
    </x:row>
    <x:row r="3336">
      <x:c r="A3336" s="35" t="str">
        <x:v>deepseek</x:v>
      </x:c>
      <x:c r="B3336" s="35" t="str">
        <x:v>Math</x:v>
      </x:c>
      <x:c r="C3336" s="35" t="str">
        <x:v>Round2</x:v>
      </x:c>
      <x:c r="D3336" s="35" t="str">
        <x:v>Math_83</x:v>
      </x:c>
      <x:c r="E3336" s="35" t="str">
        <x:v>Condition</x:v>
      </x:c>
      <x:c r="F3336" s="35" t="n">
        <x:v>92</x:v>
      </x:c>
      <x:c r="G3336" s="35" t="str">
        <x:v>RECORDED</x:v>
      </x:c>
      <x:c r="H3336" s="39" t="n">
        <x:f>IF(ISNUMBER('Data'!N1628),'Data'!N1628*100,"")</x:f>
        <x:v>7.61</x:v>
      </x:c>
      <x:c r="I3336" s="35" t="str">
        <x:v>PASS</x:v>
      </x:c>
      <x:c r="J3336" s="35" t="str">
        <x:v>PASS</x:v>
      </x:c>
      <x:c r="K3336" s="35" t="str">
        <x:v>PASS</x:v>
      </x:c>
      <x:c r="L3336" s="35" t="str">
        <x:v>PASS</x:v>
      </x:c>
      <x:c r="M3336" s="35" t="str">
        <x:v>numeric coverage for applicable metric</x:v>
      </x:c>
      <x:c r="N3336" s="35" t="str">
        <x:v>Deepseek-flash-v4/Result2/Math_83/result.json</x:v>
      </x:c>
      <x:c r="O3336" s="39" t="n">
        <x:f>IF(AND(G3336="RECORDED",ISNUMBER(H3336)),H3336,"")</x:f>
        <x:v>7.61</x:v>
      </x:c>
      <x:c r="P3336" s="35" t="str">
        <x:v>INCONCLUSIVE</x:v>
      </x:c>
      <x:c r="Q3336" s="35" t="str">
        <x:v>Deepseek-flash-v4/Result2/Math_83/result.json</x:v>
      </x:c>
    </x:row>
    <x:row r="3337">
      <x:c r="A3337" s="35" t="str">
        <x:v>deepseek</x:v>
      </x:c>
      <x:c r="B3337" s="35" t="str">
        <x:v>Math</x:v>
      </x:c>
      <x:c r="C3337" s="35" t="str">
        <x:v>Round2</x:v>
      </x:c>
      <x:c r="D3337" s="35" t="str">
        <x:v>Math_84</x:v>
      </x:c>
      <x:c r="E3337" s="35" t="str">
        <x:v>Condition</x:v>
      </x:c>
      <x:c r="F3337" s="35"/>
      <x:c r="G3337" s="35" t="str">
        <x:v>A</x:v>
      </x:c>
      <x:c r="H3337" s="39" t="str">
        <x:f>IF(ISNUMBER('Data'!N1629),'Data'!N1629*100,"")</x:f>
      </x:c>
      <x:c r="I3337" s="35"/>
      <x:c r="J3337" s="35" t="str">
        <x:v>PASS</x:v>
      </x:c>
      <x:c r="K3337" s="35" t="str">
        <x:v>FAIL</x:v>
      </x:c>
      <x:c r="L3337" s="35" t="str">
        <x:v>NOT_RUN</x:v>
      </x:c>
      <x:c r="M3337" s="35" t="str">
        <x:v>coverage unavailable or execution/compile failed</x:v>
      </x:c>
      <x:c r="N3337" s="35" t="str">
        <x:v>Deepseek-flash-v4/Result2/Math_84/result.json</x:v>
      </x:c>
      <x:c r="O3337" s="39" t="str">
        <x:f>IF(AND(G3337="RECORDED",ISNUMBER(H3337)),H3337,"")</x:f>
      </x:c>
      <x:c r="P3337" s="35" t="str">
        <x:v>NOT_AVAILABLE</x:v>
      </x:c>
      <x:c r="Q3337" s="35" t="str">
        <x:v>Deepseek-flash-v4/Result2/Math_84/result.json</x:v>
      </x:c>
    </x:row>
    <x:row r="3338">
      <x:c r="A3338" s="35" t="str">
        <x:v>deepseek</x:v>
      </x:c>
      <x:c r="B3338" s="35" t="str">
        <x:v>Math</x:v>
      </x:c>
      <x:c r="C3338" s="35" t="str">
        <x:v>Round2</x:v>
      </x:c>
      <x:c r="D3338" s="35" t="str">
        <x:v>Math_85</x:v>
      </x:c>
      <x:c r="E3338" s="35" t="str">
        <x:v>Condition</x:v>
      </x:c>
      <x:c r="F3338" s="35" t="n">
        <x:v>22</x:v>
      </x:c>
      <x:c r="G3338" s="35" t="str">
        <x:v>RECORDED</x:v>
      </x:c>
      <x:c r="H3338" s="39" t="n">
        <x:f>IF(ISNUMBER('Data'!N1630),'Data'!N1630*100,"")</x:f>
        <x:v>86.36</x:v>
      </x:c>
      <x:c r="I3338" s="35" t="str">
        <x:v>PASS</x:v>
      </x:c>
      <x:c r="J3338" s="35" t="str">
        <x:v>PASS</x:v>
      </x:c>
      <x:c r="K3338" s="35" t="str">
        <x:v>PASS</x:v>
      </x:c>
      <x:c r="L3338" s="35" t="str">
        <x:v>FAIL</x:v>
      </x:c>
      <x:c r="M3338" s="35" t="str">
        <x:v>numeric coverage for applicable metric</x:v>
      </x:c>
      <x:c r="N3338" s="35" t="str">
        <x:v>Deepseek-flash-v4/Result2/Math_85/result.json</x:v>
      </x:c>
      <x:c r="O3338" s="39" t="n">
        <x:f>IF(AND(G3338="RECORDED",ISNUMBER(H3338)),H3338,"")</x:f>
        <x:v>86.36</x:v>
      </x:c>
      <x:c r="P3338" s="35" t="str">
        <x:v>REVEALING</x:v>
      </x:c>
      <x:c r="Q3338" s="35" t="str">
        <x:v>Deepseek-flash-v4/Result2/Math_85/result.json</x:v>
      </x:c>
    </x:row>
    <x:row r="3339">
      <x:c r="A3339" s="35" t="str">
        <x:v>deepseek</x:v>
      </x:c>
      <x:c r="B3339" s="35" t="str">
        <x:v>Math</x:v>
      </x:c>
      <x:c r="C3339" s="35" t="str">
        <x:v>Round2</x:v>
      </x:c>
      <x:c r="D3339" s="35" t="str">
        <x:v>Math_86</x:v>
      </x:c>
      <x:c r="E3339" s="35" t="str">
        <x:v>Condition</x:v>
      </x:c>
      <x:c r="F3339" s="35" t="n">
        <x:v>60</x:v>
      </x:c>
      <x:c r="G3339" s="35" t="str">
        <x:v>RECORDED</x:v>
      </x:c>
      <x:c r="H3339" s="39" t="n">
        <x:f>IF(ISNUMBER('Data'!N1631),'Data'!N1631*100,"")</x:f>
        <x:v>83.33</x:v>
      </x:c>
      <x:c r="I3339" s="35" t="str">
        <x:v>PASS</x:v>
      </x:c>
      <x:c r="J3339" s="35" t="str">
        <x:v>PASS</x:v>
      </x:c>
      <x:c r="K3339" s="35" t="str">
        <x:v>PASS</x:v>
      </x:c>
      <x:c r="L3339" s="35" t="str">
        <x:v>FAIL</x:v>
      </x:c>
      <x:c r="M3339" s="35" t="str">
        <x:v>numeric coverage for applicable metric</x:v>
      </x:c>
      <x:c r="N3339" s="35" t="str">
        <x:v>Deepseek-flash-v4/Result2/Math_86/result.json</x:v>
      </x:c>
      <x:c r="O3339" s="39" t="n">
        <x:f>IF(AND(G3339="RECORDED",ISNUMBER(H3339)),H3339,"")</x:f>
        <x:v>83.33</x:v>
      </x:c>
      <x:c r="P3339" s="35" t="str">
        <x:v>REVEALING</x:v>
      </x:c>
      <x:c r="Q3339" s="35" t="str">
        <x:v>Deepseek-flash-v4/Result2/Math_86/result.json</x:v>
      </x:c>
    </x:row>
    <x:row r="3340">
      <x:c r="A3340" s="35" t="str">
        <x:v>deepseek</x:v>
      </x:c>
      <x:c r="B3340" s="35" t="str">
        <x:v>Math</x:v>
      </x:c>
      <x:c r="C3340" s="35" t="str">
        <x:v>Round2</x:v>
      </x:c>
      <x:c r="D3340" s="35" t="str">
        <x:v>Math_87</x:v>
      </x:c>
      <x:c r="E3340" s="35" t="str">
        <x:v>Condition</x:v>
      </x:c>
      <x:c r="F3340" s="35" t="n">
        <x:v>90</x:v>
      </x:c>
      <x:c r="G3340" s="35" t="str">
        <x:v>RECORDED</x:v>
      </x:c>
      <x:c r="H3340" s="39" t="n">
        <x:f>IF(ISNUMBER('Data'!N1632),'Data'!N1632*100,"")</x:f>
        <x:v>7.780000000000001</x:v>
      </x:c>
      <x:c r="I3340" s="35" t="str">
        <x:v>PASS</x:v>
      </x:c>
      <x:c r="J3340" s="35" t="str">
        <x:v>PASS</x:v>
      </x:c>
      <x:c r="K3340" s="35" t="str">
        <x:v>PASS</x:v>
      </x:c>
      <x:c r="L3340" s="35" t="str">
        <x:v>PASS</x:v>
      </x:c>
      <x:c r="M3340" s="35" t="str">
        <x:v>numeric coverage for applicable metric</x:v>
      </x:c>
      <x:c r="N3340" s="35" t="str">
        <x:v>Deepseek-flash-v4/Result2/Math_87/result.json</x:v>
      </x:c>
      <x:c r="O3340" s="39" t="n">
        <x:f>IF(AND(G3340="RECORDED",ISNUMBER(H3340)),H3340,"")</x:f>
        <x:v>7.780000000000001</x:v>
      </x:c>
      <x:c r="P3340" s="35" t="str">
        <x:v>NOT_REVEALING</x:v>
      </x:c>
      <x:c r="Q3340" s="35" t="str">
        <x:v>Deepseek-flash-v4/Result2/Math_87/result.json</x:v>
      </x:c>
    </x:row>
    <x:row r="3341">
      <x:c r="A3341" s="35" t="str">
        <x:v>deepseek</x:v>
      </x:c>
      <x:c r="B3341" s="35" t="str">
        <x:v>Math</x:v>
      </x:c>
      <x:c r="C3341" s="35" t="str">
        <x:v>Round2</x:v>
      </x:c>
      <x:c r="D3341" s="35" t="str">
        <x:v>Math_88</x:v>
      </x:c>
      <x:c r="E3341" s="35" t="str">
        <x:v>Condition</x:v>
      </x:c>
      <x:c r="F3341" s="35" t="n">
        <x:v>94</x:v>
      </x:c>
      <x:c r="G3341" s="35" t="str">
        <x:v>RECORDED</x:v>
      </x:c>
      <x:c r="H3341" s="39" t="n">
        <x:f>IF(ISNUMBER('Data'!N1633),'Data'!N1633*100,"")</x:f>
        <x:v>6.38</x:v>
      </x:c>
      <x:c r="I3341" s="35" t="str">
        <x:v>PASS</x:v>
      </x:c>
      <x:c r="J3341" s="35" t="str">
        <x:v>PASS</x:v>
      </x:c>
      <x:c r="K3341" s="35" t="str">
        <x:v>PASS</x:v>
      </x:c>
      <x:c r="L3341" s="35" t="str">
        <x:v>FAIL</x:v>
      </x:c>
      <x:c r="M3341" s="35" t="str">
        <x:v>numeric coverage for applicable metric</x:v>
      </x:c>
      <x:c r="N3341" s="35" t="str">
        <x:v>Deepseek-flash-v4/Result2/Math_88/result.json</x:v>
      </x:c>
      <x:c r="O3341" s="39" t="n">
        <x:f>IF(AND(G3341="RECORDED",ISNUMBER(H3341)),H3341,"")</x:f>
        <x:v>6.38</x:v>
      </x:c>
      <x:c r="P3341" s="35" t="str">
        <x:v>INCONCLUSIVE</x:v>
      </x:c>
      <x:c r="Q3341" s="35" t="str">
        <x:v>Deepseek-flash-v4/Result2/Math_88/result.json</x:v>
      </x:c>
    </x:row>
    <x:row r="3342">
      <x:c r="A3342" s="35" t="str">
        <x:v>deepseek</x:v>
      </x:c>
      <x:c r="B3342" s="35" t="str">
        <x:v>Math</x:v>
      </x:c>
      <x:c r="C3342" s="35" t="str">
        <x:v>Round2</x:v>
      </x:c>
      <x:c r="D3342" s="35" t="str">
        <x:v>Math_89</x:v>
      </x:c>
      <x:c r="E3342" s="35" t="str">
        <x:v>Condition</x:v>
      </x:c>
      <x:c r="F3342" s="35" t="n">
        <x:v>32</x:v>
      </x:c>
      <x:c r="G3342" s="35" t="str">
        <x:v>RECORDED</x:v>
      </x:c>
      <x:c r="H3342" s="39" t="n">
        <x:f>IF(ISNUMBER('Data'!N1634),'Data'!N1634*100,"")</x:f>
        <x:v>93.75</x:v>
      </x:c>
      <x:c r="I3342" s="35" t="str">
        <x:v>PASS</x:v>
      </x:c>
      <x:c r="J3342" s="35" t="str">
        <x:v>PASS</x:v>
      </x:c>
      <x:c r="K3342" s="35" t="str">
        <x:v>PASS</x:v>
      </x:c>
      <x:c r="L3342" s="35" t="str">
        <x:v>PASS</x:v>
      </x:c>
      <x:c r="M3342" s="35" t="str">
        <x:v>numeric coverage for applicable metric</x:v>
      </x:c>
      <x:c r="N3342" s="35" t="str">
        <x:v>Deepseek-flash-v4/Result2/Math_89/result.json</x:v>
      </x:c>
      <x:c r="O3342" s="39" t="n">
        <x:f>IF(AND(G3342="RECORDED",ISNUMBER(H3342)),H3342,"")</x:f>
        <x:v>93.75</x:v>
      </x:c>
      <x:c r="P3342" s="35" t="str">
        <x:v>NOT_REVEALING</x:v>
      </x:c>
      <x:c r="Q3342" s="35" t="str">
        <x:v>Deepseek-flash-v4/Result2/Math_89/result.json</x:v>
      </x:c>
    </x:row>
    <x:row r="3343">
      <x:c r="A3343" s="35" t="str">
        <x:v>deepseek</x:v>
      </x:c>
      <x:c r="B3343" s="35" t="str">
        <x:v>Math</x:v>
      </x:c>
      <x:c r="C3343" s="35" t="str">
        <x:v>Round2</x:v>
      </x:c>
      <x:c r="D3343" s="35" t="str">
        <x:v>Math_9</x:v>
      </x:c>
      <x:c r="E3343" s="35" t="str">
        <x:v>Condition</x:v>
      </x:c>
      <x:c r="F3343" s="35" t="n">
        <x:v>16</x:v>
      </x:c>
      <x:c r="G3343" s="35" t="str">
        <x:v>RECORDED</x:v>
      </x:c>
      <x:c r="H3343" s="39" t="n">
        <x:f>IF(ISNUMBER('Data'!N1635),'Data'!N1635*100,"")</x:f>
        <x:v>100</x:v>
      </x:c>
      <x:c r="I3343" s="35" t="str">
        <x:v>PASS</x:v>
      </x:c>
      <x:c r="J3343" s="35" t="str">
        <x:v>PASS</x:v>
      </x:c>
      <x:c r="K3343" s="35" t="str">
        <x:v>PASS</x:v>
      </x:c>
      <x:c r="L3343" s="35" t="str">
        <x:v>PASS</x:v>
      </x:c>
      <x:c r="M3343" s="35" t="str">
        <x:v>numeric coverage for applicable metric</x:v>
      </x:c>
      <x:c r="N3343" s="35" t="str">
        <x:v>Deepseek-flash-v4/Result2/Math_9/result.json</x:v>
      </x:c>
      <x:c r="O3343" s="39" t="n">
        <x:f>IF(AND(G3343="RECORDED",ISNUMBER(H3343)),H3343,"")</x:f>
        <x:v>100</x:v>
      </x:c>
      <x:c r="P3343" s="35" t="str">
        <x:v>NOT_REVEALING</x:v>
      </x:c>
      <x:c r="Q3343" s="35" t="str">
        <x:v>Deepseek-flash-v4/Result2/Math_9/result.json</x:v>
      </x:c>
    </x:row>
    <x:row r="3344">
      <x:c r="A3344" s="35" t="str">
        <x:v>deepseek</x:v>
      </x:c>
      <x:c r="B3344" s="35" t="str">
        <x:v>Math</x:v>
      </x:c>
      <x:c r="C3344" s="35" t="str">
        <x:v>Round2</x:v>
      </x:c>
      <x:c r="D3344" s="35" t="str">
        <x:v>Math_90</x:v>
      </x:c>
      <x:c r="E3344" s="35" t="str">
        <x:v>Condition</x:v>
      </x:c>
      <x:c r="F3344" s="35" t="n">
        <x:v>32</x:v>
      </x:c>
      <x:c r="G3344" s="35" t="str">
        <x:v>RECORDED</x:v>
      </x:c>
      <x:c r="H3344" s="39" t="n">
        <x:f>IF(ISNUMBER('Data'!N1636),'Data'!N1636*100,"")</x:f>
        <x:v>90.62</x:v>
      </x:c>
      <x:c r="I3344" s="35" t="str">
        <x:v>PASS</x:v>
      </x:c>
      <x:c r="J3344" s="35" t="str">
        <x:v>PASS</x:v>
      </x:c>
      <x:c r="K3344" s="35" t="str">
        <x:v>PASS</x:v>
      </x:c>
      <x:c r="L3344" s="35" t="str">
        <x:v>FAIL</x:v>
      </x:c>
      <x:c r="M3344" s="35" t="str">
        <x:v>numeric coverage for applicable metric</x:v>
      </x:c>
      <x:c r="N3344" s="35" t="str">
        <x:v>Deepseek-flash-v4/Result2/Math_90/result.json</x:v>
      </x:c>
      <x:c r="O3344" s="39" t="n">
        <x:f>IF(AND(G3344="RECORDED",ISNUMBER(H3344)),H3344,"")</x:f>
        <x:v>90.62</x:v>
      </x:c>
      <x:c r="P3344" s="35" t="str">
        <x:v>INCONCLUSIVE</x:v>
      </x:c>
      <x:c r="Q3344" s="35" t="str">
        <x:v>Deepseek-flash-v4/Result2/Math_90/result.json</x:v>
      </x:c>
    </x:row>
    <x:row r="3345">
      <x:c r="A3345" s="35" t="str">
        <x:v>deepseek</x:v>
      </x:c>
      <x:c r="B3345" s="35" t="str">
        <x:v>Math</x:v>
      </x:c>
      <x:c r="C3345" s="35" t="str">
        <x:v>Round2</x:v>
      </x:c>
      <x:c r="D3345" s="35" t="str">
        <x:v>Math_91</x:v>
      </x:c>
      <x:c r="E3345" s="35" t="str">
        <x:v>Condition</x:v>
      </x:c>
      <x:c r="F3345" s="35" t="n">
        <x:v>90</x:v>
      </x:c>
      <x:c r="G3345" s="35" t="str">
        <x:v>RECORDED</x:v>
      </x:c>
      <x:c r="H3345" s="39" t="n">
        <x:f>IF(ISNUMBER('Data'!N1637),'Data'!N1637*100,"")</x:f>
        <x:v>94.44</x:v>
      </x:c>
      <x:c r="I3345" s="35" t="str">
        <x:v>PASS</x:v>
      </x:c>
      <x:c r="J3345" s="35" t="str">
        <x:v>PASS</x:v>
      </x:c>
      <x:c r="K3345" s="35" t="str">
        <x:v>PASS</x:v>
      </x:c>
      <x:c r="L3345" s="35" t="str">
        <x:v>PASS</x:v>
      </x:c>
      <x:c r="M3345" s="35" t="str">
        <x:v>numeric coverage for applicable metric</x:v>
      </x:c>
      <x:c r="N3345" s="35" t="str">
        <x:v>Deepseek-flash-v4/Result2/Math_91/result.json</x:v>
      </x:c>
      <x:c r="O3345" s="39" t="n">
        <x:f>IF(AND(G3345="RECORDED",ISNUMBER(H3345)),H3345,"")</x:f>
        <x:v>94.44</x:v>
      </x:c>
      <x:c r="P3345" s="35" t="str">
        <x:v>NOT_REVEALING</x:v>
      </x:c>
      <x:c r="Q3345" s="35" t="str">
        <x:v>Deepseek-flash-v4/Result2/Math_91/result.json</x:v>
      </x:c>
    </x:row>
    <x:row r="3346">
      <x:c r="A3346" s="35" t="str">
        <x:v>deepseek</x:v>
      </x:c>
      <x:c r="B3346" s="35" t="str">
        <x:v>Math</x:v>
      </x:c>
      <x:c r="C3346" s="35" t="str">
        <x:v>Round2</x:v>
      </x:c>
      <x:c r="D3346" s="35" t="str">
        <x:v>Math_92</x:v>
      </x:c>
      <x:c r="E3346" s="35" t="str">
        <x:v>Condition</x:v>
      </x:c>
      <x:c r="F3346" s="35" t="n">
        <x:v>223</x:v>
      </x:c>
      <x:c r="G3346" s="35" t="str">
        <x:v>RECORDED</x:v>
      </x:c>
      <x:c r="H3346" s="39" t="n">
        <x:f>IF(ISNUMBER('Data'!N1638),'Data'!N1638*100,"")</x:f>
        <x:v>81.17</x:v>
      </x:c>
      <x:c r="I3346" s="35" t="str">
        <x:v>PASS</x:v>
      </x:c>
      <x:c r="J3346" s="35" t="str">
        <x:v>PASS</x:v>
      </x:c>
      <x:c r="K3346" s="35" t="str">
        <x:v>PASS</x:v>
      </x:c>
      <x:c r="L3346" s="35" t="str">
        <x:v>FAIL</x:v>
      </x:c>
      <x:c r="M3346" s="35" t="str">
        <x:v>numeric coverage for applicable metric</x:v>
      </x:c>
      <x:c r="N3346" s="35" t="str">
        <x:v>Deepseek-flash-v4/Result2/Math_92/result.json</x:v>
      </x:c>
      <x:c r="O3346" s="39" t="n">
        <x:f>IF(AND(G3346="RECORDED",ISNUMBER(H3346)),H3346,"")</x:f>
        <x:v>81.17</x:v>
      </x:c>
      <x:c r="P3346" s="35" t="str">
        <x:v>INCONCLUSIVE</x:v>
      </x:c>
      <x:c r="Q3346" s="35" t="str">
        <x:v>Deepseek-flash-v4/Result2/Math_92/result.json</x:v>
      </x:c>
    </x:row>
    <x:row r="3347">
      <x:c r="A3347" s="35" t="str">
        <x:v>deepseek</x:v>
      </x:c>
      <x:c r="B3347" s="35" t="str">
        <x:v>Math</x:v>
      </x:c>
      <x:c r="C3347" s="35" t="str">
        <x:v>Round2</x:v>
      </x:c>
      <x:c r="D3347" s="35" t="str">
        <x:v>Math_93</x:v>
      </x:c>
      <x:c r="E3347" s="35" t="str">
        <x:v>Condition</x:v>
      </x:c>
      <x:c r="F3347" s="35" t="n">
        <x:v>217</x:v>
      </x:c>
      <x:c r="G3347" s="35" t="str">
        <x:v>RECORDED</x:v>
      </x:c>
      <x:c r="H3347" s="39" t="n">
        <x:f>IF(ISNUMBER('Data'!N1639),'Data'!N1639*100,"")</x:f>
        <x:v>93.09</x:v>
      </x:c>
      <x:c r="I3347" s="35" t="str">
        <x:v>PASS</x:v>
      </x:c>
      <x:c r="J3347" s="35" t="str">
        <x:v>PASS</x:v>
      </x:c>
      <x:c r="K3347" s="35" t="str">
        <x:v>PASS</x:v>
      </x:c>
      <x:c r="L3347" s="35" t="str">
        <x:v>PASS</x:v>
      </x:c>
      <x:c r="M3347" s="35" t="str">
        <x:v>numeric coverage for applicable metric</x:v>
      </x:c>
      <x:c r="N3347" s="35" t="str">
        <x:v>Deepseek-flash-v4/Result2/Math_93/result.json</x:v>
      </x:c>
      <x:c r="O3347" s="39" t="n">
        <x:f>IF(AND(G3347="RECORDED",ISNUMBER(H3347)),H3347,"")</x:f>
        <x:v>93.09</x:v>
      </x:c>
      <x:c r="P3347" s="35" t="str">
        <x:v>NOT_REVEALING</x:v>
      </x:c>
      <x:c r="Q3347" s="35" t="str">
        <x:v>Deepseek-flash-v4/Result2/Math_93/result.json</x:v>
      </x:c>
    </x:row>
    <x:row r="3348">
      <x:c r="A3348" s="35" t="str">
        <x:v>deepseek</x:v>
      </x:c>
      <x:c r="B3348" s="35" t="str">
        <x:v>Math</x:v>
      </x:c>
      <x:c r="C3348" s="35" t="str">
        <x:v>Round2</x:v>
      </x:c>
      <x:c r="D3348" s="35" t="str">
        <x:v>Math_94</x:v>
      </x:c>
      <x:c r="E3348" s="35" t="str">
        <x:v>Condition</x:v>
      </x:c>
      <x:c r="F3348" s="35" t="n">
        <x:v>215</x:v>
      </x:c>
      <x:c r="G3348" s="35" t="str">
        <x:v>RECORDED</x:v>
      </x:c>
      <x:c r="H3348" s="39" t="n">
        <x:f>IF(ISNUMBER('Data'!N1640),'Data'!N1640*100,"")</x:f>
        <x:v>81.4</x:v>
      </x:c>
      <x:c r="I3348" s="35" t="str">
        <x:v>PASS</x:v>
      </x:c>
      <x:c r="J3348" s="35" t="str">
        <x:v>PASS</x:v>
      </x:c>
      <x:c r="K3348" s="35" t="str">
        <x:v>PASS</x:v>
      </x:c>
      <x:c r="L3348" s="35" t="str">
        <x:v>PASS</x:v>
      </x:c>
      <x:c r="M3348" s="35" t="str">
        <x:v>numeric coverage for applicable metric</x:v>
      </x:c>
      <x:c r="N3348" s="35" t="str">
        <x:v>Deepseek-flash-v4/Result2/Math_94/result.json</x:v>
      </x:c>
      <x:c r="O3348" s="39" t="n">
        <x:f>IF(AND(G3348="RECORDED",ISNUMBER(H3348)),H3348,"")</x:f>
        <x:v>81.4</x:v>
      </x:c>
      <x:c r="P3348" s="35" t="str">
        <x:v>NOT_REVEALING</x:v>
      </x:c>
      <x:c r="Q3348" s="35" t="str">
        <x:v>Deepseek-flash-v4/Result2/Math_94/result.json</x:v>
      </x:c>
    </x:row>
    <x:row r="3349">
      <x:c r="A3349" s="35" t="str">
        <x:v>deepseek</x:v>
      </x:c>
      <x:c r="B3349" s="35" t="str">
        <x:v>Math</x:v>
      </x:c>
      <x:c r="C3349" s="35" t="str">
        <x:v>Round2</x:v>
      </x:c>
      <x:c r="D3349" s="35" t="str">
        <x:v>Math_95</x:v>
      </x:c>
      <x:c r="E3349" s="35" t="str">
        <x:v>Condition</x:v>
      </x:c>
      <x:c r="F3349" s="35" t="n">
        <x:v>10</x:v>
      </x:c>
      <x:c r="G3349" s="35" t="str">
        <x:v>RECORDED</x:v>
      </x:c>
      <x:c r="H3349" s="39" t="n">
        <x:f>IF(ISNUMBER('Data'!N1641),'Data'!N1641*100,"")</x:f>
        <x:v>100</x:v>
      </x:c>
      <x:c r="I3349" s="35" t="str">
        <x:v>PASS</x:v>
      </x:c>
      <x:c r="J3349" s="35" t="str">
        <x:v>PASS</x:v>
      </x:c>
      <x:c r="K3349" s="35" t="str">
        <x:v>PASS</x:v>
      </x:c>
      <x:c r="L3349" s="35" t="str">
        <x:v>PASS</x:v>
      </x:c>
      <x:c r="M3349" s="35" t="str">
        <x:v>numeric coverage for applicable metric</x:v>
      </x:c>
      <x:c r="N3349" s="35" t="str">
        <x:v>Deepseek-flash-v4/Result2/Math_95/result.json</x:v>
      </x:c>
      <x:c r="O3349" s="39" t="n">
        <x:f>IF(AND(G3349="RECORDED",ISNUMBER(H3349)),H3349,"")</x:f>
        <x:v>100</x:v>
      </x:c>
      <x:c r="P3349" s="35" t="str">
        <x:v>NOT_REVEALING</x:v>
      </x:c>
      <x:c r="Q3349" s="35" t="str">
        <x:v>Deepseek-flash-v4/Result2/Math_95/result.json</x:v>
      </x:c>
    </x:row>
    <x:row r="3350">
      <x:c r="A3350" s="35" t="str">
        <x:v>deepseek</x:v>
      </x:c>
      <x:c r="B3350" s="35" t="str">
        <x:v>Math</x:v>
      </x:c>
      <x:c r="C3350" s="35" t="str">
        <x:v>Round2</x:v>
      </x:c>
      <x:c r="D3350" s="35" t="str">
        <x:v>Math_96</x:v>
      </x:c>
      <x:c r="E3350" s="35" t="str">
        <x:v>Condition</x:v>
      </x:c>
      <x:c r="F3350" s="35" t="n">
        <x:v>102</x:v>
      </x:c>
      <x:c r="G3350" s="35" t="str">
        <x:v>RECORDED</x:v>
      </x:c>
      <x:c r="H3350" s="39" t="n">
        <x:f>IF(ISNUMBER('Data'!N1642),'Data'!N1642*100,"")</x:f>
        <x:v>89.22</x:v>
      </x:c>
      <x:c r="I3350" s="35" t="str">
        <x:v>PASS</x:v>
      </x:c>
      <x:c r="J3350" s="35" t="str">
        <x:v>PASS</x:v>
      </x:c>
      <x:c r="K3350" s="35" t="str">
        <x:v>PASS</x:v>
      </x:c>
      <x:c r="L3350" s="35" t="str">
        <x:v>PASS</x:v>
      </x:c>
      <x:c r="M3350" s="35" t="str">
        <x:v>numeric coverage for applicable metric</x:v>
      </x:c>
      <x:c r="N3350" s="35" t="str">
        <x:v>Deepseek-flash-v4/Result2/Math_96/result.json</x:v>
      </x:c>
      <x:c r="O3350" s="39" t="n">
        <x:f>IF(AND(G3350="RECORDED",ISNUMBER(H3350)),H3350,"")</x:f>
        <x:v>89.22</x:v>
      </x:c>
      <x:c r="P3350" s="35" t="str">
        <x:v>INCONCLUSIVE</x:v>
      </x:c>
      <x:c r="Q3350" s="35" t="str">
        <x:v>Deepseek-flash-v4/Result2/Math_96/result.json</x:v>
      </x:c>
    </x:row>
    <x:row r="3351">
      <x:c r="A3351" s="35" t="str">
        <x:v>deepseek</x:v>
      </x:c>
      <x:c r="B3351" s="35" t="str">
        <x:v>Math</x:v>
      </x:c>
      <x:c r="C3351" s="35" t="str">
        <x:v>Round2</x:v>
      </x:c>
      <x:c r="D3351" s="35" t="str">
        <x:v>Math_97</x:v>
      </x:c>
      <x:c r="E3351" s="35" t="str">
        <x:v>Condition</x:v>
      </x:c>
      <x:c r="F3351" s="35" t="n">
        <x:v>46</x:v>
      </x:c>
      <x:c r="G3351" s="35" t="str">
        <x:v>RECORDED</x:v>
      </x:c>
      <x:c r="H3351" s="39" t="n">
        <x:f>IF(ISNUMBER('Data'!N1643),'Data'!N1643*100,"")</x:f>
        <x:v>89.13</x:v>
      </x:c>
      <x:c r="I3351" s="35" t="str">
        <x:v>PASS</x:v>
      </x:c>
      <x:c r="J3351" s="35" t="str">
        <x:v>PASS</x:v>
      </x:c>
      <x:c r="K3351" s="35" t="str">
        <x:v>PASS</x:v>
      </x:c>
      <x:c r="L3351" s="35" t="str">
        <x:v>PASS</x:v>
      </x:c>
      <x:c r="M3351" s="35" t="str">
        <x:v>numeric coverage for applicable metric</x:v>
      </x:c>
      <x:c r="N3351" s="35" t="str">
        <x:v>Deepseek-flash-v4/Result2/Math_97/result.json</x:v>
      </x:c>
      <x:c r="O3351" s="39" t="n">
        <x:f>IF(AND(G3351="RECORDED",ISNUMBER(H3351)),H3351,"")</x:f>
        <x:v>89.13</x:v>
      </x:c>
      <x:c r="P3351" s="35" t="str">
        <x:v>NOT_REVEALING</x:v>
      </x:c>
      <x:c r="Q3351" s="35" t="str">
        <x:v>Deepseek-flash-v4/Result2/Math_97/result.json</x:v>
      </x:c>
    </x:row>
    <x:row r="3352">
      <x:c r="A3352" s="35" t="str">
        <x:v>deepseek</x:v>
      </x:c>
      <x:c r="B3352" s="35" t="str">
        <x:v>Math</x:v>
      </x:c>
      <x:c r="C3352" s="35" t="str">
        <x:v>Round2</x:v>
      </x:c>
      <x:c r="D3352" s="35" t="str">
        <x:v>Math_98</x:v>
      </x:c>
      <x:c r="E3352" s="35" t="str">
        <x:v>Condition</x:v>
      </x:c>
      <x:c r="F3352" s="35" t="n">
        <x:v>554</x:v>
      </x:c>
      <x:c r="G3352" s="35" t="str">
        <x:v>RECORDED</x:v>
      </x:c>
      <x:c r="H3352" s="39" t="n">
        <x:f>IF(ISNUMBER('Data'!N1644),'Data'!N1644*100,"")</x:f>
        <x:v>79.42</x:v>
      </x:c>
      <x:c r="I3352" s="35" t="str">
        <x:v>PASS</x:v>
      </x:c>
      <x:c r="J3352" s="35" t="str">
        <x:v>PASS</x:v>
      </x:c>
      <x:c r="K3352" s="35" t="str">
        <x:v>PASS</x:v>
      </x:c>
      <x:c r="L3352" s="35" t="str">
        <x:v>FAIL</x:v>
      </x:c>
      <x:c r="M3352" s="35" t="str">
        <x:v>numeric coverage for applicable metric</x:v>
      </x:c>
      <x:c r="N3352" s="35" t="str">
        <x:v>Deepseek-flash-v4/Result2/Math_98/result.json</x:v>
      </x:c>
      <x:c r="O3352" s="39" t="n">
        <x:f>IF(AND(G3352="RECORDED",ISNUMBER(H3352)),H3352,"")</x:f>
        <x:v>79.42</x:v>
      </x:c>
      <x:c r="P3352" s="35" t="str">
        <x:v>INCONCLUSIVE</x:v>
      </x:c>
      <x:c r="Q3352" s="35" t="str">
        <x:v>Deepseek-flash-v4/Result2/Math_98/result.json</x:v>
      </x:c>
    </x:row>
    <x:row r="3353">
      <x:c r="A3353" s="35" t="str">
        <x:v>deepseek</x:v>
      </x:c>
      <x:c r="B3353" s="35" t="str">
        <x:v>Math</x:v>
      </x:c>
      <x:c r="C3353" s="35" t="str">
        <x:v>Round2</x:v>
      </x:c>
      <x:c r="D3353" s="35" t="str">
        <x:v>Math_99</x:v>
      </x:c>
      <x:c r="E3353" s="35" t="str">
        <x:v>Condition</x:v>
      </x:c>
      <x:c r="F3353" s="35" t="n">
        <x:v>271</x:v>
      </x:c>
      <x:c r="G3353" s="35" t="str">
        <x:v>RECORDED</x:v>
      </x:c>
      <x:c r="H3353" s="39" t="n">
        <x:f>IF(ISNUMBER('Data'!N1645),'Data'!N1645*100,"")</x:f>
        <x:v>90.41</x:v>
      </x:c>
      <x:c r="I3353" s="35" t="str">
        <x:v>PASS</x:v>
      </x:c>
      <x:c r="J3353" s="35" t="str">
        <x:v>PASS</x:v>
      </x:c>
      <x:c r="K3353" s="35" t="str">
        <x:v>PASS</x:v>
      </x:c>
      <x:c r="L3353" s="35" t="str">
        <x:v>PASS</x:v>
      </x:c>
      <x:c r="M3353" s="35" t="str">
        <x:v>numeric coverage for applicable metric</x:v>
      </x:c>
      <x:c r="N3353" s="35" t="str">
        <x:v>Deepseek-flash-v4/Result2/Math_99/result.json</x:v>
      </x:c>
      <x:c r="O3353" s="39" t="n">
        <x:f>IF(AND(G3353="RECORDED",ISNUMBER(H3353)),H3353,"")</x:f>
        <x:v>90.41</x:v>
      </x:c>
      <x:c r="P3353" s="35" t="str">
        <x:v>NOT_REVEALING</x:v>
      </x:c>
      <x:c r="Q3353" s="35" t="str">
        <x:v>Deepseek-flash-v4/Result2/Math_99/result.json</x:v>
      </x:c>
    </x:row>
    <x:row r="3354">
      <x:c r="A3354" s="35" t="str">
        <x:v>deepseek</x:v>
      </x:c>
      <x:c r="B3354" s="35" t="str">
        <x:v>Mockito</x:v>
      </x:c>
      <x:c r="C3354" s="35" t="str">
        <x:v>Round2</x:v>
      </x:c>
      <x:c r="D3354" s="35" t="str">
        <x:v>Mockito_1</x:v>
      </x:c>
      <x:c r="E3354" s="35" t="str">
        <x:v>Condition</x:v>
      </x:c>
      <x:c r="F3354" s="35"/>
      <x:c r="G3354" s="35" t="str">
        <x:v>A</x:v>
      </x:c>
      <x:c r="H3354" s="39" t="str">
        <x:f>IF(ISNUMBER('Data'!N1646),'Data'!N1646*100,"")</x:f>
      </x:c>
      <x:c r="I3354" s="35"/>
      <x:c r="J3354" s="35" t="str">
        <x:v>PASS</x:v>
      </x:c>
      <x:c r="K3354" s="35" t="str">
        <x:v>FAIL</x:v>
      </x:c>
      <x:c r="L3354" s="35" t="str">
        <x:v>NOT_RUN</x:v>
      </x:c>
      <x:c r="M3354" s="35" t="str">
        <x:v>coverage unavailable or execution/compile failed</x:v>
      </x:c>
      <x:c r="N3354" s="35" t="str">
        <x:v>Deepseek-flash-v4/Result2/Mockito_1/result.json</x:v>
      </x:c>
      <x:c r="O3354" s="39" t="str">
        <x:f>IF(AND(G3354="RECORDED",ISNUMBER(H3354)),H3354,"")</x:f>
      </x:c>
      <x:c r="P3354" s="35" t="str">
        <x:v>NOT_AVAILABLE</x:v>
      </x:c>
      <x:c r="Q3354" s="35" t="str">
        <x:v>Deepseek-flash-v4/Result2/Mockito_1/result.json</x:v>
      </x:c>
    </x:row>
    <x:row r="3355">
      <x:c r="A3355" s="35" t="str">
        <x:v>deepseek</x:v>
      </x:c>
      <x:c r="B3355" s="35" t="str">
        <x:v>Mockito</x:v>
      </x:c>
      <x:c r="C3355" s="35" t="str">
        <x:v>Round2</x:v>
      </x:c>
      <x:c r="D3355" s="35" t="str">
        <x:v>Mockito_10</x:v>
      </x:c>
      <x:c r="E3355" s="35" t="str">
        <x:v>Condition</x:v>
      </x:c>
      <x:c r="F3355" s="35"/>
      <x:c r="G3355" s="35" t="str">
        <x:v>A</x:v>
      </x:c>
      <x:c r="H3355" s="39" t="str">
        <x:f>IF(ISNUMBER('Data'!N1647),'Data'!N1647*100,"")</x:f>
      </x:c>
      <x:c r="I3355" s="35"/>
      <x:c r="J3355" s="35" t="str">
        <x:v>PASS</x:v>
      </x:c>
      <x:c r="K3355" s="35" t="str">
        <x:v>FAIL</x:v>
      </x:c>
      <x:c r="L3355" s="35" t="str">
        <x:v>NOT_RUN</x:v>
      </x:c>
      <x:c r="M3355" s="35" t="str">
        <x:v>coverage unavailable or execution/compile failed</x:v>
      </x:c>
      <x:c r="N3355" s="35" t="str">
        <x:v>Deepseek-flash-v4/Result2/Mockito_10/result.json</x:v>
      </x:c>
      <x:c r="O3355" s="39" t="str">
        <x:f>IF(AND(G3355="RECORDED",ISNUMBER(H3355)),H3355,"")</x:f>
      </x:c>
      <x:c r="P3355" s="35" t="str">
        <x:v>NOT_AVAILABLE</x:v>
      </x:c>
      <x:c r="Q3355" s="35" t="str">
        <x:v>Deepseek-flash-v4/Result2/Mockito_10/result.json</x:v>
      </x:c>
    </x:row>
    <x:row r="3356">
      <x:c r="A3356" s="35" t="str">
        <x:v>deepseek</x:v>
      </x:c>
      <x:c r="B3356" s="35" t="str">
        <x:v>Mockito</x:v>
      </x:c>
      <x:c r="C3356" s="35" t="str">
        <x:v>Round2</x:v>
      </x:c>
      <x:c r="D3356" s="35" t="str">
        <x:v>Mockito_11</x:v>
      </x:c>
      <x:c r="E3356" s="35" t="str">
        <x:v>Condition</x:v>
      </x:c>
      <x:c r="F3356" s="35" t="n">
        <x:v>6</x:v>
      </x:c>
      <x:c r="G3356" s="35" t="str">
        <x:v>RECORDED</x:v>
      </x:c>
      <x:c r="H3356" s="39" t="n">
        <x:f>IF(ISNUMBER('Data'!N1648),'Data'!N1648*100,"")</x:f>
        <x:v>50</x:v>
      </x:c>
      <x:c r="I3356" s="35" t="str">
        <x:v>PASS</x:v>
      </x:c>
      <x:c r="J3356" s="35" t="str">
        <x:v>PASS</x:v>
      </x:c>
      <x:c r="K3356" s="35" t="str">
        <x:v>PASS</x:v>
      </x:c>
      <x:c r="L3356" s="35" t="str">
        <x:v>FAIL</x:v>
      </x:c>
      <x:c r="M3356" s="35" t="str">
        <x:v>numeric coverage for applicable metric</x:v>
      </x:c>
      <x:c r="N3356" s="35" t="str">
        <x:v>Deepseek-flash-v4/Result2/Mockito_11/result.json</x:v>
      </x:c>
      <x:c r="O3356" s="39" t="n">
        <x:f>IF(AND(G3356="RECORDED",ISNUMBER(H3356)),H3356,"")</x:f>
        <x:v>50</x:v>
      </x:c>
      <x:c r="P3356" s="35" t="str">
        <x:v>INCONCLUSIVE</x:v>
      </x:c>
      <x:c r="Q3356" s="35" t="str">
        <x:v>Deepseek-flash-v4/Result2/Mockito_11/result.json</x:v>
      </x:c>
    </x:row>
    <x:row r="3357">
      <x:c r="A3357" s="35" t="str">
        <x:v>deepseek</x:v>
      </x:c>
      <x:c r="B3357" s="35" t="str">
        <x:v>Mockito</x:v>
      </x:c>
      <x:c r="C3357" s="35" t="str">
        <x:v>Round2</x:v>
      </x:c>
      <x:c r="D3357" s="35" t="str">
        <x:v>Mockito_12</x:v>
      </x:c>
      <x:c r="E3357" s="35" t="str">
        <x:v>Condition</x:v>
      </x:c>
      <x:c r="F3357" s="35" t="n">
        <x:v>4</x:v>
      </x:c>
      <x:c r="G3357" s="35" t="str">
        <x:v>RECORDED</x:v>
      </x:c>
      <x:c r="H3357" s="39" t="n">
        <x:f>IF(ISNUMBER('Data'!N1649),'Data'!N1649*100,"")</x:f>
        <x:v>75</x:v>
      </x:c>
      <x:c r="I3357" s="35" t="str">
        <x:v>PASS</x:v>
      </x:c>
      <x:c r="J3357" s="35" t="str">
        <x:v>PASS</x:v>
      </x:c>
      <x:c r="K3357" s="35" t="str">
        <x:v>PASS</x:v>
      </x:c>
      <x:c r="L3357" s="35" t="str">
        <x:v>FAIL</x:v>
      </x:c>
      <x:c r="M3357" s="35" t="str">
        <x:v>numeric coverage for applicable metric</x:v>
      </x:c>
      <x:c r="N3357" s="35" t="str">
        <x:v>Deepseek-flash-v4/Result2/Mockito_12/result.json</x:v>
      </x:c>
      <x:c r="O3357" s="39" t="n">
        <x:f>IF(AND(G3357="RECORDED",ISNUMBER(H3357)),H3357,"")</x:f>
        <x:v>75</x:v>
      </x:c>
      <x:c r="P3357" s="35" t="str">
        <x:v>INCONCLUSIVE</x:v>
      </x:c>
      <x:c r="Q3357" s="35" t="str">
        <x:v>Deepseek-flash-v4/Result2/Mockito_12/result.json</x:v>
      </x:c>
    </x:row>
    <x:row r="3358">
      <x:c r="A3358" s="35" t="str">
        <x:v>deepseek</x:v>
      </x:c>
      <x:c r="B3358" s="35" t="str">
        <x:v>Mockito</x:v>
      </x:c>
      <x:c r="C3358" s="35" t="str">
        <x:v>Round2</x:v>
      </x:c>
      <x:c r="D3358" s="35" t="str">
        <x:v>Mockito_13</x:v>
      </x:c>
      <x:c r="E3358" s="35" t="str">
        <x:v>Condition</x:v>
      </x:c>
      <x:c r="F3358" s="35"/>
      <x:c r="G3358" s="35" t="str">
        <x:v>A</x:v>
      </x:c>
      <x:c r="H3358" s="39" t="str">
        <x:f>IF(ISNUMBER('Data'!N1650),'Data'!N1650*100,"")</x:f>
      </x:c>
      <x:c r="I3358" s="35"/>
      <x:c r="J3358" s="35" t="str">
        <x:v>PASS</x:v>
      </x:c>
      <x:c r="K3358" s="35" t="str">
        <x:v>FAIL</x:v>
      </x:c>
      <x:c r="L3358" s="35" t="str">
        <x:v>NOT_RUN</x:v>
      </x:c>
      <x:c r="M3358" s="35" t="str">
        <x:v>coverage unavailable or execution/compile failed</x:v>
      </x:c>
      <x:c r="N3358" s="35" t="str">
        <x:v>Deepseek-flash-v4/Result2/Mockito_13/result.json</x:v>
      </x:c>
      <x:c r="O3358" s="39" t="str">
        <x:f>IF(AND(G3358="RECORDED",ISNUMBER(H3358)),H3358,"")</x:f>
      </x:c>
      <x:c r="P3358" s="35" t="str">
        <x:v>NOT_AVAILABLE</x:v>
      </x:c>
      <x:c r="Q3358" s="35" t="str">
        <x:v>Deepseek-flash-v4/Result2/Mockito_13/result.json</x:v>
      </x:c>
    </x:row>
    <x:row r="3359">
      <x:c r="A3359" s="35" t="str">
        <x:v>deepseek</x:v>
      </x:c>
      <x:c r="B3359" s="35" t="str">
        <x:v>Mockito</x:v>
      </x:c>
      <x:c r="C3359" s="35" t="str">
        <x:v>Round2</x:v>
      </x:c>
      <x:c r="D3359" s="35" t="str">
        <x:v>Mockito_14</x:v>
      </x:c>
      <x:c r="E3359" s="35" t="str">
        <x:v>Condition</x:v>
      </x:c>
      <x:c r="F3359" s="35"/>
      <x:c r="G3359" s="35" t="str">
        <x:v>A</x:v>
      </x:c>
      <x:c r="H3359" s="39" t="str">
        <x:f>IF(ISNUMBER('Data'!N1651),'Data'!N1651*100,"")</x:f>
      </x:c>
      <x:c r="I3359" s="35"/>
      <x:c r="J3359" s="35" t="str">
        <x:v>PASS</x:v>
      </x:c>
      <x:c r="K3359" s="35" t="str">
        <x:v>FAIL</x:v>
      </x:c>
      <x:c r="L3359" s="35" t="str">
        <x:v>NOT_RUN</x:v>
      </x:c>
      <x:c r="M3359" s="35" t="str">
        <x:v>coverage unavailable or execution/compile failed</x:v>
      </x:c>
      <x:c r="N3359" s="35" t="str">
        <x:v>Deepseek-flash-v4/Result2/Mockito_14/result.json</x:v>
      </x:c>
      <x:c r="O3359" s="39" t="str">
        <x:f>IF(AND(G3359="RECORDED",ISNUMBER(H3359)),H3359,"")</x:f>
      </x:c>
      <x:c r="P3359" s="35" t="str">
        <x:v>NOT_AVAILABLE</x:v>
      </x:c>
      <x:c r="Q3359" s="35" t="str">
        <x:v>Deepseek-flash-v4/Result2/Mockito_14/result.json</x:v>
      </x:c>
    </x:row>
    <x:row r="3360">
      <x:c r="A3360" s="35" t="str">
        <x:v>deepseek</x:v>
      </x:c>
      <x:c r="B3360" s="35" t="str">
        <x:v>Mockito</x:v>
      </x:c>
      <x:c r="C3360" s="35" t="str">
        <x:v>Round2</x:v>
      </x:c>
      <x:c r="D3360" s="35" t="str">
        <x:v>Mockito_15</x:v>
      </x:c>
      <x:c r="E3360" s="35" t="str">
        <x:v>Condition</x:v>
      </x:c>
      <x:c r="F3360" s="35" t="n">
        <x:v>2</x:v>
      </x:c>
      <x:c r="G3360" s="35" t="str">
        <x:v>RECORDED</x:v>
      </x:c>
      <x:c r="H3360" s="39" t="n">
        <x:f>IF(ISNUMBER('Data'!N1652),'Data'!N1652*100,"")</x:f>
        <x:v>100</x:v>
      </x:c>
      <x:c r="I3360" s="35" t="str">
        <x:v>PASS</x:v>
      </x:c>
      <x:c r="J3360" s="35" t="str">
        <x:v>PASS</x:v>
      </x:c>
      <x:c r="K3360" s="35" t="str">
        <x:v>PASS</x:v>
      </x:c>
      <x:c r="L3360" s="35" t="str">
        <x:v>PASS</x:v>
      </x:c>
      <x:c r="M3360" s="35" t="str">
        <x:v>numeric coverage for applicable metric</x:v>
      </x:c>
      <x:c r="N3360" s="35" t="str">
        <x:v>Deepseek-flash-v4/Result2/Mockito_15/result.json</x:v>
      </x:c>
      <x:c r="O3360" s="39" t="n">
        <x:f>IF(AND(G3360="RECORDED",ISNUMBER(H3360)),H3360,"")</x:f>
        <x:v>100</x:v>
      </x:c>
      <x:c r="P3360" s="35" t="str">
        <x:v>NOT_REVEALING</x:v>
      </x:c>
      <x:c r="Q3360" s="35" t="str">
        <x:v>Deepseek-flash-v4/Result2/Mockito_15/result.json</x:v>
      </x:c>
    </x:row>
    <x:row r="3361">
      <x:c r="A3361" s="35" t="str">
        <x:v>deepseek</x:v>
      </x:c>
      <x:c r="B3361" s="35" t="str">
        <x:v>Mockito</x:v>
      </x:c>
      <x:c r="C3361" s="35" t="str">
        <x:v>Round2</x:v>
      </x:c>
      <x:c r="D3361" s="35" t="str">
        <x:v>Mockito_16</x:v>
      </x:c>
      <x:c r="E3361" s="35" t="str">
        <x:v>Condition</x:v>
      </x:c>
      <x:c r="F3361" s="35"/>
      <x:c r="G3361" s="35" t="str">
        <x:v>A</x:v>
      </x:c>
      <x:c r="H3361" s="39" t="str">
        <x:f>IF(ISNUMBER('Data'!N1653),'Data'!N1653*100,"")</x:f>
      </x:c>
      <x:c r="I3361" s="35"/>
      <x:c r="J3361" s="35" t="str">
        <x:v>PASS</x:v>
      </x:c>
      <x:c r="K3361" s="35" t="str">
        <x:v>FAIL</x:v>
      </x:c>
      <x:c r="L3361" s="35" t="str">
        <x:v>NOT_RUN</x:v>
      </x:c>
      <x:c r="M3361" s="35" t="str">
        <x:v>coverage unavailable or execution/compile failed</x:v>
      </x:c>
      <x:c r="N3361" s="35" t="str">
        <x:v>Deepseek-flash-v4/Result2/Mockito_16/result.json</x:v>
      </x:c>
      <x:c r="O3361" s="39" t="str">
        <x:f>IF(AND(G3361="RECORDED",ISNUMBER(H3361)),H3361,"")</x:f>
      </x:c>
      <x:c r="P3361" s="35" t="str">
        <x:v>NOT_AVAILABLE</x:v>
      </x:c>
      <x:c r="Q3361" s="35" t="str">
        <x:v>Deepseek-flash-v4/Result2/Mockito_16/result.json</x:v>
      </x:c>
    </x:row>
    <x:row r="3362">
      <x:c r="A3362" s="35" t="str">
        <x:v>deepseek</x:v>
      </x:c>
      <x:c r="B3362" s="35" t="str">
        <x:v>Mockito</x:v>
      </x:c>
      <x:c r="C3362" s="35" t="str">
        <x:v>Round2</x:v>
      </x:c>
      <x:c r="D3362" s="35" t="str">
        <x:v>Mockito_17</x:v>
      </x:c>
      <x:c r="E3362" s="35" t="str">
        <x:v>Condition</x:v>
      </x:c>
      <x:c r="F3362" s="35" t="n">
        <x:v>32</x:v>
      </x:c>
      <x:c r="G3362" s="35" t="str">
        <x:v>RECORDED</x:v>
      </x:c>
      <x:c r="H3362" s="39" t="n">
        <x:f>IF(ISNUMBER('Data'!N1654),'Data'!N1654*100,"")</x:f>
        <x:v>100</x:v>
      </x:c>
      <x:c r="I3362" s="35" t="str">
        <x:v>PASS</x:v>
      </x:c>
      <x:c r="J3362" s="35" t="str">
        <x:v>PASS</x:v>
      </x:c>
      <x:c r="K3362" s="35" t="str">
        <x:v>PASS</x:v>
      </x:c>
      <x:c r="L3362" s="35" t="str">
        <x:v>PASS</x:v>
      </x:c>
      <x:c r="M3362" s="35" t="str">
        <x:v>numeric coverage for applicable metric</x:v>
      </x:c>
      <x:c r="N3362" s="35" t="str">
        <x:v>Deepseek-flash-v4/Result2/Mockito_17/result.json</x:v>
      </x:c>
      <x:c r="O3362" s="39" t="n">
        <x:f>IF(AND(G3362="RECORDED",ISNUMBER(H3362)),H3362,"")</x:f>
        <x:v>100</x:v>
      </x:c>
      <x:c r="P3362" s="35" t="str">
        <x:v>INCONCLUSIVE</x:v>
      </x:c>
      <x:c r="Q3362" s="35" t="str">
        <x:v>Deepseek-flash-v4/Result2/Mockito_17/result.json</x:v>
      </x:c>
    </x:row>
    <x:row r="3363">
      <x:c r="A3363" s="35" t="str">
        <x:v>deepseek</x:v>
      </x:c>
      <x:c r="B3363" s="35" t="str">
        <x:v>Mockito</x:v>
      </x:c>
      <x:c r="C3363" s="35" t="str">
        <x:v>Round2</x:v>
      </x:c>
      <x:c r="D3363" s="35" t="str">
        <x:v>Mockito_18</x:v>
      </x:c>
      <x:c r="E3363" s="35" t="str">
        <x:v>Condition</x:v>
      </x:c>
      <x:c r="F3363" s="35"/>
      <x:c r="G3363" s="35" t="str">
        <x:v>A</x:v>
      </x:c>
      <x:c r="H3363" s="39" t="str">
        <x:f>IF(ISNUMBER('Data'!N1655),'Data'!N1655*100,"")</x:f>
      </x:c>
      <x:c r="I3363" s="35"/>
      <x:c r="J3363" s="35" t="str">
        <x:v>PASS</x:v>
      </x:c>
      <x:c r="K3363" s="35" t="str">
        <x:v>FAIL</x:v>
      </x:c>
      <x:c r="L3363" s="35" t="str">
        <x:v>NOT_RUN</x:v>
      </x:c>
      <x:c r="M3363" s="35" t="str">
        <x:v>coverage unavailable or execution/compile failed</x:v>
      </x:c>
      <x:c r="N3363" s="35" t="str">
        <x:v>Deepseek-flash-v4/Result2/Mockito_18/result.json</x:v>
      </x:c>
      <x:c r="O3363" s="39" t="str">
        <x:f>IF(AND(G3363="RECORDED",ISNUMBER(H3363)),H3363,"")</x:f>
      </x:c>
      <x:c r="P3363" s="35" t="str">
        <x:v>NOT_AVAILABLE</x:v>
      </x:c>
      <x:c r="Q3363" s="35" t="str">
        <x:v>Deepseek-flash-v4/Result2/Mockito_18/result.json</x:v>
      </x:c>
    </x:row>
    <x:row r="3364">
      <x:c r="A3364" s="35" t="str">
        <x:v>deepseek</x:v>
      </x:c>
      <x:c r="B3364" s="35" t="str">
        <x:v>Mockito</x:v>
      </x:c>
      <x:c r="C3364" s="35" t="str">
        <x:v>Round2</x:v>
      </x:c>
      <x:c r="D3364" s="35" t="str">
        <x:v>Mockito_19</x:v>
      </x:c>
      <x:c r="E3364" s="35" t="str">
        <x:v>Condition</x:v>
      </x:c>
      <x:c r="F3364" s="35"/>
      <x:c r="G3364" s="35" t="str">
        <x:v>A</x:v>
      </x:c>
      <x:c r="H3364" s="39" t="str">
        <x:f>IF(ISNUMBER('Data'!N1656),'Data'!N1656*100,"")</x:f>
      </x:c>
      <x:c r="I3364" s="35"/>
      <x:c r="J3364" s="35" t="str">
        <x:v>PASS</x:v>
      </x:c>
      <x:c r="K3364" s="35" t="str">
        <x:v>FAIL</x:v>
      </x:c>
      <x:c r="L3364" s="35" t="str">
        <x:v>NOT_RUN</x:v>
      </x:c>
      <x:c r="M3364" s="35" t="str">
        <x:v>coverage unavailable or execution/compile failed</x:v>
      </x:c>
      <x:c r="N3364" s="35" t="str">
        <x:v>Deepseek-flash-v4/Result2/Mockito_19/result.json</x:v>
      </x:c>
      <x:c r="O3364" s="39" t="str">
        <x:f>IF(AND(G3364="RECORDED",ISNUMBER(H3364)),H3364,"")</x:f>
      </x:c>
      <x:c r="P3364" s="35" t="str">
        <x:v>NOT_AVAILABLE</x:v>
      </x:c>
      <x:c r="Q3364" s="35" t="str">
        <x:v>Deepseek-flash-v4/Result2/Mockito_19/result.json</x:v>
      </x:c>
    </x:row>
    <x:row r="3365">
      <x:c r="A3365" s="35" t="str">
        <x:v>deepseek</x:v>
      </x:c>
      <x:c r="B3365" s="35" t="str">
        <x:v>Mockito</x:v>
      </x:c>
      <x:c r="C3365" s="35" t="str">
        <x:v>Round2</x:v>
      </x:c>
      <x:c r="D3365" s="35" t="str">
        <x:v>Mockito_2</x:v>
      </x:c>
      <x:c r="E3365" s="35" t="str">
        <x:v>Condition</x:v>
      </x:c>
      <x:c r="F3365" s="35" t="n">
        <x:v>6</x:v>
      </x:c>
      <x:c r="G3365" s="35" t="str">
        <x:v>RECORDED</x:v>
      </x:c>
      <x:c r="H3365" s="39" t="n">
        <x:f>IF(ISNUMBER('Data'!N1657),'Data'!N1657*100,"")</x:f>
        <x:v>50</x:v>
      </x:c>
      <x:c r="I3365" s="35" t="str">
        <x:v>PASS</x:v>
      </x:c>
      <x:c r="J3365" s="35" t="str">
        <x:v>PASS</x:v>
      </x:c>
      <x:c r="K3365" s="35" t="str">
        <x:v>PASS</x:v>
      </x:c>
      <x:c r="L3365" s="35" t="str">
        <x:v>FAIL</x:v>
      </x:c>
      <x:c r="M3365" s="35" t="str">
        <x:v>numeric coverage for applicable metric</x:v>
      </x:c>
      <x:c r="N3365" s="35" t="str">
        <x:v>Deepseek-flash-v4/Result2/Mockito_2/result.json</x:v>
      </x:c>
      <x:c r="O3365" s="39" t="n">
        <x:f>IF(AND(G3365="RECORDED",ISNUMBER(H3365)),H3365,"")</x:f>
        <x:v>50</x:v>
      </x:c>
      <x:c r="P3365" s="35" t="str">
        <x:v>INCONCLUSIVE</x:v>
      </x:c>
      <x:c r="Q3365" s="35" t="str">
        <x:v>Deepseek-flash-v4/Result2/Mockito_2/result.json</x:v>
      </x:c>
    </x:row>
    <x:row r="3366">
      <x:c r="A3366" s="35" t="str">
        <x:v>deepseek</x:v>
      </x:c>
      <x:c r="B3366" s="35" t="str">
        <x:v>Mockito</x:v>
      </x:c>
      <x:c r="C3366" s="35" t="str">
        <x:v>Round2</x:v>
      </x:c>
      <x:c r="D3366" s="35" t="str">
        <x:v>Mockito_20</x:v>
      </x:c>
      <x:c r="E3366" s="35" t="str">
        <x:v>Condition</x:v>
      </x:c>
      <x:c r="F3366" s="35"/>
      <x:c r="G3366" s="35" t="str">
        <x:v>A</x:v>
      </x:c>
      <x:c r="H3366" s="39" t="str">
        <x:f>IF(ISNUMBER('Data'!N1658),'Data'!N1658*100,"")</x:f>
      </x:c>
      <x:c r="I3366" s="35"/>
      <x:c r="J3366" s="35" t="str">
        <x:v>PASS</x:v>
      </x:c>
      <x:c r="K3366" s="35" t="str">
        <x:v>FAIL</x:v>
      </x:c>
      <x:c r="L3366" s="35" t="str">
        <x:v>NOT_RUN</x:v>
      </x:c>
      <x:c r="M3366" s="35" t="str">
        <x:v>coverage unavailable or execution/compile failed</x:v>
      </x:c>
      <x:c r="N3366" s="35" t="str">
        <x:v>Deepseek-flash-v4/Result2/Mockito_20/result.json</x:v>
      </x:c>
      <x:c r="O3366" s="39" t="str">
        <x:f>IF(AND(G3366="RECORDED",ISNUMBER(H3366)),H3366,"")</x:f>
      </x:c>
      <x:c r="P3366" s="35" t="str">
        <x:v>NOT_AVAILABLE</x:v>
      </x:c>
      <x:c r="Q3366" s="35" t="str">
        <x:v>Deepseek-flash-v4/Result2/Mockito_20/result.json</x:v>
      </x:c>
    </x:row>
    <x:row r="3367">
      <x:c r="A3367" s="35" t="str">
        <x:v>deepseek</x:v>
      </x:c>
      <x:c r="B3367" s="35" t="str">
        <x:v>Mockito</x:v>
      </x:c>
      <x:c r="C3367" s="35" t="str">
        <x:v>Round2</x:v>
      </x:c>
      <x:c r="D3367" s="35" t="str">
        <x:v>Mockito_21</x:v>
      </x:c>
      <x:c r="E3367" s="35" t="str">
        <x:v>Condition</x:v>
      </x:c>
      <x:c r="F3367" s="35" t="n">
        <x:v>2</x:v>
      </x:c>
      <x:c r="G3367" s="35" t="str">
        <x:v>RECORDED</x:v>
      </x:c>
      <x:c r="H3367" s="39" t="n">
        <x:f>IF(ISNUMBER('Data'!N1659),'Data'!N1659*100,"")</x:f>
        <x:v>100</x:v>
      </x:c>
      <x:c r="I3367" s="35" t="str">
        <x:v>PASS</x:v>
      </x:c>
      <x:c r="J3367" s="35" t="str">
        <x:v>PASS</x:v>
      </x:c>
      <x:c r="K3367" s="35" t="str">
        <x:v>PASS</x:v>
      </x:c>
      <x:c r="L3367" s="35" t="str">
        <x:v>FAIL</x:v>
      </x:c>
      <x:c r="M3367" s="35" t="str">
        <x:v>numeric coverage for applicable metric</x:v>
      </x:c>
      <x:c r="N3367" s="35" t="str">
        <x:v>Deepseek-flash-v4/Result2/Mockito_21/result.json</x:v>
      </x:c>
      <x:c r="O3367" s="39" t="n">
        <x:f>IF(AND(G3367="RECORDED",ISNUMBER(H3367)),H3367,"")</x:f>
        <x:v>100</x:v>
      </x:c>
      <x:c r="P3367" s="35" t="str">
        <x:v>INCONCLUSIVE</x:v>
      </x:c>
      <x:c r="Q3367" s="35" t="str">
        <x:v>Deepseek-flash-v4/Result2/Mockito_21/result.json</x:v>
      </x:c>
    </x:row>
    <x:row r="3368">
      <x:c r="A3368" s="35" t="str">
        <x:v>deepseek</x:v>
      </x:c>
      <x:c r="B3368" s="35" t="str">
        <x:v>Mockito</x:v>
      </x:c>
      <x:c r="C3368" s="35" t="str">
        <x:v>Round2</x:v>
      </x:c>
      <x:c r="D3368" s="35" t="str">
        <x:v>Mockito_22</x:v>
      </x:c>
      <x:c r="E3368" s="35" t="str">
        <x:v>Condition</x:v>
      </x:c>
      <x:c r="F3368" s="35" t="n">
        <x:v>24</x:v>
      </x:c>
      <x:c r="G3368" s="35" t="str">
        <x:v>RECORDED</x:v>
      </x:c>
      <x:c r="H3368" s="39" t="n">
        <x:f>IF(ISNUMBER('Data'!N1660),'Data'!N1660*100,"")</x:f>
        <x:v>100</x:v>
      </x:c>
      <x:c r="I3368" s="35" t="str">
        <x:v>PASS</x:v>
      </x:c>
      <x:c r="J3368" s="35" t="str">
        <x:v>PASS</x:v>
      </x:c>
      <x:c r="K3368" s="35" t="str">
        <x:v>PASS</x:v>
      </x:c>
      <x:c r="L3368" s="35" t="str">
        <x:v>PASS</x:v>
      </x:c>
      <x:c r="M3368" s="35" t="str">
        <x:v>numeric coverage for applicable metric</x:v>
      </x:c>
      <x:c r="N3368" s="35" t="str">
        <x:v>Deepseek-flash-v4/Result2/Mockito_22/result.json</x:v>
      </x:c>
      <x:c r="O3368" s="39" t="n">
        <x:f>IF(AND(G3368="RECORDED",ISNUMBER(H3368)),H3368,"")</x:f>
        <x:v>100</x:v>
      </x:c>
      <x:c r="P3368" s="35" t="str">
        <x:v>NOT_REVEALING</x:v>
      </x:c>
      <x:c r="Q3368" s="35" t="str">
        <x:v>Deepseek-flash-v4/Result2/Mockito_22/result.json</x:v>
      </x:c>
    </x:row>
    <x:row r="3369">
      <x:c r="A3369" s="35" t="str">
        <x:v>deepseek</x:v>
      </x:c>
      <x:c r="B3369" s="35" t="str">
        <x:v>Mockito</x:v>
      </x:c>
      <x:c r="C3369" s="35" t="str">
        <x:v>Round2</x:v>
      </x:c>
      <x:c r="D3369" s="35" t="str">
        <x:v>Mockito_23</x:v>
      </x:c>
      <x:c r="E3369" s="35" t="str">
        <x:v>Condition</x:v>
      </x:c>
      <x:c r="F3369" s="35"/>
      <x:c r="G3369" s="35" t="str">
        <x:v>A</x:v>
      </x:c>
      <x:c r="H3369" s="39" t="str">
        <x:f>IF(ISNUMBER('Data'!N1661),'Data'!N1661*100,"")</x:f>
      </x:c>
      <x:c r="I3369" s="35"/>
      <x:c r="J3369" s="35" t="str">
        <x:v>PASS</x:v>
      </x:c>
      <x:c r="K3369" s="35" t="str">
        <x:v>FAIL</x:v>
      </x:c>
      <x:c r="L3369" s="35" t="str">
        <x:v>NOT_RUN</x:v>
      </x:c>
      <x:c r="M3369" s="35" t="str">
        <x:v>coverage unavailable or execution/compile failed</x:v>
      </x:c>
      <x:c r="N3369" s="35" t="str">
        <x:v>Deepseek-flash-v4/Result2/Mockito_23/result.json</x:v>
      </x:c>
      <x:c r="O3369" s="39" t="str">
        <x:f>IF(AND(G3369="RECORDED",ISNUMBER(H3369)),H3369,"")</x:f>
      </x:c>
      <x:c r="P3369" s="35" t="str">
        <x:v>NOT_AVAILABLE</x:v>
      </x:c>
      <x:c r="Q3369" s="35" t="str">
        <x:v>Deepseek-flash-v4/Result2/Mockito_23/result.json</x:v>
      </x:c>
    </x:row>
    <x:row r="3370">
      <x:c r="A3370" s="35" t="str">
        <x:v>deepseek</x:v>
      </x:c>
      <x:c r="B3370" s="35" t="str">
        <x:v>Mockito</x:v>
      </x:c>
      <x:c r="C3370" s="35" t="str">
        <x:v>Round2</x:v>
      </x:c>
      <x:c r="D3370" s="35" t="str">
        <x:v>Mockito_24</x:v>
      </x:c>
      <x:c r="E3370" s="35" t="str">
        <x:v>Condition</x:v>
      </x:c>
      <x:c r="F3370" s="35"/>
      <x:c r="G3370" s="35" t="str">
        <x:v>A</x:v>
      </x:c>
      <x:c r="H3370" s="39" t="str">
        <x:f>IF(ISNUMBER('Data'!N1662),'Data'!N1662*100,"")</x:f>
      </x:c>
      <x:c r="I3370" s="35"/>
      <x:c r="J3370" s="35" t="str">
        <x:v>PASS</x:v>
      </x:c>
      <x:c r="K3370" s="35" t="str">
        <x:v>FAIL</x:v>
      </x:c>
      <x:c r="L3370" s="35" t="str">
        <x:v>NOT_RUN</x:v>
      </x:c>
      <x:c r="M3370" s="35" t="str">
        <x:v>coverage unavailable or execution/compile failed</x:v>
      </x:c>
      <x:c r="N3370" s="35" t="str">
        <x:v>Deepseek-flash-v4/Result2/Mockito_24/result.json</x:v>
      </x:c>
      <x:c r="O3370" s="39" t="str">
        <x:f>IF(AND(G3370="RECORDED",ISNUMBER(H3370)),H3370,"")</x:f>
      </x:c>
      <x:c r="P3370" s="35" t="str">
        <x:v>NOT_AVAILABLE</x:v>
      </x:c>
      <x:c r="Q3370" s="35" t="str">
        <x:v>Deepseek-flash-v4/Result2/Mockito_24/result.json</x:v>
      </x:c>
    </x:row>
    <x:row r="3371">
      <x:c r="A3371" s="35" t="str">
        <x:v>deepseek</x:v>
      </x:c>
      <x:c r="B3371" s="35" t="str">
        <x:v>Mockito</x:v>
      </x:c>
      <x:c r="C3371" s="35" t="str">
        <x:v>Round2</x:v>
      </x:c>
      <x:c r="D3371" s="35" t="str">
        <x:v>Mockito_25</x:v>
      </x:c>
      <x:c r="E3371" s="35" t="str">
        <x:v>Condition</x:v>
      </x:c>
      <x:c r="F3371" s="35" t="n">
        <x:v>6</x:v>
      </x:c>
      <x:c r="G3371" s="35" t="str">
        <x:v>RECORDED</x:v>
      </x:c>
      <x:c r="H3371" s="39" t="n">
        <x:f>IF(ISNUMBER('Data'!N1663),'Data'!N1663*100,"")</x:f>
        <x:v>83.33</x:v>
      </x:c>
      <x:c r="I3371" s="35" t="str">
        <x:v>PASS</x:v>
      </x:c>
      <x:c r="J3371" s="35" t="str">
        <x:v>PASS</x:v>
      </x:c>
      <x:c r="K3371" s="35" t="str">
        <x:v>PASS</x:v>
      </x:c>
      <x:c r="L3371" s="35" t="str">
        <x:v>PASS</x:v>
      </x:c>
      <x:c r="M3371" s="35" t="str">
        <x:v>numeric coverage for applicable metric</x:v>
      </x:c>
      <x:c r="N3371" s="35" t="str">
        <x:v>Deepseek-flash-v4/Result2/Mockito_25/result.json</x:v>
      </x:c>
      <x:c r="O3371" s="39" t="n">
        <x:f>IF(AND(G3371="RECORDED",ISNUMBER(H3371)),H3371,"")</x:f>
        <x:v>83.33</x:v>
      </x:c>
      <x:c r="P3371" s="35" t="str">
        <x:v>NOT_REVEALING</x:v>
      </x:c>
      <x:c r="Q3371" s="35" t="str">
        <x:v>Deepseek-flash-v4/Result2/Mockito_25/result.json</x:v>
      </x:c>
    </x:row>
    <x:row r="3372">
      <x:c r="A3372" s="35" t="str">
        <x:v>deepseek</x:v>
      </x:c>
      <x:c r="B3372" s="35" t="str">
        <x:v>Mockito</x:v>
      </x:c>
      <x:c r="C3372" s="35" t="str">
        <x:v>Round2</x:v>
      </x:c>
      <x:c r="D3372" s="35" t="str">
        <x:v>Mockito_26</x:v>
      </x:c>
      <x:c r="E3372" s="35" t="str">
        <x:v>Condition</x:v>
      </x:c>
      <x:c r="F3372" s="35" t="n">
        <x:v>2</x:v>
      </x:c>
      <x:c r="G3372" s="35" t="str">
        <x:v>RECORDED</x:v>
      </x:c>
      <x:c r="H3372" s="39" t="n">
        <x:f>IF(ISNUMBER('Data'!N1664),'Data'!N1664*100,"")</x:f>
        <x:v>100</x:v>
      </x:c>
      <x:c r="I3372" s="35" t="str">
        <x:v>PASS</x:v>
      </x:c>
      <x:c r="J3372" s="35" t="str">
        <x:v>PASS</x:v>
      </x:c>
      <x:c r="K3372" s="35" t="str">
        <x:v>PASS</x:v>
      </x:c>
      <x:c r="L3372" s="35" t="str">
        <x:v>FAIL</x:v>
      </x:c>
      <x:c r="M3372" s="35" t="str">
        <x:v>numeric coverage for applicable metric</x:v>
      </x:c>
      <x:c r="N3372" s="35" t="str">
        <x:v>Deepseek-flash-v4/Result2/Mockito_26/result.json</x:v>
      </x:c>
      <x:c r="O3372" s="39" t="n">
        <x:f>IF(AND(G3372="RECORDED",ISNUMBER(H3372)),H3372,"")</x:f>
        <x:v>100</x:v>
      </x:c>
      <x:c r="P3372" s="35" t="str">
        <x:v>REVEALING</x:v>
      </x:c>
      <x:c r="Q3372" s="35" t="str">
        <x:v>Deepseek-flash-v4/Result2/Mockito_26/result.json</x:v>
      </x:c>
    </x:row>
    <x:row r="3373">
      <x:c r="A3373" s="35" t="str">
        <x:v>deepseek</x:v>
      </x:c>
      <x:c r="B3373" s="35" t="str">
        <x:v>Mockito</x:v>
      </x:c>
      <x:c r="C3373" s="35" t="str">
        <x:v>Round2</x:v>
      </x:c>
      <x:c r="D3373" s="35" t="str">
        <x:v>Mockito_27</x:v>
      </x:c>
      <x:c r="E3373" s="35" t="str">
        <x:v>Condition</x:v>
      </x:c>
      <x:c r="F3373" s="35"/>
      <x:c r="G3373" s="35" t="str">
        <x:v>A</x:v>
      </x:c>
      <x:c r="H3373" s="39" t="str">
        <x:f>IF(ISNUMBER('Data'!N1665),'Data'!N1665*100,"")</x:f>
      </x:c>
      <x:c r="I3373" s="35"/>
      <x:c r="J3373" s="35" t="str">
        <x:v>PASS</x:v>
      </x:c>
      <x:c r="K3373" s="35" t="str">
        <x:v>FAIL</x:v>
      </x:c>
      <x:c r="L3373" s="35" t="str">
        <x:v>NOT_RUN</x:v>
      </x:c>
      <x:c r="M3373" s="35" t="str">
        <x:v>coverage unavailable or execution/compile failed</x:v>
      </x:c>
      <x:c r="N3373" s="35" t="str">
        <x:v>Deepseek-flash-v4/Result2/Mockito_27/result.json</x:v>
      </x:c>
      <x:c r="O3373" s="39" t="str">
        <x:f>IF(AND(G3373="RECORDED",ISNUMBER(H3373)),H3373,"")</x:f>
      </x:c>
      <x:c r="P3373" s="35" t="str">
        <x:v>NOT_AVAILABLE</x:v>
      </x:c>
      <x:c r="Q3373" s="35" t="str">
        <x:v>Deepseek-flash-v4/Result2/Mockito_27/result.json</x:v>
      </x:c>
    </x:row>
    <x:row r="3374">
      <x:c r="A3374" s="35" t="str">
        <x:v>deepseek</x:v>
      </x:c>
      <x:c r="B3374" s="35" t="str">
        <x:v>Mockito</x:v>
      </x:c>
      <x:c r="C3374" s="35" t="str">
        <x:v>Round2</x:v>
      </x:c>
      <x:c r="D3374" s="35" t="str">
        <x:v>Mockito_28</x:v>
      </x:c>
      <x:c r="E3374" s="35" t="str">
        <x:v>Condition</x:v>
      </x:c>
      <x:c r="F3374" s="35" t="n">
        <x:v>10</x:v>
      </x:c>
      <x:c r="G3374" s="35" t="str">
        <x:v>RECORDED</x:v>
      </x:c>
      <x:c r="H3374" s="39" t="n">
        <x:f>IF(ISNUMBER('Data'!N1666),'Data'!N1666*100,"")</x:f>
        <x:v>80</x:v>
      </x:c>
      <x:c r="I3374" s="35" t="str">
        <x:v>PASS</x:v>
      </x:c>
      <x:c r="J3374" s="35" t="str">
        <x:v>PASS</x:v>
      </x:c>
      <x:c r="K3374" s="35" t="str">
        <x:v>PASS</x:v>
      </x:c>
      <x:c r="L3374" s="35" t="str">
        <x:v>PASS</x:v>
      </x:c>
      <x:c r="M3374" s="35" t="str">
        <x:v>numeric coverage for applicable metric</x:v>
      </x:c>
      <x:c r="N3374" s="35" t="str">
        <x:v>Deepseek-flash-v4/Result2/Mockito_28/result.json</x:v>
      </x:c>
      <x:c r="O3374" s="39" t="n">
        <x:f>IF(AND(G3374="RECORDED",ISNUMBER(H3374)),H3374,"")</x:f>
        <x:v>80</x:v>
      </x:c>
      <x:c r="P3374" s="35" t="str">
        <x:v>NOT_REVEALING</x:v>
      </x:c>
      <x:c r="Q3374" s="35" t="str">
        <x:v>Deepseek-flash-v4/Result2/Mockito_28/result.json</x:v>
      </x:c>
    </x:row>
    <x:row r="3375">
      <x:c r="A3375" s="35" t="str">
        <x:v>deepseek</x:v>
      </x:c>
      <x:c r="B3375" s="35" t="str">
        <x:v>Mockito</x:v>
      </x:c>
      <x:c r="C3375" s="35" t="str">
        <x:v>Round2</x:v>
      </x:c>
      <x:c r="D3375" s="35" t="str">
        <x:v>Mockito_29</x:v>
      </x:c>
      <x:c r="E3375" s="35" t="str">
        <x:v>Condition</x:v>
      </x:c>
      <x:c r="F3375" s="35"/>
      <x:c r="G3375" s="35" t="str">
        <x:v>A</x:v>
      </x:c>
      <x:c r="H3375" s="39" t="str">
        <x:f>IF(ISNUMBER('Data'!N1667),'Data'!N1667*100,"")</x:f>
      </x:c>
      <x:c r="I3375" s="35"/>
      <x:c r="J3375" s="35" t="str">
        <x:v>PASS</x:v>
      </x:c>
      <x:c r="K3375" s="35" t="str">
        <x:v>FAIL</x:v>
      </x:c>
      <x:c r="L3375" s="35" t="str">
        <x:v>NOT_RUN</x:v>
      </x:c>
      <x:c r="M3375" s="35" t="str">
        <x:v>coverage unavailable or execution/compile failed</x:v>
      </x:c>
      <x:c r="N3375" s="35" t="str">
        <x:v>Deepseek-flash-v4/Result2/Mockito_29/result.json</x:v>
      </x:c>
      <x:c r="O3375" s="39" t="str">
        <x:f>IF(AND(G3375="RECORDED",ISNUMBER(H3375)),H3375,"")</x:f>
      </x:c>
      <x:c r="P3375" s="35" t="str">
        <x:v>NOT_AVAILABLE</x:v>
      </x:c>
      <x:c r="Q3375" s="35" t="str">
        <x:v>Deepseek-flash-v4/Result2/Mockito_29/result.json</x:v>
      </x:c>
    </x:row>
    <x:row r="3376">
      <x:c r="A3376" s="35" t="str">
        <x:v>deepseek</x:v>
      </x:c>
      <x:c r="B3376" s="35" t="str">
        <x:v>Mockito</x:v>
      </x:c>
      <x:c r="C3376" s="35" t="str">
        <x:v>Round2</x:v>
      </x:c>
      <x:c r="D3376" s="35" t="str">
        <x:v>Mockito_3</x:v>
      </x:c>
      <x:c r="E3376" s="35" t="str">
        <x:v>Condition</x:v>
      </x:c>
      <x:c r="F3376" s="35"/>
      <x:c r="G3376" s="35" t="str">
        <x:v>A</x:v>
      </x:c>
      <x:c r="H3376" s="39" t="str">
        <x:f>IF(ISNUMBER('Data'!N1668),'Data'!N1668*100,"")</x:f>
      </x:c>
      <x:c r="I3376" s="35"/>
      <x:c r="J3376" s="35" t="str">
        <x:v>PASS</x:v>
      </x:c>
      <x:c r="K3376" s="35" t="str">
        <x:v>FAIL</x:v>
      </x:c>
      <x:c r="L3376" s="35" t="str">
        <x:v>NOT_RUN</x:v>
      </x:c>
      <x:c r="M3376" s="35" t="str">
        <x:v>coverage unavailable or execution/compile failed</x:v>
      </x:c>
      <x:c r="N3376" s="35" t="str">
        <x:v>Deepseek-flash-v4/Result2/Mockito_3/result.json</x:v>
      </x:c>
      <x:c r="O3376" s="39" t="str">
        <x:f>IF(AND(G3376="RECORDED",ISNUMBER(H3376)),H3376,"")</x:f>
      </x:c>
      <x:c r="P3376" s="35" t="str">
        <x:v>NOT_AVAILABLE</x:v>
      </x:c>
      <x:c r="Q3376" s="35" t="str">
        <x:v>Deepseek-flash-v4/Result2/Mockito_3/result.json</x:v>
      </x:c>
    </x:row>
    <x:row r="3377">
      <x:c r="A3377" s="35" t="str">
        <x:v>deepseek</x:v>
      </x:c>
      <x:c r="B3377" s="35" t="str">
        <x:v>Mockito</x:v>
      </x:c>
      <x:c r="C3377" s="35" t="str">
        <x:v>Round2</x:v>
      </x:c>
      <x:c r="D3377" s="35" t="str">
        <x:v>Mockito_30</x:v>
      </x:c>
      <x:c r="E3377" s="35" t="str">
        <x:v>Condition</x:v>
      </x:c>
      <x:c r="F3377" s="35" t="n">
        <x:v>14</x:v>
      </x:c>
      <x:c r="G3377" s="35" t="str">
        <x:v>RECORDED</x:v>
      </x:c>
      <x:c r="H3377" s="39" t="n">
        <x:f>IF(ISNUMBER('Data'!N1669),'Data'!N1669*100,"")</x:f>
        <x:v>78.57</x:v>
      </x:c>
      <x:c r="I3377" s="35" t="str">
        <x:v>PASS</x:v>
      </x:c>
      <x:c r="J3377" s="35" t="str">
        <x:v>PASS</x:v>
      </x:c>
      <x:c r="K3377" s="35" t="str">
        <x:v>PASS</x:v>
      </x:c>
      <x:c r="L3377" s="35" t="str">
        <x:v>FAIL</x:v>
      </x:c>
      <x:c r="M3377" s="35" t="str">
        <x:v>numeric coverage for applicable metric</x:v>
      </x:c>
      <x:c r="N3377" s="35" t="str">
        <x:v>Deepseek-flash-v4/Result2/Mockito_30/result.json</x:v>
      </x:c>
      <x:c r="O3377" s="39" t="n">
        <x:f>IF(AND(G3377="RECORDED",ISNUMBER(H3377)),H3377,"")</x:f>
        <x:v>78.57</x:v>
      </x:c>
      <x:c r="P3377" s="35" t="str">
        <x:v>NOT_AVAILABLE</x:v>
      </x:c>
      <x:c r="Q3377" s="35" t="str">
        <x:v>Deepseek-flash-v4/Result2/Mockito_30/result.json</x:v>
      </x:c>
    </x:row>
    <x:row r="3378">
      <x:c r="A3378" s="35" t="str">
        <x:v>deepseek</x:v>
      </x:c>
      <x:c r="B3378" s="35" t="str">
        <x:v>Mockito</x:v>
      </x:c>
      <x:c r="C3378" s="35" t="str">
        <x:v>Round2</x:v>
      </x:c>
      <x:c r="D3378" s="35" t="str">
        <x:v>Mockito_31</x:v>
      </x:c>
      <x:c r="E3378" s="35" t="str">
        <x:v>Condition</x:v>
      </x:c>
      <x:c r="F3378" s="35" t="n">
        <x:v>6</x:v>
      </x:c>
      <x:c r="G3378" s="35" t="str">
        <x:v>RECORDED</x:v>
      </x:c>
      <x:c r="H3378" s="39" t="n">
        <x:f>IF(ISNUMBER('Data'!N1670),'Data'!N1670*100,"")</x:f>
        <x:v>100</x:v>
      </x:c>
      <x:c r="I3378" s="35" t="str">
        <x:v>PASS</x:v>
      </x:c>
      <x:c r="J3378" s="35" t="str">
        <x:v>PASS</x:v>
      </x:c>
      <x:c r="K3378" s="35" t="str">
        <x:v>PASS</x:v>
      </x:c>
      <x:c r="L3378" s="35" t="str">
        <x:v>PASS</x:v>
      </x:c>
      <x:c r="M3378" s="35" t="str">
        <x:v>numeric coverage for applicable metric</x:v>
      </x:c>
      <x:c r="N3378" s="35" t="str">
        <x:v>Deepseek-flash-v4/Result2/Mockito_31/result.json</x:v>
      </x:c>
      <x:c r="O3378" s="39" t="n">
        <x:f>IF(AND(G3378="RECORDED",ISNUMBER(H3378)),H3378,"")</x:f>
        <x:v>100</x:v>
      </x:c>
      <x:c r="P3378" s="35" t="str">
        <x:v>NOT_REVEALING</x:v>
      </x:c>
      <x:c r="Q3378" s="35" t="str">
        <x:v>Deepseek-flash-v4/Result2/Mockito_31/result.json</x:v>
      </x:c>
    </x:row>
    <x:row r="3379">
      <x:c r="A3379" s="35" t="str">
        <x:v>deepseek</x:v>
      </x:c>
      <x:c r="B3379" s="35" t="str">
        <x:v>Mockito</x:v>
      </x:c>
      <x:c r="C3379" s="35" t="str">
        <x:v>Round2</x:v>
      </x:c>
      <x:c r="D3379" s="35" t="str">
        <x:v>Mockito_32</x:v>
      </x:c>
      <x:c r="E3379" s="35" t="str">
        <x:v>Condition</x:v>
      </x:c>
      <x:c r="F3379" s="35" t="n">
        <x:v>12</x:v>
      </x:c>
      <x:c r="G3379" s="35" t="str">
        <x:v>RECORDED</x:v>
      </x:c>
      <x:c r="H3379" s="39" t="n">
        <x:f>IF(ISNUMBER('Data'!N1671),'Data'!N1671*100,"")</x:f>
        <x:v>100</x:v>
      </x:c>
      <x:c r="I3379" s="35" t="str">
        <x:v>PASS</x:v>
      </x:c>
      <x:c r="J3379" s="35" t="str">
        <x:v>PASS</x:v>
      </x:c>
      <x:c r="K3379" s="35" t="str">
        <x:v>PASS</x:v>
      </x:c>
      <x:c r="L3379" s="35" t="str">
        <x:v>FAIL</x:v>
      </x:c>
      <x:c r="M3379" s="35" t="str">
        <x:v>numeric coverage for applicable metric</x:v>
      </x:c>
      <x:c r="N3379" s="35" t="str">
        <x:v>Deepseek-flash-v4/Result2/Mockito_32/result.json</x:v>
      </x:c>
      <x:c r="O3379" s="39" t="n">
        <x:f>IF(AND(G3379="RECORDED",ISNUMBER(H3379)),H3379,"")</x:f>
        <x:v>100</x:v>
      </x:c>
      <x:c r="P3379" s="35" t="str">
        <x:v>INCONCLUSIVE</x:v>
      </x:c>
      <x:c r="Q3379" s="35" t="str">
        <x:v>Deepseek-flash-v4/Result2/Mockito_32/result.json</x:v>
      </x:c>
    </x:row>
    <x:row r="3380">
      <x:c r="A3380" s="35" t="str">
        <x:v>deepseek</x:v>
      </x:c>
      <x:c r="B3380" s="35" t="str">
        <x:v>Mockito</x:v>
      </x:c>
      <x:c r="C3380" s="35" t="str">
        <x:v>Round2</x:v>
      </x:c>
      <x:c r="D3380" s="35" t="str">
        <x:v>Mockito_33</x:v>
      </x:c>
      <x:c r="E3380" s="35" t="str">
        <x:v>Condition</x:v>
      </x:c>
      <x:c r="F3380" s="35"/>
      <x:c r="G3380" s="35" t="str">
        <x:v>A</x:v>
      </x:c>
      <x:c r="H3380" s="39" t="str">
        <x:f>IF(ISNUMBER('Data'!N1672),'Data'!N1672*100,"")</x:f>
      </x:c>
      <x:c r="I3380" s="35"/>
      <x:c r="J3380" s="35" t="str">
        <x:v>PASS</x:v>
      </x:c>
      <x:c r="K3380" s="35" t="str">
        <x:v>FAIL</x:v>
      </x:c>
      <x:c r="L3380" s="35" t="str">
        <x:v>NOT_RUN</x:v>
      </x:c>
      <x:c r="M3380" s="35" t="str">
        <x:v>coverage unavailable or execution/compile failed</x:v>
      </x:c>
      <x:c r="N3380" s="35" t="str">
        <x:v>Deepseek-flash-v4/Result2/Mockito_33/result.json</x:v>
      </x:c>
      <x:c r="O3380" s="39" t="str">
        <x:f>IF(AND(G3380="RECORDED",ISNUMBER(H3380)),H3380,"")</x:f>
      </x:c>
      <x:c r="P3380" s="35" t="str">
        <x:v>NOT_AVAILABLE</x:v>
      </x:c>
      <x:c r="Q3380" s="35" t="str">
        <x:v>Deepseek-flash-v4/Result2/Mockito_33/result.json</x:v>
      </x:c>
    </x:row>
    <x:row r="3381">
      <x:c r="A3381" s="35" t="str">
        <x:v>deepseek</x:v>
      </x:c>
      <x:c r="B3381" s="35" t="str">
        <x:v>Mockito</x:v>
      </x:c>
      <x:c r="C3381" s="35" t="str">
        <x:v>Round2</x:v>
      </x:c>
      <x:c r="D3381" s="35" t="str">
        <x:v>Mockito_34</x:v>
      </x:c>
      <x:c r="E3381" s="35" t="str">
        <x:v>Condition</x:v>
      </x:c>
      <x:c r="F3381" s="35"/>
      <x:c r="G3381" s="35" t="str">
        <x:v>A</x:v>
      </x:c>
      <x:c r="H3381" s="39" t="str">
        <x:f>IF(ISNUMBER('Data'!N1673),'Data'!N1673*100,"")</x:f>
      </x:c>
      <x:c r="I3381" s="35"/>
      <x:c r="J3381" s="35" t="str">
        <x:v>PASS</x:v>
      </x:c>
      <x:c r="K3381" s="35" t="str">
        <x:v>FAIL</x:v>
      </x:c>
      <x:c r="L3381" s="35" t="str">
        <x:v>NOT_RUN</x:v>
      </x:c>
      <x:c r="M3381" s="35" t="str">
        <x:v>coverage unavailable or execution/compile failed</x:v>
      </x:c>
      <x:c r="N3381" s="35" t="str">
        <x:v>Deepseek-flash-v4/Result2/Mockito_34/result.json</x:v>
      </x:c>
      <x:c r="O3381" s="39" t="str">
        <x:f>IF(AND(G3381="RECORDED",ISNUMBER(H3381)),H3381,"")</x:f>
      </x:c>
      <x:c r="P3381" s="35" t="str">
        <x:v>NOT_AVAILABLE</x:v>
      </x:c>
      <x:c r="Q3381" s="35" t="str">
        <x:v>Deepseek-flash-v4/Result2/Mockito_34/result.json</x:v>
      </x:c>
    </x:row>
    <x:row r="3382">
      <x:c r="A3382" s="35" t="str">
        <x:v>deepseek</x:v>
      </x:c>
      <x:c r="B3382" s="35" t="str">
        <x:v>Mockito</x:v>
      </x:c>
      <x:c r="C3382" s="35" t="str">
        <x:v>Round2</x:v>
      </x:c>
      <x:c r="D3382" s="35" t="str">
        <x:v>Mockito_35</x:v>
      </x:c>
      <x:c r="E3382" s="35" t="str">
        <x:v>Condition</x:v>
      </x:c>
      <x:c r="F3382" s="35" t="n">
        <x:v>0</x:v>
      </x:c>
      <x:c r="G3382" s="35" t="str">
        <x:v>B</x:v>
      </x:c>
      <x:c r="H3382" s="39" t="str">
        <x:f>IF(ISNUMBER('Data'!N1674),'Data'!N1674*100,"")</x:f>
      </x:c>
      <x:c r="I3382" s="35" t="str">
        <x:v>PASS</x:v>
      </x:c>
      <x:c r="J3382" s="35" t="str">
        <x:v>PASS</x:v>
      </x:c>
      <x:c r="K3382" s="35" t="str">
        <x:v>PASS</x:v>
      </x:c>
      <x:c r="L3382" s="35" t="str">
        <x:v>PASS</x:v>
      </x:c>
      <x:c r="M3382" s="35" t="str">
        <x:v>coverage completed; measurable total = 0</x:v>
      </x:c>
      <x:c r="N3382" s="35" t="str">
        <x:v>Deepseek-flash-v4/Result2/Mockito_35/result.json</x:v>
      </x:c>
      <x:c r="O3382" s="39" t="str">
        <x:f>IF(AND(G3382="RECORDED",ISNUMBER(H3382)),H3382,"")</x:f>
      </x:c>
      <x:c r="P3382" s="35" t="str">
        <x:v>INCONCLUSIVE</x:v>
      </x:c>
      <x:c r="Q3382" s="35" t="str">
        <x:v>Deepseek-flash-v4/Result2/Mockito_35/result.json</x:v>
      </x:c>
    </x:row>
    <x:row r="3383">
      <x:c r="A3383" s="35" t="str">
        <x:v>deepseek</x:v>
      </x:c>
      <x:c r="B3383" s="35" t="str">
        <x:v>Mockito</x:v>
      </x:c>
      <x:c r="C3383" s="35" t="str">
        <x:v>Round2</x:v>
      </x:c>
      <x:c r="D3383" s="35" t="str">
        <x:v>Mockito_36</x:v>
      </x:c>
      <x:c r="E3383" s="35" t="str">
        <x:v>Condition</x:v>
      </x:c>
      <x:c r="F3383" s="35"/>
      <x:c r="G3383" s="35" t="str">
        <x:v>A</x:v>
      </x:c>
      <x:c r="H3383" s="39" t="str">
        <x:f>IF(ISNUMBER('Data'!N1675),'Data'!N1675*100,"")</x:f>
      </x:c>
      <x:c r="I3383" s="35"/>
      <x:c r="J3383" s="35" t="str">
        <x:v>PASS</x:v>
      </x:c>
      <x:c r="K3383" s="35" t="str">
        <x:v>FAIL</x:v>
      </x:c>
      <x:c r="L3383" s="35" t="str">
        <x:v>NOT_RUN</x:v>
      </x:c>
      <x:c r="M3383" s="35" t="str">
        <x:v>coverage unavailable or execution/compile failed</x:v>
      </x:c>
      <x:c r="N3383" s="35" t="str">
        <x:v>Deepseek-flash-v4/Result2/Mockito_36/result.json</x:v>
      </x:c>
      <x:c r="O3383" s="39" t="str">
        <x:f>IF(AND(G3383="RECORDED",ISNUMBER(H3383)),H3383,"")</x:f>
      </x:c>
      <x:c r="P3383" s="35" t="str">
        <x:v>NOT_AVAILABLE</x:v>
      </x:c>
      <x:c r="Q3383" s="35" t="str">
        <x:v>Deepseek-flash-v4/Result2/Mockito_36/result.json</x:v>
      </x:c>
    </x:row>
    <x:row r="3384">
      <x:c r="A3384" s="35" t="str">
        <x:v>deepseek</x:v>
      </x:c>
      <x:c r="B3384" s="35" t="str">
        <x:v>Mockito</x:v>
      </x:c>
      <x:c r="C3384" s="35" t="str">
        <x:v>Round2</x:v>
      </x:c>
      <x:c r="D3384" s="35" t="str">
        <x:v>Mockito_37</x:v>
      </x:c>
      <x:c r="E3384" s="35" t="str">
        <x:v>Condition</x:v>
      </x:c>
      <x:c r="F3384" s="35" t="n">
        <x:v>26</x:v>
      </x:c>
      <x:c r="G3384" s="35" t="str">
        <x:v>RECORDED</x:v>
      </x:c>
      <x:c r="H3384" s="39" t="n">
        <x:f>IF(ISNUMBER('Data'!N1676),'Data'!N1676*100,"")</x:f>
        <x:v>96.15</x:v>
      </x:c>
      <x:c r="I3384" s="35" t="str">
        <x:v>PASS</x:v>
      </x:c>
      <x:c r="J3384" s="35" t="str">
        <x:v>PASS</x:v>
      </x:c>
      <x:c r="K3384" s="35" t="str">
        <x:v>PASS</x:v>
      </x:c>
      <x:c r="L3384" s="35" t="str">
        <x:v>FAIL</x:v>
      </x:c>
      <x:c r="M3384" s="35" t="str">
        <x:v>numeric coverage for applicable metric</x:v>
      </x:c>
      <x:c r="N3384" s="35" t="str">
        <x:v>Deepseek-flash-v4/Result2/Mockito_37/result.json</x:v>
      </x:c>
      <x:c r="O3384" s="39" t="n">
        <x:f>IF(AND(G3384="RECORDED",ISNUMBER(H3384)),H3384,"")</x:f>
        <x:v>96.15</x:v>
      </x:c>
      <x:c r="P3384" s="35" t="str">
        <x:v>INCONCLUSIVE</x:v>
      </x:c>
      <x:c r="Q3384" s="35" t="str">
        <x:v>Deepseek-flash-v4/Result2/Mockito_37/result.json</x:v>
      </x:c>
    </x:row>
    <x:row r="3385">
      <x:c r="A3385" s="35" t="str">
        <x:v>deepseek</x:v>
      </x:c>
      <x:c r="B3385" s="35" t="str">
        <x:v>Mockito</x:v>
      </x:c>
      <x:c r="C3385" s="35" t="str">
        <x:v>Round2</x:v>
      </x:c>
      <x:c r="D3385" s="35" t="str">
        <x:v>Mockito_38</x:v>
      </x:c>
      <x:c r="E3385" s="35" t="str">
        <x:v>Condition</x:v>
      </x:c>
      <x:c r="F3385" s="35"/>
      <x:c r="G3385" s="35" t="str">
        <x:v>A</x:v>
      </x:c>
      <x:c r="H3385" s="39" t="str">
        <x:f>IF(ISNUMBER('Data'!N1677),'Data'!N1677*100,"")</x:f>
      </x:c>
      <x:c r="I3385" s="35"/>
      <x:c r="J3385" s="35" t="str">
        <x:v>PASS</x:v>
      </x:c>
      <x:c r="K3385" s="35" t="str">
        <x:v>FAIL</x:v>
      </x:c>
      <x:c r="L3385" s="35" t="str">
        <x:v>NOT_RUN</x:v>
      </x:c>
      <x:c r="M3385" s="35" t="str">
        <x:v>coverage unavailable or execution/compile failed</x:v>
      </x:c>
      <x:c r="N3385" s="35" t="str">
        <x:v>Deepseek-flash-v4/Result2/Mockito_38/result.json</x:v>
      </x:c>
      <x:c r="O3385" s="39" t="str">
        <x:f>IF(AND(G3385="RECORDED",ISNUMBER(H3385)),H3385,"")</x:f>
      </x:c>
      <x:c r="P3385" s="35" t="str">
        <x:v>NOT_AVAILABLE</x:v>
      </x:c>
      <x:c r="Q3385" s="35" t="str">
        <x:v>Deepseek-flash-v4/Result2/Mockito_38/result.json</x:v>
      </x:c>
    </x:row>
    <x:row r="3386">
      <x:c r="A3386" s="35" t="str">
        <x:v>deepseek</x:v>
      </x:c>
      <x:c r="B3386" s="35" t="str">
        <x:v>Mockito</x:v>
      </x:c>
      <x:c r="C3386" s="35" t="str">
        <x:v>Round2</x:v>
      </x:c>
      <x:c r="D3386" s="35" t="str">
        <x:v>Mockito_4</x:v>
      </x:c>
      <x:c r="E3386" s="35" t="str">
        <x:v>Condition</x:v>
      </x:c>
      <x:c r="F3386" s="35"/>
      <x:c r="G3386" s="35" t="str">
        <x:v>A</x:v>
      </x:c>
      <x:c r="H3386" s="39" t="str">
        <x:f>IF(ISNUMBER('Data'!N1678),'Data'!N1678*100,"")</x:f>
      </x:c>
      <x:c r="I3386" s="35"/>
      <x:c r="J3386" s="35" t="str">
        <x:v>PASS</x:v>
      </x:c>
      <x:c r="K3386" s="35" t="str">
        <x:v>FAIL</x:v>
      </x:c>
      <x:c r="L3386" s="35" t="str">
        <x:v>NOT_RUN</x:v>
      </x:c>
      <x:c r="M3386" s="35" t="str">
        <x:v>coverage unavailable or execution/compile failed</x:v>
      </x:c>
      <x:c r="N3386" s="35" t="str">
        <x:v>Deepseek-flash-v4/Result2/Mockito_4/result.json</x:v>
      </x:c>
      <x:c r="O3386" s="39" t="str">
        <x:f>IF(AND(G3386="RECORDED",ISNUMBER(H3386)),H3386,"")</x:f>
      </x:c>
      <x:c r="P3386" s="35" t="str">
        <x:v>NOT_AVAILABLE</x:v>
      </x:c>
      <x:c r="Q3386" s="35" t="str">
        <x:v>Deepseek-flash-v4/Result2/Mockito_4/result.json</x:v>
      </x:c>
    </x:row>
    <x:row r="3387">
      <x:c r="A3387" s="35" t="str">
        <x:v>deepseek</x:v>
      </x:c>
      <x:c r="B3387" s="35" t="str">
        <x:v>Mockito</x:v>
      </x:c>
      <x:c r="C3387" s="35" t="str">
        <x:v>Round2</x:v>
      </x:c>
      <x:c r="D3387" s="35" t="str">
        <x:v>Mockito_5</x:v>
      </x:c>
      <x:c r="E3387" s="35" t="str">
        <x:v>Condition</x:v>
      </x:c>
      <x:c r="F3387" s="35"/>
      <x:c r="G3387" s="35" t="str">
        <x:v>A</x:v>
      </x:c>
      <x:c r="H3387" s="39" t="str">
        <x:f>IF(ISNUMBER('Data'!N1679),'Data'!N1679*100,"")</x:f>
      </x:c>
      <x:c r="I3387" s="35"/>
      <x:c r="J3387" s="35" t="str">
        <x:v>PASS</x:v>
      </x:c>
      <x:c r="K3387" s="35" t="str">
        <x:v>FAIL</x:v>
      </x:c>
      <x:c r="L3387" s="35" t="str">
        <x:v>NOT_RUN</x:v>
      </x:c>
      <x:c r="M3387" s="35" t="str">
        <x:v>coverage unavailable or execution/compile failed</x:v>
      </x:c>
      <x:c r="N3387" s="35" t="str">
        <x:v>Deepseek-flash-v4/Result2/Mockito_5/result.json</x:v>
      </x:c>
      <x:c r="O3387" s="39" t="str">
        <x:f>IF(AND(G3387="RECORDED",ISNUMBER(H3387)),H3387,"")</x:f>
      </x:c>
      <x:c r="P3387" s="35" t="str">
        <x:v>NOT_AVAILABLE</x:v>
      </x:c>
      <x:c r="Q3387" s="35" t="str">
        <x:v>Deepseek-flash-v4/Result2/Mockito_5/result.json</x:v>
      </x:c>
    </x:row>
    <x:row r="3388">
      <x:c r="A3388" s="35" t="str">
        <x:v>deepseek</x:v>
      </x:c>
      <x:c r="B3388" s="35" t="str">
        <x:v>Mockito</x:v>
      </x:c>
      <x:c r="C3388" s="35" t="str">
        <x:v>Round2</x:v>
      </x:c>
      <x:c r="D3388" s="35" t="str">
        <x:v>Mockito_6</x:v>
      </x:c>
      <x:c r="E3388" s="35" t="str">
        <x:v>Condition</x:v>
      </x:c>
      <x:c r="F3388" s="35" t="n">
        <x:v>0</x:v>
      </x:c>
      <x:c r="G3388" s="35" t="str">
        <x:v>B</x:v>
      </x:c>
      <x:c r="H3388" s="39" t="str">
        <x:f>IF(ISNUMBER('Data'!N1680),'Data'!N1680*100,"")</x:f>
      </x:c>
      <x:c r="I3388" s="35" t="str">
        <x:v>PASS</x:v>
      </x:c>
      <x:c r="J3388" s="35" t="str">
        <x:v>PASS</x:v>
      </x:c>
      <x:c r="K3388" s="35" t="str">
        <x:v>PASS</x:v>
      </x:c>
      <x:c r="L3388" s="35" t="str">
        <x:v>FAIL</x:v>
      </x:c>
      <x:c r="M3388" s="35" t="str">
        <x:v>coverage completed; measurable total = 0</x:v>
      </x:c>
      <x:c r="N3388" s="35" t="str">
        <x:v>Deepseek-flash-v4/Result2/Mockito_6/result.json</x:v>
      </x:c>
      <x:c r="O3388" s="39" t="str">
        <x:f>IF(AND(G3388="RECORDED",ISNUMBER(H3388)),H3388,"")</x:f>
      </x:c>
      <x:c r="P3388" s="35" t="str">
        <x:v>INCONCLUSIVE</x:v>
      </x:c>
      <x:c r="Q3388" s="35" t="str">
        <x:v>Deepseek-flash-v4/Result2/Mockito_6/result.json</x:v>
      </x:c>
    </x:row>
    <x:row r="3389">
      <x:c r="A3389" s="35" t="str">
        <x:v>deepseek</x:v>
      </x:c>
      <x:c r="B3389" s="35" t="str">
        <x:v>Mockito</x:v>
      </x:c>
      <x:c r="C3389" s="35" t="str">
        <x:v>Round2</x:v>
      </x:c>
      <x:c r="D3389" s="35" t="str">
        <x:v>Mockito_7</x:v>
      </x:c>
      <x:c r="E3389" s="35" t="str">
        <x:v>Condition</x:v>
      </x:c>
      <x:c r="F3389" s="35" t="n">
        <x:v>82</x:v>
      </x:c>
      <x:c r="G3389" s="35" t="str">
        <x:v>RECORDED</x:v>
      </x:c>
      <x:c r="H3389" s="39" t="n">
        <x:f>IF(ISNUMBER('Data'!N1681),'Data'!N1681*100,"")</x:f>
        <x:v>47.56</x:v>
      </x:c>
      <x:c r="I3389" s="35" t="str">
        <x:v>PASS</x:v>
      </x:c>
      <x:c r="J3389" s="35" t="str">
        <x:v>PASS</x:v>
      </x:c>
      <x:c r="K3389" s="35" t="str">
        <x:v>PASS</x:v>
      </x:c>
      <x:c r="L3389" s="35" t="str">
        <x:v>FAIL</x:v>
      </x:c>
      <x:c r="M3389" s="35" t="str">
        <x:v>numeric coverage for applicable metric</x:v>
      </x:c>
      <x:c r="N3389" s="35" t="str">
        <x:v>Deepseek-flash-v4/Result2/Mockito_7/result.json</x:v>
      </x:c>
      <x:c r="O3389" s="39" t="n">
        <x:f>IF(AND(G3389="RECORDED",ISNUMBER(H3389)),H3389,"")</x:f>
        <x:v>47.56</x:v>
      </x:c>
      <x:c r="P3389" s="35" t="str">
        <x:v>INCONCLUSIVE</x:v>
      </x:c>
      <x:c r="Q3389" s="35" t="str">
        <x:v>Deepseek-flash-v4/Result2/Mockito_7/result.json</x:v>
      </x:c>
    </x:row>
    <x:row r="3390">
      <x:c r="A3390" s="35" t="str">
        <x:v>deepseek</x:v>
      </x:c>
      <x:c r="B3390" s="35" t="str">
        <x:v>Mockito</x:v>
      </x:c>
      <x:c r="C3390" s="35" t="str">
        <x:v>Round2</x:v>
      </x:c>
      <x:c r="D3390" s="35" t="str">
        <x:v>Mockito_8</x:v>
      </x:c>
      <x:c r="E3390" s="35" t="str">
        <x:v>Condition</x:v>
      </x:c>
      <x:c r="F3390" s="35" t="n">
        <x:v>80</x:v>
      </x:c>
      <x:c r="G3390" s="35" t="str">
        <x:v>RECORDED</x:v>
      </x:c>
      <x:c r="H3390" s="39" t="n">
        <x:f>IF(ISNUMBER('Data'!N1682),'Data'!N1682*100,"")</x:f>
        <x:v>46.25</x:v>
      </x:c>
      <x:c r="I3390" s="35" t="str">
        <x:v>PASS</x:v>
      </x:c>
      <x:c r="J3390" s="35" t="str">
        <x:v>PASS</x:v>
      </x:c>
      <x:c r="K3390" s="35" t="str">
        <x:v>PASS</x:v>
      </x:c>
      <x:c r="L3390" s="35" t="str">
        <x:v>FAIL</x:v>
      </x:c>
      <x:c r="M3390" s="35" t="str">
        <x:v>numeric coverage for applicable metric</x:v>
      </x:c>
      <x:c r="N3390" s="35" t="str">
        <x:v>Deepseek-flash-v4/Result2/Mockito_8/result.json</x:v>
      </x:c>
      <x:c r="O3390" s="39" t="n">
        <x:f>IF(AND(G3390="RECORDED",ISNUMBER(H3390)),H3390,"")</x:f>
        <x:v>46.25</x:v>
      </x:c>
      <x:c r="P3390" s="35" t="str">
        <x:v>INCONCLUSIVE</x:v>
      </x:c>
      <x:c r="Q3390" s="35" t="str">
        <x:v>Deepseek-flash-v4/Result2/Mockito_8/result.json</x:v>
      </x:c>
    </x:row>
    <x:row r="3391">
      <x:c r="A3391" s="35" t="str">
        <x:v>deepseek</x:v>
      </x:c>
      <x:c r="B3391" s="35" t="str">
        <x:v>Mockito</x:v>
      </x:c>
      <x:c r="C3391" s="35" t="str">
        <x:v>Round2</x:v>
      </x:c>
      <x:c r="D3391" s="35" t="str">
        <x:v>Mockito_9</x:v>
      </x:c>
      <x:c r="E3391" s="35" t="str">
        <x:v>Condition</x:v>
      </x:c>
      <x:c r="F3391" s="35" t="n">
        <x:v>0</x:v>
      </x:c>
      <x:c r="G3391" s="35" t="str">
        <x:v>B</x:v>
      </x:c>
      <x:c r="H3391" s="39" t="str">
        <x:f>IF(ISNUMBER('Data'!N1683),'Data'!N1683*100,"")</x:f>
      </x:c>
      <x:c r="I3391" s="35" t="str">
        <x:v>PASS</x:v>
      </x:c>
      <x:c r="J3391" s="35" t="str">
        <x:v>PASS</x:v>
      </x:c>
      <x:c r="K3391" s="35" t="str">
        <x:v>PASS</x:v>
      </x:c>
      <x:c r="L3391" s="35" t="str">
        <x:v>PASS</x:v>
      </x:c>
      <x:c r="M3391" s="35" t="str">
        <x:v>coverage completed; measurable total = 0</x:v>
      </x:c>
      <x:c r="N3391" s="35" t="str">
        <x:v>Deepseek-flash-v4/Result2/Mockito_9/result.json</x:v>
      </x:c>
      <x:c r="O3391" s="39" t="str">
        <x:f>IF(AND(G3391="RECORDED",ISNUMBER(H3391)),H3391,"")</x:f>
      </x:c>
      <x:c r="P3391" s="35" t="str">
        <x:v>INCONCLUSIVE</x:v>
      </x:c>
      <x:c r="Q3391" s="35" t="str">
        <x:v>Deepseek-flash-v4/Result2/Mockito_9/result.json</x:v>
      </x:c>
    </x:row>
    <x:row r="3392">
      <x:c r="A3392" s="35" t="str">
        <x:v>deepseek</x:v>
      </x:c>
      <x:c r="B3392" s="35" t="str">
        <x:v>Time</x:v>
      </x:c>
      <x:c r="C3392" s="35" t="str">
        <x:v>Round2</x:v>
      </x:c>
      <x:c r="D3392" s="35" t="str">
        <x:v>Time_1</x:v>
      </x:c>
      <x:c r="E3392" s="35" t="str">
        <x:v>Condition</x:v>
      </x:c>
      <x:c r="F3392" s="35"/>
      <x:c r="G3392" s="35" t="str">
        <x:v>A</x:v>
      </x:c>
      <x:c r="H3392" s="39" t="str">
        <x:f>IF(ISNUMBER('Data'!N1684),'Data'!N1684*100,"")</x:f>
      </x:c>
      <x:c r="I3392" s="35"/>
      <x:c r="J3392" s="35" t="str">
        <x:v>PASS</x:v>
      </x:c>
      <x:c r="K3392" s="35" t="str">
        <x:v>FAIL</x:v>
      </x:c>
      <x:c r="L3392" s="35" t="str">
        <x:v>NOT_RUN</x:v>
      </x:c>
      <x:c r="M3392" s="35" t="str">
        <x:v>coverage unavailable or execution/compile failed</x:v>
      </x:c>
      <x:c r="N3392" s="35" t="str">
        <x:v>Deepseek-flash-v4/Result2/Time_1/result.json</x:v>
      </x:c>
      <x:c r="O3392" s="39" t="str">
        <x:f>IF(AND(G3392="RECORDED",ISNUMBER(H3392)),H3392,"")</x:f>
      </x:c>
      <x:c r="P3392" s="35" t="str">
        <x:v>NOT_AVAILABLE</x:v>
      </x:c>
      <x:c r="Q3392" s="35" t="str">
        <x:v>Deepseek-flash-v4/Result2/Time_1/result.json</x:v>
      </x:c>
    </x:row>
    <x:row r="3393">
      <x:c r="A3393" s="35" t="str">
        <x:v>deepseek</x:v>
      </x:c>
      <x:c r="B3393" s="35" t="str">
        <x:v>Time</x:v>
      </x:c>
      <x:c r="C3393" s="35" t="str">
        <x:v>Round2</x:v>
      </x:c>
      <x:c r="D3393" s="35" t="str">
        <x:v>Time_10</x:v>
      </x:c>
      <x:c r="E3393" s="35" t="str">
        <x:v>Condition</x:v>
      </x:c>
      <x:c r="F3393" s="35" t="n">
        <x:v>46</x:v>
      </x:c>
      <x:c r="G3393" s="35" t="str">
        <x:v>RECORDED</x:v>
      </x:c>
      <x:c r="H3393" s="39" t="n">
        <x:f>IF(ISNUMBER('Data'!N1685),'Data'!N1685*100,"")</x:f>
        <x:v>91.3</x:v>
      </x:c>
      <x:c r="I3393" s="35" t="str">
        <x:v>PASS</x:v>
      </x:c>
      <x:c r="J3393" s="35" t="str">
        <x:v>PASS</x:v>
      </x:c>
      <x:c r="K3393" s="35" t="str">
        <x:v>PASS</x:v>
      </x:c>
      <x:c r="L3393" s="35" t="str">
        <x:v>PASS</x:v>
      </x:c>
      <x:c r="M3393" s="35" t="str">
        <x:v>numeric coverage for applicable metric</x:v>
      </x:c>
      <x:c r="N3393" s="35" t="str">
        <x:v>Deepseek-flash-v4/Result2/Time_10/result.json</x:v>
      </x:c>
      <x:c r="O3393" s="39" t="n">
        <x:f>IF(AND(G3393="RECORDED",ISNUMBER(H3393)),H3393,"")</x:f>
        <x:v>91.3</x:v>
      </x:c>
      <x:c r="P3393" s="35" t="str">
        <x:v>NOT_REVEALING</x:v>
      </x:c>
      <x:c r="Q3393" s="35" t="str">
        <x:v>Deepseek-flash-v4/Result2/Time_10/result.json</x:v>
      </x:c>
    </x:row>
    <x:row r="3394">
      <x:c r="A3394" s="35" t="str">
        <x:v>deepseek</x:v>
      </x:c>
      <x:c r="B3394" s="35" t="str">
        <x:v>Time</x:v>
      </x:c>
      <x:c r="C3394" s="35" t="str">
        <x:v>Round2</x:v>
      </x:c>
      <x:c r="D3394" s="35" t="str">
        <x:v>Time_11</x:v>
      </x:c>
      <x:c r="E3394" s="35" t="str">
        <x:v>Condition</x:v>
      </x:c>
      <x:c r="F3394" s="35" t="n">
        <x:v>193</x:v>
      </x:c>
      <x:c r="G3394" s="35" t="str">
        <x:v>RECORDED</x:v>
      </x:c>
      <x:c r="H3394" s="39" t="n">
        <x:f>IF(ISNUMBER('Data'!N1686),'Data'!N1686*100,"")</x:f>
        <x:v>17.62</x:v>
      </x:c>
      <x:c r="I3394" s="35" t="str">
        <x:v>PASS</x:v>
      </x:c>
      <x:c r="J3394" s="35" t="str">
        <x:v>PASS</x:v>
      </x:c>
      <x:c r="K3394" s="35" t="str">
        <x:v>PASS</x:v>
      </x:c>
      <x:c r="L3394" s="35" t="str">
        <x:v>FAIL</x:v>
      </x:c>
      <x:c r="M3394" s="35" t="str">
        <x:v>numeric coverage for applicable metric</x:v>
      </x:c>
      <x:c r="N3394" s="35" t="str">
        <x:v>Deepseek-flash-v4/Result2/Time_11/result.json</x:v>
      </x:c>
      <x:c r="O3394" s="39" t="n">
        <x:f>IF(AND(G3394="RECORDED",ISNUMBER(H3394)),H3394,"")</x:f>
        <x:v>17.62</x:v>
      </x:c>
      <x:c r="P3394" s="35" t="str">
        <x:v>INCONCLUSIVE</x:v>
      </x:c>
      <x:c r="Q3394" s="35" t="str">
        <x:v>Deepseek-flash-v4/Result2/Time_11/result.json</x:v>
      </x:c>
    </x:row>
    <x:row r="3395">
      <x:c r="A3395" s="35" t="str">
        <x:v>deepseek</x:v>
      </x:c>
      <x:c r="B3395" s="35" t="str">
        <x:v>Time</x:v>
      </x:c>
      <x:c r="C3395" s="35" t="str">
        <x:v>Round2</x:v>
      </x:c>
      <x:c r="D3395" s="35" t="str">
        <x:v>Time_12</x:v>
      </x:c>
      <x:c r="E3395" s="35" t="str">
        <x:v>Condition</x:v>
      </x:c>
      <x:c r="F3395" s="35"/>
      <x:c r="G3395" s="35" t="str">
        <x:v>A</x:v>
      </x:c>
      <x:c r="H3395" s="39" t="str">
        <x:f>IF(ISNUMBER('Data'!N1687),'Data'!N1687*100,"")</x:f>
      </x:c>
      <x:c r="I3395" s="35"/>
      <x:c r="J3395" s="35" t="str">
        <x:v>PASS</x:v>
      </x:c>
      <x:c r="K3395" s="35" t="str">
        <x:v>FAIL</x:v>
      </x:c>
      <x:c r="L3395" s="35" t="str">
        <x:v>NOT_RUN</x:v>
      </x:c>
      <x:c r="M3395" s="35" t="str">
        <x:v>coverage unavailable or execution/compile failed</x:v>
      </x:c>
      <x:c r="N3395" s="35" t="str">
        <x:v>Deepseek-flash-v4/Result2/Time_12/result.json</x:v>
      </x:c>
      <x:c r="O3395" s="39" t="str">
        <x:f>IF(AND(G3395="RECORDED",ISNUMBER(H3395)),H3395,"")</x:f>
      </x:c>
      <x:c r="P3395" s="35" t="str">
        <x:v>NOT_AVAILABLE</x:v>
      </x:c>
      <x:c r="Q3395" s="35" t="str">
        <x:v>Deepseek-flash-v4/Result2/Time_12/result.json</x:v>
      </x:c>
    </x:row>
    <x:row r="3396">
      <x:c r="A3396" s="35" t="str">
        <x:v>deepseek</x:v>
      </x:c>
      <x:c r="B3396" s="35" t="str">
        <x:v>Time</x:v>
      </x:c>
      <x:c r="C3396" s="35" t="str">
        <x:v>Round2</x:v>
      </x:c>
      <x:c r="D3396" s="35" t="str">
        <x:v>Time_13</x:v>
      </x:c>
      <x:c r="E3396" s="35" t="str">
        <x:v>Condition</x:v>
      </x:c>
      <x:c r="F3396" s="35" t="n">
        <x:v>452</x:v>
      </x:c>
      <x:c r="G3396" s="35" t="str">
        <x:v>RECORDED</x:v>
      </x:c>
      <x:c r="H3396" s="39" t="n">
        <x:f>IF(ISNUMBER('Data'!N1688),'Data'!N1688*100,"")</x:f>
        <x:v>13.5</x:v>
      </x:c>
      <x:c r="I3396" s="35" t="str">
        <x:v>PASS</x:v>
      </x:c>
      <x:c r="J3396" s="35" t="str">
        <x:v>PASS</x:v>
      </x:c>
      <x:c r="K3396" s="35" t="str">
        <x:v>PASS</x:v>
      </x:c>
      <x:c r="L3396" s="35" t="str">
        <x:v>FAIL</x:v>
      </x:c>
      <x:c r="M3396" s="35" t="str">
        <x:v>numeric coverage for applicable metric</x:v>
      </x:c>
      <x:c r="N3396" s="35" t="str">
        <x:v>Deepseek-flash-v4/Result2/Time_13/result.json</x:v>
      </x:c>
      <x:c r="O3396" s="39" t="n">
        <x:f>IF(AND(G3396="RECORDED",ISNUMBER(H3396)),H3396,"")</x:f>
        <x:v>13.5</x:v>
      </x:c>
      <x:c r="P3396" s="35" t="str">
        <x:v>INCONCLUSIVE</x:v>
      </x:c>
      <x:c r="Q3396" s="35" t="str">
        <x:v>Deepseek-flash-v4/Result2/Time_13/result.json</x:v>
      </x:c>
    </x:row>
    <x:row r="3397">
      <x:c r="A3397" s="35" t="str">
        <x:v>deepseek</x:v>
      </x:c>
      <x:c r="B3397" s="35" t="str">
        <x:v>Time</x:v>
      </x:c>
      <x:c r="C3397" s="35" t="str">
        <x:v>Round2</x:v>
      </x:c>
      <x:c r="D3397" s="35" t="str">
        <x:v>Time_14</x:v>
      </x:c>
      <x:c r="E3397" s="35" t="str">
        <x:v>Condition</x:v>
      </x:c>
      <x:c r="F3397" s="35" t="n">
        <x:v>46</x:v>
      </x:c>
      <x:c r="G3397" s="35" t="str">
        <x:v>RECORDED</x:v>
      </x:c>
      <x:c r="H3397" s="39" t="n">
        <x:f>IF(ISNUMBER('Data'!N1689),'Data'!N1689*100,"")</x:f>
        <x:v>65.22</x:v>
      </x:c>
      <x:c r="I3397" s="35" t="str">
        <x:v>PASS</x:v>
      </x:c>
      <x:c r="J3397" s="35" t="str">
        <x:v>PASS</x:v>
      </x:c>
      <x:c r="K3397" s="35" t="str">
        <x:v>PASS</x:v>
      </x:c>
      <x:c r="L3397" s="35" t="str">
        <x:v>PASS</x:v>
      </x:c>
      <x:c r="M3397" s="35" t="str">
        <x:v>numeric coverage for applicable metric</x:v>
      </x:c>
      <x:c r="N3397" s="35" t="str">
        <x:v>Deepseek-flash-v4/Result2/Time_14/result.json</x:v>
      </x:c>
      <x:c r="O3397" s="39" t="n">
        <x:f>IF(AND(G3397="RECORDED",ISNUMBER(H3397)),H3397,"")</x:f>
        <x:v>65.22</x:v>
      </x:c>
      <x:c r="P3397" s="35" t="str">
        <x:v>NOT_REVEALING</x:v>
      </x:c>
      <x:c r="Q3397" s="35" t="str">
        <x:v>Deepseek-flash-v4/Result2/Time_14/result.json</x:v>
      </x:c>
    </x:row>
    <x:row r="3398">
      <x:c r="A3398" s="35" t="str">
        <x:v>deepseek</x:v>
      </x:c>
      <x:c r="B3398" s="35" t="str">
        <x:v>Time</x:v>
      </x:c>
      <x:c r="C3398" s="35" t="str">
        <x:v>Round2</x:v>
      </x:c>
      <x:c r="D3398" s="35" t="str">
        <x:v>Time_15</x:v>
      </x:c>
      <x:c r="E3398" s="35" t="str">
        <x:v>Condition</x:v>
      </x:c>
      <x:c r="F3398" s="35" t="n">
        <x:v>70</x:v>
      </x:c>
      <x:c r="G3398" s="35" t="str">
        <x:v>RECORDED</x:v>
      </x:c>
      <x:c r="H3398" s="39" t="n">
        <x:f>IF(ISNUMBER('Data'!N1690),'Data'!N1690*100,"")</x:f>
        <x:v>65.71</x:v>
      </x:c>
      <x:c r="I3398" s="35" t="str">
        <x:v>PASS</x:v>
      </x:c>
      <x:c r="J3398" s="35" t="str">
        <x:v>PASS</x:v>
      </x:c>
      <x:c r="K3398" s="35" t="str">
        <x:v>PASS</x:v>
      </x:c>
      <x:c r="L3398" s="35" t="str">
        <x:v>FAIL</x:v>
      </x:c>
      <x:c r="M3398" s="35" t="str">
        <x:v>numeric coverage for applicable metric</x:v>
      </x:c>
      <x:c r="N3398" s="35" t="str">
        <x:v>Deepseek-flash-v4/Result2/Time_15/result.json</x:v>
      </x:c>
      <x:c r="O3398" s="39" t="n">
        <x:f>IF(AND(G3398="RECORDED",ISNUMBER(H3398)),H3398,"")</x:f>
        <x:v>65.71</x:v>
      </x:c>
      <x:c r="P3398" s="35" t="str">
        <x:v>INCONCLUSIVE</x:v>
      </x:c>
      <x:c r="Q3398" s="35" t="str">
        <x:v>Deepseek-flash-v4/Result2/Time_15/result.json</x:v>
      </x:c>
    </x:row>
    <x:row r="3399">
      <x:c r="A3399" s="35" t="str">
        <x:v>deepseek</x:v>
      </x:c>
      <x:c r="B3399" s="35" t="str">
        <x:v>Time</x:v>
      </x:c>
      <x:c r="C3399" s="35" t="str">
        <x:v>Round2</x:v>
      </x:c>
      <x:c r="D3399" s="35" t="str">
        <x:v>Time_16</x:v>
      </x:c>
      <x:c r="E3399" s="35" t="str">
        <x:v>Condition</x:v>
      </x:c>
      <x:c r="F3399" s="35" t="n">
        <x:v>88</x:v>
      </x:c>
      <x:c r="G3399" s="35" t="str">
        <x:v>RECORDED</x:v>
      </x:c>
      <x:c r="H3399" s="39" t="n">
        <x:f>IF(ISNUMBER('Data'!N1691),'Data'!N1691*100,"")</x:f>
        <x:v>56.82000000000001</x:v>
      </x:c>
      <x:c r="I3399" s="35" t="str">
        <x:v>PASS</x:v>
      </x:c>
      <x:c r="J3399" s="35" t="str">
        <x:v>PASS</x:v>
      </x:c>
      <x:c r="K3399" s="35" t="str">
        <x:v>PASS</x:v>
      </x:c>
      <x:c r="L3399" s="35" t="str">
        <x:v>FAIL</x:v>
      </x:c>
      <x:c r="M3399" s="35" t="str">
        <x:v>numeric coverage for applicable metric</x:v>
      </x:c>
      <x:c r="N3399" s="35" t="str">
        <x:v>Deepseek-flash-v4/Result2/Time_16/result.json</x:v>
      </x:c>
      <x:c r="O3399" s="39" t="n">
        <x:f>IF(AND(G3399="RECORDED",ISNUMBER(H3399)),H3399,"")</x:f>
        <x:v>56.82000000000001</x:v>
      </x:c>
      <x:c r="P3399" s="35" t="str">
        <x:v>INCONCLUSIVE</x:v>
      </x:c>
      <x:c r="Q3399" s="35" t="str">
        <x:v>Deepseek-flash-v4/Result2/Time_16/result.json</x:v>
      </x:c>
    </x:row>
    <x:row r="3400">
      <x:c r="A3400" s="35" t="str">
        <x:v>deepseek</x:v>
      </x:c>
      <x:c r="B3400" s="35" t="str">
        <x:v>Time</x:v>
      </x:c>
      <x:c r="C3400" s="35" t="str">
        <x:v>Round2</x:v>
      </x:c>
      <x:c r="D3400" s="35" t="str">
        <x:v>Time_17</x:v>
      </x:c>
      <x:c r="E3400" s="35" t="str">
        <x:v>Condition</x:v>
      </x:c>
      <x:c r="F3400" s="35" t="n">
        <x:v>162</x:v>
      </x:c>
      <x:c r="G3400" s="35" t="str">
        <x:v>RECORDED</x:v>
      </x:c>
      <x:c r="H3400" s="39" t="n">
        <x:f>IF(ISNUMBER('Data'!N1692),'Data'!N1692*100,"")</x:f>
        <x:v>50</x:v>
      </x:c>
      <x:c r="I3400" s="35" t="str">
        <x:v>PASS</x:v>
      </x:c>
      <x:c r="J3400" s="35" t="str">
        <x:v>PASS</x:v>
      </x:c>
      <x:c r="K3400" s="35" t="str">
        <x:v>PASS</x:v>
      </x:c>
      <x:c r="L3400" s="35" t="str">
        <x:v>FAIL</x:v>
      </x:c>
      <x:c r="M3400" s="35" t="str">
        <x:v>numeric coverage for applicable metric</x:v>
      </x:c>
      <x:c r="N3400" s="35" t="str">
        <x:v>Deepseek-flash-v4/Result2/Time_17/result.json</x:v>
      </x:c>
      <x:c r="O3400" s="39" t="n">
        <x:f>IF(AND(G3400="RECORDED",ISNUMBER(H3400)),H3400,"")</x:f>
        <x:v>50</x:v>
      </x:c>
      <x:c r="P3400" s="35" t="str">
        <x:v>INCONCLUSIVE</x:v>
      </x:c>
      <x:c r="Q3400" s="35" t="str">
        <x:v>Deepseek-flash-v4/Result2/Time_17/result.json</x:v>
      </x:c>
    </x:row>
    <x:row r="3401">
      <x:c r="A3401" s="35" t="str">
        <x:v>deepseek</x:v>
      </x:c>
      <x:c r="B3401" s="35" t="str">
        <x:v>Time</x:v>
      </x:c>
      <x:c r="C3401" s="35" t="str">
        <x:v>Round2</x:v>
      </x:c>
      <x:c r="D3401" s="35" t="str">
        <x:v>Time_18</x:v>
      </x:c>
      <x:c r="E3401" s="35" t="str">
        <x:v>Condition</x:v>
      </x:c>
      <x:c r="F3401" s="35" t="n">
        <x:v>152</x:v>
      </x:c>
      <x:c r="G3401" s="35" t="str">
        <x:v>RECORDED</x:v>
      </x:c>
      <x:c r="H3401" s="39" t="n">
        <x:f>IF(ISNUMBER('Data'!N1693),'Data'!N1693*100,"")</x:f>
        <x:v>29.609999999999996</x:v>
      </x:c>
      <x:c r="I3401" s="35" t="str">
        <x:v>PASS</x:v>
      </x:c>
      <x:c r="J3401" s="35" t="str">
        <x:v>PASS</x:v>
      </x:c>
      <x:c r="K3401" s="35" t="str">
        <x:v>PASS</x:v>
      </x:c>
      <x:c r="L3401" s="35" t="str">
        <x:v>FAIL</x:v>
      </x:c>
      <x:c r="M3401" s="35" t="str">
        <x:v>numeric coverage for applicable metric</x:v>
      </x:c>
      <x:c r="N3401" s="35" t="str">
        <x:v>Deepseek-flash-v4/Result2/Time_18/result.json</x:v>
      </x:c>
      <x:c r="O3401" s="39" t="n">
        <x:f>IF(AND(G3401="RECORDED",ISNUMBER(H3401)),H3401,"")</x:f>
        <x:v>29.609999999999996</x:v>
      </x:c>
      <x:c r="P3401" s="35" t="str">
        <x:v>INCONCLUSIVE</x:v>
      </x:c>
      <x:c r="Q3401" s="35" t="str">
        <x:v>Deepseek-flash-v4/Result2/Time_18/result.json</x:v>
      </x:c>
    </x:row>
    <x:row r="3402">
      <x:c r="A3402" s="35" t="str">
        <x:v>deepseek</x:v>
      </x:c>
      <x:c r="B3402" s="35" t="str">
        <x:v>Time</x:v>
      </x:c>
      <x:c r="C3402" s="35" t="str">
        <x:v>Round2</x:v>
      </x:c>
      <x:c r="D3402" s="35" t="str">
        <x:v>Time_19</x:v>
      </x:c>
      <x:c r="E3402" s="35" t="str">
        <x:v>Condition</x:v>
      </x:c>
      <x:c r="F3402" s="35"/>
      <x:c r="G3402" s="35" t="str">
        <x:v>A</x:v>
      </x:c>
      <x:c r="H3402" s="39" t="str">
        <x:f>IF(ISNUMBER('Data'!N1694),'Data'!N1694*100,"")</x:f>
      </x:c>
      <x:c r="I3402" s="35"/>
      <x:c r="J3402" s="35" t="str">
        <x:v>PASS</x:v>
      </x:c>
      <x:c r="K3402" s="35" t="str">
        <x:v>FAIL</x:v>
      </x:c>
      <x:c r="L3402" s="35" t="str">
        <x:v>NOT_RUN</x:v>
      </x:c>
      <x:c r="M3402" s="35" t="str">
        <x:v>coverage unavailable or execution/compile failed</x:v>
      </x:c>
      <x:c r="N3402" s="35" t="str">
        <x:v>Deepseek-flash-v4/Result2/Time_19/result.json</x:v>
      </x:c>
      <x:c r="O3402" s="39" t="str">
        <x:f>IF(AND(G3402="RECORDED",ISNUMBER(H3402)),H3402,"")</x:f>
      </x:c>
      <x:c r="P3402" s="35" t="str">
        <x:v>NOT_AVAILABLE</x:v>
      </x:c>
      <x:c r="Q3402" s="35" t="str">
        <x:v>Deepseek-flash-v4/Result2/Time_19/result.json</x:v>
      </x:c>
    </x:row>
    <x:row r="3403">
      <x:c r="A3403" s="35" t="str">
        <x:v>deepseek</x:v>
      </x:c>
      <x:c r="B3403" s="35" t="str">
        <x:v>Time</x:v>
      </x:c>
      <x:c r="C3403" s="35" t="str">
        <x:v>Round2</x:v>
      </x:c>
      <x:c r="D3403" s="35" t="str">
        <x:v>Time_2</x:v>
      </x:c>
      <x:c r="E3403" s="35" t="str">
        <x:v>Condition</x:v>
      </x:c>
      <x:c r="F3403" s="35"/>
      <x:c r="G3403" s="35" t="str">
        <x:v>A</x:v>
      </x:c>
      <x:c r="H3403" s="39" t="str">
        <x:f>IF(ISNUMBER('Data'!N1695),'Data'!N1695*100,"")</x:f>
      </x:c>
      <x:c r="I3403" s="35"/>
      <x:c r="J3403" s="35" t="str">
        <x:v>PASS</x:v>
      </x:c>
      <x:c r="K3403" s="35" t="str">
        <x:v>FAIL</x:v>
      </x:c>
      <x:c r="L3403" s="35" t="str">
        <x:v>NOT_RUN</x:v>
      </x:c>
      <x:c r="M3403" s="35" t="str">
        <x:v>coverage unavailable or execution/compile failed</x:v>
      </x:c>
      <x:c r="N3403" s="35" t="str">
        <x:v>Deepseek-flash-v4/Result2/Time_2/result.json</x:v>
      </x:c>
      <x:c r="O3403" s="39" t="str">
        <x:f>IF(AND(G3403="RECORDED",ISNUMBER(H3403)),H3403,"")</x:f>
      </x:c>
      <x:c r="P3403" s="35" t="str">
        <x:v>NOT_AVAILABLE</x:v>
      </x:c>
      <x:c r="Q3403" s="35" t="str">
        <x:v>Deepseek-flash-v4/Result2/Time_2/result.json</x:v>
      </x:c>
    </x:row>
    <x:row r="3404">
      <x:c r="A3404" s="35" t="str">
        <x:v>deepseek</x:v>
      </x:c>
      <x:c r="B3404" s="35" t="str">
        <x:v>Time</x:v>
      </x:c>
      <x:c r="C3404" s="35" t="str">
        <x:v>Round2</x:v>
      </x:c>
      <x:c r="D3404" s="35" t="str">
        <x:v>Time_20</x:v>
      </x:c>
      <x:c r="E3404" s="35" t="str">
        <x:v>Condition</x:v>
      </x:c>
      <x:c r="F3404" s="35" t="n">
        <x:v>589</x:v>
      </x:c>
      <x:c r="G3404" s="35" t="str">
        <x:v>RECORDED</x:v>
      </x:c>
      <x:c r="H3404" s="39" t="n">
        <x:f>IF(ISNUMBER('Data'!N1696),'Data'!N1696*100,"")</x:f>
        <x:v>12.9</x:v>
      </x:c>
      <x:c r="I3404" s="35" t="str">
        <x:v>PASS</x:v>
      </x:c>
      <x:c r="J3404" s="35" t="str">
        <x:v>PASS</x:v>
      </x:c>
      <x:c r="K3404" s="35" t="str">
        <x:v>PASS</x:v>
      </x:c>
      <x:c r="L3404" s="35" t="str">
        <x:v>FAIL</x:v>
      </x:c>
      <x:c r="M3404" s="35" t="str">
        <x:v>numeric coverage for applicable metric</x:v>
      </x:c>
      <x:c r="N3404" s="35" t="str">
        <x:v>Deepseek-flash-v4/Result2/Time_20/result.json</x:v>
      </x:c>
      <x:c r="O3404" s="39" t="n">
        <x:f>IF(AND(G3404="RECORDED",ISNUMBER(H3404)),H3404,"")</x:f>
        <x:v>12.9</x:v>
      </x:c>
      <x:c r="P3404" s="35" t="str">
        <x:v>INCONCLUSIVE</x:v>
      </x:c>
      <x:c r="Q3404" s="35" t="str">
        <x:v>Deepseek-flash-v4/Result2/Time_20/result.json</x:v>
      </x:c>
    </x:row>
    <x:row r="3405">
      <x:c r="A3405" s="35" t="str">
        <x:v>deepseek</x:v>
      </x:c>
      <x:c r="B3405" s="35" t="str">
        <x:v>Time</x:v>
      </x:c>
      <x:c r="C3405" s="35" t="str">
        <x:v>Round2</x:v>
      </x:c>
      <x:c r="D3405" s="35" t="str">
        <x:v>Time_22</x:v>
      </x:c>
      <x:c r="E3405" s="35" t="str">
        <x:v>Condition</x:v>
      </x:c>
      <x:c r="F3405" s="35" t="n">
        <x:v>58</x:v>
      </x:c>
      <x:c r="G3405" s="35" t="str">
        <x:v>RECORDED</x:v>
      </x:c>
      <x:c r="H3405" s="39" t="n">
        <x:f>IF(ISNUMBER('Data'!N1697),'Data'!N1697*100,"")</x:f>
        <x:v>39.66</x:v>
      </x:c>
      <x:c r="I3405" s="35" t="str">
        <x:v>PASS</x:v>
      </x:c>
      <x:c r="J3405" s="35" t="str">
        <x:v>PASS</x:v>
      </x:c>
      <x:c r="K3405" s="35" t="str">
        <x:v>PASS</x:v>
      </x:c>
      <x:c r="L3405" s="35" t="str">
        <x:v>FAIL</x:v>
      </x:c>
      <x:c r="M3405" s="35" t="str">
        <x:v>numeric coverage for applicable metric</x:v>
      </x:c>
      <x:c r="N3405" s="35" t="str">
        <x:v>Deepseek-flash-v4/Result2/Time_22/result.json</x:v>
      </x:c>
      <x:c r="O3405" s="39" t="n">
        <x:f>IF(AND(G3405="RECORDED",ISNUMBER(H3405)),H3405,"")</x:f>
        <x:v>39.66</x:v>
      </x:c>
      <x:c r="P3405" s="35" t="str">
        <x:v>INCONCLUSIVE</x:v>
      </x:c>
      <x:c r="Q3405" s="35" t="str">
        <x:v>Deepseek-flash-v4/Result2/Time_22/result.json</x:v>
      </x:c>
    </x:row>
    <x:row r="3406">
      <x:c r="A3406" s="35" t="str">
        <x:v>deepseek</x:v>
      </x:c>
      <x:c r="B3406" s="35" t="str">
        <x:v>Time</x:v>
      </x:c>
      <x:c r="C3406" s="35" t="str">
        <x:v>Round2</x:v>
      </x:c>
      <x:c r="D3406" s="35" t="str">
        <x:v>Time_23</x:v>
      </x:c>
      <x:c r="E3406" s="35" t="str">
        <x:v>Condition</x:v>
      </x:c>
      <x:c r="F3406" s="35" t="n">
        <x:v>162</x:v>
      </x:c>
      <x:c r="G3406" s="35" t="str">
        <x:v>RECORDED</x:v>
      </x:c>
      <x:c r="H3406" s="39" t="n">
        <x:f>IF(ISNUMBER('Data'!N1698),'Data'!N1698*100,"")</x:f>
        <x:v>51.23</x:v>
      </x:c>
      <x:c r="I3406" s="35" t="str">
        <x:v>PASS</x:v>
      </x:c>
      <x:c r="J3406" s="35" t="str">
        <x:v>PASS</x:v>
      </x:c>
      <x:c r="K3406" s="35" t="str">
        <x:v>PASS</x:v>
      </x:c>
      <x:c r="L3406" s="35" t="str">
        <x:v>FAIL</x:v>
      </x:c>
      <x:c r="M3406" s="35" t="str">
        <x:v>numeric coverage for applicable metric</x:v>
      </x:c>
      <x:c r="N3406" s="35" t="str">
        <x:v>Deepseek-flash-v4/Result2/Time_23/result.json</x:v>
      </x:c>
      <x:c r="O3406" s="39" t="n">
        <x:f>IF(AND(G3406="RECORDED",ISNUMBER(H3406)),H3406,"")</x:f>
        <x:v>51.23</x:v>
      </x:c>
      <x:c r="P3406" s="35" t="str">
        <x:v>INCONCLUSIVE</x:v>
      </x:c>
      <x:c r="Q3406" s="35" t="str">
        <x:v>Deepseek-flash-v4/Result2/Time_23/result.json</x:v>
      </x:c>
    </x:row>
    <x:row r="3407">
      <x:c r="A3407" s="35" t="str">
        <x:v>deepseek</x:v>
      </x:c>
      <x:c r="B3407" s="35" t="str">
        <x:v>Time</x:v>
      </x:c>
      <x:c r="C3407" s="35" t="str">
        <x:v>Round2</x:v>
      </x:c>
      <x:c r="D3407" s="35" t="str">
        <x:v>Time_24</x:v>
      </x:c>
      <x:c r="E3407" s="35" t="str">
        <x:v>Condition</x:v>
      </x:c>
      <x:c r="F3407" s="35"/>
      <x:c r="G3407" s="35" t="str">
        <x:v>A</x:v>
      </x:c>
      <x:c r="H3407" s="39" t="str">
        <x:f>IF(ISNUMBER('Data'!N1699),'Data'!N1699*100,"")</x:f>
      </x:c>
      <x:c r="I3407" s="35"/>
      <x:c r="J3407" s="35" t="str">
        <x:v>PASS</x:v>
      </x:c>
      <x:c r="K3407" s="35" t="str">
        <x:v>FAIL</x:v>
      </x:c>
      <x:c r="L3407" s="35" t="str">
        <x:v>NOT_RUN</x:v>
      </x:c>
      <x:c r="M3407" s="35" t="str">
        <x:v>coverage unavailable or execution/compile failed</x:v>
      </x:c>
      <x:c r="N3407" s="35" t="str">
        <x:v>Deepseek-flash-v4/Result2/Time_24/result.json</x:v>
      </x:c>
      <x:c r="O3407" s="39" t="str">
        <x:f>IF(AND(G3407="RECORDED",ISNUMBER(H3407)),H3407,"")</x:f>
      </x:c>
      <x:c r="P3407" s="35" t="str">
        <x:v>NOT_AVAILABLE</x:v>
      </x:c>
      <x:c r="Q3407" s="35" t="str">
        <x:v>Deepseek-flash-v4/Result2/Time_24/result.json</x:v>
      </x:c>
    </x:row>
    <x:row r="3408">
      <x:c r="A3408" s="35" t="str">
        <x:v>deepseek</x:v>
      </x:c>
      <x:c r="B3408" s="35" t="str">
        <x:v>Time</x:v>
      </x:c>
      <x:c r="C3408" s="35" t="str">
        <x:v>Round2</x:v>
      </x:c>
      <x:c r="D3408" s="35" t="str">
        <x:v>Time_25</x:v>
      </x:c>
      <x:c r="E3408" s="35" t="str">
        <x:v>Condition</x:v>
      </x:c>
      <x:c r="F3408" s="35" t="n">
        <x:v>152</x:v>
      </x:c>
      <x:c r="G3408" s="35" t="str">
        <x:v>RECORDED</x:v>
      </x:c>
      <x:c r="H3408" s="39" t="n">
        <x:f>IF(ISNUMBER('Data'!N1700),'Data'!N1700*100,"")</x:f>
        <x:v>53.290000000000006</x:v>
      </x:c>
      <x:c r="I3408" s="35" t="str">
        <x:v>PASS</x:v>
      </x:c>
      <x:c r="J3408" s="35" t="str">
        <x:v>PASS</x:v>
      </x:c>
      <x:c r="K3408" s="35" t="str">
        <x:v>PASS</x:v>
      </x:c>
      <x:c r="L3408" s="35" t="str">
        <x:v>FAIL</x:v>
      </x:c>
      <x:c r="M3408" s="35" t="str">
        <x:v>numeric coverage for applicable metric</x:v>
      </x:c>
      <x:c r="N3408" s="35" t="str">
        <x:v>Deepseek-flash-v4/Result2/Time_25/result.json</x:v>
      </x:c>
      <x:c r="O3408" s="39" t="n">
        <x:f>IF(AND(G3408="RECORDED",ISNUMBER(H3408)),H3408,"")</x:f>
        <x:v>53.290000000000006</x:v>
      </x:c>
      <x:c r="P3408" s="35" t="str">
        <x:v>INCONCLUSIVE</x:v>
      </x:c>
      <x:c r="Q3408" s="35" t="str">
        <x:v>Deepseek-flash-v4/Result2/Time_25/result.json</x:v>
      </x:c>
    </x:row>
    <x:row r="3409">
      <x:c r="A3409" s="35" t="str">
        <x:v>deepseek</x:v>
      </x:c>
      <x:c r="B3409" s="35" t="str">
        <x:v>Time</x:v>
      </x:c>
      <x:c r="C3409" s="35" t="str">
        <x:v>Round2</x:v>
      </x:c>
      <x:c r="D3409" s="35" t="str">
        <x:v>Time_26</x:v>
      </x:c>
      <x:c r="E3409" s="35" t="str">
        <x:v>Condition</x:v>
      </x:c>
      <x:c r="F3409" s="35" t="n">
        <x:v>240</x:v>
      </x:c>
      <x:c r="G3409" s="35" t="str">
        <x:v>RECORDED</x:v>
      </x:c>
      <x:c r="H3409" s="39" t="n">
        <x:f>IF(ISNUMBER('Data'!N1701),'Data'!N1701*100,"")</x:f>
        <x:v>60</x:v>
      </x:c>
      <x:c r="I3409" s="35" t="str">
        <x:v>PASS</x:v>
      </x:c>
      <x:c r="J3409" s="35" t="str">
        <x:v>PASS</x:v>
      </x:c>
      <x:c r="K3409" s="35" t="str">
        <x:v>PASS</x:v>
      </x:c>
      <x:c r="L3409" s="35" t="str">
        <x:v>FAIL</x:v>
      </x:c>
      <x:c r="M3409" s="35" t="str">
        <x:v>numeric coverage for applicable metric</x:v>
      </x:c>
      <x:c r="N3409" s="35" t="str">
        <x:v>Deepseek-flash-v4/Result2/Time_26/result.json</x:v>
      </x:c>
      <x:c r="O3409" s="39" t="n">
        <x:f>IF(AND(G3409="RECORDED",ISNUMBER(H3409)),H3409,"")</x:f>
        <x:v>60</x:v>
      </x:c>
      <x:c r="P3409" s="35" t="str">
        <x:v>INCONCLUSIVE</x:v>
      </x:c>
      <x:c r="Q3409" s="35" t="str">
        <x:v>Deepseek-flash-v4/Result2/Time_26/result.json</x:v>
      </x:c>
    </x:row>
    <x:row r="3410">
      <x:c r="A3410" s="35" t="str">
        <x:v>deepseek</x:v>
      </x:c>
      <x:c r="B3410" s="35" t="str">
        <x:v>Time</x:v>
      </x:c>
      <x:c r="C3410" s="35" t="str">
        <x:v>Round2</x:v>
      </x:c>
      <x:c r="D3410" s="35" t="str">
        <x:v>Time_27</x:v>
      </x:c>
      <x:c r="E3410" s="35" t="str">
        <x:v>Condition</x:v>
      </x:c>
      <x:c r="F3410" s="35" t="n">
        <x:v>446</x:v>
      </x:c>
      <x:c r="G3410" s="35" t="str">
        <x:v>RECORDED</x:v>
      </x:c>
      <x:c r="H3410" s="39" t="n">
        <x:f>IF(ISNUMBER('Data'!N1702),'Data'!N1702*100,"")</x:f>
        <x:v>19.73</x:v>
      </x:c>
      <x:c r="I3410" s="35" t="str">
        <x:v>PASS</x:v>
      </x:c>
      <x:c r="J3410" s="35" t="str">
        <x:v>PASS</x:v>
      </x:c>
      <x:c r="K3410" s="35" t="str">
        <x:v>PASS</x:v>
      </x:c>
      <x:c r="L3410" s="35" t="str">
        <x:v>FAIL</x:v>
      </x:c>
      <x:c r="M3410" s="35" t="str">
        <x:v>numeric coverage for applicable metric</x:v>
      </x:c>
      <x:c r="N3410" s="35" t="str">
        <x:v>Deepseek-flash-v4/Result2/Time_27/result.json</x:v>
      </x:c>
      <x:c r="O3410" s="39" t="n">
        <x:f>IF(AND(G3410="RECORDED",ISNUMBER(H3410)),H3410,"")</x:f>
        <x:v>19.73</x:v>
      </x:c>
      <x:c r="P3410" s="35" t="str">
        <x:v>INCONCLUSIVE</x:v>
      </x:c>
      <x:c r="Q3410" s="35" t="str">
        <x:v>Deepseek-flash-v4/Result2/Time_27/result.json</x:v>
      </x:c>
    </x:row>
    <x:row r="3411">
      <x:c r="A3411" s="35" t="str">
        <x:v>deepseek</x:v>
      </x:c>
      <x:c r="B3411" s="35" t="str">
        <x:v>Time</x:v>
      </x:c>
      <x:c r="C3411" s="35" t="str">
        <x:v>Round2</x:v>
      </x:c>
      <x:c r="D3411" s="35" t="str">
        <x:v>Time_3</x:v>
      </x:c>
      <x:c r="E3411" s="35" t="str">
        <x:v>Condition</x:v>
      </x:c>
      <x:c r="F3411" s="35"/>
      <x:c r="G3411" s="35" t="str">
        <x:v>A</x:v>
      </x:c>
      <x:c r="H3411" s="39" t="str">
        <x:f>IF(ISNUMBER('Data'!N1703),'Data'!N1703*100,"")</x:f>
      </x:c>
      <x:c r="I3411" s="35"/>
      <x:c r="J3411" s="35" t="str">
        <x:v>PASS</x:v>
      </x:c>
      <x:c r="K3411" s="35" t="str">
        <x:v>FAIL</x:v>
      </x:c>
      <x:c r="L3411" s="35" t="str">
        <x:v>NOT_RUN</x:v>
      </x:c>
      <x:c r="M3411" s="35" t="str">
        <x:v>coverage unavailable or execution/compile failed</x:v>
      </x:c>
      <x:c r="N3411" s="35" t="str">
        <x:v>Deepseek-flash-v4/Result2/Time_3/result.json</x:v>
      </x:c>
      <x:c r="O3411" s="39" t="str">
        <x:f>IF(AND(G3411="RECORDED",ISNUMBER(H3411)),H3411,"")</x:f>
      </x:c>
      <x:c r="P3411" s="35" t="str">
        <x:v>NOT_AVAILABLE</x:v>
      </x:c>
      <x:c r="Q3411" s="35" t="str">
        <x:v>Deepseek-flash-v4/Result2/Time_3/result.json</x:v>
      </x:c>
    </x:row>
    <x:row r="3412">
      <x:c r="A3412" s="35" t="str">
        <x:v>deepseek</x:v>
      </x:c>
      <x:c r="B3412" s="35" t="str">
        <x:v>Time</x:v>
      </x:c>
      <x:c r="C3412" s="35" t="str">
        <x:v>Round2</x:v>
      </x:c>
      <x:c r="D3412" s="35" t="str">
        <x:v>Time_4</x:v>
      </x:c>
      <x:c r="E3412" s="35" t="str">
        <x:v>Condition</x:v>
      </x:c>
      <x:c r="F3412" s="35" t="n">
        <x:v>106</x:v>
      </x:c>
      <x:c r="G3412" s="35" t="str">
        <x:v>RECORDED</x:v>
      </x:c>
      <x:c r="H3412" s="39" t="n">
        <x:f>IF(ISNUMBER('Data'!N1704),'Data'!N1704*100,"")</x:f>
        <x:v>69.81</x:v>
      </x:c>
      <x:c r="I3412" s="35" t="str">
        <x:v>PASS</x:v>
      </x:c>
      <x:c r="J3412" s="35" t="str">
        <x:v>PASS</x:v>
      </x:c>
      <x:c r="K3412" s="35" t="str">
        <x:v>PASS</x:v>
      </x:c>
      <x:c r="L3412" s="35" t="str">
        <x:v>PASS</x:v>
      </x:c>
      <x:c r="M3412" s="35" t="str">
        <x:v>numeric coverage for applicable metric</x:v>
      </x:c>
      <x:c r="N3412" s="35" t="str">
        <x:v>Deepseek-flash-v4/Result2/Time_4/result.json</x:v>
      </x:c>
      <x:c r="O3412" s="39" t="n">
        <x:f>IF(AND(G3412="RECORDED",ISNUMBER(H3412)),H3412,"")</x:f>
        <x:v>69.81</x:v>
      </x:c>
      <x:c r="P3412" s="35" t="str">
        <x:v>NOT_REVEALING</x:v>
      </x:c>
      <x:c r="Q3412" s="35" t="str">
        <x:v>Deepseek-flash-v4/Result2/Time_4/result.json</x:v>
      </x:c>
    </x:row>
    <x:row r="3413">
      <x:c r="A3413" s="35" t="str">
        <x:v>deepseek</x:v>
      </x:c>
      <x:c r="B3413" s="35" t="str">
        <x:v>Time</x:v>
      </x:c>
      <x:c r="C3413" s="35" t="str">
        <x:v>Round2</x:v>
      </x:c>
      <x:c r="D3413" s="35" t="str">
        <x:v>Time_5</x:v>
      </x:c>
      <x:c r="E3413" s="35" t="str">
        <x:v>Condition</x:v>
      </x:c>
      <x:c r="F3413" s="35" t="n">
        <x:v>62</x:v>
      </x:c>
      <x:c r="G3413" s="35" t="str">
        <x:v>RECORDED</x:v>
      </x:c>
      <x:c r="H3413" s="39" t="n">
        <x:f>IF(ISNUMBER('Data'!N1705),'Data'!N1705*100,"")</x:f>
        <x:v>88.71</x:v>
      </x:c>
      <x:c r="I3413" s="35" t="str">
        <x:v>PASS</x:v>
      </x:c>
      <x:c r="J3413" s="35" t="str">
        <x:v>PASS</x:v>
      </x:c>
      <x:c r="K3413" s="35" t="str">
        <x:v>PASS</x:v>
      </x:c>
      <x:c r="L3413" s="35" t="str">
        <x:v>PASS</x:v>
      </x:c>
      <x:c r="M3413" s="35" t="str">
        <x:v>numeric coverage for applicable metric</x:v>
      </x:c>
      <x:c r="N3413" s="35" t="str">
        <x:v>Deepseek-flash-v4/Result2/Time_5/result.json</x:v>
      </x:c>
      <x:c r="O3413" s="39" t="n">
        <x:f>IF(AND(G3413="RECORDED",ISNUMBER(H3413)),H3413,"")</x:f>
        <x:v>88.71</x:v>
      </x:c>
      <x:c r="P3413" s="35" t="str">
        <x:v>NOT_REVEALING</x:v>
      </x:c>
      <x:c r="Q3413" s="35" t="str">
        <x:v>Deepseek-flash-v4/Result2/Time_5/result.json</x:v>
      </x:c>
    </x:row>
    <x:row r="3414">
      <x:c r="A3414" s="35" t="str">
        <x:v>deepseek</x:v>
      </x:c>
      <x:c r="B3414" s="35" t="str">
        <x:v>Time</x:v>
      </x:c>
      <x:c r="C3414" s="35" t="str">
        <x:v>Round2</x:v>
      </x:c>
      <x:c r="D3414" s="35" t="str">
        <x:v>Time_6</x:v>
      </x:c>
      <x:c r="E3414" s="35" t="str">
        <x:v>Condition</x:v>
      </x:c>
      <x:c r="F3414" s="35" t="n">
        <x:v>168</x:v>
      </x:c>
      <x:c r="G3414" s="35" t="str">
        <x:v>RECORDED</x:v>
      </x:c>
      <x:c r="H3414" s="39" t="n">
        <x:f>IF(ISNUMBER('Data'!N1706),'Data'!N1706*100,"")</x:f>
        <x:v>27.38</x:v>
      </x:c>
      <x:c r="I3414" s="35" t="str">
        <x:v>PASS</x:v>
      </x:c>
      <x:c r="J3414" s="35" t="str">
        <x:v>PASS</x:v>
      </x:c>
      <x:c r="K3414" s="35" t="str">
        <x:v>PASS</x:v>
      </x:c>
      <x:c r="L3414" s="35" t="str">
        <x:v>PASS</x:v>
      </x:c>
      <x:c r="M3414" s="35" t="str">
        <x:v>numeric coverage for applicable metric</x:v>
      </x:c>
      <x:c r="N3414" s="35" t="str">
        <x:v>Deepseek-flash-v4/Result2/Time_6/result.json</x:v>
      </x:c>
      <x:c r="O3414" s="39" t="n">
        <x:f>IF(AND(G3414="RECORDED",ISNUMBER(H3414)),H3414,"")</x:f>
        <x:v>27.38</x:v>
      </x:c>
      <x:c r="P3414" s="35" t="str">
        <x:v>NOT_REVEALING</x:v>
      </x:c>
      <x:c r="Q3414" s="35" t="str">
        <x:v>Deepseek-flash-v4/Result2/Time_6/result.json</x:v>
      </x:c>
    </x:row>
    <x:row r="3415">
      <x:c r="A3415" s="35" t="str">
        <x:v>deepseek</x:v>
      </x:c>
      <x:c r="B3415" s="35" t="str">
        <x:v>Time</x:v>
      </x:c>
      <x:c r="C3415" s="35" t="str">
        <x:v>Round2</x:v>
      </x:c>
      <x:c r="D3415" s="35" t="str">
        <x:v>Time_7</x:v>
      </x:c>
      <x:c r="E3415" s="35" t="str">
        <x:v>Condition</x:v>
      </x:c>
      <x:c r="F3415" s="35"/>
      <x:c r="G3415" s="35" t="str">
        <x:v>A</x:v>
      </x:c>
      <x:c r="H3415" s="39" t="str">
        <x:f>IF(ISNUMBER('Data'!N1707),'Data'!N1707*100,"")</x:f>
      </x:c>
      <x:c r="I3415" s="35"/>
      <x:c r="J3415" s="35" t="str">
        <x:v>PASS</x:v>
      </x:c>
      <x:c r="K3415" s="35" t="str">
        <x:v>FAIL</x:v>
      </x:c>
      <x:c r="L3415" s="35" t="str">
        <x:v>NOT_RUN</x:v>
      </x:c>
      <x:c r="M3415" s="35" t="str">
        <x:v>coverage unavailable or execution/compile failed</x:v>
      </x:c>
      <x:c r="N3415" s="35" t="str">
        <x:v>Deepseek-flash-v4/Result2/Time_7/result.json</x:v>
      </x:c>
      <x:c r="O3415" s="39" t="str">
        <x:f>IF(AND(G3415="RECORDED",ISNUMBER(H3415)),H3415,"")</x:f>
      </x:c>
      <x:c r="P3415" s="35" t="str">
        <x:v>NOT_AVAILABLE</x:v>
      </x:c>
      <x:c r="Q3415" s="35" t="str">
        <x:v>Deepseek-flash-v4/Result2/Time_7/result.json</x:v>
      </x:c>
    </x:row>
    <x:row r="3416">
      <x:c r="A3416" s="35" t="str">
        <x:v>deepseek</x:v>
      </x:c>
      <x:c r="B3416" s="35" t="str">
        <x:v>Time</x:v>
      </x:c>
      <x:c r="C3416" s="35" t="str">
        <x:v>Round2</x:v>
      </x:c>
      <x:c r="D3416" s="35" t="str">
        <x:v>Time_8</x:v>
      </x:c>
      <x:c r="E3416" s="35" t="str">
        <x:v>Condition</x:v>
      </x:c>
      <x:c r="F3416" s="35" t="n">
        <x:v>178</x:v>
      </x:c>
      <x:c r="G3416" s="35" t="str">
        <x:v>RECORDED</x:v>
      </x:c>
      <x:c r="H3416" s="39" t="n">
        <x:f>IF(ISNUMBER('Data'!N1708),'Data'!N1708*100,"")</x:f>
        <x:v>51.12</x:v>
      </x:c>
      <x:c r="I3416" s="35" t="str">
        <x:v>PASS</x:v>
      </x:c>
      <x:c r="J3416" s="35" t="str">
        <x:v>PASS</x:v>
      </x:c>
      <x:c r="K3416" s="35" t="str">
        <x:v>PASS</x:v>
      </x:c>
      <x:c r="L3416" s="35" t="str">
        <x:v>PASS</x:v>
      </x:c>
      <x:c r="M3416" s="35" t="str">
        <x:v>numeric coverage for applicable metric</x:v>
      </x:c>
      <x:c r="N3416" s="35" t="str">
        <x:v>Deepseek-flash-v4/Result2/Time_8/result.json</x:v>
      </x:c>
      <x:c r="O3416" s="39" t="n">
        <x:f>IF(AND(G3416="RECORDED",ISNUMBER(H3416)),H3416,"")</x:f>
        <x:v>51.12</x:v>
      </x:c>
      <x:c r="P3416" s="35" t="str">
        <x:v>NOT_REVEALING</x:v>
      </x:c>
      <x:c r="Q3416" s="35" t="str">
        <x:v>Deepseek-flash-v4/Result2/Time_8/result.json</x:v>
      </x:c>
    </x:row>
    <x:row r="3417">
      <x:c r="A3417" s="35" t="str">
        <x:v>deepseek</x:v>
      </x:c>
      <x:c r="B3417" s="35" t="str">
        <x:v>Time</x:v>
      </x:c>
      <x:c r="C3417" s="35" t="str">
        <x:v>Round2</x:v>
      </x:c>
      <x:c r="D3417" s="35" t="str">
        <x:v>Time_9</x:v>
      </x:c>
      <x:c r="E3417" s="35" t="str">
        <x:v>Condition</x:v>
      </x:c>
      <x:c r="F3417" s="35"/>
      <x:c r="G3417" s="35" t="str">
        <x:v>A</x:v>
      </x:c>
      <x:c r="H3417" s="39" t="str">
        <x:f>IF(ISNUMBER('Data'!N1709),'Data'!N1709*100,"")</x:f>
      </x:c>
      <x:c r="I3417" s="35"/>
      <x:c r="J3417" s="35" t="str">
        <x:v>PASS</x:v>
      </x:c>
      <x:c r="K3417" s="35" t="str">
        <x:v>FAIL</x:v>
      </x:c>
      <x:c r="L3417" s="35" t="str">
        <x:v>NOT_RUN</x:v>
      </x:c>
      <x:c r="M3417" s="35" t="str">
        <x:v>coverage unavailable or execution/compile failed</x:v>
      </x:c>
      <x:c r="N3417" s="35" t="str">
        <x:v>Deepseek-flash-v4/Result2/Time_9/result.json</x:v>
      </x:c>
      <x:c r="O3417" s="39" t="str">
        <x:f>IF(AND(G3417="RECORDED",ISNUMBER(H3417)),H3417,"")</x:f>
      </x:c>
      <x:c r="P3417" s="35" t="str">
        <x:v>NOT_AVAILABLE</x:v>
      </x:c>
      <x:c r="Q3417" s="35" t="str">
        <x:v>Deepseek-flash-v4/Result2/Time_9/result.json</x:v>
      </x:c>
    </x:row>
  </x:sheetData>
  <x:pageMargins left="0.7" right="0.7" top="0.75" bottom="0.75" header="0.3" footer="0.3"/>
  <x:tableParts count="1">
    <x:tablePart xmlns:r="http://schemas.openxmlformats.org/officeDocument/2006/relationships" r:id="R6604dec1e96f493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2">
      <x:c r="B2" t="str">
        <x:v>Coverage on bugs measured by all four methods</x:v>
      </x:c>
    </x:row>
    <x:row r="3" ht="28" customHeight="1">
      <x:c r="B3" s="31" t="str">
        <x:v>All rounds: average numeric rounds per method/bug first. Same-round intersections are reported separately.</x:v>
      </x:c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4" ht="28" customHeight="1">
      <x:c r="B4" s="31" t="str">
        <x:v>Mean denominator = shared bugs for each method. Results columns count numeric rounds contributing to per-bug means.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Scope</x:v>
      </x:c>
      <x:c r="C6" s="20" t="str">
        <x:v>Metric</x:v>
      </x:c>
      <x:c r="D6" s="20" t="str">
        <x:v>Shared bugs</x:v>
      </x:c>
      <x:c r="E6" s="20" t="str">
        <x:v>GA (V2)</x:v>
      </x:c>
      <x:c r="F6" s="20" t="str">
        <x:v>FRT/Randoop</x:v>
      </x:c>
      <x:c r="G6" s="20" t="str">
        <x:v>DeepSeek</x:v>
      </x:c>
      <x:c r="H6" s="20" t="str">
        <x:v>Gemini</x:v>
      </x:c>
      <x:c r="I6" s="20" t="str">
        <x:v>GA results</x:v>
      </x:c>
      <x:c r="J6" s="20" t="str">
        <x:v>FRT results</x:v>
      </x:c>
      <x:c r="K6" s="20" t="str">
        <x:v>DeepSeek results</x:v>
      </x:c>
      <x:c r="L6" s="20" t="str">
        <x:v>Gemini results</x:v>
      </x:c>
    </x:row>
    <x:row r="7" ht="23" customHeight="1">
      <x:c r="B7" s="17" t="str">
        <x:v>All rounds</x:v>
      </x:c>
      <x:c r="C7" s="17" t="str">
        <x:v>line</x:v>
      </x:c>
      <x:c r="D7" s="17" t="n">
        <x:v>304</x:v>
      </x:c>
      <x:c r="E7" s="32" t="n">
        <x:f>AVERAGE(E17:E320)</x:f>
        <x:v>0.7165292763157897</x:v>
      </x:c>
      <x:c r="F7" s="32" t="n">
        <x:f>AVERAGE(F17:F320)</x:f>
        <x:v>0.4351220394736839</x:v>
      </x:c>
      <x:c r="G7" s="32" t="n">
        <x:f>AVERAGE(G17:G320)</x:f>
        <x:v>0.7385754934210532</x:v>
      </x:c>
      <x:c r="H7" s="32" t="n">
        <x:f>AVERAGE(H17:H320)</x:f>
        <x:v>0.5067677631578947</x:v>
      </x:c>
      <x:c r="I7" s="40" t="n">
        <x:f>SUM(I17:I320)</x:f>
        <x:v>603</x:v>
      </x:c>
      <x:c r="J7" s="40" t="n">
        <x:f>SUM(J17:J320)</x:f>
        <x:v>604</x:v>
      </x:c>
      <x:c r="K7" s="40" t="n">
        <x:f>SUM(K17:K320)</x:f>
        <x:v>474</x:v>
      </x:c>
      <x:c r="L7" s="40" t="n">
        <x:f>SUM(L17:L320)</x:f>
        <x:v>304</x:v>
      </x:c>
    </x:row>
    <x:row r="8" ht="23" customHeight="1">
      <x:c r="B8" s="17" t="str">
        <x:v>All rounds</x:v>
      </x:c>
      <x:c r="C8" s="17" t="str">
        <x:v>condition</x:v>
      </x:c>
      <x:c r="D8" s="17" t="n">
        <x:v>302</x:v>
      </x:c>
      <x:c r="E8" s="32" t="n">
        <x:f>AVERAGE(E321:E622)</x:f>
        <x:v>0.666474834437086</x:v>
      </x:c>
      <x:c r="F8" s="32" t="n">
        <x:f>AVERAGE(F321:F622)</x:f>
        <x:v>0.33689205298013264</x:v>
      </x:c>
      <x:c r="G8" s="32" t="n">
        <x:f>AVERAGE(G321:G622)</x:f>
        <x:v>0.6607890728476823</x:v>
      </x:c>
      <x:c r="H8" s="32" t="n">
        <x:f>AVERAGE(H321:H622)</x:f>
        <x:v>0.46226357615894037</x:v>
      </x:c>
      <x:c r="I8" s="40" t="n">
        <x:f>SUM(I321:I622)</x:f>
        <x:v>599</x:v>
      </x:c>
      <x:c r="J8" s="40" t="n">
        <x:f>SUM(J321:J622)</x:f>
        <x:v>600</x:v>
      </x:c>
      <x:c r="K8" s="40" t="n">
        <x:f>SUM(K321:K622)</x:f>
        <x:v>471</x:v>
      </x:c>
      <x:c r="L8" s="40" t="n">
        <x:f>SUM(L321:L622)</x:f>
        <x:v>302</x:v>
      </x:c>
    </x:row>
    <x:row r="9" ht="23" customHeight="1">
      <x:c r="B9" s="17" t="str">
        <x:v>Round1</x:v>
      </x:c>
      <x:c r="C9" s="17" t="str">
        <x:v>line</x:v>
      </x:c>
      <x:c r="D9" s="17" t="n">
        <x:v>167</x:v>
      </x:c>
      <x:c r="E9" s="32" t="n">
        <x:f>AVERAGE(E623:E789)</x:f>
        <x:v>0.7406904191616765</x:v>
      </x:c>
      <x:c r="F9" s="32" t="n">
        <x:f>AVERAGE(F623:F789)</x:f>
        <x:v>0.4502035928143714</x:v>
      </x:c>
      <x:c r="G9" s="32" t="n">
        <x:f>AVERAGE(G623:G789)</x:f>
        <x:v>0.7499999999999999</x:v>
      </x:c>
      <x:c r="H9" s="32" t="n">
        <x:f>AVERAGE(H623:H789)</x:f>
        <x:v>0.5372263473053892</x:v>
      </x:c>
      <x:c r="I9" s="40" t="n">
        <x:f>SUM(I623:I789)</x:f>
        <x:v>167</x:v>
      </x:c>
      <x:c r="J9" s="40" t="n">
        <x:f>SUM(J623:J789)</x:f>
        <x:v>167</x:v>
      </x:c>
      <x:c r="K9" s="40" t="n">
        <x:f>SUM(K623:K789)</x:f>
        <x:v>167</x:v>
      </x:c>
      <x:c r="L9" s="40" t="n">
        <x:f>SUM(L623:L789)</x:f>
        <x:v>167</x:v>
      </x:c>
    </x:row>
    <x:row r="10" ht="23" customHeight="1">
      <x:c r="B10" s="17" t="str">
        <x:v>Round1</x:v>
      </x:c>
      <x:c r="C10" s="17" t="str">
        <x:v>condition</x:v>
      </x:c>
      <x:c r="D10" s="17" t="n">
        <x:v>166</x:v>
      </x:c>
      <x:c r="E10" s="32" t="n">
        <x:f>AVERAGE(E790:E955)</x:f>
        <x:v>0.6933277108433735</x:v>
      </x:c>
      <x:c r="F10" s="32" t="n">
        <x:f>AVERAGE(F790:F955)</x:f>
        <x:v>0.3427114457831325</x:v>
      </x:c>
      <x:c r="G10" s="32" t="n">
        <x:f>AVERAGE(G790:G955)</x:f>
        <x:v>0.6745927710843374</x:v>
      </x:c>
      <x:c r="H10" s="32" t="n">
        <x:f>AVERAGE(H790:H955)</x:f>
        <x:v>0.4893253012048193</x:v>
      </x:c>
      <x:c r="I10" s="40" t="n">
        <x:f>SUM(I790:I955)</x:f>
        <x:v>166</x:v>
      </x:c>
      <x:c r="J10" s="40" t="n">
        <x:f>SUM(J790:J955)</x:f>
        <x:v>166</x:v>
      </x:c>
      <x:c r="K10" s="40" t="n">
        <x:f>SUM(K790:K955)</x:f>
        <x:v>166</x:v>
      </x:c>
      <x:c r="L10" s="40" t="n">
        <x:f>SUM(L790:L955)</x:f>
        <x:v>166</x:v>
      </x:c>
    </x:row>
    <x:row r="11" ht="23" customHeight="1">
      <x:c r="B11" s="17" t="str">
        <x:v>Round2</x:v>
      </x:c>
      <x:c r="C11" s="17" t="str">
        <x:v>line</x:v>
      </x:c>
      <x:c r="D11" s="17" t="n">
        <x:v>0</x:v>
      </x:c>
      <x:c r="E11" s="32" t="str">
        <x:f>"—"</x:f>
        <x:v>—</x:v>
      </x:c>
      <x:c r="F11" s="32" t="str">
        <x:f>"—"</x:f>
        <x:v>—</x:v>
      </x:c>
      <x:c r="G11" s="32" t="str">
        <x:f>"—"</x:f>
        <x:v>—</x:v>
      </x:c>
      <x:c r="H11" s="32" t="str">
        <x:f>"—"</x:f>
        <x:v>—</x:v>
      </x:c>
      <x:c r="I11" s="40" t="n">
        <x:f>0</x:f>
        <x:v>0</x:v>
      </x:c>
      <x:c r="J11" s="40" t="n">
        <x:f>0</x:f>
        <x:v>0</x:v>
      </x:c>
      <x:c r="K11" s="40" t="n">
        <x:f>0</x:f>
        <x:v>0</x:v>
      </x:c>
      <x:c r="L11" s="40" t="n">
        <x:f>0</x:f>
        <x:v>0</x:v>
      </x:c>
    </x:row>
    <x:row r="12" ht="23" customHeight="1">
      <x:c r="B12" s="17" t="str">
        <x:v>Round2</x:v>
      </x:c>
      <x:c r="C12" s="17" t="str">
        <x:v>condition</x:v>
      </x:c>
      <x:c r="D12" s="17" t="n">
        <x:v>0</x:v>
      </x:c>
      <x:c r="E12" s="32" t="str">
        <x:f>"—"</x:f>
        <x:v>—</x:v>
      </x:c>
      <x:c r="F12" s="32" t="str">
        <x:f>"—"</x:f>
        <x:v>—</x:v>
      </x:c>
      <x:c r="G12" s="32" t="str">
        <x:f>"—"</x:f>
        <x:v>—</x:v>
      </x:c>
      <x:c r="H12" s="32" t="str">
        <x:f>"—"</x:f>
        <x:v>—</x:v>
      </x:c>
      <x:c r="I12" s="40" t="n">
        <x:f>0</x:f>
        <x:v>0</x:v>
      </x:c>
      <x:c r="J12" s="40" t="n">
        <x:f>0</x:f>
        <x:v>0</x:v>
      </x:c>
      <x:c r="K12" s="40" t="n">
        <x:f>0</x:f>
        <x:v>0</x:v>
      </x:c>
      <x:c r="L12" s="40" t="n">
        <x:f>0</x:f>
        <x:v>0</x:v>
      </x:c>
    </x:row>
    <x:row r="13">
      <x:c r="E13" s="42"/>
      <x:c r="F13" s="42"/>
      <x:c r="G13" s="42"/>
      <x:c r="H13" s="42"/>
      <x:c r="I13" s="44"/>
      <x:c r="J13" s="44"/>
      <x:c r="K13" s="44"/>
      <x:c r="L13" s="44"/>
    </x:row>
    <x:row r="14">
      <x:c r="E14" s="42"/>
      <x:c r="F14" s="42"/>
      <x:c r="G14" s="42"/>
      <x:c r="H14" s="42"/>
      <x:c r="I14" s="44"/>
      <x:c r="J14" s="44"/>
      <x:c r="K14" s="44"/>
      <x:c r="L14" s="44"/>
    </x:row>
    <x:row r="15">
      <x:c r="E15" s="42"/>
      <x:c r="F15" s="42"/>
      <x:c r="G15" s="42"/>
      <x:c r="H15" s="42"/>
      <x:c r="I15" s="44"/>
      <x:c r="J15" s="44"/>
      <x:c r="K15" s="44"/>
      <x:c r="L15" s="44"/>
    </x:row>
    <x:row r="16" ht="42" customHeight="1">
      <x:c r="B16" s="20" t="str">
        <x:v>Scope</x:v>
      </x:c>
      <x:c r="C16" s="20" t="str">
        <x:v>Metric</x:v>
      </x:c>
      <x:c r="D16" s="20" t="str">
        <x:v>Bug</x:v>
      </x:c>
      <x:c r="E16" s="46" t="str">
        <x:v>GA (V2)</x:v>
      </x:c>
      <x:c r="F16" s="46" t="str">
        <x:v>FRT/Randoop</x:v>
      </x:c>
      <x:c r="G16" s="46" t="str">
        <x:v>DeepSeek</x:v>
      </x:c>
      <x:c r="H16" s="46" t="str">
        <x:v>Gemini</x:v>
      </x:c>
      <x:c r="I16" s="45" t="str">
        <x:v>GA results</x:v>
      </x:c>
      <x:c r="J16" s="45" t="str">
        <x:v>FRT results</x:v>
      </x:c>
      <x:c r="K16" s="45" t="str">
        <x:v>DeepSeek results</x:v>
      </x:c>
      <x:c r="L16" s="45" t="str">
        <x:v>Gemini results</x:v>
      </x:c>
    </x:row>
    <x:row r="17" ht="23" customHeight="1">
      <x:c r="B17" s="17" t="str">
        <x:v>All rounds</x:v>
      </x:c>
      <x:c r="C17" s="17" t="str">
        <x:v>line</x:v>
      </x:c>
      <x:c r="D17" s="17" t="str">
        <x:v>Chart_10</x:v>
      </x:c>
      <x:c r="E17" s="32" t="n">
        <x:v>1</x:v>
      </x:c>
      <x:c r="F17" s="32" t="n">
        <x:v>1</x:v>
      </x:c>
      <x:c r="G17" s="32" t="n">
        <x:v>1</x:v>
      </x:c>
      <x:c r="H17" s="32" t="n">
        <x:v>1</x:v>
      </x:c>
      <x:c r="I17" s="40" t="n">
        <x:v>2</x:v>
      </x:c>
      <x:c r="J17" s="40" t="n">
        <x:v>2</x:v>
      </x:c>
      <x:c r="K17" s="40" t="n">
        <x:v>2</x:v>
      </x:c>
      <x:c r="L17" s="40" t="n">
        <x:v>1</x:v>
      </x:c>
    </x:row>
    <x:row r="18" ht="23" customHeight="1">
      <x:c r="B18" s="17" t="str">
        <x:v>All rounds</x:v>
      </x:c>
      <x:c r="C18" s="17" t="str">
        <x:v>line</x:v>
      </x:c>
      <x:c r="D18" s="17" t="str">
        <x:v>Chart_16</x:v>
      </x:c>
      <x:c r="E18" s="32" t="n">
        <x:v>0.8617</x:v>
      </x:c>
      <x:c r="F18" s="32" t="n">
        <x:v>0.8112</x:v>
      </x:c>
      <x:c r="G18" s="32" t="n">
        <x:v>0.9415</x:v>
      </x:c>
      <x:c r="H18" s="32" t="n">
        <x:v>0.22870000000000001</x:v>
      </x:c>
      <x:c r="I18" s="40" t="n">
        <x:v>2</x:v>
      </x:c>
      <x:c r="J18" s="40" t="n">
        <x:v>2</x:v>
      </x:c>
      <x:c r="K18" s="40" t="n">
        <x:v>1</x:v>
      </x:c>
      <x:c r="L18" s="40" t="n">
        <x:v>1</x:v>
      </x:c>
    </x:row>
    <x:row r="19" ht="23" customHeight="1">
      <x:c r="B19" s="17" t="str">
        <x:v>All rounds</x:v>
      </x:c>
      <x:c r="C19" s="17" t="str">
        <x:v>line</x:v>
      </x:c>
      <x:c r="D19" s="17" t="str">
        <x:v>Chart_18</x:v>
      </x:c>
      <x:c r="E19" s="32" t="n">
        <x:v>0.9925</x:v>
      </x:c>
      <x:c r="F19" s="32" t="n">
        <x:v>0.8421</x:v>
      </x:c>
      <x:c r="G19" s="32" t="n">
        <x:v>0.9586</x:v>
      </x:c>
      <x:c r="H19" s="32" t="n">
        <x:v>0.2293</x:v>
      </x:c>
      <x:c r="I19" s="40" t="n">
        <x:v>2</x:v>
      </x:c>
      <x:c r="J19" s="40" t="n">
        <x:v>2</x:v>
      </x:c>
      <x:c r="K19" s="40" t="n">
        <x:v>2</x:v>
      </x:c>
      <x:c r="L19" s="40" t="n">
        <x:v>1</x:v>
      </x:c>
    </x:row>
    <x:row r="20" ht="23" customHeight="1">
      <x:c r="B20" s="17" t="str">
        <x:v>All rounds</x:v>
      </x:c>
      <x:c r="C20" s="17" t="str">
        <x:v>line</x:v>
      </x:c>
      <x:c r="D20" s="17" t="str">
        <x:v>Chart_20</x:v>
      </x:c>
      <x:c r="E20" s="32" t="n">
        <x:v>0.9545</x:v>
      </x:c>
      <x:c r="F20" s="32" t="n">
        <x:v>0.9091</x:v>
      </x:c>
      <x:c r="G20" s="32" t="n">
        <x:v>0.9545</x:v>
      </x:c>
      <x:c r="H20" s="32" t="n">
        <x:v>0.9545</x:v>
      </x:c>
      <x:c r="I20" s="40" t="n">
        <x:v>2</x:v>
      </x:c>
      <x:c r="J20" s="40" t="n">
        <x:v>2</x:v>
      </x:c>
      <x:c r="K20" s="40" t="n">
        <x:v>1</x:v>
      </x:c>
      <x:c r="L20" s="40" t="n">
        <x:v>1</x:v>
      </x:c>
    </x:row>
    <x:row r="21" ht="23" customHeight="1">
      <x:c r="B21" s="17" t="str">
        <x:v>All rounds</x:v>
      </x:c>
      <x:c r="C21" s="17" t="str">
        <x:v>line</x:v>
      </x:c>
      <x:c r="D21" s="17" t="str">
        <x:v>Chart_21</x:v>
      </x:c>
      <x:c r="E21" s="32" t="n">
        <x:v>0.9193000000000001</x:v>
      </x:c>
      <x:c r="F21" s="32" t="n">
        <x:v>0.5652</x:v>
      </x:c>
      <x:c r="G21" s="32" t="n">
        <x:v>0.5589999999999999</x:v>
      </x:c>
      <x:c r="H21" s="32" t="n">
        <x:v>0.23600000000000002</x:v>
      </x:c>
      <x:c r="I21" s="40" t="n">
        <x:v>2</x:v>
      </x:c>
      <x:c r="J21" s="40" t="n">
        <x:v>2</x:v>
      </x:c>
      <x:c r="K21" s="40" t="n">
        <x:v>2</x:v>
      </x:c>
      <x:c r="L21" s="40" t="n">
        <x:v>1</x:v>
      </x:c>
    </x:row>
    <x:row r="22" ht="23" customHeight="1">
      <x:c r="B22" s="17" t="str">
        <x:v>All rounds</x:v>
      </x:c>
      <x:c r="C22" s="17" t="str">
        <x:v>line</x:v>
      </x:c>
      <x:c r="D22" s="17" t="str">
        <x:v>Chart_22</x:v>
      </x:c>
      <x:c r="E22" s="32" t="n">
        <x:v>0.9677</x:v>
      </x:c>
      <x:c r="F22" s="32" t="n">
        <x:v>0.9355</x:v>
      </x:c>
      <x:c r="G22" s="32" t="n">
        <x:v>0.9274</x:v>
      </x:c>
      <x:c r="H22" s="32" t="n">
        <x:v>0.22579999999999997</x:v>
      </x:c>
      <x:c r="I22" s="40" t="n">
        <x:v>2</x:v>
      </x:c>
      <x:c r="J22" s="40" t="n">
        <x:v>2</x:v>
      </x:c>
      <x:c r="K22" s="40" t="n">
        <x:v>2</x:v>
      </x:c>
      <x:c r="L22" s="40" t="n">
        <x:v>1</x:v>
      </x:c>
    </x:row>
    <x:row r="23" ht="23" customHeight="1">
      <x:c r="B23" s="17" t="str">
        <x:v>All rounds</x:v>
      </x:c>
      <x:c r="C23" s="17" t="str">
        <x:v>line</x:v>
      </x:c>
      <x:c r="D23" s="17" t="str">
        <x:v>Chart_23</x:v>
      </x:c>
      <x:c r="E23" s="32" t="n">
        <x:v>0.38189999999999996</x:v>
      </x:c>
      <x:c r="F23" s="32" t="n">
        <x:v>0.37155</x:v>
      </x:c>
      <x:c r="G23" s="32" t="n">
        <x:v>0.375</x:v>
      </x:c>
      <x:c r="H23" s="32" t="n">
        <x:v>0.9792000000000001</x:v>
      </x:c>
      <x:c r="I23" s="40" t="n">
        <x:v>2</x:v>
      </x:c>
      <x:c r="J23" s="40" t="n">
        <x:v>2</x:v>
      </x:c>
      <x:c r="K23" s="40" t="n">
        <x:v>1</x:v>
      </x:c>
      <x:c r="L23" s="40" t="n">
        <x:v>1</x:v>
      </x:c>
    </x:row>
    <x:row r="24" ht="23" customHeight="1">
      <x:c r="B24" s="17" t="str">
        <x:v>All rounds</x:v>
      </x:c>
      <x:c r="C24" s="17" t="str">
        <x:v>line</x:v>
      </x:c>
      <x:c r="D24" s="17" t="str">
        <x:v>Chart_24</x:v>
      </x:c>
      <x:c r="E24" s="32" t="n">
        <x:v>1</x:v>
      </x:c>
      <x:c r="F24" s="32" t="n">
        <x:v>0.96</x:v>
      </x:c>
      <x:c r="G24" s="32" t="n">
        <x:v>1</x:v>
      </x:c>
      <x:c r="H24" s="32" t="n">
        <x:v>1</x:v>
      </x:c>
      <x:c r="I24" s="40" t="n">
        <x:v>2</x:v>
      </x:c>
      <x:c r="J24" s="40" t="n">
        <x:v>2</x:v>
      </x:c>
      <x:c r="K24" s="40" t="n">
        <x:v>2</x:v>
      </x:c>
      <x:c r="L24" s="40" t="n">
        <x:v>1</x:v>
      </x:c>
    </x:row>
    <x:row r="25" ht="23" customHeight="1">
      <x:c r="B25" s="17" t="str">
        <x:v>All rounds</x:v>
      </x:c>
      <x:c r="C25" s="17" t="str">
        <x:v>line</x:v>
      </x:c>
      <x:c r="D25" s="17" t="str">
        <x:v>Chart_26</x:v>
      </x:c>
      <x:c r="E25" s="32" t="n">
        <x:v>0.9</x:v>
      </x:c>
      <x:c r="F25" s="32" t="n">
        <x:v>0.0286</x:v>
      </x:c>
      <x:c r="G25" s="32" t="n">
        <x:v>0.5571</x:v>
      </x:c>
      <x:c r="H25" s="32" t="n">
        <x:v>1</x:v>
      </x:c>
      <x:c r="I25" s="40" t="n">
        <x:v>2</x:v>
      </x:c>
      <x:c r="J25" s="40" t="n">
        <x:v>2</x:v>
      </x:c>
      <x:c r="K25" s="40" t="n">
        <x:v>1</x:v>
      </x:c>
      <x:c r="L25" s="40" t="n">
        <x:v>1</x:v>
      </x:c>
    </x:row>
    <x:row r="26" ht="23" customHeight="1">
      <x:c r="B26" s="17" t="str">
        <x:v>All rounds</x:v>
      </x:c>
      <x:c r="C26" s="17" t="str">
        <x:v>line</x:v>
      </x:c>
      <x:c r="D26" s="17" t="str">
        <x:v>Chart_5</x:v>
      </x:c>
      <x:c r="E26" s="32" t="n">
        <x:v>0.9767</x:v>
      </x:c>
      <x:c r="F26" s="32" t="n">
        <x:v>0.8575999999999999</x:v>
      </x:c>
      <x:c r="G26" s="32" t="n">
        <x:v>0.9012</x:v>
      </x:c>
      <x:c r="H26" s="32" t="n">
        <x:v>0.593</x:v>
      </x:c>
      <x:c r="I26" s="40" t="n">
        <x:v>2</x:v>
      </x:c>
      <x:c r="J26" s="40" t="n">
        <x:v>2</x:v>
      </x:c>
      <x:c r="K26" s="40" t="n">
        <x:v>1</x:v>
      </x:c>
      <x:c r="L26" s="40" t="n">
        <x:v>1</x:v>
      </x:c>
    </x:row>
    <x:row r="27" ht="23" customHeight="1">
      <x:c r="B27" s="17" t="str">
        <x:v>All rounds</x:v>
      </x:c>
      <x:c r="C27" s="17" t="str">
        <x:v>line</x:v>
      </x:c>
      <x:c r="D27" s="17" t="str">
        <x:v>Chart_8</x:v>
      </x:c>
      <x:c r="E27" s="32" t="n">
        <x:v>0.9136</x:v>
      </x:c>
      <x:c r="F27" s="32" t="n">
        <x:v>0.8580000000000001</x:v>
      </x:c>
      <x:c r="G27" s="32" t="n">
        <x:v>0.7345999999999999</x:v>
      </x:c>
      <x:c r="H27" s="32" t="n">
        <x:v>0.2593</x:v>
      </x:c>
      <x:c r="I27" s="40" t="n">
        <x:v>2</x:v>
      </x:c>
      <x:c r="J27" s="40" t="n">
        <x:v>2</x:v>
      </x:c>
      <x:c r="K27" s="40" t="n">
        <x:v>2</x:v>
      </x:c>
      <x:c r="L27" s="40" t="n">
        <x:v>1</x:v>
      </x:c>
    </x:row>
    <x:row r="28" ht="23" customHeight="1">
      <x:c r="B28" s="17" t="str">
        <x:v>All rounds</x:v>
      </x:c>
      <x:c r="C28" s="17" t="str">
        <x:v>line</x:v>
      </x:c>
      <x:c r="D28" s="17" t="str">
        <x:v>Cli_1</x:v>
      </x:c>
      <x:c r="E28" s="32" t="n">
        <x:v>0</x:v>
      </x:c>
      <x:c r="F28" s="32" t="n">
        <x:v>0</x:v>
      </x:c>
      <x:c r="G28" s="32" t="n">
        <x:v>0</x:v>
      </x:c>
      <x:c r="H28" s="32" t="n">
        <x:v>0</x:v>
      </x:c>
      <x:c r="I28" s="40" t="n">
        <x:v>2</x:v>
      </x:c>
      <x:c r="J28" s="40" t="n">
        <x:v>2</x:v>
      </x:c>
      <x:c r="K28" s="40" t="n">
        <x:v>1</x:v>
      </x:c>
      <x:c r="L28" s="40" t="n">
        <x:v>1</x:v>
      </x:c>
    </x:row>
    <x:row r="29" ht="23" customHeight="1">
      <x:c r="B29" s="17" t="str">
        <x:v>All rounds</x:v>
      </x:c>
      <x:c r="C29" s="17" t="str">
        <x:v>line</x:v>
      </x:c>
      <x:c r="D29" s="17" t="str">
        <x:v>Cli_11</x:v>
      </x:c>
      <x:c r="E29" s="32" t="n">
        <x:v>0</x:v>
      </x:c>
      <x:c r="F29" s="32" t="n">
        <x:v>0</x:v>
      </x:c>
      <x:c r="G29" s="32" t="n">
        <x:v>0</x:v>
      </x:c>
      <x:c r="H29" s="32" t="n">
        <x:v>0</x:v>
      </x:c>
      <x:c r="I29" s="40" t="n">
        <x:v>2</x:v>
      </x:c>
      <x:c r="J29" s="40" t="n">
        <x:v>2</x:v>
      </x:c>
      <x:c r="K29" s="40" t="n">
        <x:v>1</x:v>
      </x:c>
      <x:c r="L29" s="40" t="n">
        <x:v>1</x:v>
      </x:c>
    </x:row>
    <x:row r="30" ht="23" customHeight="1">
      <x:c r="B30" s="17" t="str">
        <x:v>All rounds</x:v>
      </x:c>
      <x:c r="C30" s="17" t="str">
        <x:v>line</x:v>
      </x:c>
      <x:c r="D30" s="17" t="str">
        <x:v>Cli_17</x:v>
      </x:c>
      <x:c r="E30" s="32" t="n">
        <x:v>0</x:v>
      </x:c>
      <x:c r="F30" s="32" t="n">
        <x:v>0</x:v>
      </x:c>
      <x:c r="G30" s="32" t="n">
        <x:v>0</x:v>
      </x:c>
      <x:c r="H30" s="32" t="n">
        <x:v>0</x:v>
      </x:c>
      <x:c r="I30" s="40" t="n">
        <x:v>2</x:v>
      </x:c>
      <x:c r="J30" s="40" t="n">
        <x:v>2</x:v>
      </x:c>
      <x:c r="K30" s="40" t="n">
        <x:v>1</x:v>
      </x:c>
      <x:c r="L30" s="40" t="n">
        <x:v>1</x:v>
      </x:c>
    </x:row>
    <x:row r="31" ht="23" customHeight="1">
      <x:c r="B31" s="17" t="str">
        <x:v>All rounds</x:v>
      </x:c>
      <x:c r="C31" s="17" t="str">
        <x:v>line</x:v>
      </x:c>
      <x:c r="D31" s="17" t="str">
        <x:v>Cli_18</x:v>
      </x:c>
      <x:c r="E31" s="32" t="n">
        <x:v>0</x:v>
      </x:c>
      <x:c r="F31" s="32" t="n">
        <x:v>0</x:v>
      </x:c>
      <x:c r="G31" s="32" t="n">
        <x:v>0</x:v>
      </x:c>
      <x:c r="H31" s="32" t="n">
        <x:v>0</x:v>
      </x:c>
      <x:c r="I31" s="40" t="n">
        <x:v>2</x:v>
      </x:c>
      <x:c r="J31" s="40" t="n">
        <x:v>2</x:v>
      </x:c>
      <x:c r="K31" s="40" t="n">
        <x:v>2</x:v>
      </x:c>
      <x:c r="L31" s="40" t="n">
        <x:v>1</x:v>
      </x:c>
    </x:row>
    <x:row r="32" ht="23" customHeight="1">
      <x:c r="B32" s="17" t="str">
        <x:v>All rounds</x:v>
      </x:c>
      <x:c r="C32" s="17" t="str">
        <x:v>line</x:v>
      </x:c>
      <x:c r="D32" s="17" t="str">
        <x:v>Cli_19</x:v>
      </x:c>
      <x:c r="E32" s="32" t="n">
        <x:v>0</x:v>
      </x:c>
      <x:c r="F32" s="32" t="n">
        <x:v>0</x:v>
      </x:c>
      <x:c r="G32" s="32" t="n">
        <x:v>0</x:v>
      </x:c>
      <x:c r="H32" s="32" t="n">
        <x:v>0</x:v>
      </x:c>
      <x:c r="I32" s="40" t="n">
        <x:v>2</x:v>
      </x:c>
      <x:c r="J32" s="40" t="n">
        <x:v>2</x:v>
      </x:c>
      <x:c r="K32" s="40" t="n">
        <x:v>2</x:v>
      </x:c>
      <x:c r="L32" s="40" t="n">
        <x:v>1</x:v>
      </x:c>
    </x:row>
    <x:row r="33" ht="23" customHeight="1">
      <x:c r="B33" s="17" t="str">
        <x:v>All rounds</x:v>
      </x:c>
      <x:c r="C33" s="17" t="str">
        <x:v>line</x:v>
      </x:c>
      <x:c r="D33" s="17" t="str">
        <x:v>Cli_2</x:v>
      </x:c>
      <x:c r="E33" s="32" t="n">
        <x:v>0</x:v>
      </x:c>
      <x:c r="F33" s="32" t="n">
        <x:v>0</x:v>
      </x:c>
      <x:c r="G33" s="32" t="n">
        <x:v>0</x:v>
      </x:c>
      <x:c r="H33" s="32" t="n">
        <x:v>0</x:v>
      </x:c>
      <x:c r="I33" s="40" t="n">
        <x:v>2</x:v>
      </x:c>
      <x:c r="J33" s="40" t="n">
        <x:v>2</x:v>
      </x:c>
      <x:c r="K33" s="40" t="n">
        <x:v>2</x:v>
      </x:c>
      <x:c r="L33" s="40" t="n">
        <x:v>1</x:v>
      </x:c>
    </x:row>
    <x:row r="34" ht="23" customHeight="1">
      <x:c r="B34" s="17" t="str">
        <x:v>All rounds</x:v>
      </x:c>
      <x:c r="C34" s="17" t="str">
        <x:v>line</x:v>
      </x:c>
      <x:c r="D34" s="17" t="str">
        <x:v>Cli_20</x:v>
      </x:c>
      <x:c r="E34" s="32" t="n">
        <x:v>0</x:v>
      </x:c>
      <x:c r="F34" s="32" t="n">
        <x:v>0</x:v>
      </x:c>
      <x:c r="G34" s="32" t="n">
        <x:v>0</x:v>
      </x:c>
      <x:c r="H34" s="32" t="n">
        <x:v>0</x:v>
      </x:c>
      <x:c r="I34" s="40" t="n">
        <x:v>2</x:v>
      </x:c>
      <x:c r="J34" s="40" t="n">
        <x:v>2</x:v>
      </x:c>
      <x:c r="K34" s="40" t="n">
        <x:v>1</x:v>
      </x:c>
      <x:c r="L34" s="40" t="n">
        <x:v>1</x:v>
      </x:c>
    </x:row>
    <x:row r="35" ht="23" customHeight="1">
      <x:c r="B35" s="17" t="str">
        <x:v>All rounds</x:v>
      </x:c>
      <x:c r="C35" s="17" t="str">
        <x:v>line</x:v>
      </x:c>
      <x:c r="D35" s="17" t="str">
        <x:v>Cli_22</x:v>
      </x:c>
      <x:c r="E35" s="32" t="n">
        <x:v>0</x:v>
      </x:c>
      <x:c r="F35" s="32" t="n">
        <x:v>0</x:v>
      </x:c>
      <x:c r="G35" s="32" t="n">
        <x:v>0</x:v>
      </x:c>
      <x:c r="H35" s="32" t="n">
        <x:v>0</x:v>
      </x:c>
      <x:c r="I35" s="40" t="n">
        <x:v>2</x:v>
      </x:c>
      <x:c r="J35" s="40" t="n">
        <x:v>2</x:v>
      </x:c>
      <x:c r="K35" s="40" t="n">
        <x:v>2</x:v>
      </x:c>
      <x:c r="L35" s="40" t="n">
        <x:v>1</x:v>
      </x:c>
    </x:row>
    <x:row r="36" ht="23" customHeight="1">
      <x:c r="B36" s="17" t="str">
        <x:v>All rounds</x:v>
      </x:c>
      <x:c r="C36" s="17" t="str">
        <x:v>line</x:v>
      </x:c>
      <x:c r="D36" s="17" t="str">
        <x:v>Cli_23</x:v>
      </x:c>
      <x:c r="E36" s="32" t="n">
        <x:v>0</x:v>
      </x:c>
      <x:c r="F36" s="32" t="n">
        <x:v>0</x:v>
      </x:c>
      <x:c r="G36" s="32" t="n">
        <x:v>0</x:v>
      </x:c>
      <x:c r="H36" s="32" t="n">
        <x:v>0</x:v>
      </x:c>
      <x:c r="I36" s="40" t="n">
        <x:v>2</x:v>
      </x:c>
      <x:c r="J36" s="40" t="n">
        <x:v>2</x:v>
      </x:c>
      <x:c r="K36" s="40" t="n">
        <x:v>1</x:v>
      </x:c>
      <x:c r="L36" s="40" t="n">
        <x:v>1</x:v>
      </x:c>
    </x:row>
    <x:row r="37" ht="23" customHeight="1">
      <x:c r="B37" s="17" t="str">
        <x:v>All rounds</x:v>
      </x:c>
      <x:c r="C37" s="17" t="str">
        <x:v>line</x:v>
      </x:c>
      <x:c r="D37" s="17" t="str">
        <x:v>Cli_24</x:v>
      </x:c>
      <x:c r="E37" s="32" t="n">
        <x:v>0</x:v>
      </x:c>
      <x:c r="F37" s="32" t="n">
        <x:v>0</x:v>
      </x:c>
      <x:c r="G37" s="32" t="n">
        <x:v>0</x:v>
      </x:c>
      <x:c r="H37" s="32" t="n">
        <x:v>0</x:v>
      </x:c>
      <x:c r="I37" s="40" t="n">
        <x:v>2</x:v>
      </x:c>
      <x:c r="J37" s="40" t="n">
        <x:v>2</x:v>
      </x:c>
      <x:c r="K37" s="40" t="n">
        <x:v>2</x:v>
      </x:c>
      <x:c r="L37" s="40" t="n">
        <x:v>1</x:v>
      </x:c>
    </x:row>
    <x:row r="38" ht="23" customHeight="1">
      <x:c r="B38" s="17" t="str">
        <x:v>All rounds</x:v>
      </x:c>
      <x:c r="C38" s="17" t="str">
        <x:v>line</x:v>
      </x:c>
      <x:c r="D38" s="17" t="str">
        <x:v>Cli_25</x:v>
      </x:c>
      <x:c r="E38" s="32" t="n">
        <x:v>0</x:v>
      </x:c>
      <x:c r="F38" s="32" t="n">
        <x:v>0</x:v>
      </x:c>
      <x:c r="G38" s="32" t="n">
        <x:v>0</x:v>
      </x:c>
      <x:c r="H38" s="32" t="n">
        <x:v>0</x:v>
      </x:c>
      <x:c r="I38" s="40" t="n">
        <x:v>2</x:v>
      </x:c>
      <x:c r="J38" s="40" t="n">
        <x:v>2</x:v>
      </x:c>
      <x:c r="K38" s="40" t="n">
        <x:v>1</x:v>
      </x:c>
      <x:c r="L38" s="40" t="n">
        <x:v>1</x:v>
      </x:c>
    </x:row>
    <x:row r="39" ht="23" customHeight="1">
      <x:c r="B39" s="17" t="str">
        <x:v>All rounds</x:v>
      </x:c>
      <x:c r="C39" s="17" t="str">
        <x:v>line</x:v>
      </x:c>
      <x:c r="D39" s="17" t="str">
        <x:v>Cli_27</x:v>
      </x:c>
      <x:c r="E39" s="32" t="n">
        <x:v>0</x:v>
      </x:c>
      <x:c r="F39" s="32" t="n">
        <x:v>0</x:v>
      </x:c>
      <x:c r="G39" s="32" t="n">
        <x:v>0</x:v>
      </x:c>
      <x:c r="H39" s="32" t="n">
        <x:v>0</x:v>
      </x:c>
      <x:c r="I39" s="40" t="n">
        <x:v>2</x:v>
      </x:c>
      <x:c r="J39" s="40" t="n">
        <x:v>2</x:v>
      </x:c>
      <x:c r="K39" s="40" t="n">
        <x:v>2</x:v>
      </x:c>
      <x:c r="L39" s="40" t="n">
        <x:v>1</x:v>
      </x:c>
    </x:row>
    <x:row r="40" ht="23" customHeight="1">
      <x:c r="B40" s="17" t="str">
        <x:v>All rounds</x:v>
      </x:c>
      <x:c r="C40" s="17" t="str">
        <x:v>line</x:v>
      </x:c>
      <x:c r="D40" s="17" t="str">
        <x:v>Cli_28</x:v>
      </x:c>
      <x:c r="E40" s="32" t="n">
        <x:v>0</x:v>
      </x:c>
      <x:c r="F40" s="32" t="n">
        <x:v>0</x:v>
      </x:c>
      <x:c r="G40" s="32" t="n">
        <x:v>0</x:v>
      </x:c>
      <x:c r="H40" s="32" t="n">
        <x:v>0</x:v>
      </x:c>
      <x:c r="I40" s="40" t="n">
        <x:v>2</x:v>
      </x:c>
      <x:c r="J40" s="40" t="n">
        <x:v>2</x:v>
      </x:c>
      <x:c r="K40" s="40" t="n">
        <x:v>1</x:v>
      </x:c>
      <x:c r="L40" s="40" t="n">
        <x:v>1</x:v>
      </x:c>
    </x:row>
    <x:row r="41" ht="23" customHeight="1">
      <x:c r="B41" s="17" t="str">
        <x:v>All rounds</x:v>
      </x:c>
      <x:c r="C41" s="17" t="str">
        <x:v>line</x:v>
      </x:c>
      <x:c r="D41" s="17" t="str">
        <x:v>Cli_29</x:v>
      </x:c>
      <x:c r="E41" s="32" t="n">
        <x:v>0</x:v>
      </x:c>
      <x:c r="F41" s="32" t="n">
        <x:v>0</x:v>
      </x:c>
      <x:c r="G41" s="32" t="n">
        <x:v>0</x:v>
      </x:c>
      <x:c r="H41" s="32" t="n">
        <x:v>0</x:v>
      </x:c>
      <x:c r="I41" s="40" t="n">
        <x:v>2</x:v>
      </x:c>
      <x:c r="J41" s="40" t="n">
        <x:v>2</x:v>
      </x:c>
      <x:c r="K41" s="40" t="n">
        <x:v>2</x:v>
      </x:c>
      <x:c r="L41" s="40" t="n">
        <x:v>1</x:v>
      </x:c>
    </x:row>
    <x:row r="42" ht="23" customHeight="1">
      <x:c r="B42" s="17" t="str">
        <x:v>All rounds</x:v>
      </x:c>
      <x:c r="C42" s="17" t="str">
        <x:v>line</x:v>
      </x:c>
      <x:c r="D42" s="17" t="str">
        <x:v>Cli_3</x:v>
      </x:c>
      <x:c r="E42" s="32" t="n">
        <x:v>0</x:v>
      </x:c>
      <x:c r="F42" s="32" t="n">
        <x:v>0</x:v>
      </x:c>
      <x:c r="G42" s="32" t="n">
        <x:v>0</x:v>
      </x:c>
      <x:c r="H42" s="32" t="n">
        <x:v>0</x:v>
      </x:c>
      <x:c r="I42" s="40" t="n">
        <x:v>2</x:v>
      </x:c>
      <x:c r="J42" s="40" t="n">
        <x:v>2</x:v>
      </x:c>
      <x:c r="K42" s="40" t="n">
        <x:v>2</x:v>
      </x:c>
      <x:c r="L42" s="40" t="n">
        <x:v>1</x:v>
      </x:c>
    </x:row>
    <x:row r="43" ht="23" customHeight="1">
      <x:c r="B43" s="17" t="str">
        <x:v>All rounds</x:v>
      </x:c>
      <x:c r="C43" s="17" t="str">
        <x:v>line</x:v>
      </x:c>
      <x:c r="D43" s="17" t="str">
        <x:v>Cli_30</x:v>
      </x:c>
      <x:c r="E43" s="32" t="n">
        <x:v>0</x:v>
      </x:c>
      <x:c r="F43" s="32" t="n">
        <x:v>0</x:v>
      </x:c>
      <x:c r="G43" s="32" t="n">
        <x:v>0</x:v>
      </x:c>
      <x:c r="H43" s="32" t="n">
        <x:v>0</x:v>
      </x:c>
      <x:c r="I43" s="40" t="n">
        <x:v>2</x:v>
      </x:c>
      <x:c r="J43" s="40" t="n">
        <x:v>2</x:v>
      </x:c>
      <x:c r="K43" s="40" t="n">
        <x:v>1</x:v>
      </x:c>
      <x:c r="L43" s="40" t="n">
        <x:v>1</x:v>
      </x:c>
    </x:row>
    <x:row r="44" ht="23" customHeight="1">
      <x:c r="B44" s="17" t="str">
        <x:v>All rounds</x:v>
      </x:c>
      <x:c r="C44" s="17" t="str">
        <x:v>line</x:v>
      </x:c>
      <x:c r="D44" s="17" t="str">
        <x:v>Cli_32</x:v>
      </x:c>
      <x:c r="E44" s="32" t="n">
        <x:v>0</x:v>
      </x:c>
      <x:c r="F44" s="32" t="n">
        <x:v>0</x:v>
      </x:c>
      <x:c r="G44" s="32" t="n">
        <x:v>0</x:v>
      </x:c>
      <x:c r="H44" s="32" t="n">
        <x:v>0</x:v>
      </x:c>
      <x:c r="I44" s="40" t="n">
        <x:v>2</x:v>
      </x:c>
      <x:c r="J44" s="40" t="n">
        <x:v>2</x:v>
      </x:c>
      <x:c r="K44" s="40" t="n">
        <x:v>1</x:v>
      </x:c>
      <x:c r="L44" s="40" t="n">
        <x:v>1</x:v>
      </x:c>
    </x:row>
    <x:row r="45" ht="23" customHeight="1">
      <x:c r="B45" s="17" t="str">
        <x:v>All rounds</x:v>
      </x:c>
      <x:c r="C45" s="17" t="str">
        <x:v>line</x:v>
      </x:c>
      <x:c r="D45" s="17" t="str">
        <x:v>Cli_33</x:v>
      </x:c>
      <x:c r="E45" s="32" t="n">
        <x:v>0</x:v>
      </x:c>
      <x:c r="F45" s="32" t="n">
        <x:v>0</x:v>
      </x:c>
      <x:c r="G45" s="32" t="n">
        <x:v>0</x:v>
      </x:c>
      <x:c r="H45" s="32" t="n">
        <x:v>0</x:v>
      </x:c>
      <x:c r="I45" s="40" t="n">
        <x:v>2</x:v>
      </x:c>
      <x:c r="J45" s="40" t="n">
        <x:v>2</x:v>
      </x:c>
      <x:c r="K45" s="40" t="n">
        <x:v>2</x:v>
      </x:c>
      <x:c r="L45" s="40" t="n">
        <x:v>1</x:v>
      </x:c>
    </x:row>
    <x:row r="46" ht="23" customHeight="1">
      <x:c r="B46" s="17" t="str">
        <x:v>All rounds</x:v>
      </x:c>
      <x:c r="C46" s="17" t="str">
        <x:v>line</x:v>
      </x:c>
      <x:c r="D46" s="17" t="str">
        <x:v>Cli_35</x:v>
      </x:c>
      <x:c r="E46" s="32" t="n">
        <x:v>1</x:v>
      </x:c>
      <x:c r="F46" s="32" t="n">
        <x:v>0.8245999999999999</x:v>
      </x:c>
      <x:c r="G46" s="32" t="n">
        <x:v>0.9473999999999999</x:v>
      </x:c>
      <x:c r="H46" s="32" t="n">
        <x:v>1</x:v>
      </x:c>
      <x:c r="I46" s="40" t="n">
        <x:v>2</x:v>
      </x:c>
      <x:c r="J46" s="40" t="n">
        <x:v>2</x:v>
      </x:c>
      <x:c r="K46" s="40" t="n">
        <x:v>2</x:v>
      </x:c>
      <x:c r="L46" s="40" t="n">
        <x:v>1</x:v>
      </x:c>
    </x:row>
    <x:row r="47" ht="23" customHeight="1">
      <x:c r="B47" s="17" t="str">
        <x:v>All rounds</x:v>
      </x:c>
      <x:c r="C47" s="17" t="str">
        <x:v>line</x:v>
      </x:c>
      <x:c r="D47" s="17" t="str">
        <x:v>Cli_37</x:v>
      </x:c>
      <x:c r="E47" s="32" t="n">
        <x:v>0.7646999999999999</x:v>
      </x:c>
      <x:c r="F47" s="32" t="n">
        <x:v>0.0695</x:v>
      </x:c>
      <x:c r="G47" s="32" t="n">
        <x:v>0.8449</x:v>
      </x:c>
      <x:c r="H47" s="32" t="n">
        <x:v>0.9571999999999999</x:v>
      </x:c>
      <x:c r="I47" s="40" t="n">
        <x:v>2</x:v>
      </x:c>
      <x:c r="J47" s="40" t="n">
        <x:v>2</x:v>
      </x:c>
      <x:c r="K47" s="40" t="n">
        <x:v>1</x:v>
      </x:c>
      <x:c r="L47" s="40" t="n">
        <x:v>1</x:v>
      </x:c>
    </x:row>
    <x:row r="48" ht="23" customHeight="1">
      <x:c r="B48" s="17" t="str">
        <x:v>All rounds</x:v>
      </x:c>
      <x:c r="C48" s="17" t="str">
        <x:v>line</x:v>
      </x:c>
      <x:c r="D48" s="17" t="str">
        <x:v>Cli_38</x:v>
      </x:c>
      <x:c r="E48" s="32" t="n">
        <x:v>0.6386999999999999</x:v>
      </x:c>
      <x:c r="F48" s="32" t="n">
        <x:v>0.0681</x:v>
      </x:c>
      <x:c r="G48" s="32" t="n">
        <x:v>0.8377</x:v>
      </x:c>
      <x:c r="H48" s="32" t="n">
        <x:v>0.9372</x:v>
      </x:c>
      <x:c r="I48" s="40" t="n">
        <x:v>2</x:v>
      </x:c>
      <x:c r="J48" s="40" t="n">
        <x:v>2</x:v>
      </x:c>
      <x:c r="K48" s="40" t="n">
        <x:v>1</x:v>
      </x:c>
      <x:c r="L48" s="40" t="n">
        <x:v>1</x:v>
      </x:c>
    </x:row>
    <x:row r="49" ht="23" customHeight="1">
      <x:c r="B49" s="17" t="str">
        <x:v>All rounds</x:v>
      </x:c>
      <x:c r="C49" s="17" t="str">
        <x:v>line</x:v>
      </x:c>
      <x:c r="D49" s="17" t="str">
        <x:v>Cli_39</x:v>
      </x:c>
      <x:c r="E49" s="32" t="n">
        <x:v>1</x:v>
      </x:c>
      <x:c r="F49" s="32" t="n">
        <x:v>0.6905</x:v>
      </x:c>
      <x:c r="G49" s="32" t="n">
        <x:v>0.8571</x:v>
      </x:c>
      <x:c r="H49" s="32" t="n">
        <x:v>1</x:v>
      </x:c>
      <x:c r="I49" s="40" t="n">
        <x:v>2</x:v>
      </x:c>
      <x:c r="J49" s="40" t="n">
        <x:v>2</x:v>
      </x:c>
      <x:c r="K49" s="40" t="n">
        <x:v>2</x:v>
      </x:c>
      <x:c r="L49" s="40" t="n">
        <x:v>1</x:v>
      </x:c>
    </x:row>
    <x:row r="50" ht="23" customHeight="1">
      <x:c r="B50" s="17" t="str">
        <x:v>All rounds</x:v>
      </x:c>
      <x:c r="C50" s="17" t="str">
        <x:v>line</x:v>
      </x:c>
      <x:c r="D50" s="17" t="str">
        <x:v>Cli_4</x:v>
      </x:c>
      <x:c r="E50" s="32" t="n">
        <x:v>0</x:v>
      </x:c>
      <x:c r="F50" s="32" t="n">
        <x:v>0</x:v>
      </x:c>
      <x:c r="G50" s="32" t="n">
        <x:v>0</x:v>
      </x:c>
      <x:c r="H50" s="32" t="n">
        <x:v>0</x:v>
      </x:c>
      <x:c r="I50" s="40" t="n">
        <x:v>2</x:v>
      </x:c>
      <x:c r="J50" s="40" t="n">
        <x:v>2</x:v>
      </x:c>
      <x:c r="K50" s="40" t="n">
        <x:v>2</x:v>
      </x:c>
      <x:c r="L50" s="40" t="n">
        <x:v>1</x:v>
      </x:c>
    </x:row>
    <x:row r="51" ht="23" customHeight="1">
      <x:c r="B51" s="17" t="str">
        <x:v>All rounds</x:v>
      </x:c>
      <x:c r="C51" s="17" t="str">
        <x:v>line</x:v>
      </x:c>
      <x:c r="D51" s="17" t="str">
        <x:v>Cli_5</x:v>
      </x:c>
      <x:c r="E51" s="32" t="n">
        <x:v>0</x:v>
      </x:c>
      <x:c r="F51" s="32" t="n">
        <x:v>0</x:v>
      </x:c>
      <x:c r="G51" s="32" t="n">
        <x:v>0</x:v>
      </x:c>
      <x:c r="H51" s="32" t="n">
        <x:v>0</x:v>
      </x:c>
      <x:c r="I51" s="40" t="n">
        <x:v>2</x:v>
      </x:c>
      <x:c r="J51" s="40" t="n">
        <x:v>2</x:v>
      </x:c>
      <x:c r="K51" s="40" t="n">
        <x:v>2</x:v>
      </x:c>
      <x:c r="L51" s="40" t="n">
        <x:v>1</x:v>
      </x:c>
    </x:row>
    <x:row r="52" ht="23" customHeight="1">
      <x:c r="B52" s="17" t="str">
        <x:v>All rounds</x:v>
      </x:c>
      <x:c r="C52" s="17" t="str">
        <x:v>line</x:v>
      </x:c>
      <x:c r="D52" s="17" t="str">
        <x:v>Cli_8</x:v>
      </x:c>
      <x:c r="E52" s="32" t="n">
        <x:v>0</x:v>
      </x:c>
      <x:c r="F52" s="32" t="n">
        <x:v>0</x:v>
      </x:c>
      <x:c r="G52" s="32" t="n">
        <x:v>0</x:v>
      </x:c>
      <x:c r="H52" s="32" t="n">
        <x:v>0</x:v>
      </x:c>
      <x:c r="I52" s="40" t="n">
        <x:v>2</x:v>
      </x:c>
      <x:c r="J52" s="40" t="n">
        <x:v>2</x:v>
      </x:c>
      <x:c r="K52" s="40" t="n">
        <x:v>2</x:v>
      </x:c>
      <x:c r="L52" s="40" t="n">
        <x:v>1</x:v>
      </x:c>
    </x:row>
    <x:row r="53" ht="23" customHeight="1">
      <x:c r="B53" s="17" t="str">
        <x:v>All rounds</x:v>
      </x:c>
      <x:c r="C53" s="17" t="str">
        <x:v>line</x:v>
      </x:c>
      <x:c r="D53" s="17" t="str">
        <x:v>Closure_121</x:v>
      </x:c>
      <x:c r="E53" s="32" t="n">
        <x:v>0.0774</x:v>
      </x:c>
      <x:c r="F53" s="32" t="n">
        <x:v>0.0774</x:v>
      </x:c>
      <x:c r="G53" s="32" t="n">
        <x:v>0.6296</x:v>
      </x:c>
      <x:c r="H53" s="32" t="n">
        <x:v>0.0774</x:v>
      </x:c>
      <x:c r="I53" s="40" t="n">
        <x:v>2</x:v>
      </x:c>
      <x:c r="J53" s="40" t="n">
        <x:v>2</x:v>
      </x:c>
      <x:c r="K53" s="40" t="n">
        <x:v>1</x:v>
      </x:c>
      <x:c r="L53" s="40" t="n">
        <x:v>1</x:v>
      </x:c>
    </x:row>
    <x:row r="54" ht="23" customHeight="1">
      <x:c r="B54" s="17" t="str">
        <x:v>All rounds</x:v>
      </x:c>
      <x:c r="C54" s="17" t="str">
        <x:v>line</x:v>
      </x:c>
      <x:c r="D54" s="17" t="str">
        <x:v>Closure_131</x:v>
      </x:c>
      <x:c r="E54" s="32" t="n">
        <x:v>0.8673000000000001</x:v>
      </x:c>
      <x:c r="F54" s="32" t="n">
        <x:v>0.15039999999999998</x:v>
      </x:c>
      <x:c r="G54" s="32" t="n">
        <x:v>0.9912000000000001</x:v>
      </x:c>
      <x:c r="H54" s="32" t="n">
        <x:v>0.9912000000000001</x:v>
      </x:c>
      <x:c r="I54" s="40" t="n">
        <x:v>2</x:v>
      </x:c>
      <x:c r="J54" s="40" t="n">
        <x:v>2</x:v>
      </x:c>
      <x:c r="K54" s="40" t="n">
        <x:v>2</x:v>
      </x:c>
      <x:c r="L54" s="40" t="n">
        <x:v>1</x:v>
      </x:c>
    </x:row>
    <x:row r="55" ht="23" customHeight="1">
      <x:c r="B55" s="17" t="str">
        <x:v>All rounds</x:v>
      </x:c>
      <x:c r="C55" s="17" t="str">
        <x:v>line</x:v>
      </x:c>
      <x:c r="D55" s="17" t="str">
        <x:v>Closure_172</x:v>
      </x:c>
      <x:c r="E55" s="32" t="n">
        <x:v>0.16399999999999998</x:v>
      </x:c>
      <x:c r="F55" s="32" t="n">
        <x:v>0.0263</x:v>
      </x:c>
      <x:c r="G55" s="32" t="n">
        <x:v>0</x:v>
      </x:c>
      <x:c r="H55" s="32" t="n">
        <x:v>0</x:v>
      </x:c>
      <x:c r="I55" s="40" t="n">
        <x:v>2</x:v>
      </x:c>
      <x:c r="J55" s="40" t="n">
        <x:v>2</x:v>
      </x:c>
      <x:c r="K55" s="40" t="n">
        <x:v>2</x:v>
      </x:c>
      <x:c r="L55" s="40" t="n">
        <x:v>1</x:v>
      </x:c>
    </x:row>
    <x:row r="56" ht="23" customHeight="1">
      <x:c r="B56" s="17" t="str">
        <x:v>All rounds</x:v>
      </x:c>
      <x:c r="C56" s="17" t="str">
        <x:v>line</x:v>
      </x:c>
      <x:c r="D56" s="17" t="str">
        <x:v>Closure_20</x:v>
      </x:c>
      <x:c r="E56" s="32" t="n">
        <x:v>0.0716</x:v>
      </x:c>
      <x:c r="F56" s="32" t="n">
        <x:v>0.0318</x:v>
      </x:c>
      <x:c r="G56" s="32" t="n">
        <x:v>0.0981</x:v>
      </x:c>
      <x:c r="H56" s="32" t="n">
        <x:v>0.0981</x:v>
      </x:c>
      <x:c r="I56" s="40" t="n">
        <x:v>2</x:v>
      </x:c>
      <x:c r="J56" s="40" t="n">
        <x:v>2</x:v>
      </x:c>
      <x:c r="K56" s="40" t="n">
        <x:v>2</x:v>
      </x:c>
      <x:c r="L56" s="40" t="n">
        <x:v>1</x:v>
      </x:c>
    </x:row>
    <x:row r="57" ht="23" customHeight="1">
      <x:c r="B57" s="17" t="str">
        <x:v>All rounds</x:v>
      </x:c>
      <x:c r="C57" s="17" t="str">
        <x:v>line</x:v>
      </x:c>
      <x:c r="D57" s="17" t="str">
        <x:v>Closure_38</x:v>
      </x:c>
      <x:c r="E57" s="32" t="n">
        <x:v>0.0268</x:v>
      </x:c>
      <x:c r="F57" s="32" t="n">
        <x:v>0.0268</x:v>
      </x:c>
      <x:c r="G57" s="32" t="n">
        <x:v>0.6875</x:v>
      </x:c>
      <x:c r="H57" s="32" t="n">
        <x:v>0.6875</x:v>
      </x:c>
      <x:c r="I57" s="40" t="n">
        <x:v>2</x:v>
      </x:c>
      <x:c r="J57" s="40" t="n">
        <x:v>2</x:v>
      </x:c>
      <x:c r="K57" s="40" t="n">
        <x:v>2</x:v>
      </x:c>
      <x:c r="L57" s="40" t="n">
        <x:v>1</x:v>
      </x:c>
    </x:row>
    <x:row r="58" ht="23" customHeight="1">
      <x:c r="B58" s="17" t="str">
        <x:v>All rounds</x:v>
      </x:c>
      <x:c r="C58" s="17" t="str">
        <x:v>line</x:v>
      </x:c>
      <x:c r="D58" s="17" t="str">
        <x:v>Closure_44</x:v>
      </x:c>
      <x:c r="E58" s="32" t="n">
        <x:v>0.0275</x:v>
      </x:c>
      <x:c r="F58" s="32" t="n">
        <x:v>0.0275</x:v>
      </x:c>
      <x:c r="G58" s="32" t="n">
        <x:v>0.8349</x:v>
      </x:c>
      <x:c r="H58" s="32" t="n">
        <x:v>0.8349</x:v>
      </x:c>
      <x:c r="I58" s="40" t="n">
        <x:v>2</x:v>
      </x:c>
      <x:c r="J58" s="40" t="n">
        <x:v>2</x:v>
      </x:c>
      <x:c r="K58" s="40" t="n">
        <x:v>2</x:v>
      </x:c>
      <x:c r="L58" s="40" t="n">
        <x:v>1</x:v>
      </x:c>
    </x:row>
    <x:row r="59" ht="23" customHeight="1">
      <x:c r="B59" s="17" t="str">
        <x:v>All rounds</x:v>
      </x:c>
      <x:c r="C59" s="17" t="str">
        <x:v>line</x:v>
      </x:c>
      <x:c r="D59" s="17" t="str">
        <x:v>Codec_1</x:v>
      </x:c>
      <x:c r="E59" s="32" t="n">
        <x:v>0.9375</x:v>
      </x:c>
      <x:c r="F59" s="32" t="n">
        <x:v>0.53125</x:v>
      </x:c>
      <x:c r="G59" s="32" t="n">
        <x:v>0.7227</x:v>
      </x:c>
      <x:c r="H59" s="32" t="n">
        <x:v>0.7304999999999999</x:v>
      </x:c>
      <x:c r="I59" s="40" t="n">
        <x:v>2</x:v>
      </x:c>
      <x:c r="J59" s="40" t="n">
        <x:v>2</x:v>
      </x:c>
      <x:c r="K59" s="40" t="n">
        <x:v>1</x:v>
      </x:c>
      <x:c r="L59" s="40" t="n">
        <x:v>1</x:v>
      </x:c>
    </x:row>
    <x:row r="60" ht="23" customHeight="1">
      <x:c r="B60" s="17" t="str">
        <x:v>All rounds</x:v>
      </x:c>
      <x:c r="C60" s="17" t="str">
        <x:v>line</x:v>
      </x:c>
      <x:c r="D60" s="17" t="str">
        <x:v>Codec_10</x:v>
      </x:c>
      <x:c r="E60" s="32" t="n">
        <x:v>1</x:v>
      </x:c>
      <x:c r="F60" s="32" t="n">
        <x:v>1</x:v>
      </x:c>
      <x:c r="G60" s="32" t="n">
        <x:v>0.99275</x:v>
      </x:c>
      <x:c r="H60" s="32" t="n">
        <x:v>1</x:v>
      </x:c>
      <x:c r="I60" s="40" t="n">
        <x:v>2</x:v>
      </x:c>
      <x:c r="J60" s="40" t="n">
        <x:v>2</x:v>
      </x:c>
      <x:c r="K60" s="40" t="n">
        <x:v>2</x:v>
      </x:c>
      <x:c r="L60" s="40" t="n">
        <x:v>1</x:v>
      </x:c>
    </x:row>
    <x:row r="61" ht="23" customHeight="1">
      <x:c r="B61" s="17" t="str">
        <x:v>All rounds</x:v>
      </x:c>
      <x:c r="C61" s="17" t="str">
        <x:v>line</x:v>
      </x:c>
      <x:c r="D61" s="17" t="str">
        <x:v>Codec_11</x:v>
      </x:c>
      <x:c r="E61" s="32" t="n">
        <x:v>0.9753000000000001</x:v>
      </x:c>
      <x:c r="F61" s="32" t="n">
        <x:v>0.8889</x:v>
      </x:c>
      <x:c r="G61" s="32" t="n">
        <x:v>0.9259000000000001</x:v>
      </x:c>
      <x:c r="H61" s="32" t="n">
        <x:v>0.7901</x:v>
      </x:c>
      <x:c r="I61" s="40" t="n">
        <x:v>2</x:v>
      </x:c>
      <x:c r="J61" s="40" t="n">
        <x:v>2</x:v>
      </x:c>
      <x:c r="K61" s="40" t="n">
        <x:v>1</x:v>
      </x:c>
      <x:c r="L61" s="40" t="n">
        <x:v>1</x:v>
      </x:c>
    </x:row>
    <x:row r="62" ht="23" customHeight="1">
      <x:c r="B62" s="17" t="str">
        <x:v>All rounds</x:v>
      </x:c>
      <x:c r="C62" s="17" t="str">
        <x:v>line</x:v>
      </x:c>
      <x:c r="D62" s="17" t="str">
        <x:v>Codec_12</x:v>
      </x:c>
      <x:c r="E62" s="32" t="n">
        <x:v>0.9677</x:v>
      </x:c>
      <x:c r="F62" s="32" t="n">
        <x:v>0.5806</x:v>
      </x:c>
      <x:c r="G62" s="32" t="n">
        <x:v>0.9677</x:v>
      </x:c>
      <x:c r="H62" s="32" t="n">
        <x:v>0.9677</x:v>
      </x:c>
      <x:c r="I62" s="40" t="n">
        <x:v>2</x:v>
      </x:c>
      <x:c r="J62" s="40" t="n">
        <x:v>2</x:v>
      </x:c>
      <x:c r="K62" s="40" t="n">
        <x:v>1</x:v>
      </x:c>
      <x:c r="L62" s="40" t="n">
        <x:v>1</x:v>
      </x:c>
    </x:row>
    <x:row r="63" ht="23" customHeight="1">
      <x:c r="B63" s="17" t="str">
        <x:v>All rounds</x:v>
      </x:c>
      <x:c r="C63" s="17" t="str">
        <x:v>line</x:v>
      </x:c>
      <x:c r="D63" s="17" t="str">
        <x:v>Codec_16</x:v>
      </x:c>
      <x:c r="E63" s="32" t="n">
        <x:v>1</x:v>
      </x:c>
      <x:c r="F63" s="32" t="n">
        <x:v>0.8704500000000001</x:v>
      </x:c>
      <x:c r="G63" s="32" t="n">
        <x:v>0.8364</x:v>
      </x:c>
      <x:c r="H63" s="32" t="n">
        <x:v>0.7048000000000001</x:v>
      </x:c>
      <x:c r="I63" s="40" t="n">
        <x:v>2</x:v>
      </x:c>
      <x:c r="J63" s="40" t="n">
        <x:v>2</x:v>
      </x:c>
      <x:c r="K63" s="40" t="n">
        <x:v>1</x:v>
      </x:c>
      <x:c r="L63" s="40" t="n">
        <x:v>1</x:v>
      </x:c>
    </x:row>
    <x:row r="64" ht="23" customHeight="1">
      <x:c r="B64" s="17" t="str">
        <x:v>All rounds</x:v>
      </x:c>
      <x:c r="C64" s="17" t="str">
        <x:v>line</x:v>
      </x:c>
      <x:c r="D64" s="17" t="str">
        <x:v>Codec_18</x:v>
      </x:c>
      <x:c r="E64" s="32" t="n">
        <x:v>1</x:v>
      </x:c>
      <x:c r="F64" s="32" t="n">
        <x:v>0.8846</x:v>
      </x:c>
      <x:c r="G64" s="32" t="n">
        <x:v>0.9743999999999999</x:v>
      </x:c>
      <x:c r="H64" s="32" t="n">
        <x:v>0.6923</x:v>
      </x:c>
      <x:c r="I64" s="40" t="n">
        <x:v>2</x:v>
      </x:c>
      <x:c r="J64" s="40" t="n">
        <x:v>2</x:v>
      </x:c>
      <x:c r="K64" s="40" t="n">
        <x:v>1</x:v>
      </x:c>
      <x:c r="L64" s="40" t="n">
        <x:v>1</x:v>
      </x:c>
    </x:row>
    <x:row r="65" ht="23" customHeight="1">
      <x:c r="B65" s="17" t="str">
        <x:v>All rounds</x:v>
      </x:c>
      <x:c r="C65" s="17" t="str">
        <x:v>line</x:v>
      </x:c>
      <x:c r="D65" s="17" t="str">
        <x:v>Codec_3</x:v>
      </x:c>
      <x:c r="E65" s="32" t="n">
        <x:v>0.8808</x:v>
      </x:c>
      <x:c r="F65" s="32" t="n">
        <x:v>0.21965</x:v>
      </x:c>
      <x:c r="G65" s="32" t="n">
        <x:v>0.9248999999999999</x:v>
      </x:c>
      <x:c r="H65" s="32" t="n">
        <x:v>0.9051</x:v>
      </x:c>
      <x:c r="I65" s="40" t="n">
        <x:v>2</x:v>
      </x:c>
      <x:c r="J65" s="40" t="n">
        <x:v>2</x:v>
      </x:c>
      <x:c r="K65" s="40" t="n">
        <x:v>1</x:v>
      </x:c>
      <x:c r="L65" s="40" t="n">
        <x:v>1</x:v>
      </x:c>
    </x:row>
    <x:row r="66" ht="23" customHeight="1">
      <x:c r="B66" s="17" t="str">
        <x:v>All rounds</x:v>
      </x:c>
      <x:c r="C66" s="17" t="str">
        <x:v>line</x:v>
      </x:c>
      <x:c r="D66" s="17" t="str">
        <x:v>Codec_6</x:v>
      </x:c>
      <x:c r="E66" s="32" t="n">
        <x:v>1</x:v>
      </x:c>
      <x:c r="F66" s="32" t="n">
        <x:v>0.7857500000000001</x:v>
      </x:c>
      <x:c r="G66" s="32" t="n">
        <x:v>1</x:v>
      </x:c>
      <x:c r="H66" s="32" t="n">
        <x:v>0.8</x:v>
      </x:c>
      <x:c r="I66" s="40" t="n">
        <x:v>2</x:v>
      </x:c>
      <x:c r="J66" s="40" t="n">
        <x:v>2</x:v>
      </x:c>
      <x:c r="K66" s="40" t="n">
        <x:v>1</x:v>
      </x:c>
      <x:c r="L66" s="40" t="n">
        <x:v>1</x:v>
      </x:c>
    </x:row>
    <x:row r="67" ht="23" customHeight="1">
      <x:c r="B67" s="17" t="str">
        <x:v>All rounds</x:v>
      </x:c>
      <x:c r="C67" s="17" t="str">
        <x:v>line</x:v>
      </x:c>
      <x:c r="D67" s="17" t="str">
        <x:v>Collections_1</x:v>
      </x:c>
      <x:c r="E67" s="32" t="n">
        <x:v>0.7047</x:v>
      </x:c>
      <x:c r="F67" s="32" t="n">
        <x:v>0.3126</x:v>
      </x:c>
      <x:c r="G67" s="32" t="n">
        <x:v>0.5539999999999999</x:v>
      </x:c>
      <x:c r="H67" s="32" t="n">
        <x:v>0.2974</x:v>
      </x:c>
      <x:c r="I67" s="40" t="n">
        <x:v>2</x:v>
      </x:c>
      <x:c r="J67" s="40" t="n">
        <x:v>2</x:v>
      </x:c>
      <x:c r="K67" s="40" t="n">
        <x:v>1</x:v>
      </x:c>
      <x:c r="L67" s="40" t="n">
        <x:v>1</x:v>
      </x:c>
    </x:row>
    <x:row r="68" ht="23" customHeight="1">
      <x:c r="B68" s="17" t="str">
        <x:v>All rounds</x:v>
      </x:c>
      <x:c r="C68" s="17" t="str">
        <x:v>line</x:v>
      </x:c>
      <x:c r="D68" s="17" t="str">
        <x:v>Collections_10</x:v>
      </x:c>
      <x:c r="E68" s="32" t="n">
        <x:v>0.8739</x:v>
      </x:c>
      <x:c r="F68" s="32" t="n">
        <x:v>0.5840000000000001</x:v>
      </x:c>
      <x:c r="G68" s="32" t="n">
        <x:v>0.8571</x:v>
      </x:c>
      <x:c r="H68" s="32" t="n">
        <x:v>0.5294</x:v>
      </x:c>
      <x:c r="I68" s="40" t="n">
        <x:v>2</x:v>
      </x:c>
      <x:c r="J68" s="40" t="n">
        <x:v>2</x:v>
      </x:c>
      <x:c r="K68" s="40" t="n">
        <x:v>2</x:v>
      </x:c>
      <x:c r="L68" s="40" t="n">
        <x:v>1</x:v>
      </x:c>
    </x:row>
    <x:row r="69" ht="23" customHeight="1">
      <x:c r="B69" s="17" t="str">
        <x:v>All rounds</x:v>
      </x:c>
      <x:c r="C69" s="17" t="str">
        <x:v>line</x:v>
      </x:c>
      <x:c r="D69" s="17" t="str">
        <x:v>Collections_11</x:v>
      </x:c>
      <x:c r="E69" s="32" t="n">
        <x:v>1</x:v>
      </x:c>
      <x:c r="F69" s="32" t="n">
        <x:v>0.9714</x:v>
      </x:c>
      <x:c r="G69" s="32" t="n">
        <x:v>1</x:v>
      </x:c>
      <x:c r="H69" s="32" t="n">
        <x:v>0.9143000000000001</x:v>
      </x:c>
      <x:c r="I69" s="40" t="n">
        <x:v>2</x:v>
      </x:c>
      <x:c r="J69" s="40" t="n">
        <x:v>2</x:v>
      </x:c>
      <x:c r="K69" s="40" t="n">
        <x:v>2</x:v>
      </x:c>
      <x:c r="L69" s="40" t="n">
        <x:v>1</x:v>
      </x:c>
    </x:row>
    <x:row r="70" ht="23" customHeight="1">
      <x:c r="B70" s="17" t="str">
        <x:v>All rounds</x:v>
      </x:c>
      <x:c r="C70" s="17" t="str">
        <x:v>line</x:v>
      </x:c>
      <x:c r="D70" s="17" t="str">
        <x:v>Collections_14</x:v>
      </x:c>
      <x:c r="E70" s="32" t="n">
        <x:v>0.6667000000000001</x:v>
      </x:c>
      <x:c r="F70" s="32" t="n">
        <x:v>0.58335</x:v>
      </x:c>
      <x:c r="G70" s="32" t="n">
        <x:v>0.6667000000000001</x:v>
      </x:c>
      <x:c r="H70" s="32" t="n">
        <x:v>1</x:v>
      </x:c>
      <x:c r="I70" s="40" t="n">
        <x:v>2</x:v>
      </x:c>
      <x:c r="J70" s="40" t="n">
        <x:v>2</x:v>
      </x:c>
      <x:c r="K70" s="40" t="n">
        <x:v>1</x:v>
      </x:c>
      <x:c r="L70" s="40" t="n">
        <x:v>1</x:v>
      </x:c>
    </x:row>
    <x:row r="71" ht="23" customHeight="1">
      <x:c r="B71" s="17" t="str">
        <x:v>All rounds</x:v>
      </x:c>
      <x:c r="C71" s="17" t="str">
        <x:v>line</x:v>
      </x:c>
      <x:c r="D71" s="17" t="str">
        <x:v>Collections_15</x:v>
      </x:c>
      <x:c r="E71" s="32" t="n">
        <x:v>1</x:v>
      </x:c>
      <x:c r="F71" s="32" t="n">
        <x:v>0.0581</x:v>
      </x:c>
      <x:c r="G71" s="32" t="n">
        <x:v>0.9767</x:v>
      </x:c>
      <x:c r="H71" s="32" t="n">
        <x:v>1</x:v>
      </x:c>
      <x:c r="I71" s="40" t="n">
        <x:v>2</x:v>
      </x:c>
      <x:c r="J71" s="40" t="n">
        <x:v>2</x:v>
      </x:c>
      <x:c r="K71" s="40" t="n">
        <x:v>1</x:v>
      </x:c>
      <x:c r="L71" s="40" t="n">
        <x:v>1</x:v>
      </x:c>
    </x:row>
    <x:row r="72" ht="23" customHeight="1">
      <x:c r="B72" s="17" t="str">
        <x:v>All rounds</x:v>
      </x:c>
      <x:c r="C72" s="17" t="str">
        <x:v>line</x:v>
      </x:c>
      <x:c r="D72" s="17" t="str">
        <x:v>Collections_18</x:v>
      </x:c>
      <x:c r="E72" s="32" t="n">
        <x:v>0.9677</x:v>
      </x:c>
      <x:c r="F72" s="32" t="n">
        <x:v>0.84405</x:v>
      </x:c>
      <x:c r="G72" s="32" t="n">
        <x:v>0.9031999999999999</x:v>
      </x:c>
      <x:c r="H72" s="32" t="n">
        <x:v>0.9892</x:v>
      </x:c>
      <x:c r="I72" s="40" t="n">
        <x:v>2</x:v>
      </x:c>
      <x:c r="J72" s="40" t="n">
        <x:v>2</x:v>
      </x:c>
      <x:c r="K72" s="40" t="n">
        <x:v>1</x:v>
      </x:c>
      <x:c r="L72" s="40" t="n">
        <x:v>1</x:v>
      </x:c>
    </x:row>
    <x:row r="73" ht="23" customHeight="1">
      <x:c r="B73" s="17" t="str">
        <x:v>All rounds</x:v>
      </x:c>
      <x:c r="C73" s="17" t="str">
        <x:v>line</x:v>
      </x:c>
      <x:c r="D73" s="17" t="str">
        <x:v>Collections_19</x:v>
      </x:c>
      <x:c r="E73" s="32" t="n">
        <x:v>0.9632999999999999</x:v>
      </x:c>
      <x:c r="F73" s="32" t="n">
        <x:v>0.7431</x:v>
      </x:c>
      <x:c r="G73" s="32" t="n">
        <x:v>0.9358</x:v>
      </x:c>
      <x:c r="H73" s="32" t="n">
        <x:v>1</x:v>
      </x:c>
      <x:c r="I73" s="40" t="n">
        <x:v>2</x:v>
      </x:c>
      <x:c r="J73" s="40" t="n">
        <x:v>2</x:v>
      </x:c>
      <x:c r="K73" s="40" t="n">
        <x:v>1</x:v>
      </x:c>
      <x:c r="L73" s="40" t="n">
        <x:v>1</x:v>
      </x:c>
    </x:row>
    <x:row r="74" ht="23" customHeight="1">
      <x:c r="B74" s="17" t="str">
        <x:v>All rounds</x:v>
      </x:c>
      <x:c r="C74" s="17" t="str">
        <x:v>line</x:v>
      </x:c>
      <x:c r="D74" s="17" t="str">
        <x:v>Collections_20</x:v>
      </x:c>
      <x:c r="E74" s="32" t="n">
        <x:v>0.9727</x:v>
      </x:c>
      <x:c r="F74" s="32" t="n">
        <x:v>0.7048000000000001</x:v>
      </x:c>
      <x:c r="G74" s="32" t="n">
        <x:v>0.8123</x:v>
      </x:c>
      <x:c r="H74" s="32" t="n">
        <x:v>0.9181</x:v>
      </x:c>
      <x:c r="I74" s="40" t="n">
        <x:v>2</x:v>
      </x:c>
      <x:c r="J74" s="40" t="n">
        <x:v>2</x:v>
      </x:c>
      <x:c r="K74" s="40" t="n">
        <x:v>2</x:v>
      </x:c>
      <x:c r="L74" s="40" t="n">
        <x:v>1</x:v>
      </x:c>
    </x:row>
    <x:row r="75" ht="23" customHeight="1">
      <x:c r="B75" s="17" t="str">
        <x:v>All rounds</x:v>
      </x:c>
      <x:c r="C75" s="17" t="str">
        <x:v>line</x:v>
      </x:c>
      <x:c r="D75" s="17" t="str">
        <x:v>Collections_21</x:v>
      </x:c>
      <x:c r="E75" s="32" t="n">
        <x:v>0.9632999999999999</x:v>
      </x:c>
      <x:c r="F75" s="32" t="n">
        <x:v>0.7431</x:v>
      </x:c>
      <x:c r="G75" s="32" t="n">
        <x:v>0.9358</x:v>
      </x:c>
      <x:c r="H75" s="32" t="n">
        <x:v>1</x:v>
      </x:c>
      <x:c r="I75" s="40" t="n">
        <x:v>2</x:v>
      </x:c>
      <x:c r="J75" s="40" t="n">
        <x:v>2</x:v>
      </x:c>
      <x:c r="K75" s="40" t="n">
        <x:v>2</x:v>
      </x:c>
      <x:c r="L75" s="40" t="n">
        <x:v>1</x:v>
      </x:c>
    </x:row>
    <x:row r="76" ht="23" customHeight="1">
      <x:c r="B76" s="17" t="str">
        <x:v>All rounds</x:v>
      </x:c>
      <x:c r="C76" s="17" t="str">
        <x:v>line</x:v>
      </x:c>
      <x:c r="D76" s="17" t="str">
        <x:v>Collections_24</x:v>
      </x:c>
      <x:c r="E76" s="32" t="n">
        <x:v>0.7308</x:v>
      </x:c>
      <x:c r="F76" s="32" t="n">
        <x:v>0</x:v>
      </x:c>
      <x:c r="G76" s="32" t="n">
        <x:v>0.9615</x:v>
      </x:c>
      <x:c r="H76" s="32" t="n">
        <x:v>1</x:v>
      </x:c>
      <x:c r="I76" s="40" t="n">
        <x:v>2</x:v>
      </x:c>
      <x:c r="J76" s="40" t="n">
        <x:v>2</x:v>
      </x:c>
      <x:c r="K76" s="40" t="n">
        <x:v>2</x:v>
      </x:c>
      <x:c r="L76" s="40" t="n">
        <x:v>1</x:v>
      </x:c>
    </x:row>
    <x:row r="77" ht="23" customHeight="1">
      <x:c r="B77" s="17" t="str">
        <x:v>All rounds</x:v>
      </x:c>
      <x:c r="C77" s="17" t="str">
        <x:v>line</x:v>
      </x:c>
      <x:c r="D77" s="17" t="str">
        <x:v>Collections_26</x:v>
      </x:c>
      <x:c r="E77" s="32" t="n">
        <x:v>0.9189</x:v>
      </x:c>
      <x:c r="F77" s="32" t="n">
        <x:v>0.9189</x:v>
      </x:c>
      <x:c r="G77" s="32" t="n">
        <x:v>0.9459000000000001</x:v>
      </x:c>
      <x:c r="H77" s="32" t="n">
        <x:v>0.8649</x:v>
      </x:c>
      <x:c r="I77" s="40" t="n">
        <x:v>2</x:v>
      </x:c>
      <x:c r="J77" s="40" t="n">
        <x:v>2</x:v>
      </x:c>
      <x:c r="K77" s="40" t="n">
        <x:v>2</x:v>
      </x:c>
      <x:c r="L77" s="40" t="n">
        <x:v>1</x:v>
      </x:c>
    </x:row>
    <x:row r="78" ht="23" customHeight="1">
      <x:c r="B78" s="17" t="str">
        <x:v>All rounds</x:v>
      </x:c>
      <x:c r="C78" s="17" t="str">
        <x:v>line</x:v>
      </x:c>
      <x:c r="D78" s="17" t="str">
        <x:v>Collections_27</x:v>
      </x:c>
      <x:c r="E78" s="32" t="n">
        <x:v>0.7795000000000001</x:v>
      </x:c>
      <x:c r="F78" s="32" t="n">
        <x:v>0.55905</x:v>
      </x:c>
      <x:c r="G78" s="32" t="n">
        <x:v>0.8583</x:v>
      </x:c>
      <x:c r="H78" s="32" t="n">
        <x:v>0.5354</x:v>
      </x:c>
      <x:c r="I78" s="40" t="n">
        <x:v>2</x:v>
      </x:c>
      <x:c r="J78" s="40" t="n">
        <x:v>2</x:v>
      </x:c>
      <x:c r="K78" s="40" t="n">
        <x:v>2</x:v>
      </x:c>
      <x:c r="L78" s="40" t="n">
        <x:v>1</x:v>
      </x:c>
    </x:row>
    <x:row r="79" ht="23" customHeight="1">
      <x:c r="B79" s="17" t="str">
        <x:v>All rounds</x:v>
      </x:c>
      <x:c r="C79" s="17" t="str">
        <x:v>line</x:v>
      </x:c>
      <x:c r="D79" s="17" t="str">
        <x:v>Collections_4</x:v>
      </x:c>
      <x:c r="E79" s="32" t="n">
        <x:v>0.9189</x:v>
      </x:c>
      <x:c r="F79" s="32" t="n">
        <x:v>0.6081</x:v>
      </x:c>
      <x:c r="G79" s="32" t="n">
        <x:v>0.9279000000000001</x:v>
      </x:c>
      <x:c r="H79" s="32" t="n">
        <x:v>0.5586</x:v>
      </x:c>
      <x:c r="I79" s="40" t="n">
        <x:v>2</x:v>
      </x:c>
      <x:c r="J79" s="40" t="n">
        <x:v>2</x:v>
      </x:c>
      <x:c r="K79" s="40" t="n">
        <x:v>1</x:v>
      </x:c>
      <x:c r="L79" s="40" t="n">
        <x:v>1</x:v>
      </x:c>
    </x:row>
    <x:row r="80" ht="23" customHeight="1">
      <x:c r="B80" s="17" t="str">
        <x:v>All rounds</x:v>
      </x:c>
      <x:c r="C80" s="17" t="str">
        <x:v>line</x:v>
      </x:c>
      <x:c r="D80" s="17" t="str">
        <x:v>Collections_5</x:v>
      </x:c>
      <x:c r="E80" s="32" t="n">
        <x:v>1</x:v>
      </x:c>
      <x:c r="F80" s="32" t="n">
        <x:v>0.061</x:v>
      </x:c>
      <x:c r="G80" s="32" t="n">
        <x:v>0.9878</x:v>
      </x:c>
      <x:c r="H80" s="32" t="n">
        <x:v>0.37799999999999995</x:v>
      </x:c>
      <x:c r="I80" s="40" t="n">
        <x:v>2</x:v>
      </x:c>
      <x:c r="J80" s="40" t="n">
        <x:v>2</x:v>
      </x:c>
      <x:c r="K80" s="40" t="n">
        <x:v>2</x:v>
      </x:c>
      <x:c r="L80" s="40" t="n">
        <x:v>1</x:v>
      </x:c>
    </x:row>
    <x:row r="81" ht="23" customHeight="1">
      <x:c r="B81" s="17" t="str">
        <x:v>All rounds</x:v>
      </x:c>
      <x:c r="C81" s="17" t="str">
        <x:v>line</x:v>
      </x:c>
      <x:c r="D81" s="17" t="str">
        <x:v>Collections_6</x:v>
      </x:c>
      <x:c r="E81" s="32" t="n">
        <x:v>0.6606000000000001</x:v>
      </x:c>
      <x:c r="F81" s="32" t="n">
        <x:v>0.31010000000000004</x:v>
      </x:c>
      <x:c r="G81" s="32" t="n">
        <x:v>0.5919</x:v>
      </x:c>
      <x:c r="H81" s="32" t="n">
        <x:v>0.2949</x:v>
      </x:c>
      <x:c r="I81" s="40" t="n">
        <x:v>2</x:v>
      </x:c>
      <x:c r="J81" s="40" t="n">
        <x:v>2</x:v>
      </x:c>
      <x:c r="K81" s="40" t="n">
        <x:v>2</x:v>
      </x:c>
      <x:c r="L81" s="40" t="n">
        <x:v>1</x:v>
      </x:c>
    </x:row>
    <x:row r="82" ht="23" customHeight="1">
      <x:c r="B82" s="17" t="str">
        <x:v>All rounds</x:v>
      </x:c>
      <x:c r="C82" s="17" t="str">
        <x:v>line</x:v>
      </x:c>
      <x:c r="D82" s="17" t="str">
        <x:v>Collections_8</x:v>
      </x:c>
      <x:c r="E82" s="32" t="n">
        <x:v>0.8295</x:v>
      </x:c>
      <x:c r="F82" s="32" t="n">
        <x:v>0.6193</x:v>
      </x:c>
      <x:c r="G82" s="32" t="n">
        <x:v>0.8409</x:v>
      </x:c>
      <x:c r="H82" s="32" t="n">
        <x:v>0.5455</x:v>
      </x:c>
      <x:c r="I82" s="40" t="n">
        <x:v>2</x:v>
      </x:c>
      <x:c r="J82" s="40" t="n">
        <x:v>2</x:v>
      </x:c>
      <x:c r="K82" s="40" t="n">
        <x:v>1</x:v>
      </x:c>
      <x:c r="L82" s="40" t="n">
        <x:v>1</x:v>
      </x:c>
    </x:row>
    <x:row r="83" ht="23" customHeight="1">
      <x:c r="B83" s="17" t="str">
        <x:v>All rounds</x:v>
      </x:c>
      <x:c r="C83" s="17" t="str">
        <x:v>line</x:v>
      </x:c>
      <x:c r="D83" s="17" t="str">
        <x:v>Compress_10</x:v>
      </x:c>
      <x:c r="E83" s="32" t="n">
        <x:v>0.1612</x:v>
      </x:c>
      <x:c r="F83" s="32" t="n">
        <x:v>0.0592</x:v>
      </x:c>
      <x:c r="G83" s="32" t="n">
        <x:v>0.6809000000000001</x:v>
      </x:c>
      <x:c r="H83" s="32" t="n">
        <x:v>0.9211</x:v>
      </x:c>
      <x:c r="I83" s="40" t="n">
        <x:v>2</x:v>
      </x:c>
      <x:c r="J83" s="40" t="n">
        <x:v>2</x:v>
      </x:c>
      <x:c r="K83" s="40" t="n">
        <x:v>1</x:v>
      </x:c>
      <x:c r="L83" s="40" t="n">
        <x:v>1</x:v>
      </x:c>
    </x:row>
    <x:row r="84" ht="23" customHeight="1">
      <x:c r="B84" s="17" t="str">
        <x:v>All rounds</x:v>
      </x:c>
      <x:c r="C84" s="17" t="str">
        <x:v>line</x:v>
      </x:c>
      <x:c r="D84" s="17" t="str">
        <x:v>Compress_14</x:v>
      </x:c>
      <x:c r="E84" s="32" t="n">
        <x:v>0.9505</x:v>
      </x:c>
      <x:c r="F84" s="32" t="n">
        <x:v>0.70795</x:v>
      </x:c>
      <x:c r="G84" s="32" t="n">
        <x:v>0.7228</x:v>
      </x:c>
      <x:c r="H84" s="32" t="n">
        <x:v>0.9901000000000001</x:v>
      </x:c>
      <x:c r="I84" s="40" t="n">
        <x:v>2</x:v>
      </x:c>
      <x:c r="J84" s="40" t="n">
        <x:v>2</x:v>
      </x:c>
      <x:c r="K84" s="40" t="n">
        <x:v>2</x:v>
      </x:c>
      <x:c r="L84" s="40" t="n">
        <x:v>1</x:v>
      </x:c>
    </x:row>
    <x:row r="85" ht="23" customHeight="1">
      <x:c r="B85" s="17" t="str">
        <x:v>All rounds</x:v>
      </x:c>
      <x:c r="C85" s="17" t="str">
        <x:v>line</x:v>
      </x:c>
      <x:c r="D85" s="17" t="str">
        <x:v>Compress_19</x:v>
      </x:c>
      <x:c r="E85" s="32" t="n">
        <x:v>1</x:v>
      </x:c>
      <x:c r="F85" s="32" t="n">
        <x:v>0.5238</x:v>
      </x:c>
      <x:c r="G85" s="32" t="n">
        <x:v>0.9899</x:v>
      </x:c>
      <x:c r="H85" s="32" t="n">
        <x:v>1</x:v>
      </x:c>
      <x:c r="I85" s="40" t="n">
        <x:v>2</x:v>
      </x:c>
      <x:c r="J85" s="40" t="n">
        <x:v>2</x:v>
      </x:c>
      <x:c r="K85" s="40" t="n">
        <x:v>1</x:v>
      </x:c>
      <x:c r="L85" s="40" t="n">
        <x:v>1</x:v>
      </x:c>
    </x:row>
    <x:row r="86" ht="23" customHeight="1">
      <x:c r="B86" s="17" t="str">
        <x:v>All rounds</x:v>
      </x:c>
      <x:c r="C86" s="17" t="str">
        <x:v>line</x:v>
      </x:c>
      <x:c r="D86" s="17" t="str">
        <x:v>Compress_20</x:v>
      </x:c>
      <x:c r="E86" s="32" t="n">
        <x:v>0.35979999999999995</x:v>
      </x:c>
      <x:c r="F86" s="32" t="n">
        <x:v>0.2757</x:v>
      </x:c>
      <x:c r="G86" s="32" t="n">
        <x:v>0.39909999999999995</x:v>
      </x:c>
      <x:c r="H86" s="32" t="n">
        <x:v>0.972</x:v>
      </x:c>
      <x:c r="I86" s="40" t="n">
        <x:v>2</x:v>
      </x:c>
      <x:c r="J86" s="40" t="n">
        <x:v>2</x:v>
      </x:c>
      <x:c r="K86" s="40" t="n">
        <x:v>2</x:v>
      </x:c>
      <x:c r="L86" s="40" t="n">
        <x:v>1</x:v>
      </x:c>
    </x:row>
    <x:row r="87" ht="23" customHeight="1">
      <x:c r="B87" s="17" t="str">
        <x:v>All rounds</x:v>
      </x:c>
      <x:c r="C87" s="17" t="str">
        <x:v>line</x:v>
      </x:c>
      <x:c r="D87" s="17" t="str">
        <x:v>Compress_21</x:v>
      </x:c>
      <x:c r="E87" s="32" t="n">
        <x:v>0.7923</x:v>
      </x:c>
      <x:c r="F87" s="32" t="n">
        <x:v>0.0231</x:v>
      </x:c>
      <x:c r="G87" s="32" t="n">
        <x:v>0.7128</x:v>
      </x:c>
      <x:c r="H87" s="32" t="n">
        <x:v>0.9333</x:v>
      </x:c>
      <x:c r="I87" s="40" t="n">
        <x:v>2</x:v>
      </x:c>
      <x:c r="J87" s="40" t="n">
        <x:v>2</x:v>
      </x:c>
      <x:c r="K87" s="40" t="n">
        <x:v>2</x:v>
      </x:c>
      <x:c r="L87" s="40" t="n">
        <x:v>1</x:v>
      </x:c>
    </x:row>
    <x:row r="88" ht="23" customHeight="1">
      <x:c r="B88" s="17" t="str">
        <x:v>All rounds</x:v>
      </x:c>
      <x:c r="C88" s="17" t="str">
        <x:v>line</x:v>
      </x:c>
      <x:c r="D88" s="17" t="str">
        <x:v>Compress_22</x:v>
      </x:c>
      <x:c r="E88" s="32" t="n">
        <x:v>0.0418</x:v>
      </x:c>
      <x:c r="F88" s="32" t="n">
        <x:v>0.03485</x:v>
      </x:c>
      <x:c r="G88" s="32" t="n">
        <x:v>0.084</x:v>
      </x:c>
      <x:c r="H88" s="32" t="n">
        <x:v>0.2052</x:v>
      </x:c>
      <x:c r="I88" s="40" t="n">
        <x:v>2</x:v>
      </x:c>
      <x:c r="J88" s="40" t="n">
        <x:v>2</x:v>
      </x:c>
      <x:c r="K88" s="40" t="n">
        <x:v>1</x:v>
      </x:c>
      <x:c r="L88" s="40" t="n">
        <x:v>1</x:v>
      </x:c>
    </x:row>
    <x:row r="89" ht="23" customHeight="1">
      <x:c r="B89" s="17" t="str">
        <x:v>All rounds</x:v>
      </x:c>
      <x:c r="C89" s="17" t="str">
        <x:v>line</x:v>
      </x:c>
      <x:c r="D89" s="17" t="str">
        <x:v>Compress_25</x:v>
      </x:c>
      <x:c r="E89" s="32" t="n">
        <x:v>0.182</x:v>
      </x:c>
      <x:c r="F89" s="32" t="n">
        <x:v>0.1484</x:v>
      </x:c>
      <x:c r="G89" s="32" t="n">
        <x:v>0.6384000000000001</x:v>
      </x:c>
      <x:c r="H89" s="32" t="n">
        <x:v>0.6534</x:v>
      </x:c>
      <x:c r="I89" s="40" t="n">
        <x:v>2</x:v>
      </x:c>
      <x:c r="J89" s="40" t="n">
        <x:v>2</x:v>
      </x:c>
      <x:c r="K89" s="40" t="n">
        <x:v>1</x:v>
      </x:c>
      <x:c r="L89" s="40" t="n">
        <x:v>1</x:v>
      </x:c>
    </x:row>
    <x:row r="90" ht="23" customHeight="1">
      <x:c r="B90" s="17" t="str">
        <x:v>All rounds</x:v>
      </x:c>
      <x:c r="C90" s="17" t="str">
        <x:v>line</x:v>
      </x:c>
      <x:c r="D90" s="17" t="str">
        <x:v>Compress_26</x:v>
      </x:c>
      <x:c r="E90" s="32" t="n">
        <x:v>0.9167000000000001</x:v>
      </x:c>
      <x:c r="F90" s="32" t="n">
        <x:v>0.5556</x:v>
      </x:c>
      <x:c r="G90" s="32" t="n">
        <x:v>1</x:v>
      </x:c>
      <x:c r="H90" s="32" t="n">
        <x:v>1</x:v>
      </x:c>
      <x:c r="I90" s="40" t="n">
        <x:v>2</x:v>
      </x:c>
      <x:c r="J90" s="40" t="n">
        <x:v>2</x:v>
      </x:c>
      <x:c r="K90" s="40" t="n">
        <x:v>1</x:v>
      </x:c>
      <x:c r="L90" s="40" t="n">
        <x:v>1</x:v>
      </x:c>
    </x:row>
    <x:row r="91" ht="23" customHeight="1">
      <x:c r="B91" s="17" t="str">
        <x:v>All rounds</x:v>
      </x:c>
      <x:c r="C91" s="17" t="str">
        <x:v>line</x:v>
      </x:c>
      <x:c r="D91" s="17" t="str">
        <x:v>Compress_3</x:v>
      </x:c>
      <x:c r="E91" s="32" t="n">
        <x:v>0.7</x:v>
      </x:c>
      <x:c r="F91" s="32" t="n">
        <x:v>0.44445</x:v>
      </x:c>
      <x:c r="G91" s="32" t="n">
        <x:v>0.9444</x:v>
      </x:c>
      <x:c r="H91" s="32" t="n">
        <x:v>1</x:v>
      </x:c>
      <x:c r="I91" s="40" t="n">
        <x:v>2</x:v>
      </x:c>
      <x:c r="J91" s="40" t="n">
        <x:v>2</x:v>
      </x:c>
      <x:c r="K91" s="40" t="n">
        <x:v>1</x:v>
      </x:c>
      <x:c r="L91" s="40" t="n">
        <x:v>1</x:v>
      </x:c>
    </x:row>
    <x:row r="92" ht="23" customHeight="1">
      <x:c r="B92" s="17" t="str">
        <x:v>All rounds</x:v>
      </x:c>
      <x:c r="C92" s="17" t="str">
        <x:v>line</x:v>
      </x:c>
      <x:c r="D92" s="17" t="str">
        <x:v>Compress_30</x:v>
      </x:c>
      <x:c r="E92" s="32" t="n">
        <x:v>0.0408</x:v>
      </x:c>
      <x:c r="F92" s="32" t="n">
        <x:v>0.03365</x:v>
      </x:c>
      <x:c r="G92" s="32" t="n">
        <x:v>0.0799</x:v>
      </x:c>
      <x:c r="H92" s="32" t="n">
        <x:v>0.2</x:v>
      </x:c>
      <x:c r="I92" s="40" t="n">
        <x:v>2</x:v>
      </x:c>
      <x:c r="J92" s="40" t="n">
        <x:v>2</x:v>
      </x:c>
      <x:c r="K92" s="40" t="n">
        <x:v>2</x:v>
      </x:c>
      <x:c r="L92" s="40" t="n">
        <x:v>1</x:v>
      </x:c>
    </x:row>
    <x:row r="93" ht="23" customHeight="1">
      <x:c r="B93" s="17" t="str">
        <x:v>All rounds</x:v>
      </x:c>
      <x:c r="C93" s="17" t="str">
        <x:v>line</x:v>
      </x:c>
      <x:c r="D93" s="17" t="str">
        <x:v>Compress_32</x:v>
      </x:c>
      <x:c r="E93" s="32" t="n">
        <x:v>0.45909999999999995</x:v>
      </x:c>
      <x:c r="F93" s="32" t="n">
        <x:v>0.35450000000000004</x:v>
      </x:c>
      <x:c r="G93" s="32" t="n">
        <x:v>0.4364</x:v>
      </x:c>
      <x:c r="H93" s="32" t="n">
        <x:v>0.7773</x:v>
      </x:c>
      <x:c r="I93" s="40" t="n">
        <x:v>2</x:v>
      </x:c>
      <x:c r="J93" s="40" t="n">
        <x:v>2</x:v>
      </x:c>
      <x:c r="K93" s="40" t="n">
        <x:v>2</x:v>
      </x:c>
      <x:c r="L93" s="40" t="n">
        <x:v>1</x:v>
      </x:c>
    </x:row>
    <x:row r="94" ht="23" customHeight="1">
      <x:c r="B94" s="17" t="str">
        <x:v>All rounds</x:v>
      </x:c>
      <x:c r="C94" s="17" t="str">
        <x:v>line</x:v>
      </x:c>
      <x:c r="D94" s="17" t="str">
        <x:v>Compress_34</x:v>
      </x:c>
      <x:c r="E94" s="32" t="n">
        <x:v>1</x:v>
      </x:c>
      <x:c r="F94" s="32" t="n">
        <x:v>0.8786000000000002</x:v>
      </x:c>
      <x:c r="G94" s="32" t="n">
        <x:v>1</x:v>
      </x:c>
      <x:c r="H94" s="32" t="n">
        <x:v>1</x:v>
      </x:c>
      <x:c r="I94" s="40" t="n">
        <x:v>2</x:v>
      </x:c>
      <x:c r="J94" s="40" t="n">
        <x:v>2</x:v>
      </x:c>
      <x:c r="K94" s="40" t="n">
        <x:v>1</x:v>
      </x:c>
      <x:c r="L94" s="40" t="n">
        <x:v>1</x:v>
      </x:c>
    </x:row>
    <x:row r="95" ht="23" customHeight="1">
      <x:c r="B95" s="17" t="str">
        <x:v>All rounds</x:v>
      </x:c>
      <x:c r="C95" s="17" t="str">
        <x:v>line</x:v>
      </x:c>
      <x:c r="D95" s="17" t="str">
        <x:v>Compress_35</x:v>
      </x:c>
      <x:c r="E95" s="32" t="n">
        <x:v>0.8046</x:v>
      </x:c>
      <x:c r="F95" s="32" t="n">
        <x:v>0.6609</x:v>
      </x:c>
      <x:c r="G95" s="32" t="n">
        <x:v>0.6954</x:v>
      </x:c>
      <x:c r="H95" s="32" t="n">
        <x:v>0.9309999999999999</x:v>
      </x:c>
      <x:c r="I95" s="40" t="n">
        <x:v>2</x:v>
      </x:c>
      <x:c r="J95" s="40" t="n">
        <x:v>2</x:v>
      </x:c>
      <x:c r="K95" s="40" t="n">
        <x:v>1</x:v>
      </x:c>
      <x:c r="L95" s="40" t="n">
        <x:v>1</x:v>
      </x:c>
    </x:row>
    <x:row r="96" ht="23" customHeight="1">
      <x:c r="B96" s="17" t="str">
        <x:v>All rounds</x:v>
      </x:c>
      <x:c r="C96" s="17" t="str">
        <x:v>line</x:v>
      </x:c>
      <x:c r="D96" s="17" t="str">
        <x:v>Compress_36</x:v>
      </x:c>
      <x:c r="E96" s="32" t="n">
        <x:v>0.0432</x:v>
      </x:c>
      <x:c r="F96" s="32" t="n">
        <x:v>0.0281</x:v>
      </x:c>
      <x:c r="G96" s="32" t="n">
        <x:v>0.075</x:v>
      </x:c>
      <x:c r="H96" s="32" t="n">
        <x:v>0.6115999999999999</x:v>
      </x:c>
      <x:c r="I96" s="40" t="n">
        <x:v>2</x:v>
      </x:c>
      <x:c r="J96" s="40" t="n">
        <x:v>2</x:v>
      </x:c>
      <x:c r="K96" s="40" t="n">
        <x:v>2</x:v>
      </x:c>
      <x:c r="L96" s="40" t="n">
        <x:v>1</x:v>
      </x:c>
    </x:row>
    <x:row r="97" ht="23" customHeight="1">
      <x:c r="B97" s="17" t="str">
        <x:v>All rounds</x:v>
      </x:c>
      <x:c r="C97" s="17" t="str">
        <x:v>line</x:v>
      </x:c>
      <x:c r="D97" s="17" t="str">
        <x:v>Compress_40</x:v>
      </x:c>
      <x:c r="E97" s="32" t="n">
        <x:v>1</x:v>
      </x:c>
      <x:c r="F97" s="32" t="n">
        <x:v>0.6667000000000001</x:v>
      </x:c>
      <x:c r="G97" s="32" t="n">
        <x:v>1</x:v>
      </x:c>
      <x:c r="H97" s="32" t="n">
        <x:v>1</x:v>
      </x:c>
      <x:c r="I97" s="40" t="n">
        <x:v>2</x:v>
      </x:c>
      <x:c r="J97" s="40" t="n">
        <x:v>2</x:v>
      </x:c>
      <x:c r="K97" s="40" t="n">
        <x:v>1</x:v>
      </x:c>
      <x:c r="L97" s="40" t="n">
        <x:v>1</x:v>
      </x:c>
    </x:row>
    <x:row r="98" ht="23" customHeight="1">
      <x:c r="B98" s="17" t="str">
        <x:v>All rounds</x:v>
      </x:c>
      <x:c r="C98" s="17" t="str">
        <x:v>line</x:v>
      </x:c>
      <x:c r="D98" s="17" t="str">
        <x:v>Compress_42</x:v>
      </x:c>
      <x:c r="E98" s="32" t="n">
        <x:v>0.9712999999999999</x:v>
      </x:c>
      <x:c r="F98" s="32" t="n">
        <x:v>0.54305</x:v>
      </x:c>
      <x:c r="G98" s="32" t="n">
        <x:v>0.8636</x:v>
      </x:c>
      <x:c r="H98" s="32" t="n">
        <x:v>0.8934000000000001</x:v>
      </x:c>
      <x:c r="I98" s="40" t="n">
        <x:v>2</x:v>
      </x:c>
      <x:c r="J98" s="40" t="n">
        <x:v>2</x:v>
      </x:c>
      <x:c r="K98" s="40" t="n">
        <x:v>1</x:v>
      </x:c>
      <x:c r="L98" s="40" t="n">
        <x:v>1</x:v>
      </x:c>
    </x:row>
    <x:row r="99" ht="23" customHeight="1">
      <x:c r="B99" s="17" t="str">
        <x:v>All rounds</x:v>
      </x:c>
      <x:c r="C99" s="17" t="str">
        <x:v>line</x:v>
      </x:c>
      <x:c r="D99" s="17" t="str">
        <x:v>Compress_44</x:v>
      </x:c>
      <x:c r="E99" s="32" t="n">
        <x:v>1</x:v>
      </x:c>
      <x:c r="F99" s="32" t="n">
        <x:v>0.7059000000000001</x:v>
      </x:c>
      <x:c r="G99" s="32" t="n">
        <x:v>1</x:v>
      </x:c>
      <x:c r="H99" s="32" t="n">
        <x:v>1</x:v>
      </x:c>
      <x:c r="I99" s="40" t="n">
        <x:v>2</x:v>
      </x:c>
      <x:c r="J99" s="40" t="n">
        <x:v>2</x:v>
      </x:c>
      <x:c r="K99" s="40" t="n">
        <x:v>1</x:v>
      </x:c>
      <x:c r="L99" s="40" t="n">
        <x:v>1</x:v>
      </x:c>
    </x:row>
    <x:row r="100" ht="23" customHeight="1">
      <x:c r="B100" s="17" t="str">
        <x:v>All rounds</x:v>
      </x:c>
      <x:c r="C100" s="17" t="str">
        <x:v>line</x:v>
      </x:c>
      <x:c r="D100" s="17" t="str">
        <x:v>Compress_45</x:v>
      </x:c>
      <x:c r="E100" s="32" t="n">
        <x:v>0.8304</x:v>
      </x:c>
      <x:c r="F100" s="32" t="n">
        <x:v>0.59945</x:v>
      </x:c>
      <x:c r="G100" s="32" t="n">
        <x:v>0.6374</x:v>
      </x:c>
      <x:c r="H100" s="32" t="n">
        <x:v>0.7719</x:v>
      </x:c>
      <x:c r="I100" s="40" t="n">
        <x:v>2</x:v>
      </x:c>
      <x:c r="J100" s="40" t="n">
        <x:v>2</x:v>
      </x:c>
      <x:c r="K100" s="40" t="n">
        <x:v>2</x:v>
      </x:c>
      <x:c r="L100" s="40" t="n">
        <x:v>1</x:v>
      </x:c>
    </x:row>
    <x:row r="101" ht="23" customHeight="1">
      <x:c r="B101" s="17" t="str">
        <x:v>All rounds</x:v>
      </x:c>
      <x:c r="C101" s="17" t="str">
        <x:v>line</x:v>
      </x:c>
      <x:c r="D101" s="17" t="str">
        <x:v>Compress_46</x:v>
      </x:c>
      <x:c r="E101" s="32" t="n">
        <x:v>1</x:v>
      </x:c>
      <x:c r="F101" s="32" t="n">
        <x:v>0.6008500000000001</x:v>
      </x:c>
      <x:c r="G101" s="32" t="n">
        <x:v>0.9464</x:v>
      </x:c>
      <x:c r="H101" s="32" t="n">
        <x:v>0.8992</x:v>
      </x:c>
      <x:c r="I101" s="40" t="n">
        <x:v>2</x:v>
      </x:c>
      <x:c r="J101" s="40" t="n">
        <x:v>2</x:v>
      </x:c>
      <x:c r="K101" s="40" t="n">
        <x:v>1</x:v>
      </x:c>
      <x:c r="L101" s="40" t="n">
        <x:v>1</x:v>
      </x:c>
    </x:row>
    <x:row r="102" ht="23" customHeight="1">
      <x:c r="B102" s="17" t="str">
        <x:v>All rounds</x:v>
      </x:c>
      <x:c r="C102" s="17" t="str">
        <x:v>line</x:v>
      </x:c>
      <x:c r="D102" s="17" t="str">
        <x:v>Compress_47</x:v>
      </x:c>
      <x:c r="E102" s="32" t="n">
        <x:v>0.1791</x:v>
      </x:c>
      <x:c r="F102" s="32" t="n">
        <x:v>0.15350000000000003</x:v>
      </x:c>
      <x:c r="G102" s="32" t="n">
        <x:v>0.6557999999999999</x:v>
      </x:c>
      <x:c r="H102" s="32" t="n">
        <x:v>0.5698</x:v>
      </x:c>
      <x:c r="I102" s="40" t="n">
        <x:v>2</x:v>
      </x:c>
      <x:c r="J102" s="40" t="n">
        <x:v>2</x:v>
      </x:c>
      <x:c r="K102" s="40" t="n">
        <x:v>2</x:v>
      </x:c>
      <x:c r="L102" s="40" t="n">
        <x:v>1</x:v>
      </x:c>
    </x:row>
    <x:row r="103" ht="23" customHeight="1">
      <x:c r="B103" s="17" t="str">
        <x:v>All rounds</x:v>
      </x:c>
      <x:c r="C103" s="17" t="str">
        <x:v>line</x:v>
      </x:c>
      <x:c r="D103" s="17" t="str">
        <x:v>Compress_5</x:v>
      </x:c>
      <x:c r="E103" s="32" t="n">
        <x:v>0.34159999999999996</x:v>
      </x:c>
      <x:c r="F103" s="32" t="n">
        <x:v>0.33849999999999997</x:v>
      </x:c>
      <x:c r="G103" s="32" t="n">
        <x:v>0.9181999999999999</x:v>
      </x:c>
      <x:c r="H103" s="32" t="n">
        <x:v>0.9627</x:v>
      </x:c>
      <x:c r="I103" s="40" t="n">
        <x:v>2</x:v>
      </x:c>
      <x:c r="J103" s="40" t="n">
        <x:v>2</x:v>
      </x:c>
      <x:c r="K103" s="40" t="n">
        <x:v>1</x:v>
      </x:c>
      <x:c r="L103" s="40" t="n">
        <x:v>1</x:v>
      </x:c>
    </x:row>
    <x:row r="104" ht="23" customHeight="1">
      <x:c r="B104" s="17" t="str">
        <x:v>All rounds</x:v>
      </x:c>
      <x:c r="C104" s="17" t="str">
        <x:v>line</x:v>
      </x:c>
      <x:c r="D104" s="17" t="str">
        <x:v>Compress_8</x:v>
      </x:c>
      <x:c r="E104" s="32" t="n">
        <x:v>0.9143000000000001</x:v>
      </x:c>
      <x:c r="F104" s="32" t="n">
        <x:v>0.85</x:v>
      </x:c>
      <x:c r="G104" s="32" t="n">
        <x:v>0.9714</x:v>
      </x:c>
      <x:c r="H104" s="32" t="n">
        <x:v>1</x:v>
      </x:c>
      <x:c r="I104" s="40" t="n">
        <x:v>2</x:v>
      </x:c>
      <x:c r="J104" s="40" t="n">
        <x:v>2</x:v>
      </x:c>
      <x:c r="K104" s="40" t="n">
        <x:v>2</x:v>
      </x:c>
      <x:c r="L104" s="40" t="n">
        <x:v>1</x:v>
      </x:c>
    </x:row>
    <x:row r="105" ht="23" customHeight="1">
      <x:c r="B105" s="17" t="str">
        <x:v>All rounds</x:v>
      </x:c>
      <x:c r="C105" s="17" t="str">
        <x:v>line</x:v>
      </x:c>
      <x:c r="D105" s="17" t="str">
        <x:v>Compress_9</x:v>
      </x:c>
      <x:c r="E105" s="32" t="n">
        <x:v>0.6455</x:v>
      </x:c>
      <x:c r="F105" s="32" t="n">
        <x:v>0.43635000000000007</x:v>
      </x:c>
      <x:c r="G105" s="32" t="n">
        <x:v>0.7726999999999999</x:v>
      </x:c>
      <x:c r="H105" s="32" t="n">
        <x:v>1</x:v>
      </x:c>
      <x:c r="I105" s="40" t="n">
        <x:v>2</x:v>
      </x:c>
      <x:c r="J105" s="40" t="n">
        <x:v>2</x:v>
      </x:c>
      <x:c r="K105" s="40" t="n">
        <x:v>2</x:v>
      </x:c>
      <x:c r="L105" s="40" t="n">
        <x:v>1</x:v>
      </x:c>
    </x:row>
    <x:row r="106" ht="23" customHeight="1">
      <x:c r="B106" s="17" t="str">
        <x:v>All rounds</x:v>
      </x:c>
      <x:c r="C106" s="17" t="str">
        <x:v>line</x:v>
      </x:c>
      <x:c r="D106" s="17" t="str">
        <x:v>Csv_1</x:v>
      </x:c>
      <x:c r="E106" s="32" t="n">
        <x:v>0.8919</x:v>
      </x:c>
      <x:c r="F106" s="32" t="n">
        <x:v>0.35135</x:v>
      </x:c>
      <x:c r="G106" s="32" t="n">
        <x:v>1</x:v>
      </x:c>
      <x:c r="H106" s="32" t="n">
        <x:v>1</x:v>
      </x:c>
      <x:c r="I106" s="40" t="n">
        <x:v>2</x:v>
      </x:c>
      <x:c r="J106" s="40" t="n">
        <x:v>2</x:v>
      </x:c>
      <x:c r="K106" s="40" t="n">
        <x:v>2</x:v>
      </x:c>
      <x:c r="L106" s="40" t="n">
        <x:v>1</x:v>
      </x:c>
    </x:row>
    <x:row r="107" ht="23" customHeight="1">
      <x:c r="B107" s="17" t="str">
        <x:v>All rounds</x:v>
      </x:c>
      <x:c r="C107" s="17" t="str">
        <x:v>line</x:v>
      </x:c>
      <x:c r="D107" s="17" t="str">
        <x:v>Csv_16</x:v>
      </x:c>
      <x:c r="E107" s="32" t="n">
        <x:v>0.813</x:v>
      </x:c>
      <x:c r="F107" s="32" t="n">
        <x:v>0.09759999999999999</x:v>
      </x:c>
      <x:c r="G107" s="32" t="n">
        <x:v>0.6942</x:v>
      </x:c>
      <x:c r="H107" s="32" t="n">
        <x:v>0.6504000000000001</x:v>
      </x:c>
      <x:c r="I107" s="40" t="n">
        <x:v>2</x:v>
      </x:c>
      <x:c r="J107" s="40" t="n">
        <x:v>2</x:v>
      </x:c>
      <x:c r="K107" s="40" t="n">
        <x:v>1</x:v>
      </x:c>
      <x:c r="L107" s="40" t="n">
        <x:v>1</x:v>
      </x:c>
    </x:row>
    <x:row r="108" ht="23" customHeight="1">
      <x:c r="B108" s="17" t="str">
        <x:v>All rounds</x:v>
      </x:c>
      <x:c r="C108" s="17" t="str">
        <x:v>line</x:v>
      </x:c>
      <x:c r="D108" s="17" t="str">
        <x:v>Csv_2</x:v>
      </x:c>
      <x:c r="E108" s="32" t="n">
        <x:v>1</x:v>
      </x:c>
      <x:c r="F108" s="32" t="n">
        <x:v>0.9048</x:v>
      </x:c>
      <x:c r="G108" s="32" t="n">
        <x:v>1</x:v>
      </x:c>
      <x:c r="H108" s="32" t="n">
        <x:v>1</x:v>
      </x:c>
      <x:c r="I108" s="40" t="n">
        <x:v>2</x:v>
      </x:c>
      <x:c r="J108" s="40" t="n">
        <x:v>2</x:v>
      </x:c>
      <x:c r="K108" s="40" t="n">
        <x:v>2</x:v>
      </x:c>
      <x:c r="L108" s="40" t="n">
        <x:v>1</x:v>
      </x:c>
    </x:row>
    <x:row r="109" ht="23" customHeight="1">
      <x:c r="B109" s="17" t="str">
        <x:v>All rounds</x:v>
      </x:c>
      <x:c r="C109" s="17" t="str">
        <x:v>line</x:v>
      </x:c>
      <x:c r="D109" s="17" t="str">
        <x:v>Csv_6</x:v>
      </x:c>
      <x:c r="E109" s="32" t="n">
        <x:v>0.9714</x:v>
      </x:c>
      <x:c r="F109" s="32" t="n">
        <x:v>0.6286</x:v>
      </x:c>
      <x:c r="G109" s="32" t="n">
        <x:v>0.8856999999999999</x:v>
      </x:c>
      <x:c r="H109" s="32" t="n">
        <x:v>1</x:v>
      </x:c>
      <x:c r="I109" s="40" t="n">
        <x:v>2</x:v>
      </x:c>
      <x:c r="J109" s="40" t="n">
        <x:v>2</x:v>
      </x:c>
      <x:c r="K109" s="40" t="n">
        <x:v>2</x:v>
      </x:c>
      <x:c r="L109" s="40" t="n">
        <x:v>1</x:v>
      </x:c>
    </x:row>
    <x:row r="110" ht="23" customHeight="1">
      <x:c r="B110" s="17" t="str">
        <x:v>All rounds</x:v>
      </x:c>
      <x:c r="C110" s="17" t="str">
        <x:v>line</x:v>
      </x:c>
      <x:c r="D110" s="17" t="str">
        <x:v>Csv_7</x:v>
      </x:c>
      <x:c r="E110" s="32" t="n">
        <x:v>0.8713</x:v>
      </x:c>
      <x:c r="F110" s="32" t="n">
        <x:v>0.07919999999999999</x:v>
      </x:c>
      <x:c r="G110" s="32" t="n">
        <x:v>0.7723</x:v>
      </x:c>
      <x:c r="H110" s="32" t="n">
        <x:v>0.6931</x:v>
      </x:c>
      <x:c r="I110" s="40" t="n">
        <x:v>2</x:v>
      </x:c>
      <x:c r="J110" s="40" t="n">
        <x:v>2</x:v>
      </x:c>
      <x:c r="K110" s="40" t="n">
        <x:v>2</x:v>
      </x:c>
      <x:c r="L110" s="40" t="n">
        <x:v>1</x:v>
      </x:c>
    </x:row>
    <x:row r="111" ht="23" customHeight="1">
      <x:c r="B111" s="17" t="str">
        <x:v>All rounds</x:v>
      </x:c>
      <x:c r="C111" s="17" t="str">
        <x:v>line</x:v>
      </x:c>
      <x:c r="D111" s="17" t="str">
        <x:v>Csv_9</x:v>
      </x:c>
      <x:c r="E111" s="32" t="n">
        <x:v>0.9722</x:v>
      </x:c>
      <x:c r="F111" s="32" t="n">
        <x:v>0.6111</x:v>
      </x:c>
      <x:c r="G111" s="32" t="n">
        <x:v>1</x:v>
      </x:c>
      <x:c r="H111" s="32" t="n">
        <x:v>1</x:v>
      </x:c>
      <x:c r="I111" s="40" t="n">
        <x:v>2</x:v>
      </x:c>
      <x:c r="J111" s="40" t="n">
        <x:v>2</x:v>
      </x:c>
      <x:c r="K111" s="40" t="n">
        <x:v>2</x:v>
      </x:c>
      <x:c r="L111" s="40" t="n">
        <x:v>1</x:v>
      </x:c>
    </x:row>
    <x:row r="112" ht="23" customHeight="1">
      <x:c r="B112" s="17" t="str">
        <x:v>All rounds</x:v>
      </x:c>
      <x:c r="C112" s="17" t="str">
        <x:v>line</x:v>
      </x:c>
      <x:c r="D112" s="17" t="str">
        <x:v>Gson_1</x:v>
      </x:c>
      <x:c r="E112" s="32" t="n">
        <x:v>0.0625</x:v>
      </x:c>
      <x:c r="F112" s="32" t="n">
        <x:v>0.0625</x:v>
      </x:c>
      <x:c r="G112" s="32" t="n">
        <x:v>0.6383</x:v>
      </x:c>
      <x:c r="H112" s="32" t="n">
        <x:v>0.9792000000000001</x:v>
      </x:c>
      <x:c r="I112" s="40" t="n">
        <x:v>2</x:v>
      </x:c>
      <x:c r="J112" s="40" t="n">
        <x:v>2</x:v>
      </x:c>
      <x:c r="K112" s="40" t="n">
        <x:v>2</x:v>
      </x:c>
      <x:c r="L112" s="40" t="n">
        <x:v>1</x:v>
      </x:c>
    </x:row>
    <x:row r="113" ht="23" customHeight="1">
      <x:c r="B113" s="17" t="str">
        <x:v>All rounds</x:v>
      </x:c>
      <x:c r="C113" s="17" t="str">
        <x:v>line</x:v>
      </x:c>
      <x:c r="D113" s="17" t="str">
        <x:v>Gson_12</x:v>
      </x:c>
      <x:c r="E113" s="32" t="n">
        <x:v>0.8095</x:v>
      </x:c>
      <x:c r="F113" s="32" t="n">
        <x:v>0.2768</x:v>
      </x:c>
      <x:c r="G113" s="32" t="n">
        <x:v>0.875</x:v>
      </x:c>
      <x:c r="H113" s="32" t="n">
        <x:v>0.9523999999999999</x:v>
      </x:c>
      <x:c r="I113" s="40" t="n">
        <x:v>2</x:v>
      </x:c>
      <x:c r="J113" s="40" t="n">
        <x:v>2</x:v>
      </x:c>
      <x:c r="K113" s="40" t="n">
        <x:v>1</x:v>
      </x:c>
      <x:c r="L113" s="40" t="n">
        <x:v>1</x:v>
      </x:c>
    </x:row>
    <x:row r="114" ht="23" customHeight="1">
      <x:c r="B114" s="17" t="str">
        <x:v>All rounds</x:v>
      </x:c>
      <x:c r="C114" s="17" t="str">
        <x:v>line</x:v>
      </x:c>
      <x:c r="D114" s="17" t="str">
        <x:v>Gson_14</x:v>
      </x:c>
      <x:c r="E114" s="32" t="n">
        <x:v>0</x:v>
      </x:c>
      <x:c r="F114" s="32" t="n">
        <x:v>0.0040999999999999995</x:v>
      </x:c>
      <x:c r="G114" s="32" t="n">
        <x:v>0.7940999999999999</x:v>
      </x:c>
      <x:c r="H114" s="32" t="n">
        <x:v>0.9753000000000001</x:v>
      </x:c>
      <x:c r="I114" s="40" t="n">
        <x:v>2</x:v>
      </x:c>
      <x:c r="J114" s="40" t="n">
        <x:v>2</x:v>
      </x:c>
      <x:c r="K114" s="40" t="n">
        <x:v>1</x:v>
      </x:c>
      <x:c r="L114" s="40" t="n">
        <x:v>1</x:v>
      </x:c>
    </x:row>
    <x:row r="115" ht="23" customHeight="1">
      <x:c r="B115" s="17" t="str">
        <x:v>All rounds</x:v>
      </x:c>
      <x:c r="C115" s="17" t="str">
        <x:v>line</x:v>
      </x:c>
      <x:c r="D115" s="17" t="str">
        <x:v>Gson_15</x:v>
      </x:c>
      <x:c r="E115" s="32" t="n">
        <x:v>0.9495</x:v>
      </x:c>
      <x:c r="F115" s="32" t="n">
        <x:v>0.1414</x:v>
      </x:c>
      <x:c r="G115" s="32" t="n">
        <x:v>0.7828</x:v>
      </x:c>
      <x:c r="H115" s="32" t="n">
        <x:v>0.9948999999999999</x:v>
      </x:c>
      <x:c r="I115" s="40" t="n">
        <x:v>2</x:v>
      </x:c>
      <x:c r="J115" s="40" t="n">
        <x:v>2</x:v>
      </x:c>
      <x:c r="K115" s="40" t="n">
        <x:v>1</x:v>
      </x:c>
      <x:c r="L115" s="40" t="n">
        <x:v>1</x:v>
      </x:c>
    </x:row>
    <x:row r="116" ht="23" customHeight="1">
      <x:c r="B116" s="17" t="str">
        <x:v>All rounds</x:v>
      </x:c>
      <x:c r="C116" s="17" t="str">
        <x:v>line</x:v>
      </x:c>
      <x:c r="D116" s="17" t="str">
        <x:v>Gson_16</x:v>
      </x:c>
      <x:c r="E116" s="32" t="n">
        <x:v>0</x:v>
      </x:c>
      <x:c r="F116" s="32" t="n">
        <x:v>0.004</x:v>
      </x:c>
      <x:c r="G116" s="32" t="n">
        <x:v>0.8354</x:v>
      </x:c>
      <x:c r="H116" s="32" t="n">
        <x:v>0.9597</x:v>
      </x:c>
      <x:c r="I116" s="40" t="n">
        <x:v>2</x:v>
      </x:c>
      <x:c r="J116" s="40" t="n">
        <x:v>2</x:v>
      </x:c>
      <x:c r="K116" s="40" t="n">
        <x:v>1</x:v>
      </x:c>
      <x:c r="L116" s="40" t="n">
        <x:v>1</x:v>
      </x:c>
    </x:row>
    <x:row r="117" ht="23" customHeight="1">
      <x:c r="B117" s="17" t="str">
        <x:v>All rounds</x:v>
      </x:c>
      <x:c r="C117" s="17" t="str">
        <x:v>line</x:v>
      </x:c>
      <x:c r="D117" s="17" t="str">
        <x:v>Gson_3</x:v>
      </x:c>
      <x:c r="E117" s="32" t="n">
        <x:v>0</x:v>
      </x:c>
      <x:c r="F117" s="32" t="n">
        <x:v>0</x:v>
      </x:c>
      <x:c r="G117" s="32" t="n">
        <x:v>0.7093</x:v>
      </x:c>
      <x:c r="H117" s="32" t="n">
        <x:v>0.9767</x:v>
      </x:c>
      <x:c r="I117" s="40" t="n">
        <x:v>2</x:v>
      </x:c>
      <x:c r="J117" s="40" t="n">
        <x:v>2</x:v>
      </x:c>
      <x:c r="K117" s="40" t="n">
        <x:v>2</x:v>
      </x:c>
      <x:c r="L117" s="40" t="n">
        <x:v>1</x:v>
      </x:c>
    </x:row>
    <x:row r="118" ht="23" customHeight="1">
      <x:c r="B118" s="17" t="str">
        <x:v>All rounds</x:v>
      </x:c>
      <x:c r="C118" s="17" t="str">
        <x:v>line</x:v>
      </x:c>
      <x:c r="D118" s="17" t="str">
        <x:v>Gson_4</x:v>
      </x:c>
      <x:c r="E118" s="32" t="n">
        <x:v>0.5578</x:v>
      </x:c>
      <x:c r="F118" s="32" t="n">
        <x:v>0.0533</x:v>
      </x:c>
      <x:c r="G118" s="32" t="n">
        <x:v>0.6247</x:v>
      </x:c>
      <x:c r="H118" s="32" t="n">
        <x:v>0.9127</x:v>
      </x:c>
      <x:c r="I118" s="40" t="n">
        <x:v>2</x:v>
      </x:c>
      <x:c r="J118" s="40" t="n">
        <x:v>2</x:v>
      </x:c>
      <x:c r="K118" s="40" t="n">
        <x:v>1</x:v>
      </x:c>
      <x:c r="L118" s="40" t="n">
        <x:v>1</x:v>
      </x:c>
    </x:row>
    <x:row r="119" ht="23" customHeight="1">
      <x:c r="B119" s="17" t="str">
        <x:v>All rounds</x:v>
      </x:c>
      <x:c r="C119" s="17" t="str">
        <x:v>line</x:v>
      </x:c>
      <x:c r="D119" s="17" t="str">
        <x:v>Gson_5</x:v>
      </x:c>
      <x:c r="E119" s="32" t="n">
        <x:v>0.88</x:v>
      </x:c>
      <x:c r="F119" s="32" t="n">
        <x:v>0.0533</x:v>
      </x:c>
      <x:c r="G119" s="32" t="n">
        <x:v>0.9</x:v>
      </x:c>
      <x:c r="H119" s="32" t="n">
        <x:v>0.9933</x:v>
      </x:c>
      <x:c r="I119" s="40" t="n">
        <x:v>2</x:v>
      </x:c>
      <x:c r="J119" s="40" t="n">
        <x:v>2</x:v>
      </x:c>
      <x:c r="K119" s="40" t="n">
        <x:v>2</x:v>
      </x:c>
      <x:c r="L119" s="40" t="n">
        <x:v>1</x:v>
      </x:c>
    </x:row>
    <x:row r="120" ht="23" customHeight="1">
      <x:c r="B120" s="17" t="str">
        <x:v>All rounds</x:v>
      </x:c>
      <x:c r="C120" s="17" t="str">
        <x:v>line</x:v>
      </x:c>
      <x:c r="D120" s="17" t="str">
        <x:v>Gson_7</x:v>
      </x:c>
      <x:c r="E120" s="32" t="n">
        <x:v>0.4474</x:v>
      </x:c>
      <x:c r="F120" s="32" t="n">
        <x:v>0.0278</x:v>
      </x:c>
      <x:c r="G120" s="32" t="n">
        <x:v>0.6681</x:v>
      </x:c>
      <x:c r="H120" s="32" t="n">
        <x:v>0.9006000000000001</x:v>
      </x:c>
      <x:c r="I120" s="40" t="n">
        <x:v>2</x:v>
      </x:c>
      <x:c r="J120" s="40" t="n">
        <x:v>2</x:v>
      </x:c>
      <x:c r="K120" s="40" t="n">
        <x:v>1</x:v>
      </x:c>
      <x:c r="L120" s="40" t="n">
        <x:v>1</x:v>
      </x:c>
    </x:row>
    <x:row r="121" ht="23" customHeight="1">
      <x:c r="B121" s="17" t="str">
        <x:v>All rounds</x:v>
      </x:c>
      <x:c r="C121" s="17" t="str">
        <x:v>line</x:v>
      </x:c>
      <x:c r="D121" s="17" t="str">
        <x:v>JacksonCore_10</x:v>
      </x:c>
      <x:c r="E121" s="32" t="n">
        <x:v>0.6881999999999999</x:v>
      </x:c>
      <x:c r="F121" s="32" t="n">
        <x:v>0.4086</x:v>
      </x:c>
      <x:c r="G121" s="32" t="n">
        <x:v>0.5484</x:v>
      </x:c>
      <x:c r="H121" s="32" t="n">
        <x:v>0.9011</x:v>
      </x:c>
      <x:c r="I121" s="40" t="n">
        <x:v>2</x:v>
      </x:c>
      <x:c r="J121" s="40" t="n">
        <x:v>2</x:v>
      </x:c>
      <x:c r="K121" s="40" t="n">
        <x:v>1</x:v>
      </x:c>
      <x:c r="L121" s="40" t="n">
        <x:v>1</x:v>
      </x:c>
    </x:row>
    <x:row r="122" ht="23" customHeight="1">
      <x:c r="B122" s="17" t="str">
        <x:v>All rounds</x:v>
      </x:c>
      <x:c r="C122" s="17" t="str">
        <x:v>line</x:v>
      </x:c>
      <x:c r="D122" s="17" t="str">
        <x:v>JacksonCore_2</x:v>
      </x:c>
      <x:c r="E122" s="32" t="n">
        <x:v>0.28300000000000003</x:v>
      </x:c>
      <x:c r="F122" s="32" t="n">
        <x:v>0.0039000000000000003</x:v>
      </x:c>
      <x:c r="G122" s="32" t="n">
        <x:v>0.4531</x:v>
      </x:c>
      <x:c r="H122" s="32" t="n">
        <x:v>0.21559999999999999</x:v>
      </x:c>
      <x:c r="I122" s="40" t="n">
        <x:v>2</x:v>
      </x:c>
      <x:c r="J122" s="40" t="n">
        <x:v>2</x:v>
      </x:c>
      <x:c r="K122" s="40" t="n">
        <x:v>1</x:v>
      </x:c>
      <x:c r="L122" s="40" t="n">
        <x:v>1</x:v>
      </x:c>
    </x:row>
    <x:row r="123" ht="23" customHeight="1">
      <x:c r="B123" s="17" t="str">
        <x:v>All rounds</x:v>
      </x:c>
      <x:c r="C123" s="17" t="str">
        <x:v>line</x:v>
      </x:c>
      <x:c r="D123" s="17" t="str">
        <x:v>JacksonCore_21</x:v>
      </x:c>
      <x:c r="E123" s="32" t="n">
        <x:v>0.3221</x:v>
      </x:c>
      <x:c r="F123" s="32" t="n">
        <x:v>0.13895</x:v>
      </x:c>
      <x:c r="G123" s="32" t="n">
        <x:v>0.1143</x:v>
      </x:c>
      <x:c r="H123" s="32" t="n">
        <x:v>0.23379999999999998</x:v>
      </x:c>
      <x:c r="I123" s="40" t="n">
        <x:v>2</x:v>
      </x:c>
      <x:c r="J123" s="40" t="n">
        <x:v>2</x:v>
      </x:c>
      <x:c r="K123" s="40" t="n">
        <x:v>1</x:v>
      </x:c>
      <x:c r="L123" s="40" t="n">
        <x:v>1</x:v>
      </x:c>
    </x:row>
    <x:row r="124" ht="23" customHeight="1">
      <x:c r="B124" s="17" t="str">
        <x:v>All rounds</x:v>
      </x:c>
      <x:c r="C124" s="17" t="str">
        <x:v>line</x:v>
      </x:c>
      <x:c r="D124" s="17" t="str">
        <x:v>JacksonCore_22</x:v>
      </x:c>
      <x:c r="E124" s="32" t="n">
        <x:v>0.2887</x:v>
      </x:c>
      <x:c r="F124" s="32" t="n">
        <x:v>0.14045</x:v>
      </x:c>
      <x:c r="G124" s="32" t="n">
        <x:v>0.4068</x:v>
      </x:c>
      <x:c r="H124" s="32" t="n">
        <x:v>0.231</x:v>
      </x:c>
      <x:c r="I124" s="40" t="n">
        <x:v>2</x:v>
      </x:c>
      <x:c r="J124" s="40" t="n">
        <x:v>2</x:v>
      </x:c>
      <x:c r="K124" s="40" t="n">
        <x:v>1</x:v>
      </x:c>
      <x:c r="L124" s="40" t="n">
        <x:v>1</x:v>
      </x:c>
    </x:row>
    <x:row r="125" ht="23" customHeight="1">
      <x:c r="B125" s="17" t="str">
        <x:v>All rounds</x:v>
      </x:c>
      <x:c r="C125" s="17" t="str">
        <x:v>line</x:v>
      </x:c>
      <x:c r="D125" s="17" t="str">
        <x:v>JacksonCore_26</x:v>
      </x:c>
      <x:c r="E125" s="32" t="n">
        <x:v>0.18489999999999998</x:v>
      </x:c>
      <x:c r="F125" s="32" t="n">
        <x:v>0.0067</x:v>
      </x:c>
      <x:c r="G125" s="32" t="n">
        <x:v>0.1404</x:v>
      </x:c>
      <x:c r="H125" s="32" t="n">
        <x:v>0.1208</x:v>
      </x:c>
      <x:c r="I125" s="40" t="n">
        <x:v>2</x:v>
      </x:c>
      <x:c r="J125" s="40" t="n">
        <x:v>2</x:v>
      </x:c>
      <x:c r="K125" s="40" t="n">
        <x:v>2</x:v>
      </x:c>
      <x:c r="L125" s="40" t="n">
        <x:v>1</x:v>
      </x:c>
    </x:row>
    <x:row r="126" ht="23" customHeight="1">
      <x:c r="B126" s="17" t="str">
        <x:v>All rounds</x:v>
      </x:c>
      <x:c r="C126" s="17" t="str">
        <x:v>line</x:v>
      </x:c>
      <x:c r="D126" s="17" t="str">
        <x:v>JacksonCore_5</x:v>
      </x:c>
      <x:c r="E126" s="32" t="n">
        <x:v>0.9523999999999999</x:v>
      </x:c>
      <x:c r="F126" s="32" t="n">
        <x:v>0.7143</x:v>
      </x:c>
      <x:c r="G126" s="32" t="n">
        <x:v>0.9762000000000001</x:v>
      </x:c>
      <x:c r="H126" s="32" t="n">
        <x:v>0.9167000000000001</x:v>
      </x:c>
      <x:c r="I126" s="40" t="n">
        <x:v>2</x:v>
      </x:c>
      <x:c r="J126" s="40" t="n">
        <x:v>2</x:v>
      </x:c>
      <x:c r="K126" s="40" t="n">
        <x:v>1</x:v>
      </x:c>
      <x:c r="L126" s="40" t="n">
        <x:v>1</x:v>
      </x:c>
    </x:row>
    <x:row r="127" ht="23" customHeight="1">
      <x:c r="B127" s="17" t="str">
        <x:v>All rounds</x:v>
      </x:c>
      <x:c r="C127" s="17" t="str">
        <x:v>line</x:v>
      </x:c>
      <x:c r="D127" s="17" t="str">
        <x:v>JacksonCore_6</x:v>
      </x:c>
      <x:c r="E127" s="32" t="n">
        <x:v>0.9643</x:v>
      </x:c>
      <x:c r="F127" s="32" t="n">
        <x:v>0.7143</x:v>
      </x:c>
      <x:c r="G127" s="32" t="n">
        <x:v>0.9523999999999999</x:v>
      </x:c>
      <x:c r="H127" s="32" t="n">
        <x:v>0.9167000000000001</x:v>
      </x:c>
      <x:c r="I127" s="40" t="n">
        <x:v>2</x:v>
      </x:c>
      <x:c r="J127" s="40" t="n">
        <x:v>2</x:v>
      </x:c>
      <x:c r="K127" s="40" t="n">
        <x:v>2</x:v>
      </x:c>
      <x:c r="L127" s="40" t="n">
        <x:v>1</x:v>
      </x:c>
    </x:row>
    <x:row r="128" ht="23" customHeight="1">
      <x:c r="B128" s="17" t="str">
        <x:v>All rounds</x:v>
      </x:c>
      <x:c r="C128" s="17" t="str">
        <x:v>line</x:v>
      </x:c>
      <x:c r="D128" s="17" t="str">
        <x:v>JacksonCore_8</x:v>
      </x:c>
      <x:c r="E128" s="32" t="n">
        <x:v>0.9852</x:v>
      </x:c>
      <x:c r="F128" s="32" t="n">
        <x:v>0.6476</x:v>
      </x:c>
      <x:c r="G128" s="32" t="n">
        <x:v>0.6052000000000001</x:v>
      </x:c>
      <x:c r="H128" s="32" t="n">
        <x:v>0.9815</x:v>
      </x:c>
      <x:c r="I128" s="40" t="n">
        <x:v>2</x:v>
      </x:c>
      <x:c r="J128" s="40" t="n">
        <x:v>2</x:v>
      </x:c>
      <x:c r="K128" s="40" t="n">
        <x:v>2</x:v>
      </x:c>
      <x:c r="L128" s="40" t="n">
        <x:v>1</x:v>
      </x:c>
    </x:row>
    <x:row r="129" ht="23" customHeight="1">
      <x:c r="B129" s="17" t="str">
        <x:v>All rounds</x:v>
      </x:c>
      <x:c r="C129" s="17" t="str">
        <x:v>line</x:v>
      </x:c>
      <x:c r="D129" s="17" t="str">
        <x:v>JacksonDatabind_105</x:v>
      </x:c>
      <x:c r="E129" s="32" t="n">
        <x:v>0.7895</x:v>
      </x:c>
      <x:c r="F129" s="32" t="n">
        <x:v>0.31579999999999997</x:v>
      </x:c>
      <x:c r="G129" s="32" t="n">
        <x:v>0.8946999999999999</x:v>
      </x:c>
      <x:c r="H129" s="32" t="n">
        <x:v>1</x:v>
      </x:c>
      <x:c r="I129" s="40" t="n">
        <x:v>2</x:v>
      </x:c>
      <x:c r="J129" s="40" t="n">
        <x:v>2</x:v>
      </x:c>
      <x:c r="K129" s="40" t="n">
        <x:v>2</x:v>
      </x:c>
      <x:c r="L129" s="40" t="n">
        <x:v>1</x:v>
      </x:c>
    </x:row>
    <x:row r="130" ht="23" customHeight="1">
      <x:c r="B130" s="17" t="str">
        <x:v>All rounds</x:v>
      </x:c>
      <x:c r="C130" s="17" t="str">
        <x:v>line</x:v>
      </x:c>
      <x:c r="D130" s="17" t="str">
        <x:v>JacksonDatabind_108</x:v>
      </x:c>
      <x:c r="E130" s="32" t="n">
        <x:v>0.679</x:v>
      </x:c>
      <x:c r="F130" s="32" t="n">
        <x:v>0.0346</x:v>
      </x:c>
      <x:c r="G130" s="32" t="n">
        <x:v>0.4514</x:v>
      </x:c>
      <x:c r="H130" s="32" t="n">
        <x:v>0.0023</x:v>
      </x:c>
      <x:c r="I130" s="40" t="n">
        <x:v>2</x:v>
      </x:c>
      <x:c r="J130" s="40" t="n">
        <x:v>2</x:v>
      </x:c>
      <x:c r="K130" s="40" t="n">
        <x:v>1</x:v>
      </x:c>
      <x:c r="L130" s="40" t="n">
        <x:v>1</x:v>
      </x:c>
    </x:row>
    <x:row r="131" ht="23" customHeight="1">
      <x:c r="B131" s="17" t="str">
        <x:v>All rounds</x:v>
      </x:c>
      <x:c r="C131" s="17" t="str">
        <x:v>line</x:v>
      </x:c>
      <x:c r="D131" s="17" t="str">
        <x:v>JacksonDatabind_11</x:v>
      </x:c>
      <x:c r="E131" s="32" t="n">
        <x:v>0.7687999999999999</x:v>
      </x:c>
      <x:c r="F131" s="32" t="n">
        <x:v>0.19219999999999998</x:v>
      </x:c>
      <x:c r="G131" s="32" t="n">
        <x:v>0.5625</x:v>
      </x:c>
      <x:c r="H131" s="32" t="n">
        <x:v>0.0344</x:v>
      </x:c>
      <x:c r="I131" s="40" t="n">
        <x:v>2</x:v>
      </x:c>
      <x:c r="J131" s="40" t="n">
        <x:v>2</x:v>
      </x:c>
      <x:c r="K131" s="40" t="n">
        <x:v>1</x:v>
      </x:c>
      <x:c r="L131" s="40" t="n">
        <x:v>1</x:v>
      </x:c>
    </x:row>
    <x:row r="132" ht="23" customHeight="1">
      <x:c r="B132" s="17" t="str">
        <x:v>All rounds</x:v>
      </x:c>
      <x:c r="C132" s="17" t="str">
        <x:v>line</x:v>
      </x:c>
      <x:c r="D132" s="17" t="str">
        <x:v>JacksonDatabind_16</x:v>
      </x:c>
      <x:c r="E132" s="32" t="n">
        <x:v>0.4571</x:v>
      </x:c>
      <x:c r="F132" s="32" t="n">
        <x:v>0.4</x:v>
      </x:c>
      <x:c r="G132" s="32" t="n">
        <x:v>1</x:v>
      </x:c>
      <x:c r="H132" s="32" t="n">
        <x:v>1</x:v>
      </x:c>
      <x:c r="I132" s="40" t="n">
        <x:v>2</x:v>
      </x:c>
      <x:c r="J132" s="40" t="n">
        <x:v>2</x:v>
      </x:c>
      <x:c r="K132" s="40" t="n">
        <x:v>2</x:v>
      </x:c>
      <x:c r="L132" s="40" t="n">
        <x:v>1</x:v>
      </x:c>
    </x:row>
    <x:row r="133" ht="23" customHeight="1">
      <x:c r="B133" s="17" t="str">
        <x:v>All rounds</x:v>
      </x:c>
      <x:c r="C133" s="17" t="str">
        <x:v>line</x:v>
      </x:c>
      <x:c r="D133" s="17" t="str">
        <x:v>JacksonDatabind_36</x:v>
      </x:c>
      <x:c r="E133" s="32" t="n">
        <x:v>0.9481999999999999</x:v>
      </x:c>
      <x:c r="F133" s="32" t="n">
        <x:v>0.8834000000000001</x:v>
      </x:c>
      <x:c r="G133" s="32" t="n">
        <x:v>0.8445999999999999</x:v>
      </x:c>
      <x:c r="H133" s="32" t="n">
        <x:v>0.07769999999999999</x:v>
      </x:c>
      <x:c r="I133" s="40" t="n">
        <x:v>2</x:v>
      </x:c>
      <x:c r="J133" s="40" t="n">
        <x:v>2</x:v>
      </x:c>
      <x:c r="K133" s="40" t="n">
        <x:v>2</x:v>
      </x:c>
      <x:c r="L133" s="40" t="n">
        <x:v>1</x:v>
      </x:c>
    </x:row>
    <x:row r="134" ht="23" customHeight="1">
      <x:c r="B134" s="17" t="str">
        <x:v>All rounds</x:v>
      </x:c>
      <x:c r="C134" s="17" t="str">
        <x:v>line</x:v>
      </x:c>
      <x:c r="D134" s="17" t="str">
        <x:v>JacksonDatabind_37</x:v>
      </x:c>
      <x:c r="E134" s="32" t="n">
        <x:v>0.9851000000000001</x:v>
      </x:c>
      <x:c r="F134" s="32" t="n">
        <x:v>0.00745</x:v>
      </x:c>
      <x:c r="G134" s="32" t="n">
        <x:v>0.7164</x:v>
      </x:c>
      <x:c r="H134" s="32" t="n">
        <x:v>0</x:v>
      </x:c>
      <x:c r="I134" s="40" t="n">
        <x:v>2</x:v>
      </x:c>
      <x:c r="J134" s="40" t="n">
        <x:v>2</x:v>
      </x:c>
      <x:c r="K134" s="40" t="n">
        <x:v>1</x:v>
      </x:c>
      <x:c r="L134" s="40" t="n">
        <x:v>1</x:v>
      </x:c>
    </x:row>
    <x:row r="135" ht="23" customHeight="1">
      <x:c r="B135" s="17" t="str">
        <x:v>All rounds</x:v>
      </x:c>
      <x:c r="C135" s="17" t="str">
        <x:v>line</x:v>
      </x:c>
      <x:c r="D135" s="17" t="str">
        <x:v>JacksonDatabind_39</x:v>
      </x:c>
      <x:c r="E135" s="32" t="n">
        <x:v>0.8571</x:v>
      </x:c>
      <x:c r="F135" s="32" t="n">
        <x:v>0.42855000000000004</x:v>
      </x:c>
      <x:c r="G135" s="32" t="n">
        <x:v>1</x:v>
      </x:c>
      <x:c r="H135" s="32" t="n">
        <x:v>1</x:v>
      </x:c>
      <x:c r="I135" s="40" t="n">
        <x:v>2</x:v>
      </x:c>
      <x:c r="J135" s="40" t="n">
        <x:v>2</x:v>
      </x:c>
      <x:c r="K135" s="40" t="n">
        <x:v>2</x:v>
      </x:c>
      <x:c r="L135" s="40" t="n">
        <x:v>1</x:v>
      </x:c>
    </x:row>
    <x:row r="136" ht="23" customHeight="1">
      <x:c r="B136" s="17" t="str">
        <x:v>All rounds</x:v>
      </x:c>
      <x:c r="C136" s="17" t="str">
        <x:v>line</x:v>
      </x:c>
      <x:c r="D136" s="17" t="str">
        <x:v>JacksonDatabind_40</x:v>
      </x:c>
      <x:c r="E136" s="32" t="n">
        <x:v>0.45659999999999995</x:v>
      </x:c>
      <x:c r="F136" s="32" t="n">
        <x:v>0.3196</x:v>
      </x:c>
      <x:c r="G136" s="32" t="n">
        <x:v>0.6804000000000001</x:v>
      </x:c>
      <x:c r="H136" s="32" t="n">
        <x:v>0.022799999999999997</x:v>
      </x:c>
      <x:c r="I136" s="40" t="n">
        <x:v>2</x:v>
      </x:c>
      <x:c r="J136" s="40" t="n">
        <x:v>2</x:v>
      </x:c>
      <x:c r="K136" s="40" t="n">
        <x:v>2</x:v>
      </x:c>
      <x:c r="L136" s="40" t="n">
        <x:v>1</x:v>
      </x:c>
    </x:row>
    <x:row r="137" ht="23" customHeight="1">
      <x:c r="B137" s="17" t="str">
        <x:v>All rounds</x:v>
      </x:c>
      <x:c r="C137" s="17" t="str">
        <x:v>line</x:v>
      </x:c>
      <x:c r="D137" s="17" t="str">
        <x:v>JacksonDatabind_42</x:v>
      </x:c>
      <x:c r="E137" s="32" t="n">
        <x:v>0.6</x:v>
      </x:c>
      <x:c r="F137" s="32" t="n">
        <x:v>0.0091</x:v>
      </x:c>
      <x:c r="G137" s="32" t="n">
        <x:v>0.8818</x:v>
      </x:c>
      <x:c r="H137" s="32" t="n">
        <x:v>0</x:v>
      </x:c>
      <x:c r="I137" s="40" t="n">
        <x:v>2</x:v>
      </x:c>
      <x:c r="J137" s="40" t="n">
        <x:v>2</x:v>
      </x:c>
      <x:c r="K137" s="40" t="n">
        <x:v>1</x:v>
      </x:c>
      <x:c r="L137" s="40" t="n">
        <x:v>1</x:v>
      </x:c>
    </x:row>
    <x:row r="138" ht="23" customHeight="1">
      <x:c r="B138" s="17" t="str">
        <x:v>All rounds</x:v>
      </x:c>
      <x:c r="C138" s="17" t="str">
        <x:v>line</x:v>
      </x:c>
      <x:c r="D138" s="17" t="str">
        <x:v>JacksonDatabind_44</x:v>
      </x:c>
      <x:c r="E138" s="32" t="n">
        <x:v>0.9732999999999999</x:v>
      </x:c>
      <x:c r="F138" s="32" t="n">
        <x:v>0.0066500000000000005</x:v>
      </x:c>
      <x:c r="G138" s="32" t="n">
        <x:v>0.8533</x:v>
      </x:c>
      <x:c r="H138" s="32" t="n">
        <x:v>0</x:v>
      </x:c>
      <x:c r="I138" s="40" t="n">
        <x:v>2</x:v>
      </x:c>
      <x:c r="J138" s="40" t="n">
        <x:v>2</x:v>
      </x:c>
      <x:c r="K138" s="40" t="n">
        <x:v>2</x:v>
      </x:c>
      <x:c r="L138" s="40" t="n">
        <x:v>1</x:v>
      </x:c>
    </x:row>
    <x:row r="139" ht="23" customHeight="1">
      <x:c r="B139" s="17" t="str">
        <x:v>All rounds</x:v>
      </x:c>
      <x:c r="C139" s="17" t="str">
        <x:v>line</x:v>
      </x:c>
      <x:c r="D139" s="17" t="str">
        <x:v>JacksonDatabind_5</x:v>
      </x:c>
      <x:c r="E139" s="32" t="n">
        <x:v>0.8055</x:v>
      </x:c>
      <x:c r="F139" s="32" t="n">
        <x:v>0</x:v>
      </x:c>
      <x:c r="G139" s="32" t="n">
        <x:v>0.5233</x:v>
      </x:c>
      <x:c r="H139" s="32" t="n">
        <x:v>0.0027</x:v>
      </x:c>
      <x:c r="I139" s="40" t="n">
        <x:v>2</x:v>
      </x:c>
      <x:c r="J139" s="40" t="n">
        <x:v>2</x:v>
      </x:c>
      <x:c r="K139" s="40" t="n">
        <x:v>2</x:v>
      </x:c>
      <x:c r="L139" s="40" t="n">
        <x:v>1</x:v>
      </x:c>
    </x:row>
    <x:row r="140" ht="23" customHeight="1">
      <x:c r="B140" s="17" t="str">
        <x:v>All rounds</x:v>
      </x:c>
      <x:c r="C140" s="17" t="str">
        <x:v>line</x:v>
      </x:c>
      <x:c r="D140" s="17" t="str">
        <x:v>JacksonDatabind_53</x:v>
      </x:c>
      <x:c r="E140" s="32" t="n">
        <x:v>0.8693000000000001</x:v>
      </x:c>
      <x:c r="F140" s="32" t="n">
        <x:v>0.40695</x:v>
      </x:c>
      <x:c r="G140" s="32" t="n">
        <x:v>0.7931999999999999</x:v>
      </x:c>
      <x:c r="H140" s="32" t="n">
        <x:v>0.07519999999999999</x:v>
      </x:c>
      <x:c r="I140" s="40" t="n">
        <x:v>2</x:v>
      </x:c>
      <x:c r="J140" s="40" t="n">
        <x:v>2</x:v>
      </x:c>
      <x:c r="K140" s="40" t="n">
        <x:v>2</x:v>
      </x:c>
      <x:c r="L140" s="40" t="n">
        <x:v>1</x:v>
      </x:c>
    </x:row>
    <x:row r="141" ht="23" customHeight="1">
      <x:c r="B141" s="17" t="str">
        <x:v>All rounds</x:v>
      </x:c>
      <x:c r="C141" s="17" t="str">
        <x:v>line</x:v>
      </x:c>
      <x:c r="D141" s="17" t="str">
        <x:v>JacksonDatabind_55</x:v>
      </x:c>
      <x:c r="E141" s="32" t="n">
        <x:v>0.8689</x:v>
      </x:c>
      <x:c r="F141" s="32" t="n">
        <x:v>0.2787</x:v>
      </x:c>
      <x:c r="G141" s="32" t="n">
        <x:v>0.7868999999999999</x:v>
      </x:c>
      <x:c r="H141" s="32" t="n">
        <x:v>0.0492</x:v>
      </x:c>
      <x:c r="I141" s="40" t="n">
        <x:v>2</x:v>
      </x:c>
      <x:c r="J141" s="40" t="n">
        <x:v>2</x:v>
      </x:c>
      <x:c r="K141" s="40" t="n">
        <x:v>2</x:v>
      </x:c>
      <x:c r="L141" s="40" t="n">
        <x:v>1</x:v>
      </x:c>
    </x:row>
    <x:row r="142" ht="23" customHeight="1">
      <x:c r="B142" s="17" t="str">
        <x:v>All rounds</x:v>
      </x:c>
      <x:c r="C142" s="17" t="str">
        <x:v>line</x:v>
      </x:c>
      <x:c r="D142" s="17" t="str">
        <x:v>JacksonDatabind_56</x:v>
      </x:c>
      <x:c r="E142" s="32" t="n">
        <x:v>0.4911</x:v>
      </x:c>
      <x:c r="F142" s="32" t="n">
        <x:v>0.0089</x:v>
      </x:c>
      <x:c r="G142" s="32" t="n">
        <x:v>0.9464</x:v>
      </x:c>
      <x:c r="H142" s="32" t="n">
        <x:v>0</x:v>
      </x:c>
      <x:c r="I142" s="40" t="n">
        <x:v>2</x:v>
      </x:c>
      <x:c r="J142" s="40" t="n">
        <x:v>2</x:v>
      </x:c>
      <x:c r="K142" s="40" t="n">
        <x:v>1</x:v>
      </x:c>
      <x:c r="L142" s="40" t="n">
        <x:v>1</x:v>
      </x:c>
    </x:row>
    <x:row r="143" ht="23" customHeight="1">
      <x:c r="B143" s="17" t="str">
        <x:v>All rounds</x:v>
      </x:c>
      <x:c r="C143" s="17" t="str">
        <x:v>line</x:v>
      </x:c>
      <x:c r="D143" s="17" t="str">
        <x:v>JacksonDatabind_57</x:v>
      </x:c>
      <x:c r="E143" s="32" t="n">
        <x:v>0.7598</x:v>
      </x:c>
      <x:c r="F143" s="32" t="n">
        <x:v>0.0368</x:v>
      </x:c>
      <x:c r="G143" s="32" t="n">
        <x:v>0.5528</x:v>
      </x:c>
      <x:c r="H143" s="32" t="n">
        <x:v>0.0025</x:v>
      </x:c>
      <x:c r="I143" s="40" t="n">
        <x:v>2</x:v>
      </x:c>
      <x:c r="J143" s="40" t="n">
        <x:v>2</x:v>
      </x:c>
      <x:c r="K143" s="40" t="n">
        <x:v>2</x:v>
      </x:c>
      <x:c r="L143" s="40" t="n">
        <x:v>1</x:v>
      </x:c>
    </x:row>
    <x:row r="144" ht="23" customHeight="1">
      <x:c r="B144" s="17" t="str">
        <x:v>All rounds</x:v>
      </x:c>
      <x:c r="C144" s="17" t="str">
        <x:v>line</x:v>
      </x:c>
      <x:c r="D144" s="17" t="str">
        <x:v>JacksonDatabind_6</x:v>
      </x:c>
      <x:c r="E144" s="32" t="n">
        <x:v>0.953</x:v>
      </x:c>
      <x:c r="F144" s="32" t="n">
        <x:v>0.8859</x:v>
      </x:c>
      <x:c r="G144" s="32" t="n">
        <x:v>0.8926000000000001</x:v>
      </x:c>
      <x:c r="H144" s="32" t="n">
        <x:v>0.1007</x:v>
      </x:c>
      <x:c r="I144" s="40" t="n">
        <x:v>2</x:v>
      </x:c>
      <x:c r="J144" s="40" t="n">
        <x:v>2</x:v>
      </x:c>
      <x:c r="K144" s="40" t="n">
        <x:v>2</x:v>
      </x:c>
      <x:c r="L144" s="40" t="n">
        <x:v>1</x:v>
      </x:c>
    </x:row>
    <x:row r="145" ht="23" customHeight="1">
      <x:c r="B145" s="17" t="str">
        <x:v>All rounds</x:v>
      </x:c>
      <x:c r="C145" s="17" t="str">
        <x:v>line</x:v>
      </x:c>
      <x:c r="D145" s="17" t="str">
        <x:v>JacksonDatabind_68</x:v>
      </x:c>
      <x:c r="E145" s="32" t="n">
        <x:v>0.0068000000000000005</x:v>
      </x:c>
      <x:c r="F145" s="32" t="n">
        <x:v>0.0017000000000000001</x:v>
      </x:c>
      <x:c r="G145" s="32" t="n">
        <x:v>0.0017000000000000001</x:v>
      </x:c>
      <x:c r="H145" s="32" t="n">
        <x:v>0.0017000000000000001</x:v>
      </x:c>
      <x:c r="I145" s="40" t="n">
        <x:v>2</x:v>
      </x:c>
      <x:c r="J145" s="40" t="n">
        <x:v>2</x:v>
      </x:c>
      <x:c r="K145" s="40" t="n">
        <x:v>2</x:v>
      </x:c>
      <x:c r="L145" s="40" t="n">
        <x:v>1</x:v>
      </x:c>
    </x:row>
    <x:row r="146" ht="23" customHeight="1">
      <x:c r="B146" s="17" t="str">
        <x:v>All rounds</x:v>
      </x:c>
      <x:c r="C146" s="17" t="str">
        <x:v>line</x:v>
      </x:c>
      <x:c r="D146" s="17" t="str">
        <x:v>JacksonDatabind_73</x:v>
      </x:c>
      <x:c r="E146" s="32" t="n">
        <x:v>0.0625</x:v>
      </x:c>
      <x:c r="F146" s="32" t="n">
        <x:v>0.049049999999999996</x:v>
      </x:c>
      <x:c r="G146" s="32" t="n">
        <x:v>0.6831999999999999</x:v>
      </x:c>
      <x:c r="H146" s="32" t="n">
        <x:v>0</x:v>
      </x:c>
      <x:c r="I146" s="40" t="n">
        <x:v>2</x:v>
      </x:c>
      <x:c r="J146" s="40" t="n">
        <x:v>2</x:v>
      </x:c>
      <x:c r="K146" s="40" t="n">
        <x:v>2</x:v>
      </x:c>
      <x:c r="L146" s="40" t="n">
        <x:v>1</x:v>
      </x:c>
    </x:row>
    <x:row r="147" ht="23" customHeight="1">
      <x:c r="B147" s="17" t="str">
        <x:v>All rounds</x:v>
      </x:c>
      <x:c r="C147" s="17" t="str">
        <x:v>line</x:v>
      </x:c>
      <x:c r="D147" s="17" t="str">
        <x:v>JacksonDatabind_83</x:v>
      </x:c>
      <x:c r="E147" s="32" t="n">
        <x:v>0.6148</x:v>
      </x:c>
      <x:c r="F147" s="32" t="n">
        <x:v>0.008199999999999999</x:v>
      </x:c>
      <x:c r="G147" s="32" t="n">
        <x:v>0.8197</x:v>
      </x:c>
      <x:c r="H147" s="32" t="n">
        <x:v>0</x:v>
      </x:c>
      <x:c r="I147" s="40" t="n">
        <x:v>2</x:v>
      </x:c>
      <x:c r="J147" s="40" t="n">
        <x:v>2</x:v>
      </x:c>
      <x:c r="K147" s="40" t="n">
        <x:v>2</x:v>
      </x:c>
      <x:c r="L147" s="40" t="n">
        <x:v>1</x:v>
      </x:c>
    </x:row>
    <x:row r="148" ht="23" customHeight="1">
      <x:c r="B148" s="17" t="str">
        <x:v>All rounds</x:v>
      </x:c>
      <x:c r="C148" s="17" t="str">
        <x:v>line</x:v>
      </x:c>
      <x:c r="D148" s="17" t="str">
        <x:v>JacksonDatabind_84</x:v>
      </x:c>
      <x:c r="E148" s="32" t="n">
        <x:v>1</x:v>
      </x:c>
      <x:c r="F148" s="32" t="n">
        <x:v>0</x:v>
      </x:c>
      <x:c r="G148" s="32" t="n">
        <x:v>0.9667</x:v>
      </x:c>
      <x:c r="H148" s="32" t="n">
        <x:v>1</x:v>
      </x:c>
      <x:c r="I148" s="40" t="n">
        <x:v>2</x:v>
      </x:c>
      <x:c r="J148" s="40" t="n">
        <x:v>2</x:v>
      </x:c>
      <x:c r="K148" s="40" t="n">
        <x:v>2</x:v>
      </x:c>
      <x:c r="L148" s="40" t="n">
        <x:v>1</x:v>
      </x:c>
    </x:row>
    <x:row r="149" ht="23" customHeight="1">
      <x:c r="B149" s="17" t="str">
        <x:v>All rounds</x:v>
      </x:c>
      <x:c r="C149" s="17" t="str">
        <x:v>line</x:v>
      </x:c>
      <x:c r="D149" s="17" t="str">
        <x:v>JacksonDatabind_86</x:v>
      </x:c>
      <x:c r="E149" s="32" t="n">
        <x:v>1</x:v>
      </x:c>
      <x:c r="F149" s="32" t="n">
        <x:v>0</x:v>
      </x:c>
      <x:c r="G149" s="32" t="n">
        <x:v>0.9667</x:v>
      </x:c>
      <x:c r="H149" s="32" t="n">
        <x:v>1</x:v>
      </x:c>
      <x:c r="I149" s="40" t="n">
        <x:v>2</x:v>
      </x:c>
      <x:c r="J149" s="40" t="n">
        <x:v>2</x:v>
      </x:c>
      <x:c r="K149" s="40" t="n">
        <x:v>2</x:v>
      </x:c>
      <x:c r="L149" s="40" t="n">
        <x:v>1</x:v>
      </x:c>
    </x:row>
    <x:row r="150" ht="23" customHeight="1">
      <x:c r="B150" s="17" t="str">
        <x:v>All rounds</x:v>
      </x:c>
      <x:c r="C150" s="17" t="str">
        <x:v>line</x:v>
      </x:c>
      <x:c r="D150" s="17" t="str">
        <x:v>JacksonDatabind_87</x:v>
      </x:c>
      <x:c r="E150" s="32" t="n">
        <x:v>0.9505</x:v>
      </x:c>
      <x:c r="F150" s="32" t="n">
        <x:v>0.7723</x:v>
      </x:c>
      <x:c r="G150" s="32" t="n">
        <x:v>0.8564</x:v>
      </x:c>
      <x:c r="H150" s="32" t="n">
        <x:v>0.07429999999999999</x:v>
      </x:c>
      <x:c r="I150" s="40" t="n">
        <x:v>2</x:v>
      </x:c>
      <x:c r="J150" s="40" t="n">
        <x:v>1</x:v>
      </x:c>
      <x:c r="K150" s="40" t="n">
        <x:v>2</x:v>
      </x:c>
      <x:c r="L150" s="40" t="n">
        <x:v>1</x:v>
      </x:c>
    </x:row>
    <x:row r="151" ht="23" customHeight="1">
      <x:c r="B151" s="17" t="str">
        <x:v>All rounds</x:v>
      </x:c>
      <x:c r="C151" s="17" t="str">
        <x:v>line</x:v>
      </x:c>
      <x:c r="D151" s="17" t="str">
        <x:v>JacksonDatabind_93</x:v>
      </x:c>
      <x:c r="E151" s="32" t="n">
        <x:v>0.7778</x:v>
      </x:c>
      <x:c r="F151" s="32" t="n">
        <x:v>0.6667000000000001</x:v>
      </x:c>
      <x:c r="G151" s="32" t="n">
        <x:v>0.8611</x:v>
      </x:c>
      <x:c r="H151" s="32" t="n">
        <x:v>1</x:v>
      </x:c>
      <x:c r="I151" s="40" t="n">
        <x:v>2</x:v>
      </x:c>
      <x:c r="J151" s="40" t="n">
        <x:v>2</x:v>
      </x:c>
      <x:c r="K151" s="40" t="n">
        <x:v>1</x:v>
      </x:c>
      <x:c r="L151" s="40" t="n">
        <x:v>1</x:v>
      </x:c>
    </x:row>
    <x:row r="152" ht="23" customHeight="1">
      <x:c r="B152" s="17" t="str">
        <x:v>All rounds</x:v>
      </x:c>
      <x:c r="C152" s="17" t="str">
        <x:v>line</x:v>
      </x:c>
      <x:c r="D152" s="17" t="str">
        <x:v>JacksonDatabind_94</x:v>
      </x:c>
      <x:c r="E152" s="32" t="n">
        <x:v>0.7714</x:v>
      </x:c>
      <x:c r="F152" s="32" t="n">
        <x:v>0.6286</x:v>
      </x:c>
      <x:c r="G152" s="32" t="n">
        <x:v>0.8571</x:v>
      </x:c>
      <x:c r="H152" s="32" t="n">
        <x:v>1</x:v>
      </x:c>
      <x:c r="I152" s="40" t="n">
        <x:v>2</x:v>
      </x:c>
      <x:c r="J152" s="40" t="n">
        <x:v>2</x:v>
      </x:c>
      <x:c r="K152" s="40" t="n">
        <x:v>2</x:v>
      </x:c>
      <x:c r="L152" s="40" t="n">
        <x:v>1</x:v>
      </x:c>
    </x:row>
    <x:row r="153" ht="23" customHeight="1">
      <x:c r="B153" s="17" t="str">
        <x:v>All rounds</x:v>
      </x:c>
      <x:c r="C153" s="17" t="str">
        <x:v>line</x:v>
      </x:c>
      <x:c r="D153" s="17" t="str">
        <x:v>JacksonDatabind_98</x:v>
      </x:c>
      <x:c r="E153" s="32" t="n">
        <x:v>0.39130000000000004</x:v>
      </x:c>
      <x:c r="F153" s="32" t="n">
        <x:v>0.22219999999999998</x:v>
      </x:c>
      <x:c r="G153" s="32" t="n">
        <x:v>0.5121</x:v>
      </x:c>
      <x:c r="H153" s="32" t="n">
        <x:v>0</x:v>
      </x:c>
      <x:c r="I153" s="40" t="n">
        <x:v>2</x:v>
      </x:c>
      <x:c r="J153" s="40" t="n">
        <x:v>2</x:v>
      </x:c>
      <x:c r="K153" s="40" t="n">
        <x:v>1</x:v>
      </x:c>
      <x:c r="L153" s="40" t="n">
        <x:v>1</x:v>
      </x:c>
    </x:row>
    <x:row r="154" ht="23" customHeight="1">
      <x:c r="B154" s="17" t="str">
        <x:v>All rounds</x:v>
      </x:c>
      <x:c r="C154" s="17" t="str">
        <x:v>line</x:v>
      </x:c>
      <x:c r="D154" s="17" t="str">
        <x:v>Jsoup_1</x:v>
      </x:c>
      <x:c r="E154" s="32" t="n">
        <x:v>1</x:v>
      </x:c>
      <x:c r="F154" s="32" t="n">
        <x:v>1</x:v>
      </x:c>
      <x:c r="G154" s="32" t="n">
        <x:v>0.9783</x:v>
      </x:c>
      <x:c r="H154" s="32" t="n">
        <x:v>1</x:v>
      </x:c>
      <x:c r="I154" s="40" t="n">
        <x:v>2</x:v>
      </x:c>
      <x:c r="J154" s="40" t="n">
        <x:v>2</x:v>
      </x:c>
      <x:c r="K154" s="40" t="n">
        <x:v>2</x:v>
      </x:c>
      <x:c r="L154" s="40" t="n">
        <x:v>1</x:v>
      </x:c>
    </x:row>
    <x:row r="155" ht="23" customHeight="1">
      <x:c r="B155" s="17" t="str">
        <x:v>All rounds</x:v>
      </x:c>
      <x:c r="C155" s="17" t="str">
        <x:v>line</x:v>
      </x:c>
      <x:c r="D155" s="17" t="str">
        <x:v>Jsoup_11</x:v>
      </x:c>
      <x:c r="E155" s="32" t="n">
        <x:v>0.6667000000000001</x:v>
      </x:c>
      <x:c r="F155" s="32" t="n">
        <x:v>0.0556</x:v>
      </x:c>
      <x:c r="G155" s="32" t="n">
        <x:v>0.8131</x:v>
      </x:c>
      <x:c r="H155" s="32" t="n">
        <x:v>0.9747</x:v>
      </x:c>
      <x:c r="I155" s="40" t="n">
        <x:v>2</x:v>
      </x:c>
      <x:c r="J155" s="40" t="n">
        <x:v>2</x:v>
      </x:c>
      <x:c r="K155" s="40" t="n">
        <x:v>2</x:v>
      </x:c>
      <x:c r="L155" s="40" t="n">
        <x:v>1</x:v>
      </x:c>
    </x:row>
    <x:row r="156" ht="23" customHeight="1">
      <x:c r="B156" s="17" t="str">
        <x:v>All rounds</x:v>
      </x:c>
      <x:c r="C156" s="17" t="str">
        <x:v>line</x:v>
      </x:c>
      <x:c r="D156" s="17" t="str">
        <x:v>Jsoup_12</x:v>
      </x:c>
      <x:c r="E156" s="32" t="n">
        <x:v>0.7064</x:v>
      </x:c>
      <x:c r="F156" s="32" t="n">
        <x:v>0.078</x:v>
      </x:c>
      <x:c r="G156" s="32" t="n">
        <x:v>0.9495</x:v>
      </x:c>
      <x:c r="H156" s="32" t="n">
        <x:v>0.9771</x:v>
      </x:c>
      <x:c r="I156" s="40" t="n">
        <x:v>2</x:v>
      </x:c>
      <x:c r="J156" s="40" t="n">
        <x:v>2</x:v>
      </x:c>
      <x:c r="K156" s="40" t="n">
        <x:v>2</x:v>
      </x:c>
      <x:c r="L156" s="40" t="n">
        <x:v>1</x:v>
      </x:c>
    </x:row>
    <x:row r="157" ht="23" customHeight="1">
      <x:c r="B157" s="17" t="str">
        <x:v>All rounds</x:v>
      </x:c>
      <x:c r="C157" s="17" t="str">
        <x:v>line</x:v>
      </x:c>
      <x:c r="D157" s="17" t="str">
        <x:v>Jsoup_16</x:v>
      </x:c>
      <x:c r="E157" s="32" t="n">
        <x:v>1</x:v>
      </x:c>
      <x:c r="F157" s="32" t="n">
        <x:v>0.9643</x:v>
      </x:c>
      <x:c r="G157" s="32" t="n">
        <x:v>1</x:v>
      </x:c>
      <x:c r="H157" s="32" t="n">
        <x:v>1</x:v>
      </x:c>
      <x:c r="I157" s="40" t="n">
        <x:v>2</x:v>
      </x:c>
      <x:c r="J157" s="40" t="n">
        <x:v>2</x:v>
      </x:c>
      <x:c r="K157" s="40" t="n">
        <x:v>2</x:v>
      </x:c>
      <x:c r="L157" s="40" t="n">
        <x:v>1</x:v>
      </x:c>
    </x:row>
    <x:row r="158" ht="23" customHeight="1">
      <x:c r="B158" s="17" t="str">
        <x:v>All rounds</x:v>
      </x:c>
      <x:c r="C158" s="17" t="str">
        <x:v>line</x:v>
      </x:c>
      <x:c r="D158" s="17" t="str">
        <x:v>Jsoup_18</x:v>
      </x:c>
      <x:c r="E158" s="32" t="n">
        <x:v>1</x:v>
      </x:c>
      <x:c r="F158" s="32" t="n">
        <x:v>0.88145</x:v>
      </x:c>
      <x:c r="G158" s="32" t="n">
        <x:v>0.9897</x:v>
      </x:c>
      <x:c r="H158" s="32" t="n">
        <x:v>1</x:v>
      </x:c>
      <x:c r="I158" s="40" t="n">
        <x:v>2</x:v>
      </x:c>
      <x:c r="J158" s="40" t="n">
        <x:v>2</x:v>
      </x:c>
      <x:c r="K158" s="40" t="n">
        <x:v>2</x:v>
      </x:c>
      <x:c r="L158" s="40" t="n">
        <x:v>1</x:v>
      </x:c>
    </x:row>
    <x:row r="159" ht="23" customHeight="1">
      <x:c r="B159" s="17" t="str">
        <x:v>All rounds</x:v>
      </x:c>
      <x:c r="C159" s="17" t="str">
        <x:v>line</x:v>
      </x:c>
      <x:c r="D159" s="17" t="str">
        <x:v>Jsoup_20</x:v>
      </x:c>
      <x:c r="E159" s="32" t="n">
        <x:v>0.7955</x:v>
      </x:c>
      <x:c r="F159" s="32" t="n">
        <x:v>0.40909999999999996</x:v>
      </x:c>
      <x:c r="G159" s="32" t="n">
        <x:v>0.9773000000000001</x:v>
      </x:c>
      <x:c r="H159" s="32" t="n">
        <x:v>1</x:v>
      </x:c>
      <x:c r="I159" s="40" t="n">
        <x:v>2</x:v>
      </x:c>
      <x:c r="J159" s="40" t="n">
        <x:v>2</x:v>
      </x:c>
      <x:c r="K159" s="40" t="n">
        <x:v>2</x:v>
      </x:c>
      <x:c r="L159" s="40" t="n">
        <x:v>1</x:v>
      </x:c>
    </x:row>
    <x:row r="160" ht="23" customHeight="1">
      <x:c r="B160" s="17" t="str">
        <x:v>All rounds</x:v>
      </x:c>
      <x:c r="C160" s="17" t="str">
        <x:v>line</x:v>
      </x:c>
      <x:c r="D160" s="17" t="str">
        <x:v>Jsoup_21</x:v>
      </x:c>
      <x:c r="E160" s="32" t="n">
        <x:v>0.9577</x:v>
      </x:c>
      <x:c r="F160" s="32" t="n">
        <x:v>0.35185</x:v>
      </x:c>
      <x:c r="G160" s="32" t="n">
        <x:v>0.9947</x:v>
      </x:c>
      <x:c r="H160" s="32" t="n">
        <x:v>0.9734999999999999</x:v>
      </x:c>
      <x:c r="I160" s="40" t="n">
        <x:v>2</x:v>
      </x:c>
      <x:c r="J160" s="40" t="n">
        <x:v>2</x:v>
      </x:c>
      <x:c r="K160" s="40" t="n">
        <x:v>1</x:v>
      </x:c>
      <x:c r="L160" s="40" t="n">
        <x:v>1</x:v>
      </x:c>
    </x:row>
    <x:row r="161" ht="23" customHeight="1">
      <x:c r="B161" s="17" t="str">
        <x:v>All rounds</x:v>
      </x:c>
      <x:c r="C161" s="17" t="str">
        <x:v>line</x:v>
      </x:c>
      <x:c r="D161" s="17" t="str">
        <x:v>Jsoup_30</x:v>
      </x:c>
      <x:c r="E161" s="32" t="n">
        <x:v>0.44</x:v>
      </x:c>
      <x:c r="F161" s="32" t="n">
        <x:v>0.04</x:v>
      </x:c>
      <x:c r="G161" s="32" t="n">
        <x:v>1</x:v>
      </x:c>
      <x:c r="H161" s="32" t="n">
        <x:v>1</x:v>
      </x:c>
      <x:c r="I161" s="40" t="n">
        <x:v>2</x:v>
      </x:c>
      <x:c r="J161" s="40" t="n">
        <x:v>2</x:v>
      </x:c>
      <x:c r="K161" s="40" t="n">
        <x:v>1</x:v>
      </x:c>
      <x:c r="L161" s="40" t="n">
        <x:v>1</x:v>
      </x:c>
    </x:row>
    <x:row r="162" ht="23" customHeight="1">
      <x:c r="B162" s="17" t="str">
        <x:v>All rounds</x:v>
      </x:c>
      <x:c r="C162" s="17" t="str">
        <x:v>line</x:v>
      </x:c>
      <x:c r="D162" s="17" t="str">
        <x:v>Jsoup_32</x:v>
      </x:c>
      <x:c r="E162" s="32" t="n">
        <x:v>0.5644</x:v>
      </x:c>
      <x:c r="F162" s="32" t="n">
        <x:v>0.009899999999999999</x:v>
      </x:c>
      <x:c r="G162" s="32" t="n">
        <x:v>0.7558</x:v>
      </x:c>
      <x:c r="H162" s="32" t="n">
        <x:v>0.9637</x:v>
      </x:c>
      <x:c r="I162" s="40" t="n">
        <x:v>2</x:v>
      </x:c>
      <x:c r="J162" s="40" t="n">
        <x:v>2</x:v>
      </x:c>
      <x:c r="K162" s="40" t="n">
        <x:v>1</x:v>
      </x:c>
      <x:c r="L162" s="40" t="n">
        <x:v>1</x:v>
      </x:c>
    </x:row>
    <x:row r="163" ht="23" customHeight="1">
      <x:c r="B163" s="17" t="str">
        <x:v>All rounds</x:v>
      </x:c>
      <x:c r="C163" s="17" t="str">
        <x:v>line</x:v>
      </x:c>
      <x:c r="D163" s="17" t="str">
        <x:v>Jsoup_37</x:v>
      </x:c>
      <x:c r="E163" s="32" t="n">
        <x:v>0.5472</x:v>
      </x:c>
      <x:c r="F163" s="32" t="n">
        <x:v>0.0163</x:v>
      </x:c>
      <x:c r="G163" s="32" t="n">
        <x:v>0.7883</x:v>
      </x:c>
      <x:c r="H163" s="32" t="n">
        <x:v>0.9609000000000001</x:v>
      </x:c>
      <x:c r="I163" s="40" t="n">
        <x:v>2</x:v>
      </x:c>
      <x:c r="J163" s="40" t="n">
        <x:v>2</x:v>
      </x:c>
      <x:c r="K163" s="40" t="n">
        <x:v>1</x:v>
      </x:c>
      <x:c r="L163" s="40" t="n">
        <x:v>1</x:v>
      </x:c>
    </x:row>
    <x:row r="164" ht="23" customHeight="1">
      <x:c r="B164" s="17" t="str">
        <x:v>All rounds</x:v>
      </x:c>
      <x:c r="C164" s="17" t="str">
        <x:v>line</x:v>
      </x:c>
      <x:c r="D164" s="17" t="str">
        <x:v>Jsoup_39</x:v>
      </x:c>
      <x:c r="E164" s="32" t="n">
        <x:v>0.6533</x:v>
      </x:c>
      <x:c r="F164" s="32" t="n">
        <x:v>0.2933</x:v>
      </x:c>
      <x:c r="G164" s="32" t="n">
        <x:v>0.88</x:v>
      </x:c>
      <x:c r="H164" s="32" t="n">
        <x:v>0.9732999999999999</x:v>
      </x:c>
      <x:c r="I164" s="40" t="n">
        <x:v>2</x:v>
      </x:c>
      <x:c r="J164" s="40" t="n">
        <x:v>2</x:v>
      </x:c>
      <x:c r="K164" s="40" t="n">
        <x:v>2</x:v>
      </x:c>
      <x:c r="L164" s="40" t="n">
        <x:v>1</x:v>
      </x:c>
    </x:row>
    <x:row r="165" ht="23" customHeight="1">
      <x:c r="B165" s="17" t="str">
        <x:v>All rounds</x:v>
      </x:c>
      <x:c r="C165" s="17" t="str">
        <x:v>line</x:v>
      </x:c>
      <x:c r="D165" s="17" t="str">
        <x:v>Jsoup_40</x:v>
      </x:c>
      <x:c r="E165" s="32" t="n">
        <x:v>1</x:v>
      </x:c>
      <x:c r="F165" s="32" t="n">
        <x:v>0.9706</x:v>
      </x:c>
      <x:c r="G165" s="32" t="n">
        <x:v>1</x:v>
      </x:c>
      <x:c r="H165" s="32" t="n">
        <x:v>1</x:v>
      </x:c>
      <x:c r="I165" s="40" t="n">
        <x:v>2</x:v>
      </x:c>
      <x:c r="J165" s="40" t="n">
        <x:v>2</x:v>
      </x:c>
      <x:c r="K165" s="40" t="n">
        <x:v>2</x:v>
      </x:c>
      <x:c r="L165" s="40" t="n">
        <x:v>1</x:v>
      </x:c>
    </x:row>
    <x:row r="166" ht="23" customHeight="1">
      <x:c r="B166" s="17" t="str">
        <x:v>All rounds</x:v>
      </x:c>
      <x:c r="C166" s="17" t="str">
        <x:v>line</x:v>
      </x:c>
      <x:c r="D166" s="17" t="str">
        <x:v>Jsoup_46</x:v>
      </x:c>
      <x:c r="E166" s="32" t="n">
        <x:v>0.9068</x:v>
      </x:c>
      <x:c r="F166" s="32" t="n">
        <x:v>0.48310000000000003</x:v>
      </x:c>
      <x:c r="G166" s="32" t="n">
        <x:v>0.7966</x:v>
      </x:c>
      <x:c r="H166" s="32" t="n">
        <x:v>0.9831</x:v>
      </x:c>
      <x:c r="I166" s="40" t="n">
        <x:v>2</x:v>
      </x:c>
      <x:c r="J166" s="40" t="n">
        <x:v>2</x:v>
      </x:c>
      <x:c r="K166" s="40" t="n">
        <x:v>2</x:v>
      </x:c>
      <x:c r="L166" s="40" t="n">
        <x:v>1</x:v>
      </x:c>
    </x:row>
    <x:row r="167" ht="23" customHeight="1">
      <x:c r="B167" s="17" t="str">
        <x:v>All rounds</x:v>
      </x:c>
      <x:c r="C167" s="17" t="str">
        <x:v>line</x:v>
      </x:c>
      <x:c r="D167" s="17" t="str">
        <x:v>Jsoup_47</x:v>
      </x:c>
      <x:c r="E167" s="32" t="n">
        <x:v>0.8559</x:v>
      </x:c>
      <x:c r="F167" s="32" t="n">
        <x:v>0.48310000000000003</x:v>
      </x:c>
      <x:c r="G167" s="32" t="n">
        <x:v>0.9661</x:v>
      </x:c>
      <x:c r="H167" s="32" t="n">
        <x:v>0.9745999999999999</x:v>
      </x:c>
      <x:c r="I167" s="40" t="n">
        <x:v>2</x:v>
      </x:c>
      <x:c r="J167" s="40" t="n">
        <x:v>2</x:v>
      </x:c>
      <x:c r="K167" s="40" t="n">
        <x:v>1</x:v>
      </x:c>
      <x:c r="L167" s="40" t="n">
        <x:v>1</x:v>
      </x:c>
    </x:row>
    <x:row r="168" ht="23" customHeight="1">
      <x:c r="B168" s="17" t="str">
        <x:v>All rounds</x:v>
      </x:c>
      <x:c r="C168" s="17" t="str">
        <x:v>line</x:v>
      </x:c>
      <x:c r="D168" s="17" t="str">
        <x:v>Jsoup_5</x:v>
      </x:c>
      <x:c r="E168" s="32" t="n">
        <x:v>0.8371999999999999</x:v>
      </x:c>
      <x:c r="F168" s="32" t="n">
        <x:v>0.2267</x:v>
      </x:c>
      <x:c r="G168" s="32" t="n">
        <x:v>0.6453</x:v>
      </x:c>
      <x:c r="H168" s="32" t="n">
        <x:v>0.9884000000000001</x:v>
      </x:c>
      <x:c r="I168" s="40" t="n">
        <x:v>2</x:v>
      </x:c>
      <x:c r="J168" s="40" t="n">
        <x:v>2</x:v>
      </x:c>
      <x:c r="K168" s="40" t="n">
        <x:v>2</x:v>
      </x:c>
      <x:c r="L168" s="40" t="n">
        <x:v>1</x:v>
      </x:c>
    </x:row>
    <x:row r="169" ht="23" customHeight="1">
      <x:c r="B169" s="17" t="str">
        <x:v>All rounds</x:v>
      </x:c>
      <x:c r="C169" s="17" t="str">
        <x:v>line</x:v>
      </x:c>
      <x:c r="D169" s="17" t="str">
        <x:v>Jsoup_51</x:v>
      </x:c>
      <x:c r="E169" s="32" t="n">
        <x:v>0.9897</x:v>
      </x:c>
      <x:c r="F169" s="32" t="n">
        <x:v>0.9333</x:v>
      </x:c>
      <x:c r="G169" s="32" t="n">
        <x:v>0.9641</x:v>
      </x:c>
      <x:c r="H169" s="32" t="n">
        <x:v>1</x:v>
      </x:c>
      <x:c r="I169" s="40" t="n">
        <x:v>2</x:v>
      </x:c>
      <x:c r="J169" s="40" t="n">
        <x:v>2</x:v>
      </x:c>
      <x:c r="K169" s="40" t="n">
        <x:v>2</x:v>
      </x:c>
      <x:c r="L169" s="40" t="n">
        <x:v>1</x:v>
      </x:c>
    </x:row>
    <x:row r="170" ht="23" customHeight="1">
      <x:c r="B170" s="17" t="str">
        <x:v>All rounds</x:v>
      </x:c>
      <x:c r="C170" s="17" t="str">
        <x:v>line</x:v>
      </x:c>
      <x:c r="D170" s="17" t="str">
        <x:v>Jsoup_53</x:v>
      </x:c>
      <x:c r="E170" s="32" t="n">
        <x:v>0.9845999999999999</x:v>
      </x:c>
      <x:c r="F170" s="32" t="n">
        <x:v>0.9730500000000001</x:v>
      </x:c>
      <x:c r="G170" s="32" t="n">
        <x:v>0.9</x:v>
      </x:c>
      <x:c r="H170" s="32" t="n">
        <x:v>0.9923000000000001</x:v>
      </x:c>
      <x:c r="I170" s="40" t="n">
        <x:v>2</x:v>
      </x:c>
      <x:c r="J170" s="40" t="n">
        <x:v>2</x:v>
      </x:c>
      <x:c r="K170" s="40" t="n">
        <x:v>2</x:v>
      </x:c>
      <x:c r="L170" s="40" t="n">
        <x:v>1</x:v>
      </x:c>
    </x:row>
    <x:row r="171" ht="23" customHeight="1">
      <x:c r="B171" s="17" t="str">
        <x:v>All rounds</x:v>
      </x:c>
      <x:c r="C171" s="17" t="str">
        <x:v>line</x:v>
      </x:c>
      <x:c r="D171" s="17" t="str">
        <x:v>Jsoup_57</x:v>
      </x:c>
      <x:c r="E171" s="32" t="n">
        <x:v>0.8819</x:v>
      </x:c>
      <x:c r="F171" s="32" t="n">
        <x:v>0.7756000000000001</x:v>
      </x:c>
      <x:c r="G171" s="32" t="n">
        <x:v>0.9449</x:v>
      </x:c>
      <x:c r="H171" s="32" t="n">
        <x:v>0.9684999999999999</x:v>
      </x:c>
      <x:c r="I171" s="40" t="n">
        <x:v>2</x:v>
      </x:c>
      <x:c r="J171" s="40" t="n">
        <x:v>2</x:v>
      </x:c>
      <x:c r="K171" s="40" t="n">
        <x:v>2</x:v>
      </x:c>
      <x:c r="L171" s="40" t="n">
        <x:v>1</x:v>
      </x:c>
    </x:row>
    <x:row r="172" ht="23" customHeight="1">
      <x:c r="B172" s="17" t="str">
        <x:v>All rounds</x:v>
      </x:c>
      <x:c r="C172" s="17" t="str">
        <x:v>line</x:v>
      </x:c>
      <x:c r="D172" s="17" t="str">
        <x:v>Jsoup_58</x:v>
      </x:c>
      <x:c r="E172" s="32" t="n">
        <x:v>0.7559</x:v>
      </x:c>
      <x:c r="F172" s="32" t="n">
        <x:v>0.4094</x:v>
      </x:c>
      <x:c r="G172" s="32" t="n">
        <x:v>0.9684999999999999</x:v>
      </x:c>
      <x:c r="H172" s="32" t="n">
        <x:v>1</x:v>
      </x:c>
      <x:c r="I172" s="40" t="n">
        <x:v>2</x:v>
      </x:c>
      <x:c r="J172" s="40" t="n">
        <x:v>2</x:v>
      </x:c>
      <x:c r="K172" s="40" t="n">
        <x:v>2</x:v>
      </x:c>
      <x:c r="L172" s="40" t="n">
        <x:v>1</x:v>
      </x:c>
    </x:row>
    <x:row r="173" ht="23" customHeight="1">
      <x:c r="B173" s="17" t="str">
        <x:v>All rounds</x:v>
      </x:c>
      <x:c r="C173" s="17" t="str">
        <x:v>line</x:v>
      </x:c>
      <x:c r="D173" s="17" t="str">
        <x:v>Jsoup_59</x:v>
      </x:c>
      <x:c r="E173" s="32" t="n">
        <x:v>0.9937999999999999</x:v>
      </x:c>
      <x:c r="F173" s="32" t="n">
        <x:v>0.9906</x:v>
      </x:c>
      <x:c r="G173" s="32" t="n">
        <x:v>0.9875</x:v>
      </x:c>
      <x:c r="H173" s="32" t="n">
        <x:v>0.9125</x:v>
      </x:c>
      <x:c r="I173" s="40" t="n">
        <x:v>2</x:v>
      </x:c>
      <x:c r="J173" s="40" t="n">
        <x:v>2</x:v>
      </x:c>
      <x:c r="K173" s="40" t="n">
        <x:v>1</x:v>
      </x:c>
      <x:c r="L173" s="40" t="n">
        <x:v>1</x:v>
      </x:c>
    </x:row>
    <x:row r="174" ht="23" customHeight="1">
      <x:c r="B174" s="17" t="str">
        <x:v>All rounds</x:v>
      </x:c>
      <x:c r="C174" s="17" t="str">
        <x:v>line</x:v>
      </x:c>
      <x:c r="D174" s="17" t="str">
        <x:v>Jsoup_60</x:v>
      </x:c>
      <x:c r="E174" s="32" t="n">
        <x:v>0.8959</x:v>
      </x:c>
      <x:c r="F174" s="32" t="n">
        <x:v>0.54245</x:v>
      </x:c>
      <x:c r="G174" s="32" t="n">
        <x:v>0.7615999999999999</x:v>
      </x:c>
      <x:c r="H174" s="32" t="n">
        <x:v>0.9890000000000001</x:v>
      </x:c>
      <x:c r="I174" s="40" t="n">
        <x:v>2</x:v>
      </x:c>
      <x:c r="J174" s="40" t="n">
        <x:v>2</x:v>
      </x:c>
      <x:c r="K174" s="40" t="n">
        <x:v>1</x:v>
      </x:c>
      <x:c r="L174" s="40" t="n">
        <x:v>1</x:v>
      </x:c>
    </x:row>
    <x:row r="175" ht="23" customHeight="1">
      <x:c r="B175" s="17" t="str">
        <x:v>All rounds</x:v>
      </x:c>
      <x:c r="C175" s="17" t="str">
        <x:v>line</x:v>
      </x:c>
      <x:c r="D175" s="17" t="str">
        <x:v>Jsoup_69</x:v>
      </x:c>
      <x:c r="E175" s="32" t="n">
        <x:v>0.4359</x:v>
      </x:c>
      <x:c r="F175" s="32" t="n">
        <x:v>0.0256</x:v>
      </x:c>
      <x:c r="G175" s="32" t="n">
        <x:v>0.9211</x:v>
      </x:c>
      <x:c r="H175" s="32" t="n">
        <x:v>1</x:v>
      </x:c>
      <x:c r="I175" s="40" t="n">
        <x:v>2</x:v>
      </x:c>
      <x:c r="J175" s="40" t="n">
        <x:v>2</x:v>
      </x:c>
      <x:c r="K175" s="40" t="n">
        <x:v>2</x:v>
      </x:c>
      <x:c r="L175" s="40" t="n">
        <x:v>1</x:v>
      </x:c>
    </x:row>
    <x:row r="176" ht="23" customHeight="1">
      <x:c r="B176" s="17" t="str">
        <x:v>All rounds</x:v>
      </x:c>
      <x:c r="C176" s="17" t="str">
        <x:v>line</x:v>
      </x:c>
      <x:c r="D176" s="17" t="str">
        <x:v>Jsoup_72</x:v>
      </x:c>
      <x:c r="E176" s="32" t="n">
        <x:v>0.9912000000000001</x:v>
      </x:c>
      <x:c r="F176" s="32" t="n">
        <x:v>0.9364</x:v>
      </x:c>
      <x:c r="G176" s="32" t="n">
        <x:v>0.9473999999999999</x:v>
      </x:c>
      <x:c r="H176" s="32" t="n">
        <x:v>0.9868000000000001</x:v>
      </x:c>
      <x:c r="I176" s="40" t="n">
        <x:v>2</x:v>
      </x:c>
      <x:c r="J176" s="40" t="n">
        <x:v>2</x:v>
      </x:c>
      <x:c r="K176" s="40" t="n">
        <x:v>2</x:v>
      </x:c>
      <x:c r="L176" s="40" t="n">
        <x:v>1</x:v>
      </x:c>
    </x:row>
    <x:row r="177" ht="23" customHeight="1">
      <x:c r="B177" s="17" t="str">
        <x:v>All rounds</x:v>
      </x:c>
      <x:c r="C177" s="17" t="str">
        <x:v>line</x:v>
      </x:c>
      <x:c r="D177" s="17" t="str">
        <x:v>Jsoup_74</x:v>
      </x:c>
      <x:c r="E177" s="32" t="n">
        <x:v>0.9398000000000001</x:v>
      </x:c>
      <x:c r="F177" s="32" t="n">
        <x:v>0.8916</x:v>
      </x:c>
      <x:c r="G177" s="32" t="n">
        <x:v>0.9157</x:v>
      </x:c>
      <x:c r="H177" s="32" t="n">
        <x:v>1</x:v>
      </x:c>
      <x:c r="I177" s="40" t="n">
        <x:v>2</x:v>
      </x:c>
      <x:c r="J177" s="40" t="n">
        <x:v>2</x:v>
      </x:c>
      <x:c r="K177" s="40" t="n">
        <x:v>2</x:v>
      </x:c>
      <x:c r="L177" s="40" t="n">
        <x:v>1</x:v>
      </x:c>
    </x:row>
    <x:row r="178" ht="23" customHeight="1">
      <x:c r="B178" s="17" t="str">
        <x:v>All rounds</x:v>
      </x:c>
      <x:c r="C178" s="17" t="str">
        <x:v>line</x:v>
      </x:c>
      <x:c r="D178" s="17" t="str">
        <x:v>Jsoup_75</x:v>
      </x:c>
      <x:c r="E178" s="32" t="n">
        <x:v>0.8332999999999999</x:v>
      </x:c>
      <x:c r="F178" s="32" t="n">
        <x:v>0.8036</x:v>
      </x:c>
      <x:c r="G178" s="32" t="n">
        <x:v>0.9699</x:v>
      </x:c>
      <x:c r="H178" s="32" t="n">
        <x:v>0.9702</x:v>
      </x:c>
      <x:c r="I178" s="40" t="n">
        <x:v>2</x:v>
      </x:c>
      <x:c r="J178" s="40" t="n">
        <x:v>2</x:v>
      </x:c>
      <x:c r="K178" s="40" t="n">
        <x:v>2</x:v>
      </x:c>
      <x:c r="L178" s="40" t="n">
        <x:v>1</x:v>
      </x:c>
    </x:row>
    <x:row r="179" ht="23" customHeight="1">
      <x:c r="B179" s="17" t="str">
        <x:v>All rounds</x:v>
      </x:c>
      <x:c r="C179" s="17" t="str">
        <x:v>line</x:v>
      </x:c>
      <x:c r="D179" s="17" t="str">
        <x:v>Jsoup_78</x:v>
      </x:c>
      <x:c r="E179" s="32" t="n">
        <x:v>0.6697</x:v>
      </x:c>
      <x:c r="F179" s="32" t="n">
        <x:v>0.2569</x:v>
      </x:c>
      <x:c r="G179" s="32" t="n">
        <x:v>0.7523000000000001</x:v>
      </x:c>
      <x:c r="H179" s="32" t="n">
        <x:v>0.9725</x:v>
      </x:c>
      <x:c r="I179" s="40" t="n">
        <x:v>2</x:v>
      </x:c>
      <x:c r="J179" s="40" t="n">
        <x:v>2</x:v>
      </x:c>
      <x:c r="K179" s="40" t="n">
        <x:v>2</x:v>
      </x:c>
      <x:c r="L179" s="40" t="n">
        <x:v>1</x:v>
      </x:c>
    </x:row>
    <x:row r="180" ht="23" customHeight="1">
      <x:c r="B180" s="17" t="str">
        <x:v>All rounds</x:v>
      </x:c>
      <x:c r="C180" s="17" t="str">
        <x:v>line</x:v>
      </x:c>
      <x:c r="D180" s="17" t="str">
        <x:v>Jsoup_81</x:v>
      </x:c>
      <x:c r="E180" s="32" t="n">
        <x:v>0.7009000000000001</x:v>
      </x:c>
      <x:c r="F180" s="32" t="n">
        <x:v>0.23929999999999998</x:v>
      </x:c>
      <x:c r="G180" s="32" t="n">
        <x:v>0.8889</x:v>
      </x:c>
      <x:c r="H180" s="32" t="n">
        <x:v>0.9573</x:v>
      </x:c>
      <x:c r="I180" s="40" t="n">
        <x:v>2</x:v>
      </x:c>
      <x:c r="J180" s="40" t="n">
        <x:v>2</x:v>
      </x:c>
      <x:c r="K180" s="40" t="n">
        <x:v>1</x:v>
      </x:c>
      <x:c r="L180" s="40" t="n">
        <x:v>1</x:v>
      </x:c>
    </x:row>
    <x:row r="181" ht="23" customHeight="1">
      <x:c r="B181" s="17" t="str">
        <x:v>All rounds</x:v>
      </x:c>
      <x:c r="C181" s="17" t="str">
        <x:v>line</x:v>
      </x:c>
      <x:c r="D181" s="17" t="str">
        <x:v>Jsoup_82</x:v>
      </x:c>
      <x:c r="E181" s="32" t="n">
        <x:v>0.4336</x:v>
      </x:c>
      <x:c r="F181" s="32" t="n">
        <x:v>0.20350000000000001</x:v>
      </x:c>
      <x:c r="G181" s="32" t="n">
        <x:v>0.7965000000000001</x:v>
      </x:c>
      <x:c r="H181" s="32" t="n">
        <x:v>0.9645999999999999</x:v>
      </x:c>
      <x:c r="I181" s="40" t="n">
        <x:v>2</x:v>
      </x:c>
      <x:c r="J181" s="40" t="n">
        <x:v>2</x:v>
      </x:c>
      <x:c r="K181" s="40" t="n">
        <x:v>2</x:v>
      </x:c>
      <x:c r="L181" s="40" t="n">
        <x:v>1</x:v>
      </x:c>
    </x:row>
    <x:row r="182" ht="23" customHeight="1">
      <x:c r="B182" s="17" t="str">
        <x:v>All rounds</x:v>
      </x:c>
      <x:c r="C182" s="17" t="str">
        <x:v>line</x:v>
      </x:c>
      <x:c r="D182" s="17" t="str">
        <x:v>Jsoup_84</x:v>
      </x:c>
      <x:c r="E182" s="32" t="n">
        <x:v>0.8946999999999999</x:v>
      </x:c>
      <x:c r="F182" s="32" t="n">
        <x:v>0.2895</x:v>
      </x:c>
      <x:c r="G182" s="32" t="n">
        <x:v>0.9342</x:v>
      </x:c>
      <x:c r="H182" s="32" t="n">
        <x:v>0.9737</x:v>
      </x:c>
      <x:c r="I182" s="40" t="n">
        <x:v>2</x:v>
      </x:c>
      <x:c r="J182" s="40" t="n">
        <x:v>2</x:v>
      </x:c>
      <x:c r="K182" s="40" t="n">
        <x:v>1</x:v>
      </x:c>
      <x:c r="L182" s="40" t="n">
        <x:v>1</x:v>
      </x:c>
    </x:row>
    <x:row r="183" ht="23" customHeight="1">
      <x:c r="B183" s="17" t="str">
        <x:v>All rounds</x:v>
      </x:c>
      <x:c r="C183" s="17" t="str">
        <x:v>line</x:v>
      </x:c>
      <x:c r="D183" s="17" t="str">
        <x:v>Jsoup_85</x:v>
      </x:c>
      <x:c r="E183" s="32" t="n">
        <x:v>0.9231</x:v>
      </x:c>
      <x:c r="F183" s="32" t="n">
        <x:v>0.7384999999999999</x:v>
      </x:c>
      <x:c r="G183" s="32" t="n">
        <x:v>0.9077</x:v>
      </x:c>
      <x:c r="H183" s="32" t="n">
        <x:v>0.8923000000000001</x:v>
      </x:c>
      <x:c r="I183" s="40" t="n">
        <x:v>2</x:v>
      </x:c>
      <x:c r="J183" s="40" t="n">
        <x:v>2</x:v>
      </x:c>
      <x:c r="K183" s="40" t="n">
        <x:v>2</x:v>
      </x:c>
      <x:c r="L183" s="40" t="n">
        <x:v>1</x:v>
      </x:c>
    </x:row>
    <x:row r="184" ht="23" customHeight="1">
      <x:c r="B184" s="17" t="str">
        <x:v>All rounds</x:v>
      </x:c>
      <x:c r="C184" s="17" t="str">
        <x:v>line</x:v>
      </x:c>
      <x:c r="D184" s="17" t="str">
        <x:v>Jsoup_88</x:v>
      </x:c>
      <x:c r="E184" s="32" t="n">
        <x:v>0.9242</x:v>
      </x:c>
      <x:c r="F184" s="32" t="n">
        <x:v>0.7424</x:v>
      </x:c>
      <x:c r="G184" s="32" t="n">
        <x:v>0.8787999999999999</x:v>
      </x:c>
      <x:c r="H184" s="32" t="n">
        <x:v>0.8939</x:v>
      </x:c>
      <x:c r="I184" s="40" t="n">
        <x:v>2</x:v>
      </x:c>
      <x:c r="J184" s="40" t="n">
        <x:v>2</x:v>
      </x:c>
      <x:c r="K184" s="40" t="n">
        <x:v>2</x:v>
      </x:c>
      <x:c r="L184" s="40" t="n">
        <x:v>1</x:v>
      </x:c>
    </x:row>
    <x:row r="185" ht="23" customHeight="1">
      <x:c r="B185" s="17" t="str">
        <x:v>All rounds</x:v>
      </x:c>
      <x:c r="C185" s="17" t="str">
        <x:v>line</x:v>
      </x:c>
      <x:c r="D185" s="17" t="str">
        <x:v>Jsoup_89</x:v>
      </x:c>
      <x:c r="E185" s="32" t="n">
        <x:v>0.9242</x:v>
      </x:c>
      <x:c r="F185" s="32" t="n">
        <x:v>0.7424</x:v>
      </x:c>
      <x:c r="G185" s="32" t="n">
        <x:v>0.8939</x:v>
      </x:c>
      <x:c r="H185" s="32" t="n">
        <x:v>0.8939</x:v>
      </x:c>
      <x:c r="I185" s="40" t="n">
        <x:v>2</x:v>
      </x:c>
      <x:c r="J185" s="40" t="n">
        <x:v>2</x:v>
      </x:c>
      <x:c r="K185" s="40" t="n">
        <x:v>2</x:v>
      </x:c>
      <x:c r="L185" s="40" t="n">
        <x:v>1</x:v>
      </x:c>
    </x:row>
    <x:row r="186" ht="23" customHeight="1">
      <x:c r="B186" s="17" t="str">
        <x:v>All rounds</x:v>
      </x:c>
      <x:c r="C186" s="17" t="str">
        <x:v>line</x:v>
      </x:c>
      <x:c r="D186" s="17" t="str">
        <x:v>Jsoup_91</x:v>
      </x:c>
      <x:c r="E186" s="32" t="n">
        <x:v>0.992</x:v>
      </x:c>
      <x:c r="F186" s="32" t="n">
        <x:v>0.3233</x:v>
      </x:c>
      <x:c r="G186" s="32" t="n">
        <x:v>0.9478</x:v>
      </x:c>
      <x:c r="H186" s="32" t="n">
        <x:v>0.992</x:v>
      </x:c>
      <x:c r="I186" s="40" t="n">
        <x:v>2</x:v>
      </x:c>
      <x:c r="J186" s="40" t="n">
        <x:v>2</x:v>
      </x:c>
      <x:c r="K186" s="40" t="n">
        <x:v>1</x:v>
      </x:c>
      <x:c r="L186" s="40" t="n">
        <x:v>1</x:v>
      </x:c>
    </x:row>
    <x:row r="187" ht="23" customHeight="1">
      <x:c r="B187" s="17" t="str">
        <x:v>All rounds</x:v>
      </x:c>
      <x:c r="C187" s="17" t="str">
        <x:v>line</x:v>
      </x:c>
      <x:c r="D187" s="17" t="str">
        <x:v>Jsoup_93</x:v>
      </x:c>
      <x:c r="E187" s="32" t="n">
        <x:v>0.5</x:v>
      </x:c>
      <x:c r="F187" s="32" t="n">
        <x:v>0.023799999999999998</x:v>
      </x:c>
      <x:c r="G187" s="32" t="n">
        <x:v>0.9268000000000001</x:v>
      </x:c>
      <x:c r="H187" s="32" t="n">
        <x:v>1</x:v>
      </x:c>
      <x:c r="I187" s="40" t="n">
        <x:v>2</x:v>
      </x:c>
      <x:c r="J187" s="40" t="n">
        <x:v>2</x:v>
      </x:c>
      <x:c r="K187" s="40" t="n">
        <x:v>1</x:v>
      </x:c>
      <x:c r="L187" s="40" t="n">
        <x:v>1</x:v>
      </x:c>
    </x:row>
    <x:row r="188" ht="23" customHeight="1">
      <x:c r="B188" s="17" t="str">
        <x:v>All rounds</x:v>
      </x:c>
      <x:c r="C188" s="17" t="str">
        <x:v>line</x:v>
      </x:c>
      <x:c r="D188" s="17" t="str">
        <x:v>Lang_1</x:v>
      </x:c>
      <x:c r="E188" s="32" t="n">
        <x:v>0.9467</x:v>
      </x:c>
      <x:c r="F188" s="32" t="n">
        <x:v>0.65735</x:v>
      </x:c>
      <x:c r="G188" s="32" t="n">
        <x:v>0.8027</x:v>
      </x:c>
      <x:c r="H188" s="32" t="n">
        <x:v>0.9732999999999999</x:v>
      </x:c>
      <x:c r="I188" s="40" t="n">
        <x:v>2</x:v>
      </x:c>
      <x:c r="J188" s="40" t="n">
        <x:v>2</x:v>
      </x:c>
      <x:c r="K188" s="40" t="n">
        <x:v>1</x:v>
      </x:c>
      <x:c r="L188" s="40" t="n">
        <x:v>1</x:v>
      </x:c>
    </x:row>
    <x:row r="189" ht="23" customHeight="1">
      <x:c r="B189" s="17" t="str">
        <x:v>All rounds</x:v>
      </x:c>
      <x:c r="C189" s="17" t="str">
        <x:v>line</x:v>
      </x:c>
      <x:c r="D189" s="17" t="str">
        <x:v>Lang_13</x:v>
      </x:c>
      <x:c r="E189" s="32" t="n">
        <x:v>0.7812</x:v>
      </x:c>
      <x:c r="F189" s="32" t="n">
        <x:v>0.7343999999999999</x:v>
      </x:c>
      <x:c r="G189" s="32" t="n">
        <x:v>0.6875</x:v>
      </x:c>
      <x:c r="H189" s="32" t="n">
        <x:v>0.9688</x:v>
      </x:c>
      <x:c r="I189" s="40" t="n">
        <x:v>2</x:v>
      </x:c>
      <x:c r="J189" s="40" t="n">
        <x:v>2</x:v>
      </x:c>
      <x:c r="K189" s="40" t="n">
        <x:v>2</x:v>
      </x:c>
      <x:c r="L189" s="40" t="n">
        <x:v>1</x:v>
      </x:c>
    </x:row>
    <x:row r="190" ht="23" customHeight="1">
      <x:c r="B190" s="17" t="str">
        <x:v>All rounds</x:v>
      </x:c>
      <x:c r="C190" s="17" t="str">
        <x:v>line</x:v>
      </x:c>
      <x:c r="D190" s="17" t="str">
        <x:v>Lang_14</x:v>
      </x:c>
      <x:c r="E190" s="32" t="n">
        <x:v>0.9296</x:v>
      </x:c>
      <x:c r="F190" s="32" t="n">
        <x:v>0.8723000000000001</x:v>
      </x:c>
      <x:c r="G190" s="32" t="n">
        <x:v>0.7624</x:v>
      </x:c>
      <x:c r="H190" s="32" t="n">
        <x:v>0.8429000000000001</x:v>
      </x:c>
      <x:c r="I190" s="40" t="n">
        <x:v>2</x:v>
      </x:c>
      <x:c r="J190" s="40" t="n">
        <x:v>2</x:v>
      </x:c>
      <x:c r="K190" s="40" t="n">
        <x:v>1</x:v>
      </x:c>
      <x:c r="L190" s="40" t="n">
        <x:v>1</x:v>
      </x:c>
    </x:row>
    <x:row r="191" ht="23" customHeight="1">
      <x:c r="B191" s="17" t="str">
        <x:v>All rounds</x:v>
      </x:c>
      <x:c r="C191" s="17" t="str">
        <x:v>line</x:v>
      </x:c>
      <x:c r="D191" s="17" t="str">
        <x:v>Lang_15</x:v>
      </x:c>
      <x:c r="E191" s="32" t="n">
        <x:v>0.3746</x:v>
      </x:c>
      <x:c r="F191" s="32" t="n">
        <x:v>0.13215</x:v>
      </x:c>
      <x:c r="G191" s="32" t="n">
        <x:v>0.5892000000000001</x:v>
      </x:c>
      <x:c r="H191" s="32" t="n">
        <x:v>0.8863</x:v>
      </x:c>
      <x:c r="I191" s="40" t="n">
        <x:v>2</x:v>
      </x:c>
      <x:c r="J191" s="40" t="n">
        <x:v>2</x:v>
      </x:c>
      <x:c r="K191" s="40" t="n">
        <x:v>1</x:v>
      </x:c>
      <x:c r="L191" s="40" t="n">
        <x:v>1</x:v>
      </x:c>
    </x:row>
    <x:row r="192" ht="23" customHeight="1">
      <x:c r="B192" s="17" t="str">
        <x:v>All rounds</x:v>
      </x:c>
      <x:c r="C192" s="17" t="str">
        <x:v>line</x:v>
      </x:c>
      <x:c r="D192" s="17" t="str">
        <x:v>Lang_19</x:v>
      </x:c>
      <x:c r="E192" s="32" t="n">
        <x:v>0.7037</x:v>
      </x:c>
      <x:c r="F192" s="32" t="n">
        <x:v>0.1481</x:v>
      </x:c>
      <x:c r="G192" s="32" t="n">
        <x:v>1</x:v>
      </x:c>
      <x:c r="H192" s="32" t="n">
        <x:v>1</x:v>
      </x:c>
      <x:c r="I192" s="40" t="n">
        <x:v>2</x:v>
      </x:c>
      <x:c r="J192" s="40" t="n">
        <x:v>2</x:v>
      </x:c>
      <x:c r="K192" s="40" t="n">
        <x:v>2</x:v>
      </x:c>
      <x:c r="L192" s="40" t="n">
        <x:v>1</x:v>
      </x:c>
    </x:row>
    <x:row r="193" ht="23" customHeight="1">
      <x:c r="B193" s="17" t="str">
        <x:v>All rounds</x:v>
      </x:c>
      <x:c r="C193" s="17" t="str">
        <x:v>line</x:v>
      </x:c>
      <x:c r="D193" s="17" t="str">
        <x:v>Lang_20</x:v>
      </x:c>
      <x:c r="E193" s="32" t="n">
        <x:v>0.9329999999999999</x:v>
      </x:c>
      <x:c r="F193" s="32" t="n">
        <x:v>0.8752000000000001</x:v>
      </x:c>
      <x:c r="G193" s="32" t="n">
        <x:v>0.4384</x:v>
      </x:c>
      <x:c r="H193" s="32" t="n">
        <x:v>0.9145</x:v>
      </x:c>
      <x:c r="I193" s="40" t="n">
        <x:v>2</x:v>
      </x:c>
      <x:c r="J193" s="40" t="n">
        <x:v>2</x:v>
      </x:c>
      <x:c r="K193" s="40" t="n">
        <x:v>1</x:v>
      </x:c>
      <x:c r="L193" s="40" t="n">
        <x:v>1</x:v>
      </x:c>
    </x:row>
    <x:row r="194" ht="23" customHeight="1">
      <x:c r="B194" s="17" t="str">
        <x:v>All rounds</x:v>
      </x:c>
      <x:c r="C194" s="17" t="str">
        <x:v>line</x:v>
      </x:c>
      <x:c r="D194" s="17" t="str">
        <x:v>Lang_23</x:v>
      </x:c>
      <x:c r="E194" s="32" t="n">
        <x:v>0.4251</x:v>
      </x:c>
      <x:c r="F194" s="32" t="n">
        <x:v>0.10779999999999999</x:v>
      </x:c>
      <x:c r="G194" s="32" t="n">
        <x:v>0.521</x:v>
      </x:c>
      <x:c r="H194" s="32" t="n">
        <x:v>0.9340999999999999</x:v>
      </x:c>
      <x:c r="I194" s="40" t="n">
        <x:v>2</x:v>
      </x:c>
      <x:c r="J194" s="40" t="n">
        <x:v>2</x:v>
      </x:c>
      <x:c r="K194" s="40" t="n">
        <x:v>2</x:v>
      </x:c>
      <x:c r="L194" s="40" t="n">
        <x:v>1</x:v>
      </x:c>
    </x:row>
    <x:row r="195" ht="23" customHeight="1">
      <x:c r="B195" s="17" t="str">
        <x:v>All rounds</x:v>
      </x:c>
      <x:c r="C195" s="17" t="str">
        <x:v>line</x:v>
      </x:c>
      <x:c r="D195" s="17" t="str">
        <x:v>Lang_24</x:v>
      </x:c>
      <x:c r="E195" s="32" t="n">
        <x:v>0.9388</x:v>
      </x:c>
      <x:c r="F195" s="32" t="n">
        <x:v>0.6941499999999999</x:v>
      </x:c>
      <x:c r="G195" s="32" t="n">
        <x:v>0.6489</x:v>
      </x:c>
      <x:c r="H195" s="32" t="n">
        <x:v>0.9814</x:v>
      </x:c>
      <x:c r="I195" s="40" t="n">
        <x:v>2</x:v>
      </x:c>
      <x:c r="J195" s="40" t="n">
        <x:v>2</x:v>
      </x:c>
      <x:c r="K195" s="40" t="n">
        <x:v>2</x:v>
      </x:c>
      <x:c r="L195" s="40" t="n">
        <x:v>1</x:v>
      </x:c>
    </x:row>
    <x:row r="196" ht="23" customHeight="1">
      <x:c r="B196" s="17" t="str">
        <x:v>All rounds</x:v>
      </x:c>
      <x:c r="C196" s="17" t="str">
        <x:v>line</x:v>
      </x:c>
      <x:c r="D196" s="17" t="str">
        <x:v>Lang_27</x:v>
      </x:c>
      <x:c r="E196" s="32" t="n">
        <x:v>0.9358</x:v>
      </x:c>
      <x:c r="F196" s="32" t="n">
        <x:v>0.69785</x:v>
      </x:c>
      <x:c r="G196" s="32" t="n">
        <x:v>0.7086</x:v>
      </x:c>
      <x:c r="H196" s="32" t="n">
        <x:v>0.9599</x:v>
      </x:c>
      <x:c r="I196" s="40" t="n">
        <x:v>2</x:v>
      </x:c>
      <x:c r="J196" s="40" t="n">
        <x:v>2</x:v>
      </x:c>
      <x:c r="K196" s="40" t="n">
        <x:v>2</x:v>
      </x:c>
      <x:c r="L196" s="40" t="n">
        <x:v>1</x:v>
      </x:c>
    </x:row>
    <x:row r="197" ht="23" customHeight="1">
      <x:c r="B197" s="17" t="str">
        <x:v>All rounds</x:v>
      </x:c>
      <x:c r="C197" s="17" t="str">
        <x:v>line</x:v>
      </x:c>
      <x:c r="D197" s="17" t="str">
        <x:v>Lang_28</x:v>
      </x:c>
      <x:c r="E197" s="32" t="n">
        <x:v>0.15</x:v>
      </x:c>
      <x:c r="F197" s="32" t="n">
        <x:v>0.15</x:v>
      </x:c>
      <x:c r="G197" s="32" t="n">
        <x:v>0.95</x:v>
      </x:c>
      <x:c r="H197" s="32" t="n">
        <x:v>1</x:v>
      </x:c>
      <x:c r="I197" s="40" t="n">
        <x:v>2</x:v>
      </x:c>
      <x:c r="J197" s="40" t="n">
        <x:v>2</x:v>
      </x:c>
      <x:c r="K197" s="40" t="n">
        <x:v>2</x:v>
      </x:c>
      <x:c r="L197" s="40" t="n">
        <x:v>1</x:v>
      </x:c>
    </x:row>
    <x:row r="198" ht="23" customHeight="1">
      <x:c r="B198" s="17" t="str">
        <x:v>All rounds</x:v>
      </x:c>
      <x:c r="C198" s="17" t="str">
        <x:v>line</x:v>
      </x:c>
      <x:c r="D198" s="17" t="str">
        <x:v>Lang_3</x:v>
      </x:c>
      <x:c r="E198" s="32" t="n">
        <x:v>0.9437000000000001</x:v>
      </x:c>
      <x:c r="F198" s="32" t="n">
        <x:v>0.66085</x:v>
      </x:c>
      <x:c r="G198" s="32" t="n">
        <x:v>0.6568</x:v>
      </x:c>
      <x:c r="H198" s="32" t="n">
        <x:v>0.9490999999999999</x:v>
      </x:c>
      <x:c r="I198" s="40" t="n">
        <x:v>2</x:v>
      </x:c>
      <x:c r="J198" s="40" t="n">
        <x:v>2</x:v>
      </x:c>
      <x:c r="K198" s="40" t="n">
        <x:v>1</x:v>
      </x:c>
      <x:c r="L198" s="40" t="n">
        <x:v>1</x:v>
      </x:c>
    </x:row>
    <x:row r="199" ht="23" customHeight="1">
      <x:c r="B199" s="17" t="str">
        <x:v>All rounds</x:v>
      </x:c>
      <x:c r="C199" s="17" t="str">
        <x:v>line</x:v>
      </x:c>
      <x:c r="D199" s="17" t="str">
        <x:v>Lang_32</x:v>
      </x:c>
      <x:c r="E199" s="32" t="n">
        <x:v>0.8973</x:v>
      </x:c>
      <x:c r="F199" s="32" t="n">
        <x:v>0.9486500000000001</x:v>
      </x:c>
      <x:c r="G199" s="32" t="n">
        <x:v>0.8219</x:v>
      </x:c>
      <x:c r="H199" s="32" t="n">
        <x:v>0.4384</x:v>
      </x:c>
      <x:c r="I199" s="40" t="n">
        <x:v>2</x:v>
      </x:c>
      <x:c r="J199" s="40" t="n">
        <x:v>2</x:v>
      </x:c>
      <x:c r="K199" s="40" t="n">
        <x:v>1</x:v>
      </x:c>
      <x:c r="L199" s="40" t="n">
        <x:v>1</x:v>
      </x:c>
    </x:row>
    <x:row r="200" ht="23" customHeight="1">
      <x:c r="B200" s="17" t="str">
        <x:v>All rounds</x:v>
      </x:c>
      <x:c r="C200" s="17" t="str">
        <x:v>line</x:v>
      </x:c>
      <x:c r="D200" s="17" t="str">
        <x:v>Lang_34</x:v>
      </x:c>
      <x:c r="E200" s="32" t="n">
        <x:v>0</x:v>
      </x:c>
      <x:c r="F200" s="32" t="n">
        <x:v>0.59515</x:v>
      </x:c>
      <x:c r="G200" s="32" t="n">
        <x:v>0.8776999999999999</x:v>
      </x:c>
      <x:c r="H200" s="32" t="n">
        <x:v>0.3262</x:v>
      </x:c>
      <x:c r="I200" s="40" t="n">
        <x:v>2</x:v>
      </x:c>
      <x:c r="J200" s="40" t="n">
        <x:v>2</x:v>
      </x:c>
      <x:c r="K200" s="40" t="n">
        <x:v>1</x:v>
      </x:c>
      <x:c r="L200" s="40" t="n">
        <x:v>1</x:v>
      </x:c>
    </x:row>
    <x:row r="201" ht="23" customHeight="1">
      <x:c r="B201" s="17" t="str">
        <x:v>All rounds</x:v>
      </x:c>
      <x:c r="C201" s="17" t="str">
        <x:v>line</x:v>
      </x:c>
      <x:c r="D201" s="17" t="str">
        <x:v>Lang_35</x:v>
      </x:c>
      <x:c r="E201" s="32" t="n">
        <x:v>0.9834</x:v>
      </x:c>
      <x:c r="F201" s="32" t="n">
        <x:v>0.98705</x:v>
      </x:c>
      <x:c r="G201" s="32" t="n">
        <x:v>0.166</x:v>
      </x:c>
      <x:c r="H201" s="32" t="n">
        <x:v>0.0757</x:v>
      </x:c>
      <x:c r="I201" s="40" t="n">
        <x:v>2</x:v>
      </x:c>
      <x:c r="J201" s="40" t="n">
        <x:v>2</x:v>
      </x:c>
      <x:c r="K201" s="40" t="n">
        <x:v>1</x:v>
      </x:c>
      <x:c r="L201" s="40" t="n">
        <x:v>1</x:v>
      </x:c>
    </x:row>
    <x:row r="202" ht="23" customHeight="1">
      <x:c r="B202" s="17" t="str">
        <x:v>All rounds</x:v>
      </x:c>
      <x:c r="C202" s="17" t="str">
        <x:v>line</x:v>
      </x:c>
      <x:c r="D202" s="17" t="str">
        <x:v>Lang_37</x:v>
      </x:c>
      <x:c r="E202" s="32" t="n">
        <x:v>0.9895</x:v>
      </x:c>
      <x:c r="F202" s="32" t="n">
        <x:v>0.9847499999999999</x:v>
      </x:c>
      <x:c r="G202" s="32" t="n">
        <x:v>0.225</x:v>
      </x:c>
      <x:c r="H202" s="32" t="n">
        <x:v>0.0747</x:v>
      </x:c>
      <x:c r="I202" s="40" t="n">
        <x:v>2</x:v>
      </x:c>
      <x:c r="J202" s="40" t="n">
        <x:v>2</x:v>
      </x:c>
      <x:c r="K202" s="40" t="n">
        <x:v>1</x:v>
      </x:c>
      <x:c r="L202" s="40" t="n">
        <x:v>1</x:v>
      </x:c>
    </x:row>
    <x:row r="203" ht="23" customHeight="1">
      <x:c r="B203" s="17" t="str">
        <x:v>All rounds</x:v>
      </x:c>
      <x:c r="C203" s="17" t="str">
        <x:v>line</x:v>
      </x:c>
      <x:c r="D203" s="17" t="str">
        <x:v>Lang_4</x:v>
      </x:c>
      <x:c r="E203" s="32" t="n">
        <x:v>1</x:v>
      </x:c>
      <x:c r="F203" s="32" t="n">
        <x:v>1</x:v>
      </x:c>
      <x:c r="G203" s="32" t="n">
        <x:v>1</x:v>
      </x:c>
      <x:c r="H203" s="32" t="n">
        <x:v>1</x:v>
      </x:c>
      <x:c r="I203" s="40" t="n">
        <x:v>2</x:v>
      </x:c>
      <x:c r="J203" s="40" t="n">
        <x:v>2</x:v>
      </x:c>
      <x:c r="K203" s="40" t="n">
        <x:v>2</x:v>
      </x:c>
      <x:c r="L203" s="40" t="n">
        <x:v>1</x:v>
      </x:c>
    </x:row>
    <x:row r="204" ht="23" customHeight="1">
      <x:c r="B204" s="17" t="str">
        <x:v>All rounds</x:v>
      </x:c>
      <x:c r="C204" s="17" t="str">
        <x:v>line</x:v>
      </x:c>
      <x:c r="D204" s="17" t="str">
        <x:v>Lang_40</x:v>
      </x:c>
      <x:c r="E204" s="32" t="n">
        <x:v>0.9544</x:v>
      </x:c>
      <x:c r="F204" s="32" t="n">
        <x:v>0.8754500000000001</x:v>
      </x:c>
      <x:c r="G204" s="32" t="n">
        <x:v>0.25</x:v>
      </x:c>
      <x:c r="H204" s="32" t="n">
        <x:v>0.0602</x:v>
      </x:c>
      <x:c r="I204" s="40" t="n">
        <x:v>2</x:v>
      </x:c>
      <x:c r="J204" s="40" t="n">
        <x:v>2</x:v>
      </x:c>
      <x:c r="K204" s="40" t="n">
        <x:v>1</x:v>
      </x:c>
      <x:c r="L204" s="40" t="n">
        <x:v>1</x:v>
      </x:c>
    </x:row>
    <x:row r="205" ht="23" customHeight="1">
      <x:c r="B205" s="17" t="str">
        <x:v>All rounds</x:v>
      </x:c>
      <x:c r="C205" s="17" t="str">
        <x:v>line</x:v>
      </x:c>
      <x:c r="D205" s="17" t="str">
        <x:v>Lang_42</x:v>
      </x:c>
      <x:c r="E205" s="32" t="n">
        <x:v>0.8986</x:v>
      </x:c>
      <x:c r="F205" s="32" t="n">
        <x:v>0.715</x:v>
      </x:c>
      <x:c r="G205" s="32" t="n">
        <x:v>0.5652</x:v>
      </x:c>
      <x:c r="H205" s="32" t="n">
        <x:v>0.4396</x:v>
      </x:c>
      <x:c r="I205" s="40" t="n">
        <x:v>2</x:v>
      </x:c>
      <x:c r="J205" s="40" t="n">
        <x:v>2</x:v>
      </x:c>
      <x:c r="K205" s="40" t="n">
        <x:v>1</x:v>
      </x:c>
      <x:c r="L205" s="40" t="n">
        <x:v>1</x:v>
      </x:c>
    </x:row>
    <x:row r="206" ht="23" customHeight="1">
      <x:c r="B206" s="17" t="str">
        <x:v>All rounds</x:v>
      </x:c>
      <x:c r="C206" s="17" t="str">
        <x:v>line</x:v>
      </x:c>
      <x:c r="D206" s="17" t="str">
        <x:v>Lang_44</x:v>
      </x:c>
      <x:c r="E206" s="32" t="n">
        <x:v>0.8684000000000001</x:v>
      </x:c>
      <x:c r="F206" s="32" t="n">
        <x:v>0.5</x:v>
      </x:c>
      <x:c r="G206" s="32" t="n">
        <x:v>0.6526000000000001</x:v>
      </x:c>
      <x:c r="H206" s="32" t="n">
        <x:v>0.4</x:v>
      </x:c>
      <x:c r="I206" s="40" t="n">
        <x:v>2</x:v>
      </x:c>
      <x:c r="J206" s="40" t="n">
        <x:v>2</x:v>
      </x:c>
      <x:c r="K206" s="40" t="n">
        <x:v>2</x:v>
      </x:c>
      <x:c r="L206" s="40" t="n">
        <x:v>1</x:v>
      </x:c>
    </x:row>
    <x:row r="207" ht="23" customHeight="1">
      <x:c r="B207" s="17" t="str">
        <x:v>All rounds</x:v>
      </x:c>
      <x:c r="C207" s="17" t="str">
        <x:v>line</x:v>
      </x:c>
      <x:c r="D207" s="17" t="str">
        <x:v>Lang_49</x:v>
      </x:c>
      <x:c r="E207" s="32" t="n">
        <x:v>0.9783</x:v>
      </x:c>
      <x:c r="F207" s="32" t="n">
        <x:v>0.92755</x:v>
      </x:c>
      <x:c r="G207" s="32" t="n">
        <x:v>0.9348000000000001</x:v>
      </x:c>
      <x:c r="H207" s="32" t="n">
        <x:v>0.3442</x:v>
      </x:c>
      <x:c r="I207" s="40" t="n">
        <x:v>2</x:v>
      </x:c>
      <x:c r="J207" s="40" t="n">
        <x:v>2</x:v>
      </x:c>
      <x:c r="K207" s="40" t="n">
        <x:v>2</x:v>
      </x:c>
      <x:c r="L207" s="40" t="n">
        <x:v>1</x:v>
      </x:c>
    </x:row>
    <x:row r="208" ht="23" customHeight="1">
      <x:c r="B208" s="17" t="str">
        <x:v>All rounds</x:v>
      </x:c>
      <x:c r="C208" s="17" t="str">
        <x:v>line</x:v>
      </x:c>
      <x:c r="D208" s="17" t="str">
        <x:v>Lang_5</x:v>
      </x:c>
      <x:c r="E208" s="32" t="n">
        <x:v>0.8170999999999999</x:v>
      </x:c>
      <x:c r="F208" s="32" t="n">
        <x:v>0.6463</x:v>
      </x:c>
      <x:c r="G208" s="32" t="n">
        <x:v>0.9390000000000001</x:v>
      </x:c>
      <x:c r="H208" s="32" t="n">
        <x:v>1</x:v>
      </x:c>
      <x:c r="I208" s="40" t="n">
        <x:v>2</x:v>
      </x:c>
      <x:c r="J208" s="40" t="n">
        <x:v>2</x:v>
      </x:c>
      <x:c r="K208" s="40" t="n">
        <x:v>2</x:v>
      </x:c>
      <x:c r="L208" s="40" t="n">
        <x:v>1</x:v>
      </x:c>
    </x:row>
    <x:row r="209" ht="23" customHeight="1">
      <x:c r="B209" s="17" t="str">
        <x:v>All rounds</x:v>
      </x:c>
      <x:c r="C209" s="17" t="str">
        <x:v>line</x:v>
      </x:c>
      <x:c r="D209" s="17" t="str">
        <x:v>Lang_51</x:v>
      </x:c>
      <x:c r="E209" s="32" t="n">
        <x:v>0.9708</x:v>
      </x:c>
      <x:c r="F209" s="32" t="n">
        <x:v>0.7426999999999999</x:v>
      </x:c>
      <x:c r="G209" s="32" t="n">
        <x:v>0.9064</x:v>
      </x:c>
      <x:c r="H209" s="32" t="n">
        <x:v>0.152</x:v>
      </x:c>
      <x:c r="I209" s="40" t="n">
        <x:v>2</x:v>
      </x:c>
      <x:c r="J209" s="40" t="n">
        <x:v>2</x:v>
      </x:c>
      <x:c r="K209" s="40" t="n">
        <x:v>2</x:v>
      </x:c>
      <x:c r="L209" s="40" t="n">
        <x:v>1</x:v>
      </x:c>
    </x:row>
    <x:row r="210" ht="23" customHeight="1">
      <x:c r="B210" s="17" t="str">
        <x:v>All rounds</x:v>
      </x:c>
      <x:c r="C210" s="17" t="str">
        <x:v>line</x:v>
      </x:c>
      <x:c r="D210" s="17" t="str">
        <x:v>Lang_54</x:v>
      </x:c>
      <x:c r="E210" s="32" t="n">
        <x:v>0.8861</x:v>
      </x:c>
      <x:c r="F210" s="32" t="n">
        <x:v>0.6329</x:v>
      </x:c>
      <x:c r="G210" s="32" t="n">
        <x:v>0.9494</x:v>
      </x:c>
      <x:c r="H210" s="32" t="n">
        <x:v>0.4304</x:v>
      </x:c>
      <x:c r="I210" s="40" t="n">
        <x:v>2</x:v>
      </x:c>
      <x:c r="J210" s="40" t="n">
        <x:v>2</x:v>
      </x:c>
      <x:c r="K210" s="40" t="n">
        <x:v>2</x:v>
      </x:c>
      <x:c r="L210" s="40" t="n">
        <x:v>1</x:v>
      </x:c>
    </x:row>
    <x:row r="211" ht="23" customHeight="1">
      <x:c r="B211" s="17" t="str">
        <x:v>All rounds</x:v>
      </x:c>
      <x:c r="C211" s="17" t="str">
        <x:v>line</x:v>
      </x:c>
      <x:c r="D211" s="17" t="str">
        <x:v>Lang_55</x:v>
      </x:c>
      <x:c r="E211" s="32" t="n">
        <x:v>0.9825</x:v>
      </x:c>
      <x:c r="F211" s="32" t="n">
        <x:v>0.9825</x:v>
      </x:c>
      <x:c r="G211" s="32" t="n">
        <x:v>0.9298000000000001</x:v>
      </x:c>
      <x:c r="H211" s="32" t="n">
        <x:v>0.7719</x:v>
      </x:c>
      <x:c r="I211" s="40" t="n">
        <x:v>2</x:v>
      </x:c>
      <x:c r="J211" s="40" t="n">
        <x:v>2</x:v>
      </x:c>
      <x:c r="K211" s="40" t="n">
        <x:v>2</x:v>
      </x:c>
      <x:c r="L211" s="40" t="n">
        <x:v>1</x:v>
      </x:c>
    </x:row>
    <x:row r="212" ht="23" customHeight="1">
      <x:c r="B212" s="17" t="str">
        <x:v>All rounds</x:v>
      </x:c>
      <x:c r="C212" s="17" t="str">
        <x:v>line</x:v>
      </x:c>
      <x:c r="D212" s="17" t="str">
        <x:v>Lang_57</x:v>
      </x:c>
      <x:c r="E212" s="32" t="n">
        <x:v>0.8861</x:v>
      </x:c>
      <x:c r="F212" s="32" t="n">
        <x:v>0.6265999999999999</x:v>
      </x:c>
      <x:c r="G212" s="32" t="n">
        <x:v>0.9747</x:v>
      </x:c>
      <x:c r="H212" s="32" t="n">
        <x:v>0.4177</x:v>
      </x:c>
      <x:c r="I212" s="40" t="n">
        <x:v>2</x:v>
      </x:c>
      <x:c r="J212" s="40" t="n">
        <x:v>2</x:v>
      </x:c>
      <x:c r="K212" s="40" t="n">
        <x:v>2</x:v>
      </x:c>
      <x:c r="L212" s="40" t="n">
        <x:v>1</x:v>
      </x:c>
    </x:row>
    <x:row r="213" ht="23" customHeight="1">
      <x:c r="B213" s="17" t="str">
        <x:v>All rounds</x:v>
      </x:c>
      <x:c r="C213" s="17" t="str">
        <x:v>line</x:v>
      </x:c>
      <x:c r="D213" s="17" t="str">
        <x:v>Lang_58</x:v>
      </x:c>
      <x:c r="E213" s="32" t="n">
        <x:v>0.9287000000000001</x:v>
      </x:c>
      <x:c r="F213" s="32" t="n">
        <x:v>0.7344499999999999</x:v>
      </x:c>
      <x:c r="G213" s="32" t="n">
        <x:v>0.8069</x:v>
      </x:c>
      <x:c r="H213" s="32" t="n">
        <x:v>0.2345</x:v>
      </x:c>
      <x:c r="I213" s="40" t="n">
        <x:v>2</x:v>
      </x:c>
      <x:c r="J213" s="40" t="n">
        <x:v>2</x:v>
      </x:c>
      <x:c r="K213" s="40" t="n">
        <x:v>2</x:v>
      </x:c>
      <x:c r="L213" s="40" t="n">
        <x:v>1</x:v>
      </x:c>
    </x:row>
    <x:row r="214" ht="23" customHeight="1">
      <x:c r="B214" s="17" t="str">
        <x:v>All rounds</x:v>
      </x:c>
      <x:c r="C214" s="17" t="str">
        <x:v>line</x:v>
      </x:c>
      <x:c r="D214" s="17" t="str">
        <x:v>Lang_6</x:v>
      </x:c>
      <x:c r="E214" s="32" t="n">
        <x:v>0.9333</x:v>
      </x:c>
      <x:c r="F214" s="32" t="n">
        <x:v>0.0333</x:v>
      </x:c>
      <x:c r="G214" s="32" t="n">
        <x:v>1</x:v>
      </x:c>
      <x:c r="H214" s="32" t="n">
        <x:v>1</x:v>
      </x:c>
      <x:c r="I214" s="40" t="n">
        <x:v>2</x:v>
      </x:c>
      <x:c r="J214" s="40" t="n">
        <x:v>2</x:v>
      </x:c>
      <x:c r="K214" s="40" t="n">
        <x:v>2</x:v>
      </x:c>
      <x:c r="L214" s="40" t="n">
        <x:v>1</x:v>
      </x:c>
    </x:row>
    <x:row r="215" ht="23" customHeight="1">
      <x:c r="B215" s="17" t="str">
        <x:v>All rounds</x:v>
      </x:c>
      <x:c r="C215" s="17" t="str">
        <x:v>line</x:v>
      </x:c>
      <x:c r="D215" s="17" t="str">
        <x:v>Lang_62</x:v>
      </x:c>
      <x:c r="E215" s="32" t="n">
        <x:v>0.8548</x:v>
      </x:c>
      <x:c r="F215" s="32" t="n">
        <x:v>0.6265999999999999</x:v>
      </x:c>
      <x:c r="G215" s="32" t="n">
        <x:v>0.6017</x:v>
      </x:c>
      <x:c r="H215" s="32" t="n">
        <x:v>0.32780000000000004</x:v>
      </x:c>
      <x:c r="I215" s="40" t="n">
        <x:v>2</x:v>
      </x:c>
      <x:c r="J215" s="40" t="n">
        <x:v>2</x:v>
      </x:c>
      <x:c r="K215" s="40" t="n">
        <x:v>1</x:v>
      </x:c>
      <x:c r="L215" s="40" t="n">
        <x:v>1</x:v>
      </x:c>
    </x:row>
    <x:row r="216" ht="23" customHeight="1">
      <x:c r="B216" s="17" t="str">
        <x:v>All rounds</x:v>
      </x:c>
      <x:c r="C216" s="17" t="str">
        <x:v>line</x:v>
      </x:c>
      <x:c r="D216" s="17" t="str">
        <x:v>Lang_63</x:v>
      </x:c>
      <x:c r="E216" s="32" t="n">
        <x:v>0.9286</x:v>
      </x:c>
      <x:c r="F216" s="32" t="n">
        <x:v>0.7242000000000001</x:v>
      </x:c>
      <x:c r="G216" s="32" t="n">
        <x:v>0.6349</x:v>
      </x:c>
      <x:c r="H216" s="32" t="n">
        <x:v>0.5317000000000001</x:v>
      </x:c>
      <x:c r="I216" s="40" t="n">
        <x:v>2</x:v>
      </x:c>
      <x:c r="J216" s="40" t="n">
        <x:v>2</x:v>
      </x:c>
      <x:c r="K216" s="40" t="n">
        <x:v>2</x:v>
      </x:c>
      <x:c r="L216" s="40" t="n">
        <x:v>1</x:v>
      </x:c>
    </x:row>
    <x:row r="217" ht="23" customHeight="1">
      <x:c r="B217" s="17" t="str">
        <x:v>All rounds</x:v>
      </x:c>
      <x:c r="C217" s="17" t="str">
        <x:v>line</x:v>
      </x:c>
      <x:c r="D217" s="17" t="str">
        <x:v>Lang_64</x:v>
      </x:c>
      <x:c r="E217" s="32" t="n">
        <x:v>0.16670000000000001</x:v>
      </x:c>
      <x:c r="F217" s="32" t="n">
        <x:v>0.16670000000000001</x:v>
      </x:c>
      <x:c r="G217" s="32" t="n">
        <x:v>0.22219999999999998</x:v>
      </x:c>
      <x:c r="H217" s="32" t="n">
        <x:v>0.6667000000000001</x:v>
      </x:c>
      <x:c r="I217" s="40" t="n">
        <x:v>2</x:v>
      </x:c>
      <x:c r="J217" s="40" t="n">
        <x:v>2</x:v>
      </x:c>
      <x:c r="K217" s="40" t="n">
        <x:v>2</x:v>
      </x:c>
      <x:c r="L217" s="40" t="n">
        <x:v>1</x:v>
      </x:c>
    </x:row>
    <x:row r="218" ht="23" customHeight="1">
      <x:c r="B218" s="17" t="str">
        <x:v>All rounds</x:v>
      </x:c>
      <x:c r="C218" s="17" t="str">
        <x:v>line</x:v>
      </x:c>
      <x:c r="D218" s="17" t="str">
        <x:v>Lang_7</x:v>
      </x:c>
      <x:c r="E218" s="32" t="n">
        <x:v>0.9526</x:v>
      </x:c>
      <x:c r="F218" s="32" t="n">
        <x:v>0.6842</x:v>
      </x:c>
      <x:c r="G218" s="32" t="n">
        <x:v>0.7237</x:v>
      </x:c>
      <x:c r="H218" s="32" t="n">
        <x:v>0.9553</x:v>
      </x:c>
      <x:c r="I218" s="40" t="n">
        <x:v>2</x:v>
      </x:c>
      <x:c r="J218" s="40" t="n">
        <x:v>2</x:v>
      </x:c>
      <x:c r="K218" s="40" t="n">
        <x:v>2</x:v>
      </x:c>
      <x:c r="L218" s="40" t="n">
        <x:v>1</x:v>
      </x:c>
    </x:row>
    <x:row r="219" ht="23" customHeight="1">
      <x:c r="B219" s="17" t="str">
        <x:v>All rounds</x:v>
      </x:c>
      <x:c r="C219" s="17" t="str">
        <x:v>line</x:v>
      </x:c>
      <x:c r="D219" s="17" t="str">
        <x:v>Lang_8</x:v>
      </x:c>
      <x:c r="E219" s="32" t="n">
        <x:v>0.8665</x:v>
      </x:c>
      <x:c r="F219" s="32" t="n">
        <x:v>0.053399999999999996</x:v>
      </x:c>
      <x:c r="G219" s="32" t="n">
        <x:v>0.6291</x:v>
      </x:c>
      <x:c r="H219" s="32" t="n">
        <x:v>0.9732999999999999</x:v>
      </x:c>
      <x:c r="I219" s="40" t="n">
        <x:v>2</x:v>
      </x:c>
      <x:c r="J219" s="40" t="n">
        <x:v>2</x:v>
      </x:c>
      <x:c r="K219" s="40" t="n">
        <x:v>2</x:v>
      </x:c>
      <x:c r="L219" s="40" t="n">
        <x:v>1</x:v>
      </x:c>
    </x:row>
    <x:row r="220" ht="23" customHeight="1">
      <x:c r="B220" s="17" t="str">
        <x:v>All rounds</x:v>
      </x:c>
      <x:c r="C220" s="17" t="str">
        <x:v>line</x:v>
      </x:c>
      <x:c r="D220" s="17" t="str">
        <x:v>Math_1</x:v>
      </x:c>
      <x:c r="E220" s="32" t="n">
        <x:v>0.9718000000000001</x:v>
      </x:c>
      <x:c r="F220" s="32" t="n">
        <x:v>0.91645</x:v>
      </x:c>
      <x:c r="G220" s="32" t="n">
        <x:v>0.8493999999999999</x:v>
      </x:c>
      <x:c r="H220" s="32" t="n">
        <x:v>0.3718</x:v>
      </x:c>
      <x:c r="I220" s="40" t="n">
        <x:v>2</x:v>
      </x:c>
      <x:c r="J220" s="40" t="n">
        <x:v>2</x:v>
      </x:c>
      <x:c r="K220" s="40" t="n">
        <x:v>2</x:v>
      </x:c>
      <x:c r="L220" s="40" t="n">
        <x:v>1</x:v>
      </x:c>
    </x:row>
    <x:row r="221" ht="23" customHeight="1">
      <x:c r="B221" s="17" t="str">
        <x:v>All rounds</x:v>
      </x:c>
      <x:c r="C221" s="17" t="str">
        <x:v>line</x:v>
      </x:c>
      <x:c r="D221" s="17" t="str">
        <x:v>Math_10</x:v>
      </x:c>
      <x:c r="E221" s="32" t="n">
        <x:v>0.8065000000000001</x:v>
      </x:c>
      <x:c r="F221" s="32" t="n">
        <x:v>0.45844999999999997</x:v>
      </x:c>
      <x:c r="G221" s="32" t="n">
        <x:v>0.8170000000000001</x:v>
      </x:c>
      <x:c r="H221" s="32" t="n">
        <x:v>0.0018</x:v>
      </x:c>
      <x:c r="I221" s="40" t="n">
        <x:v>2</x:v>
      </x:c>
      <x:c r="J221" s="40" t="n">
        <x:v>2</x:v>
      </x:c>
      <x:c r="K221" s="40" t="n">
        <x:v>2</x:v>
      </x:c>
      <x:c r="L221" s="40" t="n">
        <x:v>1</x:v>
      </x:c>
    </x:row>
    <x:row r="222" ht="23" customHeight="1">
      <x:c r="B222" s="17" t="str">
        <x:v>All rounds</x:v>
      </x:c>
      <x:c r="C222" s="17" t="str">
        <x:v>line</x:v>
      </x:c>
      <x:c r="D222" s="17" t="str">
        <x:v>Math_101</x:v>
      </x:c>
      <x:c r="E222" s="32" t="n">
        <x:v>0.993</x:v>
      </x:c>
      <x:c r="F222" s="32" t="n">
        <x:v>0.7413</x:v>
      </x:c>
      <x:c r="G222" s="32" t="n">
        <x:v>0.951</x:v>
      </x:c>
      <x:c r="H222" s="32" t="n">
        <x:v>0</x:v>
      </x:c>
      <x:c r="I222" s="40" t="n">
        <x:v>2</x:v>
      </x:c>
      <x:c r="J222" s="40" t="n">
        <x:v>2</x:v>
      </x:c>
      <x:c r="K222" s="40" t="n">
        <x:v>2</x:v>
      </x:c>
      <x:c r="L222" s="40" t="n">
        <x:v>1</x:v>
      </x:c>
    </x:row>
    <x:row r="223" ht="23" customHeight="1">
      <x:c r="B223" s="17" t="str">
        <x:v>All rounds</x:v>
      </x:c>
      <x:c r="C223" s="17" t="str">
        <x:v>line</x:v>
      </x:c>
      <x:c r="D223" s="17" t="str">
        <x:v>Math_102</x:v>
      </x:c>
      <x:c r="E223" s="32" t="n">
        <x:v>1</x:v>
      </x:c>
      <x:c r="F223" s="32" t="n">
        <x:v>0.9594499999999999</x:v>
      </x:c>
      <x:c r="G223" s="32" t="n">
        <x:v>0.991</x:v>
      </x:c>
      <x:c r="H223" s="32" t="n">
        <x:v>0</x:v>
      </x:c>
      <x:c r="I223" s="40" t="n">
        <x:v>2</x:v>
      </x:c>
      <x:c r="J223" s="40" t="n">
        <x:v>2</x:v>
      </x:c>
      <x:c r="K223" s="40" t="n">
        <x:v>1</x:v>
      </x:c>
      <x:c r="L223" s="40" t="n">
        <x:v>1</x:v>
      </x:c>
    </x:row>
    <x:row r="224" ht="23" customHeight="1">
      <x:c r="B224" s="17" t="str">
        <x:v>All rounds</x:v>
      </x:c>
      <x:c r="C224" s="17" t="str">
        <x:v>line</x:v>
      </x:c>
      <x:c r="D224" s="17" t="str">
        <x:v>Math_104</x:v>
      </x:c>
      <x:c r="E224" s="32" t="n">
        <x:v>0.9573999999999999</x:v>
      </x:c>
      <x:c r="F224" s="32" t="n">
        <x:v>0.9573999999999999</x:v>
      </x:c>
      <x:c r="G224" s="32" t="n">
        <x:v>0.8936</x:v>
      </x:c>
      <x:c r="H224" s="32" t="n">
        <x:v>0.7659999999999999</x:v>
      </x:c>
      <x:c r="I224" s="40" t="n">
        <x:v>2</x:v>
      </x:c>
      <x:c r="J224" s="40" t="n">
        <x:v>2</x:v>
      </x:c>
      <x:c r="K224" s="40" t="n">
        <x:v>2</x:v>
      </x:c>
      <x:c r="L224" s="40" t="n">
        <x:v>1</x:v>
      </x:c>
    </x:row>
    <x:row r="225" ht="23" customHeight="1">
      <x:c r="B225" s="17" t="str">
        <x:v>All rounds</x:v>
      </x:c>
      <x:c r="C225" s="17" t="str">
        <x:v>line</x:v>
      </x:c>
      <x:c r="D225" s="17" t="str">
        <x:v>Math_105</x:v>
      </x:c>
      <x:c r="E225" s="32" t="n">
        <x:v>1</x:v>
      </x:c>
      <x:c r="F225" s="32" t="n">
        <x:v>0.9788499999999999</x:v>
      </x:c>
      <x:c r="G225" s="32" t="n">
        <x:v>1</x:v>
      </x:c>
      <x:c r="H225" s="32" t="n">
        <x:v>0.7323999999999999</x:v>
      </x:c>
      <x:c r="I225" s="40" t="n">
        <x:v>2</x:v>
      </x:c>
      <x:c r="J225" s="40" t="n">
        <x:v>2</x:v>
      </x:c>
      <x:c r="K225" s="40" t="n">
        <x:v>2</x:v>
      </x:c>
      <x:c r="L225" s="40" t="n">
        <x:v>1</x:v>
      </x:c>
    </x:row>
    <x:row r="226" ht="23" customHeight="1">
      <x:c r="B226" s="17" t="str">
        <x:v>All rounds</x:v>
      </x:c>
      <x:c r="C226" s="17" t="str">
        <x:v>line</x:v>
      </x:c>
      <x:c r="D226" s="17" t="str">
        <x:v>Math_106</x:v>
      </x:c>
      <x:c r="E226" s="32" t="n">
        <x:v>1</x:v>
      </x:c>
      <x:c r="F226" s="32" t="n">
        <x:v>0.8595999999999999</x:v>
      </x:c>
      <x:c r="G226" s="32" t="n">
        <x:v>0.8946999999999999</x:v>
      </x:c>
      <x:c r="H226" s="32" t="n">
        <x:v>0.807</x:v>
      </x:c>
      <x:c r="I226" s="40" t="n">
        <x:v>2</x:v>
      </x:c>
      <x:c r="J226" s="40" t="n">
        <x:v>2</x:v>
      </x:c>
      <x:c r="K226" s="40" t="n">
        <x:v>2</x:v>
      </x:c>
      <x:c r="L226" s="40" t="n">
        <x:v>1</x:v>
      </x:c>
    </x:row>
    <x:row r="227" ht="23" customHeight="1">
      <x:c r="B227" s="17" t="str">
        <x:v>All rounds</x:v>
      </x:c>
      <x:c r="C227" s="17" t="str">
        <x:v>line</x:v>
      </x:c>
      <x:c r="D227" s="17" t="str">
        <x:v>Math_11</x:v>
      </x:c>
      <x:c r="E227" s="32" t="n">
        <x:v>1</x:v>
      </x:c>
      <x:c r="F227" s="32" t="n">
        <x:v>1</x:v>
      </x:c>
      <x:c r="G227" s="32" t="n">
        <x:v>1</x:v>
      </x:c>
      <x:c r="H227" s="32" t="n">
        <x:v>0</x:v>
      </x:c>
      <x:c r="I227" s="40" t="n">
        <x:v>2</x:v>
      </x:c>
      <x:c r="J227" s="40" t="n">
        <x:v>2</x:v>
      </x:c>
      <x:c r="K227" s="40" t="n">
        <x:v>1</x:v>
      </x:c>
      <x:c r="L227" s="40" t="n">
        <x:v>1</x:v>
      </x:c>
    </x:row>
    <x:row r="228" ht="23" customHeight="1">
      <x:c r="B228" s="17" t="str">
        <x:v>All rounds</x:v>
      </x:c>
      <x:c r="C228" s="17" t="str">
        <x:v>line</x:v>
      </x:c>
      <x:c r="D228" s="17" t="str">
        <x:v>Math_12</x:v>
      </x:c>
      <x:c r="E228" s="32" t="n">
        <x:v>1</x:v>
      </x:c>
      <x:c r="F228" s="32" t="n">
        <x:v>0</x:v>
      </x:c>
      <x:c r="G228" s="32" t="n">
        <x:v>0.9582999999999999</x:v>
      </x:c>
      <x:c r="H228" s="32" t="n">
        <x:v>1</x:v>
      </x:c>
      <x:c r="I228" s="40" t="n">
        <x:v>2</x:v>
      </x:c>
      <x:c r="J228" s="40" t="n">
        <x:v>2</x:v>
      </x:c>
      <x:c r="K228" s="40" t="n">
        <x:v>2</x:v>
      </x:c>
      <x:c r="L228" s="40" t="n">
        <x:v>1</x:v>
      </x:c>
    </x:row>
    <x:row r="229" ht="23" customHeight="1">
      <x:c r="B229" s="17" t="str">
        <x:v>All rounds</x:v>
      </x:c>
      <x:c r="C229" s="17" t="str">
        <x:v>line</x:v>
      </x:c>
      <x:c r="D229" s="17" t="str">
        <x:v>Math_14</x:v>
      </x:c>
      <x:c r="E229" s="32" t="n">
        <x:v>0.7254999999999999</x:v>
      </x:c>
      <x:c r="F229" s="32" t="n">
        <x:v>0.2157</x:v>
      </x:c>
      <x:c r="G229" s="32" t="n">
        <x:v>0.9804</x:v>
      </x:c>
      <x:c r="H229" s="32" t="n">
        <x:v>0.25489999999999996</x:v>
      </x:c>
      <x:c r="I229" s="40" t="n">
        <x:v>2</x:v>
      </x:c>
      <x:c r="J229" s="40" t="n">
        <x:v>2</x:v>
      </x:c>
      <x:c r="K229" s="40" t="n">
        <x:v>1</x:v>
      </x:c>
      <x:c r="L229" s="40" t="n">
        <x:v>1</x:v>
      </x:c>
    </x:row>
    <x:row r="230" ht="23" customHeight="1">
      <x:c r="B230" s="17" t="str">
        <x:v>All rounds</x:v>
      </x:c>
      <x:c r="C230" s="17" t="str">
        <x:v>line</x:v>
      </x:c>
      <x:c r="D230" s="17" t="str">
        <x:v>Math_15</x:v>
      </x:c>
      <x:c r="E230" s="32" t="n">
        <x:v>0.9299</x:v>
      </x:c>
      <x:c r="F230" s="32" t="n">
        <x:v>0.9118</x:v>
      </x:c>
      <x:c r="G230" s="32" t="n">
        <x:v>0.5317000000000001</x:v>
      </x:c>
      <x:c r="H230" s="32" t="n">
        <x:v>0.0087</x:v>
      </x:c>
      <x:c r="I230" s="40" t="n">
        <x:v>2</x:v>
      </x:c>
      <x:c r="J230" s="40" t="n">
        <x:v>1</x:v>
      </x:c>
      <x:c r="K230" s="40" t="n">
        <x:v>2</x:v>
      </x:c>
      <x:c r="L230" s="40" t="n">
        <x:v>1</x:v>
      </x:c>
    </x:row>
    <x:row r="231" ht="23" customHeight="1">
      <x:c r="B231" s="17" t="str">
        <x:v>All rounds</x:v>
      </x:c>
      <x:c r="C231" s="17" t="str">
        <x:v>line</x:v>
      </x:c>
      <x:c r="D231" s="17" t="str">
        <x:v>Math_16</x:v>
      </x:c>
      <x:c r="E231" s="32" t="n">
        <x:v>0.9245</x:v>
      </x:c>
      <x:c r="F231" s="32" t="n">
        <x:v>0.59705</x:v>
      </x:c>
      <x:c r="G231" s="32" t="n">
        <x:v>0.564</x:v>
      </x:c>
      <x:c r="H231" s="32" t="n">
        <x:v>0.008100000000000001</x:v>
      </x:c>
      <x:c r="I231" s="40" t="n">
        <x:v>2</x:v>
      </x:c>
      <x:c r="J231" s="40" t="n">
        <x:v>2</x:v>
      </x:c>
      <x:c r="K231" s="40" t="n">
        <x:v>2</x:v>
      </x:c>
      <x:c r="L231" s="40" t="n">
        <x:v>1</x:v>
      </x:c>
    </x:row>
    <x:row r="232" ht="23" customHeight="1">
      <x:c r="B232" s="17" t="str">
        <x:v>All rounds</x:v>
      </x:c>
      <x:c r="C232" s="17" t="str">
        <x:v>line</x:v>
      </x:c>
      <x:c r="D232" s="17" t="str">
        <x:v>Math_17</x:v>
      </x:c>
      <x:c r="E232" s="32" t="n">
        <x:v>0.2575</x:v>
      </x:c>
      <x:c r="F232" s="32" t="n">
        <x:v>0.0155</x:v>
      </x:c>
      <x:c r="G232" s="32" t="n">
        <x:v>0.62</x:v>
      </x:c>
      <x:c r="H232" s="32" t="n">
        <x:v>0</x:v>
      </x:c>
      <x:c r="I232" s="40" t="n">
        <x:v>2</x:v>
      </x:c>
      <x:c r="J232" s="40" t="n">
        <x:v>2</x:v>
      </x:c>
      <x:c r="K232" s="40" t="n">
        <x:v>1</x:v>
      </x:c>
      <x:c r="L232" s="40" t="n">
        <x:v>1</x:v>
      </x:c>
    </x:row>
    <x:row r="233" ht="23" customHeight="1">
      <x:c r="B233" s="17" t="str">
        <x:v>All rounds</x:v>
      </x:c>
      <x:c r="C233" s="17" t="str">
        <x:v>line</x:v>
      </x:c>
      <x:c r="D233" s="17" t="str">
        <x:v>Math_18</x:v>
      </x:c>
      <x:c r="E233" s="32" t="n">
        <x:v>0.6548999999999999</x:v>
      </x:c>
      <x:c r="F233" s="32" t="n">
        <x:v>0.0647</x:v>
      </x:c>
      <x:c r="G233" s="32" t="n">
        <x:v>0.8521</x:v>
      </x:c>
      <x:c r="H233" s="32" t="n">
        <x:v>0.002</x:v>
      </x:c>
      <x:c r="I233" s="40" t="n">
        <x:v>2</x:v>
      </x:c>
      <x:c r="J233" s="40" t="n">
        <x:v>2</x:v>
      </x:c>
      <x:c r="K233" s="40" t="n">
        <x:v>1</x:v>
      </x:c>
      <x:c r="L233" s="40" t="n">
        <x:v>1</x:v>
      </x:c>
    </x:row>
    <x:row r="234" ht="23" customHeight="1">
      <x:c r="B234" s="17" t="str">
        <x:v>All rounds</x:v>
      </x:c>
      <x:c r="C234" s="17" t="str">
        <x:v>line</x:v>
      </x:c>
      <x:c r="D234" s="17" t="str">
        <x:v>Math_19</x:v>
      </x:c>
      <x:c r="E234" s="32" t="n">
        <x:v>0.6627</x:v>
      </x:c>
      <x:c r="F234" s="32" t="n">
        <x:v>0.0659</x:v>
      </x:c>
      <x:c r="G234" s="32" t="n">
        <x:v>0.9056000000000001</x:v>
      </x:c>
      <x:c r="H234" s="32" t="n">
        <x:v>0.002</x:v>
      </x:c>
      <x:c r="I234" s="40" t="n">
        <x:v>2</x:v>
      </x:c>
      <x:c r="J234" s="40" t="n">
        <x:v>2</x:v>
      </x:c>
      <x:c r="K234" s="40" t="n">
        <x:v>1</x:v>
      </x:c>
      <x:c r="L234" s="40" t="n">
        <x:v>1</x:v>
      </x:c>
    </x:row>
    <x:row r="235" ht="23" customHeight="1">
      <x:c r="B235" s="17" t="str">
        <x:v>All rounds</x:v>
      </x:c>
      <x:c r="C235" s="17" t="str">
        <x:v>line</x:v>
      </x:c>
      <x:c r="D235" s="17" t="str">
        <x:v>Math_2</x:v>
      </x:c>
      <x:c r="E235" s="32" t="n">
        <x:v>1</x:v>
      </x:c>
      <x:c r="F235" s="32" t="n">
        <x:v>1</x:v>
      </x:c>
      <x:c r="G235" s="32" t="n">
        <x:v>0.9865</x:v>
      </x:c>
      <x:c r="H235" s="32" t="n">
        <x:v>0.7027</x:v>
      </x:c>
      <x:c r="I235" s="40" t="n">
        <x:v>2</x:v>
      </x:c>
      <x:c r="J235" s="40" t="n">
        <x:v>2</x:v>
      </x:c>
      <x:c r="K235" s="40" t="n">
        <x:v>2</x:v>
      </x:c>
      <x:c r="L235" s="40" t="n">
        <x:v>1</x:v>
      </x:c>
    </x:row>
    <x:row r="236" ht="23" customHeight="1">
      <x:c r="B236" s="17" t="str">
        <x:v>All rounds</x:v>
      </x:c>
      <x:c r="C236" s="17" t="str">
        <x:v>line</x:v>
      </x:c>
      <x:c r="D236" s="17" t="str">
        <x:v>Math_20</x:v>
      </x:c>
      <x:c r="E236" s="32" t="n">
        <x:v>0.662</x:v>
      </x:c>
      <x:c r="F236" s="32" t="n">
        <x:v>0.066</x:v>
      </x:c>
      <x:c r="G236" s="32" t="n">
        <x:v>0.8612000000000001</x:v>
      </x:c>
      <x:c r="H236" s="32" t="n">
        <x:v>0.002</x:v>
      </x:c>
      <x:c r="I236" s="40" t="n">
        <x:v>2</x:v>
      </x:c>
      <x:c r="J236" s="40" t="n">
        <x:v>2</x:v>
      </x:c>
      <x:c r="K236" s="40" t="n">
        <x:v>1</x:v>
      </x:c>
      <x:c r="L236" s="40" t="n">
        <x:v>1</x:v>
      </x:c>
    </x:row>
    <x:row r="237" ht="23" customHeight="1">
      <x:c r="B237" s="17" t="str">
        <x:v>All rounds</x:v>
      </x:c>
      <x:c r="C237" s="17" t="str">
        <x:v>line</x:v>
      </x:c>
      <x:c r="D237" s="17" t="str">
        <x:v>Math_21</x:v>
      </x:c>
      <x:c r="E237" s="32" t="n">
        <x:v>1</x:v>
      </x:c>
      <x:c r="F237" s="32" t="n">
        <x:v>0.0385</x:v>
      </x:c>
      <x:c r="G237" s="32" t="n">
        <x:v>1</x:v>
      </x:c>
      <x:c r="H237" s="32" t="n">
        <x:v>1</x:v>
      </x:c>
      <x:c r="I237" s="40" t="n">
        <x:v>2</x:v>
      </x:c>
      <x:c r="J237" s="40" t="n">
        <x:v>2</x:v>
      </x:c>
      <x:c r="K237" s="40" t="n">
        <x:v>2</x:v>
      </x:c>
      <x:c r="L237" s="40" t="n">
        <x:v>1</x:v>
      </x:c>
    </x:row>
    <x:row r="238" ht="23" customHeight="1">
      <x:c r="B238" s="17" t="str">
        <x:v>All rounds</x:v>
      </x:c>
      <x:c r="C238" s="17" t="str">
        <x:v>line</x:v>
      </x:c>
      <x:c r="D238" s="17" t="str">
        <x:v>Math_22</x:v>
      </x:c>
      <x:c r="E238" s="32" t="n">
        <x:v>1</x:v>
      </x:c>
      <x:c r="F238" s="32" t="n">
        <x:v>1</x:v>
      </x:c>
      <x:c r="G238" s="32" t="n">
        <x:v>1</x:v>
      </x:c>
      <x:c r="H238" s="32" t="n">
        <x:v>0.3837</x:v>
      </x:c>
      <x:c r="I238" s="40" t="n">
        <x:v>2</x:v>
      </x:c>
      <x:c r="J238" s="40" t="n">
        <x:v>1</x:v>
      </x:c>
      <x:c r="K238" s="40" t="n">
        <x:v>1</x:v>
      </x:c>
      <x:c r="L238" s="40" t="n">
        <x:v>1</x:v>
      </x:c>
    </x:row>
    <x:row r="239" ht="23" customHeight="1">
      <x:c r="B239" s="17" t="str">
        <x:v>All rounds</x:v>
      </x:c>
      <x:c r="C239" s="17" t="str">
        <x:v>line</x:v>
      </x:c>
      <x:c r="D239" s="17" t="str">
        <x:v>Math_23</x:v>
      </x:c>
      <x:c r="E239" s="32" t="n">
        <x:v>0.9752</x:v>
      </x:c>
      <x:c r="F239" s="32" t="n">
        <x:v>0.2231</x:v>
      </x:c>
      <x:c r="G239" s="32" t="n">
        <x:v>0.925</x:v>
      </x:c>
      <x:c r="H239" s="32" t="n">
        <x:v>0.0165</x:v>
      </x:c>
      <x:c r="I239" s="40" t="n">
        <x:v>2</x:v>
      </x:c>
      <x:c r="J239" s="40" t="n">
        <x:v>2</x:v>
      </x:c>
      <x:c r="K239" s="40" t="n">
        <x:v>1</x:v>
      </x:c>
      <x:c r="L239" s="40" t="n">
        <x:v>1</x:v>
      </x:c>
    </x:row>
    <x:row r="240" ht="23" customHeight="1">
      <x:c r="B240" s="17" t="str">
        <x:v>All rounds</x:v>
      </x:c>
      <x:c r="C240" s="17" t="str">
        <x:v>line</x:v>
      </x:c>
      <x:c r="D240" s="17" t="str">
        <x:v>Math_24</x:v>
      </x:c>
      <x:c r="E240" s="32" t="n">
        <x:v>0.925</x:v>
      </x:c>
      <x:c r="F240" s="32" t="n">
        <x:v>0.225</x:v>
      </x:c>
      <x:c r="G240" s="32" t="n">
        <x:v>0.8571</x:v>
      </x:c>
      <x:c r="H240" s="32" t="n">
        <x:v>0.0167</x:v>
      </x:c>
      <x:c r="I240" s="40" t="n">
        <x:v>1</x:v>
      </x:c>
      <x:c r="J240" s="40" t="n">
        <x:v>2</x:v>
      </x:c>
      <x:c r="K240" s="40" t="n">
        <x:v>1</x:v>
      </x:c>
      <x:c r="L240" s="40" t="n">
        <x:v>1</x:v>
      </x:c>
    </x:row>
    <x:row r="241" ht="23" customHeight="1">
      <x:c r="B241" s="17" t="str">
        <x:v>All rounds</x:v>
      </x:c>
      <x:c r="C241" s="17" t="str">
        <x:v>line</x:v>
      </x:c>
      <x:c r="D241" s="17" t="str">
        <x:v>Math_25</x:v>
      </x:c>
      <x:c r="E241" s="32" t="n">
        <x:v>0.9894</x:v>
      </x:c>
      <x:c r="F241" s="32" t="n">
        <x:v>0.9894</x:v>
      </x:c>
      <x:c r="G241" s="32" t="n">
        <x:v>0.9468000000000001</x:v>
      </x:c>
      <x:c r="H241" s="32" t="n">
        <x:v>0</x:v>
      </x:c>
      <x:c r="I241" s="40" t="n">
        <x:v>1</x:v>
      </x:c>
      <x:c r="J241" s="40" t="n">
        <x:v>2</x:v>
      </x:c>
      <x:c r="K241" s="40" t="n">
        <x:v>2</x:v>
      </x:c>
      <x:c r="L241" s="40" t="n">
        <x:v>1</x:v>
      </x:c>
    </x:row>
    <x:row r="242" ht="23" customHeight="1">
      <x:c r="B242" s="17" t="str">
        <x:v>All rounds</x:v>
      </x:c>
      <x:c r="C242" s="17" t="str">
        <x:v>line</x:v>
      </x:c>
      <x:c r="D242" s="17" t="str">
        <x:v>Math_29</x:v>
      </x:c>
      <x:c r="E242" s="32" t="n">
        <x:v>1</x:v>
      </x:c>
      <x:c r="F242" s="32" t="n">
        <x:v>0.9688499999999999</x:v>
      </x:c>
      <x:c r="G242" s="32" t="n">
        <x:v>0.8349</x:v>
      </x:c>
      <x:c r="H242" s="32" t="n">
        <x:v>0</x:v>
      </x:c>
      <x:c r="I242" s="40" t="n">
        <x:v>1</x:v>
      </x:c>
      <x:c r="J242" s="40" t="n">
        <x:v>2</x:v>
      </x:c>
      <x:c r="K242" s="40" t="n">
        <x:v>2</x:v>
      </x:c>
      <x:c r="L242" s="40" t="n">
        <x:v>1</x:v>
      </x:c>
    </x:row>
    <x:row r="243" ht="23" customHeight="1">
      <x:c r="B243" s="17" t="str">
        <x:v>All rounds</x:v>
      </x:c>
      <x:c r="C243" s="17" t="str">
        <x:v>line</x:v>
      </x:c>
      <x:c r="D243" s="17" t="str">
        <x:v>Math_30</x:v>
      </x:c>
      <x:c r="E243" s="32" t="n">
        <x:v>1</x:v>
      </x:c>
      <x:c r="F243" s="32" t="n">
        <x:v>1</x:v>
      </x:c>
      <x:c r="G243" s="32" t="n">
        <x:v>1</x:v>
      </x:c>
      <x:c r="H243" s="32" t="n">
        <x:v>0</x:v>
      </x:c>
      <x:c r="I243" s="40" t="n">
        <x:v>1</x:v>
      </x:c>
      <x:c r="J243" s="40" t="n">
        <x:v>2</x:v>
      </x:c>
      <x:c r="K243" s="40" t="n">
        <x:v>2</x:v>
      </x:c>
      <x:c r="L243" s="40" t="n">
        <x:v>1</x:v>
      </x:c>
    </x:row>
    <x:row r="244" ht="23" customHeight="1">
      <x:c r="B244" s="17" t="str">
        <x:v>All rounds</x:v>
      </x:c>
      <x:c r="C244" s="17" t="str">
        <x:v>line</x:v>
      </x:c>
      <x:c r="D244" s="17" t="str">
        <x:v>Math_31</x:v>
      </x:c>
      <x:c r="E244" s="32" t="n">
        <x:v>0</x:v>
      </x:c>
      <x:c r="F244" s="32" t="n">
        <x:v>0</x:v>
      </x:c>
      <x:c r="G244" s="32" t="n">
        <x:v>0.9322</x:v>
      </x:c>
      <x:c r="H244" s="32" t="n">
        <x:v>0</x:v>
      </x:c>
      <x:c r="I244" s="40" t="n">
        <x:v>1</x:v>
      </x:c>
      <x:c r="J244" s="40" t="n">
        <x:v>2</x:v>
      </x:c>
      <x:c r="K244" s="40" t="n">
        <x:v>2</x:v>
      </x:c>
      <x:c r="L244" s="40" t="n">
        <x:v>1</x:v>
      </x:c>
    </x:row>
    <x:row r="245" ht="23" customHeight="1">
      <x:c r="B245" s="17" t="str">
        <x:v>All rounds</x:v>
      </x:c>
      <x:c r="C245" s="17" t="str">
        <x:v>line</x:v>
      </x:c>
      <x:c r="D245" s="17" t="str">
        <x:v>Math_37</x:v>
      </x:c>
      <x:c r="E245" s="32" t="n">
        <x:v>0.9591</x:v>
      </x:c>
      <x:c r="F245" s="32" t="n">
        <x:v>0.9841</x:v>
      </x:c>
      <x:c r="G245" s="32" t="n">
        <x:v>0.8864</x:v>
      </x:c>
      <x:c r="H245" s="32" t="n">
        <x:v>0.0545</x:v>
      </x:c>
      <x:c r="I245" s="40" t="n">
        <x:v>2</x:v>
      </x:c>
      <x:c r="J245" s="40" t="n">
        <x:v>2</x:v>
      </x:c>
      <x:c r="K245" s="40" t="n">
        <x:v>1</x:v>
      </x:c>
      <x:c r="L245" s="40" t="n">
        <x:v>1</x:v>
      </x:c>
    </x:row>
    <x:row r="246" ht="23" customHeight="1">
      <x:c r="B246" s="17" t="str">
        <x:v>All rounds</x:v>
      </x:c>
      <x:c r="C246" s="17" t="str">
        <x:v>line</x:v>
      </x:c>
      <x:c r="D246" s="17" t="str">
        <x:v>Math_39</x:v>
      </x:c>
      <x:c r="E246" s="32" t="n">
        <x:v>0.9439</x:v>
      </x:c>
      <x:c r="F246" s="32" t="n">
        <x:v>0</x:v>
      </x:c>
      <x:c r="G246" s="32" t="n">
        <x:v>0.9906999999999999</x:v>
      </x:c>
      <x:c r="H246" s="32" t="n">
        <x:v>0</x:v>
      </x:c>
      <x:c r="I246" s="40" t="n">
        <x:v>2</x:v>
      </x:c>
      <x:c r="J246" s="40" t="n">
        <x:v>2</x:v>
      </x:c>
      <x:c r="K246" s="40" t="n">
        <x:v>1</x:v>
      </x:c>
      <x:c r="L246" s="40" t="n">
        <x:v>1</x:v>
      </x:c>
    </x:row>
    <x:row r="247" ht="23" customHeight="1">
      <x:c r="B247" s="17" t="str">
        <x:v>All rounds</x:v>
      </x:c>
      <x:c r="C247" s="17" t="str">
        <x:v>line</x:v>
      </x:c>
      <x:c r="D247" s="17" t="str">
        <x:v>Math_40</x:v>
      </x:c>
      <x:c r="E247" s="32" t="n">
        <x:v>0.9921</x:v>
      </x:c>
      <x:c r="F247" s="32" t="n">
        <x:v>0.24600000000000002</x:v>
      </x:c>
      <x:c r="G247" s="32" t="n">
        <x:v>0.8016</x:v>
      </x:c>
      <x:c r="H247" s="32" t="n">
        <x:v>0</x:v>
      </x:c>
      <x:c r="I247" s="40" t="n">
        <x:v>2</x:v>
      </x:c>
      <x:c r="J247" s="40" t="n">
        <x:v>2</x:v>
      </x:c>
      <x:c r="K247" s="40" t="n">
        <x:v>2</x:v>
      </x:c>
      <x:c r="L247" s="40" t="n">
        <x:v>1</x:v>
      </x:c>
    </x:row>
    <x:row r="248" ht="23" customHeight="1">
      <x:c r="B248" s="17" t="str">
        <x:v>All rounds</x:v>
      </x:c>
      <x:c r="C248" s="17" t="str">
        <x:v>line</x:v>
      </x:c>
      <x:c r="D248" s="17" t="str">
        <x:v>Math_41</x:v>
      </x:c>
      <x:c r="E248" s="32" t="n">
        <x:v>0.9911</x:v>
      </x:c>
      <x:c r="F248" s="32" t="n">
        <x:v>0.8036</x:v>
      </x:c>
      <x:c r="G248" s="32" t="n">
        <x:v>0.9196</x:v>
      </x:c>
      <x:c r="H248" s="32" t="n">
        <x:v>0</x:v>
      </x:c>
      <x:c r="I248" s="40" t="n">
        <x:v>2</x:v>
      </x:c>
      <x:c r="J248" s="40" t="n">
        <x:v>2</x:v>
      </x:c>
      <x:c r="K248" s="40" t="n">
        <x:v>2</x:v>
      </x:c>
      <x:c r="L248" s="40" t="n">
        <x:v>1</x:v>
      </x:c>
    </x:row>
    <x:row r="249" ht="23" customHeight="1">
      <x:c r="B249" s="17" t="str">
        <x:v>All rounds</x:v>
      </x:c>
      <x:c r="C249" s="17" t="str">
        <x:v>line</x:v>
      </x:c>
      <x:c r="D249" s="17" t="str">
        <x:v>Math_42</x:v>
      </x:c>
      <x:c r="E249" s="32" t="n">
        <x:v>0.9508</x:v>
      </x:c>
      <x:c r="F249" s="32" t="n">
        <x:v>0.0765</x:v>
      </x:c>
      <x:c r="G249" s="32" t="n">
        <x:v>0.7143</x:v>
      </x:c>
      <x:c r="H249" s="32" t="n">
        <x:v>0</x:v>
      </x:c>
      <x:c r="I249" s="40" t="n">
        <x:v>2</x:v>
      </x:c>
      <x:c r="J249" s="40" t="n">
        <x:v>2</x:v>
      </x:c>
      <x:c r="K249" s="40" t="n">
        <x:v>2</x:v>
      </x:c>
      <x:c r="L249" s="40" t="n">
        <x:v>1</x:v>
      </x:c>
    </x:row>
    <x:row r="250" ht="23" customHeight="1">
      <x:c r="B250" s="17" t="str">
        <x:v>All rounds</x:v>
      </x:c>
      <x:c r="C250" s="17" t="str">
        <x:v>line</x:v>
      </x:c>
      <x:c r="D250" s="17" t="str">
        <x:v>Math_43</x:v>
      </x:c>
      <x:c r="E250" s="32" t="n">
        <x:v>1</x:v>
      </x:c>
      <x:c r="F250" s="32" t="n">
        <x:v>0.9427</x:v>
      </x:c>
      <x:c r="G250" s="32" t="n">
        <x:v>0.8957999999999999</x:v>
      </x:c>
      <x:c r="H250" s="32" t="n">
        <x:v>0</x:v>
      </x:c>
      <x:c r="I250" s="40" t="n">
        <x:v>2</x:v>
      </x:c>
      <x:c r="J250" s="40" t="n">
        <x:v>2</x:v>
      </x:c>
      <x:c r="K250" s="40" t="n">
        <x:v>2</x:v>
      </x:c>
      <x:c r="L250" s="40" t="n">
        <x:v>1</x:v>
      </x:c>
    </x:row>
    <x:row r="251" ht="23" customHeight="1">
      <x:c r="B251" s="17" t="str">
        <x:v>All rounds</x:v>
      </x:c>
      <x:c r="C251" s="17" t="str">
        <x:v>line</x:v>
      </x:c>
      <x:c r="D251" s="17" t="str">
        <x:v>Math_45</x:v>
      </x:c>
      <x:c r="E251" s="32" t="n">
        <x:v>0.6701</x:v>
      </x:c>
      <x:c r="F251" s="32" t="n">
        <x:v>0.6700999999999999</x:v>
      </x:c>
      <x:c r="G251" s="32" t="n">
        <x:v>0.9588</x:v>
      </x:c>
      <x:c r="H251" s="32" t="n">
        <x:v>0</x:v>
      </x:c>
      <x:c r="I251" s="40" t="n">
        <x:v>2</x:v>
      </x:c>
      <x:c r="J251" s="40" t="n">
        <x:v>2</x:v>
      </x:c>
      <x:c r="K251" s="40" t="n">
        <x:v>2</x:v>
      </x:c>
      <x:c r="L251" s="40" t="n">
        <x:v>1</x:v>
      </x:c>
    </x:row>
    <x:row r="252" ht="23" customHeight="1">
      <x:c r="B252" s="17" t="str">
        <x:v>All rounds</x:v>
      </x:c>
      <x:c r="C252" s="17" t="str">
        <x:v>line</x:v>
      </x:c>
      <x:c r="D252" s="17" t="str">
        <x:v>Math_46</x:v>
      </x:c>
      <x:c r="E252" s="32" t="n">
        <x:v>0.9802</x:v>
      </x:c>
      <x:c r="F252" s="32" t="n">
        <x:v>0.98015</x:v>
      </x:c>
      <x:c r="G252" s="32" t="n">
        <x:v>0.7822</x:v>
      </x:c>
      <x:c r="H252" s="32" t="n">
        <x:v>0.0644</x:v>
      </x:c>
      <x:c r="I252" s="40" t="n">
        <x:v>2</x:v>
      </x:c>
      <x:c r="J252" s="40" t="n">
        <x:v>2</x:v>
      </x:c>
      <x:c r="K252" s="40" t="n">
        <x:v>1</x:v>
      </x:c>
      <x:c r="L252" s="40" t="n">
        <x:v>1</x:v>
      </x:c>
    </x:row>
    <x:row r="253" ht="23" customHeight="1">
      <x:c r="B253" s="17" t="str">
        <x:v>All rounds</x:v>
      </x:c>
      <x:c r="C253" s="17" t="str">
        <x:v>line</x:v>
      </x:c>
      <x:c r="D253" s="17" t="str">
        <x:v>Math_47</x:v>
      </x:c>
      <x:c r="E253" s="32" t="n">
        <x:v>0.9652</x:v>
      </x:c>
      <x:c r="F253" s="32" t="n">
        <x:v>0.9801000000000001</x:v>
      </x:c>
      <x:c r="G253" s="32" t="n">
        <x:v>0.8059999999999999</x:v>
      </x:c>
      <x:c r="H253" s="32" t="n">
        <x:v>0.059699999999999996</x:v>
      </x:c>
      <x:c r="I253" s="40" t="n">
        <x:v>2</x:v>
      </x:c>
      <x:c r="J253" s="40" t="n">
        <x:v>2</x:v>
      </x:c>
      <x:c r="K253" s="40" t="n">
        <x:v>1</x:v>
      </x:c>
      <x:c r="L253" s="40" t="n">
        <x:v>1</x:v>
      </x:c>
    </x:row>
    <x:row r="254" ht="23" customHeight="1">
      <x:c r="B254" s="17" t="str">
        <x:v>All rounds</x:v>
      </x:c>
      <x:c r="C254" s="17" t="str">
        <x:v>line</x:v>
      </x:c>
      <x:c r="D254" s="17" t="str">
        <x:v>Math_48</x:v>
      </x:c>
      <x:c r="E254" s="32" t="n">
        <x:v>0.9589</x:v>
      </x:c>
      <x:c r="F254" s="32" t="n">
        <x:v>0.0548</x:v>
      </x:c>
      <x:c r="G254" s="32" t="n">
        <x:v>0.7670999999999999</x:v>
      </x:c>
      <x:c r="H254" s="32" t="n">
        <x:v>0</x:v>
      </x:c>
      <x:c r="I254" s="40" t="n">
        <x:v>2</x:v>
      </x:c>
      <x:c r="J254" s="40" t="n">
        <x:v>2</x:v>
      </x:c>
      <x:c r="K254" s="40" t="n">
        <x:v>1</x:v>
      </x:c>
      <x:c r="L254" s="40" t="n">
        <x:v>1</x:v>
      </x:c>
    </x:row>
    <x:row r="255" ht="23" customHeight="1">
      <x:c r="B255" s="17" t="str">
        <x:v>All rounds</x:v>
      </x:c>
      <x:c r="C255" s="17" t="str">
        <x:v>line</x:v>
      </x:c>
      <x:c r="D255" s="17" t="str">
        <x:v>Math_49</x:v>
      </x:c>
      <x:c r="E255" s="32" t="n">
        <x:v>1</x:v>
      </x:c>
      <x:c r="F255" s="32" t="n">
        <x:v>0.7738499999999999</x:v>
      </x:c>
      <x:c r="G255" s="32" t="n">
        <x:v>0.9365000000000001</x:v>
      </x:c>
      <x:c r="H255" s="32" t="n">
        <x:v>0</x:v>
      </x:c>
      <x:c r="I255" s="40" t="n">
        <x:v>2</x:v>
      </x:c>
      <x:c r="J255" s="40" t="n">
        <x:v>2</x:v>
      </x:c>
      <x:c r="K255" s="40" t="n">
        <x:v>1</x:v>
      </x:c>
      <x:c r="L255" s="40" t="n">
        <x:v>1</x:v>
      </x:c>
    </x:row>
    <x:row r="256" ht="23" customHeight="1">
      <x:c r="B256" s="17" t="str">
        <x:v>All rounds</x:v>
      </x:c>
      <x:c r="C256" s="17" t="str">
        <x:v>line</x:v>
      </x:c>
      <x:c r="D256" s="17" t="str">
        <x:v>Math_5</x:v>
      </x:c>
      <x:c r="E256" s="32" t="n">
        <x:v>0.9867</x:v>
      </x:c>
      <x:c r="F256" s="32" t="n">
        <x:v>0.9867</x:v>
      </x:c>
      <x:c r="G256" s="32" t="n">
        <x:v>0.6416</x:v>
      </x:c>
      <x:c r="H256" s="32" t="n">
        <x:v>0.053099999999999994</x:v>
      </x:c>
      <x:c r="I256" s="40" t="n">
        <x:v>2</x:v>
      </x:c>
      <x:c r="J256" s="40" t="n">
        <x:v>2</x:v>
      </x:c>
      <x:c r="K256" s="40" t="n">
        <x:v>1</x:v>
      </x:c>
      <x:c r="L256" s="40" t="n">
        <x:v>1</x:v>
      </x:c>
    </x:row>
    <x:row r="257" ht="23" customHeight="1">
      <x:c r="B257" s="17" t="str">
        <x:v>All rounds</x:v>
      </x:c>
      <x:c r="C257" s="17" t="str">
        <x:v>line</x:v>
      </x:c>
      <x:c r="D257" s="17" t="str">
        <x:v>Math_50</x:v>
      </x:c>
      <x:c r="E257" s="32" t="n">
        <x:v>0.9333</x:v>
      </x:c>
      <x:c r="F257" s="32" t="n">
        <x:v>0.0533</x:v>
      </x:c>
      <x:c r="G257" s="32" t="n">
        <x:v>0.7867000000000001</x:v>
      </x:c>
      <x:c r="H257" s="32" t="n">
        <x:v>0</x:v>
      </x:c>
      <x:c r="I257" s="40" t="n">
        <x:v>2</x:v>
      </x:c>
      <x:c r="J257" s="40" t="n">
        <x:v>2</x:v>
      </x:c>
      <x:c r="K257" s="40" t="n">
        <x:v>1</x:v>
      </x:c>
      <x:c r="L257" s="40" t="n">
        <x:v>1</x:v>
      </x:c>
    </x:row>
    <x:row r="258" ht="23" customHeight="1">
      <x:c r="B258" s="17" t="str">
        <x:v>All rounds</x:v>
      </x:c>
      <x:c r="C258" s="17" t="str">
        <x:v>line</x:v>
      </x:c>
      <x:c r="D258" s="17" t="str">
        <x:v>Math_51</x:v>
      </x:c>
      <x:c r="E258" s="32" t="n">
        <x:v>0.9718000000000001</x:v>
      </x:c>
      <x:c r="F258" s="32" t="n">
        <x:v>0.056299999999999996</x:v>
      </x:c>
      <x:c r="G258" s="32" t="n">
        <x:v>0.8028</x:v>
      </x:c>
      <x:c r="H258" s="32" t="n">
        <x:v>0</x:v>
      </x:c>
      <x:c r="I258" s="40" t="n">
        <x:v>2</x:v>
      </x:c>
      <x:c r="J258" s="40" t="n">
        <x:v>2</x:v>
      </x:c>
      <x:c r="K258" s="40" t="n">
        <x:v>1</x:v>
      </x:c>
      <x:c r="L258" s="40" t="n">
        <x:v>1</x:v>
      </x:c>
    </x:row>
    <x:row r="259" ht="23" customHeight="1">
      <x:c r="B259" s="17" t="str">
        <x:v>All rounds</x:v>
      </x:c>
      <x:c r="C259" s="17" t="str">
        <x:v>line</x:v>
      </x:c>
      <x:c r="D259" s="17" t="str">
        <x:v>Math_52</x:v>
      </x:c>
      <x:c r="E259" s="32" t="n">
        <x:v>0.9564</x:v>
      </x:c>
      <x:c r="F259" s="32" t="n">
        <x:v>0.6812</x:v>
      </x:c>
      <x:c r="G259" s="32" t="n">
        <x:v>0.9292</x:v>
      </x:c>
      <x:c r="H259" s="32" t="n">
        <x:v>0.0218</x:v>
      </x:c>
      <x:c r="I259" s="40" t="n">
        <x:v>2</x:v>
      </x:c>
      <x:c r="J259" s="40" t="n">
        <x:v>2</x:v>
      </x:c>
      <x:c r="K259" s="40" t="n">
        <x:v>1</x:v>
      </x:c>
      <x:c r="L259" s="40" t="n">
        <x:v>1</x:v>
      </x:c>
    </x:row>
    <x:row r="260" ht="23" customHeight="1">
      <x:c r="B260" s="17" t="str">
        <x:v>All rounds</x:v>
      </x:c>
      <x:c r="C260" s="17" t="str">
        <x:v>line</x:v>
      </x:c>
      <x:c r="D260" s="17" t="str">
        <x:v>Math_53</x:v>
      </x:c>
      <x:c r="E260" s="32" t="n">
        <x:v>0.9647</x:v>
      </x:c>
      <x:c r="F260" s="32" t="n">
        <x:v>0.9823999999999999</x:v>
      </x:c>
      <x:c r="G260" s="32" t="n">
        <x:v>0.9823999999999999</x:v>
      </x:c>
      <x:c r="H260" s="32" t="n">
        <x:v>0.0706</x:v>
      </x:c>
      <x:c r="I260" s="40" t="n">
        <x:v>2</x:v>
      </x:c>
      <x:c r="J260" s="40" t="n">
        <x:v>2</x:v>
      </x:c>
      <x:c r="K260" s="40" t="n">
        <x:v>1</x:v>
      </x:c>
      <x:c r="L260" s="40" t="n">
        <x:v>1</x:v>
      </x:c>
    </x:row>
    <x:row r="261" ht="23" customHeight="1">
      <x:c r="B261" s="17" t="str">
        <x:v>All rounds</x:v>
      </x:c>
      <x:c r="C261" s="17" t="str">
        <x:v>line</x:v>
      </x:c>
      <x:c r="D261" s="17" t="str">
        <x:v>Math_54</x:v>
      </x:c>
      <x:c r="E261" s="32" t="n">
        <x:v>0.2651</x:v>
      </x:c>
      <x:c r="F261" s="32" t="n">
        <x:v>0.0161</x:v>
      </x:c>
      <x:c r="G261" s="32" t="n">
        <x:v>0.74</x:v>
      </x:c>
      <x:c r="H261" s="32" t="n">
        <x:v>0</x:v>
      </x:c>
      <x:c r="I261" s="40" t="n">
        <x:v>2</x:v>
      </x:c>
      <x:c r="J261" s="40" t="n">
        <x:v>2</x:v>
      </x:c>
      <x:c r="K261" s="40" t="n">
        <x:v>1</x:v>
      </x:c>
      <x:c r="L261" s="40" t="n">
        <x:v>1</x:v>
      </x:c>
    </x:row>
    <x:row r="262" ht="23" customHeight="1">
      <x:c r="B262" s="17" t="str">
        <x:v>All rounds</x:v>
      </x:c>
      <x:c r="C262" s="17" t="str">
        <x:v>line</x:v>
      </x:c>
      <x:c r="D262" s="17" t="str">
        <x:v>Math_55</x:v>
      </x:c>
      <x:c r="E262" s="32" t="n">
        <x:v>0.9741</x:v>
      </x:c>
      <x:c r="F262" s="32" t="n">
        <x:v>0.97845</x:v>
      </x:c>
      <x:c r="G262" s="32" t="n">
        <x:v>1</x:v>
      </x:c>
      <x:c r="H262" s="32" t="n">
        <x:v>0.1466</x:v>
      </x:c>
      <x:c r="I262" s="40" t="n">
        <x:v>2</x:v>
      </x:c>
      <x:c r="J262" s="40" t="n">
        <x:v>2</x:v>
      </x:c>
      <x:c r="K262" s="40" t="n">
        <x:v>1</x:v>
      </x:c>
      <x:c r="L262" s="40" t="n">
        <x:v>1</x:v>
      </x:c>
    </x:row>
    <x:row r="263" ht="23" customHeight="1">
      <x:c r="B263" s="17" t="str">
        <x:v>All rounds</x:v>
      </x:c>
      <x:c r="C263" s="17" t="str">
        <x:v>line</x:v>
      </x:c>
      <x:c r="D263" s="17" t="str">
        <x:v>Math_56</x:v>
      </x:c>
      <x:c r="E263" s="32" t="n">
        <x:v>1</x:v>
      </x:c>
      <x:c r="F263" s="32" t="n">
        <x:v>0.96</x:v>
      </x:c>
      <x:c r="G263" s="32" t="n">
        <x:v>0.9867</x:v>
      </x:c>
      <x:c r="H263" s="32" t="n">
        <x:v>0</x:v>
      </x:c>
      <x:c r="I263" s="40" t="n">
        <x:v>2</x:v>
      </x:c>
      <x:c r="J263" s="40" t="n">
        <x:v>2</x:v>
      </x:c>
      <x:c r="K263" s="40" t="n">
        <x:v>2</x:v>
      </x:c>
      <x:c r="L263" s="40" t="n">
        <x:v>1</x:v>
      </x:c>
    </x:row>
    <x:row r="264" ht="23" customHeight="1">
      <x:c r="B264" s="17" t="str">
        <x:v>All rounds</x:v>
      </x:c>
      <x:c r="C264" s="17" t="str">
        <x:v>line</x:v>
      </x:c>
      <x:c r="D264" s="17" t="str">
        <x:v>Math_57</x:v>
      </x:c>
      <x:c r="E264" s="32" t="n">
        <x:v>0.975</x:v>
      </x:c>
      <x:c r="F264" s="32" t="n">
        <x:v>0.0417</x:v>
      </x:c>
      <x:c r="G264" s="32" t="n">
        <x:v>0.975</x:v>
      </x:c>
      <x:c r="H264" s="32" t="n">
        <x:v>0</x:v>
      </x:c>
      <x:c r="I264" s="40" t="n">
        <x:v>2</x:v>
      </x:c>
      <x:c r="J264" s="40" t="n">
        <x:v>2</x:v>
      </x:c>
      <x:c r="K264" s="40" t="n">
        <x:v>1</x:v>
      </x:c>
      <x:c r="L264" s="40" t="n">
        <x:v>1</x:v>
      </x:c>
    </x:row>
    <x:row r="265" ht="23" customHeight="1">
      <x:c r="B265" s="17" t="str">
        <x:v>All rounds</x:v>
      </x:c>
      <x:c r="C265" s="17" t="str">
        <x:v>line</x:v>
      </x:c>
      <x:c r="D265" s="17" t="str">
        <x:v>Math_58</x:v>
      </x:c>
      <x:c r="E265" s="32" t="n">
        <x:v>0.875</x:v>
      </x:c>
      <x:c r="F265" s="32" t="n">
        <x:v>0.875</x:v>
      </x:c>
      <x:c r="G265" s="32" t="n">
        <x:v>0.6809000000000001</x:v>
      </x:c>
      <x:c r="H265" s="32" t="n">
        <x:v>0</x:v>
      </x:c>
      <x:c r="I265" s="40" t="n">
        <x:v>2</x:v>
      </x:c>
      <x:c r="J265" s="40" t="n">
        <x:v>2</x:v>
      </x:c>
      <x:c r="K265" s="40" t="n">
        <x:v>1</x:v>
      </x:c>
      <x:c r="L265" s="40" t="n">
        <x:v>1</x:v>
      </x:c>
    </x:row>
    <x:row r="266" ht="23" customHeight="1">
      <x:c r="B266" s="17" t="str">
        <x:v>All rounds</x:v>
      </x:c>
      <x:c r="C266" s="17" t="str">
        <x:v>line</x:v>
      </x:c>
      <x:c r="D266" s="17" t="str">
        <x:v>Math_59</x:v>
      </x:c>
      <x:c r="E266" s="32" t="n">
        <x:v>0.9425</x:v>
      </x:c>
      <x:c r="F266" s="32" t="n">
        <x:v>0.93545</x:v>
      </x:c>
      <x:c r="G266" s="32" t="n">
        <x:v>0.7037</x:v>
      </x:c>
      <x:c r="H266" s="32" t="n">
        <x:v>0.184</x:v>
      </x:c>
      <x:c r="I266" s="40" t="n">
        <x:v>2</x:v>
      </x:c>
      <x:c r="J266" s="40" t="n">
        <x:v>2</x:v>
      </x:c>
      <x:c r="K266" s="40" t="n">
        <x:v>2</x:v>
      </x:c>
      <x:c r="L266" s="40" t="n">
        <x:v>1</x:v>
      </x:c>
    </x:row>
    <x:row r="267" ht="23" customHeight="1">
      <x:c r="B267" s="17" t="str">
        <x:v>All rounds</x:v>
      </x:c>
      <x:c r="C267" s="17" t="str">
        <x:v>line</x:v>
      </x:c>
      <x:c r="D267" s="17" t="str">
        <x:v>Math_61</x:v>
      </x:c>
      <x:c r="E267" s="32" t="n">
        <x:v>1</x:v>
      </x:c>
      <x:c r="F267" s="32" t="n">
        <x:v>0.9559000000000001</x:v>
      </x:c>
      <x:c r="G267" s="32" t="n">
        <x:v>0.8234999999999999</x:v>
      </x:c>
      <x:c r="H267" s="32" t="n">
        <x:v>0</x:v>
      </x:c>
      <x:c r="I267" s="40" t="n">
        <x:v>2</x:v>
      </x:c>
      <x:c r="J267" s="40" t="n">
        <x:v>2</x:v>
      </x:c>
      <x:c r="K267" s="40" t="n">
        <x:v>2</x:v>
      </x:c>
      <x:c r="L267" s="40" t="n">
        <x:v>1</x:v>
      </x:c>
    </x:row>
    <x:row r="268" ht="23" customHeight="1">
      <x:c r="B268" s="17" t="str">
        <x:v>All rounds</x:v>
      </x:c>
      <x:c r="C268" s="17" t="str">
        <x:v>line</x:v>
      </x:c>
      <x:c r="D268" s="17" t="str">
        <x:v>Math_62</x:v>
      </x:c>
      <x:c r="E268" s="32" t="n">
        <x:v>0.8936</x:v>
      </x:c>
      <x:c r="F268" s="32" t="n">
        <x:v>0</x:v>
      </x:c>
      <x:c r="G268" s="32" t="n">
        <x:v>0.9787</x:v>
      </x:c>
      <x:c r="H268" s="32" t="n">
        <x:v>0</x:v>
      </x:c>
      <x:c r="I268" s="40" t="n">
        <x:v>2</x:v>
      </x:c>
      <x:c r="J268" s="40" t="n">
        <x:v>2</x:v>
      </x:c>
      <x:c r="K268" s="40" t="n">
        <x:v>1</x:v>
      </x:c>
      <x:c r="L268" s="40" t="n">
        <x:v>1</x:v>
      </x:c>
    </x:row>
    <x:row r="269" ht="23" customHeight="1">
      <x:c r="B269" s="17" t="str">
        <x:v>All rounds</x:v>
      </x:c>
      <x:c r="C269" s="17" t="str">
        <x:v>line</x:v>
      </x:c>
      <x:c r="D269" s="17" t="str">
        <x:v>Math_63</x:v>
      </x:c>
      <x:c r="E269" s="32" t="n">
        <x:v>0.9131</x:v>
      </x:c>
      <x:c r="F269" s="32" t="n">
        <x:v>0.8089</x:v>
      </x:c>
      <x:c r="G269" s="32" t="n">
        <x:v>0.6139</x:v>
      </x:c>
      <x:c r="H269" s="32" t="n">
        <x:v>0.0039000000000000003</x:v>
      </x:c>
      <x:c r="I269" s="40" t="n">
        <x:v>2</x:v>
      </x:c>
      <x:c r="J269" s="40" t="n">
        <x:v>1</x:v>
      </x:c>
      <x:c r="K269" s="40" t="n">
        <x:v>2</x:v>
      </x:c>
      <x:c r="L269" s="40" t="n">
        <x:v>1</x:v>
      </x:c>
    </x:row>
    <x:row r="270" ht="23" customHeight="1">
      <x:c r="B270" s="17" t="str">
        <x:v>All rounds</x:v>
      </x:c>
      <x:c r="C270" s="17" t="str">
        <x:v>line</x:v>
      </x:c>
      <x:c r="D270" s="17" t="str">
        <x:v>Math_64</x:v>
      </x:c>
      <x:c r="E270" s="32" t="n">
        <x:v>0.09939999999999999</x:v>
      </x:c>
      <x:c r="F270" s="32" t="n">
        <x:v>0.09939999999999999</x:v>
      </x:c>
      <x:c r="G270" s="32" t="n">
        <x:v>0.5731</x:v>
      </x:c>
      <x:c r="H270" s="32" t="n">
        <x:v>0</x:v>
      </x:c>
      <x:c r="I270" s="40" t="n">
        <x:v>2</x:v>
      </x:c>
      <x:c r="J270" s="40" t="n">
        <x:v>2</x:v>
      </x:c>
      <x:c r="K270" s="40" t="n">
        <x:v>1</x:v>
      </x:c>
      <x:c r="L270" s="40" t="n">
        <x:v>1</x:v>
      </x:c>
    </x:row>
    <x:row r="271" ht="23" customHeight="1">
      <x:c r="B271" s="17" t="str">
        <x:v>All rounds</x:v>
      </x:c>
      <x:c r="C271" s="17" t="str">
        <x:v>line</x:v>
      </x:c>
      <x:c r="D271" s="17" t="str">
        <x:v>Math_66</x:v>
      </x:c>
      <x:c r="E271" s="32" t="n">
        <x:v>1</x:v>
      </x:c>
      <x:c r="F271" s="32" t="n">
        <x:v>0.2647</x:v>
      </x:c>
      <x:c r="G271" s="32" t="n">
        <x:v>1</x:v>
      </x:c>
      <x:c r="H271" s="32" t="n">
        <x:v>0.0098</x:v>
      </x:c>
      <x:c r="I271" s="40" t="n">
        <x:v>2</x:v>
      </x:c>
      <x:c r="J271" s="40" t="n">
        <x:v>2</x:v>
      </x:c>
      <x:c r="K271" s="40" t="n">
        <x:v>2</x:v>
      </x:c>
      <x:c r="L271" s="40" t="n">
        <x:v>1</x:v>
      </x:c>
    </x:row>
    <x:row r="272" ht="23" customHeight="1">
      <x:c r="B272" s="17" t="str">
        <x:v>All rounds</x:v>
      </x:c>
      <x:c r="C272" s="17" t="str">
        <x:v>line</x:v>
      </x:c>
      <x:c r="D272" s="17" t="str">
        <x:v>Math_67</x:v>
      </x:c>
      <x:c r="E272" s="32" t="n">
        <x:v>0.871</x:v>
      </x:c>
      <x:c r="F272" s="32" t="n">
        <x:v>0.4946</x:v>
      </x:c>
      <x:c r="G272" s="32" t="n">
        <x:v>0.8172</x:v>
      </x:c>
      <x:c r="H272" s="32" t="n">
        <x:v>0</x:v>
      </x:c>
      <x:c r="I272" s="40" t="n">
        <x:v>2</x:v>
      </x:c>
      <x:c r="J272" s="40" t="n">
        <x:v>2</x:v>
      </x:c>
      <x:c r="K272" s="40" t="n">
        <x:v>2</x:v>
      </x:c>
      <x:c r="L272" s="40" t="n">
        <x:v>1</x:v>
      </x:c>
    </x:row>
    <x:row r="273" ht="23" customHeight="1">
      <x:c r="B273" s="17" t="str">
        <x:v>All rounds</x:v>
      </x:c>
      <x:c r="C273" s="17" t="str">
        <x:v>line</x:v>
      </x:c>
      <x:c r="D273" s="17" t="str">
        <x:v>Math_68</x:v>
      </x:c>
      <x:c r="E273" s="32" t="n">
        <x:v>0.0904</x:v>
      </x:c>
      <x:c r="F273" s="32" t="n">
        <x:v>0.0904</x:v>
      </x:c>
      <x:c r="G273" s="32" t="n">
        <x:v>0.5633</x:v>
      </x:c>
      <x:c r="H273" s="32" t="n">
        <x:v>0</x:v>
      </x:c>
      <x:c r="I273" s="40" t="n">
        <x:v>2</x:v>
      </x:c>
      <x:c r="J273" s="40" t="n">
        <x:v>2</x:v>
      </x:c>
      <x:c r="K273" s="40" t="n">
        <x:v>1</x:v>
      </x:c>
      <x:c r="L273" s="40" t="n">
        <x:v>1</x:v>
      </x:c>
    </x:row>
    <x:row r="274" ht="23" customHeight="1">
      <x:c r="B274" s="17" t="str">
        <x:v>All rounds</x:v>
      </x:c>
      <x:c r="C274" s="17" t="str">
        <x:v>line</x:v>
      </x:c>
      <x:c r="D274" s="17" t="str">
        <x:v>Math_69</x:v>
      </x:c>
      <x:c r="E274" s="32" t="n">
        <x:v>1</x:v>
      </x:c>
      <x:c r="F274" s="32" t="n">
        <x:v>0.9333</x:v>
      </x:c>
      <x:c r="G274" s="32" t="n">
        <x:v>0.92</x:v>
      </x:c>
      <x:c r="H274" s="32" t="n">
        <x:v>0</x:v>
      </x:c>
      <x:c r="I274" s="40" t="n">
        <x:v>2</x:v>
      </x:c>
      <x:c r="J274" s="40" t="n">
        <x:v>2</x:v>
      </x:c>
      <x:c r="K274" s="40" t="n">
        <x:v>2</x:v>
      </x:c>
      <x:c r="L274" s="40" t="n">
        <x:v>1</x:v>
      </x:c>
    </x:row>
    <x:row r="275" ht="23" customHeight="1">
      <x:c r="B275" s="17" t="str">
        <x:v>All rounds</x:v>
      </x:c>
      <x:c r="C275" s="17" t="str">
        <x:v>line</x:v>
      </x:c>
      <x:c r="D275" s="17" t="str">
        <x:v>Math_7</x:v>
      </x:c>
      <x:c r="E275" s="32" t="n">
        <x:v>0.6846</x:v>
      </x:c>
      <x:c r="F275" s="32" t="n">
        <x:v>0</x:v>
      </x:c>
      <x:c r="G275" s="32" t="n">
        <x:v>0.5307999999999999</x:v>
      </x:c>
      <x:c r="H275" s="32" t="n">
        <x:v>0</x:v>
      </x:c>
      <x:c r="I275" s="40" t="n">
        <x:v>2</x:v>
      </x:c>
      <x:c r="J275" s="40" t="n">
        <x:v>2</x:v>
      </x:c>
      <x:c r="K275" s="40" t="n">
        <x:v>1</x:v>
      </x:c>
      <x:c r="L275" s="40" t="n">
        <x:v>1</x:v>
      </x:c>
    </x:row>
    <x:row r="276" ht="23" customHeight="1">
      <x:c r="B276" s="17" t="str">
        <x:v>All rounds</x:v>
      </x:c>
      <x:c r="C276" s="17" t="str">
        <x:v>line</x:v>
      </x:c>
      <x:c r="D276" s="17" t="str">
        <x:v>Math_71</x:v>
      </x:c>
      <x:c r="E276" s="32" t="n">
        <x:v>0.9898</x:v>
      </x:c>
      <x:c r="F276" s="32" t="n">
        <x:v>0</x:v>
      </x:c>
      <x:c r="G276" s="32" t="n">
        <x:v>0.9036</x:v>
      </x:c>
      <x:c r="H276" s="32" t="n">
        <x:v>0</x:v>
      </x:c>
      <x:c r="I276" s="40" t="n">
        <x:v>2</x:v>
      </x:c>
      <x:c r="J276" s="40" t="n">
        <x:v>2</x:v>
      </x:c>
      <x:c r="K276" s="40" t="n">
        <x:v>1</x:v>
      </x:c>
      <x:c r="L276" s="40" t="n">
        <x:v>1</x:v>
      </x:c>
    </x:row>
    <x:row r="277" ht="23" customHeight="1">
      <x:c r="B277" s="17" t="str">
        <x:v>All rounds</x:v>
      </x:c>
      <x:c r="C277" s="17" t="str">
        <x:v>line</x:v>
      </x:c>
      <x:c r="D277" s="17" t="str">
        <x:v>Math_72</x:v>
      </x:c>
      <x:c r="E277" s="32" t="n">
        <x:v>1</x:v>
      </x:c>
      <x:c r="F277" s="32" t="n">
        <x:v>0.1121</x:v>
      </x:c>
      <x:c r="G277" s="32" t="n">
        <x:v>0.8598</x:v>
      </x:c>
      <x:c r="H277" s="32" t="n">
        <x:v>0</x:v>
      </x:c>
      <x:c r="I277" s="40" t="n">
        <x:v>2</x:v>
      </x:c>
      <x:c r="J277" s="40" t="n">
        <x:v>2</x:v>
      </x:c>
      <x:c r="K277" s="40" t="n">
        <x:v>2</x:v>
      </x:c>
      <x:c r="L277" s="40" t="n">
        <x:v>1</x:v>
      </x:c>
    </x:row>
    <x:row r="278" ht="23" customHeight="1">
      <x:c r="B278" s="17" t="str">
        <x:v>All rounds</x:v>
      </x:c>
      <x:c r="C278" s="17" t="str">
        <x:v>line</x:v>
      </x:c>
      <x:c r="D278" s="17" t="str">
        <x:v>Math_73</x:v>
      </x:c>
      <x:c r="E278" s="32" t="n">
        <x:v>1</x:v>
      </x:c>
      <x:c r="F278" s="32" t="n">
        <x:v>0.11539999999999999</x:v>
      </x:c>
      <x:c r="G278" s="32" t="n">
        <x:v>0.8462000000000001</x:v>
      </x:c>
      <x:c r="H278" s="32" t="n">
        <x:v>0</x:v>
      </x:c>
      <x:c r="I278" s="40" t="n">
        <x:v>2</x:v>
      </x:c>
      <x:c r="J278" s="40" t="n">
        <x:v>2</x:v>
      </x:c>
      <x:c r="K278" s="40" t="n">
        <x:v>2</x:v>
      </x:c>
      <x:c r="L278" s="40" t="n">
        <x:v>1</x:v>
      </x:c>
    </x:row>
    <x:row r="279" ht="23" customHeight="1">
      <x:c r="B279" s="17" t="str">
        <x:v>All rounds</x:v>
      </x:c>
      <x:c r="C279" s="17" t="str">
        <x:v>line</x:v>
      </x:c>
      <x:c r="D279" s="17" t="str">
        <x:v>Math_74</x:v>
      </x:c>
      <x:c r="E279" s="32" t="n">
        <x:v>0.6311</x:v>
      </x:c>
      <x:c r="F279" s="32" t="n">
        <x:v>0</x:v>
      </x:c>
      <x:c r="G279" s="32" t="n">
        <x:v>0.9179999999999999</x:v>
      </x:c>
      <x:c r="H279" s="32" t="n">
        <x:v>0</x:v>
      </x:c>
      <x:c r="I279" s="40" t="n">
        <x:v>2</x:v>
      </x:c>
      <x:c r="J279" s="40" t="n">
        <x:v>2</x:v>
      </x:c>
      <x:c r="K279" s="40" t="n">
        <x:v>1</x:v>
      </x:c>
      <x:c r="L279" s="40" t="n">
        <x:v>1</x:v>
      </x:c>
    </x:row>
    <x:row r="280" ht="23" customHeight="1">
      <x:c r="B280" s="17" t="str">
        <x:v>All rounds</x:v>
      </x:c>
      <x:c r="C280" s="17" t="str">
        <x:v>line</x:v>
      </x:c>
      <x:c r="D280" s="17" t="str">
        <x:v>Math_75</x:v>
      </x:c>
      <x:c r="E280" s="32" t="n">
        <x:v>0.9776</x:v>
      </x:c>
      <x:c r="F280" s="32" t="n">
        <x:v>0.9104000000000001</x:v>
      </x:c>
      <x:c r="G280" s="32" t="n">
        <x:v>0.8506999999999999</x:v>
      </x:c>
      <x:c r="H280" s="32" t="n">
        <x:v>0</x:v>
      </x:c>
      <x:c r="I280" s="40" t="n">
        <x:v>2</x:v>
      </x:c>
      <x:c r="J280" s="40" t="n">
        <x:v>2</x:v>
      </x:c>
      <x:c r="K280" s="40" t="n">
        <x:v>2</x:v>
      </x:c>
      <x:c r="L280" s="40" t="n">
        <x:v>1</x:v>
      </x:c>
    </x:row>
    <x:row r="281" ht="23" customHeight="1">
      <x:c r="B281" s="17" t="str">
        <x:v>All rounds</x:v>
      </x:c>
      <x:c r="C281" s="17" t="str">
        <x:v>line</x:v>
      </x:c>
      <x:c r="D281" s="17" t="str">
        <x:v>Math_76</x:v>
      </x:c>
      <x:c r="E281" s="32" t="n">
        <x:v>0.9701000000000001</x:v>
      </x:c>
      <x:c r="F281" s="32" t="n">
        <x:v>0.022400000000000003</x:v>
      </x:c>
      <x:c r="G281" s="32" t="n">
        <x:v>0.7985</x:v>
      </x:c>
      <x:c r="H281" s="32" t="n">
        <x:v>0</x:v>
      </x:c>
      <x:c r="I281" s="40" t="n">
        <x:v>2</x:v>
      </x:c>
      <x:c r="J281" s="40" t="n">
        <x:v>2</x:v>
      </x:c>
      <x:c r="K281" s="40" t="n">
        <x:v>2</x:v>
      </x:c>
      <x:c r="L281" s="40" t="n">
        <x:v>1</x:v>
      </x:c>
    </x:row>
    <x:row r="282" ht="23" customHeight="1">
      <x:c r="B282" s="17" t="str">
        <x:v>All rounds</x:v>
      </x:c>
      <x:c r="C282" s="17" t="str">
        <x:v>line</x:v>
      </x:c>
      <x:c r="D282" s="17" t="str">
        <x:v>Math_77</x:v>
      </x:c>
      <x:c r="E282" s="32" t="n">
        <x:v>0.9987</x:v>
      </x:c>
      <x:c r="F282" s="32" t="n">
        <x:v>0.8360499999999998</x:v>
      </x:c>
      <x:c r="G282" s="32" t="n">
        <x:v>0.7309</x:v>
      </x:c>
      <x:c r="H282" s="32" t="n">
        <x:v>0.0025</x:v>
      </x:c>
      <x:c r="I282" s="40" t="n">
        <x:v>2</x:v>
      </x:c>
      <x:c r="J282" s="40" t="n">
        <x:v>2</x:v>
      </x:c>
      <x:c r="K282" s="40" t="n">
        <x:v>1</x:v>
      </x:c>
      <x:c r="L282" s="40" t="n">
        <x:v>1</x:v>
      </x:c>
    </x:row>
    <x:row r="283" ht="23" customHeight="1">
      <x:c r="B283" s="17" t="str">
        <x:v>All rounds</x:v>
      </x:c>
      <x:c r="C283" s="17" t="str">
        <x:v>line</x:v>
      </x:c>
      <x:c r="D283" s="17" t="str">
        <x:v>Math_79</x:v>
      </x:c>
      <x:c r="E283" s="32" t="n">
        <x:v>0.9405</x:v>
      </x:c>
      <x:c r="F283" s="32" t="n">
        <x:v>0.5857</x:v>
      </x:c>
      <x:c r="G283" s="32" t="n">
        <x:v>0.6333</x:v>
      </x:c>
      <x:c r="H283" s="32" t="n">
        <x:v>0.0048</x:v>
      </x:c>
      <x:c r="I283" s="40" t="n">
        <x:v>2</x:v>
      </x:c>
      <x:c r="J283" s="40" t="n">
        <x:v>2</x:v>
      </x:c>
      <x:c r="K283" s="40" t="n">
        <x:v>2</x:v>
      </x:c>
      <x:c r="L283" s="40" t="n">
        <x:v>1</x:v>
      </x:c>
    </x:row>
    <x:row r="284" ht="23" customHeight="1">
      <x:c r="B284" s="17" t="str">
        <x:v>All rounds</x:v>
      </x:c>
      <x:c r="C284" s="17" t="str">
        <x:v>line</x:v>
      </x:c>
      <x:c r="D284" s="17" t="str">
        <x:v>Math_8</x:v>
      </x:c>
      <x:c r="E284" s="32" t="n">
        <x:v>0.975</x:v>
      </x:c>
      <x:c r="F284" s="32" t="n">
        <x:v>0.175</x:v>
      </x:c>
      <x:c r="G284" s="32" t="n">
        <x:v>0.9875</x:v>
      </x:c>
      <x:c r="H284" s="32" t="n">
        <x:v>0</x:v>
      </x:c>
      <x:c r="I284" s="40" t="n">
        <x:v>2</x:v>
      </x:c>
      <x:c r="J284" s="40" t="n">
        <x:v>2</x:v>
      </x:c>
      <x:c r="K284" s="40" t="n">
        <x:v>2</x:v>
      </x:c>
      <x:c r="L284" s="40" t="n">
        <x:v>1</x:v>
      </x:c>
    </x:row>
    <x:row r="285" ht="23" customHeight="1">
      <x:c r="B285" s="17" t="str">
        <x:v>All rounds</x:v>
      </x:c>
      <x:c r="C285" s="17" t="str">
        <x:v>line</x:v>
      </x:c>
      <x:c r="D285" s="17" t="str">
        <x:v>Math_80</x:v>
      </x:c>
      <x:c r="E285" s="32" t="n">
        <x:v>0.8327</x:v>
      </x:c>
      <x:c r="F285" s="32" t="n">
        <x:v>0.23509999999999998</x:v>
      </x:c>
      <x:c r="G285" s="32" t="n">
        <x:v>0.33020000000000005</x:v>
      </x:c>
      <x:c r="H285" s="32" t="n">
        <x:v>0</x:v>
      </x:c>
      <x:c r="I285" s="40" t="n">
        <x:v>2</x:v>
      </x:c>
      <x:c r="J285" s="40" t="n">
        <x:v>2</x:v>
      </x:c>
      <x:c r="K285" s="40" t="n">
        <x:v>2</x:v>
      </x:c>
      <x:c r="L285" s="40" t="n">
        <x:v>1</x:v>
      </x:c>
    </x:row>
    <x:row r="286" ht="23" customHeight="1">
      <x:c r="B286" s="17" t="str">
        <x:v>All rounds</x:v>
      </x:c>
      <x:c r="C286" s="17" t="str">
        <x:v>line</x:v>
      </x:c>
      <x:c r="D286" s="17" t="str">
        <x:v>Math_81</x:v>
      </x:c>
      <x:c r="E286" s="32" t="n">
        <x:v>0.8419</x:v>
      </x:c>
      <x:c r="F286" s="32" t="n">
        <x:v>0.23420000000000002</x:v>
      </x:c>
      <x:c r="G286" s="32" t="n">
        <x:v>0.3353</x:v>
      </x:c>
      <x:c r="H286" s="32" t="n">
        <x:v>0</x:v>
      </x:c>
      <x:c r="I286" s="40" t="n">
        <x:v>2</x:v>
      </x:c>
      <x:c r="J286" s="40" t="n">
        <x:v>2</x:v>
      </x:c>
      <x:c r="K286" s="40" t="n">
        <x:v>2</x:v>
      </x:c>
      <x:c r="L286" s="40" t="n">
        <x:v>1</x:v>
      </x:c>
    </x:row>
    <x:row r="287" ht="23" customHeight="1">
      <x:c r="B287" s="17" t="str">
        <x:v>All rounds</x:v>
      </x:c>
      <x:c r="C287" s="17" t="str">
        <x:v>line</x:v>
      </x:c>
      <x:c r="D287" s="17" t="str">
        <x:v>Math_82</x:v>
      </x:c>
      <x:c r="E287" s="32" t="n">
        <x:v>0.9833</x:v>
      </x:c>
      <x:c r="F287" s="32" t="n">
        <x:v>0.2167</x:v>
      </x:c>
      <x:c r="G287" s="32" t="n">
        <x:v>0.9667</x:v>
      </x:c>
      <x:c r="H287" s="32" t="n">
        <x:v>0</x:v>
      </x:c>
      <x:c r="I287" s="40" t="n">
        <x:v>2</x:v>
      </x:c>
      <x:c r="J287" s="40" t="n">
        <x:v>2</x:v>
      </x:c>
      <x:c r="K287" s="40" t="n">
        <x:v>1</x:v>
      </x:c>
      <x:c r="L287" s="40" t="n">
        <x:v>1</x:v>
      </x:c>
    </x:row>
    <x:row r="288" ht="23" customHeight="1">
      <x:c r="B288" s="17" t="str">
        <x:v>All rounds</x:v>
      </x:c>
      <x:c r="C288" s="17" t="str">
        <x:v>line</x:v>
      </x:c>
      <x:c r="D288" s="17" t="str">
        <x:v>Math_83</x:v>
      </x:c>
      <x:c r="E288" s="32" t="n">
        <x:v>0.071</x:v>
      </x:c>
      <x:c r="F288" s="32" t="n">
        <x:v>0.0387</x:v>
      </x:c>
      <x:c r="G288" s="32" t="n">
        <x:v>0.071</x:v>
      </x:c>
      <x:c r="H288" s="32" t="n">
        <x:v>0</x:v>
      </x:c>
      <x:c r="I288" s="40" t="n">
        <x:v>2</x:v>
      </x:c>
      <x:c r="J288" s="40" t="n">
        <x:v>2</x:v>
      </x:c>
      <x:c r="K288" s="40" t="n">
        <x:v>1</x:v>
      </x:c>
      <x:c r="L288" s="40" t="n">
        <x:v>1</x:v>
      </x:c>
    </x:row>
    <x:row r="289" ht="23" customHeight="1">
      <x:c r="B289" s="17" t="str">
        <x:v>All rounds</x:v>
      </x:c>
      <x:c r="C289" s="17" t="str">
        <x:v>line</x:v>
      </x:c>
      <x:c r="D289" s="17" t="str">
        <x:v>Math_85</x:v>
      </x:c>
      <x:c r="E289" s="32" t="n">
        <x:v>0.9473999999999999</x:v>
      </x:c>
      <x:c r="F289" s="32" t="n">
        <x:v>0.21050000000000002</x:v>
      </x:c>
      <x:c r="G289" s="32" t="n">
        <x:v>0.9211</x:v>
      </x:c>
      <x:c r="H289" s="32" t="n">
        <x:v>0</x:v>
      </x:c>
      <x:c r="I289" s="40" t="n">
        <x:v>2</x:v>
      </x:c>
      <x:c r="J289" s="40" t="n">
        <x:v>2</x:v>
      </x:c>
      <x:c r="K289" s="40" t="n">
        <x:v>2</x:v>
      </x:c>
      <x:c r="L289" s="40" t="n">
        <x:v>1</x:v>
      </x:c>
    </x:row>
    <x:row r="290" ht="23" customHeight="1">
      <x:c r="B290" s="17" t="str">
        <x:v>All rounds</x:v>
      </x:c>
      <x:c r="C290" s="17" t="str">
        <x:v>line</x:v>
      </x:c>
      <x:c r="D290" s="17" t="str">
        <x:v>Math_86</x:v>
      </x:c>
      <x:c r="E290" s="32" t="n">
        <x:v>0.4224</x:v>
      </x:c>
      <x:c r="F290" s="32" t="n">
        <x:v>0.0259</x:v>
      </x:c>
      <x:c r="G290" s="32" t="n">
        <x:v>0.8448</x:v>
      </x:c>
      <x:c r="H290" s="32" t="n">
        <x:v>0</x:v>
      </x:c>
      <x:c r="I290" s="40" t="n">
        <x:v>2</x:v>
      </x:c>
      <x:c r="J290" s="40" t="n">
        <x:v>2</x:v>
      </x:c>
      <x:c r="K290" s="40" t="n">
        <x:v>1</x:v>
      </x:c>
      <x:c r="L290" s="40" t="n">
        <x:v>1</x:v>
      </x:c>
    </x:row>
    <x:row r="291" ht="23" customHeight="1">
      <x:c r="B291" s="17" t="str">
        <x:v>All rounds</x:v>
      </x:c>
      <x:c r="C291" s="17" t="str">
        <x:v>line</x:v>
      </x:c>
      <x:c r="D291" s="17" t="str">
        <x:v>Math_87</x:v>
      </x:c>
      <x:c r="E291" s="32" t="n">
        <x:v>0.0724</x:v>
      </x:c>
      <x:c r="F291" s="32" t="n">
        <x:v>0.0395</x:v>
      </x:c>
      <x:c r="G291" s="32" t="n">
        <x:v>0.0724</x:v>
      </x:c>
      <x:c r="H291" s="32" t="n">
        <x:v>0</x:v>
      </x:c>
      <x:c r="I291" s="40" t="n">
        <x:v>2</x:v>
      </x:c>
      <x:c r="J291" s="40" t="n">
        <x:v>2</x:v>
      </x:c>
      <x:c r="K291" s="40" t="n">
        <x:v>2</x:v>
      </x:c>
      <x:c r="L291" s="40" t="n">
        <x:v>1</x:v>
      </x:c>
    </x:row>
    <x:row r="292" ht="23" customHeight="1">
      <x:c r="B292" s="17" t="str">
        <x:v>All rounds</x:v>
      </x:c>
      <x:c r="C292" s="17" t="str">
        <x:v>line</x:v>
      </x:c>
      <x:c r="D292" s="17" t="str">
        <x:v>Math_88</x:v>
      </x:c>
      <x:c r="E292" s="32" t="n">
        <x:v>0.0724</x:v>
      </x:c>
      <x:c r="F292" s="32" t="n">
        <x:v>0.0395</x:v>
      </x:c>
      <x:c r="G292" s="32" t="n">
        <x:v>0.0724</x:v>
      </x:c>
      <x:c r="H292" s="32" t="n">
        <x:v>0</x:v>
      </x:c>
      <x:c r="I292" s="40" t="n">
        <x:v>2</x:v>
      </x:c>
      <x:c r="J292" s="40" t="n">
        <x:v>2</x:v>
      </x:c>
      <x:c r="K292" s="40" t="n">
        <x:v>1</x:v>
      </x:c>
      <x:c r="L292" s="40" t="n">
        <x:v>1</x:v>
      </x:c>
    </x:row>
    <x:row r="293" ht="23" customHeight="1">
      <x:c r="B293" s="17" t="str">
        <x:v>All rounds</x:v>
      </x:c>
      <x:c r="C293" s="17" t="str">
        <x:v>line</x:v>
      </x:c>
      <x:c r="D293" s="17" t="str">
        <x:v>Math_89</x:v>
      </x:c>
      <x:c r="E293" s="32" t="n">
        <x:v>1</x:v>
      </x:c>
      <x:c r="F293" s="32" t="n">
        <x:v>0.9906999999999999</x:v>
      </x:c>
      <x:c r="G293" s="32" t="n">
        <x:v>0.8981</x:v>
      </x:c>
      <x:c r="H293" s="32" t="n">
        <x:v>0</x:v>
      </x:c>
      <x:c r="I293" s="40" t="n">
        <x:v>2</x:v>
      </x:c>
      <x:c r="J293" s="40" t="n">
        <x:v>2</x:v>
      </x:c>
      <x:c r="K293" s="40" t="n">
        <x:v>2</x:v>
      </x:c>
      <x:c r="L293" s="40" t="n">
        <x:v>1</x:v>
      </x:c>
    </x:row>
    <x:row r="294" ht="23" customHeight="1">
      <x:c r="B294" s="17" t="str">
        <x:v>All rounds</x:v>
      </x:c>
      <x:c r="C294" s="17" t="str">
        <x:v>line</x:v>
      </x:c>
      <x:c r="D294" s="17" t="str">
        <x:v>Math_9</x:v>
      </x:c>
      <x:c r="E294" s="32" t="n">
        <x:v>0.9783</x:v>
      </x:c>
      <x:c r="F294" s="32" t="n">
        <x:v>0.10869999999999999</x:v>
      </x:c>
      <x:c r="G294" s="32" t="n">
        <x:v>0.9783</x:v>
      </x:c>
      <x:c r="H294" s="32" t="n">
        <x:v>0</x:v>
      </x:c>
      <x:c r="I294" s="40" t="n">
        <x:v>2</x:v>
      </x:c>
      <x:c r="J294" s="40" t="n">
        <x:v>2</x:v>
      </x:c>
      <x:c r="K294" s="40" t="n">
        <x:v>1</x:v>
      </x:c>
      <x:c r="L294" s="40" t="n">
        <x:v>1</x:v>
      </x:c>
    </x:row>
    <x:row r="295" ht="23" customHeight="1">
      <x:c r="B295" s="17" t="str">
        <x:v>All rounds</x:v>
      </x:c>
      <x:c r="C295" s="17" t="str">
        <x:v>line</x:v>
      </x:c>
      <x:c r="D295" s="17" t="str">
        <x:v>Math_90</x:v>
      </x:c>
      <x:c r="E295" s="32" t="n">
        <x:v>0.9906</x:v>
      </x:c>
      <x:c r="F295" s="32" t="n">
        <x:v>0.9906</x:v>
      </x:c>
      <x:c r="G295" s="32" t="n">
        <x:v>0.8208</x:v>
      </x:c>
      <x:c r="H295" s="32" t="n">
        <x:v>0</x:v>
      </x:c>
      <x:c r="I295" s="40" t="n">
        <x:v>2</x:v>
      </x:c>
      <x:c r="J295" s="40" t="n">
        <x:v>2</x:v>
      </x:c>
      <x:c r="K295" s="40" t="n">
        <x:v>2</x:v>
      </x:c>
      <x:c r="L295" s="40" t="n">
        <x:v>1</x:v>
      </x:c>
    </x:row>
    <x:row r="296" ht="23" customHeight="1">
      <x:c r="B296" s="17" t="str">
        <x:v>All rounds</x:v>
      </x:c>
      <x:c r="C296" s="17" t="str">
        <x:v>line</x:v>
      </x:c>
      <x:c r="D296" s="17" t="str">
        <x:v>Math_92</x:v>
      </x:c>
      <x:c r="E296" s="32" t="n">
        <x:v>0.8658</x:v>
      </x:c>
      <x:c r="F296" s="32" t="n">
        <x:v>0.645</x:v>
      </x:c>
      <x:c r="G296" s="32" t="n">
        <x:v>0.7965000000000001</x:v>
      </x:c>
      <x:c r="H296" s="32" t="n">
        <x:v>0.0043</x:v>
      </x:c>
      <x:c r="I296" s="40" t="n">
        <x:v>2</x:v>
      </x:c>
      <x:c r="J296" s="40" t="n">
        <x:v>2</x:v>
      </x:c>
      <x:c r="K296" s="40" t="n">
        <x:v>2</x:v>
      </x:c>
      <x:c r="L296" s="40" t="n">
        <x:v>1</x:v>
      </x:c>
    </x:row>
    <x:row r="297" ht="23" customHeight="1">
      <x:c r="B297" s="17" t="str">
        <x:v>All rounds</x:v>
      </x:c>
      <x:c r="C297" s="17" t="str">
        <x:v>line</x:v>
      </x:c>
      <x:c r="D297" s="17" t="str">
        <x:v>Math_93</x:v>
      </x:c>
      <x:c r="E297" s="32" t="n">
        <x:v>0.8673000000000001</x:v>
      </x:c>
      <x:c r="F297" s="32" t="n">
        <x:v>0.6416</x:v>
      </x:c>
      <x:c r="G297" s="32" t="n">
        <x:v>0.9336</x:v>
      </x:c>
      <x:c r="H297" s="32" t="n">
        <x:v>0.0044</x:v>
      </x:c>
      <x:c r="I297" s="40" t="n">
        <x:v>2</x:v>
      </x:c>
      <x:c r="J297" s="40" t="n">
        <x:v>2</x:v>
      </x:c>
      <x:c r="K297" s="40" t="n">
        <x:v>2</x:v>
      </x:c>
      <x:c r="L297" s="40" t="n">
        <x:v>1</x:v>
      </x:c>
    </x:row>
    <x:row r="298" ht="23" customHeight="1">
      <x:c r="B298" s="17" t="str">
        <x:v>All rounds</x:v>
      </x:c>
      <x:c r="C298" s="17" t="str">
        <x:v>line</x:v>
      </x:c>
      <x:c r="D298" s="17" t="str">
        <x:v>Math_94</x:v>
      </x:c>
      <x:c r="E298" s="32" t="n">
        <x:v>0.9111</x:v>
      </x:c>
      <x:c r="F298" s="32" t="n">
        <x:v>0.64</x:v>
      </x:c>
      <x:c r="G298" s="32" t="n">
        <x:v>0.8</x:v>
      </x:c>
      <x:c r="H298" s="32" t="n">
        <x:v>0</x:v>
      </x:c>
      <x:c r="I298" s="40" t="n">
        <x:v>2</x:v>
      </x:c>
      <x:c r="J298" s="40" t="n">
        <x:v>2</x:v>
      </x:c>
      <x:c r="K298" s="40" t="n">
        <x:v>2</x:v>
      </x:c>
      <x:c r="L298" s="40" t="n">
        <x:v>1</x:v>
      </x:c>
    </x:row>
    <x:row r="299" ht="23" customHeight="1">
      <x:c r="B299" s="17" t="str">
        <x:v>All rounds</x:v>
      </x:c>
      <x:c r="C299" s="17" t="str">
        <x:v>line</x:v>
      </x:c>
      <x:c r="D299" s="17" t="str">
        <x:v>Math_95</x:v>
      </x:c>
      <x:c r="E299" s="32" t="n">
        <x:v>1</x:v>
      </x:c>
      <x:c r="F299" s="32" t="n">
        <x:v>1</x:v>
      </x:c>
      <x:c r="G299" s="32" t="n">
        <x:v>1</x:v>
      </x:c>
      <x:c r="H299" s="32" t="n">
        <x:v>1</x:v>
      </x:c>
      <x:c r="I299" s="40" t="n">
        <x:v>2</x:v>
      </x:c>
      <x:c r="J299" s="40" t="n">
        <x:v>2</x:v>
      </x:c>
      <x:c r="K299" s="40" t="n">
        <x:v>2</x:v>
      </x:c>
      <x:c r="L299" s="40" t="n">
        <x:v>1</x:v>
      </x:c>
    </x:row>
    <x:row r="300" ht="23" customHeight="1">
      <x:c r="B300" s="17" t="str">
        <x:v>All rounds</x:v>
      </x:c>
      <x:c r="C300" s="17" t="str">
        <x:v>line</x:v>
      </x:c>
      <x:c r="D300" s="17" t="str">
        <x:v>Math_96</x:v>
      </x:c>
      <x:c r="E300" s="32" t="n">
        <x:v>0.9648</x:v>
      </x:c>
      <x:c r="F300" s="32" t="n">
        <x:v>0.9506999999999999</x:v>
      </x:c>
      <x:c r="G300" s="32" t="n">
        <x:v>0.9789</x:v>
      </x:c>
      <x:c r="H300" s="32" t="n">
        <x:v>0.0634</x:v>
      </x:c>
      <x:c r="I300" s="40" t="n">
        <x:v>2</x:v>
      </x:c>
      <x:c r="J300" s="40" t="n">
        <x:v>2</x:v>
      </x:c>
      <x:c r="K300" s="40" t="n">
        <x:v>2</x:v>
      </x:c>
      <x:c r="L300" s="40" t="n">
        <x:v>1</x:v>
      </x:c>
    </x:row>
    <x:row r="301" ht="23" customHeight="1">
      <x:c r="B301" s="17" t="str">
        <x:v>All rounds</x:v>
      </x:c>
      <x:c r="C301" s="17" t="str">
        <x:v>line</x:v>
      </x:c>
      <x:c r="D301" s="17" t="str">
        <x:v>Math_97</x:v>
      </x:c>
      <x:c r="E301" s="32" t="n">
        <x:v>1</x:v>
      </x:c>
      <x:c r="F301" s="32" t="n">
        <x:v>0.011200000000000002</x:v>
      </x:c>
      <x:c r="G301" s="32" t="n">
        <x:v>0.9775</x:v>
      </x:c>
      <x:c r="H301" s="32" t="n">
        <x:v>0</x:v>
      </x:c>
      <x:c r="I301" s="40" t="n">
        <x:v>2</x:v>
      </x:c>
      <x:c r="J301" s="40" t="n">
        <x:v>2</x:v>
      </x:c>
      <x:c r="K301" s="40" t="n">
        <x:v>2</x:v>
      </x:c>
      <x:c r="L301" s="40" t="n">
        <x:v>1</x:v>
      </x:c>
    </x:row>
    <x:row r="302" ht="23" customHeight="1">
      <x:c r="B302" s="17" t="str">
        <x:v>All rounds</x:v>
      </x:c>
      <x:c r="C302" s="17" t="str">
        <x:v>line</x:v>
      </x:c>
      <x:c r="D302" s="17" t="str">
        <x:v>Math_98</x:v>
      </x:c>
      <x:c r="E302" s="32" t="n">
        <x:v>0.8758</x:v>
      </x:c>
      <x:c r="F302" s="32" t="n">
        <x:v>0.7646999999999999</x:v>
      </x:c>
      <x:c r="G302" s="32" t="n">
        <x:v>0.8420000000000001</x:v>
      </x:c>
      <x:c r="H302" s="32" t="n">
        <x:v>0.0033</x:v>
      </x:c>
      <x:c r="I302" s="40" t="n">
        <x:v>2</x:v>
      </x:c>
      <x:c r="J302" s="40" t="n">
        <x:v>2</x:v>
      </x:c>
      <x:c r="K302" s="40" t="n">
        <x:v>2</x:v>
      </x:c>
      <x:c r="L302" s="40" t="n">
        <x:v>1</x:v>
      </x:c>
    </x:row>
    <x:row r="303" ht="23" customHeight="1">
      <x:c r="B303" s="17" t="str">
        <x:v>All rounds</x:v>
      </x:c>
      <x:c r="C303" s="17" t="str">
        <x:v>line</x:v>
      </x:c>
      <x:c r="D303" s="17" t="str">
        <x:v>Math_99</x:v>
      </x:c>
      <x:c r="E303" s="32" t="n">
        <x:v>0.9218999999999999</x:v>
      </x:c>
      <x:c r="F303" s="32" t="n">
        <x:v>0.7713999999999999</x:v>
      </x:c>
      <x:c r="G303" s="32" t="n">
        <x:v>0.9257</x:v>
      </x:c>
      <x:c r="H303" s="32" t="n">
        <x:v>0.0037</x:v>
      </x:c>
      <x:c r="I303" s="40" t="n">
        <x:v>2</x:v>
      </x:c>
      <x:c r="J303" s="40" t="n">
        <x:v>2</x:v>
      </x:c>
      <x:c r="K303" s="40" t="n">
        <x:v>2</x:v>
      </x:c>
      <x:c r="L303" s="40" t="n">
        <x:v>1</x:v>
      </x:c>
    </x:row>
    <x:row r="304" ht="23" customHeight="1">
      <x:c r="B304" s="17" t="str">
        <x:v>All rounds</x:v>
      </x:c>
      <x:c r="C304" s="17" t="str">
        <x:v>line</x:v>
      </x:c>
      <x:c r="D304" s="17" t="str">
        <x:v>Mockito_11</x:v>
      </x:c>
      <x:c r="E304" s="32" t="n">
        <x:v>0.35710000000000003</x:v>
      </x:c>
      <x:c r="F304" s="32" t="n">
        <x:v>0</x:v>
      </x:c>
      <x:c r="G304" s="32" t="n">
        <x:v>1</x:v>
      </x:c>
      <x:c r="H304" s="32" t="n">
        <x:v>1</x:v>
      </x:c>
      <x:c r="I304" s="40" t="n">
        <x:v>2</x:v>
      </x:c>
      <x:c r="J304" s="40" t="n">
        <x:v>2</x:v>
      </x:c>
      <x:c r="K304" s="40" t="n">
        <x:v>2</x:v>
      </x:c>
      <x:c r="L304" s="40" t="n">
        <x:v>1</x:v>
      </x:c>
    </x:row>
    <x:row r="305" ht="23" customHeight="1">
      <x:c r="B305" s="17" t="str">
        <x:v>All rounds</x:v>
      </x:c>
      <x:c r="C305" s="17" t="str">
        <x:v>line</x:v>
      </x:c>
      <x:c r="D305" s="17" t="str">
        <x:v>Mockito_12</x:v>
      </x:c>
      <x:c r="E305" s="32" t="n">
        <x:v>0.3333</x:v>
      </x:c>
      <x:c r="F305" s="32" t="n">
        <x:v>0.3333</x:v>
      </x:c>
      <x:c r="G305" s="32" t="n">
        <x:v>1</x:v>
      </x:c>
      <x:c r="H305" s="32" t="n">
        <x:v>1</x:v>
      </x:c>
      <x:c r="I305" s="40" t="n">
        <x:v>2</x:v>
      </x:c>
      <x:c r="J305" s="40" t="n">
        <x:v>2</x:v>
      </x:c>
      <x:c r="K305" s="40" t="n">
        <x:v>2</x:v>
      </x:c>
      <x:c r="L305" s="40" t="n">
        <x:v>1</x:v>
      </x:c>
    </x:row>
    <x:row r="306" ht="23" customHeight="1">
      <x:c r="B306" s="17" t="str">
        <x:v>All rounds</x:v>
      </x:c>
      <x:c r="C306" s="17" t="str">
        <x:v>line</x:v>
      </x:c>
      <x:c r="D306" s="17" t="str">
        <x:v>Mockito_15</x:v>
      </x:c>
      <x:c r="E306" s="32" t="n">
        <x:v>0.5385</x:v>
      </x:c>
      <x:c r="F306" s="32" t="n">
        <x:v>0.3077</x:v>
      </x:c>
      <x:c r="G306" s="32" t="n">
        <x:v>1</x:v>
      </x:c>
      <x:c r="H306" s="32" t="n">
        <x:v>1</x:v>
      </x:c>
      <x:c r="I306" s="40" t="n">
        <x:v>2</x:v>
      </x:c>
      <x:c r="J306" s="40" t="n">
        <x:v>2</x:v>
      </x:c>
      <x:c r="K306" s="40" t="n">
        <x:v>2</x:v>
      </x:c>
      <x:c r="L306" s="40" t="n">
        <x:v>1</x:v>
      </x:c>
    </x:row>
    <x:row r="307" ht="23" customHeight="1">
      <x:c r="B307" s="17" t="str">
        <x:v>All rounds</x:v>
      </x:c>
      <x:c r="C307" s="17" t="str">
        <x:v>line</x:v>
      </x:c>
      <x:c r="D307" s="17" t="str">
        <x:v>Mockito_21</x:v>
      </x:c>
      <x:c r="E307" s="32" t="n">
        <x:v>0.9375</x:v>
      </x:c>
      <x:c r="F307" s="32" t="n">
        <x:v>0.1875</x:v>
      </x:c>
      <x:c r="G307" s="32" t="n">
        <x:v>1</x:v>
      </x:c>
      <x:c r="H307" s="32" t="n">
        <x:v>1</x:v>
      </x:c>
      <x:c r="I307" s="40" t="n">
        <x:v>2</x:v>
      </x:c>
      <x:c r="J307" s="40" t="n">
        <x:v>2</x:v>
      </x:c>
      <x:c r="K307" s="40" t="n">
        <x:v>2</x:v>
      </x:c>
      <x:c r="L307" s="40" t="n">
        <x:v>1</x:v>
      </x:c>
    </x:row>
    <x:row r="308" ht="23" customHeight="1">
      <x:c r="B308" s="17" t="str">
        <x:v>All rounds</x:v>
      </x:c>
      <x:c r="C308" s="17" t="str">
        <x:v>line</x:v>
      </x:c>
      <x:c r="D308" s="17" t="str">
        <x:v>Mockito_22</x:v>
      </x:c>
      <x:c r="E308" s="32" t="n">
        <x:v>0.6923</x:v>
      </x:c>
      <x:c r="F308" s="32" t="n">
        <x:v>0.6923</x:v>
      </x:c>
      <x:c r="G308" s="32" t="n">
        <x:v>0.9231</x:v>
      </x:c>
      <x:c r="H308" s="32" t="n">
        <x:v>1</x:v>
      </x:c>
      <x:c r="I308" s="40" t="n">
        <x:v>2</x:v>
      </x:c>
      <x:c r="J308" s="40" t="n">
        <x:v>2</x:v>
      </x:c>
      <x:c r="K308" s="40" t="n">
        <x:v>2</x:v>
      </x:c>
      <x:c r="L308" s="40" t="n">
        <x:v>1</x:v>
      </x:c>
    </x:row>
    <x:row r="309" ht="23" customHeight="1">
      <x:c r="B309" s="17" t="str">
        <x:v>All rounds</x:v>
      </x:c>
      <x:c r="C309" s="17" t="str">
        <x:v>line</x:v>
      </x:c>
      <x:c r="D309" s="17" t="str">
        <x:v>Mockito_25</x:v>
      </x:c>
      <x:c r="E309" s="32" t="n">
        <x:v>0.21739999999999998</x:v>
      </x:c>
      <x:c r="F309" s="32" t="n">
        <x:v>0.21739999999999998</x:v>
      </x:c>
      <x:c r="G309" s="32" t="n">
        <x:v>0.9565</x:v>
      </x:c>
      <x:c r="H309" s="32" t="n">
        <x:v>0.3478</x:v>
      </x:c>
      <x:c r="I309" s="40" t="n">
        <x:v>2</x:v>
      </x:c>
      <x:c r="J309" s="40" t="n">
        <x:v>2</x:v>
      </x:c>
      <x:c r="K309" s="40" t="n">
        <x:v>1</x:v>
      </x:c>
      <x:c r="L309" s="40" t="n">
        <x:v>1</x:v>
      </x:c>
    </x:row>
    <x:row r="310" ht="23" customHeight="1">
      <x:c r="B310" s="17" t="str">
        <x:v>All rounds</x:v>
      </x:c>
      <x:c r="C310" s="17" t="str">
        <x:v>line</x:v>
      </x:c>
      <x:c r="D310" s="17" t="str">
        <x:v>Mockito_26</x:v>
      </x:c>
      <x:c r="E310" s="32" t="n">
        <x:v>1</x:v>
      </x:c>
      <x:c r="F310" s="32" t="n">
        <x:v>0.8332999999999999</x:v>
      </x:c>
      <x:c r="G310" s="32" t="n">
        <x:v>0.9722</x:v>
      </x:c>
      <x:c r="H310" s="32" t="n">
        <x:v>1</x:v>
      </x:c>
      <x:c r="I310" s="40" t="n">
        <x:v>2</x:v>
      </x:c>
      <x:c r="J310" s="40" t="n">
        <x:v>2</x:v>
      </x:c>
      <x:c r="K310" s="40" t="n">
        <x:v>1</x:v>
      </x:c>
      <x:c r="L310" s="40" t="n">
        <x:v>1</x:v>
      </x:c>
    </x:row>
    <x:row r="311" ht="23" customHeight="1">
      <x:c r="B311" s="17" t="str">
        <x:v>All rounds</x:v>
      </x:c>
      <x:c r="C311" s="17" t="str">
        <x:v>line</x:v>
      </x:c>
      <x:c r="D311" s="17" t="str">
        <x:v>Mockito_28</x:v>
      </x:c>
      <x:c r="E311" s="32" t="n">
        <x:v>0.3</x:v>
      </x:c>
      <x:c r="F311" s="32" t="n">
        <x:v>0.2</x:v>
      </x:c>
      <x:c r="G311" s="32" t="n">
        <x:v>0.9333</x:v>
      </x:c>
      <x:c r="H311" s="32" t="n">
        <x:v>1</x:v>
      </x:c>
      <x:c r="I311" s="40" t="n">
        <x:v>2</x:v>
      </x:c>
      <x:c r="J311" s="40" t="n">
        <x:v>2</x:v>
      </x:c>
      <x:c r="K311" s="40" t="n">
        <x:v>1</x:v>
      </x:c>
      <x:c r="L311" s="40" t="n">
        <x:v>1</x:v>
      </x:c>
    </x:row>
    <x:row r="312" ht="23" customHeight="1">
      <x:c r="B312" s="17" t="str">
        <x:v>All rounds</x:v>
      </x:c>
      <x:c r="C312" s="17" t="str">
        <x:v>line</x:v>
      </x:c>
      <x:c r="D312" s="17" t="str">
        <x:v>Mockito_30</x:v>
      </x:c>
      <x:c r="E312" s="32" t="n">
        <x:v>0.6964</x:v>
      </x:c>
      <x:c r="F312" s="32" t="n">
        <x:v>0.5536</x:v>
      </x:c>
      <x:c r="G312" s="32" t="n">
        <x:v>0.7768</x:v>
      </x:c>
      <x:c r="H312" s="32" t="n">
        <x:v>0.1875</x:v>
      </x:c>
      <x:c r="I312" s="40" t="n">
        <x:v>2</x:v>
      </x:c>
      <x:c r="J312" s="40" t="n">
        <x:v>2</x:v>
      </x:c>
      <x:c r="K312" s="40" t="n">
        <x:v>1</x:v>
      </x:c>
      <x:c r="L312" s="40" t="n">
        <x:v>1</x:v>
      </x:c>
    </x:row>
    <x:row r="313" ht="23" customHeight="1">
      <x:c r="B313" s="17" t="str">
        <x:v>All rounds</x:v>
      </x:c>
      <x:c r="C313" s="17" t="str">
        <x:v>line</x:v>
      </x:c>
      <x:c r="D313" s="17" t="str">
        <x:v>Mockito_31</x:v>
      </x:c>
      <x:c r="E313" s="32" t="n">
        <x:v>0.15789999999999998</x:v>
      </x:c>
      <x:c r="F313" s="32" t="n">
        <x:v>0.15789999999999998</x:v>
      </x:c>
      <x:c r="G313" s="32" t="n">
        <x:v>0.9473999999999999</x:v>
      </x:c>
      <x:c r="H313" s="32" t="n">
        <x:v>0.9473999999999999</x:v>
      </x:c>
      <x:c r="I313" s="40" t="n">
        <x:v>2</x:v>
      </x:c>
      <x:c r="J313" s="40" t="n">
        <x:v>2</x:v>
      </x:c>
      <x:c r="K313" s="40" t="n">
        <x:v>1</x:v>
      </x:c>
      <x:c r="L313" s="40" t="n">
        <x:v>1</x:v>
      </x:c>
    </x:row>
    <x:row r="314" ht="23" customHeight="1">
      <x:c r="B314" s="17" t="str">
        <x:v>All rounds</x:v>
      </x:c>
      <x:c r="C314" s="17" t="str">
        <x:v>line</x:v>
      </x:c>
      <x:c r="D314" s="17" t="str">
        <x:v>Mockito_35</x:v>
      </x:c>
      <x:c r="E314" s="32" t="n">
        <x:v>1</x:v>
      </x:c>
      <x:c r="F314" s="32" t="n">
        <x:v>0.8824</x:v>
      </x:c>
      <x:c r="G314" s="32" t="n">
        <x:v>0.9804</x:v>
      </x:c>
      <x:c r="H314" s="32" t="n">
        <x:v>1</x:v>
      </x:c>
      <x:c r="I314" s="40" t="n">
        <x:v>2</x:v>
      </x:c>
      <x:c r="J314" s="40" t="n">
        <x:v>2</x:v>
      </x:c>
      <x:c r="K314" s="40" t="n">
        <x:v>1</x:v>
      </x:c>
      <x:c r="L314" s="40" t="n">
        <x:v>1</x:v>
      </x:c>
    </x:row>
    <x:row r="315" ht="23" customHeight="1">
      <x:c r="B315" s="17" t="str">
        <x:v>All rounds</x:v>
      </x:c>
      <x:c r="C315" s="17" t="str">
        <x:v>line</x:v>
      </x:c>
      <x:c r="D315" s="17" t="str">
        <x:v>Mockito_37</x:v>
      </x:c>
      <x:c r="E315" s="32" t="n">
        <x:v>0.6296</x:v>
      </x:c>
      <x:c r="F315" s="32" t="n">
        <x:v>0.0741</x:v>
      </x:c>
      <x:c r="G315" s="32" t="n">
        <x:v>1</x:v>
      </x:c>
      <x:c r="H315" s="32" t="n">
        <x:v>1</x:v>
      </x:c>
      <x:c r="I315" s="40" t="n">
        <x:v>2</x:v>
      </x:c>
      <x:c r="J315" s="40" t="n">
        <x:v>2</x:v>
      </x:c>
      <x:c r="K315" s="40" t="n">
        <x:v>2</x:v>
      </x:c>
      <x:c r="L315" s="40" t="n">
        <x:v>1</x:v>
      </x:c>
    </x:row>
    <x:row r="316" ht="23" customHeight="1">
      <x:c r="B316" s="17" t="str">
        <x:v>All rounds</x:v>
      </x:c>
      <x:c r="C316" s="17" t="str">
        <x:v>line</x:v>
      </x:c>
      <x:c r="D316" s="17" t="str">
        <x:v>Time_10</x:v>
      </x:c>
      <x:c r="E316" s="32" t="n">
        <x:v>0.9437000000000001</x:v>
      </x:c>
      <x:c r="F316" s="32" t="n">
        <x:v>0.08449999999999999</x:v>
      </x:c>
      <x:c r="G316" s="32" t="n">
        <x:v>0.9296</x:v>
      </x:c>
      <x:c r="H316" s="32" t="n">
        <x:v>0.9859</x:v>
      </x:c>
      <x:c r="I316" s="40" t="n">
        <x:v>2</x:v>
      </x:c>
      <x:c r="J316" s="40" t="n">
        <x:v>2</x:v>
      </x:c>
      <x:c r="K316" s="40" t="n">
        <x:v>1</x:v>
      </x:c>
      <x:c r="L316" s="40" t="n">
        <x:v>1</x:v>
      </x:c>
    </x:row>
    <x:row r="317" ht="23" customHeight="1">
      <x:c r="B317" s="17" t="str">
        <x:v>All rounds</x:v>
      </x:c>
      <x:c r="C317" s="17" t="str">
        <x:v>line</x:v>
      </x:c>
      <x:c r="D317" s="17" t="str">
        <x:v>Time_11</x:v>
      </x:c>
      <x:c r="E317" s="32" t="n">
        <x:v>0.44530000000000003</x:v>
      </x:c>
      <x:c r="F317" s="32" t="n">
        <x:v>0.18195</x:v>
      </x:c>
      <x:c r="G317" s="32" t="n">
        <x:v>0.1628</x:v>
      </x:c>
      <x:c r="H317" s="32" t="n">
        <x:v>0.9159999999999999</x:v>
      </x:c>
      <x:c r="I317" s="40" t="n">
        <x:v>2</x:v>
      </x:c>
      <x:c r="J317" s="40" t="n">
        <x:v>2</x:v>
      </x:c>
      <x:c r="K317" s="40" t="n">
        <x:v>1</x:v>
      </x:c>
      <x:c r="L317" s="40" t="n">
        <x:v>1</x:v>
      </x:c>
    </x:row>
    <x:row r="318" ht="23" customHeight="1">
      <x:c r="B318" s="17" t="str">
        <x:v>All rounds</x:v>
      </x:c>
      <x:c r="C318" s="17" t="str">
        <x:v>line</x:v>
      </x:c>
      <x:c r="D318" s="17" t="str">
        <x:v>Time_15</x:v>
      </x:c>
      <x:c r="E318" s="32" t="n">
        <x:v>0.9732999999999999</x:v>
      </x:c>
      <x:c r="F318" s="32" t="n">
        <x:v>0.83335</x:v>
      </x:c>
      <x:c r="G318" s="32" t="n">
        <x:v>0.7467</x:v>
      </x:c>
      <x:c r="H318" s="32" t="n">
        <x:v>0.9333</x:v>
      </x:c>
      <x:c r="I318" s="40" t="n">
        <x:v>2</x:v>
      </x:c>
      <x:c r="J318" s="40" t="n">
        <x:v>2</x:v>
      </x:c>
      <x:c r="K318" s="40" t="n">
        <x:v>1</x:v>
      </x:c>
      <x:c r="L318" s="40" t="n">
        <x:v>1</x:v>
      </x:c>
    </x:row>
    <x:row r="319" ht="23" customHeight="1">
      <x:c r="B319" s="17" t="str">
        <x:v>All rounds</x:v>
      </x:c>
      <x:c r="C319" s="17" t="str">
        <x:v>line</x:v>
      </x:c>
      <x:c r="D319" s="17" t="str">
        <x:v>Time_16</x:v>
      </x:c>
      <x:c r="E319" s="32" t="n">
        <x:v>0.8937</x:v>
      </x:c>
      <x:c r="F319" s="32" t="n">
        <x:v>0.35025</x:v>
      </x:c>
      <x:c r="G319" s="32" t="n">
        <x:v>0.715</x:v>
      </x:c>
      <x:c r="H319" s="32" t="n">
        <x:v>1</x:v>
      </x:c>
      <x:c r="I319" s="40" t="n">
        <x:v>2</x:v>
      </x:c>
      <x:c r="J319" s="40" t="n">
        <x:v>2</x:v>
      </x:c>
      <x:c r="K319" s="40" t="n">
        <x:v>1</x:v>
      </x:c>
      <x:c r="L319" s="40" t="n">
        <x:v>1</x:v>
      </x:c>
    </x:row>
    <x:row r="320" ht="23" customHeight="1">
      <x:c r="B320" s="17" t="str">
        <x:v>All rounds</x:v>
      </x:c>
      <x:c r="C320" s="17" t="str">
        <x:v>line</x:v>
      </x:c>
      <x:c r="D320" s="17" t="str">
        <x:v>Time_20</x:v>
      </x:c>
      <x:c r="E320" s="32" t="n">
        <x:v>0.6776000000000001</x:v>
      </x:c>
      <x:c r="F320" s="32" t="n">
        <x:v>0.304</x:v>
      </x:c>
      <x:c r="G320" s="32" t="n">
        <x:v>0.1655</x:v>
      </x:c>
      <x:c r="H320" s="32" t="n">
        <x:v>0.8025</x:v>
      </x:c>
      <x:c r="I320" s="40" t="n">
        <x:v>2</x:v>
      </x:c>
      <x:c r="J320" s="40" t="n">
        <x:v>2</x:v>
      </x:c>
      <x:c r="K320" s="40" t="n">
        <x:v>1</x:v>
      </x:c>
      <x:c r="L320" s="40" t="n">
        <x:v>1</x:v>
      </x:c>
    </x:row>
    <x:row r="321" ht="23" customHeight="1">
      <x:c r="B321" s="17" t="str">
        <x:v>All rounds</x:v>
      </x:c>
      <x:c r="C321" s="17" t="str">
        <x:v>condition</x:v>
      </x:c>
      <x:c r="D321" s="17" t="str">
        <x:v>Chart_16</x:v>
      </x:c>
      <x:c r="E321" s="32" t="n">
        <x:v>0.8438</x:v>
      </x:c>
      <x:c r="F321" s="32" t="n">
        <x:v>0.8281000000000001</x:v>
      </x:c>
      <x:c r="G321" s="32" t="n">
        <x:v>0.8828</x:v>
      </x:c>
      <x:c r="H321" s="32" t="n">
        <x:v>0.1562</x:v>
      </x:c>
      <x:c r="I321" s="40" t="n">
        <x:v>2</x:v>
      </x:c>
      <x:c r="J321" s="40" t="n">
        <x:v>2</x:v>
      </x:c>
      <x:c r="K321" s="40" t="n">
        <x:v>1</x:v>
      </x:c>
      <x:c r="L321" s="40" t="n">
        <x:v>1</x:v>
      </x:c>
    </x:row>
    <x:row r="322" ht="23" customHeight="1">
      <x:c r="B322" s="17" t="str">
        <x:v>All rounds</x:v>
      </x:c>
      <x:c r="C322" s="17" t="str">
        <x:v>condition</x:v>
      </x:c>
      <x:c r="D322" s="17" t="str">
        <x:v>Chart_18</x:v>
      </x:c>
      <x:c r="E322" s="32" t="n">
        <x:v>0.9672</x:v>
      </x:c>
      <x:c r="F322" s="32" t="n">
        <x:v>0.7336</x:v>
      </x:c>
      <x:c r="G322" s="32" t="n">
        <x:v>0.8361</x:v>
      </x:c>
      <x:c r="H322" s="32" t="n">
        <x:v>0.1311</x:v>
      </x:c>
      <x:c r="I322" s="40" t="n">
        <x:v>2</x:v>
      </x:c>
      <x:c r="J322" s="40" t="n">
        <x:v>2</x:v>
      </x:c>
      <x:c r="K322" s="40" t="n">
        <x:v>2</x:v>
      </x:c>
      <x:c r="L322" s="40" t="n">
        <x:v>1</x:v>
      </x:c>
    </x:row>
    <x:row r="323" ht="23" customHeight="1">
      <x:c r="B323" s="17" t="str">
        <x:v>All rounds</x:v>
      </x:c>
      <x:c r="C323" s="17" t="str">
        <x:v>condition</x:v>
      </x:c>
      <x:c r="D323" s="17" t="str">
        <x:v>Chart_20</x:v>
      </x:c>
      <x:c r="E323" s="32" t="n">
        <x:v>0.875</x:v>
      </x:c>
      <x:c r="F323" s="32" t="n">
        <x:v>0.75</x:v>
      </x:c>
      <x:c r="G323" s="32" t="n">
        <x:v>0.875</x:v>
      </x:c>
      <x:c r="H323" s="32" t="n">
        <x:v>0.875</x:v>
      </x:c>
      <x:c r="I323" s="40" t="n">
        <x:v>2</x:v>
      </x:c>
      <x:c r="J323" s="40" t="n">
        <x:v>2</x:v>
      </x:c>
      <x:c r="K323" s="40" t="n">
        <x:v>1</x:v>
      </x:c>
      <x:c r="L323" s="40" t="n">
        <x:v>1</x:v>
      </x:c>
    </x:row>
    <x:row r="324" ht="23" customHeight="1">
      <x:c r="B324" s="17" t="str">
        <x:v>All rounds</x:v>
      </x:c>
      <x:c r="C324" s="17" t="str">
        <x:v>condition</x:v>
      </x:c>
      <x:c r="D324" s="17" t="str">
        <x:v>Chart_21</x:v>
      </x:c>
      <x:c r="E324" s="32" t="n">
        <x:v>0.7333</x:v>
      </x:c>
      <x:c r="F324" s="32" t="n">
        <x:v>0.15</x:v>
      </x:c>
      <x:c r="G324" s="32" t="n">
        <x:v>0.4</x:v>
      </x:c>
      <x:c r="H324" s="32" t="n">
        <x:v>0.1</x:v>
      </x:c>
      <x:c r="I324" s="40" t="n">
        <x:v>2</x:v>
      </x:c>
      <x:c r="J324" s="40" t="n">
        <x:v>2</x:v>
      </x:c>
      <x:c r="K324" s="40" t="n">
        <x:v>2</x:v>
      </x:c>
      <x:c r="L324" s="40" t="n">
        <x:v>1</x:v>
      </x:c>
    </x:row>
    <x:row r="325" ht="23" customHeight="1">
      <x:c r="B325" s="17" t="str">
        <x:v>All rounds</x:v>
      </x:c>
      <x:c r="C325" s="17" t="str">
        <x:v>condition</x:v>
      </x:c>
      <x:c r="D325" s="17" t="str">
        <x:v>Chart_22</x:v>
      </x:c>
      <x:c r="E325" s="32" t="n">
        <x:v>0.8966</x:v>
      </x:c>
      <x:c r="F325" s="32" t="n">
        <x:v>0.8448</x:v>
      </x:c>
      <x:c r="G325" s="32" t="n">
        <x:v>0.8103</x:v>
      </x:c>
      <x:c r="H325" s="32" t="n">
        <x:v>0.1552</x:v>
      </x:c>
      <x:c r="I325" s="40" t="n">
        <x:v>2</x:v>
      </x:c>
      <x:c r="J325" s="40" t="n">
        <x:v>2</x:v>
      </x:c>
      <x:c r="K325" s="40" t="n">
        <x:v>2</x:v>
      </x:c>
      <x:c r="L325" s="40" t="n">
        <x:v>1</x:v>
      </x:c>
    </x:row>
    <x:row r="326" ht="23" customHeight="1">
      <x:c r="B326" s="17" t="str">
        <x:v>All rounds</x:v>
      </x:c>
      <x:c r="C326" s="17" t="str">
        <x:v>condition</x:v>
      </x:c>
      <x:c r="D326" s="17" t="str">
        <x:v>Chart_23</x:v>
      </x:c>
      <x:c r="E326" s="32" t="n">
        <x:v>0.2609</x:v>
      </x:c>
      <x:c r="F326" s="32" t="n">
        <x:v>0.22824999999999998</x:v>
      </x:c>
      <x:c r="G326" s="32" t="n">
        <x:v>0.2609</x:v>
      </x:c>
      <x:c r="H326" s="32" t="n">
        <x:v>0.8913</x:v>
      </x:c>
      <x:c r="I326" s="40" t="n">
        <x:v>2</x:v>
      </x:c>
      <x:c r="J326" s="40" t="n">
        <x:v>2</x:v>
      </x:c>
      <x:c r="K326" s="40" t="n">
        <x:v>1</x:v>
      </x:c>
      <x:c r="L326" s="40" t="n">
        <x:v>1</x:v>
      </x:c>
    </x:row>
    <x:row r="327" ht="23" customHeight="1">
      <x:c r="B327" s="17" t="str">
        <x:v>All rounds</x:v>
      </x:c>
      <x:c r="C327" s="17" t="str">
        <x:v>condition</x:v>
      </x:c>
      <x:c r="D327" s="17" t="str">
        <x:v>Chart_24</x:v>
      </x:c>
      <x:c r="E327" s="32" t="n">
        <x:v>1</x:v>
      </x:c>
      <x:c r="F327" s="32" t="n">
        <x:v>0.9</x:v>
      </x:c>
      <x:c r="G327" s="32" t="n">
        <x:v>1</x:v>
      </x:c>
      <x:c r="H327" s="32" t="n">
        <x:v>1</x:v>
      </x:c>
      <x:c r="I327" s="40" t="n">
        <x:v>2</x:v>
      </x:c>
      <x:c r="J327" s="40" t="n">
        <x:v>2</x:v>
      </x:c>
      <x:c r="K327" s="40" t="n">
        <x:v>2</x:v>
      </x:c>
      <x:c r="L327" s="40" t="n">
        <x:v>1</x:v>
      </x:c>
    </x:row>
    <x:row r="328" ht="23" customHeight="1">
      <x:c r="B328" s="17" t="str">
        <x:v>All rounds</x:v>
      </x:c>
      <x:c r="C328" s="17" t="str">
        <x:v>condition</x:v>
      </x:c>
      <x:c r="D328" s="17" t="str">
        <x:v>Chart_26</x:v>
      </x:c>
      <x:c r="E328" s="32" t="n">
        <x:v>0.8359000000000001</x:v>
      </x:c>
      <x:c r="F328" s="32" t="n">
        <x:v>0</x:v>
      </x:c>
      <x:c r="G328" s="32" t="n">
        <x:v>0.5078</x:v>
      </x:c>
      <x:c r="H328" s="32" t="n">
        <x:v>0.9688</x:v>
      </x:c>
      <x:c r="I328" s="40" t="n">
        <x:v>2</x:v>
      </x:c>
      <x:c r="J328" s="40" t="n">
        <x:v>2</x:v>
      </x:c>
      <x:c r="K328" s="40" t="n">
        <x:v>1</x:v>
      </x:c>
      <x:c r="L328" s="40" t="n">
        <x:v>1</x:v>
      </x:c>
    </x:row>
    <x:row r="329" ht="23" customHeight="1">
      <x:c r="B329" s="17" t="str">
        <x:v>All rounds</x:v>
      </x:c>
      <x:c r="C329" s="17" t="str">
        <x:v>condition</x:v>
      </x:c>
      <x:c r="D329" s="17" t="str">
        <x:v>Chart_5</x:v>
      </x:c>
      <x:c r="E329" s="32" t="n">
        <x:v>1</x:v>
      </x:c>
      <x:c r="F329" s="32" t="n">
        <x:v>0.80625</x:v>
      </x:c>
      <x:c r="G329" s="32" t="n">
        <x:v>0.8625</x:v>
      </x:c>
      <x:c r="H329" s="32" t="n">
        <x:v>0.5625</x:v>
      </x:c>
      <x:c r="I329" s="40" t="n">
        <x:v>2</x:v>
      </x:c>
      <x:c r="J329" s="40" t="n">
        <x:v>2</x:v>
      </x:c>
      <x:c r="K329" s="40" t="n">
        <x:v>1</x:v>
      </x:c>
      <x:c r="L329" s="40" t="n">
        <x:v>1</x:v>
      </x:c>
    </x:row>
    <x:row r="330" ht="23" customHeight="1">
      <x:c r="B330" s="17" t="str">
        <x:v>All rounds</x:v>
      </x:c>
      <x:c r="C330" s="17" t="str">
        <x:v>condition</x:v>
      </x:c>
      <x:c r="D330" s="17" t="str">
        <x:v>Chart_8</x:v>
      </x:c>
      <x:c r="E330" s="32" t="n">
        <x:v>0.8088</x:v>
      </x:c>
      <x:c r="F330" s="32" t="n">
        <x:v>0.7646999999999999</x:v>
      </x:c>
      <x:c r="G330" s="32" t="n">
        <x:v>0.5146999999999999</x:v>
      </x:c>
      <x:c r="H330" s="32" t="n">
        <x:v>0.0588</x:v>
      </x:c>
      <x:c r="I330" s="40" t="n">
        <x:v>2</x:v>
      </x:c>
      <x:c r="J330" s="40" t="n">
        <x:v>2</x:v>
      </x:c>
      <x:c r="K330" s="40" t="n">
        <x:v>2</x:v>
      </x:c>
      <x:c r="L330" s="40" t="n">
        <x:v>1</x:v>
      </x:c>
    </x:row>
    <x:row r="331" ht="23" customHeight="1">
      <x:c r="B331" s="17" t="str">
        <x:v>All rounds</x:v>
      </x:c>
      <x:c r="C331" s="17" t="str">
        <x:v>condition</x:v>
      </x:c>
      <x:c r="D331" s="17" t="str">
        <x:v>Cli_1</x:v>
      </x:c>
      <x:c r="E331" s="32" t="n">
        <x:v>0</x:v>
      </x:c>
      <x:c r="F331" s="32" t="n">
        <x:v>0</x:v>
      </x:c>
      <x:c r="G331" s="32" t="n">
        <x:v>0</x:v>
      </x:c>
      <x:c r="H331" s="32" t="n">
        <x:v>0</x:v>
      </x:c>
      <x:c r="I331" s="40" t="n">
        <x:v>2</x:v>
      </x:c>
      <x:c r="J331" s="40" t="n">
        <x:v>2</x:v>
      </x:c>
      <x:c r="K331" s="40" t="n">
        <x:v>1</x:v>
      </x:c>
      <x:c r="L331" s="40" t="n">
        <x:v>1</x:v>
      </x:c>
    </x:row>
    <x:row r="332" ht="23" customHeight="1">
      <x:c r="B332" s="17" t="str">
        <x:v>All rounds</x:v>
      </x:c>
      <x:c r="C332" s="17" t="str">
        <x:v>condition</x:v>
      </x:c>
      <x:c r="D332" s="17" t="str">
        <x:v>Cli_11</x:v>
      </x:c>
      <x:c r="E332" s="32" t="n">
        <x:v>0</x:v>
      </x:c>
      <x:c r="F332" s="32" t="n">
        <x:v>0</x:v>
      </x:c>
      <x:c r="G332" s="32" t="n">
        <x:v>0</x:v>
      </x:c>
      <x:c r="H332" s="32" t="n">
        <x:v>0</x:v>
      </x:c>
      <x:c r="I332" s="40" t="n">
        <x:v>2</x:v>
      </x:c>
      <x:c r="J332" s="40" t="n">
        <x:v>2</x:v>
      </x:c>
      <x:c r="K332" s="40" t="n">
        <x:v>1</x:v>
      </x:c>
      <x:c r="L332" s="40" t="n">
        <x:v>1</x:v>
      </x:c>
    </x:row>
    <x:row r="333" ht="23" customHeight="1">
      <x:c r="B333" s="17" t="str">
        <x:v>All rounds</x:v>
      </x:c>
      <x:c r="C333" s="17" t="str">
        <x:v>condition</x:v>
      </x:c>
      <x:c r="D333" s="17" t="str">
        <x:v>Cli_17</x:v>
      </x:c>
      <x:c r="E333" s="32" t="n">
        <x:v>0</x:v>
      </x:c>
      <x:c r="F333" s="32" t="n">
        <x:v>0</x:v>
      </x:c>
      <x:c r="G333" s="32" t="n">
        <x:v>0</x:v>
      </x:c>
      <x:c r="H333" s="32" t="n">
        <x:v>0</x:v>
      </x:c>
      <x:c r="I333" s="40" t="n">
        <x:v>2</x:v>
      </x:c>
      <x:c r="J333" s="40" t="n">
        <x:v>2</x:v>
      </x:c>
      <x:c r="K333" s="40" t="n">
        <x:v>1</x:v>
      </x:c>
      <x:c r="L333" s="40" t="n">
        <x:v>1</x:v>
      </x:c>
    </x:row>
    <x:row r="334" ht="23" customHeight="1">
      <x:c r="B334" s="17" t="str">
        <x:v>All rounds</x:v>
      </x:c>
      <x:c r="C334" s="17" t="str">
        <x:v>condition</x:v>
      </x:c>
      <x:c r="D334" s="17" t="str">
        <x:v>Cli_18</x:v>
      </x:c>
      <x:c r="E334" s="32" t="n">
        <x:v>0</x:v>
      </x:c>
      <x:c r="F334" s="32" t="n">
        <x:v>0</x:v>
      </x:c>
      <x:c r="G334" s="32" t="n">
        <x:v>0</x:v>
      </x:c>
      <x:c r="H334" s="32" t="n">
        <x:v>0</x:v>
      </x:c>
      <x:c r="I334" s="40" t="n">
        <x:v>2</x:v>
      </x:c>
      <x:c r="J334" s="40" t="n">
        <x:v>2</x:v>
      </x:c>
      <x:c r="K334" s="40" t="n">
        <x:v>2</x:v>
      </x:c>
      <x:c r="L334" s="40" t="n">
        <x:v>1</x:v>
      </x:c>
    </x:row>
    <x:row r="335" ht="23" customHeight="1">
      <x:c r="B335" s="17" t="str">
        <x:v>All rounds</x:v>
      </x:c>
      <x:c r="C335" s="17" t="str">
        <x:v>condition</x:v>
      </x:c>
      <x:c r="D335" s="17" t="str">
        <x:v>Cli_19</x:v>
      </x:c>
      <x:c r="E335" s="32" t="n">
        <x:v>0</x:v>
      </x:c>
      <x:c r="F335" s="32" t="n">
        <x:v>0</x:v>
      </x:c>
      <x:c r="G335" s="32" t="n">
        <x:v>0</x:v>
      </x:c>
      <x:c r="H335" s="32" t="n">
        <x:v>0</x:v>
      </x:c>
      <x:c r="I335" s="40" t="n">
        <x:v>2</x:v>
      </x:c>
      <x:c r="J335" s="40" t="n">
        <x:v>2</x:v>
      </x:c>
      <x:c r="K335" s="40" t="n">
        <x:v>2</x:v>
      </x:c>
      <x:c r="L335" s="40" t="n">
        <x:v>1</x:v>
      </x:c>
    </x:row>
    <x:row r="336" ht="23" customHeight="1">
      <x:c r="B336" s="17" t="str">
        <x:v>All rounds</x:v>
      </x:c>
      <x:c r="C336" s="17" t="str">
        <x:v>condition</x:v>
      </x:c>
      <x:c r="D336" s="17" t="str">
        <x:v>Cli_2</x:v>
      </x:c>
      <x:c r="E336" s="32" t="n">
        <x:v>0</x:v>
      </x:c>
      <x:c r="F336" s="32" t="n">
        <x:v>0</x:v>
      </x:c>
      <x:c r="G336" s="32" t="n">
        <x:v>0</x:v>
      </x:c>
      <x:c r="H336" s="32" t="n">
        <x:v>0</x:v>
      </x:c>
      <x:c r="I336" s="40" t="n">
        <x:v>2</x:v>
      </x:c>
      <x:c r="J336" s="40" t="n">
        <x:v>2</x:v>
      </x:c>
      <x:c r="K336" s="40" t="n">
        <x:v>2</x:v>
      </x:c>
      <x:c r="L336" s="40" t="n">
        <x:v>1</x:v>
      </x:c>
    </x:row>
    <x:row r="337" ht="23" customHeight="1">
      <x:c r="B337" s="17" t="str">
        <x:v>All rounds</x:v>
      </x:c>
      <x:c r="C337" s="17" t="str">
        <x:v>condition</x:v>
      </x:c>
      <x:c r="D337" s="17" t="str">
        <x:v>Cli_20</x:v>
      </x:c>
      <x:c r="E337" s="32" t="n">
        <x:v>0</x:v>
      </x:c>
      <x:c r="F337" s="32" t="n">
        <x:v>0</x:v>
      </x:c>
      <x:c r="G337" s="32" t="n">
        <x:v>0</x:v>
      </x:c>
      <x:c r="H337" s="32" t="n">
        <x:v>0</x:v>
      </x:c>
      <x:c r="I337" s="40" t="n">
        <x:v>2</x:v>
      </x:c>
      <x:c r="J337" s="40" t="n">
        <x:v>2</x:v>
      </x:c>
      <x:c r="K337" s="40" t="n">
        <x:v>1</x:v>
      </x:c>
      <x:c r="L337" s="40" t="n">
        <x:v>1</x:v>
      </x:c>
    </x:row>
    <x:row r="338" ht="23" customHeight="1">
      <x:c r="B338" s="17" t="str">
        <x:v>All rounds</x:v>
      </x:c>
      <x:c r="C338" s="17" t="str">
        <x:v>condition</x:v>
      </x:c>
      <x:c r="D338" s="17" t="str">
        <x:v>Cli_22</x:v>
      </x:c>
      <x:c r="E338" s="32" t="n">
        <x:v>0</x:v>
      </x:c>
      <x:c r="F338" s="32" t="n">
        <x:v>0</x:v>
      </x:c>
      <x:c r="G338" s="32" t="n">
        <x:v>0</x:v>
      </x:c>
      <x:c r="H338" s="32" t="n">
        <x:v>0</x:v>
      </x:c>
      <x:c r="I338" s="40" t="n">
        <x:v>2</x:v>
      </x:c>
      <x:c r="J338" s="40" t="n">
        <x:v>2</x:v>
      </x:c>
      <x:c r="K338" s="40" t="n">
        <x:v>2</x:v>
      </x:c>
      <x:c r="L338" s="40" t="n">
        <x:v>1</x:v>
      </x:c>
    </x:row>
    <x:row r="339" ht="23" customHeight="1">
      <x:c r="B339" s="17" t="str">
        <x:v>All rounds</x:v>
      </x:c>
      <x:c r="C339" s="17" t="str">
        <x:v>condition</x:v>
      </x:c>
      <x:c r="D339" s="17" t="str">
        <x:v>Cli_23</x:v>
      </x:c>
      <x:c r="E339" s="32" t="n">
        <x:v>0</x:v>
      </x:c>
      <x:c r="F339" s="32" t="n">
        <x:v>0</x:v>
      </x:c>
      <x:c r="G339" s="32" t="n">
        <x:v>0</x:v>
      </x:c>
      <x:c r="H339" s="32" t="n">
        <x:v>0</x:v>
      </x:c>
      <x:c r="I339" s="40" t="n">
        <x:v>2</x:v>
      </x:c>
      <x:c r="J339" s="40" t="n">
        <x:v>2</x:v>
      </x:c>
      <x:c r="K339" s="40" t="n">
        <x:v>1</x:v>
      </x:c>
      <x:c r="L339" s="40" t="n">
        <x:v>1</x:v>
      </x:c>
    </x:row>
    <x:row r="340" ht="23" customHeight="1">
      <x:c r="B340" s="17" t="str">
        <x:v>All rounds</x:v>
      </x:c>
      <x:c r="C340" s="17" t="str">
        <x:v>condition</x:v>
      </x:c>
      <x:c r="D340" s="17" t="str">
        <x:v>Cli_24</x:v>
      </x:c>
      <x:c r="E340" s="32" t="n">
        <x:v>0</x:v>
      </x:c>
      <x:c r="F340" s="32" t="n">
        <x:v>0</x:v>
      </x:c>
      <x:c r="G340" s="32" t="n">
        <x:v>0</x:v>
      </x:c>
      <x:c r="H340" s="32" t="n">
        <x:v>0</x:v>
      </x:c>
      <x:c r="I340" s="40" t="n">
        <x:v>2</x:v>
      </x:c>
      <x:c r="J340" s="40" t="n">
        <x:v>2</x:v>
      </x:c>
      <x:c r="K340" s="40" t="n">
        <x:v>2</x:v>
      </x:c>
      <x:c r="L340" s="40" t="n">
        <x:v>1</x:v>
      </x:c>
    </x:row>
    <x:row r="341" ht="23" customHeight="1">
      <x:c r="B341" s="17" t="str">
        <x:v>All rounds</x:v>
      </x:c>
      <x:c r="C341" s="17" t="str">
        <x:v>condition</x:v>
      </x:c>
      <x:c r="D341" s="17" t="str">
        <x:v>Cli_25</x:v>
      </x:c>
      <x:c r="E341" s="32" t="n">
        <x:v>0</x:v>
      </x:c>
      <x:c r="F341" s="32" t="n">
        <x:v>0</x:v>
      </x:c>
      <x:c r="G341" s="32" t="n">
        <x:v>0</x:v>
      </x:c>
      <x:c r="H341" s="32" t="n">
        <x:v>0</x:v>
      </x:c>
      <x:c r="I341" s="40" t="n">
        <x:v>2</x:v>
      </x:c>
      <x:c r="J341" s="40" t="n">
        <x:v>2</x:v>
      </x:c>
      <x:c r="K341" s="40" t="n">
        <x:v>1</x:v>
      </x:c>
      <x:c r="L341" s="40" t="n">
        <x:v>1</x:v>
      </x:c>
    </x:row>
    <x:row r="342" ht="23" customHeight="1">
      <x:c r="B342" s="17" t="str">
        <x:v>All rounds</x:v>
      </x:c>
      <x:c r="C342" s="17" t="str">
        <x:v>condition</x:v>
      </x:c>
      <x:c r="D342" s="17" t="str">
        <x:v>Cli_27</x:v>
      </x:c>
      <x:c r="E342" s="32" t="n">
        <x:v>0</x:v>
      </x:c>
      <x:c r="F342" s="32" t="n">
        <x:v>0</x:v>
      </x:c>
      <x:c r="G342" s="32" t="n">
        <x:v>0</x:v>
      </x:c>
      <x:c r="H342" s="32" t="n">
        <x:v>0</x:v>
      </x:c>
      <x:c r="I342" s="40" t="n">
        <x:v>2</x:v>
      </x:c>
      <x:c r="J342" s="40" t="n">
        <x:v>2</x:v>
      </x:c>
      <x:c r="K342" s="40" t="n">
        <x:v>2</x:v>
      </x:c>
      <x:c r="L342" s="40" t="n">
        <x:v>1</x:v>
      </x:c>
    </x:row>
    <x:row r="343" ht="23" customHeight="1">
      <x:c r="B343" s="17" t="str">
        <x:v>All rounds</x:v>
      </x:c>
      <x:c r="C343" s="17" t="str">
        <x:v>condition</x:v>
      </x:c>
      <x:c r="D343" s="17" t="str">
        <x:v>Cli_28</x:v>
      </x:c>
      <x:c r="E343" s="32" t="n">
        <x:v>0</x:v>
      </x:c>
      <x:c r="F343" s="32" t="n">
        <x:v>0</x:v>
      </x:c>
      <x:c r="G343" s="32" t="n">
        <x:v>0</x:v>
      </x:c>
      <x:c r="H343" s="32" t="n">
        <x:v>0</x:v>
      </x:c>
      <x:c r="I343" s="40" t="n">
        <x:v>2</x:v>
      </x:c>
      <x:c r="J343" s="40" t="n">
        <x:v>2</x:v>
      </x:c>
      <x:c r="K343" s="40" t="n">
        <x:v>1</x:v>
      </x:c>
      <x:c r="L343" s="40" t="n">
        <x:v>1</x:v>
      </x:c>
    </x:row>
    <x:row r="344" ht="23" customHeight="1">
      <x:c r="B344" s="17" t="str">
        <x:v>All rounds</x:v>
      </x:c>
      <x:c r="C344" s="17" t="str">
        <x:v>condition</x:v>
      </x:c>
      <x:c r="D344" s="17" t="str">
        <x:v>Cli_29</x:v>
      </x:c>
      <x:c r="E344" s="32" t="n">
        <x:v>0</x:v>
      </x:c>
      <x:c r="F344" s="32" t="n">
        <x:v>0</x:v>
      </x:c>
      <x:c r="G344" s="32" t="n">
        <x:v>0</x:v>
      </x:c>
      <x:c r="H344" s="32" t="n">
        <x:v>0</x:v>
      </x:c>
      <x:c r="I344" s="40" t="n">
        <x:v>2</x:v>
      </x:c>
      <x:c r="J344" s="40" t="n">
        <x:v>2</x:v>
      </x:c>
      <x:c r="K344" s="40" t="n">
        <x:v>2</x:v>
      </x:c>
      <x:c r="L344" s="40" t="n">
        <x:v>1</x:v>
      </x:c>
    </x:row>
    <x:row r="345" ht="23" customHeight="1">
      <x:c r="B345" s="17" t="str">
        <x:v>All rounds</x:v>
      </x:c>
      <x:c r="C345" s="17" t="str">
        <x:v>condition</x:v>
      </x:c>
      <x:c r="D345" s="17" t="str">
        <x:v>Cli_3</x:v>
      </x:c>
      <x:c r="E345" s="32" t="n">
        <x:v>0</x:v>
      </x:c>
      <x:c r="F345" s="32" t="n">
        <x:v>0</x:v>
      </x:c>
      <x:c r="G345" s="32" t="n">
        <x:v>0</x:v>
      </x:c>
      <x:c r="H345" s="32" t="n">
        <x:v>0</x:v>
      </x:c>
      <x:c r="I345" s="40" t="n">
        <x:v>2</x:v>
      </x:c>
      <x:c r="J345" s="40" t="n">
        <x:v>2</x:v>
      </x:c>
      <x:c r="K345" s="40" t="n">
        <x:v>2</x:v>
      </x:c>
      <x:c r="L345" s="40" t="n">
        <x:v>1</x:v>
      </x:c>
    </x:row>
    <x:row r="346" ht="23" customHeight="1">
      <x:c r="B346" s="17" t="str">
        <x:v>All rounds</x:v>
      </x:c>
      <x:c r="C346" s="17" t="str">
        <x:v>condition</x:v>
      </x:c>
      <x:c r="D346" s="17" t="str">
        <x:v>Cli_30</x:v>
      </x:c>
      <x:c r="E346" s="32" t="n">
        <x:v>0</x:v>
      </x:c>
      <x:c r="F346" s="32" t="n">
        <x:v>0</x:v>
      </x:c>
      <x:c r="G346" s="32" t="n">
        <x:v>0</x:v>
      </x:c>
      <x:c r="H346" s="32" t="n">
        <x:v>0</x:v>
      </x:c>
      <x:c r="I346" s="40" t="n">
        <x:v>2</x:v>
      </x:c>
      <x:c r="J346" s="40" t="n">
        <x:v>2</x:v>
      </x:c>
      <x:c r="K346" s="40" t="n">
        <x:v>1</x:v>
      </x:c>
      <x:c r="L346" s="40" t="n">
        <x:v>1</x:v>
      </x:c>
    </x:row>
    <x:row r="347" ht="23" customHeight="1">
      <x:c r="B347" s="17" t="str">
        <x:v>All rounds</x:v>
      </x:c>
      <x:c r="C347" s="17" t="str">
        <x:v>condition</x:v>
      </x:c>
      <x:c r="D347" s="17" t="str">
        <x:v>Cli_32</x:v>
      </x:c>
      <x:c r="E347" s="32" t="n">
        <x:v>0</x:v>
      </x:c>
      <x:c r="F347" s="32" t="n">
        <x:v>0</x:v>
      </x:c>
      <x:c r="G347" s="32" t="n">
        <x:v>0</x:v>
      </x:c>
      <x:c r="H347" s="32" t="n">
        <x:v>0</x:v>
      </x:c>
      <x:c r="I347" s="40" t="n">
        <x:v>2</x:v>
      </x:c>
      <x:c r="J347" s="40" t="n">
        <x:v>2</x:v>
      </x:c>
      <x:c r="K347" s="40" t="n">
        <x:v>1</x:v>
      </x:c>
      <x:c r="L347" s="40" t="n">
        <x:v>1</x:v>
      </x:c>
    </x:row>
    <x:row r="348" ht="23" customHeight="1">
      <x:c r="B348" s="17" t="str">
        <x:v>All rounds</x:v>
      </x:c>
      <x:c r="C348" s="17" t="str">
        <x:v>condition</x:v>
      </x:c>
      <x:c r="D348" s="17" t="str">
        <x:v>Cli_33</x:v>
      </x:c>
      <x:c r="E348" s="32" t="n">
        <x:v>0</x:v>
      </x:c>
      <x:c r="F348" s="32" t="n">
        <x:v>0</x:v>
      </x:c>
      <x:c r="G348" s="32" t="n">
        <x:v>0</x:v>
      </x:c>
      <x:c r="H348" s="32" t="n">
        <x:v>0</x:v>
      </x:c>
      <x:c r="I348" s="40" t="n">
        <x:v>2</x:v>
      </x:c>
      <x:c r="J348" s="40" t="n">
        <x:v>2</x:v>
      </x:c>
      <x:c r="K348" s="40" t="n">
        <x:v>2</x:v>
      </x:c>
      <x:c r="L348" s="40" t="n">
        <x:v>1</x:v>
      </x:c>
    </x:row>
    <x:row r="349" ht="23" customHeight="1">
      <x:c r="B349" s="17" t="str">
        <x:v>All rounds</x:v>
      </x:c>
      <x:c r="C349" s="17" t="str">
        <x:v>condition</x:v>
      </x:c>
      <x:c r="D349" s="17" t="str">
        <x:v>Cli_35</x:v>
      </x:c>
      <x:c r="E349" s="32" t="n">
        <x:v>1</x:v>
      </x:c>
      <x:c r="F349" s="32" t="n">
        <x:v>0.625</x:v>
      </x:c>
      <x:c r="G349" s="32" t="n">
        <x:v>0.95</x:v>
      </x:c>
      <x:c r="H349" s="32" t="n">
        <x:v>1</x:v>
      </x:c>
      <x:c r="I349" s="40" t="n">
        <x:v>2</x:v>
      </x:c>
      <x:c r="J349" s="40" t="n">
        <x:v>2</x:v>
      </x:c>
      <x:c r="K349" s="40" t="n">
        <x:v>2</x:v>
      </x:c>
      <x:c r="L349" s="40" t="n">
        <x:v>1</x:v>
      </x:c>
    </x:row>
    <x:row r="350" ht="23" customHeight="1">
      <x:c r="B350" s="17" t="str">
        <x:v>All rounds</x:v>
      </x:c>
      <x:c r="C350" s="17" t="str">
        <x:v>condition</x:v>
      </x:c>
      <x:c r="D350" s="17" t="str">
        <x:v>Cli_37</x:v>
      </x:c>
      <x:c r="E350" s="32" t="n">
        <x:v>0.6139</x:v>
      </x:c>
      <x:c r="F350" s="32" t="n">
        <x:v>0.0127</x:v>
      </x:c>
      <x:c r="G350" s="32" t="n">
        <x:v>0.6456000000000001</x:v>
      </x:c>
      <x:c r="H350" s="32" t="n">
        <x:v>0.8418000000000001</x:v>
      </x:c>
      <x:c r="I350" s="40" t="n">
        <x:v>2</x:v>
      </x:c>
      <x:c r="J350" s="40" t="n">
        <x:v>2</x:v>
      </x:c>
      <x:c r="K350" s="40" t="n">
        <x:v>1</x:v>
      </x:c>
      <x:c r="L350" s="40" t="n">
        <x:v>1</x:v>
      </x:c>
    </x:row>
    <x:row r="351" ht="23" customHeight="1">
      <x:c r="B351" s="17" t="str">
        <x:v>All rounds</x:v>
      </x:c>
      <x:c r="C351" s="17" t="str">
        <x:v>condition</x:v>
      </x:c>
      <x:c r="D351" s="17" t="str">
        <x:v>Cli_38</x:v>
      </x:c>
      <x:c r="E351" s="32" t="n">
        <x:v>0.48100000000000004</x:v>
      </x:c>
      <x:c r="F351" s="32" t="n">
        <x:v>0.0127</x:v>
      </x:c>
      <x:c r="G351" s="32" t="n">
        <x:v>0.6392</x:v>
      </x:c>
      <x:c r="H351" s="32" t="n">
        <x:v>0.8354</x:v>
      </x:c>
      <x:c r="I351" s="40" t="n">
        <x:v>2</x:v>
      </x:c>
      <x:c r="J351" s="40" t="n">
        <x:v>2</x:v>
      </x:c>
      <x:c r="K351" s="40" t="n">
        <x:v>1</x:v>
      </x:c>
      <x:c r="L351" s="40" t="n">
        <x:v>1</x:v>
      </x:c>
    </x:row>
    <x:row r="352" ht="23" customHeight="1">
      <x:c r="B352" s="17" t="str">
        <x:v>All rounds</x:v>
      </x:c>
      <x:c r="C352" s="17" t="str">
        <x:v>condition</x:v>
      </x:c>
      <x:c r="D352" s="17" t="str">
        <x:v>Cli_39</x:v>
      </x:c>
      <x:c r="E352" s="32" t="n">
        <x:v>1</x:v>
      </x:c>
      <x:c r="F352" s="32" t="n">
        <x:v>0.55</x:v>
      </x:c>
      <x:c r="G352" s="32" t="n">
        <x:v>0.8</x:v>
      </x:c>
      <x:c r="H352" s="32" t="n">
        <x:v>1</x:v>
      </x:c>
      <x:c r="I352" s="40" t="n">
        <x:v>2</x:v>
      </x:c>
      <x:c r="J352" s="40" t="n">
        <x:v>2</x:v>
      </x:c>
      <x:c r="K352" s="40" t="n">
        <x:v>2</x:v>
      </x:c>
      <x:c r="L352" s="40" t="n">
        <x:v>1</x:v>
      </x:c>
    </x:row>
    <x:row r="353" ht="23" customHeight="1">
      <x:c r="B353" s="17" t="str">
        <x:v>All rounds</x:v>
      </x:c>
      <x:c r="C353" s="17" t="str">
        <x:v>condition</x:v>
      </x:c>
      <x:c r="D353" s="17" t="str">
        <x:v>Cli_4</x:v>
      </x:c>
      <x:c r="E353" s="32" t="n">
        <x:v>0</x:v>
      </x:c>
      <x:c r="F353" s="32" t="n">
        <x:v>0</x:v>
      </x:c>
      <x:c r="G353" s="32" t="n">
        <x:v>0</x:v>
      </x:c>
      <x:c r="H353" s="32" t="n">
        <x:v>0</x:v>
      </x:c>
      <x:c r="I353" s="40" t="n">
        <x:v>2</x:v>
      </x:c>
      <x:c r="J353" s="40" t="n">
        <x:v>2</x:v>
      </x:c>
      <x:c r="K353" s="40" t="n">
        <x:v>2</x:v>
      </x:c>
      <x:c r="L353" s="40" t="n">
        <x:v>1</x:v>
      </x:c>
    </x:row>
    <x:row r="354" ht="23" customHeight="1">
      <x:c r="B354" s="17" t="str">
        <x:v>All rounds</x:v>
      </x:c>
      <x:c r="C354" s="17" t="str">
        <x:v>condition</x:v>
      </x:c>
      <x:c r="D354" s="17" t="str">
        <x:v>Cli_5</x:v>
      </x:c>
      <x:c r="E354" s="32" t="n">
        <x:v>0</x:v>
      </x:c>
      <x:c r="F354" s="32" t="n">
        <x:v>0</x:v>
      </x:c>
      <x:c r="G354" s="32" t="n">
        <x:v>0</x:v>
      </x:c>
      <x:c r="H354" s="32" t="n">
        <x:v>0</x:v>
      </x:c>
      <x:c r="I354" s="40" t="n">
        <x:v>2</x:v>
      </x:c>
      <x:c r="J354" s="40" t="n">
        <x:v>2</x:v>
      </x:c>
      <x:c r="K354" s="40" t="n">
        <x:v>2</x:v>
      </x:c>
      <x:c r="L354" s="40" t="n">
        <x:v>1</x:v>
      </x:c>
    </x:row>
    <x:row r="355" ht="23" customHeight="1">
      <x:c r="B355" s="17" t="str">
        <x:v>All rounds</x:v>
      </x:c>
      <x:c r="C355" s="17" t="str">
        <x:v>condition</x:v>
      </x:c>
      <x:c r="D355" s="17" t="str">
        <x:v>Cli_8</x:v>
      </x:c>
      <x:c r="E355" s="32" t="n">
        <x:v>0</x:v>
      </x:c>
      <x:c r="F355" s="32" t="n">
        <x:v>0</x:v>
      </x:c>
      <x:c r="G355" s="32" t="n">
        <x:v>0</x:v>
      </x:c>
      <x:c r="H355" s="32" t="n">
        <x:v>0</x:v>
      </x:c>
      <x:c r="I355" s="40" t="n">
        <x:v>2</x:v>
      </x:c>
      <x:c r="J355" s="40" t="n">
        <x:v>2</x:v>
      </x:c>
      <x:c r="K355" s="40" t="n">
        <x:v>2</x:v>
      </x:c>
      <x:c r="L355" s="40" t="n">
        <x:v>1</x:v>
      </x:c>
    </x:row>
    <x:row r="356" ht="23" customHeight="1">
      <x:c r="B356" s="17" t="str">
        <x:v>All rounds</x:v>
      </x:c>
      <x:c r="C356" s="17" t="str">
        <x:v>condition</x:v>
      </x:c>
      <x:c r="D356" s="17" t="str">
        <x:v>Closure_121</x:v>
      </x:c>
      <x:c r="E356" s="32" t="n">
        <x:v>0.0127</x:v>
      </x:c>
      <x:c r="F356" s="32" t="n">
        <x:v>0.0127</x:v>
      </x:c>
      <x:c r="G356" s="32" t="n">
        <x:v>0.4619</x:v>
      </x:c>
      <x:c r="H356" s="32" t="n">
        <x:v>0.0127</x:v>
      </x:c>
      <x:c r="I356" s="40" t="n">
        <x:v>2</x:v>
      </x:c>
      <x:c r="J356" s="40" t="n">
        <x:v>2</x:v>
      </x:c>
      <x:c r="K356" s="40" t="n">
        <x:v>1</x:v>
      </x:c>
      <x:c r="L356" s="40" t="n">
        <x:v>1</x:v>
      </x:c>
    </x:row>
    <x:row r="357" ht="23" customHeight="1">
      <x:c r="B357" s="17" t="str">
        <x:v>All rounds</x:v>
      </x:c>
      <x:c r="C357" s="17" t="str">
        <x:v>condition</x:v>
      </x:c>
      <x:c r="D357" s="17" t="str">
        <x:v>Closure_131</x:v>
      </x:c>
      <x:c r="E357" s="32" t="n">
        <x:v>0.6909000000000001</x:v>
      </x:c>
      <x:c r="F357" s="32" t="n">
        <x:v>0.060599999999999994</x:v>
      </x:c>
      <x:c r="G357" s="32" t="n">
        <x:v>0.8364</x:v>
      </x:c>
      <x:c r="H357" s="32" t="n">
        <x:v>0.8364</x:v>
      </x:c>
      <x:c r="I357" s="40" t="n">
        <x:v>2</x:v>
      </x:c>
      <x:c r="J357" s="40" t="n">
        <x:v>2</x:v>
      </x:c>
      <x:c r="K357" s="40" t="n">
        <x:v>2</x:v>
      </x:c>
      <x:c r="L357" s="40" t="n">
        <x:v>1</x:v>
      </x:c>
    </x:row>
    <x:row r="358" ht="23" customHeight="1">
      <x:c r="B358" s="17" t="str">
        <x:v>All rounds</x:v>
      </x:c>
      <x:c r="C358" s="17" t="str">
        <x:v>condition</x:v>
      </x:c>
      <x:c r="D358" s="17" t="str">
        <x:v>Closure_172</x:v>
      </x:c>
      <x:c r="E358" s="32" t="n">
        <x:v>0.0381</x:v>
      </x:c>
      <x:c r="F358" s="32" t="n">
        <x:v>0</x:v>
      </x:c>
      <x:c r="G358" s="32" t="n">
        <x:v>0</x:v>
      </x:c>
      <x:c r="H358" s="32" t="n">
        <x:v>0</x:v>
      </x:c>
      <x:c r="I358" s="40" t="n">
        <x:v>2</x:v>
      </x:c>
      <x:c r="J358" s="40" t="n">
        <x:v>2</x:v>
      </x:c>
      <x:c r="K358" s="40" t="n">
        <x:v>2</x:v>
      </x:c>
      <x:c r="L358" s="40" t="n">
        <x:v>1</x:v>
      </x:c>
    </x:row>
    <x:row r="359" ht="23" customHeight="1">
      <x:c r="B359" s="17" t="str">
        <x:v>All rounds</x:v>
      </x:c>
      <x:c r="C359" s="17" t="str">
        <x:v>condition</x:v>
      </x:c>
      <x:c r="D359" s="17" t="str">
        <x:v>Closure_20</x:v>
      </x:c>
      <x:c r="E359" s="32" t="n">
        <x:v>0.0665</x:v>
      </x:c>
      <x:c r="F359" s="32" t="n">
        <x:v>0.005699999999999999</x:v>
      </x:c>
      <x:c r="G359" s="32" t="n">
        <x:v>0.0608</x:v>
      </x:c>
      <x:c r="H359" s="32" t="n">
        <x:v>0.0608</x:v>
      </x:c>
      <x:c r="I359" s="40" t="n">
        <x:v>2</x:v>
      </x:c>
      <x:c r="J359" s="40" t="n">
        <x:v>2</x:v>
      </x:c>
      <x:c r="K359" s="40" t="n">
        <x:v>2</x:v>
      </x:c>
      <x:c r="L359" s="40" t="n">
        <x:v>1</x:v>
      </x:c>
    </x:row>
    <x:row r="360" ht="23" customHeight="1">
      <x:c r="B360" s="17" t="str">
        <x:v>All rounds</x:v>
      </x:c>
      <x:c r="C360" s="17" t="str">
        <x:v>condition</x:v>
      </x:c>
      <x:c r="D360" s="17" t="str">
        <x:v>Closure_38</x:v>
      </x:c>
      <x:c r="E360" s="32" t="n">
        <x:v>0.1406</x:v>
      </x:c>
      <x:c r="F360" s="32" t="n">
        <x:v>0.1094</x:v>
      </x:c>
      <x:c r="G360" s="32" t="n">
        <x:v>0.6718999999999999</x:v>
      </x:c>
      <x:c r="H360" s="32" t="n">
        <x:v>0.6718999999999999</x:v>
      </x:c>
      <x:c r="I360" s="40" t="n">
        <x:v>2</x:v>
      </x:c>
      <x:c r="J360" s="40" t="n">
        <x:v>2</x:v>
      </x:c>
      <x:c r="K360" s="40" t="n">
        <x:v>2</x:v>
      </x:c>
      <x:c r="L360" s="40" t="n">
        <x:v>1</x:v>
      </x:c>
    </x:row>
    <x:row r="361" ht="23" customHeight="1">
      <x:c r="B361" s="17" t="str">
        <x:v>All rounds</x:v>
      </x:c>
      <x:c r="C361" s="17" t="str">
        <x:v>condition</x:v>
      </x:c>
      <x:c r="D361" s="17" t="str">
        <x:v>Closure_44</x:v>
      </x:c>
      <x:c r="E361" s="32" t="n">
        <x:v>0.15</x:v>
      </x:c>
      <x:c r="F361" s="32" t="n">
        <x:v>0.1167</x:v>
      </x:c>
      <x:c r="G361" s="32" t="n">
        <x:v>0.8833</x:v>
      </x:c>
      <x:c r="H361" s="32" t="n">
        <x:v>0.8833</x:v>
      </x:c>
      <x:c r="I361" s="40" t="n">
        <x:v>2</x:v>
      </x:c>
      <x:c r="J361" s="40" t="n">
        <x:v>2</x:v>
      </x:c>
      <x:c r="K361" s="40" t="n">
        <x:v>2</x:v>
      </x:c>
      <x:c r="L361" s="40" t="n">
        <x:v>1</x:v>
      </x:c>
    </x:row>
    <x:row r="362" ht="23" customHeight="1">
      <x:c r="B362" s="17" t="str">
        <x:v>All rounds</x:v>
      </x:c>
      <x:c r="C362" s="17" t="str">
        <x:v>condition</x:v>
      </x:c>
      <x:c r="D362" s="17" t="str">
        <x:v>Codec_1</x:v>
      </x:c>
      <x:c r="E362" s="32" t="n">
        <x:v>0.8859</x:v>
      </x:c>
      <x:c r="F362" s="32" t="n">
        <x:v>0.2989</x:v>
      </x:c>
      <x:c r="G362" s="32" t="n">
        <x:v>0.5326</x:v>
      </x:c>
      <x:c r="H362" s="32" t="n">
        <x:v>0.5598</x:v>
      </x:c>
      <x:c r="I362" s="40" t="n">
        <x:v>2</x:v>
      </x:c>
      <x:c r="J362" s="40" t="n">
        <x:v>2</x:v>
      </x:c>
      <x:c r="K362" s="40" t="n">
        <x:v>1</x:v>
      </x:c>
      <x:c r="L362" s="40" t="n">
        <x:v>1</x:v>
      </x:c>
    </x:row>
    <x:row r="363" ht="23" customHeight="1">
      <x:c r="B363" s="17" t="str">
        <x:v>All rounds</x:v>
      </x:c>
      <x:c r="C363" s="17" t="str">
        <x:v>condition</x:v>
      </x:c>
      <x:c r="D363" s="17" t="str">
        <x:v>Codec_10</x:v>
      </x:c>
      <x:c r="E363" s="32" t="n">
        <x:v>1</x:v>
      </x:c>
      <x:c r="F363" s="32" t="n">
        <x:v>0.8332999999999999</x:v>
      </x:c>
      <x:c r="G363" s="32" t="n">
        <x:v>0.91665</x:v>
      </x:c>
      <x:c r="H363" s="32" t="n">
        <x:v>1</x:v>
      </x:c>
      <x:c r="I363" s="40" t="n">
        <x:v>2</x:v>
      </x:c>
      <x:c r="J363" s="40" t="n">
        <x:v>2</x:v>
      </x:c>
      <x:c r="K363" s="40" t="n">
        <x:v>2</x:v>
      </x:c>
      <x:c r="L363" s="40" t="n">
        <x:v>1</x:v>
      </x:c>
    </x:row>
    <x:row r="364" ht="23" customHeight="1">
      <x:c r="B364" s="17" t="str">
        <x:v>All rounds</x:v>
      </x:c>
      <x:c r="C364" s="17" t="str">
        <x:v>condition</x:v>
      </x:c>
      <x:c r="D364" s="17" t="str">
        <x:v>Codec_11</x:v>
      </x:c>
      <x:c r="E364" s="32" t="n">
        <x:v>0.9444</x:v>
      </x:c>
      <x:c r="F364" s="32" t="n">
        <x:v>0.8055500000000001</x:v>
      </x:c>
      <x:c r="G364" s="32" t="n">
        <x:v>0.9444</x:v>
      </x:c>
      <x:c r="H364" s="32" t="n">
        <x:v>0.6944</x:v>
      </x:c>
      <x:c r="I364" s="40" t="n">
        <x:v>2</x:v>
      </x:c>
      <x:c r="J364" s="40" t="n">
        <x:v>2</x:v>
      </x:c>
      <x:c r="K364" s="40" t="n">
        <x:v>1</x:v>
      </x:c>
      <x:c r="L364" s="40" t="n">
        <x:v>1</x:v>
      </x:c>
    </x:row>
    <x:row r="365" ht="23" customHeight="1">
      <x:c r="B365" s="17" t="str">
        <x:v>All rounds</x:v>
      </x:c>
      <x:c r="C365" s="17" t="str">
        <x:v>condition</x:v>
      </x:c>
      <x:c r="D365" s="17" t="str">
        <x:v>Codec_12</x:v>
      </x:c>
      <x:c r="E365" s="32" t="n">
        <x:v>0.9231</x:v>
      </x:c>
      <x:c r="F365" s="32" t="n">
        <x:v>0.5</x:v>
      </x:c>
      <x:c r="G365" s="32" t="n">
        <x:v>0.9615</x:v>
      </x:c>
      <x:c r="H365" s="32" t="n">
        <x:v>0.9615</x:v>
      </x:c>
      <x:c r="I365" s="40" t="n">
        <x:v>2</x:v>
      </x:c>
      <x:c r="J365" s="40" t="n">
        <x:v>2</x:v>
      </x:c>
      <x:c r="K365" s="40" t="n">
        <x:v>1</x:v>
      </x:c>
      <x:c r="L365" s="40" t="n">
        <x:v>1</x:v>
      </x:c>
    </x:row>
    <x:row r="366" ht="23" customHeight="1">
      <x:c r="B366" s="17" t="str">
        <x:v>All rounds</x:v>
      </x:c>
      <x:c r="C366" s="17" t="str">
        <x:v>condition</x:v>
      </x:c>
      <x:c r="D366" s="17" t="str">
        <x:v>Codec_16</x:v>
      </x:c>
      <x:c r="E366" s="32" t="n">
        <x:v>1</x:v>
      </x:c>
      <x:c r="F366" s="32" t="n">
        <x:v>0.8533</x:v>
      </x:c>
      <x:c r="G366" s="32" t="n">
        <x:v>0.8</x:v>
      </x:c>
      <x:c r="H366" s="32" t="n">
        <x:v>0.56</x:v>
      </x:c>
      <x:c r="I366" s="40" t="n">
        <x:v>2</x:v>
      </x:c>
      <x:c r="J366" s="40" t="n">
        <x:v>2</x:v>
      </x:c>
      <x:c r="K366" s="40" t="n">
        <x:v>1</x:v>
      </x:c>
      <x:c r="L366" s="40" t="n">
        <x:v>1</x:v>
      </x:c>
    </x:row>
    <x:row r="367" ht="23" customHeight="1">
      <x:c r="B367" s="17" t="str">
        <x:v>All rounds</x:v>
      </x:c>
      <x:c r="C367" s="17" t="str">
        <x:v>condition</x:v>
      </x:c>
      <x:c r="D367" s="17" t="str">
        <x:v>Codec_18</x:v>
      </x:c>
      <x:c r="E367" s="32" t="n">
        <x:v>1</x:v>
      </x:c>
      <x:c r="F367" s="32" t="n">
        <x:v>0.7</x:v>
      </x:c>
      <x:c r="G367" s="32" t="n">
        <x:v>0.95</x:v>
      </x:c>
      <x:c r="H367" s="32" t="n">
        <x:v>0.8</x:v>
      </x:c>
      <x:c r="I367" s="40" t="n">
        <x:v>2</x:v>
      </x:c>
      <x:c r="J367" s="40" t="n">
        <x:v>2</x:v>
      </x:c>
      <x:c r="K367" s="40" t="n">
        <x:v>1</x:v>
      </x:c>
      <x:c r="L367" s="40" t="n">
        <x:v>1</x:v>
      </x:c>
    </x:row>
    <x:row r="368" ht="23" customHeight="1">
      <x:c r="B368" s="17" t="str">
        <x:v>All rounds</x:v>
      </x:c>
      <x:c r="C368" s="17" t="str">
        <x:v>condition</x:v>
      </x:c>
      <x:c r="D368" s="17" t="str">
        <x:v>Codec_3</x:v>
      </x:c>
      <x:c r="E368" s="32" t="n">
        <x:v>0.7733</x:v>
      </x:c>
      <x:c r="F368" s="32" t="n">
        <x:v>0.11780000000000002</x:v>
      </x:c>
      <x:c r="G368" s="32" t="n">
        <x:v>0.8089</x:v>
      </x:c>
      <x:c r="H368" s="32" t="n">
        <x:v>0.74</x:v>
      </x:c>
      <x:c r="I368" s="40" t="n">
        <x:v>2</x:v>
      </x:c>
      <x:c r="J368" s="40" t="n">
        <x:v>2</x:v>
      </x:c>
      <x:c r="K368" s="40" t="n">
        <x:v>1</x:v>
      </x:c>
      <x:c r="L368" s="40" t="n">
        <x:v>1</x:v>
      </x:c>
    </x:row>
    <x:row r="369" ht="23" customHeight="1">
      <x:c r="B369" s="17" t="str">
        <x:v>All rounds</x:v>
      </x:c>
      <x:c r="C369" s="17" t="str">
        <x:v>condition</x:v>
      </x:c>
      <x:c r="D369" s="17" t="str">
        <x:v>Codec_6</x:v>
      </x:c>
      <x:c r="E369" s="32" t="n">
        <x:v>1</x:v>
      </x:c>
      <x:c r="F369" s="32" t="n">
        <x:v>0.6071500000000001</x:v>
      </x:c>
      <x:c r="G369" s="32" t="n">
        <x:v>0.9286</x:v>
      </x:c>
      <x:c r="H369" s="32" t="n">
        <x:v>0.75</x:v>
      </x:c>
      <x:c r="I369" s="40" t="n">
        <x:v>2</x:v>
      </x:c>
      <x:c r="J369" s="40" t="n">
        <x:v>2</x:v>
      </x:c>
      <x:c r="K369" s="40" t="n">
        <x:v>1</x:v>
      </x:c>
      <x:c r="L369" s="40" t="n">
        <x:v>1</x:v>
      </x:c>
    </x:row>
    <x:row r="370" ht="23" customHeight="1">
      <x:c r="B370" s="17" t="str">
        <x:v>All rounds</x:v>
      </x:c>
      <x:c r="C370" s="17" t="str">
        <x:v>condition</x:v>
      </x:c>
      <x:c r="D370" s="17" t="str">
        <x:v>Collections_1</x:v>
      </x:c>
      <x:c r="E370" s="32" t="n">
        <x:v>0.6596</x:v>
      </x:c>
      <x:c r="F370" s="32" t="n">
        <x:v>0.23405</x:v>
      </x:c>
      <x:c r="G370" s="32" t="n">
        <x:v>0.4255</x:v>
      </x:c>
      <x:c r="H370" s="32" t="n">
        <x:v>0.2553</x:v>
      </x:c>
      <x:c r="I370" s="40" t="n">
        <x:v>2</x:v>
      </x:c>
      <x:c r="J370" s="40" t="n">
        <x:v>2</x:v>
      </x:c>
      <x:c r="K370" s="40" t="n">
        <x:v>1</x:v>
      </x:c>
      <x:c r="L370" s="40" t="n">
        <x:v>1</x:v>
      </x:c>
    </x:row>
    <x:row r="371" ht="23" customHeight="1">
      <x:c r="B371" s="17" t="str">
        <x:v>All rounds</x:v>
      </x:c>
      <x:c r="C371" s="17" t="str">
        <x:v>condition</x:v>
      </x:c>
      <x:c r="D371" s="17" t="str">
        <x:v>Collections_10</x:v>
      </x:c>
      <x:c r="E371" s="32" t="n">
        <x:v>0.875</x:v>
      </x:c>
      <x:c r="F371" s="32" t="n">
        <x:v>0.46875</x:v>
      </x:c>
      <x:c r="G371" s="32" t="n">
        <x:v>0.8332999999999999</x:v>
      </x:c>
      <x:c r="H371" s="32" t="n">
        <x:v>0.375</x:v>
      </x:c>
      <x:c r="I371" s="40" t="n">
        <x:v>2</x:v>
      </x:c>
      <x:c r="J371" s="40" t="n">
        <x:v>2</x:v>
      </x:c>
      <x:c r="K371" s="40" t="n">
        <x:v>2</x:v>
      </x:c>
      <x:c r="L371" s="40" t="n">
        <x:v>1</x:v>
      </x:c>
    </x:row>
    <x:row r="372" ht="23" customHeight="1">
      <x:c r="B372" s="17" t="str">
        <x:v>All rounds</x:v>
      </x:c>
      <x:c r="C372" s="17" t="str">
        <x:v>condition</x:v>
      </x:c>
      <x:c r="D372" s="17" t="str">
        <x:v>Collections_11</x:v>
      </x:c>
      <x:c r="E372" s="32" t="n">
        <x:v>1</x:v>
      </x:c>
      <x:c r="F372" s="32" t="n">
        <x:v>0.9167000000000001</x:v>
      </x:c>
      <x:c r="G372" s="32" t="n">
        <x:v>1</x:v>
      </x:c>
      <x:c r="H372" s="32" t="n">
        <x:v>0.75</x:v>
      </x:c>
      <x:c r="I372" s="40" t="n">
        <x:v>2</x:v>
      </x:c>
      <x:c r="J372" s="40" t="n">
        <x:v>2</x:v>
      </x:c>
      <x:c r="K372" s="40" t="n">
        <x:v>2</x:v>
      </x:c>
      <x:c r="L372" s="40" t="n">
        <x:v>1</x:v>
      </x:c>
    </x:row>
    <x:row r="373" ht="23" customHeight="1">
      <x:c r="B373" s="17" t="str">
        <x:v>All rounds</x:v>
      </x:c>
      <x:c r="C373" s="17" t="str">
        <x:v>condition</x:v>
      </x:c>
      <x:c r="D373" s="17" t="str">
        <x:v>Collections_14</x:v>
      </x:c>
      <x:c r="E373" s="32" t="n">
        <x:v>1</x:v>
      </x:c>
      <x:c r="F373" s="32" t="n">
        <x:v>0.75</x:v>
      </x:c>
      <x:c r="G373" s="32" t="n">
        <x:v>1</x:v>
      </x:c>
      <x:c r="H373" s="32" t="n">
        <x:v>1</x:v>
      </x:c>
      <x:c r="I373" s="40" t="n">
        <x:v>2</x:v>
      </x:c>
      <x:c r="J373" s="40" t="n">
        <x:v>2</x:v>
      </x:c>
      <x:c r="K373" s="40" t="n">
        <x:v>1</x:v>
      </x:c>
      <x:c r="L373" s="40" t="n">
        <x:v>1</x:v>
      </x:c>
    </x:row>
    <x:row r="374" ht="23" customHeight="1">
      <x:c r="B374" s="17" t="str">
        <x:v>All rounds</x:v>
      </x:c>
      <x:c r="C374" s="17" t="str">
        <x:v>condition</x:v>
      </x:c>
      <x:c r="D374" s="17" t="str">
        <x:v>Collections_15</x:v>
      </x:c>
      <x:c r="E374" s="32" t="n">
        <x:v>1</x:v>
      </x:c>
      <x:c r="F374" s="32" t="n">
        <x:v>0.0455</x:v>
      </x:c>
      <x:c r="G374" s="32" t="n">
        <x:v>1</x:v>
      </x:c>
      <x:c r="H374" s="32" t="n">
        <x:v>1</x:v>
      </x:c>
      <x:c r="I374" s="40" t="n">
        <x:v>2</x:v>
      </x:c>
      <x:c r="J374" s="40" t="n">
        <x:v>2</x:v>
      </x:c>
      <x:c r="K374" s="40" t="n">
        <x:v>1</x:v>
      </x:c>
      <x:c r="L374" s="40" t="n">
        <x:v>1</x:v>
      </x:c>
    </x:row>
    <x:row r="375" ht="23" customHeight="1">
      <x:c r="B375" s="17" t="str">
        <x:v>All rounds</x:v>
      </x:c>
      <x:c r="C375" s="17" t="str">
        <x:v>condition</x:v>
      </x:c>
      <x:c r="D375" s="17" t="str">
        <x:v>Collections_18</x:v>
      </x:c>
      <x:c r="E375" s="32" t="n">
        <x:v>1</x:v>
      </x:c>
      <x:c r="F375" s="32" t="n">
        <x:v>0.8055500000000001</x:v>
      </x:c>
      <x:c r="G375" s="32" t="n">
        <x:v>0.9444</x:v>
      </x:c>
      <x:c r="H375" s="32" t="n">
        <x:v>1</x:v>
      </x:c>
      <x:c r="I375" s="40" t="n">
        <x:v>2</x:v>
      </x:c>
      <x:c r="J375" s="40" t="n">
        <x:v>2</x:v>
      </x:c>
      <x:c r="K375" s="40" t="n">
        <x:v>1</x:v>
      </x:c>
      <x:c r="L375" s="40" t="n">
        <x:v>1</x:v>
      </x:c>
    </x:row>
    <x:row r="376" ht="23" customHeight="1">
      <x:c r="B376" s="17" t="str">
        <x:v>All rounds</x:v>
      </x:c>
      <x:c r="C376" s="17" t="str">
        <x:v>condition</x:v>
      </x:c>
      <x:c r="D376" s="17" t="str">
        <x:v>Collections_19</x:v>
      </x:c>
      <x:c r="E376" s="32" t="n">
        <x:v>0.9211</x:v>
      </x:c>
      <x:c r="F376" s="32" t="n">
        <x:v>0.6315999999999999</x:v>
      </x:c>
      <x:c r="G376" s="32" t="n">
        <x:v>0.9211</x:v>
      </x:c>
      <x:c r="H376" s="32" t="n">
        <x:v>1</x:v>
      </x:c>
      <x:c r="I376" s="40" t="n">
        <x:v>2</x:v>
      </x:c>
      <x:c r="J376" s="40" t="n">
        <x:v>2</x:v>
      </x:c>
      <x:c r="K376" s="40" t="n">
        <x:v>1</x:v>
      </x:c>
      <x:c r="L376" s="40" t="n">
        <x:v>1</x:v>
      </x:c>
    </x:row>
    <x:row r="377" ht="23" customHeight="1">
      <x:c r="B377" s="17" t="str">
        <x:v>All rounds</x:v>
      </x:c>
      <x:c r="C377" s="17" t="str">
        <x:v>condition</x:v>
      </x:c>
      <x:c r="D377" s="17" t="str">
        <x:v>Collections_20</x:v>
      </x:c>
      <x:c r="E377" s="32" t="n">
        <x:v>0.8896</x:v>
      </x:c>
      <x:c r="F377" s="32" t="n">
        <x:v>0.59415</x:v>
      </x:c>
      <x:c r="G377" s="32" t="n">
        <x:v>0.6883</x:v>
      </x:c>
      <x:c r="H377" s="32" t="n">
        <x:v>0.8831</x:v>
      </x:c>
      <x:c r="I377" s="40" t="n">
        <x:v>2</x:v>
      </x:c>
      <x:c r="J377" s="40" t="n">
        <x:v>2</x:v>
      </x:c>
      <x:c r="K377" s="40" t="n">
        <x:v>2</x:v>
      </x:c>
      <x:c r="L377" s="40" t="n">
        <x:v>1</x:v>
      </x:c>
    </x:row>
    <x:row r="378" ht="23" customHeight="1">
      <x:c r="B378" s="17" t="str">
        <x:v>All rounds</x:v>
      </x:c>
      <x:c r="C378" s="17" t="str">
        <x:v>condition</x:v>
      </x:c>
      <x:c r="D378" s="17" t="str">
        <x:v>Collections_21</x:v>
      </x:c>
      <x:c r="E378" s="32" t="n">
        <x:v>0.9211</x:v>
      </x:c>
      <x:c r="F378" s="32" t="n">
        <x:v>0.6315999999999999</x:v>
      </x:c>
      <x:c r="G378" s="32" t="n">
        <x:v>0.9473999999999999</x:v>
      </x:c>
      <x:c r="H378" s="32" t="n">
        <x:v>1</x:v>
      </x:c>
      <x:c r="I378" s="40" t="n">
        <x:v>2</x:v>
      </x:c>
      <x:c r="J378" s="40" t="n">
        <x:v>2</x:v>
      </x:c>
      <x:c r="K378" s="40" t="n">
        <x:v>2</x:v>
      </x:c>
      <x:c r="L378" s="40" t="n">
        <x:v>1</x:v>
      </x:c>
    </x:row>
    <x:row r="379" ht="23" customHeight="1">
      <x:c r="B379" s="17" t="str">
        <x:v>All rounds</x:v>
      </x:c>
      <x:c r="C379" s="17" t="str">
        <x:v>condition</x:v>
      </x:c>
      <x:c r="D379" s="17" t="str">
        <x:v>Collections_24</x:v>
      </x:c>
      <x:c r="E379" s="32" t="n">
        <x:v>1</x:v>
      </x:c>
      <x:c r="F379" s="32" t="n">
        <x:v>0</x:v>
      </x:c>
      <x:c r="G379" s="32" t="n">
        <x:v>1</x:v>
      </x:c>
      <x:c r="H379" s="32" t="n">
        <x:v>1</x:v>
      </x:c>
      <x:c r="I379" s="40" t="n">
        <x:v>2</x:v>
      </x:c>
      <x:c r="J379" s="40" t="n">
        <x:v>2</x:v>
      </x:c>
      <x:c r="K379" s="40" t="n">
        <x:v>2</x:v>
      </x:c>
      <x:c r="L379" s="40" t="n">
        <x:v>1</x:v>
      </x:c>
    </x:row>
    <x:row r="380" ht="23" customHeight="1">
      <x:c r="B380" s="17" t="str">
        <x:v>All rounds</x:v>
      </x:c>
      <x:c r="C380" s="17" t="str">
        <x:v>condition</x:v>
      </x:c>
      <x:c r="D380" s="17" t="str">
        <x:v>Collections_26</x:v>
      </x:c>
      <x:c r="E380" s="32" t="n">
        <x:v>1</x:v>
      </x:c>
      <x:c r="F380" s="32" t="n">
        <x:v>0.9167000000000001</x:v>
      </x:c>
      <x:c r="G380" s="32" t="n">
        <x:v>1</x:v>
      </x:c>
      <x:c r="H380" s="32" t="n">
        <x:v>0.75</x:v>
      </x:c>
      <x:c r="I380" s="40" t="n">
        <x:v>2</x:v>
      </x:c>
      <x:c r="J380" s="40" t="n">
        <x:v>2</x:v>
      </x:c>
      <x:c r="K380" s="40" t="n">
        <x:v>2</x:v>
      </x:c>
      <x:c r="L380" s="40" t="n">
        <x:v>1</x:v>
      </x:c>
    </x:row>
    <x:row r="381" ht="23" customHeight="1">
      <x:c r="B381" s="17" t="str">
        <x:v>All rounds</x:v>
      </x:c>
      <x:c r="C381" s="17" t="str">
        <x:v>condition</x:v>
      </x:c>
      <x:c r="D381" s="17" t="str">
        <x:v>Collections_27</x:v>
      </x:c>
      <x:c r="E381" s="32" t="n">
        <x:v>0.78</x:v>
      </x:c>
      <x:c r="F381" s="32" t="n">
        <x:v>0.48</x:v>
      </x:c>
      <x:c r="G381" s="32" t="n">
        <x:v>0.82</x:v>
      </x:c>
      <x:c r="H381" s="32" t="n">
        <x:v>0.44</x:v>
      </x:c>
      <x:c r="I381" s="40" t="n">
        <x:v>2</x:v>
      </x:c>
      <x:c r="J381" s="40" t="n">
        <x:v>2</x:v>
      </x:c>
      <x:c r="K381" s="40" t="n">
        <x:v>2</x:v>
      </x:c>
      <x:c r="L381" s="40" t="n">
        <x:v>1</x:v>
      </x:c>
    </x:row>
    <x:row r="382" ht="23" customHeight="1">
      <x:c r="B382" s="17" t="str">
        <x:v>All rounds</x:v>
      </x:c>
      <x:c r="C382" s="17" t="str">
        <x:v>condition</x:v>
      </x:c>
      <x:c r="D382" s="17" t="str">
        <x:v>Collections_4</x:v>
      </x:c>
      <x:c r="E382" s="32" t="n">
        <x:v>0.8957999999999999</x:v>
      </x:c>
      <x:c r="F382" s="32" t="n">
        <x:v>0.46875</x:v>
      </x:c>
      <x:c r="G382" s="32" t="n">
        <x:v>0.8542000000000001</x:v>
      </x:c>
      <x:c r="H382" s="32" t="n">
        <x:v>0.3958</x:v>
      </x:c>
      <x:c r="I382" s="40" t="n">
        <x:v>2</x:v>
      </x:c>
      <x:c r="J382" s="40" t="n">
        <x:v>2</x:v>
      </x:c>
      <x:c r="K382" s="40" t="n">
        <x:v>1</x:v>
      </x:c>
      <x:c r="L382" s="40" t="n">
        <x:v>1</x:v>
      </x:c>
    </x:row>
    <x:row r="383" ht="23" customHeight="1">
      <x:c r="B383" s="17" t="str">
        <x:v>All rounds</x:v>
      </x:c>
      <x:c r="C383" s="17" t="str">
        <x:v>condition</x:v>
      </x:c>
      <x:c r="D383" s="17" t="str">
        <x:v>Collections_5</x:v>
      </x:c>
      <x:c r="E383" s="32" t="n">
        <x:v>1</x:v>
      </x:c>
      <x:c r="F383" s="32" t="n">
        <x:v>0.05</x:v>
      </x:c>
      <x:c r="G383" s="32" t="n">
        <x:v>0.95</x:v>
      </x:c>
      <x:c r="H383" s="32" t="n">
        <x:v>0.6</x:v>
      </x:c>
      <x:c r="I383" s="40" t="n">
        <x:v>2</x:v>
      </x:c>
      <x:c r="J383" s="40" t="n">
        <x:v>2</x:v>
      </x:c>
      <x:c r="K383" s="40" t="n">
        <x:v>2</x:v>
      </x:c>
      <x:c r="L383" s="40" t="n">
        <x:v>1</x:v>
      </x:c>
    </x:row>
    <x:row r="384" ht="23" customHeight="1">
      <x:c r="B384" s="17" t="str">
        <x:v>All rounds</x:v>
      </x:c>
      <x:c r="C384" s="17" t="str">
        <x:v>condition</x:v>
      </x:c>
      <x:c r="D384" s="17" t="str">
        <x:v>Collections_6</x:v>
      </x:c>
      <x:c r="E384" s="32" t="n">
        <x:v>0.5771000000000001</x:v>
      </x:c>
      <x:c r="F384" s="32" t="n">
        <x:v>0.23405</x:v>
      </x:c>
      <x:c r="G384" s="32" t="n">
        <x:v>0.5133</x:v>
      </x:c>
      <x:c r="H384" s="32" t="n">
        <x:v>0.2553</x:v>
      </x:c>
      <x:c r="I384" s="40" t="n">
        <x:v>2</x:v>
      </x:c>
      <x:c r="J384" s="40" t="n">
        <x:v>2</x:v>
      </x:c>
      <x:c r="K384" s="40" t="n">
        <x:v>2</x:v>
      </x:c>
      <x:c r="L384" s="40" t="n">
        <x:v>1</x:v>
      </x:c>
    </x:row>
    <x:row r="385" ht="23" customHeight="1">
      <x:c r="B385" s="17" t="str">
        <x:v>All rounds</x:v>
      </x:c>
      <x:c r="C385" s="17" t="str">
        <x:v>condition</x:v>
      </x:c>
      <x:c r="D385" s="17" t="str">
        <x:v>Collections_8</x:v>
      </x:c>
      <x:c r="E385" s="32" t="n">
        <x:v>0.8332999999999999</x:v>
      </x:c>
      <x:c r="F385" s="32" t="n">
        <x:v>0.625</x:v>
      </x:c>
      <x:c r="G385" s="32" t="n">
        <x:v>0.8332999999999999</x:v>
      </x:c>
      <x:c r="H385" s="32" t="n">
        <x:v>0.5278</x:v>
      </x:c>
      <x:c r="I385" s="40" t="n">
        <x:v>2</x:v>
      </x:c>
      <x:c r="J385" s="40" t="n">
        <x:v>2</x:v>
      </x:c>
      <x:c r="K385" s="40" t="n">
        <x:v>1</x:v>
      </x:c>
      <x:c r="L385" s="40" t="n">
        <x:v>1</x:v>
      </x:c>
    </x:row>
    <x:row r="386" ht="23" customHeight="1">
      <x:c r="B386" s="17" t="str">
        <x:v>All rounds</x:v>
      </x:c>
      <x:c r="C386" s="17" t="str">
        <x:v>condition</x:v>
      </x:c>
      <x:c r="D386" s="17" t="str">
        <x:v>Compress_10</x:v>
      </x:c>
      <x:c r="E386" s="32" t="n">
        <x:v>0.10619999999999999</x:v>
      </x:c>
      <x:c r="F386" s="32" t="n">
        <x:v>0.0088</x:v>
      </x:c>
      <x:c r="G386" s="32" t="n">
        <x:v>0.34509999999999996</x:v>
      </x:c>
      <x:c r="H386" s="32" t="n">
        <x:v>0.6726000000000001</x:v>
      </x:c>
      <x:c r="I386" s="40" t="n">
        <x:v>2</x:v>
      </x:c>
      <x:c r="J386" s="40" t="n">
        <x:v>2</x:v>
      </x:c>
      <x:c r="K386" s="40" t="n">
        <x:v>1</x:v>
      </x:c>
      <x:c r="L386" s="40" t="n">
        <x:v>1</x:v>
      </x:c>
    </x:row>
    <x:row r="387" ht="23" customHeight="1">
      <x:c r="B387" s="17" t="str">
        <x:v>All rounds</x:v>
      </x:c>
      <x:c r="C387" s="17" t="str">
        <x:v>condition</x:v>
      </x:c>
      <x:c r="D387" s="17" t="str">
        <x:v>Compress_14</x:v>
      </x:c>
      <x:c r="E387" s="32" t="n">
        <x:v>0.8939</x:v>
      </x:c>
      <x:c r="F387" s="32" t="n">
        <x:v>0.6439499999999999</x:v>
      </x:c>
      <x:c r="G387" s="32" t="n">
        <x:v>0.7121</x:v>
      </x:c>
      <x:c r="H387" s="32" t="n">
        <x:v>0.9545</x:v>
      </x:c>
      <x:c r="I387" s="40" t="n">
        <x:v>2</x:v>
      </x:c>
      <x:c r="J387" s="40" t="n">
        <x:v>2</x:v>
      </x:c>
      <x:c r="K387" s="40" t="n">
        <x:v>2</x:v>
      </x:c>
      <x:c r="L387" s="40" t="n">
        <x:v>1</x:v>
      </x:c>
    </x:row>
    <x:row r="388" ht="23" customHeight="1">
      <x:c r="B388" s="17" t="str">
        <x:v>All rounds</x:v>
      </x:c>
      <x:c r="C388" s="17" t="str">
        <x:v>condition</x:v>
      </x:c>
      <x:c r="D388" s="17" t="str">
        <x:v>Compress_19</x:v>
      </x:c>
      <x:c r="E388" s="32" t="n">
        <x:v>1</x:v>
      </x:c>
      <x:c r="F388" s="32" t="n">
        <x:v>0.4</x:v>
      </x:c>
      <x:c r="G388" s="32" t="n">
        <x:v>0.9833</x:v>
      </x:c>
      <x:c r="H388" s="32" t="n">
        <x:v>0.9667</x:v>
      </x:c>
      <x:c r="I388" s="40" t="n">
        <x:v>2</x:v>
      </x:c>
      <x:c r="J388" s="40" t="n">
        <x:v>2</x:v>
      </x:c>
      <x:c r="K388" s="40" t="n">
        <x:v>1</x:v>
      </x:c>
      <x:c r="L388" s="40" t="n">
        <x:v>1</x:v>
      </x:c>
    </x:row>
    <x:row r="389" ht="23" customHeight="1">
      <x:c r="B389" s="17" t="str">
        <x:v>All rounds</x:v>
      </x:c>
      <x:c r="C389" s="17" t="str">
        <x:v>condition</x:v>
      </x:c>
      <x:c r="D389" s="17" t="str">
        <x:v>Compress_20</x:v>
      </x:c>
      <x:c r="E389" s="32" t="n">
        <x:v>0.386</x:v>
      </x:c>
      <x:c r="F389" s="32" t="n">
        <x:v>0.22810000000000002</x:v>
      </x:c>
      <x:c r="G389" s="32" t="n">
        <x:v>0.2895</x:v>
      </x:c>
      <x:c r="H389" s="32" t="n">
        <x:v>0.9211</x:v>
      </x:c>
      <x:c r="I389" s="40" t="n">
        <x:v>2</x:v>
      </x:c>
      <x:c r="J389" s="40" t="n">
        <x:v>2</x:v>
      </x:c>
      <x:c r="K389" s="40" t="n">
        <x:v>2</x:v>
      </x:c>
      <x:c r="L389" s="40" t="n">
        <x:v>1</x:v>
      </x:c>
    </x:row>
    <x:row r="390" ht="23" customHeight="1">
      <x:c r="B390" s="17" t="str">
        <x:v>All rounds</x:v>
      </x:c>
      <x:c r="C390" s="17" t="str">
        <x:v>condition</x:v>
      </x:c>
      <x:c r="D390" s="17" t="str">
        <x:v>Compress_21</x:v>
      </x:c>
      <x:c r="E390" s="32" t="n">
        <x:v>0.6838</x:v>
      </x:c>
      <x:c r="F390" s="32" t="n">
        <x:v>0</x:v>
      </x:c>
      <x:c r="G390" s="32" t="n">
        <x:v>0.5956</x:v>
      </x:c>
      <x:c r="H390" s="32" t="n">
        <x:v>0.9044</x:v>
      </x:c>
      <x:c r="I390" s="40" t="n">
        <x:v>2</x:v>
      </x:c>
      <x:c r="J390" s="40" t="n">
        <x:v>2</x:v>
      </x:c>
      <x:c r="K390" s="40" t="n">
        <x:v>2</x:v>
      </x:c>
      <x:c r="L390" s="40" t="n">
        <x:v>1</x:v>
      </x:c>
    </x:row>
    <x:row r="391" ht="23" customHeight="1">
      <x:c r="B391" s="17" t="str">
        <x:v>All rounds</x:v>
      </x:c>
      <x:c r="C391" s="17" t="str">
        <x:v>condition</x:v>
      </x:c>
      <x:c r="D391" s="17" t="str">
        <x:v>Compress_22</x:v>
      </x:c>
      <x:c r="E391" s="32" t="n">
        <x:v>0.0377</x:v>
      </x:c>
      <x:c r="F391" s="32" t="n">
        <x:v>0.024550000000000002</x:v>
      </x:c>
      <x:c r="G391" s="32" t="n">
        <x:v>0.083</x:v>
      </x:c>
      <x:c r="H391" s="32" t="n">
        <x:v>0.24530000000000002</x:v>
      </x:c>
      <x:c r="I391" s="40" t="n">
        <x:v>2</x:v>
      </x:c>
      <x:c r="J391" s="40" t="n">
        <x:v>2</x:v>
      </x:c>
      <x:c r="K391" s="40" t="n">
        <x:v>1</x:v>
      </x:c>
      <x:c r="L391" s="40" t="n">
        <x:v>1</x:v>
      </x:c>
    </x:row>
    <x:row r="392" ht="23" customHeight="1">
      <x:c r="B392" s="17" t="str">
        <x:v>All rounds</x:v>
      </x:c>
      <x:c r="C392" s="17" t="str">
        <x:v>condition</x:v>
      </x:c>
      <x:c r="D392" s="17" t="str">
        <x:v>Compress_25</x:v>
      </x:c>
      <x:c r="E392" s="32" t="n">
        <x:v>0.11900000000000001</x:v>
      </x:c>
      <x:c r="F392" s="32" t="n">
        <x:v>0.06945</x:v>
      </x:c>
      <x:c r="G392" s="32" t="n">
        <x:v>0.4802</x:v>
      </x:c>
      <x:c r="H392" s="32" t="n">
        <x:v>0.5197999999999999</x:v>
      </x:c>
      <x:c r="I392" s="40" t="n">
        <x:v>2</x:v>
      </x:c>
      <x:c r="J392" s="40" t="n">
        <x:v>2</x:v>
      </x:c>
      <x:c r="K392" s="40" t="n">
        <x:v>1</x:v>
      </x:c>
      <x:c r="L392" s="40" t="n">
        <x:v>1</x:v>
      </x:c>
    </x:row>
    <x:row r="393" ht="23" customHeight="1">
      <x:c r="B393" s="17" t="str">
        <x:v>All rounds</x:v>
      </x:c>
      <x:c r="C393" s="17" t="str">
        <x:v>condition</x:v>
      </x:c>
      <x:c r="D393" s="17" t="str">
        <x:v>Compress_26</x:v>
      </x:c>
      <x:c r="E393" s="32" t="n">
        <x:v>1</x:v>
      </x:c>
      <x:c r="F393" s="32" t="n">
        <x:v>0.6111</x:v>
      </x:c>
      <x:c r="G393" s="32" t="n">
        <x:v>1</x:v>
      </x:c>
      <x:c r="H393" s="32" t="n">
        <x:v>1</x:v>
      </x:c>
      <x:c r="I393" s="40" t="n">
        <x:v>2</x:v>
      </x:c>
      <x:c r="J393" s="40" t="n">
        <x:v>2</x:v>
      </x:c>
      <x:c r="K393" s="40" t="n">
        <x:v>1</x:v>
      </x:c>
      <x:c r="L393" s="40" t="n">
        <x:v>1</x:v>
      </x:c>
    </x:row>
    <x:row r="394" ht="23" customHeight="1">
      <x:c r="B394" s="17" t="str">
        <x:v>All rounds</x:v>
      </x:c>
      <x:c r="C394" s="17" t="str">
        <x:v>condition</x:v>
      </x:c>
      <x:c r="D394" s="17" t="str">
        <x:v>Compress_3</x:v>
      </x:c>
      <x:c r="E394" s="32" t="n">
        <x:v>0.7857</x:v>
      </x:c>
      <x:c r="F394" s="32" t="n">
        <x:v>0.3214</x:v>
      </x:c>
      <x:c r="G394" s="32" t="n">
        <x:v>0.9643</x:v>
      </x:c>
      <x:c r="H394" s="32" t="n">
        <x:v>1</x:v>
      </x:c>
      <x:c r="I394" s="40" t="n">
        <x:v>2</x:v>
      </x:c>
      <x:c r="J394" s="40" t="n">
        <x:v>2</x:v>
      </x:c>
      <x:c r="K394" s="40" t="n">
        <x:v>1</x:v>
      </x:c>
      <x:c r="L394" s="40" t="n">
        <x:v>1</x:v>
      </x:c>
    </x:row>
    <x:row r="395" ht="23" customHeight="1">
      <x:c r="B395" s="17" t="str">
        <x:v>All rounds</x:v>
      </x:c>
      <x:c r="C395" s="17" t="str">
        <x:v>condition</x:v>
      </x:c>
      <x:c r="D395" s="17" t="str">
        <x:v>Compress_30</x:v>
      </x:c>
      <x:c r="E395" s="32" t="n">
        <x:v>0.0377</x:v>
      </x:c>
      <x:c r="F395" s="32" t="n">
        <x:v>0.024550000000000002</x:v>
      </x:c>
      <x:c r="G395" s="32" t="n">
        <x:v>0.0717</x:v>
      </x:c>
      <x:c r="H395" s="32" t="n">
        <x:v>0.24530000000000002</x:v>
      </x:c>
      <x:c r="I395" s="40" t="n">
        <x:v>2</x:v>
      </x:c>
      <x:c r="J395" s="40" t="n">
        <x:v>2</x:v>
      </x:c>
      <x:c r="K395" s="40" t="n">
        <x:v>2</x:v>
      </x:c>
      <x:c r="L395" s="40" t="n">
        <x:v>1</x:v>
      </x:c>
    </x:row>
    <x:row r="396" ht="23" customHeight="1">
      <x:c r="B396" s="17" t="str">
        <x:v>All rounds</x:v>
      </x:c>
      <x:c r="C396" s="17" t="str">
        <x:v>condition</x:v>
      </x:c>
      <x:c r="D396" s="17" t="str">
        <x:v>Compress_32</x:v>
      </x:c>
      <x:c r="E396" s="32" t="n">
        <x:v>0.2937</x:v>
      </x:c>
      <x:c r="F396" s="32" t="n">
        <x:v>0.19049999999999997</x:v>
      </x:c>
      <x:c r="G396" s="32" t="n">
        <x:v>0.3016</x:v>
      </x:c>
      <x:c r="H396" s="32" t="n">
        <x:v>0.6349</x:v>
      </x:c>
      <x:c r="I396" s="40" t="n">
        <x:v>2</x:v>
      </x:c>
      <x:c r="J396" s="40" t="n">
        <x:v>2</x:v>
      </x:c>
      <x:c r="K396" s="40" t="n">
        <x:v>2</x:v>
      </x:c>
      <x:c r="L396" s="40" t="n">
        <x:v>1</x:v>
      </x:c>
    </x:row>
    <x:row r="397" ht="23" customHeight="1">
      <x:c r="B397" s="17" t="str">
        <x:v>All rounds</x:v>
      </x:c>
      <x:c r="C397" s="17" t="str">
        <x:v>condition</x:v>
      </x:c>
      <x:c r="D397" s="17" t="str">
        <x:v>Compress_34</x:v>
      </x:c>
      <x:c r="E397" s="32" t="n">
        <x:v>1</x:v>
      </x:c>
      <x:c r="F397" s="32" t="n">
        <x:v>0.75</x:v>
      </x:c>
      <x:c r="G397" s="32" t="n">
        <x:v>0.9286</x:v>
      </x:c>
      <x:c r="H397" s="32" t="n">
        <x:v>0.9286</x:v>
      </x:c>
      <x:c r="I397" s="40" t="n">
        <x:v>2</x:v>
      </x:c>
      <x:c r="J397" s="40" t="n">
        <x:v>2</x:v>
      </x:c>
      <x:c r="K397" s="40" t="n">
        <x:v>1</x:v>
      </x:c>
      <x:c r="L397" s="40" t="n">
        <x:v>1</x:v>
      </x:c>
    </x:row>
    <x:row r="398" ht="23" customHeight="1">
      <x:c r="B398" s="17" t="str">
        <x:v>All rounds</x:v>
      </x:c>
      <x:c r="C398" s="17" t="str">
        <x:v>condition</x:v>
      </x:c>
      <x:c r="D398" s="17" t="str">
        <x:v>Compress_35</x:v>
      </x:c>
      <x:c r="E398" s="32" t="n">
        <x:v>0.7589</x:v>
      </x:c>
      <x:c r="F398" s="32" t="n">
        <x:v>0.51785</x:v>
      </x:c>
      <x:c r="G398" s="32" t="n">
        <x:v>0.6071</x:v>
      </x:c>
      <x:c r="H398" s="32" t="n">
        <x:v>0.9375</x:v>
      </x:c>
      <x:c r="I398" s="40" t="n">
        <x:v>2</x:v>
      </x:c>
      <x:c r="J398" s="40" t="n">
        <x:v>2</x:v>
      </x:c>
      <x:c r="K398" s="40" t="n">
        <x:v>1</x:v>
      </x:c>
      <x:c r="L398" s="40" t="n">
        <x:v>1</x:v>
      </x:c>
    </x:row>
    <x:row r="399" ht="23" customHeight="1">
      <x:c r="B399" s="17" t="str">
        <x:v>All rounds</x:v>
      </x:c>
      <x:c r="C399" s="17" t="str">
        <x:v>condition</x:v>
      </x:c>
      <x:c r="D399" s="17" t="str">
        <x:v>Compress_36</x:v>
      </x:c>
      <x:c r="E399" s="32" t="n">
        <x:v>0.019799999999999998</x:v>
      </x:c>
      <x:c r="F399" s="32" t="n">
        <x:v>0.019799999999999998</x:v>
      </x:c>
      <x:c r="G399" s="32" t="n">
        <x:v>0.033</x:v>
      </x:c>
      <x:c r="H399" s="32" t="n">
        <x:v>0.505</x:v>
      </x:c>
      <x:c r="I399" s="40" t="n">
        <x:v>2</x:v>
      </x:c>
      <x:c r="J399" s="40" t="n">
        <x:v>2</x:v>
      </x:c>
      <x:c r="K399" s="40" t="n">
        <x:v>2</x:v>
      </x:c>
      <x:c r="L399" s="40" t="n">
        <x:v>1</x:v>
      </x:c>
    </x:row>
    <x:row r="400" ht="23" customHeight="1">
      <x:c r="B400" s="17" t="str">
        <x:v>All rounds</x:v>
      </x:c>
      <x:c r="C400" s="17" t="str">
        <x:v>condition</x:v>
      </x:c>
      <x:c r="D400" s="17" t="str">
        <x:v>Compress_40</x:v>
      </x:c>
      <x:c r="E400" s="32" t="n">
        <x:v>1</x:v>
      </x:c>
      <x:c r="F400" s="32" t="n">
        <x:v>0.5832999999999999</x:v>
      </x:c>
      <x:c r="G400" s="32" t="n">
        <x:v>1</x:v>
      </x:c>
      <x:c r="H400" s="32" t="n">
        <x:v>1</x:v>
      </x:c>
      <x:c r="I400" s="40" t="n">
        <x:v>2</x:v>
      </x:c>
      <x:c r="J400" s="40" t="n">
        <x:v>2</x:v>
      </x:c>
      <x:c r="K400" s="40" t="n">
        <x:v>1</x:v>
      </x:c>
      <x:c r="L400" s="40" t="n">
        <x:v>1</x:v>
      </x:c>
    </x:row>
    <x:row r="401" ht="23" customHeight="1">
      <x:c r="B401" s="17" t="str">
        <x:v>All rounds</x:v>
      </x:c>
      <x:c r="C401" s="17" t="str">
        <x:v>condition</x:v>
      </x:c>
      <x:c r="D401" s="17" t="str">
        <x:v>Compress_42</x:v>
      </x:c>
      <x:c r="E401" s="32" t="n">
        <x:v>0.9470000000000001</x:v>
      </x:c>
      <x:c r="F401" s="32" t="n">
        <x:v>0.40149999999999997</x:v>
      </x:c>
      <x:c r="G401" s="32" t="n">
        <x:v>0.6667000000000001</x:v>
      </x:c>
      <x:c r="H401" s="32" t="n">
        <x:v>0.7803</x:v>
      </x:c>
      <x:c r="I401" s="40" t="n">
        <x:v>2</x:v>
      </x:c>
      <x:c r="J401" s="40" t="n">
        <x:v>2</x:v>
      </x:c>
      <x:c r="K401" s="40" t="n">
        <x:v>1</x:v>
      </x:c>
      <x:c r="L401" s="40" t="n">
        <x:v>1</x:v>
      </x:c>
    </x:row>
    <x:row r="402" ht="23" customHeight="1">
      <x:c r="B402" s="17" t="str">
        <x:v>All rounds</x:v>
      </x:c>
      <x:c r="C402" s="17" t="str">
        <x:v>condition</x:v>
      </x:c>
      <x:c r="D402" s="17" t="str">
        <x:v>Compress_44</x:v>
      </x:c>
      <x:c r="E402" s="32" t="n">
        <x:v>1</x:v>
      </x:c>
      <x:c r="F402" s="32" t="n">
        <x:v>0.33335000000000004</x:v>
      </x:c>
      <x:c r="G402" s="32" t="n">
        <x:v>1</x:v>
      </x:c>
      <x:c r="H402" s="32" t="n">
        <x:v>1</x:v>
      </x:c>
      <x:c r="I402" s="40" t="n">
        <x:v>2</x:v>
      </x:c>
      <x:c r="J402" s="40" t="n">
        <x:v>2</x:v>
      </x:c>
      <x:c r="K402" s="40" t="n">
        <x:v>1</x:v>
      </x:c>
      <x:c r="L402" s="40" t="n">
        <x:v>1</x:v>
      </x:c>
    </x:row>
    <x:row r="403" ht="23" customHeight="1">
      <x:c r="B403" s="17" t="str">
        <x:v>All rounds</x:v>
      </x:c>
      <x:c r="C403" s="17" t="str">
        <x:v>condition</x:v>
      </x:c>
      <x:c r="D403" s="17" t="str">
        <x:v>Compress_45</x:v>
      </x:c>
      <x:c r="E403" s="32" t="n">
        <x:v>0.8056</x:v>
      </x:c>
      <x:c r="F403" s="32" t="n">
        <x:v>0.4907</x:v>
      </x:c>
      <x:c r="G403" s="32" t="n">
        <x:v>0.6111</x:v>
      </x:c>
      <x:c r="H403" s="32" t="n">
        <x:v>0.6667000000000001</x:v>
      </x:c>
      <x:c r="I403" s="40" t="n">
        <x:v>2</x:v>
      </x:c>
      <x:c r="J403" s="40" t="n">
        <x:v>2</x:v>
      </x:c>
      <x:c r="K403" s="40" t="n">
        <x:v>2</x:v>
      </x:c>
      <x:c r="L403" s="40" t="n">
        <x:v>1</x:v>
      </x:c>
    </x:row>
    <x:row r="404" ht="23" customHeight="1">
      <x:c r="B404" s="17" t="str">
        <x:v>All rounds</x:v>
      </x:c>
      <x:c r="C404" s="17" t="str">
        <x:v>condition</x:v>
      </x:c>
      <x:c r="D404" s="17" t="str">
        <x:v>Compress_46</x:v>
      </x:c>
      <x:c r="E404" s="32" t="n">
        <x:v>1</x:v>
      </x:c>
      <x:c r="F404" s="32" t="n">
        <x:v>0.36460000000000004</x:v>
      </x:c>
      <x:c r="G404" s="32" t="n">
        <x:v>0.75</x:v>
      </x:c>
      <x:c r="H404" s="32" t="n">
        <x:v>0.5207999999999999</x:v>
      </x:c>
      <x:c r="I404" s="40" t="n">
        <x:v>2</x:v>
      </x:c>
      <x:c r="J404" s="40" t="n">
        <x:v>2</x:v>
      </x:c>
      <x:c r="K404" s="40" t="n">
        <x:v>1</x:v>
      </x:c>
      <x:c r="L404" s="40" t="n">
        <x:v>1</x:v>
      </x:c>
    </x:row>
    <x:row r="405" ht="23" customHeight="1">
      <x:c r="B405" s="17" t="str">
        <x:v>All rounds</x:v>
      </x:c>
      <x:c r="C405" s="17" t="str">
        <x:v>condition</x:v>
      </x:c>
      <x:c r="D405" s="17" t="str">
        <x:v>Compress_47</x:v>
      </x:c>
      <x:c r="E405" s="32" t="n">
        <x:v>0.10619999999999999</x:v>
      </x:c>
      <x:c r="F405" s="32" t="n">
        <x:v>0.08055</x:v>
      </x:c>
      <x:c r="G405" s="32" t="n">
        <x:v>0.4725</x:v>
      </x:c>
      <x:c r="H405" s="32" t="n">
        <x:v>0.37</x:v>
      </x:c>
      <x:c r="I405" s="40" t="n">
        <x:v>2</x:v>
      </x:c>
      <x:c r="J405" s="40" t="n">
        <x:v>2</x:v>
      </x:c>
      <x:c r="K405" s="40" t="n">
        <x:v>2</x:v>
      </x:c>
      <x:c r="L405" s="40" t="n">
        <x:v>1</x:v>
      </x:c>
    </x:row>
    <x:row r="406" ht="23" customHeight="1">
      <x:c r="B406" s="17" t="str">
        <x:v>All rounds</x:v>
      </x:c>
      <x:c r="C406" s="17" t="str">
        <x:v>condition</x:v>
      </x:c>
      <x:c r="D406" s="17" t="str">
        <x:v>Compress_5</x:v>
      </x:c>
      <x:c r="E406" s="32" t="n">
        <x:v>0.2766</x:v>
      </x:c>
      <x:c r="F406" s="32" t="n">
        <x:v>0.25</x:v>
      </x:c>
      <x:c r="G406" s="32" t="n">
        <x:v>0.7447</x:v>
      </x:c>
      <x:c r="H406" s="32" t="n">
        <x:v>0.8723000000000001</x:v>
      </x:c>
      <x:c r="I406" s="40" t="n">
        <x:v>2</x:v>
      </x:c>
      <x:c r="J406" s="40" t="n">
        <x:v>2</x:v>
      </x:c>
      <x:c r="K406" s="40" t="n">
        <x:v>1</x:v>
      </x:c>
      <x:c r="L406" s="40" t="n">
        <x:v>1</x:v>
      </x:c>
    </x:row>
    <x:row r="407" ht="23" customHeight="1">
      <x:c r="B407" s="17" t="str">
        <x:v>All rounds</x:v>
      </x:c>
      <x:c r="C407" s="17" t="str">
        <x:v>condition</x:v>
      </x:c>
      <x:c r="D407" s="17" t="str">
        <x:v>Compress_8</x:v>
      </x:c>
      <x:c r="E407" s="32" t="n">
        <x:v>0.9473999999999999</x:v>
      </x:c>
      <x:c r="F407" s="32" t="n">
        <x:v>0.82895</x:v>
      </x:c>
      <x:c r="G407" s="32" t="n">
        <x:v>0.9211</x:v>
      </x:c>
      <x:c r="H407" s="32" t="n">
        <x:v>0.9737</x:v>
      </x:c>
      <x:c r="I407" s="40" t="n">
        <x:v>2</x:v>
      </x:c>
      <x:c r="J407" s="40" t="n">
        <x:v>2</x:v>
      </x:c>
      <x:c r="K407" s="40" t="n">
        <x:v>2</x:v>
      </x:c>
      <x:c r="L407" s="40" t="n">
        <x:v>1</x:v>
      </x:c>
    </x:row>
    <x:row r="408" ht="23" customHeight="1">
      <x:c r="B408" s="17" t="str">
        <x:v>All rounds</x:v>
      </x:c>
      <x:c r="C408" s="17" t="str">
        <x:v>condition</x:v>
      </x:c>
      <x:c r="D408" s="17" t="str">
        <x:v>Compress_9</x:v>
      </x:c>
      <x:c r="E408" s="32" t="n">
        <x:v>0.6667000000000001</x:v>
      </x:c>
      <x:c r="F408" s="32" t="n">
        <x:v>0.3214</x:v>
      </x:c>
      <x:c r="G408" s="32" t="n">
        <x:v>0.8332999999999999</x:v>
      </x:c>
      <x:c r="H408" s="32" t="n">
        <x:v>1</x:v>
      </x:c>
      <x:c r="I408" s="40" t="n">
        <x:v>2</x:v>
      </x:c>
      <x:c r="J408" s="40" t="n">
        <x:v>2</x:v>
      </x:c>
      <x:c r="K408" s="40" t="n">
        <x:v>2</x:v>
      </x:c>
      <x:c r="L408" s="40" t="n">
        <x:v>1</x:v>
      </x:c>
    </x:row>
    <x:row r="409" ht="23" customHeight="1">
      <x:c r="B409" s="17" t="str">
        <x:v>All rounds</x:v>
      </x:c>
      <x:c r="C409" s="17" t="str">
        <x:v>condition</x:v>
      </x:c>
      <x:c r="D409" s="17" t="str">
        <x:v>Csv_1</x:v>
      </x:c>
      <x:c r="E409" s="32" t="n">
        <x:v>0.5909</x:v>
      </x:c>
      <x:c r="F409" s="32" t="n">
        <x:v>0.13635</x:v>
      </x:c>
      <x:c r="G409" s="32" t="n">
        <x:v>0.9545</x:v>
      </x:c>
      <x:c r="H409" s="32" t="n">
        <x:v>0.9545</x:v>
      </x:c>
      <x:c r="I409" s="40" t="n">
        <x:v>2</x:v>
      </x:c>
      <x:c r="J409" s="40" t="n">
        <x:v>2</x:v>
      </x:c>
      <x:c r="K409" s="40" t="n">
        <x:v>2</x:v>
      </x:c>
      <x:c r="L409" s="40" t="n">
        <x:v>1</x:v>
      </x:c>
    </x:row>
    <x:row r="410" ht="23" customHeight="1">
      <x:c r="B410" s="17" t="str">
        <x:v>All rounds</x:v>
      </x:c>
      <x:c r="C410" s="17" t="str">
        <x:v>condition</x:v>
      </x:c>
      <x:c r="D410" s="17" t="str">
        <x:v>Csv_16</x:v>
      </x:c>
      <x:c r="E410" s="32" t="n">
        <x:v>0.6470999999999999</x:v>
      </x:c>
      <x:c r="F410" s="32" t="n">
        <x:v>0</x:v>
      </x:c>
      <x:c r="G410" s="32" t="n">
        <x:v>0.6175999999999999</x:v>
      </x:c>
      <x:c r="H410" s="32" t="n">
        <x:v>0.5294</x:v>
      </x:c>
      <x:c r="I410" s="40" t="n">
        <x:v>2</x:v>
      </x:c>
      <x:c r="J410" s="40" t="n">
        <x:v>2</x:v>
      </x:c>
      <x:c r="K410" s="40" t="n">
        <x:v>1</x:v>
      </x:c>
      <x:c r="L410" s="40" t="n">
        <x:v>1</x:v>
      </x:c>
    </x:row>
    <x:row r="411" ht="23" customHeight="1">
      <x:c r="B411" s="17" t="str">
        <x:v>All rounds</x:v>
      </x:c>
      <x:c r="C411" s="17" t="str">
        <x:v>condition</x:v>
      </x:c>
      <x:c r="D411" s="17" t="str">
        <x:v>Csv_2</x:v>
      </x:c>
      <x:c r="E411" s="32" t="n">
        <x:v>1</x:v>
      </x:c>
      <x:c r="F411" s="32" t="n">
        <x:v>0.34375</x:v>
      </x:c>
      <x:c r="G411" s="32" t="n">
        <x:v>1</x:v>
      </x:c>
      <x:c r="H411" s="32" t="n">
        <x:v>1</x:v>
      </x:c>
      <x:c r="I411" s="40" t="n">
        <x:v>2</x:v>
      </x:c>
      <x:c r="J411" s="40" t="n">
        <x:v>2</x:v>
      </x:c>
      <x:c r="K411" s="40" t="n">
        <x:v>2</x:v>
      </x:c>
      <x:c r="L411" s="40" t="n">
        <x:v>1</x:v>
      </x:c>
    </x:row>
    <x:row r="412" ht="23" customHeight="1">
      <x:c r="B412" s="17" t="str">
        <x:v>All rounds</x:v>
      </x:c>
      <x:c r="C412" s="17" t="str">
        <x:v>condition</x:v>
      </x:c>
      <x:c r="D412" s="17" t="str">
        <x:v>Csv_6</x:v>
      </x:c>
      <x:c r="E412" s="32" t="n">
        <x:v>1</x:v>
      </x:c>
      <x:c r="F412" s="32" t="n">
        <x:v>0.3333</x:v>
      </x:c>
      <x:c r="G412" s="32" t="n">
        <x:v>0.8332999999999999</x:v>
      </x:c>
      <x:c r="H412" s="32" t="n">
        <x:v>1</x:v>
      </x:c>
      <x:c r="I412" s="40" t="n">
        <x:v>2</x:v>
      </x:c>
      <x:c r="J412" s="40" t="n">
        <x:v>2</x:v>
      </x:c>
      <x:c r="K412" s="40" t="n">
        <x:v>2</x:v>
      </x:c>
      <x:c r="L412" s="40" t="n">
        <x:v>1</x:v>
      </x:c>
    </x:row>
    <x:row r="413" ht="23" customHeight="1">
      <x:c r="B413" s="17" t="str">
        <x:v>All rounds</x:v>
      </x:c>
      <x:c r="C413" s="17" t="str">
        <x:v>condition</x:v>
      </x:c>
      <x:c r="D413" s="17" t="str">
        <x:v>Csv_7</x:v>
      </x:c>
      <x:c r="E413" s="32" t="n">
        <x:v>0.76</x:v>
      </x:c>
      <x:c r="F413" s="32" t="n">
        <x:v>0</x:v>
      </x:c>
      <x:c r="G413" s="32" t="n">
        <x:v>0.68</x:v>
      </x:c>
      <x:c r="H413" s="32" t="n">
        <x:v>0.56</x:v>
      </x:c>
      <x:c r="I413" s="40" t="n">
        <x:v>2</x:v>
      </x:c>
      <x:c r="J413" s="40" t="n">
        <x:v>2</x:v>
      </x:c>
      <x:c r="K413" s="40" t="n">
        <x:v>2</x:v>
      </x:c>
      <x:c r="L413" s="40" t="n">
        <x:v>1</x:v>
      </x:c>
    </x:row>
    <x:row r="414" ht="23" customHeight="1">
      <x:c r="B414" s="17" t="str">
        <x:v>All rounds</x:v>
      </x:c>
      <x:c r="C414" s="17" t="str">
        <x:v>condition</x:v>
      </x:c>
      <x:c r="D414" s="17" t="str">
        <x:v>Csv_9</x:v>
      </x:c>
      <x:c r="E414" s="32" t="n">
        <x:v>1</x:v>
      </x:c>
      <x:c r="F414" s="32" t="n">
        <x:v>0.2727</x:v>
      </x:c>
      <x:c r="G414" s="32" t="n">
        <x:v>0.9545</x:v>
      </x:c>
      <x:c r="H414" s="32" t="n">
        <x:v>1</x:v>
      </x:c>
      <x:c r="I414" s="40" t="n">
        <x:v>2</x:v>
      </x:c>
      <x:c r="J414" s="40" t="n">
        <x:v>2</x:v>
      </x:c>
      <x:c r="K414" s="40" t="n">
        <x:v>2</x:v>
      </x:c>
      <x:c r="L414" s="40" t="n">
        <x:v>1</x:v>
      </x:c>
    </x:row>
    <x:row r="415" ht="23" customHeight="1">
      <x:c r="B415" s="17" t="str">
        <x:v>All rounds</x:v>
      </x:c>
      <x:c r="C415" s="17" t="str">
        <x:v>condition</x:v>
      </x:c>
      <x:c r="D415" s="17" t="str">
        <x:v>Gson_1</x:v>
      </x:c>
      <x:c r="E415" s="32" t="n">
        <x:v>0</x:v>
      </x:c>
      <x:c r="F415" s="32" t="n">
        <x:v>0</x:v>
      </x:c>
      <x:c r="G415" s="32" t="n">
        <x:v>0.5455</x:v>
      </x:c>
      <x:c r="H415" s="32" t="n">
        <x:v>0.9545</x:v>
      </x:c>
      <x:c r="I415" s="40" t="n">
        <x:v>2</x:v>
      </x:c>
      <x:c r="J415" s="40" t="n">
        <x:v>2</x:v>
      </x:c>
      <x:c r="K415" s="40" t="n">
        <x:v>2</x:v>
      </x:c>
      <x:c r="L415" s="40" t="n">
        <x:v>1</x:v>
      </x:c>
    </x:row>
    <x:row r="416" ht="23" customHeight="1">
      <x:c r="B416" s="17" t="str">
        <x:v>All rounds</x:v>
      </x:c>
      <x:c r="C416" s="17" t="str">
        <x:v>condition</x:v>
      </x:c>
      <x:c r="D416" s="17" t="str">
        <x:v>Gson_12</x:v>
      </x:c>
      <x:c r="E416" s="32" t="n">
        <x:v>0.8140000000000001</x:v>
      </x:c>
      <x:c r="F416" s="32" t="n">
        <x:v>0.1512</x:v>
      </x:c>
      <x:c r="G416" s="32" t="n">
        <x:v>0.7442</x:v>
      </x:c>
      <x:c r="H416" s="32" t="n">
        <x:v>0.9301999999999999</x:v>
      </x:c>
      <x:c r="I416" s="40" t="n">
        <x:v>2</x:v>
      </x:c>
      <x:c r="J416" s="40" t="n">
        <x:v>2</x:v>
      </x:c>
      <x:c r="K416" s="40" t="n">
        <x:v>1</x:v>
      </x:c>
      <x:c r="L416" s="40" t="n">
        <x:v>1</x:v>
      </x:c>
    </x:row>
    <x:row r="417" ht="23" customHeight="1">
      <x:c r="B417" s="17" t="str">
        <x:v>All rounds</x:v>
      </x:c>
      <x:c r="C417" s="17" t="str">
        <x:v>condition</x:v>
      </x:c>
      <x:c r="D417" s="17" t="str">
        <x:v>Gson_14</x:v>
      </x:c>
      <x:c r="E417" s="32" t="n">
        <x:v>0</x:v>
      </x:c>
      <x:c r="F417" s="32" t="n">
        <x:v>0</x:v>
      </x:c>
      <x:c r="G417" s="32" t="n">
        <x:v>0.6474</x:v>
      </x:c>
      <x:c r="H417" s="32" t="n">
        <x:v>0.9</x:v>
      </x:c>
      <x:c r="I417" s="40" t="n">
        <x:v>2</x:v>
      </x:c>
      <x:c r="J417" s="40" t="n">
        <x:v>2</x:v>
      </x:c>
      <x:c r="K417" s="40" t="n">
        <x:v>1</x:v>
      </x:c>
      <x:c r="L417" s="40" t="n">
        <x:v>1</x:v>
      </x:c>
    </x:row>
    <x:row r="418" ht="23" customHeight="1">
      <x:c r="B418" s="17" t="str">
        <x:v>All rounds</x:v>
      </x:c>
      <x:c r="C418" s="17" t="str">
        <x:v>condition</x:v>
      </x:c>
      <x:c r="D418" s="17" t="str">
        <x:v>Gson_15</x:v>
      </x:c>
      <x:c r="E418" s="32" t="n">
        <x:v>0.8695999999999999</x:v>
      </x:c>
      <x:c r="F418" s="32" t="n">
        <x:v>0.0217</x:v>
      </x:c>
      <x:c r="G418" s="32" t="n">
        <x:v>0.6087</x:v>
      </x:c>
      <x:c r="H418" s="32" t="n">
        <x:v>0.9673999999999999</x:v>
      </x:c>
      <x:c r="I418" s="40" t="n">
        <x:v>2</x:v>
      </x:c>
      <x:c r="J418" s="40" t="n">
        <x:v>2</x:v>
      </x:c>
      <x:c r="K418" s="40" t="n">
        <x:v>1</x:v>
      </x:c>
      <x:c r="L418" s="40" t="n">
        <x:v>1</x:v>
      </x:c>
    </x:row>
    <x:row r="419" ht="23" customHeight="1">
      <x:c r="B419" s="17" t="str">
        <x:v>All rounds</x:v>
      </x:c>
      <x:c r="C419" s="17" t="str">
        <x:v>condition</x:v>
      </x:c>
      <x:c r="D419" s="17" t="str">
        <x:v>Gson_16</x:v>
      </x:c>
      <x:c r="E419" s="32" t="n">
        <x:v>0</x:v>
      </x:c>
      <x:c r="F419" s="32" t="n">
        <x:v>0</x:v>
      </x:c>
      <x:c r="G419" s="32" t="n">
        <x:v>0.6648999999999999</x:v>
      </x:c>
      <x:c r="H419" s="32" t="n">
        <x:v>0.8865999999999999</x:v>
      </x:c>
      <x:c r="I419" s="40" t="n">
        <x:v>2</x:v>
      </x:c>
      <x:c r="J419" s="40" t="n">
        <x:v>2</x:v>
      </x:c>
      <x:c r="K419" s="40" t="n">
        <x:v>1</x:v>
      </x:c>
      <x:c r="L419" s="40" t="n">
        <x:v>1</x:v>
      </x:c>
    </x:row>
    <x:row r="420" ht="23" customHeight="1">
      <x:c r="B420" s="17" t="str">
        <x:v>All rounds</x:v>
      </x:c>
      <x:c r="C420" s="17" t="str">
        <x:v>condition</x:v>
      </x:c>
      <x:c r="D420" s="17" t="str">
        <x:v>Gson_3</x:v>
      </x:c>
      <x:c r="E420" s="32" t="n">
        <x:v>0</x:v>
      </x:c>
      <x:c r="F420" s="32" t="n">
        <x:v>0</x:v>
      </x:c>
      <x:c r="G420" s="32" t="n">
        <x:v>0.6562</x:v>
      </x:c>
      <x:c r="H420" s="32" t="n">
        <x:v>0.9688</x:v>
      </x:c>
      <x:c r="I420" s="40" t="n">
        <x:v>2</x:v>
      </x:c>
      <x:c r="J420" s="40" t="n">
        <x:v>2</x:v>
      </x:c>
      <x:c r="K420" s="40" t="n">
        <x:v>2</x:v>
      </x:c>
      <x:c r="L420" s="40" t="n">
        <x:v>1</x:v>
      </x:c>
    </x:row>
    <x:row r="421" ht="23" customHeight="1">
      <x:c r="B421" s="17" t="str">
        <x:v>All rounds</x:v>
      </x:c>
      <x:c r="C421" s="17" t="str">
        <x:v>condition</x:v>
      </x:c>
      <x:c r="D421" s="17" t="str">
        <x:v>Gson_4</x:v>
      </x:c>
      <x:c r="E421" s="32" t="n">
        <x:v>0.47259999999999996</x:v>
      </x:c>
      <x:c r="F421" s="32" t="n">
        <x:v>0.0053</x:v>
      </x:c>
      <x:c r="G421" s="32" t="n">
        <x:v>0.4867</x:v>
      </x:c>
      <x:c r="H421" s="32" t="n">
        <x:v>0.8283</x:v>
      </x:c>
      <x:c r="I421" s="40" t="n">
        <x:v>2</x:v>
      </x:c>
      <x:c r="J421" s="40" t="n">
        <x:v>2</x:v>
      </x:c>
      <x:c r="K421" s="40" t="n">
        <x:v>1</x:v>
      </x:c>
      <x:c r="L421" s="40" t="n">
        <x:v>1</x:v>
      </x:c>
    </x:row>
    <x:row r="422" ht="23" customHeight="1">
      <x:c r="B422" s="17" t="str">
        <x:v>All rounds</x:v>
      </x:c>
      <x:c r="C422" s="17" t="str">
        <x:v>condition</x:v>
      </x:c>
      <x:c r="D422" s="17" t="str">
        <x:v>Gson_5</x:v>
      </x:c>
      <x:c r="E422" s="32" t="n">
        <x:v>0.7079000000000001</x:v>
      </x:c>
      <x:c r="F422" s="32" t="n">
        <x:v>0</x:v>
      </x:c>
      <x:c r="G422" s="32" t="n">
        <x:v>0.7528</x:v>
      </x:c>
      <x:c r="H422" s="32" t="n">
        <x:v>0.8764</x:v>
      </x:c>
      <x:c r="I422" s="40" t="n">
        <x:v>2</x:v>
      </x:c>
      <x:c r="J422" s="40" t="n">
        <x:v>2</x:v>
      </x:c>
      <x:c r="K422" s="40" t="n">
        <x:v>2</x:v>
      </x:c>
      <x:c r="L422" s="40" t="n">
        <x:v>1</x:v>
      </x:c>
    </x:row>
    <x:row r="423" ht="23" customHeight="1">
      <x:c r="B423" s="17" t="str">
        <x:v>All rounds</x:v>
      </x:c>
      <x:c r="C423" s="17" t="str">
        <x:v>condition</x:v>
      </x:c>
      <x:c r="D423" s="17" t="str">
        <x:v>Gson_7</x:v>
      </x:c>
      <x:c r="E423" s="32" t="n">
        <x:v>0.4158</x:v>
      </x:c>
      <x:c r="F423" s="32" t="n">
        <x:v>0.0021</x:v>
      </x:c>
      <x:c r="G423" s="32" t="n">
        <x:v>0.5416</x:v>
      </x:c>
      <x:c r="H423" s="32" t="n">
        <x:v>0.7909999999999999</x:v>
      </x:c>
      <x:c r="I423" s="40" t="n">
        <x:v>2</x:v>
      </x:c>
      <x:c r="J423" s="40" t="n">
        <x:v>2</x:v>
      </x:c>
      <x:c r="K423" s="40" t="n">
        <x:v>1</x:v>
      </x:c>
      <x:c r="L423" s="40" t="n">
        <x:v>1</x:v>
      </x:c>
    </x:row>
    <x:row r="424" ht="23" customHeight="1">
      <x:c r="B424" s="17" t="str">
        <x:v>All rounds</x:v>
      </x:c>
      <x:c r="C424" s="17" t="str">
        <x:v>condition</x:v>
      </x:c>
      <x:c r="D424" s="17" t="str">
        <x:v>JacksonCore_10</x:v>
      </x:c>
      <x:c r="E424" s="32" t="n">
        <x:v>0.406</x:v>
      </x:c>
      <x:c r="F424" s="32" t="n">
        <x:v>0.1748</x:v>
      </x:c>
      <x:c r="G424" s="32" t="n">
        <x:v>0.2368</x:v>
      </x:c>
      <x:c r="H424" s="32" t="n">
        <x:v>0.6805</x:v>
      </x:c>
      <x:c r="I424" s="40" t="n">
        <x:v>2</x:v>
      </x:c>
      <x:c r="J424" s="40" t="n">
        <x:v>2</x:v>
      </x:c>
      <x:c r="K424" s="40" t="n">
        <x:v>1</x:v>
      </x:c>
      <x:c r="L424" s="40" t="n">
        <x:v>1</x:v>
      </x:c>
    </x:row>
    <x:row r="425" ht="23" customHeight="1">
      <x:c r="B425" s="17" t="str">
        <x:v>All rounds</x:v>
      </x:c>
      <x:c r="C425" s="17" t="str">
        <x:v>condition</x:v>
      </x:c>
      <x:c r="D425" s="17" t="str">
        <x:v>JacksonCore_2</x:v>
      </x:c>
      <x:c r="E425" s="32" t="n">
        <x:v>0.2285</x:v>
      </x:c>
      <x:c r="F425" s="32" t="n">
        <x:v>0.0009</x:v>
      </x:c>
      <x:c r="G425" s="32" t="n">
        <x:v>0.3292</x:v>
      </x:c>
      <x:c r="H425" s="32" t="n">
        <x:v>0.1502</x:v>
      </x:c>
      <x:c r="I425" s="40" t="n">
        <x:v>2</x:v>
      </x:c>
      <x:c r="J425" s="40" t="n">
        <x:v>2</x:v>
      </x:c>
      <x:c r="K425" s="40" t="n">
        <x:v>1</x:v>
      </x:c>
      <x:c r="L425" s="40" t="n">
        <x:v>1</x:v>
      </x:c>
    </x:row>
    <x:row r="426" ht="23" customHeight="1">
      <x:c r="B426" s="17" t="str">
        <x:v>All rounds</x:v>
      </x:c>
      <x:c r="C426" s="17" t="str">
        <x:v>condition</x:v>
      </x:c>
      <x:c r="D426" s="17" t="str">
        <x:v>JacksonCore_21</x:v>
      </x:c>
      <x:c r="E426" s="32" t="n">
        <x:v>0.2305</x:v>
      </x:c>
      <x:c r="F426" s="32" t="n">
        <x:v>0.0576</x:v>
      </x:c>
      <x:c r="G426" s="32" t="n">
        <x:v>0.0669</x:v>
      </x:c>
      <x:c r="H426" s="32" t="n">
        <x:v>0.19329999999999997</x:v>
      </x:c>
      <x:c r="I426" s="40" t="n">
        <x:v>2</x:v>
      </x:c>
      <x:c r="J426" s="40" t="n">
        <x:v>2</x:v>
      </x:c>
      <x:c r="K426" s="40" t="n">
        <x:v>1</x:v>
      </x:c>
      <x:c r="L426" s="40" t="n">
        <x:v>1</x:v>
      </x:c>
    </x:row>
    <x:row r="427" ht="23" customHeight="1">
      <x:c r="B427" s="17" t="str">
        <x:v>All rounds</x:v>
      </x:c>
      <x:c r="C427" s="17" t="str">
        <x:v>condition</x:v>
      </x:c>
      <x:c r="D427" s="17" t="str">
        <x:v>JacksonCore_22</x:v>
      </x:c>
      <x:c r="E427" s="32" t="n">
        <x:v>0.191</x:v>
      </x:c>
      <x:c r="F427" s="32" t="n">
        <x:v>0.05805</x:v>
      </x:c>
      <x:c r="G427" s="32" t="n">
        <x:v>0.3109</x:v>
      </x:c>
      <x:c r="H427" s="32" t="n">
        <x:v>0.1873</x:v>
      </x:c>
      <x:c r="I427" s="40" t="n">
        <x:v>2</x:v>
      </x:c>
      <x:c r="J427" s="40" t="n">
        <x:v>2</x:v>
      </x:c>
      <x:c r="K427" s="40" t="n">
        <x:v>1</x:v>
      </x:c>
      <x:c r="L427" s="40" t="n">
        <x:v>1</x:v>
      </x:c>
    </x:row>
    <x:row r="428" ht="23" customHeight="1">
      <x:c r="B428" s="17" t="str">
        <x:v>All rounds</x:v>
      </x:c>
      <x:c r="C428" s="17" t="str">
        <x:v>condition</x:v>
      </x:c>
      <x:c r="D428" s="17" t="str">
        <x:v>JacksonCore_26</x:v>
      </x:c>
      <x:c r="E428" s="32" t="n">
        <x:v>0.122</x:v>
      </x:c>
      <x:c r="F428" s="32" t="n">
        <x:v>0</x:v>
      </x:c>
      <x:c r="G428" s="32" t="n">
        <x:v>0.10619999999999999</x:v>
      </x:c>
      <x:c r="H428" s="32" t="n">
        <x:v>0.0873</x:v>
      </x:c>
      <x:c r="I428" s="40" t="n">
        <x:v>2</x:v>
      </x:c>
      <x:c r="J428" s="40" t="n">
        <x:v>2</x:v>
      </x:c>
      <x:c r="K428" s="40" t="n">
        <x:v>2</x:v>
      </x:c>
      <x:c r="L428" s="40" t="n">
        <x:v>1</x:v>
      </x:c>
    </x:row>
    <x:row r="429" ht="23" customHeight="1">
      <x:c r="B429" s="17" t="str">
        <x:v>All rounds</x:v>
      </x:c>
      <x:c r="C429" s="17" t="str">
        <x:v>condition</x:v>
      </x:c>
      <x:c r="D429" s="17" t="str">
        <x:v>JacksonCore_5</x:v>
      </x:c>
      <x:c r="E429" s="32" t="n">
        <x:v>0.9194</x:v>
      </x:c>
      <x:c r="F429" s="32" t="n">
        <x:v>0.55645</x:v>
      </x:c>
      <x:c r="G429" s="32" t="n">
        <x:v>0.9031999999999999</x:v>
      </x:c>
      <x:c r="H429" s="32" t="n">
        <x:v>0.7581</x:v>
      </x:c>
      <x:c r="I429" s="40" t="n">
        <x:v>2</x:v>
      </x:c>
      <x:c r="J429" s="40" t="n">
        <x:v>2</x:v>
      </x:c>
      <x:c r="K429" s="40" t="n">
        <x:v>1</x:v>
      </x:c>
      <x:c r="L429" s="40" t="n">
        <x:v>1</x:v>
      </x:c>
    </x:row>
    <x:row r="430" ht="23" customHeight="1">
      <x:c r="B430" s="17" t="str">
        <x:v>All rounds</x:v>
      </x:c>
      <x:c r="C430" s="17" t="str">
        <x:v>condition</x:v>
      </x:c>
      <x:c r="D430" s="17" t="str">
        <x:v>JacksonCore_6</x:v>
      </x:c>
      <x:c r="E430" s="32" t="n">
        <x:v>0.9355</x:v>
      </x:c>
      <x:c r="F430" s="32" t="n">
        <x:v>0.55645</x:v>
      </x:c>
      <x:c r="G430" s="32" t="n">
        <x:v>0.871</x:v>
      </x:c>
      <x:c r="H430" s="32" t="n">
        <x:v>0.7581</x:v>
      </x:c>
      <x:c r="I430" s="40" t="n">
        <x:v>2</x:v>
      </x:c>
      <x:c r="J430" s="40" t="n">
        <x:v>2</x:v>
      </x:c>
      <x:c r="K430" s="40" t="n">
        <x:v>2</x:v>
      </x:c>
      <x:c r="L430" s="40" t="n">
        <x:v>1</x:v>
      </x:c>
    </x:row>
    <x:row r="431" ht="23" customHeight="1">
      <x:c r="B431" s="17" t="str">
        <x:v>All rounds</x:v>
      </x:c>
      <x:c r="C431" s="17" t="str">
        <x:v>condition</x:v>
      </x:c>
      <x:c r="D431" s="17" t="str">
        <x:v>JacksonCore_8</x:v>
      </x:c>
      <x:c r="E431" s="32" t="n">
        <x:v>0.971</x:v>
      </x:c>
      <x:c r="F431" s="32" t="n">
        <x:v>0.53625</x:v>
      </x:c>
      <x:c r="G431" s="32" t="n">
        <x:v>0.4855</x:v>
      </x:c>
      <x:c r="H431" s="32" t="n">
        <x:v>0.8913</x:v>
      </x:c>
      <x:c r="I431" s="40" t="n">
        <x:v>2</x:v>
      </x:c>
      <x:c r="J431" s="40" t="n">
        <x:v>2</x:v>
      </x:c>
      <x:c r="K431" s="40" t="n">
        <x:v>2</x:v>
      </x:c>
      <x:c r="L431" s="40" t="n">
        <x:v>1</x:v>
      </x:c>
    </x:row>
    <x:row r="432" ht="23" customHeight="1">
      <x:c r="B432" s="17" t="str">
        <x:v>All rounds</x:v>
      </x:c>
      <x:c r="C432" s="17" t="str">
        <x:v>condition</x:v>
      </x:c>
      <x:c r="D432" s="17" t="str">
        <x:v>JacksonDatabind_105</x:v>
      </x:c>
      <x:c r="E432" s="32" t="n">
        <x:v>0.6667000000000001</x:v>
      </x:c>
      <x:c r="F432" s="32" t="n">
        <x:v>0</x:v>
      </x:c>
      <x:c r="G432" s="32" t="n">
        <x:v>0.8332999999999999</x:v>
      </x:c>
      <x:c r="H432" s="32" t="n">
        <x:v>1</x:v>
      </x:c>
      <x:c r="I432" s="40" t="n">
        <x:v>2</x:v>
      </x:c>
      <x:c r="J432" s="40" t="n">
        <x:v>2</x:v>
      </x:c>
      <x:c r="K432" s="40" t="n">
        <x:v>2</x:v>
      </x:c>
      <x:c r="L432" s="40" t="n">
        <x:v>1</x:v>
      </x:c>
    </x:row>
    <x:row r="433" ht="23" customHeight="1">
      <x:c r="B433" s="17" t="str">
        <x:v>All rounds</x:v>
      </x:c>
      <x:c r="C433" s="17" t="str">
        <x:v>condition</x:v>
      </x:c>
      <x:c r="D433" s="17" t="str">
        <x:v>JacksonDatabind_108</x:v>
      </x:c>
      <x:c r="E433" s="32" t="n">
        <x:v>0.41759999999999997</x:v>
      </x:c>
      <x:c r="F433" s="32" t="n">
        <x:v>0</x:v>
      </x:c>
      <x:c r="G433" s="32" t="n">
        <x:v>0.3626</x:v>
      </x:c>
      <x:c r="H433" s="32" t="n">
        <x:v>0</x:v>
      </x:c>
      <x:c r="I433" s="40" t="n">
        <x:v>2</x:v>
      </x:c>
      <x:c r="J433" s="40" t="n">
        <x:v>2</x:v>
      </x:c>
      <x:c r="K433" s="40" t="n">
        <x:v>1</x:v>
      </x:c>
      <x:c r="L433" s="40" t="n">
        <x:v>1</x:v>
      </x:c>
    </x:row>
    <x:row r="434" ht="23" customHeight="1">
      <x:c r="B434" s="17" t="str">
        <x:v>All rounds</x:v>
      </x:c>
      <x:c r="C434" s="17" t="str">
        <x:v>condition</x:v>
      </x:c>
      <x:c r="D434" s="17" t="str">
        <x:v>JacksonDatabind_11</x:v>
      </x:c>
      <x:c r="E434" s="32" t="n">
        <x:v>0.6515000000000001</x:v>
      </x:c>
      <x:c r="F434" s="32" t="n">
        <x:v>0.1288</x:v>
      </x:c>
      <x:c r="G434" s="32" t="n">
        <x:v>0.4242</x:v>
      </x:c>
      <x:c r="H434" s="32" t="n">
        <x:v>0</x:v>
      </x:c>
      <x:c r="I434" s="40" t="n">
        <x:v>2</x:v>
      </x:c>
      <x:c r="J434" s="40" t="n">
        <x:v>2</x:v>
      </x:c>
      <x:c r="K434" s="40" t="n">
        <x:v>1</x:v>
      </x:c>
      <x:c r="L434" s="40" t="n">
        <x:v>1</x:v>
      </x:c>
    </x:row>
    <x:row r="435" ht="23" customHeight="1">
      <x:c r="B435" s="17" t="str">
        <x:v>All rounds</x:v>
      </x:c>
      <x:c r="C435" s="17" t="str">
        <x:v>condition</x:v>
      </x:c>
      <x:c r="D435" s="17" t="str">
        <x:v>JacksonDatabind_16</x:v>
      </x:c>
      <x:c r="E435" s="32" t="n">
        <x:v>0.19440000000000002</x:v>
      </x:c>
      <x:c r="F435" s="32" t="n">
        <x:v>0.22219999999999998</x:v>
      </x:c>
      <x:c r="G435" s="32" t="n">
        <x:v>0.8611</x:v>
      </x:c>
      <x:c r="H435" s="32" t="n">
        <x:v>1</x:v>
      </x:c>
      <x:c r="I435" s="40" t="n">
        <x:v>2</x:v>
      </x:c>
      <x:c r="J435" s="40" t="n">
        <x:v>2</x:v>
      </x:c>
      <x:c r="K435" s="40" t="n">
        <x:v>2</x:v>
      </x:c>
      <x:c r="L435" s="40" t="n">
        <x:v>1</x:v>
      </x:c>
    </x:row>
    <x:row r="436" ht="23" customHeight="1">
      <x:c r="B436" s="17" t="str">
        <x:v>All rounds</x:v>
      </x:c>
      <x:c r="C436" s="17" t="str">
        <x:v>condition</x:v>
      </x:c>
      <x:c r="D436" s="17" t="str">
        <x:v>JacksonDatabind_36</x:v>
      </x:c>
      <x:c r="E436" s="32" t="n">
        <x:v>0.8692</x:v>
      </x:c>
      <x:c r="F436" s="32" t="n">
        <x:v>0.7345999999999999</x:v>
      </x:c>
      <x:c r="G436" s="32" t="n">
        <x:v>0.7077</x:v>
      </x:c>
      <x:c r="H436" s="32" t="n">
        <x:v>0</x:v>
      </x:c>
      <x:c r="I436" s="40" t="n">
        <x:v>2</x:v>
      </x:c>
      <x:c r="J436" s="40" t="n">
        <x:v>2</x:v>
      </x:c>
      <x:c r="K436" s="40" t="n">
        <x:v>2</x:v>
      </x:c>
      <x:c r="L436" s="40" t="n">
        <x:v>1</x:v>
      </x:c>
    </x:row>
    <x:row r="437" ht="23" customHeight="1">
      <x:c r="B437" s="17" t="str">
        <x:v>All rounds</x:v>
      </x:c>
      <x:c r="C437" s="17" t="str">
        <x:v>condition</x:v>
      </x:c>
      <x:c r="D437" s="17" t="str">
        <x:v>JacksonDatabind_37</x:v>
      </x:c>
      <x:c r="E437" s="32" t="n">
        <x:v>0.9688</x:v>
      </x:c>
      <x:c r="F437" s="32" t="n">
        <x:v>0</x:v>
      </x:c>
      <x:c r="G437" s="32" t="n">
        <x:v>0.6875</x:v>
      </x:c>
      <x:c r="H437" s="32" t="n">
        <x:v>0</x:v>
      </x:c>
      <x:c r="I437" s="40" t="n">
        <x:v>2</x:v>
      </x:c>
      <x:c r="J437" s="40" t="n">
        <x:v>2</x:v>
      </x:c>
      <x:c r="K437" s="40" t="n">
        <x:v>1</x:v>
      </x:c>
      <x:c r="L437" s="40" t="n">
        <x:v>1</x:v>
      </x:c>
    </x:row>
    <x:row r="438" ht="23" customHeight="1">
      <x:c r="B438" s="17" t="str">
        <x:v>All rounds</x:v>
      </x:c>
      <x:c r="C438" s="17" t="str">
        <x:v>condition</x:v>
      </x:c>
      <x:c r="D438" s="17" t="str">
        <x:v>JacksonDatabind_39</x:v>
      </x:c>
      <x:c r="E438" s="32" t="n">
        <x:v>0.5</x:v>
      </x:c>
      <x:c r="F438" s="32" t="n">
        <x:v>0</x:v>
      </x:c>
      <x:c r="G438" s="32" t="n">
        <x:v>1</x:v>
      </x:c>
      <x:c r="H438" s="32" t="n">
        <x:v>1</x:v>
      </x:c>
      <x:c r="I438" s="40" t="n">
        <x:v>2</x:v>
      </x:c>
      <x:c r="J438" s="40" t="n">
        <x:v>2</x:v>
      </x:c>
      <x:c r="K438" s="40" t="n">
        <x:v>2</x:v>
      </x:c>
      <x:c r="L438" s="40" t="n">
        <x:v>1</x:v>
      </x:c>
    </x:row>
    <x:row r="439" ht="23" customHeight="1">
      <x:c r="B439" s="17" t="str">
        <x:v>All rounds</x:v>
      </x:c>
      <x:c r="C439" s="17" t="str">
        <x:v>condition</x:v>
      </x:c>
      <x:c r="D439" s="17" t="str">
        <x:v>JacksonDatabind_40</x:v>
      </x:c>
      <x:c r="E439" s="32" t="n">
        <x:v>0.2615</x:v>
      </x:c>
      <x:c r="F439" s="32" t="n">
        <x:v>0.0154</x:v>
      </x:c>
      <x:c r="G439" s="32" t="n">
        <x:v>0.6385000000000001</x:v>
      </x:c>
      <x:c r="H439" s="32" t="n">
        <x:v>0</x:v>
      </x:c>
      <x:c r="I439" s="40" t="n">
        <x:v>2</x:v>
      </x:c>
      <x:c r="J439" s="40" t="n">
        <x:v>2</x:v>
      </x:c>
      <x:c r="K439" s="40" t="n">
        <x:v>2</x:v>
      </x:c>
      <x:c r="L439" s="40" t="n">
        <x:v>1</x:v>
      </x:c>
    </x:row>
    <x:row r="440" ht="23" customHeight="1">
      <x:c r="B440" s="17" t="str">
        <x:v>All rounds</x:v>
      </x:c>
      <x:c r="C440" s="17" t="str">
        <x:v>condition</x:v>
      </x:c>
      <x:c r="D440" s="17" t="str">
        <x:v>JacksonDatabind_42</x:v>
      </x:c>
      <x:c r="E440" s="32" t="n">
        <x:v>0.5443</x:v>
      </x:c>
      <x:c r="F440" s="32" t="n">
        <x:v>0</x:v>
      </x:c>
      <x:c r="G440" s="32" t="n">
        <x:v>0.8354</x:v>
      </x:c>
      <x:c r="H440" s="32" t="n">
        <x:v>0</x:v>
      </x:c>
      <x:c r="I440" s="40" t="n">
        <x:v>2</x:v>
      </x:c>
      <x:c r="J440" s="40" t="n">
        <x:v>2</x:v>
      </x:c>
      <x:c r="K440" s="40" t="n">
        <x:v>1</x:v>
      </x:c>
      <x:c r="L440" s="40" t="n">
        <x:v>1</x:v>
      </x:c>
    </x:row>
    <x:row r="441" ht="23" customHeight="1">
      <x:c r="B441" s="17" t="str">
        <x:v>All rounds</x:v>
      </x:c>
      <x:c r="C441" s="17" t="str">
        <x:v>condition</x:v>
      </x:c>
      <x:c r="D441" s="17" t="str">
        <x:v>JacksonDatabind_44</x:v>
      </x:c>
      <x:c r="E441" s="32" t="n">
        <x:v>0.9722</x:v>
      </x:c>
      <x:c r="F441" s="32" t="n">
        <x:v>0</x:v>
      </x:c>
      <x:c r="G441" s="32" t="n">
        <x:v>0.8889</x:v>
      </x:c>
      <x:c r="H441" s="32" t="n">
        <x:v>0</x:v>
      </x:c>
      <x:c r="I441" s="40" t="n">
        <x:v>2</x:v>
      </x:c>
      <x:c r="J441" s="40" t="n">
        <x:v>2</x:v>
      </x:c>
      <x:c r="K441" s="40" t="n">
        <x:v>2</x:v>
      </x:c>
      <x:c r="L441" s="40" t="n">
        <x:v>1</x:v>
      </x:c>
    </x:row>
    <x:row r="442" ht="23" customHeight="1">
      <x:c r="B442" s="17" t="str">
        <x:v>All rounds</x:v>
      </x:c>
      <x:c r="C442" s="17" t="str">
        <x:v>condition</x:v>
      </x:c>
      <x:c r="D442" s="17" t="str">
        <x:v>JacksonDatabind_5</x:v>
      </x:c>
      <x:c r="E442" s="32" t="n">
        <x:v>0.7095999999999999</x:v>
      </x:c>
      <x:c r="F442" s="32" t="n">
        <x:v>0</x:v>
      </x:c>
      <x:c r="G442" s="32" t="n">
        <x:v>0.3897</x:v>
      </x:c>
      <x:c r="H442" s="32" t="n">
        <x:v>0</x:v>
      </x:c>
      <x:c r="I442" s="40" t="n">
        <x:v>2</x:v>
      </x:c>
      <x:c r="J442" s="40" t="n">
        <x:v>2</x:v>
      </x:c>
      <x:c r="K442" s="40" t="n">
        <x:v>2</x:v>
      </x:c>
      <x:c r="L442" s="40" t="n">
        <x:v>1</x:v>
      </x:c>
    </x:row>
    <x:row r="443" ht="23" customHeight="1">
      <x:c r="B443" s="17" t="str">
        <x:v>All rounds</x:v>
      </x:c>
      <x:c r="C443" s="17" t="str">
        <x:v>condition</x:v>
      </x:c>
      <x:c r="D443" s="17" t="str">
        <x:v>JacksonDatabind_53</x:v>
      </x:c>
      <x:c r="E443" s="32" t="n">
        <x:v>0.7601</x:v>
      </x:c>
      <x:c r="F443" s="32" t="n">
        <x:v>0.2818</x:v>
      </x:c>
      <x:c r="G443" s="32" t="n">
        <x:v>0.6936</x:v>
      </x:c>
      <x:c r="H443" s="32" t="n">
        <x:v>0.0116</x:v>
      </x:c>
      <x:c r="I443" s="40" t="n">
        <x:v>2</x:v>
      </x:c>
      <x:c r="J443" s="40" t="n">
        <x:v>2</x:v>
      </x:c>
      <x:c r="K443" s="40" t="n">
        <x:v>2</x:v>
      </x:c>
      <x:c r="L443" s="40" t="n">
        <x:v>1</x:v>
      </x:c>
    </x:row>
    <x:row r="444" ht="23" customHeight="1">
      <x:c r="B444" s="17" t="str">
        <x:v>All rounds</x:v>
      </x:c>
      <x:c r="C444" s="17" t="str">
        <x:v>condition</x:v>
      </x:c>
      <x:c r="D444" s="17" t="str">
        <x:v>JacksonDatabind_55</x:v>
      </x:c>
      <x:c r="E444" s="32" t="n">
        <x:v>0.7837999999999999</x:v>
      </x:c>
      <x:c r="F444" s="32" t="n">
        <x:v>0.027000000000000003</x:v>
      </x:c>
      <x:c r="G444" s="32" t="n">
        <x:v>0.8649</x:v>
      </x:c>
      <x:c r="H444" s="32" t="n">
        <x:v>0</x:v>
      </x:c>
      <x:c r="I444" s="40" t="n">
        <x:v>2</x:v>
      </x:c>
      <x:c r="J444" s="40" t="n">
        <x:v>2</x:v>
      </x:c>
      <x:c r="K444" s="40" t="n">
        <x:v>2</x:v>
      </x:c>
      <x:c r="L444" s="40" t="n">
        <x:v>1</x:v>
      </x:c>
    </x:row>
    <x:row r="445" ht="23" customHeight="1">
      <x:c r="B445" s="17" t="str">
        <x:v>All rounds</x:v>
      </x:c>
      <x:c r="C445" s="17" t="str">
        <x:v>condition</x:v>
      </x:c>
      <x:c r="D445" s="17" t="str">
        <x:v>JacksonDatabind_56</x:v>
      </x:c>
      <x:c r="E445" s="32" t="n">
        <x:v>0.4321</x:v>
      </x:c>
      <x:c r="F445" s="32" t="n">
        <x:v>0</x:v>
      </x:c>
      <x:c r="G445" s="32" t="n">
        <x:v>0.9136</x:v>
      </x:c>
      <x:c r="H445" s="32" t="n">
        <x:v>0</x:v>
      </x:c>
      <x:c r="I445" s="40" t="n">
        <x:v>2</x:v>
      </x:c>
      <x:c r="J445" s="40" t="n">
        <x:v>2</x:v>
      </x:c>
      <x:c r="K445" s="40" t="n">
        <x:v>1</x:v>
      </x:c>
      <x:c r="L445" s="40" t="n">
        <x:v>1</x:v>
      </x:c>
    </x:row>
    <x:row r="446" ht="23" customHeight="1">
      <x:c r="B446" s="17" t="str">
        <x:v>All rounds</x:v>
      </x:c>
      <x:c r="C446" s="17" t="str">
        <x:v>condition</x:v>
      </x:c>
      <x:c r="D446" s="17" t="str">
        <x:v>JacksonDatabind_57</x:v>
      </x:c>
      <x:c r="E446" s="32" t="n">
        <x:v>0.5064</x:v>
      </x:c>
      <x:c r="F446" s="32" t="n">
        <x:v>0</x:v>
      </x:c>
      <x:c r="G446" s="32" t="n">
        <x:v>0.42310000000000003</x:v>
      </x:c>
      <x:c r="H446" s="32" t="n">
        <x:v>0</x:v>
      </x:c>
      <x:c r="I446" s="40" t="n">
        <x:v>2</x:v>
      </x:c>
      <x:c r="J446" s="40" t="n">
        <x:v>2</x:v>
      </x:c>
      <x:c r="K446" s="40" t="n">
        <x:v>2</x:v>
      </x:c>
      <x:c r="L446" s="40" t="n">
        <x:v>1</x:v>
      </x:c>
    </x:row>
    <x:row r="447" ht="23" customHeight="1">
      <x:c r="B447" s="17" t="str">
        <x:v>All rounds</x:v>
      </x:c>
      <x:c r="C447" s="17" t="str">
        <x:v>condition</x:v>
      </x:c>
      <x:c r="D447" s="17" t="str">
        <x:v>JacksonDatabind_6</x:v>
      </x:c>
      <x:c r="E447" s="32" t="n">
        <x:v>0.9148999999999999</x:v>
      </x:c>
      <x:c r="F447" s="32" t="n">
        <x:v>0.79255</x:v>
      </x:c>
      <x:c r="G447" s="32" t="n">
        <x:v>0.7553</x:v>
      </x:c>
      <x:c r="H447" s="32" t="n">
        <x:v>0</x:v>
      </x:c>
      <x:c r="I447" s="40" t="n">
        <x:v>2</x:v>
      </x:c>
      <x:c r="J447" s="40" t="n">
        <x:v>2</x:v>
      </x:c>
      <x:c r="K447" s="40" t="n">
        <x:v>2</x:v>
      </x:c>
      <x:c r="L447" s="40" t="n">
        <x:v>1</x:v>
      </x:c>
    </x:row>
    <x:row r="448" ht="23" customHeight="1">
      <x:c r="B448" s="17" t="str">
        <x:v>All rounds</x:v>
      </x:c>
      <x:c r="C448" s="17" t="str">
        <x:v>condition</x:v>
      </x:c>
      <x:c r="D448" s="17" t="str">
        <x:v>JacksonDatabind_68</x:v>
      </x:c>
      <x:c r="E448" s="32" t="n">
        <x:v>0</x:v>
      </x:c>
      <x:c r="F448" s="32" t="n">
        <x:v>0</x:v>
      </x:c>
      <x:c r="G448" s="32" t="n">
        <x:v>0</x:v>
      </x:c>
      <x:c r="H448" s="32" t="n">
        <x:v>0</x:v>
      </x:c>
      <x:c r="I448" s="40" t="n">
        <x:v>2</x:v>
      </x:c>
      <x:c r="J448" s="40" t="n">
        <x:v>2</x:v>
      </x:c>
      <x:c r="K448" s="40" t="n">
        <x:v>2</x:v>
      </x:c>
      <x:c r="L448" s="40" t="n">
        <x:v>1</x:v>
      </x:c>
    </x:row>
    <x:row r="449" ht="23" customHeight="1">
      <x:c r="B449" s="17" t="str">
        <x:v>All rounds</x:v>
      </x:c>
      <x:c r="C449" s="17" t="str">
        <x:v>condition</x:v>
      </x:c>
      <x:c r="D449" s="17" t="str">
        <x:v>JacksonDatabind_73</x:v>
      </x:c>
      <x:c r="E449" s="32" t="n">
        <x:v>0.0587</x:v>
      </x:c>
      <x:c r="F449" s="32" t="n">
        <x:v>0.046099999999999995</x:v>
      </x:c>
      <x:c r="G449" s="32" t="n">
        <x:v>0.5433</x:v>
      </x:c>
      <x:c r="H449" s="32" t="n">
        <x:v>0</x:v>
      </x:c>
      <x:c r="I449" s="40" t="n">
        <x:v>2</x:v>
      </x:c>
      <x:c r="J449" s="40" t="n">
        <x:v>2</x:v>
      </x:c>
      <x:c r="K449" s="40" t="n">
        <x:v>2</x:v>
      </x:c>
      <x:c r="L449" s="40" t="n">
        <x:v>1</x:v>
      </x:c>
    </x:row>
    <x:row r="450" ht="23" customHeight="1">
      <x:c r="B450" s="17" t="str">
        <x:v>All rounds</x:v>
      </x:c>
      <x:c r="C450" s="17" t="str">
        <x:v>condition</x:v>
      </x:c>
      <x:c r="D450" s="17" t="str">
        <x:v>JacksonDatabind_83</x:v>
      </x:c>
      <x:c r="E450" s="32" t="n">
        <x:v>0.5682</x:v>
      </x:c>
      <x:c r="F450" s="32" t="n">
        <x:v>0</x:v>
      </x:c>
      <x:c r="G450" s="32" t="n">
        <x:v>0.7841</x:v>
      </x:c>
      <x:c r="H450" s="32" t="n">
        <x:v>0</x:v>
      </x:c>
      <x:c r="I450" s="40" t="n">
        <x:v>2</x:v>
      </x:c>
      <x:c r="J450" s="40" t="n">
        <x:v>2</x:v>
      </x:c>
      <x:c r="K450" s="40" t="n">
        <x:v>2</x:v>
      </x:c>
      <x:c r="L450" s="40" t="n">
        <x:v>1</x:v>
      </x:c>
    </x:row>
    <x:row r="451" ht="23" customHeight="1">
      <x:c r="B451" s="17" t="str">
        <x:v>All rounds</x:v>
      </x:c>
      <x:c r="C451" s="17" t="str">
        <x:v>condition</x:v>
      </x:c>
      <x:c r="D451" s="17" t="str">
        <x:v>JacksonDatabind_84</x:v>
      </x:c>
      <x:c r="E451" s="32" t="n">
        <x:v>1</x:v>
      </x:c>
      <x:c r="F451" s="32" t="n">
        <x:v>0</x:v>
      </x:c>
      <x:c r="G451" s="32" t="n">
        <x:v>1</x:v>
      </x:c>
      <x:c r="H451" s="32" t="n">
        <x:v>1</x:v>
      </x:c>
      <x:c r="I451" s="40" t="n">
        <x:v>2</x:v>
      </x:c>
      <x:c r="J451" s="40" t="n">
        <x:v>2</x:v>
      </x:c>
      <x:c r="K451" s="40" t="n">
        <x:v>2</x:v>
      </x:c>
      <x:c r="L451" s="40" t="n">
        <x:v>1</x:v>
      </x:c>
    </x:row>
    <x:row r="452" ht="23" customHeight="1">
      <x:c r="B452" s="17" t="str">
        <x:v>All rounds</x:v>
      </x:c>
      <x:c r="C452" s="17" t="str">
        <x:v>condition</x:v>
      </x:c>
      <x:c r="D452" s="17" t="str">
        <x:v>JacksonDatabind_86</x:v>
      </x:c>
      <x:c r="E452" s="32" t="n">
        <x:v>1</x:v>
      </x:c>
      <x:c r="F452" s="32" t="n">
        <x:v>0</x:v>
      </x:c>
      <x:c r="G452" s="32" t="n">
        <x:v>1</x:v>
      </x:c>
      <x:c r="H452" s="32" t="n">
        <x:v>1</x:v>
      </x:c>
      <x:c r="I452" s="40" t="n">
        <x:v>2</x:v>
      </x:c>
      <x:c r="J452" s="40" t="n">
        <x:v>2</x:v>
      </x:c>
      <x:c r="K452" s="40" t="n">
        <x:v>2</x:v>
      </x:c>
      <x:c r="L452" s="40" t="n">
        <x:v>1</x:v>
      </x:c>
    </x:row>
    <x:row r="453" ht="23" customHeight="1">
      <x:c r="B453" s="17" t="str">
        <x:v>All rounds</x:v>
      </x:c>
      <x:c r="C453" s="17" t="str">
        <x:v>condition</x:v>
      </x:c>
      <x:c r="D453" s="17" t="str">
        <x:v>JacksonDatabind_87</x:v>
      </x:c>
      <x:c r="E453" s="32" t="n">
        <x:v>0.8970999999999999</x:v>
      </x:c>
      <x:c r="F453" s="32" t="n">
        <x:v>0.5882000000000001</x:v>
      </x:c>
      <x:c r="G453" s="32" t="n">
        <x:v>0.6544</x:v>
      </x:c>
      <x:c r="H453" s="32" t="n">
        <x:v>0</x:v>
      </x:c>
      <x:c r="I453" s="40" t="n">
        <x:v>2</x:v>
      </x:c>
      <x:c r="J453" s="40" t="n">
        <x:v>1</x:v>
      </x:c>
      <x:c r="K453" s="40" t="n">
        <x:v>2</x:v>
      </x:c>
      <x:c r="L453" s="40" t="n">
        <x:v>1</x:v>
      </x:c>
    </x:row>
    <x:row r="454" ht="23" customHeight="1">
      <x:c r="B454" s="17" t="str">
        <x:v>All rounds</x:v>
      </x:c>
      <x:c r="C454" s="17" t="str">
        <x:v>condition</x:v>
      </x:c>
      <x:c r="D454" s="17" t="str">
        <x:v>JacksonDatabind_93</x:v>
      </x:c>
      <x:c r="E454" s="32" t="n">
        <x:v>0.2</x:v>
      </x:c>
      <x:c r="F454" s="32" t="n">
        <x:v>0</x:v>
      </x:c>
      <x:c r="G454" s="32" t="n">
        <x:v>0.3</x:v>
      </x:c>
      <x:c r="H454" s="32" t="n">
        <x:v>1</x:v>
      </x:c>
      <x:c r="I454" s="40" t="n">
        <x:v>2</x:v>
      </x:c>
      <x:c r="J454" s="40" t="n">
        <x:v>2</x:v>
      </x:c>
      <x:c r="K454" s="40" t="n">
        <x:v>1</x:v>
      </x:c>
      <x:c r="L454" s="40" t="n">
        <x:v>1</x:v>
      </x:c>
    </x:row>
    <x:row r="455" ht="23" customHeight="1">
      <x:c r="B455" s="17" t="str">
        <x:v>All rounds</x:v>
      </x:c>
      <x:c r="C455" s="17" t="str">
        <x:v>condition</x:v>
      </x:c>
      <x:c r="D455" s="17" t="str">
        <x:v>JacksonDatabind_94</x:v>
      </x:c>
      <x:c r="E455" s="32" t="n">
        <x:v>0.2857</x:v>
      </x:c>
      <x:c r="F455" s="32" t="n">
        <x:v>0</x:v>
      </x:c>
      <x:c r="G455" s="32" t="n">
        <x:v>0.35710000000000003</x:v>
      </x:c>
      <x:c r="H455" s="32" t="n">
        <x:v>0.9286</x:v>
      </x:c>
      <x:c r="I455" s="40" t="n">
        <x:v>2</x:v>
      </x:c>
      <x:c r="J455" s="40" t="n">
        <x:v>2</x:v>
      </x:c>
      <x:c r="K455" s="40" t="n">
        <x:v>2</x:v>
      </x:c>
      <x:c r="L455" s="40" t="n">
        <x:v>1</x:v>
      </x:c>
    </x:row>
    <x:row r="456" ht="23" customHeight="1">
      <x:c r="B456" s="17" t="str">
        <x:v>All rounds</x:v>
      </x:c>
      <x:c r="C456" s="17" t="str">
        <x:v>condition</x:v>
      </x:c>
      <x:c r="D456" s="17" t="str">
        <x:v>JacksonDatabind_98</x:v>
      </x:c>
      <x:c r="E456" s="32" t="n">
        <x:v>0.1739</x:v>
      </x:c>
      <x:c r="F456" s="32" t="n">
        <x:v>0.054299999999999994</x:v>
      </x:c>
      <x:c r="G456" s="32" t="n">
        <x:v>0.337</x:v>
      </x:c>
      <x:c r="H456" s="32" t="n">
        <x:v>0</x:v>
      </x:c>
      <x:c r="I456" s="40" t="n">
        <x:v>2</x:v>
      </x:c>
      <x:c r="J456" s="40" t="n">
        <x:v>2</x:v>
      </x:c>
      <x:c r="K456" s="40" t="n">
        <x:v>1</x:v>
      </x:c>
      <x:c r="L456" s="40" t="n">
        <x:v>1</x:v>
      </x:c>
    </x:row>
    <x:row r="457" ht="23" customHeight="1">
      <x:c r="B457" s="17" t="str">
        <x:v>All rounds</x:v>
      </x:c>
      <x:c r="C457" s="17" t="str">
        <x:v>condition</x:v>
      </x:c>
      <x:c r="D457" s="17" t="str">
        <x:v>Jsoup_1</x:v>
      </x:c>
      <x:c r="E457" s="32" t="n">
        <x:v>1</x:v>
      </x:c>
      <x:c r="F457" s="32" t="n">
        <x:v>1</x:v>
      </x:c>
      <x:c r="G457" s="32" t="n">
        <x:v>0.9444</x:v>
      </x:c>
      <x:c r="H457" s="32" t="n">
        <x:v>1</x:v>
      </x:c>
      <x:c r="I457" s="40" t="n">
        <x:v>2</x:v>
      </x:c>
      <x:c r="J457" s="40" t="n">
        <x:v>2</x:v>
      </x:c>
      <x:c r="K457" s="40" t="n">
        <x:v>2</x:v>
      </x:c>
      <x:c r="L457" s="40" t="n">
        <x:v>1</x:v>
      </x:c>
    </x:row>
    <x:row r="458" ht="23" customHeight="1">
      <x:c r="B458" s="17" t="str">
        <x:v>All rounds</x:v>
      </x:c>
      <x:c r="C458" s="17" t="str">
        <x:v>condition</x:v>
      </x:c>
      <x:c r="D458" s="17" t="str">
        <x:v>Jsoup_11</x:v>
      </x:c>
      <x:c r="E458" s="32" t="n">
        <x:v>0.4833</x:v>
      </x:c>
      <x:c r="F458" s="32" t="n">
        <x:v>0</x:v>
      </x:c>
      <x:c r="G458" s="32" t="n">
        <x:v>0.6917</x:v>
      </x:c>
      <x:c r="H458" s="32" t="n">
        <x:v>0.95</x:v>
      </x:c>
      <x:c r="I458" s="40" t="n">
        <x:v>2</x:v>
      </x:c>
      <x:c r="J458" s="40" t="n">
        <x:v>2</x:v>
      </x:c>
      <x:c r="K458" s="40" t="n">
        <x:v>2</x:v>
      </x:c>
      <x:c r="L458" s="40" t="n">
        <x:v>1</x:v>
      </x:c>
    </x:row>
    <x:row r="459" ht="23" customHeight="1">
      <x:c r="B459" s="17" t="str">
        <x:v>All rounds</x:v>
      </x:c>
      <x:c r="C459" s="17" t="str">
        <x:v>condition</x:v>
      </x:c>
      <x:c r="D459" s="17" t="str">
        <x:v>Jsoup_12</x:v>
      </x:c>
      <x:c r="E459" s="32" t="n">
        <x:v>0.5606</x:v>
      </x:c>
      <x:c r="F459" s="32" t="n">
        <x:v>0.0152</x:v>
      </x:c>
      <x:c r="G459" s="32" t="n">
        <x:v>0.8939</x:v>
      </x:c>
      <x:c r="H459" s="32" t="n">
        <x:v>0.9545</x:v>
      </x:c>
      <x:c r="I459" s="40" t="n">
        <x:v>2</x:v>
      </x:c>
      <x:c r="J459" s="40" t="n">
        <x:v>2</x:v>
      </x:c>
      <x:c r="K459" s="40" t="n">
        <x:v>2</x:v>
      </x:c>
      <x:c r="L459" s="40" t="n">
        <x:v>1</x:v>
      </x:c>
    </x:row>
    <x:row r="460" ht="23" customHeight="1">
      <x:c r="B460" s="17" t="str">
        <x:v>All rounds</x:v>
      </x:c>
      <x:c r="C460" s="17" t="str">
        <x:v>condition</x:v>
      </x:c>
      <x:c r="D460" s="17" t="str">
        <x:v>Jsoup_16</x:v>
      </x:c>
      <x:c r="E460" s="32" t="n">
        <x:v>1</x:v>
      </x:c>
      <x:c r="F460" s="32" t="n">
        <x:v>0.75</x:v>
      </x:c>
      <x:c r="G460" s="32" t="n">
        <x:v>1</x:v>
      </x:c>
      <x:c r="H460" s="32" t="n">
        <x:v>1</x:v>
      </x:c>
      <x:c r="I460" s="40" t="n">
        <x:v>2</x:v>
      </x:c>
      <x:c r="J460" s="40" t="n">
        <x:v>2</x:v>
      </x:c>
      <x:c r="K460" s="40" t="n">
        <x:v>2</x:v>
      </x:c>
      <x:c r="L460" s="40" t="n">
        <x:v>1</x:v>
      </x:c>
    </x:row>
    <x:row r="461" ht="23" customHeight="1">
      <x:c r="B461" s="17" t="str">
        <x:v>All rounds</x:v>
      </x:c>
      <x:c r="C461" s="17" t="str">
        <x:v>condition</x:v>
      </x:c>
      <x:c r="D461" s="17" t="str">
        <x:v>Jsoup_18</x:v>
      </x:c>
      <x:c r="E461" s="32" t="n">
        <x:v>1</x:v>
      </x:c>
      <x:c r="F461" s="32" t="n">
        <x:v>0.69515</x:v>
      </x:c>
      <x:c r="G461" s="32" t="n">
        <x:v>0.8293</x:v>
      </x:c>
      <x:c r="H461" s="32" t="n">
        <x:v>0.9390000000000001</x:v>
      </x:c>
      <x:c r="I461" s="40" t="n">
        <x:v>2</x:v>
      </x:c>
      <x:c r="J461" s="40" t="n">
        <x:v>2</x:v>
      </x:c>
      <x:c r="K461" s="40" t="n">
        <x:v>2</x:v>
      </x:c>
      <x:c r="L461" s="40" t="n">
        <x:v>1</x:v>
      </x:c>
    </x:row>
    <x:row r="462" ht="23" customHeight="1">
      <x:c r="B462" s="17" t="str">
        <x:v>All rounds</x:v>
      </x:c>
      <x:c r="C462" s="17" t="str">
        <x:v>condition</x:v>
      </x:c>
      <x:c r="D462" s="17" t="str">
        <x:v>Jsoup_20</x:v>
      </x:c>
      <x:c r="E462" s="32" t="n">
        <x:v>0.4545</x:v>
      </x:c>
      <x:c r="F462" s="32" t="n">
        <x:v>0.1364</x:v>
      </x:c>
      <x:c r="G462" s="32" t="n">
        <x:v>0.8636</x:v>
      </x:c>
      <x:c r="H462" s="32" t="n">
        <x:v>0.9545</x:v>
      </x:c>
      <x:c r="I462" s="40" t="n">
        <x:v>2</x:v>
      </x:c>
      <x:c r="J462" s="40" t="n">
        <x:v>2</x:v>
      </x:c>
      <x:c r="K462" s="40" t="n">
        <x:v>2</x:v>
      </x:c>
      <x:c r="L462" s="40" t="n">
        <x:v>1</x:v>
      </x:c>
    </x:row>
    <x:row r="463" ht="23" customHeight="1">
      <x:c r="B463" s="17" t="str">
        <x:v>All rounds</x:v>
      </x:c>
      <x:c r="C463" s="17" t="str">
        <x:v>condition</x:v>
      </x:c>
      <x:c r="D463" s="17" t="str">
        <x:v>Jsoup_21</x:v>
      </x:c>
      <x:c r="E463" s="32" t="n">
        <x:v>0.9582999999999999</x:v>
      </x:c>
      <x:c r="F463" s="32" t="n">
        <x:v>0.3177</x:v>
      </x:c>
      <x:c r="G463" s="32" t="n">
        <x:v>0.9895999999999999</x:v>
      </x:c>
      <x:c r="H463" s="32" t="n">
        <x:v>0.9479000000000001</x:v>
      </x:c>
      <x:c r="I463" s="40" t="n">
        <x:v>2</x:v>
      </x:c>
      <x:c r="J463" s="40" t="n">
        <x:v>2</x:v>
      </x:c>
      <x:c r="K463" s="40" t="n">
        <x:v>1</x:v>
      </x:c>
      <x:c r="L463" s="40" t="n">
        <x:v>1</x:v>
      </x:c>
    </x:row>
    <x:row r="464" ht="23" customHeight="1">
      <x:c r="B464" s="17" t="str">
        <x:v>All rounds</x:v>
      </x:c>
      <x:c r="C464" s="17" t="str">
        <x:v>condition</x:v>
      </x:c>
      <x:c r="D464" s="17" t="str">
        <x:v>Jsoup_30</x:v>
      </x:c>
      <x:c r="E464" s="32" t="n">
        <x:v>0.4375</x:v>
      </x:c>
      <x:c r="F464" s="32" t="n">
        <x:v>0</x:v>
      </x:c>
      <x:c r="G464" s="32" t="n">
        <x:v>1</x:v>
      </x:c>
      <x:c r="H464" s="32" t="n">
        <x:v>1</x:v>
      </x:c>
      <x:c r="I464" s="40" t="n">
        <x:v>2</x:v>
      </x:c>
      <x:c r="J464" s="40" t="n">
        <x:v>2</x:v>
      </x:c>
      <x:c r="K464" s="40" t="n">
        <x:v>1</x:v>
      </x:c>
      <x:c r="L464" s="40" t="n">
        <x:v>1</x:v>
      </x:c>
    </x:row>
    <x:row r="465" ht="23" customHeight="1">
      <x:c r="B465" s="17" t="str">
        <x:v>All rounds</x:v>
      </x:c>
      <x:c r="C465" s="17" t="str">
        <x:v>condition</x:v>
      </x:c>
      <x:c r="D465" s="17" t="str">
        <x:v>Jsoup_32</x:v>
      </x:c>
      <x:c r="E465" s="32" t="n">
        <x:v>0.35710000000000003</x:v>
      </x:c>
      <x:c r="F465" s="32" t="n">
        <x:v>0</x:v>
      </x:c>
      <x:c r="G465" s="32" t="n">
        <x:v>0.5643</x:v>
      </x:c>
      <x:c r="H465" s="32" t="n">
        <x:v>0.8429000000000001</x:v>
      </x:c>
      <x:c r="I465" s="40" t="n">
        <x:v>2</x:v>
      </x:c>
      <x:c r="J465" s="40" t="n">
        <x:v>2</x:v>
      </x:c>
      <x:c r="K465" s="40" t="n">
        <x:v>1</x:v>
      </x:c>
      <x:c r="L465" s="40" t="n">
        <x:v>1</x:v>
      </x:c>
    </x:row>
    <x:row r="466" ht="23" customHeight="1">
      <x:c r="B466" s="17" t="str">
        <x:v>All rounds</x:v>
      </x:c>
      <x:c r="C466" s="17" t="str">
        <x:v>condition</x:v>
      </x:c>
      <x:c r="D466" s="17" t="str">
        <x:v>Jsoup_37</x:v>
      </x:c>
      <x:c r="E466" s="32" t="n">
        <x:v>0.2829</x:v>
      </x:c>
      <x:c r="F466" s="32" t="n">
        <x:v>0.0066</x:v>
      </x:c>
      <x:c r="G466" s="32" t="n">
        <x:v>0.625</x:v>
      </x:c>
      <x:c r="H466" s="32" t="n">
        <x:v>0.8158</x:v>
      </x:c>
      <x:c r="I466" s="40" t="n">
        <x:v>2</x:v>
      </x:c>
      <x:c r="J466" s="40" t="n">
        <x:v>2</x:v>
      </x:c>
      <x:c r="K466" s="40" t="n">
        <x:v>1</x:v>
      </x:c>
      <x:c r="L466" s="40" t="n">
        <x:v>1</x:v>
      </x:c>
    </x:row>
    <x:row r="467" ht="23" customHeight="1">
      <x:c r="B467" s="17" t="str">
        <x:v>All rounds</x:v>
      </x:c>
      <x:c r="C467" s="17" t="str">
        <x:v>condition</x:v>
      </x:c>
      <x:c r="D467" s="17" t="str">
        <x:v>Jsoup_39</x:v>
      </x:c>
      <x:c r="E467" s="32" t="n">
        <x:v>0.5217</x:v>
      </x:c>
      <x:c r="F467" s="32" t="n">
        <x:v>0.1522</x:v>
      </x:c>
      <x:c r="G467" s="32" t="n">
        <x:v>0.7173999999999999</x:v>
      </x:c>
      <x:c r="H467" s="32" t="n">
        <x:v>0.8913</x:v>
      </x:c>
      <x:c r="I467" s="40" t="n">
        <x:v>2</x:v>
      </x:c>
      <x:c r="J467" s="40" t="n">
        <x:v>2</x:v>
      </x:c>
      <x:c r="K467" s="40" t="n">
        <x:v>2</x:v>
      </x:c>
      <x:c r="L467" s="40" t="n">
        <x:v>1</x:v>
      </x:c>
    </x:row>
    <x:row r="468" ht="23" customHeight="1">
      <x:c r="B468" s="17" t="str">
        <x:v>All rounds</x:v>
      </x:c>
      <x:c r="C468" s="17" t="str">
        <x:v>condition</x:v>
      </x:c>
      <x:c r="D468" s="17" t="str">
        <x:v>Jsoup_40</x:v>
      </x:c>
      <x:c r="E468" s="32" t="n">
        <x:v>1</x:v>
      </x:c>
      <x:c r="F468" s="32" t="n">
        <x:v>0.66665</x:v>
      </x:c>
      <x:c r="G468" s="32" t="n">
        <x:v>1</x:v>
      </x:c>
      <x:c r="H468" s="32" t="n">
        <x:v>1</x:v>
      </x:c>
      <x:c r="I468" s="40" t="n">
        <x:v>2</x:v>
      </x:c>
      <x:c r="J468" s="40" t="n">
        <x:v>2</x:v>
      </x:c>
      <x:c r="K468" s="40" t="n">
        <x:v>2</x:v>
      </x:c>
      <x:c r="L468" s="40" t="n">
        <x:v>1</x:v>
      </x:c>
    </x:row>
    <x:row r="469" ht="23" customHeight="1">
      <x:c r="B469" s="17" t="str">
        <x:v>All rounds</x:v>
      </x:c>
      <x:c r="C469" s="17" t="str">
        <x:v>condition</x:v>
      </x:c>
      <x:c r="D469" s="17" t="str">
        <x:v>Jsoup_46</x:v>
      </x:c>
      <x:c r="E469" s="32" t="n">
        <x:v>0.8431000000000001</x:v>
      </x:c>
      <x:c r="F469" s="32" t="n">
        <x:v>0.15689999999999998</x:v>
      </x:c>
      <x:c r="G469" s="32" t="n">
        <x:v>0.6275</x:v>
      </x:c>
      <x:c r="H469" s="32" t="n">
        <x:v>0.9804</x:v>
      </x:c>
      <x:c r="I469" s="40" t="n">
        <x:v>2</x:v>
      </x:c>
      <x:c r="J469" s="40" t="n">
        <x:v>2</x:v>
      </x:c>
      <x:c r="K469" s="40" t="n">
        <x:v>2</x:v>
      </x:c>
      <x:c r="L469" s="40" t="n">
        <x:v>1</x:v>
      </x:c>
    </x:row>
    <x:row r="470" ht="23" customHeight="1">
      <x:c r="B470" s="17" t="str">
        <x:v>All rounds</x:v>
      </x:c>
      <x:c r="C470" s="17" t="str">
        <x:v>condition</x:v>
      </x:c>
      <x:c r="D470" s="17" t="str">
        <x:v>Jsoup_47</x:v>
      </x:c>
      <x:c r="E470" s="32" t="n">
        <x:v>0.7451000000000001</x:v>
      </x:c>
      <x:c r="F470" s="32" t="n">
        <x:v>0.15689999999999998</x:v>
      </x:c>
      <x:c r="G470" s="32" t="n">
        <x:v>0.9608</x:v>
      </x:c>
      <x:c r="H470" s="32" t="n">
        <x:v>0.9804</x:v>
      </x:c>
      <x:c r="I470" s="40" t="n">
        <x:v>2</x:v>
      </x:c>
      <x:c r="J470" s="40" t="n">
        <x:v>2</x:v>
      </x:c>
      <x:c r="K470" s="40" t="n">
        <x:v>1</x:v>
      </x:c>
      <x:c r="L470" s="40" t="n">
        <x:v>1</x:v>
      </x:c>
    </x:row>
    <x:row r="471" ht="23" customHeight="1">
      <x:c r="B471" s="17" t="str">
        <x:v>All rounds</x:v>
      </x:c>
      <x:c r="C471" s="17" t="str">
        <x:v>condition</x:v>
      </x:c>
      <x:c r="D471" s="17" t="str">
        <x:v>Jsoup_5</x:v>
      </x:c>
      <x:c r="E471" s="32" t="n">
        <x:v>0.7065</x:v>
      </x:c>
      <x:c r="F471" s="32" t="n">
        <x:v>0.11960000000000001</x:v>
      </x:c>
      <x:c r="G471" s="32" t="n">
        <x:v>0.4891</x:v>
      </x:c>
      <x:c r="H471" s="32" t="n">
        <x:v>0.9239</x:v>
      </x:c>
      <x:c r="I471" s="40" t="n">
        <x:v>2</x:v>
      </x:c>
      <x:c r="J471" s="40" t="n">
        <x:v>2</x:v>
      </x:c>
      <x:c r="K471" s="40" t="n">
        <x:v>2</x:v>
      </x:c>
      <x:c r="L471" s="40" t="n">
        <x:v>1</x:v>
      </x:c>
    </x:row>
    <x:row r="472" ht="23" customHeight="1">
      <x:c r="B472" s="17" t="str">
        <x:v>All rounds</x:v>
      </x:c>
      <x:c r="C472" s="17" t="str">
        <x:v>condition</x:v>
      </x:c>
      <x:c r="D472" s="17" t="str">
        <x:v>Jsoup_51</x:v>
      </x:c>
      <x:c r="E472" s="32" t="n">
        <x:v>0.9677</x:v>
      </x:c>
      <x:c r="F472" s="32" t="n">
        <x:v>0.8226</x:v>
      </x:c>
      <x:c r="G472" s="32" t="n">
        <x:v>0.8011</x:v>
      </x:c>
      <x:c r="H472" s="32" t="n">
        <x:v>0.9194</x:v>
      </x:c>
      <x:c r="I472" s="40" t="n">
        <x:v>2</x:v>
      </x:c>
      <x:c r="J472" s="40" t="n">
        <x:v>2</x:v>
      </x:c>
      <x:c r="K472" s="40" t="n">
        <x:v>2</x:v>
      </x:c>
      <x:c r="L472" s="40" t="n">
        <x:v>1</x:v>
      </x:c>
    </x:row>
    <x:row r="473" ht="23" customHeight="1">
      <x:c r="B473" s="17" t="str">
        <x:v>All rounds</x:v>
      </x:c>
      <x:c r="C473" s="17" t="str">
        <x:v>condition</x:v>
      </x:c>
      <x:c r="D473" s="17" t="str">
        <x:v>Jsoup_53</x:v>
      </x:c>
      <x:c r="E473" s="32" t="n">
        <x:v>0.9722</x:v>
      </x:c>
      <x:c r="F473" s="32" t="n">
        <x:v>0.8565</x:v>
      </x:c>
      <x:c r="G473" s="32" t="n">
        <x:v>0.8148000000000001</x:v>
      </x:c>
      <x:c r="H473" s="32" t="n">
        <x:v>0.9444</x:v>
      </x:c>
      <x:c r="I473" s="40" t="n">
        <x:v>2</x:v>
      </x:c>
      <x:c r="J473" s="40" t="n">
        <x:v>2</x:v>
      </x:c>
      <x:c r="K473" s="40" t="n">
        <x:v>2</x:v>
      </x:c>
      <x:c r="L473" s="40" t="n">
        <x:v>1</x:v>
      </x:c>
    </x:row>
    <x:row r="474" ht="23" customHeight="1">
      <x:c r="B474" s="17" t="str">
        <x:v>All rounds</x:v>
      </x:c>
      <x:c r="C474" s="17" t="str">
        <x:v>condition</x:v>
      </x:c>
      <x:c r="D474" s="17" t="str">
        <x:v>Jsoup_57</x:v>
      </x:c>
      <x:c r="E474" s="32" t="n">
        <x:v>0.9473999999999999</x:v>
      </x:c>
      <x:c r="F474" s="32" t="n">
        <x:v>0.8487</x:v>
      </x:c>
      <x:c r="G474" s="32" t="n">
        <x:v>0.9342</x:v>
      </x:c>
      <x:c r="H474" s="32" t="n">
        <x:v>0.9868000000000001</x:v>
      </x:c>
      <x:c r="I474" s="40" t="n">
        <x:v>2</x:v>
      </x:c>
      <x:c r="J474" s="40" t="n">
        <x:v>2</x:v>
      </x:c>
      <x:c r="K474" s="40" t="n">
        <x:v>2</x:v>
      </x:c>
      <x:c r="L474" s="40" t="n">
        <x:v>1</x:v>
      </x:c>
    </x:row>
    <x:row r="475" ht="23" customHeight="1">
      <x:c r="B475" s="17" t="str">
        <x:v>All rounds</x:v>
      </x:c>
      <x:c r="C475" s="17" t="str">
        <x:v>condition</x:v>
      </x:c>
      <x:c r="D475" s="17" t="str">
        <x:v>Jsoup_58</x:v>
      </x:c>
      <x:c r="E475" s="32" t="n">
        <x:v>0.5938</x:v>
      </x:c>
      <x:c r="F475" s="32" t="n">
        <x:v>0.2188</x:v>
      </x:c>
      <x:c r="G475" s="32" t="n">
        <x:v>1</x:v>
      </x:c>
      <x:c r="H475" s="32" t="n">
        <x:v>1</x:v>
      </x:c>
      <x:c r="I475" s="40" t="n">
        <x:v>2</x:v>
      </x:c>
      <x:c r="J475" s="40" t="n">
        <x:v>2</x:v>
      </x:c>
      <x:c r="K475" s="40" t="n">
        <x:v>2</x:v>
      </x:c>
      <x:c r="L475" s="40" t="n">
        <x:v>1</x:v>
      </x:c>
    </x:row>
    <x:row r="476" ht="23" customHeight="1">
      <x:c r="B476" s="17" t="str">
        <x:v>All rounds</x:v>
      </x:c>
      <x:c r="C476" s="17" t="str">
        <x:v>condition</x:v>
      </x:c>
      <x:c r="D476" s="17" t="str">
        <x:v>Jsoup_59</x:v>
      </x:c>
      <x:c r="E476" s="32" t="n">
        <x:v>1</x:v>
      </x:c>
      <x:c r="F476" s="32" t="n">
        <x:v>0.9659</x:v>
      </x:c>
      <x:c r="G476" s="32" t="n">
        <x:v>0.9318000000000001</x:v>
      </x:c>
      <x:c r="H476" s="32" t="n">
        <x:v>1</x:v>
      </x:c>
      <x:c r="I476" s="40" t="n">
        <x:v>2</x:v>
      </x:c>
      <x:c r="J476" s="40" t="n">
        <x:v>2</x:v>
      </x:c>
      <x:c r="K476" s="40" t="n">
        <x:v>1</x:v>
      </x:c>
      <x:c r="L476" s="40" t="n">
        <x:v>1</x:v>
      </x:c>
    </x:row>
    <x:row r="477" ht="23" customHeight="1">
      <x:c r="B477" s="17" t="str">
        <x:v>All rounds</x:v>
      </x:c>
      <x:c r="C477" s="17" t="str">
        <x:v>condition</x:v>
      </x:c>
      <x:c r="D477" s="17" t="str">
        <x:v>Jsoup_60</x:v>
      </x:c>
      <x:c r="E477" s="32" t="n">
        <x:v>0.8759999999999999</x:v>
      </x:c>
      <x:c r="F477" s="32" t="n">
        <x:v>0.53295</x:v>
      </x:c>
      <x:c r="G477" s="32" t="n">
        <x:v>0.7054</x:v>
      </x:c>
      <x:c r="H477" s="32" t="n">
        <x:v>0.9729000000000001</x:v>
      </x:c>
      <x:c r="I477" s="40" t="n">
        <x:v>2</x:v>
      </x:c>
      <x:c r="J477" s="40" t="n">
        <x:v>2</x:v>
      </x:c>
      <x:c r="K477" s="40" t="n">
        <x:v>1</x:v>
      </x:c>
      <x:c r="L477" s="40" t="n">
        <x:v>1</x:v>
      </x:c>
    </x:row>
    <x:row r="478" ht="23" customHeight="1">
      <x:c r="B478" s="17" t="str">
        <x:v>All rounds</x:v>
      </x:c>
      <x:c r="C478" s="17" t="str">
        <x:v>condition</x:v>
      </x:c>
      <x:c r="D478" s="17" t="str">
        <x:v>Jsoup_69</x:v>
      </x:c>
      <x:c r="E478" s="32" t="n">
        <x:v>0.3214</x:v>
      </x:c>
      <x:c r="F478" s="32" t="n">
        <x:v>0</x:v>
      </x:c>
      <x:c r="G478" s="32" t="n">
        <x:v>0.8571</x:v>
      </x:c>
      <x:c r="H478" s="32" t="n">
        <x:v>1</x:v>
      </x:c>
      <x:c r="I478" s="40" t="n">
        <x:v>2</x:v>
      </x:c>
      <x:c r="J478" s="40" t="n">
        <x:v>2</x:v>
      </x:c>
      <x:c r="K478" s="40" t="n">
        <x:v>2</x:v>
      </x:c>
      <x:c r="L478" s="40" t="n">
        <x:v>1</x:v>
      </x:c>
    </x:row>
    <x:row r="479" ht="23" customHeight="1">
      <x:c r="B479" s="17" t="str">
        <x:v>All rounds</x:v>
      </x:c>
      <x:c r="C479" s="17" t="str">
        <x:v>condition</x:v>
      </x:c>
      <x:c r="D479" s="17" t="str">
        <x:v>Jsoup_72</x:v>
      </x:c>
      <x:c r="E479" s="32" t="n">
        <x:v>0.9495</x:v>
      </x:c>
      <x:c r="F479" s="32" t="n">
        <x:v>0.8106</x:v>
      </x:c>
      <x:c r="G479" s="32" t="n">
        <x:v>0.8029999999999999</x:v>
      </x:c>
      <x:c r="H479" s="32" t="n">
        <x:v>0.899</x:v>
      </x:c>
      <x:c r="I479" s="40" t="n">
        <x:v>2</x:v>
      </x:c>
      <x:c r="J479" s="40" t="n">
        <x:v>2</x:v>
      </x:c>
      <x:c r="K479" s="40" t="n">
        <x:v>2</x:v>
      </x:c>
      <x:c r="L479" s="40" t="n">
        <x:v>1</x:v>
      </x:c>
    </x:row>
    <x:row r="480" ht="23" customHeight="1">
      <x:c r="B480" s="17" t="str">
        <x:v>All rounds</x:v>
      </x:c>
      <x:c r="C480" s="17" t="str">
        <x:v>condition</x:v>
      </x:c>
      <x:c r="D480" s="17" t="str">
        <x:v>Jsoup_74</x:v>
      </x:c>
      <x:c r="E480" s="32" t="n">
        <x:v>0.9865</x:v>
      </x:c>
      <x:c r="F480" s="32" t="n">
        <x:v>0.7703</x:v>
      </x:c>
      <x:c r="G480" s="32" t="n">
        <x:v>0.9054000000000001</x:v>
      </x:c>
      <x:c r="H480" s="32" t="n">
        <x:v>0.9865</x:v>
      </x:c>
      <x:c r="I480" s="40" t="n">
        <x:v>2</x:v>
      </x:c>
      <x:c r="J480" s="40" t="n">
        <x:v>2</x:v>
      </x:c>
      <x:c r="K480" s="40" t="n">
        <x:v>2</x:v>
      </x:c>
      <x:c r="L480" s="40" t="n">
        <x:v>1</x:v>
      </x:c>
    </x:row>
    <x:row r="481" ht="23" customHeight="1">
      <x:c r="B481" s="17" t="str">
        <x:v>All rounds</x:v>
      </x:c>
      <x:c r="C481" s="17" t="str">
        <x:v>condition</x:v>
      </x:c>
      <x:c r="D481" s="17" t="str">
        <x:v>Jsoup_75</x:v>
      </x:c>
      <x:c r="E481" s="32" t="n">
        <x:v>0.8690000000000001</x:v>
      </x:c>
      <x:c r="F481" s="32" t="n">
        <x:v>0.8214</x:v>
      </x:c>
      <x:c r="G481" s="32" t="n">
        <x:v>0.8929</x:v>
      </x:c>
      <x:c r="H481" s="32" t="n">
        <x:v>0.9523999999999999</x:v>
      </x:c>
      <x:c r="I481" s="40" t="n">
        <x:v>2</x:v>
      </x:c>
      <x:c r="J481" s="40" t="n">
        <x:v>2</x:v>
      </x:c>
      <x:c r="K481" s="40" t="n">
        <x:v>2</x:v>
      </x:c>
      <x:c r="L481" s="40" t="n">
        <x:v>1</x:v>
      </x:c>
    </x:row>
    <x:row r="482" ht="23" customHeight="1">
      <x:c r="B482" s="17" t="str">
        <x:v>All rounds</x:v>
      </x:c>
      <x:c r="C482" s="17" t="str">
        <x:v>condition</x:v>
      </x:c>
      <x:c r="D482" s="17" t="str">
        <x:v>Jsoup_78</x:v>
      </x:c>
      <x:c r="E482" s="32" t="n">
        <x:v>0.4205</x:v>
      </x:c>
      <x:c r="F482" s="32" t="n">
        <x:v>0.0795</x:v>
      </x:c>
      <x:c r="G482" s="32" t="n">
        <x:v>0.4318</x:v>
      </x:c>
      <x:c r="H482" s="32" t="n">
        <x:v>0.8523000000000001</x:v>
      </x:c>
      <x:c r="I482" s="40" t="n">
        <x:v>2</x:v>
      </x:c>
      <x:c r="J482" s="40" t="n">
        <x:v>2</x:v>
      </x:c>
      <x:c r="K482" s="40" t="n">
        <x:v>2</x:v>
      </x:c>
      <x:c r="L482" s="40" t="n">
        <x:v>1</x:v>
      </x:c>
    </x:row>
    <x:row r="483" ht="23" customHeight="1">
      <x:c r="B483" s="17" t="str">
        <x:v>All rounds</x:v>
      </x:c>
      <x:c r="C483" s="17" t="str">
        <x:v>condition</x:v>
      </x:c>
      <x:c r="D483" s="17" t="str">
        <x:v>Jsoup_81</x:v>
      </x:c>
      <x:c r="E483" s="32" t="n">
        <x:v>0.47869999999999996</x:v>
      </x:c>
      <x:c r="F483" s="32" t="n">
        <x:v>0.0745</x:v>
      </x:c>
      <x:c r="G483" s="32" t="n">
        <x:v>0.5745</x:v>
      </x:c>
      <x:c r="H483" s="32" t="n">
        <x:v>0.7553</x:v>
      </x:c>
      <x:c r="I483" s="40" t="n">
        <x:v>2</x:v>
      </x:c>
      <x:c r="J483" s="40" t="n">
        <x:v>2</x:v>
      </x:c>
      <x:c r="K483" s="40" t="n">
        <x:v>1</x:v>
      </x:c>
      <x:c r="L483" s="40" t="n">
        <x:v>1</x:v>
      </x:c>
    </x:row>
    <x:row r="484" ht="23" customHeight="1">
      <x:c r="B484" s="17" t="str">
        <x:v>All rounds</x:v>
      </x:c>
      <x:c r="C484" s="17" t="str">
        <x:v>condition</x:v>
      </x:c>
      <x:c r="D484" s="17" t="str">
        <x:v>Jsoup_82</x:v>
      </x:c>
      <x:c r="E484" s="32" t="n">
        <x:v>0.2812</x:v>
      </x:c>
      <x:c r="F484" s="32" t="n">
        <x:v>0.0729</x:v>
      </x:c>
      <x:c r="G484" s="32" t="n">
        <x:v>0.4583</x:v>
      </x:c>
      <x:c r="H484" s="32" t="n">
        <x:v>0.8125</x:v>
      </x:c>
      <x:c r="I484" s="40" t="n">
        <x:v>2</x:v>
      </x:c>
      <x:c r="J484" s="40" t="n">
        <x:v>2</x:v>
      </x:c>
      <x:c r="K484" s="40" t="n">
        <x:v>2</x:v>
      </x:c>
      <x:c r="L484" s="40" t="n">
        <x:v>1</x:v>
      </x:c>
    </x:row>
    <x:row r="485" ht="23" customHeight="1">
      <x:c r="B485" s="17" t="str">
        <x:v>All rounds</x:v>
      </x:c>
      <x:c r="C485" s="17" t="str">
        <x:v>condition</x:v>
      </x:c>
      <x:c r="D485" s="17" t="str">
        <x:v>Jsoup_84</x:v>
      </x:c>
      <x:c r="E485" s="32" t="n">
        <x:v>0.8929</x:v>
      </x:c>
      <x:c r="F485" s="32" t="n">
        <x:v>0.17859999999999998</x:v>
      </x:c>
      <x:c r="G485" s="32" t="n">
        <x:v>0.8929</x:v>
      </x:c>
      <x:c r="H485" s="32" t="n">
        <x:v>1</x:v>
      </x:c>
      <x:c r="I485" s="40" t="n">
        <x:v>2</x:v>
      </x:c>
      <x:c r="J485" s="40" t="n">
        <x:v>2</x:v>
      </x:c>
      <x:c r="K485" s="40" t="n">
        <x:v>1</x:v>
      </x:c>
      <x:c r="L485" s="40" t="n">
        <x:v>1</x:v>
      </x:c>
    </x:row>
    <x:row r="486" ht="23" customHeight="1">
      <x:c r="B486" s="17" t="str">
        <x:v>All rounds</x:v>
      </x:c>
      <x:c r="C486" s="17" t="str">
        <x:v>condition</x:v>
      </x:c>
      <x:c r="D486" s="17" t="str">
        <x:v>Jsoup_85</x:v>
      </x:c>
      <x:c r="E486" s="32" t="n">
        <x:v>0.9</x:v>
      </x:c>
      <x:c r="F486" s="32" t="n">
        <x:v>0.44</x:v>
      </x:c>
      <x:c r="G486" s="32" t="n">
        <x:v>0.74</x:v>
      </x:c>
      <x:c r="H486" s="32" t="n">
        <x:v>0.58</x:v>
      </x:c>
      <x:c r="I486" s="40" t="n">
        <x:v>2</x:v>
      </x:c>
      <x:c r="J486" s="40" t="n">
        <x:v>2</x:v>
      </x:c>
      <x:c r="K486" s="40" t="n">
        <x:v>2</x:v>
      </x:c>
      <x:c r="L486" s="40" t="n">
        <x:v>1</x:v>
      </x:c>
    </x:row>
    <x:row r="487" ht="23" customHeight="1">
      <x:c r="B487" s="17" t="str">
        <x:v>All rounds</x:v>
      </x:c>
      <x:c r="C487" s="17" t="str">
        <x:v>condition</x:v>
      </x:c>
      <x:c r="D487" s="17" t="str">
        <x:v>Jsoup_88</x:v>
      </x:c>
      <x:c r="E487" s="32" t="n">
        <x:v>0.9</x:v>
      </x:c>
      <x:c r="F487" s="32" t="n">
        <x:v>0.44</x:v>
      </x:c>
      <x:c r="G487" s="32" t="n">
        <x:v>0.72</x:v>
      </x:c>
      <x:c r="H487" s="32" t="n">
        <x:v>0.58</x:v>
      </x:c>
      <x:c r="I487" s="40" t="n">
        <x:v>2</x:v>
      </x:c>
      <x:c r="J487" s="40" t="n">
        <x:v>2</x:v>
      </x:c>
      <x:c r="K487" s="40" t="n">
        <x:v>2</x:v>
      </x:c>
      <x:c r="L487" s="40" t="n">
        <x:v>1</x:v>
      </x:c>
    </x:row>
    <x:row r="488" ht="23" customHeight="1">
      <x:c r="B488" s="17" t="str">
        <x:v>All rounds</x:v>
      </x:c>
      <x:c r="C488" s="17" t="str">
        <x:v>condition</x:v>
      </x:c>
      <x:c r="D488" s="17" t="str">
        <x:v>Jsoup_89</x:v>
      </x:c>
      <x:c r="E488" s="32" t="n">
        <x:v>0.9</x:v>
      </x:c>
      <x:c r="F488" s="32" t="n">
        <x:v>0.44</x:v>
      </x:c>
      <x:c r="G488" s="32" t="n">
        <x:v>0.76</x:v>
      </x:c>
      <x:c r="H488" s="32" t="n">
        <x:v>0.58</x:v>
      </x:c>
      <x:c r="I488" s="40" t="n">
        <x:v>2</x:v>
      </x:c>
      <x:c r="J488" s="40" t="n">
        <x:v>2</x:v>
      </x:c>
      <x:c r="K488" s="40" t="n">
        <x:v>2</x:v>
      </x:c>
      <x:c r="L488" s="40" t="n">
        <x:v>1</x:v>
      </x:c>
    </x:row>
    <x:row r="489" ht="23" customHeight="1">
      <x:c r="B489" s="17" t="str">
        <x:v>All rounds</x:v>
      </x:c>
      <x:c r="C489" s="17" t="str">
        <x:v>condition</x:v>
      </x:c>
      <x:c r="D489" s="17" t="str">
        <x:v>Jsoup_91</x:v>
      </x:c>
      <x:c r="E489" s="32" t="n">
        <x:v>0.9632</x:v>
      </x:c>
      <x:c r="F489" s="32" t="n">
        <x:v>0.17105</x:v>
      </x:c>
      <x:c r="G489" s="32" t="n">
        <x:v>0.8053</x:v>
      </x:c>
      <x:c r="H489" s="32" t="n">
        <x:v>0.9316</x:v>
      </x:c>
      <x:c r="I489" s="40" t="n">
        <x:v>2</x:v>
      </x:c>
      <x:c r="J489" s="40" t="n">
        <x:v>2</x:v>
      </x:c>
      <x:c r="K489" s="40" t="n">
        <x:v>1</x:v>
      </x:c>
      <x:c r="L489" s="40" t="n">
        <x:v>1</x:v>
      </x:c>
    </x:row>
    <x:row r="490" ht="23" customHeight="1">
      <x:c r="B490" s="17" t="str">
        <x:v>All rounds</x:v>
      </x:c>
      <x:c r="C490" s="17" t="str">
        <x:v>condition</x:v>
      </x:c>
      <x:c r="D490" s="17" t="str">
        <x:v>Jsoup_93</x:v>
      </x:c>
      <x:c r="E490" s="32" t="n">
        <x:v>0.35710000000000003</x:v>
      </x:c>
      <x:c r="F490" s="32" t="n">
        <x:v>0</x:v>
      </x:c>
      <x:c r="G490" s="32" t="n">
        <x:v>1</x:v>
      </x:c>
      <x:c r="H490" s="32" t="n">
        <x:v>1</x:v>
      </x:c>
      <x:c r="I490" s="40" t="n">
        <x:v>2</x:v>
      </x:c>
      <x:c r="J490" s="40" t="n">
        <x:v>2</x:v>
      </x:c>
      <x:c r="K490" s="40" t="n">
        <x:v>1</x:v>
      </x:c>
      <x:c r="L490" s="40" t="n">
        <x:v>1</x:v>
      </x:c>
    </x:row>
    <x:row r="491" ht="23" customHeight="1">
      <x:c r="B491" s="17" t="str">
        <x:v>All rounds</x:v>
      </x:c>
      <x:c r="C491" s="17" t="str">
        <x:v>condition</x:v>
      </x:c>
      <x:c r="D491" s="17" t="str">
        <x:v>Lang_1</x:v>
      </x:c>
      <x:c r="E491" s="32" t="n">
        <x:v>0.8314</x:v>
      </x:c>
      <x:c r="F491" s="32" t="n">
        <x:v>0.41864999999999997</x:v>
      </x:c>
      <x:c r="G491" s="32" t="n">
        <x:v>0.6065</x:v>
      </x:c>
      <x:c r="H491" s="32" t="n">
        <x:v>0.8698</x:v>
      </x:c>
      <x:c r="I491" s="40" t="n">
        <x:v>2</x:v>
      </x:c>
      <x:c r="J491" s="40" t="n">
        <x:v>2</x:v>
      </x:c>
      <x:c r="K491" s="40" t="n">
        <x:v>1</x:v>
      </x:c>
      <x:c r="L491" s="40" t="n">
        <x:v>1</x:v>
      </x:c>
    </x:row>
    <x:row r="492" ht="23" customHeight="1">
      <x:c r="B492" s="17" t="str">
        <x:v>All rounds</x:v>
      </x:c>
      <x:c r="C492" s="17" t="str">
        <x:v>condition</x:v>
      </x:c>
      <x:c r="D492" s="17" t="str">
        <x:v>Lang_13</x:v>
      </x:c>
      <x:c r="E492" s="32" t="n">
        <x:v>0.9286</x:v>
      </x:c>
      <x:c r="F492" s="32" t="n">
        <x:v>0.8571</x:v>
      </x:c>
      <x:c r="G492" s="32" t="n">
        <x:v>0.8571</x:v>
      </x:c>
      <x:c r="H492" s="32" t="n">
        <x:v>0.9286</x:v>
      </x:c>
      <x:c r="I492" s="40" t="n">
        <x:v>2</x:v>
      </x:c>
      <x:c r="J492" s="40" t="n">
        <x:v>2</x:v>
      </x:c>
      <x:c r="K492" s="40" t="n">
        <x:v>2</x:v>
      </x:c>
      <x:c r="L492" s="40" t="n">
        <x:v>1</x:v>
      </x:c>
    </x:row>
    <x:row r="493" ht="23" customHeight="1">
      <x:c r="B493" s="17" t="str">
        <x:v>All rounds</x:v>
      </x:c>
      <x:c r="C493" s="17" t="str">
        <x:v>condition</x:v>
      </x:c>
      <x:c r="D493" s="17" t="str">
        <x:v>Lang_14</x:v>
      </x:c>
      <x:c r="E493" s="32" t="n">
        <x:v>0.9062</x:v>
      </x:c>
      <x:c r="F493" s="32" t="n">
        <x:v>0.8303999999999999</x:v>
      </x:c>
      <x:c r="G493" s="32" t="n">
        <x:v>0.7064</x:v>
      </x:c>
      <x:c r="H493" s="32" t="n">
        <x:v>0.7914</x:v>
      </x:c>
      <x:c r="I493" s="40" t="n">
        <x:v>2</x:v>
      </x:c>
      <x:c r="J493" s="40" t="n">
        <x:v>2</x:v>
      </x:c>
      <x:c r="K493" s="40" t="n">
        <x:v>1</x:v>
      </x:c>
      <x:c r="L493" s="40" t="n">
        <x:v>1</x:v>
      </x:c>
    </x:row>
    <x:row r="494" ht="23" customHeight="1">
      <x:c r="B494" s="17" t="str">
        <x:v>All rounds</x:v>
      </x:c>
      <x:c r="C494" s="17" t="str">
        <x:v>condition</x:v>
      </x:c>
      <x:c r="D494" s="17" t="str">
        <x:v>Lang_15</x:v>
      </x:c>
      <x:c r="E494" s="32" t="n">
        <x:v>0.3345</x:v>
      </x:c>
      <x:c r="F494" s="32" t="n">
        <x:v>0.1338</x:v>
      </x:c>
      <x:c r="G494" s="32" t="n">
        <x:v>0.507</x:v>
      </x:c>
      <x:c r="H494" s="32" t="n">
        <x:v>0.8415</x:v>
      </x:c>
      <x:c r="I494" s="40" t="n">
        <x:v>2</x:v>
      </x:c>
      <x:c r="J494" s="40" t="n">
        <x:v>2</x:v>
      </x:c>
      <x:c r="K494" s="40" t="n">
        <x:v>1</x:v>
      </x:c>
      <x:c r="L494" s="40" t="n">
        <x:v>1</x:v>
      </x:c>
    </x:row>
    <x:row r="495" ht="23" customHeight="1">
      <x:c r="B495" s="17" t="str">
        <x:v>All rounds</x:v>
      </x:c>
      <x:c r="C495" s="17" t="str">
        <x:v>condition</x:v>
      </x:c>
      <x:c r="D495" s="17" t="str">
        <x:v>Lang_19</x:v>
      </x:c>
      <x:c r="E495" s="32" t="n">
        <x:v>0.7222</x:v>
      </x:c>
      <x:c r="F495" s="32" t="n">
        <x:v>0.0556</x:v>
      </x:c>
      <x:c r="G495" s="32" t="n">
        <x:v>0.9444</x:v>
      </x:c>
      <x:c r="H495" s="32" t="n">
        <x:v>1</x:v>
      </x:c>
      <x:c r="I495" s="40" t="n">
        <x:v>2</x:v>
      </x:c>
      <x:c r="J495" s="40" t="n">
        <x:v>2</x:v>
      </x:c>
      <x:c r="K495" s="40" t="n">
        <x:v>2</x:v>
      </x:c>
      <x:c r="L495" s="40" t="n">
        <x:v>1</x:v>
      </x:c>
    </x:row>
    <x:row r="496" ht="23" customHeight="1">
      <x:c r="B496" s="17" t="str">
        <x:v>All rounds</x:v>
      </x:c>
      <x:c r="C496" s="17" t="str">
        <x:v>condition</x:v>
      </x:c>
      <x:c r="D496" s="17" t="str">
        <x:v>Lang_20</x:v>
      </x:c>
      <x:c r="E496" s="32" t="n">
        <x:v>0.9198999999999999</x:v>
      </x:c>
      <x:c r="F496" s="32" t="n">
        <x:v>0.8281000000000001</x:v>
      </x:c>
      <x:c r="G496" s="32" t="n">
        <x:v>0.34729999999999994</x:v>
      </x:c>
      <x:c r="H496" s="32" t="n">
        <x:v>0.8686</x:v>
      </x:c>
      <x:c r="I496" s="40" t="n">
        <x:v>2</x:v>
      </x:c>
      <x:c r="J496" s="40" t="n">
        <x:v>2</x:v>
      </x:c>
      <x:c r="K496" s="40" t="n">
        <x:v>1</x:v>
      </x:c>
      <x:c r="L496" s="40" t="n">
        <x:v>1</x:v>
      </x:c>
    </x:row>
    <x:row r="497" ht="23" customHeight="1">
      <x:c r="B497" s="17" t="str">
        <x:v>All rounds</x:v>
      </x:c>
      <x:c r="C497" s="17" t="str">
        <x:v>condition</x:v>
      </x:c>
      <x:c r="D497" s="17" t="str">
        <x:v>Lang_23</x:v>
      </x:c>
      <x:c r="E497" s="32" t="n">
        <x:v>0.2929</x:v>
      </x:c>
      <x:c r="F497" s="32" t="n">
        <x:v>0.0101</x:v>
      </x:c>
      <x:c r="G497" s="32" t="n">
        <x:v>0.303</x:v>
      </x:c>
      <x:c r="H497" s="32" t="n">
        <x:v>0.7979999999999999</x:v>
      </x:c>
      <x:c r="I497" s="40" t="n">
        <x:v>2</x:v>
      </x:c>
      <x:c r="J497" s="40" t="n">
        <x:v>2</x:v>
      </x:c>
      <x:c r="K497" s="40" t="n">
        <x:v>2</x:v>
      </x:c>
      <x:c r="L497" s="40" t="n">
        <x:v>1</x:v>
      </x:c>
    </x:row>
    <x:row r="498" ht="23" customHeight="1">
      <x:c r="B498" s="17" t="str">
        <x:v>All rounds</x:v>
      </x:c>
      <x:c r="C498" s="17" t="str">
        <x:v>condition</x:v>
      </x:c>
      <x:c r="D498" s="17" t="str">
        <x:v>Lang_24</x:v>
      </x:c>
      <x:c r="E498" s="32" t="n">
        <x:v>0.8258</x:v>
      </x:c>
      <x:c r="F498" s="32" t="n">
        <x:v>0.48595</x:v>
      </x:c>
      <x:c r="G498" s="32" t="n">
        <x:v>0.4522</x:v>
      </x:c>
      <x:c r="H498" s="32" t="n">
        <x:v>0.9298000000000001</x:v>
      </x:c>
      <x:c r="I498" s="40" t="n">
        <x:v>2</x:v>
      </x:c>
      <x:c r="J498" s="40" t="n">
        <x:v>2</x:v>
      </x:c>
      <x:c r="K498" s="40" t="n">
        <x:v>2</x:v>
      </x:c>
      <x:c r="L498" s="40" t="n">
        <x:v>1</x:v>
      </x:c>
    </x:row>
    <x:row r="499" ht="23" customHeight="1">
      <x:c r="B499" s="17" t="str">
        <x:v>All rounds</x:v>
      </x:c>
      <x:c r="C499" s="17" t="str">
        <x:v>condition</x:v>
      </x:c>
      <x:c r="D499" s="17" t="str">
        <x:v>Lang_27</x:v>
      </x:c>
      <x:c r="E499" s="32" t="n">
        <x:v>0.8466</x:v>
      </x:c>
      <x:c r="F499" s="32" t="n">
        <x:v>0.4915</x:v>
      </x:c>
      <x:c r="G499" s="32" t="n">
        <x:v>0.5597</x:v>
      </x:c>
      <x:c r="H499" s="32" t="n">
        <x:v>0.9062</x:v>
      </x:c>
      <x:c r="I499" s="40" t="n">
        <x:v>2</x:v>
      </x:c>
      <x:c r="J499" s="40" t="n">
        <x:v>2</x:v>
      </x:c>
      <x:c r="K499" s="40" t="n">
        <x:v>2</x:v>
      </x:c>
      <x:c r="L499" s="40" t="n">
        <x:v>1</x:v>
      </x:c>
    </x:row>
    <x:row r="500" ht="23" customHeight="1">
      <x:c r="B500" s="17" t="str">
        <x:v>All rounds</x:v>
      </x:c>
      <x:c r="C500" s="17" t="str">
        <x:v>condition</x:v>
      </x:c>
      <x:c r="D500" s="17" t="str">
        <x:v>Lang_28</x:v>
      </x:c>
      <x:c r="E500" s="32" t="n">
        <x:v>0.2143</x:v>
      </x:c>
      <x:c r="F500" s="32" t="n">
        <x:v>0.07139999999999999</x:v>
      </x:c>
      <x:c r="G500" s="32" t="n">
        <x:v>0.8571</x:v>
      </x:c>
      <x:c r="H500" s="32" t="n">
        <x:v>1</x:v>
      </x:c>
      <x:c r="I500" s="40" t="n">
        <x:v>2</x:v>
      </x:c>
      <x:c r="J500" s="40" t="n">
        <x:v>2</x:v>
      </x:c>
      <x:c r="K500" s="40" t="n">
        <x:v>2</x:v>
      </x:c>
      <x:c r="L500" s="40" t="n">
        <x:v>1</x:v>
      </x:c>
    </x:row>
    <x:row r="501" ht="23" customHeight="1">
      <x:c r="B501" s="17" t="str">
        <x:v>All rounds</x:v>
      </x:c>
      <x:c r="C501" s="17" t="str">
        <x:v>condition</x:v>
      </x:c>
      <x:c r="D501" s="17" t="str">
        <x:v>Lang_3</x:v>
      </x:c>
      <x:c r="E501" s="32" t="n">
        <x:v>0.8262999999999999</x:v>
      </x:c>
      <x:c r="F501" s="32" t="n">
        <x:v>0.42364999999999997</x:v>
      </x:c>
      <x:c r="G501" s="32" t="n">
        <x:v>0.5268999999999999</x:v>
      </x:c>
      <x:c r="H501" s="32" t="n">
        <x:v>0.8503000000000001</x:v>
      </x:c>
      <x:c r="I501" s="40" t="n">
        <x:v>2</x:v>
      </x:c>
      <x:c r="J501" s="40" t="n">
        <x:v>2</x:v>
      </x:c>
      <x:c r="K501" s="40" t="n">
        <x:v>1</x:v>
      </x:c>
      <x:c r="L501" s="40" t="n">
        <x:v>1</x:v>
      </x:c>
    </x:row>
    <x:row r="502" ht="23" customHeight="1">
      <x:c r="B502" s="17" t="str">
        <x:v>All rounds</x:v>
      </x:c>
      <x:c r="C502" s="17" t="str">
        <x:v>condition</x:v>
      </x:c>
      <x:c r="D502" s="17" t="str">
        <x:v>Lang_32</x:v>
      </x:c>
      <x:c r="E502" s="32" t="n">
        <x:v>0.8256</x:v>
      </x:c>
      <x:c r="F502" s="32" t="n">
        <x:v>0.9244499999999999</x:v>
      </x:c>
      <x:c r="G502" s="32" t="n">
        <x:v>0.7907</x:v>
      </x:c>
      <x:c r="H502" s="32" t="n">
        <x:v>0.24420000000000003</x:v>
      </x:c>
      <x:c r="I502" s="40" t="n">
        <x:v>2</x:v>
      </x:c>
      <x:c r="J502" s="40" t="n">
        <x:v>2</x:v>
      </x:c>
      <x:c r="K502" s="40" t="n">
        <x:v>1</x:v>
      </x:c>
      <x:c r="L502" s="40" t="n">
        <x:v>1</x:v>
      </x:c>
    </x:row>
    <x:row r="503" ht="23" customHeight="1">
      <x:c r="B503" s="17" t="str">
        <x:v>All rounds</x:v>
      </x:c>
      <x:c r="C503" s="17" t="str">
        <x:v>condition</x:v>
      </x:c>
      <x:c r="D503" s="17" t="str">
        <x:v>Lang_34</x:v>
      </x:c>
      <x:c r="E503" s="32" t="n">
        <x:v>0</x:v>
      </x:c>
      <x:c r="F503" s="32" t="n">
        <x:v>0.48379999999999995</x:v>
      </x:c>
      <x:c r="G503" s="32" t="n">
        <x:v>0.7222</x:v>
      </x:c>
      <x:c r="H503" s="32" t="n">
        <x:v>0.22690000000000002</x:v>
      </x:c>
      <x:c r="I503" s="40" t="n">
        <x:v>2</x:v>
      </x:c>
      <x:c r="J503" s="40" t="n">
        <x:v>2</x:v>
      </x:c>
      <x:c r="K503" s="40" t="n">
        <x:v>1</x:v>
      </x:c>
      <x:c r="L503" s="40" t="n">
        <x:v>1</x:v>
      </x:c>
    </x:row>
    <x:row r="504" ht="23" customHeight="1">
      <x:c r="B504" s="17" t="str">
        <x:v>All rounds</x:v>
      </x:c>
      <x:c r="C504" s="17" t="str">
        <x:v>condition</x:v>
      </x:c>
      <x:c r="D504" s="17" t="str">
        <x:v>Lang_35</x:v>
      </x:c>
      <x:c r="E504" s="32" t="n">
        <x:v>0.9578</x:v>
      </x:c>
      <x:c r="F504" s="32" t="n">
        <x:v>0.92245</x:v>
      </x:c>
      <x:c r="G504" s="32" t="n">
        <x:v>0.1365</x:v>
      </x:c>
      <x:c r="H504" s="32" t="n">
        <x:v>0.0385</x:v>
      </x:c>
      <x:c r="I504" s="40" t="n">
        <x:v>2</x:v>
      </x:c>
      <x:c r="J504" s="40" t="n">
        <x:v>2</x:v>
      </x:c>
      <x:c r="K504" s="40" t="n">
        <x:v>1</x:v>
      </x:c>
      <x:c r="L504" s="40" t="n">
        <x:v>1</x:v>
      </x:c>
    </x:row>
    <x:row r="505" ht="23" customHeight="1">
      <x:c r="B505" s="17" t="str">
        <x:v>All rounds</x:v>
      </x:c>
      <x:c r="C505" s="17" t="str">
        <x:v>condition</x:v>
      </x:c>
      <x:c r="D505" s="17" t="str">
        <x:v>Lang_37</x:v>
      </x:c>
      <x:c r="E505" s="32" t="n">
        <x:v>0.9652</x:v>
      </x:c>
      <x:c r="F505" s="32" t="n">
        <x:v>0.93905</x:v>
      </x:c>
      <x:c r="G505" s="32" t="n">
        <x:v>0.1679</x:v>
      </x:c>
      <x:c r="H505" s="32" t="n">
        <x:v>0.038599999999999995</x:v>
      </x:c>
      <x:c r="I505" s="40" t="n">
        <x:v>2</x:v>
      </x:c>
      <x:c r="J505" s="40" t="n">
        <x:v>2</x:v>
      </x:c>
      <x:c r="K505" s="40" t="n">
        <x:v>1</x:v>
      </x:c>
      <x:c r="L505" s="40" t="n">
        <x:v>1</x:v>
      </x:c>
    </x:row>
    <x:row r="506" ht="23" customHeight="1">
      <x:c r="B506" s="17" t="str">
        <x:v>All rounds</x:v>
      </x:c>
      <x:c r="C506" s="17" t="str">
        <x:v>condition</x:v>
      </x:c>
      <x:c r="D506" s="17" t="str">
        <x:v>Lang_4</x:v>
      </x:c>
      <x:c r="E506" s="32" t="n">
        <x:v>1</x:v>
      </x:c>
      <x:c r="F506" s="32" t="n">
        <x:v>1</x:v>
      </x:c>
      <x:c r="G506" s="32" t="n">
        <x:v>1</x:v>
      </x:c>
      <x:c r="H506" s="32" t="n">
        <x:v>1</x:v>
      </x:c>
      <x:c r="I506" s="40" t="n">
        <x:v>2</x:v>
      </x:c>
      <x:c r="J506" s="40" t="n">
        <x:v>2</x:v>
      </x:c>
      <x:c r="K506" s="40" t="n">
        <x:v>2</x:v>
      </x:c>
      <x:c r="L506" s="40" t="n">
        <x:v>1</x:v>
      </x:c>
    </x:row>
    <x:row r="507" ht="23" customHeight="1">
      <x:c r="B507" s="17" t="str">
        <x:v>All rounds</x:v>
      </x:c>
      <x:c r="C507" s="17" t="str">
        <x:v>condition</x:v>
      </x:c>
      <x:c r="D507" s="17" t="str">
        <x:v>Lang_40</x:v>
      </x:c>
      <x:c r="E507" s="32" t="n">
        <x:v>0.9378</x:v>
      </x:c>
      <x:c r="F507" s="32" t="n">
        <x:v>0.7953999999999999</x:v>
      </x:c>
      <x:c r="G507" s="32" t="n">
        <x:v>0.2096</x:v>
      </x:c>
      <x:c r="H507" s="32" t="n">
        <x:v>0.0512</x:v>
      </x:c>
      <x:c r="I507" s="40" t="n">
        <x:v>2</x:v>
      </x:c>
      <x:c r="J507" s="40" t="n">
        <x:v>2</x:v>
      </x:c>
      <x:c r="K507" s="40" t="n">
        <x:v>1</x:v>
      </x:c>
      <x:c r="L507" s="40" t="n">
        <x:v>1</x:v>
      </x:c>
    </x:row>
    <x:row r="508" ht="23" customHeight="1">
      <x:c r="B508" s="17" t="str">
        <x:v>All rounds</x:v>
      </x:c>
      <x:c r="C508" s="17" t="str">
        <x:v>condition</x:v>
      </x:c>
      <x:c r="D508" s="17" t="str">
        <x:v>Lang_42</x:v>
      </x:c>
      <x:c r="E508" s="32" t="n">
        <x:v>0.8593999999999999</x:v>
      </x:c>
      <x:c r="F508" s="32" t="n">
        <x:v>0.5781000000000001</x:v>
      </x:c>
      <x:c r="G508" s="32" t="n">
        <x:v>0.5938</x:v>
      </x:c>
      <x:c r="H508" s="32" t="n">
        <x:v>0.3906</x:v>
      </x:c>
      <x:c r="I508" s="40" t="n">
        <x:v>2</x:v>
      </x:c>
      <x:c r="J508" s="40" t="n">
        <x:v>2</x:v>
      </x:c>
      <x:c r="K508" s="40" t="n">
        <x:v>1</x:v>
      </x:c>
      <x:c r="L508" s="40" t="n">
        <x:v>1</x:v>
      </x:c>
    </x:row>
    <x:row r="509" ht="23" customHeight="1">
      <x:c r="B509" s="17" t="str">
        <x:v>All rounds</x:v>
      </x:c>
      <x:c r="C509" s="17" t="str">
        <x:v>condition</x:v>
      </x:c>
      <x:c r="D509" s="17" t="str">
        <x:v>Lang_44</x:v>
      </x:c>
      <x:c r="E509" s="32" t="n">
        <x:v>0.7222</x:v>
      </x:c>
      <x:c r="F509" s="32" t="n">
        <x:v>0.2731</x:v>
      </x:c>
      <x:c r="G509" s="32" t="n">
        <x:v>0.43060000000000004</x:v>
      </x:c>
      <x:c r="H509" s="32" t="n">
        <x:v>0.287</x:v>
      </x:c>
      <x:c r="I509" s="40" t="n">
        <x:v>2</x:v>
      </x:c>
      <x:c r="J509" s="40" t="n">
        <x:v>2</x:v>
      </x:c>
      <x:c r="K509" s="40" t="n">
        <x:v>2</x:v>
      </x:c>
      <x:c r="L509" s="40" t="n">
        <x:v>1</x:v>
      </x:c>
    </x:row>
    <x:row r="510" ht="23" customHeight="1">
      <x:c r="B510" s="17" t="str">
        <x:v>All rounds</x:v>
      </x:c>
      <x:c r="C510" s="17" t="str">
        <x:v>condition</x:v>
      </x:c>
      <x:c r="D510" s="17" t="str">
        <x:v>Lang_49</x:v>
      </x:c>
      <x:c r="E510" s="32" t="n">
        <x:v>0.9185</x:v>
      </x:c>
      <x:c r="F510" s="32" t="n">
        <x:v>0.8288</x:v>
      </x:c>
      <x:c r="G510" s="32" t="n">
        <x:v>0.8043</x:v>
      </x:c>
      <x:c r="H510" s="32" t="n">
        <x:v>0.2772</x:v>
      </x:c>
      <x:c r="I510" s="40" t="n">
        <x:v>2</x:v>
      </x:c>
      <x:c r="J510" s="40" t="n">
        <x:v>2</x:v>
      </x:c>
      <x:c r="K510" s="40" t="n">
        <x:v>2</x:v>
      </x:c>
      <x:c r="L510" s="40" t="n">
        <x:v>1</x:v>
      </x:c>
    </x:row>
    <x:row r="511" ht="23" customHeight="1">
      <x:c r="B511" s="17" t="str">
        <x:v>All rounds</x:v>
      </x:c>
      <x:c r="C511" s="17" t="str">
        <x:v>condition</x:v>
      </x:c>
      <x:c r="D511" s="17" t="str">
        <x:v>Lang_5</x:v>
      </x:c>
      <x:c r="E511" s="32" t="n">
        <x:v>0.6607</x:v>
      </x:c>
      <x:c r="F511" s="32" t="n">
        <x:v>0.4286</x:v>
      </x:c>
      <x:c r="G511" s="32" t="n">
        <x:v>0.875</x:v>
      </x:c>
      <x:c r="H511" s="32" t="n">
        <x:v>1</x:v>
      </x:c>
      <x:c r="I511" s="40" t="n">
        <x:v>2</x:v>
      </x:c>
      <x:c r="J511" s="40" t="n">
        <x:v>2</x:v>
      </x:c>
      <x:c r="K511" s="40" t="n">
        <x:v>2</x:v>
      </x:c>
      <x:c r="L511" s="40" t="n">
        <x:v>1</x:v>
      </x:c>
    </x:row>
    <x:row r="512" ht="23" customHeight="1">
      <x:c r="B512" s="17" t="str">
        <x:v>All rounds</x:v>
      </x:c>
      <x:c r="C512" s="17" t="str">
        <x:v>condition</x:v>
      </x:c>
      <x:c r="D512" s="17" t="str">
        <x:v>Lang_51</x:v>
      </x:c>
      <x:c r="E512" s="32" t="n">
        <x:v>0.8491</x:v>
      </x:c>
      <x:c r="F512" s="32" t="n">
        <x:v>0.6179</x:v>
      </x:c>
      <x:c r="G512" s="32" t="n">
        <x:v>0.7594</x:v>
      </x:c>
      <x:c r="H512" s="32" t="n">
        <x:v>0.1274</x:v>
      </x:c>
      <x:c r="I512" s="40" t="n">
        <x:v>2</x:v>
      </x:c>
      <x:c r="J512" s="40" t="n">
        <x:v>2</x:v>
      </x:c>
      <x:c r="K512" s="40" t="n">
        <x:v>2</x:v>
      </x:c>
      <x:c r="L512" s="40" t="n">
        <x:v>1</x:v>
      </x:c>
    </x:row>
    <x:row r="513" ht="23" customHeight="1">
      <x:c r="B513" s="17" t="str">
        <x:v>All rounds</x:v>
      </x:c>
      <x:c r="C513" s="17" t="str">
        <x:v>condition</x:v>
      </x:c>
      <x:c r="D513" s="17" t="str">
        <x:v>Lang_54</x:v>
      </x:c>
      <x:c r="E513" s="32" t="n">
        <x:v>0.7656000000000001</x:v>
      </x:c>
      <x:c r="F513" s="32" t="n">
        <x:v>0.3594</x:v>
      </x:c>
      <x:c r="G513" s="32" t="n">
        <x:v>0.8125</x:v>
      </x:c>
      <x:c r="H513" s="32" t="n">
        <x:v>0.3906</x:v>
      </x:c>
      <x:c r="I513" s="40" t="n">
        <x:v>2</x:v>
      </x:c>
      <x:c r="J513" s="40" t="n">
        <x:v>2</x:v>
      </x:c>
      <x:c r="K513" s="40" t="n">
        <x:v>2</x:v>
      </x:c>
      <x:c r="L513" s="40" t="n">
        <x:v>1</x:v>
      </x:c>
    </x:row>
    <x:row r="514" ht="23" customHeight="1">
      <x:c r="B514" s="17" t="str">
        <x:v>All rounds</x:v>
      </x:c>
      <x:c r="C514" s="17" t="str">
        <x:v>condition</x:v>
      </x:c>
      <x:c r="D514" s="17" t="str">
        <x:v>Lang_55</x:v>
      </x:c>
      <x:c r="E514" s="32" t="n">
        <x:v>0.9615</x:v>
      </x:c>
      <x:c r="F514" s="32" t="n">
        <x:v>0.9615</x:v>
      </x:c>
      <x:c r="G514" s="32" t="n">
        <x:v>0.8845999999999999</x:v>
      </x:c>
      <x:c r="H514" s="32" t="n">
        <x:v>0.46149999999999997</x:v>
      </x:c>
      <x:c r="I514" s="40" t="n">
        <x:v>2</x:v>
      </x:c>
      <x:c r="J514" s="40" t="n">
        <x:v>2</x:v>
      </x:c>
      <x:c r="K514" s="40" t="n">
        <x:v>2</x:v>
      </x:c>
      <x:c r="L514" s="40" t="n">
        <x:v>1</x:v>
      </x:c>
    </x:row>
    <x:row r="515" ht="23" customHeight="1">
      <x:c r="B515" s="17" t="str">
        <x:v>All rounds</x:v>
      </x:c>
      <x:c r="C515" s="17" t="str">
        <x:v>condition</x:v>
      </x:c>
      <x:c r="D515" s="17" t="str">
        <x:v>Lang_57</x:v>
      </x:c>
      <x:c r="E515" s="32" t="n">
        <x:v>0.75</x:v>
      </x:c>
      <x:c r="F515" s="32" t="n">
        <x:v>0.3594</x:v>
      </x:c>
      <x:c r="G515" s="32" t="n">
        <x:v>0.8281000000000001</x:v>
      </x:c>
      <x:c r="H515" s="32" t="n">
        <x:v>0.3906</x:v>
      </x:c>
      <x:c r="I515" s="40" t="n">
        <x:v>2</x:v>
      </x:c>
      <x:c r="J515" s="40" t="n">
        <x:v>2</x:v>
      </x:c>
      <x:c r="K515" s="40" t="n">
        <x:v>2</x:v>
      </x:c>
      <x:c r="L515" s="40" t="n">
        <x:v>1</x:v>
      </x:c>
    </x:row>
    <x:row r="516" ht="23" customHeight="1">
      <x:c r="B516" s="17" t="str">
        <x:v>All rounds</x:v>
      </x:c>
      <x:c r="C516" s="17" t="str">
        <x:v>condition</x:v>
      </x:c>
      <x:c r="D516" s="17" t="str">
        <x:v>Lang_58</x:v>
      </x:c>
      <x:c r="E516" s="32" t="n">
        <x:v>0.8332999999999999</x:v>
      </x:c>
      <x:c r="F516" s="32" t="n">
        <x:v>0.5774</x:v>
      </x:c>
      <x:c r="G516" s="32" t="n">
        <x:v>0.6881</x:v>
      </x:c>
      <x:c r="H516" s="32" t="n">
        <x:v>0.1476</x:v>
      </x:c>
      <x:c r="I516" s="40" t="n">
        <x:v>2</x:v>
      </x:c>
      <x:c r="J516" s="40" t="n">
        <x:v>2</x:v>
      </x:c>
      <x:c r="K516" s="40" t="n">
        <x:v>2</x:v>
      </x:c>
      <x:c r="L516" s="40" t="n">
        <x:v>1</x:v>
      </x:c>
    </x:row>
    <x:row r="517" ht="23" customHeight="1">
      <x:c r="B517" s="17" t="str">
        <x:v>All rounds</x:v>
      </x:c>
      <x:c r="C517" s="17" t="str">
        <x:v>condition</x:v>
      </x:c>
      <x:c r="D517" s="17" t="str">
        <x:v>Lang_6</x:v>
      </x:c>
      <x:c r="E517" s="32" t="n">
        <x:v>1</x:v>
      </x:c>
      <x:c r="F517" s="32" t="n">
        <x:v>0</x:v>
      </x:c>
      <x:c r="G517" s="32" t="n">
        <x:v>1</x:v>
      </x:c>
      <x:c r="H517" s="32" t="n">
        <x:v>1</x:v>
      </x:c>
      <x:c r="I517" s="40" t="n">
        <x:v>2</x:v>
      </x:c>
      <x:c r="J517" s="40" t="n">
        <x:v>2</x:v>
      </x:c>
      <x:c r="K517" s="40" t="n">
        <x:v>2</x:v>
      </x:c>
      <x:c r="L517" s="40" t="n">
        <x:v>1</x:v>
      </x:c>
    </x:row>
    <x:row r="518" ht="23" customHeight="1">
      <x:c r="B518" s="17" t="str">
        <x:v>All rounds</x:v>
      </x:c>
      <x:c r="C518" s="17" t="str">
        <x:v>condition</x:v>
      </x:c>
      <x:c r="D518" s="17" t="str">
        <x:v>Lang_62</x:v>
      </x:c>
      <x:c r="E518" s="32" t="n">
        <x:v>0.7111</x:v>
      </x:c>
      <x:c r="F518" s="32" t="n">
        <x:v>0.4556</x:v>
      </x:c>
      <x:c r="G518" s="32" t="n">
        <x:v>0.6</x:v>
      </x:c>
      <x:c r="H518" s="32" t="n">
        <x:v>0.2778</x:v>
      </x:c>
      <x:c r="I518" s="40" t="n">
        <x:v>2</x:v>
      </x:c>
      <x:c r="J518" s="40" t="n">
        <x:v>2</x:v>
      </x:c>
      <x:c r="K518" s="40" t="n">
        <x:v>1</x:v>
      </x:c>
      <x:c r="L518" s="40" t="n">
        <x:v>1</x:v>
      </x:c>
    </x:row>
    <x:row r="519" ht="23" customHeight="1">
      <x:c r="B519" s="17" t="str">
        <x:v>All rounds</x:v>
      </x:c>
      <x:c r="C519" s="17" t="str">
        <x:v>condition</x:v>
      </x:c>
      <x:c r="D519" s="17" t="str">
        <x:v>Lang_63</x:v>
      </x:c>
      <x:c r="E519" s="32" t="n">
        <x:v>0.8963</x:v>
      </x:c>
      <x:c r="F519" s="32" t="n">
        <x:v>0.7222</x:v>
      </x:c>
      <x:c r="G519" s="32" t="n">
        <x:v>0.6074</x:v>
      </x:c>
      <x:c r="H519" s="32" t="n">
        <x:v>0.45189999999999997</x:v>
      </x:c>
      <x:c r="I519" s="40" t="n">
        <x:v>2</x:v>
      </x:c>
      <x:c r="J519" s="40" t="n">
        <x:v>2</x:v>
      </x:c>
      <x:c r="K519" s="40" t="n">
        <x:v>2</x:v>
      </x:c>
      <x:c r="L519" s="40" t="n">
        <x:v>1</x:v>
      </x:c>
    </x:row>
    <x:row r="520" ht="23" customHeight="1">
      <x:c r="B520" s="17" t="str">
        <x:v>All rounds</x:v>
      </x:c>
      <x:c r="C520" s="17" t="str">
        <x:v>condition</x:v>
      </x:c>
      <x:c r="D520" s="17" t="str">
        <x:v>Lang_64</x:v>
      </x:c>
      <x:c r="E520" s="32" t="n">
        <x:v>0.25</x:v>
      </x:c>
      <x:c r="F520" s="32" t="n">
        <x:v>0.25</x:v>
      </x:c>
      <x:c r="G520" s="32" t="n">
        <x:v>0</x:v>
      </x:c>
      <x:c r="H520" s="32" t="n">
        <x:v>0.625</x:v>
      </x:c>
      <x:c r="I520" s="40" t="n">
        <x:v>2</x:v>
      </x:c>
      <x:c r="J520" s="40" t="n">
        <x:v>2</x:v>
      </x:c>
      <x:c r="K520" s="40" t="n">
        <x:v>2</x:v>
      </x:c>
      <x:c r="L520" s="40" t="n">
        <x:v>1</x:v>
      </x:c>
    </x:row>
    <x:row r="521" ht="23" customHeight="1">
      <x:c r="B521" s="17" t="str">
        <x:v>All rounds</x:v>
      </x:c>
      <x:c r="C521" s="17" t="str">
        <x:v>condition</x:v>
      </x:c>
      <x:c r="D521" s="17" t="str">
        <x:v>Lang_7</x:v>
      </x:c>
      <x:c r="E521" s="32" t="n">
        <x:v>0.847</x:v>
      </x:c>
      <x:c r="F521" s="32" t="n">
        <x:v>0.47814999999999996</x:v>
      </x:c>
      <x:c r="G521" s="32" t="n">
        <x:v>0.5464</x:v>
      </x:c>
      <x:c r="H521" s="32" t="n">
        <x:v>0.8634000000000001</x:v>
      </x:c>
      <x:c r="I521" s="40" t="n">
        <x:v>2</x:v>
      </x:c>
      <x:c r="J521" s="40" t="n">
        <x:v>2</x:v>
      </x:c>
      <x:c r="K521" s="40" t="n">
        <x:v>2</x:v>
      </x:c>
      <x:c r="L521" s="40" t="n">
        <x:v>1</x:v>
      </x:c>
    </x:row>
    <x:row r="522" ht="23" customHeight="1">
      <x:c r="B522" s="17" t="str">
        <x:v>All rounds</x:v>
      </x:c>
      <x:c r="C522" s="17" t="str">
        <x:v>condition</x:v>
      </x:c>
      <x:c r="D522" s="17" t="str">
        <x:v>Lang_8</x:v>
      </x:c>
      <x:c r="E522" s="32" t="n">
        <x:v>0.7867000000000001</x:v>
      </x:c>
      <x:c r="F522" s="32" t="n">
        <x:v>0.013300000000000001</x:v>
      </x:c>
      <x:c r="G522" s="32" t="n">
        <x:v>0.5333</x:v>
      </x:c>
      <x:c r="H522" s="32" t="n">
        <x:v>0.9267</x:v>
      </x:c>
      <x:c r="I522" s="40" t="n">
        <x:v>2</x:v>
      </x:c>
      <x:c r="J522" s="40" t="n">
        <x:v>2</x:v>
      </x:c>
      <x:c r="K522" s="40" t="n">
        <x:v>2</x:v>
      </x:c>
      <x:c r="L522" s="40" t="n">
        <x:v>1</x:v>
      </x:c>
    </x:row>
    <x:row r="523" ht="23" customHeight="1">
      <x:c r="B523" s="17" t="str">
        <x:v>All rounds</x:v>
      </x:c>
      <x:c r="C523" s="17" t="str">
        <x:v>condition</x:v>
      </x:c>
      <x:c r="D523" s="17" t="str">
        <x:v>Math_1</x:v>
      </x:c>
      <x:c r="E523" s="32" t="n">
        <x:v>0.9688</x:v>
      </x:c>
      <x:c r="F523" s="32" t="n">
        <x:v>0.83335</x:v>
      </x:c>
      <x:c r="G523" s="32" t="n">
        <x:v>0.7865000000000001</x:v>
      </x:c>
      <x:c r="H523" s="32" t="n">
        <x:v>0.3125</x:v>
      </x:c>
      <x:c r="I523" s="40" t="n">
        <x:v>2</x:v>
      </x:c>
      <x:c r="J523" s="40" t="n">
        <x:v>2</x:v>
      </x:c>
      <x:c r="K523" s="40" t="n">
        <x:v>2</x:v>
      </x:c>
      <x:c r="L523" s="40" t="n">
        <x:v>1</x:v>
      </x:c>
    </x:row>
    <x:row r="524" ht="23" customHeight="1">
      <x:c r="B524" s="17" t="str">
        <x:v>All rounds</x:v>
      </x:c>
      <x:c r="C524" s="17" t="str">
        <x:v>condition</x:v>
      </x:c>
      <x:c r="D524" s="17" t="str">
        <x:v>Math_10</x:v>
      </x:c>
      <x:c r="E524" s="32" t="n">
        <x:v>0.6993</x:v>
      </x:c>
      <x:c r="F524" s="32" t="n">
        <x:v>0.4021</x:v>
      </x:c>
      <x:c r="G524" s="32" t="n">
        <x:v>0.6607999999999999</x:v>
      </x:c>
      <x:c r="H524" s="32" t="n">
        <x:v>0</x:v>
      </x:c>
      <x:c r="I524" s="40" t="n">
        <x:v>2</x:v>
      </x:c>
      <x:c r="J524" s="40" t="n">
        <x:v>2</x:v>
      </x:c>
      <x:c r="K524" s="40" t="n">
        <x:v>2</x:v>
      </x:c>
      <x:c r="L524" s="40" t="n">
        <x:v>1</x:v>
      </x:c>
    </x:row>
    <x:row r="525" ht="23" customHeight="1">
      <x:c r="B525" s="17" t="str">
        <x:v>All rounds</x:v>
      </x:c>
      <x:c r="C525" s="17" t="str">
        <x:v>condition</x:v>
      </x:c>
      <x:c r="D525" s="17" t="str">
        <x:v>Math_101</x:v>
      </x:c>
      <x:c r="E525" s="32" t="n">
        <x:v>1</x:v>
      </x:c>
      <x:c r="F525" s="32" t="n">
        <x:v>0.6154</x:v>
      </x:c>
      <x:c r="G525" s="32" t="n">
        <x:v>0.9423</x:v>
      </x:c>
      <x:c r="H525" s="32" t="n">
        <x:v>0</x:v>
      </x:c>
      <x:c r="I525" s="40" t="n">
        <x:v>2</x:v>
      </x:c>
      <x:c r="J525" s="40" t="n">
        <x:v>2</x:v>
      </x:c>
      <x:c r="K525" s="40" t="n">
        <x:v>2</x:v>
      </x:c>
      <x:c r="L525" s="40" t="n">
        <x:v>1</x:v>
      </x:c>
    </x:row>
    <x:row r="526" ht="23" customHeight="1">
      <x:c r="B526" s="17" t="str">
        <x:v>All rounds</x:v>
      </x:c>
      <x:c r="C526" s="17" t="str">
        <x:v>condition</x:v>
      </x:c>
      <x:c r="D526" s="17" t="str">
        <x:v>Math_102</x:v>
      </x:c>
      <x:c r="E526" s="32" t="n">
        <x:v>1</x:v>
      </x:c>
      <x:c r="F526" s="32" t="n">
        <x:v>0.8837</x:v>
      </x:c>
      <x:c r="G526" s="32" t="n">
        <x:v>0.907</x:v>
      </x:c>
      <x:c r="H526" s="32" t="n">
        <x:v>0</x:v>
      </x:c>
      <x:c r="I526" s="40" t="n">
        <x:v>2</x:v>
      </x:c>
      <x:c r="J526" s="40" t="n">
        <x:v>2</x:v>
      </x:c>
      <x:c r="K526" s="40" t="n">
        <x:v>1</x:v>
      </x:c>
      <x:c r="L526" s="40" t="n">
        <x:v>1</x:v>
      </x:c>
    </x:row>
    <x:row r="527" ht="23" customHeight="1">
      <x:c r="B527" s="17" t="str">
        <x:v>All rounds</x:v>
      </x:c>
      <x:c r="C527" s="17" t="str">
        <x:v>condition</x:v>
      </x:c>
      <x:c r="D527" s="17" t="str">
        <x:v>Math_104</x:v>
      </x:c>
      <x:c r="E527" s="32" t="n">
        <x:v>1</x:v>
      </x:c>
      <x:c r="F527" s="32" t="n">
        <x:v>1</x:v>
      </x:c>
      <x:c r="G527" s="32" t="n">
        <x:v>0.9</x:v>
      </x:c>
      <x:c r="H527" s="32" t="n">
        <x:v>0.675</x:v>
      </x:c>
      <x:c r="I527" s="40" t="n">
        <x:v>2</x:v>
      </x:c>
      <x:c r="J527" s="40" t="n">
        <x:v>2</x:v>
      </x:c>
      <x:c r="K527" s="40" t="n">
        <x:v>2</x:v>
      </x:c>
      <x:c r="L527" s="40" t="n">
        <x:v>1</x:v>
      </x:c>
    </x:row>
    <x:row r="528" ht="23" customHeight="1">
      <x:c r="B528" s="17" t="str">
        <x:v>All rounds</x:v>
      </x:c>
      <x:c r="C528" s="17" t="str">
        <x:v>condition</x:v>
      </x:c>
      <x:c r="D528" s="17" t="str">
        <x:v>Math_105</x:v>
      </x:c>
      <x:c r="E528" s="32" t="n">
        <x:v>1</x:v>
      </x:c>
      <x:c r="F528" s="32" t="n">
        <x:v>0.9444499999999999</x:v>
      </x:c>
      <x:c r="G528" s="32" t="n">
        <x:v>1</x:v>
      </x:c>
      <x:c r="H528" s="32" t="n">
        <x:v>0.5</x:v>
      </x:c>
      <x:c r="I528" s="40" t="n">
        <x:v>2</x:v>
      </x:c>
      <x:c r="J528" s="40" t="n">
        <x:v>2</x:v>
      </x:c>
      <x:c r="K528" s="40" t="n">
        <x:v>2</x:v>
      </x:c>
      <x:c r="L528" s="40" t="n">
        <x:v>1</x:v>
      </x:c>
    </x:row>
    <x:row r="529" ht="23" customHeight="1">
      <x:c r="B529" s="17" t="str">
        <x:v>All rounds</x:v>
      </x:c>
      <x:c r="C529" s="17" t="str">
        <x:v>condition</x:v>
      </x:c>
      <x:c r="D529" s="17" t="str">
        <x:v>Math_106</x:v>
      </x:c>
      <x:c r="E529" s="32" t="n">
        <x:v>1</x:v>
      </x:c>
      <x:c r="F529" s="32" t="n">
        <x:v>0.7</x:v>
      </x:c>
      <x:c r="G529" s="32" t="n">
        <x:v>0.8</x:v>
      </x:c>
      <x:c r="H529" s="32" t="n">
        <x:v>0.6</x:v>
      </x:c>
      <x:c r="I529" s="40" t="n">
        <x:v>2</x:v>
      </x:c>
      <x:c r="J529" s="40" t="n">
        <x:v>2</x:v>
      </x:c>
      <x:c r="K529" s="40" t="n">
        <x:v>2</x:v>
      </x:c>
      <x:c r="L529" s="40" t="n">
        <x:v>1</x:v>
      </x:c>
    </x:row>
    <x:row r="530" ht="23" customHeight="1">
      <x:c r="B530" s="17" t="str">
        <x:v>All rounds</x:v>
      </x:c>
      <x:c r="C530" s="17" t="str">
        <x:v>condition</x:v>
      </x:c>
      <x:c r="D530" s="17" t="str">
        <x:v>Math_11</x:v>
      </x:c>
      <x:c r="E530" s="32" t="n">
        <x:v>1</x:v>
      </x:c>
      <x:c r="F530" s="32" t="n">
        <x:v>1</x:v>
      </x:c>
      <x:c r="G530" s="32" t="n">
        <x:v>1</x:v>
      </x:c>
      <x:c r="H530" s="32" t="n">
        <x:v>0</x:v>
      </x:c>
      <x:c r="I530" s="40" t="n">
        <x:v>2</x:v>
      </x:c>
      <x:c r="J530" s="40" t="n">
        <x:v>2</x:v>
      </x:c>
      <x:c r="K530" s="40" t="n">
        <x:v>1</x:v>
      </x:c>
      <x:c r="L530" s="40" t="n">
        <x:v>1</x:v>
      </x:c>
    </x:row>
    <x:row r="531" ht="23" customHeight="1">
      <x:c r="B531" s="17" t="str">
        <x:v>All rounds</x:v>
      </x:c>
      <x:c r="C531" s="17" t="str">
        <x:v>condition</x:v>
      </x:c>
      <x:c r="D531" s="17" t="str">
        <x:v>Math_12</x:v>
      </x:c>
      <x:c r="E531" s="32" t="n">
        <x:v>1</x:v>
      </x:c>
      <x:c r="F531" s="32" t="n">
        <x:v>0</x:v>
      </x:c>
      <x:c r="G531" s="32" t="n">
        <x:v>0.8571</x:v>
      </x:c>
      <x:c r="H531" s="32" t="n">
        <x:v>1</x:v>
      </x:c>
      <x:c r="I531" s="40" t="n">
        <x:v>2</x:v>
      </x:c>
      <x:c r="J531" s="40" t="n">
        <x:v>2</x:v>
      </x:c>
      <x:c r="K531" s="40" t="n">
        <x:v>2</x:v>
      </x:c>
      <x:c r="L531" s="40" t="n">
        <x:v>1</x:v>
      </x:c>
    </x:row>
    <x:row r="532" ht="23" customHeight="1">
      <x:c r="B532" s="17" t="str">
        <x:v>All rounds</x:v>
      </x:c>
      <x:c r="C532" s="17" t="str">
        <x:v>condition</x:v>
      </x:c>
      <x:c r="D532" s="17" t="str">
        <x:v>Math_14</x:v>
      </x:c>
      <x:c r="E532" s="32" t="n">
        <x:v>0.5714</x:v>
      </x:c>
      <x:c r="F532" s="32" t="n">
        <x:v>0.2143</x:v>
      </x:c>
      <x:c r="G532" s="32" t="n">
        <x:v>1</x:v>
      </x:c>
      <x:c r="H532" s="32" t="n">
        <x:v>0.2857</x:v>
      </x:c>
      <x:c r="I532" s="40" t="n">
        <x:v>2</x:v>
      </x:c>
      <x:c r="J532" s="40" t="n">
        <x:v>2</x:v>
      </x:c>
      <x:c r="K532" s="40" t="n">
        <x:v>1</x:v>
      </x:c>
      <x:c r="L532" s="40" t="n">
        <x:v>1</x:v>
      </x:c>
    </x:row>
    <x:row r="533" ht="23" customHeight="1">
      <x:c r="B533" s="17" t="str">
        <x:v>All rounds</x:v>
      </x:c>
      <x:c r="C533" s="17" t="str">
        <x:v>condition</x:v>
      </x:c>
      <x:c r="D533" s="17" t="str">
        <x:v>Math_15</x:v>
      </x:c>
      <x:c r="E533" s="32" t="n">
        <x:v>0.8509</x:v>
      </x:c>
      <x:c r="F533" s="32" t="n">
        <x:v>0.7845</x:v>
      </x:c>
      <x:c r="G533" s="32" t="n">
        <x:v>0.3346</x:v>
      </x:c>
      <x:c r="H533" s="32" t="n">
        <x:v>0</x:v>
      </x:c>
      <x:c r="I533" s="40" t="n">
        <x:v>2</x:v>
      </x:c>
      <x:c r="J533" s="40" t="n">
        <x:v>1</x:v>
      </x:c>
      <x:c r="K533" s="40" t="n">
        <x:v>2</x:v>
      </x:c>
      <x:c r="L533" s="40" t="n">
        <x:v>1</x:v>
      </x:c>
    </x:row>
    <x:row r="534" ht="23" customHeight="1">
      <x:c r="B534" s="17" t="str">
        <x:v>All rounds</x:v>
      </x:c>
      <x:c r="C534" s="17" t="str">
        <x:v>condition</x:v>
      </x:c>
      <x:c r="D534" s="17" t="str">
        <x:v>Math_16</x:v>
      </x:c>
      <x:c r="E534" s="32" t="n">
        <x:v>0.838</x:v>
      </x:c>
      <x:c r="F534" s="32" t="n">
        <x:v>0.45890000000000003</x:v>
      </x:c>
      <x:c r="G534" s="32" t="n">
        <x:v>0.36460000000000004</x:v>
      </x:c>
      <x:c r="H534" s="32" t="n">
        <x:v>0</x:v>
      </x:c>
      <x:c r="I534" s="40" t="n">
        <x:v>2</x:v>
      </x:c>
      <x:c r="J534" s="40" t="n">
        <x:v>2</x:v>
      </x:c>
      <x:c r="K534" s="40" t="n">
        <x:v>2</x:v>
      </x:c>
      <x:c r="L534" s="40" t="n">
        <x:v>1</x:v>
      </x:c>
    </x:row>
    <x:row r="535" ht="23" customHeight="1">
      <x:c r="B535" s="17" t="str">
        <x:v>All rounds</x:v>
      </x:c>
      <x:c r="C535" s="17" t="str">
        <x:v>condition</x:v>
      </x:c>
      <x:c r="D535" s="17" t="str">
        <x:v>Math_17</x:v>
      </x:c>
      <x:c r="E535" s="32" t="n">
        <x:v>0.2005</x:v>
      </x:c>
      <x:c r="F535" s="32" t="n">
        <x:v>0</x:v>
      </x:c>
      <x:c r="G535" s="32" t="n">
        <x:v>0.5690999999999999</x:v>
      </x:c>
      <x:c r="H535" s="32" t="n">
        <x:v>0</x:v>
      </x:c>
      <x:c r="I535" s="40" t="n">
        <x:v>2</x:v>
      </x:c>
      <x:c r="J535" s="40" t="n">
        <x:v>2</x:v>
      </x:c>
      <x:c r="K535" s="40" t="n">
        <x:v>1</x:v>
      </x:c>
      <x:c r="L535" s="40" t="n">
        <x:v>1</x:v>
      </x:c>
    </x:row>
    <x:row r="536" ht="23" customHeight="1">
      <x:c r="B536" s="17" t="str">
        <x:v>All rounds</x:v>
      </x:c>
      <x:c r="C536" s="17" t="str">
        <x:v>condition</x:v>
      </x:c>
      <x:c r="D536" s="17" t="str">
        <x:v>Math_18</x:v>
      </x:c>
      <x:c r="E536" s="32" t="n">
        <x:v>0.5072</x:v>
      </x:c>
      <x:c r="F536" s="32" t="n">
        <x:v>0.0072</x:v>
      </x:c>
      <x:c r="G536" s="32" t="n">
        <x:v>0.6993</x:v>
      </x:c>
      <x:c r="H536" s="32" t="n">
        <x:v>0</x:v>
      </x:c>
      <x:c r="I536" s="40" t="n">
        <x:v>2</x:v>
      </x:c>
      <x:c r="J536" s="40" t="n">
        <x:v>2</x:v>
      </x:c>
      <x:c r="K536" s="40" t="n">
        <x:v>1</x:v>
      </x:c>
      <x:c r="L536" s="40" t="n">
        <x:v>1</x:v>
      </x:c>
    </x:row>
    <x:row r="537" ht="23" customHeight="1">
      <x:c r="B537" s="17" t="str">
        <x:v>All rounds</x:v>
      </x:c>
      <x:c r="C537" s="17" t="str">
        <x:v>condition</x:v>
      </x:c>
      <x:c r="D537" s="17" t="str">
        <x:v>Math_19</x:v>
      </x:c>
      <x:c r="E537" s="32" t="n">
        <x:v>0.5074000000000001</x:v>
      </x:c>
      <x:c r="F537" s="32" t="n">
        <x:v>0.0074</x:v>
      </x:c>
      <x:c r="G537" s="32" t="n">
        <x:v>0.7720999999999999</x:v>
      </x:c>
      <x:c r="H537" s="32" t="n">
        <x:v>0</x:v>
      </x:c>
      <x:c r="I537" s="40" t="n">
        <x:v>2</x:v>
      </x:c>
      <x:c r="J537" s="40" t="n">
        <x:v>2</x:v>
      </x:c>
      <x:c r="K537" s="40" t="n">
        <x:v>1</x:v>
      </x:c>
      <x:c r="L537" s="40" t="n">
        <x:v>1</x:v>
      </x:c>
    </x:row>
    <x:row r="538" ht="23" customHeight="1">
      <x:c r="B538" s="17" t="str">
        <x:v>All rounds</x:v>
      </x:c>
      <x:c r="C538" s="17" t="str">
        <x:v>condition</x:v>
      </x:c>
      <x:c r="D538" s="17" t="str">
        <x:v>Math_2</x:v>
      </x:c>
      <x:c r="E538" s="32" t="n">
        <x:v>1</x:v>
      </x:c>
      <x:c r="F538" s="32" t="n">
        <x:v>1</x:v>
      </x:c>
      <x:c r="G538" s="32" t="n">
        <x:v>0.8845999999999999</x:v>
      </x:c>
      <x:c r="H538" s="32" t="n">
        <x:v>0.5769</x:v>
      </x:c>
      <x:c r="I538" s="40" t="n">
        <x:v>2</x:v>
      </x:c>
      <x:c r="J538" s="40" t="n">
        <x:v>2</x:v>
      </x:c>
      <x:c r="K538" s="40" t="n">
        <x:v>2</x:v>
      </x:c>
      <x:c r="L538" s="40" t="n">
        <x:v>1</x:v>
      </x:c>
    </x:row>
    <x:row r="539" ht="23" customHeight="1">
      <x:c r="B539" s="17" t="str">
        <x:v>All rounds</x:v>
      </x:c>
      <x:c r="C539" s="17" t="str">
        <x:v>condition</x:v>
      </x:c>
      <x:c r="D539" s="17" t="str">
        <x:v>Math_20</x:v>
      </x:c>
      <x:c r="E539" s="32" t="n">
        <x:v>0.5075</x:v>
      </x:c>
      <x:c r="F539" s="32" t="n">
        <x:v>0.0075</x:v>
      </x:c>
      <x:c r="G539" s="32" t="n">
        <x:v>0.7648999999999999</x:v>
      </x:c>
      <x:c r="H539" s="32" t="n">
        <x:v>0</x:v>
      </x:c>
      <x:c r="I539" s="40" t="n">
        <x:v>2</x:v>
      </x:c>
      <x:c r="J539" s="40" t="n">
        <x:v>2</x:v>
      </x:c>
      <x:c r="K539" s="40" t="n">
        <x:v>1</x:v>
      </x:c>
      <x:c r="L539" s="40" t="n">
        <x:v>1</x:v>
      </x:c>
    </x:row>
    <x:row r="540" ht="23" customHeight="1">
      <x:c r="B540" s="17" t="str">
        <x:v>All rounds</x:v>
      </x:c>
      <x:c r="C540" s="17" t="str">
        <x:v>condition</x:v>
      </x:c>
      <x:c r="D540" s="17" t="str">
        <x:v>Math_21</x:v>
      </x:c>
      <x:c r="E540" s="32" t="n">
        <x:v>1</x:v>
      </x:c>
      <x:c r="F540" s="32" t="n">
        <x:v>0</x:v>
      </x:c>
      <x:c r="G540" s="32" t="n">
        <x:v>1</x:v>
      </x:c>
      <x:c r="H540" s="32" t="n">
        <x:v>1</x:v>
      </x:c>
      <x:c r="I540" s="40" t="n">
        <x:v>2</x:v>
      </x:c>
      <x:c r="J540" s="40" t="n">
        <x:v>2</x:v>
      </x:c>
      <x:c r="K540" s="40" t="n">
        <x:v>2</x:v>
      </x:c>
      <x:c r="L540" s="40" t="n">
        <x:v>1</x:v>
      </x:c>
    </x:row>
    <x:row r="541" ht="23" customHeight="1">
      <x:c r="B541" s="17" t="str">
        <x:v>All rounds</x:v>
      </x:c>
      <x:c r="C541" s="17" t="str">
        <x:v>condition</x:v>
      </x:c>
      <x:c r="D541" s="17" t="str">
        <x:v>Math_22</x:v>
      </x:c>
      <x:c r="E541" s="32" t="n">
        <x:v>1</x:v>
      </x:c>
      <x:c r="F541" s="32" t="n">
        <x:v>1</x:v>
      </x:c>
      <x:c r="G541" s="32" t="n">
        <x:v>0.9545</x:v>
      </x:c>
      <x:c r="H541" s="32" t="n">
        <x:v>0.4545</x:v>
      </x:c>
      <x:c r="I541" s="40" t="n">
        <x:v>2</x:v>
      </x:c>
      <x:c r="J541" s="40" t="n">
        <x:v>1</x:v>
      </x:c>
      <x:c r="K541" s="40" t="n">
        <x:v>1</x:v>
      </x:c>
      <x:c r="L541" s="40" t="n">
        <x:v>1</x:v>
      </x:c>
    </x:row>
    <x:row r="542" ht="23" customHeight="1">
      <x:c r="B542" s="17" t="str">
        <x:v>All rounds</x:v>
      </x:c>
      <x:c r="C542" s="17" t="str">
        <x:v>condition</x:v>
      </x:c>
      <x:c r="D542" s="17" t="str">
        <x:v>Math_23</x:v>
      </x:c>
      <x:c r="E542" s="32" t="n">
        <x:v>0.9459000000000001</x:v>
      </x:c>
      <x:c r="F542" s="32" t="n">
        <x:v>0.08109999999999999</x:v>
      </x:c>
      <x:c r="G542" s="32" t="n">
        <x:v>0.7837999999999999</x:v>
      </x:c>
      <x:c r="H542" s="32" t="n">
        <x:v>0</x:v>
      </x:c>
      <x:c r="I542" s="40" t="n">
        <x:v>2</x:v>
      </x:c>
      <x:c r="J542" s="40" t="n">
        <x:v>2</x:v>
      </x:c>
      <x:c r="K542" s="40" t="n">
        <x:v>1</x:v>
      </x:c>
      <x:c r="L542" s="40" t="n">
        <x:v>1</x:v>
      </x:c>
    </x:row>
    <x:row r="543" ht="23" customHeight="1">
      <x:c r="B543" s="17" t="str">
        <x:v>All rounds</x:v>
      </x:c>
      <x:c r="C543" s="17" t="str">
        <x:v>condition</x:v>
      </x:c>
      <x:c r="D543" s="17" t="str">
        <x:v>Math_24</x:v>
      </x:c>
      <x:c r="E543" s="32" t="n">
        <x:v>0.8243</x:v>
      </x:c>
      <x:c r="F543" s="32" t="n">
        <x:v>0.08109999999999999</x:v>
      </x:c>
      <x:c r="G543" s="32" t="n">
        <x:v>0.6486</x:v>
      </x:c>
      <x:c r="H543" s="32" t="n">
        <x:v>0</x:v>
      </x:c>
      <x:c r="I543" s="40" t="n">
        <x:v>1</x:v>
      </x:c>
      <x:c r="J543" s="40" t="n">
        <x:v>2</x:v>
      </x:c>
      <x:c r="K543" s="40" t="n">
        <x:v>1</x:v>
      </x:c>
      <x:c r="L543" s="40" t="n">
        <x:v>1</x:v>
      </x:c>
    </x:row>
    <x:row r="544" ht="23" customHeight="1">
      <x:c r="B544" s="17" t="str">
        <x:v>All rounds</x:v>
      </x:c>
      <x:c r="C544" s="17" t="str">
        <x:v>condition</x:v>
      </x:c>
      <x:c r="D544" s="17" t="str">
        <x:v>Math_25</x:v>
      </x:c>
      <x:c r="E544" s="32" t="n">
        <x:v>0.9643</x:v>
      </x:c>
      <x:c r="F544" s="32" t="n">
        <x:v>0.9286000000000001</x:v>
      </x:c>
      <x:c r="G544" s="32" t="n">
        <x:v>0.9286</x:v>
      </x:c>
      <x:c r="H544" s="32" t="n">
        <x:v>0</x:v>
      </x:c>
      <x:c r="I544" s="40" t="n">
        <x:v>1</x:v>
      </x:c>
      <x:c r="J544" s="40" t="n">
        <x:v>2</x:v>
      </x:c>
      <x:c r="K544" s="40" t="n">
        <x:v>2</x:v>
      </x:c>
      <x:c r="L544" s="40" t="n">
        <x:v>1</x:v>
      </x:c>
    </x:row>
    <x:row r="545" ht="23" customHeight="1">
      <x:c r="B545" s="17" t="str">
        <x:v>All rounds</x:v>
      </x:c>
      <x:c r="C545" s="17" t="str">
        <x:v>condition</x:v>
      </x:c>
      <x:c r="D545" s="17" t="str">
        <x:v>Math_29</x:v>
      </x:c>
      <x:c r="E545" s="32" t="n">
        <x:v>1</x:v>
      </x:c>
      <x:c r="F545" s="32" t="n">
        <x:v>0.9290999999999999</x:v>
      </x:c>
      <x:c r="G545" s="32" t="n">
        <x:v>0.7537</x:v>
      </x:c>
      <x:c r="H545" s="32" t="n">
        <x:v>0</x:v>
      </x:c>
      <x:c r="I545" s="40" t="n">
        <x:v>1</x:v>
      </x:c>
      <x:c r="J545" s="40" t="n">
        <x:v>2</x:v>
      </x:c>
      <x:c r="K545" s="40" t="n">
        <x:v>2</x:v>
      </x:c>
      <x:c r="L545" s="40" t="n">
        <x:v>1</x:v>
      </x:c>
    </x:row>
    <x:row r="546" ht="23" customHeight="1">
      <x:c r="B546" s="17" t="str">
        <x:v>All rounds</x:v>
      </x:c>
      <x:c r="C546" s="17" t="str">
        <x:v>condition</x:v>
      </x:c>
      <x:c r="D546" s="17" t="str">
        <x:v>Math_30</x:v>
      </x:c>
      <x:c r="E546" s="32" t="n">
        <x:v>1</x:v>
      </x:c>
      <x:c r="F546" s="32" t="n">
        <x:v>1</x:v>
      </x:c>
      <x:c r="G546" s="32" t="n">
        <x:v>1</x:v>
      </x:c>
      <x:c r="H546" s="32" t="n">
        <x:v>0</x:v>
      </x:c>
      <x:c r="I546" s="40" t="n">
        <x:v>1</x:v>
      </x:c>
      <x:c r="J546" s="40" t="n">
        <x:v>2</x:v>
      </x:c>
      <x:c r="K546" s="40" t="n">
        <x:v>2</x:v>
      </x:c>
      <x:c r="L546" s="40" t="n">
        <x:v>1</x:v>
      </x:c>
    </x:row>
    <x:row r="547" ht="23" customHeight="1">
      <x:c r="B547" s="17" t="str">
        <x:v>All rounds</x:v>
      </x:c>
      <x:c r="C547" s="17" t="str">
        <x:v>condition</x:v>
      </x:c>
      <x:c r="D547" s="17" t="str">
        <x:v>Math_31</x:v>
      </x:c>
      <x:c r="E547" s="32" t="n">
        <x:v>0</x:v>
      </x:c>
      <x:c r="F547" s="32" t="n">
        <x:v>0</x:v>
      </x:c>
      <x:c r="G547" s="32" t="n">
        <x:v>0.7333</x:v>
      </x:c>
      <x:c r="H547" s="32" t="n">
        <x:v>0</x:v>
      </x:c>
      <x:c r="I547" s="40" t="n">
        <x:v>1</x:v>
      </x:c>
      <x:c r="J547" s="40" t="n">
        <x:v>2</x:v>
      </x:c>
      <x:c r="K547" s="40" t="n">
        <x:v>2</x:v>
      </x:c>
      <x:c r="L547" s="40" t="n">
        <x:v>1</x:v>
      </x:c>
    </x:row>
    <x:row r="548" ht="23" customHeight="1">
      <x:c r="B548" s="17" t="str">
        <x:v>All rounds</x:v>
      </x:c>
      <x:c r="C548" s="17" t="str">
        <x:v>condition</x:v>
      </x:c>
      <x:c r="D548" s="17" t="str">
        <x:v>Math_37</x:v>
      </x:c>
      <x:c r="E548" s="32" t="n">
        <x:v>0.9556999999999999</x:v>
      </x:c>
      <x:c r="F548" s="32" t="n">
        <x:v>0.9462</x:v>
      </x:c>
      <x:c r="G548" s="32" t="n">
        <x:v>0.7152</x:v>
      </x:c>
      <x:c r="H548" s="32" t="n">
        <x:v>0.0506</x:v>
      </x:c>
      <x:c r="I548" s="40" t="n">
        <x:v>2</x:v>
      </x:c>
      <x:c r="J548" s="40" t="n">
        <x:v>2</x:v>
      </x:c>
      <x:c r="K548" s="40" t="n">
        <x:v>1</x:v>
      </x:c>
      <x:c r="L548" s="40" t="n">
        <x:v>1</x:v>
      </x:c>
    </x:row>
    <x:row r="549" ht="23" customHeight="1">
      <x:c r="B549" s="17" t="str">
        <x:v>All rounds</x:v>
      </x:c>
      <x:c r="C549" s="17" t="str">
        <x:v>condition</x:v>
      </x:c>
      <x:c r="D549" s="17" t="str">
        <x:v>Math_39</x:v>
      </x:c>
      <x:c r="E549" s="32" t="n">
        <x:v>0.9582999999999999</x:v>
      </x:c>
      <x:c r="F549" s="32" t="n">
        <x:v>0</x:v>
      </x:c>
      <x:c r="G549" s="32" t="n">
        <x:v>0.9792000000000001</x:v>
      </x:c>
      <x:c r="H549" s="32" t="n">
        <x:v>0</x:v>
      </x:c>
      <x:c r="I549" s="40" t="n">
        <x:v>2</x:v>
      </x:c>
      <x:c r="J549" s="40" t="n">
        <x:v>2</x:v>
      </x:c>
      <x:c r="K549" s="40" t="n">
        <x:v>1</x:v>
      </x:c>
      <x:c r="L549" s="40" t="n">
        <x:v>1</x:v>
      </x:c>
    </x:row>
    <x:row r="550" ht="23" customHeight="1">
      <x:c r="B550" s="17" t="str">
        <x:v>All rounds</x:v>
      </x:c>
      <x:c r="C550" s="17" t="str">
        <x:v>condition</x:v>
      </x:c>
      <x:c r="D550" s="17" t="str">
        <x:v>Math_40</x:v>
      </x:c>
      <x:c r="E550" s="32" t="n">
        <x:v>0.9848</x:v>
      </x:c>
      <x:c r="F550" s="32" t="n">
        <x:v>0.0909</x:v>
      </x:c>
      <x:c r="G550" s="32" t="n">
        <x:v>0.6818000000000001</x:v>
      </x:c>
      <x:c r="H550" s="32" t="n">
        <x:v>0</x:v>
      </x:c>
      <x:c r="I550" s="40" t="n">
        <x:v>2</x:v>
      </x:c>
      <x:c r="J550" s="40" t="n">
        <x:v>2</x:v>
      </x:c>
      <x:c r="K550" s="40" t="n">
        <x:v>2</x:v>
      </x:c>
      <x:c r="L550" s="40" t="n">
        <x:v>1</x:v>
      </x:c>
    </x:row>
    <x:row r="551" ht="23" customHeight="1">
      <x:c r="B551" s="17" t="str">
        <x:v>All rounds</x:v>
      </x:c>
      <x:c r="C551" s="17" t="str">
        <x:v>condition</x:v>
      </x:c>
      <x:c r="D551" s="17" t="str">
        <x:v>Math_41</x:v>
      </x:c>
      <x:c r="E551" s="32" t="n">
        <x:v>0.8695999999999999</x:v>
      </x:c>
      <x:c r="F551" s="32" t="n">
        <x:v>0.6087</x:v>
      </x:c>
      <x:c r="G551" s="32" t="n">
        <x:v>0.7173999999999999</x:v>
      </x:c>
      <x:c r="H551" s="32" t="n">
        <x:v>0</x:v>
      </x:c>
      <x:c r="I551" s="40" t="n">
        <x:v>2</x:v>
      </x:c>
      <x:c r="J551" s="40" t="n">
        <x:v>2</x:v>
      </x:c>
      <x:c r="K551" s="40" t="n">
        <x:v>2</x:v>
      </x:c>
      <x:c r="L551" s="40" t="n">
        <x:v>1</x:v>
      </x:c>
    </x:row>
    <x:row r="552" ht="23" customHeight="1">
      <x:c r="B552" s="17" t="str">
        <x:v>All rounds</x:v>
      </x:c>
      <x:c r="C552" s="17" t="str">
        <x:v>condition</x:v>
      </x:c>
      <x:c r="D552" s="17" t="str">
        <x:v>Math_42</x:v>
      </x:c>
      <x:c r="E552" s="32" t="n">
        <x:v>0.9333</x:v>
      </x:c>
      <x:c r="F552" s="32" t="n">
        <x:v>0.0083</x:v>
      </x:c>
      <x:c r="G552" s="32" t="n">
        <x:v>0.5667</x:v>
      </x:c>
      <x:c r="H552" s="32" t="n">
        <x:v>0</x:v>
      </x:c>
      <x:c r="I552" s="40" t="n">
        <x:v>2</x:v>
      </x:c>
      <x:c r="J552" s="40" t="n">
        <x:v>2</x:v>
      </x:c>
      <x:c r="K552" s="40" t="n">
        <x:v>2</x:v>
      </x:c>
      <x:c r="L552" s="40" t="n">
        <x:v>1</x:v>
      </x:c>
    </x:row>
    <x:row r="553" ht="23" customHeight="1">
      <x:c r="B553" s="17" t="str">
        <x:v>All rounds</x:v>
      </x:c>
      <x:c r="C553" s="17" t="str">
        <x:v>condition</x:v>
      </x:c>
      <x:c r="D553" s="17" t="str">
        <x:v>Math_43</x:v>
      </x:c>
      <x:c r="E553" s="32" t="n">
        <x:v>1</x:v>
      </x:c>
      <x:c r="F553" s="32" t="n">
        <x:v>0.9569</x:v>
      </x:c>
      <x:c r="G553" s="32" t="n">
        <x:v>0.5861999999999999</x:v>
      </x:c>
      <x:c r="H553" s="32" t="n">
        <x:v>0</x:v>
      </x:c>
      <x:c r="I553" s="40" t="n">
        <x:v>2</x:v>
      </x:c>
      <x:c r="J553" s="40" t="n">
        <x:v>2</x:v>
      </x:c>
      <x:c r="K553" s="40" t="n">
        <x:v>2</x:v>
      </x:c>
      <x:c r="L553" s="40" t="n">
        <x:v>1</x:v>
      </x:c>
    </x:row>
    <x:row r="554" ht="23" customHeight="1">
      <x:c r="B554" s="17" t="str">
        <x:v>All rounds</x:v>
      </x:c>
      <x:c r="C554" s="17" t="str">
        <x:v>condition</x:v>
      </x:c>
      <x:c r="D554" s="17" t="str">
        <x:v>Math_45</x:v>
      </x:c>
      <x:c r="E554" s="32" t="n">
        <x:v>0.4545</x:v>
      </x:c>
      <x:c r="F554" s="32" t="n">
        <x:v>0.47725</x:v>
      </x:c>
      <x:c r="G554" s="32" t="n">
        <x:v>0.9545</x:v>
      </x:c>
      <x:c r="H554" s="32" t="n">
        <x:v>0</x:v>
      </x:c>
      <x:c r="I554" s="40" t="n">
        <x:v>2</x:v>
      </x:c>
      <x:c r="J554" s="40" t="n">
        <x:v>2</x:v>
      </x:c>
      <x:c r="K554" s="40" t="n">
        <x:v>2</x:v>
      </x:c>
      <x:c r="L554" s="40" t="n">
        <x:v>1</x:v>
      </x:c>
    </x:row>
    <x:row r="555" ht="23" customHeight="1">
      <x:c r="B555" s="17" t="str">
        <x:v>All rounds</x:v>
      </x:c>
      <x:c r="C555" s="17" t="str">
        <x:v>condition</x:v>
      </x:c>
      <x:c r="D555" s="17" t="str">
        <x:v>Math_46</x:v>
      </x:c>
      <x:c r="E555" s="32" t="n">
        <x:v>0.9797</x:v>
      </x:c>
      <x:c r="F555" s="32" t="n">
        <x:v>0.9391999999999999</x:v>
      </x:c>
      <x:c r="G555" s="32" t="n">
        <x:v>0.7365</x:v>
      </x:c>
      <x:c r="H555" s="32" t="n">
        <x:v>0.08109999999999999</x:v>
      </x:c>
      <x:c r="I555" s="40" t="n">
        <x:v>2</x:v>
      </x:c>
      <x:c r="J555" s="40" t="n">
        <x:v>2</x:v>
      </x:c>
      <x:c r="K555" s="40" t="n">
        <x:v>1</x:v>
      </x:c>
      <x:c r="L555" s="40" t="n">
        <x:v>1</x:v>
      </x:c>
    </x:row>
    <x:row r="556" ht="23" customHeight="1">
      <x:c r="B556" s="17" t="str">
        <x:v>All rounds</x:v>
      </x:c>
      <x:c r="C556" s="17" t="str">
        <x:v>condition</x:v>
      </x:c>
      <x:c r="D556" s="17" t="str">
        <x:v>Math_47</x:v>
      </x:c>
      <x:c r="E556" s="32" t="n">
        <x:v>0.9648</x:v>
      </x:c>
      <x:c r="F556" s="32" t="n">
        <x:v>0.92955</x:v>
      </x:c>
      <x:c r="G556" s="32" t="n">
        <x:v>0.7535</x:v>
      </x:c>
      <x:c r="H556" s="32" t="n">
        <x:v>0.056299999999999996</x:v>
      </x:c>
      <x:c r="I556" s="40" t="n">
        <x:v>2</x:v>
      </x:c>
      <x:c r="J556" s="40" t="n">
        <x:v>2</x:v>
      </x:c>
      <x:c r="K556" s="40" t="n">
        <x:v>1</x:v>
      </x:c>
      <x:c r="L556" s="40" t="n">
        <x:v>1</x:v>
      </x:c>
    </x:row>
    <x:row r="557" ht="23" customHeight="1">
      <x:c r="B557" s="17" t="str">
        <x:v>All rounds</x:v>
      </x:c>
      <x:c r="C557" s="17" t="str">
        <x:v>condition</x:v>
      </x:c>
      <x:c r="D557" s="17" t="str">
        <x:v>Math_48</x:v>
      </x:c>
      <x:c r="E557" s="32" t="n">
        <x:v>0.9348000000000001</x:v>
      </x:c>
      <x:c r="F557" s="32" t="n">
        <x:v>0</x:v>
      </x:c>
      <x:c r="G557" s="32" t="n">
        <x:v>0.6304</x:v>
      </x:c>
      <x:c r="H557" s="32" t="n">
        <x:v>0</x:v>
      </x:c>
      <x:c r="I557" s="40" t="n">
        <x:v>2</x:v>
      </x:c>
      <x:c r="J557" s="40" t="n">
        <x:v>2</x:v>
      </x:c>
      <x:c r="K557" s="40" t="n">
        <x:v>1</x:v>
      </x:c>
      <x:c r="L557" s="40" t="n">
        <x:v>1</x:v>
      </x:c>
    </x:row>
    <x:row r="558" ht="23" customHeight="1">
      <x:c r="B558" s="17" t="str">
        <x:v>All rounds</x:v>
      </x:c>
      <x:c r="C558" s="17" t="str">
        <x:v>condition</x:v>
      </x:c>
      <x:c r="D558" s="17" t="str">
        <x:v>Math_49</x:v>
      </x:c>
      <x:c r="E558" s="32" t="n">
        <x:v>1</x:v>
      </x:c>
      <x:c r="F558" s="32" t="n">
        <x:v>0.6118</x:v>
      </x:c>
      <x:c r="G558" s="32" t="n">
        <x:v>0.8881999999999999</x:v>
      </x:c>
      <x:c r="H558" s="32" t="n">
        <x:v>0</x:v>
      </x:c>
      <x:c r="I558" s="40" t="n">
        <x:v>2</x:v>
      </x:c>
      <x:c r="J558" s="40" t="n">
        <x:v>2</x:v>
      </x:c>
      <x:c r="K558" s="40" t="n">
        <x:v>1</x:v>
      </x:c>
      <x:c r="L558" s="40" t="n">
        <x:v>1</x:v>
      </x:c>
    </x:row>
    <x:row r="559" ht="23" customHeight="1">
      <x:c r="B559" s="17" t="str">
        <x:v>All rounds</x:v>
      </x:c>
      <x:c r="C559" s="17" t="str">
        <x:v>condition</x:v>
      </x:c>
      <x:c r="D559" s="17" t="str">
        <x:v>Math_5</x:v>
      </x:c>
      <x:c r="E559" s="32" t="n">
        <x:v>0.9823999999999999</x:v>
      </x:c>
      <x:c r="F559" s="32" t="n">
        <x:v>0.9470500000000002</x:v>
      </x:c>
      <x:c r="G559" s="32" t="n">
        <x:v>0.5471</x:v>
      </x:c>
      <x:c r="H559" s="32" t="n">
        <x:v>0.0471</x:v>
      </x:c>
      <x:c r="I559" s="40" t="n">
        <x:v>2</x:v>
      </x:c>
      <x:c r="J559" s="40" t="n">
        <x:v>2</x:v>
      </x:c>
      <x:c r="K559" s="40" t="n">
        <x:v>1</x:v>
      </x:c>
      <x:c r="L559" s="40" t="n">
        <x:v>1</x:v>
      </x:c>
    </x:row>
    <x:row r="560" ht="23" customHeight="1">
      <x:c r="B560" s="17" t="str">
        <x:v>All rounds</x:v>
      </x:c>
      <x:c r="C560" s="17" t="str">
        <x:v>condition</x:v>
      </x:c>
      <x:c r="D560" s="17" t="str">
        <x:v>Math_50</x:v>
      </x:c>
      <x:c r="E560" s="32" t="n">
        <x:v>0.9167000000000001</x:v>
      </x:c>
      <x:c r="F560" s="32" t="n">
        <x:v>0</x:v>
      </x:c>
      <x:c r="G560" s="32" t="n">
        <x:v>0.6042000000000001</x:v>
      </x:c>
      <x:c r="H560" s="32" t="n">
        <x:v>0</x:v>
      </x:c>
      <x:c r="I560" s="40" t="n">
        <x:v>2</x:v>
      </x:c>
      <x:c r="J560" s="40" t="n">
        <x:v>2</x:v>
      </x:c>
      <x:c r="K560" s="40" t="n">
        <x:v>1</x:v>
      </x:c>
      <x:c r="L560" s="40" t="n">
        <x:v>1</x:v>
      </x:c>
    </x:row>
    <x:row r="561" ht="23" customHeight="1">
      <x:c r="B561" s="17" t="str">
        <x:v>All rounds</x:v>
      </x:c>
      <x:c r="C561" s="17" t="str">
        <x:v>condition</x:v>
      </x:c>
      <x:c r="D561" s="17" t="str">
        <x:v>Math_51</x:v>
      </x:c>
      <x:c r="E561" s="32" t="n">
        <x:v>0.9556</x:v>
      </x:c>
      <x:c r="F561" s="32" t="n">
        <x:v>0</x:v>
      </x:c>
      <x:c r="G561" s="32" t="n">
        <x:v>0.5111</x:v>
      </x:c>
      <x:c r="H561" s="32" t="n">
        <x:v>0</x:v>
      </x:c>
      <x:c r="I561" s="40" t="n">
        <x:v>2</x:v>
      </x:c>
      <x:c r="J561" s="40" t="n">
        <x:v>2</x:v>
      </x:c>
      <x:c r="K561" s="40" t="n">
        <x:v>1</x:v>
      </x:c>
      <x:c r="L561" s="40" t="n">
        <x:v>1</x:v>
      </x:c>
    </x:row>
    <x:row r="562" ht="23" customHeight="1">
      <x:c r="B562" s="17" t="str">
        <x:v>All rounds</x:v>
      </x:c>
      <x:c r="C562" s="17" t="str">
        <x:v>condition</x:v>
      </x:c>
      <x:c r="D562" s="17" t="str">
        <x:v>Math_52</x:v>
      </x:c>
      <x:c r="E562" s="32" t="n">
        <x:v>0.9508</x:v>
      </x:c>
      <x:c r="F562" s="32" t="n">
        <x:v>0.42619999999999997</x:v>
      </x:c>
      <x:c r="G562" s="32" t="n">
        <x:v>0.7295</x:v>
      </x:c>
      <x:c r="H562" s="32" t="n">
        <x:v>0.008199999999999999</x:v>
      </x:c>
      <x:c r="I562" s="40" t="n">
        <x:v>2</x:v>
      </x:c>
      <x:c r="J562" s="40" t="n">
        <x:v>2</x:v>
      </x:c>
      <x:c r="K562" s="40" t="n">
        <x:v>1</x:v>
      </x:c>
      <x:c r="L562" s="40" t="n">
        <x:v>1</x:v>
      </x:c>
    </x:row>
    <x:row r="563" ht="23" customHeight="1">
      <x:c r="B563" s="17" t="str">
        <x:v>All rounds</x:v>
      </x:c>
      <x:c r="C563" s="17" t="str">
        <x:v>condition</x:v>
      </x:c>
      <x:c r="D563" s="17" t="str">
        <x:v>Math_53</x:v>
      </x:c>
      <x:c r="E563" s="32" t="n">
        <x:v>0.9561</x:v>
      </x:c>
      <x:c r="F563" s="32" t="n">
        <x:v>0.96055</x:v>
      </x:c>
      <x:c r="G563" s="32" t="n">
        <x:v>0.8772</x:v>
      </x:c>
      <x:c r="H563" s="32" t="n">
        <x:v>0.0702</x:v>
      </x:c>
      <x:c r="I563" s="40" t="n">
        <x:v>2</x:v>
      </x:c>
      <x:c r="J563" s="40" t="n">
        <x:v>2</x:v>
      </x:c>
      <x:c r="K563" s="40" t="n">
        <x:v>1</x:v>
      </x:c>
      <x:c r="L563" s="40" t="n">
        <x:v>1</x:v>
      </x:c>
    </x:row>
    <x:row r="564" ht="23" customHeight="1">
      <x:c r="B564" s="17" t="str">
        <x:v>All rounds</x:v>
      </x:c>
      <x:c r="C564" s="17" t="str">
        <x:v>condition</x:v>
      </x:c>
      <x:c r="D564" s="17" t="str">
        <x:v>Math_54</x:v>
      </x:c>
      <x:c r="E564" s="32" t="n">
        <x:v>0.2133</x:v>
      </x:c>
      <x:c r="F564" s="32" t="n">
        <x:v>0</x:v>
      </x:c>
      <x:c r="G564" s="32" t="n">
        <x:v>0.6598999999999999</x:v>
      </x:c>
      <x:c r="H564" s="32" t="n">
        <x:v>0</x:v>
      </x:c>
      <x:c r="I564" s="40" t="n">
        <x:v>2</x:v>
      </x:c>
      <x:c r="J564" s="40" t="n">
        <x:v>2</x:v>
      </x:c>
      <x:c r="K564" s="40" t="n">
        <x:v>1</x:v>
      </x:c>
      <x:c r="L564" s="40" t="n">
        <x:v>1</x:v>
      </x:c>
    </x:row>
    <x:row r="565" ht="23" customHeight="1">
      <x:c r="B565" s="17" t="str">
        <x:v>All rounds</x:v>
      </x:c>
      <x:c r="C565" s="17" t="str">
        <x:v>condition</x:v>
      </x:c>
      <x:c r="D565" s="17" t="str">
        <x:v>Math_55</x:v>
      </x:c>
      <x:c r="E565" s="32" t="n">
        <x:v>0.9582999999999999</x:v>
      </x:c>
      <x:c r="F565" s="32" t="n">
        <x:v>0.8646</x:v>
      </x:c>
      <x:c r="G565" s="32" t="n">
        <x:v>0.8332999999999999</x:v>
      </x:c>
      <x:c r="H565" s="32" t="n">
        <x:v>0</x:v>
      </x:c>
      <x:c r="I565" s="40" t="n">
        <x:v>2</x:v>
      </x:c>
      <x:c r="J565" s="40" t="n">
        <x:v>2</x:v>
      </x:c>
      <x:c r="K565" s="40" t="n">
        <x:v>1</x:v>
      </x:c>
      <x:c r="L565" s="40" t="n">
        <x:v>1</x:v>
      </x:c>
    </x:row>
    <x:row r="566" ht="23" customHeight="1">
      <x:c r="B566" s="17" t="str">
        <x:v>All rounds</x:v>
      </x:c>
      <x:c r="C566" s="17" t="str">
        <x:v>condition</x:v>
      </x:c>
      <x:c r="D566" s="17" t="str">
        <x:v>Math_56</x:v>
      </x:c>
      <x:c r="E566" s="32" t="n">
        <x:v>1</x:v>
      </x:c>
      <x:c r="F566" s="32" t="n">
        <x:v>0.8823500000000002</x:v>
      </x:c>
      <x:c r="G566" s="32" t="n">
        <x:v>0.9412</x:v>
      </x:c>
      <x:c r="H566" s="32" t="n">
        <x:v>0</x:v>
      </x:c>
      <x:c r="I566" s="40" t="n">
        <x:v>2</x:v>
      </x:c>
      <x:c r="J566" s="40" t="n">
        <x:v>2</x:v>
      </x:c>
      <x:c r="K566" s="40" t="n">
        <x:v>2</x:v>
      </x:c>
      <x:c r="L566" s="40" t="n">
        <x:v>1</x:v>
      </x:c>
    </x:row>
    <x:row r="567" ht="23" customHeight="1">
      <x:c r="B567" s="17" t="str">
        <x:v>All rounds</x:v>
      </x:c>
      <x:c r="C567" s="17" t="str">
        <x:v>condition</x:v>
      </x:c>
      <x:c r="D567" s="17" t="str">
        <x:v>Math_57</x:v>
      </x:c>
      <x:c r="E567" s="32" t="n">
        <x:v>0.9074</x:v>
      </x:c>
      <x:c r="F567" s="32" t="n">
        <x:v>0</x:v>
      </x:c>
      <x:c r="G567" s="32" t="n">
        <x:v>0.9074</x:v>
      </x:c>
      <x:c r="H567" s="32" t="n">
        <x:v>0</x:v>
      </x:c>
      <x:c r="I567" s="40" t="n">
        <x:v>2</x:v>
      </x:c>
      <x:c r="J567" s="40" t="n">
        <x:v>2</x:v>
      </x:c>
      <x:c r="K567" s="40" t="n">
        <x:v>1</x:v>
      </x:c>
      <x:c r="L567" s="40" t="n">
        <x:v>1</x:v>
      </x:c>
    </x:row>
    <x:row r="568" ht="23" customHeight="1">
      <x:c r="B568" s="17" t="str">
        <x:v>All rounds</x:v>
      </x:c>
      <x:c r="C568" s="17" t="str">
        <x:v>condition</x:v>
      </x:c>
      <x:c r="D568" s="17" t="str">
        <x:v>Math_58</x:v>
      </x:c>
      <x:c r="E568" s="32" t="n">
        <x:v>0.9655</x:v>
      </x:c>
      <x:c r="F568" s="32" t="n">
        <x:v>0.9569</x:v>
      </x:c>
      <x:c r="G568" s="32" t="n">
        <x:v>0.6207</x:v>
      </x:c>
      <x:c r="H568" s="32" t="n">
        <x:v>0</x:v>
      </x:c>
      <x:c r="I568" s="40" t="n">
        <x:v>2</x:v>
      </x:c>
      <x:c r="J568" s="40" t="n">
        <x:v>2</x:v>
      </x:c>
      <x:c r="K568" s="40" t="n">
        <x:v>1</x:v>
      </x:c>
      <x:c r="L568" s="40" t="n">
        <x:v>1</x:v>
      </x:c>
    </x:row>
    <x:row r="569" ht="23" customHeight="1">
      <x:c r="B569" s="17" t="str">
        <x:v>All rounds</x:v>
      </x:c>
      <x:c r="C569" s="17" t="str">
        <x:v>condition</x:v>
      </x:c>
      <x:c r="D569" s="17" t="str">
        <x:v>Math_59</x:v>
      </x:c>
      <x:c r="E569" s="32" t="n">
        <x:v>0.8067</x:v>
      </x:c>
      <x:c r="F569" s="32" t="n">
        <x:v>0.7845</x:v>
      </x:c>
      <x:c r="G569" s="32" t="n">
        <x:v>0.43560000000000004</x:v>
      </x:c>
      <x:c r="H569" s="32" t="n">
        <x:v>0.066</x:v>
      </x:c>
      <x:c r="I569" s="40" t="n">
        <x:v>2</x:v>
      </x:c>
      <x:c r="J569" s="40" t="n">
        <x:v>2</x:v>
      </x:c>
      <x:c r="K569" s="40" t="n">
        <x:v>2</x:v>
      </x:c>
      <x:c r="L569" s="40" t="n">
        <x:v>1</x:v>
      </x:c>
    </x:row>
    <x:row r="570" ht="23" customHeight="1">
      <x:c r="B570" s="17" t="str">
        <x:v>All rounds</x:v>
      </x:c>
      <x:c r="C570" s="17" t="str">
        <x:v>condition</x:v>
      </x:c>
      <x:c r="D570" s="17" t="str">
        <x:v>Math_61</x:v>
      </x:c>
      <x:c r="E570" s="32" t="n">
        <x:v>1</x:v>
      </x:c>
      <x:c r="F570" s="32" t="n">
        <x:v>0.875</x:v>
      </x:c>
      <x:c r="G570" s="32" t="n">
        <x:v>1</x:v>
      </x:c>
      <x:c r="H570" s="32" t="n">
        <x:v>0</x:v>
      </x:c>
      <x:c r="I570" s="40" t="n">
        <x:v>2</x:v>
      </x:c>
      <x:c r="J570" s="40" t="n">
        <x:v>2</x:v>
      </x:c>
      <x:c r="K570" s="40" t="n">
        <x:v>2</x:v>
      </x:c>
      <x:c r="L570" s="40" t="n">
        <x:v>1</x:v>
      </x:c>
    </x:row>
    <x:row r="571" ht="23" customHeight="1">
      <x:c r="B571" s="17" t="str">
        <x:v>All rounds</x:v>
      </x:c>
      <x:c r="C571" s="17" t="str">
        <x:v>condition</x:v>
      </x:c>
      <x:c r="D571" s="17" t="str">
        <x:v>Math_62</x:v>
      </x:c>
      <x:c r="E571" s="32" t="n">
        <x:v>0.8889</x:v>
      </x:c>
      <x:c r="F571" s="32" t="n">
        <x:v>0</x:v>
      </x:c>
      <x:c r="G571" s="32" t="n">
        <x:v>0.9444</x:v>
      </x:c>
      <x:c r="H571" s="32" t="n">
        <x:v>0</x:v>
      </x:c>
      <x:c r="I571" s="40" t="n">
        <x:v>2</x:v>
      </x:c>
      <x:c r="J571" s="40" t="n">
        <x:v>2</x:v>
      </x:c>
      <x:c r="K571" s="40" t="n">
        <x:v>1</x:v>
      </x:c>
      <x:c r="L571" s="40" t="n">
        <x:v>1</x:v>
      </x:c>
    </x:row>
    <x:row r="572" ht="23" customHeight="1">
      <x:c r="B572" s="17" t="str">
        <x:v>All rounds</x:v>
      </x:c>
      <x:c r="C572" s="17" t="str">
        <x:v>condition</x:v>
      </x:c>
      <x:c r="D572" s="17" t="str">
        <x:v>Math_63</x:v>
      </x:c>
      <x:c r="E572" s="32" t="n">
        <x:v>0.8820999999999999</x:v>
      </x:c>
      <x:c r="F572" s="32" t="n">
        <x:v>0.7483</x:v>
      </x:c>
      <x:c r="G572" s="32" t="n">
        <x:v>0.5760000000000001</x:v>
      </x:c>
      <x:c r="H572" s="32" t="n">
        <x:v>0</x:v>
      </x:c>
      <x:c r="I572" s="40" t="n">
        <x:v>2</x:v>
      </x:c>
      <x:c r="J572" s="40" t="n">
        <x:v>1</x:v>
      </x:c>
      <x:c r="K572" s="40" t="n">
        <x:v>2</x:v>
      </x:c>
      <x:c r="L572" s="40" t="n">
        <x:v>1</x:v>
      </x:c>
    </x:row>
    <x:row r="573" ht="23" customHeight="1">
      <x:c r="B573" s="17" t="str">
        <x:v>All rounds</x:v>
      </x:c>
      <x:c r="C573" s="17" t="str">
        <x:v>condition</x:v>
      </x:c>
      <x:c r="D573" s="17" t="str">
        <x:v>Math_64</x:v>
      </x:c>
      <x:c r="E573" s="32" t="n">
        <x:v>0</x:v>
      </x:c>
      <x:c r="F573" s="32" t="n">
        <x:v>0</x:v>
      </x:c>
      <x:c r="G573" s="32" t="n">
        <x:v>0.44</x:v>
      </x:c>
      <x:c r="H573" s="32" t="n">
        <x:v>0</x:v>
      </x:c>
      <x:c r="I573" s="40" t="n">
        <x:v>2</x:v>
      </x:c>
      <x:c r="J573" s="40" t="n">
        <x:v>2</x:v>
      </x:c>
      <x:c r="K573" s="40" t="n">
        <x:v>1</x:v>
      </x:c>
      <x:c r="L573" s="40" t="n">
        <x:v>1</x:v>
      </x:c>
    </x:row>
    <x:row r="574" ht="23" customHeight="1">
      <x:c r="B574" s="17" t="str">
        <x:v>All rounds</x:v>
      </x:c>
      <x:c r="C574" s="17" t="str">
        <x:v>condition</x:v>
      </x:c>
      <x:c r="D574" s="17" t="str">
        <x:v>Math_66</x:v>
      </x:c>
      <x:c r="E574" s="32" t="n">
        <x:v>0.9828</x:v>
      </x:c>
      <x:c r="F574" s="32" t="n">
        <x:v>0.1207</x:v>
      </x:c>
      <x:c r="G574" s="32" t="n">
        <x:v>0.9483</x:v>
      </x:c>
      <x:c r="H574" s="32" t="n">
        <x:v>0</x:v>
      </x:c>
      <x:c r="I574" s="40" t="n">
        <x:v>2</x:v>
      </x:c>
      <x:c r="J574" s="40" t="n">
        <x:v>2</x:v>
      </x:c>
      <x:c r="K574" s="40" t="n">
        <x:v>2</x:v>
      </x:c>
      <x:c r="L574" s="40" t="n">
        <x:v>1</x:v>
      </x:c>
    </x:row>
    <x:row r="575" ht="23" customHeight="1">
      <x:c r="B575" s="17" t="str">
        <x:v>All rounds</x:v>
      </x:c>
      <x:c r="C575" s="17" t="str">
        <x:v>condition</x:v>
      </x:c>
      <x:c r="D575" s="17" t="str">
        <x:v>Math_67</x:v>
      </x:c>
      <x:c r="E575" s="32" t="n">
        <x:v>0.9412</x:v>
      </x:c>
      <x:c r="F575" s="32" t="n">
        <x:v>0.2059</x:v>
      </x:c>
      <x:c r="G575" s="32" t="n">
        <x:v>0.8529000000000001</x:v>
      </x:c>
      <x:c r="H575" s="32" t="n">
        <x:v>0</x:v>
      </x:c>
      <x:c r="I575" s="40" t="n">
        <x:v>2</x:v>
      </x:c>
      <x:c r="J575" s="40" t="n">
        <x:v>2</x:v>
      </x:c>
      <x:c r="K575" s="40" t="n">
        <x:v>2</x:v>
      </x:c>
      <x:c r="L575" s="40" t="n">
        <x:v>1</x:v>
      </x:c>
    </x:row>
    <x:row r="576" ht="23" customHeight="1">
      <x:c r="B576" s="17" t="str">
        <x:v>All rounds</x:v>
      </x:c>
      <x:c r="C576" s="17" t="str">
        <x:v>condition</x:v>
      </x:c>
      <x:c r="D576" s="17" t="str">
        <x:v>Math_68</x:v>
      </x:c>
      <x:c r="E576" s="32" t="n">
        <x:v>0</x:v>
      </x:c>
      <x:c r="F576" s="32" t="n">
        <x:v>0</x:v>
      </x:c>
      <x:c r="G576" s="32" t="n">
        <x:v>0.4286</x:v>
      </x:c>
      <x:c r="H576" s="32" t="n">
        <x:v>0</x:v>
      </x:c>
      <x:c r="I576" s="40" t="n">
        <x:v>2</x:v>
      </x:c>
      <x:c r="J576" s="40" t="n">
        <x:v>2</x:v>
      </x:c>
      <x:c r="K576" s="40" t="n">
        <x:v>1</x:v>
      </x:c>
      <x:c r="L576" s="40" t="n">
        <x:v>1</x:v>
      </x:c>
    </x:row>
    <x:row r="577" ht="23" customHeight="1">
      <x:c r="B577" s="17" t="str">
        <x:v>All rounds</x:v>
      </x:c>
      <x:c r="C577" s="17" t="str">
        <x:v>condition</x:v>
      </x:c>
      <x:c r="D577" s="17" t="str">
        <x:v>Math_69</x:v>
      </x:c>
      <x:c r="E577" s="32" t="n">
        <x:v>1</x:v>
      </x:c>
      <x:c r="F577" s="32" t="n">
        <x:v>0.91665</x:v>
      </x:c>
      <x:c r="G577" s="32" t="n">
        <x:v>0.9667</x:v>
      </x:c>
      <x:c r="H577" s="32" t="n">
        <x:v>0</x:v>
      </x:c>
      <x:c r="I577" s="40" t="n">
        <x:v>2</x:v>
      </x:c>
      <x:c r="J577" s="40" t="n">
        <x:v>2</x:v>
      </x:c>
      <x:c r="K577" s="40" t="n">
        <x:v>2</x:v>
      </x:c>
      <x:c r="L577" s="40" t="n">
        <x:v>1</x:v>
      </x:c>
    </x:row>
    <x:row r="578" ht="23" customHeight="1">
      <x:c r="B578" s="17" t="str">
        <x:v>All rounds</x:v>
      </x:c>
      <x:c r="C578" s="17" t="str">
        <x:v>condition</x:v>
      </x:c>
      <x:c r="D578" s="17" t="str">
        <x:v>Math_7</x:v>
      </x:c>
      <x:c r="E578" s="32" t="n">
        <x:v>0.64</x:v>
      </x:c>
      <x:c r="F578" s="32" t="n">
        <x:v>0</x:v>
      </x:c>
      <x:c r="G578" s="32" t="n">
        <x:v>0.28</x:v>
      </x:c>
      <x:c r="H578" s="32" t="n">
        <x:v>0</x:v>
      </x:c>
      <x:c r="I578" s="40" t="n">
        <x:v>2</x:v>
      </x:c>
      <x:c r="J578" s="40" t="n">
        <x:v>2</x:v>
      </x:c>
      <x:c r="K578" s="40" t="n">
        <x:v>1</x:v>
      </x:c>
      <x:c r="L578" s="40" t="n">
        <x:v>1</x:v>
      </x:c>
    </x:row>
    <x:row r="579" ht="23" customHeight="1">
      <x:c r="B579" s="17" t="str">
        <x:v>All rounds</x:v>
      </x:c>
      <x:c r="C579" s="17" t="str">
        <x:v>condition</x:v>
      </x:c>
      <x:c r="D579" s="17" t="str">
        <x:v>Math_71</x:v>
      </x:c>
      <x:c r="E579" s="32" t="n">
        <x:v>0.9388</x:v>
      </x:c>
      <x:c r="F579" s="32" t="n">
        <x:v>0</x:v>
      </x:c>
      <x:c r="G579" s="32" t="n">
        <x:v>0.8061</x:v>
      </x:c>
      <x:c r="H579" s="32" t="n">
        <x:v>0</x:v>
      </x:c>
      <x:c r="I579" s="40" t="n">
        <x:v>2</x:v>
      </x:c>
      <x:c r="J579" s="40" t="n">
        <x:v>2</x:v>
      </x:c>
      <x:c r="K579" s="40" t="n">
        <x:v>1</x:v>
      </x:c>
      <x:c r="L579" s="40" t="n">
        <x:v>1</x:v>
      </x:c>
    </x:row>
    <x:row r="580" ht="23" customHeight="1">
      <x:c r="B580" s="17" t="str">
        <x:v>All rounds</x:v>
      </x:c>
      <x:c r="C580" s="17" t="str">
        <x:v>condition</x:v>
      </x:c>
      <x:c r="D580" s="17" t="str">
        <x:v>Math_72</x:v>
      </x:c>
      <x:c r="E580" s="32" t="n">
        <x:v>1</x:v>
      </x:c>
      <x:c r="F580" s="32" t="n">
        <x:v>0</x:v>
      </x:c>
      <x:c r="G580" s="32" t="n">
        <x:v>0.8148000000000001</x:v>
      </x:c>
      <x:c r="H580" s="32" t="n">
        <x:v>0</x:v>
      </x:c>
      <x:c r="I580" s="40" t="n">
        <x:v>2</x:v>
      </x:c>
      <x:c r="J580" s="40" t="n">
        <x:v>2</x:v>
      </x:c>
      <x:c r="K580" s="40" t="n">
        <x:v>2</x:v>
      </x:c>
      <x:c r="L580" s="40" t="n">
        <x:v>1</x:v>
      </x:c>
    </x:row>
    <x:row r="581" ht="23" customHeight="1">
      <x:c r="B581" s="17" t="str">
        <x:v>All rounds</x:v>
      </x:c>
      <x:c r="C581" s="17" t="str">
        <x:v>condition</x:v>
      </x:c>
      <x:c r="D581" s="17" t="str">
        <x:v>Math_73</x:v>
      </x:c>
      <x:c r="E581" s="32" t="n">
        <x:v>1</x:v>
      </x:c>
      <x:c r="F581" s="32" t="n">
        <x:v>0</x:v>
      </x:c>
      <x:c r="G581" s="32" t="n">
        <x:v>0.8077</x:v>
      </x:c>
      <x:c r="H581" s="32" t="n">
        <x:v>0</x:v>
      </x:c>
      <x:c r="I581" s="40" t="n">
        <x:v>2</x:v>
      </x:c>
      <x:c r="J581" s="40" t="n">
        <x:v>2</x:v>
      </x:c>
      <x:c r="K581" s="40" t="n">
        <x:v>2</x:v>
      </x:c>
      <x:c r="L581" s="40" t="n">
        <x:v>1</x:v>
      </x:c>
    </x:row>
    <x:row r="582" ht="23" customHeight="1">
      <x:c r="B582" s="17" t="str">
        <x:v>All rounds</x:v>
      </x:c>
      <x:c r="C582" s="17" t="str">
        <x:v>condition</x:v>
      </x:c>
      <x:c r="D582" s="17" t="str">
        <x:v>Math_74</x:v>
      </x:c>
      <x:c r="E582" s="32" t="n">
        <x:v>0.40740000000000004</x:v>
      </x:c>
      <x:c r="F582" s="32" t="n">
        <x:v>0</x:v>
      </x:c>
      <x:c r="G582" s="32" t="n">
        <x:v>0.8519</x:v>
      </x:c>
      <x:c r="H582" s="32" t="n">
        <x:v>0</x:v>
      </x:c>
      <x:c r="I582" s="40" t="n">
        <x:v>2</x:v>
      </x:c>
      <x:c r="J582" s="40" t="n">
        <x:v>2</x:v>
      </x:c>
      <x:c r="K582" s="40" t="n">
        <x:v>1</x:v>
      </x:c>
      <x:c r="L582" s="40" t="n">
        <x:v>1</x:v>
      </x:c>
    </x:row>
    <x:row r="583" ht="23" customHeight="1">
      <x:c r="B583" s="17" t="str">
        <x:v>All rounds</x:v>
      </x:c>
      <x:c r="C583" s="17" t="str">
        <x:v>condition</x:v>
      </x:c>
      <x:c r="D583" s="17" t="str">
        <x:v>Math_75</x:v>
      </x:c>
      <x:c r="E583" s="32" t="n">
        <x:v>0.9167000000000001</x:v>
      </x:c>
      <x:c r="F583" s="32" t="n">
        <x:v>0.8332999999999999</x:v>
      </x:c>
      <x:c r="G583" s="32" t="n">
        <x:v>0.7707999999999999</x:v>
      </x:c>
      <x:c r="H583" s="32" t="n">
        <x:v>0</x:v>
      </x:c>
      <x:c r="I583" s="40" t="n">
        <x:v>2</x:v>
      </x:c>
      <x:c r="J583" s="40" t="n">
        <x:v>2</x:v>
      </x:c>
      <x:c r="K583" s="40" t="n">
        <x:v>2</x:v>
      </x:c>
      <x:c r="L583" s="40" t="n">
        <x:v>1</x:v>
      </x:c>
    </x:row>
    <x:row r="584" ht="23" customHeight="1">
      <x:c r="B584" s="17" t="str">
        <x:v>All rounds</x:v>
      </x:c>
      <x:c r="C584" s="17" t="str">
        <x:v>condition</x:v>
      </x:c>
      <x:c r="D584" s="17" t="str">
        <x:v>Math_76</x:v>
      </x:c>
      <x:c r="E584" s="32" t="n">
        <x:v>1</x:v>
      </x:c>
      <x:c r="F584" s="32" t="n">
        <x:v>0</x:v>
      </x:c>
      <x:c r="G584" s="32" t="n">
        <x:v>0.6667000000000001</x:v>
      </x:c>
      <x:c r="H584" s="32" t="n">
        <x:v>0</x:v>
      </x:c>
      <x:c r="I584" s="40" t="n">
        <x:v>2</x:v>
      </x:c>
      <x:c r="J584" s="40" t="n">
        <x:v>2</x:v>
      </x:c>
      <x:c r="K584" s="40" t="n">
        <x:v>2</x:v>
      </x:c>
      <x:c r="L584" s="40" t="n">
        <x:v>1</x:v>
      </x:c>
    </x:row>
    <x:row r="585" ht="23" customHeight="1">
      <x:c r="B585" s="17" t="str">
        <x:v>All rounds</x:v>
      </x:c>
      <x:c r="C585" s="17" t="str">
        <x:v>condition</x:v>
      </x:c>
      <x:c r="D585" s="17" t="str">
        <x:v>Math_77</x:v>
      </x:c>
      <x:c r="E585" s="32" t="n">
        <x:v>0.9911</x:v>
      </x:c>
      <x:c r="F585" s="32" t="n">
        <x:v>0.74405</x:v>
      </x:c>
      <x:c r="G585" s="32" t="n">
        <x:v>0.6893</x:v>
      </x:c>
      <x:c r="H585" s="32" t="n">
        <x:v>0</x:v>
      </x:c>
      <x:c r="I585" s="40" t="n">
        <x:v>2</x:v>
      </x:c>
      <x:c r="J585" s="40" t="n">
        <x:v>2</x:v>
      </x:c>
      <x:c r="K585" s="40" t="n">
        <x:v>1</x:v>
      </x:c>
      <x:c r="L585" s="40" t="n">
        <x:v>1</x:v>
      </x:c>
    </x:row>
    <x:row r="586" ht="23" customHeight="1">
      <x:c r="B586" s="17" t="str">
        <x:v>All rounds</x:v>
      </x:c>
      <x:c r="C586" s="17" t="str">
        <x:v>condition</x:v>
      </x:c>
      <x:c r="D586" s="17" t="str">
        <x:v>Math_79</x:v>
      </x:c>
      <x:c r="E586" s="32" t="n">
        <x:v>0.9304000000000001</x:v>
      </x:c>
      <x:c r="F586" s="32" t="n">
        <x:v>0.4971</x:v>
      </x:c>
      <x:c r="G586" s="32" t="n">
        <x:v>0.6261</x:v>
      </x:c>
      <x:c r="H586" s="32" t="n">
        <x:v>0</x:v>
      </x:c>
      <x:c r="I586" s="40" t="n">
        <x:v>2</x:v>
      </x:c>
      <x:c r="J586" s="40" t="n">
        <x:v>2</x:v>
      </x:c>
      <x:c r="K586" s="40" t="n">
        <x:v>2</x:v>
      </x:c>
      <x:c r="L586" s="40" t="n">
        <x:v>1</x:v>
      </x:c>
    </x:row>
    <x:row r="587" ht="23" customHeight="1">
      <x:c r="B587" s="17" t="str">
        <x:v>All rounds</x:v>
      </x:c>
      <x:c r="C587" s="17" t="str">
        <x:v>condition</x:v>
      </x:c>
      <x:c r="D587" s="17" t="str">
        <x:v>Math_8</x:v>
      </x:c>
      <x:c r="E587" s="32" t="n">
        <x:v>0.9582999999999999</x:v>
      </x:c>
      <x:c r="F587" s="32" t="n">
        <x:v>0.0417</x:v>
      </x:c>
      <x:c r="G587" s="32" t="n">
        <x:v>0.97915</x:v>
      </x:c>
      <x:c r="H587" s="32" t="n">
        <x:v>0</x:v>
      </x:c>
      <x:c r="I587" s="40" t="n">
        <x:v>2</x:v>
      </x:c>
      <x:c r="J587" s="40" t="n">
        <x:v>2</x:v>
      </x:c>
      <x:c r="K587" s="40" t="n">
        <x:v>2</x:v>
      </x:c>
      <x:c r="L587" s="40" t="n">
        <x:v>1</x:v>
      </x:c>
    </x:row>
    <x:row r="588" ht="23" customHeight="1">
      <x:c r="B588" s="17" t="str">
        <x:v>All rounds</x:v>
      </x:c>
      <x:c r="C588" s="17" t="str">
        <x:v>condition</x:v>
      </x:c>
      <x:c r="D588" s="17" t="str">
        <x:v>Math_80</x:v>
      </x:c>
      <x:c r="E588" s="32" t="n">
        <x:v>0.7536</x:v>
      </x:c>
      <x:c r="F588" s="32" t="n">
        <x:v>0.1377</x:v>
      </x:c>
      <x:c r="G588" s="32" t="n">
        <x:v>0.1932</x:v>
      </x:c>
      <x:c r="H588" s="32" t="n">
        <x:v>0</x:v>
      </x:c>
      <x:c r="I588" s="40" t="n">
        <x:v>2</x:v>
      </x:c>
      <x:c r="J588" s="40" t="n">
        <x:v>2</x:v>
      </x:c>
      <x:c r="K588" s="40" t="n">
        <x:v>2</x:v>
      </x:c>
      <x:c r="L588" s="40" t="n">
        <x:v>1</x:v>
      </x:c>
    </x:row>
    <x:row r="589" ht="23" customHeight="1">
      <x:c r="B589" s="17" t="str">
        <x:v>All rounds</x:v>
      </x:c>
      <x:c r="C589" s="17" t="str">
        <x:v>condition</x:v>
      </x:c>
      <x:c r="D589" s="17" t="str">
        <x:v>Math_81</x:v>
      </x:c>
      <x:c r="E589" s="32" t="n">
        <x:v>0.7585</x:v>
      </x:c>
      <x:c r="F589" s="32" t="n">
        <x:v>0.1377</x:v>
      </x:c>
      <x:c r="G589" s="32" t="n">
        <x:v>0.2029</x:v>
      </x:c>
      <x:c r="H589" s="32" t="n">
        <x:v>0</x:v>
      </x:c>
      <x:c r="I589" s="40" t="n">
        <x:v>2</x:v>
      </x:c>
      <x:c r="J589" s="40" t="n">
        <x:v>2</x:v>
      </x:c>
      <x:c r="K589" s="40" t="n">
        <x:v>2</x:v>
      </x:c>
      <x:c r="L589" s="40" t="n">
        <x:v>1</x:v>
      </x:c>
    </x:row>
    <x:row r="590" ht="23" customHeight="1">
      <x:c r="B590" s="17" t="str">
        <x:v>All rounds</x:v>
      </x:c>
      <x:c r="C590" s="17" t="str">
        <x:v>condition</x:v>
      </x:c>
      <x:c r="D590" s="17" t="str">
        <x:v>Math_82</x:v>
      </x:c>
      <x:c r="E590" s="32" t="n">
        <x:v>0.9722</x:v>
      </x:c>
      <x:c r="F590" s="32" t="n">
        <x:v>0</x:v>
      </x:c>
      <x:c r="G590" s="32" t="n">
        <x:v>0.9167000000000001</x:v>
      </x:c>
      <x:c r="H590" s="32" t="n">
        <x:v>0</x:v>
      </x:c>
      <x:c r="I590" s="40" t="n">
        <x:v>2</x:v>
      </x:c>
      <x:c r="J590" s="40" t="n">
        <x:v>2</x:v>
      </x:c>
      <x:c r="K590" s="40" t="n">
        <x:v>1</x:v>
      </x:c>
      <x:c r="L590" s="40" t="n">
        <x:v>1</x:v>
      </x:c>
    </x:row>
    <x:row r="591" ht="23" customHeight="1">
      <x:c r="B591" s="17" t="str">
        <x:v>All rounds</x:v>
      </x:c>
      <x:c r="C591" s="17" t="str">
        <x:v>condition</x:v>
      </x:c>
      <x:c r="D591" s="17" t="str">
        <x:v>Math_83</x:v>
      </x:c>
      <x:c r="E591" s="32" t="n">
        <x:v>0.10869999999999999</x:v>
      </x:c>
      <x:c r="F591" s="32" t="n">
        <x:v>0</x:v>
      </x:c>
      <x:c r="G591" s="32" t="n">
        <x:v>0.0761</x:v>
      </x:c>
      <x:c r="H591" s="32" t="n">
        <x:v>0</x:v>
      </x:c>
      <x:c r="I591" s="40" t="n">
        <x:v>2</x:v>
      </x:c>
      <x:c r="J591" s="40" t="n">
        <x:v>2</x:v>
      </x:c>
      <x:c r="K591" s="40" t="n">
        <x:v>1</x:v>
      </x:c>
      <x:c r="L591" s="40" t="n">
        <x:v>1</x:v>
      </x:c>
    </x:row>
    <x:row r="592" ht="23" customHeight="1">
      <x:c r="B592" s="17" t="str">
        <x:v>All rounds</x:v>
      </x:c>
      <x:c r="C592" s="17" t="str">
        <x:v>condition</x:v>
      </x:c>
      <x:c r="D592" s="17" t="str">
        <x:v>Math_85</x:v>
      </x:c>
      <x:c r="E592" s="32" t="n">
        <x:v>1</x:v>
      </x:c>
      <x:c r="F592" s="32" t="n">
        <x:v>0.0909</x:v>
      </x:c>
      <x:c r="G592" s="32" t="n">
        <x:v>0.8636</x:v>
      </x:c>
      <x:c r="H592" s="32" t="n">
        <x:v>0</x:v>
      </x:c>
      <x:c r="I592" s="40" t="n">
        <x:v>2</x:v>
      </x:c>
      <x:c r="J592" s="40" t="n">
        <x:v>2</x:v>
      </x:c>
      <x:c r="K592" s="40" t="n">
        <x:v>2</x:v>
      </x:c>
      <x:c r="L592" s="40" t="n">
        <x:v>1</x:v>
      </x:c>
    </x:row>
    <x:row r="593" ht="23" customHeight="1">
      <x:c r="B593" s="17" t="str">
        <x:v>All rounds</x:v>
      </x:c>
      <x:c r="C593" s="17" t="str">
        <x:v>condition</x:v>
      </x:c>
      <x:c r="D593" s="17" t="str">
        <x:v>Math_86</x:v>
      </x:c>
      <x:c r="E593" s="32" t="n">
        <x:v>0.3667</x:v>
      </x:c>
      <x:c r="F593" s="32" t="n">
        <x:v>0</x:v>
      </x:c>
      <x:c r="G593" s="32" t="n">
        <x:v>0.8332999999999999</x:v>
      </x:c>
      <x:c r="H593" s="32" t="n">
        <x:v>0</x:v>
      </x:c>
      <x:c r="I593" s="40" t="n">
        <x:v>2</x:v>
      </x:c>
      <x:c r="J593" s="40" t="n">
        <x:v>2</x:v>
      </x:c>
      <x:c r="K593" s="40" t="n">
        <x:v>1</x:v>
      </x:c>
      <x:c r="L593" s="40" t="n">
        <x:v>1</x:v>
      </x:c>
    </x:row>
    <x:row r="594" ht="23" customHeight="1">
      <x:c r="B594" s="17" t="str">
        <x:v>All rounds</x:v>
      </x:c>
      <x:c r="C594" s="17" t="str">
        <x:v>condition</x:v>
      </x:c>
      <x:c r="D594" s="17" t="str">
        <x:v>Math_87</x:v>
      </x:c>
      <x:c r="E594" s="32" t="n">
        <x:v>0.07780000000000001</x:v>
      </x:c>
      <x:c r="F594" s="32" t="n">
        <x:v>0</x:v>
      </x:c>
      <x:c r="G594" s="32" t="n">
        <x:v>0.07780000000000001</x:v>
      </x:c>
      <x:c r="H594" s="32" t="n">
        <x:v>0</x:v>
      </x:c>
      <x:c r="I594" s="40" t="n">
        <x:v>2</x:v>
      </x:c>
      <x:c r="J594" s="40" t="n">
        <x:v>2</x:v>
      </x:c>
      <x:c r="K594" s="40" t="n">
        <x:v>2</x:v>
      </x:c>
      <x:c r="L594" s="40" t="n">
        <x:v>1</x:v>
      </x:c>
    </x:row>
    <x:row r="595" ht="23" customHeight="1">
      <x:c r="B595" s="17" t="str">
        <x:v>All rounds</x:v>
      </x:c>
      <x:c r="C595" s="17" t="str">
        <x:v>condition</x:v>
      </x:c>
      <x:c r="D595" s="17" t="str">
        <x:v>Math_88</x:v>
      </x:c>
      <x:c r="E595" s="32" t="n">
        <x:v>0.0851</x:v>
      </x:c>
      <x:c r="F595" s="32" t="n">
        <x:v>0</x:v>
      </x:c>
      <x:c r="G595" s="32" t="n">
        <x:v>0.0638</x:v>
      </x:c>
      <x:c r="H595" s="32" t="n">
        <x:v>0</x:v>
      </x:c>
      <x:c r="I595" s="40" t="n">
        <x:v>2</x:v>
      </x:c>
      <x:c r="J595" s="40" t="n">
        <x:v>2</x:v>
      </x:c>
      <x:c r="K595" s="40" t="n">
        <x:v>1</x:v>
      </x:c>
      <x:c r="L595" s="40" t="n">
        <x:v>1</x:v>
      </x:c>
    </x:row>
    <x:row r="596" ht="23" customHeight="1">
      <x:c r="B596" s="17" t="str">
        <x:v>All rounds</x:v>
      </x:c>
      <x:c r="C596" s="17" t="str">
        <x:v>condition</x:v>
      </x:c>
      <x:c r="D596" s="17" t="str">
        <x:v>Math_89</x:v>
      </x:c>
      <x:c r="E596" s="32" t="n">
        <x:v>1</x:v>
      </x:c>
      <x:c r="F596" s="32" t="n">
        <x:v>0.9375</x:v>
      </x:c>
      <x:c r="G596" s="32" t="n">
        <x:v>0.9375</x:v>
      </x:c>
      <x:c r="H596" s="32" t="n">
        <x:v>0</x:v>
      </x:c>
      <x:c r="I596" s="40" t="n">
        <x:v>2</x:v>
      </x:c>
      <x:c r="J596" s="40" t="n">
        <x:v>2</x:v>
      </x:c>
      <x:c r="K596" s="40" t="n">
        <x:v>2</x:v>
      </x:c>
      <x:c r="L596" s="40" t="n">
        <x:v>1</x:v>
      </x:c>
    </x:row>
    <x:row r="597" ht="23" customHeight="1">
      <x:c r="B597" s="17" t="str">
        <x:v>All rounds</x:v>
      </x:c>
      <x:c r="C597" s="17" t="str">
        <x:v>condition</x:v>
      </x:c>
      <x:c r="D597" s="17" t="str">
        <x:v>Math_9</x:v>
      </x:c>
      <x:c r="E597" s="32" t="n">
        <x:v>1</x:v>
      </x:c>
      <x:c r="F597" s="32" t="n">
        <x:v>0</x:v>
      </x:c>
      <x:c r="G597" s="32" t="n">
        <x:v>1</x:v>
      </x:c>
      <x:c r="H597" s="32" t="n">
        <x:v>0</x:v>
      </x:c>
      <x:c r="I597" s="40" t="n">
        <x:v>2</x:v>
      </x:c>
      <x:c r="J597" s="40" t="n">
        <x:v>2</x:v>
      </x:c>
      <x:c r="K597" s="40" t="n">
        <x:v>1</x:v>
      </x:c>
      <x:c r="L597" s="40" t="n">
        <x:v>1</x:v>
      </x:c>
    </x:row>
    <x:row r="598" ht="23" customHeight="1">
      <x:c r="B598" s="17" t="str">
        <x:v>All rounds</x:v>
      </x:c>
      <x:c r="C598" s="17" t="str">
        <x:v>condition</x:v>
      </x:c>
      <x:c r="D598" s="17" t="str">
        <x:v>Math_90</x:v>
      </x:c>
      <x:c r="E598" s="32" t="n">
        <x:v>1</x:v>
      </x:c>
      <x:c r="F598" s="32" t="n">
        <x:v>0.9375</x:v>
      </x:c>
      <x:c r="G598" s="32" t="n">
        <x:v>0.9062</x:v>
      </x:c>
      <x:c r="H598" s="32" t="n">
        <x:v>0</x:v>
      </x:c>
      <x:c r="I598" s="40" t="n">
        <x:v>2</x:v>
      </x:c>
      <x:c r="J598" s="40" t="n">
        <x:v>2</x:v>
      </x:c>
      <x:c r="K598" s="40" t="n">
        <x:v>2</x:v>
      </x:c>
      <x:c r="L598" s="40" t="n">
        <x:v>1</x:v>
      </x:c>
    </x:row>
    <x:row r="599" ht="23" customHeight="1">
      <x:c r="B599" s="17" t="str">
        <x:v>All rounds</x:v>
      </x:c>
      <x:c r="C599" s="17" t="str">
        <x:v>condition</x:v>
      </x:c>
      <x:c r="D599" s="17" t="str">
        <x:v>Math_92</x:v>
      </x:c>
      <x:c r="E599" s="32" t="n">
        <x:v>0.8969</x:v>
      </x:c>
      <x:c r="F599" s="32" t="n">
        <x:v>0.5471</x:v>
      </x:c>
      <x:c r="G599" s="32" t="n">
        <x:v>0.8117</x:v>
      </x:c>
      <x:c r="H599" s="32" t="n">
        <x:v>0</x:v>
      </x:c>
      <x:c r="I599" s="40" t="n">
        <x:v>2</x:v>
      </x:c>
      <x:c r="J599" s="40" t="n">
        <x:v>2</x:v>
      </x:c>
      <x:c r="K599" s="40" t="n">
        <x:v>2</x:v>
      </x:c>
      <x:c r="L599" s="40" t="n">
        <x:v>1</x:v>
      </x:c>
    </x:row>
    <x:row r="600" ht="23" customHeight="1">
      <x:c r="B600" s="17" t="str">
        <x:v>All rounds</x:v>
      </x:c>
      <x:c r="C600" s="17" t="str">
        <x:v>condition</x:v>
      </x:c>
      <x:c r="D600" s="17" t="str">
        <x:v>Math_93</x:v>
      </x:c>
      <x:c r="E600" s="32" t="n">
        <x:v>0.8986</x:v>
      </x:c>
      <x:c r="F600" s="32" t="n">
        <x:v>0.53915</x:v>
      </x:c>
      <x:c r="G600" s="32" t="n">
        <x:v>0.9309000000000001</x:v>
      </x:c>
      <x:c r="H600" s="32" t="n">
        <x:v>0</x:v>
      </x:c>
      <x:c r="I600" s="40" t="n">
        <x:v>2</x:v>
      </x:c>
      <x:c r="J600" s="40" t="n">
        <x:v>2</x:v>
      </x:c>
      <x:c r="K600" s="40" t="n">
        <x:v>2</x:v>
      </x:c>
      <x:c r="L600" s="40" t="n">
        <x:v>1</x:v>
      </x:c>
    </x:row>
    <x:row r="601" ht="23" customHeight="1">
      <x:c r="B601" s="17" t="str">
        <x:v>All rounds</x:v>
      </x:c>
      <x:c r="C601" s="17" t="str">
        <x:v>condition</x:v>
      </x:c>
      <x:c r="D601" s="17" t="str">
        <x:v>Math_94</x:v>
      </x:c>
      <x:c r="E601" s="32" t="n">
        <x:v>0.9256</x:v>
      </x:c>
      <x:c r="F601" s="32" t="n">
        <x:v>0.5372</x:v>
      </x:c>
      <x:c r="G601" s="32" t="n">
        <x:v>0.8140000000000001</x:v>
      </x:c>
      <x:c r="H601" s="32" t="n">
        <x:v>0</x:v>
      </x:c>
      <x:c r="I601" s="40" t="n">
        <x:v>2</x:v>
      </x:c>
      <x:c r="J601" s="40" t="n">
        <x:v>2</x:v>
      </x:c>
      <x:c r="K601" s="40" t="n">
        <x:v>2</x:v>
      </x:c>
      <x:c r="L601" s="40" t="n">
        <x:v>1</x:v>
      </x:c>
    </x:row>
    <x:row r="602" ht="23" customHeight="1">
      <x:c r="B602" s="17" t="str">
        <x:v>All rounds</x:v>
      </x:c>
      <x:c r="C602" s="17" t="str">
        <x:v>condition</x:v>
      </x:c>
      <x:c r="D602" s="17" t="str">
        <x:v>Math_95</x:v>
      </x:c>
      <x:c r="E602" s="32" t="n">
        <x:v>1</x:v>
      </x:c>
      <x:c r="F602" s="32" t="n">
        <x:v>1</x:v>
      </x:c>
      <x:c r="G602" s="32" t="n">
        <x:v>1</x:v>
      </x:c>
      <x:c r="H602" s="32" t="n">
        <x:v>1</x:v>
      </x:c>
      <x:c r="I602" s="40" t="n">
        <x:v>2</x:v>
      </x:c>
      <x:c r="J602" s="40" t="n">
        <x:v>2</x:v>
      </x:c>
      <x:c r="K602" s="40" t="n">
        <x:v>2</x:v>
      </x:c>
      <x:c r="L602" s="40" t="n">
        <x:v>1</x:v>
      </x:c>
    </x:row>
    <x:row r="603" ht="23" customHeight="1">
      <x:c r="B603" s="17" t="str">
        <x:v>All rounds</x:v>
      </x:c>
      <x:c r="C603" s="17" t="str">
        <x:v>condition</x:v>
      </x:c>
      <x:c r="D603" s="17" t="str">
        <x:v>Math_96</x:v>
      </x:c>
      <x:c r="E603" s="32" t="n">
        <x:v>0.9412</x:v>
      </x:c>
      <x:c r="F603" s="32" t="n">
        <x:v>0.9118</x:v>
      </x:c>
      <x:c r="G603" s="32" t="n">
        <x:v>0.8922</x:v>
      </x:c>
      <x:c r="H603" s="32" t="n">
        <x:v>0</x:v>
      </x:c>
      <x:c r="I603" s="40" t="n">
        <x:v>2</x:v>
      </x:c>
      <x:c r="J603" s="40" t="n">
        <x:v>2</x:v>
      </x:c>
      <x:c r="K603" s="40" t="n">
        <x:v>2</x:v>
      </x:c>
      <x:c r="L603" s="40" t="n">
        <x:v>1</x:v>
      </x:c>
    </x:row>
    <x:row r="604" ht="23" customHeight="1">
      <x:c r="B604" s="17" t="str">
        <x:v>All rounds</x:v>
      </x:c>
      <x:c r="C604" s="17" t="str">
        <x:v>condition</x:v>
      </x:c>
      <x:c r="D604" s="17" t="str">
        <x:v>Math_97</x:v>
      </x:c>
      <x:c r="E604" s="32" t="n">
        <x:v>1</x:v>
      </x:c>
      <x:c r="F604" s="32" t="n">
        <x:v>0</x:v>
      </x:c>
      <x:c r="G604" s="32" t="n">
        <x:v>0.8913</x:v>
      </x:c>
      <x:c r="H604" s="32" t="n">
        <x:v>0</x:v>
      </x:c>
      <x:c r="I604" s="40" t="n">
        <x:v>2</x:v>
      </x:c>
      <x:c r="J604" s="40" t="n">
        <x:v>2</x:v>
      </x:c>
      <x:c r="K604" s="40" t="n">
        <x:v>2</x:v>
      </x:c>
      <x:c r="L604" s="40" t="n">
        <x:v>1</x:v>
      </x:c>
    </x:row>
    <x:row r="605" ht="23" customHeight="1">
      <x:c r="B605" s="17" t="str">
        <x:v>All rounds</x:v>
      </x:c>
      <x:c r="C605" s="17" t="str">
        <x:v>condition</x:v>
      </x:c>
      <x:c r="D605" s="17" t="str">
        <x:v>Math_98</x:v>
      </x:c>
      <x:c r="E605" s="32" t="n">
        <x:v>0.8538</x:v>
      </x:c>
      <x:c r="F605" s="32" t="n">
        <x:v>0.7273999999999999</x:v>
      </x:c>
      <x:c r="G605" s="32" t="n">
        <x:v>0.7942</x:v>
      </x:c>
      <x:c r="H605" s="32" t="n">
        <x:v>0</x:v>
      </x:c>
      <x:c r="I605" s="40" t="n">
        <x:v>2</x:v>
      </x:c>
      <x:c r="J605" s="40" t="n">
        <x:v>2</x:v>
      </x:c>
      <x:c r="K605" s="40" t="n">
        <x:v>2</x:v>
      </x:c>
      <x:c r="L605" s="40" t="n">
        <x:v>1</x:v>
      </x:c>
    </x:row>
    <x:row r="606" ht="23" customHeight="1">
      <x:c r="B606" s="17" t="str">
        <x:v>All rounds</x:v>
      </x:c>
      <x:c r="C606" s="17" t="str">
        <x:v>condition</x:v>
      </x:c>
      <x:c r="D606" s="17" t="str">
        <x:v>Math_99</x:v>
      </x:c>
      <x:c r="E606" s="32" t="n">
        <x:v>0.941</x:v>
      </x:c>
      <x:c r="F606" s="32" t="n">
        <x:v>0.7565000000000001</x:v>
      </x:c>
      <x:c r="G606" s="32" t="n">
        <x:v>0.9041</x:v>
      </x:c>
      <x:c r="H606" s="32" t="n">
        <x:v>0</x:v>
      </x:c>
      <x:c r="I606" s="40" t="n">
        <x:v>2</x:v>
      </x:c>
      <x:c r="J606" s="40" t="n">
        <x:v>2</x:v>
      </x:c>
      <x:c r="K606" s="40" t="n">
        <x:v>2</x:v>
      </x:c>
      <x:c r="L606" s="40" t="n">
        <x:v>1</x:v>
      </x:c>
    </x:row>
    <x:row r="607" ht="23" customHeight="1">
      <x:c r="B607" s="17" t="str">
        <x:v>All rounds</x:v>
      </x:c>
      <x:c r="C607" s="17" t="str">
        <x:v>condition</x:v>
      </x:c>
      <x:c r="D607" s="17" t="str">
        <x:v>Mockito_11</x:v>
      </x:c>
      <x:c r="E607" s="32" t="n">
        <x:v>0.16670000000000001</x:v>
      </x:c>
      <x:c r="F607" s="32" t="n">
        <x:v>0</x:v>
      </x:c>
      <x:c r="G607" s="32" t="n">
        <x:v>0.5</x:v>
      </x:c>
      <x:c r="H607" s="32" t="n">
        <x:v>0.5</x:v>
      </x:c>
      <x:c r="I607" s="40" t="n">
        <x:v>2</x:v>
      </x:c>
      <x:c r="J607" s="40" t="n">
        <x:v>2</x:v>
      </x:c>
      <x:c r="K607" s="40" t="n">
        <x:v>2</x:v>
      </x:c>
      <x:c r="L607" s="40" t="n">
        <x:v>1</x:v>
      </x:c>
    </x:row>
    <x:row r="608" ht="23" customHeight="1">
      <x:c r="B608" s="17" t="str">
        <x:v>All rounds</x:v>
      </x:c>
      <x:c r="C608" s="17" t="str">
        <x:v>condition</x:v>
      </x:c>
      <x:c r="D608" s="17" t="str">
        <x:v>Mockito_12</x:v>
      </x:c>
      <x:c r="E608" s="32" t="n">
        <x:v>0</x:v>
      </x:c>
      <x:c r="F608" s="32" t="n">
        <x:v>0</x:v>
      </x:c>
      <x:c r="G608" s="32" t="n">
        <x:v>0.75</x:v>
      </x:c>
      <x:c r="H608" s="32" t="n">
        <x:v>0.75</x:v>
      </x:c>
      <x:c r="I608" s="40" t="n">
        <x:v>2</x:v>
      </x:c>
      <x:c r="J608" s="40" t="n">
        <x:v>2</x:v>
      </x:c>
      <x:c r="K608" s="40" t="n">
        <x:v>2</x:v>
      </x:c>
      <x:c r="L608" s="40" t="n">
        <x:v>1</x:v>
      </x:c>
    </x:row>
    <x:row r="609" ht="23" customHeight="1">
      <x:c r="B609" s="17" t="str">
        <x:v>All rounds</x:v>
      </x:c>
      <x:c r="C609" s="17" t="str">
        <x:v>condition</x:v>
      </x:c>
      <x:c r="D609" s="17" t="str">
        <x:v>Mockito_15</x:v>
      </x:c>
      <x:c r="E609" s="32" t="n">
        <x:v>1</x:v>
      </x:c>
      <x:c r="F609" s="32" t="n">
        <x:v>0.5</x:v>
      </x:c>
      <x:c r="G609" s="32" t="n">
        <x:v>1</x:v>
      </x:c>
      <x:c r="H609" s="32" t="n">
        <x:v>1</x:v>
      </x:c>
      <x:c r="I609" s="40" t="n">
        <x:v>2</x:v>
      </x:c>
      <x:c r="J609" s="40" t="n">
        <x:v>2</x:v>
      </x:c>
      <x:c r="K609" s="40" t="n">
        <x:v>2</x:v>
      </x:c>
      <x:c r="L609" s="40" t="n">
        <x:v>1</x:v>
      </x:c>
    </x:row>
    <x:row r="610" ht="23" customHeight="1">
      <x:c r="B610" s="17" t="str">
        <x:v>All rounds</x:v>
      </x:c>
      <x:c r="C610" s="17" t="str">
        <x:v>condition</x:v>
      </x:c>
      <x:c r="D610" s="17" t="str">
        <x:v>Mockito_21</x:v>
      </x:c>
      <x:c r="E610" s="32" t="n">
        <x:v>1</x:v>
      </x:c>
      <x:c r="F610" s="32" t="n">
        <x:v>0</x:v>
      </x:c>
      <x:c r="G610" s="32" t="n">
        <x:v>1</x:v>
      </x:c>
      <x:c r="H610" s="32" t="n">
        <x:v>1</x:v>
      </x:c>
      <x:c r="I610" s="40" t="n">
        <x:v>2</x:v>
      </x:c>
      <x:c r="J610" s="40" t="n">
        <x:v>2</x:v>
      </x:c>
      <x:c r="K610" s="40" t="n">
        <x:v>2</x:v>
      </x:c>
      <x:c r="L610" s="40" t="n">
        <x:v>1</x:v>
      </x:c>
    </x:row>
    <x:row r="611" ht="23" customHeight="1">
      <x:c r="B611" s="17" t="str">
        <x:v>All rounds</x:v>
      </x:c>
      <x:c r="C611" s="17" t="str">
        <x:v>condition</x:v>
      </x:c>
      <x:c r="D611" s="17" t="str">
        <x:v>Mockito_22</x:v>
      </x:c>
      <x:c r="E611" s="32" t="n">
        <x:v>0.375</x:v>
      </x:c>
      <x:c r="F611" s="32" t="n">
        <x:v>0.35414999999999996</x:v>
      </x:c>
      <x:c r="G611" s="32" t="n">
        <x:v>1</x:v>
      </x:c>
      <x:c r="H611" s="32" t="n">
        <x:v>1</x:v>
      </x:c>
      <x:c r="I611" s="40" t="n">
        <x:v>2</x:v>
      </x:c>
      <x:c r="J611" s="40" t="n">
        <x:v>2</x:v>
      </x:c>
      <x:c r="K611" s="40" t="n">
        <x:v>2</x:v>
      </x:c>
      <x:c r="L611" s="40" t="n">
        <x:v>1</x:v>
      </x:c>
    </x:row>
    <x:row r="612" ht="23" customHeight="1">
      <x:c r="B612" s="17" t="str">
        <x:v>All rounds</x:v>
      </x:c>
      <x:c r="C612" s="17" t="str">
        <x:v>condition</x:v>
      </x:c>
      <x:c r="D612" s="17" t="str">
        <x:v>Mockito_25</x:v>
      </x:c>
      <x:c r="E612" s="32" t="n">
        <x:v>0</x:v>
      </x:c>
      <x:c r="F612" s="32" t="n">
        <x:v>0</x:v>
      </x:c>
      <x:c r="G612" s="32" t="n">
        <x:v>0.8332999999999999</x:v>
      </x:c>
      <x:c r="H612" s="32" t="n">
        <x:v>0.16670000000000001</x:v>
      </x:c>
      <x:c r="I612" s="40" t="n">
        <x:v>2</x:v>
      </x:c>
      <x:c r="J612" s="40" t="n">
        <x:v>2</x:v>
      </x:c>
      <x:c r="K612" s="40" t="n">
        <x:v>1</x:v>
      </x:c>
      <x:c r="L612" s="40" t="n">
        <x:v>1</x:v>
      </x:c>
    </x:row>
    <x:row r="613" ht="23" customHeight="1">
      <x:c r="B613" s="17" t="str">
        <x:v>All rounds</x:v>
      </x:c>
      <x:c r="C613" s="17" t="str">
        <x:v>condition</x:v>
      </x:c>
      <x:c r="D613" s="17" t="str">
        <x:v>Mockito_26</x:v>
      </x:c>
      <x:c r="E613" s="32" t="n">
        <x:v>1</x:v>
      </x:c>
      <x:c r="F613" s="32" t="n">
        <x:v>0</x:v>
      </x:c>
      <x:c r="G613" s="32" t="n">
        <x:v>1</x:v>
      </x:c>
      <x:c r="H613" s="32" t="n">
        <x:v>1</x:v>
      </x:c>
      <x:c r="I613" s="40" t="n">
        <x:v>2</x:v>
      </x:c>
      <x:c r="J613" s="40" t="n">
        <x:v>2</x:v>
      </x:c>
      <x:c r="K613" s="40" t="n">
        <x:v>1</x:v>
      </x:c>
      <x:c r="L613" s="40" t="n">
        <x:v>1</x:v>
      </x:c>
    </x:row>
    <x:row r="614" ht="23" customHeight="1">
      <x:c r="B614" s="17" t="str">
        <x:v>All rounds</x:v>
      </x:c>
      <x:c r="C614" s="17" t="str">
        <x:v>condition</x:v>
      </x:c>
      <x:c r="D614" s="17" t="str">
        <x:v>Mockito_28</x:v>
      </x:c>
      <x:c r="E614" s="32" t="n">
        <x:v>0.2</x:v>
      </x:c>
      <x:c r="F614" s="32" t="n">
        <x:v>0.1</x:v>
      </x:c>
      <x:c r="G614" s="32" t="n">
        <x:v>0.8</x:v>
      </x:c>
      <x:c r="H614" s="32" t="n">
        <x:v>1</x:v>
      </x:c>
      <x:c r="I614" s="40" t="n">
        <x:v>2</x:v>
      </x:c>
      <x:c r="J614" s="40" t="n">
        <x:v>2</x:v>
      </x:c>
      <x:c r="K614" s="40" t="n">
        <x:v>1</x:v>
      </x:c>
      <x:c r="L614" s="40" t="n">
        <x:v>1</x:v>
      </x:c>
    </x:row>
    <x:row r="615" ht="23" customHeight="1">
      <x:c r="B615" s="17" t="str">
        <x:v>All rounds</x:v>
      </x:c>
      <x:c r="C615" s="17" t="str">
        <x:v>condition</x:v>
      </x:c>
      <x:c r="D615" s="17" t="str">
        <x:v>Mockito_30</x:v>
      </x:c>
      <x:c r="E615" s="32" t="n">
        <x:v>0.4286</x:v>
      </x:c>
      <x:c r="F615" s="32" t="n">
        <x:v>0.07139999999999999</x:v>
      </x:c>
      <x:c r="G615" s="32" t="n">
        <x:v>0.7857</x:v>
      </x:c>
      <x:c r="H615" s="32" t="n">
        <x:v>0.4286</x:v>
      </x:c>
      <x:c r="I615" s="40" t="n">
        <x:v>2</x:v>
      </x:c>
      <x:c r="J615" s="40" t="n">
        <x:v>2</x:v>
      </x:c>
      <x:c r="K615" s="40" t="n">
        <x:v>1</x:v>
      </x:c>
      <x:c r="L615" s="40" t="n">
        <x:v>1</x:v>
      </x:c>
    </x:row>
    <x:row r="616" ht="23" customHeight="1">
      <x:c r="B616" s="17" t="str">
        <x:v>All rounds</x:v>
      </x:c>
      <x:c r="C616" s="17" t="str">
        <x:v>condition</x:v>
      </x:c>
      <x:c r="D616" s="17" t="str">
        <x:v>Mockito_31</x:v>
      </x:c>
      <x:c r="E616" s="32" t="n">
        <x:v>0</x:v>
      </x:c>
      <x:c r="F616" s="32" t="n">
        <x:v>0</x:v>
      </x:c>
      <x:c r="G616" s="32" t="n">
        <x:v>1</x:v>
      </x:c>
      <x:c r="H616" s="32" t="n">
        <x:v>1</x:v>
      </x:c>
      <x:c r="I616" s="40" t="n">
        <x:v>2</x:v>
      </x:c>
      <x:c r="J616" s="40" t="n">
        <x:v>2</x:v>
      </x:c>
      <x:c r="K616" s="40" t="n">
        <x:v>1</x:v>
      </x:c>
      <x:c r="L616" s="40" t="n">
        <x:v>1</x:v>
      </x:c>
    </x:row>
    <x:row r="617" ht="23" customHeight="1">
      <x:c r="B617" s="17" t="str">
        <x:v>All rounds</x:v>
      </x:c>
      <x:c r="C617" s="17" t="str">
        <x:v>condition</x:v>
      </x:c>
      <x:c r="D617" s="17" t="str">
        <x:v>Mockito_37</x:v>
      </x:c>
      <x:c r="E617" s="32" t="n">
        <x:v>0.46149999999999997</x:v>
      </x:c>
      <x:c r="F617" s="32" t="n">
        <x:v>0</x:v>
      </x:c>
      <x:c r="G617" s="32" t="n">
        <x:v>0.9615</x:v>
      </x:c>
      <x:c r="H617" s="32" t="n">
        <x:v>1</x:v>
      </x:c>
      <x:c r="I617" s="40" t="n">
        <x:v>2</x:v>
      </x:c>
      <x:c r="J617" s="40" t="n">
        <x:v>2</x:v>
      </x:c>
      <x:c r="K617" s="40" t="n">
        <x:v>2</x:v>
      </x:c>
      <x:c r="L617" s="40" t="n">
        <x:v>1</x:v>
      </x:c>
    </x:row>
    <x:row r="618" ht="23" customHeight="1">
      <x:c r="B618" s="17" t="str">
        <x:v>All rounds</x:v>
      </x:c>
      <x:c r="C618" s="17" t="str">
        <x:v>condition</x:v>
      </x:c>
      <x:c r="D618" s="17" t="str">
        <x:v>Time_10</x:v>
      </x:c>
      <x:c r="E618" s="32" t="n">
        <x:v>0.9565</x:v>
      </x:c>
      <x:c r="F618" s="32" t="n">
        <x:v>0.0652</x:v>
      </x:c>
      <x:c r="G618" s="32" t="n">
        <x:v>0.9129999999999999</x:v>
      </x:c>
      <x:c r="H618" s="32" t="n">
        <x:v>1</x:v>
      </x:c>
      <x:c r="I618" s="40" t="n">
        <x:v>2</x:v>
      </x:c>
      <x:c r="J618" s="40" t="n">
        <x:v>2</x:v>
      </x:c>
      <x:c r="K618" s="40" t="n">
        <x:v>1</x:v>
      </x:c>
      <x:c r="L618" s="40" t="n">
        <x:v>1</x:v>
      </x:c>
    </x:row>
    <x:row r="619" ht="23" customHeight="1">
      <x:c r="B619" s="17" t="str">
        <x:v>All rounds</x:v>
      </x:c>
      <x:c r="C619" s="17" t="str">
        <x:v>condition</x:v>
      </x:c>
      <x:c r="D619" s="17" t="str">
        <x:v>Time_11</x:v>
      </x:c>
      <x:c r="E619" s="32" t="n">
        <x:v>0.41969999999999996</x:v>
      </x:c>
      <x:c r="F619" s="32" t="n">
        <x:v>0.1192</x:v>
      </x:c>
      <x:c r="G619" s="32" t="n">
        <x:v>0.17620000000000002</x:v>
      </x:c>
      <x:c r="H619" s="32" t="n">
        <x:v>0.8238</x:v>
      </x:c>
      <x:c r="I619" s="40" t="n">
        <x:v>2</x:v>
      </x:c>
      <x:c r="J619" s="40" t="n">
        <x:v>2</x:v>
      </x:c>
      <x:c r="K619" s="40" t="n">
        <x:v>1</x:v>
      </x:c>
      <x:c r="L619" s="40" t="n">
        <x:v>1</x:v>
      </x:c>
    </x:row>
    <x:row r="620" ht="23" customHeight="1">
      <x:c r="B620" s="17" t="str">
        <x:v>All rounds</x:v>
      </x:c>
      <x:c r="C620" s="17" t="str">
        <x:v>condition</x:v>
      </x:c>
      <x:c r="D620" s="17" t="str">
        <x:v>Time_15</x:v>
      </x:c>
      <x:c r="E620" s="32" t="n">
        <x:v>0.9429000000000001</x:v>
      </x:c>
      <x:c r="F620" s="32" t="n">
        <x:v>0.7356999999999999</x:v>
      </x:c>
      <x:c r="G620" s="32" t="n">
        <x:v>0.6570999999999999</x:v>
      </x:c>
      <x:c r="H620" s="32" t="n">
        <x:v>0.8856999999999999</x:v>
      </x:c>
      <x:c r="I620" s="40" t="n">
        <x:v>2</x:v>
      </x:c>
      <x:c r="J620" s="40" t="n">
        <x:v>2</x:v>
      </x:c>
      <x:c r="K620" s="40" t="n">
        <x:v>1</x:v>
      </x:c>
      <x:c r="L620" s="40" t="n">
        <x:v>1</x:v>
      </x:c>
    </x:row>
    <x:row r="621" ht="23" customHeight="1">
      <x:c r="B621" s="17" t="str">
        <x:v>All rounds</x:v>
      </x:c>
      <x:c r="C621" s="17" t="str">
        <x:v>condition</x:v>
      </x:c>
      <x:c r="D621" s="17" t="str">
        <x:v>Time_16</x:v>
      </x:c>
      <x:c r="E621" s="32" t="n">
        <x:v>0.875</x:v>
      </x:c>
      <x:c r="F621" s="32" t="n">
        <x:v>0.1534</x:v>
      </x:c>
      <x:c r="G621" s="32" t="n">
        <x:v>0.5682</x:v>
      </x:c>
      <x:c r="H621" s="32" t="n">
        <x:v>0.9091</x:v>
      </x:c>
      <x:c r="I621" s="40" t="n">
        <x:v>2</x:v>
      </x:c>
      <x:c r="J621" s="40" t="n">
        <x:v>2</x:v>
      </x:c>
      <x:c r="K621" s="40" t="n">
        <x:v>1</x:v>
      </x:c>
      <x:c r="L621" s="40" t="n">
        <x:v>1</x:v>
      </x:c>
    </x:row>
    <x:row r="622" ht="23" customHeight="1">
      <x:c r="B622" s="17" t="str">
        <x:v>All rounds</x:v>
      </x:c>
      <x:c r="C622" s="17" t="str">
        <x:v>condition</x:v>
      </x:c>
      <x:c r="D622" s="17" t="str">
        <x:v>Time_20</x:v>
      </x:c>
      <x:c r="E622" s="32" t="n">
        <x:v>0.49920000000000003</x:v>
      </x:c>
      <x:c r="F622" s="32" t="n">
        <x:v>0.19525000000000003</x:v>
      </x:c>
      <x:c r="G622" s="32" t="n">
        <x:v>0.129</x:v>
      </x:c>
      <x:c r="H622" s="32" t="n">
        <x:v>0.6689</x:v>
      </x:c>
      <x:c r="I622" s="40" t="n">
        <x:v>2</x:v>
      </x:c>
      <x:c r="J622" s="40" t="n">
        <x:v>2</x:v>
      </x:c>
      <x:c r="K622" s="40" t="n">
        <x:v>1</x:v>
      </x:c>
      <x:c r="L622" s="40" t="n">
        <x:v>1</x:v>
      </x:c>
    </x:row>
    <x:row r="623" ht="23" customHeight="1">
      <x:c r="B623" s="17" t="str">
        <x:v>Round1</x:v>
      </x:c>
      <x:c r="C623" s="17" t="str">
        <x:v>line</x:v>
      </x:c>
      <x:c r="D623" s="17" t="str">
        <x:v>Chart_10</x:v>
      </x:c>
      <x:c r="E623" s="32" t="n">
        <x:v>1</x:v>
      </x:c>
      <x:c r="F623" s="32" t="n">
        <x:v>1</x:v>
      </x:c>
      <x:c r="G623" s="32" t="n">
        <x:v>1</x:v>
      </x:c>
      <x:c r="H623" s="32" t="n">
        <x:v>1</x:v>
      </x:c>
      <x:c r="I623" s="40" t="n">
        <x:v>1</x:v>
      </x:c>
      <x:c r="J623" s="40" t="n">
        <x:v>1</x:v>
      </x:c>
      <x:c r="K623" s="40" t="n">
        <x:v>1</x:v>
      </x:c>
      <x:c r="L623" s="40" t="n">
        <x:v>1</x:v>
      </x:c>
    </x:row>
    <x:row r="624" ht="23" customHeight="1">
      <x:c r="B624" s="17" t="str">
        <x:v>Round1</x:v>
      </x:c>
      <x:c r="C624" s="17" t="str">
        <x:v>line</x:v>
      </x:c>
      <x:c r="D624" s="17" t="str">
        <x:v>Chart_18</x:v>
      </x:c>
      <x:c r="E624" s="32" t="n">
        <x:v>0.9925</x:v>
      </x:c>
      <x:c r="F624" s="32" t="n">
        <x:v>0.8345999999999999</x:v>
      </x:c>
      <x:c r="G624" s="32" t="n">
        <x:v>0.9586</x:v>
      </x:c>
      <x:c r="H624" s="32" t="n">
        <x:v>0.2293</x:v>
      </x:c>
      <x:c r="I624" s="40" t="n">
        <x:v>1</x:v>
      </x:c>
      <x:c r="J624" s="40" t="n">
        <x:v>1</x:v>
      </x:c>
      <x:c r="K624" s="40" t="n">
        <x:v>1</x:v>
      </x:c>
      <x:c r="L624" s="40" t="n">
        <x:v>1</x:v>
      </x:c>
    </x:row>
    <x:row r="625" ht="23" customHeight="1">
      <x:c r="B625" s="17" t="str">
        <x:v>Round1</x:v>
      </x:c>
      <x:c r="C625" s="17" t="str">
        <x:v>line</x:v>
      </x:c>
      <x:c r="D625" s="17" t="str">
        <x:v>Chart_21</x:v>
      </x:c>
      <x:c r="E625" s="32" t="n">
        <x:v>0.9193000000000001</x:v>
      </x:c>
      <x:c r="F625" s="32" t="n">
        <x:v>0.5652</x:v>
      </x:c>
      <x:c r="G625" s="32" t="n">
        <x:v>0.5589999999999999</x:v>
      </x:c>
      <x:c r="H625" s="32" t="n">
        <x:v>0.23600000000000002</x:v>
      </x:c>
      <x:c r="I625" s="40" t="n">
        <x:v>1</x:v>
      </x:c>
      <x:c r="J625" s="40" t="n">
        <x:v>1</x:v>
      </x:c>
      <x:c r="K625" s="40" t="n">
        <x:v>1</x:v>
      </x:c>
      <x:c r="L625" s="40" t="n">
        <x:v>1</x:v>
      </x:c>
    </x:row>
    <x:row r="626" ht="23" customHeight="1">
      <x:c r="B626" s="17" t="str">
        <x:v>Round1</x:v>
      </x:c>
      <x:c r="C626" s="17" t="str">
        <x:v>line</x:v>
      </x:c>
      <x:c r="D626" s="17" t="str">
        <x:v>Chart_22</x:v>
      </x:c>
      <x:c r="E626" s="32" t="n">
        <x:v>0.9677</x:v>
      </x:c>
      <x:c r="F626" s="32" t="n">
        <x:v>0.9355</x:v>
      </x:c>
      <x:c r="G626" s="32" t="n">
        <x:v>0.9274</x:v>
      </x:c>
      <x:c r="H626" s="32" t="n">
        <x:v>0.22579999999999997</x:v>
      </x:c>
      <x:c r="I626" s="40" t="n">
        <x:v>1</x:v>
      </x:c>
      <x:c r="J626" s="40" t="n">
        <x:v>1</x:v>
      </x:c>
      <x:c r="K626" s="40" t="n">
        <x:v>1</x:v>
      </x:c>
      <x:c r="L626" s="40" t="n">
        <x:v>1</x:v>
      </x:c>
    </x:row>
    <x:row r="627" ht="23" customHeight="1">
      <x:c r="B627" s="17" t="str">
        <x:v>Round1</x:v>
      </x:c>
      <x:c r="C627" s="17" t="str">
        <x:v>line</x:v>
      </x:c>
      <x:c r="D627" s="17" t="str">
        <x:v>Chart_24</x:v>
      </x:c>
      <x:c r="E627" s="32" t="n">
        <x:v>1</x:v>
      </x:c>
      <x:c r="F627" s="32" t="n">
        <x:v>0.96</x:v>
      </x:c>
      <x:c r="G627" s="32" t="n">
        <x:v>1</x:v>
      </x:c>
      <x:c r="H627" s="32" t="n">
        <x:v>1</x:v>
      </x:c>
      <x:c r="I627" s="40" t="n">
        <x:v>1</x:v>
      </x:c>
      <x:c r="J627" s="40" t="n">
        <x:v>1</x:v>
      </x:c>
      <x:c r="K627" s="40" t="n">
        <x:v>1</x:v>
      </x:c>
      <x:c r="L627" s="40" t="n">
        <x:v>1</x:v>
      </x:c>
    </x:row>
    <x:row r="628" ht="23" customHeight="1">
      <x:c r="B628" s="17" t="str">
        <x:v>Round1</x:v>
      </x:c>
      <x:c r="C628" s="17" t="str">
        <x:v>line</x:v>
      </x:c>
      <x:c r="D628" s="17" t="str">
        <x:v>Chart_8</x:v>
      </x:c>
      <x:c r="E628" s="32" t="n">
        <x:v>0.9136</x:v>
      </x:c>
      <x:c r="F628" s="32" t="n">
        <x:v>0.8765000000000001</x:v>
      </x:c>
      <x:c r="G628" s="32" t="n">
        <x:v>0.7345999999999999</x:v>
      </x:c>
      <x:c r="H628" s="32" t="n">
        <x:v>0.2593</x:v>
      </x:c>
      <x:c r="I628" s="40" t="n">
        <x:v>1</x:v>
      </x:c>
      <x:c r="J628" s="40" t="n">
        <x:v>1</x:v>
      </x:c>
      <x:c r="K628" s="40" t="n">
        <x:v>1</x:v>
      </x:c>
      <x:c r="L628" s="40" t="n">
        <x:v>1</x:v>
      </x:c>
    </x:row>
    <x:row r="629" ht="23" customHeight="1">
      <x:c r="B629" s="17" t="str">
        <x:v>Round1</x:v>
      </x:c>
      <x:c r="C629" s="17" t="str">
        <x:v>line</x:v>
      </x:c>
      <x:c r="D629" s="17" t="str">
        <x:v>Cli_18</x:v>
      </x:c>
      <x:c r="E629" s="32" t="n">
        <x:v>0</x:v>
      </x:c>
      <x:c r="F629" s="32" t="n">
        <x:v>0</x:v>
      </x:c>
      <x:c r="G629" s="32" t="n">
        <x:v>0</x:v>
      </x:c>
      <x:c r="H629" s="32" t="n">
        <x:v>0</x:v>
      </x:c>
      <x:c r="I629" s="40" t="n">
        <x:v>1</x:v>
      </x:c>
      <x:c r="J629" s="40" t="n">
        <x:v>1</x:v>
      </x:c>
      <x:c r="K629" s="40" t="n">
        <x:v>1</x:v>
      </x:c>
      <x:c r="L629" s="40" t="n">
        <x:v>1</x:v>
      </x:c>
    </x:row>
    <x:row r="630" ht="23" customHeight="1">
      <x:c r="B630" s="17" t="str">
        <x:v>Round1</x:v>
      </x:c>
      <x:c r="C630" s="17" t="str">
        <x:v>line</x:v>
      </x:c>
      <x:c r="D630" s="17" t="str">
        <x:v>Cli_19</x:v>
      </x:c>
      <x:c r="E630" s="32" t="n">
        <x:v>0</x:v>
      </x:c>
      <x:c r="F630" s="32" t="n">
        <x:v>0</x:v>
      </x:c>
      <x:c r="G630" s="32" t="n">
        <x:v>0</x:v>
      </x:c>
      <x:c r="H630" s="32" t="n">
        <x:v>0</x:v>
      </x:c>
      <x:c r="I630" s="40" t="n">
        <x:v>1</x:v>
      </x:c>
      <x:c r="J630" s="40" t="n">
        <x:v>1</x:v>
      </x:c>
      <x:c r="K630" s="40" t="n">
        <x:v>1</x:v>
      </x:c>
      <x:c r="L630" s="40" t="n">
        <x:v>1</x:v>
      </x:c>
    </x:row>
    <x:row r="631" ht="23" customHeight="1">
      <x:c r="B631" s="17" t="str">
        <x:v>Round1</x:v>
      </x:c>
      <x:c r="C631" s="17" t="str">
        <x:v>line</x:v>
      </x:c>
      <x:c r="D631" s="17" t="str">
        <x:v>Cli_2</x:v>
      </x:c>
      <x:c r="E631" s="32" t="n">
        <x:v>0</x:v>
      </x:c>
      <x:c r="F631" s="32" t="n">
        <x:v>0</x:v>
      </x:c>
      <x:c r="G631" s="32" t="n">
        <x:v>0</x:v>
      </x:c>
      <x:c r="H631" s="32" t="n">
        <x:v>0</x:v>
      </x:c>
      <x:c r="I631" s="40" t="n">
        <x:v>1</x:v>
      </x:c>
      <x:c r="J631" s="40" t="n">
        <x:v>1</x:v>
      </x:c>
      <x:c r="K631" s="40" t="n">
        <x:v>1</x:v>
      </x:c>
      <x:c r="L631" s="40" t="n">
        <x:v>1</x:v>
      </x:c>
    </x:row>
    <x:row r="632" ht="23" customHeight="1">
      <x:c r="B632" s="17" t="str">
        <x:v>Round1</x:v>
      </x:c>
      <x:c r="C632" s="17" t="str">
        <x:v>line</x:v>
      </x:c>
      <x:c r="D632" s="17" t="str">
        <x:v>Cli_22</x:v>
      </x:c>
      <x:c r="E632" s="32" t="n">
        <x:v>0</x:v>
      </x:c>
      <x:c r="F632" s="32" t="n">
        <x:v>0</x:v>
      </x:c>
      <x:c r="G632" s="32" t="n">
        <x:v>0</x:v>
      </x:c>
      <x:c r="H632" s="32" t="n">
        <x:v>0</x:v>
      </x:c>
      <x:c r="I632" s="40" t="n">
        <x:v>1</x:v>
      </x:c>
      <x:c r="J632" s="40" t="n">
        <x:v>1</x:v>
      </x:c>
      <x:c r="K632" s="40" t="n">
        <x:v>1</x:v>
      </x:c>
      <x:c r="L632" s="40" t="n">
        <x:v>1</x:v>
      </x:c>
    </x:row>
    <x:row r="633" ht="23" customHeight="1">
      <x:c r="B633" s="17" t="str">
        <x:v>Round1</x:v>
      </x:c>
      <x:c r="C633" s="17" t="str">
        <x:v>line</x:v>
      </x:c>
      <x:c r="D633" s="17" t="str">
        <x:v>Cli_24</x:v>
      </x:c>
      <x:c r="E633" s="32" t="n">
        <x:v>0</x:v>
      </x:c>
      <x:c r="F633" s="32" t="n">
        <x:v>0</x:v>
      </x:c>
      <x:c r="G633" s="32" t="n">
        <x:v>0</x:v>
      </x:c>
      <x:c r="H633" s="32" t="n">
        <x:v>0</x:v>
      </x:c>
      <x:c r="I633" s="40" t="n">
        <x:v>1</x:v>
      </x:c>
      <x:c r="J633" s="40" t="n">
        <x:v>1</x:v>
      </x:c>
      <x:c r="K633" s="40" t="n">
        <x:v>1</x:v>
      </x:c>
      <x:c r="L633" s="40" t="n">
        <x:v>1</x:v>
      </x:c>
    </x:row>
    <x:row r="634" ht="23" customHeight="1">
      <x:c r="B634" s="17" t="str">
        <x:v>Round1</x:v>
      </x:c>
      <x:c r="C634" s="17" t="str">
        <x:v>line</x:v>
      </x:c>
      <x:c r="D634" s="17" t="str">
        <x:v>Cli_27</x:v>
      </x:c>
      <x:c r="E634" s="32" t="n">
        <x:v>0</x:v>
      </x:c>
      <x:c r="F634" s="32" t="n">
        <x:v>0</x:v>
      </x:c>
      <x:c r="G634" s="32" t="n">
        <x:v>0</x:v>
      </x:c>
      <x:c r="H634" s="32" t="n">
        <x:v>0</x:v>
      </x:c>
      <x:c r="I634" s="40" t="n">
        <x:v>1</x:v>
      </x:c>
      <x:c r="J634" s="40" t="n">
        <x:v>1</x:v>
      </x:c>
      <x:c r="K634" s="40" t="n">
        <x:v>1</x:v>
      </x:c>
      <x:c r="L634" s="40" t="n">
        <x:v>1</x:v>
      </x:c>
    </x:row>
    <x:row r="635" ht="23" customHeight="1">
      <x:c r="B635" s="17" t="str">
        <x:v>Round1</x:v>
      </x:c>
      <x:c r="C635" s="17" t="str">
        <x:v>line</x:v>
      </x:c>
      <x:c r="D635" s="17" t="str">
        <x:v>Cli_29</x:v>
      </x:c>
      <x:c r="E635" s="32" t="n">
        <x:v>0</x:v>
      </x:c>
      <x:c r="F635" s="32" t="n">
        <x:v>0</x:v>
      </x:c>
      <x:c r="G635" s="32" t="n">
        <x:v>0</x:v>
      </x:c>
      <x:c r="H635" s="32" t="n">
        <x:v>0</x:v>
      </x:c>
      <x:c r="I635" s="40" t="n">
        <x:v>1</x:v>
      </x:c>
      <x:c r="J635" s="40" t="n">
        <x:v>1</x:v>
      </x:c>
      <x:c r="K635" s="40" t="n">
        <x:v>1</x:v>
      </x:c>
      <x:c r="L635" s="40" t="n">
        <x:v>1</x:v>
      </x:c>
    </x:row>
    <x:row r="636" ht="23" customHeight="1">
      <x:c r="B636" s="17" t="str">
        <x:v>Round1</x:v>
      </x:c>
      <x:c r="C636" s="17" t="str">
        <x:v>line</x:v>
      </x:c>
      <x:c r="D636" s="17" t="str">
        <x:v>Cli_3</x:v>
      </x:c>
      <x:c r="E636" s="32" t="n">
        <x:v>0</x:v>
      </x:c>
      <x:c r="F636" s="32" t="n">
        <x:v>0</x:v>
      </x:c>
      <x:c r="G636" s="32" t="n">
        <x:v>0</x:v>
      </x:c>
      <x:c r="H636" s="32" t="n">
        <x:v>0</x:v>
      </x:c>
      <x:c r="I636" s="40" t="n">
        <x:v>1</x:v>
      </x:c>
      <x:c r="J636" s="40" t="n">
        <x:v>1</x:v>
      </x:c>
      <x:c r="K636" s="40" t="n">
        <x:v>1</x:v>
      </x:c>
      <x:c r="L636" s="40" t="n">
        <x:v>1</x:v>
      </x:c>
    </x:row>
    <x:row r="637" ht="23" customHeight="1">
      <x:c r="B637" s="17" t="str">
        <x:v>Round1</x:v>
      </x:c>
      <x:c r="C637" s="17" t="str">
        <x:v>line</x:v>
      </x:c>
      <x:c r="D637" s="17" t="str">
        <x:v>Cli_33</x:v>
      </x:c>
      <x:c r="E637" s="32" t="n">
        <x:v>0</x:v>
      </x:c>
      <x:c r="F637" s="32" t="n">
        <x:v>0</x:v>
      </x:c>
      <x:c r="G637" s="32" t="n">
        <x:v>0</x:v>
      </x:c>
      <x:c r="H637" s="32" t="n">
        <x:v>0</x:v>
      </x:c>
      <x:c r="I637" s="40" t="n">
        <x:v>1</x:v>
      </x:c>
      <x:c r="J637" s="40" t="n">
        <x:v>1</x:v>
      </x:c>
      <x:c r="K637" s="40" t="n">
        <x:v>1</x:v>
      </x:c>
      <x:c r="L637" s="40" t="n">
        <x:v>1</x:v>
      </x:c>
    </x:row>
    <x:row r="638" ht="23" customHeight="1">
      <x:c r="B638" s="17" t="str">
        <x:v>Round1</x:v>
      </x:c>
      <x:c r="C638" s="17" t="str">
        <x:v>line</x:v>
      </x:c>
      <x:c r="D638" s="17" t="str">
        <x:v>Cli_35</x:v>
      </x:c>
      <x:c r="E638" s="32" t="n">
        <x:v>1</x:v>
      </x:c>
      <x:c r="F638" s="32" t="n">
        <x:v>0.8245999999999999</x:v>
      </x:c>
      <x:c r="G638" s="32" t="n">
        <x:v>0.9473999999999999</x:v>
      </x:c>
      <x:c r="H638" s="32" t="n">
        <x:v>1</x:v>
      </x:c>
      <x:c r="I638" s="40" t="n">
        <x:v>1</x:v>
      </x:c>
      <x:c r="J638" s="40" t="n">
        <x:v>1</x:v>
      </x:c>
      <x:c r="K638" s="40" t="n">
        <x:v>1</x:v>
      </x:c>
      <x:c r="L638" s="40" t="n">
        <x:v>1</x:v>
      </x:c>
    </x:row>
    <x:row r="639" ht="23" customHeight="1">
      <x:c r="B639" s="17" t="str">
        <x:v>Round1</x:v>
      </x:c>
      <x:c r="C639" s="17" t="str">
        <x:v>line</x:v>
      </x:c>
      <x:c r="D639" s="17" t="str">
        <x:v>Cli_39</x:v>
      </x:c>
      <x:c r="E639" s="32" t="n">
        <x:v>1</x:v>
      </x:c>
      <x:c r="F639" s="32" t="n">
        <x:v>0.6905</x:v>
      </x:c>
      <x:c r="G639" s="32" t="n">
        <x:v>0.8571</x:v>
      </x:c>
      <x:c r="H639" s="32" t="n">
        <x:v>1</x:v>
      </x:c>
      <x:c r="I639" s="40" t="n">
        <x:v>1</x:v>
      </x:c>
      <x:c r="J639" s="40" t="n">
        <x:v>1</x:v>
      </x:c>
      <x:c r="K639" s="40" t="n">
        <x:v>1</x:v>
      </x:c>
      <x:c r="L639" s="40" t="n">
        <x:v>1</x:v>
      </x:c>
    </x:row>
    <x:row r="640" ht="23" customHeight="1">
      <x:c r="B640" s="17" t="str">
        <x:v>Round1</x:v>
      </x:c>
      <x:c r="C640" s="17" t="str">
        <x:v>line</x:v>
      </x:c>
      <x:c r="D640" s="17" t="str">
        <x:v>Cli_4</x:v>
      </x:c>
      <x:c r="E640" s="32" t="n">
        <x:v>0</x:v>
      </x:c>
      <x:c r="F640" s="32" t="n">
        <x:v>0</x:v>
      </x:c>
      <x:c r="G640" s="32" t="n">
        <x:v>0</x:v>
      </x:c>
      <x:c r="H640" s="32" t="n">
        <x:v>0</x:v>
      </x:c>
      <x:c r="I640" s="40" t="n">
        <x:v>1</x:v>
      </x:c>
      <x:c r="J640" s="40" t="n">
        <x:v>1</x:v>
      </x:c>
      <x:c r="K640" s="40" t="n">
        <x:v>1</x:v>
      </x:c>
      <x:c r="L640" s="40" t="n">
        <x:v>1</x:v>
      </x:c>
    </x:row>
    <x:row r="641" ht="23" customHeight="1">
      <x:c r="B641" s="17" t="str">
        <x:v>Round1</x:v>
      </x:c>
      <x:c r="C641" s="17" t="str">
        <x:v>line</x:v>
      </x:c>
      <x:c r="D641" s="17" t="str">
        <x:v>Cli_5</x:v>
      </x:c>
      <x:c r="E641" s="32" t="n">
        <x:v>0</x:v>
      </x:c>
      <x:c r="F641" s="32" t="n">
        <x:v>0</x:v>
      </x:c>
      <x:c r="G641" s="32" t="n">
        <x:v>0</x:v>
      </x:c>
      <x:c r="H641" s="32" t="n">
        <x:v>0</x:v>
      </x:c>
      <x:c r="I641" s="40" t="n">
        <x:v>1</x:v>
      </x:c>
      <x:c r="J641" s="40" t="n">
        <x:v>1</x:v>
      </x:c>
      <x:c r="K641" s="40" t="n">
        <x:v>1</x:v>
      </x:c>
      <x:c r="L641" s="40" t="n">
        <x:v>1</x:v>
      </x:c>
    </x:row>
    <x:row r="642" ht="23" customHeight="1">
      <x:c r="B642" s="17" t="str">
        <x:v>Round1</x:v>
      </x:c>
      <x:c r="C642" s="17" t="str">
        <x:v>line</x:v>
      </x:c>
      <x:c r="D642" s="17" t="str">
        <x:v>Cli_8</x:v>
      </x:c>
      <x:c r="E642" s="32" t="n">
        <x:v>0</x:v>
      </x:c>
      <x:c r="F642" s="32" t="n">
        <x:v>0</x:v>
      </x:c>
      <x:c r="G642" s="32" t="n">
        <x:v>0</x:v>
      </x:c>
      <x:c r="H642" s="32" t="n">
        <x:v>0</x:v>
      </x:c>
      <x:c r="I642" s="40" t="n">
        <x:v>1</x:v>
      </x:c>
      <x:c r="J642" s="40" t="n">
        <x:v>1</x:v>
      </x:c>
      <x:c r="K642" s="40" t="n">
        <x:v>1</x:v>
      </x:c>
      <x:c r="L642" s="40" t="n">
        <x:v>1</x:v>
      </x:c>
    </x:row>
    <x:row r="643" ht="23" customHeight="1">
      <x:c r="B643" s="17" t="str">
        <x:v>Round1</x:v>
      </x:c>
      <x:c r="C643" s="17" t="str">
        <x:v>line</x:v>
      </x:c>
      <x:c r="D643" s="17" t="str">
        <x:v>Closure_131</x:v>
      </x:c>
      <x:c r="E643" s="32" t="n">
        <x:v>0.8673000000000001</x:v>
      </x:c>
      <x:c r="F643" s="32" t="n">
        <x:v>0.15039999999999998</x:v>
      </x:c>
      <x:c r="G643" s="32" t="n">
        <x:v>0.9912000000000001</x:v>
      </x:c>
      <x:c r="H643" s="32" t="n">
        <x:v>0.9912000000000001</x:v>
      </x:c>
      <x:c r="I643" s="40" t="n">
        <x:v>1</x:v>
      </x:c>
      <x:c r="J643" s="40" t="n">
        <x:v>1</x:v>
      </x:c>
      <x:c r="K643" s="40" t="n">
        <x:v>1</x:v>
      </x:c>
      <x:c r="L643" s="40" t="n">
        <x:v>1</x:v>
      </x:c>
    </x:row>
    <x:row r="644" ht="23" customHeight="1">
      <x:c r="B644" s="17" t="str">
        <x:v>Round1</x:v>
      </x:c>
      <x:c r="C644" s="17" t="str">
        <x:v>line</x:v>
      </x:c>
      <x:c r="D644" s="17" t="str">
        <x:v>Closure_172</x:v>
      </x:c>
      <x:c r="E644" s="32" t="n">
        <x:v>0.16399999999999998</x:v>
      </x:c>
      <x:c r="F644" s="32" t="n">
        <x:v>0.0263</x:v>
      </x:c>
      <x:c r="G644" s="32" t="n">
        <x:v>0</x:v>
      </x:c>
      <x:c r="H644" s="32" t="n">
        <x:v>0</x:v>
      </x:c>
      <x:c r="I644" s="40" t="n">
        <x:v>1</x:v>
      </x:c>
      <x:c r="J644" s="40" t="n">
        <x:v>1</x:v>
      </x:c>
      <x:c r="K644" s="40" t="n">
        <x:v>1</x:v>
      </x:c>
      <x:c r="L644" s="40" t="n">
        <x:v>1</x:v>
      </x:c>
    </x:row>
    <x:row r="645" ht="23" customHeight="1">
      <x:c r="B645" s="17" t="str">
        <x:v>Round1</x:v>
      </x:c>
      <x:c r="C645" s="17" t="str">
        <x:v>line</x:v>
      </x:c>
      <x:c r="D645" s="17" t="str">
        <x:v>Closure_20</x:v>
      </x:c>
      <x:c r="E645" s="32" t="n">
        <x:v>0.0716</x:v>
      </x:c>
      <x:c r="F645" s="32" t="n">
        <x:v>0.0318</x:v>
      </x:c>
      <x:c r="G645" s="32" t="n">
        <x:v>0.0981</x:v>
      </x:c>
      <x:c r="H645" s="32" t="n">
        <x:v>0.0981</x:v>
      </x:c>
      <x:c r="I645" s="40" t="n">
        <x:v>1</x:v>
      </x:c>
      <x:c r="J645" s="40" t="n">
        <x:v>1</x:v>
      </x:c>
      <x:c r="K645" s="40" t="n">
        <x:v>1</x:v>
      </x:c>
      <x:c r="L645" s="40" t="n">
        <x:v>1</x:v>
      </x:c>
    </x:row>
    <x:row r="646" ht="23" customHeight="1">
      <x:c r="B646" s="17" t="str">
        <x:v>Round1</x:v>
      </x:c>
      <x:c r="C646" s="17" t="str">
        <x:v>line</x:v>
      </x:c>
      <x:c r="D646" s="17" t="str">
        <x:v>Closure_38</x:v>
      </x:c>
      <x:c r="E646" s="32" t="n">
        <x:v>0.0268</x:v>
      </x:c>
      <x:c r="F646" s="32" t="n">
        <x:v>0.0268</x:v>
      </x:c>
      <x:c r="G646" s="32" t="n">
        <x:v>0.6875</x:v>
      </x:c>
      <x:c r="H646" s="32" t="n">
        <x:v>0.6875</x:v>
      </x:c>
      <x:c r="I646" s="40" t="n">
        <x:v>1</x:v>
      </x:c>
      <x:c r="J646" s="40" t="n">
        <x:v>1</x:v>
      </x:c>
      <x:c r="K646" s="40" t="n">
        <x:v>1</x:v>
      </x:c>
      <x:c r="L646" s="40" t="n">
        <x:v>1</x:v>
      </x:c>
    </x:row>
    <x:row r="647" ht="23" customHeight="1">
      <x:c r="B647" s="17" t="str">
        <x:v>Round1</x:v>
      </x:c>
      <x:c r="C647" s="17" t="str">
        <x:v>line</x:v>
      </x:c>
      <x:c r="D647" s="17" t="str">
        <x:v>Closure_44</x:v>
      </x:c>
      <x:c r="E647" s="32" t="n">
        <x:v>0.0275</x:v>
      </x:c>
      <x:c r="F647" s="32" t="n">
        <x:v>0.0275</x:v>
      </x:c>
      <x:c r="G647" s="32" t="n">
        <x:v>0.8349</x:v>
      </x:c>
      <x:c r="H647" s="32" t="n">
        <x:v>0.8349</x:v>
      </x:c>
      <x:c r="I647" s="40" t="n">
        <x:v>1</x:v>
      </x:c>
      <x:c r="J647" s="40" t="n">
        <x:v>1</x:v>
      </x:c>
      <x:c r="K647" s="40" t="n">
        <x:v>1</x:v>
      </x:c>
      <x:c r="L647" s="40" t="n">
        <x:v>1</x:v>
      </x:c>
    </x:row>
    <x:row r="648" ht="23" customHeight="1">
      <x:c r="B648" s="17" t="str">
        <x:v>Round1</x:v>
      </x:c>
      <x:c r="C648" s="17" t="str">
        <x:v>line</x:v>
      </x:c>
      <x:c r="D648" s="17" t="str">
        <x:v>Codec_10</x:v>
      </x:c>
      <x:c r="E648" s="32" t="n">
        <x:v>1</x:v>
      </x:c>
      <x:c r="F648" s="32" t="n">
        <x:v>1</x:v>
      </x:c>
      <x:c r="G648" s="32" t="n">
        <x:v>0.9854999999999999</x:v>
      </x:c>
      <x:c r="H648" s="32" t="n">
        <x:v>1</x:v>
      </x:c>
      <x:c r="I648" s="40" t="n">
        <x:v>1</x:v>
      </x:c>
      <x:c r="J648" s="40" t="n">
        <x:v>1</x:v>
      </x:c>
      <x:c r="K648" s="40" t="n">
        <x:v>1</x:v>
      </x:c>
      <x:c r="L648" s="40" t="n">
        <x:v>1</x:v>
      </x:c>
    </x:row>
    <x:row r="649" ht="23" customHeight="1">
      <x:c r="B649" s="17" t="str">
        <x:v>Round1</x:v>
      </x:c>
      <x:c r="C649" s="17" t="str">
        <x:v>line</x:v>
      </x:c>
      <x:c r="D649" s="17" t="str">
        <x:v>Collections_10</x:v>
      </x:c>
      <x:c r="E649" s="32" t="n">
        <x:v>0.8739</x:v>
      </x:c>
      <x:c r="F649" s="32" t="n">
        <x:v>0.3529</x:v>
      </x:c>
      <x:c r="G649" s="32" t="n">
        <x:v>0.8571</x:v>
      </x:c>
      <x:c r="H649" s="32" t="n">
        <x:v>0.5294</x:v>
      </x:c>
      <x:c r="I649" s="40" t="n">
        <x:v>1</x:v>
      </x:c>
      <x:c r="J649" s="40" t="n">
        <x:v>1</x:v>
      </x:c>
      <x:c r="K649" s="40" t="n">
        <x:v>1</x:v>
      </x:c>
      <x:c r="L649" s="40" t="n">
        <x:v>1</x:v>
      </x:c>
    </x:row>
    <x:row r="650" ht="23" customHeight="1">
      <x:c r="B650" s="17" t="str">
        <x:v>Round1</x:v>
      </x:c>
      <x:c r="C650" s="17" t="str">
        <x:v>line</x:v>
      </x:c>
      <x:c r="D650" s="17" t="str">
        <x:v>Collections_11</x:v>
      </x:c>
      <x:c r="E650" s="32" t="n">
        <x:v>1</x:v>
      </x:c>
      <x:c r="F650" s="32" t="n">
        <x:v>0.9714</x:v>
      </x:c>
      <x:c r="G650" s="32" t="n">
        <x:v>1</x:v>
      </x:c>
      <x:c r="H650" s="32" t="n">
        <x:v>0.9143000000000001</x:v>
      </x:c>
      <x:c r="I650" s="40" t="n">
        <x:v>1</x:v>
      </x:c>
      <x:c r="J650" s="40" t="n">
        <x:v>1</x:v>
      </x:c>
      <x:c r="K650" s="40" t="n">
        <x:v>1</x:v>
      </x:c>
      <x:c r="L650" s="40" t="n">
        <x:v>1</x:v>
      </x:c>
    </x:row>
    <x:row r="651" ht="23" customHeight="1">
      <x:c r="B651" s="17" t="str">
        <x:v>Round1</x:v>
      </x:c>
      <x:c r="C651" s="17" t="str">
        <x:v>line</x:v>
      </x:c>
      <x:c r="D651" s="17" t="str">
        <x:v>Collections_20</x:v>
      </x:c>
      <x:c r="E651" s="32" t="n">
        <x:v>0.9727</x:v>
      </x:c>
      <x:c r="F651" s="32" t="n">
        <x:v>0.4642</x:v>
      </x:c>
      <x:c r="G651" s="32" t="n">
        <x:v>0.8123</x:v>
      </x:c>
      <x:c r="H651" s="32" t="n">
        <x:v>0.9181</x:v>
      </x:c>
      <x:c r="I651" s="40" t="n">
        <x:v>1</x:v>
      </x:c>
      <x:c r="J651" s="40" t="n">
        <x:v>1</x:v>
      </x:c>
      <x:c r="K651" s="40" t="n">
        <x:v>1</x:v>
      </x:c>
      <x:c r="L651" s="40" t="n">
        <x:v>1</x:v>
      </x:c>
    </x:row>
    <x:row r="652" ht="23" customHeight="1">
      <x:c r="B652" s="17" t="str">
        <x:v>Round1</x:v>
      </x:c>
      <x:c r="C652" s="17" t="str">
        <x:v>line</x:v>
      </x:c>
      <x:c r="D652" s="17" t="str">
        <x:v>Collections_21</x:v>
      </x:c>
      <x:c r="E652" s="32" t="n">
        <x:v>0.9632999999999999</x:v>
      </x:c>
      <x:c r="F652" s="32" t="n">
        <x:v>0.5688</x:v>
      </x:c>
      <x:c r="G652" s="32" t="n">
        <x:v>0.9358</x:v>
      </x:c>
      <x:c r="H652" s="32" t="n">
        <x:v>1</x:v>
      </x:c>
      <x:c r="I652" s="40" t="n">
        <x:v>1</x:v>
      </x:c>
      <x:c r="J652" s="40" t="n">
        <x:v>1</x:v>
      </x:c>
      <x:c r="K652" s="40" t="n">
        <x:v>1</x:v>
      </x:c>
      <x:c r="L652" s="40" t="n">
        <x:v>1</x:v>
      </x:c>
    </x:row>
    <x:row r="653" ht="23" customHeight="1">
      <x:c r="B653" s="17" t="str">
        <x:v>Round1</x:v>
      </x:c>
      <x:c r="C653" s="17" t="str">
        <x:v>line</x:v>
      </x:c>
      <x:c r="D653" s="17" t="str">
        <x:v>Collections_24</x:v>
      </x:c>
      <x:c r="E653" s="32" t="n">
        <x:v>0.7308</x:v>
      </x:c>
      <x:c r="F653" s="32" t="n">
        <x:v>0</x:v>
      </x:c>
      <x:c r="G653" s="32" t="n">
        <x:v>0.9615</x:v>
      </x:c>
      <x:c r="H653" s="32" t="n">
        <x:v>1</x:v>
      </x:c>
      <x:c r="I653" s="40" t="n">
        <x:v>1</x:v>
      </x:c>
      <x:c r="J653" s="40" t="n">
        <x:v>1</x:v>
      </x:c>
      <x:c r="K653" s="40" t="n">
        <x:v>1</x:v>
      </x:c>
      <x:c r="L653" s="40" t="n">
        <x:v>1</x:v>
      </x:c>
    </x:row>
    <x:row r="654" ht="23" customHeight="1">
      <x:c r="B654" s="17" t="str">
        <x:v>Round1</x:v>
      </x:c>
      <x:c r="C654" s="17" t="str">
        <x:v>line</x:v>
      </x:c>
      <x:c r="D654" s="17" t="str">
        <x:v>Collections_26</x:v>
      </x:c>
      <x:c r="E654" s="32" t="n">
        <x:v>0.9189</x:v>
      </x:c>
      <x:c r="F654" s="32" t="n">
        <x:v>0.9189</x:v>
      </x:c>
      <x:c r="G654" s="32" t="n">
        <x:v>0.9459000000000001</x:v>
      </x:c>
      <x:c r="H654" s="32" t="n">
        <x:v>0.8649</x:v>
      </x:c>
      <x:c r="I654" s="40" t="n">
        <x:v>1</x:v>
      </x:c>
      <x:c r="J654" s="40" t="n">
        <x:v>1</x:v>
      </x:c>
      <x:c r="K654" s="40" t="n">
        <x:v>1</x:v>
      </x:c>
      <x:c r="L654" s="40" t="n">
        <x:v>1</x:v>
      </x:c>
    </x:row>
    <x:row r="655" ht="23" customHeight="1">
      <x:c r="B655" s="17" t="str">
        <x:v>Round1</x:v>
      </x:c>
      <x:c r="C655" s="17" t="str">
        <x:v>line</x:v>
      </x:c>
      <x:c r="D655" s="17" t="str">
        <x:v>Collections_27</x:v>
      </x:c>
      <x:c r="E655" s="32" t="n">
        <x:v>0.7795000000000001</x:v>
      </x:c>
      <x:c r="F655" s="32" t="n">
        <x:v>0.4252</x:v>
      </x:c>
      <x:c r="G655" s="32" t="n">
        <x:v>0.8583</x:v>
      </x:c>
      <x:c r="H655" s="32" t="n">
        <x:v>0.5354</x:v>
      </x:c>
      <x:c r="I655" s="40" t="n">
        <x:v>1</x:v>
      </x:c>
      <x:c r="J655" s="40" t="n">
        <x:v>1</x:v>
      </x:c>
      <x:c r="K655" s="40" t="n">
        <x:v>1</x:v>
      </x:c>
      <x:c r="L655" s="40" t="n">
        <x:v>1</x:v>
      </x:c>
    </x:row>
    <x:row r="656" ht="23" customHeight="1">
      <x:c r="B656" s="17" t="str">
        <x:v>Round1</x:v>
      </x:c>
      <x:c r="C656" s="17" t="str">
        <x:v>line</x:v>
      </x:c>
      <x:c r="D656" s="17" t="str">
        <x:v>Collections_5</x:v>
      </x:c>
      <x:c r="E656" s="32" t="n">
        <x:v>1</x:v>
      </x:c>
      <x:c r="F656" s="32" t="n">
        <x:v>0.061</x:v>
      </x:c>
      <x:c r="G656" s="32" t="n">
        <x:v>0.9878</x:v>
      </x:c>
      <x:c r="H656" s="32" t="n">
        <x:v>0.37799999999999995</x:v>
      </x:c>
      <x:c r="I656" s="40" t="n">
        <x:v>1</x:v>
      </x:c>
      <x:c r="J656" s="40" t="n">
        <x:v>1</x:v>
      </x:c>
      <x:c r="K656" s="40" t="n">
        <x:v>1</x:v>
      </x:c>
      <x:c r="L656" s="40" t="n">
        <x:v>1</x:v>
      </x:c>
    </x:row>
    <x:row r="657" ht="23" customHeight="1">
      <x:c r="B657" s="17" t="str">
        <x:v>Round1</x:v>
      </x:c>
      <x:c r="C657" s="17" t="str">
        <x:v>line</x:v>
      </x:c>
      <x:c r="D657" s="17" t="str">
        <x:v>Collections_6</x:v>
      </x:c>
      <x:c r="E657" s="32" t="n">
        <x:v>0.6606000000000001</x:v>
      </x:c>
      <x:c r="F657" s="32" t="n">
        <x:v>0.1253</x:v>
      </x:c>
      <x:c r="G657" s="32" t="n">
        <x:v>0.5919</x:v>
      </x:c>
      <x:c r="H657" s="32" t="n">
        <x:v>0.2949</x:v>
      </x:c>
      <x:c r="I657" s="40" t="n">
        <x:v>1</x:v>
      </x:c>
      <x:c r="J657" s="40" t="n">
        <x:v>1</x:v>
      </x:c>
      <x:c r="K657" s="40" t="n">
        <x:v>1</x:v>
      </x:c>
      <x:c r="L657" s="40" t="n">
        <x:v>1</x:v>
      </x:c>
    </x:row>
    <x:row r="658" ht="23" customHeight="1">
      <x:c r="B658" s="17" t="str">
        <x:v>Round1</x:v>
      </x:c>
      <x:c r="C658" s="17" t="str">
        <x:v>line</x:v>
      </x:c>
      <x:c r="D658" s="17" t="str">
        <x:v>Compress_14</x:v>
      </x:c>
      <x:c r="E658" s="32" t="n">
        <x:v>0.9505</x:v>
      </x:c>
      <x:c r="F658" s="32" t="n">
        <x:v>0.5347</x:v>
      </x:c>
      <x:c r="G658" s="32" t="n">
        <x:v>0.7228</x:v>
      </x:c>
      <x:c r="H658" s="32" t="n">
        <x:v>0.9901000000000001</x:v>
      </x:c>
      <x:c r="I658" s="40" t="n">
        <x:v>1</x:v>
      </x:c>
      <x:c r="J658" s="40" t="n">
        <x:v>1</x:v>
      </x:c>
      <x:c r="K658" s="40" t="n">
        <x:v>1</x:v>
      </x:c>
      <x:c r="L658" s="40" t="n">
        <x:v>1</x:v>
      </x:c>
    </x:row>
    <x:row r="659" ht="23" customHeight="1">
      <x:c r="B659" s="17" t="str">
        <x:v>Round1</x:v>
      </x:c>
      <x:c r="C659" s="17" t="str">
        <x:v>line</x:v>
      </x:c>
      <x:c r="D659" s="17" t="str">
        <x:v>Compress_20</x:v>
      </x:c>
      <x:c r="E659" s="32" t="n">
        <x:v>0.35979999999999995</x:v>
      </x:c>
      <x:c r="F659" s="32" t="n">
        <x:v>0.26170000000000004</x:v>
      </x:c>
      <x:c r="G659" s="32" t="n">
        <x:v>0.39909999999999995</x:v>
      </x:c>
      <x:c r="H659" s="32" t="n">
        <x:v>0.972</x:v>
      </x:c>
      <x:c r="I659" s="40" t="n">
        <x:v>1</x:v>
      </x:c>
      <x:c r="J659" s="40" t="n">
        <x:v>1</x:v>
      </x:c>
      <x:c r="K659" s="40" t="n">
        <x:v>1</x:v>
      </x:c>
      <x:c r="L659" s="40" t="n">
        <x:v>1</x:v>
      </x:c>
    </x:row>
    <x:row r="660" ht="23" customHeight="1">
      <x:c r="B660" s="17" t="str">
        <x:v>Round1</x:v>
      </x:c>
      <x:c r="C660" s="17" t="str">
        <x:v>line</x:v>
      </x:c>
      <x:c r="D660" s="17" t="str">
        <x:v>Compress_21</x:v>
      </x:c>
      <x:c r="E660" s="32" t="n">
        <x:v>0.7923</x:v>
      </x:c>
      <x:c r="F660" s="32" t="n">
        <x:v>0.0231</x:v>
      </x:c>
      <x:c r="G660" s="32" t="n">
        <x:v>0.7128</x:v>
      </x:c>
      <x:c r="H660" s="32" t="n">
        <x:v>0.9333</x:v>
      </x:c>
      <x:c r="I660" s="40" t="n">
        <x:v>1</x:v>
      </x:c>
      <x:c r="J660" s="40" t="n">
        <x:v>1</x:v>
      </x:c>
      <x:c r="K660" s="40" t="n">
        <x:v>1</x:v>
      </x:c>
      <x:c r="L660" s="40" t="n">
        <x:v>1</x:v>
      </x:c>
    </x:row>
    <x:row r="661" ht="23" customHeight="1">
      <x:c r="B661" s="17" t="str">
        <x:v>Round1</x:v>
      </x:c>
      <x:c r="C661" s="17" t="str">
        <x:v>line</x:v>
      </x:c>
      <x:c r="D661" s="17" t="str">
        <x:v>Compress_30</x:v>
      </x:c>
      <x:c r="E661" s="32" t="n">
        <x:v>0.0408</x:v>
      </x:c>
      <x:c r="F661" s="32" t="n">
        <x:v>0.0265</x:v>
      </x:c>
      <x:c r="G661" s="32" t="n">
        <x:v>0.0799</x:v>
      </x:c>
      <x:c r="H661" s="32" t="n">
        <x:v>0.2</x:v>
      </x:c>
      <x:c r="I661" s="40" t="n">
        <x:v>1</x:v>
      </x:c>
      <x:c r="J661" s="40" t="n">
        <x:v>1</x:v>
      </x:c>
      <x:c r="K661" s="40" t="n">
        <x:v>1</x:v>
      </x:c>
      <x:c r="L661" s="40" t="n">
        <x:v>1</x:v>
      </x:c>
    </x:row>
    <x:row r="662" ht="23" customHeight="1">
      <x:c r="B662" s="17" t="str">
        <x:v>Round1</x:v>
      </x:c>
      <x:c r="C662" s="17" t="str">
        <x:v>line</x:v>
      </x:c>
      <x:c r="D662" s="17" t="str">
        <x:v>Compress_32</x:v>
      </x:c>
      <x:c r="E662" s="32" t="n">
        <x:v>0.45909999999999995</x:v>
      </x:c>
      <x:c r="F662" s="32" t="n">
        <x:v>0.3045</x:v>
      </x:c>
      <x:c r="G662" s="32" t="n">
        <x:v>0.4364</x:v>
      </x:c>
      <x:c r="H662" s="32" t="n">
        <x:v>0.7773</x:v>
      </x:c>
      <x:c r="I662" s="40" t="n">
        <x:v>1</x:v>
      </x:c>
      <x:c r="J662" s="40" t="n">
        <x:v>1</x:v>
      </x:c>
      <x:c r="K662" s="40" t="n">
        <x:v>1</x:v>
      </x:c>
      <x:c r="L662" s="40" t="n">
        <x:v>1</x:v>
      </x:c>
    </x:row>
    <x:row r="663" ht="23" customHeight="1">
      <x:c r="B663" s="17" t="str">
        <x:v>Round1</x:v>
      </x:c>
      <x:c r="C663" s="17" t="str">
        <x:v>line</x:v>
      </x:c>
      <x:c r="D663" s="17" t="str">
        <x:v>Compress_36</x:v>
      </x:c>
      <x:c r="E663" s="32" t="n">
        <x:v>0.0432</x:v>
      </x:c>
      <x:c r="F663" s="32" t="n">
        <x:v>0.0281</x:v>
      </x:c>
      <x:c r="G663" s="32" t="n">
        <x:v>0.075</x:v>
      </x:c>
      <x:c r="H663" s="32" t="n">
        <x:v>0.6115999999999999</x:v>
      </x:c>
      <x:c r="I663" s="40" t="n">
        <x:v>1</x:v>
      </x:c>
      <x:c r="J663" s="40" t="n">
        <x:v>1</x:v>
      </x:c>
      <x:c r="K663" s="40" t="n">
        <x:v>1</x:v>
      </x:c>
      <x:c r="L663" s="40" t="n">
        <x:v>1</x:v>
      </x:c>
    </x:row>
    <x:row r="664" ht="23" customHeight="1">
      <x:c r="B664" s="17" t="str">
        <x:v>Round1</x:v>
      </x:c>
      <x:c r="C664" s="17" t="str">
        <x:v>line</x:v>
      </x:c>
      <x:c r="D664" s="17" t="str">
        <x:v>Compress_45</x:v>
      </x:c>
      <x:c r="E664" s="32" t="n">
        <x:v>0.8304</x:v>
      </x:c>
      <x:c r="F664" s="32" t="n">
        <x:v>0.39770000000000005</x:v>
      </x:c>
      <x:c r="G664" s="32" t="n">
        <x:v>0.6374</x:v>
      </x:c>
      <x:c r="H664" s="32" t="n">
        <x:v>0.7719</x:v>
      </x:c>
      <x:c r="I664" s="40" t="n">
        <x:v>1</x:v>
      </x:c>
      <x:c r="J664" s="40" t="n">
        <x:v>1</x:v>
      </x:c>
      <x:c r="K664" s="40" t="n">
        <x:v>1</x:v>
      </x:c>
      <x:c r="L664" s="40" t="n">
        <x:v>1</x:v>
      </x:c>
    </x:row>
    <x:row r="665" ht="23" customHeight="1">
      <x:c r="B665" s="17" t="str">
        <x:v>Round1</x:v>
      </x:c>
      <x:c r="C665" s="17" t="str">
        <x:v>line</x:v>
      </x:c>
      <x:c r="D665" s="17" t="str">
        <x:v>Compress_47</x:v>
      </x:c>
      <x:c r="E665" s="32" t="n">
        <x:v>0.1791</x:v>
      </x:c>
      <x:c r="F665" s="32" t="n">
        <x:v>0.1326</x:v>
      </x:c>
      <x:c r="G665" s="32" t="n">
        <x:v>0.6557999999999999</x:v>
      </x:c>
      <x:c r="H665" s="32" t="n">
        <x:v>0.5698</x:v>
      </x:c>
      <x:c r="I665" s="40" t="n">
        <x:v>1</x:v>
      </x:c>
      <x:c r="J665" s="40" t="n">
        <x:v>1</x:v>
      </x:c>
      <x:c r="K665" s="40" t="n">
        <x:v>1</x:v>
      </x:c>
      <x:c r="L665" s="40" t="n">
        <x:v>1</x:v>
      </x:c>
    </x:row>
    <x:row r="666" ht="23" customHeight="1">
      <x:c r="B666" s="17" t="str">
        <x:v>Round1</x:v>
      </x:c>
      <x:c r="C666" s="17" t="str">
        <x:v>line</x:v>
      </x:c>
      <x:c r="D666" s="17" t="str">
        <x:v>Compress_8</x:v>
      </x:c>
      <x:c r="E666" s="32" t="n">
        <x:v>0.9143000000000001</x:v>
      </x:c>
      <x:c r="F666" s="32" t="n">
        <x:v>0.7714</x:v>
      </x:c>
      <x:c r="G666" s="32" t="n">
        <x:v>0.9714</x:v>
      </x:c>
      <x:c r="H666" s="32" t="n">
        <x:v>1</x:v>
      </x:c>
      <x:c r="I666" s="40" t="n">
        <x:v>1</x:v>
      </x:c>
      <x:c r="J666" s="40" t="n">
        <x:v>1</x:v>
      </x:c>
      <x:c r="K666" s="40" t="n">
        <x:v>1</x:v>
      </x:c>
      <x:c r="L666" s="40" t="n">
        <x:v>1</x:v>
      </x:c>
    </x:row>
    <x:row r="667" ht="23" customHeight="1">
      <x:c r="B667" s="17" t="str">
        <x:v>Round1</x:v>
      </x:c>
      <x:c r="C667" s="17" t="str">
        <x:v>line</x:v>
      </x:c>
      <x:c r="D667" s="17" t="str">
        <x:v>Compress_9</x:v>
      </x:c>
      <x:c r="E667" s="32" t="n">
        <x:v>0.6455</x:v>
      </x:c>
      <x:c r="F667" s="32" t="n">
        <x:v>0.4</x:v>
      </x:c>
      <x:c r="G667" s="32" t="n">
        <x:v>0.7726999999999999</x:v>
      </x:c>
      <x:c r="H667" s="32" t="n">
        <x:v>1</x:v>
      </x:c>
      <x:c r="I667" s="40" t="n">
        <x:v>1</x:v>
      </x:c>
      <x:c r="J667" s="40" t="n">
        <x:v>1</x:v>
      </x:c>
      <x:c r="K667" s="40" t="n">
        <x:v>1</x:v>
      </x:c>
      <x:c r="L667" s="40" t="n">
        <x:v>1</x:v>
      </x:c>
    </x:row>
    <x:row r="668" ht="23" customHeight="1">
      <x:c r="B668" s="17" t="str">
        <x:v>Round1</x:v>
      </x:c>
      <x:c r="C668" s="17" t="str">
        <x:v>line</x:v>
      </x:c>
      <x:c r="D668" s="17" t="str">
        <x:v>Csv_1</x:v>
      </x:c>
      <x:c r="E668" s="32" t="n">
        <x:v>0.8919</x:v>
      </x:c>
      <x:c r="F668" s="32" t="n">
        <x:v>0.027000000000000003</x:v>
      </x:c>
      <x:c r="G668" s="32" t="n">
        <x:v>1</x:v>
      </x:c>
      <x:c r="H668" s="32" t="n">
        <x:v>1</x:v>
      </x:c>
      <x:c r="I668" s="40" t="n">
        <x:v>1</x:v>
      </x:c>
      <x:c r="J668" s="40" t="n">
        <x:v>1</x:v>
      </x:c>
      <x:c r="K668" s="40" t="n">
        <x:v>1</x:v>
      </x:c>
      <x:c r="L668" s="40" t="n">
        <x:v>1</x:v>
      </x:c>
    </x:row>
    <x:row r="669" ht="23" customHeight="1">
      <x:c r="B669" s="17" t="str">
        <x:v>Round1</x:v>
      </x:c>
      <x:c r="C669" s="17" t="str">
        <x:v>line</x:v>
      </x:c>
      <x:c r="D669" s="17" t="str">
        <x:v>Csv_2</x:v>
      </x:c>
      <x:c r="E669" s="32" t="n">
        <x:v>1</x:v>
      </x:c>
      <x:c r="F669" s="32" t="n">
        <x:v>0.9048</x:v>
      </x:c>
      <x:c r="G669" s="32" t="n">
        <x:v>1</x:v>
      </x:c>
      <x:c r="H669" s="32" t="n">
        <x:v>1</x:v>
      </x:c>
      <x:c r="I669" s="40" t="n">
        <x:v>1</x:v>
      </x:c>
      <x:c r="J669" s="40" t="n">
        <x:v>1</x:v>
      </x:c>
      <x:c r="K669" s="40" t="n">
        <x:v>1</x:v>
      </x:c>
      <x:c r="L669" s="40" t="n">
        <x:v>1</x:v>
      </x:c>
    </x:row>
    <x:row r="670" ht="23" customHeight="1">
      <x:c r="B670" s="17" t="str">
        <x:v>Round1</x:v>
      </x:c>
      <x:c r="C670" s="17" t="str">
        <x:v>line</x:v>
      </x:c>
      <x:c r="D670" s="17" t="str">
        <x:v>Csv_6</x:v>
      </x:c>
      <x:c r="E670" s="32" t="n">
        <x:v>0.9714</x:v>
      </x:c>
      <x:c r="F670" s="32" t="n">
        <x:v>0.6286</x:v>
      </x:c>
      <x:c r="G670" s="32" t="n">
        <x:v>0.8856999999999999</x:v>
      </x:c>
      <x:c r="H670" s="32" t="n">
        <x:v>1</x:v>
      </x:c>
      <x:c r="I670" s="40" t="n">
        <x:v>1</x:v>
      </x:c>
      <x:c r="J670" s="40" t="n">
        <x:v>1</x:v>
      </x:c>
      <x:c r="K670" s="40" t="n">
        <x:v>1</x:v>
      </x:c>
      <x:c r="L670" s="40" t="n">
        <x:v>1</x:v>
      </x:c>
    </x:row>
    <x:row r="671" ht="23" customHeight="1">
      <x:c r="B671" s="17" t="str">
        <x:v>Round1</x:v>
      </x:c>
      <x:c r="C671" s="17" t="str">
        <x:v>line</x:v>
      </x:c>
      <x:c r="D671" s="17" t="str">
        <x:v>Csv_7</x:v>
      </x:c>
      <x:c r="E671" s="32" t="n">
        <x:v>0.8713</x:v>
      </x:c>
      <x:c r="F671" s="32" t="n">
        <x:v>0.07919999999999999</x:v>
      </x:c>
      <x:c r="G671" s="32" t="n">
        <x:v>0.7723</x:v>
      </x:c>
      <x:c r="H671" s="32" t="n">
        <x:v>0.6931</x:v>
      </x:c>
      <x:c r="I671" s="40" t="n">
        <x:v>1</x:v>
      </x:c>
      <x:c r="J671" s="40" t="n">
        <x:v>1</x:v>
      </x:c>
      <x:c r="K671" s="40" t="n">
        <x:v>1</x:v>
      </x:c>
      <x:c r="L671" s="40" t="n">
        <x:v>1</x:v>
      </x:c>
    </x:row>
    <x:row r="672" ht="23" customHeight="1">
      <x:c r="B672" s="17" t="str">
        <x:v>Round1</x:v>
      </x:c>
      <x:c r="C672" s="17" t="str">
        <x:v>line</x:v>
      </x:c>
      <x:c r="D672" s="17" t="str">
        <x:v>Csv_9</x:v>
      </x:c>
      <x:c r="E672" s="32" t="n">
        <x:v>0.9722</x:v>
      </x:c>
      <x:c r="F672" s="32" t="n">
        <x:v>0.6111</x:v>
      </x:c>
      <x:c r="G672" s="32" t="n">
        <x:v>1</x:v>
      </x:c>
      <x:c r="H672" s="32" t="n">
        <x:v>1</x:v>
      </x:c>
      <x:c r="I672" s="40" t="n">
        <x:v>1</x:v>
      </x:c>
      <x:c r="J672" s="40" t="n">
        <x:v>1</x:v>
      </x:c>
      <x:c r="K672" s="40" t="n">
        <x:v>1</x:v>
      </x:c>
      <x:c r="L672" s="40" t="n">
        <x:v>1</x:v>
      </x:c>
    </x:row>
    <x:row r="673" ht="23" customHeight="1">
      <x:c r="B673" s="17" t="str">
        <x:v>Round1</x:v>
      </x:c>
      <x:c r="C673" s="17" t="str">
        <x:v>line</x:v>
      </x:c>
      <x:c r="D673" s="17" t="str">
        <x:v>Gson_1</x:v>
      </x:c>
      <x:c r="E673" s="32" t="n">
        <x:v>0.0625</x:v>
      </x:c>
      <x:c r="F673" s="32" t="n">
        <x:v>0.0625</x:v>
      </x:c>
      <x:c r="G673" s="32" t="n">
        <x:v>0.6383</x:v>
      </x:c>
      <x:c r="H673" s="32" t="n">
        <x:v>0.9792000000000001</x:v>
      </x:c>
      <x:c r="I673" s="40" t="n">
        <x:v>1</x:v>
      </x:c>
      <x:c r="J673" s="40" t="n">
        <x:v>1</x:v>
      </x:c>
      <x:c r="K673" s="40" t="n">
        <x:v>1</x:v>
      </x:c>
      <x:c r="L673" s="40" t="n">
        <x:v>1</x:v>
      </x:c>
    </x:row>
    <x:row r="674" ht="23" customHeight="1">
      <x:c r="B674" s="17" t="str">
        <x:v>Round1</x:v>
      </x:c>
      <x:c r="C674" s="17" t="str">
        <x:v>line</x:v>
      </x:c>
      <x:c r="D674" s="17" t="str">
        <x:v>Gson_3</x:v>
      </x:c>
      <x:c r="E674" s="32" t="n">
        <x:v>0</x:v>
      </x:c>
      <x:c r="F674" s="32" t="n">
        <x:v>0</x:v>
      </x:c>
      <x:c r="G674" s="32" t="n">
        <x:v>0.7093</x:v>
      </x:c>
      <x:c r="H674" s="32" t="n">
        <x:v>0.9767</x:v>
      </x:c>
      <x:c r="I674" s="40" t="n">
        <x:v>1</x:v>
      </x:c>
      <x:c r="J674" s="40" t="n">
        <x:v>1</x:v>
      </x:c>
      <x:c r="K674" s="40" t="n">
        <x:v>1</x:v>
      </x:c>
      <x:c r="L674" s="40" t="n">
        <x:v>1</x:v>
      </x:c>
    </x:row>
    <x:row r="675" ht="23" customHeight="1">
      <x:c r="B675" s="17" t="str">
        <x:v>Round1</x:v>
      </x:c>
      <x:c r="C675" s="17" t="str">
        <x:v>line</x:v>
      </x:c>
      <x:c r="D675" s="17" t="str">
        <x:v>Gson_5</x:v>
      </x:c>
      <x:c r="E675" s="32" t="n">
        <x:v>0.88</x:v>
      </x:c>
      <x:c r="F675" s="32" t="n">
        <x:v>0.0533</x:v>
      </x:c>
      <x:c r="G675" s="32" t="n">
        <x:v>0.9</x:v>
      </x:c>
      <x:c r="H675" s="32" t="n">
        <x:v>0.9933</x:v>
      </x:c>
      <x:c r="I675" s="40" t="n">
        <x:v>1</x:v>
      </x:c>
      <x:c r="J675" s="40" t="n">
        <x:v>1</x:v>
      </x:c>
      <x:c r="K675" s="40" t="n">
        <x:v>1</x:v>
      </x:c>
      <x:c r="L675" s="40" t="n">
        <x:v>1</x:v>
      </x:c>
    </x:row>
    <x:row r="676" ht="23" customHeight="1">
      <x:c r="B676" s="17" t="str">
        <x:v>Round1</x:v>
      </x:c>
      <x:c r="C676" s="17" t="str">
        <x:v>line</x:v>
      </x:c>
      <x:c r="D676" s="17" t="str">
        <x:v>JacksonCore_26</x:v>
      </x:c>
      <x:c r="E676" s="32" t="n">
        <x:v>0.18489999999999998</x:v>
      </x:c>
      <x:c r="F676" s="32" t="n">
        <x:v>0.0067</x:v>
      </x:c>
      <x:c r="G676" s="32" t="n">
        <x:v>0.1404</x:v>
      </x:c>
      <x:c r="H676" s="32" t="n">
        <x:v>0.1208</x:v>
      </x:c>
      <x:c r="I676" s="40" t="n">
        <x:v>1</x:v>
      </x:c>
      <x:c r="J676" s="40" t="n">
        <x:v>1</x:v>
      </x:c>
      <x:c r="K676" s="40" t="n">
        <x:v>1</x:v>
      </x:c>
      <x:c r="L676" s="40" t="n">
        <x:v>1</x:v>
      </x:c>
    </x:row>
    <x:row r="677" ht="23" customHeight="1">
      <x:c r="B677" s="17" t="str">
        <x:v>Round1</x:v>
      </x:c>
      <x:c r="C677" s="17" t="str">
        <x:v>line</x:v>
      </x:c>
      <x:c r="D677" s="17" t="str">
        <x:v>JacksonCore_6</x:v>
      </x:c>
      <x:c r="E677" s="32" t="n">
        <x:v>0.9643</x:v>
      </x:c>
      <x:c r="F677" s="32" t="n">
        <x:v>0.631</x:v>
      </x:c>
      <x:c r="G677" s="32" t="n">
        <x:v>0.9523999999999999</x:v>
      </x:c>
      <x:c r="H677" s="32" t="n">
        <x:v>0.9167000000000001</x:v>
      </x:c>
      <x:c r="I677" s="40" t="n">
        <x:v>1</x:v>
      </x:c>
      <x:c r="J677" s="40" t="n">
        <x:v>1</x:v>
      </x:c>
      <x:c r="K677" s="40" t="n">
        <x:v>1</x:v>
      </x:c>
      <x:c r="L677" s="40" t="n">
        <x:v>1</x:v>
      </x:c>
    </x:row>
    <x:row r="678" ht="23" customHeight="1">
      <x:c r="B678" s="17" t="str">
        <x:v>Round1</x:v>
      </x:c>
      <x:c r="C678" s="17" t="str">
        <x:v>line</x:v>
      </x:c>
      <x:c r="D678" s="17" t="str">
        <x:v>JacksonCore_8</x:v>
      </x:c>
      <x:c r="E678" s="32" t="n">
        <x:v>0.9852</x:v>
      </x:c>
      <x:c r="F678" s="32" t="n">
        <x:v>0.5166</x:v>
      </x:c>
      <x:c r="G678" s="32" t="n">
        <x:v>0.6052000000000001</x:v>
      </x:c>
      <x:c r="H678" s="32" t="n">
        <x:v>0.9815</x:v>
      </x:c>
      <x:c r="I678" s="40" t="n">
        <x:v>1</x:v>
      </x:c>
      <x:c r="J678" s="40" t="n">
        <x:v>1</x:v>
      </x:c>
      <x:c r="K678" s="40" t="n">
        <x:v>1</x:v>
      </x:c>
      <x:c r="L678" s="40" t="n">
        <x:v>1</x:v>
      </x:c>
    </x:row>
    <x:row r="679" ht="23" customHeight="1">
      <x:c r="B679" s="17" t="str">
        <x:v>Round1</x:v>
      </x:c>
      <x:c r="C679" s="17" t="str">
        <x:v>line</x:v>
      </x:c>
      <x:c r="D679" s="17" t="str">
        <x:v>JacksonDatabind_105</x:v>
      </x:c>
      <x:c r="E679" s="32" t="n">
        <x:v>0.7895</x:v>
      </x:c>
      <x:c r="F679" s="32" t="n">
        <x:v>0.31579999999999997</x:v>
      </x:c>
      <x:c r="G679" s="32" t="n">
        <x:v>0.8946999999999999</x:v>
      </x:c>
      <x:c r="H679" s="32" t="n">
        <x:v>1</x:v>
      </x:c>
      <x:c r="I679" s="40" t="n">
        <x:v>1</x:v>
      </x:c>
      <x:c r="J679" s="40" t="n">
        <x:v>1</x:v>
      </x:c>
      <x:c r="K679" s="40" t="n">
        <x:v>1</x:v>
      </x:c>
      <x:c r="L679" s="40" t="n">
        <x:v>1</x:v>
      </x:c>
    </x:row>
    <x:row r="680" ht="23" customHeight="1">
      <x:c r="B680" s="17" t="str">
        <x:v>Round1</x:v>
      </x:c>
      <x:c r="C680" s="17" t="str">
        <x:v>line</x:v>
      </x:c>
      <x:c r="D680" s="17" t="str">
        <x:v>JacksonDatabind_16</x:v>
      </x:c>
      <x:c r="E680" s="32" t="n">
        <x:v>0.4571</x:v>
      </x:c>
      <x:c r="F680" s="32" t="n">
        <x:v>0.4</x:v>
      </x:c>
      <x:c r="G680" s="32" t="n">
        <x:v>1</x:v>
      </x:c>
      <x:c r="H680" s="32" t="n">
        <x:v>1</x:v>
      </x:c>
      <x:c r="I680" s="40" t="n">
        <x:v>1</x:v>
      </x:c>
      <x:c r="J680" s="40" t="n">
        <x:v>1</x:v>
      </x:c>
      <x:c r="K680" s="40" t="n">
        <x:v>1</x:v>
      </x:c>
      <x:c r="L680" s="40" t="n">
        <x:v>1</x:v>
      </x:c>
    </x:row>
    <x:row r="681" ht="23" customHeight="1">
      <x:c r="B681" s="17" t="str">
        <x:v>Round1</x:v>
      </x:c>
      <x:c r="C681" s="17" t="str">
        <x:v>line</x:v>
      </x:c>
      <x:c r="D681" s="17" t="str">
        <x:v>JacksonDatabind_36</x:v>
      </x:c>
      <x:c r="E681" s="32" t="n">
        <x:v>0.9481999999999999</x:v>
      </x:c>
      <x:c r="F681" s="32" t="n">
        <x:v>0.8756</x:v>
      </x:c>
      <x:c r="G681" s="32" t="n">
        <x:v>0.8445999999999999</x:v>
      </x:c>
      <x:c r="H681" s="32" t="n">
        <x:v>0.07769999999999999</x:v>
      </x:c>
      <x:c r="I681" s="40" t="n">
        <x:v>1</x:v>
      </x:c>
      <x:c r="J681" s="40" t="n">
        <x:v>1</x:v>
      </x:c>
      <x:c r="K681" s="40" t="n">
        <x:v>1</x:v>
      </x:c>
      <x:c r="L681" s="40" t="n">
        <x:v>1</x:v>
      </x:c>
    </x:row>
    <x:row r="682" ht="23" customHeight="1">
      <x:c r="B682" s="17" t="str">
        <x:v>Round1</x:v>
      </x:c>
      <x:c r="C682" s="17" t="str">
        <x:v>line</x:v>
      </x:c>
      <x:c r="D682" s="17" t="str">
        <x:v>JacksonDatabind_39</x:v>
      </x:c>
      <x:c r="E682" s="32" t="n">
        <x:v>0.8571</x:v>
      </x:c>
      <x:c r="F682" s="32" t="n">
        <x:v>0.2857</x:v>
      </x:c>
      <x:c r="G682" s="32" t="n">
        <x:v>1</x:v>
      </x:c>
      <x:c r="H682" s="32" t="n">
        <x:v>1</x:v>
      </x:c>
      <x:c r="I682" s="40" t="n">
        <x:v>1</x:v>
      </x:c>
      <x:c r="J682" s="40" t="n">
        <x:v>1</x:v>
      </x:c>
      <x:c r="K682" s="40" t="n">
        <x:v>1</x:v>
      </x:c>
      <x:c r="L682" s="40" t="n">
        <x:v>1</x:v>
      </x:c>
    </x:row>
    <x:row r="683" ht="23" customHeight="1">
      <x:c r="B683" s="17" t="str">
        <x:v>Round1</x:v>
      </x:c>
      <x:c r="C683" s="17" t="str">
        <x:v>line</x:v>
      </x:c>
      <x:c r="D683" s="17" t="str">
        <x:v>JacksonDatabind_40</x:v>
      </x:c>
      <x:c r="E683" s="32" t="n">
        <x:v>0.45659999999999995</x:v>
      </x:c>
      <x:c r="F683" s="32" t="n">
        <x:v>0.3196</x:v>
      </x:c>
      <x:c r="G683" s="32" t="n">
        <x:v>0.6804000000000001</x:v>
      </x:c>
      <x:c r="H683" s="32" t="n">
        <x:v>0.022799999999999997</x:v>
      </x:c>
      <x:c r="I683" s="40" t="n">
        <x:v>1</x:v>
      </x:c>
      <x:c r="J683" s="40" t="n">
        <x:v>1</x:v>
      </x:c>
      <x:c r="K683" s="40" t="n">
        <x:v>1</x:v>
      </x:c>
      <x:c r="L683" s="40" t="n">
        <x:v>1</x:v>
      </x:c>
    </x:row>
    <x:row r="684" ht="23" customHeight="1">
      <x:c r="B684" s="17" t="str">
        <x:v>Round1</x:v>
      </x:c>
      <x:c r="C684" s="17" t="str">
        <x:v>line</x:v>
      </x:c>
      <x:c r="D684" s="17" t="str">
        <x:v>JacksonDatabind_44</x:v>
      </x:c>
      <x:c r="E684" s="32" t="n">
        <x:v>0.9732999999999999</x:v>
      </x:c>
      <x:c r="F684" s="32" t="n">
        <x:v>0</x:v>
      </x:c>
      <x:c r="G684" s="32" t="n">
        <x:v>0.8533</x:v>
      </x:c>
      <x:c r="H684" s="32" t="n">
        <x:v>0</x:v>
      </x:c>
      <x:c r="I684" s="40" t="n">
        <x:v>1</x:v>
      </x:c>
      <x:c r="J684" s="40" t="n">
        <x:v>1</x:v>
      </x:c>
      <x:c r="K684" s="40" t="n">
        <x:v>1</x:v>
      </x:c>
      <x:c r="L684" s="40" t="n">
        <x:v>1</x:v>
      </x:c>
    </x:row>
    <x:row r="685" ht="23" customHeight="1">
      <x:c r="B685" s="17" t="str">
        <x:v>Round1</x:v>
      </x:c>
      <x:c r="C685" s="17" t="str">
        <x:v>line</x:v>
      </x:c>
      <x:c r="D685" s="17" t="str">
        <x:v>JacksonDatabind_5</x:v>
      </x:c>
      <x:c r="E685" s="32" t="n">
        <x:v>0.8055</x:v>
      </x:c>
      <x:c r="F685" s="32" t="n">
        <x:v>0</x:v>
      </x:c>
      <x:c r="G685" s="32" t="n">
        <x:v>0.5233</x:v>
      </x:c>
      <x:c r="H685" s="32" t="n">
        <x:v>0.0027</x:v>
      </x:c>
      <x:c r="I685" s="40" t="n">
        <x:v>1</x:v>
      </x:c>
      <x:c r="J685" s="40" t="n">
        <x:v>1</x:v>
      </x:c>
      <x:c r="K685" s="40" t="n">
        <x:v>1</x:v>
      </x:c>
      <x:c r="L685" s="40" t="n">
        <x:v>1</x:v>
      </x:c>
    </x:row>
    <x:row r="686" ht="23" customHeight="1">
      <x:c r="B686" s="17" t="str">
        <x:v>Round1</x:v>
      </x:c>
      <x:c r="C686" s="17" t="str">
        <x:v>line</x:v>
      </x:c>
      <x:c r="D686" s="17" t="str">
        <x:v>JacksonDatabind_53</x:v>
      </x:c>
      <x:c r="E686" s="32" t="n">
        <x:v>0.8693000000000001</x:v>
      </x:c>
      <x:c r="F686" s="32" t="n">
        <x:v>0.40399999999999997</x:v>
      </x:c>
      <x:c r="G686" s="32" t="n">
        <x:v>0.7931999999999999</x:v>
      </x:c>
      <x:c r="H686" s="32" t="n">
        <x:v>0.07519999999999999</x:v>
      </x:c>
      <x:c r="I686" s="40" t="n">
        <x:v>1</x:v>
      </x:c>
      <x:c r="J686" s="40" t="n">
        <x:v>1</x:v>
      </x:c>
      <x:c r="K686" s="40" t="n">
        <x:v>1</x:v>
      </x:c>
      <x:c r="L686" s="40" t="n">
        <x:v>1</x:v>
      </x:c>
    </x:row>
    <x:row r="687" ht="23" customHeight="1">
      <x:c r="B687" s="17" t="str">
        <x:v>Round1</x:v>
      </x:c>
      <x:c r="C687" s="17" t="str">
        <x:v>line</x:v>
      </x:c>
      <x:c r="D687" s="17" t="str">
        <x:v>JacksonDatabind_55</x:v>
      </x:c>
      <x:c r="E687" s="32" t="n">
        <x:v>0.8689</x:v>
      </x:c>
      <x:c r="F687" s="32" t="n">
        <x:v>0.2787</x:v>
      </x:c>
      <x:c r="G687" s="32" t="n">
        <x:v>0.7868999999999999</x:v>
      </x:c>
      <x:c r="H687" s="32" t="n">
        <x:v>0.0492</x:v>
      </x:c>
      <x:c r="I687" s="40" t="n">
        <x:v>1</x:v>
      </x:c>
      <x:c r="J687" s="40" t="n">
        <x:v>1</x:v>
      </x:c>
      <x:c r="K687" s="40" t="n">
        <x:v>1</x:v>
      </x:c>
      <x:c r="L687" s="40" t="n">
        <x:v>1</x:v>
      </x:c>
    </x:row>
    <x:row r="688" ht="23" customHeight="1">
      <x:c r="B688" s="17" t="str">
        <x:v>Round1</x:v>
      </x:c>
      <x:c r="C688" s="17" t="str">
        <x:v>line</x:v>
      </x:c>
      <x:c r="D688" s="17" t="str">
        <x:v>JacksonDatabind_57</x:v>
      </x:c>
      <x:c r="E688" s="32" t="n">
        <x:v>0.7598</x:v>
      </x:c>
      <x:c r="F688" s="32" t="n">
        <x:v>0.0368</x:v>
      </x:c>
      <x:c r="G688" s="32" t="n">
        <x:v>0.5528</x:v>
      </x:c>
      <x:c r="H688" s="32" t="n">
        <x:v>0.0025</x:v>
      </x:c>
      <x:c r="I688" s="40" t="n">
        <x:v>1</x:v>
      </x:c>
      <x:c r="J688" s="40" t="n">
        <x:v>1</x:v>
      </x:c>
      <x:c r="K688" s="40" t="n">
        <x:v>1</x:v>
      </x:c>
      <x:c r="L688" s="40" t="n">
        <x:v>1</x:v>
      </x:c>
    </x:row>
    <x:row r="689" ht="23" customHeight="1">
      <x:c r="B689" s="17" t="str">
        <x:v>Round1</x:v>
      </x:c>
      <x:c r="C689" s="17" t="str">
        <x:v>line</x:v>
      </x:c>
      <x:c r="D689" s="17" t="str">
        <x:v>JacksonDatabind_6</x:v>
      </x:c>
      <x:c r="E689" s="32" t="n">
        <x:v>0.953</x:v>
      </x:c>
      <x:c r="F689" s="32" t="n">
        <x:v>0.8859</x:v>
      </x:c>
      <x:c r="G689" s="32" t="n">
        <x:v>0.8926000000000001</x:v>
      </x:c>
      <x:c r="H689" s="32" t="n">
        <x:v>0.1007</x:v>
      </x:c>
      <x:c r="I689" s="40" t="n">
        <x:v>1</x:v>
      </x:c>
      <x:c r="J689" s="40" t="n">
        <x:v>1</x:v>
      </x:c>
      <x:c r="K689" s="40" t="n">
        <x:v>1</x:v>
      </x:c>
      <x:c r="L689" s="40" t="n">
        <x:v>1</x:v>
      </x:c>
    </x:row>
    <x:row r="690" ht="23" customHeight="1">
      <x:c r="B690" s="17" t="str">
        <x:v>Round1</x:v>
      </x:c>
      <x:c r="C690" s="17" t="str">
        <x:v>line</x:v>
      </x:c>
      <x:c r="D690" s="17" t="str">
        <x:v>JacksonDatabind_68</x:v>
      </x:c>
      <x:c r="E690" s="32" t="n">
        <x:v>0.0068000000000000005</x:v>
      </x:c>
      <x:c r="F690" s="32" t="n">
        <x:v>0.0017000000000000001</x:v>
      </x:c>
      <x:c r="G690" s="32" t="n">
        <x:v>0.0017000000000000001</x:v>
      </x:c>
      <x:c r="H690" s="32" t="n">
        <x:v>0.0017000000000000001</x:v>
      </x:c>
      <x:c r="I690" s="40" t="n">
        <x:v>1</x:v>
      </x:c>
      <x:c r="J690" s="40" t="n">
        <x:v>1</x:v>
      </x:c>
      <x:c r="K690" s="40" t="n">
        <x:v>1</x:v>
      </x:c>
      <x:c r="L690" s="40" t="n">
        <x:v>1</x:v>
      </x:c>
    </x:row>
    <x:row r="691" ht="23" customHeight="1">
      <x:c r="B691" s="17" t="str">
        <x:v>Round1</x:v>
      </x:c>
      <x:c r="C691" s="17" t="str">
        <x:v>line</x:v>
      </x:c>
      <x:c r="D691" s="17" t="str">
        <x:v>JacksonDatabind_73</x:v>
      </x:c>
      <x:c r="E691" s="32" t="n">
        <x:v>0.0625</x:v>
      </x:c>
      <x:c r="F691" s="32" t="n">
        <x:v>0.0496</x:v>
      </x:c>
      <x:c r="G691" s="32" t="n">
        <x:v>0.6831999999999999</x:v>
      </x:c>
      <x:c r="H691" s="32" t="n">
        <x:v>0</x:v>
      </x:c>
      <x:c r="I691" s="40" t="n">
        <x:v>1</x:v>
      </x:c>
      <x:c r="J691" s="40" t="n">
        <x:v>1</x:v>
      </x:c>
      <x:c r="K691" s="40" t="n">
        <x:v>1</x:v>
      </x:c>
      <x:c r="L691" s="40" t="n">
        <x:v>1</x:v>
      </x:c>
    </x:row>
    <x:row r="692" ht="23" customHeight="1">
      <x:c r="B692" s="17" t="str">
        <x:v>Round1</x:v>
      </x:c>
      <x:c r="C692" s="17" t="str">
        <x:v>line</x:v>
      </x:c>
      <x:c r="D692" s="17" t="str">
        <x:v>JacksonDatabind_83</x:v>
      </x:c>
      <x:c r="E692" s="32" t="n">
        <x:v>0.6148</x:v>
      </x:c>
      <x:c r="F692" s="32" t="n">
        <x:v>0.008199999999999999</x:v>
      </x:c>
      <x:c r="G692" s="32" t="n">
        <x:v>0.8197</x:v>
      </x:c>
      <x:c r="H692" s="32" t="n">
        <x:v>0</x:v>
      </x:c>
      <x:c r="I692" s="40" t="n">
        <x:v>1</x:v>
      </x:c>
      <x:c r="J692" s="40" t="n">
        <x:v>1</x:v>
      </x:c>
      <x:c r="K692" s="40" t="n">
        <x:v>1</x:v>
      </x:c>
      <x:c r="L692" s="40" t="n">
        <x:v>1</x:v>
      </x:c>
    </x:row>
    <x:row r="693" ht="23" customHeight="1">
      <x:c r="B693" s="17" t="str">
        <x:v>Round1</x:v>
      </x:c>
      <x:c r="C693" s="17" t="str">
        <x:v>line</x:v>
      </x:c>
      <x:c r="D693" s="17" t="str">
        <x:v>JacksonDatabind_84</x:v>
      </x:c>
      <x:c r="E693" s="32" t="n">
        <x:v>1</x:v>
      </x:c>
      <x:c r="F693" s="32" t="n">
        <x:v>0</x:v>
      </x:c>
      <x:c r="G693" s="32" t="n">
        <x:v>0.9667</x:v>
      </x:c>
      <x:c r="H693" s="32" t="n">
        <x:v>1</x:v>
      </x:c>
      <x:c r="I693" s="40" t="n">
        <x:v>1</x:v>
      </x:c>
      <x:c r="J693" s="40" t="n">
        <x:v>1</x:v>
      </x:c>
      <x:c r="K693" s="40" t="n">
        <x:v>1</x:v>
      </x:c>
      <x:c r="L693" s="40" t="n">
        <x:v>1</x:v>
      </x:c>
    </x:row>
    <x:row r="694" ht="23" customHeight="1">
      <x:c r="B694" s="17" t="str">
        <x:v>Round1</x:v>
      </x:c>
      <x:c r="C694" s="17" t="str">
        <x:v>line</x:v>
      </x:c>
      <x:c r="D694" s="17" t="str">
        <x:v>JacksonDatabind_86</x:v>
      </x:c>
      <x:c r="E694" s="32" t="n">
        <x:v>1</x:v>
      </x:c>
      <x:c r="F694" s="32" t="n">
        <x:v>0</x:v>
      </x:c>
      <x:c r="G694" s="32" t="n">
        <x:v>0.9667</x:v>
      </x:c>
      <x:c r="H694" s="32" t="n">
        <x:v>1</x:v>
      </x:c>
      <x:c r="I694" s="40" t="n">
        <x:v>1</x:v>
      </x:c>
      <x:c r="J694" s="40" t="n">
        <x:v>1</x:v>
      </x:c>
      <x:c r="K694" s="40" t="n">
        <x:v>1</x:v>
      </x:c>
      <x:c r="L694" s="40" t="n">
        <x:v>1</x:v>
      </x:c>
    </x:row>
    <x:row r="695" ht="23" customHeight="1">
      <x:c r="B695" s="17" t="str">
        <x:v>Round1</x:v>
      </x:c>
      <x:c r="C695" s="17" t="str">
        <x:v>line</x:v>
      </x:c>
      <x:c r="D695" s="17" t="str">
        <x:v>JacksonDatabind_87</x:v>
      </x:c>
      <x:c r="E695" s="32" t="n">
        <x:v>0.9505</x:v>
      </x:c>
      <x:c r="F695" s="32" t="n">
        <x:v>0.7723</x:v>
      </x:c>
      <x:c r="G695" s="32" t="n">
        <x:v>0.8564</x:v>
      </x:c>
      <x:c r="H695" s="32" t="n">
        <x:v>0.07429999999999999</x:v>
      </x:c>
      <x:c r="I695" s="40" t="n">
        <x:v>1</x:v>
      </x:c>
      <x:c r="J695" s="40" t="n">
        <x:v>1</x:v>
      </x:c>
      <x:c r="K695" s="40" t="n">
        <x:v>1</x:v>
      </x:c>
      <x:c r="L695" s="40" t="n">
        <x:v>1</x:v>
      </x:c>
    </x:row>
    <x:row r="696" ht="23" customHeight="1">
      <x:c r="B696" s="17" t="str">
        <x:v>Round1</x:v>
      </x:c>
      <x:c r="C696" s="17" t="str">
        <x:v>line</x:v>
      </x:c>
      <x:c r="D696" s="17" t="str">
        <x:v>JacksonDatabind_94</x:v>
      </x:c>
      <x:c r="E696" s="32" t="n">
        <x:v>0.7714</x:v>
      </x:c>
      <x:c r="F696" s="32" t="n">
        <x:v>0.6286</x:v>
      </x:c>
      <x:c r="G696" s="32" t="n">
        <x:v>0.8571</x:v>
      </x:c>
      <x:c r="H696" s="32" t="n">
        <x:v>1</x:v>
      </x:c>
      <x:c r="I696" s="40" t="n">
        <x:v>1</x:v>
      </x:c>
      <x:c r="J696" s="40" t="n">
        <x:v>1</x:v>
      </x:c>
      <x:c r="K696" s="40" t="n">
        <x:v>1</x:v>
      </x:c>
      <x:c r="L696" s="40" t="n">
        <x:v>1</x:v>
      </x:c>
    </x:row>
    <x:row r="697" ht="23" customHeight="1">
      <x:c r="B697" s="17" t="str">
        <x:v>Round1</x:v>
      </x:c>
      <x:c r="C697" s="17" t="str">
        <x:v>line</x:v>
      </x:c>
      <x:c r="D697" s="17" t="str">
        <x:v>Jsoup_1</x:v>
      </x:c>
      <x:c r="E697" s="32" t="n">
        <x:v>1</x:v>
      </x:c>
      <x:c r="F697" s="32" t="n">
        <x:v>1</x:v>
      </x:c>
      <x:c r="G697" s="32" t="n">
        <x:v>0.9783</x:v>
      </x:c>
      <x:c r="H697" s="32" t="n">
        <x:v>1</x:v>
      </x:c>
      <x:c r="I697" s="40" t="n">
        <x:v>1</x:v>
      </x:c>
      <x:c r="J697" s="40" t="n">
        <x:v>1</x:v>
      </x:c>
      <x:c r="K697" s="40" t="n">
        <x:v>1</x:v>
      </x:c>
      <x:c r="L697" s="40" t="n">
        <x:v>1</x:v>
      </x:c>
    </x:row>
    <x:row r="698" ht="23" customHeight="1">
      <x:c r="B698" s="17" t="str">
        <x:v>Round1</x:v>
      </x:c>
      <x:c r="C698" s="17" t="str">
        <x:v>line</x:v>
      </x:c>
      <x:c r="D698" s="17" t="str">
        <x:v>Jsoup_11</x:v>
      </x:c>
      <x:c r="E698" s="32" t="n">
        <x:v>0.6667000000000001</x:v>
      </x:c>
      <x:c r="F698" s="32" t="n">
        <x:v>0.0556</x:v>
      </x:c>
      <x:c r="G698" s="32" t="n">
        <x:v>0.8131</x:v>
      </x:c>
      <x:c r="H698" s="32" t="n">
        <x:v>0.9747</x:v>
      </x:c>
      <x:c r="I698" s="40" t="n">
        <x:v>1</x:v>
      </x:c>
      <x:c r="J698" s="40" t="n">
        <x:v>1</x:v>
      </x:c>
      <x:c r="K698" s="40" t="n">
        <x:v>1</x:v>
      </x:c>
      <x:c r="L698" s="40" t="n">
        <x:v>1</x:v>
      </x:c>
    </x:row>
    <x:row r="699" ht="23" customHeight="1">
      <x:c r="B699" s="17" t="str">
        <x:v>Round1</x:v>
      </x:c>
      <x:c r="C699" s="17" t="str">
        <x:v>line</x:v>
      </x:c>
      <x:c r="D699" s="17" t="str">
        <x:v>Jsoup_12</x:v>
      </x:c>
      <x:c r="E699" s="32" t="n">
        <x:v>0.7064</x:v>
      </x:c>
      <x:c r="F699" s="32" t="n">
        <x:v>0.078</x:v>
      </x:c>
      <x:c r="G699" s="32" t="n">
        <x:v>0.9495</x:v>
      </x:c>
      <x:c r="H699" s="32" t="n">
        <x:v>0.9771</x:v>
      </x:c>
      <x:c r="I699" s="40" t="n">
        <x:v>1</x:v>
      </x:c>
      <x:c r="J699" s="40" t="n">
        <x:v>1</x:v>
      </x:c>
      <x:c r="K699" s="40" t="n">
        <x:v>1</x:v>
      </x:c>
      <x:c r="L699" s="40" t="n">
        <x:v>1</x:v>
      </x:c>
    </x:row>
    <x:row r="700" ht="23" customHeight="1">
      <x:c r="B700" s="17" t="str">
        <x:v>Round1</x:v>
      </x:c>
      <x:c r="C700" s="17" t="str">
        <x:v>line</x:v>
      </x:c>
      <x:c r="D700" s="17" t="str">
        <x:v>Jsoup_16</x:v>
      </x:c>
      <x:c r="E700" s="32" t="n">
        <x:v>1</x:v>
      </x:c>
      <x:c r="F700" s="32" t="n">
        <x:v>0.9286</x:v>
      </x:c>
      <x:c r="G700" s="32" t="n">
        <x:v>1</x:v>
      </x:c>
      <x:c r="H700" s="32" t="n">
        <x:v>1</x:v>
      </x:c>
      <x:c r="I700" s="40" t="n">
        <x:v>1</x:v>
      </x:c>
      <x:c r="J700" s="40" t="n">
        <x:v>1</x:v>
      </x:c>
      <x:c r="K700" s="40" t="n">
        <x:v>1</x:v>
      </x:c>
      <x:c r="L700" s="40" t="n">
        <x:v>1</x:v>
      </x:c>
    </x:row>
    <x:row r="701" ht="23" customHeight="1">
      <x:c r="B701" s="17" t="str">
        <x:v>Round1</x:v>
      </x:c>
      <x:c r="C701" s="17" t="str">
        <x:v>line</x:v>
      </x:c>
      <x:c r="D701" s="17" t="str">
        <x:v>Jsoup_18</x:v>
      </x:c>
      <x:c r="E701" s="32" t="n">
        <x:v>1</x:v>
      </x:c>
      <x:c r="F701" s="32" t="n">
        <x:v>0.9484999999999999</x:v>
      </x:c>
      <x:c r="G701" s="32" t="n">
        <x:v>0.9897</x:v>
      </x:c>
      <x:c r="H701" s="32" t="n">
        <x:v>1</x:v>
      </x:c>
      <x:c r="I701" s="40" t="n">
        <x:v>1</x:v>
      </x:c>
      <x:c r="J701" s="40" t="n">
        <x:v>1</x:v>
      </x:c>
      <x:c r="K701" s="40" t="n">
        <x:v>1</x:v>
      </x:c>
      <x:c r="L701" s="40" t="n">
        <x:v>1</x:v>
      </x:c>
    </x:row>
    <x:row r="702" ht="23" customHeight="1">
      <x:c r="B702" s="17" t="str">
        <x:v>Round1</x:v>
      </x:c>
      <x:c r="C702" s="17" t="str">
        <x:v>line</x:v>
      </x:c>
      <x:c r="D702" s="17" t="str">
        <x:v>Jsoup_20</x:v>
      </x:c>
      <x:c r="E702" s="32" t="n">
        <x:v>0.7955</x:v>
      </x:c>
      <x:c r="F702" s="32" t="n">
        <x:v>0.40909999999999996</x:v>
      </x:c>
      <x:c r="G702" s="32" t="n">
        <x:v>0.9773000000000001</x:v>
      </x:c>
      <x:c r="H702" s="32" t="n">
        <x:v>1</x:v>
      </x:c>
      <x:c r="I702" s="40" t="n">
        <x:v>1</x:v>
      </x:c>
      <x:c r="J702" s="40" t="n">
        <x:v>1</x:v>
      </x:c>
      <x:c r="K702" s="40" t="n">
        <x:v>1</x:v>
      </x:c>
      <x:c r="L702" s="40" t="n">
        <x:v>1</x:v>
      </x:c>
    </x:row>
    <x:row r="703" ht="23" customHeight="1">
      <x:c r="B703" s="17" t="str">
        <x:v>Round1</x:v>
      </x:c>
      <x:c r="C703" s="17" t="str">
        <x:v>line</x:v>
      </x:c>
      <x:c r="D703" s="17" t="str">
        <x:v>Jsoup_39</x:v>
      </x:c>
      <x:c r="E703" s="32" t="n">
        <x:v>0.6533</x:v>
      </x:c>
      <x:c r="F703" s="32" t="n">
        <x:v>0.2933</x:v>
      </x:c>
      <x:c r="G703" s="32" t="n">
        <x:v>0.88</x:v>
      </x:c>
      <x:c r="H703" s="32" t="n">
        <x:v>0.9732999999999999</x:v>
      </x:c>
      <x:c r="I703" s="40" t="n">
        <x:v>1</x:v>
      </x:c>
      <x:c r="J703" s="40" t="n">
        <x:v>1</x:v>
      </x:c>
      <x:c r="K703" s="40" t="n">
        <x:v>1</x:v>
      </x:c>
      <x:c r="L703" s="40" t="n">
        <x:v>1</x:v>
      </x:c>
    </x:row>
    <x:row r="704" ht="23" customHeight="1">
      <x:c r="B704" s="17" t="str">
        <x:v>Round1</x:v>
      </x:c>
      <x:c r="C704" s="17" t="str">
        <x:v>line</x:v>
      </x:c>
      <x:c r="D704" s="17" t="str">
        <x:v>Jsoup_40</x:v>
      </x:c>
      <x:c r="E704" s="32" t="n">
        <x:v>1</x:v>
      </x:c>
      <x:c r="F704" s="32" t="n">
        <x:v>0.9412</x:v>
      </x:c>
      <x:c r="G704" s="32" t="n">
        <x:v>1</x:v>
      </x:c>
      <x:c r="H704" s="32" t="n">
        <x:v>1</x:v>
      </x:c>
      <x:c r="I704" s="40" t="n">
        <x:v>1</x:v>
      </x:c>
      <x:c r="J704" s="40" t="n">
        <x:v>1</x:v>
      </x:c>
      <x:c r="K704" s="40" t="n">
        <x:v>1</x:v>
      </x:c>
      <x:c r="L704" s="40" t="n">
        <x:v>1</x:v>
      </x:c>
    </x:row>
    <x:row r="705" ht="23" customHeight="1">
      <x:c r="B705" s="17" t="str">
        <x:v>Round1</x:v>
      </x:c>
      <x:c r="C705" s="17" t="str">
        <x:v>line</x:v>
      </x:c>
      <x:c r="D705" s="17" t="str">
        <x:v>Jsoup_46</x:v>
      </x:c>
      <x:c r="E705" s="32" t="n">
        <x:v>0.9068</x:v>
      </x:c>
      <x:c r="F705" s="32" t="n">
        <x:v>0.48310000000000003</x:v>
      </x:c>
      <x:c r="G705" s="32" t="n">
        <x:v>0.7966</x:v>
      </x:c>
      <x:c r="H705" s="32" t="n">
        <x:v>0.9831</x:v>
      </x:c>
      <x:c r="I705" s="40" t="n">
        <x:v>1</x:v>
      </x:c>
      <x:c r="J705" s="40" t="n">
        <x:v>1</x:v>
      </x:c>
      <x:c r="K705" s="40" t="n">
        <x:v>1</x:v>
      </x:c>
      <x:c r="L705" s="40" t="n">
        <x:v>1</x:v>
      </x:c>
    </x:row>
    <x:row r="706" ht="23" customHeight="1">
      <x:c r="B706" s="17" t="str">
        <x:v>Round1</x:v>
      </x:c>
      <x:c r="C706" s="17" t="str">
        <x:v>line</x:v>
      </x:c>
      <x:c r="D706" s="17" t="str">
        <x:v>Jsoup_5</x:v>
      </x:c>
      <x:c r="E706" s="32" t="n">
        <x:v>0.8371999999999999</x:v>
      </x:c>
      <x:c r="F706" s="32" t="n">
        <x:v>0.2267</x:v>
      </x:c>
      <x:c r="G706" s="32" t="n">
        <x:v>0.6453</x:v>
      </x:c>
      <x:c r="H706" s="32" t="n">
        <x:v>0.9884000000000001</x:v>
      </x:c>
      <x:c r="I706" s="40" t="n">
        <x:v>1</x:v>
      </x:c>
      <x:c r="J706" s="40" t="n">
        <x:v>1</x:v>
      </x:c>
      <x:c r="K706" s="40" t="n">
        <x:v>1</x:v>
      </x:c>
      <x:c r="L706" s="40" t="n">
        <x:v>1</x:v>
      </x:c>
    </x:row>
    <x:row r="707" ht="23" customHeight="1">
      <x:c r="B707" s="17" t="str">
        <x:v>Round1</x:v>
      </x:c>
      <x:c r="C707" s="17" t="str">
        <x:v>line</x:v>
      </x:c>
      <x:c r="D707" s="17" t="str">
        <x:v>Jsoup_51</x:v>
      </x:c>
      <x:c r="E707" s="32" t="n">
        <x:v>0.9897</x:v>
      </x:c>
      <x:c r="F707" s="32" t="n">
        <x:v>0.9333</x:v>
      </x:c>
      <x:c r="G707" s="32" t="n">
        <x:v>0.9641</x:v>
      </x:c>
      <x:c r="H707" s="32" t="n">
        <x:v>1</x:v>
      </x:c>
      <x:c r="I707" s="40" t="n">
        <x:v>1</x:v>
      </x:c>
      <x:c r="J707" s="40" t="n">
        <x:v>1</x:v>
      </x:c>
      <x:c r="K707" s="40" t="n">
        <x:v>1</x:v>
      </x:c>
      <x:c r="L707" s="40" t="n">
        <x:v>1</x:v>
      </x:c>
    </x:row>
    <x:row r="708" ht="23" customHeight="1">
      <x:c r="B708" s="17" t="str">
        <x:v>Round1</x:v>
      </x:c>
      <x:c r="C708" s="17" t="str">
        <x:v>line</x:v>
      </x:c>
      <x:c r="D708" s="17" t="str">
        <x:v>Jsoup_53</x:v>
      </x:c>
      <x:c r="E708" s="32" t="n">
        <x:v>0.9845999999999999</x:v>
      </x:c>
      <x:c r="F708" s="32" t="n">
        <x:v>0.9692000000000001</x:v>
      </x:c>
      <x:c r="G708" s="32" t="n">
        <x:v>0.9</x:v>
      </x:c>
      <x:c r="H708" s="32" t="n">
        <x:v>0.9923000000000001</x:v>
      </x:c>
      <x:c r="I708" s="40" t="n">
        <x:v>1</x:v>
      </x:c>
      <x:c r="J708" s="40" t="n">
        <x:v>1</x:v>
      </x:c>
      <x:c r="K708" s="40" t="n">
        <x:v>1</x:v>
      </x:c>
      <x:c r="L708" s="40" t="n">
        <x:v>1</x:v>
      </x:c>
    </x:row>
    <x:row r="709" ht="23" customHeight="1">
      <x:c r="B709" s="17" t="str">
        <x:v>Round1</x:v>
      </x:c>
      <x:c r="C709" s="17" t="str">
        <x:v>line</x:v>
      </x:c>
      <x:c r="D709" s="17" t="str">
        <x:v>Jsoup_57</x:v>
      </x:c>
      <x:c r="E709" s="32" t="n">
        <x:v>0.8819</x:v>
      </x:c>
      <x:c r="F709" s="32" t="n">
        <x:v>0.7717</x:v>
      </x:c>
      <x:c r="G709" s="32" t="n">
        <x:v>0.9449</x:v>
      </x:c>
      <x:c r="H709" s="32" t="n">
        <x:v>0.9684999999999999</x:v>
      </x:c>
      <x:c r="I709" s="40" t="n">
        <x:v>1</x:v>
      </x:c>
      <x:c r="J709" s="40" t="n">
        <x:v>1</x:v>
      </x:c>
      <x:c r="K709" s="40" t="n">
        <x:v>1</x:v>
      </x:c>
      <x:c r="L709" s="40" t="n">
        <x:v>1</x:v>
      </x:c>
    </x:row>
    <x:row r="710" ht="23" customHeight="1">
      <x:c r="B710" s="17" t="str">
        <x:v>Round1</x:v>
      </x:c>
      <x:c r="C710" s="17" t="str">
        <x:v>line</x:v>
      </x:c>
      <x:c r="D710" s="17" t="str">
        <x:v>Jsoup_58</x:v>
      </x:c>
      <x:c r="E710" s="32" t="n">
        <x:v>0.7559</x:v>
      </x:c>
      <x:c r="F710" s="32" t="n">
        <x:v>0.4094</x:v>
      </x:c>
      <x:c r="G710" s="32" t="n">
        <x:v>0.9684999999999999</x:v>
      </x:c>
      <x:c r="H710" s="32" t="n">
        <x:v>1</x:v>
      </x:c>
      <x:c r="I710" s="40" t="n">
        <x:v>1</x:v>
      </x:c>
      <x:c r="J710" s="40" t="n">
        <x:v>1</x:v>
      </x:c>
      <x:c r="K710" s="40" t="n">
        <x:v>1</x:v>
      </x:c>
      <x:c r="L710" s="40" t="n">
        <x:v>1</x:v>
      </x:c>
    </x:row>
    <x:row r="711" ht="23" customHeight="1">
      <x:c r="B711" s="17" t="str">
        <x:v>Round1</x:v>
      </x:c>
      <x:c r="C711" s="17" t="str">
        <x:v>line</x:v>
      </x:c>
      <x:c r="D711" s="17" t="str">
        <x:v>Jsoup_69</x:v>
      </x:c>
      <x:c r="E711" s="32" t="n">
        <x:v>0.4359</x:v>
      </x:c>
      <x:c r="F711" s="32" t="n">
        <x:v>0.0256</x:v>
      </x:c>
      <x:c r="G711" s="32" t="n">
        <x:v>0.9211</x:v>
      </x:c>
      <x:c r="H711" s="32" t="n">
        <x:v>1</x:v>
      </x:c>
      <x:c r="I711" s="40" t="n">
        <x:v>1</x:v>
      </x:c>
      <x:c r="J711" s="40" t="n">
        <x:v>1</x:v>
      </x:c>
      <x:c r="K711" s="40" t="n">
        <x:v>1</x:v>
      </x:c>
      <x:c r="L711" s="40" t="n">
        <x:v>1</x:v>
      </x:c>
    </x:row>
    <x:row r="712" ht="23" customHeight="1">
      <x:c r="B712" s="17" t="str">
        <x:v>Round1</x:v>
      </x:c>
      <x:c r="C712" s="17" t="str">
        <x:v>line</x:v>
      </x:c>
      <x:c r="D712" s="17" t="str">
        <x:v>Jsoup_72</x:v>
      </x:c>
      <x:c r="E712" s="32" t="n">
        <x:v>0.9912000000000001</x:v>
      </x:c>
      <x:c r="F712" s="32" t="n">
        <x:v>0.943</x:v>
      </x:c>
      <x:c r="G712" s="32" t="n">
        <x:v>0.9473999999999999</x:v>
      </x:c>
      <x:c r="H712" s="32" t="n">
        <x:v>0.9868000000000001</x:v>
      </x:c>
      <x:c r="I712" s="40" t="n">
        <x:v>1</x:v>
      </x:c>
      <x:c r="J712" s="40" t="n">
        <x:v>1</x:v>
      </x:c>
      <x:c r="K712" s="40" t="n">
        <x:v>1</x:v>
      </x:c>
      <x:c r="L712" s="40" t="n">
        <x:v>1</x:v>
      </x:c>
    </x:row>
    <x:row r="713" ht="23" customHeight="1">
      <x:c r="B713" s="17" t="str">
        <x:v>Round1</x:v>
      </x:c>
      <x:c r="C713" s="17" t="str">
        <x:v>line</x:v>
      </x:c>
      <x:c r="D713" s="17" t="str">
        <x:v>Jsoup_74</x:v>
      </x:c>
      <x:c r="E713" s="32" t="n">
        <x:v>0.9398000000000001</x:v>
      </x:c>
      <x:c r="F713" s="32" t="n">
        <x:v>0.8916</x:v>
      </x:c>
      <x:c r="G713" s="32" t="n">
        <x:v>0.9157</x:v>
      </x:c>
      <x:c r="H713" s="32" t="n">
        <x:v>1</x:v>
      </x:c>
      <x:c r="I713" s="40" t="n">
        <x:v>1</x:v>
      </x:c>
      <x:c r="J713" s="40" t="n">
        <x:v>1</x:v>
      </x:c>
      <x:c r="K713" s="40" t="n">
        <x:v>1</x:v>
      </x:c>
      <x:c r="L713" s="40" t="n">
        <x:v>1</x:v>
      </x:c>
    </x:row>
    <x:row r="714" ht="23" customHeight="1">
      <x:c r="B714" s="17" t="str">
        <x:v>Round1</x:v>
      </x:c>
      <x:c r="C714" s="17" t="str">
        <x:v>line</x:v>
      </x:c>
      <x:c r="D714" s="17" t="str">
        <x:v>Jsoup_75</x:v>
      </x:c>
      <x:c r="E714" s="32" t="n">
        <x:v>0.8332999999999999</x:v>
      </x:c>
      <x:c r="F714" s="32" t="n">
        <x:v>0.8036</x:v>
      </x:c>
      <x:c r="G714" s="32" t="n">
        <x:v>0.9699</x:v>
      </x:c>
      <x:c r="H714" s="32" t="n">
        <x:v>0.9702</x:v>
      </x:c>
      <x:c r="I714" s="40" t="n">
        <x:v>1</x:v>
      </x:c>
      <x:c r="J714" s="40" t="n">
        <x:v>1</x:v>
      </x:c>
      <x:c r="K714" s="40" t="n">
        <x:v>1</x:v>
      </x:c>
      <x:c r="L714" s="40" t="n">
        <x:v>1</x:v>
      </x:c>
    </x:row>
    <x:row r="715" ht="23" customHeight="1">
      <x:c r="B715" s="17" t="str">
        <x:v>Round1</x:v>
      </x:c>
      <x:c r="C715" s="17" t="str">
        <x:v>line</x:v>
      </x:c>
      <x:c r="D715" s="17" t="str">
        <x:v>Jsoup_78</x:v>
      </x:c>
      <x:c r="E715" s="32" t="n">
        <x:v>0.6697</x:v>
      </x:c>
      <x:c r="F715" s="32" t="n">
        <x:v>0.2569</x:v>
      </x:c>
      <x:c r="G715" s="32" t="n">
        <x:v>0.7523000000000001</x:v>
      </x:c>
      <x:c r="H715" s="32" t="n">
        <x:v>0.9725</x:v>
      </x:c>
      <x:c r="I715" s="40" t="n">
        <x:v>1</x:v>
      </x:c>
      <x:c r="J715" s="40" t="n">
        <x:v>1</x:v>
      </x:c>
      <x:c r="K715" s="40" t="n">
        <x:v>1</x:v>
      </x:c>
      <x:c r="L715" s="40" t="n">
        <x:v>1</x:v>
      </x:c>
    </x:row>
    <x:row r="716" ht="23" customHeight="1">
      <x:c r="B716" s="17" t="str">
        <x:v>Round1</x:v>
      </x:c>
      <x:c r="C716" s="17" t="str">
        <x:v>line</x:v>
      </x:c>
      <x:c r="D716" s="17" t="str">
        <x:v>Jsoup_82</x:v>
      </x:c>
      <x:c r="E716" s="32" t="n">
        <x:v>0.4336</x:v>
      </x:c>
      <x:c r="F716" s="32" t="n">
        <x:v>0.20350000000000001</x:v>
      </x:c>
      <x:c r="G716" s="32" t="n">
        <x:v>0.7965000000000001</x:v>
      </x:c>
      <x:c r="H716" s="32" t="n">
        <x:v>0.9645999999999999</x:v>
      </x:c>
      <x:c r="I716" s="40" t="n">
        <x:v>1</x:v>
      </x:c>
      <x:c r="J716" s="40" t="n">
        <x:v>1</x:v>
      </x:c>
      <x:c r="K716" s="40" t="n">
        <x:v>1</x:v>
      </x:c>
      <x:c r="L716" s="40" t="n">
        <x:v>1</x:v>
      </x:c>
    </x:row>
    <x:row r="717" ht="23" customHeight="1">
      <x:c r="B717" s="17" t="str">
        <x:v>Round1</x:v>
      </x:c>
      <x:c r="C717" s="17" t="str">
        <x:v>line</x:v>
      </x:c>
      <x:c r="D717" s="17" t="str">
        <x:v>Jsoup_85</x:v>
      </x:c>
      <x:c r="E717" s="32" t="n">
        <x:v>0.9231</x:v>
      </x:c>
      <x:c r="F717" s="32" t="n">
        <x:v>0.7384999999999999</x:v>
      </x:c>
      <x:c r="G717" s="32" t="n">
        <x:v>0.9077</x:v>
      </x:c>
      <x:c r="H717" s="32" t="n">
        <x:v>0.8923000000000001</x:v>
      </x:c>
      <x:c r="I717" s="40" t="n">
        <x:v>1</x:v>
      </x:c>
      <x:c r="J717" s="40" t="n">
        <x:v>1</x:v>
      </x:c>
      <x:c r="K717" s="40" t="n">
        <x:v>1</x:v>
      </x:c>
      <x:c r="L717" s="40" t="n">
        <x:v>1</x:v>
      </x:c>
    </x:row>
    <x:row r="718" ht="23" customHeight="1">
      <x:c r="B718" s="17" t="str">
        <x:v>Round1</x:v>
      </x:c>
      <x:c r="C718" s="17" t="str">
        <x:v>line</x:v>
      </x:c>
      <x:c r="D718" s="17" t="str">
        <x:v>Jsoup_88</x:v>
      </x:c>
      <x:c r="E718" s="32" t="n">
        <x:v>0.9242</x:v>
      </x:c>
      <x:c r="F718" s="32" t="n">
        <x:v>0.7424</x:v>
      </x:c>
      <x:c r="G718" s="32" t="n">
        <x:v>0.8787999999999999</x:v>
      </x:c>
      <x:c r="H718" s="32" t="n">
        <x:v>0.8939</x:v>
      </x:c>
      <x:c r="I718" s="40" t="n">
        <x:v>1</x:v>
      </x:c>
      <x:c r="J718" s="40" t="n">
        <x:v>1</x:v>
      </x:c>
      <x:c r="K718" s="40" t="n">
        <x:v>1</x:v>
      </x:c>
      <x:c r="L718" s="40" t="n">
        <x:v>1</x:v>
      </x:c>
    </x:row>
    <x:row r="719" ht="23" customHeight="1">
      <x:c r="B719" s="17" t="str">
        <x:v>Round1</x:v>
      </x:c>
      <x:c r="C719" s="17" t="str">
        <x:v>line</x:v>
      </x:c>
      <x:c r="D719" s="17" t="str">
        <x:v>Jsoup_89</x:v>
      </x:c>
      <x:c r="E719" s="32" t="n">
        <x:v>0.9242</x:v>
      </x:c>
      <x:c r="F719" s="32" t="n">
        <x:v>0.7424</x:v>
      </x:c>
      <x:c r="G719" s="32" t="n">
        <x:v>0.8939</x:v>
      </x:c>
      <x:c r="H719" s="32" t="n">
        <x:v>0.8939</x:v>
      </x:c>
      <x:c r="I719" s="40" t="n">
        <x:v>1</x:v>
      </x:c>
      <x:c r="J719" s="40" t="n">
        <x:v>1</x:v>
      </x:c>
      <x:c r="K719" s="40" t="n">
        <x:v>1</x:v>
      </x:c>
      <x:c r="L719" s="40" t="n">
        <x:v>1</x:v>
      </x:c>
    </x:row>
    <x:row r="720" ht="23" customHeight="1">
      <x:c r="B720" s="17" t="str">
        <x:v>Round1</x:v>
      </x:c>
      <x:c r="C720" s="17" t="str">
        <x:v>line</x:v>
      </x:c>
      <x:c r="D720" s="17" t="str">
        <x:v>Jsoup_91</x:v>
      </x:c>
      <x:c r="E720" s="32" t="n">
        <x:v>0.992</x:v>
      </x:c>
      <x:c r="F720" s="32" t="n">
        <x:v>0.32130000000000003</x:v>
      </x:c>
      <x:c r="G720" s="32" t="n">
        <x:v>0.9478</x:v>
      </x:c>
      <x:c r="H720" s="32" t="n">
        <x:v>0.992</x:v>
      </x:c>
      <x:c r="I720" s="40" t="n">
        <x:v>1</x:v>
      </x:c>
      <x:c r="J720" s="40" t="n">
        <x:v>1</x:v>
      </x:c>
      <x:c r="K720" s="40" t="n">
        <x:v>1</x:v>
      </x:c>
      <x:c r="L720" s="40" t="n">
        <x:v>1</x:v>
      </x:c>
    </x:row>
    <x:row r="721" ht="23" customHeight="1">
      <x:c r="B721" s="17" t="str">
        <x:v>Round1</x:v>
      </x:c>
      <x:c r="C721" s="17" t="str">
        <x:v>line</x:v>
      </x:c>
      <x:c r="D721" s="17" t="str">
        <x:v>Lang_13</x:v>
      </x:c>
      <x:c r="E721" s="32" t="n">
        <x:v>0.7812</x:v>
      </x:c>
      <x:c r="F721" s="32" t="n">
        <x:v>0.75</x:v>
      </x:c>
      <x:c r="G721" s="32" t="n">
        <x:v>0.6875</x:v>
      </x:c>
      <x:c r="H721" s="32" t="n">
        <x:v>0.9688</x:v>
      </x:c>
      <x:c r="I721" s="40" t="n">
        <x:v>1</x:v>
      </x:c>
      <x:c r="J721" s="40" t="n">
        <x:v>1</x:v>
      </x:c>
      <x:c r="K721" s="40" t="n">
        <x:v>1</x:v>
      </x:c>
      <x:c r="L721" s="40" t="n">
        <x:v>1</x:v>
      </x:c>
    </x:row>
    <x:row r="722" ht="23" customHeight="1">
      <x:c r="B722" s="17" t="str">
        <x:v>Round1</x:v>
      </x:c>
      <x:c r="C722" s="17" t="str">
        <x:v>line</x:v>
      </x:c>
      <x:c r="D722" s="17" t="str">
        <x:v>Lang_19</x:v>
      </x:c>
      <x:c r="E722" s="32" t="n">
        <x:v>0.7037</x:v>
      </x:c>
      <x:c r="F722" s="32" t="n">
        <x:v>0.1481</x:v>
      </x:c>
      <x:c r="G722" s="32" t="n">
        <x:v>1</x:v>
      </x:c>
      <x:c r="H722" s="32" t="n">
        <x:v>1</x:v>
      </x:c>
      <x:c r="I722" s="40" t="n">
        <x:v>1</x:v>
      </x:c>
      <x:c r="J722" s="40" t="n">
        <x:v>1</x:v>
      </x:c>
      <x:c r="K722" s="40" t="n">
        <x:v>1</x:v>
      </x:c>
      <x:c r="L722" s="40" t="n">
        <x:v>1</x:v>
      </x:c>
    </x:row>
    <x:row r="723" ht="23" customHeight="1">
      <x:c r="B723" s="17" t="str">
        <x:v>Round1</x:v>
      </x:c>
      <x:c r="C723" s="17" t="str">
        <x:v>line</x:v>
      </x:c>
      <x:c r="D723" s="17" t="str">
        <x:v>Lang_23</x:v>
      </x:c>
      <x:c r="E723" s="32" t="n">
        <x:v>0.4251</x:v>
      </x:c>
      <x:c r="F723" s="32" t="n">
        <x:v>0.10779999999999999</x:v>
      </x:c>
      <x:c r="G723" s="32" t="n">
        <x:v>0.521</x:v>
      </x:c>
      <x:c r="H723" s="32" t="n">
        <x:v>0.9340999999999999</x:v>
      </x:c>
      <x:c r="I723" s="40" t="n">
        <x:v>1</x:v>
      </x:c>
      <x:c r="J723" s="40" t="n">
        <x:v>1</x:v>
      </x:c>
      <x:c r="K723" s="40" t="n">
        <x:v>1</x:v>
      </x:c>
      <x:c r="L723" s="40" t="n">
        <x:v>1</x:v>
      </x:c>
    </x:row>
    <x:row r="724" ht="23" customHeight="1">
      <x:c r="B724" s="17" t="str">
        <x:v>Round1</x:v>
      </x:c>
      <x:c r="C724" s="17" t="str">
        <x:v>line</x:v>
      </x:c>
      <x:c r="D724" s="17" t="str">
        <x:v>Lang_24</x:v>
      </x:c>
      <x:c r="E724" s="32" t="n">
        <x:v>0.9388</x:v>
      </x:c>
      <x:c r="F724" s="32" t="n">
        <x:v>0.6995</x:v>
      </x:c>
      <x:c r="G724" s="32" t="n">
        <x:v>0.6489</x:v>
      </x:c>
      <x:c r="H724" s="32" t="n">
        <x:v>0.9814</x:v>
      </x:c>
      <x:c r="I724" s="40" t="n">
        <x:v>1</x:v>
      </x:c>
      <x:c r="J724" s="40" t="n">
        <x:v>1</x:v>
      </x:c>
      <x:c r="K724" s="40" t="n">
        <x:v>1</x:v>
      </x:c>
      <x:c r="L724" s="40" t="n">
        <x:v>1</x:v>
      </x:c>
    </x:row>
    <x:row r="725" ht="23" customHeight="1">
      <x:c r="B725" s="17" t="str">
        <x:v>Round1</x:v>
      </x:c>
      <x:c r="C725" s="17" t="str">
        <x:v>line</x:v>
      </x:c>
      <x:c r="D725" s="17" t="str">
        <x:v>Lang_27</x:v>
      </x:c>
      <x:c r="E725" s="32" t="n">
        <x:v>0.9358</x:v>
      </x:c>
      <x:c r="F725" s="32" t="n">
        <x:v>0.7031999999999999</x:v>
      </x:c>
      <x:c r="G725" s="32" t="n">
        <x:v>0.7086</x:v>
      </x:c>
      <x:c r="H725" s="32" t="n">
        <x:v>0.9599</x:v>
      </x:c>
      <x:c r="I725" s="40" t="n">
        <x:v>1</x:v>
      </x:c>
      <x:c r="J725" s="40" t="n">
        <x:v>1</x:v>
      </x:c>
      <x:c r="K725" s="40" t="n">
        <x:v>1</x:v>
      </x:c>
      <x:c r="L725" s="40" t="n">
        <x:v>1</x:v>
      </x:c>
    </x:row>
    <x:row r="726" ht="23" customHeight="1">
      <x:c r="B726" s="17" t="str">
        <x:v>Round1</x:v>
      </x:c>
      <x:c r="C726" s="17" t="str">
        <x:v>line</x:v>
      </x:c>
      <x:c r="D726" s="17" t="str">
        <x:v>Lang_28</x:v>
      </x:c>
      <x:c r="E726" s="32" t="n">
        <x:v>0.15</x:v>
      </x:c>
      <x:c r="F726" s="32" t="n">
        <x:v>0.15</x:v>
      </x:c>
      <x:c r="G726" s="32" t="n">
        <x:v>0.95</x:v>
      </x:c>
      <x:c r="H726" s="32" t="n">
        <x:v>1</x:v>
      </x:c>
      <x:c r="I726" s="40" t="n">
        <x:v>1</x:v>
      </x:c>
      <x:c r="J726" s="40" t="n">
        <x:v>1</x:v>
      </x:c>
      <x:c r="K726" s="40" t="n">
        <x:v>1</x:v>
      </x:c>
      <x:c r="L726" s="40" t="n">
        <x:v>1</x:v>
      </x:c>
    </x:row>
    <x:row r="727" ht="23" customHeight="1">
      <x:c r="B727" s="17" t="str">
        <x:v>Round1</x:v>
      </x:c>
      <x:c r="C727" s="17" t="str">
        <x:v>line</x:v>
      </x:c>
      <x:c r="D727" s="17" t="str">
        <x:v>Lang_4</x:v>
      </x:c>
      <x:c r="E727" s="32" t="n">
        <x:v>1</x:v>
      </x:c>
      <x:c r="F727" s="32" t="n">
        <x:v>1</x:v>
      </x:c>
      <x:c r="G727" s="32" t="n">
        <x:v>1</x:v>
      </x:c>
      <x:c r="H727" s="32" t="n">
        <x:v>1</x:v>
      </x:c>
      <x:c r="I727" s="40" t="n">
        <x:v>1</x:v>
      </x:c>
      <x:c r="J727" s="40" t="n">
        <x:v>1</x:v>
      </x:c>
      <x:c r="K727" s="40" t="n">
        <x:v>1</x:v>
      </x:c>
      <x:c r="L727" s="40" t="n">
        <x:v>1</x:v>
      </x:c>
    </x:row>
    <x:row r="728" ht="23" customHeight="1">
      <x:c r="B728" s="17" t="str">
        <x:v>Round1</x:v>
      </x:c>
      <x:c r="C728" s="17" t="str">
        <x:v>line</x:v>
      </x:c>
      <x:c r="D728" s="17" t="str">
        <x:v>Lang_44</x:v>
      </x:c>
      <x:c r="E728" s="32" t="n">
        <x:v>0.8684000000000001</x:v>
      </x:c>
      <x:c r="F728" s="32" t="n">
        <x:v>0.5</x:v>
      </x:c>
      <x:c r="G728" s="32" t="n">
        <x:v>0.6526000000000001</x:v>
      </x:c>
      <x:c r="H728" s="32" t="n">
        <x:v>0.4</x:v>
      </x:c>
      <x:c r="I728" s="40" t="n">
        <x:v>1</x:v>
      </x:c>
      <x:c r="J728" s="40" t="n">
        <x:v>1</x:v>
      </x:c>
      <x:c r="K728" s="40" t="n">
        <x:v>1</x:v>
      </x:c>
      <x:c r="L728" s="40" t="n">
        <x:v>1</x:v>
      </x:c>
    </x:row>
    <x:row r="729" ht="23" customHeight="1">
      <x:c r="B729" s="17" t="str">
        <x:v>Round1</x:v>
      </x:c>
      <x:c r="C729" s="17" t="str">
        <x:v>line</x:v>
      </x:c>
      <x:c r="D729" s="17" t="str">
        <x:v>Lang_49</x:v>
      </x:c>
      <x:c r="E729" s="32" t="n">
        <x:v>0.9783</x:v>
      </x:c>
      <x:c r="F729" s="32" t="n">
        <x:v>0.9239</x:v>
      </x:c>
      <x:c r="G729" s="32" t="n">
        <x:v>0.9348000000000001</x:v>
      </x:c>
      <x:c r="H729" s="32" t="n">
        <x:v>0.3442</x:v>
      </x:c>
      <x:c r="I729" s="40" t="n">
        <x:v>1</x:v>
      </x:c>
      <x:c r="J729" s="40" t="n">
        <x:v>1</x:v>
      </x:c>
      <x:c r="K729" s="40" t="n">
        <x:v>1</x:v>
      </x:c>
      <x:c r="L729" s="40" t="n">
        <x:v>1</x:v>
      </x:c>
    </x:row>
    <x:row r="730" ht="23" customHeight="1">
      <x:c r="B730" s="17" t="str">
        <x:v>Round1</x:v>
      </x:c>
      <x:c r="C730" s="17" t="str">
        <x:v>line</x:v>
      </x:c>
      <x:c r="D730" s="17" t="str">
        <x:v>Lang_5</x:v>
      </x:c>
      <x:c r="E730" s="32" t="n">
        <x:v>0.8170999999999999</x:v>
      </x:c>
      <x:c r="F730" s="32" t="n">
        <x:v>0.6463</x:v>
      </x:c>
      <x:c r="G730" s="32" t="n">
        <x:v>0.9390000000000001</x:v>
      </x:c>
      <x:c r="H730" s="32" t="n">
        <x:v>1</x:v>
      </x:c>
      <x:c r="I730" s="40" t="n">
        <x:v>1</x:v>
      </x:c>
      <x:c r="J730" s="40" t="n">
        <x:v>1</x:v>
      </x:c>
      <x:c r="K730" s="40" t="n">
        <x:v>1</x:v>
      </x:c>
      <x:c r="L730" s="40" t="n">
        <x:v>1</x:v>
      </x:c>
    </x:row>
    <x:row r="731" ht="23" customHeight="1">
      <x:c r="B731" s="17" t="str">
        <x:v>Round1</x:v>
      </x:c>
      <x:c r="C731" s="17" t="str">
        <x:v>line</x:v>
      </x:c>
      <x:c r="D731" s="17" t="str">
        <x:v>Lang_51</x:v>
      </x:c>
      <x:c r="E731" s="32" t="n">
        <x:v>0.9708</x:v>
      </x:c>
      <x:c r="F731" s="32" t="n">
        <x:v>0.7426999999999999</x:v>
      </x:c>
      <x:c r="G731" s="32" t="n">
        <x:v>0.9064</x:v>
      </x:c>
      <x:c r="H731" s="32" t="n">
        <x:v>0.152</x:v>
      </x:c>
      <x:c r="I731" s="40" t="n">
        <x:v>1</x:v>
      </x:c>
      <x:c r="J731" s="40" t="n">
        <x:v>1</x:v>
      </x:c>
      <x:c r="K731" s="40" t="n">
        <x:v>1</x:v>
      </x:c>
      <x:c r="L731" s="40" t="n">
        <x:v>1</x:v>
      </x:c>
    </x:row>
    <x:row r="732" ht="23" customHeight="1">
      <x:c r="B732" s="17" t="str">
        <x:v>Round1</x:v>
      </x:c>
      <x:c r="C732" s="17" t="str">
        <x:v>line</x:v>
      </x:c>
      <x:c r="D732" s="17" t="str">
        <x:v>Lang_54</x:v>
      </x:c>
      <x:c r="E732" s="32" t="n">
        <x:v>0.8861</x:v>
      </x:c>
      <x:c r="F732" s="32" t="n">
        <x:v>0.6329</x:v>
      </x:c>
      <x:c r="G732" s="32" t="n">
        <x:v>0.9494</x:v>
      </x:c>
      <x:c r="H732" s="32" t="n">
        <x:v>0.4304</x:v>
      </x:c>
      <x:c r="I732" s="40" t="n">
        <x:v>1</x:v>
      </x:c>
      <x:c r="J732" s="40" t="n">
        <x:v>1</x:v>
      </x:c>
      <x:c r="K732" s="40" t="n">
        <x:v>1</x:v>
      </x:c>
      <x:c r="L732" s="40" t="n">
        <x:v>1</x:v>
      </x:c>
    </x:row>
    <x:row r="733" ht="23" customHeight="1">
      <x:c r="B733" s="17" t="str">
        <x:v>Round1</x:v>
      </x:c>
      <x:c r="C733" s="17" t="str">
        <x:v>line</x:v>
      </x:c>
      <x:c r="D733" s="17" t="str">
        <x:v>Lang_55</x:v>
      </x:c>
      <x:c r="E733" s="32" t="n">
        <x:v>0.9825</x:v>
      </x:c>
      <x:c r="F733" s="32" t="n">
        <x:v>0.9825</x:v>
      </x:c>
      <x:c r="G733" s="32" t="n">
        <x:v>0.9298000000000001</x:v>
      </x:c>
      <x:c r="H733" s="32" t="n">
        <x:v>0.7719</x:v>
      </x:c>
      <x:c r="I733" s="40" t="n">
        <x:v>1</x:v>
      </x:c>
      <x:c r="J733" s="40" t="n">
        <x:v>1</x:v>
      </x:c>
      <x:c r="K733" s="40" t="n">
        <x:v>1</x:v>
      </x:c>
      <x:c r="L733" s="40" t="n">
        <x:v>1</x:v>
      </x:c>
    </x:row>
    <x:row r="734" ht="23" customHeight="1">
      <x:c r="B734" s="17" t="str">
        <x:v>Round1</x:v>
      </x:c>
      <x:c r="C734" s="17" t="str">
        <x:v>line</x:v>
      </x:c>
      <x:c r="D734" s="17" t="str">
        <x:v>Lang_57</x:v>
      </x:c>
      <x:c r="E734" s="32" t="n">
        <x:v>0.8861</x:v>
      </x:c>
      <x:c r="F734" s="32" t="n">
        <x:v>0.6203</x:v>
      </x:c>
      <x:c r="G734" s="32" t="n">
        <x:v>0.9747</x:v>
      </x:c>
      <x:c r="H734" s="32" t="n">
        <x:v>0.4177</x:v>
      </x:c>
      <x:c r="I734" s="40" t="n">
        <x:v>1</x:v>
      </x:c>
      <x:c r="J734" s="40" t="n">
        <x:v>1</x:v>
      </x:c>
      <x:c r="K734" s="40" t="n">
        <x:v>1</x:v>
      </x:c>
      <x:c r="L734" s="40" t="n">
        <x:v>1</x:v>
      </x:c>
    </x:row>
    <x:row r="735" ht="23" customHeight="1">
      <x:c r="B735" s="17" t="str">
        <x:v>Round1</x:v>
      </x:c>
      <x:c r="C735" s="17" t="str">
        <x:v>line</x:v>
      </x:c>
      <x:c r="D735" s="17" t="str">
        <x:v>Lang_58</x:v>
      </x:c>
      <x:c r="E735" s="32" t="n">
        <x:v>0.9287000000000001</x:v>
      </x:c>
      <x:c r="F735" s="32" t="n">
        <x:v>0.731</x:v>
      </x:c>
      <x:c r="G735" s="32" t="n">
        <x:v>0.8069</x:v>
      </x:c>
      <x:c r="H735" s="32" t="n">
        <x:v>0.2345</x:v>
      </x:c>
      <x:c r="I735" s="40" t="n">
        <x:v>1</x:v>
      </x:c>
      <x:c r="J735" s="40" t="n">
        <x:v>1</x:v>
      </x:c>
      <x:c r="K735" s="40" t="n">
        <x:v>1</x:v>
      </x:c>
      <x:c r="L735" s="40" t="n">
        <x:v>1</x:v>
      </x:c>
    </x:row>
    <x:row r="736" ht="23" customHeight="1">
      <x:c r="B736" s="17" t="str">
        <x:v>Round1</x:v>
      </x:c>
      <x:c r="C736" s="17" t="str">
        <x:v>line</x:v>
      </x:c>
      <x:c r="D736" s="17" t="str">
        <x:v>Lang_6</x:v>
      </x:c>
      <x:c r="E736" s="32" t="n">
        <x:v>0.9333</x:v>
      </x:c>
      <x:c r="F736" s="32" t="n">
        <x:v>0.0333</x:v>
      </x:c>
      <x:c r="G736" s="32" t="n">
        <x:v>1</x:v>
      </x:c>
      <x:c r="H736" s="32" t="n">
        <x:v>1</x:v>
      </x:c>
      <x:c r="I736" s="40" t="n">
        <x:v>1</x:v>
      </x:c>
      <x:c r="J736" s="40" t="n">
        <x:v>1</x:v>
      </x:c>
      <x:c r="K736" s="40" t="n">
        <x:v>1</x:v>
      </x:c>
      <x:c r="L736" s="40" t="n">
        <x:v>1</x:v>
      </x:c>
    </x:row>
    <x:row r="737" ht="23" customHeight="1">
      <x:c r="B737" s="17" t="str">
        <x:v>Round1</x:v>
      </x:c>
      <x:c r="C737" s="17" t="str">
        <x:v>line</x:v>
      </x:c>
      <x:c r="D737" s="17" t="str">
        <x:v>Lang_63</x:v>
      </x:c>
      <x:c r="E737" s="32" t="n">
        <x:v>0.9286</x:v>
      </x:c>
      <x:c r="F737" s="32" t="n">
        <x:v>0.7222</x:v>
      </x:c>
      <x:c r="G737" s="32" t="n">
        <x:v>0.6349</x:v>
      </x:c>
      <x:c r="H737" s="32" t="n">
        <x:v>0.5317000000000001</x:v>
      </x:c>
      <x:c r="I737" s="40" t="n">
        <x:v>1</x:v>
      </x:c>
      <x:c r="J737" s="40" t="n">
        <x:v>1</x:v>
      </x:c>
      <x:c r="K737" s="40" t="n">
        <x:v>1</x:v>
      </x:c>
      <x:c r="L737" s="40" t="n">
        <x:v>1</x:v>
      </x:c>
    </x:row>
    <x:row r="738" ht="23" customHeight="1">
      <x:c r="B738" s="17" t="str">
        <x:v>Round1</x:v>
      </x:c>
      <x:c r="C738" s="17" t="str">
        <x:v>line</x:v>
      </x:c>
      <x:c r="D738" s="17" t="str">
        <x:v>Lang_64</x:v>
      </x:c>
      <x:c r="E738" s="32" t="n">
        <x:v>0.16670000000000001</x:v>
      </x:c>
      <x:c r="F738" s="32" t="n">
        <x:v>0.16670000000000001</x:v>
      </x:c>
      <x:c r="G738" s="32" t="n">
        <x:v>0.22219999999999998</x:v>
      </x:c>
      <x:c r="H738" s="32" t="n">
        <x:v>0.6667000000000001</x:v>
      </x:c>
      <x:c r="I738" s="40" t="n">
        <x:v>1</x:v>
      </x:c>
      <x:c r="J738" s="40" t="n">
        <x:v>1</x:v>
      </x:c>
      <x:c r="K738" s="40" t="n">
        <x:v>1</x:v>
      </x:c>
      <x:c r="L738" s="40" t="n">
        <x:v>1</x:v>
      </x:c>
    </x:row>
    <x:row r="739" ht="23" customHeight="1">
      <x:c r="B739" s="17" t="str">
        <x:v>Round1</x:v>
      </x:c>
      <x:c r="C739" s="17" t="str">
        <x:v>line</x:v>
      </x:c>
      <x:c r="D739" s="17" t="str">
        <x:v>Lang_7</x:v>
      </x:c>
      <x:c r="E739" s="32" t="n">
        <x:v>0.9526</x:v>
      </x:c>
      <x:c r="F739" s="32" t="n">
        <x:v>0.6895</x:v>
      </x:c>
      <x:c r="G739" s="32" t="n">
        <x:v>0.7237</x:v>
      </x:c>
      <x:c r="H739" s="32" t="n">
        <x:v>0.9553</x:v>
      </x:c>
      <x:c r="I739" s="40" t="n">
        <x:v>1</x:v>
      </x:c>
      <x:c r="J739" s="40" t="n">
        <x:v>1</x:v>
      </x:c>
      <x:c r="K739" s="40" t="n">
        <x:v>1</x:v>
      </x:c>
      <x:c r="L739" s="40" t="n">
        <x:v>1</x:v>
      </x:c>
    </x:row>
    <x:row r="740" ht="23" customHeight="1">
      <x:c r="B740" s="17" t="str">
        <x:v>Round1</x:v>
      </x:c>
      <x:c r="C740" s="17" t="str">
        <x:v>line</x:v>
      </x:c>
      <x:c r="D740" s="17" t="str">
        <x:v>Lang_8</x:v>
      </x:c>
      <x:c r="E740" s="32" t="n">
        <x:v>0.8665</x:v>
      </x:c>
      <x:c r="F740" s="32" t="n">
        <x:v>0.053399999999999996</x:v>
      </x:c>
      <x:c r="G740" s="32" t="n">
        <x:v>0.6291</x:v>
      </x:c>
      <x:c r="H740" s="32" t="n">
        <x:v>0.9732999999999999</x:v>
      </x:c>
      <x:c r="I740" s="40" t="n">
        <x:v>1</x:v>
      </x:c>
      <x:c r="J740" s="40" t="n">
        <x:v>1</x:v>
      </x:c>
      <x:c r="K740" s="40" t="n">
        <x:v>1</x:v>
      </x:c>
      <x:c r="L740" s="40" t="n">
        <x:v>1</x:v>
      </x:c>
    </x:row>
    <x:row r="741" ht="23" customHeight="1">
      <x:c r="B741" s="17" t="str">
        <x:v>Round1</x:v>
      </x:c>
      <x:c r="C741" s="17" t="str">
        <x:v>line</x:v>
      </x:c>
      <x:c r="D741" s="17" t="str">
        <x:v>Math_1</x:v>
      </x:c>
      <x:c r="E741" s="32" t="n">
        <x:v>0.9718000000000001</x:v>
      </x:c>
      <x:c r="F741" s="32" t="n">
        <x:v>0.9388</x:v>
      </x:c>
      <x:c r="G741" s="32" t="n">
        <x:v>0.8493999999999999</x:v>
      </x:c>
      <x:c r="H741" s="32" t="n">
        <x:v>0.3718</x:v>
      </x:c>
      <x:c r="I741" s="40" t="n">
        <x:v>1</x:v>
      </x:c>
      <x:c r="J741" s="40" t="n">
        <x:v>1</x:v>
      </x:c>
      <x:c r="K741" s="40" t="n">
        <x:v>1</x:v>
      </x:c>
      <x:c r="L741" s="40" t="n">
        <x:v>1</x:v>
      </x:c>
    </x:row>
    <x:row r="742" ht="23" customHeight="1">
      <x:c r="B742" s="17" t="str">
        <x:v>Round1</x:v>
      </x:c>
      <x:c r="C742" s="17" t="str">
        <x:v>line</x:v>
      </x:c>
      <x:c r="D742" s="17" t="str">
        <x:v>Math_10</x:v>
      </x:c>
      <x:c r="E742" s="32" t="n">
        <x:v>0.8065000000000001</x:v>
      </x:c>
      <x:c r="F742" s="32" t="n">
        <x:v>0.2948</x:v>
      </x:c>
      <x:c r="G742" s="32" t="n">
        <x:v>0.8170000000000001</x:v>
      </x:c>
      <x:c r="H742" s="32" t="n">
        <x:v>0.0018</x:v>
      </x:c>
      <x:c r="I742" s="40" t="n">
        <x:v>1</x:v>
      </x:c>
      <x:c r="J742" s="40" t="n">
        <x:v>1</x:v>
      </x:c>
      <x:c r="K742" s="40" t="n">
        <x:v>1</x:v>
      </x:c>
      <x:c r="L742" s="40" t="n">
        <x:v>1</x:v>
      </x:c>
    </x:row>
    <x:row r="743" ht="23" customHeight="1">
      <x:c r="B743" s="17" t="str">
        <x:v>Round1</x:v>
      </x:c>
      <x:c r="C743" s="17" t="str">
        <x:v>line</x:v>
      </x:c>
      <x:c r="D743" s="17" t="str">
        <x:v>Math_101</x:v>
      </x:c>
      <x:c r="E743" s="32" t="n">
        <x:v>0.993</x:v>
      </x:c>
      <x:c r="F743" s="32" t="n">
        <x:v>0.7413</x:v>
      </x:c>
      <x:c r="G743" s="32" t="n">
        <x:v>0.951</x:v>
      </x:c>
      <x:c r="H743" s="32" t="n">
        <x:v>0</x:v>
      </x:c>
      <x:c r="I743" s="40" t="n">
        <x:v>1</x:v>
      </x:c>
      <x:c r="J743" s="40" t="n">
        <x:v>1</x:v>
      </x:c>
      <x:c r="K743" s="40" t="n">
        <x:v>1</x:v>
      </x:c>
      <x:c r="L743" s="40" t="n">
        <x:v>1</x:v>
      </x:c>
    </x:row>
    <x:row r="744" ht="23" customHeight="1">
      <x:c r="B744" s="17" t="str">
        <x:v>Round1</x:v>
      </x:c>
      <x:c r="C744" s="17" t="str">
        <x:v>line</x:v>
      </x:c>
      <x:c r="D744" s="17" t="str">
        <x:v>Math_104</x:v>
      </x:c>
      <x:c r="E744" s="32" t="n">
        <x:v>0.9573999999999999</x:v>
      </x:c>
      <x:c r="F744" s="32" t="n">
        <x:v>0.9573999999999999</x:v>
      </x:c>
      <x:c r="G744" s="32" t="n">
        <x:v>0.8936</x:v>
      </x:c>
      <x:c r="H744" s="32" t="n">
        <x:v>0.7659999999999999</x:v>
      </x:c>
      <x:c r="I744" s="40" t="n">
        <x:v>1</x:v>
      </x:c>
      <x:c r="J744" s="40" t="n">
        <x:v>1</x:v>
      </x:c>
      <x:c r="K744" s="40" t="n">
        <x:v>1</x:v>
      </x:c>
      <x:c r="L744" s="40" t="n">
        <x:v>1</x:v>
      </x:c>
    </x:row>
    <x:row r="745" ht="23" customHeight="1">
      <x:c r="B745" s="17" t="str">
        <x:v>Round1</x:v>
      </x:c>
      <x:c r="C745" s="17" t="str">
        <x:v>line</x:v>
      </x:c>
      <x:c r="D745" s="17" t="str">
        <x:v>Math_105</x:v>
      </x:c>
      <x:c r="E745" s="32" t="n">
        <x:v>1</x:v>
      </x:c>
      <x:c r="F745" s="32" t="n">
        <x:v>0.9577</x:v>
      </x:c>
      <x:c r="G745" s="32" t="n">
        <x:v>1</x:v>
      </x:c>
      <x:c r="H745" s="32" t="n">
        <x:v>0.7323999999999999</x:v>
      </x:c>
      <x:c r="I745" s="40" t="n">
        <x:v>1</x:v>
      </x:c>
      <x:c r="J745" s="40" t="n">
        <x:v>1</x:v>
      </x:c>
      <x:c r="K745" s="40" t="n">
        <x:v>1</x:v>
      </x:c>
      <x:c r="L745" s="40" t="n">
        <x:v>1</x:v>
      </x:c>
    </x:row>
    <x:row r="746" ht="23" customHeight="1">
      <x:c r="B746" s="17" t="str">
        <x:v>Round1</x:v>
      </x:c>
      <x:c r="C746" s="17" t="str">
        <x:v>line</x:v>
      </x:c>
      <x:c r="D746" s="17" t="str">
        <x:v>Math_106</x:v>
      </x:c>
      <x:c r="E746" s="32" t="n">
        <x:v>1</x:v>
      </x:c>
      <x:c r="F746" s="32" t="n">
        <x:v>0.8595999999999999</x:v>
      </x:c>
      <x:c r="G746" s="32" t="n">
        <x:v>0.8946999999999999</x:v>
      </x:c>
      <x:c r="H746" s="32" t="n">
        <x:v>0.807</x:v>
      </x:c>
      <x:c r="I746" s="40" t="n">
        <x:v>1</x:v>
      </x:c>
      <x:c r="J746" s="40" t="n">
        <x:v>1</x:v>
      </x:c>
      <x:c r="K746" s="40" t="n">
        <x:v>1</x:v>
      </x:c>
      <x:c r="L746" s="40" t="n">
        <x:v>1</x:v>
      </x:c>
    </x:row>
    <x:row r="747" ht="23" customHeight="1">
      <x:c r="B747" s="17" t="str">
        <x:v>Round1</x:v>
      </x:c>
      <x:c r="C747" s="17" t="str">
        <x:v>line</x:v>
      </x:c>
      <x:c r="D747" s="17" t="str">
        <x:v>Math_12</x:v>
      </x:c>
      <x:c r="E747" s="32" t="n">
        <x:v>1</x:v>
      </x:c>
      <x:c r="F747" s="32" t="n">
        <x:v>0</x:v>
      </x:c>
      <x:c r="G747" s="32" t="n">
        <x:v>0.9582999999999999</x:v>
      </x:c>
      <x:c r="H747" s="32" t="n">
        <x:v>1</x:v>
      </x:c>
      <x:c r="I747" s="40" t="n">
        <x:v>1</x:v>
      </x:c>
      <x:c r="J747" s="40" t="n">
        <x:v>1</x:v>
      </x:c>
      <x:c r="K747" s="40" t="n">
        <x:v>1</x:v>
      </x:c>
      <x:c r="L747" s="40" t="n">
        <x:v>1</x:v>
      </x:c>
    </x:row>
    <x:row r="748" ht="23" customHeight="1">
      <x:c r="B748" s="17" t="str">
        <x:v>Round1</x:v>
      </x:c>
      <x:c r="C748" s="17" t="str">
        <x:v>line</x:v>
      </x:c>
      <x:c r="D748" s="17" t="str">
        <x:v>Math_15</x:v>
      </x:c>
      <x:c r="E748" s="32" t="n">
        <x:v>0.9299</x:v>
      </x:c>
      <x:c r="F748" s="32" t="n">
        <x:v>0.9118</x:v>
      </x:c>
      <x:c r="G748" s="32" t="n">
        <x:v>0.5317000000000001</x:v>
      </x:c>
      <x:c r="H748" s="32" t="n">
        <x:v>0.0087</x:v>
      </x:c>
      <x:c r="I748" s="40" t="n">
        <x:v>1</x:v>
      </x:c>
      <x:c r="J748" s="40" t="n">
        <x:v>1</x:v>
      </x:c>
      <x:c r="K748" s="40" t="n">
        <x:v>1</x:v>
      </x:c>
      <x:c r="L748" s="40" t="n">
        <x:v>1</x:v>
      </x:c>
    </x:row>
    <x:row r="749" ht="23" customHeight="1">
      <x:c r="B749" s="17" t="str">
        <x:v>Round1</x:v>
      </x:c>
      <x:c r="C749" s="17" t="str">
        <x:v>line</x:v>
      </x:c>
      <x:c r="D749" s="17" t="str">
        <x:v>Math_16</x:v>
      </x:c>
      <x:c r="E749" s="32" t="n">
        <x:v>0.9245</x:v>
      </x:c>
      <x:c r="F749" s="32" t="n">
        <x:v>0.2965</x:v>
      </x:c>
      <x:c r="G749" s="32" t="n">
        <x:v>0.564</x:v>
      </x:c>
      <x:c r="H749" s="32" t="n">
        <x:v>0.008100000000000001</x:v>
      </x:c>
      <x:c r="I749" s="40" t="n">
        <x:v>1</x:v>
      </x:c>
      <x:c r="J749" s="40" t="n">
        <x:v>1</x:v>
      </x:c>
      <x:c r="K749" s="40" t="n">
        <x:v>1</x:v>
      </x:c>
      <x:c r="L749" s="40" t="n">
        <x:v>1</x:v>
      </x:c>
    </x:row>
    <x:row r="750" ht="23" customHeight="1">
      <x:c r="B750" s="17" t="str">
        <x:v>Round1</x:v>
      </x:c>
      <x:c r="C750" s="17" t="str">
        <x:v>line</x:v>
      </x:c>
      <x:c r="D750" s="17" t="str">
        <x:v>Math_2</x:v>
      </x:c>
      <x:c r="E750" s="32" t="n">
        <x:v>1</x:v>
      </x:c>
      <x:c r="F750" s="32" t="n">
        <x:v>1</x:v>
      </x:c>
      <x:c r="G750" s="32" t="n">
        <x:v>0.9865</x:v>
      </x:c>
      <x:c r="H750" s="32" t="n">
        <x:v>0.7027</x:v>
      </x:c>
      <x:c r="I750" s="40" t="n">
        <x:v>1</x:v>
      </x:c>
      <x:c r="J750" s="40" t="n">
        <x:v>1</x:v>
      </x:c>
      <x:c r="K750" s="40" t="n">
        <x:v>1</x:v>
      </x:c>
      <x:c r="L750" s="40" t="n">
        <x:v>1</x:v>
      </x:c>
    </x:row>
    <x:row r="751" ht="23" customHeight="1">
      <x:c r="B751" s="17" t="str">
        <x:v>Round1</x:v>
      </x:c>
      <x:c r="C751" s="17" t="str">
        <x:v>line</x:v>
      </x:c>
      <x:c r="D751" s="17" t="str">
        <x:v>Math_21</x:v>
      </x:c>
      <x:c r="E751" s="32" t="n">
        <x:v>1</x:v>
      </x:c>
      <x:c r="F751" s="32" t="n">
        <x:v>0.0385</x:v>
      </x:c>
      <x:c r="G751" s="32" t="n">
        <x:v>1</x:v>
      </x:c>
      <x:c r="H751" s="32" t="n">
        <x:v>1</x:v>
      </x:c>
      <x:c r="I751" s="40" t="n">
        <x:v>1</x:v>
      </x:c>
      <x:c r="J751" s="40" t="n">
        <x:v>1</x:v>
      </x:c>
      <x:c r="K751" s="40" t="n">
        <x:v>1</x:v>
      </x:c>
      <x:c r="L751" s="40" t="n">
        <x:v>1</x:v>
      </x:c>
    </x:row>
    <x:row r="752" ht="23" customHeight="1">
      <x:c r="B752" s="17" t="str">
        <x:v>Round1</x:v>
      </x:c>
      <x:c r="C752" s="17" t="str">
        <x:v>line</x:v>
      </x:c>
      <x:c r="D752" s="17" t="str">
        <x:v>Math_40</x:v>
      </x:c>
      <x:c r="E752" s="32" t="n">
        <x:v>0.9921</x:v>
      </x:c>
      <x:c r="F752" s="32" t="n">
        <x:v>0.24600000000000002</x:v>
      </x:c>
      <x:c r="G752" s="32" t="n">
        <x:v>0.8016</x:v>
      </x:c>
      <x:c r="H752" s="32" t="n">
        <x:v>0</x:v>
      </x:c>
      <x:c r="I752" s="40" t="n">
        <x:v>1</x:v>
      </x:c>
      <x:c r="J752" s="40" t="n">
        <x:v>1</x:v>
      </x:c>
      <x:c r="K752" s="40" t="n">
        <x:v>1</x:v>
      </x:c>
      <x:c r="L752" s="40" t="n">
        <x:v>1</x:v>
      </x:c>
    </x:row>
    <x:row r="753" ht="23" customHeight="1">
      <x:c r="B753" s="17" t="str">
        <x:v>Round1</x:v>
      </x:c>
      <x:c r="C753" s="17" t="str">
        <x:v>line</x:v>
      </x:c>
      <x:c r="D753" s="17" t="str">
        <x:v>Math_41</x:v>
      </x:c>
      <x:c r="E753" s="32" t="n">
        <x:v>0.9911</x:v>
      </x:c>
      <x:c r="F753" s="32" t="n">
        <x:v>0.8036</x:v>
      </x:c>
      <x:c r="G753" s="32" t="n">
        <x:v>0.9196</x:v>
      </x:c>
      <x:c r="H753" s="32" t="n">
        <x:v>0</x:v>
      </x:c>
      <x:c r="I753" s="40" t="n">
        <x:v>1</x:v>
      </x:c>
      <x:c r="J753" s="40" t="n">
        <x:v>1</x:v>
      </x:c>
      <x:c r="K753" s="40" t="n">
        <x:v>1</x:v>
      </x:c>
      <x:c r="L753" s="40" t="n">
        <x:v>1</x:v>
      </x:c>
    </x:row>
    <x:row r="754" ht="23" customHeight="1">
      <x:c r="B754" s="17" t="str">
        <x:v>Round1</x:v>
      </x:c>
      <x:c r="C754" s="17" t="str">
        <x:v>line</x:v>
      </x:c>
      <x:c r="D754" s="17" t="str">
        <x:v>Math_42</x:v>
      </x:c>
      <x:c r="E754" s="32" t="n">
        <x:v>0.9508</x:v>
      </x:c>
      <x:c r="F754" s="32" t="n">
        <x:v>0.0765</x:v>
      </x:c>
      <x:c r="G754" s="32" t="n">
        <x:v>0.7143</x:v>
      </x:c>
      <x:c r="H754" s="32" t="n">
        <x:v>0</x:v>
      </x:c>
      <x:c r="I754" s="40" t="n">
        <x:v>1</x:v>
      </x:c>
      <x:c r="J754" s="40" t="n">
        <x:v>1</x:v>
      </x:c>
      <x:c r="K754" s="40" t="n">
        <x:v>1</x:v>
      </x:c>
      <x:c r="L754" s="40" t="n">
        <x:v>1</x:v>
      </x:c>
    </x:row>
    <x:row r="755" ht="23" customHeight="1">
      <x:c r="B755" s="17" t="str">
        <x:v>Round1</x:v>
      </x:c>
      <x:c r="C755" s="17" t="str">
        <x:v>line</x:v>
      </x:c>
      <x:c r="D755" s="17" t="str">
        <x:v>Math_43</x:v>
      </x:c>
      <x:c r="E755" s="32" t="n">
        <x:v>1</x:v>
      </x:c>
      <x:c r="F755" s="32" t="n">
        <x:v>0.9427</x:v>
      </x:c>
      <x:c r="G755" s="32" t="n">
        <x:v>0.8957999999999999</x:v>
      </x:c>
      <x:c r="H755" s="32" t="n">
        <x:v>0</x:v>
      </x:c>
      <x:c r="I755" s="40" t="n">
        <x:v>1</x:v>
      </x:c>
      <x:c r="J755" s="40" t="n">
        <x:v>1</x:v>
      </x:c>
      <x:c r="K755" s="40" t="n">
        <x:v>1</x:v>
      </x:c>
      <x:c r="L755" s="40" t="n">
        <x:v>1</x:v>
      </x:c>
    </x:row>
    <x:row r="756" ht="23" customHeight="1">
      <x:c r="B756" s="17" t="str">
        <x:v>Round1</x:v>
      </x:c>
      <x:c r="C756" s="17" t="str">
        <x:v>line</x:v>
      </x:c>
      <x:c r="D756" s="17" t="str">
        <x:v>Math_45</x:v>
      </x:c>
      <x:c r="E756" s="32" t="n">
        <x:v>0.6701</x:v>
      </x:c>
      <x:c r="F756" s="32" t="n">
        <x:v>0.8247</x:v>
      </x:c>
      <x:c r="G756" s="32" t="n">
        <x:v>0.9588</x:v>
      </x:c>
      <x:c r="H756" s="32" t="n">
        <x:v>0</x:v>
      </x:c>
      <x:c r="I756" s="40" t="n">
        <x:v>1</x:v>
      </x:c>
      <x:c r="J756" s="40" t="n">
        <x:v>1</x:v>
      </x:c>
      <x:c r="K756" s="40" t="n">
        <x:v>1</x:v>
      </x:c>
      <x:c r="L756" s="40" t="n">
        <x:v>1</x:v>
      </x:c>
    </x:row>
    <x:row r="757" ht="23" customHeight="1">
      <x:c r="B757" s="17" t="str">
        <x:v>Round1</x:v>
      </x:c>
      <x:c r="C757" s="17" t="str">
        <x:v>line</x:v>
      </x:c>
      <x:c r="D757" s="17" t="str">
        <x:v>Math_56</x:v>
      </x:c>
      <x:c r="E757" s="32" t="n">
        <x:v>1</x:v>
      </x:c>
      <x:c r="F757" s="32" t="n">
        <x:v>0.9732999999999999</x:v>
      </x:c>
      <x:c r="G757" s="32" t="n">
        <x:v>0.9867</x:v>
      </x:c>
      <x:c r="H757" s="32" t="n">
        <x:v>0</x:v>
      </x:c>
      <x:c r="I757" s="40" t="n">
        <x:v>1</x:v>
      </x:c>
      <x:c r="J757" s="40" t="n">
        <x:v>1</x:v>
      </x:c>
      <x:c r="K757" s="40" t="n">
        <x:v>1</x:v>
      </x:c>
      <x:c r="L757" s="40" t="n">
        <x:v>1</x:v>
      </x:c>
    </x:row>
    <x:row r="758" ht="23" customHeight="1">
      <x:c r="B758" s="17" t="str">
        <x:v>Round1</x:v>
      </x:c>
      <x:c r="C758" s="17" t="str">
        <x:v>line</x:v>
      </x:c>
      <x:c r="D758" s="17" t="str">
        <x:v>Math_59</x:v>
      </x:c>
      <x:c r="E758" s="32" t="n">
        <x:v>0.9425</x:v>
      </x:c>
      <x:c r="F758" s="32" t="n">
        <x:v>0.9342</x:v>
      </x:c>
      <x:c r="G758" s="32" t="n">
        <x:v>0.7037</x:v>
      </x:c>
      <x:c r="H758" s="32" t="n">
        <x:v>0.184</x:v>
      </x:c>
      <x:c r="I758" s="40" t="n">
        <x:v>1</x:v>
      </x:c>
      <x:c r="J758" s="40" t="n">
        <x:v>1</x:v>
      </x:c>
      <x:c r="K758" s="40" t="n">
        <x:v>1</x:v>
      </x:c>
      <x:c r="L758" s="40" t="n">
        <x:v>1</x:v>
      </x:c>
    </x:row>
    <x:row r="759" ht="23" customHeight="1">
      <x:c r="B759" s="17" t="str">
        <x:v>Round1</x:v>
      </x:c>
      <x:c r="C759" s="17" t="str">
        <x:v>line</x:v>
      </x:c>
      <x:c r="D759" s="17" t="str">
        <x:v>Math_61</x:v>
      </x:c>
      <x:c r="E759" s="32" t="n">
        <x:v>1</x:v>
      </x:c>
      <x:c r="F759" s="32" t="n">
        <x:v>0.9118</x:v>
      </x:c>
      <x:c r="G759" s="32" t="n">
        <x:v>0.8234999999999999</x:v>
      </x:c>
      <x:c r="H759" s="32" t="n">
        <x:v>0</x:v>
      </x:c>
      <x:c r="I759" s="40" t="n">
        <x:v>1</x:v>
      </x:c>
      <x:c r="J759" s="40" t="n">
        <x:v>1</x:v>
      </x:c>
      <x:c r="K759" s="40" t="n">
        <x:v>1</x:v>
      </x:c>
      <x:c r="L759" s="40" t="n">
        <x:v>1</x:v>
      </x:c>
    </x:row>
    <x:row r="760" ht="23" customHeight="1">
      <x:c r="B760" s="17" t="str">
        <x:v>Round1</x:v>
      </x:c>
      <x:c r="C760" s="17" t="str">
        <x:v>line</x:v>
      </x:c>
      <x:c r="D760" s="17" t="str">
        <x:v>Math_63</x:v>
      </x:c>
      <x:c r="E760" s="32" t="n">
        <x:v>0.9131</x:v>
      </x:c>
      <x:c r="F760" s="32" t="n">
        <x:v>0.8089</x:v>
      </x:c>
      <x:c r="G760" s="32" t="n">
        <x:v>0.6139</x:v>
      </x:c>
      <x:c r="H760" s="32" t="n">
        <x:v>0.0039000000000000003</x:v>
      </x:c>
      <x:c r="I760" s="40" t="n">
        <x:v>1</x:v>
      </x:c>
      <x:c r="J760" s="40" t="n">
        <x:v>1</x:v>
      </x:c>
      <x:c r="K760" s="40" t="n">
        <x:v>1</x:v>
      </x:c>
      <x:c r="L760" s="40" t="n">
        <x:v>1</x:v>
      </x:c>
    </x:row>
    <x:row r="761" ht="23" customHeight="1">
      <x:c r="B761" s="17" t="str">
        <x:v>Round1</x:v>
      </x:c>
      <x:c r="C761" s="17" t="str">
        <x:v>line</x:v>
      </x:c>
      <x:c r="D761" s="17" t="str">
        <x:v>Math_66</x:v>
      </x:c>
      <x:c r="E761" s="32" t="n">
        <x:v>1</x:v>
      </x:c>
      <x:c r="F761" s="32" t="n">
        <x:v>0.2647</x:v>
      </x:c>
      <x:c r="G761" s="32" t="n">
        <x:v>1</x:v>
      </x:c>
      <x:c r="H761" s="32" t="n">
        <x:v>0.0098</x:v>
      </x:c>
      <x:c r="I761" s="40" t="n">
        <x:v>1</x:v>
      </x:c>
      <x:c r="J761" s="40" t="n">
        <x:v>1</x:v>
      </x:c>
      <x:c r="K761" s="40" t="n">
        <x:v>1</x:v>
      </x:c>
      <x:c r="L761" s="40" t="n">
        <x:v>1</x:v>
      </x:c>
    </x:row>
    <x:row r="762" ht="23" customHeight="1">
      <x:c r="B762" s="17" t="str">
        <x:v>Round1</x:v>
      </x:c>
      <x:c r="C762" s="17" t="str">
        <x:v>line</x:v>
      </x:c>
      <x:c r="D762" s="17" t="str">
        <x:v>Math_67</x:v>
      </x:c>
      <x:c r="E762" s="32" t="n">
        <x:v>0.871</x:v>
      </x:c>
      <x:c r="F762" s="32" t="n">
        <x:v>0.4946</x:v>
      </x:c>
      <x:c r="G762" s="32" t="n">
        <x:v>0.8172</x:v>
      </x:c>
      <x:c r="H762" s="32" t="n">
        <x:v>0</x:v>
      </x:c>
      <x:c r="I762" s="40" t="n">
        <x:v>1</x:v>
      </x:c>
      <x:c r="J762" s="40" t="n">
        <x:v>1</x:v>
      </x:c>
      <x:c r="K762" s="40" t="n">
        <x:v>1</x:v>
      </x:c>
      <x:c r="L762" s="40" t="n">
        <x:v>1</x:v>
      </x:c>
    </x:row>
    <x:row r="763" ht="23" customHeight="1">
      <x:c r="B763" s="17" t="str">
        <x:v>Round1</x:v>
      </x:c>
      <x:c r="C763" s="17" t="str">
        <x:v>line</x:v>
      </x:c>
      <x:c r="D763" s="17" t="str">
        <x:v>Math_69</x:v>
      </x:c>
      <x:c r="E763" s="32" t="n">
        <x:v>1</x:v>
      </x:c>
      <x:c r="F763" s="32" t="n">
        <x:v>0.9333</x:v>
      </x:c>
      <x:c r="G763" s="32" t="n">
        <x:v>0.92</x:v>
      </x:c>
      <x:c r="H763" s="32" t="n">
        <x:v>0</x:v>
      </x:c>
      <x:c r="I763" s="40" t="n">
        <x:v>1</x:v>
      </x:c>
      <x:c r="J763" s="40" t="n">
        <x:v>1</x:v>
      </x:c>
      <x:c r="K763" s="40" t="n">
        <x:v>1</x:v>
      </x:c>
      <x:c r="L763" s="40" t="n">
        <x:v>1</x:v>
      </x:c>
    </x:row>
    <x:row r="764" ht="23" customHeight="1">
      <x:c r="B764" s="17" t="str">
        <x:v>Round1</x:v>
      </x:c>
      <x:c r="C764" s="17" t="str">
        <x:v>line</x:v>
      </x:c>
      <x:c r="D764" s="17" t="str">
        <x:v>Math_72</x:v>
      </x:c>
      <x:c r="E764" s="32" t="n">
        <x:v>1</x:v>
      </x:c>
      <x:c r="F764" s="32" t="n">
        <x:v>0.1121</x:v>
      </x:c>
      <x:c r="G764" s="32" t="n">
        <x:v>0.8598</x:v>
      </x:c>
      <x:c r="H764" s="32" t="n">
        <x:v>0</x:v>
      </x:c>
      <x:c r="I764" s="40" t="n">
        <x:v>1</x:v>
      </x:c>
      <x:c r="J764" s="40" t="n">
        <x:v>1</x:v>
      </x:c>
      <x:c r="K764" s="40" t="n">
        <x:v>1</x:v>
      </x:c>
      <x:c r="L764" s="40" t="n">
        <x:v>1</x:v>
      </x:c>
    </x:row>
    <x:row r="765" ht="23" customHeight="1">
      <x:c r="B765" s="17" t="str">
        <x:v>Round1</x:v>
      </x:c>
      <x:c r="C765" s="17" t="str">
        <x:v>line</x:v>
      </x:c>
      <x:c r="D765" s="17" t="str">
        <x:v>Math_73</x:v>
      </x:c>
      <x:c r="E765" s="32" t="n">
        <x:v>1</x:v>
      </x:c>
      <x:c r="F765" s="32" t="n">
        <x:v>0.11539999999999999</x:v>
      </x:c>
      <x:c r="G765" s="32" t="n">
        <x:v>0.8462000000000001</x:v>
      </x:c>
      <x:c r="H765" s="32" t="n">
        <x:v>0</x:v>
      </x:c>
      <x:c r="I765" s="40" t="n">
        <x:v>1</x:v>
      </x:c>
      <x:c r="J765" s="40" t="n">
        <x:v>1</x:v>
      </x:c>
      <x:c r="K765" s="40" t="n">
        <x:v>1</x:v>
      </x:c>
      <x:c r="L765" s="40" t="n">
        <x:v>1</x:v>
      </x:c>
    </x:row>
    <x:row r="766" ht="23" customHeight="1">
      <x:c r="B766" s="17" t="str">
        <x:v>Round1</x:v>
      </x:c>
      <x:c r="C766" s="17" t="str">
        <x:v>line</x:v>
      </x:c>
      <x:c r="D766" s="17" t="str">
        <x:v>Math_75</x:v>
      </x:c>
      <x:c r="E766" s="32" t="n">
        <x:v>0.9776</x:v>
      </x:c>
      <x:c r="F766" s="32" t="n">
        <x:v>0.9104000000000001</x:v>
      </x:c>
      <x:c r="G766" s="32" t="n">
        <x:v>0.8506999999999999</x:v>
      </x:c>
      <x:c r="H766" s="32" t="n">
        <x:v>0</x:v>
      </x:c>
      <x:c r="I766" s="40" t="n">
        <x:v>1</x:v>
      </x:c>
      <x:c r="J766" s="40" t="n">
        <x:v>1</x:v>
      </x:c>
      <x:c r="K766" s="40" t="n">
        <x:v>1</x:v>
      </x:c>
      <x:c r="L766" s="40" t="n">
        <x:v>1</x:v>
      </x:c>
    </x:row>
    <x:row r="767" ht="23" customHeight="1">
      <x:c r="B767" s="17" t="str">
        <x:v>Round1</x:v>
      </x:c>
      <x:c r="C767" s="17" t="str">
        <x:v>line</x:v>
      </x:c>
      <x:c r="D767" s="17" t="str">
        <x:v>Math_76</x:v>
      </x:c>
      <x:c r="E767" s="32" t="n">
        <x:v>0.9701000000000001</x:v>
      </x:c>
      <x:c r="F767" s="32" t="n">
        <x:v>0.022400000000000003</x:v>
      </x:c>
      <x:c r="G767" s="32" t="n">
        <x:v>0.7985</x:v>
      </x:c>
      <x:c r="H767" s="32" t="n">
        <x:v>0</x:v>
      </x:c>
      <x:c r="I767" s="40" t="n">
        <x:v>1</x:v>
      </x:c>
      <x:c r="J767" s="40" t="n">
        <x:v>1</x:v>
      </x:c>
      <x:c r="K767" s="40" t="n">
        <x:v>1</x:v>
      </x:c>
      <x:c r="L767" s="40" t="n">
        <x:v>1</x:v>
      </x:c>
    </x:row>
    <x:row r="768" ht="23" customHeight="1">
      <x:c r="B768" s="17" t="str">
        <x:v>Round1</x:v>
      </x:c>
      <x:c r="C768" s="17" t="str">
        <x:v>line</x:v>
      </x:c>
      <x:c r="D768" s="17" t="str">
        <x:v>Math_79</x:v>
      </x:c>
      <x:c r="E768" s="32" t="n">
        <x:v>0.9405</x:v>
      </x:c>
      <x:c r="F768" s="32" t="n">
        <x:v>0.35950000000000004</x:v>
      </x:c>
      <x:c r="G768" s="32" t="n">
        <x:v>0.6333</x:v>
      </x:c>
      <x:c r="H768" s="32" t="n">
        <x:v>0.0048</x:v>
      </x:c>
      <x:c r="I768" s="40" t="n">
        <x:v>1</x:v>
      </x:c>
      <x:c r="J768" s="40" t="n">
        <x:v>1</x:v>
      </x:c>
      <x:c r="K768" s="40" t="n">
        <x:v>1</x:v>
      </x:c>
      <x:c r="L768" s="40" t="n">
        <x:v>1</x:v>
      </x:c>
    </x:row>
    <x:row r="769" ht="23" customHeight="1">
      <x:c r="B769" s="17" t="str">
        <x:v>Round1</x:v>
      </x:c>
      <x:c r="C769" s="17" t="str">
        <x:v>line</x:v>
      </x:c>
      <x:c r="D769" s="17" t="str">
        <x:v>Math_8</x:v>
      </x:c>
      <x:c r="E769" s="32" t="n">
        <x:v>0.975</x:v>
      </x:c>
      <x:c r="F769" s="32" t="n">
        <x:v>0.175</x:v>
      </x:c>
      <x:c r="G769" s="32" t="n">
        <x:v>0.975</x:v>
      </x:c>
      <x:c r="H769" s="32" t="n">
        <x:v>0</x:v>
      </x:c>
      <x:c r="I769" s="40" t="n">
        <x:v>1</x:v>
      </x:c>
      <x:c r="J769" s="40" t="n">
        <x:v>1</x:v>
      </x:c>
      <x:c r="K769" s="40" t="n">
        <x:v>1</x:v>
      </x:c>
      <x:c r="L769" s="40" t="n">
        <x:v>1</x:v>
      </x:c>
    </x:row>
    <x:row r="770" ht="23" customHeight="1">
      <x:c r="B770" s="17" t="str">
        <x:v>Round1</x:v>
      </x:c>
      <x:c r="C770" s="17" t="str">
        <x:v>line</x:v>
      </x:c>
      <x:c r="D770" s="17" t="str">
        <x:v>Math_80</x:v>
      </x:c>
      <x:c r="E770" s="32" t="n">
        <x:v>0.8327</x:v>
      </x:c>
      <x:c r="F770" s="32" t="n">
        <x:v>0.2082</x:v>
      </x:c>
      <x:c r="G770" s="32" t="n">
        <x:v>0.33020000000000005</x:v>
      </x:c>
      <x:c r="H770" s="32" t="n">
        <x:v>0</x:v>
      </x:c>
      <x:c r="I770" s="40" t="n">
        <x:v>1</x:v>
      </x:c>
      <x:c r="J770" s="40" t="n">
        <x:v>1</x:v>
      </x:c>
      <x:c r="K770" s="40" t="n">
        <x:v>1</x:v>
      </x:c>
      <x:c r="L770" s="40" t="n">
        <x:v>1</x:v>
      </x:c>
    </x:row>
    <x:row r="771" ht="23" customHeight="1">
      <x:c r="B771" s="17" t="str">
        <x:v>Round1</x:v>
      </x:c>
      <x:c r="C771" s="17" t="str">
        <x:v>line</x:v>
      </x:c>
      <x:c r="D771" s="17" t="str">
        <x:v>Math_81</x:v>
      </x:c>
      <x:c r="E771" s="32" t="n">
        <x:v>0.8419</x:v>
      </x:c>
      <x:c r="F771" s="32" t="n">
        <x:v>0.2073</x:v>
      </x:c>
      <x:c r="G771" s="32" t="n">
        <x:v>0.3353</x:v>
      </x:c>
      <x:c r="H771" s="32" t="n">
        <x:v>0</x:v>
      </x:c>
      <x:c r="I771" s="40" t="n">
        <x:v>1</x:v>
      </x:c>
      <x:c r="J771" s="40" t="n">
        <x:v>1</x:v>
      </x:c>
      <x:c r="K771" s="40" t="n">
        <x:v>1</x:v>
      </x:c>
      <x:c r="L771" s="40" t="n">
        <x:v>1</x:v>
      </x:c>
    </x:row>
    <x:row r="772" ht="23" customHeight="1">
      <x:c r="B772" s="17" t="str">
        <x:v>Round1</x:v>
      </x:c>
      <x:c r="C772" s="17" t="str">
        <x:v>line</x:v>
      </x:c>
      <x:c r="D772" s="17" t="str">
        <x:v>Math_85</x:v>
      </x:c>
      <x:c r="E772" s="32" t="n">
        <x:v>0.9473999999999999</x:v>
      </x:c>
      <x:c r="F772" s="32" t="n">
        <x:v>0.21050000000000002</x:v>
      </x:c>
      <x:c r="G772" s="32" t="n">
        <x:v>0.9211</x:v>
      </x:c>
      <x:c r="H772" s="32" t="n">
        <x:v>0</x:v>
      </x:c>
      <x:c r="I772" s="40" t="n">
        <x:v>1</x:v>
      </x:c>
      <x:c r="J772" s="40" t="n">
        <x:v>1</x:v>
      </x:c>
      <x:c r="K772" s="40" t="n">
        <x:v>1</x:v>
      </x:c>
      <x:c r="L772" s="40" t="n">
        <x:v>1</x:v>
      </x:c>
    </x:row>
    <x:row r="773" ht="23" customHeight="1">
      <x:c r="B773" s="17" t="str">
        <x:v>Round1</x:v>
      </x:c>
      <x:c r="C773" s="17" t="str">
        <x:v>line</x:v>
      </x:c>
      <x:c r="D773" s="17" t="str">
        <x:v>Math_87</x:v>
      </x:c>
      <x:c r="E773" s="32" t="n">
        <x:v>0.0724</x:v>
      </x:c>
      <x:c r="F773" s="32" t="n">
        <x:v>0.0395</x:v>
      </x:c>
      <x:c r="G773" s="32" t="n">
        <x:v>0.0724</x:v>
      </x:c>
      <x:c r="H773" s="32" t="n">
        <x:v>0</x:v>
      </x:c>
      <x:c r="I773" s="40" t="n">
        <x:v>1</x:v>
      </x:c>
      <x:c r="J773" s="40" t="n">
        <x:v>1</x:v>
      </x:c>
      <x:c r="K773" s="40" t="n">
        <x:v>1</x:v>
      </x:c>
      <x:c r="L773" s="40" t="n">
        <x:v>1</x:v>
      </x:c>
    </x:row>
    <x:row r="774" ht="23" customHeight="1">
      <x:c r="B774" s="17" t="str">
        <x:v>Round1</x:v>
      </x:c>
      <x:c r="C774" s="17" t="str">
        <x:v>line</x:v>
      </x:c>
      <x:c r="D774" s="17" t="str">
        <x:v>Math_89</x:v>
      </x:c>
      <x:c r="E774" s="32" t="n">
        <x:v>1</x:v>
      </x:c>
      <x:c r="F774" s="32" t="n">
        <x:v>0.9906999999999999</x:v>
      </x:c>
      <x:c r="G774" s="32" t="n">
        <x:v>0.8981</x:v>
      </x:c>
      <x:c r="H774" s="32" t="n">
        <x:v>0</x:v>
      </x:c>
      <x:c r="I774" s="40" t="n">
        <x:v>1</x:v>
      </x:c>
      <x:c r="J774" s="40" t="n">
        <x:v>1</x:v>
      </x:c>
      <x:c r="K774" s="40" t="n">
        <x:v>1</x:v>
      </x:c>
      <x:c r="L774" s="40" t="n">
        <x:v>1</x:v>
      </x:c>
    </x:row>
    <x:row r="775" ht="23" customHeight="1">
      <x:c r="B775" s="17" t="str">
        <x:v>Round1</x:v>
      </x:c>
      <x:c r="C775" s="17" t="str">
        <x:v>line</x:v>
      </x:c>
      <x:c r="D775" s="17" t="str">
        <x:v>Math_90</x:v>
      </x:c>
      <x:c r="E775" s="32" t="n">
        <x:v>0.9906</x:v>
      </x:c>
      <x:c r="F775" s="32" t="n">
        <x:v>0.9906</x:v>
      </x:c>
      <x:c r="G775" s="32" t="n">
        <x:v>0.8208</x:v>
      </x:c>
      <x:c r="H775" s="32" t="n">
        <x:v>0</x:v>
      </x:c>
      <x:c r="I775" s="40" t="n">
        <x:v>1</x:v>
      </x:c>
      <x:c r="J775" s="40" t="n">
        <x:v>1</x:v>
      </x:c>
      <x:c r="K775" s="40" t="n">
        <x:v>1</x:v>
      </x:c>
      <x:c r="L775" s="40" t="n">
        <x:v>1</x:v>
      </x:c>
    </x:row>
    <x:row r="776" ht="23" customHeight="1">
      <x:c r="B776" s="17" t="str">
        <x:v>Round1</x:v>
      </x:c>
      <x:c r="C776" s="17" t="str">
        <x:v>line</x:v>
      </x:c>
      <x:c r="D776" s="17" t="str">
        <x:v>Math_92</x:v>
      </x:c>
      <x:c r="E776" s="32" t="n">
        <x:v>0.8658</x:v>
      </x:c>
      <x:c r="F776" s="32" t="n">
        <x:v>0.6277</x:v>
      </x:c>
      <x:c r="G776" s="32" t="n">
        <x:v>0.7965000000000001</x:v>
      </x:c>
      <x:c r="H776" s="32" t="n">
        <x:v>0.0043</x:v>
      </x:c>
      <x:c r="I776" s="40" t="n">
        <x:v>1</x:v>
      </x:c>
      <x:c r="J776" s="40" t="n">
        <x:v>1</x:v>
      </x:c>
      <x:c r="K776" s="40" t="n">
        <x:v>1</x:v>
      </x:c>
      <x:c r="L776" s="40" t="n">
        <x:v>1</x:v>
      </x:c>
    </x:row>
    <x:row r="777" ht="23" customHeight="1">
      <x:c r="B777" s="17" t="str">
        <x:v>Round1</x:v>
      </x:c>
      <x:c r="C777" s="17" t="str">
        <x:v>line</x:v>
      </x:c>
      <x:c r="D777" s="17" t="str">
        <x:v>Math_93</x:v>
      </x:c>
      <x:c r="E777" s="32" t="n">
        <x:v>0.8673000000000001</x:v>
      </x:c>
      <x:c r="F777" s="32" t="n">
        <x:v>0.6239</x:v>
      </x:c>
      <x:c r="G777" s="32" t="n">
        <x:v>0.9336</x:v>
      </x:c>
      <x:c r="H777" s="32" t="n">
        <x:v>0.0044</x:v>
      </x:c>
      <x:c r="I777" s="40" t="n">
        <x:v>1</x:v>
      </x:c>
      <x:c r="J777" s="40" t="n">
        <x:v>1</x:v>
      </x:c>
      <x:c r="K777" s="40" t="n">
        <x:v>1</x:v>
      </x:c>
      <x:c r="L777" s="40" t="n">
        <x:v>1</x:v>
      </x:c>
    </x:row>
    <x:row r="778" ht="23" customHeight="1">
      <x:c r="B778" s="17" t="str">
        <x:v>Round1</x:v>
      </x:c>
      <x:c r="C778" s="17" t="str">
        <x:v>line</x:v>
      </x:c>
      <x:c r="D778" s="17" t="str">
        <x:v>Math_94</x:v>
      </x:c>
      <x:c r="E778" s="32" t="n">
        <x:v>0.9111</x:v>
      </x:c>
      <x:c r="F778" s="32" t="n">
        <x:v>0.6222</x:v>
      </x:c>
      <x:c r="G778" s="32" t="n">
        <x:v>0.8</x:v>
      </x:c>
      <x:c r="H778" s="32" t="n">
        <x:v>0</x:v>
      </x:c>
      <x:c r="I778" s="40" t="n">
        <x:v>1</x:v>
      </x:c>
      <x:c r="J778" s="40" t="n">
        <x:v>1</x:v>
      </x:c>
      <x:c r="K778" s="40" t="n">
        <x:v>1</x:v>
      </x:c>
      <x:c r="L778" s="40" t="n">
        <x:v>1</x:v>
      </x:c>
    </x:row>
    <x:row r="779" ht="23" customHeight="1">
      <x:c r="B779" s="17" t="str">
        <x:v>Round1</x:v>
      </x:c>
      <x:c r="C779" s="17" t="str">
        <x:v>line</x:v>
      </x:c>
      <x:c r="D779" s="17" t="str">
        <x:v>Math_95</x:v>
      </x:c>
      <x:c r="E779" s="32" t="n">
        <x:v>1</x:v>
      </x:c>
      <x:c r="F779" s="32" t="n">
        <x:v>1</x:v>
      </x:c>
      <x:c r="G779" s="32" t="n">
        <x:v>1</x:v>
      </x:c>
      <x:c r="H779" s="32" t="n">
        <x:v>1</x:v>
      </x:c>
      <x:c r="I779" s="40" t="n">
        <x:v>1</x:v>
      </x:c>
      <x:c r="J779" s="40" t="n">
        <x:v>1</x:v>
      </x:c>
      <x:c r="K779" s="40" t="n">
        <x:v>1</x:v>
      </x:c>
      <x:c r="L779" s="40" t="n">
        <x:v>1</x:v>
      </x:c>
    </x:row>
    <x:row r="780" ht="23" customHeight="1">
      <x:c r="B780" s="17" t="str">
        <x:v>Round1</x:v>
      </x:c>
      <x:c r="C780" s="17" t="str">
        <x:v>line</x:v>
      </x:c>
      <x:c r="D780" s="17" t="str">
        <x:v>Math_96</x:v>
      </x:c>
      <x:c r="E780" s="32" t="n">
        <x:v>0.9648</x:v>
      </x:c>
      <x:c r="F780" s="32" t="n">
        <x:v>0.9506999999999999</x:v>
      </x:c>
      <x:c r="G780" s="32" t="n">
        <x:v>0.9789</x:v>
      </x:c>
      <x:c r="H780" s="32" t="n">
        <x:v>0.0634</x:v>
      </x:c>
      <x:c r="I780" s="40" t="n">
        <x:v>1</x:v>
      </x:c>
      <x:c r="J780" s="40" t="n">
        <x:v>1</x:v>
      </x:c>
      <x:c r="K780" s="40" t="n">
        <x:v>1</x:v>
      </x:c>
      <x:c r="L780" s="40" t="n">
        <x:v>1</x:v>
      </x:c>
    </x:row>
    <x:row r="781" ht="23" customHeight="1">
      <x:c r="B781" s="17" t="str">
        <x:v>Round1</x:v>
      </x:c>
      <x:c r="C781" s="17" t="str">
        <x:v>line</x:v>
      </x:c>
      <x:c r="D781" s="17" t="str">
        <x:v>Math_97</x:v>
      </x:c>
      <x:c r="E781" s="32" t="n">
        <x:v>1</x:v>
      </x:c>
      <x:c r="F781" s="32" t="n">
        <x:v>0.011200000000000002</x:v>
      </x:c>
      <x:c r="G781" s="32" t="n">
        <x:v>0.9775</x:v>
      </x:c>
      <x:c r="H781" s="32" t="n">
        <x:v>0</x:v>
      </x:c>
      <x:c r="I781" s="40" t="n">
        <x:v>1</x:v>
      </x:c>
      <x:c r="J781" s="40" t="n">
        <x:v>1</x:v>
      </x:c>
      <x:c r="K781" s="40" t="n">
        <x:v>1</x:v>
      </x:c>
      <x:c r="L781" s="40" t="n">
        <x:v>1</x:v>
      </x:c>
    </x:row>
    <x:row r="782" ht="23" customHeight="1">
      <x:c r="B782" s="17" t="str">
        <x:v>Round1</x:v>
      </x:c>
      <x:c r="C782" s="17" t="str">
        <x:v>line</x:v>
      </x:c>
      <x:c r="D782" s="17" t="str">
        <x:v>Math_98</x:v>
      </x:c>
      <x:c r="E782" s="32" t="n">
        <x:v>0.8758</x:v>
      </x:c>
      <x:c r="F782" s="32" t="n">
        <x:v>0.7996</x:v>
      </x:c>
      <x:c r="G782" s="32" t="n">
        <x:v>0.8420000000000001</x:v>
      </x:c>
      <x:c r="H782" s="32" t="n">
        <x:v>0.0033</x:v>
      </x:c>
      <x:c r="I782" s="40" t="n">
        <x:v>1</x:v>
      </x:c>
      <x:c r="J782" s="40" t="n">
        <x:v>1</x:v>
      </x:c>
      <x:c r="K782" s="40" t="n">
        <x:v>1</x:v>
      </x:c>
      <x:c r="L782" s="40" t="n">
        <x:v>1</x:v>
      </x:c>
    </x:row>
    <x:row r="783" ht="23" customHeight="1">
      <x:c r="B783" s="17" t="str">
        <x:v>Round1</x:v>
      </x:c>
      <x:c r="C783" s="17" t="str">
        <x:v>line</x:v>
      </x:c>
      <x:c r="D783" s="17" t="str">
        <x:v>Math_99</x:v>
      </x:c>
      <x:c r="E783" s="32" t="n">
        <x:v>0.9218999999999999</x:v>
      </x:c>
      <x:c r="F783" s="32" t="n">
        <x:v>0.7807</x:v>
      </x:c>
      <x:c r="G783" s="32" t="n">
        <x:v>0.9257</x:v>
      </x:c>
      <x:c r="H783" s="32" t="n">
        <x:v>0.0037</x:v>
      </x:c>
      <x:c r="I783" s="40" t="n">
        <x:v>1</x:v>
      </x:c>
      <x:c r="J783" s="40" t="n">
        <x:v>1</x:v>
      </x:c>
      <x:c r="K783" s="40" t="n">
        <x:v>1</x:v>
      </x:c>
      <x:c r="L783" s="40" t="n">
        <x:v>1</x:v>
      </x:c>
    </x:row>
    <x:row r="784" ht="23" customHeight="1">
      <x:c r="B784" s="17" t="str">
        <x:v>Round1</x:v>
      </x:c>
      <x:c r="C784" s="17" t="str">
        <x:v>line</x:v>
      </x:c>
      <x:c r="D784" s="17" t="str">
        <x:v>Mockito_11</x:v>
      </x:c>
      <x:c r="E784" s="32" t="n">
        <x:v>0.35710000000000003</x:v>
      </x:c>
      <x:c r="F784" s="32" t="n">
        <x:v>0</x:v>
      </x:c>
      <x:c r="G784" s="32" t="n">
        <x:v>1</x:v>
      </x:c>
      <x:c r="H784" s="32" t="n">
        <x:v>1</x:v>
      </x:c>
      <x:c r="I784" s="40" t="n">
        <x:v>1</x:v>
      </x:c>
      <x:c r="J784" s="40" t="n">
        <x:v>1</x:v>
      </x:c>
      <x:c r="K784" s="40" t="n">
        <x:v>1</x:v>
      </x:c>
      <x:c r="L784" s="40" t="n">
        <x:v>1</x:v>
      </x:c>
    </x:row>
    <x:row r="785" ht="23" customHeight="1">
      <x:c r="B785" s="17" t="str">
        <x:v>Round1</x:v>
      </x:c>
      <x:c r="C785" s="17" t="str">
        <x:v>line</x:v>
      </x:c>
      <x:c r="D785" s="17" t="str">
        <x:v>Mockito_12</x:v>
      </x:c>
      <x:c r="E785" s="32" t="n">
        <x:v>0.3333</x:v>
      </x:c>
      <x:c r="F785" s="32" t="n">
        <x:v>0.3333</x:v>
      </x:c>
      <x:c r="G785" s="32" t="n">
        <x:v>1</x:v>
      </x:c>
      <x:c r="H785" s="32" t="n">
        <x:v>1</x:v>
      </x:c>
      <x:c r="I785" s="40" t="n">
        <x:v>1</x:v>
      </x:c>
      <x:c r="J785" s="40" t="n">
        <x:v>1</x:v>
      </x:c>
      <x:c r="K785" s="40" t="n">
        <x:v>1</x:v>
      </x:c>
      <x:c r="L785" s="40" t="n">
        <x:v>1</x:v>
      </x:c>
    </x:row>
    <x:row r="786" ht="23" customHeight="1">
      <x:c r="B786" s="17" t="str">
        <x:v>Round1</x:v>
      </x:c>
      <x:c r="C786" s="17" t="str">
        <x:v>line</x:v>
      </x:c>
      <x:c r="D786" s="17" t="str">
        <x:v>Mockito_15</x:v>
      </x:c>
      <x:c r="E786" s="32" t="n">
        <x:v>0.5385</x:v>
      </x:c>
      <x:c r="F786" s="32" t="n">
        <x:v>0.3077</x:v>
      </x:c>
      <x:c r="G786" s="32" t="n">
        <x:v>1</x:v>
      </x:c>
      <x:c r="H786" s="32" t="n">
        <x:v>1</x:v>
      </x:c>
      <x:c r="I786" s="40" t="n">
        <x:v>1</x:v>
      </x:c>
      <x:c r="J786" s="40" t="n">
        <x:v>1</x:v>
      </x:c>
      <x:c r="K786" s="40" t="n">
        <x:v>1</x:v>
      </x:c>
      <x:c r="L786" s="40" t="n">
        <x:v>1</x:v>
      </x:c>
    </x:row>
    <x:row r="787" ht="23" customHeight="1">
      <x:c r="B787" s="17" t="str">
        <x:v>Round1</x:v>
      </x:c>
      <x:c r="C787" s="17" t="str">
        <x:v>line</x:v>
      </x:c>
      <x:c r="D787" s="17" t="str">
        <x:v>Mockito_21</x:v>
      </x:c>
      <x:c r="E787" s="32" t="n">
        <x:v>0.9375</x:v>
      </x:c>
      <x:c r="F787" s="32" t="n">
        <x:v>0.1875</x:v>
      </x:c>
      <x:c r="G787" s="32" t="n">
        <x:v>1</x:v>
      </x:c>
      <x:c r="H787" s="32" t="n">
        <x:v>1</x:v>
      </x:c>
      <x:c r="I787" s="40" t="n">
        <x:v>1</x:v>
      </x:c>
      <x:c r="J787" s="40" t="n">
        <x:v>1</x:v>
      </x:c>
      <x:c r="K787" s="40" t="n">
        <x:v>1</x:v>
      </x:c>
      <x:c r="L787" s="40" t="n">
        <x:v>1</x:v>
      </x:c>
    </x:row>
    <x:row r="788" ht="23" customHeight="1">
      <x:c r="B788" s="17" t="str">
        <x:v>Round1</x:v>
      </x:c>
      <x:c r="C788" s="17" t="str">
        <x:v>line</x:v>
      </x:c>
      <x:c r="D788" s="17" t="str">
        <x:v>Mockito_22</x:v>
      </x:c>
      <x:c r="E788" s="32" t="n">
        <x:v>0.6923</x:v>
      </x:c>
      <x:c r="F788" s="32" t="n">
        <x:v>0.6923</x:v>
      </x:c>
      <x:c r="G788" s="32" t="n">
        <x:v>0.9231</x:v>
      </x:c>
      <x:c r="H788" s="32" t="n">
        <x:v>1</x:v>
      </x:c>
      <x:c r="I788" s="40" t="n">
        <x:v>1</x:v>
      </x:c>
      <x:c r="J788" s="40" t="n">
        <x:v>1</x:v>
      </x:c>
      <x:c r="K788" s="40" t="n">
        <x:v>1</x:v>
      </x:c>
      <x:c r="L788" s="40" t="n">
        <x:v>1</x:v>
      </x:c>
    </x:row>
    <x:row r="789" ht="23" customHeight="1">
      <x:c r="B789" s="17" t="str">
        <x:v>Round1</x:v>
      </x:c>
      <x:c r="C789" s="17" t="str">
        <x:v>line</x:v>
      </x:c>
      <x:c r="D789" s="17" t="str">
        <x:v>Mockito_37</x:v>
      </x:c>
      <x:c r="E789" s="32" t="n">
        <x:v>0.6296</x:v>
      </x:c>
      <x:c r="F789" s="32" t="n">
        <x:v>0.0741</x:v>
      </x:c>
      <x:c r="G789" s="32" t="n">
        <x:v>1</x:v>
      </x:c>
      <x:c r="H789" s="32" t="n">
        <x:v>1</x:v>
      </x:c>
      <x:c r="I789" s="40" t="n">
        <x:v>1</x:v>
      </x:c>
      <x:c r="J789" s="40" t="n">
        <x:v>1</x:v>
      </x:c>
      <x:c r="K789" s="40" t="n">
        <x:v>1</x:v>
      </x:c>
      <x:c r="L789" s="40" t="n">
        <x:v>1</x:v>
      </x:c>
    </x:row>
    <x:row r="790" ht="23" customHeight="1">
      <x:c r="B790" s="17" t="str">
        <x:v>Round1</x:v>
      </x:c>
      <x:c r="C790" s="17" t="str">
        <x:v>condition</x:v>
      </x:c>
      <x:c r="D790" s="17" t="str">
        <x:v>Chart_18</x:v>
      </x:c>
      <x:c r="E790" s="32" t="n">
        <x:v>0.9672</x:v>
      </x:c>
      <x:c r="F790" s="32" t="n">
        <x:v>0.7212999999999999</x:v>
      </x:c>
      <x:c r="G790" s="32" t="n">
        <x:v>0.8361</x:v>
      </x:c>
      <x:c r="H790" s="32" t="n">
        <x:v>0.1311</x:v>
      </x:c>
      <x:c r="I790" s="40" t="n">
        <x:v>1</x:v>
      </x:c>
      <x:c r="J790" s="40" t="n">
        <x:v>1</x:v>
      </x:c>
      <x:c r="K790" s="40" t="n">
        <x:v>1</x:v>
      </x:c>
      <x:c r="L790" s="40" t="n">
        <x:v>1</x:v>
      </x:c>
    </x:row>
    <x:row r="791" ht="23" customHeight="1">
      <x:c r="B791" s="17" t="str">
        <x:v>Round1</x:v>
      </x:c>
      <x:c r="C791" s="17" t="str">
        <x:v>condition</x:v>
      </x:c>
      <x:c r="D791" s="17" t="str">
        <x:v>Chart_21</x:v>
      </x:c>
      <x:c r="E791" s="32" t="n">
        <x:v>0.7333</x:v>
      </x:c>
      <x:c r="F791" s="32" t="n">
        <x:v>0.15</x:v>
      </x:c>
      <x:c r="G791" s="32" t="n">
        <x:v>0.4</x:v>
      </x:c>
      <x:c r="H791" s="32" t="n">
        <x:v>0.1</x:v>
      </x:c>
      <x:c r="I791" s="40" t="n">
        <x:v>1</x:v>
      </x:c>
      <x:c r="J791" s="40" t="n">
        <x:v>1</x:v>
      </x:c>
      <x:c r="K791" s="40" t="n">
        <x:v>1</x:v>
      </x:c>
      <x:c r="L791" s="40" t="n">
        <x:v>1</x:v>
      </x:c>
    </x:row>
    <x:row r="792" ht="23" customHeight="1">
      <x:c r="B792" s="17" t="str">
        <x:v>Round1</x:v>
      </x:c>
      <x:c r="C792" s="17" t="str">
        <x:v>condition</x:v>
      </x:c>
      <x:c r="D792" s="17" t="str">
        <x:v>Chart_22</x:v>
      </x:c>
      <x:c r="E792" s="32" t="n">
        <x:v>0.8966</x:v>
      </x:c>
      <x:c r="F792" s="32" t="n">
        <x:v>0.8448</x:v>
      </x:c>
      <x:c r="G792" s="32" t="n">
        <x:v>0.8103</x:v>
      </x:c>
      <x:c r="H792" s="32" t="n">
        <x:v>0.1552</x:v>
      </x:c>
      <x:c r="I792" s="40" t="n">
        <x:v>1</x:v>
      </x:c>
      <x:c r="J792" s="40" t="n">
        <x:v>1</x:v>
      </x:c>
      <x:c r="K792" s="40" t="n">
        <x:v>1</x:v>
      </x:c>
      <x:c r="L792" s="40" t="n">
        <x:v>1</x:v>
      </x:c>
    </x:row>
    <x:row r="793" ht="23" customHeight="1">
      <x:c r="B793" s="17" t="str">
        <x:v>Round1</x:v>
      </x:c>
      <x:c r="C793" s="17" t="str">
        <x:v>condition</x:v>
      </x:c>
      <x:c r="D793" s="17" t="str">
        <x:v>Chart_24</x:v>
      </x:c>
      <x:c r="E793" s="32" t="n">
        <x:v>1</x:v>
      </x:c>
      <x:c r="F793" s="32" t="n">
        <x:v>0.9</x:v>
      </x:c>
      <x:c r="G793" s="32" t="n">
        <x:v>1</x:v>
      </x:c>
      <x:c r="H793" s="32" t="n">
        <x:v>1</x:v>
      </x:c>
      <x:c r="I793" s="40" t="n">
        <x:v>1</x:v>
      </x:c>
      <x:c r="J793" s="40" t="n">
        <x:v>1</x:v>
      </x:c>
      <x:c r="K793" s="40" t="n">
        <x:v>1</x:v>
      </x:c>
      <x:c r="L793" s="40" t="n">
        <x:v>1</x:v>
      </x:c>
    </x:row>
    <x:row r="794" ht="23" customHeight="1">
      <x:c r="B794" s="17" t="str">
        <x:v>Round1</x:v>
      </x:c>
      <x:c r="C794" s="17" t="str">
        <x:v>condition</x:v>
      </x:c>
      <x:c r="D794" s="17" t="str">
        <x:v>Chart_8</x:v>
      </x:c>
      <x:c r="E794" s="32" t="n">
        <x:v>0.8088</x:v>
      </x:c>
      <x:c r="F794" s="32" t="n">
        <x:v>0.7794</x:v>
      </x:c>
      <x:c r="G794" s="32" t="n">
        <x:v>0.5146999999999999</x:v>
      </x:c>
      <x:c r="H794" s="32" t="n">
        <x:v>0.0588</x:v>
      </x:c>
      <x:c r="I794" s="40" t="n">
        <x:v>1</x:v>
      </x:c>
      <x:c r="J794" s="40" t="n">
        <x:v>1</x:v>
      </x:c>
      <x:c r="K794" s="40" t="n">
        <x:v>1</x:v>
      </x:c>
      <x:c r="L794" s="40" t="n">
        <x:v>1</x:v>
      </x:c>
    </x:row>
    <x:row r="795" ht="23" customHeight="1">
      <x:c r="B795" s="17" t="str">
        <x:v>Round1</x:v>
      </x:c>
      <x:c r="C795" s="17" t="str">
        <x:v>condition</x:v>
      </x:c>
      <x:c r="D795" s="17" t="str">
        <x:v>Cli_18</x:v>
      </x:c>
      <x:c r="E795" s="32" t="n">
        <x:v>0</x:v>
      </x:c>
      <x:c r="F795" s="32" t="n">
        <x:v>0</x:v>
      </x:c>
      <x:c r="G795" s="32" t="n">
        <x:v>0</x:v>
      </x:c>
      <x:c r="H795" s="32" t="n">
        <x:v>0</x:v>
      </x:c>
      <x:c r="I795" s="40" t="n">
        <x:v>1</x:v>
      </x:c>
      <x:c r="J795" s="40" t="n">
        <x:v>1</x:v>
      </x:c>
      <x:c r="K795" s="40" t="n">
        <x:v>1</x:v>
      </x:c>
      <x:c r="L795" s="40" t="n">
        <x:v>1</x:v>
      </x:c>
    </x:row>
    <x:row r="796" ht="23" customHeight="1">
      <x:c r="B796" s="17" t="str">
        <x:v>Round1</x:v>
      </x:c>
      <x:c r="C796" s="17" t="str">
        <x:v>condition</x:v>
      </x:c>
      <x:c r="D796" s="17" t="str">
        <x:v>Cli_19</x:v>
      </x:c>
      <x:c r="E796" s="32" t="n">
        <x:v>0</x:v>
      </x:c>
      <x:c r="F796" s="32" t="n">
        <x:v>0</x:v>
      </x:c>
      <x:c r="G796" s="32" t="n">
        <x:v>0</x:v>
      </x:c>
      <x:c r="H796" s="32" t="n">
        <x:v>0</x:v>
      </x:c>
      <x:c r="I796" s="40" t="n">
        <x:v>1</x:v>
      </x:c>
      <x:c r="J796" s="40" t="n">
        <x:v>1</x:v>
      </x:c>
      <x:c r="K796" s="40" t="n">
        <x:v>1</x:v>
      </x:c>
      <x:c r="L796" s="40" t="n">
        <x:v>1</x:v>
      </x:c>
    </x:row>
    <x:row r="797" ht="23" customHeight="1">
      <x:c r="B797" s="17" t="str">
        <x:v>Round1</x:v>
      </x:c>
      <x:c r="C797" s="17" t="str">
        <x:v>condition</x:v>
      </x:c>
      <x:c r="D797" s="17" t="str">
        <x:v>Cli_2</x:v>
      </x:c>
      <x:c r="E797" s="32" t="n">
        <x:v>0</x:v>
      </x:c>
      <x:c r="F797" s="32" t="n">
        <x:v>0</x:v>
      </x:c>
      <x:c r="G797" s="32" t="n">
        <x:v>0</x:v>
      </x:c>
      <x:c r="H797" s="32" t="n">
        <x:v>0</x:v>
      </x:c>
      <x:c r="I797" s="40" t="n">
        <x:v>1</x:v>
      </x:c>
      <x:c r="J797" s="40" t="n">
        <x:v>1</x:v>
      </x:c>
      <x:c r="K797" s="40" t="n">
        <x:v>1</x:v>
      </x:c>
      <x:c r="L797" s="40" t="n">
        <x:v>1</x:v>
      </x:c>
    </x:row>
    <x:row r="798" ht="23" customHeight="1">
      <x:c r="B798" s="17" t="str">
        <x:v>Round1</x:v>
      </x:c>
      <x:c r="C798" s="17" t="str">
        <x:v>condition</x:v>
      </x:c>
      <x:c r="D798" s="17" t="str">
        <x:v>Cli_22</x:v>
      </x:c>
      <x:c r="E798" s="32" t="n">
        <x:v>0</x:v>
      </x:c>
      <x:c r="F798" s="32" t="n">
        <x:v>0</x:v>
      </x:c>
      <x:c r="G798" s="32" t="n">
        <x:v>0</x:v>
      </x:c>
      <x:c r="H798" s="32" t="n">
        <x:v>0</x:v>
      </x:c>
      <x:c r="I798" s="40" t="n">
        <x:v>1</x:v>
      </x:c>
      <x:c r="J798" s="40" t="n">
        <x:v>1</x:v>
      </x:c>
      <x:c r="K798" s="40" t="n">
        <x:v>1</x:v>
      </x:c>
      <x:c r="L798" s="40" t="n">
        <x:v>1</x:v>
      </x:c>
    </x:row>
    <x:row r="799" ht="23" customHeight="1">
      <x:c r="B799" s="17" t="str">
        <x:v>Round1</x:v>
      </x:c>
      <x:c r="C799" s="17" t="str">
        <x:v>condition</x:v>
      </x:c>
      <x:c r="D799" s="17" t="str">
        <x:v>Cli_24</x:v>
      </x:c>
      <x:c r="E799" s="32" t="n">
        <x:v>0</x:v>
      </x:c>
      <x:c r="F799" s="32" t="n">
        <x:v>0</x:v>
      </x:c>
      <x:c r="G799" s="32" t="n">
        <x:v>0</x:v>
      </x:c>
      <x:c r="H799" s="32" t="n">
        <x:v>0</x:v>
      </x:c>
      <x:c r="I799" s="40" t="n">
        <x:v>1</x:v>
      </x:c>
      <x:c r="J799" s="40" t="n">
        <x:v>1</x:v>
      </x:c>
      <x:c r="K799" s="40" t="n">
        <x:v>1</x:v>
      </x:c>
      <x:c r="L799" s="40" t="n">
        <x:v>1</x:v>
      </x:c>
    </x:row>
    <x:row r="800" ht="23" customHeight="1">
      <x:c r="B800" s="17" t="str">
        <x:v>Round1</x:v>
      </x:c>
      <x:c r="C800" s="17" t="str">
        <x:v>condition</x:v>
      </x:c>
      <x:c r="D800" s="17" t="str">
        <x:v>Cli_27</x:v>
      </x:c>
      <x:c r="E800" s="32" t="n">
        <x:v>0</x:v>
      </x:c>
      <x:c r="F800" s="32" t="n">
        <x:v>0</x:v>
      </x:c>
      <x:c r="G800" s="32" t="n">
        <x:v>0</x:v>
      </x:c>
      <x:c r="H800" s="32" t="n">
        <x:v>0</x:v>
      </x:c>
      <x:c r="I800" s="40" t="n">
        <x:v>1</x:v>
      </x:c>
      <x:c r="J800" s="40" t="n">
        <x:v>1</x:v>
      </x:c>
      <x:c r="K800" s="40" t="n">
        <x:v>1</x:v>
      </x:c>
      <x:c r="L800" s="40" t="n">
        <x:v>1</x:v>
      </x:c>
    </x:row>
    <x:row r="801" ht="23" customHeight="1">
      <x:c r="B801" s="17" t="str">
        <x:v>Round1</x:v>
      </x:c>
      <x:c r="C801" s="17" t="str">
        <x:v>condition</x:v>
      </x:c>
      <x:c r="D801" s="17" t="str">
        <x:v>Cli_29</x:v>
      </x:c>
      <x:c r="E801" s="32" t="n">
        <x:v>0</x:v>
      </x:c>
      <x:c r="F801" s="32" t="n">
        <x:v>0</x:v>
      </x:c>
      <x:c r="G801" s="32" t="n">
        <x:v>0</x:v>
      </x:c>
      <x:c r="H801" s="32" t="n">
        <x:v>0</x:v>
      </x:c>
      <x:c r="I801" s="40" t="n">
        <x:v>1</x:v>
      </x:c>
      <x:c r="J801" s="40" t="n">
        <x:v>1</x:v>
      </x:c>
      <x:c r="K801" s="40" t="n">
        <x:v>1</x:v>
      </x:c>
      <x:c r="L801" s="40" t="n">
        <x:v>1</x:v>
      </x:c>
    </x:row>
    <x:row r="802" ht="23" customHeight="1">
      <x:c r="B802" s="17" t="str">
        <x:v>Round1</x:v>
      </x:c>
      <x:c r="C802" s="17" t="str">
        <x:v>condition</x:v>
      </x:c>
      <x:c r="D802" s="17" t="str">
        <x:v>Cli_3</x:v>
      </x:c>
      <x:c r="E802" s="32" t="n">
        <x:v>0</x:v>
      </x:c>
      <x:c r="F802" s="32" t="n">
        <x:v>0</x:v>
      </x:c>
      <x:c r="G802" s="32" t="n">
        <x:v>0</x:v>
      </x:c>
      <x:c r="H802" s="32" t="n">
        <x:v>0</x:v>
      </x:c>
      <x:c r="I802" s="40" t="n">
        <x:v>1</x:v>
      </x:c>
      <x:c r="J802" s="40" t="n">
        <x:v>1</x:v>
      </x:c>
      <x:c r="K802" s="40" t="n">
        <x:v>1</x:v>
      </x:c>
      <x:c r="L802" s="40" t="n">
        <x:v>1</x:v>
      </x:c>
    </x:row>
    <x:row r="803" ht="23" customHeight="1">
      <x:c r="B803" s="17" t="str">
        <x:v>Round1</x:v>
      </x:c>
      <x:c r="C803" s="17" t="str">
        <x:v>condition</x:v>
      </x:c>
      <x:c r="D803" s="17" t="str">
        <x:v>Cli_33</x:v>
      </x:c>
      <x:c r="E803" s="32" t="n">
        <x:v>0</x:v>
      </x:c>
      <x:c r="F803" s="32" t="n">
        <x:v>0</x:v>
      </x:c>
      <x:c r="G803" s="32" t="n">
        <x:v>0</x:v>
      </x:c>
      <x:c r="H803" s="32" t="n">
        <x:v>0</x:v>
      </x:c>
      <x:c r="I803" s="40" t="n">
        <x:v>1</x:v>
      </x:c>
      <x:c r="J803" s="40" t="n">
        <x:v>1</x:v>
      </x:c>
      <x:c r="K803" s="40" t="n">
        <x:v>1</x:v>
      </x:c>
      <x:c r="L803" s="40" t="n">
        <x:v>1</x:v>
      </x:c>
    </x:row>
    <x:row r="804" ht="23" customHeight="1">
      <x:c r="B804" s="17" t="str">
        <x:v>Round1</x:v>
      </x:c>
      <x:c r="C804" s="17" t="str">
        <x:v>condition</x:v>
      </x:c>
      <x:c r="D804" s="17" t="str">
        <x:v>Cli_35</x:v>
      </x:c>
      <x:c r="E804" s="32" t="n">
        <x:v>1</x:v>
      </x:c>
      <x:c r="F804" s="32" t="n">
        <x:v>0.65</x:v>
      </x:c>
      <x:c r="G804" s="32" t="n">
        <x:v>0.95</x:v>
      </x:c>
      <x:c r="H804" s="32" t="n">
        <x:v>1</x:v>
      </x:c>
      <x:c r="I804" s="40" t="n">
        <x:v>1</x:v>
      </x:c>
      <x:c r="J804" s="40" t="n">
        <x:v>1</x:v>
      </x:c>
      <x:c r="K804" s="40" t="n">
        <x:v>1</x:v>
      </x:c>
      <x:c r="L804" s="40" t="n">
        <x:v>1</x:v>
      </x:c>
    </x:row>
    <x:row r="805" ht="23" customHeight="1">
      <x:c r="B805" s="17" t="str">
        <x:v>Round1</x:v>
      </x:c>
      <x:c r="C805" s="17" t="str">
        <x:v>condition</x:v>
      </x:c>
      <x:c r="D805" s="17" t="str">
        <x:v>Cli_39</x:v>
      </x:c>
      <x:c r="E805" s="32" t="n">
        <x:v>1</x:v>
      </x:c>
      <x:c r="F805" s="32" t="n">
        <x:v>0.55</x:v>
      </x:c>
      <x:c r="G805" s="32" t="n">
        <x:v>0.8</x:v>
      </x:c>
      <x:c r="H805" s="32" t="n">
        <x:v>1</x:v>
      </x:c>
      <x:c r="I805" s="40" t="n">
        <x:v>1</x:v>
      </x:c>
      <x:c r="J805" s="40" t="n">
        <x:v>1</x:v>
      </x:c>
      <x:c r="K805" s="40" t="n">
        <x:v>1</x:v>
      </x:c>
      <x:c r="L805" s="40" t="n">
        <x:v>1</x:v>
      </x:c>
    </x:row>
    <x:row r="806" ht="23" customHeight="1">
      <x:c r="B806" s="17" t="str">
        <x:v>Round1</x:v>
      </x:c>
      <x:c r="C806" s="17" t="str">
        <x:v>condition</x:v>
      </x:c>
      <x:c r="D806" s="17" t="str">
        <x:v>Cli_4</x:v>
      </x:c>
      <x:c r="E806" s="32" t="n">
        <x:v>0</x:v>
      </x:c>
      <x:c r="F806" s="32" t="n">
        <x:v>0</x:v>
      </x:c>
      <x:c r="G806" s="32" t="n">
        <x:v>0</x:v>
      </x:c>
      <x:c r="H806" s="32" t="n">
        <x:v>0</x:v>
      </x:c>
      <x:c r="I806" s="40" t="n">
        <x:v>1</x:v>
      </x:c>
      <x:c r="J806" s="40" t="n">
        <x:v>1</x:v>
      </x:c>
      <x:c r="K806" s="40" t="n">
        <x:v>1</x:v>
      </x:c>
      <x:c r="L806" s="40" t="n">
        <x:v>1</x:v>
      </x:c>
    </x:row>
    <x:row r="807" ht="23" customHeight="1">
      <x:c r="B807" s="17" t="str">
        <x:v>Round1</x:v>
      </x:c>
      <x:c r="C807" s="17" t="str">
        <x:v>condition</x:v>
      </x:c>
      <x:c r="D807" s="17" t="str">
        <x:v>Cli_5</x:v>
      </x:c>
      <x:c r="E807" s="32" t="n">
        <x:v>0</x:v>
      </x:c>
      <x:c r="F807" s="32" t="n">
        <x:v>0</x:v>
      </x:c>
      <x:c r="G807" s="32" t="n">
        <x:v>0</x:v>
      </x:c>
      <x:c r="H807" s="32" t="n">
        <x:v>0</x:v>
      </x:c>
      <x:c r="I807" s="40" t="n">
        <x:v>1</x:v>
      </x:c>
      <x:c r="J807" s="40" t="n">
        <x:v>1</x:v>
      </x:c>
      <x:c r="K807" s="40" t="n">
        <x:v>1</x:v>
      </x:c>
      <x:c r="L807" s="40" t="n">
        <x:v>1</x:v>
      </x:c>
    </x:row>
    <x:row r="808" ht="23" customHeight="1">
      <x:c r="B808" s="17" t="str">
        <x:v>Round1</x:v>
      </x:c>
      <x:c r="C808" s="17" t="str">
        <x:v>condition</x:v>
      </x:c>
      <x:c r="D808" s="17" t="str">
        <x:v>Cli_8</x:v>
      </x:c>
      <x:c r="E808" s="32" t="n">
        <x:v>0</x:v>
      </x:c>
      <x:c r="F808" s="32" t="n">
        <x:v>0</x:v>
      </x:c>
      <x:c r="G808" s="32" t="n">
        <x:v>0</x:v>
      </x:c>
      <x:c r="H808" s="32" t="n">
        <x:v>0</x:v>
      </x:c>
      <x:c r="I808" s="40" t="n">
        <x:v>1</x:v>
      </x:c>
      <x:c r="J808" s="40" t="n">
        <x:v>1</x:v>
      </x:c>
      <x:c r="K808" s="40" t="n">
        <x:v>1</x:v>
      </x:c>
      <x:c r="L808" s="40" t="n">
        <x:v>1</x:v>
      </x:c>
    </x:row>
    <x:row r="809" ht="23" customHeight="1">
      <x:c r="B809" s="17" t="str">
        <x:v>Round1</x:v>
      </x:c>
      <x:c r="C809" s="17" t="str">
        <x:v>condition</x:v>
      </x:c>
      <x:c r="D809" s="17" t="str">
        <x:v>Closure_131</x:v>
      </x:c>
      <x:c r="E809" s="32" t="n">
        <x:v>0.6909000000000001</x:v>
      </x:c>
      <x:c r="F809" s="32" t="n">
        <x:v>0.060599999999999994</x:v>
      </x:c>
      <x:c r="G809" s="32" t="n">
        <x:v>0.8364</x:v>
      </x:c>
      <x:c r="H809" s="32" t="n">
        <x:v>0.8364</x:v>
      </x:c>
      <x:c r="I809" s="40" t="n">
        <x:v>1</x:v>
      </x:c>
      <x:c r="J809" s="40" t="n">
        <x:v>1</x:v>
      </x:c>
      <x:c r="K809" s="40" t="n">
        <x:v>1</x:v>
      </x:c>
      <x:c r="L809" s="40" t="n">
        <x:v>1</x:v>
      </x:c>
    </x:row>
    <x:row r="810" ht="23" customHeight="1">
      <x:c r="B810" s="17" t="str">
        <x:v>Round1</x:v>
      </x:c>
      <x:c r="C810" s="17" t="str">
        <x:v>condition</x:v>
      </x:c>
      <x:c r="D810" s="17" t="str">
        <x:v>Closure_172</x:v>
      </x:c>
      <x:c r="E810" s="32" t="n">
        <x:v>0.0381</x:v>
      </x:c>
      <x:c r="F810" s="32" t="n">
        <x:v>0</x:v>
      </x:c>
      <x:c r="G810" s="32" t="n">
        <x:v>0</x:v>
      </x:c>
      <x:c r="H810" s="32" t="n">
        <x:v>0</x:v>
      </x:c>
      <x:c r="I810" s="40" t="n">
        <x:v>1</x:v>
      </x:c>
      <x:c r="J810" s="40" t="n">
        <x:v>1</x:v>
      </x:c>
      <x:c r="K810" s="40" t="n">
        <x:v>1</x:v>
      </x:c>
      <x:c r="L810" s="40" t="n">
        <x:v>1</x:v>
      </x:c>
    </x:row>
    <x:row r="811" ht="23" customHeight="1">
      <x:c r="B811" s="17" t="str">
        <x:v>Round1</x:v>
      </x:c>
      <x:c r="C811" s="17" t="str">
        <x:v>condition</x:v>
      </x:c>
      <x:c r="D811" s="17" t="str">
        <x:v>Closure_20</x:v>
      </x:c>
      <x:c r="E811" s="32" t="n">
        <x:v>0.0665</x:v>
      </x:c>
      <x:c r="F811" s="32" t="n">
        <x:v>0.005699999999999999</x:v>
      </x:c>
      <x:c r="G811" s="32" t="n">
        <x:v>0.0608</x:v>
      </x:c>
      <x:c r="H811" s="32" t="n">
        <x:v>0.0608</x:v>
      </x:c>
      <x:c r="I811" s="40" t="n">
        <x:v>1</x:v>
      </x:c>
      <x:c r="J811" s="40" t="n">
        <x:v>1</x:v>
      </x:c>
      <x:c r="K811" s="40" t="n">
        <x:v>1</x:v>
      </x:c>
      <x:c r="L811" s="40" t="n">
        <x:v>1</x:v>
      </x:c>
    </x:row>
    <x:row r="812" ht="23" customHeight="1">
      <x:c r="B812" s="17" t="str">
        <x:v>Round1</x:v>
      </x:c>
      <x:c r="C812" s="17" t="str">
        <x:v>condition</x:v>
      </x:c>
      <x:c r="D812" s="17" t="str">
        <x:v>Closure_38</x:v>
      </x:c>
      <x:c r="E812" s="32" t="n">
        <x:v>0.1406</x:v>
      </x:c>
      <x:c r="F812" s="32" t="n">
        <x:v>0.1094</x:v>
      </x:c>
      <x:c r="G812" s="32" t="n">
        <x:v>0.6718999999999999</x:v>
      </x:c>
      <x:c r="H812" s="32" t="n">
        <x:v>0.6718999999999999</x:v>
      </x:c>
      <x:c r="I812" s="40" t="n">
        <x:v>1</x:v>
      </x:c>
      <x:c r="J812" s="40" t="n">
        <x:v>1</x:v>
      </x:c>
      <x:c r="K812" s="40" t="n">
        <x:v>1</x:v>
      </x:c>
      <x:c r="L812" s="40" t="n">
        <x:v>1</x:v>
      </x:c>
    </x:row>
    <x:row r="813" ht="23" customHeight="1">
      <x:c r="B813" s="17" t="str">
        <x:v>Round1</x:v>
      </x:c>
      <x:c r="C813" s="17" t="str">
        <x:v>condition</x:v>
      </x:c>
      <x:c r="D813" s="17" t="str">
        <x:v>Closure_44</x:v>
      </x:c>
      <x:c r="E813" s="32" t="n">
        <x:v>0.15</x:v>
      </x:c>
      <x:c r="F813" s="32" t="n">
        <x:v>0.1167</x:v>
      </x:c>
      <x:c r="G813" s="32" t="n">
        <x:v>0.8833</x:v>
      </x:c>
      <x:c r="H813" s="32" t="n">
        <x:v>0.8833</x:v>
      </x:c>
      <x:c r="I813" s="40" t="n">
        <x:v>1</x:v>
      </x:c>
      <x:c r="J813" s="40" t="n">
        <x:v>1</x:v>
      </x:c>
      <x:c r="K813" s="40" t="n">
        <x:v>1</x:v>
      </x:c>
      <x:c r="L813" s="40" t="n">
        <x:v>1</x:v>
      </x:c>
    </x:row>
    <x:row r="814" ht="23" customHeight="1">
      <x:c r="B814" s="17" t="str">
        <x:v>Round1</x:v>
      </x:c>
      <x:c r="C814" s="17" t="str">
        <x:v>condition</x:v>
      </x:c>
      <x:c r="D814" s="17" t="str">
        <x:v>Codec_10</x:v>
      </x:c>
      <x:c r="E814" s="32" t="n">
        <x:v>1</x:v>
      </x:c>
      <x:c r="F814" s="32" t="n">
        <x:v>0.8332999999999999</x:v>
      </x:c>
      <x:c r="G814" s="32" t="n">
        <x:v>0.8332999999999999</x:v>
      </x:c>
      <x:c r="H814" s="32" t="n">
        <x:v>1</x:v>
      </x:c>
      <x:c r="I814" s="40" t="n">
        <x:v>1</x:v>
      </x:c>
      <x:c r="J814" s="40" t="n">
        <x:v>1</x:v>
      </x:c>
      <x:c r="K814" s="40" t="n">
        <x:v>1</x:v>
      </x:c>
      <x:c r="L814" s="40" t="n">
        <x:v>1</x:v>
      </x:c>
    </x:row>
    <x:row r="815" ht="23" customHeight="1">
      <x:c r="B815" s="17" t="str">
        <x:v>Round1</x:v>
      </x:c>
      <x:c r="C815" s="17" t="str">
        <x:v>condition</x:v>
      </x:c>
      <x:c r="D815" s="17" t="str">
        <x:v>Collections_10</x:v>
      </x:c>
      <x:c r="E815" s="32" t="n">
        <x:v>0.875</x:v>
      </x:c>
      <x:c r="F815" s="32" t="n">
        <x:v>0.22920000000000001</x:v>
      </x:c>
      <x:c r="G815" s="32" t="n">
        <x:v>0.8332999999999999</x:v>
      </x:c>
      <x:c r="H815" s="32" t="n">
        <x:v>0.375</x:v>
      </x:c>
      <x:c r="I815" s="40" t="n">
        <x:v>1</x:v>
      </x:c>
      <x:c r="J815" s="40" t="n">
        <x:v>1</x:v>
      </x:c>
      <x:c r="K815" s="40" t="n">
        <x:v>1</x:v>
      </x:c>
      <x:c r="L815" s="40" t="n">
        <x:v>1</x:v>
      </x:c>
    </x:row>
    <x:row r="816" ht="23" customHeight="1">
      <x:c r="B816" s="17" t="str">
        <x:v>Round1</x:v>
      </x:c>
      <x:c r="C816" s="17" t="str">
        <x:v>condition</x:v>
      </x:c>
      <x:c r="D816" s="17" t="str">
        <x:v>Collections_11</x:v>
      </x:c>
      <x:c r="E816" s="32" t="n">
        <x:v>1</x:v>
      </x:c>
      <x:c r="F816" s="32" t="n">
        <x:v>0.9167000000000001</x:v>
      </x:c>
      <x:c r="G816" s="32" t="n">
        <x:v>1</x:v>
      </x:c>
      <x:c r="H816" s="32" t="n">
        <x:v>0.75</x:v>
      </x:c>
      <x:c r="I816" s="40" t="n">
        <x:v>1</x:v>
      </x:c>
      <x:c r="J816" s="40" t="n">
        <x:v>1</x:v>
      </x:c>
      <x:c r="K816" s="40" t="n">
        <x:v>1</x:v>
      </x:c>
      <x:c r="L816" s="40" t="n">
        <x:v>1</x:v>
      </x:c>
    </x:row>
    <x:row r="817" ht="23" customHeight="1">
      <x:c r="B817" s="17" t="str">
        <x:v>Round1</x:v>
      </x:c>
      <x:c r="C817" s="17" t="str">
        <x:v>condition</x:v>
      </x:c>
      <x:c r="D817" s="17" t="str">
        <x:v>Collections_20</x:v>
      </x:c>
      <x:c r="E817" s="32" t="n">
        <x:v>0.8896</x:v>
      </x:c>
      <x:c r="F817" s="32" t="n">
        <x:v>0.3506</x:v>
      </x:c>
      <x:c r="G817" s="32" t="n">
        <x:v>0.6883</x:v>
      </x:c>
      <x:c r="H817" s="32" t="n">
        <x:v>0.8831</x:v>
      </x:c>
      <x:c r="I817" s="40" t="n">
        <x:v>1</x:v>
      </x:c>
      <x:c r="J817" s="40" t="n">
        <x:v>1</x:v>
      </x:c>
      <x:c r="K817" s="40" t="n">
        <x:v>1</x:v>
      </x:c>
      <x:c r="L817" s="40" t="n">
        <x:v>1</x:v>
      </x:c>
    </x:row>
    <x:row r="818" ht="23" customHeight="1">
      <x:c r="B818" s="17" t="str">
        <x:v>Round1</x:v>
      </x:c>
      <x:c r="C818" s="17" t="str">
        <x:v>condition</x:v>
      </x:c>
      <x:c r="D818" s="17" t="str">
        <x:v>Collections_21</x:v>
      </x:c>
      <x:c r="E818" s="32" t="n">
        <x:v>0.9211</x:v>
      </x:c>
      <x:c r="F818" s="32" t="n">
        <x:v>0.4474</x:v>
      </x:c>
      <x:c r="G818" s="32" t="n">
        <x:v>0.9473999999999999</x:v>
      </x:c>
      <x:c r="H818" s="32" t="n">
        <x:v>1</x:v>
      </x:c>
      <x:c r="I818" s="40" t="n">
        <x:v>1</x:v>
      </x:c>
      <x:c r="J818" s="40" t="n">
        <x:v>1</x:v>
      </x:c>
      <x:c r="K818" s="40" t="n">
        <x:v>1</x:v>
      </x:c>
      <x:c r="L818" s="40" t="n">
        <x:v>1</x:v>
      </x:c>
    </x:row>
    <x:row r="819" ht="23" customHeight="1">
      <x:c r="B819" s="17" t="str">
        <x:v>Round1</x:v>
      </x:c>
      <x:c r="C819" s="17" t="str">
        <x:v>condition</x:v>
      </x:c>
      <x:c r="D819" s="17" t="str">
        <x:v>Collections_24</x:v>
      </x:c>
      <x:c r="E819" s="32" t="n">
        <x:v>1</x:v>
      </x:c>
      <x:c r="F819" s="32" t="n">
        <x:v>0</x:v>
      </x:c>
      <x:c r="G819" s="32" t="n">
        <x:v>1</x:v>
      </x:c>
      <x:c r="H819" s="32" t="n">
        <x:v>1</x:v>
      </x:c>
      <x:c r="I819" s="40" t="n">
        <x:v>1</x:v>
      </x:c>
      <x:c r="J819" s="40" t="n">
        <x:v>1</x:v>
      </x:c>
      <x:c r="K819" s="40" t="n">
        <x:v>1</x:v>
      </x:c>
      <x:c r="L819" s="40" t="n">
        <x:v>1</x:v>
      </x:c>
    </x:row>
    <x:row r="820" ht="23" customHeight="1">
      <x:c r="B820" s="17" t="str">
        <x:v>Round1</x:v>
      </x:c>
      <x:c r="C820" s="17" t="str">
        <x:v>condition</x:v>
      </x:c>
      <x:c r="D820" s="17" t="str">
        <x:v>Collections_26</x:v>
      </x:c>
      <x:c r="E820" s="32" t="n">
        <x:v>1</x:v>
      </x:c>
      <x:c r="F820" s="32" t="n">
        <x:v>0.9167000000000001</x:v>
      </x:c>
      <x:c r="G820" s="32" t="n">
        <x:v>1</x:v>
      </x:c>
      <x:c r="H820" s="32" t="n">
        <x:v>0.75</x:v>
      </x:c>
      <x:c r="I820" s="40" t="n">
        <x:v>1</x:v>
      </x:c>
      <x:c r="J820" s="40" t="n">
        <x:v>1</x:v>
      </x:c>
      <x:c r="K820" s="40" t="n">
        <x:v>1</x:v>
      </x:c>
      <x:c r="L820" s="40" t="n">
        <x:v>1</x:v>
      </x:c>
    </x:row>
    <x:row r="821" ht="23" customHeight="1">
      <x:c r="B821" s="17" t="str">
        <x:v>Round1</x:v>
      </x:c>
      <x:c r="C821" s="17" t="str">
        <x:v>condition</x:v>
      </x:c>
      <x:c r="D821" s="17" t="str">
        <x:v>Collections_27</x:v>
      </x:c>
      <x:c r="E821" s="32" t="n">
        <x:v>0.78</x:v>
      </x:c>
      <x:c r="F821" s="32" t="n">
        <x:v>0.3</x:v>
      </x:c>
      <x:c r="G821" s="32" t="n">
        <x:v>0.82</x:v>
      </x:c>
      <x:c r="H821" s="32" t="n">
        <x:v>0.44</x:v>
      </x:c>
      <x:c r="I821" s="40" t="n">
        <x:v>1</x:v>
      </x:c>
      <x:c r="J821" s="40" t="n">
        <x:v>1</x:v>
      </x:c>
      <x:c r="K821" s="40" t="n">
        <x:v>1</x:v>
      </x:c>
      <x:c r="L821" s="40" t="n">
        <x:v>1</x:v>
      </x:c>
    </x:row>
    <x:row r="822" ht="23" customHeight="1">
      <x:c r="B822" s="17" t="str">
        <x:v>Round1</x:v>
      </x:c>
      <x:c r="C822" s="17" t="str">
        <x:v>condition</x:v>
      </x:c>
      <x:c r="D822" s="17" t="str">
        <x:v>Collections_5</x:v>
      </x:c>
      <x:c r="E822" s="32" t="n">
        <x:v>1</x:v>
      </x:c>
      <x:c r="F822" s="32" t="n">
        <x:v>0.05</x:v>
      </x:c>
      <x:c r="G822" s="32" t="n">
        <x:v>0.95</x:v>
      </x:c>
      <x:c r="H822" s="32" t="n">
        <x:v>0.6</x:v>
      </x:c>
      <x:c r="I822" s="40" t="n">
        <x:v>1</x:v>
      </x:c>
      <x:c r="J822" s="40" t="n">
        <x:v>1</x:v>
      </x:c>
      <x:c r="K822" s="40" t="n">
        <x:v>1</x:v>
      </x:c>
      <x:c r="L822" s="40" t="n">
        <x:v>1</x:v>
      </x:c>
    </x:row>
    <x:row r="823" ht="23" customHeight="1">
      <x:c r="B823" s="17" t="str">
        <x:v>Round1</x:v>
      </x:c>
      <x:c r="C823" s="17" t="str">
        <x:v>condition</x:v>
      </x:c>
      <x:c r="D823" s="17" t="str">
        <x:v>Collections_6</x:v>
      </x:c>
      <x:c r="E823" s="32" t="n">
        <x:v>0.5771000000000001</x:v>
      </x:c>
      <x:c r="F823" s="32" t="n">
        <x:v>0.053200000000000004</x:v>
      </x:c>
      <x:c r="G823" s="32" t="n">
        <x:v>0.5133</x:v>
      </x:c>
      <x:c r="H823" s="32" t="n">
        <x:v>0.2553</x:v>
      </x:c>
      <x:c r="I823" s="40" t="n">
        <x:v>1</x:v>
      </x:c>
      <x:c r="J823" s="40" t="n">
        <x:v>1</x:v>
      </x:c>
      <x:c r="K823" s="40" t="n">
        <x:v>1</x:v>
      </x:c>
      <x:c r="L823" s="40" t="n">
        <x:v>1</x:v>
      </x:c>
    </x:row>
    <x:row r="824" ht="23" customHeight="1">
      <x:c r="B824" s="17" t="str">
        <x:v>Round1</x:v>
      </x:c>
      <x:c r="C824" s="17" t="str">
        <x:v>condition</x:v>
      </x:c>
      <x:c r="D824" s="17" t="str">
        <x:v>Compress_14</x:v>
      </x:c>
      <x:c r="E824" s="32" t="n">
        <x:v>0.8939</x:v>
      </x:c>
      <x:c r="F824" s="32" t="n">
        <x:v>0.43939999999999996</x:v>
      </x:c>
      <x:c r="G824" s="32" t="n">
        <x:v>0.7121</x:v>
      </x:c>
      <x:c r="H824" s="32" t="n">
        <x:v>0.9545</x:v>
      </x:c>
      <x:c r="I824" s="40" t="n">
        <x:v>1</x:v>
      </x:c>
      <x:c r="J824" s="40" t="n">
        <x:v>1</x:v>
      </x:c>
      <x:c r="K824" s="40" t="n">
        <x:v>1</x:v>
      </x:c>
      <x:c r="L824" s="40" t="n">
        <x:v>1</x:v>
      </x:c>
    </x:row>
    <x:row r="825" ht="23" customHeight="1">
      <x:c r="B825" s="17" t="str">
        <x:v>Round1</x:v>
      </x:c>
      <x:c r="C825" s="17" t="str">
        <x:v>condition</x:v>
      </x:c>
      <x:c r="D825" s="17" t="str">
        <x:v>Compress_20</x:v>
      </x:c>
      <x:c r="E825" s="32" t="n">
        <x:v>0.386</x:v>
      </x:c>
      <x:c r="F825" s="32" t="n">
        <x:v>0.2018</x:v>
      </x:c>
      <x:c r="G825" s="32" t="n">
        <x:v>0.2895</x:v>
      </x:c>
      <x:c r="H825" s="32" t="n">
        <x:v>0.9211</x:v>
      </x:c>
      <x:c r="I825" s="40" t="n">
        <x:v>1</x:v>
      </x:c>
      <x:c r="J825" s="40" t="n">
        <x:v>1</x:v>
      </x:c>
      <x:c r="K825" s="40" t="n">
        <x:v>1</x:v>
      </x:c>
      <x:c r="L825" s="40" t="n">
        <x:v>1</x:v>
      </x:c>
    </x:row>
    <x:row r="826" ht="23" customHeight="1">
      <x:c r="B826" s="17" t="str">
        <x:v>Round1</x:v>
      </x:c>
      <x:c r="C826" s="17" t="str">
        <x:v>condition</x:v>
      </x:c>
      <x:c r="D826" s="17" t="str">
        <x:v>Compress_21</x:v>
      </x:c>
      <x:c r="E826" s="32" t="n">
        <x:v>0.6838</x:v>
      </x:c>
      <x:c r="F826" s="32" t="n">
        <x:v>0</x:v>
      </x:c>
      <x:c r="G826" s="32" t="n">
        <x:v>0.5956</x:v>
      </x:c>
      <x:c r="H826" s="32" t="n">
        <x:v>0.9044</x:v>
      </x:c>
      <x:c r="I826" s="40" t="n">
        <x:v>1</x:v>
      </x:c>
      <x:c r="J826" s="40" t="n">
        <x:v>1</x:v>
      </x:c>
      <x:c r="K826" s="40" t="n">
        <x:v>1</x:v>
      </x:c>
      <x:c r="L826" s="40" t="n">
        <x:v>1</x:v>
      </x:c>
    </x:row>
    <x:row r="827" ht="23" customHeight="1">
      <x:c r="B827" s="17" t="str">
        <x:v>Round1</x:v>
      </x:c>
      <x:c r="C827" s="17" t="str">
        <x:v>condition</x:v>
      </x:c>
      <x:c r="D827" s="17" t="str">
        <x:v>Compress_30</x:v>
      </x:c>
      <x:c r="E827" s="32" t="n">
        <x:v>0.0377</x:v>
      </x:c>
      <x:c r="F827" s="32" t="n">
        <x:v>0.0151</x:v>
      </x:c>
      <x:c r="G827" s="32" t="n">
        <x:v>0.0717</x:v>
      </x:c>
      <x:c r="H827" s="32" t="n">
        <x:v>0.24530000000000002</x:v>
      </x:c>
      <x:c r="I827" s="40" t="n">
        <x:v>1</x:v>
      </x:c>
      <x:c r="J827" s="40" t="n">
        <x:v>1</x:v>
      </x:c>
      <x:c r="K827" s="40" t="n">
        <x:v>1</x:v>
      </x:c>
      <x:c r="L827" s="40" t="n">
        <x:v>1</x:v>
      </x:c>
    </x:row>
    <x:row r="828" ht="23" customHeight="1">
      <x:c r="B828" s="17" t="str">
        <x:v>Round1</x:v>
      </x:c>
      <x:c r="C828" s="17" t="str">
        <x:v>condition</x:v>
      </x:c>
      <x:c r="D828" s="17" t="str">
        <x:v>Compress_32</x:v>
      </x:c>
      <x:c r="E828" s="32" t="n">
        <x:v>0.2937</x:v>
      </x:c>
      <x:c r="F828" s="32" t="n">
        <x:v>0.1429</x:v>
      </x:c>
      <x:c r="G828" s="32" t="n">
        <x:v>0.3016</x:v>
      </x:c>
      <x:c r="H828" s="32" t="n">
        <x:v>0.6349</x:v>
      </x:c>
      <x:c r="I828" s="40" t="n">
        <x:v>1</x:v>
      </x:c>
      <x:c r="J828" s="40" t="n">
        <x:v>1</x:v>
      </x:c>
      <x:c r="K828" s="40" t="n">
        <x:v>1</x:v>
      </x:c>
      <x:c r="L828" s="40" t="n">
        <x:v>1</x:v>
      </x:c>
    </x:row>
    <x:row r="829" ht="23" customHeight="1">
      <x:c r="B829" s="17" t="str">
        <x:v>Round1</x:v>
      </x:c>
      <x:c r="C829" s="17" t="str">
        <x:v>condition</x:v>
      </x:c>
      <x:c r="D829" s="17" t="str">
        <x:v>Compress_36</x:v>
      </x:c>
      <x:c r="E829" s="32" t="n">
        <x:v>0.019799999999999998</x:v>
      </x:c>
      <x:c r="F829" s="32" t="n">
        <x:v>0.019799999999999998</x:v>
      </x:c>
      <x:c r="G829" s="32" t="n">
        <x:v>0.033</x:v>
      </x:c>
      <x:c r="H829" s="32" t="n">
        <x:v>0.505</x:v>
      </x:c>
      <x:c r="I829" s="40" t="n">
        <x:v>1</x:v>
      </x:c>
      <x:c r="J829" s="40" t="n">
        <x:v>1</x:v>
      </x:c>
      <x:c r="K829" s="40" t="n">
        <x:v>1</x:v>
      </x:c>
      <x:c r="L829" s="40" t="n">
        <x:v>1</x:v>
      </x:c>
    </x:row>
    <x:row r="830" ht="23" customHeight="1">
      <x:c r="B830" s="17" t="str">
        <x:v>Round1</x:v>
      </x:c>
      <x:c r="C830" s="17" t="str">
        <x:v>condition</x:v>
      </x:c>
      <x:c r="D830" s="17" t="str">
        <x:v>Compress_45</x:v>
      </x:c>
      <x:c r="E830" s="32" t="n">
        <x:v>0.8056</x:v>
      </x:c>
      <x:c r="F830" s="32" t="n">
        <x:v>0.287</x:v>
      </x:c>
      <x:c r="G830" s="32" t="n">
        <x:v>0.6111</x:v>
      </x:c>
      <x:c r="H830" s="32" t="n">
        <x:v>0.6667000000000001</x:v>
      </x:c>
      <x:c r="I830" s="40" t="n">
        <x:v>1</x:v>
      </x:c>
      <x:c r="J830" s="40" t="n">
        <x:v>1</x:v>
      </x:c>
      <x:c r="K830" s="40" t="n">
        <x:v>1</x:v>
      </x:c>
      <x:c r="L830" s="40" t="n">
        <x:v>1</x:v>
      </x:c>
    </x:row>
    <x:row r="831" ht="23" customHeight="1">
      <x:c r="B831" s="17" t="str">
        <x:v>Round1</x:v>
      </x:c>
      <x:c r="C831" s="17" t="str">
        <x:v>condition</x:v>
      </x:c>
      <x:c r="D831" s="17" t="str">
        <x:v>Compress_47</x:v>
      </x:c>
      <x:c r="E831" s="32" t="n">
        <x:v>0.10619999999999999</x:v>
      </x:c>
      <x:c r="F831" s="32" t="n">
        <x:v>0.0659</x:v>
      </x:c>
      <x:c r="G831" s="32" t="n">
        <x:v>0.4725</x:v>
      </x:c>
      <x:c r="H831" s="32" t="n">
        <x:v>0.37</x:v>
      </x:c>
      <x:c r="I831" s="40" t="n">
        <x:v>1</x:v>
      </x:c>
      <x:c r="J831" s="40" t="n">
        <x:v>1</x:v>
      </x:c>
      <x:c r="K831" s="40" t="n">
        <x:v>1</x:v>
      </x:c>
      <x:c r="L831" s="40" t="n">
        <x:v>1</x:v>
      </x:c>
    </x:row>
    <x:row r="832" ht="23" customHeight="1">
      <x:c r="B832" s="17" t="str">
        <x:v>Round1</x:v>
      </x:c>
      <x:c r="C832" s="17" t="str">
        <x:v>condition</x:v>
      </x:c>
      <x:c r="D832" s="17" t="str">
        <x:v>Compress_8</x:v>
      </x:c>
      <x:c r="E832" s="32" t="n">
        <x:v>0.9473999999999999</x:v>
      </x:c>
      <x:c r="F832" s="32" t="n">
        <x:v>0.7631999999999999</x:v>
      </x:c>
      <x:c r="G832" s="32" t="n">
        <x:v>0.9211</x:v>
      </x:c>
      <x:c r="H832" s="32" t="n">
        <x:v>0.9737</x:v>
      </x:c>
      <x:c r="I832" s="40" t="n">
        <x:v>1</x:v>
      </x:c>
      <x:c r="J832" s="40" t="n">
        <x:v>1</x:v>
      </x:c>
      <x:c r="K832" s="40" t="n">
        <x:v>1</x:v>
      </x:c>
      <x:c r="L832" s="40" t="n">
        <x:v>1</x:v>
      </x:c>
    </x:row>
    <x:row r="833" ht="23" customHeight="1">
      <x:c r="B833" s="17" t="str">
        <x:v>Round1</x:v>
      </x:c>
      <x:c r="C833" s="17" t="str">
        <x:v>condition</x:v>
      </x:c>
      <x:c r="D833" s="17" t="str">
        <x:v>Compress_9</x:v>
      </x:c>
      <x:c r="E833" s="32" t="n">
        <x:v>0.6667000000000001</x:v>
      </x:c>
      <x:c r="F833" s="32" t="n">
        <x:v>0.3095</x:v>
      </x:c>
      <x:c r="G833" s="32" t="n">
        <x:v>0.8332999999999999</x:v>
      </x:c>
      <x:c r="H833" s="32" t="n">
        <x:v>1</x:v>
      </x:c>
      <x:c r="I833" s="40" t="n">
        <x:v>1</x:v>
      </x:c>
      <x:c r="J833" s="40" t="n">
        <x:v>1</x:v>
      </x:c>
      <x:c r="K833" s="40" t="n">
        <x:v>1</x:v>
      </x:c>
      <x:c r="L833" s="40" t="n">
        <x:v>1</x:v>
      </x:c>
    </x:row>
    <x:row r="834" ht="23" customHeight="1">
      <x:c r="B834" s="17" t="str">
        <x:v>Round1</x:v>
      </x:c>
      <x:c r="C834" s="17" t="str">
        <x:v>condition</x:v>
      </x:c>
      <x:c r="D834" s="17" t="str">
        <x:v>Csv_1</x:v>
      </x:c>
      <x:c r="E834" s="32" t="n">
        <x:v>0.5909</x:v>
      </x:c>
      <x:c r="F834" s="32" t="n">
        <x:v>0</x:v>
      </x:c>
      <x:c r="G834" s="32" t="n">
        <x:v>0.9545</x:v>
      </x:c>
      <x:c r="H834" s="32" t="n">
        <x:v>0.9545</x:v>
      </x:c>
      <x:c r="I834" s="40" t="n">
        <x:v>1</x:v>
      </x:c>
      <x:c r="J834" s="40" t="n">
        <x:v>1</x:v>
      </x:c>
      <x:c r="K834" s="40" t="n">
        <x:v>1</x:v>
      </x:c>
      <x:c r="L834" s="40" t="n">
        <x:v>1</x:v>
      </x:c>
    </x:row>
    <x:row r="835" ht="23" customHeight="1">
      <x:c r="B835" s="17" t="str">
        <x:v>Round1</x:v>
      </x:c>
      <x:c r="C835" s="17" t="str">
        <x:v>condition</x:v>
      </x:c>
      <x:c r="D835" s="17" t="str">
        <x:v>Csv_2</x:v>
      </x:c>
      <x:c r="E835" s="32" t="n">
        <x:v>1</x:v>
      </x:c>
      <x:c r="F835" s="32" t="n">
        <x:v>0.3125</x:v>
      </x:c>
      <x:c r="G835" s="32" t="n">
        <x:v>1</x:v>
      </x:c>
      <x:c r="H835" s="32" t="n">
        <x:v>1</x:v>
      </x:c>
      <x:c r="I835" s="40" t="n">
        <x:v>1</x:v>
      </x:c>
      <x:c r="J835" s="40" t="n">
        <x:v>1</x:v>
      </x:c>
      <x:c r="K835" s="40" t="n">
        <x:v>1</x:v>
      </x:c>
      <x:c r="L835" s="40" t="n">
        <x:v>1</x:v>
      </x:c>
    </x:row>
    <x:row r="836" ht="23" customHeight="1">
      <x:c r="B836" s="17" t="str">
        <x:v>Round1</x:v>
      </x:c>
      <x:c r="C836" s="17" t="str">
        <x:v>condition</x:v>
      </x:c>
      <x:c r="D836" s="17" t="str">
        <x:v>Csv_6</x:v>
      </x:c>
      <x:c r="E836" s="32" t="n">
        <x:v>1</x:v>
      </x:c>
      <x:c r="F836" s="32" t="n">
        <x:v>0.3333</x:v>
      </x:c>
      <x:c r="G836" s="32" t="n">
        <x:v>0.8332999999999999</x:v>
      </x:c>
      <x:c r="H836" s="32" t="n">
        <x:v>1</x:v>
      </x:c>
      <x:c r="I836" s="40" t="n">
        <x:v>1</x:v>
      </x:c>
      <x:c r="J836" s="40" t="n">
        <x:v>1</x:v>
      </x:c>
      <x:c r="K836" s="40" t="n">
        <x:v>1</x:v>
      </x:c>
      <x:c r="L836" s="40" t="n">
        <x:v>1</x:v>
      </x:c>
    </x:row>
    <x:row r="837" ht="23" customHeight="1">
      <x:c r="B837" s="17" t="str">
        <x:v>Round1</x:v>
      </x:c>
      <x:c r="C837" s="17" t="str">
        <x:v>condition</x:v>
      </x:c>
      <x:c r="D837" s="17" t="str">
        <x:v>Csv_7</x:v>
      </x:c>
      <x:c r="E837" s="32" t="n">
        <x:v>0.76</x:v>
      </x:c>
      <x:c r="F837" s="32" t="n">
        <x:v>0</x:v>
      </x:c>
      <x:c r="G837" s="32" t="n">
        <x:v>0.68</x:v>
      </x:c>
      <x:c r="H837" s="32" t="n">
        <x:v>0.56</x:v>
      </x:c>
      <x:c r="I837" s="40" t="n">
        <x:v>1</x:v>
      </x:c>
      <x:c r="J837" s="40" t="n">
        <x:v>1</x:v>
      </x:c>
      <x:c r="K837" s="40" t="n">
        <x:v>1</x:v>
      </x:c>
      <x:c r="L837" s="40" t="n">
        <x:v>1</x:v>
      </x:c>
    </x:row>
    <x:row r="838" ht="23" customHeight="1">
      <x:c r="B838" s="17" t="str">
        <x:v>Round1</x:v>
      </x:c>
      <x:c r="C838" s="17" t="str">
        <x:v>condition</x:v>
      </x:c>
      <x:c r="D838" s="17" t="str">
        <x:v>Csv_9</x:v>
      </x:c>
      <x:c r="E838" s="32" t="n">
        <x:v>1</x:v>
      </x:c>
      <x:c r="F838" s="32" t="n">
        <x:v>0.2727</x:v>
      </x:c>
      <x:c r="G838" s="32" t="n">
        <x:v>0.9545</x:v>
      </x:c>
      <x:c r="H838" s="32" t="n">
        <x:v>1</x:v>
      </x:c>
      <x:c r="I838" s="40" t="n">
        <x:v>1</x:v>
      </x:c>
      <x:c r="J838" s="40" t="n">
        <x:v>1</x:v>
      </x:c>
      <x:c r="K838" s="40" t="n">
        <x:v>1</x:v>
      </x:c>
      <x:c r="L838" s="40" t="n">
        <x:v>1</x:v>
      </x:c>
    </x:row>
    <x:row r="839" ht="23" customHeight="1">
      <x:c r="B839" s="17" t="str">
        <x:v>Round1</x:v>
      </x:c>
      <x:c r="C839" s="17" t="str">
        <x:v>condition</x:v>
      </x:c>
      <x:c r="D839" s="17" t="str">
        <x:v>Gson_1</x:v>
      </x:c>
      <x:c r="E839" s="32" t="n">
        <x:v>0</x:v>
      </x:c>
      <x:c r="F839" s="32" t="n">
        <x:v>0</x:v>
      </x:c>
      <x:c r="G839" s="32" t="n">
        <x:v>0.5455</x:v>
      </x:c>
      <x:c r="H839" s="32" t="n">
        <x:v>0.9545</x:v>
      </x:c>
      <x:c r="I839" s="40" t="n">
        <x:v>1</x:v>
      </x:c>
      <x:c r="J839" s="40" t="n">
        <x:v>1</x:v>
      </x:c>
      <x:c r="K839" s="40" t="n">
        <x:v>1</x:v>
      </x:c>
      <x:c r="L839" s="40" t="n">
        <x:v>1</x:v>
      </x:c>
    </x:row>
    <x:row r="840" ht="23" customHeight="1">
      <x:c r="B840" s="17" t="str">
        <x:v>Round1</x:v>
      </x:c>
      <x:c r="C840" s="17" t="str">
        <x:v>condition</x:v>
      </x:c>
      <x:c r="D840" s="17" t="str">
        <x:v>Gson_3</x:v>
      </x:c>
      <x:c r="E840" s="32" t="n">
        <x:v>0</x:v>
      </x:c>
      <x:c r="F840" s="32" t="n">
        <x:v>0</x:v>
      </x:c>
      <x:c r="G840" s="32" t="n">
        <x:v>0.6562</x:v>
      </x:c>
      <x:c r="H840" s="32" t="n">
        <x:v>0.9688</x:v>
      </x:c>
      <x:c r="I840" s="40" t="n">
        <x:v>1</x:v>
      </x:c>
      <x:c r="J840" s="40" t="n">
        <x:v>1</x:v>
      </x:c>
      <x:c r="K840" s="40" t="n">
        <x:v>1</x:v>
      </x:c>
      <x:c r="L840" s="40" t="n">
        <x:v>1</x:v>
      </x:c>
    </x:row>
    <x:row r="841" ht="23" customHeight="1">
      <x:c r="B841" s="17" t="str">
        <x:v>Round1</x:v>
      </x:c>
      <x:c r="C841" s="17" t="str">
        <x:v>condition</x:v>
      </x:c>
      <x:c r="D841" s="17" t="str">
        <x:v>Gson_5</x:v>
      </x:c>
      <x:c r="E841" s="32" t="n">
        <x:v>0.7079000000000001</x:v>
      </x:c>
      <x:c r="F841" s="32" t="n">
        <x:v>0</x:v>
      </x:c>
      <x:c r="G841" s="32" t="n">
        <x:v>0.7528</x:v>
      </x:c>
      <x:c r="H841" s="32" t="n">
        <x:v>0.8764</x:v>
      </x:c>
      <x:c r="I841" s="40" t="n">
        <x:v>1</x:v>
      </x:c>
      <x:c r="J841" s="40" t="n">
        <x:v>1</x:v>
      </x:c>
      <x:c r="K841" s="40" t="n">
        <x:v>1</x:v>
      </x:c>
      <x:c r="L841" s="40" t="n">
        <x:v>1</x:v>
      </x:c>
    </x:row>
    <x:row r="842" ht="23" customHeight="1">
      <x:c r="B842" s="17" t="str">
        <x:v>Round1</x:v>
      </x:c>
      <x:c r="C842" s="17" t="str">
        <x:v>condition</x:v>
      </x:c>
      <x:c r="D842" s="17" t="str">
        <x:v>JacksonCore_26</x:v>
      </x:c>
      <x:c r="E842" s="32" t="n">
        <x:v>0.122</x:v>
      </x:c>
      <x:c r="F842" s="32" t="n">
        <x:v>0</x:v>
      </x:c>
      <x:c r="G842" s="32" t="n">
        <x:v>0.10619999999999999</x:v>
      </x:c>
      <x:c r="H842" s="32" t="n">
        <x:v>0.0873</x:v>
      </x:c>
      <x:c r="I842" s="40" t="n">
        <x:v>1</x:v>
      </x:c>
      <x:c r="J842" s="40" t="n">
        <x:v>1</x:v>
      </x:c>
      <x:c r="K842" s="40" t="n">
        <x:v>1</x:v>
      </x:c>
      <x:c r="L842" s="40" t="n">
        <x:v>1</x:v>
      </x:c>
    </x:row>
    <x:row r="843" ht="23" customHeight="1">
      <x:c r="B843" s="17" t="str">
        <x:v>Round1</x:v>
      </x:c>
      <x:c r="C843" s="17" t="str">
        <x:v>condition</x:v>
      </x:c>
      <x:c r="D843" s="17" t="str">
        <x:v>JacksonCore_6</x:v>
      </x:c>
      <x:c r="E843" s="32" t="n">
        <x:v>0.9355</x:v>
      </x:c>
      <x:c r="F843" s="32" t="n">
        <x:v>0.4677</x:v>
      </x:c>
      <x:c r="G843" s="32" t="n">
        <x:v>0.871</x:v>
      </x:c>
      <x:c r="H843" s="32" t="n">
        <x:v>0.7581</x:v>
      </x:c>
      <x:c r="I843" s="40" t="n">
        <x:v>1</x:v>
      </x:c>
      <x:c r="J843" s="40" t="n">
        <x:v>1</x:v>
      </x:c>
      <x:c r="K843" s="40" t="n">
        <x:v>1</x:v>
      </x:c>
      <x:c r="L843" s="40" t="n">
        <x:v>1</x:v>
      </x:c>
    </x:row>
    <x:row r="844" ht="23" customHeight="1">
      <x:c r="B844" s="17" t="str">
        <x:v>Round1</x:v>
      </x:c>
      <x:c r="C844" s="17" t="str">
        <x:v>condition</x:v>
      </x:c>
      <x:c r="D844" s="17" t="str">
        <x:v>JacksonCore_8</x:v>
      </x:c>
      <x:c r="E844" s="32" t="n">
        <x:v>0.971</x:v>
      </x:c>
      <x:c r="F844" s="32" t="n">
        <x:v>0.3406</x:v>
      </x:c>
      <x:c r="G844" s="32" t="n">
        <x:v>0.4855</x:v>
      </x:c>
      <x:c r="H844" s="32" t="n">
        <x:v>0.8913</x:v>
      </x:c>
      <x:c r="I844" s="40" t="n">
        <x:v>1</x:v>
      </x:c>
      <x:c r="J844" s="40" t="n">
        <x:v>1</x:v>
      </x:c>
      <x:c r="K844" s="40" t="n">
        <x:v>1</x:v>
      </x:c>
      <x:c r="L844" s="40" t="n">
        <x:v>1</x:v>
      </x:c>
    </x:row>
    <x:row r="845" ht="23" customHeight="1">
      <x:c r="B845" s="17" t="str">
        <x:v>Round1</x:v>
      </x:c>
      <x:c r="C845" s="17" t="str">
        <x:v>condition</x:v>
      </x:c>
      <x:c r="D845" s="17" t="str">
        <x:v>JacksonDatabind_105</x:v>
      </x:c>
      <x:c r="E845" s="32" t="n">
        <x:v>0.6667000000000001</x:v>
      </x:c>
      <x:c r="F845" s="32" t="n">
        <x:v>0</x:v>
      </x:c>
      <x:c r="G845" s="32" t="n">
        <x:v>0.8332999999999999</x:v>
      </x:c>
      <x:c r="H845" s="32" t="n">
        <x:v>1</x:v>
      </x:c>
      <x:c r="I845" s="40" t="n">
        <x:v>1</x:v>
      </x:c>
      <x:c r="J845" s="40" t="n">
        <x:v>1</x:v>
      </x:c>
      <x:c r="K845" s="40" t="n">
        <x:v>1</x:v>
      </x:c>
      <x:c r="L845" s="40" t="n">
        <x:v>1</x:v>
      </x:c>
    </x:row>
    <x:row r="846" ht="23" customHeight="1">
      <x:c r="B846" s="17" t="str">
        <x:v>Round1</x:v>
      </x:c>
      <x:c r="C846" s="17" t="str">
        <x:v>condition</x:v>
      </x:c>
      <x:c r="D846" s="17" t="str">
        <x:v>JacksonDatabind_16</x:v>
      </x:c>
      <x:c r="E846" s="32" t="n">
        <x:v>0.19440000000000002</x:v>
      </x:c>
      <x:c r="F846" s="32" t="n">
        <x:v>0.22219999999999998</x:v>
      </x:c>
      <x:c r="G846" s="32" t="n">
        <x:v>0.8611</x:v>
      </x:c>
      <x:c r="H846" s="32" t="n">
        <x:v>1</x:v>
      </x:c>
      <x:c r="I846" s="40" t="n">
        <x:v>1</x:v>
      </x:c>
      <x:c r="J846" s="40" t="n">
        <x:v>1</x:v>
      </x:c>
      <x:c r="K846" s="40" t="n">
        <x:v>1</x:v>
      </x:c>
      <x:c r="L846" s="40" t="n">
        <x:v>1</x:v>
      </x:c>
    </x:row>
    <x:row r="847" ht="23" customHeight="1">
      <x:c r="B847" s="17" t="str">
        <x:v>Round1</x:v>
      </x:c>
      <x:c r="C847" s="17" t="str">
        <x:v>condition</x:v>
      </x:c>
      <x:c r="D847" s="17" t="str">
        <x:v>JacksonDatabind_36</x:v>
      </x:c>
      <x:c r="E847" s="32" t="n">
        <x:v>0.8692</x:v>
      </x:c>
      <x:c r="F847" s="32" t="n">
        <x:v>0.6846</x:v>
      </x:c>
      <x:c r="G847" s="32" t="n">
        <x:v>0.7077</x:v>
      </x:c>
      <x:c r="H847" s="32" t="n">
        <x:v>0</x:v>
      </x:c>
      <x:c r="I847" s="40" t="n">
        <x:v>1</x:v>
      </x:c>
      <x:c r="J847" s="40" t="n">
        <x:v>1</x:v>
      </x:c>
      <x:c r="K847" s="40" t="n">
        <x:v>1</x:v>
      </x:c>
      <x:c r="L847" s="40" t="n">
        <x:v>1</x:v>
      </x:c>
    </x:row>
    <x:row r="848" ht="23" customHeight="1">
      <x:c r="B848" s="17" t="str">
        <x:v>Round1</x:v>
      </x:c>
      <x:c r="C848" s="17" t="str">
        <x:v>condition</x:v>
      </x:c>
      <x:c r="D848" s="17" t="str">
        <x:v>JacksonDatabind_39</x:v>
      </x:c>
      <x:c r="E848" s="32" t="n">
        <x:v>0.5</x:v>
      </x:c>
      <x:c r="F848" s="32" t="n">
        <x:v>0</x:v>
      </x:c>
      <x:c r="G848" s="32" t="n">
        <x:v>1</x:v>
      </x:c>
      <x:c r="H848" s="32" t="n">
        <x:v>1</x:v>
      </x:c>
      <x:c r="I848" s="40" t="n">
        <x:v>1</x:v>
      </x:c>
      <x:c r="J848" s="40" t="n">
        <x:v>1</x:v>
      </x:c>
      <x:c r="K848" s="40" t="n">
        <x:v>1</x:v>
      </x:c>
      <x:c r="L848" s="40" t="n">
        <x:v>1</x:v>
      </x:c>
    </x:row>
    <x:row r="849" ht="23" customHeight="1">
      <x:c r="B849" s="17" t="str">
        <x:v>Round1</x:v>
      </x:c>
      <x:c r="C849" s="17" t="str">
        <x:v>condition</x:v>
      </x:c>
      <x:c r="D849" s="17" t="str">
        <x:v>JacksonDatabind_40</x:v>
      </x:c>
      <x:c r="E849" s="32" t="n">
        <x:v>0.2615</x:v>
      </x:c>
      <x:c r="F849" s="32" t="n">
        <x:v>0.0154</x:v>
      </x:c>
      <x:c r="G849" s="32" t="n">
        <x:v>0.6385000000000001</x:v>
      </x:c>
      <x:c r="H849" s="32" t="n">
        <x:v>0</x:v>
      </x:c>
      <x:c r="I849" s="40" t="n">
        <x:v>1</x:v>
      </x:c>
      <x:c r="J849" s="40" t="n">
        <x:v>1</x:v>
      </x:c>
      <x:c r="K849" s="40" t="n">
        <x:v>1</x:v>
      </x:c>
      <x:c r="L849" s="40" t="n">
        <x:v>1</x:v>
      </x:c>
    </x:row>
    <x:row r="850" ht="23" customHeight="1">
      <x:c r="B850" s="17" t="str">
        <x:v>Round1</x:v>
      </x:c>
      <x:c r="C850" s="17" t="str">
        <x:v>condition</x:v>
      </x:c>
      <x:c r="D850" s="17" t="str">
        <x:v>JacksonDatabind_44</x:v>
      </x:c>
      <x:c r="E850" s="32" t="n">
        <x:v>0.9722</x:v>
      </x:c>
      <x:c r="F850" s="32" t="n">
        <x:v>0</x:v>
      </x:c>
      <x:c r="G850" s="32" t="n">
        <x:v>0.8889</x:v>
      </x:c>
      <x:c r="H850" s="32" t="n">
        <x:v>0</x:v>
      </x:c>
      <x:c r="I850" s="40" t="n">
        <x:v>1</x:v>
      </x:c>
      <x:c r="J850" s="40" t="n">
        <x:v>1</x:v>
      </x:c>
      <x:c r="K850" s="40" t="n">
        <x:v>1</x:v>
      </x:c>
      <x:c r="L850" s="40" t="n">
        <x:v>1</x:v>
      </x:c>
    </x:row>
    <x:row r="851" ht="23" customHeight="1">
      <x:c r="B851" s="17" t="str">
        <x:v>Round1</x:v>
      </x:c>
      <x:c r="C851" s="17" t="str">
        <x:v>condition</x:v>
      </x:c>
      <x:c r="D851" s="17" t="str">
        <x:v>JacksonDatabind_5</x:v>
      </x:c>
      <x:c r="E851" s="32" t="n">
        <x:v>0.7095999999999999</x:v>
      </x:c>
      <x:c r="F851" s="32" t="n">
        <x:v>0</x:v>
      </x:c>
      <x:c r="G851" s="32" t="n">
        <x:v>0.3897</x:v>
      </x:c>
      <x:c r="H851" s="32" t="n">
        <x:v>0</x:v>
      </x:c>
      <x:c r="I851" s="40" t="n">
        <x:v>1</x:v>
      </x:c>
      <x:c r="J851" s="40" t="n">
        <x:v>1</x:v>
      </x:c>
      <x:c r="K851" s="40" t="n">
        <x:v>1</x:v>
      </x:c>
      <x:c r="L851" s="40" t="n">
        <x:v>1</x:v>
      </x:c>
    </x:row>
    <x:row r="852" ht="23" customHeight="1">
      <x:c r="B852" s="17" t="str">
        <x:v>Round1</x:v>
      </x:c>
      <x:c r="C852" s="17" t="str">
        <x:v>condition</x:v>
      </x:c>
      <x:c r="D852" s="17" t="str">
        <x:v>JacksonDatabind_53</x:v>
      </x:c>
      <x:c r="E852" s="32" t="n">
        <x:v>0.7601</x:v>
      </x:c>
      <x:c r="F852" s="32" t="n">
        <x:v>0.2717</x:v>
      </x:c>
      <x:c r="G852" s="32" t="n">
        <x:v>0.6936</x:v>
      </x:c>
      <x:c r="H852" s="32" t="n">
        <x:v>0.0116</x:v>
      </x:c>
      <x:c r="I852" s="40" t="n">
        <x:v>1</x:v>
      </x:c>
      <x:c r="J852" s="40" t="n">
        <x:v>1</x:v>
      </x:c>
      <x:c r="K852" s="40" t="n">
        <x:v>1</x:v>
      </x:c>
      <x:c r="L852" s="40" t="n">
        <x:v>1</x:v>
      </x:c>
    </x:row>
    <x:row r="853" ht="23" customHeight="1">
      <x:c r="B853" s="17" t="str">
        <x:v>Round1</x:v>
      </x:c>
      <x:c r="C853" s="17" t="str">
        <x:v>condition</x:v>
      </x:c>
      <x:c r="D853" s="17" t="str">
        <x:v>JacksonDatabind_55</x:v>
      </x:c>
      <x:c r="E853" s="32" t="n">
        <x:v>0.7837999999999999</x:v>
      </x:c>
      <x:c r="F853" s="32" t="n">
        <x:v>0.027000000000000003</x:v>
      </x:c>
      <x:c r="G853" s="32" t="n">
        <x:v>0.8649</x:v>
      </x:c>
      <x:c r="H853" s="32" t="n">
        <x:v>0</x:v>
      </x:c>
      <x:c r="I853" s="40" t="n">
        <x:v>1</x:v>
      </x:c>
      <x:c r="J853" s="40" t="n">
        <x:v>1</x:v>
      </x:c>
      <x:c r="K853" s="40" t="n">
        <x:v>1</x:v>
      </x:c>
      <x:c r="L853" s="40" t="n">
        <x:v>1</x:v>
      </x:c>
    </x:row>
    <x:row r="854" ht="23" customHeight="1">
      <x:c r="B854" s="17" t="str">
        <x:v>Round1</x:v>
      </x:c>
      <x:c r="C854" s="17" t="str">
        <x:v>condition</x:v>
      </x:c>
      <x:c r="D854" s="17" t="str">
        <x:v>JacksonDatabind_57</x:v>
      </x:c>
      <x:c r="E854" s="32" t="n">
        <x:v>0.5064</x:v>
      </x:c>
      <x:c r="F854" s="32" t="n">
        <x:v>0</x:v>
      </x:c>
      <x:c r="G854" s="32" t="n">
        <x:v>0.42310000000000003</x:v>
      </x:c>
      <x:c r="H854" s="32" t="n">
        <x:v>0</x:v>
      </x:c>
      <x:c r="I854" s="40" t="n">
        <x:v>1</x:v>
      </x:c>
      <x:c r="J854" s="40" t="n">
        <x:v>1</x:v>
      </x:c>
      <x:c r="K854" s="40" t="n">
        <x:v>1</x:v>
      </x:c>
      <x:c r="L854" s="40" t="n">
        <x:v>1</x:v>
      </x:c>
    </x:row>
    <x:row r="855" ht="23" customHeight="1">
      <x:c r="B855" s="17" t="str">
        <x:v>Round1</x:v>
      </x:c>
      <x:c r="C855" s="17" t="str">
        <x:v>condition</x:v>
      </x:c>
      <x:c r="D855" s="17" t="str">
        <x:v>JacksonDatabind_6</x:v>
      </x:c>
      <x:c r="E855" s="32" t="n">
        <x:v>0.9148999999999999</x:v>
      </x:c>
      <x:c r="F855" s="32" t="n">
        <x:v>0.7872</x:v>
      </x:c>
      <x:c r="G855" s="32" t="n">
        <x:v>0.7553</x:v>
      </x:c>
      <x:c r="H855" s="32" t="n">
        <x:v>0</x:v>
      </x:c>
      <x:c r="I855" s="40" t="n">
        <x:v>1</x:v>
      </x:c>
      <x:c r="J855" s="40" t="n">
        <x:v>1</x:v>
      </x:c>
      <x:c r="K855" s="40" t="n">
        <x:v>1</x:v>
      </x:c>
      <x:c r="L855" s="40" t="n">
        <x:v>1</x:v>
      </x:c>
    </x:row>
    <x:row r="856" ht="23" customHeight="1">
      <x:c r="B856" s="17" t="str">
        <x:v>Round1</x:v>
      </x:c>
      <x:c r="C856" s="17" t="str">
        <x:v>condition</x:v>
      </x:c>
      <x:c r="D856" s="17" t="str">
        <x:v>JacksonDatabind_68</x:v>
      </x:c>
      <x:c r="E856" s="32" t="n">
        <x:v>0</x:v>
      </x:c>
      <x:c r="F856" s="32" t="n">
        <x:v>0</x:v>
      </x:c>
      <x:c r="G856" s="32" t="n">
        <x:v>0</x:v>
      </x:c>
      <x:c r="H856" s="32" t="n">
        <x:v>0</x:v>
      </x:c>
      <x:c r="I856" s="40" t="n">
        <x:v>1</x:v>
      </x:c>
      <x:c r="J856" s="40" t="n">
        <x:v>1</x:v>
      </x:c>
      <x:c r="K856" s="40" t="n">
        <x:v>1</x:v>
      </x:c>
      <x:c r="L856" s="40" t="n">
        <x:v>1</x:v>
      </x:c>
    </x:row>
    <x:row r="857" ht="23" customHeight="1">
      <x:c r="B857" s="17" t="str">
        <x:v>Round1</x:v>
      </x:c>
      <x:c r="C857" s="17" t="str">
        <x:v>condition</x:v>
      </x:c>
      <x:c r="D857" s="17" t="str">
        <x:v>JacksonDatabind_73</x:v>
      </x:c>
      <x:c r="E857" s="32" t="n">
        <x:v>0.0587</x:v>
      </x:c>
      <x:c r="F857" s="32" t="n">
        <x:v>0.0475</x:v>
      </x:c>
      <x:c r="G857" s="32" t="n">
        <x:v>0.5433</x:v>
      </x:c>
      <x:c r="H857" s="32" t="n">
        <x:v>0</x:v>
      </x:c>
      <x:c r="I857" s="40" t="n">
        <x:v>1</x:v>
      </x:c>
      <x:c r="J857" s="40" t="n">
        <x:v>1</x:v>
      </x:c>
      <x:c r="K857" s="40" t="n">
        <x:v>1</x:v>
      </x:c>
      <x:c r="L857" s="40" t="n">
        <x:v>1</x:v>
      </x:c>
    </x:row>
    <x:row r="858" ht="23" customHeight="1">
      <x:c r="B858" s="17" t="str">
        <x:v>Round1</x:v>
      </x:c>
      <x:c r="C858" s="17" t="str">
        <x:v>condition</x:v>
      </x:c>
      <x:c r="D858" s="17" t="str">
        <x:v>JacksonDatabind_83</x:v>
      </x:c>
      <x:c r="E858" s="32" t="n">
        <x:v>0.5682</x:v>
      </x:c>
      <x:c r="F858" s="32" t="n">
        <x:v>0</x:v>
      </x:c>
      <x:c r="G858" s="32" t="n">
        <x:v>0.7841</x:v>
      </x:c>
      <x:c r="H858" s="32" t="n">
        <x:v>0</x:v>
      </x:c>
      <x:c r="I858" s="40" t="n">
        <x:v>1</x:v>
      </x:c>
      <x:c r="J858" s="40" t="n">
        <x:v>1</x:v>
      </x:c>
      <x:c r="K858" s="40" t="n">
        <x:v>1</x:v>
      </x:c>
      <x:c r="L858" s="40" t="n">
        <x:v>1</x:v>
      </x:c>
    </x:row>
    <x:row r="859" ht="23" customHeight="1">
      <x:c r="B859" s="17" t="str">
        <x:v>Round1</x:v>
      </x:c>
      <x:c r="C859" s="17" t="str">
        <x:v>condition</x:v>
      </x:c>
      <x:c r="D859" s="17" t="str">
        <x:v>JacksonDatabind_84</x:v>
      </x:c>
      <x:c r="E859" s="32" t="n">
        <x:v>1</x:v>
      </x:c>
      <x:c r="F859" s="32" t="n">
        <x:v>0</x:v>
      </x:c>
      <x:c r="G859" s="32" t="n">
        <x:v>1</x:v>
      </x:c>
      <x:c r="H859" s="32" t="n">
        <x:v>1</x:v>
      </x:c>
      <x:c r="I859" s="40" t="n">
        <x:v>1</x:v>
      </x:c>
      <x:c r="J859" s="40" t="n">
        <x:v>1</x:v>
      </x:c>
      <x:c r="K859" s="40" t="n">
        <x:v>1</x:v>
      </x:c>
      <x:c r="L859" s="40" t="n">
        <x:v>1</x:v>
      </x:c>
    </x:row>
    <x:row r="860" ht="23" customHeight="1">
      <x:c r="B860" s="17" t="str">
        <x:v>Round1</x:v>
      </x:c>
      <x:c r="C860" s="17" t="str">
        <x:v>condition</x:v>
      </x:c>
      <x:c r="D860" s="17" t="str">
        <x:v>JacksonDatabind_86</x:v>
      </x:c>
      <x:c r="E860" s="32" t="n">
        <x:v>1</x:v>
      </x:c>
      <x:c r="F860" s="32" t="n">
        <x:v>0</x:v>
      </x:c>
      <x:c r="G860" s="32" t="n">
        <x:v>1</x:v>
      </x:c>
      <x:c r="H860" s="32" t="n">
        <x:v>1</x:v>
      </x:c>
      <x:c r="I860" s="40" t="n">
        <x:v>1</x:v>
      </x:c>
      <x:c r="J860" s="40" t="n">
        <x:v>1</x:v>
      </x:c>
      <x:c r="K860" s="40" t="n">
        <x:v>1</x:v>
      </x:c>
      <x:c r="L860" s="40" t="n">
        <x:v>1</x:v>
      </x:c>
    </x:row>
    <x:row r="861" ht="23" customHeight="1">
      <x:c r="B861" s="17" t="str">
        <x:v>Round1</x:v>
      </x:c>
      <x:c r="C861" s="17" t="str">
        <x:v>condition</x:v>
      </x:c>
      <x:c r="D861" s="17" t="str">
        <x:v>JacksonDatabind_87</x:v>
      </x:c>
      <x:c r="E861" s="32" t="n">
        <x:v>0.8970999999999999</x:v>
      </x:c>
      <x:c r="F861" s="32" t="n">
        <x:v>0.5882000000000001</x:v>
      </x:c>
      <x:c r="G861" s="32" t="n">
        <x:v>0.6544</x:v>
      </x:c>
      <x:c r="H861" s="32" t="n">
        <x:v>0</x:v>
      </x:c>
      <x:c r="I861" s="40" t="n">
        <x:v>1</x:v>
      </x:c>
      <x:c r="J861" s="40" t="n">
        <x:v>1</x:v>
      </x:c>
      <x:c r="K861" s="40" t="n">
        <x:v>1</x:v>
      </x:c>
      <x:c r="L861" s="40" t="n">
        <x:v>1</x:v>
      </x:c>
    </x:row>
    <x:row r="862" ht="23" customHeight="1">
      <x:c r="B862" s="17" t="str">
        <x:v>Round1</x:v>
      </x:c>
      <x:c r="C862" s="17" t="str">
        <x:v>condition</x:v>
      </x:c>
      <x:c r="D862" s="17" t="str">
        <x:v>JacksonDatabind_94</x:v>
      </x:c>
      <x:c r="E862" s="32" t="n">
        <x:v>0.2857</x:v>
      </x:c>
      <x:c r="F862" s="32" t="n">
        <x:v>0</x:v>
      </x:c>
      <x:c r="G862" s="32" t="n">
        <x:v>0.35710000000000003</x:v>
      </x:c>
      <x:c r="H862" s="32" t="n">
        <x:v>0.9286</x:v>
      </x:c>
      <x:c r="I862" s="40" t="n">
        <x:v>1</x:v>
      </x:c>
      <x:c r="J862" s="40" t="n">
        <x:v>1</x:v>
      </x:c>
      <x:c r="K862" s="40" t="n">
        <x:v>1</x:v>
      </x:c>
      <x:c r="L862" s="40" t="n">
        <x:v>1</x:v>
      </x:c>
    </x:row>
    <x:row r="863" ht="23" customHeight="1">
      <x:c r="B863" s="17" t="str">
        <x:v>Round1</x:v>
      </x:c>
      <x:c r="C863" s="17" t="str">
        <x:v>condition</x:v>
      </x:c>
      <x:c r="D863" s="17" t="str">
        <x:v>Jsoup_1</x:v>
      </x:c>
      <x:c r="E863" s="32" t="n">
        <x:v>1</x:v>
      </x:c>
      <x:c r="F863" s="32" t="n">
        <x:v>1</x:v>
      </x:c>
      <x:c r="G863" s="32" t="n">
        <x:v>0.9444</x:v>
      </x:c>
      <x:c r="H863" s="32" t="n">
        <x:v>1</x:v>
      </x:c>
      <x:c r="I863" s="40" t="n">
        <x:v>1</x:v>
      </x:c>
      <x:c r="J863" s="40" t="n">
        <x:v>1</x:v>
      </x:c>
      <x:c r="K863" s="40" t="n">
        <x:v>1</x:v>
      </x:c>
      <x:c r="L863" s="40" t="n">
        <x:v>1</x:v>
      </x:c>
    </x:row>
    <x:row r="864" ht="23" customHeight="1">
      <x:c r="B864" s="17" t="str">
        <x:v>Round1</x:v>
      </x:c>
      <x:c r="C864" s="17" t="str">
        <x:v>condition</x:v>
      </x:c>
      <x:c r="D864" s="17" t="str">
        <x:v>Jsoup_11</x:v>
      </x:c>
      <x:c r="E864" s="32" t="n">
        <x:v>0.4833</x:v>
      </x:c>
      <x:c r="F864" s="32" t="n">
        <x:v>0</x:v>
      </x:c>
      <x:c r="G864" s="32" t="n">
        <x:v>0.6917</x:v>
      </x:c>
      <x:c r="H864" s="32" t="n">
        <x:v>0.95</x:v>
      </x:c>
      <x:c r="I864" s="40" t="n">
        <x:v>1</x:v>
      </x:c>
      <x:c r="J864" s="40" t="n">
        <x:v>1</x:v>
      </x:c>
      <x:c r="K864" s="40" t="n">
        <x:v>1</x:v>
      </x:c>
      <x:c r="L864" s="40" t="n">
        <x:v>1</x:v>
      </x:c>
    </x:row>
    <x:row r="865" ht="23" customHeight="1">
      <x:c r="B865" s="17" t="str">
        <x:v>Round1</x:v>
      </x:c>
      <x:c r="C865" s="17" t="str">
        <x:v>condition</x:v>
      </x:c>
      <x:c r="D865" s="17" t="str">
        <x:v>Jsoup_12</x:v>
      </x:c>
      <x:c r="E865" s="32" t="n">
        <x:v>0.5606</x:v>
      </x:c>
      <x:c r="F865" s="32" t="n">
        <x:v>0.0152</x:v>
      </x:c>
      <x:c r="G865" s="32" t="n">
        <x:v>0.8939</x:v>
      </x:c>
      <x:c r="H865" s="32" t="n">
        <x:v>0.9545</x:v>
      </x:c>
      <x:c r="I865" s="40" t="n">
        <x:v>1</x:v>
      </x:c>
      <x:c r="J865" s="40" t="n">
        <x:v>1</x:v>
      </x:c>
      <x:c r="K865" s="40" t="n">
        <x:v>1</x:v>
      </x:c>
      <x:c r="L865" s="40" t="n">
        <x:v>1</x:v>
      </x:c>
    </x:row>
    <x:row r="866" ht="23" customHeight="1">
      <x:c r="B866" s="17" t="str">
        <x:v>Round1</x:v>
      </x:c>
      <x:c r="C866" s="17" t="str">
        <x:v>condition</x:v>
      </x:c>
      <x:c r="D866" s="17" t="str">
        <x:v>Jsoup_16</x:v>
      </x:c>
      <x:c r="E866" s="32" t="n">
        <x:v>1</x:v>
      </x:c>
      <x:c r="F866" s="32" t="n">
        <x:v>0.5</x:v>
      </x:c>
      <x:c r="G866" s="32" t="n">
        <x:v>1</x:v>
      </x:c>
      <x:c r="H866" s="32" t="n">
        <x:v>1</x:v>
      </x:c>
      <x:c r="I866" s="40" t="n">
        <x:v>1</x:v>
      </x:c>
      <x:c r="J866" s="40" t="n">
        <x:v>1</x:v>
      </x:c>
      <x:c r="K866" s="40" t="n">
        <x:v>1</x:v>
      </x:c>
      <x:c r="L866" s="40" t="n">
        <x:v>1</x:v>
      </x:c>
    </x:row>
    <x:row r="867" ht="23" customHeight="1">
      <x:c r="B867" s="17" t="str">
        <x:v>Round1</x:v>
      </x:c>
      <x:c r="C867" s="17" t="str">
        <x:v>condition</x:v>
      </x:c>
      <x:c r="D867" s="17" t="str">
        <x:v>Jsoup_18</x:v>
      </x:c>
      <x:c r="E867" s="32" t="n">
        <x:v>1</x:v>
      </x:c>
      <x:c r="F867" s="32" t="n">
        <x:v>0.8659</x:v>
      </x:c>
      <x:c r="G867" s="32" t="n">
        <x:v>0.8293</x:v>
      </x:c>
      <x:c r="H867" s="32" t="n">
        <x:v>0.9390000000000001</x:v>
      </x:c>
      <x:c r="I867" s="40" t="n">
        <x:v>1</x:v>
      </x:c>
      <x:c r="J867" s="40" t="n">
        <x:v>1</x:v>
      </x:c>
      <x:c r="K867" s="40" t="n">
        <x:v>1</x:v>
      </x:c>
      <x:c r="L867" s="40" t="n">
        <x:v>1</x:v>
      </x:c>
    </x:row>
    <x:row r="868" ht="23" customHeight="1">
      <x:c r="B868" s="17" t="str">
        <x:v>Round1</x:v>
      </x:c>
      <x:c r="C868" s="17" t="str">
        <x:v>condition</x:v>
      </x:c>
      <x:c r="D868" s="17" t="str">
        <x:v>Jsoup_20</x:v>
      </x:c>
      <x:c r="E868" s="32" t="n">
        <x:v>0.4545</x:v>
      </x:c>
      <x:c r="F868" s="32" t="n">
        <x:v>0.1364</x:v>
      </x:c>
      <x:c r="G868" s="32" t="n">
        <x:v>0.8636</x:v>
      </x:c>
      <x:c r="H868" s="32" t="n">
        <x:v>0.9545</x:v>
      </x:c>
      <x:c r="I868" s="40" t="n">
        <x:v>1</x:v>
      </x:c>
      <x:c r="J868" s="40" t="n">
        <x:v>1</x:v>
      </x:c>
      <x:c r="K868" s="40" t="n">
        <x:v>1</x:v>
      </x:c>
      <x:c r="L868" s="40" t="n">
        <x:v>1</x:v>
      </x:c>
    </x:row>
    <x:row r="869" ht="23" customHeight="1">
      <x:c r="B869" s="17" t="str">
        <x:v>Round1</x:v>
      </x:c>
      <x:c r="C869" s="17" t="str">
        <x:v>condition</x:v>
      </x:c>
      <x:c r="D869" s="17" t="str">
        <x:v>Jsoup_39</x:v>
      </x:c>
      <x:c r="E869" s="32" t="n">
        <x:v>0.5217</x:v>
      </x:c>
      <x:c r="F869" s="32" t="n">
        <x:v>0.1522</x:v>
      </x:c>
      <x:c r="G869" s="32" t="n">
        <x:v>0.7173999999999999</x:v>
      </x:c>
      <x:c r="H869" s="32" t="n">
        <x:v>0.8913</x:v>
      </x:c>
      <x:c r="I869" s="40" t="n">
        <x:v>1</x:v>
      </x:c>
      <x:c r="J869" s="40" t="n">
        <x:v>1</x:v>
      </x:c>
      <x:c r="K869" s="40" t="n">
        <x:v>1</x:v>
      </x:c>
      <x:c r="L869" s="40" t="n">
        <x:v>1</x:v>
      </x:c>
    </x:row>
    <x:row r="870" ht="23" customHeight="1">
      <x:c r="B870" s="17" t="str">
        <x:v>Round1</x:v>
      </x:c>
      <x:c r="C870" s="17" t="str">
        <x:v>condition</x:v>
      </x:c>
      <x:c r="D870" s="17" t="str">
        <x:v>Jsoup_40</x:v>
      </x:c>
      <x:c r="E870" s="32" t="n">
        <x:v>1</x:v>
      </x:c>
      <x:c r="F870" s="32" t="n">
        <x:v>0.5</x:v>
      </x:c>
      <x:c r="G870" s="32" t="n">
        <x:v>1</x:v>
      </x:c>
      <x:c r="H870" s="32" t="n">
        <x:v>1</x:v>
      </x:c>
      <x:c r="I870" s="40" t="n">
        <x:v>1</x:v>
      </x:c>
      <x:c r="J870" s="40" t="n">
        <x:v>1</x:v>
      </x:c>
      <x:c r="K870" s="40" t="n">
        <x:v>1</x:v>
      </x:c>
      <x:c r="L870" s="40" t="n">
        <x:v>1</x:v>
      </x:c>
    </x:row>
    <x:row r="871" ht="23" customHeight="1">
      <x:c r="B871" s="17" t="str">
        <x:v>Round1</x:v>
      </x:c>
      <x:c r="C871" s="17" t="str">
        <x:v>condition</x:v>
      </x:c>
      <x:c r="D871" s="17" t="str">
        <x:v>Jsoup_46</x:v>
      </x:c>
      <x:c r="E871" s="32" t="n">
        <x:v>0.8431000000000001</x:v>
      </x:c>
      <x:c r="F871" s="32" t="n">
        <x:v>0.15689999999999998</x:v>
      </x:c>
      <x:c r="G871" s="32" t="n">
        <x:v>0.6275</x:v>
      </x:c>
      <x:c r="H871" s="32" t="n">
        <x:v>0.9804</x:v>
      </x:c>
      <x:c r="I871" s="40" t="n">
        <x:v>1</x:v>
      </x:c>
      <x:c r="J871" s="40" t="n">
        <x:v>1</x:v>
      </x:c>
      <x:c r="K871" s="40" t="n">
        <x:v>1</x:v>
      </x:c>
      <x:c r="L871" s="40" t="n">
        <x:v>1</x:v>
      </x:c>
    </x:row>
    <x:row r="872" ht="23" customHeight="1">
      <x:c r="B872" s="17" t="str">
        <x:v>Round1</x:v>
      </x:c>
      <x:c r="C872" s="17" t="str">
        <x:v>condition</x:v>
      </x:c>
      <x:c r="D872" s="17" t="str">
        <x:v>Jsoup_5</x:v>
      </x:c>
      <x:c r="E872" s="32" t="n">
        <x:v>0.7065</x:v>
      </x:c>
      <x:c r="F872" s="32" t="n">
        <x:v>0.11960000000000001</x:v>
      </x:c>
      <x:c r="G872" s="32" t="n">
        <x:v>0.4891</x:v>
      </x:c>
      <x:c r="H872" s="32" t="n">
        <x:v>0.9239</x:v>
      </x:c>
      <x:c r="I872" s="40" t="n">
        <x:v>1</x:v>
      </x:c>
      <x:c r="J872" s="40" t="n">
        <x:v>1</x:v>
      </x:c>
      <x:c r="K872" s="40" t="n">
        <x:v>1</x:v>
      </x:c>
      <x:c r="L872" s="40" t="n">
        <x:v>1</x:v>
      </x:c>
    </x:row>
    <x:row r="873" ht="23" customHeight="1">
      <x:c r="B873" s="17" t="str">
        <x:v>Round1</x:v>
      </x:c>
      <x:c r="C873" s="17" t="str">
        <x:v>condition</x:v>
      </x:c>
      <x:c r="D873" s="17" t="str">
        <x:v>Jsoup_51</x:v>
      </x:c>
      <x:c r="E873" s="32" t="n">
        <x:v>0.9677</x:v>
      </x:c>
      <x:c r="F873" s="32" t="n">
        <x:v>0.8226</x:v>
      </x:c>
      <x:c r="G873" s="32" t="n">
        <x:v>0.8011</x:v>
      </x:c>
      <x:c r="H873" s="32" t="n">
        <x:v>0.9194</x:v>
      </x:c>
      <x:c r="I873" s="40" t="n">
        <x:v>1</x:v>
      </x:c>
      <x:c r="J873" s="40" t="n">
        <x:v>1</x:v>
      </x:c>
      <x:c r="K873" s="40" t="n">
        <x:v>1</x:v>
      </x:c>
      <x:c r="L873" s="40" t="n">
        <x:v>1</x:v>
      </x:c>
    </x:row>
    <x:row r="874" ht="23" customHeight="1">
      <x:c r="B874" s="17" t="str">
        <x:v>Round1</x:v>
      </x:c>
      <x:c r="C874" s="17" t="str">
        <x:v>condition</x:v>
      </x:c>
      <x:c r="D874" s="17" t="str">
        <x:v>Jsoup_53</x:v>
      </x:c>
      <x:c r="E874" s="32" t="n">
        <x:v>0.9722</x:v>
      </x:c>
      <x:c r="F874" s="32" t="n">
        <x:v>0.8519</x:v>
      </x:c>
      <x:c r="G874" s="32" t="n">
        <x:v>0.8148000000000001</x:v>
      </x:c>
      <x:c r="H874" s="32" t="n">
        <x:v>0.9444</x:v>
      </x:c>
      <x:c r="I874" s="40" t="n">
        <x:v>1</x:v>
      </x:c>
      <x:c r="J874" s="40" t="n">
        <x:v>1</x:v>
      </x:c>
      <x:c r="K874" s="40" t="n">
        <x:v>1</x:v>
      </x:c>
      <x:c r="L874" s="40" t="n">
        <x:v>1</x:v>
      </x:c>
    </x:row>
    <x:row r="875" ht="23" customHeight="1">
      <x:c r="B875" s="17" t="str">
        <x:v>Round1</x:v>
      </x:c>
      <x:c r="C875" s="17" t="str">
        <x:v>condition</x:v>
      </x:c>
      <x:c r="D875" s="17" t="str">
        <x:v>Jsoup_57</x:v>
      </x:c>
      <x:c r="E875" s="32" t="n">
        <x:v>0.9473999999999999</x:v>
      </x:c>
      <x:c r="F875" s="32" t="n">
        <x:v>0.8421</x:v>
      </x:c>
      <x:c r="G875" s="32" t="n">
        <x:v>0.9342</x:v>
      </x:c>
      <x:c r="H875" s="32" t="n">
        <x:v>0.9868000000000001</x:v>
      </x:c>
      <x:c r="I875" s="40" t="n">
        <x:v>1</x:v>
      </x:c>
      <x:c r="J875" s="40" t="n">
        <x:v>1</x:v>
      </x:c>
      <x:c r="K875" s="40" t="n">
        <x:v>1</x:v>
      </x:c>
      <x:c r="L875" s="40" t="n">
        <x:v>1</x:v>
      </x:c>
    </x:row>
    <x:row r="876" ht="23" customHeight="1">
      <x:c r="B876" s="17" t="str">
        <x:v>Round1</x:v>
      </x:c>
      <x:c r="C876" s="17" t="str">
        <x:v>condition</x:v>
      </x:c>
      <x:c r="D876" s="17" t="str">
        <x:v>Jsoup_58</x:v>
      </x:c>
      <x:c r="E876" s="32" t="n">
        <x:v>0.5938</x:v>
      </x:c>
      <x:c r="F876" s="32" t="n">
        <x:v>0.2188</x:v>
      </x:c>
      <x:c r="G876" s="32" t="n">
        <x:v>1</x:v>
      </x:c>
      <x:c r="H876" s="32" t="n">
        <x:v>1</x:v>
      </x:c>
      <x:c r="I876" s="40" t="n">
        <x:v>1</x:v>
      </x:c>
      <x:c r="J876" s="40" t="n">
        <x:v>1</x:v>
      </x:c>
      <x:c r="K876" s="40" t="n">
        <x:v>1</x:v>
      </x:c>
      <x:c r="L876" s="40" t="n">
        <x:v>1</x:v>
      </x:c>
    </x:row>
    <x:row r="877" ht="23" customHeight="1">
      <x:c r="B877" s="17" t="str">
        <x:v>Round1</x:v>
      </x:c>
      <x:c r="C877" s="17" t="str">
        <x:v>condition</x:v>
      </x:c>
      <x:c r="D877" s="17" t="str">
        <x:v>Jsoup_69</x:v>
      </x:c>
      <x:c r="E877" s="32" t="n">
        <x:v>0.3214</x:v>
      </x:c>
      <x:c r="F877" s="32" t="n">
        <x:v>0</x:v>
      </x:c>
      <x:c r="G877" s="32" t="n">
        <x:v>0.8571</x:v>
      </x:c>
      <x:c r="H877" s="32" t="n">
        <x:v>1</x:v>
      </x:c>
      <x:c r="I877" s="40" t="n">
        <x:v>1</x:v>
      </x:c>
      <x:c r="J877" s="40" t="n">
        <x:v>1</x:v>
      </x:c>
      <x:c r="K877" s="40" t="n">
        <x:v>1</x:v>
      </x:c>
      <x:c r="L877" s="40" t="n">
        <x:v>1</x:v>
      </x:c>
    </x:row>
    <x:row r="878" ht="23" customHeight="1">
      <x:c r="B878" s="17" t="str">
        <x:v>Round1</x:v>
      </x:c>
      <x:c r="C878" s="17" t="str">
        <x:v>condition</x:v>
      </x:c>
      <x:c r="D878" s="17" t="str">
        <x:v>Jsoup_72</x:v>
      </x:c>
      <x:c r="E878" s="32" t="n">
        <x:v>0.9495</x:v>
      </x:c>
      <x:c r="F878" s="32" t="n">
        <x:v>0.8231999999999999</x:v>
      </x:c>
      <x:c r="G878" s="32" t="n">
        <x:v>0.8029999999999999</x:v>
      </x:c>
      <x:c r="H878" s="32" t="n">
        <x:v>0.899</x:v>
      </x:c>
      <x:c r="I878" s="40" t="n">
        <x:v>1</x:v>
      </x:c>
      <x:c r="J878" s="40" t="n">
        <x:v>1</x:v>
      </x:c>
      <x:c r="K878" s="40" t="n">
        <x:v>1</x:v>
      </x:c>
      <x:c r="L878" s="40" t="n">
        <x:v>1</x:v>
      </x:c>
    </x:row>
    <x:row r="879" ht="23" customHeight="1">
      <x:c r="B879" s="17" t="str">
        <x:v>Round1</x:v>
      </x:c>
      <x:c r="C879" s="17" t="str">
        <x:v>condition</x:v>
      </x:c>
      <x:c r="D879" s="17" t="str">
        <x:v>Jsoup_74</x:v>
      </x:c>
      <x:c r="E879" s="32" t="n">
        <x:v>0.9865</x:v>
      </x:c>
      <x:c r="F879" s="32" t="n">
        <x:v>0.7703</x:v>
      </x:c>
      <x:c r="G879" s="32" t="n">
        <x:v>0.9054000000000001</x:v>
      </x:c>
      <x:c r="H879" s="32" t="n">
        <x:v>0.9865</x:v>
      </x:c>
      <x:c r="I879" s="40" t="n">
        <x:v>1</x:v>
      </x:c>
      <x:c r="J879" s="40" t="n">
        <x:v>1</x:v>
      </x:c>
      <x:c r="K879" s="40" t="n">
        <x:v>1</x:v>
      </x:c>
      <x:c r="L879" s="40" t="n">
        <x:v>1</x:v>
      </x:c>
    </x:row>
    <x:row r="880" ht="23" customHeight="1">
      <x:c r="B880" s="17" t="str">
        <x:v>Round1</x:v>
      </x:c>
      <x:c r="C880" s="17" t="str">
        <x:v>condition</x:v>
      </x:c>
      <x:c r="D880" s="17" t="str">
        <x:v>Jsoup_75</x:v>
      </x:c>
      <x:c r="E880" s="32" t="n">
        <x:v>0.8690000000000001</x:v>
      </x:c>
      <x:c r="F880" s="32" t="n">
        <x:v>0.8214</x:v>
      </x:c>
      <x:c r="G880" s="32" t="n">
        <x:v>0.8929</x:v>
      </x:c>
      <x:c r="H880" s="32" t="n">
        <x:v>0.9523999999999999</x:v>
      </x:c>
      <x:c r="I880" s="40" t="n">
        <x:v>1</x:v>
      </x:c>
      <x:c r="J880" s="40" t="n">
        <x:v>1</x:v>
      </x:c>
      <x:c r="K880" s="40" t="n">
        <x:v>1</x:v>
      </x:c>
      <x:c r="L880" s="40" t="n">
        <x:v>1</x:v>
      </x:c>
    </x:row>
    <x:row r="881" ht="23" customHeight="1">
      <x:c r="B881" s="17" t="str">
        <x:v>Round1</x:v>
      </x:c>
      <x:c r="C881" s="17" t="str">
        <x:v>condition</x:v>
      </x:c>
      <x:c r="D881" s="17" t="str">
        <x:v>Jsoup_78</x:v>
      </x:c>
      <x:c r="E881" s="32" t="n">
        <x:v>0.4205</x:v>
      </x:c>
      <x:c r="F881" s="32" t="n">
        <x:v>0.0795</x:v>
      </x:c>
      <x:c r="G881" s="32" t="n">
        <x:v>0.4318</x:v>
      </x:c>
      <x:c r="H881" s="32" t="n">
        <x:v>0.8523000000000001</x:v>
      </x:c>
      <x:c r="I881" s="40" t="n">
        <x:v>1</x:v>
      </x:c>
      <x:c r="J881" s="40" t="n">
        <x:v>1</x:v>
      </x:c>
      <x:c r="K881" s="40" t="n">
        <x:v>1</x:v>
      </x:c>
      <x:c r="L881" s="40" t="n">
        <x:v>1</x:v>
      </x:c>
    </x:row>
    <x:row r="882" ht="23" customHeight="1">
      <x:c r="B882" s="17" t="str">
        <x:v>Round1</x:v>
      </x:c>
      <x:c r="C882" s="17" t="str">
        <x:v>condition</x:v>
      </x:c>
      <x:c r="D882" s="17" t="str">
        <x:v>Jsoup_82</x:v>
      </x:c>
      <x:c r="E882" s="32" t="n">
        <x:v>0.2812</x:v>
      </x:c>
      <x:c r="F882" s="32" t="n">
        <x:v>0.0729</x:v>
      </x:c>
      <x:c r="G882" s="32" t="n">
        <x:v>0.4583</x:v>
      </x:c>
      <x:c r="H882" s="32" t="n">
        <x:v>0.8125</x:v>
      </x:c>
      <x:c r="I882" s="40" t="n">
        <x:v>1</x:v>
      </x:c>
      <x:c r="J882" s="40" t="n">
        <x:v>1</x:v>
      </x:c>
      <x:c r="K882" s="40" t="n">
        <x:v>1</x:v>
      </x:c>
      <x:c r="L882" s="40" t="n">
        <x:v>1</x:v>
      </x:c>
    </x:row>
    <x:row r="883" ht="23" customHeight="1">
      <x:c r="B883" s="17" t="str">
        <x:v>Round1</x:v>
      </x:c>
      <x:c r="C883" s="17" t="str">
        <x:v>condition</x:v>
      </x:c>
      <x:c r="D883" s="17" t="str">
        <x:v>Jsoup_85</x:v>
      </x:c>
      <x:c r="E883" s="32" t="n">
        <x:v>0.9</x:v>
      </x:c>
      <x:c r="F883" s="32" t="n">
        <x:v>0.44</x:v>
      </x:c>
      <x:c r="G883" s="32" t="n">
        <x:v>0.74</x:v>
      </x:c>
      <x:c r="H883" s="32" t="n">
        <x:v>0.58</x:v>
      </x:c>
      <x:c r="I883" s="40" t="n">
        <x:v>1</x:v>
      </x:c>
      <x:c r="J883" s="40" t="n">
        <x:v>1</x:v>
      </x:c>
      <x:c r="K883" s="40" t="n">
        <x:v>1</x:v>
      </x:c>
      <x:c r="L883" s="40" t="n">
        <x:v>1</x:v>
      </x:c>
    </x:row>
    <x:row r="884" ht="23" customHeight="1">
      <x:c r="B884" s="17" t="str">
        <x:v>Round1</x:v>
      </x:c>
      <x:c r="C884" s="17" t="str">
        <x:v>condition</x:v>
      </x:c>
      <x:c r="D884" s="17" t="str">
        <x:v>Jsoup_88</x:v>
      </x:c>
      <x:c r="E884" s="32" t="n">
        <x:v>0.9</x:v>
      </x:c>
      <x:c r="F884" s="32" t="n">
        <x:v>0.44</x:v>
      </x:c>
      <x:c r="G884" s="32" t="n">
        <x:v>0.72</x:v>
      </x:c>
      <x:c r="H884" s="32" t="n">
        <x:v>0.58</x:v>
      </x:c>
      <x:c r="I884" s="40" t="n">
        <x:v>1</x:v>
      </x:c>
      <x:c r="J884" s="40" t="n">
        <x:v>1</x:v>
      </x:c>
      <x:c r="K884" s="40" t="n">
        <x:v>1</x:v>
      </x:c>
      <x:c r="L884" s="40" t="n">
        <x:v>1</x:v>
      </x:c>
    </x:row>
    <x:row r="885" ht="23" customHeight="1">
      <x:c r="B885" s="17" t="str">
        <x:v>Round1</x:v>
      </x:c>
      <x:c r="C885" s="17" t="str">
        <x:v>condition</x:v>
      </x:c>
      <x:c r="D885" s="17" t="str">
        <x:v>Jsoup_89</x:v>
      </x:c>
      <x:c r="E885" s="32" t="n">
        <x:v>0.9</x:v>
      </x:c>
      <x:c r="F885" s="32" t="n">
        <x:v>0.44</x:v>
      </x:c>
      <x:c r="G885" s="32" t="n">
        <x:v>0.76</x:v>
      </x:c>
      <x:c r="H885" s="32" t="n">
        <x:v>0.58</x:v>
      </x:c>
      <x:c r="I885" s="40" t="n">
        <x:v>1</x:v>
      </x:c>
      <x:c r="J885" s="40" t="n">
        <x:v>1</x:v>
      </x:c>
      <x:c r="K885" s="40" t="n">
        <x:v>1</x:v>
      </x:c>
      <x:c r="L885" s="40" t="n">
        <x:v>1</x:v>
      </x:c>
    </x:row>
    <x:row r="886" ht="23" customHeight="1">
      <x:c r="B886" s="17" t="str">
        <x:v>Round1</x:v>
      </x:c>
      <x:c r="C886" s="17" t="str">
        <x:v>condition</x:v>
      </x:c>
      <x:c r="D886" s="17" t="str">
        <x:v>Jsoup_91</x:v>
      </x:c>
      <x:c r="E886" s="32" t="n">
        <x:v>0.9632</x:v>
      </x:c>
      <x:c r="F886" s="32" t="n">
        <x:v>0.1684</x:v>
      </x:c>
      <x:c r="G886" s="32" t="n">
        <x:v>0.8053</x:v>
      </x:c>
      <x:c r="H886" s="32" t="n">
        <x:v>0.9316</x:v>
      </x:c>
      <x:c r="I886" s="40" t="n">
        <x:v>1</x:v>
      </x:c>
      <x:c r="J886" s="40" t="n">
        <x:v>1</x:v>
      </x:c>
      <x:c r="K886" s="40" t="n">
        <x:v>1</x:v>
      </x:c>
      <x:c r="L886" s="40" t="n">
        <x:v>1</x:v>
      </x:c>
    </x:row>
    <x:row r="887" ht="23" customHeight="1">
      <x:c r="B887" s="17" t="str">
        <x:v>Round1</x:v>
      </x:c>
      <x:c r="C887" s="17" t="str">
        <x:v>condition</x:v>
      </x:c>
      <x:c r="D887" s="17" t="str">
        <x:v>Lang_13</x:v>
      </x:c>
      <x:c r="E887" s="32" t="n">
        <x:v>0.9286</x:v>
      </x:c>
      <x:c r="F887" s="32" t="n">
        <x:v>0.8571</x:v>
      </x:c>
      <x:c r="G887" s="32" t="n">
        <x:v>0.8571</x:v>
      </x:c>
      <x:c r="H887" s="32" t="n">
        <x:v>0.9286</x:v>
      </x:c>
      <x:c r="I887" s="40" t="n">
        <x:v>1</x:v>
      </x:c>
      <x:c r="J887" s="40" t="n">
        <x:v>1</x:v>
      </x:c>
      <x:c r="K887" s="40" t="n">
        <x:v>1</x:v>
      </x:c>
      <x:c r="L887" s="40" t="n">
        <x:v>1</x:v>
      </x:c>
    </x:row>
    <x:row r="888" ht="23" customHeight="1">
      <x:c r="B888" s="17" t="str">
        <x:v>Round1</x:v>
      </x:c>
      <x:c r="C888" s="17" t="str">
        <x:v>condition</x:v>
      </x:c>
      <x:c r="D888" s="17" t="str">
        <x:v>Lang_19</x:v>
      </x:c>
      <x:c r="E888" s="32" t="n">
        <x:v>0.7222</x:v>
      </x:c>
      <x:c r="F888" s="32" t="n">
        <x:v>0.0556</x:v>
      </x:c>
      <x:c r="G888" s="32" t="n">
        <x:v>0.9444</x:v>
      </x:c>
      <x:c r="H888" s="32" t="n">
        <x:v>1</x:v>
      </x:c>
      <x:c r="I888" s="40" t="n">
        <x:v>1</x:v>
      </x:c>
      <x:c r="J888" s="40" t="n">
        <x:v>1</x:v>
      </x:c>
      <x:c r="K888" s="40" t="n">
        <x:v>1</x:v>
      </x:c>
      <x:c r="L888" s="40" t="n">
        <x:v>1</x:v>
      </x:c>
    </x:row>
    <x:row r="889" ht="23" customHeight="1">
      <x:c r="B889" s="17" t="str">
        <x:v>Round1</x:v>
      </x:c>
      <x:c r="C889" s="17" t="str">
        <x:v>condition</x:v>
      </x:c>
      <x:c r="D889" s="17" t="str">
        <x:v>Lang_23</x:v>
      </x:c>
      <x:c r="E889" s="32" t="n">
        <x:v>0.2929</x:v>
      </x:c>
      <x:c r="F889" s="32" t="n">
        <x:v>0.0101</x:v>
      </x:c>
      <x:c r="G889" s="32" t="n">
        <x:v>0.303</x:v>
      </x:c>
      <x:c r="H889" s="32" t="n">
        <x:v>0.7979999999999999</x:v>
      </x:c>
      <x:c r="I889" s="40" t="n">
        <x:v>1</x:v>
      </x:c>
      <x:c r="J889" s="40" t="n">
        <x:v>1</x:v>
      </x:c>
      <x:c r="K889" s="40" t="n">
        <x:v>1</x:v>
      </x:c>
      <x:c r="L889" s="40" t="n">
        <x:v>1</x:v>
      </x:c>
    </x:row>
    <x:row r="890" ht="23" customHeight="1">
      <x:c r="B890" s="17" t="str">
        <x:v>Round1</x:v>
      </x:c>
      <x:c r="C890" s="17" t="str">
        <x:v>condition</x:v>
      </x:c>
      <x:c r="D890" s="17" t="str">
        <x:v>Lang_24</x:v>
      </x:c>
      <x:c r="E890" s="32" t="n">
        <x:v>0.8258</x:v>
      </x:c>
      <x:c r="F890" s="32" t="n">
        <x:v>0.4916</x:v>
      </x:c>
      <x:c r="G890" s="32" t="n">
        <x:v>0.4522</x:v>
      </x:c>
      <x:c r="H890" s="32" t="n">
        <x:v>0.9298000000000001</x:v>
      </x:c>
      <x:c r="I890" s="40" t="n">
        <x:v>1</x:v>
      </x:c>
      <x:c r="J890" s="40" t="n">
        <x:v>1</x:v>
      </x:c>
      <x:c r="K890" s="40" t="n">
        <x:v>1</x:v>
      </x:c>
      <x:c r="L890" s="40" t="n">
        <x:v>1</x:v>
      </x:c>
    </x:row>
    <x:row r="891" ht="23" customHeight="1">
      <x:c r="B891" s="17" t="str">
        <x:v>Round1</x:v>
      </x:c>
      <x:c r="C891" s="17" t="str">
        <x:v>condition</x:v>
      </x:c>
      <x:c r="D891" s="17" t="str">
        <x:v>Lang_27</x:v>
      </x:c>
      <x:c r="E891" s="32" t="n">
        <x:v>0.8466</x:v>
      </x:c>
      <x:c r="F891" s="32" t="n">
        <x:v>0.4972</x:v>
      </x:c>
      <x:c r="G891" s="32" t="n">
        <x:v>0.5597</x:v>
      </x:c>
      <x:c r="H891" s="32" t="n">
        <x:v>0.9062</x:v>
      </x:c>
      <x:c r="I891" s="40" t="n">
        <x:v>1</x:v>
      </x:c>
      <x:c r="J891" s="40" t="n">
        <x:v>1</x:v>
      </x:c>
      <x:c r="K891" s="40" t="n">
        <x:v>1</x:v>
      </x:c>
      <x:c r="L891" s="40" t="n">
        <x:v>1</x:v>
      </x:c>
    </x:row>
    <x:row r="892" ht="23" customHeight="1">
      <x:c r="B892" s="17" t="str">
        <x:v>Round1</x:v>
      </x:c>
      <x:c r="C892" s="17" t="str">
        <x:v>condition</x:v>
      </x:c>
      <x:c r="D892" s="17" t="str">
        <x:v>Lang_28</x:v>
      </x:c>
      <x:c r="E892" s="32" t="n">
        <x:v>0.2143</x:v>
      </x:c>
      <x:c r="F892" s="32" t="n">
        <x:v>0.07139999999999999</x:v>
      </x:c>
      <x:c r="G892" s="32" t="n">
        <x:v>0.8571</x:v>
      </x:c>
      <x:c r="H892" s="32" t="n">
        <x:v>1</x:v>
      </x:c>
      <x:c r="I892" s="40" t="n">
        <x:v>1</x:v>
      </x:c>
      <x:c r="J892" s="40" t="n">
        <x:v>1</x:v>
      </x:c>
      <x:c r="K892" s="40" t="n">
        <x:v>1</x:v>
      </x:c>
      <x:c r="L892" s="40" t="n">
        <x:v>1</x:v>
      </x:c>
    </x:row>
    <x:row r="893" ht="23" customHeight="1">
      <x:c r="B893" s="17" t="str">
        <x:v>Round1</x:v>
      </x:c>
      <x:c r="C893" s="17" t="str">
        <x:v>condition</x:v>
      </x:c>
      <x:c r="D893" s="17" t="str">
        <x:v>Lang_4</x:v>
      </x:c>
      <x:c r="E893" s="32" t="n">
        <x:v>1</x:v>
      </x:c>
      <x:c r="F893" s="32" t="n">
        <x:v>1</x:v>
      </x:c>
      <x:c r="G893" s="32" t="n">
        <x:v>1</x:v>
      </x:c>
      <x:c r="H893" s="32" t="n">
        <x:v>1</x:v>
      </x:c>
      <x:c r="I893" s="40" t="n">
        <x:v>1</x:v>
      </x:c>
      <x:c r="J893" s="40" t="n">
        <x:v>1</x:v>
      </x:c>
      <x:c r="K893" s="40" t="n">
        <x:v>1</x:v>
      </x:c>
      <x:c r="L893" s="40" t="n">
        <x:v>1</x:v>
      </x:c>
    </x:row>
    <x:row r="894" ht="23" customHeight="1">
      <x:c r="B894" s="17" t="str">
        <x:v>Round1</x:v>
      </x:c>
      <x:c r="C894" s="17" t="str">
        <x:v>condition</x:v>
      </x:c>
      <x:c r="D894" s="17" t="str">
        <x:v>Lang_44</x:v>
      </x:c>
      <x:c r="E894" s="32" t="n">
        <x:v>0.7222</x:v>
      </x:c>
      <x:c r="F894" s="32" t="n">
        <x:v>0.2731</x:v>
      </x:c>
      <x:c r="G894" s="32" t="n">
        <x:v>0.43060000000000004</x:v>
      </x:c>
      <x:c r="H894" s="32" t="n">
        <x:v>0.287</x:v>
      </x:c>
      <x:c r="I894" s="40" t="n">
        <x:v>1</x:v>
      </x:c>
      <x:c r="J894" s="40" t="n">
        <x:v>1</x:v>
      </x:c>
      <x:c r="K894" s="40" t="n">
        <x:v>1</x:v>
      </x:c>
      <x:c r="L894" s="40" t="n">
        <x:v>1</x:v>
      </x:c>
    </x:row>
    <x:row r="895" ht="23" customHeight="1">
      <x:c r="B895" s="17" t="str">
        <x:v>Round1</x:v>
      </x:c>
      <x:c r="C895" s="17" t="str">
        <x:v>condition</x:v>
      </x:c>
      <x:c r="D895" s="17" t="str">
        <x:v>Lang_49</x:v>
      </x:c>
      <x:c r="E895" s="32" t="n">
        <x:v>0.9185</x:v>
      </x:c>
      <x:c r="F895" s="32" t="n">
        <x:v>0.8261</x:v>
      </x:c>
      <x:c r="G895" s="32" t="n">
        <x:v>0.8043</x:v>
      </x:c>
      <x:c r="H895" s="32" t="n">
        <x:v>0.2772</x:v>
      </x:c>
      <x:c r="I895" s="40" t="n">
        <x:v>1</x:v>
      </x:c>
      <x:c r="J895" s="40" t="n">
        <x:v>1</x:v>
      </x:c>
      <x:c r="K895" s="40" t="n">
        <x:v>1</x:v>
      </x:c>
      <x:c r="L895" s="40" t="n">
        <x:v>1</x:v>
      </x:c>
    </x:row>
    <x:row r="896" ht="23" customHeight="1">
      <x:c r="B896" s="17" t="str">
        <x:v>Round1</x:v>
      </x:c>
      <x:c r="C896" s="17" t="str">
        <x:v>condition</x:v>
      </x:c>
      <x:c r="D896" s="17" t="str">
        <x:v>Lang_5</x:v>
      </x:c>
      <x:c r="E896" s="32" t="n">
        <x:v>0.6607</x:v>
      </x:c>
      <x:c r="F896" s="32" t="n">
        <x:v>0.4286</x:v>
      </x:c>
      <x:c r="G896" s="32" t="n">
        <x:v>0.875</x:v>
      </x:c>
      <x:c r="H896" s="32" t="n">
        <x:v>1</x:v>
      </x:c>
      <x:c r="I896" s="40" t="n">
        <x:v>1</x:v>
      </x:c>
      <x:c r="J896" s="40" t="n">
        <x:v>1</x:v>
      </x:c>
      <x:c r="K896" s="40" t="n">
        <x:v>1</x:v>
      </x:c>
      <x:c r="L896" s="40" t="n">
        <x:v>1</x:v>
      </x:c>
    </x:row>
    <x:row r="897" ht="23" customHeight="1">
      <x:c r="B897" s="17" t="str">
        <x:v>Round1</x:v>
      </x:c>
      <x:c r="C897" s="17" t="str">
        <x:v>condition</x:v>
      </x:c>
      <x:c r="D897" s="17" t="str">
        <x:v>Lang_51</x:v>
      </x:c>
      <x:c r="E897" s="32" t="n">
        <x:v>0.8491</x:v>
      </x:c>
      <x:c r="F897" s="32" t="n">
        <x:v>0.6179</x:v>
      </x:c>
      <x:c r="G897" s="32" t="n">
        <x:v>0.7594</x:v>
      </x:c>
      <x:c r="H897" s="32" t="n">
        <x:v>0.1274</x:v>
      </x:c>
      <x:c r="I897" s="40" t="n">
        <x:v>1</x:v>
      </x:c>
      <x:c r="J897" s="40" t="n">
        <x:v>1</x:v>
      </x:c>
      <x:c r="K897" s="40" t="n">
        <x:v>1</x:v>
      </x:c>
      <x:c r="L897" s="40" t="n">
        <x:v>1</x:v>
      </x:c>
    </x:row>
    <x:row r="898" ht="23" customHeight="1">
      <x:c r="B898" s="17" t="str">
        <x:v>Round1</x:v>
      </x:c>
      <x:c r="C898" s="17" t="str">
        <x:v>condition</x:v>
      </x:c>
      <x:c r="D898" s="17" t="str">
        <x:v>Lang_54</x:v>
      </x:c>
      <x:c r="E898" s="32" t="n">
        <x:v>0.7656000000000001</x:v>
      </x:c>
      <x:c r="F898" s="32" t="n">
        <x:v>0.3594</x:v>
      </x:c>
      <x:c r="G898" s="32" t="n">
        <x:v>0.8125</x:v>
      </x:c>
      <x:c r="H898" s="32" t="n">
        <x:v>0.3906</x:v>
      </x:c>
      <x:c r="I898" s="40" t="n">
        <x:v>1</x:v>
      </x:c>
      <x:c r="J898" s="40" t="n">
        <x:v>1</x:v>
      </x:c>
      <x:c r="K898" s="40" t="n">
        <x:v>1</x:v>
      </x:c>
      <x:c r="L898" s="40" t="n">
        <x:v>1</x:v>
      </x:c>
    </x:row>
    <x:row r="899" ht="23" customHeight="1">
      <x:c r="B899" s="17" t="str">
        <x:v>Round1</x:v>
      </x:c>
      <x:c r="C899" s="17" t="str">
        <x:v>condition</x:v>
      </x:c>
      <x:c r="D899" s="17" t="str">
        <x:v>Lang_55</x:v>
      </x:c>
      <x:c r="E899" s="32" t="n">
        <x:v>0.9615</x:v>
      </x:c>
      <x:c r="F899" s="32" t="n">
        <x:v>0.9615</x:v>
      </x:c>
      <x:c r="G899" s="32" t="n">
        <x:v>0.8845999999999999</x:v>
      </x:c>
      <x:c r="H899" s="32" t="n">
        <x:v>0.46149999999999997</x:v>
      </x:c>
      <x:c r="I899" s="40" t="n">
        <x:v>1</x:v>
      </x:c>
      <x:c r="J899" s="40" t="n">
        <x:v>1</x:v>
      </x:c>
      <x:c r="K899" s="40" t="n">
        <x:v>1</x:v>
      </x:c>
      <x:c r="L899" s="40" t="n">
        <x:v>1</x:v>
      </x:c>
    </x:row>
    <x:row r="900" ht="23" customHeight="1">
      <x:c r="B900" s="17" t="str">
        <x:v>Round1</x:v>
      </x:c>
      <x:c r="C900" s="17" t="str">
        <x:v>condition</x:v>
      </x:c>
      <x:c r="D900" s="17" t="str">
        <x:v>Lang_57</x:v>
      </x:c>
      <x:c r="E900" s="32" t="n">
        <x:v>0.75</x:v>
      </x:c>
      <x:c r="F900" s="32" t="n">
        <x:v>0.3594</x:v>
      </x:c>
      <x:c r="G900" s="32" t="n">
        <x:v>0.8281000000000001</x:v>
      </x:c>
      <x:c r="H900" s="32" t="n">
        <x:v>0.3906</x:v>
      </x:c>
      <x:c r="I900" s="40" t="n">
        <x:v>1</x:v>
      </x:c>
      <x:c r="J900" s="40" t="n">
        <x:v>1</x:v>
      </x:c>
      <x:c r="K900" s="40" t="n">
        <x:v>1</x:v>
      </x:c>
      <x:c r="L900" s="40" t="n">
        <x:v>1</x:v>
      </x:c>
    </x:row>
    <x:row r="901" ht="23" customHeight="1">
      <x:c r="B901" s="17" t="str">
        <x:v>Round1</x:v>
      </x:c>
      <x:c r="C901" s="17" t="str">
        <x:v>condition</x:v>
      </x:c>
      <x:c r="D901" s="17" t="str">
        <x:v>Lang_58</x:v>
      </x:c>
      <x:c r="E901" s="32" t="n">
        <x:v>0.8332999999999999</x:v>
      </x:c>
      <x:c r="F901" s="32" t="n">
        <x:v>0.5738</x:v>
      </x:c>
      <x:c r="G901" s="32" t="n">
        <x:v>0.6881</x:v>
      </x:c>
      <x:c r="H901" s="32" t="n">
        <x:v>0.1476</x:v>
      </x:c>
      <x:c r="I901" s="40" t="n">
        <x:v>1</x:v>
      </x:c>
      <x:c r="J901" s="40" t="n">
        <x:v>1</x:v>
      </x:c>
      <x:c r="K901" s="40" t="n">
        <x:v>1</x:v>
      </x:c>
      <x:c r="L901" s="40" t="n">
        <x:v>1</x:v>
      </x:c>
    </x:row>
    <x:row r="902" ht="23" customHeight="1">
      <x:c r="B902" s="17" t="str">
        <x:v>Round1</x:v>
      </x:c>
      <x:c r="C902" s="17" t="str">
        <x:v>condition</x:v>
      </x:c>
      <x:c r="D902" s="17" t="str">
        <x:v>Lang_6</x:v>
      </x:c>
      <x:c r="E902" s="32" t="n">
        <x:v>1</x:v>
      </x:c>
      <x:c r="F902" s="32" t="n">
        <x:v>0</x:v>
      </x:c>
      <x:c r="G902" s="32" t="n">
        <x:v>1</x:v>
      </x:c>
      <x:c r="H902" s="32" t="n">
        <x:v>1</x:v>
      </x:c>
      <x:c r="I902" s="40" t="n">
        <x:v>1</x:v>
      </x:c>
      <x:c r="J902" s="40" t="n">
        <x:v>1</x:v>
      </x:c>
      <x:c r="K902" s="40" t="n">
        <x:v>1</x:v>
      </x:c>
      <x:c r="L902" s="40" t="n">
        <x:v>1</x:v>
      </x:c>
    </x:row>
    <x:row r="903" ht="23" customHeight="1">
      <x:c r="B903" s="17" t="str">
        <x:v>Round1</x:v>
      </x:c>
      <x:c r="C903" s="17" t="str">
        <x:v>condition</x:v>
      </x:c>
      <x:c r="D903" s="17" t="str">
        <x:v>Lang_63</x:v>
      </x:c>
      <x:c r="E903" s="32" t="n">
        <x:v>0.8963</x:v>
      </x:c>
      <x:c r="F903" s="32" t="n">
        <x:v>0.7184999999999999</x:v>
      </x:c>
      <x:c r="G903" s="32" t="n">
        <x:v>0.6074</x:v>
      </x:c>
      <x:c r="H903" s="32" t="n">
        <x:v>0.45189999999999997</x:v>
      </x:c>
      <x:c r="I903" s="40" t="n">
        <x:v>1</x:v>
      </x:c>
      <x:c r="J903" s="40" t="n">
        <x:v>1</x:v>
      </x:c>
      <x:c r="K903" s="40" t="n">
        <x:v>1</x:v>
      </x:c>
      <x:c r="L903" s="40" t="n">
        <x:v>1</x:v>
      </x:c>
    </x:row>
    <x:row r="904" ht="23" customHeight="1">
      <x:c r="B904" s="17" t="str">
        <x:v>Round1</x:v>
      </x:c>
      <x:c r="C904" s="17" t="str">
        <x:v>condition</x:v>
      </x:c>
      <x:c r="D904" s="17" t="str">
        <x:v>Lang_64</x:v>
      </x:c>
      <x:c r="E904" s="32" t="n">
        <x:v>0.25</x:v>
      </x:c>
      <x:c r="F904" s="32" t="n">
        <x:v>0.25</x:v>
      </x:c>
      <x:c r="G904" s="32" t="n">
        <x:v>0</x:v>
      </x:c>
      <x:c r="H904" s="32" t="n">
        <x:v>0.625</x:v>
      </x:c>
      <x:c r="I904" s="40" t="n">
        <x:v>1</x:v>
      </x:c>
      <x:c r="J904" s="40" t="n">
        <x:v>1</x:v>
      </x:c>
      <x:c r="K904" s="40" t="n">
        <x:v>1</x:v>
      </x:c>
      <x:c r="L904" s="40" t="n">
        <x:v>1</x:v>
      </x:c>
    </x:row>
    <x:row r="905" ht="23" customHeight="1">
      <x:c r="B905" s="17" t="str">
        <x:v>Round1</x:v>
      </x:c>
      <x:c r="C905" s="17" t="str">
        <x:v>condition</x:v>
      </x:c>
      <x:c r="D905" s="17" t="str">
        <x:v>Lang_7</x:v>
      </x:c>
      <x:c r="E905" s="32" t="n">
        <x:v>0.847</x:v>
      </x:c>
      <x:c r="F905" s="32" t="n">
        <x:v>0.4836</x:v>
      </x:c>
      <x:c r="G905" s="32" t="n">
        <x:v>0.5464</x:v>
      </x:c>
      <x:c r="H905" s="32" t="n">
        <x:v>0.8634000000000001</x:v>
      </x:c>
      <x:c r="I905" s="40" t="n">
        <x:v>1</x:v>
      </x:c>
      <x:c r="J905" s="40" t="n">
        <x:v>1</x:v>
      </x:c>
      <x:c r="K905" s="40" t="n">
        <x:v>1</x:v>
      </x:c>
      <x:c r="L905" s="40" t="n">
        <x:v>1</x:v>
      </x:c>
    </x:row>
    <x:row r="906" ht="23" customHeight="1">
      <x:c r="B906" s="17" t="str">
        <x:v>Round1</x:v>
      </x:c>
      <x:c r="C906" s="17" t="str">
        <x:v>condition</x:v>
      </x:c>
      <x:c r="D906" s="17" t="str">
        <x:v>Lang_8</x:v>
      </x:c>
      <x:c r="E906" s="32" t="n">
        <x:v>0.7867000000000001</x:v>
      </x:c>
      <x:c r="F906" s="32" t="n">
        <x:v>0.013300000000000001</x:v>
      </x:c>
      <x:c r="G906" s="32" t="n">
        <x:v>0.5333</x:v>
      </x:c>
      <x:c r="H906" s="32" t="n">
        <x:v>0.9267</x:v>
      </x:c>
      <x:c r="I906" s="40" t="n">
        <x:v>1</x:v>
      </x:c>
      <x:c r="J906" s="40" t="n">
        <x:v>1</x:v>
      </x:c>
      <x:c r="K906" s="40" t="n">
        <x:v>1</x:v>
      </x:c>
      <x:c r="L906" s="40" t="n">
        <x:v>1</x:v>
      </x:c>
    </x:row>
    <x:row r="907" ht="23" customHeight="1">
      <x:c r="B907" s="17" t="str">
        <x:v>Round1</x:v>
      </x:c>
      <x:c r="C907" s="17" t="str">
        <x:v>condition</x:v>
      </x:c>
      <x:c r="D907" s="17" t="str">
        <x:v>Math_1</x:v>
      </x:c>
      <x:c r="E907" s="32" t="n">
        <x:v>0.9688</x:v>
      </x:c>
      <x:c r="F907" s="32" t="n">
        <x:v>0.8802</x:v>
      </x:c>
      <x:c r="G907" s="32" t="n">
        <x:v>0.7865000000000001</x:v>
      </x:c>
      <x:c r="H907" s="32" t="n">
        <x:v>0.3125</x:v>
      </x:c>
      <x:c r="I907" s="40" t="n">
        <x:v>1</x:v>
      </x:c>
      <x:c r="J907" s="40" t="n">
        <x:v>1</x:v>
      </x:c>
      <x:c r="K907" s="40" t="n">
        <x:v>1</x:v>
      </x:c>
      <x:c r="L907" s="40" t="n">
        <x:v>1</x:v>
      </x:c>
    </x:row>
    <x:row r="908" ht="23" customHeight="1">
      <x:c r="B908" s="17" t="str">
        <x:v>Round1</x:v>
      </x:c>
      <x:c r="C908" s="17" t="str">
        <x:v>condition</x:v>
      </x:c>
      <x:c r="D908" s="17" t="str">
        <x:v>Math_10</x:v>
      </x:c>
      <x:c r="E908" s="32" t="n">
        <x:v>0.6993</x:v>
      </x:c>
      <x:c r="F908" s="32" t="n">
        <x:v>0.2378</x:v>
      </x:c>
      <x:c r="G908" s="32" t="n">
        <x:v>0.6607999999999999</x:v>
      </x:c>
      <x:c r="H908" s="32" t="n">
        <x:v>0</x:v>
      </x:c>
      <x:c r="I908" s="40" t="n">
        <x:v>1</x:v>
      </x:c>
      <x:c r="J908" s="40" t="n">
        <x:v>1</x:v>
      </x:c>
      <x:c r="K908" s="40" t="n">
        <x:v>1</x:v>
      </x:c>
      <x:c r="L908" s="40" t="n">
        <x:v>1</x:v>
      </x:c>
    </x:row>
    <x:row r="909" ht="23" customHeight="1">
      <x:c r="B909" s="17" t="str">
        <x:v>Round1</x:v>
      </x:c>
      <x:c r="C909" s="17" t="str">
        <x:v>condition</x:v>
      </x:c>
      <x:c r="D909" s="17" t="str">
        <x:v>Math_101</x:v>
      </x:c>
      <x:c r="E909" s="32" t="n">
        <x:v>1</x:v>
      </x:c>
      <x:c r="F909" s="32" t="n">
        <x:v>0.6154</x:v>
      </x:c>
      <x:c r="G909" s="32" t="n">
        <x:v>0.9423</x:v>
      </x:c>
      <x:c r="H909" s="32" t="n">
        <x:v>0</x:v>
      </x:c>
      <x:c r="I909" s="40" t="n">
        <x:v>1</x:v>
      </x:c>
      <x:c r="J909" s="40" t="n">
        <x:v>1</x:v>
      </x:c>
      <x:c r="K909" s="40" t="n">
        <x:v>1</x:v>
      </x:c>
      <x:c r="L909" s="40" t="n">
        <x:v>1</x:v>
      </x:c>
    </x:row>
    <x:row r="910" ht="23" customHeight="1">
      <x:c r="B910" s="17" t="str">
        <x:v>Round1</x:v>
      </x:c>
      <x:c r="C910" s="17" t="str">
        <x:v>condition</x:v>
      </x:c>
      <x:c r="D910" s="17" t="str">
        <x:v>Math_104</x:v>
      </x:c>
      <x:c r="E910" s="32" t="n">
        <x:v>1</x:v>
      </x:c>
      <x:c r="F910" s="32" t="n">
        <x:v>1</x:v>
      </x:c>
      <x:c r="G910" s="32" t="n">
        <x:v>0.9</x:v>
      </x:c>
      <x:c r="H910" s="32" t="n">
        <x:v>0.675</x:v>
      </x:c>
      <x:c r="I910" s="40" t="n">
        <x:v>1</x:v>
      </x:c>
      <x:c r="J910" s="40" t="n">
        <x:v>1</x:v>
      </x:c>
      <x:c r="K910" s="40" t="n">
        <x:v>1</x:v>
      </x:c>
      <x:c r="L910" s="40" t="n">
        <x:v>1</x:v>
      </x:c>
    </x:row>
    <x:row r="911" ht="23" customHeight="1">
      <x:c r="B911" s="17" t="str">
        <x:v>Round1</x:v>
      </x:c>
      <x:c r="C911" s="17" t="str">
        <x:v>condition</x:v>
      </x:c>
      <x:c r="D911" s="17" t="str">
        <x:v>Math_105</x:v>
      </x:c>
      <x:c r="E911" s="32" t="n">
        <x:v>1</x:v>
      </x:c>
      <x:c r="F911" s="32" t="n">
        <x:v>0.8889</x:v>
      </x:c>
      <x:c r="G911" s="32" t="n">
        <x:v>1</x:v>
      </x:c>
      <x:c r="H911" s="32" t="n">
        <x:v>0.5</x:v>
      </x:c>
      <x:c r="I911" s="40" t="n">
        <x:v>1</x:v>
      </x:c>
      <x:c r="J911" s="40" t="n">
        <x:v>1</x:v>
      </x:c>
      <x:c r="K911" s="40" t="n">
        <x:v>1</x:v>
      </x:c>
      <x:c r="L911" s="40" t="n">
        <x:v>1</x:v>
      </x:c>
    </x:row>
    <x:row r="912" ht="23" customHeight="1">
      <x:c r="B912" s="17" t="str">
        <x:v>Round1</x:v>
      </x:c>
      <x:c r="C912" s="17" t="str">
        <x:v>condition</x:v>
      </x:c>
      <x:c r="D912" s="17" t="str">
        <x:v>Math_106</x:v>
      </x:c>
      <x:c r="E912" s="32" t="n">
        <x:v>1</x:v>
      </x:c>
      <x:c r="F912" s="32" t="n">
        <x:v>0.7333</x:v>
      </x:c>
      <x:c r="G912" s="32" t="n">
        <x:v>0.8</x:v>
      </x:c>
      <x:c r="H912" s="32" t="n">
        <x:v>0.6</x:v>
      </x:c>
      <x:c r="I912" s="40" t="n">
        <x:v>1</x:v>
      </x:c>
      <x:c r="J912" s="40" t="n">
        <x:v>1</x:v>
      </x:c>
      <x:c r="K912" s="40" t="n">
        <x:v>1</x:v>
      </x:c>
      <x:c r="L912" s="40" t="n">
        <x:v>1</x:v>
      </x:c>
    </x:row>
    <x:row r="913" ht="23" customHeight="1">
      <x:c r="B913" s="17" t="str">
        <x:v>Round1</x:v>
      </x:c>
      <x:c r="C913" s="17" t="str">
        <x:v>condition</x:v>
      </x:c>
      <x:c r="D913" s="17" t="str">
        <x:v>Math_12</x:v>
      </x:c>
      <x:c r="E913" s="32" t="n">
        <x:v>1</x:v>
      </x:c>
      <x:c r="F913" s="32" t="n">
        <x:v>0</x:v>
      </x:c>
      <x:c r="G913" s="32" t="n">
        <x:v>0.8571</x:v>
      </x:c>
      <x:c r="H913" s="32" t="n">
        <x:v>1</x:v>
      </x:c>
      <x:c r="I913" s="40" t="n">
        <x:v>1</x:v>
      </x:c>
      <x:c r="J913" s="40" t="n">
        <x:v>1</x:v>
      </x:c>
      <x:c r="K913" s="40" t="n">
        <x:v>1</x:v>
      </x:c>
      <x:c r="L913" s="40" t="n">
        <x:v>1</x:v>
      </x:c>
    </x:row>
    <x:row r="914" ht="23" customHeight="1">
      <x:c r="B914" s="17" t="str">
        <x:v>Round1</x:v>
      </x:c>
      <x:c r="C914" s="17" t="str">
        <x:v>condition</x:v>
      </x:c>
      <x:c r="D914" s="17" t="str">
        <x:v>Math_15</x:v>
      </x:c>
      <x:c r="E914" s="32" t="n">
        <x:v>0.8509</x:v>
      </x:c>
      <x:c r="F914" s="32" t="n">
        <x:v>0.7845</x:v>
      </x:c>
      <x:c r="G914" s="32" t="n">
        <x:v>0.3346</x:v>
      </x:c>
      <x:c r="H914" s="32" t="n">
        <x:v>0</x:v>
      </x:c>
      <x:c r="I914" s="40" t="n">
        <x:v>1</x:v>
      </x:c>
      <x:c r="J914" s="40" t="n">
        <x:v>1</x:v>
      </x:c>
      <x:c r="K914" s="40" t="n">
        <x:v>1</x:v>
      </x:c>
      <x:c r="L914" s="40" t="n">
        <x:v>1</x:v>
      </x:c>
    </x:row>
    <x:row r="915" ht="23" customHeight="1">
      <x:c r="B915" s="17" t="str">
        <x:v>Round1</x:v>
      </x:c>
      <x:c r="C915" s="17" t="str">
        <x:v>condition</x:v>
      </x:c>
      <x:c r="D915" s="17" t="str">
        <x:v>Math_16</x:v>
      </x:c>
      <x:c r="E915" s="32" t="n">
        <x:v>0.838</x:v>
      </x:c>
      <x:c r="F915" s="32" t="n">
        <x:v>0.157</x:v>
      </x:c>
      <x:c r="G915" s="32" t="n">
        <x:v>0.36460000000000004</x:v>
      </x:c>
      <x:c r="H915" s="32" t="n">
        <x:v>0</x:v>
      </x:c>
      <x:c r="I915" s="40" t="n">
        <x:v>1</x:v>
      </x:c>
      <x:c r="J915" s="40" t="n">
        <x:v>1</x:v>
      </x:c>
      <x:c r="K915" s="40" t="n">
        <x:v>1</x:v>
      </x:c>
      <x:c r="L915" s="40" t="n">
        <x:v>1</x:v>
      </x:c>
    </x:row>
    <x:row r="916" ht="23" customHeight="1">
      <x:c r="B916" s="17" t="str">
        <x:v>Round1</x:v>
      </x:c>
      <x:c r="C916" s="17" t="str">
        <x:v>condition</x:v>
      </x:c>
      <x:c r="D916" s="17" t="str">
        <x:v>Math_2</x:v>
      </x:c>
      <x:c r="E916" s="32" t="n">
        <x:v>1</x:v>
      </x:c>
      <x:c r="F916" s="32" t="n">
        <x:v>1</x:v>
      </x:c>
      <x:c r="G916" s="32" t="n">
        <x:v>0.8845999999999999</x:v>
      </x:c>
      <x:c r="H916" s="32" t="n">
        <x:v>0.5769</x:v>
      </x:c>
      <x:c r="I916" s="40" t="n">
        <x:v>1</x:v>
      </x:c>
      <x:c r="J916" s="40" t="n">
        <x:v>1</x:v>
      </x:c>
      <x:c r="K916" s="40" t="n">
        <x:v>1</x:v>
      </x:c>
      <x:c r="L916" s="40" t="n">
        <x:v>1</x:v>
      </x:c>
    </x:row>
    <x:row r="917" ht="23" customHeight="1">
      <x:c r="B917" s="17" t="str">
        <x:v>Round1</x:v>
      </x:c>
      <x:c r="C917" s="17" t="str">
        <x:v>condition</x:v>
      </x:c>
      <x:c r="D917" s="17" t="str">
        <x:v>Math_21</x:v>
      </x:c>
      <x:c r="E917" s="32" t="n">
        <x:v>1</x:v>
      </x:c>
      <x:c r="F917" s="32" t="n">
        <x:v>0</x:v>
      </x:c>
      <x:c r="G917" s="32" t="n">
        <x:v>1</x:v>
      </x:c>
      <x:c r="H917" s="32" t="n">
        <x:v>1</x:v>
      </x:c>
      <x:c r="I917" s="40" t="n">
        <x:v>1</x:v>
      </x:c>
      <x:c r="J917" s="40" t="n">
        <x:v>1</x:v>
      </x:c>
      <x:c r="K917" s="40" t="n">
        <x:v>1</x:v>
      </x:c>
      <x:c r="L917" s="40" t="n">
        <x:v>1</x:v>
      </x:c>
    </x:row>
    <x:row r="918" ht="23" customHeight="1">
      <x:c r="B918" s="17" t="str">
        <x:v>Round1</x:v>
      </x:c>
      <x:c r="C918" s="17" t="str">
        <x:v>condition</x:v>
      </x:c>
      <x:c r="D918" s="17" t="str">
        <x:v>Math_40</x:v>
      </x:c>
      <x:c r="E918" s="32" t="n">
        <x:v>0.9848</x:v>
      </x:c>
      <x:c r="F918" s="32" t="n">
        <x:v>0.0909</x:v>
      </x:c>
      <x:c r="G918" s="32" t="n">
        <x:v>0.6818000000000001</x:v>
      </x:c>
      <x:c r="H918" s="32" t="n">
        <x:v>0</x:v>
      </x:c>
      <x:c r="I918" s="40" t="n">
        <x:v>1</x:v>
      </x:c>
      <x:c r="J918" s="40" t="n">
        <x:v>1</x:v>
      </x:c>
      <x:c r="K918" s="40" t="n">
        <x:v>1</x:v>
      </x:c>
      <x:c r="L918" s="40" t="n">
        <x:v>1</x:v>
      </x:c>
    </x:row>
    <x:row r="919" ht="23" customHeight="1">
      <x:c r="B919" s="17" t="str">
        <x:v>Round1</x:v>
      </x:c>
      <x:c r="C919" s="17" t="str">
        <x:v>condition</x:v>
      </x:c>
      <x:c r="D919" s="17" t="str">
        <x:v>Math_41</x:v>
      </x:c>
      <x:c r="E919" s="32" t="n">
        <x:v>0.8695999999999999</x:v>
      </x:c>
      <x:c r="F919" s="32" t="n">
        <x:v>0.6087</x:v>
      </x:c>
      <x:c r="G919" s="32" t="n">
        <x:v>0.7173999999999999</x:v>
      </x:c>
      <x:c r="H919" s="32" t="n">
        <x:v>0</x:v>
      </x:c>
      <x:c r="I919" s="40" t="n">
        <x:v>1</x:v>
      </x:c>
      <x:c r="J919" s="40" t="n">
        <x:v>1</x:v>
      </x:c>
      <x:c r="K919" s="40" t="n">
        <x:v>1</x:v>
      </x:c>
      <x:c r="L919" s="40" t="n">
        <x:v>1</x:v>
      </x:c>
    </x:row>
    <x:row r="920" ht="23" customHeight="1">
      <x:c r="B920" s="17" t="str">
        <x:v>Round1</x:v>
      </x:c>
      <x:c r="C920" s="17" t="str">
        <x:v>condition</x:v>
      </x:c>
      <x:c r="D920" s="17" t="str">
        <x:v>Math_42</x:v>
      </x:c>
      <x:c r="E920" s="32" t="n">
        <x:v>0.9333</x:v>
      </x:c>
      <x:c r="F920" s="32" t="n">
        <x:v>0.0083</x:v>
      </x:c>
      <x:c r="G920" s="32" t="n">
        <x:v>0.5667</x:v>
      </x:c>
      <x:c r="H920" s="32" t="n">
        <x:v>0</x:v>
      </x:c>
      <x:c r="I920" s="40" t="n">
        <x:v>1</x:v>
      </x:c>
      <x:c r="J920" s="40" t="n">
        <x:v>1</x:v>
      </x:c>
      <x:c r="K920" s="40" t="n">
        <x:v>1</x:v>
      </x:c>
      <x:c r="L920" s="40" t="n">
        <x:v>1</x:v>
      </x:c>
    </x:row>
    <x:row r="921" ht="23" customHeight="1">
      <x:c r="B921" s="17" t="str">
        <x:v>Round1</x:v>
      </x:c>
      <x:c r="C921" s="17" t="str">
        <x:v>condition</x:v>
      </x:c>
      <x:c r="D921" s="17" t="str">
        <x:v>Math_43</x:v>
      </x:c>
      <x:c r="E921" s="32" t="n">
        <x:v>1</x:v>
      </x:c>
      <x:c r="F921" s="32" t="n">
        <x:v>0.9655</x:v>
      </x:c>
      <x:c r="G921" s="32" t="n">
        <x:v>0.5861999999999999</x:v>
      </x:c>
      <x:c r="H921" s="32" t="n">
        <x:v>0</x:v>
      </x:c>
      <x:c r="I921" s="40" t="n">
        <x:v>1</x:v>
      </x:c>
      <x:c r="J921" s="40" t="n">
        <x:v>1</x:v>
      </x:c>
      <x:c r="K921" s="40" t="n">
        <x:v>1</x:v>
      </x:c>
      <x:c r="L921" s="40" t="n">
        <x:v>1</x:v>
      </x:c>
    </x:row>
    <x:row r="922" ht="23" customHeight="1">
      <x:c r="B922" s="17" t="str">
        <x:v>Round1</x:v>
      </x:c>
      <x:c r="C922" s="17" t="str">
        <x:v>condition</x:v>
      </x:c>
      <x:c r="D922" s="17" t="str">
        <x:v>Math_45</x:v>
      </x:c>
      <x:c r="E922" s="32" t="n">
        <x:v>0.4545</x:v>
      </x:c>
      <x:c r="F922" s="32" t="n">
        <x:v>0.6818000000000001</x:v>
      </x:c>
      <x:c r="G922" s="32" t="n">
        <x:v>0.9545</x:v>
      </x:c>
      <x:c r="H922" s="32" t="n">
        <x:v>0</x:v>
      </x:c>
      <x:c r="I922" s="40" t="n">
        <x:v>1</x:v>
      </x:c>
      <x:c r="J922" s="40" t="n">
        <x:v>1</x:v>
      </x:c>
      <x:c r="K922" s="40" t="n">
        <x:v>1</x:v>
      </x:c>
      <x:c r="L922" s="40" t="n">
        <x:v>1</x:v>
      </x:c>
    </x:row>
    <x:row r="923" ht="23" customHeight="1">
      <x:c r="B923" s="17" t="str">
        <x:v>Round1</x:v>
      </x:c>
      <x:c r="C923" s="17" t="str">
        <x:v>condition</x:v>
      </x:c>
      <x:c r="D923" s="17" t="str">
        <x:v>Math_56</x:v>
      </x:c>
      <x:c r="E923" s="32" t="n">
        <x:v>1</x:v>
      </x:c>
      <x:c r="F923" s="32" t="n">
        <x:v>0.9118</x:v>
      </x:c>
      <x:c r="G923" s="32" t="n">
        <x:v>0.9412</x:v>
      </x:c>
      <x:c r="H923" s="32" t="n">
        <x:v>0</x:v>
      </x:c>
      <x:c r="I923" s="40" t="n">
        <x:v>1</x:v>
      </x:c>
      <x:c r="J923" s="40" t="n">
        <x:v>1</x:v>
      </x:c>
      <x:c r="K923" s="40" t="n">
        <x:v>1</x:v>
      </x:c>
      <x:c r="L923" s="40" t="n">
        <x:v>1</x:v>
      </x:c>
    </x:row>
    <x:row r="924" ht="23" customHeight="1">
      <x:c r="B924" s="17" t="str">
        <x:v>Round1</x:v>
      </x:c>
      <x:c r="C924" s="17" t="str">
        <x:v>condition</x:v>
      </x:c>
      <x:c r="D924" s="17" t="str">
        <x:v>Math_59</x:v>
      </x:c>
      <x:c r="E924" s="32" t="n">
        <x:v>0.8067</x:v>
      </x:c>
      <x:c r="F924" s="32" t="n">
        <x:v>0.7837000000000001</x:v>
      </x:c>
      <x:c r="G924" s="32" t="n">
        <x:v>0.43560000000000004</x:v>
      </x:c>
      <x:c r="H924" s="32" t="n">
        <x:v>0.066</x:v>
      </x:c>
      <x:c r="I924" s="40" t="n">
        <x:v>1</x:v>
      </x:c>
      <x:c r="J924" s="40" t="n">
        <x:v>1</x:v>
      </x:c>
      <x:c r="K924" s="40" t="n">
        <x:v>1</x:v>
      </x:c>
      <x:c r="L924" s="40" t="n">
        <x:v>1</x:v>
      </x:c>
    </x:row>
    <x:row r="925" ht="23" customHeight="1">
      <x:c r="B925" s="17" t="str">
        <x:v>Round1</x:v>
      </x:c>
      <x:c r="C925" s="17" t="str">
        <x:v>condition</x:v>
      </x:c>
      <x:c r="D925" s="17" t="str">
        <x:v>Math_61</x:v>
      </x:c>
      <x:c r="E925" s="32" t="n">
        <x:v>1</x:v>
      </x:c>
      <x:c r="F925" s="32" t="n">
        <x:v>0.75</x:v>
      </x:c>
      <x:c r="G925" s="32" t="n">
        <x:v>1</x:v>
      </x:c>
      <x:c r="H925" s="32" t="n">
        <x:v>0</x:v>
      </x:c>
      <x:c r="I925" s="40" t="n">
        <x:v>1</x:v>
      </x:c>
      <x:c r="J925" s="40" t="n">
        <x:v>1</x:v>
      </x:c>
      <x:c r="K925" s="40" t="n">
        <x:v>1</x:v>
      </x:c>
      <x:c r="L925" s="40" t="n">
        <x:v>1</x:v>
      </x:c>
    </x:row>
    <x:row r="926" ht="23" customHeight="1">
      <x:c r="B926" s="17" t="str">
        <x:v>Round1</x:v>
      </x:c>
      <x:c r="C926" s="17" t="str">
        <x:v>condition</x:v>
      </x:c>
      <x:c r="D926" s="17" t="str">
        <x:v>Math_63</x:v>
      </x:c>
      <x:c r="E926" s="32" t="n">
        <x:v>0.8820999999999999</x:v>
      </x:c>
      <x:c r="F926" s="32" t="n">
        <x:v>0.7483</x:v>
      </x:c>
      <x:c r="G926" s="32" t="n">
        <x:v>0.5760000000000001</x:v>
      </x:c>
      <x:c r="H926" s="32" t="n">
        <x:v>0</x:v>
      </x:c>
      <x:c r="I926" s="40" t="n">
        <x:v>1</x:v>
      </x:c>
      <x:c r="J926" s="40" t="n">
        <x:v>1</x:v>
      </x:c>
      <x:c r="K926" s="40" t="n">
        <x:v>1</x:v>
      </x:c>
      <x:c r="L926" s="40" t="n">
        <x:v>1</x:v>
      </x:c>
    </x:row>
    <x:row r="927" ht="23" customHeight="1">
      <x:c r="B927" s="17" t="str">
        <x:v>Round1</x:v>
      </x:c>
      <x:c r="C927" s="17" t="str">
        <x:v>condition</x:v>
      </x:c>
      <x:c r="D927" s="17" t="str">
        <x:v>Math_66</x:v>
      </x:c>
      <x:c r="E927" s="32" t="n">
        <x:v>0.9828</x:v>
      </x:c>
      <x:c r="F927" s="32" t="n">
        <x:v>0.1207</x:v>
      </x:c>
      <x:c r="G927" s="32" t="n">
        <x:v>0.9483</x:v>
      </x:c>
      <x:c r="H927" s="32" t="n">
        <x:v>0</x:v>
      </x:c>
      <x:c r="I927" s="40" t="n">
        <x:v>1</x:v>
      </x:c>
      <x:c r="J927" s="40" t="n">
        <x:v>1</x:v>
      </x:c>
      <x:c r="K927" s="40" t="n">
        <x:v>1</x:v>
      </x:c>
      <x:c r="L927" s="40" t="n">
        <x:v>1</x:v>
      </x:c>
    </x:row>
    <x:row r="928" ht="23" customHeight="1">
      <x:c r="B928" s="17" t="str">
        <x:v>Round1</x:v>
      </x:c>
      <x:c r="C928" s="17" t="str">
        <x:v>condition</x:v>
      </x:c>
      <x:c r="D928" s="17" t="str">
        <x:v>Math_67</x:v>
      </x:c>
      <x:c r="E928" s="32" t="n">
        <x:v>0.9412</x:v>
      </x:c>
      <x:c r="F928" s="32" t="n">
        <x:v>0.2059</x:v>
      </x:c>
      <x:c r="G928" s="32" t="n">
        <x:v>0.8529000000000001</x:v>
      </x:c>
      <x:c r="H928" s="32" t="n">
        <x:v>0</x:v>
      </x:c>
      <x:c r="I928" s="40" t="n">
        <x:v>1</x:v>
      </x:c>
      <x:c r="J928" s="40" t="n">
        <x:v>1</x:v>
      </x:c>
      <x:c r="K928" s="40" t="n">
        <x:v>1</x:v>
      </x:c>
      <x:c r="L928" s="40" t="n">
        <x:v>1</x:v>
      </x:c>
    </x:row>
    <x:row r="929" ht="23" customHeight="1">
      <x:c r="B929" s="17" t="str">
        <x:v>Round1</x:v>
      </x:c>
      <x:c r="C929" s="17" t="str">
        <x:v>condition</x:v>
      </x:c>
      <x:c r="D929" s="17" t="str">
        <x:v>Math_69</x:v>
      </x:c>
      <x:c r="E929" s="32" t="n">
        <x:v>1</x:v>
      </x:c>
      <x:c r="F929" s="32" t="n">
        <x:v>0.9</x:v>
      </x:c>
      <x:c r="G929" s="32" t="n">
        <x:v>0.9667</x:v>
      </x:c>
      <x:c r="H929" s="32" t="n">
        <x:v>0</x:v>
      </x:c>
      <x:c r="I929" s="40" t="n">
        <x:v>1</x:v>
      </x:c>
      <x:c r="J929" s="40" t="n">
        <x:v>1</x:v>
      </x:c>
      <x:c r="K929" s="40" t="n">
        <x:v>1</x:v>
      </x:c>
      <x:c r="L929" s="40" t="n">
        <x:v>1</x:v>
      </x:c>
    </x:row>
    <x:row r="930" ht="23" customHeight="1">
      <x:c r="B930" s="17" t="str">
        <x:v>Round1</x:v>
      </x:c>
      <x:c r="C930" s="17" t="str">
        <x:v>condition</x:v>
      </x:c>
      <x:c r="D930" s="17" t="str">
        <x:v>Math_72</x:v>
      </x:c>
      <x:c r="E930" s="32" t="n">
        <x:v>1</x:v>
      </x:c>
      <x:c r="F930" s="32" t="n">
        <x:v>0</x:v>
      </x:c>
      <x:c r="G930" s="32" t="n">
        <x:v>0.8148000000000001</x:v>
      </x:c>
      <x:c r="H930" s="32" t="n">
        <x:v>0</x:v>
      </x:c>
      <x:c r="I930" s="40" t="n">
        <x:v>1</x:v>
      </x:c>
      <x:c r="J930" s="40" t="n">
        <x:v>1</x:v>
      </x:c>
      <x:c r="K930" s="40" t="n">
        <x:v>1</x:v>
      </x:c>
      <x:c r="L930" s="40" t="n">
        <x:v>1</x:v>
      </x:c>
    </x:row>
    <x:row r="931" ht="23" customHeight="1">
      <x:c r="B931" s="17" t="str">
        <x:v>Round1</x:v>
      </x:c>
      <x:c r="C931" s="17" t="str">
        <x:v>condition</x:v>
      </x:c>
      <x:c r="D931" s="17" t="str">
        <x:v>Math_73</x:v>
      </x:c>
      <x:c r="E931" s="32" t="n">
        <x:v>1</x:v>
      </x:c>
      <x:c r="F931" s="32" t="n">
        <x:v>0</x:v>
      </x:c>
      <x:c r="G931" s="32" t="n">
        <x:v>0.8077</x:v>
      </x:c>
      <x:c r="H931" s="32" t="n">
        <x:v>0</x:v>
      </x:c>
      <x:c r="I931" s="40" t="n">
        <x:v>1</x:v>
      </x:c>
      <x:c r="J931" s="40" t="n">
        <x:v>1</x:v>
      </x:c>
      <x:c r="K931" s="40" t="n">
        <x:v>1</x:v>
      </x:c>
      <x:c r="L931" s="40" t="n">
        <x:v>1</x:v>
      </x:c>
    </x:row>
    <x:row r="932" ht="23" customHeight="1">
      <x:c r="B932" s="17" t="str">
        <x:v>Round1</x:v>
      </x:c>
      <x:c r="C932" s="17" t="str">
        <x:v>condition</x:v>
      </x:c>
      <x:c r="D932" s="17" t="str">
        <x:v>Math_75</x:v>
      </x:c>
      <x:c r="E932" s="32" t="n">
        <x:v>0.9167000000000001</x:v>
      </x:c>
      <x:c r="F932" s="32" t="n">
        <x:v>0.8332999999999999</x:v>
      </x:c>
      <x:c r="G932" s="32" t="n">
        <x:v>0.7707999999999999</x:v>
      </x:c>
      <x:c r="H932" s="32" t="n">
        <x:v>0</x:v>
      </x:c>
      <x:c r="I932" s="40" t="n">
        <x:v>1</x:v>
      </x:c>
      <x:c r="J932" s="40" t="n">
        <x:v>1</x:v>
      </x:c>
      <x:c r="K932" s="40" t="n">
        <x:v>1</x:v>
      </x:c>
      <x:c r="L932" s="40" t="n">
        <x:v>1</x:v>
      </x:c>
    </x:row>
    <x:row r="933" ht="23" customHeight="1">
      <x:c r="B933" s="17" t="str">
        <x:v>Round1</x:v>
      </x:c>
      <x:c r="C933" s="17" t="str">
        <x:v>condition</x:v>
      </x:c>
      <x:c r="D933" s="17" t="str">
        <x:v>Math_76</x:v>
      </x:c>
      <x:c r="E933" s="32" t="n">
        <x:v>1</x:v>
      </x:c>
      <x:c r="F933" s="32" t="n">
        <x:v>0</x:v>
      </x:c>
      <x:c r="G933" s="32" t="n">
        <x:v>0.6667000000000001</x:v>
      </x:c>
      <x:c r="H933" s="32" t="n">
        <x:v>0</x:v>
      </x:c>
      <x:c r="I933" s="40" t="n">
        <x:v>1</x:v>
      </x:c>
      <x:c r="J933" s="40" t="n">
        <x:v>1</x:v>
      </x:c>
      <x:c r="K933" s="40" t="n">
        <x:v>1</x:v>
      </x:c>
      <x:c r="L933" s="40" t="n">
        <x:v>1</x:v>
      </x:c>
    </x:row>
    <x:row r="934" ht="23" customHeight="1">
      <x:c r="B934" s="17" t="str">
        <x:v>Round1</x:v>
      </x:c>
      <x:c r="C934" s="17" t="str">
        <x:v>condition</x:v>
      </x:c>
      <x:c r="D934" s="17" t="str">
        <x:v>Math_79</x:v>
      </x:c>
      <x:c r="E934" s="32" t="n">
        <x:v>0.9304000000000001</x:v>
      </x:c>
      <x:c r="F934" s="32" t="n">
        <x:v>0.2609</x:v>
      </x:c>
      <x:c r="G934" s="32" t="n">
        <x:v>0.6261</x:v>
      </x:c>
      <x:c r="H934" s="32" t="n">
        <x:v>0</x:v>
      </x:c>
      <x:c r="I934" s="40" t="n">
        <x:v>1</x:v>
      </x:c>
      <x:c r="J934" s="40" t="n">
        <x:v>1</x:v>
      </x:c>
      <x:c r="K934" s="40" t="n">
        <x:v>1</x:v>
      </x:c>
      <x:c r="L934" s="40" t="n">
        <x:v>1</x:v>
      </x:c>
    </x:row>
    <x:row r="935" ht="23" customHeight="1">
      <x:c r="B935" s="17" t="str">
        <x:v>Round1</x:v>
      </x:c>
      <x:c r="C935" s="17" t="str">
        <x:v>condition</x:v>
      </x:c>
      <x:c r="D935" s="17" t="str">
        <x:v>Math_8</x:v>
      </x:c>
      <x:c r="E935" s="32" t="n">
        <x:v>0.9582999999999999</x:v>
      </x:c>
      <x:c r="F935" s="32" t="n">
        <x:v>0.0417</x:v>
      </x:c>
      <x:c r="G935" s="32" t="n">
        <x:v>0.9582999999999999</x:v>
      </x:c>
      <x:c r="H935" s="32" t="n">
        <x:v>0</x:v>
      </x:c>
      <x:c r="I935" s="40" t="n">
        <x:v>1</x:v>
      </x:c>
      <x:c r="J935" s="40" t="n">
        <x:v>1</x:v>
      </x:c>
      <x:c r="K935" s="40" t="n">
        <x:v>1</x:v>
      </x:c>
      <x:c r="L935" s="40" t="n">
        <x:v>1</x:v>
      </x:c>
    </x:row>
    <x:row r="936" ht="23" customHeight="1">
      <x:c r="B936" s="17" t="str">
        <x:v>Round1</x:v>
      </x:c>
      <x:c r="C936" s="17" t="str">
        <x:v>condition</x:v>
      </x:c>
      <x:c r="D936" s="17" t="str">
        <x:v>Math_80</x:v>
      </x:c>
      <x:c r="E936" s="32" t="n">
        <x:v>0.7536</x:v>
      </x:c>
      <x:c r="F936" s="32" t="n">
        <x:v>0.12560000000000002</x:v>
      </x:c>
      <x:c r="G936" s="32" t="n">
        <x:v>0.1932</x:v>
      </x:c>
      <x:c r="H936" s="32" t="n">
        <x:v>0</x:v>
      </x:c>
      <x:c r="I936" s="40" t="n">
        <x:v>1</x:v>
      </x:c>
      <x:c r="J936" s="40" t="n">
        <x:v>1</x:v>
      </x:c>
      <x:c r="K936" s="40" t="n">
        <x:v>1</x:v>
      </x:c>
      <x:c r="L936" s="40" t="n">
        <x:v>1</x:v>
      </x:c>
    </x:row>
    <x:row r="937" ht="23" customHeight="1">
      <x:c r="B937" s="17" t="str">
        <x:v>Round1</x:v>
      </x:c>
      <x:c r="C937" s="17" t="str">
        <x:v>condition</x:v>
      </x:c>
      <x:c r="D937" s="17" t="str">
        <x:v>Math_81</x:v>
      </x:c>
      <x:c r="E937" s="32" t="n">
        <x:v>0.7585</x:v>
      </x:c>
      <x:c r="F937" s="32" t="n">
        <x:v>0.12560000000000002</x:v>
      </x:c>
      <x:c r="G937" s="32" t="n">
        <x:v>0.2029</x:v>
      </x:c>
      <x:c r="H937" s="32" t="n">
        <x:v>0</x:v>
      </x:c>
      <x:c r="I937" s="40" t="n">
        <x:v>1</x:v>
      </x:c>
      <x:c r="J937" s="40" t="n">
        <x:v>1</x:v>
      </x:c>
      <x:c r="K937" s="40" t="n">
        <x:v>1</x:v>
      </x:c>
      <x:c r="L937" s="40" t="n">
        <x:v>1</x:v>
      </x:c>
    </x:row>
    <x:row r="938" ht="23" customHeight="1">
      <x:c r="B938" s="17" t="str">
        <x:v>Round1</x:v>
      </x:c>
      <x:c r="C938" s="17" t="str">
        <x:v>condition</x:v>
      </x:c>
      <x:c r="D938" s="17" t="str">
        <x:v>Math_85</x:v>
      </x:c>
      <x:c r="E938" s="32" t="n">
        <x:v>1</x:v>
      </x:c>
      <x:c r="F938" s="32" t="n">
        <x:v>0.0909</x:v>
      </x:c>
      <x:c r="G938" s="32" t="n">
        <x:v>0.8636</x:v>
      </x:c>
      <x:c r="H938" s="32" t="n">
        <x:v>0</x:v>
      </x:c>
      <x:c r="I938" s="40" t="n">
        <x:v>1</x:v>
      </x:c>
      <x:c r="J938" s="40" t="n">
        <x:v>1</x:v>
      </x:c>
      <x:c r="K938" s="40" t="n">
        <x:v>1</x:v>
      </x:c>
      <x:c r="L938" s="40" t="n">
        <x:v>1</x:v>
      </x:c>
    </x:row>
    <x:row r="939" ht="23" customHeight="1">
      <x:c r="B939" s="17" t="str">
        <x:v>Round1</x:v>
      </x:c>
      <x:c r="C939" s="17" t="str">
        <x:v>condition</x:v>
      </x:c>
      <x:c r="D939" s="17" t="str">
        <x:v>Math_87</x:v>
      </x:c>
      <x:c r="E939" s="32" t="n">
        <x:v>0.07780000000000001</x:v>
      </x:c>
      <x:c r="F939" s="32" t="n">
        <x:v>0</x:v>
      </x:c>
      <x:c r="G939" s="32" t="n">
        <x:v>0.07780000000000001</x:v>
      </x:c>
      <x:c r="H939" s="32" t="n">
        <x:v>0</x:v>
      </x:c>
      <x:c r="I939" s="40" t="n">
        <x:v>1</x:v>
      </x:c>
      <x:c r="J939" s="40" t="n">
        <x:v>1</x:v>
      </x:c>
      <x:c r="K939" s="40" t="n">
        <x:v>1</x:v>
      </x:c>
      <x:c r="L939" s="40" t="n">
        <x:v>1</x:v>
      </x:c>
    </x:row>
    <x:row r="940" ht="23" customHeight="1">
      <x:c r="B940" s="17" t="str">
        <x:v>Round1</x:v>
      </x:c>
      <x:c r="C940" s="17" t="str">
        <x:v>condition</x:v>
      </x:c>
      <x:c r="D940" s="17" t="str">
        <x:v>Math_89</x:v>
      </x:c>
      <x:c r="E940" s="32" t="n">
        <x:v>1</x:v>
      </x:c>
      <x:c r="F940" s="32" t="n">
        <x:v>0.9375</x:v>
      </x:c>
      <x:c r="G940" s="32" t="n">
        <x:v>0.9375</x:v>
      </x:c>
      <x:c r="H940" s="32" t="n">
        <x:v>0</x:v>
      </x:c>
      <x:c r="I940" s="40" t="n">
        <x:v>1</x:v>
      </x:c>
      <x:c r="J940" s="40" t="n">
        <x:v>1</x:v>
      </x:c>
      <x:c r="K940" s="40" t="n">
        <x:v>1</x:v>
      </x:c>
      <x:c r="L940" s="40" t="n">
        <x:v>1</x:v>
      </x:c>
    </x:row>
    <x:row r="941" ht="23" customHeight="1">
      <x:c r="B941" s="17" t="str">
        <x:v>Round1</x:v>
      </x:c>
      <x:c r="C941" s="17" t="str">
        <x:v>condition</x:v>
      </x:c>
      <x:c r="D941" s="17" t="str">
        <x:v>Math_90</x:v>
      </x:c>
      <x:c r="E941" s="32" t="n">
        <x:v>1</x:v>
      </x:c>
      <x:c r="F941" s="32" t="n">
        <x:v>0.9375</x:v>
      </x:c>
      <x:c r="G941" s="32" t="n">
        <x:v>0.9062</x:v>
      </x:c>
      <x:c r="H941" s="32" t="n">
        <x:v>0</x:v>
      </x:c>
      <x:c r="I941" s="40" t="n">
        <x:v>1</x:v>
      </x:c>
      <x:c r="J941" s="40" t="n">
        <x:v>1</x:v>
      </x:c>
      <x:c r="K941" s="40" t="n">
        <x:v>1</x:v>
      </x:c>
      <x:c r="L941" s="40" t="n">
        <x:v>1</x:v>
      </x:c>
    </x:row>
    <x:row r="942" ht="23" customHeight="1">
      <x:c r="B942" s="17" t="str">
        <x:v>Round1</x:v>
      </x:c>
      <x:c r="C942" s="17" t="str">
        <x:v>condition</x:v>
      </x:c>
      <x:c r="D942" s="17" t="str">
        <x:v>Math_92</x:v>
      </x:c>
      <x:c r="E942" s="32" t="n">
        <x:v>0.8969</x:v>
      </x:c>
      <x:c r="F942" s="32" t="n">
        <x:v>0.5157</x:v>
      </x:c>
      <x:c r="G942" s="32" t="n">
        <x:v>0.8117</x:v>
      </x:c>
      <x:c r="H942" s="32" t="n">
        <x:v>0</x:v>
      </x:c>
      <x:c r="I942" s="40" t="n">
        <x:v>1</x:v>
      </x:c>
      <x:c r="J942" s="40" t="n">
        <x:v>1</x:v>
      </x:c>
      <x:c r="K942" s="40" t="n">
        <x:v>1</x:v>
      </x:c>
      <x:c r="L942" s="40" t="n">
        <x:v>1</x:v>
      </x:c>
    </x:row>
    <x:row r="943" ht="23" customHeight="1">
      <x:c r="B943" s="17" t="str">
        <x:v>Round1</x:v>
      </x:c>
      <x:c r="C943" s="17" t="str">
        <x:v>condition</x:v>
      </x:c>
      <x:c r="D943" s="17" t="str">
        <x:v>Math_93</x:v>
      </x:c>
      <x:c r="E943" s="32" t="n">
        <x:v>0.8986</x:v>
      </x:c>
      <x:c r="F943" s="32" t="n">
        <x:v>0.5069</x:v>
      </x:c>
      <x:c r="G943" s="32" t="n">
        <x:v>0.9309000000000001</x:v>
      </x:c>
      <x:c r="H943" s="32" t="n">
        <x:v>0</x:v>
      </x:c>
      <x:c r="I943" s="40" t="n">
        <x:v>1</x:v>
      </x:c>
      <x:c r="J943" s="40" t="n">
        <x:v>1</x:v>
      </x:c>
      <x:c r="K943" s="40" t="n">
        <x:v>1</x:v>
      </x:c>
      <x:c r="L943" s="40" t="n">
        <x:v>1</x:v>
      </x:c>
    </x:row>
    <x:row r="944" ht="23" customHeight="1">
      <x:c r="B944" s="17" t="str">
        <x:v>Round1</x:v>
      </x:c>
      <x:c r="C944" s="17" t="str">
        <x:v>condition</x:v>
      </x:c>
      <x:c r="D944" s="17" t="str">
        <x:v>Math_94</x:v>
      </x:c>
      <x:c r="E944" s="32" t="n">
        <x:v>0.9256</x:v>
      </x:c>
      <x:c r="F944" s="32" t="n">
        <x:v>0.507</x:v>
      </x:c>
      <x:c r="G944" s="32" t="n">
        <x:v>0.8140000000000001</x:v>
      </x:c>
      <x:c r="H944" s="32" t="n">
        <x:v>0</x:v>
      </x:c>
      <x:c r="I944" s="40" t="n">
        <x:v>1</x:v>
      </x:c>
      <x:c r="J944" s="40" t="n">
        <x:v>1</x:v>
      </x:c>
      <x:c r="K944" s="40" t="n">
        <x:v>1</x:v>
      </x:c>
      <x:c r="L944" s="40" t="n">
        <x:v>1</x:v>
      </x:c>
    </x:row>
    <x:row r="945" ht="23" customHeight="1">
      <x:c r="B945" s="17" t="str">
        <x:v>Round1</x:v>
      </x:c>
      <x:c r="C945" s="17" t="str">
        <x:v>condition</x:v>
      </x:c>
      <x:c r="D945" s="17" t="str">
        <x:v>Math_95</x:v>
      </x:c>
      <x:c r="E945" s="32" t="n">
        <x:v>1</x:v>
      </x:c>
      <x:c r="F945" s="32" t="n">
        <x:v>1</x:v>
      </x:c>
      <x:c r="G945" s="32" t="n">
        <x:v>1</x:v>
      </x:c>
      <x:c r="H945" s="32" t="n">
        <x:v>1</x:v>
      </x:c>
      <x:c r="I945" s="40" t="n">
        <x:v>1</x:v>
      </x:c>
      <x:c r="J945" s="40" t="n">
        <x:v>1</x:v>
      </x:c>
      <x:c r="K945" s="40" t="n">
        <x:v>1</x:v>
      </x:c>
      <x:c r="L945" s="40" t="n">
        <x:v>1</x:v>
      </x:c>
    </x:row>
    <x:row r="946" ht="23" customHeight="1">
      <x:c r="B946" s="17" t="str">
        <x:v>Round1</x:v>
      </x:c>
      <x:c r="C946" s="17" t="str">
        <x:v>condition</x:v>
      </x:c>
      <x:c r="D946" s="17" t="str">
        <x:v>Math_96</x:v>
      </x:c>
      <x:c r="E946" s="32" t="n">
        <x:v>0.9412</x:v>
      </x:c>
      <x:c r="F946" s="32" t="n">
        <x:v>0.8922</x:v>
      </x:c>
      <x:c r="G946" s="32" t="n">
        <x:v>0.8922</x:v>
      </x:c>
      <x:c r="H946" s="32" t="n">
        <x:v>0</x:v>
      </x:c>
      <x:c r="I946" s="40" t="n">
        <x:v>1</x:v>
      </x:c>
      <x:c r="J946" s="40" t="n">
        <x:v>1</x:v>
      </x:c>
      <x:c r="K946" s="40" t="n">
        <x:v>1</x:v>
      </x:c>
      <x:c r="L946" s="40" t="n">
        <x:v>1</x:v>
      </x:c>
    </x:row>
    <x:row r="947" ht="23" customHeight="1">
      <x:c r="B947" s="17" t="str">
        <x:v>Round1</x:v>
      </x:c>
      <x:c r="C947" s="17" t="str">
        <x:v>condition</x:v>
      </x:c>
      <x:c r="D947" s="17" t="str">
        <x:v>Math_97</x:v>
      </x:c>
      <x:c r="E947" s="32" t="n">
        <x:v>1</x:v>
      </x:c>
      <x:c r="F947" s="32" t="n">
        <x:v>0</x:v>
      </x:c>
      <x:c r="G947" s="32" t="n">
        <x:v>0.8913</x:v>
      </x:c>
      <x:c r="H947" s="32" t="n">
        <x:v>0</x:v>
      </x:c>
      <x:c r="I947" s="40" t="n">
        <x:v>1</x:v>
      </x:c>
      <x:c r="J947" s="40" t="n">
        <x:v>1</x:v>
      </x:c>
      <x:c r="K947" s="40" t="n">
        <x:v>1</x:v>
      </x:c>
      <x:c r="L947" s="40" t="n">
        <x:v>1</x:v>
      </x:c>
    </x:row>
    <x:row r="948" ht="23" customHeight="1">
      <x:c r="B948" s="17" t="str">
        <x:v>Round1</x:v>
      </x:c>
      <x:c r="C948" s="17" t="str">
        <x:v>condition</x:v>
      </x:c>
      <x:c r="D948" s="17" t="str">
        <x:v>Math_98</x:v>
      </x:c>
      <x:c r="E948" s="32" t="n">
        <x:v>0.8538</x:v>
      </x:c>
      <x:c r="F948" s="32" t="n">
        <x:v>0.7670999999999999</x:v>
      </x:c>
      <x:c r="G948" s="32" t="n">
        <x:v>0.7942</x:v>
      </x:c>
      <x:c r="H948" s="32" t="n">
        <x:v>0</x:v>
      </x:c>
      <x:c r="I948" s="40" t="n">
        <x:v>1</x:v>
      </x:c>
      <x:c r="J948" s="40" t="n">
        <x:v>1</x:v>
      </x:c>
      <x:c r="K948" s="40" t="n">
        <x:v>1</x:v>
      </x:c>
      <x:c r="L948" s="40" t="n">
        <x:v>1</x:v>
      </x:c>
    </x:row>
    <x:row r="949" ht="23" customHeight="1">
      <x:c r="B949" s="17" t="str">
        <x:v>Round1</x:v>
      </x:c>
      <x:c r="C949" s="17" t="str">
        <x:v>condition</x:v>
      </x:c>
      <x:c r="D949" s="17" t="str">
        <x:v>Math_99</x:v>
      </x:c>
      <x:c r="E949" s="32" t="n">
        <x:v>0.941</x:v>
      </x:c>
      <x:c r="F949" s="32" t="n">
        <x:v>0.7565000000000001</x:v>
      </x:c>
      <x:c r="G949" s="32" t="n">
        <x:v>0.9041</x:v>
      </x:c>
      <x:c r="H949" s="32" t="n">
        <x:v>0</x:v>
      </x:c>
      <x:c r="I949" s="40" t="n">
        <x:v>1</x:v>
      </x:c>
      <x:c r="J949" s="40" t="n">
        <x:v>1</x:v>
      </x:c>
      <x:c r="K949" s="40" t="n">
        <x:v>1</x:v>
      </x:c>
      <x:c r="L949" s="40" t="n">
        <x:v>1</x:v>
      </x:c>
    </x:row>
    <x:row r="950" ht="23" customHeight="1">
      <x:c r="B950" s="17" t="str">
        <x:v>Round1</x:v>
      </x:c>
      <x:c r="C950" s="17" t="str">
        <x:v>condition</x:v>
      </x:c>
      <x:c r="D950" s="17" t="str">
        <x:v>Mockito_11</x:v>
      </x:c>
      <x:c r="E950" s="32" t="n">
        <x:v>0.16670000000000001</x:v>
      </x:c>
      <x:c r="F950" s="32" t="n">
        <x:v>0</x:v>
      </x:c>
      <x:c r="G950" s="32" t="n">
        <x:v>0.5</x:v>
      </x:c>
      <x:c r="H950" s="32" t="n">
        <x:v>0.5</x:v>
      </x:c>
      <x:c r="I950" s="40" t="n">
        <x:v>1</x:v>
      </x:c>
      <x:c r="J950" s="40" t="n">
        <x:v>1</x:v>
      </x:c>
      <x:c r="K950" s="40" t="n">
        <x:v>1</x:v>
      </x:c>
      <x:c r="L950" s="40" t="n">
        <x:v>1</x:v>
      </x:c>
    </x:row>
    <x:row r="951" ht="23" customHeight="1">
      <x:c r="B951" s="17" t="str">
        <x:v>Round1</x:v>
      </x:c>
      <x:c r="C951" s="17" t="str">
        <x:v>condition</x:v>
      </x:c>
      <x:c r="D951" s="17" t="str">
        <x:v>Mockito_12</x:v>
      </x:c>
      <x:c r="E951" s="32" t="n">
        <x:v>0</x:v>
      </x:c>
      <x:c r="F951" s="32" t="n">
        <x:v>0</x:v>
      </x:c>
      <x:c r="G951" s="32" t="n">
        <x:v>0.75</x:v>
      </x:c>
      <x:c r="H951" s="32" t="n">
        <x:v>0.75</x:v>
      </x:c>
      <x:c r="I951" s="40" t="n">
        <x:v>1</x:v>
      </x:c>
      <x:c r="J951" s="40" t="n">
        <x:v>1</x:v>
      </x:c>
      <x:c r="K951" s="40" t="n">
        <x:v>1</x:v>
      </x:c>
      <x:c r="L951" s="40" t="n">
        <x:v>1</x:v>
      </x:c>
    </x:row>
    <x:row r="952" ht="23" customHeight="1">
      <x:c r="B952" s="17" t="str">
        <x:v>Round1</x:v>
      </x:c>
      <x:c r="C952" s="17" t="str">
        <x:v>condition</x:v>
      </x:c>
      <x:c r="D952" s="17" t="str">
        <x:v>Mockito_15</x:v>
      </x:c>
      <x:c r="E952" s="32" t="n">
        <x:v>1</x:v>
      </x:c>
      <x:c r="F952" s="32" t="n">
        <x:v>0.5</x:v>
      </x:c>
      <x:c r="G952" s="32" t="n">
        <x:v>1</x:v>
      </x:c>
      <x:c r="H952" s="32" t="n">
        <x:v>1</x:v>
      </x:c>
      <x:c r="I952" s="40" t="n">
        <x:v>1</x:v>
      </x:c>
      <x:c r="J952" s="40" t="n">
        <x:v>1</x:v>
      </x:c>
      <x:c r="K952" s="40" t="n">
        <x:v>1</x:v>
      </x:c>
      <x:c r="L952" s="40" t="n">
        <x:v>1</x:v>
      </x:c>
    </x:row>
    <x:row r="953" ht="23" customHeight="1">
      <x:c r="B953" s="17" t="str">
        <x:v>Round1</x:v>
      </x:c>
      <x:c r="C953" s="17" t="str">
        <x:v>condition</x:v>
      </x:c>
      <x:c r="D953" s="17" t="str">
        <x:v>Mockito_21</x:v>
      </x:c>
      <x:c r="E953" s="32" t="n">
        <x:v>1</x:v>
      </x:c>
      <x:c r="F953" s="32" t="n">
        <x:v>0</x:v>
      </x:c>
      <x:c r="G953" s="32" t="n">
        <x:v>1</x:v>
      </x:c>
      <x:c r="H953" s="32" t="n">
        <x:v>1</x:v>
      </x:c>
      <x:c r="I953" s="40" t="n">
        <x:v>1</x:v>
      </x:c>
      <x:c r="J953" s="40" t="n">
        <x:v>1</x:v>
      </x:c>
      <x:c r="K953" s="40" t="n">
        <x:v>1</x:v>
      </x:c>
      <x:c r="L953" s="40" t="n">
        <x:v>1</x:v>
      </x:c>
    </x:row>
    <x:row r="954" ht="23" customHeight="1">
      <x:c r="B954" s="17" t="str">
        <x:v>Round1</x:v>
      </x:c>
      <x:c r="C954" s="17" t="str">
        <x:v>condition</x:v>
      </x:c>
      <x:c r="D954" s="17" t="str">
        <x:v>Mockito_22</x:v>
      </x:c>
      <x:c r="E954" s="32" t="n">
        <x:v>0.375</x:v>
      </x:c>
      <x:c r="F954" s="32" t="n">
        <x:v>0.3333</x:v>
      </x:c>
      <x:c r="G954" s="32" t="n">
        <x:v>1</x:v>
      </x:c>
      <x:c r="H954" s="32" t="n">
        <x:v>1</x:v>
      </x:c>
      <x:c r="I954" s="40" t="n">
        <x:v>1</x:v>
      </x:c>
      <x:c r="J954" s="40" t="n">
        <x:v>1</x:v>
      </x:c>
      <x:c r="K954" s="40" t="n">
        <x:v>1</x:v>
      </x:c>
      <x:c r="L954" s="40" t="n">
        <x:v>1</x:v>
      </x:c>
    </x:row>
    <x:row r="955" ht="23" customHeight="1">
      <x:c r="B955" s="17" t="str">
        <x:v>Round1</x:v>
      </x:c>
      <x:c r="C955" s="17" t="str">
        <x:v>condition</x:v>
      </x:c>
      <x:c r="D955" s="17" t="str">
        <x:v>Mockito_37</x:v>
      </x:c>
      <x:c r="E955" s="32" t="n">
        <x:v>0.46149999999999997</x:v>
      </x:c>
      <x:c r="F955" s="32" t="n">
        <x:v>0</x:v>
      </x:c>
      <x:c r="G955" s="32" t="n">
        <x:v>0.9615</x:v>
      </x:c>
      <x:c r="H955" s="32" t="n">
        <x:v>1</x:v>
      </x:c>
      <x:c r="I955" s="40" t="n">
        <x:v>1</x:v>
      </x:c>
      <x:c r="J955" s="40" t="n">
        <x:v>1</x:v>
      </x:c>
      <x:c r="K955" s="40" t="n">
        <x:v>1</x:v>
      </x:c>
      <x:c r="L955" s="40" t="n">
        <x:v>1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2">
      <x:c r="B2" s="29" t="str">
        <x:v>Coverage and verdict definitions</x:v>
      </x:c>
    </x:row>
    <x:row r="4" ht="34" customHeight="1">
      <x:c r="B4" s="48" t="str">
        <x:v>One bug per round. Resource: 854 bugs; this workbook pools 1708 results.</x:v>
      </x:c>
      <x:c r="C4" s="48"/>
      <x:c r="D4" s="48"/>
      <x:c r="E4" s="48"/>
      <x:c r="F4" s="48"/>
      <x:c r="G4" s="48"/>
      <x:c r="H4" s="48"/>
    </x:row>
    <x:row r="5" ht="34" customHeight="1">
      <x:c r="B5" s="48" t="str">
        <x:v>Recorded only: sum of applicable numeric coverage / numeric count, including 0%.</x:v>
      </x:c>
      <x:c r="C5" s="48"/>
      <x:c r="D5" s="48"/>
      <x:c r="E5" s="48"/>
      <x:c r="F5" s="48"/>
      <x:c r="G5" s="48"/>
      <x:c r="H5" s="48"/>
    </x:row>
    <x:row r="6" ht="34" customHeight="1">
      <x:c r="B6" s="48" t="str">
        <x:v>All applicable: same sum / (total minus successful zero-total N/A). Failed measurements count as 0%.</x:v>
      </x:c>
      <x:c r="C6" s="48"/>
      <x:c r="D6" s="48"/>
      <x:c r="E6" s="48"/>
      <x:c r="F6" s="48"/>
      <x:c r="G6" s="48"/>
      <x:c r="H6" s="48"/>
    </x:row>
    <x:row r="7" ht="34" customHeight="1">
      <x:c r="B7" s="48" t="str">
        <x:v>Coverage uses buggy measurements. Verdicts require both buggy/fixed runs; measured buggy coverage remains when fixed is unavailable.</x:v>
      </x:c>
      <x:c r="C7" s="48"/>
      <x:c r="D7" s="48"/>
      <x:c r="E7" s="48"/>
      <x:c r="F7" s="48"/>
      <x:c r="G7" s="48"/>
      <x:c r="H7" s="48"/>
    </x:row>
    <x:row r="8" ht="34" customHeight="1">
      <x:c r="B8" s="48" t="str">
        <x:v>FAIL: no usable tests or latest whole-bug generation failed. Partial class failures with usable tests follow execution evidence.</x:v>
      </x:c>
      <x:c r="C8" s="48"/>
      <x:c r="D8" s="48"/>
      <x:c r="E8" s="48"/>
      <x:c r="F8" s="48"/>
      <x:c r="G8" s="48"/>
      <x:c r="H8" s="48"/>
    </x:row>
    <x:row r="9" ht="34" customHeight="1">
      <x:c r="B9" s="48" t="str">
        <x:v>Combined intersection averages numeric rounds per method/bug first. Round2 has no four-method intersection because Gemini has no Round2.</x:v>
      </x:c>
      <x:c r="C9" s="48"/>
      <x:c r="D9" s="48"/>
      <x:c r="E9" s="48"/>
      <x:c r="F9" s="48"/>
      <x:c r="G9" s="48"/>
      <x:c r="H9" s="48"/>
    </x:row>
    <x:row r="12" ht="56" customHeight="1">
      <x:c r="B12" s="20" t="str">
        <x:v>Metric</x:v>
      </x:c>
      <x:c r="C12" s="20" t="str">
        <x:v>Coverage sum (percentage points)</x:v>
      </x:c>
      <x:c r="D12" s="20" t="str">
        <x:v>n numeric</x:v>
      </x:c>
      <x:c r="E12" s="20" t="str">
        <x:v>n applicable</x:v>
      </x:c>
      <x:c r="F12" s="20" t="str">
        <x:v>Recorded only</x:v>
      </x:c>
      <x:c r="G12" s="20" t="str">
        <x:v>All applicable</x:v>
      </x:c>
      <x:c r="H12" s="20" t="str">
        <x:v>Runnable</x:v>
      </x:c>
    </x:row>
    <x:row r="13" ht="23" customHeight="1">
      <x:c r="B13" s="17" t="str">
        <x:v>Line</x:v>
      </x:c>
      <x:c r="C13" s="49" t="n">
        <x:f>SUMIF('CoverageCases'!$E$2:$E3417,B13,'CoverageCases'!$O$2:$O3417)</x:f>
        <x:v>45114.950000000026</x:v>
      </x:c>
      <x:c r="D13" s="40" t="n">
        <x:f>'Coverage'!F7</x:f>
        <x:v>625</x:v>
      </x:c>
      <x:c r="E13" s="40" t="n">
        <x:f>'Coverage'!M7</x:f>
        <x:v>1708</x:v>
      </x:c>
      <x:c r="F13" s="32" t="n">
        <x:f>IF(D13=0,"—",C13/D13/100)</x:f>
        <x:v>0.7218392000000005</x:v>
      </x:c>
      <x:c r="G13" s="32" t="n">
        <x:f>IF(ISNUMBER(E13),IF(E13=0,"—",C13/E13/100),"Pending")</x:f>
        <x:v>0.26413905152224837</x:v>
      </x:c>
      <x:c r="H13" s="32" t="n">
        <x:f>'Coverage'!L7</x:f>
        <x:v>0.3659250585480094</x:v>
      </x:c>
    </x:row>
    <x:row r="14" ht="23" customHeight="1">
      <x:c r="B14" s="17" t="str">
        <x:v>Condition</x:v>
      </x:c>
      <x:c r="C14" s="49" t="n">
        <x:f>SUMIF('CoverageCases'!$E$2:$E3417,B14,'CoverageCases'!$O$2:$O3417)</x:f>
        <x:v>39557.56000000002</x:v>
      </x:c>
      <x:c r="D14" s="40" t="n">
        <x:f>'Coverage'!F8</x:f>
        <x:v>616</x:v>
      </x:c>
      <x:c r="E14" s="40" t="n">
        <x:f>'Coverage'!M8</x:f>
        <x:v>1699</x:v>
      </x:c>
      <x:c r="F14" s="32" t="n">
        <x:f>IF(D14=0,"—",C14/D14/100)</x:f>
        <x:v>0.6421681818181821</x:v>
      </x:c>
      <x:c r="G14" s="32" t="n">
        <x:f>IF(ISNUMBER(E14),IF(E14=0,"—",C14/E14/100),"Pending")</x:f>
        <x:v>0.23282848734549744</x:v>
      </x:c>
      <x:c r="H14" s="32" t="n">
        <x:f>'Coverage'!L8</x:f>
        <x:v>0.3659250585480094</x:v>
      </x:c>
    </x:row>
    <x:row r="17" ht="34" customHeight="1">
      <x:c r="B17" s="31" t="str">
        <x:v>Previous coverage rules counted missing values as 0% without excluding N/A. These are rule comparisons, not a reconstruction of the old slide cohort.</x:v>
      </x:c>
      <x:c r="C17" s="31"/>
      <x:c r="D17" s="31"/>
      <x:c r="E17" s="31"/>
      <x:c r="F17" s="31"/>
      <x:c r="G17" s="31"/>
      <x:c r="H17" s="31"/>
    </x:row>
    <x:row r="19" ht="42" customHeight="1">
      <x:c r="B19" s="20" t="str">
        <x:v>Metric</x:v>
      </x:c>
      <x:c r="C19" s="20" t="str">
        <x:v>Previous recorded</x:v>
      </x:c>
      <x:c r="D19" s="20" t="str">
        <x:v>Current recorded</x:v>
      </x:c>
      <x:c r="E19" s="20" t="str">
        <x:v>Previous all results</x:v>
      </x:c>
      <x:c r="F19" s="20" t="str">
        <x:v>Current applicable</x:v>
      </x:c>
    </x:row>
    <x:row r="20" ht="23" customHeight="1">
      <x:c r="B20" s="17" t="str">
        <x:v>Line</x:v>
      </x:c>
      <x:c r="C20" s="32" t="n">
        <x:v>0.7218392</x:v>
      </x:c>
      <x:c r="D20" s="32" t="n">
        <x:f>'Coverage'!J7</x:f>
        <x:v>0.7218392000000005</x:v>
      </x:c>
      <x:c r="E20" s="32" t="n">
        <x:v>0.2641390515222482</x:v>
      </x:c>
      <x:c r="F20" s="32" t="n">
        <x:f>'Coverage'!K7</x:f>
        <x:v>0.26413905152224837</x:v>
      </x:c>
    </x:row>
    <x:row r="21" ht="23" customHeight="1">
      <x:c r="B21" s="17" t="str">
        <x:v>Condition</x:v>
      </x:c>
      <x:c r="C21" s="32" t="n">
        <x:v>0.6421681818181818</x:v>
      </x:c>
      <x:c r="D21" s="32" t="n">
        <x:f>'Coverage'!J8</x:f>
        <x:v>0.6421681818181821</x:v>
      </x:c>
      <x:c r="E21" s="32" t="n">
        <x:v>0.23160163934426228</x:v>
      </x:c>
      <x:c r="F21" s="32" t="n">
        <x:f>'Coverage'!K8</x:f>
        <x:v>0.23282848734549744</x:v>
      </x:c>
    </x:row>
    <x:row r="25" ht="42" customHeight="1">
      <x:c r="B25" s="20" t="str">
        <x:v>Verdict</x:v>
      </x:c>
      <x:c r="C25" s="20" t="str">
        <x:v>Scope</x:v>
      </x:c>
      <x:c r="D25" s="20" t="str">
        <x:v>Slide (%)</x:v>
      </x:c>
      <x:c r="E25" s="20" t="str">
        <x:v>Current count</x:v>
      </x:c>
      <x:c r="F25" s="20" t="str">
        <x:v>n results</x:v>
      </x:c>
      <x:c r="G25" s="20" t="str">
        <x:v>Current (%)</x:v>
      </x:c>
      <x:c r="H25" s="20" t="str">
        <x:v>Change (pp)</x:v>
      </x:c>
    </x:row>
    <x:row r="26" ht="23" customHeight="1">
      <x:c r="B26" s="17" t="str">
        <x:v>NOT_AVAILABLE</x:v>
      </x:c>
      <x:c r="C26" s="17" t="str">
        <x:v>Round1</x:v>
      </x:c>
      <x:c r="D26" s="32" t="n">
        <x:v>0.7488</x:v>
      </x:c>
      <x:c r="E26" s="40" t="n">
        <x:f>COUNTIFS('BugResults'!$D$2:$D1709,B26,'BugResults'!$C$2:$C1709,C26)</x:f>
        <x:v>641</x:v>
      </x:c>
      <x:c r="F26" s="40" t="n">
        <x:f>COUNTIF('BugResults'!$C$2:$C1709,C26)</x:f>
        <x:v>854</x:v>
      </x:c>
      <x:c r="G26" s="32" t="n">
        <x:f>E26/F26</x:f>
        <x:v>0.7505854800936768</x:v>
      </x:c>
      <x:c r="H26" s="50" t="n">
        <x:f>(G26-D26)*100</x:f>
        <x:v>0.1785480093676739</x:v>
      </x:c>
    </x:row>
  </x:sheetData>
  <x:mergeCells>
    <x:mergeCell ref="B4:H4"/>
    <x:mergeCell ref="B5:H5"/>
    <x:mergeCell ref="B6:H6"/>
    <x:mergeCell ref="B7:H7"/>
    <x:mergeCell ref="B8:H8"/>
    <x:mergeCell ref="B9:H9"/>
    <x:mergeCell ref="B17:H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70" hidden="0" customWidth="1"/>
    <x:col min="8" max="8" width="70" hidden="0" customWidth="1"/>
    <x:col min="9" max="9" width="70" hidden="0" customWidth="1"/>
    <x:col min="10" max="10" width="70" hidden="0" customWidth="1"/>
  </x:cols>
  <x:sheetData>
    <x:row r="2">
      <x:c r="B2" t="str">
        <x:v>Saved versus derived verdict changes</x:v>
      </x:c>
    </x:row>
    <x:row r="3" ht="32" customHeight="1">
      <x:c r="B3" s="31" t="str">
        <x:v>4 changed bug/rounds. Generation failures, stale suites and missing class evidence are filterable in BugResults.</x:v>
      </x:c>
      <x:c r="C3" s="31"/>
      <x:c r="D3" s="31"/>
      <x:c r="E3" s="31"/>
      <x:c r="F3" s="31"/>
      <x:c r="G3" s="31"/>
      <x:c r="H3" s="31"/>
      <x:c r="I3" s="31"/>
      <x:c r="J3" s="31"/>
    </x:row>
    <x:row r="6" ht="42" customHeight="1">
      <x:c r="B6" s="20" t="str">
        <x:v>Project</x:v>
      </x:c>
      <x:c r="C6" s="20" t="str">
        <x:v>Bug</x:v>
      </x:c>
      <x:c r="D6" s="20" t="str">
        <x:v>Round</x:v>
      </x:c>
      <x:c r="E6" s="20" t="str">
        <x:v>Saved verdict</x:v>
      </x:c>
      <x:c r="F6" s="20" t="str">
        <x:v>Current verdict</x:v>
      </x:c>
      <x:c r="G6" s="20" t="str">
        <x:v>Reason</x:v>
      </x:c>
      <x:c r="H6" s="20" t="str">
        <x:v>Generation source</x:v>
      </x:c>
      <x:c r="I6" s="20" t="str">
        <x:v>Validation source</x:v>
      </x:c>
      <x:c r="J6" s="20" t="str">
        <x:v>Coverage source</x:v>
      </x:c>
    </x:row>
    <x:row r="7" ht="80" customHeight="1">
      <x:c r="B7" s="17" t="str">
        <x:v>Jsoup</x:v>
      </x:c>
      <x:c r="C7" s="17" t="n">
        <x:v>9</x:v>
      </x:c>
      <x:c r="D7" s="17" t="str">
        <x:v>Round1</x:v>
      </x:c>
      <x:c r="E7" s="17" t="str">
        <x:v>NOT_REVEALING</x:v>
      </x:c>
      <x:c r="F7" s="17" t="str">
        <x:v>NOT_AVAILABLE</x:v>
      </x:c>
      <x:c r="G7" s="21" t="str">
        <x:v>Tests exist but current coverage did not complete</x:v>
      </x:c>
      <x:c r="H7" s="21" t="str">
        <x:v>Deepseek-flash-v4/state/Round1/shards/Jsoup.json</x:v>
      </x:c>
      <x:c r="I7" s="21" t="str">
        <x:v>Deepseek-flash-v4/Result/Jsoup_9/result.json</x:v>
      </x:c>
      <x:c r="J7" s="21" t="str">
        <x:v>Deepseek-flash-v4/Result/Jsoup_9/result.json</x:v>
      </x:c>
    </x:row>
    <x:row r="8" ht="80" customHeight="1">
      <x:c r="B8" s="17" t="str">
        <x:v>Jsoup</x:v>
      </x:c>
      <x:c r="C8" s="17" t="n">
        <x:v>4</x:v>
      </x:c>
      <x:c r="D8" s="17" t="str">
        <x:v>Round2</x:v>
      </x:c>
      <x:c r="E8" s="17" t="str">
        <x:v>INCONCLUSIVE</x:v>
      </x:c>
      <x:c r="F8" s="17" t="str">
        <x:v>NOT_AVAILABLE</x:v>
      </x:c>
      <x:c r="G8" s="21" t="str">
        <x:v>Tests exist but current coverage did not complete</x:v>
      </x:c>
      <x:c r="H8" s="21" t="str">
        <x:v>Deepseek-flash-v4/state/Round2/status/Jsoup_4.json; Deepseek-flash-v4/state/Round2/shards/Jsoup_4.json</x:v>
      </x:c>
      <x:c r="I8" s="21" t="str">
        <x:v>Deepseek-flash-v4/Result2/Jsoup_4/result.json</x:v>
      </x:c>
      <x:c r="J8" s="21" t="str">
        <x:v>Deepseek-flash-v4/Result2/Jsoup_4/result.json</x:v>
      </x:c>
    </x:row>
    <x:row r="9" ht="80" customHeight="1">
      <x:c r="B9" s="17" t="str">
        <x:v>Jsoup</x:v>
      </x:c>
      <x:c r="C9" s="17" t="n">
        <x:v>6</x:v>
      </x:c>
      <x:c r="D9" s="17" t="str">
        <x:v>Round2</x:v>
      </x:c>
      <x:c r="E9" s="17" t="str">
        <x:v>NOT_REVEALING</x:v>
      </x:c>
      <x:c r="F9" s="17" t="str">
        <x:v>NOT_AVAILABLE</x:v>
      </x:c>
      <x:c r="G9" s="21" t="str">
        <x:v>Tests exist but current coverage did not complete</x:v>
      </x:c>
      <x:c r="H9" s="21" t="str">
        <x:v>Deepseek-flash-v4/state/Round2/status/Jsoup_6.json; Deepseek-flash-v4/state/Round2/shards/Jsoup_6.json</x:v>
      </x:c>
      <x:c r="I9" s="21" t="str">
        <x:v>Deepseek-flash-v4/Result2/Jsoup_6/result.json</x:v>
      </x:c>
      <x:c r="J9" s="21" t="str">
        <x:v>Deepseek-flash-v4/Result2/Jsoup_6/result.json</x:v>
      </x:c>
    </x:row>
    <x:row r="10" ht="80" customHeight="1">
      <x:c r="B10" s="17" t="str">
        <x:v>Jsoup</x:v>
      </x:c>
      <x:c r="C10" s="17" t="n">
        <x:v>9</x:v>
      </x:c>
      <x:c r="D10" s="17" t="str">
        <x:v>Round2</x:v>
      </x:c>
      <x:c r="E10" s="17" t="str">
        <x:v>NOT_REVEALING</x:v>
      </x:c>
      <x:c r="F10" s="17" t="str">
        <x:v>NOT_AVAILABLE</x:v>
      </x:c>
      <x:c r="G10" s="21" t="str">
        <x:v>Tests exist but current coverage did not complete</x:v>
      </x:c>
      <x:c r="H10" s="21"/>
      <x:c r="I10" s="21" t="str">
        <x:v>Deepseek-flash-v4/Result2/Jsoup_9/result.json</x:v>
      </x:c>
      <x:c r="J10" s="21" t="str">
        <x:v>Deepseek-flash-v4/Result2/Jsoup_9/result.json</x:v>
      </x:c>
    </x:row>
  </x:sheetData>
  <x:mergeCells>
    <x:mergeCell ref="B3:J3"/>
  </x:mergeCells>
  <x:pageMargins left="0.7" right="0.7" top="0.75" bottom="0.75" header="0.3" footer="0.3"/>
  <x:tableParts count="1">
    <x:tablePart xmlns:r="http://schemas.openxmlformats.org/officeDocument/2006/relationships" r:id="Re05cdb66b93f4192"/>
  </x:tableParts>
</x:worksheet>
</file>